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dos" sheetId="1" r:id="rId4"/>
    <sheet state="visible" name="Pendências" sheetId="2" r:id="rId5"/>
    <sheet state="visible" name="Inserir_Remover TAG" sheetId="3" r:id="rId6"/>
    <sheet state="visible" name="Menu_Área" sheetId="4" r:id="rId7"/>
    <sheet state="visible" name="Aprovações" sheetId="5" r:id="rId8"/>
    <sheet state="visible" name="Intertravamento" sheetId="6" r:id="rId9"/>
    <sheet state="visible" name="Usuários" sheetId="7" r:id="rId10"/>
    <sheet state="visible" name="Governança" sheetId="8" r:id="rId11"/>
    <sheet state="visible" name="Registro de Edição" sheetId="9" r:id="rId12"/>
  </sheets>
  <definedNames>
    <definedName hidden="1" localSheetId="2" name="_xlnm._FilterDatabase">'Inserir_Remover TAG'!$A$1:$J$66</definedName>
  </definedNames>
  <calcPr/>
</workbook>
</file>

<file path=xl/sharedStrings.xml><?xml version="1.0" encoding="utf-8"?>
<sst xmlns="http://schemas.openxmlformats.org/spreadsheetml/2006/main" count="85179" uniqueCount="26900">
  <si>
    <t>Área</t>
  </si>
  <si>
    <t>Sistema</t>
  </si>
  <si>
    <t>Tipo</t>
  </si>
  <si>
    <t>TAG</t>
  </si>
  <si>
    <t>Descrição</t>
  </si>
  <si>
    <t>(PC) Etapa</t>
  </si>
  <si>
    <t>(PC) Pergunta 01</t>
  </si>
  <si>
    <t>(PC) Pergunta 01 [Monitoramento]</t>
  </si>
  <si>
    <t>(PC) Pergunta 02</t>
  </si>
  <si>
    <t>(PC) Pergunta 02 [Monitoramento]</t>
  </si>
  <si>
    <t>(PC) Pergunta 03</t>
  </si>
  <si>
    <t>(PC) Pergunta 03 [Monitoramento]</t>
  </si>
  <si>
    <t>(PC) Pergunta 04</t>
  </si>
  <si>
    <t>(PC) Pergunta 04 [Monitoramento]</t>
  </si>
  <si>
    <t>(PC) Pergunta 05</t>
  </si>
  <si>
    <t>(PC) Pergunta 05 [Monitoramento]</t>
  </si>
  <si>
    <t>(PC) Pergunta 06</t>
  </si>
  <si>
    <t>(PC) Pergunta 06 [Monitoramento]</t>
  </si>
  <si>
    <t>(PC) Pergunta 07</t>
  </si>
  <si>
    <t>(PC) Pergunta 07 [Monitoramento]</t>
  </si>
  <si>
    <t>(PC) Pergunta 08</t>
  </si>
  <si>
    <t>(PC) Pergunta 08 [Monitoramento]</t>
  </si>
  <si>
    <t>(PC) Pergunta 09</t>
  </si>
  <si>
    <t>(PC) Pergunta 09 [Monitoramento]</t>
  </si>
  <si>
    <t>(PC) Pergunta 10</t>
  </si>
  <si>
    <t>(PC) Pergunta 10 [Monitoramento]</t>
  </si>
  <si>
    <t>(PC) Pergunta 11</t>
  </si>
  <si>
    <t>(PC) Pergunta 11 [Monitoramento]</t>
  </si>
  <si>
    <t>(PC) Pergunta 12</t>
  </si>
  <si>
    <t>(PC) Pergunta 12 [Monitoramento]</t>
  </si>
  <si>
    <t>(PC) Pergunta 13</t>
  </si>
  <si>
    <t>(PC) Pergunta 13 [Monitoramento]</t>
  </si>
  <si>
    <t>(PC) Pergunta 14</t>
  </si>
  <si>
    <t>(PC) Pergunta 14 [Monitoramento]</t>
  </si>
  <si>
    <t>(PC) Pergunta 15</t>
  </si>
  <si>
    <t>(PC) Pergunta 15 [Monitoramento]</t>
  </si>
  <si>
    <t>(PC) Pergunta 16</t>
  </si>
  <si>
    <t>(PC) Pergunta 16 [Monitoramento]</t>
  </si>
  <si>
    <t>(PC) Pergunta 17</t>
  </si>
  <si>
    <t>(PC) Pergunta 17 [Monitoramento]</t>
  </si>
  <si>
    <t>(PC) Pergunta 18</t>
  </si>
  <si>
    <t>(PC) Pergunta 18 [Monitoramento]</t>
  </si>
  <si>
    <t>(PC) Pergunta 19</t>
  </si>
  <si>
    <t>(PC) Pergunta 19 [Monitoramento]</t>
  </si>
  <si>
    <t>(PC) Pergunta 20</t>
  </si>
  <si>
    <t>(PC) Pergunta 20 [Monitoramento]</t>
  </si>
  <si>
    <t>(PC) Pergunta 21</t>
  </si>
  <si>
    <t>(PC) Pergunta 21 [Monitoramento]</t>
  </si>
  <si>
    <t>(PC) Pergunta 22</t>
  </si>
  <si>
    <t>(PC) Pergunta 22 [Monitoramento]</t>
  </si>
  <si>
    <t>(PC) Pergunta 23</t>
  </si>
  <si>
    <t>(PC) Pergunta 23 [Monitoramento]</t>
  </si>
  <si>
    <t>(PC) Pergunta 24</t>
  </si>
  <si>
    <t>(PC) Pergunta 24 [Monitoramento]</t>
  </si>
  <si>
    <t>(PC) Pergunta 25</t>
  </si>
  <si>
    <t>(PC) Pergunta 25 [Monitoramento]</t>
  </si>
  <si>
    <t>(PC) Pergunta 26</t>
  </si>
  <si>
    <t>(PC) Pergunta 26 [Monitoramento]</t>
  </si>
  <si>
    <t>(PC) Pergunta 27</t>
  </si>
  <si>
    <t>(PC) Pergunta 27 [Monitoramento]</t>
  </si>
  <si>
    <t>(PC) Pergunta 28</t>
  </si>
  <si>
    <t>(PC) Pergunta 28 [Monitoramento]</t>
  </si>
  <si>
    <t>(PC) Pergunta 29</t>
  </si>
  <si>
    <t>(PC) Pergunta 29 [Monitoramento]</t>
  </si>
  <si>
    <t>(PC) Pergunta 30</t>
  </si>
  <si>
    <t>(PC) Pergunta 30 [Monitoramento]</t>
  </si>
  <si>
    <t>(PC) Não Conformidade ?</t>
  </si>
  <si>
    <t>(PC) Status Mecânica</t>
  </si>
  <si>
    <t>(PC) Mecânica Concluída:</t>
  </si>
  <si>
    <t>(PC) Status Elétrica</t>
  </si>
  <si>
    <t>(PC) Elétrica Concluída:</t>
  </si>
  <si>
    <t>(PC) Status Checklist</t>
  </si>
  <si>
    <t>(PC) Checklist Concluído:</t>
  </si>
  <si>
    <t>(CE) Etapa</t>
  </si>
  <si>
    <t>(CE) Pergunta 01</t>
  </si>
  <si>
    <t>(CE) Pergunta 01 [Monitoramento]</t>
  </si>
  <si>
    <t>(CE) Pergunta 02</t>
  </si>
  <si>
    <t>(CE) Pergunta 02 [Monitoramento]</t>
  </si>
  <si>
    <t>(CE) Pergunta 03</t>
  </si>
  <si>
    <t>(CE) Pergunta 03 [Monitoramento]</t>
  </si>
  <si>
    <t>(CE) Pergunta 04</t>
  </si>
  <si>
    <t>(CE) Pergunta 04 [Monitoramento]</t>
  </si>
  <si>
    <t>(CE) Pergunta 05</t>
  </si>
  <si>
    <t>(CE) Pergunta 05 [Monitoramento]</t>
  </si>
  <si>
    <t>(CE) Pergunta 06</t>
  </si>
  <si>
    <t>(CE) Pergunta 06 [Monitoramento]</t>
  </si>
  <si>
    <t>(CE) Pergunta 07</t>
  </si>
  <si>
    <t>(CE) Pergunta 07 [Monitoramento]</t>
  </si>
  <si>
    <t>(CE) Pergunta 08</t>
  </si>
  <si>
    <t>(CE) Pergunta 08 [Monitoramento]</t>
  </si>
  <si>
    <t>(CE) Pergunta 09</t>
  </si>
  <si>
    <t>(CE) Pergunta 09 [Monitoramento]</t>
  </si>
  <si>
    <t>(CE) Pergunta 10</t>
  </si>
  <si>
    <t>(CE) Pergunta 10 [Monitoramento]</t>
  </si>
  <si>
    <t>(CE) Pergunta 11</t>
  </si>
  <si>
    <t>(CE) Pergunta 11 [Monitoramento]</t>
  </si>
  <si>
    <t>(CE) Pergunta 12</t>
  </si>
  <si>
    <t>(CE) Pergunta 12 [Monitoramento]</t>
  </si>
  <si>
    <t>(CE) Pergunta 13</t>
  </si>
  <si>
    <t>(CE) Pergunta 13 [Monitoramento]</t>
  </si>
  <si>
    <t>(CE) Pergunta 14</t>
  </si>
  <si>
    <t>(CE) Pergunta 14 [Monitoramento]</t>
  </si>
  <si>
    <t>(CE) Pergunta 15</t>
  </si>
  <si>
    <t>(CE) Pergunta 15 [Monitoramento]</t>
  </si>
  <si>
    <t>(CE) Não Conformidade ?</t>
  </si>
  <si>
    <t>(CE) Status Mecânica</t>
  </si>
  <si>
    <t>(CE) Mecânica Concluída:</t>
  </si>
  <si>
    <t>(CE) Status Elétrica</t>
  </si>
  <si>
    <t>(CE) Elétrica Concluída:</t>
  </si>
  <si>
    <t>(CE) Status Checklist</t>
  </si>
  <si>
    <t>(CE) Checklist Concluído:</t>
  </si>
  <si>
    <t>(DF) Etapa</t>
  </si>
  <si>
    <t>(DF) Pergunta 01</t>
  </si>
  <si>
    <t>(DF) Pergunta 01 [Monitoramento]</t>
  </si>
  <si>
    <t>(DF) Pergunta 02</t>
  </si>
  <si>
    <t>(DF) Pergunta 02 [Monitoramento]</t>
  </si>
  <si>
    <t>(DF) Pergunta 03</t>
  </si>
  <si>
    <t>(DF) Pergunta 03 [Monitoramento]</t>
  </si>
  <si>
    <t>(DF) Pergunta 04</t>
  </si>
  <si>
    <t>(DF) Pergunta 04 [Monitoramento]</t>
  </si>
  <si>
    <t>(DF) Pergunta 05</t>
  </si>
  <si>
    <t>(DF) Pergunta 05 [Monitoramento]</t>
  </si>
  <si>
    <t>(DF) Pergunta 06</t>
  </si>
  <si>
    <t>(DF) Pergunta 06 [Monitoramento]</t>
  </si>
  <si>
    <t>(DF) Pergunta 07</t>
  </si>
  <si>
    <t>(DF) Pergunta 07 [Monitoramento]</t>
  </si>
  <si>
    <t>(DF) Pergunta 08</t>
  </si>
  <si>
    <t>(DF) Pergunta 08 [Monitoramento]</t>
  </si>
  <si>
    <t>(DF) Pergunta 09</t>
  </si>
  <si>
    <t>(DF) Pergunta 09 [Monitoramento]</t>
  </si>
  <si>
    <t>(DF) Pergunta 10</t>
  </si>
  <si>
    <t>(DF) Pergunta 10 [Monitoramento]</t>
  </si>
  <si>
    <t>(DF) Não Conformidade ?</t>
  </si>
  <si>
    <t>(DF) Status Checklist</t>
  </si>
  <si>
    <t>(DF) Checklist Concluído:</t>
  </si>
  <si>
    <t>(DQ) Etapa</t>
  </si>
  <si>
    <t>(DQ) Pergunta 01</t>
  </si>
  <si>
    <t>(DQ) Pergunta 01 [Monitoramento]</t>
  </si>
  <si>
    <t>(DQ) Pergunta 02</t>
  </si>
  <si>
    <t>(DQ) Pergunta 02 [Monitoramento]</t>
  </si>
  <si>
    <t>(DQ) Pergunta 03</t>
  </si>
  <si>
    <t>(DQ) Pergunta 03 [Monitoramento]</t>
  </si>
  <si>
    <t>(DQ) Pergunta 04</t>
  </si>
  <si>
    <t>(DQ) Pergunta 04 [Monitoramento]</t>
  </si>
  <si>
    <t>(DQ) Pergunta 05</t>
  </si>
  <si>
    <t>(DQ) Pergunta 05 [Monitoramento]</t>
  </si>
  <si>
    <t>(DQ) Pergunta 06</t>
  </si>
  <si>
    <t>(DQ) Pergunta 06 [Monitoramento]</t>
  </si>
  <si>
    <t>(DQ) Pergunta 07</t>
  </si>
  <si>
    <t>(DQ) Pergunta 07 [Monitoramento]</t>
  </si>
  <si>
    <t>(DQ) Pergunta 08</t>
  </si>
  <si>
    <t>(DQ) Pergunta 08 [Monitoramento]</t>
  </si>
  <si>
    <t>(DQ) Pergunta 09</t>
  </si>
  <si>
    <t>(DQ) Pergunta 09 [Monitoramento]</t>
  </si>
  <si>
    <t>(DQ) Pergunta 10</t>
  </si>
  <si>
    <t>(DQ) Pergunta 10 [Monitoramento]</t>
  </si>
  <si>
    <t>(DQ) Pergunta 11</t>
  </si>
  <si>
    <t>(DQ) Pergunta 11 [Monitoramento]</t>
  </si>
  <si>
    <t>(DQ) Não Conformidade ?</t>
  </si>
  <si>
    <t>(DQ) Status Checklist</t>
  </si>
  <si>
    <t>(DQ) Checklist Concluído:</t>
  </si>
  <si>
    <t>Observação:</t>
  </si>
  <si>
    <t>Observação Registrada em:</t>
  </si>
  <si>
    <t>Tem Observação?</t>
  </si>
  <si>
    <t>Status do Questionário</t>
  </si>
  <si>
    <t>Status do Questionário Concluído:</t>
  </si>
  <si>
    <t>Última atualização:</t>
  </si>
  <si>
    <t>Imagem do Equipamento:</t>
  </si>
  <si>
    <t>Imagem do Equipamento Registrada em:</t>
  </si>
  <si>
    <t>Imagem da Plaqueta do Motor:</t>
  </si>
  <si>
    <t>Imagem da Plaqueta do Motor Registrada em:</t>
  </si>
  <si>
    <t>Imagem (Display)</t>
  </si>
  <si>
    <t>Imagem Indisponível</t>
  </si>
  <si>
    <t>Imagem Indisponível [Monitoramento]</t>
  </si>
  <si>
    <t xml:space="preserve">10&amp;20 R.P.E </t>
  </si>
  <si>
    <t>Hilo</t>
  </si>
  <si>
    <t>Motor e Bomba</t>
  </si>
  <si>
    <t xml:space="preserve">MOTOR DE ACIONAMENTO HILO </t>
  </si>
  <si>
    <t>Pré-Comissionamento</t>
  </si>
  <si>
    <t>Conforme</t>
  </si>
  <si>
    <t>Paula Caroline Morais Duarte - 05/02/2025 11:55:19</t>
  </si>
  <si>
    <t>Paula Caroline Morais Duarte - 05/02/2025 11:55:22</t>
  </si>
  <si>
    <t>Alisson Airton Sobrinho - 11/02/2025 14:06:13</t>
  </si>
  <si>
    <t>Alisson Airton Sobrinho - 11/02/2025 14:06:15</t>
  </si>
  <si>
    <t>Alisson Airton Sobrinho - 11/02/2025 14:06:17</t>
  </si>
  <si>
    <t>Alisson Airton Sobrinho - 11/02/2025 14:06:18</t>
  </si>
  <si>
    <t>Alisson Airton Sobrinho - 11/02/2025 14:06:19</t>
  </si>
  <si>
    <t>Alisson Airton Sobrinho - 11/02/2025 14:06:20</t>
  </si>
  <si>
    <t>Não Aplicável</t>
  </si>
  <si>
    <t>Alisson Airton Sobrinho - 11/02/2025 14:06:24</t>
  </si>
  <si>
    <t>Alisson Airton Sobrinho - 11/02/2025 14:06:23</t>
  </si>
  <si>
    <t>Paula Caroline Morais Duarte - 05/02/2025 11:56:28</t>
  </si>
  <si>
    <t>Paula Caroline Morais Duarte - 05/02/2025 11:56:31</t>
  </si>
  <si>
    <t>Paula Caroline Morais Duarte - 05/02/2025 11:56:32</t>
  </si>
  <si>
    <t>Paula Caroline Morais Duarte - 05/02/2025 11:56:39</t>
  </si>
  <si>
    <t>Paula Caroline Morais Duarte - 05/02/2025 11:56:41</t>
  </si>
  <si>
    <t>Paula Caroline Morais Duarte - 05/02/2025 11:56:44</t>
  </si>
  <si>
    <t>Não</t>
  </si>
  <si>
    <t>Sim</t>
  </si>
  <si>
    <t>Comissionamento Estático</t>
  </si>
  <si>
    <t>Alisson Airton Sobrinho - 07/03/2025 06:23:44</t>
  </si>
  <si>
    <t>Alisson Airton Sobrinho - 07/03/2025 06:23:46</t>
  </si>
  <si>
    <t>Alisson Airton Sobrinho - 07/03/2025 06:23:47</t>
  </si>
  <si>
    <t>Alisson Airton Sobrinho - 07/03/2025 06:23:48</t>
  </si>
  <si>
    <t>Alisson Airton Sobrinho - 07/03/2025 06:23:49</t>
  </si>
  <si>
    <t>Dinâmico Frio</t>
  </si>
  <si>
    <t>Alisson Airton Sobrinho - 07/03/2025 06:23:52</t>
  </si>
  <si>
    <t>Alisson Airton Sobrinho - 07/03/2025 06:23:56</t>
  </si>
  <si>
    <t>Alisson Airton Sobrinho - 07/03/2025 06:23:57</t>
  </si>
  <si>
    <t>Dinâmico Quente</t>
  </si>
  <si>
    <t>Alisson Airton Sobrinho - 07/03/2025 06:24:01</t>
  </si>
  <si>
    <t>Alisson Airton Sobrinho - 07/03/2025 06:24:03</t>
  </si>
  <si>
    <t>Alisson Airton Sobrinho - 07/03/2025 06:24:04</t>
  </si>
  <si>
    <t>Alisson Airton Sobrinho - 07/03/2025 06:24:05</t>
  </si>
  <si>
    <t>Feito</t>
  </si>
  <si>
    <t>Registro Impossibilitado</t>
  </si>
  <si>
    <t>Paula Caroline Morais Duarte - 02/03/2025 08:26:51</t>
  </si>
  <si>
    <t>40 - Fábrica De Açúcar</t>
  </si>
  <si>
    <t>Centifuga Kont 12 Nº2</t>
  </si>
  <si>
    <t>Válvula Pneumatica</t>
  </si>
  <si>
    <t>ACVCC4002</t>
  </si>
  <si>
    <t>Válvula Entrada Massa Centrífuga Kont12 2</t>
  </si>
  <si>
    <t>Alisson Airton Sobrinho - 03/03/2025 13:50:27</t>
  </si>
  <si>
    <t>Alisson Airton Sobrinho - 03/03/2025 13:50:29</t>
  </si>
  <si>
    <t>Alisson Airton Sobrinho - 03/03/2025 13:50:30</t>
  </si>
  <si>
    <t>Alisson Airton Sobrinho - 03/03/2025 13:50:32</t>
  </si>
  <si>
    <t>Alisson Airton Sobrinho - 03/03/2025 13:50:33</t>
  </si>
  <si>
    <t>Alisson Airton Sobrinho - 03/03/2025 13:50:35</t>
  </si>
  <si>
    <t>Não Aplica</t>
  </si>
  <si>
    <t>Alisson Airton Sobrinho - 03/03/2025 13:50:38</t>
  </si>
  <si>
    <t>Alisson Airton Sobrinho - 03/03/2025 13:50:39</t>
  </si>
  <si>
    <t>Alisson Airton Sobrinho - 03/03/2025 13:50:43</t>
  </si>
  <si>
    <t>Alisson Airton Sobrinho - 10/03/2025 11:06:07</t>
  </si>
  <si>
    <t>Alisson Airton Sobrinho - 03/03/2025 13:50:22</t>
  </si>
  <si>
    <t>60 - Fermentação</t>
  </si>
  <si>
    <t>Centrifuga 01</t>
  </si>
  <si>
    <t>ACVCF6501</t>
  </si>
  <si>
    <t>Válvula Entrada Vinho Centrífuga 1</t>
  </si>
  <si>
    <t>Weslley Ferreira Cooper - 30/01/2025 08:48:47</t>
  </si>
  <si>
    <t>Weslley Ferreira Cooper - 30/01/2025 08:48:46</t>
  </si>
  <si>
    <t>Weslley Ferreira Cooper - 30/01/2025 08:48:45</t>
  </si>
  <si>
    <t>Weslley Ferreira Cooper - 30/01/2025 08:48:51</t>
  </si>
  <si>
    <t>Weslley Ferreira Cooper - 30/01/2025 08:48:50</t>
  </si>
  <si>
    <t>Libner Ferreira De Morais - 07/02/2025 13:39:51</t>
  </si>
  <si>
    <t>Libner Ferreira De Morais - 07/02/2025 13:39:52</t>
  </si>
  <si>
    <t>Rafael Roldão Rodrigues - 04/03/2025 14:48:59</t>
  </si>
  <si>
    <t>Alisson Airton Sobrinho - 06/03/2025 14:53:57</t>
  </si>
  <si>
    <t>Base de Dados_Images/ACVCF6501.Imagem do Equipamento-.125453.jpg</t>
  </si>
  <si>
    <t>Weslley Ferreira Cooper - 30/01/2025 08:48:42</t>
  </si>
  <si>
    <t>Centrifuga 02</t>
  </si>
  <si>
    <t>ACVCF6502</t>
  </si>
  <si>
    <t>Válvula Entrada Vinho Centrífuga 2</t>
  </si>
  <si>
    <t>Weslley Ferreira Cooper - 30/01/2025 08:54:31</t>
  </si>
  <si>
    <t>Weslley Ferreira Cooper - 30/01/2025 08:54:30</t>
  </si>
  <si>
    <t>Weslley Ferreira Cooper - 30/01/2025 08:54:28</t>
  </si>
  <si>
    <t>Weslley Ferreira Cooper - 30/01/2025 08:54:27</t>
  </si>
  <si>
    <t>Weslley Ferreira Cooper - 30/01/2025 08:54:26</t>
  </si>
  <si>
    <t>Libner Ferreira De Morais - 07/02/2025 13:40:11</t>
  </si>
  <si>
    <t>Libner Ferreira De Morais - 07/02/2025 13:40:10</t>
  </si>
  <si>
    <t>Alisson Airton Sobrinho - 10/03/2025 11:24:48</t>
  </si>
  <si>
    <t>Alisson Airton Sobrinho - 10/03/2025 11:24:52</t>
  </si>
  <si>
    <t>Base de Dados_Images/ACVCF6502.Imagem do Equipamento-.125916.jpg</t>
  </si>
  <si>
    <t>Weslley Ferreira Cooper - 30/01/2025 08:54:21</t>
  </si>
  <si>
    <t>Centrifuga 03</t>
  </si>
  <si>
    <t>ACVCF6503</t>
  </si>
  <si>
    <t>Válvula Entrada Vinho Centrífuga 3</t>
  </si>
  <si>
    <t>Weslley Ferreira Cooper - 30/01/2025 08:55:24</t>
  </si>
  <si>
    <t>Weslley Ferreira Cooper - 30/01/2025 08:55:23</t>
  </si>
  <si>
    <t>Weslley Ferreira Cooper - 30/01/2025 08:55:28</t>
  </si>
  <si>
    <t>Weslley Ferreira Cooper - 30/01/2025 08:55:27</t>
  </si>
  <si>
    <t>Libner Ferreira De Morais - 07/02/2025 13:40:27</t>
  </si>
  <si>
    <t>Libner Ferreira De Morais - 07/02/2025 13:40:25</t>
  </si>
  <si>
    <t>Beatriz Alves Nunes de Paulo - 06/03/2025 09:17:30</t>
  </si>
  <si>
    <t>Beatriz Alves Nunes de Paulo - 06/03/2025 09:17:33</t>
  </si>
  <si>
    <t>Base de Dados_Images/ACVCF6503.Imagem do Equipamento-.130030.jpg</t>
  </si>
  <si>
    <t>Weslley Ferreira Cooper - 30/01/2025 08:55:18</t>
  </si>
  <si>
    <t>Centrifuga 04</t>
  </si>
  <si>
    <t>ACVCF6504</t>
  </si>
  <si>
    <t>Válvula Entrada Vinho Centrífuga 4</t>
  </si>
  <si>
    <t>Weslley Ferreira Cooper - 30/01/2025 09:00:18</t>
  </si>
  <si>
    <t>Weslley Ferreira Cooper - 30/01/2025 09:00:17</t>
  </si>
  <si>
    <t>Weslley Ferreira Cooper - 30/01/2025 09:00:16</t>
  </si>
  <si>
    <t>Weslley Ferreira Cooper - 30/01/2025 09:00:15</t>
  </si>
  <si>
    <t>Weslley Ferreira Cooper - 30/01/2025 09:00:13</t>
  </si>
  <si>
    <t>Weslley Ferreira Cooper - 30/01/2025 09:00:12</t>
  </si>
  <si>
    <t>Weslley Ferreira Cooper - 30/01/2025 09:00:11</t>
  </si>
  <si>
    <t>Libner Ferreira De Morais - 07/02/2025 13:40:44</t>
  </si>
  <si>
    <t>Libner Ferreira De Morais - 07/02/2025 13:40:43</t>
  </si>
  <si>
    <t>Beatriz Alves Nunes de Paulo - 06/03/2025 09:17:55</t>
  </si>
  <si>
    <t>Beatriz Alves Nunes de Paulo - 06/03/2025 09:17:58</t>
  </si>
  <si>
    <t>Base de Dados_Images/ACVCF6504.Imagem do Equipamento-.130452.jpg</t>
  </si>
  <si>
    <t>Weslley Ferreira Cooper - 30/01/2025 09:00:06</t>
  </si>
  <si>
    <t>30 - Tratamento</t>
  </si>
  <si>
    <t>Tanque Lodo (Tq 102)</t>
  </si>
  <si>
    <t>Agitador</t>
  </si>
  <si>
    <t>AG3008</t>
  </si>
  <si>
    <t>Agitador Do Tanque De Lodo</t>
  </si>
  <si>
    <t>Beatriz Alves Nunes de Paulo - 28/01/2025 11:35:48</t>
  </si>
  <si>
    <t>Beatriz Alves Nunes de Paulo - 28/01/2025 11:35:49</t>
  </si>
  <si>
    <t>Beatriz Alves Nunes de Paulo - 28/01/2025 11:35:55</t>
  </si>
  <si>
    <t>Beatriz Alves Nunes de Paulo - 28/01/2025 11:35:56</t>
  </si>
  <si>
    <t>Beatriz Alves Nunes de Paulo - 28/01/2025 11:35:59</t>
  </si>
  <si>
    <t>Beatriz Alves Nunes de Paulo - 28/01/2025 11:36:02</t>
  </si>
  <si>
    <t>Beatriz Alves Nunes de Paulo - 28/01/2025 11:36:07</t>
  </si>
  <si>
    <t>Beatriz Alves Nunes de Paulo - 28/01/2025 11:36:13</t>
  </si>
  <si>
    <t>Beatriz Alves Nunes de Paulo - 28/01/2025 11:36:12</t>
  </si>
  <si>
    <t>Beatriz Alves Nunes de Paulo - 28/01/2025 11:36:15</t>
  </si>
  <si>
    <t>Beatriz Alves Nunes de Paulo - 28/01/2025 11:36:19</t>
  </si>
  <si>
    <t>Beatriz Alves Nunes de Paulo - 28/01/2025 11:36:24</t>
  </si>
  <si>
    <t>Beatriz Alves Nunes de Paulo - 28/01/2025 11:36:21</t>
  </si>
  <si>
    <t>Alisson Airton Sobrinho - 04/03/2025 13:25:13</t>
  </si>
  <si>
    <t>Alisson Airton Sobrinho - 04/03/2025 13:25:14</t>
  </si>
  <si>
    <t>Alisson Airton Sobrinho - 04/03/2025 13:25:18</t>
  </si>
  <si>
    <t>Alisson Airton Sobrinho - 04/03/2025 13:25:16</t>
  </si>
  <si>
    <t>Alisson Airton Sobrinho - 04/03/2025 13:25:23</t>
  </si>
  <si>
    <t>Alisson Airton Sobrinho - 04/03/2025 13:25:26</t>
  </si>
  <si>
    <t>Alisson Airton Sobrinho - 04/03/2025 13:25:24</t>
  </si>
  <si>
    <t>Alisson Airton Sobrinho - 04/03/2025 13:25:28</t>
  </si>
  <si>
    <t>Alisson Airton Sobrinho - 07/03/2025 07:19:41</t>
  </si>
  <si>
    <t>Alisson Airton Sobrinho - 07/03/2025 07:19:42</t>
  </si>
  <si>
    <t>Alisson Airton Sobrinho - 07/03/2025 07:19:43</t>
  </si>
  <si>
    <t>Alisson Airton Sobrinho - 07/03/2025 07:19:45</t>
  </si>
  <si>
    <t>Base de Dados_Images/AG3008.Imagem do Equipamento-.170350.jpg</t>
  </si>
  <si>
    <t>Beatriz Alves Nunes de Paulo - 28/01/2025 11:35:33</t>
  </si>
  <si>
    <t>Controlador</t>
  </si>
  <si>
    <t>AIC CF6501</t>
  </si>
  <si>
    <t>Controle De Carga Da Centrifuga 01</t>
  </si>
  <si>
    <t>Libner Ferreira De Morais - 06/02/2025 13:38:24</t>
  </si>
  <si>
    <t>Libner Ferreira De Morais - 06/02/2025 13:38:25</t>
  </si>
  <si>
    <t>Alisson Airton Sobrinho - 07/03/2025 07:28:55</t>
  </si>
  <si>
    <t>Alisson Airton Sobrinho - 07/03/2025 07:28:56</t>
  </si>
  <si>
    <t>Base de Dados_Images/AIC CF6501.Imagem do Equipamento-.163826.jpg</t>
  </si>
  <si>
    <t>Libner Ferreira De Morais - 06/02/2025 13:38:20</t>
  </si>
  <si>
    <t>AIC CF6502</t>
  </si>
  <si>
    <t>Controle De Carga Da Centrifuga 02</t>
  </si>
  <si>
    <t>Libner Ferreira De Morais - 06/02/2025 13:37:29</t>
  </si>
  <si>
    <t>Libner Ferreira De Morais - 06/02/2025 13:37:30</t>
  </si>
  <si>
    <t>Alisson Airton Sobrinho - 10/03/2025 11:24:57</t>
  </si>
  <si>
    <t>Alisson Airton Sobrinho - 10/03/2025 11:24:58</t>
  </si>
  <si>
    <t>Base de Dados_Images/AIC CF6502.Imagem do Equipamento-.163645.jpg</t>
  </si>
  <si>
    <t>Libner Ferreira De Morais - 06/02/2025 13:36:23</t>
  </si>
  <si>
    <t>AIC CF6503</t>
  </si>
  <si>
    <t>Controle De Carga Da Centrifuga 03</t>
  </si>
  <si>
    <t>Libner Ferreira De Morais - 06/02/2025 13:37:12</t>
  </si>
  <si>
    <t>Libner Ferreira De Morais - 06/02/2025 13:37:14</t>
  </si>
  <si>
    <t>Beatriz Alves Nunes de Paulo - 06/03/2025 09:17:08</t>
  </si>
  <si>
    <t>Beatriz Alves Nunes de Paulo - 06/03/2025 09:17:09</t>
  </si>
  <si>
    <t>Base de Dados_Images/AIC CF6503.Imagem do Equipamento-.163708.jpg</t>
  </si>
  <si>
    <t>Libner Ferreira De Morais - 06/02/2025 13:37:03</t>
  </si>
  <si>
    <t>AIC CF6504</t>
  </si>
  <si>
    <t>Controle De Carga Da Centrifuga 04</t>
  </si>
  <si>
    <t>Libner Ferreira De Morais - 06/02/2025 09:01:25</t>
  </si>
  <si>
    <t>Libner Ferreira De Morais - 06/02/2025 09:01:27</t>
  </si>
  <si>
    <t>Beatriz Alves Nunes de Paulo - 06/03/2025 09:17:41</t>
  </si>
  <si>
    <t>Beatriz Alves Nunes de Paulo - 06/03/2025 09:17:42</t>
  </si>
  <si>
    <t>Base de Dados_Images/AIC CF6504.Imagem do Equipamento-.181653.jpg</t>
  </si>
  <si>
    <t>Libner Ferreira De Morais - 05/02/2025 15:16:47</t>
  </si>
  <si>
    <t>70 - Geração De Vapor</t>
  </si>
  <si>
    <t>Caldeira</t>
  </si>
  <si>
    <t>AIC81016</t>
  </si>
  <si>
    <t>Controle De Ph Da Agua Do Balão</t>
  </si>
  <si>
    <t>Paula Caroline Morais Duarte - 18/02/2025 09:30:32</t>
  </si>
  <si>
    <t>Paula Caroline Morais Duarte - 18/02/2025 09:30:33</t>
  </si>
  <si>
    <t>Paula Caroline Morais Duarte - 18/02/2025 09:30:37</t>
  </si>
  <si>
    <t>Paula Caroline Morais Duarte - 18/02/2025 09:30:38</t>
  </si>
  <si>
    <t>Paula Caroline Morais Duarte - 02/17/2025 10:43:56</t>
  </si>
  <si>
    <t>Circuito Esteiras (Bagaço)</t>
  </si>
  <si>
    <t>AIC81018</t>
  </si>
  <si>
    <t>Controle De Condutividade Da Agua Do Balão (Desc Continua)</t>
  </si>
  <si>
    <t>Paula Caroline Morais Duarte - 23/02/2025 16:27:58</t>
  </si>
  <si>
    <t>Paula Caroline Morais Duarte - 23/02/2025 16:28:00</t>
  </si>
  <si>
    <t>Paula Caroline Morais Duarte - 25/02/2025 09:23:52</t>
  </si>
  <si>
    <t>Base de Dados_Images/AIC81018.Imagem do Equipamento-.145920.jpg</t>
  </si>
  <si>
    <t>Paula Caroline Morais Duarte - 30/01/2025 10:54:51</t>
  </si>
  <si>
    <t>Tanque Consensado Pre Evaporador 2 Açucar</t>
  </si>
  <si>
    <t>Transmissor</t>
  </si>
  <si>
    <t>AIT35006</t>
  </si>
  <si>
    <t>Condutivimetro Dos Pres 02 E 03 De Açucar</t>
  </si>
  <si>
    <t>Erico Borges De Freitas - 04/02/2025 15:44:02</t>
  </si>
  <si>
    <t>Erico Borges De Freitas - 04/02/2025 15:44:00</t>
  </si>
  <si>
    <t>Erico Borges De Freitas - 04/02/2025 15:43:59</t>
  </si>
  <si>
    <t>Erico Borges De Freitas - 04/02/2025 15:43:58</t>
  </si>
  <si>
    <t>Alisson Airton Sobrinho - 03/03/2025 10:57:58</t>
  </si>
  <si>
    <t>Alisson Airton Sobrinho - 03/03/2025 10:57:59</t>
  </si>
  <si>
    <t>Alisson Airton Sobrinho - 03/03/2025 10:58:00</t>
  </si>
  <si>
    <t>Alisson Airton Sobrinho - 03/03/2025 10:58:18</t>
  </si>
  <si>
    <t>Alisson Airton Sobrinho - 03/03/2025 10:58:19</t>
  </si>
  <si>
    <t>Alisson Airton Sobrinho - 07/03/2025 09:05:44</t>
  </si>
  <si>
    <t>Alisson Airton Sobrinho - 07/03/2025 09:05:43</t>
  </si>
  <si>
    <t>Base de Dados_Images/AIT35006.Imagem do Equipamento-.192301.jpg</t>
  </si>
  <si>
    <t>Paula Caroline Morais Duarte - 04/02/2025 16:22:21</t>
  </si>
  <si>
    <t>Pre Evaporador 1 Alcool / Açucar</t>
  </si>
  <si>
    <t>AIT35007</t>
  </si>
  <si>
    <t>Condutivimetro Dos Pres 01 De Açucar E 02 De Etanol</t>
  </si>
  <si>
    <t>Alisson Airton Sobrinho - 08/02/2025 08:49:44</t>
  </si>
  <si>
    <t>Alisson Airton Sobrinho - 08/02/2025 08:49:45</t>
  </si>
  <si>
    <t>Alisson Airton Sobrinho - 08/02/2025 08:49:46</t>
  </si>
  <si>
    <t>Alisson Airton Sobrinho - 08/02/2025 08:49:50</t>
  </si>
  <si>
    <t>Alisson Airton Sobrinho - 08/02/2025 08:49:54</t>
  </si>
  <si>
    <t>Alisson Airton Sobrinho - 08/02/2025 08:49:55</t>
  </si>
  <si>
    <t>Alisson Airton Sobrinho - 04/03/2025 13:54:07</t>
  </si>
  <si>
    <t>Beatriz Alves Nunes de Paulo - 06/03/2025 08:56:47</t>
  </si>
  <si>
    <t>Beatriz Alves Nunes de Paulo - 06/03/2025 08:56:48</t>
  </si>
  <si>
    <t>Weslley Ferreira Cooper - 01/30/2025 11:26:18</t>
  </si>
  <si>
    <t>AIT81016</t>
  </si>
  <si>
    <t>Ph Da Agua De Alimentação Da Caldeira</t>
  </si>
  <si>
    <t>Paula Caroline Morais Duarte - 05/02/2025 14:27:14</t>
  </si>
  <si>
    <t>Paula Caroline Morais Duarte - 05/02/2025 14:27:15</t>
  </si>
  <si>
    <t>Paula Caroline Morais Duarte - 05/02/2025 14:27:16</t>
  </si>
  <si>
    <t>Paula Caroline Morais Duarte - 05/02/2025 14:27:17</t>
  </si>
  <si>
    <t>Paula Caroline Morais Duarte - 20/02/2025 11:24:45</t>
  </si>
  <si>
    <t>Paula Caroline Morais Duarte - 20/02/2025 11:24:46</t>
  </si>
  <si>
    <t>Paula Caroline Morais Duarte - 20/02/2025 11:24:48</t>
  </si>
  <si>
    <t>Paula Caroline Morais Duarte - 20/02/2025 11:24:52</t>
  </si>
  <si>
    <t>Paula Caroline Morais Duarte - 20/02/2025 11:24:53</t>
  </si>
  <si>
    <t>Paula Caroline Morais Duarte - 25/02/2025 09:15:12</t>
  </si>
  <si>
    <t>Paula Caroline Morais Duarte - 25/02/2025 09:15:13</t>
  </si>
  <si>
    <t>Base de Dados_Images/AIT81016.Imagem do Equipamento-.102716.jpg</t>
  </si>
  <si>
    <t>Paula Caroline Morais Duarte - 06/02/2025 13:51:10</t>
  </si>
  <si>
    <t>Soprador Fuligem</t>
  </si>
  <si>
    <t>AIT81017</t>
  </si>
  <si>
    <t>Ph Da Descarga Continua</t>
  </si>
  <si>
    <t>Paula Caroline Morais Duarte - 03/02/2025 13:46:12</t>
  </si>
  <si>
    <t>Paula Caroline Morais Duarte - 03/02/2025 13:46:15</t>
  </si>
  <si>
    <t>Paula Caroline Morais Duarte - 03/02/2025 13:46:16</t>
  </si>
  <si>
    <t>Paula Caroline Morais Duarte - 11/02/2025 11:54:33</t>
  </si>
  <si>
    <t>Paula Caroline Morais Duarte - 11/02/2025 11:54:35</t>
  </si>
  <si>
    <t>Paula Caroline Morais Duarte - 11/02/2025 11:54:36</t>
  </si>
  <si>
    <t>Paula Caroline Morais Duarte - 20/02/2025 12:41:31</t>
  </si>
  <si>
    <t>Paula Caroline Morais Duarte - 20/02/2025 12:41:34</t>
  </si>
  <si>
    <t>Paula Caroline Morais Duarte - 25/02/2025 09:42:53</t>
  </si>
  <si>
    <t>Paula Caroline Morais Duarte - 25/02/2025 09:42:54</t>
  </si>
  <si>
    <t>Base de Dados_Images/AIT81017.Imagem do Equipamento-.164608.jpg</t>
  </si>
  <si>
    <t>Paula Caroline Morais Duarte - 03/02/2025 13:46:01</t>
  </si>
  <si>
    <t>AIT81018</t>
  </si>
  <si>
    <t>Condutivimetro Da Descarga Continua</t>
  </si>
  <si>
    <t>Paula Caroline Morais Duarte - 31/01/2025 09:32:00</t>
  </si>
  <si>
    <t>Paula Caroline Morais Duarte - 31/01/2025 09:32:02</t>
  </si>
  <si>
    <t>Paula Caroline Morais Duarte - 31/01/2025 09:32:03</t>
  </si>
  <si>
    <t>Paula Caroline Morais Duarte - 31/01/2025 09:32:04</t>
  </si>
  <si>
    <t>Paula Caroline Morais Duarte - 11/02/2025 11:54:43</t>
  </si>
  <si>
    <t>Paula Caroline Morais Duarte - 11/02/2025 11:54:44</t>
  </si>
  <si>
    <t>Paula Caroline Morais Duarte - 11/02/2025 11:54:45</t>
  </si>
  <si>
    <t>Paula Caroline Morais Duarte - 20/02/2025 12:41:44</t>
  </si>
  <si>
    <t>Paula Caroline Morais Duarte - 20/02/2025 12:41:45</t>
  </si>
  <si>
    <t>Paula Caroline Morais Duarte - 25/02/2025 09:43:00</t>
  </si>
  <si>
    <t>Base de Dados_Images/AIT81018.Imagem do Equipamento-.133911.jpg</t>
  </si>
  <si>
    <t>Paula Caroline Morais Duarte - 31/01/2025 09:32:15</t>
  </si>
  <si>
    <t>Turbo Bomba</t>
  </si>
  <si>
    <t>AIT81019</t>
  </si>
  <si>
    <t>Orp Da Agua De Alimentação Da Caldeira</t>
  </si>
  <si>
    <t>Paula Caroline Morais Duarte - 31/01/2025 08:53:59</t>
  </si>
  <si>
    <t>Paula Caroline Morais Duarte - 31/01/2025 08:54:01</t>
  </si>
  <si>
    <t>Paula Caroline Morais Duarte - 31/01/2025 08:54:03</t>
  </si>
  <si>
    <t>Alisson Airton Sobrinho - 07/03/2025 09:29:49</t>
  </si>
  <si>
    <t>Alisson Airton Sobrinho - 07/03/2025 09:29:50</t>
  </si>
  <si>
    <t>Alisson Airton Sobrinho - 07/03/2025 09:29:54</t>
  </si>
  <si>
    <t>Alisson Airton Sobrinho - 07/03/2025 09:29:58</t>
  </si>
  <si>
    <t>Alisson Airton Sobrinho - 07/03/2025 09:29:59</t>
  </si>
  <si>
    <t>Base de Dados_Images/AIT81019.Imagem do Equipamento-.133842.jpg</t>
  </si>
  <si>
    <t>Paula Caroline Morais Duarte - 31/01/2025 09:30:53</t>
  </si>
  <si>
    <t>50 - Armazém De Açúcar</t>
  </si>
  <si>
    <t>Secador Açucar</t>
  </si>
  <si>
    <t>Secador De Açúcar</t>
  </si>
  <si>
    <t>AS4001</t>
  </si>
  <si>
    <t>Secador De Açucar</t>
  </si>
  <si>
    <t>Weslley Ferreira Cooper - 29/01/2025 12:52:47</t>
  </si>
  <si>
    <t>Weslley Ferreira Cooper - 29/01/2025 12:52:46</t>
  </si>
  <si>
    <t>Weslley Ferreira Cooper - 29/01/2025 12:52:44</t>
  </si>
  <si>
    <t>Weslley Ferreira Cooper - 29/01/2025 12:52:43</t>
  </si>
  <si>
    <t>Weslley Ferreira Cooper - 29/01/2025 12:52:41</t>
  </si>
  <si>
    <t>Weslley Ferreira Cooper - 29/01/2025 12:52:40</t>
  </si>
  <si>
    <t>Weslley Ferreira Cooper - 29/01/2025 12:52:37</t>
  </si>
  <si>
    <t>Weslley Ferreira Cooper - 29/01/2025 12:52:36</t>
  </si>
  <si>
    <t>Weslley Ferreira Cooper - 29/01/2025 12:52:34</t>
  </si>
  <si>
    <t>Weslley Ferreira Cooper - 29/01/2025 12:52:33</t>
  </si>
  <si>
    <t>Weslley Ferreira Cooper - 29/01/2025 12:52:32</t>
  </si>
  <si>
    <t>Weslley Ferreira Cooper - 29/01/2025 12:52:29</t>
  </si>
  <si>
    <t>Weslley Ferreira Cooper - 29/01/2025 12:52:28</t>
  </si>
  <si>
    <t>Weslley Ferreira Cooper - 29/01/2025 12:52:27</t>
  </si>
  <si>
    <t>Beatriz Alves Nunes de Paulo - 03/02/2025 15:13:30</t>
  </si>
  <si>
    <t>Beatriz Alves Nunes de Paulo - 03/02/2025 15:13:31</t>
  </si>
  <si>
    <t>Beatriz Alves Nunes de Paulo - 03/02/2025 15:13:33</t>
  </si>
  <si>
    <t>Beatriz Alves Nunes de Paulo - 03/02/2025 15:13:34</t>
  </si>
  <si>
    <t>Beatriz Alves Nunes de Paulo - 03/02/2025 15:13:40</t>
  </si>
  <si>
    <t>Beatriz Alves Nunes de Paulo - 03/02/2025 15:13:41</t>
  </si>
  <si>
    <t>Beatriz Alves Nunes de Paulo - 03/02/2025 15:13:43</t>
  </si>
  <si>
    <t>Beatriz Alves Nunes de Paulo - 03/02/2025 15:13:44</t>
  </si>
  <si>
    <t>Alisson Airton Sobrinho - 07/03/2025 08:37:57</t>
  </si>
  <si>
    <t>Alisson Airton Sobrinho - 07/03/2025 08:37:58</t>
  </si>
  <si>
    <t>Alisson Airton Sobrinho - 07/03/2025 08:38:01</t>
  </si>
  <si>
    <t>Base de Dados_Images/AS4001.Imagem do Equipamento-.172336.jpg</t>
  </si>
  <si>
    <t>Weslley Ferreira Cooper - 29/01/2025 12:52:20</t>
  </si>
  <si>
    <t>Tanque Caldo Misto Preparo</t>
  </si>
  <si>
    <t>Tanque</t>
  </si>
  <si>
    <t>BC 3024</t>
  </si>
  <si>
    <t>Bomba</t>
  </si>
  <si>
    <t>Adriel da Silva Queiroz - 06/02/2025 11:48:18</t>
  </si>
  <si>
    <t>Adriel da Silva Queiroz - 06/02/2025 11:49:13</t>
  </si>
  <si>
    <t>Adriel da Silva Queiroz - 06/02/2025 11:48:19</t>
  </si>
  <si>
    <t>Adriel da Silva Queiroz - 06/02/2025 11:49:00</t>
  </si>
  <si>
    <t>Adriel da Silva Queiroz - 06/02/2025 11:48:22</t>
  </si>
  <si>
    <t>Adriel da Silva Queiroz - 06/02/2025 11:49:43</t>
  </si>
  <si>
    <t>Adriel da Silva Queiroz - 06/02/2025 11:49:53</t>
  </si>
  <si>
    <t>Adriel da Silva Queiroz - 06/02/2025 11:49:56</t>
  </si>
  <si>
    <t>Adriel da Silva Queiroz - 06/02/2025 11:50:06</t>
  </si>
  <si>
    <t>Beatriz Alves Nunes de Paulo - 06/03/2025 08:37:08</t>
  </si>
  <si>
    <t>Alisson Airton Sobrinho - 07/03/2025 07:07:25</t>
  </si>
  <si>
    <t>Alisson Airton Sobrinho - 07/03/2025 07:07:27</t>
  </si>
  <si>
    <t>Alisson Airton Sobrinho - 07/03/2025 07:07:29</t>
  </si>
  <si>
    <t>Adriel da Silva Queiroz - 02/06/2025 11:48:13</t>
  </si>
  <si>
    <t>Linha C02</t>
  </si>
  <si>
    <t>Motor E Bomba</t>
  </si>
  <si>
    <t>BC 6502_</t>
  </si>
  <si>
    <t>Bomba coluna lavagem CO2</t>
  </si>
  <si>
    <t>Alisson Airton Sobrinho - 01/02/2025 08:33:25</t>
  </si>
  <si>
    <t>Alisson Airton Sobrinho - 01/02/2025 08:33:30</t>
  </si>
  <si>
    <t>Alisson Airton Sobrinho - 01/02/2025 08:33:32</t>
  </si>
  <si>
    <t>Alisson Airton Sobrinho - 01/02/2025 08:33:35</t>
  </si>
  <si>
    <t>Alisson Airton Sobrinho - 01/02/2025 08:33:36</t>
  </si>
  <si>
    <t>Alisson Airton Sobrinho - 01/02/2025 08:33:39</t>
  </si>
  <si>
    <t>Alisson Airton Sobrinho - 01/02/2025 08:33:41</t>
  </si>
  <si>
    <t>Alisson Airton Sobrinho - 01/02/2025 08:33:51</t>
  </si>
  <si>
    <t>Alisson Airton Sobrinho - 01/02/2025 08:33:53</t>
  </si>
  <si>
    <t>Alisson Airton Sobrinho - 01/02/2025 08:33:58</t>
  </si>
  <si>
    <t>Alisson Airton Sobrinho - 01/02/2025 08:34:08</t>
  </si>
  <si>
    <t>Alisson Airton Sobrinho - 01/02/2025 08:34:12</t>
  </si>
  <si>
    <t>Alisson Airton Sobrinho - 01/02/2025 08:34:15</t>
  </si>
  <si>
    <t>Alisson Airton Sobrinho - 01/02/2025 08:34:21</t>
  </si>
  <si>
    <t>Alisson Airton Sobrinho - 01/02/2025 08:34:25</t>
  </si>
  <si>
    <t>Alisson Airton Sobrinho - 01/02/2025 08:34:30</t>
  </si>
  <si>
    <t>Alisson Airton Sobrinho - 01/02/2025 08:35:52</t>
  </si>
  <si>
    <t>Alisson Airton Sobrinho - 01/02/2025 08:35:21</t>
  </si>
  <si>
    <t>Alisson Airton Sobrinho - 01/02/2025 08:35:34</t>
  </si>
  <si>
    <t>Alisson Airton Sobrinho - 01/02/2025 08:36:09</t>
  </si>
  <si>
    <t>Alisson Airton Sobrinho - 01/02/2025 08:36:01</t>
  </si>
  <si>
    <t>Alisson Airton Sobrinho - 04/02/2025 15:16:42</t>
  </si>
  <si>
    <t>Alisson Airton Sobrinho - 04/02/2025 15:16:43</t>
  </si>
  <si>
    <t>Alisson Airton Sobrinho - 04/02/2025 15:16:45</t>
  </si>
  <si>
    <t>Alisson Airton Sobrinho - 04/02/2025 15:16:47</t>
  </si>
  <si>
    <t>Alisson Airton Sobrinho - 04/03/2025 08:32:16</t>
  </si>
  <si>
    <t>Alisson Airton Sobrinho - 04/03/2025 08:32:17</t>
  </si>
  <si>
    <t>Alisson Airton Sobrinho - 04/03/2025 08:32:19</t>
  </si>
  <si>
    <t>Base de Dados_Images/BC 6502_.Imagem do Equipamento-.113720.jpg</t>
  </si>
  <si>
    <t>Alisson Airton Sobrinho - 01/02/2025 08:37:17</t>
  </si>
  <si>
    <t>Base de Dados_Images/BC 6502_.Imagem da Plaqueta do Motor-.113300.jpg</t>
  </si>
  <si>
    <t>Alisson Airton Sobrinho - 01/02/2025 08:32:55</t>
  </si>
  <si>
    <t>60 - Destilaria</t>
  </si>
  <si>
    <t>Coluna B</t>
  </si>
  <si>
    <t>BC 7107 BOMBA ETANOL DE 2° P/ VOLANTE</t>
  </si>
  <si>
    <t>Weslley Ferreira Cooper - 31/01/2025 15:39:34</t>
  </si>
  <si>
    <t>Weslley Ferreira Cooper - 31/01/2025 15:39:33</t>
  </si>
  <si>
    <t>Weslley Ferreira Cooper - 31/01/2025 15:39:31</t>
  </si>
  <si>
    <t>Weslley Ferreira Cooper - 31/01/2025 15:39:30</t>
  </si>
  <si>
    <t>Weslley Ferreira Cooper - 31/01/2025 15:39:29</t>
  </si>
  <si>
    <t>Weslley Ferreira Cooper - 31/01/2025 15:39:28</t>
  </si>
  <si>
    <t>Weslley Ferreira Cooper - 31/01/2025 15:39:24</t>
  </si>
  <si>
    <t>Weslley Ferreira Cooper - 31/01/2025 15:39:23</t>
  </si>
  <si>
    <t>Weslley Ferreira Cooper - 31/01/2025 15:39:22</t>
  </si>
  <si>
    <t>Weslley Ferreira Cooper - 31/01/2025 15:39:21</t>
  </si>
  <si>
    <t>Weslley Ferreira Cooper - 31/01/2025 15:39:18</t>
  </si>
  <si>
    <t>Weslley Ferreira Cooper - 31/01/2025 15:39:17</t>
  </si>
  <si>
    <t>Weslley Ferreira Cooper - 31/01/2025 15:39:15</t>
  </si>
  <si>
    <t>Weslley Ferreira Cooper - 31/01/2025 15:39:14</t>
  </si>
  <si>
    <t>Weslley Ferreira Cooper - 31/01/2025 15:39:12</t>
  </si>
  <si>
    <t>Weslley Ferreira Cooper - 31/01/2025 15:39:11</t>
  </si>
  <si>
    <t>Alisson Airton Sobrinho - 01/02/2025 09:46:42</t>
  </si>
  <si>
    <t>Alisson Airton Sobrinho - 01/02/2025 09:46:43</t>
  </si>
  <si>
    <t>Alisson Airton Sobrinho - 01/02/2025 09:46:44</t>
  </si>
  <si>
    <t>Alisson Airton Sobrinho - 04/02/2025 15:23:44</t>
  </si>
  <si>
    <t>Alisson Airton Sobrinho - 04/02/2025 15:23:45</t>
  </si>
  <si>
    <t>Alisson Airton Sobrinho - 01/02/2025 09:46:46</t>
  </si>
  <si>
    <t>Beatriz Alves Nunes de Paulo - 06/03/2025 09:10:44</t>
  </si>
  <si>
    <t>Beatriz Alves Nunes de Paulo - 06/03/2025 09:10:45</t>
  </si>
  <si>
    <t>Beatriz Alves Nunes de Paulo - 06/03/2025 09:10:47</t>
  </si>
  <si>
    <t>Alisson Airton Sobrinho - 06/03/2025 14:42:21</t>
  </si>
  <si>
    <t>Alisson Airton Sobrinho - 06/03/2025 14:42:22</t>
  </si>
  <si>
    <t>Alisson Airton Sobrinho - 06/03/2025 14:42:28</t>
  </si>
  <si>
    <t>Alisson Airton Sobrinho - 06/03/2025 14:42:30</t>
  </si>
  <si>
    <t>Base de Dados_Images/BC 7107 BOMBA ETANOL DE 2° P- VOLANTE.Imagem do Equipamento-.183910.jpg</t>
  </si>
  <si>
    <t>Weslley Ferreira Cooper - 31/01/2025 15:39:02</t>
  </si>
  <si>
    <t>3º Terno</t>
  </si>
  <si>
    <t>BC2101</t>
  </si>
  <si>
    <t>Bomba De Embebicao Do Terceiro Terno</t>
  </si>
  <si>
    <t>Paula Caroline Morais Duarte - 29/01/2025 09:08:17</t>
  </si>
  <si>
    <t>Paula Caroline Morais Duarte - 29/01/2025 09:08:18</t>
  </si>
  <si>
    <t>Paula Caroline Morais Duarte - 29/01/2025 09:08:25</t>
  </si>
  <si>
    <t>Paula Caroline Morais Duarte - 29/01/2025 09:08:27</t>
  </si>
  <si>
    <t>Paula Caroline Morais Duarte - 29/01/2025 09:08:29</t>
  </si>
  <si>
    <t>Paula Caroline Morais Duarte - 29/01/2025 09:08:31</t>
  </si>
  <si>
    <t>Paula Caroline Morais Duarte - 29/01/2025 09:08:33</t>
  </si>
  <si>
    <t>Paula Caroline Morais Duarte - 29/01/2025 09:08:35</t>
  </si>
  <si>
    <t>Paula Caroline Morais Duarte - 29/01/2025 09:08:38</t>
  </si>
  <si>
    <t>Paula Caroline Morais Duarte - 29/01/2025 09:08:40</t>
  </si>
  <si>
    <t>Paula Caroline Morais Duarte - 29/01/2025 09:08:46</t>
  </si>
  <si>
    <t>Paula Caroline Morais Duarte - 29/01/2025 09:08:43</t>
  </si>
  <si>
    <t>Paula Caroline Morais Duarte - 29/01/2025 09:08:48</t>
  </si>
  <si>
    <t>Paula Caroline Morais Duarte - 29/01/2025 09:08:52</t>
  </si>
  <si>
    <t>Paula Caroline Morais Duarte - 29/01/2025 09:08:54</t>
  </si>
  <si>
    <t>Paula Caroline Morais Duarte - 29/01/2025 09:08:57</t>
  </si>
  <si>
    <t>Beatriz Alves Nunes de Paulo - 06/03/2025 08:15:43</t>
  </si>
  <si>
    <t>Beatriz Alves Nunes de Paulo - 06/03/2025 08:15:44</t>
  </si>
  <si>
    <t>Beatriz Alves Nunes de Paulo - 06/03/2025 08:15:45</t>
  </si>
  <si>
    <t>Beatriz Alves Nunes de Paulo - 06/03/2025 08:15:51</t>
  </si>
  <si>
    <t>Beatriz Alves Nunes de Paulo - 06/03/2025 08:15:50</t>
  </si>
  <si>
    <t>Beatriz Alves Nunes de Paulo - 06/03/2025 08:15:52</t>
  </si>
  <si>
    <t>Beatriz Alves Nunes de Paulo - 06/03/2025 08:16:14</t>
  </si>
  <si>
    <t>Beatriz Alves Nunes de Paulo - 06/03/2025 08:16:15</t>
  </si>
  <si>
    <t>Beatriz Alves Nunes de Paulo - 06/03/2025 08:16:16</t>
  </si>
  <si>
    <t>Beatriz Alves Nunes de Paulo - 06/03/2025 08:16:17</t>
  </si>
  <si>
    <t>Alisson Airton Sobrinho - 07/03/2025 07:40:31</t>
  </si>
  <si>
    <t>Alisson Airton Sobrinho - 07/03/2025 07:40:32</t>
  </si>
  <si>
    <t>Alisson Airton Sobrinho - 07/03/2025 07:40:33</t>
  </si>
  <si>
    <t>Base de Dados_Images/BC2101.Imagem do Equipamento-.131245.jpg</t>
  </si>
  <si>
    <t>Paula Caroline Morais Duarte - 29/01/2025 09:07:35</t>
  </si>
  <si>
    <t>Base de Dados_Images/BC2101.Imagem da Plaqueta do Motor-.131245.jpg</t>
  </si>
  <si>
    <t>Paula Caroline Morais Duarte - 29/01/2025 09:08:00</t>
  </si>
  <si>
    <t>4º Terno</t>
  </si>
  <si>
    <t>BC2102</t>
  </si>
  <si>
    <t>Bomba De Embebicao Do Quarto Terno</t>
  </si>
  <si>
    <t>Paula Caroline Morais Duarte - 29/01/2025 09:10:05</t>
  </si>
  <si>
    <t>Paula Caroline Morais Duarte - 29/01/2025 09:10:07</t>
  </si>
  <si>
    <t>Paula Caroline Morais Duarte - 29/01/2025 09:10:11</t>
  </si>
  <si>
    <t>Paula Caroline Morais Duarte - 29/01/2025 09:10:13</t>
  </si>
  <si>
    <t>Paula Caroline Morais Duarte - 29/01/2025 09:10:20</t>
  </si>
  <si>
    <t>Paula Caroline Morais Duarte - 29/01/2025 09:10:22</t>
  </si>
  <si>
    <t>Paula Caroline Morais Duarte - 29/01/2025 09:10:23</t>
  </si>
  <si>
    <t>Paula Caroline Morais Duarte - 29/01/2025 09:10:25</t>
  </si>
  <si>
    <t>Paula Caroline Morais Duarte - 29/01/2025 09:10:27</t>
  </si>
  <si>
    <t>Paula Caroline Morais Duarte - 29/01/2025 09:10:36</t>
  </si>
  <si>
    <t>Paula Caroline Morais Duarte - 29/01/2025 09:10:38</t>
  </si>
  <si>
    <t>Paula Caroline Morais Duarte - 29/01/2025 09:10:43</t>
  </si>
  <si>
    <t>Paula Caroline Morais Duarte - 29/01/2025 09:10:51</t>
  </si>
  <si>
    <t>Paula Caroline Morais Duarte - 29/01/2025 09:10:53</t>
  </si>
  <si>
    <t>Paula Caroline Morais Duarte - 29/01/2025 09:10:56</t>
  </si>
  <si>
    <t>Paula Caroline Morais Duarte - 29/01/2025 09:10:58</t>
  </si>
  <si>
    <t>Beatriz Alves Nunes de Paulo - 06/03/2025 08:16:51</t>
  </si>
  <si>
    <t>Beatriz Alves Nunes de Paulo - 06/03/2025 08:16:55</t>
  </si>
  <si>
    <t>Beatriz Alves Nunes de Paulo - 06/03/2025 08:16:54</t>
  </si>
  <si>
    <t>Beatriz Alves Nunes de Paulo - 06/03/2025 08:17:04</t>
  </si>
  <si>
    <t>Beatriz Alves Nunes de Paulo - 06/03/2025 08:17:08</t>
  </si>
  <si>
    <t>Beatriz Alves Nunes de Paulo - 06/03/2025 08:17:09</t>
  </si>
  <si>
    <t>Beatriz Alves Nunes de Paulo - 06/03/2025 08:17:10</t>
  </si>
  <si>
    <t>Alisson Airton Sobrinho - 07/03/2025 07:40:42</t>
  </si>
  <si>
    <t>Alisson Airton Sobrinho - 07/03/2025 07:40:43</t>
  </si>
  <si>
    <t>Alisson Airton Sobrinho - 07/03/2025 07:40:44</t>
  </si>
  <si>
    <t>Base de Dados_Images/BC2102.Imagem do Equipamento-.131407.jpg</t>
  </si>
  <si>
    <t>Paula Caroline Morais Duarte - 29/01/2025 09:09:51</t>
  </si>
  <si>
    <t>Base de Dados_Images/BC2102.Imagem da Plaqueta do Motor-.131407.jpg</t>
  </si>
  <si>
    <t>Paula Caroline Morais Duarte - 29/01/2025 09:09:57</t>
  </si>
  <si>
    <t>2º Terno</t>
  </si>
  <si>
    <t>BC2103</t>
  </si>
  <si>
    <t>Bomba De Embebicao Do Segundo Terno</t>
  </si>
  <si>
    <t>Paula Caroline Morais Duarte - 29/01/2025 09:12:58</t>
  </si>
  <si>
    <t>Paula Caroline Morais Duarte - 29/01/2025 09:13:00</t>
  </si>
  <si>
    <t>Paula Caroline Morais Duarte - 29/01/2025 09:13:02</t>
  </si>
  <si>
    <t>Paula Caroline Morais Duarte - 29/01/2025 09:13:04</t>
  </si>
  <si>
    <t>Paula Caroline Morais Duarte - 29/01/2025 09:13:09</t>
  </si>
  <si>
    <t>Paula Caroline Morais Duarte - 29/01/2025 09:13:11</t>
  </si>
  <si>
    <t>Paula Caroline Morais Duarte - 29/01/2025 09:13:14</t>
  </si>
  <si>
    <t>Paula Caroline Morais Duarte - 29/01/2025 09:13:15</t>
  </si>
  <si>
    <t>Paula Caroline Morais Duarte - 29/01/2025 09:13:17</t>
  </si>
  <si>
    <t>Paula Caroline Morais Duarte - 29/01/2025 09:13:20</t>
  </si>
  <si>
    <t>Paula Caroline Morais Duarte - 29/01/2025 09:13:22</t>
  </si>
  <si>
    <t>Paula Caroline Morais Duarte - 29/01/2025 09:13:24</t>
  </si>
  <si>
    <t>Paula Caroline Morais Duarte - 29/01/2025 09:13:26</t>
  </si>
  <si>
    <t>Paula Caroline Morais Duarte - 29/01/2025 09:13:29</t>
  </si>
  <si>
    <t>Paula Caroline Morais Duarte - 29/01/2025 09:13:32</t>
  </si>
  <si>
    <t>Paula Caroline Morais Duarte - 29/01/2025 09:13:34</t>
  </si>
  <si>
    <t>Beatriz Alves Nunes de Paulo - 06/03/2025 08:17:40</t>
  </si>
  <si>
    <t>Beatriz Alves Nunes de Paulo - 06/03/2025 08:17:42</t>
  </si>
  <si>
    <t>Beatriz Alves Nunes de Paulo - 06/03/2025 08:17:45</t>
  </si>
  <si>
    <t>Beatriz Alves Nunes de Paulo - 06/03/2025 08:17:49</t>
  </si>
  <si>
    <t>Beatriz Alves Nunes de Paulo - 06/03/2025 08:17:50</t>
  </si>
  <si>
    <t>Beatriz Alves Nunes de Paulo - 06/03/2025 08:17:53</t>
  </si>
  <si>
    <t>Alisson Airton Sobrinho - 07/03/2025 07:40:19</t>
  </si>
  <si>
    <t>Alisson Airton Sobrinho - 07/03/2025 07:40:21</t>
  </si>
  <si>
    <t>Alisson Airton Sobrinho - 07/03/2025 07:40:22</t>
  </si>
  <si>
    <t>Base de Dados_Images/BC2103.Imagem do Equipamento-.131509.jpg</t>
  </si>
  <si>
    <t>Paula Caroline Morais Duarte - 29/01/2025 09:12:03</t>
  </si>
  <si>
    <t>Base de Dados_Images/BC2103.Imagem da Plaqueta do Motor-.131510.jpg</t>
  </si>
  <si>
    <t>Paula Caroline Morais Duarte - 29/01/2025 09:12:31</t>
  </si>
  <si>
    <t>5º Terno</t>
  </si>
  <si>
    <t>BC2104</t>
  </si>
  <si>
    <t>Bomba De Embebicao Do Quinto Terno</t>
  </si>
  <si>
    <t>Paula Caroline Morais Duarte - 29/01/2025 09:15:28</t>
  </si>
  <si>
    <t>Paula Caroline Morais Duarte - 29/01/2025 09:15:30</t>
  </si>
  <si>
    <t>Paula Caroline Morais Duarte - 29/01/2025 09:15:32</t>
  </si>
  <si>
    <t>Paula Caroline Morais Duarte - 29/01/2025 09:15:33</t>
  </si>
  <si>
    <t>Paula Caroline Morais Duarte - 29/01/2025 09:15:36</t>
  </si>
  <si>
    <t>Paula Caroline Morais Duarte - 29/01/2025 09:15:38</t>
  </si>
  <si>
    <t>Paula Caroline Morais Duarte - 29/01/2025 09:15:40</t>
  </si>
  <si>
    <t>Paula Caroline Morais Duarte - 29/01/2025 09:15:42</t>
  </si>
  <si>
    <t>Paula Caroline Morais Duarte - 29/01/2025 09:15:45</t>
  </si>
  <si>
    <t>Paula Caroline Morais Duarte - 29/01/2025 09:15:44</t>
  </si>
  <si>
    <t>Paula Caroline Morais Duarte - 29/01/2025 09:15:48</t>
  </si>
  <si>
    <t>Paula Caroline Morais Duarte - 29/01/2025 09:15:50</t>
  </si>
  <si>
    <t>Paula Caroline Morais Duarte - 29/01/2025 09:15:53</t>
  </si>
  <si>
    <t>Paula Caroline Morais Duarte - 29/01/2025 09:15:54</t>
  </si>
  <si>
    <t>Paula Caroline Morais Duarte - 29/01/2025 09:16:03</t>
  </si>
  <si>
    <t>Paula Caroline Morais Duarte - 29/01/2025 09:16:01</t>
  </si>
  <si>
    <t>Beatriz Alves Nunes de Paulo - 06/03/2025 08:18:15</t>
  </si>
  <si>
    <t>Beatriz Alves Nunes de Paulo - 06/03/2025 08:18:16</t>
  </si>
  <si>
    <t>Beatriz Alves Nunes de Paulo - 06/03/2025 08:18:17</t>
  </si>
  <si>
    <t>Beatriz Alves Nunes de Paulo - 06/03/2025 08:18:18</t>
  </si>
  <si>
    <t>Beatriz Alves Nunes de Paulo - 06/03/2025 08:18:19</t>
  </si>
  <si>
    <t>Beatriz Alves Nunes de Paulo - 06/03/2025 08:18:29</t>
  </si>
  <si>
    <t>Beatriz Alves Nunes de Paulo - 06/03/2025 08:18:30</t>
  </si>
  <si>
    <t>Beatriz Alves Nunes de Paulo - 06/03/2025 08:18:31</t>
  </si>
  <si>
    <t>Alisson Airton Sobrinho - 07/03/2025 07:40:54</t>
  </si>
  <si>
    <t>Alisson Airton Sobrinho - 07/03/2025 07:40:55</t>
  </si>
  <si>
    <t>Alisson Airton Sobrinho - 07/03/2025 07:40:56</t>
  </si>
  <si>
    <t>Base de Dados_Images/BC2104.Imagem do Equipamento-.131624.jpg</t>
  </si>
  <si>
    <t>Paula Caroline Morais Duarte - 29/01/2025 09:14:01</t>
  </si>
  <si>
    <t>Base de Dados_Images/BC2104.Imagem da Plaqueta do Motor-.131624.jpg</t>
  </si>
  <si>
    <t>Paula Caroline Morais Duarte - 29/01/2025 09:14:10</t>
  </si>
  <si>
    <t>Sem Localização Definida</t>
  </si>
  <si>
    <t>BC2105</t>
  </si>
  <si>
    <t>Bomba De Agua Limpeza Da Moenda</t>
  </si>
  <si>
    <t>Paula Caroline Morais Duarte - 29/01/2025 09:06:10</t>
  </si>
  <si>
    <t>Paula Caroline Morais Duarte - 29/01/2025 09:06:11</t>
  </si>
  <si>
    <t>Paula Caroline Morais Duarte - 29/01/2025 09:06:13</t>
  </si>
  <si>
    <t>Paula Caroline Morais Duarte - 29/01/2025 09:06:21</t>
  </si>
  <si>
    <t>Paula Caroline Morais Duarte - 29/01/2025 09:06:23</t>
  </si>
  <si>
    <t>Paula Caroline Morais Duarte - 29/01/2025 09:06:25</t>
  </si>
  <si>
    <t>Paula Caroline Morais Duarte - 29/01/2025 09:06:30</t>
  </si>
  <si>
    <t>Paula Caroline Morais Duarte - 29/01/2025 09:06:31</t>
  </si>
  <si>
    <t>Paula Caroline Morais Duarte - 29/01/2025 09:06:35</t>
  </si>
  <si>
    <t>Paula Caroline Morais Duarte - 29/01/2025 09:06:37</t>
  </si>
  <si>
    <t>Paula Caroline Morais Duarte - 29/01/2025 09:06:39</t>
  </si>
  <si>
    <t>Paula Caroline Morais Duarte - 29/01/2025 09:06:46</t>
  </si>
  <si>
    <t>Paula Caroline Morais Duarte - 29/01/2025 09:06:44</t>
  </si>
  <si>
    <t>Paula Caroline Morais Duarte - 29/01/2025 09:06:55</t>
  </si>
  <si>
    <t>Paula Caroline Morais Duarte - 29/01/2025 09:06:53</t>
  </si>
  <si>
    <t>Paula Caroline Morais Duarte - 29/01/2025 09:06:51</t>
  </si>
  <si>
    <t>Paula Caroline Morais Duarte - 20/02/2025 09:02:48</t>
  </si>
  <si>
    <t>Paula Caroline Morais Duarte - 20/02/2025 09:02:49</t>
  </si>
  <si>
    <t>Paula Caroline Morais Duarte - 20/02/2025 09:02:51</t>
  </si>
  <si>
    <t>Paula Caroline Morais Duarte - 20/02/2025 09:02:52</t>
  </si>
  <si>
    <t>Paula Caroline Morais Duarte - 20/02/2025 09:02:53</t>
  </si>
  <si>
    <t>Paula Caroline Morais Duarte - 20/02/2025 09:02:54</t>
  </si>
  <si>
    <t>Paula Caroline Morais Duarte - 20/02/2025 09:02:59</t>
  </si>
  <si>
    <t>Paula Caroline Morais Duarte - 20/02/2025 09:03:00</t>
  </si>
  <si>
    <t>Paula Caroline Morais Duarte - 20/02/2025 09:03:01</t>
  </si>
  <si>
    <t>Paula Caroline Morais Duarte - 20/02/2025 09:03:02</t>
  </si>
  <si>
    <t>Paula Caroline Morais Duarte - 20/02/2025 09:03:07</t>
  </si>
  <si>
    <t>Paula Caroline Morais Duarte - 20/02/2025 09:03:08</t>
  </si>
  <si>
    <t>Paula Caroline Morais Duarte - 20/02/2025 09:03:09</t>
  </si>
  <si>
    <t>Paula Caroline Morais Duarte - 20/02/2025 09:03:10</t>
  </si>
  <si>
    <t>Base de Dados_Images/BC2105.Imagem do Equipamento-.131135.jpg</t>
  </si>
  <si>
    <t>Paula Caroline Morais Duarte - 29/01/2025 09:05:51</t>
  </si>
  <si>
    <t>Base de Dados_Images/BC2105.Imagem da Plaqueta do Motor-.131135.jpg</t>
  </si>
  <si>
    <t>Paula Caroline Morais Duarte - 29/01/2025 09:06:04</t>
  </si>
  <si>
    <t>Tanque Caldo Misto</t>
  </si>
  <si>
    <t>BC2106</t>
  </si>
  <si>
    <t>Bomba 01 De Caldo Misto Para A Peneira</t>
  </si>
  <si>
    <t>Paula Caroline Morais Duarte - 29/01/2025 09:04:09</t>
  </si>
  <si>
    <t>Paula Caroline Morais Duarte - 29/01/2025 09:04:11</t>
  </si>
  <si>
    <t>Paula Caroline Morais Duarte - 29/01/2025 09:04:13</t>
  </si>
  <si>
    <t>Paula Caroline Morais Duarte - 29/01/2025 09:04:15</t>
  </si>
  <si>
    <t>Paula Caroline Morais Duarte - 29/01/2025 09:04:17</t>
  </si>
  <si>
    <t>Paula Caroline Morais Duarte - 29/01/2025 09:04:19</t>
  </si>
  <si>
    <t>Paula Caroline Morais Duarte - 29/01/2025 09:04:20</t>
  </si>
  <si>
    <t>Paula Caroline Morais Duarte - 29/01/2025 09:04:24</t>
  </si>
  <si>
    <t>Paula Caroline Morais Duarte - 29/01/2025 09:04:27</t>
  </si>
  <si>
    <t>Paula Caroline Morais Duarte - 29/01/2025 09:04:29</t>
  </si>
  <si>
    <t>Paula Caroline Morais Duarte - 29/01/2025 09:04:32</t>
  </si>
  <si>
    <t>Paula Caroline Morais Duarte - 29/01/2025 09:04:35</t>
  </si>
  <si>
    <t>Paula Caroline Morais Duarte - 29/01/2025 09:04:37</t>
  </si>
  <si>
    <t>Paula Caroline Morais Duarte - 29/01/2025 09:04:39</t>
  </si>
  <si>
    <t>Paula Caroline Morais Duarte - 29/01/2025 09:04:41</t>
  </si>
  <si>
    <t>Paula Caroline Morais Duarte - 29/01/2025 09:04:43</t>
  </si>
  <si>
    <t>Alisson Airton Sobrinho - 05/03/2025 09:11:21</t>
  </si>
  <si>
    <t>Alisson Airton Sobrinho - 05/03/2025 09:11:22</t>
  </si>
  <si>
    <t>Alisson Airton Sobrinho - 05/03/2025 09:11:25</t>
  </si>
  <si>
    <t>Alisson Airton Sobrinho - 05/03/2025 09:11:23</t>
  </si>
  <si>
    <t>Alisson Airton Sobrinho - 05/03/2025 09:11:27</t>
  </si>
  <si>
    <t>Alisson Airton Sobrinho - 05/03/2025 09:11:33</t>
  </si>
  <si>
    <t>Alisson Airton Sobrinho - 05/03/2025 09:11:34</t>
  </si>
  <si>
    <t>Alisson Airton Sobrinho - 05/03/2025 09:11:35</t>
  </si>
  <si>
    <t>Alisson Airton Sobrinho - 05/03/2025 09:11:36</t>
  </si>
  <si>
    <t>Alisson Airton Sobrinho - 07/03/2025 06:28:16</t>
  </si>
  <si>
    <t>Alisson Airton Sobrinho - 07/03/2025 06:28:17</t>
  </si>
  <si>
    <t>Alisson Airton Sobrinho - 07/03/2025 06:28:23</t>
  </si>
  <si>
    <t>Alisson Airton Sobrinho - 07/03/2025 06:28:25</t>
  </si>
  <si>
    <t>Base de Dados_Images/BC2106.Imagem do Equipamento-.131026.jpg</t>
  </si>
  <si>
    <t>Paula Caroline Morais Duarte - 29/01/2025 09:03:35</t>
  </si>
  <si>
    <t>Base de Dados_Images/BC2106.Imagem da Plaqueta do Motor-.131026.jpg</t>
  </si>
  <si>
    <t>Paula Caroline Morais Duarte - 29/01/2025 09:03:50</t>
  </si>
  <si>
    <t>BC2107</t>
  </si>
  <si>
    <t>Bomba 02 De Caldo Misto Para A Peneira</t>
  </si>
  <si>
    <t>Paula Caroline Morais Duarte - 29/01/2025 09:02:14</t>
  </si>
  <si>
    <t>Paula Caroline Morais Duarte - 29/01/2025 09:02:16</t>
  </si>
  <si>
    <t>Paula Caroline Morais Duarte - 29/01/2025 09:02:21</t>
  </si>
  <si>
    <t>Paula Caroline Morais Duarte - 29/01/2025 09:02:23</t>
  </si>
  <si>
    <t>Paula Caroline Morais Duarte - 29/01/2025 09:02:25</t>
  </si>
  <si>
    <t>Paula Caroline Morais Duarte - 29/01/2025 09:02:38</t>
  </si>
  <si>
    <t>Paula Caroline Morais Duarte - 29/01/2025 09:02:29</t>
  </si>
  <si>
    <t>Paula Caroline Morais Duarte - 29/01/2025 09:02:43</t>
  </si>
  <si>
    <t>Paula Caroline Morais Duarte - 29/01/2025 09:02:46</t>
  </si>
  <si>
    <t>Paula Caroline Morais Duarte - 29/01/2025 09:02:48</t>
  </si>
  <si>
    <t>Paula Caroline Morais Duarte - 29/01/2025 09:02:54</t>
  </si>
  <si>
    <t>Paula Caroline Morais Duarte - 29/01/2025 09:02:56</t>
  </si>
  <si>
    <t>Paula Caroline Morais Duarte - 29/01/2025 09:03:02</t>
  </si>
  <si>
    <t>Paula Caroline Morais Duarte - 29/01/2025 09:03:08</t>
  </si>
  <si>
    <t>Paula Caroline Morais Duarte - 29/01/2025 09:03:10</t>
  </si>
  <si>
    <t>Paula Caroline Morais Duarte - 29/01/2025 09:03:12</t>
  </si>
  <si>
    <t>Alisson Airton Sobrinho - 05/03/2025 09:11:46</t>
  </si>
  <si>
    <t>Alisson Airton Sobrinho - 05/03/2025 09:11:47</t>
  </si>
  <si>
    <t>Alisson Airton Sobrinho - 05/03/2025 09:11:48</t>
  </si>
  <si>
    <t>Alisson Airton Sobrinho - 05/03/2025 09:11:49</t>
  </si>
  <si>
    <t>Alisson Airton Sobrinho - 05/03/2025 09:11:50</t>
  </si>
  <si>
    <t>Alisson Airton Sobrinho - 05/03/2025 09:11:51</t>
  </si>
  <si>
    <t>Beatriz Alves Nunes de Paulo - 06/03/2025 08:19:37</t>
  </si>
  <si>
    <t>Beatriz Alves Nunes de Paulo - 06/03/2025 08:19:38</t>
  </si>
  <si>
    <t>Beatriz Alves Nunes de Paulo - 06/03/2025 08:19:39</t>
  </si>
  <si>
    <t>Beatriz Alves Nunes de Paulo - 06/03/2025 08:19:40</t>
  </si>
  <si>
    <t>Alisson Airton Sobrinho - 07/03/2025 06:28:33</t>
  </si>
  <si>
    <t>Alisson Airton Sobrinho - 07/03/2025 06:28:34</t>
  </si>
  <si>
    <t>Alisson Airton Sobrinho - 07/03/2025 06:28:35</t>
  </si>
  <si>
    <t>Base de Dados_Images/BC2107.Imagem do Equipamento-.130910.jpg</t>
  </si>
  <si>
    <t>Paula Caroline Morais Duarte - 29/01/2025 09:01:37</t>
  </si>
  <si>
    <t>Base de Dados_Images/BC2107.Imagem da Plaqueta do Motor-.130910.jpg</t>
  </si>
  <si>
    <t>Paula Caroline Morais Duarte - 29/01/2025 09:02:03</t>
  </si>
  <si>
    <t>Tanque Caldo Primario</t>
  </si>
  <si>
    <t>BC2108</t>
  </si>
  <si>
    <t>Bomba 01 De Caldo Misto Para Fabrica</t>
  </si>
  <si>
    <t>Paula Caroline Morais Duarte - 29/01/2025 08:50:48</t>
  </si>
  <si>
    <t>Paula Caroline Morais Duarte - 29/01/2025 08:50:49</t>
  </si>
  <si>
    <t>Paula Caroline Morais Duarte - 29/01/2025 08:50:51</t>
  </si>
  <si>
    <t>Paula Caroline Morais Duarte - 29/01/2025 08:50:53</t>
  </si>
  <si>
    <t>Paula Caroline Morais Duarte - 29/01/2025 08:50:55</t>
  </si>
  <si>
    <t>Paula Caroline Morais Duarte - 29/01/2025 08:51:00</t>
  </si>
  <si>
    <t>Paula Caroline Morais Duarte - 29/01/2025 08:51:02</t>
  </si>
  <si>
    <t>Paula Caroline Morais Duarte - 29/01/2025 08:51:09</t>
  </si>
  <si>
    <t>Paula Caroline Morais Duarte - 29/01/2025 08:51:15</t>
  </si>
  <si>
    <t>Paula Caroline Morais Duarte - 29/01/2025 08:51:16</t>
  </si>
  <si>
    <t>Paula Caroline Morais Duarte - 29/01/2025 08:51:33</t>
  </si>
  <si>
    <t>Paula Caroline Morais Duarte - 29/01/2025 08:51:25</t>
  </si>
  <si>
    <t>Paula Caroline Morais Duarte - 29/01/2025 08:51:37</t>
  </si>
  <si>
    <t>Paula Caroline Morais Duarte - 29/01/2025 08:51:39</t>
  </si>
  <si>
    <t>Paula Caroline Morais Duarte - 29/01/2025 08:51:41</t>
  </si>
  <si>
    <t>Paula Caroline Morais Duarte - 29/01/2025 08:51:49</t>
  </si>
  <si>
    <t>Beatriz Alves Nunes de Paulo - 06/03/2025 08:22:05</t>
  </si>
  <si>
    <t>Beatriz Alves Nunes de Paulo - 06/03/2025 08:22:06</t>
  </si>
  <si>
    <t>Beatriz Alves Nunes de Paulo - 06/03/2025 08:22:07</t>
  </si>
  <si>
    <t>Beatriz Alves Nunes de Paulo - 06/03/2025 08:22:08</t>
  </si>
  <si>
    <t>Beatriz Alves Nunes de Paulo - 06/03/2025 08:22:10</t>
  </si>
  <si>
    <t>Beatriz Alves Nunes de Paulo - 06/03/2025 08:22:09</t>
  </si>
  <si>
    <t>Beatriz Alves Nunes de Paulo - 06/03/2025 08:22:15</t>
  </si>
  <si>
    <t>Beatriz Alves Nunes de Paulo - 06/03/2025 08:22:16</t>
  </si>
  <si>
    <t>Beatriz Alves Nunes de Paulo - 06/03/2025 08:22:17</t>
  </si>
  <si>
    <t>Beatriz Alves Nunes de Paulo - 06/03/2025 08:22:18</t>
  </si>
  <si>
    <t>Alisson Airton Sobrinho - 07/03/2025 06:47:44</t>
  </si>
  <si>
    <t>Alisson Airton Sobrinho - 07/03/2025 06:47:46</t>
  </si>
  <si>
    <t>Base de Dados_Images/BC2108.Imagem do Equipamento-.130058.jpg</t>
  </si>
  <si>
    <t>Paula Caroline Morais Duarte - 29/01/2025 08:50:35</t>
  </si>
  <si>
    <t>Base de Dados_Images/BC2108.Imagem da Plaqueta do Motor-.130057.jpg</t>
  </si>
  <si>
    <t>Paula Caroline Morais Duarte - 29/01/2025 08:50:43</t>
  </si>
  <si>
    <t>BC2109</t>
  </si>
  <si>
    <t>Bomba 02 De Caldo Misto Para Fabrica</t>
  </si>
  <si>
    <t>Paula Caroline Morais Duarte - 29/01/2025 08:49:29</t>
  </si>
  <si>
    <t>Paula Caroline Morais Duarte - 29/01/2025 08:49:31</t>
  </si>
  <si>
    <t>Paula Caroline Morais Duarte - 29/01/2025 08:49:32</t>
  </si>
  <si>
    <t>Paula Caroline Morais Duarte - 29/01/2025 08:49:35</t>
  </si>
  <si>
    <t>Paula Caroline Morais Duarte - 29/01/2025 08:49:36</t>
  </si>
  <si>
    <t>Paula Caroline Morais Duarte - 29/01/2025 08:49:37</t>
  </si>
  <si>
    <t>Paula Caroline Morais Duarte - 29/01/2025 08:49:39</t>
  </si>
  <si>
    <t>Paula Caroline Morais Duarte - 29/01/2025 08:49:50</t>
  </si>
  <si>
    <t>Paula Caroline Morais Duarte - 29/01/2025 08:49:53</t>
  </si>
  <si>
    <t>Paula Caroline Morais Duarte - 29/01/2025 08:49:54</t>
  </si>
  <si>
    <t>Paula Caroline Morais Duarte - 29/01/2025 08:49:56</t>
  </si>
  <si>
    <t>Paula Caroline Morais Duarte - 29/01/2025 08:49:59</t>
  </si>
  <si>
    <t>Paula Caroline Morais Duarte - 29/01/2025 08:49:58</t>
  </si>
  <si>
    <t>Paula Caroline Morais Duarte - 29/01/2025 08:50:01</t>
  </si>
  <si>
    <t>Paula Caroline Morais Duarte - 29/01/2025 08:50:08</t>
  </si>
  <si>
    <t>Beatriz Alves Nunes de Paulo - 06/03/2025 08:22:34</t>
  </si>
  <si>
    <t>Beatriz Alves Nunes de Paulo - 06/03/2025 08:22:35</t>
  </si>
  <si>
    <t>Beatriz Alves Nunes de Paulo - 06/03/2025 08:22:37</t>
  </si>
  <si>
    <t>Beatriz Alves Nunes de Paulo - 06/03/2025 08:22:38</t>
  </si>
  <si>
    <t>Beatriz Alves Nunes de Paulo - 06/03/2025 08:22:42</t>
  </si>
  <si>
    <t>Beatriz Alves Nunes de Paulo - 06/03/2025 08:22:43</t>
  </si>
  <si>
    <t>Beatriz Alves Nunes de Paulo - 06/03/2025 08:22:44</t>
  </si>
  <si>
    <t>Alisson Airton Sobrinho - 07/03/2025 06:47:54</t>
  </si>
  <si>
    <t>Alisson Airton Sobrinho - 07/03/2025 06:47:52</t>
  </si>
  <si>
    <t>Alisson Airton Sobrinho - 07/03/2025 06:47:55</t>
  </si>
  <si>
    <t>Base de Dados_Images/BC2109.Imagem do Equipamento-.125935.jpg</t>
  </si>
  <si>
    <t>Paula Caroline Morais Duarte - 29/01/2025 08:49:10</t>
  </si>
  <si>
    <t>Base de Dados_Images/BC2109.Imagem da Plaqueta do Motor-.125935.jpg</t>
  </si>
  <si>
    <t>Paula Caroline Morais Duarte - 29/01/2025 08:49:20</t>
  </si>
  <si>
    <t>BC2110</t>
  </si>
  <si>
    <t>Bomba 01 De Caldo Misto Para Destilaria</t>
  </si>
  <si>
    <t>Paula Caroline Morais Duarte - 29/01/2025 08:54:12</t>
  </si>
  <si>
    <t>Paula Caroline Morais Duarte - 29/01/2025 08:54:16</t>
  </si>
  <si>
    <t>Paula Caroline Morais Duarte - 29/01/2025 08:54:18</t>
  </si>
  <si>
    <t>Paula Caroline Morais Duarte - 29/01/2025 08:54:21</t>
  </si>
  <si>
    <t>Paula Caroline Morais Duarte - 29/01/2025 08:54:23</t>
  </si>
  <si>
    <t>Paula Caroline Morais Duarte - 29/01/2025 08:54:25</t>
  </si>
  <si>
    <t>Paula Caroline Morais Duarte - 29/01/2025 08:54:28</t>
  </si>
  <si>
    <t>Paula Caroline Morais Duarte - 29/01/2025 08:54:30</t>
  </si>
  <si>
    <t>Paula Caroline Morais Duarte - 29/01/2025 08:54:32</t>
  </si>
  <si>
    <t>Paula Caroline Morais Duarte - 29/01/2025 08:54:34</t>
  </si>
  <si>
    <t>Paula Caroline Morais Duarte - 29/01/2025 08:54:37</t>
  </si>
  <si>
    <t>Paula Caroline Morais Duarte - 29/01/2025 08:54:39</t>
  </si>
  <si>
    <t>Paula Caroline Morais Duarte - 29/01/2025 08:54:42</t>
  </si>
  <si>
    <t>Paula Caroline Morais Duarte - 29/01/2025 08:54:44</t>
  </si>
  <si>
    <t>Paula Caroline Morais Duarte - 29/01/2025 08:54:46</t>
  </si>
  <si>
    <t>Paula Caroline Morais Duarte - 29/01/2025 08:54:49</t>
  </si>
  <si>
    <t>Alisson Airton Sobrinho - 07/03/2025 06:28:41</t>
  </si>
  <si>
    <t>Alisson Airton Sobrinho - 07/03/2025 06:28:42</t>
  </si>
  <si>
    <t>Alisson Airton Sobrinho - 07/03/2025 06:28:45</t>
  </si>
  <si>
    <t>Alisson Airton Sobrinho - 07/03/2025 06:28:44</t>
  </si>
  <si>
    <t>Alisson Airton Sobrinho - 07/03/2025 06:28:47</t>
  </si>
  <si>
    <t>Alisson Airton Sobrinho - 07/03/2025 06:28:51</t>
  </si>
  <si>
    <t>Alisson Airton Sobrinho - 07/03/2025 06:28:53</t>
  </si>
  <si>
    <t>Alisson Airton Sobrinho - 07/03/2025 06:28:54</t>
  </si>
  <si>
    <t>Alisson Airton Sobrinho - 07/03/2025 06:28:55</t>
  </si>
  <si>
    <t>Alisson Airton Sobrinho - 07/03/2025 06:29:01</t>
  </si>
  <si>
    <t>Alisson Airton Sobrinho - 07/03/2025 06:29:02</t>
  </si>
  <si>
    <t>Alisson Airton Sobrinho - 07/03/2025 06:29:04</t>
  </si>
  <si>
    <t>Base de Dados_Images/BC2110.Imagem do Equipamento-.130328.jpg</t>
  </si>
  <si>
    <t>Paula Caroline Morais Duarte - 29/01/2025 08:53:56</t>
  </si>
  <si>
    <t>Base de Dados_Images/BC2110.Imagem da Plaqueta do Motor-.130328.jpg</t>
  </si>
  <si>
    <t>Paula Caroline Morais Duarte - 29/01/2025 08:54:04</t>
  </si>
  <si>
    <t>BC2111</t>
  </si>
  <si>
    <t>Bomba 02 De Caldo Misto Para Destilaria</t>
  </si>
  <si>
    <t>Paula Caroline Morais Duarte - 29/01/2025 08:55:33</t>
  </si>
  <si>
    <t>Paula Caroline Morais Duarte - 29/01/2025 08:55:41</t>
  </si>
  <si>
    <t>Paula Caroline Morais Duarte - 29/01/2025 08:55:44</t>
  </si>
  <si>
    <t>Paula Caroline Morais Duarte - 29/01/2025 08:55:46</t>
  </si>
  <si>
    <t>Paula Caroline Morais Duarte - 29/01/2025 08:55:47</t>
  </si>
  <si>
    <t>Paula Caroline Morais Duarte - 29/01/2025 08:55:50</t>
  </si>
  <si>
    <t>Paula Caroline Morais Duarte - 29/01/2025 08:55:52</t>
  </si>
  <si>
    <t>Paula Caroline Morais Duarte - 29/01/2025 08:55:54</t>
  </si>
  <si>
    <t>Paula Caroline Morais Duarte - 29/01/2025 08:55:56</t>
  </si>
  <si>
    <t>Paula Caroline Morais Duarte - 29/01/2025 08:56:00</t>
  </si>
  <si>
    <t>Paula Caroline Morais Duarte - 29/01/2025 08:56:02</t>
  </si>
  <si>
    <t>Paula Caroline Morais Duarte - 29/01/2025 08:56:05</t>
  </si>
  <si>
    <t>Paula Caroline Morais Duarte - 29/01/2025 08:56:08</t>
  </si>
  <si>
    <t>Paula Caroline Morais Duarte - 29/01/2025 08:56:14</t>
  </si>
  <si>
    <t>Paula Caroline Morais Duarte - 29/01/2025 08:56:16</t>
  </si>
  <si>
    <t>Paula Caroline Morais Duarte - 29/01/2025 08:56:18</t>
  </si>
  <si>
    <t>Alisson Airton Sobrinho - 07/03/2025 06:29:09</t>
  </si>
  <si>
    <t>Alisson Airton Sobrinho - 07/03/2025 06:29:10</t>
  </si>
  <si>
    <t>Alisson Airton Sobrinho - 07/03/2025 06:29:14</t>
  </si>
  <si>
    <t>Alisson Airton Sobrinho - 07/03/2025 06:29:12</t>
  </si>
  <si>
    <t>Alisson Airton Sobrinho - 07/03/2025 06:29:15</t>
  </si>
  <si>
    <t>Alisson Airton Sobrinho - 07/03/2025 06:29:18</t>
  </si>
  <si>
    <t>Alisson Airton Sobrinho - 07/03/2025 06:29:20</t>
  </si>
  <si>
    <t>Alisson Airton Sobrinho - 07/03/2025 06:29:22</t>
  </si>
  <si>
    <t>Alisson Airton Sobrinho - 07/03/2025 06:29:26</t>
  </si>
  <si>
    <t>Alisson Airton Sobrinho - 07/03/2025 06:29:27</t>
  </si>
  <si>
    <t>Alisson Airton Sobrinho - 07/03/2025 06:29:28</t>
  </si>
  <si>
    <t>Base de Dados_Images/BC2111.Imagem do Equipamento-.130515.jpg</t>
  </si>
  <si>
    <t>Paula Caroline Morais Duarte - 29/01/2025 08:55:16</t>
  </si>
  <si>
    <t>Base de Dados_Images/BC2111.Imagem da Plaqueta do Motor-.130515.jpg</t>
  </si>
  <si>
    <t>Paula Caroline Morais Duarte - 29/01/2025 08:55:25</t>
  </si>
  <si>
    <t>BC2112</t>
  </si>
  <si>
    <t>Bomba 01 De Caldo Primario Para A Peneira</t>
  </si>
  <si>
    <t>Paula Caroline Morais Duarte - 29/01/2025 08:57:23</t>
  </si>
  <si>
    <t>Paula Caroline Morais Duarte - 29/01/2025 08:57:25</t>
  </si>
  <si>
    <t>Paula Caroline Morais Duarte - 29/01/2025 08:57:51</t>
  </si>
  <si>
    <t>Paula Caroline Morais Duarte - 29/01/2025 08:58:03</t>
  </si>
  <si>
    <t>Paula Caroline Morais Duarte - 29/01/2025 08:58:04</t>
  </si>
  <si>
    <t>Paula Caroline Morais Duarte - 29/01/2025 08:58:10</t>
  </si>
  <si>
    <t>Paula Caroline Morais Duarte - 29/01/2025 08:58:12</t>
  </si>
  <si>
    <t>Paula Caroline Morais Duarte - 29/01/2025 08:58:21</t>
  </si>
  <si>
    <t>Paula Caroline Morais Duarte - 29/01/2025 08:58:23</t>
  </si>
  <si>
    <t>Paula Caroline Morais Duarte - 29/01/2025 08:58:33</t>
  </si>
  <si>
    <t>Paula Caroline Morais Duarte - 29/01/2025 08:58:25</t>
  </si>
  <si>
    <t>Paula Caroline Morais Duarte - 29/01/2025 08:58:44</t>
  </si>
  <si>
    <t>Paula Caroline Morais Duarte - 29/01/2025 08:58:42</t>
  </si>
  <si>
    <t>Paula Caroline Morais Duarte - 29/01/2025 08:58:40</t>
  </si>
  <si>
    <t>Paula Caroline Morais Duarte - 29/01/2025 08:58:38</t>
  </si>
  <si>
    <t>Paula Caroline Morais Duarte - 29/01/2025 08:58:37</t>
  </si>
  <si>
    <t>Beatriz Alves Nunes de Paulo - 06/03/2025 08:20:19</t>
  </si>
  <si>
    <t>Beatriz Alves Nunes de Paulo - 06/03/2025 08:20:20</t>
  </si>
  <si>
    <t>Beatriz Alves Nunes de Paulo - 06/03/2025 08:20:24</t>
  </si>
  <si>
    <t>Beatriz Alves Nunes de Paulo - 06/03/2025 08:20:23</t>
  </si>
  <si>
    <t>Beatriz Alves Nunes de Paulo - 06/03/2025 08:20:25</t>
  </si>
  <si>
    <t>Beatriz Alves Nunes de Paulo - 06/03/2025 08:20:26</t>
  </si>
  <si>
    <t>Beatriz Alves Nunes de Paulo - 06/03/2025 08:20:30</t>
  </si>
  <si>
    <t>Beatriz Alves Nunes de Paulo - 06/03/2025 08:20:31</t>
  </si>
  <si>
    <t>Beatriz Alves Nunes de Paulo - 06/03/2025 08:20:32</t>
  </si>
  <si>
    <t>Beatriz Alves Nunes de Paulo - 06/03/2025 08:20:33</t>
  </si>
  <si>
    <t>Alisson Airton Sobrinho - 07/03/2025 06:48:02</t>
  </si>
  <si>
    <t>Alisson Airton Sobrinho - 07/03/2025 06:48:01</t>
  </si>
  <si>
    <t>Alisson Airton Sobrinho - 07/03/2025 06:48:03</t>
  </si>
  <si>
    <t>Alisson Airton Sobrinho - 07/03/2025 06:48:04</t>
  </si>
  <si>
    <t>Base de Dados_Images/BC2112.Imagem do Equipamento-.130637.jpg</t>
  </si>
  <si>
    <t>Paula Caroline Morais Duarte - 29/01/2025 08:57:00</t>
  </si>
  <si>
    <t>Base de Dados_Images/BC2112.Imagem da Plaqueta do Motor-.130637.jpg</t>
  </si>
  <si>
    <t>Paula Caroline Morais Duarte - 29/01/2025 08:57:10</t>
  </si>
  <si>
    <t>BC2113</t>
  </si>
  <si>
    <t>Bomba 02 De Caldo Primario Para A Peneira</t>
  </si>
  <si>
    <t>Paula Caroline Morais Duarte - 29/01/2025 08:59:31</t>
  </si>
  <si>
    <t>Paula Caroline Morais Duarte - 29/01/2025 08:59:33</t>
  </si>
  <si>
    <t>Paula Caroline Morais Duarte - 29/01/2025 08:59:35</t>
  </si>
  <si>
    <t>Paula Caroline Morais Duarte - 29/01/2025 08:59:42</t>
  </si>
  <si>
    <t>Paula Caroline Morais Duarte - 29/01/2025 08:59:44</t>
  </si>
  <si>
    <t>Paula Caroline Morais Duarte - 29/01/2025 08:59:46</t>
  </si>
  <si>
    <t>Paula Caroline Morais Duarte - 29/01/2025 08:59:53</t>
  </si>
  <si>
    <t>Paula Caroline Morais Duarte - 29/01/2025 08:59:55</t>
  </si>
  <si>
    <t>Paula Caroline Morais Duarte - 29/01/2025 08:59:57</t>
  </si>
  <si>
    <t>Paula Caroline Morais Duarte - 29/01/2025 09:00:00</t>
  </si>
  <si>
    <t>Paula Caroline Morais Duarte - 29/01/2025 09:00:02</t>
  </si>
  <si>
    <t>Paula Caroline Morais Duarte - 29/01/2025 09:00:04</t>
  </si>
  <si>
    <t>Paula Caroline Morais Duarte - 29/01/2025 09:00:06</t>
  </si>
  <si>
    <t>Paula Caroline Morais Duarte - 29/01/2025 09:00:10</t>
  </si>
  <si>
    <t>Paula Caroline Morais Duarte - 29/01/2025 09:00:12</t>
  </si>
  <si>
    <t>Paula Caroline Morais Duarte - 29/01/2025 09:00:14</t>
  </si>
  <si>
    <t>Beatriz Alves Nunes de Paulo - 06/03/2025 08:20:55</t>
  </si>
  <si>
    <t>Beatriz Alves Nunes de Paulo - 06/03/2025 08:20:56</t>
  </si>
  <si>
    <t>Beatriz Alves Nunes de Paulo - 06/03/2025 08:20:58</t>
  </si>
  <si>
    <t>Beatriz Alves Nunes de Paulo - 06/03/2025 08:20:59</t>
  </si>
  <si>
    <t>Beatriz Alves Nunes de Paulo - 06/03/2025 08:21:08</t>
  </si>
  <si>
    <t>Beatriz Alves Nunes de Paulo - 06/03/2025 08:21:09</t>
  </si>
  <si>
    <t>Beatriz Alves Nunes de Paulo - 06/03/2025 08:21:10</t>
  </si>
  <si>
    <t>Beatriz Alves Nunes de Paulo - 06/03/2025 08:21:11</t>
  </si>
  <si>
    <t>Alisson Airton Sobrinho - 07/03/2025 06:48:10</t>
  </si>
  <si>
    <t>Alisson Airton Sobrinho - 07/03/2025 06:48:09</t>
  </si>
  <si>
    <t>Alisson Airton Sobrinho - 07/03/2025 06:48:11</t>
  </si>
  <si>
    <t>Alisson Airton Sobrinho - 07/03/2025 06:48:12</t>
  </si>
  <si>
    <t>Base de Dados_Images/BC2113.Imagem do Equipamento-.130806.jpg</t>
  </si>
  <si>
    <t>Paula Caroline Morais Duarte - 29/01/2025 08:59:15</t>
  </si>
  <si>
    <t>Base de Dados_Images/BC2113.Imagem da Plaqueta do Motor-.130806.jpg</t>
  </si>
  <si>
    <t>Paula Caroline Morais Duarte - 29/01/2025 08:59:24</t>
  </si>
  <si>
    <t>BC2114</t>
  </si>
  <si>
    <t>Bomba Fazanaro 01</t>
  </si>
  <si>
    <t>Paula Caroline Morais Duarte - 18/02/2025 11:13:05</t>
  </si>
  <si>
    <t>Paula Caroline Morais Duarte - 18/02/2025 11:13:13</t>
  </si>
  <si>
    <t>Paula Caroline Morais Duarte - 18/02/2025 11:13:15</t>
  </si>
  <si>
    <t>Paula Caroline Morais Duarte - 18/02/2025 11:13:17</t>
  </si>
  <si>
    <t>Paula Caroline Morais Duarte - 18/02/2025 11:13:19</t>
  </si>
  <si>
    <t>Paula Caroline Morais Duarte - 18/02/2025 11:13:23</t>
  </si>
  <si>
    <t>Paula Caroline Morais Duarte - 18/02/2025 11:13:24</t>
  </si>
  <si>
    <t>Paula Caroline Morais Duarte - 18/02/2025 11:13:28</t>
  </si>
  <si>
    <t>Paula Caroline Morais Duarte - 18/02/2025 11:13:35</t>
  </si>
  <si>
    <t>Paula Caroline Morais Duarte - 18/02/2025 11:13:43</t>
  </si>
  <si>
    <t>Paula Caroline Morais Duarte - 18/02/2025 11:14:03</t>
  </si>
  <si>
    <t>Paula Caroline Morais Duarte - 18/02/2025 11:14:06</t>
  </si>
  <si>
    <t>Paula Caroline Morais Duarte - 18/02/2025 11:14:23</t>
  </si>
  <si>
    <t>Paula Caroline Morais Duarte - 18/02/2025 11:14:17</t>
  </si>
  <si>
    <t>Paula Caroline Morais Duarte - 18/02/2025 11:14:12</t>
  </si>
  <si>
    <t>Paula Caroline Morais Duarte - 18/02/2025 11:14:28</t>
  </si>
  <si>
    <t>Alisson Airton Sobrinho - 05/03/2025 11:43:01</t>
  </si>
  <si>
    <t>Alisson Airton Sobrinho - 05/03/2025 11:43:03</t>
  </si>
  <si>
    <t>Alisson Airton Sobrinho - 05/03/2025 11:43:06</t>
  </si>
  <si>
    <t>Alisson Airton Sobrinho - 05/03/2025 11:43:08</t>
  </si>
  <si>
    <t>Alisson Airton Sobrinho - 05/03/2025 11:43:09</t>
  </si>
  <si>
    <t>Alisson Airton Sobrinho - 05/03/2025 11:43:10</t>
  </si>
  <si>
    <t>Alisson Airton Sobrinho - 05/03/2025 11:43:14</t>
  </si>
  <si>
    <t>Alisson Airton Sobrinho - 05/03/2025 11:43:16</t>
  </si>
  <si>
    <t>Alisson Airton Sobrinho - 05/03/2025 11:43:18</t>
  </si>
  <si>
    <t>Alisson Airton Sobrinho - 05/03/2025 11:43:19</t>
  </si>
  <si>
    <t>Alisson Airton Sobrinho - 07/03/2025 10:54:22</t>
  </si>
  <si>
    <t>Alisson Airton Sobrinho - 07/03/2025 10:54:23</t>
  </si>
  <si>
    <t>Alisson Airton Sobrinho - 07/03/2025 10:54:24</t>
  </si>
  <si>
    <t>Base de Dados_Images/BC2114.Imagem do Equipamento-.142700.jpg</t>
  </si>
  <si>
    <t>Paula Caroline Morais Duarte - 18/02/2025 11:14:48</t>
  </si>
  <si>
    <t>Base de Dados_Images/BC2114.Imagem da Plaqueta do Motor-.142706.jpg</t>
  </si>
  <si>
    <t>Paula Caroline Morais Duarte - 18/02/2025 11:15:01</t>
  </si>
  <si>
    <t>Tanque Agua Lavagem Peneira</t>
  </si>
  <si>
    <t>BC2115</t>
  </si>
  <si>
    <t>Bomba Agua Lavagem Peneira</t>
  </si>
  <si>
    <t>Paula Caroline Morais Duarte - 29/01/2025 09:17:29</t>
  </si>
  <si>
    <t>Paula Caroline Morais Duarte - 29/01/2025 09:17:31</t>
  </si>
  <si>
    <t>Paula Caroline Morais Duarte - 29/01/2025 09:17:32</t>
  </si>
  <si>
    <t>Paula Caroline Morais Duarte - 29/01/2025 09:17:35</t>
  </si>
  <si>
    <t>Paula Caroline Morais Duarte - 29/01/2025 09:17:37</t>
  </si>
  <si>
    <t>Paula Caroline Morais Duarte - 29/01/2025 09:17:42</t>
  </si>
  <si>
    <t>Paula Caroline Morais Duarte - 29/01/2025 09:17:44</t>
  </si>
  <si>
    <t>Paula Caroline Morais Duarte - 29/01/2025 09:17:46</t>
  </si>
  <si>
    <t>Paula Caroline Morais Duarte - 29/01/2025 09:17:48</t>
  </si>
  <si>
    <t>Paula Caroline Morais Duarte - 29/01/2025 09:17:51</t>
  </si>
  <si>
    <t>Paula Caroline Morais Duarte - 29/01/2025 09:17:53</t>
  </si>
  <si>
    <t>Paula Caroline Morais Duarte - 29/01/2025 09:17:56</t>
  </si>
  <si>
    <t>Paula Caroline Morais Duarte - 29/01/2025 09:17:58</t>
  </si>
  <si>
    <t>Paula Caroline Morais Duarte - 29/01/2025 09:18:02</t>
  </si>
  <si>
    <t>Paula Caroline Morais Duarte - 29/01/2025 09:18:05</t>
  </si>
  <si>
    <t>Paula Caroline Morais Duarte - 29/01/2025 09:18:07</t>
  </si>
  <si>
    <t>Beatriz Alves Nunes de Paulo - 06/03/2025 08:21:33</t>
  </si>
  <si>
    <t>Beatriz Alves Nunes de Paulo - 06/03/2025 08:21:34</t>
  </si>
  <si>
    <t>Beatriz Alves Nunes de Paulo - 06/03/2025 08:21:35</t>
  </si>
  <si>
    <t>Beatriz Alves Nunes de Paulo - 06/03/2025 08:21:36</t>
  </si>
  <si>
    <t>Beatriz Alves Nunes de Paulo - 06/03/2025 08:21:37</t>
  </si>
  <si>
    <t>Beatriz Alves Nunes de Paulo - 06/03/2025 08:21:38</t>
  </si>
  <si>
    <t>Beatriz Alves Nunes de Paulo - 06/03/2025 08:21:41</t>
  </si>
  <si>
    <t>Beatriz Alves Nunes de Paulo - 06/03/2025 08:21:42</t>
  </si>
  <si>
    <t>Beatriz Alves Nunes de Paulo - 06/03/2025 08:21:43</t>
  </si>
  <si>
    <t>Beatriz Alves Nunes de Paulo - 06/03/2025 08:21:44</t>
  </si>
  <si>
    <t>Alisson Airton Sobrinho - 07/03/2025 06:47:16</t>
  </si>
  <si>
    <t>Alisson Airton Sobrinho - 07/03/2025 06:47:17</t>
  </si>
  <si>
    <t>Alisson Airton Sobrinho - 07/03/2025 06:47:18</t>
  </si>
  <si>
    <t>Alisson Airton Sobrinho - 07/03/2025 06:47:20</t>
  </si>
  <si>
    <t>Base de Dados_Images/BC2115.Imagem do Equipamento-.131737.jpg</t>
  </si>
  <si>
    <t>Paula Caroline Morais Duarte - 29/01/2025 09:16:45</t>
  </si>
  <si>
    <t>Base de Dados_Images/BC2115.Imagem da Plaqueta do Motor-.131737.jpg</t>
  </si>
  <si>
    <t>Paula Caroline Morais Duarte - 29/01/2025 09:17:10</t>
  </si>
  <si>
    <t>10&amp;20 R.P.E</t>
  </si>
  <si>
    <t>BC2116</t>
  </si>
  <si>
    <t>Bomba Fazanaro 02</t>
  </si>
  <si>
    <t>Paula Caroline Morais Duarte - 20/02/2025 08:32:00</t>
  </si>
  <si>
    <t>Paula Caroline Morais Duarte - 20/02/2025 08:32:01</t>
  </si>
  <si>
    <t>Paula Caroline Morais Duarte - 20/02/2025 08:32:02</t>
  </si>
  <si>
    <t>Paula Caroline Morais Duarte - 20/02/2025 08:32:09</t>
  </si>
  <si>
    <t>Paula Caroline Morais Duarte - 20/02/2025 08:32:06</t>
  </si>
  <si>
    <t>Paula Caroline Morais Duarte - 20/02/2025 08:32:11</t>
  </si>
  <si>
    <t>Paula Caroline Morais Duarte - 20/02/2025 08:32:13</t>
  </si>
  <si>
    <t>Paula Caroline Morais Duarte - 20/02/2025 08:32:18</t>
  </si>
  <si>
    <t>Paula Caroline Morais Duarte - 20/02/2025 08:32:16</t>
  </si>
  <si>
    <t>Paula Caroline Morais Duarte - 20/02/2025 08:32:20</t>
  </si>
  <si>
    <t>Paula Caroline Morais Duarte - 20/02/2025 08:32:23</t>
  </si>
  <si>
    <t>Paula Caroline Morais Duarte - 20/02/2025 08:32:24</t>
  </si>
  <si>
    <t>Paula Caroline Morais Duarte - 20/02/2025 08:32:33</t>
  </si>
  <si>
    <t>Paula Caroline Morais Duarte - 20/02/2025 08:32:34</t>
  </si>
  <si>
    <t>Paula Caroline Morais Duarte - 20/02/2025 08:32:46</t>
  </si>
  <si>
    <t>Paula Caroline Morais Duarte - 20/02/2025 08:32:47</t>
  </si>
  <si>
    <t>Alisson Airton Sobrinho - 07/03/2025 06:42:57</t>
  </si>
  <si>
    <t>Alisson Airton Sobrinho - 07/03/2025 06:42:58</t>
  </si>
  <si>
    <t>Alisson Airton Sobrinho - 07/03/2025 06:42:59</t>
  </si>
  <si>
    <t>Alisson Airton Sobrinho - 07/03/2025 06:43:00</t>
  </si>
  <si>
    <t>Alisson Airton Sobrinho - 07/03/2025 06:43:03</t>
  </si>
  <si>
    <t>Alisson Airton Sobrinho - 07/03/2025 06:43:02</t>
  </si>
  <si>
    <t>Alisson Airton Sobrinho - 07/03/2025 06:43:06</t>
  </si>
  <si>
    <t>Alisson Airton Sobrinho - 07/03/2025 06:43:07</t>
  </si>
  <si>
    <t>Alisson Airton Sobrinho - 07/03/2025 06:43:09</t>
  </si>
  <si>
    <t>Alisson Airton Sobrinho - 07/03/2025 06:43:13</t>
  </si>
  <si>
    <t>Alisson Airton Sobrinho - 07/03/2025 06:43:14</t>
  </si>
  <si>
    <t>Alisson Airton Sobrinho - 07/03/2025 06:43:15</t>
  </si>
  <si>
    <t>Inserir_Remover TAG_Images/BC2116.Imagem.142716.jpg</t>
  </si>
  <si>
    <t>Matheus César Azevedo Neto - 18/02/2025 12:36:46</t>
  </si>
  <si>
    <t>1º Terno</t>
  </si>
  <si>
    <t>BC2118</t>
  </si>
  <si>
    <t>Bomba 01 De Lubrificação Redutor Baixa 1° Terno</t>
  </si>
  <si>
    <t>Weslley Ferreira Cooper - 29/01/2025 11:37:13</t>
  </si>
  <si>
    <t>Weslley Ferreira Cooper - 29/01/2025 11:37:16</t>
  </si>
  <si>
    <t>Weslley Ferreira Cooper - 29/01/2025 11:37:20</t>
  </si>
  <si>
    <t>Weslley Ferreira Cooper - 29/01/2025 11:37:19</t>
  </si>
  <si>
    <t>Weslley Ferreira Cooper - 29/01/2025 11:37:22</t>
  </si>
  <si>
    <t>Weslley Ferreira Cooper - 29/01/2025 11:37:25</t>
  </si>
  <si>
    <t>Weslley Ferreira Cooper - 29/01/2025 11:37:29</t>
  </si>
  <si>
    <t>Weslley Ferreira Cooper - 29/01/2025 11:37:32</t>
  </si>
  <si>
    <t>Weslley Ferreira Cooper - 29/01/2025 11:37:33</t>
  </si>
  <si>
    <t>Weslley Ferreira Cooper - 29/01/2025 11:37:35</t>
  </si>
  <si>
    <t>Weslley Ferreira Cooper - 29/01/2025 11:37:39</t>
  </si>
  <si>
    <t>Weslley Ferreira Cooper - 29/01/2025 11:37:38</t>
  </si>
  <si>
    <t>Weslley Ferreira Cooper - 29/01/2025 11:37:41</t>
  </si>
  <si>
    <t>Weslley Ferreira Cooper - 29/01/2025 11:37:43</t>
  </si>
  <si>
    <t>Alisson Airton Sobrinho - 05/03/2025 10:41:51</t>
  </si>
  <si>
    <t>Alisson Airton Sobrinho - 05/03/2025 10:41:52</t>
  </si>
  <si>
    <t>Alisson Airton Sobrinho - 05/03/2025 10:41:53</t>
  </si>
  <si>
    <t>Alisson Airton Sobrinho - 05/03/2025 10:41:54</t>
  </si>
  <si>
    <t>Alisson Airton Sobrinho - 05/03/2025 10:41:55</t>
  </si>
  <si>
    <t>Alisson Airton Sobrinho - 05/03/2025 10:41:56</t>
  </si>
  <si>
    <t>Beatriz Alves Nunes de Paulo - 06/03/2025 10:29:11</t>
  </si>
  <si>
    <t>Beatriz Alves Nunes de Paulo - 06/03/2025 10:29:12</t>
  </si>
  <si>
    <t>Beatriz Alves Nunes de Paulo - 06/03/2025 10:29:13</t>
  </si>
  <si>
    <t>Beatriz Alves Nunes de Paulo - 06/03/2025 10:29:14</t>
  </si>
  <si>
    <t>Alisson Airton Sobrinho - 07/03/2025 06:34:37</t>
  </si>
  <si>
    <t>Alisson Airton Sobrinho - 07/03/2025 06:34:36</t>
  </si>
  <si>
    <t>Alisson Airton Sobrinho - 07/03/2025 06:33:29</t>
  </si>
  <si>
    <t>Base de Dados_Images/BC2118.Imagem do Equipamento-.150915.jpg</t>
  </si>
  <si>
    <t>Weslley Ferreira Cooper - 29/01/2025 11:37:03</t>
  </si>
  <si>
    <t>BC2119</t>
  </si>
  <si>
    <t>Bomba 02 De Lubrificação Redutor Baixa 1° Terno</t>
  </si>
  <si>
    <t>Weslley Ferreira Cooper - 29/01/2025 11:38:07</t>
  </si>
  <si>
    <t>Weslley Ferreira Cooper - 29/01/2025 11:38:08</t>
  </si>
  <si>
    <t>Weslley Ferreira Cooper - 29/01/2025 11:38:30</t>
  </si>
  <si>
    <t>Alisson Airton Sobrinho - 17/02/2025 16:08:37</t>
  </si>
  <si>
    <t>Alisson Airton Sobrinho - 17/02/2025 16:08:39</t>
  </si>
  <si>
    <t>Alisson Airton Sobrinho - 17/02/2025 16:08:40</t>
  </si>
  <si>
    <t>Weslley Ferreira Cooper - 29/01/2025 11:38:24</t>
  </si>
  <si>
    <t>Weslley Ferreira Cooper - 29/01/2025 11:38:17</t>
  </si>
  <si>
    <t>Weslley Ferreira Cooper - 29/01/2025 11:38:16</t>
  </si>
  <si>
    <t>Weslley Ferreira Cooper - 29/01/2025 11:38:15</t>
  </si>
  <si>
    <t>Weslley Ferreira Cooper - 29/01/2025 11:38:14</t>
  </si>
  <si>
    <t>Weslley Ferreira Cooper - 29/01/2025 11:38:12</t>
  </si>
  <si>
    <t>Weslley Ferreira Cooper - 29/01/2025 11:38:11</t>
  </si>
  <si>
    <t>Weslley Ferreira Cooper - 29/01/2025 11:38:10</t>
  </si>
  <si>
    <t>Alisson Airton Sobrinho - 05/03/2025 10:42:03</t>
  </si>
  <si>
    <t>Alisson Airton Sobrinho - 05/03/2025 10:42:05</t>
  </si>
  <si>
    <t>Alisson Airton Sobrinho - 05/03/2025 10:42:06</t>
  </si>
  <si>
    <t>Alisson Airton Sobrinho - 05/03/2025 10:42:08</t>
  </si>
  <si>
    <t>Alisson Airton Sobrinho - 07/03/2025 07:40:03</t>
  </si>
  <si>
    <t>Alisson Airton Sobrinho - 07/03/2025 07:40:04</t>
  </si>
  <si>
    <t>Alisson Airton Sobrinho - 07/03/2025 07:40:05</t>
  </si>
  <si>
    <t>Alisson Airton Sobrinho - 07/03/2025 07:40:09</t>
  </si>
  <si>
    <t>Alisson Airton Sobrinho - 07/03/2025 07:40:10</t>
  </si>
  <si>
    <t>Alisson Airton Sobrinho - 07/03/2025 07:40:11</t>
  </si>
  <si>
    <t>Base de Dados_Images/BC2119.Imagem do Equipamento-.191225.jpg</t>
  </si>
  <si>
    <t>Alisson Airton Sobrinho - 17/02/2025 16:08:31</t>
  </si>
  <si>
    <t>Turbina 2º/3º Terno</t>
  </si>
  <si>
    <t>BC2120</t>
  </si>
  <si>
    <t>Bomba 01 De Lubrificação Redutor Baixa 2/3° Terno</t>
  </si>
  <si>
    <t>Weslley Ferreira Cooper - 29/01/2025 10:57:08</t>
  </si>
  <si>
    <t>Weslley Ferreira Cooper - 29/01/2025 10:57:10</t>
  </si>
  <si>
    <t>Weslley Ferreira Cooper - 29/01/2025 10:57:12</t>
  </si>
  <si>
    <t>Weslley Ferreira Cooper - 29/01/2025 10:57:19</t>
  </si>
  <si>
    <t>Weslley Ferreira Cooper - 29/01/2025 10:57:17</t>
  </si>
  <si>
    <t>Weslley Ferreira Cooper - 29/01/2025 10:57:24</t>
  </si>
  <si>
    <t>Weslley Ferreira Cooper - 29/01/2025 10:57:23</t>
  </si>
  <si>
    <t>Weslley Ferreira Cooper - 29/01/2025 10:57:29</t>
  </si>
  <si>
    <t>Weslley Ferreira Cooper - 29/01/2025 10:57:28</t>
  </si>
  <si>
    <t>Weslley Ferreira Cooper - 29/01/2025 10:57:41</t>
  </si>
  <si>
    <t>Weslley Ferreira Cooper - 29/01/2025 10:57:33</t>
  </si>
  <si>
    <t>Weslley Ferreira Cooper - 29/01/2025 10:57:45</t>
  </si>
  <si>
    <t>Weslley Ferreira Cooper - 29/01/2025 10:57:48</t>
  </si>
  <si>
    <t>Weslley Ferreira Cooper - 29/01/2025 10:57:53</t>
  </si>
  <si>
    <t>Weslley Ferreira Cooper - 29/01/2025 10:57:51</t>
  </si>
  <si>
    <t>Weslley Ferreira Cooper - 29/01/2025 10:58:02</t>
  </si>
  <si>
    <t>Paula Caroline Morais Duarte - 06/02/2025 11:05:21</t>
  </si>
  <si>
    <t>Paula Caroline Morais Duarte - 06/02/2025 11:05:25</t>
  </si>
  <si>
    <t>Paula Caroline Morais Duarte - 06/02/2025 11:05:27</t>
  </si>
  <si>
    <t>Paula Caroline Morais Duarte - 06/02/2025 11:05:30</t>
  </si>
  <si>
    <t>Paula Caroline Morais Duarte - 06/02/2025 11:05:32</t>
  </si>
  <si>
    <t>Paula Caroline Morais Duarte - 20/02/2025 08:25:49</t>
  </si>
  <si>
    <t>Paula Caroline Morais Duarte - 20/02/2025 08:25:50</t>
  </si>
  <si>
    <t>Paula Caroline Morais Duarte - 20/02/2025 08:25:51</t>
  </si>
  <si>
    <t>Paula Caroline Morais Duarte - 20/02/2025 08:25:53</t>
  </si>
  <si>
    <t>Alisson Airton Sobrinho - 07/03/2025 07:41:46</t>
  </si>
  <si>
    <t>Alisson Airton Sobrinho - 07/03/2025 07:41:47</t>
  </si>
  <si>
    <t>Alisson Airton Sobrinho - 07/03/2025 07:41:48</t>
  </si>
  <si>
    <t>Alisson Airton Sobrinho - 07/03/2025 07:41:49</t>
  </si>
  <si>
    <t>Base de Dados_Images/BC2120.Imagem do Equipamento-.141134.jpg</t>
  </si>
  <si>
    <t>Weslley Ferreira Cooper - 29/01/2025 10:56:57</t>
  </si>
  <si>
    <t>BC2121</t>
  </si>
  <si>
    <t>Bomba 02 De Lubrificação Redutor Baixa 2/3° Terno</t>
  </si>
  <si>
    <t>Weslley Ferreira Cooper - 29/01/2025 10:58:43</t>
  </si>
  <si>
    <t>Weslley Ferreira Cooper - 29/01/2025 10:58:42</t>
  </si>
  <si>
    <t>Weslley Ferreira Cooper - 29/01/2025 10:58:48</t>
  </si>
  <si>
    <t>Weslley Ferreira Cooper - 29/01/2025 10:58:47</t>
  </si>
  <si>
    <t>Weslley Ferreira Cooper - 29/01/2025 10:58:53</t>
  </si>
  <si>
    <t>Weslley Ferreira Cooper - 29/01/2025 10:58:52</t>
  </si>
  <si>
    <t>Weslley Ferreira Cooper - 29/01/2025 10:58:57</t>
  </si>
  <si>
    <t>Weslley Ferreira Cooper - 29/01/2025 10:58:56</t>
  </si>
  <si>
    <t>Weslley Ferreira Cooper - 29/01/2025 10:59:03</t>
  </si>
  <si>
    <t>Weslley Ferreira Cooper - 29/01/2025 10:59:04</t>
  </si>
  <si>
    <t>Weslley Ferreira Cooper - 29/01/2025 10:59:08</t>
  </si>
  <si>
    <t>Weslley Ferreira Cooper - 29/01/2025 10:59:07</t>
  </si>
  <si>
    <t>Weslley Ferreira Cooper - 29/01/2025 10:59:12</t>
  </si>
  <si>
    <t>Weslley Ferreira Cooper - 29/01/2025 10:59:17</t>
  </si>
  <si>
    <t>Weslley Ferreira Cooper - 29/01/2025 10:59:15</t>
  </si>
  <si>
    <t>Weslley Ferreira Cooper - 29/01/2025 10:59:20</t>
  </si>
  <si>
    <t>Paula Caroline Morais Duarte - 06/02/2025 11:14:25</t>
  </si>
  <si>
    <t>Paula Caroline Morais Duarte - 06/02/2025 11:14:27</t>
  </si>
  <si>
    <t>Paula Caroline Morais Duarte - 06/02/2025 11:14:28</t>
  </si>
  <si>
    <t>Paula Caroline Morais Duarte - 06/02/2025 11:14:32</t>
  </si>
  <si>
    <t>Paula Caroline Morais Duarte - 06/02/2025 11:14:31</t>
  </si>
  <si>
    <t>Paula Caroline Morais Duarte - 20/02/2025 08:26:05</t>
  </si>
  <si>
    <t>Paula Caroline Morais Duarte - 20/02/2025 08:26:06</t>
  </si>
  <si>
    <t>Paula Caroline Morais Duarte - 20/02/2025 08:26:07</t>
  </si>
  <si>
    <t>Paula Caroline Morais Duarte - 20/02/2025 08:26:09</t>
  </si>
  <si>
    <t>Alisson Airton Sobrinho - 07/03/2025 07:41:55</t>
  </si>
  <si>
    <t>Alisson Airton Sobrinho - 07/03/2025 07:41:57</t>
  </si>
  <si>
    <t>Alisson Airton Sobrinho - 07/03/2025 07:42:00</t>
  </si>
  <si>
    <t>Base de Dados_Images/BC2121.Imagem do Equipamento-.141235.jpg</t>
  </si>
  <si>
    <t>Weslley Ferreira Cooper - 29/01/2025 10:58:29</t>
  </si>
  <si>
    <t>Turbina 4º/5º Terno</t>
  </si>
  <si>
    <t>BC2122</t>
  </si>
  <si>
    <t>Bomba 01 De Lubrificação Redutor Baixa 4/5° Terno</t>
  </si>
  <si>
    <t>Weslley Ferreira Cooper - 29/01/2025 11:07:56</t>
  </si>
  <si>
    <t>Weslley Ferreira Cooper - 29/01/2025 11:07:55</t>
  </si>
  <si>
    <t>Weslley Ferreira Cooper - 29/01/2025 11:07:51</t>
  </si>
  <si>
    <t>Weslley Ferreira Cooper - 29/01/2025 11:07:49</t>
  </si>
  <si>
    <t>Weslley Ferreira Cooper - 29/01/2025 11:07:50</t>
  </si>
  <si>
    <t>Weslley Ferreira Cooper - 29/01/2025 11:07:46</t>
  </si>
  <si>
    <t>Weslley Ferreira Cooper - 29/01/2025 11:07:45</t>
  </si>
  <si>
    <t>Weslley Ferreira Cooper - 29/01/2025 11:07:44</t>
  </si>
  <si>
    <t>Weslley Ferreira Cooper - 29/01/2025 11:07:42</t>
  </si>
  <si>
    <t>Weslley Ferreira Cooper - 29/01/2025 11:07:41</t>
  </si>
  <si>
    <t>Weslley Ferreira Cooper - 29/01/2025 11:07:40</t>
  </si>
  <si>
    <t>Weslley Ferreira Cooper - 29/01/2025 11:07:38</t>
  </si>
  <si>
    <t>Weslley Ferreira Cooper - 29/01/2025 11:07:35</t>
  </si>
  <si>
    <t>Weslley Ferreira Cooper - 29/01/2025 11:07:33</t>
  </si>
  <si>
    <t>Weslley Ferreira Cooper - 29/01/2025 11:07:32</t>
  </si>
  <si>
    <t>Weslley Ferreira Cooper - 29/01/2025 11:07:31</t>
  </si>
  <si>
    <t>Paula Caroline Morais Duarte - 20/02/2025 08:15:11</t>
  </si>
  <si>
    <t>Paula Caroline Morais Duarte - 20/02/2025 08:15:12</t>
  </si>
  <si>
    <t>Paula Caroline Morais Duarte - 20/02/2025 08:15:13</t>
  </si>
  <si>
    <t>Paula Caroline Morais Duarte - 20/02/2025 08:15:14</t>
  </si>
  <si>
    <t>Paula Caroline Morais Duarte - 20/02/2025 08:15:15</t>
  </si>
  <si>
    <t>Paula Caroline Morais Duarte - 20/02/2025 08:15:17</t>
  </si>
  <si>
    <t>Paula Caroline Morais Duarte - 20/02/2025 08:15:21</t>
  </si>
  <si>
    <t>Paula Caroline Morais Duarte - 20/02/2025 08:15:22</t>
  </si>
  <si>
    <t>Paula Caroline Morais Duarte - 20/02/2025 08:15:23</t>
  </si>
  <si>
    <t>Alisson Airton Sobrinho - 07/03/2025 07:43:37</t>
  </si>
  <si>
    <t>Alisson Airton Sobrinho - 07/03/2025 07:43:38</t>
  </si>
  <si>
    <t>Alisson Airton Sobrinho - 07/03/2025 07:43:39</t>
  </si>
  <si>
    <t>Base de Dados_Images/BC2122.Imagem do Equipamento-.141658.jpg</t>
  </si>
  <si>
    <t>Weslley Ferreira Cooper - 29/01/2025 11:07:23</t>
  </si>
  <si>
    <t>BC2123</t>
  </si>
  <si>
    <t>Bomba 02 De Lubrificação Redutor Baixa 4/5° Terno</t>
  </si>
  <si>
    <t>Alisson Airton Sobrinho - 17/02/2025 16:05:05</t>
  </si>
  <si>
    <t>Alisson Airton Sobrinho - 17/02/2025 16:05:06</t>
  </si>
  <si>
    <t>Alisson Airton Sobrinho - 17/02/2025 16:05:07</t>
  </si>
  <si>
    <t>Alisson Airton Sobrinho - 17/02/2025 16:05:09</t>
  </si>
  <si>
    <t>Alisson Airton Sobrinho - 17/02/2025 16:05:10</t>
  </si>
  <si>
    <t>Alisson Airton Sobrinho - 17/02/2025 16:05:11</t>
  </si>
  <si>
    <t>Alisson Airton Sobrinho - 17/02/2025 16:05:13</t>
  </si>
  <si>
    <t>Alisson Airton Sobrinho - 17/02/2025 16:05:14</t>
  </si>
  <si>
    <t>Alisson Airton Sobrinho - 17/02/2025 16:05:15</t>
  </si>
  <si>
    <t>Alisson Airton Sobrinho - 17/02/2025 16:05:17</t>
  </si>
  <si>
    <t>Alisson Airton Sobrinho - 17/02/2025 16:05:18</t>
  </si>
  <si>
    <t>Alisson Airton Sobrinho - 17/02/2025 16:05:19</t>
  </si>
  <si>
    <t>Alisson Airton Sobrinho - 17/02/2025 16:05:22</t>
  </si>
  <si>
    <t>Alisson Airton Sobrinho - 17/02/2025 16:05:23</t>
  </si>
  <si>
    <t>Alisson Airton Sobrinho - 17/02/2025 16:05:24</t>
  </si>
  <si>
    <t>Alisson Airton Sobrinho - 17/02/2025 16:05:25</t>
  </si>
  <si>
    <t>Paula Caroline Morais Duarte - 20/02/2025 08:14:33</t>
  </si>
  <si>
    <t>Paula Caroline Morais Duarte - 20/02/2025 08:14:34</t>
  </si>
  <si>
    <t>Paula Caroline Morais Duarte - 20/02/2025 08:14:35</t>
  </si>
  <si>
    <t>Paula Caroline Morais Duarte - 20/02/2025 08:14:36</t>
  </si>
  <si>
    <t>Paula Caroline Morais Duarte - 20/02/2025 08:14:38</t>
  </si>
  <si>
    <t>Paula Caroline Morais Duarte - 20/02/2025 08:14:39</t>
  </si>
  <si>
    <t>Paula Caroline Morais Duarte - 20/02/2025 08:14:44</t>
  </si>
  <si>
    <t>Paula Caroline Morais Duarte - 20/02/2025 08:14:45</t>
  </si>
  <si>
    <t>Paula Caroline Morais Duarte - 20/02/2025 08:14:46</t>
  </si>
  <si>
    <t>Paula Caroline Morais Duarte - 20/02/2025 08:14:47</t>
  </si>
  <si>
    <t>Alisson Airton Sobrinho - 07/03/2025 07:43:45</t>
  </si>
  <si>
    <t>Alisson Airton Sobrinho - 07/03/2025 07:43:47</t>
  </si>
  <si>
    <t>Base de Dados_Images/BC2123.Imagem do Equipamento-.193817.jpg</t>
  </si>
  <si>
    <t>Alisson Airton Sobrinho - 17/02/2025 16:35:13</t>
  </si>
  <si>
    <t>Base de Dados_Images/BC2123.Imagem da Plaqueta do Motor-.191055.jpg</t>
  </si>
  <si>
    <t>Alisson Airton Sobrinho - 17/02/2025 16:04:57</t>
  </si>
  <si>
    <t>Turbina 6º Terno</t>
  </si>
  <si>
    <t>BC2124</t>
  </si>
  <si>
    <t>Bomba De Lubrificação Redutor Baixa 6° Terno</t>
  </si>
  <si>
    <t>Weslley Ferreira Cooper - 29/01/2025 11:54:53</t>
  </si>
  <si>
    <t>Weslley Ferreira Cooper - 29/01/2025 11:54:52</t>
  </si>
  <si>
    <t>Weslley Ferreira Cooper - 29/01/2025 11:54:49</t>
  </si>
  <si>
    <t>Weslley Ferreira Cooper - 29/01/2025 11:54:48</t>
  </si>
  <si>
    <t>Weslley Ferreira Cooper - 29/01/2025 11:54:46</t>
  </si>
  <si>
    <t>Weslley Ferreira Cooper - 29/01/2025 11:54:45</t>
  </si>
  <si>
    <t>Weslley Ferreira Cooper - 29/01/2025 11:54:44</t>
  </si>
  <si>
    <t>Weslley Ferreira Cooper - 29/01/2025 11:54:41</t>
  </si>
  <si>
    <t>Weslley Ferreira Cooper - 29/01/2025 11:54:40</t>
  </si>
  <si>
    <t>Weslley Ferreira Cooper - 29/01/2025 11:54:39</t>
  </si>
  <si>
    <t>Weslley Ferreira Cooper - 29/01/2025 11:54:36</t>
  </si>
  <si>
    <t>Weslley Ferreira Cooper - 29/01/2025 11:54:35</t>
  </si>
  <si>
    <t>Weslley Ferreira Cooper - 29/01/2025 11:54:32</t>
  </si>
  <si>
    <t>Weslley Ferreira Cooper - 29/01/2025 11:54:31</t>
  </si>
  <si>
    <t>Weslley Ferreira Cooper - 29/01/2025 11:54:30</t>
  </si>
  <si>
    <t>Weslley Ferreira Cooper - 29/01/2025 11:54:28</t>
  </si>
  <si>
    <t>Paula Caroline Morais Duarte - 20/02/2025 08:08:07</t>
  </si>
  <si>
    <t>Paula Caroline Morais Duarte - 20/02/2025 08:08:08</t>
  </si>
  <si>
    <t>Paula Caroline Morais Duarte - 20/02/2025 08:08:09</t>
  </si>
  <si>
    <t>Paula Caroline Morais Duarte - 20/02/2025 08:08:11</t>
  </si>
  <si>
    <t>Paula Caroline Morais Duarte - 20/02/2025 08:08:12</t>
  </si>
  <si>
    <t>Paula Caroline Morais Duarte - 20/02/2025 08:08:13</t>
  </si>
  <si>
    <t>Paula Caroline Morais Duarte - 20/02/2025 08:08:18</t>
  </si>
  <si>
    <t>Paula Caroline Morais Duarte - 20/02/2025 08:08:19</t>
  </si>
  <si>
    <t>Paula Caroline Morais Duarte - 20/02/2025 08:08:20</t>
  </si>
  <si>
    <t>Paula Caroline Morais Duarte - 20/02/2025 08:08:23</t>
  </si>
  <si>
    <t>Alisson Airton Sobrinho - 07/03/2025 07:44:08</t>
  </si>
  <si>
    <t>Alisson Airton Sobrinho - 07/03/2025 07:44:10</t>
  </si>
  <si>
    <t>Alisson Airton Sobrinho - 07/03/2025 07:44:12</t>
  </si>
  <si>
    <t>Base de Dados_Images/BC2124.Imagem do Equipamento-.151905.jpg</t>
  </si>
  <si>
    <t>Weslley Ferreira Cooper - 29/01/2025 11:54:17</t>
  </si>
  <si>
    <t>Desfibrador</t>
  </si>
  <si>
    <t>BC2125</t>
  </si>
  <si>
    <t>Bomba Elétrica Desfibrador</t>
  </si>
  <si>
    <t>Paula Caroline Morais Duarte - 04/02/2025 14:43:02</t>
  </si>
  <si>
    <t>Paula Caroline Morais Duarte - 04/02/2025 14:43:04</t>
  </si>
  <si>
    <t>Paula Caroline Morais Duarte - 04/02/2025 14:43:07</t>
  </si>
  <si>
    <t>Paula Caroline Morais Duarte - 04/02/2025 14:43:10</t>
  </si>
  <si>
    <t>Paula Caroline Morais Duarte - 04/02/2025 14:43:17</t>
  </si>
  <si>
    <t>Paula Caroline Morais Duarte - 04/02/2025 14:43:19</t>
  </si>
  <si>
    <t>Paula Caroline Morais Duarte - 04/02/2025 14:43:21</t>
  </si>
  <si>
    <t>Paula Caroline Morais Duarte - 04/02/2025 14:43:26</t>
  </si>
  <si>
    <t>Paula Caroline Morais Duarte - 04/02/2025 14:43:48</t>
  </si>
  <si>
    <t>Paula Caroline Morais Duarte - 04/02/2025 14:43:49</t>
  </si>
  <si>
    <t>Paula Caroline Morais Duarte - 04/02/2025 14:43:52</t>
  </si>
  <si>
    <t>Paula Caroline Morais Duarte - 04/02/2025 14:43:54</t>
  </si>
  <si>
    <t>Paula Caroline Morais Duarte - 04/02/2025 14:43:57</t>
  </si>
  <si>
    <t>Paula Caroline Morais Duarte - 04/02/2025 14:44:19</t>
  </si>
  <si>
    <t>Paula Caroline Morais Duarte - 04/02/2025 14:44:05</t>
  </si>
  <si>
    <t>Paula Caroline Morais Duarte - 04/02/2025 14:44:23</t>
  </si>
  <si>
    <t>Paula Caroline Morais Duarte - 06/02/2025 09:40:52</t>
  </si>
  <si>
    <t>Paula Caroline Morais Duarte - 06/02/2025 09:40:55</t>
  </si>
  <si>
    <t>Paula Caroline Morais Duarte - 06/02/2025 09:40:56</t>
  </si>
  <si>
    <t>Paula Caroline Morais Duarte - 06/02/2025 09:40:58</t>
  </si>
  <si>
    <t>Paula Caroline Morais Duarte - 06/02/2025 09:40:59</t>
  </si>
  <si>
    <t>Paula Caroline Morais Duarte - 20/02/2025 10:38:50</t>
  </si>
  <si>
    <t>Paula Caroline Morais Duarte - 20/02/2025 10:38:51</t>
  </si>
  <si>
    <t>Paula Caroline Morais Duarte - 20/02/2025 10:38:53</t>
  </si>
  <si>
    <t>Alisson Airton Sobrinho - 07/03/2025 06:20:30</t>
  </si>
  <si>
    <t>Alisson Airton Sobrinho - 07/03/2025 06:20:31</t>
  </si>
  <si>
    <t>Alisson Airton Sobrinho - 07/03/2025 06:20:33</t>
  </si>
  <si>
    <t>Base de Dados_Images/BC2125.Imagem do Equipamento-.130046.jpg</t>
  </si>
  <si>
    <t>Paula Caroline Morais Duarte - 11/02/2025 09:52:23</t>
  </si>
  <si>
    <t>Base de Dados_Images/BC2125.Imagem da Plaqueta do Motor-.130053.jpg</t>
  </si>
  <si>
    <t>Paula Caroline Morais Duarte - 11/02/2025 09:52:37</t>
  </si>
  <si>
    <t>Tanque De Caldo Pre Evaporado</t>
  </si>
  <si>
    <t>BC3003</t>
  </si>
  <si>
    <t>Bomba 01 De Caldo Pre Evaporado</t>
  </si>
  <si>
    <t>Beatriz Alves Nunes de Paulo - 03/02/2025 11:33:46</t>
  </si>
  <si>
    <t>Beatriz Alves Nunes de Paulo - 03/02/2025 11:34:00</t>
  </si>
  <si>
    <t>Beatriz Alves Nunes de Paulo - 03/02/2025 11:34:01</t>
  </si>
  <si>
    <t>Beatriz Alves Nunes de Paulo - 03/02/2025 11:34:03</t>
  </si>
  <si>
    <t>Beatriz Alves Nunes de Paulo - 03/02/2025 11:34:06</t>
  </si>
  <si>
    <t>Beatriz Alves Nunes de Paulo - 03/02/2025 11:34:07</t>
  </si>
  <si>
    <t>Beatriz Alves Nunes de Paulo - 03/02/2025 11:34:09</t>
  </si>
  <si>
    <t>Beatriz Alves Nunes de Paulo - 03/02/2025 11:34:11</t>
  </si>
  <si>
    <t>Beatriz Alves Nunes de Paulo - 03/02/2025 11:34:12</t>
  </si>
  <si>
    <t>Beatriz Alves Nunes de Paulo - 03/02/2025 11:34:15</t>
  </si>
  <si>
    <t>Beatriz Alves Nunes de Paulo - 03/02/2025 11:34:17</t>
  </si>
  <si>
    <t>Beatriz Alves Nunes de Paulo - 03/02/2025 11:34:19</t>
  </si>
  <si>
    <t>Alisson Airton Sobrinho - 03/03/2025 10:38:35</t>
  </si>
  <si>
    <t>Alisson Airton Sobrinho - 03/03/2025 10:38:36</t>
  </si>
  <si>
    <t>Alisson Airton Sobrinho - 03/03/2025 10:38:37</t>
  </si>
  <si>
    <t>Alisson Airton Sobrinho - 03/03/2025 10:38:38</t>
  </si>
  <si>
    <t>Alisson Airton Sobrinho - 03/03/2025 10:38:39</t>
  </si>
  <si>
    <t>Alisson Airton Sobrinho - 03/03/2025 10:38:43</t>
  </si>
  <si>
    <t>Alisson Airton Sobrinho - 03/03/2025 10:38:44</t>
  </si>
  <si>
    <t>Alisson Airton Sobrinho - 03/03/2025 10:38:45</t>
  </si>
  <si>
    <t>Beatriz Alves Nunes de Paulo - 06/03/2025 08:42:26</t>
  </si>
  <si>
    <t>Beatriz Alves Nunes de Paulo - 06/03/2025 08:42:28</t>
  </si>
  <si>
    <t>Base de Dados_Images/BC3003.Imagem do Equipamento-.144151.jpg</t>
  </si>
  <si>
    <t>Beatriz Alves Nunes de Paulo - 03/02/2025 11:33:22</t>
  </si>
  <si>
    <t>Tanque Condensado</t>
  </si>
  <si>
    <t>BC3004</t>
  </si>
  <si>
    <t>Tanque condensado escape</t>
  </si>
  <si>
    <t>Beatriz Alves Nunes de Paulo - 03/02/2025 11:36:26</t>
  </si>
  <si>
    <t>Beatriz Alves Nunes de Paulo - 03/02/2025 11:36:28</t>
  </si>
  <si>
    <t>Beatriz Alves Nunes de Paulo - 03/02/2025 11:36:30</t>
  </si>
  <si>
    <t>Beatriz Alves Nunes de Paulo - 03/02/2025 11:36:31</t>
  </si>
  <si>
    <t>Beatriz Alves Nunes de Paulo - 03/02/2025 11:36:34</t>
  </si>
  <si>
    <t>Beatriz Alves Nunes de Paulo - 03/02/2025 11:36:37</t>
  </si>
  <si>
    <t>Beatriz Alves Nunes de Paulo - 03/02/2025 11:36:44</t>
  </si>
  <si>
    <t>Beatriz Alves Nunes de Paulo - 03/02/2025 11:36:46</t>
  </si>
  <si>
    <t>Beatriz Alves Nunes de Paulo - 03/02/2025 11:36:47</t>
  </si>
  <si>
    <t>Beatriz Alves Nunes de Paulo - 03/02/2025 11:36:49</t>
  </si>
  <si>
    <t>Beatriz Alves Nunes de Paulo - 03/02/2025 11:36:50</t>
  </si>
  <si>
    <t>Beatriz Alves Nunes de Paulo - 03/02/2025 11:36:52</t>
  </si>
  <si>
    <t>Beatriz Alves Nunes de Paulo - 03/02/2025 11:36:53</t>
  </si>
  <si>
    <t>Beatriz Alves Nunes de Paulo - 03/02/2025 11:36:55</t>
  </si>
  <si>
    <t>Beatriz Alves Nunes de Paulo - 03/02/2025 11:36:57</t>
  </si>
  <si>
    <t>Alisson Airton Sobrinho - 08/02/2025 08:11:32</t>
  </si>
  <si>
    <t>Alisson Airton Sobrinho - 08/02/2025 08:11:33</t>
  </si>
  <si>
    <t>Alisson Airton Sobrinho - 08/02/2025 08:11:35</t>
  </si>
  <si>
    <t>Alisson Airton Sobrinho - 08/02/2025 08:11:37</t>
  </si>
  <si>
    <t>Alisson Airton Sobrinho - 08/02/2025 08:11:39</t>
  </si>
  <si>
    <t>Alisson Airton Sobrinho - 08/02/2025 08:11:42</t>
  </si>
  <si>
    <t>Adriel da Silva Queiroz - 03/03/2025 11:19:01</t>
  </si>
  <si>
    <t>Adriel da Silva Queiroz - 03/03/2025 11:19:02</t>
  </si>
  <si>
    <t>Adriel da Silva Queiroz - 03/03/2025 11:19:10</t>
  </si>
  <si>
    <t>Alisson Airton Sobrinho - 07/03/2025 07:23:18</t>
  </si>
  <si>
    <t>Alisson Airton Sobrinho - 07/03/2025 07:23:19</t>
  </si>
  <si>
    <t>Alisson Airton Sobrinho - 07/03/2025 07:23:20</t>
  </si>
  <si>
    <t>Base de Dados_Images/BC3004.Imagem do Equipamento-.144244.jpg</t>
  </si>
  <si>
    <t>Beatriz Alves Nunes de Paulo - 03/02/2025 11:35:48</t>
  </si>
  <si>
    <t>Tanque Caldo Misto Da Moenda</t>
  </si>
  <si>
    <t>BC3005</t>
  </si>
  <si>
    <t>Bomba 01 De Caldo Misto</t>
  </si>
  <si>
    <t>Beatriz Alves Nunes de Paulo - 28/01/2025 13:38:19</t>
  </si>
  <si>
    <t>Beatriz Alves Nunes de Paulo - 28/01/2025 13:38:21</t>
  </si>
  <si>
    <t>Beatriz Alves Nunes de Paulo - 28/01/2025 13:38:23</t>
  </si>
  <si>
    <t>Beatriz Alves Nunes de Paulo - 28/01/2025 13:38:25</t>
  </si>
  <si>
    <t>Beatriz Alves Nunes de Paulo - 28/01/2025 13:38:27</t>
  </si>
  <si>
    <t>Beatriz Alves Nunes de Paulo - 28/01/2025 13:38:29</t>
  </si>
  <si>
    <t>Beatriz Alves Nunes de Paulo - 28/01/2025 13:38:31</t>
  </si>
  <si>
    <t>Beatriz Alves Nunes de Paulo - 28/01/2025 13:38:32</t>
  </si>
  <si>
    <t>Beatriz Alves Nunes de Paulo - 28/01/2025 13:38:33</t>
  </si>
  <si>
    <t>Beatriz Alves Nunes de Paulo - 28/01/2025 13:38:34</t>
  </si>
  <si>
    <t>Beatriz Alves Nunes de Paulo - 28/01/2025 13:38:36</t>
  </si>
  <si>
    <t>Beatriz Alves Nunes de Paulo - 28/01/2025 13:38:37</t>
  </si>
  <si>
    <t>Beatriz Alves Nunes de Paulo - 28/01/2025 13:38:39</t>
  </si>
  <si>
    <t>Beatriz Alves Nunes de Paulo - 28/01/2025 13:38:43</t>
  </si>
  <si>
    <t>Beatriz Alves Nunes de Paulo - 28/01/2025 13:38:44</t>
  </si>
  <si>
    <t>Beatriz Alves Nunes de Paulo - 28/01/2025 13:38:46</t>
  </si>
  <si>
    <t>Alisson Airton Sobrinho - 07/03/2025 07:06:01</t>
  </si>
  <si>
    <t>Alisson Airton Sobrinho - 07/03/2025 07:06:02</t>
  </si>
  <si>
    <t>Alisson Airton Sobrinho - 07/03/2025 07:06:04</t>
  </si>
  <si>
    <t>Alisson Airton Sobrinho - 07/03/2025 07:06:06</t>
  </si>
  <si>
    <t>Alisson Airton Sobrinho - 07/03/2025 07:06:07</t>
  </si>
  <si>
    <t>Alisson Airton Sobrinho - 07/03/2025 07:06:13</t>
  </si>
  <si>
    <t>Alisson Airton Sobrinho - 07/03/2025 07:06:15</t>
  </si>
  <si>
    <t>Alisson Airton Sobrinho - 07/03/2025 07:06:16</t>
  </si>
  <si>
    <t>Alisson Airton Sobrinho - 07/03/2025 07:06:17</t>
  </si>
  <si>
    <t>Alisson Airton Sobrinho - 07/03/2025 07:06:21</t>
  </si>
  <si>
    <t>Alisson Airton Sobrinho - 07/03/2025 07:06:23</t>
  </si>
  <si>
    <t>Base de Dados_Images/BC3005.Imagem do Equipamento-.180209.jpg</t>
  </si>
  <si>
    <t>Beatriz Alves Nunes de Paulo - 28/01/2025 13:37:48</t>
  </si>
  <si>
    <t>Base de Dados_Images/BC3005.Imagem da Plaqueta do Motor-.180209.jpg</t>
  </si>
  <si>
    <t>Beatriz Alves Nunes de Paulo - 28/01/2025 13:38:11</t>
  </si>
  <si>
    <t>BC3006</t>
  </si>
  <si>
    <t>Bomba 02 De Caldo Misto</t>
  </si>
  <si>
    <t>Beatriz Alves Nunes de Paulo - 28/01/2025 13:39:27</t>
  </si>
  <si>
    <t>Beatriz Alves Nunes de Paulo - 28/01/2025 13:39:32</t>
  </si>
  <si>
    <t>Beatriz Alves Nunes de Paulo - 28/01/2025 13:39:52</t>
  </si>
  <si>
    <t>Beatriz Alves Nunes de Paulo - 28/01/2025 13:39:55</t>
  </si>
  <si>
    <t>Beatriz Alves Nunes de Paulo - 28/01/2025 13:39:57</t>
  </si>
  <si>
    <t>Beatriz Alves Nunes de Paulo - 28/01/2025 13:40:14</t>
  </si>
  <si>
    <t>Beatriz Alves Nunes de Paulo - 28/01/2025 13:40:26</t>
  </si>
  <si>
    <t>Beatriz Alves Nunes de Paulo - 28/01/2025 13:40:35</t>
  </si>
  <si>
    <t>Beatriz Alves Nunes de Paulo - 28/01/2025 13:40:37</t>
  </si>
  <si>
    <t>Beatriz Alves Nunes de Paulo - 28/01/2025 13:40:39</t>
  </si>
  <si>
    <t>Beatriz Alves Nunes de Paulo - 28/01/2025 13:40:43</t>
  </si>
  <si>
    <t>Beatriz Alves Nunes de Paulo - 28/01/2025 13:40:46</t>
  </si>
  <si>
    <t>Beatriz Alves Nunes de Paulo - 28/01/2025 13:40:48</t>
  </si>
  <si>
    <t>Beatriz Alves Nunes de Paulo - 28/01/2025 13:40:49</t>
  </si>
  <si>
    <t>Beatriz Alves Nunes de Paulo - 28/01/2025 13:40:51</t>
  </si>
  <si>
    <t>Beatriz Alves Nunes de Paulo - 28/01/2025 13:40:53</t>
  </si>
  <si>
    <t>Alisson Airton Sobrinho - 07/03/2025 07:06:29</t>
  </si>
  <si>
    <t>Alisson Airton Sobrinho - 07/03/2025 07:06:30</t>
  </si>
  <si>
    <t>Alisson Airton Sobrinho - 07/03/2025 07:06:33</t>
  </si>
  <si>
    <t>Alisson Airton Sobrinho - 07/03/2025 07:06:34</t>
  </si>
  <si>
    <t>Alisson Airton Sobrinho - 07/03/2025 07:06:35</t>
  </si>
  <si>
    <t>Alisson Airton Sobrinho - 07/03/2025 07:06:38</t>
  </si>
  <si>
    <t>Alisson Airton Sobrinho - 07/03/2025 07:06:39</t>
  </si>
  <si>
    <t>Alisson Airton Sobrinho - 07/03/2025 07:06:41</t>
  </si>
  <si>
    <t>Alisson Airton Sobrinho - 07/03/2025 07:06:47</t>
  </si>
  <si>
    <t>Alisson Airton Sobrinho - 07/03/2025 07:06:48</t>
  </si>
  <si>
    <t>Alisson Airton Sobrinho - 07/03/2025 07:06:49</t>
  </si>
  <si>
    <t>Alisson Airton Sobrinho - 07/03/2025 07:06:50</t>
  </si>
  <si>
    <t>Beatriz Alves Nunes de Paulo - 01/28/2025 13:39:03</t>
  </si>
  <si>
    <t>Tanque Caldo Filtrado</t>
  </si>
  <si>
    <t>BC3007</t>
  </si>
  <si>
    <t>Bomba 01 Tq Caldo Filtrado Turvo</t>
  </si>
  <si>
    <t>Beatriz Alves Nunes de Paulo - 28/01/2025 09:41:24</t>
  </si>
  <si>
    <t>Beatriz Alves Nunes de Paulo - 28/01/2025 09:41:28</t>
  </si>
  <si>
    <t>Beatriz Alves Nunes de Paulo - 28/01/2025 09:41:32</t>
  </si>
  <si>
    <t>Beatriz Alves Nunes de Paulo - 28/01/2025 09:41:33</t>
  </si>
  <si>
    <t>Beatriz Alves Nunes de Paulo - 28/01/2025 09:41:34</t>
  </si>
  <si>
    <t>Beatriz Alves Nunes de Paulo - 28/01/2025 09:41:36</t>
  </si>
  <si>
    <t>Beatriz Alves Nunes de Paulo - 28/01/2025 09:41:39</t>
  </si>
  <si>
    <t>Beatriz Alves Nunes de Paulo - 28/01/2025 09:41:40</t>
  </si>
  <si>
    <t>Beatriz Alves Nunes de Paulo - 28/01/2025 09:41:46</t>
  </si>
  <si>
    <t>Beatriz Alves Nunes de Paulo - 28/01/2025 09:41:48</t>
  </si>
  <si>
    <t>Beatriz Alves Nunes de Paulo - 28/01/2025 09:41:52</t>
  </si>
  <si>
    <t>Beatriz Alves Nunes de Paulo - 28/01/2025 09:41:53</t>
  </si>
  <si>
    <t>Beatriz Alves Nunes de Paulo - 28/01/2025 09:41:54</t>
  </si>
  <si>
    <t>Beatriz Alves Nunes de Paulo - 28/01/2025 09:41:58</t>
  </si>
  <si>
    <t>Beatriz Alves Nunes de Paulo - 28/01/2025 09:42:02</t>
  </si>
  <si>
    <t>Beatriz Alves Nunes de Paulo - 28/01/2025 09:42:04</t>
  </si>
  <si>
    <t>Adriel da Silva Queiroz - 17/02/2025 15:40:49</t>
  </si>
  <si>
    <t>Adriel da Silva Queiroz - 17/02/2025 15:40:51</t>
  </si>
  <si>
    <t>Adriel da Silva Queiroz - 17/02/2025 15:40:52</t>
  </si>
  <si>
    <t>Adriel da Silva Queiroz - 17/02/2025 15:40:58</t>
  </si>
  <si>
    <t>Alisson Airton Sobrinho - 04/03/2025 12:40:40</t>
  </si>
  <si>
    <t>Alisson Airton Sobrinho - 04/03/2025 12:40:41</t>
  </si>
  <si>
    <t>Alisson Airton Sobrinho - 04/03/2025 12:40:42</t>
  </si>
  <si>
    <t>Alisson Airton Sobrinho - 04/03/2025 12:40:43</t>
  </si>
  <si>
    <t>Alisson Airton Sobrinho - 07/03/2025 07:24:32</t>
  </si>
  <si>
    <t>Alisson Airton Sobrinho - 07/03/2025 07:24:33</t>
  </si>
  <si>
    <t>Alisson Airton Sobrinho - 07/03/2025 07:24:34</t>
  </si>
  <si>
    <t>Base de Dados_Images/BC3007.Imagem do Equipamento-.163428.jpg</t>
  </si>
  <si>
    <t>Beatriz Alves Nunes de Paulo - 28/01/2025 09:41:18</t>
  </si>
  <si>
    <t>BC3008</t>
  </si>
  <si>
    <t>Bomba 02 Tq Caldo Filtrado Turvo</t>
  </si>
  <si>
    <t>Weslley Ferreira Cooper - 31/01/2025 11:28:13</t>
  </si>
  <si>
    <t>Weslley Ferreira Cooper - 31/01/2025 11:28:12</t>
  </si>
  <si>
    <t>Weslley Ferreira Cooper - 31/01/2025 11:28:11</t>
  </si>
  <si>
    <t>Weslley Ferreira Cooper - 31/01/2025 11:28:10</t>
  </si>
  <si>
    <t>Weslley Ferreira Cooper - 31/01/2025 11:28:09</t>
  </si>
  <si>
    <t>Weslley Ferreira Cooper - 31/01/2025 11:28:08</t>
  </si>
  <si>
    <t>Weslley Ferreira Cooper - 31/01/2025 11:28:07</t>
  </si>
  <si>
    <t>Weslley Ferreira Cooper - 31/01/2025 11:28:04</t>
  </si>
  <si>
    <t>Weslley Ferreira Cooper - 31/01/2025 11:28:03</t>
  </si>
  <si>
    <t>Weslley Ferreira Cooper - 31/01/2025 11:28:02</t>
  </si>
  <si>
    <t>Weslley Ferreira Cooper - 31/01/2025 11:28:01</t>
  </si>
  <si>
    <t>Weslley Ferreira Cooper - 31/01/2025 11:27:58</t>
  </si>
  <si>
    <t>Weslley Ferreira Cooper - 31/01/2025 11:27:57</t>
  </si>
  <si>
    <t>Alisson Airton Sobrinho - 04/03/2025 12:40:50</t>
  </si>
  <si>
    <t>Alisson Airton Sobrinho - 04/03/2025 12:40:51</t>
  </si>
  <si>
    <t>Alisson Airton Sobrinho - 04/03/2025 12:41:24</t>
  </si>
  <si>
    <t>Alisson Airton Sobrinho - 04/03/2025 12:41:29</t>
  </si>
  <si>
    <t>Alisson Airton Sobrinho - 04/03/2025 12:41:28</t>
  </si>
  <si>
    <t>Alisson Airton Sobrinho - 04/03/2025 12:41:30</t>
  </si>
  <si>
    <t>Alisson Airton Sobrinho - 04/03/2025 12:41:36</t>
  </si>
  <si>
    <t>Alisson Airton Sobrinho - 04/03/2025 12:41:44</t>
  </si>
  <si>
    <t>Alisson Airton Sobrinho - 07/03/2025 07:24:40</t>
  </si>
  <si>
    <t>Alisson Airton Sobrinho - 07/03/2025 07:24:41</t>
  </si>
  <si>
    <t>Alisson Airton Sobrinho - 07/03/2025 07:24:42</t>
  </si>
  <si>
    <t>Alisson Airton Sobrinho - 07/03/2025 07:24:43</t>
  </si>
  <si>
    <t>Base de Dados_Images/BC3008.Imagem do Equipamento-.154641.jpg</t>
  </si>
  <si>
    <t>Weslley Ferreira Cooper - 31/01/2025 11:27:51</t>
  </si>
  <si>
    <t>BC3009</t>
  </si>
  <si>
    <t>Bomba 03 Tq Caldo Filtrado Turvo</t>
  </si>
  <si>
    <t>Beatriz Alves Nunes de Paulo - 28/01/2025 09:38:55</t>
  </si>
  <si>
    <t>Beatriz Alves Nunes de Paulo - 28/01/2025 09:39:02</t>
  </si>
  <si>
    <t>Beatriz Alves Nunes de Paulo - 28/01/2025 09:39:05</t>
  </si>
  <si>
    <t>Beatriz Alves Nunes de Paulo - 28/01/2025 09:39:12</t>
  </si>
  <si>
    <t>Beatriz Alves Nunes de Paulo - 28/01/2025 09:39:11</t>
  </si>
  <si>
    <t>Beatriz Alves Nunes de Paulo - 28/01/2025 09:39:14</t>
  </si>
  <si>
    <t>Beatriz Alves Nunes de Paulo - 28/01/2025 09:39:15</t>
  </si>
  <si>
    <t>Beatriz Alves Nunes de Paulo - 28/01/2025 09:39:17</t>
  </si>
  <si>
    <t>Beatriz Alves Nunes de Paulo - 28/01/2025 09:39:56</t>
  </si>
  <si>
    <t>Beatriz Alves Nunes de Paulo - 28/01/2025 09:39:20</t>
  </si>
  <si>
    <t>Beatriz Alves Nunes de Paulo - 28/01/2025 09:39:27</t>
  </si>
  <si>
    <t>Beatriz Alves Nunes de Paulo - 28/01/2025 09:39:29</t>
  </si>
  <si>
    <t>Beatriz Alves Nunes de Paulo - 28/01/2025 09:39:35</t>
  </si>
  <si>
    <t>Beatriz Alves Nunes de Paulo - 28/01/2025 09:39:37</t>
  </si>
  <si>
    <t>Beatriz Alves Nunes de Paulo - 28/01/2025 09:39:45</t>
  </si>
  <si>
    <t>Beatriz Alves Nunes de Paulo - 28/01/2025 09:39:48</t>
  </si>
  <si>
    <t>Alisson Airton Sobrinho - 04/03/2025 12:41:51</t>
  </si>
  <si>
    <t>Alisson Airton Sobrinho - 04/03/2025 12:41:52</t>
  </si>
  <si>
    <t>Alisson Airton Sobrinho - 04/03/2025 12:41:57</t>
  </si>
  <si>
    <t>Alisson Airton Sobrinho - 04/03/2025 12:41:56</t>
  </si>
  <si>
    <t>Alisson Airton Sobrinho - 04/03/2025 12:42:47</t>
  </si>
  <si>
    <t>Alisson Airton Sobrinho - 04/03/2025 12:42:01</t>
  </si>
  <si>
    <t>Alisson Airton Sobrinho - 04/03/2025 12:42:02</t>
  </si>
  <si>
    <t>Alisson Airton Sobrinho - 04/03/2025 12:42:03</t>
  </si>
  <si>
    <t>Alisson Airton Sobrinho - 04/03/2025 12:42:04</t>
  </si>
  <si>
    <t>Alisson Airton Sobrinho - 07/03/2025 07:24:48</t>
  </si>
  <si>
    <t>Alisson Airton Sobrinho - 07/03/2025 07:24:50</t>
  </si>
  <si>
    <t>Alisson Airton Sobrinho - 07/03/2025 07:24:51</t>
  </si>
  <si>
    <t>Base de Dados_Images/BC3009.Imagem do Equipamento-.163312.jpg</t>
  </si>
  <si>
    <t>Beatriz Alves Nunes de Paulo - 28/01/2025 09:38:34</t>
  </si>
  <si>
    <t>Tanque Xarope (Tq 206)</t>
  </si>
  <si>
    <t>BC3010</t>
  </si>
  <si>
    <t>Bomba 01 Do Tanque De Xarope Simples</t>
  </si>
  <si>
    <t>Weslley Ferreira Cooper - 30/01/2025 12:05:02</t>
  </si>
  <si>
    <t>Weslley Ferreira Cooper - 30/01/2025 12:04:59</t>
  </si>
  <si>
    <t>Weslley Ferreira Cooper - 30/01/2025 12:04:58</t>
  </si>
  <si>
    <t>Weslley Ferreira Cooper - 30/01/2025 12:04:56</t>
  </si>
  <si>
    <t>Weslley Ferreira Cooper - 30/01/2025 12:04:53</t>
  </si>
  <si>
    <t>Weslley Ferreira Cooper - 30/01/2025 12:04:52</t>
  </si>
  <si>
    <t>Weslley Ferreira Cooper - 30/01/2025 12:04:51</t>
  </si>
  <si>
    <t>Weslley Ferreira Cooper - 30/01/2025 12:04:49</t>
  </si>
  <si>
    <t>Weslley Ferreira Cooper - 30/01/2025 12:04:44</t>
  </si>
  <si>
    <t>Weslley Ferreira Cooper - 30/01/2025 12:04:46</t>
  </si>
  <si>
    <t>Weslley Ferreira Cooper - 30/01/2025 12:04:41</t>
  </si>
  <si>
    <t>Weslley Ferreira Cooper - 30/01/2025 12:04:40</t>
  </si>
  <si>
    <t>Weslley Ferreira Cooper - 30/01/2025 12:04:37</t>
  </si>
  <si>
    <t>Weslley Ferreira Cooper - 30/01/2025 12:04:36</t>
  </si>
  <si>
    <t>Weslley Ferreira Cooper - 30/01/2025 12:04:35</t>
  </si>
  <si>
    <t>Weslley Ferreira Cooper - 30/01/2025 12:04:33</t>
  </si>
  <si>
    <t>Alisson Airton Sobrinho - 05/03/2025 09:12:19</t>
  </si>
  <si>
    <t>Alisson Airton Sobrinho - 05/03/2025 09:12:20</t>
  </si>
  <si>
    <t>Alisson Airton Sobrinho - 05/03/2025 09:12:21</t>
  </si>
  <si>
    <t>Alisson Airton Sobrinho - 05/03/2025 09:12:22</t>
  </si>
  <si>
    <t>Alisson Airton Sobrinho - 05/03/2025 09:12:23</t>
  </si>
  <si>
    <t>Alisson Airton Sobrinho - 05/03/2025 09:12:24</t>
  </si>
  <si>
    <t>Alisson Airton Sobrinho - 05/03/2025 09:12:28</t>
  </si>
  <si>
    <t>Alisson Airton Sobrinho - 05/03/2025 09:13:06</t>
  </si>
  <si>
    <t>Alisson Airton Sobrinho - 05/03/2025 09:13:08</t>
  </si>
  <si>
    <t>Alisson Airton Sobrinho - 07/03/2025 07:20:59</t>
  </si>
  <si>
    <t>Alisson Airton Sobrinho - 07/03/2025 07:21:00</t>
  </si>
  <si>
    <t>Alisson Airton Sobrinho - 07/03/2025 07:21:01</t>
  </si>
  <si>
    <t>Alisson Airton Sobrinho - 07/03/2025 07:21:03</t>
  </si>
  <si>
    <t>Base de Dados_Images/BC3010.Imagem do Equipamento-.151719.jpg</t>
  </si>
  <si>
    <t>Weslley Ferreira Cooper - 30/01/2025 12:04:27</t>
  </si>
  <si>
    <t>Tanque Soda Regenerador</t>
  </si>
  <si>
    <t>BC3012</t>
  </si>
  <si>
    <t>Bomba De Soda P/ Regeneradore</t>
  </si>
  <si>
    <t>Adriel da Silva Queiroz - 04/02/2025 10:57:55</t>
  </si>
  <si>
    <t>Adriel da Silva Queiroz - 04/02/2025 10:57:56</t>
  </si>
  <si>
    <t>Beatriz Alves Nunes de Paulo - 08/02/2025 14:32:22</t>
  </si>
  <si>
    <t>Beatriz Alves Nunes de Paulo - 08/02/2025 14:32:24</t>
  </si>
  <si>
    <t>Beatriz Alves Nunes de Paulo - 08/02/2025 14:32:27</t>
  </si>
  <si>
    <t>Beatriz Alves Nunes de Paulo - 08/02/2025 14:32:33</t>
  </si>
  <si>
    <t>Beatriz Alves Nunes de Paulo - 08/02/2025 14:32:37</t>
  </si>
  <si>
    <t>Beatriz Alves Nunes de Paulo - 08/02/2025 14:32:39</t>
  </si>
  <si>
    <t>Beatriz Alves Nunes de Paulo - 08/02/2025 14:32:42</t>
  </si>
  <si>
    <t>Beatriz Alves Nunes de Paulo - 08/02/2025 14:32:45</t>
  </si>
  <si>
    <t>Beatriz Alves Nunes de Paulo - 08/02/2025 14:32:52</t>
  </si>
  <si>
    <t>Beatriz Alves Nunes de Paulo - 08/02/2025 14:32:54</t>
  </si>
  <si>
    <t>Beatriz Alves Nunes de Paulo - 08/02/2025 14:32:58</t>
  </si>
  <si>
    <t>Beatriz Alves Nunes de Paulo - 08/02/2025 14:33:02</t>
  </si>
  <si>
    <t>Beatriz Alves Nunes de Paulo - 08/02/2025 14:33:04</t>
  </si>
  <si>
    <t>Beatriz Alves Nunes de Paulo - 08/02/2025 14:33:05</t>
  </si>
  <si>
    <t>Alisson Airton Sobrinho - 03/03/2025 10:41:43</t>
  </si>
  <si>
    <t>Alisson Airton Sobrinho - 03/03/2025 10:41:44</t>
  </si>
  <si>
    <t>Alisson Airton Sobrinho - 03/03/2025 10:41:45</t>
  </si>
  <si>
    <t>Alisson Airton Sobrinho - 03/03/2025 10:41:46</t>
  </si>
  <si>
    <t>Alisson Airton Sobrinho - 03/03/2025 10:41:47</t>
  </si>
  <si>
    <t>Alisson Airton Sobrinho - 03/03/2025 10:41:51</t>
  </si>
  <si>
    <t>Alisson Airton Sobrinho - 03/03/2025 10:41:52</t>
  </si>
  <si>
    <t>Alisson Airton Sobrinho - 03/03/2025 10:41:53</t>
  </si>
  <si>
    <t>Alisson Airton Sobrinho - 03/03/2025 10:41:54</t>
  </si>
  <si>
    <t>Alisson Airton Sobrinho - 07/03/2025 07:20:48</t>
  </si>
  <si>
    <t>Alisson Airton Sobrinho - 07/03/2025 07:20:49</t>
  </si>
  <si>
    <t>Alisson Airton Sobrinho - 07/03/2025 07:20:50</t>
  </si>
  <si>
    <t>Adriel da Silva Queiroz - 02/04/2025 10:57:44</t>
  </si>
  <si>
    <t>Tanque Espuma Decantador Alcool (Tq 112)</t>
  </si>
  <si>
    <t>BC3013</t>
  </si>
  <si>
    <t>Bomba 02 Do Tq De Espuma</t>
  </si>
  <si>
    <t>Beatriz Alves Nunes de Paulo - 28/01/2025 11:13:51</t>
  </si>
  <si>
    <t>Beatriz Alves Nunes de Paulo - 28/01/2025 11:13:54</t>
  </si>
  <si>
    <t>Beatriz Alves Nunes de Paulo - 28/01/2025 11:14:07</t>
  </si>
  <si>
    <t>Beatriz Alves Nunes de Paulo - 28/01/2025 11:14:09</t>
  </si>
  <si>
    <t>Beatriz Alves Nunes de Paulo - 28/01/2025 11:14:11</t>
  </si>
  <si>
    <t>Beatriz Alves Nunes de Paulo - 28/01/2025 11:14:13</t>
  </si>
  <si>
    <t>Beatriz Alves Nunes de Paulo - 28/01/2025 11:14:15</t>
  </si>
  <si>
    <t>Beatriz Alves Nunes de Paulo - 28/01/2025 11:14:18</t>
  </si>
  <si>
    <t>Beatriz Alves Nunes de Paulo - 28/01/2025 11:14:22</t>
  </si>
  <si>
    <t>Beatriz Alves Nunes de Paulo - 28/01/2025 11:14:28</t>
  </si>
  <si>
    <t>Beatriz Alves Nunes de Paulo - 28/01/2025 11:14:27</t>
  </si>
  <si>
    <t>Beatriz Alves Nunes de Paulo - 28/01/2025 11:14:31</t>
  </si>
  <si>
    <t>Beatriz Alves Nunes de Paulo - 28/01/2025 11:14:35</t>
  </si>
  <si>
    <t>Beatriz Alves Nunes de Paulo - 28/01/2025 11:14:58</t>
  </si>
  <si>
    <t>Beatriz Alves Nunes de Paulo - 28/01/2025 11:14:43</t>
  </si>
  <si>
    <t>Beatriz Alves Nunes de Paulo - 28/01/2025 11:14:45</t>
  </si>
  <si>
    <t>Alisson Airton Sobrinho - 03/03/2025 10:45:15</t>
  </si>
  <si>
    <t>Alisson Airton Sobrinho - 03/03/2025 10:45:16</t>
  </si>
  <si>
    <t>Alisson Airton Sobrinho - 03/03/2025 10:45:17</t>
  </si>
  <si>
    <t>Alisson Airton Sobrinho - 03/03/2025 10:45:18</t>
  </si>
  <si>
    <t>Alisson Airton Sobrinho - 03/03/2025 10:45:19</t>
  </si>
  <si>
    <t>Alisson Airton Sobrinho - 03/03/2025 10:45:20</t>
  </si>
  <si>
    <t>Alisson Airton Sobrinho - 03/03/2025 10:45:29</t>
  </si>
  <si>
    <t>Alisson Airton Sobrinho - 03/03/2025 10:45:30</t>
  </si>
  <si>
    <t>Alisson Airton Sobrinho - 03/03/2025 10:45:31</t>
  </si>
  <si>
    <t>Alisson Airton Sobrinho - 03/03/2025 10:45:32</t>
  </si>
  <si>
    <t>Alisson Airton Sobrinho - 07/03/2025 07:24:57</t>
  </si>
  <si>
    <t>Alisson Airton Sobrinho - 07/03/2025 07:24:58</t>
  </si>
  <si>
    <t>Alisson Airton Sobrinho - 07/03/2025 07:24:59</t>
  </si>
  <si>
    <t>Beatriz Alves Nunes de Paulo - 01/28/2025 11:13:45</t>
  </si>
  <si>
    <t>BC3014</t>
  </si>
  <si>
    <t>Bomba 01 Do Tq De Espuma</t>
  </si>
  <si>
    <t>Beatriz Alves Nunes de Paulo - 28/01/2025 11:15:27</t>
  </si>
  <si>
    <t>Beatriz Alves Nunes de Paulo - 28/01/2025 11:15:32</t>
  </si>
  <si>
    <t>Beatriz Alves Nunes de Paulo - 28/01/2025 11:15:36</t>
  </si>
  <si>
    <t>Beatriz Alves Nunes de Paulo - 28/01/2025 11:15:40</t>
  </si>
  <si>
    <t>Beatriz Alves Nunes de Paulo - 28/01/2025 11:15:43</t>
  </si>
  <si>
    <t>Beatriz Alves Nunes de Paulo - 28/01/2025 11:15:45</t>
  </si>
  <si>
    <t>Beatriz Alves Nunes de Paulo - 28/01/2025 11:15:47</t>
  </si>
  <si>
    <t>Beatriz Alves Nunes de Paulo - 28/01/2025 11:15:49</t>
  </si>
  <si>
    <t>Beatriz Alves Nunes de Paulo - 28/01/2025 11:15:51</t>
  </si>
  <si>
    <t>Beatriz Alves Nunes de Paulo - 28/01/2025 11:15:53</t>
  </si>
  <si>
    <t>Beatriz Alves Nunes de Paulo - 28/01/2025 11:15:57</t>
  </si>
  <si>
    <t>Beatriz Alves Nunes de Paulo - 28/01/2025 11:15:59</t>
  </si>
  <si>
    <t>Beatriz Alves Nunes de Paulo - 28/01/2025 11:16:02</t>
  </si>
  <si>
    <t>Beatriz Alves Nunes de Paulo - 28/01/2025 11:16:07</t>
  </si>
  <si>
    <t>Beatriz Alves Nunes de Paulo - 28/01/2025 11:16:10</t>
  </si>
  <si>
    <t>Beatriz Alves Nunes de Paulo - 28/01/2025 11:16:12</t>
  </si>
  <si>
    <t>Alisson Airton Sobrinho - 03/03/2025 10:45:49</t>
  </si>
  <si>
    <t>Alisson Airton Sobrinho - 03/03/2025 10:45:50</t>
  </si>
  <si>
    <t>Alisson Airton Sobrinho - 03/03/2025 10:45:51</t>
  </si>
  <si>
    <t>Alisson Airton Sobrinho - 03/03/2025 10:45:52</t>
  </si>
  <si>
    <t>Alisson Airton Sobrinho - 03/03/2025 10:45:55</t>
  </si>
  <si>
    <t>Alisson Airton Sobrinho - 03/03/2025 10:46:02</t>
  </si>
  <si>
    <t>Alisson Airton Sobrinho - 03/03/2025 10:46:07</t>
  </si>
  <si>
    <t>Alisson Airton Sobrinho - 03/03/2025 10:46:09</t>
  </si>
  <si>
    <t>Alisson Airton Sobrinho - 07/03/2025 07:09:56</t>
  </si>
  <si>
    <t>Alisson Airton Sobrinho - 07/03/2025 07:09:58</t>
  </si>
  <si>
    <t>Alisson Airton Sobrinho - 07/03/2025 07:09:57</t>
  </si>
  <si>
    <t>Alisson Airton Sobrinho - 07/03/2025 07:09:59</t>
  </si>
  <si>
    <t>Beatriz Alves Nunes de Paulo - 01/28/2025 11:15:17</t>
  </si>
  <si>
    <t>Tanque Consensado Vegetal (Tq 215)</t>
  </si>
  <si>
    <t>BC3015</t>
  </si>
  <si>
    <t>Bomba 01 Condensado Para Regeneradores</t>
  </si>
  <si>
    <t>Alisson Airton Sobrinho - 12/02/2025 12:30:49</t>
  </si>
  <si>
    <t>Alisson Airton Sobrinho - 12/02/2025 12:30:51</t>
  </si>
  <si>
    <t>Alisson Airton Sobrinho - 12/02/2025 12:30:52</t>
  </si>
  <si>
    <t>Alisson Airton Sobrinho - 12/02/2025 12:30:54</t>
  </si>
  <si>
    <t>Alisson Airton Sobrinho - 12/02/2025 12:30:55</t>
  </si>
  <si>
    <t>Alisson Airton Sobrinho - 12/02/2025 12:30:57</t>
  </si>
  <si>
    <t>Alisson Airton Sobrinho - 12/02/2025 12:30:58</t>
  </si>
  <si>
    <t>Alisson Airton Sobrinho - 12/02/2025 12:31:00</t>
  </si>
  <si>
    <t>Alisson Airton Sobrinho - 12/02/2025 12:31:01</t>
  </si>
  <si>
    <t>Alisson Airton Sobrinho - 12/02/2025 12:31:02</t>
  </si>
  <si>
    <t>Alisson Airton Sobrinho - 12/02/2025 12:31:07</t>
  </si>
  <si>
    <t>Alisson Airton Sobrinho - 12/02/2025 12:31:08</t>
  </si>
  <si>
    <t>Alisson Airton Sobrinho - 12/02/2025 12:31:14</t>
  </si>
  <si>
    <t>Alisson Airton Sobrinho - 12/02/2025 12:31:15</t>
  </si>
  <si>
    <t>Alisson Airton Sobrinho - 12/02/2025 12:31:16</t>
  </si>
  <si>
    <t>Alisson Airton Sobrinho - 12/02/2025 12:31:18</t>
  </si>
  <si>
    <t>Alisson Airton Sobrinho - 03/03/2025 10:47:11</t>
  </si>
  <si>
    <t>Alisson Airton Sobrinho - 03/03/2025 10:47:12</t>
  </si>
  <si>
    <t>Alisson Airton Sobrinho - 03/03/2025 10:47:13</t>
  </si>
  <si>
    <t>Alisson Airton Sobrinho - 03/03/2025 10:47:14</t>
  </si>
  <si>
    <t>Alisson Airton Sobrinho - 03/03/2025 10:47:15</t>
  </si>
  <si>
    <t>Alisson Airton Sobrinho - 03/03/2025 10:47:17</t>
  </si>
  <si>
    <t>Alisson Airton Sobrinho - 03/03/2025 10:47:20</t>
  </si>
  <si>
    <t>Alisson Airton Sobrinho - 03/03/2025 10:47:21</t>
  </si>
  <si>
    <t>Alisson Airton Sobrinho - 03/03/2025 10:47:22</t>
  </si>
  <si>
    <t>Alisson Airton Sobrinho - 03/03/2025 10:47:23</t>
  </si>
  <si>
    <t>Beatriz Alves Nunes de Paulo - 06/03/2025 08:40:49</t>
  </si>
  <si>
    <t>Beatriz Alves Nunes de Paulo - 06/03/2025 08:40:51</t>
  </si>
  <si>
    <t>Beatriz Alves Nunes de Paulo - 06/03/2025 08:40:52</t>
  </si>
  <si>
    <t>Beatriz Alves Nunes de Paulo - 06/03/2025 08:40:53</t>
  </si>
  <si>
    <t>Base de Dados_Images/BC3015.Imagem do Equipamento-.155153.jpg</t>
  </si>
  <si>
    <t>Alisson Airton Sobrinho - 12/02/2025 12:30:45</t>
  </si>
  <si>
    <t>Base de Dados_Images/BC3015.Imagem da Plaqueta do Motor-.155142.jpg</t>
  </si>
  <si>
    <t>Alisson Airton Sobrinho - 12/02/2025 12:30:32</t>
  </si>
  <si>
    <t>Filtro Rotativo</t>
  </si>
  <si>
    <t>BC3016</t>
  </si>
  <si>
    <t>Bomba De Limpeza Predio Preparo Caldo</t>
  </si>
  <si>
    <t>Beatriz Alves Nunes de Paulo - 28/01/2025 09:44:26</t>
  </si>
  <si>
    <t>Beatriz Alves Nunes de Paulo - 28/01/2025 09:44:27</t>
  </si>
  <si>
    <t>Beatriz Alves Nunes de Paulo - 28/01/2025 09:44:29</t>
  </si>
  <si>
    <t>Beatriz Alves Nunes de Paulo - 28/01/2025 09:44:32</t>
  </si>
  <si>
    <t>Beatriz Alves Nunes de Paulo - 28/01/2025 09:44:35</t>
  </si>
  <si>
    <t>Beatriz Alves Nunes de Paulo - 28/01/2025 09:44:37</t>
  </si>
  <si>
    <t>Beatriz Alves Nunes de Paulo - 28/01/2025 09:44:39</t>
  </si>
  <si>
    <t>Beatriz Alves Nunes de Paulo - 28/01/2025 09:44:41</t>
  </si>
  <si>
    <t>Beatriz Alves Nunes de Paulo - 28/01/2025 09:45:11</t>
  </si>
  <si>
    <t>Beatriz Alves Nunes de Paulo - 28/01/2025 09:45:13</t>
  </si>
  <si>
    <t>Beatriz Alves Nunes de Paulo - 28/01/2025 09:45:19</t>
  </si>
  <si>
    <t>Beatriz Alves Nunes de Paulo - 28/01/2025 09:45:16</t>
  </si>
  <si>
    <t>Beatriz Alves Nunes de Paulo - 28/01/2025 09:45:22</t>
  </si>
  <si>
    <t>Beatriz Alves Nunes de Paulo - 28/01/2025 09:45:23</t>
  </si>
  <si>
    <t>Beatriz Alves Nunes de Paulo - 28/01/2025 09:45:24</t>
  </si>
  <si>
    <t>Beatriz Alves Nunes de Paulo - 28/01/2025 09:45:25</t>
  </si>
  <si>
    <t>Alisson Airton Sobrinho - 03/03/2025 14:07:10</t>
  </si>
  <si>
    <t>Alisson Airton Sobrinho - 03/03/2025 14:07:11</t>
  </si>
  <si>
    <t>Alisson Airton Sobrinho - 03/03/2025 14:07:12</t>
  </si>
  <si>
    <t>Alisson Airton Sobrinho - 03/03/2025 14:07:13</t>
  </si>
  <si>
    <t>Alisson Airton Sobrinho - 03/03/2025 14:07:14</t>
  </si>
  <si>
    <t>Adriel da Silva Queiroz - 03/03/2025 16:13:54</t>
  </si>
  <si>
    <t>Adriel da Silva Queiroz - 03/03/2025 16:13:55</t>
  </si>
  <si>
    <t>Adriel da Silva Queiroz - 03/03/2025 16:13:58</t>
  </si>
  <si>
    <t>Alisson Airton Sobrinho - 07/03/2025 07:22:23</t>
  </si>
  <si>
    <t>Alisson Airton Sobrinho - 07/03/2025 07:22:24</t>
  </si>
  <si>
    <t>Alisson Airton Sobrinho - 07/03/2025 07:22:25</t>
  </si>
  <si>
    <t>Base de Dados_Images/BC3016.Imagem do Equipamento-.163523.jpg</t>
  </si>
  <si>
    <t>Beatriz Alves Nunes de Paulo - 28/01/2025 09:44:16</t>
  </si>
  <si>
    <t>Tanque Caldo Calrificado (Tq 204)</t>
  </si>
  <si>
    <t>BC3019</t>
  </si>
  <si>
    <t>Bomba 01 De Caldo Decantado</t>
  </si>
  <si>
    <t>Beatriz Alves Nunes de Paulo - 28/01/2025 11:10:09</t>
  </si>
  <si>
    <t>Beatriz Alves Nunes de Paulo - 28/01/2025 11:10:13</t>
  </si>
  <si>
    <t>Beatriz Alves Nunes de Paulo - 28/01/2025 11:10:21</t>
  </si>
  <si>
    <t>Beatriz Alves Nunes de Paulo - 28/01/2025 11:10:18</t>
  </si>
  <si>
    <t>Beatriz Alves Nunes de Paulo - 28/01/2025 11:10:23</t>
  </si>
  <si>
    <t>Beatriz Alves Nunes de Paulo - 28/01/2025 11:10:25</t>
  </si>
  <si>
    <t>Beatriz Alves Nunes de Paulo - 28/01/2025 11:10:28</t>
  </si>
  <si>
    <t>Beatriz Alves Nunes de Paulo - 28/01/2025 11:10:29</t>
  </si>
  <si>
    <t>Beatriz Alves Nunes de Paulo - 28/01/2025 11:10:31</t>
  </si>
  <si>
    <t>Beatriz Alves Nunes de Paulo - 28/01/2025 11:10:47</t>
  </si>
  <si>
    <t>Beatriz Alves Nunes de Paulo - 28/01/2025 11:10:52</t>
  </si>
  <si>
    <t>Beatriz Alves Nunes de Paulo - 28/01/2025 11:10:57</t>
  </si>
  <si>
    <t>Beatriz Alves Nunes de Paulo - 28/01/2025 11:10:56</t>
  </si>
  <si>
    <t>Beatriz Alves Nunes de Paulo - 28/01/2025 11:11:07</t>
  </si>
  <si>
    <t>Beatriz Alves Nunes de Paulo - 28/01/2025 11:11:04</t>
  </si>
  <si>
    <t>Beatriz Alves Nunes de Paulo - 28/01/2025 11:11:12</t>
  </si>
  <si>
    <t>Alisson Airton Sobrinho - 08/02/2025 08:08:17</t>
  </si>
  <si>
    <t>Alisson Airton Sobrinho - 08/02/2025 08:08:19</t>
  </si>
  <si>
    <t>Alisson Airton Sobrinho - 08/02/2025 08:08:27</t>
  </si>
  <si>
    <t>Alisson Airton Sobrinho - 08/02/2025 08:08:31</t>
  </si>
  <si>
    <t>Alisson Airton Sobrinho - 08/02/2025 08:08:33</t>
  </si>
  <si>
    <t>Alisson Airton Sobrinho - 08/02/2025 08:08:39</t>
  </si>
  <si>
    <t>Alisson Airton Sobrinho - 07/03/2025 07:04:35</t>
  </si>
  <si>
    <t>Alisson Airton Sobrinho - 07/03/2025 07:04:36</t>
  </si>
  <si>
    <t>Alisson Airton Sobrinho - 07/03/2025 07:25:04</t>
  </si>
  <si>
    <t>Alisson Airton Sobrinho - 07/03/2025 07:25:06</t>
  </si>
  <si>
    <t>Alisson Airton Sobrinho - 07/03/2025 07:25:14</t>
  </si>
  <si>
    <t>Alisson Airton Sobrinho - 07/03/2025 07:25:15</t>
  </si>
  <si>
    <t>Alisson Airton Sobrinho - 07/03/2025 07:25:16</t>
  </si>
  <si>
    <t>Base de Dados_Images/BC3019.Imagem do Equipamento-.141725.jpg</t>
  </si>
  <si>
    <t>Erico Borges De Freitas - 01/02/2025 11:14:49</t>
  </si>
  <si>
    <t>BC3020</t>
  </si>
  <si>
    <t>Bomba 02 De Caldo Decantado</t>
  </si>
  <si>
    <t>Beatriz Alves Nunes de Paulo - 28/01/2025 11:09:06</t>
  </si>
  <si>
    <t>Beatriz Alves Nunes de Paulo - 28/01/2025 11:09:09</t>
  </si>
  <si>
    <t>Beatriz Alves Nunes de Paulo - 28/01/2025 11:09:15</t>
  </si>
  <si>
    <t>Beatriz Alves Nunes de Paulo - 28/01/2025 11:09:16</t>
  </si>
  <si>
    <t>Beatriz Alves Nunes de Paulo - 28/01/2025 11:09:18</t>
  </si>
  <si>
    <t>Beatriz Alves Nunes de Paulo - 28/01/2025 11:09:20</t>
  </si>
  <si>
    <t>Beatriz Alves Nunes de Paulo - 28/01/2025 11:09:23</t>
  </si>
  <si>
    <t>Beatriz Alves Nunes de Paulo - 28/01/2025 11:09:24</t>
  </si>
  <si>
    <t>Beatriz Alves Nunes de Paulo - 28/01/2025 11:09:26</t>
  </si>
  <si>
    <t>Beatriz Alves Nunes de Paulo - 28/01/2025 11:09:36</t>
  </si>
  <si>
    <t>Beatriz Alves Nunes de Paulo - 28/01/2025 11:09:32</t>
  </si>
  <si>
    <t>Beatriz Alves Nunes de Paulo - 28/01/2025 11:09:33</t>
  </si>
  <si>
    <t>Beatriz Alves Nunes de Paulo - 28/01/2025 11:09:38</t>
  </si>
  <si>
    <t>Beatriz Alves Nunes de Paulo - 28/01/2025 11:09:39</t>
  </si>
  <si>
    <t>Beatriz Alves Nunes de Paulo - 28/01/2025 11:09:42</t>
  </si>
  <si>
    <t>Beatriz Alves Nunes de Paulo - 28/01/2025 11:09:43</t>
  </si>
  <si>
    <t>Alisson Airton Sobrinho - 08/02/2025 08:08:59</t>
  </si>
  <si>
    <t>Alisson Airton Sobrinho - 08/02/2025 08:09:01</t>
  </si>
  <si>
    <t>Alisson Airton Sobrinho - 08/02/2025 08:09:03</t>
  </si>
  <si>
    <t>Alisson Airton Sobrinho - 08/02/2025 08:09:08</t>
  </si>
  <si>
    <t>Alisson Airton Sobrinho - 08/02/2025 08:09:07</t>
  </si>
  <si>
    <t>Alisson Airton Sobrinho - 08/02/2025 08:09:11</t>
  </si>
  <si>
    <t>Alisson Airton Sobrinho - 07/03/2025 07:25:21</t>
  </si>
  <si>
    <t>Alisson Airton Sobrinho - 07/03/2025 07:25:22</t>
  </si>
  <si>
    <t>Alisson Airton Sobrinho - 07/03/2025 07:25:23</t>
  </si>
  <si>
    <t>Alisson Airton Sobrinho - 07/03/2025 07:25:24</t>
  </si>
  <si>
    <t>Alisson Airton Sobrinho - 07/03/2025 07:25:27</t>
  </si>
  <si>
    <t>Alisson Airton Sobrinho - 07/03/2025 07:25:28</t>
  </si>
  <si>
    <t>Alisson Airton Sobrinho - 07/03/2025 07:25:29</t>
  </si>
  <si>
    <t>Alisson Airton Sobrinho - 07/03/2025 07:25:30</t>
  </si>
  <si>
    <t>Base de Dados_Images/BC3020.Imagem do Equipamento-.141734.jpg</t>
  </si>
  <si>
    <t>Erico Borges De Freitas - 01/02/2025 11:15:19</t>
  </si>
  <si>
    <t>Tanque Caldo Misto Decantado Alcool (Tq 103)</t>
  </si>
  <si>
    <t>BC3021</t>
  </si>
  <si>
    <t>Bomba 01 De Caldo Clarificado</t>
  </si>
  <si>
    <t>Weslley Ferreira Cooper - 31/01/2025 11:48:53</t>
  </si>
  <si>
    <t>Weslley Ferreira Cooper - 31/01/2025 11:48:52</t>
  </si>
  <si>
    <t>Weslley Ferreira Cooper - 31/01/2025 11:48:50</t>
  </si>
  <si>
    <t>Weslley Ferreira Cooper - 31/01/2025 11:48:49</t>
  </si>
  <si>
    <t>Weslley Ferreira Cooper - 31/01/2025 11:48:45</t>
  </si>
  <si>
    <t>Weslley Ferreira Cooper - 31/01/2025 11:48:44</t>
  </si>
  <si>
    <t>Weslley Ferreira Cooper - 31/01/2025 11:48:43</t>
  </si>
  <si>
    <t>Weslley Ferreira Cooper - 31/01/2025 11:48:42</t>
  </si>
  <si>
    <t>Weslley Ferreira Cooper - 31/01/2025 11:48:39</t>
  </si>
  <si>
    <t>Weslley Ferreira Cooper - 31/01/2025 11:48:38</t>
  </si>
  <si>
    <t>Weslley Ferreira Cooper - 31/01/2025 11:48:37</t>
  </si>
  <si>
    <t>Weslley Ferreira Cooper - 31/01/2025 11:48:36</t>
  </si>
  <si>
    <t>Weslley Ferreira Cooper - 31/01/2025 11:48:32</t>
  </si>
  <si>
    <t>Weslley Ferreira Cooper - 31/01/2025 11:48:30</t>
  </si>
  <si>
    <t>Weslley Ferreira Cooper - 31/01/2025 11:48:29</t>
  </si>
  <si>
    <t>Weslley Ferreira Cooper - 31/01/2025 11:48:28</t>
  </si>
  <si>
    <t>Adriel da Silva Queiroz - 17/02/2025 09:15:07</t>
  </si>
  <si>
    <t>Adriel da Silva Queiroz - 17/02/2025 09:15:10</t>
  </si>
  <si>
    <t>Adriel da Silva Queiroz - 17/02/2025 09:15:11</t>
  </si>
  <si>
    <t>Adriel da Silva Queiroz - 17/02/2025 09:15:12</t>
  </si>
  <si>
    <t>Adriel da Silva Queiroz - 17/02/2025 09:15:13</t>
  </si>
  <si>
    <t>Alisson Airton Sobrinho - 07/03/2025 07:17:53</t>
  </si>
  <si>
    <t>Alisson Airton Sobrinho - 07/03/2025 07:17:54</t>
  </si>
  <si>
    <t>Alisson Airton Sobrinho - 07/03/2025 07:17:55</t>
  </si>
  <si>
    <t>Alisson Airton Sobrinho - 07/03/2025 07:17:59</t>
  </si>
  <si>
    <t>Alisson Airton Sobrinho - 07/03/2025 07:18:00</t>
  </si>
  <si>
    <t>Alisson Airton Sobrinho - 07/03/2025 07:18:02</t>
  </si>
  <si>
    <t>Base de Dados_Images/BC3021.Imagem do Equipamento-.155146.jpg</t>
  </si>
  <si>
    <t>Weslley Ferreira Cooper - 31/01/2025 11:48:21</t>
  </si>
  <si>
    <t>BC3022 (Duplicado 1)</t>
  </si>
  <si>
    <t>Bomba 02 De Caldo Clarificado</t>
  </si>
  <si>
    <t>Beatriz Alves Nunes de Paulo - 28/01/2025 09:34:54</t>
  </si>
  <si>
    <t>Beatriz Alves Nunes de Paulo - 28/01/2025 09:34:56</t>
  </si>
  <si>
    <t>Beatriz Alves Nunes de Paulo - 28/01/2025 09:34:58</t>
  </si>
  <si>
    <t>Beatriz Alves Nunes de Paulo - 28/01/2025 09:35:00</t>
  </si>
  <si>
    <t>Beatriz Alves Nunes de Paulo - 28/01/2025 09:35:05</t>
  </si>
  <si>
    <t>Beatriz Alves Nunes de Paulo - 28/01/2025 09:35:07</t>
  </si>
  <si>
    <t>Beatriz Alves Nunes de Paulo - 28/01/2025 09:35:09</t>
  </si>
  <si>
    <t>Beatriz Alves Nunes de Paulo - 28/01/2025 09:35:12</t>
  </si>
  <si>
    <t>Beatriz Alves Nunes de Paulo - 28/01/2025 09:35:14</t>
  </si>
  <si>
    <t>Beatriz Alves Nunes de Paulo - 11/02/2025 07:51:49</t>
  </si>
  <si>
    <t>Beatriz Alves Nunes de Paulo - 28/01/2025 09:35:22</t>
  </si>
  <si>
    <t>Beatriz Alves Nunes de Paulo - 28/01/2025 09:35:30</t>
  </si>
  <si>
    <t>Beatriz Alves Nunes de Paulo - 28/01/2025 09:35:28</t>
  </si>
  <si>
    <t>Beatriz Alves Nunes de Paulo - 28/01/2025 09:35:35</t>
  </si>
  <si>
    <t>Beatriz Alves Nunes de Paulo - 28/01/2025 09:35:37</t>
  </si>
  <si>
    <t>Beatriz Alves Nunes de Paulo - 28/01/2025 09:35:40</t>
  </si>
  <si>
    <t>Beatriz Alves Nunes de Paulo - 28/01/2025 09:36:09</t>
  </si>
  <si>
    <t>Beatriz Alves Nunes de Paulo - 28/01/2025 09:36:11</t>
  </si>
  <si>
    <t>Beatriz Alves Nunes de Paulo - 28/01/2025 09:36:17</t>
  </si>
  <si>
    <t>Beatriz Alves Nunes de Paulo - 28/01/2025 09:36:19</t>
  </si>
  <si>
    <t>Beatriz Alves Nunes de Paulo - 28/01/2025 09:36:27</t>
  </si>
  <si>
    <t>Beatriz Alves Nunes de Paulo - 28/01/2025 09:36:29</t>
  </si>
  <si>
    <t>Alisson Airton Sobrinho - 07/03/2025 07:18:08</t>
  </si>
  <si>
    <t>Alisson Airton Sobrinho - 07/03/2025 07:18:10</t>
  </si>
  <si>
    <t>Alisson Airton Sobrinho - 07/03/2025 07:18:15</t>
  </si>
  <si>
    <t>Alisson Airton Sobrinho - 07/03/2025 07:18:16</t>
  </si>
  <si>
    <t>Alisson Airton Sobrinho - 07/03/2025 07:18:18</t>
  </si>
  <si>
    <t>Base de Dados_Images/BC3022.Imagem do Equipamento-.155341.jpg</t>
  </si>
  <si>
    <t>Alisson Airton Sobrinho - 12/02/2025 12:37:27</t>
  </si>
  <si>
    <t>Base de Dados_Images/BC3022.Imagem da Plaqueta do Motor-.155335.jpg</t>
  </si>
  <si>
    <t>Alisson Airton Sobrinho - 12/02/2025 12:37:16</t>
  </si>
  <si>
    <t>Hidatador De Cal</t>
  </si>
  <si>
    <t>BC3022 (Duplicado 2)</t>
  </si>
  <si>
    <t>Bomba De Agua P/ Hidratador Cal</t>
  </si>
  <si>
    <t>Alisson Airton Sobrinho - 27/02/2025 13:27:52</t>
  </si>
  <si>
    <t>Alisson Airton Sobrinho - 27/02/2025 13:27:54</t>
  </si>
  <si>
    <t>Alisson Airton Sobrinho - 27/02/2025 13:27:55</t>
  </si>
  <si>
    <t>Alisson Airton Sobrinho - 27/02/2025 13:27:58</t>
  </si>
  <si>
    <t>Alisson Airton Sobrinho - 27/02/2025 13:27:59</t>
  </si>
  <si>
    <t>Alisson Airton Sobrinho - 27/02/2025 13:28:01</t>
  </si>
  <si>
    <t>Alisson Airton Sobrinho - 27/02/2025 13:28:04</t>
  </si>
  <si>
    <t>Alisson Airton Sobrinho - 27/02/2025 13:28:08</t>
  </si>
  <si>
    <t>Alisson Airton Sobrinho - 27/02/2025 13:28:09</t>
  </si>
  <si>
    <t>Alisson Airton Sobrinho - 27/02/2025 13:28:13</t>
  </si>
  <si>
    <t>Alisson Airton Sobrinho - 27/02/2025 13:28:21</t>
  </si>
  <si>
    <t>Alisson Airton Sobrinho - 27/02/2025 13:28:22</t>
  </si>
  <si>
    <t>Alisson Airton Sobrinho - 27/02/2025 13:28:23</t>
  </si>
  <si>
    <t>Alisson Airton Sobrinho - 27/02/2025 13:28:26</t>
  </si>
  <si>
    <t>Alisson Airton Sobrinho - 27/02/2025 13:28:28</t>
  </si>
  <si>
    <t>Alisson Airton Sobrinho - 27/02/2025 13:28:33</t>
  </si>
  <si>
    <t>Alisson Airton Sobrinho - 27/02/2025 13:28:34</t>
  </si>
  <si>
    <t>Alisson Airton Sobrinho - 27/02/2025 13:28:38</t>
  </si>
  <si>
    <t>Alisson Airton Sobrinho - 27/02/2025 13:28:37</t>
  </si>
  <si>
    <t>Alisson Airton Sobrinho - 27/02/2025 13:28:43</t>
  </si>
  <si>
    <t>Alisson Airton Sobrinho - 27/02/2025 13:28:45</t>
  </si>
  <si>
    <t>Alisson Airton Sobrinho - 27/02/2025 13:28:49</t>
  </si>
  <si>
    <t>Alisson Airton Sobrinho - 27/02/2025 13:28:51</t>
  </si>
  <si>
    <t>Alisson Airton Sobrinho - 27/02/2025 13:28:53</t>
  </si>
  <si>
    <t>Alisson Airton Sobrinho - 27/02/2025 13:28:54</t>
  </si>
  <si>
    <t>Alisson Airton Sobrinho - 07/03/2025 07:21:42</t>
  </si>
  <si>
    <t>Alisson Airton Sobrinho - 07/03/2025 07:21:43</t>
  </si>
  <si>
    <t>Alisson Airton Sobrinho - 07/03/2025 07:21:44</t>
  </si>
  <si>
    <t>Alisson Airton Sobrinho - 07/03/2025 07:21:45</t>
  </si>
  <si>
    <t>Alisson Airton Sobrinho - 02/27/2025 13:24:50</t>
  </si>
  <si>
    <t>Caixa 4 5º Efeito Açucar</t>
  </si>
  <si>
    <t>BC3026</t>
  </si>
  <si>
    <t>Bomba De Agua Condensador Barometrico Evaporação</t>
  </si>
  <si>
    <t>Weslley Ferreira Cooper - 30/01/2025 12:02:29</t>
  </si>
  <si>
    <t>Weslley Ferreira Cooper - 30/01/2025 12:02:28</t>
  </si>
  <si>
    <t>Weslley Ferreira Cooper - 30/01/2025 12:02:25</t>
  </si>
  <si>
    <t>Weslley Ferreira Cooper - 30/01/2025 12:02:24</t>
  </si>
  <si>
    <t>Weslley Ferreira Cooper - 30/01/2025 12:02:22</t>
  </si>
  <si>
    <t>Weslley Ferreira Cooper - 30/01/2025 12:02:21</t>
  </si>
  <si>
    <t>Weslley Ferreira Cooper - 30/01/2025 12:02:19</t>
  </si>
  <si>
    <t>Weslley Ferreira Cooper - 30/01/2025 12:02:17</t>
  </si>
  <si>
    <t>Weslley Ferreira Cooper - 30/01/2025 12:02:16</t>
  </si>
  <si>
    <t>Weslley Ferreira Cooper - 30/01/2025 12:02:14</t>
  </si>
  <si>
    <t>Weslley Ferreira Cooper - 30/01/2025 12:02:11</t>
  </si>
  <si>
    <t>Weslley Ferreira Cooper - 30/01/2025 12:02:10</t>
  </si>
  <si>
    <t>Weslley Ferreira Cooper - 30/01/2025 12:02:08</t>
  </si>
  <si>
    <t>Weslley Ferreira Cooper - 30/01/2025 12:02:06</t>
  </si>
  <si>
    <t>Weslley Ferreira Cooper - 30/01/2025 12:02:05</t>
  </si>
  <si>
    <t>Weslley Ferreira Cooper - 30/01/2025 12:02:04</t>
  </si>
  <si>
    <t>Adriel da Silva Queiroz - 03/03/2025 11:17:40</t>
  </si>
  <si>
    <t>Adriel da Silva Queiroz - 03/03/2025 11:17:41</t>
  </si>
  <si>
    <t>Adriel da Silva Queiroz - 03/03/2025 11:17:48</t>
  </si>
  <si>
    <t>Adriel da Silva Queiroz - 03/03/2025 11:17:42</t>
  </si>
  <si>
    <t>Adriel da Silva Queiroz - 03/03/2025 11:17:46</t>
  </si>
  <si>
    <t>Adriel da Silva Queiroz - 03/03/2025 11:18:25</t>
  </si>
  <si>
    <t>Adriel da Silva Queiroz - 03/03/2025 11:18:30</t>
  </si>
  <si>
    <t>Adriel da Silva Queiroz - 03/03/2025 11:18:31</t>
  </si>
  <si>
    <t>Adriel da Silva Queiroz - 03/03/2025 11:18:34</t>
  </si>
  <si>
    <t>Adriel da Silva Queiroz - 03/03/2025 11:18:32</t>
  </si>
  <si>
    <t>Alisson Airton Sobrinho - 06/03/2025 12:12:50</t>
  </si>
  <si>
    <t>Alisson Airton Sobrinho - 06/03/2025 12:12:51</t>
  </si>
  <si>
    <t>Alisson Airton Sobrinho - 06/03/2025 12:12:52</t>
  </si>
  <si>
    <t>Alisson Airton Sobrinho - 06/03/2025 12:12:53</t>
  </si>
  <si>
    <t>Base de Dados_Images/BC3026.Imagem do Equipamento-.151353.jpg</t>
  </si>
  <si>
    <t>Weslley Ferreira Cooper - 30/01/2025 12:01:54</t>
  </si>
  <si>
    <t>BC3501</t>
  </si>
  <si>
    <t>Bomba 01 De Condensado Escape Para Desaerador</t>
  </si>
  <si>
    <t>Adriel da Silva Queiroz - 04/02/2025 08:52:35</t>
  </si>
  <si>
    <t>Adriel da Silva Queiroz - 04/02/2025 08:52:37</t>
  </si>
  <si>
    <t>Adriel da Silva Queiroz - 04/02/2025 08:52:38</t>
  </si>
  <si>
    <t>Adriel da Silva Queiroz - 04/02/2025 08:52:40</t>
  </si>
  <si>
    <t>Adriel da Silva Queiroz - 04/02/2025 08:52:43</t>
  </si>
  <si>
    <t>Adriel da Silva Queiroz - 04/02/2025 08:52:41</t>
  </si>
  <si>
    <t>Adriel da Silva Queiroz - 04/02/2025 08:52:45</t>
  </si>
  <si>
    <t>Adriel da Silva Queiroz - 04/02/2025 08:52:46</t>
  </si>
  <si>
    <t>Adriel da Silva Queiroz - 04/02/2025 08:52:48</t>
  </si>
  <si>
    <t>Adriel da Silva Queiroz - 04/02/2025 08:53:26</t>
  </si>
  <si>
    <t>Adriel da Silva Queiroz - 04/02/2025 08:52:58</t>
  </si>
  <si>
    <t>Adriel da Silva Queiroz - 04/02/2025 08:53:03</t>
  </si>
  <si>
    <t>Adriel da Silva Queiroz - 04/02/2025 08:53:05</t>
  </si>
  <si>
    <t>Adriel da Silva Queiroz - 04/02/2025 08:53:11</t>
  </si>
  <si>
    <t>Adriel da Silva Queiroz - 04/02/2025 08:53:17</t>
  </si>
  <si>
    <t>Adriel da Silva Queiroz - 04/02/2025 08:53:18</t>
  </si>
  <si>
    <t>Alisson Airton Sobrinho - 03/03/2025 10:57:23</t>
  </si>
  <si>
    <t>Alisson Airton Sobrinho - 03/03/2025 10:57:24</t>
  </si>
  <si>
    <t>Alisson Airton Sobrinho - 03/03/2025 10:57:25</t>
  </si>
  <si>
    <t>Alisson Airton Sobrinho - 03/03/2025 10:57:26</t>
  </si>
  <si>
    <t>Alisson Airton Sobrinho - 03/03/2025 10:57:27</t>
  </si>
  <si>
    <t>Alisson Airton Sobrinho - 03/03/2025 10:57:31</t>
  </si>
  <si>
    <t>Alisson Airton Sobrinho - 03/03/2025 10:57:33</t>
  </si>
  <si>
    <t>Alisson Airton Sobrinho - 03/03/2025 10:57:34</t>
  </si>
  <si>
    <t>Alisson Airton Sobrinho - 07/03/2025 09:05:24</t>
  </si>
  <si>
    <t>Alisson Airton Sobrinho - 07/03/2025 09:05:25</t>
  </si>
  <si>
    <t>Alisson Airton Sobrinho - 07/03/2025 09:05:26</t>
  </si>
  <si>
    <t>Alisson Airton Sobrinho - 07/03/2025 09:05:27</t>
  </si>
  <si>
    <t>Base de Dados_Images/BC3501.Imagem do Equipamento-.185637.jpg</t>
  </si>
  <si>
    <t>Erico Borges De Freitas - 04/02/2025 15:46:00</t>
  </si>
  <si>
    <t>BC3502</t>
  </si>
  <si>
    <t>Bomba 02 De Condensado Escape Para Desaerador</t>
  </si>
  <si>
    <t>Adriel da Silva Queiroz - 04/02/2025 08:51:21</t>
  </si>
  <si>
    <t>Adriel da Silva Queiroz - 04/02/2025 08:51:22</t>
  </si>
  <si>
    <t>Adriel da Silva Queiroz - 04/02/2025 08:51:23</t>
  </si>
  <si>
    <t>Adriel da Silva Queiroz - 04/02/2025 08:51:24</t>
  </si>
  <si>
    <t>Adriel da Silva Queiroz - 04/02/2025 08:51:28</t>
  </si>
  <si>
    <t>Adriel da Silva Queiroz - 04/02/2025 08:51:29</t>
  </si>
  <si>
    <t>Adriel da Silva Queiroz - 04/02/2025 08:51:30</t>
  </si>
  <si>
    <t>Adriel da Silva Queiroz - 04/02/2025 08:51:31</t>
  </si>
  <si>
    <t>Adriel da Silva Queiroz - 04/02/2025 08:51:33</t>
  </si>
  <si>
    <t>Adriel da Silva Queiroz - 04/02/2025 08:54:14</t>
  </si>
  <si>
    <t>Adriel da Silva Queiroz - 04/02/2025 08:51:38</t>
  </si>
  <si>
    <t>Adriel da Silva Queiroz - 04/02/2025 08:51:36</t>
  </si>
  <si>
    <t>Adriel da Silva Queiroz - 04/02/2025 08:51:41</t>
  </si>
  <si>
    <t>Adriel da Silva Queiroz - 04/02/2025 08:51:42</t>
  </si>
  <si>
    <t>Alisson Airton Sobrinho - 03/03/2025 10:57:39</t>
  </si>
  <si>
    <t>Alisson Airton Sobrinho - 03/03/2025 10:57:40</t>
  </si>
  <si>
    <t>Alisson Airton Sobrinho - 03/03/2025 10:57:41</t>
  </si>
  <si>
    <t>Alisson Airton Sobrinho - 03/03/2025 10:57:42</t>
  </si>
  <si>
    <t>Alisson Airton Sobrinho - 03/03/2025 10:57:44</t>
  </si>
  <si>
    <t>Alisson Airton Sobrinho - 03/03/2025 10:57:45</t>
  </si>
  <si>
    <t>Alisson Airton Sobrinho - 03/03/2025 10:57:48</t>
  </si>
  <si>
    <t>Alisson Airton Sobrinho - 03/03/2025 10:57:49</t>
  </si>
  <si>
    <t>Alisson Airton Sobrinho - 03/03/2025 10:57:50</t>
  </si>
  <si>
    <t>Alisson Airton Sobrinho - 03/03/2025 10:57:51</t>
  </si>
  <si>
    <t>Alisson Airton Sobrinho - 07/03/2025 09:05:35</t>
  </si>
  <si>
    <t>Alisson Airton Sobrinho - 07/03/2025 09:05:36</t>
  </si>
  <si>
    <t>Alisson Airton Sobrinho - 07/03/2025 09:05:38</t>
  </si>
  <si>
    <t>Base de Dados_Images/BC3502.Imagem do Equipamento-.185630.jpg</t>
  </si>
  <si>
    <t>Erico Borges De Freitas - 04/02/2025 15:45:16</t>
  </si>
  <si>
    <t>BC3503</t>
  </si>
  <si>
    <t>Caldo pré evaporado</t>
  </si>
  <si>
    <t>Adriel da Silva Queiroz - 17/02/2025 10:23:41</t>
  </si>
  <si>
    <t>Adriel da Silva Queiroz - 17/02/2025 10:23:43</t>
  </si>
  <si>
    <t>Adriel da Silva Queiroz - 17/02/2025 10:23:52</t>
  </si>
  <si>
    <t>Adriel da Silva Queiroz - 17/02/2025 10:23:49</t>
  </si>
  <si>
    <t>Adriel da Silva Queiroz - 17/02/2025 10:23:54</t>
  </si>
  <si>
    <t>Adriel da Silva Queiroz - 17/02/2025 10:24:02</t>
  </si>
  <si>
    <t>Adriel da Silva Queiroz - 17/02/2025 10:24:04</t>
  </si>
  <si>
    <t>Adriel da Silva Queiroz - 17/02/2025 10:24:07</t>
  </si>
  <si>
    <t>Adriel da Silva Queiroz - 17/02/2025 10:24:12</t>
  </si>
  <si>
    <t>Adriel da Silva Queiroz - 17/02/2025 10:24:17</t>
  </si>
  <si>
    <t>Adriel da Silva Queiroz - 17/02/2025 10:24:20</t>
  </si>
  <si>
    <t>Adriel da Silva Queiroz - 17/02/2025 10:24:28</t>
  </si>
  <si>
    <t>Adriel da Silva Queiroz - 17/02/2025 10:24:32</t>
  </si>
  <si>
    <t>Adriel da Silva Queiroz - 17/02/2025 10:24:34</t>
  </si>
  <si>
    <t>Adriel da Silva Queiroz - 17/02/2025 10:24:39</t>
  </si>
  <si>
    <t>Adriel da Silva Queiroz - 17/02/2025 10:24:37</t>
  </si>
  <si>
    <t>Alisson Airton Sobrinho - 03/03/2025 10:40:48</t>
  </si>
  <si>
    <t>Alisson Airton Sobrinho - 03/03/2025 10:40:49</t>
  </si>
  <si>
    <t>Alisson Airton Sobrinho - 03/03/2025 10:40:50</t>
  </si>
  <si>
    <t>Alisson Airton Sobrinho - 03/03/2025 10:40:51</t>
  </si>
  <si>
    <t>Alisson Airton Sobrinho - 03/03/2025 10:40:53</t>
  </si>
  <si>
    <t>Alisson Airton Sobrinho - 03/03/2025 10:40:56</t>
  </si>
  <si>
    <t>Alisson Airton Sobrinho - 03/03/2025 10:40:57</t>
  </si>
  <si>
    <t>Alisson Airton Sobrinho - 03/03/2025 10:40:58</t>
  </si>
  <si>
    <t>Alisson Airton Sobrinho - 03/03/2025 10:40:59</t>
  </si>
  <si>
    <t>Beatriz Alves Nunes de Paulo - 06/03/2025 08:42:35</t>
  </si>
  <si>
    <t>Beatriz Alves Nunes de Paulo - 06/03/2025 08:42:36</t>
  </si>
  <si>
    <t>Beatriz Alves Nunes de Paulo - 06/03/2025 08:42:37</t>
  </si>
  <si>
    <t>Beatriz Alves Nunes de Paulo - 06/03/2025 08:42:39</t>
  </si>
  <si>
    <t>Alisson Airton Sobrinho - 02/17/2025 10:22:51</t>
  </si>
  <si>
    <t>BC3504</t>
  </si>
  <si>
    <t>Bomba condensado escape</t>
  </si>
  <si>
    <t>Beatriz Alves Nunes de Paulo - 04/02/2025 08:55:41</t>
  </si>
  <si>
    <t>Beatriz Alves Nunes de Paulo - 04/02/2025 08:56:10</t>
  </si>
  <si>
    <t>Beatriz Alves Nunes de Paulo - 04/02/2025 08:56:08</t>
  </si>
  <si>
    <t>Beatriz Alves Nunes de Paulo - 04/02/2025 08:55:49</t>
  </si>
  <si>
    <t>Beatriz Alves Nunes de Paulo - 04/02/2025 08:56:06</t>
  </si>
  <si>
    <t>Beatriz Alves Nunes de Paulo - 04/02/2025 08:56:05</t>
  </si>
  <si>
    <t>Beatriz Alves Nunes de Paulo - 04/02/2025 08:56:04</t>
  </si>
  <si>
    <t>Beatriz Alves Nunes de Paulo - 04/02/2025 08:56:00</t>
  </si>
  <si>
    <t>Beatriz Alves Nunes de Paulo - 04/02/2025 08:56:15</t>
  </si>
  <si>
    <t>Beatriz Alves Nunes de Paulo - 04/02/2025 08:56:16</t>
  </si>
  <si>
    <t>Beatriz Alves Nunes de Paulo - 04/02/2025 08:56:18</t>
  </si>
  <si>
    <t>Beatriz Alves Nunes de Paulo - 04/02/2025 08:57:27</t>
  </si>
  <si>
    <t>Beatriz Alves Nunes de Paulo - 04/02/2025 08:56:22</t>
  </si>
  <si>
    <t>Alisson Airton Sobrinho - 08/02/2025 08:11:06</t>
  </si>
  <si>
    <t>Alisson Airton Sobrinho - 08/02/2025 08:11:09</t>
  </si>
  <si>
    <t>Alisson Airton Sobrinho - 08/02/2025 08:11:13</t>
  </si>
  <si>
    <t>Alisson Airton Sobrinho - 08/02/2025 08:11:14</t>
  </si>
  <si>
    <t>Alisson Airton Sobrinho - 08/02/2025 08:11:18</t>
  </si>
  <si>
    <t>Alisson Airton Sobrinho - 08/02/2025 08:11:21</t>
  </si>
  <si>
    <t>Adriel da Silva Queiroz - 03/03/2025 11:19:20</t>
  </si>
  <si>
    <t>Adriel da Silva Queiroz - 03/03/2025 11:19:22</t>
  </si>
  <si>
    <t>Adriel da Silva Queiroz - 03/03/2025 11:19:21</t>
  </si>
  <si>
    <t>Adriel da Silva Queiroz - 03/03/2025 11:19:23</t>
  </si>
  <si>
    <t>Alisson Airton Sobrinho - 07/03/2025 07:23:25</t>
  </si>
  <si>
    <t>Alisson Airton Sobrinho - 07/03/2025 07:23:27</t>
  </si>
  <si>
    <t>Beatriz Alves Nunes de Paulo - 02/04/2025 08:55:34</t>
  </si>
  <si>
    <t>BC3505</t>
  </si>
  <si>
    <t>Tanque pré condensado</t>
  </si>
  <si>
    <t>Beatriz Alves Nunes de Paulo - 04/02/2025 08:56:46</t>
  </si>
  <si>
    <t>Beatriz Alves Nunes de Paulo - 04/02/2025 08:56:47</t>
  </si>
  <si>
    <t>Beatriz Alves Nunes de Paulo - 04/02/2025 08:56:50</t>
  </si>
  <si>
    <t>Beatriz Alves Nunes de Paulo - 04/02/2025 08:56:52</t>
  </si>
  <si>
    <t>Beatriz Alves Nunes de Paulo - 04/02/2025 08:56:53</t>
  </si>
  <si>
    <t>Beatriz Alves Nunes de Paulo - 04/02/2025 08:56:56</t>
  </si>
  <si>
    <t>Beatriz Alves Nunes de Paulo - 04/02/2025 08:56:57</t>
  </si>
  <si>
    <t>Beatriz Alves Nunes de Paulo - 04/02/2025 08:56:59</t>
  </si>
  <si>
    <t>Beatriz Alves Nunes de Paulo - 04/02/2025 08:57:00</t>
  </si>
  <si>
    <t>Beatriz Alves Nunes de Paulo - 04/02/2025 08:57:02</t>
  </si>
  <si>
    <t>Beatriz Alves Nunes de Paulo - 04/02/2025 08:57:04</t>
  </si>
  <si>
    <t>Beatriz Alves Nunes de Paulo - 04/02/2025 08:57:06</t>
  </si>
  <si>
    <t>Beatriz Alves Nunes de Paulo - 04/02/2025 08:57:08</t>
  </si>
  <si>
    <t>Beatriz Alves Nunes de Paulo - 04/02/2025 08:57:10</t>
  </si>
  <si>
    <t>Alisson Airton Sobrinho - 08/02/2025 08:11:53</t>
  </si>
  <si>
    <t>Alisson Airton Sobrinho - 08/02/2025 08:11:54</t>
  </si>
  <si>
    <t>Alisson Airton Sobrinho - 08/02/2025 08:12:05</t>
  </si>
  <si>
    <t>Alisson Airton Sobrinho - 08/02/2025 08:12:03</t>
  </si>
  <si>
    <t>Alisson Airton Sobrinho - 08/02/2025 08:12:08</t>
  </si>
  <si>
    <t>Alisson Airton Sobrinho - 08/02/2025 08:12:09</t>
  </si>
  <si>
    <t>Adriel da Silva Queiroz - 03/03/2025 11:19:30</t>
  </si>
  <si>
    <t>Adriel da Silva Queiroz - 03/03/2025 11:19:31</t>
  </si>
  <si>
    <t>Adriel da Silva Queiroz - 03/03/2025 11:19:37</t>
  </si>
  <si>
    <t>Adriel da Silva Queiroz - 03/03/2025 11:19:32</t>
  </si>
  <si>
    <t>Alisson Airton Sobrinho - 07/03/2025 07:23:35</t>
  </si>
  <si>
    <t>Alisson Airton Sobrinho - 07/03/2025 07:23:36</t>
  </si>
  <si>
    <t>Alisson Airton Sobrinho - 07/03/2025 07:23:37</t>
  </si>
  <si>
    <t>Beatriz Alves Nunes de Paulo - 02/04/2025 08:56:42</t>
  </si>
  <si>
    <t>BC3506</t>
  </si>
  <si>
    <t>Bomba 02 Condensado</t>
  </si>
  <si>
    <t>Adriel da Silva Queiroz - 17/02/2025 09:57:19</t>
  </si>
  <si>
    <t>Adriel da Silva Queiroz - 17/02/2025 09:57:20</t>
  </si>
  <si>
    <t>Adriel da Silva Queiroz - 17/02/2025 09:57:21</t>
  </si>
  <si>
    <t>Adriel da Silva Queiroz - 17/02/2025 09:57:22</t>
  </si>
  <si>
    <t>Adriel da Silva Queiroz - 17/02/2025 09:57:23</t>
  </si>
  <si>
    <t>Adriel da Silva Queiroz - 17/02/2025 09:57:28</t>
  </si>
  <si>
    <t>Adriel da Silva Queiroz - 17/02/2025 09:57:25</t>
  </si>
  <si>
    <t>Adriel da Silva Queiroz - 17/02/2025 09:57:27</t>
  </si>
  <si>
    <t>Adriel da Silva Queiroz - 17/02/2025 09:57:35</t>
  </si>
  <si>
    <t>Adriel da Silva Queiroz - 17/02/2025 09:57:37</t>
  </si>
  <si>
    <t>Adriel da Silva Queiroz - 17/02/2025 09:57:39</t>
  </si>
  <si>
    <t>Adriel da Silva Queiroz - 17/02/2025 09:57:40</t>
  </si>
  <si>
    <t>Adriel da Silva Queiroz - 17/02/2025 09:57:41</t>
  </si>
  <si>
    <t>Adriel da Silva Queiroz - 17/02/2025 09:57:44</t>
  </si>
  <si>
    <t>Adriel da Silva Queiroz - 17/02/2025 10:18:42</t>
  </si>
  <si>
    <t>Adriel da Silva Queiroz - 17/02/2025 10:18:43</t>
  </si>
  <si>
    <t>Adriel da Silva Queiroz - 17/02/2025 10:18:50</t>
  </si>
  <si>
    <t>Beatriz Alves Nunes de Paulo - 06/03/2025 09:00:03</t>
  </si>
  <si>
    <t>Beatriz Alves Nunes de Paulo - 06/03/2025 09:00:04</t>
  </si>
  <si>
    <t>Beatriz Alves Nunes de Paulo - 06/03/2025 09:00:05</t>
  </si>
  <si>
    <t>Beatriz Alves Nunes de Paulo - 06/03/2025 09:00:08</t>
  </si>
  <si>
    <t>Beatriz Alves Nunes de Paulo - 06/03/2025 09:00:09</t>
  </si>
  <si>
    <t>Beatriz Alves Nunes de Paulo - 06/03/2025 09:00:10</t>
  </si>
  <si>
    <t>Beatriz Alves Nunes de Paulo - 06/03/2025 09:00:11</t>
  </si>
  <si>
    <t>Alisson Airton Sobrinho - 07/03/2025 08:23:05</t>
  </si>
  <si>
    <t>Alisson Airton Sobrinho - 07/03/2025 08:23:06</t>
  </si>
  <si>
    <t>Alisson Airton Sobrinho - 07/03/2025 08:23:07</t>
  </si>
  <si>
    <t>Alisson Airton Sobrinho - 07/03/2025 08:23:08</t>
  </si>
  <si>
    <t>Beatriz Alves Nunes de Paulo - 02/06/2025 13:58:45</t>
  </si>
  <si>
    <t>BC3507 (Duplicado 1)</t>
  </si>
  <si>
    <t>Bomba de água de embebição</t>
  </si>
  <si>
    <t>Beatriz Alves Nunes de Paulo - 28/01/2025 11:20:58</t>
  </si>
  <si>
    <t>Beatriz Alves Nunes de Paulo - 28/01/2025 11:21:02</t>
  </si>
  <si>
    <t>Beatriz Alves Nunes de Paulo - 28/01/2025 11:21:22</t>
  </si>
  <si>
    <t>Beatriz Alves Nunes de Paulo - 28/01/2025 11:21:27</t>
  </si>
  <si>
    <t>Beatriz Alves Nunes de Paulo - 28/01/2025 11:21:29</t>
  </si>
  <si>
    <t>Beatriz Alves Nunes de Paulo - 28/01/2025 11:21:31</t>
  </si>
  <si>
    <t>Beatriz Alves Nunes de Paulo - 28/01/2025 11:21:34</t>
  </si>
  <si>
    <t>Beatriz Alves Nunes de Paulo - 28/01/2025 11:21:36</t>
  </si>
  <si>
    <t>Beatriz Alves Nunes de Paulo - 28/01/2025 11:21:42</t>
  </si>
  <si>
    <t>Beatriz Alves Nunes de Paulo - 28/01/2025 11:21:47</t>
  </si>
  <si>
    <t>Beatriz Alves Nunes de Paulo - 28/01/2025 11:21:49</t>
  </si>
  <si>
    <t>Beatriz Alves Nunes de Paulo - 28/01/2025 11:21:53</t>
  </si>
  <si>
    <t>Beatriz Alves Nunes de Paulo - 28/01/2025 11:21:58</t>
  </si>
  <si>
    <t>Beatriz Alves Nunes de Paulo - 28/01/2025 11:22:01</t>
  </si>
  <si>
    <t>Beatriz Alves Nunes de Paulo - 28/01/2025 11:22:03</t>
  </si>
  <si>
    <t>Beatriz Alves Nunes de Paulo - 28/01/2025 11:22:08</t>
  </si>
  <si>
    <t>Alisson Airton Sobrinho - 03/03/2025 10:47:48</t>
  </si>
  <si>
    <t>Alisson Airton Sobrinho - 03/03/2025 10:47:49</t>
  </si>
  <si>
    <t>Alisson Airton Sobrinho - 03/03/2025 10:47:50</t>
  </si>
  <si>
    <t>Alisson Airton Sobrinho - 03/03/2025 10:47:54</t>
  </si>
  <si>
    <t>Alisson Airton Sobrinho - 03/03/2025 10:47:55</t>
  </si>
  <si>
    <t>Alisson Airton Sobrinho - 03/03/2025 10:47:56</t>
  </si>
  <si>
    <t>Alisson Airton Sobrinho - 03/03/2025 10:47:59</t>
  </si>
  <si>
    <t>Alisson Airton Sobrinho - 03/03/2025 10:48:00</t>
  </si>
  <si>
    <t>Alisson Airton Sobrinho - 03/03/2025 10:48:01</t>
  </si>
  <si>
    <t>Alisson Airton Sobrinho - 03/03/2025 10:48:02</t>
  </si>
  <si>
    <t>Beatriz Alves Nunes de Paulo - 06/03/2025 08:41:00</t>
  </si>
  <si>
    <t>Beatriz Alves Nunes de Paulo - 06/03/2025 08:41:01</t>
  </si>
  <si>
    <t>Beatriz Alves Nunes de Paulo - 06/03/2025 08:41:03</t>
  </si>
  <si>
    <t>Beatriz Alves Nunes de Paulo - 01/28/2025 11:20:45</t>
  </si>
  <si>
    <t>Tanque Embebição</t>
  </si>
  <si>
    <t>BC3507 (Duplicado 2)</t>
  </si>
  <si>
    <t>Bomba 01 De Agua De Embebição</t>
  </si>
  <si>
    <t>Alisson Airton Sobrinho - 27/02/2025 13:29:12</t>
  </si>
  <si>
    <t>Alisson Airton Sobrinho - 27/02/2025 13:29:16</t>
  </si>
  <si>
    <t>Alisson Airton Sobrinho - 27/02/2025 13:29:15</t>
  </si>
  <si>
    <t>Alisson Airton Sobrinho - 27/02/2025 13:29:20</t>
  </si>
  <si>
    <t>Alisson Airton Sobrinho - 27/02/2025 13:29:22</t>
  </si>
  <si>
    <t>Alisson Airton Sobrinho - 27/02/2025 13:29:23</t>
  </si>
  <si>
    <t>Alisson Airton Sobrinho - 27/02/2025 13:29:25</t>
  </si>
  <si>
    <t>Alisson Airton Sobrinho - 27/02/2025 13:29:26</t>
  </si>
  <si>
    <t>Alisson Airton Sobrinho - 27/02/2025 13:29:28</t>
  </si>
  <si>
    <t>Alisson Airton Sobrinho - 27/02/2025 13:29:29</t>
  </si>
  <si>
    <t>Alisson Airton Sobrinho - 27/02/2025 13:29:33</t>
  </si>
  <si>
    <t>Alisson Airton Sobrinho - 27/02/2025 13:29:40</t>
  </si>
  <si>
    <t>Alisson Airton Sobrinho - 27/02/2025 13:29:39</t>
  </si>
  <si>
    <t>Alisson Airton Sobrinho - 27/02/2025 13:29:43</t>
  </si>
  <si>
    <t>Alisson Airton Sobrinho - 27/02/2025 13:29:47</t>
  </si>
  <si>
    <t>Alisson Airton Sobrinho - 27/02/2025 13:29:49</t>
  </si>
  <si>
    <t>Beatriz Alves Nunes de Paulo - 06/03/2025 08:14:28</t>
  </si>
  <si>
    <t>Beatriz Alves Nunes de Paulo - 06/03/2025 08:14:33</t>
  </si>
  <si>
    <t>Beatriz Alves Nunes de Paulo - 06/03/2025 08:14:30</t>
  </si>
  <si>
    <t>Beatriz Alves Nunes de Paulo - 06/03/2025 08:14:36</t>
  </si>
  <si>
    <t>Beatriz Alves Nunes de Paulo - 06/03/2025 08:14:37</t>
  </si>
  <si>
    <t>Beatriz Alves Nunes de Paulo - 06/03/2025 08:14:41</t>
  </si>
  <si>
    <t>Beatriz Alves Nunes de Paulo - 06/03/2025 08:14:43</t>
  </si>
  <si>
    <t>Beatriz Alves Nunes de Paulo - 06/03/2025 08:14:44</t>
  </si>
  <si>
    <t>Alisson Airton Sobrinho - 07/03/2025 06:48:32</t>
  </si>
  <si>
    <t>Alisson Airton Sobrinho - 07/03/2025 06:48:34</t>
  </si>
  <si>
    <t>Alisson Airton Sobrinho - 07/03/2025 06:48:35</t>
  </si>
  <si>
    <t>Alisson Airton Sobrinho - 02/27/2025 13:29:03</t>
  </si>
  <si>
    <t>BC3508 (Duplicado 1)</t>
  </si>
  <si>
    <t>Beatriz Alves Nunes de Paulo - 28/01/2025 11:24:25</t>
  </si>
  <si>
    <t>Beatriz Alves Nunes de Paulo - 28/01/2025 11:24:26</t>
  </si>
  <si>
    <t>Beatriz Alves Nunes de Paulo - 28/01/2025 11:24:34</t>
  </si>
  <si>
    <t>Beatriz Alves Nunes de Paulo - 28/01/2025 11:24:40</t>
  </si>
  <si>
    <t>Beatriz Alves Nunes de Paulo - 28/01/2025 11:24:41</t>
  </si>
  <si>
    <t>Beatriz Alves Nunes de Paulo - 28/01/2025 11:24:45</t>
  </si>
  <si>
    <t>Beatriz Alves Nunes de Paulo - 28/01/2025 11:24:47</t>
  </si>
  <si>
    <t>Beatriz Alves Nunes de Paulo - 28/01/2025 11:24:51</t>
  </si>
  <si>
    <t>Beatriz Alves Nunes de Paulo - 28/01/2025 11:24:53</t>
  </si>
  <si>
    <t>Beatriz Alves Nunes de Paulo - 28/01/2025 11:24:55</t>
  </si>
  <si>
    <t>Beatriz Alves Nunes de Paulo - 28/01/2025 11:24:57</t>
  </si>
  <si>
    <t>Beatriz Alves Nunes de Paulo - 28/01/2025 11:25:01</t>
  </si>
  <si>
    <t>Beatriz Alves Nunes de Paulo - 28/01/2025 11:25:06</t>
  </si>
  <si>
    <t>Beatriz Alves Nunes de Paulo - 28/01/2025 11:25:08</t>
  </si>
  <si>
    <t>Beatriz Alves Nunes de Paulo - 28/01/2025 11:25:10</t>
  </si>
  <si>
    <t>Beatriz Alves Nunes de Paulo - 28/01/2025 11:25:19</t>
  </si>
  <si>
    <t>Alisson Airton Sobrinho - 03/03/2025 10:47:32</t>
  </si>
  <si>
    <t>Alisson Airton Sobrinho - 03/03/2025 10:47:33</t>
  </si>
  <si>
    <t>Alisson Airton Sobrinho - 03/03/2025 10:47:34</t>
  </si>
  <si>
    <t>Alisson Airton Sobrinho - 03/03/2025 10:47:35</t>
  </si>
  <si>
    <t>Alisson Airton Sobrinho - 03/03/2025 10:47:36</t>
  </si>
  <si>
    <t>Alisson Airton Sobrinho - 03/03/2025 10:47:39</t>
  </si>
  <si>
    <t>Alisson Airton Sobrinho - 03/03/2025 10:47:40</t>
  </si>
  <si>
    <t>Alisson Airton Sobrinho - 03/03/2025 10:47:41</t>
  </si>
  <si>
    <t>Alisson Airton Sobrinho - 03/03/2025 10:47:42</t>
  </si>
  <si>
    <t>Beatriz Alves Nunes de Paulo - 06/03/2025 08:41:09</t>
  </si>
  <si>
    <t>Beatriz Alves Nunes de Paulo - 06/03/2025 08:41:13</t>
  </si>
  <si>
    <t>Beatriz Alves Nunes de Paulo - 06/03/2025 08:41:12</t>
  </si>
  <si>
    <t>Beatriz Alves Nunes de Paulo - 06/03/2025 08:41:15</t>
  </si>
  <si>
    <t>Beatriz Alves Nunes de Paulo - 01/28/2025 11:24:10</t>
  </si>
  <si>
    <t>BC3508 (Duplicado 2)</t>
  </si>
  <si>
    <t>Bomba 02 De Agua De Embebição</t>
  </si>
  <si>
    <t>Alisson Airton Sobrinho - 27/02/2025 13:30:15</t>
  </si>
  <si>
    <t>Alisson Airton Sobrinho - 27/02/2025 13:30:18</t>
  </si>
  <si>
    <t>Alisson Airton Sobrinho - 27/02/2025 13:30:19</t>
  </si>
  <si>
    <t>Alisson Airton Sobrinho - 27/02/2025 13:30:21</t>
  </si>
  <si>
    <t>Alisson Airton Sobrinho - 27/02/2025 13:30:22</t>
  </si>
  <si>
    <t>Alisson Airton Sobrinho - 27/02/2025 13:30:24</t>
  </si>
  <si>
    <t>Alisson Airton Sobrinho - 27/02/2025 13:30:25</t>
  </si>
  <si>
    <t>Alisson Airton Sobrinho - 27/02/2025 13:30:27</t>
  </si>
  <si>
    <t>Alisson Airton Sobrinho - 27/02/2025 13:30:29</t>
  </si>
  <si>
    <t>Alisson Airton Sobrinho - 27/02/2025 13:30:30</t>
  </si>
  <si>
    <t>Alisson Airton Sobrinho - 27/02/2025 13:30:32</t>
  </si>
  <si>
    <t>Alisson Airton Sobrinho - 27/02/2025 13:30:33</t>
  </si>
  <si>
    <t>Alisson Airton Sobrinho - 27/02/2025 13:30:40</t>
  </si>
  <si>
    <t>Alisson Airton Sobrinho - 27/02/2025 13:30:39</t>
  </si>
  <si>
    <t>Alisson Airton Sobrinho - 27/02/2025 13:30:44</t>
  </si>
  <si>
    <t>Alisson Airton Sobrinho - 27/02/2025 13:30:43</t>
  </si>
  <si>
    <t>Beatriz Alves Nunes de Paulo - 06/03/2025 08:14:51</t>
  </si>
  <si>
    <t>Beatriz Alves Nunes de Paulo - 06/03/2025 08:14:54</t>
  </si>
  <si>
    <t>Beatriz Alves Nunes de Paulo - 06/03/2025 08:14:56</t>
  </si>
  <si>
    <t>Beatriz Alves Nunes de Paulo - 06/03/2025 08:14:57</t>
  </si>
  <si>
    <t>Beatriz Alves Nunes de Paulo - 06/03/2025 08:15:00</t>
  </si>
  <si>
    <t>Beatriz Alves Nunes de Paulo - 06/03/2025 08:15:05</t>
  </si>
  <si>
    <t>Beatriz Alves Nunes de Paulo - 06/03/2025 08:15:08</t>
  </si>
  <si>
    <t>Beatriz Alves Nunes de Paulo - 06/03/2025 08:15:09</t>
  </si>
  <si>
    <t>Beatriz Alves Nunes de Paulo - 06/03/2025 08:15:11</t>
  </si>
  <si>
    <t>Beatriz Alves Nunes de Paulo - 06/03/2025 08:15:14</t>
  </si>
  <si>
    <t>Alisson Airton Sobrinho - 07/03/2025 06:48:40</t>
  </si>
  <si>
    <t>Alisson Airton Sobrinho - 07/03/2025 06:48:42</t>
  </si>
  <si>
    <t>Alisson Airton Sobrinho - 07/03/2025 06:48:43</t>
  </si>
  <si>
    <t>Alisson Airton Sobrinho - 02/27/2025 13:30:09</t>
  </si>
  <si>
    <t>BC3509</t>
  </si>
  <si>
    <t>Bomba água de lavagem de filtro</t>
  </si>
  <si>
    <t>Beatriz Alves Nunes de Paulo - 04/02/2025 10:10:16</t>
  </si>
  <si>
    <t>Beatriz Alves Nunes de Paulo - 04/02/2025 10:10:19</t>
  </si>
  <si>
    <t>Beatriz Alves Nunes de Paulo - 04/02/2025 10:10:20</t>
  </si>
  <si>
    <t>Beatriz Alves Nunes de Paulo - 04/02/2025 10:10:23</t>
  </si>
  <si>
    <t>Beatriz Alves Nunes de Paulo - 04/02/2025 10:10:26</t>
  </si>
  <si>
    <t>Beatriz Alves Nunes de Paulo - 04/02/2025 10:10:27</t>
  </si>
  <si>
    <t>Beatriz Alves Nunes de Paulo - 04/02/2025 10:10:29</t>
  </si>
  <si>
    <t>Beatriz Alves Nunes de Paulo - 04/02/2025 10:10:31</t>
  </si>
  <si>
    <t>Beatriz Alves Nunes de Paulo - 04/02/2025 10:10:33</t>
  </si>
  <si>
    <t>Beatriz Alves Nunes de Paulo - 04/02/2025 10:10:34</t>
  </si>
  <si>
    <t>Beatriz Alves Nunes de Paulo - 04/02/2025 10:10:36</t>
  </si>
  <si>
    <t>Beatriz Alves Nunes de Paulo - 04/02/2025 10:10:37</t>
  </si>
  <si>
    <t>Beatriz Alves Nunes de Paulo - 04/02/2025 10:10:42</t>
  </si>
  <si>
    <t>Beatriz Alves Nunes de Paulo - 04/02/2025 10:10:40</t>
  </si>
  <si>
    <t>Beatriz Alves Nunes de Paulo - 04/02/2025 10:10:46</t>
  </si>
  <si>
    <t>Beatriz Alves Nunes de Paulo - 04/02/2025 10:10:44</t>
  </si>
  <si>
    <t>Alisson Airton Sobrinho - 03/03/2025 10:48:17</t>
  </si>
  <si>
    <t>Alisson Airton Sobrinho - 03/03/2025 10:48:18</t>
  </si>
  <si>
    <t>Alisson Airton Sobrinho - 03/03/2025 10:48:19</t>
  </si>
  <si>
    <t>Alisson Airton Sobrinho - 03/03/2025 10:48:20</t>
  </si>
  <si>
    <t>Alisson Airton Sobrinho - 03/03/2025 10:48:21</t>
  </si>
  <si>
    <t>Alisson Airton Sobrinho - 03/03/2025 10:48:22</t>
  </si>
  <si>
    <t>Alisson Airton Sobrinho - 03/03/2025 10:48:26</t>
  </si>
  <si>
    <t>Alisson Airton Sobrinho - 03/03/2025 10:48:27</t>
  </si>
  <si>
    <t>Alisson Airton Sobrinho - 03/03/2025 10:48:28</t>
  </si>
  <si>
    <t>Alisson Airton Sobrinho - 03/03/2025 10:48:29</t>
  </si>
  <si>
    <t>Beatriz Alves Nunes de Paulo - 06/03/2025 08:41:23</t>
  </si>
  <si>
    <t>Beatriz Alves Nunes de Paulo - 06/03/2025 08:41:24</t>
  </si>
  <si>
    <t>Beatriz Alves Nunes de Paulo - 06/03/2025 08:41:27</t>
  </si>
  <si>
    <t>Beatriz Alves Nunes de Paulo - 02/04/2025 10:09:36</t>
  </si>
  <si>
    <t>Tanque Xarope Fabrica</t>
  </si>
  <si>
    <t>BC4002</t>
  </si>
  <si>
    <t>Bba Do Tq Pulmao Xarope</t>
  </si>
  <si>
    <t>Beatriz Alves Nunes de Paulo - 28/01/2025 09:15:20</t>
  </si>
  <si>
    <t>Beatriz Alves Nunes de Paulo - 28/01/2025 09:15:23</t>
  </si>
  <si>
    <t>Beatriz Alves Nunes de Paulo - 28/01/2025 09:15:25</t>
  </si>
  <si>
    <t>Beatriz Alves Nunes de Paulo - 28/01/2025 09:15:29</t>
  </si>
  <si>
    <t>Beatriz Alves Nunes de Paulo - 28/01/2025 09:15:28</t>
  </si>
  <si>
    <t>Beatriz Alves Nunes de Paulo - 28/01/2025 09:15:35</t>
  </si>
  <si>
    <t>Beatriz Alves Nunes de Paulo - 28/01/2025 09:15:36</t>
  </si>
  <si>
    <t>Beatriz Alves Nunes de Paulo - 28/01/2025 09:15:39</t>
  </si>
  <si>
    <t>Beatriz Alves Nunes de Paulo - 28/01/2025 09:15:42</t>
  </si>
  <si>
    <t>Beatriz Alves Nunes de Paulo - 28/01/2025 09:15:53</t>
  </si>
  <si>
    <t>Beatriz Alves Nunes de Paulo - 28/01/2025 09:15:54</t>
  </si>
  <si>
    <t>Beatriz Alves Nunes de Paulo - 28/01/2025 09:15:58</t>
  </si>
  <si>
    <t>Beatriz Alves Nunes de Paulo - 28/01/2025 09:16:00</t>
  </si>
  <si>
    <t>Beatriz Alves Nunes de Paulo - 28/01/2025 09:16:02</t>
  </si>
  <si>
    <t>Beatriz Alves Nunes de Paulo - 28/01/2025 09:16:08</t>
  </si>
  <si>
    <t>Beatriz Alves Nunes de Paulo - 28/01/2025 09:16:11</t>
  </si>
  <si>
    <t>Beatriz Alves Nunes de Paulo - 04/02/2025 14:24:47</t>
  </si>
  <si>
    <t>Beatriz Alves Nunes de Paulo - 04/02/2025 14:24:48</t>
  </si>
  <si>
    <t>Beatriz Alves Nunes de Paulo - 04/02/2025 14:24:54</t>
  </si>
  <si>
    <t>Beatriz Alves Nunes de Paulo - 04/02/2025 14:24:55</t>
  </si>
  <si>
    <t>Beatriz Alves Nunes de Paulo - 04/02/2025 14:24:56</t>
  </si>
  <si>
    <t>Beatriz Alves Nunes de Paulo - 04/02/2025 14:24:57</t>
  </si>
  <si>
    <t>Alisson Airton Sobrinho - 05/03/2025 07:42:57</t>
  </si>
  <si>
    <t>Alisson Airton Sobrinho - 05/03/2025 07:42:58</t>
  </si>
  <si>
    <t>Alisson Airton Sobrinho - 05/03/2025 07:42:59</t>
  </si>
  <si>
    <t>Alisson Airton Sobrinho - 05/03/2025 07:43:05</t>
  </si>
  <si>
    <t>Alisson Airton Sobrinho - 05/03/2025 07:43:06</t>
  </si>
  <si>
    <t>Alisson Airton Sobrinho - 05/03/2025 07:43:08</t>
  </si>
  <si>
    <t>Base de Dados_Images/BC4002.Imagem do Equipamento-.162853.jpg</t>
  </si>
  <si>
    <t>Beatriz Alves Nunes de Paulo - 28/01/2025 09:15:07</t>
  </si>
  <si>
    <t>BC4003</t>
  </si>
  <si>
    <t>Bba (Reserva) Do Tq Pulmao Xarope</t>
  </si>
  <si>
    <t>Beatriz Alves Nunes de Paulo - 30/01/2025 08:13:18</t>
  </si>
  <si>
    <t>Beatriz Alves Nunes de Paulo - 30/01/2025 08:13:22</t>
  </si>
  <si>
    <t>Beatriz Alves Nunes de Paulo - 30/01/2025 08:13:24</t>
  </si>
  <si>
    <t>Beatriz Alves Nunes de Paulo - 30/01/2025 08:13:30</t>
  </si>
  <si>
    <t>Beatriz Alves Nunes de Paulo - 30/01/2025 08:13:37</t>
  </si>
  <si>
    <t>Beatriz Alves Nunes de Paulo - 30/01/2025 08:13:39</t>
  </si>
  <si>
    <t>Beatriz Alves Nunes de Paulo - 30/01/2025 08:13:51</t>
  </si>
  <si>
    <t>Beatriz Alves Nunes de Paulo - 30/01/2025 08:13:53</t>
  </si>
  <si>
    <t>Beatriz Alves Nunes de Paulo - 30/01/2025 08:13:59</t>
  </si>
  <si>
    <t>Beatriz Alves Nunes de Paulo - 30/01/2025 08:13:57</t>
  </si>
  <si>
    <t>Beatriz Alves Nunes de Paulo - 30/01/2025 08:14:06</t>
  </si>
  <si>
    <t>Beatriz Alves Nunes de Paulo - 30/01/2025 08:14:07</t>
  </si>
  <si>
    <t>Beatriz Alves Nunes de Paulo - 30/01/2025 08:14:09</t>
  </si>
  <si>
    <t>Beatriz Alves Nunes de Paulo - 30/01/2025 08:14:13</t>
  </si>
  <si>
    <t>Beatriz Alves Nunes de Paulo - 30/01/2025 08:14:16</t>
  </si>
  <si>
    <t>Beatriz Alves Nunes de Paulo - 30/01/2025 08:14:18</t>
  </si>
  <si>
    <t>Beatriz Alves Nunes de Paulo - 04/02/2025 14:25:10</t>
  </si>
  <si>
    <t>Beatriz Alves Nunes de Paulo - 04/02/2025 14:25:13</t>
  </si>
  <si>
    <t>Beatriz Alves Nunes de Paulo - 04/02/2025 14:25:19</t>
  </si>
  <si>
    <t>Beatriz Alves Nunes de Paulo - 04/02/2025 14:25:20</t>
  </si>
  <si>
    <t>Beatriz Alves Nunes de Paulo - 04/02/2025 14:25:17</t>
  </si>
  <si>
    <t>Beatriz Alves Nunes de Paulo - 04/02/2025 14:25:18</t>
  </si>
  <si>
    <t>Alisson Airton Sobrinho - 05/03/2025 07:43:13</t>
  </si>
  <si>
    <t>Alisson Airton Sobrinho - 05/03/2025 07:43:16</t>
  </si>
  <si>
    <t>Alisson Airton Sobrinho - 05/03/2025 07:43:17</t>
  </si>
  <si>
    <t>Alisson Airton Sobrinho - 05/03/2025 07:43:21</t>
  </si>
  <si>
    <t>Alisson Airton Sobrinho - 05/03/2025 07:43:22</t>
  </si>
  <si>
    <t>Alisson Airton Sobrinho - 05/03/2025 07:43:23</t>
  </si>
  <si>
    <t>Beatriz Alves Nunes de Paulo - 01/30/2025 08:13:12</t>
  </si>
  <si>
    <t>Lavador De Po</t>
  </si>
  <si>
    <t>BC4004</t>
  </si>
  <si>
    <t>Bba Separador Po Secador Acucar</t>
  </si>
  <si>
    <t>Alisson Airton Sobrinho - 27/01/2025 13:19:24</t>
  </si>
  <si>
    <t>Alisson Airton Sobrinho - 27/01/2025 13:19:30</t>
  </si>
  <si>
    <t>Alisson Airton Sobrinho - 27/01/2025 13:19:42</t>
  </si>
  <si>
    <t>Alisson Airton Sobrinho - 27/01/2025 13:19:48</t>
  </si>
  <si>
    <t>Alisson Airton Sobrinho - 27/01/2025 13:19:51</t>
  </si>
  <si>
    <t>Alisson Airton Sobrinho - 27/01/2025 13:19:54</t>
  </si>
  <si>
    <t>Alisson Airton Sobrinho - 27/01/2025 13:19:55</t>
  </si>
  <si>
    <t>Alisson Airton Sobrinho - 27/01/2025 13:20:03</t>
  </si>
  <si>
    <t>Alisson Airton Sobrinho - 27/01/2025 13:20:09</t>
  </si>
  <si>
    <t>Beatriz Alves Nunes de Paulo - 28/01/2025 09:04:38</t>
  </si>
  <si>
    <t>Alisson Airton Sobrinho - 27/01/2025 13:20:27</t>
  </si>
  <si>
    <t>Alisson Airton Sobrinho - 27/01/2025 13:20:30</t>
  </si>
  <si>
    <t>Alisson Airton Sobrinho - 27/01/2025 13:20:40</t>
  </si>
  <si>
    <t>Alisson Airton Sobrinho - 27/01/2025 13:20:45</t>
  </si>
  <si>
    <t>Alisson Airton Sobrinho - 27/01/2025 13:20:48</t>
  </si>
  <si>
    <t>Alisson Airton Sobrinho - 27/01/2025 13:20:51</t>
  </si>
  <si>
    <t>Beatriz Alves Nunes de Paulo - 03/02/2025 15:07:48</t>
  </si>
  <si>
    <t>Beatriz Alves Nunes de Paulo - 03/02/2025 15:07:49</t>
  </si>
  <si>
    <t>Beatriz Alves Nunes de Paulo - 03/02/2025 15:07:51</t>
  </si>
  <si>
    <t>Beatriz Alves Nunes de Paulo - 03/02/2025 15:07:52</t>
  </si>
  <si>
    <t>Beatriz Alves Nunes de Paulo - 03/02/2025 15:07:53</t>
  </si>
  <si>
    <t>Beatriz Alves Nunes de Paulo - 03/02/2025 15:11:31</t>
  </si>
  <si>
    <t>Beatriz Alves Nunes de Paulo - 03/02/2025 15:11:32</t>
  </si>
  <si>
    <t>Beatriz Alves Nunes de Paulo - 03/02/2025 15:11:34</t>
  </si>
  <si>
    <t>Alisson Airton Sobrinho - 07/03/2025 13:27:23</t>
  </si>
  <si>
    <t>Alisson Airton Sobrinho - 07/03/2025 13:27:24</t>
  </si>
  <si>
    <t>Base de Dados_Images/BC4004.Imagem do Equipamento-.175809.jpg</t>
  </si>
  <si>
    <t>Alisson Airton Sobrinho - 27/01/2025 13:18:53</t>
  </si>
  <si>
    <t>Base de Dados_Images/BC4004.Imagem da Plaqueta do Motor-.175809.jpg</t>
  </si>
  <si>
    <t>Alisson Airton Sobrinho - 27/01/2025 13:19:16</t>
  </si>
  <si>
    <t>Sem Localização</t>
  </si>
  <si>
    <t>BC4005</t>
  </si>
  <si>
    <t>Bba Agua Doce Fabrica Acucar</t>
  </si>
  <si>
    <t>Beatriz Alves Nunes de Paulo - 28/01/2025 09:05:43</t>
  </si>
  <si>
    <t>Beatriz Alves Nunes de Paulo - 28/01/2025 09:05:46</t>
  </si>
  <si>
    <t>Beatriz Alves Nunes de Paulo - 28/01/2025 09:05:47</t>
  </si>
  <si>
    <t>Beatriz Alves Nunes de Paulo - 28/01/2025 09:05:49</t>
  </si>
  <si>
    <t>Beatriz Alves Nunes de Paulo - 28/01/2025 09:05:51</t>
  </si>
  <si>
    <t>Beatriz Alves Nunes de Paulo - 28/01/2025 09:05:56</t>
  </si>
  <si>
    <t>Beatriz Alves Nunes de Paulo - 28/01/2025 09:05:54</t>
  </si>
  <si>
    <t>Beatriz Alves Nunes de Paulo - 28/01/2025 09:06:01</t>
  </si>
  <si>
    <t>Beatriz Alves Nunes de Paulo - 28/01/2025 09:06:06</t>
  </si>
  <si>
    <t>Beatriz Alves Nunes de Paulo - 28/01/2025 09:06:56</t>
  </si>
  <si>
    <t>Beatriz Alves Nunes de Paulo - 28/01/2025 09:06:11</t>
  </si>
  <si>
    <t>Beatriz Alves Nunes de Paulo - 28/01/2025 09:06:14</t>
  </si>
  <si>
    <t>Beatriz Alves Nunes de Paulo - 28/01/2025 09:06:17</t>
  </si>
  <si>
    <t>Beatriz Alves Nunes de Paulo - 28/01/2025 09:06:36</t>
  </si>
  <si>
    <t>Beatriz Alves Nunes de Paulo - 28/01/2025 09:06:39</t>
  </si>
  <si>
    <t>Beatriz Alves Nunes de Paulo - 28/01/2025 09:06:42</t>
  </si>
  <si>
    <t>Beatriz Alves Nunes de Paulo - 27/02/2025 13:07:43</t>
  </si>
  <si>
    <t>Beatriz Alves Nunes de Paulo - 27/02/2025 13:07:47</t>
  </si>
  <si>
    <t>Beatriz Alves Nunes de Paulo - 27/02/2025 13:07:44</t>
  </si>
  <si>
    <t>Beatriz Alves Nunes de Paulo - 27/02/2025 13:07:45</t>
  </si>
  <si>
    <t>Beatriz Alves Nunes de Paulo - 27/02/2025 13:08:53</t>
  </si>
  <si>
    <t>Beatriz Alves Nunes de Paulo - 27/02/2025 13:08:55</t>
  </si>
  <si>
    <t>Beatriz Alves Nunes de Paulo - 27/02/2025 13:09:06</t>
  </si>
  <si>
    <t>Beatriz Alves Nunes de Paulo - 27/02/2025 13:09:08</t>
  </si>
  <si>
    <t>Beatriz Alves Nunes de Paulo - 27/02/2025 13:09:10</t>
  </si>
  <si>
    <t>Beatriz Alves Nunes de Paulo - 27/02/2025 13:09:12</t>
  </si>
  <si>
    <t>Alisson Airton Sobrinho - 07/03/2025 08:32:37</t>
  </si>
  <si>
    <t>Alisson Airton Sobrinho - 07/03/2025 08:32:38</t>
  </si>
  <si>
    <t>Alisson Airton Sobrinho - 07/03/2025 08:32:39</t>
  </si>
  <si>
    <t>Base de Dados_Images/BC4005.Imagem do Equipamento-.153547.jpg</t>
  </si>
  <si>
    <t>Beatriz Alves Nunes de Paulo - 28/01/2025 09:05:36</t>
  </si>
  <si>
    <t>BC4006</t>
  </si>
  <si>
    <t>Bba De Agua Condensada Nº 01</t>
  </si>
  <si>
    <t>Adriel da Silva Queiroz - 17/02/2025 09:53:00</t>
  </si>
  <si>
    <t>Adriel da Silva Queiroz - 17/02/2025 09:53:01</t>
  </si>
  <si>
    <t>Adriel da Silva Queiroz - 17/02/2025 09:53:04</t>
  </si>
  <si>
    <t>Adriel da Silva Queiroz - 17/02/2025 09:53:05</t>
  </si>
  <si>
    <t>Adriel da Silva Queiroz - 17/02/2025 09:53:07</t>
  </si>
  <si>
    <t>Adriel da Silva Queiroz - 17/02/2025 09:53:09</t>
  </si>
  <si>
    <t>Adriel da Silva Queiroz - 17/02/2025 09:53:16</t>
  </si>
  <si>
    <t>Adriel da Silva Queiroz - 17/02/2025 09:53:18</t>
  </si>
  <si>
    <t>Adriel da Silva Queiroz - 17/02/2025 09:53:19</t>
  </si>
  <si>
    <t>Adriel da Silva Queiroz - 17/02/2025 09:53:21</t>
  </si>
  <si>
    <t>Adriel da Silva Queiroz - 17/02/2025 09:53:23</t>
  </si>
  <si>
    <t>Adriel da Silva Queiroz - 17/02/2025 09:53:22</t>
  </si>
  <si>
    <t>Adriel da Silva Queiroz - 17/02/2025 09:53:25</t>
  </si>
  <si>
    <t>Adriel da Silva Queiroz - 17/02/2025 09:53:26</t>
  </si>
  <si>
    <t>Beatriz Alves Nunes de Paulo - 06/03/2025 09:00:18</t>
  </si>
  <si>
    <t>Beatriz Alves Nunes de Paulo - 06/03/2025 09:00:22</t>
  </si>
  <si>
    <t>Beatriz Alves Nunes de Paulo - 06/03/2025 09:00:23</t>
  </si>
  <si>
    <t>Beatriz Alves Nunes de Paulo - 06/03/2025 09:00:25</t>
  </si>
  <si>
    <t>Beatriz Alves Nunes de Paulo - 06/03/2025 09:00:24</t>
  </si>
  <si>
    <t>Beatriz Alves Nunes de Paulo - 06/03/2025 09:00:30</t>
  </si>
  <si>
    <t>Beatriz Alves Nunes de Paulo - 06/03/2025 09:00:31</t>
  </si>
  <si>
    <t>Beatriz Alves Nunes de Paulo - 06/03/2025 09:00:32</t>
  </si>
  <si>
    <t>Alisson Airton Sobrinho - 07/03/2025 08:23:14</t>
  </si>
  <si>
    <t>Alisson Airton Sobrinho - 07/03/2025 08:23:15</t>
  </si>
  <si>
    <t>Alisson Airton Sobrinho - 07/03/2025 08:23:16</t>
  </si>
  <si>
    <t>Base de Dados_Images/BC4006.Imagem do Equipamento-.125327.jpg</t>
  </si>
  <si>
    <t>Adriel da Silva Queiroz - 17/02/2025 09:52:45</t>
  </si>
  <si>
    <t>BC4007</t>
  </si>
  <si>
    <t>Bomba 01 condensado</t>
  </si>
  <si>
    <t>Adriel da Silva Queiroz - 17/02/2025 09:50:32</t>
  </si>
  <si>
    <t>Adriel da Silva Queiroz - 17/02/2025 09:50:33</t>
  </si>
  <si>
    <t>Adriel da Silva Queiroz - 17/02/2025 09:50:35</t>
  </si>
  <si>
    <t>Adriel da Silva Queiroz - 17/02/2025 09:50:36</t>
  </si>
  <si>
    <t>Adriel da Silva Queiroz - 17/02/2025 09:50:43</t>
  </si>
  <si>
    <t>Adriel da Silva Queiroz - 17/02/2025 09:50:44</t>
  </si>
  <si>
    <t>Adriel da Silva Queiroz - 17/02/2025 09:50:46</t>
  </si>
  <si>
    <t>Adriel da Silva Queiroz - 17/02/2025 09:50:49</t>
  </si>
  <si>
    <t>Adriel da Silva Queiroz - 17/02/2025 09:50:55</t>
  </si>
  <si>
    <t>Adriel da Silva Queiroz - 17/02/2025 09:51:15</t>
  </si>
  <si>
    <t>Adriel da Silva Queiroz - 17/02/2025 09:51:17</t>
  </si>
  <si>
    <t>Adriel da Silva Queiroz - 17/02/2025 09:51:19</t>
  </si>
  <si>
    <t>Adriel da Silva Queiroz - 17/02/2025 09:51:36</t>
  </si>
  <si>
    <t>Adriel da Silva Queiroz - 17/02/2025 09:51:38</t>
  </si>
  <si>
    <t>Adriel da Silva Queiroz - 17/02/2025 09:51:41</t>
  </si>
  <si>
    <t>Adriel da Silva Queiroz - 17/02/2025 09:51:42</t>
  </si>
  <si>
    <t>Beatriz Alves Nunes de Paulo - 06/03/2025 09:00:38</t>
  </si>
  <si>
    <t>Beatriz Alves Nunes de Paulo - 06/03/2025 09:00:39</t>
  </si>
  <si>
    <t>Beatriz Alves Nunes de Paulo - 06/03/2025 09:00:42</t>
  </si>
  <si>
    <t>Beatriz Alves Nunes de Paulo - 06/03/2025 09:00:40</t>
  </si>
  <si>
    <t>Beatriz Alves Nunes de Paulo - 06/03/2025 09:00:41</t>
  </si>
  <si>
    <t>Beatriz Alves Nunes de Paulo - 06/03/2025 09:00:43</t>
  </si>
  <si>
    <t>Beatriz Alves Nunes de Paulo - 06/03/2025 09:00:49</t>
  </si>
  <si>
    <t>Beatriz Alves Nunes de Paulo - 06/03/2025 09:00:51</t>
  </si>
  <si>
    <t>Beatriz Alves Nunes de Paulo - 06/03/2025 09:00:53</t>
  </si>
  <si>
    <t>Alisson Airton Sobrinho - 07/03/2025 08:23:22</t>
  </si>
  <si>
    <t>Alisson Airton Sobrinho - 07/03/2025 08:23:23</t>
  </si>
  <si>
    <t>Alisson Airton Sobrinho - 07/03/2025 08:23:24</t>
  </si>
  <si>
    <t>Base de Dados_Images/BC4007.Imagem do Equipamento-.125319.jpg</t>
  </si>
  <si>
    <t>Adriel da Silva Queiroz - 17/02/2025 09:52:26</t>
  </si>
  <si>
    <t>BC4008</t>
  </si>
  <si>
    <t>Bba Limpeza Da Fabrica Acucar</t>
  </si>
  <si>
    <t>Beatriz Alves Nunes de Paulo - 28/01/2025 08:48:30</t>
  </si>
  <si>
    <t>Beatriz Alves Nunes de Paulo - 28/01/2025 08:48:31</t>
  </si>
  <si>
    <t>Beatriz Alves Nunes de Paulo - 28/01/2025 08:48:33</t>
  </si>
  <si>
    <t>Beatriz Alves Nunes de Paulo - 28/01/2025 08:48:34</t>
  </si>
  <si>
    <t>Beatriz Alves Nunes de Paulo - 28/01/2025 08:48:38</t>
  </si>
  <si>
    <t>Beatriz Alves Nunes de Paulo - 28/01/2025 08:48:39</t>
  </si>
  <si>
    <t>Beatriz Alves Nunes de Paulo - 28/01/2025 08:48:40</t>
  </si>
  <si>
    <t>Beatriz Alves Nunes de Paulo - 28/01/2025 08:48:43</t>
  </si>
  <si>
    <t>Beatriz Alves Nunes de Paulo - 28/01/2025 08:48:44</t>
  </si>
  <si>
    <t>Beatriz Alves Nunes de Paulo - 28/01/2025 08:48:51</t>
  </si>
  <si>
    <t>Beatriz Alves Nunes de Paulo - 28/01/2025 08:48:50</t>
  </si>
  <si>
    <t>Beatriz Alves Nunes de Paulo - 28/01/2025 08:49:18</t>
  </si>
  <si>
    <t>Beatriz Alves Nunes de Paulo - 28/01/2025 08:48:54</t>
  </si>
  <si>
    <t>Beatriz Alves Nunes de Paulo - 28/01/2025 08:48:55</t>
  </si>
  <si>
    <t>Beatriz Alves Nunes de Paulo - 28/01/2025 08:49:22</t>
  </si>
  <si>
    <t>Beatriz Alves Nunes de Paulo - 28/01/2025 08:49:23</t>
  </si>
  <si>
    <t>Beatriz Alves Nunes de Paulo - 27/02/2025 13:12:17</t>
  </si>
  <si>
    <t>Beatriz Alves Nunes de Paulo - 27/02/2025 13:12:19</t>
  </si>
  <si>
    <t>Beatriz Alves Nunes de Paulo - 27/02/2025 13:12:20</t>
  </si>
  <si>
    <t>Beatriz Alves Nunes de Paulo - 27/02/2025 13:12:25</t>
  </si>
  <si>
    <t>Beatriz Alves Nunes de Paulo - 27/02/2025 13:12:44</t>
  </si>
  <si>
    <t>Beatriz Alves Nunes de Paulo - 27/02/2025 13:12:30</t>
  </si>
  <si>
    <t>Beatriz Alves Nunes de Paulo - 27/02/2025 13:13:18</t>
  </si>
  <si>
    <t>Beatriz Alves Nunes de Paulo - 27/02/2025 13:13:19</t>
  </si>
  <si>
    <t>Beatriz Alves Nunes de Paulo - 27/02/2025 13:13:21</t>
  </si>
  <si>
    <t>Beatriz Alves Nunes de Paulo - 27/02/2025 13:13:22</t>
  </si>
  <si>
    <t>Alisson Airton Sobrinho - 07/03/2025 08:32:47</t>
  </si>
  <si>
    <t>Alisson Airton Sobrinho - 07/03/2025 08:32:49</t>
  </si>
  <si>
    <t>Alisson Airton Sobrinho - 07/03/2025 08:32:50</t>
  </si>
  <si>
    <t>Base de Dados_Images/BC4008.Imagem do Equipamento-.152702.jpg</t>
  </si>
  <si>
    <t>Beatriz Alves Nunes de Paulo - 28/01/2025 08:48:24</t>
  </si>
  <si>
    <t>BC4009</t>
  </si>
  <si>
    <t>Bba Retorno Agua Dos Selos</t>
  </si>
  <si>
    <t>Beatriz Alves Nunes de Paulo - 28/01/2025 08:42:57</t>
  </si>
  <si>
    <t>Beatriz Alves Nunes de Paulo - 28/01/2025 08:42:56</t>
  </si>
  <si>
    <t>Beatriz Alves Nunes de Paulo - 28/01/2025 08:42:59</t>
  </si>
  <si>
    <t>Beatriz Alves Nunes de Paulo - 28/01/2025 08:42:54</t>
  </si>
  <si>
    <t>Beatriz Alves Nunes de Paulo - 28/01/2025 08:42:53</t>
  </si>
  <si>
    <t>Beatriz Alves Nunes de Paulo - 28/01/2025 08:42:52</t>
  </si>
  <si>
    <t>Beatriz Alves Nunes de Paulo - 28/01/2025 08:42:50</t>
  </si>
  <si>
    <t>Beatriz Alves Nunes de Paulo - 28/01/2025 08:42:27</t>
  </si>
  <si>
    <t>Beatriz Alves Nunes de Paulo - 28/01/2025 08:42:13</t>
  </si>
  <si>
    <t>Beatriz Alves Nunes de Paulo - 28/01/2025 08:42:14</t>
  </si>
  <si>
    <t>Beatriz Alves Nunes de Paulo - 28/01/2025 08:42:16</t>
  </si>
  <si>
    <t>Beatriz Alves Nunes de Paulo - 28/01/2025 08:42:17</t>
  </si>
  <si>
    <t>Beatriz Alves Nunes de Paulo - 28/01/2025 08:42:20</t>
  </si>
  <si>
    <t>Beatriz Alves Nunes de Paulo - 28/01/2025 08:42:22</t>
  </si>
  <si>
    <t>Beatriz Alves Nunes de Paulo - 27/02/2025 13:15:42</t>
  </si>
  <si>
    <t>Beatriz Alves Nunes de Paulo - 27/02/2025 13:15:43</t>
  </si>
  <si>
    <t>Beatriz Alves Nunes de Paulo - 27/02/2025 13:15:44</t>
  </si>
  <si>
    <t>Beatriz Alves Nunes de Paulo - 27/02/2025 13:15:46</t>
  </si>
  <si>
    <t>Beatriz Alves Nunes de Paulo - 27/02/2025 13:15:47</t>
  </si>
  <si>
    <t>Beatriz Alves Nunes de Paulo - 27/02/2025 13:15:48</t>
  </si>
  <si>
    <t>Beatriz Alves Nunes de Paulo - 27/02/2025 13:16:05</t>
  </si>
  <si>
    <t>Beatriz Alves Nunes de Paulo - 27/02/2025 13:16:06</t>
  </si>
  <si>
    <t>Beatriz Alves Nunes de Paulo - 27/02/2025 13:16:07</t>
  </si>
  <si>
    <t>Alisson Airton Sobrinho - 07/03/2025 08:32:57</t>
  </si>
  <si>
    <t>Alisson Airton Sobrinho - 07/03/2025 08:32:58</t>
  </si>
  <si>
    <t>Alisson Airton Sobrinho - 07/03/2025 08:32:59</t>
  </si>
  <si>
    <t>Beatriz Alves Nunes de Paulo - 02/27/2025 13:14:06</t>
  </si>
  <si>
    <t>BC4010</t>
  </si>
  <si>
    <t>Bba Retorno Agua Selo Bomba Vacuo</t>
  </si>
  <si>
    <t>Beatriz Alves Nunes de Paulo - 29/01/2025 08:51:42</t>
  </si>
  <si>
    <t>Beatriz Alves Nunes de Paulo - 29/01/2025 08:51:44</t>
  </si>
  <si>
    <t>Beatriz Alves Nunes de Paulo - 29/01/2025 08:51:47</t>
  </si>
  <si>
    <t>Beatriz Alves Nunes de Paulo - 29/01/2025 08:51:48</t>
  </si>
  <si>
    <t>Beatriz Alves Nunes de Paulo - 29/01/2025 08:51:50</t>
  </si>
  <si>
    <t>Beatriz Alves Nunes de Paulo - 29/01/2025 08:51:53</t>
  </si>
  <si>
    <t>Beatriz Alves Nunes de Paulo - 29/01/2025 08:51:57</t>
  </si>
  <si>
    <t>Beatriz Alves Nunes de Paulo - 29/01/2025 08:52:04</t>
  </si>
  <si>
    <t>Beatriz Alves Nunes de Paulo - 29/01/2025 08:52:06</t>
  </si>
  <si>
    <t>Beatriz Alves Nunes de Paulo - 29/01/2025 08:52:07</t>
  </si>
  <si>
    <t>Beatriz Alves Nunes de Paulo - 29/01/2025 08:52:09</t>
  </si>
  <si>
    <t>Beatriz Alves Nunes de Paulo - 29/01/2025 08:52:10</t>
  </si>
  <si>
    <t>Beatriz Alves Nunes de Paulo - 29/01/2025 08:52:11</t>
  </si>
  <si>
    <t>Beatriz Alves Nunes de Paulo - 29/01/2025 08:52:12</t>
  </si>
  <si>
    <t>Beatriz Alves Nunes de Paulo - 29/01/2025 08:52:13</t>
  </si>
  <si>
    <t>Beatriz Alves Nunes de Paulo - 29/01/2025 08:52:35</t>
  </si>
  <si>
    <t>Beatriz Alves Nunes de Paulo - 29/01/2025 08:52:33</t>
  </si>
  <si>
    <t>Beatriz Alves Nunes de Paulo - 29/01/2025 08:52:32</t>
  </si>
  <si>
    <t>Beatriz Alves Nunes de Paulo - 27/02/2025 13:17:22</t>
  </si>
  <si>
    <t>Beatriz Alves Nunes de Paulo - 27/02/2025 13:17:23</t>
  </si>
  <si>
    <t>Beatriz Alves Nunes de Paulo - 27/02/2025 13:17:26</t>
  </si>
  <si>
    <t>Beatriz Alves Nunes de Paulo - 27/02/2025 13:17:27</t>
  </si>
  <si>
    <t>Alisson Airton Sobrinho - 07/03/2025 08:33:06</t>
  </si>
  <si>
    <t>Alisson Airton Sobrinho - 07/03/2025 08:33:07</t>
  </si>
  <si>
    <t>Alisson Airton Sobrinho - 07/03/2025 08:33:08</t>
  </si>
  <si>
    <t>Base de Dados_Images/BC4010.Imagem do Equipamento-.142509.jpg</t>
  </si>
  <si>
    <t>Beatriz Alves Nunes de Paulo - 29/01/2025 08:51:21</t>
  </si>
  <si>
    <t>Base de Dados_Images/BC4010.Imagem da Plaqueta do Motor-.142509.jpg</t>
  </si>
  <si>
    <t>Beatriz Alves Nunes de Paulo - 29/01/2025 08:51:36</t>
  </si>
  <si>
    <t>BC4011</t>
  </si>
  <si>
    <t>Bba Agua Piso Da Fabrica Acucar</t>
  </si>
  <si>
    <t>Beatriz Alves Nunes de Paulo - 29/01/2025 08:53:48</t>
  </si>
  <si>
    <t>Beatriz Alves Nunes de Paulo - 29/01/2025 08:53:50</t>
  </si>
  <si>
    <t>Beatriz Alves Nunes de Paulo - 29/01/2025 08:53:52</t>
  </si>
  <si>
    <t>Beatriz Alves Nunes de Paulo - 29/01/2025 08:53:53</t>
  </si>
  <si>
    <t>Beatriz Alves Nunes de Paulo - 29/01/2025 08:53:54</t>
  </si>
  <si>
    <t>Beatriz Alves Nunes de Paulo - 29/01/2025 08:53:55</t>
  </si>
  <si>
    <t>Beatriz Alves Nunes de Paulo - 29/01/2025 08:53:57</t>
  </si>
  <si>
    <t>Beatriz Alves Nunes de Paulo - 29/01/2025 08:53:58</t>
  </si>
  <si>
    <t>Beatriz Alves Nunes de Paulo - 29/01/2025 08:54:00</t>
  </si>
  <si>
    <t>Beatriz Alves Nunes de Paulo - 29/01/2025 08:54:02</t>
  </si>
  <si>
    <t>Beatriz Alves Nunes de Paulo - 29/01/2025 08:54:03</t>
  </si>
  <si>
    <t>Beatriz Alves Nunes de Paulo - 29/01/2025 08:54:05</t>
  </si>
  <si>
    <t>Beatriz Alves Nunes de Paulo - 29/01/2025 08:54:06</t>
  </si>
  <si>
    <t>Beatriz Alves Nunes de Paulo - 29/01/2025 08:54:07</t>
  </si>
  <si>
    <t>Beatriz Alves Nunes de Paulo - 29/01/2025 08:54:10</t>
  </si>
  <si>
    <t>Beatriz Alves Nunes de Paulo - 29/01/2025 08:54:16</t>
  </si>
  <si>
    <t>Beatriz Alves Nunes de Paulo - 29/01/2025 08:54:19</t>
  </si>
  <si>
    <t>Beatriz Alves Nunes de Paulo - 29/01/2025 08:54:22</t>
  </si>
  <si>
    <t>Beatriz Alves Nunes de Paulo - 29/01/2025 08:54:20</t>
  </si>
  <si>
    <t>Beatriz Alves Nunes de Paulo - 29/01/2025 08:54:23</t>
  </si>
  <si>
    <t>Beatriz Alves Nunes de Paulo - 27/02/2025 13:17:52</t>
  </si>
  <si>
    <t>Beatriz Alves Nunes de Paulo - 27/02/2025 13:17:51</t>
  </si>
  <si>
    <t>Beatriz Alves Nunes de Paulo - 27/02/2025 13:17:54</t>
  </si>
  <si>
    <t>Beatriz Alves Nunes de Paulo - 27/02/2025 13:17:57</t>
  </si>
  <si>
    <t>Alisson Airton Sobrinho - 07/03/2025 08:33:13</t>
  </si>
  <si>
    <t>Alisson Airton Sobrinho - 07/03/2025 08:33:14</t>
  </si>
  <si>
    <t>Alisson Airton Sobrinho - 07/03/2025 08:33:15</t>
  </si>
  <si>
    <t>Alisson Airton Sobrinho - 07/03/2025 08:33:16</t>
  </si>
  <si>
    <t>Base de Dados_Images/BC4011.Imagem do Equipamento-.153801.jpg</t>
  </si>
  <si>
    <t>Beatriz Alves Nunes de Paulo - 29/01/2025 08:53:32</t>
  </si>
  <si>
    <t>Base de Dados_Images/BC4011.Imagem da Plaqueta do Motor-.153801.jpg</t>
  </si>
  <si>
    <t>Beatriz Alves Nunes de Paulo - 29/01/2025 08:53:40</t>
  </si>
  <si>
    <t>Cuba 01</t>
  </si>
  <si>
    <t>BC6501</t>
  </si>
  <si>
    <t>Bomba De Levedo Tratado Cubas P/ Dornas</t>
  </si>
  <si>
    <t>Alisson Airton Sobrinho - 17/01/2025 15:03:23</t>
  </si>
  <si>
    <t>Alisson Airton Sobrinho - 17/01/2025 15:03:32</t>
  </si>
  <si>
    <t>Alisson Airton Sobrinho - 17/01/2025 15:03:36</t>
  </si>
  <si>
    <t>Alisson Airton Sobrinho - 17/01/2025 15:03:39</t>
  </si>
  <si>
    <t>Alisson Airton Sobrinho - 17/01/2025 15:03:41</t>
  </si>
  <si>
    <t>Alisson Airton Sobrinho - 17/01/2025 15:03:43</t>
  </si>
  <si>
    <t>Alisson Airton Sobrinho - 17/01/2025 15:03:45</t>
  </si>
  <si>
    <t>Alisson Airton Sobrinho - 17/01/2025 15:03:47</t>
  </si>
  <si>
    <t>Alisson Airton Sobrinho - 17/01/2025 15:03:48</t>
  </si>
  <si>
    <t>Alisson Airton Sobrinho - 17/01/2025 15:03:52</t>
  </si>
  <si>
    <t>Alisson Airton Sobrinho - 17/01/2025 15:03:53</t>
  </si>
  <si>
    <t>Alisson Airton Sobrinho - 17/01/2025 15:03:59</t>
  </si>
  <si>
    <t>Alisson Airton Sobrinho - 17/01/2025 15:04:01</t>
  </si>
  <si>
    <t>Alisson Airton Sobrinho - 17/01/2025 15:04:02</t>
  </si>
  <si>
    <t>Alisson Airton Sobrinho - 17/01/2025 15:04:04</t>
  </si>
  <si>
    <t>Alisson Airton Sobrinho - 17/01/2025 15:04:05</t>
  </si>
  <si>
    <t>Alisson Airton Sobrinho - 01/02/2025 09:25:11</t>
  </si>
  <si>
    <t>Alisson Airton Sobrinho - 01/02/2025 09:25:13</t>
  </si>
  <si>
    <t>Alisson Airton Sobrinho - 01/02/2025 09:25:18</t>
  </si>
  <si>
    <t>Alisson Airton Sobrinho - 01/02/2025 09:53:41</t>
  </si>
  <si>
    <t>Alisson Airton Sobrinho - 01/02/2025 09:53:38</t>
  </si>
  <si>
    <t>Alisson Airton Sobrinho - 01/02/2025 09:25:47</t>
  </si>
  <si>
    <t>Alisson Airton Sobrinho - 04/03/2025 07:53:39</t>
  </si>
  <si>
    <t>Alisson Airton Sobrinho - 04/03/2025 07:53:40</t>
  </si>
  <si>
    <t>Alisson Airton Sobrinho - 04/03/2025 07:53:41</t>
  </si>
  <si>
    <t>Alisson Airton Sobrinho - 04/03/2025 07:53:46</t>
  </si>
  <si>
    <t>Alisson Airton Sobrinho - 04/03/2025 07:53:47</t>
  </si>
  <si>
    <t>Alisson Airton Sobrinho - 04/03/2025 07:53:48</t>
  </si>
  <si>
    <t>Base de Dados_Images/BC6501.Imagem do Equipamento-.163812.jpg</t>
  </si>
  <si>
    <t>Alisson Airton Sobrinho - 17/01/2025 13:37:52</t>
  </si>
  <si>
    <t>Base de Dados_Images/BC6501.Imagem da Plaqueta do Motor-.163812.jpg</t>
  </si>
  <si>
    <t>Alisson Airton Sobrinho - 17/01/2025 13:38:07</t>
  </si>
  <si>
    <t>Dorna 1</t>
  </si>
  <si>
    <t>BC6503</t>
  </si>
  <si>
    <t>Bomba recirculação descarga DO-001</t>
  </si>
  <si>
    <t>Alisson Airton Sobrinho - 17/01/2025 15:08:57</t>
  </si>
  <si>
    <t>Alisson Airton Sobrinho - 17/01/2025 15:08:58</t>
  </si>
  <si>
    <t>Alisson Airton Sobrinho - 17/01/2025 15:09:00</t>
  </si>
  <si>
    <t>Alisson Airton Sobrinho - 17/01/2025 15:09:02</t>
  </si>
  <si>
    <t>Alisson Airton Sobrinho - 17/01/2025 15:09:03</t>
  </si>
  <si>
    <t>Alisson Airton Sobrinho - 17/01/2025 15:09:05</t>
  </si>
  <si>
    <t>Alisson Airton Sobrinho - 17/01/2025 15:09:06</t>
  </si>
  <si>
    <t>Alisson Airton Sobrinho - 17/01/2025 15:09:07</t>
  </si>
  <si>
    <t>Alisson Airton Sobrinho - 17/01/2025 15:09:10</t>
  </si>
  <si>
    <t>Alisson Airton Sobrinho - 17/01/2025 15:09:11</t>
  </si>
  <si>
    <t>Alisson Airton Sobrinho - 17/01/2025 15:09:12</t>
  </si>
  <si>
    <t>Alisson Airton Sobrinho - 17/01/2025 15:09:14</t>
  </si>
  <si>
    <t>Alisson Airton Sobrinho - 17/01/2025 15:09:15</t>
  </si>
  <si>
    <t>Matheus César Azevedo Neto - 31/01/2025 11:51:12</t>
  </si>
  <si>
    <t>Alisson Airton Sobrinho - 17/01/2025 15:09:20</t>
  </si>
  <si>
    <t>Alisson Airton Sobrinho - 17/01/2025 15:09:21</t>
  </si>
  <si>
    <t>Alisson Airton Sobrinho - 04/02/2025 15:19:30</t>
  </si>
  <si>
    <t>Alisson Airton Sobrinho - 04/02/2025 15:19:31</t>
  </si>
  <si>
    <t>Alisson Airton Sobrinho - 04/02/2025 15:19:33</t>
  </si>
  <si>
    <t>Alisson Airton Sobrinho - 04/02/2025 15:19:35</t>
  </si>
  <si>
    <t>Alisson Airton Sobrinho - 04/02/2025 15:19:38</t>
  </si>
  <si>
    <t>Alisson Airton Sobrinho - 04/02/2025 15:19:39</t>
  </si>
  <si>
    <t>Alisson Airton Sobrinho - 17/02/2025 10:20:31</t>
  </si>
  <si>
    <t>Alisson Airton Sobrinho - 17/02/2025 10:20:32</t>
  </si>
  <si>
    <t>Alisson Airton Sobrinho - 17/02/2025 10:20:34</t>
  </si>
  <si>
    <t>Alisson Airton Sobrinho - 17/02/2025 10:20:35</t>
  </si>
  <si>
    <t>Alisson Airton Sobrinho - 04/03/2025 07:56:02</t>
  </si>
  <si>
    <t>Alisson Airton Sobrinho - 04/03/2025 07:56:04</t>
  </si>
  <si>
    <t>Alisson Airton Sobrinho - 04/03/2025 07:56:05</t>
  </si>
  <si>
    <t>Plaqueta ilegível</t>
  </si>
  <si>
    <t>Base de Dados_Images/BC6503.Imagem do Equipamento-.132535.jpg</t>
  </si>
  <si>
    <t>Alisson Airton Sobrinho - 17/01/2025 10:25:03</t>
  </si>
  <si>
    <t>Base de Dados_Images/BC6503.Imagem da Plaqueta do Motor-.132535.jpg</t>
  </si>
  <si>
    <t>Alisson Airton Sobrinho - 17/01/2025 10:25:29</t>
  </si>
  <si>
    <t>Dorna 2</t>
  </si>
  <si>
    <t>BC6504</t>
  </si>
  <si>
    <t>Bomba recirculação descarga DO-002</t>
  </si>
  <si>
    <t>Alisson Airton Sobrinho - 17/01/2025 15:12:56</t>
  </si>
  <si>
    <t>Alisson Airton Sobrinho - 17/01/2025 15:12:57</t>
  </si>
  <si>
    <t>Alisson Airton Sobrinho - 17/01/2025 15:12:59</t>
  </si>
  <si>
    <t>Alisson Airton Sobrinho - 17/01/2025 15:13:00</t>
  </si>
  <si>
    <t>Alisson Airton Sobrinho - 17/01/2025 15:13:02</t>
  </si>
  <si>
    <t>Alisson Airton Sobrinho - 17/01/2025 15:13:03</t>
  </si>
  <si>
    <t>Alisson Airton Sobrinho - 17/01/2025 15:13:04</t>
  </si>
  <si>
    <t>Alisson Airton Sobrinho - 17/01/2025 15:13:06</t>
  </si>
  <si>
    <t>Alisson Airton Sobrinho - 17/01/2025 15:13:07</t>
  </si>
  <si>
    <t>Alisson Airton Sobrinho - 17/01/2025 15:13:09</t>
  </si>
  <si>
    <t>Alisson Airton Sobrinho - 17/01/2025 15:13:11</t>
  </si>
  <si>
    <t>Alisson Airton Sobrinho - 17/01/2025 15:13:12</t>
  </si>
  <si>
    <t>Alisson Airton Sobrinho - 17/01/2025 15:13:13</t>
  </si>
  <si>
    <t>Matheus César Azevedo Neto - 31/01/2025 12:01:52</t>
  </si>
  <si>
    <t>Alisson Airton Sobrinho - 17/01/2025 15:13:16</t>
  </si>
  <si>
    <t>Alisson Airton Sobrinho - 17/01/2025 15:13:17</t>
  </si>
  <si>
    <t>Alisson Airton Sobrinho - 01/02/2025 14:39:14</t>
  </si>
  <si>
    <t>Alisson Airton Sobrinho - 01/02/2025 14:39:15</t>
  </si>
  <si>
    <t>Alisson Airton Sobrinho - 01/02/2025 14:39:18</t>
  </si>
  <si>
    <t>Alisson Airton Sobrinho - 01/02/2025 14:39:20</t>
  </si>
  <si>
    <t>Alisson Airton Sobrinho - 01/02/2025 14:39:22</t>
  </si>
  <si>
    <t>Alisson Airton Sobrinho - 01/02/2025 14:39:26</t>
  </si>
  <si>
    <t>Alisson Airton Sobrinho - 15/02/2025 11:33:43</t>
  </si>
  <si>
    <t>Alisson Airton Sobrinho - 15/02/2025 11:33:45</t>
  </si>
  <si>
    <t>Alisson Airton Sobrinho - 15/02/2025 11:33:47</t>
  </si>
  <si>
    <t>Alisson Airton Sobrinho - 15/02/2025 11:33:57</t>
  </si>
  <si>
    <t>Alisson Airton Sobrinho - 04/03/2025 08:12:55</t>
  </si>
  <si>
    <t>Alisson Airton Sobrinho - 04/03/2025 08:12:57</t>
  </si>
  <si>
    <t>Alisson Airton Sobrinho - 04/03/2025 08:12:58</t>
  </si>
  <si>
    <t>Base de Dados_Images/BC6504.Imagem do Equipamento-.133129.jpg</t>
  </si>
  <si>
    <t>Alisson Airton Sobrinho - 17/01/2025 10:30:28</t>
  </si>
  <si>
    <t>Base de Dados_Images/BC6504.Imagem da Plaqueta do Motor-.133129.jpg</t>
  </si>
  <si>
    <t>Alisson Airton Sobrinho - 17/01/2025 10:31:24</t>
  </si>
  <si>
    <t>Dorna 3</t>
  </si>
  <si>
    <t>BC6505</t>
  </si>
  <si>
    <t>Bomba recirculação descarga DO-003</t>
  </si>
  <si>
    <t>Alisson Airton Sobrinho - 21/01/2025 08:00:29</t>
  </si>
  <si>
    <t>Alisson Airton Sobrinho - 21/01/2025 08:00:31</t>
  </si>
  <si>
    <t>Alisson Airton Sobrinho - 21/01/2025 08:01:11</t>
  </si>
  <si>
    <t>Alisson Airton Sobrinho - 21/01/2025 08:01:13</t>
  </si>
  <si>
    <t>Alisson Airton Sobrinho - 21/01/2025 08:01:17</t>
  </si>
  <si>
    <t>Alisson Airton Sobrinho - 21/01/2025 08:01:18</t>
  </si>
  <si>
    <t>Alisson Airton Sobrinho - 21/01/2025 08:01:21</t>
  </si>
  <si>
    <t>Alisson Airton Sobrinho - 21/01/2025 08:01:22</t>
  </si>
  <si>
    <t>Alisson Airton Sobrinho - 21/01/2025 08:04:08</t>
  </si>
  <si>
    <t>Alisson Airton Sobrinho - 21/01/2025 08:04:12</t>
  </si>
  <si>
    <t>Alisson Airton Sobrinho - 21/01/2025 08:04:13</t>
  </si>
  <si>
    <t>Alisson Airton Sobrinho - 21/01/2025 08:04:15</t>
  </si>
  <si>
    <t>Alisson Airton Sobrinho - 21/01/2025 08:04:16</t>
  </si>
  <si>
    <t>Matheus César Azevedo Neto - 03/02/2025 08:07:52</t>
  </si>
  <si>
    <t>Alisson Airton Sobrinho - 21/01/2025 08:04:22</t>
  </si>
  <si>
    <t>Alisson Airton Sobrinho - 21/01/2025 08:04:24</t>
  </si>
  <si>
    <t>Alisson Airton Sobrinho - 04/02/2025 15:18:34</t>
  </si>
  <si>
    <t>Alisson Airton Sobrinho - 04/02/2025 15:18:36</t>
  </si>
  <si>
    <t>Alisson Airton Sobrinho - 04/02/2025 15:18:37</t>
  </si>
  <si>
    <t>Alisson Airton Sobrinho - 04/02/2025 15:18:40</t>
  </si>
  <si>
    <t>Alisson Airton Sobrinho - 04/02/2025 15:18:42</t>
  </si>
  <si>
    <t>Alisson Airton Sobrinho - 04/02/2025 15:18:43</t>
  </si>
  <si>
    <t>Alisson Airton Sobrinho - 15/02/2025 14:24:42</t>
  </si>
  <si>
    <t>Alisson Airton Sobrinho - 15/02/2025 14:24:43</t>
  </si>
  <si>
    <t>Alisson Airton Sobrinho - 15/02/2025 14:24:45</t>
  </si>
  <si>
    <t>Alisson Airton Sobrinho - 15/02/2025 14:24:46</t>
  </si>
  <si>
    <t>Alisson Airton Sobrinho - 04/03/2025 07:59:50</t>
  </si>
  <si>
    <t>Alisson Airton Sobrinho - 04/03/2025 07:59:51</t>
  </si>
  <si>
    <t>Alisson Airton Sobrinho - 04/03/2025 07:59:52</t>
  </si>
  <si>
    <t>Alisson Airton Sobrinho - 04/03/2025 07:59:53</t>
  </si>
  <si>
    <t>Base de Dados_Images/BC6505.Imagem do Equipamento-.134602.jpg</t>
  </si>
  <si>
    <t>Alisson Airton Sobrinho - 17/01/2025 10:39:19</t>
  </si>
  <si>
    <t>Base de Dados_Images/BC6505.Imagem da Plaqueta do Motor-.134602.jpg</t>
  </si>
  <si>
    <t>Alisson Airton Sobrinho - 17/01/2025 10:45:55</t>
  </si>
  <si>
    <t>Dorna 4</t>
  </si>
  <si>
    <t>BC6506</t>
  </si>
  <si>
    <t>Bomba recirculação descarga DO-004</t>
  </si>
  <si>
    <t>Alisson Airton Sobrinho - 21/01/2025 08:10:09</t>
  </si>
  <si>
    <t>Alisson Airton Sobrinho - 21/01/2025 08:10:10</t>
  </si>
  <si>
    <t>Alisson Airton Sobrinho - 21/01/2025 08:10:12</t>
  </si>
  <si>
    <t>Alisson Airton Sobrinho - 21/01/2025 08:10:13</t>
  </si>
  <si>
    <t>Alisson Airton Sobrinho - 21/01/2025 08:10:14</t>
  </si>
  <si>
    <t>Alisson Airton Sobrinho - 21/01/2025 08:10:16</t>
  </si>
  <si>
    <t>Alisson Airton Sobrinho - 21/01/2025 08:10:18</t>
  </si>
  <si>
    <t>Alisson Airton Sobrinho - 21/01/2025 08:10:19</t>
  </si>
  <si>
    <t>Alisson Airton Sobrinho - 21/01/2025 08:10:21</t>
  </si>
  <si>
    <t>Alisson Airton Sobrinho - 21/01/2025 08:10:22</t>
  </si>
  <si>
    <t>Alisson Airton Sobrinho - 21/01/2025 08:10:24</t>
  </si>
  <si>
    <t>Matheus César Azevedo Neto - 31/01/2025 12:03:01</t>
  </si>
  <si>
    <t>Alisson Airton Sobrinho - 21/01/2025 08:10:26</t>
  </si>
  <si>
    <t>Alisson Airton Sobrinho - 21/01/2025 08:10:28</t>
  </si>
  <si>
    <t>Alisson Airton Sobrinho - 01/02/2025 15:06:19</t>
  </si>
  <si>
    <t>Alisson Airton Sobrinho - 01/02/2025 15:06:20</t>
  </si>
  <si>
    <t>Alisson Airton Sobrinho - 01/02/2025 15:06:22</t>
  </si>
  <si>
    <t>Alisson Airton Sobrinho - 01/02/2025 15:06:24</t>
  </si>
  <si>
    <t>Alisson Airton Sobrinho - 01/02/2025 15:06:26</t>
  </si>
  <si>
    <t>Alisson Airton Sobrinho - 01/02/2025 15:06:28</t>
  </si>
  <si>
    <t>Alisson Airton Sobrinho - 15/02/2025 14:26:12</t>
  </si>
  <si>
    <t>Alisson Airton Sobrinho - 15/02/2025 14:26:15</t>
  </si>
  <si>
    <t>Alisson Airton Sobrinho - 15/02/2025 14:26:13</t>
  </si>
  <si>
    <t>Alisson Airton Sobrinho - 15/02/2025 14:26:17</t>
  </si>
  <si>
    <t>Alisson Airton Sobrinho - 04/03/2025 08:15:11</t>
  </si>
  <si>
    <t>Alisson Airton Sobrinho - 04/03/2025 08:15:12</t>
  </si>
  <si>
    <t>Alisson Airton Sobrinho - 04/03/2025 08:15:13</t>
  </si>
  <si>
    <t>Base de Dados_Images/BC6506.Imagem do Equipamento-.140050.jpg</t>
  </si>
  <si>
    <t>Alisson Airton Sobrinho - 17/01/2025 11:00:28</t>
  </si>
  <si>
    <t>Base de Dados_Images/BC6506.Imagem da Plaqueta do Motor-.140050.jpg</t>
  </si>
  <si>
    <t>Alisson Airton Sobrinho - 17/01/2025 11:00:44</t>
  </si>
  <si>
    <t>Dorna 5</t>
  </si>
  <si>
    <t>BC6507</t>
  </si>
  <si>
    <t>Bomba recirculação descarga DO-005</t>
  </si>
  <si>
    <t>Alisson Airton Sobrinho - 21/01/2025 08:13:03</t>
  </si>
  <si>
    <t>Alisson Airton Sobrinho - 21/01/2025 08:13:01</t>
  </si>
  <si>
    <t>Alisson Airton Sobrinho - 21/01/2025 08:13:05</t>
  </si>
  <si>
    <t>Alisson Airton Sobrinho - 21/01/2025 08:13:08</t>
  </si>
  <si>
    <t>Alisson Airton Sobrinho - 21/01/2025 08:13:07</t>
  </si>
  <si>
    <t>Alisson Airton Sobrinho - 21/01/2025 08:13:09</t>
  </si>
  <si>
    <t>Alisson Airton Sobrinho - 21/01/2025 08:13:10</t>
  </si>
  <si>
    <t>Alisson Airton Sobrinho - 21/01/2025 08:13:11</t>
  </si>
  <si>
    <t>Alisson Airton Sobrinho - 21/01/2025 08:13:14</t>
  </si>
  <si>
    <t>Alisson Airton Sobrinho - 21/01/2025 08:13:13</t>
  </si>
  <si>
    <t>Alisson Airton Sobrinho - 21/01/2025 08:13:16</t>
  </si>
  <si>
    <t>Alisson Airton Sobrinho - 21/01/2025 08:13:18</t>
  </si>
  <si>
    <t>Matheus César Azevedo Neto - 31/01/2025 12:03:36</t>
  </si>
  <si>
    <t>Alisson Airton Sobrinho - 21/01/2025 08:13:21</t>
  </si>
  <si>
    <t>Alisson Airton Sobrinho - 21/01/2025 08:13:22</t>
  </si>
  <si>
    <t>Alisson Airton Sobrinho - 01/02/2025 15:06:41</t>
  </si>
  <si>
    <t>Alisson Airton Sobrinho - 01/02/2025 15:06:44</t>
  </si>
  <si>
    <t>Alisson Airton Sobrinho - 01/02/2025 15:06:45</t>
  </si>
  <si>
    <t>Alisson Airton Sobrinho - 01/02/2025 15:06:48</t>
  </si>
  <si>
    <t>Alisson Airton Sobrinho - 01/02/2025 15:06:50</t>
  </si>
  <si>
    <t>Alisson Airton Sobrinho - 01/02/2025 15:06:52</t>
  </si>
  <si>
    <t>Alisson Airton Sobrinho - 15/02/2025 11:53:54</t>
  </si>
  <si>
    <t>Alisson Airton Sobrinho - 15/02/2025 11:53:56</t>
  </si>
  <si>
    <t>Alisson Airton Sobrinho - 15/02/2025 11:53:58</t>
  </si>
  <si>
    <t>Alisson Airton Sobrinho - 04/03/2025 08:18:21</t>
  </si>
  <si>
    <t>Alisson Airton Sobrinho - 04/03/2025 08:18:22</t>
  </si>
  <si>
    <t>Alisson Airton Sobrinho - 04/03/2025 08:18:23</t>
  </si>
  <si>
    <t>Alisson Airton Sobrinho - 04/03/2025 08:18:24</t>
  </si>
  <si>
    <t>Base de Dados_Images/BC6507.Imagem do Equipamento-.140758.jpg</t>
  </si>
  <si>
    <t>Alisson Airton Sobrinho - 17/01/2025 11:07:38</t>
  </si>
  <si>
    <t>Base de Dados_Images/BC6507.Imagem da Plaqueta do Motor-.140758.jpg</t>
  </si>
  <si>
    <t>Alisson Airton Sobrinho - 17/01/2025 11:07:52</t>
  </si>
  <si>
    <t>Dorna 6</t>
  </si>
  <si>
    <t>BC6508</t>
  </si>
  <si>
    <t>Bomba recirculação descarga DO-006</t>
  </si>
  <si>
    <t>Alisson Airton Sobrinho - 21/01/2025 08:15:59</t>
  </si>
  <si>
    <t>Alisson Airton Sobrinho - 21/01/2025 08:16:00</t>
  </si>
  <si>
    <t>Alisson Airton Sobrinho - 21/01/2025 08:16:02</t>
  </si>
  <si>
    <t>Alisson Airton Sobrinho - 21/01/2025 08:16:03</t>
  </si>
  <si>
    <t>Alisson Airton Sobrinho - 21/01/2025 08:16:05</t>
  </si>
  <si>
    <t>Alisson Airton Sobrinho - 21/01/2025 08:16:06</t>
  </si>
  <si>
    <t>Alisson Airton Sobrinho - 21/01/2025 08:16:09</t>
  </si>
  <si>
    <t>Alisson Airton Sobrinho - 21/01/2025 08:16:10</t>
  </si>
  <si>
    <t>Alisson Airton Sobrinho - 21/01/2025 08:16:14</t>
  </si>
  <si>
    <t>Alisson Airton Sobrinho - 21/01/2025 08:16:15</t>
  </si>
  <si>
    <t>Alisson Airton Sobrinho - 21/01/2025 08:16:18</t>
  </si>
  <si>
    <t>Alisson Airton Sobrinho - 21/01/2025 08:16:19</t>
  </si>
  <si>
    <t>Matheus César Azevedo Neto - 31/01/2025 12:04:07</t>
  </si>
  <si>
    <t>Alisson Airton Sobrinho - 21/01/2025 08:16:24</t>
  </si>
  <si>
    <t>Alisson Airton Sobrinho - 21/01/2025 08:16:26</t>
  </si>
  <si>
    <t>Alisson Airton Sobrinho - 01/02/2025 15:07:04</t>
  </si>
  <si>
    <t>Alisson Airton Sobrinho - 01/02/2025 15:07:05</t>
  </si>
  <si>
    <t>Alisson Airton Sobrinho - 01/02/2025 15:07:06</t>
  </si>
  <si>
    <t>Alisson Airton Sobrinho - 01/02/2025 15:07:08</t>
  </si>
  <si>
    <t>Alisson Airton Sobrinho - 01/02/2025 15:07:10</t>
  </si>
  <si>
    <t>Alisson Airton Sobrinho - 01/02/2025 15:07:12</t>
  </si>
  <si>
    <t>Alisson Airton Sobrinho - 15/02/2025 14:27:11</t>
  </si>
  <si>
    <t>Alisson Airton Sobrinho - 15/02/2025 14:27:12</t>
  </si>
  <si>
    <t>Alisson Airton Sobrinho - 15/02/2025 14:27:13</t>
  </si>
  <si>
    <t>Alisson Airton Sobrinho - 15/02/2025 14:27:15</t>
  </si>
  <si>
    <t>Alisson Airton Sobrinho - 04/03/2025 08:29:22</t>
  </si>
  <si>
    <t>Alisson Airton Sobrinho - 04/03/2025 08:29:23</t>
  </si>
  <si>
    <t>Alisson Airton Sobrinho - 04/03/2025 08:29:25</t>
  </si>
  <si>
    <t>Alisson Airton Sobrinho - 04/03/2025 08:29:26</t>
  </si>
  <si>
    <t>Base de Dados_Images/BC6508.Imagem do Equipamento-.162652.jpg</t>
  </si>
  <si>
    <t>Alisson Airton Sobrinho - 17/01/2025 11:10:34</t>
  </si>
  <si>
    <t>Base de Dados_Images/BC6508.Imagem da Plaqueta do Motor-.162652.jpg</t>
  </si>
  <si>
    <t>Alisson Airton Sobrinho - 17/01/2025 13:24:24</t>
  </si>
  <si>
    <t>Dorna 7</t>
  </si>
  <si>
    <t>BC6509</t>
  </si>
  <si>
    <t>Bomba recirculação descarga DO-007</t>
  </si>
  <si>
    <t>Alisson Airton Sobrinho - 21/01/2025 10:30:16</t>
  </si>
  <si>
    <t>Alisson Airton Sobrinho - 21/01/2025 10:30:17</t>
  </si>
  <si>
    <t>Alisson Airton Sobrinho - 21/01/2025 10:30:18</t>
  </si>
  <si>
    <t>Alisson Airton Sobrinho - 21/01/2025 10:30:19</t>
  </si>
  <si>
    <t>Alisson Airton Sobrinho - 21/01/2025 10:30:20</t>
  </si>
  <si>
    <t>Alisson Airton Sobrinho - 21/01/2025 10:30:21</t>
  </si>
  <si>
    <t>Alisson Airton Sobrinho - 21/01/2025 10:30:24</t>
  </si>
  <si>
    <t>Alisson Airton Sobrinho - 21/01/2025 10:30:30</t>
  </si>
  <si>
    <t>Alisson Airton Sobrinho - 21/01/2025 10:30:25</t>
  </si>
  <si>
    <t>Alisson Airton Sobrinho - 21/01/2025 10:30:26</t>
  </si>
  <si>
    <t>Alisson Airton Sobrinho - 21/01/2025 10:30:29</t>
  </si>
  <si>
    <t>Alisson Airton Sobrinho - 21/01/2025 10:30:33</t>
  </si>
  <si>
    <t>Matheus César Azevedo Neto - 31/01/2025 12:04:48</t>
  </si>
  <si>
    <t>Alisson Airton Sobrinho - 21/01/2025 10:30:35</t>
  </si>
  <si>
    <t>Alisson Airton Sobrinho - 21/01/2025 10:30:37</t>
  </si>
  <si>
    <t>Alisson Airton Sobrinho - 01/02/2025 15:07:26</t>
  </si>
  <si>
    <t>Alisson Airton Sobrinho - 01/02/2025 15:07:27</t>
  </si>
  <si>
    <t>Alisson Airton Sobrinho - 01/02/2025 15:07:28</t>
  </si>
  <si>
    <t>Alisson Airton Sobrinho - 01/02/2025 15:07:30</t>
  </si>
  <si>
    <t>Alisson Airton Sobrinho - 01/02/2025 15:07:32</t>
  </si>
  <si>
    <t>Alisson Airton Sobrinho - 01/02/2025 15:07:34</t>
  </si>
  <si>
    <t>Alisson Airton Sobrinho - 15/02/2025 14:28:39</t>
  </si>
  <si>
    <t>Alisson Airton Sobrinho - 15/02/2025 14:28:41</t>
  </si>
  <si>
    <t>Alisson Airton Sobrinho - 15/02/2025 14:28:43</t>
  </si>
  <si>
    <t>Alisson Airton Sobrinho - 04/03/2025 08:26:06</t>
  </si>
  <si>
    <t>Alisson Airton Sobrinho - 04/03/2025 08:26:07</t>
  </si>
  <si>
    <t>Alisson Airton Sobrinho - 04/03/2025 08:26:08</t>
  </si>
  <si>
    <t>Alisson Airton Sobrinho - 04/03/2025 08:26:10</t>
  </si>
  <si>
    <t>Base de Dados_Images/BC6509.Imagem do Equipamento-.162805.jpg</t>
  </si>
  <si>
    <t>Alisson Airton Sobrinho - 17/01/2025 13:27:39</t>
  </si>
  <si>
    <t>Base de Dados_Images/BC6509.Imagem da Plaqueta do Motor-.162805.jpg</t>
  </si>
  <si>
    <t>Alisson Airton Sobrinho - 17/01/2025 13:27:59</t>
  </si>
  <si>
    <t>Tanque Pulmao Caldo</t>
  </si>
  <si>
    <t>BC6512</t>
  </si>
  <si>
    <t>Bomba 01 Do Tanque Pulmao Caldo Misto</t>
  </si>
  <si>
    <t>Weslley Ferreira Cooper - 29/01/2025 14:49:35</t>
  </si>
  <si>
    <t>Weslley Ferreira Cooper - 29/01/2025 14:49:30</t>
  </si>
  <si>
    <t>Weslley Ferreira Cooper - 29/01/2025 14:49:28</t>
  </si>
  <si>
    <t>Weslley Ferreira Cooper - 29/01/2025 14:49:27</t>
  </si>
  <si>
    <t>Weslley Ferreira Cooper - 29/01/2025 14:49:33</t>
  </si>
  <si>
    <t>Weslley Ferreira Cooper - 29/01/2025 14:49:24</t>
  </si>
  <si>
    <t>Weslley Ferreira Cooper - 29/01/2025 14:49:23</t>
  </si>
  <si>
    <t>Weslley Ferreira Cooper - 29/01/2025 14:49:21</t>
  </si>
  <si>
    <t>Weslley Ferreira Cooper - 29/01/2025 14:49:19</t>
  </si>
  <si>
    <t>Weslley Ferreira Cooper - 29/01/2025 14:49:18</t>
  </si>
  <si>
    <t>Weslley Ferreira Cooper - 29/01/2025 14:49:16</t>
  </si>
  <si>
    <t>Weslley Ferreira Cooper - 29/01/2025 14:49:15</t>
  </si>
  <si>
    <t>Weslley Ferreira Cooper - 29/01/2025 14:49:08</t>
  </si>
  <si>
    <t>Weslley Ferreira Cooper - 29/01/2025 14:49:07</t>
  </si>
  <si>
    <t>Weslley Ferreira Cooper - 29/01/2025 14:49:06</t>
  </si>
  <si>
    <t>Weslley Ferreira Cooper - 29/01/2025 14:49:05</t>
  </si>
  <si>
    <t>Alisson Airton Sobrinho - 04/02/2025 15:11:54</t>
  </si>
  <si>
    <t>Alisson Airton Sobrinho - 04/02/2025 15:11:55</t>
  </si>
  <si>
    <t>Alisson Airton Sobrinho - 04/02/2025 15:11:57</t>
  </si>
  <si>
    <t>Alisson Airton Sobrinho - 04/02/2025 15:11:59</t>
  </si>
  <si>
    <t>Alisson Airton Sobrinho - 04/02/2025 15:12:01</t>
  </si>
  <si>
    <t>Alisson Airton Sobrinho - 04/02/2025 15:12:04</t>
  </si>
  <si>
    <t>Alisson Airton Sobrinho - 04/03/2025 09:04:10</t>
  </si>
  <si>
    <t>Alisson Airton Sobrinho - 04/03/2025 09:04:11</t>
  </si>
  <si>
    <t>Alisson Airton Sobrinho - 04/03/2025 09:04:12</t>
  </si>
  <si>
    <t>Alisson Airton Sobrinho - 04/03/2025 09:04:16</t>
  </si>
  <si>
    <t>Alisson Airton Sobrinho - 04/03/2025 09:04:17</t>
  </si>
  <si>
    <t>Alisson Airton Sobrinho - 04/03/2025 09:04:18</t>
  </si>
  <si>
    <t>Base de Dados_Images/BC6512.Imagem do Equipamento-.175851.jpg</t>
  </si>
  <si>
    <t>Weslley Ferreira Cooper - 29/01/2025 14:48:56</t>
  </si>
  <si>
    <t>Base de Dados_Images/BC6512.Imagem da Plaqueta do Motor-.164514.jpg</t>
  </si>
  <si>
    <t>Alisson Airton Sobrinho - 17/01/2025 13:45:05</t>
  </si>
  <si>
    <t>Tanque 6502 Vinho A Deslitar</t>
  </si>
  <si>
    <t>BC6513</t>
  </si>
  <si>
    <t>Bomba 01 De Vinho Da Volante Para Destilaria</t>
  </si>
  <si>
    <t>Alisson Airton Sobrinho - 02/01/2025 10:58:58</t>
  </si>
  <si>
    <t>Alisson Airton Sobrinho - 02/01/2025 10:59:03</t>
  </si>
  <si>
    <t>Alisson Airton Sobrinho - 02/01/2025 10:59:05</t>
  </si>
  <si>
    <t>Alisson Airton Sobrinho - 02/01/2025 10:59:07</t>
  </si>
  <si>
    <t>Alisson Airton Sobrinho - 02/01/2025 10:59:08</t>
  </si>
  <si>
    <t>Alisson Airton Sobrinho - 02/01/2025 10:59:10</t>
  </si>
  <si>
    <t>Alisson Airton Sobrinho - 02/01/2025 10:59:11</t>
  </si>
  <si>
    <t>Alisson Airton Sobrinho - 02/01/2025 10:59:19</t>
  </si>
  <si>
    <t>Alisson Airton Sobrinho - 02/01/2025 10:59:20</t>
  </si>
  <si>
    <t>Alisson Airton Sobrinho - 02/01/2025 10:59:24</t>
  </si>
  <si>
    <t>Alisson Airton Sobrinho - 02/01/2025 10:59:25</t>
  </si>
  <si>
    <t>Alisson Airton Sobrinho - 02/01/2025 10:59:28</t>
  </si>
  <si>
    <t>Alisson Airton Sobrinho - 02/01/2025 10:59:29</t>
  </si>
  <si>
    <t>Alisson Airton Sobrinho - 02/01/2025 10:59:30</t>
  </si>
  <si>
    <t>Alisson Airton Sobrinho - 02/01/2025 10:59:32</t>
  </si>
  <si>
    <t>Alisson Airton Sobrinho - 02/01/2025 10:59:33</t>
  </si>
  <si>
    <t>Alisson Airton Sobrinho - 04/02/2025 15:13:10</t>
  </si>
  <si>
    <t>Alisson Airton Sobrinho - 04/02/2025 15:13:11</t>
  </si>
  <si>
    <t>Alisson Airton Sobrinho - 04/02/2025 15:13:12</t>
  </si>
  <si>
    <t>Alisson Airton Sobrinho - 04/02/2025 15:13:15</t>
  </si>
  <si>
    <t>Alisson Airton Sobrinho - 04/02/2025 15:13:17</t>
  </si>
  <si>
    <t>Alisson Airton Sobrinho - 04/02/2025 15:13:20</t>
  </si>
  <si>
    <t>Alisson Airton Sobrinho - 04/03/2025 09:02:50</t>
  </si>
  <si>
    <t>Alisson Airton Sobrinho - 04/03/2025 09:02:51</t>
  </si>
  <si>
    <t>Beatriz Alves Nunes de Paulo - 06/03/2025 09:21:39</t>
  </si>
  <si>
    <t>Beatriz Alves Nunes de Paulo - 06/03/2025 09:21:40</t>
  </si>
  <si>
    <t>Beatriz Alves Nunes de Paulo - 06/03/2025 09:21:41</t>
  </si>
  <si>
    <t>Beatriz Alves Nunes de Paulo - 06/03/2025 09:21:42</t>
  </si>
  <si>
    <t>Base de Dados_Images/BC6513.Imagem do Equipamento-.135853.jpg</t>
  </si>
  <si>
    <t>Alisson Airton Sobrinho - 02/01/2025 10:58:33</t>
  </si>
  <si>
    <t>Base de Dados_Images/BC6513.Imagem da Plaqueta do Motor-.135853.jpg</t>
  </si>
  <si>
    <t>Alisson Airton Sobrinho - 02/01/2025 10:58:47</t>
  </si>
  <si>
    <t>BC6514</t>
  </si>
  <si>
    <t>Bomba 02 De Vinho Da Volante Para Destilaria</t>
  </si>
  <si>
    <t>Alisson Airton Sobrinho - 02/01/2025 11:00:11</t>
  </si>
  <si>
    <t>Alisson Airton Sobrinho - 02/01/2025 11:00:15</t>
  </si>
  <si>
    <t>Alisson Airton Sobrinho - 02/01/2025 11:00:13</t>
  </si>
  <si>
    <t>Alisson Airton Sobrinho - 02/01/2025 11:00:17</t>
  </si>
  <si>
    <t>Alisson Airton Sobrinho - 02/01/2025 11:00:21</t>
  </si>
  <si>
    <t>Alisson Airton Sobrinho - 02/01/2025 11:00:22</t>
  </si>
  <si>
    <t>Alisson Airton Sobrinho - 02/01/2025 11:00:24</t>
  </si>
  <si>
    <t>Alisson Airton Sobrinho - 02/01/2025 11:00:26</t>
  </si>
  <si>
    <t>Alisson Airton Sobrinho - 02/01/2025 11:00:28</t>
  </si>
  <si>
    <t>Alisson Airton Sobrinho - 02/01/2025 11:00:30</t>
  </si>
  <si>
    <t>Alisson Airton Sobrinho - 02/01/2025 11:00:32</t>
  </si>
  <si>
    <t>Alisson Airton Sobrinho - 02/01/2025 11:00:34</t>
  </si>
  <si>
    <t>Alisson Airton Sobrinho - 02/01/2025 11:00:36</t>
  </si>
  <si>
    <t>Alisson Airton Sobrinho - 02/01/2025 11:00:40</t>
  </si>
  <si>
    <t>Alisson Airton Sobrinho - 02/01/2025 11:00:38</t>
  </si>
  <si>
    <t>Alisson Airton Sobrinho - 02/01/2025 11:00:42</t>
  </si>
  <si>
    <t>Alisson Airton Sobrinho - 04/02/2025 15:13:29</t>
  </si>
  <si>
    <t>Alisson Airton Sobrinho - 04/02/2025 15:13:30</t>
  </si>
  <si>
    <t>Alisson Airton Sobrinho - 04/02/2025 15:13:31</t>
  </si>
  <si>
    <t>Alisson Airton Sobrinho - 04/02/2025 15:13:33</t>
  </si>
  <si>
    <t>Alisson Airton Sobrinho - 04/02/2025 15:13:34</t>
  </si>
  <si>
    <t>Alisson Airton Sobrinho - 04/02/2025 15:13:38</t>
  </si>
  <si>
    <t>Alisson Airton Sobrinho - 04/03/2025 09:02:57</t>
  </si>
  <si>
    <t>Alisson Airton Sobrinho - 04/03/2025 09:02:59</t>
  </si>
  <si>
    <t>Alisson Airton Sobrinho - 04/03/2025 09:03:01</t>
  </si>
  <si>
    <t>Beatriz Alves Nunes de Paulo - 06/03/2025 09:21:47</t>
  </si>
  <si>
    <t>Beatriz Alves Nunes de Paulo - 06/03/2025 09:21:48</t>
  </si>
  <si>
    <t>Beatriz Alves Nunes de Paulo - 06/03/2025 09:21:49</t>
  </si>
  <si>
    <t>Beatriz Alves Nunes de Paulo - 06/03/2025 09:21:50</t>
  </si>
  <si>
    <t>Base de Dados_Images/BC6514.Imagem do Equipamento-.140009.jpg</t>
  </si>
  <si>
    <t>Alisson Airton Sobrinho - 02/01/2025 10:59:52</t>
  </si>
  <si>
    <t>Base de Dados_Images/BC6514.Imagem da Plaqueta do Motor-.140008.jpg</t>
  </si>
  <si>
    <t>Alisson Airton Sobrinho - 02/01/2025 11:00:01</t>
  </si>
  <si>
    <t>BC6515</t>
  </si>
  <si>
    <t>Bomba 02 Do Tanque Pulmao Caldo Misto</t>
  </si>
  <si>
    <t>Weslley Ferreira Cooper - 29/01/2025 14:51:25</t>
  </si>
  <si>
    <t>Weslley Ferreira Cooper - 29/01/2025 14:51:22</t>
  </si>
  <si>
    <t>Weslley Ferreira Cooper - 29/01/2025 14:51:21</t>
  </si>
  <si>
    <t>Weslley Ferreira Cooper - 29/01/2025 14:51:20</t>
  </si>
  <si>
    <t>Weslley Ferreira Cooper - 29/01/2025 14:51:18</t>
  </si>
  <si>
    <t>Weslley Ferreira Cooper - 29/01/2025 14:51:15</t>
  </si>
  <si>
    <t>Weslley Ferreira Cooper - 29/01/2025 14:51:14</t>
  </si>
  <si>
    <t>Weslley Ferreira Cooper - 29/01/2025 14:51:13</t>
  </si>
  <si>
    <t>Weslley Ferreira Cooper - 29/01/2025 14:51:10</t>
  </si>
  <si>
    <t>Weslley Ferreira Cooper - 29/01/2025 14:51:08</t>
  </si>
  <si>
    <t>Weslley Ferreira Cooper - 29/01/2025 14:51:07</t>
  </si>
  <si>
    <t>Weslley Ferreira Cooper - 29/01/2025 14:51:06</t>
  </si>
  <si>
    <t>Weslley Ferreira Cooper - 29/01/2025 14:51:03</t>
  </si>
  <si>
    <t>Weslley Ferreira Cooper - 29/01/2025 14:51:02</t>
  </si>
  <si>
    <t>Weslley Ferreira Cooper - 29/01/2025 14:51:00</t>
  </si>
  <si>
    <t>Weslley Ferreira Cooper - 29/01/2025 14:50:59</t>
  </si>
  <si>
    <t>Alisson Airton Sobrinho - 04/02/2025 15:12:16</t>
  </si>
  <si>
    <t>Alisson Airton Sobrinho - 04/02/2025 15:12:17</t>
  </si>
  <si>
    <t>Alisson Airton Sobrinho - 04/02/2025 15:12:18</t>
  </si>
  <si>
    <t>Alisson Airton Sobrinho - 04/02/2025 15:12:20</t>
  </si>
  <si>
    <t>Alisson Airton Sobrinho - 04/02/2025 15:12:22</t>
  </si>
  <si>
    <t>Alisson Airton Sobrinho - 04/02/2025 15:12:24</t>
  </si>
  <si>
    <t>Alisson Airton Sobrinho - 04/03/2025 09:04:24</t>
  </si>
  <si>
    <t>Alisson Airton Sobrinho - 04/03/2025 09:04:25</t>
  </si>
  <si>
    <t>Alisson Airton Sobrinho - 04/03/2025 09:04:26</t>
  </si>
  <si>
    <t>Alisson Airton Sobrinho - 04/03/2025 09:04:27</t>
  </si>
  <si>
    <t>Alisson Airton Sobrinho - 04/03/2025 09:04:30</t>
  </si>
  <si>
    <t>Alisson Airton Sobrinho - 04/03/2025 09:04:31</t>
  </si>
  <si>
    <t>Alisson Airton Sobrinho - 04/03/2025 09:04:32</t>
  </si>
  <si>
    <t>Alisson Airton Sobrinho - 04/03/2025 09:04:33</t>
  </si>
  <si>
    <t>Base de Dados_Images/BC6515.Imagem do Equipamento-.180031.jpg</t>
  </si>
  <si>
    <t>Weslley Ferreira Cooper - 29/01/2025 14:50:48</t>
  </si>
  <si>
    <t>Base de Dados_Images/BC6515.Imagem da Plaqueta do Motor-.170011.jpg</t>
  </si>
  <si>
    <t>Alisson Airton Sobrinho - 17/01/2025 13:59:42</t>
  </si>
  <si>
    <t>BC6516</t>
  </si>
  <si>
    <t>Bomba água de lavagem</t>
  </si>
  <si>
    <t>Alisson Airton Sobrinho - 08/02/2025 07:27:03</t>
  </si>
  <si>
    <t>Alisson Airton Sobrinho - 08/02/2025 07:27:04</t>
  </si>
  <si>
    <t>Alisson Airton Sobrinho - 08/02/2025 07:27:05</t>
  </si>
  <si>
    <t>Alisson Airton Sobrinho - 08/02/2025 07:27:07</t>
  </si>
  <si>
    <t>Alisson Airton Sobrinho - 08/02/2025 07:27:09</t>
  </si>
  <si>
    <t>Alisson Airton Sobrinho - 08/02/2025 07:27:11</t>
  </si>
  <si>
    <t>Alisson Airton Sobrinho - 08/02/2025 07:27:12</t>
  </si>
  <si>
    <t>Alisson Airton Sobrinho - 08/02/2025 07:27:13</t>
  </si>
  <si>
    <t>Alisson Airton Sobrinho - 08/02/2025 07:27:15</t>
  </si>
  <si>
    <t>Alisson Airton Sobrinho - 08/02/2025 07:27:17</t>
  </si>
  <si>
    <t>Alisson Airton Sobrinho - 08/02/2025 07:27:18</t>
  </si>
  <si>
    <t>Alisson Airton Sobrinho - 08/02/2025 07:27:20</t>
  </si>
  <si>
    <t>Alisson Airton Sobrinho - 08/02/2025 07:27:22</t>
  </si>
  <si>
    <t>Alisson Airton Sobrinho - 08/02/2025 07:27:24</t>
  </si>
  <si>
    <t>Alisson Airton Sobrinho - 08/02/2025 07:27:32</t>
  </si>
  <si>
    <t>Alisson Airton Sobrinho - 08/02/2025 07:27:33</t>
  </si>
  <si>
    <t>Alisson Airton Sobrinho - 08/02/2025 07:27:38</t>
  </si>
  <si>
    <t>Alisson Airton Sobrinho - 08/02/2025 07:27:35</t>
  </si>
  <si>
    <t>Alisson Airton Sobrinho - 08/02/2025 07:27:37</t>
  </si>
  <si>
    <t>Alisson Airton Sobrinho - 08/02/2025 07:27:43</t>
  </si>
  <si>
    <t>Alisson Airton Sobrinho - 08/02/2025 07:27:45</t>
  </si>
  <si>
    <t>Alisson Airton Sobrinho - 08/02/2025 07:27:46</t>
  </si>
  <si>
    <t>Alisson Airton Sobrinho - 04/03/2025 07:56:13</t>
  </si>
  <si>
    <t>Alisson Airton Sobrinho - 04/03/2025 07:56:15</t>
  </si>
  <si>
    <t>Alisson Airton Sobrinho - 04/03/2025 07:56:17</t>
  </si>
  <si>
    <t>Base de Dados_Images/BC6516.Imagem do Equipamento-.180744.jpg</t>
  </si>
  <si>
    <t>Libner Ferreira De Morais - 05/02/2025 15:07:28</t>
  </si>
  <si>
    <t>Base de Dados_Images/BC6516.Imagem da Plaqueta do Motor-.180744.jpg</t>
  </si>
  <si>
    <t>Libner Ferreira De Morais - 05/02/2025 15:07:37</t>
  </si>
  <si>
    <t>Regenerador 01</t>
  </si>
  <si>
    <t>BC6517</t>
  </si>
  <si>
    <t>Bomba De Limpeza Eral</t>
  </si>
  <si>
    <t>Paula Caroline Morais Duarte - 03/02/2025 09:38:35</t>
  </si>
  <si>
    <t>Paula Caroline Morais Duarte - 03/02/2025 09:38:36</t>
  </si>
  <si>
    <t>Paula Caroline Morais Duarte - 03/02/2025 09:38:38</t>
  </si>
  <si>
    <t>Paula Caroline Morais Duarte - 03/02/2025 09:38:40</t>
  </si>
  <si>
    <t>Paula Caroline Morais Duarte - 03/02/2025 09:38:42</t>
  </si>
  <si>
    <t>Paula Caroline Morais Duarte - 03/02/2025 09:38:45</t>
  </si>
  <si>
    <t>Paula Caroline Morais Duarte - 03/02/2025 09:38:47</t>
  </si>
  <si>
    <t>Paula Caroline Morais Duarte - 03/02/2025 09:38:49</t>
  </si>
  <si>
    <t>Paula Caroline Morais Duarte - 03/02/2025 09:38:53</t>
  </si>
  <si>
    <t>Paula Caroline Morais Duarte - 03/02/2025 09:38:54</t>
  </si>
  <si>
    <t>Paula Caroline Morais Duarte - 03/02/2025 09:38:58</t>
  </si>
  <si>
    <t>Paula Caroline Morais Duarte - 03/02/2025 09:39:04</t>
  </si>
  <si>
    <t>Paula Caroline Morais Duarte - 03/02/2025 09:39:24</t>
  </si>
  <si>
    <t>Paula Caroline Morais Duarte - 03/02/2025 09:39:28</t>
  </si>
  <si>
    <t>Paula Caroline Morais Duarte - 03/02/2025 09:39:30</t>
  </si>
  <si>
    <t>Paula Caroline Morais Duarte - 03/02/2025 09:39:32</t>
  </si>
  <si>
    <t>Alisson Airton Sobrinho - 25/02/2025 09:47:19</t>
  </si>
  <si>
    <t>Alisson Airton Sobrinho - 25/02/2025 09:47:20</t>
  </si>
  <si>
    <t>Alisson Airton Sobrinho - 25/02/2025 09:47:21</t>
  </si>
  <si>
    <t>Alisson Airton Sobrinho - 25/02/2025 09:47:22</t>
  </si>
  <si>
    <t>Alisson Airton Sobrinho - 25/02/2025 09:47:23</t>
  </si>
  <si>
    <t>Alisson Airton Sobrinho - 25/02/2025 09:47:25</t>
  </si>
  <si>
    <t>Alisson Airton Sobrinho - 25/02/2025 09:47:28</t>
  </si>
  <si>
    <t>Alisson Airton Sobrinho - 25/02/2025 09:47:29</t>
  </si>
  <si>
    <t>Alisson Airton Sobrinho - 25/02/2025 09:47:30</t>
  </si>
  <si>
    <t>Alisson Airton Sobrinho - 25/02/2025 09:47:31</t>
  </si>
  <si>
    <t>Alisson Airton Sobrinho - 04/03/2025 09:00:36</t>
  </si>
  <si>
    <t>Alisson Airton Sobrinho - 04/03/2025 09:00:37</t>
  </si>
  <si>
    <t>Alisson Airton Sobrinho - 04/03/2025 09:00:40</t>
  </si>
  <si>
    <t>Alisson Airton Sobrinho - 04/03/2025 09:00:39</t>
  </si>
  <si>
    <t>Base de Dados_Images/BC6517.Imagem do Equipamento-.124950.jpg</t>
  </si>
  <si>
    <t>Paula Caroline Morais Duarte - 03/02/2025 09:38:02</t>
  </si>
  <si>
    <t>Base de Dados_Images/BC6517.Imagem da Plaqueta do Motor-.124958.jpg</t>
  </si>
  <si>
    <t>Paula Caroline Morais Duarte - 03/02/2025 09:38:23</t>
  </si>
  <si>
    <t>Tanque Vinhaça</t>
  </si>
  <si>
    <t>BC6518</t>
  </si>
  <si>
    <t>Bomba 01 Do Tanque De Vinhaça Para Os Regeneradores</t>
  </si>
  <si>
    <t>Alisson Airton Sobrinho - 29/01/2025 19:09:55</t>
  </si>
  <si>
    <t>Alisson Airton Sobrinho - 29/01/2025 19:09:57</t>
  </si>
  <si>
    <t>Alisson Airton Sobrinho - 29/01/2025 19:09:58</t>
  </si>
  <si>
    <t>Alisson Airton Sobrinho - 29/01/2025 19:10:00</t>
  </si>
  <si>
    <t>Alisson Airton Sobrinho - 29/01/2025 19:10:01</t>
  </si>
  <si>
    <t>Alisson Airton Sobrinho - 29/01/2025 19:10:03</t>
  </si>
  <si>
    <t>Alisson Airton Sobrinho - 29/01/2025 19:10:05</t>
  </si>
  <si>
    <t>Alisson Airton Sobrinho - 29/01/2025 19:10:07</t>
  </si>
  <si>
    <t>Alisson Airton Sobrinho - 29/01/2025 19:10:26</t>
  </si>
  <si>
    <t>Alisson Airton Sobrinho - 29/01/2025 19:10:10</t>
  </si>
  <si>
    <t>Alisson Airton Sobrinho - 29/01/2025 19:10:13</t>
  </si>
  <si>
    <t>Alisson Airton Sobrinho - 29/01/2025 19:10:15</t>
  </si>
  <si>
    <t>Alisson Airton Sobrinho - 04/02/2025 15:25:10</t>
  </si>
  <si>
    <t>Alisson Airton Sobrinho - 04/02/2025 15:25:12</t>
  </si>
  <si>
    <t>Alisson Airton Sobrinho - 04/02/2025 15:25:15</t>
  </si>
  <si>
    <t>Alisson Airton Sobrinho - 04/02/2025 15:25:16</t>
  </si>
  <si>
    <t>Alisson Airton Sobrinho - 04/02/2025 15:25:20</t>
  </si>
  <si>
    <t>Alisson Airton Sobrinho - 04/02/2025 15:25:21</t>
  </si>
  <si>
    <t>Alisson Airton Sobrinho - 06/03/2025 14:53:01</t>
  </si>
  <si>
    <t>Alisson Airton Sobrinho - 06/03/2025 14:53:04</t>
  </si>
  <si>
    <t>Alisson Airton Sobrinho - 06/03/2025 14:53:06</t>
  </si>
  <si>
    <t>Alisson Airton Sobrinho - 07/03/2025 08:06:10</t>
  </si>
  <si>
    <t>Alisson Airton Sobrinho - 07/03/2025 08:06:12</t>
  </si>
  <si>
    <t>Base de Dados_Images/BC6518.Imagem do Equipamento-.221128.jpg</t>
  </si>
  <si>
    <t>Alisson Airton Sobrinho - 29/01/2025 19:09:28</t>
  </si>
  <si>
    <t>Base de Dados_Images/BC6518.Imagem da Plaqueta do Motor-.221128.jpg</t>
  </si>
  <si>
    <t>Alisson Airton Sobrinho - 29/01/2025 19:09:44</t>
  </si>
  <si>
    <t>Tanque Oleo Fusel</t>
  </si>
  <si>
    <t>BC7001</t>
  </si>
  <si>
    <t>Sist Bba Do Tq De Oleo Fusel Nº 3 / Nº</t>
  </si>
  <si>
    <t>Alisson Airton Sobrinho - 01/02/2025 14:12:19</t>
  </si>
  <si>
    <t>Alisson Airton Sobrinho - 01/02/2025 14:12:20</t>
  </si>
  <si>
    <t>Alisson Airton Sobrinho - 01/02/2025 14:12:25</t>
  </si>
  <si>
    <t>Alisson Airton Sobrinho - 01/02/2025 14:12:29</t>
  </si>
  <si>
    <t>Alisson Airton Sobrinho - 01/02/2025 14:12:30</t>
  </si>
  <si>
    <t>Alisson Airton Sobrinho - 01/02/2025 14:12:37</t>
  </si>
  <si>
    <t>Alisson Airton Sobrinho - 01/02/2025 14:12:39</t>
  </si>
  <si>
    <t>Alisson Airton Sobrinho - 01/02/2025 14:12:44</t>
  </si>
  <si>
    <t>Alisson Airton Sobrinho - 01/02/2025 14:12:48</t>
  </si>
  <si>
    <t>Alisson Airton Sobrinho - 01/02/2025 14:12:53</t>
  </si>
  <si>
    <t>Alisson Airton Sobrinho - 01/02/2025 14:12:56</t>
  </si>
  <si>
    <t>Alisson Airton Sobrinho - 01/02/2025 14:12:57</t>
  </si>
  <si>
    <t>Alisson Airton Sobrinho - 01/02/2025 14:12:59</t>
  </si>
  <si>
    <t>Alisson Airton Sobrinho - 01/02/2025 14:13:02</t>
  </si>
  <si>
    <t>Alisson Airton Sobrinho - 01/02/2025 14:13:03</t>
  </si>
  <si>
    <t>Alisson Airton Sobrinho - 01/02/2025 14:13:07</t>
  </si>
  <si>
    <t>Alisson Airton Sobrinho - 04/02/2025 15:28:52</t>
  </si>
  <si>
    <t>Alisson Airton Sobrinho - 04/02/2025 15:28:53</t>
  </si>
  <si>
    <t>Alisson Airton Sobrinho - 04/02/2025 15:28:54</t>
  </si>
  <si>
    <t>Alisson Airton Sobrinho - 04/02/2025 15:28:57</t>
  </si>
  <si>
    <t>Alisson Airton Sobrinho - 04/02/2025 15:28:58</t>
  </si>
  <si>
    <t>Alisson Airton Sobrinho - 04/02/2025 15:29:00</t>
  </si>
  <si>
    <t>Alisson Airton Sobrinho - 05/03/2025 11:52:41</t>
  </si>
  <si>
    <t>Alisson Airton Sobrinho - 05/03/2025 11:52:42</t>
  </si>
  <si>
    <t>Alisson Airton Sobrinho - 05/03/2025 11:52:43</t>
  </si>
  <si>
    <t>Alisson Airton Sobrinho - 05/03/2025 11:52:44</t>
  </si>
  <si>
    <t>Alisson Airton Sobrinho - 05/03/2025 11:52:48</t>
  </si>
  <si>
    <t>Alisson Airton Sobrinho - 05/03/2025 11:52:50</t>
  </si>
  <si>
    <t>Base de Dados_Images/BC7001.Imagem do Equipamento-.170925.jpg</t>
  </si>
  <si>
    <t>Alisson Airton Sobrinho - 01/02/2025 14:09:06</t>
  </si>
  <si>
    <t>Base de Dados_Images/BC7001.Imagem da Plaqueta do Motor-.170925.jpg</t>
  </si>
  <si>
    <t>Alisson Airton Sobrinho - 01/02/2025 14:09:21</t>
  </si>
  <si>
    <t>Tanque 112 Soda Caustica</t>
  </si>
  <si>
    <t>BC7003</t>
  </si>
  <si>
    <t>Sistema Bba Do Tq De Soda Caustica</t>
  </si>
  <si>
    <t>Alisson Airton Sobrinho - 01/02/2025 09:22:38</t>
  </si>
  <si>
    <t>Alisson Airton Sobrinho - 01/02/2025 09:22:48</t>
  </si>
  <si>
    <t>Alisson Airton Sobrinho - 01/02/2025 09:22:54</t>
  </si>
  <si>
    <t>Alisson Airton Sobrinho - 01/02/2025 09:23:00</t>
  </si>
  <si>
    <t>Alisson Airton Sobrinho - 01/02/2025 09:23:02</t>
  </si>
  <si>
    <t>Alisson Airton Sobrinho - 01/02/2025 09:23:07</t>
  </si>
  <si>
    <t>Alisson Airton Sobrinho - 01/02/2025 09:23:09</t>
  </si>
  <si>
    <t>Alisson Airton Sobrinho - 01/02/2025 09:23:14</t>
  </si>
  <si>
    <t>Alisson Airton Sobrinho - 01/02/2025 09:23:16</t>
  </si>
  <si>
    <t>Alisson Airton Sobrinho - 01/02/2025 09:23:22</t>
  </si>
  <si>
    <t>Alisson Airton Sobrinho - 01/02/2025 09:23:29</t>
  </si>
  <si>
    <t>Alisson Airton Sobrinho - 01/02/2025 09:23:39</t>
  </si>
  <si>
    <t>Alisson Airton Sobrinho - 01/02/2025 09:23:42</t>
  </si>
  <si>
    <t>Alisson Airton Sobrinho - 01/02/2025 09:23:47</t>
  </si>
  <si>
    <t>Alisson Airton Sobrinho - 01/02/2025 09:23:48</t>
  </si>
  <si>
    <t>Alisson Airton Sobrinho - 01/02/2025 09:24:00</t>
  </si>
  <si>
    <t>Alisson Airton Sobrinho - 01/02/2025 12:02:52</t>
  </si>
  <si>
    <t>Alisson Airton Sobrinho - 01/02/2025 12:02:53</t>
  </si>
  <si>
    <t>Alisson Airton Sobrinho - 01/02/2025 12:02:55</t>
  </si>
  <si>
    <t>Alisson Airton Sobrinho - 01/02/2025 12:02:59</t>
  </si>
  <si>
    <t>Alisson Airton Sobrinho - 01/02/2025 12:03:00</t>
  </si>
  <si>
    <t>Alisson Airton Sobrinho - 01/02/2025 12:03:01</t>
  </si>
  <si>
    <t>Alisson Airton Sobrinho - 04/03/2025 09:02:04</t>
  </si>
  <si>
    <t>Alisson Airton Sobrinho - 04/03/2025 09:02:07</t>
  </si>
  <si>
    <t>Alisson Airton Sobrinho - 04/03/2025 09:02:09</t>
  </si>
  <si>
    <t>Alisson Airton Sobrinho - 07/03/2025 07:30:56</t>
  </si>
  <si>
    <t>Alisson Airton Sobrinho - 07/03/2025 07:30:57</t>
  </si>
  <si>
    <t>Alisson Airton Sobrinho - 07/03/2025 07:30:58</t>
  </si>
  <si>
    <t>Base de Dados_Images/BC7003.Imagem do Equipamento-.122214.jpg</t>
  </si>
  <si>
    <t>Alisson Airton Sobrinho - 01/02/2025 09:22:10</t>
  </si>
  <si>
    <t>Base de Dados_Images/BC7003.Imagem da Plaqueta do Motor-.122232.jpg</t>
  </si>
  <si>
    <t>Alisson Airton Sobrinho - 01/02/2025 09:22:27</t>
  </si>
  <si>
    <t>BC7004</t>
  </si>
  <si>
    <t>Sist Bba Nº 1 Tq Oleo Fusel Nº 1 / Nº</t>
  </si>
  <si>
    <t>Alisson Airton Sobrinho - 01/02/2025 14:13:18</t>
  </si>
  <si>
    <t>Alisson Airton Sobrinho - 01/02/2025 14:13:19</t>
  </si>
  <si>
    <t>Alisson Airton Sobrinho - 01/02/2025 14:13:21</t>
  </si>
  <si>
    <t>Alisson Airton Sobrinho - 01/02/2025 14:13:23</t>
  </si>
  <si>
    <t>Alisson Airton Sobrinho - 01/02/2025 14:13:24</t>
  </si>
  <si>
    <t>Alisson Airton Sobrinho - 01/02/2025 14:13:26</t>
  </si>
  <si>
    <t>Alisson Airton Sobrinho - 01/02/2025 14:13:28</t>
  </si>
  <si>
    <t>Alisson Airton Sobrinho - 01/02/2025 14:13:31</t>
  </si>
  <si>
    <t>Alisson Airton Sobrinho - 01/02/2025 14:13:33</t>
  </si>
  <si>
    <t>Alisson Airton Sobrinho - 01/02/2025 14:13:36</t>
  </si>
  <si>
    <t>Alisson Airton Sobrinho - 01/02/2025 14:13:37</t>
  </si>
  <si>
    <t>Alisson Airton Sobrinho - 01/02/2025 14:37:14</t>
  </si>
  <si>
    <t>Alisson Airton Sobrinho - 01/02/2025 14:13:43</t>
  </si>
  <si>
    <t>Alisson Airton Sobrinho - 01/02/2025 14:13:45</t>
  </si>
  <si>
    <t>Alisson Airton Sobrinho - 01/02/2025 14:13:48</t>
  </si>
  <si>
    <t>Alisson Airton Sobrinho - 01/02/2025 14:13:49</t>
  </si>
  <si>
    <t>Alisson Airton Sobrinho - 04/02/2025 15:29:18</t>
  </si>
  <si>
    <t>Alisson Airton Sobrinho - 04/02/2025 15:29:19</t>
  </si>
  <si>
    <t>Alisson Airton Sobrinho - 04/02/2025 15:29:23</t>
  </si>
  <si>
    <t>Alisson Airton Sobrinho - 04/02/2025 15:29:21</t>
  </si>
  <si>
    <t>Alisson Airton Sobrinho - 04/02/2025 15:29:25</t>
  </si>
  <si>
    <t>Alisson Airton Sobrinho - 04/02/2025 15:29:27</t>
  </si>
  <si>
    <t>Alisson Airton Sobrinho - 05/03/2025 11:52:57</t>
  </si>
  <si>
    <t>Alisson Airton Sobrinho - 05/03/2025 11:52:58</t>
  </si>
  <si>
    <t>Alisson Airton Sobrinho - 05/03/2025 11:52:59</t>
  </si>
  <si>
    <t>Alisson Airton Sobrinho - 05/03/2025 11:53:04</t>
  </si>
  <si>
    <t>Alisson Airton Sobrinho - 05/03/2025 11:53:05</t>
  </si>
  <si>
    <t>Alisson Airton Sobrinho - 05/03/2025 11:53:06</t>
  </si>
  <si>
    <t>Alisson Airton Sobrinho - 05/03/2025 11:53:07</t>
  </si>
  <si>
    <t>Base de Dados_Images/BC7004.Imagem do Equipamento-.170659.jpg</t>
  </si>
  <si>
    <t>Alisson Airton Sobrinho - 01/02/2025 14:06:20</t>
  </si>
  <si>
    <t>Base de Dados_Images/BC7004.Imagem da Plaqueta do Motor-.170659.jpg</t>
  </si>
  <si>
    <t>Alisson Airton Sobrinho - 01/02/2025 14:06:45</t>
  </si>
  <si>
    <t>Tanque Dispersante</t>
  </si>
  <si>
    <t>BC7005</t>
  </si>
  <si>
    <t>Sistema De Bombeamento De Dispersante</t>
  </si>
  <si>
    <t>Alisson Airton Sobrinho - 01/02/2025 09:34:39</t>
  </si>
  <si>
    <t>Alisson Airton Sobrinho - 01/02/2025 09:34:41</t>
  </si>
  <si>
    <t>Alisson Airton Sobrinho - 01/02/2025 09:34:43</t>
  </si>
  <si>
    <t>Alisson Airton Sobrinho - 01/02/2025 09:34:45</t>
  </si>
  <si>
    <t>Alisson Airton Sobrinho - 01/02/2025 09:34:47</t>
  </si>
  <si>
    <t>Alisson Airton Sobrinho - 01/02/2025 09:34:50</t>
  </si>
  <si>
    <t>Alisson Airton Sobrinho - 01/02/2025 09:34:51</t>
  </si>
  <si>
    <t>Alisson Airton Sobrinho - 01/02/2025 09:34:54</t>
  </si>
  <si>
    <t>Alisson Airton Sobrinho - 01/02/2025 09:35:00</t>
  </si>
  <si>
    <t>Alisson Airton Sobrinho - 01/02/2025 09:35:03</t>
  </si>
  <si>
    <t>Alisson Airton Sobrinho - 01/02/2025 09:35:07</t>
  </si>
  <si>
    <t>Alisson Airton Sobrinho - 01/02/2025 09:35:11</t>
  </si>
  <si>
    <t>Alisson Airton Sobrinho - 01/02/2025 09:35:13</t>
  </si>
  <si>
    <t>Alisson Airton Sobrinho - 01/02/2025 09:35:16</t>
  </si>
  <si>
    <t>Alisson Airton Sobrinho - 01/02/2025 09:35:24</t>
  </si>
  <si>
    <t>Alisson Airton Sobrinho - 01/02/2025 09:35:28</t>
  </si>
  <si>
    <t>Alisson Airton Sobrinho - 01/02/2025 12:00:39</t>
  </si>
  <si>
    <t>Alisson Airton Sobrinho - 01/02/2025 12:00:40</t>
  </si>
  <si>
    <t>Alisson Airton Sobrinho - 01/02/2025 12:00:41</t>
  </si>
  <si>
    <t>Alisson Airton Sobrinho - 01/02/2025 12:00:45</t>
  </si>
  <si>
    <t>Alisson Airton Sobrinho - 01/02/2025 12:00:47</t>
  </si>
  <si>
    <t>Alisson Airton Sobrinho - 01/02/2025 12:00:48</t>
  </si>
  <si>
    <t>Alisson Airton Sobrinho - 04/02/2025 15:15:48</t>
  </si>
  <si>
    <t>Alisson Airton Sobrinho - 04/02/2025 15:15:49</t>
  </si>
  <si>
    <t>Alisson Airton Sobrinho - 04/02/2025 15:15:50</t>
  </si>
  <si>
    <t>Alisson Airton Sobrinho - 04/02/2025 15:15:52</t>
  </si>
  <si>
    <t>Alisson Airton Sobrinho - 07/03/2025 07:32:27</t>
  </si>
  <si>
    <t>Alisson Airton Sobrinho - 07/03/2025 07:32:28</t>
  </si>
  <si>
    <t>Alisson Airton Sobrinho - 07/03/2025 07:32:29</t>
  </si>
  <si>
    <t>Alisson Airton Sobrinho - 07/03/2025 07:32:31</t>
  </si>
  <si>
    <t>Base de Dados_Images/BC7005.Imagem do Equipamento-.123436.jpg</t>
  </si>
  <si>
    <t>Alisson Airton Sobrinho - 01/02/2025 09:34:13</t>
  </si>
  <si>
    <t>Base de Dados_Images/BC7005.Imagem da Plaqueta do Motor-.123436.jpg</t>
  </si>
  <si>
    <t>Alisson Airton Sobrinho - 01/02/2025 09:34:32</t>
  </si>
  <si>
    <t>Tanque Antiespumante</t>
  </si>
  <si>
    <t>BC7006</t>
  </si>
  <si>
    <t>Sistema De Bombeamento De Antiespumant</t>
  </si>
  <si>
    <t>Alisson Airton Sobrinho - 01/02/2025 09:37:40</t>
  </si>
  <si>
    <t>Alisson Airton Sobrinho - 01/02/2025 09:37:41</t>
  </si>
  <si>
    <t>Alisson Airton Sobrinho - 01/02/2025 09:37:44</t>
  </si>
  <si>
    <t>Alisson Airton Sobrinho - 01/02/2025 09:37:45</t>
  </si>
  <si>
    <t>Alisson Airton Sobrinho - 01/02/2025 09:37:48</t>
  </si>
  <si>
    <t>Alisson Airton Sobrinho - 01/02/2025 09:37:50</t>
  </si>
  <si>
    <t>Alisson Airton Sobrinho - 01/02/2025 09:37:54</t>
  </si>
  <si>
    <t>Alisson Airton Sobrinho - 01/02/2025 09:37:59</t>
  </si>
  <si>
    <t>Alisson Airton Sobrinho - 01/02/2025 09:38:03</t>
  </si>
  <si>
    <t>Alisson Airton Sobrinho - 01/02/2025 09:38:05</t>
  </si>
  <si>
    <t>Alisson Airton Sobrinho - 01/02/2025 09:38:06</t>
  </si>
  <si>
    <t>Alisson Airton Sobrinho - 01/02/2025 09:38:14</t>
  </si>
  <si>
    <t>Alisson Airton Sobrinho - 01/02/2025 09:38:16</t>
  </si>
  <si>
    <t>Alisson Airton Sobrinho - 01/02/2025 09:38:20</t>
  </si>
  <si>
    <t>Alisson Airton Sobrinho - 01/02/2025 09:38:23</t>
  </si>
  <si>
    <t>Alisson Airton Sobrinho - 01/02/2025 09:38:25</t>
  </si>
  <si>
    <t>Alisson Airton Sobrinho - 04/02/2025 15:31:00</t>
  </si>
  <si>
    <t>Alisson Airton Sobrinho - 04/02/2025 15:31:02</t>
  </si>
  <si>
    <t>Alisson Airton Sobrinho - 04/02/2025 15:31:05</t>
  </si>
  <si>
    <t>Alisson Airton Sobrinho - 04/02/2025 15:31:07</t>
  </si>
  <si>
    <t>Alisson Airton Sobrinho - 04/02/2025 15:31:09</t>
  </si>
  <si>
    <t>Alisson Airton Sobrinho - 04/02/2025 15:31:12</t>
  </si>
  <si>
    <t>Alisson Airton Sobrinho - 05/03/2025 07:41:00</t>
  </si>
  <si>
    <t>Alisson Airton Sobrinho - 05/03/2025 07:41:01</t>
  </si>
  <si>
    <t>Alisson Airton Sobrinho - 05/03/2025 07:41:02</t>
  </si>
  <si>
    <t>Alisson Airton Sobrinho - 05/03/2025 07:41:03</t>
  </si>
  <si>
    <t>Alisson Airton Sobrinho - 05/03/2025 07:41:07</t>
  </si>
  <si>
    <t>Alisson Airton Sobrinho - 05/03/2025 07:41:09</t>
  </si>
  <si>
    <t>Alisson Airton Sobrinho - 05/03/2025 07:41:10</t>
  </si>
  <si>
    <t>Base de Dados_Images/BC7006.Imagem do Equipamento-.123738.jpg</t>
  </si>
  <si>
    <t>Alisson Airton Sobrinho - 01/02/2025 09:37:03</t>
  </si>
  <si>
    <t>Base de Dados_Images/BC7006.Imagem da Plaqueta do Motor-.123738.jpg</t>
  </si>
  <si>
    <t>Alisson Airton Sobrinho - 01/02/2025 09:37:25</t>
  </si>
  <si>
    <t>Tanque Medição 01</t>
  </si>
  <si>
    <t>BC7101</t>
  </si>
  <si>
    <t>Bomba 01 Envio De Etanol Para Armazenamento</t>
  </si>
  <si>
    <t>Alisson Airton Sobrinho - 21/01/2025 12:03:15</t>
  </si>
  <si>
    <t>Alisson Airton Sobrinho - 21/01/2025 12:03:42</t>
  </si>
  <si>
    <t>Alisson Airton Sobrinho - 21/01/2025 12:03:41</t>
  </si>
  <si>
    <t>Alisson Airton Sobrinho - 21/01/2025 12:03:16</t>
  </si>
  <si>
    <t>Alisson Airton Sobrinho - 21/01/2025 12:03:38</t>
  </si>
  <si>
    <t>Alisson Airton Sobrinho - 21/01/2025 12:03:34</t>
  </si>
  <si>
    <t>Alisson Airton Sobrinho - 21/01/2025 12:03:37</t>
  </si>
  <si>
    <t>Alisson Airton Sobrinho - 21/01/2025 12:03:28</t>
  </si>
  <si>
    <t>Alisson Airton Sobrinho - 21/01/2025 12:03:27</t>
  </si>
  <si>
    <t>Alisson Airton Sobrinho - 21/01/2025 12:03:30</t>
  </si>
  <si>
    <t>Alisson Airton Sobrinho - 21/01/2025 12:03:25</t>
  </si>
  <si>
    <t>Alisson Airton Sobrinho - 21/01/2025 12:03:24</t>
  </si>
  <si>
    <t>Alisson Airton Sobrinho - 21/01/2025 12:03:22</t>
  </si>
  <si>
    <t>Matheus César Azevedo Neto - 31/01/2025 12:05:42</t>
  </si>
  <si>
    <t>Alisson Airton Sobrinho - 21/01/2025 12:03:20</t>
  </si>
  <si>
    <t>Alisson Airton Sobrinho - 21/01/2025 12:03:19</t>
  </si>
  <si>
    <t>Alisson Airton Sobrinho - 04/02/2025 15:28:13</t>
  </si>
  <si>
    <t>Alisson Airton Sobrinho - 04/02/2025 15:28:14</t>
  </si>
  <si>
    <t>Alisson Airton Sobrinho - 04/02/2025 15:28:16</t>
  </si>
  <si>
    <t>Alisson Airton Sobrinho - 04/02/2025 15:28:18</t>
  </si>
  <si>
    <t>Alisson Airton Sobrinho - 04/02/2025 15:28:24</t>
  </si>
  <si>
    <t>Alisson Airton Sobrinho - 04/02/2025 15:28:23</t>
  </si>
  <si>
    <t>Alisson Airton Sobrinho - 19/02/2025 16:42:54</t>
  </si>
  <si>
    <t>Alisson Airton Sobrinho - 19/02/2025 16:42:55</t>
  </si>
  <si>
    <t>Alisson Airton Sobrinho - 19/02/2025 16:42:56</t>
  </si>
  <si>
    <t>Alisson Airton Sobrinho - 19/02/2025 16:42:57</t>
  </si>
  <si>
    <t>Alisson Airton Sobrinho - 07/03/2025 08:08:16</t>
  </si>
  <si>
    <t>Alisson Airton Sobrinho - 07/03/2025 08:08:17</t>
  </si>
  <si>
    <t>Alisson Airton Sobrinho - 07/03/2025 08:08:18</t>
  </si>
  <si>
    <t>Alisson Airton Sobrinho - 07/03/2025 08:08:19</t>
  </si>
  <si>
    <t>Base de Dados_Images/BC7101.Imagem do Equipamento-.181334.jpg</t>
  </si>
  <si>
    <t>Alisson Airton Sobrinho - 21/01/2025 12:02:54</t>
  </si>
  <si>
    <t>Base de Dados_Images/BC7101.Imagem da Plaqueta do Motor-.181333.jpg</t>
  </si>
  <si>
    <t>Alisson Airton Sobrinho - 21/01/2025 12:03:07</t>
  </si>
  <si>
    <t>Tanque Medição 02</t>
  </si>
  <si>
    <t>BC7102</t>
  </si>
  <si>
    <t>Bomba 02 Envio De Etanol Para Armazenamento</t>
  </si>
  <si>
    <t>Alisson Airton Sobrinho - 21/01/2025 12:06:49</t>
  </si>
  <si>
    <t>Alisson Airton Sobrinho - 21/01/2025 12:06:50</t>
  </si>
  <si>
    <t>Alisson Airton Sobrinho - 21/01/2025 12:06:51</t>
  </si>
  <si>
    <t>Alisson Airton Sobrinho - 21/01/2025 12:07:24</t>
  </si>
  <si>
    <t>Alisson Airton Sobrinho - 21/01/2025 12:07:35</t>
  </si>
  <si>
    <t>Alisson Airton Sobrinho - 21/01/2025 12:07:21</t>
  </si>
  <si>
    <t>Alisson Airton Sobrinho - 21/01/2025 12:07:20</t>
  </si>
  <si>
    <t>Alisson Airton Sobrinho - 21/01/2025 12:07:18</t>
  </si>
  <si>
    <t>Alisson Airton Sobrinho - 21/01/2025 12:07:16</t>
  </si>
  <si>
    <t>Alisson Airton Sobrinho - 21/01/2025 12:07:14</t>
  </si>
  <si>
    <t>Alisson Airton Sobrinho - 21/01/2025 12:07:13</t>
  </si>
  <si>
    <t>Alisson Airton Sobrinho - 21/01/2025 12:07:08</t>
  </si>
  <si>
    <t>Alisson Airton Sobrinho - 21/01/2025 12:07:07</t>
  </si>
  <si>
    <t>Matheus César Azevedo Neto - 31/01/2025 12:06:02</t>
  </si>
  <si>
    <t>Alisson Airton Sobrinho - 21/01/2025 12:06:54</t>
  </si>
  <si>
    <t>Alisson Airton Sobrinho - 21/01/2025 12:06:57</t>
  </si>
  <si>
    <t>Alisson Airton Sobrinho - 04/02/2025 15:27:19</t>
  </si>
  <si>
    <t>Alisson Airton Sobrinho - 04/02/2025 15:27:21</t>
  </si>
  <si>
    <t>Alisson Airton Sobrinho - 04/02/2025 15:27:22</t>
  </si>
  <si>
    <t>Alisson Airton Sobrinho - 04/02/2025 15:27:26</t>
  </si>
  <si>
    <t>Alisson Airton Sobrinho - 04/02/2025 15:27:32</t>
  </si>
  <si>
    <t>Alisson Airton Sobrinho - 04/02/2025 15:27:29</t>
  </si>
  <si>
    <t>Alisson Airton Sobrinho - 19/02/2025 16:44:44</t>
  </si>
  <si>
    <t>Alisson Airton Sobrinho - 19/02/2025 16:44:45</t>
  </si>
  <si>
    <t>Alisson Airton Sobrinho - 19/02/2025 16:44:46</t>
  </si>
  <si>
    <t>Alisson Airton Sobrinho - 07/03/2025 08:09:08</t>
  </si>
  <si>
    <t>Alisson Airton Sobrinho - 07/03/2025 08:09:09</t>
  </si>
  <si>
    <t>Alisson Airton Sobrinho - 07/03/2025 08:09:10</t>
  </si>
  <si>
    <t>Base de Dados_Images/BC7102.Imagem do Equipamento-.181652.jpg</t>
  </si>
  <si>
    <t>Alisson Airton Sobrinho - 21/01/2025 12:06:20</t>
  </si>
  <si>
    <t>Base de Dados_Images/BC7102.Imagem da Plaqueta do Motor-.181652.jpg</t>
  </si>
  <si>
    <t>Alisson Airton Sobrinho - 21/01/2025 12:06:37</t>
  </si>
  <si>
    <t>Tanque Refluxo G2</t>
  </si>
  <si>
    <t>BC7103</t>
  </si>
  <si>
    <t>Bomba 01 Do Tanque De Refluxo G2 Coluna B</t>
  </si>
  <si>
    <t>Alisson Airton Sobrinho - 21/01/2025 11:48:32</t>
  </si>
  <si>
    <t>Alisson Airton Sobrinho - 21/01/2025 11:48:33</t>
  </si>
  <si>
    <t>Alisson Airton Sobrinho - 21/01/2025 11:48:36</t>
  </si>
  <si>
    <t>Alisson Airton Sobrinho - 21/01/2025 11:48:38</t>
  </si>
  <si>
    <t>Alisson Airton Sobrinho - 21/01/2025 11:48:39</t>
  </si>
  <si>
    <t>Alisson Airton Sobrinho - 21/01/2025 11:48:40</t>
  </si>
  <si>
    <t>Alisson Airton Sobrinho - 21/01/2025 11:48:42</t>
  </si>
  <si>
    <t>Alisson Airton Sobrinho - 21/01/2025 11:48:44</t>
  </si>
  <si>
    <t>Alisson Airton Sobrinho - 21/01/2025 11:48:45</t>
  </si>
  <si>
    <t>Alisson Airton Sobrinho - 21/01/2025 11:48:46</t>
  </si>
  <si>
    <t>Alisson Airton Sobrinho - 21/01/2025 11:48:48</t>
  </si>
  <si>
    <t>Alisson Airton Sobrinho - 21/01/2025 11:48:49</t>
  </si>
  <si>
    <t>Alisson Airton Sobrinho - 21/01/2025 11:48:51</t>
  </si>
  <si>
    <t>Alisson Airton Sobrinho - 21/01/2025 11:48:52</t>
  </si>
  <si>
    <t>Alisson Airton Sobrinho - 21/01/2025 11:48:56</t>
  </si>
  <si>
    <t>Alisson Airton Sobrinho - 21/01/2025 11:48:57</t>
  </si>
  <si>
    <t>Alisson Airton Sobrinho - 01/02/2025 10:31:31</t>
  </si>
  <si>
    <t>Alisson Airton Sobrinho - 01/02/2025 10:31:34</t>
  </si>
  <si>
    <t>Alisson Airton Sobrinho - 01/02/2025 10:31:32</t>
  </si>
  <si>
    <t>Alisson Airton Sobrinho - 01/02/2025 10:31:37</t>
  </si>
  <si>
    <t>Alisson Airton Sobrinho - 01/02/2025 10:31:40</t>
  </si>
  <si>
    <t>Alisson Airton Sobrinho - 01/02/2025 10:31:42</t>
  </si>
  <si>
    <t>Beatriz Alves Nunes de Paulo - 06/03/2025 09:14:27</t>
  </si>
  <si>
    <t>Beatriz Alves Nunes de Paulo - 06/03/2025 09:14:28</t>
  </si>
  <si>
    <t>Beatriz Alves Nunes de Paulo - 06/03/2025 09:14:30</t>
  </si>
  <si>
    <t>Alisson Airton Sobrinho - 07/03/2025 08:00:54</t>
  </si>
  <si>
    <t>Alisson Airton Sobrinho - 07/03/2025 08:00:55</t>
  </si>
  <si>
    <t>Alisson Airton Sobrinho - 07/03/2025 08:00:56</t>
  </si>
  <si>
    <t>Alisson Airton Sobrinho - 07/03/2025 08:00:57</t>
  </si>
  <si>
    <t>Base de Dados_Images/BC7103.Imagem do Equipamento-.172629.jpg</t>
  </si>
  <si>
    <t>Alisson Airton Sobrinho - 21/01/2025 11:48:06</t>
  </si>
  <si>
    <t>Base de Dados_Images/BC7103.Imagem da Plaqueta do Motor-.172629.jpg</t>
  </si>
  <si>
    <t>Alisson Airton Sobrinho - 21/01/2025 11:48:25</t>
  </si>
  <si>
    <t>BC7104</t>
  </si>
  <si>
    <t>Bomba 02 Do Tanque De Refluxo G2 Coluna B</t>
  </si>
  <si>
    <t>Alisson Airton Sobrinho - 21/01/2025 11:49:51</t>
  </si>
  <si>
    <t>Alisson Airton Sobrinho - 21/01/2025 11:49:55</t>
  </si>
  <si>
    <t>Alisson Airton Sobrinho - 21/01/2025 11:49:56</t>
  </si>
  <si>
    <t>Alisson Airton Sobrinho - 21/01/2025 11:50:03</t>
  </si>
  <si>
    <t>Alisson Airton Sobrinho - 21/01/2025 11:50:00</t>
  </si>
  <si>
    <t>Alisson Airton Sobrinho - 21/01/2025 11:50:13</t>
  </si>
  <si>
    <t>Alisson Airton Sobrinho - 21/01/2025 11:50:06</t>
  </si>
  <si>
    <t>Alisson Airton Sobrinho - 21/01/2025 11:50:08</t>
  </si>
  <si>
    <t>Alisson Airton Sobrinho - 21/01/2025 11:50:16</t>
  </si>
  <si>
    <t>Alisson Airton Sobrinho - 21/01/2025 11:50:21</t>
  </si>
  <si>
    <t>Alisson Airton Sobrinho - 21/01/2025 11:50:17</t>
  </si>
  <si>
    <t>Alisson Airton Sobrinho - 21/01/2025 11:50:18</t>
  </si>
  <si>
    <t>Alisson Airton Sobrinho - 21/01/2025 11:50:19</t>
  </si>
  <si>
    <t>Alisson Airton Sobrinho - 21/01/2025 11:50:28</t>
  </si>
  <si>
    <t>Alisson Airton Sobrinho - 21/01/2025 11:50:30</t>
  </si>
  <si>
    <t>Alisson Airton Sobrinho - 21/01/2025 11:50:31</t>
  </si>
  <si>
    <t>Alisson Airton Sobrinho - 25/02/2025 09:57:47</t>
  </si>
  <si>
    <t>Alisson Airton Sobrinho - 25/02/2025 09:57:48</t>
  </si>
  <si>
    <t>Alisson Airton Sobrinho - 25/02/2025 09:57:49</t>
  </si>
  <si>
    <t>Alisson Airton Sobrinho - 25/02/2025 09:57:50</t>
  </si>
  <si>
    <t>Alisson Airton Sobrinho - 25/02/2025 09:57:51</t>
  </si>
  <si>
    <t>Alisson Airton Sobrinho - 25/02/2025 09:57:56</t>
  </si>
  <si>
    <t>Alisson Airton Sobrinho - 25/02/2025 09:57:57</t>
  </si>
  <si>
    <t>Alisson Airton Sobrinho - 25/02/2025 09:57:58</t>
  </si>
  <si>
    <t>Alisson Airton Sobrinho - 10/03/2025 11:07:31</t>
  </si>
  <si>
    <t>Alisson Airton Sobrinho - 10/03/2025 11:07:32</t>
  </si>
  <si>
    <t>Alisson Airton Sobrinho - 10/03/2025 11:07:33</t>
  </si>
  <si>
    <t>Base de Dados_Images/BC7104.Imagem do Equipamento-.172822.jpg</t>
  </si>
  <si>
    <t>Alisson Airton Sobrinho - 21/01/2025 11:49:41</t>
  </si>
  <si>
    <t>Base de Dados_Images/BC7104.Imagem da Plaqueta do Motor-.172822.jpg</t>
  </si>
  <si>
    <t>Alisson Airton Sobrinho - 21/01/2025 11:49:27</t>
  </si>
  <si>
    <t>Tanque Refluxo G1</t>
  </si>
  <si>
    <t>BC7105</t>
  </si>
  <si>
    <t>Bomba 01 Do Tanque De Refluxo G1 Coluna D</t>
  </si>
  <si>
    <t>Alisson Airton Sobrinho - 21/01/2025 11:10:40</t>
  </si>
  <si>
    <t>Alisson Airton Sobrinho - 21/01/2025 11:10:41</t>
  </si>
  <si>
    <t>Alisson Airton Sobrinho - 21/01/2025 11:10:46</t>
  </si>
  <si>
    <t>Alisson Airton Sobrinho - 21/01/2025 11:10:49</t>
  </si>
  <si>
    <t>Alisson Airton Sobrinho - 21/01/2025 11:10:51</t>
  </si>
  <si>
    <t>Alisson Airton Sobrinho - 21/01/2025 11:10:52</t>
  </si>
  <si>
    <t>Alisson Airton Sobrinho - 21/01/2025 11:10:53</t>
  </si>
  <si>
    <t>Alisson Airton Sobrinho - 21/01/2025 11:11:00</t>
  </si>
  <si>
    <t>Alisson Airton Sobrinho - 21/01/2025 11:10:59</t>
  </si>
  <si>
    <t>Alisson Airton Sobrinho - 21/01/2025 11:11:02</t>
  </si>
  <si>
    <t>Alisson Airton Sobrinho - 21/01/2025 11:11:07</t>
  </si>
  <si>
    <t>Alisson Airton Sobrinho - 21/01/2025 11:11:06</t>
  </si>
  <si>
    <t>Alisson Airton Sobrinho - 21/01/2025 11:11:16</t>
  </si>
  <si>
    <t>Matheus César Azevedo Neto - 31/01/2025 12:05:28</t>
  </si>
  <si>
    <t>Alisson Airton Sobrinho - 21/01/2025 11:11:17</t>
  </si>
  <si>
    <t>Alisson Airton Sobrinho - 21/01/2025 11:11:19</t>
  </si>
  <si>
    <t>Alisson Airton Sobrinho - 01/02/2025 10:30:33</t>
  </si>
  <si>
    <t>Alisson Airton Sobrinho - 01/02/2025 10:30:34</t>
  </si>
  <si>
    <t>Alisson Airton Sobrinho - 01/02/2025 10:30:35</t>
  </si>
  <si>
    <t>Alisson Airton Sobrinho - 01/02/2025 10:30:41</t>
  </si>
  <si>
    <t>Alisson Airton Sobrinho - 01/02/2025 10:30:43</t>
  </si>
  <si>
    <t>Alisson Airton Sobrinho - 01/02/2025 10:30:45</t>
  </si>
  <si>
    <t>Beatriz Alves Nunes de Paulo - 06/03/2025 09:13:52</t>
  </si>
  <si>
    <t>Beatriz Alves Nunes de Paulo - 06/03/2025 09:13:53</t>
  </si>
  <si>
    <t>Beatriz Alves Nunes de Paulo - 06/03/2025 09:13:54</t>
  </si>
  <si>
    <t>Beatriz Alves Nunes de Paulo - 06/03/2025 09:13:55</t>
  </si>
  <si>
    <t>Alisson Airton Sobrinho - 07/03/2025 08:09:48</t>
  </si>
  <si>
    <t>Alisson Airton Sobrinho - 07/03/2025 08:09:50</t>
  </si>
  <si>
    <t>Base de Dados_Images/BC7105.Imagem do Equipamento-.144721.jpg</t>
  </si>
  <si>
    <t>Alisson Airton Sobrinho - 21/01/2025 11:10:06</t>
  </si>
  <si>
    <t>Base de Dados_Images/BC7105.Imagem da Plaqueta do Motor-.144721.jpg</t>
  </si>
  <si>
    <t>Alisson Airton Sobrinho - 21/01/2025 11:10:20</t>
  </si>
  <si>
    <t>BC7106</t>
  </si>
  <si>
    <t>Bomba 02 Do Tanque De Refluxo G1 Coluna D</t>
  </si>
  <si>
    <t>Alisson Airton Sobrinho - 21/01/2025 11:12:51</t>
  </si>
  <si>
    <t>Alisson Airton Sobrinho - 21/01/2025 11:12:53</t>
  </si>
  <si>
    <t>Alisson Airton Sobrinho - 21/01/2025 11:12:54</t>
  </si>
  <si>
    <t>Alisson Airton Sobrinho - 21/01/2025 11:12:56</t>
  </si>
  <si>
    <t>Alisson Airton Sobrinho - 21/01/2025 11:12:57</t>
  </si>
  <si>
    <t>Alisson Airton Sobrinho - 21/01/2025 11:13:00</t>
  </si>
  <si>
    <t>Alisson Airton Sobrinho - 21/01/2025 11:13:01</t>
  </si>
  <si>
    <t>Alisson Airton Sobrinho - 21/01/2025 11:13:05</t>
  </si>
  <si>
    <t>Alisson Airton Sobrinho - 21/01/2025 11:13:27</t>
  </si>
  <si>
    <t>Alisson Airton Sobrinho - 21/01/2025 11:13:31</t>
  </si>
  <si>
    <t>Alisson Airton Sobrinho - 21/01/2025 11:14:29</t>
  </si>
  <si>
    <t>Alisson Airton Sobrinho - 21/01/2025 11:14:37</t>
  </si>
  <si>
    <t>Alisson Airton Sobrinho - 21/01/2025 11:15:02</t>
  </si>
  <si>
    <t>Matheus César Azevedo Neto - 31/01/2025 11:48:12</t>
  </si>
  <si>
    <t>Alisson Airton Sobrinho - 21/01/2025 11:20:58</t>
  </si>
  <si>
    <t>Alisson Airton Sobrinho - 21/01/2025 11:20:51</t>
  </si>
  <si>
    <t>Alisson Airton Sobrinho - 04/02/2025 15:31:45</t>
  </si>
  <si>
    <t>Alisson Airton Sobrinho - 04/02/2025 15:31:47</t>
  </si>
  <si>
    <t>Alisson Airton Sobrinho - 04/02/2025 15:31:50</t>
  </si>
  <si>
    <t>Alisson Airton Sobrinho - 04/02/2025 15:31:53</t>
  </si>
  <si>
    <t>Alisson Airton Sobrinho - 04/02/2025 15:31:56</t>
  </si>
  <si>
    <t>Alisson Airton Sobrinho - 04/02/2025 15:31:59</t>
  </si>
  <si>
    <t>Beatriz Alves Nunes de Paulo - 06/03/2025 09:14:13</t>
  </si>
  <si>
    <t>Beatriz Alves Nunes de Paulo - 06/03/2025 09:14:14</t>
  </si>
  <si>
    <t>Beatriz Alves Nunes de Paulo - 06/03/2025 09:14:15</t>
  </si>
  <si>
    <t>Beatriz Alves Nunes de Paulo - 06/03/2025 09:14:18</t>
  </si>
  <si>
    <t>Alisson Airton Sobrinho - 07/03/2025 08:09:55</t>
  </si>
  <si>
    <t>Alisson Airton Sobrinho - 07/03/2025 08:09:57</t>
  </si>
  <si>
    <t>Alisson Airton Sobrinho - 07/03/2025 08:09:58</t>
  </si>
  <si>
    <t>Base de Dados_Images/BC7106.Imagem do Equipamento-.144932.jpg</t>
  </si>
  <si>
    <t>Alisson Airton Sobrinho - 21/01/2025 11:11:49</t>
  </si>
  <si>
    <t>Base de Dados_Images/BC7106.Imagem da Plaqueta do Motor-.144932.jpg</t>
  </si>
  <si>
    <t>Alisson Airton Sobrinho - 21/01/2025 11:12:14</t>
  </si>
  <si>
    <t>Coluna A</t>
  </si>
  <si>
    <t>BC7107</t>
  </si>
  <si>
    <t>Bba Do Tq Diluidor De Soda</t>
  </si>
  <si>
    <t>Paula Caroline Morais Duarte - 03/02/2025 09:35:56</t>
  </si>
  <si>
    <t>Paula Caroline Morais Duarte - 03/02/2025 09:35:57</t>
  </si>
  <si>
    <t>Paula Caroline Morais Duarte - 03/02/2025 09:35:59</t>
  </si>
  <si>
    <t>Paula Caroline Morais Duarte - 03/02/2025 09:36:04</t>
  </si>
  <si>
    <t>Paula Caroline Morais Duarte - 03/02/2025 09:36:02</t>
  </si>
  <si>
    <t>Paula Caroline Morais Duarte - 03/02/2025 09:36:05</t>
  </si>
  <si>
    <t>Paula Caroline Morais Duarte - 03/02/2025 09:36:10</t>
  </si>
  <si>
    <t>Paula Caroline Morais Duarte - 03/02/2025 09:36:08</t>
  </si>
  <si>
    <t>Paula Caroline Morais Duarte - 03/02/2025 09:36:12</t>
  </si>
  <si>
    <t>Paula Caroline Morais Duarte - 03/02/2025 09:36:16</t>
  </si>
  <si>
    <t>Paula Caroline Morais Duarte - 03/02/2025 09:36:19</t>
  </si>
  <si>
    <t>Paula Caroline Morais Duarte - 03/02/2025 09:36:25</t>
  </si>
  <si>
    <t>Paula Caroline Morais Duarte - 03/02/2025 09:36:27</t>
  </si>
  <si>
    <t>Paula Caroline Morais Duarte - 03/02/2025 09:36:28</t>
  </si>
  <si>
    <t>Paula Caroline Morais Duarte - 03/02/2025 09:36:33</t>
  </si>
  <si>
    <t>Paula Caroline Morais Duarte - 03/02/2025 09:36:36</t>
  </si>
  <si>
    <t>Alisson Airton Sobrinho - 25/02/2025 09:57:06</t>
  </si>
  <si>
    <t>Alisson Airton Sobrinho - 25/02/2025 09:57:08</t>
  </si>
  <si>
    <t>Alisson Airton Sobrinho - 25/02/2025 09:57:09</t>
  </si>
  <si>
    <t>Alisson Airton Sobrinho - 25/02/2025 09:57:12</t>
  </si>
  <si>
    <t>Alisson Airton Sobrinho - 25/02/2025 09:57:13</t>
  </si>
  <si>
    <t>Alisson Airton Sobrinho - 25/02/2025 09:57:16</t>
  </si>
  <si>
    <t>Alisson Airton Sobrinho - 25/02/2025 09:57:17</t>
  </si>
  <si>
    <t>Alisson Airton Sobrinho - 25/02/2025 09:57:18</t>
  </si>
  <si>
    <t>Alisson Airton Sobrinho - 25/02/2025 09:57:19</t>
  </si>
  <si>
    <t>Alisson Airton Sobrinho - 07/03/2025 08:07:50</t>
  </si>
  <si>
    <t>Alisson Airton Sobrinho - 07/03/2025 08:07:51</t>
  </si>
  <si>
    <t>Alisson Airton Sobrinho - 07/03/2025 08:07:52</t>
  </si>
  <si>
    <t>Base de Dados_Images/BC7107.Imagem do Equipamento-.124935.jpg</t>
  </si>
  <si>
    <t>Paula Caroline Morais Duarte - 03/02/2025 09:37:03</t>
  </si>
  <si>
    <t>Base de Dados_Images/BC7107.Imagem da Plaqueta do Motor-.124942.jpg</t>
  </si>
  <si>
    <t>Paula Caroline Morais Duarte - 03/02/2025 09:37:17</t>
  </si>
  <si>
    <t>Tanque Álcool 2º</t>
  </si>
  <si>
    <t>BC7108</t>
  </si>
  <si>
    <t>Sistema Bba Do Tq De Álcool De 2º</t>
  </si>
  <si>
    <t>Alisson Airton Sobrinho - 21/01/2025 11:53:12</t>
  </si>
  <si>
    <t>Alisson Airton Sobrinho - 21/01/2025 11:53:13</t>
  </si>
  <si>
    <t>Alisson Airton Sobrinho - 21/01/2025 11:53:14</t>
  </si>
  <si>
    <t>Alisson Airton Sobrinho - 21/01/2025 11:53:24</t>
  </si>
  <si>
    <t>Alisson Airton Sobrinho - 21/01/2025 11:53:18</t>
  </si>
  <si>
    <t>Alisson Airton Sobrinho - 21/01/2025 11:53:19</t>
  </si>
  <si>
    <t>Alisson Airton Sobrinho - 21/01/2025 11:53:20</t>
  </si>
  <si>
    <t>Alisson Airton Sobrinho - 21/01/2025 11:53:29</t>
  </si>
  <si>
    <t>Alisson Airton Sobrinho - 21/01/2025 11:53:31</t>
  </si>
  <si>
    <t>Alisson Airton Sobrinho - 21/01/2025 11:53:33</t>
  </si>
  <si>
    <t>Alisson Airton Sobrinho - 21/01/2025 11:53:34</t>
  </si>
  <si>
    <t>Alisson Airton Sobrinho - 21/01/2025 11:53:36</t>
  </si>
  <si>
    <t>Alisson Airton Sobrinho - 21/01/2025 11:53:41</t>
  </si>
  <si>
    <t>Alisson Airton Sobrinho - 21/01/2025 11:53:43</t>
  </si>
  <si>
    <t>Alisson Airton Sobrinho - 21/01/2025 11:53:44</t>
  </si>
  <si>
    <t>Alisson Airton Sobrinho - 21/01/2025 11:54:57</t>
  </si>
  <si>
    <t>Alisson Airton Sobrinho - 01/02/2025 10:12:39</t>
  </si>
  <si>
    <t>Alisson Airton Sobrinho - 01/02/2025 10:12:56</t>
  </si>
  <si>
    <t>Alisson Airton Sobrinho - 01/02/2025 10:12:40</t>
  </si>
  <si>
    <t>Alisson Airton Sobrinho - 01/02/2025 10:12:45</t>
  </si>
  <si>
    <t>Alisson Airton Sobrinho - 01/02/2025 10:12:43</t>
  </si>
  <si>
    <t>Alisson Airton Sobrinho - 01/02/2025 10:12:50</t>
  </si>
  <si>
    <t>Beatriz Alves Nunes de Paulo - 06/03/2025 09:11:15</t>
  </si>
  <si>
    <t>Beatriz Alves Nunes de Paulo - 06/03/2025 09:11:16</t>
  </si>
  <si>
    <t>Beatriz Alves Nunes de Paulo - 06/03/2025 09:11:30</t>
  </si>
  <si>
    <t>Beatriz Alves Nunes de Paulo - 06/03/2025 09:11:32</t>
  </si>
  <si>
    <t>Alisson Airton Sobrinho - 06/03/2025 14:48:17</t>
  </si>
  <si>
    <t>Alisson Airton Sobrinho - 06/03/2025 14:48:23</t>
  </si>
  <si>
    <t>Alisson Airton Sobrinho - 06/03/2025 14:48:25</t>
  </si>
  <si>
    <t>Base de Dados_Images/BC7108.Imagem do Equipamento-.173427.jpg</t>
  </si>
  <si>
    <t>Alisson Airton Sobrinho - 21/01/2025 11:52:27</t>
  </si>
  <si>
    <t>Base de Dados_Images/BC7108.Imagem da Plaqueta do Motor-.173428.jpg</t>
  </si>
  <si>
    <t>Alisson Airton Sobrinho - 21/01/2025 11:52:45</t>
  </si>
  <si>
    <t>Tanque De Flegma</t>
  </si>
  <si>
    <t>BC7109</t>
  </si>
  <si>
    <t>Bomba 01 Do Tanque De Flegmaça Da Coluna B</t>
  </si>
  <si>
    <t>Alisson Airton Sobrinho - 21/01/2025 11:43:43</t>
  </si>
  <si>
    <t>Alisson Airton Sobrinho - 21/01/2025 11:43:44</t>
  </si>
  <si>
    <t>Alisson Airton Sobrinho - 21/01/2025 11:43:46</t>
  </si>
  <si>
    <t>Alisson Airton Sobrinho - 21/01/2025 11:43:47</t>
  </si>
  <si>
    <t>Alisson Airton Sobrinho - 21/01/2025 11:43:56</t>
  </si>
  <si>
    <t>Alisson Airton Sobrinho - 21/01/2025 11:43:49</t>
  </si>
  <si>
    <t>Alisson Airton Sobrinho - 21/01/2025 11:43:50</t>
  </si>
  <si>
    <t>Alisson Airton Sobrinho - 21/01/2025 11:44:04</t>
  </si>
  <si>
    <t>Alisson Airton Sobrinho - 21/01/2025 11:44:00</t>
  </si>
  <si>
    <t>Alisson Airton Sobrinho - 21/01/2025 11:44:07</t>
  </si>
  <si>
    <t>Alisson Airton Sobrinho - 21/01/2025 11:44:02</t>
  </si>
  <si>
    <t>Alisson Airton Sobrinho - 21/01/2025 11:44:12</t>
  </si>
  <si>
    <t>Alisson Airton Sobrinho - 21/01/2025 11:44:14</t>
  </si>
  <si>
    <t>Alisson Airton Sobrinho - 21/01/2025 11:44:15</t>
  </si>
  <si>
    <t>Alisson Airton Sobrinho - 21/01/2025 11:44:18</t>
  </si>
  <si>
    <t>Alisson Airton Sobrinho - 21/01/2025 11:44:19</t>
  </si>
  <si>
    <t>Alisson Airton Sobrinho - 01/02/2025 09:44:09</t>
  </si>
  <si>
    <t>Alisson Airton Sobrinho - 01/02/2025 09:44:15</t>
  </si>
  <si>
    <t>Alisson Airton Sobrinho - 01/02/2025 10:13:44</t>
  </si>
  <si>
    <t>Alisson Airton Sobrinho - 01/02/2025 10:13:47</t>
  </si>
  <si>
    <t>Paula Caroline Morais Duarte - 14/02/2025 08:10:46</t>
  </si>
  <si>
    <t>Beatriz Alves Nunes de Paulo - 06/03/2025 09:13:23</t>
  </si>
  <si>
    <t>Beatriz Alves Nunes de Paulo - 06/03/2025 09:13:24</t>
  </si>
  <si>
    <t>Beatriz Alves Nunes de Paulo - 06/03/2025 09:13:25</t>
  </si>
  <si>
    <t>Beatriz Alves Nunes de Paulo - 06/03/2025 09:13:26</t>
  </si>
  <si>
    <t>Alisson Airton Sobrinho - 07/03/2025 08:04:20</t>
  </si>
  <si>
    <t>Alisson Airton Sobrinho - 07/03/2025 08:04:21</t>
  </si>
  <si>
    <t>Alisson Airton Sobrinho - 07/03/2025 08:04:23</t>
  </si>
  <si>
    <t>Base de Dados_Images/BC7109.Imagem do Equipamento-.125742.jpg</t>
  </si>
  <si>
    <t>Paula Caroline Morais Duarte - 14/02/2025 09:56:10</t>
  </si>
  <si>
    <t>Base de Dados_Images/BC7109.Imagem da Plaqueta do Motor-.150728.jpg</t>
  </si>
  <si>
    <t>Alisson Airton Sobrinho - 21/01/2025 11:43:36</t>
  </si>
  <si>
    <t>BC7110</t>
  </si>
  <si>
    <t>Bomba 02 Do Tanque De Flegmaça Da Coluna B</t>
  </si>
  <si>
    <t>Alisson Airton Sobrinho - 21/01/2025 11:45:20</t>
  </si>
  <si>
    <t>Alisson Airton Sobrinho - 21/01/2025 11:45:21</t>
  </si>
  <si>
    <t>Alisson Airton Sobrinho - 21/01/2025 11:45:22</t>
  </si>
  <si>
    <t>Alisson Airton Sobrinho - 21/01/2025 11:45:24</t>
  </si>
  <si>
    <t>Alisson Airton Sobrinho - 21/01/2025 11:45:26</t>
  </si>
  <si>
    <t>Alisson Airton Sobrinho - 21/01/2025 11:45:27</t>
  </si>
  <si>
    <t>Alisson Airton Sobrinho - 21/01/2025 11:45:35</t>
  </si>
  <si>
    <t>Alisson Airton Sobrinho - 21/01/2025 11:45:39</t>
  </si>
  <si>
    <t>Alisson Airton Sobrinho - 21/01/2025 11:45:37</t>
  </si>
  <si>
    <t>Alisson Airton Sobrinho - 21/01/2025 11:45:52</t>
  </si>
  <si>
    <t>Alisson Airton Sobrinho - 21/01/2025 11:46:02</t>
  </si>
  <si>
    <t>Alisson Airton Sobrinho - 21/01/2025 11:45:53</t>
  </si>
  <si>
    <t>Alisson Airton Sobrinho - 21/01/2025 11:46:11</t>
  </si>
  <si>
    <t>Alisson Airton Sobrinho - 21/01/2025 11:46:15</t>
  </si>
  <si>
    <t>Alisson Airton Sobrinho - 21/01/2025 11:46:18</t>
  </si>
  <si>
    <t>Alisson Airton Sobrinho - 21/01/2025 11:46:21</t>
  </si>
  <si>
    <t>Alisson Airton Sobrinho - 01/02/2025 09:44:33</t>
  </si>
  <si>
    <t>Alisson Airton Sobrinho - 01/02/2025 09:44:35</t>
  </si>
  <si>
    <t>Alisson Airton Sobrinho - 01/02/2025 09:44:42</t>
  </si>
  <si>
    <t>Alisson Airton Sobrinho - 01/02/2025 10:13:58</t>
  </si>
  <si>
    <t>Alisson Airton Sobrinho - 01/02/2025 10:14:00</t>
  </si>
  <si>
    <t>Alisson Airton Sobrinho - 01/02/2025 09:44:46</t>
  </si>
  <si>
    <t>Beatriz Alves Nunes de Paulo - 06/03/2025 09:13:34</t>
  </si>
  <si>
    <t>Beatriz Alves Nunes de Paulo - 06/03/2025 09:13:36</t>
  </si>
  <si>
    <t>Alisson Airton Sobrinho - 07/03/2025 08:04:29</t>
  </si>
  <si>
    <t>Alisson Airton Sobrinho - 07/03/2025 08:04:30</t>
  </si>
  <si>
    <t>Alisson Airton Sobrinho - 07/03/2025 08:04:31</t>
  </si>
  <si>
    <t>Base de Dados_Images/BC7110.Imagem do Equipamento-.125757.jpg</t>
  </si>
  <si>
    <t>Paula Caroline Morais Duarte - 14/02/2025 09:56:34</t>
  </si>
  <si>
    <t>Base de Dados_Images/BC7110.Imagem da Plaqueta do Motor-.172443.jpg</t>
  </si>
  <si>
    <t>Alisson Airton Sobrinho - 21/01/2025 11:45:07</t>
  </si>
  <si>
    <t>Tanque Refluxo S1</t>
  </si>
  <si>
    <t>BC7111</t>
  </si>
  <si>
    <t>Sist Bombeamento Refluxo Coluna B (S1)</t>
  </si>
  <si>
    <t>Alisson Airton Sobrinho - 21/01/2025 11:06:28</t>
  </si>
  <si>
    <t>Alisson Airton Sobrinho - 21/01/2025 11:06:29</t>
  </si>
  <si>
    <t>Alisson Airton Sobrinho - 21/01/2025 11:06:34</t>
  </si>
  <si>
    <t>Alisson Airton Sobrinho - 21/01/2025 11:06:40</t>
  </si>
  <si>
    <t>Alisson Airton Sobrinho - 21/01/2025 11:06:43</t>
  </si>
  <si>
    <t>Alisson Airton Sobrinho - 21/01/2025 11:06:45</t>
  </si>
  <si>
    <t>Alisson Airton Sobrinho - 21/01/2025 11:06:47</t>
  </si>
  <si>
    <t>Alisson Airton Sobrinho - 21/01/2025 11:06:49</t>
  </si>
  <si>
    <t>Alisson Airton Sobrinho - 21/01/2025 11:06:50</t>
  </si>
  <si>
    <t>Alisson Airton Sobrinho - 21/01/2025 11:06:53</t>
  </si>
  <si>
    <t>Alisson Airton Sobrinho - 21/01/2025 11:06:54</t>
  </si>
  <si>
    <t>Alisson Airton Sobrinho - 21/01/2025 11:06:56</t>
  </si>
  <si>
    <t>Alisson Airton Sobrinho - 21/01/2025 11:06:58</t>
  </si>
  <si>
    <t>Matheus César Azevedo Neto - 31/01/2025 12:05:13</t>
  </si>
  <si>
    <t>Alisson Airton Sobrinho - 21/01/2025 11:07:02</t>
  </si>
  <si>
    <t>Alisson Airton Sobrinho - 21/01/2025 11:07:06</t>
  </si>
  <si>
    <t>Alisson Airton Sobrinho - 01/02/2025 10:31:57</t>
  </si>
  <si>
    <t>Alisson Airton Sobrinho - 01/02/2025 10:31:58</t>
  </si>
  <si>
    <t>Alisson Airton Sobrinho - 01/02/2025 10:32:01</t>
  </si>
  <si>
    <t>Alisson Airton Sobrinho - 01/02/2025 10:32:00</t>
  </si>
  <si>
    <t>Alisson Airton Sobrinho - 01/02/2025 10:32:03</t>
  </si>
  <si>
    <t>Alisson Airton Sobrinho - 01/02/2025 10:32:05</t>
  </si>
  <si>
    <t>Beatriz Alves Nunes de Paulo - 06/03/2025 09:14:45</t>
  </si>
  <si>
    <t>Beatriz Alves Nunes de Paulo - 06/03/2025 09:14:47</t>
  </si>
  <si>
    <t>Alisson Airton Sobrinho - 07/03/2025 08:01:22</t>
  </si>
  <si>
    <t>Alisson Airton Sobrinho - 07/03/2025 08:01:23</t>
  </si>
  <si>
    <t>Alisson Airton Sobrinho - 07/03/2025 08:01:24</t>
  </si>
  <si>
    <t>Alisson Airton Sobrinho - 07/03/2025 08:01:25</t>
  </si>
  <si>
    <t>Base de Dados_Images/BC7111.Imagem do Equipamento-.144354.jpg</t>
  </si>
  <si>
    <t>Alisson Airton Sobrinho - 21/01/2025 11:05:25</t>
  </si>
  <si>
    <t>Base de Dados_Images/BC7111.Imagem da Plaqueta do Motor-.144354.jpg</t>
  </si>
  <si>
    <t>Alisson Airton Sobrinho - 21/01/2025 11:05:59</t>
  </si>
  <si>
    <t>BC7112</t>
  </si>
  <si>
    <t>Sist Bba (Reserva) Refluxo Coluna B (S1</t>
  </si>
  <si>
    <t>Alisson Airton Sobrinho - 21/01/2025 11:08:15</t>
  </si>
  <si>
    <t>Alisson Airton Sobrinho - 21/01/2025 11:08:16</t>
  </si>
  <si>
    <t>Alisson Airton Sobrinho - 21/01/2025 11:08:22</t>
  </si>
  <si>
    <t>Alisson Airton Sobrinho - 21/01/2025 11:08:24</t>
  </si>
  <si>
    <t>Alisson Airton Sobrinho - 21/01/2025 11:08:27</t>
  </si>
  <si>
    <t>Alisson Airton Sobrinho - 21/01/2025 11:08:32</t>
  </si>
  <si>
    <t>Alisson Airton Sobrinho - 21/01/2025 11:08:33</t>
  </si>
  <si>
    <t>Alisson Airton Sobrinho - 21/01/2025 11:08:41</t>
  </si>
  <si>
    <t>Alisson Airton Sobrinho - 21/01/2025 11:08:42</t>
  </si>
  <si>
    <t>Alisson Airton Sobrinho - 21/01/2025 11:08:45</t>
  </si>
  <si>
    <t>Alisson Airton Sobrinho - 21/01/2025 11:08:50</t>
  </si>
  <si>
    <t>Alisson Airton Sobrinho - 21/01/2025 11:08:51</t>
  </si>
  <si>
    <t>Alisson Airton Sobrinho - 21/01/2025 11:08:54</t>
  </si>
  <si>
    <t>Matheus César Azevedo Neto - 31/01/2025 12:04:37</t>
  </si>
  <si>
    <t>Alisson Airton Sobrinho - 21/01/2025 11:08:57</t>
  </si>
  <si>
    <t>Alisson Airton Sobrinho - 21/01/2025 11:09:05</t>
  </si>
  <si>
    <t>Alisson Airton Sobrinho - 01/02/2025 10:32:16</t>
  </si>
  <si>
    <t>Alisson Airton Sobrinho - 01/02/2025 10:32:20</t>
  </si>
  <si>
    <t>Alisson Airton Sobrinho - 01/02/2025 10:32:18</t>
  </si>
  <si>
    <t>Alisson Airton Sobrinho - 01/02/2025 10:32:22</t>
  </si>
  <si>
    <t>Alisson Airton Sobrinho - 01/02/2025 10:32:24</t>
  </si>
  <si>
    <t>Alisson Airton Sobrinho - 01/02/2025 10:32:27</t>
  </si>
  <si>
    <t>Beatriz Alves Nunes de Paulo - 06/03/2025 09:14:53</t>
  </si>
  <si>
    <t>Beatriz Alves Nunes de Paulo - 06/03/2025 09:14:54</t>
  </si>
  <si>
    <t>Beatriz Alves Nunes de Paulo - 06/03/2025 09:14:56</t>
  </si>
  <si>
    <t>Alisson Airton Sobrinho - 07/03/2025 14:01:14</t>
  </si>
  <si>
    <t>Alisson Airton Sobrinho - 07/03/2025 14:01:15</t>
  </si>
  <si>
    <t>Alisson Airton Sobrinho - 07/03/2025 14:01:16</t>
  </si>
  <si>
    <t>Alisson Airton Sobrinho - 07/03/2025 14:01:17</t>
  </si>
  <si>
    <t>Base de Dados_Images/BC7112.Imagem do Equipamento-.144545.jpg</t>
  </si>
  <si>
    <t>Alisson Airton Sobrinho - 21/01/2025 11:07:58</t>
  </si>
  <si>
    <t>Base de Dados_Images/BC7112.Imagem da Plaqueta do Motor-.144545.jpg</t>
  </si>
  <si>
    <t>Alisson Airton Sobrinho - 21/01/2025 11:08:09</t>
  </si>
  <si>
    <t>BC7113 ETANOL DE 2° ESTOQUE P/ VOLANTE</t>
  </si>
  <si>
    <t>Weslley Ferreira Cooper - 31/01/2025 15:40:51</t>
  </si>
  <si>
    <t>Weslley Ferreira Cooper - 31/01/2025 15:40:47</t>
  </si>
  <si>
    <t>Weslley Ferreira Cooper - 31/01/2025 15:40:46</t>
  </si>
  <si>
    <t>Weslley Ferreira Cooper - 31/01/2025 15:40:44</t>
  </si>
  <si>
    <t>Weslley Ferreira Cooper - 31/01/2025 15:40:43</t>
  </si>
  <si>
    <t>Weslley Ferreira Cooper - 31/01/2025 15:40:35</t>
  </si>
  <si>
    <t>Weslley Ferreira Cooper - 31/01/2025 15:40:34</t>
  </si>
  <si>
    <t>Weslley Ferreira Cooper - 31/01/2025 15:40:33</t>
  </si>
  <si>
    <t>Weslley Ferreira Cooper - 31/01/2025 15:40:32</t>
  </si>
  <si>
    <t>Weslley Ferreira Cooper - 31/01/2025 15:40:29</t>
  </si>
  <si>
    <t>Weslley Ferreira Cooper - 31/01/2025 15:40:28</t>
  </si>
  <si>
    <t>Weslley Ferreira Cooper - 31/01/2025 15:40:27</t>
  </si>
  <si>
    <t>Weslley Ferreira Cooper - 31/01/2025 15:40:23</t>
  </si>
  <si>
    <t>Weslley Ferreira Cooper - 31/01/2025 15:40:22</t>
  </si>
  <si>
    <t>Weslley Ferreira Cooper - 31/01/2025 15:40:21</t>
  </si>
  <si>
    <t>Weslley Ferreira Cooper - 31/01/2025 15:40:19</t>
  </si>
  <si>
    <t>Alisson Airton Sobrinho - 01/02/2025 09:46:06</t>
  </si>
  <si>
    <t>Alisson Airton Sobrinho - 01/02/2025 09:46:12</t>
  </si>
  <si>
    <t>Alisson Airton Sobrinho - 01/02/2025 09:46:18</t>
  </si>
  <si>
    <t>Alisson Airton Sobrinho - 04/02/2025 15:24:11</t>
  </si>
  <si>
    <t>Alisson Airton Sobrinho - 04/02/2025 15:24:07</t>
  </si>
  <si>
    <t>Alisson Airton Sobrinho - 01/02/2025 09:46:26</t>
  </si>
  <si>
    <t>Beatriz Alves Nunes de Paulo - 06/03/2025 09:10:55</t>
  </si>
  <si>
    <t>Beatriz Alves Nunes de Paulo - 06/03/2025 09:10:56</t>
  </si>
  <si>
    <t>Beatriz Alves Nunes de Paulo - 06/03/2025 09:10:58</t>
  </si>
  <si>
    <t>Beatriz Alves Nunes de Paulo - 06/03/2025 09:10:59</t>
  </si>
  <si>
    <t>Alisson Airton Sobrinho - 06/03/2025 14:42:48</t>
  </si>
  <si>
    <t>Alisson Airton Sobrinho - 06/03/2025 14:42:50</t>
  </si>
  <si>
    <t>Alisson Airton Sobrinho - 06/03/2025 14:42:51</t>
  </si>
  <si>
    <t>Base de Dados_Images/BC7113 ETANOL DE 2° ESTOQUE P- VOLANTE.Imagem do Equipamento-.184026.jpg</t>
  </si>
  <si>
    <t>Weslley Ferreira Cooper - 31/01/2025 15:40:11</t>
  </si>
  <si>
    <t>Carregamento De Etanol</t>
  </si>
  <si>
    <t>BC7701</t>
  </si>
  <si>
    <t>Bomba 01 Carregamento Etanol</t>
  </si>
  <si>
    <t>Alisson Airton Sobrinho - 21/01/2025 13:36:34</t>
  </si>
  <si>
    <t>Alisson Airton Sobrinho - 21/01/2025 13:36:36</t>
  </si>
  <si>
    <t>Alisson Airton Sobrinho - 21/01/2025 13:36:37</t>
  </si>
  <si>
    <t>Alisson Airton Sobrinho - 21/01/2025 13:36:45</t>
  </si>
  <si>
    <t>Alisson Airton Sobrinho - 21/01/2025 13:36:47</t>
  </si>
  <si>
    <t>Alisson Airton Sobrinho - 21/01/2025 13:36:48</t>
  </si>
  <si>
    <t>Alisson Airton Sobrinho - 21/01/2025 13:36:51</t>
  </si>
  <si>
    <t>Alisson Airton Sobrinho - 21/01/2025 13:36:52</t>
  </si>
  <si>
    <t>Alisson Airton Sobrinho - 21/01/2025 13:36:55</t>
  </si>
  <si>
    <t>Alisson Airton Sobrinho - 21/01/2025 13:37:15</t>
  </si>
  <si>
    <t>Alisson Airton Sobrinho - 21/01/2025 13:36:58</t>
  </si>
  <si>
    <t>Alisson Airton Sobrinho - 21/01/2025 13:37:01</t>
  </si>
  <si>
    <t>Alisson Airton Sobrinho - 21/01/2025 13:37:04</t>
  </si>
  <si>
    <t>Alisson Airton Sobrinho - 21/01/2025 13:37:05</t>
  </si>
  <si>
    <t>Alisson Airton Sobrinho - 21/01/2025 13:37:07</t>
  </si>
  <si>
    <t>Alisson Airton Sobrinho - 21/01/2025 13:37:08</t>
  </si>
  <si>
    <t>Alisson Airton Sobrinho - 04/02/2025 14:15:15</t>
  </si>
  <si>
    <t>Alisson Airton Sobrinho - 04/02/2025 14:15:26</t>
  </si>
  <si>
    <t>Alisson Airton Sobrinho - 04/02/2025 14:15:30</t>
  </si>
  <si>
    <t>Alisson Airton Sobrinho - 04/02/2025 14:15:34</t>
  </si>
  <si>
    <t>Alisson Airton Sobrinho - 04/02/2025 14:15:37</t>
  </si>
  <si>
    <t>Alisson Airton Sobrinho - 04/02/2025 14:15:46</t>
  </si>
  <si>
    <t>Alisson Airton Sobrinho - 04/02/2025 14:33:54</t>
  </si>
  <si>
    <t>Alisson Airton Sobrinho - 04/02/2025 14:33:55</t>
  </si>
  <si>
    <t>Alisson Airton Sobrinho - 04/02/2025 14:33:57</t>
  </si>
  <si>
    <t>Alisson Airton Sobrinho - 04/02/2025 14:33:58</t>
  </si>
  <si>
    <t>Alisson Airton Sobrinho - 19/02/2025 11:55:46</t>
  </si>
  <si>
    <t>Alisson Airton Sobrinho - 19/02/2025 11:55:47</t>
  </si>
  <si>
    <t>Alisson Airton Sobrinho - 19/02/2025 11:55:48</t>
  </si>
  <si>
    <t>Base de Dados_Images/BC7701.Imagem do Equipamento-.183635.jpg</t>
  </si>
  <si>
    <t>Alisson Airton Sobrinho - 21/01/2025 13:35:58</t>
  </si>
  <si>
    <t>Base de Dados_Images/BC7701.Imagem da Plaqueta do Motor-.183635.jpg</t>
  </si>
  <si>
    <t>Alisson Airton Sobrinho - 21/01/2025 13:36:13</t>
  </si>
  <si>
    <t>BC7702</t>
  </si>
  <si>
    <t>Bomba 02 Carregamento Etanol</t>
  </si>
  <si>
    <t>Alisson Airton Sobrinho - 21/01/2025 13:35:06</t>
  </si>
  <si>
    <t>Alisson Airton Sobrinho - 21/01/2025 13:35:09</t>
  </si>
  <si>
    <t>Alisson Airton Sobrinho - 21/01/2025 13:35:35</t>
  </si>
  <si>
    <t>Alisson Airton Sobrinho - 21/01/2025 13:35:10</t>
  </si>
  <si>
    <t>Alisson Airton Sobrinho - 21/01/2025 13:35:12</t>
  </si>
  <si>
    <t>Alisson Airton Sobrinho - 21/01/2025 13:35:14</t>
  </si>
  <si>
    <t>Alisson Airton Sobrinho - 21/01/2025 13:35:18</t>
  </si>
  <si>
    <t>Alisson Airton Sobrinho - 21/01/2025 13:35:19</t>
  </si>
  <si>
    <t>Alisson Airton Sobrinho - 21/01/2025 13:35:22</t>
  </si>
  <si>
    <t>Alisson Airton Sobrinho - 21/01/2025 13:35:23</t>
  </si>
  <si>
    <t>Alisson Airton Sobrinho - 21/01/2025 13:35:26</t>
  </si>
  <si>
    <t>Alisson Airton Sobrinho - 21/01/2025 13:35:24</t>
  </si>
  <si>
    <t>Alisson Airton Sobrinho - 21/01/2025 13:35:31</t>
  </si>
  <si>
    <t>Alisson Airton Sobrinho - 04/02/2025 14:16:14</t>
  </si>
  <si>
    <t>Alisson Airton Sobrinho - 04/02/2025 14:16:17</t>
  </si>
  <si>
    <t>Alisson Airton Sobrinho - 04/02/2025 14:16:18</t>
  </si>
  <si>
    <t>Alisson Airton Sobrinho - 04/02/2025 14:16:21</t>
  </si>
  <si>
    <t>Alisson Airton Sobrinho - 04/02/2025 14:16:23</t>
  </si>
  <si>
    <t>Alisson Airton Sobrinho - 04/02/2025 14:16:26</t>
  </si>
  <si>
    <t>Alisson Airton Sobrinho - 04/02/2025 14:33:35</t>
  </si>
  <si>
    <t>Alisson Airton Sobrinho - 04/02/2025 14:33:37</t>
  </si>
  <si>
    <t>Alisson Airton Sobrinho - 04/02/2025 14:33:39</t>
  </si>
  <si>
    <t>Alisson Airton Sobrinho - 04/02/2025 14:33:41</t>
  </si>
  <si>
    <t>Alisson Airton Sobrinho - 19/02/2025 11:55:55</t>
  </si>
  <si>
    <t>Alisson Airton Sobrinho - 19/02/2025 11:55:57</t>
  </si>
  <si>
    <t>Base de Dados_Images/BC7702.Imagem do Equipamento-.181854.jpg</t>
  </si>
  <si>
    <t>Alisson Airton Sobrinho - 21/01/2025 13:34:28</t>
  </si>
  <si>
    <t>Base de Dados_Images/BC7702.Imagem da Plaqueta do Motor-.181854.jpg</t>
  </si>
  <si>
    <t>Alisson Airton Sobrinho - 21/01/2025 13:35:00</t>
  </si>
  <si>
    <t>BC7703</t>
  </si>
  <si>
    <t>Bomba 03 Carregamento Etanol</t>
  </si>
  <si>
    <t>Alisson Airton Sobrinho - 21/01/2025 13:42:06</t>
  </si>
  <si>
    <t>Alisson Airton Sobrinho - 21/01/2025 13:42:07</t>
  </si>
  <si>
    <t>Alisson Airton Sobrinho - 21/01/2025 13:42:12</t>
  </si>
  <si>
    <t>Alisson Airton Sobrinho - 21/01/2025 13:42:13</t>
  </si>
  <si>
    <t>Alisson Airton Sobrinho - 21/01/2025 13:42:15</t>
  </si>
  <si>
    <t>Alisson Airton Sobrinho - 21/01/2025 13:42:17</t>
  </si>
  <si>
    <t>Alisson Airton Sobrinho - 21/01/2025 13:42:19</t>
  </si>
  <si>
    <t>Alisson Airton Sobrinho - 21/01/2025 13:42:20</t>
  </si>
  <si>
    <t>Alisson Airton Sobrinho - 21/01/2025 13:42:23</t>
  </si>
  <si>
    <t>Alisson Airton Sobrinho - 21/01/2025 13:42:24</t>
  </si>
  <si>
    <t>Alisson Airton Sobrinho - 21/01/2025 13:42:26</t>
  </si>
  <si>
    <t>Alisson Airton Sobrinho - 21/01/2025 13:42:27</t>
  </si>
  <si>
    <t>Alisson Airton Sobrinho - 21/01/2025 13:42:30</t>
  </si>
  <si>
    <t>Alisson Airton Sobrinho - 21/01/2025 13:42:31</t>
  </si>
  <si>
    <t>Alisson Airton Sobrinho - 21/01/2025 13:42:32</t>
  </si>
  <si>
    <t>Alisson Airton Sobrinho - 21/01/2025 13:42:33</t>
  </si>
  <si>
    <t>Alisson Airton Sobrinho - 04/02/2025 14:16:44</t>
  </si>
  <si>
    <t>Alisson Airton Sobrinho - 04/02/2025 14:16:45</t>
  </si>
  <si>
    <t>Alisson Airton Sobrinho - 04/02/2025 14:16:47</t>
  </si>
  <si>
    <t>Alisson Airton Sobrinho - 04/02/2025 14:16:49</t>
  </si>
  <si>
    <t>Alisson Airton Sobrinho - 04/02/2025 14:16:51</t>
  </si>
  <si>
    <t>Alisson Airton Sobrinho - 04/02/2025 14:33:18</t>
  </si>
  <si>
    <t>Alisson Airton Sobrinho - 04/02/2025 14:33:19</t>
  </si>
  <si>
    <t>Alisson Airton Sobrinho - 04/02/2025 14:33:20</t>
  </si>
  <si>
    <t>Alisson Airton Sobrinho - 04/02/2025 14:33:23</t>
  </si>
  <si>
    <t>Alisson Airton Sobrinho - 19/02/2025 11:56:04</t>
  </si>
  <si>
    <t>Alisson Airton Sobrinho - 19/02/2025 11:56:05</t>
  </si>
  <si>
    <t>Alisson Airton Sobrinho - 19/02/2025 11:56:06</t>
  </si>
  <si>
    <t>Base de Dados_Images/BC7703.Imagem do Equipamento-.183802.jpg</t>
  </si>
  <si>
    <t>Alisson Airton Sobrinho - 21/01/2025 13:41:42</t>
  </si>
  <si>
    <t>Base de Dados_Images/BC7703.Imagem da Plaqueta do Motor-.183802.jpg</t>
  </si>
  <si>
    <t>Alisson Airton Sobrinho - 21/01/2025 13:41:58</t>
  </si>
  <si>
    <t>BC8101</t>
  </si>
  <si>
    <t>Bomba De Agua Desaerada Nº 01</t>
  </si>
  <si>
    <t>Paula Caroline Morais Duarte - 28/01/2025 13:50:40</t>
  </si>
  <si>
    <t>Paula Caroline Morais Duarte - 28/01/2025 13:50:43</t>
  </si>
  <si>
    <t>Paula Caroline Morais Duarte - 28/01/2025 13:50:48</t>
  </si>
  <si>
    <t>Paula Caroline Morais Duarte - 28/01/2025 13:50:52</t>
  </si>
  <si>
    <t>Paula Caroline Morais Duarte - 28/01/2025 13:50:53</t>
  </si>
  <si>
    <t>Paula Caroline Morais Duarte - 28/01/2025 13:50:55</t>
  </si>
  <si>
    <t>Paula Caroline Morais Duarte - 28/01/2025 13:51:11</t>
  </si>
  <si>
    <t>Paula Caroline Morais Duarte - 28/01/2025 13:51:12</t>
  </si>
  <si>
    <t>Paula Caroline Morais Duarte - 28/01/2025 13:51:15</t>
  </si>
  <si>
    <t>Paula Caroline Morais Duarte - 28/01/2025 13:51:16</t>
  </si>
  <si>
    <t>Paula Caroline Morais Duarte - 28/01/2025 13:51:18</t>
  </si>
  <si>
    <t>Paula Caroline Morais Duarte - 28/01/2025 13:51:19</t>
  </si>
  <si>
    <t>Paula Caroline Morais Duarte - 28/01/2025 13:51:24</t>
  </si>
  <si>
    <t>Paula Caroline Morais Duarte - 28/01/2025 13:51:34</t>
  </si>
  <si>
    <t>Paula Caroline Morais Duarte - 28/01/2025 13:51:29</t>
  </si>
  <si>
    <t>Paula Caroline Morais Duarte - 28/01/2025 13:51:26</t>
  </si>
  <si>
    <t>Paula Caroline Morais Duarte - 21/02/2025 09:21:52</t>
  </si>
  <si>
    <t>Paula Caroline Morais Duarte - 21/02/2025 09:21:53</t>
  </si>
  <si>
    <t>Paula Caroline Morais Duarte - 21/02/2025 09:21:54</t>
  </si>
  <si>
    <t>Paula Caroline Morais Duarte - 21/02/2025 09:21:57</t>
  </si>
  <si>
    <t>Paula Caroline Morais Duarte - 21/02/2025 09:21:58</t>
  </si>
  <si>
    <t>Paula Caroline Morais Duarte - 21/02/2025 09:22:00</t>
  </si>
  <si>
    <t>Paula Caroline Morais Duarte - 21/02/2025 09:22:06</t>
  </si>
  <si>
    <t>Paula Caroline Morais Duarte - 21/02/2025 09:22:07</t>
  </si>
  <si>
    <t>Paula Caroline Morais Duarte - 21/02/2025 09:22:08</t>
  </si>
  <si>
    <t>Paula Caroline Morais Duarte - 21/02/2025 09:22:09</t>
  </si>
  <si>
    <t>Paula Caroline Morais Duarte - 25/02/2025 09:08:27</t>
  </si>
  <si>
    <t>Paula Caroline Morais Duarte - 25/02/2025 09:08:28</t>
  </si>
  <si>
    <t>Paula Caroline Morais Duarte - 25/02/2025 09:08:29</t>
  </si>
  <si>
    <t>Paula Caroline Morais Duarte - 25/02/2025 09:08:31</t>
  </si>
  <si>
    <t>Base de Dados_Images/BC8101.Imagem do Equipamento-.173251.jpg</t>
  </si>
  <si>
    <t>Paula Caroline Morais Duarte - 28/01/2025 13:50:25</t>
  </si>
  <si>
    <t>Base de Dados_Images/BC8101.Imagem da Plaqueta do Motor-.173659.jpg</t>
  </si>
  <si>
    <t>Paula Caroline Morais Duarte - 28/01/2025 13:55:02</t>
  </si>
  <si>
    <t>BC8102</t>
  </si>
  <si>
    <t>Bomba De Agua Desaerada Nº 02</t>
  </si>
  <si>
    <t>Paula Caroline Morais Duarte - 28/01/2025 13:54:00</t>
  </si>
  <si>
    <t>Paula Caroline Morais Duarte - 28/01/2025 13:54:01</t>
  </si>
  <si>
    <t>Paula Caroline Morais Duarte - 28/01/2025 13:54:02</t>
  </si>
  <si>
    <t>Paula Caroline Morais Duarte - 28/01/2025 13:54:04</t>
  </si>
  <si>
    <t>Paula Caroline Morais Duarte - 28/01/2025 13:54:05</t>
  </si>
  <si>
    <t>Paula Caroline Morais Duarte - 28/01/2025 13:54:07</t>
  </si>
  <si>
    <t>Paula Caroline Morais Duarte - 28/01/2025 13:54:08</t>
  </si>
  <si>
    <t>Paula Caroline Morais Duarte - 28/01/2025 13:54:10</t>
  </si>
  <si>
    <t>Paula Caroline Morais Duarte - 28/01/2025 13:54:11</t>
  </si>
  <si>
    <t>Paula Caroline Morais Duarte - 28/01/2025 13:54:13</t>
  </si>
  <si>
    <t>Paula Caroline Morais Duarte - 28/01/2025 13:54:14</t>
  </si>
  <si>
    <t>Paula Caroline Morais Duarte - 28/01/2025 13:54:16</t>
  </si>
  <si>
    <t>Paula Caroline Morais Duarte - 28/01/2025 13:54:20</t>
  </si>
  <si>
    <t>Paula Caroline Morais Duarte - 28/01/2025 13:54:18</t>
  </si>
  <si>
    <t>Paula Caroline Morais Duarte - 28/01/2025 13:54:22</t>
  </si>
  <si>
    <t>Paula Caroline Morais Duarte - 28/01/2025 13:54:23</t>
  </si>
  <si>
    <t>Paula Caroline Morais Duarte - 03/02/2025 16:19:24</t>
  </si>
  <si>
    <t>Paula Caroline Morais Duarte - 03/02/2025 16:19:26</t>
  </si>
  <si>
    <t>Paula Caroline Morais Duarte - 03/02/2025 16:19:30</t>
  </si>
  <si>
    <t>Paula Caroline Morais Duarte - 03/02/2025 16:19:32</t>
  </si>
  <si>
    <t>Paula Caroline Morais Duarte - 03/02/2025 16:19:36</t>
  </si>
  <si>
    <t>Paula Caroline Morais Duarte - 03/02/2025 16:19:37</t>
  </si>
  <si>
    <t>Paula Caroline Morais Duarte - 04/02/2025 11:51:21</t>
  </si>
  <si>
    <t>Paula Caroline Morais Duarte - 04/02/2025 11:51:46</t>
  </si>
  <si>
    <t>Paula Caroline Morais Duarte - 04/02/2025 11:51:31</t>
  </si>
  <si>
    <t>Paula Caroline Morais Duarte - 04/02/2025 11:51:38</t>
  </si>
  <si>
    <t>Paula Caroline Morais Duarte - 17/02/2025 08:24:49</t>
  </si>
  <si>
    <t>Paula Caroline Morais Duarte - 17/02/2025 08:24:50</t>
  </si>
  <si>
    <t>Paula Caroline Morais Duarte - 17/02/2025 08:24:51</t>
  </si>
  <si>
    <t>Paula Caroline Morais Duarte - 17/02/2025 08:24:52</t>
  </si>
  <si>
    <t>Base de Dados_Images/BC8102.Imagem do Equipamento-.173403.jpg</t>
  </si>
  <si>
    <t>Paula Caroline Morais Duarte - 28/01/2025 13:53:34</t>
  </si>
  <si>
    <t>Base de Dados_Images/BC8102.Imagem da Plaqueta do Motor-.173403.jpg</t>
  </si>
  <si>
    <t>Paula Caroline Morais Duarte - 28/01/2025 13:53:54</t>
  </si>
  <si>
    <t>Tanque Make-Up</t>
  </si>
  <si>
    <t>BC8103_</t>
  </si>
  <si>
    <t>BOMBA 01 DO TANQUE DE MACK-UP</t>
  </si>
  <si>
    <t>Paula Caroline Morais Duarte - 28/01/2025 14:07:19</t>
  </si>
  <si>
    <t>Paula Caroline Morais Duarte - 28/01/2025 14:07:23</t>
  </si>
  <si>
    <t>Paula Caroline Morais Duarte - 28/01/2025 14:07:32</t>
  </si>
  <si>
    <t>Paula Caroline Morais Duarte - 28/01/2025 14:07:47</t>
  </si>
  <si>
    <t>Paula Caroline Morais Duarte - 28/01/2025 14:07:49</t>
  </si>
  <si>
    <t>Paula Caroline Morais Duarte - 28/01/2025 14:07:50</t>
  </si>
  <si>
    <t>Paula Caroline Morais Duarte - 28/01/2025 14:07:53</t>
  </si>
  <si>
    <t>Paula Caroline Morais Duarte - 28/01/2025 14:07:55</t>
  </si>
  <si>
    <t>Paula Caroline Morais Duarte - 28/01/2025 14:08:17</t>
  </si>
  <si>
    <t>Paula Caroline Morais Duarte - 28/01/2025 14:08:02</t>
  </si>
  <si>
    <t>Paula Caroline Morais Duarte - 28/01/2025 14:08:20</t>
  </si>
  <si>
    <t>Paula Caroline Morais Duarte - 28/01/2025 14:08:07</t>
  </si>
  <si>
    <t>Paula Caroline Morais Duarte - 28/01/2025 14:08:23</t>
  </si>
  <si>
    <t>Paula Caroline Morais Duarte - 28/01/2025 14:08:29</t>
  </si>
  <si>
    <t>Paula Caroline Morais Duarte - 28/01/2025 14:08:30</t>
  </si>
  <si>
    <t>Paula Caroline Morais Duarte - 28/01/2025 14:08:32</t>
  </si>
  <si>
    <t>Paula Caroline Morais Duarte - 03/02/2025 16:17:29</t>
  </si>
  <si>
    <t>Paula Caroline Morais Duarte - 03/02/2025 16:17:32</t>
  </si>
  <si>
    <t>Paula Caroline Morais Duarte - 03/02/2025 16:17:34</t>
  </si>
  <si>
    <t>Paula Caroline Morais Duarte - 03/02/2025 16:17:36</t>
  </si>
  <si>
    <t>Paula Caroline Morais Duarte - 03/02/2025 16:17:38</t>
  </si>
  <si>
    <t>Paula Caroline Morais Duarte - 03/02/2025 16:17:40</t>
  </si>
  <si>
    <t>Paula Caroline Morais Duarte - 17/02/2025 08:16:20</t>
  </si>
  <si>
    <t>Paula Caroline Morais Duarte - 17/02/2025 08:16:21</t>
  </si>
  <si>
    <t>Paula Caroline Morais Duarte - 17/02/2025 08:16:22</t>
  </si>
  <si>
    <t>Paula Caroline Morais Duarte - 17/02/2025 08:16:24</t>
  </si>
  <si>
    <t>Paula Caroline Morais Duarte - 17/02/2025 08:16:28</t>
  </si>
  <si>
    <t>Paula Caroline Morais Duarte - 17/02/2025 08:16:29</t>
  </si>
  <si>
    <t>Paula Caroline Morais Duarte - 17/02/2025 08:16:30</t>
  </si>
  <si>
    <t>Paula Caroline Morais Duarte - 17/02/2025 08:16:31</t>
  </si>
  <si>
    <t>Base de Dados_Images/BC8103_.Imagem do Equipamento-.174307.jpg</t>
  </si>
  <si>
    <t>Paula Caroline Morais Duarte - 28/01/2025 14:06:57</t>
  </si>
  <si>
    <t>Base de Dados_Images/BC8103_.Imagem da Plaqueta do Motor-.174307.jpg</t>
  </si>
  <si>
    <t>Paula Caroline Morais Duarte - 28/01/2025 14:07:06</t>
  </si>
  <si>
    <t>BC8104_</t>
  </si>
  <si>
    <t>BOMBA 02 DO TANQUE DE MACK-UP</t>
  </si>
  <si>
    <t>Paula Caroline Morais Duarte - 28/01/2025 14:05:26</t>
  </si>
  <si>
    <t>Paula Caroline Morais Duarte - 28/01/2025 14:05:41</t>
  </si>
  <si>
    <t>Paula Caroline Morais Duarte - 28/01/2025 14:05:37</t>
  </si>
  <si>
    <t>Paula Caroline Morais Duarte - 28/01/2025 14:05:35</t>
  </si>
  <si>
    <t>Paula Caroline Morais Duarte - 28/01/2025 14:05:36</t>
  </si>
  <si>
    <t>Paula Caroline Morais Duarte - 28/01/2025 14:05:44</t>
  </si>
  <si>
    <t>Paula Caroline Morais Duarte - 28/01/2025 14:05:45</t>
  </si>
  <si>
    <t>Paula Caroline Morais Duarte - 28/01/2025 14:05:47</t>
  </si>
  <si>
    <t>Paula Caroline Morais Duarte - 28/01/2025 14:05:49</t>
  </si>
  <si>
    <t>Paula Caroline Morais Duarte - 28/01/2025 14:05:50</t>
  </si>
  <si>
    <t>Paula Caroline Morais Duarte - 28/01/2025 14:05:53</t>
  </si>
  <si>
    <t>Paula Caroline Morais Duarte - 28/01/2025 14:05:55</t>
  </si>
  <si>
    <t>Paula Caroline Morais Duarte - 28/01/2025 14:05:57</t>
  </si>
  <si>
    <t>Paula Caroline Morais Duarte - 28/01/2025 14:05:59</t>
  </si>
  <si>
    <t>Paula Caroline Morais Duarte - 28/01/2025 14:06:01</t>
  </si>
  <si>
    <t>Paula Caroline Morais Duarte - 28/01/2025 14:06:03</t>
  </si>
  <si>
    <t>Paula Caroline Morais Duarte - 03/02/2025 16:18:20</t>
  </si>
  <si>
    <t>Paula Caroline Morais Duarte - 03/02/2025 16:18:21</t>
  </si>
  <si>
    <t>Paula Caroline Morais Duarte - 03/02/2025 16:18:23</t>
  </si>
  <si>
    <t>Paula Caroline Morais Duarte - 03/02/2025 16:18:25</t>
  </si>
  <si>
    <t>Paula Caroline Morais Duarte - 03/02/2025 16:18:26</t>
  </si>
  <si>
    <t>Paula Caroline Morais Duarte - 03/02/2025 16:18:28</t>
  </si>
  <si>
    <t>Paula Caroline Morais Duarte - 17/02/2025 08:16:54</t>
  </si>
  <si>
    <t>Paula Caroline Morais Duarte - 17/02/2025 08:16:55</t>
  </si>
  <si>
    <t>Paula Caroline Morais Duarte - 17/02/2025 08:17:01</t>
  </si>
  <si>
    <t>Paula Caroline Morais Duarte - 17/02/2025 08:16:58</t>
  </si>
  <si>
    <t>Paula Caroline Morais Duarte - 17/02/2025 08:17:07</t>
  </si>
  <si>
    <t>Paula Caroline Morais Duarte - 17/02/2025 08:17:09</t>
  </si>
  <si>
    <t>Paula Caroline Morais Duarte - 17/02/2025 08:17:10</t>
  </si>
  <si>
    <t>Paula Caroline Morais Duarte - 17/02/2025 08:17:11</t>
  </si>
  <si>
    <t>Base de Dados_Images/BC8104_.Imagem do Equipamento-.174150.jpg</t>
  </si>
  <si>
    <t>Paula Caroline Morais Duarte - 28/01/2025 14:05:07</t>
  </si>
  <si>
    <t>Base de Dados_Images/BC8104_.Imagem da Plaqueta do Motor-.174150.jpg</t>
  </si>
  <si>
    <t>Paula Caroline Morais Duarte - 28/01/2025 14:05:19</t>
  </si>
  <si>
    <t>E.T.A</t>
  </si>
  <si>
    <t>BC8105</t>
  </si>
  <si>
    <t>Bomba De Limpeza Da Caldeira</t>
  </si>
  <si>
    <t>Paula Caroline Morais Duarte - 29/01/2025 09:25:31</t>
  </si>
  <si>
    <t>Paula Caroline Morais Duarte - 29/01/2025 09:25:33</t>
  </si>
  <si>
    <t>Paula Caroline Morais Duarte - 29/01/2025 09:25:35</t>
  </si>
  <si>
    <t>Paula Caroline Morais Duarte - 29/01/2025 09:25:42</t>
  </si>
  <si>
    <t>Paula Caroline Morais Duarte - 29/01/2025 09:25:51</t>
  </si>
  <si>
    <t>Paula Caroline Morais Duarte - 29/01/2025 09:25:55</t>
  </si>
  <si>
    <t>Paula Caroline Morais Duarte - 29/01/2025 09:25:57</t>
  </si>
  <si>
    <t>Paula Caroline Morais Duarte - 29/01/2025 09:26:00</t>
  </si>
  <si>
    <t>Paula Caroline Morais Duarte - 29/01/2025 09:26:12</t>
  </si>
  <si>
    <t>Paula Caroline Morais Duarte - 29/01/2025 09:26:14</t>
  </si>
  <si>
    <t>Paula Caroline Morais Duarte - 29/01/2025 09:26:06</t>
  </si>
  <si>
    <t>Paula Caroline Morais Duarte - 29/01/2025 09:26:08</t>
  </si>
  <si>
    <t>Paula Caroline Morais Duarte - 29/01/2025 09:26:18</t>
  </si>
  <si>
    <t>Paula Caroline Morais Duarte - 29/01/2025 09:26:19</t>
  </si>
  <si>
    <t>Paula Caroline Morais Duarte - 29/01/2025 09:26:22</t>
  </si>
  <si>
    <t>Paula Caroline Morais Duarte - 29/01/2025 09:26:24</t>
  </si>
  <si>
    <t>Paula Caroline Morais Duarte - 29/01/2025 09:26:59</t>
  </si>
  <si>
    <t>Paula Caroline Morais Duarte - 29/01/2025 09:27:07</t>
  </si>
  <si>
    <t>Paula Caroline Morais Duarte - 29/01/2025 09:27:14</t>
  </si>
  <si>
    <t>Paula Caroline Morais Duarte - 29/01/2025 09:27:12</t>
  </si>
  <si>
    <t>Paula Caroline Morais Duarte - 29/01/2025 09:27:20</t>
  </si>
  <si>
    <t>Paula Caroline Morais Duarte - 29/01/2025 09:27:22</t>
  </si>
  <si>
    <t>Paula Caroline Morais Duarte - 03/02/2025 15:12:44</t>
  </si>
  <si>
    <t>Paula Caroline Morais Duarte - 03/02/2025 15:12:49</t>
  </si>
  <si>
    <t>Paula Caroline Morais Duarte - 03/02/2025 15:12:54</t>
  </si>
  <si>
    <t>Paula Caroline Morais Duarte - 03/02/2025 15:12:53</t>
  </si>
  <si>
    <t>Paula Caroline Morais Duarte - 11/02/2025 10:43:42</t>
  </si>
  <si>
    <t>Paula Caroline Morais Duarte - 11/02/2025 10:43:43</t>
  </si>
  <si>
    <t>Paula Caroline Morais Duarte - 11/02/2025 10:43:46</t>
  </si>
  <si>
    <t>Paula Caroline Morais Duarte - 11/02/2025 10:43:47</t>
  </si>
  <si>
    <t>Base de Dados_Images/BC8105.Imagem do Equipamento-.131952.jpg</t>
  </si>
  <si>
    <t>Paula Caroline Morais Duarte - 29/01/2025 09:26:39</t>
  </si>
  <si>
    <t>Base de Dados_Images/BC8105.Imagem da Plaqueta do Motor-.131959.jpg</t>
  </si>
  <si>
    <t>Paula Caroline Morais Duarte - 29/01/2025 09:26:47</t>
  </si>
  <si>
    <t>Tanque Agua Suja (Particulados)</t>
  </si>
  <si>
    <t>BC8106</t>
  </si>
  <si>
    <t>Bomba 01 De Agua Com Particulados Para Vlc</t>
  </si>
  <si>
    <t>Paula Caroline Morais Duarte - 10/02/2025 15:29:04</t>
  </si>
  <si>
    <t>Paula Caroline Morais Duarte - 10/02/2025 15:29:05</t>
  </si>
  <si>
    <t>Alisson Airton Sobrinho - 07/03/2025 12:46:00</t>
  </si>
  <si>
    <t>Alisson Airton Sobrinho - 07/03/2025 12:46:01</t>
  </si>
  <si>
    <t>Paula Caroline Morais Duarte - 10/02/2025 15:29:15</t>
  </si>
  <si>
    <t>Paula Caroline Morais Duarte - 10/02/2025 15:29:19</t>
  </si>
  <si>
    <t>Alisson Airton Sobrinho - 07/03/2025 12:46:04</t>
  </si>
  <si>
    <t>Alisson Airton Sobrinho - 07/03/2025 12:46:05</t>
  </si>
  <si>
    <t>Paula Caroline Morais Duarte - 10/02/2025 15:29:24</t>
  </si>
  <si>
    <t>Paula Caroline Morais Duarte - 10/02/2025 15:29:26</t>
  </si>
  <si>
    <t>Paula Caroline Morais Duarte - 10/02/2025 15:29:30</t>
  </si>
  <si>
    <t>Paula Caroline Morais Duarte - 10/02/2025 15:29:32</t>
  </si>
  <si>
    <t>Paula Caroline Morais Duarte - 10/02/2025 15:30:20</t>
  </si>
  <si>
    <t>Paula Caroline Morais Duarte - 10/02/2025 15:30:19</t>
  </si>
  <si>
    <t>Paula Caroline Morais Duarte - 10/02/2025 15:30:16</t>
  </si>
  <si>
    <t>Paula Caroline Morais Duarte - 10/02/2025 15:30:14</t>
  </si>
  <si>
    <t>Alisson Airton Sobrinho - 07/03/2025 12:46:10</t>
  </si>
  <si>
    <t>Alisson Airton Sobrinho - 07/03/2025 12:46:12</t>
  </si>
  <si>
    <t>Alisson Airton Sobrinho - 07/03/2025 12:46:13</t>
  </si>
  <si>
    <t>Alisson Airton Sobrinho - 07/03/2025 12:46:14</t>
  </si>
  <si>
    <t>Alisson Airton Sobrinho - 07/03/2025 12:46:15</t>
  </si>
  <si>
    <t>Alisson Airton Sobrinho - 07/03/2025 12:46:16</t>
  </si>
  <si>
    <t>Alisson Airton Sobrinho - 07/03/2025 12:46:27</t>
  </si>
  <si>
    <t>Alisson Airton Sobrinho - 07/03/2025 12:46:28</t>
  </si>
  <si>
    <t>Alisson Airton Sobrinho - 07/03/2025 12:46:29</t>
  </si>
  <si>
    <t>Alisson Airton Sobrinho - 07/03/2025 12:46:30</t>
  </si>
  <si>
    <t>Alisson Airton Sobrinho - 07/03/2025 12:58:05</t>
  </si>
  <si>
    <t>Alisson Airton Sobrinho - 07/03/2025 12:58:06</t>
  </si>
  <si>
    <t>Alisson Airton Sobrinho - 07/03/2025 12:58:07</t>
  </si>
  <si>
    <t>Alisson Airton Sobrinho - 07/03/2025 12:58:08</t>
  </si>
  <si>
    <t>Paula Caroline Morais Duarte - 01/30/2025 15:33:03</t>
  </si>
  <si>
    <t>BC8108</t>
  </si>
  <si>
    <t>Bomba de água com particulados para vlc</t>
  </si>
  <si>
    <t>Paula Caroline Morais Duarte - 31/01/2025 09:52:31</t>
  </si>
  <si>
    <t>Paula Caroline Morais Duarte - 31/01/2025 09:52:32</t>
  </si>
  <si>
    <t>Paula Caroline Morais Duarte - 31/01/2025 09:52:34</t>
  </si>
  <si>
    <t>Paula Caroline Morais Duarte - 31/01/2025 09:52:35</t>
  </si>
  <si>
    <t>Paula Caroline Morais Duarte - 31/01/2025 09:52:37</t>
  </si>
  <si>
    <t>Paula Caroline Morais Duarte - 31/01/2025 09:52:38</t>
  </si>
  <si>
    <t>Paula Caroline Morais Duarte - 31/01/2025 09:52:40</t>
  </si>
  <si>
    <t>Paula Caroline Morais Duarte - 31/01/2025 09:52:41</t>
  </si>
  <si>
    <t>Paula Caroline Morais Duarte - 31/01/2025 09:52:43</t>
  </si>
  <si>
    <t>Paula Caroline Morais Duarte - 31/01/2025 09:52:46</t>
  </si>
  <si>
    <t>Paula Caroline Morais Duarte - 31/01/2025 09:52:48</t>
  </si>
  <si>
    <t>Paula Caroline Morais Duarte - 31/01/2025 09:52:49</t>
  </si>
  <si>
    <t>Paula Caroline Morais Duarte - 31/01/2025 09:52:52</t>
  </si>
  <si>
    <t>Paula Caroline Morais Duarte - 31/01/2025 09:52:53</t>
  </si>
  <si>
    <t>Paula Caroline Morais Duarte - 31/01/2025 09:52:56</t>
  </si>
  <si>
    <t>Paula Caroline Morais Duarte - 31/01/2025 09:52:57</t>
  </si>
  <si>
    <t>Beatriz Alves Nunes de Paulo - 06/03/2025 09:39:01</t>
  </si>
  <si>
    <t>Beatriz Alves Nunes de Paulo - 06/03/2025 09:39:02</t>
  </si>
  <si>
    <t>Beatriz Alves Nunes de Paulo - 06/03/2025 09:39:04</t>
  </si>
  <si>
    <t>Beatriz Alves Nunes de Paulo - 06/03/2025 09:39:05</t>
  </si>
  <si>
    <t>Beatriz Alves Nunes de Paulo - 06/03/2025 09:39:07</t>
  </si>
  <si>
    <t>Alisson Airton Sobrinho - 07/03/2025 09:11:07</t>
  </si>
  <si>
    <t>Alisson Airton Sobrinho - 07/03/2025 09:11:08</t>
  </si>
  <si>
    <t>Alisson Airton Sobrinho - 07/03/2025 09:11:09</t>
  </si>
  <si>
    <t>Alisson Airton Sobrinho - 07/03/2025 09:11:15</t>
  </si>
  <si>
    <t>Alisson Airton Sobrinho - 07/03/2025 09:11:16</t>
  </si>
  <si>
    <t>Alisson Airton Sobrinho - 07/03/2025 09:11:17</t>
  </si>
  <si>
    <t>Inserir_Remover TAG_Images/BC8108.Imagem.183943.jpg</t>
  </si>
  <si>
    <t>Matheus César Azevedo Neto - 31/01/2025 08:59:13</t>
  </si>
  <si>
    <t>Clarificador</t>
  </si>
  <si>
    <t>BC8109</t>
  </si>
  <si>
    <t>Bomba 01 De Lodo Do Decantador</t>
  </si>
  <si>
    <t>Paula Caroline Morais Duarte - 29/01/2025 12:38:54</t>
  </si>
  <si>
    <t>Paula Caroline Morais Duarte - 29/01/2025 12:38:55</t>
  </si>
  <si>
    <t>Paula Caroline Morais Duarte - 29/01/2025 12:38:58</t>
  </si>
  <si>
    <t>Paula Caroline Morais Duarte - 29/01/2025 12:39:00</t>
  </si>
  <si>
    <t>Paula Caroline Morais Duarte - 29/01/2025 12:39:02</t>
  </si>
  <si>
    <t>Paula Caroline Morais Duarte - 29/01/2025 12:39:08</t>
  </si>
  <si>
    <t>Paula Caroline Morais Duarte - 29/01/2025 12:39:10</t>
  </si>
  <si>
    <t>Paula Caroline Morais Duarte - 29/01/2025 12:39:12</t>
  </si>
  <si>
    <t>Paula Caroline Morais Duarte - 29/01/2025 12:39:14</t>
  </si>
  <si>
    <t>Paula Caroline Morais Duarte - 29/01/2025 12:39:16</t>
  </si>
  <si>
    <t>Paula Caroline Morais Duarte - 29/01/2025 12:39:21</t>
  </si>
  <si>
    <t>Paula Caroline Morais Duarte - 29/01/2025 12:39:24</t>
  </si>
  <si>
    <t>Paula Caroline Morais Duarte - 29/01/2025 12:39:28</t>
  </si>
  <si>
    <t>Paula Caroline Morais Duarte - 29/01/2025 12:39:30</t>
  </si>
  <si>
    <t>Paula Caroline Morais Duarte - 29/01/2025 12:39:33</t>
  </si>
  <si>
    <t>Paula Caroline Morais Duarte - 29/01/2025 12:39:42</t>
  </si>
  <si>
    <t>Alisson Airton Sobrinho - 07/03/2025 12:59:05</t>
  </si>
  <si>
    <t>Alisson Airton Sobrinho - 07/03/2025 12:59:07</t>
  </si>
  <si>
    <t>Alisson Airton Sobrinho - 07/03/2025 12:59:08</t>
  </si>
  <si>
    <t>Alisson Airton Sobrinho - 07/03/2025 12:59:10</t>
  </si>
  <si>
    <t>Alisson Airton Sobrinho - 07/03/2025 12:59:13</t>
  </si>
  <si>
    <t>Alisson Airton Sobrinho - 07/03/2025 12:59:14</t>
  </si>
  <si>
    <t>Alisson Airton Sobrinho - 07/03/2025 12:59:15</t>
  </si>
  <si>
    <t>Alisson Airton Sobrinho - 07/03/2025 12:59:16</t>
  </si>
  <si>
    <t>Alisson Airton Sobrinho - 07/03/2025 12:59:19</t>
  </si>
  <si>
    <t>Alisson Airton Sobrinho - 07/03/2025 12:59:20</t>
  </si>
  <si>
    <t>Alisson Airton Sobrinho - 07/03/2025 12:59:21</t>
  </si>
  <si>
    <t>Base de Dados_Images/BC8109.Imagem do Equipamento-.155051.jpg</t>
  </si>
  <si>
    <t>Paula Caroline Morais Duarte - 29/01/2025 12:38:40</t>
  </si>
  <si>
    <t>Base de Dados_Images/BC8109.Imagem da Plaqueta do Motor-.155051.jpg</t>
  </si>
  <si>
    <t>Paula Caroline Morais Duarte - 29/01/2025 12:38:48</t>
  </si>
  <si>
    <t>BC8111</t>
  </si>
  <si>
    <t>Bba Tq Retorn Canalet P/ Agua Suja (Vl</t>
  </si>
  <si>
    <t>Paula Caroline Morais Duarte - 30/01/2025 10:44:42</t>
  </si>
  <si>
    <t>Paula Caroline Morais Duarte - 30/01/2025 10:44:44</t>
  </si>
  <si>
    <t>Paula Caroline Morais Duarte - 30/01/2025 10:44:46</t>
  </si>
  <si>
    <t>Paula Caroline Morais Duarte - 30/01/2025 10:44:48</t>
  </si>
  <si>
    <t>Paula Caroline Morais Duarte - 30/01/2025 10:44:50</t>
  </si>
  <si>
    <t>Paula Caroline Morais Duarte - 30/01/2025 10:44:55</t>
  </si>
  <si>
    <t>Paula Caroline Morais Duarte - 30/01/2025 10:44:57</t>
  </si>
  <si>
    <t>Paula Caroline Morais Duarte - 30/01/2025 10:45:15</t>
  </si>
  <si>
    <t>Paula Caroline Morais Duarte - 30/01/2025 10:45:21</t>
  </si>
  <si>
    <t>Paula Caroline Morais Duarte - 30/01/2025 10:45:26</t>
  </si>
  <si>
    <t>Paula Caroline Morais Duarte - 30/01/2025 10:45:28</t>
  </si>
  <si>
    <t>Paula Caroline Morais Duarte - 30/01/2025 10:45:34</t>
  </si>
  <si>
    <t>Paula Caroline Morais Duarte - 30/01/2025 10:45:42</t>
  </si>
  <si>
    <t>Paula Caroline Morais Duarte - 30/01/2025 10:45:45</t>
  </si>
  <si>
    <t>Paula Caroline Morais Duarte - 30/01/2025 10:45:46</t>
  </si>
  <si>
    <t>Paula Caroline Morais Duarte - 30/01/2025 10:45:55</t>
  </si>
  <si>
    <t>Paula Caroline Morais Duarte - 30/01/2025 10:46:29</t>
  </si>
  <si>
    <t>Paula Caroline Morais Duarte - 30/01/2025 10:46:30</t>
  </si>
  <si>
    <t>Paula Caroline Morais Duarte - 30/01/2025 10:46:32</t>
  </si>
  <si>
    <t>Paula Caroline Morais Duarte - 30/01/2025 10:46:38</t>
  </si>
  <si>
    <t>Paula Caroline Morais Duarte - 30/01/2025 10:46:36</t>
  </si>
  <si>
    <t>Paula Caroline Morais Duarte - 30/01/2025 10:46:40</t>
  </si>
  <si>
    <t>Paula Caroline Morais Duarte - 03/02/2025 15:05:36</t>
  </si>
  <si>
    <t>Paula Caroline Morais Duarte - 03/02/2025 15:05:37</t>
  </si>
  <si>
    <t>Paula Caroline Morais Duarte - 03/02/2025 15:05:38</t>
  </si>
  <si>
    <t>Paula Caroline Morais Duarte - 03/02/2025 15:05:58</t>
  </si>
  <si>
    <t>Paula Caroline Morais Duarte - 11/02/2025 10:47:36</t>
  </si>
  <si>
    <t>Paula Caroline Morais Duarte - 11/02/2025 10:47:37</t>
  </si>
  <si>
    <t>Paula Caroline Morais Duarte - 11/02/2025 10:47:38</t>
  </si>
  <si>
    <t>Paula Caroline Morais Duarte - 11/02/2025 10:47:39</t>
  </si>
  <si>
    <t>Paula Caroline Morais Duarte - 01/28/2025 15:45:28</t>
  </si>
  <si>
    <t>Tanque Agua Clarificada</t>
  </si>
  <si>
    <t>BC8114</t>
  </si>
  <si>
    <t>Bomba 03 Do Tanque De Agua Clarificada</t>
  </si>
  <si>
    <t>Paula Caroline Morais Duarte - 29/01/2025 12:37:05</t>
  </si>
  <si>
    <t>Paula Caroline Morais Duarte - 29/01/2025 12:37:06</t>
  </si>
  <si>
    <t>Paula Caroline Morais Duarte - 29/01/2025 12:37:08</t>
  </si>
  <si>
    <t>Paula Caroline Morais Duarte - 29/01/2025 12:37:11</t>
  </si>
  <si>
    <t>Paula Caroline Morais Duarte - 29/01/2025 12:37:13</t>
  </si>
  <si>
    <t>Paula Caroline Morais Duarte - 29/01/2025 12:37:15</t>
  </si>
  <si>
    <t>Paula Caroline Morais Duarte - 29/01/2025 12:37:20</t>
  </si>
  <si>
    <t>Paula Caroline Morais Duarte - 29/01/2025 12:37:22</t>
  </si>
  <si>
    <t>Paula Caroline Morais Duarte - 29/01/2025 12:37:24</t>
  </si>
  <si>
    <t>Paula Caroline Morais Duarte - 29/01/2025 12:37:26</t>
  </si>
  <si>
    <t>Paula Caroline Morais Duarte - 29/01/2025 12:37:30</t>
  </si>
  <si>
    <t>Paula Caroline Morais Duarte - 29/01/2025 12:37:33</t>
  </si>
  <si>
    <t>Paula Caroline Morais Duarte - 29/01/2025 12:37:35</t>
  </si>
  <si>
    <t>Paula Caroline Morais Duarte - 29/01/2025 12:37:38</t>
  </si>
  <si>
    <t>Paula Caroline Morais Duarte - 29/01/2025 12:37:40</t>
  </si>
  <si>
    <t>Paula Caroline Morais Duarte - 29/01/2025 12:37:43</t>
  </si>
  <si>
    <t>Alisson Airton Sobrinho - 07/03/2025 14:53:41</t>
  </si>
  <si>
    <t>Alisson Airton Sobrinho - 07/03/2025 14:53:43</t>
  </si>
  <si>
    <t>Alisson Airton Sobrinho - 07/03/2025 14:53:54</t>
  </si>
  <si>
    <t>Alisson Airton Sobrinho - 07/03/2025 14:53:58</t>
  </si>
  <si>
    <t>Alisson Airton Sobrinho - 07/03/2025 14:54:00</t>
  </si>
  <si>
    <t>Alisson Airton Sobrinho - 07/03/2025 14:54:02</t>
  </si>
  <si>
    <t>Alisson Airton Sobrinho - 07/03/2025 15:31:58</t>
  </si>
  <si>
    <t>Alisson Airton Sobrinho - 07/03/2025 15:31:59</t>
  </si>
  <si>
    <t>Alisson Airton Sobrinho - 07/03/2025 15:32:00</t>
  </si>
  <si>
    <t>Alisson Airton Sobrinho - 07/03/2025 15:32:01</t>
  </si>
  <si>
    <t>Alisson Airton Sobrinho - 07/03/2025 15:32:05</t>
  </si>
  <si>
    <t>Alisson Airton Sobrinho - 07/03/2025 15:32:06</t>
  </si>
  <si>
    <t>Alisson Airton Sobrinho - 07/03/2025 15:32:07</t>
  </si>
  <si>
    <t>Base de Dados_Images/BC8114.Imagem do Equipamento-.154942.jpg</t>
  </si>
  <si>
    <t>Paula Caroline Morais Duarte - 29/01/2025 12:36:27</t>
  </si>
  <si>
    <t>Base de Dados_Images/BC8114.Imagem da Plaqueta do Motor-.154942.jpg</t>
  </si>
  <si>
    <t>Paula Caroline Morais Duarte - 29/01/2025 12:36:49</t>
  </si>
  <si>
    <t>Tanque Pulmão (Agua Clarificada)</t>
  </si>
  <si>
    <t>BC8115</t>
  </si>
  <si>
    <t>Bomba De Agua De Lavagem De Tela</t>
  </si>
  <si>
    <t>Paula Caroline Morais Duarte - 29/01/2025 12:42:52</t>
  </si>
  <si>
    <t>Paula Caroline Morais Duarte - 29/01/2025 12:42:53</t>
  </si>
  <si>
    <t>Paula Caroline Morais Duarte - 29/01/2025 12:42:55</t>
  </si>
  <si>
    <t>Paula Caroline Morais Duarte - 29/01/2025 12:42:57</t>
  </si>
  <si>
    <t>Paula Caroline Morais Duarte - 29/01/2025 12:42:59</t>
  </si>
  <si>
    <t>Paula Caroline Morais Duarte - 29/01/2025 12:43:01</t>
  </si>
  <si>
    <t>Paula Caroline Morais Duarte - 29/01/2025 12:43:04</t>
  </si>
  <si>
    <t>Paula Caroline Morais Duarte - 29/01/2025 12:43:08</t>
  </si>
  <si>
    <t>Paula Caroline Morais Duarte - 29/01/2025 12:43:10</t>
  </si>
  <si>
    <t>Paula Caroline Morais Duarte - 29/01/2025 12:43:12</t>
  </si>
  <si>
    <t>Paula Caroline Morais Duarte - 29/01/2025 12:43:14</t>
  </si>
  <si>
    <t>Paula Caroline Morais Duarte - 29/01/2025 12:43:16</t>
  </si>
  <si>
    <t>Paula Caroline Morais Duarte - 29/01/2025 12:43:19</t>
  </si>
  <si>
    <t>Paula Caroline Morais Duarte - 29/01/2025 12:43:20</t>
  </si>
  <si>
    <t>Paula Caroline Morais Duarte - 29/01/2025 12:43:22</t>
  </si>
  <si>
    <t>Paula Caroline Morais Duarte - 29/01/2025 12:43:31</t>
  </si>
  <si>
    <t>Alisson Airton Sobrinho - 07/03/2025 14:54:35</t>
  </si>
  <si>
    <t>Alisson Airton Sobrinho - 07/03/2025 14:54:37</t>
  </si>
  <si>
    <t>Alisson Airton Sobrinho - 07/03/2025 14:54:39</t>
  </si>
  <si>
    <t>Alisson Airton Sobrinho - 07/03/2025 14:54:41</t>
  </si>
  <si>
    <t>Alisson Airton Sobrinho - 07/03/2025 14:54:51</t>
  </si>
  <si>
    <t>Alisson Airton Sobrinho - 07/03/2025 14:54:52</t>
  </si>
  <si>
    <t>Alisson Airton Sobrinho - 07/03/2025 14:54:53</t>
  </si>
  <si>
    <t>Alisson Airton Sobrinho - 07/03/2025 14:54:56</t>
  </si>
  <si>
    <t>Alisson Airton Sobrinho - 07/03/2025 14:55:03</t>
  </si>
  <si>
    <t>Alisson Airton Sobrinho - 07/03/2025 14:55:05</t>
  </si>
  <si>
    <t>Alisson Airton Sobrinho - 07/03/2025 14:55:06</t>
  </si>
  <si>
    <t>Alisson Airton Sobrinho - 07/03/2025 14:55:08</t>
  </si>
  <si>
    <t>Alisson Airton Sobrinho - 07/03/2025 14:55:07</t>
  </si>
  <si>
    <t>Base de Dados_Images/BC8115.Imagem do Equipamento-.175906.jpg</t>
  </si>
  <si>
    <t>Paula Caroline Morais Duarte - 30/01/2025 14:55:18</t>
  </si>
  <si>
    <t>Base de Dados_Images/BC8115.Imagem da Plaqueta do Motor-.175912.jpg</t>
  </si>
  <si>
    <t>Paula Caroline Morais Duarte - 30/01/2025 14:55:29</t>
  </si>
  <si>
    <t>Bc8116_</t>
  </si>
  <si>
    <t>Bomba água de serviço</t>
  </si>
  <si>
    <t>Paula Caroline Morais Duarte - 29/01/2025 12:44:34</t>
  </si>
  <si>
    <t>Paula Caroline Morais Duarte - 29/01/2025 12:44:36</t>
  </si>
  <si>
    <t>Paula Caroline Morais Duarte - 29/01/2025 12:44:38</t>
  </si>
  <si>
    <t>Paula Caroline Morais Duarte - 29/01/2025 12:44:40</t>
  </si>
  <si>
    <t>Paula Caroline Morais Duarte - 29/01/2025 12:44:42</t>
  </si>
  <si>
    <t>Paula Caroline Morais Duarte - 29/01/2025 12:44:44</t>
  </si>
  <si>
    <t>Paula Caroline Morais Duarte - 29/01/2025 12:44:46</t>
  </si>
  <si>
    <t>Paula Caroline Morais Duarte - 29/01/2025 12:44:48</t>
  </si>
  <si>
    <t>Paula Caroline Morais Duarte - 29/01/2025 12:44:50</t>
  </si>
  <si>
    <t>Paula Caroline Morais Duarte - 29/01/2025 12:44:53</t>
  </si>
  <si>
    <t>Paula Caroline Morais Duarte - 29/01/2025 12:44:56</t>
  </si>
  <si>
    <t>Paula Caroline Morais Duarte - 29/01/2025 12:44:58</t>
  </si>
  <si>
    <t>Paula Caroline Morais Duarte - 29/01/2025 12:45:00</t>
  </si>
  <si>
    <t>Paula Caroline Morais Duarte - 29/01/2025 12:45:01</t>
  </si>
  <si>
    <t>Paula Caroline Morais Duarte - 29/01/2025 12:45:03</t>
  </si>
  <si>
    <t>Paula Caroline Morais Duarte - 29/01/2025 12:45:06</t>
  </si>
  <si>
    <t>Alisson Airton Sobrinho - 07/03/2025 15:28:12</t>
  </si>
  <si>
    <t>Alisson Airton Sobrinho - 07/03/2025 15:28:17</t>
  </si>
  <si>
    <t>Alisson Airton Sobrinho - 07/03/2025 15:28:22</t>
  </si>
  <si>
    <t>Alisson Airton Sobrinho - 07/03/2025 15:28:25</t>
  </si>
  <si>
    <t>Alisson Airton Sobrinho - 07/03/2025 15:28:30</t>
  </si>
  <si>
    <t>Alisson Airton Sobrinho - 07/03/2025 15:28:33</t>
  </si>
  <si>
    <t>Alisson Airton Sobrinho - 07/03/2025 15:28:36</t>
  </si>
  <si>
    <t>Alisson Airton Sobrinho - 07/03/2025 15:28:40</t>
  </si>
  <si>
    <t>Alisson Airton Sobrinho - 07/03/2025 15:28:42</t>
  </si>
  <si>
    <t>Alisson Airton Sobrinho - 07/03/2025 15:28:43</t>
  </si>
  <si>
    <t>Base de Dados_Images/Bc8116_.Imagem do Equipamento-.155327.jpg</t>
  </si>
  <si>
    <t>Paula Caroline Morais Duarte - 29/01/2025 12:44:06</t>
  </si>
  <si>
    <t>Base de Dados_Images/Bc8116_.Imagem da Plaqueta do Motor-.155327.jpg</t>
  </si>
  <si>
    <t>Paula Caroline Morais Duarte - 29/01/2025 12:44:14</t>
  </si>
  <si>
    <t>Caixa Selo Filtro (Agua Filtrada)</t>
  </si>
  <si>
    <t>BC8117</t>
  </si>
  <si>
    <t>Bomba Do Tanque De Agua Filtrada</t>
  </si>
  <si>
    <t>Paula Caroline Morais Duarte - 29/01/2025 12:55:16</t>
  </si>
  <si>
    <t>Paula Caroline Morais Duarte - 29/01/2025 12:55:19</t>
  </si>
  <si>
    <t>Paula Caroline Morais Duarte - 29/01/2025 12:55:21</t>
  </si>
  <si>
    <t>Paula Caroline Morais Duarte - 29/01/2025 12:55:23</t>
  </si>
  <si>
    <t>Paula Caroline Morais Duarte - 29/01/2025 12:55:25</t>
  </si>
  <si>
    <t>Paula Caroline Morais Duarte - 29/01/2025 12:55:26</t>
  </si>
  <si>
    <t>Paula Caroline Morais Duarte - 29/01/2025 12:55:29</t>
  </si>
  <si>
    <t>Paula Caroline Morais Duarte - 29/01/2025 12:55:31</t>
  </si>
  <si>
    <t>Paula Caroline Morais Duarte - 29/01/2025 12:55:33</t>
  </si>
  <si>
    <t>Paula Caroline Morais Duarte - 29/01/2025 12:55:35</t>
  </si>
  <si>
    <t>Paula Caroline Morais Duarte - 29/01/2025 12:55:37</t>
  </si>
  <si>
    <t>Paula Caroline Morais Duarte - 29/01/2025 12:55:40</t>
  </si>
  <si>
    <t>Paula Caroline Morais Duarte - 29/01/2025 12:55:45</t>
  </si>
  <si>
    <t>Paula Caroline Morais Duarte - 29/01/2025 12:55:43</t>
  </si>
  <si>
    <t>Paula Caroline Morais Duarte - 29/01/2025 12:55:47</t>
  </si>
  <si>
    <t>Paula Caroline Morais Duarte - 29/01/2025 12:55:49</t>
  </si>
  <si>
    <t>Alisson Airton Sobrinho - 07/03/2025 14:20:32</t>
  </si>
  <si>
    <t>Alisson Airton Sobrinho - 07/03/2025 14:20:33</t>
  </si>
  <si>
    <t>Alisson Airton Sobrinho - 07/03/2025 14:20:34</t>
  </si>
  <si>
    <t>Alisson Airton Sobrinho - 07/03/2025 14:20:35</t>
  </si>
  <si>
    <t>Alisson Airton Sobrinho - 07/03/2025 14:20:36</t>
  </si>
  <si>
    <t>Alisson Airton Sobrinho - 07/03/2025 14:20:37</t>
  </si>
  <si>
    <t>Alisson Airton Sobrinho - 07/03/2025 14:20:41</t>
  </si>
  <si>
    <t>Alisson Airton Sobrinho - 07/03/2025 14:20:43</t>
  </si>
  <si>
    <t>Alisson Airton Sobrinho - 07/03/2025 14:20:49</t>
  </si>
  <si>
    <t>Alisson Airton Sobrinho - 07/03/2025 14:20:50</t>
  </si>
  <si>
    <t>Alisson Airton Sobrinho - 07/03/2025 14:20:51</t>
  </si>
  <si>
    <t>Base de Dados_Images/BC8117.Imagem do Equipamento-.155757.jpg</t>
  </si>
  <si>
    <t>Paula Caroline Morais Duarte - 29/01/2025 12:54:53</t>
  </si>
  <si>
    <t>Base de Dados_Images/BC8117.Imagem da Plaqueta do Motor-.155757.jpg</t>
  </si>
  <si>
    <t>Paula Caroline Morais Duarte - 29/01/2025 12:55:00</t>
  </si>
  <si>
    <t>BC8118</t>
  </si>
  <si>
    <t>Bomba De Agua Desaerada Nº 03</t>
  </si>
  <si>
    <t>Paula Caroline Morais Duarte - 28/01/2025 13:49:07</t>
  </si>
  <si>
    <t>Paula Caroline Morais Duarte - 28/01/2025 13:49:08</t>
  </si>
  <si>
    <t>Paula Caroline Morais Duarte - 28/01/2025 13:49:10</t>
  </si>
  <si>
    <t>Paula Caroline Morais Duarte - 28/01/2025 13:49:12</t>
  </si>
  <si>
    <t>Paula Caroline Morais Duarte - 28/01/2025 13:49:13</t>
  </si>
  <si>
    <t>Paula Caroline Morais Duarte - 28/01/2025 13:49:15</t>
  </si>
  <si>
    <t>Paula Caroline Morais Duarte - 28/01/2025 13:49:16</t>
  </si>
  <si>
    <t>Paula Caroline Morais Duarte - 28/01/2025 13:49:18</t>
  </si>
  <si>
    <t>Paula Caroline Morais Duarte - 28/01/2025 13:49:20</t>
  </si>
  <si>
    <t>Paula Caroline Morais Duarte - 28/01/2025 13:49:21</t>
  </si>
  <si>
    <t>Paula Caroline Morais Duarte - 28/01/2025 13:49:22</t>
  </si>
  <si>
    <t>Paula Caroline Morais Duarte - 28/01/2025 13:49:23</t>
  </si>
  <si>
    <t>Paula Caroline Morais Duarte - 28/01/2025 13:49:29</t>
  </si>
  <si>
    <t>Paula Caroline Morais Duarte - 28/01/2025 13:49:30</t>
  </si>
  <si>
    <t>Paula Caroline Morais Duarte - 28/01/2025 13:49:33</t>
  </si>
  <si>
    <t>Paula Caroline Morais Duarte - 23/02/2025 16:24:19</t>
  </si>
  <si>
    <t>Paula Caroline Morais Duarte - 23/02/2025 16:24:22</t>
  </si>
  <si>
    <t>Paula Caroline Morais Duarte - 23/02/2025 16:24:23</t>
  </si>
  <si>
    <t>Paula Caroline Morais Duarte - 23/02/2025 16:24:25</t>
  </si>
  <si>
    <t>Paula Caroline Morais Duarte - 23/02/2025 16:24:26</t>
  </si>
  <si>
    <t>Paula Caroline Morais Duarte - 23/02/2025 16:24:27</t>
  </si>
  <si>
    <t>Paula Caroline Morais Duarte - 23/02/2025 16:24:36</t>
  </si>
  <si>
    <t>Paula Caroline Morais Duarte - 23/02/2025 16:24:37</t>
  </si>
  <si>
    <t>Paula Caroline Morais Duarte - 23/02/2025 16:24:39</t>
  </si>
  <si>
    <t>Paula Caroline Morais Duarte - 23/02/2025 16:24:40</t>
  </si>
  <si>
    <t>Paula Caroline Morais Duarte - 25/02/2025 09:08:45</t>
  </si>
  <si>
    <t>Paula Caroline Morais Duarte - 25/02/2025 09:08:46</t>
  </si>
  <si>
    <t>Paula Caroline Morais Duarte - 25/02/2025 09:08:47</t>
  </si>
  <si>
    <t>Paula Caroline Morais Duarte - 25/02/2025 09:08:48</t>
  </si>
  <si>
    <t>Base de Dados_Images/BC8118.Imagem do Equipamento-.173134.jpg</t>
  </si>
  <si>
    <t>Paula Caroline Morais Duarte - 28/01/2025 13:48:41</t>
  </si>
  <si>
    <t>Base de Dados_Images/BC8118.Imagem da Plaqueta do Motor-.173943.jpg</t>
  </si>
  <si>
    <t>Paula Caroline Morais Duarte - 28/01/2025 13:55:41</t>
  </si>
  <si>
    <t>Tanque Água Bruta</t>
  </si>
  <si>
    <t>BC9101</t>
  </si>
  <si>
    <t>Bba 2º Recalque Agua Bruta Nº 1</t>
  </si>
  <si>
    <t>Paula Caroline Morais Duarte - 24/01/2025 10:49:38</t>
  </si>
  <si>
    <t>Paula Caroline Morais Duarte - 24/01/2025 10:49:39</t>
  </si>
  <si>
    <t>Paula Caroline Morais Duarte - 24/01/2025 10:49:43</t>
  </si>
  <si>
    <t>Paula Caroline Morais Duarte - 24/01/2025 10:49:41</t>
  </si>
  <si>
    <t>Paula Caroline Morais Duarte - 24/01/2025 10:49:44</t>
  </si>
  <si>
    <t>Paula Caroline Morais Duarte - 24/01/2025 10:49:46</t>
  </si>
  <si>
    <t>Paula Caroline Morais Duarte - 24/01/2025 10:49:47</t>
  </si>
  <si>
    <t>Paula Caroline Morais Duarte - 24/01/2025 10:49:50</t>
  </si>
  <si>
    <t>Paula Caroline Morais Duarte - 24/01/2025 10:49:51</t>
  </si>
  <si>
    <t>Paula Caroline Morais Duarte - 24/01/2025 10:49:53</t>
  </si>
  <si>
    <t>Paula Caroline Morais Duarte - 24/01/2025 10:49:54</t>
  </si>
  <si>
    <t>Paula Caroline Morais Duarte - 24/01/2025 10:49:56</t>
  </si>
  <si>
    <t>Paula Caroline Morais Duarte - 24/01/2025 10:49:57</t>
  </si>
  <si>
    <t>Paula Caroline Morais Duarte - 24/01/2025 10:49:58</t>
  </si>
  <si>
    <t>Paula Caroline Morais Duarte - 24/01/2025 10:50:01</t>
  </si>
  <si>
    <t>Paula Caroline Morais Duarte - 24/01/2025 10:50:02</t>
  </si>
  <si>
    <t>Paula Caroline Morais Duarte - 11/02/2025 12:00:28</t>
  </si>
  <si>
    <t>Paula Caroline Morais Duarte - 11/02/2025 12:00:29</t>
  </si>
  <si>
    <t>Paula Caroline Morais Duarte - 11/02/2025 12:00:31</t>
  </si>
  <si>
    <t>Paula Caroline Morais Duarte - 11/02/2025 12:00:33</t>
  </si>
  <si>
    <t>Paula Caroline Morais Duarte - 11/02/2025 12:00:34</t>
  </si>
  <si>
    <t>Paula Caroline Morais Duarte - 11/02/2025 12:00:36</t>
  </si>
  <si>
    <t>Paula Caroline Morais Duarte - 11/02/2025 12:14:42</t>
  </si>
  <si>
    <t>Paula Caroline Morais Duarte - 11/02/2025 12:14:49</t>
  </si>
  <si>
    <t>Paula Caroline Morais Duarte - 11/02/2025 12:14:50</t>
  </si>
  <si>
    <t>Paula Caroline Morais Duarte - 11/02/2025 12:14:52</t>
  </si>
  <si>
    <t>Paula Caroline Morais Duarte - 11/02/2025 12:15:11</t>
  </si>
  <si>
    <t>Paula Caroline Morais Duarte - 11/02/2025 12:15:12</t>
  </si>
  <si>
    <t>Paula Caroline Morais Duarte - 11/02/2025 12:15:14</t>
  </si>
  <si>
    <t>Paula Caroline Morais Duarte - 11/02/2025 12:15:15</t>
  </si>
  <si>
    <t>Base de Dados_Images/BC9101.Imagem do Equipamento-.143948.jpg</t>
  </si>
  <si>
    <t>Paula Caroline Morais Duarte - 24/01/2025 10:49:04</t>
  </si>
  <si>
    <t>Base de Dados_Images/BC9101.Imagem da Plaqueta do Motor-.143948.jpg</t>
  </si>
  <si>
    <t>Paula Caroline Morais Duarte - 24/01/2025 10:49:23</t>
  </si>
  <si>
    <t>BC9102</t>
  </si>
  <si>
    <t>Bba 2º Recalque Agua Bruta Nº 2</t>
  </si>
  <si>
    <t>Paula Caroline Morais Duarte - 23/02/2025 16:39:50</t>
  </si>
  <si>
    <t>Paula Caroline Morais Duarte - 23/02/2025 16:39:52</t>
  </si>
  <si>
    <t>Paula Caroline Morais Duarte - 23/02/2025 16:39:54</t>
  </si>
  <si>
    <t>Paula Caroline Morais Duarte - 23/02/2025 16:39:55</t>
  </si>
  <si>
    <t>Paula Caroline Morais Duarte - 23/02/2025 16:39:56</t>
  </si>
  <si>
    <t>Paula Caroline Morais Duarte - 23/02/2025 16:39:57</t>
  </si>
  <si>
    <t>Paula Caroline Morais Duarte - 23/02/2025 16:39:59</t>
  </si>
  <si>
    <t>Paula Caroline Morais Duarte - 23/02/2025 16:40:00</t>
  </si>
  <si>
    <t>Paula Caroline Morais Duarte - 23/02/2025 16:40:13</t>
  </si>
  <si>
    <t>Paula Caroline Morais Duarte - 23/02/2025 16:40:02</t>
  </si>
  <si>
    <t>Paula Caroline Morais Duarte - 23/02/2025 16:40:03</t>
  </si>
  <si>
    <t>Paula Caroline Morais Duarte - 23/02/2025 16:40:05</t>
  </si>
  <si>
    <t>Paula Caroline Morais Duarte - 23/02/2025 16:40:06</t>
  </si>
  <si>
    <t>Paula Caroline Morais Duarte - 23/02/2025 16:40:09</t>
  </si>
  <si>
    <t>Paula Caroline Morais Duarte - 23/02/2025 16:40:08</t>
  </si>
  <si>
    <t>Paula Caroline Morais Duarte - 23/02/2025 16:40:20</t>
  </si>
  <si>
    <t>Paula Caroline Morais Duarte - 23/02/2025 16:40:21</t>
  </si>
  <si>
    <t>Paula Caroline Morais Duarte - 23/02/2025 16:40:23</t>
  </si>
  <si>
    <t>Paula Caroline Morais Duarte - 23/02/2025 16:40:24</t>
  </si>
  <si>
    <t>Paula Caroline Morais Duarte - 23/02/2025 16:40:25</t>
  </si>
  <si>
    <t>Paula Caroline Morais Duarte - 23/02/2025 16:40:27</t>
  </si>
  <si>
    <t>Paula Caroline Morais Duarte - 23/02/2025 16:40:31</t>
  </si>
  <si>
    <t>Paula Caroline Morais Duarte - 23/02/2025 16:40:32</t>
  </si>
  <si>
    <t>Paula Caroline Morais Duarte - 23/02/2025 16:40:33</t>
  </si>
  <si>
    <t>Paula Caroline Morais Duarte - 23/02/2025 16:40:35</t>
  </si>
  <si>
    <t>Alisson Airton Sobrinho - 10/03/2025 11:29:06</t>
  </si>
  <si>
    <t>Alisson Airton Sobrinho - 10/03/2025 11:29:07</t>
  </si>
  <si>
    <t>Alisson Airton Sobrinho - 10/03/2025 11:29:08</t>
  </si>
  <si>
    <t>Base de Dados_Images/BC9102.Imagem do Equipamento-.124530.jpg</t>
  </si>
  <si>
    <t>Paula Caroline Morais Duarte - 18/02/2025 09:44:57</t>
  </si>
  <si>
    <t>BC9103</t>
  </si>
  <si>
    <t>Bba 2º Recalque Agua Brut (Reserv</t>
  </si>
  <si>
    <t>Paula Caroline Morais Duarte - 24/01/2025 10:54:38</t>
  </si>
  <si>
    <t>Paula Caroline Morais Duarte - 24/01/2025 10:54:39</t>
  </si>
  <si>
    <t>Paula Caroline Morais Duarte - 24/01/2025 10:54:40</t>
  </si>
  <si>
    <t>Paula Caroline Morais Duarte - 24/01/2025 10:54:42</t>
  </si>
  <si>
    <t>Paula Caroline Morais Duarte - 24/01/2025 10:54:43</t>
  </si>
  <si>
    <t>Paula Caroline Morais Duarte - 24/01/2025 10:55:05</t>
  </si>
  <si>
    <t>Paula Caroline Morais Duarte - 24/01/2025 10:55:09</t>
  </si>
  <si>
    <t>Paula Caroline Morais Duarte - 24/01/2025 10:55:08</t>
  </si>
  <si>
    <t>Paula Caroline Morais Duarte - 24/01/2025 10:55:11</t>
  </si>
  <si>
    <t>Paula Caroline Morais Duarte - 24/01/2025 10:55:16</t>
  </si>
  <si>
    <t>Paula Caroline Morais Duarte - 24/01/2025 10:55:17</t>
  </si>
  <si>
    <t>Paula Caroline Morais Duarte - 24/01/2025 10:55:19</t>
  </si>
  <si>
    <t>Paula Caroline Morais Duarte - 24/01/2025 10:55:24</t>
  </si>
  <si>
    <t>Paula Caroline Morais Duarte - 24/01/2025 10:55:25</t>
  </si>
  <si>
    <t>Paula Caroline Morais Duarte - 24/01/2025 10:55:27</t>
  </si>
  <si>
    <t>Paula Caroline Morais Duarte - 24/01/2025 10:55:28</t>
  </si>
  <si>
    <t>Paula Caroline Morais Duarte - 11/02/2025 12:03:27</t>
  </si>
  <si>
    <t>Paula Caroline Morais Duarte - 11/02/2025 12:03:29</t>
  </si>
  <si>
    <t>Paula Caroline Morais Duarte - 11/02/2025 12:03:30</t>
  </si>
  <si>
    <t>Paula Caroline Morais Duarte - 11/02/2025 12:03:31</t>
  </si>
  <si>
    <t>Paula Caroline Morais Duarte - 11/02/2025 12:03:33</t>
  </si>
  <si>
    <t>Paula Caroline Morais Duarte - 11/02/2025 12:03:34</t>
  </si>
  <si>
    <t>Paula Caroline Morais Duarte - 11/02/2025 12:15:55</t>
  </si>
  <si>
    <t>Paula Caroline Morais Duarte - 11/02/2025 12:15:56</t>
  </si>
  <si>
    <t>Paula Caroline Morais Duarte - 11/02/2025 12:15:58</t>
  </si>
  <si>
    <t>Paula Caroline Morais Duarte - 11/02/2025 12:15:59</t>
  </si>
  <si>
    <t>Paula Caroline Morais Duarte - 11/02/2025 12:16:05</t>
  </si>
  <si>
    <t>Paula Caroline Morais Duarte - 11/02/2025 12:16:06</t>
  </si>
  <si>
    <t>Paula Caroline Morais Duarte - 11/02/2025 12:16:08</t>
  </si>
  <si>
    <t>Paula Caroline Morais Duarte - 11/02/2025 12:16:09</t>
  </si>
  <si>
    <t>Paula Caroline Morais Duarte - 20/02/2025 10:22:47</t>
  </si>
  <si>
    <t>Base de Dados_Images/BC9103.Imagem do Equipamento-.132240.jpg</t>
  </si>
  <si>
    <t>Paula Caroline Morais Duarte - 20/02/2025 10:22:32</t>
  </si>
  <si>
    <t>Base de Dados_Images/BC9103.Imagem da Plaqueta do Motor-.132254.jpg</t>
  </si>
  <si>
    <t>BC9104</t>
  </si>
  <si>
    <t>Sist Bba Agua Bruta P/ Lavagem Gases</t>
  </si>
  <si>
    <t>Paula Caroline Morais Duarte - 21/01/2025 15:12:02</t>
  </si>
  <si>
    <t>Paula Caroline Morais Duarte - 21/01/2025 15:12:04</t>
  </si>
  <si>
    <t>Paula Caroline Morais Duarte - 21/01/2025 15:12:05</t>
  </si>
  <si>
    <t>Paula Caroline Morais Duarte - 21/01/2025 15:12:06</t>
  </si>
  <si>
    <t>Paula Caroline Morais Duarte - 21/01/2025 15:12:08</t>
  </si>
  <si>
    <t>Paula Caroline Morais Duarte - 21/01/2025 15:12:10</t>
  </si>
  <si>
    <t>Paula Caroline Morais Duarte - 21/01/2025 15:12:12</t>
  </si>
  <si>
    <t>Paula Caroline Morais Duarte - 21/01/2025 15:12:13</t>
  </si>
  <si>
    <t>Paula Caroline Morais Duarte - 21/01/2025 15:12:14</t>
  </si>
  <si>
    <t>Paula Caroline Morais Duarte - 21/01/2025 15:12:16</t>
  </si>
  <si>
    <t>Paula Caroline Morais Duarte - 21/01/2025 15:12:17</t>
  </si>
  <si>
    <t>Paula Caroline Morais Duarte - 21/01/2025 15:12:20</t>
  </si>
  <si>
    <t>Paula Caroline Morais Duarte - 21/01/2025 15:12:21</t>
  </si>
  <si>
    <t>Paula Caroline Morais Duarte - 21/01/2025 15:12:23</t>
  </si>
  <si>
    <t>Paula Caroline Morais Duarte - 21/01/2025 15:12:25</t>
  </si>
  <si>
    <t>Paula Caroline Morais Duarte - 21/01/2025 15:12:28</t>
  </si>
  <si>
    <t>Paula Caroline Morais Duarte - 28/01/2025 15:40:05</t>
  </si>
  <si>
    <t>Paula Caroline Morais Duarte - 28/01/2025 15:40:06</t>
  </si>
  <si>
    <t>Paula Caroline Morais Duarte - 28/01/2025 15:40:07</t>
  </si>
  <si>
    <t>Paula Caroline Morais Duarte - 28/01/2025 15:40:09</t>
  </si>
  <si>
    <t>Paula Caroline Morais Duarte - 28/01/2025 15:40:11</t>
  </si>
  <si>
    <t>Paula Caroline Morais Duarte - 28/01/2025 15:40:12</t>
  </si>
  <si>
    <t>Paula Caroline Morais Duarte - 03/02/2025 15:16:41</t>
  </si>
  <si>
    <t>Paula Caroline Morais Duarte - 03/02/2025 15:16:42</t>
  </si>
  <si>
    <t>Paula Caroline Morais Duarte - 03/02/2025 15:16:43</t>
  </si>
  <si>
    <t>Paula Caroline Morais Duarte - 03/02/2025 15:16:44</t>
  </si>
  <si>
    <t>Paula Caroline Morais Duarte - 11/02/2025 10:44:00</t>
  </si>
  <si>
    <t>Paula Caroline Morais Duarte - 11/02/2025 10:44:01</t>
  </si>
  <si>
    <t>Paula Caroline Morais Duarte - 11/02/2025 10:44:02</t>
  </si>
  <si>
    <t>Paula Caroline Morais Duarte - 11/02/2025 10:44:04</t>
  </si>
  <si>
    <t>Base de Dados_Images/BC9104.Imagem do Equipamento-.182955.jpg</t>
  </si>
  <si>
    <t>Paula Caroline Morais Duarte - 21/01/2025 15:11:27</t>
  </si>
  <si>
    <t>Base de Dados_Images/BC9104.Imagem da Plaqueta do Motor-.182955.jpg</t>
  </si>
  <si>
    <t>Paula Caroline Morais Duarte - 21/01/2025 15:11:54</t>
  </si>
  <si>
    <t>BC9105</t>
  </si>
  <si>
    <t>Bba Reserva Agua Bruta P/ Lav Gas</t>
  </si>
  <si>
    <t>Paula Caroline Morais Duarte - 21/01/2025 15:09:11</t>
  </si>
  <si>
    <t>Paula Caroline Morais Duarte - 21/01/2025 15:09:13</t>
  </si>
  <si>
    <t>Paula Caroline Morais Duarte - 21/01/2025 15:09:15</t>
  </si>
  <si>
    <t>Paula Caroline Morais Duarte - 21/01/2025 15:09:18</t>
  </si>
  <si>
    <t>Paula Caroline Morais Duarte - 21/01/2025 15:09:20</t>
  </si>
  <si>
    <t>Paula Caroline Morais Duarte - 21/01/2025 15:09:22</t>
  </si>
  <si>
    <t>Paula Caroline Morais Duarte - 21/01/2025 15:09:25</t>
  </si>
  <si>
    <t>Paula Caroline Morais Duarte - 21/01/2025 15:09:27</t>
  </si>
  <si>
    <t>Paula Caroline Morais Duarte - 21/01/2025 15:09:30</t>
  </si>
  <si>
    <t>Paula Caroline Morais Duarte - 21/01/2025 15:09:32</t>
  </si>
  <si>
    <t>Paula Caroline Morais Duarte - 21/01/2025 15:09:34</t>
  </si>
  <si>
    <t>Paula Caroline Morais Duarte - 21/01/2025 15:09:36</t>
  </si>
  <si>
    <t>Paula Caroline Morais Duarte - 21/01/2025 15:09:38</t>
  </si>
  <si>
    <t>Paula Caroline Morais Duarte - 21/01/2025 15:09:40</t>
  </si>
  <si>
    <t>Paula Caroline Morais Duarte - 21/01/2025 15:09:42</t>
  </si>
  <si>
    <t>Paula Caroline Morais Duarte - 21/01/2025 15:09:47</t>
  </si>
  <si>
    <t>Paula Caroline Morais Duarte - 03/02/2025 15:16:56</t>
  </si>
  <si>
    <t>Paula Caroline Morais Duarte - 03/02/2025 15:16:58</t>
  </si>
  <si>
    <t>Paula Caroline Morais Duarte - 03/02/2025 15:17:00</t>
  </si>
  <si>
    <t>Paula Caroline Morais Duarte - 03/02/2025 15:17:13</t>
  </si>
  <si>
    <t>Paula Caroline Morais Duarte - 03/02/2025 15:17:12</t>
  </si>
  <si>
    <t>Paula Caroline Morais Duarte - 03/02/2025 15:17:15</t>
  </si>
  <si>
    <t>Paula Caroline Morais Duarte - 03/02/2025 15:17:21</t>
  </si>
  <si>
    <t>Paula Caroline Morais Duarte - 03/02/2025 15:17:22</t>
  </si>
  <si>
    <t>Paula Caroline Morais Duarte - 03/02/2025 15:17:23</t>
  </si>
  <si>
    <t>Paula Caroline Morais Duarte - 03/02/2025 15:17:25</t>
  </si>
  <si>
    <t>Paula Caroline Morais Duarte - 25/02/2025 09:28:46</t>
  </si>
  <si>
    <t>Paula Caroline Morais Duarte - 25/02/2025 09:28:47</t>
  </si>
  <si>
    <t>Paula Caroline Morais Duarte - 25/02/2025 09:28:48</t>
  </si>
  <si>
    <t>Base de Dados_Images/BC9105.Imagem do Equipamento-.182851.jpg</t>
  </si>
  <si>
    <t>Paula Caroline Morais Duarte - 21/01/2025 15:08:38</t>
  </si>
  <si>
    <t>Base de Dados_Images/BC9105.Imagem da Plaqueta do Motor-.182851.jpg</t>
  </si>
  <si>
    <t>Paula Caroline Morais Duarte - 21/01/2025 15:08:59</t>
  </si>
  <si>
    <t>BC9106</t>
  </si>
  <si>
    <t>Bba De Agua Industrial</t>
  </si>
  <si>
    <t>Paula Caroline Morais Duarte - 24/01/2025 09:54:29</t>
  </si>
  <si>
    <t>Paula Caroline Morais Duarte - 24/01/2025 09:54:30</t>
  </si>
  <si>
    <t>Paula Caroline Morais Duarte - 24/01/2025 09:54:33</t>
  </si>
  <si>
    <t>Paula Caroline Morais Duarte - 24/01/2025 09:54:34</t>
  </si>
  <si>
    <t>Paula Caroline Morais Duarte - 24/01/2025 09:54:36</t>
  </si>
  <si>
    <t>Paula Caroline Morais Duarte - 24/01/2025 09:54:37</t>
  </si>
  <si>
    <t>Paula Caroline Morais Duarte - 24/01/2025 09:54:39</t>
  </si>
  <si>
    <t>Paula Caroline Morais Duarte - 24/01/2025 09:54:45</t>
  </si>
  <si>
    <t>Paula Caroline Morais Duarte - 24/01/2025 09:54:48</t>
  </si>
  <si>
    <t>Paula Caroline Morais Duarte - 24/01/2025 09:54:49</t>
  </si>
  <si>
    <t>Paula Caroline Morais Duarte - 24/01/2025 09:54:51</t>
  </si>
  <si>
    <t>Paula Caroline Morais Duarte - 24/01/2025 09:54:53</t>
  </si>
  <si>
    <t>Paula Caroline Morais Duarte - 24/01/2025 09:54:54</t>
  </si>
  <si>
    <t>Paula Caroline Morais Duarte - 24/01/2025 09:55:01</t>
  </si>
  <si>
    <t>Paula Caroline Morais Duarte - 24/01/2025 09:54:59</t>
  </si>
  <si>
    <t>Paula Caroline Morais Duarte - 24/01/2025 09:54:56</t>
  </si>
  <si>
    <t>Paula Caroline Morais Duarte - 11/02/2025 10:45:23</t>
  </si>
  <si>
    <t>Paula Caroline Morais Duarte - 11/02/2025 10:45:25</t>
  </si>
  <si>
    <t>Paula Caroline Morais Duarte - 11/02/2025 10:45:26</t>
  </si>
  <si>
    <t>Paula Caroline Morais Duarte - 11/02/2025 10:45:28</t>
  </si>
  <si>
    <t>Paula Caroline Morais Duarte - 11/02/2025 10:45:30</t>
  </si>
  <si>
    <t>Paula Caroline Morais Duarte - 11/02/2025 10:45:32</t>
  </si>
  <si>
    <t>Paula Caroline Morais Duarte - 21/02/2025 15:32:54</t>
  </si>
  <si>
    <t>Paula Caroline Morais Duarte - 21/02/2025 15:32:55</t>
  </si>
  <si>
    <t>Paula Caroline Morais Duarte - 21/02/2025 15:32:57</t>
  </si>
  <si>
    <t>Paula Caroline Morais Duarte - 21/02/2025 15:32:59</t>
  </si>
  <si>
    <t>Paula Caroline Morais Duarte - 25/02/2025 09:28:32</t>
  </si>
  <si>
    <t>Paula Caroline Morais Duarte - 25/02/2025 09:28:33</t>
  </si>
  <si>
    <t>Paula Caroline Morais Duarte - 25/02/2025 09:28:34</t>
  </si>
  <si>
    <t>Paula Caroline Morais Duarte - 25/02/2025 09:28:35</t>
  </si>
  <si>
    <t>Base de Dados_Images/BC9106.Imagem do Equipamento-.175556.jpg</t>
  </si>
  <si>
    <t>Paula Caroline Morais Duarte - 24/01/2025 09:53:56</t>
  </si>
  <si>
    <t>Base de Dados_Images/BC9106.Imagem da Plaqueta do Motor-.175608.jpg</t>
  </si>
  <si>
    <t>Paula Caroline Morais Duarte - 24/01/2025 09:54:22</t>
  </si>
  <si>
    <t>BC9107</t>
  </si>
  <si>
    <t>Bba (Reserva) Agua Industrial</t>
  </si>
  <si>
    <t>Paula Caroline Morais Duarte - 24/01/2025 09:51:39</t>
  </si>
  <si>
    <t>Paula Caroline Morais Duarte - 24/01/2025 09:51:40</t>
  </si>
  <si>
    <t>Paula Caroline Morais Duarte - 24/01/2025 09:51:42</t>
  </si>
  <si>
    <t>Paula Caroline Morais Duarte - 24/01/2025 09:51:44</t>
  </si>
  <si>
    <t>Paula Caroline Morais Duarte - 24/01/2025 09:51:55</t>
  </si>
  <si>
    <t>Paula Caroline Morais Duarte - 24/01/2025 09:51:53</t>
  </si>
  <si>
    <t>Paula Caroline Morais Duarte - 24/01/2025 09:51:51</t>
  </si>
  <si>
    <t>Paula Caroline Morais Duarte - 24/01/2025 09:52:00</t>
  </si>
  <si>
    <t>Paula Caroline Morais Duarte - 24/01/2025 09:52:03</t>
  </si>
  <si>
    <t>Paula Caroline Morais Duarte - 24/01/2025 09:52:05</t>
  </si>
  <si>
    <t>Paula Caroline Morais Duarte - 24/01/2025 09:52:21</t>
  </si>
  <si>
    <t>Paula Caroline Morais Duarte - 24/01/2025 09:52:09</t>
  </si>
  <si>
    <t>Paula Caroline Morais Duarte - 24/01/2025 09:52:18</t>
  </si>
  <si>
    <t>Paula Caroline Morais Duarte - 24/01/2025 09:52:16</t>
  </si>
  <si>
    <t>Paula Caroline Morais Duarte - 24/01/2025 09:52:14</t>
  </si>
  <si>
    <t>Paula Caroline Morais Duarte - 24/01/2025 09:52:12</t>
  </si>
  <si>
    <t>Paula Caroline Morais Duarte - 11/02/2025 10:44:27</t>
  </si>
  <si>
    <t>Paula Caroline Morais Duarte - 11/02/2025 10:44:28</t>
  </si>
  <si>
    <t>Paula Caroline Morais Duarte - 11/02/2025 10:44:33</t>
  </si>
  <si>
    <t>Matheus César Azevedo Neto - 25/02/2025 09:28:55</t>
  </si>
  <si>
    <t>Matheus César Azevedo Neto - 25/02/2025 09:29:40</t>
  </si>
  <si>
    <t>Paula Caroline Morais Duarte - 11/02/2025 10:44:38</t>
  </si>
  <si>
    <t>Paula Caroline Morais Duarte - 25/02/2025 09:25:13</t>
  </si>
  <si>
    <t>Paula Caroline Morais Duarte - 25/02/2025 09:25:15</t>
  </si>
  <si>
    <t>Paula Caroline Morais Duarte - 25/02/2025 09:25:16</t>
  </si>
  <si>
    <t>Paula Caroline Morais Duarte - 25/02/2025 09:25:17</t>
  </si>
  <si>
    <t>Paula Caroline Morais Duarte - 25/02/2025 09:28:11</t>
  </si>
  <si>
    <t>Paula Caroline Morais Duarte - 25/02/2025 09:28:12</t>
  </si>
  <si>
    <t>Paula Caroline Morais Duarte - 25/02/2025 09:28:14</t>
  </si>
  <si>
    <t>Paula Caroline Morais Duarte - 25/02/2025 09:28:15</t>
  </si>
  <si>
    <t>Base de Dados_Images/BC9107.Imagem do Equipamento-.175421.jpg</t>
  </si>
  <si>
    <t>Paula Caroline Morais Duarte - 24/01/2025 09:51:23</t>
  </si>
  <si>
    <t>Base de Dados_Images/BC9107.Imagem da Plaqueta do Motor-.150253.jpg</t>
  </si>
  <si>
    <t>Paula Caroline Morais Duarte - 11/02/2025 11:53:45</t>
  </si>
  <si>
    <t>BC9110</t>
  </si>
  <si>
    <t>Bba Limpeza Da Eta (Geral)</t>
  </si>
  <si>
    <t>Paula Caroline Morais Duarte - 21/01/2025 16:21:13</t>
  </si>
  <si>
    <t>Paula Caroline Morais Duarte - 21/01/2025 16:21:15</t>
  </si>
  <si>
    <t>Paula Caroline Morais Duarte - 21/01/2025 16:21:16</t>
  </si>
  <si>
    <t>Paula Caroline Morais Duarte - 21/01/2025 16:21:18</t>
  </si>
  <si>
    <t>Paula Caroline Morais Duarte - 21/01/2025 16:21:20</t>
  </si>
  <si>
    <t>Paula Caroline Morais Duarte - 21/01/2025 16:21:21</t>
  </si>
  <si>
    <t>Paula Caroline Morais Duarte - 21/01/2025 16:21:22</t>
  </si>
  <si>
    <t>Paula Caroline Morais Duarte - 21/01/2025 16:21:25</t>
  </si>
  <si>
    <t>Paula Caroline Morais Duarte - 21/01/2025 16:21:26</t>
  </si>
  <si>
    <t>Paula Caroline Morais Duarte - 21/01/2025 16:21:27</t>
  </si>
  <si>
    <t>Paula Caroline Morais Duarte - 21/01/2025 16:21:28</t>
  </si>
  <si>
    <t>Paula Caroline Morais Duarte - 21/01/2025 16:21:31</t>
  </si>
  <si>
    <t>Paula Caroline Morais Duarte - 21/01/2025 16:21:32</t>
  </si>
  <si>
    <t>Paula Caroline Morais Duarte - 21/01/2025 16:21:34</t>
  </si>
  <si>
    <t>Paula Caroline Morais Duarte - 21/01/2025 16:21:42</t>
  </si>
  <si>
    <t>Paula Caroline Morais Duarte - 21/01/2025 16:21:43</t>
  </si>
  <si>
    <t>Paula Caroline Morais Duarte - 28/01/2025 15:42:55</t>
  </si>
  <si>
    <t>Paula Caroline Morais Duarte - 28/01/2025 15:42:56</t>
  </si>
  <si>
    <t>Paula Caroline Morais Duarte - 28/01/2025 15:42:57</t>
  </si>
  <si>
    <t>Paula Caroline Morais Duarte - 28/01/2025 15:42:59</t>
  </si>
  <si>
    <t>Paula Caroline Morais Duarte - 28/01/2025 15:43:02</t>
  </si>
  <si>
    <t>Paula Caroline Morais Duarte - 28/01/2025 15:43:01</t>
  </si>
  <si>
    <t>Paula Caroline Morais Duarte - 03/02/2025 15:05:15</t>
  </si>
  <si>
    <t>Paula Caroline Morais Duarte - 03/02/2025 15:05:16</t>
  </si>
  <si>
    <t>Paula Caroline Morais Duarte - 03/02/2025 15:05:17</t>
  </si>
  <si>
    <t>Paula Caroline Morais Duarte - 03/02/2025 15:05:18</t>
  </si>
  <si>
    <t>Paula Caroline Morais Duarte - 11/02/2025 10:42:09</t>
  </si>
  <si>
    <t>Paula Caroline Morais Duarte - 11/02/2025 10:42:10</t>
  </si>
  <si>
    <t>Paula Caroline Morais Duarte - 11/02/2025 10:42:11</t>
  </si>
  <si>
    <t>Paula Caroline Morais Duarte - 11/02/2025 10:42:12</t>
  </si>
  <si>
    <t>Base de Dados_Images/BC9110.Imagem do Equipamento-.192629.jpg</t>
  </si>
  <si>
    <t>Paula Caroline Morais Duarte - 21/01/2025 16:20:38</t>
  </si>
  <si>
    <t>Base de Dados_Images/BC9110.Imagem da Plaqueta do Motor-.192629.jpg</t>
  </si>
  <si>
    <t>Paula Caroline Morais Duarte - 21/01/2025 16:21:03</t>
  </si>
  <si>
    <t>Torre Resfriamento Fabrica</t>
  </si>
  <si>
    <t>BC9201</t>
  </si>
  <si>
    <t>Água reposição da torre fábrica 1</t>
  </si>
  <si>
    <t>Paula Caroline Morais Duarte - 30/01/2025 08:51:28</t>
  </si>
  <si>
    <t>Paula Caroline Morais Duarte - 30/01/2025 08:51:29</t>
  </si>
  <si>
    <t>Paula Caroline Morais Duarte - 30/01/2025 08:51:31</t>
  </si>
  <si>
    <t>Paula Caroline Morais Duarte - 30/01/2025 08:51:33</t>
  </si>
  <si>
    <t>Paula Caroline Morais Duarte - 30/01/2025 08:51:34</t>
  </si>
  <si>
    <t>Paula Caroline Morais Duarte - 30/01/2025 08:51:36</t>
  </si>
  <si>
    <t>Paula Caroline Morais Duarte - 30/01/2025 08:51:37</t>
  </si>
  <si>
    <t>Paula Caroline Morais Duarte - 30/01/2025 08:51:39</t>
  </si>
  <si>
    <t>Paula Caroline Morais Duarte - 30/01/2025 08:51:40</t>
  </si>
  <si>
    <t>Paula Caroline Morais Duarte - 30/01/2025 08:51:41</t>
  </si>
  <si>
    <t>Paula Caroline Morais Duarte - 30/01/2025 08:51:42</t>
  </si>
  <si>
    <t>Paula Caroline Morais Duarte - 30/01/2025 08:51:43</t>
  </si>
  <si>
    <t>Paula Caroline Morais Duarte - 30/01/2025 08:51:44</t>
  </si>
  <si>
    <t>Alisson Airton Sobrinho - 07/03/2025 09:12:19</t>
  </si>
  <si>
    <t>Alisson Airton Sobrinho - 07/03/2025 09:12:21</t>
  </si>
  <si>
    <t>Alisson Airton Sobrinho - 07/03/2025 09:12:22</t>
  </si>
  <si>
    <t>Alisson Airton Sobrinho - 07/03/2025 09:12:24</t>
  </si>
  <si>
    <t>Alisson Airton Sobrinho - 07/03/2025 09:12:25</t>
  </si>
  <si>
    <t>Alisson Airton Sobrinho - 07/03/2025 09:12:26</t>
  </si>
  <si>
    <t>Alisson Airton Sobrinho - 07/03/2025 09:12:30</t>
  </si>
  <si>
    <t>Alisson Airton Sobrinho - 07/03/2025 09:12:31</t>
  </si>
  <si>
    <t>Alisson Airton Sobrinho - 07/03/2025 09:12:33</t>
  </si>
  <si>
    <t>Alisson Airton Sobrinho - 07/03/2025 09:12:38</t>
  </si>
  <si>
    <t>Alisson Airton Sobrinho - 07/03/2025 09:12:39</t>
  </si>
  <si>
    <t>Alisson Airton Sobrinho - 07/03/2025 09:12:40</t>
  </si>
  <si>
    <t>Base de Dados_Images/BC9201.Imagem do Equipamento-.123052.jpg</t>
  </si>
  <si>
    <t>Paula Caroline Morais Duarte - 30/01/2025 08:52:44</t>
  </si>
  <si>
    <t>Base de Dados_Images/BC9201.Imagem da Plaqueta do Motor-.123103.jpg</t>
  </si>
  <si>
    <t>Paula Caroline Morais Duarte - 30/01/2025 08:52:56</t>
  </si>
  <si>
    <t>BC9202</t>
  </si>
  <si>
    <t>Água reposição da torre fábrica 2</t>
  </si>
  <si>
    <t>Paula Caroline Morais Duarte - 30/01/2025 08:54:02</t>
  </si>
  <si>
    <t>Paula Caroline Morais Duarte - 30/01/2025 08:54:05</t>
  </si>
  <si>
    <t>Paula Caroline Morais Duarte - 30/01/2025 08:54:04</t>
  </si>
  <si>
    <t>Paula Caroline Morais Duarte - 30/01/2025 08:54:08</t>
  </si>
  <si>
    <t>Paula Caroline Morais Duarte - 30/01/2025 08:54:10</t>
  </si>
  <si>
    <t>Paula Caroline Morais Duarte - 30/01/2025 08:54:11</t>
  </si>
  <si>
    <t>Paula Caroline Morais Duarte - 30/01/2025 08:54:12</t>
  </si>
  <si>
    <t>Paula Caroline Morais Duarte - 30/01/2025 08:54:17</t>
  </si>
  <si>
    <t>Paula Caroline Morais Duarte - 30/01/2025 08:54:15</t>
  </si>
  <si>
    <t>Paula Caroline Morais Duarte - 30/01/2025 08:54:18</t>
  </si>
  <si>
    <t>Paula Caroline Morais Duarte - 30/01/2025 08:54:19</t>
  </si>
  <si>
    <t>Paula Caroline Morais Duarte - 30/01/2025 08:54:21</t>
  </si>
  <si>
    <t>Paula Caroline Morais Duarte - 30/01/2025 08:54:23</t>
  </si>
  <si>
    <t>Paula Caroline Morais Duarte - 30/01/2025 08:54:25</t>
  </si>
  <si>
    <t>Paula Caroline Morais Duarte - 30/01/2025 08:54:27</t>
  </si>
  <si>
    <t>Paula Caroline Morais Duarte - 30/01/2025 08:54:28</t>
  </si>
  <si>
    <t>Alisson Airton Sobrinho - 07/03/2025 09:12:55</t>
  </si>
  <si>
    <t>Alisson Airton Sobrinho - 07/03/2025 09:12:58</t>
  </si>
  <si>
    <t>Alisson Airton Sobrinho - 07/03/2025 09:12:57</t>
  </si>
  <si>
    <t>Alisson Airton Sobrinho - 07/03/2025 09:13:01</t>
  </si>
  <si>
    <t>Alisson Airton Sobrinho - 07/03/2025 09:13:00</t>
  </si>
  <si>
    <t>Alisson Airton Sobrinho - 07/03/2025 09:13:02</t>
  </si>
  <si>
    <t>Alisson Airton Sobrinho - 07/03/2025 09:13:15</t>
  </si>
  <si>
    <t>Alisson Airton Sobrinho - 07/03/2025 09:13:07</t>
  </si>
  <si>
    <t>Alisson Airton Sobrinho - 07/03/2025 09:13:16</t>
  </si>
  <si>
    <t>Alisson Airton Sobrinho - 07/03/2025 09:13:17</t>
  </si>
  <si>
    <t>Alisson Airton Sobrinho - 07/03/2025 09:13:22</t>
  </si>
  <si>
    <t>Alisson Airton Sobrinho - 07/03/2025 09:13:23</t>
  </si>
  <si>
    <t>Alisson Airton Sobrinho - 07/03/2025 09:13:25</t>
  </si>
  <si>
    <t>Base de Dados_Images/BC9202.Imagem do Equipamento-.123119.jpg</t>
  </si>
  <si>
    <t>Paula Caroline Morais Duarte - 30/01/2025 08:53:46</t>
  </si>
  <si>
    <t>Base de Dados_Images/BC9202.Imagem da Plaqueta do Motor-.123120.jpg</t>
  </si>
  <si>
    <t>Paula Caroline Morais Duarte - 30/01/2025 08:53:55</t>
  </si>
  <si>
    <t>BC9203</t>
  </si>
  <si>
    <t>Bomba água coluna barométrica cozedor nº2</t>
  </si>
  <si>
    <t>Paula Caroline Morais Duarte - 24/01/2025 10:35:56</t>
  </si>
  <si>
    <t>Paula Caroline Morais Duarte - 24/01/2025 10:35:58</t>
  </si>
  <si>
    <t>Paula Caroline Morais Duarte - 24/01/2025 10:35:59</t>
  </si>
  <si>
    <t>Paula Caroline Morais Duarte - 24/01/2025 10:36:01</t>
  </si>
  <si>
    <t>Paula Caroline Morais Duarte - 24/01/2025 10:36:02</t>
  </si>
  <si>
    <t>Paula Caroline Morais Duarte - 24/01/2025 10:36:04</t>
  </si>
  <si>
    <t>Paula Caroline Morais Duarte - 24/01/2025 10:36:05</t>
  </si>
  <si>
    <t>Paula Caroline Morais Duarte - 24/01/2025 10:36:07</t>
  </si>
  <si>
    <t>Paula Caroline Morais Duarte - 24/01/2025 10:36:08</t>
  </si>
  <si>
    <t>Paula Caroline Morais Duarte - 24/01/2025 10:36:19</t>
  </si>
  <si>
    <t>Paula Caroline Morais Duarte - 24/01/2025 10:36:20</t>
  </si>
  <si>
    <t>Paula Caroline Morais Duarte - 24/01/2025 10:36:23</t>
  </si>
  <si>
    <t>Paula Caroline Morais Duarte - 24/01/2025 10:36:24</t>
  </si>
  <si>
    <t>Paula Caroline Morais Duarte - 24/01/2025 10:36:33</t>
  </si>
  <si>
    <t>Paula Caroline Morais Duarte - 24/01/2025 10:36:34</t>
  </si>
  <si>
    <t>Paula Caroline Morais Duarte - 24/01/2025 10:36:39</t>
  </si>
  <si>
    <t>Alisson Airton Sobrinho - 07/03/2025 09:13:32</t>
  </si>
  <si>
    <t>Alisson Airton Sobrinho - 07/03/2025 09:13:33</t>
  </si>
  <si>
    <t>Alisson Airton Sobrinho - 07/03/2025 09:13:35</t>
  </si>
  <si>
    <t>Alisson Airton Sobrinho - 07/03/2025 09:13:36</t>
  </si>
  <si>
    <t>Alisson Airton Sobrinho - 07/03/2025 09:13:37</t>
  </si>
  <si>
    <t>Alisson Airton Sobrinho - 07/03/2025 09:13:40</t>
  </si>
  <si>
    <t>Alisson Airton Sobrinho - 07/03/2025 09:13:42</t>
  </si>
  <si>
    <t>Alisson Airton Sobrinho - 07/03/2025 09:13:43</t>
  </si>
  <si>
    <t>Alisson Airton Sobrinho - 07/03/2025 09:13:45</t>
  </si>
  <si>
    <t>Alisson Airton Sobrinho - 07/03/2025 09:13:49</t>
  </si>
  <si>
    <t>Alisson Airton Sobrinho - 07/03/2025 09:13:50</t>
  </si>
  <si>
    <t>Alisson Airton Sobrinho - 07/03/2025 09:13:51</t>
  </si>
  <si>
    <t>Alisson Airton Sobrinho - 07/03/2025 09:13:52</t>
  </si>
  <si>
    <t>Base de Dados_Images/BC9203.Imagem do Equipamento-.125014.jpg</t>
  </si>
  <si>
    <t>Paula Caroline Morais Duarte - 24/01/2025 10:35:34</t>
  </si>
  <si>
    <t>Base de Dados_Images/BC9203.Imagem da Plaqueta do Motor-.125014.jpg</t>
  </si>
  <si>
    <t>Paula Caroline Morais Duarte - 24/01/2025 10:35:50</t>
  </si>
  <si>
    <t>BC9204</t>
  </si>
  <si>
    <t>Bomba Reposição Fabrica III</t>
  </si>
  <si>
    <t>Paula Caroline Morais Duarte - 30/01/2025 08:56:31</t>
  </si>
  <si>
    <t>Paula Caroline Morais Duarte - 30/01/2025 08:56:33</t>
  </si>
  <si>
    <t>Paula Caroline Morais Duarte - 30/01/2025 08:56:36</t>
  </si>
  <si>
    <t>Paula Caroline Morais Duarte - 30/01/2025 08:56:39</t>
  </si>
  <si>
    <t>Paula Caroline Morais Duarte - 30/01/2025 08:56:40</t>
  </si>
  <si>
    <t>Paula Caroline Morais Duarte - 30/01/2025 08:56:43</t>
  </si>
  <si>
    <t>Paula Caroline Morais Duarte - 30/01/2025 08:56:44</t>
  </si>
  <si>
    <t>Paula Caroline Morais Duarte - 30/01/2025 08:56:46</t>
  </si>
  <si>
    <t>Paula Caroline Morais Duarte - 30/01/2025 08:56:48</t>
  </si>
  <si>
    <t>Paula Caroline Morais Duarte - 30/01/2025 08:56:50</t>
  </si>
  <si>
    <t>Paula Caroline Morais Duarte - 30/01/2025 08:56:52</t>
  </si>
  <si>
    <t>Paula Caroline Morais Duarte - 30/01/2025 08:56:54</t>
  </si>
  <si>
    <t>Paula Caroline Morais Duarte - 30/01/2025 08:56:56</t>
  </si>
  <si>
    <t>Paula Caroline Morais Duarte - 30/01/2025 08:57:00</t>
  </si>
  <si>
    <t>Paula Caroline Morais Duarte - 30/01/2025 08:58:15</t>
  </si>
  <si>
    <t>Paula Caroline Morais Duarte - 30/01/2025 08:57:08</t>
  </si>
  <si>
    <t>Alisson Airton Sobrinho - 07/03/2025 09:13:59</t>
  </si>
  <si>
    <t>Alisson Airton Sobrinho - 07/03/2025 09:14:00</t>
  </si>
  <si>
    <t>Alisson Airton Sobrinho - 07/03/2025 09:14:01</t>
  </si>
  <si>
    <t>Alisson Airton Sobrinho - 07/03/2025 09:14:03</t>
  </si>
  <si>
    <t>Alisson Airton Sobrinho - 07/03/2025 09:14:04</t>
  </si>
  <si>
    <t>Alisson Airton Sobrinho - 07/03/2025 09:14:08</t>
  </si>
  <si>
    <t>Alisson Airton Sobrinho - 07/03/2025 09:14:09</t>
  </si>
  <si>
    <t>Alisson Airton Sobrinho - 07/03/2025 09:14:10</t>
  </si>
  <si>
    <t>Alisson Airton Sobrinho - 07/03/2025 09:14:12</t>
  </si>
  <si>
    <t>Alisson Airton Sobrinho - 07/03/2025 09:14:16</t>
  </si>
  <si>
    <t>Alisson Airton Sobrinho - 07/03/2025 09:14:17</t>
  </si>
  <si>
    <t>Alisson Airton Sobrinho - 07/03/2025 09:14:19</t>
  </si>
  <si>
    <t>Base de Dados_Images/BC9204.Imagem do Equipamento-.123232.jpg</t>
  </si>
  <si>
    <t>Paula Caroline Morais Duarte - 30/01/2025 08:55:54</t>
  </si>
  <si>
    <t>Base de Dados_Images/BC9204.Imagem da Plaqueta do Motor-.123232.jpg</t>
  </si>
  <si>
    <t>Paula Caroline Morais Duarte - 30/01/2025 08:56:06</t>
  </si>
  <si>
    <t>Torre Resfriamento Destilaria</t>
  </si>
  <si>
    <t>BC9205 (Duplicado 1)</t>
  </si>
  <si>
    <t>Bomba torre resfriamento para destilaria</t>
  </si>
  <si>
    <t>Paula Caroline Morais Duarte - 24/01/2025 10:06:24</t>
  </si>
  <si>
    <t>Paula Caroline Morais Duarte - 24/01/2025 10:06:28</t>
  </si>
  <si>
    <t>Paula Caroline Morais Duarte - 24/01/2025 10:06:32</t>
  </si>
  <si>
    <t>Paula Caroline Morais Duarte - 24/01/2025 10:06:35</t>
  </si>
  <si>
    <t>Paula Caroline Morais Duarte - 24/01/2025 10:06:37</t>
  </si>
  <si>
    <t>Paula Caroline Morais Duarte - 24/01/2025 10:06:40</t>
  </si>
  <si>
    <t>Paula Caroline Morais Duarte - 24/01/2025 10:06:42</t>
  </si>
  <si>
    <t>Paula Caroline Morais Duarte - 24/01/2025 10:06:44</t>
  </si>
  <si>
    <t>Paula Caroline Morais Duarte - 24/01/2025 10:06:45</t>
  </si>
  <si>
    <t>Paula Caroline Morais Duarte - 24/01/2025 10:06:47</t>
  </si>
  <si>
    <t>Paula Caroline Morais Duarte - 24/01/2025 10:06:50</t>
  </si>
  <si>
    <t>Paula Caroline Morais Duarte - 24/01/2025 10:06:52</t>
  </si>
  <si>
    <t>Paula Caroline Morais Duarte - 24/01/2025 10:06:54</t>
  </si>
  <si>
    <t>Paula Caroline Morais Duarte - 24/01/2025 10:06:56</t>
  </si>
  <si>
    <t>Paula Caroline Morais Duarte - 24/01/2025 10:06:59</t>
  </si>
  <si>
    <t>Paula Caroline Morais Duarte - 24/01/2025 10:07:02</t>
  </si>
  <si>
    <t>Alisson Airton Sobrinho - 04/02/2025 15:32:53</t>
  </si>
  <si>
    <t>Alisson Airton Sobrinho - 04/02/2025 15:32:54</t>
  </si>
  <si>
    <t>Alisson Airton Sobrinho - 04/02/2025 15:32:59</t>
  </si>
  <si>
    <t>Alisson Airton Sobrinho - 04/02/2025 15:33:01</t>
  </si>
  <si>
    <t>Alisson Airton Sobrinho - 04/02/2025 15:33:05</t>
  </si>
  <si>
    <t>Alisson Airton Sobrinho - 04/02/2025 15:33:08</t>
  </si>
  <si>
    <t>Alisson Airton Sobrinho - 05/03/2025 11:51:45</t>
  </si>
  <si>
    <t>Alisson Airton Sobrinho - 05/03/2025 11:51:46</t>
  </si>
  <si>
    <t>Alisson Airton Sobrinho - 05/03/2025 11:51:47</t>
  </si>
  <si>
    <t>Alisson Airton Sobrinho - 05/03/2025 11:51:49</t>
  </si>
  <si>
    <t>Alisson Airton Sobrinho - 05/03/2025 11:51:53</t>
  </si>
  <si>
    <t>Alisson Airton Sobrinho - 05/03/2025 11:51:54</t>
  </si>
  <si>
    <t>Alisson Airton Sobrinho - 05/03/2025 11:51:56</t>
  </si>
  <si>
    <t>Base de Dados_Images/BC9205.Imagem do Equipamento-.110844.jpg</t>
  </si>
  <si>
    <t>Paula Caroline Morais Duarte - 24/01/2025 10:05:24</t>
  </si>
  <si>
    <t>Base de Dados_Images/BC9205.Imagem da Plaqueta do Motor-.110844.jpg</t>
  </si>
  <si>
    <t>Paula Caroline Morais Duarte - 24/01/2025 10:06:08</t>
  </si>
  <si>
    <t>BC9205 (Duplicado 2)</t>
  </si>
  <si>
    <t>Sist Bba N1 Torre Resf Destilaria N1</t>
  </si>
  <si>
    <t>Alisson Airton Sobrinho - 27/02/2025 13:31:05</t>
  </si>
  <si>
    <t>Alisson Airton Sobrinho - 27/02/2025 13:31:07</t>
  </si>
  <si>
    <t>Alisson Airton Sobrinho - 27/02/2025 13:31:08</t>
  </si>
  <si>
    <t>Alisson Airton Sobrinho - 27/02/2025 13:31:10</t>
  </si>
  <si>
    <t>Alisson Airton Sobrinho - 27/02/2025 13:31:12</t>
  </si>
  <si>
    <t>Alisson Airton Sobrinho - 27/02/2025 13:31:14</t>
  </si>
  <si>
    <t>Alisson Airton Sobrinho - 27/02/2025 13:31:15</t>
  </si>
  <si>
    <t>Alisson Airton Sobrinho - 27/02/2025 13:31:17</t>
  </si>
  <si>
    <t>Alisson Airton Sobrinho - 27/02/2025 13:31:19</t>
  </si>
  <si>
    <t>Alisson Airton Sobrinho - 27/02/2025 13:31:20</t>
  </si>
  <si>
    <t>Alisson Airton Sobrinho - 27/02/2025 13:31:23</t>
  </si>
  <si>
    <t>Alisson Airton Sobrinho - 27/02/2025 13:31:24</t>
  </si>
  <si>
    <t>Alisson Airton Sobrinho - 27/02/2025 13:31:26</t>
  </si>
  <si>
    <t>Alisson Airton Sobrinho - 27/02/2025 13:31:27</t>
  </si>
  <si>
    <t>Alisson Airton Sobrinho - 05/03/2025 16:40:36</t>
  </si>
  <si>
    <t>Alisson Airton Sobrinho - 05/03/2025 16:40:37</t>
  </si>
  <si>
    <t>Alisson Airton Sobrinho - 05/03/2025 16:40:38</t>
  </si>
  <si>
    <t>Alisson Airton Sobrinho - 05/03/2025 16:40:42</t>
  </si>
  <si>
    <t>Alisson Airton Sobrinho - 05/03/2025 16:40:41</t>
  </si>
  <si>
    <t>Alisson Airton Sobrinho - 05/03/2025 16:40:44</t>
  </si>
  <si>
    <t>Alisson Airton Sobrinho - 05/03/2025 16:40:55</t>
  </si>
  <si>
    <t>Alisson Airton Sobrinho - 05/03/2025 16:40:56</t>
  </si>
  <si>
    <t>Alisson Airton Sobrinho - 05/03/2025 16:40:58</t>
  </si>
  <si>
    <t>Alisson Airton Sobrinho - 06/03/2025 12:06:26</t>
  </si>
  <si>
    <t>Alisson Airton Sobrinho - 06/03/2025 12:06:27</t>
  </si>
  <si>
    <t>Alisson Airton Sobrinho - 06/03/2025 12:06:32</t>
  </si>
  <si>
    <t>Alisson Airton Sobrinho - 06/03/2025 12:06:33</t>
  </si>
  <si>
    <t>Alisson Airton Sobrinho - 02/27/2025 13:31:01</t>
  </si>
  <si>
    <t>BC9206</t>
  </si>
  <si>
    <t>Paula Caroline Morais Duarte - 24/01/2025 10:09:26</t>
  </si>
  <si>
    <t>Paula Caroline Morais Duarte - 24/01/2025 10:09:28</t>
  </si>
  <si>
    <t>Paula Caroline Morais Duarte - 24/01/2025 10:09:30</t>
  </si>
  <si>
    <t>Paula Caroline Morais Duarte - 24/01/2025 10:09:35</t>
  </si>
  <si>
    <t>Paula Caroline Morais Duarte - 24/01/2025 10:09:36</t>
  </si>
  <si>
    <t>Paula Caroline Morais Duarte - 24/01/2025 10:09:38</t>
  </si>
  <si>
    <t>Paula Caroline Morais Duarte - 24/01/2025 10:09:40</t>
  </si>
  <si>
    <t>Paula Caroline Morais Duarte - 24/01/2025 10:09:41</t>
  </si>
  <si>
    <t>Paula Caroline Morais Duarte - 24/01/2025 10:09:43</t>
  </si>
  <si>
    <t>Paula Caroline Morais Duarte - 24/01/2025 10:09:44</t>
  </si>
  <si>
    <t>Paula Caroline Morais Duarte - 24/01/2025 10:09:46</t>
  </si>
  <si>
    <t>Paula Caroline Morais Duarte - 24/01/2025 10:09:47</t>
  </si>
  <si>
    <t>Paula Caroline Morais Duarte - 24/01/2025 10:09:48</t>
  </si>
  <si>
    <t>Paula Caroline Morais Duarte - 24/01/2025 10:09:52</t>
  </si>
  <si>
    <t>Paula Caroline Morais Duarte - 24/01/2025 10:09:53</t>
  </si>
  <si>
    <t>Paula Caroline Morais Duarte - 24/01/2025 10:09:54</t>
  </si>
  <si>
    <t>Alisson Airton Sobrinho - 05/03/2025 16:41:09</t>
  </si>
  <si>
    <t>Alisson Airton Sobrinho - 05/03/2025 16:41:10</t>
  </si>
  <si>
    <t>Alisson Airton Sobrinho - 05/03/2025 16:41:13</t>
  </si>
  <si>
    <t>Alisson Airton Sobrinho - 05/03/2025 16:41:12</t>
  </si>
  <si>
    <t>Alisson Airton Sobrinho - 05/03/2025 16:41:14</t>
  </si>
  <si>
    <t>Beatriz Alves Nunes de Paulo - 06/03/2025 09:25:38</t>
  </si>
  <si>
    <t>Beatriz Alves Nunes de Paulo - 06/03/2025 09:25:39</t>
  </si>
  <si>
    <t>Beatriz Alves Nunes de Paulo - 06/03/2025 09:25:41</t>
  </si>
  <si>
    <t>Alisson Airton Sobrinho - 06/03/2025 12:06:57</t>
  </si>
  <si>
    <t>Alisson Airton Sobrinho - 06/03/2025 12:06:58</t>
  </si>
  <si>
    <t>Alisson Airton Sobrinho - 06/03/2025 12:06:59</t>
  </si>
  <si>
    <t>Alisson Airton Sobrinho - 06/03/2025 12:07:00</t>
  </si>
  <si>
    <t>Base de Dados_Images/BC9206.Imagem do Equipamento-.111010.jpg</t>
  </si>
  <si>
    <t>Paula Caroline Morais Duarte - 24/01/2025 10:08:17</t>
  </si>
  <si>
    <t>Base de Dados_Images/BC9206.Imagem da Plaqueta do Motor-.111019.jpg</t>
  </si>
  <si>
    <t>Paula Caroline Morais Duarte - 24/01/2025 10:09:09</t>
  </si>
  <si>
    <t>BC9207</t>
  </si>
  <si>
    <t>Alisson Airton Sobrinho - 03/03/2025 11:09:34</t>
  </si>
  <si>
    <t>Alisson Airton Sobrinho - 03/03/2025 11:09:35</t>
  </si>
  <si>
    <t>Alisson Airton Sobrinho - 03/03/2025 11:09:36</t>
  </si>
  <si>
    <t>Alisson Airton Sobrinho - 03/03/2025 11:09:37</t>
  </si>
  <si>
    <t>Alisson Airton Sobrinho - 03/03/2025 11:09:38</t>
  </si>
  <si>
    <t>Alisson Airton Sobrinho - 03/03/2025 11:09:39</t>
  </si>
  <si>
    <t>Alisson Airton Sobrinho - 03/03/2025 11:09:40</t>
  </si>
  <si>
    <t>Alisson Airton Sobrinho - 03/03/2025 11:09:42</t>
  </si>
  <si>
    <t>Alisson Airton Sobrinho - 03/03/2025 11:09:43</t>
  </si>
  <si>
    <t>Alisson Airton Sobrinho - 03/03/2025 11:09:44</t>
  </si>
  <si>
    <t>Alisson Airton Sobrinho - 03/03/2025 11:09:45</t>
  </si>
  <si>
    <t>Alisson Airton Sobrinho - 03/03/2025 11:09:46</t>
  </si>
  <si>
    <t>Alisson Airton Sobrinho - 03/03/2025 11:09:48</t>
  </si>
  <si>
    <t>Alisson Airton Sobrinho - 03/03/2025 11:09:49</t>
  </si>
  <si>
    <t>Alisson Airton Sobrinho - 03/03/2025 11:09:52</t>
  </si>
  <si>
    <t>Alisson Airton Sobrinho - 03/03/2025 11:09:53</t>
  </si>
  <si>
    <t>Alisson Airton Sobrinho - 03/03/2025 11:09:54</t>
  </si>
  <si>
    <t>Alisson Airton Sobrinho - 03/03/2025 11:09:55</t>
  </si>
  <si>
    <t>Alisson Airton Sobrinho - 03/03/2025 11:09:56</t>
  </si>
  <si>
    <t>Alisson Airton Sobrinho - 03/03/2025 11:09:57</t>
  </si>
  <si>
    <t>Alisson Airton Sobrinho - 03/03/2025 11:10:01</t>
  </si>
  <si>
    <t>Alisson Airton Sobrinho - 03/03/2025 11:10:02</t>
  </si>
  <si>
    <t>Alisson Airton Sobrinho - 03/03/2025 11:10:03</t>
  </si>
  <si>
    <t>Alisson Airton Sobrinho - 06/03/2025 12:07:04</t>
  </si>
  <si>
    <t>Alisson Airton Sobrinho - 06/03/2025 12:07:05</t>
  </si>
  <si>
    <t>Alisson Airton Sobrinho - 06/03/2025 12:07:06</t>
  </si>
  <si>
    <t>Alisson Airton Sobrinho - 06/03/2025 12:07:07</t>
  </si>
  <si>
    <t>MOTOR DESMONTADO</t>
  </si>
  <si>
    <t>Alisson Airton Sobrinho - 03/03/2025 11:08:48</t>
  </si>
  <si>
    <t>Torres Resfriamento Fermentação</t>
  </si>
  <si>
    <t>BC9208</t>
  </si>
  <si>
    <t>Bomba torre resfriamento fermentação</t>
  </si>
  <si>
    <t>Paula Caroline Morais Duarte - 24/01/2025 10:13:27</t>
  </si>
  <si>
    <t>Paula Caroline Morais Duarte - 24/01/2025 10:13:29</t>
  </si>
  <si>
    <t>Paula Caroline Morais Duarte - 24/01/2025 10:13:31</t>
  </si>
  <si>
    <t>Paula Caroline Morais Duarte - 24/01/2025 10:13:41</t>
  </si>
  <si>
    <t>Paula Caroline Morais Duarte - 24/01/2025 10:13:43</t>
  </si>
  <si>
    <t>Paula Caroline Morais Duarte - 24/01/2025 10:13:45</t>
  </si>
  <si>
    <t>Paula Caroline Morais Duarte - 24/01/2025 10:13:46</t>
  </si>
  <si>
    <t>Paula Caroline Morais Duarte - 24/01/2025 10:13:50</t>
  </si>
  <si>
    <t>Paula Caroline Morais Duarte - 24/01/2025 10:13:51</t>
  </si>
  <si>
    <t>Paula Caroline Morais Duarte - 24/01/2025 10:13:52</t>
  </si>
  <si>
    <t>Paula Caroline Morais Duarte - 24/01/2025 10:13:53</t>
  </si>
  <si>
    <t>Paula Caroline Morais Duarte - 24/01/2025 10:13:56</t>
  </si>
  <si>
    <t>Paula Caroline Morais Duarte - 24/01/2025 10:13:58</t>
  </si>
  <si>
    <t>Paula Caroline Morais Duarte - 24/01/2025 10:13:59</t>
  </si>
  <si>
    <t>Paula Caroline Morais Duarte - 24/01/2025 10:14:01</t>
  </si>
  <si>
    <t>Paula Caroline Morais Duarte - 24/01/2025 10:14:02</t>
  </si>
  <si>
    <t>Paula Caroline Morais Duarte - 11/02/2025 11:44:13</t>
  </si>
  <si>
    <t>Paula Caroline Morais Duarte - 11/02/2025 11:44:14</t>
  </si>
  <si>
    <t>Paula Caroline Morais Duarte - 11/02/2025 11:44:16</t>
  </si>
  <si>
    <t>Paula Caroline Morais Duarte - 11/02/2025 11:44:22</t>
  </si>
  <si>
    <t>Paula Caroline Morais Duarte - 11/02/2025 11:44:26</t>
  </si>
  <si>
    <t>Paula Caroline Morais Duarte - 11/02/2025 11:44:28</t>
  </si>
  <si>
    <t>Alisson Airton Sobrinho - 17/02/2025 12:22:46</t>
  </si>
  <si>
    <t>Alisson Airton Sobrinho - 17/02/2025 12:22:47</t>
  </si>
  <si>
    <t>Alisson Airton Sobrinho - 17/02/2025 12:22:49</t>
  </si>
  <si>
    <t>Alisson Airton Sobrinho - 07/03/2025 08:43:06</t>
  </si>
  <si>
    <t>Alisson Airton Sobrinho - 07/03/2025 08:43:12</t>
  </si>
  <si>
    <t>Alisson Airton Sobrinho - 07/03/2025 08:43:14</t>
  </si>
  <si>
    <t>Base de Dados_Images/BC9208.Imagem do Equipamento-.111156.jpg</t>
  </si>
  <si>
    <t>Paula Caroline Morais Duarte - 24/01/2025 10:12:49</t>
  </si>
  <si>
    <t>Base de Dados_Images/BC9208.Imagem da Plaqueta do Motor-.111156.jpg</t>
  </si>
  <si>
    <t>Paula Caroline Morais Duarte - 24/01/2025 10:13:18</t>
  </si>
  <si>
    <t>BC9209</t>
  </si>
  <si>
    <t>Paula Caroline Morais Duarte - 24/01/2025 10:18:39</t>
  </si>
  <si>
    <t>Paula Caroline Morais Duarte - 24/01/2025 10:18:41</t>
  </si>
  <si>
    <t>Paula Caroline Morais Duarte - 24/01/2025 10:18:42</t>
  </si>
  <si>
    <t>Paula Caroline Morais Duarte - 24/01/2025 10:18:45</t>
  </si>
  <si>
    <t>Paula Caroline Morais Duarte - 24/01/2025 10:18:46</t>
  </si>
  <si>
    <t>Paula Caroline Morais Duarte - 24/01/2025 10:18:47</t>
  </si>
  <si>
    <t>Paula Caroline Morais Duarte - 24/01/2025 10:18:48</t>
  </si>
  <si>
    <t>Paula Caroline Morais Duarte - 24/01/2025 10:18:50</t>
  </si>
  <si>
    <t>Paula Caroline Morais Duarte - 24/01/2025 10:18:51</t>
  </si>
  <si>
    <t>Paula Caroline Morais Duarte - 24/01/2025 10:18:53</t>
  </si>
  <si>
    <t>Paula Caroline Morais Duarte - 24/01/2025 10:18:54</t>
  </si>
  <si>
    <t>Paula Caroline Morais Duarte - 24/01/2025 10:19:01</t>
  </si>
  <si>
    <t>Paula Caroline Morais Duarte - 24/01/2025 10:19:02</t>
  </si>
  <si>
    <t>Paula Caroline Morais Duarte - 24/01/2025 10:19:03</t>
  </si>
  <si>
    <t>Paula Caroline Morais Duarte - 24/01/2025 10:19:06</t>
  </si>
  <si>
    <t>Paula Caroline Morais Duarte - 24/01/2025 10:19:07</t>
  </si>
  <si>
    <t>Paula Caroline Morais Duarte - 11/02/2025 11:44:39</t>
  </si>
  <si>
    <t>Paula Caroline Morais Duarte - 11/02/2025 11:44:40</t>
  </si>
  <si>
    <t>Paula Caroline Morais Duarte - 11/02/2025 11:44:42</t>
  </si>
  <si>
    <t>Paula Caroline Morais Duarte - 11/02/2025 11:44:43</t>
  </si>
  <si>
    <t>Paula Caroline Morais Duarte - 11/02/2025 11:44:47</t>
  </si>
  <si>
    <t>Paula Caroline Morais Duarte - 11/02/2025 11:44:49</t>
  </si>
  <si>
    <t>Alisson Airton Sobrinho - 17/02/2025 12:23:02</t>
  </si>
  <si>
    <t>Alisson Airton Sobrinho - 17/02/2025 12:23:04</t>
  </si>
  <si>
    <t>Alisson Airton Sobrinho - 07/03/2025 08:43:57</t>
  </si>
  <si>
    <t>Alisson Airton Sobrinho - 07/03/2025 08:43:58</t>
  </si>
  <si>
    <t>Alisson Airton Sobrinho - 07/03/2025 08:44:00</t>
  </si>
  <si>
    <t>Base de Dados_Images/BC9209.Imagem do Equipamento-.111507.jpg</t>
  </si>
  <si>
    <t>Paula Caroline Morais Duarte - 24/01/2025 10:15:48</t>
  </si>
  <si>
    <t>Base de Dados_Images/BC9209.Imagem da Plaqueta do Motor-.111507.jpg</t>
  </si>
  <si>
    <t>Paula Caroline Morais Duarte - 24/01/2025 10:18:29</t>
  </si>
  <si>
    <t>BC9210</t>
  </si>
  <si>
    <t>Paula Caroline Morais Duarte - 24/01/2025 10:27:19</t>
  </si>
  <si>
    <t>Paula Caroline Morais Duarte - 24/01/2025 10:27:22</t>
  </si>
  <si>
    <t>Paula Caroline Morais Duarte - 24/01/2025 10:27:31</t>
  </si>
  <si>
    <t>Paula Caroline Morais Duarte - 24/01/2025 10:28:13</t>
  </si>
  <si>
    <t>Paula Caroline Morais Duarte - 24/01/2025 10:27:35</t>
  </si>
  <si>
    <t>Paula Caroline Morais Duarte - 24/01/2025 10:27:37</t>
  </si>
  <si>
    <t>Paula Caroline Morais Duarte - 24/01/2025 10:27:38</t>
  </si>
  <si>
    <t>Paula Caroline Morais Duarte - 24/01/2025 10:27:41</t>
  </si>
  <si>
    <t>Paula Caroline Morais Duarte - 24/01/2025 10:27:43</t>
  </si>
  <si>
    <t>Paula Caroline Morais Duarte - 24/01/2025 10:27:45</t>
  </si>
  <si>
    <t>Paula Caroline Morais Duarte - 24/01/2025 10:27:48</t>
  </si>
  <si>
    <t>Paula Caroline Morais Duarte - 24/01/2025 10:27:50</t>
  </si>
  <si>
    <t>Paula Caroline Morais Duarte - 24/01/2025 10:27:52</t>
  </si>
  <si>
    <t>Paula Caroline Morais Duarte - 24/01/2025 10:27:53</t>
  </si>
  <si>
    <t>Paula Caroline Morais Duarte - 24/01/2025 10:27:54</t>
  </si>
  <si>
    <t>Paula Caroline Morais Duarte - 24/01/2025 10:27:56</t>
  </si>
  <si>
    <t>Paula Caroline Morais Duarte - 11/02/2025 11:45:02</t>
  </si>
  <si>
    <t>Paula Caroline Morais Duarte - 11/02/2025 11:45:03</t>
  </si>
  <si>
    <t>Paula Caroline Morais Duarte - 11/02/2025 11:45:05</t>
  </si>
  <si>
    <t>Paula Caroline Morais Duarte - 11/02/2025 11:45:07</t>
  </si>
  <si>
    <t>Paula Caroline Morais Duarte - 11/02/2025 11:45:10</t>
  </si>
  <si>
    <t>Paula Caroline Morais Duarte - 11/02/2025 11:45:13</t>
  </si>
  <si>
    <t>Beatriz Alves Nunes de Paulo - 06/03/2025 11:59:31</t>
  </si>
  <si>
    <t>Beatriz Alves Nunes de Paulo - 06/03/2025 12:00:01</t>
  </si>
  <si>
    <t>Beatriz Alves Nunes de Paulo - 06/03/2025 11:59:58</t>
  </si>
  <si>
    <t>Beatriz Alves Nunes de Paulo - 06/03/2025 12:00:03</t>
  </si>
  <si>
    <t>Alisson Airton Sobrinho - 07/03/2025 08:44:21</t>
  </si>
  <si>
    <t>Alisson Airton Sobrinho - 07/03/2025 08:44:22</t>
  </si>
  <si>
    <t>Alisson Airton Sobrinho - 07/03/2025 08:44:24</t>
  </si>
  <si>
    <t>Base de Dados_Images/BC9210.Imagem do Equipamento-.124225.jpg</t>
  </si>
  <si>
    <t>Paula Caroline Morais Duarte - 24/01/2025 10:26:12</t>
  </si>
  <si>
    <t>Base de Dados_Images/BC9210.Imagem da Plaqueta do Motor-.124225.jpg</t>
  </si>
  <si>
    <t>Paula Caroline Morais Duarte - 24/01/2025 10:26:57</t>
  </si>
  <si>
    <t>BC9211</t>
  </si>
  <si>
    <t>Bomba resfriamento trocador de mosto</t>
  </si>
  <si>
    <t>Paula Caroline Morais Duarte - 24/01/2025 10:30:23</t>
  </si>
  <si>
    <t>Paula Caroline Morais Duarte - 24/01/2025 10:30:24</t>
  </si>
  <si>
    <t>Paula Caroline Morais Duarte - 24/01/2025 10:30:28</t>
  </si>
  <si>
    <t>Paula Caroline Morais Duarte - 24/01/2025 10:30:29</t>
  </si>
  <si>
    <t>Paula Caroline Morais Duarte - 24/01/2025 10:30:30</t>
  </si>
  <si>
    <t>Paula Caroline Morais Duarte - 24/01/2025 10:30:33</t>
  </si>
  <si>
    <t>Paula Caroline Morais Duarte - 24/01/2025 10:30:34</t>
  </si>
  <si>
    <t>Paula Caroline Morais Duarte - 24/01/2025 10:30:35</t>
  </si>
  <si>
    <t>Paula Caroline Morais Duarte - 24/01/2025 10:30:37</t>
  </si>
  <si>
    <t>Paula Caroline Morais Duarte - 24/01/2025 10:30:38</t>
  </si>
  <si>
    <t>Paula Caroline Morais Duarte - 24/01/2025 10:30:41</t>
  </si>
  <si>
    <t>Paula Caroline Morais Duarte - 24/01/2025 10:30:42</t>
  </si>
  <si>
    <t>Paula Caroline Morais Duarte - 24/01/2025 10:30:43</t>
  </si>
  <si>
    <t>Paula Caroline Morais Duarte - 24/01/2025 10:30:45</t>
  </si>
  <si>
    <t>Paula Caroline Morais Duarte - 24/01/2025 10:30:46</t>
  </si>
  <si>
    <t>Paula Caroline Morais Duarte - 24/01/2025 10:30:47</t>
  </si>
  <si>
    <t>Paula Caroline Morais Duarte - 11/02/2025 11:45:23</t>
  </si>
  <si>
    <t>Paula Caroline Morais Duarte - 11/02/2025 11:45:24</t>
  </si>
  <si>
    <t>Paula Caroline Morais Duarte - 11/02/2025 11:45:25</t>
  </si>
  <si>
    <t>Paula Caroline Morais Duarte - 11/02/2025 11:45:27</t>
  </si>
  <si>
    <t>Paula Caroline Morais Duarte - 11/02/2025 11:45:31</t>
  </si>
  <si>
    <t>Paula Caroline Morais Duarte - 11/02/2025 11:45:32</t>
  </si>
  <si>
    <t>Paula Caroline Morais Duarte - 17/02/2025 08:07:37</t>
  </si>
  <si>
    <t>Paula Caroline Morais Duarte - 17/02/2025 08:07:38</t>
  </si>
  <si>
    <t>Paula Caroline Morais Duarte - 17/02/2025 08:07:40</t>
  </si>
  <si>
    <t>Paula Caroline Morais Duarte - 17/02/2025 08:07:42</t>
  </si>
  <si>
    <t>Alisson Airton Sobrinho - 07/03/2025 08:45:12</t>
  </si>
  <si>
    <t>Alisson Airton Sobrinho - 07/03/2025 08:45:13</t>
  </si>
  <si>
    <t>Alisson Airton Sobrinho - 07/03/2025 08:45:15</t>
  </si>
  <si>
    <t>Base de Dados_Images/BC9211.Imagem do Equipamento-.124429.jpg</t>
  </si>
  <si>
    <t>Paula Caroline Morais Duarte - 24/01/2025 10:29:16</t>
  </si>
  <si>
    <t>Base de Dados_Images/BC9211.Imagem da Plaqueta do Motor-.124429.jpg</t>
  </si>
  <si>
    <t>Paula Caroline Morais Duarte - 24/01/2025 10:30:14</t>
  </si>
  <si>
    <t>BC9212</t>
  </si>
  <si>
    <t>Paula Caroline Morais Duarte - 24/01/2025 10:31:56</t>
  </si>
  <si>
    <t>Paula Caroline Morais Duarte - 24/01/2025 10:32:00</t>
  </si>
  <si>
    <t>Paula Caroline Morais Duarte - 24/01/2025 10:32:01</t>
  </si>
  <si>
    <t>Paula Caroline Morais Duarte - 24/01/2025 10:32:02</t>
  </si>
  <si>
    <t>Paula Caroline Morais Duarte - 24/01/2025 10:32:05</t>
  </si>
  <si>
    <t>Paula Caroline Morais Duarte - 24/01/2025 10:32:06</t>
  </si>
  <si>
    <t>Paula Caroline Morais Duarte - 24/01/2025 10:32:07</t>
  </si>
  <si>
    <t>Paula Caroline Morais Duarte - 24/01/2025 10:32:08</t>
  </si>
  <si>
    <t>Paula Caroline Morais Duarte - 24/01/2025 10:32:11</t>
  </si>
  <si>
    <t>Paula Caroline Morais Duarte - 24/01/2025 10:32:12</t>
  </si>
  <si>
    <t>Paula Caroline Morais Duarte - 24/01/2025 10:32:13</t>
  </si>
  <si>
    <t>Paula Caroline Morais Duarte - 24/01/2025 10:32:14</t>
  </si>
  <si>
    <t>Paula Caroline Morais Duarte - 24/01/2025 10:32:17</t>
  </si>
  <si>
    <t>Paula Caroline Morais Duarte - 24/01/2025 10:32:24</t>
  </si>
  <si>
    <t>Paula Caroline Morais Duarte - 24/01/2025 10:32:18</t>
  </si>
  <si>
    <t>Paula Caroline Morais Duarte - 24/01/2025 10:32:25</t>
  </si>
  <si>
    <t>Paula Caroline Morais Duarte - 11/02/2025 11:45:43</t>
  </si>
  <si>
    <t>Paula Caroline Morais Duarte - 11/02/2025 11:45:44</t>
  </si>
  <si>
    <t>Paula Caroline Morais Duarte - 11/02/2025 11:45:45</t>
  </si>
  <si>
    <t>Paula Caroline Morais Duarte - 11/02/2025 11:45:46</t>
  </si>
  <si>
    <t>Paula Caroline Morais Duarte - 11/02/2025 11:45:49</t>
  </si>
  <si>
    <t>Paula Caroline Morais Duarte - 11/02/2025 11:45:50</t>
  </si>
  <si>
    <t>Alisson Airton Sobrinho - 17/02/2025 12:25:58</t>
  </si>
  <si>
    <t>Alisson Airton Sobrinho - 17/02/2025 12:25:59</t>
  </si>
  <si>
    <t>Alisson Airton Sobrinho - 17/02/2025 12:26:00</t>
  </si>
  <si>
    <t>Alisson Airton Sobrinho - 07/03/2025 08:45:20</t>
  </si>
  <si>
    <t>Alisson Airton Sobrinho - 07/03/2025 08:45:21</t>
  </si>
  <si>
    <t>Alisson Airton Sobrinho - 07/03/2025 08:45:22</t>
  </si>
  <si>
    <t>Alisson Airton Sobrinho - 07/03/2025 08:45:23</t>
  </si>
  <si>
    <t>Base de Dados_Images/BC9212.Imagem do Equipamento-.124657.jpg</t>
  </si>
  <si>
    <t>Paula Caroline Morais Duarte - 24/01/2025 10:31:37</t>
  </si>
  <si>
    <t>Base de Dados_Images/BC9212.Imagem da Plaqueta do Motor-.124657.jpg</t>
  </si>
  <si>
    <t>Paula Caroline Morais Duarte - 24/01/2025 10:31:50</t>
  </si>
  <si>
    <t>Torres Resfriamento</t>
  </si>
  <si>
    <t>BC9213</t>
  </si>
  <si>
    <t>Bomba 01 Torre Resfriamento Moenda</t>
  </si>
  <si>
    <t>Paula Caroline Morais Duarte - 24/01/2025 10:21:24</t>
  </si>
  <si>
    <t>Paula Caroline Morais Duarte - 24/01/2025 10:21:26</t>
  </si>
  <si>
    <t>Paula Caroline Morais Duarte - 24/01/2025 10:21:27</t>
  </si>
  <si>
    <t>Paula Caroline Morais Duarte - 24/01/2025 10:21:28</t>
  </si>
  <si>
    <t>Paula Caroline Morais Duarte - 24/01/2025 10:21:33</t>
  </si>
  <si>
    <t>Paula Caroline Morais Duarte - 24/01/2025 10:21:31</t>
  </si>
  <si>
    <t>Paula Caroline Morais Duarte - 24/01/2025 10:21:30</t>
  </si>
  <si>
    <t>Paula Caroline Morais Duarte - 24/01/2025 10:21:40</t>
  </si>
  <si>
    <t>Paula Caroline Morais Duarte - 24/01/2025 10:21:39</t>
  </si>
  <si>
    <t>Paula Caroline Morais Duarte - 24/01/2025 10:21:38</t>
  </si>
  <si>
    <t>Paula Caroline Morais Duarte - 24/01/2025 10:21:37</t>
  </si>
  <si>
    <t>Paula Caroline Morais Duarte - 24/01/2025 10:21:45</t>
  </si>
  <si>
    <t>Paula Caroline Morais Duarte - 24/01/2025 10:21:46</t>
  </si>
  <si>
    <t>Paula Caroline Morais Duarte - 24/01/2025 10:21:47</t>
  </si>
  <si>
    <t>Paula Caroline Morais Duarte - 24/01/2025 10:21:48</t>
  </si>
  <si>
    <t>Paula Caroline Morais Duarte - 24/01/2025 10:21:51</t>
  </si>
  <si>
    <t>Rafael Roldão Rodrigues - 03/03/2025 11:45:07</t>
  </si>
  <si>
    <t>Rafael Roldão Rodrigues - 03/03/2025 11:45:08</t>
  </si>
  <si>
    <t>Rafael Roldão Rodrigues - 03/03/2025 11:45:09</t>
  </si>
  <si>
    <t>Rafael Roldão Rodrigues - 03/03/2025 11:45:10</t>
  </si>
  <si>
    <t>Rafael Roldão Rodrigues - 03/03/2025 11:45:13</t>
  </si>
  <si>
    <t>Rafael Roldão Rodrigues - 03/03/2025 11:45:14</t>
  </si>
  <si>
    <t>Rafael Roldão Rodrigues - 03/03/2025 11:45:23</t>
  </si>
  <si>
    <t>Rafael Roldão Rodrigues - 03/03/2025 11:45:24</t>
  </si>
  <si>
    <t>Rafael Roldão Rodrigues - 03/03/2025 11:45:25</t>
  </si>
  <si>
    <t>Alisson Airton Sobrinho - 07/03/2025 06:50:03</t>
  </si>
  <si>
    <t>Alisson Airton Sobrinho - 07/03/2025 06:50:05</t>
  </si>
  <si>
    <t>Base de Dados_Images/BC9213.Imagem do Equipamento-.125843.jpg</t>
  </si>
  <si>
    <t>Paula Caroline Morais Duarte - 29/01/2025 08:39:49</t>
  </si>
  <si>
    <t>Base de Dados_Images/BC9213.Imagem da Plaqueta do Motor-.125855.jpg</t>
  </si>
  <si>
    <t>Paula Caroline Morais Duarte - 29/01/2025 08:40:05</t>
  </si>
  <si>
    <t>BC9214 (Duplicado 1)</t>
  </si>
  <si>
    <t>Sist Bba Reserva Torre Resf Agua Alpin</t>
  </si>
  <si>
    <t>Paula Caroline Morais Duarte - 29/01/2025 08:35:37</t>
  </si>
  <si>
    <t>Paula Caroline Morais Duarte - 29/01/2025 08:36:06</t>
  </si>
  <si>
    <t>Paula Caroline Morais Duarte - 29/01/2025 08:36:08</t>
  </si>
  <si>
    <t>Paula Caroline Morais Duarte - 29/01/2025 08:36:09</t>
  </si>
  <si>
    <t>Paula Caroline Morais Duarte - 29/01/2025 08:36:11</t>
  </si>
  <si>
    <t>Paula Caroline Morais Duarte - 29/01/2025 08:36:12</t>
  </si>
  <si>
    <t>Paula Caroline Morais Duarte - 29/01/2025 08:36:17</t>
  </si>
  <si>
    <t>Paula Caroline Morais Duarte - 29/01/2025 08:36:15</t>
  </si>
  <si>
    <t>Paula Caroline Morais Duarte - 29/01/2025 08:36:19</t>
  </si>
  <si>
    <t>Paula Caroline Morais Duarte - 29/01/2025 08:36:21</t>
  </si>
  <si>
    <t>Paula Caroline Morais Duarte - 29/01/2025 08:36:22</t>
  </si>
  <si>
    <t>Paula Caroline Morais Duarte - 29/01/2025 08:36:24</t>
  </si>
  <si>
    <t>Paula Caroline Morais Duarte - 29/01/2025 08:36:25</t>
  </si>
  <si>
    <t>Paula Caroline Morais Duarte - 29/01/2025 08:36:26</t>
  </si>
  <si>
    <t>Paula Caroline Morais Duarte - 29/01/2025 08:36:28</t>
  </si>
  <si>
    <t>Paula Caroline Morais Duarte - 29/01/2025 08:36:30</t>
  </si>
  <si>
    <t>Paula Caroline Morais Duarte - 11/02/2025 10:45:55</t>
  </si>
  <si>
    <t>Paula Caroline Morais Duarte - 11/02/2025 10:45:56</t>
  </si>
  <si>
    <t>Paula Caroline Morais Duarte - 11/02/2025 10:45:58</t>
  </si>
  <si>
    <t>Paula Caroline Morais Duarte - 11/02/2025 10:46:00</t>
  </si>
  <si>
    <t>Paula Caroline Morais Duarte - 11/02/2025 10:46:01</t>
  </si>
  <si>
    <t>Paula Caroline Morais Duarte - 11/02/2025 10:46:03</t>
  </si>
  <si>
    <t>Paula Caroline Morais Duarte - 25/02/2025 09:28:56</t>
  </si>
  <si>
    <t>Paula Caroline Morais Duarte - 25/02/2025 09:28:57</t>
  </si>
  <si>
    <t>Paula Caroline Morais Duarte - 25/02/2025 09:28:58</t>
  </si>
  <si>
    <t>Paula Caroline Morais Duarte - 25/02/2025 09:28:59</t>
  </si>
  <si>
    <t>Alisson Airton Sobrinho - 07/03/2025 06:50:12</t>
  </si>
  <si>
    <t>Alisson Airton Sobrinho - 07/03/2025 06:50:13</t>
  </si>
  <si>
    <t>Alisson Airton Sobrinho - 07/03/2025 06:50:14</t>
  </si>
  <si>
    <t>Alisson Airton Sobrinho - 07/03/2025 06:50:15</t>
  </si>
  <si>
    <t>Base de Dados_Images/BC9214.Imagem do Equipamento-.125428.jpg</t>
  </si>
  <si>
    <t>Paula Caroline Morais Duarte - 29/01/2025 08:35:52</t>
  </si>
  <si>
    <t>Base de Dados_Images/BC9214.Imagem da Plaqueta do Motor-.125441.jpg</t>
  </si>
  <si>
    <t>Paula Caroline Morais Duarte - 29/01/2025 08:36:00</t>
  </si>
  <si>
    <t>BC9214 (Duplicado 2)</t>
  </si>
  <si>
    <t>Bba De Agua Tratada / Retrolavage</t>
  </si>
  <si>
    <t>Alisson Airton Sobrinho - 27/02/2025 13:32:20</t>
  </si>
  <si>
    <t>Alisson Airton Sobrinho - 27/02/2025 13:32:21</t>
  </si>
  <si>
    <t>Alisson Airton Sobrinho - 27/02/2025 13:32:23</t>
  </si>
  <si>
    <t>Alisson Airton Sobrinho - 27/02/2025 13:32:26</t>
  </si>
  <si>
    <t>Alisson Airton Sobrinho - 27/02/2025 13:32:27</t>
  </si>
  <si>
    <t>Alisson Airton Sobrinho - 27/02/2025 13:32:30</t>
  </si>
  <si>
    <t>Alisson Airton Sobrinho - 27/02/2025 13:32:31</t>
  </si>
  <si>
    <t>Alisson Airton Sobrinho - 27/02/2025 13:32:35</t>
  </si>
  <si>
    <t>Alisson Airton Sobrinho - 27/02/2025 13:32:36</t>
  </si>
  <si>
    <t>Alisson Airton Sobrinho - 27/02/2025 13:32:37</t>
  </si>
  <si>
    <t>Alisson Airton Sobrinho - 27/02/2025 13:32:39</t>
  </si>
  <si>
    <t>Alisson Airton Sobrinho - 27/02/2025 13:32:42</t>
  </si>
  <si>
    <t>Alisson Airton Sobrinho - 27/02/2025 13:32:43</t>
  </si>
  <si>
    <t>Alisson Airton Sobrinho - 27/02/2025 13:32:45</t>
  </si>
  <si>
    <t>Alisson Airton Sobrinho - 27/02/2025 13:32:47</t>
  </si>
  <si>
    <t>Alisson Airton Sobrinho - 27/02/2025 13:32:49</t>
  </si>
  <si>
    <t>Paula Caroline Morais Duarte - 03/03/2025 08:35:11</t>
  </si>
  <si>
    <t>Paula Caroline Morais Duarte - 03/03/2025 08:35:42</t>
  </si>
  <si>
    <t>Paula Caroline Morais Duarte - 03/03/2025 08:35:44</t>
  </si>
  <si>
    <t>Paula Caroline Morais Duarte - 03/03/2025 08:35:48</t>
  </si>
  <si>
    <t>Paula Caroline Morais Duarte - 03/03/2025 08:35:50</t>
  </si>
  <si>
    <t>Paula Caroline Morais Duarte - 03/03/2025 08:35:54</t>
  </si>
  <si>
    <t>Paula Caroline Morais Duarte - 03/03/2025 08:36:02</t>
  </si>
  <si>
    <t>Paula Caroline Morais Duarte - 03/03/2025 08:36:04</t>
  </si>
  <si>
    <t>Paula Caroline Morais Duarte - 03/03/2025 08:36:06</t>
  </si>
  <si>
    <t>Paula Caroline Morais Duarte - 03/03/2025 08:36:11</t>
  </si>
  <si>
    <t>Paula Caroline Morais Duarte - 03/03/2025 08:36:34</t>
  </si>
  <si>
    <t>Paula Caroline Morais Duarte - 03/03/2025 08:36:36</t>
  </si>
  <si>
    <t>Paula Caroline Morais Duarte - 03/03/2025 08:36:37</t>
  </si>
  <si>
    <t>Paula Caroline Morais Duarte - 03/03/2025 08:36:40</t>
  </si>
  <si>
    <t>Alisson Airton Sobrinho - 02/27/2025 13:32:13</t>
  </si>
  <si>
    <t>BC9215</t>
  </si>
  <si>
    <t>Paula Caroline Morais Duarte - 29/01/2025 08:38:25</t>
  </si>
  <si>
    <t>Paula Caroline Morais Duarte - 29/01/2025 08:38:27</t>
  </si>
  <si>
    <t>Paula Caroline Morais Duarte - 29/01/2025 08:38:33</t>
  </si>
  <si>
    <t>Paula Caroline Morais Duarte - 29/01/2025 08:38:31</t>
  </si>
  <si>
    <t>Paula Caroline Morais Duarte - 29/01/2025 08:38:41</t>
  </si>
  <si>
    <t>Paula Caroline Morais Duarte - 29/01/2025 08:38:43</t>
  </si>
  <si>
    <t>Paula Caroline Morais Duarte - 29/01/2025 08:38:49</t>
  </si>
  <si>
    <t>Paula Caroline Morais Duarte - 29/01/2025 08:38:54</t>
  </si>
  <si>
    <t>Paula Caroline Morais Duarte - 29/01/2025 08:38:56</t>
  </si>
  <si>
    <t>Paula Caroline Morais Duarte - 29/01/2025 08:38:58</t>
  </si>
  <si>
    <t>Paula Caroline Morais Duarte - 29/01/2025 08:38:59</t>
  </si>
  <si>
    <t>Paula Caroline Morais Duarte - 29/01/2025 08:39:01</t>
  </si>
  <si>
    <t>Paula Caroline Morais Duarte - 29/01/2025 08:39:02</t>
  </si>
  <si>
    <t>Paula Caroline Morais Duarte - 29/01/2025 08:39:03</t>
  </si>
  <si>
    <t>Paula Caroline Morais Duarte - 29/01/2025 08:39:05</t>
  </si>
  <si>
    <t>Rafael Roldão Rodrigues - 03/03/2025 11:45:40</t>
  </si>
  <si>
    <t>Rafael Roldão Rodrigues - 03/03/2025 11:45:41</t>
  </si>
  <si>
    <t>Rafael Roldão Rodrigues - 03/03/2025 11:45:42</t>
  </si>
  <si>
    <t>Rafael Roldão Rodrigues - 03/03/2025 11:45:43</t>
  </si>
  <si>
    <t>Rafael Roldão Rodrigues - 03/03/2025 11:45:45</t>
  </si>
  <si>
    <t>Rafael Roldão Rodrigues - 03/03/2025 11:45:46</t>
  </si>
  <si>
    <t>Rafael Roldão Rodrigues - 03/03/2025 11:45:54</t>
  </si>
  <si>
    <t>Rafael Roldão Rodrigues - 03/03/2025 11:45:55</t>
  </si>
  <si>
    <t>Rafael Roldão Rodrigues - 03/03/2025 11:45:56</t>
  </si>
  <si>
    <t>Rafael Roldão Rodrigues - 03/03/2025 11:45:57</t>
  </si>
  <si>
    <t>Alisson Airton Sobrinho - 07/03/2025 06:50:22</t>
  </si>
  <si>
    <t>Alisson Airton Sobrinho - 07/03/2025 06:50:21</t>
  </si>
  <si>
    <t>Alisson Airton Sobrinho - 07/03/2025 06:50:24</t>
  </si>
  <si>
    <t>Base de Dados_Images/BC9215.Imagem do Equipamento-.125730.jpg</t>
  </si>
  <si>
    <t>Paula Caroline Morais Duarte - 29/01/2025 08:38:14</t>
  </si>
  <si>
    <t>Base de Dados_Images/BC9215.Imagem da Plaqueta do Motor-.125730.jpg</t>
  </si>
  <si>
    <t>Paula Caroline Morais Duarte - 29/01/2025 08:38:20</t>
  </si>
  <si>
    <t>BC9216</t>
  </si>
  <si>
    <t>Sist Bba Torre Resfriamento Agua Alpin</t>
  </si>
  <si>
    <t>Paula Caroline Morais Duarte - 29/01/2025 08:37:26</t>
  </si>
  <si>
    <t>Paula Caroline Morais Duarte - 29/01/2025 08:37:27</t>
  </si>
  <si>
    <t>Paula Caroline Morais Duarte - 29/01/2025 08:37:29</t>
  </si>
  <si>
    <t>Paula Caroline Morais Duarte - 29/01/2025 08:37:30</t>
  </si>
  <si>
    <t>Paula Caroline Morais Duarte - 29/01/2025 08:37:31</t>
  </si>
  <si>
    <t>Paula Caroline Morais Duarte - 29/01/2025 08:37:32</t>
  </si>
  <si>
    <t>Paula Caroline Morais Duarte - 29/01/2025 08:37:34</t>
  </si>
  <si>
    <t>Paula Caroline Morais Duarte - 29/01/2025 08:37:35</t>
  </si>
  <si>
    <t>Paula Caroline Morais Duarte - 29/01/2025 08:37:36</t>
  </si>
  <si>
    <t>Paula Caroline Morais Duarte - 29/01/2025 08:37:38</t>
  </si>
  <si>
    <t>Paula Caroline Morais Duarte - 29/01/2025 08:37:42</t>
  </si>
  <si>
    <t>Paula Caroline Morais Duarte - 29/01/2025 08:37:43</t>
  </si>
  <si>
    <t>Paula Caroline Morais Duarte - 29/01/2025 08:37:45</t>
  </si>
  <si>
    <t>Paula Caroline Morais Duarte - 29/01/2025 08:37:50</t>
  </si>
  <si>
    <t>Paula Caroline Morais Duarte - 29/01/2025 08:37:48</t>
  </si>
  <si>
    <t>Paula Caroline Morais Duarte - 29/01/2025 08:37:49</t>
  </si>
  <si>
    <t>Rafael Roldão Rodrigues - 03/03/2025 11:46:24</t>
  </si>
  <si>
    <t>Rafael Roldão Rodrigues - 03/03/2025 11:46:25</t>
  </si>
  <si>
    <t>Rafael Roldão Rodrigues - 03/03/2025 11:46:26</t>
  </si>
  <si>
    <t>Rafael Roldão Rodrigues - 03/03/2025 11:46:27</t>
  </si>
  <si>
    <t>Rafael Roldão Rodrigues - 03/03/2025 11:46:29</t>
  </si>
  <si>
    <t>Rafael Roldão Rodrigues - 03/03/2025 11:46:30</t>
  </si>
  <si>
    <t>Rafael Roldão Rodrigues - 03/03/2025 11:46:36</t>
  </si>
  <si>
    <t>Rafael Roldão Rodrigues - 03/03/2025 11:46:37</t>
  </si>
  <si>
    <t>Rafael Roldão Rodrigues - 03/03/2025 11:46:38</t>
  </si>
  <si>
    <t>Rafael Roldão Rodrigues - 03/03/2025 11:46:39</t>
  </si>
  <si>
    <t>Alisson Airton Sobrinho - 07/03/2025 06:50:29</t>
  </si>
  <si>
    <t>Alisson Airton Sobrinho - 07/03/2025 06:50:28</t>
  </si>
  <si>
    <t>Alisson Airton Sobrinho - 07/03/2025 06:50:31</t>
  </si>
  <si>
    <t>Base de Dados_Images/BC9216.Imagem do Equipamento-.125601.jpg</t>
  </si>
  <si>
    <t>Paula Caroline Morais Duarte - 29/01/2025 08:36:55</t>
  </si>
  <si>
    <t>Base de Dados_Images/BC9216.Imagem da Plaqueta do Motor-.125601.jpg</t>
  </si>
  <si>
    <t>Paula Caroline Morais Duarte - 29/01/2025 08:37:01</t>
  </si>
  <si>
    <t>BC9217</t>
  </si>
  <si>
    <t>Bba N1 Torre Resf Fabrica N04</t>
  </si>
  <si>
    <t>Paula Caroline Morais Duarte - 24/01/2025 10:37:57</t>
  </si>
  <si>
    <t>Paula Caroline Morais Duarte - 24/01/2025 10:38:03</t>
  </si>
  <si>
    <t>Paula Caroline Morais Duarte - 24/01/2025 10:38:04</t>
  </si>
  <si>
    <t>Paula Caroline Morais Duarte - 24/01/2025 10:38:05</t>
  </si>
  <si>
    <t>Paula Caroline Morais Duarte - 24/01/2025 10:38:08</t>
  </si>
  <si>
    <t>Paula Caroline Morais Duarte - 24/01/2025 10:38:09</t>
  </si>
  <si>
    <t>Paula Caroline Morais Duarte - 24/01/2025 10:38:11</t>
  </si>
  <si>
    <t>Paula Caroline Morais Duarte - 24/01/2025 10:38:12</t>
  </si>
  <si>
    <t>Paula Caroline Morais Duarte - 24/01/2025 10:38:13</t>
  </si>
  <si>
    <t>Paula Caroline Morais Duarte - 24/01/2025 10:38:16</t>
  </si>
  <si>
    <t>Paula Caroline Morais Duarte - 24/01/2025 10:38:17</t>
  </si>
  <si>
    <t>Paula Caroline Morais Duarte - 24/01/2025 10:38:18</t>
  </si>
  <si>
    <t>Paula Caroline Morais Duarte - 24/01/2025 10:38:20</t>
  </si>
  <si>
    <t>Paula Caroline Morais Duarte - 24/01/2025 10:38:21</t>
  </si>
  <si>
    <t>Paula Caroline Morais Duarte - 24/01/2025 10:38:22</t>
  </si>
  <si>
    <t>Paula Caroline Morais Duarte - 24/01/2025 10:38:29</t>
  </si>
  <si>
    <t>Alisson Airton Sobrinho - 07/03/2025 09:14:24</t>
  </si>
  <si>
    <t>Alisson Airton Sobrinho - 07/03/2025 09:14:25</t>
  </si>
  <si>
    <t>Alisson Airton Sobrinho - 07/03/2025 09:14:26</t>
  </si>
  <si>
    <t>Alisson Airton Sobrinho - 07/03/2025 09:14:28</t>
  </si>
  <si>
    <t>Alisson Airton Sobrinho - 07/03/2025 09:14:32</t>
  </si>
  <si>
    <t>Alisson Airton Sobrinho - 07/03/2025 09:14:36</t>
  </si>
  <si>
    <t>Alisson Airton Sobrinho - 07/03/2025 09:14:37</t>
  </si>
  <si>
    <t>Alisson Airton Sobrinho - 07/03/2025 09:14:39</t>
  </si>
  <si>
    <t>Alisson Airton Sobrinho - 07/03/2025 09:14:43</t>
  </si>
  <si>
    <t>Alisson Airton Sobrinho - 07/03/2025 09:14:45</t>
  </si>
  <si>
    <t>Alisson Airton Sobrinho - 07/03/2025 09:14:46</t>
  </si>
  <si>
    <t>Alisson Airton Sobrinho - 07/03/2025 09:14:47</t>
  </si>
  <si>
    <t>Base de Dados_Images/BC9217.Imagem do Equipamento-.142917.jpg</t>
  </si>
  <si>
    <t>Paula Caroline Morais Duarte - 24/01/2025 10:37:34</t>
  </si>
  <si>
    <t>Base de Dados_Images/BC9217.Imagem da Plaqueta do Motor-.142917.jpg</t>
  </si>
  <si>
    <t>Paula Caroline Morais Duarte - 24/01/2025 10:37:48</t>
  </si>
  <si>
    <t>BC9218</t>
  </si>
  <si>
    <t>Bba N2 Torre Resf Fabrica N04</t>
  </si>
  <si>
    <t>Paula Caroline Morais Duarte - 24/01/2025 10:33:47</t>
  </si>
  <si>
    <t>Paula Caroline Morais Duarte - 24/01/2025 10:33:48</t>
  </si>
  <si>
    <t>Paula Caroline Morais Duarte - 24/01/2025 10:33:53</t>
  </si>
  <si>
    <t>Paula Caroline Morais Duarte - 24/01/2025 10:33:52</t>
  </si>
  <si>
    <t>Paula Caroline Morais Duarte - 24/01/2025 10:33:51</t>
  </si>
  <si>
    <t>Paula Caroline Morais Duarte - 24/01/2025 10:33:55</t>
  </si>
  <si>
    <t>Paula Caroline Morais Duarte - 24/01/2025 10:33:58</t>
  </si>
  <si>
    <t>Paula Caroline Morais Duarte - 24/01/2025 10:33:59</t>
  </si>
  <si>
    <t>Paula Caroline Morais Duarte - 24/01/2025 10:34:00</t>
  </si>
  <si>
    <t>Paula Caroline Morais Duarte - 24/01/2025 10:34:03</t>
  </si>
  <si>
    <t>Paula Caroline Morais Duarte - 24/01/2025 10:34:04</t>
  </si>
  <si>
    <t>Paula Caroline Morais Duarte - 24/01/2025 10:34:05</t>
  </si>
  <si>
    <t>Paula Caroline Morais Duarte - 24/01/2025 10:34:09</t>
  </si>
  <si>
    <t>Paula Caroline Morais Duarte - 24/01/2025 10:34:24</t>
  </si>
  <si>
    <t>Paula Caroline Morais Duarte - 24/01/2025 10:34:25</t>
  </si>
  <si>
    <t>Paula Caroline Morais Duarte - 24/01/2025 10:34:11</t>
  </si>
  <si>
    <t>Alisson Airton Sobrinho - 07/03/2025 09:14:54</t>
  </si>
  <si>
    <t>Alisson Airton Sobrinho - 07/03/2025 09:14:55</t>
  </si>
  <si>
    <t>Alisson Airton Sobrinho - 07/03/2025 09:14:57</t>
  </si>
  <si>
    <t>Alisson Airton Sobrinho - 07/03/2025 09:14:58</t>
  </si>
  <si>
    <t>Alisson Airton Sobrinho - 07/03/2025 09:15:02</t>
  </si>
  <si>
    <t>Alisson Airton Sobrinho - 07/03/2025 09:15:03</t>
  </si>
  <si>
    <t>Alisson Airton Sobrinho - 07/03/2025 09:15:05</t>
  </si>
  <si>
    <t>Alisson Airton Sobrinho - 07/03/2025 09:15:09</t>
  </si>
  <si>
    <t>Alisson Airton Sobrinho - 07/03/2025 09:15:10</t>
  </si>
  <si>
    <t>Alisson Airton Sobrinho - 07/03/2025 09:15:11</t>
  </si>
  <si>
    <t>Base de Dados_Images/BC9218.Imagem do Equipamento-.124827.jpg</t>
  </si>
  <si>
    <t>Paula Caroline Morais Duarte - 24/01/2025 10:33:23</t>
  </si>
  <si>
    <t>Base de Dados_Images/BC9218.Imagem da Plaqueta do Motor-.124827.jpg</t>
  </si>
  <si>
    <t>Paula Caroline Morais Duarte - 24/01/2025 10:33:37</t>
  </si>
  <si>
    <t>BC9220</t>
  </si>
  <si>
    <t>Bba N3 Reserva Torre Resf Fabr N0</t>
  </si>
  <si>
    <t>Paula Caroline Morais Duarte - 24/01/2025 10:39:29</t>
  </si>
  <si>
    <t>Paula Caroline Morais Duarte - 24/01/2025 10:39:30</t>
  </si>
  <si>
    <t>Paula Caroline Morais Duarte - 24/01/2025 10:39:34</t>
  </si>
  <si>
    <t>Paula Caroline Morais Duarte - 24/01/2025 10:39:35</t>
  </si>
  <si>
    <t>Paula Caroline Morais Duarte - 24/01/2025 10:39:36</t>
  </si>
  <si>
    <t>Paula Caroline Morais Duarte - 24/01/2025 10:39:37</t>
  </si>
  <si>
    <t>Paula Caroline Morais Duarte - 24/01/2025 10:39:43</t>
  </si>
  <si>
    <t>Paula Caroline Morais Duarte - 24/01/2025 10:39:40</t>
  </si>
  <si>
    <t>Paula Caroline Morais Duarte - 24/01/2025 10:39:41</t>
  </si>
  <si>
    <t>Paula Caroline Morais Duarte - 24/01/2025 10:39:46</t>
  </si>
  <si>
    <t>Paula Caroline Morais Duarte - 24/01/2025 10:39:47</t>
  </si>
  <si>
    <t>Paula Caroline Morais Duarte - 24/01/2025 10:39:48</t>
  </si>
  <si>
    <t>Paula Caroline Morais Duarte - 24/01/2025 10:39:50</t>
  </si>
  <si>
    <t>Paula Caroline Morais Duarte - 24/01/2025 10:39:51</t>
  </si>
  <si>
    <t>Paula Caroline Morais Duarte - 24/01/2025 10:39:55</t>
  </si>
  <si>
    <t>Paula Caroline Morais Duarte - 24/01/2025 10:39:53</t>
  </si>
  <si>
    <t>Alisson Airton Sobrinho - 07/03/2025 09:15:34</t>
  </si>
  <si>
    <t>Alisson Airton Sobrinho - 07/03/2025 09:15:35</t>
  </si>
  <si>
    <t>Alisson Airton Sobrinho - 07/03/2025 09:15:41</t>
  </si>
  <si>
    <t>Alisson Airton Sobrinho - 07/03/2025 09:15:38</t>
  </si>
  <si>
    <t>Alisson Airton Sobrinho - 07/03/2025 09:15:39</t>
  </si>
  <si>
    <t>Alisson Airton Sobrinho - 07/03/2025 09:15:52</t>
  </si>
  <si>
    <t>Alisson Airton Sobrinho - 07/03/2025 09:15:53</t>
  </si>
  <si>
    <t>Alisson Airton Sobrinho - 07/03/2025 09:15:54</t>
  </si>
  <si>
    <t>Alisson Airton Sobrinho - 07/03/2025 09:15:58</t>
  </si>
  <si>
    <t>Alisson Airton Sobrinho - 07/03/2025 09:15:59</t>
  </si>
  <si>
    <t>Alisson Airton Sobrinho - 07/03/2025 09:16:00</t>
  </si>
  <si>
    <t>Alisson Airton Sobrinho - 07/03/2025 09:16:02</t>
  </si>
  <si>
    <t>Base de Dados_Images/BC9220.Imagem do Equipamento-.143141.jpg</t>
  </si>
  <si>
    <t>Paula Caroline Morais Duarte - 24/01/2025 10:39:11</t>
  </si>
  <si>
    <t>Base de Dados_Images/BC9220.Imagem da Plaqueta do Motor-.143141.jpg</t>
  </si>
  <si>
    <t>Paula Caroline Morais Duarte - 24/01/2025 10:39:23</t>
  </si>
  <si>
    <t>BC9221</t>
  </si>
  <si>
    <t>Bba Nº 01 Agua Brandada Eta</t>
  </si>
  <si>
    <t>Paula Caroline Morais Duarte - 24/01/2025 09:44:24</t>
  </si>
  <si>
    <t>Paula Caroline Morais Duarte - 24/01/2025 09:44:26</t>
  </si>
  <si>
    <t>Paula Caroline Morais Duarte - 24/01/2025 09:44:28</t>
  </si>
  <si>
    <t>Paula Caroline Morais Duarte - 24/01/2025 09:44:31</t>
  </si>
  <si>
    <t>Paula Caroline Morais Duarte - 24/01/2025 09:44:33</t>
  </si>
  <si>
    <t>Paula Caroline Morais Duarte - 24/01/2025 09:44:35</t>
  </si>
  <si>
    <t>Paula Caroline Morais Duarte - 24/01/2025 09:44:38</t>
  </si>
  <si>
    <t>Paula Caroline Morais Duarte - 24/01/2025 09:44:40</t>
  </si>
  <si>
    <t>Paula Caroline Morais Duarte - 24/01/2025 09:44:42</t>
  </si>
  <si>
    <t>Paula Caroline Morais Duarte - 24/01/2025 09:44:44</t>
  </si>
  <si>
    <t>Paula Caroline Morais Duarte - 24/01/2025 09:44:46</t>
  </si>
  <si>
    <t>Paula Caroline Morais Duarte - 24/01/2025 09:44:48</t>
  </si>
  <si>
    <t>Paula Caroline Morais Duarte - 24/01/2025 09:44:55</t>
  </si>
  <si>
    <t>Paula Caroline Morais Duarte - 24/01/2025 09:45:29</t>
  </si>
  <si>
    <t>Paula Caroline Morais Duarte - 24/01/2025 09:45:41</t>
  </si>
  <si>
    <t>Paula Caroline Morais Duarte - 24/01/2025 09:45:43</t>
  </si>
  <si>
    <t>Paula Caroline Morais Duarte - 11/02/2025 10:45:02</t>
  </si>
  <si>
    <t>Paula Caroline Morais Duarte - 11/02/2025 10:45:03</t>
  </si>
  <si>
    <t>Paula Caroline Morais Duarte - 11/02/2025 10:45:05</t>
  </si>
  <si>
    <t>Paula Caroline Morais Duarte - 11/02/2025 10:45:07</t>
  </si>
  <si>
    <t>Paula Caroline Morais Duarte - 11/02/2025 10:45:08</t>
  </si>
  <si>
    <t>Paula Caroline Morais Duarte - 11/02/2025 10:45:09</t>
  </si>
  <si>
    <t>Paula Caroline Morais Duarte - 21/02/2025 15:27:34</t>
  </si>
  <si>
    <t>Paula Caroline Morais Duarte - 21/02/2025 15:27:35</t>
  </si>
  <si>
    <t>Paula Caroline Morais Duarte - 21/02/2025 15:27:36</t>
  </si>
  <si>
    <t>Paula Caroline Morais Duarte - 21/02/2025 15:27:38</t>
  </si>
  <si>
    <t>Paula Caroline Morais Duarte - 25/02/2025 09:30:00</t>
  </si>
  <si>
    <t>Paula Caroline Morais Duarte - 25/02/2025 09:30:04</t>
  </si>
  <si>
    <t>Paula Caroline Morais Duarte - 25/02/2025 09:30:02</t>
  </si>
  <si>
    <t>Paula Caroline Morais Duarte - 25/02/2025 09:30:03</t>
  </si>
  <si>
    <t>Base de Dados_Images/BC9221.Imagem do Equipamento-.175320.jpg</t>
  </si>
  <si>
    <t>Paula Caroline Morais Duarte - 24/01/2025 09:44:05</t>
  </si>
  <si>
    <t>Base de Dados_Images/BC9221.Imagem da Plaqueta do Motor-.175320.jpg</t>
  </si>
  <si>
    <t>Paula Caroline Morais Duarte - 24/01/2025 09:44:15</t>
  </si>
  <si>
    <t>BC9222</t>
  </si>
  <si>
    <t>Bba Agua Brandada Eta</t>
  </si>
  <si>
    <t>Paula Caroline Morais Duarte - 24/01/2025 09:42:44</t>
  </si>
  <si>
    <t>Paula Caroline Morais Duarte - 24/01/2025 09:42:45</t>
  </si>
  <si>
    <t>Paula Caroline Morais Duarte - 24/01/2025 09:42:48</t>
  </si>
  <si>
    <t>Paula Caroline Morais Duarte - 24/01/2025 09:42:50</t>
  </si>
  <si>
    <t>Paula Caroline Morais Duarte - 24/01/2025 09:42:53</t>
  </si>
  <si>
    <t>Paula Caroline Morais Duarte - 24/01/2025 09:42:54</t>
  </si>
  <si>
    <t>Paula Caroline Morais Duarte - 24/01/2025 09:42:56</t>
  </si>
  <si>
    <t>Paula Caroline Morais Duarte - 24/01/2025 09:42:58</t>
  </si>
  <si>
    <t>Paula Caroline Morais Duarte - 24/01/2025 09:43:06</t>
  </si>
  <si>
    <t>Paula Caroline Morais Duarte - 24/01/2025 09:43:03</t>
  </si>
  <si>
    <t>Paula Caroline Morais Duarte - 24/01/2025 09:43:08</t>
  </si>
  <si>
    <t>Paula Caroline Morais Duarte - 24/01/2025 09:43:09</t>
  </si>
  <si>
    <t>Paula Caroline Morais Duarte - 24/01/2025 09:43:11</t>
  </si>
  <si>
    <t>Paula Caroline Morais Duarte - 24/01/2025 09:43:14</t>
  </si>
  <si>
    <t>Paula Caroline Morais Duarte - 24/01/2025 09:43:16</t>
  </si>
  <si>
    <t>Paula Caroline Morais Duarte - 24/01/2025 09:43:18</t>
  </si>
  <si>
    <t>Paula Caroline Morais Duarte - 11/02/2025 10:46:20</t>
  </si>
  <si>
    <t>Paula Caroline Morais Duarte - 11/02/2025 10:46:21</t>
  </si>
  <si>
    <t>Paula Caroline Morais Duarte - 11/02/2025 10:46:24</t>
  </si>
  <si>
    <t>Paula Caroline Morais Duarte - 11/02/2025 10:46:25</t>
  </si>
  <si>
    <t>Paula Caroline Morais Duarte - 11/02/2025 10:46:27</t>
  </si>
  <si>
    <t>Paula Caroline Morais Duarte - 11/02/2025 10:46:28</t>
  </si>
  <si>
    <t>Paula Caroline Morais Duarte - 21/02/2025 15:27:52</t>
  </si>
  <si>
    <t>Paula Caroline Morais Duarte - 21/02/2025 15:27:53</t>
  </si>
  <si>
    <t>Paula Caroline Morais Duarte - 21/02/2025 15:27:54</t>
  </si>
  <si>
    <t>Paula Caroline Morais Duarte - 21/02/2025 15:27:56</t>
  </si>
  <si>
    <t>Paula Caroline Morais Duarte - 25/02/2025 09:30:23</t>
  </si>
  <si>
    <t>Paula Caroline Morais Duarte - 25/02/2025 09:30:24</t>
  </si>
  <si>
    <t>Paula Caroline Morais Duarte - 25/02/2025 09:30:25</t>
  </si>
  <si>
    <t>Paula Caroline Morais Duarte - 25/02/2025 09:30:26</t>
  </si>
  <si>
    <t>Base de Dados_Images/BC9222.Imagem do Equipamento-.143730.jpg</t>
  </si>
  <si>
    <t>Paula Caroline Morais Duarte - 24/01/2025 09:42:03</t>
  </si>
  <si>
    <t>Base de Dados_Images/BC9222.Imagem da Plaqueta do Motor-.143730.jpg</t>
  </si>
  <si>
    <t>Paula Caroline Morais Duarte - 24/01/2025 09:42:36</t>
  </si>
  <si>
    <t>E.T.A 1</t>
  </si>
  <si>
    <t>BC9223</t>
  </si>
  <si>
    <t>Bomba água tratada para fermentação</t>
  </si>
  <si>
    <t>Paula Caroline Morais Duarte - 21/01/2025 15:05:41</t>
  </si>
  <si>
    <t>Paula Caroline Morais Duarte - 21/01/2025 15:05:44</t>
  </si>
  <si>
    <t>Paula Caroline Morais Duarte - 21/01/2025 15:05:46</t>
  </si>
  <si>
    <t>Paula Caroline Morais Duarte - 21/01/2025 15:05:47</t>
  </si>
  <si>
    <t>Paula Caroline Morais Duarte - 21/01/2025 15:05:49</t>
  </si>
  <si>
    <t>Paula Caroline Morais Duarte - 21/01/2025 15:05:51</t>
  </si>
  <si>
    <t>Paula Caroline Morais Duarte - 21/01/2025 15:05:54</t>
  </si>
  <si>
    <t>Paula Caroline Morais Duarte - 21/01/2025 15:05:56</t>
  </si>
  <si>
    <t>Paula Caroline Morais Duarte - 21/01/2025 15:05:59</t>
  </si>
  <si>
    <t>Paula Caroline Morais Duarte - 21/01/2025 15:06:00</t>
  </si>
  <si>
    <t>Paula Caroline Morais Duarte - 21/01/2025 15:06:03</t>
  </si>
  <si>
    <t>Paula Caroline Morais Duarte - 21/01/2025 15:06:05</t>
  </si>
  <si>
    <t>Paula Caroline Morais Duarte - 21/01/2025 15:06:07</t>
  </si>
  <si>
    <t>Paula Caroline Morais Duarte - 21/01/2025 15:06:09</t>
  </si>
  <si>
    <t>Paula Caroline Morais Duarte - 21/01/2025 15:06:11</t>
  </si>
  <si>
    <t>Paula Caroline Morais Duarte - 21/01/2025 15:06:14</t>
  </si>
  <si>
    <t>Paula Caroline Morais Duarte - 29/01/2025 12:16:07</t>
  </si>
  <si>
    <t>Paula Caroline Morais Duarte - 29/01/2025 12:16:09</t>
  </si>
  <si>
    <t>Paula Caroline Morais Duarte - 29/01/2025 12:16:10</t>
  </si>
  <si>
    <t>Paula Caroline Morais Duarte - 29/01/2025 12:16:12</t>
  </si>
  <si>
    <t>Paula Caroline Morais Duarte - 29/01/2025 12:16:14</t>
  </si>
  <si>
    <t>Paula Caroline Morais Duarte - 29/01/2025 12:16:16</t>
  </si>
  <si>
    <t>Paula Caroline Morais Duarte - 03/02/2025 15:21:32</t>
  </si>
  <si>
    <t>Paula Caroline Morais Duarte - 03/02/2025 15:21:34</t>
  </si>
  <si>
    <t>Paula Caroline Morais Duarte - 03/02/2025 15:21:35</t>
  </si>
  <si>
    <t>Paula Caroline Morais Duarte - 03/02/2025 15:21:37</t>
  </si>
  <si>
    <t>Paula Caroline Morais Duarte - 17/02/2025 08:00:53</t>
  </si>
  <si>
    <t>Paula Caroline Morais Duarte - 17/02/2025 08:00:55</t>
  </si>
  <si>
    <t>Paula Caroline Morais Duarte - 17/02/2025 08:00:57</t>
  </si>
  <si>
    <t>Paula Caroline Morais Duarte - 17/02/2025 08:01:00</t>
  </si>
  <si>
    <t>Base de Dados_Images/BC9223.Imagem do Equipamento-.182750.jpg</t>
  </si>
  <si>
    <t>Paula Caroline Morais Duarte - 21/01/2025 15:04:52</t>
  </si>
  <si>
    <t>Base de Dados_Images/BC9223.Imagem da Plaqueta do Motor-.182750.jpg</t>
  </si>
  <si>
    <t>Paula Caroline Morais Duarte - 21/01/2025 15:05:31</t>
  </si>
  <si>
    <t>BC9224</t>
  </si>
  <si>
    <t>Bba De Agua Tratada P/ Cubas</t>
  </si>
  <si>
    <t>Paula Caroline Morais Duarte - 21/01/2025 15:01:25</t>
  </si>
  <si>
    <t>Paula Caroline Morais Duarte - 21/01/2025 15:01:26</t>
  </si>
  <si>
    <t>Paula Caroline Morais Duarte - 21/01/2025 15:02:13</t>
  </si>
  <si>
    <t>Paula Caroline Morais Duarte - 21/01/2025 15:02:08</t>
  </si>
  <si>
    <t>Paula Caroline Morais Duarte - 21/01/2025 15:02:10</t>
  </si>
  <si>
    <t>Paula Caroline Morais Duarte - 21/01/2025 15:02:19</t>
  </si>
  <si>
    <t>Paula Caroline Morais Duarte - 21/01/2025 15:03:28</t>
  </si>
  <si>
    <t>Paula Caroline Morais Duarte - 21/01/2025 15:03:23</t>
  </si>
  <si>
    <t>Paula Caroline Morais Duarte - 21/01/2025 15:03:43</t>
  </si>
  <si>
    <t>Paula Caroline Morais Duarte - 21/01/2025 15:03:45</t>
  </si>
  <si>
    <t>Paula Caroline Morais Duarte - 21/01/2025 15:03:47</t>
  </si>
  <si>
    <t>Paula Caroline Morais Duarte - 21/01/2025 15:03:49</t>
  </si>
  <si>
    <t>Paula Caroline Morais Duarte - 21/01/2025 15:03:51</t>
  </si>
  <si>
    <t>Paula Caroline Morais Duarte - 21/01/2025 15:03:53</t>
  </si>
  <si>
    <t>Paula Caroline Morais Duarte - 21/01/2025 15:04:00</t>
  </si>
  <si>
    <t>Paula Caroline Morais Duarte - 21/01/2025 15:03:58</t>
  </si>
  <si>
    <t>Paula Caroline Morais Duarte - 29/01/2025 12:16:31</t>
  </si>
  <si>
    <t>Paula Caroline Morais Duarte - 29/01/2025 12:16:33</t>
  </si>
  <si>
    <t>Paula Caroline Morais Duarte - 29/01/2025 12:16:35</t>
  </si>
  <si>
    <t>Paula Caroline Morais Duarte - 29/01/2025 12:16:36</t>
  </si>
  <si>
    <t>Paula Caroline Morais Duarte - 29/01/2025 12:16:38</t>
  </si>
  <si>
    <t>Paula Caroline Morais Duarte - 29/01/2025 12:16:39</t>
  </si>
  <si>
    <t>Paula Caroline Morais Duarte - 03/02/2025 15:21:13</t>
  </si>
  <si>
    <t>Paula Caroline Morais Duarte - 03/02/2025 15:21:14</t>
  </si>
  <si>
    <t>Paula Caroline Morais Duarte - 03/02/2025 15:21:16</t>
  </si>
  <si>
    <t>Paula Caroline Morais Duarte - 03/02/2025 15:21:17</t>
  </si>
  <si>
    <t>Paula Caroline Morais Duarte - 17/02/2025 08:01:19</t>
  </si>
  <si>
    <t>Paula Caroline Morais Duarte - 17/02/2025 08:01:20</t>
  </si>
  <si>
    <t>Paula Caroline Morais Duarte - 17/02/2025 08:01:21</t>
  </si>
  <si>
    <t>Paula Caroline Morais Duarte - 17/02/2025 08:01:22</t>
  </si>
  <si>
    <t>Base de Dados_Images/BC9224.Imagem do Equipamento-.182635.jpg</t>
  </si>
  <si>
    <t>Paula Caroline Morais Duarte - 21/01/2025 15:00:58</t>
  </si>
  <si>
    <t>Base de Dados_Images/BC9224.Imagem da Plaqueta do Motor-.182635.jpg</t>
  </si>
  <si>
    <t>Paula Caroline Morais Duarte - 21/01/2025 15:01:12</t>
  </si>
  <si>
    <t>BC9225</t>
  </si>
  <si>
    <t>Bba Lavagem De Cana</t>
  </si>
  <si>
    <t>Paula Caroline Morais Duarte - 24/01/2025 10:47:08</t>
  </si>
  <si>
    <t>Paula Caroline Morais Duarte - 24/01/2025 10:47:09</t>
  </si>
  <si>
    <t>Paula Caroline Morais Duarte - 24/01/2025 10:47:11</t>
  </si>
  <si>
    <t>Paula Caroline Morais Duarte - 24/01/2025 10:47:14</t>
  </si>
  <si>
    <t>Paula Caroline Morais Duarte - 24/01/2025 10:47:15</t>
  </si>
  <si>
    <t>Paula Caroline Morais Duarte - 24/01/2025 10:47:17</t>
  </si>
  <si>
    <t>Paula Caroline Morais Duarte - 24/01/2025 10:47:19</t>
  </si>
  <si>
    <t>Paula Caroline Morais Duarte - 24/01/2025 10:47:22</t>
  </si>
  <si>
    <t>Paula Caroline Morais Duarte - 24/01/2025 10:47:23</t>
  </si>
  <si>
    <t>Paula Caroline Morais Duarte - 24/01/2025 10:47:25</t>
  </si>
  <si>
    <t>Paula Caroline Morais Duarte - 24/01/2025 10:47:31</t>
  </si>
  <si>
    <t>Paula Caroline Morais Duarte - 24/01/2025 10:47:28</t>
  </si>
  <si>
    <t>Paula Caroline Morais Duarte - 24/01/2025 10:47:30</t>
  </si>
  <si>
    <t>Paula Caroline Morais Duarte - 24/01/2025 10:47:38</t>
  </si>
  <si>
    <t>Paula Caroline Morais Duarte - 24/01/2025 10:47:36</t>
  </si>
  <si>
    <t>Paula Caroline Morais Duarte - 24/01/2025 10:47:40</t>
  </si>
  <si>
    <t>Paula Caroline Morais Duarte - 10/02/2025 15:49:27</t>
  </si>
  <si>
    <t>Paula Caroline Morais Duarte - 10/02/2025 15:49:28</t>
  </si>
  <si>
    <t>Paula Caroline Morais Duarte - 10/02/2025 15:49:29</t>
  </si>
  <si>
    <t>Paula Caroline Morais Duarte - 10/02/2025 15:49:30</t>
  </si>
  <si>
    <t>Paula Caroline Morais Duarte - 10/02/2025 15:49:33</t>
  </si>
  <si>
    <t>Paula Caroline Morais Duarte - 10/02/2025 15:49:32</t>
  </si>
  <si>
    <t>Paula Caroline Morais Duarte - 23/02/2025 16:55:53</t>
  </si>
  <si>
    <t>Paula Caroline Morais Duarte - 23/02/2025 16:55:54</t>
  </si>
  <si>
    <t>Paula Caroline Morais Duarte - 23/02/2025 16:55:55</t>
  </si>
  <si>
    <t>Paula Caroline Morais Duarte - 23/02/2025 16:56:53</t>
  </si>
  <si>
    <t>Alisson Airton Sobrinho - 07/03/2025 09:48:00</t>
  </si>
  <si>
    <t>Alisson Airton Sobrinho - 07/03/2025 09:48:01</t>
  </si>
  <si>
    <t>Alisson Airton Sobrinho - 07/03/2025 09:48:02</t>
  </si>
  <si>
    <t>Alisson Airton Sobrinho - 07/03/2025 09:48:03</t>
  </si>
  <si>
    <t>Base de Dados_Images/BC9225.Imagem do Equipamento-.143820.jpg</t>
  </si>
  <si>
    <t>Paula Caroline Morais Duarte - 24/01/2025 10:46:34</t>
  </si>
  <si>
    <t>Base de Dados_Images/BC9225.Imagem da Plaqueta do Motor-.143820.jpg</t>
  </si>
  <si>
    <t>Paula Caroline Morais Duarte - 24/01/2025 10:47:02</t>
  </si>
  <si>
    <t>E.T.A 2</t>
  </si>
  <si>
    <t>BC9226</t>
  </si>
  <si>
    <t>Bba Agua Brandada Eta 2</t>
  </si>
  <si>
    <t>Paula Caroline Morais Duarte - 24/01/2025 09:17:44</t>
  </si>
  <si>
    <t>Paula Caroline Morais Duarte - 24/01/2025 09:17:46</t>
  </si>
  <si>
    <t>Paula Caroline Morais Duarte - 24/01/2025 09:17:47</t>
  </si>
  <si>
    <t>Paula Caroline Morais Duarte - 24/01/2025 09:17:50</t>
  </si>
  <si>
    <t>Paula Caroline Morais Duarte - 24/01/2025 09:17:51</t>
  </si>
  <si>
    <t>Paula Caroline Morais Duarte - 24/01/2025 09:17:53</t>
  </si>
  <si>
    <t>Paula Caroline Morais Duarte - 24/01/2025 09:17:54</t>
  </si>
  <si>
    <t>Paula Caroline Morais Duarte - 24/01/2025 09:19:01</t>
  </si>
  <si>
    <t>Paula Caroline Morais Duarte - 24/01/2025 09:20:23</t>
  </si>
  <si>
    <t>Paula Caroline Morais Duarte - 24/01/2025 09:20:21</t>
  </si>
  <si>
    <t>Paula Caroline Morais Duarte - 24/01/2025 09:20:29</t>
  </si>
  <si>
    <t>Paula Caroline Morais Duarte - 24/01/2025 09:21:08</t>
  </si>
  <si>
    <t>Paula Caroline Morais Duarte - 24/01/2025 09:21:37</t>
  </si>
  <si>
    <t>Paula Caroline Morais Duarte - 24/01/2025 09:21:39</t>
  </si>
  <si>
    <t>Paula Caroline Morais Duarte - 24/01/2025 09:21:42</t>
  </si>
  <si>
    <t>Paula Caroline Morais Duarte - 24/01/2025 09:21:45</t>
  </si>
  <si>
    <t>Paula Caroline Morais Duarte - 10/02/2025 15:07:08</t>
  </si>
  <si>
    <t>Paula Caroline Morais Duarte - 10/02/2025 15:07:09</t>
  </si>
  <si>
    <t>Paula Caroline Morais Duarte - 10/02/2025 15:07:10</t>
  </si>
  <si>
    <t>Paula Caroline Morais Duarte - 10/02/2025 15:07:11</t>
  </si>
  <si>
    <t>Paula Caroline Morais Duarte - 10/02/2025 15:07:12</t>
  </si>
  <si>
    <t>Paula Caroline Morais Duarte - 10/02/2025 15:07:14</t>
  </si>
  <si>
    <t>Paula Caroline Morais Duarte - 21/02/2025 15:24:45</t>
  </si>
  <si>
    <t>Paula Caroline Morais Duarte - 21/02/2025 15:24:46</t>
  </si>
  <si>
    <t>Paula Caroline Morais Duarte - 21/02/2025 15:24:48</t>
  </si>
  <si>
    <t>Paula Caroline Morais Duarte - 21/02/2025 15:24:52</t>
  </si>
  <si>
    <t>Paula Caroline Morais Duarte - 25/02/2025 09:39:07</t>
  </si>
  <si>
    <t>Paula Caroline Morais Duarte - 25/02/2025 09:39:08</t>
  </si>
  <si>
    <t>Paula Caroline Morais Duarte - 25/02/2025 09:39:09</t>
  </si>
  <si>
    <t>Base de Dados_Images/BC9226.Imagem do Equipamento-.143207.jpg</t>
  </si>
  <si>
    <t>Paula Caroline Morais Duarte - 24/01/2025 09:16:15</t>
  </si>
  <si>
    <t>Base de Dados_Images/BC9226.Imagem da Plaqueta do Motor-.143207.jpg</t>
  </si>
  <si>
    <t>Paula Caroline Morais Duarte - 24/01/2025 09:16:30</t>
  </si>
  <si>
    <t>BC9227</t>
  </si>
  <si>
    <t>Bba 01 Agua Brandada Eta 2</t>
  </si>
  <si>
    <t>Paula Caroline Morais Duarte - 24/01/2025 09:29:18</t>
  </si>
  <si>
    <t>Paula Caroline Morais Duarte - 24/01/2025 09:29:23</t>
  </si>
  <si>
    <t>Paula Caroline Morais Duarte - 24/01/2025 09:29:25</t>
  </si>
  <si>
    <t>Paula Caroline Morais Duarte - 24/01/2025 09:29:27</t>
  </si>
  <si>
    <t>Paula Caroline Morais Duarte - 24/01/2025 09:29:32</t>
  </si>
  <si>
    <t>Paula Caroline Morais Duarte - 24/01/2025 09:29:38</t>
  </si>
  <si>
    <t>Paula Caroline Morais Duarte - 24/01/2025 09:29:47</t>
  </si>
  <si>
    <t>Paula Caroline Morais Duarte - 24/01/2025 09:30:37</t>
  </si>
  <si>
    <t>Paula Caroline Morais Duarte - 24/01/2025 09:30:34</t>
  </si>
  <si>
    <t>Paula Caroline Morais Duarte - 24/01/2025 09:30:32</t>
  </si>
  <si>
    <t>Paula Caroline Morais Duarte - 24/01/2025 09:30:28</t>
  </si>
  <si>
    <t>Paula Caroline Morais Duarte - 24/01/2025 09:30:26</t>
  </si>
  <si>
    <t>Paula Caroline Morais Duarte - 24/01/2025 09:30:17</t>
  </si>
  <si>
    <t>Paula Caroline Morais Duarte - 24/01/2025 09:30:15</t>
  </si>
  <si>
    <t>Paula Caroline Morais Duarte - 24/01/2025 09:30:13</t>
  </si>
  <si>
    <t>Paula Caroline Morais Duarte - 24/01/2025 09:30:10</t>
  </si>
  <si>
    <t>Paula Caroline Morais Duarte - 10/02/2025 15:06:19</t>
  </si>
  <si>
    <t>Paula Caroline Morais Duarte - 10/02/2025 15:06:20</t>
  </si>
  <si>
    <t>Paula Caroline Morais Duarte - 10/02/2025 15:06:21</t>
  </si>
  <si>
    <t>Paula Caroline Morais Duarte - 10/02/2025 15:06:23</t>
  </si>
  <si>
    <t>Paula Caroline Morais Duarte - 10/02/2025 15:06:24</t>
  </si>
  <si>
    <t>Paula Caroline Morais Duarte - 10/02/2025 15:06:26</t>
  </si>
  <si>
    <t>Paula Caroline Morais Duarte - 21/02/2025 15:26:08</t>
  </si>
  <si>
    <t>Paula Caroline Morais Duarte - 21/02/2025 15:26:09</t>
  </si>
  <si>
    <t>Paula Caroline Morais Duarte - 21/02/2025 15:26:11</t>
  </si>
  <si>
    <t>Paula Caroline Morais Duarte - 21/02/2025 15:26:13</t>
  </si>
  <si>
    <t>Paula Caroline Morais Duarte - 25/02/2025 09:38:41</t>
  </si>
  <si>
    <t>Paula Caroline Morais Duarte - 25/02/2025 09:38:42</t>
  </si>
  <si>
    <t>Paula Caroline Morais Duarte - 25/02/2025 09:38:43</t>
  </si>
  <si>
    <t>Paula Caroline Morais Duarte - 25/02/2025 09:38:44</t>
  </si>
  <si>
    <t>Base de Dados_Images/BC9227.Imagem do Equipamento-.143332.jpg</t>
  </si>
  <si>
    <t>Paula Caroline Morais Duarte - 24/01/2025 09:23:44</t>
  </si>
  <si>
    <t>Base de Dados_Images/BC9227.Imagem da Plaqueta do Motor-.143332.jpg</t>
  </si>
  <si>
    <t>Paula Caroline Morais Duarte - 24/01/2025 09:23:59</t>
  </si>
  <si>
    <t>BC9228</t>
  </si>
  <si>
    <t>Bba 02 Agua Brandada Eta 2</t>
  </si>
  <si>
    <t>Paula Caroline Morais Duarte - 24/01/2025 09:32:01</t>
  </si>
  <si>
    <t>Paula Caroline Morais Duarte - 24/01/2025 09:32:03</t>
  </si>
  <si>
    <t>Paula Caroline Morais Duarte - 24/01/2025 09:32:06</t>
  </si>
  <si>
    <t>Paula Caroline Morais Duarte - 24/01/2025 09:32:10</t>
  </si>
  <si>
    <t>Paula Caroline Morais Duarte - 24/01/2025 09:32:12</t>
  </si>
  <si>
    <t>Paula Caroline Morais Duarte - 24/01/2025 09:32:17</t>
  </si>
  <si>
    <t>Paula Caroline Morais Duarte - 24/01/2025 09:32:18</t>
  </si>
  <si>
    <t>Paula Caroline Morais Duarte - 24/01/2025 09:32:23</t>
  </si>
  <si>
    <t>Paula Caroline Morais Duarte - 24/01/2025 09:32:25</t>
  </si>
  <si>
    <t>Paula Caroline Morais Duarte - 24/01/2025 09:32:27</t>
  </si>
  <si>
    <t>Paula Caroline Morais Duarte - 24/01/2025 09:32:29</t>
  </si>
  <si>
    <t>Paula Caroline Morais Duarte - 24/01/2025 09:32:32</t>
  </si>
  <si>
    <t>Paula Caroline Morais Duarte - 24/01/2025 09:32:33</t>
  </si>
  <si>
    <t>Paula Caroline Morais Duarte - 24/01/2025 09:32:39</t>
  </si>
  <si>
    <t>Paula Caroline Morais Duarte - 24/01/2025 09:32:37</t>
  </si>
  <si>
    <t>Paula Caroline Morais Duarte - 24/01/2025 09:32:40</t>
  </si>
  <si>
    <t>Paula Caroline Morais Duarte - 10/02/2025 15:06:50</t>
  </si>
  <si>
    <t>Paula Caroline Morais Duarte - 10/02/2025 15:06:49</t>
  </si>
  <si>
    <t>Paula Caroline Morais Duarte - 10/02/2025 15:06:48</t>
  </si>
  <si>
    <t>Paula Caroline Morais Duarte - 10/02/2025 15:06:47</t>
  </si>
  <si>
    <t>Paula Caroline Morais Duarte - 10/02/2025 15:06:53</t>
  </si>
  <si>
    <t>Paula Caroline Morais Duarte - 10/02/2025 15:06:52</t>
  </si>
  <si>
    <t>Paula Caroline Morais Duarte - 21/02/2025 15:25:27</t>
  </si>
  <si>
    <t>Paula Caroline Morais Duarte - 21/02/2025 15:25:29</t>
  </si>
  <si>
    <t>Paula Caroline Morais Duarte - 21/02/2025 15:25:30</t>
  </si>
  <si>
    <t>Paula Caroline Morais Duarte - 21/02/2025 15:25:32</t>
  </si>
  <si>
    <t>Paula Caroline Morais Duarte - 25/02/2025 09:38:51</t>
  </si>
  <si>
    <t>Paula Caroline Morais Duarte - 25/02/2025 09:38:52</t>
  </si>
  <si>
    <t>Paula Caroline Morais Duarte - 25/02/2025 09:38:53</t>
  </si>
  <si>
    <t>Paula Caroline Morais Duarte - 25/02/2025 09:38:54</t>
  </si>
  <si>
    <t>Base de Dados_Images/BC9228.Imagem do Equipamento-.143505.jpg</t>
  </si>
  <si>
    <t>Paula Caroline Morais Duarte - 24/01/2025 09:31:36</t>
  </si>
  <si>
    <t>Base de Dados_Images/BC9228.Imagem da Plaqueta do Motor-.143505.jpg</t>
  </si>
  <si>
    <t>Paula Caroline Morais Duarte - 24/01/2025 09:31:47</t>
  </si>
  <si>
    <t>BC9229</t>
  </si>
  <si>
    <t>Bba Agua P/ Eta 2</t>
  </si>
  <si>
    <t>Paula Caroline Morais Duarte - 21/01/2025 15:14:09</t>
  </si>
  <si>
    <t>Paula Caroline Morais Duarte - 21/01/2025 15:14:11</t>
  </si>
  <si>
    <t>Paula Caroline Morais Duarte - 21/01/2025 15:14:12</t>
  </si>
  <si>
    <t>Paula Caroline Morais Duarte - 21/01/2025 15:14:15</t>
  </si>
  <si>
    <t>Paula Caroline Morais Duarte - 21/01/2025 15:14:16</t>
  </si>
  <si>
    <t>Paula Caroline Morais Duarte - 21/01/2025 15:14:18</t>
  </si>
  <si>
    <t>Paula Caroline Morais Duarte - 21/01/2025 15:14:19</t>
  </si>
  <si>
    <t>Paula Caroline Morais Duarte - 21/01/2025 15:14:20</t>
  </si>
  <si>
    <t>Paula Caroline Morais Duarte - 21/01/2025 15:14:24</t>
  </si>
  <si>
    <t>Paula Caroline Morais Duarte - 21/01/2025 15:14:25</t>
  </si>
  <si>
    <t>Paula Caroline Morais Duarte - 21/01/2025 15:14:27</t>
  </si>
  <si>
    <t>Paula Caroline Morais Duarte - 21/01/2025 15:14:28</t>
  </si>
  <si>
    <t>Paula Caroline Morais Duarte - 21/01/2025 15:14:29</t>
  </si>
  <si>
    <t>Paula Caroline Morais Duarte - 21/01/2025 15:14:31</t>
  </si>
  <si>
    <t>Paula Caroline Morais Duarte - 21/01/2025 15:14:37</t>
  </si>
  <si>
    <t>Paula Caroline Morais Duarte - 21/01/2025 15:14:39</t>
  </si>
  <si>
    <t>Paula Caroline Morais Duarte - 29/01/2025 12:19:30</t>
  </si>
  <si>
    <t>Paula Caroline Morais Duarte - 29/01/2025 12:19:31</t>
  </si>
  <si>
    <t>Paula Caroline Morais Duarte - 29/01/2025 12:19:33</t>
  </si>
  <si>
    <t>Paula Caroline Morais Duarte - 29/01/2025 12:19:35</t>
  </si>
  <si>
    <t>Paula Caroline Morais Duarte - 29/01/2025 12:19:36</t>
  </si>
  <si>
    <t>Paula Caroline Morais Duarte - 29/01/2025 12:19:38</t>
  </si>
  <si>
    <t>Paula Caroline Morais Duarte - 11/02/2025 11:54:08</t>
  </si>
  <si>
    <t>Paula Caroline Morais Duarte - 11/02/2025 11:54:09</t>
  </si>
  <si>
    <t>Paula Caroline Morais Duarte - 11/02/2025 11:54:11</t>
  </si>
  <si>
    <t>Paula Caroline Morais Duarte - 11/02/2025 11:54:13</t>
  </si>
  <si>
    <t>Paula Caroline Morais Duarte - 11/02/2025 11:54:18</t>
  </si>
  <si>
    <t>Paula Caroline Morais Duarte - 11/02/2025 11:54:19</t>
  </si>
  <si>
    <t>Paula Caroline Morais Duarte - 11/02/2025 11:54:20</t>
  </si>
  <si>
    <t>Paula Caroline Morais Duarte - 11/02/2025 11:54:22</t>
  </si>
  <si>
    <t>Paula Caroline Morais Duarte - 11/02/2025 11:54:49</t>
  </si>
  <si>
    <t>Base de Dados_Images/BC9229.Imagem do Equipamento-.150328.jpg</t>
  </si>
  <si>
    <t>Paula Caroline Morais Duarte - 11/02/2025 11:54:39</t>
  </si>
  <si>
    <t>Base de Dados_Images/BC9229.Imagem da Plaqueta do Motor-.150335.jpg</t>
  </si>
  <si>
    <t>BC9230</t>
  </si>
  <si>
    <t>Bba De Agua Para Selos Mecanicos</t>
  </si>
  <si>
    <t>Paula Caroline Morais Duarte - 24/01/2025 09:35:50</t>
  </si>
  <si>
    <t>Paula Caroline Morais Duarte - 24/01/2025 09:35:52</t>
  </si>
  <si>
    <t>Paula Caroline Morais Duarte - 24/01/2025 09:35:53</t>
  </si>
  <si>
    <t>Paula Caroline Morais Duarte - 24/01/2025 09:36:50</t>
  </si>
  <si>
    <t>Paula Caroline Morais Duarte - 24/01/2025 09:36:53</t>
  </si>
  <si>
    <t>Paula Caroline Morais Duarte - 24/01/2025 09:36:56</t>
  </si>
  <si>
    <t>Paula Caroline Morais Duarte - 24/01/2025 09:36:58</t>
  </si>
  <si>
    <t>Paula Caroline Morais Duarte - 24/01/2025 09:37:00</t>
  </si>
  <si>
    <t>Paula Caroline Morais Duarte - 24/01/2025 09:37:02</t>
  </si>
  <si>
    <t>Paula Caroline Morais Duarte - 24/01/2025 09:37:07</t>
  </si>
  <si>
    <t>Paula Caroline Morais Duarte - 24/01/2025 09:40:19</t>
  </si>
  <si>
    <t>Paula Caroline Morais Duarte - 24/01/2025 09:40:21</t>
  </si>
  <si>
    <t>Paula Caroline Morais Duarte - 24/01/2025 09:40:22</t>
  </si>
  <si>
    <t>Paula Caroline Morais Duarte - 24/01/2025 09:40:28</t>
  </si>
  <si>
    <t>Paula Caroline Morais Duarte - 24/01/2025 09:40:25</t>
  </si>
  <si>
    <t>Paula Caroline Morais Duarte - 24/01/2025 09:40:27</t>
  </si>
  <si>
    <t>Paula Caroline Morais Duarte - 11/02/2025 10:46:54</t>
  </si>
  <si>
    <t>Paula Caroline Morais Duarte - 11/02/2025 10:46:56</t>
  </si>
  <si>
    <t>Paula Caroline Morais Duarte - 11/02/2025 10:46:57</t>
  </si>
  <si>
    <t>Paula Caroline Morais Duarte - 11/02/2025 10:47:05</t>
  </si>
  <si>
    <t>Paula Caroline Morais Duarte - 11/02/2025 10:47:04</t>
  </si>
  <si>
    <t>Paula Caroline Morais Duarte - 11/02/2025 10:47:09</t>
  </si>
  <si>
    <t>Paula Caroline Morais Duarte - 21/02/2025 15:27:12</t>
  </si>
  <si>
    <t>Paula Caroline Morais Duarte - 21/02/2025 15:27:14</t>
  </si>
  <si>
    <t>Paula Caroline Morais Duarte - 21/02/2025 15:27:15</t>
  </si>
  <si>
    <t>Paula Caroline Morais Duarte - 21/02/2025 15:27:17</t>
  </si>
  <si>
    <t>Paula Caroline Morais Duarte - 25/02/2025 09:30:41</t>
  </si>
  <si>
    <t>Paula Caroline Morais Duarte - 25/02/2025 09:30:42</t>
  </si>
  <si>
    <t>Paula Caroline Morais Duarte - 25/02/2025 09:30:44</t>
  </si>
  <si>
    <t>Base de Dados_Images/BC9230.Imagem do Equipamento-.143618.jpg</t>
  </si>
  <si>
    <t>Paula Caroline Morais Duarte - 24/01/2025 09:34:54</t>
  </si>
  <si>
    <t>Base de Dados_Images/BC9230.Imagem da Plaqueta do Motor-.143618.jpg</t>
  </si>
  <si>
    <t>Paula Caroline Morais Duarte - 24/01/2025 09:35:44</t>
  </si>
  <si>
    <t>BC9231</t>
  </si>
  <si>
    <t>Bba De Agua Potavel P/ Fabrica</t>
  </si>
  <si>
    <t>Paula Caroline Morais Duarte - 21/01/2025 14:56:10</t>
  </si>
  <si>
    <t>Paula Caroline Morais Duarte - 21/01/2025 14:56:22</t>
  </si>
  <si>
    <t>Paula Caroline Morais Duarte - 21/01/2025 14:56:25</t>
  </si>
  <si>
    <t>Paula Caroline Morais Duarte - 21/01/2025 14:56:30</t>
  </si>
  <si>
    <t>Paula Caroline Morais Duarte - 21/01/2025 14:56:36</t>
  </si>
  <si>
    <t>Paula Caroline Morais Duarte - 21/01/2025 14:56:38</t>
  </si>
  <si>
    <t>Paula Caroline Morais Duarte - 21/01/2025 14:56:43</t>
  </si>
  <si>
    <t>Paula Caroline Morais Duarte - 21/01/2025 14:56:49</t>
  </si>
  <si>
    <t>Paula Caroline Morais Duarte - 21/01/2025 14:57:03</t>
  </si>
  <si>
    <t>Paula Caroline Morais Duarte - 21/01/2025 14:57:04</t>
  </si>
  <si>
    <t>Paula Caroline Morais Duarte - 21/01/2025 14:57:09</t>
  </si>
  <si>
    <t>Paula Caroline Morais Duarte - 21/01/2025 14:57:22</t>
  </si>
  <si>
    <t>Paula Caroline Morais Duarte - 21/01/2025 14:57:23</t>
  </si>
  <si>
    <t>Paula Caroline Morais Duarte - 21/01/2025 14:57:25</t>
  </si>
  <si>
    <t>Paula Caroline Morais Duarte - 21/01/2025 14:57:42</t>
  </si>
  <si>
    <t>Paula Caroline Morais Duarte - 21/01/2025 14:57:43</t>
  </si>
  <si>
    <t>Paula Caroline Morais Duarte - 28/01/2025 15:44:06</t>
  </si>
  <si>
    <t>Paula Caroline Morais Duarte - 28/01/2025 15:44:07</t>
  </si>
  <si>
    <t>Paula Caroline Morais Duarte - 28/01/2025 15:44:08</t>
  </si>
  <si>
    <t>Paula Caroline Morais Duarte - 28/01/2025 15:44:09</t>
  </si>
  <si>
    <t>Paula Caroline Morais Duarte - 28/01/2025 15:44:10</t>
  </si>
  <si>
    <t>Paula Caroline Morais Duarte - 28/01/2025 15:44:12</t>
  </si>
  <si>
    <t>Paula Caroline Morais Duarte - 03/02/2025 15:14:01</t>
  </si>
  <si>
    <t>Paula Caroline Morais Duarte - 03/02/2025 15:14:05</t>
  </si>
  <si>
    <t>Paula Caroline Morais Duarte - 03/02/2025 15:14:09</t>
  </si>
  <si>
    <t>Paula Caroline Morais Duarte - 03/02/2025 15:14:10</t>
  </si>
  <si>
    <t>Paula Caroline Morais Duarte - 11/02/2025 11:55:27</t>
  </si>
  <si>
    <t>Paula Caroline Morais Duarte - 11/02/2025 11:55:29</t>
  </si>
  <si>
    <t>Paula Caroline Morais Duarte - 11/02/2025 11:55:30</t>
  </si>
  <si>
    <t>Paula Caroline Morais Duarte - 11/02/2025 11:55:31</t>
  </si>
  <si>
    <t>Base de Dados_Images/BC9231.Imagem do Equipamento-.182529.jpg</t>
  </si>
  <si>
    <t>Paula Caroline Morais Duarte - 21/01/2025 14:55:20</t>
  </si>
  <si>
    <t>Base de Dados_Images/BC9231.Imagem da Plaqueta do Motor-.182529.jpg</t>
  </si>
  <si>
    <t>Paula Caroline Morais Duarte - 21/01/2025 14:55:41</t>
  </si>
  <si>
    <t>BC9232</t>
  </si>
  <si>
    <t>Bomba Submersa 1 Captacao De Agua</t>
  </si>
  <si>
    <t>Paula Caroline Morais Duarte - 28/01/2025 14:31:18</t>
  </si>
  <si>
    <t>Paula Caroline Morais Duarte - 28/01/2025 14:31:20</t>
  </si>
  <si>
    <t>Paula Caroline Morais Duarte - 28/01/2025 14:31:22</t>
  </si>
  <si>
    <t>Paula Caroline Morais Duarte - 28/01/2025 14:31:23</t>
  </si>
  <si>
    <t>Paula Caroline Morais Duarte - 28/01/2025 14:31:26</t>
  </si>
  <si>
    <t>Paula Caroline Morais Duarte - 28/01/2025 14:31:30</t>
  </si>
  <si>
    <t>Paula Caroline Morais Duarte - 28/01/2025 14:31:32</t>
  </si>
  <si>
    <t>Paula Caroline Morais Duarte - 28/01/2025 14:31:34</t>
  </si>
  <si>
    <t>Paula Caroline Morais Duarte - 28/01/2025 14:31:36</t>
  </si>
  <si>
    <t>Paula Caroline Morais Duarte - 28/01/2025 14:31:38</t>
  </si>
  <si>
    <t>Paula Caroline Morais Duarte - 28/01/2025 14:31:41</t>
  </si>
  <si>
    <t>Paula Caroline Morais Duarte - 28/01/2025 14:31:44</t>
  </si>
  <si>
    <t>Paula Caroline Morais Duarte - 28/01/2025 14:31:46</t>
  </si>
  <si>
    <t>Paula Caroline Morais Duarte - 28/01/2025 14:31:51</t>
  </si>
  <si>
    <t>Paula Caroline Morais Duarte - 28/01/2025 14:31:48</t>
  </si>
  <si>
    <t>Paula Caroline Morais Duarte - 28/01/2025 14:31:53</t>
  </si>
  <si>
    <t>Paula Caroline Morais Duarte - 30/01/2025 15:46:49</t>
  </si>
  <si>
    <t>Paula Caroline Morais Duarte - 30/01/2025 15:46:51</t>
  </si>
  <si>
    <t>Paula Caroline Morais Duarte - 30/01/2025 15:46:52</t>
  </si>
  <si>
    <t>Paula Caroline Morais Duarte - 30/01/2025 15:46:54</t>
  </si>
  <si>
    <t>Paula Caroline Morais Duarte - 30/01/2025 15:46:55</t>
  </si>
  <si>
    <t>Paula Caroline Morais Duarte - 30/01/2025 15:46:57</t>
  </si>
  <si>
    <t>Paula Caroline Morais Duarte - 11/02/2025 12:16:33</t>
  </si>
  <si>
    <t>Paula Caroline Morais Duarte - 11/02/2025 12:16:35</t>
  </si>
  <si>
    <t>Paula Caroline Morais Duarte - 11/02/2025 12:16:36</t>
  </si>
  <si>
    <t>Paula Caroline Morais Duarte - 11/02/2025 12:16:38</t>
  </si>
  <si>
    <t>Paula Caroline Morais Duarte - 11/02/2025 12:16:43</t>
  </si>
  <si>
    <t>Paula Caroline Morais Duarte - 11/02/2025 12:16:45</t>
  </si>
  <si>
    <t>Paula Caroline Morais Duarte - 11/02/2025 12:16:50</t>
  </si>
  <si>
    <t>Paula Caroline Morais Duarte - 11/02/2025 12:16:48</t>
  </si>
  <si>
    <t>Base de Dados_Images/BC9232.Imagem do Equipamento-.174436.jpg</t>
  </si>
  <si>
    <t>Paula Caroline Morais Duarte - 28/01/2025 14:31:09</t>
  </si>
  <si>
    <t>BC9233</t>
  </si>
  <si>
    <t>Bomba Submersa 2 Captacao De Agua</t>
  </si>
  <si>
    <t>Paula Caroline Morais Duarte - 30/01/2025 14:01:08</t>
  </si>
  <si>
    <t>Paula Caroline Morais Duarte - 30/01/2025 14:01:09</t>
  </si>
  <si>
    <t>Paula Caroline Morais Duarte - 30/01/2025 14:01:14</t>
  </si>
  <si>
    <t>Paula Caroline Morais Duarte - 30/01/2025 14:01:16</t>
  </si>
  <si>
    <t>Paula Caroline Morais Duarte - 30/01/2025 14:01:17</t>
  </si>
  <si>
    <t>Paula Caroline Morais Duarte - 30/01/2025 14:01:18</t>
  </si>
  <si>
    <t>Paula Caroline Morais Duarte - 30/01/2025 14:01:20</t>
  </si>
  <si>
    <t>Paula Caroline Morais Duarte - 30/01/2025 14:01:21</t>
  </si>
  <si>
    <t>Paula Caroline Morais Duarte - 30/01/2025 14:01:22</t>
  </si>
  <si>
    <t>Paula Caroline Morais Duarte - 30/01/2025 14:01:23</t>
  </si>
  <si>
    <t>Paula Caroline Morais Duarte - 30/01/2025 14:01:25</t>
  </si>
  <si>
    <t>Paula Caroline Morais Duarte - 30/01/2025 14:01:27</t>
  </si>
  <si>
    <t>Paula Caroline Morais Duarte - 30/01/2025 14:01:30</t>
  </si>
  <si>
    <t>Paula Caroline Morais Duarte - 30/01/2025 14:01:32</t>
  </si>
  <si>
    <t>Paula Caroline Morais Duarte - 17/02/2025 11:21:54</t>
  </si>
  <si>
    <t>Paula Caroline Morais Duarte - 17/02/2025 11:21:55</t>
  </si>
  <si>
    <t>Paula Caroline Morais Duarte - 17/02/2025 11:21:56</t>
  </si>
  <si>
    <t>Paula Caroline Morais Duarte - 17/02/2025 11:21:59</t>
  </si>
  <si>
    <t>Paula Caroline Morais Duarte - 17/02/2025 11:22:01</t>
  </si>
  <si>
    <t>Paula Caroline Morais Duarte - 17/02/2025 11:22:02</t>
  </si>
  <si>
    <t>Paula Caroline Morais Duarte - 23/02/2025 16:39:34</t>
  </si>
  <si>
    <t>Paula Caroline Morais Duarte - 23/02/2025 16:39:36</t>
  </si>
  <si>
    <t>Paula Caroline Morais Duarte - 23/02/2025 16:39:37</t>
  </si>
  <si>
    <t>Paula Caroline Morais Duarte - 23/02/2025 16:39:39</t>
  </si>
  <si>
    <t>Alisson Airton Sobrinho - 10/03/2025 11:29:19</t>
  </si>
  <si>
    <t>Alisson Airton Sobrinho - 10/03/2025 11:29:20</t>
  </si>
  <si>
    <t>Alisson Airton Sobrinho - 10/03/2025 11:29:21</t>
  </si>
  <si>
    <t>Base de Dados_Images/BC9233.Imagem do Equipamento-.113459.jpg</t>
  </si>
  <si>
    <t>Paula Caroline Morais Duarte - 31/01/2025 08:34:53</t>
  </si>
  <si>
    <t>BC9234</t>
  </si>
  <si>
    <t>Bomba Submersa 3 Poco Artesiano</t>
  </si>
  <si>
    <t>Paula Caroline Morais Duarte - 30/01/2025 14:03:46</t>
  </si>
  <si>
    <t>Paula Caroline Morais Duarte - 30/01/2025 14:03:48</t>
  </si>
  <si>
    <t>Paula Caroline Morais Duarte - 30/01/2025 14:03:49</t>
  </si>
  <si>
    <t>Paula Caroline Morais Duarte - 30/01/2025 14:03:51</t>
  </si>
  <si>
    <t>Paula Caroline Morais Duarte - 30/01/2025 14:03:53</t>
  </si>
  <si>
    <t>Paula Caroline Morais Duarte - 30/01/2025 14:03:55</t>
  </si>
  <si>
    <t>Paula Caroline Morais Duarte - 30/01/2025 14:03:57</t>
  </si>
  <si>
    <t>Paula Caroline Morais Duarte - 30/01/2025 14:04:03</t>
  </si>
  <si>
    <t>Paula Caroline Morais Duarte - 30/01/2025 14:04:05</t>
  </si>
  <si>
    <t>Paula Caroline Morais Duarte - 30/01/2025 14:04:08</t>
  </si>
  <si>
    <t>Paula Caroline Morais Duarte - 30/01/2025 14:04:12</t>
  </si>
  <si>
    <t>Paula Caroline Morais Duarte - 30/01/2025 14:04:14</t>
  </si>
  <si>
    <t>Paula Caroline Morais Duarte - 30/01/2025 14:04:16</t>
  </si>
  <si>
    <t>Paula Caroline Morais Duarte - 30/01/2025 14:04:22</t>
  </si>
  <si>
    <t>Paula Caroline Morais Duarte - 30/01/2025 14:04:27</t>
  </si>
  <si>
    <t>Paula Caroline Morais Duarte - 30/01/2025 14:04:30</t>
  </si>
  <si>
    <t>Paula Caroline Morais Duarte - 30/01/2025 14:05:04</t>
  </si>
  <si>
    <t>Paula Caroline Morais Duarte - 30/01/2025 14:05:06</t>
  </si>
  <si>
    <t>Paula Caroline Morais Duarte - 30/01/2025 14:05:08</t>
  </si>
  <si>
    <t>Paula Caroline Morais Duarte - 30/01/2025 14:05:09</t>
  </si>
  <si>
    <t>Paula Caroline Morais Duarte - 30/01/2025 14:05:11</t>
  </si>
  <si>
    <t>Paula Caroline Morais Duarte - 30/01/2025 14:05:12</t>
  </si>
  <si>
    <t>Paula Caroline Morais Duarte - 04/02/2025 11:48:37</t>
  </si>
  <si>
    <t>Paula Caroline Morais Duarte - 04/02/2025 11:48:40</t>
  </si>
  <si>
    <t>Paula Caroline Morais Duarte - 04/02/2025 11:48:41</t>
  </si>
  <si>
    <t>Paula Caroline Morais Duarte - 04/02/2025 11:48:43</t>
  </si>
  <si>
    <t>Paula Caroline Morais Duarte - 11/02/2025 12:03:05</t>
  </si>
  <si>
    <t>Paula Caroline Morais Duarte - 11/02/2025 12:03:06</t>
  </si>
  <si>
    <t>Paula Caroline Morais Duarte - 11/02/2025 12:03:07</t>
  </si>
  <si>
    <t>Paula Caroline Morais Duarte - 11/02/2025 12:03:09</t>
  </si>
  <si>
    <t>Base de Dados_Images/BC9234.Imagem do Equipamento-.134342.jpg</t>
  </si>
  <si>
    <t>Paula Caroline Morais Duarte - 31/01/2025 10:05:32</t>
  </si>
  <si>
    <t>BC9235</t>
  </si>
  <si>
    <t>Bomba Sabo Decantador 01 - Ete</t>
  </si>
  <si>
    <t>Paula Caroline Morais Duarte - 30/01/2025 14:39:31</t>
  </si>
  <si>
    <t>Paula Caroline Morais Duarte - 30/01/2025 14:39:43</t>
  </si>
  <si>
    <t>Paula Caroline Morais Duarte - 30/01/2025 14:39:40</t>
  </si>
  <si>
    <t>Paula Caroline Morais Duarte - 30/01/2025 14:39:48</t>
  </si>
  <si>
    <t>Paula Caroline Morais Duarte - 30/01/2025 14:39:53</t>
  </si>
  <si>
    <t>Paula Caroline Morais Duarte - 30/01/2025 14:40:21</t>
  </si>
  <si>
    <t>Paula Caroline Morais Duarte - 30/01/2025 14:39:55</t>
  </si>
  <si>
    <t>Paula Caroline Morais Duarte - 30/01/2025 14:39:56</t>
  </si>
  <si>
    <t>Paula Caroline Morais Duarte - 30/01/2025 14:40:16</t>
  </si>
  <si>
    <t>Paula Caroline Morais Duarte - 30/01/2025 14:40:14</t>
  </si>
  <si>
    <t>Paula Caroline Morais Duarte - 30/01/2025 14:40:09</t>
  </si>
  <si>
    <t>Paula Caroline Morais Duarte - 30/01/2025 14:40:07</t>
  </si>
  <si>
    <t>Paula Caroline Morais Duarte - 30/01/2025 14:40:05</t>
  </si>
  <si>
    <t>Paula Caroline Morais Duarte - 30/01/2025 14:40:04</t>
  </si>
  <si>
    <t>Paula Caroline Morais Duarte - 30/01/2025 14:40:02</t>
  </si>
  <si>
    <t>Paula Caroline Morais Duarte - 30/01/2025 14:40:00</t>
  </si>
  <si>
    <t>Paula Caroline Morais Duarte - 11/02/2025 12:01:53</t>
  </si>
  <si>
    <t>Paula Caroline Morais Duarte - 11/02/2025 12:01:55</t>
  </si>
  <si>
    <t>Paula Caroline Morais Duarte - 11/02/2025 12:01:56</t>
  </si>
  <si>
    <t>Paula Caroline Morais Duarte - 11/02/2025 12:02:00</t>
  </si>
  <si>
    <t>Paula Caroline Morais Duarte - 11/02/2025 12:02:01</t>
  </si>
  <si>
    <t>Paula Caroline Morais Duarte - 11/02/2025 12:02:02</t>
  </si>
  <si>
    <t>Paula Caroline Morais Duarte - 11/02/2025 12:02:07</t>
  </si>
  <si>
    <t>Paula Caroline Morais Duarte - 11/02/2025 12:02:08</t>
  </si>
  <si>
    <t>Paula Caroline Morais Duarte - 11/02/2025 12:02:10</t>
  </si>
  <si>
    <t>Paula Caroline Morais Duarte - 11/02/2025 12:02:41</t>
  </si>
  <si>
    <t>Paula Caroline Morais Duarte - 11/02/2025 12:02:48</t>
  </si>
  <si>
    <t>Paula Caroline Morais Duarte - 11/02/2025 12:02:49</t>
  </si>
  <si>
    <t>Paula Caroline Morais Duarte - 11/02/2025 12:02:51</t>
  </si>
  <si>
    <t>Paula Caroline Morais Duarte - 11/02/2025 12:02:52</t>
  </si>
  <si>
    <t>Base de Dados_Images/BC9235.Imagem do Equipamento-.175548.jpg</t>
  </si>
  <si>
    <t>Paula Caroline Morais Duarte - 30/01/2025 14:41:14</t>
  </si>
  <si>
    <t>BC9236</t>
  </si>
  <si>
    <t>Bomba Sabo Decantador 02 - Ete</t>
  </si>
  <si>
    <t>Paula Caroline Morais Duarte - 30/01/2025 14:41:33</t>
  </si>
  <si>
    <t>Paula Caroline Morais Duarte - 30/01/2025 14:41:37</t>
  </si>
  <si>
    <t>Paula Caroline Morais Duarte - 30/01/2025 14:41:39</t>
  </si>
  <si>
    <t>Paula Caroline Morais Duarte - 30/01/2025 14:41:42</t>
  </si>
  <si>
    <t>Paula Caroline Morais Duarte - 30/01/2025 14:41:43</t>
  </si>
  <si>
    <t>Paula Caroline Morais Duarte - 30/01/2025 14:41:46</t>
  </si>
  <si>
    <t>Paula Caroline Morais Duarte - 30/01/2025 14:41:50</t>
  </si>
  <si>
    <t>Paula Caroline Morais Duarte - 30/01/2025 14:41:52</t>
  </si>
  <si>
    <t>Paula Caroline Morais Duarte - 30/01/2025 14:41:57</t>
  </si>
  <si>
    <t>Paula Caroline Morais Duarte - 30/01/2025 14:41:59</t>
  </si>
  <si>
    <t>Paula Caroline Morais Duarte - 30/01/2025 14:42:01</t>
  </si>
  <si>
    <t>Paula Caroline Morais Duarte - 30/01/2025 14:42:03</t>
  </si>
  <si>
    <t>Paula Caroline Morais Duarte - 30/01/2025 14:42:06</t>
  </si>
  <si>
    <t>Paula Caroline Morais Duarte - 30/01/2025 14:42:08</t>
  </si>
  <si>
    <t>Paula Caroline Morais Duarte - 30/01/2025 14:42:10</t>
  </si>
  <si>
    <t>Paula Caroline Morais Duarte - 30/01/2025 14:42:12</t>
  </si>
  <si>
    <t>Paula Caroline Morais Duarte - 11/02/2025 11:58:08</t>
  </si>
  <si>
    <t>Paula Caroline Morais Duarte - 11/02/2025 11:58:09</t>
  </si>
  <si>
    <t>Paula Caroline Morais Duarte - 11/02/2025 11:58:11</t>
  </si>
  <si>
    <t>Paula Caroline Morais Duarte - 11/02/2025 11:58:13</t>
  </si>
  <si>
    <t>Paula Caroline Morais Duarte - 11/02/2025 11:58:14</t>
  </si>
  <si>
    <t>Paula Caroline Morais Duarte - 11/02/2025 11:58:16</t>
  </si>
  <si>
    <t>Paula Caroline Morais Duarte - 11/02/2025 11:58:22</t>
  </si>
  <si>
    <t>Paula Caroline Morais Duarte - 11/02/2025 11:58:24</t>
  </si>
  <si>
    <t>Paula Caroline Morais Duarte - 11/02/2025 11:58:25</t>
  </si>
  <si>
    <t>Paula Caroline Morais Duarte - 11/02/2025 11:58:28</t>
  </si>
  <si>
    <t>Paula Caroline Morais Duarte - 11/02/2025 11:58:33</t>
  </si>
  <si>
    <t>Paula Caroline Morais Duarte - 11/02/2025 11:58:34</t>
  </si>
  <si>
    <t>Paula Caroline Morais Duarte - 11/02/2025 11:58:35</t>
  </si>
  <si>
    <t>Paula Caroline Morais Duarte - 11/02/2025 11:58:37</t>
  </si>
  <si>
    <t>Base de Dados_Images/BC9236.Imagem do Equipamento-.175848.jpg</t>
  </si>
  <si>
    <t>Paula Caroline Morais Duarte - 30/01/2025 14:46:12</t>
  </si>
  <si>
    <t>BC9237</t>
  </si>
  <si>
    <t>Bomba Caixa Sedimentacao - Ete</t>
  </si>
  <si>
    <t>Paula Caroline Morais Duarte - 30/01/2025 14:44:05</t>
  </si>
  <si>
    <t>Paula Caroline Morais Duarte - 30/01/2025 14:44:08</t>
  </si>
  <si>
    <t>Paula Caroline Morais Duarte - 30/01/2025 14:44:09</t>
  </si>
  <si>
    <t>Paula Caroline Morais Duarte - 30/01/2025 14:44:11</t>
  </si>
  <si>
    <t>Paula Caroline Morais Duarte - 30/01/2025 14:44:13</t>
  </si>
  <si>
    <t>Paula Caroline Morais Duarte - 30/01/2025 14:44:14</t>
  </si>
  <si>
    <t>Paula Caroline Morais Duarte - 30/01/2025 14:44:16</t>
  </si>
  <si>
    <t>Paula Caroline Morais Duarte - 30/01/2025 14:44:22</t>
  </si>
  <si>
    <t>Paula Caroline Morais Duarte - 30/01/2025 14:44:24</t>
  </si>
  <si>
    <t>Paula Caroline Morais Duarte - 30/01/2025 14:44:26</t>
  </si>
  <si>
    <t>Paula Caroline Morais Duarte - 30/01/2025 14:44:32</t>
  </si>
  <si>
    <t>Paula Caroline Morais Duarte - 30/01/2025 14:44:37</t>
  </si>
  <si>
    <t>Paula Caroline Morais Duarte - 30/01/2025 14:44:36</t>
  </si>
  <si>
    <t>Paula Caroline Morais Duarte - 30/01/2025 14:44:40</t>
  </si>
  <si>
    <t>Paula Caroline Morais Duarte - 30/01/2025 14:44:42</t>
  </si>
  <si>
    <t>Paula Caroline Morais Duarte - 30/01/2025 14:44:43</t>
  </si>
  <si>
    <t>Matheus César Azevedo Neto - 31/01/2025 09:08:11</t>
  </si>
  <si>
    <t>Paula Caroline Morais Duarte - 11/02/2025 11:56:57</t>
  </si>
  <si>
    <t>Matheus César Azevedo Neto - 03/02/2025 13:44:51</t>
  </si>
  <si>
    <t>Paula Caroline Morais Duarte - 11/02/2025 11:56:53</t>
  </si>
  <si>
    <t>Matheus César Azevedo Neto - 03/02/2025 13:44:54</t>
  </si>
  <si>
    <t>Matheus César Azevedo Neto - 03/02/2025 13:45:01</t>
  </si>
  <si>
    <t>Paula Caroline Morais Duarte - 11/02/2025 11:59:09</t>
  </si>
  <si>
    <t>Paula Caroline Morais Duarte - 11/02/2025 11:59:10</t>
  </si>
  <si>
    <t>Paula Caroline Morais Duarte - 11/02/2025 11:59:11</t>
  </si>
  <si>
    <t>Paula Caroline Morais Duarte - 11/02/2025 11:59:13</t>
  </si>
  <si>
    <t>Paula Caroline Morais Duarte - 11/02/2025 11:59:18</t>
  </si>
  <si>
    <t>Paula Caroline Morais Duarte - 11/02/2025 11:59:20</t>
  </si>
  <si>
    <t>Paula Caroline Morais Duarte - 11/02/2025 11:59:22</t>
  </si>
  <si>
    <t>Paula Caroline Morais Duarte - 11/02/2025 11:59:27</t>
  </si>
  <si>
    <t>Base de Dados_Images/BC9237.Imagem do Equipamento-.175704.jpg</t>
  </si>
  <si>
    <t>Paula Caroline Morais Duarte - 30/01/2025 14:43:36</t>
  </si>
  <si>
    <t>Base de Dados_Images/BC9237.Imagem da Plaqueta do Motor-.175712.jpg</t>
  </si>
  <si>
    <t>Paula Caroline Morais Duarte - 30/01/2025 14:43:51</t>
  </si>
  <si>
    <t>BC9238</t>
  </si>
  <si>
    <t>Bba N5 Reserva Torre Resf Fabr N04</t>
  </si>
  <si>
    <t>Paula Caroline Morais Duarte - 24/01/2025 10:40:53</t>
  </si>
  <si>
    <t>Paula Caroline Morais Duarte - 24/01/2025 10:40:54</t>
  </si>
  <si>
    <t>Paula Caroline Morais Duarte - 24/01/2025 10:40:56</t>
  </si>
  <si>
    <t>Paula Caroline Morais Duarte - 24/01/2025 10:40:59</t>
  </si>
  <si>
    <t>Paula Caroline Morais Duarte - 24/01/2025 10:41:00</t>
  </si>
  <si>
    <t>Paula Caroline Morais Duarte - 24/01/2025 10:41:01</t>
  </si>
  <si>
    <t>Paula Caroline Morais Duarte - 24/01/2025 10:41:02</t>
  </si>
  <si>
    <t>Paula Caroline Morais Duarte - 24/01/2025 10:41:05</t>
  </si>
  <si>
    <t>Paula Caroline Morais Duarte - 24/01/2025 10:41:06</t>
  </si>
  <si>
    <t>Paula Caroline Morais Duarte - 24/01/2025 10:41:12</t>
  </si>
  <si>
    <t>Paula Caroline Morais Duarte - 24/01/2025 10:41:10</t>
  </si>
  <si>
    <t>Paula Caroline Morais Duarte - 24/01/2025 10:41:11</t>
  </si>
  <si>
    <t>Paula Caroline Morais Duarte - 24/01/2025 10:41:15</t>
  </si>
  <si>
    <t>Paula Caroline Morais Duarte - 24/01/2025 10:41:17</t>
  </si>
  <si>
    <t>Paula Caroline Morais Duarte - 24/01/2025 10:41:21</t>
  </si>
  <si>
    <t>Paula Caroline Morais Duarte - 24/01/2025 10:41:23</t>
  </si>
  <si>
    <t>Alisson Airton Sobrinho - 07/03/2025 09:16:08</t>
  </si>
  <si>
    <t>Alisson Airton Sobrinho - 07/03/2025 09:16:09</t>
  </si>
  <si>
    <t>Alisson Airton Sobrinho - 07/03/2025 09:16:10</t>
  </si>
  <si>
    <t>Alisson Airton Sobrinho - 07/03/2025 09:16:12</t>
  </si>
  <si>
    <t>Alisson Airton Sobrinho - 07/03/2025 09:16:13</t>
  </si>
  <si>
    <t>Alisson Airton Sobrinho - 07/03/2025 09:16:17</t>
  </si>
  <si>
    <t>Alisson Airton Sobrinho - 07/03/2025 09:16:18</t>
  </si>
  <si>
    <t>Alisson Airton Sobrinho - 07/03/2025 09:16:20</t>
  </si>
  <si>
    <t>Alisson Airton Sobrinho - 07/03/2025 09:16:25</t>
  </si>
  <si>
    <t>Alisson Airton Sobrinho - 07/03/2025 09:16:28</t>
  </si>
  <si>
    <t>Alisson Airton Sobrinho - 07/03/2025 09:16:26</t>
  </si>
  <si>
    <t>Alisson Airton Sobrinho - 07/03/2025 09:16:27</t>
  </si>
  <si>
    <t>Base de Dados_Images/BC9238.Imagem do Equipamento-.143314.jpg</t>
  </si>
  <si>
    <t>Paula Caroline Morais Duarte - 24/01/2025 10:40:23</t>
  </si>
  <si>
    <t>Base de Dados_Images/BC9238.Imagem da Plaqueta do Motor-.143314.jpg</t>
  </si>
  <si>
    <t>Paula Caroline Morais Duarte - 24/01/2025 10:40:38</t>
  </si>
  <si>
    <t>BC9601</t>
  </si>
  <si>
    <t>Bba Do Combate A Incendio</t>
  </si>
  <si>
    <t>Paula Caroline Morais Duarte - 30/01/2025 15:59:24</t>
  </si>
  <si>
    <t>Paula Caroline Morais Duarte - 30/01/2025 15:59:26</t>
  </si>
  <si>
    <t>Paula Caroline Morais Duarte - 30/01/2025 15:59:28</t>
  </si>
  <si>
    <t>Paula Caroline Morais Duarte - 30/01/2025 15:59:30</t>
  </si>
  <si>
    <t>Paula Caroline Morais Duarte - 30/01/2025 15:59:33</t>
  </si>
  <si>
    <t>Paula Caroline Morais Duarte - 30/01/2025 15:59:35</t>
  </si>
  <si>
    <t>Paula Caroline Morais Duarte - 30/01/2025 15:59:38</t>
  </si>
  <si>
    <t>Paula Caroline Morais Duarte - 30/01/2025 15:59:39</t>
  </si>
  <si>
    <t>Paula Caroline Morais Duarte - 30/01/2025 15:59:42</t>
  </si>
  <si>
    <t>Paula Caroline Morais Duarte - 30/01/2025 15:59:44</t>
  </si>
  <si>
    <t>Paula Caroline Morais Duarte - 30/01/2025 15:59:46</t>
  </si>
  <si>
    <t>Paula Caroline Morais Duarte - 30/01/2025 15:59:48</t>
  </si>
  <si>
    <t>Paula Caroline Morais Duarte - 30/01/2025 15:59:50</t>
  </si>
  <si>
    <t>Paula Caroline Morais Duarte - 30/01/2025 15:59:53</t>
  </si>
  <si>
    <t>Paula Caroline Morais Duarte - 30/01/2025 15:59:55</t>
  </si>
  <si>
    <t>Paula Caroline Morais Duarte - 30/01/2025 15:59:57</t>
  </si>
  <si>
    <t>Paula Caroline Morais Duarte - 30/01/2025 16:00:46</t>
  </si>
  <si>
    <t>Paula Caroline Morais Duarte - 30/01/2025 16:00:47</t>
  </si>
  <si>
    <t>Paula Caroline Morais Duarte - 30/01/2025 16:00:49</t>
  </si>
  <si>
    <t>Paula Caroline Morais Duarte - 30/01/2025 16:00:51</t>
  </si>
  <si>
    <t>Paula Caroline Morais Duarte - 30/01/2025 16:00:53</t>
  </si>
  <si>
    <t>Paula Caroline Morais Duarte - 30/01/2025 16:00:54</t>
  </si>
  <si>
    <t>Paula Caroline Morais Duarte - 04/02/2025 11:49:56</t>
  </si>
  <si>
    <t>Paula Caroline Morais Duarte - 04/02/2025 11:49:57</t>
  </si>
  <si>
    <t>Paula Caroline Morais Duarte - 04/02/2025 11:49:59</t>
  </si>
  <si>
    <t>Paula Caroline Morais Duarte - 04/02/2025 11:50:01</t>
  </si>
  <si>
    <t>Paula Caroline Morais Duarte - 11/02/2025 11:55:32</t>
  </si>
  <si>
    <t>Paula Caroline Morais Duarte - 11/02/2025 11:55:33</t>
  </si>
  <si>
    <t>Paula Caroline Morais Duarte - 11/02/2025 11:55:34</t>
  </si>
  <si>
    <t>Paula Caroline Morais Duarte - 11/02/2025 11:55:36</t>
  </si>
  <si>
    <t>Base de Dados_Images/BC9601.Imagem do Equipamento-.190230.jpg</t>
  </si>
  <si>
    <t>Paula Caroline Morais Duarte - 30/01/2025 16:00:18</t>
  </si>
  <si>
    <t>Base de Dados_Images/BC9601.Imagem da Plaqueta do Motor-.190237.jpg</t>
  </si>
  <si>
    <t>Paula Caroline Morais Duarte - 30/01/2025 16:00:35</t>
  </si>
  <si>
    <t>BC9602</t>
  </si>
  <si>
    <t>Bba Pressurizacao Linha (Incendio)</t>
  </si>
  <si>
    <t>Paula Caroline Morais Duarte - 30/01/2025 16:02:02</t>
  </si>
  <si>
    <t>Paula Caroline Morais Duarte - 30/01/2025 16:02:03</t>
  </si>
  <si>
    <t>Matheus César Azevedo Neto - 31/01/2025 11:41:56</t>
  </si>
  <si>
    <t>Paula Caroline Morais Duarte - 30/01/2025 16:02:08</t>
  </si>
  <si>
    <t>Paula Caroline Morais Duarte - 30/01/2025 16:02:30</t>
  </si>
  <si>
    <t>Paula Caroline Morais Duarte - 30/01/2025 16:02:33</t>
  </si>
  <si>
    <t>Paula Caroline Morais Duarte - 30/01/2025 16:02:35</t>
  </si>
  <si>
    <t>Paula Caroline Morais Duarte - 30/01/2025 16:02:38</t>
  </si>
  <si>
    <t>Paula Caroline Morais Duarte - 30/01/2025 16:02:40</t>
  </si>
  <si>
    <t>Paula Caroline Morais Duarte - 30/01/2025 16:02:43</t>
  </si>
  <si>
    <t>Paula Caroline Morais Duarte - 30/01/2025 16:02:45</t>
  </si>
  <si>
    <t>Paula Caroline Morais Duarte - 30/01/2025 16:02:47</t>
  </si>
  <si>
    <t>Paula Caroline Morais Duarte - 30/01/2025 16:02:49</t>
  </si>
  <si>
    <t>Paula Caroline Morais Duarte - 30/01/2025 16:02:51</t>
  </si>
  <si>
    <t>Paula Caroline Morais Duarte - 30/01/2025 16:02:54</t>
  </si>
  <si>
    <t>Paula Caroline Morais Duarte - 30/01/2025 16:02:55</t>
  </si>
  <si>
    <t>Paula Caroline Morais Duarte - 30/01/2025 16:03:14</t>
  </si>
  <si>
    <t>Paula Caroline Morais Duarte - 30/01/2025 16:03:16</t>
  </si>
  <si>
    <t>Paula Caroline Morais Duarte - 30/01/2025 16:03:17</t>
  </si>
  <si>
    <t>Paula Caroline Morais Duarte - 30/01/2025 16:03:20</t>
  </si>
  <si>
    <t>Paula Caroline Morais Duarte - 30/01/2025 16:03:21</t>
  </si>
  <si>
    <t>Paula Caroline Morais Duarte - 30/01/2025 16:03:24</t>
  </si>
  <si>
    <t>Paula Caroline Morais Duarte - 04/02/2025 11:49:38</t>
  </si>
  <si>
    <t>Paula Caroline Morais Duarte - 04/02/2025 11:49:39</t>
  </si>
  <si>
    <t>Paula Caroline Morais Duarte - 04/02/2025 11:49:41</t>
  </si>
  <si>
    <t>Paula Caroline Morais Duarte - 04/02/2025 11:49:43</t>
  </si>
  <si>
    <t>Paula Caroline Morais Duarte - 11/02/2025 11:55:48</t>
  </si>
  <si>
    <t>Paula Caroline Morais Duarte - 11/02/2025 11:55:49</t>
  </si>
  <si>
    <t>Paula Caroline Morais Duarte - 11/02/2025 11:55:51</t>
  </si>
  <si>
    <t>Paula Caroline Morais Duarte - 11/02/2025 11:55:53</t>
  </si>
  <si>
    <t>Base de Dados_Images/BC9602.Imagem do Equipamento-.190315.jpg</t>
  </si>
  <si>
    <t>Paula Caroline Morais Duarte - 30/01/2025 16:01:35</t>
  </si>
  <si>
    <t>Base de Dados_Images/BC9602.Imagem da Plaqueta do Motor-.190328.jpg</t>
  </si>
  <si>
    <t>Paula Caroline Morais Duarte - 30/01/2025 16:01:53</t>
  </si>
  <si>
    <t>Torre Resfriamento Vinhaça</t>
  </si>
  <si>
    <t>BC9801</t>
  </si>
  <si>
    <t>Bba Torre Resfriamento Vinhaca</t>
  </si>
  <si>
    <t>Paula Caroline Morais Duarte - 30/01/2025 14:28:23</t>
  </si>
  <si>
    <t>Paula Caroline Morais Duarte - 30/01/2025 14:28:25</t>
  </si>
  <si>
    <t>Paula Caroline Morais Duarte - 30/01/2025 14:28:27</t>
  </si>
  <si>
    <t>Paula Caroline Morais Duarte - 30/01/2025 14:28:29</t>
  </si>
  <si>
    <t>Paula Caroline Morais Duarte - 30/01/2025 14:28:31</t>
  </si>
  <si>
    <t>Paula Caroline Morais Duarte - 30/01/2025 14:28:38</t>
  </si>
  <si>
    <t>Paula Caroline Morais Duarte - 30/01/2025 14:28:37</t>
  </si>
  <si>
    <t>Paula Caroline Morais Duarte - 30/01/2025 14:28:41</t>
  </si>
  <si>
    <t>Paula Caroline Morais Duarte - 30/01/2025 14:28:47</t>
  </si>
  <si>
    <t>Paula Caroline Morais Duarte - 30/01/2025 14:28:49</t>
  </si>
  <si>
    <t>Paula Caroline Morais Duarte - 30/01/2025 14:28:55</t>
  </si>
  <si>
    <t>Paula Caroline Morais Duarte - 30/01/2025 14:28:57</t>
  </si>
  <si>
    <t>Paula Caroline Morais Duarte - 30/01/2025 14:29:04</t>
  </si>
  <si>
    <t>Paula Caroline Morais Duarte - 30/01/2025 14:29:07</t>
  </si>
  <si>
    <t>Paula Caroline Morais Duarte - 30/01/2025 14:29:14</t>
  </si>
  <si>
    <t>Paula Caroline Morais Duarte - 30/01/2025 14:29:12</t>
  </si>
  <si>
    <t>Alisson Airton Sobrinho - 07/03/2025 11:44:36</t>
  </si>
  <si>
    <t>Alisson Airton Sobrinho - 07/03/2025 11:44:37</t>
  </si>
  <si>
    <t>Alisson Airton Sobrinho - 07/03/2025 11:44:38</t>
  </si>
  <si>
    <t>Alisson Airton Sobrinho - 07/03/2025 11:44:39</t>
  </si>
  <si>
    <t>Alisson Airton Sobrinho - 07/03/2025 11:44:40</t>
  </si>
  <si>
    <t>Alisson Airton Sobrinho - 07/03/2025 11:44:44</t>
  </si>
  <si>
    <t>Alisson Airton Sobrinho - 07/03/2025 11:44:50</t>
  </si>
  <si>
    <t>Alisson Airton Sobrinho - 07/03/2025 11:44:51</t>
  </si>
  <si>
    <t>Alisson Airton Sobrinho - 07/03/2025 11:44:52</t>
  </si>
  <si>
    <t>Alisson Airton Sobrinho - 07/03/2025 11:44:56</t>
  </si>
  <si>
    <t>Alisson Airton Sobrinho - 07/03/2025 11:44:57</t>
  </si>
  <si>
    <t>Alisson Airton Sobrinho - 07/03/2025 11:44:59</t>
  </si>
  <si>
    <t>Base de Dados_Images/BC9801.Imagem do Equipamento-.172819.jpg</t>
  </si>
  <si>
    <t>Paula Caroline Morais Duarte - 30/01/2025 14:27:53</t>
  </si>
  <si>
    <t>Base de Dados_Images/BC9801.Imagem da Plaqueta do Motor-.172819.jpg</t>
  </si>
  <si>
    <t>Paula Caroline Morais Duarte - 30/01/2025 14:28:05</t>
  </si>
  <si>
    <t>BC9802</t>
  </si>
  <si>
    <t>Bba (Reserva) Torre Resf Vinhaca</t>
  </si>
  <si>
    <t>Paula Caroline Morais Duarte - 30/01/2025 14:31:20</t>
  </si>
  <si>
    <t>Paula Caroline Morais Duarte - 30/01/2025 14:31:29</t>
  </si>
  <si>
    <t>Paula Caroline Morais Duarte - 30/01/2025 14:31:31</t>
  </si>
  <si>
    <t>Paula Caroline Morais Duarte - 30/01/2025 14:31:33</t>
  </si>
  <si>
    <t>Paula Caroline Morais Duarte - 30/01/2025 14:31:34</t>
  </si>
  <si>
    <t>Paula Caroline Morais Duarte - 30/01/2025 14:31:36</t>
  </si>
  <si>
    <t>Paula Caroline Morais Duarte - 30/01/2025 14:31:38</t>
  </si>
  <si>
    <t>Paula Caroline Morais Duarte - 30/01/2025 14:31:41</t>
  </si>
  <si>
    <t>Paula Caroline Morais Duarte - 30/01/2025 14:31:42</t>
  </si>
  <si>
    <t>Paula Caroline Morais Duarte - 30/01/2025 14:31:45</t>
  </si>
  <si>
    <t>Paula Caroline Morais Duarte - 30/01/2025 14:31:47</t>
  </si>
  <si>
    <t>Paula Caroline Morais Duarte - 30/01/2025 14:31:48</t>
  </si>
  <si>
    <t>Paula Caroline Morais Duarte - 30/01/2025 14:31:53</t>
  </si>
  <si>
    <t>Paula Caroline Morais Duarte - 30/01/2025 14:31:52</t>
  </si>
  <si>
    <t>Paula Caroline Morais Duarte - 30/01/2025 14:31:51</t>
  </si>
  <si>
    <t>Paula Caroline Morais Duarte - 30/01/2025 14:31:57</t>
  </si>
  <si>
    <t>Alisson Airton Sobrinho - 07/03/2025 11:45:05</t>
  </si>
  <si>
    <t>Alisson Airton Sobrinho - 07/03/2025 11:45:06</t>
  </si>
  <si>
    <t>Alisson Airton Sobrinho - 07/03/2025 11:45:07</t>
  </si>
  <si>
    <t>Alisson Airton Sobrinho - 07/03/2025 11:45:08</t>
  </si>
  <si>
    <t>Alisson Airton Sobrinho - 07/03/2025 11:45:09</t>
  </si>
  <si>
    <t>Alisson Airton Sobrinho - 07/03/2025 11:45:10</t>
  </si>
  <si>
    <t>Alisson Airton Sobrinho - 07/03/2025 11:45:15</t>
  </si>
  <si>
    <t>Alisson Airton Sobrinho - 07/03/2025 11:45:16</t>
  </si>
  <si>
    <t>Alisson Airton Sobrinho - 07/03/2025 11:45:17</t>
  </si>
  <si>
    <t>Alisson Airton Sobrinho - 07/03/2025 11:45:18</t>
  </si>
  <si>
    <t>Alisson Airton Sobrinho - 07/03/2025 11:45:22</t>
  </si>
  <si>
    <t>Alisson Airton Sobrinho - 07/03/2025 11:45:23</t>
  </si>
  <si>
    <t>Alisson Airton Sobrinho - 07/03/2025 11:45:24</t>
  </si>
  <si>
    <t>Alisson Airton Sobrinho - 07/03/2025 11:45:25</t>
  </si>
  <si>
    <t>Base de Dados_Images/BC9802.Imagem do Equipamento-.173100.jpg</t>
  </si>
  <si>
    <t>Paula Caroline Morais Duarte - 30/01/2025 14:30:27</t>
  </si>
  <si>
    <t>Base de Dados_Images/BC9802.Imagem da Plaqueta do Motor-.173100.jpg</t>
  </si>
  <si>
    <t>Paula Caroline Morais Duarte - 30/01/2025 14:30:43</t>
  </si>
  <si>
    <t>Captação Vinhaca 2</t>
  </si>
  <si>
    <t>BC9803</t>
  </si>
  <si>
    <t>Bba Captacao Vinhaca 2 Nº 01</t>
  </si>
  <si>
    <t>Paula Caroline Morais Duarte - 30/01/2025 13:41:29</t>
  </si>
  <si>
    <t>Paula Caroline Morais Duarte - 30/01/2025 13:41:31</t>
  </si>
  <si>
    <t>Paula Caroline Morais Duarte - 30/01/2025 13:41:32</t>
  </si>
  <si>
    <t>Paula Caroline Morais Duarte - 30/01/2025 13:41:34</t>
  </si>
  <si>
    <t>Paula Caroline Morais Duarte - 30/01/2025 13:41:35</t>
  </si>
  <si>
    <t>Paula Caroline Morais Duarte - 30/01/2025 13:41:38</t>
  </si>
  <si>
    <t>Paula Caroline Morais Duarte - 30/01/2025 13:41:39</t>
  </si>
  <si>
    <t>Paula Caroline Morais Duarte - 30/01/2025 13:41:41</t>
  </si>
  <si>
    <t>Paula Caroline Morais Duarte - 30/01/2025 13:41:43</t>
  </si>
  <si>
    <t>Paula Caroline Morais Duarte - 30/01/2025 13:41:45</t>
  </si>
  <si>
    <t>Paula Caroline Morais Duarte - 30/01/2025 13:41:58</t>
  </si>
  <si>
    <t>Paula Caroline Morais Duarte - 30/01/2025 13:42:34</t>
  </si>
  <si>
    <t>Paula Caroline Morais Duarte - 30/01/2025 13:42:35</t>
  </si>
  <si>
    <t>Paula Caroline Morais Duarte - 30/01/2025 13:42:37</t>
  </si>
  <si>
    <t>Paula Caroline Morais Duarte - 30/01/2025 13:42:38</t>
  </si>
  <si>
    <t>Paula Caroline Morais Duarte - 30/01/2025 13:42:41</t>
  </si>
  <si>
    <t>Paula Caroline Morais Duarte - 25/02/2025 09:19:52</t>
  </si>
  <si>
    <t>Paula Caroline Morais Duarte - 25/02/2025 09:19:53</t>
  </si>
  <si>
    <t>Paula Caroline Morais Duarte - 25/02/2025 09:19:54</t>
  </si>
  <si>
    <t>Paula Caroline Morais Duarte - 25/02/2025 09:19:55</t>
  </si>
  <si>
    <t>Paula Caroline Morais Duarte - 25/02/2025 09:19:56</t>
  </si>
  <si>
    <t>Paula Caroline Morais Duarte - 25/02/2025 09:19:59</t>
  </si>
  <si>
    <t>Paula Caroline Morais Duarte - 25/02/2025 09:20:09</t>
  </si>
  <si>
    <t>Paula Caroline Morais Duarte - 25/02/2025 09:20:10</t>
  </si>
  <si>
    <t>Paula Caroline Morais Duarte - 25/02/2025 09:20:11</t>
  </si>
  <si>
    <t>Paula Caroline Morais Duarte - 25/02/2025 09:20:12</t>
  </si>
  <si>
    <t>Alisson Airton Sobrinho - 07/03/2025 11:45:30</t>
  </si>
  <si>
    <t>Alisson Airton Sobrinho - 07/03/2025 11:45:31</t>
  </si>
  <si>
    <t>Alisson Airton Sobrinho - 07/03/2025 11:45:32</t>
  </si>
  <si>
    <t>Alisson Airton Sobrinho - 07/03/2025 11:45:34</t>
  </si>
  <si>
    <t>Paula Caroline Morais Duarte - 01/30/2025 13:41:25</t>
  </si>
  <si>
    <t>BC9804</t>
  </si>
  <si>
    <t>Bba Captacao Vinhaca 2 Nº 02</t>
  </si>
  <si>
    <t>Paula Caroline Morais Duarte - 30/01/2025 13:43:25</t>
  </si>
  <si>
    <t>Paula Caroline Morais Duarte - 30/01/2025 13:43:27</t>
  </si>
  <si>
    <t>Paula Caroline Morais Duarte - 30/01/2025 13:43:29</t>
  </si>
  <si>
    <t>Paula Caroline Morais Duarte - 30/01/2025 13:43:32</t>
  </si>
  <si>
    <t>Paula Caroline Morais Duarte - 30/01/2025 13:43:34</t>
  </si>
  <si>
    <t>Paula Caroline Morais Duarte - 30/01/2025 13:43:36</t>
  </si>
  <si>
    <t>Paula Caroline Morais Duarte - 30/01/2025 13:43:39</t>
  </si>
  <si>
    <t>Paula Caroline Morais Duarte - 30/01/2025 13:43:41</t>
  </si>
  <si>
    <t>Paula Caroline Morais Duarte - 30/01/2025 13:43:42</t>
  </si>
  <si>
    <t>Paula Caroline Morais Duarte - 30/01/2025 13:43:44</t>
  </si>
  <si>
    <t>Paula Caroline Morais Duarte - 30/01/2025 13:43:46</t>
  </si>
  <si>
    <t>Paula Caroline Morais Duarte - 30/01/2025 13:43:51</t>
  </si>
  <si>
    <t>Paula Caroline Morais Duarte - 30/01/2025 13:43:53</t>
  </si>
  <si>
    <t>Paula Caroline Morais Duarte - 30/01/2025 13:43:56</t>
  </si>
  <si>
    <t>Paula Caroline Morais Duarte - 30/01/2025 13:43:58</t>
  </si>
  <si>
    <t>Paula Caroline Morais Duarte - 30/01/2025 13:44:00</t>
  </si>
  <si>
    <t>Paula Caroline Morais Duarte - 25/02/2025 09:20:26</t>
  </si>
  <si>
    <t>Paula Caroline Morais Duarte - 25/02/2025 09:20:28</t>
  </si>
  <si>
    <t>Paula Caroline Morais Duarte - 25/02/2025 09:20:29</t>
  </si>
  <si>
    <t>Paula Caroline Morais Duarte - 25/02/2025 09:20:32</t>
  </si>
  <si>
    <t>Paula Caroline Morais Duarte - 25/02/2025 09:20:34</t>
  </si>
  <si>
    <t>Paula Caroline Morais Duarte - 25/02/2025 09:20:36</t>
  </si>
  <si>
    <t>Paula Caroline Morais Duarte - 25/02/2025 09:20:48</t>
  </si>
  <si>
    <t>Paula Caroline Morais Duarte - 25/02/2025 09:20:49</t>
  </si>
  <si>
    <t>Paula Caroline Morais Duarte - 25/02/2025 09:20:50</t>
  </si>
  <si>
    <t>Paula Caroline Morais Duarte - 25/02/2025 09:20:54</t>
  </si>
  <si>
    <t>Alisson Airton Sobrinho - 07/03/2025 11:45:40</t>
  </si>
  <si>
    <t>Alisson Airton Sobrinho - 07/03/2025 11:45:41</t>
  </si>
  <si>
    <t>Alisson Airton Sobrinho - 07/03/2025 11:45:44</t>
  </si>
  <si>
    <t>Paula Caroline Morais Duarte - 01/30/2025 13:43:02</t>
  </si>
  <si>
    <t>BC9805</t>
  </si>
  <si>
    <t>Bba Captacao Vinhaca 2 Nº 03</t>
  </si>
  <si>
    <t>Paula Caroline Morais Duarte - 30/01/2025 13:44:43</t>
  </si>
  <si>
    <t>Paula Caroline Morais Duarte - 30/01/2025 13:44:44</t>
  </si>
  <si>
    <t>Paula Caroline Morais Duarte - 30/01/2025 13:44:46</t>
  </si>
  <si>
    <t>Paula Caroline Morais Duarte - 30/01/2025 13:44:47</t>
  </si>
  <si>
    <t>Paula Caroline Morais Duarte - 30/01/2025 13:44:52</t>
  </si>
  <si>
    <t>Paula Caroline Morais Duarte - 30/01/2025 13:44:54</t>
  </si>
  <si>
    <t>Paula Caroline Morais Duarte - 30/01/2025 13:44:56</t>
  </si>
  <si>
    <t>Paula Caroline Morais Duarte - 30/01/2025 13:44:58</t>
  </si>
  <si>
    <t>Paula Caroline Morais Duarte - 30/01/2025 13:45:00</t>
  </si>
  <si>
    <t>Paula Caroline Morais Duarte - 30/01/2025 13:45:01</t>
  </si>
  <si>
    <t>Paula Caroline Morais Duarte - 30/01/2025 13:45:03</t>
  </si>
  <si>
    <t>Paula Caroline Morais Duarte - 30/01/2025 13:45:06</t>
  </si>
  <si>
    <t>Paula Caroline Morais Duarte - 30/01/2025 13:45:05</t>
  </si>
  <si>
    <t>Paula Caroline Morais Duarte - 30/01/2025 13:45:08</t>
  </si>
  <si>
    <t>Paula Caroline Morais Duarte - 30/01/2025 13:45:13</t>
  </si>
  <si>
    <t>Paula Caroline Morais Duarte - 30/01/2025 13:45:10</t>
  </si>
  <si>
    <t>Paula Caroline Morais Duarte - 25/02/2025 09:21:03</t>
  </si>
  <si>
    <t>Paula Caroline Morais Duarte - 25/02/2025 09:21:04</t>
  </si>
  <si>
    <t>Paula Caroline Morais Duarte - 25/02/2025 09:21:05</t>
  </si>
  <si>
    <t>Paula Caroline Morais Duarte - 25/02/2025 09:21:07</t>
  </si>
  <si>
    <t>Paula Caroline Morais Duarte - 25/02/2025 09:21:12</t>
  </si>
  <si>
    <t>Paula Caroline Morais Duarte - 25/02/2025 09:21:15</t>
  </si>
  <si>
    <t>Paula Caroline Morais Duarte - 25/02/2025 09:21:24</t>
  </si>
  <si>
    <t>Paula Caroline Morais Duarte - 25/02/2025 09:21:25</t>
  </si>
  <si>
    <t>Paula Caroline Morais Duarte - 25/02/2025 09:21:26</t>
  </si>
  <si>
    <t>Paula Caroline Morais Duarte - 25/02/2025 09:21:29</t>
  </si>
  <si>
    <t>Alisson Airton Sobrinho - 07/03/2025 11:45:50</t>
  </si>
  <si>
    <t>Alisson Airton Sobrinho - 07/03/2025 11:46:05</t>
  </si>
  <si>
    <t>Alisson Airton Sobrinho - 07/03/2025 11:46:06</t>
  </si>
  <si>
    <t>Paula Caroline Morais Duarte - 01/30/2025 13:44:18</t>
  </si>
  <si>
    <t>Captação Vinhaca 1</t>
  </si>
  <si>
    <t>BC9806</t>
  </si>
  <si>
    <t>Bba Captacao Vinhaca 1 Nº 01</t>
  </si>
  <si>
    <t>Paula Caroline Morais Duarte - 30/01/2025 13:39:19</t>
  </si>
  <si>
    <t>Paula Caroline Morais Duarte - 30/01/2025 13:39:20</t>
  </si>
  <si>
    <t>Paula Caroline Morais Duarte - 30/01/2025 13:39:21</t>
  </si>
  <si>
    <t>Paula Caroline Morais Duarte - 30/01/2025 13:39:22</t>
  </si>
  <si>
    <t>Paula Caroline Morais Duarte - 30/01/2025 13:39:23</t>
  </si>
  <si>
    <t>Paula Caroline Morais Duarte - 30/01/2025 13:39:28</t>
  </si>
  <si>
    <t>Paula Caroline Morais Duarte - 30/01/2025 13:39:30</t>
  </si>
  <si>
    <t>Paula Caroline Morais Duarte - 30/01/2025 13:39:31</t>
  </si>
  <si>
    <t>Paula Caroline Morais Duarte - 30/01/2025 13:39:36</t>
  </si>
  <si>
    <t>Paula Caroline Morais Duarte - 30/01/2025 13:39:35</t>
  </si>
  <si>
    <t>Paula Caroline Morais Duarte - 30/01/2025 13:39:38</t>
  </si>
  <si>
    <t>Paula Caroline Morais Duarte - 30/01/2025 13:39:40</t>
  </si>
  <si>
    <t>Paula Caroline Morais Duarte - 30/01/2025 13:39:43</t>
  </si>
  <si>
    <t>Paula Caroline Morais Duarte - 30/01/2025 13:39:45</t>
  </si>
  <si>
    <t>Paula Caroline Morais Duarte - 30/01/2025 13:40:49</t>
  </si>
  <si>
    <t>Paula Caroline Morais Duarte - 30/01/2025 13:40:53</t>
  </si>
  <si>
    <t>Paula Caroline Morais Duarte - 25/02/2025 09:18:59</t>
  </si>
  <si>
    <t>Paula Caroline Morais Duarte - 25/02/2025 09:19:00</t>
  </si>
  <si>
    <t>Paula Caroline Morais Duarte - 25/02/2025 09:19:01</t>
  </si>
  <si>
    <t>Paula Caroline Morais Duarte - 25/02/2025 09:19:04</t>
  </si>
  <si>
    <t>Paula Caroline Morais Duarte - 25/02/2025 09:19:09</t>
  </si>
  <si>
    <t>Paula Caroline Morais Duarte - 25/02/2025 09:19:15</t>
  </si>
  <si>
    <t>Paula Caroline Morais Duarte - 25/02/2025 09:19:16</t>
  </si>
  <si>
    <t>Paula Caroline Morais Duarte - 25/02/2025 09:19:18</t>
  </si>
  <si>
    <t>Paula Caroline Morais Duarte - 25/02/2025 09:19:20</t>
  </si>
  <si>
    <t>Alisson Airton Sobrinho - 07/03/2025 11:46:20</t>
  </si>
  <si>
    <t>Alisson Airton Sobrinho - 07/03/2025 11:46:13</t>
  </si>
  <si>
    <t>Alisson Airton Sobrinho - 07/03/2025 11:46:14</t>
  </si>
  <si>
    <t>Alisson Airton Sobrinho - 07/03/2025 11:46:15</t>
  </si>
  <si>
    <t>Base de Dados_Images/BC9806.Imagem do Equipamento-.172444.jpg</t>
  </si>
  <si>
    <t>Paula Caroline Morais Duarte - 30/01/2025 14:24:38</t>
  </si>
  <si>
    <t>Base de Dados_Images/BC9806.Imagem da Plaqueta do Motor-.172455.jpg</t>
  </si>
  <si>
    <t>Paula Caroline Morais Duarte - 30/01/2025 14:24:50</t>
  </si>
  <si>
    <t>Agua Residual</t>
  </si>
  <si>
    <t>BC9807</t>
  </si>
  <si>
    <t>Sistema Bba De Agua Residual Nº 01</t>
  </si>
  <si>
    <t>Matheus César Azevedo Neto - 25/02/2025 07:46:17</t>
  </si>
  <si>
    <t>Matheus César Azevedo Neto - 25/02/2025 07:46:18</t>
  </si>
  <si>
    <t>Matheus César Azevedo Neto - 25/02/2025 07:46:19</t>
  </si>
  <si>
    <t>Matheus César Azevedo Neto - 25/02/2025 07:46:20</t>
  </si>
  <si>
    <t>Matheus César Azevedo Neto - 25/02/2025 07:46:25</t>
  </si>
  <si>
    <t>Matheus César Azevedo Neto - 25/02/2025 07:46:26</t>
  </si>
  <si>
    <t>Matheus César Azevedo Neto - 25/02/2025 07:46:27</t>
  </si>
  <si>
    <t>Matheus César Azevedo Neto - 25/02/2025 07:46:28</t>
  </si>
  <si>
    <t>Matheus César Azevedo Neto - 25/02/2025 07:46:29</t>
  </si>
  <si>
    <t>Matheus César Azevedo Neto - 25/02/2025 07:46:30</t>
  </si>
  <si>
    <t>Matheus César Azevedo Neto - 25/02/2025 07:46:31</t>
  </si>
  <si>
    <t>Matheus César Azevedo Neto - 25/02/2025 07:46:32</t>
  </si>
  <si>
    <t>Matheus César Azevedo Neto - 25/02/2025 07:46:33</t>
  </si>
  <si>
    <t>Matheus César Azevedo Neto - 25/02/2025 07:46:34</t>
  </si>
  <si>
    <t>Matheus César Azevedo Neto - 25/02/2025 07:46:38</t>
  </si>
  <si>
    <t>Matheus César Azevedo Neto - 25/02/2025 07:46:39</t>
  </si>
  <si>
    <t>Matheus César Azevedo Neto - 25/02/2025 07:46:40</t>
  </si>
  <si>
    <t>Matheus César Azevedo Neto - 25/02/2025 07:46:41</t>
  </si>
  <si>
    <t>Matheus César Azevedo Neto - 25/02/2025 07:46:42</t>
  </si>
  <si>
    <t>Matheus César Azevedo Neto - 25/02/2025 07:46:43</t>
  </si>
  <si>
    <t>Matheus César Azevedo Neto - 25/02/2025 07:46:46</t>
  </si>
  <si>
    <t>Matheus César Azevedo Neto - 25/02/2025 07:46:47</t>
  </si>
  <si>
    <t>Matheus César Azevedo Neto - 25/02/2025 07:46:48</t>
  </si>
  <si>
    <t>Matheus César Azevedo Neto - 25/02/2025 07:46:49</t>
  </si>
  <si>
    <t>Paula Caroline Morais Duarte - 25/02/2025 09:07:32</t>
  </si>
  <si>
    <t>Paula Caroline Morais Duarte - 25/02/2025 09:07:33</t>
  </si>
  <si>
    <t>Paula Caroline Morais Duarte - 25/02/2025 09:07:34</t>
  </si>
  <si>
    <t>Paula Caroline Morais Duarte - 25/02/2025 09:07:35</t>
  </si>
  <si>
    <t>Paula Caroline Morais Duarte - 02/25/2025 09:07:28</t>
  </si>
  <si>
    <t>BC9808</t>
  </si>
  <si>
    <t>Bomba água residual 2</t>
  </si>
  <si>
    <t>Paula Caroline Morais Duarte - 24/01/2025 11:09:00</t>
  </si>
  <si>
    <t>Paula Caroline Morais Duarte - 24/01/2025 11:09:01</t>
  </si>
  <si>
    <t>Paula Caroline Morais Duarte - 24/01/2025 11:09:02</t>
  </si>
  <si>
    <t>Paula Caroline Morais Duarte - 24/01/2025 11:09:04</t>
  </si>
  <si>
    <t>Paula Caroline Morais Duarte - 24/01/2025 11:09:06</t>
  </si>
  <si>
    <t>Paula Caroline Morais Duarte - 24/01/2025 11:09:07</t>
  </si>
  <si>
    <t>Paula Caroline Morais Duarte - 24/01/2025 11:09:09</t>
  </si>
  <si>
    <t>Paula Caroline Morais Duarte - 24/01/2025 11:09:11</t>
  </si>
  <si>
    <t>Paula Caroline Morais Duarte - 24/01/2025 11:09:13</t>
  </si>
  <si>
    <t>Paula Caroline Morais Duarte - 24/01/2025 11:09:18</t>
  </si>
  <si>
    <t>Paula Caroline Morais Duarte - 24/01/2025 11:09:16</t>
  </si>
  <si>
    <t>Paula Caroline Morais Duarte - 24/01/2025 11:09:17</t>
  </si>
  <si>
    <t>Paula Caroline Morais Duarte - 24/01/2025 11:09:22</t>
  </si>
  <si>
    <t>Paula Caroline Morais Duarte - 24/01/2025 11:09:21</t>
  </si>
  <si>
    <t>Paula Caroline Morais Duarte - 24/01/2025 11:09:23</t>
  </si>
  <si>
    <t>Paula Caroline Morais Duarte - 24/01/2025 11:09:26</t>
  </si>
  <si>
    <t>Paula Caroline Morais Duarte - 21/02/2025 11:16:48</t>
  </si>
  <si>
    <t>Paula Caroline Morais Duarte - 21/02/2025 11:16:49</t>
  </si>
  <si>
    <t>Paula Caroline Morais Duarte - 21/02/2025 11:16:56</t>
  </si>
  <si>
    <t>Paula Caroline Morais Duarte - 21/02/2025 11:16:58</t>
  </si>
  <si>
    <t>Paula Caroline Morais Duarte - 21/02/2025 11:17:00</t>
  </si>
  <si>
    <t>Paula Caroline Morais Duarte - 21/02/2025 11:17:03</t>
  </si>
  <si>
    <t>Paula Caroline Morais Duarte - 21/02/2025 11:19:02</t>
  </si>
  <si>
    <t>Paula Caroline Morais Duarte - 21/02/2025 11:19:03</t>
  </si>
  <si>
    <t>Paula Caroline Morais Duarte - 21/02/2025 11:19:05</t>
  </si>
  <si>
    <t>Paula Caroline Morais Duarte - 21/02/2025 11:19:06</t>
  </si>
  <si>
    <t>Paula Caroline Morais Duarte - 25/02/2025 09:07:50</t>
  </si>
  <si>
    <t>Paula Caroline Morais Duarte - 25/02/2025 09:07:51</t>
  </si>
  <si>
    <t>Paula Caroline Morais Duarte - 25/02/2025 09:07:52</t>
  </si>
  <si>
    <t>Paula Caroline Morais Duarte - 25/02/2025 09:07:57</t>
  </si>
  <si>
    <t>Base de Dados_Images/BC9808.Imagem do Equipamento-.145011.jpg</t>
  </si>
  <si>
    <t>Paula Caroline Morais Duarte - 24/01/2025 11:08:09</t>
  </si>
  <si>
    <t>Base de Dados_Images/BC9808.Imagem da Plaqueta do Motor-.145011.jpg</t>
  </si>
  <si>
    <t>Paula Caroline Morais Duarte - 24/01/2025 11:08:31</t>
  </si>
  <si>
    <t>BC9809</t>
  </si>
  <si>
    <t>Bba De Agua Residual Nº 03</t>
  </si>
  <si>
    <t>Paula Caroline Morais Duarte - 24/01/2025 11:06:52</t>
  </si>
  <si>
    <t>Paula Caroline Morais Duarte - 24/01/2025 11:06:53</t>
  </si>
  <si>
    <t>Paula Caroline Morais Duarte - 24/01/2025 11:06:54</t>
  </si>
  <si>
    <t>Paula Caroline Morais Duarte - 24/01/2025 11:06:55</t>
  </si>
  <si>
    <t>Paula Caroline Morais Duarte - 24/01/2025 11:07:00</t>
  </si>
  <si>
    <t>Paula Caroline Morais Duarte - 24/01/2025 11:07:01</t>
  </si>
  <si>
    <t>Paula Caroline Morais Duarte - 24/01/2025 11:07:02</t>
  </si>
  <si>
    <t>Paula Caroline Morais Duarte - 24/01/2025 11:07:04</t>
  </si>
  <si>
    <t>Paula Caroline Morais Duarte - 24/01/2025 11:07:05</t>
  </si>
  <si>
    <t>Paula Caroline Morais Duarte - 24/01/2025 11:07:06</t>
  </si>
  <si>
    <t>Paula Caroline Morais Duarte - 24/01/2025 11:07:10</t>
  </si>
  <si>
    <t>Paula Caroline Morais Duarte - 24/01/2025 11:07:11</t>
  </si>
  <si>
    <t>Paula Caroline Morais Duarte - 24/01/2025 11:07:12</t>
  </si>
  <si>
    <t>Paula Caroline Morais Duarte - 24/01/2025 11:07:13</t>
  </si>
  <si>
    <t>Paula Caroline Morais Duarte - 24/01/2025 11:07:15</t>
  </si>
  <si>
    <t>Paula Caroline Morais Duarte - 24/01/2025 11:07:17</t>
  </si>
  <si>
    <t>Paula Caroline Morais Duarte - 28/01/2025 15:39:06</t>
  </si>
  <si>
    <t>Paula Caroline Morais Duarte - 28/01/2025 15:39:08</t>
  </si>
  <si>
    <t>Paula Caroline Morais Duarte - 28/01/2025 15:39:21</t>
  </si>
  <si>
    <t>Paula Caroline Morais Duarte - 28/01/2025 15:39:13</t>
  </si>
  <si>
    <t>Paula Caroline Morais Duarte - 11/02/2025 10:03:07</t>
  </si>
  <si>
    <t>Paula Caroline Morais Duarte - 11/02/2025 10:03:09</t>
  </si>
  <si>
    <t>Paula Caroline Morais Duarte - 11/02/2025 10:03:12</t>
  </si>
  <si>
    <t>Paula Caroline Morais Duarte - 11/02/2025 10:03:41</t>
  </si>
  <si>
    <t>Paula Caroline Morais Duarte - 11/02/2025 10:03:42</t>
  </si>
  <si>
    <t>Paula Caroline Morais Duarte - 11/02/2025 10:03:44</t>
  </si>
  <si>
    <t>Paula Caroline Morais Duarte - 11/02/2025 10:03:45</t>
  </si>
  <si>
    <t>Base de Dados_Images/BC9809.Imagem do Equipamento-.144831.jpg</t>
  </si>
  <si>
    <t>Paula Caroline Morais Duarte - 24/01/2025 11:06:36</t>
  </si>
  <si>
    <t>Base de Dados_Images/BC9809.Imagem da Plaqueta do Motor-.144830.jpg</t>
  </si>
  <si>
    <t>Paula Caroline Morais Duarte - 24/01/2025 11:06:46</t>
  </si>
  <si>
    <t>Captação Vinhaca 3</t>
  </si>
  <si>
    <t>BC9810</t>
  </si>
  <si>
    <t>Bba Captacao Vinhaca 3 Nº 01</t>
  </si>
  <si>
    <t>Paula Caroline Morais Duarte - 30/01/2025 13:49:43</t>
  </si>
  <si>
    <t>Paula Caroline Morais Duarte - 30/01/2025 13:49:44</t>
  </si>
  <si>
    <t>Paula Caroline Morais Duarte - 30/01/2025 13:49:48</t>
  </si>
  <si>
    <t>Paula Caroline Morais Duarte - 30/01/2025 13:49:50</t>
  </si>
  <si>
    <t>Paula Caroline Morais Duarte - 30/01/2025 13:49:54</t>
  </si>
  <si>
    <t>Paula Caroline Morais Duarte - 30/01/2025 13:49:55</t>
  </si>
  <si>
    <t>Paula Caroline Morais Duarte - 30/01/2025 13:49:58</t>
  </si>
  <si>
    <t>Paula Caroline Morais Duarte - 30/01/2025 13:49:59</t>
  </si>
  <si>
    <t>Paula Caroline Morais Duarte - 30/01/2025 13:50:05</t>
  </si>
  <si>
    <t>Paula Caroline Morais Duarte - 30/01/2025 13:50:10</t>
  </si>
  <si>
    <t>Paula Caroline Morais Duarte - 30/01/2025 13:50:12</t>
  </si>
  <si>
    <t>Paula Caroline Morais Duarte - 30/01/2025 13:50:28</t>
  </si>
  <si>
    <t>Paula Caroline Morais Duarte - 30/01/2025 13:50:25</t>
  </si>
  <si>
    <t>Paula Caroline Morais Duarte - 30/01/2025 13:50:23</t>
  </si>
  <si>
    <t>Paula Caroline Morais Duarte - 30/01/2025 13:50:21</t>
  </si>
  <si>
    <t>Paula Caroline Morais Duarte - 30/01/2025 13:50:19</t>
  </si>
  <si>
    <t>Paula Caroline Morais Duarte - 25/02/2025 09:22:16</t>
  </si>
  <si>
    <t>Paula Caroline Morais Duarte - 25/02/2025 09:22:17</t>
  </si>
  <si>
    <t>Paula Caroline Morais Duarte - 25/02/2025 09:22:18</t>
  </si>
  <si>
    <t>Paula Caroline Morais Duarte - 25/02/2025 09:22:20</t>
  </si>
  <si>
    <t>Paula Caroline Morais Duarte - 25/02/2025 09:22:21</t>
  </si>
  <si>
    <t>Paula Caroline Morais Duarte - 25/02/2025 09:22:22</t>
  </si>
  <si>
    <t>Paula Caroline Morais Duarte - 25/02/2025 09:22:26</t>
  </si>
  <si>
    <t>Paula Caroline Morais Duarte - 25/02/2025 09:22:27</t>
  </si>
  <si>
    <t>Paula Caroline Morais Duarte - 25/02/2025 09:22:28</t>
  </si>
  <si>
    <t>Paula Caroline Morais Duarte - 25/02/2025 09:22:31</t>
  </si>
  <si>
    <t>Alisson Airton Sobrinho - 07/03/2025 11:46:28</t>
  </si>
  <si>
    <t>Alisson Airton Sobrinho - 07/03/2025 11:46:29</t>
  </si>
  <si>
    <t>Alisson Airton Sobrinho - 07/03/2025 11:46:30</t>
  </si>
  <si>
    <t>Alisson Airton Sobrinho - 07/03/2025 11:46:31</t>
  </si>
  <si>
    <t>Paula Caroline Morais Duarte - 01/30/2025 13:49:38</t>
  </si>
  <si>
    <t>BC9811</t>
  </si>
  <si>
    <t>Bba Captacao Vinhaca 3 Nº 02</t>
  </si>
  <si>
    <t>Paula Caroline Morais Duarte - 30/01/2025 13:51:10</t>
  </si>
  <si>
    <t>Paula Caroline Morais Duarte - 30/01/2025 13:51:12</t>
  </si>
  <si>
    <t>Paula Caroline Morais Duarte - 30/01/2025 13:51:15</t>
  </si>
  <si>
    <t>Paula Caroline Morais Duarte - 30/01/2025 13:51:24</t>
  </si>
  <si>
    <t>Paula Caroline Morais Duarte - 30/01/2025 13:51:30</t>
  </si>
  <si>
    <t>Paula Caroline Morais Duarte - 30/01/2025 13:51:31</t>
  </si>
  <si>
    <t>Paula Caroline Morais Duarte - 30/01/2025 13:51:35</t>
  </si>
  <si>
    <t>Paula Caroline Morais Duarte - 30/01/2025 13:51:36</t>
  </si>
  <si>
    <t>Paula Caroline Morais Duarte - 30/01/2025 13:51:40</t>
  </si>
  <si>
    <t>Paula Caroline Morais Duarte - 30/01/2025 13:51:43</t>
  </si>
  <si>
    <t>Paula Caroline Morais Duarte - 30/01/2025 13:51:51</t>
  </si>
  <si>
    <t>Paula Caroline Morais Duarte - 30/01/2025 13:51:48</t>
  </si>
  <si>
    <t>Paula Caroline Morais Duarte - 30/01/2025 13:51:53</t>
  </si>
  <si>
    <t>Paula Caroline Morais Duarte - 30/01/2025 13:51:57</t>
  </si>
  <si>
    <t>Paula Caroline Morais Duarte - 30/01/2025 13:52:02</t>
  </si>
  <si>
    <t>Paula Caroline Morais Duarte - 30/01/2025 13:52:04</t>
  </si>
  <si>
    <t>Paula Caroline Morais Duarte - 25/02/2025 09:22:42</t>
  </si>
  <si>
    <t>Paula Caroline Morais Duarte - 25/02/2025 09:22:43</t>
  </si>
  <si>
    <t>Paula Caroline Morais Duarte - 25/02/2025 09:22:45</t>
  </si>
  <si>
    <t>Paula Caroline Morais Duarte - 25/02/2025 09:22:46</t>
  </si>
  <si>
    <t>Paula Caroline Morais Duarte - 25/02/2025 09:22:47</t>
  </si>
  <si>
    <t>Paula Caroline Morais Duarte - 25/02/2025 09:22:52</t>
  </si>
  <si>
    <t>Paula Caroline Morais Duarte - 25/02/2025 09:22:53</t>
  </si>
  <si>
    <t>Paula Caroline Morais Duarte - 25/02/2025 09:22:56</t>
  </si>
  <si>
    <t>Paula Caroline Morais Duarte - 25/02/2025 09:22:59</t>
  </si>
  <si>
    <t>Alisson Airton Sobrinho - 07/03/2025 11:46:37</t>
  </si>
  <si>
    <t>Alisson Airton Sobrinho - 07/03/2025 11:46:38</t>
  </si>
  <si>
    <t>Alisson Airton Sobrinho - 07/03/2025 11:46:39</t>
  </si>
  <si>
    <t>Paula Caroline Morais Duarte - 01/30/2025 13:51:01</t>
  </si>
  <si>
    <t>BC9812</t>
  </si>
  <si>
    <t>Bba Captacao Vinhaca 3 Nº 03</t>
  </si>
  <si>
    <t>Paula Caroline Morais Duarte - 30/01/2025 13:52:21</t>
  </si>
  <si>
    <t>Paula Caroline Morais Duarte - 30/01/2025 13:52:24</t>
  </si>
  <si>
    <t>Paula Caroline Morais Duarte - 30/01/2025 13:52:36</t>
  </si>
  <si>
    <t>Paula Caroline Morais Duarte - 30/01/2025 13:52:45</t>
  </si>
  <si>
    <t>Paula Caroline Morais Duarte - 30/01/2025 13:52:47</t>
  </si>
  <si>
    <t>Paula Caroline Morais Duarte - 30/01/2025 13:52:49</t>
  </si>
  <si>
    <t>Paula Caroline Morais Duarte - 30/01/2025 13:52:53</t>
  </si>
  <si>
    <t>Paula Caroline Morais Duarte - 30/01/2025 13:53:44</t>
  </si>
  <si>
    <t>Paula Caroline Morais Duarte - 30/01/2025 13:52:56</t>
  </si>
  <si>
    <t>Paula Caroline Morais Duarte - 30/01/2025 13:53:59</t>
  </si>
  <si>
    <t>Paula Caroline Morais Duarte - 30/01/2025 13:54:04</t>
  </si>
  <si>
    <t>Paula Caroline Morais Duarte - 30/01/2025 13:53:56</t>
  </si>
  <si>
    <t>Paula Caroline Morais Duarte - 30/01/2025 13:53:55</t>
  </si>
  <si>
    <t>Paula Caroline Morais Duarte - 30/01/2025 13:53:53</t>
  </si>
  <si>
    <t>Paula Caroline Morais Duarte - 30/01/2025 13:53:52</t>
  </si>
  <si>
    <t>Paula Caroline Morais Duarte - 30/01/2025 13:53:50</t>
  </si>
  <si>
    <t>Paula Caroline Morais Duarte - 25/02/2025 09:23:11</t>
  </si>
  <si>
    <t>Paula Caroline Morais Duarte - 25/02/2025 09:23:12</t>
  </si>
  <si>
    <t>Paula Caroline Morais Duarte - 25/02/2025 09:23:14</t>
  </si>
  <si>
    <t>Paula Caroline Morais Duarte - 25/02/2025 09:23:15</t>
  </si>
  <si>
    <t>Paula Caroline Morais Duarte - 25/02/2025 09:23:17</t>
  </si>
  <si>
    <t>Paula Caroline Morais Duarte - 25/02/2025 09:23:18</t>
  </si>
  <si>
    <t>Paula Caroline Morais Duarte - 25/02/2025 09:23:25</t>
  </si>
  <si>
    <t>Paula Caroline Morais Duarte - 25/02/2025 09:23:26</t>
  </si>
  <si>
    <t>Paula Caroline Morais Duarte - 25/02/2025 09:23:27</t>
  </si>
  <si>
    <t>Paula Caroline Morais Duarte - 25/02/2025 09:23:28</t>
  </si>
  <si>
    <t>Alisson Airton Sobrinho - 07/03/2025 11:46:45</t>
  </si>
  <si>
    <t>Alisson Airton Sobrinho - 07/03/2025 11:46:46</t>
  </si>
  <si>
    <t>Alisson Airton Sobrinho - 07/03/2025 11:46:47</t>
  </si>
  <si>
    <t>Paula Caroline Morais Duarte - 01/30/2025 13:52:15</t>
  </si>
  <si>
    <t>BC9813</t>
  </si>
  <si>
    <t>Bba Captacao Vinhaca 1 Nº 02</t>
  </si>
  <si>
    <t>Paula Caroline Morais Duarte - 30/01/2025 13:55:20</t>
  </si>
  <si>
    <t>Paula Caroline Morais Duarte - 30/01/2025 13:55:21</t>
  </si>
  <si>
    <t>Paula Caroline Morais Duarte - 30/01/2025 13:55:22</t>
  </si>
  <si>
    <t>Paula Caroline Morais Duarte - 30/01/2025 13:55:24</t>
  </si>
  <si>
    <t>Paula Caroline Morais Duarte - 30/01/2025 13:55:26</t>
  </si>
  <si>
    <t>Paula Caroline Morais Duarte - 30/01/2025 13:55:27</t>
  </si>
  <si>
    <t>Paula Caroline Morais Duarte - 30/01/2025 13:55:28</t>
  </si>
  <si>
    <t>Paula Caroline Morais Duarte - 30/01/2025 13:55:30</t>
  </si>
  <si>
    <t>Paula Caroline Morais Duarte - 30/01/2025 13:55:34</t>
  </si>
  <si>
    <t>Paula Caroline Morais Duarte - 30/01/2025 13:55:35</t>
  </si>
  <si>
    <t>Paula Caroline Morais Duarte - 30/01/2025 13:55:37</t>
  </si>
  <si>
    <t>Paula Caroline Morais Duarte - 30/01/2025 13:55:38</t>
  </si>
  <si>
    <t>Paula Caroline Morais Duarte - 30/01/2025 13:55:39</t>
  </si>
  <si>
    <t>Paula Caroline Morais Duarte - 30/01/2025 13:55:42</t>
  </si>
  <si>
    <t>Paula Caroline Morais Duarte - 30/01/2025 13:55:43</t>
  </si>
  <si>
    <t>Paula Caroline Morais Duarte - 30/01/2025 13:55:45</t>
  </si>
  <si>
    <t>Paula Caroline Morais Duarte - 25/02/2025 09:21:42</t>
  </si>
  <si>
    <t>Paula Caroline Morais Duarte - 25/02/2025 09:21:43</t>
  </si>
  <si>
    <t>Paula Caroline Morais Duarte - 25/02/2025 09:21:44</t>
  </si>
  <si>
    <t>Paula Caroline Morais Duarte - 25/02/2025 09:21:45</t>
  </si>
  <si>
    <t>Paula Caroline Morais Duarte - 25/02/2025 09:21:46</t>
  </si>
  <si>
    <t>Paula Caroline Morais Duarte - 25/02/2025 09:21:48</t>
  </si>
  <si>
    <t>Paula Caroline Morais Duarte - 25/02/2025 09:21:51</t>
  </si>
  <si>
    <t>Paula Caroline Morais Duarte - 25/02/2025 09:21:52</t>
  </si>
  <si>
    <t>Paula Caroline Morais Duarte - 25/02/2025 09:21:53</t>
  </si>
  <si>
    <t>Paula Caroline Morais Duarte - 25/02/2025 09:21:54</t>
  </si>
  <si>
    <t>Alisson Airton Sobrinho - 07/03/2025 11:47:03</t>
  </si>
  <si>
    <t>Alisson Airton Sobrinho - 07/03/2025 11:46:54</t>
  </si>
  <si>
    <t>Alisson Airton Sobrinho - 07/03/2025 11:46:55</t>
  </si>
  <si>
    <t>Base de Dados_Images/BC9813.Imagem do Equipamento-.172608.jpg</t>
  </si>
  <si>
    <t>Paula Caroline Morais Duarte - 30/01/2025 14:26:03</t>
  </si>
  <si>
    <t>Base de Dados_Images/BC9813.Imagem da Plaqueta do Motor-.172623.jpg</t>
  </si>
  <si>
    <t>Paula Caroline Morais Duarte - 30/01/2025 14:26:18</t>
  </si>
  <si>
    <t>Decantador Alcool</t>
  </si>
  <si>
    <t>BD3001</t>
  </si>
  <si>
    <t>Bomba De Lodo Decantador Bandeija Alcool</t>
  </si>
  <si>
    <t>Beatriz Alves Nunes de Paulo - 28/01/2025 11:01:39</t>
  </si>
  <si>
    <t>Beatriz Alves Nunes de Paulo - 28/01/2025 11:01:41</t>
  </si>
  <si>
    <t>Beatriz Alves Nunes de Paulo - 28/01/2025 11:01:49</t>
  </si>
  <si>
    <t>Beatriz Alves Nunes de Paulo - 28/01/2025 11:01:54</t>
  </si>
  <si>
    <t>Beatriz Alves Nunes de Paulo - 28/01/2025 11:01:57</t>
  </si>
  <si>
    <t>Beatriz Alves Nunes de Paulo - 28/01/2025 11:02:03</t>
  </si>
  <si>
    <t>Beatriz Alves Nunes de Paulo - 28/01/2025 11:02:06</t>
  </si>
  <si>
    <t>Beatriz Alves Nunes de Paulo - 28/01/2025 11:02:08</t>
  </si>
  <si>
    <t>Beatriz Alves Nunes de Paulo - 28/01/2025 11:02:14</t>
  </si>
  <si>
    <t>Beatriz Alves Nunes de Paulo - 28/01/2025 11:02:31</t>
  </si>
  <si>
    <t>Beatriz Alves Nunes de Paulo - 28/01/2025 11:02:34</t>
  </si>
  <si>
    <t>Beatriz Alves Nunes de Paulo - 28/01/2025 11:02:35</t>
  </si>
  <si>
    <t>Beatriz Alves Nunes de Paulo - 28/01/2025 11:02:41</t>
  </si>
  <si>
    <t>Beatriz Alves Nunes de Paulo - 28/01/2025 11:02:59</t>
  </si>
  <si>
    <t>Beatriz Alves Nunes de Paulo - 28/01/2025 11:03:01</t>
  </si>
  <si>
    <t>Beatriz Alves Nunes de Paulo - 28/01/2025 11:03:03</t>
  </si>
  <si>
    <t>Alisson Airton Sobrinho - 03/03/2025 14:01:42</t>
  </si>
  <si>
    <t>Alisson Airton Sobrinho - 03/03/2025 14:01:43</t>
  </si>
  <si>
    <t>Alisson Airton Sobrinho - 03/03/2025 14:01:44</t>
  </si>
  <si>
    <t>Alisson Airton Sobrinho - 03/03/2025 14:01:45</t>
  </si>
  <si>
    <t>Alisson Airton Sobrinho - 03/03/2025 14:01:46</t>
  </si>
  <si>
    <t>Alisson Airton Sobrinho - 03/03/2025 14:01:47</t>
  </si>
  <si>
    <t>Alisson Airton Sobrinho - 03/03/2025 14:01:51</t>
  </si>
  <si>
    <t>Alisson Airton Sobrinho - 03/03/2025 14:01:52</t>
  </si>
  <si>
    <t>Alisson Airton Sobrinho - 03/03/2025 14:01:53</t>
  </si>
  <si>
    <t>Alisson Airton Sobrinho - 08/03/2025 09:35:09</t>
  </si>
  <si>
    <t>Alisson Airton Sobrinho - 08/03/2025 09:35:11</t>
  </si>
  <si>
    <t>Alisson Airton Sobrinho - 08/03/2025 09:35:12</t>
  </si>
  <si>
    <t>Alisson Airton Sobrinho - 08/03/2025 09:35:14</t>
  </si>
  <si>
    <t>Base de Dados_Images/BD3001.Imagem do Equipamento-.164522.jpg</t>
  </si>
  <si>
    <t>Beatriz Alves Nunes de Paulo - 28/01/2025 11:00:30</t>
  </si>
  <si>
    <t>Base de Dados_Images/BD3001.Imagem da Plaqueta do Motor-.164522.jpg</t>
  </si>
  <si>
    <t>Beatriz Alves Nunes de Paulo - 28/01/2025 11:00:58</t>
  </si>
  <si>
    <t>BD3003</t>
  </si>
  <si>
    <t>Bomba 01 Do Tanque De Lodo</t>
  </si>
  <si>
    <t>Beatriz Alves Nunes de Paulo - 28/01/2025 10:27:04</t>
  </si>
  <si>
    <t>Beatriz Alves Nunes de Paulo - 28/01/2025 10:27:24</t>
  </si>
  <si>
    <t>Beatriz Alves Nunes de Paulo - 28/01/2025 10:27:27</t>
  </si>
  <si>
    <t>Beatriz Alves Nunes de Paulo - 28/01/2025 10:27:31</t>
  </si>
  <si>
    <t>Beatriz Alves Nunes de Paulo - 28/01/2025 10:27:35</t>
  </si>
  <si>
    <t>Beatriz Alves Nunes de Paulo - 28/01/2025 10:27:37</t>
  </si>
  <si>
    <t>Beatriz Alves Nunes de Paulo - 28/01/2025 10:27:39</t>
  </si>
  <si>
    <t>Beatriz Alves Nunes de Paulo - 28/01/2025 10:27:42</t>
  </si>
  <si>
    <t>Beatriz Alves Nunes de Paulo - 28/01/2025 10:27:48</t>
  </si>
  <si>
    <t>Beatriz Alves Nunes de Paulo - 28/01/2025 10:28:50</t>
  </si>
  <si>
    <t>Beatriz Alves Nunes de Paulo - 28/01/2025 10:28:47</t>
  </si>
  <si>
    <t>Beatriz Alves Nunes de Paulo - 28/01/2025 10:28:18</t>
  </si>
  <si>
    <t>Beatriz Alves Nunes de Paulo - 28/01/2025 10:28:21</t>
  </si>
  <si>
    <t>Beatriz Alves Nunes de Paulo - 28/01/2025 10:28:26</t>
  </si>
  <si>
    <t>Beatriz Alves Nunes de Paulo - 28/01/2025 10:28:31</t>
  </si>
  <si>
    <t>Beatriz Alves Nunes de Paulo - 28/01/2025 10:28:30</t>
  </si>
  <si>
    <t>Alisson Airton Sobrinho - 04/03/2025 12:46:52</t>
  </si>
  <si>
    <t>Alisson Airton Sobrinho - 04/03/2025 12:46:53</t>
  </si>
  <si>
    <t>Alisson Airton Sobrinho - 04/03/2025 12:46:54</t>
  </si>
  <si>
    <t>Alisson Airton Sobrinho - 04/03/2025 12:46:55</t>
  </si>
  <si>
    <t>Alisson Airton Sobrinho - 04/03/2025 12:46:56</t>
  </si>
  <si>
    <t>Alisson Airton Sobrinho - 04/03/2025 12:46:57</t>
  </si>
  <si>
    <t>Alisson Airton Sobrinho - 04/03/2025 12:47:01</t>
  </si>
  <si>
    <t>Alisson Airton Sobrinho - 04/03/2025 12:47:02</t>
  </si>
  <si>
    <t>Alisson Airton Sobrinho - 04/03/2025 12:47:03</t>
  </si>
  <si>
    <t>Alisson Airton Sobrinho - 07/03/2025 07:20:01</t>
  </si>
  <si>
    <t>Alisson Airton Sobrinho - 07/03/2025 07:20:03</t>
  </si>
  <si>
    <t>Alisson Airton Sobrinho - 07/03/2025 07:20:04</t>
  </si>
  <si>
    <t>Base de Dados_Images/BD3003.Imagem do Equipamento-.164354.jpg</t>
  </si>
  <si>
    <t>Beatriz Alves Nunes de Paulo - 28/01/2025 10:22:57</t>
  </si>
  <si>
    <t>Base de Dados_Images/BD3003.Imagem da Plaqueta do Motor-.164354.jpg</t>
  </si>
  <si>
    <t>Beatriz Alves Nunes de Paulo - 28/01/2025 10:26:49</t>
  </si>
  <si>
    <t>BD3004</t>
  </si>
  <si>
    <t>Bomba 02 Do Tanque De Lodo</t>
  </si>
  <si>
    <t>Weslley Ferreira Cooper - 31/01/2025 11:18:36</t>
  </si>
  <si>
    <t>Weslley Ferreira Cooper - 31/01/2025 11:18:35</t>
  </si>
  <si>
    <t>Weslley Ferreira Cooper - 31/01/2025 11:18:33</t>
  </si>
  <si>
    <t>Weslley Ferreira Cooper - 31/01/2025 11:18:32</t>
  </si>
  <si>
    <t>Weslley Ferreira Cooper - 31/01/2025 11:18:31</t>
  </si>
  <si>
    <t>Weslley Ferreira Cooper - 31/01/2025 11:18:29</t>
  </si>
  <si>
    <t>Weslley Ferreira Cooper - 31/01/2025 11:18:28</t>
  </si>
  <si>
    <t>Weslley Ferreira Cooper - 31/01/2025 11:18:26</t>
  </si>
  <si>
    <t>Weslley Ferreira Cooper - 31/01/2025 11:18:24</t>
  </si>
  <si>
    <t>Weslley Ferreira Cooper - 31/01/2025 11:18:23</t>
  </si>
  <si>
    <t>Weslley Ferreira Cooper - 31/01/2025 11:18:20</t>
  </si>
  <si>
    <t>Weslley Ferreira Cooper - 31/01/2025 11:18:19</t>
  </si>
  <si>
    <t>Weslley Ferreira Cooper - 31/01/2025 11:18:18</t>
  </si>
  <si>
    <t>Alisson Airton Sobrinho - 04/03/2025 13:25:56</t>
  </si>
  <si>
    <t>Alisson Airton Sobrinho - 04/03/2025 13:25:59</t>
  </si>
  <si>
    <t>Alisson Airton Sobrinho - 04/03/2025 13:25:57</t>
  </si>
  <si>
    <t>Alisson Airton Sobrinho - 04/03/2025 13:26:00</t>
  </si>
  <si>
    <t>Alisson Airton Sobrinho - 04/03/2025 13:26:16</t>
  </si>
  <si>
    <t>Alisson Airton Sobrinho - 04/03/2025 13:26:05</t>
  </si>
  <si>
    <t>Alisson Airton Sobrinho - 04/03/2025 13:26:07</t>
  </si>
  <si>
    <t>Alisson Airton Sobrinho - 04/03/2025 13:26:06</t>
  </si>
  <si>
    <t>Alisson Airton Sobrinho - 07/03/2025 07:20:10</t>
  </si>
  <si>
    <t>Alisson Airton Sobrinho - 07/03/2025 07:20:11</t>
  </si>
  <si>
    <t>Alisson Airton Sobrinho - 07/03/2025 07:20:12</t>
  </si>
  <si>
    <t>Base de Dados_Images/BD3004.Imagem do Equipamento-.154218.jpg</t>
  </si>
  <si>
    <t>Weslley Ferreira Cooper - 31/01/2025 11:18:11</t>
  </si>
  <si>
    <t>Tanque Leite De Cal (Tq 208)</t>
  </si>
  <si>
    <t>BD3201</t>
  </si>
  <si>
    <t>Bomba Dosadora De Leite De Cal 01</t>
  </si>
  <si>
    <t>Beatriz Alves Nunes de Paulo - 28/01/2025 09:22:14</t>
  </si>
  <si>
    <t>Beatriz Alves Nunes de Paulo - 28/01/2025 09:22:16</t>
  </si>
  <si>
    <t>Beatriz Alves Nunes de Paulo - 28/01/2025 09:22:19</t>
  </si>
  <si>
    <t>Beatriz Alves Nunes de Paulo - 28/01/2025 09:22:23</t>
  </si>
  <si>
    <t>Beatriz Alves Nunes de Paulo - 28/01/2025 09:22:26</t>
  </si>
  <si>
    <t>Beatriz Alves Nunes de Paulo - 28/01/2025 09:22:27</t>
  </si>
  <si>
    <t>Beatriz Alves Nunes de Paulo - 28/01/2025 09:22:30</t>
  </si>
  <si>
    <t>Beatriz Alves Nunes de Paulo - 28/01/2025 09:22:34</t>
  </si>
  <si>
    <t>Beatriz Alves Nunes de Paulo - 28/01/2025 09:22:47</t>
  </si>
  <si>
    <t>Beatriz Alves Nunes de Paulo - 28/01/2025 09:22:49</t>
  </si>
  <si>
    <t>Beatriz Alves Nunes de Paulo - 28/01/2025 09:22:53</t>
  </si>
  <si>
    <t>Beatriz Alves Nunes de Paulo - 28/01/2025 09:22:55</t>
  </si>
  <si>
    <t>Beatriz Alves Nunes de Paulo - 28/01/2025 09:22:59</t>
  </si>
  <si>
    <t>Beatriz Alves Nunes de Paulo - 28/01/2025 09:23:14</t>
  </si>
  <si>
    <t>Beatriz Alves Nunes de Paulo - 28/01/2025 09:23:17</t>
  </si>
  <si>
    <t>Beatriz Alves Nunes de Paulo - 28/01/2025 09:23:23</t>
  </si>
  <si>
    <t>Alisson Airton Sobrinho - 08/02/2025 08:13:08</t>
  </si>
  <si>
    <t>Alisson Airton Sobrinho - 08/02/2025 08:13:09</t>
  </si>
  <si>
    <t>Alisson Airton Sobrinho - 08/02/2025 08:13:12</t>
  </si>
  <si>
    <t>Alisson Airton Sobrinho - 08/02/2025 08:13:14</t>
  </si>
  <si>
    <t>Alisson Airton Sobrinho - 08/02/2025 08:13:15</t>
  </si>
  <si>
    <t>Alisson Airton Sobrinho - 08/02/2025 08:13:20</t>
  </si>
  <si>
    <t>Alisson Airton Sobrinho - 08/02/2025 08:13:24</t>
  </si>
  <si>
    <t>Alisson Airton Sobrinho - 08/02/2025 08:13:25</t>
  </si>
  <si>
    <t>Alisson Airton Sobrinho - 08/02/2025 08:13:27</t>
  </si>
  <si>
    <t>Alisson Airton Sobrinho - 08/02/2025 08:13:29</t>
  </si>
  <si>
    <t>Alisson Airton Sobrinho - 07/03/2025 07:16:42</t>
  </si>
  <si>
    <t>Alisson Airton Sobrinho - 07/03/2025 07:16:43</t>
  </si>
  <si>
    <t>Alisson Airton Sobrinho - 07/03/2025 07:16:44</t>
  </si>
  <si>
    <t>Alisson Airton Sobrinho - 07/03/2025 07:16:46</t>
  </si>
  <si>
    <t>Beatriz Alves Nunes de Paulo - 01/28/2025 09:21:55</t>
  </si>
  <si>
    <t>Tanque Leite De Cal (Tq 209)</t>
  </si>
  <si>
    <t>BD3202</t>
  </si>
  <si>
    <t>Bomba Dosadora De Leite De Cal 02</t>
  </si>
  <si>
    <t>Beatriz Alves Nunes de Paulo - 28/01/2025 09:26:34</t>
  </si>
  <si>
    <t>Beatriz Alves Nunes de Paulo - 28/01/2025 09:26:37</t>
  </si>
  <si>
    <t>Beatriz Alves Nunes de Paulo - 28/01/2025 09:26:42</t>
  </si>
  <si>
    <t>Beatriz Alves Nunes de Paulo - 28/01/2025 09:26:46</t>
  </si>
  <si>
    <t>Beatriz Alves Nunes de Paulo - 28/01/2025 09:26:49</t>
  </si>
  <si>
    <t>Beatriz Alves Nunes de Paulo - 28/01/2025 09:26:52</t>
  </si>
  <si>
    <t>Beatriz Alves Nunes de Paulo - 28/01/2025 09:26:53</t>
  </si>
  <si>
    <t>Beatriz Alves Nunes de Paulo - 28/01/2025 09:26:57</t>
  </si>
  <si>
    <t>Beatriz Alves Nunes de Paulo - 28/01/2025 09:27:03</t>
  </si>
  <si>
    <t>Beatriz Alves Nunes de Paulo - 28/01/2025 09:27:13</t>
  </si>
  <si>
    <t>Beatriz Alves Nunes de Paulo - 28/01/2025 09:27:17</t>
  </si>
  <si>
    <t>Beatriz Alves Nunes de Paulo - 28/01/2025 09:27:19</t>
  </si>
  <si>
    <t>Beatriz Alves Nunes de Paulo - 28/01/2025 09:27:21</t>
  </si>
  <si>
    <t>Beatriz Alves Nunes de Paulo - 28/01/2025 09:27:29</t>
  </si>
  <si>
    <t>Beatriz Alves Nunes de Paulo - 28/01/2025 09:27:32</t>
  </si>
  <si>
    <t>Beatriz Alves Nunes de Paulo - 28/01/2025 09:27:35</t>
  </si>
  <si>
    <t>Alisson Airton Sobrinho - 03/03/2025 14:03:32</t>
  </si>
  <si>
    <t>Alisson Airton Sobrinho - 03/03/2025 14:03:33</t>
  </si>
  <si>
    <t>Alisson Airton Sobrinho - 03/03/2025 14:03:34</t>
  </si>
  <si>
    <t>Alisson Airton Sobrinho - 03/03/2025 14:03:35</t>
  </si>
  <si>
    <t>Alisson Airton Sobrinho - 03/03/2025 14:03:36</t>
  </si>
  <si>
    <t>Alisson Airton Sobrinho - 03/03/2025 14:03:37</t>
  </si>
  <si>
    <t>Alisson Airton Sobrinho - 03/03/2025 14:03:40</t>
  </si>
  <si>
    <t>Alisson Airton Sobrinho - 03/03/2025 14:03:41</t>
  </si>
  <si>
    <t>Alisson Airton Sobrinho - 03/03/2025 14:03:42</t>
  </si>
  <si>
    <t>Alisson Airton Sobrinho - 03/03/2025 14:03:43</t>
  </si>
  <si>
    <t>Alisson Airton Sobrinho - 07/03/2025 08:01:54</t>
  </si>
  <si>
    <t>Alisson Airton Sobrinho - 07/03/2025 08:01:56</t>
  </si>
  <si>
    <t>Alisson Airton Sobrinho - 07/03/2025 08:02:03</t>
  </si>
  <si>
    <t>Alisson Airton Sobrinho - 07/03/2025 08:01:58</t>
  </si>
  <si>
    <t>Base de Dados_Images/BD3202.Imagem do Equipamento-.163047.jpg</t>
  </si>
  <si>
    <t>Beatriz Alves Nunes de Paulo - 28/01/2025 09:26:00</t>
  </si>
  <si>
    <t>Base de Dados_Images/BD3202.Imagem da Plaqueta do Motor-.163047.jpg</t>
  </si>
  <si>
    <t>Beatriz Alves Nunes de Paulo - 28/01/2025 09:26:25</t>
  </si>
  <si>
    <t>Tanque Mel Rico</t>
  </si>
  <si>
    <t>BD4001</t>
  </si>
  <si>
    <t>Bba Do Tq De Mel Rico (Extern</t>
  </si>
  <si>
    <t>Beatriz Alves Nunes de Paulo - 28/01/2025 08:33:32</t>
  </si>
  <si>
    <t>Beatriz Alves Nunes de Paulo - 28/01/2025 08:33:35</t>
  </si>
  <si>
    <t>Beatriz Alves Nunes de Paulo - 28/01/2025 08:33:39</t>
  </si>
  <si>
    <t>Beatriz Alves Nunes de Paulo - 28/01/2025 08:33:38</t>
  </si>
  <si>
    <t>Beatriz Alves Nunes de Paulo - 28/01/2025 08:33:44</t>
  </si>
  <si>
    <t>Beatriz Alves Nunes de Paulo - 28/01/2025 08:33:46</t>
  </si>
  <si>
    <t>Beatriz Alves Nunes de Paulo - 28/01/2025 08:33:47</t>
  </si>
  <si>
    <t>Beatriz Alves Nunes de Paulo - 28/01/2025 08:33:55</t>
  </si>
  <si>
    <t>Beatriz Alves Nunes de Paulo - 28/01/2025 08:33:56</t>
  </si>
  <si>
    <t>Beatriz Alves Nunes de Paulo - 28/01/2025 08:33:58</t>
  </si>
  <si>
    <t>Beatriz Alves Nunes de Paulo - 28/01/2025 08:34:00</t>
  </si>
  <si>
    <t>Beatriz Alves Nunes de Paulo - 28/01/2025 08:34:02</t>
  </si>
  <si>
    <t>Beatriz Alves Nunes de Paulo - 28/01/2025 08:34:04</t>
  </si>
  <si>
    <t>Beatriz Alves Nunes de Paulo - 28/01/2025 08:34:10</t>
  </si>
  <si>
    <t>Beatriz Alves Nunes de Paulo - 28/01/2025 08:34:09</t>
  </si>
  <si>
    <t>Beatriz Alves Nunes de Paulo - 04/02/2025 14:29:28</t>
  </si>
  <si>
    <t>Beatriz Alves Nunes de Paulo - 04/02/2025 14:29:29</t>
  </si>
  <si>
    <t>Beatriz Alves Nunes de Paulo - 04/02/2025 14:29:30</t>
  </si>
  <si>
    <t>Beatriz Alves Nunes de Paulo - 04/02/2025 14:29:32</t>
  </si>
  <si>
    <t>Beatriz Alves Nunes de Paulo - 04/02/2025 14:29:37</t>
  </si>
  <si>
    <t>Beatriz Alves Nunes de Paulo - 04/02/2025 14:29:33</t>
  </si>
  <si>
    <t>Alisson Airton Sobrinho - 07/03/2025 08:30:27</t>
  </si>
  <si>
    <t>Alisson Airton Sobrinho - 07/03/2025 08:30:28</t>
  </si>
  <si>
    <t>Alisson Airton Sobrinho - 07/03/2025 08:30:29</t>
  </si>
  <si>
    <t>Alisson Airton Sobrinho - 07/03/2025 08:30:30</t>
  </si>
  <si>
    <t>Alisson Airton Sobrinho - 07/03/2025 08:30:33</t>
  </si>
  <si>
    <t>Alisson Airton Sobrinho - 07/03/2025 08:30:35</t>
  </si>
  <si>
    <t>Alisson Airton Sobrinho - 07/03/2025 08:30:36</t>
  </si>
  <si>
    <t>Base de Dados_Images/BD4001.Imagem do Equipamento-.131558.jpg</t>
  </si>
  <si>
    <t>Beatriz Alves Nunes de Paulo - 28/01/2025 08:33:12</t>
  </si>
  <si>
    <t>Base de Dados_Images/BD4001.Imagem da Plaqueta do Motor-.131558.jpg</t>
  </si>
  <si>
    <t>Beatriz Alves Nunes de Paulo - 28/01/2025 08:33:26</t>
  </si>
  <si>
    <t>BD4002</t>
  </si>
  <si>
    <t>Bba (Reserva) Tq Mel Rico (Extern</t>
  </si>
  <si>
    <t>Beatriz Alves Nunes de Paulo - 28/01/2025 08:35:31</t>
  </si>
  <si>
    <t>Beatriz Alves Nunes de Paulo - 28/01/2025 08:35:32</t>
  </si>
  <si>
    <t>Beatriz Alves Nunes de Paulo - 28/01/2025 08:35:35</t>
  </si>
  <si>
    <t>Beatriz Alves Nunes de Paulo - 28/01/2025 08:35:33</t>
  </si>
  <si>
    <t>Beatriz Alves Nunes de Paulo - 28/01/2025 08:35:39</t>
  </si>
  <si>
    <t>Beatriz Alves Nunes de Paulo - 28/01/2025 08:35:38</t>
  </si>
  <si>
    <t>Beatriz Alves Nunes de Paulo - 28/01/2025 08:35:41</t>
  </si>
  <si>
    <t>Beatriz Alves Nunes de Paulo - 28/01/2025 08:35:43</t>
  </si>
  <si>
    <t>Beatriz Alves Nunes de Paulo - 28/01/2025 08:35:47</t>
  </si>
  <si>
    <t>Beatriz Alves Nunes de Paulo - 28/01/2025 08:35:46</t>
  </si>
  <si>
    <t>Beatriz Alves Nunes de Paulo - 28/01/2025 08:36:01</t>
  </si>
  <si>
    <t>Beatriz Alves Nunes de Paulo - 28/01/2025 08:36:04</t>
  </si>
  <si>
    <t>Beatriz Alves Nunes de Paulo - 28/01/2025 08:36:06</t>
  </si>
  <si>
    <t>Beatriz Alves Nunes de Paulo - 28/01/2025 08:36:08</t>
  </si>
  <si>
    <t>Beatriz Alves Nunes de Paulo - 28/01/2025 08:36:10</t>
  </si>
  <si>
    <t>Beatriz Alves Nunes de Paulo - 28/01/2025 08:36:11</t>
  </si>
  <si>
    <t>Beatriz Alves Nunes de Paulo - 04/02/2025 14:29:47</t>
  </si>
  <si>
    <t>Beatriz Alves Nunes de Paulo - 04/02/2025 14:29:49</t>
  </si>
  <si>
    <t>Beatriz Alves Nunes de Paulo - 04/02/2025 14:29:50</t>
  </si>
  <si>
    <t>Beatriz Alves Nunes de Paulo - 04/02/2025 14:29:53</t>
  </si>
  <si>
    <t>Beatriz Alves Nunes de Paulo - 04/02/2025 14:29:54</t>
  </si>
  <si>
    <t>Beatriz Alves Nunes de Paulo - 04/02/2025 14:29:56</t>
  </si>
  <si>
    <t>Alisson Airton Sobrinho - 07/03/2025 08:30:43</t>
  </si>
  <si>
    <t>Alisson Airton Sobrinho - 07/03/2025 08:30:45</t>
  </si>
  <si>
    <t>Alisson Airton Sobrinho - 07/03/2025 08:30:44</t>
  </si>
  <si>
    <t>Alisson Airton Sobrinho - 07/03/2025 08:30:48</t>
  </si>
  <si>
    <t>Alisson Airton Sobrinho - 07/03/2025 08:30:50</t>
  </si>
  <si>
    <t>Alisson Airton Sobrinho - 07/03/2025 08:30:49</t>
  </si>
  <si>
    <t>Alisson Airton Sobrinho - 07/03/2025 08:30:51</t>
  </si>
  <si>
    <t>Base de Dados_Images/BD4002.Imagem do Equipamento-.131729.jpg</t>
  </si>
  <si>
    <t>Beatriz Alves Nunes de Paulo - 28/01/2025 08:35:16</t>
  </si>
  <si>
    <t>Base de Dados_Images/BD4002.Imagem da Plaqueta do Motor-.131729.jpg</t>
  </si>
  <si>
    <t>Beatriz Alves Nunes de Paulo - 28/01/2025 08:35:26</t>
  </si>
  <si>
    <t>Tanque Pulmão Mel Pobre</t>
  </si>
  <si>
    <t>BD4003</t>
  </si>
  <si>
    <t>Sist Ema Bba Do Tq Pulmao Mel Pobre</t>
  </si>
  <si>
    <t>Beatriz Alves Nunes de Paulo - 28/01/2025 08:22:37</t>
  </si>
  <si>
    <t>Beatriz Alves Nunes de Paulo - 28/01/2025 08:22:39</t>
  </si>
  <si>
    <t>Beatriz Alves Nunes de Paulo - 28/01/2025 08:22:42</t>
  </si>
  <si>
    <t>Beatriz Alves Nunes de Paulo - 28/01/2025 08:22:45</t>
  </si>
  <si>
    <t>Beatriz Alves Nunes de Paulo - 28/01/2025 08:22:46</t>
  </si>
  <si>
    <t>Beatriz Alves Nunes de Paulo - 28/01/2025 08:22:49</t>
  </si>
  <si>
    <t>Beatriz Alves Nunes de Paulo - 28/01/2025 08:22:55</t>
  </si>
  <si>
    <t>Beatriz Alves Nunes de Paulo - 28/01/2025 08:23:02</t>
  </si>
  <si>
    <t>Beatriz Alves Nunes de Paulo - 28/01/2025 08:23:16</t>
  </si>
  <si>
    <t>Beatriz Alves Nunes de Paulo - 28/01/2025 08:23:29</t>
  </si>
  <si>
    <t>Beatriz Alves Nunes de Paulo - 28/01/2025 08:23:32</t>
  </si>
  <si>
    <t>Beatriz Alves Nunes de Paulo - 28/01/2025 08:23:34</t>
  </si>
  <si>
    <t>Beatriz Alves Nunes de Paulo - 28/01/2025 08:23:36</t>
  </si>
  <si>
    <t>Matheus César Azevedo Neto - 31/01/2025 11:47:56</t>
  </si>
  <si>
    <t>Beatriz Alves Nunes de Paulo - 28/01/2025 08:23:40</t>
  </si>
  <si>
    <t>Beatriz Alves Nunes de Paulo - 28/01/2025 08:23:58</t>
  </si>
  <si>
    <t>Alisson Airton Sobrinho - 06/03/2025 15:56:40</t>
  </si>
  <si>
    <t>Alisson Airton Sobrinho - 06/03/2025 15:56:41</t>
  </si>
  <si>
    <t>Alisson Airton Sobrinho - 06/03/2025 15:56:42</t>
  </si>
  <si>
    <t>Alisson Airton Sobrinho - 06/03/2025 15:56:43</t>
  </si>
  <si>
    <t>Alisson Airton Sobrinho - 06/03/2025 15:56:44</t>
  </si>
  <si>
    <t>Alisson Airton Sobrinho - 06/03/2025 15:56:45</t>
  </si>
  <si>
    <t>Alisson Airton Sobrinho - 07/03/2025 08:27:55</t>
  </si>
  <si>
    <t>Alisson Airton Sobrinho - 07/03/2025 08:27:56</t>
  </si>
  <si>
    <t>Alisson Airton Sobrinho - 07/03/2025 08:27:57</t>
  </si>
  <si>
    <t>Alisson Airton Sobrinho - 07/03/2025 08:27:58</t>
  </si>
  <si>
    <t>Alisson Airton Sobrinho - 07/03/2025 08:28:04</t>
  </si>
  <si>
    <t>Alisson Airton Sobrinho - 07/03/2025 08:28:09</t>
  </si>
  <si>
    <t>Alisson Airton Sobrinho - 07/03/2025 08:28:11</t>
  </si>
  <si>
    <t>Base de Dados_Images/BD4003.Imagem do Equipamento-.130936.jpg</t>
  </si>
  <si>
    <t>Beatriz Alves Nunes de Paulo - 28/01/2025 08:22:03</t>
  </si>
  <si>
    <t>Tanque Mel Pobre</t>
  </si>
  <si>
    <t>BD4004</t>
  </si>
  <si>
    <t>Bba Do Tq De Mel Pobre</t>
  </si>
  <si>
    <t>Beatriz Alves Nunes de Paulo - 30/01/2025 08:10:49</t>
  </si>
  <si>
    <t>Beatriz Alves Nunes de Paulo - 30/01/2025 08:10:52</t>
  </si>
  <si>
    <t>Beatriz Alves Nunes de Paulo - 30/01/2025 08:10:57</t>
  </si>
  <si>
    <t>Beatriz Alves Nunes de Paulo - 30/01/2025 08:11:01</t>
  </si>
  <si>
    <t>Beatriz Alves Nunes de Paulo - 30/01/2025 08:11:02</t>
  </si>
  <si>
    <t>Beatriz Alves Nunes de Paulo - 30/01/2025 08:11:05</t>
  </si>
  <si>
    <t>Beatriz Alves Nunes de Paulo - 30/01/2025 08:11:10</t>
  </si>
  <si>
    <t>Beatriz Alves Nunes de Paulo - 30/01/2025 08:11:12</t>
  </si>
  <si>
    <t>Beatriz Alves Nunes de Paulo - 30/01/2025 08:11:16</t>
  </si>
  <si>
    <t>Beatriz Alves Nunes de Paulo - 30/01/2025 08:11:17</t>
  </si>
  <si>
    <t>Beatriz Alves Nunes de Paulo - 30/01/2025 08:11:19</t>
  </si>
  <si>
    <t>Beatriz Alves Nunes de Paulo - 30/01/2025 08:11:20</t>
  </si>
  <si>
    <t>Beatriz Alves Nunes de Paulo - 30/01/2025 08:11:21</t>
  </si>
  <si>
    <t>Beatriz Alves Nunes de Paulo - 30/01/2025 08:11:22</t>
  </si>
  <si>
    <t>Beatriz Alves Nunes de Paulo - 30/01/2025 08:11:23</t>
  </si>
  <si>
    <t>Alisson Airton Sobrinho - 31/01/2025 12:31:42</t>
  </si>
  <si>
    <t>Alisson Airton Sobrinho - 31/01/2025 12:31:43</t>
  </si>
  <si>
    <t>Alisson Airton Sobrinho - 31/01/2025 12:31:45</t>
  </si>
  <si>
    <t>Alisson Airton Sobrinho - 31/01/2025 12:31:47</t>
  </si>
  <si>
    <t>Alisson Airton Sobrinho - 31/01/2025 12:31:50</t>
  </si>
  <si>
    <t>Alisson Airton Sobrinho - 07/03/2025 08:31:09</t>
  </si>
  <si>
    <t>Alisson Airton Sobrinho - 07/03/2025 08:31:11</t>
  </si>
  <si>
    <t>Alisson Airton Sobrinho - 07/03/2025 08:31:12</t>
  </si>
  <si>
    <t>Alisson Airton Sobrinho - 07/03/2025 08:31:15</t>
  </si>
  <si>
    <t>Alisson Airton Sobrinho - 07/03/2025 08:31:16</t>
  </si>
  <si>
    <t>Alisson Airton Sobrinho - 07/03/2025 08:31:18</t>
  </si>
  <si>
    <t>Beatriz Alves Nunes de Paulo - 01/30/2025 08:10:43</t>
  </si>
  <si>
    <t>BD4005</t>
  </si>
  <si>
    <t>Bba (Reserva) Tq Mel Pobre</t>
  </si>
  <si>
    <t>Beatriz Alves Nunes de Paulo - 30/01/2025 08:11:38</t>
  </si>
  <si>
    <t>Beatriz Alves Nunes de Paulo - 30/01/2025 08:11:44</t>
  </si>
  <si>
    <t>Beatriz Alves Nunes de Paulo - 30/01/2025 08:11:40</t>
  </si>
  <si>
    <t>Beatriz Alves Nunes de Paulo - 30/01/2025 08:11:51</t>
  </si>
  <si>
    <t>Beatriz Alves Nunes de Paulo - 30/01/2025 08:11:46</t>
  </si>
  <si>
    <t>Beatriz Alves Nunes de Paulo - 30/01/2025 08:11:53</t>
  </si>
  <si>
    <t>Beatriz Alves Nunes de Paulo - 30/01/2025 08:11:59</t>
  </si>
  <si>
    <t>Beatriz Alves Nunes de Paulo - 30/01/2025 08:12:01</t>
  </si>
  <si>
    <t>Beatriz Alves Nunes de Paulo - 30/01/2025 08:12:09</t>
  </si>
  <si>
    <t>Beatriz Alves Nunes de Paulo - 30/01/2025 08:12:10</t>
  </si>
  <si>
    <t>Beatriz Alves Nunes de Paulo - 30/01/2025 08:12:17</t>
  </si>
  <si>
    <t>Beatriz Alves Nunes de Paulo - 30/01/2025 08:12:13</t>
  </si>
  <si>
    <t>Beatriz Alves Nunes de Paulo - 30/01/2025 08:12:20</t>
  </si>
  <si>
    <t>Beatriz Alves Nunes de Paulo - 30/01/2025 08:12:22</t>
  </si>
  <si>
    <t>Beatriz Alves Nunes de Paulo - 30/01/2025 08:12:27</t>
  </si>
  <si>
    <t>Beatriz Alves Nunes de Paulo - 30/01/2025 08:12:29</t>
  </si>
  <si>
    <t>Alisson Airton Sobrinho - 31/01/2025 12:32:03</t>
  </si>
  <si>
    <t>Alisson Airton Sobrinho - 31/01/2025 12:32:04</t>
  </si>
  <si>
    <t>Alisson Airton Sobrinho - 31/01/2025 12:32:05</t>
  </si>
  <si>
    <t>Alisson Airton Sobrinho - 31/01/2025 12:32:07</t>
  </si>
  <si>
    <t>Alisson Airton Sobrinho - 31/01/2025 12:32:08</t>
  </si>
  <si>
    <t>Alisson Airton Sobrinho - 31/01/2025 12:32:09</t>
  </si>
  <si>
    <t>Alisson Airton Sobrinho - 07/03/2025 08:31:23</t>
  </si>
  <si>
    <t>Alisson Airton Sobrinho - 07/03/2025 08:31:24</t>
  </si>
  <si>
    <t>Alisson Airton Sobrinho - 07/03/2025 08:31:26</t>
  </si>
  <si>
    <t>Alisson Airton Sobrinho - 07/03/2025 08:31:29</t>
  </si>
  <si>
    <t>Alisson Airton Sobrinho - 07/03/2025 08:31:30</t>
  </si>
  <si>
    <t>Alisson Airton Sobrinho - 07/03/2025 08:31:31</t>
  </si>
  <si>
    <t>Beatriz Alves Nunes de Paulo - 01/30/2025 08:11:35</t>
  </si>
  <si>
    <t>Tanque Mel Returbinado</t>
  </si>
  <si>
    <t>BD4006</t>
  </si>
  <si>
    <t>Bba Tq Mel Returbinado / Diluidor (Ext</t>
  </si>
  <si>
    <t>Alisson Airton Sobrinho - 27/01/2025 10:11:42</t>
  </si>
  <si>
    <t>Alisson Airton Sobrinho - 27/01/2025 10:11:44</t>
  </si>
  <si>
    <t>Alisson Airton Sobrinho - 27/01/2025 10:11:45</t>
  </si>
  <si>
    <t>Alisson Airton Sobrinho - 27/01/2025 10:11:49</t>
  </si>
  <si>
    <t>Alisson Airton Sobrinho - 27/01/2025 10:11:51</t>
  </si>
  <si>
    <t>Alisson Airton Sobrinho - 27/01/2025 10:11:54</t>
  </si>
  <si>
    <t>Alisson Airton Sobrinho - 27/01/2025 10:11:55</t>
  </si>
  <si>
    <t>Alisson Airton Sobrinho - 27/01/2025 10:11:58</t>
  </si>
  <si>
    <t>Alisson Airton Sobrinho - 27/01/2025 10:12:02</t>
  </si>
  <si>
    <t>Alisson Airton Sobrinho - 27/01/2025 10:12:17</t>
  </si>
  <si>
    <t>Alisson Airton Sobrinho - 27/01/2025 10:12:32</t>
  </si>
  <si>
    <t>Alisson Airton Sobrinho - 27/01/2025 10:12:39</t>
  </si>
  <si>
    <t>Alisson Airton Sobrinho - 27/01/2025 10:12:43</t>
  </si>
  <si>
    <t>Alisson Airton Sobrinho - 27/01/2025 10:12:50</t>
  </si>
  <si>
    <t>Alisson Airton Sobrinho - 27/01/2025 10:12:54</t>
  </si>
  <si>
    <t>Alisson Airton Sobrinho - 27/01/2025 10:12:58</t>
  </si>
  <si>
    <t>Beatriz Alves Nunes de Paulo - 04/02/2025 14:33:42</t>
  </si>
  <si>
    <t>Beatriz Alves Nunes de Paulo - 04/02/2025 14:33:44</t>
  </si>
  <si>
    <t>Beatriz Alves Nunes de Paulo - 04/02/2025 14:33:45</t>
  </si>
  <si>
    <t>Beatriz Alves Nunes de Paulo - 04/02/2025 14:33:47</t>
  </si>
  <si>
    <t>Beatriz Alves Nunes de Paulo - 04/02/2025 14:33:48</t>
  </si>
  <si>
    <t>Beatriz Alves Nunes de Paulo - 04/02/2025 14:33:50</t>
  </si>
  <si>
    <t>Alisson Airton Sobrinho - 07/03/2025 08:26:28</t>
  </si>
  <si>
    <t>Alisson Airton Sobrinho - 07/03/2025 08:26:29</t>
  </si>
  <si>
    <t>Alisson Airton Sobrinho - 07/03/2025 08:26:30</t>
  </si>
  <si>
    <t>Alisson Airton Sobrinho - 07/03/2025 08:26:34</t>
  </si>
  <si>
    <t>Alisson Airton Sobrinho - 07/03/2025 08:26:36</t>
  </si>
  <si>
    <t>Alisson Airton Sobrinho - 07/03/2025 08:26:35</t>
  </si>
  <si>
    <t>Base de Dados_Images/BD4006.Imagem do Equipamento-.143113.jpg</t>
  </si>
  <si>
    <t>Alisson Airton Sobrinho - 27/01/2025 10:11:14</t>
  </si>
  <si>
    <t>Base de Dados_Images/BD4006.Imagem da Plaqueta do Motor-.143113.jpg</t>
  </si>
  <si>
    <t>Alisson Airton Sobrinho - 27/01/2025 10:11:34</t>
  </si>
  <si>
    <t>BD4007</t>
  </si>
  <si>
    <t>Bba Tq Mel Returb/Diluidor (Ext) Reser</t>
  </si>
  <si>
    <t>Alisson Airton Sobrinho - 27/01/2025 10:15:43</t>
  </si>
  <si>
    <t>Alisson Airton Sobrinho - 27/01/2025 10:15:49</t>
  </si>
  <si>
    <t>Alisson Airton Sobrinho - 27/01/2025 10:15:52</t>
  </si>
  <si>
    <t>Alisson Airton Sobrinho - 27/01/2025 10:15:57</t>
  </si>
  <si>
    <t>Alisson Airton Sobrinho - 27/01/2025 10:15:58</t>
  </si>
  <si>
    <t>Alisson Airton Sobrinho - 27/01/2025 10:16:02</t>
  </si>
  <si>
    <t>Alisson Airton Sobrinho - 27/01/2025 10:16:05</t>
  </si>
  <si>
    <t>Alisson Airton Sobrinho - 27/01/2025 10:16:09</t>
  </si>
  <si>
    <t>Alisson Airton Sobrinho - 27/01/2025 10:16:12</t>
  </si>
  <si>
    <t>Alisson Airton Sobrinho - 27/01/2025 10:16:18</t>
  </si>
  <si>
    <t>Alisson Airton Sobrinho - 27/01/2025 10:16:21</t>
  </si>
  <si>
    <t>Alisson Airton Sobrinho - 27/01/2025 10:16:23</t>
  </si>
  <si>
    <t>Alisson Airton Sobrinho - 27/01/2025 10:16:29</t>
  </si>
  <si>
    <t>Alisson Airton Sobrinho - 27/01/2025 10:16:32</t>
  </si>
  <si>
    <t>Alisson Airton Sobrinho - 27/01/2025 10:16:36</t>
  </si>
  <si>
    <t>Alisson Airton Sobrinho - 27/01/2025 10:16:42</t>
  </si>
  <si>
    <t>Beatriz Alves Nunes de Paulo - 04/02/2025 14:32:58</t>
  </si>
  <si>
    <t>Beatriz Alves Nunes de Paulo - 04/02/2025 14:33:02</t>
  </si>
  <si>
    <t>Beatriz Alves Nunes de Paulo - 04/02/2025 14:33:04</t>
  </si>
  <si>
    <t>Beatriz Alves Nunes de Paulo - 04/02/2025 14:32:59</t>
  </si>
  <si>
    <t>Beatriz Alves Nunes de Paulo - 04/02/2025 14:33:08</t>
  </si>
  <si>
    <t>Beatriz Alves Nunes de Paulo - 04/02/2025 14:33:09</t>
  </si>
  <si>
    <t>Alisson Airton Sobrinho - 07/03/2025 08:26:42</t>
  </si>
  <si>
    <t>Alisson Airton Sobrinho - 07/03/2025 08:26:43</t>
  </si>
  <si>
    <t>Alisson Airton Sobrinho - 07/03/2025 08:26:44</t>
  </si>
  <si>
    <t>Alisson Airton Sobrinho - 07/03/2025 08:26:45</t>
  </si>
  <si>
    <t>Alisson Airton Sobrinho - 07/03/2025 08:26:53</t>
  </si>
  <si>
    <t>Alisson Airton Sobrinho - 07/03/2025 08:26:54</t>
  </si>
  <si>
    <t>Alisson Airton Sobrinho - 07/03/2025 08:26:55</t>
  </si>
  <si>
    <t>Base de Dados_Images/BD4007.Imagem do Equipamento-.143234.jpg</t>
  </si>
  <si>
    <t>Alisson Airton Sobrinho - 27/01/2025 10:14:02</t>
  </si>
  <si>
    <t>Base de Dados_Images/BD4007.Imagem da Plaqueta do Motor-.143234.jpg</t>
  </si>
  <si>
    <t>Alisson Airton Sobrinho - 27/01/2025 10:15:35</t>
  </si>
  <si>
    <t>BD4008</t>
  </si>
  <si>
    <t>Bba De Magma Returbinado</t>
  </si>
  <si>
    <t>Beatriz Alves Nunes de Paulo - 03/02/2025 11:20:50</t>
  </si>
  <si>
    <t>Beatriz Alves Nunes de Paulo - 03/02/2025 11:20:51</t>
  </si>
  <si>
    <t>Beatriz Alves Nunes de Paulo - 03/02/2025 11:20:52</t>
  </si>
  <si>
    <t>Beatriz Alves Nunes de Paulo - 03/02/2025 11:20:53</t>
  </si>
  <si>
    <t>Beatriz Alves Nunes de Paulo - 03/02/2025 11:20:55</t>
  </si>
  <si>
    <t>Beatriz Alves Nunes de Paulo - 03/02/2025 11:20:56</t>
  </si>
  <si>
    <t>Beatriz Alves Nunes de Paulo - 03/02/2025 11:20:57</t>
  </si>
  <si>
    <t>Beatriz Alves Nunes de Paulo - 03/02/2025 11:20:59</t>
  </si>
  <si>
    <t>Beatriz Alves Nunes de Paulo - 03/02/2025 11:21:01</t>
  </si>
  <si>
    <t>Beatriz Alves Nunes de Paulo - 03/02/2025 11:21:24</t>
  </si>
  <si>
    <t>Beatriz Alves Nunes de Paulo - 03/02/2025 11:21:25</t>
  </si>
  <si>
    <t>Beatriz Alves Nunes de Paulo - 03/02/2025 11:21:27</t>
  </si>
  <si>
    <t>Beatriz Alves Nunes de Paulo - 03/02/2025 11:21:29</t>
  </si>
  <si>
    <t>Beatriz Alves Nunes de Paulo - 03/02/2025 11:21:31</t>
  </si>
  <si>
    <t>Beatriz Alves Nunes de Paulo - 03/02/2025 11:21:32</t>
  </si>
  <si>
    <t>Beatriz Alves Nunes de Paulo - 03/02/2025 11:21:34</t>
  </si>
  <si>
    <t>Beatriz Alves Nunes de Paulo - 27/02/2025 13:18:51</t>
  </si>
  <si>
    <t>Beatriz Alves Nunes de Paulo - 27/02/2025 13:18:50</t>
  </si>
  <si>
    <t>Beatriz Alves Nunes de Paulo - 27/02/2025 13:18:53</t>
  </si>
  <si>
    <t>Beatriz Alves Nunes de Paulo - 27/02/2025 13:18:56</t>
  </si>
  <si>
    <t>Beatriz Alves Nunes de Paulo - 27/02/2025 13:18:57</t>
  </si>
  <si>
    <t>Beatriz Alves Nunes de Paulo - 27/02/2025 13:19:05</t>
  </si>
  <si>
    <t>Beatriz Alves Nunes de Paulo - 27/02/2025 13:19:25</t>
  </si>
  <si>
    <t>Beatriz Alves Nunes de Paulo - 27/02/2025 13:19:30</t>
  </si>
  <si>
    <t>Beatriz Alves Nunes de Paulo - 27/02/2025 13:19:29</t>
  </si>
  <si>
    <t>Beatriz Alves Nunes de Paulo - 27/02/2025 13:19:32</t>
  </si>
  <si>
    <t>Alisson Airton Sobrinho - 07/03/2025 08:33:22</t>
  </si>
  <si>
    <t>Alisson Airton Sobrinho - 07/03/2025 08:33:23</t>
  </si>
  <si>
    <t>Alisson Airton Sobrinho - 07/03/2025 08:33:25</t>
  </si>
  <si>
    <t>Base de Dados_Images/BD4008.Imagem do Equipamento-.144055.jpg</t>
  </si>
  <si>
    <t>Beatriz Alves Nunes de Paulo - 03/02/2025 11:20:18</t>
  </si>
  <si>
    <t>Base de Dados_Images/BD4008.Imagem da Plaqueta do Motor-.144055.jpg</t>
  </si>
  <si>
    <t>Beatriz Alves Nunes de Paulo - 03/02/2025 11:20:44</t>
  </si>
  <si>
    <t>BD4009</t>
  </si>
  <si>
    <t>Bba Magma Simple</t>
  </si>
  <si>
    <t>Beatriz Alves Nunes de Paulo - 28/01/2025 08:43:30</t>
  </si>
  <si>
    <t>Beatriz Alves Nunes de Paulo - 28/01/2025 08:43:31</t>
  </si>
  <si>
    <t>Beatriz Alves Nunes de Paulo - 28/01/2025 08:43:33</t>
  </si>
  <si>
    <t>Beatriz Alves Nunes de Paulo - 28/01/2025 08:43:34</t>
  </si>
  <si>
    <t>Beatriz Alves Nunes de Paulo - 28/01/2025 08:43:35</t>
  </si>
  <si>
    <t>Beatriz Alves Nunes de Paulo - 28/01/2025 08:43:36</t>
  </si>
  <si>
    <t>Beatriz Alves Nunes de Paulo - 28/01/2025 08:43:38</t>
  </si>
  <si>
    <t>Beatriz Alves Nunes de Paulo - 28/01/2025 08:43:40</t>
  </si>
  <si>
    <t>Beatriz Alves Nunes de Paulo - 28/01/2025 08:43:44</t>
  </si>
  <si>
    <t>Beatriz Alves Nunes de Paulo - 28/01/2025 08:44:08</t>
  </si>
  <si>
    <t>Beatriz Alves Nunes de Paulo - 28/01/2025 08:43:46</t>
  </si>
  <si>
    <t>Beatriz Alves Nunes de Paulo - 28/01/2025 08:43:47</t>
  </si>
  <si>
    <t>Beatriz Alves Nunes de Paulo - 28/01/2025 08:44:14</t>
  </si>
  <si>
    <t>Beatriz Alves Nunes de Paulo - 28/01/2025 08:44:18</t>
  </si>
  <si>
    <t>Beatriz Alves Nunes de Paulo - 28/01/2025 08:44:20</t>
  </si>
  <si>
    <t>Beatriz Alves Nunes de Paulo - 27/02/2025 13:22:47</t>
  </si>
  <si>
    <t>Beatriz Alves Nunes de Paulo - 27/02/2025 13:22:46</t>
  </si>
  <si>
    <t>Beatriz Alves Nunes de Paulo - 27/02/2025 13:23:10</t>
  </si>
  <si>
    <t>Beatriz Alves Nunes de Paulo - 27/02/2025 13:23:11</t>
  </si>
  <si>
    <t>Beatriz Alves Nunes de Paulo - 27/02/2025 13:23:13</t>
  </si>
  <si>
    <t>Beatriz Alves Nunes de Paulo - 27/02/2025 13:25:35</t>
  </si>
  <si>
    <t>Beatriz Alves Nunes de Paulo - 27/02/2025 13:25:36</t>
  </si>
  <si>
    <t>Beatriz Alves Nunes de Paulo - 27/02/2025 13:25:37</t>
  </si>
  <si>
    <t>Beatriz Alves Nunes de Paulo - 27/02/2025 13:25:39</t>
  </si>
  <si>
    <t>Alisson Airton Sobrinho - 07/03/2025 08:33:33</t>
  </si>
  <si>
    <t>Alisson Airton Sobrinho - 07/03/2025 08:33:34</t>
  </si>
  <si>
    <t>Alisson Airton Sobrinho - 07/03/2025 08:33:35</t>
  </si>
  <si>
    <t>Alisson Airton Sobrinho - 07/03/2025 08:33:36</t>
  </si>
  <si>
    <t>Base de Dados_Images/BD4009.Imagem do Equipamento-.152557.jpg</t>
  </si>
  <si>
    <t>Beatriz Alves Nunes de Paulo - 28/01/2025 08:43:26</t>
  </si>
  <si>
    <t>BD4010</t>
  </si>
  <si>
    <t>Bba Da Caixa De Mel Final</t>
  </si>
  <si>
    <t>Beatriz Alves Nunes de Paulo - 28/01/2025 08:29:47</t>
  </si>
  <si>
    <t>Beatriz Alves Nunes de Paulo - 28/01/2025 08:29:48</t>
  </si>
  <si>
    <t>Beatriz Alves Nunes de Paulo - 28/01/2025 08:29:49</t>
  </si>
  <si>
    <t>Beatriz Alves Nunes de Paulo - 28/01/2025 08:29:53</t>
  </si>
  <si>
    <t>Beatriz Alves Nunes de Paulo - 28/01/2025 08:29:52</t>
  </si>
  <si>
    <t>Beatriz Alves Nunes de Paulo - 28/01/2025 08:29:58</t>
  </si>
  <si>
    <t>Beatriz Alves Nunes de Paulo - 28/01/2025 08:29:56</t>
  </si>
  <si>
    <t>Beatriz Alves Nunes de Paulo - 28/01/2025 08:30:00</t>
  </si>
  <si>
    <t>Beatriz Alves Nunes de Paulo - 28/01/2025 08:30:02</t>
  </si>
  <si>
    <t>Beatriz Alves Nunes de Paulo - 28/01/2025 08:30:04</t>
  </si>
  <si>
    <t>Beatriz Alves Nunes de Paulo - 28/01/2025 08:30:07</t>
  </si>
  <si>
    <t>Beatriz Alves Nunes de Paulo - 28/01/2025 08:30:08</t>
  </si>
  <si>
    <t>Beatriz Alves Nunes de Paulo - 28/01/2025 08:30:13</t>
  </si>
  <si>
    <t>Beatriz Alves Nunes de Paulo - 28/01/2025 08:30:35</t>
  </si>
  <si>
    <t>Beatriz Alves Nunes de Paulo - 28/01/2025 08:30:40</t>
  </si>
  <si>
    <t>Beatriz Alves Nunes de Paulo - 28/01/2025 08:30:41</t>
  </si>
  <si>
    <t>Beatriz Alves Nunes de Paulo - 27/02/2025 13:26:19</t>
  </si>
  <si>
    <t>Beatriz Alves Nunes de Paulo - 27/02/2025 13:26:20</t>
  </si>
  <si>
    <t>Beatriz Alves Nunes de Paulo - 27/02/2025 13:26:21</t>
  </si>
  <si>
    <t>Beatriz Alves Nunes de Paulo - 27/02/2025 13:26:24</t>
  </si>
  <si>
    <t>Beatriz Alves Nunes de Paulo - 27/02/2025 13:26:25</t>
  </si>
  <si>
    <t>Alisson Airton Sobrinho - 07/03/2025 08:33:44</t>
  </si>
  <si>
    <t>Alisson Airton Sobrinho - 07/03/2025 08:33:45</t>
  </si>
  <si>
    <t>Alisson Airton Sobrinho - 07/03/2025 08:33:46</t>
  </si>
  <si>
    <t>Alisson Airton Sobrinho - 07/03/2025 08:33:47</t>
  </si>
  <si>
    <t>Alisson Airton Sobrinho - 07/03/2025 08:33:54</t>
  </si>
  <si>
    <t>Alisson Airton Sobrinho - 07/03/2025 08:33:55</t>
  </si>
  <si>
    <t>Alisson Airton Sobrinho - 07/03/2025 08:33:56</t>
  </si>
  <si>
    <t>Alisson Airton Sobrinho - 07/03/2025 08:33:57</t>
  </si>
  <si>
    <t>Base de Dados_Images/BD4010.Imagem do Equipamento-.131428.jpg</t>
  </si>
  <si>
    <t>Beatriz Alves Nunes de Paulo - 28/01/2025 08:29:42</t>
  </si>
  <si>
    <t>BD4011</t>
  </si>
  <si>
    <t>Bba Tq Mel Returbinado / Diluidor (Int</t>
  </si>
  <si>
    <t>Beatriz Alves Nunes de Paulo - 04/02/2025 14:31:43</t>
  </si>
  <si>
    <t>Beatriz Alves Nunes de Paulo - 04/02/2025 14:31:44</t>
  </si>
  <si>
    <t>Beatriz Alves Nunes de Paulo - 04/02/2025 14:31:45</t>
  </si>
  <si>
    <t>Beatriz Alves Nunes de Paulo - 04/02/2025 14:31:48</t>
  </si>
  <si>
    <t>Beatriz Alves Nunes de Paulo - 04/02/2025 14:31:49</t>
  </si>
  <si>
    <t>Beatriz Alves Nunes de Paulo - 04/02/2025 14:31:50</t>
  </si>
  <si>
    <t>Beatriz Alves Nunes de Paulo - 04/02/2025 14:31:53</t>
  </si>
  <si>
    <t>Beatriz Alves Nunes de Paulo - 04/02/2025 14:31:54</t>
  </si>
  <si>
    <t>Beatriz Alves Nunes de Paulo - 04/02/2025 14:31:58</t>
  </si>
  <si>
    <t>Beatriz Alves Nunes de Paulo - 04/02/2025 14:31:59</t>
  </si>
  <si>
    <t>Beatriz Alves Nunes de Paulo - 04/02/2025 14:32:04</t>
  </si>
  <si>
    <t>Beatriz Alves Nunes de Paulo - 04/02/2025 14:32:05</t>
  </si>
  <si>
    <t>Beatriz Alves Nunes de Paulo - 04/02/2025 14:32:06</t>
  </si>
  <si>
    <t>Beatriz Alves Nunes de Paulo - 04/02/2025 14:32:13</t>
  </si>
  <si>
    <t>Beatriz Alves Nunes de Paulo - 04/02/2025 14:32:16</t>
  </si>
  <si>
    <t>Beatriz Alves Nunes de Paulo - 04/02/2025 14:32:18</t>
  </si>
  <si>
    <t>Beatriz Alves Nunes de Paulo - 04/02/2025 14:32:26</t>
  </si>
  <si>
    <t>Beatriz Alves Nunes de Paulo - 04/02/2025 14:32:27</t>
  </si>
  <si>
    <t>Beatriz Alves Nunes de Paulo - 04/02/2025 14:32:28</t>
  </si>
  <si>
    <t>Beatriz Alves Nunes de Paulo - 04/02/2025 14:32:32</t>
  </si>
  <si>
    <t>Beatriz Alves Nunes de Paulo - 04/02/2025 14:32:33</t>
  </si>
  <si>
    <t>Beatriz Alves Nunes de Paulo - 04/02/2025 14:32:35</t>
  </si>
  <si>
    <t>Alisson Airton Sobrinho - 07/03/2025 08:27:01</t>
  </si>
  <si>
    <t>Alisson Airton Sobrinho - 07/03/2025 08:27:02</t>
  </si>
  <si>
    <t>Alisson Airton Sobrinho - 07/03/2025 08:27:03</t>
  </si>
  <si>
    <t>Alisson Airton Sobrinho - 07/03/2025 08:27:07</t>
  </si>
  <si>
    <t>Alisson Airton Sobrinho - 07/03/2025 08:27:08</t>
  </si>
  <si>
    <t>Alisson Airton Sobrinho - 07/03/2025 08:27:11</t>
  </si>
  <si>
    <t>Beatriz Alves Nunes de Paulo - 02/04/2025 14:31:38</t>
  </si>
  <si>
    <t>BD4012</t>
  </si>
  <si>
    <t>Bba Tq Mel Rico (Interno)</t>
  </si>
  <si>
    <t>Beatriz Alves Nunes de Paulo - 28/01/2025 08:27:46</t>
  </si>
  <si>
    <t>Beatriz Alves Nunes de Paulo - 28/01/2025 08:27:47</t>
  </si>
  <si>
    <t>Beatriz Alves Nunes de Paulo - 28/01/2025 08:27:50</t>
  </si>
  <si>
    <t>Beatriz Alves Nunes de Paulo - 28/01/2025 08:27:51</t>
  </si>
  <si>
    <t>Beatriz Alves Nunes de Paulo - 28/01/2025 08:27:53</t>
  </si>
  <si>
    <t>Beatriz Alves Nunes de Paulo - 28/01/2025 08:27:57</t>
  </si>
  <si>
    <t>Beatriz Alves Nunes de Paulo - 28/01/2025 08:27:56</t>
  </si>
  <si>
    <t>Beatriz Alves Nunes de Paulo - 28/01/2025 08:28:00</t>
  </si>
  <si>
    <t>Beatriz Alves Nunes de Paulo - 28/01/2025 08:28:02</t>
  </si>
  <si>
    <t>Beatriz Alves Nunes de Paulo - 28/01/2025 08:28:06</t>
  </si>
  <si>
    <t>Beatriz Alves Nunes de Paulo - 28/01/2025 08:28:10</t>
  </si>
  <si>
    <t>Beatriz Alves Nunes de Paulo - 28/01/2025 08:28:13</t>
  </si>
  <si>
    <t>Beatriz Alves Nunes de Paulo - 28/01/2025 08:28:15</t>
  </si>
  <si>
    <t>Beatriz Alves Nunes de Paulo - 28/01/2025 08:28:18</t>
  </si>
  <si>
    <t>Beatriz Alves Nunes de Paulo - 28/01/2025 08:28:21</t>
  </si>
  <si>
    <t>Beatriz Alves Nunes de Paulo - 28/01/2025 08:28:26</t>
  </si>
  <si>
    <t>Beatriz Alves Nunes de Paulo - 27/02/2025 13:27:25</t>
  </si>
  <si>
    <t>Beatriz Alves Nunes de Paulo - 27/02/2025 13:27:26</t>
  </si>
  <si>
    <t>Beatriz Alves Nunes de Paulo - 27/02/2025 13:27:28</t>
  </si>
  <si>
    <t>Beatriz Alves Nunes de Paulo - 27/02/2025 13:27:29</t>
  </si>
  <si>
    <t>Beatriz Alves Nunes de Paulo - 27/02/2025 13:27:31</t>
  </si>
  <si>
    <t>Alisson Airton Sobrinho - 07/03/2025 08:34:04</t>
  </si>
  <si>
    <t>Alisson Airton Sobrinho - 07/03/2025 08:34:05</t>
  </si>
  <si>
    <t>Alisson Airton Sobrinho - 07/03/2025 08:34:06</t>
  </si>
  <si>
    <t>Alisson Airton Sobrinho - 07/03/2025 08:34:12</t>
  </si>
  <si>
    <t>Alisson Airton Sobrinho - 07/03/2025 08:34:13</t>
  </si>
  <si>
    <t>Alisson Airton Sobrinho - 07/03/2025 08:34:14</t>
  </si>
  <si>
    <t>Alisson Airton Sobrinho - 07/03/2025 08:34:16</t>
  </si>
  <si>
    <t>Base de Dados_Images/BD4012.Imagem do Equipamento-.131305.jpg</t>
  </si>
  <si>
    <t>Beatriz Alves Nunes de Paulo - 28/01/2025 08:27:30</t>
  </si>
  <si>
    <t>Tanque Mel Final</t>
  </si>
  <si>
    <t>BD6501</t>
  </si>
  <si>
    <t>Bomba Do Tanque De Mel Final</t>
  </si>
  <si>
    <t>Weslley Ferreira Cooper - 29/01/2025 14:46:36</t>
  </si>
  <si>
    <t>Weslley Ferreira Cooper - 29/01/2025 14:46:41</t>
  </si>
  <si>
    <t>Weslley Ferreira Cooper - 29/01/2025 14:46:40</t>
  </si>
  <si>
    <t>Weslley Ferreira Cooper - 29/01/2025 14:46:32</t>
  </si>
  <si>
    <t>Weslley Ferreira Cooper - 29/01/2025 14:46:27</t>
  </si>
  <si>
    <t>Weslley Ferreira Cooper - 29/01/2025 14:46:26</t>
  </si>
  <si>
    <t>Weslley Ferreira Cooper - 29/01/2025 14:46:30</t>
  </si>
  <si>
    <t>Weslley Ferreira Cooper - 29/01/2025 14:46:21</t>
  </si>
  <si>
    <t>Weslley Ferreira Cooper - 29/01/2025 14:46:19</t>
  </si>
  <si>
    <t>Weslley Ferreira Cooper - 29/01/2025 14:46:18</t>
  </si>
  <si>
    <t>Weslley Ferreira Cooper - 29/01/2025 14:46:14</t>
  </si>
  <si>
    <t>Weslley Ferreira Cooper - 29/01/2025 14:46:13</t>
  </si>
  <si>
    <t>Weslley Ferreira Cooper - 29/01/2025 14:46:11</t>
  </si>
  <si>
    <t>Weslley Ferreira Cooper - 29/01/2025 14:46:09</t>
  </si>
  <si>
    <t>Weslley Ferreira Cooper - 29/01/2025 14:46:08</t>
  </si>
  <si>
    <t>Weslley Ferreira Cooper - 29/01/2025 14:46:07</t>
  </si>
  <si>
    <t>Alisson Airton Sobrinho - 31/01/2025 12:24:47</t>
  </si>
  <si>
    <t>Alisson Airton Sobrinho - 31/01/2025 12:24:48</t>
  </si>
  <si>
    <t>Alisson Airton Sobrinho - 31/01/2025 12:24:50</t>
  </si>
  <si>
    <t>Alisson Airton Sobrinho - 31/01/2025 12:24:51</t>
  </si>
  <si>
    <t>Alisson Airton Sobrinho - 31/01/2025 12:24:53</t>
  </si>
  <si>
    <t>Alisson Airton Sobrinho - 31/01/2025 12:24:54</t>
  </si>
  <si>
    <t>Alisson Airton Sobrinho - 01/02/2025 08:54:31</t>
  </si>
  <si>
    <t>Alisson Airton Sobrinho - 01/02/2025 08:54:34</t>
  </si>
  <si>
    <t>Alisson Airton Sobrinho - 01/02/2025 08:54:41</t>
  </si>
  <si>
    <t>Alisson Airton Sobrinho - 01/02/2025 08:54:43</t>
  </si>
  <si>
    <t>Alisson Airton Sobrinho - 04/03/2025 09:03:39</t>
  </si>
  <si>
    <t>Alisson Airton Sobrinho - 04/03/2025 09:03:40</t>
  </si>
  <si>
    <t>Alisson Airton Sobrinho - 04/03/2025 09:03:41</t>
  </si>
  <si>
    <t>Base de Dados_Images/BD6501.Imagem do Equipamento-.175822.jpg</t>
  </si>
  <si>
    <t>Weslley Ferreira Cooper - 29/01/2025 14:46:55</t>
  </si>
  <si>
    <t>Base de Dados_Images/BD6501.Imagem da Plaqueta do Motor-.170259.jpg</t>
  </si>
  <si>
    <t>Alisson Airton Sobrinho - 17/01/2025 14:02:51</t>
  </si>
  <si>
    <t>Tanque 001/ 002 Acido Sulfurico 98%</t>
  </si>
  <si>
    <t>BD7001</t>
  </si>
  <si>
    <t>Sistema Bba Do Tq Acido Sulfurico Nº</t>
  </si>
  <si>
    <t>Alisson Airton Sobrinho - 01/02/2025 08:41:54</t>
  </si>
  <si>
    <t>Alisson Airton Sobrinho - 01/02/2025 08:41:57</t>
  </si>
  <si>
    <t>Alisson Airton Sobrinho - 01/02/2025 08:42:00</t>
  </si>
  <si>
    <t>Alisson Airton Sobrinho - 01/02/2025 08:42:14</t>
  </si>
  <si>
    <t>Alisson Airton Sobrinho - 01/02/2025 08:42:09</t>
  </si>
  <si>
    <t>Alisson Airton Sobrinho - 01/02/2025 08:42:12</t>
  </si>
  <si>
    <t>Alisson Airton Sobrinho - 01/02/2025 08:42:19</t>
  </si>
  <si>
    <t>Alisson Airton Sobrinho - 01/02/2025 08:42:24</t>
  </si>
  <si>
    <t>Alisson Airton Sobrinho - 01/02/2025 08:42:29</t>
  </si>
  <si>
    <t>Alisson Airton Sobrinho - 01/02/2025 08:42:31</t>
  </si>
  <si>
    <t>Alisson Airton Sobrinho - 01/02/2025 08:42:33</t>
  </si>
  <si>
    <t>Alisson Airton Sobrinho - 01/02/2025 08:42:36</t>
  </si>
  <si>
    <t>Alisson Airton Sobrinho - 01/02/2025 08:42:38</t>
  </si>
  <si>
    <t>Alisson Airton Sobrinho - 01/02/2025 08:42:40</t>
  </si>
  <si>
    <t>Alisson Airton Sobrinho - 01/02/2025 08:42:44</t>
  </si>
  <si>
    <t>Alisson Airton Sobrinho - 01/02/2025 08:42:46</t>
  </si>
  <si>
    <t>Alisson Airton Sobrinho - 08/02/2025 14:44:21</t>
  </si>
  <si>
    <t>Alisson Airton Sobrinho - 08/02/2025 14:44:22</t>
  </si>
  <si>
    <t>Alisson Airton Sobrinho - 08/02/2025 14:44:24</t>
  </si>
  <si>
    <t>Alisson Airton Sobrinho - 08/02/2025 14:44:26</t>
  </si>
  <si>
    <t>Alisson Airton Sobrinho - 08/02/2025 14:44:29</t>
  </si>
  <si>
    <t>Alisson Airton Sobrinho - 08/02/2025 14:44:31</t>
  </si>
  <si>
    <t>Alisson Airton Sobrinho - 10/03/2025 11:26:54</t>
  </si>
  <si>
    <t>Alisson Airton Sobrinho - 10/03/2025 11:26:55</t>
  </si>
  <si>
    <t>Alisson Airton Sobrinho - 10/03/2025 11:26:56</t>
  </si>
  <si>
    <t>Alisson Airton Sobrinho - 10/03/2025 11:26:57</t>
  </si>
  <si>
    <t>Alisson Airton Sobrinho - 10/03/2025 11:27:07</t>
  </si>
  <si>
    <t>Alisson Airton Sobrinho - 10/03/2025 11:27:09</t>
  </si>
  <si>
    <t>Alisson Airton Sobrinho - 10/03/2025 11:27:14</t>
  </si>
  <si>
    <t>Alisson Airton Sobrinho - 10/03/2025 11:27:10</t>
  </si>
  <si>
    <t>Base de Dados_Images/BD7001.Imagem do Equipamento-.114148.jpg</t>
  </si>
  <si>
    <t>Alisson Airton Sobrinho - 01/02/2025 08:41:22</t>
  </si>
  <si>
    <t>Base de Dados_Images/BD7001.Imagem da Plaqueta do Motor-.114147.jpg</t>
  </si>
  <si>
    <t>Alisson Airton Sobrinho - 01/02/2025 08:41:44</t>
  </si>
  <si>
    <t>BD7002</t>
  </si>
  <si>
    <t>Sist Bba Nº 2 Tq Oleo Fusel Nº 3 / Nº</t>
  </si>
  <si>
    <t>Alisson Airton Sobrinho - 01/02/2025 14:14:01</t>
  </si>
  <si>
    <t>Alisson Airton Sobrinho - 01/02/2025 14:14:07</t>
  </si>
  <si>
    <t>Alisson Airton Sobrinho - 01/02/2025 14:14:02</t>
  </si>
  <si>
    <t>Alisson Airton Sobrinho - 01/02/2025 14:14:18</t>
  </si>
  <si>
    <t>Alisson Airton Sobrinho - 01/02/2025 14:14:21</t>
  </si>
  <si>
    <t>Alisson Airton Sobrinho - 01/02/2025 14:14:24</t>
  </si>
  <si>
    <t>Alisson Airton Sobrinho - 01/02/2025 14:14:28</t>
  </si>
  <si>
    <t>Alisson Airton Sobrinho - 01/02/2025 14:14:36</t>
  </si>
  <si>
    <t>Alisson Airton Sobrinho - 01/02/2025 14:14:44</t>
  </si>
  <si>
    <t>Alisson Airton Sobrinho - 01/02/2025 14:14:47</t>
  </si>
  <si>
    <t>Alisson Airton Sobrinho - 01/02/2025 14:14:49</t>
  </si>
  <si>
    <t>Alisson Airton Sobrinho - 01/02/2025 14:14:51</t>
  </si>
  <si>
    <t>Alisson Airton Sobrinho - 01/02/2025 14:14:53</t>
  </si>
  <si>
    <t>Alisson Airton Sobrinho - 01/02/2025 14:14:55</t>
  </si>
  <si>
    <t>Alisson Airton Sobrinho - 01/02/2025 14:14:56</t>
  </si>
  <si>
    <t>Alisson Airton Sobrinho - 01/02/2025 14:14:58</t>
  </si>
  <si>
    <t>Alisson Airton Sobrinho - 04/02/2025 15:29:51</t>
  </si>
  <si>
    <t>Alisson Airton Sobrinho - 04/02/2025 15:29:53</t>
  </si>
  <si>
    <t>Alisson Airton Sobrinho - 04/02/2025 15:29:56</t>
  </si>
  <si>
    <t>Alisson Airton Sobrinho - 04/02/2025 15:29:58</t>
  </si>
  <si>
    <t>Alisson Airton Sobrinho - 04/02/2025 15:30:01</t>
  </si>
  <si>
    <t>Alisson Airton Sobrinho - 04/02/2025 15:30:02</t>
  </si>
  <si>
    <t>Alisson Airton Sobrinho - 04/02/2025 15:30:10</t>
  </si>
  <si>
    <t>Alisson Airton Sobrinho - 04/02/2025 15:30:13</t>
  </si>
  <si>
    <t>Alisson Airton Sobrinho - 04/02/2025 15:30:16</t>
  </si>
  <si>
    <t>Alisson Airton Sobrinho - 04/02/2025 15:30:20</t>
  </si>
  <si>
    <t>Alisson Airton Sobrinho - 05/03/2025 11:53:14</t>
  </si>
  <si>
    <t>Alisson Airton Sobrinho - 05/03/2025 11:53:15</t>
  </si>
  <si>
    <t>Alisson Airton Sobrinho - 05/03/2025 11:53:16</t>
  </si>
  <si>
    <t>Base de Dados_Images/BD7002.Imagem do Equipamento-.171050.jpg</t>
  </si>
  <si>
    <t>Alisson Airton Sobrinho - 01/02/2025 14:09:55</t>
  </si>
  <si>
    <t>Base de Dados_Images/BD7002.Imagem da Plaqueta do Motor-.171050.jpg</t>
  </si>
  <si>
    <t>Alisson Airton Sobrinho - 01/02/2025 14:10:34</t>
  </si>
  <si>
    <t>BD7101</t>
  </si>
  <si>
    <t>Bomba 01 Do Tanque De Soda</t>
  </si>
  <si>
    <t>Alisson Airton Sobrinho - 01/02/2025 09:14:00</t>
  </si>
  <si>
    <t>Alisson Airton Sobrinho - 01/02/2025 09:14:02</t>
  </si>
  <si>
    <t>Alisson Airton Sobrinho - 01/02/2025 09:14:11</t>
  </si>
  <si>
    <t>Alisson Airton Sobrinho - 01/02/2025 09:14:13</t>
  </si>
  <si>
    <t>Alisson Airton Sobrinho - 01/02/2025 09:14:14</t>
  </si>
  <si>
    <t>Alisson Airton Sobrinho - 01/02/2025 09:14:19</t>
  </si>
  <si>
    <t>Alisson Airton Sobrinho - 01/02/2025 09:14:21</t>
  </si>
  <si>
    <t>Alisson Airton Sobrinho - 01/02/2025 12:01:38</t>
  </si>
  <si>
    <t>Alisson Airton Sobrinho - 01/02/2025 09:14:29</t>
  </si>
  <si>
    <t>Alisson Airton Sobrinho - 01/02/2025 09:14:31</t>
  </si>
  <si>
    <t>Alisson Airton Sobrinho - 01/02/2025 09:14:36</t>
  </si>
  <si>
    <t>Alisson Airton Sobrinho - 01/02/2025 09:14:48</t>
  </si>
  <si>
    <t>Alisson Airton Sobrinho - 01/02/2025 09:14:50</t>
  </si>
  <si>
    <t>Alisson Airton Sobrinho - 01/02/2025 09:14:55</t>
  </si>
  <si>
    <t>Alisson Airton Sobrinho - 01/02/2025 09:14:59</t>
  </si>
  <si>
    <t>Alisson Airton Sobrinho - 01/02/2025 09:15:02</t>
  </si>
  <si>
    <t>Alisson Airton Sobrinho - 01/02/2025 12:01:15</t>
  </si>
  <si>
    <t>Alisson Airton Sobrinho - 01/02/2025 12:01:17</t>
  </si>
  <si>
    <t>Alisson Airton Sobrinho - 01/02/2025 12:01:22</t>
  </si>
  <si>
    <t>Alisson Airton Sobrinho - 01/02/2025 12:01:24</t>
  </si>
  <si>
    <t>Alisson Airton Sobrinho - 01/02/2025 12:01:25</t>
  </si>
  <si>
    <t>Alisson Airton Sobrinho - 04/03/2025 09:02:20</t>
  </si>
  <si>
    <t>Alisson Airton Sobrinho - 04/03/2025 09:02:21</t>
  </si>
  <si>
    <t>Alisson Airton Sobrinho - 04/03/2025 09:02:22</t>
  </si>
  <si>
    <t>Alisson Airton Sobrinho - 07/03/2025 07:31:06</t>
  </si>
  <si>
    <t>Alisson Airton Sobrinho - 07/03/2025 07:31:07</t>
  </si>
  <si>
    <t>Alisson Airton Sobrinho - 07/03/2025 07:31:08</t>
  </si>
  <si>
    <t>Alisson Airton Sobrinho - 07/03/2025 07:31:11</t>
  </si>
  <si>
    <t>Base de Dados_Images/BD7101.Imagem do Equipamento-.172102.jpg</t>
  </si>
  <si>
    <t>Alisson Airton Sobrinho - 17/01/2025 14:20:28</t>
  </si>
  <si>
    <t>Base de Dados_Images/BD7101.Imagem da Plaqueta do Motor-.172102.jpg</t>
  </si>
  <si>
    <t>Alisson Airton Sobrinho - 17/01/2025 14:20:52</t>
  </si>
  <si>
    <t>BD7102</t>
  </si>
  <si>
    <t>Bomba 02 Do Tanque De Soda</t>
  </si>
  <si>
    <t>Alisson Airton Sobrinho - 01/02/2025 09:15:39</t>
  </si>
  <si>
    <t>Alisson Airton Sobrinho - 01/02/2025 09:15:40</t>
  </si>
  <si>
    <t>Alisson Airton Sobrinho - 01/02/2025 09:15:48</t>
  </si>
  <si>
    <t>Alisson Airton Sobrinho - 01/02/2025 09:15:46</t>
  </si>
  <si>
    <t>Alisson Airton Sobrinho - 01/02/2025 09:15:51</t>
  </si>
  <si>
    <t>Alisson Airton Sobrinho - 01/02/2025 09:15:52</t>
  </si>
  <si>
    <t>Alisson Airton Sobrinho - 01/02/2025 09:15:54</t>
  </si>
  <si>
    <t>Alisson Airton Sobrinho - 01/02/2025 09:15:56</t>
  </si>
  <si>
    <t>Alisson Airton Sobrinho - 01/02/2025 09:15:58</t>
  </si>
  <si>
    <t>Alisson Airton Sobrinho - 01/02/2025 09:16:01</t>
  </si>
  <si>
    <t>Alisson Airton Sobrinho - 01/02/2025 09:16:03</t>
  </si>
  <si>
    <t>Alisson Airton Sobrinho - 01/02/2025 09:16:09</t>
  </si>
  <si>
    <t>Alisson Airton Sobrinho - 01/02/2025 09:16:10</t>
  </si>
  <si>
    <t>Alisson Airton Sobrinho - 01/02/2025 09:16:12</t>
  </si>
  <si>
    <t>Alisson Airton Sobrinho - 01/02/2025 09:16:14</t>
  </si>
  <si>
    <t>Alisson Airton Sobrinho - 01/02/2025 09:16:15</t>
  </si>
  <si>
    <t>Alisson Airton Sobrinho - 01/02/2025 12:01:54</t>
  </si>
  <si>
    <t>Alisson Airton Sobrinho - 01/02/2025 12:01:57</t>
  </si>
  <si>
    <t>Alisson Airton Sobrinho - 01/02/2025 12:01:59</t>
  </si>
  <si>
    <t>Alisson Airton Sobrinho - 01/02/2025 12:02:02</t>
  </si>
  <si>
    <t>Alisson Airton Sobrinho - 01/02/2025 12:02:03</t>
  </si>
  <si>
    <t>Alisson Airton Sobrinho - 04/03/2025 09:02:29</t>
  </si>
  <si>
    <t>Alisson Airton Sobrinho - 04/03/2025 09:02:30</t>
  </si>
  <si>
    <t>Alisson Airton Sobrinho - 04/03/2025 09:02:31</t>
  </si>
  <si>
    <t>Alisson Airton Sobrinho - 07/03/2025 07:31:19</t>
  </si>
  <si>
    <t>Alisson Airton Sobrinho - 07/03/2025 07:31:20</t>
  </si>
  <si>
    <t>Alisson Airton Sobrinho - 07/03/2025 07:31:21</t>
  </si>
  <si>
    <t>Alisson Airton Sobrinho - 07/03/2025 07:31:23</t>
  </si>
  <si>
    <t>Base de Dados_Images/BD7102.Imagem do Equipamento-.172134.jpg</t>
  </si>
  <si>
    <t>Alisson Airton Sobrinho - 17/01/2025 14:21:26</t>
  </si>
  <si>
    <t>Base de Dados_Images/BD7102.Imagem da Plaqueta do Motor-.172134.jpg</t>
  </si>
  <si>
    <t>Alisson Airton Sobrinho - 17/01/2025 14:21:12</t>
  </si>
  <si>
    <t>Tanque Polimero</t>
  </si>
  <si>
    <t>BD8101</t>
  </si>
  <si>
    <t>Bomba Dosadora De Polimero</t>
  </si>
  <si>
    <t>Paula Caroline Morais Duarte - 29/01/2025 12:46:45</t>
  </si>
  <si>
    <t>Paula Caroline Morais Duarte - 29/01/2025 12:46:47</t>
  </si>
  <si>
    <t>Paula Caroline Morais Duarte - 29/01/2025 12:46:49</t>
  </si>
  <si>
    <t>Paula Caroline Morais Duarte - 29/01/2025 12:46:50</t>
  </si>
  <si>
    <t>Paula Caroline Morais Duarte - 29/01/2025 12:46:55</t>
  </si>
  <si>
    <t>Paula Caroline Morais Duarte - 29/01/2025 12:46:57</t>
  </si>
  <si>
    <t>Paula Caroline Morais Duarte - 29/01/2025 12:47:01</t>
  </si>
  <si>
    <t>Paula Caroline Morais Duarte - 29/01/2025 12:47:02</t>
  </si>
  <si>
    <t>Paula Caroline Morais Duarte - 29/01/2025 12:47:05</t>
  </si>
  <si>
    <t>Paula Caroline Morais Duarte - 29/01/2025 12:47:15</t>
  </si>
  <si>
    <t>Paula Caroline Morais Duarte - 29/01/2025 12:47:17</t>
  </si>
  <si>
    <t>Paula Caroline Morais Duarte - 29/01/2025 12:47:19</t>
  </si>
  <si>
    <t>Paula Caroline Morais Duarte - 29/01/2025 12:47:37</t>
  </si>
  <si>
    <t>Paula Caroline Morais Duarte - 29/01/2025 12:47:39</t>
  </si>
  <si>
    <t>Paula Caroline Morais Duarte - 29/01/2025 12:47:44</t>
  </si>
  <si>
    <t>Paula Caroline Morais Duarte - 29/01/2025 12:47:49</t>
  </si>
  <si>
    <t>Alisson Airton Sobrinho - 07/03/2025 15:33:48</t>
  </si>
  <si>
    <t>Alisson Airton Sobrinho - 07/03/2025 15:33:49</t>
  </si>
  <si>
    <t>Alisson Airton Sobrinho - 07/03/2025 15:33:50</t>
  </si>
  <si>
    <t>Alisson Airton Sobrinho - 07/03/2025 15:33:51</t>
  </si>
  <si>
    <t>Alisson Airton Sobrinho - 07/03/2025 15:33:52</t>
  </si>
  <si>
    <t>Alisson Airton Sobrinho - 07/03/2025 15:33:53</t>
  </si>
  <si>
    <t>Alisson Airton Sobrinho - 07/03/2025 15:33:57</t>
  </si>
  <si>
    <t>Alisson Airton Sobrinho - 07/03/2025 15:33:58</t>
  </si>
  <si>
    <t>Alisson Airton Sobrinho - 07/03/2025 15:33:59</t>
  </si>
  <si>
    <t>Alisson Airton Sobrinho - 07/03/2025 15:34:04</t>
  </si>
  <si>
    <t>Alisson Airton Sobrinho - 07/03/2025 15:34:05</t>
  </si>
  <si>
    <t>Alisson Airton Sobrinho - 07/03/2025 15:34:09</t>
  </si>
  <si>
    <t>Base de Dados_Images/BD8101.Imagem do Equipamento-.155431.jpg</t>
  </si>
  <si>
    <t>Paula Caroline Morais Duarte - 29/01/2025 12:46:25</t>
  </si>
  <si>
    <t>Base de Dados_Images/BD8101.Imagem da Plaqueta do Motor-.155431.jpg</t>
  </si>
  <si>
    <t>Paula Caroline Morais Duarte - 29/01/2025 12:46:39</t>
  </si>
  <si>
    <t>Tanque Anti Encrustante</t>
  </si>
  <si>
    <t>BD9501</t>
  </si>
  <si>
    <t>Bomba 01 De Desincrustante</t>
  </si>
  <si>
    <t>Weslley Ferreira Cooper - 31/01/2025 11:26:09</t>
  </si>
  <si>
    <t>Weslley Ferreira Cooper - 31/01/2025 11:26:03</t>
  </si>
  <si>
    <t>Weslley Ferreira Cooper - 31/01/2025 11:26:02</t>
  </si>
  <si>
    <t>Weslley Ferreira Cooper - 31/01/2025 11:26:01</t>
  </si>
  <si>
    <t>Weslley Ferreira Cooper - 31/01/2025 11:26:11</t>
  </si>
  <si>
    <t>Weslley Ferreira Cooper - 31/01/2025 11:25:59</t>
  </si>
  <si>
    <t>Weslley Ferreira Cooper - 31/01/2025 11:25:58</t>
  </si>
  <si>
    <t>Weslley Ferreira Cooper - 31/01/2025 11:25:55</t>
  </si>
  <si>
    <t>Weslley Ferreira Cooper - 31/01/2025 11:25:54</t>
  </si>
  <si>
    <t>Weslley Ferreira Cooper - 31/01/2025 11:25:53</t>
  </si>
  <si>
    <t>Weslley Ferreira Cooper - 31/01/2025 11:25:50</t>
  </si>
  <si>
    <t>Weslley Ferreira Cooper - 31/01/2025 11:25:49</t>
  </si>
  <si>
    <t>Weslley Ferreira Cooper - 31/01/2025 11:25:48</t>
  </si>
  <si>
    <t>Alisson Airton Sobrinho - 08/02/2025 08:05:20</t>
  </si>
  <si>
    <t>Alisson Airton Sobrinho - 08/02/2025 08:05:21</t>
  </si>
  <si>
    <t>Alisson Airton Sobrinho - 08/02/2025 08:05:23</t>
  </si>
  <si>
    <t>Alisson Airton Sobrinho - 08/02/2025 08:05:25</t>
  </si>
  <si>
    <t>Alisson Airton Sobrinho - 08/02/2025 08:05:29</t>
  </si>
  <si>
    <t>Alisson Airton Sobrinho - 08/02/2025 08:05:30</t>
  </si>
  <si>
    <t>Alisson Airton Sobrinho - 08/02/2025 08:05:35</t>
  </si>
  <si>
    <t>Alisson Airton Sobrinho - 08/02/2025 08:05:36</t>
  </si>
  <si>
    <t>Alisson Airton Sobrinho - 08/02/2025 08:05:37</t>
  </si>
  <si>
    <t>Alisson Airton Sobrinho - 08/02/2025 08:05:39</t>
  </si>
  <si>
    <t>Beatriz Alves Nunes de Paulo - 06/03/2025 08:36:05</t>
  </si>
  <si>
    <t>Beatriz Alves Nunes de Paulo - 06/03/2025 08:36:06</t>
  </si>
  <si>
    <t>Beatriz Alves Nunes de Paulo - 06/03/2025 08:36:07</t>
  </si>
  <si>
    <t>Beatriz Alves Nunes de Paulo - 06/03/2025 08:36:12</t>
  </si>
  <si>
    <t>Base de Dados_Images/BD9501.Imagem do Equipamento-.154514.jpg</t>
  </si>
  <si>
    <t>Weslley Ferreira Cooper - 31/01/2025 11:25:38</t>
  </si>
  <si>
    <t>BD9502 (Duplicado 1)</t>
  </si>
  <si>
    <t>Bomba 02 De Desincrustante</t>
  </si>
  <si>
    <t>Beatriz Alves Nunes de Paulo - 28/01/2025 10:05:54</t>
  </si>
  <si>
    <t>Beatriz Alves Nunes de Paulo - 28/01/2025 10:05:56</t>
  </si>
  <si>
    <t>Beatriz Alves Nunes de Paulo - 28/01/2025 10:05:58</t>
  </si>
  <si>
    <t>Beatriz Alves Nunes de Paulo - 28/01/2025 10:06:00</t>
  </si>
  <si>
    <t>Beatriz Alves Nunes de Paulo - 28/01/2025 10:06:02</t>
  </si>
  <si>
    <t>Beatriz Alves Nunes de Paulo - 28/01/2025 10:06:04</t>
  </si>
  <si>
    <t>Beatriz Alves Nunes de Paulo - 28/01/2025 10:06:08</t>
  </si>
  <si>
    <t>Beatriz Alves Nunes de Paulo - 28/01/2025 10:06:20</t>
  </si>
  <si>
    <t>Beatriz Alves Nunes de Paulo - 28/01/2025 10:06:21</t>
  </si>
  <si>
    <t>Beatriz Alves Nunes de Paulo - 28/01/2025 10:06:16</t>
  </si>
  <si>
    <t>Beatriz Alves Nunes de Paulo - 28/01/2025 10:06:24</t>
  </si>
  <si>
    <t>Beatriz Alves Nunes de Paulo - 28/01/2025 10:06:25</t>
  </si>
  <si>
    <t>Beatriz Alves Nunes de Paulo - 28/01/2025 10:06:28</t>
  </si>
  <si>
    <t>Beatriz Alves Nunes de Paulo - 28/01/2025 10:06:29</t>
  </si>
  <si>
    <t>Beatriz Alves Nunes de Paulo - 28/01/2025 10:06:32</t>
  </si>
  <si>
    <t>Beatriz Alves Nunes de Paulo - 28/01/2025 10:06:33</t>
  </si>
  <si>
    <t>Alisson Airton Sobrinho - 08/02/2025 08:04:16</t>
  </si>
  <si>
    <t>Alisson Airton Sobrinho - 08/02/2025 08:04:23</t>
  </si>
  <si>
    <t>Alisson Airton Sobrinho - 08/02/2025 08:04:24</t>
  </si>
  <si>
    <t>Alisson Airton Sobrinho - 08/02/2025 08:04:27</t>
  </si>
  <si>
    <t>Alisson Airton Sobrinho - 08/02/2025 08:04:29</t>
  </si>
  <si>
    <t>Alisson Airton Sobrinho - 08/02/2025 08:04:39</t>
  </si>
  <si>
    <t>Alisson Airton Sobrinho - 08/02/2025 08:04:41</t>
  </si>
  <si>
    <t>Alisson Airton Sobrinho - 08/02/2025 08:04:42</t>
  </si>
  <si>
    <t>Alisson Airton Sobrinho - 08/02/2025 08:04:43</t>
  </si>
  <si>
    <t>Beatriz Alves Nunes de Paulo - 06/03/2025 08:36:17</t>
  </si>
  <si>
    <t>Beatriz Alves Nunes de Paulo - 06/03/2025 08:36:19</t>
  </si>
  <si>
    <t>Beatriz Alves Nunes de Paulo - 06/03/2025 08:36:20</t>
  </si>
  <si>
    <t>Base de Dados_Images/BD9502.Imagem do Equipamento-.164237.jpg</t>
  </si>
  <si>
    <t>Beatriz Alves Nunes de Paulo - 28/01/2025 10:05:12</t>
  </si>
  <si>
    <t>Base de Dados_Images/BD9502.Imagem da Plaqueta do Motor-.164237.jpg</t>
  </si>
  <si>
    <t>Beatriz Alves Nunes de Paulo - 28/01/2025 10:05:47</t>
  </si>
  <si>
    <t>Tanque 1 Polimero Decantador Alcool (Tq 109)</t>
  </si>
  <si>
    <t>BD9502 (Duplicado 2)</t>
  </si>
  <si>
    <t>Bomba De Polimero Alcool</t>
  </si>
  <si>
    <t>Alisson Airton Sobrinho - 27/02/2025 13:33:13</t>
  </si>
  <si>
    <t>Alisson Airton Sobrinho - 27/02/2025 13:33:14</t>
  </si>
  <si>
    <t>Alisson Airton Sobrinho - 27/02/2025 13:33:15</t>
  </si>
  <si>
    <t>Alisson Airton Sobrinho - 27/02/2025 13:33:19</t>
  </si>
  <si>
    <t>Alisson Airton Sobrinho - 27/02/2025 13:33:20</t>
  </si>
  <si>
    <t>Alisson Airton Sobrinho - 27/02/2025 13:33:23</t>
  </si>
  <si>
    <t>Alisson Airton Sobrinho - 27/02/2025 13:33:29</t>
  </si>
  <si>
    <t>Alisson Airton Sobrinho - 27/02/2025 13:33:31</t>
  </si>
  <si>
    <t>Alisson Airton Sobrinho - 27/02/2025 13:33:39</t>
  </si>
  <si>
    <t>Alisson Airton Sobrinho - 27/02/2025 13:33:40</t>
  </si>
  <si>
    <t>Alisson Airton Sobrinho - 27/02/2025 13:33:41</t>
  </si>
  <si>
    <t>Alisson Airton Sobrinho - 27/02/2025 13:33:43</t>
  </si>
  <si>
    <t>Alisson Airton Sobrinho - 27/02/2025 13:33:44</t>
  </si>
  <si>
    <t>Alisson Airton Sobrinho - 27/02/2025 13:33:46</t>
  </si>
  <si>
    <t>Alisson Airton Sobrinho - 27/02/2025 13:33:48</t>
  </si>
  <si>
    <t>Alisson Airton Sobrinho - 27/02/2025 13:33:51</t>
  </si>
  <si>
    <t>Alisson Airton Sobrinho - 03/03/2025 14:01:10</t>
  </si>
  <si>
    <t>Alisson Airton Sobrinho - 03/03/2025 14:01:11</t>
  </si>
  <si>
    <t>Alisson Airton Sobrinho - 03/03/2025 14:01:12</t>
  </si>
  <si>
    <t>Alisson Airton Sobrinho - 03/03/2025 14:01:13</t>
  </si>
  <si>
    <t>Alisson Airton Sobrinho - 03/03/2025 14:01:14</t>
  </si>
  <si>
    <t>Alisson Airton Sobrinho - 03/03/2025 14:01:16</t>
  </si>
  <si>
    <t>Alisson Airton Sobrinho - 03/03/2025 14:01:23</t>
  </si>
  <si>
    <t>Alisson Airton Sobrinho - 03/03/2025 14:01:24</t>
  </si>
  <si>
    <t>Alisson Airton Sobrinho - 03/03/2025 14:01:25</t>
  </si>
  <si>
    <t>Alisson Airton Sobrinho - 03/03/2025 14:01:26</t>
  </si>
  <si>
    <t>Alisson Airton Sobrinho - 07/03/2025 07:03:42</t>
  </si>
  <si>
    <t>Alisson Airton Sobrinho - 07/03/2025 07:03:43</t>
  </si>
  <si>
    <t>Alisson Airton Sobrinho - 07/03/2025 07:03:44</t>
  </si>
  <si>
    <t>Alisson Airton Sobrinho - 07/03/2025 07:03:45</t>
  </si>
  <si>
    <t>Alisson Airton Sobrinho - 02/27/2025 13:33:07</t>
  </si>
  <si>
    <t>Tanque 1 Polimero Decantador Açucar (Tq 211)</t>
  </si>
  <si>
    <t>BD9504</t>
  </si>
  <si>
    <t>Bomba De Polimero Decantador De Acucar</t>
  </si>
  <si>
    <t>Beatriz Alves Nunes de Paulo - 28/01/2025 10:04:09</t>
  </si>
  <si>
    <t>Beatriz Alves Nunes de Paulo - 28/01/2025 10:04:12</t>
  </si>
  <si>
    <t>Beatriz Alves Nunes de Paulo - 28/01/2025 10:04:14</t>
  </si>
  <si>
    <t>Beatriz Alves Nunes de Paulo - 28/01/2025 10:04:16</t>
  </si>
  <si>
    <t>Beatriz Alves Nunes de Paulo - 28/01/2025 10:04:20</t>
  </si>
  <si>
    <t>Beatriz Alves Nunes de Paulo - 28/01/2025 10:04:21</t>
  </si>
  <si>
    <t>Beatriz Alves Nunes de Paulo - 28/01/2025 10:04:23</t>
  </si>
  <si>
    <t>Beatriz Alves Nunes de Paulo - 28/01/2025 10:04:25</t>
  </si>
  <si>
    <t>Beatriz Alves Nunes de Paulo - 28/01/2025 10:04:27</t>
  </si>
  <si>
    <t>Beatriz Alves Nunes de Paulo - 28/01/2025 10:04:33</t>
  </si>
  <si>
    <t>Beatriz Alves Nunes de Paulo - 28/01/2025 10:04:30</t>
  </si>
  <si>
    <t>Beatriz Alves Nunes de Paulo - 28/01/2025 10:04:35</t>
  </si>
  <si>
    <t>Beatriz Alves Nunes de Paulo - 28/01/2025 10:04:37</t>
  </si>
  <si>
    <t>Beatriz Alves Nunes de Paulo - 28/01/2025 10:04:40</t>
  </si>
  <si>
    <t>Beatriz Alves Nunes de Paulo - 28/01/2025 10:04:41</t>
  </si>
  <si>
    <t>Beatriz Alves Nunes de Paulo - 28/01/2025 10:04:42</t>
  </si>
  <si>
    <t>Alisson Airton Sobrinho - 08/02/2025 08:03:13</t>
  </si>
  <si>
    <t>Alisson Airton Sobrinho - 08/02/2025 08:03:14</t>
  </si>
  <si>
    <t>Alisson Airton Sobrinho - 08/02/2025 08:03:19</t>
  </si>
  <si>
    <t>Alisson Airton Sobrinho - 08/02/2025 08:03:20</t>
  </si>
  <si>
    <t>Alisson Airton Sobrinho - 08/02/2025 08:03:24</t>
  </si>
  <si>
    <t>Alisson Airton Sobrinho - 08/02/2025 08:03:31</t>
  </si>
  <si>
    <t>Alisson Airton Sobrinho - 08/02/2025 08:03:33</t>
  </si>
  <si>
    <t>Alisson Airton Sobrinho - 08/02/2025 08:03:34</t>
  </si>
  <si>
    <t>Alisson Airton Sobrinho - 08/02/2025 08:03:36</t>
  </si>
  <si>
    <t>Alisson Airton Sobrinho - 07/03/2025 07:03:20</t>
  </si>
  <si>
    <t>Alisson Airton Sobrinho - 07/03/2025 07:03:23</t>
  </si>
  <si>
    <t>Alisson Airton Sobrinho - 07/03/2025 07:03:24</t>
  </si>
  <si>
    <t>Base de Dados_Images/BD9504.Imagem do Equipamento-.164139.jpg</t>
  </si>
  <si>
    <t>Beatriz Alves Nunes de Paulo - 28/01/2025 10:03:51</t>
  </si>
  <si>
    <t>Base de Dados_Images/BD9504.Imagem da Plaqueta do Motor-.164139.jpg</t>
  </si>
  <si>
    <t>Beatriz Alves Nunes de Paulo - 28/01/2025 10:04:02</t>
  </si>
  <si>
    <t xml:space="preserve">PCTS </t>
  </si>
  <si>
    <t>Sistema De Desintegração</t>
  </si>
  <si>
    <t>Betoneira</t>
  </si>
  <si>
    <t>BETONEIRA_PCTS</t>
  </si>
  <si>
    <t>Betoneira Pcts</t>
  </si>
  <si>
    <t>Alisson Airton Sobrinho - 11/02/2025 08:43:20</t>
  </si>
  <si>
    <t>Alisson Airton Sobrinho - 11/02/2025 08:43:22</t>
  </si>
  <si>
    <t>Alisson Airton Sobrinho - 11/02/2025 08:43:25</t>
  </si>
  <si>
    <t>Alisson Airton Sobrinho - 11/02/2025 08:43:27</t>
  </si>
  <si>
    <t>Alisson Airton Sobrinho - 11/02/2025 08:43:28</t>
  </si>
  <si>
    <t>Alisson Airton Sobrinho - 11/02/2025 08:43:29</t>
  </si>
  <si>
    <t>Alisson Airton Sobrinho - 11/02/2025 08:43:32</t>
  </si>
  <si>
    <t>Alisson Airton Sobrinho - 11/02/2025 08:43:40</t>
  </si>
  <si>
    <t>Alisson Airton Sobrinho - 11/02/2025 08:43:42</t>
  </si>
  <si>
    <t>Alisson Airton Sobrinho - 11/02/2025 08:43:45</t>
  </si>
  <si>
    <t>Alisson Airton Sobrinho - 11/02/2025 08:43:46</t>
  </si>
  <si>
    <t>Alisson Airton Sobrinho - 11/02/2025 08:43:47</t>
  </si>
  <si>
    <t>Alisson Airton Sobrinho - 11/02/2025 08:43:48</t>
  </si>
  <si>
    <t>Alisson Airton Sobrinho - 11/02/2025 08:43:50</t>
  </si>
  <si>
    <t>Alisson Airton Sobrinho - 11/02/2025 08:43:51</t>
  </si>
  <si>
    <t>Natanaelson Santana Fonseca - 25/02/2025 10:57:37</t>
  </si>
  <si>
    <t>Natanaelson Santana Fonseca - 25/02/2025 11:03:03</t>
  </si>
  <si>
    <t>Natanaelson Santana Fonseca - 25/02/2025 10:57:54</t>
  </si>
  <si>
    <t>Natanaelson Santana Fonseca - 25/02/2025 11:03:13</t>
  </si>
  <si>
    <t>Natanaelson Santana Fonseca - 25/02/2025 11:03:14</t>
  </si>
  <si>
    <t>Natanaelson Santana Fonseca - 25/02/2025 11:03:19</t>
  </si>
  <si>
    <t>Natanaelson Santana Fonseca - 25/02/2025 11:03:24</t>
  </si>
  <si>
    <t>Natanaelson Santana Fonseca - 25/02/2025 11:05:08</t>
  </si>
  <si>
    <t>Natanaelson Santana Fonseca - 26/02/2025 07:06:53</t>
  </si>
  <si>
    <t>Natanaelson Santana Fonseca - 25/02/2025 11:07:22</t>
  </si>
  <si>
    <t>Natanaelson Santana Fonseca - 25/02/2025 11:04:54</t>
  </si>
  <si>
    <t>Alisson Airton Sobrinho - 07/03/2025 13:10:42</t>
  </si>
  <si>
    <t>Alisson Airton Sobrinho - 07/03/2025 13:10:43</t>
  </si>
  <si>
    <t>Alisson Airton Sobrinho - 07/03/2025 13:10:44</t>
  </si>
  <si>
    <t>Alisson Airton Sobrinho - 07/03/2025 13:10:45</t>
  </si>
  <si>
    <t>Alisson Airton Sobrinho - 07/03/2025 13:10:47</t>
  </si>
  <si>
    <t>Alisson Airton Sobrinho - 07/03/2025 13:10:48</t>
  </si>
  <si>
    <t>Alisson Airton Sobrinho - 07/03/2025 13:10:49</t>
  </si>
  <si>
    <t>Base de Dados_Images/BETONEIRA_PCTS.Imagem do Equipamento-.141229.jpg</t>
  </si>
  <si>
    <t>Natanaelson Santana Fonseca - 25/02/2025 11:12:24</t>
  </si>
  <si>
    <t>BV3001</t>
  </si>
  <si>
    <t>Bomba De Vacuo Do Filtro Rotativo</t>
  </si>
  <si>
    <t>Beatriz Alves Nunes de Paulo - 28/01/2025 09:48:20</t>
  </si>
  <si>
    <t>Beatriz Alves Nunes de Paulo - 28/01/2025 09:48:22</t>
  </si>
  <si>
    <t>Beatriz Alves Nunes de Paulo - 28/01/2025 09:48:24</t>
  </si>
  <si>
    <t>Beatriz Alves Nunes de Paulo - 28/01/2025 09:48:27</t>
  </si>
  <si>
    <t>Beatriz Alves Nunes de Paulo - 28/01/2025 09:48:29</t>
  </si>
  <si>
    <t>Beatriz Alves Nunes de Paulo - 28/01/2025 09:48:31</t>
  </si>
  <si>
    <t>Beatriz Alves Nunes de Paulo - 28/01/2025 09:48:34</t>
  </si>
  <si>
    <t>Beatriz Alves Nunes de Paulo - 28/01/2025 09:48:37</t>
  </si>
  <si>
    <t>Beatriz Alves Nunes de Paulo - 28/01/2025 09:48:52</t>
  </si>
  <si>
    <t>Beatriz Alves Nunes de Paulo - 28/01/2025 09:48:55</t>
  </si>
  <si>
    <t>Beatriz Alves Nunes de Paulo - 28/01/2025 09:48:57</t>
  </si>
  <si>
    <t>Beatriz Alves Nunes de Paulo - 28/01/2025 09:48:59</t>
  </si>
  <si>
    <t>Beatriz Alves Nunes de Paulo - 28/01/2025 09:49:00</t>
  </si>
  <si>
    <t>Beatriz Alves Nunes de Paulo - 28/01/2025 09:49:06</t>
  </si>
  <si>
    <t>Beatriz Alves Nunes de Paulo - 28/01/2025 09:49:08</t>
  </si>
  <si>
    <t>Beatriz Alves Nunes de Paulo - 28/01/2025 09:49:09</t>
  </si>
  <si>
    <t>Alisson Airton Sobrinho - 03/03/2025 14:07:24</t>
  </si>
  <si>
    <t>Alisson Airton Sobrinho - 03/03/2025 14:07:25</t>
  </si>
  <si>
    <t>Alisson Airton Sobrinho - 03/03/2025 14:07:26</t>
  </si>
  <si>
    <t>Alisson Airton Sobrinho - 03/03/2025 14:07:27</t>
  </si>
  <si>
    <t>Alisson Airton Sobrinho - 03/03/2025 14:07:28</t>
  </si>
  <si>
    <t>Adriel da Silva Queiroz - 03/03/2025 16:14:09</t>
  </si>
  <si>
    <t>Adriel da Silva Queiroz - 03/03/2025 16:14:10</t>
  </si>
  <si>
    <t>Adriel da Silva Queiroz - 03/03/2025 16:14:12</t>
  </si>
  <si>
    <t>Alisson Airton Sobrinho - 07/03/2025 07:22:31</t>
  </si>
  <si>
    <t>Alisson Airton Sobrinho - 07/03/2025 07:22:33</t>
  </si>
  <si>
    <t>Alisson Airton Sobrinho - 07/03/2025 07:22:34</t>
  </si>
  <si>
    <t>Base de Dados_Images/BV3001.Imagem do Equipamento-.163633.jpg</t>
  </si>
  <si>
    <t>Beatriz Alves Nunes de Paulo - 28/01/2025 09:47:36</t>
  </si>
  <si>
    <t>Base de Dados_Images/BV3001.Imagem da Plaqueta do Motor-.163633.jpg</t>
  </si>
  <si>
    <t>Beatriz Alves Nunes de Paulo - 28/01/2025 09:48:04</t>
  </si>
  <si>
    <t>Bomba Auxiliar Vacuo</t>
  </si>
  <si>
    <t>BV4001</t>
  </si>
  <si>
    <t>Bba (Reserva) Do Vacuo Auxiliar</t>
  </si>
  <si>
    <t>Beatriz Alves Nunes de Paulo - 28/01/2025 08:54:57</t>
  </si>
  <si>
    <t>Beatriz Alves Nunes de Paulo - 28/01/2025 08:55:01</t>
  </si>
  <si>
    <t>Beatriz Alves Nunes de Paulo - 28/01/2025 08:55:04</t>
  </si>
  <si>
    <t>Beatriz Alves Nunes de Paulo - 28/01/2025 08:55:06</t>
  </si>
  <si>
    <t>Beatriz Alves Nunes de Paulo - 28/01/2025 08:55:09</t>
  </si>
  <si>
    <t>Beatriz Alves Nunes de Paulo - 28/01/2025 08:55:08</t>
  </si>
  <si>
    <t>Beatriz Alves Nunes de Paulo - 28/01/2025 08:55:12</t>
  </si>
  <si>
    <t>Beatriz Alves Nunes de Paulo - 28/01/2025 08:55:18</t>
  </si>
  <si>
    <t>Beatriz Alves Nunes de Paulo - 28/01/2025 08:55:17</t>
  </si>
  <si>
    <t>Beatriz Alves Nunes de Paulo - 28/01/2025 08:55:22</t>
  </si>
  <si>
    <t>Beatriz Alves Nunes de Paulo - 28/01/2025 08:55:25</t>
  </si>
  <si>
    <t>Beatriz Alves Nunes de Paulo - 28/01/2025 08:55:28</t>
  </si>
  <si>
    <t>Beatriz Alves Nunes de Paulo - 28/01/2025 08:55:32</t>
  </si>
  <si>
    <t>Beatriz Alves Nunes de Paulo - 28/01/2025 08:56:00</t>
  </si>
  <si>
    <t>Beatriz Alves Nunes de Paulo - 28/01/2025 08:55:39</t>
  </si>
  <si>
    <t>Beatriz Alves Nunes de Paulo - 28/01/2025 08:55:40</t>
  </si>
  <si>
    <t>Beatriz Alves Nunes de Paulo - 29/01/2025 14:35:42</t>
  </si>
  <si>
    <t>Beatriz Alves Nunes de Paulo - 29/01/2025 14:35:44</t>
  </si>
  <si>
    <t>Beatriz Alves Nunes de Paulo - 29/01/2025 14:35:48</t>
  </si>
  <si>
    <t>Beatriz Alves Nunes de Paulo - 29/01/2025 14:35:54</t>
  </si>
  <si>
    <t>Beatriz Alves Nunes de Paulo - 29/01/2025 14:35:52</t>
  </si>
  <si>
    <t>Beatriz Alves Nunes de Paulo - 29/01/2025 14:35:56</t>
  </si>
  <si>
    <t>Beatriz Alves Nunes de Paulo - 27/02/2025 12:49:34</t>
  </si>
  <si>
    <t>Beatriz Alves Nunes de Paulo - 27/02/2025 12:49:35</t>
  </si>
  <si>
    <t>Beatriz Alves Nunes de Paulo - 27/02/2025 12:49:38</t>
  </si>
  <si>
    <t>Beatriz Alves Nunes de Paulo - 27/02/2025 12:49:39</t>
  </si>
  <si>
    <t>Alisson Airton Sobrinho - 07/03/2025 07:54:24</t>
  </si>
  <si>
    <t>Alisson Airton Sobrinho - 07/03/2025 07:54:25</t>
  </si>
  <si>
    <t>Alisson Airton Sobrinho - 07/03/2025 07:54:26</t>
  </si>
  <si>
    <t>Alisson Airton Sobrinho - 07/03/2025 07:54:28</t>
  </si>
  <si>
    <t>Beatriz Alves Nunes de Paulo - 01/28/2025 08:54:46</t>
  </si>
  <si>
    <t>Sementeira 1</t>
  </si>
  <si>
    <t>BV4002</t>
  </si>
  <si>
    <t>Bbaeamento Cozedor A Vacuo Nº 1</t>
  </si>
  <si>
    <t>Beatriz Alves Nunes de Paulo - 29/01/2025 08:46:22</t>
  </si>
  <si>
    <t>Beatriz Alves Nunes de Paulo - 29/01/2025 08:46:23</t>
  </si>
  <si>
    <t>Beatriz Alves Nunes de Paulo - 29/01/2025 08:46:27</t>
  </si>
  <si>
    <t>Beatriz Alves Nunes de Paulo - 29/01/2025 08:46:34</t>
  </si>
  <si>
    <t>Beatriz Alves Nunes de Paulo - 29/01/2025 08:46:46</t>
  </si>
  <si>
    <t>Beatriz Alves Nunes de Paulo - 29/01/2025 08:46:51</t>
  </si>
  <si>
    <t>Beatriz Alves Nunes de Paulo - 29/01/2025 08:46:53</t>
  </si>
  <si>
    <t>Beatriz Alves Nunes de Paulo - 29/01/2025 08:46:54</t>
  </si>
  <si>
    <t>Beatriz Alves Nunes de Paulo - 29/01/2025 08:46:56</t>
  </si>
  <si>
    <t>Beatriz Alves Nunes de Paulo - 29/01/2025 08:46:57</t>
  </si>
  <si>
    <t>Beatriz Alves Nunes de Paulo - 29/01/2025 08:46:59</t>
  </si>
  <si>
    <t>Beatriz Alves Nunes de Paulo - 29/01/2025 08:47:02</t>
  </si>
  <si>
    <t>Beatriz Alves Nunes de Paulo - 29/01/2025 08:47:04</t>
  </si>
  <si>
    <t>Beatriz Alves Nunes de Paulo - 29/01/2025 08:47:07</t>
  </si>
  <si>
    <t>Beatriz Alves Nunes de Paulo - 29/01/2025 08:47:25</t>
  </si>
  <si>
    <t>Beatriz Alves Nunes de Paulo - 29/01/2025 08:47:26</t>
  </si>
  <si>
    <t>Beatriz Alves Nunes de Paulo - 29/01/2025 08:47:28</t>
  </si>
  <si>
    <t>Beatriz Alves Nunes de Paulo - 29/01/2025 08:47:32</t>
  </si>
  <si>
    <t>Beatriz Alves Nunes de Paulo - 29/01/2025 08:47:35</t>
  </si>
  <si>
    <t>Beatriz Alves Nunes de Paulo - 29/01/2025 08:47:36</t>
  </si>
  <si>
    <t>Beatriz Alves Nunes de Paulo - 06/03/2025 08:58:28</t>
  </si>
  <si>
    <t>Beatriz Alves Nunes de Paulo - 06/03/2025 08:58:30</t>
  </si>
  <si>
    <t>Alisson Airton Sobrinho - 07/03/2025 08:12:57</t>
  </si>
  <si>
    <t>Alisson Airton Sobrinho - 07/03/2025 08:12:58</t>
  </si>
  <si>
    <t>Alisson Airton Sobrinho - 07/03/2025 08:13:00</t>
  </si>
  <si>
    <t>Base de Dados_Images/BV4002.Imagem do Equipamento-.140317.jpg</t>
  </si>
  <si>
    <t>Beatriz Alves Nunes de Paulo - 29/01/2025 08:46:05</t>
  </si>
  <si>
    <t>BV4003</t>
  </si>
  <si>
    <t>Bbaeamento Cozedor A Vacuo Nº 2</t>
  </si>
  <si>
    <t>Beatriz Alves Nunes de Paulo - 28/01/2025 08:52:08</t>
  </si>
  <si>
    <t>Beatriz Alves Nunes de Paulo - 28/01/2025 08:52:10</t>
  </si>
  <si>
    <t>Beatriz Alves Nunes de Paulo - 28/01/2025 08:52:12</t>
  </si>
  <si>
    <t>Beatriz Alves Nunes de Paulo - 28/01/2025 08:52:13</t>
  </si>
  <si>
    <t>Beatriz Alves Nunes de Paulo - 28/01/2025 08:52:16</t>
  </si>
  <si>
    <t>Beatriz Alves Nunes de Paulo - 28/01/2025 08:52:28</t>
  </si>
  <si>
    <t>Beatriz Alves Nunes de Paulo - 28/01/2025 08:52:34</t>
  </si>
  <si>
    <t>Beatriz Alves Nunes de Paulo - 28/01/2025 08:52:36</t>
  </si>
  <si>
    <t>Beatriz Alves Nunes de Paulo - 28/01/2025 08:52:49</t>
  </si>
  <si>
    <t>Beatriz Alves Nunes de Paulo - 28/01/2025 08:52:53</t>
  </si>
  <si>
    <t>Beatriz Alves Nunes de Paulo - 28/01/2025 08:52:57</t>
  </si>
  <si>
    <t>Beatriz Alves Nunes de Paulo - 28/01/2025 08:52:59</t>
  </si>
  <si>
    <t>Beatriz Alves Nunes de Paulo - 28/01/2025 08:53:02</t>
  </si>
  <si>
    <t>Beatriz Alves Nunes de Paulo - 28/01/2025 08:53:05</t>
  </si>
  <si>
    <t>Beatriz Alves Nunes de Paulo - 28/01/2025 08:53:08</t>
  </si>
  <si>
    <t>Beatriz Alves Nunes de Paulo - 28/01/2025 08:53:09</t>
  </si>
  <si>
    <t>Beatriz Alves Nunes de Paulo - 29/01/2025 08:59:52</t>
  </si>
  <si>
    <t>Beatriz Alves Nunes de Paulo - 29/01/2025 08:59:54</t>
  </si>
  <si>
    <t>Beatriz Alves Nunes de Paulo - 29/01/2025 08:59:50</t>
  </si>
  <si>
    <t>Beatriz Alves Nunes de Paulo - 29/01/2025 08:59:49</t>
  </si>
  <si>
    <t>Beatriz Alves Nunes de Paulo - 06/03/2025 08:58:37</t>
  </si>
  <si>
    <t>Beatriz Alves Nunes de Paulo - 06/03/2025 08:58:39</t>
  </si>
  <si>
    <t>Alisson Airton Sobrinho - 07/03/2025 08:13:07</t>
  </si>
  <si>
    <t>Alisson Airton Sobrinho - 07/03/2025 08:13:06</t>
  </si>
  <si>
    <t>Alisson Airton Sobrinho - 07/03/2025 08:13:08</t>
  </si>
  <si>
    <t>Alisson Airton Sobrinho - 07/03/2025 08:13:09</t>
  </si>
  <si>
    <t>Base de Dados_Images/BV4003.Imagem do Equipamento-.153036.jpg</t>
  </si>
  <si>
    <t>Beatriz Alves Nunes de Paulo - 28/01/2025 08:53:52</t>
  </si>
  <si>
    <t>Base de Dados_Images/BV4003.Imagem da Plaqueta do Motor-.153043.jpg</t>
  </si>
  <si>
    <t>Beatriz Alves Nunes de Paulo - 28/01/2025 08:54:02</t>
  </si>
  <si>
    <t>BV4004</t>
  </si>
  <si>
    <t>Bbaeamento Cozedor A Vacuo Nº 3</t>
  </si>
  <si>
    <t>Beatriz Alves Nunes de Paulo - 28/01/2025 08:57:20</t>
  </si>
  <si>
    <t>Beatriz Alves Nunes de Paulo - 28/01/2025 08:57:22</t>
  </si>
  <si>
    <t>Beatriz Alves Nunes de Paulo - 28/01/2025 08:57:24</t>
  </si>
  <si>
    <t>Beatriz Alves Nunes de Paulo - 28/01/2025 08:57:26</t>
  </si>
  <si>
    <t>Beatriz Alves Nunes de Paulo - 28/01/2025 08:57:28</t>
  </si>
  <si>
    <t>Beatriz Alves Nunes de Paulo - 28/01/2025 08:57:30</t>
  </si>
  <si>
    <t>Beatriz Alves Nunes de Paulo - 28/01/2025 08:57:32</t>
  </si>
  <si>
    <t>Beatriz Alves Nunes de Paulo - 28/01/2025 08:57:33</t>
  </si>
  <si>
    <t>Beatriz Alves Nunes de Paulo - 28/01/2025 08:57:39</t>
  </si>
  <si>
    <t>Beatriz Alves Nunes de Paulo - 28/01/2025 08:57:45</t>
  </si>
  <si>
    <t>Beatriz Alves Nunes de Paulo - 28/01/2025 08:57:49</t>
  </si>
  <si>
    <t>Beatriz Alves Nunes de Paulo - 28/01/2025 08:57:51</t>
  </si>
  <si>
    <t>Beatriz Alves Nunes de Paulo - 28/01/2025 08:57:53</t>
  </si>
  <si>
    <t>Beatriz Alves Nunes de Paulo - 28/01/2025 08:57:57</t>
  </si>
  <si>
    <t>Beatriz Alves Nunes de Paulo - 28/01/2025 08:58:00</t>
  </si>
  <si>
    <t>Beatriz Alves Nunes de Paulo - 28/01/2025 08:58:03</t>
  </si>
  <si>
    <t>Beatriz Alves Nunes de Paulo - 29/01/2025 14:20:05</t>
  </si>
  <si>
    <t>Beatriz Alves Nunes de Paulo - 29/01/2025 14:20:06</t>
  </si>
  <si>
    <t>Beatriz Alves Nunes de Paulo - 29/01/2025 14:20:08</t>
  </si>
  <si>
    <t>Beatriz Alves Nunes de Paulo - 29/01/2025 14:20:09</t>
  </si>
  <si>
    <t>Beatriz Alves Nunes de Paulo - 29/01/2025 14:20:14</t>
  </si>
  <si>
    <t>Beatriz Alves Nunes de Paulo - 29/01/2025 14:20:11</t>
  </si>
  <si>
    <t>Alisson Airton Sobrinho - 07/03/2025 08:13:15</t>
  </si>
  <si>
    <t>Alisson Airton Sobrinho - 07/03/2025 08:13:16</t>
  </si>
  <si>
    <t>Alisson Airton Sobrinho - 07/03/2025 08:13:17</t>
  </si>
  <si>
    <t>Alisson Airton Sobrinho - 07/03/2025 08:13:38</t>
  </si>
  <si>
    <t>Alisson Airton Sobrinho - 07/03/2025 08:13:39</t>
  </si>
  <si>
    <t>Alisson Airton Sobrinho - 07/03/2025 08:13:40</t>
  </si>
  <si>
    <t>Beatriz Alves Nunes de Paulo - 01/28/2025 08:57:13</t>
  </si>
  <si>
    <t>BV8101</t>
  </si>
  <si>
    <t>Bomba De Vacuo Do Vlc</t>
  </si>
  <si>
    <t>Paula Caroline Morais Duarte - 29/01/2025 12:52:32</t>
  </si>
  <si>
    <t>Paula Caroline Morais Duarte - 29/01/2025 12:52:34</t>
  </si>
  <si>
    <t>Paula Caroline Morais Duarte - 29/01/2025 12:52:36</t>
  </si>
  <si>
    <t>Paula Caroline Morais Duarte - 29/01/2025 12:52:38</t>
  </si>
  <si>
    <t>Paula Caroline Morais Duarte - 29/01/2025 12:52:45</t>
  </si>
  <si>
    <t>Paula Caroline Morais Duarte - 29/01/2025 12:52:47</t>
  </si>
  <si>
    <t>Paula Caroline Morais Duarte - 29/01/2025 12:52:50</t>
  </si>
  <si>
    <t>Paula Caroline Morais Duarte - 29/01/2025 12:52:52</t>
  </si>
  <si>
    <t>Paula Caroline Morais Duarte - 29/01/2025 12:52:55</t>
  </si>
  <si>
    <t>Paula Caroline Morais Duarte - 29/01/2025 12:52:57</t>
  </si>
  <si>
    <t>Paula Caroline Morais Duarte - 29/01/2025 12:52:59</t>
  </si>
  <si>
    <t>Paula Caroline Morais Duarte - 29/01/2025 12:53:01</t>
  </si>
  <si>
    <t>Paula Caroline Morais Duarte - 29/01/2025 12:53:08</t>
  </si>
  <si>
    <t>Paula Caroline Morais Duarte - 29/01/2025 12:53:22</t>
  </si>
  <si>
    <t>Paula Caroline Morais Duarte - 29/01/2025 12:53:13</t>
  </si>
  <si>
    <t>Paula Caroline Morais Duarte - 29/01/2025 12:53:15</t>
  </si>
  <si>
    <t>Alisson Airton Sobrinho - 07/03/2025 15:30:37</t>
  </si>
  <si>
    <t>Alisson Airton Sobrinho - 07/03/2025 15:30:46</t>
  </si>
  <si>
    <t>Alisson Airton Sobrinho - 07/03/2025 15:30:39</t>
  </si>
  <si>
    <t>Alisson Airton Sobrinho - 07/03/2025 15:30:40</t>
  </si>
  <si>
    <t>Alisson Airton Sobrinho - 07/03/2025 15:30:41</t>
  </si>
  <si>
    <t>Alisson Airton Sobrinho - 07/03/2025 15:30:49</t>
  </si>
  <si>
    <t>Alisson Airton Sobrinho - 07/03/2025 15:30:50</t>
  </si>
  <si>
    <t>Alisson Airton Sobrinho - 07/03/2025 15:30:51</t>
  </si>
  <si>
    <t>Alisson Airton Sobrinho - 07/03/2025 15:30:52</t>
  </si>
  <si>
    <t>Alisson Airton Sobrinho - 07/03/2025 15:30:56</t>
  </si>
  <si>
    <t>Alisson Airton Sobrinho - 07/03/2025 15:30:57</t>
  </si>
  <si>
    <t>Alisson Airton Sobrinho - 07/03/2025 15:30:58</t>
  </si>
  <si>
    <t>Alisson Airton Sobrinho - 07/03/2025 15:30:59</t>
  </si>
  <si>
    <t>Base de Dados_Images/BV8101.Imagem do Equipamento-.155620.jpg</t>
  </si>
  <si>
    <t>Paula Caroline Morais Duarte - 29/01/2025 12:52:07</t>
  </si>
  <si>
    <t>Base de Dados_Images/BV8101.Imagem da Plaqueta do Motor-.155628.jpg</t>
  </si>
  <si>
    <t>Paula Caroline Morais Duarte - 29/01/2025 12:52:23</t>
  </si>
  <si>
    <t>6 Terno</t>
  </si>
  <si>
    <t>Câmera</t>
  </si>
  <si>
    <t>CAM - 12</t>
  </si>
  <si>
    <t xml:space="preserve">SAIDA DE BAGAÇO 6 TERNO </t>
  </si>
  <si>
    <t>Paula Caroline Morais Duarte - 01/02/2025 14:44:47</t>
  </si>
  <si>
    <t>Paula Caroline Morais Duarte - 01/02/2025 14:44:48</t>
  </si>
  <si>
    <t>Paula Caroline Morais Duarte - 01/02/2025 14:44:52</t>
  </si>
  <si>
    <t>Paula Caroline Morais Duarte - 01/02/2025 14:44:53</t>
  </si>
  <si>
    <t>Paula Caroline Morais Duarte - 01/02/2025 14:44:55</t>
  </si>
  <si>
    <t>Paula Caroline Morais Duarte - 03/03/2025 08:48:59</t>
  </si>
  <si>
    <t>Paula Caroline Morais Duarte - 03/03/2025 08:49:00</t>
  </si>
  <si>
    <t>Paula Caroline Morais Duarte - 03/03/2025 08:49:01</t>
  </si>
  <si>
    <t>Alisson Airton Sobrinho - 07/03/2025 09:08:36</t>
  </si>
  <si>
    <t>Base de Dados_Images/CAM - 12.Imagem do Equipamento-.180117.jpg</t>
  </si>
  <si>
    <t>Paula Caroline Morais Duarte - 01/02/2025 14:45:13</t>
  </si>
  <si>
    <t>Visor De Nivel Do Balão</t>
  </si>
  <si>
    <t>CAM - 4</t>
  </si>
  <si>
    <t xml:space="preserve">CÂMERA DO VISOR DE NIVEL ÁGUA BALÃO </t>
  </si>
  <si>
    <t>Paula Caroline Morais Duarte - 29/01/2025 14:39:20</t>
  </si>
  <si>
    <t>Paula Caroline Morais Duarte - 29/01/2025 14:39:21</t>
  </si>
  <si>
    <t>Paula Caroline Morais Duarte - 29/01/2025 14:39:23</t>
  </si>
  <si>
    <t>Paula Caroline Morais Duarte - 29/01/2025 14:39:38</t>
  </si>
  <si>
    <t>Paula Caroline Morais Duarte - 29/01/2025 14:39:40</t>
  </si>
  <si>
    <t>Paula Caroline Morais Duarte - 11/02/2025 10:54:51</t>
  </si>
  <si>
    <t>Paula Caroline Morais Duarte - 11/02/2025 10:54:52</t>
  </si>
  <si>
    <t>Paula Caroline Morais Duarte - 11/02/2025 10:54:53</t>
  </si>
  <si>
    <t>Alisson Airton Sobrinho - 07/03/2025 09:19:55</t>
  </si>
  <si>
    <t>Alisson Airton Sobrinho - 07/03/2025 09:19:56</t>
  </si>
  <si>
    <t>Base de Dados_Images/CAM - 4.Imagem do Equipamento-.182453.jpg</t>
  </si>
  <si>
    <t>Paula Caroline Morais Duarte - 29/01/2025 14:39:11</t>
  </si>
  <si>
    <t>Esteira</t>
  </si>
  <si>
    <t>CAM - 7</t>
  </si>
  <si>
    <t xml:space="preserve">CÂMERA ESTEIRA DE SOBRA </t>
  </si>
  <si>
    <t>Paula Caroline Morais Duarte - 01/02/2025 14:50:03</t>
  </si>
  <si>
    <t>Paula Caroline Morais Duarte - 01/02/2025 14:50:04</t>
  </si>
  <si>
    <t>Paula Caroline Morais Duarte - 01/02/2025 14:50:06</t>
  </si>
  <si>
    <t>Paula Caroline Morais Duarte - 01/02/2025 14:50:09</t>
  </si>
  <si>
    <t>Paula Caroline Morais Duarte - 01/02/2025 14:50:10</t>
  </si>
  <si>
    <t>Paula Caroline Morais Duarte - 11/02/2025 10:49:14</t>
  </si>
  <si>
    <t>Paula Caroline Morais Duarte - 11/02/2025 10:49:15</t>
  </si>
  <si>
    <t>Paula Caroline Morais Duarte - 11/02/2025 10:49:17</t>
  </si>
  <si>
    <t>Paula Caroline Morais Duarte - 25/02/2025 09:36:10</t>
  </si>
  <si>
    <t>Paula Caroline Morais Duarte - 25/02/2025 09:36:11</t>
  </si>
  <si>
    <t>Base de Dados_Images/CAM - 7.Imagem do Equipamento-.124744.jpg</t>
  </si>
  <si>
    <t>Paula Caroline Morais Duarte - 01/02/2025 14:50:37</t>
  </si>
  <si>
    <t>CAM - 8 (Duplicado 1)</t>
  </si>
  <si>
    <t xml:space="preserve">CÂMERA   ESTEIRA  DE RETORNO BAGAÇO </t>
  </si>
  <si>
    <t>Paula Caroline Morais Duarte - 29/01/2025 14:58:54</t>
  </si>
  <si>
    <t>Paula Caroline Morais Duarte - 29/01/2025 14:59:39</t>
  </si>
  <si>
    <t>Paula Caroline Morais Duarte - 29/01/2025 14:59:40</t>
  </si>
  <si>
    <t>Paula Caroline Morais Duarte - 29/01/2025 14:59:57</t>
  </si>
  <si>
    <t>Paula Caroline Morais Duarte - 29/01/2025 14:59:59</t>
  </si>
  <si>
    <t>Paula Caroline Morais Duarte - 11/02/2025 10:50:53</t>
  </si>
  <si>
    <t>Paula Caroline Morais Duarte - 11/02/2025 10:50:54</t>
  </si>
  <si>
    <t>Paula Caroline Morais Duarte - 11/02/2025 10:50:55</t>
  </si>
  <si>
    <t>Paula Caroline Morais Duarte - 25/02/2025 09:36:17</t>
  </si>
  <si>
    <t>Paula Caroline Morais Duarte - 25/02/2025 09:36:18</t>
  </si>
  <si>
    <t>Base de Dados_Images/CAM - 8.Imagem do Equipamento-.182733.jpg</t>
  </si>
  <si>
    <t>Paula Caroline Morais Duarte - 29/01/2025 14:58:34</t>
  </si>
  <si>
    <t>Esteira Distribuidora</t>
  </si>
  <si>
    <t>CAM - 8 (Duplicado 2)</t>
  </si>
  <si>
    <t xml:space="preserve">CÂMERA ESTEIRA DISTRIBUIDORA CIMA </t>
  </si>
  <si>
    <t>Paula Caroline Morais Duarte - 26/02/2025 12:07:54</t>
  </si>
  <si>
    <t>Paula Caroline Morais Duarte - 26/02/2025 12:07:58</t>
  </si>
  <si>
    <t>Paula Caroline Morais Duarte - 26/02/2025 12:08:01</t>
  </si>
  <si>
    <t>Paula Caroline Morais Duarte - 26/02/2025 12:08:06</t>
  </si>
  <si>
    <t>Paula Caroline Morais Duarte - 26/02/2025 12:08:05</t>
  </si>
  <si>
    <t>Paula Caroline Morais Duarte - 26/02/2025 12:08:12</t>
  </si>
  <si>
    <t>Paula Caroline Morais Duarte - 26/02/2025 12:08:14</t>
  </si>
  <si>
    <t>Paula Caroline Morais Duarte - 26/02/2025 12:08:19</t>
  </si>
  <si>
    <t>Paula Caroline Morais Duarte - 26/02/2025 12:08:20</t>
  </si>
  <si>
    <t>Paula Caroline Morais Duarte - 02/26/2025 12:06:38</t>
  </si>
  <si>
    <t xml:space="preserve">CAM -9 </t>
  </si>
  <si>
    <t xml:space="preserve">CAMERA FRONTAL VISOR CALDEIRA </t>
  </si>
  <si>
    <t>Paula Caroline Morais Duarte - 29/01/2025 14:56:27</t>
  </si>
  <si>
    <t>Paula Caroline Morais Duarte - 29/01/2025 14:56:28</t>
  </si>
  <si>
    <t>Paula Caroline Morais Duarte - 29/01/2025 14:56:29</t>
  </si>
  <si>
    <t>Paula Caroline Morais Duarte - 29/01/2025 14:56:32</t>
  </si>
  <si>
    <t>Paula Caroline Morais Duarte - 29/01/2025 14:56:35</t>
  </si>
  <si>
    <t>Paula Caroline Morais Duarte - 20/02/2025 12:38:14</t>
  </si>
  <si>
    <t>Paula Caroline Morais Duarte - 20/02/2025 12:38:15</t>
  </si>
  <si>
    <t>Paula Caroline Morais Duarte - 20/02/2025 12:38:16</t>
  </si>
  <si>
    <t>Paula Caroline Morais Duarte - 25/02/2025 09:04:52</t>
  </si>
  <si>
    <t>Paula Caroline Morais Duarte - 25/02/2025 09:04:53</t>
  </si>
  <si>
    <t>Base de Dados_Images/CAM -9.Imagem do Equipamento-.182806.jpg</t>
  </si>
  <si>
    <t>Paula Caroline Morais Duarte - 29/01/2025 15:02:53</t>
  </si>
  <si>
    <t xml:space="preserve">Bica De Bagaço </t>
  </si>
  <si>
    <t xml:space="preserve">CAM- 5 </t>
  </si>
  <si>
    <t xml:space="preserve">CÂMERA SAIDA BICA DE BAGAÇO </t>
  </si>
  <si>
    <t>Paula Caroline Morais Duarte - 30/01/2025 10:48:51</t>
  </si>
  <si>
    <t>Paula Caroline Morais Duarte - 30/01/2025 10:48:52</t>
  </si>
  <si>
    <t>Paula Caroline Morais Duarte - 30/01/2025 10:48:53</t>
  </si>
  <si>
    <t>Paula Caroline Morais Duarte - 30/01/2025 10:48:55</t>
  </si>
  <si>
    <t>Paula Caroline Morais Duarte - 30/01/2025 10:48:59</t>
  </si>
  <si>
    <t>Paula Caroline Morais Duarte - 23/02/2025 16:21:39</t>
  </si>
  <si>
    <t>Paula Caroline Morais Duarte - 23/02/2025 16:21:41</t>
  </si>
  <si>
    <t>Paula Caroline Morais Duarte - 23/02/2025 16:21:43</t>
  </si>
  <si>
    <t>Paula Caroline Morais Duarte - 23/02/2025 16:21:59</t>
  </si>
  <si>
    <t>Paula Caroline Morais Duarte - 23/02/2025 16:22:00</t>
  </si>
  <si>
    <t>Base de Dados_Images/CAM- 5.Imagem do Equipamento-.145808.jpg</t>
  </si>
  <si>
    <t>Paula Caroline Morais Duarte - 30/01/2025 10:48:45</t>
  </si>
  <si>
    <t>VLC</t>
  </si>
  <si>
    <t xml:space="preserve">CAM-1 </t>
  </si>
  <si>
    <t xml:space="preserve">CÂMERA TELA FILTRO PRENA </t>
  </si>
  <si>
    <t>Paula Caroline Morais Duarte - 29/01/2025 13:06:57</t>
  </si>
  <si>
    <t>Paula Caroline Morais Duarte - 29/01/2025 13:07:02</t>
  </si>
  <si>
    <t>Paula Caroline Morais Duarte - 29/01/2025 13:07:03</t>
  </si>
  <si>
    <t>Paula Caroline Morais Duarte - 29/01/2025 13:07:04</t>
  </si>
  <si>
    <t>Paula Caroline Morais Duarte - 29/01/2025 13:07:07</t>
  </si>
  <si>
    <t>Paula Caroline Morais Duarte - 11/02/2025 10:54:12</t>
  </si>
  <si>
    <t>Paula Caroline Morais Duarte - 11/02/2025 10:54:13</t>
  </si>
  <si>
    <t>Paula Caroline Morais Duarte - 11/02/2025 10:54:14</t>
  </si>
  <si>
    <t>Alisson Airton Sobrinho - 07/03/2025 10:12:14</t>
  </si>
  <si>
    <t>Alisson Airton Sobrinho - 07/03/2025 10:12:15</t>
  </si>
  <si>
    <t>Base de Dados_Images/CAM-1.Imagem do Equipamento-.160650.jpg</t>
  </si>
  <si>
    <t>Paula Caroline Morais Duarte - 29/01/2025 13:06:44</t>
  </si>
  <si>
    <t xml:space="preserve">CAM-10 </t>
  </si>
  <si>
    <t xml:space="preserve">CÂMERA ESTEIRA DISTRIBUIDORA BAIXO </t>
  </si>
  <si>
    <t>Paula Caroline Morais Duarte - 23/02/2025 16:33:05</t>
  </si>
  <si>
    <t>Paula Caroline Morais Duarte - 23/02/2025 16:33:06</t>
  </si>
  <si>
    <t>Paula Caroline Morais Duarte - 23/02/2025 16:33:10</t>
  </si>
  <si>
    <t>Paula Caroline Morais Duarte - 23/02/2025 16:33:08</t>
  </si>
  <si>
    <t>Paula Caroline Morais Duarte - 23/02/2025 16:33:11</t>
  </si>
  <si>
    <t>Paula Caroline Morais Duarte - 23/02/2025 16:33:16</t>
  </si>
  <si>
    <t>Paula Caroline Morais Duarte - 23/02/2025 16:33:17</t>
  </si>
  <si>
    <t>Paula Caroline Morais Duarte - 23/02/2025 16:33:18</t>
  </si>
  <si>
    <t>Paula Caroline Morais Duarte - 23/02/2025 16:33:26</t>
  </si>
  <si>
    <t>Paula Caroline Morais Duarte - 23/02/2025 16:33:27</t>
  </si>
  <si>
    <t>Paula Caroline Morais Duarte - 02/01/2025 09:32:57</t>
  </si>
  <si>
    <t>Fornalha</t>
  </si>
  <si>
    <t>CAM-11</t>
  </si>
  <si>
    <t xml:space="preserve">CÂMERA MARCADOR ANALOGICO VAPOR DIRETO </t>
  </si>
  <si>
    <t>Paula Caroline Morais Duarte - 29/01/2025 15:03:33</t>
  </si>
  <si>
    <t>Paula Caroline Morais Duarte - 29/01/2025 15:03:42</t>
  </si>
  <si>
    <t>Paula Caroline Morais Duarte - 29/01/2025 15:03:49</t>
  </si>
  <si>
    <t>Paula Caroline Morais Duarte - 29/01/2025 15:03:55</t>
  </si>
  <si>
    <t>Paula Caroline Morais Duarte - 29/01/2025 15:03:53</t>
  </si>
  <si>
    <t>Paula Caroline Morais Duarte - 23/02/2025 16:34:10</t>
  </si>
  <si>
    <t>Paula Caroline Morais Duarte - 23/02/2025 16:34:11</t>
  </si>
  <si>
    <t>Paula Caroline Morais Duarte - 23/02/2025 16:34:12</t>
  </si>
  <si>
    <t>Paula Caroline Morais Duarte - 23/02/2025 16:34:17</t>
  </si>
  <si>
    <t>Paula Caroline Morais Duarte - 23/02/2025 16:34:18</t>
  </si>
  <si>
    <t>Base de Dados_Images/CAM-11.Imagem do Equipamento-.182815.jpg</t>
  </si>
  <si>
    <t>Paula Caroline Morais Duarte - 29/01/2025 15:03:28</t>
  </si>
  <si>
    <t>Dosadora De Bagaço</t>
  </si>
  <si>
    <t>CAM-12</t>
  </si>
  <si>
    <t xml:space="preserve">CÂMERA DOSADORAS DE BAGAÇO </t>
  </si>
  <si>
    <t>Paula Caroline Morais Duarte - 30/01/2025 11:13:47</t>
  </si>
  <si>
    <t>Paula Caroline Morais Duarte - 30/01/2025 11:13:52</t>
  </si>
  <si>
    <t>Paula Caroline Morais Duarte - 30/01/2025 11:14:02</t>
  </si>
  <si>
    <t>Paula Caroline Morais Duarte - 30/01/2025 11:13:59</t>
  </si>
  <si>
    <t>Paula Caroline Morais Duarte - 30/01/2025 11:14:04</t>
  </si>
  <si>
    <t>Paula Caroline Morais Duarte - 23/02/2025 16:28:41</t>
  </si>
  <si>
    <t>Paula Caroline Morais Duarte - 23/02/2025 16:28:42</t>
  </si>
  <si>
    <t>Paula Caroline Morais Duarte - 23/02/2025 16:28:43</t>
  </si>
  <si>
    <t>Paula Caroline Morais Duarte - 23/02/2025 16:28:49</t>
  </si>
  <si>
    <t>Paula Caroline Morais Duarte - 23/02/2025 16:28:50</t>
  </si>
  <si>
    <t>Base de Dados_Images/CAM-12.Imagem do Equipamento-.150137.jpg</t>
  </si>
  <si>
    <t>Paula Caroline Morais Duarte - 30/01/2025 11:13:30</t>
  </si>
  <si>
    <t>Esteira Elevadora</t>
  </si>
  <si>
    <t>CAM-14</t>
  </si>
  <si>
    <t xml:space="preserve">CÂMERA   ESTEIRA ELEVADORA BAGAÇO </t>
  </si>
  <si>
    <t>Paula Caroline Morais Duarte - 01/02/2025 14:51:35</t>
  </si>
  <si>
    <t>Paula Caroline Morais Duarte - 01/02/2025 14:51:36</t>
  </si>
  <si>
    <t>Paula Caroline Morais Duarte - 01/02/2025 14:51:38</t>
  </si>
  <si>
    <t>Paula Caroline Morais Duarte - 01/02/2025 14:51:39</t>
  </si>
  <si>
    <t>Paula Caroline Morais Duarte - 01/02/2025 14:51:42</t>
  </si>
  <si>
    <t>Paula Caroline Morais Duarte - 23/02/2025 16:33:46</t>
  </si>
  <si>
    <t>Paula Caroline Morais Duarte - 23/02/2025 16:33:47</t>
  </si>
  <si>
    <t>Paula Caroline Morais Duarte - 23/02/2025 16:33:48</t>
  </si>
  <si>
    <t>Paula Caroline Morais Duarte - 23/02/2025 16:33:52</t>
  </si>
  <si>
    <t>Paula Caroline Morais Duarte - 23/02/2025 16:33:53</t>
  </si>
  <si>
    <t>Base de Dados_Images/CAM-14.Imagem do Equipamento-.124812.jpg</t>
  </si>
  <si>
    <t>Paula Caroline Morais Duarte - 01/02/2025 14:52:10</t>
  </si>
  <si>
    <t>Descarte De Água Residuaria</t>
  </si>
  <si>
    <t>CAM-15</t>
  </si>
  <si>
    <t xml:space="preserve">CÂMERA  VIGILANCIA TANQUE RESIDUARIA </t>
  </si>
  <si>
    <t>Paula Caroline Morais Duarte - 30/01/2025 09:18:20</t>
  </si>
  <si>
    <t>Paula Caroline Morais Duarte - 30/01/2025 09:18:22</t>
  </si>
  <si>
    <t>Paula Caroline Morais Duarte - 30/01/2025 09:18:23</t>
  </si>
  <si>
    <t>Paula Caroline Morais Duarte - 30/01/2025 09:18:27</t>
  </si>
  <si>
    <t>Paula Caroline Morais Duarte - 30/01/2025 09:18:29</t>
  </si>
  <si>
    <t>Paula Caroline Morais Duarte - 21/02/2025 09:28:15</t>
  </si>
  <si>
    <t>Paula Caroline Morais Duarte - 21/02/2025 09:28:17</t>
  </si>
  <si>
    <t>Paula Caroline Morais Duarte - 21/02/2025 09:28:18</t>
  </si>
  <si>
    <t>Paula Caroline Morais Duarte - 21/02/2025 11:42:52</t>
  </si>
  <si>
    <t>Paula Caroline Morais Duarte - 21/02/2025 11:42:51</t>
  </si>
  <si>
    <t>Base de Dados_Images/CAM-15.Imagem do Equipamento-.124524.jpg</t>
  </si>
  <si>
    <t>Paula Caroline Morais Duarte - 30/01/2025 09:18:07</t>
  </si>
  <si>
    <t>Terno</t>
  </si>
  <si>
    <t>CAM-16</t>
  </si>
  <si>
    <t xml:space="preserve">CAMERA VISUALIZAÇÃO TERNOS </t>
  </si>
  <si>
    <t>Alisson Airton Sobrinho - 04/03/2025 15:02:46</t>
  </si>
  <si>
    <t>Alisson Airton Sobrinho - 04/03/2025 15:02:47</t>
  </si>
  <si>
    <t>Beatriz Alves Nunes de Paulo - 06/03/2025 09:06:23</t>
  </si>
  <si>
    <t>Beatriz Alves Nunes de Paulo - 06/03/2025 09:06:24</t>
  </si>
  <si>
    <t>Beatriz Alves Nunes de Paulo - 06/03/2025 09:06:25</t>
  </si>
  <si>
    <t>Beatriz Alves Nunes de Paulo - 06/03/2025 09:06:28</t>
  </si>
  <si>
    <t>Beatriz Alves Nunes de Paulo - 06/03/2025 09:06:29</t>
  </si>
  <si>
    <t>Alisson Airton Sobrinho - 07/03/2025 06:49:19</t>
  </si>
  <si>
    <t>Paula Caroline Morais Duarte - 02/11/2025 09:14:58</t>
  </si>
  <si>
    <t>Mesa Alimentadora</t>
  </si>
  <si>
    <t>CAM-17</t>
  </si>
  <si>
    <t xml:space="preserve">CÂMERA MESA ALIMENTADORA MOENDA </t>
  </si>
  <si>
    <t>Paula Caroline Morais Duarte - 11/02/2025 09:49:25</t>
  </si>
  <si>
    <t>Paula Caroline Morais Duarte - 11/02/2025 09:49:26</t>
  </si>
  <si>
    <t>Paula Caroline Morais Duarte - 11/02/2025 09:49:28</t>
  </si>
  <si>
    <t>Paula Caroline Morais Duarte - 11/02/2025 09:49:30</t>
  </si>
  <si>
    <t>Paula Caroline Morais Duarte - 11/02/2025 09:49:33</t>
  </si>
  <si>
    <t>Rafael Roldão Rodrigues - 03/03/2025 11:37:20</t>
  </si>
  <si>
    <t>Rafael Roldão Rodrigues - 03/03/2025 11:37:21</t>
  </si>
  <si>
    <t>Rafael Roldão Rodrigues - 03/03/2025 11:37:22</t>
  </si>
  <si>
    <t>Alisson Airton Sobrinho - 07/03/2025 06:32:40</t>
  </si>
  <si>
    <t>Base de Dados_Images/CAM-17.Imagem do Equipamento-.130020.jpg</t>
  </si>
  <si>
    <t>Paula Caroline Morais Duarte - 11/02/2025 09:49:20</t>
  </si>
  <si>
    <t>CAM-18</t>
  </si>
  <si>
    <t xml:space="preserve">CAMERA  ESTEIRA DE BORRACHA MOENDA </t>
  </si>
  <si>
    <t>Beatriz Alves Nunes de Paulo - 06/03/2025 09:05:52</t>
  </si>
  <si>
    <t>Beatriz Alves Nunes de Paulo - 06/03/2025 09:05:53</t>
  </si>
  <si>
    <t>Beatriz Alves Nunes de Paulo - 06/03/2025 09:05:54</t>
  </si>
  <si>
    <t>Beatriz Alves Nunes de Paulo - 06/03/2025 09:05:55</t>
  </si>
  <si>
    <t>Beatriz Alves Nunes de Paulo - 06/03/2025 09:05:58</t>
  </si>
  <si>
    <t>Beatriz Alves Nunes de Paulo - 06/03/2025 09:06:02</t>
  </si>
  <si>
    <t>Beatriz Alves Nunes de Paulo - 06/03/2025 09:06:04</t>
  </si>
  <si>
    <t>Alisson Airton Sobrinho - 07/03/2025 06:46:21</t>
  </si>
  <si>
    <t>Alisson Airton Sobrinho - 07/03/2025 06:46:20</t>
  </si>
  <si>
    <t>Alisson Airton Sobrinho - 02/10/2025 11:47:48</t>
  </si>
  <si>
    <t>Esteirão Metalico</t>
  </si>
  <si>
    <t xml:space="preserve">CAM-19 </t>
  </si>
  <si>
    <t xml:space="preserve">CAMERA ESTEIRÃO METALICO </t>
  </si>
  <si>
    <t>Weslley Ferreira Cooper - 29/01/2025 10:34:28</t>
  </si>
  <si>
    <t>Weslley Ferreira Cooper - 29/01/2025 10:34:29</t>
  </si>
  <si>
    <t>Weslley Ferreira Cooper - 29/01/2025 10:34:31</t>
  </si>
  <si>
    <t>Weslley Ferreira Cooper - 29/01/2025 10:34:32</t>
  </si>
  <si>
    <t>Weslley Ferreira Cooper - 29/01/2025 10:34:54</t>
  </si>
  <si>
    <t>Rafael Roldão Rodrigues - 03/03/2025 11:34:29</t>
  </si>
  <si>
    <t>Rafael Roldão Rodrigues - 03/03/2025 11:34:30</t>
  </si>
  <si>
    <t>Alisson Airton Sobrinho - 07/03/2025 06:47:03</t>
  </si>
  <si>
    <t>Base de Dados_Images/CAM-19.Imagem do Equipamento-.133951.jpg</t>
  </si>
  <si>
    <t>Weslley Ferreira Cooper - 29/01/2025 10:35:35</t>
  </si>
  <si>
    <t xml:space="preserve">CAM-2 </t>
  </si>
  <si>
    <t xml:space="preserve">CÂMERA LODO VLC </t>
  </si>
  <si>
    <t>Paula Caroline Morais Duarte - 29/01/2025 13:07:43</t>
  </si>
  <si>
    <t>Paula Caroline Morais Duarte - 29/01/2025 13:07:45</t>
  </si>
  <si>
    <t>Paula Caroline Morais Duarte - 29/01/2025 13:07:46</t>
  </si>
  <si>
    <t>Paula Caroline Morais Duarte - 29/01/2025 13:07:48</t>
  </si>
  <si>
    <t>Paula Caroline Morais Duarte - 29/01/2025 13:07:50</t>
  </si>
  <si>
    <t>Paula Caroline Morais Duarte - 11/02/2025 10:54:22</t>
  </si>
  <si>
    <t>Paula Caroline Morais Duarte - 11/02/2025 10:54:23</t>
  </si>
  <si>
    <t>Alisson Airton Sobrinho - 07/03/2025 10:12:23</t>
  </si>
  <si>
    <t>Base de Dados_Images/CAM-2.Imagem do Equipamento-.160753.jpg</t>
  </si>
  <si>
    <t>Paula Caroline Morais Duarte - 29/01/2025 13:07:34</t>
  </si>
  <si>
    <t>Peneira Rotativa</t>
  </si>
  <si>
    <t>CAM-20</t>
  </si>
  <si>
    <t xml:space="preserve">CAMERA PENEIRA ROTATIVA </t>
  </si>
  <si>
    <t>Beatriz Alves Nunes de Paulo - 06/03/2025 10:30:36</t>
  </si>
  <si>
    <t>Beatriz Alves Nunes de Paulo - 06/03/2025 10:30:37</t>
  </si>
  <si>
    <t>Beatriz Alves Nunes de Paulo - 06/03/2025 10:30:39</t>
  </si>
  <si>
    <t>Beatriz Alves Nunes de Paulo - 06/03/2025 10:30:40</t>
  </si>
  <si>
    <t>Alisson Airton Sobrinho - 07/03/2025 06:25:39</t>
  </si>
  <si>
    <t>Alisson Airton Sobrinho - 07/03/2025 06:25:43</t>
  </si>
  <si>
    <t>Alisson Airton Sobrinho - 07/03/2025 06:25:46</t>
  </si>
  <si>
    <t>Alisson Airton Sobrinho - 07/03/2025 06:25:47</t>
  </si>
  <si>
    <t>Alisson Airton Sobrinho - 03/04/2025 15:28:39</t>
  </si>
  <si>
    <t>CAM-21</t>
  </si>
  <si>
    <t xml:space="preserve">CAMERA 1 TERNO </t>
  </si>
  <si>
    <t>Alisson Airton Sobrinho - 04/03/2025 15:26:46</t>
  </si>
  <si>
    <t>Alisson Airton Sobrinho - 04/03/2025 15:26:47</t>
  </si>
  <si>
    <t>Alisson Airton Sobrinho - 04/03/2025 15:26:49</t>
  </si>
  <si>
    <t>Alisson Airton Sobrinho - 04/03/2025 15:26:51</t>
  </si>
  <si>
    <t>Alisson Airton Sobrinho - 04/03/2025 15:26:55</t>
  </si>
  <si>
    <t>Alisson Airton Sobrinho - 04/03/2025 15:26:57</t>
  </si>
  <si>
    <t>Alisson Airton Sobrinho - 04/03/2025 15:26:58</t>
  </si>
  <si>
    <t>Alisson Airton Sobrinho - 07/03/2025 06:49:25</t>
  </si>
  <si>
    <t>Alisson Airton Sobrinho - 07/03/2025 06:49:24</t>
  </si>
  <si>
    <t>Base de Dados_Images/CAM-21.Imagem do Equipamento-.183522.jpg</t>
  </si>
  <si>
    <t>Alisson Airton Sobrinho - 04/03/2025 15:26:17</t>
  </si>
  <si>
    <t>CAM-22</t>
  </si>
  <si>
    <t>CAMERA 2 TERNO</t>
  </si>
  <si>
    <t>Beatriz Alves Nunes de Paulo - 06/03/2025 09:06:35</t>
  </si>
  <si>
    <t>Beatriz Alves Nunes de Paulo - 06/03/2025 09:06:36</t>
  </si>
  <si>
    <t>Beatriz Alves Nunes de Paulo - 06/03/2025 09:06:37</t>
  </si>
  <si>
    <t>Beatriz Alves Nunes de Paulo - 06/03/2025 09:06:43</t>
  </si>
  <si>
    <t>Beatriz Alves Nunes de Paulo - 06/03/2025 09:06:44</t>
  </si>
  <si>
    <t>Alisson Airton Sobrinho - 07/03/2025 06:49:30</t>
  </si>
  <si>
    <t>Alisson Airton Sobrinho - 07/03/2025 06:49:29</t>
  </si>
  <si>
    <t>Alisson Airton Sobrinho - 02/10/2025 13:50:52</t>
  </si>
  <si>
    <t>CAM-23</t>
  </si>
  <si>
    <t>CAMERA 3 TERNO</t>
  </si>
  <si>
    <t>Beatriz Alves Nunes de Paulo - 06/03/2025 09:07:21</t>
  </si>
  <si>
    <t>Beatriz Alves Nunes de Paulo - 06/03/2025 09:07:24</t>
  </si>
  <si>
    <t>Beatriz Alves Nunes de Paulo - 06/03/2025 09:07:25</t>
  </si>
  <si>
    <t>Beatriz Alves Nunes de Paulo - 06/03/2025 09:07:26</t>
  </si>
  <si>
    <t>Beatriz Alves Nunes de Paulo - 06/03/2025 09:07:30</t>
  </si>
  <si>
    <t>Beatriz Alves Nunes de Paulo - 06/03/2025 09:07:31</t>
  </si>
  <si>
    <t>Alisson Airton Sobrinho - 07/03/2025 06:49:35</t>
  </si>
  <si>
    <t>Beatriz Alves Nunes de Paulo - 03/06/2025 09:07:17</t>
  </si>
  <si>
    <t>CAM-24</t>
  </si>
  <si>
    <t xml:space="preserve">CAMERA 4 TERNO </t>
  </si>
  <si>
    <t>Alisson Airton Sobrinho - 04/03/2025 15:27:20</t>
  </si>
  <si>
    <t>Alisson Airton Sobrinho - 04/03/2025 15:27:21</t>
  </si>
  <si>
    <t>Alisson Airton Sobrinho - 04/03/2025 15:27:23</t>
  </si>
  <si>
    <t>Alisson Airton Sobrinho - 04/03/2025 15:27:28</t>
  </si>
  <si>
    <t>Alisson Airton Sobrinho - 04/03/2025 15:27:30</t>
  </si>
  <si>
    <t>Alisson Airton Sobrinho - 07/03/2025 06:49:41</t>
  </si>
  <si>
    <t>Base de Dados_Images/CAM-24.Imagem do Equipamento-.183559.jpg</t>
  </si>
  <si>
    <t>Alisson Airton Sobrinho - 04/03/2025 15:27:12</t>
  </si>
  <si>
    <t xml:space="preserve">CAM-25 </t>
  </si>
  <si>
    <t xml:space="preserve">CAMERA  5 TERNO </t>
  </si>
  <si>
    <t>Beatriz Alves Nunes de Paulo - 06/03/2025 09:07:43</t>
  </si>
  <si>
    <t>Beatriz Alves Nunes de Paulo - 06/03/2025 09:07:45</t>
  </si>
  <si>
    <t>Beatriz Alves Nunes de Paulo - 06/03/2025 09:07:46</t>
  </si>
  <si>
    <t>Beatriz Alves Nunes de Paulo - 06/03/2025 09:07:47</t>
  </si>
  <si>
    <t>Beatriz Alves Nunes de Paulo - 06/03/2025 09:07:48</t>
  </si>
  <si>
    <t>Beatriz Alves Nunes de Paulo - 06/03/2025 09:07:52</t>
  </si>
  <si>
    <t>Beatriz Alves Nunes de Paulo - 06/03/2025 09:07:53</t>
  </si>
  <si>
    <t>Beatriz Alves Nunes de Paulo - 06/03/2025 09:07:54</t>
  </si>
  <si>
    <t>Alisson Airton Sobrinho - 07/03/2025 06:49:48</t>
  </si>
  <si>
    <t>Alisson Airton Sobrinho - 07/03/2025 06:49:47</t>
  </si>
  <si>
    <t>Beatriz Alves Nunes de Paulo - 03/06/2025 09:07:40</t>
  </si>
  <si>
    <t>CAM-26</t>
  </si>
  <si>
    <t xml:space="preserve">CAMERA 6 TERNO </t>
  </si>
  <si>
    <t>Beatriz Alves Nunes de Paulo - 06/03/2025 09:08:26</t>
  </si>
  <si>
    <t>Beatriz Alves Nunes de Paulo - 06/03/2025 09:08:27</t>
  </si>
  <si>
    <t>Beatriz Alves Nunes de Paulo - 06/03/2025 09:08:28</t>
  </si>
  <si>
    <t>Beatriz Alves Nunes de Paulo - 06/03/2025 09:08:29</t>
  </si>
  <si>
    <t>Beatriz Alves Nunes de Paulo - 06/03/2025 09:08:30</t>
  </si>
  <si>
    <t>Beatriz Alves Nunes de Paulo - 06/03/2025 09:08:33</t>
  </si>
  <si>
    <t>Beatriz Alves Nunes de Paulo - 06/03/2025 09:08:34</t>
  </si>
  <si>
    <t>Beatriz Alves Nunes de Paulo - 06/03/2025 09:08:35</t>
  </si>
  <si>
    <t>Alisson Airton Sobrinho - 07/03/2025 06:49:55</t>
  </si>
  <si>
    <t>Paula Caroline Morais Duarte - 02/10/2025 11:58:12</t>
  </si>
  <si>
    <t>Bica De Jogo</t>
  </si>
  <si>
    <t>CAM-27</t>
  </si>
  <si>
    <t xml:space="preserve">CAMERA SAIDA AÇUCAR P/ SECADOR </t>
  </si>
  <si>
    <t>Alisson Airton Sobrinho - 27/01/2025 09:56:16</t>
  </si>
  <si>
    <t>Alisson Airton Sobrinho - 27/01/2025 09:56:22</t>
  </si>
  <si>
    <t>Alisson Airton Sobrinho - 27/01/2025 09:56:24</t>
  </si>
  <si>
    <t>Beatriz Alves Nunes de Paulo - 29/01/2025 14:36:29</t>
  </si>
  <si>
    <t>Alisson Airton Sobrinho - 27/01/2025 09:56:35</t>
  </si>
  <si>
    <t>Beatriz Alves Nunes de Paulo - 28/01/2025 11:41:14</t>
  </si>
  <si>
    <t>Beatriz Alves Nunes de Paulo - 28/01/2025 11:41:17</t>
  </si>
  <si>
    <t>Beatriz Alves Nunes de Paulo - 28/01/2025 11:41:18</t>
  </si>
  <si>
    <t>Alisson Airton Sobrinho - 07/03/2025 08:11:32</t>
  </si>
  <si>
    <t>Alisson Airton Sobrinho - 07/03/2025 08:11:33</t>
  </si>
  <si>
    <t>Base de Dados_Images/CAM-27.Imagem do Equipamento-.142851.jpg</t>
  </si>
  <si>
    <t>Alisson Airton Sobrinho - 27/01/2025 09:55:50</t>
  </si>
  <si>
    <t>Centrifuga</t>
  </si>
  <si>
    <t>CAM-28</t>
  </si>
  <si>
    <t xml:space="preserve">CAMERA CENTRIFUGAS DE LEVEDO </t>
  </si>
  <si>
    <t>Weslley Ferreira Cooper - 30/01/2025 09:02:50</t>
  </si>
  <si>
    <t>Weslley Ferreira Cooper - 30/01/2025 09:02:48</t>
  </si>
  <si>
    <t>Weslley Ferreira Cooper - 30/01/2025 09:02:47</t>
  </si>
  <si>
    <t>Weslley Ferreira Cooper - 30/01/2025 09:02:46</t>
  </si>
  <si>
    <t>Rafael Roldão Rodrigues - 03/03/2025 12:26:55</t>
  </si>
  <si>
    <t>Rafael Roldão Rodrigues - 03/03/2025 12:26:56</t>
  </si>
  <si>
    <t>Rafael Roldão Rodrigues - 03/03/2025 12:26:57</t>
  </si>
  <si>
    <t>Matheus César Azevedo Neto - 07/03/2025 07:36:53</t>
  </si>
  <si>
    <t>Base de Dados_Images/CAM-28.Imagem do Equipamento-.130530.jpg</t>
  </si>
  <si>
    <t>Weslley Ferreira Cooper - 30/01/2025 09:02:41</t>
  </si>
  <si>
    <t xml:space="preserve">CAM-3 </t>
  </si>
  <si>
    <t xml:space="preserve">CÂMERA TANQUE ÁGUA CLARIFICADA </t>
  </si>
  <si>
    <t>Paula Caroline Morais Duarte - 29/01/2025 13:16:08</t>
  </si>
  <si>
    <t>Paula Caroline Morais Duarte - 29/01/2025 13:16:10</t>
  </si>
  <si>
    <t>Paula Caroline Morais Duarte - 29/01/2025 13:16:12</t>
  </si>
  <si>
    <t>Paula Caroline Morais Duarte - 29/01/2025 13:16:14</t>
  </si>
  <si>
    <t>Paula Caroline Morais Duarte - 29/01/2025 13:16:18</t>
  </si>
  <si>
    <t>Paula Caroline Morais Duarte - 11/02/2025 10:54:33</t>
  </si>
  <si>
    <t>Paula Caroline Morais Duarte - 11/02/2025 10:54:38</t>
  </si>
  <si>
    <t>Paula Caroline Morais Duarte - 11/02/2025 10:54:39</t>
  </si>
  <si>
    <t>Alisson Airton Sobrinho - 07/03/2025 10:12:29</t>
  </si>
  <si>
    <t>Alisson Airton Sobrinho - 07/03/2025 10:12:28</t>
  </si>
  <si>
    <t>Base de Dados_Images/CAM-3.Imagem do Equipamento-.161604.jpg</t>
  </si>
  <si>
    <t>Paula Caroline Morais Duarte - 29/01/2025 13:15:57</t>
  </si>
  <si>
    <t xml:space="preserve">CAM-6 </t>
  </si>
  <si>
    <t xml:space="preserve">CÂMERA ESTEIRA DOSADORA DE BAGAÇO </t>
  </si>
  <si>
    <t>Paula Caroline Morais Duarte - 01/02/2025 14:55:45</t>
  </si>
  <si>
    <t>Paula Caroline Morais Duarte - 01/02/2025 14:55:47</t>
  </si>
  <si>
    <t>Paula Caroline Morais Duarte - 01/02/2025 14:55:50</t>
  </si>
  <si>
    <t>Paula Caroline Morais Duarte - 01/02/2025 14:55:55</t>
  </si>
  <si>
    <t>Paula Caroline Morais Duarte - 01/02/2025 14:55:54</t>
  </si>
  <si>
    <t>Paula Caroline Morais Duarte - 11/02/2025 10:49:05</t>
  </si>
  <si>
    <t>Paula Caroline Morais Duarte - 11/02/2025 10:49:06</t>
  </si>
  <si>
    <t>Paula Caroline Morais Duarte - 11/02/2025 10:49:07</t>
  </si>
  <si>
    <t>Paula Caroline Morais Duarte - 25/02/2025 09:36:03</t>
  </si>
  <si>
    <t>Paula Caroline Morais Duarte - 25/02/2025 09:36:04</t>
  </si>
  <si>
    <t>Paula Caroline Morais Duarte - 02/01/2025 09:18:39</t>
  </si>
  <si>
    <t>Válvula Manual</t>
  </si>
  <si>
    <t>CAV001</t>
  </si>
  <si>
    <t>Válvula 01 Manual</t>
  </si>
  <si>
    <t>Alisson Airton Sobrinho - 21/01/2025 14:09:38</t>
  </si>
  <si>
    <t>Alisson Airton Sobrinho - 21/01/2025 14:09:39</t>
  </si>
  <si>
    <t>Alisson Airton Sobrinho - 21/01/2025 14:09:49</t>
  </si>
  <si>
    <t>Alisson Airton Sobrinho - 21/01/2025 14:09:50</t>
  </si>
  <si>
    <t>Alisson Airton Sobrinho - 21/01/2025 14:09:53</t>
  </si>
  <si>
    <t>Alisson Airton Sobrinho - 21/01/2025 14:09:54</t>
  </si>
  <si>
    <t>Alisson Airton Sobrinho - 21/01/2025 14:09:59</t>
  </si>
  <si>
    <t>Alisson Airton Sobrinho - 21/01/2025 14:09:57</t>
  </si>
  <si>
    <t>Alisson Airton Sobrinho - 04/02/2025 14:17:25</t>
  </si>
  <si>
    <t>Alisson Airton Sobrinho - 04/02/2025 14:17:48</t>
  </si>
  <si>
    <t>Alisson Airton Sobrinho - 04/02/2025 14:33:05</t>
  </si>
  <si>
    <t>Alisson Airton Sobrinho - 19/02/2025 11:56:15</t>
  </si>
  <si>
    <t>Base de Dados_Images/CAV001.Imagem do Equipamento-.184344.jpg</t>
  </si>
  <si>
    <t>Alisson Airton Sobrinho - 21/01/2025 14:09:31</t>
  </si>
  <si>
    <t>CAV002</t>
  </si>
  <si>
    <t>Válvula 02 Manual</t>
  </si>
  <si>
    <t>Alisson Airton Sobrinho - 21/01/2025 13:50:55</t>
  </si>
  <si>
    <t>Alisson Airton Sobrinho - 21/01/2025 13:50:56</t>
  </si>
  <si>
    <t>Alisson Airton Sobrinho - 21/01/2025 13:50:58</t>
  </si>
  <si>
    <t>Alisson Airton Sobrinho - 21/01/2025 13:51:01</t>
  </si>
  <si>
    <t>Alisson Airton Sobrinho - 21/01/2025 13:51:03</t>
  </si>
  <si>
    <t>Alisson Airton Sobrinho - 21/01/2025 13:51:33</t>
  </si>
  <si>
    <t>Alisson Airton Sobrinho - 21/01/2025 13:51:41</t>
  </si>
  <si>
    <t>Alisson Airton Sobrinho - 21/01/2025 13:51:51</t>
  </si>
  <si>
    <t>Matheus César Azevedo Neto - 04/02/2025 15:06:30</t>
  </si>
  <si>
    <t>Alisson Airton Sobrinho - 04/02/2025 14:27:20</t>
  </si>
  <si>
    <t>Alisson Airton Sobrinho - 04/02/2025 16:10:03</t>
  </si>
  <si>
    <t>Alisson Airton Sobrinho - 19/02/2025 11:56:19</t>
  </si>
  <si>
    <t>Base de Dados_Images/CAV002.Imagem do Equipamento-.184438.jpg</t>
  </si>
  <si>
    <t>Alisson Airton Sobrinho - 21/01/2025 14:12:16</t>
  </si>
  <si>
    <t>CAV004</t>
  </si>
  <si>
    <t>Válvula 04 Manual</t>
  </si>
  <si>
    <t>Alisson Airton Sobrinho - 21/01/2025 13:52:29</t>
  </si>
  <si>
    <t>Alisson Airton Sobrinho - 21/01/2025 13:52:32</t>
  </si>
  <si>
    <t>Alisson Airton Sobrinho - 21/01/2025 13:52:41</t>
  </si>
  <si>
    <t>Alisson Airton Sobrinho - 21/01/2025 13:52:44</t>
  </si>
  <si>
    <t>Alisson Airton Sobrinho - 21/01/2025 13:52:45</t>
  </si>
  <si>
    <t>Alisson Airton Sobrinho - 21/01/2025 13:52:49</t>
  </si>
  <si>
    <t>Alisson Airton Sobrinho - 21/01/2025 13:52:50</t>
  </si>
  <si>
    <t>Alisson Airton Sobrinho - 21/01/2025 13:52:53</t>
  </si>
  <si>
    <t>Alisson Airton Sobrinho - 04/02/2025 14:28:16</t>
  </si>
  <si>
    <t>Alisson Airton Sobrinho - 04/02/2025 14:28:18</t>
  </si>
  <si>
    <t>Alisson Airton Sobrinho - 04/02/2025 14:30:22</t>
  </si>
  <si>
    <t>Alisson Airton Sobrinho - 19/02/2025 11:56:31</t>
  </si>
  <si>
    <t>Base de Dados_Images/CAV004.Imagem do Equipamento-.184239.jpg</t>
  </si>
  <si>
    <t>Alisson Airton Sobrinho - 21/01/2025 14:02:27</t>
  </si>
  <si>
    <t>CAV005</t>
  </si>
  <si>
    <t>Válvula 05 Manual</t>
  </si>
  <si>
    <t>Weslley Ferreira Cooper - 31/01/2025 15:52:19</t>
  </si>
  <si>
    <t>Weslley Ferreira Cooper - 31/01/2025 15:52:15</t>
  </si>
  <si>
    <t>Weslley Ferreira Cooper - 31/01/2025 15:52:14</t>
  </si>
  <si>
    <t>Weslley Ferreira Cooper - 31/01/2025 15:52:13</t>
  </si>
  <si>
    <t>Weslley Ferreira Cooper - 31/01/2025 15:52:03</t>
  </si>
  <si>
    <t>Weslley Ferreira Cooper - 31/01/2025 15:52:02</t>
  </si>
  <si>
    <t>Weslley Ferreira Cooper - 31/01/2025 15:52:06</t>
  </si>
  <si>
    <t>Weslley Ferreira Cooper - 31/01/2025 15:52:08</t>
  </si>
  <si>
    <t>Alisson Airton Sobrinho - 04/02/2025 14:29:18</t>
  </si>
  <si>
    <t>Alisson Airton Sobrinho - 04/02/2025 14:29:43</t>
  </si>
  <si>
    <t>Alisson Airton Sobrinho - 04/02/2025 14:29:54</t>
  </si>
  <si>
    <t>Alisson Airton Sobrinho - 19/02/2025 11:56:49</t>
  </si>
  <si>
    <t>Não é permitido tirar foto no local</t>
  </si>
  <si>
    <t>Weslley Ferreira Cooper - 01/31/2025 15:50:21</t>
  </si>
  <si>
    <t>CAV006</t>
  </si>
  <si>
    <t>Válvula 06 Manual</t>
  </si>
  <si>
    <t>Alisson Airton Sobrinho - 21/01/2025 13:58:18</t>
  </si>
  <si>
    <t>Alisson Airton Sobrinho - 21/01/2025 13:58:19</t>
  </si>
  <si>
    <t>Alisson Airton Sobrinho - 21/01/2025 13:58:23</t>
  </si>
  <si>
    <t>Alisson Airton Sobrinho - 21/01/2025 13:58:46</t>
  </si>
  <si>
    <t>Alisson Airton Sobrinho - 21/01/2025 13:58:43</t>
  </si>
  <si>
    <t>Alisson Airton Sobrinho - 21/01/2025 13:58:39</t>
  </si>
  <si>
    <t>Alisson Airton Sobrinho - 21/01/2025 13:58:37</t>
  </si>
  <si>
    <t>Alisson Airton Sobrinho - 21/01/2025 13:58:30</t>
  </si>
  <si>
    <t>Alisson Airton Sobrinho - 04/02/2025 14:28:29</t>
  </si>
  <si>
    <t>Alisson Airton Sobrinho - 04/02/2025 14:28:31</t>
  </si>
  <si>
    <t>Alisson Airton Sobrinho - 04/02/2025 14:30:10</t>
  </si>
  <si>
    <t>Alisson Airton Sobrinho - 19/02/2025 11:56:39</t>
  </si>
  <si>
    <t>Base de Dados_Images/CAV006.Imagem do Equipamento-.184151.jpg</t>
  </si>
  <si>
    <t>Alisson Airton Sobrinho - 21/01/2025 13:58:10</t>
  </si>
  <si>
    <t>Centrífuga Açúcar</t>
  </si>
  <si>
    <t>Cc4001</t>
  </si>
  <si>
    <t>Centrífuga kont 12 n 01</t>
  </si>
  <si>
    <t>Rafael Roldão Rodrigues - 04/03/2025 14:26:58</t>
  </si>
  <si>
    <t>Rafael Roldão Rodrigues - 04/03/2025 14:26:59</t>
  </si>
  <si>
    <t>Rafael Roldão Rodrigues - 04/03/2025 14:27:00</t>
  </si>
  <si>
    <t>Rafael Roldão Rodrigues - 04/03/2025 14:27:01</t>
  </si>
  <si>
    <t>Rafael Roldão Rodrigues - 04/03/2025 14:27:03</t>
  </si>
  <si>
    <t>Rafael Roldão Rodrigues - 04/03/2025 14:27:04</t>
  </si>
  <si>
    <t>Rafael Roldão Rodrigues - 04/03/2025 14:27:08</t>
  </si>
  <si>
    <t>Rafael Roldão Rodrigues - 04/03/2025 14:27:09</t>
  </si>
  <si>
    <t>Rafael Roldão Rodrigues - 04/03/2025 14:27:11</t>
  </si>
  <si>
    <t>Rafael Roldão Rodrigues - 04/03/2025 14:27:13</t>
  </si>
  <si>
    <t>Rafael Roldão Rodrigues - 04/03/2025 14:27:17</t>
  </si>
  <si>
    <t>Rafael Roldão Rodrigues - 04/03/2025 14:27:16</t>
  </si>
  <si>
    <t>Rafael Roldão Rodrigues - 04/03/2025 14:27:23</t>
  </si>
  <si>
    <t>Rafael Roldão Rodrigues - 04/03/2025 14:27:24</t>
  </si>
  <si>
    <t>Rafael Roldão Rodrigues - 04/03/2025 14:27:25</t>
  </si>
  <si>
    <t>Rafael Roldão Rodrigues - 04/03/2025 14:27:27</t>
  </si>
  <si>
    <t>Rafael Roldão Rodrigues - 04/03/2025 14:27:31</t>
  </si>
  <si>
    <t>Rafael Roldão Rodrigues - 04/03/2025 14:27:32</t>
  </si>
  <si>
    <t>Rafael Roldão Rodrigues - 04/03/2025 14:27:33</t>
  </si>
  <si>
    <t>Rafael Roldão Rodrigues - 04/03/2025 14:27:34</t>
  </si>
  <si>
    <t>Rafael Roldão Rodrigues - 04/03/2025 14:27:35</t>
  </si>
  <si>
    <t>Rafael Roldão Rodrigues - 04/03/2025 14:27:37</t>
  </si>
  <si>
    <t>Alisson Airton Sobrinho - 10/03/2025 11:06:22</t>
  </si>
  <si>
    <t>Alisson Airton Sobrinho - 10/03/2025 11:06:23</t>
  </si>
  <si>
    <t>Alisson Airton Sobrinho - 10/03/2025 11:06:24</t>
  </si>
  <si>
    <t>Alisson Airton Sobrinho - 10/03/2025 11:06:25</t>
  </si>
  <si>
    <t>Alisson Airton Sobrinho - 10/03/2025 11:06:26</t>
  </si>
  <si>
    <t>Alisson Airton Sobrinho - 03/03/2025 12:52:32</t>
  </si>
  <si>
    <t>CC4002</t>
  </si>
  <si>
    <t>Centrifuga Kont 12 Nº 02</t>
  </si>
  <si>
    <t>Alisson Airton Sobrinho - 03/03/2025 13:48:45</t>
  </si>
  <si>
    <t>Alisson Airton Sobrinho - 03/03/2025 13:48:46</t>
  </si>
  <si>
    <t>Alisson Airton Sobrinho - 03/03/2025 13:48:47</t>
  </si>
  <si>
    <t>Alisson Airton Sobrinho - 03/03/2025 13:48:48</t>
  </si>
  <si>
    <t>Alisson Airton Sobrinho - 03/03/2025 13:48:51</t>
  </si>
  <si>
    <t>Alisson Airton Sobrinho - 03/03/2025 13:48:53</t>
  </si>
  <si>
    <t>Alisson Airton Sobrinho - 03/03/2025 13:48:54</t>
  </si>
  <si>
    <t>Alisson Airton Sobrinho - 03/03/2025 13:48:55</t>
  </si>
  <si>
    <t>Alisson Airton Sobrinho - 03/03/2025 13:48:57</t>
  </si>
  <si>
    <t>Alisson Airton Sobrinho - 03/03/2025 13:48:59</t>
  </si>
  <si>
    <t>Alisson Airton Sobrinho - 03/03/2025 13:49:00</t>
  </si>
  <si>
    <t>Alisson Airton Sobrinho - 03/03/2025 13:49:01</t>
  </si>
  <si>
    <t>Alisson Airton Sobrinho - 03/03/2025 13:49:06</t>
  </si>
  <si>
    <t>Alisson Airton Sobrinho - 03/03/2025 13:49:07</t>
  </si>
  <si>
    <t>Alisson Airton Sobrinho - 03/03/2025 13:49:08</t>
  </si>
  <si>
    <t>Alisson Airton Sobrinho - 03/03/2025 13:49:09</t>
  </si>
  <si>
    <t>Alisson Airton Sobrinho - 03/03/2025 13:49:13</t>
  </si>
  <si>
    <t>Alisson Airton Sobrinho - 03/03/2025 13:49:15</t>
  </si>
  <si>
    <t>Alisson Airton Sobrinho - 03/03/2025 13:49:17</t>
  </si>
  <si>
    <t>Alisson Airton Sobrinho - 03/03/2025 13:49:19</t>
  </si>
  <si>
    <t>Alisson Airton Sobrinho - 10/03/2025 11:05:55</t>
  </si>
  <si>
    <t>Alisson Airton Sobrinho - 10/03/2025 11:05:56</t>
  </si>
  <si>
    <t>Alisson Airton Sobrinho - 10/03/2025 11:05:57</t>
  </si>
  <si>
    <t>Alisson Airton Sobrinho - 10/03/2025 11:05:58</t>
  </si>
  <si>
    <t>Alisson Airton Sobrinho - 10/03/2025 11:05:59</t>
  </si>
  <si>
    <t>Alisson Airton Sobrinho - 01/27/2025 10:03:48</t>
  </si>
  <si>
    <t>CE 4001</t>
  </si>
  <si>
    <t>Centrífuga 01</t>
  </si>
  <si>
    <t>Rafael Roldão Rodrigues - 04/03/2025 14:27:51</t>
  </si>
  <si>
    <t>Rafael Roldão Rodrigues - 04/03/2025 14:27:52</t>
  </si>
  <si>
    <t>Rafael Roldão Rodrigues - 04/03/2025 14:27:53</t>
  </si>
  <si>
    <t>Rafael Roldão Rodrigues - 04/03/2025 14:27:57</t>
  </si>
  <si>
    <t>Rafael Roldão Rodrigues - 04/03/2025 14:27:56</t>
  </si>
  <si>
    <t>Rafael Roldão Rodrigues - 04/03/2025 14:28:00</t>
  </si>
  <si>
    <t>Rafael Roldão Rodrigues - 04/03/2025 14:28:02</t>
  </si>
  <si>
    <t>Rafael Roldão Rodrigues - 04/03/2025 14:28:03</t>
  </si>
  <si>
    <t>Rafael Roldão Rodrigues - 04/03/2025 14:28:04</t>
  </si>
  <si>
    <t>Rafael Roldão Rodrigues - 04/03/2025 14:28:05</t>
  </si>
  <si>
    <t>Rafael Roldão Rodrigues - 04/03/2025 14:28:09</t>
  </si>
  <si>
    <t>Rafael Roldão Rodrigues - 04/03/2025 14:28:08</t>
  </si>
  <si>
    <t>Rafael Roldão Rodrigues - 04/03/2025 14:28:14</t>
  </si>
  <si>
    <t>Rafael Roldão Rodrigues - 04/03/2025 14:28:15</t>
  </si>
  <si>
    <t>Rafael Roldão Rodrigues - 04/03/2025 14:28:16</t>
  </si>
  <si>
    <t>Rafael Roldão Rodrigues - 04/03/2025 14:28:17</t>
  </si>
  <si>
    <t>Rafael Roldão Rodrigues - 04/03/2025 14:28:46</t>
  </si>
  <si>
    <t>Rafael Roldão Rodrigues - 04/03/2025 14:28:47</t>
  </si>
  <si>
    <t>Rafael Roldão Rodrigues - 04/03/2025 14:28:48</t>
  </si>
  <si>
    <t>Rafael Roldão Rodrigues - 04/03/2025 14:28:51</t>
  </si>
  <si>
    <t>Rafael Roldão Rodrigues - 04/03/2025 14:28:50</t>
  </si>
  <si>
    <t>Rafael Roldão Rodrigues - 04/03/2025 14:28:53</t>
  </si>
  <si>
    <t>Alisson Airton Sobrinho - 10/03/2025 11:06:40</t>
  </si>
  <si>
    <t>Alisson Airton Sobrinho - 10/03/2025 11:06:41</t>
  </si>
  <si>
    <t>Alisson Airton Sobrinho - 10/03/2025 11:06:42</t>
  </si>
  <si>
    <t>Alisson Airton Sobrinho - 10/03/2025 11:06:43</t>
  </si>
  <si>
    <t>Alisson Airton Sobrinho - 10/03/2025 11:06:44</t>
  </si>
  <si>
    <t>Alisson Airton Sobrinho - 03/04/2025 14:01:00</t>
  </si>
  <si>
    <t>Centifuga Mac 1300 Nº2</t>
  </si>
  <si>
    <t>CE4002</t>
  </si>
  <si>
    <t>Centrifuga Mac 1300 Nº 02</t>
  </si>
  <si>
    <t>Rafael Roldão Rodrigues - 03/03/2025 13:31:15</t>
  </si>
  <si>
    <t>Rafael Roldão Rodrigues - 03/03/2025 13:31:16</t>
  </si>
  <si>
    <t>Rafael Roldão Rodrigues - 03/03/2025 13:31:17</t>
  </si>
  <si>
    <t>Alisson Airton Sobrinho - 12/03/2025 07:51:29</t>
  </si>
  <si>
    <t>Alisson Airton Sobrinho - 12/03/2025 07:51:31</t>
  </si>
  <si>
    <t>Alisson Airton Sobrinho - 12/03/2025 07:51:32</t>
  </si>
  <si>
    <t>Alisson Airton Sobrinho - 12/03/2025 07:51:33</t>
  </si>
  <si>
    <t>Alisson Airton Sobrinho - 12/03/2025 07:51:34</t>
  </si>
  <si>
    <t>Alisson Airton Sobrinho - 12/03/2025 07:51:35</t>
  </si>
  <si>
    <t>Alisson Airton Sobrinho - 12/03/2025 07:51:36</t>
  </si>
  <si>
    <t>Alisson Airton Sobrinho - 12/03/2025 07:51:58</t>
  </si>
  <si>
    <t>Alisson Airton Sobrinho - 12/03/2025 07:51:38</t>
  </si>
  <si>
    <t>Alisson Airton Sobrinho - 12/03/2025 07:52:04</t>
  </si>
  <si>
    <t>Alisson Airton Sobrinho - 12/03/2025 07:52:05</t>
  </si>
  <si>
    <t>Alisson Airton Sobrinho - 12/03/2025 07:52:06</t>
  </si>
  <si>
    <t>Alisson Airton Sobrinho - 12/03/2025 07:52:11</t>
  </si>
  <si>
    <t>Alisson Airton Sobrinho - 12/03/2025 07:52:12</t>
  </si>
  <si>
    <t>Alisson Airton Sobrinho - 12/03/2025 07:52:13</t>
  </si>
  <si>
    <t>Alisson Airton Sobrinho - 12/03/2025 07:52:14</t>
  </si>
  <si>
    <t>Alisson Airton Sobrinho - 12/03/2025 07:52:15</t>
  </si>
  <si>
    <t>Alisson Airton Sobrinho - 18/03/2025 07:40:32</t>
  </si>
  <si>
    <t>Alisson Airton Sobrinho - 18/03/2025 07:40:34</t>
  </si>
  <si>
    <t>Alisson Airton Sobrinho - 18/03/2025 07:40:35</t>
  </si>
  <si>
    <t>Alisson Airton Sobrinho - 18/03/2025 07:40:36</t>
  </si>
  <si>
    <t>Alisson Airton Sobrinho - 18/03/2025 07:40:37</t>
  </si>
  <si>
    <t>Base de Dados_Images/CE4002.Imagem do Equipamento-.165024.jpg</t>
  </si>
  <si>
    <t>Rafael Roldão Rodrigues - 03/03/2025 13:31:09</t>
  </si>
  <si>
    <t>Centifuga Mac 1300 Nº1</t>
  </si>
  <si>
    <t>CE4003</t>
  </si>
  <si>
    <t>Centrifuga Mac 1300 Nº 01</t>
  </si>
  <si>
    <t>Rafael Roldão Rodrigues - 04/03/2025 14:22:24</t>
  </si>
  <si>
    <t>Rafael Roldão Rodrigues - 04/03/2025 14:22:25</t>
  </si>
  <si>
    <t>Rafael Roldão Rodrigues - 04/03/2025 14:22:28</t>
  </si>
  <si>
    <t>Rafael Roldão Rodrigues - 04/03/2025 14:22:31</t>
  </si>
  <si>
    <t>Rafael Roldão Rodrigues - 04/03/2025 14:22:34</t>
  </si>
  <si>
    <t>Rafael Roldão Rodrigues - 04/03/2025 14:22:36</t>
  </si>
  <si>
    <t>Rafael Roldão Rodrigues - 04/03/2025 14:22:38</t>
  </si>
  <si>
    <t>Rafael Roldão Rodrigues - 04/03/2025 14:22:40</t>
  </si>
  <si>
    <t>Rafael Roldão Rodrigues - 04/03/2025 14:22:43</t>
  </si>
  <si>
    <t>Rafael Roldão Rodrigues - 04/03/2025 14:22:45</t>
  </si>
  <si>
    <t>Rafael Roldão Rodrigues - 04/03/2025 14:22:48</t>
  </si>
  <si>
    <t>Rafael Roldão Rodrigues - 04/03/2025 14:22:49</t>
  </si>
  <si>
    <t>Rafael Roldão Rodrigues - 04/03/2025 14:22:52</t>
  </si>
  <si>
    <t>Rafael Roldão Rodrigues - 04/03/2025 14:24:08</t>
  </si>
  <si>
    <t>Rafael Roldão Rodrigues - 04/03/2025 14:24:09</t>
  </si>
  <si>
    <t>Rafael Roldão Rodrigues - 04/03/2025 14:24:11</t>
  </si>
  <si>
    <t>Rafael Roldão Rodrigues - 04/03/2025 14:24:15</t>
  </si>
  <si>
    <t>Rafael Roldão Rodrigues - 04/03/2025 14:24:40</t>
  </si>
  <si>
    <t>Rafael Roldão Rodrigues - 04/03/2025 14:24:41</t>
  </si>
  <si>
    <t>Rafael Roldão Rodrigues - 04/03/2025 14:24:42</t>
  </si>
  <si>
    <t>Rafael Roldão Rodrigues - 04/03/2025 14:24:46</t>
  </si>
  <si>
    <t>Rafael Roldão Rodrigues - 04/03/2025 14:24:44</t>
  </si>
  <si>
    <t>Rafael Roldão Rodrigues - 04/03/2025 14:24:47</t>
  </si>
  <si>
    <t>Alisson Airton Sobrinho - 10/03/2025 11:23:56</t>
  </si>
  <si>
    <t>Alisson Airton Sobrinho - 10/03/2025 11:23:57</t>
  </si>
  <si>
    <t>Alisson Airton Sobrinho - 10/03/2025 11:23:58</t>
  </si>
  <si>
    <t>Alisson Airton Sobrinho - 10/03/2025 11:23:59</t>
  </si>
  <si>
    <t>Alisson Airton Sobrinho - 10/03/2025 11:24:00</t>
  </si>
  <si>
    <t>Rafael Roldão Rodrigues - 03/04/2025 14:22:11</t>
  </si>
  <si>
    <t>Centrífuga Levedo</t>
  </si>
  <si>
    <t>CF6501</t>
  </si>
  <si>
    <t>Centrifuga De Fermento Nº 01</t>
  </si>
  <si>
    <t>Weslley Ferreira Cooper - 30/01/2025 08:47:08</t>
  </si>
  <si>
    <t>Weslley Ferreira Cooper - 30/01/2025 08:47:04</t>
  </si>
  <si>
    <t>Weslley Ferreira Cooper - 30/01/2025 08:47:06</t>
  </si>
  <si>
    <t>Weslley Ferreira Cooper - 30/01/2025 08:47:02</t>
  </si>
  <si>
    <t>Weslley Ferreira Cooper - 30/01/2025 08:47:01</t>
  </si>
  <si>
    <t>Weslley Ferreira Cooper - 30/01/2025 08:46:58</t>
  </si>
  <si>
    <t>Weslley Ferreira Cooper - 30/01/2025 08:46:57</t>
  </si>
  <si>
    <t>Alisson Airton Sobrinho - 05/03/2025 14:33:06</t>
  </si>
  <si>
    <t>Alisson Airton Sobrinho - 05/03/2025 14:33:07</t>
  </si>
  <si>
    <t>Alisson Airton Sobrinho - 05/03/2025 14:33:08</t>
  </si>
  <si>
    <t>Alisson Airton Sobrinho - 05/03/2025 14:33:09</t>
  </si>
  <si>
    <t>Alisson Airton Sobrinho - 05/03/2025 14:33:10</t>
  </si>
  <si>
    <t>Alisson Airton Sobrinho - 05/03/2025 14:33:13</t>
  </si>
  <si>
    <t>Alisson Airton Sobrinho - 05/03/2025 14:33:14</t>
  </si>
  <si>
    <t>Alisson Airton Sobrinho - 05/03/2025 14:33:15</t>
  </si>
  <si>
    <t>Alisson Airton Sobrinho - 05/03/2025 14:33:16</t>
  </si>
  <si>
    <t>Alisson Airton Sobrinho - 05/03/2025 14:33:17</t>
  </si>
  <si>
    <t>Alisson Airton Sobrinho - 05/03/2025 14:33:19</t>
  </si>
  <si>
    <t>Alisson Airton Sobrinho - 05/03/2025 14:33:26</t>
  </si>
  <si>
    <t>Alisson Airton Sobrinho - 05/03/2025 14:33:27</t>
  </si>
  <si>
    <t>Alisson Airton Sobrinho - 05/03/2025 14:33:28</t>
  </si>
  <si>
    <t>Alisson Airton Sobrinho - 05/03/2025 14:33:29</t>
  </si>
  <si>
    <t>Alisson Airton Sobrinho - 05/03/2025 14:33:30</t>
  </si>
  <si>
    <t>Alisson Airton Sobrinho - 05/03/2025 14:33:31</t>
  </si>
  <si>
    <t>Alisson Airton Sobrinho - 05/03/2025 14:33:32</t>
  </si>
  <si>
    <t>Base de Dados_Images/CF6501.Imagem do Equipamento-.125301.jpg</t>
  </si>
  <si>
    <t>Weslley Ferreira Cooper - 30/01/2025 08:46:49</t>
  </si>
  <si>
    <t>CF6502</t>
  </si>
  <si>
    <t>Centrifuga De Fermento Nº 02</t>
  </si>
  <si>
    <t>Weslley Ferreira Cooper - 30/01/2025 08:52:06</t>
  </si>
  <si>
    <t>Weslley Ferreira Cooper - 30/01/2025 08:52:07</t>
  </si>
  <si>
    <t>Weslley Ferreira Cooper - 30/01/2025 08:52:20</t>
  </si>
  <si>
    <t>Weslley Ferreira Cooper - 30/01/2025 08:52:14</t>
  </si>
  <si>
    <t>Weslley Ferreira Cooper - 30/01/2025 08:52:13</t>
  </si>
  <si>
    <t>Weslley Ferreira Cooper - 30/01/2025 08:52:15</t>
  </si>
  <si>
    <t>Weslley Ferreira Cooper - 30/01/2025 08:52:11</t>
  </si>
  <si>
    <t>Weslley Ferreira Cooper - 30/01/2025 08:52:10</t>
  </si>
  <si>
    <t>Weslley Ferreira Cooper - 30/01/2025 08:52:09</t>
  </si>
  <si>
    <t>Alisson Airton Sobrinho - 10/03/2025 11:25:05</t>
  </si>
  <si>
    <t>Alisson Airton Sobrinho - 10/03/2025 11:25:06</t>
  </si>
  <si>
    <t>Alisson Airton Sobrinho - 10/03/2025 11:25:07</t>
  </si>
  <si>
    <t>Alisson Airton Sobrinho - 10/03/2025 11:25:11</t>
  </si>
  <si>
    <t>Alisson Airton Sobrinho - 10/03/2025 11:25:12</t>
  </si>
  <si>
    <t>Alisson Airton Sobrinho - 10/03/2025 11:25:13</t>
  </si>
  <si>
    <t>Alisson Airton Sobrinho - 10/03/2025 11:25:14</t>
  </si>
  <si>
    <t>Alisson Airton Sobrinho - 10/03/2025 11:25:15</t>
  </si>
  <si>
    <t>Alisson Airton Sobrinho - 10/03/2025 11:25:19</t>
  </si>
  <si>
    <t>Alisson Airton Sobrinho - 10/03/2025 11:25:20</t>
  </si>
  <si>
    <t>Alisson Airton Sobrinho - 10/03/2025 11:25:21</t>
  </si>
  <si>
    <t>Alisson Airton Sobrinho - 10/03/2025 11:25:22</t>
  </si>
  <si>
    <t>Alisson Airton Sobrinho - 10/03/2025 11:25:23</t>
  </si>
  <si>
    <t>Base de Dados_Images/CF6502.Imagem do Equipamento-.125653.jpg</t>
  </si>
  <si>
    <t>Weslley Ferreira Cooper - 30/01/2025 08:52:02</t>
  </si>
  <si>
    <t>CF6503</t>
  </si>
  <si>
    <t>Centrifuga De Fermento Nº 03</t>
  </si>
  <si>
    <t>Weslley Ferreira Cooper - 30/01/2025 08:56:46</t>
  </si>
  <si>
    <t>Weslley Ferreira Cooper - 30/01/2025 08:56:45</t>
  </si>
  <si>
    <t>Weslley Ferreira Cooper - 30/01/2025 08:56:44</t>
  </si>
  <si>
    <t>Weslley Ferreira Cooper - 30/01/2025 08:56:52</t>
  </si>
  <si>
    <t>Weslley Ferreira Cooper - 30/01/2025 08:56:51</t>
  </si>
  <si>
    <t>Weslley Ferreira Cooper - 30/01/2025 08:56:54</t>
  </si>
  <si>
    <t>Weslley Ferreira Cooper - 30/01/2025 08:56:49</t>
  </si>
  <si>
    <t>Weslley Ferreira Cooper - 30/01/2025 08:56:48</t>
  </si>
  <si>
    <t>Alisson Airton Sobrinho - 05/03/2025 14:34:56</t>
  </si>
  <si>
    <t>Alisson Airton Sobrinho - 05/03/2025 14:34:57</t>
  </si>
  <si>
    <t>Alisson Airton Sobrinho - 05/03/2025 14:34:58</t>
  </si>
  <si>
    <t>Alisson Airton Sobrinho - 05/03/2025 14:34:59</t>
  </si>
  <si>
    <t>Alisson Airton Sobrinho - 05/03/2025 14:35:00</t>
  </si>
  <si>
    <t>Alisson Airton Sobrinho - 05/03/2025 14:35:04</t>
  </si>
  <si>
    <t>Alisson Airton Sobrinho - 05/03/2025 14:35:06</t>
  </si>
  <si>
    <t>Alisson Airton Sobrinho - 05/03/2025 14:35:07</t>
  </si>
  <si>
    <t>Alisson Airton Sobrinho - 05/03/2025 14:35:08</t>
  </si>
  <si>
    <t>Alisson Airton Sobrinho - 05/03/2025 14:35:12</t>
  </si>
  <si>
    <t>Alisson Airton Sobrinho - 05/03/2025 14:35:13</t>
  </si>
  <si>
    <t>Alisson Airton Sobrinho - 05/03/2025 14:35:15</t>
  </si>
  <si>
    <t>Alisson Airton Sobrinho - 05/03/2025 14:35:16</t>
  </si>
  <si>
    <t>Alisson Airton Sobrinho - 05/03/2025 14:35:17</t>
  </si>
  <si>
    <t>Alisson Airton Sobrinho - 05/03/2025 14:35:18</t>
  </si>
  <si>
    <t>Alisson Airton Sobrinho - 05/03/2025 14:35:20</t>
  </si>
  <si>
    <t>Base de Dados_Images/CF6503.Imagem do Equipamento-.130108.jpg</t>
  </si>
  <si>
    <t>Weslley Ferreira Cooper - 30/01/2025 08:56:39</t>
  </si>
  <si>
    <t>CF6504</t>
  </si>
  <si>
    <t>Centrifuga De Fermento Nº 04</t>
  </si>
  <si>
    <t>Weslley Ferreira Cooper - 30/01/2025 08:58:22</t>
  </si>
  <si>
    <t>Weslley Ferreira Cooper - 30/01/2025 08:58:17</t>
  </si>
  <si>
    <t>Weslley Ferreira Cooper - 30/01/2025 08:58:16</t>
  </si>
  <si>
    <t>Weslley Ferreira Cooper - 30/01/2025 08:58:15</t>
  </si>
  <si>
    <t>Weslley Ferreira Cooper - 30/01/2025 08:58:14</t>
  </si>
  <si>
    <t>Weslley Ferreira Cooper - 30/01/2025 08:58:13</t>
  </si>
  <si>
    <t>Weslley Ferreira Cooper - 30/01/2025 08:58:11</t>
  </si>
  <si>
    <t>Weslley Ferreira Cooper - 30/01/2025 08:58:10</t>
  </si>
  <si>
    <t>Weslley Ferreira Cooper - 30/01/2025 08:58:09</t>
  </si>
  <si>
    <t>Weslley Ferreira Cooper - 30/01/2025 08:58:08</t>
  </si>
  <si>
    <t>Alisson Airton Sobrinho - 05/03/2025 14:36:49</t>
  </si>
  <si>
    <t>Alisson Airton Sobrinho - 05/03/2025 14:36:50</t>
  </si>
  <si>
    <t>Alisson Airton Sobrinho - 05/03/2025 14:36:51</t>
  </si>
  <si>
    <t>Alisson Airton Sobrinho - 05/03/2025 14:36:53</t>
  </si>
  <si>
    <t>Alisson Airton Sobrinho - 05/03/2025 14:36:56</t>
  </si>
  <si>
    <t>Alisson Airton Sobrinho - 05/03/2025 14:36:57</t>
  </si>
  <si>
    <t>Alisson Airton Sobrinho - 05/03/2025 14:36:58</t>
  </si>
  <si>
    <t>Alisson Airton Sobrinho - 05/03/2025 14:36:59</t>
  </si>
  <si>
    <t>Alisson Airton Sobrinho - 05/03/2025 14:37:00</t>
  </si>
  <si>
    <t>Alisson Airton Sobrinho - 05/03/2025 14:37:04</t>
  </si>
  <si>
    <t>Alisson Airton Sobrinho - 05/03/2025 14:37:05</t>
  </si>
  <si>
    <t>Alisson Airton Sobrinho - 05/03/2025 14:37:06</t>
  </si>
  <si>
    <t>Alisson Airton Sobrinho - 05/03/2025 14:37:08</t>
  </si>
  <si>
    <t>Alisson Airton Sobrinho - 05/03/2025 14:37:09</t>
  </si>
  <si>
    <t>Alisson Airton Sobrinho - 05/03/2025 14:37:11</t>
  </si>
  <si>
    <t>Base de Dados_Images/CF6504.Imagem do Equipamento-.130249.jpg</t>
  </si>
  <si>
    <t>Weslley Ferreira Cooper - 30/01/2025 08:58:04</t>
  </si>
  <si>
    <t>Cristalizador 01</t>
  </si>
  <si>
    <t>CR4001</t>
  </si>
  <si>
    <t>Agitador Nº 01</t>
  </si>
  <si>
    <t>Alisson Airton Sobrinho - 27/01/2025 10:49:06</t>
  </si>
  <si>
    <t>Alisson Airton Sobrinho - 27/01/2025 10:49:31</t>
  </si>
  <si>
    <t>Alisson Airton Sobrinho - 27/01/2025 10:49:34</t>
  </si>
  <si>
    <t>Alisson Airton Sobrinho - 27/01/2025 10:49:36</t>
  </si>
  <si>
    <t>Alisson Airton Sobrinho - 27/01/2025 10:49:39</t>
  </si>
  <si>
    <t>Alisson Airton Sobrinho - 27/01/2025 10:49:44</t>
  </si>
  <si>
    <t>Alisson Airton Sobrinho - 27/01/2025 10:49:50</t>
  </si>
  <si>
    <t>Alisson Airton Sobrinho - 27/01/2025 10:50:01</t>
  </si>
  <si>
    <t>Alisson Airton Sobrinho - 27/01/2025 10:50:02</t>
  </si>
  <si>
    <t>Alisson Airton Sobrinho - 27/01/2025 10:50:07</t>
  </si>
  <si>
    <t>Beatriz Alves Nunes de Paulo - 29/01/2025 14:37:11</t>
  </si>
  <si>
    <t>Alisson Airton Sobrinho - 27/01/2025 10:50:16</t>
  </si>
  <si>
    <t>Alisson Airton Sobrinho - 27/01/2025 10:50:17</t>
  </si>
  <si>
    <t>Beatriz Alves Nunes de Paulo - 04/02/2025 13:04:40</t>
  </si>
  <si>
    <t>Beatriz Alves Nunes de Paulo - 04/02/2025 13:04:39</t>
  </si>
  <si>
    <t>Beatriz Alves Nunes de Paulo - 27/02/2025 12:53:31</t>
  </si>
  <si>
    <t>Beatriz Alves Nunes de Paulo - 27/02/2025 12:53:32</t>
  </si>
  <si>
    <t>Beatriz Alves Nunes de Paulo - 27/02/2025 12:53:33</t>
  </si>
  <si>
    <t>Beatriz Alves Nunes de Paulo - 27/02/2025 12:53:34</t>
  </si>
  <si>
    <t>Beatriz Alves Nunes de Paulo - 06/03/2025 08:46:49</t>
  </si>
  <si>
    <t>Beatriz Alves Nunes de Paulo - 06/03/2025 08:46:50</t>
  </si>
  <si>
    <t>Beatriz Alves Nunes de Paulo - 06/03/2025 08:46:51</t>
  </si>
  <si>
    <t>Beatriz Alves Nunes de Paulo - 02/11/2025 14:17:54</t>
  </si>
  <si>
    <t>Cristalizador 02</t>
  </si>
  <si>
    <t>CR4002</t>
  </si>
  <si>
    <t>Agitador Cristalizador 2</t>
  </si>
  <si>
    <t>Alisson Airton Sobrinho - 27/01/2025 10:54:38</t>
  </si>
  <si>
    <t>Alisson Airton Sobrinho - 27/01/2025 10:54:40</t>
  </si>
  <si>
    <t>Alisson Airton Sobrinho - 27/01/2025 10:54:42</t>
  </si>
  <si>
    <t>Alisson Airton Sobrinho - 27/01/2025 10:54:44</t>
  </si>
  <si>
    <t>Alisson Airton Sobrinho - 27/01/2025 10:54:48</t>
  </si>
  <si>
    <t>Alisson Airton Sobrinho - 27/01/2025 10:54:50</t>
  </si>
  <si>
    <t>Alisson Airton Sobrinho - 27/01/2025 10:54:52</t>
  </si>
  <si>
    <t>Alisson Airton Sobrinho - 27/01/2025 10:54:54</t>
  </si>
  <si>
    <t>Alisson Airton Sobrinho - 27/01/2025 10:54:56</t>
  </si>
  <si>
    <t>Alisson Airton Sobrinho - 27/01/2025 10:54:58</t>
  </si>
  <si>
    <t>Beatriz Alves Nunes de Paulo - 29/01/2025 14:38:37</t>
  </si>
  <si>
    <t>Alisson Airton Sobrinho - 27/01/2025 10:55:20</t>
  </si>
  <si>
    <t>Alisson Airton Sobrinho - 27/01/2025 10:55:21</t>
  </si>
  <si>
    <t>Beatriz Alves Nunes de Paulo - 04/02/2025 13:06:59</t>
  </si>
  <si>
    <t>Beatriz Alves Nunes de Paulo - 04/02/2025 13:06:58</t>
  </si>
  <si>
    <t>Beatriz Alves Nunes de Paulo - 04/02/2025 13:06:57</t>
  </si>
  <si>
    <t>Beatriz Alves Nunes de Paulo - 04/02/2025 13:06:56</t>
  </si>
  <si>
    <t>Beatriz Alves Nunes de Paulo - 27/02/2025 12:53:59</t>
  </si>
  <si>
    <t>Beatriz Alves Nunes de Paulo - 27/02/2025 12:54:00</t>
  </si>
  <si>
    <t>Beatriz Alves Nunes de Paulo - 27/02/2025 12:54:01</t>
  </si>
  <si>
    <t>Beatriz Alves Nunes de Paulo - 27/02/2025 12:54:02</t>
  </si>
  <si>
    <t>Beatriz Alves Nunes de Paulo - 06/03/2025 08:47:08</t>
  </si>
  <si>
    <t>Beatriz Alves Nunes de Paulo - 06/03/2025 08:47:09</t>
  </si>
  <si>
    <t>Beatriz Alves Nunes de Paulo - 06/03/2025 08:47:10</t>
  </si>
  <si>
    <t>Base de Dados_Images/CR4002.Imagem do Equipamento-.151454.jpg</t>
  </si>
  <si>
    <t>Alisson Airton Sobrinho - 27/01/2025 10:52:49</t>
  </si>
  <si>
    <t>Base de Dados_Images/CR4002.Imagem da Plaqueta do Motor-.151454.jpg</t>
  </si>
  <si>
    <t>Alisson Airton Sobrinho - 27/01/2025 10:54:16</t>
  </si>
  <si>
    <t>Cristalizador 04</t>
  </si>
  <si>
    <t>CR4004</t>
  </si>
  <si>
    <t>Cristalizador Agitador Nº 04</t>
  </si>
  <si>
    <t>Beatriz Alves Nunes de Paulo - 29/01/2025 10:17:20</t>
  </si>
  <si>
    <t>Beatriz Alves Nunes de Paulo - 29/01/2025 10:17:21</t>
  </si>
  <si>
    <t>Beatriz Alves Nunes de Paulo - 29/01/2025 10:17:26</t>
  </si>
  <si>
    <t>Beatriz Alves Nunes de Paulo - 29/01/2025 10:17:24</t>
  </si>
  <si>
    <t>Beatriz Alves Nunes de Paulo - 29/01/2025 10:17:37</t>
  </si>
  <si>
    <t>Beatriz Alves Nunes de Paulo - 29/01/2025 10:17:29</t>
  </si>
  <si>
    <t>Beatriz Alves Nunes de Paulo - 29/01/2025 10:17:35</t>
  </si>
  <si>
    <t>Beatriz Alves Nunes de Paulo - 29/01/2025 10:17:39</t>
  </si>
  <si>
    <t>Beatriz Alves Nunes de Paulo - 29/01/2025 10:17:43</t>
  </si>
  <si>
    <t>Beatriz Alves Nunes de Paulo - 27/02/2025 12:54:33</t>
  </si>
  <si>
    <t>Beatriz Alves Nunes de Paulo - 27/02/2025 12:54:34</t>
  </si>
  <si>
    <t>Beatriz Alves Nunes de Paulo - 06/03/2025 08:47:37</t>
  </si>
  <si>
    <t>Beatriz Alves Nunes de Paulo - 06/03/2025 08:47:39</t>
  </si>
  <si>
    <t>Beatriz Alves Nunes de Paulo - 01/29/2025 10:17:16</t>
  </si>
  <si>
    <t>CV003</t>
  </si>
  <si>
    <t>Válvula 03 Manual</t>
  </si>
  <si>
    <t>Alisson Airton Sobrinho - 21/01/2025 14:04:13</t>
  </si>
  <si>
    <t>Alisson Airton Sobrinho - 21/01/2025 14:04:04</t>
  </si>
  <si>
    <t>Alisson Airton Sobrinho - 21/01/2025 14:04:03</t>
  </si>
  <si>
    <t>Alisson Airton Sobrinho - 21/01/2025 14:04:01</t>
  </si>
  <si>
    <t>Alisson Airton Sobrinho - 21/01/2025 14:03:59</t>
  </si>
  <si>
    <t>Alisson Airton Sobrinho - 21/01/2025 14:03:57</t>
  </si>
  <si>
    <t>Alisson Airton Sobrinho - 21/01/2025 14:03:56</t>
  </si>
  <si>
    <t>Alisson Airton Sobrinho - 21/01/2025 14:03:53</t>
  </si>
  <si>
    <t>Alisson Airton Sobrinho - 04/02/2025 14:27:57</t>
  </si>
  <si>
    <t>Alisson Airton Sobrinho - 04/02/2025 14:27:58</t>
  </si>
  <si>
    <t>Alisson Airton Sobrinho - 04/02/2025 14:32:41</t>
  </si>
  <si>
    <t>Alisson Airton Sobrinho - 19/02/2025 11:56:26</t>
  </si>
  <si>
    <t>Base de Dados_Images/CV003.Imagem do Equipamento-.184247.jpg</t>
  </si>
  <si>
    <t>Alisson Airton Sobrinho - 21/01/2025 14:03:41</t>
  </si>
  <si>
    <t>Motoredutor</t>
  </si>
  <si>
    <t>CV4001</t>
  </si>
  <si>
    <t>Motor Redutor Bica De Jogo</t>
  </si>
  <si>
    <t>Alisson Airton Sobrinho - 27/01/2025 09:59:16</t>
  </si>
  <si>
    <t>Alisson Airton Sobrinho - 27/01/2025 09:59:21</t>
  </si>
  <si>
    <t>Alisson Airton Sobrinho - 27/01/2025 09:59:28</t>
  </si>
  <si>
    <t>Alisson Airton Sobrinho - 27/01/2025 09:59:34</t>
  </si>
  <si>
    <t>Alisson Airton Sobrinho - 27/01/2025 09:59:42</t>
  </si>
  <si>
    <t>Alisson Airton Sobrinho - 27/01/2025 09:59:45</t>
  </si>
  <si>
    <t>Alisson Airton Sobrinho - 27/01/2025 09:59:50</t>
  </si>
  <si>
    <t>Alisson Airton Sobrinho - 27/01/2025 09:59:54</t>
  </si>
  <si>
    <t>Alisson Airton Sobrinho - 27/01/2025 10:00:01</t>
  </si>
  <si>
    <t>Alisson Airton Sobrinho - 27/01/2025 10:00:06</t>
  </si>
  <si>
    <t>Alisson Airton Sobrinho - 27/01/2025 10:00:14</t>
  </si>
  <si>
    <t>Alisson Airton Sobrinho - 27/01/2025 10:00:20</t>
  </si>
  <si>
    <t>Alisson Airton Sobrinho - 31/01/2025 12:34:33</t>
  </si>
  <si>
    <t>Alisson Airton Sobrinho - 31/01/2025 12:34:34</t>
  </si>
  <si>
    <t>Alisson Airton Sobrinho - 31/01/2025 12:34:35</t>
  </si>
  <si>
    <t>Alisson Airton Sobrinho - 31/01/2025 12:34:40</t>
  </si>
  <si>
    <t>Beatriz Alves Nunes de Paulo - 27/02/2025 12:48:36</t>
  </si>
  <si>
    <t>Beatriz Alves Nunes de Paulo - 27/02/2025 12:48:40</t>
  </si>
  <si>
    <t>Beatriz Alves Nunes de Paulo - 27/02/2025 12:48:41</t>
  </si>
  <si>
    <t>Beatriz Alves Nunes de Paulo - 27/02/2025 12:48:43</t>
  </si>
  <si>
    <t>Beatriz Alves Nunes de Paulo - 06/03/2025 08:45:44</t>
  </si>
  <si>
    <t>Beatriz Alves Nunes de Paulo - 06/03/2025 08:45:45</t>
  </si>
  <si>
    <t>Beatriz Alves Nunes de Paulo - 06/03/2025 08:45:48</t>
  </si>
  <si>
    <t>Beatriz Alves Nunes de Paulo - 06/03/2025 08:45:47</t>
  </si>
  <si>
    <t>Base de Dados_Images/CV4001.Imagem do Equipamento-.142927.jpg</t>
  </si>
  <si>
    <t>Alisson Airton Sobrinho - 27/01/2025 09:57:41</t>
  </si>
  <si>
    <t>Base de Dados_Images/CV4001.Imagem da Plaqueta do Motor-.142927.jpg</t>
  </si>
  <si>
    <t>Alisson Airton Sobrinho - 27/01/2025 09:58:59</t>
  </si>
  <si>
    <t>Redutora 21X1,5 Kgf/Cm²</t>
  </si>
  <si>
    <t>Dosador De Bagaço</t>
  </si>
  <si>
    <t>DB8101</t>
  </si>
  <si>
    <t>Alimentador De Bagaco Nº 01</t>
  </si>
  <si>
    <t>Weslley Ferreira Cooper - 01/02/2025 09:57:18</t>
  </si>
  <si>
    <t>Weslley Ferreira Cooper - 01/02/2025 09:57:35</t>
  </si>
  <si>
    <t>Weslley Ferreira Cooper - 01/02/2025 09:57:32</t>
  </si>
  <si>
    <t>Weslley Ferreira Cooper - 01/02/2025 09:57:31</t>
  </si>
  <si>
    <t>Weslley Ferreira Cooper - 01/02/2025 09:57:33</t>
  </si>
  <si>
    <t>Weslley Ferreira Cooper - 01/02/2025 09:57:28</t>
  </si>
  <si>
    <t>Weslley Ferreira Cooper - 01/02/2025 09:57:27</t>
  </si>
  <si>
    <t>Weslley Ferreira Cooper - 01/02/2025 09:57:24</t>
  </si>
  <si>
    <t>Weslley Ferreira Cooper - 01/02/2025 09:57:23</t>
  </si>
  <si>
    <t>Weslley Ferreira Cooper - 01/02/2025 09:57:25</t>
  </si>
  <si>
    <t>Weslley Ferreira Cooper - 01/02/2025 09:57:21</t>
  </si>
  <si>
    <t>Weslley Ferreira Cooper - 01/02/2025 09:57:20</t>
  </si>
  <si>
    <t>Paula Caroline Morais Duarte - 23/02/2025 16:34:40</t>
  </si>
  <si>
    <t>Paula Caroline Morais Duarte - 23/02/2025 16:34:41</t>
  </si>
  <si>
    <t>Paula Caroline Morais Duarte - 23/02/2025 16:34:43</t>
  </si>
  <si>
    <t>Paula Caroline Morais Duarte - 23/02/2025 16:34:44</t>
  </si>
  <si>
    <t>Paula Caroline Morais Duarte - 23/02/2025 16:34:48</t>
  </si>
  <si>
    <t>Paula Caroline Morais Duarte - 23/02/2025 16:34:49</t>
  </si>
  <si>
    <t>Paula Caroline Morais Duarte - 23/02/2025 16:34:51</t>
  </si>
  <si>
    <t>Paula Caroline Morais Duarte - 23/02/2025 16:34:58</t>
  </si>
  <si>
    <t>Paula Caroline Morais Duarte - 23/02/2025 16:35:00</t>
  </si>
  <si>
    <t>Paula Caroline Morais Duarte - 23/02/2025 16:35:01</t>
  </si>
  <si>
    <t>Paula Caroline Morais Duarte - 23/02/2025 16:35:02</t>
  </si>
  <si>
    <t>Base de Dados_Images/DB8101.Imagem do Equipamento-.131137.jpg</t>
  </si>
  <si>
    <t>Weslley Ferreira Cooper - 01/02/2025 09:57:13</t>
  </si>
  <si>
    <t>DB8102</t>
  </si>
  <si>
    <t>Alimentador De Bagaco Nº 02</t>
  </si>
  <si>
    <t>Weslley Ferreira Cooper - 01/02/2025 09:58:24</t>
  </si>
  <si>
    <t>Weslley Ferreira Cooper - 01/02/2025 09:58:22</t>
  </si>
  <si>
    <t>Weslley Ferreira Cooper - 01/02/2025 09:58:21</t>
  </si>
  <si>
    <t>Weslley Ferreira Cooper - 01/02/2025 09:58:20</t>
  </si>
  <si>
    <t>Weslley Ferreira Cooper - 01/02/2025 09:58:18</t>
  </si>
  <si>
    <t>Weslley Ferreira Cooper - 01/02/2025 09:58:17</t>
  </si>
  <si>
    <t>Weslley Ferreira Cooper - 01/02/2025 09:58:16</t>
  </si>
  <si>
    <t>Weslley Ferreira Cooper - 01/02/2025 09:58:15</t>
  </si>
  <si>
    <t>Weslley Ferreira Cooper - 01/02/2025 09:58:13</t>
  </si>
  <si>
    <t>Weslley Ferreira Cooper - 01/02/2025 09:58:12</t>
  </si>
  <si>
    <t>Weslley Ferreira Cooper - 01/02/2025 09:58:11</t>
  </si>
  <si>
    <t>Paula Caroline Morais Duarte - 23/02/2025 16:35:10</t>
  </si>
  <si>
    <t>Paula Caroline Morais Duarte - 23/02/2025 16:35:11</t>
  </si>
  <si>
    <t>Paula Caroline Morais Duarte - 23/02/2025 16:35:13</t>
  </si>
  <si>
    <t>Paula Caroline Morais Duarte - 23/02/2025 16:35:14</t>
  </si>
  <si>
    <t>Paula Caroline Morais Duarte - 23/02/2025 16:35:19</t>
  </si>
  <si>
    <t>Paula Caroline Morais Duarte - 23/02/2025 16:35:20</t>
  </si>
  <si>
    <t>Paula Caroline Morais Duarte - 23/02/2025 16:35:21</t>
  </si>
  <si>
    <t>Paula Caroline Morais Duarte - 23/02/2025 16:35:25</t>
  </si>
  <si>
    <t>Paula Caroline Morais Duarte - 23/02/2025 16:35:26</t>
  </si>
  <si>
    <t>Paula Caroline Morais Duarte - 23/02/2025 16:35:28</t>
  </si>
  <si>
    <t>Paula Caroline Morais Duarte - 23/02/2025 16:35:29</t>
  </si>
  <si>
    <t>Base de Dados_Images/DB8102.Imagem do Equipamento-.131231.jpg</t>
  </si>
  <si>
    <t>Weslley Ferreira Cooper - 01/02/2025 09:57:48</t>
  </si>
  <si>
    <t>DB8103</t>
  </si>
  <si>
    <t>Alimentador De Bagaco Nº 03</t>
  </si>
  <si>
    <t>Weslley Ferreira Cooper - 01/02/2025 09:59:51</t>
  </si>
  <si>
    <t>Weslley Ferreira Cooper - 01/02/2025 09:59:53</t>
  </si>
  <si>
    <t>Weslley Ferreira Cooper - 01/02/2025 09:59:31</t>
  </si>
  <si>
    <t>Weslley Ferreira Cooper - 01/02/2025 09:59:30</t>
  </si>
  <si>
    <t>Weslley Ferreira Cooper - 01/02/2025 09:59:28</t>
  </si>
  <si>
    <t>Weslley Ferreira Cooper - 01/02/2025 09:59:25</t>
  </si>
  <si>
    <t>Weslley Ferreira Cooper - 01/02/2025 09:59:23</t>
  </si>
  <si>
    <t>Weslley Ferreira Cooper - 01/02/2025 09:59:22</t>
  </si>
  <si>
    <t>Weslley Ferreira Cooper - 01/02/2025 09:59:19</t>
  </si>
  <si>
    <t>Weslley Ferreira Cooper - 01/02/2025 09:59:18</t>
  </si>
  <si>
    <t>Weslley Ferreira Cooper - 01/02/2025 09:59:17</t>
  </si>
  <si>
    <t>Paula Caroline Morais Duarte - 23/02/2025 16:35:38</t>
  </si>
  <si>
    <t>Paula Caroline Morais Duarte - 23/02/2025 16:35:39</t>
  </si>
  <si>
    <t>Paula Caroline Morais Duarte - 23/02/2025 16:35:40</t>
  </si>
  <si>
    <t>Paula Caroline Morais Duarte - 23/02/2025 16:35:41</t>
  </si>
  <si>
    <t>Paula Caroline Morais Duarte - 23/02/2025 16:35:47</t>
  </si>
  <si>
    <t>Paula Caroline Morais Duarte - 23/02/2025 16:35:48</t>
  </si>
  <si>
    <t>Paula Caroline Morais Duarte - 23/02/2025 16:35:49</t>
  </si>
  <si>
    <t>Paula Caroline Morais Duarte - 23/02/2025 16:35:54</t>
  </si>
  <si>
    <t>Paula Caroline Morais Duarte - 23/02/2025 16:35:55</t>
  </si>
  <si>
    <t>Paula Caroline Morais Duarte - 23/02/2025 16:35:56</t>
  </si>
  <si>
    <t>Paula Caroline Morais Duarte - 23/02/2025 16:35:57</t>
  </si>
  <si>
    <t>Base de Dados_Images/DB8103.Imagem do Equipamento-.131620.jpg</t>
  </si>
  <si>
    <t>Weslley Ferreira Cooper - 01/02/2025 09:58:51</t>
  </si>
  <si>
    <t>DB8104</t>
  </si>
  <si>
    <t>Alimentador De Bagaco Nº 04</t>
  </si>
  <si>
    <t>Weslley Ferreira Cooper - 01/02/2025 10:01:15</t>
  </si>
  <si>
    <t>Weslley Ferreira Cooper - 01/02/2025 10:01:14</t>
  </si>
  <si>
    <t>Weslley Ferreira Cooper - 01/02/2025 10:01:12</t>
  </si>
  <si>
    <t>Weslley Ferreira Cooper - 01/02/2025 10:01:11</t>
  </si>
  <si>
    <t>Weslley Ferreira Cooper - 01/02/2025 10:01:10</t>
  </si>
  <si>
    <t>Weslley Ferreira Cooper - 01/02/2025 10:01:08</t>
  </si>
  <si>
    <t>Weslley Ferreira Cooper - 01/02/2025 10:01:07</t>
  </si>
  <si>
    <t>Weslley Ferreira Cooper - 01/02/2025 10:01:06</t>
  </si>
  <si>
    <t>Weslley Ferreira Cooper - 01/02/2025 10:01:05</t>
  </si>
  <si>
    <t>Weslley Ferreira Cooper - 01/02/2025 10:01:02</t>
  </si>
  <si>
    <t>Weslley Ferreira Cooper - 01/02/2025 10:01:01</t>
  </si>
  <si>
    <t>Weslley Ferreira Cooper - 01/02/2025 10:01:00</t>
  </si>
  <si>
    <t>Paula Caroline Morais Duarte - 23/02/2025 16:36:08</t>
  </si>
  <si>
    <t>Paula Caroline Morais Duarte - 23/02/2025 16:36:09</t>
  </si>
  <si>
    <t>Paula Caroline Morais Duarte - 23/02/2025 16:36:11</t>
  </si>
  <si>
    <t>Paula Caroline Morais Duarte - 23/02/2025 16:36:13</t>
  </si>
  <si>
    <t>Paula Caroline Morais Duarte - 23/02/2025 16:36:19</t>
  </si>
  <si>
    <t>Paula Caroline Morais Duarte - 23/02/2025 16:36:20</t>
  </si>
  <si>
    <t>Paula Caroline Morais Duarte - 23/02/2025 16:36:21</t>
  </si>
  <si>
    <t>Paula Caroline Morais Duarte - 23/02/2025 16:36:29</t>
  </si>
  <si>
    <t>Paula Caroline Morais Duarte - 23/02/2025 16:36:30</t>
  </si>
  <si>
    <t>Paula Caroline Morais Duarte - 23/02/2025 16:36:31</t>
  </si>
  <si>
    <t>Paula Caroline Morais Duarte - 23/02/2025 16:36:32</t>
  </si>
  <si>
    <t>Base de Dados_Images/DB8104.Imagem do Equipamento-.131721.jpg</t>
  </si>
  <si>
    <t>Weslley Ferreira Cooper - 01/02/2025 10:00:46</t>
  </si>
  <si>
    <t>DB8105</t>
  </si>
  <si>
    <t>Alimentador De Bagaco Nº 05</t>
  </si>
  <si>
    <t>Weslley Ferreira Cooper - 01/02/2025 10:02:21</t>
  </si>
  <si>
    <t>Weslley Ferreira Cooper - 01/02/2025 10:02:18</t>
  </si>
  <si>
    <t>Weslley Ferreira Cooper - 01/02/2025 10:02:17</t>
  </si>
  <si>
    <t>Weslley Ferreira Cooper - 01/02/2025 10:02:14</t>
  </si>
  <si>
    <t>Weslley Ferreira Cooper - 01/02/2025 10:02:13</t>
  </si>
  <si>
    <t>Weslley Ferreira Cooper - 01/02/2025 10:02:12</t>
  </si>
  <si>
    <t>Weslley Ferreira Cooper - 01/02/2025 10:02:10</t>
  </si>
  <si>
    <t>Weslley Ferreira Cooper - 01/02/2025 10:02:09</t>
  </si>
  <si>
    <t>Weslley Ferreira Cooper - 01/02/2025 10:02:06</t>
  </si>
  <si>
    <t>Weslley Ferreira Cooper - 01/02/2025 10:02:05</t>
  </si>
  <si>
    <t>Paula Caroline Morais Duarte - 23/02/2025 16:36:55</t>
  </si>
  <si>
    <t>Paula Caroline Morais Duarte - 23/02/2025 16:36:57</t>
  </si>
  <si>
    <t>Paula Caroline Morais Duarte - 23/02/2025 16:36:59</t>
  </si>
  <si>
    <t>Paula Caroline Morais Duarte - 23/02/2025 16:37:00</t>
  </si>
  <si>
    <t>Paula Caroline Morais Duarte - 23/02/2025 16:37:04</t>
  </si>
  <si>
    <t>Paula Caroline Morais Duarte - 23/02/2025 16:37:05</t>
  </si>
  <si>
    <t>Paula Caroline Morais Duarte - 23/02/2025 16:37:07</t>
  </si>
  <si>
    <t>Paula Caroline Morais Duarte - 23/02/2025 16:37:13</t>
  </si>
  <si>
    <t>Paula Caroline Morais Duarte - 23/02/2025 16:37:14</t>
  </si>
  <si>
    <t>Paula Caroline Morais Duarte - 23/02/2025 16:37:15</t>
  </si>
  <si>
    <t>Paula Caroline Morais Duarte - 23/02/2025 16:37:17</t>
  </si>
  <si>
    <t>Base de Dados_Images/DB8105.Imagem do Equipamento-.131824.jpg</t>
  </si>
  <si>
    <t>Weslley Ferreira Cooper - 01/02/2025 10:01:59</t>
  </si>
  <si>
    <t>DCV40004</t>
  </si>
  <si>
    <t>Válvula Entrada Produto Cozedor 2</t>
  </si>
  <si>
    <t>Adriel da Silva Queiroz - 17/02/2025 09:32:55</t>
  </si>
  <si>
    <t>Adriel da Silva Queiroz - 17/02/2025 09:32:56</t>
  </si>
  <si>
    <t>Adriel da Silva Queiroz - 17/02/2025 09:33:04</t>
  </si>
  <si>
    <t>Adriel da Silva Queiroz - 17/02/2025 09:33:05</t>
  </si>
  <si>
    <t>Adriel da Silva Queiroz - 17/02/2025 09:33:12</t>
  </si>
  <si>
    <t>Adriel da Silva Queiroz - 17/02/2025 09:33:16</t>
  </si>
  <si>
    <t>Adriel da Silva Queiroz - 17/02/2025 09:33:18</t>
  </si>
  <si>
    <t>Adriel da Silva Queiroz - 17/02/2025 09:33:29</t>
  </si>
  <si>
    <t>Adriel da Silva Queiroz - 17/02/2025 09:35:15</t>
  </si>
  <si>
    <t>Beatriz Alves Nunes de Paulo - 20/02/2025 10:24:31</t>
  </si>
  <si>
    <t>Alisson Airton Sobrinho - 07/03/2025 08:13:47</t>
  </si>
  <si>
    <t>Beatriz Alves Nunes de Paulo - 02/11/2025 09:30:56</t>
  </si>
  <si>
    <t>DCV40007</t>
  </si>
  <si>
    <t>Válvula Entrada Produto Cozedor 3</t>
  </si>
  <si>
    <t>Beatriz Alves Nunes de Paulo - 11/02/2025 11:13:06</t>
  </si>
  <si>
    <t>Beatriz Alves Nunes de Paulo - 11/02/2025 11:13:09</t>
  </si>
  <si>
    <t>Beatriz Alves Nunes de Paulo - 11/02/2025 11:13:22</t>
  </si>
  <si>
    <t>Beatriz Alves Nunes de Paulo - 11/02/2025 11:13:29</t>
  </si>
  <si>
    <t>Beatriz Alves Nunes de Paulo - 11/02/2025 11:13:32</t>
  </si>
  <si>
    <t>Beatriz Alves Nunes de Paulo - 11/02/2025 11:13:34</t>
  </si>
  <si>
    <t>Beatriz Alves Nunes de Paulo - 11/02/2025 11:13:35</t>
  </si>
  <si>
    <t>Beatriz Alves Nunes de Paulo - 11/02/2025 11:13:38</t>
  </si>
  <si>
    <t>Beatriz Alves Nunes de Paulo - 11/02/2025 11:14:07</t>
  </si>
  <si>
    <t>Beatriz Alves Nunes de Paulo - 20/02/2025 10:19:03</t>
  </si>
  <si>
    <t>Beatriz Alves Nunes de Paulo - 20/02/2025 10:19:07</t>
  </si>
  <si>
    <t>Alisson Airton Sobrinho - 07/03/2025 08:13:52</t>
  </si>
  <si>
    <t>Beatriz Alves Nunes de Paulo - 02/08/2025 13:59:31</t>
  </si>
  <si>
    <t>Mosto</t>
  </si>
  <si>
    <t>DCV65003</t>
  </si>
  <si>
    <t>Válvula Condensado Brix Mosto</t>
  </si>
  <si>
    <t>Libner Ferreira De Morais - 06/02/2025 13:08:37</t>
  </si>
  <si>
    <t>Libner Ferreira De Morais - 06/02/2025 13:08:38</t>
  </si>
  <si>
    <t>Libner Ferreira De Morais - 06/02/2025 13:08:39</t>
  </si>
  <si>
    <t>Libner Ferreira De Morais - 06/02/2025 13:08:40</t>
  </si>
  <si>
    <t>Libner Ferreira De Morais - 06/02/2025 13:08:43</t>
  </si>
  <si>
    <t>Libner Ferreira De Morais - 06/02/2025 13:08:44</t>
  </si>
  <si>
    <t>Libner Ferreira De Morais - 06/02/2025 13:08:46</t>
  </si>
  <si>
    <t>Libner Ferreira De Morais - 06/02/2025 13:08:48</t>
  </si>
  <si>
    <t>Alisson Airton Sobrinho - 08/02/2025 10:39:12</t>
  </si>
  <si>
    <t>Alisson Airton Sobrinho - 08/02/2025 10:39:13</t>
  </si>
  <si>
    <t>Alisson Airton Sobrinho - 15/02/2025 14:38:08</t>
  </si>
  <si>
    <t>Alisson Airton Sobrinho - 04/03/2025 08:33:30</t>
  </si>
  <si>
    <t>Base de Dados_Images/DCV65003.Imagem do Equipamento-.180951.jpg</t>
  </si>
  <si>
    <t>Libner Ferreira De Morais - 05/02/2025 15:09:45</t>
  </si>
  <si>
    <t>DCV70015</t>
  </si>
  <si>
    <t>Válvula Retirada Álcool Hidratado</t>
  </si>
  <si>
    <t>Alisson Airton Sobrinho - 29/01/2025 19:28:20</t>
  </si>
  <si>
    <t>Alisson Airton Sobrinho - 29/01/2025 19:28:21</t>
  </si>
  <si>
    <t>Alisson Airton Sobrinho - 29/01/2025 19:28:23</t>
  </si>
  <si>
    <t>Alisson Airton Sobrinho - 29/01/2025 19:28:31</t>
  </si>
  <si>
    <t>Alisson Airton Sobrinho - 29/01/2025 19:28:30</t>
  </si>
  <si>
    <t>Alisson Airton Sobrinho - 29/01/2025 19:28:33</t>
  </si>
  <si>
    <t>Alisson Airton Sobrinho - 29/01/2025 19:28:34</t>
  </si>
  <si>
    <t>Alisson Airton Sobrinho - 08/02/2025 13:51:16</t>
  </si>
  <si>
    <t>Alisson Airton Sobrinho - 08/02/2025 13:51:17</t>
  </si>
  <si>
    <t>Rafael Roldão Rodrigues - 04/03/2025 14:38:40</t>
  </si>
  <si>
    <t>Alisson Airton Sobrinho - 06/03/2025 14:46:16</t>
  </si>
  <si>
    <t>Base de Dados_Images/DCV70015.Imagem do Equipamento-.222819.jpg</t>
  </si>
  <si>
    <t>Alisson Airton Sobrinho - 29/01/2025 19:28:02</t>
  </si>
  <si>
    <t>Desfibrador/Picador</t>
  </si>
  <si>
    <t>DESINTEGRADOR_PCTS</t>
  </si>
  <si>
    <t>Desintegrador Pcts</t>
  </si>
  <si>
    <t>Paula Caroline Morais Duarte - 11/02/2025 08:46:36</t>
  </si>
  <si>
    <t>Paula Caroline Morais Duarte - 11/02/2025 08:46:37</t>
  </si>
  <si>
    <t>Paula Caroline Morais Duarte - 11/02/2025 08:46:39</t>
  </si>
  <si>
    <t>Paula Caroline Morais Duarte - 11/02/2025 08:46:43</t>
  </si>
  <si>
    <t>Paula Caroline Morais Duarte - 11/02/2025 08:46:44</t>
  </si>
  <si>
    <t>Paula Caroline Morais Duarte - 11/02/2025 08:46:48</t>
  </si>
  <si>
    <t>Paula Caroline Morais Duarte - 11/02/2025 08:46:51</t>
  </si>
  <si>
    <t>Paula Caroline Morais Duarte - 11/02/2025 08:46:53</t>
  </si>
  <si>
    <t>Paula Caroline Morais Duarte - 11/02/2025 08:46:56</t>
  </si>
  <si>
    <t>Paula Caroline Morais Duarte - 11/02/2025 08:46:58</t>
  </si>
  <si>
    <t>Paula Caroline Morais Duarte - 11/02/2025 08:47:03</t>
  </si>
  <si>
    <t>Paula Caroline Morais Duarte - 11/02/2025 08:47:05</t>
  </si>
  <si>
    <t>Paula Caroline Morais Duarte - 11/02/2025 08:47:07</t>
  </si>
  <si>
    <t>Paula Caroline Morais Duarte - 11/02/2025 08:47:11</t>
  </si>
  <si>
    <t>Paula Caroline Morais Duarte - 11/02/2025 08:47:15</t>
  </si>
  <si>
    <t>Natanaelson Santana Fonseca - 25/02/2025 11:14:38</t>
  </si>
  <si>
    <t>Natanaelson Santana Fonseca - 25/02/2025 11:14:36</t>
  </si>
  <si>
    <t>Natanaelson Santana Fonseca - 25/02/2025 16:20:42</t>
  </si>
  <si>
    <t>Natanaelson Santana Fonseca - 25/02/2025 11:14:56</t>
  </si>
  <si>
    <t>Natanaelson Santana Fonseca - 25/02/2025 11:15:01</t>
  </si>
  <si>
    <t>Natanaelson Santana Fonseca - 25/02/2025 11:15:15</t>
  </si>
  <si>
    <t>Natanaelson Santana Fonseca - 25/02/2025 11:15:28</t>
  </si>
  <si>
    <t>Natanaelson Santana Fonseca - 25/02/2025 11:15:36</t>
  </si>
  <si>
    <t>Natanaelson Santana Fonseca - 25/02/2025 16:21:41</t>
  </si>
  <si>
    <t>Natanaelson Santana Fonseca - 25/02/2025 16:21:44</t>
  </si>
  <si>
    <t>Natanaelson Santana Fonseca - 25/02/2025 16:22:02</t>
  </si>
  <si>
    <t>Natanaelson Santana Fonseca - 25/02/2025 16:22:12</t>
  </si>
  <si>
    <t>Natanaelson Santana Fonseca - 25/02/2025 16:24:35</t>
  </si>
  <si>
    <t>Natanaelson Santana Fonseca - 25/02/2025 16:24:36</t>
  </si>
  <si>
    <t>Natanaelson Santana Fonseca - 25/02/2025 16:24:37</t>
  </si>
  <si>
    <t>Em contato com o Sr Ronei, informou que as questões mecânicas foram resolvidas.</t>
  </si>
  <si>
    <t>Natanaelson Santana Fonseca - 25/02/2025 16:26:24</t>
  </si>
  <si>
    <t>Base de Dados_Images/DESINTEGRADOR_PCTS.Imagem do Equipamento-.114632.jpg</t>
  </si>
  <si>
    <t>Paula Caroline Morais Duarte - 11/02/2025 08:46:26</t>
  </si>
  <si>
    <t>DI7902</t>
  </si>
  <si>
    <t>Desintegrador DEDINI</t>
  </si>
  <si>
    <t>Paula Caroline Morais Duarte - 11/02/2025 08:47:50</t>
  </si>
  <si>
    <t>Paula Caroline Morais Duarte - 11/02/2025 08:47:51</t>
  </si>
  <si>
    <t>Paula Caroline Morais Duarte - 11/02/2025 08:47:56</t>
  </si>
  <si>
    <t>Paula Caroline Morais Duarte - 11/02/2025 08:47:58</t>
  </si>
  <si>
    <t>Paula Caroline Morais Duarte - 11/02/2025 08:48:00</t>
  </si>
  <si>
    <t>Paula Caroline Morais Duarte - 11/02/2025 08:48:03</t>
  </si>
  <si>
    <t>Paula Caroline Morais Duarte - 11/02/2025 08:48:21</t>
  </si>
  <si>
    <t>Paula Caroline Morais Duarte - 11/02/2025 08:48:23</t>
  </si>
  <si>
    <t>Paula Caroline Morais Duarte - 11/02/2025 08:48:26</t>
  </si>
  <si>
    <t>Paula Caroline Morais Duarte - 11/02/2025 08:48:31</t>
  </si>
  <si>
    <t>Paula Caroline Morais Duarte - 11/02/2025 08:48:32</t>
  </si>
  <si>
    <t>Paula Caroline Morais Duarte - 11/02/2025 08:48:35</t>
  </si>
  <si>
    <t>Paula Caroline Morais Duarte - 11/02/2025 08:48:38</t>
  </si>
  <si>
    <t>Paula Caroline Morais Duarte - 11/02/2025 08:48:40</t>
  </si>
  <si>
    <t>Paula Caroline Morais Duarte - 11/02/2025 08:48:41</t>
  </si>
  <si>
    <t>Natanaelson Santana Fonseca - 25/02/2025 11:17:39</t>
  </si>
  <si>
    <t>Natanaelson Santana Fonseca - 25/02/2025 11:17:43</t>
  </si>
  <si>
    <t>Natanaelson Santana Fonseca - 26/02/2025 07:03:42</t>
  </si>
  <si>
    <t>Natanaelson Santana Fonseca - 25/02/2025 11:17:51</t>
  </si>
  <si>
    <t>Natanaelson Santana Fonseca - 25/02/2025 11:17:53</t>
  </si>
  <si>
    <t>Natanaelson Santana Fonseca - 26/02/2025 07:04:21</t>
  </si>
  <si>
    <t>Natanaelson Santana Fonseca - 25/02/2025 11:18:18</t>
  </si>
  <si>
    <t>Natanaelson Santana Fonseca - 25/02/2025 11:18:19</t>
  </si>
  <si>
    <t>Natanaelson Santana Fonseca - 26/02/2025 07:05:01</t>
  </si>
  <si>
    <t>Natanaelson Santana Fonseca - 26/02/2025 07:05:03</t>
  </si>
  <si>
    <t>Natanaelson Santana Fonseca - 26/02/2025 07:05:07</t>
  </si>
  <si>
    <t>Natanaelson Santana Fonseca - 26/02/2025 07:05:12</t>
  </si>
  <si>
    <t>Natanaelson Santana Fonseca - 26/02/2025 07:05:15</t>
  </si>
  <si>
    <t>Natanaelson Santana Fonseca - 26/02/2025 07:05:18</t>
  </si>
  <si>
    <t>Natanaelson Santana Fonseca - 26/02/2025 07:05:20</t>
  </si>
  <si>
    <t>Em contato com o Sr Ronei, informou que toda a mecânica do equipamento está ok.</t>
  </si>
  <si>
    <t>Natanaelson Santana Fonseca - 26/02/2025 07:06:23</t>
  </si>
  <si>
    <t>Base de Dados_Images/DI7902.Imagem do Equipamento-.114903.jpg</t>
  </si>
  <si>
    <t>Paula Caroline Morais Duarte - 11/02/2025 08:48:57</t>
  </si>
  <si>
    <t>DIC30025</t>
  </si>
  <si>
    <t>Controle De Densidade Lodo Decantador Álcool</t>
  </si>
  <si>
    <t>Alisson Airton Sobrinho - 04/03/2025 09:56:13</t>
  </si>
  <si>
    <t>Alisson Airton Sobrinho - 08/03/2025 09:35:24</t>
  </si>
  <si>
    <t>Alisson Airton Sobrinho - 08/03/2025 09:35:25</t>
  </si>
  <si>
    <t>Base de Dados_Images/DIC30025.Imagem do Equipamento-.153450.jpg</t>
  </si>
  <si>
    <t>Alisson Airton Sobrinho - 04/03/2025 12:34:46</t>
  </si>
  <si>
    <t>Tanque Diluidor Mel Pobre</t>
  </si>
  <si>
    <t>DIC40031</t>
  </si>
  <si>
    <t>Controle De Brix Da Diluição De Mel Pobre</t>
  </si>
  <si>
    <t>Alisson Airton Sobrinho - 07/03/2025 08:24:56</t>
  </si>
  <si>
    <t>Alisson Airton Sobrinho - 07/03/2025 08:24:57</t>
  </si>
  <si>
    <t>Alisson Airton Sobrinho - 07/03/2025 08:25:00</t>
  </si>
  <si>
    <t>Alisson Airton Sobrinho - 03/07/2025 08:24:51</t>
  </si>
  <si>
    <t>DIC65003</t>
  </si>
  <si>
    <t>Controle De Brix Do Mosto</t>
  </si>
  <si>
    <t>Libner Ferreira De Morais - 06/02/2025 14:03:09</t>
  </si>
  <si>
    <t>Libner Ferreira De Morais - 06/02/2025 14:03:10</t>
  </si>
  <si>
    <t>Alisson Airton Sobrinho - 04/03/2025 08:32:57</t>
  </si>
  <si>
    <t>Alisson Airton Sobrinho - 04/03/2025 08:32:58</t>
  </si>
  <si>
    <t>Base de Dados_Images/DIC65003.Imagem do Equipamento-.170428.jpg</t>
  </si>
  <si>
    <t>Libner Ferreira De Morais - 06/02/2025 14:04:23</t>
  </si>
  <si>
    <t>DIC70015</t>
  </si>
  <si>
    <t>Controle De Densidade Etanol Hidratado</t>
  </si>
  <si>
    <t>Libner Ferreira De Morais - 06/02/2025 14:22:48</t>
  </si>
  <si>
    <t>Libner Ferreira De Morais - 06/02/2025 14:22:50</t>
  </si>
  <si>
    <t>Alisson Airton Sobrinho - 06/03/2025 14:42:00</t>
  </si>
  <si>
    <t>Alisson Airton Sobrinho - 06/03/2025 14:42:01</t>
  </si>
  <si>
    <t>Base de Dados_Images/DIC70015.Imagem do Equipamento-.172249.jpg</t>
  </si>
  <si>
    <t>Libner Ferreira De Morais - 06/02/2025 14:22:44</t>
  </si>
  <si>
    <t>Digestor</t>
  </si>
  <si>
    <t>DIGESTOR_PCTS</t>
  </si>
  <si>
    <t>Digestor Pcts</t>
  </si>
  <si>
    <t>Alisson Airton Sobrinho - 17/03/2025 15:00:29</t>
  </si>
  <si>
    <t>Alisson Airton Sobrinho - 17/03/2025 15:00:31</t>
  </si>
  <si>
    <t>Alisson Airton Sobrinho - 17/03/2025 15:00:32</t>
  </si>
  <si>
    <t>Alisson Airton Sobrinho - 17/03/2025 15:00:33</t>
  </si>
  <si>
    <t>Alisson Airton Sobrinho - 17/03/2025 15:00:34</t>
  </si>
  <si>
    <t>Alisson Airton Sobrinho - 17/03/2025 15:00:35</t>
  </si>
  <si>
    <t>Alisson Airton Sobrinho - 17/03/2025 15:00:37</t>
  </si>
  <si>
    <t>Alisson Airton Sobrinho - 17/03/2025 15:00:38</t>
  </si>
  <si>
    <t>Alisson Airton Sobrinho - 17/03/2025 15:00:40</t>
  </si>
  <si>
    <t>Alisson Airton Sobrinho - 17/03/2025 15:00:41</t>
  </si>
  <si>
    <t>Alisson Airton Sobrinho - 17/03/2025 15:00:42</t>
  </si>
  <si>
    <t>Alisson Airton Sobrinho - 17/03/2025 15:00:43</t>
  </si>
  <si>
    <t>Alisson Airton Sobrinho - 17/03/2025 15:01:27</t>
  </si>
  <si>
    <t>Alisson Airton Sobrinho - 17/03/2025 15:01:29</t>
  </si>
  <si>
    <t>Alisson Airton Sobrinho - 17/03/2025 15:01:30</t>
  </si>
  <si>
    <t>Alisson Airton Sobrinho - 17/03/2025 15:01:34</t>
  </si>
  <si>
    <t>Alisson Airton Sobrinho - 17/03/2025 15:01:35</t>
  </si>
  <si>
    <t>Alisson Airton Sobrinho - 17/03/2025 15:01:36</t>
  </si>
  <si>
    <t>Alisson Airton Sobrinho - 17/03/2025 15:01:37</t>
  </si>
  <si>
    <t>Matheus César Azevedo Neto - 19/03/2025 17:52:23</t>
  </si>
  <si>
    <t>Matheus César Azevedo Neto - 19/03/2025 17:52:24</t>
  </si>
  <si>
    <t>Matheus César Azevedo Neto - 19/03/2025 17:52:25</t>
  </si>
  <si>
    <t>Matheus César Azevedo Neto - 19/03/2025 17:52:26</t>
  </si>
  <si>
    <t>Matheus César Azevedo Neto - 19/03/2025 17:52:27</t>
  </si>
  <si>
    <t>Matheus César Azevedo Neto - 19/03/2025 17:52:28</t>
  </si>
  <si>
    <t>Alisson Airton Sobrinho - 03/03/2025 16:21:27</t>
  </si>
  <si>
    <t>DIT30025</t>
  </si>
  <si>
    <t>Densidade Lodo Decantador Álcool</t>
  </si>
  <si>
    <t>Alisson Airton Sobrinho - 07/02/2025 15:01:45</t>
  </si>
  <si>
    <t>Alisson Airton Sobrinho - 07/02/2025 15:01:47</t>
  </si>
  <si>
    <t>Alisson Airton Sobrinho - 07/02/2025 15:01:49</t>
  </si>
  <si>
    <t>Alisson Airton Sobrinho - 07/02/2025 15:01:55</t>
  </si>
  <si>
    <t>Alisson Airton Sobrinho - 07/02/2025 15:01:56</t>
  </si>
  <si>
    <t>Alisson Airton Sobrinho - 04/03/2025 12:35:07</t>
  </si>
  <si>
    <t>Alisson Airton Sobrinho - 04/03/2025 12:35:08</t>
  </si>
  <si>
    <t>Alisson Airton Sobrinho - 08/03/2025 09:35:31</t>
  </si>
  <si>
    <t>Alisson Airton Sobrinho - 08/03/2025 09:35:32</t>
  </si>
  <si>
    <t>Weslley Ferreira Cooper - 01/29/2025 13:10:22</t>
  </si>
  <si>
    <t>DIT40030</t>
  </si>
  <si>
    <t>Brix mosto</t>
  </si>
  <si>
    <t>Weslley Ferreira Cooper - 30/01/2025 09:33:12</t>
  </si>
  <si>
    <t>Weslley Ferreira Cooper - 30/01/2025 09:33:11</t>
  </si>
  <si>
    <t>Weslley Ferreira Cooper - 30/01/2025 09:33:09</t>
  </si>
  <si>
    <t>Weslley Ferreira Cooper - 30/01/2025 09:33:08</t>
  </si>
  <si>
    <t>Alisson Airton Sobrinho - 08/02/2025 10:40:05</t>
  </si>
  <si>
    <t>Alisson Airton Sobrinho - 08/02/2025 10:40:06</t>
  </si>
  <si>
    <t>Alisson Airton Sobrinho - 15/02/2025 14:37:12</t>
  </si>
  <si>
    <t>Alisson Airton Sobrinho - 15/02/2025 14:37:14</t>
  </si>
  <si>
    <t>Alisson Airton Sobrinho - 04/03/2025 08:33:04</t>
  </si>
  <si>
    <t>Alisson Airton Sobrinho - 04/03/2025 08:33:06</t>
  </si>
  <si>
    <t>Base de Dados_Images/DIT40030.Imagem do Equipamento-.131706.jpg</t>
  </si>
  <si>
    <t>Weslley Ferreira Cooper - 30/01/2025 09:33:00</t>
  </si>
  <si>
    <t>DIT65003</t>
  </si>
  <si>
    <t>Brix Do Mosto</t>
  </si>
  <si>
    <t>Libner Ferreira De Morais - 06/02/2025 13:09:13</t>
  </si>
  <si>
    <t>Libner Ferreira De Morais - 06/02/2025 13:09:14</t>
  </si>
  <si>
    <t>Libner Ferreira De Morais - 06/02/2025 13:09:16</t>
  </si>
  <si>
    <t>Libner Ferreira De Morais - 06/02/2025 13:09:17</t>
  </si>
  <si>
    <t>Alisson Airton Sobrinho - 08/02/2025 08:28:47</t>
  </si>
  <si>
    <t>Alisson Airton Sobrinho - 08/02/2025 08:28:46</t>
  </si>
  <si>
    <t>Alisson Airton Sobrinho - 08/02/2025 08:28:49</t>
  </si>
  <si>
    <t>Alisson Airton Sobrinho - 08/02/2025 08:28:59</t>
  </si>
  <si>
    <t>Alisson Airton Sobrinho - 08/02/2025 08:29:01</t>
  </si>
  <si>
    <t>Alisson Airton Sobrinho - 04/03/2025 08:33:16</t>
  </si>
  <si>
    <t>Base de Dados_Images/DIT65003.Imagem do Equipamento-.180920.jpg</t>
  </si>
  <si>
    <t>Libner Ferreira De Morais - 05/02/2025 15:09:13</t>
  </si>
  <si>
    <t>DIT70015</t>
  </si>
  <si>
    <t>Densidade Etanol Hidratado</t>
  </si>
  <si>
    <t>Libner Ferreira De Morais - 06/02/2025 09:15:10</t>
  </si>
  <si>
    <t>Libner Ferreira De Morais - 06/02/2025 09:15:11</t>
  </si>
  <si>
    <t>Libner Ferreira De Morais - 06/02/2025 09:15:12</t>
  </si>
  <si>
    <t>Libner Ferreira De Morais - 06/02/2025 09:15:14</t>
  </si>
  <si>
    <t>Alisson Airton Sobrinho - 08/02/2025 13:50:20</t>
  </si>
  <si>
    <t>Alisson Airton Sobrinho - 08/02/2025 13:50:21</t>
  </si>
  <si>
    <t>Alisson Airton Sobrinho - 08/02/2025 13:50:22</t>
  </si>
  <si>
    <t>Rafael Roldão Rodrigues - 04/03/2025 14:37:18</t>
  </si>
  <si>
    <t>Rafael Roldão Rodrigues - 04/03/2025 14:37:19</t>
  </si>
  <si>
    <t>Alisson Airton Sobrinho - 06/03/2025 14:43:09</t>
  </si>
  <si>
    <t>Alisson Airton Sobrinho - 06/03/2025 14:43:10</t>
  </si>
  <si>
    <t>Base de Dados_Images/DIT70015.Imagem do Equipamento-.121509.jpg</t>
  </si>
  <si>
    <t>Libner Ferreira De Morais - 06/02/2025 09:15:04</t>
  </si>
  <si>
    <t>Esteira Borracha</t>
  </si>
  <si>
    <t>Esteira De Borracha</t>
  </si>
  <si>
    <t>EB2002</t>
  </si>
  <si>
    <t>Alisson Airton Sobrinho - 04/03/2025 13:04:08</t>
  </si>
  <si>
    <t>Alisson Airton Sobrinho - 04/03/2025 13:04:09</t>
  </si>
  <si>
    <t>Alisson Airton Sobrinho - 04/03/2025 13:04:17</t>
  </si>
  <si>
    <t>Alisson Airton Sobrinho - 04/03/2025 13:04:22</t>
  </si>
  <si>
    <t>Alisson Airton Sobrinho - 04/03/2025 13:04:21</t>
  </si>
  <si>
    <t>Alisson Airton Sobrinho - 04/03/2025 13:04:23</t>
  </si>
  <si>
    <t>Alisson Airton Sobrinho - 04/03/2025 13:04:24</t>
  </si>
  <si>
    <t>Alisson Airton Sobrinho - 04/03/2025 13:04:29</t>
  </si>
  <si>
    <t>Alisson Airton Sobrinho - 04/03/2025 13:04:27</t>
  </si>
  <si>
    <t>Alisson Airton Sobrinho - 04/03/2025 13:04:56</t>
  </si>
  <si>
    <t>Alisson Airton Sobrinho - 04/03/2025 13:05:00</t>
  </si>
  <si>
    <t>Alisson Airton Sobrinho - 04/03/2025 13:05:08</t>
  </si>
  <si>
    <t>Alisson Airton Sobrinho - 04/03/2025 13:05:09</t>
  </si>
  <si>
    <t>Alisson Airton Sobrinho - 04/03/2025 15:20:01</t>
  </si>
  <si>
    <t>Alisson Airton Sobrinho - 04/03/2025 15:20:07</t>
  </si>
  <si>
    <t>Alisson Airton Sobrinho - 04/03/2025 15:20:08</t>
  </si>
  <si>
    <t>Alisson Airton Sobrinho - 04/03/2025 15:20:09</t>
  </si>
  <si>
    <t>Alisson Airton Sobrinho - 04/03/2025 15:20:10</t>
  </si>
  <si>
    <t>Alisson Airton Sobrinho - 04/03/2025 15:20:12</t>
  </si>
  <si>
    <t>Alisson Airton Sobrinho - 04/03/2025 15:20:13</t>
  </si>
  <si>
    <t>Alisson Airton Sobrinho - 04/03/2025 15:20:14</t>
  </si>
  <si>
    <t>Alisson Airton Sobrinho - 04/03/2025 15:20:16</t>
  </si>
  <si>
    <t>Alisson Airton Sobrinho - 04/03/2025 15:20:17</t>
  </si>
  <si>
    <t>Alisson Airton Sobrinho - 05/03/2025 11:56:57</t>
  </si>
  <si>
    <t>Alisson Airton Sobrinho - 05/03/2025 11:56:58</t>
  </si>
  <si>
    <t>Alisson Airton Sobrinho - 05/03/2025 11:56:59</t>
  </si>
  <si>
    <t>Alisson Airton Sobrinho - 05/03/2025 11:57:01</t>
  </si>
  <si>
    <t>Alisson Airton Sobrinho - 05/03/2025 11:57:05</t>
  </si>
  <si>
    <t>Alisson Airton Sobrinho - 05/03/2025 11:57:06</t>
  </si>
  <si>
    <t>Alisson Airton Sobrinho - 05/03/2025 11:57:08</t>
  </si>
  <si>
    <t>Alisson Airton Sobrinho - 05/03/2025 11:57:09</t>
  </si>
  <si>
    <t>Alisson Airton Sobrinho - 07/03/2025 06:46:46</t>
  </si>
  <si>
    <t>Alisson Airton Sobrinho - 07/03/2025 06:46:45</t>
  </si>
  <si>
    <t>Alisson Airton Sobrinho - 07/03/2025 06:46:48</t>
  </si>
  <si>
    <t>Alisson Airton Sobrinho - 07/03/2025 06:46:49</t>
  </si>
  <si>
    <t>Alisson Airton Sobrinho - 07/03/2025 06:46:50</t>
  </si>
  <si>
    <t>Paula Caroline Morais Duarte - 01/31/2025 09:44:27</t>
  </si>
  <si>
    <t>EB5006</t>
  </si>
  <si>
    <t>Esteira P/ Carregamento A Granel</t>
  </si>
  <si>
    <t>Beatriz Alves Nunes de Paulo - 03/02/2025 10:02:50</t>
  </si>
  <si>
    <t>Beatriz Alves Nunes de Paulo - 03/02/2025 10:03:20</t>
  </si>
  <si>
    <t>Beatriz Alves Nunes de Paulo - 03/02/2025 10:03:22</t>
  </si>
  <si>
    <t>Beatriz Alves Nunes de Paulo - 03/02/2025 10:03:25</t>
  </si>
  <si>
    <t>Beatriz Alves Nunes de Paulo - 03/02/2025 10:03:27</t>
  </si>
  <si>
    <t>Beatriz Alves Nunes de Paulo - 03/02/2025 10:03:28</t>
  </si>
  <si>
    <t>Beatriz Alves Nunes de Paulo - 03/02/2025 10:03:30</t>
  </si>
  <si>
    <t>Beatriz Alves Nunes de Paulo - 03/02/2025 10:03:33</t>
  </si>
  <si>
    <t>Beatriz Alves Nunes de Paulo - 03/02/2025 10:03:31</t>
  </si>
  <si>
    <t>Beatriz Alves Nunes de Paulo - 03/02/2025 10:03:36</t>
  </si>
  <si>
    <t>Beatriz Alves Nunes de Paulo - 03/02/2025 10:03:39</t>
  </si>
  <si>
    <t>Beatriz Alves Nunes de Paulo - 03/02/2025 10:03:40</t>
  </si>
  <si>
    <t>Beatriz Alves Nunes de Paulo - 03/02/2025 10:03:42</t>
  </si>
  <si>
    <t>Beatriz Alves Nunes de Paulo - 03/02/2025 10:03:43</t>
  </si>
  <si>
    <t>Beatriz Alves Nunes de Paulo - 03/02/2025 10:03:48</t>
  </si>
  <si>
    <t>Beatriz Alves Nunes de Paulo - 03/02/2025 10:03:50</t>
  </si>
  <si>
    <t>Beatriz Alves Nunes de Paulo - 03/02/2025 10:03:54</t>
  </si>
  <si>
    <t>Beatriz Alves Nunes de Paulo - 03/02/2025 10:04:04</t>
  </si>
  <si>
    <t>Beatriz Alves Nunes de Paulo - 03/02/2025 10:04:06</t>
  </si>
  <si>
    <t>Beatriz Alves Nunes de Paulo - 03/02/2025 10:04:07</t>
  </si>
  <si>
    <t>Beatriz Alves Nunes de Paulo - 03/02/2025 10:04:08</t>
  </si>
  <si>
    <t>Beatriz Alves Nunes de Paulo - 03/02/2025 10:04:09</t>
  </si>
  <si>
    <t>Beatriz Alves Nunes de Paulo - 03/02/2025 10:04:12</t>
  </si>
  <si>
    <t>Beatriz Alves Nunes de Paulo - 03/02/2025 10:04:13</t>
  </si>
  <si>
    <t>Beatriz Alves Nunes de Paulo - 04/02/2025 13:50:31</t>
  </si>
  <si>
    <t>Beatriz Alves Nunes de Paulo - 04/02/2025 13:50:32</t>
  </si>
  <si>
    <t>Beatriz Alves Nunes de Paulo - 04/02/2025 13:50:35</t>
  </si>
  <si>
    <t>Beatriz Alves Nunes de Paulo - 04/02/2025 13:50:36</t>
  </si>
  <si>
    <t>Beatriz Alves Nunes de Paulo - 04/02/2025 13:50:45</t>
  </si>
  <si>
    <t>Beatriz Alves Nunes de Paulo - 27/02/2025 13:05:16</t>
  </si>
  <si>
    <t>Beatriz Alves Nunes de Paulo - 27/02/2025 13:05:17</t>
  </si>
  <si>
    <t>Beatriz Alves Nunes de Paulo - 27/02/2025 13:05:19</t>
  </si>
  <si>
    <t>Beatriz Alves Nunes de Paulo - 27/02/2025 13:05:21</t>
  </si>
  <si>
    <t>Alisson Airton Sobrinho - 07/03/2025 08:36:08</t>
  </si>
  <si>
    <t>Alisson Airton Sobrinho - 07/03/2025 08:36:09</t>
  </si>
  <si>
    <t>Alisson Airton Sobrinho - 07/03/2025 08:36:10</t>
  </si>
  <si>
    <t>Alisson Airton Sobrinho - 07/03/2025 08:36:11</t>
  </si>
  <si>
    <t>Alisson Airton Sobrinho - 07/03/2025 08:36:12</t>
  </si>
  <si>
    <t>Beatriz Alves Nunes de Paulo - 02/03/2025 10:02:42</t>
  </si>
  <si>
    <t>EB8101</t>
  </si>
  <si>
    <t>Esteira Elevadora De Bagaco</t>
  </si>
  <si>
    <t>Paula Caroline Morais Duarte - 30/01/2025 11:35:18</t>
  </si>
  <si>
    <t>Paula Caroline Morais Duarte - 30/01/2025 11:35:19</t>
  </si>
  <si>
    <t>Paula Caroline Morais Duarte - 30/01/2025 11:35:24</t>
  </si>
  <si>
    <t>Paula Caroline Morais Duarte - 30/01/2025 11:35:26</t>
  </si>
  <si>
    <t>Paula Caroline Morais Duarte - 30/01/2025 11:35:28</t>
  </si>
  <si>
    <t>Paula Caroline Morais Duarte - 30/01/2025 11:35:36</t>
  </si>
  <si>
    <t>Paula Caroline Morais Duarte - 30/01/2025 11:35:38</t>
  </si>
  <si>
    <t>Paula Caroline Morais Duarte - 30/01/2025 11:35:41</t>
  </si>
  <si>
    <t>Paula Caroline Morais Duarte - 20/02/2025 11:22:45</t>
  </si>
  <si>
    <t>Paula Caroline Morais Duarte - 20/02/2025 11:22:46</t>
  </si>
  <si>
    <t>Paula Caroline Morais Duarte - 30/01/2025 11:49:02</t>
  </si>
  <si>
    <t>Paula Caroline Morais Duarte - 30/01/2025 11:36:00</t>
  </si>
  <si>
    <t>Paula Caroline Morais Duarte - 30/01/2025 11:36:23</t>
  </si>
  <si>
    <t>Paula Caroline Morais Duarte - 11/02/2025 10:08:13</t>
  </si>
  <si>
    <t>Paula Caroline Morais Duarte - 30/01/2025 11:36:28</t>
  </si>
  <si>
    <t>Paula Caroline Morais Duarte - 30/01/2025 11:36:33</t>
  </si>
  <si>
    <t>Paula Caroline Morais Duarte - 30/01/2025 11:36:36</t>
  </si>
  <si>
    <t>Paula Caroline Morais Duarte - 30/01/2025 11:36:45</t>
  </si>
  <si>
    <t>Paula Caroline Morais Duarte - 30/01/2025 11:36:47</t>
  </si>
  <si>
    <t>Paula Caroline Morais Duarte - 30/01/2025 11:36:50</t>
  </si>
  <si>
    <t>Paula Caroline Morais Duarte - 30/01/2025 11:36:53</t>
  </si>
  <si>
    <t>Paula Caroline Morais Duarte - 30/01/2025 11:36:55</t>
  </si>
  <si>
    <t>Paula Caroline Morais Duarte - 30/01/2025 11:36:57</t>
  </si>
  <si>
    <t>Paula Caroline Morais Duarte - 30/01/2025 11:37:05</t>
  </si>
  <si>
    <t>Paula Caroline Morais Duarte - 30/01/2025 11:37:02</t>
  </si>
  <si>
    <t>Paula Caroline Morais Duarte - 30/01/2025 11:37:01</t>
  </si>
  <si>
    <t>Paula Caroline Morais Duarte - 25/02/2025 09:05:02</t>
  </si>
  <si>
    <t>Paula Caroline Morais Duarte - 25/02/2025 09:05:03</t>
  </si>
  <si>
    <t>Paula Caroline Morais Duarte - 25/02/2025 09:05:04</t>
  </si>
  <si>
    <t>Paula Caroline Morais Duarte - 25/02/2025 09:05:05</t>
  </si>
  <si>
    <t>Paula Caroline Morais Duarte - 25/02/2025 09:05:06</t>
  </si>
  <si>
    <t>Alisson Airton Sobrinho - 07/03/2025 09:55:33</t>
  </si>
  <si>
    <t>Alisson Airton Sobrinho - 07/03/2025 09:55:34</t>
  </si>
  <si>
    <t>Alisson Airton Sobrinho - 07/03/2025 09:55:35</t>
  </si>
  <si>
    <t>Alisson Airton Sobrinho - 07/03/2025 09:55:37</t>
  </si>
  <si>
    <t>Alisson Airton Sobrinho - 07/03/2025 09:55:39</t>
  </si>
  <si>
    <t>Alisson Airton Sobrinho - 07/03/2025 09:55:40</t>
  </si>
  <si>
    <t>Alisson Airton Sobrinho - 07/03/2025 09:55:50</t>
  </si>
  <si>
    <t>Alisson Airton Sobrinho - 07/03/2025 09:55:51</t>
  </si>
  <si>
    <t>Alisson Airton Sobrinho - 07/03/2025 09:55:52</t>
  </si>
  <si>
    <t>Alisson Airton Sobrinho - 07/03/2025 09:55:57</t>
  </si>
  <si>
    <t>Alisson Airton Sobrinho - 07/03/2025 09:55:56</t>
  </si>
  <si>
    <t>Alisson Airton Sobrinho - 07/03/2025 09:55:59</t>
  </si>
  <si>
    <t>Base de Dados_Images/EB8101.Imagem do Equipamento-.150437.jpg</t>
  </si>
  <si>
    <t>Paula Caroline Morais Duarte - 30/01/2025 11:35:08</t>
  </si>
  <si>
    <t>EB8102</t>
  </si>
  <si>
    <t>Esteira De Sobra De Bagaco</t>
  </si>
  <si>
    <t>Paula Caroline Morais Duarte - 30/01/2025 11:39:42</t>
  </si>
  <si>
    <t>Paula Caroline Morais Duarte - 30/01/2025 11:39:44</t>
  </si>
  <si>
    <t>Paula Caroline Morais Duarte - 30/01/2025 11:39:54</t>
  </si>
  <si>
    <t>Paula Caroline Morais Duarte - 30/01/2025 11:46:59</t>
  </si>
  <si>
    <t>Paula Caroline Morais Duarte - 30/01/2025 11:39:58</t>
  </si>
  <si>
    <t>Paula Caroline Morais Duarte - 30/01/2025 11:40:03</t>
  </si>
  <si>
    <t>Paula Caroline Morais Duarte - 30/01/2025 11:40:05</t>
  </si>
  <si>
    <t>Paula Caroline Morais Duarte - 30/01/2025 11:40:07</t>
  </si>
  <si>
    <t>Adriel da Silva Queiroz - 14/02/2025 13:59:01</t>
  </si>
  <si>
    <t>Adriel da Silva Queiroz - 14/02/2025 13:59:03</t>
  </si>
  <si>
    <t>Paula Caroline Morais Duarte - 30/01/2025 11:40:15</t>
  </si>
  <si>
    <t>Paula Caroline Morais Duarte - 30/01/2025 11:40:19</t>
  </si>
  <si>
    <t>Paula Caroline Morais Duarte - 30/01/2025 11:40:28</t>
  </si>
  <si>
    <t>Paula Caroline Morais Duarte - 30/01/2025 11:40:29</t>
  </si>
  <si>
    <t>Paula Caroline Morais Duarte - 30/01/2025 11:40:32</t>
  </si>
  <si>
    <t>Adriel da Silva Queiroz - 14/02/2025 13:59:14</t>
  </si>
  <si>
    <t>Paula Caroline Morais Duarte - 30/01/2025 11:40:42</t>
  </si>
  <si>
    <t>Paula Caroline Morais Duarte - 30/01/2025 11:40:44</t>
  </si>
  <si>
    <t>Paula Caroline Morais Duarte - 30/01/2025 11:40:46</t>
  </si>
  <si>
    <t>Paula Caroline Morais Duarte - 30/01/2025 11:40:49</t>
  </si>
  <si>
    <t>Paula Caroline Morais Duarte - 30/01/2025 11:40:51</t>
  </si>
  <si>
    <t>Paula Caroline Morais Duarte - 30/01/2025 11:40:53</t>
  </si>
  <si>
    <t>Paula Caroline Morais Duarte - 30/01/2025 11:40:55</t>
  </si>
  <si>
    <t>Paula Caroline Morais Duarte - 30/01/2025 11:40:57</t>
  </si>
  <si>
    <t>Paula Caroline Morais Duarte - 30/01/2025 11:41:04</t>
  </si>
  <si>
    <t>Paula Caroline Morais Duarte - 30/01/2025 11:41:02</t>
  </si>
  <si>
    <t>Paula Caroline Morais Duarte - 23/02/2025 16:22:42</t>
  </si>
  <si>
    <t>Paula Caroline Morais Duarte - 23/02/2025 16:22:44</t>
  </si>
  <si>
    <t>Paula Caroline Morais Duarte - 23/02/2025 16:22:45</t>
  </si>
  <si>
    <t>Paula Caroline Morais Duarte - 23/02/2025 16:22:46</t>
  </si>
  <si>
    <t>Paula Caroline Morais Duarte - 23/02/2025 16:22:47</t>
  </si>
  <si>
    <t>Paula Caroline Morais Duarte - 23/02/2025 16:23:04</t>
  </si>
  <si>
    <t>Paula Caroline Morais Duarte - 23/02/2025 16:23:06</t>
  </si>
  <si>
    <t>Paula Caroline Morais Duarte - 23/02/2025 16:23:09</t>
  </si>
  <si>
    <t>Paula Caroline Morais Duarte - 23/02/2025 16:23:11</t>
  </si>
  <si>
    <t>Paula Caroline Morais Duarte - 23/02/2025 16:23:12</t>
  </si>
  <si>
    <t>Paula Caroline Morais Duarte - 25/02/2025 09:05:59</t>
  </si>
  <si>
    <t>Paula Caroline Morais Duarte - 25/02/2025 09:06:00</t>
  </si>
  <si>
    <t>Paula Caroline Morais Duarte - 25/02/2025 09:06:01</t>
  </si>
  <si>
    <t>Paula Caroline Morais Duarte - 25/02/2025 09:06:03</t>
  </si>
  <si>
    <t>Paula Caroline Morais Duarte - 25/02/2025 09:06:04</t>
  </si>
  <si>
    <t>Paula Caroline Morais Duarte - 25/02/2025 09:06:05</t>
  </si>
  <si>
    <t>Base de Dados_Images/EB8102.Imagem do Equipamento-.150916.jpg</t>
  </si>
  <si>
    <t>Paula Caroline Morais Duarte - 30/01/2025 11:41:32</t>
  </si>
  <si>
    <t>EB8103</t>
  </si>
  <si>
    <t>Esteira De Retorno De Bagaco</t>
  </si>
  <si>
    <t>Paula Caroline Morais Duarte - 30/01/2025 11:43:24</t>
  </si>
  <si>
    <t>Paula Caroline Morais Duarte - 30/01/2025 11:43:26</t>
  </si>
  <si>
    <t>Paula Caroline Morais Duarte - 30/01/2025 11:43:41</t>
  </si>
  <si>
    <t>Paula Caroline Morais Duarte - 30/01/2025 11:43:51</t>
  </si>
  <si>
    <t>Paula Caroline Morais Duarte - 30/01/2025 11:43:58</t>
  </si>
  <si>
    <t>Paula Caroline Morais Duarte - 30/01/2025 11:44:00</t>
  </si>
  <si>
    <t>Paula Caroline Morais Duarte - 30/01/2025 11:44:02</t>
  </si>
  <si>
    <t>Paula Caroline Morais Duarte - 30/01/2025 11:44:04</t>
  </si>
  <si>
    <t>Adriel da Silva Queiroz - 14/02/2025 13:57:22</t>
  </si>
  <si>
    <t>Adriel da Silva Queiroz - 14/02/2025 13:57:20</t>
  </si>
  <si>
    <t>Adriel da Silva Queiroz - 14/02/2025 13:57:16</t>
  </si>
  <si>
    <t>Adriel da Silva Queiroz - 14/02/2025 13:57:18</t>
  </si>
  <si>
    <t>Adriel da Silva Queiroz - 14/02/2025 13:57:41</t>
  </si>
  <si>
    <t>Adriel da Silva Queiroz - 14/02/2025 13:57:38</t>
  </si>
  <si>
    <t>Adriel da Silva Queiroz - 14/02/2025 13:57:37</t>
  </si>
  <si>
    <t>Adriel da Silva Queiroz - 14/02/2025 13:57:35</t>
  </si>
  <si>
    <t>Paula Caroline Morais Duarte - 30/01/2025 11:45:03</t>
  </si>
  <si>
    <t>Paula Caroline Morais Duarte - 30/01/2025 11:45:06</t>
  </si>
  <si>
    <t>Paula Caroline Morais Duarte - 30/01/2025 11:45:08</t>
  </si>
  <si>
    <t>Paula Caroline Morais Duarte - 30/01/2025 11:45:11</t>
  </si>
  <si>
    <t>Paula Caroline Morais Duarte - 30/01/2025 11:45:29</t>
  </si>
  <si>
    <t>Paula Caroline Morais Duarte - 30/01/2025 11:45:16</t>
  </si>
  <si>
    <t>Paula Caroline Morais Duarte - 30/01/2025 11:45:17</t>
  </si>
  <si>
    <t>Paula Caroline Morais Duarte - 30/01/2025 11:45:20</t>
  </si>
  <si>
    <t>Paula Caroline Morais Duarte - 23/02/2025 16:23:31</t>
  </si>
  <si>
    <t>Paula Caroline Morais Duarte - 23/02/2025 16:23:32</t>
  </si>
  <si>
    <t>Paula Caroline Morais Duarte - 23/02/2025 16:23:34</t>
  </si>
  <si>
    <t>Paula Caroline Morais Duarte - 23/02/2025 16:23:35</t>
  </si>
  <si>
    <t>Paula Caroline Morais Duarte - 23/02/2025 16:23:37</t>
  </si>
  <si>
    <t>Paula Caroline Morais Duarte - 23/02/2025 16:23:46</t>
  </si>
  <si>
    <t>Paula Caroline Morais Duarte - 23/02/2025 16:23:47</t>
  </si>
  <si>
    <t>Paula Caroline Morais Duarte - 23/02/2025 16:23:49</t>
  </si>
  <si>
    <t>Paula Caroline Morais Duarte - 23/02/2025 16:23:50</t>
  </si>
  <si>
    <t>Paula Caroline Morais Duarte - 23/02/2025 16:23:52</t>
  </si>
  <si>
    <t>Paula Caroline Morais Duarte - 23/02/2025 16:23:53</t>
  </si>
  <si>
    <t>Paula Caroline Morais Duarte - 25/02/2025 09:06:11</t>
  </si>
  <si>
    <t>Paula Caroline Morais Duarte - 25/02/2025 09:06:12</t>
  </si>
  <si>
    <t>Paula Caroline Morais Duarte - 25/02/2025 09:06:13</t>
  </si>
  <si>
    <t>Paula Caroline Morais Duarte - 25/02/2025 09:06:15</t>
  </si>
  <si>
    <t>Paula Caroline Morais Duarte - 25/02/2025 09:06:16</t>
  </si>
  <si>
    <t>Paula Caroline Morais Duarte - 25/02/2025 09:06:19</t>
  </si>
  <si>
    <t>Base de Dados_Images/EB8103.Imagem do Equipamento-.150924.jpg</t>
  </si>
  <si>
    <t>Paula Caroline Morais Duarte - 30/01/2025 11:43:18</t>
  </si>
  <si>
    <t>Elevador De Caneca 01</t>
  </si>
  <si>
    <t>Elevador De Caneca</t>
  </si>
  <si>
    <t>EC4001</t>
  </si>
  <si>
    <t>Elevador De Canecas Nº 01</t>
  </si>
  <si>
    <t>Alisson Airton Sobrinho - 27/01/2025 09:48:15</t>
  </si>
  <si>
    <t>Alisson Airton Sobrinho - 27/01/2025 09:48:18</t>
  </si>
  <si>
    <t>Matheus César Azevedo Neto - 31/01/2025 11:48:25</t>
  </si>
  <si>
    <t>Alisson Airton Sobrinho - 27/01/2025 09:48:47</t>
  </si>
  <si>
    <t>Alisson Airton Sobrinho - 27/01/2025 09:49:08</t>
  </si>
  <si>
    <t>Alisson Airton Sobrinho - 27/01/2025 09:49:10</t>
  </si>
  <si>
    <t>Alisson Airton Sobrinho - 27/01/2025 09:49:13</t>
  </si>
  <si>
    <t>Alisson Airton Sobrinho - 27/01/2025 09:49:15</t>
  </si>
  <si>
    <t>Alisson Airton Sobrinho - 27/01/2025 09:49:19</t>
  </si>
  <si>
    <t>Alisson Airton Sobrinho - 27/01/2025 09:49:22</t>
  </si>
  <si>
    <t>Alisson Airton Sobrinho - 27/01/2025 09:49:28</t>
  </si>
  <si>
    <t>Alisson Airton Sobrinho - 27/01/2025 09:49:33</t>
  </si>
  <si>
    <t>Alisson Airton Sobrinho - 27/01/2025 09:49:37</t>
  </si>
  <si>
    <t>Alisson Airton Sobrinho - 27/01/2025 09:49:46</t>
  </si>
  <si>
    <t>Alisson Airton Sobrinho - 27/01/2025 09:49:49</t>
  </si>
  <si>
    <t>Alisson Airton Sobrinho - 27/01/2025 09:49:53</t>
  </si>
  <si>
    <t>Alisson Airton Sobrinho - 27/01/2025 09:50:14</t>
  </si>
  <si>
    <t>Alisson Airton Sobrinho - 27/01/2025 09:50:19</t>
  </si>
  <si>
    <t>Alisson Airton Sobrinho - 27/01/2025 09:50:25</t>
  </si>
  <si>
    <t>Beatriz Alves Nunes de Paulo - 03/02/2025 15:10:35</t>
  </si>
  <si>
    <t>Beatriz Alves Nunes de Paulo - 03/02/2025 15:10:36</t>
  </si>
  <si>
    <t>Beatriz Alves Nunes de Paulo - 03/02/2025 15:10:38</t>
  </si>
  <si>
    <t>Beatriz Alves Nunes de Paulo - 03/02/2025 15:10:40</t>
  </si>
  <si>
    <t>Beatriz Alves Nunes de Paulo - 03/02/2025 15:10:50</t>
  </si>
  <si>
    <t>Beatriz Alves Nunes de Paulo - 03/02/2025 15:10:51</t>
  </si>
  <si>
    <t>Beatriz Alves Nunes de Paulo - 03/02/2025 15:10:53</t>
  </si>
  <si>
    <t>Alisson Airton Sobrinho - 01/27/2025 09:47:48</t>
  </si>
  <si>
    <t>Elevador De Caneca 02</t>
  </si>
  <si>
    <t>EC4002</t>
  </si>
  <si>
    <t>Elevador De Canecas Nº 02</t>
  </si>
  <si>
    <t>Beatriz Alves Nunes de Paulo - 28/01/2025 12:04:14</t>
  </si>
  <si>
    <t>Beatriz Alves Nunes de Paulo - 28/01/2025 12:04:15</t>
  </si>
  <si>
    <t>Beatriz Alves Nunes de Paulo - 28/01/2025 12:04:17</t>
  </si>
  <si>
    <t>Beatriz Alves Nunes de Paulo - 28/01/2025 12:04:18</t>
  </si>
  <si>
    <t>Beatriz Alves Nunes de Paulo - 28/01/2025 12:04:20</t>
  </si>
  <si>
    <t>Beatriz Alves Nunes de Paulo - 28/01/2025 12:04:23</t>
  </si>
  <si>
    <t>Beatriz Alves Nunes de Paulo - 28/01/2025 12:04:24</t>
  </si>
  <si>
    <t>Beatriz Alves Nunes de Paulo - 28/01/2025 12:04:31</t>
  </si>
  <si>
    <t>Beatriz Alves Nunes de Paulo - 28/01/2025 12:04:26</t>
  </si>
  <si>
    <t>Beatriz Alves Nunes de Paulo - 28/01/2025 12:04:33</t>
  </si>
  <si>
    <t>Beatriz Alves Nunes de Paulo - 28/01/2025 12:04:35</t>
  </si>
  <si>
    <t>Beatriz Alves Nunes de Paulo - 28/01/2025 12:04:38</t>
  </si>
  <si>
    <t>Adriel da Silva Queiroz - 29/01/2025 10:01:39</t>
  </si>
  <si>
    <t>Adriel da Silva Queiroz - 29/01/2025 10:01:44</t>
  </si>
  <si>
    <t>Adriel da Silva Queiroz - 29/01/2025 10:01:42</t>
  </si>
  <si>
    <t>Adriel da Silva Queiroz - 29/01/2025 10:01:46</t>
  </si>
  <si>
    <t>Adriel da Silva Queiroz - 29/01/2025 10:01:52</t>
  </si>
  <si>
    <t>Adriel da Silva Queiroz - 29/01/2025 10:01:50</t>
  </si>
  <si>
    <t>Adriel da Silva Queiroz - 29/01/2025 10:01:57</t>
  </si>
  <si>
    <t>Beatriz Alves Nunes de Paulo - 03/02/2025 15:11:02</t>
  </si>
  <si>
    <t>Beatriz Alves Nunes de Paulo - 03/02/2025 15:11:10</t>
  </si>
  <si>
    <t>Beatriz Alves Nunes de Paulo - 03/02/2025 15:11:03</t>
  </si>
  <si>
    <t>Beatriz Alves Nunes de Paulo - 03/02/2025 15:11:06</t>
  </si>
  <si>
    <t>Beatriz Alves Nunes de Paulo - 03/02/2025 15:11:15</t>
  </si>
  <si>
    <t>Beatriz Alves Nunes de Paulo - 03/02/2025 15:11:16</t>
  </si>
  <si>
    <t>Beatriz Alves Nunes de Paulo - 03/02/2025 15:11:18</t>
  </si>
  <si>
    <t>Beatriz Alves Nunes de Paulo - 01/28/2025 12:04:09</t>
  </si>
  <si>
    <t>Eletroímã</t>
  </si>
  <si>
    <t>EL2001</t>
  </si>
  <si>
    <t>Eletroima</t>
  </si>
  <si>
    <t>Weslley Ferreira Cooper - 29/01/2025 10:42:17</t>
  </si>
  <si>
    <t>Weslley Ferreira Cooper - 29/01/2025 10:42:20</t>
  </si>
  <si>
    <t>Weslley Ferreira Cooper - 29/01/2025 10:42:21</t>
  </si>
  <si>
    <t>Weslley Ferreira Cooper - 29/01/2025 10:42:23</t>
  </si>
  <si>
    <t>Weslley Ferreira Cooper - 29/01/2025 10:42:25</t>
  </si>
  <si>
    <t>Weslley Ferreira Cooper - 29/01/2025 10:42:26</t>
  </si>
  <si>
    <t>Weslley Ferreira Cooper - 29/01/2025 10:42:29</t>
  </si>
  <si>
    <t>Beatriz Alves Nunes de Paulo - 06/03/2025 08:26:50</t>
  </si>
  <si>
    <t>Beatriz Alves Nunes de Paulo - 06/03/2025 08:26:51</t>
  </si>
  <si>
    <t>Alisson Airton Sobrinho - 07/03/2025 06:46:40</t>
  </si>
  <si>
    <t>Alisson Airton Sobrinho - 07/03/2025 06:46:39</t>
  </si>
  <si>
    <t>Base de Dados_Images/EL2001.Imagem do Equipamento-.134220.jpg</t>
  </si>
  <si>
    <t>Weslley Ferreira Cooper - 29/01/2025 10:42:08</t>
  </si>
  <si>
    <t>Esteira Metalica</t>
  </si>
  <si>
    <t>Esteira Metálica</t>
  </si>
  <si>
    <t>EM2001</t>
  </si>
  <si>
    <t>Alisson Airton Sobrinho - 12/02/2025 13:45:46</t>
  </si>
  <si>
    <t>Alisson Airton Sobrinho - 12/02/2025 13:45:45</t>
  </si>
  <si>
    <t>Alisson Airton Sobrinho - 12/02/2025 13:45:43</t>
  </si>
  <si>
    <t>Alisson Airton Sobrinho - 12/02/2025 13:45:41</t>
  </si>
  <si>
    <t>Alisson Airton Sobrinho - 12/02/2025 13:45:38</t>
  </si>
  <si>
    <t>Paula Caroline Morais Duarte - 18/02/2025 10:44:56</t>
  </si>
  <si>
    <t>Alisson Airton Sobrinho - 12/02/2025 13:45:26</t>
  </si>
  <si>
    <t>Alisson Airton Sobrinho - 03/03/2025 12:42:15</t>
  </si>
  <si>
    <t>Alisson Airton Sobrinho - 03/03/2025 12:42:55</t>
  </si>
  <si>
    <t>Alisson Airton Sobrinho - 03/03/2025 12:42:56</t>
  </si>
  <si>
    <t>Paula Caroline Morais Duarte - 18/02/2025 10:45:09</t>
  </si>
  <si>
    <t>Alisson Airton Sobrinho - 03/03/2025 12:43:16</t>
  </si>
  <si>
    <t>Alisson Airton Sobrinho - 03/03/2025 12:43:28</t>
  </si>
  <si>
    <t>Paula Caroline Morais Duarte - 18/02/2025 10:45:17</t>
  </si>
  <si>
    <t>Paula Caroline Morais Duarte - 18/02/2025 10:45:19</t>
  </si>
  <si>
    <t>Paula Caroline Morais Duarte - 18/02/2025 10:45:21</t>
  </si>
  <si>
    <t>Paula Caroline Morais Duarte - 18/02/2025 10:45:22</t>
  </si>
  <si>
    <t>Paula Caroline Morais Duarte - 18/02/2025 10:45:24</t>
  </si>
  <si>
    <t>Paula Caroline Morais Duarte - 18/02/2025 10:45:25</t>
  </si>
  <si>
    <t>Paula Caroline Morais Duarte - 18/02/2025 10:45:28</t>
  </si>
  <si>
    <t>Alisson Airton Sobrinho - 05/03/2025 11:47:54</t>
  </si>
  <si>
    <t>Alisson Airton Sobrinho - 05/03/2025 11:47:55</t>
  </si>
  <si>
    <t>Alisson Airton Sobrinho - 05/03/2025 11:48:04</t>
  </si>
  <si>
    <t>Alisson Airton Sobrinho - 05/03/2025 11:48:06</t>
  </si>
  <si>
    <t>Alisson Airton Sobrinho - 05/03/2025 11:48:11</t>
  </si>
  <si>
    <t>Alisson Airton Sobrinho - 05/03/2025 11:48:12</t>
  </si>
  <si>
    <t>Alisson Airton Sobrinho - 05/03/2025 11:48:14</t>
  </si>
  <si>
    <t>Alisson Airton Sobrinho - 05/03/2025 11:48:15</t>
  </si>
  <si>
    <t>Alisson Airton Sobrinho - 05/03/2025 11:48:17</t>
  </si>
  <si>
    <t>Alisson Airton Sobrinho - 05/03/2025 11:48:18</t>
  </si>
  <si>
    <t>Alisson Airton Sobrinho - 07/03/2025 06:31:01</t>
  </si>
  <si>
    <t>Base de Dados_Images/EM2001.Imagem do Equipamento-.142540.jpg</t>
  </si>
  <si>
    <t>Paula Caroline Morais Duarte - 18/02/2025 10:50:50</t>
  </si>
  <si>
    <t>Ventilador</t>
  </si>
  <si>
    <t>EP2001</t>
  </si>
  <si>
    <t>Espalhador De Cana</t>
  </si>
  <si>
    <t>Paula Caroline Morais Duarte - 20/02/2025 09:05:28</t>
  </si>
  <si>
    <t>Paula Caroline Morais Duarte - 20/02/2025 09:07:06</t>
  </si>
  <si>
    <t>Paula Caroline Morais Duarte - 20/02/2025 09:07:11</t>
  </si>
  <si>
    <t>Paula Caroline Morais Duarte - 20/02/2025 09:07:13</t>
  </si>
  <si>
    <t>Alisson Airton Sobrinho - 05/03/2025 11:48:46</t>
  </si>
  <si>
    <t>Paula Caroline Morais Duarte - 20/02/2025 09:07:18</t>
  </si>
  <si>
    <t>Paula Caroline Morais Duarte - 20/02/2025 09:05:42</t>
  </si>
  <si>
    <t>Paula Caroline Morais Duarte - 20/02/2025 09:05:45</t>
  </si>
  <si>
    <t>Paula Caroline Morais Duarte - 20/02/2025 09:05:46</t>
  </si>
  <si>
    <t>Paula Caroline Morais Duarte - 20/02/2025 09:06:37</t>
  </si>
  <si>
    <t>Paula Caroline Morais Duarte - 20/02/2025 09:06:38</t>
  </si>
  <si>
    <t>Paula Caroline Morais Duarte - 20/02/2025 09:06:31</t>
  </si>
  <si>
    <t>Paula Caroline Morais Duarte - 20/02/2025 09:06:30</t>
  </si>
  <si>
    <t>Paula Caroline Morais Duarte - 20/02/2025 09:06:28</t>
  </si>
  <si>
    <t>Paula Caroline Morais Duarte - 20/02/2025 09:06:26</t>
  </si>
  <si>
    <t>Paula Caroline Morais Duarte - 20/02/2025 09:06:09</t>
  </si>
  <si>
    <t>Paula Caroline Morais Duarte - 20/02/2025 09:06:10</t>
  </si>
  <si>
    <t>Paula Caroline Morais Duarte - 20/02/2025 09:06:12</t>
  </si>
  <si>
    <t>Paula Caroline Morais Duarte - 20/02/2025 09:06:13</t>
  </si>
  <si>
    <t>Paula Caroline Morais Duarte - 20/02/2025 09:06:15</t>
  </si>
  <si>
    <t>Paula Caroline Morais Duarte - 20/02/2025 09:06:21</t>
  </si>
  <si>
    <t>Alisson Airton Sobrinho - 07/03/2025 06:31:29</t>
  </si>
  <si>
    <t>Alisson Airton Sobrinho - 07/03/2025 06:31:33</t>
  </si>
  <si>
    <t>Alisson Airton Sobrinho - 07/03/2025 06:31:32</t>
  </si>
  <si>
    <t>Alisson Airton Sobrinho - 07/03/2025 06:31:38</t>
  </si>
  <si>
    <t>Alisson Airton Sobrinho - 07/03/2025 06:31:39</t>
  </si>
  <si>
    <t>Alisson Airton Sobrinho - 07/03/2025 06:31:43</t>
  </si>
  <si>
    <t>Alisson Airton Sobrinho - 07/03/2025 06:31:44</t>
  </si>
  <si>
    <t>Alisson Airton Sobrinho - 07/03/2025 06:31:47</t>
  </si>
  <si>
    <t>Alisson Airton Sobrinho - 07/03/2025 06:31:48</t>
  </si>
  <si>
    <t>Alisson Airton Sobrinho - 02/12/2025 13:44:28</t>
  </si>
  <si>
    <t>EP8101</t>
  </si>
  <si>
    <t>Espagidor De Bagaço (Direcionador De Ar)</t>
  </si>
  <si>
    <t>Paula Caroline Morais Duarte - 28/01/2025 15:13:33</t>
  </si>
  <si>
    <t>Paula Caroline Morais Duarte - 28/01/2025 15:13:34</t>
  </si>
  <si>
    <t>Paula Caroline Morais Duarte - 28/01/2025 15:13:39</t>
  </si>
  <si>
    <t>Paula Caroline Morais Duarte - 28/01/2025 15:13:47</t>
  </si>
  <si>
    <t>Paula Caroline Morais Duarte - 28/01/2025 15:13:49</t>
  </si>
  <si>
    <t>Paula Caroline Morais Duarte - 28/01/2025 15:13:51</t>
  </si>
  <si>
    <t>Paula Caroline Morais Duarte - 28/01/2025 15:13:52</t>
  </si>
  <si>
    <t>Paula Caroline Morais Duarte - 28/01/2025 15:13:56</t>
  </si>
  <si>
    <t>Paula Caroline Morais Duarte - 28/01/2025 15:13:59</t>
  </si>
  <si>
    <t>Paula Caroline Morais Duarte - 28/01/2025 15:14:00</t>
  </si>
  <si>
    <t>Paula Caroline Morais Duarte - 28/01/2025 15:14:03</t>
  </si>
  <si>
    <t>Paula Caroline Morais Duarte - 28/01/2025 15:14:05</t>
  </si>
  <si>
    <t>Paula Caroline Morais Duarte - 28/01/2025 15:14:08</t>
  </si>
  <si>
    <t>Paula Caroline Morais Duarte - 28/01/2025 15:14:11</t>
  </si>
  <si>
    <t>Paula Caroline Morais Duarte - 28/01/2025 15:14:13</t>
  </si>
  <si>
    <t>Paula Caroline Morais Duarte - 28/01/2025 15:14:17</t>
  </si>
  <si>
    <t>Paula Caroline Morais Duarte - 28/01/2025 15:14:24</t>
  </si>
  <si>
    <t>Paula Caroline Morais Duarte - 28/01/2025 15:14:27</t>
  </si>
  <si>
    <t>Paula Caroline Morais Duarte - 28/01/2025 15:14:33</t>
  </si>
  <si>
    <t>Paula Caroline Morais Duarte - 28/01/2025 15:14:32</t>
  </si>
  <si>
    <t>Paula Caroline Morais Duarte - 28/01/2025 15:14:37</t>
  </si>
  <si>
    <t>Paula Caroline Morais Duarte - 23/02/2025 16:38:41</t>
  </si>
  <si>
    <t>Paula Caroline Morais Duarte - 23/02/2025 16:38:42</t>
  </si>
  <si>
    <t>Paula Caroline Morais Duarte - 23/02/2025 16:38:43</t>
  </si>
  <si>
    <t>Paula Caroline Morais Duarte - 23/02/2025 16:38:45</t>
  </si>
  <si>
    <t>Paula Caroline Morais Duarte - 23/02/2025 16:38:46</t>
  </si>
  <si>
    <t>Paula Caroline Morais Duarte - 23/02/2025 16:38:47</t>
  </si>
  <si>
    <t>Paula Caroline Morais Duarte - 23/02/2025 16:38:48</t>
  </si>
  <si>
    <t>Paula Caroline Morais Duarte - 23/02/2025 16:38:57</t>
  </si>
  <si>
    <t>Paula Caroline Morais Duarte - 23/02/2025 16:38:58</t>
  </si>
  <si>
    <t>Paula Caroline Morais Duarte - 23/02/2025 16:38:59</t>
  </si>
  <si>
    <t>Paula Caroline Morais Duarte - 23/02/2025 16:39:04</t>
  </si>
  <si>
    <t>Paula Caroline Morais Duarte - 23/02/2025 16:39:05</t>
  </si>
  <si>
    <t>Paula Caroline Morais Duarte - 23/02/2025 16:39:06</t>
  </si>
  <si>
    <t>Base de Dados_Images/EP8101.Imagem do Equipamento-.183525.jpg</t>
  </si>
  <si>
    <t>Paula Caroline Morais Duarte - 28/01/2025 15:08:37</t>
  </si>
  <si>
    <t>Cush Cush</t>
  </si>
  <si>
    <t>Cush-Cush</t>
  </si>
  <si>
    <t>ER2001</t>
  </si>
  <si>
    <t>Cush Cush De Palha Da Mesa Alimentador</t>
  </si>
  <si>
    <t>Weslley Ferreira Cooper - 29/01/2025 10:29:41</t>
  </si>
  <si>
    <t>Weslley Ferreira Cooper - 29/01/2025 10:29:43</t>
  </si>
  <si>
    <t>Weslley Ferreira Cooper - 29/01/2025 10:29:44</t>
  </si>
  <si>
    <t>Weslley Ferreira Cooper - 29/01/2025 10:29:48</t>
  </si>
  <si>
    <t>Weslley Ferreira Cooper - 29/01/2025 10:29:49</t>
  </si>
  <si>
    <t>Weslley Ferreira Cooper - 29/01/2025 10:29:51</t>
  </si>
  <si>
    <t>Weslley Ferreira Cooper - 29/01/2025 10:29:53</t>
  </si>
  <si>
    <t>Weslley Ferreira Cooper - 29/01/2025 10:29:55</t>
  </si>
  <si>
    <t>Paula Caroline Morais Duarte - 05/02/2025 11:59:25</t>
  </si>
  <si>
    <t>Paula Caroline Morais Duarte - 05/02/2025 11:59:27</t>
  </si>
  <si>
    <t>Paula Caroline Morais Duarte - 05/02/2025 11:59:28</t>
  </si>
  <si>
    <t>Paula Caroline Morais Duarte - 05/02/2025 11:59:30</t>
  </si>
  <si>
    <t>Weslley Ferreira Cooper - 29/01/2025 10:30:14</t>
  </si>
  <si>
    <t>Weslley Ferreira Cooper - 29/01/2025 10:30:16</t>
  </si>
  <si>
    <t>Weslley Ferreira Cooper - 29/01/2025 10:30:20</t>
  </si>
  <si>
    <t>Weslley Ferreira Cooper - 29/01/2025 10:30:21</t>
  </si>
  <si>
    <t>Weslley Ferreira Cooper - 29/01/2025 10:30:24</t>
  </si>
  <si>
    <t>Weslley Ferreira Cooper - 29/01/2025 10:30:43</t>
  </si>
  <si>
    <t>Beatriz Alves Nunes de Paulo - 06/03/2025 08:26:06</t>
  </si>
  <si>
    <t>Beatriz Alves Nunes de Paulo - 06/03/2025 08:26:08</t>
  </si>
  <si>
    <t>Beatriz Alves Nunes de Paulo - 06/03/2025 08:26:12</t>
  </si>
  <si>
    <t>Beatriz Alves Nunes de Paulo - 06/03/2025 08:26:13</t>
  </si>
  <si>
    <t>Beatriz Alves Nunes de Paulo - 06/03/2025 08:26:14</t>
  </si>
  <si>
    <t>Beatriz Alves Nunes de Paulo - 06/03/2025 08:26:15</t>
  </si>
  <si>
    <t>Base de Dados_Images/ER2001.Imagem do Equipamento-.133740.jpg</t>
  </si>
  <si>
    <t>Weslley Ferreira Cooper - 29/01/2025 10:29:34</t>
  </si>
  <si>
    <t>ESTEIRA_PCTS</t>
  </si>
  <si>
    <t>Esteira Pcts</t>
  </si>
  <si>
    <t>Paula Caroline Morais Duarte - 11/02/2025 08:44:55</t>
  </si>
  <si>
    <t>Paula Caroline Morais Duarte - 11/02/2025 08:44:57</t>
  </si>
  <si>
    <t>Paula Caroline Morais Duarte - 11/02/2025 08:44:58</t>
  </si>
  <si>
    <t>Paula Caroline Morais Duarte - 11/02/2025 08:45:00</t>
  </si>
  <si>
    <t>Paula Caroline Morais Duarte - 11/02/2025 08:45:01</t>
  </si>
  <si>
    <t>Paula Caroline Morais Duarte - 11/02/2025 08:45:03</t>
  </si>
  <si>
    <t>Paula Caroline Morais Duarte - 11/02/2025 08:45:13</t>
  </si>
  <si>
    <t>Paula Caroline Morais Duarte - 11/02/2025 08:45:15</t>
  </si>
  <si>
    <t>Paula Caroline Morais Duarte - 11/02/2025 08:45:27</t>
  </si>
  <si>
    <t>Paula Caroline Morais Duarte - 11/02/2025 08:45:28</t>
  </si>
  <si>
    <t>Paula Caroline Morais Duarte - 11/02/2025 08:45:30</t>
  </si>
  <si>
    <t>Paula Caroline Morais Duarte - 11/02/2025 08:45:34</t>
  </si>
  <si>
    <t>Paula Caroline Morais Duarte - 11/02/2025 08:45:35</t>
  </si>
  <si>
    <t>Paula Caroline Morais Duarte - 11/02/2025 08:45:38</t>
  </si>
  <si>
    <t>Paula Caroline Morais Duarte - 11/02/2025 08:45:39</t>
  </si>
  <si>
    <t>Paula Caroline Morais Duarte - 11/02/2025 08:45:47</t>
  </si>
  <si>
    <t>Paula Caroline Morais Duarte - 11/02/2025 08:45:46</t>
  </si>
  <si>
    <t>Paula Caroline Morais Duarte - 11/02/2025 08:45:44</t>
  </si>
  <si>
    <t>Paula Caroline Morais Duarte - 11/02/2025 08:45:42</t>
  </si>
  <si>
    <t>Natanaelson Santana Fonseca - 25/02/2025 11:18:42</t>
  </si>
  <si>
    <t>Beatriz Alves Nunes de Paulo - 06/03/2025 10:37:08</t>
  </si>
  <si>
    <t>Beatriz Alves Nunes de Paulo - 06/03/2025 10:37:28</t>
  </si>
  <si>
    <t>Beatriz Alves Nunes de Paulo - 06/03/2025 10:37:24</t>
  </si>
  <si>
    <t>Alisson Airton Sobrinho - 07/03/2025 13:11:55</t>
  </si>
  <si>
    <t>Alisson Airton Sobrinho - 07/03/2025 13:11:56</t>
  </si>
  <si>
    <t>Alisson Airton Sobrinho - 07/03/2025 13:11:57</t>
  </si>
  <si>
    <t>Base de Dados_Images/ESTEIRA_PCTS.Imagem do Equipamento-.114455.jpg</t>
  </si>
  <si>
    <t>Paula Caroline Morais Duarte - 11/02/2025 08:44:50</t>
  </si>
  <si>
    <t>ET2101</t>
  </si>
  <si>
    <t>Esteira Intermediaria Nº 01</t>
  </si>
  <si>
    <t>Paula Caroline Morais Duarte - 04/02/2025 14:05:18</t>
  </si>
  <si>
    <t>Paula Caroline Morais Duarte - 04/02/2025 14:05:28</t>
  </si>
  <si>
    <t>Paula Caroline Morais Duarte - 04/02/2025 14:05:33</t>
  </si>
  <si>
    <t>Paula Caroline Morais Duarte - 04/02/2025 14:05:38</t>
  </si>
  <si>
    <t>Paula Caroline Morais Duarte - 20/02/2025 08:33:35</t>
  </si>
  <si>
    <t>Paula Caroline Morais Duarte - 20/02/2025 08:33:37</t>
  </si>
  <si>
    <t>Paula Caroline Morais Duarte - 20/02/2025 08:33:42</t>
  </si>
  <si>
    <t>Paula Caroline Morais Duarte - 20/02/2025 08:33:43</t>
  </si>
  <si>
    <t>Paula Caroline Morais Duarte - 20/02/2025 08:34:07</t>
  </si>
  <si>
    <t>Paula Caroline Morais Duarte - 20/02/2025 08:34:08</t>
  </si>
  <si>
    <t>Paula Caroline Morais Duarte - 20/02/2025 08:34:11</t>
  </si>
  <si>
    <t>Paula Caroline Morais Duarte - 20/02/2025 08:34:13</t>
  </si>
  <si>
    <t>Paula Caroline Morais Duarte - 20/02/2025 08:34:15</t>
  </si>
  <si>
    <t>Paula Caroline Morais Duarte - 20/02/2025 08:34:17</t>
  </si>
  <si>
    <t>Paula Caroline Morais Duarte - 04/02/2025 14:06:44</t>
  </si>
  <si>
    <t>Paula Caroline Morais Duarte - 04/02/2025 14:06:45</t>
  </si>
  <si>
    <t>Paula Caroline Morais Duarte - 04/02/2025 14:06:47</t>
  </si>
  <si>
    <t>Paula Caroline Morais Duarte - 04/02/2025 14:06:49</t>
  </si>
  <si>
    <t>Paula Caroline Morais Duarte - 04/02/2025 14:06:51</t>
  </si>
  <si>
    <t>Paula Caroline Morais Duarte - 04/02/2025 14:06:55</t>
  </si>
  <si>
    <t>Alisson Airton Sobrinho - 05/03/2025 10:41:25</t>
  </si>
  <si>
    <t>Alisson Airton Sobrinho - 05/03/2025 10:41:26</t>
  </si>
  <si>
    <t>Alisson Airton Sobrinho - 05/03/2025 10:41:27</t>
  </si>
  <si>
    <t>Alisson Airton Sobrinho - 05/03/2025 10:41:31</t>
  </si>
  <si>
    <t>Alisson Airton Sobrinho - 05/03/2025 10:41:32</t>
  </si>
  <si>
    <t>Alisson Airton Sobrinho - 05/03/2025 10:41:33</t>
  </si>
  <si>
    <t>Alisson Airton Sobrinho - 05/03/2025 10:41:34</t>
  </si>
  <si>
    <t>Alisson Airton Sobrinho - 05/03/2025 10:41:35</t>
  </si>
  <si>
    <t>Alisson Airton Sobrinho - 05/03/2025 10:41:38</t>
  </si>
  <si>
    <t>Alisson Airton Sobrinho - 07/03/2025 06:25:21</t>
  </si>
  <si>
    <t>Alisson Airton Sobrinho - 07/03/2025 06:25:22</t>
  </si>
  <si>
    <t>Base de Dados_Images/ET2101.Imagem do Equipamento-.114859.jpg</t>
  </si>
  <si>
    <t>Paula Caroline Morais Duarte - 20/02/2025 08:35:58</t>
  </si>
  <si>
    <t>ET2102</t>
  </si>
  <si>
    <t>Esteira Intermediaria Nº 02</t>
  </si>
  <si>
    <t>Alisson Airton Sobrinho - 17/02/2025 15:58:56</t>
  </si>
  <si>
    <t>Alisson Airton Sobrinho - 17/02/2025 15:58:57</t>
  </si>
  <si>
    <t>Alisson Airton Sobrinho - 17/02/2025 15:59:08</t>
  </si>
  <si>
    <t>Alisson Airton Sobrinho - 17/02/2025 15:59:01</t>
  </si>
  <si>
    <t>Alisson Airton Sobrinho - 17/02/2025 15:59:27</t>
  </si>
  <si>
    <t>Alisson Airton Sobrinho - 17/02/2025 15:59:29</t>
  </si>
  <si>
    <t>Alisson Airton Sobrinho - 17/02/2025 15:59:43</t>
  </si>
  <si>
    <t>Alisson Airton Sobrinho - 17/02/2025 15:59:48</t>
  </si>
  <si>
    <t>Alisson Airton Sobrinho - 17/02/2025 15:59:56</t>
  </si>
  <si>
    <t>Alisson Airton Sobrinho - 17/02/2025 16:00:03</t>
  </si>
  <si>
    <t>Alisson Airton Sobrinho - 17/02/2025 16:00:06</t>
  </si>
  <si>
    <t>Alisson Airton Sobrinho - 17/02/2025 16:00:07</t>
  </si>
  <si>
    <t>Alisson Airton Sobrinho - 17/02/2025 16:00:24</t>
  </si>
  <si>
    <t>Alisson Airton Sobrinho - 17/02/2025 16:00:28</t>
  </si>
  <si>
    <t>Alisson Airton Sobrinho - 17/02/2025 16:00:34</t>
  </si>
  <si>
    <t>Alisson Airton Sobrinho - 17/02/2025 16:00:44</t>
  </si>
  <si>
    <t>Alisson Airton Sobrinho - 17/02/2025 16:00:45</t>
  </si>
  <si>
    <t>Alisson Airton Sobrinho - 17/02/2025 16:00:48</t>
  </si>
  <si>
    <t>Alisson Airton Sobrinho - 17/02/2025 16:00:49</t>
  </si>
  <si>
    <t>Alisson Airton Sobrinho - 17/02/2025 16:00:50</t>
  </si>
  <si>
    <t>Alisson Airton Sobrinho - 07/03/2025 06:44:04</t>
  </si>
  <si>
    <t>Alisson Airton Sobrinho - 07/03/2025 06:44:06</t>
  </si>
  <si>
    <t>Alisson Airton Sobrinho - 07/03/2025 06:44:07</t>
  </si>
  <si>
    <t>Alisson Airton Sobrinho - 07/03/2025 06:44:11</t>
  </si>
  <si>
    <t>Alisson Airton Sobrinho - 07/03/2025 06:44:13</t>
  </si>
  <si>
    <t>Alisson Airton Sobrinho - 07/03/2025 06:44:14</t>
  </si>
  <si>
    <t>Alisson Airton Sobrinho - 07/03/2025 06:44:15</t>
  </si>
  <si>
    <t>Alisson Airton Sobrinho - 07/03/2025 06:44:18</t>
  </si>
  <si>
    <t>Alisson Airton Sobrinho - 07/03/2025 06:44:19</t>
  </si>
  <si>
    <t>Base de Dados_Images/ET2102.Imagem do Equipamento-.185942.jpg</t>
  </si>
  <si>
    <t>Alisson Airton Sobrinho - 17/02/2025 15:58:50</t>
  </si>
  <si>
    <t>ET2103</t>
  </si>
  <si>
    <t>Esteira Intermediaria Nº 03</t>
  </si>
  <si>
    <t>Alisson Airton Sobrinho - 03/03/2025 12:41:22</t>
  </si>
  <si>
    <t>Alisson Airton Sobrinho - 03/03/2025 12:41:23</t>
  </si>
  <si>
    <t>Alisson Airton Sobrinho - 03/03/2025 12:41:24</t>
  </si>
  <si>
    <t>Alisson Airton Sobrinho - 03/03/2025 12:41:25</t>
  </si>
  <si>
    <t>Alisson Airton Sobrinho - 03/03/2025 12:41:26</t>
  </si>
  <si>
    <t>Alisson Airton Sobrinho - 03/03/2025 12:41:27</t>
  </si>
  <si>
    <t>Alisson Airton Sobrinho - 03/03/2025 12:41:28</t>
  </si>
  <si>
    <t>Alisson Airton Sobrinho - 03/03/2025 12:41:29</t>
  </si>
  <si>
    <t>Alisson Airton Sobrinho - 03/03/2025 12:41:30</t>
  </si>
  <si>
    <t>Alisson Airton Sobrinho - 03/03/2025 12:41:31</t>
  </si>
  <si>
    <t>Alisson Airton Sobrinho - 03/03/2025 12:41:32</t>
  </si>
  <si>
    <t>Alisson Airton Sobrinho - 03/03/2025 12:41:33</t>
  </si>
  <si>
    <t>Alisson Airton Sobrinho - 03/03/2025 12:41:34</t>
  </si>
  <si>
    <t>Alisson Airton Sobrinho - 03/03/2025 12:41:36</t>
  </si>
  <si>
    <t>Alisson Airton Sobrinho - 03/03/2025 12:41:37</t>
  </si>
  <si>
    <t>Alisson Airton Sobrinho - 03/03/2025 12:41:38</t>
  </si>
  <si>
    <t>Alisson Airton Sobrinho - 03/03/2025 12:41:39</t>
  </si>
  <si>
    <t>Alisson Airton Sobrinho - 03/03/2025 12:41:40</t>
  </si>
  <si>
    <t>Alisson Airton Sobrinho - 07/03/2025 06:37:00</t>
  </si>
  <si>
    <t>Alisson Airton Sobrinho - 07/03/2025 06:37:05</t>
  </si>
  <si>
    <t>Alisson Airton Sobrinho - 07/03/2025 06:37:06</t>
  </si>
  <si>
    <t>Alisson Airton Sobrinho - 07/03/2025 06:37:07</t>
  </si>
  <si>
    <t>Alisson Airton Sobrinho - 07/03/2025 06:37:12</t>
  </si>
  <si>
    <t>Alisson Airton Sobrinho - 07/03/2025 06:37:14</t>
  </si>
  <si>
    <t>Alisson Airton Sobrinho - 07/03/2025 06:37:15</t>
  </si>
  <si>
    <t>Alisson Airton Sobrinho - 07/03/2025 06:37:17</t>
  </si>
  <si>
    <t>Alisson Airton Sobrinho - 07/03/2025 06:37:18</t>
  </si>
  <si>
    <t>Alisson Airton Sobrinho - 07/03/2025 06:37:21</t>
  </si>
  <si>
    <t>Base de Dados_Images/ET2103.Imagem do Equipamento-.115013.jpg</t>
  </si>
  <si>
    <t>Paula Caroline Morais Duarte - 20/02/2025 08:38:44</t>
  </si>
  <si>
    <t>ET2104</t>
  </si>
  <si>
    <t>Esteira Intermediaria Nº 04</t>
  </si>
  <si>
    <t>Alisson Airton Sobrinho - 17/02/2025 16:02:26</t>
  </si>
  <si>
    <t>Alisson Airton Sobrinho - 17/02/2025 16:02:28</t>
  </si>
  <si>
    <t>Alisson Airton Sobrinho - 17/02/2025 16:02:29</t>
  </si>
  <si>
    <t>Alisson Airton Sobrinho - 17/02/2025 16:02:30</t>
  </si>
  <si>
    <t>Alisson Airton Sobrinho - 17/02/2025 16:02:32</t>
  </si>
  <si>
    <t>Alisson Airton Sobrinho - 17/02/2025 16:02:33</t>
  </si>
  <si>
    <t>Alisson Airton Sobrinho - 17/02/2025 16:02:35</t>
  </si>
  <si>
    <t>Alisson Airton Sobrinho - 17/02/2025 16:02:36</t>
  </si>
  <si>
    <t>Alisson Airton Sobrinho - 17/02/2025 16:02:37</t>
  </si>
  <si>
    <t>Alisson Airton Sobrinho - 17/02/2025 16:02:39</t>
  </si>
  <si>
    <t>Alisson Airton Sobrinho - 17/02/2025 16:02:40</t>
  </si>
  <si>
    <t>Alisson Airton Sobrinho - 17/02/2025 16:02:41</t>
  </si>
  <si>
    <t>Alisson Airton Sobrinho - 17/02/2025 16:02:43</t>
  </si>
  <si>
    <t>Alisson Airton Sobrinho - 17/02/2025 16:02:44</t>
  </si>
  <si>
    <t>Alisson Airton Sobrinho - 17/02/2025 16:02:45</t>
  </si>
  <si>
    <t>Alisson Airton Sobrinho - 17/02/2025 16:02:46</t>
  </si>
  <si>
    <t>Alisson Airton Sobrinho - 17/02/2025 16:02:48</t>
  </si>
  <si>
    <t>Alisson Airton Sobrinho - 17/02/2025 16:02:49</t>
  </si>
  <si>
    <t>Alisson Airton Sobrinho - 17/02/2025 16:02:50</t>
  </si>
  <si>
    <t>Alisson Airton Sobrinho - 17/02/2025 16:02:52</t>
  </si>
  <si>
    <t>Alisson Airton Sobrinho - 07/03/2025 06:37:31</t>
  </si>
  <si>
    <t>Alisson Airton Sobrinho - 07/03/2025 06:37:32</t>
  </si>
  <si>
    <t>Alisson Airton Sobrinho - 07/03/2025 06:37:33</t>
  </si>
  <si>
    <t>Alisson Airton Sobrinho - 07/03/2025 06:37:37</t>
  </si>
  <si>
    <t>Alisson Airton Sobrinho - 07/03/2025 06:37:38</t>
  </si>
  <si>
    <t>Alisson Airton Sobrinho - 07/03/2025 06:37:39</t>
  </si>
  <si>
    <t>Alisson Airton Sobrinho - 07/03/2025 06:37:40</t>
  </si>
  <si>
    <t>Alisson Airton Sobrinho - 07/03/2025 06:37:41</t>
  </si>
  <si>
    <t>Alisson Airton Sobrinho - 07/03/2025 06:37:42</t>
  </si>
  <si>
    <t>Alisson Airton Sobrinho - 07/03/2025 06:37:46</t>
  </si>
  <si>
    <t>Base de Dados_Images/ET2104.Imagem do Equipamento-.190939.jpg</t>
  </si>
  <si>
    <t>Alisson Airton Sobrinho - 17/02/2025 16:02:19</t>
  </si>
  <si>
    <t>ET2105</t>
  </si>
  <si>
    <t>Esteira Intermediaria Nº 05</t>
  </si>
  <si>
    <t>Paula Caroline Morais Duarte - 20/02/2025 08:39:07</t>
  </si>
  <si>
    <t>Paula Caroline Morais Duarte - 20/02/2025 08:39:13</t>
  </si>
  <si>
    <t>Paula Caroline Morais Duarte - 20/02/2025 08:39:14</t>
  </si>
  <si>
    <t>Paula Caroline Morais Duarte - 20/02/2025 08:39:16</t>
  </si>
  <si>
    <t>Paula Caroline Morais Duarte - 20/02/2025 08:39:22</t>
  </si>
  <si>
    <t>Paula Caroline Morais Duarte - 20/02/2025 08:39:23</t>
  </si>
  <si>
    <t>Paula Caroline Morais Duarte - 20/02/2025 08:39:28</t>
  </si>
  <si>
    <t>Paula Caroline Morais Duarte - 20/02/2025 08:39:36</t>
  </si>
  <si>
    <t>Paula Caroline Morais Duarte - 20/02/2025 08:39:38</t>
  </si>
  <si>
    <t>Paula Caroline Morais Duarte - 20/02/2025 08:39:40</t>
  </si>
  <si>
    <t>Paula Caroline Morais Duarte - 20/02/2025 08:39:51</t>
  </si>
  <si>
    <t>Paula Caroline Morais Duarte - 20/02/2025 08:39:56</t>
  </si>
  <si>
    <t>Paula Caroline Morais Duarte - 20/02/2025 08:39:57</t>
  </si>
  <si>
    <t>Paula Caroline Morais Duarte - 20/02/2025 08:40:01</t>
  </si>
  <si>
    <t>Paula Caroline Morais Duarte - 20/02/2025 08:40:05</t>
  </si>
  <si>
    <t>Paula Caroline Morais Duarte - 20/02/2025 08:40:09</t>
  </si>
  <si>
    <t>Paula Caroline Morais Duarte - 20/02/2025 08:40:15</t>
  </si>
  <si>
    <t>Paula Caroline Morais Duarte - 20/02/2025 08:40:17</t>
  </si>
  <si>
    <t>Paula Caroline Morais Duarte - 20/02/2025 08:40:18</t>
  </si>
  <si>
    <t>Paula Caroline Morais Duarte - 20/02/2025 08:40:22</t>
  </si>
  <si>
    <t>Alisson Airton Sobrinho - 07/03/2025 06:38:33</t>
  </si>
  <si>
    <t>Alisson Airton Sobrinho - 07/03/2025 06:38:34</t>
  </si>
  <si>
    <t>Alisson Airton Sobrinho - 07/03/2025 06:38:37</t>
  </si>
  <si>
    <t>Alisson Airton Sobrinho - 07/03/2025 06:38:36</t>
  </si>
  <si>
    <t>Alisson Airton Sobrinho - 07/03/2025 06:38:40</t>
  </si>
  <si>
    <t>Alisson Airton Sobrinho - 07/03/2025 06:38:41</t>
  </si>
  <si>
    <t>Alisson Airton Sobrinho - 07/03/2025 06:38:43</t>
  </si>
  <si>
    <t>Alisson Airton Sobrinho - 07/03/2025 06:38:44</t>
  </si>
  <si>
    <t>Alisson Airton Sobrinho - 07/03/2025 06:38:45</t>
  </si>
  <si>
    <t>Alisson Airton Sobrinho - 07/03/2025 06:38:48</t>
  </si>
  <si>
    <t>Paula Caroline Morais Duarte - 02/18/2025 11:16:06</t>
  </si>
  <si>
    <t>ET8101</t>
  </si>
  <si>
    <t>Esteira Distribuidora De Bagaco</t>
  </si>
  <si>
    <t>Paula Caroline Morais Duarte - 21/02/2025 08:24:56</t>
  </si>
  <si>
    <t>Paula Caroline Morais Duarte - 18/02/2025 10:20:29</t>
  </si>
  <si>
    <t>Paula Caroline Morais Duarte - 18/02/2025 10:24:25</t>
  </si>
  <si>
    <t>Paula Caroline Morais Duarte - 21/02/2025 08:24:59</t>
  </si>
  <si>
    <t>Paula Caroline Morais Duarte - 18/02/2025 10:20:43</t>
  </si>
  <si>
    <t>Paula Caroline Morais Duarte - 18/02/2025 10:21:26</t>
  </si>
  <si>
    <t>Paula Caroline Morais Duarte - 21/02/2025 08:25:01</t>
  </si>
  <si>
    <t>Paula Caroline Morais Duarte - 21/02/2025 08:25:02</t>
  </si>
  <si>
    <t>Paula Caroline Morais Duarte - 21/02/2025 08:25:04</t>
  </si>
  <si>
    <t>Paula Caroline Morais Duarte - 21/02/2025 08:25:05</t>
  </si>
  <si>
    <t>Paula Caroline Morais Duarte - 21/02/2025 08:25:06</t>
  </si>
  <si>
    <t>Paula Caroline Morais Duarte - 21/02/2025 08:25:08</t>
  </si>
  <si>
    <t>Paula Caroline Morais Duarte - 21/02/2025 08:25:09</t>
  </si>
  <si>
    <t>Paula Caroline Morais Duarte - 18/02/2025 10:22:17</t>
  </si>
  <si>
    <t>Paula Caroline Morais Duarte - 18/02/2025 10:22:20</t>
  </si>
  <si>
    <t>Paula Caroline Morais Duarte - 21/02/2025 08:25:12</t>
  </si>
  <si>
    <t>Paula Caroline Morais Duarte - 18/02/2025 10:22:23</t>
  </si>
  <si>
    <t>Paula Caroline Morais Duarte - 18/02/2025 10:22:25</t>
  </si>
  <si>
    <t>Paula Caroline Morais Duarte - 21/02/2025 08:25:14</t>
  </si>
  <si>
    <t>Paula Caroline Morais Duarte - 18/02/2025 10:22:31</t>
  </si>
  <si>
    <t>Paula Caroline Morais Duarte - 21/02/2025 09:01:43</t>
  </si>
  <si>
    <t>Paula Caroline Morais Duarte - 21/02/2025 09:01:44</t>
  </si>
  <si>
    <t>Paula Caroline Morais Duarte - 21/02/2025 09:01:46</t>
  </si>
  <si>
    <t>Paula Caroline Morais Duarte - 21/02/2025 09:01:47</t>
  </si>
  <si>
    <t>Paula Caroline Morais Duarte - 21/02/2025 09:01:51</t>
  </si>
  <si>
    <t>Paula Caroline Morais Duarte - 21/02/2025 09:01:52</t>
  </si>
  <si>
    <t>Paula Caroline Morais Duarte - 21/02/2025 09:01:53</t>
  </si>
  <si>
    <t>Paula Caroline Morais Duarte - 21/02/2025 09:01:55</t>
  </si>
  <si>
    <t>Paula Caroline Morais Duarte - 21/02/2025 09:01:57</t>
  </si>
  <si>
    <t>Paula Caroline Morais Duarte - 21/02/2025 09:01:58</t>
  </si>
  <si>
    <t>Paula Caroline Morais Duarte - 25/02/2025 09:06:39</t>
  </si>
  <si>
    <t>Paula Caroline Morais Duarte - 25/02/2025 09:06:40</t>
  </si>
  <si>
    <t>Base de Dados_Images/ET8101.Imagem do Equipamento-.135737.jpg</t>
  </si>
  <si>
    <t>Paula Caroline Morais Duarte - 18/02/2025 10:23:06</t>
  </si>
  <si>
    <t>Exaustor</t>
  </si>
  <si>
    <t>EX4001</t>
  </si>
  <si>
    <t>Sistema De Exaustao Do Insuflamento</t>
  </si>
  <si>
    <t>Beatriz Alves Nunes de Paulo - 28/01/2025 09:02:22</t>
  </si>
  <si>
    <t>Beatriz Alves Nunes de Paulo - 28/01/2025 09:02:24</t>
  </si>
  <si>
    <t>Beatriz Alves Nunes de Paulo - 28/01/2025 09:02:29</t>
  </si>
  <si>
    <t>Beatriz Alves Nunes de Paulo - 28/01/2025 09:02:31</t>
  </si>
  <si>
    <t>Beatriz Alves Nunes de Paulo - 28/01/2025 09:02:33</t>
  </si>
  <si>
    <t>Beatriz Alves Nunes de Paulo - 28/01/2025 09:02:41</t>
  </si>
  <si>
    <t>Beatriz Alves Nunes de Paulo - 28/01/2025 09:02:44</t>
  </si>
  <si>
    <t>Beatriz Alves Nunes de Paulo - 28/01/2025 09:02:47</t>
  </si>
  <si>
    <t>Beatriz Alves Nunes de Paulo - 03/02/2025 15:12:15</t>
  </si>
  <si>
    <t>Beatriz Alves Nunes de Paulo - 03/02/2025 15:12:16</t>
  </si>
  <si>
    <t>Beatriz Alves Nunes de Paulo - 03/02/2025 15:12:18</t>
  </si>
  <si>
    <t>Beatriz Alves Nunes de Paulo - 03/02/2025 15:12:19</t>
  </si>
  <si>
    <t>Beatriz Alves Nunes de Paulo - 03/02/2025 15:12:34</t>
  </si>
  <si>
    <t>Beatriz Alves Nunes de Paulo - 03/02/2025 15:12:35</t>
  </si>
  <si>
    <t>Beatriz Alves Nunes de Paulo - 03/02/2025 15:12:37</t>
  </si>
  <si>
    <t>Alisson Airton Sobrinho - 07/03/2025 08:37:30</t>
  </si>
  <si>
    <t>Alisson Airton Sobrinho - 07/03/2025 08:37:32</t>
  </si>
  <si>
    <t>Base de Dados_Images/EX4001.Imagem do Equipamento-.153440.jpg</t>
  </si>
  <si>
    <t>Beatriz Alves Nunes de Paulo - 28/01/2025 09:02:14</t>
  </si>
  <si>
    <t>EX5001</t>
  </si>
  <si>
    <t>Sistema De Exaustao Do Armazem De Acuc</t>
  </si>
  <si>
    <t>Beatriz Alves Nunes de Paulo - 03/02/2025 10:56:31</t>
  </si>
  <si>
    <t>Beatriz Alves Nunes de Paulo - 03/02/2025 10:56:33</t>
  </si>
  <si>
    <t>Beatriz Alves Nunes de Paulo - 03/02/2025 10:56:34</t>
  </si>
  <si>
    <t>Beatriz Alves Nunes de Paulo - 03/02/2025 10:56:35</t>
  </si>
  <si>
    <t>Beatriz Alves Nunes de Paulo - 03/02/2025 10:56:36</t>
  </si>
  <si>
    <t>Beatriz Alves Nunes de Paulo - 03/02/2025 10:56:37</t>
  </si>
  <si>
    <t>Beatriz Alves Nunes de Paulo - 03/02/2025 10:56:38</t>
  </si>
  <si>
    <t>Beatriz Alves Nunes de Paulo - 03/02/2025 10:56:40</t>
  </si>
  <si>
    <t>Beatriz Alves Nunes de Paulo - 04/02/2025 13:51:13</t>
  </si>
  <si>
    <t>Beatriz Alves Nunes de Paulo - 04/02/2025 13:51:14</t>
  </si>
  <si>
    <t>Beatriz Alves Nunes de Paulo - 04/02/2025 13:51:19</t>
  </si>
  <si>
    <t>Beatriz Alves Nunes de Paulo - 04/02/2025 13:51:21</t>
  </si>
  <si>
    <t>Beatriz Alves Nunes de Paulo - 27/02/2025 13:06:39</t>
  </si>
  <si>
    <t>Beatriz Alves Nunes de Paulo - 27/02/2025 13:06:40</t>
  </si>
  <si>
    <t>Beatriz Alves Nunes de Paulo - 27/02/2025 13:06:41</t>
  </si>
  <si>
    <t>Alisson Airton Sobrinho - 07/03/2025 08:36:22</t>
  </si>
  <si>
    <t>Alisson Airton Sobrinho - 07/03/2025 08:36:23</t>
  </si>
  <si>
    <t>Base de Dados_Images/EX5001.Imagem do Equipamento-.144017.jpg</t>
  </si>
  <si>
    <t>Beatriz Alves Nunes de Paulo - 03/02/2025 10:56:25</t>
  </si>
  <si>
    <t>EX8101</t>
  </si>
  <si>
    <t>Exaustor Nº 01</t>
  </si>
  <si>
    <t>Paula Caroline Morais Duarte - 17/02/2025 09:46:26</t>
  </si>
  <si>
    <t>Paula Caroline Morais Duarte - 17/02/2025 09:46:28</t>
  </si>
  <si>
    <t>Paula Caroline Morais Duarte - 17/02/2025 09:46:29</t>
  </si>
  <si>
    <t>Paula Caroline Morais Duarte - 17/02/2025 09:46:30</t>
  </si>
  <si>
    <t>Paula Caroline Morais Duarte - 17/02/2025 09:46:32</t>
  </si>
  <si>
    <t>Paula Caroline Morais Duarte - 17/02/2025 09:46:33</t>
  </si>
  <si>
    <t>Paula Caroline Morais Duarte - 17/02/2025 09:46:34</t>
  </si>
  <si>
    <t>Paula Caroline Morais Duarte - 17/02/2025 09:46:35</t>
  </si>
  <si>
    <t>Paula Caroline Morais Duarte - 20/02/2025 07:53:59</t>
  </si>
  <si>
    <t>Paula Caroline Morais Duarte - 20/02/2025 07:54:00</t>
  </si>
  <si>
    <t>Paula Caroline Morais Duarte - 20/02/2025 07:54:01</t>
  </si>
  <si>
    <t>Paula Caroline Morais Duarte - 20/02/2025 07:54:03</t>
  </si>
  <si>
    <t>Paula Caroline Morais Duarte - 20/02/2025 07:54:08</t>
  </si>
  <si>
    <t>Paula Caroline Morais Duarte - 20/02/2025 07:54:09</t>
  </si>
  <si>
    <t>Paula Caroline Morais Duarte - 20/02/2025 07:54:10</t>
  </si>
  <si>
    <t>Paula Caroline Morais Duarte - 20/02/2025 07:54:11</t>
  </si>
  <si>
    <t>Paula Caroline Morais Duarte - 20/02/2025 07:55:25</t>
  </si>
  <si>
    <t>Paula Caroline Morais Duarte - 20/02/2025 07:55:26</t>
  </si>
  <si>
    <t>Paula Caroline Morais Duarte - 20/02/2025 07:55:31</t>
  </si>
  <si>
    <t>Base de Dados_Images/EX8101.Imagem do Equipamento-.135523.jpg</t>
  </si>
  <si>
    <t>Paula Caroline Morais Duarte - 18/02/2025 10:01:48</t>
  </si>
  <si>
    <t>EX8102</t>
  </si>
  <si>
    <t>Exaustor 2 -</t>
  </si>
  <si>
    <t>Weslley Ferreira Cooper - 01/02/2025 09:28:30</t>
  </si>
  <si>
    <t>Matheus César Azevedo Neto - 03/02/2025 08:08:03</t>
  </si>
  <si>
    <t>Matheus César Azevedo Neto - 03/02/2025 08:08:00</t>
  </si>
  <si>
    <t>Weslley Ferreira Cooper - 01/02/2025 09:28:22</t>
  </si>
  <si>
    <t>Weslley Ferreira Cooper - 01/02/2025 09:28:21</t>
  </si>
  <si>
    <t>Weslley Ferreira Cooper - 01/02/2025 09:28:54</t>
  </si>
  <si>
    <t>Alisson Airton Sobrinho - 20/02/2025 10:12:45</t>
  </si>
  <si>
    <t>Weslley Ferreira Cooper - 01/02/2025 09:28:18</t>
  </si>
  <si>
    <t>Weslley Ferreira Cooper - 01/02/2025 09:28:15</t>
  </si>
  <si>
    <t>Weslley Ferreira Cooper - 01/02/2025 09:28:14</t>
  </si>
  <si>
    <t>Weslley Ferreira Cooper - 01/02/2025 09:28:16</t>
  </si>
  <si>
    <t>Weslley Ferreira Cooper - 01/02/2025 09:28:08</t>
  </si>
  <si>
    <t>Weslley Ferreira Cooper - 01/02/2025 09:28:07</t>
  </si>
  <si>
    <t>Weslley Ferreira Cooper - 01/02/2025 09:28:06</t>
  </si>
  <si>
    <t>Paula Caroline Morais Duarte - 21/02/2025 08:25:40</t>
  </si>
  <si>
    <t>Paula Caroline Morais Duarte - 21/02/2025 08:25:41</t>
  </si>
  <si>
    <t>Paula Caroline Morais Duarte - 21/02/2025 08:25:42</t>
  </si>
  <si>
    <t>Paula Caroline Morais Duarte - 21/02/2025 08:25:44</t>
  </si>
  <si>
    <t>Paula Caroline Morais Duarte - 21/02/2025 08:25:47</t>
  </si>
  <si>
    <t>Paula Caroline Morais Duarte - 21/02/2025 08:25:48</t>
  </si>
  <si>
    <t>Paula Caroline Morais Duarte - 21/02/2025 08:25:58</t>
  </si>
  <si>
    <t>Paula Caroline Morais Duarte - 21/02/2025 08:25:59</t>
  </si>
  <si>
    <t>Paula Caroline Morais Duarte - 21/02/2025 08:26:05</t>
  </si>
  <si>
    <t>Paula Caroline Morais Duarte - 21/02/2025 08:26:02</t>
  </si>
  <si>
    <t>Paula Caroline Morais Duarte - 25/02/2025 09:09:02</t>
  </si>
  <si>
    <t>Paula Caroline Morais Duarte - 25/02/2025 09:09:03</t>
  </si>
  <si>
    <t>Paula Caroline Morais Duarte - 25/02/2025 09:09:04</t>
  </si>
  <si>
    <t>Paula Caroline Morais Duarte - 25/02/2025 09:09:07</t>
  </si>
  <si>
    <t>Base de Dados_Images/EX8102.Imagem do Equipamento-.130957.jpg</t>
  </si>
  <si>
    <t>Weslley Ferreira Cooper - 01/02/2025 09:28:01</t>
  </si>
  <si>
    <t>FCV20099</t>
  </si>
  <si>
    <t>Válvula Vazão Água Embebição</t>
  </si>
  <si>
    <t>Paula Caroline Morais Duarte - 13/02/2025 14:20:04</t>
  </si>
  <si>
    <t>Paula Caroline Morais Duarte - 13/02/2025 14:20:06</t>
  </si>
  <si>
    <t>Paula Caroline Morais Duarte - 13/02/2025 14:20:07</t>
  </si>
  <si>
    <t>Paula Caroline Morais Duarte - 13/02/2025 14:20:09</t>
  </si>
  <si>
    <t>Paula Caroline Morais Duarte - 13/02/2025 14:20:11</t>
  </si>
  <si>
    <t>Paula Caroline Morais Duarte - 13/02/2025 14:20:14</t>
  </si>
  <si>
    <t>Paula Caroline Morais Duarte - 13/02/2025 14:20:15</t>
  </si>
  <si>
    <t>Paula Caroline Morais Duarte - 13/02/2025 14:20:16</t>
  </si>
  <si>
    <t>Rafael Roldão Rodrigues - 03/03/2025 11:44:10</t>
  </si>
  <si>
    <t>Rafael Roldão Rodrigues - 03/03/2025 11:44:11</t>
  </si>
  <si>
    <t>Rafael Roldão Rodrigues - 03/03/2025 11:44:15</t>
  </si>
  <si>
    <t>Alisson Airton Sobrinho - 07/03/2025 06:49:05</t>
  </si>
  <si>
    <t>Base de Dados_Images/FCV20099.Imagem do Equipamento-.192802.jpg</t>
  </si>
  <si>
    <t>Paula Caroline Morais Duarte - 13/02/2025 14:19:51</t>
  </si>
  <si>
    <t>Tanque Magma Diluido</t>
  </si>
  <si>
    <t>FCV40026</t>
  </si>
  <si>
    <t>Válvula Controle De Vazao De Magma</t>
  </si>
  <si>
    <t>Beatriz Alves Nunes de Paulo - 30/01/2025 11:45:45</t>
  </si>
  <si>
    <t>Beatriz Alves Nunes de Paulo - 30/01/2025 11:45:49</t>
  </si>
  <si>
    <t>Beatriz Alves Nunes de Paulo - 30/01/2025 11:45:52</t>
  </si>
  <si>
    <t>Beatriz Alves Nunes de Paulo - 30/01/2025 11:45:58</t>
  </si>
  <si>
    <t>Beatriz Alves Nunes de Paulo - 30/01/2025 11:46:15</t>
  </si>
  <si>
    <t>Beatriz Alves Nunes de Paulo - 30/01/2025 11:46:16</t>
  </si>
  <si>
    <t>Beatriz Alves Nunes de Paulo - 30/01/2025 11:46:19</t>
  </si>
  <si>
    <t>Rafael Roldão Rodrigues - 04/03/2025 14:31:31</t>
  </si>
  <si>
    <t>Rafael Roldão Rodrigues - 04/03/2025 14:31:32</t>
  </si>
  <si>
    <t>Rafael Roldão Rodrigues - 04/03/2025 14:31:35</t>
  </si>
  <si>
    <t>Alisson Airton Sobrinho - 07/03/2025 08:24:26</t>
  </si>
  <si>
    <t>Base de Dados_Images/FCV40026.Imagem do Equipamento-.150741.jpg</t>
  </si>
  <si>
    <t>Beatriz Alves Nunes de Paulo - 30/01/2025 11:45:40</t>
  </si>
  <si>
    <t>FCV40027</t>
  </si>
  <si>
    <t>Válvula Vazão Dondensado Diluidor Magma</t>
  </si>
  <si>
    <t>Beatriz Alves Nunes de Paulo - 30/01/2025 11:47:31</t>
  </si>
  <si>
    <t>Beatriz Alves Nunes de Paulo - 30/01/2025 11:47:33</t>
  </si>
  <si>
    <t>Beatriz Alves Nunes de Paulo - 30/01/2025 11:47:34</t>
  </si>
  <si>
    <t>Beatriz Alves Nunes de Paulo - 30/01/2025 11:47:36</t>
  </si>
  <si>
    <t>Beatriz Alves Nunes de Paulo - 30/01/2025 11:47:37</t>
  </si>
  <si>
    <t>Beatriz Alves Nunes de Paulo - 30/01/2025 11:47:39</t>
  </si>
  <si>
    <t>Beatriz Alves Nunes de Paulo - 30/01/2025 11:47:40</t>
  </si>
  <si>
    <t>Beatriz Alves Nunes de Paulo - 30/01/2025 11:47:42</t>
  </si>
  <si>
    <t>Rafael Roldão Rodrigues - 04/03/2025 14:31:41</t>
  </si>
  <si>
    <t>Rafael Roldão Rodrigues - 04/03/2025 14:31:45</t>
  </si>
  <si>
    <t>Rafael Roldão Rodrigues - 04/03/2025 14:31:48</t>
  </si>
  <si>
    <t>Alisson Airton Sobrinho - 07/03/2025 08:24:32</t>
  </si>
  <si>
    <t>Base de Dados_Images/FCV40027.Imagem do Equipamento-.150822.jpg</t>
  </si>
  <si>
    <t>Beatriz Alves Nunes de Paulo - 30/01/2025 11:47:25</t>
  </si>
  <si>
    <t>FCV40029</t>
  </si>
  <si>
    <t>Válvula Vazão Dondensado Diluidor Mel Pobre</t>
  </si>
  <si>
    <t>Beatriz Alves Nunes de Paulo - 30/01/2025 11:58:25</t>
  </si>
  <si>
    <t>Beatriz Alves Nunes de Paulo - 30/01/2025 11:58:27</t>
  </si>
  <si>
    <t>Beatriz Alves Nunes de Paulo - 30/01/2025 11:58:28</t>
  </si>
  <si>
    <t>Beatriz Alves Nunes de Paulo - 30/01/2025 11:58:30</t>
  </si>
  <si>
    <t>Beatriz Alves Nunes de Paulo - 30/01/2025 11:58:31</t>
  </si>
  <si>
    <t>Beatriz Alves Nunes de Paulo - 30/01/2025 11:58:32</t>
  </si>
  <si>
    <t>Beatriz Alves Nunes de Paulo - 30/01/2025 11:58:34</t>
  </si>
  <si>
    <t>Alisson Airton Sobrinho - 07/03/2025 08:26:10</t>
  </si>
  <si>
    <t>Alisson Airton Sobrinho - 07/03/2025 08:26:08</t>
  </si>
  <si>
    <t>Alisson Airton Sobrinho - 07/03/2025 08:26:14</t>
  </si>
  <si>
    <t>Alisson Airton Sobrinho - 07/03/2025 08:26:17</t>
  </si>
  <si>
    <t>Base de Dados_Images/FCV40029.Imagem do Equipamento-.150906.jpg</t>
  </si>
  <si>
    <t>Beatriz Alves Nunes de Paulo - 30/01/2025 11:58:20</t>
  </si>
  <si>
    <t>FCV70001</t>
  </si>
  <si>
    <t>Válvula Alimentação Vinho Coluna A</t>
  </si>
  <si>
    <t>Libner Ferreira De Morais - 06/02/2025 09:10:43</t>
  </si>
  <si>
    <t>Libner Ferreira De Morais - 06/02/2025 09:10:45</t>
  </si>
  <si>
    <t>Libner Ferreira De Morais - 06/02/2025 09:10:44</t>
  </si>
  <si>
    <t>Libner Ferreira De Morais - 06/02/2025 09:10:47</t>
  </si>
  <si>
    <t>Libner Ferreira De Morais - 06/02/2025 09:10:49</t>
  </si>
  <si>
    <t>Libner Ferreira De Morais - 06/02/2025 09:10:50</t>
  </si>
  <si>
    <t>Libner Ferreira De Morais - 06/02/2025 09:10:52</t>
  </si>
  <si>
    <t>Alisson Airton Sobrinho - 08/02/2025 13:47:43</t>
  </si>
  <si>
    <t>Alisson Airton Sobrinho - 08/02/2025 13:47:44</t>
  </si>
  <si>
    <t>Rafael Roldão Rodrigues - 04/03/2025 14:36:16</t>
  </si>
  <si>
    <t>Alisson Airton Sobrinho - 06/03/2025 14:41:33</t>
  </si>
  <si>
    <t>Base de Dados_Images/FCV70001.Imagem do Equipamento-.121024.jpg</t>
  </si>
  <si>
    <t>Libner Ferreira De Morais - 06/02/2025 09:10:18</t>
  </si>
  <si>
    <t>FCV81001</t>
  </si>
  <si>
    <t>Válvula Vazão Água Alimentação Caldeira (Pos005-07)</t>
  </si>
  <si>
    <t>Paula Caroline Morais Duarte - 13/02/2025 14:12:53</t>
  </si>
  <si>
    <t>Paula Caroline Morais Duarte - 13/02/2025 14:12:55</t>
  </si>
  <si>
    <t>Paula Caroline Morais Duarte - 13/02/2025 14:12:56</t>
  </si>
  <si>
    <t>Paula Caroline Morais Duarte - 13/02/2025 14:13:02</t>
  </si>
  <si>
    <t>Paula Caroline Morais Duarte - 13/02/2025 14:13:06</t>
  </si>
  <si>
    <t>Paula Caroline Morais Duarte - 13/02/2025 14:13:07</t>
  </si>
  <si>
    <t>Paula Caroline Morais Duarte - 13/02/2025 14:13:09</t>
  </si>
  <si>
    <t>Paula Caroline Morais Duarte - 13/02/2025 14:13:10</t>
  </si>
  <si>
    <t>Paula Caroline Morais Duarte - 17/02/2025 08:30:09</t>
  </si>
  <si>
    <t>Paula Caroline Morais Duarte - 17/02/2025 08:30:10</t>
  </si>
  <si>
    <t>Paula Caroline Morais Duarte - 17/02/2025 08:30:14</t>
  </si>
  <si>
    <t>Paula Caroline Morais Duarte - 17/02/2025 08:30:21</t>
  </si>
  <si>
    <t>Weslley Ferreira Cooper - 02/01/2025 09:09:11</t>
  </si>
  <si>
    <t>FCV81020</t>
  </si>
  <si>
    <t>Válvula Recirc Água Alimentação Desaerador (Pos006-07)</t>
  </si>
  <si>
    <t>Weslley Ferreira Cooper - 05/02/2025 16:29:32</t>
  </si>
  <si>
    <t>Weslley Ferreira Cooper - 05/02/2025 16:29:30</t>
  </si>
  <si>
    <t>Weslley Ferreira Cooper - 05/02/2025 16:29:29</t>
  </si>
  <si>
    <t>Weslley Ferreira Cooper - 05/02/2025 16:29:27</t>
  </si>
  <si>
    <t>Weslley Ferreira Cooper - 05/02/2025 16:29:26</t>
  </si>
  <si>
    <t>Weslley Ferreira Cooper - 05/02/2025 16:29:25</t>
  </si>
  <si>
    <t>Paula Caroline Morais Duarte - 17/02/2025 09:08:37</t>
  </si>
  <si>
    <t>Paula Caroline Morais Duarte - 17/02/2025 09:08:38</t>
  </si>
  <si>
    <t>Paula Caroline Morais Duarte - 17/02/2025 09:08:43</t>
  </si>
  <si>
    <t>Paula Caroline Morais Duarte - 17/02/2025 09:08:50</t>
  </si>
  <si>
    <t>Base de Dados_Images/FCV81020.Imagem do Equipamento-.142611.jpg</t>
  </si>
  <si>
    <t>Paula Caroline Morais Duarte - 12/02/2025 10:37:40</t>
  </si>
  <si>
    <t>FIC40027</t>
  </si>
  <si>
    <t>Controle De Vazão De Condesado Diluição De Magma</t>
  </si>
  <si>
    <t>Alisson Airton Sobrinho - 07/03/2025 08:23:55</t>
  </si>
  <si>
    <t>Alisson Airton Sobrinho - 07/03/2025 08:23:58</t>
  </si>
  <si>
    <t>Alisson Airton Sobrinho - 07/03/2025 08:23:59</t>
  </si>
  <si>
    <t>Beatriz Alves Nunes de Paulo - 02/06/2025 14:07:05</t>
  </si>
  <si>
    <t>FIC40029</t>
  </si>
  <si>
    <t>Controle De Vazão De Condesado Diluição De Mel Pobre</t>
  </si>
  <si>
    <t>Alisson Airton Sobrinho - 07/03/2025 08:25:11</t>
  </si>
  <si>
    <t>Alisson Airton Sobrinho - 07/03/2025 08:25:09</t>
  </si>
  <si>
    <t>Alisson Airton Sobrinho - 07/03/2025 08:25:14</t>
  </si>
  <si>
    <t>Alisson Airton Sobrinho - 07/03/2025 08:25:15</t>
  </si>
  <si>
    <t>Alisson Airton Sobrinho - 03/07/2025 08:25:05</t>
  </si>
  <si>
    <t>FIC65017</t>
  </si>
  <si>
    <t>Controle De Vazão Da Dorna 01</t>
  </si>
  <si>
    <t>Paula Caroline Morais Duarte - 25/02/2025 08:50:42</t>
  </si>
  <si>
    <t>Paula Caroline Morais Duarte - 25/02/2025 08:50:45</t>
  </si>
  <si>
    <t>Alisson Airton Sobrinho - 04/03/2025 07:55:38</t>
  </si>
  <si>
    <t>Alisson Airton Sobrinho - 04/03/2025 07:55:39</t>
  </si>
  <si>
    <t>Base de Dados_Images/FIC65017.Imagem do Equipamento-.162953.jpg</t>
  </si>
  <si>
    <t>Libner Ferreira De Morais - 06/02/2025 13:29:48</t>
  </si>
  <si>
    <t>FIC65017A</t>
  </si>
  <si>
    <t>Válvula 1 Caldo P/ Dorna 1</t>
  </si>
  <si>
    <t>Paula Caroline Morais Duarte - 25/02/2025 08:53:46</t>
  </si>
  <si>
    <t>Paula Caroline Morais Duarte - 25/02/2025 08:53:47</t>
  </si>
  <si>
    <t>Alisson Airton Sobrinho - 04/03/2025 07:55:45</t>
  </si>
  <si>
    <t>Base de Dados_Images/FIC65017A.Imagem do Equipamento-.163355.jpg</t>
  </si>
  <si>
    <t>Libner Ferreira De Morais - 06/02/2025 13:33:50</t>
  </si>
  <si>
    <t>FIC65017B</t>
  </si>
  <si>
    <t>Válvula 2 Caldo P/ Dorna 1</t>
  </si>
  <si>
    <t>Alisson Airton Sobrinho - 25/02/2025 09:58:49</t>
  </si>
  <si>
    <t>Alisson Airton Sobrinho - 25/02/2025 09:58:50</t>
  </si>
  <si>
    <t>Alisson Airton Sobrinho - 04/03/2025 07:55:51</t>
  </si>
  <si>
    <t>Aguardando válvulas chegar para instalar no local</t>
  </si>
  <si>
    <t>Base de Dados_Images/FIC65017B.Imagem do Equipamento-.164009.jpg</t>
  </si>
  <si>
    <t>Libner Ferreira De Morais - 06/02/2025 13:40:01</t>
  </si>
  <si>
    <t>FIC65018</t>
  </si>
  <si>
    <t>Controle De Vazão Da Dorna 02</t>
  </si>
  <si>
    <t>Libner Ferreira De Morais - 07/02/2025 13:40:59</t>
  </si>
  <si>
    <t>Libner Ferreira De Morais - 07/02/2025 13:41:00</t>
  </si>
  <si>
    <t>Alisson Airton Sobrinho - 04/03/2025 08:12:20</t>
  </si>
  <si>
    <t>Base de Dados_Images/FIC65018.Imagem do Equipamento-.164157.jpg</t>
  </si>
  <si>
    <t>Libner Ferreira De Morais - 06/02/2025 13:41:50</t>
  </si>
  <si>
    <t>FIC65018A</t>
  </si>
  <si>
    <t>Válvula 1 Caldo P/ Dorna 2</t>
  </si>
  <si>
    <t>Alisson Airton Sobrinho - 25/02/2025 10:04:49</t>
  </si>
  <si>
    <t>Alisson Airton Sobrinho - 04/03/2025 08:12:25</t>
  </si>
  <si>
    <t>Base de Dados_Images/FIC65018A.Imagem do Equipamento-.164415.jpg</t>
  </si>
  <si>
    <t>Libner Ferreira De Morais - 06/02/2025 13:44:10</t>
  </si>
  <si>
    <t>FIC65018B</t>
  </si>
  <si>
    <t>Válvula 2 Caldo P/ Dorna 2</t>
  </si>
  <si>
    <t>Alisson Airton Sobrinho - 25/02/2025 10:04:55</t>
  </si>
  <si>
    <t>Alisson Airton Sobrinho - 25/02/2025 10:04:54</t>
  </si>
  <si>
    <t>Alisson Airton Sobrinho - 04/03/2025 08:12:41</t>
  </si>
  <si>
    <t>Alisson Airton Sobrinho - 04/03/2025 08:12:44</t>
  </si>
  <si>
    <t>Base de Dados_Images/FIC65018B.Imagem do Equipamento-.164515.jpg</t>
  </si>
  <si>
    <t>Libner Ferreira De Morais - 06/02/2025 13:45:10</t>
  </si>
  <si>
    <t>FIC65019</t>
  </si>
  <si>
    <t>Controle De Vazão Da Dorna 03</t>
  </si>
  <si>
    <t>Alisson Airton Sobrinho - 25/02/2025 10:08:48</t>
  </si>
  <si>
    <t>Alisson Airton Sobrinho - 25/02/2025 10:08:49</t>
  </si>
  <si>
    <t>Alisson Airton Sobrinho - 04/03/2025 07:59:22</t>
  </si>
  <si>
    <t>Base de Dados_Images/FIC65019.Imagem do Equipamento-.164628.jpg</t>
  </si>
  <si>
    <t>Libner Ferreira De Morais - 06/02/2025 13:46:23</t>
  </si>
  <si>
    <t>FIC65019A</t>
  </si>
  <si>
    <t>Válvula 1 Caldo P/ Dorna 3</t>
  </si>
  <si>
    <t>Alisson Airton Sobrinho - 25/02/2025 10:09:08</t>
  </si>
  <si>
    <t>Alisson Airton Sobrinho - 25/02/2025 10:09:09</t>
  </si>
  <si>
    <t>Alisson Airton Sobrinho - 04/03/2025 07:59:28</t>
  </si>
  <si>
    <t>Alisson Airton Sobrinho - 04/03/2025 07:59:29</t>
  </si>
  <si>
    <t>Base de Dados_Images/FIC65019A.Imagem do Equipamento-.164949.jpg</t>
  </si>
  <si>
    <t>Libner Ferreira De Morais - 06/02/2025 13:49:44</t>
  </si>
  <si>
    <t>FIC65019B</t>
  </si>
  <si>
    <t>Válvula 2 Caldo P/ Dorna 3</t>
  </si>
  <si>
    <t>Alisson Airton Sobrinho - 25/02/2025 10:09:14</t>
  </si>
  <si>
    <t>Alisson Airton Sobrinho - 04/03/2025 07:59:34</t>
  </si>
  <si>
    <t>Alisson Airton Sobrinho - 04/03/2025 07:59:35</t>
  </si>
  <si>
    <t>Base de Dados_Images/FIC65019B.Imagem do Equipamento-.165020.jpg</t>
  </si>
  <si>
    <t>Libner Ferreira De Morais - 06/02/2025 13:50:14</t>
  </si>
  <si>
    <t>FIC65020</t>
  </si>
  <si>
    <t>Controle De Vazão Da Dorna 04</t>
  </si>
  <si>
    <t>Alisson Airton Sobrinho - 25/02/2025 10:02:22</t>
  </si>
  <si>
    <t>Alisson Airton Sobrinho - 04/03/2025 08:14:37</t>
  </si>
  <si>
    <t>Base de Dados_Images/FIC65020.Imagem do Equipamento-.165119.jpg</t>
  </si>
  <si>
    <t>Libner Ferreira De Morais - 06/02/2025 13:51:14</t>
  </si>
  <si>
    <t>FIC65020A</t>
  </si>
  <si>
    <t>Válvula 1 Caldo P/ Dorna 4</t>
  </si>
  <si>
    <t>Alisson Airton Sobrinho - 25/02/2025 10:02:01</t>
  </si>
  <si>
    <t>Alisson Airton Sobrinho - 25/02/2025 10:02:02</t>
  </si>
  <si>
    <t>Alisson Airton Sobrinho - 04/03/2025 08:14:43</t>
  </si>
  <si>
    <t>Alisson Airton Sobrinho - 04/03/2025 08:14:45</t>
  </si>
  <si>
    <t>Base de Dados_Images/FIC65020A.Imagem do Equipamento-.165237.jpg</t>
  </si>
  <si>
    <t>Libner Ferreira De Morais - 06/02/2025 13:52:32</t>
  </si>
  <si>
    <t>FIC65020B</t>
  </si>
  <si>
    <t>Válvula 2 Caldo P/ Dorna 4</t>
  </si>
  <si>
    <t>Alisson Airton Sobrinho - 25/02/2025 10:02:08</t>
  </si>
  <si>
    <t>Alisson Airton Sobrinho - 25/02/2025 10:02:09</t>
  </si>
  <si>
    <t>Alisson Airton Sobrinho - 04/03/2025 08:14:55</t>
  </si>
  <si>
    <t>Alisson Airton Sobrinho - 04/03/2025 08:14:58</t>
  </si>
  <si>
    <t>Base de Dados_Images/FIC65020B.Imagem do Equipamento-.165258.jpg</t>
  </si>
  <si>
    <t>Libner Ferreira De Morais - 06/02/2025 13:52:54</t>
  </si>
  <si>
    <t>FIC65021</t>
  </si>
  <si>
    <t>Controle De Vazão Da Dorna 05</t>
  </si>
  <si>
    <t>Alisson Airton Sobrinho - 25/02/2025 09:59:35</t>
  </si>
  <si>
    <t>Alisson Airton Sobrinho - 04/03/2025 08:17:56</t>
  </si>
  <si>
    <t>Alisson Airton Sobrinho - 04/03/2025 08:17:57</t>
  </si>
  <si>
    <t>Aguardando chegar para instalar no local</t>
  </si>
  <si>
    <t>Base de Dados_Images/FIC65021.Imagem do Equipamento-.165348.jpg</t>
  </si>
  <si>
    <t>Libner Ferreira De Morais - 06/02/2025 13:53:40</t>
  </si>
  <si>
    <t>FIC65021A</t>
  </si>
  <si>
    <t>Válvula 1 Caldo P/ Dorna 5</t>
  </si>
  <si>
    <t>Alisson Airton Sobrinho - 25/02/2025 09:59:41</t>
  </si>
  <si>
    <t>Alisson Airton Sobrinho - 04/03/2025 08:18:03</t>
  </si>
  <si>
    <t>Alisson Airton Sobrinho - 04/03/2025 08:18:04</t>
  </si>
  <si>
    <t>Base de Dados_Images/FIC65021A.Imagem do Equipamento-.165514.jpg</t>
  </si>
  <si>
    <t>Libner Ferreira De Morais - 06/02/2025 13:55:08</t>
  </si>
  <si>
    <t>FIC65021B</t>
  </si>
  <si>
    <t>Válvula 2 Caldo P/ Dorna 5</t>
  </si>
  <si>
    <t>Alisson Airton Sobrinho - 25/02/2025 09:59:47</t>
  </si>
  <si>
    <t>Alisson Airton Sobrinho - 04/03/2025 08:18:09</t>
  </si>
  <si>
    <t>Base de Dados_Images/FIC65021B.Imagem do Equipamento-.165550.jpg</t>
  </si>
  <si>
    <t>Libner Ferreira De Morais - 06/02/2025 13:55:43</t>
  </si>
  <si>
    <t>FIC65022</t>
  </si>
  <si>
    <t>Controle De Vazão Da Dorna 06</t>
  </si>
  <si>
    <t>Alisson Airton Sobrinho - 25/02/2025 09:59:22</t>
  </si>
  <si>
    <t>Alisson Airton Sobrinho - 04/03/2025 08:28:47</t>
  </si>
  <si>
    <t>Alisson Airton Sobrinho - 04/03/2025 08:28:48</t>
  </si>
  <si>
    <t>Aguardando  chegar para instalar no local</t>
  </si>
  <si>
    <t>Base de Dados_Images/FIC65022.Imagem do Equipamento-.165748.jpg</t>
  </si>
  <si>
    <t>Libner Ferreira De Morais - 06/02/2025 13:57:43</t>
  </si>
  <si>
    <t>FIC65022A</t>
  </si>
  <si>
    <t>Válvula 1 Caldo P/ Dorna 6</t>
  </si>
  <si>
    <t>Alisson Airton Sobrinho - 25/02/2025 09:59:09</t>
  </si>
  <si>
    <t>Alisson Airton Sobrinho - 25/02/2025 09:59:10</t>
  </si>
  <si>
    <t>Alisson Airton Sobrinho - 04/03/2025 08:28:55</t>
  </si>
  <si>
    <t>Alisson Airton Sobrinho - 04/03/2025 08:28:56</t>
  </si>
  <si>
    <t>Base de Dados_Images/FIC65022A.Imagem do Equipamento-.165645.jpg</t>
  </si>
  <si>
    <t>Libner Ferreira De Morais - 06/02/2025 13:56:40</t>
  </si>
  <si>
    <t>FIC65022B</t>
  </si>
  <si>
    <t>Válvula 2 Caldo P/ Dorna 6</t>
  </si>
  <si>
    <t>Alisson Airton Sobrinho - 25/02/2025 09:59:16</t>
  </si>
  <si>
    <t>Alisson Airton Sobrinho - 25/02/2025 09:59:15</t>
  </si>
  <si>
    <t>Alisson Airton Sobrinho - 04/03/2025 08:29:07</t>
  </si>
  <si>
    <t>Alisson Airton Sobrinho - 04/03/2025 08:29:08</t>
  </si>
  <si>
    <t>Base de Dados_Images/FIC65022B.Imagem do Equipamento-.165709.jpg</t>
  </si>
  <si>
    <t>Libner Ferreira De Morais - 06/02/2025 13:57:05</t>
  </si>
  <si>
    <t>FIC65023</t>
  </si>
  <si>
    <t>Controle De Vazão Da Dorna 07</t>
  </si>
  <si>
    <t>Alisson Airton Sobrinho - 25/02/2025 10:02:52</t>
  </si>
  <si>
    <t>Alisson Airton Sobrinho - 25/02/2025 10:02:51</t>
  </si>
  <si>
    <t>Alisson Airton Sobrinho - 04/03/2025 08:25:28</t>
  </si>
  <si>
    <t>Alisson Airton Sobrinho - 04/03/2025 08:25:29</t>
  </si>
  <si>
    <t>Base de Dados_Images/FIC65023.Imagem do Equipamento-.170150.jpg</t>
  </si>
  <si>
    <t>Libner Ferreira De Morais - 06/02/2025 14:01:45</t>
  </si>
  <si>
    <t>FIC65023A</t>
  </si>
  <si>
    <t>Válvula 1 Caldo P/ Dorna 7</t>
  </si>
  <si>
    <t>Alisson Airton Sobrinho - 25/02/2025 10:03:18</t>
  </si>
  <si>
    <t>Alisson Airton Sobrinho - 04/03/2025 08:25:36</t>
  </si>
  <si>
    <t>Base de Dados_Images/FIC65023A.Imagem do Equipamento-.165959.jpg</t>
  </si>
  <si>
    <t>Libner Ferreira De Morais - 06/02/2025 13:59:48</t>
  </si>
  <si>
    <t>FIC65023B</t>
  </si>
  <si>
    <t>Válvula 2 Caldo P/ Dorna 7</t>
  </si>
  <si>
    <t>Alisson Airton Sobrinho - 25/02/2025 10:03:25</t>
  </si>
  <si>
    <t>Alisson Airton Sobrinho - 25/02/2025 10:03:24</t>
  </si>
  <si>
    <t>Alisson Airton Sobrinho - 04/03/2025 08:25:44</t>
  </si>
  <si>
    <t>Alisson Airton Sobrinho - 04/03/2025 08:25:46</t>
  </si>
  <si>
    <t>Base de Dados_Images/FIC65023B.Imagem do Equipamento-.170032.jpg</t>
  </si>
  <si>
    <t>Libner Ferreira De Morais - 06/02/2025 14:00:28</t>
  </si>
  <si>
    <t>FIC81001</t>
  </si>
  <si>
    <t>Controle De Vazao De Agua De Alimentação Da Caldeira</t>
  </si>
  <si>
    <t>Paula Caroline Morais Duarte - 17/02/2025 13:23:47</t>
  </si>
  <si>
    <t>Paula Caroline Morais Duarte - 17/02/2025 13:23:48</t>
  </si>
  <si>
    <t>Paula Caroline Morais Duarte - 17/02/2025 13:23:57</t>
  </si>
  <si>
    <t>Paula Caroline Morais Duarte - 17/02/2025 13:23:58</t>
  </si>
  <si>
    <t>Paula Caroline Morais Duarte - 17/02/2025 13:24:10</t>
  </si>
  <si>
    <t>Base de Dados_Images/FIC81001.Imagem do Equipamento-.162414.jpg</t>
  </si>
  <si>
    <t>FIC81020</t>
  </si>
  <si>
    <t>Controle De Vazão Minima Das Bombas Da Caldeira</t>
  </si>
  <si>
    <t>Paula Caroline Morais Duarte - 17/02/2025 09:31:32</t>
  </si>
  <si>
    <t>Paula Caroline Morais Duarte - 17/02/2025 09:31:33</t>
  </si>
  <si>
    <t>Paula Caroline Morais Duarte - 17/02/2025 09:31:37</t>
  </si>
  <si>
    <t>Paula Caroline Morais Duarte - 17/02/2025 09:31:39</t>
  </si>
  <si>
    <t>Base de Dados_Images/FIC81020.Imagem do Equipamento-.123133.jpg</t>
  </si>
  <si>
    <t>Paula Caroline Morais Duarte - 17/02/2025 09:31:27</t>
  </si>
  <si>
    <t>FIT20101</t>
  </si>
  <si>
    <t>Vazão Água Embebição</t>
  </si>
  <si>
    <t>Paula Caroline Morais Duarte - 11/02/2025 09:16:07</t>
  </si>
  <si>
    <t>Paula Caroline Morais Duarte - 11/02/2025 09:16:08</t>
  </si>
  <si>
    <t>Paula Caroline Morais Duarte - 11/02/2025 09:16:11</t>
  </si>
  <si>
    <t>Paula Caroline Morais Duarte - 11/02/2025 09:16:16</t>
  </si>
  <si>
    <t>Rafael Roldão Rodrigues - 03/03/2025 11:43:38</t>
  </si>
  <si>
    <t>Rafael Roldão Rodrigues - 03/03/2025 11:43:39</t>
  </si>
  <si>
    <t>Rafael Roldão Rodrigues - 03/03/2025 11:43:40</t>
  </si>
  <si>
    <t>Rafael Roldão Rodrigues - 03/03/2025 11:43:44</t>
  </si>
  <si>
    <t>Rafael Roldão Rodrigues - 03/03/2025 11:43:45</t>
  </si>
  <si>
    <t>Alisson Airton Sobrinho - 07/03/2025 06:48:54</t>
  </si>
  <si>
    <t>Alisson Airton Sobrinho - 02/08/2025 08:51:48</t>
  </si>
  <si>
    <t>FIT20103</t>
  </si>
  <si>
    <t>Vazão De Caldo Misto</t>
  </si>
  <si>
    <t>Paula Caroline Morais Duarte - 05/02/2025 09:18:44</t>
  </si>
  <si>
    <t>Paula Caroline Morais Duarte - 05/02/2025 09:18:46</t>
  </si>
  <si>
    <t>Paula Caroline Morais Duarte - 05/02/2025 09:18:49</t>
  </si>
  <si>
    <t>Paula Caroline Morais Duarte - 05/02/2025 09:18:52</t>
  </si>
  <si>
    <t>Rafael Roldão Rodrigues - 03/03/2025 11:41:32</t>
  </si>
  <si>
    <t>Rafael Roldão Rodrigues - 03/03/2025 11:41:33</t>
  </si>
  <si>
    <t>Rafael Roldão Rodrigues - 03/03/2025 11:41:34</t>
  </si>
  <si>
    <t>Rafael Roldão Rodrigues - 03/03/2025 11:41:37</t>
  </si>
  <si>
    <t>Rafael Roldão Rodrigues - 03/03/2025 11:41:38</t>
  </si>
  <si>
    <t>Alisson Airton Sobrinho - 07/03/2025 06:29:35</t>
  </si>
  <si>
    <t>Alisson Airton Sobrinho - 07/03/2025 06:29:34</t>
  </si>
  <si>
    <t>Base de Dados_Images/FIT20103.Imagem do Equipamento-.131345.jpg</t>
  </si>
  <si>
    <t>Paula Caroline Morais Duarte - 05/02/2025 09:18:34</t>
  </si>
  <si>
    <t>FIT20105</t>
  </si>
  <si>
    <t>Vazão De Caldo Primario</t>
  </si>
  <si>
    <t>Paula Caroline Morais Duarte - 05/02/2025 09:17:40</t>
  </si>
  <si>
    <t>Paula Caroline Morais Duarte - 05/02/2025 09:17:42</t>
  </si>
  <si>
    <t>Paula Caroline Morais Duarte - 05/02/2025 09:17:44</t>
  </si>
  <si>
    <t>Paula Caroline Morais Duarte - 05/02/2025 09:17:46</t>
  </si>
  <si>
    <t>Rafael Roldão Rodrigues - 03/03/2025 11:42:48</t>
  </si>
  <si>
    <t>Rafael Roldão Rodrigues - 03/03/2025 11:42:49</t>
  </si>
  <si>
    <t>Rafael Roldão Rodrigues - 03/03/2025 11:42:50</t>
  </si>
  <si>
    <t>Rafael Roldão Rodrigues - 03/03/2025 11:42:54</t>
  </si>
  <si>
    <t>Rafael Roldão Rodrigues - 03/03/2025 11:42:55</t>
  </si>
  <si>
    <t>Alisson Airton Sobrinho - 07/03/2025 06:48:17</t>
  </si>
  <si>
    <t>Base de Dados_Images/FIT20105.Imagem do Equipamento-.131316.jpg</t>
  </si>
  <si>
    <t>Paula Caroline Morais Duarte - 05/02/2025 09:17:31</t>
  </si>
  <si>
    <t>FIT30019</t>
  </si>
  <si>
    <t>Vazão Caldo Misto P/ Decantador</t>
  </si>
  <si>
    <t>Alisson Airton Sobrinho - 07/02/2025 15:02:24</t>
  </si>
  <si>
    <t>Alisson Airton Sobrinho - 07/02/2025 15:02:25</t>
  </si>
  <si>
    <t>Alisson Airton Sobrinho - 07/02/2025 15:02:27</t>
  </si>
  <si>
    <t>Alisson Airton Sobrinho - 07/02/2025 15:02:28</t>
  </si>
  <si>
    <t>Alisson Airton Sobrinho - 07/02/2025 15:02:33</t>
  </si>
  <si>
    <t>Alisson Airton Sobrinho - 07/02/2025 15:02:34</t>
  </si>
  <si>
    <t>Alisson Airton Sobrinho - 07/02/2025 15:02:35</t>
  </si>
  <si>
    <t>Alisson Airton Sobrinho - 07/02/2025 15:02:39</t>
  </si>
  <si>
    <t>Alisson Airton Sobrinho - 07/02/2025 15:02:07</t>
  </si>
  <si>
    <t>Alisson Airton Sobrinho - 08/03/2025 09:35:38</t>
  </si>
  <si>
    <t>Alisson Airton Sobrinho - 08/03/2025 09:35:39</t>
  </si>
  <si>
    <t>Erico Borges De Freitas - 01/30/2025 11:02:14</t>
  </si>
  <si>
    <t>FIT40026</t>
  </si>
  <si>
    <t>Vazao De Magma Para Diluidor De Magma</t>
  </si>
  <si>
    <t>Beatriz Alves Nunes de Paulo - 13/02/2025 11:09:59</t>
  </si>
  <si>
    <t>Beatriz Alves Nunes de Paulo - 13/02/2025 11:10:01</t>
  </si>
  <si>
    <t>Beatriz Alves Nunes de Paulo - 13/02/2025 11:10:02</t>
  </si>
  <si>
    <t>Beatriz Alves Nunes de Paulo - 13/02/2025 11:10:07</t>
  </si>
  <si>
    <t>Beatriz Alves Nunes de Paulo - 13/02/2025 11:10:08</t>
  </si>
  <si>
    <t>Beatriz Alves Nunes de Paulo - 13/02/2025 11:10:50</t>
  </si>
  <si>
    <t>Beatriz Alves Nunes de Paulo - 13/02/2025 11:10:52</t>
  </si>
  <si>
    <t>Alisson Airton Sobrinho - 07/03/2025 08:24:04</t>
  </si>
  <si>
    <t>Alisson Airton Sobrinho - 07/03/2025 08:24:05</t>
  </si>
  <si>
    <t>Beatriz Alves Nunes de Paulo - 02/13/2025 11:07:11</t>
  </si>
  <si>
    <t>FIT40027</t>
  </si>
  <si>
    <t>Vazao De Condensado Para Diluidor De Magma</t>
  </si>
  <si>
    <t>Beatriz Alves Nunes de Paulo - 13/02/2025 10:40:31</t>
  </si>
  <si>
    <t>Beatriz Alves Nunes de Paulo - 13/02/2025 10:40:36</t>
  </si>
  <si>
    <t>Beatriz Alves Nunes de Paulo - 13/02/2025 10:40:43</t>
  </si>
  <si>
    <t>Beatriz Alves Nunes de Paulo - 13/02/2025 10:40:44</t>
  </si>
  <si>
    <t>Beatriz Alves Nunes de Paulo - 13/02/2025 10:41:20</t>
  </si>
  <si>
    <t>Beatriz Alves Nunes de Paulo - 13/02/2025 10:41:27</t>
  </si>
  <si>
    <t>Beatriz Alves Nunes de Paulo - 13/02/2025 10:41:28</t>
  </si>
  <si>
    <t>Beatriz Alves Nunes de Paulo - 13/02/2025 10:41:45</t>
  </si>
  <si>
    <t>Beatriz Alves Nunes de Paulo - 13/02/2025 10:41:59</t>
  </si>
  <si>
    <t>Alisson Airton Sobrinho - 07/03/2025 08:24:16</t>
  </si>
  <si>
    <t>Beatriz Alves Nunes de Paulo - 02/13/2025 10:39:48</t>
  </si>
  <si>
    <t>FIT40028</t>
  </si>
  <si>
    <t>Vazao De Mel Pobre Para Diluidor De Mel Pobre</t>
  </si>
  <si>
    <t>Beatriz Alves Nunes de Paulo - 13/02/2025 13:11:24</t>
  </si>
  <si>
    <t>Beatriz Alves Nunes de Paulo - 13/02/2025 13:11:28</t>
  </si>
  <si>
    <t>Beatriz Alves Nunes de Paulo - 13/02/2025 13:11:30</t>
  </si>
  <si>
    <t>Beatriz Alves Nunes de Paulo - 13/02/2025 13:11:31</t>
  </si>
  <si>
    <t>Beatriz Alves Nunes de Paulo - 13/02/2025 13:11:48</t>
  </si>
  <si>
    <t>Beatriz Alves Nunes de Paulo - 13/02/2025 13:11:49</t>
  </si>
  <si>
    <t>Beatriz Alves Nunes de Paulo - 13/02/2025 13:11:50</t>
  </si>
  <si>
    <t>Beatriz Alves Nunes de Paulo - 13/02/2025 13:12:17</t>
  </si>
  <si>
    <t>Beatriz Alves Nunes de Paulo - 13/02/2025 13:12:19</t>
  </si>
  <si>
    <t>Alisson Airton Sobrinho - 07/03/2025 08:25:33</t>
  </si>
  <si>
    <t>Alisson Airton Sobrinho - 07/03/2025 08:25:36</t>
  </si>
  <si>
    <t>Beatriz Alves Nunes de Paulo - 02/13/2025 13:11:01</t>
  </si>
  <si>
    <t>FIT40029</t>
  </si>
  <si>
    <t>Vazao De Condensado Para Diluidor De Mel Pobre</t>
  </si>
  <si>
    <t>Beatriz Alves Nunes de Paulo - 13/02/2025 13:13:14</t>
  </si>
  <si>
    <t>Beatriz Alves Nunes de Paulo - 13/02/2025 13:13:31</t>
  </si>
  <si>
    <t>Beatriz Alves Nunes de Paulo - 13/02/2025 13:13:32</t>
  </si>
  <si>
    <t>Beatriz Alves Nunes de Paulo - 13/02/2025 13:13:36</t>
  </si>
  <si>
    <t>Beatriz Alves Nunes de Paulo - 13/02/2025 13:13:41</t>
  </si>
  <si>
    <t>Beatriz Alves Nunes de Paulo - 13/02/2025 13:13:42</t>
  </si>
  <si>
    <t>Beatriz Alves Nunes de Paulo - 13/02/2025 13:13:43</t>
  </si>
  <si>
    <t>Beatriz Alves Nunes de Paulo - 13/02/2025 13:13:49</t>
  </si>
  <si>
    <t>Beatriz Alves Nunes de Paulo - 13/02/2025 13:13:51</t>
  </si>
  <si>
    <t>Alisson Airton Sobrinho - 07/03/2025 08:25:42</t>
  </si>
  <si>
    <t>Alisson Airton Sobrinho - 07/03/2025 08:25:43</t>
  </si>
  <si>
    <t>Beatriz Alves Nunes de Paulo - 02/13/2025 13:13:07</t>
  </si>
  <si>
    <t>FIT65001</t>
  </si>
  <si>
    <t>Vazão De Mosto Para Fermentação</t>
  </si>
  <si>
    <t>Libner Ferreira De Morais - 06/02/2025 13:09:56</t>
  </si>
  <si>
    <t>Libner Ferreira De Morais - 06/02/2025 13:09:57</t>
  </si>
  <si>
    <t>Libner Ferreira De Morais - 06/02/2025 13:09:58</t>
  </si>
  <si>
    <t>Libner Ferreira De Morais - 06/02/2025 13:10:00</t>
  </si>
  <si>
    <t>Alisson Airton Sobrinho - 08/02/2025 08:28:18</t>
  </si>
  <si>
    <t>Alisson Airton Sobrinho - 08/02/2025 08:28:19</t>
  </si>
  <si>
    <t>Alisson Airton Sobrinho - 08/02/2025 08:28:20</t>
  </si>
  <si>
    <t>Alisson Airton Sobrinho - 08/02/2025 08:28:24</t>
  </si>
  <si>
    <t>Alisson Airton Sobrinho - 08/02/2025 08:28:26</t>
  </si>
  <si>
    <t>Alisson Airton Sobrinho - 04/03/2025 08:33:22</t>
  </si>
  <si>
    <t>Alisson Airton Sobrinho - 04/03/2025 08:33:23</t>
  </si>
  <si>
    <t>Base de Dados_Images/FIT65001.Imagem do Equipamento-.170538.jpg</t>
  </si>
  <si>
    <t>Libner Ferreira De Morais - 05/02/2025 13:52:13</t>
  </si>
  <si>
    <t>FIT65016</t>
  </si>
  <si>
    <t>Vazão De Acido Para As Cubas</t>
  </si>
  <si>
    <t>Libner Ferreira De Morais - 06/02/2025 14:08:43</t>
  </si>
  <si>
    <t>Libner Ferreira De Morais - 06/02/2025 14:08:44</t>
  </si>
  <si>
    <t>Libner Ferreira De Morais - 06/02/2025 14:08:45</t>
  </si>
  <si>
    <t>Libner Ferreira De Morais - 06/02/2025 14:08:47</t>
  </si>
  <si>
    <t>Alisson Airton Sobrinho - 08/02/2025 14:44:50</t>
  </si>
  <si>
    <t>Alisson Airton Sobrinho - 08/02/2025 14:44:52</t>
  </si>
  <si>
    <t>Alisson Airton Sobrinho - 08/02/2025 14:44:51</t>
  </si>
  <si>
    <t>Alisson Airton Sobrinho - 10/03/2025 11:27:22</t>
  </si>
  <si>
    <t>Alisson Airton Sobrinho - 10/03/2025 11:27:25</t>
  </si>
  <si>
    <t>Alisson Airton Sobrinho - 10/03/2025 11:27:29</t>
  </si>
  <si>
    <t>Alisson Airton Sobrinho - 10/03/2025 11:27:30</t>
  </si>
  <si>
    <t>Base de Dados_Images/FIT65016.Imagem do Equipamento-.170545.jpg</t>
  </si>
  <si>
    <t>Libner Ferreira De Morais - 05/02/2025 13:53:28</t>
  </si>
  <si>
    <t>FIT65017</t>
  </si>
  <si>
    <t>Vazão De Mosto Dorna 1</t>
  </si>
  <si>
    <t>Alisson Airton Sobrinho - 11/02/2025 12:15:30</t>
  </si>
  <si>
    <t>Alisson Airton Sobrinho - 11/02/2025 12:15:31</t>
  </si>
  <si>
    <t>Alisson Airton Sobrinho - 11/02/2025 12:15:32</t>
  </si>
  <si>
    <t>Alisson Airton Sobrinho - 11/02/2025 12:15:33</t>
  </si>
  <si>
    <t>Paula Caroline Morais Duarte - 14/02/2025 08:15:28</t>
  </si>
  <si>
    <t>Paula Caroline Morais Duarte - 14/02/2025 08:15:29</t>
  </si>
  <si>
    <t>Paula Caroline Morais Duarte - 14/02/2025 08:15:30</t>
  </si>
  <si>
    <t>Paula Caroline Morais Duarte - 25/02/2025 08:54:22</t>
  </si>
  <si>
    <t>Paula Caroline Morais Duarte - 25/02/2025 08:54:23</t>
  </si>
  <si>
    <t>Alisson Airton Sobrinho - 04/03/2025 07:56:22</t>
  </si>
  <si>
    <t>Alisson Airton Sobrinho - 04/03/2025 07:56:23</t>
  </si>
  <si>
    <t>Manutenção externa</t>
  </si>
  <si>
    <t>Base de Dados_Images/FIT65017.Imagem do Equipamento-.175211.jpg</t>
  </si>
  <si>
    <t>Libner Ferreira De Morais - 05/02/2025 14:51:24</t>
  </si>
  <si>
    <t>FIT65018</t>
  </si>
  <si>
    <t>Vazão De Mosto Dorna 2</t>
  </si>
  <si>
    <t>Alisson Airton Sobrinho - 11/02/2025 12:15:51</t>
  </si>
  <si>
    <t>Alisson Airton Sobrinho - 11/02/2025 12:15:52</t>
  </si>
  <si>
    <t>Alisson Airton Sobrinho - 11/02/2025 12:15:53</t>
  </si>
  <si>
    <t>Alisson Airton Sobrinho - 11/02/2025 12:15:55</t>
  </si>
  <si>
    <t>Paula Caroline Morais Duarte - 14/02/2025 07:48:20</t>
  </si>
  <si>
    <t>Paula Caroline Morais Duarte - 14/02/2025 07:48:21</t>
  </si>
  <si>
    <t>Paula Caroline Morais Duarte - 14/02/2025 07:48:23</t>
  </si>
  <si>
    <t>Alisson Airton Sobrinho - 25/02/2025 10:05:15</t>
  </si>
  <si>
    <t>Alisson Airton Sobrinho - 25/02/2025 10:05:14</t>
  </si>
  <si>
    <t>Alisson Airton Sobrinho - 04/03/2025 08:13:03</t>
  </si>
  <si>
    <t>Base de Dados_Images/FIT65018.Imagem do Equipamento-.175906.jpg</t>
  </si>
  <si>
    <t>Libner Ferreira De Morais - 05/02/2025 14:58:40</t>
  </si>
  <si>
    <t>FIT65019</t>
  </si>
  <si>
    <t>Vazão De Mosto Dorna 3</t>
  </si>
  <si>
    <t>Alisson Airton Sobrinho - 11/02/2025 12:16:08</t>
  </si>
  <si>
    <t>Alisson Airton Sobrinho - 11/02/2025 12:16:09</t>
  </si>
  <si>
    <t>Alisson Airton Sobrinho - 11/02/2025 12:16:11</t>
  </si>
  <si>
    <t>Alisson Airton Sobrinho - 11/02/2025 12:16:12</t>
  </si>
  <si>
    <t>Paula Caroline Morais Duarte - 14/02/2025 07:46:29</t>
  </si>
  <si>
    <t>Paula Caroline Morais Duarte - 14/02/2025 07:46:32</t>
  </si>
  <si>
    <t>Alisson Airton Sobrinho - 25/02/2025 10:09:26</t>
  </si>
  <si>
    <t>Alisson Airton Sobrinho - 04/03/2025 07:59:59</t>
  </si>
  <si>
    <t>Alisson Airton Sobrinho - 04/03/2025 08:00:00</t>
  </si>
  <si>
    <t>Base de Dados_Images/FIT65019.Imagem do Equipamento-.155409.jpg</t>
  </si>
  <si>
    <t>Libner Ferreira De Morais - 06/02/2025 12:54:05</t>
  </si>
  <si>
    <t>FIT65020</t>
  </si>
  <si>
    <t>Vazão De Mosto Dorna 4</t>
  </si>
  <si>
    <t>Alisson Airton Sobrinho - 11/02/2025 12:16:27</t>
  </si>
  <si>
    <t>Alisson Airton Sobrinho - 11/02/2025 12:16:28</t>
  </si>
  <si>
    <t>Alisson Airton Sobrinho - 11/02/2025 12:16:30</t>
  </si>
  <si>
    <t>Alisson Airton Sobrinho - 11/02/2025 12:16:31</t>
  </si>
  <si>
    <t>Alisson Airton Sobrinho - 25/02/2025 09:50:48</t>
  </si>
  <si>
    <t>Alisson Airton Sobrinho - 25/02/2025 09:50:49</t>
  </si>
  <si>
    <t>Alisson Airton Sobrinho - 25/02/2025 09:50:50</t>
  </si>
  <si>
    <t>Alisson Airton Sobrinho - 25/02/2025 09:50:53</t>
  </si>
  <si>
    <t>Alisson Airton Sobrinho - 25/02/2025 09:50:54</t>
  </si>
  <si>
    <t>Alisson Airton Sobrinho - 04/03/2025 08:15:19</t>
  </si>
  <si>
    <t>Alisson Airton Sobrinho - 04/03/2025 08:15:21</t>
  </si>
  <si>
    <t>Base de Dados_Images/FIT65020.Imagem do Equipamento-.174420.jpg</t>
  </si>
  <si>
    <t>Libner Ferreira De Morais - 05/02/2025 14:44:14</t>
  </si>
  <si>
    <t>FIT65021</t>
  </si>
  <si>
    <t>Vazão De Mosto Dorna 5</t>
  </si>
  <si>
    <t>Alisson Airton Sobrinho - 11/02/2025 12:16:44</t>
  </si>
  <si>
    <t>Alisson Airton Sobrinho - 11/02/2025 12:16:45</t>
  </si>
  <si>
    <t>Alisson Airton Sobrinho - 11/02/2025 12:16:49</t>
  </si>
  <si>
    <t>Alisson Airton Sobrinho - 11/02/2025 12:16:48</t>
  </si>
  <si>
    <t>Paula Caroline Morais Duarte - 14/02/2025 07:49:17</t>
  </si>
  <si>
    <t>Paula Caroline Morais Duarte - 14/02/2025 07:49:19</t>
  </si>
  <si>
    <t>Alisson Airton Sobrinho - 25/02/2025 10:00:09</t>
  </si>
  <si>
    <t>Alisson Airton Sobrinho - 04/03/2025 08:23:13</t>
  </si>
  <si>
    <t>Alisson Airton Sobrinho - 04/03/2025 08:23:15</t>
  </si>
  <si>
    <t>Base de Dados_Images/FIT65021.Imagem do Equipamento-.174935.jpg</t>
  </si>
  <si>
    <t>Libner Ferreira De Morais - 05/02/2025 14:49:29</t>
  </si>
  <si>
    <t>FIT65022</t>
  </si>
  <si>
    <t>Vazão De Mosto Dorna 6</t>
  </si>
  <si>
    <t>Alisson Airton Sobrinho - 11/02/2025 12:17:01</t>
  </si>
  <si>
    <t>Alisson Airton Sobrinho - 11/02/2025 12:17:02</t>
  </si>
  <si>
    <t>Alisson Airton Sobrinho - 11/02/2025 12:17:03</t>
  </si>
  <si>
    <t>Alisson Airton Sobrinho - 11/02/2025 12:17:05</t>
  </si>
  <si>
    <t>Alisson Airton Sobrinho - 25/02/2025 09:53:32</t>
  </si>
  <si>
    <t>Alisson Airton Sobrinho - 25/02/2025 09:53:33</t>
  </si>
  <si>
    <t>Alisson Airton Sobrinho - 25/02/2025 09:53:36</t>
  </si>
  <si>
    <t>Alisson Airton Sobrinho - 25/02/2025 09:53:37</t>
  </si>
  <si>
    <t>Alisson Airton Sobrinho - 04/03/2025 08:29:34</t>
  </si>
  <si>
    <t>Alisson Airton Sobrinho - 04/03/2025 08:29:35</t>
  </si>
  <si>
    <t>Base de Dados_Images/FIT65022.Imagem do Equipamento-.174648.jpg</t>
  </si>
  <si>
    <t>Libner Ferreira De Morais - 05/02/2025 14:46:42</t>
  </si>
  <si>
    <t>FIT65023</t>
  </si>
  <si>
    <t>Vazão De Mosto Dorna 7</t>
  </si>
  <si>
    <t>Alisson Airton Sobrinho - 11/02/2025 12:17:28</t>
  </si>
  <si>
    <t>Alisson Airton Sobrinho - 11/02/2025 12:17:29</t>
  </si>
  <si>
    <t>Alisson Airton Sobrinho - 11/02/2025 12:17:31</t>
  </si>
  <si>
    <t>Alisson Airton Sobrinho - 11/02/2025 12:17:32</t>
  </si>
  <si>
    <t>Paula Caroline Morais Duarte - 14/02/2025 07:50:04</t>
  </si>
  <si>
    <t>Paula Caroline Morais Duarte - 14/02/2025 07:50:05</t>
  </si>
  <si>
    <t>Alisson Airton Sobrinho - 25/02/2025 10:03:56</t>
  </si>
  <si>
    <t>Alisson Airton Sobrinho - 25/02/2025 10:03:55</t>
  </si>
  <si>
    <t>Alisson Airton Sobrinho - 04/03/2025 08:26:18</t>
  </si>
  <si>
    <t>Alisson Airton Sobrinho - 04/03/2025 08:26:19</t>
  </si>
  <si>
    <t>Base de Dados_Images/FIT65023.Imagem do Equipamento-.174913.jpg</t>
  </si>
  <si>
    <t>Libner Ferreira De Morais - 05/02/2025 14:48:28</t>
  </si>
  <si>
    <t>Tanque 6512 Vinho A Centrigugar</t>
  </si>
  <si>
    <t>FIT65026</t>
  </si>
  <si>
    <t>Vazão Vinho A Centrifugar</t>
  </si>
  <si>
    <t>Libner Ferreira De Morais - 06/02/2025 14:56:21</t>
  </si>
  <si>
    <t>Libner Ferreira De Morais - 06/02/2025 14:56:23</t>
  </si>
  <si>
    <t>Libner Ferreira De Morais - 06/02/2025 14:56:24</t>
  </si>
  <si>
    <t>Libner Ferreira De Morais - 06/02/2025 14:56:26</t>
  </si>
  <si>
    <t>Alisson Airton Sobrinho - 08/02/2025 14:45:33</t>
  </si>
  <si>
    <t>Alisson Airton Sobrinho - 08/02/2025 14:45:34</t>
  </si>
  <si>
    <t>Rafael Roldão Rodrigues - 03/03/2025 12:43:03</t>
  </si>
  <si>
    <t>Rafael Roldão Rodrigues - 03/03/2025 12:43:04</t>
  </si>
  <si>
    <t>Beatriz Alves Nunes de Paulo - 06/03/2025 09:20:45</t>
  </si>
  <si>
    <t>Base de Dados_Images/FIT65026.Imagem do Equipamento-.172322.jpg</t>
  </si>
  <si>
    <t>Libner Ferreira De Morais - 05/02/2025 14:23:11</t>
  </si>
  <si>
    <t>FIT65034</t>
  </si>
  <si>
    <t>Vazão De Soda</t>
  </si>
  <si>
    <t>Libner Ferreira De Morais - 06/02/2025 14:09:15</t>
  </si>
  <si>
    <t>Libner Ferreira De Morais - 06/02/2025 14:09:16</t>
  </si>
  <si>
    <t>Libner Ferreira De Morais - 06/02/2025 14:09:19</t>
  </si>
  <si>
    <t>Libner Ferreira De Morais - 06/02/2025 14:09:17</t>
  </si>
  <si>
    <t>Alisson Airton Sobrinho - 08/02/2025 14:18:07</t>
  </si>
  <si>
    <t>Alisson Airton Sobrinho - 08/02/2025 14:18:08</t>
  </si>
  <si>
    <t>Alisson Airton Sobrinho - 08/02/2025 14:18:09</t>
  </si>
  <si>
    <t>Rafael Roldão Rodrigues - 03/03/2025 12:40:25</t>
  </si>
  <si>
    <t>Rafael Roldão Rodrigues - 03/03/2025 12:40:26</t>
  </si>
  <si>
    <t>Alisson Airton Sobrinho - 07/03/2025 07:31:31</t>
  </si>
  <si>
    <t>Alisson Airton Sobrinho - 07/03/2025 07:31:32</t>
  </si>
  <si>
    <t>Base de Dados_Images/FIT65034.Imagem do Equipamento-.172623.jpg</t>
  </si>
  <si>
    <t>Alisson Airton Sobrinho - 17/01/2025 14:26:18</t>
  </si>
  <si>
    <t>FIT70015</t>
  </si>
  <si>
    <t>Vazão Etanol Hidratado</t>
  </si>
  <si>
    <t>Libner Ferreira De Morais - 06/02/2025 09:16:53</t>
  </si>
  <si>
    <t>Libner Ferreira De Morais - 06/02/2025 09:16:54</t>
  </si>
  <si>
    <t>Libner Ferreira De Morais - 06/02/2025 09:16:55</t>
  </si>
  <si>
    <t>Alisson Airton Sobrinho - 08/02/2025 13:51:01</t>
  </si>
  <si>
    <t>Alisson Airton Sobrinho - 08/02/2025 13:51:02</t>
  </si>
  <si>
    <t>Alisson Airton Sobrinho - 08/02/2025 13:51:03</t>
  </si>
  <si>
    <t>Rafael Roldão Rodrigues - 04/03/2025 14:37:27</t>
  </si>
  <si>
    <t>Rafael Roldão Rodrigues - 04/03/2025 14:37:28</t>
  </si>
  <si>
    <t>Alisson Airton Sobrinho - 06/03/2025 14:43:15</t>
  </si>
  <si>
    <t>Alisson Airton Sobrinho - 06/03/2025 14:43:16</t>
  </si>
  <si>
    <t>Base de Dados_Images/FIT70015.Imagem do Equipamento-.121754.jpg</t>
  </si>
  <si>
    <t>Libner Ferreira De Morais - 06/02/2025 09:17:48</t>
  </si>
  <si>
    <t>FIT81001</t>
  </si>
  <si>
    <t>Vazão Água Alimentação Caldeira</t>
  </si>
  <si>
    <t>Paula Caroline Morais Duarte - 28/01/2025 14:00:38</t>
  </si>
  <si>
    <t>Paula Caroline Morais Duarte - 28/01/2025 14:00:40</t>
  </si>
  <si>
    <t>Paula Caroline Morais Duarte - 28/01/2025 14:00:41</t>
  </si>
  <si>
    <t>Weslley Ferreira Cooper - 05/02/2025 15:43:10</t>
  </si>
  <si>
    <t>Weslley Ferreira Cooper - 05/02/2025 15:43:09</t>
  </si>
  <si>
    <t>Weslley Ferreira Cooper - 05/02/2025 15:43:51</t>
  </si>
  <si>
    <t>Weslley Ferreira Cooper - 05/02/2025 15:43:50</t>
  </si>
  <si>
    <t>Paula Caroline Morais Duarte - 17/02/2025 11:01:50</t>
  </si>
  <si>
    <t>Paula Caroline Morais Duarte - 17/02/2025 11:01:51</t>
  </si>
  <si>
    <t>Base de Dados_Images/FIT81001.Imagem do Equipamento-.174039.jpg</t>
  </si>
  <si>
    <t>Paula Caroline Morais Duarte - 28/01/2025 14:00:31</t>
  </si>
  <si>
    <t>FIT81007</t>
  </si>
  <si>
    <t>Vazão Vapor Direto</t>
  </si>
  <si>
    <t>Paula Caroline Morais Duarte - 28/01/2025 14:03:03</t>
  </si>
  <si>
    <t>Paula Caroline Morais Duarte - 28/01/2025 14:03:09</t>
  </si>
  <si>
    <t>Paula Caroline Morais Duarte - 28/01/2025 14:03:08</t>
  </si>
  <si>
    <t>Paula Caroline Morais Duarte - 28/01/2025 14:03:07</t>
  </si>
  <si>
    <t>Weslley Ferreira Cooper - 05/02/2025 15:45:12</t>
  </si>
  <si>
    <t>Weslley Ferreira Cooper - 05/02/2025 15:45:11</t>
  </si>
  <si>
    <t>Weslley Ferreira Cooper - 05/02/2025 15:45:17</t>
  </si>
  <si>
    <t>Weslley Ferreira Cooper - 05/02/2025 15:45:16</t>
  </si>
  <si>
    <t>Paula Caroline Morais Duarte - 17/02/2025 11:01:03</t>
  </si>
  <si>
    <t>Paula Caroline Morais Duarte - 17/02/2025 11:01:04</t>
  </si>
  <si>
    <t>Base de Dados_Images/FIT81007.Imagem do Equipamento-.174122.jpg</t>
  </si>
  <si>
    <t>Paula Caroline Morais Duarte - 28/01/2025 14:02:53</t>
  </si>
  <si>
    <t>FIT81020</t>
  </si>
  <si>
    <t>Vazao Minima De Agua De Alimentação</t>
  </si>
  <si>
    <t>Paula Caroline Morais Duarte - 22/01/2025 11:04:37</t>
  </si>
  <si>
    <t>Paula Caroline Morais Duarte - 22/01/2025 11:04:38</t>
  </si>
  <si>
    <t>Paula Caroline Morais Duarte - 22/01/2025 11:04:42</t>
  </si>
  <si>
    <t>Paula Caroline Morais Duarte - 22/01/2025 11:04:46</t>
  </si>
  <si>
    <t>Weslley Ferreira Cooper - 05/02/2025 15:54:52</t>
  </si>
  <si>
    <t>Weslley Ferreira Cooper - 05/02/2025 15:54:51</t>
  </si>
  <si>
    <t>Weslley Ferreira Cooper - 05/02/2025 15:54:55</t>
  </si>
  <si>
    <t>Weslley Ferreira Cooper - 05/02/2025 15:54:54</t>
  </si>
  <si>
    <t>Paula Caroline Morais Duarte - 17/02/2025 09:30:52</t>
  </si>
  <si>
    <t>Paula Caroline Morais Duarte - 17/02/2025 09:30:53</t>
  </si>
  <si>
    <t>Base de Dados_Images/FIT81020.Imagem do Equipamento-.190109.jpg</t>
  </si>
  <si>
    <t>Paula Caroline Morais Duarte - 22/01/2025 11:04:27</t>
  </si>
  <si>
    <t>FIT92001</t>
  </si>
  <si>
    <t>Vazão Água Captação</t>
  </si>
  <si>
    <t>Paula Caroline Morais Duarte - 30/01/2025 14:08:53</t>
  </si>
  <si>
    <t>Paula Caroline Morais Duarte - 30/01/2025 14:08:55</t>
  </si>
  <si>
    <t>Paula Caroline Morais Duarte - 30/01/2025 14:08:57</t>
  </si>
  <si>
    <t>Paula Caroline Morais Duarte - 30/01/2025 14:08:59</t>
  </si>
  <si>
    <t>Paula Caroline Morais Duarte - 31/01/2025 08:37:07</t>
  </si>
  <si>
    <t>Paula Caroline Morais Duarte - 31/01/2025 08:37:08</t>
  </si>
  <si>
    <t>Paula Caroline Morais Duarte - 31/01/2025 08:37:09</t>
  </si>
  <si>
    <t>Paula Caroline Morais Duarte - 11/02/2025 12:01:21</t>
  </si>
  <si>
    <t>Paula Caroline Morais Duarte - 11/02/2025 12:01:22</t>
  </si>
  <si>
    <t>Paula Caroline Morais Duarte - 11/02/2025 12:01:27</t>
  </si>
  <si>
    <t>Paula Caroline Morais Duarte - 11/02/2025 12:01:28</t>
  </si>
  <si>
    <t>Base de Dados_Images/FIT92001.Imagem do Equipamento-.113702.jpg</t>
  </si>
  <si>
    <t>Paula Caroline Morais Duarte - 31/01/2025 08:36:57</t>
  </si>
  <si>
    <t>Filtro Dinâmico</t>
  </si>
  <si>
    <t>FT3001</t>
  </si>
  <si>
    <t>Adriel da Silva Queiroz - 03/03/2025 14:10:22</t>
  </si>
  <si>
    <t>Adriel da Silva Queiroz - 03/03/2025 14:10:23</t>
  </si>
  <si>
    <t>Adriel da Silva Queiroz - 03/03/2025 14:10:26</t>
  </si>
  <si>
    <t>Adriel da Silva Queiroz - 03/03/2025 14:10:28</t>
  </si>
  <si>
    <t>Adriel da Silva Queiroz - 03/03/2025 14:10:29</t>
  </si>
  <si>
    <t>Adriel da Silva Queiroz - 03/03/2025 14:10:31</t>
  </si>
  <si>
    <t>Adriel da Silva Queiroz - 03/03/2025 14:10:32</t>
  </si>
  <si>
    <t>Adriel da Silva Queiroz - 03/03/2025 14:10:40</t>
  </si>
  <si>
    <t>Adriel da Silva Queiroz - 03/03/2025 14:10:41</t>
  </si>
  <si>
    <t>Adriel da Silva Queiroz - 03/03/2025 14:10:43</t>
  </si>
  <si>
    <t>Adriel da Silva Queiroz - 03/03/2025 14:10:47</t>
  </si>
  <si>
    <t>Adriel da Silva Queiroz - 03/03/2025 14:10:53</t>
  </si>
  <si>
    <t>Adriel da Silva Queiroz - 03/03/2025 14:11:00</t>
  </si>
  <si>
    <t>Adriel da Silva Queiroz - 03/03/2025 14:11:08</t>
  </si>
  <si>
    <t>Adriel da Silva Queiroz - 03/03/2025 14:11:09</t>
  </si>
  <si>
    <t>Adriel da Silva Queiroz - 03/03/2025 14:11:10</t>
  </si>
  <si>
    <t>Adriel da Silva Queiroz - 03/03/2025 14:11:16</t>
  </si>
  <si>
    <t>Adriel da Silva Queiroz - 03/03/2025 14:11:19</t>
  </si>
  <si>
    <t>Adriel da Silva Queiroz - 03/03/2025 14:11:18</t>
  </si>
  <si>
    <t>Adriel da Silva Queiroz - 03/03/2025 14:11:21</t>
  </si>
  <si>
    <t>Adriel da Silva Queiroz - 03/03/2025 14:11:23</t>
  </si>
  <si>
    <t>Adriel da Silva Queiroz - 03/03/2025 14:11:24</t>
  </si>
  <si>
    <t>Alisson Airton Sobrinho - 07/03/2025 07:22:19</t>
  </si>
  <si>
    <t>Base de Dados_Images/FT3001.Imagem do Equipamento-.155304.jpg</t>
  </si>
  <si>
    <t>Alisson Airton Sobrinho - 12/02/2025 12:33:42</t>
  </si>
  <si>
    <t>Filtro Prensa</t>
  </si>
  <si>
    <t>FT8101</t>
  </si>
  <si>
    <t>Acionamento Do Filtro Prensa</t>
  </si>
  <si>
    <t>Paula Caroline Morais Duarte - 30/01/2025 15:20:59</t>
  </si>
  <si>
    <t>Paula Caroline Morais Duarte - 30/01/2025 15:21:00</t>
  </si>
  <si>
    <t>Paula Caroline Morais Duarte - 30/01/2025 15:21:03</t>
  </si>
  <si>
    <t>Paula Caroline Morais Duarte - 30/01/2025 15:21:04</t>
  </si>
  <si>
    <t>Paula Caroline Morais Duarte - 30/01/2025 15:21:08</t>
  </si>
  <si>
    <t>Paula Caroline Morais Duarte - 30/01/2025 15:21:10</t>
  </si>
  <si>
    <t>Paula Caroline Morais Duarte - 30/01/2025 15:21:13</t>
  </si>
  <si>
    <t>Paula Caroline Morais Duarte - 30/01/2025 15:21:15</t>
  </si>
  <si>
    <t>Paula Caroline Morais Duarte - 30/01/2025 15:21:16</t>
  </si>
  <si>
    <t>Paula Caroline Morais Duarte - 30/01/2025 15:21:19</t>
  </si>
  <si>
    <t>Paula Caroline Morais Duarte - 30/01/2025 15:21:21</t>
  </si>
  <si>
    <t>Paula Caroline Morais Duarte - 30/01/2025 15:21:23</t>
  </si>
  <si>
    <t>Alisson Airton Sobrinho - 07/03/2025 13:16:11</t>
  </si>
  <si>
    <t>Alisson Airton Sobrinho - 07/03/2025 13:16:12</t>
  </si>
  <si>
    <t>Alisson Airton Sobrinho - 07/03/2025 13:16:13</t>
  </si>
  <si>
    <t>Alisson Airton Sobrinho - 07/03/2025 13:16:14</t>
  </si>
  <si>
    <t>Alisson Airton Sobrinho - 07/03/2025 13:16:24</t>
  </si>
  <si>
    <t>Alisson Airton Sobrinho - 07/03/2025 13:16:25</t>
  </si>
  <si>
    <t>Alisson Airton Sobrinho - 07/03/2025 13:16:26</t>
  </si>
  <si>
    <t>Alisson Airton Sobrinho - 07/03/2025 13:16:27</t>
  </si>
  <si>
    <t>Alisson Airton Sobrinho - 07/03/2025 13:16:31</t>
  </si>
  <si>
    <t>Alisson Airton Sobrinho - 07/03/2025 13:16:33</t>
  </si>
  <si>
    <t>Base de Dados_Images/FT8101.Imagem do Equipamento-.182350.jpg</t>
  </si>
  <si>
    <t>Paula Caroline Morais Duarte - 30/01/2025 15:23:44</t>
  </si>
  <si>
    <t>Base de Dados_Images/FT8101.Imagem da Plaqueta do Motor-.182420.jpg</t>
  </si>
  <si>
    <t>Paula Caroline Morais Duarte - 30/01/2025 15:24:15</t>
  </si>
  <si>
    <t>Peneira VLC</t>
  </si>
  <si>
    <t>FT8102</t>
  </si>
  <si>
    <t>Motor Acionamento Da Peneira Do Vlc</t>
  </si>
  <si>
    <t>Paula Caroline Morais Duarte - 30/01/2025 15:27:46</t>
  </si>
  <si>
    <t>Paula Caroline Morais Duarte - 30/01/2025 15:29:06</t>
  </si>
  <si>
    <t>Weslley Ferreira Cooper - 05/02/2025 16:33:44</t>
  </si>
  <si>
    <t>Weslley Ferreira Cooper - 05/02/2025 16:33:43</t>
  </si>
  <si>
    <t>Paula Caroline Morais Duarte - 30/01/2025 15:27:54</t>
  </si>
  <si>
    <t>Paula Caroline Morais Duarte - 30/01/2025 15:27:55</t>
  </si>
  <si>
    <t>Weslley Ferreira Cooper - 05/02/2025 16:33:41</t>
  </si>
  <si>
    <t>Weslley Ferreira Cooper - 05/02/2025 16:33:40</t>
  </si>
  <si>
    <t>Paula Caroline Morais Duarte - 30/01/2025 15:28:01</t>
  </si>
  <si>
    <t>Paula Caroline Morais Duarte - 30/01/2025 15:29:14</t>
  </si>
  <si>
    <t>Paula Caroline Morais Duarte - 30/01/2025 15:28:44</t>
  </si>
  <si>
    <t>Paula Caroline Morais Duarte - 30/01/2025 15:28:04</t>
  </si>
  <si>
    <t>Paula Caroline Morais Duarte - 30/01/2025 15:28:40</t>
  </si>
  <si>
    <t>Paula Caroline Morais Duarte - 30/01/2025 15:28:31</t>
  </si>
  <si>
    <t>Paula Caroline Morais Duarte - 30/01/2025 15:28:30</t>
  </si>
  <si>
    <t>Paula Caroline Morais Duarte - 30/01/2025 15:28:23</t>
  </si>
  <si>
    <t>Paula Caroline Morais Duarte - 21/02/2025 09:26:57</t>
  </si>
  <si>
    <t>Paula Caroline Morais Duarte - 21/02/2025 09:26:58</t>
  </si>
  <si>
    <t>Paula Caroline Morais Duarte - 21/02/2025 09:26:59</t>
  </si>
  <si>
    <t>Paula Caroline Morais Duarte - 21/02/2025 09:27:00</t>
  </si>
  <si>
    <t>Paula Caroline Morais Duarte - 21/02/2025 09:27:04</t>
  </si>
  <si>
    <t>Paula Caroline Morais Duarte - 21/02/2025 09:27:03</t>
  </si>
  <si>
    <t>Alisson Airton Sobrinho - 07/03/2025 12:44:46</t>
  </si>
  <si>
    <t>Alisson Airton Sobrinho - 07/03/2025 12:44:48</t>
  </si>
  <si>
    <t>Alisson Airton Sobrinho - 07/03/2025 12:44:49</t>
  </si>
  <si>
    <t>Alisson Airton Sobrinho - 07/03/2025 12:44:54</t>
  </si>
  <si>
    <t>Alisson Airton Sobrinho - 07/03/2025 12:44:57</t>
  </si>
  <si>
    <t>Alisson Airton Sobrinho - 07/03/2025 12:44:59</t>
  </si>
  <si>
    <t>Base de Dados_Images/FT8102.Imagem do Equipamento-.182702.jpg</t>
  </si>
  <si>
    <t>Paula Caroline Morais Duarte - 30/01/2025 15:26:02</t>
  </si>
  <si>
    <t>Base de Dados_Images/FT8102.Imagem da Plaqueta do Motor-.182702.jpg</t>
  </si>
  <si>
    <t>Paula Caroline Morais Duarte - 30/01/2025 15:26:53</t>
  </si>
  <si>
    <t>80 - Geração De Energia</t>
  </si>
  <si>
    <t>Gerador</t>
  </si>
  <si>
    <t>GR8801</t>
  </si>
  <si>
    <t>Bomba De Oleo De Emergencia Do Gerador</t>
  </si>
  <si>
    <t>Weslley Ferreira Cooper - 29/01/2025 15:05:19</t>
  </si>
  <si>
    <t>Weslley Ferreira Cooper - 29/01/2025 15:05:18</t>
  </si>
  <si>
    <t>Weslley Ferreira Cooper - 29/01/2025 15:05:12</t>
  </si>
  <si>
    <t>Weslley Ferreira Cooper - 29/01/2025 15:05:10</t>
  </si>
  <si>
    <t>Weslley Ferreira Cooper - 29/01/2025 15:05:15</t>
  </si>
  <si>
    <t>Weslley Ferreira Cooper - 29/01/2025 15:05:02</t>
  </si>
  <si>
    <t>Weslley Ferreira Cooper - 29/01/2025 15:05:01</t>
  </si>
  <si>
    <t>Weslley Ferreira Cooper - 29/01/2025 15:04:59</t>
  </si>
  <si>
    <t>Weslley Ferreira Cooper - 29/01/2025 15:05:04</t>
  </si>
  <si>
    <t>Weslley Ferreira Cooper - 29/01/2025 15:05:07</t>
  </si>
  <si>
    <t>Weslley Ferreira Cooper - 29/01/2025 15:04:55</t>
  </si>
  <si>
    <t>Weslley Ferreira Cooper - 29/01/2025 15:04:54</t>
  </si>
  <si>
    <t>Weslley Ferreira Cooper - 29/01/2025 15:04:49</t>
  </si>
  <si>
    <t>Weslley Ferreira Cooper - 29/01/2025 15:04:48</t>
  </si>
  <si>
    <t>Weslley Ferreira Cooper - 29/01/2025 15:04:46</t>
  </si>
  <si>
    <t>Weslley Ferreira Cooper - 29/01/2025 15:04:44</t>
  </si>
  <si>
    <t>Rafael Roldão Rodrigues - 03/03/2025 11:00:19</t>
  </si>
  <si>
    <t>Rafael Roldão Rodrigues - 03/03/2025 11:00:25</t>
  </si>
  <si>
    <t>Rafael Roldão Rodrigues - 03/03/2025 11:00:27</t>
  </si>
  <si>
    <t>Rafael Roldão Rodrigues - 03/03/2025 11:00:29</t>
  </si>
  <si>
    <t>Rafael Roldão Rodrigues - 03/03/2025 11:00:34</t>
  </si>
  <si>
    <t>Rafael Roldão Rodrigues - 03/03/2025 11:00:35</t>
  </si>
  <si>
    <t>Rafael Roldão Rodrigues - 03/03/2025 11:00:57</t>
  </si>
  <si>
    <t>Rafael Roldão Rodrigues - 03/03/2025 11:00:58</t>
  </si>
  <si>
    <t>Rafael Roldão Rodrigues - 03/03/2025 11:01:00</t>
  </si>
  <si>
    <t>Paula Caroline Morais Duarte - 03/03/2025 16:08:34</t>
  </si>
  <si>
    <t>Paula Caroline Morais Duarte - 03/03/2025 16:08:35</t>
  </si>
  <si>
    <t>Paula Caroline Morais Duarte - 03/03/2025 16:08:36</t>
  </si>
  <si>
    <t>Paula Caroline Morais Duarte - 03/03/2025 16:08:37</t>
  </si>
  <si>
    <t>Base de Dados_Images/GR8801.Imagem do Equipamento-.140147.jpg</t>
  </si>
  <si>
    <t>Rafael Roldão Rodrigues - 03/03/2025 10:59:22</t>
  </si>
  <si>
    <t>Indicador</t>
  </si>
  <si>
    <t>HL0101</t>
  </si>
  <si>
    <t xml:space="preserve">PAINEL DE ACIONAMENTO E SEGURANÇA </t>
  </si>
  <si>
    <t>Paula Caroline Morais Duarte - 05/02/2025 11:49:13</t>
  </si>
  <si>
    <t>Paula Caroline Morais Duarte - 05/02/2025 11:49:14</t>
  </si>
  <si>
    <t>Paula Caroline Morais Duarte - 05/02/2025 11:49:15</t>
  </si>
  <si>
    <t>Paula Caroline Morais Duarte - 05/02/2025 11:49:16</t>
  </si>
  <si>
    <t>Rafael Roldão Rodrigues - 03/03/2025 11:35:55</t>
  </si>
  <si>
    <t>Rafael Roldão Rodrigues - 03/03/2025 11:36:40</t>
  </si>
  <si>
    <t>Rafael Roldão Rodrigues - 03/03/2025 11:36:23</t>
  </si>
  <si>
    <t>Rafael Roldão Rodrigues - 03/03/2025 11:36:54</t>
  </si>
  <si>
    <t>Rafael Roldão Rodrigues - 03/03/2025 11:36:55</t>
  </si>
  <si>
    <t>Alisson Airton Sobrinho - 07/03/2025 06:23:39</t>
  </si>
  <si>
    <t>Alisson Airton Sobrinho - 07/03/2025 06:23:38</t>
  </si>
  <si>
    <t>Base de Dados_Images/HL0101.Imagem do Equipamento-.145657.jpg</t>
  </si>
  <si>
    <t>Paula Caroline Morais Duarte - 05/02/2025 11:49:47</t>
  </si>
  <si>
    <t>Guincho Hilo</t>
  </si>
  <si>
    <t>HL1001</t>
  </si>
  <si>
    <t>Hillo Tombador Mecanico</t>
  </si>
  <si>
    <t>Paula Caroline Morais Duarte - 05/02/2025 11:51:37</t>
  </si>
  <si>
    <t>Paula Caroline Morais Duarte - 05/02/2025 11:51:38</t>
  </si>
  <si>
    <t>Paula Caroline Morais Duarte - 05/02/2025 11:51:40</t>
  </si>
  <si>
    <t>Paula Caroline Morais Duarte - 05/02/2025 11:51:41</t>
  </si>
  <si>
    <t>Paula Caroline Morais Duarte - 05/02/2025 11:51:43</t>
  </si>
  <si>
    <t>Paula Caroline Morais Duarte - 05/02/2025 11:51:44</t>
  </si>
  <si>
    <t>Paula Caroline Morais Duarte - 05/02/2025 11:51:52</t>
  </si>
  <si>
    <t>Paula Caroline Morais Duarte - 05/02/2025 11:51:54</t>
  </si>
  <si>
    <t>Paula Caroline Morais Duarte - 05/02/2025 11:51:56</t>
  </si>
  <si>
    <t>Paula Caroline Morais Duarte - 05/02/2025 11:51:57</t>
  </si>
  <si>
    <t>Alisson Airton Sobrinho - 11/02/2025 14:05:38</t>
  </si>
  <si>
    <t>Alisson Airton Sobrinho - 11/02/2025 14:05:40</t>
  </si>
  <si>
    <t>Paula Caroline Morais Duarte - 05/02/2025 11:52:40</t>
  </si>
  <si>
    <t>Alisson Airton Sobrinho - 11/02/2025 14:05:43</t>
  </si>
  <si>
    <t>Paula Caroline Morais Duarte - 05/02/2025 11:52:51</t>
  </si>
  <si>
    <t>Paula Caroline Morais Duarte - 05/02/2025 11:52:53</t>
  </si>
  <si>
    <t>Paula Caroline Morais Duarte - 05/02/2025 11:52:55</t>
  </si>
  <si>
    <t>Paula Caroline Morais Duarte - 05/02/2025 11:53:10</t>
  </si>
  <si>
    <t>Paula Caroline Morais Duarte - 05/02/2025 11:53:26</t>
  </si>
  <si>
    <t>Paula Caroline Morais Duarte - 05/02/2025 11:53:28</t>
  </si>
  <si>
    <t>Paula Caroline Morais Duarte - 05/02/2025 11:53:30</t>
  </si>
  <si>
    <t>Paula Caroline Morais Duarte - 05/02/2025 11:53:31</t>
  </si>
  <si>
    <t>Paula Caroline Morais Duarte - 05/02/2025 11:53:33</t>
  </si>
  <si>
    <t>Paula Caroline Morais Duarte - 05/02/2025 11:53:36</t>
  </si>
  <si>
    <t>Paula Caroline Morais Duarte - 05/02/2025 11:53:37</t>
  </si>
  <si>
    <t>Paula Caroline Morais Duarte - 05/02/2025 11:53:39</t>
  </si>
  <si>
    <t>Alisson Airton Sobrinho - 07/03/2025 06:23:13</t>
  </si>
  <si>
    <t>Alisson Airton Sobrinho - 07/03/2025 06:23:16</t>
  </si>
  <si>
    <t>Alisson Airton Sobrinho - 07/03/2025 06:23:17</t>
  </si>
  <si>
    <t>Alisson Airton Sobrinho - 07/03/2025 06:23:19</t>
  </si>
  <si>
    <t>Alisson Airton Sobrinho - 07/03/2025 06:23:20</t>
  </si>
  <si>
    <t>Alisson Airton Sobrinho - 07/03/2025 06:23:22</t>
  </si>
  <si>
    <t>Alisson Airton Sobrinho - 07/03/2025 06:23:23</t>
  </si>
  <si>
    <t>Alisson Airton Sobrinho - 07/03/2025 06:23:27</t>
  </si>
  <si>
    <t>Alisson Airton Sobrinho - 07/03/2025 06:23:29</t>
  </si>
  <si>
    <t>Alisson Airton Sobrinho - 07/03/2025 06:23:30</t>
  </si>
  <si>
    <t>Base de Dados_Images/HL1001.Imagem do Equipamento-.154408.jpg</t>
  </si>
  <si>
    <t>Paula Caroline Morais Duarte - 05/02/2025 11:51:24</t>
  </si>
  <si>
    <t>HS77001</t>
  </si>
  <si>
    <t>BOTÃO EMERG. CARREGAMENTO</t>
  </si>
  <si>
    <t>Weslley Ferreira Cooper - 31/01/2025 15:49:32</t>
  </si>
  <si>
    <t>Weslley Ferreira Cooper - 31/01/2025 15:49:31</t>
  </si>
  <si>
    <t>Weslley Ferreira Cooper - 31/01/2025 15:49:29</t>
  </si>
  <si>
    <t>Alisson Airton Sobrinho - 04/02/2025 15:09:52</t>
  </si>
  <si>
    <t>Alisson Airton Sobrinho - 04/02/2025 15:09:53</t>
  </si>
  <si>
    <t>Alisson Airton Sobrinho - 04/02/2025 15:09:55</t>
  </si>
  <si>
    <t>Alisson Airton Sobrinho - 04/02/2025 15:10:02</t>
  </si>
  <si>
    <t>Alisson Airton Sobrinho - 04/02/2025 15:10:03</t>
  </si>
  <si>
    <t>Alisson Airton Sobrinho - 19/02/2025 11:55:22</t>
  </si>
  <si>
    <t>Alisson Airton Sobrinho - 19/02/2025 11:55:23</t>
  </si>
  <si>
    <t>Weslley Ferreira Cooper - 01/31/2025 15:49:18</t>
  </si>
  <si>
    <t>HSC77001</t>
  </si>
  <si>
    <t>PAINEL CONTROLE</t>
  </si>
  <si>
    <t>Beatriz Alves Nunes de Paulo - 06/03/2025 09:10:11</t>
  </si>
  <si>
    <t>Beatriz Alves Nunes de Paulo - 06/03/2025 09:10:19</t>
  </si>
  <si>
    <t>Alisson Airton Sobrinho - 02/17/2025 09:17:22</t>
  </si>
  <si>
    <t>Casa De Força</t>
  </si>
  <si>
    <t>Secador de Açúcar</t>
  </si>
  <si>
    <t>ITI-70A-086A-049-CP90703</t>
  </si>
  <si>
    <t xml:space="preserve">SECADOR CASA DE FORÇA </t>
  </si>
  <si>
    <t>Hugo Luis Leonel - 26/02/2025 12:35:31</t>
  </si>
  <si>
    <t>Hugo Luis Leonel - 26/02/2025 12:35:33</t>
  </si>
  <si>
    <t>Hugo Luis Leonel - 26/02/2025 12:35:35</t>
  </si>
  <si>
    <t>Hugo Luis Leonel - 26/02/2025 12:35:46</t>
  </si>
  <si>
    <t>Hugo Luis Leonel - 26/02/2025 12:35:47</t>
  </si>
  <si>
    <t>Hugo Luis Leonel - 26/02/2025 12:35:51</t>
  </si>
  <si>
    <t>Hugo Luis Leonel - 26/02/2025 12:36:03</t>
  </si>
  <si>
    <t>Hugo Luis Leonel - 26/02/2025 12:36:07</t>
  </si>
  <si>
    <t>Hugo Luis Leonel - 26/02/2025 12:36:10</t>
  </si>
  <si>
    <t>Hugo Luis Leonel - 26/02/2025 12:36:14</t>
  </si>
  <si>
    <t>Hugo Luis Leonel - 26/02/2025 12:36:16</t>
  </si>
  <si>
    <t>Hugo Luis Leonel - 26/02/2025 12:36:17</t>
  </si>
  <si>
    <t>Hugo Luis Leonel - 26/02/2025 12:36:20</t>
  </si>
  <si>
    <t>Hugo Luis Leonel - 26/02/2025 12:36:22</t>
  </si>
  <si>
    <t>Hugo Luis Leonel - 26/02/2025 12:36:25</t>
  </si>
  <si>
    <t>Hugo Luis Leonel - 26/02/2025 12:36:28</t>
  </si>
  <si>
    <t>Hugo Luis Leonel - 26/02/2025 12:36:30</t>
  </si>
  <si>
    <t>Hugo Luis Leonel - 26/02/2025 12:36:32</t>
  </si>
  <si>
    <t>Hugo Luis Leonel - 26/02/2025 12:36:41</t>
  </si>
  <si>
    <t>Hugo Luis Leonel - 26/02/2025 12:36:44</t>
  </si>
  <si>
    <t>Hugo Luis Leonel - 26/02/2025 12:36:48</t>
  </si>
  <si>
    <t>Hugo Luis Leonel - 26/02/2025 12:36:49</t>
  </si>
  <si>
    <t>Hugo Luis Leonel - 26/02/2025 12:36:52</t>
  </si>
  <si>
    <t>Rafael Roldão Rodrigues - 03/03/2025 11:08:19</t>
  </si>
  <si>
    <t>Rafael Roldão Rodrigues - 03/03/2025 11:08:21</t>
  </si>
  <si>
    <t>Rafael Roldão Rodrigues - 03/03/2025 11:08:22</t>
  </si>
  <si>
    <t>Paula Caroline Morais Duarte - 03/03/2025 16:08:00</t>
  </si>
  <si>
    <t>Paula Caroline Morais Duarte - 03/03/2025 16:08:01</t>
  </si>
  <si>
    <t>Paula Caroline Morais Duarte - 03/03/2025 16:08:02</t>
  </si>
  <si>
    <t>Paula Caroline Morais Duarte - 03/03/2025 16:08:03</t>
  </si>
  <si>
    <t>Weslley Ferreira Cooper - 01/29/2025 15:03:03</t>
  </si>
  <si>
    <t>CCM Fabrica De Açucar</t>
  </si>
  <si>
    <t>Compressor de Ar</t>
  </si>
  <si>
    <t>ITI-70A-086A-049-CP9701</t>
  </si>
  <si>
    <t>COMPRESSOR DE AR Nº 01</t>
  </si>
  <si>
    <t>Beatriz Alves Nunes de Paulo - 06/02/2025 11:46:18</t>
  </si>
  <si>
    <t>Beatriz Alves Nunes de Paulo - 06/02/2025 11:46:20</t>
  </si>
  <si>
    <t>Beatriz Alves Nunes de Paulo - 06/02/2025 11:46:22</t>
  </si>
  <si>
    <t>Beatriz Alves Nunes de Paulo - 06/02/2025 11:46:26</t>
  </si>
  <si>
    <t>Beatriz Alves Nunes de Paulo - 06/02/2025 11:46:27</t>
  </si>
  <si>
    <t>Beatriz Alves Nunes de Paulo - 06/02/2025 11:46:29</t>
  </si>
  <si>
    <t>Beatriz Alves Nunes de Paulo - 06/02/2025 11:46:30</t>
  </si>
  <si>
    <t>Beatriz Alves Nunes de Paulo - 06/02/2025 11:46:31</t>
  </si>
  <si>
    <t>Beatriz Alves Nunes de Paulo - 06/02/2025 11:46:33</t>
  </si>
  <si>
    <t>Beatriz Alves Nunes de Paulo - 06/02/2025 11:46:34</t>
  </si>
  <si>
    <t>Beatriz Alves Nunes de Paulo - 06/02/2025 11:46:36</t>
  </si>
  <si>
    <t>Beatriz Alves Nunes de Paulo - 06/02/2025 11:50:11</t>
  </si>
  <si>
    <t>Beatriz Alves Nunes de Paulo - 06/02/2025 11:50:13</t>
  </si>
  <si>
    <t>Beatriz Alves Nunes de Paulo - 06/02/2025 11:50:14</t>
  </si>
  <si>
    <t>Beatriz Alves Nunes de Paulo - 06/02/2025 11:50:22</t>
  </si>
  <si>
    <t>Beatriz Alves Nunes de Paulo - 06/02/2025 11:50:25</t>
  </si>
  <si>
    <t>Beatriz Alves Nunes de Paulo - 06/03/2025 08:46:24</t>
  </si>
  <si>
    <t>Beatriz Alves Nunes de Paulo - 06/03/2025 08:46:25</t>
  </si>
  <si>
    <t>Beatriz Alves Nunes de Paulo - 06/03/2025 08:46:26</t>
  </si>
  <si>
    <t>Base de Dados_Images/ITI-70A-086A-049-CP9701.Imagem do Equipamento-.151107.jpg</t>
  </si>
  <si>
    <t>Beatriz Alves Nunes de Paulo - 06/02/2025 11:46:09</t>
  </si>
  <si>
    <t>ITI-70A-086A-049-CP9702</t>
  </si>
  <si>
    <t>COMPRESSOR DE AR Nº 02</t>
  </si>
  <si>
    <t>Beatriz Alves Nunes de Paulo - 06/02/2025 11:47:07</t>
  </si>
  <si>
    <t>Beatriz Alves Nunes de Paulo - 06/02/2025 11:47:08</t>
  </si>
  <si>
    <t>Beatriz Alves Nunes de Paulo - 06/02/2025 11:47:09</t>
  </si>
  <si>
    <t>Beatriz Alves Nunes de Paulo - 06/02/2025 11:50:35</t>
  </si>
  <si>
    <t>Beatriz Alves Nunes de Paulo - 06/02/2025 11:50:36</t>
  </si>
  <si>
    <t>Beatriz Alves Nunes de Paulo - 06/02/2025 11:50:40</t>
  </si>
  <si>
    <t>Beatriz Alves Nunes de Paulo - 06/02/2025 11:50:42</t>
  </si>
  <si>
    <t>Beatriz Alves Nunes de Paulo - 06/02/2025 11:50:45</t>
  </si>
  <si>
    <t>Beatriz Alves Nunes de Paulo - 06/02/2025 11:50:46</t>
  </si>
  <si>
    <t>Beatriz Alves Nunes de Paulo - 06/02/2025 11:50:52</t>
  </si>
  <si>
    <t>Beatriz Alves Nunes de Paulo - 06/02/2025 11:50:50</t>
  </si>
  <si>
    <t>Beatriz Alves Nunes de Paulo - 06/02/2025 11:50:58</t>
  </si>
  <si>
    <t>Beatriz Alves Nunes de Paulo - 06/02/2025 11:51:01</t>
  </si>
  <si>
    <t>Beatriz Alves Nunes de Paulo - 06/02/2025 11:51:08</t>
  </si>
  <si>
    <t>Beatriz Alves Nunes de Paulo - 06/02/2025 11:51:10</t>
  </si>
  <si>
    <t>Beatriz Alves Nunes de Paulo - 06/02/2025 11:51:11</t>
  </si>
  <si>
    <t>Beatriz Alves Nunes de Paulo - 06/03/2025 08:46:31</t>
  </si>
  <si>
    <t>Beatriz Alves Nunes de Paulo - 06/03/2025 08:46:32</t>
  </si>
  <si>
    <t>Beatriz Alves Nunes de Paulo - 06/03/2025 08:46:33</t>
  </si>
  <si>
    <t>Base de Dados_Images/ITI-70A-086A-049-CP9702.Imagem do Equipamento-.151201.jpg</t>
  </si>
  <si>
    <t>Beatriz Alves Nunes de Paulo - 06/02/2025 11:47:01</t>
  </si>
  <si>
    <t>Calha</t>
  </si>
  <si>
    <t>ITI-70A-086A-049-CP9705</t>
  </si>
  <si>
    <t xml:space="preserve">COMPRESSOR DE AR CALHA PARSHAL PCTS </t>
  </si>
  <si>
    <t>Paula Caroline Morais Duarte - 11/02/2025 08:32:57</t>
  </si>
  <si>
    <t>Paula Caroline Morais Duarte - 11/02/2025 08:32:58</t>
  </si>
  <si>
    <t>Paula Caroline Morais Duarte - 11/02/2025 08:33:04</t>
  </si>
  <si>
    <t>Paula Caroline Morais Duarte - 11/02/2025 08:33:09</t>
  </si>
  <si>
    <t>Paula Caroline Morais Duarte - 11/02/2025 08:33:10</t>
  </si>
  <si>
    <t>Paula Caroline Morais Duarte - 11/02/2025 08:33:16</t>
  </si>
  <si>
    <t>Paula Caroline Morais Duarte - 11/02/2025 08:33:14</t>
  </si>
  <si>
    <t>Paula Caroline Morais Duarte - 11/02/2025 08:33:23</t>
  </si>
  <si>
    <t>Paula Caroline Morais Duarte - 11/02/2025 08:33:26</t>
  </si>
  <si>
    <t>Paula Caroline Morais Duarte - 11/02/2025 08:33:28</t>
  </si>
  <si>
    <t>Hugo Luis Leonel - 26/02/2025 12:33:38</t>
  </si>
  <si>
    <t>Hugo Luis Leonel - 26/02/2025 12:33:50</t>
  </si>
  <si>
    <t>Hugo Luis Leonel - 26/02/2025 12:33:51</t>
  </si>
  <si>
    <t>Weslley Ferreira Cooper - 03/03/2025 23:39:04</t>
  </si>
  <si>
    <t>Weslley Ferreira Cooper - 03/03/2025 23:39:09</t>
  </si>
  <si>
    <t>Weslley Ferreira Cooper - 03/03/2025 23:39:14</t>
  </si>
  <si>
    <t>Alisson Airton Sobrinho - 07/03/2025 13:11:35</t>
  </si>
  <si>
    <t>Alisson Airton Sobrinho - 07/03/2025 13:11:36</t>
  </si>
  <si>
    <t>Alisson Airton Sobrinho - 07/03/2025 13:11:37</t>
  </si>
  <si>
    <t>Base de Dados_Images/ITI-70A-086A-049-CP9705.Imagem do Equipamento-.114237.jpg</t>
  </si>
  <si>
    <t>Paula Caroline Morais Duarte - 11/02/2025 08:33:43</t>
  </si>
  <si>
    <t xml:space="preserve">Calha </t>
  </si>
  <si>
    <t>ITI-70A-086A-049-CP9706</t>
  </si>
  <si>
    <t>COMPRESSOR DE AR CALHA PARSHAL RESIDUAL</t>
  </si>
  <si>
    <t>Paula Caroline Morais Duarte - 03/02/2025 11:58:27</t>
  </si>
  <si>
    <t>Paula Caroline Morais Duarte - 03/02/2025 11:58:33</t>
  </si>
  <si>
    <t>Paula Caroline Morais Duarte - 03/02/2025 11:58:34</t>
  </si>
  <si>
    <t>Paula Caroline Morais Duarte - 03/02/2025 11:58:35</t>
  </si>
  <si>
    <t>Paula Caroline Morais Duarte - 03/02/2025 11:58:38</t>
  </si>
  <si>
    <t>Paula Caroline Morais Duarte - 03/02/2025 11:58:40</t>
  </si>
  <si>
    <t>Paula Caroline Morais Duarte - 03/02/2025 11:58:44</t>
  </si>
  <si>
    <t>Paula Caroline Morais Duarte - 03/02/2025 11:58:42</t>
  </si>
  <si>
    <t>Paula Caroline Morais Duarte - 03/02/2025 11:58:45</t>
  </si>
  <si>
    <t>Paula Caroline Morais Duarte - 21/02/2025 12:01:59</t>
  </si>
  <si>
    <t>Paula Caroline Morais Duarte - 21/02/2025 12:02:00</t>
  </si>
  <si>
    <t>Paula Caroline Morais Duarte - 21/02/2025 12:02:01</t>
  </si>
  <si>
    <t>Paula Caroline Morais Duarte - 21/02/2025 12:02:05</t>
  </si>
  <si>
    <t>Paula Caroline Morais Duarte - 21/02/2025 12:02:06</t>
  </si>
  <si>
    <t>Paula Caroline Morais Duarte - 21/02/2025 12:02:07</t>
  </si>
  <si>
    <t>Paula Caroline Morais Duarte - 21/02/2025 12:02:11</t>
  </si>
  <si>
    <t>Paula Caroline Morais Duarte - 21/02/2025 12:02:12</t>
  </si>
  <si>
    <t>Paula Caroline Morais Duarte - 21/02/2025 12:02:13</t>
  </si>
  <si>
    <t>Paula Caroline Morais Duarte - 21/02/2025 12:02:14</t>
  </si>
  <si>
    <t>Weslley Ferreira Cooper - 02/01/2025 08:32:28</t>
  </si>
  <si>
    <t xml:space="preserve">Balão De Ar </t>
  </si>
  <si>
    <t xml:space="preserve">ITI-70A-086A-196-BL9705 </t>
  </si>
  <si>
    <t xml:space="preserve">COMPRESSOR BALÃO DE AR VLC </t>
  </si>
  <si>
    <t>Paula Caroline Morais Duarte - 01/02/2025 09:31:30</t>
  </si>
  <si>
    <t>Paula Caroline Morais Duarte - 01/02/2025 09:31:33</t>
  </si>
  <si>
    <t>Paula Caroline Morais Duarte - 01/02/2025 09:31:32</t>
  </si>
  <si>
    <t>Paula Caroline Morais Duarte - 01/02/2025 09:31:36</t>
  </si>
  <si>
    <t>Paula Caroline Morais Duarte - 01/02/2025 09:31:37</t>
  </si>
  <si>
    <t>Paula Caroline Morais Duarte - 01/02/2025 09:31:38</t>
  </si>
  <si>
    <t>Paula Caroline Morais Duarte - 01/02/2025 09:31:41</t>
  </si>
  <si>
    <t>Paula Caroline Morais Duarte - 01/02/2025 09:31:46</t>
  </si>
  <si>
    <t>Paula Caroline Morais Duarte - 01/02/2025 09:31:45</t>
  </si>
  <si>
    <t>Paula Caroline Morais Duarte - 01/02/2025 09:31:50</t>
  </si>
  <si>
    <t>Paula Caroline Morais Duarte - 01/02/2025 09:31:53</t>
  </si>
  <si>
    <t>Paula Caroline Morais Duarte - 03/02/2025 15:27:31</t>
  </si>
  <si>
    <t>Paula Caroline Morais Duarte - 03/02/2025 15:27:33</t>
  </si>
  <si>
    <t>Paula Caroline Morais Duarte - 03/02/2025 15:27:35</t>
  </si>
  <si>
    <t>Paula Caroline Morais Duarte - 11/02/2025 08:59:36</t>
  </si>
  <si>
    <t>Paula Caroline Morais Duarte - 11/02/2025 08:59:38</t>
  </si>
  <si>
    <t>Paula Caroline Morais Duarte - 11/02/2025 08:59:40</t>
  </si>
  <si>
    <t>Paula Caroline Morais Duarte - 12/02/2025 09:40:32</t>
  </si>
  <si>
    <t>Paula Caroline Morais Duarte - 12/02/2025 09:40:34</t>
  </si>
  <si>
    <t>Paula Caroline Morais Duarte - 12/02/2025 09:40:35</t>
  </si>
  <si>
    <t>Base de Dados_Images/ITI-70A-086A-196-BL9705.Imagem do Equipamento-.120052.jpg</t>
  </si>
  <si>
    <t>Paula Caroline Morais Duarte - 11/02/2025 09:00:47</t>
  </si>
  <si>
    <t>ITI-70A-091G</t>
  </si>
  <si>
    <t xml:space="preserve">SECADOR FABRICA DE AÇUCAR </t>
  </si>
  <si>
    <t>Beatriz Alves Nunes de Paulo - 06/02/2025 12:23:53</t>
  </si>
  <si>
    <t>Beatriz Alves Nunes de Paulo - 06/02/2025 12:23:55</t>
  </si>
  <si>
    <t>Beatriz Alves Nunes de Paulo - 06/02/2025 12:23:57</t>
  </si>
  <si>
    <t>Beatriz Alves Nunes de Paulo - 06/02/2025 12:24:01</t>
  </si>
  <si>
    <t>Beatriz Alves Nunes de Paulo - 06/02/2025 12:24:10</t>
  </si>
  <si>
    <t>Beatriz Alves Nunes de Paulo - 06/02/2025 12:24:12</t>
  </si>
  <si>
    <t>Beatriz Alves Nunes de Paulo - 06/02/2025 12:24:15</t>
  </si>
  <si>
    <t>Beatriz Alves Nunes de Paulo - 06/02/2025 12:24:17</t>
  </si>
  <si>
    <t>Beatriz Alves Nunes de Paulo - 06/02/2025 12:24:18</t>
  </si>
  <si>
    <t>Beatriz Alves Nunes de Paulo - 06/02/2025 12:24:20</t>
  </si>
  <si>
    <t>Beatriz Alves Nunes de Paulo - 06/02/2025 12:24:21</t>
  </si>
  <si>
    <t>Beatriz Alves Nunes de Paulo - 06/02/2025 12:24:23</t>
  </si>
  <si>
    <t>Beatriz Alves Nunes de Paulo - 06/02/2025 12:24:25</t>
  </si>
  <si>
    <t>Beatriz Alves Nunes de Paulo - 06/02/2025 12:24:27</t>
  </si>
  <si>
    <t>Beatriz Alves Nunes de Paulo - 06/02/2025 12:24:28</t>
  </si>
  <si>
    <t>Beatriz Alves Nunes de Paulo - 06/02/2025 12:24:29</t>
  </si>
  <si>
    <t>Beatriz Alves Nunes de Paulo - 06/02/2025 12:24:32</t>
  </si>
  <si>
    <t>Beatriz Alves Nunes de Paulo - 06/02/2025 12:24:44</t>
  </si>
  <si>
    <t>Beatriz Alves Nunes de Paulo - 06/02/2025 12:24:45</t>
  </si>
  <si>
    <t>Beatriz Alves Nunes de Paulo - 06/02/2025 12:24:47</t>
  </si>
  <si>
    <t>Beatriz Alves Nunes de Paulo - 06/02/2025 12:24:50</t>
  </si>
  <si>
    <t>Beatriz Alves Nunes de Paulo - 06/02/2025 12:24:51</t>
  </si>
  <si>
    <t>Rafael Roldão Rodrigues - 04/03/2025 14:19:58</t>
  </si>
  <si>
    <t>Rafael Roldão Rodrigues - 04/03/2025 14:19:59</t>
  </si>
  <si>
    <t>Rafael Roldão Rodrigues - 04/03/2025 14:20:00</t>
  </si>
  <si>
    <t>Rafael Roldão Rodrigues - 04/03/2025 14:20:01</t>
  </si>
  <si>
    <t>Beatriz Alves Nunes de Paulo - 06/03/2025 08:46:38</t>
  </si>
  <si>
    <t>Beatriz Alves Nunes de Paulo - 06/03/2025 08:46:39</t>
  </si>
  <si>
    <t>Beatriz Alves Nunes de Paulo - 06/03/2025 08:46:40</t>
  </si>
  <si>
    <t>Beatriz Alves Nunes de Paulo - 06/03/2025 08:46:41</t>
  </si>
  <si>
    <t>Beatriz Alves Nunes de Paulo - 02/06/2025 12:23:42</t>
  </si>
  <si>
    <t>LCV30018</t>
  </si>
  <si>
    <t>Válvula Nível Tanque Caldo Clarificado</t>
  </si>
  <si>
    <t>Weslley Ferreira Cooper - 31/01/2025 11:56:55</t>
  </si>
  <si>
    <t>Weslley Ferreira Cooper - 31/01/2025 11:56:54</t>
  </si>
  <si>
    <t>Weslley Ferreira Cooper - 31/01/2025 11:56:53</t>
  </si>
  <si>
    <t>Weslley Ferreira Cooper - 31/01/2025 11:56:49</t>
  </si>
  <si>
    <t>Weslley Ferreira Cooper - 31/01/2025 11:56:48</t>
  </si>
  <si>
    <t>Weslley Ferreira Cooper - 31/01/2025 11:56:47</t>
  </si>
  <si>
    <t>Beatriz Alves Nunes de Paulo - 11/02/2025 11:39:57</t>
  </si>
  <si>
    <t>Beatriz Alves Nunes de Paulo - 11/02/2025 11:40:28</t>
  </si>
  <si>
    <t>Rafael Roldão Rodrigues - 03/03/2025 12:18:26</t>
  </si>
  <si>
    <t>Alisson Airton Sobrinho - 07/03/2025 07:05:08</t>
  </si>
  <si>
    <t>Base de Dados_Images/LCV30018.Imagem do Equipamento-.141858.jpg</t>
  </si>
  <si>
    <t>Erico Borges De Freitas - 01/02/2025 11:16:37</t>
  </si>
  <si>
    <t>LCV30020</t>
  </si>
  <si>
    <t>Válvula Nível Tanque Caldo Misto Preparo</t>
  </si>
  <si>
    <t>Beatriz Alves Nunes de Paulo - 04/02/2025 09:43:24</t>
  </si>
  <si>
    <t>Beatriz Alves Nunes de Paulo - 04/02/2025 09:43:25</t>
  </si>
  <si>
    <t>Beatriz Alves Nunes de Paulo - 04/02/2025 09:43:27</t>
  </si>
  <si>
    <t>Beatriz Alves Nunes de Paulo - 04/02/2025 09:43:31</t>
  </si>
  <si>
    <t>Beatriz Alves Nunes de Paulo - 04/02/2025 09:43:34</t>
  </si>
  <si>
    <t>Beatriz Alves Nunes de Paulo - 04/02/2025 09:43:36</t>
  </si>
  <si>
    <t>Beatriz Alves Nunes de Paulo - 04/02/2025 09:43:37</t>
  </si>
  <si>
    <t>Beatriz Alves Nunes de Paulo - 04/02/2025 09:43:44</t>
  </si>
  <si>
    <t>Beatriz Alves Nunes de Paulo - 04/02/2025 09:43:46</t>
  </si>
  <si>
    <t>Rafael Roldão Rodrigues - 03/03/2025 12:22:33</t>
  </si>
  <si>
    <t>Alisson Airton Sobrinho - 07/03/2025 07:07:42</t>
  </si>
  <si>
    <t>Beatriz Alves Nunes de Paulo - 02/04/2025 09:43:16</t>
  </si>
  <si>
    <t>LCV30027A</t>
  </si>
  <si>
    <t>Valvula Nível Tanque Caldo Decantado Para Pres Açucar</t>
  </si>
  <si>
    <t>Alisson Airton Sobrinho - 07/02/2025 15:03:08</t>
  </si>
  <si>
    <t>Alisson Airton Sobrinho - 07/02/2025 15:03:10</t>
  </si>
  <si>
    <t>Alisson Airton Sobrinho - 07/02/2025 15:03:12</t>
  </si>
  <si>
    <t>Alisson Airton Sobrinho - 07/02/2025 15:03:20</t>
  </si>
  <si>
    <t>Alisson Airton Sobrinho - 07/02/2025 15:03:21</t>
  </si>
  <si>
    <t>Alisson Airton Sobrinho - 07/02/2025 15:03:22</t>
  </si>
  <si>
    <t>Alisson Airton Sobrinho - 07/02/2025 15:03:24</t>
  </si>
  <si>
    <t>Alisson Airton Sobrinho - 07/02/2025 15:03:25</t>
  </si>
  <si>
    <t>Alisson Airton Sobrinho - 07/02/2025 15:03:31</t>
  </si>
  <si>
    <t>Alisson Airton Sobrinho - 07/02/2025 15:03:32</t>
  </si>
  <si>
    <t>Alisson Airton Sobrinho - 07/02/2025 15:03:40</t>
  </si>
  <si>
    <t>Alisson Airton Sobrinho - 07/03/2025 07:18:29</t>
  </si>
  <si>
    <t>Weslley Ferreira Cooper - 01/31/2025 11:52:03</t>
  </si>
  <si>
    <t>Tanque Caldo Primario Da Moenda</t>
  </si>
  <si>
    <t>LCV30029</t>
  </si>
  <si>
    <t>Válvula Nível Tanque Caldo Primario Moenda</t>
  </si>
  <si>
    <t>Adriel da Silva Queiroz - 04/02/2025 10:48:39</t>
  </si>
  <si>
    <t>Adriel da Silva Queiroz - 04/02/2025 10:48:40</t>
  </si>
  <si>
    <t>Adriel da Silva Queiroz - 04/02/2025 10:48:41</t>
  </si>
  <si>
    <t>Adriel da Silva Queiroz - 04/02/2025 10:48:42</t>
  </si>
  <si>
    <t>Adriel da Silva Queiroz - 04/02/2025 10:48:48</t>
  </si>
  <si>
    <t>Adriel da Silva Queiroz - 04/02/2025 10:48:46</t>
  </si>
  <si>
    <t>Alisson Airton Sobrinho - 07/03/2025 07:08:05</t>
  </si>
  <si>
    <t>Alisson Airton Sobrinho - 07/03/2025 07:08:07</t>
  </si>
  <si>
    <t>Alisson Airton Sobrinho - 07/03/2025 07:08:11</t>
  </si>
  <si>
    <t>Alisson Airton Sobrinho - 07/03/2025 07:08:17</t>
  </si>
  <si>
    <t>Adriel da Silva Queiroz - 02/04/2025 10:48:31</t>
  </si>
  <si>
    <t>LCV30030</t>
  </si>
  <si>
    <t>Válvula Nível Tanque Caldo Misto Moenda</t>
  </si>
  <si>
    <t>Beatriz Alves Nunes de Paulo - 12/02/2025 13:19:40</t>
  </si>
  <si>
    <t>Beatriz Alves Nunes de Paulo - 12/02/2025 13:19:34</t>
  </si>
  <si>
    <t>Beatriz Alves Nunes de Paulo - 12/02/2025 13:19:35</t>
  </si>
  <si>
    <t>Beatriz Alves Nunes de Paulo - 12/02/2025 13:19:42</t>
  </si>
  <si>
    <t>Beatriz Alves Nunes de Paulo - 12/02/2025 13:19:43</t>
  </si>
  <si>
    <t>Beatriz Alves Nunes de Paulo - 12/02/2025 13:19:46</t>
  </si>
  <si>
    <t>Beatriz Alves Nunes de Paulo - 12/02/2025 13:19:45</t>
  </si>
  <si>
    <t>Beatriz Alves Nunes de Paulo - 12/02/2025 13:19:53</t>
  </si>
  <si>
    <t>Alisson Airton Sobrinho - 06/03/2025 15:49:53</t>
  </si>
  <si>
    <t>Alisson Airton Sobrinho - 06/03/2025 15:49:54</t>
  </si>
  <si>
    <t>Alisson Airton Sobrinho - 06/03/2025 15:49:58</t>
  </si>
  <si>
    <t>Alisson Airton Sobrinho - 06/03/2025 15:50:02</t>
  </si>
  <si>
    <t>Erico Borges De Freitas - 01/30/2025 11:09:14</t>
  </si>
  <si>
    <t>LCV30047</t>
  </si>
  <si>
    <t>Válvula Nível Tanque Caldo P/ Fermentação</t>
  </si>
  <si>
    <t>Adriel da Silva Queiroz - 14/02/2025 10:56:49</t>
  </si>
  <si>
    <t>Adriel da Silva Queiroz - 14/02/2025 10:56:50</t>
  </si>
  <si>
    <t>Adriel da Silva Queiroz - 14/02/2025 10:56:52</t>
  </si>
  <si>
    <t>Adriel da Silva Queiroz - 14/02/2025 10:56:54</t>
  </si>
  <si>
    <t>Adriel da Silva Queiroz - 14/02/2025 10:56:56</t>
  </si>
  <si>
    <t>Adriel da Silva Queiroz - 14/02/2025 10:56:57</t>
  </si>
  <si>
    <t>Adriel da Silva Queiroz - 14/02/2025 10:56:59</t>
  </si>
  <si>
    <t>Adriel da Silva Queiroz - 14/02/2025 10:59:16</t>
  </si>
  <si>
    <t>Adriel da Silva Queiroz - 14/02/2025 10:59:36</t>
  </si>
  <si>
    <t>Rafael Roldão Rodrigues - 03/03/2025 12:06:23</t>
  </si>
  <si>
    <t>Alisson Airton Sobrinho - 06/03/2025 12:13:19</t>
  </si>
  <si>
    <t>Adriel da Silva Queiroz - 02/14/2025 10:54:39</t>
  </si>
  <si>
    <t>LCV30048</t>
  </si>
  <si>
    <t>Válvula Nível Tanque Xarope</t>
  </si>
  <si>
    <t>Weslley Ferreira Cooper - 30/01/2025 11:53:45</t>
  </si>
  <si>
    <t>Weslley Ferreira Cooper - 30/01/2025 11:53:44</t>
  </si>
  <si>
    <t>Weslley Ferreira Cooper - 30/01/2025 11:53:47</t>
  </si>
  <si>
    <t>Weslley Ferreira Cooper - 30/01/2025 11:53:42</t>
  </si>
  <si>
    <t>Weslley Ferreira Cooper - 30/01/2025 11:53:41</t>
  </si>
  <si>
    <t>Weslley Ferreira Cooper - 30/01/2025 11:53:40</t>
  </si>
  <si>
    <t>Weslley Ferreira Cooper - 30/01/2025 11:53:39</t>
  </si>
  <si>
    <t>Beatriz Alves Nunes de Paulo - 05/02/2025 10:35:18</t>
  </si>
  <si>
    <t>Beatriz Alves Nunes de Paulo - 05/02/2025 10:35:19</t>
  </si>
  <si>
    <t>Rafael Roldão Rodrigues - 03/03/2025 12:26:13</t>
  </si>
  <si>
    <t>Alisson Airton Sobrinho - 07/03/2025 07:21:17</t>
  </si>
  <si>
    <t>Base de Dados_Images/LCV30048.Imagem do Equipamento-.134258.jpg</t>
  </si>
  <si>
    <t>Erico Borges De Freitas - 01/02/2025 10:41:00</t>
  </si>
  <si>
    <t>Tanque Consensado P/ Desaerador</t>
  </si>
  <si>
    <t>LCV35001</t>
  </si>
  <si>
    <t>Válvula Nível Tanque Condensado P/ Desaerador</t>
  </si>
  <si>
    <t>Weslley Ferreira Cooper - 30/01/2025 11:16:23</t>
  </si>
  <si>
    <t>Weslley Ferreira Cooper - 30/01/2025 11:16:22</t>
  </si>
  <si>
    <t>Weslley Ferreira Cooper - 30/01/2025 11:16:21</t>
  </si>
  <si>
    <t>Weslley Ferreira Cooper - 30/01/2025 11:16:28</t>
  </si>
  <si>
    <t>Weslley Ferreira Cooper - 30/01/2025 11:16:27</t>
  </si>
  <si>
    <t>Weslley Ferreira Cooper - 30/01/2025 11:16:26</t>
  </si>
  <si>
    <t>Alisson Airton Sobrinho - 03/03/2025 10:15:39</t>
  </si>
  <si>
    <t>Alisson Airton Sobrinho - 03/03/2025 10:16:37</t>
  </si>
  <si>
    <t>Beatriz Alves Nunes de Paulo - 06/03/2025 08:39:06</t>
  </si>
  <si>
    <t>Base de Dados_Images/LCV35001.Imagem do Equipamento-.145309.jpg</t>
  </si>
  <si>
    <t>Weslley Ferreira Cooper - 30/01/2025 11:16:10</t>
  </si>
  <si>
    <t>LCV35003</t>
  </si>
  <si>
    <t>Válvula Nível Tanque Condensado Vegetal</t>
  </si>
  <si>
    <t>Erico Borges De Freitas - 01/02/2025 10:57:10</t>
  </si>
  <si>
    <t>Erico Borges De Freitas - 01/02/2025 10:57:09</t>
  </si>
  <si>
    <t>Erico Borges De Freitas - 01/02/2025 10:57:07</t>
  </si>
  <si>
    <t>Erico Borges De Freitas - 01/02/2025 10:57:05</t>
  </si>
  <si>
    <t>Erico Borges De Freitas - 01/02/2025 10:57:13</t>
  </si>
  <si>
    <t>Erico Borges De Freitas - 01/02/2025 10:57:14</t>
  </si>
  <si>
    <t>Erico Borges De Freitas - 01/02/2025 10:57:16</t>
  </si>
  <si>
    <t>Erico Borges De Freitas - 01/02/2025 10:57:18</t>
  </si>
  <si>
    <t>Alisson Airton Sobrinho - 03/03/2025 10:48:59</t>
  </si>
  <si>
    <t>Alisson Airton Sobrinho - 03/03/2025 10:49:00</t>
  </si>
  <si>
    <t>Alisson Airton Sobrinho - 03/03/2025 10:49:05</t>
  </si>
  <si>
    <t>Beatriz Alves Nunes de Paulo - 06/03/2025 08:41:52</t>
  </si>
  <si>
    <t>Base de Dados_Images/LCV35003.Imagem do Equipamento-.135751.jpg</t>
  </si>
  <si>
    <t>Erico Borges De Freitas - 01/02/2025 10:56:50</t>
  </si>
  <si>
    <t>Tanque Consensado Caixa 1 2º/3º Açucar</t>
  </si>
  <si>
    <t>LCV35004</t>
  </si>
  <si>
    <t>Válvula Nível Tq. Condens. Caixa 1 - 2/3º Ef. Açucar</t>
  </si>
  <si>
    <t>Weslley Ferreira Cooper - 30/01/2025 11:55:23</t>
  </si>
  <si>
    <t>Weslley Ferreira Cooper - 30/01/2025 11:55:22</t>
  </si>
  <si>
    <t>Weslley Ferreira Cooper - 30/01/2025 11:55:25</t>
  </si>
  <si>
    <t>Weslley Ferreira Cooper - 30/01/2025 11:55:20</t>
  </si>
  <si>
    <t>Weslley Ferreira Cooper - 30/01/2025 11:55:19</t>
  </si>
  <si>
    <t>Weslley Ferreira Cooper - 30/01/2025 11:55:18</t>
  </si>
  <si>
    <t>Adriel da Silva Queiroz - 03/03/2025 11:19:56</t>
  </si>
  <si>
    <t>Adriel da Silva Queiroz - 03/03/2025 11:19:57</t>
  </si>
  <si>
    <t>Adriel da Silva Queiroz - 03/03/2025 11:20:01</t>
  </si>
  <si>
    <t>Beatriz Alves Nunes de Paulo - 06/03/2025 08:40:00</t>
  </si>
  <si>
    <t>Base de Dados_Images/LCV35004.Imagem do Equipamento-.145643.jpg</t>
  </si>
  <si>
    <t>Weslley Ferreira Cooper - 30/01/2025 11:55:05</t>
  </si>
  <si>
    <t>LCV35005</t>
  </si>
  <si>
    <t>Válvula Nível Tq. Cond. Pré-Evap. 3 - 1/2º Ef. Açucar</t>
  </si>
  <si>
    <t>Erico Borges De Freitas - 01/02/2025 12:14:47</t>
  </si>
  <si>
    <t>Erico Borges De Freitas - 01/02/2025 12:14:46</t>
  </si>
  <si>
    <t>Erico Borges De Freitas - 01/02/2025 12:14:44</t>
  </si>
  <si>
    <t>Erico Borges De Freitas - 01/02/2025 12:14:43</t>
  </si>
  <si>
    <t>Erico Borges De Freitas - 01/02/2025 12:14:41</t>
  </si>
  <si>
    <t>Erico Borges De Freitas - 01/02/2025 12:14:39</t>
  </si>
  <si>
    <t>Erico Borges De Freitas - 01/02/2025 12:14:38</t>
  </si>
  <si>
    <t>Erico Borges De Freitas - 01/02/2025 12:14:35</t>
  </si>
  <si>
    <t>Alisson Airton Sobrinho - 03/03/2025 10:58:30</t>
  </si>
  <si>
    <t>Alisson Airton Sobrinho - 03/03/2025 10:58:31</t>
  </si>
  <si>
    <t>Alisson Airton Sobrinho - 03/03/2025 10:58:34</t>
  </si>
  <si>
    <t>Alisson Airton Sobrinho - 07/03/2025 09:05:56</t>
  </si>
  <si>
    <t>Base de Dados_Images/LCV35005.Imagem do Equipamento-.152039.jpg</t>
  </si>
  <si>
    <t>Erico Borges De Freitas - 01/02/2025 12:14:25</t>
  </si>
  <si>
    <t>LCV40010</t>
  </si>
  <si>
    <t>Válvula Nível Tanque Condensado Vácuos</t>
  </si>
  <si>
    <t>Beatriz Alves Nunes de Paulo - 17/02/2025 08:22:30</t>
  </si>
  <si>
    <t>Beatriz Alves Nunes de Paulo - 17/02/2025 08:22:32</t>
  </si>
  <si>
    <t>Beatriz Alves Nunes de Paulo - 17/02/2025 08:22:35</t>
  </si>
  <si>
    <t>Beatriz Alves Nunes de Paulo - 17/02/2025 08:22:37</t>
  </si>
  <si>
    <t>Beatriz Alves Nunes de Paulo - 17/02/2025 08:22:39</t>
  </si>
  <si>
    <t>Beatriz Alves Nunes de Paulo - 17/02/2025 08:22:40</t>
  </si>
  <si>
    <t>Beatriz Alves Nunes de Paulo - 17/02/2025 08:22:44</t>
  </si>
  <si>
    <t>Beatriz Alves Nunes de Paulo - 17/02/2025 08:22:45</t>
  </si>
  <si>
    <t>Beatriz Alves Nunes de Paulo - 17/02/2025 08:23:13</t>
  </si>
  <si>
    <t>Beatriz Alves Nunes de Paulo - 17/02/2025 08:23:15</t>
  </si>
  <si>
    <t>Beatriz Alves Nunes de Paulo - 20/02/2025 12:49:23</t>
  </si>
  <si>
    <t>Alisson Airton Sobrinho - 07/03/2025 08:23:36</t>
  </si>
  <si>
    <t>Beatriz Alves Nunes de Paulo - 02/08/2025 14:16:44</t>
  </si>
  <si>
    <t>LCV65005</t>
  </si>
  <si>
    <t>Válvula Condensado Tanque Pulmão De Caldo</t>
  </si>
  <si>
    <t>Weslley Ferreira Cooper - 29/01/2025 14:50:22</t>
  </si>
  <si>
    <t>Weslley Ferreira Cooper - 29/01/2025 14:50:17</t>
  </si>
  <si>
    <t>Weslley Ferreira Cooper - 29/01/2025 14:50:15</t>
  </si>
  <si>
    <t>Weslley Ferreira Cooper - 29/01/2025 14:50:19</t>
  </si>
  <si>
    <t>Weslley Ferreira Cooper - 29/01/2025 14:50:13</t>
  </si>
  <si>
    <t>Weslley Ferreira Cooper - 29/01/2025 14:50:12</t>
  </si>
  <si>
    <t>Weslley Ferreira Cooper - 29/01/2025 14:50:11</t>
  </si>
  <si>
    <t>Weslley Ferreira Cooper - 29/01/2025 14:50:09</t>
  </si>
  <si>
    <t>Alisson Airton Sobrinho - 25/02/2025 09:50:03</t>
  </si>
  <si>
    <t>Alisson Airton Sobrinho - 25/02/2025 09:50:05</t>
  </si>
  <si>
    <t>Alisson Airton Sobrinho - 25/02/2025 09:50:14</t>
  </si>
  <si>
    <t>Alisson Airton Sobrinho - 04/03/2025 09:04:44</t>
  </si>
  <si>
    <t>Base de Dados_Images/LCV65005.Imagem do Equipamento-.170554.jpg</t>
  </si>
  <si>
    <t>Libner Ferreira De Morais - 05/02/2025 13:55:00</t>
  </si>
  <si>
    <t>LCV65027</t>
  </si>
  <si>
    <t>Válvula Nível Tanque Vinho A Centrifugar</t>
  </si>
  <si>
    <t>Libner Ferreira De Morais - 06/02/2025 14:56:45</t>
  </si>
  <si>
    <t>Libner Ferreira De Morais - 06/02/2025 14:56:46</t>
  </si>
  <si>
    <t>Libner Ferreira De Morais - 06/02/2025 14:56:48</t>
  </si>
  <si>
    <t>Libner Ferreira De Morais - 06/02/2025 14:56:50</t>
  </si>
  <si>
    <t>Libner Ferreira De Morais - 06/02/2025 14:56:51</t>
  </si>
  <si>
    <t>Libner Ferreira De Morais - 06/02/2025 14:56:53</t>
  </si>
  <si>
    <t>Libner Ferreira De Morais - 06/02/2025 14:56:54</t>
  </si>
  <si>
    <t>Libner Ferreira De Morais - 06/02/2025 14:56:56</t>
  </si>
  <si>
    <t>Alisson Airton Sobrinho - 08/02/2025 10:50:28</t>
  </si>
  <si>
    <t>Alisson Airton Sobrinho - 08/02/2025 10:50:29</t>
  </si>
  <si>
    <t>Beatriz Alves Nunes de Paulo - 06/03/2025 09:21:06</t>
  </si>
  <si>
    <t>Beatriz Alves Nunes de Paulo - 06/03/2025 09:21:09</t>
  </si>
  <si>
    <t>Base de Dados_Images/LCV65027.Imagem do Equipamento-.171813.jpg</t>
  </si>
  <si>
    <t>Libner Ferreira De Morais - 05/02/2025 14:17:55</t>
  </si>
  <si>
    <t>LCV70028</t>
  </si>
  <si>
    <t>Válvula Nível Tanque Vinhaça</t>
  </si>
  <si>
    <t>Alisson Airton Sobrinho - 29/01/2025 19:11:50</t>
  </si>
  <si>
    <t>Alisson Airton Sobrinho - 29/01/2025 19:11:51</t>
  </si>
  <si>
    <t>Alisson Airton Sobrinho - 29/01/2025 19:11:52</t>
  </si>
  <si>
    <t>Alisson Airton Sobrinho - 29/01/2025 19:11:53</t>
  </si>
  <si>
    <t>Alisson Airton Sobrinho - 29/01/2025 19:11:54</t>
  </si>
  <si>
    <t>Alisson Airton Sobrinho - 29/01/2025 19:11:55</t>
  </si>
  <si>
    <t>Alisson Airton Sobrinho - 29/01/2025 19:11:56</t>
  </si>
  <si>
    <t>Alisson Airton Sobrinho - 29/01/2025 19:11:58</t>
  </si>
  <si>
    <t>Libner Ferreira De Morais - 06/02/2025 14:29:31</t>
  </si>
  <si>
    <t>Libner Ferreira De Morais - 06/02/2025 14:29:32</t>
  </si>
  <si>
    <t>Rafael Roldão Rodrigues - 04/03/2025 14:45:51</t>
  </si>
  <si>
    <t>Alisson Airton Sobrinho - 07/03/2025 08:06:17</t>
  </si>
  <si>
    <t>Base de Dados_Images/LCV70028.Imagem do Equipamento-.221232.jpg</t>
  </si>
  <si>
    <t>Alisson Airton Sobrinho - 29/01/2025 19:11:45</t>
  </si>
  <si>
    <t>LCV81014A</t>
  </si>
  <si>
    <t>Válvula Água Alimentação Desaerador (Pos014-07)</t>
  </si>
  <si>
    <t>Paula Caroline Morais Duarte - 22/01/2025 11:15:08</t>
  </si>
  <si>
    <t>Paula Caroline Morais Duarte - 22/01/2025 11:15:10</t>
  </si>
  <si>
    <t>Paula Caroline Morais Duarte - 22/01/2025 11:15:12</t>
  </si>
  <si>
    <t>Paula Caroline Morais Duarte - 22/01/2025 11:15:13</t>
  </si>
  <si>
    <t>Paula Caroline Morais Duarte - 22/01/2025 11:15:19</t>
  </si>
  <si>
    <t>Paula Caroline Morais Duarte - 22/01/2025 11:15:18</t>
  </si>
  <si>
    <t>Paula Caroline Morais Duarte - 22/01/2025 11:15:22</t>
  </si>
  <si>
    <t>Paula Caroline Morais Duarte - 22/01/2025 11:15:23</t>
  </si>
  <si>
    <t>Paula Caroline Morais Duarte - 17/02/2025 08:32:22</t>
  </si>
  <si>
    <t>Paula Caroline Morais Duarte - 17/02/2025 08:32:23</t>
  </si>
  <si>
    <t>Paula Caroline Morais Duarte - 17/02/2025 08:32:27</t>
  </si>
  <si>
    <t>Paula Caroline Morais Duarte - 17/02/2025 08:32:30</t>
  </si>
  <si>
    <t>Base de Dados_Images/LCV81014A.Imagem do Equipamento-.190405.jpg</t>
  </si>
  <si>
    <t>Paula Caroline Morais Duarte - 22/01/2025 11:15:00</t>
  </si>
  <si>
    <t>LCV81014B</t>
  </si>
  <si>
    <t>Válvula Overflow Água Desaerador (Pos013-07)</t>
  </si>
  <si>
    <t>Paula Caroline Morais Duarte - 22/01/2025 11:13:47</t>
  </si>
  <si>
    <t>Paula Caroline Morais Duarte - 22/01/2025 11:13:49</t>
  </si>
  <si>
    <t>Paula Caroline Morais Duarte - 22/01/2025 11:13:51</t>
  </si>
  <si>
    <t>Paula Caroline Morais Duarte - 22/01/2025 11:13:55</t>
  </si>
  <si>
    <t>Paula Caroline Morais Duarte - 22/01/2025 11:13:57</t>
  </si>
  <si>
    <t>Paula Caroline Morais Duarte - 22/01/2025 11:14:00</t>
  </si>
  <si>
    <t>Paula Caroline Morais Duarte - 22/01/2025 11:14:02</t>
  </si>
  <si>
    <t>Paula Caroline Morais Duarte - 22/01/2025 11:14:06</t>
  </si>
  <si>
    <t>Paula Caroline Morais Duarte - 17/02/2025 09:06:49</t>
  </si>
  <si>
    <t>Paula Caroline Morais Duarte - 17/02/2025 09:06:50</t>
  </si>
  <si>
    <t>Paula Caroline Morais Duarte - 17/02/2025 09:06:54</t>
  </si>
  <si>
    <t>Paula Caroline Morais Duarte - 17/02/2025 09:07:00</t>
  </si>
  <si>
    <t>Base de Dados_Images/LCV81014B.Imagem do Equipamento-.190323.jpg</t>
  </si>
  <si>
    <t>Paula Caroline Morais Duarte - 22/01/2025 11:13:39</t>
  </si>
  <si>
    <t>LCV81027</t>
  </si>
  <si>
    <t>Válv. Controle Nível Tanque Água Clarificada (Pos240-06)</t>
  </si>
  <si>
    <t>Paula Caroline Morais Duarte - 30/01/2025 15:00:23</t>
  </si>
  <si>
    <t>Paula Caroline Morais Duarte - 30/01/2025 15:00:25</t>
  </si>
  <si>
    <t>Paula Caroline Morais Duarte - 30/01/2025 15:00:28</t>
  </si>
  <si>
    <t>Paula Caroline Morais Duarte - 30/01/2025 15:00:30</t>
  </si>
  <si>
    <t>Paula Caroline Morais Duarte - 30/01/2025 15:00:32</t>
  </si>
  <si>
    <t>Paula Caroline Morais Duarte - 30/01/2025 15:00:33</t>
  </si>
  <si>
    <t>Paula Caroline Morais Duarte - 30/01/2025 15:00:35</t>
  </si>
  <si>
    <t>Paula Caroline Morais Duarte - 30/01/2025 15:00:37</t>
  </si>
  <si>
    <t>Alisson Airton Sobrinho - 07/03/2025 15:29:10</t>
  </si>
  <si>
    <t>Alisson Airton Sobrinho - 07/03/2025 15:29:11</t>
  </si>
  <si>
    <t>Alisson Airton Sobrinho - 07/03/2025 15:29:17</t>
  </si>
  <si>
    <t>Alisson Airton Sobrinho - 07/03/2025 15:29:20</t>
  </si>
  <si>
    <t>Base de Dados_Images/LCV81027.Imagem do Equipamento-.180018.jpg</t>
  </si>
  <si>
    <t>Paula Caroline Morais Duarte - 30/01/2025 15:00:13</t>
  </si>
  <si>
    <t>LIC30018</t>
  </si>
  <si>
    <t>Controle De Nível Tanque Caldo Clarificado</t>
  </si>
  <si>
    <t>Alisson Airton Sobrinho - 07/03/2025 07:04:21</t>
  </si>
  <si>
    <t>Alisson Airton Sobrinho - 07/03/2025 07:04:22</t>
  </si>
  <si>
    <t>Alisson Airton Sobrinho - 07/03/2025 07:04:27</t>
  </si>
  <si>
    <t>Base de Dados_Images/LIC30018.Imagem do Equipamento-.111509.jpg</t>
  </si>
  <si>
    <t>Alisson Airton Sobrinho - 08/02/2025 08:07:59</t>
  </si>
  <si>
    <t>LIC30020</t>
  </si>
  <si>
    <t>Controle De Nível Tanque Caldo Misto Do Preparo</t>
  </si>
  <si>
    <t>Beatriz Alves Nunes de Paulo - 06/03/2025 08:37:41</t>
  </si>
  <si>
    <t>Beatriz Alves Nunes de Paulo - 06/03/2025 08:37:42</t>
  </si>
  <si>
    <t>Alisson Airton Sobrinho - 07/03/2025 07:07:19</t>
  </si>
  <si>
    <t>Beatriz Alves Nunes de Paulo - 02/04/2025 09:44:03</t>
  </si>
  <si>
    <t>LIC30027</t>
  </si>
  <si>
    <t>Controle De Nível Tanque Caldo Decantado</t>
  </si>
  <si>
    <t>Alisson Airton Sobrinho - 07/03/2025 07:17:44</t>
  </si>
  <si>
    <t>Alisson Airton Sobrinho - 07/03/2025 07:17:48</t>
  </si>
  <si>
    <t>Alisson Airton Sobrinho - 03/06/2025 11:59:28</t>
  </si>
  <si>
    <t>LIC30028</t>
  </si>
  <si>
    <t>Controle De Nível Tanque Lodo</t>
  </si>
  <si>
    <t>Alisson Airton Sobrinho - 04/03/2025 13:25:39</t>
  </si>
  <si>
    <t>Alisson Airton Sobrinho - 04/03/2025 13:25:40</t>
  </si>
  <si>
    <t>Alisson Airton Sobrinho - 07/03/2025 07:19:50</t>
  </si>
  <si>
    <t>Beatriz Alves Nunes de Paulo - 01/28/2025 11:37:30</t>
  </si>
  <si>
    <t>LIC30029</t>
  </si>
  <si>
    <t>Controle De Nível Tanque Caldo Primário Da Moenda</t>
  </si>
  <si>
    <t>Adriel da Silva Queiroz - 03/03/2025 11:27:45</t>
  </si>
  <si>
    <t>Adriel da Silva Queiroz - 03/03/2025 11:27:46</t>
  </si>
  <si>
    <t>Alisson Airton Sobrinho - 07/03/2025 07:24:06</t>
  </si>
  <si>
    <t>Adriel da Silva Queiroz - 02/04/2025 10:47:58</t>
  </si>
  <si>
    <t>LIC30030</t>
  </si>
  <si>
    <t>Controle De Nível Tanque Caldo Misto Da Moenda</t>
  </si>
  <si>
    <t>Alisson Airton Sobrinho - 07/03/2025 07:24:11</t>
  </si>
  <si>
    <t>Alisson Airton Sobrinho - 07/03/2025 07:24:12</t>
  </si>
  <si>
    <t>Alisson Airton Sobrinho - 07/03/2025 07:24:14</t>
  </si>
  <si>
    <t>Alisson Airton Sobrinho - 07/03/2025 07:24:15</t>
  </si>
  <si>
    <t>Adriel da Silva Queiroz - 02/06/2025 11:43:20</t>
  </si>
  <si>
    <t>Pre Evaporador 3 1º/2º Efeito Açucar</t>
  </si>
  <si>
    <t>LIC30041</t>
  </si>
  <si>
    <t>Controle De Nível Pré-Evap. 3 - 1/2º Efeitos Açúcar</t>
  </si>
  <si>
    <t>Adriel da Silva Queiroz - 03/03/2025 11:24:17</t>
  </si>
  <si>
    <t>Alisson Airton Sobrinho - 07/03/2025 07:02:38</t>
  </si>
  <si>
    <t>Base de Dados_Images/LIC30041.Imagem do Equipamento-.153919.jpg</t>
  </si>
  <si>
    <t>Alisson Airton Sobrinho - 04/03/2025 12:39:15</t>
  </si>
  <si>
    <t>Caixa 1 2º/3º Efeito Açucar</t>
  </si>
  <si>
    <t>LIC30042</t>
  </si>
  <si>
    <t>Controle De Nível Caixa 1 - 2/3º Efeitos Açúcar</t>
  </si>
  <si>
    <t>Adriel da Silva Queiroz - 03/03/2025 11:12:51</t>
  </si>
  <si>
    <t>Adriel da Silva Queiroz - 03/03/2025 11:12:52</t>
  </si>
  <si>
    <t>Alisson Airton Sobrinho - 06/03/2025 12:10:59</t>
  </si>
  <si>
    <t>Alisson Airton Sobrinho - 06/03/2025 12:11:01</t>
  </si>
  <si>
    <t>Alisson Airton Sobrinho - 02/10/2025 11:30:21</t>
  </si>
  <si>
    <t>Caixa 2 3º/4º Efeito Açucar</t>
  </si>
  <si>
    <t>LIC30045</t>
  </si>
  <si>
    <t>Controle De Nível Caixa 2 - 3/4º Efeitos Açúcar</t>
  </si>
  <si>
    <t>Adriel da Silva Queiroz - 03/03/2025 11:14:16</t>
  </si>
  <si>
    <t>Alisson Airton Sobrinho - 06/03/2025 12:13:51</t>
  </si>
  <si>
    <t>Adriel da Silva Queiroz - 03/03/2025 11:13:48</t>
  </si>
  <si>
    <t>Caixa 3 4º/5º Efeito Açucar</t>
  </si>
  <si>
    <t>LIC30046</t>
  </si>
  <si>
    <t>Controle De Nível Caldo Caixa 3 - 4/5º Efeitos Açúcar</t>
  </si>
  <si>
    <t>Alisson Airton Sobrinho - 06/03/2025 12:02:22</t>
  </si>
  <si>
    <t>Alisson Airton Sobrinho - 06/03/2025 12:11:37</t>
  </si>
  <si>
    <t>Alisson Airton Sobrinho - 06/03/2025 12:11:38</t>
  </si>
  <si>
    <t>Adriel da Silva Queiroz - 03/03/2025 11:14:49</t>
  </si>
  <si>
    <t>LIC30047</t>
  </si>
  <si>
    <t>Controle De Nível Caldo Caixa 4 - 5º Efeito Açúcar</t>
  </si>
  <si>
    <t>Alisson Airton Sobrinho - 06/03/2025 11:56:43</t>
  </si>
  <si>
    <t>Alisson Airton Sobrinho - 06/03/2025 12:12:18</t>
  </si>
  <si>
    <t>Alisson Airton Sobrinho - 03/06/2025 11:48:14</t>
  </si>
  <si>
    <t>LIC30049</t>
  </si>
  <si>
    <t>Controle De Nivel Tanque Caldo Pre Evap Para Ferm</t>
  </si>
  <si>
    <t>Beatriz Alves Nunes de Paulo - 06/03/2025 08:42:13</t>
  </si>
  <si>
    <t>Beatriz Alves Nunes de Paulo - 06/03/2025 08:42:18</t>
  </si>
  <si>
    <t>Beatriz Alves Nunes de Paulo - 06/03/2025 08:42:20</t>
  </si>
  <si>
    <t>Alisson Airton Sobrinho - 03/03/2025 16:29:27</t>
  </si>
  <si>
    <t>LIC35001</t>
  </si>
  <si>
    <t>Controle De Nível Tanque Condensado P/ Desaerador</t>
  </si>
  <si>
    <t>Adriel da Silva Queiroz - 03/03/2025 11:20:37</t>
  </si>
  <si>
    <t>Adriel da Silva Queiroz - 03/03/2025 11:20:40</t>
  </si>
  <si>
    <t>Beatriz Alves Nunes de Paulo - 06/03/2025 08:38:53</t>
  </si>
  <si>
    <t>Adriel da Silva Queiroz - 03/03/2025 11:20:31</t>
  </si>
  <si>
    <t>LIC35004</t>
  </si>
  <si>
    <t>Controle De Nível Tanque Condensado Pré-Evap. 3 Açúcar</t>
  </si>
  <si>
    <t>Beatriz Alves Nunes de Paulo - 06/03/2025 08:39:39</t>
  </si>
  <si>
    <t>Beatriz Alves Nunes de Paulo - 06/03/2025 08:39:45</t>
  </si>
  <si>
    <t>Beatriz Alves Nunes de Paulo - 03/06/2025 08:39:34</t>
  </si>
  <si>
    <t>LIC35005</t>
  </si>
  <si>
    <t>Controle De Nível Tanque Condensado Pré-Evap. 2 Açúcar</t>
  </si>
  <si>
    <t>Alisson Airton Sobrinho - 07/03/2025 09:06:18</t>
  </si>
  <si>
    <t>Alisson Airton Sobrinho - 07/03/2025 09:06:19</t>
  </si>
  <si>
    <t>Alisson Airton Sobrinho - 07/03/2025 09:06:15</t>
  </si>
  <si>
    <t>Alisson Airton Sobrinho - 07/03/2025 09:06:14</t>
  </si>
  <si>
    <t>Adriel da Silva Queiroz - 03/03/2025 15:18:42</t>
  </si>
  <si>
    <t>Rosca Magma 1</t>
  </si>
  <si>
    <t>LIC40014</t>
  </si>
  <si>
    <t>Controle De Nivel Da Rosca De Magma 01</t>
  </si>
  <si>
    <t>Beatriz Alves Nunes de Paulo - 11/02/2025 14:04:08</t>
  </si>
  <si>
    <t>Beatriz Alves Nunes de Paulo - 11/02/2025 14:04:10</t>
  </si>
  <si>
    <t>Alisson Airton Sobrinho - 07/03/2025 11:16:17</t>
  </si>
  <si>
    <t>Alisson Airton Sobrinho - 07/03/2025 11:16:16</t>
  </si>
  <si>
    <t>Base de Dados_Images/LIC40014.Imagem do Equipamento-.150857.jpg</t>
  </si>
  <si>
    <t>Beatriz Alves Nunes de Paulo - 30/01/2025 11:52:43</t>
  </si>
  <si>
    <t>Rosca Magma 2</t>
  </si>
  <si>
    <t>LIC40015</t>
  </si>
  <si>
    <t>Controle De Nivel Da Rosca De Magma 02</t>
  </si>
  <si>
    <t>Beatriz Alves Nunes de Paulo - 11/02/2025 14:04:44</t>
  </si>
  <si>
    <t>Beatriz Alves Nunes de Paulo - 11/02/2025 14:04:45</t>
  </si>
  <si>
    <t>Alisson Airton Sobrinho - 07/03/2025 11:16:06</t>
  </si>
  <si>
    <t>Base de Dados_Images/LIC40015.Imagem do Equipamento-.143509.jpg</t>
  </si>
  <si>
    <t>Alisson Airton Sobrinho - 27/01/2025 10:35:13</t>
  </si>
  <si>
    <t>LIC40023</t>
  </si>
  <si>
    <t>Controle De Nível Tanque Diluidor De Mel Pobre</t>
  </si>
  <si>
    <t>Alisson Airton Sobrinho - 07/03/2025 08:25:21</t>
  </si>
  <si>
    <t>Alisson Airton Sobrinho - 07/03/2025 08:25:25</t>
  </si>
  <si>
    <t>Alisson Airton Sobrinho - 07/03/2025 08:25:27</t>
  </si>
  <si>
    <t>Beatriz Alves Nunes de Paulo - 02/17/2025 08:31:12</t>
  </si>
  <si>
    <t>LIC40025</t>
  </si>
  <si>
    <t>Controle De Nivel Tanque Magma Diluido</t>
  </si>
  <si>
    <t>Rafael Roldão Rodrigues - 04/03/2025 14:30:58</t>
  </si>
  <si>
    <t>Alisson Airton Sobrinho - 07/03/2025 08:24:10</t>
  </si>
  <si>
    <t>Alisson Airton Sobrinho - 07/03/2025 08:24:11</t>
  </si>
  <si>
    <t>Base de Dados_Images/LIC40025.Imagem do Equipamento-.150725.jpg</t>
  </si>
  <si>
    <t>Beatriz Alves Nunes de Paulo - 30/01/2025 11:43:19</t>
  </si>
  <si>
    <t>Tanque Agua Emergencia</t>
  </si>
  <si>
    <t>LIC65025</t>
  </si>
  <si>
    <t>Controle De Nivel Da Caixa De Agua De Emergencia</t>
  </si>
  <si>
    <t>Beatriz Alves Nunes de Paulo - 06/03/2025 09:22:07</t>
  </si>
  <si>
    <t>Beatriz Alves Nunes de Paulo - 06/03/2025 09:22:08</t>
  </si>
  <si>
    <t>Beatriz Alves Nunes de Paulo - 06/03/2025 09:22:12</t>
  </si>
  <si>
    <t>Beatriz Alves Nunes de Paulo - 06/03/2025 09:22:13</t>
  </si>
  <si>
    <t>Base de Dados_Images/LIC65025.Imagem do Equipamento-.172512.jpg</t>
  </si>
  <si>
    <t>Libner Ferreira De Morais - 05/02/2025 14:25:04</t>
  </si>
  <si>
    <t>LIC65027</t>
  </si>
  <si>
    <t>Controle De Nivel Do Tanque De Vinho A Centrifugar</t>
  </si>
  <si>
    <t>Libner Ferreira De Morais - 06/02/2025 14:11:40</t>
  </si>
  <si>
    <t>Libner Ferreira De Morais - 06/02/2025 14:11:41</t>
  </si>
  <si>
    <t>Beatriz Alves Nunes de Paulo - 06/03/2025 09:20:04</t>
  </si>
  <si>
    <t>Beatriz Alves Nunes de Paulo - 06/03/2025 09:20:05</t>
  </si>
  <si>
    <t>Base de Dados_Images/LIC65027.Imagem do Equipamento-.171136.jpg</t>
  </si>
  <si>
    <t>Libner Ferreira De Morais - 06/02/2025 14:11:29</t>
  </si>
  <si>
    <t>LIC70028</t>
  </si>
  <si>
    <t>Controle De Nível Tanque Vinhaça</t>
  </si>
  <si>
    <t>Libner Ferreira De Morais - 06/02/2025 14:29:08</t>
  </si>
  <si>
    <t>Libner Ferreira De Morais - 06/02/2025 14:29:09</t>
  </si>
  <si>
    <t>Alisson Airton Sobrinho - 06/03/2025 14:52:29</t>
  </si>
  <si>
    <t>Alisson Airton Sobrinho - 06/03/2025 14:52:31</t>
  </si>
  <si>
    <t>Base de Dados_Images/LIC70028.Imagem do Equipamento-.172908.jpg</t>
  </si>
  <si>
    <t>Libner Ferreira De Morais - 06/02/2025 14:29:02</t>
  </si>
  <si>
    <t>LIC81002</t>
  </si>
  <si>
    <t>Controle De Nivel Do Tubulão Da Caldeira</t>
  </si>
  <si>
    <t>Paula Caroline Morais Duarte - 17/02/2025 13:00:12</t>
  </si>
  <si>
    <t>Paula Caroline Morais Duarte - 17/02/2025 13:00:16</t>
  </si>
  <si>
    <t>Paula Caroline Morais Duarte - 17/02/2025 13:00:17</t>
  </si>
  <si>
    <t>Base de Dados_Images/LIC81002.Imagem do Equipamento-.160012.jpg</t>
  </si>
  <si>
    <t>Paula Caroline Morais Duarte - 17/02/2025 13:00:08</t>
  </si>
  <si>
    <t>LIC81014A</t>
  </si>
  <si>
    <t>Controle De Nivel Do Desaerador</t>
  </si>
  <si>
    <t>Paula Caroline Morais Duarte - 17/02/2025 09:29:27</t>
  </si>
  <si>
    <t>Paula Caroline Morais Duarte - 17/02/2025 09:29:28</t>
  </si>
  <si>
    <t>Paula Caroline Morais Duarte - 17/02/2025 09:29:33</t>
  </si>
  <si>
    <t>Paula Caroline Morais Duarte - 17/02/2025 09:29:34</t>
  </si>
  <si>
    <t>Weslley Ferreira Cooper - 02/05/2025 16:26:11</t>
  </si>
  <si>
    <t>LIC81014B</t>
  </si>
  <si>
    <t>Controle De Nivel Do Desaerador Overflow</t>
  </si>
  <si>
    <t>Paula Caroline Morais Duarte - 17/02/2025 09:29:56</t>
  </si>
  <si>
    <t>Paula Caroline Morais Duarte - 17/02/2025 09:29:57</t>
  </si>
  <si>
    <t>Paula Caroline Morais Duarte - 17/02/2025 09:30:00</t>
  </si>
  <si>
    <t>Paula Caroline Morais Duarte - 17/02/2025 09:30:01</t>
  </si>
  <si>
    <t>Paula Caroline Morais Duarte - 02/08/2025 13:02:11</t>
  </si>
  <si>
    <t>LIC81028</t>
  </si>
  <si>
    <t>Controle De Nível Tanque Água Filtrada</t>
  </si>
  <si>
    <t>Alisson Airton Sobrinho - 07/03/2025 15:27:59</t>
  </si>
  <si>
    <t>Alisson Airton Sobrinho - 07/03/2025 15:28:00</t>
  </si>
  <si>
    <t>Alisson Airton Sobrinho - 07/03/2025 15:28:04</t>
  </si>
  <si>
    <t>Alisson Airton Sobrinho - 07/03/2025 15:28:05</t>
  </si>
  <si>
    <t>Base de Dados_Images/LIC81028.Imagem do Equipamento-.175919.jpg</t>
  </si>
  <si>
    <t>Paula Caroline Morais Duarte - 30/01/2025 14:57:40</t>
  </si>
  <si>
    <t>LIT 65119_</t>
  </si>
  <si>
    <t>Nível da coluna CO2</t>
  </si>
  <si>
    <t>Libner Ferreira De Morais - 06/02/2025 09:03:21</t>
  </si>
  <si>
    <t>Libner Ferreira De Morais - 06/02/2025 09:03:23</t>
  </si>
  <si>
    <t>Alisson Airton Sobrinho - 14/02/2025 11:05:44</t>
  </si>
  <si>
    <t>Alisson Airton Sobrinho - 14/02/2025 11:05:45</t>
  </si>
  <si>
    <t>Alisson Airton Sobrinho - 14/02/2025 11:05:46</t>
  </si>
  <si>
    <t>Alisson Airton Sobrinho - 25/02/2025 10:15:02</t>
  </si>
  <si>
    <t>Alisson Airton Sobrinho - 04/03/2025 08:32:24</t>
  </si>
  <si>
    <t>Alisson Airton Sobrinho - 04/03/2025 08:32:25</t>
  </si>
  <si>
    <t>Base de Dados_Images/LIT 65119_.Imagem do Equipamento-.181217.jpg</t>
  </si>
  <si>
    <t>Libner Ferreira De Morais - 05/02/2025 15:12:08</t>
  </si>
  <si>
    <t>LIT20102</t>
  </si>
  <si>
    <t>Nivel Do Tanque De Caldo Misto</t>
  </si>
  <si>
    <t>Paula Caroline Morais Duarte - 11/02/2025 09:12:27</t>
  </si>
  <si>
    <t>Paula Caroline Morais Duarte - 11/02/2025 09:12:26</t>
  </si>
  <si>
    <t>Paula Caroline Morais Duarte - 11/02/2025 09:12:31</t>
  </si>
  <si>
    <t>Paula Caroline Morais Duarte - 11/02/2025 09:12:41</t>
  </si>
  <si>
    <t>Paula Caroline Morais Duarte - 11/02/2025 09:13:19</t>
  </si>
  <si>
    <t>Paula Caroline Morais Duarte - 11/02/2025 09:12:51</t>
  </si>
  <si>
    <t>Paula Caroline Morais Duarte - 11/02/2025 09:13:15</t>
  </si>
  <si>
    <t>Rafael Roldão Rodrigues - 03/03/2025 11:41:45</t>
  </si>
  <si>
    <t>Rafael Roldão Rodrigues - 03/03/2025 11:41:46</t>
  </si>
  <si>
    <t>Alisson Airton Sobrinho - 07/03/2025 06:29:40</t>
  </si>
  <si>
    <t>Alisson Airton Sobrinho - 07/03/2025 06:29:41</t>
  </si>
  <si>
    <t>Paula Caroline Morais Duarte - 02/11/2025 09:11:52</t>
  </si>
  <si>
    <t>LIT20104</t>
  </si>
  <si>
    <t>Nivel Do Tanque De Caldo Primario</t>
  </si>
  <si>
    <t>Erico Borges De Freitas - 04/02/2025 15:29:22</t>
  </si>
  <si>
    <t>Erico Borges De Freitas - 04/02/2025 15:29:23</t>
  </si>
  <si>
    <t>Erico Borges De Freitas - 04/02/2025 15:29:25</t>
  </si>
  <si>
    <t>Erico Borges De Freitas - 04/02/2025 15:29:27</t>
  </si>
  <si>
    <t>Paula Caroline Morais Duarte - 11/02/2025 09:14:10</t>
  </si>
  <si>
    <t>Paula Caroline Morais Duarte - 11/02/2025 09:14:14</t>
  </si>
  <si>
    <t>Paula Caroline Morais Duarte - 11/02/2025 09:14:18</t>
  </si>
  <si>
    <t>Rafael Roldão Rodrigues - 03/03/2025 11:43:02</t>
  </si>
  <si>
    <t>Rafael Roldão Rodrigues - 03/03/2025 11:43:03</t>
  </si>
  <si>
    <t>Alisson Airton Sobrinho - 07/03/2025 06:48:23</t>
  </si>
  <si>
    <t>Base de Dados_Images/LIT20104.Imagem do Equipamento-.185516.jpg</t>
  </si>
  <si>
    <t>Erico Borges De Freitas - 04/02/2025 15:29:04</t>
  </si>
  <si>
    <t>LIT20106</t>
  </si>
  <si>
    <t>Nivel Do Tanque De Agua De Lavagem Da Peneira</t>
  </si>
  <si>
    <t>Paula Caroline Morais Duarte - 13/02/2025 14:28:03</t>
  </si>
  <si>
    <t>Paula Caroline Morais Duarte - 13/02/2025 14:28:04</t>
  </si>
  <si>
    <t>Paula Caroline Morais Duarte - 13/02/2025 14:28:06</t>
  </si>
  <si>
    <t>Paula Caroline Morais Duarte - 13/02/2025 14:28:09</t>
  </si>
  <si>
    <t>Rafael Roldão Rodrigues - 03/03/2025 11:41:10</t>
  </si>
  <si>
    <t>Rafael Roldão Rodrigues - 03/03/2025 11:41:11</t>
  </si>
  <si>
    <t>Rafael Roldão Rodrigues - 03/03/2025 11:41:15</t>
  </si>
  <si>
    <t>Rafael Roldão Rodrigues - 03/03/2025 11:41:16</t>
  </si>
  <si>
    <t>Alisson Airton Sobrinho - 07/03/2025 06:47:27</t>
  </si>
  <si>
    <t>Base de Dados_Images/LIT20106.Imagem do Equipamento-.192839.jpg</t>
  </si>
  <si>
    <t>Paula Caroline Morais Duarte - 13/02/2025 14:27:55</t>
  </si>
  <si>
    <t>LIT30020</t>
  </si>
  <si>
    <t>Nível Tanque Caldo Misto Do Preparo</t>
  </si>
  <si>
    <t>Adriel da Silva Queiroz - 04/02/2025 09:01:35</t>
  </si>
  <si>
    <t>Adriel da Silva Queiroz - 04/02/2025 09:01:36</t>
  </si>
  <si>
    <t>Adriel da Silva Queiroz - 04/02/2025 09:01:37</t>
  </si>
  <si>
    <t>Beatriz Alves Nunes de Paulo - 04/02/2025 09:45:34</t>
  </si>
  <si>
    <t>Beatriz Alves Nunes de Paulo - 04/02/2025 09:45:35</t>
  </si>
  <si>
    <t>Beatriz Alves Nunes de Paulo - 04/02/2025 09:45:43</t>
  </si>
  <si>
    <t>Rafael Roldão Rodrigues - 03/03/2025 12:21:51</t>
  </si>
  <si>
    <t>Rafael Roldão Rodrigues - 03/03/2025 12:21:52</t>
  </si>
  <si>
    <t>Alisson Airton Sobrinho - 07/03/2025 07:07:35</t>
  </si>
  <si>
    <t>Base de Dados_Images/LIT30020.Imagem do Equipamento-.122428.jpg</t>
  </si>
  <si>
    <t>Adriel da Silva Queiroz - 04/02/2025 09:01:30</t>
  </si>
  <si>
    <t>LIT30027</t>
  </si>
  <si>
    <t>Nível Tanque Caldo Decantado</t>
  </si>
  <si>
    <t>Alisson Airton Sobrinho - 27/01/2025 14:52:20</t>
  </si>
  <si>
    <t>Alisson Airton Sobrinho - 27/01/2025 14:52:21</t>
  </si>
  <si>
    <t>Alisson Airton Sobrinho - 27/01/2025 14:52:23</t>
  </si>
  <si>
    <t>Alisson Airton Sobrinho - 27/01/2025 14:52:24</t>
  </si>
  <si>
    <t>Alisson Airton Sobrinho - 03/03/2025 10:40:20</t>
  </si>
  <si>
    <t>Alisson Airton Sobrinho - 03/03/2025 10:40:21</t>
  </si>
  <si>
    <t>Alisson Airton Sobrinho - 03/03/2025 10:40:22</t>
  </si>
  <si>
    <t>Alisson Airton Sobrinho - 03/03/2025 10:40:24</t>
  </si>
  <si>
    <t>Alisson Airton Sobrinho - 03/03/2025 10:40:25</t>
  </si>
  <si>
    <t>Alisson Airton Sobrinho - 07/03/2025 07:18:24</t>
  </si>
  <si>
    <t>Base de Dados_Images/LIT30027.Imagem do Equipamento-.175923.jpg</t>
  </si>
  <si>
    <t>Alisson Airton Sobrinho - 27/01/2025 14:52:13</t>
  </si>
  <si>
    <t>LIT30028</t>
  </si>
  <si>
    <t>Nível Tanque Lodo</t>
  </si>
  <si>
    <t>Beatriz Alves Nunes de Paulo - 28/01/2025 10:41:40</t>
  </si>
  <si>
    <t>Erico Borges De Freitas - 30/01/2025 11:31:32</t>
  </si>
  <si>
    <t>Erico Borges De Freitas - 30/01/2025 11:31:36</t>
  </si>
  <si>
    <t>Erico Borges De Freitas - 30/01/2025 11:31:40</t>
  </si>
  <si>
    <t>Alisson Airton Sobrinho - 07/02/2025 15:20:19</t>
  </si>
  <si>
    <t>Alisson Airton Sobrinho - 07/02/2025 15:20:22</t>
  </si>
  <si>
    <t>Rafael Roldão Rodrigues - 03/03/2025 12:25:15</t>
  </si>
  <si>
    <t>Rafael Roldão Rodrigues - 03/03/2025 12:25:16</t>
  </si>
  <si>
    <t>Alisson Airton Sobrinho - 07/03/2025 07:20:25</t>
  </si>
  <si>
    <t>Base de Dados_Images/LIT30028.Imagem do Equipamento-.122456.jpg</t>
  </si>
  <si>
    <t>Adriel da Silva Queiroz - 04/02/2025 09:09:39</t>
  </si>
  <si>
    <t>LIT30029</t>
  </si>
  <si>
    <t>Nível Tanque Caldo Primário Da Moenda</t>
  </si>
  <si>
    <t>Alisson Airton Sobrinho - 07/02/2025 15:20:40</t>
  </si>
  <si>
    <t>Alisson Airton Sobrinho - 07/02/2025 15:20:42</t>
  </si>
  <si>
    <t>Alisson Airton Sobrinho - 07/02/2025 15:20:44</t>
  </si>
  <si>
    <t>Alisson Airton Sobrinho - 07/02/2025 15:20:49</t>
  </si>
  <si>
    <t>Alisson Airton Sobrinho - 07/02/2025 15:20:50</t>
  </si>
  <si>
    <t>Rafael Roldão Rodrigues - 03/03/2025 12:23:00</t>
  </si>
  <si>
    <t>Rafael Roldão Rodrigues - 03/03/2025 12:23:01</t>
  </si>
  <si>
    <t>Alisson Airton Sobrinho - 07/03/2025 07:07:59</t>
  </si>
  <si>
    <t>Alisson Airton Sobrinho - 02/07/2025 15:20:35</t>
  </si>
  <si>
    <t>LIT30030</t>
  </si>
  <si>
    <t>Nível Tanque Caldo Misto Da Moenda</t>
  </si>
  <si>
    <t>Erico Borges De Freitas - 04/02/2025 15:25:51</t>
  </si>
  <si>
    <t>Erico Borges De Freitas - 04/02/2025 15:25:53</t>
  </si>
  <si>
    <t>Erico Borges De Freitas - 04/02/2025 15:25:54</t>
  </si>
  <si>
    <t>Erico Borges De Freitas - 04/02/2025 15:25:56</t>
  </si>
  <si>
    <t>Alisson Airton Sobrinho - 07/02/2025 15:21:58</t>
  </si>
  <si>
    <t>Alisson Airton Sobrinho - 07/02/2025 15:21:59</t>
  </si>
  <si>
    <t>Rafael Roldão Rodrigues - 03/03/2025 12:19:12</t>
  </si>
  <si>
    <t>Alisson Airton Sobrinho - 07/03/2025 07:06:56</t>
  </si>
  <si>
    <t>Alisson Airton Sobrinho - 07/03/2025 07:06:57</t>
  </si>
  <si>
    <t>Base de Dados_Images/LIT30030.Imagem do Equipamento-.182649.jpg</t>
  </si>
  <si>
    <t>Erico Borges De Freitas - 04/02/2025 15:25:38</t>
  </si>
  <si>
    <t>LIT30049</t>
  </si>
  <si>
    <t>Nivel Do Tanque Caldo Pre Evaporado Para Fermentação</t>
  </si>
  <si>
    <t>Adriel da Silva Queiroz - 04/02/2025 08:56:22</t>
  </si>
  <si>
    <t>Adriel da Silva Queiroz - 04/02/2025 08:56:24</t>
  </si>
  <si>
    <t>Adriel da Silva Queiroz - 04/02/2025 08:56:25</t>
  </si>
  <si>
    <t>Adriel da Silva Queiroz - 04/02/2025 08:56:28</t>
  </si>
  <si>
    <t>Alisson Airton Sobrinho - 14/02/2025 11:41:00</t>
  </si>
  <si>
    <t>Alisson Airton Sobrinho - 14/02/2025 11:41:01</t>
  </si>
  <si>
    <t>Alisson Airton Sobrinho - 14/02/2025 11:41:06</t>
  </si>
  <si>
    <t>Rafael Roldão Rodrigues - 03/03/2025 12:24:39</t>
  </si>
  <si>
    <t>Rafael Roldão Rodrigues - 03/03/2025 12:24:40</t>
  </si>
  <si>
    <t>Beatriz Alves Nunes de Paulo - 06/03/2025 08:42:44</t>
  </si>
  <si>
    <t>Beatriz Alves Nunes de Paulo - 06/03/2025 08:42:47</t>
  </si>
  <si>
    <t>Base de Dados_Images/LIT30049.Imagem do Equipamento-.193432.jpg</t>
  </si>
  <si>
    <t>Paula Caroline Morais Duarte - 04/02/2025 16:34:25</t>
  </si>
  <si>
    <t>LIT30050</t>
  </si>
  <si>
    <t>Nível Tanque Xarope Preparo</t>
  </si>
  <si>
    <t>Erico Borges De Freitas - 01/02/2025 11:08:36</t>
  </si>
  <si>
    <t>Erico Borges De Freitas - 01/02/2025 11:08:35</t>
  </si>
  <si>
    <t>Erico Borges De Freitas - 01/02/2025 11:08:33</t>
  </si>
  <si>
    <t>Erico Borges De Freitas - 01/02/2025 11:08:31</t>
  </si>
  <si>
    <t>Beatriz Alves Nunes de Paulo - 05/02/2025 10:34:56</t>
  </si>
  <si>
    <t>Beatriz Alves Nunes de Paulo - 05/02/2025 10:34:59</t>
  </si>
  <si>
    <t>Beatriz Alves Nunes de Paulo - 05/02/2025 10:35:01</t>
  </si>
  <si>
    <t>Rafael Roldão Rodrigues - 03/03/2025 12:26:02</t>
  </si>
  <si>
    <t>Rafael Roldão Rodrigues - 03/03/2025 12:26:03</t>
  </si>
  <si>
    <t>Alisson Airton Sobrinho - 07/03/2025 07:21:11</t>
  </si>
  <si>
    <t>Alisson Airton Sobrinho - 07/03/2025 07:21:12</t>
  </si>
  <si>
    <t>Base de Dados_Images/LIT30050.Imagem do Equipamento-.140836.jpg</t>
  </si>
  <si>
    <t>Erico Borges De Freitas - 01/02/2025 11:08:23</t>
  </si>
  <si>
    <t>LIT35001</t>
  </si>
  <si>
    <t>Nível Tanque Condensado P/ Desaerador</t>
  </si>
  <si>
    <t>Erico Borges De Freitas - 30/01/2025 11:47:57</t>
  </si>
  <si>
    <t>Erico Borges De Freitas - 30/01/2025 11:47:55</t>
  </si>
  <si>
    <t>Erico Borges De Freitas - 30/01/2025 11:47:53</t>
  </si>
  <si>
    <t>Erico Borges De Freitas - 30/01/2025 11:47:50</t>
  </si>
  <si>
    <t>Alisson Airton Sobrinho - 14/02/2025 11:42:13</t>
  </si>
  <si>
    <t>Alisson Airton Sobrinho - 14/02/2025 11:42:15</t>
  </si>
  <si>
    <t>Adriel da Silva Queiroz - 03/03/2025 11:20:51</t>
  </si>
  <si>
    <t>Adriel da Silva Queiroz - 03/03/2025 11:20:52</t>
  </si>
  <si>
    <t>Beatriz Alves Nunes de Paulo - 06/03/2025 08:38:59</t>
  </si>
  <si>
    <t>Beatriz Alves Nunes de Paulo - 06/03/2025 08:39:00</t>
  </si>
  <si>
    <t>Base de Dados_Images/LIT35001.Imagem do Equipamento-.175912.jpg</t>
  </si>
  <si>
    <t>Erico Borges De Freitas - 29/01/2025 14:59:06</t>
  </si>
  <si>
    <t>LIT35003</t>
  </si>
  <si>
    <t>Nível Tanque Condensado Vegetal</t>
  </si>
  <si>
    <t>Adriel da Silva Queiroz - 15/02/2025 08:26:48</t>
  </si>
  <si>
    <t>Adriel da Silva Queiroz - 15/02/2025 08:26:49</t>
  </si>
  <si>
    <t>Adriel da Silva Queiroz - 15/02/2025 08:26:51</t>
  </si>
  <si>
    <t>Alisson Airton Sobrinho - 03/03/2025 10:48:35</t>
  </si>
  <si>
    <t>Alisson Airton Sobrinho - 03/03/2025 10:48:36</t>
  </si>
  <si>
    <t>Alisson Airton Sobrinho - 03/03/2025 10:48:37</t>
  </si>
  <si>
    <t>Alisson Airton Sobrinho - 03/03/2025 10:48:39</t>
  </si>
  <si>
    <t>Alisson Airton Sobrinho - 03/03/2025 10:48:40</t>
  </si>
  <si>
    <t>Beatriz Alves Nunes de Paulo - 06/03/2025 08:41:34</t>
  </si>
  <si>
    <t>Adriel da Silva Queiroz - 02/15/2025 08:26:41</t>
  </si>
  <si>
    <t>LIT35004</t>
  </si>
  <si>
    <t>Nível Tanque Condensado Pré-Evap. 3 Açúcar</t>
  </si>
  <si>
    <t>Paula Caroline Morais Duarte - 04/02/2025 16:25:11</t>
  </si>
  <si>
    <t>Paula Caroline Morais Duarte - 04/02/2025 16:25:10</t>
  </si>
  <si>
    <t>Paula Caroline Morais Duarte - 04/02/2025 16:25:09</t>
  </si>
  <si>
    <t>Paula Caroline Morais Duarte - 04/02/2025 16:25:08</t>
  </si>
  <si>
    <t>Alisson Airton Sobrinho - 03/03/2025 10:56:42</t>
  </si>
  <si>
    <t>Alisson Airton Sobrinho - 03/03/2025 10:56:43</t>
  </si>
  <si>
    <t>Alisson Airton Sobrinho - 03/03/2025 10:56:47</t>
  </si>
  <si>
    <t>Beatriz Alves Nunes de Paulo - 06/03/2025 08:39:54</t>
  </si>
  <si>
    <t>Base de Dados_Images/LIT35004.Imagem do Equipamento-.193339.jpg</t>
  </si>
  <si>
    <t>Paula Caroline Morais Duarte - 04/02/2025 16:25:00</t>
  </si>
  <si>
    <t>LIT35005</t>
  </si>
  <si>
    <t>Nível Tanque Condensado Pré-Evap. 2 Açúcar</t>
  </si>
  <si>
    <t>Erico Borges De Freitas - 04/02/2025 15:42:52</t>
  </si>
  <si>
    <t>Erico Borges De Freitas - 04/02/2025 15:42:51</t>
  </si>
  <si>
    <t>Erico Borges De Freitas - 04/02/2025 15:42:50</t>
  </si>
  <si>
    <t>Erico Borges De Freitas - 04/02/2025 15:42:49</t>
  </si>
  <si>
    <t>Alisson Airton Sobrinho - 03/03/2025 10:58:06</t>
  </si>
  <si>
    <t>Alisson Airton Sobrinho - 03/03/2025 10:58:07</t>
  </si>
  <si>
    <t>Alisson Airton Sobrinho - 03/03/2025 10:58:11</t>
  </si>
  <si>
    <t>Alisson Airton Sobrinho - 03/03/2025 10:58:24</t>
  </si>
  <si>
    <t>Alisson Airton Sobrinho - 03/03/2025 10:58:25</t>
  </si>
  <si>
    <t>Alisson Airton Sobrinho - 07/03/2025 09:05:49</t>
  </si>
  <si>
    <t>Base de Dados_Images/LIT35005.Imagem do Equipamento-.185540.jpg</t>
  </si>
  <si>
    <t>Erico Borges De Freitas - 04/02/2025 15:42:37</t>
  </si>
  <si>
    <t>LIT40010</t>
  </si>
  <si>
    <t>Nível Tanque Condensado Vácuos</t>
  </si>
  <si>
    <t>Beatriz Alves Nunes de Paulo - 30/01/2025 10:18:04</t>
  </si>
  <si>
    <t>Beatriz Alves Nunes de Paulo - 30/01/2025 10:18:08</t>
  </si>
  <si>
    <t>Beatriz Alves Nunes de Paulo - 30/01/2025 10:18:09</t>
  </si>
  <si>
    <t>Beatriz Alves Nunes de Paulo - 30/01/2025 10:18:10</t>
  </si>
  <si>
    <t>Beatriz Alves Nunes de Paulo - 17/02/2025 08:22:05</t>
  </si>
  <si>
    <t>Beatriz Alves Nunes de Paulo - 17/02/2025 08:22:07</t>
  </si>
  <si>
    <t>Beatriz Alves Nunes de Paulo - 17/02/2025 08:22:09</t>
  </si>
  <si>
    <t>Beatriz Alves Nunes de Paulo - 20/02/2025 12:48:36</t>
  </si>
  <si>
    <t>Beatriz Alves Nunes de Paulo - 20/02/2025 12:48:37</t>
  </si>
  <si>
    <t>Alisson Airton Sobrinho - 07/03/2025 08:23:29</t>
  </si>
  <si>
    <t>Beatriz Alves Nunes de Paulo - 01/30/2025 10:17:58</t>
  </si>
  <si>
    <t>LIT40011</t>
  </si>
  <si>
    <t>Nível Cristalizadores Massa A</t>
  </si>
  <si>
    <t>Beatriz Alves Nunes de Paulo - 29/01/2025 10:18:22</t>
  </si>
  <si>
    <t>Beatriz Alves Nunes de Paulo - 29/01/2025 10:18:27</t>
  </si>
  <si>
    <t>Beatriz Alves Nunes de Paulo - 29/01/2025 10:18:26</t>
  </si>
  <si>
    <t>Beatriz Alves Nunes de Paulo - 29/01/2025 10:18:29</t>
  </si>
  <si>
    <t>Beatriz Alves Nunes de Paulo - 11/02/2025 14:26:49</t>
  </si>
  <si>
    <t>Beatriz Alves Nunes de Paulo - 11/02/2025 14:26:50</t>
  </si>
  <si>
    <t>Beatriz Alves Nunes de Paulo - 11/02/2025 14:26:52</t>
  </si>
  <si>
    <t>Beatriz Alves Nunes de Paulo - 20/02/2025 12:36:31</t>
  </si>
  <si>
    <t>Beatriz Alves Nunes de Paulo - 06/03/2025 08:47:46</t>
  </si>
  <si>
    <t>Beatriz Alves Nunes de Paulo - 01/29/2025 10:18:10</t>
  </si>
  <si>
    <t>LIT40012</t>
  </si>
  <si>
    <t>Nível Cristalizadores Massa B</t>
  </si>
  <si>
    <t>Beatriz Alves Nunes de Paulo - 29/01/2025 14:37:53</t>
  </si>
  <si>
    <t>Beatriz Alves Nunes de Paulo - 29/01/2025 14:37:57</t>
  </si>
  <si>
    <t>Beatriz Alves Nunes de Paulo - 29/01/2025 14:37:56</t>
  </si>
  <si>
    <t>Beatriz Alves Nunes de Paulo - 29/01/2025 14:37:59</t>
  </si>
  <si>
    <t>Beatriz Alves Nunes de Paulo - 04/02/2025 12:50:44</t>
  </si>
  <si>
    <t>Beatriz Alves Nunes de Paulo - 04/02/2025 12:50:45</t>
  </si>
  <si>
    <t>Beatriz Alves Nunes de Paulo - 20/02/2025 12:35:04</t>
  </si>
  <si>
    <t>Beatriz Alves Nunes de Paulo - 20/02/2025 12:35:05</t>
  </si>
  <si>
    <t>Beatriz Alves Nunes de Paulo - 06/03/2025 08:46:57</t>
  </si>
  <si>
    <t>Beatriz Alves Nunes de Paulo - 06/03/2025 08:46:59</t>
  </si>
  <si>
    <t>Beatriz Alves Nunes de Paulo - 01/29/2025 14:37:48</t>
  </si>
  <si>
    <t>LIT40014</t>
  </si>
  <si>
    <t>Nível Rosca Magma 1</t>
  </si>
  <si>
    <t>Alisson Airton Sobrinho - 27/01/2025 10:30:03</t>
  </si>
  <si>
    <t>Alisson Airton Sobrinho - 27/01/2025 10:30:12</t>
  </si>
  <si>
    <t>Alisson Airton Sobrinho - 27/01/2025 10:30:15</t>
  </si>
  <si>
    <t>Alisson Airton Sobrinho - 27/01/2025 10:30:20</t>
  </si>
  <si>
    <t>Beatriz Alves Nunes de Paulo - 04/02/2025 14:07:00</t>
  </si>
  <si>
    <t>Beatriz Alves Nunes de Paulo - 04/02/2025 14:07:01</t>
  </si>
  <si>
    <t>Beatriz Alves Nunes de Paulo - 04/02/2025 14:07:02</t>
  </si>
  <si>
    <t>Beatriz Alves Nunes de Paulo - 27/02/2025 12:55:56</t>
  </si>
  <si>
    <t>Alisson Airton Sobrinho - 07/03/2025 10:59:54</t>
  </si>
  <si>
    <t>Base de Dados_Images/LIT40014.Imagem do Equipamento-.143446.jpg</t>
  </si>
  <si>
    <t>Alisson Airton Sobrinho - 27/01/2025 10:29:07</t>
  </si>
  <si>
    <t>LIT40015</t>
  </si>
  <si>
    <t>Nível Rosca Magma 2</t>
  </si>
  <si>
    <t>Beatriz Alves Nunes de Paulo - 04/02/2025 14:07:31</t>
  </si>
  <si>
    <t>Beatriz Alves Nunes de Paulo - 04/02/2025 14:07:32</t>
  </si>
  <si>
    <t>Beatriz Alves Nunes de Paulo - 04/02/2025 14:07:34</t>
  </si>
  <si>
    <t>Beatriz Alves Nunes de Paulo - 04/02/2025 14:07:36</t>
  </si>
  <si>
    <t>Beatriz Alves Nunes de Paulo - 11/02/2025 14:05:14</t>
  </si>
  <si>
    <t>Beatriz Alves Nunes de Paulo - 11/02/2025 14:05:15</t>
  </si>
  <si>
    <t>Beatriz Alves Nunes de Paulo - 11/02/2025 14:05:16</t>
  </si>
  <si>
    <t>Beatriz Alves Nunes de Paulo - 27/02/2025 13:28:17</t>
  </si>
  <si>
    <t>Beatriz Alves Nunes de Paulo - 27/02/2025 13:28:18</t>
  </si>
  <si>
    <t>Alisson Airton Sobrinho - 07/03/2025 11:00:02</t>
  </si>
  <si>
    <t>Beatriz Alves Nunes de Paulo - 02/04/2025 14:07:26</t>
  </si>
  <si>
    <t>Sementeira 2</t>
  </si>
  <si>
    <t>LIT40016</t>
  </si>
  <si>
    <t>Nível Sementeira 2</t>
  </si>
  <si>
    <t>Beatriz Alves Nunes de Paulo - 29/01/2025 13:24:45</t>
  </si>
  <si>
    <t>Beatriz Alves Nunes de Paulo - 29/01/2025 13:24:46</t>
  </si>
  <si>
    <t>Beatriz Alves Nunes de Paulo - 29/01/2025 13:24:51</t>
  </si>
  <si>
    <t>Beatriz Alves Nunes de Paulo - 29/01/2025 13:24:53</t>
  </si>
  <si>
    <t>Beatriz Alves Nunes de Paulo - 04/02/2025 14:11:01</t>
  </si>
  <si>
    <t>Beatriz Alves Nunes de Paulo - 04/02/2025 14:11:02</t>
  </si>
  <si>
    <t>Beatriz Alves Nunes de Paulo - 04/02/2025 14:11:06</t>
  </si>
  <si>
    <t>Beatriz Alves Nunes de Paulo - 20/02/2025 12:33:12</t>
  </si>
  <si>
    <t>Beatriz Alves Nunes de Paulo - 20/02/2025 12:33:13</t>
  </si>
  <si>
    <t>Alisson Airton Sobrinho - 07/03/2025 08:20:35</t>
  </si>
  <si>
    <t>Alisson Airton Sobrinho - 07/03/2025 08:20:36</t>
  </si>
  <si>
    <t>Beatriz Alves Nunes de Paulo - 01/29/2025 13:24:38</t>
  </si>
  <si>
    <t>Sementeira 3</t>
  </si>
  <si>
    <t>LIT40017</t>
  </si>
  <si>
    <t>Nível Sementeira 3</t>
  </si>
  <si>
    <t>Beatriz Alves Nunes de Paulo - 29/01/2025 13:33:19</t>
  </si>
  <si>
    <t>Beatriz Alves Nunes de Paulo - 29/01/2025 13:33:20</t>
  </si>
  <si>
    <t>Beatriz Alves Nunes de Paulo - 29/01/2025 13:33:23</t>
  </si>
  <si>
    <t>Beatriz Alves Nunes de Paulo - 29/01/2025 13:33:24</t>
  </si>
  <si>
    <t>Alisson Airton Sobrinho - 17/02/2025 07:56:55</t>
  </si>
  <si>
    <t>Alisson Airton Sobrinho - 17/02/2025 07:56:56</t>
  </si>
  <si>
    <t>Alisson Airton Sobrinho - 17/02/2025 07:56:57</t>
  </si>
  <si>
    <t>Beatriz Alves Nunes de Paulo - 20/02/2025 12:43:36</t>
  </si>
  <si>
    <t>Alisson Airton Sobrinho - 07/03/2025 08:21:48</t>
  </si>
  <si>
    <t>Alisson Airton Sobrinho - 07/03/2025 08:21:49</t>
  </si>
  <si>
    <t>Beatriz Alves Nunes de Paulo - 01/29/2025 13:33:11</t>
  </si>
  <si>
    <t>Sementeira Magma</t>
  </si>
  <si>
    <t>LIT40018</t>
  </si>
  <si>
    <t>Nível Sementeira Magma</t>
  </si>
  <si>
    <t>Alisson Airton Sobrinho - 27/01/2025 11:15:11</t>
  </si>
  <si>
    <t>Alisson Airton Sobrinho - 27/01/2025 11:15:13</t>
  </si>
  <si>
    <t>Alisson Airton Sobrinho - 27/01/2025 11:15:31</t>
  </si>
  <si>
    <t>Alisson Airton Sobrinho - 27/01/2025 11:15:34</t>
  </si>
  <si>
    <t>Beatriz Alves Nunes de Paulo - 29/01/2025 10:34:51</t>
  </si>
  <si>
    <t>Beatriz Alves Nunes de Paulo - 29/01/2025 10:34:53</t>
  </si>
  <si>
    <t>Beatriz Alves Nunes de Paulo - 11/02/2025 14:16:22</t>
  </si>
  <si>
    <t>Beatriz Alves Nunes de Paulo - 11/02/2025 14:16:24</t>
  </si>
  <si>
    <t>Alisson Airton Sobrinho - 07/03/2025 08:59:14</t>
  </si>
  <si>
    <t>Alisson Airton Sobrinho - 07/03/2025 08:59:21</t>
  </si>
  <si>
    <t>Base de Dados_Images/LIT40018.Imagem do Equipamento-.151713.jpg</t>
  </si>
  <si>
    <t>Alisson Airton Sobrinho - 27/01/2025 11:14:52</t>
  </si>
  <si>
    <t>Sementeira 4</t>
  </si>
  <si>
    <t>LIT40019</t>
  </si>
  <si>
    <t>Nível Sementeira 4</t>
  </si>
  <si>
    <t>Beatriz Alves Nunes de Paulo - 29/01/2025 11:18:20</t>
  </si>
  <si>
    <t>Beatriz Alves Nunes de Paulo - 29/01/2025 11:18:22</t>
  </si>
  <si>
    <t>Beatriz Alves Nunes de Paulo - 29/01/2025 11:18:26</t>
  </si>
  <si>
    <t>Beatriz Alves Nunes de Paulo - 29/01/2025 11:18:28</t>
  </si>
  <si>
    <t>Beatriz Alves Nunes de Paulo - 12/02/2025 14:58:01</t>
  </si>
  <si>
    <t>Beatriz Alves Nunes de Paulo - 12/02/2025 14:58:02</t>
  </si>
  <si>
    <t>Beatriz Alves Nunes de Paulo - 12/02/2025 14:58:03</t>
  </si>
  <si>
    <t>Beatriz Alves Nunes de Paulo - 12/02/2025 14:58:14</t>
  </si>
  <si>
    <t>Alisson Airton Sobrinho - 07/03/2025 08:22:29</t>
  </si>
  <si>
    <t>Beatriz Alves Nunes de Paulo - 01/29/2025 11:18:15</t>
  </si>
  <si>
    <t>LIT40020</t>
  </si>
  <si>
    <t>Nível Tanque Pulmão Mel Pobre</t>
  </si>
  <si>
    <t>Beatriz Alves Nunes de Paulo - 28/01/2025 08:25:35</t>
  </si>
  <si>
    <t>Beatriz Alves Nunes de Paulo - 28/01/2025 08:25:38</t>
  </si>
  <si>
    <t>Beatriz Alves Nunes de Paulo - 28/01/2025 08:25:40</t>
  </si>
  <si>
    <t>Beatriz Alves Nunes de Paulo - 28/01/2025 08:25:41</t>
  </si>
  <si>
    <t>Beatriz Alves Nunes de Paulo - 12/02/2025 15:03:43</t>
  </si>
  <si>
    <t>Beatriz Alves Nunes de Paulo - 12/02/2025 15:03:44</t>
  </si>
  <si>
    <t>Beatriz Alves Nunes de Paulo - 12/02/2025 15:03:45</t>
  </si>
  <si>
    <t>Beatriz Alves Nunes de Paulo - 12/02/2025 15:03:50</t>
  </si>
  <si>
    <t>Alisson Airton Sobrinho - 07/03/2025 08:28:17</t>
  </si>
  <si>
    <t>Alisson Airton Sobrinho - 07/03/2025 08:28:18</t>
  </si>
  <si>
    <t>Base de Dados_Images/LIT40020.Imagem do Equipamento-.131232.jpg</t>
  </si>
  <si>
    <t>Beatriz Alves Nunes de Paulo - 28/01/2025 08:25:25</t>
  </si>
  <si>
    <t>LIT40021</t>
  </si>
  <si>
    <t>Nível Tanque Mel Rico</t>
  </si>
  <si>
    <t>Beatriz Alves Nunes de Paulo - 28/01/2025 08:37:46</t>
  </si>
  <si>
    <t>Beatriz Alves Nunes de Paulo - 28/01/2025 08:37:47</t>
  </si>
  <si>
    <t>Beatriz Alves Nunes de Paulo - 28/01/2025 08:37:51</t>
  </si>
  <si>
    <t>Beatriz Alves Nunes de Paulo - 12/02/2025 15:06:44</t>
  </si>
  <si>
    <t>Beatriz Alves Nunes de Paulo - 12/02/2025 15:06:49</t>
  </si>
  <si>
    <t>Beatriz Alves Nunes de Paulo - 12/02/2025 15:06:47</t>
  </si>
  <si>
    <t>Beatriz Alves Nunes de Paulo - 12/02/2025 15:07:00</t>
  </si>
  <si>
    <t>Beatriz Alves Nunes de Paulo - 12/02/2025 15:07:01</t>
  </si>
  <si>
    <t>Alisson Airton Sobrinho - 07/03/2025 08:30:57</t>
  </si>
  <si>
    <t>Beatriz Alves Nunes de Paulo - 01/28/2025 08:37:38</t>
  </si>
  <si>
    <t>LIT40022</t>
  </si>
  <si>
    <t>Nível Tanque Mel Returbinado</t>
  </si>
  <si>
    <t>Beatriz Alves Nunes de Paulo - 28/01/2025 08:39:01</t>
  </si>
  <si>
    <t>Beatriz Alves Nunes de Paulo - 28/01/2025 08:39:04</t>
  </si>
  <si>
    <t>Beatriz Alves Nunes de Paulo - 28/01/2025 08:39:03</t>
  </si>
  <si>
    <t>Beatriz Alves Nunes de Paulo - 12/02/2025 15:07:26</t>
  </si>
  <si>
    <t>Beatriz Alves Nunes de Paulo - 12/02/2025 15:07:27</t>
  </si>
  <si>
    <t>Beatriz Alves Nunes de Paulo - 12/02/2025 15:07:34</t>
  </si>
  <si>
    <t>Alisson Airton Sobrinho - 07/03/2025 08:27:16</t>
  </si>
  <si>
    <t>Base de Dados_Images/LIT40022.Imagem do Equipamento-.131900.jpg</t>
  </si>
  <si>
    <t>Beatriz Alves Nunes de Paulo - 28/01/2025 08:38:55</t>
  </si>
  <si>
    <t>LIT40023</t>
  </si>
  <si>
    <t>Nível Tanque Diluidor De Mel Pobre</t>
  </si>
  <si>
    <t>Beatriz Alves Nunes de Paulo - 30/01/2025 10:18:53</t>
  </si>
  <si>
    <t>Beatriz Alves Nunes de Paulo - 30/01/2025 10:18:55</t>
  </si>
  <si>
    <t>Beatriz Alves Nunes de Paulo - 30/01/2025 10:18:56</t>
  </si>
  <si>
    <t>Beatriz Alves Nunes de Paulo - 06/02/2025 14:03:06</t>
  </si>
  <si>
    <t>Beatriz Alves Nunes de Paulo - 06/02/2025 14:03:07</t>
  </si>
  <si>
    <t>Beatriz Alves Nunes de Paulo - 20/02/2025 12:59:42</t>
  </si>
  <si>
    <t>Beatriz Alves Nunes de Paulo - 20/02/2025 12:59:43</t>
  </si>
  <si>
    <t>Alisson Airton Sobrinho - 07/03/2025 08:25:56</t>
  </si>
  <si>
    <t>Beatriz Alves Nunes de Paulo - 01/30/2025 10:18:48</t>
  </si>
  <si>
    <t>Tanque Diluido De Mel Rico</t>
  </si>
  <si>
    <t>LIT40024</t>
  </si>
  <si>
    <t>Nível Tanque Diluidor De Mel Rico</t>
  </si>
  <si>
    <t>Beatriz Alves Nunes de Paulo - 30/01/2025 09:48:49</t>
  </si>
  <si>
    <t>Beatriz Alves Nunes de Paulo - 30/01/2025 09:48:50</t>
  </si>
  <si>
    <t>Beatriz Alves Nunes de Paulo - 30/01/2025 09:48:52</t>
  </si>
  <si>
    <t>Beatriz Alves Nunes de Paulo - 06/02/2025 14:00:38</t>
  </si>
  <si>
    <t>Beatriz Alves Nunes de Paulo - 06/02/2025 14:00:39</t>
  </si>
  <si>
    <t>Beatriz Alves Nunes de Paulo - 20/02/2025 12:49:47</t>
  </si>
  <si>
    <t>Beatriz Alves Nunes de Paulo - 20/02/2025 12:49:48</t>
  </si>
  <si>
    <t>Alisson Airton Sobrinho - 07/03/2025 08:27:34</t>
  </si>
  <si>
    <t>Base de Dados_Images/LIT40024.Imagem do Equipamento-.141639.jpg</t>
  </si>
  <si>
    <t>Beatriz Alves Nunes de Paulo - 30/01/2025 09:48:45</t>
  </si>
  <si>
    <t>LIT40025</t>
  </si>
  <si>
    <t>Nível Tanque Magma Diluido</t>
  </si>
  <si>
    <t>Beatriz Alves Nunes de Paulo - 30/01/2025 11:41:15</t>
  </si>
  <si>
    <t>Beatriz Alves Nunes de Paulo - 30/01/2025 11:41:16</t>
  </si>
  <si>
    <t>Beatriz Alves Nunes de Paulo - 30/01/2025 11:41:17</t>
  </si>
  <si>
    <t>Beatriz Alves Nunes de Paulo - 30/01/2025 11:41:19</t>
  </si>
  <si>
    <t>Rafael Roldão Rodrigues - 04/03/2025 14:31:19</t>
  </si>
  <si>
    <t>Rafael Roldão Rodrigues - 04/03/2025 14:31:20</t>
  </si>
  <si>
    <t>Rafael Roldão Rodrigues - 04/03/2025 14:31:23</t>
  </si>
  <si>
    <t>Rafael Roldão Rodrigues - 04/03/2025 14:31:24</t>
  </si>
  <si>
    <t>Alisson Airton Sobrinho - 07/03/2025 08:24:21</t>
  </si>
  <si>
    <t>Alisson Airton Sobrinho - 07/03/2025 08:24:22</t>
  </si>
  <si>
    <t>Base de Dados_Images/LIT40025.Imagem do Equipamento-.150651.jpg</t>
  </si>
  <si>
    <t>Beatriz Alves Nunes de Paulo - 30/01/2025 11:41:09</t>
  </si>
  <si>
    <t>Tanque Pulmão Xarope</t>
  </si>
  <si>
    <t>LIT40032</t>
  </si>
  <si>
    <t>Nível Tanque Pulmão Xarope</t>
  </si>
  <si>
    <t>Beatriz Alves Nunes de Paulo - 30/01/2025 09:36:07</t>
  </si>
  <si>
    <t>Beatriz Alves Nunes de Paulo - 30/01/2025 09:36:09</t>
  </si>
  <si>
    <t>Beatriz Alves Nunes de Paulo - 30/01/2025 09:36:10</t>
  </si>
  <si>
    <t>Beatriz Alves Nunes de Paulo - 30/01/2025 09:36:13</t>
  </si>
  <si>
    <t>Beatriz Alves Nunes de Paulo - 12/02/2025 15:02:36</t>
  </si>
  <si>
    <t>Beatriz Alves Nunes de Paulo - 12/02/2025 15:02:38</t>
  </si>
  <si>
    <t>Beatriz Alves Nunes de Paulo - 12/02/2025 15:02:39</t>
  </si>
  <si>
    <t>Beatriz Alves Nunes de Paulo - 12/02/2025 15:03:00</t>
  </si>
  <si>
    <t>Beatriz Alves Nunes de Paulo - 12/02/2025 15:03:03</t>
  </si>
  <si>
    <t>Alisson Airton Sobrinho - 07/03/2025 08:28:28</t>
  </si>
  <si>
    <t>Base de Dados_Images/LIT40032.Imagem do Equipamento-.141454.jpg</t>
  </si>
  <si>
    <t>Beatriz Alves Nunes de Paulo - 30/01/2025 09:36:02</t>
  </si>
  <si>
    <t>LIT40033</t>
  </si>
  <si>
    <t>Nível Tanque Xarope Fábrica</t>
  </si>
  <si>
    <t>Beatriz Alves Nunes de Paulo - 30/01/2025 08:22:43</t>
  </si>
  <si>
    <t>Beatriz Alves Nunes de Paulo - 30/01/2025 08:22:45</t>
  </si>
  <si>
    <t>Beatriz Alves Nunes de Paulo - 30/01/2025 08:22:46</t>
  </si>
  <si>
    <t>Beatriz Alves Nunes de Paulo - 04/02/2025 14:25:56</t>
  </si>
  <si>
    <t>Beatriz Alves Nunes de Paulo - 04/02/2025 14:25:57</t>
  </si>
  <si>
    <t>Beatriz Alves Nunes de Paulo - 04/02/2025 14:25:58</t>
  </si>
  <si>
    <t>Rafael Roldão Rodrigues - 04/03/2025 14:32:37</t>
  </si>
  <si>
    <t>Rafael Roldão Rodrigues - 04/03/2025 14:32:38</t>
  </si>
  <si>
    <t>Alisson Airton Sobrinho - 05/03/2025 07:43:29</t>
  </si>
  <si>
    <t>Beatriz Alves Nunes de Paulo - 01/30/2025 08:22:39</t>
  </si>
  <si>
    <t>LIT65004</t>
  </si>
  <si>
    <t>Nível Tanque Mel Final</t>
  </si>
  <si>
    <t>Weslley Ferreira Cooper - 29/01/2025 14:43:51</t>
  </si>
  <si>
    <t>Weslley Ferreira Cooper - 29/01/2025 14:43:50</t>
  </si>
  <si>
    <t>Weslley Ferreira Cooper - 29/01/2025 14:43:49</t>
  </si>
  <si>
    <t>Alisson Airton Sobrinho - 04/03/2025 09:03:46</t>
  </si>
  <si>
    <t>Alisson Airton Sobrinho - 04/03/2025 09:03:48</t>
  </si>
  <si>
    <t>Alisson Airton Sobrinho - 04/03/2025 09:03:47</t>
  </si>
  <si>
    <t>Alisson Airton Sobrinho - 04/03/2025 09:03:53</t>
  </si>
  <si>
    <t>Alisson Airton Sobrinho - 04/03/2025 09:03:57</t>
  </si>
  <si>
    <t>Alisson Airton Sobrinho - 04/03/2025 09:03:58</t>
  </si>
  <si>
    <t>Base de Dados_Images/LIT65004.Imagem do Equipamento-.175653.jpg</t>
  </si>
  <si>
    <t>Weslley Ferreira Cooper - 29/01/2025 14:44:03</t>
  </si>
  <si>
    <t>LIT65005</t>
  </si>
  <si>
    <t>Nível Tanque Pulmão Caldo</t>
  </si>
  <si>
    <t>Weslley Ferreira Cooper - 29/01/2025 14:47:55</t>
  </si>
  <si>
    <t>Weslley Ferreira Cooper - 29/01/2025 14:47:54</t>
  </si>
  <si>
    <t>Weslley Ferreira Cooper - 29/01/2025 14:47:53</t>
  </si>
  <si>
    <t>Weslley Ferreira Cooper - 29/01/2025 14:47:51</t>
  </si>
  <si>
    <t>Alisson Airton Sobrinho - 08/02/2025 14:36:15</t>
  </si>
  <si>
    <t>Alisson Airton Sobrinho - 08/02/2025 14:36:16</t>
  </si>
  <si>
    <t>Alisson Airton Sobrinho - 08/02/2025 14:36:17</t>
  </si>
  <si>
    <t>Rafael Roldão Rodrigues - 03/03/2025 12:46:09</t>
  </si>
  <si>
    <t>Rafael Roldão Rodrigues - 03/03/2025 12:46:10</t>
  </si>
  <si>
    <t>Alisson Airton Sobrinho - 04/03/2025 09:04:38</t>
  </si>
  <si>
    <t>Alisson Airton Sobrinho - 04/03/2025 09:04:39</t>
  </si>
  <si>
    <t>Base de Dados_Images/LIT65005.Imagem do Equipamento-.175829.jpg</t>
  </si>
  <si>
    <t>Weslley Ferreira Cooper - 29/01/2025 14:47:44</t>
  </si>
  <si>
    <t>LIT65013</t>
  </si>
  <si>
    <t>Nivel Da Cuba 01</t>
  </si>
  <si>
    <t>Alisson Airton Sobrinho - 03/03/2025 08:50:26</t>
  </si>
  <si>
    <t>Alisson Airton Sobrinho - 03/03/2025 08:50:28</t>
  </si>
  <si>
    <t>Alisson Airton Sobrinho - 03/03/2025 08:50:31</t>
  </si>
  <si>
    <t>Alisson Airton Sobrinho - 03/03/2025 08:50:32</t>
  </si>
  <si>
    <t>Alisson Airton Sobrinho - 03/03/2025 08:50:33</t>
  </si>
  <si>
    <t>Alisson Airton Sobrinho - 04/03/2025 07:53:55</t>
  </si>
  <si>
    <t>Alisson Airton Sobrinho - 04/03/2025 07:53:58</t>
  </si>
  <si>
    <t>Alisson Airton Sobrinho - 04/03/2025 07:53:59</t>
  </si>
  <si>
    <t>Aguardando manutenção  estrutural</t>
  </si>
  <si>
    <t>Base de Dados_Images/LIT65013.Imagem do Equipamento-.155012.jpg</t>
  </si>
  <si>
    <t>Libner Ferreira De Morais - 06/02/2025 12:50:08</t>
  </si>
  <si>
    <t>Cuba 02</t>
  </si>
  <si>
    <t>LIT65014</t>
  </si>
  <si>
    <t>Nivel Da Cuba 02</t>
  </si>
  <si>
    <t>Alisson Airton Sobrinho - 03/03/2025 09:00:00</t>
  </si>
  <si>
    <t>Alisson Airton Sobrinho - 03/03/2025 09:00:01</t>
  </si>
  <si>
    <t>Alisson Airton Sobrinho - 03/03/2025 09:00:02</t>
  </si>
  <si>
    <t>Alisson Airton Sobrinho - 03/03/2025 09:00:04</t>
  </si>
  <si>
    <t>Alisson Airton Sobrinho - 03/03/2025 09:00:06</t>
  </si>
  <si>
    <t>Alisson Airton Sobrinho - 03/03/2025 09:00:07</t>
  </si>
  <si>
    <t>Alisson Airton Sobrinho - 03/03/2025 09:00:08</t>
  </si>
  <si>
    <t>Alisson Airton Sobrinho - 03/03/2025 09:00:16</t>
  </si>
  <si>
    <t>Alisson Airton Sobrinho - 03/03/2025 09:00:17</t>
  </si>
  <si>
    <t>Alisson Airton Sobrinho - 04/03/2025 07:54:48</t>
  </si>
  <si>
    <t>Aguardando manutenção estrutural</t>
  </si>
  <si>
    <t>Base de Dados_Images/LIT65014.Imagem do Equipamento-.155157.jpg</t>
  </si>
  <si>
    <t>Libner Ferreira De Morais - 06/02/2025 12:51:53</t>
  </si>
  <si>
    <t>Cuba 03</t>
  </si>
  <si>
    <t>LIT65015</t>
  </si>
  <si>
    <t>Nivel Da Cuba 03</t>
  </si>
  <si>
    <t>Alisson Airton Sobrinho - 03/03/2025 09:00:30</t>
  </si>
  <si>
    <t>Alisson Airton Sobrinho - 03/03/2025 09:00:31</t>
  </si>
  <si>
    <t>Alisson Airton Sobrinho - 03/03/2025 09:00:32</t>
  </si>
  <si>
    <t>Alisson Airton Sobrinho - 03/03/2025 09:00:33</t>
  </si>
  <si>
    <t>Alisson Airton Sobrinho - 03/03/2025 09:00:36</t>
  </si>
  <si>
    <t>Alisson Airton Sobrinho - 03/03/2025 09:00:37</t>
  </si>
  <si>
    <t>Alisson Airton Sobrinho - 03/03/2025 09:00:38</t>
  </si>
  <si>
    <t>Alisson Airton Sobrinho - 03/03/2025 09:00:41</t>
  </si>
  <si>
    <t>Alisson Airton Sobrinho - 03/03/2025 09:00:42</t>
  </si>
  <si>
    <t>Beatriz Alves Nunes de Paulo - 06/03/2025 09:18:59</t>
  </si>
  <si>
    <t>Beatriz Alves Nunes de Paulo - 06/03/2025 09:19:00</t>
  </si>
  <si>
    <t>Base de Dados_Images/LIT65015.Imagem do Equipamento-.155232.jpg</t>
  </si>
  <si>
    <t>Libner Ferreira De Morais - 06/02/2025 12:52:28</t>
  </si>
  <si>
    <t>LIT65017</t>
  </si>
  <si>
    <t>Nível Dorna 1</t>
  </si>
  <si>
    <t>Alisson Airton Sobrinho - 17/01/2025 15:10:18</t>
  </si>
  <si>
    <t>Alisson Airton Sobrinho - 17/01/2025 15:10:19</t>
  </si>
  <si>
    <t>Alisson Airton Sobrinho - 17/01/2025 15:10:20</t>
  </si>
  <si>
    <t>Alisson Airton Sobrinho - 17/01/2025 15:10:22</t>
  </si>
  <si>
    <t>Paula Caroline Morais Duarte - 14/02/2025 08:15:18</t>
  </si>
  <si>
    <t>Paula Caroline Morais Duarte - 14/02/2025 08:15:19</t>
  </si>
  <si>
    <t>Paula Caroline Morais Duarte - 14/02/2025 08:15:20</t>
  </si>
  <si>
    <t>Paula Caroline Morais Duarte - 25/02/2025 08:53:55</t>
  </si>
  <si>
    <t>Paula Caroline Morais Duarte - 25/02/2025 08:53:56</t>
  </si>
  <si>
    <t>Alisson Airton Sobrinho - 04/03/2025 07:56:28</t>
  </si>
  <si>
    <t>Base de Dados_Images/LIT65017.Imagem do Equipamento-.213952.jpg</t>
  </si>
  <si>
    <t>Alisson Airton Sobrinho - 28/01/2025 18:34:59</t>
  </si>
  <si>
    <t>LIT65018</t>
  </si>
  <si>
    <t>Nível Dorna 2</t>
  </si>
  <si>
    <t>Alisson Airton Sobrinho - 28/01/2025 18:31:50</t>
  </si>
  <si>
    <t>Alisson Airton Sobrinho - 28/01/2025 18:31:55</t>
  </si>
  <si>
    <t>Alisson Airton Sobrinho - 28/01/2025 18:31:53</t>
  </si>
  <si>
    <t>Alisson Airton Sobrinho - 28/01/2025 18:31:52</t>
  </si>
  <si>
    <t>Paula Caroline Morais Duarte - 14/02/2025 07:48:04</t>
  </si>
  <si>
    <t>Paula Caroline Morais Duarte - 14/02/2025 07:48:05</t>
  </si>
  <si>
    <t>Alisson Airton Sobrinho - 25/02/2025 10:05:01</t>
  </si>
  <si>
    <t>Alisson Airton Sobrinho - 25/02/2025 10:05:00</t>
  </si>
  <si>
    <t>Alisson Airton Sobrinho - 04/03/2025 08:13:13</t>
  </si>
  <si>
    <t>Alisson Airton Sobrinho - 04/03/2025 08:13:14</t>
  </si>
  <si>
    <t>Base de Dados_Images/LIT65018.Imagem do Equipamento-.213932.jpg</t>
  </si>
  <si>
    <t>Alisson Airton Sobrinho - 28/01/2025 18:31:43</t>
  </si>
  <si>
    <t>LIT65019</t>
  </si>
  <si>
    <t>Nível Dorna 3</t>
  </si>
  <si>
    <t>Alisson Airton Sobrinho - 28/01/2025 18:36:22</t>
  </si>
  <si>
    <t>Alisson Airton Sobrinho - 28/01/2025 18:36:23</t>
  </si>
  <si>
    <t>Alisson Airton Sobrinho - 28/01/2025 18:36:24</t>
  </si>
  <si>
    <t>Alisson Airton Sobrinho - 28/01/2025 18:36:25</t>
  </si>
  <si>
    <t>Alisson Airton Sobrinho - 25/02/2025 09:46:54</t>
  </si>
  <si>
    <t>Alisson Airton Sobrinho - 25/02/2025 09:46:55</t>
  </si>
  <si>
    <t>Alisson Airton Sobrinho - 25/02/2025 09:46:57</t>
  </si>
  <si>
    <t>Alisson Airton Sobrinho - 25/02/2025 09:47:00</t>
  </si>
  <si>
    <t>Alisson Airton Sobrinho - 04/03/2025 08:00:05</t>
  </si>
  <si>
    <t>Base de Dados_Images/LIT65019.Imagem do Equipamento-.213958.jpg</t>
  </si>
  <si>
    <t>Alisson Airton Sobrinho - 28/01/2025 18:36:17</t>
  </si>
  <si>
    <t>LIT65020</t>
  </si>
  <si>
    <t>Nível Dorna 4</t>
  </si>
  <si>
    <t>Beatriz Alves Nunes de Paulo - 30/01/2025 19:42:27</t>
  </si>
  <si>
    <t>Beatriz Alves Nunes de Paulo - 30/01/2025 19:42:29</t>
  </si>
  <si>
    <t>Beatriz Alves Nunes de Paulo - 30/01/2025 19:42:28</t>
  </si>
  <si>
    <t>Alisson Airton Sobrinho - 25/02/2025 09:50:26</t>
  </si>
  <si>
    <t>Alisson Airton Sobrinho - 25/02/2025 09:50:27</t>
  </si>
  <si>
    <t>Alisson Airton Sobrinho - 25/02/2025 09:50:30</t>
  </si>
  <si>
    <t>Alisson Airton Sobrinho - 25/02/2025 09:50:31</t>
  </si>
  <si>
    <t>Alisson Airton Sobrinho - 04/03/2025 08:15:30</t>
  </si>
  <si>
    <t>Alisson Airton Sobrinho - 04/03/2025 08:15:31</t>
  </si>
  <si>
    <t>Base de Dados_Images/LIT65020.Imagem do Equipamento-.224230.jpg</t>
  </si>
  <si>
    <t>Beatriz Alves Nunes de Paulo - 30/01/2025 19:42:21</t>
  </si>
  <si>
    <t>LIT65021</t>
  </si>
  <si>
    <t>Nível Dorna 5</t>
  </si>
  <si>
    <t>Beatriz Alves Nunes de Paulo - 30/01/2025 19:40:59</t>
  </si>
  <si>
    <t>Beatriz Alves Nunes de Paulo - 30/01/2025 19:41:02</t>
  </si>
  <si>
    <t>Beatriz Alves Nunes de Paulo - 30/01/2025 19:41:00</t>
  </si>
  <si>
    <t>Paula Caroline Morais Duarte - 14/02/2025 07:48:58</t>
  </si>
  <si>
    <t>Paula Caroline Morais Duarte - 14/02/2025 07:48:59</t>
  </si>
  <si>
    <t>Paula Caroline Morais Duarte - 14/02/2025 07:49:01</t>
  </si>
  <si>
    <t>Alisson Airton Sobrinho - 25/02/2025 09:59:54</t>
  </si>
  <si>
    <t>Alisson Airton Sobrinho - 25/02/2025 09:59:55</t>
  </si>
  <si>
    <t>Alisson Airton Sobrinho - 04/03/2025 08:23:23</t>
  </si>
  <si>
    <t>Alisson Airton Sobrinho - 04/03/2025 08:23:24</t>
  </si>
  <si>
    <t>Base de Dados_Images/LIT65021.Imagem do Equipamento-.224123.jpg</t>
  </si>
  <si>
    <t>Beatriz Alves Nunes de Paulo - 30/01/2025 19:40:54</t>
  </si>
  <si>
    <t>LIT65022</t>
  </si>
  <si>
    <t>Nível Dorna 6</t>
  </si>
  <si>
    <t>Beatriz Alves Nunes de Paulo - 30/01/2025 19:39:30</t>
  </si>
  <si>
    <t>Beatriz Alves Nunes de Paulo - 30/01/2025 19:39:31</t>
  </si>
  <si>
    <t>Beatriz Alves Nunes de Paulo - 30/01/2025 19:39:32</t>
  </si>
  <si>
    <t>Beatriz Alves Nunes de Paulo - 30/01/2025 19:39:34</t>
  </si>
  <si>
    <t>Alisson Airton Sobrinho - 25/02/2025 09:51:18</t>
  </si>
  <si>
    <t>Alisson Airton Sobrinho - 25/02/2025 09:51:19</t>
  </si>
  <si>
    <t>Alisson Airton Sobrinho - 25/02/2025 09:51:20</t>
  </si>
  <si>
    <t>Alisson Airton Sobrinho - 25/02/2025 09:51:23</t>
  </si>
  <si>
    <t>Alisson Airton Sobrinho - 25/02/2025 09:51:24</t>
  </si>
  <si>
    <t>Alisson Airton Sobrinho - 04/03/2025 08:29:42</t>
  </si>
  <si>
    <t>Alisson Airton Sobrinho - 04/03/2025 08:29:47</t>
  </si>
  <si>
    <t>Base de Dados_Images/LIT65022.Imagem do Equipamento-.224013.jpg</t>
  </si>
  <si>
    <t>Beatriz Alves Nunes de Paulo - 30/01/2025 19:39:26</t>
  </si>
  <si>
    <t>LIT65023</t>
  </si>
  <si>
    <t>Nível Dorna 7</t>
  </si>
  <si>
    <t>Beatriz Alves Nunes de Paulo - 30/01/2025 19:37:38</t>
  </si>
  <si>
    <t>Beatriz Alves Nunes de Paulo - 30/01/2025 19:37:41</t>
  </si>
  <si>
    <t>Beatriz Alves Nunes de Paulo - 30/01/2025 19:37:42</t>
  </si>
  <si>
    <t>Paula Caroline Morais Duarte - 14/02/2025 07:49:48</t>
  </si>
  <si>
    <t>Paula Caroline Morais Duarte - 14/02/2025 07:49:49</t>
  </si>
  <si>
    <t>Paula Caroline Morais Duarte - 14/02/2025 07:49:50</t>
  </si>
  <si>
    <t>Alisson Airton Sobrinho - 25/02/2025 10:03:31</t>
  </si>
  <si>
    <t>Alisson Airton Sobrinho - 04/03/2025 08:26:27</t>
  </si>
  <si>
    <t>Alisson Airton Sobrinho - 04/03/2025 08:26:29</t>
  </si>
  <si>
    <t>Base de Dados_Images/LIT65023.Imagem do Equipamento-.223906.jpg</t>
  </si>
  <si>
    <t>Beatriz Alves Nunes de Paulo - 30/01/2025 19:37:25</t>
  </si>
  <si>
    <t>LIT65025</t>
  </si>
  <si>
    <t>Nivel Da Caixa De Agua De Emergencia</t>
  </si>
  <si>
    <t>Libner Ferreira De Morais - 06/02/2025 15:05:03</t>
  </si>
  <si>
    <t>Libner Ferreira De Morais - 06/02/2025 15:05:04</t>
  </si>
  <si>
    <t>Libner Ferreira De Morais - 06/02/2025 15:05:32</t>
  </si>
  <si>
    <t>Libner Ferreira De Morais - 06/02/2025 15:05:35</t>
  </si>
  <si>
    <t>Alisson Airton Sobrinho - 08/02/2025 14:18:55</t>
  </si>
  <si>
    <t>Alisson Airton Sobrinho - 08/02/2025 14:18:56</t>
  </si>
  <si>
    <t>Alisson Airton Sobrinho - 08/02/2025 14:18:59</t>
  </si>
  <si>
    <t>Rafael Roldão Rodrigues - 03/03/2025 12:44:12</t>
  </si>
  <si>
    <t>Rafael Roldão Rodrigues - 03/03/2025 12:44:13</t>
  </si>
  <si>
    <t>Beatriz Alves Nunes de Paulo - 06/03/2025 09:22:18</t>
  </si>
  <si>
    <t>Beatriz Alves Nunes de Paulo - 06/03/2025 09:22:22</t>
  </si>
  <si>
    <t>Base de Dados_Images/LIT65025.Imagem do Equipamento-.172443.jpg</t>
  </si>
  <si>
    <t>Libner Ferreira De Morais - 05/02/2025 14:24:36</t>
  </si>
  <si>
    <t>LIT65027</t>
  </si>
  <si>
    <t>Nivel Do Tanque De Vinho A Centrifugar</t>
  </si>
  <si>
    <t>Weslley Ferreira Cooper - 29/01/2025 14:52:42</t>
  </si>
  <si>
    <t>Weslley Ferreira Cooper - 29/01/2025 14:52:41</t>
  </si>
  <si>
    <t>Weslley Ferreira Cooper - 29/01/2025 14:52:40</t>
  </si>
  <si>
    <t>Weslley Ferreira Cooper - 29/01/2025 14:52:38</t>
  </si>
  <si>
    <t>Alisson Airton Sobrinho - 08/02/2025 14:36:51</t>
  </si>
  <si>
    <t>Alisson Airton Sobrinho - 08/02/2025 14:36:52</t>
  </si>
  <si>
    <t>Alisson Airton Sobrinho - 08/02/2025 14:36:53</t>
  </si>
  <si>
    <t>Rafael Roldão Rodrigues - 03/03/2025 12:43:12</t>
  </si>
  <si>
    <t>Rafael Roldão Rodrigues - 03/03/2025 12:43:13</t>
  </si>
  <si>
    <t>Beatriz Alves Nunes de Paulo - 06/03/2025 09:20:53</t>
  </si>
  <si>
    <t>Base de Dados_Images/LIT65027.Imagem do Equipamento-.180140.jpg</t>
  </si>
  <si>
    <t>Weslley Ferreira Cooper - 29/01/2025 14:52:21</t>
  </si>
  <si>
    <t>LIT65028</t>
  </si>
  <si>
    <t>Nivel Do Tanque De Vinho Centrifugado</t>
  </si>
  <si>
    <t>Alisson Airton Sobrinho - 02/01/2025 10:58:05</t>
  </si>
  <si>
    <t>Alisson Airton Sobrinho - 02/01/2025 10:58:04</t>
  </si>
  <si>
    <t>Alisson Airton Sobrinho - 02/01/2025 10:58:08</t>
  </si>
  <si>
    <t>Alisson Airton Sobrinho - 02/01/2025 10:58:10</t>
  </si>
  <si>
    <t>Alisson Airton Sobrinho - 25/02/2025 09:56:15</t>
  </si>
  <si>
    <t>Alisson Airton Sobrinho - 25/02/2025 09:56:16</t>
  </si>
  <si>
    <t>Alisson Airton Sobrinho - 25/02/2025 09:56:20</t>
  </si>
  <si>
    <t>Beatriz Alves Nunes de Paulo - 06/03/2025 09:21:56</t>
  </si>
  <si>
    <t>Base de Dados_Images/LIT65028.Imagem do Equipamento-.135801.jpg</t>
  </si>
  <si>
    <t>Alisson Airton Sobrinho - 02/01/2025 10:57:55</t>
  </si>
  <si>
    <t>LIT70004</t>
  </si>
  <si>
    <t>Nivel Da Base Da Coluna A</t>
  </si>
  <si>
    <t>Alisson Airton Sobrinho - 21/01/2025 10:59:13</t>
  </si>
  <si>
    <t>Alisson Airton Sobrinho - 21/01/2025 10:59:14</t>
  </si>
  <si>
    <t>Alisson Airton Sobrinho - 21/01/2025 10:59:16</t>
  </si>
  <si>
    <t>Alisson Airton Sobrinho - 21/01/2025 10:59:18</t>
  </si>
  <si>
    <t>Paula Caroline Morais Duarte - 08/02/2025 13:44:28</t>
  </si>
  <si>
    <t>Paula Caroline Morais Duarte - 08/02/2025 13:44:29</t>
  </si>
  <si>
    <t>Rafael Roldão Rodrigues - 04/03/2025 14:35:09</t>
  </si>
  <si>
    <t>Rafael Roldão Rodrigues - 04/03/2025 14:35:10</t>
  </si>
  <si>
    <t>Alisson Airton Sobrinho - 06/03/2025 14:39:55</t>
  </si>
  <si>
    <t>Alisson Airton Sobrinho - 06/03/2025 14:39:58</t>
  </si>
  <si>
    <t>Base de Dados_Images/LIT70004.Imagem do Equipamento-.144239.jpg</t>
  </si>
  <si>
    <t>Alisson Airton Sobrinho - 21/01/2025 10:59:09</t>
  </si>
  <si>
    <t>LIT70009</t>
  </si>
  <si>
    <t>Nivel Da Base Da Coluna B</t>
  </si>
  <si>
    <t>Alisson Airton Sobrinho - 21/01/2025 11:00:46</t>
  </si>
  <si>
    <t>Alisson Airton Sobrinho - 21/01/2025 11:00:48</t>
  </si>
  <si>
    <t>Alisson Airton Sobrinho - 21/01/2025 11:00:50</t>
  </si>
  <si>
    <t>Alisson Airton Sobrinho - 21/01/2025 11:00:51</t>
  </si>
  <si>
    <t>Alisson Airton Sobrinho - 08/02/2025 13:48:24</t>
  </si>
  <si>
    <t>Alisson Airton Sobrinho - 08/02/2025 13:48:25</t>
  </si>
  <si>
    <t>Alisson Airton Sobrinho - 08/02/2025 13:48:26</t>
  </si>
  <si>
    <t>Rafael Roldão Rodrigues - 04/03/2025 14:37:35</t>
  </si>
  <si>
    <t>Alisson Airton Sobrinho - 06/03/2025 14:43:25</t>
  </si>
  <si>
    <t>Base de Dados_Images/LIT70009.Imagem do Equipamento-.144314.jpg</t>
  </si>
  <si>
    <t>Alisson Airton Sobrinho - 21/01/2025 11:00:40</t>
  </si>
  <si>
    <t>LIT70023</t>
  </si>
  <si>
    <t>Nivel Do Tanque De Medição 01 Hidratado</t>
  </si>
  <si>
    <t>Alisson Airton Sobrinho - 29/01/2025 19:19:25</t>
  </si>
  <si>
    <t>Alisson Airton Sobrinho - 29/01/2025 19:19:28</t>
  </si>
  <si>
    <t>Alisson Airton Sobrinho - 29/01/2025 19:19:27</t>
  </si>
  <si>
    <t>Libner Ferreira De Morais - 06/02/2025 14:26:19</t>
  </si>
  <si>
    <t>Libner Ferreira De Morais - 06/02/2025 14:26:21</t>
  </si>
  <si>
    <t>Libner Ferreira De Morais - 06/02/2025 14:26:24</t>
  </si>
  <si>
    <t>Alisson Airton Sobrinho - 19/02/2025 16:43:02</t>
  </si>
  <si>
    <t>Alisson Airton Sobrinho - 19/02/2025 16:43:03</t>
  </si>
  <si>
    <t>Alisson Airton Sobrinho - 07/03/2025 08:08:24</t>
  </si>
  <si>
    <t>Base de Dados_Images/LIT70023.Imagem do Equipamento-.221927.jpg</t>
  </si>
  <si>
    <t>Alisson Airton Sobrinho - 29/01/2025 19:19:19</t>
  </si>
  <si>
    <t>LIT70024</t>
  </si>
  <si>
    <t>Nivel Do Tanque De Medição 02 Hidratado</t>
  </si>
  <si>
    <t>Alisson Airton Sobrinho - 29/01/2025 19:20:46</t>
  </si>
  <si>
    <t>Alisson Airton Sobrinho - 29/01/2025 19:20:48</t>
  </si>
  <si>
    <t>Libner Ferreira De Morais - 06/02/2025 14:27:59</t>
  </si>
  <si>
    <t>Libner Ferreira De Morais - 06/02/2025 14:28:00</t>
  </si>
  <si>
    <t>Libner Ferreira De Morais - 06/02/2025 14:28:01</t>
  </si>
  <si>
    <t>Alisson Airton Sobrinho - 19/02/2025 16:44:51</t>
  </si>
  <si>
    <t>Alisson Airton Sobrinho - 19/02/2025 16:44:52</t>
  </si>
  <si>
    <t>Alisson Airton Sobrinho - 07/03/2025 08:09:19</t>
  </si>
  <si>
    <t>Base de Dados_Images/LIT70024.Imagem do Equipamento-.222051.jpg</t>
  </si>
  <si>
    <t>Alisson Airton Sobrinho - 29/01/2025 19:20:41</t>
  </si>
  <si>
    <t>Tanque Armazenamento 01 Hidratado</t>
  </si>
  <si>
    <t>LIT70025</t>
  </si>
  <si>
    <t>Nivel Do Tanque De Armazenamento 01 Hidratado</t>
  </si>
  <si>
    <t>Alisson Airton Sobrinho - 19/02/2025 11:54:21</t>
  </si>
  <si>
    <t>Alisson Airton Sobrinho - 19/02/2025 11:54:22</t>
  </si>
  <si>
    <t>Alisson Airton Sobrinho - 19/02/2025 11:54:23</t>
  </si>
  <si>
    <t>Alisson Airton Sobrinho - 19/02/2025 11:54:28</t>
  </si>
  <si>
    <t>Alisson Airton Sobrinho - 19/02/2025 11:54:29</t>
  </si>
  <si>
    <t>Alisson Airton Sobrinho - 19/02/2025 11:54:30</t>
  </si>
  <si>
    <t>Alisson Airton Sobrinho - 19/02/2025 16:43:36</t>
  </si>
  <si>
    <t>Alisson Airton Sobrinho - 19/02/2025 16:43:37</t>
  </si>
  <si>
    <t>Alisson Airton Sobrinho - 07/03/2025 10:29:20</t>
  </si>
  <si>
    <t>Weslley Ferreira Cooper - 01/31/2025 15:54:26</t>
  </si>
  <si>
    <t>Tanque Armazenamento 02 Hidratado</t>
  </si>
  <si>
    <t>LIT70026</t>
  </si>
  <si>
    <t>Nivel Do Tanque De Armazenamento 02 Hidratado</t>
  </si>
  <si>
    <t>Alisson Airton Sobrinho - 19/02/2025 11:58:12</t>
  </si>
  <si>
    <t>Alisson Airton Sobrinho - 19/02/2025 11:58:13</t>
  </si>
  <si>
    <t>Alisson Airton Sobrinho - 19/02/2025 11:58:14</t>
  </si>
  <si>
    <t>Alisson Airton Sobrinho - 19/02/2025 11:58:18</t>
  </si>
  <si>
    <t>Alisson Airton Sobrinho - 19/02/2025 11:58:20</t>
  </si>
  <si>
    <t>Alisson Airton Sobrinho - 19/02/2025 16:45:23</t>
  </si>
  <si>
    <t>Alisson Airton Sobrinho - 07/03/2025 14:18:43</t>
  </si>
  <si>
    <t>Alisson Airton Sobrinho - 02/19/2025 11:58:09</t>
  </si>
  <si>
    <t>Tanque Armazenamento 03 Hidratado</t>
  </si>
  <si>
    <t>LIT70027</t>
  </si>
  <si>
    <t>Nivel Do Tanque De Armazenamento 03 Hidratado</t>
  </si>
  <si>
    <t>Alisson Airton Sobrinho - 19/02/2025 11:57:52</t>
  </si>
  <si>
    <t>Alisson Airton Sobrinho - 19/02/2025 11:57:54</t>
  </si>
  <si>
    <t>Alisson Airton Sobrinho - 19/02/2025 11:57:58</t>
  </si>
  <si>
    <t>Alisson Airton Sobrinho - 19/02/2025 11:58:00</t>
  </si>
  <si>
    <t>Alisson Airton Sobrinho - 19/02/2025 16:45:44</t>
  </si>
  <si>
    <t>Alisson Airton Sobrinho - 19/02/2025 16:45:45</t>
  </si>
  <si>
    <t>Alisson Airton Sobrinho - 07/03/2025 14:18:50</t>
  </si>
  <si>
    <t>Alisson Airton Sobrinho - 07/03/2025 14:18:51</t>
  </si>
  <si>
    <t>Alisson Airton Sobrinho - 02/19/2025 11:57:46</t>
  </si>
  <si>
    <t>LIT70028</t>
  </si>
  <si>
    <t>Nível Tanque Vinhaça</t>
  </si>
  <si>
    <t>Weslley Ferreira Cooper - 31/01/2025 15:33:13</t>
  </si>
  <si>
    <t>Weslley Ferreira Cooper - 31/01/2025 15:33:12</t>
  </si>
  <si>
    <t>Weslley Ferreira Cooper - 31/01/2025 15:33:11</t>
  </si>
  <si>
    <t>Weslley Ferreira Cooper - 31/01/2025 15:33:10</t>
  </si>
  <si>
    <t>Libner Ferreira De Morais - 06/02/2025 14:29:20</t>
  </si>
  <si>
    <t>Libner Ferreira De Morais - 06/02/2025 14:29:22</t>
  </si>
  <si>
    <t>Libner Ferreira De Morais - 06/02/2025 14:29:23</t>
  </si>
  <si>
    <t>Rafael Roldão Rodrigues - 04/03/2025 14:45:44</t>
  </si>
  <si>
    <t>Rafael Roldão Rodrigues - 04/03/2025 14:45:45</t>
  </si>
  <si>
    <t>Alisson Airton Sobrinho - 06/03/2025 14:53:19</t>
  </si>
  <si>
    <t>Alisson Airton Sobrinho - 06/03/2025 14:53:22</t>
  </si>
  <si>
    <t>Base de Dados_Images/LIT70028.Imagem do Equipamento-.183318.jpg</t>
  </si>
  <si>
    <t>Weslley Ferreira Cooper - 31/01/2025 15:33:04</t>
  </si>
  <si>
    <t>LIT81002A</t>
  </si>
  <si>
    <t>Nível 1 Água Balão Superior</t>
  </si>
  <si>
    <t>Paula Caroline Morais Duarte - 03/02/2025 11:53:02</t>
  </si>
  <si>
    <t>Paula Caroline Morais Duarte - 03/02/2025 11:53:03</t>
  </si>
  <si>
    <t>Paula Caroline Morais Duarte - 03/02/2025 11:53:10</t>
  </si>
  <si>
    <t>Paula Caroline Morais Duarte - 17/02/2025 12:47:34</t>
  </si>
  <si>
    <t>Paula Caroline Morais Duarte - 17/02/2025 12:47:35</t>
  </si>
  <si>
    <t>Paula Caroline Morais Duarte - 17/02/2025 12:47:42</t>
  </si>
  <si>
    <t>Paula Caroline Morais Duarte - 17/02/2025 12:47:43</t>
  </si>
  <si>
    <t>Paula Caroline Morais Duarte - 17/02/2025 12:47:46</t>
  </si>
  <si>
    <t>Paula Caroline Morais Duarte - 17/02/2025 12:47:47</t>
  </si>
  <si>
    <t>Base de Dados_Images/LIT81002A.Imagem do Equipamento-.150653.jpg</t>
  </si>
  <si>
    <t>Paula Caroline Morais Duarte - 03/02/2025 11:53:40</t>
  </si>
  <si>
    <t>LIT81002B</t>
  </si>
  <si>
    <t>Nível 2 Água Balão Superior</t>
  </si>
  <si>
    <t>Weslley Ferreira Cooper - 01/02/2025 09:06:41</t>
  </si>
  <si>
    <t>Weslley Ferreira Cooper - 01/02/2025 09:06:43</t>
  </si>
  <si>
    <t>Weslley Ferreira Cooper - 01/02/2025 09:06:40</t>
  </si>
  <si>
    <t>Paula Caroline Morais Duarte - 17/02/2025 12:47:55</t>
  </si>
  <si>
    <t>Paula Caroline Morais Duarte - 17/02/2025 12:47:57</t>
  </si>
  <si>
    <t>Paula Caroline Morais Duarte - 17/02/2025 12:47:56</t>
  </si>
  <si>
    <t>Paula Caroline Morais Duarte - 17/02/2025 12:48:12</t>
  </si>
  <si>
    <t>Paula Caroline Morais Duarte - 17/02/2025 12:48:13</t>
  </si>
  <si>
    <t>Paula Caroline Morais Duarte - 17/02/2025 12:48:17</t>
  </si>
  <si>
    <t>Paula Caroline Morais Duarte - 17/02/2025 12:48:19</t>
  </si>
  <si>
    <t>Base de Dados_Images/LIT81002B.Imagem do Equipamento-.150703.jpg</t>
  </si>
  <si>
    <t>Paula Caroline Morais Duarte - 03/02/2025 11:54:12</t>
  </si>
  <si>
    <t>LIT81014A</t>
  </si>
  <si>
    <t>Nível 01 Desaerador</t>
  </si>
  <si>
    <t>Paula Caroline Morais Duarte - 22/01/2025 11:11:39</t>
  </si>
  <si>
    <t>Paula Caroline Morais Duarte - 22/01/2025 11:11:43</t>
  </si>
  <si>
    <t>Paula Caroline Morais Duarte - 22/01/2025 11:11:42</t>
  </si>
  <si>
    <t>Paula Caroline Morais Duarte - 22/01/2025 11:11:45</t>
  </si>
  <si>
    <t>Weslley Ferreira Cooper - 05/02/2025 15:58:15</t>
  </si>
  <si>
    <t>Weslley Ferreira Cooper - 05/02/2025 15:58:14</t>
  </si>
  <si>
    <t>Weslley Ferreira Cooper - 05/02/2025 15:58:19</t>
  </si>
  <si>
    <t>Paula Caroline Morais Duarte - 17/02/2025 09:28:00</t>
  </si>
  <si>
    <t>Paula Caroline Morais Duarte - 17/02/2025 09:27:59</t>
  </si>
  <si>
    <t>Base de Dados_Images/LIT81014A.Imagem do Equipamento-.190227.jpg</t>
  </si>
  <si>
    <t>Paula Caroline Morais Duarte - 22/01/2025 11:11:24</t>
  </si>
  <si>
    <t>LIT81014B</t>
  </si>
  <si>
    <t>Nível 02 Desaerador</t>
  </si>
  <si>
    <t>Paula Caroline Morais Duarte - 22/01/2025 11:12:47</t>
  </si>
  <si>
    <t>Paula Caroline Morais Duarte - 22/01/2025 11:12:51</t>
  </si>
  <si>
    <t>Paula Caroline Morais Duarte - 22/01/2025 11:12:52</t>
  </si>
  <si>
    <t>Paula Caroline Morais Duarte - 22/01/2025 11:12:54</t>
  </si>
  <si>
    <t>Weslley Ferreira Cooper - 05/02/2025 16:00:51</t>
  </si>
  <si>
    <t>Weslley Ferreira Cooper - 05/02/2025 16:00:50</t>
  </si>
  <si>
    <t>Weslley Ferreira Cooper - 05/02/2025 16:00:49</t>
  </si>
  <si>
    <t>Weslley Ferreira Cooper - 05/02/2025 16:00:57</t>
  </si>
  <si>
    <t>Weslley Ferreira Cooper - 05/02/2025 16:00:56</t>
  </si>
  <si>
    <t>Paula Caroline Morais Duarte - 17/02/2025 09:28:58</t>
  </si>
  <si>
    <t>Paula Caroline Morais Duarte - 17/02/2025 09:28:59</t>
  </si>
  <si>
    <t>Base de Dados_Images/LIT81014B.Imagem do Equipamento-.190258.jpg</t>
  </si>
  <si>
    <t>Paula Caroline Morais Duarte - 22/01/2025 11:12:25</t>
  </si>
  <si>
    <t>LIT81015</t>
  </si>
  <si>
    <t>tanque reserva Agua make-up</t>
  </si>
  <si>
    <t>Paula Caroline Morais Duarte - 22/01/2025 11:21:45</t>
  </si>
  <si>
    <t>Paula Caroline Morais Duarte - 22/01/2025 11:21:47</t>
  </si>
  <si>
    <t>Paula Caroline Morais Duarte - 22/01/2025 11:21:50</t>
  </si>
  <si>
    <t>Paula Caroline Morais Duarte - 22/01/2025 11:21:55</t>
  </si>
  <si>
    <t>Paula Caroline Morais Duarte - 11/02/2025 11:53:40</t>
  </si>
  <si>
    <t>Paula Caroline Morais Duarte - 11/02/2025 11:53:42</t>
  </si>
  <si>
    <t>Paula Caroline Morais Duarte - 11/02/2025 11:53:43</t>
  </si>
  <si>
    <t>Paula Caroline Morais Duarte - 11/02/2025 11:53:51</t>
  </si>
  <si>
    <t>Paula Caroline Morais Duarte - 11/02/2025 11:53:52</t>
  </si>
  <si>
    <t>Paula Caroline Morais Duarte - 11/02/2025 11:54:00</t>
  </si>
  <si>
    <t>Paula Caroline Morais Duarte - 11/02/2025 11:54:01</t>
  </si>
  <si>
    <t>Base de Dados_Images/LIT81015.Imagem do Equipamento-.190520.jpg</t>
  </si>
  <si>
    <t>Paula Caroline Morais Duarte - 22/01/2025 11:21:36</t>
  </si>
  <si>
    <t>LIT81027</t>
  </si>
  <si>
    <t>Nível Tanque Água C/ Particulados</t>
  </si>
  <si>
    <t>Paula Caroline Morais Duarte - 29/01/2025 13:02:20</t>
  </si>
  <si>
    <t>Paula Caroline Morais Duarte - 29/01/2025 13:02:22</t>
  </si>
  <si>
    <t>Paula Caroline Morais Duarte - 29/01/2025 13:02:24</t>
  </si>
  <si>
    <t>Paula Caroline Morais Duarte - 29/01/2025 13:02:26</t>
  </si>
  <si>
    <t>Rafael Roldão Rodrigues - 03/03/2025 12:00:08</t>
  </si>
  <si>
    <t>Rafael Roldão Rodrigues - 03/03/2025 12:00:09</t>
  </si>
  <si>
    <t>Rafael Roldão Rodrigues - 03/03/2025 12:00:14</t>
  </si>
  <si>
    <t>Rafael Roldão Rodrigues - 03/03/2025 12:00:17</t>
  </si>
  <si>
    <t>Alisson Airton Sobrinho - 07/03/2025 09:30:24</t>
  </si>
  <si>
    <t>Base de Dados_Images/LIT81027.Imagem do Equipamento-.160217.jpg</t>
  </si>
  <si>
    <t>Paula Caroline Morais Duarte - 29/01/2025 13:02:10</t>
  </si>
  <si>
    <t>LIT81028</t>
  </si>
  <si>
    <t>Nível Tanque Água Clarificada</t>
  </si>
  <si>
    <t>Paula Caroline Morais Duarte - 30/01/2025 14:58:36</t>
  </si>
  <si>
    <t>Paula Caroline Morais Duarte - 30/01/2025 14:58:37</t>
  </si>
  <si>
    <t>Paula Caroline Morais Duarte - 30/01/2025 14:58:40</t>
  </si>
  <si>
    <t>Paula Caroline Morais Duarte - 30/01/2025 14:58:41</t>
  </si>
  <si>
    <t>Alisson Airton Sobrinho - 07/03/2025 15:28:50</t>
  </si>
  <si>
    <t>Alisson Airton Sobrinho - 07/03/2025 15:28:51</t>
  </si>
  <si>
    <t>Alisson Airton Sobrinho - 07/03/2025 15:28:52</t>
  </si>
  <si>
    <t>Alisson Airton Sobrinho - 07/03/2025 15:28:56</t>
  </si>
  <si>
    <t>Alisson Airton Sobrinho - 07/03/2025 15:28:57</t>
  </si>
  <si>
    <t>Alisson Airton Sobrinho - 07/03/2025 15:29:03</t>
  </si>
  <si>
    <t>Base de Dados_Images/LIT81028.Imagem do Equipamento-.175928.jpg</t>
  </si>
  <si>
    <t>Paula Caroline Morais Duarte - 30/01/2025 14:58:26</t>
  </si>
  <si>
    <t>LIT81031</t>
  </si>
  <si>
    <t>Nivel Do Tanque Pulmão</t>
  </si>
  <si>
    <t>Paula Caroline Morais Duarte - 30/01/2025 15:04:40</t>
  </si>
  <si>
    <t>Paula Caroline Morais Duarte - 30/01/2025 15:04:42</t>
  </si>
  <si>
    <t>Paula Caroline Morais Duarte - 30/01/2025 15:04:44</t>
  </si>
  <si>
    <t>Paula Caroline Morais Duarte - 30/01/2025 15:04:46</t>
  </si>
  <si>
    <t>Rafael Roldão Rodrigues - 03/03/2025 11:59:39</t>
  </si>
  <si>
    <t>Rafael Roldão Rodrigues - 03/03/2025 11:59:40</t>
  </si>
  <si>
    <t>Rafael Roldão Rodrigues - 03/03/2025 11:59:45</t>
  </si>
  <si>
    <t>Alisson Airton Sobrinho - 07/03/2025 15:32:12</t>
  </si>
  <si>
    <t>Alisson Airton Sobrinho - 07/03/2025 15:32:14</t>
  </si>
  <si>
    <t>Base de Dados_Images/LIT81031.Imagem do Equipamento-.180605.jpg</t>
  </si>
  <si>
    <t>Paula Caroline Morais Duarte - 30/01/2025 15:06:00</t>
  </si>
  <si>
    <t>LSH20001</t>
  </si>
  <si>
    <t>1º Sensor Do Nível Cana Do Esteirão De Cana</t>
  </si>
  <si>
    <t>Paula Caroline Morais Duarte - 18/02/2025 10:46:50</t>
  </si>
  <si>
    <t>Paula Caroline Morais Duarte - 18/02/2025 10:46:53</t>
  </si>
  <si>
    <t>Paula Caroline Morais Duarte - 18/02/2025 10:46:57</t>
  </si>
  <si>
    <t>Paula Caroline Morais Duarte - 18/02/2025 10:46:59</t>
  </si>
  <si>
    <t>Rafael Roldão Rodrigues - 03/03/2025 11:32:57</t>
  </si>
  <si>
    <t>Rafael Roldão Rodrigues - 03/03/2025 11:32:59</t>
  </si>
  <si>
    <t>Rafael Roldão Rodrigues - 03/03/2025 11:33:00</t>
  </si>
  <si>
    <t>Rafael Roldão Rodrigues - 03/03/2025 11:33:03</t>
  </si>
  <si>
    <t>Rafael Roldão Rodrigues - 03/03/2025 11:33:04</t>
  </si>
  <si>
    <t>Alisson Airton Sobrinho - 07/03/2025 06:31:06</t>
  </si>
  <si>
    <t>Alisson Airton Sobrinho - 07/03/2025 06:31:07</t>
  </si>
  <si>
    <t>Base de Dados_Images/LSH20001.Imagem do Equipamento-.135916.jpg</t>
  </si>
  <si>
    <t>Paula Caroline Morais Duarte - 18/02/2025 10:46:46</t>
  </si>
  <si>
    <t>LSH77001</t>
  </si>
  <si>
    <t>SENSOR ANTI-TRANSBORDAMENTO OVERFILL</t>
  </si>
  <si>
    <t>Weslley Ferreira Cooper - 31/01/2025 15:49:12</t>
  </si>
  <si>
    <t>Weslley Ferreira Cooper - 31/01/2025 15:49:11</t>
  </si>
  <si>
    <t>Weslley Ferreira Cooper - 31/01/2025 15:49:10</t>
  </si>
  <si>
    <t>Weslley Ferreira Cooper - 31/01/2025 15:49:09</t>
  </si>
  <si>
    <t>Alisson Airton Sobrinho - 04/02/2025 15:09:29</t>
  </si>
  <si>
    <t>Alisson Airton Sobrinho - 04/02/2025 15:09:30</t>
  </si>
  <si>
    <t>Alisson Airton Sobrinho - 04/02/2025 15:09:31</t>
  </si>
  <si>
    <t>Alisson Airton Sobrinho - 04/02/2025 15:09:38</t>
  </si>
  <si>
    <t>Alisson Airton Sobrinho - 04/02/2025 15:09:40</t>
  </si>
  <si>
    <t>Alisson Airton Sobrinho - 19/02/2025 11:55:14</t>
  </si>
  <si>
    <t>Alisson Airton Sobrinho - 19/02/2025 11:55:15</t>
  </si>
  <si>
    <t>Weslley Ferreira Cooper - 01/31/2025 15:48:59</t>
  </si>
  <si>
    <t>LSHH20001</t>
  </si>
  <si>
    <t>2º Sensor Do Nível Cana Do Esteirão De Cana</t>
  </si>
  <si>
    <t>Paula Caroline Morais Duarte - 18/02/2025 10:47:31</t>
  </si>
  <si>
    <t>Paula Caroline Morais Duarte - 18/02/2025 10:47:32</t>
  </si>
  <si>
    <t>Paula Caroline Morais Duarte - 18/02/2025 10:47:33</t>
  </si>
  <si>
    <t>Paula Caroline Morais Duarte - 18/02/2025 10:47:35</t>
  </si>
  <si>
    <t>Rafael Roldão Rodrigues - 03/03/2025 11:33:11</t>
  </si>
  <si>
    <t>Rafael Roldão Rodrigues - 03/03/2025 11:33:12</t>
  </si>
  <si>
    <t>Rafael Roldão Rodrigues - 03/03/2025 11:33:13</t>
  </si>
  <si>
    <t>Rafael Roldão Rodrigues - 03/03/2025 11:33:20</t>
  </si>
  <si>
    <t>Rafael Roldão Rodrigues - 03/03/2025 11:33:21</t>
  </si>
  <si>
    <t>Alisson Airton Sobrinho - 07/03/2025 06:31:16</t>
  </si>
  <si>
    <t>Base de Dados_Images/LSHH20001.Imagem do Equipamento-.142521.jpg</t>
  </si>
  <si>
    <t>Paula Caroline Morais Duarte - 18/02/2025 10:47:25</t>
  </si>
  <si>
    <t>MA1001</t>
  </si>
  <si>
    <t>Mesa Alimentadora Ld</t>
  </si>
  <si>
    <t>Paula Caroline Morais Duarte - 20/02/2025 10:28:59</t>
  </si>
  <si>
    <t>Paula Caroline Morais Duarte - 20/02/2025 10:29:00</t>
  </si>
  <si>
    <t>Paula Caroline Morais Duarte - 20/02/2025 10:29:01</t>
  </si>
  <si>
    <t>Paula Caroline Morais Duarte - 20/02/2025 10:29:03</t>
  </si>
  <si>
    <t>Paula Caroline Morais Duarte - 20/02/2025 10:29:04</t>
  </si>
  <si>
    <t>Paula Caroline Morais Duarte - 20/02/2025 10:29:06</t>
  </si>
  <si>
    <t>Alisson Airton Sobrinho - 05/03/2025 16:47:16</t>
  </si>
  <si>
    <t>Alisson Airton Sobrinho - 05/03/2025 16:47:15</t>
  </si>
  <si>
    <t>Alisson Airton Sobrinho - 05/03/2025 16:47:50</t>
  </si>
  <si>
    <t>Alisson Airton Sobrinho - 05/03/2025 16:47:20</t>
  </si>
  <si>
    <t>Alisson Airton Sobrinho - 05/03/2025 16:47:48</t>
  </si>
  <si>
    <t>Alisson Airton Sobrinho - 05/03/2025 16:47:53</t>
  </si>
  <si>
    <t>Alisson Airton Sobrinho - 05/03/2025 16:47:52</t>
  </si>
  <si>
    <t>Alisson Airton Sobrinho - 05/03/2025 16:47:56</t>
  </si>
  <si>
    <t>Paula Caroline Morais Duarte - 20/02/2025 10:29:22</t>
  </si>
  <si>
    <t>Paula Caroline Morais Duarte - 20/02/2025 10:29:24</t>
  </si>
  <si>
    <t>Paula Caroline Morais Duarte - 20/02/2025 10:29:25</t>
  </si>
  <si>
    <t>Paula Caroline Morais Duarte - 20/02/2025 10:29:29</t>
  </si>
  <si>
    <t>Paula Caroline Morais Duarte - 20/02/2025 10:29:30</t>
  </si>
  <si>
    <t>Paula Caroline Morais Duarte - 20/02/2025 10:29:33</t>
  </si>
  <si>
    <t>Alisson Airton Sobrinho - 05/03/2025 16:48:10</t>
  </si>
  <si>
    <t>Alisson Airton Sobrinho - 05/03/2025 16:48:11</t>
  </si>
  <si>
    <t>Alisson Airton Sobrinho - 05/03/2025 16:48:14</t>
  </si>
  <si>
    <t>Alisson Airton Sobrinho - 05/03/2025 16:48:16</t>
  </si>
  <si>
    <t>Alisson Airton Sobrinho - 05/03/2025 16:48:20</t>
  </si>
  <si>
    <t>Alisson Airton Sobrinho - 05/03/2025 16:48:22</t>
  </si>
  <si>
    <t>Alisson Airton Sobrinho - 05/03/2025 16:48:21</t>
  </si>
  <si>
    <t>Paula Caroline Morais Duarte - 02/05/2025 12:00:56</t>
  </si>
  <si>
    <t>MA1002</t>
  </si>
  <si>
    <t>Mesa Alimentadora Le</t>
  </si>
  <si>
    <t>Paula Caroline Morais Duarte - 20/02/2025 10:30:04</t>
  </si>
  <si>
    <t>Paula Caroline Morais Duarte - 20/02/2025 10:30:05</t>
  </si>
  <si>
    <t>Paula Caroline Morais Duarte - 20/02/2025 10:30:07</t>
  </si>
  <si>
    <t>Alisson Airton Sobrinho - 05/03/2025 16:48:29</t>
  </si>
  <si>
    <t>Alisson Airton Sobrinho - 05/03/2025 16:48:30</t>
  </si>
  <si>
    <t>Alisson Airton Sobrinho - 05/03/2025 16:48:31</t>
  </si>
  <si>
    <t>Alisson Airton Sobrinho - 05/03/2025 16:48:32</t>
  </si>
  <si>
    <t>Alisson Airton Sobrinho - 05/03/2025 16:48:33</t>
  </si>
  <si>
    <t>Alisson Airton Sobrinho - 05/03/2025 16:48:36</t>
  </si>
  <si>
    <t>Alisson Airton Sobrinho - 05/03/2025 16:48:35</t>
  </si>
  <si>
    <t>Alisson Airton Sobrinho - 05/03/2025 16:48:38</t>
  </si>
  <si>
    <t>Alisson Airton Sobrinho - 05/03/2025 16:48:39</t>
  </si>
  <si>
    <t>Alisson Airton Sobrinho - 05/03/2025 16:48:41</t>
  </si>
  <si>
    <t>Alisson Airton Sobrinho - 05/03/2025 16:48:43</t>
  </si>
  <si>
    <t>Paula Caroline Morais Duarte - 20/02/2025 10:30:23</t>
  </si>
  <si>
    <t>Paula Caroline Morais Duarte - 20/02/2025 10:30:22</t>
  </si>
  <si>
    <t>Paula Caroline Morais Duarte - 20/02/2025 10:30:20</t>
  </si>
  <si>
    <t>Paula Caroline Morais Duarte - 20/02/2025 10:30:18</t>
  </si>
  <si>
    <t>Paula Caroline Morais Duarte - 20/02/2025 10:30:16</t>
  </si>
  <si>
    <t>Paula Caroline Morais Duarte - 20/02/2025 10:30:15</t>
  </si>
  <si>
    <t>Alisson Airton Sobrinho - 05/03/2025 16:48:55</t>
  </si>
  <si>
    <t>Alisson Airton Sobrinho - 05/03/2025 16:48:56</t>
  </si>
  <si>
    <t>Alisson Airton Sobrinho - 05/03/2025 16:49:31</t>
  </si>
  <si>
    <t>Alisson Airton Sobrinho - 05/03/2025 16:49:32</t>
  </si>
  <si>
    <t>Alisson Airton Sobrinho - 07/03/2025 06:32:45</t>
  </si>
  <si>
    <t>Alisson Airton Sobrinho - 07/03/2025 06:32:46</t>
  </si>
  <si>
    <t>Alisson Airton Sobrinho - 07/03/2025 06:32:47</t>
  </si>
  <si>
    <t>Alisson Airton Sobrinho - 02/17/2025 15:01:55</t>
  </si>
  <si>
    <t>ME ET8907</t>
  </si>
  <si>
    <t>Motor da Esteira</t>
  </si>
  <si>
    <t>Beatriz Alves Nunes de Paulo - 03/02/2025 15:16:11</t>
  </si>
  <si>
    <t>Beatriz Alves Nunes de Paulo - 03/02/2025 15:16:13</t>
  </si>
  <si>
    <t>Beatriz Alves Nunes de Paulo - 03/02/2025 15:16:14</t>
  </si>
  <si>
    <t>Beatriz Alves Nunes de Paulo - 03/02/2025 15:16:15</t>
  </si>
  <si>
    <t>Beatriz Alves Nunes de Paulo - 03/02/2025 15:16:16</t>
  </si>
  <si>
    <t>Beatriz Alves Nunes de Paulo - 03/02/2025 15:16:17</t>
  </si>
  <si>
    <t>Beatriz Alves Nunes de Paulo - 03/02/2025 15:16:18</t>
  </si>
  <si>
    <t>Beatriz Alves Nunes de Paulo - 03/02/2025 15:16:20</t>
  </si>
  <si>
    <t>Beatriz Alves Nunes de Paulo - 03/02/2025 15:16:56</t>
  </si>
  <si>
    <t>Beatriz Alves Nunes de Paulo - 03/02/2025 15:16:54</t>
  </si>
  <si>
    <t>Beatriz Alves Nunes de Paulo - 03/02/2025 15:16:24</t>
  </si>
  <si>
    <t>Beatriz Alves Nunes de Paulo - 03/02/2025 15:16:44</t>
  </si>
  <si>
    <t>Beatriz Alves Nunes de Paulo - 03/02/2025 15:16:58</t>
  </si>
  <si>
    <t>Beatriz Alves Nunes de Paulo - 03/02/2025 15:17:00</t>
  </si>
  <si>
    <t>Beatriz Alves Nunes de Paulo - 03/02/2025 15:17:02</t>
  </si>
  <si>
    <t>Beatriz Alves Nunes de Paulo - 03/02/2025 15:17:03</t>
  </si>
  <si>
    <t>Beatriz Alves Nunes de Paulo - 03/02/2025 15:17:16</t>
  </si>
  <si>
    <t>Beatriz Alves Nunes de Paulo - 03/02/2025 15:17:18</t>
  </si>
  <si>
    <t>Beatriz Alves Nunes de Paulo - 03/02/2025 15:17:21</t>
  </si>
  <si>
    <t>Beatriz Alves Nunes de Paulo - 03/02/2025 15:17:28</t>
  </si>
  <si>
    <t>Hugo Luis Leonel - 26/02/2025 12:32:37</t>
  </si>
  <si>
    <t>Beatriz Alves Nunes de Paulo - 03/02/2025 15:17:39</t>
  </si>
  <si>
    <t>Beatriz Alves Nunes de Paulo - 06/03/2025 09:03:06</t>
  </si>
  <si>
    <t>Beatriz Alves Nunes de Paulo - 06/03/2025 09:03:07</t>
  </si>
  <si>
    <t>Beatriz Alves Nunes de Paulo - 06/03/2025 09:03:08</t>
  </si>
  <si>
    <t>Beatriz Alves Nunes de Paulo - 06/03/2025 09:03:11</t>
  </si>
  <si>
    <t>Alisson Airton Sobrinho - 07/03/2025 08:37:38</t>
  </si>
  <si>
    <t>Alisson Airton Sobrinho - 07/03/2025 08:37:39</t>
  </si>
  <si>
    <t>Alisson Airton Sobrinho - 07/03/2025 08:37:40</t>
  </si>
  <si>
    <t>Beatriz Alves Nunes de Paulo - 02/03/2025 15:16:05</t>
  </si>
  <si>
    <t>ME3001</t>
  </si>
  <si>
    <t>Mexedor Do Filtro Rotativo</t>
  </si>
  <si>
    <t>Adriel da Silva Queiroz - 03/03/2025 14:16:16</t>
  </si>
  <si>
    <t>Adriel da Silva Queiroz - 03/03/2025 14:16:17</t>
  </si>
  <si>
    <t>Adriel da Silva Queiroz - 03/03/2025 14:16:19</t>
  </si>
  <si>
    <t>Adriel da Silva Queiroz - 03/03/2025 14:16:20</t>
  </si>
  <si>
    <t>Adriel da Silva Queiroz - 03/03/2025 14:16:23</t>
  </si>
  <si>
    <t>Adriel da Silva Queiroz - 03/03/2025 14:16:26</t>
  </si>
  <si>
    <t>Adriel da Silva Queiroz - 03/03/2025 14:16:27</t>
  </si>
  <si>
    <t>Adriel da Silva Queiroz - 03/03/2025 14:16:29</t>
  </si>
  <si>
    <t>Adriel da Silva Queiroz - 03/03/2025 14:16:31</t>
  </si>
  <si>
    <t>Adriel da Silva Queiroz - 03/03/2025 14:16:34</t>
  </si>
  <si>
    <t>Adriel da Silva Queiroz - 03/03/2025 14:16:44</t>
  </si>
  <si>
    <t>Adriel da Silva Queiroz - 03/03/2025 14:16:45</t>
  </si>
  <si>
    <t>Adriel da Silva Queiroz - 03/03/2025 14:16:52</t>
  </si>
  <si>
    <t>Adriel da Silva Queiroz - 03/03/2025 14:16:54</t>
  </si>
  <si>
    <t>Adriel da Silva Queiroz - 03/03/2025 14:16:59</t>
  </si>
  <si>
    <t>Adriel da Silva Queiroz - 03/03/2025 14:17:00</t>
  </si>
  <si>
    <t>Adriel da Silva Queiroz - 03/03/2025 14:17:01</t>
  </si>
  <si>
    <t>Adriel da Silva Queiroz - 03/03/2025 14:17:03</t>
  </si>
  <si>
    <t>Adriel da Silva Queiroz - 03/03/2025 14:17:04</t>
  </si>
  <si>
    <t>Alisson Airton Sobrinho - 07/03/2025 07:22:11</t>
  </si>
  <si>
    <t>Alisson Airton Sobrinho - 07/03/2025 07:22:14</t>
  </si>
  <si>
    <t>Alisson Airton Sobrinho - 07/03/2025 07:22:15</t>
  </si>
  <si>
    <t>Adriel da Silva Queiroz - 03/03/2025 14:11:31</t>
  </si>
  <si>
    <t>MG8101</t>
  </si>
  <si>
    <t>Esteira Dosadora De Bagaco</t>
  </si>
  <si>
    <t>Paula Caroline Morais Duarte - 30/01/2025 11:02:01</t>
  </si>
  <si>
    <t>Paula Caroline Morais Duarte - 30/01/2025 11:02:03</t>
  </si>
  <si>
    <t>Paula Caroline Morais Duarte - 30/01/2025 11:02:04</t>
  </si>
  <si>
    <t>Paula Caroline Morais Duarte - 30/01/2025 11:02:06</t>
  </si>
  <si>
    <t>Paula Caroline Morais Duarte - 30/01/2025 11:02:20</t>
  </si>
  <si>
    <t>Paula Caroline Morais Duarte - 30/01/2025 11:02:21</t>
  </si>
  <si>
    <t>Paula Caroline Morais Duarte - 30/01/2025 11:02:35</t>
  </si>
  <si>
    <t>Paula Caroline Morais Duarte - 10/02/2025 15:10:42</t>
  </si>
  <si>
    <t>Paula Caroline Morais Duarte - 10/02/2025 15:10:45</t>
  </si>
  <si>
    <t>Paula Caroline Morais Duarte - 10/02/2025 15:10:47</t>
  </si>
  <si>
    <t>Paula Caroline Morais Duarte - 10/02/2025 15:10:51</t>
  </si>
  <si>
    <t>Paula Caroline Morais Duarte - 10/02/2025 15:10:52</t>
  </si>
  <si>
    <t>Paula Caroline Morais Duarte - 30/01/2025 11:03:45</t>
  </si>
  <si>
    <t>Paula Caroline Morais Duarte - 30/01/2025 11:03:37</t>
  </si>
  <si>
    <t>Paula Caroline Morais Duarte - 30/01/2025 11:03:52</t>
  </si>
  <si>
    <t>Paula Caroline Morais Duarte - 30/01/2025 11:03:58</t>
  </si>
  <si>
    <t>Paula Caroline Morais Duarte - 30/01/2025 11:04:00</t>
  </si>
  <si>
    <t>Paula Caroline Morais Duarte - 30/01/2025 11:04:02</t>
  </si>
  <si>
    <t>Paula Caroline Morais Duarte - 30/01/2025 11:04:06</t>
  </si>
  <si>
    <t>Paula Caroline Morais Duarte - 21/02/2025 09:20:49</t>
  </si>
  <si>
    <t>Paula Caroline Morais Duarte - 21/02/2025 09:20:50</t>
  </si>
  <si>
    <t>Paula Caroline Morais Duarte - 21/02/2025 09:20:51</t>
  </si>
  <si>
    <t>Paula Caroline Morais Duarte - 21/02/2025 09:20:53</t>
  </si>
  <si>
    <t>Paula Caroline Morais Duarte - 21/02/2025 09:20:58</t>
  </si>
  <si>
    <t>Paula Caroline Morais Duarte - 21/02/2025 09:20:59</t>
  </si>
  <si>
    <t>Paula Caroline Morais Duarte - 21/02/2025 09:21:00</t>
  </si>
  <si>
    <t>Paula Caroline Morais Duarte - 21/02/2025 09:21:01</t>
  </si>
  <si>
    <t>Paula Caroline Morais Duarte - 21/02/2025 09:21:03</t>
  </si>
  <si>
    <t>Paula Caroline Morais Duarte - 21/02/2025 09:21:04</t>
  </si>
  <si>
    <t>Paula Caroline Morais Duarte - 25/02/2025 09:06:47</t>
  </si>
  <si>
    <t>Paula Caroline Morais Duarte - 25/02/2025 09:06:48</t>
  </si>
  <si>
    <t>Base de Dados_Images/MG8101.Imagem do Equipamento-.145958.jpg</t>
  </si>
  <si>
    <t>Paula Caroline Morais Duarte - 30/01/2025 11:01:54</t>
  </si>
  <si>
    <t>MG8101B</t>
  </si>
  <si>
    <t>Esteira Dosadora De Bagaco B</t>
  </si>
  <si>
    <t>Paula Caroline Morais Duarte - 31/01/2025 09:37:02</t>
  </si>
  <si>
    <t>Paula Caroline Morais Duarte - 31/01/2025 09:37:01</t>
  </si>
  <si>
    <t>Paula Caroline Morais Duarte - 31/01/2025 09:36:59</t>
  </si>
  <si>
    <t>Paula Caroline Morais Duarte - 31/01/2025 09:36:58</t>
  </si>
  <si>
    <t>Paula Caroline Morais Duarte - 31/01/2025 09:36:55</t>
  </si>
  <si>
    <t>Paula Caroline Morais Duarte - 31/01/2025 09:36:53</t>
  </si>
  <si>
    <t>Paula Caroline Morais Duarte - 31/01/2025 09:36:50</t>
  </si>
  <si>
    <t>Paula Caroline Morais Duarte - 10/02/2025 15:11:31</t>
  </si>
  <si>
    <t>Paula Caroline Morais Duarte - 10/02/2025 15:11:30</t>
  </si>
  <si>
    <t>Paula Caroline Morais Duarte - 10/02/2025 15:11:37</t>
  </si>
  <si>
    <t>Paula Caroline Morais Duarte - 31/01/2025 09:36:42</t>
  </si>
  <si>
    <t>Paula Caroline Morais Duarte - 10/02/2025 15:11:43</t>
  </si>
  <si>
    <t>Paula Caroline Morais Duarte - 10/02/2025 15:11:45</t>
  </si>
  <si>
    <t>Paula Caroline Morais Duarte - 31/01/2025 09:36:30</t>
  </si>
  <si>
    <t>Paula Caroline Morais Duarte - 31/01/2025 09:36:28</t>
  </si>
  <si>
    <t>Paula Caroline Morais Duarte - 31/01/2025 09:36:26</t>
  </si>
  <si>
    <t>Paula Caroline Morais Duarte - 31/01/2025 09:36:25</t>
  </si>
  <si>
    <t>Paula Caroline Morais Duarte - 31/01/2025 09:36:19</t>
  </si>
  <si>
    <t>Paula Caroline Morais Duarte - 31/01/2025 09:36:14</t>
  </si>
  <si>
    <t>Paula Caroline Morais Duarte - 31/01/2025 09:36:12</t>
  </si>
  <si>
    <t>Paula Caroline Morais Duarte - 18/02/2025 09:18:47</t>
  </si>
  <si>
    <t>Paula Caroline Morais Duarte - 18/02/2025 09:18:48</t>
  </si>
  <si>
    <t>Paula Caroline Morais Duarte - 18/02/2025 09:18:49</t>
  </si>
  <si>
    <t>Paula Caroline Morais Duarte - 18/02/2025 09:18:50</t>
  </si>
  <si>
    <t>Paula Caroline Morais Duarte - 18/02/2025 09:18:56</t>
  </si>
  <si>
    <t>Paula Caroline Morais Duarte - 18/02/2025 09:19:00</t>
  </si>
  <si>
    <t>Paula Caroline Morais Duarte - 18/02/2025 09:19:01</t>
  </si>
  <si>
    <t>Paula Caroline Morais Duarte - 18/02/2025 09:19:02</t>
  </si>
  <si>
    <t>Paula Caroline Morais Duarte - 18/02/2025 09:19:04</t>
  </si>
  <si>
    <t>Paula Caroline Morais Duarte - 18/02/2025 09:19:05</t>
  </si>
  <si>
    <t>Paula Caroline Morais Duarte - 18/02/2025 09:19:10</t>
  </si>
  <si>
    <t>Paula Caroline Morais Duarte - 18/02/2025 09:19:11</t>
  </si>
  <si>
    <t>Base de Dados_Images/MG8101B.Imagem do Equipamento-.134012.jpg</t>
  </si>
  <si>
    <t>Paula Caroline Morais Duarte - 31/01/2025 09:40:03</t>
  </si>
  <si>
    <t>MX3002</t>
  </si>
  <si>
    <t>Mexedr Do Decantador De Bandeja (Alcool)</t>
  </si>
  <si>
    <t>Weslley Ferreira Cooper - 29/01/2025 13:10:03</t>
  </si>
  <si>
    <t>Weslley Ferreira Cooper - 29/01/2025 13:10:02</t>
  </si>
  <si>
    <t>Weslley Ferreira Cooper - 29/01/2025 13:09:57</t>
  </si>
  <si>
    <t>Weslley Ferreira Cooper - 29/01/2025 13:09:56</t>
  </si>
  <si>
    <t>Weslley Ferreira Cooper - 29/01/2025 13:09:55</t>
  </si>
  <si>
    <t>Weslley Ferreira Cooper - 29/01/2025 13:09:54</t>
  </si>
  <si>
    <t>Weslley Ferreira Cooper - 29/01/2025 13:09:51</t>
  </si>
  <si>
    <t>Weslley Ferreira Cooper - 29/01/2025 13:09:50</t>
  </si>
  <si>
    <t>Weslley Ferreira Cooper - 29/01/2025 13:09:49</t>
  </si>
  <si>
    <t>Weslley Ferreira Cooper - 29/01/2025 13:09:45</t>
  </si>
  <si>
    <t>Weslley Ferreira Cooper - 29/01/2025 13:09:44</t>
  </si>
  <si>
    <t>Weslley Ferreira Cooper - 29/01/2025 13:09:43</t>
  </si>
  <si>
    <t>Weslley Ferreira Cooper - 29/01/2025 13:09:42</t>
  </si>
  <si>
    <t>Adriel da Silva Queiroz - 03/03/2025 13:23:18</t>
  </si>
  <si>
    <t>Adriel da Silva Queiroz - 03/03/2025 13:23:17</t>
  </si>
  <si>
    <t>Adriel da Silva Queiroz - 03/03/2025 13:23:20</t>
  </si>
  <si>
    <t>Adriel da Silva Queiroz - 03/03/2025 13:23:19</t>
  </si>
  <si>
    <t>Adriel da Silva Queiroz - 03/03/2025 13:23:28</t>
  </si>
  <si>
    <t>Adriel da Silva Queiroz - 03/03/2025 13:23:30</t>
  </si>
  <si>
    <t>Alisson Airton Sobrinho - 06/03/2025 11:48:01</t>
  </si>
  <si>
    <t>Adriel da Silva Queiroz - 03/03/2025 13:23:33</t>
  </si>
  <si>
    <t>Adriel da Silva Queiroz - 03/03/2025 13:23:34</t>
  </si>
  <si>
    <t>Alisson Airton Sobrinho - 08/03/2025 09:35:51</t>
  </si>
  <si>
    <t>Alisson Airton Sobrinho - 08/03/2025 09:35:52</t>
  </si>
  <si>
    <t>Alisson Airton Sobrinho - 08/03/2025 09:35:53</t>
  </si>
  <si>
    <t>Alisson Airton Sobrinho - 08/03/2025 09:35:54</t>
  </si>
  <si>
    <t>Base de Dados_Images/MX3002.Imagem do Equipamento-.172700.jpg</t>
  </si>
  <si>
    <t>Weslley Ferreira Cooper - 29/01/2025 13:09:27</t>
  </si>
  <si>
    <t>MX3201</t>
  </si>
  <si>
    <t>Hidratador De Cal</t>
  </si>
  <si>
    <t>Weslley Ferreira Cooper - 31/01/2025 11:38:13</t>
  </si>
  <si>
    <t>Weslley Ferreira Cooper - 31/01/2025 11:38:12</t>
  </si>
  <si>
    <t>Weslley Ferreira Cooper - 31/01/2025 11:38:10</t>
  </si>
  <si>
    <t>Weslley Ferreira Cooper - 31/01/2025 11:38:09</t>
  </si>
  <si>
    <t>Weslley Ferreira Cooper - 31/01/2025 11:38:08</t>
  </si>
  <si>
    <t>Weslley Ferreira Cooper - 31/01/2025 11:38:05</t>
  </si>
  <si>
    <t>Weslley Ferreira Cooper - 31/01/2025 11:38:04</t>
  </si>
  <si>
    <t>Weslley Ferreira Cooper - 31/01/2025 11:38:03</t>
  </si>
  <si>
    <t>Weslley Ferreira Cooper - 31/01/2025 11:38:02</t>
  </si>
  <si>
    <t>Weslley Ferreira Cooper - 31/01/2025 11:38:00</t>
  </si>
  <si>
    <t>Weslley Ferreira Cooper - 31/01/2025 11:37:59</t>
  </si>
  <si>
    <t>Weslley Ferreira Cooper - 31/01/2025 11:37:58</t>
  </si>
  <si>
    <t>Weslley Ferreira Cooper - 31/01/2025 11:37:57</t>
  </si>
  <si>
    <t>Adriel da Silva Queiroz - 06/02/2025 10:30:18</t>
  </si>
  <si>
    <t>Adriel da Silva Queiroz - 06/02/2025 10:30:20</t>
  </si>
  <si>
    <t>Adriel da Silva Queiroz - 15/02/2025 08:31:36</t>
  </si>
  <si>
    <t>Adriel da Silva Queiroz - 06/02/2025 10:30:31</t>
  </si>
  <si>
    <t>Beatriz Alves Nunes de Paulo - 06/03/2025 08:56:22</t>
  </si>
  <si>
    <t>Beatriz Alves Nunes de Paulo - 06/03/2025 08:56:23</t>
  </si>
  <si>
    <t>Beatriz Alves Nunes de Paulo - 06/03/2025 08:56:26</t>
  </si>
  <si>
    <t>Beatriz Alves Nunes de Paulo - 06/03/2025 08:56:24</t>
  </si>
  <si>
    <t>Beatriz Alves Nunes de Paulo - 06/03/2025 08:56:27</t>
  </si>
  <si>
    <t>Alisson Airton Sobrinho - 07/03/2025 07:21:35</t>
  </si>
  <si>
    <t>Alisson Airton Sobrinho - 07/03/2025 07:21:36</t>
  </si>
  <si>
    <t>Alisson Airton Sobrinho - 07/03/2025 07:21:37</t>
  </si>
  <si>
    <t>Base de Dados_Images/MX3201.Imagem do Equipamento-.155328.jpg</t>
  </si>
  <si>
    <t>Alisson Airton Sobrinho - 12/02/2025 12:36:33</t>
  </si>
  <si>
    <t>Base de Dados_Images/MX3201.Imagem da Plaqueta do Motor-.155322.jpg</t>
  </si>
  <si>
    <t>Alisson Airton Sobrinho - 12/02/2025 12:36:24</t>
  </si>
  <si>
    <t>MX3202</t>
  </si>
  <si>
    <t>Agitador Do Tanque De Calagem</t>
  </si>
  <si>
    <t>Weslley Ferreira Cooper - 31/01/2025 11:35:25</t>
  </si>
  <si>
    <t>Weslley Ferreira Cooper - 31/01/2025 11:35:24</t>
  </si>
  <si>
    <t>Weslley Ferreira Cooper - 31/01/2025 11:35:23</t>
  </si>
  <si>
    <t>Weslley Ferreira Cooper - 31/01/2025 11:35:22</t>
  </si>
  <si>
    <t>Weslley Ferreira Cooper - 31/01/2025 11:35:17</t>
  </si>
  <si>
    <t>Weslley Ferreira Cooper - 31/01/2025 11:35:16</t>
  </si>
  <si>
    <t>Weslley Ferreira Cooper - 31/01/2025 11:35:11</t>
  </si>
  <si>
    <t>Weslley Ferreira Cooper - 31/01/2025 11:35:10</t>
  </si>
  <si>
    <t>Weslley Ferreira Cooper - 31/01/2025 11:35:09</t>
  </si>
  <si>
    <t>Weslley Ferreira Cooper - 31/01/2025 11:35:05</t>
  </si>
  <si>
    <t>Weslley Ferreira Cooper - 31/01/2025 11:35:04</t>
  </si>
  <si>
    <t>Weslley Ferreira Cooper - 31/01/2025 11:35:03</t>
  </si>
  <si>
    <t>Weslley Ferreira Cooper - 31/01/2025 11:35:01</t>
  </si>
  <si>
    <t>Adriel da Silva Queiroz - 17/02/2025 15:41:24</t>
  </si>
  <si>
    <t>Adriel da Silva Queiroz - 17/02/2025 15:41:25</t>
  </si>
  <si>
    <t>Adriel da Silva Queiroz - 17/02/2025 15:41:27</t>
  </si>
  <si>
    <t>Beatriz Alves Nunes de Paulo - 06/03/2025 08:57:54</t>
  </si>
  <si>
    <t>Beatriz Alves Nunes de Paulo - 06/03/2025 08:57:55</t>
  </si>
  <si>
    <t>Beatriz Alves Nunes de Paulo - 06/03/2025 08:57:57</t>
  </si>
  <si>
    <t>Alisson Airton Sobrinho - 07/03/2025 08:01:43</t>
  </si>
  <si>
    <t>Alisson Airton Sobrinho - 07/03/2025 08:01:47</t>
  </si>
  <si>
    <t>Alisson Airton Sobrinho - 07/03/2025 08:01:48</t>
  </si>
  <si>
    <t>Base de Dados_Images/MX3202.Imagem do Equipamento-.154930.jpg</t>
  </si>
  <si>
    <t>Weslley Ferreira Cooper - 31/01/2025 11:34:54</t>
  </si>
  <si>
    <t>MX3204</t>
  </si>
  <si>
    <t>Agitador Do Tanque Leite De Cal Nº 02</t>
  </si>
  <si>
    <t>Weslley Ferreira Cooper - 31/01/2025 11:34:11</t>
  </si>
  <si>
    <t>Weslley Ferreira Cooper - 31/01/2025 11:34:10</t>
  </si>
  <si>
    <t>Weslley Ferreira Cooper - 31/01/2025 11:34:12</t>
  </si>
  <si>
    <t>Weslley Ferreira Cooper - 31/01/2025 11:34:08</t>
  </si>
  <si>
    <t>Weslley Ferreira Cooper - 31/01/2025 11:34:07</t>
  </si>
  <si>
    <t>Weslley Ferreira Cooper - 31/01/2025 11:34:06</t>
  </si>
  <si>
    <t>Weslley Ferreira Cooper - 31/01/2025 11:34:04</t>
  </si>
  <si>
    <t>Weslley Ferreira Cooper - 31/01/2025 11:34:03</t>
  </si>
  <si>
    <t>Weslley Ferreira Cooper - 31/01/2025 11:34:02</t>
  </si>
  <si>
    <t>Weslley Ferreira Cooper - 31/01/2025 11:33:59</t>
  </si>
  <si>
    <t>Weslley Ferreira Cooper - 31/01/2025 11:33:58</t>
  </si>
  <si>
    <t>Weslley Ferreira Cooper - 31/01/2025 11:33:57</t>
  </si>
  <si>
    <t>Weslley Ferreira Cooper - 31/01/2025 11:33:55</t>
  </si>
  <si>
    <t>Alisson Airton Sobrinho - 08/02/2025 08:12:33</t>
  </si>
  <si>
    <t>Alisson Airton Sobrinho - 08/02/2025 08:12:34</t>
  </si>
  <si>
    <t>Alisson Airton Sobrinho - 08/02/2025 08:12:36</t>
  </si>
  <si>
    <t>Alisson Airton Sobrinho - 08/02/2025 08:12:39</t>
  </si>
  <si>
    <t>Alisson Airton Sobrinho - 08/02/2025 08:12:44</t>
  </si>
  <si>
    <t>Alisson Airton Sobrinho - 08/02/2025 08:12:45</t>
  </si>
  <si>
    <t>Alisson Airton Sobrinho - 08/02/2025 08:12:50</t>
  </si>
  <si>
    <t>Alisson Airton Sobrinho - 08/02/2025 08:12:52</t>
  </si>
  <si>
    <t>Alisson Airton Sobrinho - 08/02/2025 08:12:54</t>
  </si>
  <si>
    <t>Alisson Airton Sobrinho - 07/03/2025 07:16:34</t>
  </si>
  <si>
    <t>Alisson Airton Sobrinho - 07/03/2025 07:16:35</t>
  </si>
  <si>
    <t>Alisson Airton Sobrinho - 07/03/2025 07:16:36</t>
  </si>
  <si>
    <t>Alisson Airton Sobrinho - 07/03/2025 07:16:38</t>
  </si>
  <si>
    <t>Alisson Airton Sobrinho - 07/03/2025 07:16:37</t>
  </si>
  <si>
    <t>Base de Dados_Images/MX3204.Imagem do Equipamento-.154917.jpg</t>
  </si>
  <si>
    <t>Weslley Ferreira Cooper - 31/01/2025 11:34:33</t>
  </si>
  <si>
    <t>MX4001</t>
  </si>
  <si>
    <t>Motor Sementeira P/ Magma</t>
  </si>
  <si>
    <t>Alisson Airton Sobrinho - 27/01/2025 11:13:13</t>
  </si>
  <si>
    <t>Alisson Airton Sobrinho - 27/01/2025 11:13:15</t>
  </si>
  <si>
    <t>Alisson Airton Sobrinho - 27/01/2025 11:13:16</t>
  </si>
  <si>
    <t>Alisson Airton Sobrinho - 27/01/2025 11:13:19</t>
  </si>
  <si>
    <t>Alisson Airton Sobrinho - 27/01/2025 11:13:21</t>
  </si>
  <si>
    <t>Alisson Airton Sobrinho - 27/01/2025 11:13:23</t>
  </si>
  <si>
    <t>Alisson Airton Sobrinho - 27/01/2025 11:13:27</t>
  </si>
  <si>
    <t>Alisson Airton Sobrinho - 27/01/2025 11:13:29</t>
  </si>
  <si>
    <t>Alisson Airton Sobrinho - 27/01/2025 11:13:31</t>
  </si>
  <si>
    <t>Alisson Airton Sobrinho - 27/01/2025 11:13:39</t>
  </si>
  <si>
    <t>Beatriz Alves Nunes de Paulo - 30/01/2025 08:51:51</t>
  </si>
  <si>
    <t>Alisson Airton Sobrinho - 27/01/2025 11:13:49</t>
  </si>
  <si>
    <t>Alisson Airton Sobrinho - 27/01/2025 11:13:52</t>
  </si>
  <si>
    <t>Beatriz Alves Nunes de Paulo - 29/01/2025 14:33:57</t>
  </si>
  <si>
    <t>Beatriz Alves Nunes de Paulo - 29/01/2025 14:33:58</t>
  </si>
  <si>
    <t>Beatriz Alves Nunes de Paulo - 29/01/2025 14:34:01</t>
  </si>
  <si>
    <t>Beatriz Alves Nunes de Paulo - 29/01/2025 14:34:02</t>
  </si>
  <si>
    <t>Alisson Airton Sobrinho - 07/03/2025 08:59:29</t>
  </si>
  <si>
    <t>Alisson Airton Sobrinho - 07/03/2025 08:59:31</t>
  </si>
  <si>
    <t>Alisson Airton Sobrinho - 07/03/2025 08:59:32</t>
  </si>
  <si>
    <t>Alisson Airton Sobrinho - 07/03/2025 08:59:33</t>
  </si>
  <si>
    <t>Alisson Airton Sobrinho - 07/03/2025 08:59:36</t>
  </si>
  <si>
    <t>Alisson Airton Sobrinho - 07/03/2025 08:59:37</t>
  </si>
  <si>
    <t>Alisson Airton Sobrinho - 07/03/2025 08:59:38</t>
  </si>
  <si>
    <t>Alisson Airton Sobrinho - 07/03/2025 08:59:39</t>
  </si>
  <si>
    <t>Base de Dados_Images/MX4001.Imagem do Equipamento-.151626.jpg</t>
  </si>
  <si>
    <t>Alisson Airton Sobrinho - 27/01/2025 11:12:07</t>
  </si>
  <si>
    <t>Base de Dados_Images/MX4001.Imagem da Plaqueta do Motor-.151625.jpg</t>
  </si>
  <si>
    <t>Alisson Airton Sobrinho - 27/01/2025 11:13:01</t>
  </si>
  <si>
    <t>MX4002</t>
  </si>
  <si>
    <t>Reservatorio De Semente</t>
  </si>
  <si>
    <t>Beatriz Alves Nunes de Paulo - 31/01/2025 14:00:12</t>
  </si>
  <si>
    <t>Beatriz Alves Nunes de Paulo - 31/01/2025 14:00:13</t>
  </si>
  <si>
    <t>Beatriz Alves Nunes de Paulo - 31/01/2025 14:00:33</t>
  </si>
  <si>
    <t>Beatriz Alves Nunes de Paulo - 31/01/2025 14:00:34</t>
  </si>
  <si>
    <t>Beatriz Alves Nunes de Paulo - 31/01/2025 14:00:35</t>
  </si>
  <si>
    <t>Beatriz Alves Nunes de Paulo - 31/01/2025 14:00:37</t>
  </si>
  <si>
    <t>Beatriz Alves Nunes de Paulo - 31/01/2025 14:00:38</t>
  </si>
  <si>
    <t>Beatriz Alves Nunes de Paulo - 31/01/2025 14:00:44</t>
  </si>
  <si>
    <t>Beatriz Alves Nunes de Paulo - 31/01/2025 14:00:45</t>
  </si>
  <si>
    <t>Beatriz Alves Nunes de Paulo - 31/01/2025 14:00:46</t>
  </si>
  <si>
    <t>Beatriz Alves Nunes de Paulo - 31/01/2025 14:00:43</t>
  </si>
  <si>
    <t>Beatriz Alves Nunes de Paulo - 31/01/2025 14:00:48</t>
  </si>
  <si>
    <t>Beatriz Alves Nunes de Paulo - 31/01/2025 14:01:06</t>
  </si>
  <si>
    <t>Beatriz Alves Nunes de Paulo - 27/02/2025 13:02:26</t>
  </si>
  <si>
    <t>Beatriz Alves Nunes de Paulo - 27/02/2025 13:02:29</t>
  </si>
  <si>
    <t>Beatriz Alves Nunes de Paulo - 27/02/2025 13:02:28</t>
  </si>
  <si>
    <t>Beatriz Alves Nunes de Paulo - 27/02/2025 13:03:06</t>
  </si>
  <si>
    <t>Beatriz Alves Nunes de Paulo - 27/02/2025 13:03:07</t>
  </si>
  <si>
    <t>Beatriz Alves Nunes de Paulo - 27/02/2025 13:03:08</t>
  </si>
  <si>
    <t>Beatriz Alves Nunes de Paulo - 27/02/2025 13:03:09</t>
  </si>
  <si>
    <t>Alisson Airton Sobrinho - 07/03/2025 08:36:37</t>
  </si>
  <si>
    <t>Alisson Airton Sobrinho - 07/03/2025 08:36:38</t>
  </si>
  <si>
    <t>Alisson Airton Sobrinho - 07/03/2025 08:36:39</t>
  </si>
  <si>
    <t>Alisson Airton Sobrinho - 07/03/2025 08:36:40</t>
  </si>
  <si>
    <t>Base de Dados_Images/MX4002.Imagem do Equipamento-.181338.jpg</t>
  </si>
  <si>
    <t>Beatriz Alves Nunes de Paulo - 31/01/2025 13:59:38</t>
  </si>
  <si>
    <t>MX4003</t>
  </si>
  <si>
    <t>Agitador De Mel Rico / Diluidor Mel</t>
  </si>
  <si>
    <t>Beatriz Alves Nunes de Paulo - 31/01/2025 13:57:21</t>
  </si>
  <si>
    <t>Beatriz Alves Nunes de Paulo - 31/01/2025 13:57:22</t>
  </si>
  <si>
    <t>Beatriz Alves Nunes de Paulo - 31/01/2025 13:57:23</t>
  </si>
  <si>
    <t>Beatriz Alves Nunes de Paulo - 31/01/2025 13:57:26</t>
  </si>
  <si>
    <t>Beatriz Alves Nunes de Paulo - 31/01/2025 13:57:28</t>
  </si>
  <si>
    <t>Beatriz Alves Nunes de Paulo - 31/01/2025 13:57:31</t>
  </si>
  <si>
    <t>Beatriz Alves Nunes de Paulo - 31/01/2025 13:57:33</t>
  </si>
  <si>
    <t>Beatriz Alves Nunes de Paulo - 31/01/2025 13:57:32</t>
  </si>
  <si>
    <t>Beatriz Alves Nunes de Paulo - 31/01/2025 13:57:36</t>
  </si>
  <si>
    <t>Beatriz Alves Nunes de Paulo - 31/01/2025 13:57:37</t>
  </si>
  <si>
    <t>Beatriz Alves Nunes de Paulo - 31/01/2025 13:57:40</t>
  </si>
  <si>
    <t>Beatriz Alves Nunes de Paulo - 31/01/2025 13:57:41</t>
  </si>
  <si>
    <t>Beatriz Alves Nunes de Paulo - 06/03/2025 09:38:18</t>
  </si>
  <si>
    <t>Beatriz Alves Nunes de Paulo - 06/03/2025 09:38:17</t>
  </si>
  <si>
    <t>Beatriz Alves Nunes de Paulo - 06/03/2025 09:38:16</t>
  </si>
  <si>
    <t>Beatriz Alves Nunes de Paulo - 06/03/2025 09:38:22</t>
  </si>
  <si>
    <t>Beatriz Alves Nunes de Paulo - 06/03/2025 09:38:23</t>
  </si>
  <si>
    <t>Beatriz Alves Nunes de Paulo - 06/03/2025 09:38:25</t>
  </si>
  <si>
    <t>Beatriz Alves Nunes de Paulo - 06/03/2025 09:38:27</t>
  </si>
  <si>
    <t>Alisson Airton Sobrinho - 07/03/2025 08:27:25</t>
  </si>
  <si>
    <t>Alisson Airton Sobrinho - 07/03/2025 08:27:26</t>
  </si>
  <si>
    <t>Alisson Airton Sobrinho - 07/03/2025 08:27:28</t>
  </si>
  <si>
    <t>Base de Dados_Images/MX4003.Imagem do Equipamento-.181233.jpg</t>
  </si>
  <si>
    <t>Beatriz Alves Nunes de Paulo - 31/01/2025 13:57:08</t>
  </si>
  <si>
    <t>MX4004</t>
  </si>
  <si>
    <t>Agitador De Mel Pobre / Diluidor Mel</t>
  </si>
  <si>
    <t>Beatriz Alves Nunes de Paulo - 31/01/2025 13:56:02</t>
  </si>
  <si>
    <t>Beatriz Alves Nunes de Paulo - 31/01/2025 13:56:04</t>
  </si>
  <si>
    <t>Beatriz Alves Nunes de Paulo - 31/01/2025 13:56:06</t>
  </si>
  <si>
    <t>Beatriz Alves Nunes de Paulo - 31/01/2025 13:56:07</t>
  </si>
  <si>
    <t>Beatriz Alves Nunes de Paulo - 31/01/2025 13:56:10</t>
  </si>
  <si>
    <t>Beatriz Alves Nunes de Paulo - 31/01/2025 13:56:12</t>
  </si>
  <si>
    <t>Beatriz Alves Nunes de Paulo - 31/01/2025 13:56:14</t>
  </si>
  <si>
    <t>Beatriz Alves Nunes de Paulo - 31/01/2025 13:56:19</t>
  </si>
  <si>
    <t>Beatriz Alves Nunes de Paulo - 31/01/2025 13:56:20</t>
  </si>
  <si>
    <t>Beatriz Alves Nunes de Paulo - 31/01/2025 13:56:21</t>
  </si>
  <si>
    <t>Beatriz Alves Nunes de Paulo - 31/01/2025 13:56:29</t>
  </si>
  <si>
    <t>Beatriz Alves Nunes de Paulo - 31/01/2025 13:56:34</t>
  </si>
  <si>
    <t>Beatriz Alves Nunes de Paulo - 31/01/2025 13:56:35</t>
  </si>
  <si>
    <t>Beatriz Alves Nunes de Paulo - 06/03/2025 09:37:20</t>
  </si>
  <si>
    <t>Beatriz Alves Nunes de Paulo - 06/03/2025 09:37:24</t>
  </si>
  <si>
    <t>Beatriz Alves Nunes de Paulo - 06/03/2025 09:37:25</t>
  </si>
  <si>
    <t>Beatriz Alves Nunes de Paulo - 06/03/2025 09:37:33</t>
  </si>
  <si>
    <t>Beatriz Alves Nunes de Paulo - 06/03/2025 09:37:35</t>
  </si>
  <si>
    <t>Beatriz Alves Nunes de Paulo - 06/03/2025 09:37:36</t>
  </si>
  <si>
    <t>Beatriz Alves Nunes de Paulo - 06/03/2025 09:37:38</t>
  </si>
  <si>
    <t>Alisson Airton Sobrinho - 07/03/2025 08:24:43</t>
  </si>
  <si>
    <t>Alisson Airton Sobrinho - 07/03/2025 08:24:45</t>
  </si>
  <si>
    <t>Alisson Airton Sobrinho - 07/03/2025 08:24:47</t>
  </si>
  <si>
    <t>Base de Dados_Images/MX4004.Imagem do Equipamento-.181026.jpg</t>
  </si>
  <si>
    <t>Beatriz Alves Nunes de Paulo - 31/01/2025 13:55:56</t>
  </si>
  <si>
    <t>MX4005</t>
  </si>
  <si>
    <t>Tanque Diluidor De Acucar</t>
  </si>
  <si>
    <t>Beatriz Alves Nunes de Paulo - 30/01/2025 13:21:14</t>
  </si>
  <si>
    <t>Beatriz Alves Nunes de Paulo - 30/01/2025 13:21:18</t>
  </si>
  <si>
    <t>Beatriz Alves Nunes de Paulo - 30/01/2025 13:21:20</t>
  </si>
  <si>
    <t>Beatriz Alves Nunes de Paulo - 30/01/2025 13:21:30</t>
  </si>
  <si>
    <t>Beatriz Alves Nunes de Paulo - 30/01/2025 13:22:02</t>
  </si>
  <si>
    <t>Beatriz Alves Nunes de Paulo - 30/01/2025 13:22:09</t>
  </si>
  <si>
    <t>Beatriz Alves Nunes de Paulo - 30/01/2025 13:22:12</t>
  </si>
  <si>
    <t>Beatriz Alves Nunes de Paulo - 30/01/2025 13:22:16</t>
  </si>
  <si>
    <t>Beatriz Alves Nunes de Paulo - 30/01/2025 13:22:21</t>
  </si>
  <si>
    <t>Beatriz Alves Nunes de Paulo - 30/01/2025 13:22:20</t>
  </si>
  <si>
    <t>Beatriz Alves Nunes de Paulo - 30/01/2025 13:22:38</t>
  </si>
  <si>
    <t>Beatriz Alves Nunes de Paulo - 30/01/2025 13:22:41</t>
  </si>
  <si>
    <t>Beatriz Alves Nunes de Paulo - 03/02/2025 15:05:15</t>
  </si>
  <si>
    <t>Beatriz Alves Nunes de Paulo - 03/02/2025 15:05:21</t>
  </si>
  <si>
    <t>Beatriz Alves Nunes de Paulo - 03/02/2025 15:05:23</t>
  </si>
  <si>
    <t>Beatriz Alves Nunes de Paulo - 27/02/2025 13:03:23</t>
  </si>
  <si>
    <t>Beatriz Alves Nunes de Paulo - 27/02/2025 13:03:24</t>
  </si>
  <si>
    <t>Beatriz Alves Nunes de Paulo - 27/02/2025 13:03:25</t>
  </si>
  <si>
    <t>Beatriz Alves Nunes de Paulo - 27/02/2025 13:03:27</t>
  </si>
  <si>
    <t>Alisson Airton Sobrinho - 07/03/2025 13:22:24</t>
  </si>
  <si>
    <t>Alisson Airton Sobrinho - 07/03/2025 13:22:25</t>
  </si>
  <si>
    <t>Alisson Airton Sobrinho - 07/03/2025 13:22:26</t>
  </si>
  <si>
    <t>Base de Dados_Images/MX4005.Imagem do Equipamento-.193450.jpg</t>
  </si>
  <si>
    <t>Beatriz Alves Nunes de Paulo - 30/01/2025 13:21:00</t>
  </si>
  <si>
    <t>MX4006</t>
  </si>
  <si>
    <t>Batedor De Semente</t>
  </si>
  <si>
    <t>Beatriz Alves Nunes de Paulo - 31/01/2025 14:01:51</t>
  </si>
  <si>
    <t>Beatriz Alves Nunes de Paulo - 31/01/2025 14:01:54</t>
  </si>
  <si>
    <t>Beatriz Alves Nunes de Paulo - 31/01/2025 14:01:55</t>
  </si>
  <si>
    <t>Beatriz Alves Nunes de Paulo - 31/01/2025 14:01:57</t>
  </si>
  <si>
    <t>Beatriz Alves Nunes de Paulo - 31/01/2025 14:01:59</t>
  </si>
  <si>
    <t>Beatriz Alves Nunes de Paulo - 31/01/2025 14:02:00</t>
  </si>
  <si>
    <t>Beatriz Alves Nunes de Paulo - 31/01/2025 14:02:03</t>
  </si>
  <si>
    <t>Beatriz Alves Nunes de Paulo - 31/01/2025 14:02:04</t>
  </si>
  <si>
    <t>Beatriz Alves Nunes de Paulo - 31/01/2025 14:02:07</t>
  </si>
  <si>
    <t>Beatriz Alves Nunes de Paulo - 31/01/2025 14:02:11</t>
  </si>
  <si>
    <t>Beatriz Alves Nunes de Paulo - 31/01/2025 14:02:14</t>
  </si>
  <si>
    <t>Beatriz Alves Nunes de Paulo - 31/01/2025 14:02:16</t>
  </si>
  <si>
    <t>Beatriz Alves Nunes de Paulo - 31/01/2025 14:02:17</t>
  </si>
  <si>
    <t>Beatriz Alves Nunes de Paulo - 27/02/2025 13:03:46</t>
  </si>
  <si>
    <t>Beatriz Alves Nunes de Paulo - 27/02/2025 13:03:47</t>
  </si>
  <si>
    <t>Beatriz Alves Nunes de Paulo - 27/02/2025 13:03:48</t>
  </si>
  <si>
    <t>Beatriz Alves Nunes de Paulo - 27/02/2025 13:04:18</t>
  </si>
  <si>
    <t>Beatriz Alves Nunes de Paulo - 27/02/2025 13:04:23</t>
  </si>
  <si>
    <t>Beatriz Alves Nunes de Paulo - 27/02/2025 13:04:24</t>
  </si>
  <si>
    <t>Beatriz Alves Nunes de Paulo - 27/02/2025 13:04:26</t>
  </si>
  <si>
    <t>Beatriz Alves Nunes de Paulo - 27/02/2025 13:04:27</t>
  </si>
  <si>
    <t>Beatriz Alves Nunes de Paulo - 27/02/2025 13:04:31</t>
  </si>
  <si>
    <t>Alisson Airton Sobrinho - 07/03/2025 08:36:46</t>
  </si>
  <si>
    <t>Alisson Airton Sobrinho - 07/03/2025 08:36:48</t>
  </si>
  <si>
    <t>Alisson Airton Sobrinho - 07/03/2025 08:36:49</t>
  </si>
  <si>
    <t>Base de Dados_Images/MX4006.Imagem do Equipamento-.181435.jpg</t>
  </si>
  <si>
    <t>Beatriz Alves Nunes de Paulo - 31/01/2025 14:01:29</t>
  </si>
  <si>
    <t>Base de Dados_Images/MX4006.Imagem da Plaqueta do Motor-.181435.jpg</t>
  </si>
  <si>
    <t>Beatriz Alves Nunes de Paulo - 31/01/2025 14:01:38</t>
  </si>
  <si>
    <t>MX6501</t>
  </si>
  <si>
    <t>Alisson Airton Sobrinho - 29/01/2025 19:58:31</t>
  </si>
  <si>
    <t>Alisson Airton Sobrinho - 29/01/2025 19:58:32</t>
  </si>
  <si>
    <t>Alisson Airton Sobrinho - 29/01/2025 19:58:37</t>
  </si>
  <si>
    <t>Alisson Airton Sobrinho - 29/01/2025 19:58:35</t>
  </si>
  <si>
    <t>Alisson Airton Sobrinho - 29/01/2025 19:58:38</t>
  </si>
  <si>
    <t>Alisson Airton Sobrinho - 29/01/2025 19:58:43</t>
  </si>
  <si>
    <t>Alisson Airton Sobrinho - 29/01/2025 19:58:41</t>
  </si>
  <si>
    <t>Alisson Airton Sobrinho - 29/01/2025 19:58:44</t>
  </si>
  <si>
    <t>Alisson Airton Sobrinho - 29/01/2025 19:58:46</t>
  </si>
  <si>
    <t>Alisson Airton Sobrinho - 29/01/2025 19:58:48</t>
  </si>
  <si>
    <t>Alisson Airton Sobrinho - 29/01/2025 19:58:50</t>
  </si>
  <si>
    <t>Alisson Airton Sobrinho - 29/01/2025 19:59:10</t>
  </si>
  <si>
    <t>Alisson Airton Sobrinho - 29/01/2025 19:58:51</t>
  </si>
  <si>
    <t>Alisson Airton Sobrinho - 01/02/2025 09:58:41</t>
  </si>
  <si>
    <t>Alisson Airton Sobrinho - 01/02/2025 09:58:39</t>
  </si>
  <si>
    <t>Alisson Airton Sobrinho - 01/02/2025 09:58:37</t>
  </si>
  <si>
    <t>Alisson Airton Sobrinho - 08/02/2025 08:23:53</t>
  </si>
  <si>
    <t>Alisson Airton Sobrinho - 08/02/2025 08:23:54</t>
  </si>
  <si>
    <t>Alisson Airton Sobrinho - 08/02/2025 08:23:59</t>
  </si>
  <si>
    <t>Alisson Airton Sobrinho - 08/02/2025 08:24:01</t>
  </si>
  <si>
    <t>Alisson Airton Sobrinho - 08/02/2025 08:24:03</t>
  </si>
  <si>
    <t>Alisson Airton Sobrinho - 04/03/2025 07:53:27</t>
  </si>
  <si>
    <t>Alisson Airton Sobrinho - 04/03/2025 07:53:28</t>
  </si>
  <si>
    <t>Alisson Airton Sobrinho - 04/03/2025 07:53:31</t>
  </si>
  <si>
    <t>Alisson Airton Sobrinho - 04/03/2025 07:53:33</t>
  </si>
  <si>
    <t>Base de Dados_Images/MX6501.Imagem do Equipamento-.225831.jpg</t>
  </si>
  <si>
    <t>Alisson Airton Sobrinho - 29/01/2025 19:57:48</t>
  </si>
  <si>
    <t>Base de Dados_Images/MX6501.Imagem da Plaqueta do Motor-.225831.jpg</t>
  </si>
  <si>
    <t>Alisson Airton Sobrinho - 29/01/2025 19:58:26</t>
  </si>
  <si>
    <t>MX6502</t>
  </si>
  <si>
    <t>Agitador Nº 02</t>
  </si>
  <si>
    <t>Alisson Airton Sobrinho - 29/01/2025 20:05:50</t>
  </si>
  <si>
    <t>Alisson Airton Sobrinho - 29/01/2025 20:05:47</t>
  </si>
  <si>
    <t>Alisson Airton Sobrinho - 29/01/2025 20:05:46</t>
  </si>
  <si>
    <t>Alisson Airton Sobrinho - 29/01/2025 20:05:45</t>
  </si>
  <si>
    <t>Alisson Airton Sobrinho - 29/01/2025 20:05:44</t>
  </si>
  <si>
    <t>Alisson Airton Sobrinho - 29/01/2025 20:05:43</t>
  </si>
  <si>
    <t>Alisson Airton Sobrinho - 29/01/2025 20:05:42</t>
  </si>
  <si>
    <t>Alisson Airton Sobrinho - 29/01/2025 20:05:41</t>
  </si>
  <si>
    <t>Alisson Airton Sobrinho - 29/01/2025 20:05:40</t>
  </si>
  <si>
    <t>Alisson Airton Sobrinho - 29/01/2025 20:05:38</t>
  </si>
  <si>
    <t>Matheus César Azevedo Neto - 31/01/2025 11:45:12</t>
  </si>
  <si>
    <t>Alisson Airton Sobrinho - 29/01/2025 20:05:32</t>
  </si>
  <si>
    <t>Alisson Airton Sobrinho - 29/01/2025 20:05:30</t>
  </si>
  <si>
    <t>Alisson Airton Sobrinho - 01/02/2025 09:59:06</t>
  </si>
  <si>
    <t>Alisson Airton Sobrinho - 01/02/2025 09:59:07</t>
  </si>
  <si>
    <t>Alisson Airton Sobrinho - 01/02/2025 09:59:10</t>
  </si>
  <si>
    <t>Alisson Airton Sobrinho - 01/02/2025 09:59:13</t>
  </si>
  <si>
    <t>Alisson Airton Sobrinho - 04/03/2025 07:54:30</t>
  </si>
  <si>
    <t>Alisson Airton Sobrinho - 04/03/2025 07:54:31</t>
  </si>
  <si>
    <t>Alisson Airton Sobrinho - 04/03/2025 07:54:32</t>
  </si>
  <si>
    <t>Alisson Airton Sobrinho - 04/03/2025 07:54:34</t>
  </si>
  <si>
    <t>Alisson Airton Sobrinho - 04/03/2025 07:54:38</t>
  </si>
  <si>
    <t>Alisson Airton Sobrinho - 04/03/2025 07:54:39</t>
  </si>
  <si>
    <t>Alisson Airton Sobrinho - 04/03/2025 07:54:40</t>
  </si>
  <si>
    <t>Base de Dados_Images/MX6502.Imagem do Equipamento-.230620.jpg</t>
  </si>
  <si>
    <t>Alisson Airton Sobrinho - 29/01/2025 20:05:04</t>
  </si>
  <si>
    <t>Base de Dados_Images/MX6502.Imagem da Plaqueta do Motor-.230620.jpg</t>
  </si>
  <si>
    <t>Alisson Airton Sobrinho - 29/01/2025 20:05:20</t>
  </si>
  <si>
    <t>MX6503</t>
  </si>
  <si>
    <t>Agitador Nº 03</t>
  </si>
  <si>
    <t>Alisson Airton Sobrinho - 29/01/2025 20:07:04</t>
  </si>
  <si>
    <t>Alisson Airton Sobrinho - 29/01/2025 20:07:06</t>
  </si>
  <si>
    <t>Alisson Airton Sobrinho - 29/01/2025 20:07:07</t>
  </si>
  <si>
    <t>Alisson Airton Sobrinho - 29/01/2025 20:07:08</t>
  </si>
  <si>
    <t>Alisson Airton Sobrinho - 29/01/2025 20:07:09</t>
  </si>
  <si>
    <t>Alisson Airton Sobrinho - 29/01/2025 20:07:10</t>
  </si>
  <si>
    <t>Alisson Airton Sobrinho - 29/01/2025 20:07:12</t>
  </si>
  <si>
    <t>Alisson Airton Sobrinho - 29/01/2025 20:07:13</t>
  </si>
  <si>
    <t>Alisson Airton Sobrinho - 29/01/2025 20:07:14</t>
  </si>
  <si>
    <t>Alisson Airton Sobrinho - 29/01/2025 20:07:15</t>
  </si>
  <si>
    <t>Alisson Airton Sobrinho - 29/01/2025 20:07:17</t>
  </si>
  <si>
    <t>Alisson Airton Sobrinho - 01/02/2025 09:59:39</t>
  </si>
  <si>
    <t>Alisson Airton Sobrinho - 01/02/2025 09:59:46</t>
  </si>
  <si>
    <t>Alisson Airton Sobrinho - 01/02/2025 09:59:48</t>
  </si>
  <si>
    <t>Beatriz Alves Nunes de Paulo - 06/03/2025 09:18:42</t>
  </si>
  <si>
    <t>Beatriz Alves Nunes de Paulo - 06/03/2025 09:18:43</t>
  </si>
  <si>
    <t>Beatriz Alves Nunes de Paulo - 06/03/2025 09:18:44</t>
  </si>
  <si>
    <t>Beatriz Alves Nunes de Paulo - 06/03/2025 09:18:45</t>
  </si>
  <si>
    <t>Beatriz Alves Nunes de Paulo - 06/03/2025 09:18:48</t>
  </si>
  <si>
    <t>Beatriz Alves Nunes de Paulo - 06/03/2025 09:18:50</t>
  </si>
  <si>
    <t>Beatriz Alves Nunes de Paulo - 06/03/2025 09:18:49</t>
  </si>
  <si>
    <t>Beatriz Alves Nunes de Paulo - 06/03/2025 09:18:51</t>
  </si>
  <si>
    <t>Base de Dados_Images/MX6503.Imagem do Equipamento-.230734.jpg</t>
  </si>
  <si>
    <t>Alisson Airton Sobrinho - 29/01/2025 20:06:32</t>
  </si>
  <si>
    <t>Base de Dados_Images/MX6503.Imagem da Plaqueta do Motor-.230734.jpg</t>
  </si>
  <si>
    <t>Alisson Airton Sobrinho - 29/01/2025 20:06:59</t>
  </si>
  <si>
    <t>MX7101</t>
  </si>
  <si>
    <t>Agitador Do Tanque De Soda</t>
  </si>
  <si>
    <t>Alisson Airton Sobrinho - 01/02/2025 09:12:30</t>
  </si>
  <si>
    <t>Alisson Airton Sobrinho - 01/02/2025 09:12:32</t>
  </si>
  <si>
    <t>Alisson Airton Sobrinho - 01/02/2025 09:12:33</t>
  </si>
  <si>
    <t>Alisson Airton Sobrinho - 01/02/2025 09:12:40</t>
  </si>
  <si>
    <t>Alisson Airton Sobrinho - 01/02/2025 09:12:52</t>
  </si>
  <si>
    <t>Alisson Airton Sobrinho - 01/02/2025 09:13:07</t>
  </si>
  <si>
    <t>Alisson Airton Sobrinho - 01/02/2025 09:13:09</t>
  </si>
  <si>
    <t>Alisson Airton Sobrinho - 01/02/2025 09:13:13</t>
  </si>
  <si>
    <t>Alisson Airton Sobrinho - 01/02/2025 09:13:16</t>
  </si>
  <si>
    <t>Alisson Airton Sobrinho - 01/02/2025 09:13:18</t>
  </si>
  <si>
    <t>Alisson Airton Sobrinho - 01/02/2025 09:13:24</t>
  </si>
  <si>
    <t>Alisson Airton Sobrinho - 01/02/2025 09:13:27</t>
  </si>
  <si>
    <t>Alisson Airton Sobrinho - 01/02/2025 09:13:28</t>
  </si>
  <si>
    <t>Alisson Airton Sobrinho - 01/02/2025 12:02:21</t>
  </si>
  <si>
    <t>Alisson Airton Sobrinho - 01/02/2025 12:02:24</t>
  </si>
  <si>
    <t>Alisson Airton Sobrinho - 01/02/2025 12:02:25</t>
  </si>
  <si>
    <t>Alisson Airton Sobrinho - 01/02/2025 12:02:28</t>
  </si>
  <si>
    <t>Alisson Airton Sobrinho - 04/02/2025 15:13:58</t>
  </si>
  <si>
    <t>Alisson Airton Sobrinho - 04/02/2025 15:13:59</t>
  </si>
  <si>
    <t>Alisson Airton Sobrinho - 04/02/2025 15:14:01</t>
  </si>
  <si>
    <t>Alisson Airton Sobrinho - 04/02/2025 15:14:05</t>
  </si>
  <si>
    <t>Alisson Airton Sobrinho - 04/02/2025 15:14:08</t>
  </si>
  <si>
    <t>Alisson Airton Sobrinho - 07/03/2025 07:30:38</t>
  </si>
  <si>
    <t>Alisson Airton Sobrinho - 07/03/2025 07:30:42</t>
  </si>
  <si>
    <t>Alisson Airton Sobrinho - 07/03/2025 07:30:44</t>
  </si>
  <si>
    <t>Base de Dados_Images/MX7101.Imagem do Equipamento-.121224.jpg</t>
  </si>
  <si>
    <t>Alisson Airton Sobrinho - 01/02/2025 09:12:16</t>
  </si>
  <si>
    <t>MX8101</t>
  </si>
  <si>
    <t>Decantador Clarificador (Vlc)</t>
  </si>
  <si>
    <t>Paula Caroline Morais Duarte - 29/01/2025 13:09:05</t>
  </si>
  <si>
    <t>Paula Caroline Morais Duarte - 29/01/2025 13:09:07</t>
  </si>
  <si>
    <t>Paula Caroline Morais Duarte - 29/01/2025 13:09:08</t>
  </si>
  <si>
    <t>Paula Caroline Morais Duarte - 29/01/2025 13:09:09</t>
  </si>
  <si>
    <t>Paula Caroline Morais Duarte - 29/01/2025 13:09:11</t>
  </si>
  <si>
    <t>Paula Caroline Morais Duarte - 29/01/2025 13:09:13</t>
  </si>
  <si>
    <t>Paula Caroline Morais Duarte - 29/01/2025 13:09:14</t>
  </si>
  <si>
    <t>Paula Caroline Morais Duarte - 29/01/2025 13:09:16</t>
  </si>
  <si>
    <t>Paula Caroline Morais Duarte - 29/01/2025 13:09:18</t>
  </si>
  <si>
    <t>Paula Caroline Morais Duarte - 29/01/2025 13:09:20</t>
  </si>
  <si>
    <t>Paula Caroline Morais Duarte - 29/01/2025 13:09:21</t>
  </si>
  <si>
    <t>Paula Caroline Morais Duarte - 29/01/2025 13:09:25</t>
  </si>
  <si>
    <t>Paula Caroline Morais Duarte - 29/01/2025 13:09:31</t>
  </si>
  <si>
    <t>Alisson Airton Sobrinho - 07/03/2025 12:58:34</t>
  </si>
  <si>
    <t>Alisson Airton Sobrinho - 07/03/2025 12:58:40</t>
  </si>
  <si>
    <t>Alisson Airton Sobrinho - 07/03/2025 12:58:42</t>
  </si>
  <si>
    <t>Alisson Airton Sobrinho - 07/03/2025 12:58:46</t>
  </si>
  <si>
    <t>Alisson Airton Sobrinho - 07/03/2025 12:58:48</t>
  </si>
  <si>
    <t>Alisson Airton Sobrinho - 07/03/2025 12:58:52</t>
  </si>
  <si>
    <t>Alisson Airton Sobrinho - 07/03/2025 12:58:57</t>
  </si>
  <si>
    <t>Alisson Airton Sobrinho - 07/03/2025 12:58:58</t>
  </si>
  <si>
    <t>Alisson Airton Sobrinho - 07/03/2025 12:58:59</t>
  </si>
  <si>
    <t>Base de Dados_Images/MX8101.Imagem do Equipamento-.160904.jpg</t>
  </si>
  <si>
    <t>Paula Caroline Morais Duarte - 29/01/2025 13:08:50</t>
  </si>
  <si>
    <t>Base de Dados_Images/MX8101.Imagem da Plaqueta do Motor-.160905.jpg</t>
  </si>
  <si>
    <t>Paula Caroline Morais Duarte - 29/01/2025 13:08:58</t>
  </si>
  <si>
    <t>MX9501</t>
  </si>
  <si>
    <t>Agitador De Polimero Do Alcool Nº 01</t>
  </si>
  <si>
    <t>Beatriz Alves Nunes de Paulo - 28/01/2025 09:59:48</t>
  </si>
  <si>
    <t>Beatriz Alves Nunes de Paulo - 28/01/2025 09:59:50</t>
  </si>
  <si>
    <t>Beatriz Alves Nunes de Paulo - 28/01/2025 09:59:53</t>
  </si>
  <si>
    <t>Beatriz Alves Nunes de Paulo - 28/01/2025 09:59:54</t>
  </si>
  <si>
    <t>Beatriz Alves Nunes de Paulo - 28/01/2025 10:00:00</t>
  </si>
  <si>
    <t>Beatriz Alves Nunes de Paulo - 28/01/2025 10:00:02</t>
  </si>
  <si>
    <t>Beatriz Alves Nunes de Paulo - 28/01/2025 10:00:06</t>
  </si>
  <si>
    <t>Beatriz Alves Nunes de Paulo - 28/01/2025 10:00:08</t>
  </si>
  <si>
    <t>Beatriz Alves Nunes de Paulo - 28/01/2025 10:00:10</t>
  </si>
  <si>
    <t>Beatriz Alves Nunes de Paulo - 28/01/2025 10:00:22</t>
  </si>
  <si>
    <t>Beatriz Alves Nunes de Paulo - 28/01/2025 10:00:16</t>
  </si>
  <si>
    <t>Beatriz Alves Nunes de Paulo - 28/01/2025 10:00:19</t>
  </si>
  <si>
    <t>Beatriz Alves Nunes de Paulo - 28/01/2025 10:00:20</t>
  </si>
  <si>
    <t>Alisson Airton Sobrinho - 08/02/2025 08:03:52</t>
  </si>
  <si>
    <t>Alisson Airton Sobrinho - 08/02/2025 08:03:56</t>
  </si>
  <si>
    <t>Alisson Airton Sobrinho - 08/02/2025 08:03:57</t>
  </si>
  <si>
    <t>Alisson Airton Sobrinho - 08/02/2025 08:03:59</t>
  </si>
  <si>
    <t>Alisson Airton Sobrinho - 06/03/2025 11:57:33</t>
  </si>
  <si>
    <t>Alisson Airton Sobrinho - 06/03/2025 11:57:35</t>
  </si>
  <si>
    <t>Alisson Airton Sobrinho - 06/03/2025 11:58:03</t>
  </si>
  <si>
    <t>Alisson Airton Sobrinho - 06/03/2025 11:58:04</t>
  </si>
  <si>
    <t>Alisson Airton Sobrinho - 07/03/2025 07:03:34</t>
  </si>
  <si>
    <t>Alisson Airton Sobrinho - 07/03/2025 07:03:35</t>
  </si>
  <si>
    <t>Alisson Airton Sobrinho - 07/03/2025 07:03:37</t>
  </si>
  <si>
    <t>Base de Dados_Images/MX9501.Imagem do Equipamento-.163953.jpg</t>
  </si>
  <si>
    <t>Beatriz Alves Nunes de Paulo - 28/01/2025 09:58:52</t>
  </si>
  <si>
    <t>Base de Dados_Images/MX9501.Imagem da Plaqueta do Motor-.163953.jpg</t>
  </si>
  <si>
    <t>Beatriz Alves Nunes de Paulo - 28/01/2025 09:59:06</t>
  </si>
  <si>
    <t>Tanque 2 Polimero Decantador Alcool (Tq 110)</t>
  </si>
  <si>
    <t>MX9502</t>
  </si>
  <si>
    <t>Agitador De Polimero Do Alcool Nº 02</t>
  </si>
  <si>
    <t>Beatriz Alves Nunes de Paulo - 28/01/2025 10:02:13</t>
  </si>
  <si>
    <t>Beatriz Alves Nunes de Paulo - 28/01/2025 10:02:15</t>
  </si>
  <si>
    <t>Beatriz Alves Nunes de Paulo - 28/01/2025 10:02:18</t>
  </si>
  <si>
    <t>Beatriz Alves Nunes de Paulo - 28/01/2025 10:02:19</t>
  </si>
  <si>
    <t>Beatriz Alves Nunes de Paulo - 28/01/2025 10:02:21</t>
  </si>
  <si>
    <t>Beatriz Alves Nunes de Paulo - 28/01/2025 10:02:22</t>
  </si>
  <si>
    <t>Beatriz Alves Nunes de Paulo - 28/01/2025 10:02:23</t>
  </si>
  <si>
    <t>Beatriz Alves Nunes de Paulo - 28/01/2025 10:02:25</t>
  </si>
  <si>
    <t>Beatriz Alves Nunes de Paulo - 28/01/2025 10:02:26</t>
  </si>
  <si>
    <t>Beatriz Alves Nunes de Paulo - 28/01/2025 10:02:28</t>
  </si>
  <si>
    <t>Beatriz Alves Nunes de Paulo - 28/01/2025 10:02:30</t>
  </si>
  <si>
    <t>Beatriz Alves Nunes de Paulo - 28/01/2025 10:02:31</t>
  </si>
  <si>
    <t>Alisson Airton Sobrinho - 04/03/2025 13:00:45</t>
  </si>
  <si>
    <t>Alisson Airton Sobrinho - 04/03/2025 13:00:46</t>
  </si>
  <si>
    <t>Alisson Airton Sobrinho - 04/03/2025 13:00:47</t>
  </si>
  <si>
    <t>Alisson Airton Sobrinho - 04/03/2025 13:00:49</t>
  </si>
  <si>
    <t>Alisson Airton Sobrinho - 04/03/2025 13:00:52</t>
  </si>
  <si>
    <t>Alisson Airton Sobrinho - 04/03/2025 13:00:54</t>
  </si>
  <si>
    <t>Alisson Airton Sobrinho - 04/03/2025 13:00:55</t>
  </si>
  <si>
    <t>Alisson Airton Sobrinho - 04/03/2025 13:00:56</t>
  </si>
  <si>
    <t>Alisson Airton Sobrinho - 07/03/2025 07:04:06</t>
  </si>
  <si>
    <t>Alisson Airton Sobrinho - 07/03/2025 07:04:07</t>
  </si>
  <si>
    <t>Alisson Airton Sobrinho - 07/03/2025 07:04:08</t>
  </si>
  <si>
    <t>Alisson Airton Sobrinho - 07/03/2025 07:04:09</t>
  </si>
  <si>
    <t>Base de Dados_Images/MX9502.Imagem do Equipamento-.164048.jpg</t>
  </si>
  <si>
    <t>Beatriz Alves Nunes de Paulo - 28/01/2025 10:02:00</t>
  </si>
  <si>
    <t>MX9505</t>
  </si>
  <si>
    <t>Agitador De Polimero Do Acucar Nº 01</t>
  </si>
  <si>
    <t>Beatriz Alves Nunes de Paulo - 28/01/2025 09:55:04</t>
  </si>
  <si>
    <t>Beatriz Alves Nunes de Paulo - 28/01/2025 09:55:07</t>
  </si>
  <si>
    <t>Beatriz Alves Nunes de Paulo - 28/01/2025 09:55:09</t>
  </si>
  <si>
    <t>Beatriz Alves Nunes de Paulo - 28/01/2025 09:55:18</t>
  </si>
  <si>
    <t>Beatriz Alves Nunes de Paulo - 28/01/2025 09:55:20</t>
  </si>
  <si>
    <t>Beatriz Alves Nunes de Paulo - 28/01/2025 09:55:29</t>
  </si>
  <si>
    <t>Beatriz Alves Nunes de Paulo - 28/01/2025 09:55:28</t>
  </si>
  <si>
    <t>Beatriz Alves Nunes de Paulo - 28/01/2025 09:55:34</t>
  </si>
  <si>
    <t>Beatriz Alves Nunes de Paulo - 28/01/2025 09:55:32</t>
  </si>
  <si>
    <t>Beatriz Alves Nunes de Paulo - 28/01/2025 09:55:38</t>
  </si>
  <si>
    <t>Beatriz Alves Nunes de Paulo - 28/01/2025 09:55:40</t>
  </si>
  <si>
    <t>Beatriz Alves Nunes de Paulo - 28/01/2025 09:55:43</t>
  </si>
  <si>
    <t>Alisson Airton Sobrinho - 08/02/2025 08:02:02</t>
  </si>
  <si>
    <t>Alisson Airton Sobrinho - 08/02/2025 08:02:03</t>
  </si>
  <si>
    <t>Alisson Airton Sobrinho - 08/02/2025 08:02:04</t>
  </si>
  <si>
    <t>Alisson Airton Sobrinho - 08/02/2025 08:02:05</t>
  </si>
  <si>
    <t>Alisson Airton Sobrinho - 08/02/2025 08:02:28</t>
  </si>
  <si>
    <t>Alisson Airton Sobrinho - 08/02/2025 08:02:30</t>
  </si>
  <si>
    <t>Alisson Airton Sobrinho - 08/02/2025 08:02:32</t>
  </si>
  <si>
    <t>Alisson Airton Sobrinho - 08/02/2025 08:02:33</t>
  </si>
  <si>
    <t>Alisson Airton Sobrinho - 08/02/2025 08:02:35</t>
  </si>
  <si>
    <t>Alisson Airton Sobrinho - 07/03/2025 07:03:10</t>
  </si>
  <si>
    <t>Alisson Airton Sobrinho - 07/03/2025 07:03:12</t>
  </si>
  <si>
    <t>Alisson Airton Sobrinho - 07/03/2025 07:03:13</t>
  </si>
  <si>
    <t>Base de Dados_Images/MX9505.Imagem do Equipamento-.163737.jpg</t>
  </si>
  <si>
    <t>Beatriz Alves Nunes de Paulo - 28/01/2025 09:54:15</t>
  </si>
  <si>
    <t>Base de Dados_Images/MX9505.Imagem da Plaqueta do Motor-.163737.jpg</t>
  </si>
  <si>
    <t>Beatriz Alves Nunes de Paulo - 28/01/2025 09:54:32</t>
  </si>
  <si>
    <t>Tanque 2 Polimero Decantador Açucar (Tq 210)</t>
  </si>
  <si>
    <t>MX9506</t>
  </si>
  <si>
    <t>Agitador Polimero Do Acucar Nº 02</t>
  </si>
  <si>
    <t>Beatriz Alves Nunes de Paulo - 28/01/2025 09:57:13</t>
  </si>
  <si>
    <t>Beatriz Alves Nunes de Paulo - 28/01/2025 09:57:24</t>
  </si>
  <si>
    <t>Beatriz Alves Nunes de Paulo - 28/01/2025 09:57:26</t>
  </si>
  <si>
    <t>Beatriz Alves Nunes de Paulo - 28/01/2025 09:57:31</t>
  </si>
  <si>
    <t>Beatriz Alves Nunes de Paulo - 28/01/2025 09:57:33</t>
  </si>
  <si>
    <t>Beatriz Alves Nunes de Paulo - 28/01/2025 09:57:35</t>
  </si>
  <si>
    <t>Beatriz Alves Nunes de Paulo - 28/01/2025 09:57:38</t>
  </si>
  <si>
    <t>Beatriz Alves Nunes de Paulo - 28/01/2025 09:57:40</t>
  </si>
  <si>
    <t>Beatriz Alves Nunes de Paulo - 28/01/2025 09:57:45</t>
  </si>
  <si>
    <t>Beatriz Alves Nunes de Paulo - 28/01/2025 09:57:46</t>
  </si>
  <si>
    <t>Beatriz Alves Nunes de Paulo - 28/01/2025 09:57:49</t>
  </si>
  <si>
    <t>Beatriz Alves Nunes de Paulo - 28/01/2025 09:57:52</t>
  </si>
  <si>
    <t>Beatriz Alves Nunes de Paulo - 28/01/2025 09:57:57</t>
  </si>
  <si>
    <t>Alisson Airton Sobrinho - 04/03/2025 13:00:05</t>
  </si>
  <si>
    <t>Alisson Airton Sobrinho - 04/03/2025 13:00:06</t>
  </si>
  <si>
    <t>Alisson Airton Sobrinho - 04/03/2025 13:00:11</t>
  </si>
  <si>
    <t>Alisson Airton Sobrinho - 04/03/2025 13:00:09</t>
  </si>
  <si>
    <t>Alisson Airton Sobrinho - 04/03/2025 13:00:14</t>
  </si>
  <si>
    <t>Alisson Airton Sobrinho - 04/03/2025 13:00:15</t>
  </si>
  <si>
    <t>Alisson Airton Sobrinho - 04/03/2025 13:00:16</t>
  </si>
  <si>
    <t>Alisson Airton Sobrinho - 04/03/2025 13:00:17</t>
  </si>
  <si>
    <t>Alisson Airton Sobrinho - 04/03/2025 13:00:18</t>
  </si>
  <si>
    <t>Alisson Airton Sobrinho - 07/03/2025 07:03:55</t>
  </si>
  <si>
    <t>Alisson Airton Sobrinho - 07/03/2025 07:03:56</t>
  </si>
  <si>
    <t>Alisson Airton Sobrinho - 07/03/2025 07:03:58</t>
  </si>
  <si>
    <t>Base de Dados_Images/MX9506.Imagem do Equipamento-.163843.jpg</t>
  </si>
  <si>
    <t>Beatriz Alves Nunes de Paulo - 28/01/2025 09:56:38</t>
  </si>
  <si>
    <t>Psvs</t>
  </si>
  <si>
    <t>NE</t>
  </si>
  <si>
    <t>Reservatório De Ar - Armazém De Açúcar</t>
  </si>
  <si>
    <t>Beatriz Alves Nunes de Paulo - 06/02/2025 11:59:01</t>
  </si>
  <si>
    <t>Beatriz Alves Nunes de Paulo - 06/02/2025 11:59:05</t>
  </si>
  <si>
    <t>Beatriz Alves Nunes de Paulo - 06/02/2025 11:59:02</t>
  </si>
  <si>
    <t>Beatriz Alves Nunes de Paulo - 06/02/2025 11:59:07</t>
  </si>
  <si>
    <t>Beatriz Alves Nunes de Paulo - 06/02/2025 11:59:09</t>
  </si>
  <si>
    <t>Beatriz Alves Nunes de Paulo - 06/02/2025 11:59:14</t>
  </si>
  <si>
    <t>Beatriz Alves Nunes de Paulo - 06/02/2025 11:59:16</t>
  </si>
  <si>
    <t>Beatriz Alves Nunes de Paulo - 06/02/2025 11:59:18</t>
  </si>
  <si>
    <t>Beatriz Alves Nunes de Paulo - 06/02/2025 11:59:22</t>
  </si>
  <si>
    <t>Alisson Airton Sobrinho - 07/02/2025 15:16:25</t>
  </si>
  <si>
    <t>Alisson Airton Sobrinho - 07/02/2025 15:16:28</t>
  </si>
  <si>
    <t>Beatriz Alves Nunes de Paulo - 20/02/2025 12:41:18</t>
  </si>
  <si>
    <t>Beatriz Alves Nunes de Paulo - 20/02/2025 12:41:22</t>
  </si>
  <si>
    <t>Beatriz Alves Nunes de Paulo - 20/02/2025 12:41:23</t>
  </si>
  <si>
    <t>Beatriz Alves Nunes de Paulo - 20/02/2025 12:41:24</t>
  </si>
  <si>
    <t>Beatriz Alves Nunes de Paulo - 02/06/2025 11:57:32</t>
  </si>
  <si>
    <t>PCV30045</t>
  </si>
  <si>
    <t>Válvula Água Multijato Último Efeito Evaporação</t>
  </si>
  <si>
    <t>Adriel da Silva Queiroz - 14/02/2025 11:45:19</t>
  </si>
  <si>
    <t>Adriel da Silva Queiroz - 14/02/2025 11:45:20</t>
  </si>
  <si>
    <t>Adriel da Silva Queiroz - 14/02/2025 11:45:22</t>
  </si>
  <si>
    <t>Adriel da Silva Queiroz - 14/02/2025 11:45:23</t>
  </si>
  <si>
    <t>Adriel da Silva Queiroz - 14/02/2025 11:45:24</t>
  </si>
  <si>
    <t>Adriel da Silva Queiroz - 14/02/2025 11:45:31</t>
  </si>
  <si>
    <t>Adriel da Silva Queiroz - 14/02/2025 11:45:28</t>
  </si>
  <si>
    <t>Adriel da Silva Queiroz - 14/02/2025 11:45:29</t>
  </si>
  <si>
    <t>Rafael Roldão Rodrigues - 03/03/2025 12:05:06</t>
  </si>
  <si>
    <t>Rafael Roldão Rodrigues - 03/03/2025 12:05:07</t>
  </si>
  <si>
    <t>Rafael Roldão Rodrigues - 03/03/2025 12:05:13</t>
  </si>
  <si>
    <t>Alisson Airton Sobrinho - 06/03/2025 12:13:25</t>
  </si>
  <si>
    <t>Base de Dados_Images/PCV30045.Imagem do Equipamento-.145119.jpg</t>
  </si>
  <si>
    <t>Adriel da Silva Queiroz - 14/02/2025 11:46:14</t>
  </si>
  <si>
    <t>PCV40002A</t>
  </si>
  <si>
    <t>Válvula 1 Pressão Vapor Calandra Cozedor 1</t>
  </si>
  <si>
    <t>Beatriz Alves Nunes de Paulo - 29/01/2025 13:45:40</t>
  </si>
  <si>
    <t>Beatriz Alves Nunes de Paulo - 29/01/2025 13:45:42</t>
  </si>
  <si>
    <t>Beatriz Alves Nunes de Paulo - 29/01/2025 13:45:47</t>
  </si>
  <si>
    <t>Beatriz Alves Nunes de Paulo - 29/01/2025 13:45:49</t>
  </si>
  <si>
    <t>Beatriz Alves Nunes de Paulo - 29/01/2025 13:45:51</t>
  </si>
  <si>
    <t>Beatriz Alves Nunes de Paulo - 29/01/2025 13:45:56</t>
  </si>
  <si>
    <t>Beatriz Alves Nunes de Paulo - 29/01/2025 13:45:58</t>
  </si>
  <si>
    <t>Beatriz Alves Nunes de Paulo - 29/01/2025 13:46:00</t>
  </si>
  <si>
    <t>Beatriz Alves Nunes de Paulo - 29/01/2025 13:46:09</t>
  </si>
  <si>
    <t>Beatriz Alves Nunes de Paulo - 29/01/2025 13:46:12</t>
  </si>
  <si>
    <t>Beatriz Alves Nunes de Paulo - 20/02/2025 10:43:34</t>
  </si>
  <si>
    <t>Alisson Airton Sobrinho - 07/03/2025 08:13:57</t>
  </si>
  <si>
    <t>Base de Dados_Images/PCV40002A.Imagem do Equipamento-.190541.jpg</t>
  </si>
  <si>
    <t>Beatriz Alves Nunes de Paulo - 29/01/2025 13:45:33</t>
  </si>
  <si>
    <t>PCV40002B</t>
  </si>
  <si>
    <t>Válvula 2 Pressão Vapor Calandra Cozedor 1</t>
  </si>
  <si>
    <t>Beatriz Alves Nunes de Paulo - 29/01/2025 13:41:59</t>
  </si>
  <si>
    <t>Beatriz Alves Nunes de Paulo - 29/01/2025 13:42:02</t>
  </si>
  <si>
    <t>Beatriz Alves Nunes de Paulo - 29/01/2025 13:42:08</t>
  </si>
  <si>
    <t>Beatriz Alves Nunes de Paulo - 29/01/2025 13:42:09</t>
  </si>
  <si>
    <t>Beatriz Alves Nunes de Paulo - 29/01/2025 13:42:12</t>
  </si>
  <si>
    <t>Beatriz Alves Nunes de Paulo - 29/01/2025 13:42:14</t>
  </si>
  <si>
    <t>Beatriz Alves Nunes de Paulo - 29/01/2025 13:42:16</t>
  </si>
  <si>
    <t>Beatriz Alves Nunes de Paulo - 29/01/2025 13:42:17</t>
  </si>
  <si>
    <t>Beatriz Alves Nunes de Paulo - 29/01/2025 13:42:24</t>
  </si>
  <si>
    <t>Beatriz Alves Nunes de Paulo - 29/01/2025 13:42:34</t>
  </si>
  <si>
    <t>Beatriz Alves Nunes de Paulo - 11/02/2025 09:24:16</t>
  </si>
  <si>
    <t>Alisson Airton Sobrinho - 07/03/2025 08:14:01</t>
  </si>
  <si>
    <t>Base de Dados_Images/PCV40002B.Imagem do Equipamento-.190456.jpg</t>
  </si>
  <si>
    <t>Beatriz Alves Nunes de Paulo - 29/01/2025 13:41:54</t>
  </si>
  <si>
    <t>PCV40005A</t>
  </si>
  <si>
    <t>Válvula 1 Pressão Vapor Calandra Cozedor 2</t>
  </si>
  <si>
    <t>Adriel da Silva Queiroz - 17/02/2025 09:28:30</t>
  </si>
  <si>
    <t>Adriel da Silva Queiroz - 17/02/2025 09:28:31</t>
  </si>
  <si>
    <t>Adriel da Silva Queiroz - 17/02/2025 09:28:33</t>
  </si>
  <si>
    <t>Adriel da Silva Queiroz - 17/02/2025 09:28:34</t>
  </si>
  <si>
    <t>Adriel da Silva Queiroz - 17/02/2025 09:28:35</t>
  </si>
  <si>
    <t>Adriel da Silva Queiroz - 17/02/2025 09:28:36</t>
  </si>
  <si>
    <t>Adriel da Silva Queiroz - 17/02/2025 09:28:37</t>
  </si>
  <si>
    <t>Beatriz Alves Nunes de Paulo - 20/02/2025 10:25:13</t>
  </si>
  <si>
    <t>Beatriz Alves Nunes de Paulo - 20/02/2025 10:25:14</t>
  </si>
  <si>
    <t>Beatriz Alves Nunes de Paulo - 20/02/2025 10:25:18</t>
  </si>
  <si>
    <t>Alisson Airton Sobrinho - 07/03/2025 08:14:07</t>
  </si>
  <si>
    <t>Adriel da Silva Queiroz - 02/17/2025 09:28:25</t>
  </si>
  <si>
    <t>PCV40005B</t>
  </si>
  <si>
    <t>Válvula 2 Pressão Vapor Calandra Cozedor 2</t>
  </si>
  <si>
    <t>Adriel da Silva Queiroz - 17/02/2025 09:29:02</t>
  </si>
  <si>
    <t>Adriel da Silva Queiroz - 17/02/2025 09:29:18</t>
  </si>
  <si>
    <t>Adriel da Silva Queiroz - 17/02/2025 09:29:20</t>
  </si>
  <si>
    <t>Adriel da Silva Queiroz - 17/02/2025 09:29:19</t>
  </si>
  <si>
    <t>Adriel da Silva Queiroz - 17/02/2025 09:29:21</t>
  </si>
  <si>
    <t>Adriel da Silva Queiroz - 17/02/2025 09:29:23</t>
  </si>
  <si>
    <t>Adriel da Silva Queiroz - 17/02/2025 09:29:26</t>
  </si>
  <si>
    <t>Beatriz Alves Nunes de Paulo - 20/02/2025 10:25:55</t>
  </si>
  <si>
    <t>Beatriz Alves Nunes de Paulo - 20/02/2025 10:25:56</t>
  </si>
  <si>
    <t>Beatriz Alves Nunes de Paulo - 20/02/2025 10:26:00</t>
  </si>
  <si>
    <t>Alisson Airton Sobrinho - 07/03/2025 08:14:13</t>
  </si>
  <si>
    <t>Beatriz Alves Nunes de Paulo - 01/28/2025 15:09:43</t>
  </si>
  <si>
    <t>PCV40008A</t>
  </si>
  <si>
    <t>Válvula 1 Pressão Vapor Calandra Cozedor 3</t>
  </si>
  <si>
    <t>Beatriz Alves Nunes de Paulo - 29/01/2025 13:59:55</t>
  </si>
  <si>
    <t>Beatriz Alves Nunes de Paulo - 29/01/2025 13:59:57</t>
  </si>
  <si>
    <t>Beatriz Alves Nunes de Paulo - 29/01/2025 13:59:59</t>
  </si>
  <si>
    <t>Beatriz Alves Nunes de Paulo - 29/01/2025 14:00:01</t>
  </si>
  <si>
    <t>Beatriz Alves Nunes de Paulo - 29/01/2025 14:00:03</t>
  </si>
  <si>
    <t>Beatriz Alves Nunes de Paulo - 29/01/2025 14:00:08</t>
  </si>
  <si>
    <t>Beatriz Alves Nunes de Paulo - 29/01/2025 14:00:10</t>
  </si>
  <si>
    <t>Beatriz Alves Nunes de Paulo - 29/01/2025 14:00:12</t>
  </si>
  <si>
    <t>Beatriz Alves Nunes de Paulo - 29/01/2025 14:00:18</t>
  </si>
  <si>
    <t>Beatriz Alves Nunes de Paulo - 29/01/2025 14:00:21</t>
  </si>
  <si>
    <t>Beatriz Alves Nunes de Paulo - 20/02/2025 10:15:13</t>
  </si>
  <si>
    <t>Alisson Airton Sobrinho - 07/03/2025 08:14:18</t>
  </si>
  <si>
    <t>Base de Dados_Images/PCV40008A.Imagem do Equipamento-.190756.jpg</t>
  </si>
  <si>
    <t>Beatriz Alves Nunes de Paulo - 29/01/2025 13:59:49</t>
  </si>
  <si>
    <t>PCV40008B</t>
  </si>
  <si>
    <t>Válvula 2 Pressão Vapor Calandra Cozedor 3</t>
  </si>
  <si>
    <t>Beatriz Alves Nunes de Paulo - 29/01/2025 13:49:33</t>
  </si>
  <si>
    <t>Beatriz Alves Nunes de Paulo - 29/01/2025 13:49:35</t>
  </si>
  <si>
    <t>Beatriz Alves Nunes de Paulo - 29/01/2025 13:49:40</t>
  </si>
  <si>
    <t>Beatriz Alves Nunes de Paulo - 29/01/2025 13:49:42</t>
  </si>
  <si>
    <t>Beatriz Alves Nunes de Paulo - 29/01/2025 13:49:46</t>
  </si>
  <si>
    <t>Beatriz Alves Nunes de Paulo - 29/01/2025 13:49:47</t>
  </si>
  <si>
    <t>Beatriz Alves Nunes de Paulo - 29/01/2025 13:49:49</t>
  </si>
  <si>
    <t>Beatriz Alves Nunes de Paulo - 29/01/2025 13:49:51</t>
  </si>
  <si>
    <t>Beatriz Alves Nunes de Paulo - 29/01/2025 13:49:59</t>
  </si>
  <si>
    <t>Beatriz Alves Nunes de Paulo - 29/01/2025 13:50:00</t>
  </si>
  <si>
    <t>Beatriz Alves Nunes de Paulo - 20/02/2025 12:31:14</t>
  </si>
  <si>
    <t>Alisson Airton Sobrinho - 07/03/2025 08:14:23</t>
  </si>
  <si>
    <t>Base de Dados_Images/PCV40008B.Imagem do Equipamento-.190632.jpg</t>
  </si>
  <si>
    <t>Beatriz Alves Nunes de Paulo - 29/01/2025 13:49:23</t>
  </si>
  <si>
    <t>PCV65026</t>
  </si>
  <si>
    <t>Válvula pressão vinho a centrifugar</t>
  </si>
  <si>
    <t>Beatriz Alves Nunes de Paulo - 06/03/2025 09:20:28</t>
  </si>
  <si>
    <t>Beatriz Alves Nunes de Paulo - 06/03/2025 09:20:29</t>
  </si>
  <si>
    <t>Beatriz Alves Nunes de Paulo - 06/03/2025 09:20:33</t>
  </si>
  <si>
    <t>Base de Dados_Images/PCV65026.Imagem do Equipamento-.171343.jpg</t>
  </si>
  <si>
    <t>Libner Ferreira De Morais - 06/02/2025 14:13:38</t>
  </si>
  <si>
    <t>PCV70003</t>
  </si>
  <si>
    <t>Válvula Pressão Vapor Coluna A</t>
  </si>
  <si>
    <t>Alisson Airton Sobrinho - 03/03/2025 08:50:59</t>
  </si>
  <si>
    <t>Alisson Airton Sobrinho - 03/03/2025 08:51:00</t>
  </si>
  <si>
    <t>Alisson Airton Sobrinho - 03/03/2025 08:51:01</t>
  </si>
  <si>
    <t>Alisson Airton Sobrinho - 03/03/2025 08:51:02</t>
  </si>
  <si>
    <t>Alisson Airton Sobrinho - 03/03/2025 08:51:03</t>
  </si>
  <si>
    <t>Alisson Airton Sobrinho - 03/03/2025 08:51:04</t>
  </si>
  <si>
    <t>Alisson Airton Sobrinho - 03/03/2025 08:51:05</t>
  </si>
  <si>
    <t>Alisson Airton Sobrinho - 05/03/2025 14:32:08</t>
  </si>
  <si>
    <t>Alisson Airton Sobrinho - 05/03/2025 14:32:20</t>
  </si>
  <si>
    <t>Alisson Airton Sobrinho - 05/03/2025 14:32:24</t>
  </si>
  <si>
    <t>Base de Dados_Images/PCV70003.Imagem do Equipamento-.121230.jpg</t>
  </si>
  <si>
    <t>Libner Ferreira De Morais - 06/02/2025 09:12:25</t>
  </si>
  <si>
    <t>Coluna B1</t>
  </si>
  <si>
    <t>PCV70008</t>
  </si>
  <si>
    <t>Válvula Pressão Vapor Coluna B1</t>
  </si>
  <si>
    <t>Alisson Airton Sobrinho - 29/01/2025 19:24:43</t>
  </si>
  <si>
    <t>Alisson Airton Sobrinho - 29/01/2025 19:24:44</t>
  </si>
  <si>
    <t>Alisson Airton Sobrinho - 29/01/2025 19:24:48</t>
  </si>
  <si>
    <t>Alisson Airton Sobrinho - 29/01/2025 19:24:46</t>
  </si>
  <si>
    <t>Alisson Airton Sobrinho - 29/01/2025 19:24:50</t>
  </si>
  <si>
    <t>Alisson Airton Sobrinho - 29/01/2025 19:24:51</t>
  </si>
  <si>
    <t>Alisson Airton Sobrinho - 29/01/2025 19:24:52</t>
  </si>
  <si>
    <t>Rafael Roldão Rodrigues - 04/03/2025 14:40:14</t>
  </si>
  <si>
    <t>Rafael Roldão Rodrigues - 04/03/2025 14:40:18</t>
  </si>
  <si>
    <t>Alisson Airton Sobrinho - 06/03/2025 14:50:16</t>
  </si>
  <si>
    <t>Base de Dados_Images/PCV70008.Imagem do Equipamento-.222443.jpg</t>
  </si>
  <si>
    <t>Alisson Airton Sobrinho - 29/01/2025 19:24:38</t>
  </si>
  <si>
    <t>PCV81003A</t>
  </si>
  <si>
    <t>Cilindro Damper Exaustor 1 (Pos045-07)</t>
  </si>
  <si>
    <t>Paula Caroline Morais Duarte - 28/01/2025 14:58:13</t>
  </si>
  <si>
    <t>Paula Caroline Morais Duarte - 28/01/2025 14:58:14</t>
  </si>
  <si>
    <t>Paula Caroline Morais Duarte - 28/01/2025 14:58:15</t>
  </si>
  <si>
    <t>Paula Caroline Morais Duarte - 28/01/2025 14:58:17</t>
  </si>
  <si>
    <t>Paula Caroline Morais Duarte - 28/01/2025 14:58:19</t>
  </si>
  <si>
    <t>Paula Caroline Morais Duarte - 28/01/2025 14:58:20</t>
  </si>
  <si>
    <t>Paula Caroline Morais Duarte - 28/01/2025 14:58:21</t>
  </si>
  <si>
    <t>Paula Caroline Morais Duarte - 18/02/2025 09:34:59</t>
  </si>
  <si>
    <t>Paula Caroline Morais Duarte - 18/02/2025 09:35:00</t>
  </si>
  <si>
    <t>Paula Caroline Morais Duarte - 21/02/2025 08:38:16</t>
  </si>
  <si>
    <t>Paula Caroline Morais Duarte - 25/02/2025 09:24:04</t>
  </si>
  <si>
    <t>Base de Dados_Images/PCV81003A.Imagem do Equipamento-.183125.jpg</t>
  </si>
  <si>
    <t>Paula Caroline Morais Duarte - 28/01/2025 14:58:08</t>
  </si>
  <si>
    <t>PCV81003B</t>
  </si>
  <si>
    <t>Cilindro Damper Exaustor 2 (Pos046-07)</t>
  </si>
  <si>
    <t>Paula Caroline Morais Duarte - 28/01/2025 15:00:11</t>
  </si>
  <si>
    <t>Paula Caroline Morais Duarte - 28/01/2025 15:00:07</t>
  </si>
  <si>
    <t>Paula Caroline Morais Duarte - 28/01/2025 15:00:12</t>
  </si>
  <si>
    <t>Paula Caroline Morais Duarte - 28/01/2025 15:00:13</t>
  </si>
  <si>
    <t>Paula Caroline Morais Duarte - 28/01/2025 15:00:15</t>
  </si>
  <si>
    <t>Paula Caroline Morais Duarte - 28/01/2025 15:00:16</t>
  </si>
  <si>
    <t>Paula Caroline Morais Duarte - 28/01/2025 15:00:18</t>
  </si>
  <si>
    <t>Paula Caroline Morais Duarte - 28/01/2025 15:00:21</t>
  </si>
  <si>
    <t>Paula Caroline Morais Duarte - 20/02/2025 08:04:16</t>
  </si>
  <si>
    <t>Paula Caroline Morais Duarte - 20/02/2025 08:04:17</t>
  </si>
  <si>
    <t>Paula Caroline Morais Duarte - 20/02/2025 08:04:20</t>
  </si>
  <si>
    <t>Paula Caroline Morais Duarte - 20/02/2025 08:04:24</t>
  </si>
  <si>
    <t>Base de Dados_Images/PCV81003B.Imagem do Equipamento-.183204.jpg</t>
  </si>
  <si>
    <t>Paula Caroline Morais Duarte - 28/01/2025 15:00:01</t>
  </si>
  <si>
    <t>PCV81006</t>
  </si>
  <si>
    <t>Cilindro Damper Ventilador Ar Primário (Pos044-07)</t>
  </si>
  <si>
    <t>Paula Caroline Morais Duarte - 28/01/2025 14:57:17</t>
  </si>
  <si>
    <t>Paula Caroline Morais Duarte - 28/01/2025 14:57:18</t>
  </si>
  <si>
    <t>Paula Caroline Morais Duarte - 28/01/2025 14:57:20</t>
  </si>
  <si>
    <t>Paula Caroline Morais Duarte - 28/01/2025 14:57:22</t>
  </si>
  <si>
    <t>Paula Caroline Morais Duarte - 28/01/2025 14:57:23</t>
  </si>
  <si>
    <t>Paula Caroline Morais Duarte - 28/01/2025 14:57:24</t>
  </si>
  <si>
    <t>Paula Caroline Morais Duarte - 28/01/2025 14:57:25</t>
  </si>
  <si>
    <t>Paula Caroline Morais Duarte - 18/02/2025 09:33:27</t>
  </si>
  <si>
    <t>Paula Caroline Morais Duarte - 18/02/2025 09:33:28</t>
  </si>
  <si>
    <t>Paula Caroline Morais Duarte - 23/02/2025 16:28:19</t>
  </si>
  <si>
    <t>Paula Caroline Morais Duarte - 25/02/2025 09:24:09</t>
  </si>
  <si>
    <t>Base de Dados_Images/PCV81006.Imagem do Equipamento-.183040.jpg</t>
  </si>
  <si>
    <t>Paula Caroline Morais Duarte - 28/01/2025 14:57:10</t>
  </si>
  <si>
    <t>PCV81007</t>
  </si>
  <si>
    <t>Damper ventilador secundário</t>
  </si>
  <si>
    <t>Weslley Ferreira Cooper - 01/02/2025 09:26:45</t>
  </si>
  <si>
    <t>Weslley Ferreira Cooper - 01/02/2025 09:26:44</t>
  </si>
  <si>
    <t>Weslley Ferreira Cooper - 01/02/2025 09:26:42</t>
  </si>
  <si>
    <t>Weslley Ferreira Cooper - 01/02/2025 09:26:41</t>
  </si>
  <si>
    <t>Weslley Ferreira Cooper - 01/02/2025 09:26:40</t>
  </si>
  <si>
    <t>Paula Caroline Morais Duarte - 18/02/2025 09:40:49</t>
  </si>
  <si>
    <t>Paula Caroline Morais Duarte - 18/02/2025 09:40:50</t>
  </si>
  <si>
    <t>Paula Caroline Morais Duarte - 18/02/2025 09:40:52</t>
  </si>
  <si>
    <t>Paula Caroline Morais Duarte - 18/02/2025 09:40:53</t>
  </si>
  <si>
    <t>Paula Caroline Morais Duarte - 20/02/2025 08:01:42</t>
  </si>
  <si>
    <t>Paula Caroline Morais Duarte - 20/02/2025 08:01:43</t>
  </si>
  <si>
    <t>Paula Caroline Morais Duarte - 20/02/2025 08:01:44</t>
  </si>
  <si>
    <t>Paula Caroline Morais Duarte - 20/02/2025 08:01:46</t>
  </si>
  <si>
    <t>Paula Caroline Morais Duarte - 20/02/2025 08:01:52</t>
  </si>
  <si>
    <t>Paula Caroline Morais Duarte - 20/02/2025 08:01:53</t>
  </si>
  <si>
    <t>Base de Dados_Images/PCV81007.Imagem do Equipamento-.130919.jpg</t>
  </si>
  <si>
    <t>Weslley Ferreira Cooper - 01/02/2025 09:26:36</t>
  </si>
  <si>
    <t>PCV81014</t>
  </si>
  <si>
    <t>Válvula Pressão Vapor P/ Desaerador (Pos015-07)</t>
  </si>
  <si>
    <t>Paula Caroline Morais Duarte - 22/01/2025 11:17:23</t>
  </si>
  <si>
    <t>Paula Caroline Morais Duarte - 22/01/2025 11:17:34</t>
  </si>
  <si>
    <t>Paula Caroline Morais Duarte - 22/01/2025 11:17:37</t>
  </si>
  <si>
    <t>Paula Caroline Morais Duarte - 22/01/2025 11:17:38</t>
  </si>
  <si>
    <t>Paula Caroline Morais Duarte - 22/01/2025 11:17:56</t>
  </si>
  <si>
    <t>Paula Caroline Morais Duarte - 22/01/2025 11:17:55</t>
  </si>
  <si>
    <t>Paula Caroline Morais Duarte - 22/01/2025 11:17:51</t>
  </si>
  <si>
    <t>Paula Caroline Morais Duarte - 22/01/2025 11:17:49</t>
  </si>
  <si>
    <t>Paula Caroline Morais Duarte - 17/02/2025 09:14:23</t>
  </si>
  <si>
    <t>Paula Caroline Morais Duarte - 17/02/2025 09:14:24</t>
  </si>
  <si>
    <t>Paula Caroline Morais Duarte - 17/02/2025 09:14:27</t>
  </si>
  <si>
    <t>Paula Caroline Morais Duarte - 17/02/2025 09:14:38</t>
  </si>
  <si>
    <t>Base de Dados_Images/PCV81014.Imagem do Equipamento-.190442.jpg</t>
  </si>
  <si>
    <t>Paula Caroline Morais Duarte - 22/01/2025 11:17:06</t>
  </si>
  <si>
    <t>PCV81022A</t>
  </si>
  <si>
    <t>Válvula Redutora Vapor 21/1,5 Kgf/Cm² (Pos007-07)</t>
  </si>
  <si>
    <t>Paula Caroline Morais Duarte - 05/02/2025 14:28:23</t>
  </si>
  <si>
    <t>Paula Caroline Morais Duarte - 05/02/2025 14:28:24</t>
  </si>
  <si>
    <t>Paula Caroline Morais Duarte - 05/02/2025 14:28:25</t>
  </si>
  <si>
    <t>Paula Caroline Morais Duarte - 05/02/2025 14:28:26</t>
  </si>
  <si>
    <t>Paula Caroline Morais Duarte - 05/02/2025 14:28:28</t>
  </si>
  <si>
    <t>Paula Caroline Morais Duarte - 05/02/2025 14:28:29</t>
  </si>
  <si>
    <t>Paula Caroline Morais Duarte - 05/02/2025 14:28:34</t>
  </si>
  <si>
    <t>Paula Caroline Morais Duarte - 05/02/2025 14:28:35</t>
  </si>
  <si>
    <t>Paula Caroline Morais Duarte - 18/02/2025 11:46:46</t>
  </si>
  <si>
    <t>Paula Caroline Morais Duarte - 18/02/2025 11:46:48</t>
  </si>
  <si>
    <t>Paula Caroline Morais Duarte - 18/02/2025 11:47:07</t>
  </si>
  <si>
    <t>Paula Caroline Morais Duarte - 18/02/2025 11:47:11</t>
  </si>
  <si>
    <t>Base de Dados_Images/PCV81022A.Imagem do Equipamento-.183550.jpg</t>
  </si>
  <si>
    <t>Paula Caroline Morais Duarte - 05/02/2025 15:30:15</t>
  </si>
  <si>
    <t>Alivio 1,5 Kgf/Cm²</t>
  </si>
  <si>
    <t>PCV81022B</t>
  </si>
  <si>
    <t>Válvula Alívio 1 Vapor Escape (Pos009-07)</t>
  </si>
  <si>
    <t>Paula Caroline Morais Duarte - 05/02/2025 15:07:06</t>
  </si>
  <si>
    <t>Paula Caroline Morais Duarte - 05/02/2025 15:07:08</t>
  </si>
  <si>
    <t>Paula Caroline Morais Duarte - 05/02/2025 15:07:11</t>
  </si>
  <si>
    <t>Paula Caroline Morais Duarte - 05/02/2025 15:07:12</t>
  </si>
  <si>
    <t>Paula Caroline Morais Duarte - 05/02/2025 15:07:14</t>
  </si>
  <si>
    <t>Paula Caroline Morais Duarte - 05/02/2025 15:07:16</t>
  </si>
  <si>
    <t>Paula Caroline Morais Duarte - 05/02/2025 15:07:17</t>
  </si>
  <si>
    <t>Paula Caroline Morais Duarte - 05/02/2025 15:07:18</t>
  </si>
  <si>
    <t>Paula Caroline Morais Duarte - 17/02/2025 09:18:33</t>
  </si>
  <si>
    <t>Paula Caroline Morais Duarte - 17/02/2025 09:18:34</t>
  </si>
  <si>
    <t>Paula Caroline Morais Duarte - 17/02/2025 12:33:52</t>
  </si>
  <si>
    <t>Paula Caroline Morais Duarte - 17/02/2025 12:33:56</t>
  </si>
  <si>
    <t>Base de Dados_Images/PCV81022B.Imagem do Equipamento-.180940.jpg</t>
  </si>
  <si>
    <t>Paula Caroline Morais Duarte - 05/02/2025 15:07:50</t>
  </si>
  <si>
    <t>PCV81022C</t>
  </si>
  <si>
    <t>Válvula Alívio 2 Vapor Escape (Pos010-07)</t>
  </si>
  <si>
    <t>Paula Caroline Morais Duarte - 05/02/2025 15:08:17</t>
  </si>
  <si>
    <t>Paula Caroline Morais Duarte - 05/02/2025 15:08:18</t>
  </si>
  <si>
    <t>Paula Caroline Morais Duarte - 05/02/2025 15:08:20</t>
  </si>
  <si>
    <t>Paula Caroline Morais Duarte - 05/02/2025 15:08:22</t>
  </si>
  <si>
    <t>Paula Caroline Morais Duarte - 05/02/2025 15:08:24</t>
  </si>
  <si>
    <t>Paula Caroline Morais Duarte - 05/02/2025 15:08:26</t>
  </si>
  <si>
    <t>Paula Caroline Morais Duarte - 05/02/2025 15:08:28</t>
  </si>
  <si>
    <t>Paula Caroline Morais Duarte - 05/02/2025 15:08:30</t>
  </si>
  <si>
    <t>Paula Caroline Morais Duarte - 17/02/2025 09:38:39</t>
  </si>
  <si>
    <t>Paula Caroline Morais Duarte - 17/02/2025 09:38:40</t>
  </si>
  <si>
    <t>Paula Caroline Morais Duarte - 17/02/2025 12:34:09</t>
  </si>
  <si>
    <t>Paula Caroline Morais Duarte - 17/02/2025 12:34:12</t>
  </si>
  <si>
    <t>Base de Dados_Images/PCV81022C.Imagem do Equipamento-.171553.jpg</t>
  </si>
  <si>
    <t>Paula Caroline Morais Duarte - 13/02/2025 14:15:46</t>
  </si>
  <si>
    <t>Alivio 0.8 Kgf/Cm²</t>
  </si>
  <si>
    <t>PCV81023C</t>
  </si>
  <si>
    <t>Válvula Alívio Vapor Vegetal V1 (Pos011-07)</t>
  </si>
  <si>
    <t>Paula Caroline Morais Duarte - 05/02/2025 15:12:47</t>
  </si>
  <si>
    <t>Paula Caroline Morais Duarte - 05/02/2025 14:51:26</t>
  </si>
  <si>
    <t>Paula Caroline Morais Duarte - 05/02/2025 14:51:28</t>
  </si>
  <si>
    <t>Paula Caroline Morais Duarte - 05/02/2025 14:51:29</t>
  </si>
  <si>
    <t>Paula Caroline Morais Duarte - 05/02/2025 14:51:33</t>
  </si>
  <si>
    <t>Paula Caroline Morais Duarte - 05/02/2025 14:51:34</t>
  </si>
  <si>
    <t>Paula Caroline Morais Duarte - 05/02/2025 14:51:35</t>
  </si>
  <si>
    <t>Paula Caroline Morais Duarte - 05/02/2025 14:51:38</t>
  </si>
  <si>
    <t>Paula Caroline Morais Duarte - 21/02/2025 09:14:40</t>
  </si>
  <si>
    <t>Paula Caroline Morais Duarte - 21/02/2025 09:14:41</t>
  </si>
  <si>
    <t>Paula Caroline Morais Duarte - 21/02/2025 09:14:45</t>
  </si>
  <si>
    <t>Paula Caroline Morais Duarte - 21/02/2025 09:14:48</t>
  </si>
  <si>
    <t>Paula Caroline Morais Duarte - 02/05/2025 16:02:19</t>
  </si>
  <si>
    <t>Redutora / Alivio</t>
  </si>
  <si>
    <t>PCV81025A</t>
  </si>
  <si>
    <t>Válvula Redutora Vapor 0,8/0,3 Kgf/Cm²</t>
  </si>
  <si>
    <t>Weslley Ferreira Cooper - 30/01/2025 11:59:32</t>
  </si>
  <si>
    <t>Weslley Ferreira Cooper - 30/01/2025 11:59:31</t>
  </si>
  <si>
    <t>Weslley Ferreira Cooper - 30/01/2025 11:59:30</t>
  </si>
  <si>
    <t>Weslley Ferreira Cooper - 30/01/2025 11:59:28</t>
  </si>
  <si>
    <t>Weslley Ferreira Cooper - 30/01/2025 11:59:39</t>
  </si>
  <si>
    <t>Weslley Ferreira Cooper - 30/01/2025 11:59:38</t>
  </si>
  <si>
    <t>Weslley Ferreira Cooper - 30/01/2025 11:59:36</t>
  </si>
  <si>
    <t>Weslley Ferreira Cooper - 30/01/2025 11:59:35</t>
  </si>
  <si>
    <t>Alisson Airton Sobrinho - 05/03/2025 07:38:02</t>
  </si>
  <si>
    <t>Alisson Airton Sobrinho - 05/03/2025 07:38:03</t>
  </si>
  <si>
    <t>Alisson Airton Sobrinho - 05/03/2025 07:38:08</t>
  </si>
  <si>
    <t>Alisson Airton Sobrinho - 05/03/2025 07:38:15</t>
  </si>
  <si>
    <t>Base de Dados_Images/PCV81025A.Imagem do Equipamento-.155120.jpg</t>
  </si>
  <si>
    <t>Alisson Airton Sobrinho - 12/02/2025 12:19:40</t>
  </si>
  <si>
    <t>PCV81025B</t>
  </si>
  <si>
    <t>Válvula Alívio Vapor Vegetal V2</t>
  </si>
  <si>
    <t>Weslley Ferreira Cooper - 30/01/2025 12:01:09</t>
  </si>
  <si>
    <t>Weslley Ferreira Cooper - 30/01/2025 12:01:08</t>
  </si>
  <si>
    <t>Weslley Ferreira Cooper - 30/01/2025 12:01:07</t>
  </si>
  <si>
    <t>Weslley Ferreira Cooper - 30/01/2025 12:01:05</t>
  </si>
  <si>
    <t>Weslley Ferreira Cooper - 30/01/2025 12:01:03</t>
  </si>
  <si>
    <t>Weslley Ferreira Cooper - 30/01/2025 12:01:01</t>
  </si>
  <si>
    <t>Weslley Ferreira Cooper - 30/01/2025 12:01:00</t>
  </si>
  <si>
    <t>Weslley Ferreira Cooper - 30/01/2025 12:00:59</t>
  </si>
  <si>
    <t>Alisson Airton Sobrinho - 05/03/2025 07:38:20</t>
  </si>
  <si>
    <t>Alisson Airton Sobrinho - 05/03/2025 07:38:24</t>
  </si>
  <si>
    <t>Alisson Airton Sobrinho - 05/03/2025 07:38:27</t>
  </si>
  <si>
    <t>Alisson Airton Sobrinho - 05/03/2025 07:38:31</t>
  </si>
  <si>
    <t>Base de Dados_Images/PCV81025B.Imagem do Equipamento-.155129.jpg</t>
  </si>
  <si>
    <t>Alisson Airton Sobrinho - 12/02/2025 12:26:43</t>
  </si>
  <si>
    <t>Prensa Hidráulica</t>
  </si>
  <si>
    <t>PH7901</t>
  </si>
  <si>
    <t>Prensa hidráulica PCTS</t>
  </si>
  <si>
    <t>Natanaelson Santana Fonseca - 21/02/2025 09:55:53</t>
  </si>
  <si>
    <t>Paula Caroline Morais Duarte - 11/02/2025 08:39:12</t>
  </si>
  <si>
    <t>Paula Caroline Morais Duarte - 11/02/2025 08:39:59</t>
  </si>
  <si>
    <t>Paula Caroline Morais Duarte - 11/02/2025 08:38:46</t>
  </si>
  <si>
    <t>Paula Caroline Morais Duarte - 11/02/2025 08:38:21</t>
  </si>
  <si>
    <t>Paula Caroline Morais Duarte - 11/02/2025 08:38:22</t>
  </si>
  <si>
    <t>Natanaelson Santana Fonseca - 25/02/2025 10:52:16</t>
  </si>
  <si>
    <t>Natanaelson Santana Fonseca - 25/02/2025 10:54:43</t>
  </si>
  <si>
    <t>Natanaelson Santana Fonseca - 25/02/2025 10:53:10</t>
  </si>
  <si>
    <t>Natanaelson Santana Fonseca - 25/02/2025 10:53:14</t>
  </si>
  <si>
    <t>Natanaelson Santana Fonseca - 25/02/2025 10:53:18</t>
  </si>
  <si>
    <t>Natanaelson Santana Fonseca - 25/02/2025 10:53:33</t>
  </si>
  <si>
    <t>Natanaelson Santana Fonseca - 25/02/2025 10:54:48</t>
  </si>
  <si>
    <t>Natanaelson Santana Fonseca - 25/02/2025 10:55:12</t>
  </si>
  <si>
    <t>Natanaelson Santana Fonseca - 25/02/2025 10:55:26</t>
  </si>
  <si>
    <t>Natanaelson Santana Fonseca - 25/02/2025 16:26:47</t>
  </si>
  <si>
    <t>Natanaelson Santana Fonseca - 25/02/2025 10:56:16</t>
  </si>
  <si>
    <t>Natanaelson Santana Fonseca - 25/02/2025 10:55:45</t>
  </si>
  <si>
    <t>Natanaelson Santana Fonseca - 25/02/2025 10:55:53</t>
  </si>
  <si>
    <t>Alisson Airton Sobrinho - 08/03/2025 08:53:41</t>
  </si>
  <si>
    <t>Alisson Airton Sobrinho - 08/03/2025 08:53:42</t>
  </si>
  <si>
    <t>Alisson Airton Sobrinho - 08/03/2025 08:53:44</t>
  </si>
  <si>
    <t>Alisson Airton Sobrinho - 08/03/2025 08:53:45</t>
  </si>
  <si>
    <t>Alisson Airton Sobrinho - 08/03/2025 08:53:47</t>
  </si>
  <si>
    <t>Alisson Airton Sobrinho - 08/03/2025 08:53:48</t>
  </si>
  <si>
    <t>Base de Dados_Images/PH7901.Imagem do Equipamento-.125505.jpg</t>
  </si>
  <si>
    <t>Natanaelson Santana Fonseca - 21/02/2025 09:54:58</t>
  </si>
  <si>
    <t>PIC30047</t>
  </si>
  <si>
    <t>Controle De Pressão Corpo Caixa 4 - 5º Efeito Açúcar</t>
  </si>
  <si>
    <t>Alisson Airton Sobrinho - 06/03/2025 11:57:14</t>
  </si>
  <si>
    <t>Alisson Airton Sobrinho - 06/03/2025 11:57:15</t>
  </si>
  <si>
    <t>Alisson Airton Sobrinho - 06/03/2025 12:12:24</t>
  </si>
  <si>
    <t>Alisson Airton Sobrinho - 03/06/2025 11:57:08</t>
  </si>
  <si>
    <t>PIC65026</t>
  </si>
  <si>
    <t>Controle De Pressão Vinho A Centrifugar</t>
  </si>
  <si>
    <t>Libner Ferreira De Morais - 06/02/2025 14:12:54</t>
  </si>
  <si>
    <t>Libner Ferreira De Morais - 06/02/2025 14:12:55</t>
  </si>
  <si>
    <t>Beatriz Alves Nunes de Paulo - 06/03/2025 09:20:39</t>
  </si>
  <si>
    <t>Base de Dados_Images/PIC65026.Imagem do Equipamento-.171252.jpg</t>
  </si>
  <si>
    <t>Libner Ferreira De Morais - 06/02/2025 14:12:45</t>
  </si>
  <si>
    <t>PIC70003</t>
  </si>
  <si>
    <t>Controle De Pressão Vapor Coluna A</t>
  </si>
  <si>
    <t>Beatriz Alves Nunes de Paulo - 06/03/2025 14:37:25</t>
  </si>
  <si>
    <t>Beatriz Alves Nunes de Paulo - 06/03/2025 14:37:30</t>
  </si>
  <si>
    <t>Base de Dados_Images/PIC70003.Imagem do Equipamento-.184509.jpg</t>
  </si>
  <si>
    <t>Alisson Airton Sobrinho - 21/01/2025 14:25:50</t>
  </si>
  <si>
    <t>PIC70008</t>
  </si>
  <si>
    <t>Controle De Pressão Vapor Coluna B1</t>
  </si>
  <si>
    <t>Libner Ferreira De Morais - 06/02/2025 14:23:47</t>
  </si>
  <si>
    <t>Libner Ferreira De Morais - 06/02/2025 14:23:50</t>
  </si>
  <si>
    <t>Alisson Airton Sobrinho - 06/03/2025 14:50:09</t>
  </si>
  <si>
    <t>Base de Dados_Images/PIC70008.Imagem do Equipamento-.172343.jpg</t>
  </si>
  <si>
    <t>Libner Ferreira De Morais - 06/02/2025 14:23:38</t>
  </si>
  <si>
    <t>PIC81001</t>
  </si>
  <si>
    <t>Controle De Pressão Agua De Alimentação Da Caldeira</t>
  </si>
  <si>
    <t>Paula Caroline Morais Duarte - 17/02/2025 12:54:24</t>
  </si>
  <si>
    <t>Paula Caroline Morais Duarte - 17/02/2025 12:54:29</t>
  </si>
  <si>
    <t>Paula Caroline Morais Duarte - 17/02/2025 12:54:52</t>
  </si>
  <si>
    <t>Paula Caroline Morais Duarte - 17/02/2025 12:54:53</t>
  </si>
  <si>
    <t>Paula Caroline Morais Duarte - 02/17/2025 12:53:45</t>
  </si>
  <si>
    <t>PIC81003</t>
  </si>
  <si>
    <t>Controle Pressao Fornalha</t>
  </si>
  <si>
    <t>Paula Caroline Morais Duarte - 18/02/2025 11:44:43</t>
  </si>
  <si>
    <t>Paula Caroline Morais Duarte - 18/02/2025 11:44:44</t>
  </si>
  <si>
    <t>Paula Caroline Morais Duarte - 18/02/2025 11:44:47</t>
  </si>
  <si>
    <t>Paula Caroline Morais Duarte - 18/02/2025 11:44:48</t>
  </si>
  <si>
    <t>Paula Caroline Morais Duarte - 21/02/2025 11:51:42</t>
  </si>
  <si>
    <t>Base de Dados_Images/PIC81003.Imagem do Equipamento-.145146.jpg</t>
  </si>
  <si>
    <t>PIC81006A</t>
  </si>
  <si>
    <t>Controle De Combustão Da Caldeira</t>
  </si>
  <si>
    <t>Paula Caroline Morais Duarte - 17/02/2025 12:52:04</t>
  </si>
  <si>
    <t>Paula Caroline Morais Duarte - 17/02/2025 12:52:05</t>
  </si>
  <si>
    <t>Paula Caroline Morais Duarte - 17/02/2025 13:27:00</t>
  </si>
  <si>
    <t>Paula Caroline Morais Duarte - 02/17/2025 09:24:48</t>
  </si>
  <si>
    <t>PIC81014</t>
  </si>
  <si>
    <t>Controle De Pressão Do Desaerador</t>
  </si>
  <si>
    <t>Paula Caroline Morais Duarte - 17/02/2025 09:42:18</t>
  </si>
  <si>
    <t>Paula Caroline Morais Duarte - 17/02/2025 09:42:20</t>
  </si>
  <si>
    <t>Paula Caroline Morais Duarte - 17/02/2025 09:42:31</t>
  </si>
  <si>
    <t>Paula Caroline Morais Duarte - 17/02/2025 09:42:32</t>
  </si>
  <si>
    <t>Base de Dados_Images/PIC81014.Imagem do Equipamento-.124219.jpg</t>
  </si>
  <si>
    <t>Paula Caroline Morais Duarte - 17/02/2025 09:42:12</t>
  </si>
  <si>
    <t>PIC81022</t>
  </si>
  <si>
    <t>Controle De Pressão Da Linha 1,5 Injeta Na Linha 0,8</t>
  </si>
  <si>
    <t>Paula Caroline Morais Duarte - 17/02/2025 11:14:27</t>
  </si>
  <si>
    <t>Paula Caroline Morais Duarte - 17/02/2025 11:14:29</t>
  </si>
  <si>
    <t>Paula Caroline Morais Duarte - 17/02/2025 11:14:35</t>
  </si>
  <si>
    <t>Paula Caroline Morais Duarte - 17/02/2025 11:14:37</t>
  </si>
  <si>
    <t>Paula Caroline Morais Duarte - 02/17/2025 09:21:40</t>
  </si>
  <si>
    <t>PIC81022A</t>
  </si>
  <si>
    <t>Controle De Pressão Redutora 21 Para 1,5</t>
  </si>
  <si>
    <t>Paula Caroline Morais Duarte - 05/02/2025 15:26:29</t>
  </si>
  <si>
    <t>Paula Caroline Morais Duarte - 05/02/2025 15:26:30</t>
  </si>
  <si>
    <t>Paula Caroline Morais Duarte - 17/02/2025 11:14:02</t>
  </si>
  <si>
    <t>Paula Caroline Morais Duarte - 17/02/2025 11:14:03</t>
  </si>
  <si>
    <t>Paula Caroline Morais Duarte - 02/05/2025 15:26:22</t>
  </si>
  <si>
    <t>PIC81025A</t>
  </si>
  <si>
    <t>Controle De Pressão Vapor Vegetal V2 Redutora</t>
  </si>
  <si>
    <t>Alisson Airton Sobrinho - 05/03/2025 07:36:46</t>
  </si>
  <si>
    <t>Alisson Airton Sobrinho - 05/03/2025 07:36:49</t>
  </si>
  <si>
    <t>Alisson Airton Sobrinho - 05/03/2025 07:36:52</t>
  </si>
  <si>
    <t>Alisson Airton Sobrinho - 03/05/2025 07:36:42</t>
  </si>
  <si>
    <t>PIC81026B</t>
  </si>
  <si>
    <t>Controle De Pressão Vapor Vegetal V2 Alivio</t>
  </si>
  <si>
    <t>Alisson Airton Sobrinho - 05/03/2025 07:36:59</t>
  </si>
  <si>
    <t>Alisson Airton Sobrinho - 05/03/2025 07:37:00</t>
  </si>
  <si>
    <t>Alisson Airton Sobrinho - 05/03/2025 07:37:04</t>
  </si>
  <si>
    <t>Adriel da Silva Queiroz - 02/13/2025 15:09:09</t>
  </si>
  <si>
    <t>PIT20002</t>
  </si>
  <si>
    <t>Pressão Vapor Admissão Turbina Desfibrador</t>
  </si>
  <si>
    <t>Paula Caroline Morais Duarte - 29/01/2025 10:36:16</t>
  </si>
  <si>
    <t>Paula Caroline Morais Duarte - 29/01/2025 10:36:17</t>
  </si>
  <si>
    <t>Paula Caroline Morais Duarte - 29/01/2025 10:36:18</t>
  </si>
  <si>
    <t>Paula Caroline Morais Duarte - 29/01/2025 10:36:23</t>
  </si>
  <si>
    <t>Paula Caroline Morais Duarte - 06/02/2025 09:41:11</t>
  </si>
  <si>
    <t>Paula Caroline Morais Duarte - 06/02/2025 09:41:12</t>
  </si>
  <si>
    <t>Paula Caroline Morais Duarte - 06/02/2025 09:41:13</t>
  </si>
  <si>
    <t>Paula Caroline Morais Duarte - 20/02/2025 10:39:37</t>
  </si>
  <si>
    <t>Paula Caroline Morais Duarte - 20/02/2025 10:39:38</t>
  </si>
  <si>
    <t>Alisson Airton Sobrinho - 07/03/2025 06:20:40</t>
  </si>
  <si>
    <t>Base de Dados_Images/PIT20002.Imagem do Equipamento-.133922.jpg</t>
  </si>
  <si>
    <t>Paula Caroline Morais Duarte - 29/01/2025 10:36:12</t>
  </si>
  <si>
    <t>PIT20003</t>
  </si>
  <si>
    <t>Pressão Vapor Câmara Turbina Desfibrador</t>
  </si>
  <si>
    <t>Paula Caroline Morais Duarte - 22/01/2025 16:29:54</t>
  </si>
  <si>
    <t>Paula Caroline Morais Duarte - 22/01/2025 16:29:56</t>
  </si>
  <si>
    <t>Paula Caroline Morais Duarte - 22/01/2025 16:29:58</t>
  </si>
  <si>
    <t>Paula Caroline Morais Duarte - 22/01/2025 16:29:59</t>
  </si>
  <si>
    <t>Paula Caroline Morais Duarte - 06/02/2025 09:41:27</t>
  </si>
  <si>
    <t>Paula Caroline Morais Duarte - 06/02/2025 09:41:28</t>
  </si>
  <si>
    <t>Paula Caroline Morais Duarte - 20/02/2025 10:39:46</t>
  </si>
  <si>
    <t>Paula Caroline Morais Duarte - 20/02/2025 10:39:47</t>
  </si>
  <si>
    <t>Alisson Airton Sobrinho - 07/03/2025 06:20:47</t>
  </si>
  <si>
    <t>Base de Dados_Images/PIT20003.Imagem do Equipamento-.193343.jpg</t>
  </si>
  <si>
    <t>Paula Caroline Morais Duarte - 22/01/2025 16:29:43</t>
  </si>
  <si>
    <t>PIT20004</t>
  </si>
  <si>
    <t>Pressão Vapor Escape Turbina Desfibrador</t>
  </si>
  <si>
    <t>Paula Caroline Morais Duarte - 22/01/2025 16:31:17</t>
  </si>
  <si>
    <t>Paula Caroline Morais Duarte - 22/01/2025 16:31:18</t>
  </si>
  <si>
    <t>Paula Caroline Morais Duarte - 22/01/2025 16:31:26</t>
  </si>
  <si>
    <t>Paula Caroline Morais Duarte - 22/01/2025 16:31:21</t>
  </si>
  <si>
    <t>Paula Caroline Morais Duarte - 06/02/2025 09:41:51</t>
  </si>
  <si>
    <t>Paula Caroline Morais Duarte - 06/02/2025 09:41:53</t>
  </si>
  <si>
    <t>Paula Caroline Morais Duarte - 06/02/2025 09:41:54</t>
  </si>
  <si>
    <t>Paula Caroline Morais Duarte - 20/02/2025 10:39:55</t>
  </si>
  <si>
    <t>Paula Caroline Morais Duarte - 20/02/2025 10:39:56</t>
  </si>
  <si>
    <t>Alisson Airton Sobrinho - 07/03/2025 06:20:53</t>
  </si>
  <si>
    <t>Base de Dados_Images/PIT20004.Imagem do Equipamento-.193403.jpg</t>
  </si>
  <si>
    <t>Paula Caroline Morais Duarte - 22/01/2025 16:30:57</t>
  </si>
  <si>
    <t>PIT20005</t>
  </si>
  <si>
    <t>Pressão Óleo P1 Da Turbina Desfibrador</t>
  </si>
  <si>
    <t>Paula Caroline Morais Duarte - 22/01/2025 16:27:46</t>
  </si>
  <si>
    <t>Paula Caroline Morais Duarte - 22/01/2025 16:27:47</t>
  </si>
  <si>
    <t>Paula Caroline Morais Duarte - 22/01/2025 16:27:48</t>
  </si>
  <si>
    <t>Paula Caroline Morais Duarte - 22/01/2025 16:27:50</t>
  </si>
  <si>
    <t>Paula Caroline Morais Duarte - 06/02/2025 09:42:03</t>
  </si>
  <si>
    <t>Paula Caroline Morais Duarte - 06/02/2025 09:42:04</t>
  </si>
  <si>
    <t>Paula Caroline Morais Duarte - 06/02/2025 09:42:05</t>
  </si>
  <si>
    <t>Rafael Roldão Rodrigues - 03/03/2025 11:10:40</t>
  </si>
  <si>
    <t>Rafael Roldão Rodrigues - 03/03/2025 11:10:41</t>
  </si>
  <si>
    <t>Alisson Airton Sobrinho - 07/03/2025 06:21:00</t>
  </si>
  <si>
    <t>Base de Dados_Images/PIT20005.Imagem do Equipamento-.192855.jpg</t>
  </si>
  <si>
    <t>Paula Caroline Morais Duarte - 22/01/2025 16:27:41</t>
  </si>
  <si>
    <t>PIT20006</t>
  </si>
  <si>
    <t>Pressão Óleo P3 Da Turbina Desfibrador</t>
  </si>
  <si>
    <t>Paula Caroline Morais Duarte - 22/01/2025 16:26:34</t>
  </si>
  <si>
    <t>Paula Caroline Morais Duarte - 22/01/2025 16:26:35</t>
  </si>
  <si>
    <t>Paula Caroline Morais Duarte - 22/01/2025 16:26:36</t>
  </si>
  <si>
    <t>Paula Caroline Morais Duarte - 22/01/2025 16:26:38</t>
  </si>
  <si>
    <t>Paula Caroline Morais Duarte - 06/02/2025 09:42:17</t>
  </si>
  <si>
    <t>Paula Caroline Morais Duarte - 06/02/2025 09:42:18</t>
  </si>
  <si>
    <t>Rafael Roldão Rodrigues - 03/03/2025 11:10:55</t>
  </si>
  <si>
    <t>Rafael Roldão Rodrigues - 03/03/2025 11:10:56</t>
  </si>
  <si>
    <t>Alisson Airton Sobrinho - 07/03/2025 06:21:06</t>
  </si>
  <si>
    <t>Base de Dados_Images/PIT20006.Imagem do Equipamento-.192646.jpg</t>
  </si>
  <si>
    <t>Paula Caroline Morais Duarte - 22/01/2025 16:26:29</t>
  </si>
  <si>
    <t>PIT20007</t>
  </si>
  <si>
    <t>Pressão Óleo Turbina Desfibrador</t>
  </si>
  <si>
    <t>Paula Caroline Morais Duarte - 29/01/2025 10:35:07</t>
  </si>
  <si>
    <t>Paula Caroline Morais Duarte - 29/01/2025 10:35:08</t>
  </si>
  <si>
    <t>Paula Caroline Morais Duarte - 29/01/2025 10:35:09</t>
  </si>
  <si>
    <t>Paula Caroline Morais Duarte - 29/01/2025 10:35:14</t>
  </si>
  <si>
    <t>Paula Caroline Morais Duarte - 06/02/2025 09:42:28</t>
  </si>
  <si>
    <t>Paula Caroline Morais Duarte - 06/02/2025 09:42:29</t>
  </si>
  <si>
    <t>Paula Caroline Morais Duarte - 20/02/2025 10:40:10</t>
  </si>
  <si>
    <t>Paula Caroline Morais Duarte - 20/02/2025 10:40:11</t>
  </si>
  <si>
    <t>Alisson Airton Sobrinho - 07/03/2025 06:21:13</t>
  </si>
  <si>
    <t>Base de Dados_Images/PIT20007.Imagem do Equipamento-.133816.jpg</t>
  </si>
  <si>
    <t>Paula Caroline Morais Duarte - 29/01/2025 10:35:01</t>
  </si>
  <si>
    <t>Turbina 1º Terno</t>
  </si>
  <si>
    <t>PIT20020</t>
  </si>
  <si>
    <t>Pressão Vapor Admissão Turbina 1º Terno</t>
  </si>
  <si>
    <t>Paula Caroline Morais Duarte - 29/01/2025 10:47:35</t>
  </si>
  <si>
    <t>Paula Caroline Morais Duarte - 29/01/2025 10:47:37</t>
  </si>
  <si>
    <t>Paula Caroline Morais Duarte - 29/01/2025 10:47:39</t>
  </si>
  <si>
    <t>Paula Caroline Morais Duarte - 29/01/2025 10:47:40</t>
  </si>
  <si>
    <t>Paula Caroline Morais Duarte - 05/02/2025 16:32:50</t>
  </si>
  <si>
    <t>Paula Caroline Morais Duarte - 05/02/2025 16:32:49</t>
  </si>
  <si>
    <t>Paula Caroline Morais Duarte - 19/02/2025 09:30:04</t>
  </si>
  <si>
    <t>Paula Caroline Morais Duarte - 19/02/2025 09:30:05</t>
  </si>
  <si>
    <t>Alisson Airton Sobrinho - 07/03/2025 06:51:05</t>
  </si>
  <si>
    <t>Alisson Airton Sobrinho - 07/03/2025 06:51:06</t>
  </si>
  <si>
    <t>Base de Dados_Images/PIT20020.Imagem do Equipamento-.140752.jpg</t>
  </si>
  <si>
    <t>Paula Caroline Morais Duarte - 29/01/2025 10:47:55</t>
  </si>
  <si>
    <t>PIT20021</t>
  </si>
  <si>
    <t>Pressão Vapor Câmara Turbina 1º Terno</t>
  </si>
  <si>
    <t>Paula Caroline Morais Duarte - 22/01/2025 15:32:24</t>
  </si>
  <si>
    <t>Paula Caroline Morais Duarte - 22/01/2025 15:32:26</t>
  </si>
  <si>
    <t>Paula Caroline Morais Duarte - 22/01/2025 15:32:27</t>
  </si>
  <si>
    <t>Paula Caroline Morais Duarte - 22/01/2025 15:32:30</t>
  </si>
  <si>
    <t>Paula Caroline Morais Duarte - 05/02/2025 16:31:43</t>
  </si>
  <si>
    <t>Paula Caroline Morais Duarte - 05/02/2025 16:31:41</t>
  </si>
  <si>
    <t>Paula Caroline Morais Duarte - 05/02/2025 16:31:40</t>
  </si>
  <si>
    <t>Paula Caroline Morais Duarte - 19/02/2025 09:30:16</t>
  </si>
  <si>
    <t>Paula Caroline Morais Duarte - 19/02/2025 09:30:17</t>
  </si>
  <si>
    <t>Alisson Airton Sobrinho - 07/03/2025 06:51:12</t>
  </si>
  <si>
    <t>Base de Dados_Images/PIT20021.Imagem do Equipamento-.191249.jpg</t>
  </si>
  <si>
    <t>Paula Caroline Morais Duarte - 22/01/2025 15:32:07</t>
  </si>
  <si>
    <t>PIT20022</t>
  </si>
  <si>
    <t>Pressão Vapor Escape Turbina 1º Terno</t>
  </si>
  <si>
    <t>Paula Caroline Morais Duarte - 22/01/2025 15:30:44</t>
  </si>
  <si>
    <t>Paula Caroline Morais Duarte - 22/01/2025 15:30:45</t>
  </si>
  <si>
    <t>Paula Caroline Morais Duarte - 22/01/2025 15:30:47</t>
  </si>
  <si>
    <t>Paula Caroline Morais Duarte - 22/01/2025 15:30:49</t>
  </si>
  <si>
    <t>Paula Caroline Morais Duarte - 05/02/2025 16:31:30</t>
  </si>
  <si>
    <t>Paula Caroline Morais Duarte - 05/02/2025 16:31:29</t>
  </si>
  <si>
    <t>Paula Caroline Morais Duarte - 19/02/2025 09:30:26</t>
  </si>
  <si>
    <t>Paula Caroline Morais Duarte - 19/02/2025 09:30:27</t>
  </si>
  <si>
    <t>Alisson Airton Sobrinho - 07/03/2025 06:51:18</t>
  </si>
  <si>
    <t>Alisson Airton Sobrinho - 07/03/2025 06:51:17</t>
  </si>
  <si>
    <t>Base de Dados_Images/PIT20022.Imagem do Equipamento-.191227.jpg</t>
  </si>
  <si>
    <t>Paula Caroline Morais Duarte - 22/01/2025 15:30:10</t>
  </si>
  <si>
    <t>PIT20023</t>
  </si>
  <si>
    <t>Pressão Óleo P1 Da Turbina 1º Terno</t>
  </si>
  <si>
    <t>Paula Caroline Morais Duarte - 22/01/2025 15:28:26</t>
  </si>
  <si>
    <t>Paula Caroline Morais Duarte - 22/01/2025 15:28:27</t>
  </si>
  <si>
    <t>Paula Caroline Morais Duarte - 22/01/2025 15:28:29</t>
  </si>
  <si>
    <t>Paula Caroline Morais Duarte - 22/01/2025 15:28:32</t>
  </si>
  <si>
    <t>Paula Caroline Morais Duarte - 05/02/2025 16:30:55</t>
  </si>
  <si>
    <t>Paula Caroline Morais Duarte - 05/02/2025 16:30:54</t>
  </si>
  <si>
    <t>Paula Caroline Morais Duarte - 20/02/2025 08:21:41</t>
  </si>
  <si>
    <t>Paula Caroline Morais Duarte - 20/02/2025 08:21:42</t>
  </si>
  <si>
    <t>Alisson Airton Sobrinho - 07/03/2025 06:51:32</t>
  </si>
  <si>
    <t>Base de Dados_Images/PIT20023.Imagem do Equipamento-.191142.jpg</t>
  </si>
  <si>
    <t>Paula Caroline Morais Duarte - 22/01/2025 15:28:09</t>
  </si>
  <si>
    <t>PIT20024</t>
  </si>
  <si>
    <t>Pressão Óleo P3 Da Turbina 1º Terno</t>
  </si>
  <si>
    <t>Paula Caroline Morais Duarte - 22/01/2025 15:29:18</t>
  </si>
  <si>
    <t>Paula Caroline Morais Duarte - 22/01/2025 15:29:20</t>
  </si>
  <si>
    <t>Paula Caroline Morais Duarte - 22/01/2025 15:29:21</t>
  </si>
  <si>
    <t>Paula Caroline Morais Duarte - 22/01/2025 15:29:23</t>
  </si>
  <si>
    <t>Paula Caroline Morais Duarte - 05/02/2025 16:30:46</t>
  </si>
  <si>
    <t>Paula Caroline Morais Duarte - 05/02/2025 16:30:45</t>
  </si>
  <si>
    <t>Paula Caroline Morais Duarte - 05/02/2025 16:30:44</t>
  </si>
  <si>
    <t>Paula Caroline Morais Duarte - 20/02/2025 08:21:50</t>
  </si>
  <si>
    <t>Paula Caroline Morais Duarte - 20/02/2025 08:21:52</t>
  </si>
  <si>
    <t>Alisson Airton Sobrinho - 07/03/2025 06:51:26</t>
  </si>
  <si>
    <t>Base de Dados_Images/PIT20024.Imagem do Equipamento-.191207.jpg</t>
  </si>
  <si>
    <t>Paula Caroline Morais Duarte - 22/01/2025 15:29:13</t>
  </si>
  <si>
    <t>PIT20025</t>
  </si>
  <si>
    <t>Pressão Óleo Turbina 1º Terno</t>
  </si>
  <si>
    <t>Paula Caroline Morais Duarte - 29/01/2025 10:46:02</t>
  </si>
  <si>
    <t>Paula Caroline Morais Duarte - 29/01/2025 10:46:05</t>
  </si>
  <si>
    <t>Paula Caroline Morais Duarte - 29/01/2025 10:46:06</t>
  </si>
  <si>
    <t>Paula Caroline Morais Duarte - 29/01/2025 10:46:10</t>
  </si>
  <si>
    <t>Paula Caroline Morais Duarte - 05/02/2025 16:29:21</t>
  </si>
  <si>
    <t>Paula Caroline Morais Duarte - 05/02/2025 16:29:22</t>
  </si>
  <si>
    <t>Paula Caroline Morais Duarte - 05/02/2025 16:29:26</t>
  </si>
  <si>
    <t>Paula Caroline Morais Duarte - 20/02/2025 08:21:58</t>
  </si>
  <si>
    <t>Paula Caroline Morais Duarte - 20/02/2025 08:22:00</t>
  </si>
  <si>
    <t>Alisson Airton Sobrinho - 07/03/2025 06:51:41</t>
  </si>
  <si>
    <t>Alisson Airton Sobrinho - 07/03/2025 06:51:42</t>
  </si>
  <si>
    <t>Base de Dados_Images/PIT20025.Imagem do Equipamento-.140645.jpg</t>
  </si>
  <si>
    <t>Paula Caroline Morais Duarte - 29/01/2025 10:45:55</t>
  </si>
  <si>
    <t>PIT20026</t>
  </si>
  <si>
    <t>Pressão Óleo Diferencial Filtro Turb. 1º Terno</t>
  </si>
  <si>
    <t>Paula Caroline Morais Duarte - 04/02/2025 14:11:16</t>
  </si>
  <si>
    <t>Paula Caroline Morais Duarte - 04/02/2025 14:11:17</t>
  </si>
  <si>
    <t>Paula Caroline Morais Duarte - 04/02/2025 14:11:22</t>
  </si>
  <si>
    <t>Paula Caroline Morais Duarte - 04/02/2025 14:11:25</t>
  </si>
  <si>
    <t>Paula Caroline Morais Duarte - 05/02/2025 16:29:46</t>
  </si>
  <si>
    <t>Paula Caroline Morais Duarte - 20/02/2025 08:22:13</t>
  </si>
  <si>
    <t>Paula Caroline Morais Duarte - 20/02/2025 08:22:14</t>
  </si>
  <si>
    <t>Alisson Airton Sobrinho - 07/03/2025 06:51:49</t>
  </si>
  <si>
    <t>Alisson Airton Sobrinho - 07/03/2025 06:51:48</t>
  </si>
  <si>
    <t>Base de Dados_Images/PIT20026.Imagem do Equipamento-.180041.jpg</t>
  </si>
  <si>
    <t>Paula Caroline Morais Duarte - 04/02/2025 14:11:37</t>
  </si>
  <si>
    <t>PIT20038</t>
  </si>
  <si>
    <t>Pressão Vapor Admissão Turbina 2/3º Ternos</t>
  </si>
  <si>
    <t>Paula Caroline Morais Duarte - 06/02/2025 11:03:48</t>
  </si>
  <si>
    <t>Paula Caroline Morais Duarte - 06/02/2025 11:03:56</t>
  </si>
  <si>
    <t>Paula Caroline Morais Duarte - 06/02/2025 11:03:57</t>
  </si>
  <si>
    <t>Paula Caroline Morais Duarte - 06/02/2025 11:04:03</t>
  </si>
  <si>
    <t>Paula Caroline Morais Duarte - 06/02/2025 11:04:04</t>
  </si>
  <si>
    <t>Paula Caroline Morais Duarte - 06/02/2025 11:04:05</t>
  </si>
  <si>
    <t>Paula Caroline Morais Duarte - 20/02/2025 08:26:34</t>
  </si>
  <si>
    <t>Paula Caroline Morais Duarte - 20/02/2025 08:26:35</t>
  </si>
  <si>
    <t>Alisson Airton Sobrinho - 07/03/2025 06:44:29</t>
  </si>
  <si>
    <t>Base de Dados_Images/PIT20038.Imagem do Equipamento-.140346.jpg</t>
  </si>
  <si>
    <t>Paula Caroline Morais Duarte - 06/02/2025 11:01:08</t>
  </si>
  <si>
    <t>PIT20039</t>
  </si>
  <si>
    <t>Pressão Vapor Câmara Turbina 2/3º Ternos</t>
  </si>
  <si>
    <t>Paula Caroline Morais Duarte - 22/01/2025 15:17:50</t>
  </si>
  <si>
    <t>Paula Caroline Morais Duarte - 22/01/2025 15:17:52</t>
  </si>
  <si>
    <t>Paula Caroline Morais Duarte - 22/01/2025 15:17:54</t>
  </si>
  <si>
    <t>Paula Caroline Morais Duarte - 22/01/2025 15:17:56</t>
  </si>
  <si>
    <t>Paula Caroline Morais Duarte - 06/02/2025 11:08:02</t>
  </si>
  <si>
    <t>Paula Caroline Morais Duarte - 06/02/2025 11:08:03</t>
  </si>
  <si>
    <t>Paula Caroline Morais Duarte - 06/02/2025 11:08:04</t>
  </si>
  <si>
    <t>Paula Caroline Morais Duarte - 20/02/2025 08:28:14</t>
  </si>
  <si>
    <t>Paula Caroline Morais Duarte - 20/02/2025 08:28:15</t>
  </si>
  <si>
    <t>Alisson Airton Sobrinho - 07/03/2025 06:44:37</t>
  </si>
  <si>
    <t>Alisson Airton Sobrinho - 07/03/2025 06:44:35</t>
  </si>
  <si>
    <t>Base de Dados_Images/PIT20039.Imagem do Equipamento-.191019.jpg</t>
  </si>
  <si>
    <t>Paula Caroline Morais Duarte - 22/01/2025 15:17:45</t>
  </si>
  <si>
    <t>PIT20040</t>
  </si>
  <si>
    <t>Pressão Vapor Escape Turbina 2/3º Ternos</t>
  </si>
  <si>
    <t>Paula Caroline Morais Duarte - 22/01/2025 15:18:51</t>
  </si>
  <si>
    <t>Paula Caroline Morais Duarte - 22/01/2025 15:18:53</t>
  </si>
  <si>
    <t>Paula Caroline Morais Duarte - 22/01/2025 15:18:54</t>
  </si>
  <si>
    <t>Paula Caroline Morais Duarte - 22/01/2025 15:18:58</t>
  </si>
  <si>
    <t>Paula Caroline Morais Duarte - 06/02/2025 11:08:44</t>
  </si>
  <si>
    <t>Paula Caroline Morais Duarte - 06/02/2025 11:08:45</t>
  </si>
  <si>
    <t>Paula Caroline Morais Duarte - 06/02/2025 11:08:46</t>
  </si>
  <si>
    <t>Paula Caroline Morais Duarte - 20/02/2025 08:27:57</t>
  </si>
  <si>
    <t>Paula Caroline Morais Duarte - 20/02/2025 08:27:58</t>
  </si>
  <si>
    <t>Alisson Airton Sobrinho - 07/03/2025 06:44:42</t>
  </si>
  <si>
    <t>Alisson Airton Sobrinho - 07/03/2025 06:44:41</t>
  </si>
  <si>
    <t>Base de Dados_Images/PIT20040.Imagem do Equipamento-.191044.jpg</t>
  </si>
  <si>
    <t>Paula Caroline Morais Duarte - 22/01/2025 15:18:36</t>
  </si>
  <si>
    <t>PIT20041</t>
  </si>
  <si>
    <t>Pressão Óleo P1 Turbina 2/3º Ternos</t>
  </si>
  <si>
    <t>Paula Caroline Morais Duarte - 22/01/2025 15:15:35</t>
  </si>
  <si>
    <t>Paula Caroline Morais Duarte - 22/01/2025 15:15:37</t>
  </si>
  <si>
    <t>Paula Caroline Morais Duarte - 22/01/2025 15:15:39</t>
  </si>
  <si>
    <t>Paula Caroline Morais Duarte - 22/01/2025 15:15:41</t>
  </si>
  <si>
    <t>Paula Caroline Morais Duarte - 06/02/2025 11:09:08</t>
  </si>
  <si>
    <t>Paula Caroline Morais Duarte - 06/02/2025 11:09:09</t>
  </si>
  <si>
    <t>Paula Caroline Morais Duarte - 06/02/2025 11:09:10</t>
  </si>
  <si>
    <t>Paula Caroline Morais Duarte - 20/02/2025 08:28:40</t>
  </si>
  <si>
    <t>Paula Caroline Morais Duarte - 20/02/2025 08:28:41</t>
  </si>
  <si>
    <t>Alisson Airton Sobrinho - 07/03/2025 06:44:47</t>
  </si>
  <si>
    <t>Base de Dados_Images/PIT20041.Imagem do Equipamento-.190912.jpg</t>
  </si>
  <si>
    <t>Paula Caroline Morais Duarte - 22/01/2025 15:15:25</t>
  </si>
  <si>
    <t>PIT20042</t>
  </si>
  <si>
    <t>Pressão Óleo P3 Turbina 2/3º Ternos</t>
  </si>
  <si>
    <t>Paula Caroline Morais Duarte - 22/01/2025 15:14:11</t>
  </si>
  <si>
    <t>Paula Caroline Morais Duarte - 22/01/2025 15:14:12</t>
  </si>
  <si>
    <t>Paula Caroline Morais Duarte - 22/01/2025 15:14:13</t>
  </si>
  <si>
    <t>Paula Caroline Morais Duarte - 22/01/2025 15:14:15</t>
  </si>
  <si>
    <t>Paula Caroline Morais Duarte - 06/02/2025 11:14:49</t>
  </si>
  <si>
    <t>Paula Caroline Morais Duarte - 06/02/2025 11:14:50</t>
  </si>
  <si>
    <t>Paula Caroline Morais Duarte - 06/02/2025 11:14:51</t>
  </si>
  <si>
    <t>Paula Caroline Morais Duarte - 20/02/2025 08:27:41</t>
  </si>
  <si>
    <t>Paula Caroline Morais Duarte - 20/02/2025 08:27:42</t>
  </si>
  <si>
    <t>Alisson Airton Sobrinho - 07/03/2025 06:44:53</t>
  </si>
  <si>
    <t>Base de Dados_Images/PIT20042.Imagem do Equipamento-.190850.jpg</t>
  </si>
  <si>
    <t>Paula Caroline Morais Duarte - 22/01/2025 15:14:05</t>
  </si>
  <si>
    <t>PIT20043</t>
  </si>
  <si>
    <t>Pressão Óleo Turbina 2/3º Ternos</t>
  </si>
  <si>
    <t>Paula Caroline Morais Duarte - 06/02/2025 11:13:43</t>
  </si>
  <si>
    <t>Paula Caroline Morais Duarte - 06/02/2025 11:13:45</t>
  </si>
  <si>
    <t>Paula Caroline Morais Duarte - 06/02/2025 11:13:52</t>
  </si>
  <si>
    <t>Paula Caroline Morais Duarte - 06/02/2025 11:14:06</t>
  </si>
  <si>
    <t>Paula Caroline Morais Duarte - 06/02/2025 11:14:07</t>
  </si>
  <si>
    <t>Paula Caroline Morais Duarte - 06/02/2025 11:14:08</t>
  </si>
  <si>
    <t>Paula Caroline Morais Duarte - 20/02/2025 08:27:06</t>
  </si>
  <si>
    <t>Paula Caroline Morais Duarte - 20/02/2025 08:27:07</t>
  </si>
  <si>
    <t>Alisson Airton Sobrinho - 07/03/2025 06:44:59</t>
  </si>
  <si>
    <t>Base de Dados_Images/PIT20043.Imagem do Equipamento-.141333.jpg</t>
  </si>
  <si>
    <t>Paula Caroline Morais Duarte - 06/02/2025 11:13:27</t>
  </si>
  <si>
    <t>PIT20044</t>
  </si>
  <si>
    <t>Pressão Óleo Diferencial Filtro Turb. 2/3º Ternos</t>
  </si>
  <si>
    <t>Paula Caroline Morais Duarte - 22/01/2025 15:16:51</t>
  </si>
  <si>
    <t>Paula Caroline Morais Duarte - 22/01/2025 15:17:00</t>
  </si>
  <si>
    <t>Paula Caroline Morais Duarte - 22/01/2025 15:16:58</t>
  </si>
  <si>
    <t>Paula Caroline Morais Duarte - 22/01/2025 15:17:03</t>
  </si>
  <si>
    <t>Paula Caroline Morais Duarte - 06/02/2025 11:16:29</t>
  </si>
  <si>
    <t>Paula Caroline Morais Duarte - 06/02/2025 11:16:30</t>
  </si>
  <si>
    <t>Paula Caroline Morais Duarte - 06/02/2025 11:16:31</t>
  </si>
  <si>
    <t>Paula Caroline Morais Duarte - 20/02/2025 08:26:59</t>
  </si>
  <si>
    <t>Paula Caroline Morais Duarte - 20/02/2025 08:27:00</t>
  </si>
  <si>
    <t>Alisson Airton Sobrinho - 07/03/2025 06:45:08</t>
  </si>
  <si>
    <t>Base de Dados_Images/PIT20044.Imagem do Equipamento-.190935.jpg</t>
  </si>
  <si>
    <t>Paula Caroline Morais Duarte - 22/01/2025 15:16:46</t>
  </si>
  <si>
    <t>PIT20060</t>
  </si>
  <si>
    <t>Pressão Vapor Admissão Turbina 4/5º Ternos</t>
  </si>
  <si>
    <t>Paula Caroline Morais Duarte - 31/01/2025 11:22:53</t>
  </si>
  <si>
    <t>Paula Caroline Morais Duarte - 31/01/2025 11:22:56</t>
  </si>
  <si>
    <t>Paula Caroline Morais Duarte - 31/01/2025 11:22:55</t>
  </si>
  <si>
    <t>Paula Caroline Morais Duarte - 31/01/2025 11:22:58</t>
  </si>
  <si>
    <t>Alisson Airton Sobrinho - 06/02/2025 11:48:09</t>
  </si>
  <si>
    <t>Alisson Airton Sobrinho - 06/02/2025 11:48:11</t>
  </si>
  <si>
    <t>Alisson Airton Sobrinho - 06/02/2025 11:48:12</t>
  </si>
  <si>
    <t>Paula Caroline Morais Duarte - 20/02/2025 08:10:14</t>
  </si>
  <si>
    <t>Paula Caroline Morais Duarte - 20/02/2025 08:10:15</t>
  </si>
  <si>
    <t>Alisson Airton Sobrinho - 07/03/2025 06:53:47</t>
  </si>
  <si>
    <t>Alisson Airton Sobrinho - 07/03/2025 06:53:46</t>
  </si>
  <si>
    <t>Base de Dados_Images/PIT20060.Imagem do Equipamento-.154048.jpg</t>
  </si>
  <si>
    <t>Paula Caroline Morais Duarte - 31/01/2025 11:22:49</t>
  </si>
  <si>
    <t>PIT20061</t>
  </si>
  <si>
    <t>Pressão Vapor Câmara Turbina 4/5º Ternos</t>
  </si>
  <si>
    <t>Paula Caroline Morais Duarte - 31/01/2025 11:22:19</t>
  </si>
  <si>
    <t>Paula Caroline Morais Duarte - 31/01/2025 11:22:20</t>
  </si>
  <si>
    <t>Paula Caroline Morais Duarte - 31/01/2025 11:22:22</t>
  </si>
  <si>
    <t>Paula Caroline Morais Duarte - 31/01/2025 11:22:23</t>
  </si>
  <si>
    <t>Paula Caroline Morais Duarte - 10/02/2025 15:35:55</t>
  </si>
  <si>
    <t>Paula Caroline Morais Duarte - 10/02/2025 15:35:56</t>
  </si>
  <si>
    <t>Paula Caroline Morais Duarte - 10/02/2025 15:35:57</t>
  </si>
  <si>
    <t>Paula Caroline Morais Duarte - 20/02/2025 08:13:36</t>
  </si>
  <si>
    <t>Paula Caroline Morais Duarte - 20/02/2025 08:13:37</t>
  </si>
  <si>
    <t>Alisson Airton Sobrinho - 07/03/2025 06:53:55</t>
  </si>
  <si>
    <t>Base de Dados_Images/PIT20061.Imagem do Equipamento-.154024.jpg</t>
  </si>
  <si>
    <t>Paula Caroline Morais Duarte - 31/01/2025 11:22:14</t>
  </si>
  <si>
    <t>PIT20062</t>
  </si>
  <si>
    <t>Pressão Vapor Escape Turbina 4/5º Ternos</t>
  </si>
  <si>
    <t>Paula Caroline Morais Duarte - 10/02/2025 16:36:12</t>
  </si>
  <si>
    <t>Paula Caroline Morais Duarte - 10/02/2025 16:36:15</t>
  </si>
  <si>
    <t>Paula Caroline Morais Duarte - 10/02/2025 16:36:16</t>
  </si>
  <si>
    <t>Paula Caroline Morais Duarte - 10/02/2025 16:36:17</t>
  </si>
  <si>
    <t>Paula Caroline Morais Duarte - 10/02/2025 16:36:22</t>
  </si>
  <si>
    <t>Paula Caroline Morais Duarte - 10/02/2025 16:36:23</t>
  </si>
  <si>
    <t>Paula Caroline Morais Duarte - 10/02/2025 16:36:24</t>
  </si>
  <si>
    <t>Paula Caroline Morais Duarte - 20/02/2025 08:10:31</t>
  </si>
  <si>
    <t>Paula Caroline Morais Duarte - 20/02/2025 08:10:32</t>
  </si>
  <si>
    <t>Alisson Airton Sobrinho - 07/03/2025 06:54:04</t>
  </si>
  <si>
    <t>Base de Dados_Images/PIT20062.Imagem do Equipamento-.111051.jpg</t>
  </si>
  <si>
    <t>Paula Caroline Morais Duarte - 20/02/2025 08:10:47</t>
  </si>
  <si>
    <t>PIT20063</t>
  </si>
  <si>
    <t>Pressão Óleo P1 Turbina 4/5º Ternos</t>
  </si>
  <si>
    <t>Paula Caroline Morais Duarte - 31/01/2025 11:21:38</t>
  </si>
  <si>
    <t>Paula Caroline Morais Duarte - 31/01/2025 11:21:40</t>
  </si>
  <si>
    <t>Paula Caroline Morais Duarte - 31/01/2025 11:21:41</t>
  </si>
  <si>
    <t>Paula Caroline Morais Duarte - 10/02/2025 15:36:22</t>
  </si>
  <si>
    <t>Paula Caroline Morais Duarte - 10/02/2025 15:36:23</t>
  </si>
  <si>
    <t>Paula Caroline Morais Duarte - 10/02/2025 15:36:25</t>
  </si>
  <si>
    <t>Paula Caroline Morais Duarte - 20/02/2025 08:13:20</t>
  </si>
  <si>
    <t>Paula Caroline Morais Duarte - 20/02/2025 08:13:21</t>
  </si>
  <si>
    <t>Alisson Airton Sobrinho - 07/03/2025 06:54:15</t>
  </si>
  <si>
    <t>Alisson Airton Sobrinho - 07/03/2025 06:54:11</t>
  </si>
  <si>
    <t>Base de Dados_Images/PIT20063.Imagem do Equipamento-.153955.jpg</t>
  </si>
  <si>
    <t>Paula Caroline Morais Duarte - 31/01/2025 11:21:32</t>
  </si>
  <si>
    <t>PIT20064</t>
  </si>
  <si>
    <t>Pressão Óleo P3 Turbina 4/5º Ternos</t>
  </si>
  <si>
    <t>Paula Caroline Morais Duarte - 31/01/2025 11:21:00</t>
  </si>
  <si>
    <t>Paula Caroline Morais Duarte - 31/01/2025 11:21:01</t>
  </si>
  <si>
    <t>Paula Caroline Morais Duarte - 31/01/2025 11:21:02</t>
  </si>
  <si>
    <t>Paula Caroline Morais Duarte - 31/01/2025 11:21:03</t>
  </si>
  <si>
    <t>Paula Caroline Morais Duarte - 10/02/2025 15:36:36</t>
  </si>
  <si>
    <t>Paula Caroline Morais Duarte - 10/02/2025 15:36:37</t>
  </si>
  <si>
    <t>Paula Caroline Morais Duarte - 10/02/2025 15:36:38</t>
  </si>
  <si>
    <t>Paula Caroline Morais Duarte - 20/02/2025 08:13:11</t>
  </si>
  <si>
    <t>Paula Caroline Morais Duarte - 20/02/2025 08:13:12</t>
  </si>
  <si>
    <t>Alisson Airton Sobrinho - 07/03/2025 06:54:21</t>
  </si>
  <si>
    <t>Alisson Airton Sobrinho - 07/03/2025 06:54:20</t>
  </si>
  <si>
    <t>Base de Dados_Images/PIT20064.Imagem do Equipamento-.153928.jpg</t>
  </si>
  <si>
    <t>Paula Caroline Morais Duarte - 31/01/2025 11:20:56</t>
  </si>
  <si>
    <t>PIT20065</t>
  </si>
  <si>
    <t>Pressão Óleo Turbina 4/5º Ternos</t>
  </si>
  <si>
    <t>Paula Caroline Morais Duarte - 29/01/2025 08:45:59</t>
  </si>
  <si>
    <t>Paula Caroline Morais Duarte - 29/01/2025 08:46:01</t>
  </si>
  <si>
    <t>Paula Caroline Morais Duarte - 29/01/2025 08:46:02</t>
  </si>
  <si>
    <t>Paula Caroline Morais Duarte - 29/01/2025 08:46:14</t>
  </si>
  <si>
    <t>Paula Caroline Morais Duarte - 10/02/2025 15:36:47</t>
  </si>
  <si>
    <t>Paula Caroline Morais Duarte - 10/02/2025 15:36:48</t>
  </si>
  <si>
    <t>Paula Caroline Morais Duarte - 20/02/2025 08:13:03</t>
  </si>
  <si>
    <t>Alisson Airton Sobrinho - 07/03/2025 06:54:28</t>
  </si>
  <si>
    <t>Alisson Airton Sobrinho - 07/03/2025 06:54:27</t>
  </si>
  <si>
    <t>Base de Dados_Images/PIT20065.Imagem do Equipamento-.125907.jpg</t>
  </si>
  <si>
    <t>Paula Caroline Morais Duarte - 29/01/2025 08:45:50</t>
  </si>
  <si>
    <t>PIT20066</t>
  </si>
  <si>
    <t>Pressão Óleo Diferencial Filtro Turb. 4/5º Ternos</t>
  </si>
  <si>
    <t>Paula Caroline Morais Duarte - 31/01/2025 11:23:33</t>
  </si>
  <si>
    <t>Paula Caroline Morais Duarte - 31/01/2025 11:23:35</t>
  </si>
  <si>
    <t>Paula Caroline Morais Duarte - 31/01/2025 11:23:36</t>
  </si>
  <si>
    <t>Paula Caroline Morais Duarte - 10/02/2025 15:37:00</t>
  </si>
  <si>
    <t>Paula Caroline Morais Duarte - 10/02/2025 15:36:58</t>
  </si>
  <si>
    <t>Paula Caroline Morais Duarte - 10/02/2025 15:36:59</t>
  </si>
  <si>
    <t>Paula Caroline Morais Duarte - 20/02/2025 08:12:56</t>
  </si>
  <si>
    <t>Alisson Airton Sobrinho - 07/03/2025 06:54:37</t>
  </si>
  <si>
    <t>Alisson Airton Sobrinho - 07/03/2025 06:54:36</t>
  </si>
  <si>
    <t>Base de Dados_Images/PIT20066.Imagem do Equipamento-.154121.jpg</t>
  </si>
  <si>
    <t>Paula Caroline Morais Duarte - 31/01/2025 11:23:27</t>
  </si>
  <si>
    <t>6º Terno</t>
  </si>
  <si>
    <t>PIT20082</t>
  </si>
  <si>
    <t>Pressão Vapor Admissão Turbina 6º Ternos</t>
  </si>
  <si>
    <t>Paula Caroline Morais Duarte - 31/01/2025 11:25:45</t>
  </si>
  <si>
    <t>Paula Caroline Morais Duarte - 31/01/2025 11:25:47</t>
  </si>
  <si>
    <t>Paula Caroline Morais Duarte - 31/01/2025 11:25:48</t>
  </si>
  <si>
    <t>Paula Caroline Morais Duarte - 31/01/2025 11:25:50</t>
  </si>
  <si>
    <t>Paula Caroline Morais Duarte - 10/02/2025 16:31:59</t>
  </si>
  <si>
    <t>Paula Caroline Morais Duarte - 10/02/2025 16:32:10</t>
  </si>
  <si>
    <t>Paula Caroline Morais Duarte - 10/02/2025 16:32:11</t>
  </si>
  <si>
    <t>Rafael Roldão Rodrigues - 03/03/2025 11:28:08</t>
  </si>
  <si>
    <t>Alisson Airton Sobrinho - 07/03/2025 06:39:41</t>
  </si>
  <si>
    <t>Alisson Airton Sobrinho - 07/03/2025 06:39:42</t>
  </si>
  <si>
    <t>Base de Dados_Images/PIT20082.Imagem do Equipamento-.154145.jpg</t>
  </si>
  <si>
    <t>Paula Caroline Morais Duarte - 31/01/2025 11:25:40</t>
  </si>
  <si>
    <t>PIT20083</t>
  </si>
  <si>
    <t>Pressão Vapor Câmara Turbina 6º Ternos</t>
  </si>
  <si>
    <t>Paula Caroline Morais Duarte - 22/01/2025 15:05:46</t>
  </si>
  <si>
    <t>Paula Caroline Morais Duarte - 22/01/2025 15:05:48</t>
  </si>
  <si>
    <t>Paula Caroline Morais Duarte - 22/01/2025 15:05:49</t>
  </si>
  <si>
    <t>Paula Caroline Morais Duarte - 22/01/2025 15:05:50</t>
  </si>
  <si>
    <t>Paula Caroline Morais Duarte - 10/02/2025 16:31:27</t>
  </si>
  <si>
    <t>Paula Caroline Morais Duarte - 10/02/2025 16:31:28</t>
  </si>
  <si>
    <t>Paula Caroline Morais Duarte - 10/02/2025 16:31:29</t>
  </si>
  <si>
    <t>Rafael Roldão Rodrigues - 03/03/2025 11:28:17</t>
  </si>
  <si>
    <t>Rafael Roldão Rodrigues - 03/03/2025 11:28:18</t>
  </si>
  <si>
    <t>Alisson Airton Sobrinho - 07/03/2025 06:39:51</t>
  </si>
  <si>
    <t>Alisson Airton Sobrinho - 07/03/2025 06:39:50</t>
  </si>
  <si>
    <t>Base de Dados_Images/PIT20083.Imagem do Equipamento-.190710.jpg</t>
  </si>
  <si>
    <t>Paula Caroline Morais Duarte - 22/01/2025 15:05:41</t>
  </si>
  <si>
    <t>PIT20084</t>
  </si>
  <si>
    <t>Pressão Vapor Escape Turbina 6º Ternos</t>
  </si>
  <si>
    <t>Paula Caroline Morais Duarte - 22/01/2025 15:06:27</t>
  </si>
  <si>
    <t>Paula Caroline Morais Duarte - 22/01/2025 15:06:29</t>
  </si>
  <si>
    <t>Paula Caroline Morais Duarte - 22/01/2025 15:06:30</t>
  </si>
  <si>
    <t>Paula Caroline Morais Duarte - 22/01/2025 15:06:31</t>
  </si>
  <si>
    <t>Paula Caroline Morais Duarte - 10/02/2025 16:31:36</t>
  </si>
  <si>
    <t>Paula Caroline Morais Duarte - 10/02/2025 16:31:46</t>
  </si>
  <si>
    <t>Paula Caroline Morais Duarte - 10/02/2025 16:31:48</t>
  </si>
  <si>
    <t>Rafael Roldão Rodrigues - 03/03/2025 11:28:25</t>
  </si>
  <si>
    <t>Rafael Roldão Rodrigues - 03/03/2025 11:28:26</t>
  </si>
  <si>
    <t>Alisson Airton Sobrinho - 07/03/2025 06:39:57</t>
  </si>
  <si>
    <t>Base de Dados_Images/PIT20084.Imagem do Equipamento-.190733.jpg</t>
  </si>
  <si>
    <t>Paula Caroline Morais Duarte - 22/01/2025 15:06:19</t>
  </si>
  <si>
    <t>PIT20085</t>
  </si>
  <si>
    <t>Pressão Óleo P1 Turbina 6º Ternos</t>
  </si>
  <si>
    <t>Paula Caroline Morais Duarte - 22/01/2025 15:09:41</t>
  </si>
  <si>
    <t>Paula Caroline Morais Duarte - 22/01/2025 15:09:42</t>
  </si>
  <si>
    <t>Paula Caroline Morais Duarte - 22/01/2025 15:09:43</t>
  </si>
  <si>
    <t>Paula Caroline Morais Duarte - 22/01/2025 15:09:44</t>
  </si>
  <si>
    <t>Paula Caroline Morais Duarte - 10/02/2025 15:41:08</t>
  </si>
  <si>
    <t>Paula Caroline Morais Duarte - 10/02/2025 15:41:09</t>
  </si>
  <si>
    <t>Paula Caroline Morais Duarte - 10/02/2025 15:41:10</t>
  </si>
  <si>
    <t>Paula Caroline Morais Duarte - 20/02/2025 08:07:20</t>
  </si>
  <si>
    <t>Paula Caroline Morais Duarte - 20/02/2025 08:07:21</t>
  </si>
  <si>
    <t>Alisson Airton Sobrinho - 07/03/2025 06:56:04</t>
  </si>
  <si>
    <t>Alisson Airton Sobrinho - 07/03/2025 06:56:02</t>
  </si>
  <si>
    <t>Base de Dados_Images/PIT20085.Imagem do Equipamento-.190825.jpg</t>
  </si>
  <si>
    <t>Paula Caroline Morais Duarte - 22/01/2025 15:09:22</t>
  </si>
  <si>
    <t>PIT20086</t>
  </si>
  <si>
    <t>Pressão Óleo P3 Turbina 6º Ternos</t>
  </si>
  <si>
    <t>Paula Caroline Morais Duarte - 22/01/2025 15:08:02</t>
  </si>
  <si>
    <t>Paula Caroline Morais Duarte - 22/01/2025 15:08:03</t>
  </si>
  <si>
    <t>Paula Caroline Morais Duarte - 22/01/2025 15:08:06</t>
  </si>
  <si>
    <t>Paula Caroline Morais Duarte - 22/01/2025 15:08:09</t>
  </si>
  <si>
    <t>Paula Caroline Morais Duarte - 10/02/2025 15:46:10</t>
  </si>
  <si>
    <t>Paula Caroline Morais Duarte - 10/02/2025 15:46:11</t>
  </si>
  <si>
    <t>Paula Caroline Morais Duarte - 10/02/2025 15:46:12</t>
  </si>
  <si>
    <t>Paula Caroline Morais Duarte - 20/02/2025 08:06:52</t>
  </si>
  <si>
    <t>Paula Caroline Morais Duarte - 20/02/2025 08:06:51</t>
  </si>
  <si>
    <t>Alisson Airton Sobrinho - 07/03/2025 06:56:11</t>
  </si>
  <si>
    <t>Alisson Airton Sobrinho - 07/03/2025 06:56:09</t>
  </si>
  <si>
    <t>Base de Dados_Images/PIT20086.Imagem do Equipamento-.190759.jpg</t>
  </si>
  <si>
    <t>Paula Caroline Morais Duarte - 22/01/2025 15:07:53</t>
  </si>
  <si>
    <t>PIT20087</t>
  </si>
  <si>
    <t>Pressão Óleo Turbina 6º Ternos</t>
  </si>
  <si>
    <t>Weslley Ferreira Cooper - 29/01/2025 11:56:06</t>
  </si>
  <si>
    <t>Weslley Ferreira Cooper - 29/01/2025 11:55:59</t>
  </si>
  <si>
    <t>Weslley Ferreira Cooper - 29/01/2025 11:55:58</t>
  </si>
  <si>
    <t>Weslley Ferreira Cooper - 29/01/2025 11:55:57</t>
  </si>
  <si>
    <t>Paula Caroline Morais Duarte - 10/02/2025 15:02:32</t>
  </si>
  <si>
    <t>Paula Caroline Morais Duarte - 10/02/2025 15:02:34</t>
  </si>
  <si>
    <t>Paula Caroline Morais Duarte - 10/02/2025 15:02:35</t>
  </si>
  <si>
    <t>Paula Caroline Morais Duarte - 20/02/2025 08:06:40</t>
  </si>
  <si>
    <t>Paula Caroline Morais Duarte - 20/02/2025 08:06:41</t>
  </si>
  <si>
    <t>Alisson Airton Sobrinho - 07/03/2025 06:56:20</t>
  </si>
  <si>
    <t>Alisson Airton Sobrinho - 07/03/2025 06:56:17</t>
  </si>
  <si>
    <t>Base de Dados_Images/PIT20087.Imagem do Equipamento-.152036.jpg</t>
  </si>
  <si>
    <t>Weslley Ferreira Cooper - 29/01/2025 11:55:51</t>
  </si>
  <si>
    <t>PIT20088</t>
  </si>
  <si>
    <t>Pressão Óleo Diferencial Filtro Turb. 6º Ternos</t>
  </si>
  <si>
    <t>Paula Caroline Morais Duarte - 31/01/2025 11:33:55</t>
  </si>
  <si>
    <t>Paula Caroline Morais Duarte - 31/01/2025 11:34:07</t>
  </si>
  <si>
    <t>Paula Caroline Morais Duarte - 31/01/2025 11:33:59</t>
  </si>
  <si>
    <t>Paula Caroline Morais Duarte - 31/01/2025 11:34:02</t>
  </si>
  <si>
    <t>Paula Caroline Morais Duarte - 10/02/2025 15:02:18</t>
  </si>
  <si>
    <t>Paula Caroline Morais Duarte - 10/02/2025 15:02:20</t>
  </si>
  <si>
    <t>Paula Caroline Morais Duarte - 10/02/2025 15:02:21</t>
  </si>
  <si>
    <t>Paula Caroline Morais Duarte - 20/02/2025 08:06:31</t>
  </si>
  <si>
    <t>Paula Caroline Morais Duarte - 20/02/2025 08:06:32</t>
  </si>
  <si>
    <t>Alisson Airton Sobrinho - 07/03/2025 06:56:26</t>
  </si>
  <si>
    <t>Base de Dados_Images/PIT20088.Imagem do Equipamento-.154220.jpg</t>
  </si>
  <si>
    <t>Paula Caroline Morais Duarte - 31/01/2025 11:33:50</t>
  </si>
  <si>
    <t>PIT20099</t>
  </si>
  <si>
    <t>Pressão Do Vapor Direto</t>
  </si>
  <si>
    <t>Paula Caroline Morais Duarte - 13/02/2025 14:30:23</t>
  </si>
  <si>
    <t>Paula Caroline Morais Duarte - 13/02/2025 14:30:25</t>
  </si>
  <si>
    <t>Paula Caroline Morais Duarte - 13/02/2025 14:30:28</t>
  </si>
  <si>
    <t>Rafael Roldão Rodrigues - 03/03/2025 11:40:03</t>
  </si>
  <si>
    <t>Rafael Roldão Rodrigues - 03/03/2025 11:40:04</t>
  </si>
  <si>
    <t>Rafael Roldão Rodrigues - 03/03/2025 11:40:05</t>
  </si>
  <si>
    <t>Rafael Roldão Rodrigues - 03/03/2025 11:40:11</t>
  </si>
  <si>
    <t>Rafael Roldão Rodrigues - 03/03/2025 11:40:12</t>
  </si>
  <si>
    <t>Alisson Airton Sobrinho - 07/03/2025 06:43:28</t>
  </si>
  <si>
    <t>Base de Dados_Images/PIT20099.Imagem do Equipamento-.192905.jpg</t>
  </si>
  <si>
    <t>Paula Caroline Morais Duarte - 13/02/2025 14:30:19</t>
  </si>
  <si>
    <t>PIT20100</t>
  </si>
  <si>
    <t>Pressão Do Vapor De Escape</t>
  </si>
  <si>
    <t>Paula Caroline Morais Duarte - 13/02/2025 14:31:06</t>
  </si>
  <si>
    <t>Paula Caroline Morais Duarte - 13/02/2025 14:31:07</t>
  </si>
  <si>
    <t>Paula Caroline Morais Duarte - 13/02/2025 14:31:08</t>
  </si>
  <si>
    <t>Paula Caroline Morais Duarte - 13/02/2025 14:31:10</t>
  </si>
  <si>
    <t>Rafael Roldão Rodrigues - 03/03/2025 11:40:29</t>
  </si>
  <si>
    <t>Rafael Roldão Rodrigues - 03/03/2025 11:40:30</t>
  </si>
  <si>
    <t>Rafael Roldão Rodrigues - 03/03/2025 11:40:31</t>
  </si>
  <si>
    <t>Rafael Roldão Rodrigues - 03/03/2025 11:40:34</t>
  </si>
  <si>
    <t>Rafael Roldão Rodrigues - 03/03/2025 11:40:35</t>
  </si>
  <si>
    <t>Alisson Airton Sobrinho - 07/03/2025 06:43:34</t>
  </si>
  <si>
    <t>Alisson Airton Sobrinho - 07/03/2025 06:43:33</t>
  </si>
  <si>
    <t>Base de Dados_Images/PIT20100.Imagem do Equipamento-.192934.jpg</t>
  </si>
  <si>
    <t>Paula Caroline Morais Duarte - 13/02/2025 14:31:02</t>
  </si>
  <si>
    <t>PIT30038</t>
  </si>
  <si>
    <t>Pressão Corpo Pré-Evap. 1 Álcool/Açúcar</t>
  </si>
  <si>
    <t>Erico Borges De Freitas - 30/01/2025 11:16:12</t>
  </si>
  <si>
    <t>Erico Borges De Freitas - 30/01/2025 11:16:09</t>
  </si>
  <si>
    <t>Erico Borges De Freitas - 30/01/2025 11:16:04</t>
  </si>
  <si>
    <t>Erico Borges De Freitas - 30/01/2025 11:16:02</t>
  </si>
  <si>
    <t>Alisson Airton Sobrinho - 11/02/2025 13:34:28</t>
  </si>
  <si>
    <t>Alisson Airton Sobrinho - 11/02/2025 13:34:31</t>
  </si>
  <si>
    <t>Alisson Airton Sobrinho - 11/02/2025 13:34:33</t>
  </si>
  <si>
    <t>Alisson Airton Sobrinho - 11/02/2025 13:34:49</t>
  </si>
  <si>
    <t>Alisson Airton Sobrinho - 11/02/2025 13:34:54</t>
  </si>
  <si>
    <t>Beatriz Alves Nunes de Paulo - 06/03/2025 08:56:53</t>
  </si>
  <si>
    <t>Beatriz Alves Nunes de Paulo - 06/03/2025 08:56:54</t>
  </si>
  <si>
    <t>Base de Dados_Images/PIT30038.Imagem do Equipamento-.174421.jpg</t>
  </si>
  <si>
    <t>Erico Borges De Freitas - 29/01/2025 14:43:22</t>
  </si>
  <si>
    <t>PIT30038A</t>
  </si>
  <si>
    <t>Pressão Vap. Corpo Pré Evap.2 Álcool/Açúcar</t>
  </si>
  <si>
    <t>Erico Borges De Freitas - 30/01/2025 11:17:37</t>
  </si>
  <si>
    <t>Erico Borges De Freitas - 30/01/2025 11:17:35</t>
  </si>
  <si>
    <t>Erico Borges De Freitas - 30/01/2025 11:17:33</t>
  </si>
  <si>
    <t>Erico Borges De Freitas - 30/01/2025 11:17:31</t>
  </si>
  <si>
    <t>Adriel da Silva Queiroz - 11/02/2025 13:40:16</t>
  </si>
  <si>
    <t>Adriel da Silva Queiroz - 11/02/2025 13:40:17</t>
  </si>
  <si>
    <t>Adriel da Silva Queiroz - 11/02/2025 13:40:20</t>
  </si>
  <si>
    <t>Adriel da Silva Queiroz - 11/02/2025 13:40:25</t>
  </si>
  <si>
    <t>Adriel da Silva Queiroz - 11/02/2025 13:40:26</t>
  </si>
  <si>
    <t>Beatriz Alves Nunes de Paulo - 06/03/2025 08:56:59</t>
  </si>
  <si>
    <t>Base de Dados_Images/PIT30038A.Imagem do Equipamento-.174403.jpg</t>
  </si>
  <si>
    <t>Erico Borges De Freitas - 29/01/2025 14:38:27</t>
  </si>
  <si>
    <t>PIT30039</t>
  </si>
  <si>
    <t>Pressão Calandra Pré-Evap. 1 Álcool/Açúcar</t>
  </si>
  <si>
    <t>Alisson Airton Sobrinho - 08/02/2025 08:49:20</t>
  </si>
  <si>
    <t>Alisson Airton Sobrinho - 08/02/2025 08:49:22</t>
  </si>
  <si>
    <t>Alisson Airton Sobrinho - 08/02/2025 08:49:24</t>
  </si>
  <si>
    <t>Alisson Airton Sobrinho - 08/02/2025 08:49:30</t>
  </si>
  <si>
    <t>Alisson Airton Sobrinho - 08/02/2025 08:49:31</t>
  </si>
  <si>
    <t>Alisson Airton Sobrinho - 08/02/2025 08:49:32</t>
  </si>
  <si>
    <t>Rafael Roldão Rodrigues - 03/03/2025 12:12:34</t>
  </si>
  <si>
    <t>Rafael Roldão Rodrigues - 03/03/2025 12:12:35</t>
  </si>
  <si>
    <t>Beatriz Alves Nunes de Paulo - 06/03/2025 08:57:04</t>
  </si>
  <si>
    <t>Beatriz Alves Nunes de Paulo - 06/03/2025 08:57:05</t>
  </si>
  <si>
    <t>Erico Borges De Freitas - 01/30/2025 11:23:22</t>
  </si>
  <si>
    <t>Pre Evaporador 2 1º Efeito Açucar</t>
  </si>
  <si>
    <t>PIT30040</t>
  </si>
  <si>
    <t>Pressão Corpo Pré-Evap. 2 - 1º Efeito Açúcar</t>
  </si>
  <si>
    <t>Erico Borges De Freitas - 30/01/2025 10:59:19</t>
  </si>
  <si>
    <t>Erico Borges De Freitas - 30/01/2025 10:59:16</t>
  </si>
  <si>
    <t>Erico Borges De Freitas - 30/01/2025 10:59:15</t>
  </si>
  <si>
    <t>Erico Borges De Freitas - 30/01/2025 10:59:14</t>
  </si>
  <si>
    <t>Adriel da Silva Queiroz - 03/02/2025 14:51:42</t>
  </si>
  <si>
    <t>Adriel da Silva Queiroz - 03/02/2025 14:51:44</t>
  </si>
  <si>
    <t>Alisson Airton Sobrinho - 07/02/2025 15:13:06</t>
  </si>
  <si>
    <t>Alisson Airton Sobrinho - 07/02/2025 15:13:07</t>
  </si>
  <si>
    <t>Alisson Airton Sobrinho - 07/03/2025 07:01:49</t>
  </si>
  <si>
    <t>Alisson Airton Sobrinho - 07/03/2025 07:01:53</t>
  </si>
  <si>
    <t>Base de Dados_Images/PIT30040.Imagem do Equipamento-.174602.jpg</t>
  </si>
  <si>
    <t>Erico Borges De Freitas - 29/01/2025 14:45:56</t>
  </si>
  <si>
    <t>PIT30041</t>
  </si>
  <si>
    <t>Pressão Corpo Pré-Evap. 3 - 1/2º Ef. Açúcar</t>
  </si>
  <si>
    <t>Erico Borges De Freitas - 30/01/2025 11:00:05</t>
  </si>
  <si>
    <t>Erico Borges De Freitas - 30/01/2025 11:00:03</t>
  </si>
  <si>
    <t>Erico Borges De Freitas - 30/01/2025 10:59:59</t>
  </si>
  <si>
    <t>Erico Borges De Freitas - 30/01/2025 10:59:58</t>
  </si>
  <si>
    <t>Alisson Airton Sobrinho - 10/02/2025 16:49:41</t>
  </si>
  <si>
    <t>Alisson Airton Sobrinho - 10/02/2025 16:49:42</t>
  </si>
  <si>
    <t>Alisson Airton Sobrinho - 10/02/2025 16:49:43</t>
  </si>
  <si>
    <t>Adriel da Silva Queiroz - 03/03/2025 11:23:48</t>
  </si>
  <si>
    <t>Adriel da Silva Queiroz - 03/03/2025 11:23:49</t>
  </si>
  <si>
    <t>Alisson Airton Sobrinho - 07/03/2025 07:02:46</t>
  </si>
  <si>
    <t>Alisson Airton Sobrinho - 07/03/2025 07:02:45</t>
  </si>
  <si>
    <t>Base de Dados_Images/PIT30041.Imagem do Equipamento-.175052.jpg</t>
  </si>
  <si>
    <t>Erico Borges De Freitas - 29/01/2025 14:50:41</t>
  </si>
  <si>
    <t>PIT30042</t>
  </si>
  <si>
    <t>Pressão Corpo Caixa 1 - 2/3º Ef. Açúcar</t>
  </si>
  <si>
    <t>Weslley Ferreira Cooper - 29/01/2025 13:13:12</t>
  </si>
  <si>
    <t>Weslley Ferreira Cooper - 29/01/2025 13:13:11</t>
  </si>
  <si>
    <t>Weslley Ferreira Cooper - 29/01/2025 13:13:10</t>
  </si>
  <si>
    <t>Weslley Ferreira Cooper - 29/01/2025 13:13:09</t>
  </si>
  <si>
    <t>Adriel da Silva Queiroz - 11/02/2025 13:54:06</t>
  </si>
  <si>
    <t>Adriel da Silva Queiroz - 11/02/2025 13:54:10</t>
  </si>
  <si>
    <t>Adriel da Silva Queiroz - 11/02/2025 13:54:14</t>
  </si>
  <si>
    <t>Adriel da Silva Queiroz - 03/03/2025 11:13:01</t>
  </si>
  <si>
    <t>Adriel da Silva Queiroz - 03/03/2025 11:13:02</t>
  </si>
  <si>
    <t>Alisson Airton Sobrinho - 06/03/2025 12:11:06</t>
  </si>
  <si>
    <t>Alisson Airton Sobrinho - 06/03/2025 12:11:07</t>
  </si>
  <si>
    <t>Base de Dados_Images/PIT30042.Imagem do Equipamento-.172751.jpg</t>
  </si>
  <si>
    <t>Weslley Ferreira Cooper - 29/01/2025 13:13:03</t>
  </si>
  <si>
    <t>Pre Evaporador 2 Alcool</t>
  </si>
  <si>
    <t>PIT30043</t>
  </si>
  <si>
    <t>Pressão Corpo Pré-Evap. 2 Álcool</t>
  </si>
  <si>
    <t>Adriel da Silva Queiroz - 06/02/2025 11:34:33</t>
  </si>
  <si>
    <t>Adriel da Silva Queiroz - 06/02/2025 11:34:34</t>
  </si>
  <si>
    <t>Adriel da Silva Queiroz - 06/02/2025 11:34:36</t>
  </si>
  <si>
    <t>Adriel da Silva Queiroz - 06/02/2025 11:35:29</t>
  </si>
  <si>
    <t>Adriel da Silva Queiroz - 03/03/2025 11:21:34</t>
  </si>
  <si>
    <t>Adriel da Silva Queiroz - 03/03/2025 11:21:36</t>
  </si>
  <si>
    <t>Adriel da Silva Queiroz - 03/03/2025 11:21:40</t>
  </si>
  <si>
    <t>Alisson Airton Sobrinho - 04/03/2025 12:36:23</t>
  </si>
  <si>
    <t>Base de Dados_Images/PIT30043.Imagem do Equipamento-.174922.jpg</t>
  </si>
  <si>
    <t>Erico Borges De Freitas - 29/01/2025 14:49:14</t>
  </si>
  <si>
    <t>PIT30043A</t>
  </si>
  <si>
    <t>Pressão Vap. Corpo pré- Evap.2 Álcool</t>
  </si>
  <si>
    <t>Erico Borges De Freitas - 30/01/2025 11:35:06</t>
  </si>
  <si>
    <t>Erico Borges De Freitas - 30/01/2025 11:35:04</t>
  </si>
  <si>
    <t>Erico Borges De Freitas - 30/01/2025 11:35:02</t>
  </si>
  <si>
    <t>Erico Borges De Freitas - 30/01/2025 11:34:59</t>
  </si>
  <si>
    <t>Adriel da Silva Queiroz - 03/03/2025 11:21:47</t>
  </si>
  <si>
    <t>Adriel da Silva Queiroz - 03/03/2025 11:21:50</t>
  </si>
  <si>
    <t>Adriel da Silva Queiroz - 03/03/2025 11:21:49</t>
  </si>
  <si>
    <t>Adriel da Silva Queiroz - 03/03/2025 11:21:54</t>
  </si>
  <si>
    <t>Adriel da Silva Queiroz - 03/03/2025 11:21:55</t>
  </si>
  <si>
    <t>Alisson Airton Sobrinho - 04/03/2025 12:36:31</t>
  </si>
  <si>
    <t>Alisson Airton Sobrinho - 04/03/2025 12:36:32</t>
  </si>
  <si>
    <t>Base de Dados_Images/PIT30043A.Imagem do Equipamento-.174857.jpg</t>
  </si>
  <si>
    <t>Erico Borges De Freitas - 29/01/2025 14:48:42</t>
  </si>
  <si>
    <t>PIT30044</t>
  </si>
  <si>
    <t>Pressão Calandra Pré-Evap. 2 Álcool</t>
  </si>
  <si>
    <t>Erico Borges De Freitas - 30/01/2025 11:37:27</t>
  </si>
  <si>
    <t>Erico Borges De Freitas - 30/01/2025 11:37:25</t>
  </si>
  <si>
    <t>Erico Borges De Freitas - 30/01/2025 11:37:24</t>
  </si>
  <si>
    <t>Erico Borges De Freitas - 30/01/2025 11:37:23</t>
  </si>
  <si>
    <t>Adriel da Silva Queiroz - 03/03/2025 11:22:05</t>
  </si>
  <si>
    <t>Adriel da Silva Queiroz - 03/03/2025 11:22:07</t>
  </si>
  <si>
    <t>Adriel da Silva Queiroz - 03/03/2025 11:22:12</t>
  </si>
  <si>
    <t>Adriel da Silva Queiroz - 03/03/2025 11:22:16</t>
  </si>
  <si>
    <t>Alisson Airton Sobrinho - 04/03/2025 12:36:40</t>
  </si>
  <si>
    <t>Alisson Airton Sobrinho - 04/03/2025 12:36:41</t>
  </si>
  <si>
    <t>Base de Dados_Images/PIT30044.Imagem do Equipamento-.143908.jpg</t>
  </si>
  <si>
    <t>Erico Borges De Freitas - 30/01/2025 11:37:12</t>
  </si>
  <si>
    <t>PIT30045</t>
  </si>
  <si>
    <t>Pressão Corpo Caixa 2 - 3/4º Ef. Açúcar</t>
  </si>
  <si>
    <t>Weslley Ferreira Cooper - 29/01/2025 13:14:57</t>
  </si>
  <si>
    <t>Weslley Ferreira Cooper - 29/01/2025 13:14:56</t>
  </si>
  <si>
    <t>Weslley Ferreira Cooper - 29/01/2025 13:14:55</t>
  </si>
  <si>
    <t>Weslley Ferreira Cooper - 29/01/2025 13:14:54</t>
  </si>
  <si>
    <t>Adriel da Silva Queiroz - 11/02/2025 13:58:15</t>
  </si>
  <si>
    <t>Adriel da Silva Queiroz - 11/02/2025 13:58:16</t>
  </si>
  <si>
    <t>Adriel da Silva Queiroz - 11/02/2025 13:58:21</t>
  </si>
  <si>
    <t>Adriel da Silva Queiroz - 11/02/2025 13:58:22</t>
  </si>
  <si>
    <t>Alisson Airton Sobrinho - 06/03/2025 12:14:00</t>
  </si>
  <si>
    <t>Alisson Airton Sobrinho - 06/03/2025 12:14:01</t>
  </si>
  <si>
    <t>Base de Dados_Images/PIT30045.Imagem do Equipamento-.172832.jpg</t>
  </si>
  <si>
    <t>Weslley Ferreira Cooper - 29/01/2025 13:14:49</t>
  </si>
  <si>
    <t>PIT30046</t>
  </si>
  <si>
    <t>Depressão/Pressão Corpo Caixa 3 - 4/5º Ef. Açúcar</t>
  </si>
  <si>
    <t>Weslley Ferreira Cooper - 29/01/2025 13:16:20</t>
  </si>
  <si>
    <t>Weslley Ferreira Cooper - 29/01/2025 13:16:19</t>
  </si>
  <si>
    <t>Weslley Ferreira Cooper - 29/01/2025 13:16:18</t>
  </si>
  <si>
    <t>Weslley Ferreira Cooper - 29/01/2025 13:16:17</t>
  </si>
  <si>
    <t>Adriel da Silva Queiroz - 03/03/2025 11:15:17</t>
  </si>
  <si>
    <t>Adriel da Silva Queiroz - 03/03/2025 11:15:21</t>
  </si>
  <si>
    <t>Adriel da Silva Queiroz - 03/03/2025 11:15:22</t>
  </si>
  <si>
    <t>Adriel da Silva Queiroz - 03/03/2025 11:17:09</t>
  </si>
  <si>
    <t>Adriel da Silva Queiroz - 03/03/2025 11:17:11</t>
  </si>
  <si>
    <t>Alisson Airton Sobrinho - 06/03/2025 12:11:45</t>
  </si>
  <si>
    <t>Base de Dados_Images/PIT30046.Imagem do Equipamento-.172914.jpg</t>
  </si>
  <si>
    <t>Weslley Ferreira Cooper - 29/01/2025 13:16:03</t>
  </si>
  <si>
    <t>PIT30047</t>
  </si>
  <si>
    <t>Depressão/Pressão Corpo Caixa 4 - 5º Efeito Açúcar</t>
  </si>
  <si>
    <t>Weslley Ferreira Cooper - 29/01/2025 13:17:54</t>
  </si>
  <si>
    <t>Weslley Ferreira Cooper - 29/01/2025 13:17:53</t>
  </si>
  <si>
    <t>Weslley Ferreira Cooper - 29/01/2025 13:17:52</t>
  </si>
  <si>
    <t>Weslley Ferreira Cooper - 29/01/2025 13:17:51</t>
  </si>
  <si>
    <t>Rafael Roldão Rodrigues - 03/03/2025 12:05:22</t>
  </si>
  <si>
    <t>Rafael Roldão Rodrigues - 03/03/2025 12:05:23</t>
  </si>
  <si>
    <t>Rafael Roldão Rodrigues - 03/03/2025 12:05:24</t>
  </si>
  <si>
    <t>Rafael Roldão Rodrigues - 03/03/2025 12:05:29</t>
  </si>
  <si>
    <t>Rafael Roldão Rodrigues - 03/03/2025 12:05:30</t>
  </si>
  <si>
    <t>Alisson Airton Sobrinho - 06/03/2025 12:13:00</t>
  </si>
  <si>
    <t>Alisson Airton Sobrinho - 06/03/2025 12:13:01</t>
  </si>
  <si>
    <t>Base de Dados_Images/PIT30047.Imagem do Equipamento-.173005.jpg</t>
  </si>
  <si>
    <t>Weslley Ferreira Cooper - 29/01/2025 13:17:45</t>
  </si>
  <si>
    <t>PIT65024</t>
  </si>
  <si>
    <t>Pressão Da Linha De Co2</t>
  </si>
  <si>
    <t>Weslley Ferreira Cooper - 30/01/2025 09:24:31</t>
  </si>
  <si>
    <t>Weslley Ferreira Cooper - 30/01/2025 09:24:30</t>
  </si>
  <si>
    <t>Weslley Ferreira Cooper - 30/01/2025 09:24:29</t>
  </si>
  <si>
    <t>Weslley Ferreira Cooper - 30/01/2025 09:24:28</t>
  </si>
  <si>
    <t>Alisson Airton Sobrinho - 14/02/2025 11:05:58</t>
  </si>
  <si>
    <t>Alisson Airton Sobrinho - 14/02/2025 11:05:59</t>
  </si>
  <si>
    <t>Alisson Airton Sobrinho - 14/02/2025 11:06:00</t>
  </si>
  <si>
    <t>Alisson Airton Sobrinho - 25/02/2025 10:14:56</t>
  </si>
  <si>
    <t>Alisson Airton Sobrinho - 04/03/2025 08:32:31</t>
  </si>
  <si>
    <t>Alisson Airton Sobrinho - 04/03/2025 08:32:32</t>
  </si>
  <si>
    <t>Base de Dados_Images/PIT65024.Imagem do Equipamento-.131607.jpg</t>
  </si>
  <si>
    <t>Weslley Ferreira Cooper - 30/01/2025 09:24:22</t>
  </si>
  <si>
    <t>PIT65026</t>
  </si>
  <si>
    <t>Pressão Vinho A Centrifugar</t>
  </si>
  <si>
    <t>Libner Ferreira De Morais - 06/02/2025 14:56:00</t>
  </si>
  <si>
    <t>Libner Ferreira De Morais - 06/02/2025 14:56:02</t>
  </si>
  <si>
    <t>Libner Ferreira De Morais - 06/02/2025 14:56:05</t>
  </si>
  <si>
    <t>Alisson Airton Sobrinho - 25/02/2025 09:47:48</t>
  </si>
  <si>
    <t>Alisson Airton Sobrinho - 25/02/2025 09:47:49</t>
  </si>
  <si>
    <t>Alisson Airton Sobrinho - 25/02/2025 09:47:53</t>
  </si>
  <si>
    <t>Alisson Airton Sobrinho - 25/02/2025 09:47:54</t>
  </si>
  <si>
    <t>Beatriz Alves Nunes de Paulo - 06/03/2025 09:20:59</t>
  </si>
  <si>
    <t>Beatriz Alves Nunes de Paulo - 06/03/2025 09:21:00</t>
  </si>
  <si>
    <t>Base de Dados_Images/PIT65026.Imagem do Equipamento-.172313.jpg</t>
  </si>
  <si>
    <t>Libner Ferreira De Morais - 05/02/2025 14:21:53</t>
  </si>
  <si>
    <t>PIT70003</t>
  </si>
  <si>
    <t>Pressão Vapor Coluna A</t>
  </si>
  <si>
    <t>Alisson Airton Sobrinho - 21/01/2025 14:27:15</t>
  </si>
  <si>
    <t>Alisson Airton Sobrinho - 21/01/2025 14:27:17</t>
  </si>
  <si>
    <t>Alisson Airton Sobrinho - 21/01/2025 14:27:20</t>
  </si>
  <si>
    <t>Alisson Airton Sobrinho - 21/01/2025 14:27:22</t>
  </si>
  <si>
    <t>Paula Caroline Morais Duarte - 08/02/2025 13:44:13</t>
  </si>
  <si>
    <t>Paula Caroline Morais Duarte - 08/02/2025 13:44:14</t>
  </si>
  <si>
    <t>Paula Caroline Morais Duarte - 08/02/2025 13:44:17</t>
  </si>
  <si>
    <t>Rafael Roldão Rodrigues - 04/03/2025 14:35:22</t>
  </si>
  <si>
    <t>Rafael Roldão Rodrigues - 04/03/2025 14:35:23</t>
  </si>
  <si>
    <t>Alisson Airton Sobrinho - 06/03/2025 14:40:16</t>
  </si>
  <si>
    <t>Alisson Airton Sobrinho - 06/03/2025 14:40:17</t>
  </si>
  <si>
    <t>Base de Dados_Images/PIT70003.Imagem do Equipamento-.184519.jpg</t>
  </si>
  <si>
    <t>Alisson Airton Sobrinho - 21/01/2025 14:27:05</t>
  </si>
  <si>
    <t>PIT70008</t>
  </si>
  <si>
    <t>Pressão Vapor Coluna B1</t>
  </si>
  <si>
    <t>Alisson Airton Sobrinho - 21/01/2025 11:37:10</t>
  </si>
  <si>
    <t>Alisson Airton Sobrinho - 21/01/2025 11:37:21</t>
  </si>
  <si>
    <t>Alisson Airton Sobrinho - 21/01/2025 11:37:27</t>
  </si>
  <si>
    <t>Alisson Airton Sobrinho - 21/01/2025 11:37:29</t>
  </si>
  <si>
    <t>Alisson Airton Sobrinho - 08/02/2025 14:39:27</t>
  </si>
  <si>
    <t>Alisson Airton Sobrinho - 08/02/2025 14:39:28</t>
  </si>
  <si>
    <t>Alisson Airton Sobrinho - 08/02/2025 14:39:29</t>
  </si>
  <si>
    <t>Rafael Roldão Rodrigues - 04/03/2025 14:39:35</t>
  </si>
  <si>
    <t>Rafael Roldão Rodrigues - 04/03/2025 14:39:36</t>
  </si>
  <si>
    <t>Rafael Roldão Rodrigues - 04/03/2025 14:39:40</t>
  </si>
  <si>
    <t>Rafael Roldão Rodrigues - 04/03/2025 14:39:41</t>
  </si>
  <si>
    <t>Base de Dados_Images/PIT70008.Imagem do Equipamento-.150455.jpg</t>
  </si>
  <si>
    <t>Alisson Airton Sobrinho - 21/01/2025 11:36:57</t>
  </si>
  <si>
    <t>PIT81001</t>
  </si>
  <si>
    <t>Pressão Água Alimentação Caldeira</t>
  </si>
  <si>
    <t>Paula Caroline Morais Duarte - 22/01/2025 11:06:11</t>
  </si>
  <si>
    <t>Paula Caroline Morais Duarte - 22/01/2025 11:06:12</t>
  </si>
  <si>
    <t>Paula Caroline Morais Duarte - 22/01/2025 11:06:13</t>
  </si>
  <si>
    <t>Paula Caroline Morais Duarte - 22/01/2025 11:06:15</t>
  </si>
  <si>
    <t>Weslley Ferreira Cooper - 05/02/2025 15:55:59</t>
  </si>
  <si>
    <t>Weslley Ferreira Cooper - 05/02/2025 15:55:58</t>
  </si>
  <si>
    <t>Weslley Ferreira Cooper - 05/02/2025 15:56:02</t>
  </si>
  <si>
    <t>Paula Caroline Morais Duarte - 17/02/2025 09:41:29</t>
  </si>
  <si>
    <t>Base de Dados_Images/PIT81001.Imagem do Equipamento-.190136.jpg</t>
  </si>
  <si>
    <t>Paula Caroline Morais Duarte - 22/01/2025 11:05:41</t>
  </si>
  <si>
    <t>PIT81003</t>
  </si>
  <si>
    <t>Depressão / Pressão Fornalha</t>
  </si>
  <si>
    <t>Paula Caroline Morais Duarte - 22/01/2025 11:37:01</t>
  </si>
  <si>
    <t>Paula Caroline Morais Duarte - 22/01/2025 11:37:21</t>
  </si>
  <si>
    <t>Paula Caroline Morais Duarte - 22/01/2025 11:37:23</t>
  </si>
  <si>
    <t>Paula Caroline Morais Duarte - 22/01/2025 11:37:24</t>
  </si>
  <si>
    <t>Paula Caroline Morais Duarte - 20/02/2025 11:23:44</t>
  </si>
  <si>
    <t>Paula Caroline Morais Duarte - 20/02/2025 11:23:45</t>
  </si>
  <si>
    <t>Paula Caroline Morais Duarte - 20/02/2025 11:23:46</t>
  </si>
  <si>
    <t>Paula Caroline Morais Duarte - 20/02/2025 11:23:50</t>
  </si>
  <si>
    <t>Paula Caroline Morais Duarte - 25/02/2025 09:10:36</t>
  </si>
  <si>
    <t>Base de Dados_Images/PIT81003.Imagem do Equipamento-.190620.jpg</t>
  </si>
  <si>
    <t>Paula Caroline Morais Duarte - 22/01/2025 11:36:40</t>
  </si>
  <si>
    <t>PIT81005</t>
  </si>
  <si>
    <t>Pressão Vapor Direto Tubulão</t>
  </si>
  <si>
    <t>Weslley Ferreira Cooper - 05/02/2025 16:28:20</t>
  </si>
  <si>
    <t>Weslley Ferreira Cooper - 05/02/2025 16:28:19</t>
  </si>
  <si>
    <t>Paula Caroline Morais Duarte - 17/02/2025 12:36:13</t>
  </si>
  <si>
    <t>Paula Caroline Morais Duarte - 17/02/2025 12:36:14</t>
  </si>
  <si>
    <t>Paula Caroline Morais Duarte - 17/02/2025 12:36:15</t>
  </si>
  <si>
    <t>Paula Caroline Morais Duarte - 17/02/2025 12:36:20</t>
  </si>
  <si>
    <t>Paula Caroline Morais Duarte - 17/02/2025 12:36:21</t>
  </si>
  <si>
    <t>Paula Caroline Morais Duarte - 17/02/2025 12:36:25</t>
  </si>
  <si>
    <t>Paula Caroline Morais Duarte - 17/02/2025 12:36:26</t>
  </si>
  <si>
    <t>Paula Caroline Morais Duarte - 01/31/2025 09:54:24</t>
  </si>
  <si>
    <t>PIT81006A</t>
  </si>
  <si>
    <t>Pressão 01 Vapor Direto Coletor</t>
  </si>
  <si>
    <t>Paula Caroline Morais Duarte - 28/01/2025 14:01:45</t>
  </si>
  <si>
    <t>Paula Caroline Morais Duarte - 28/01/2025 14:01:47</t>
  </si>
  <si>
    <t>Paula Caroline Morais Duarte - 28/01/2025 14:01:49</t>
  </si>
  <si>
    <t>Paula Caroline Morais Duarte - 28/01/2025 14:01:53</t>
  </si>
  <si>
    <t>Paula Caroline Morais Duarte - 21/02/2025 12:06:10</t>
  </si>
  <si>
    <t>Paula Caroline Morais Duarte - 21/02/2025 12:06:11</t>
  </si>
  <si>
    <t>Paula Caroline Morais Duarte - 21/02/2025 12:06:17</t>
  </si>
  <si>
    <t>Paula Caroline Morais Duarte - 21/02/2025 12:06:18</t>
  </si>
  <si>
    <t>Paula Caroline Morais Duarte - 25/02/2025 09:11:28</t>
  </si>
  <si>
    <t>Paula Caroline Morais Duarte - 25/02/2025 09:11:27</t>
  </si>
  <si>
    <t>Base de Dados_Images/PIT81006A.Imagem do Equipamento-.174101.jpg</t>
  </si>
  <si>
    <t>Paula Caroline Morais Duarte - 28/01/2025 14:01:39</t>
  </si>
  <si>
    <t>PIT81006B</t>
  </si>
  <si>
    <t>Pressão 02 Vapor Direto Coletor</t>
  </si>
  <si>
    <t>Paula Caroline Morais Duarte - 29/01/2025 14:42:45</t>
  </si>
  <si>
    <t>Paula Caroline Morais Duarte - 29/01/2025 14:42:49</t>
  </si>
  <si>
    <t>Paula Caroline Morais Duarte - 29/01/2025 14:42:48</t>
  </si>
  <si>
    <t>Paula Caroline Morais Duarte - 29/01/2025 14:43:01</t>
  </si>
  <si>
    <t>Paula Caroline Morais Duarte - 17/02/2025 11:13:10</t>
  </si>
  <si>
    <t>Paula Caroline Morais Duarte - 17/02/2025 11:13:11</t>
  </si>
  <si>
    <t>Paula Caroline Morais Duarte - 17/02/2025 11:13:12</t>
  </si>
  <si>
    <t>Paula Caroline Morais Duarte - 17/02/2025 11:13:18</t>
  </si>
  <si>
    <t>Paula Caroline Morais Duarte - 17/02/2025 11:13:19</t>
  </si>
  <si>
    <t>Paula Caroline Morais Duarte - 17/02/2025 11:13:23</t>
  </si>
  <si>
    <t>Paula Caroline Morais Duarte - 17/02/2025 11:13:25</t>
  </si>
  <si>
    <t>Base de Dados_Images/PIT81006B.Imagem do Equipamento-.182531.jpg</t>
  </si>
  <si>
    <t>Paula Caroline Morais Duarte - 29/01/2025 14:42:39</t>
  </si>
  <si>
    <t>PIT81012</t>
  </si>
  <si>
    <t>Pressão Do Ar Apos O Ventilador Primario</t>
  </si>
  <si>
    <t>Weslley Ferreira Cooper - 05/02/2025 15:49:01</t>
  </si>
  <si>
    <t>Weslley Ferreira Cooper - 05/02/2025 15:49:00</t>
  </si>
  <si>
    <t>Weslley Ferreira Cooper - 05/02/2025 15:48:59</t>
  </si>
  <si>
    <t>Weslley Ferreira Cooper - 05/02/2025 15:49:05</t>
  </si>
  <si>
    <t>Weslley Ferreira Cooper - 05/02/2025 15:49:04</t>
  </si>
  <si>
    <t>Weslley Ferreira Cooper - 05/02/2025 15:49:08</t>
  </si>
  <si>
    <t>Weslley Ferreira Cooper - 05/02/2025 15:49:07</t>
  </si>
  <si>
    <t>Alisson Airton Sobrinho - 07/03/2025 09:31:53</t>
  </si>
  <si>
    <t>Base de Dados_Images/PIT81012.Imagem do Equipamento-.191314.jpg</t>
  </si>
  <si>
    <t>Weslley Ferreira Cooper - 05/02/2025 15:48:54</t>
  </si>
  <si>
    <t>PIT81013</t>
  </si>
  <si>
    <t>Pressão Do Ar Espargedores</t>
  </si>
  <si>
    <t>Paula Caroline Morais Duarte - 28/01/2025 14:17:39</t>
  </si>
  <si>
    <t>Paula Caroline Morais Duarte - 28/01/2025 14:17:42</t>
  </si>
  <si>
    <t>Paula Caroline Morais Duarte - 28/01/2025 14:17:46</t>
  </si>
  <si>
    <t>Paula Caroline Morais Duarte - 28/01/2025 14:17:45</t>
  </si>
  <si>
    <t>Weslley Ferreira Cooper - 05/02/2025 15:45:55</t>
  </si>
  <si>
    <t>Weslley Ferreira Cooper - 05/02/2025 15:45:54</t>
  </si>
  <si>
    <t>Weslley Ferreira Cooper - 05/02/2025 15:45:59</t>
  </si>
  <si>
    <t>Weslley Ferreira Cooper - 05/02/2025 15:45:58</t>
  </si>
  <si>
    <t>Alisson Airton Sobrinho - 07/03/2025 09:32:05</t>
  </si>
  <si>
    <t>Alisson Airton Sobrinho - 07/03/2025 09:32:06</t>
  </si>
  <si>
    <t>Base de Dados_Images/PIT81013.Imagem do Equipamento-.174412.jpg</t>
  </si>
  <si>
    <t>Paula Caroline Morais Duarte - 28/01/2025 14:17:16</t>
  </si>
  <si>
    <t>PIT81014</t>
  </si>
  <si>
    <t>Pressão Desaerador</t>
  </si>
  <si>
    <t>Paula Caroline Morais Duarte - 22/01/2025 11:10:06</t>
  </si>
  <si>
    <t>Paula Caroline Morais Duarte - 22/01/2025 11:10:07</t>
  </si>
  <si>
    <t>Paula Caroline Morais Duarte - 22/01/2025 11:10:08</t>
  </si>
  <si>
    <t>Paula Caroline Morais Duarte - 22/01/2025 11:10:09</t>
  </si>
  <si>
    <t>Weslley Ferreira Cooper - 05/02/2025 15:57:38</t>
  </si>
  <si>
    <t>Weslley Ferreira Cooper - 05/02/2025 15:57:37</t>
  </si>
  <si>
    <t>Paula Caroline Morais Duarte - 17/02/2025 11:16:33</t>
  </si>
  <si>
    <t>Paula Caroline Morais Duarte - 17/02/2025 11:16:35</t>
  </si>
  <si>
    <t>Paula Caroline Morais Duarte - 17/02/2025 11:16:43</t>
  </si>
  <si>
    <t>Paula Caroline Morais Duarte - 17/02/2025 11:16:44</t>
  </si>
  <si>
    <t>Base de Dados_Images/PIT81014.Imagem do Equipamento-.190201.jpg</t>
  </si>
  <si>
    <t>Paula Caroline Morais Duarte - 22/01/2025 11:10:01</t>
  </si>
  <si>
    <t>PIT81021</t>
  </si>
  <si>
    <t>Pressão Da Agua Apos O Filtro</t>
  </si>
  <si>
    <t>Paula Caroline Morais Duarte - 22/01/2025 11:25:39</t>
  </si>
  <si>
    <t>Paula Caroline Morais Duarte - 22/01/2025 11:25:41</t>
  </si>
  <si>
    <t>Paula Caroline Morais Duarte - 22/01/2025 11:25:43</t>
  </si>
  <si>
    <t>Paula Caroline Morais Duarte - 22/01/2025 11:25:45</t>
  </si>
  <si>
    <t>Weslley Ferreira Cooper - 05/02/2025 15:52:20</t>
  </si>
  <si>
    <t>Weslley Ferreira Cooper - 05/02/2025 15:52:19</t>
  </si>
  <si>
    <t>Weslley Ferreira Cooper - 05/02/2025 15:52:51</t>
  </si>
  <si>
    <t>Paula Caroline Morais Duarte - 17/02/2025 09:39:45</t>
  </si>
  <si>
    <t>Paula Caroline Morais Duarte - 17/02/2025 09:39:46</t>
  </si>
  <si>
    <t>Base de Dados_Images/PIT81021.Imagem do Equipamento-.190546.jpg</t>
  </si>
  <si>
    <t>Paula Caroline Morais Duarte - 22/01/2025 11:25:13</t>
  </si>
  <si>
    <t>PIT81022</t>
  </si>
  <si>
    <t>Pressão Vapor Escape</t>
  </si>
  <si>
    <t>Paula Caroline Morais Duarte - 22/01/2025 11:01:45</t>
  </si>
  <si>
    <t>Paula Caroline Morais Duarte - 22/01/2025 11:01:46</t>
  </si>
  <si>
    <t>Paula Caroline Morais Duarte - 22/01/2025 11:01:48</t>
  </si>
  <si>
    <t>Paula Caroline Morais Duarte - 22/01/2025 11:01:49</t>
  </si>
  <si>
    <t>Weslley Ferreira Cooper - 05/02/2025 16:07:58</t>
  </si>
  <si>
    <t>Weslley Ferreira Cooper - 05/02/2025 16:07:57</t>
  </si>
  <si>
    <t>Weslley Ferreira Cooper - 05/02/2025 16:07:56</t>
  </si>
  <si>
    <t>Weslley Ferreira Cooper - 05/02/2025 16:08:04</t>
  </si>
  <si>
    <t>Weslley Ferreira Cooper - 05/02/2025 16:08:03</t>
  </si>
  <si>
    <t>Paula Caroline Morais Duarte - 17/02/2025 11:12:47</t>
  </si>
  <si>
    <t>Paula Caroline Morais Duarte - 17/02/2025 11:12:48</t>
  </si>
  <si>
    <t>Base de Dados_Images/PIT81022.Imagem do Equipamento-.190042.jpg</t>
  </si>
  <si>
    <t>Paula Caroline Morais Duarte - 22/01/2025 11:01:25</t>
  </si>
  <si>
    <t>PIT81023</t>
  </si>
  <si>
    <t>Pressão Vapor Escape Apos O Alivio</t>
  </si>
  <si>
    <t>Alisson Airton Sobrinho - 05/03/2025 07:37:11</t>
  </si>
  <si>
    <t>Alisson Airton Sobrinho - 05/03/2025 07:37:15</t>
  </si>
  <si>
    <t>Alisson Airton Sobrinho - 05/03/2025 07:37:17</t>
  </si>
  <si>
    <t>Alisson Airton Sobrinho - 05/03/2025 07:37:21</t>
  </si>
  <si>
    <t>Alisson Airton Sobrinho - 05/03/2025 07:37:22</t>
  </si>
  <si>
    <t>Alisson Airton Sobrinho - 05/03/2025 07:37:26</t>
  </si>
  <si>
    <t>Alisson Airton Sobrinho - 05/03/2025 07:37:30</t>
  </si>
  <si>
    <t>Alisson Airton Sobrinho - 05/03/2025 07:37:35</t>
  </si>
  <si>
    <t>Paula Caroline Morais Duarte - 02/05/2025 15:35:34</t>
  </si>
  <si>
    <t>PIT81025</t>
  </si>
  <si>
    <t>Pressão Vapor Vegetal V2</t>
  </si>
  <si>
    <t>Erico Borges De Freitas - 30/01/2025 12:05:29</t>
  </si>
  <si>
    <t>Erico Borges De Freitas - 30/01/2025 12:05:27</t>
  </si>
  <si>
    <t>Erico Borges De Freitas - 30/01/2025 12:05:25</t>
  </si>
  <si>
    <t>Erico Borges De Freitas - 30/01/2025 12:05:22</t>
  </si>
  <si>
    <t>Alisson Airton Sobrinho - 05/03/2025 07:37:43</t>
  </si>
  <si>
    <t>Alisson Airton Sobrinho - 05/03/2025 07:37:44</t>
  </si>
  <si>
    <t>Alisson Airton Sobrinho - 05/03/2025 07:37:46</t>
  </si>
  <si>
    <t>Alisson Airton Sobrinho - 05/03/2025 07:37:49</t>
  </si>
  <si>
    <t>Alisson Airton Sobrinho - 05/03/2025 07:37:50</t>
  </si>
  <si>
    <t>Alisson Airton Sobrinho - 05/03/2025 07:37:55</t>
  </si>
  <si>
    <t>Base de Dados_Images/PIT81025.Imagem do Equipamento-.135011.jpg</t>
  </si>
  <si>
    <t>Adriel da Silva Queiroz - 17/02/2025 10:42:02</t>
  </si>
  <si>
    <t>PIT81026</t>
  </si>
  <si>
    <t>Pressão Vapor 7 Kgf/Cm² P/ Secador Açúcar</t>
  </si>
  <si>
    <t>Paula Caroline Morais Duarte - 31/01/2025 10:29:44</t>
  </si>
  <si>
    <t>Paula Caroline Morais Duarte - 31/01/2025 10:29:45</t>
  </si>
  <si>
    <t>Paula Caroline Morais Duarte - 31/01/2025 10:29:47</t>
  </si>
  <si>
    <t>Paula Caroline Morais Duarte - 31/01/2025 10:29:48</t>
  </si>
  <si>
    <t>Paula Caroline Morais Duarte - 31/01/2025 10:29:53</t>
  </si>
  <si>
    <t>Paula Caroline Morais Duarte - 31/01/2025 10:29:58</t>
  </si>
  <si>
    <t>Paula Caroline Morais Duarte - 31/01/2025 10:29:57</t>
  </si>
  <si>
    <t>Weslley Ferreira Cooper - 05/02/2025 16:08:24</t>
  </si>
  <si>
    <t>Weslley Ferreira Cooper - 05/02/2025 16:08:22</t>
  </si>
  <si>
    <t>Paula Caroline Morais Duarte - 17/02/2025 09:20:56</t>
  </si>
  <si>
    <t>Paula Caroline Morais Duarte - 01/31/2025 09:54:36</t>
  </si>
  <si>
    <t>Turbina</t>
  </si>
  <si>
    <t>PIT88001</t>
  </si>
  <si>
    <t>Pressão Vapor Admissão Turbina Gerador</t>
  </si>
  <si>
    <t>Weslley Ferreira Cooper - 29/01/2025 15:14:38</t>
  </si>
  <si>
    <t>Weslley Ferreira Cooper - 29/01/2025 15:14:36</t>
  </si>
  <si>
    <t>Weslley Ferreira Cooper - 29/01/2025 15:14:35</t>
  </si>
  <si>
    <t>Weslley Ferreira Cooper - 29/01/2025 15:14:34</t>
  </si>
  <si>
    <t>Hugo Luis Leonel - 26/02/2025 12:13:31</t>
  </si>
  <si>
    <t>Hugo Luis Leonel - 26/02/2025 12:13:32</t>
  </si>
  <si>
    <t>Hugo Luis Leonel - 26/02/2025 12:13:33</t>
  </si>
  <si>
    <t>Rafael Roldão Rodrigues - 03/03/2025 11:04:12</t>
  </si>
  <si>
    <t>Rafael Roldão Rodrigues - 03/03/2025 11:04:13</t>
  </si>
  <si>
    <t>Paula Caroline Morais Duarte - 03/03/2025 16:10:38</t>
  </si>
  <si>
    <t>Paula Caroline Morais Duarte - 03/03/2025 16:10:39</t>
  </si>
  <si>
    <t>Base de Dados_Images/PIT88001.Imagem do Equipamento-.182457.jpg</t>
  </si>
  <si>
    <t>Weslley Ferreira Cooper - 29/01/2025 15:14:26</t>
  </si>
  <si>
    <t>PIT88002</t>
  </si>
  <si>
    <t>Pressão Vapor Câmara Turbina Gerador</t>
  </si>
  <si>
    <t>Weslley Ferreira Cooper - 29/01/2025 15:14:14</t>
  </si>
  <si>
    <t>Weslley Ferreira Cooper - 29/01/2025 15:14:12</t>
  </si>
  <si>
    <t>Weslley Ferreira Cooper - 29/01/2025 15:14:11</t>
  </si>
  <si>
    <t>Weslley Ferreira Cooper - 29/01/2025 15:14:10</t>
  </si>
  <si>
    <t>Hugo Luis Leonel - 26/02/2025 12:13:41</t>
  </si>
  <si>
    <t>Hugo Luis Leonel - 26/02/2025 12:13:46</t>
  </si>
  <si>
    <t>Hugo Luis Leonel - 26/02/2025 12:13:55</t>
  </si>
  <si>
    <t>Rafael Roldão Rodrigues - 03/03/2025 11:04:30</t>
  </si>
  <si>
    <t>Rafael Roldão Rodrigues - 03/03/2025 11:04:31</t>
  </si>
  <si>
    <t>Paula Caroline Morais Duarte - 03/03/2025 16:10:45</t>
  </si>
  <si>
    <t>Paula Caroline Morais Duarte - 03/03/2025 16:10:46</t>
  </si>
  <si>
    <t>Base de Dados_Images/PIT88002.Imagem do Equipamento-.182427.jpg</t>
  </si>
  <si>
    <t>Weslley Ferreira Cooper - 29/01/2025 15:14:04</t>
  </si>
  <si>
    <t>PIT88003</t>
  </si>
  <si>
    <t>Pressão Vapor Escape Turbina Gerador</t>
  </si>
  <si>
    <t>Weslley Ferreira Cooper - 29/01/2025 15:13:50</t>
  </si>
  <si>
    <t>Weslley Ferreira Cooper - 29/01/2025 15:13:48</t>
  </si>
  <si>
    <t>Weslley Ferreira Cooper - 29/01/2025 15:13:47</t>
  </si>
  <si>
    <t>Weslley Ferreira Cooper - 29/01/2025 15:13:46</t>
  </si>
  <si>
    <t>Hugo Luis Leonel - 26/02/2025 12:14:13</t>
  </si>
  <si>
    <t>Hugo Luis Leonel - 26/02/2025 12:14:15</t>
  </si>
  <si>
    <t>Rafael Roldão Rodrigues - 03/03/2025 11:04:20</t>
  </si>
  <si>
    <t>Rafael Roldão Rodrigues - 03/03/2025 11:04:21</t>
  </si>
  <si>
    <t>Paula Caroline Morais Duarte - 03/03/2025 16:10:52</t>
  </si>
  <si>
    <t>Paula Caroline Morais Duarte - 03/03/2025 16:10:53</t>
  </si>
  <si>
    <t>Base de Dados_Images/PIT88003.Imagem do Equipamento-.182400.jpg</t>
  </si>
  <si>
    <t>Weslley Ferreira Cooper - 29/01/2025 15:13:40</t>
  </si>
  <si>
    <t>PIT88004</t>
  </si>
  <si>
    <t>Pressão Óleo Impulso (P1) Turbina Gerador</t>
  </si>
  <si>
    <t>Weslley Ferreira Cooper - 29/01/2025 15:12:52</t>
  </si>
  <si>
    <t>Weslley Ferreira Cooper - 29/01/2025 15:12:51</t>
  </si>
  <si>
    <t>Weslley Ferreira Cooper - 29/01/2025 15:12:50</t>
  </si>
  <si>
    <t>Weslley Ferreira Cooper - 29/01/2025 15:12:48</t>
  </si>
  <si>
    <t>Hugo Luis Leonel - 26/02/2025 12:14:27</t>
  </si>
  <si>
    <t>Hugo Luis Leonel - 26/02/2025 12:14:30</t>
  </si>
  <si>
    <t>Hugo Luis Leonel - 26/02/2025 12:14:35</t>
  </si>
  <si>
    <t>Rafael Roldão Rodrigues - 03/03/2025 11:04:38</t>
  </si>
  <si>
    <t>Rafael Roldão Rodrigues - 03/03/2025 11:04:39</t>
  </si>
  <si>
    <t>Paula Caroline Morais Duarte - 03/03/2025 16:10:59</t>
  </si>
  <si>
    <t>Paula Caroline Morais Duarte - 03/03/2025 16:11:00</t>
  </si>
  <si>
    <t>Base de Dados_Images/PIT88004.Imagem do Equipamento-.182245.jpg</t>
  </si>
  <si>
    <t>Weslley Ferreira Cooper - 29/01/2025 15:12:38</t>
  </si>
  <si>
    <t>PIT88005</t>
  </si>
  <si>
    <t>Pressão Óleo Regulagem (P3) Turbina Gerador</t>
  </si>
  <si>
    <t>Weslley Ferreira Cooper - 29/01/2025 15:12:24</t>
  </si>
  <si>
    <t>Weslley Ferreira Cooper - 29/01/2025 15:12:22</t>
  </si>
  <si>
    <t>Weslley Ferreira Cooper - 29/01/2025 15:12:21</t>
  </si>
  <si>
    <t>Weslley Ferreira Cooper - 29/01/2025 15:12:19</t>
  </si>
  <si>
    <t>Hugo Luis Leonel - 26/02/2025 12:14:48</t>
  </si>
  <si>
    <t>Hugo Luis Leonel - 26/02/2025 12:14:49</t>
  </si>
  <si>
    <t>Hugo Luis Leonel - 26/02/2025 12:14:50</t>
  </si>
  <si>
    <t>Rafael Roldão Rodrigues - 03/03/2025 11:04:48</t>
  </si>
  <si>
    <t>Rafael Roldão Rodrigues - 03/03/2025 11:04:49</t>
  </si>
  <si>
    <t>Paula Caroline Morais Duarte - 03/03/2025 16:11:06</t>
  </si>
  <si>
    <t>Paula Caroline Morais Duarte - 03/03/2025 16:11:07</t>
  </si>
  <si>
    <t>Base de Dados_Images/PIT88005.Imagem do Equipamento-.182219.jpg</t>
  </si>
  <si>
    <t>Weslley Ferreira Cooper - 29/01/2025 15:12:13</t>
  </si>
  <si>
    <t>PIT88006</t>
  </si>
  <si>
    <t>Pressão Óleo Turbina Gerador</t>
  </si>
  <si>
    <t>Weslley Ferreira Cooper - 29/01/2025 15:13:21</t>
  </si>
  <si>
    <t>Weslley Ferreira Cooper - 29/01/2025 15:13:19</t>
  </si>
  <si>
    <t>Weslley Ferreira Cooper - 29/01/2025 15:13:18</t>
  </si>
  <si>
    <t>Weslley Ferreira Cooper - 29/01/2025 15:13:17</t>
  </si>
  <si>
    <t>Hugo Luis Leonel - 26/02/2025 12:14:59</t>
  </si>
  <si>
    <t>Hugo Luis Leonel - 26/02/2025 12:15:00</t>
  </si>
  <si>
    <t>Rafael Roldão Rodrigues - 03/03/2025 11:04:59</t>
  </si>
  <si>
    <t>Rafael Roldão Rodrigues - 03/03/2025 11:05:00</t>
  </si>
  <si>
    <t>Paula Caroline Morais Duarte - 03/03/2025 16:11:13</t>
  </si>
  <si>
    <t>Paula Caroline Morais Duarte - 03/03/2025 16:11:14</t>
  </si>
  <si>
    <t>Base de Dados_Images/PIT88006.Imagem do Equipamento-.182319.jpg</t>
  </si>
  <si>
    <t>Weslley Ferreira Cooper - 29/01/2025 15:13:07</t>
  </si>
  <si>
    <t>PIT92001</t>
  </si>
  <si>
    <t>Pressão Água Captação</t>
  </si>
  <si>
    <t>Paula Caroline Morais Duarte - 30/01/2025 14:10:05</t>
  </si>
  <si>
    <t>Paula Caroline Morais Duarte - 30/01/2025 14:10:07</t>
  </si>
  <si>
    <t>Paula Caroline Morais Duarte - 30/01/2025 14:10:13</t>
  </si>
  <si>
    <t>Paula Caroline Morais Duarte - 30/01/2025 14:10:11</t>
  </si>
  <si>
    <t>Paula Caroline Morais Duarte - 31/01/2025 08:35:54</t>
  </si>
  <si>
    <t>Paula Caroline Morais Duarte - 31/01/2025 08:35:55</t>
  </si>
  <si>
    <t>Paula Caroline Morais Duarte - 31/01/2025 08:35:56</t>
  </si>
  <si>
    <t>Paula Caroline Morais Duarte - 11/02/2025 12:01:05</t>
  </si>
  <si>
    <t>Paula Caroline Morais Duarte - 11/02/2025 12:01:07</t>
  </si>
  <si>
    <t>Paula Caroline Morais Duarte - 11/02/2025 12:01:10</t>
  </si>
  <si>
    <t>Paula Caroline Morais Duarte - 11/02/2025 12:01:11</t>
  </si>
  <si>
    <t>Base de Dados_Images/PIT92001.Imagem do Equipamento-.113550.jpg</t>
  </si>
  <si>
    <t>Paula Caroline Morais Duarte - 31/01/2025 08:35:45</t>
  </si>
  <si>
    <t>Peneira Rotativa/Difusor</t>
  </si>
  <si>
    <t>PR21001</t>
  </si>
  <si>
    <t>Alisson Airton Sobrinho - 06/03/2025 15:45:42</t>
  </si>
  <si>
    <t>Alisson Airton Sobrinho - 06/03/2025 15:45:43</t>
  </si>
  <si>
    <t>Alisson Airton Sobrinho - 06/03/2025 15:45:44</t>
  </si>
  <si>
    <t>Alisson Airton Sobrinho - 06/03/2025 15:45:45</t>
  </si>
  <si>
    <t>Alisson Airton Sobrinho - 06/03/2025 15:45:46</t>
  </si>
  <si>
    <t>Alisson Airton Sobrinho - 06/03/2025 15:45:47</t>
  </si>
  <si>
    <t>Alisson Airton Sobrinho - 06/03/2025 15:45:48</t>
  </si>
  <si>
    <t>Alisson Airton Sobrinho - 06/03/2025 15:45:49</t>
  </si>
  <si>
    <t>Alisson Airton Sobrinho - 06/03/2025 15:45:50</t>
  </si>
  <si>
    <t>Alisson Airton Sobrinho - 06/03/2025 15:45:51</t>
  </si>
  <si>
    <t>Alisson Airton Sobrinho - 06/03/2025 15:45:53</t>
  </si>
  <si>
    <t>Alisson Airton Sobrinho - 06/03/2025 15:45:54</t>
  </si>
  <si>
    <t>Alisson Airton Sobrinho - 06/03/2025 15:45:55</t>
  </si>
  <si>
    <t>Alisson Airton Sobrinho - 06/03/2025 15:45:56</t>
  </si>
  <si>
    <t>Alisson Airton Sobrinho - 06/03/2025 15:45:57</t>
  </si>
  <si>
    <t>Alisson Airton Sobrinho - 06/03/2025 15:46:01</t>
  </si>
  <si>
    <t>Alisson Airton Sobrinho - 06/03/2025 15:46:02</t>
  </si>
  <si>
    <t>Alisson Airton Sobrinho - 06/03/2025 15:46:03</t>
  </si>
  <si>
    <t>Alisson Airton Sobrinho - 06/03/2025 15:46:04</t>
  </si>
  <si>
    <t>Alisson Airton Sobrinho - 06/03/2025 15:46:08</t>
  </si>
  <si>
    <t>Alisson Airton Sobrinho - 06/03/2025 15:46:09</t>
  </si>
  <si>
    <t>Alisson Airton Sobrinho - 06/03/2025 15:46:10</t>
  </si>
  <si>
    <t>Alisson Airton Sobrinho - 07/03/2025 06:26:01</t>
  </si>
  <si>
    <t>Alisson Airton Sobrinho - 03/06/2025 15:45:36</t>
  </si>
  <si>
    <t>PR21002</t>
  </si>
  <si>
    <t>Acionamento 02 Da Peneira Rotativa</t>
  </si>
  <si>
    <t>Alisson Airton Sobrinho - 04/03/2025 15:18:21</t>
  </si>
  <si>
    <t>Alisson Airton Sobrinho - 06/03/2025 15:44:56</t>
  </si>
  <si>
    <t>Alisson Airton Sobrinho - 06/03/2025 15:44:57</t>
  </si>
  <si>
    <t>Alisson Airton Sobrinho - 06/03/2025 15:44:58</t>
  </si>
  <si>
    <t>Alisson Airton Sobrinho - 06/03/2025 15:44:59</t>
  </si>
  <si>
    <t>Alisson Airton Sobrinho - 06/03/2025 15:45:00</t>
  </si>
  <si>
    <t>Alisson Airton Sobrinho - 06/03/2025 15:45:01</t>
  </si>
  <si>
    <t>Alisson Airton Sobrinho - 06/03/2025 15:45:03</t>
  </si>
  <si>
    <t>Alisson Airton Sobrinho - 06/03/2025 15:45:04</t>
  </si>
  <si>
    <t>Alisson Airton Sobrinho - 06/03/2025 15:45:05</t>
  </si>
  <si>
    <t>Alisson Airton Sobrinho - 06/03/2025 15:45:06</t>
  </si>
  <si>
    <t>Alisson Airton Sobrinho - 06/03/2025 15:45:11</t>
  </si>
  <si>
    <t>Alisson Airton Sobrinho - 06/03/2025 15:45:13</t>
  </si>
  <si>
    <t>Alisson Airton Sobrinho - 06/03/2025 15:45:14</t>
  </si>
  <si>
    <t>Alisson Airton Sobrinho - 06/03/2025 15:45:17</t>
  </si>
  <si>
    <t>Alisson Airton Sobrinho - 06/03/2025 15:45:18</t>
  </si>
  <si>
    <t>Alisson Airton Sobrinho - 06/03/2025 15:45:20</t>
  </si>
  <si>
    <t>Alisson Airton Sobrinho - 06/03/2025 15:45:21</t>
  </si>
  <si>
    <t>Alisson Airton Sobrinho - 06/03/2025 15:45:22</t>
  </si>
  <si>
    <t>Alisson Airton Sobrinho - 07/03/2025 06:25:52</t>
  </si>
  <si>
    <t>Alisson Airton Sobrinho - 07/03/2025 06:25:53</t>
  </si>
  <si>
    <t>Alisson Airton Sobrinho - 07/03/2025 06:25:54</t>
  </si>
  <si>
    <t>Alisson Airton Sobrinho - 07/03/2025 06:25:55</t>
  </si>
  <si>
    <t>Paula Caroline Morais Duarte - 02/06/2025 12:01:07</t>
  </si>
  <si>
    <t>PSHH20004</t>
  </si>
  <si>
    <t>Pressostato Vapor Escape Turbina Desfibrador</t>
  </si>
  <si>
    <t>Paula Caroline Morais Duarte - 04/02/2025 14:47:58</t>
  </si>
  <si>
    <t>Paula Caroline Morais Duarte - 04/02/2025 14:48:05</t>
  </si>
  <si>
    <t>Paula Caroline Morais Duarte - 04/02/2025 14:48:06</t>
  </si>
  <si>
    <t>Paula Caroline Morais Duarte - 04/02/2025 14:48:09</t>
  </si>
  <si>
    <t>Paula Caroline Morais Duarte - 06/02/2025 09:39:51</t>
  </si>
  <si>
    <t>Paula Caroline Morais Duarte - 06/02/2025 09:39:54</t>
  </si>
  <si>
    <t>Paula Caroline Morais Duarte - 06/02/2025 09:39:52</t>
  </si>
  <si>
    <t>Paula Caroline Morais Duarte - 20/02/2025 10:38:35</t>
  </si>
  <si>
    <t>Paula Caroline Morais Duarte - 20/02/2025 10:38:36</t>
  </si>
  <si>
    <t>Alisson Airton Sobrinho - 07/03/2025 06:20:07</t>
  </si>
  <si>
    <t>Base de Dados_Images/PSHH20004.Imagem do Equipamento-.180425.jpg</t>
  </si>
  <si>
    <t>Paula Caroline Morais Duarte - 04/02/2025 14:48:21</t>
  </si>
  <si>
    <t>PSHH88003</t>
  </si>
  <si>
    <t>Pressostato Vapor Escape Turbina Gerador</t>
  </si>
  <si>
    <t>Weslley Ferreira Cooper - 05/02/2025 16:40:17</t>
  </si>
  <si>
    <t>Weslley Ferreira Cooper - 05/02/2025 16:40:16</t>
  </si>
  <si>
    <t>Weslley Ferreira Cooper - 05/02/2025 16:40:15</t>
  </si>
  <si>
    <t>Weslley Ferreira Cooper - 05/02/2025 16:40:14</t>
  </si>
  <si>
    <t>Rafael Roldão Rodrigues - 03/03/2025 11:09:21</t>
  </si>
  <si>
    <t>Rafael Roldão Rodrigues - 03/03/2025 11:09:22</t>
  </si>
  <si>
    <t>Rafael Roldão Rodrigues - 03/03/2025 11:09:26</t>
  </si>
  <si>
    <t>Paula Caroline Morais Duarte - 03/03/2025 16:10:30</t>
  </si>
  <si>
    <t>Paula Caroline Morais Duarte - 03/03/2025 16:10:31</t>
  </si>
  <si>
    <t>Weslley Ferreira Cooper - 02/05/2025 16:40:08</t>
  </si>
  <si>
    <t>PSLL20005</t>
  </si>
  <si>
    <t>Pressostato Óleo P1 Da Turbina Desfibrador</t>
  </si>
  <si>
    <t>Paula Caroline Morais Duarte - 04/02/2025 14:48:39</t>
  </si>
  <si>
    <t>Paula Caroline Morais Duarte - 04/02/2025 14:48:41</t>
  </si>
  <si>
    <t>Paula Caroline Morais Duarte - 04/02/2025 14:48:43</t>
  </si>
  <si>
    <t>Paula Caroline Morais Duarte - 04/02/2025 14:48:45</t>
  </si>
  <si>
    <t>Paula Caroline Morais Duarte - 06/02/2025 09:40:26</t>
  </si>
  <si>
    <t>Paula Caroline Morais Duarte - 06/02/2025 09:40:27</t>
  </si>
  <si>
    <t>Paula Caroline Morais Duarte - 06/02/2025 09:40:28</t>
  </si>
  <si>
    <t>Paula Caroline Morais Duarte - 20/02/2025 10:38:41</t>
  </si>
  <si>
    <t>Paula Caroline Morais Duarte - 20/02/2025 10:38:42</t>
  </si>
  <si>
    <t>Alisson Airton Sobrinho - 07/03/2025 06:20:17</t>
  </si>
  <si>
    <t>Alisson Airton Sobrinho - 07/03/2025 06:20:19</t>
  </si>
  <si>
    <t>Base de Dados_Images/PSLL20005.Imagem do Equipamento-.180454.jpg</t>
  </si>
  <si>
    <t>Paula Caroline Morais Duarte - 04/02/2025 14:49:02</t>
  </si>
  <si>
    <t>PSV</t>
  </si>
  <si>
    <t>PSV 001-01</t>
  </si>
  <si>
    <t>Balão De Separação De Arraste 1º Terno</t>
  </si>
  <si>
    <t>Paula Caroline Morais Duarte - 10/02/2025 15:36:57</t>
  </si>
  <si>
    <t>Paula Caroline Morais Duarte - 10/02/2025 15:37:04</t>
  </si>
  <si>
    <t>Paula Caroline Morais Duarte - 10/02/2025 15:38:21</t>
  </si>
  <si>
    <t>Paula Caroline Morais Duarte - 20/02/2025 08:52:51</t>
  </si>
  <si>
    <t>Base de Dados_Images/PSV 001-01.Imagem do Equipamento-.121754.jpg</t>
  </si>
  <si>
    <t>Alisson Airton Sobrinho - 11/02/2025 09:10:56</t>
  </si>
  <si>
    <t>PSV 012-02 E 013-02</t>
  </si>
  <si>
    <t>Tanque De Condensado De V1 Aquecedores</t>
  </si>
  <si>
    <t>Alisson Airton Sobrinho - 07/02/2025 15:12:05</t>
  </si>
  <si>
    <t>Alisson Airton Sobrinho - 07/02/2025 15:12:06</t>
  </si>
  <si>
    <t>Alisson Airton Sobrinho - 07/02/2025 15:12:08</t>
  </si>
  <si>
    <t>Alisson Airton Sobrinho - 07/02/2025 15:12:09</t>
  </si>
  <si>
    <t>Alisson Airton Sobrinho - 07/02/2025 15:12:14</t>
  </si>
  <si>
    <t>Beatriz Alves Nunes de Paulo - 06/03/2025 08:32:22</t>
  </si>
  <si>
    <t>Beatriz Alves Nunes de Paulo - 06/03/2025 08:32:21</t>
  </si>
  <si>
    <t>Base de Dados_Images/PSV 012-02 E 013-02.Imagem do Equipamento-.143421.jpg</t>
  </si>
  <si>
    <t>Alisson Airton Sobrinho - 08/02/2025 11:34:12</t>
  </si>
  <si>
    <t>PSV 014-02, PSV 028-02 E A PSV 021-02</t>
  </si>
  <si>
    <t>Tanque De Condensado De Escape</t>
  </si>
  <si>
    <t>Alisson Airton Sobrinho - 07/02/2025 15:07:43</t>
  </si>
  <si>
    <t>Alisson Airton Sobrinho - 07/02/2025 15:07:41</t>
  </si>
  <si>
    <t>Alisson Airton Sobrinho - 07/02/2025 15:07:42</t>
  </si>
  <si>
    <t>Alisson Airton Sobrinho - 07/02/2025 15:07:45</t>
  </si>
  <si>
    <t>Alisson Airton Sobrinho - 07/02/2025 15:07:51</t>
  </si>
  <si>
    <t>Beatriz Alves Nunes de Paulo - 06/03/2025 08:32:30</t>
  </si>
  <si>
    <t>Base de Dados_Images/PSV 014-02, PSV 028-02 E A PSV 021-02.Imagem do Equipamento-.114634.jpg</t>
  </si>
  <si>
    <t>Alisson Airton Sobrinho - 08/02/2025 08:46:30</t>
  </si>
  <si>
    <t>PSV 018-02</t>
  </si>
  <si>
    <t>Aquecedor De Caldo Vertical Nº 3 Açúcar</t>
  </si>
  <si>
    <t>Weslley Ferreira Cooper - 31/01/2025 12:25:25</t>
  </si>
  <si>
    <t>Weslley Ferreira Cooper - 31/01/2025 12:25:24</t>
  </si>
  <si>
    <t>Weslley Ferreira Cooper - 31/01/2025 12:25:23</t>
  </si>
  <si>
    <t>Weslley Ferreira Cooper - 31/01/2025 12:25:22</t>
  </si>
  <si>
    <t>Weslley Ferreira Cooper - 31/01/2025 12:25:21</t>
  </si>
  <si>
    <t>Beatriz Alves Nunes de Paulo - 05/02/2025 10:30:44</t>
  </si>
  <si>
    <t>Beatriz Alves Nunes de Paulo - 06/03/2025 08:32:35</t>
  </si>
  <si>
    <t>Base de Dados_Images/PSV 018-02.Imagem do Equipamento-.155906.jpg</t>
  </si>
  <si>
    <t>Weslley Ferreira Cooper - 31/01/2025 12:25:07</t>
  </si>
  <si>
    <t>PSV 021-02</t>
  </si>
  <si>
    <t>Aquecedor De Caldo Vertical Nº 1 Açúcar</t>
  </si>
  <si>
    <t>Weslley Ferreira Cooper - 31/01/2025 12:22:13</t>
  </si>
  <si>
    <t>Weslley Ferreira Cooper - 31/01/2025 12:22:10</t>
  </si>
  <si>
    <t>Weslley Ferreira Cooper - 31/01/2025 12:22:09</t>
  </si>
  <si>
    <t>Weslley Ferreira Cooper - 31/01/2025 12:22:08</t>
  </si>
  <si>
    <t>Weslley Ferreira Cooper - 31/01/2025 12:22:07</t>
  </si>
  <si>
    <t>Beatriz Alves Nunes de Paulo - 05/02/2025 10:30:15</t>
  </si>
  <si>
    <t>Beatriz Alves Nunes de Paulo - 06/03/2025 08:32:41</t>
  </si>
  <si>
    <t>Base de Dados_Images/PSV 021-02.Imagem do Equipamento-.155724.jpg</t>
  </si>
  <si>
    <t>Weslley Ferreira Cooper - 31/01/2025 12:21:59</t>
  </si>
  <si>
    <t>PSV 022-02/ PSV 025-02 E PSV 023-02</t>
  </si>
  <si>
    <t>Tanque De Condensado De Escape Pré 3 Pré Caixa</t>
  </si>
  <si>
    <t>Adriel da Silva Queiroz - 04/02/2025 11:00:52</t>
  </si>
  <si>
    <t>Adriel da Silva Queiroz - 04/02/2025 11:00:53</t>
  </si>
  <si>
    <t>Adriel da Silva Queiroz - 04/02/2025 11:00:54</t>
  </si>
  <si>
    <t>Adriel da Silva Queiroz - 04/02/2025 11:00:56</t>
  </si>
  <si>
    <t>Beatriz Alves Nunes de Paulo - 05/02/2025 10:30:08</t>
  </si>
  <si>
    <t>Beatriz Alves Nunes de Paulo - 06/03/2025 08:32:46</t>
  </si>
  <si>
    <t>Base de Dados_Images/PSV 022-02- PSV 025-02 E PSV 023-02.Imagem do Equipamento-.193523.jpg</t>
  </si>
  <si>
    <t>Paula Caroline Morais Duarte - 10/02/2025 16:35:13</t>
  </si>
  <si>
    <t>PSV 02202</t>
  </si>
  <si>
    <t>Pré-Caixa 2500 M²</t>
  </si>
  <si>
    <t>Weslley Ferreira Cooper - 31/01/2025 12:35:12</t>
  </si>
  <si>
    <t>Weslley Ferreira Cooper - 31/01/2025 12:35:11</t>
  </si>
  <si>
    <t>Weslley Ferreira Cooper - 31/01/2025 12:35:10</t>
  </si>
  <si>
    <t>Weslley Ferreira Cooper - 31/01/2025 12:35:09</t>
  </si>
  <si>
    <t>Weslley Ferreira Cooper - 31/01/2025 12:35:07</t>
  </si>
  <si>
    <t>Beatriz Alves Nunes de Paulo - 05/02/2025 10:32:36</t>
  </si>
  <si>
    <t>Beatriz Alves Nunes de Paulo - 06/03/2025 08:32:52</t>
  </si>
  <si>
    <t>Base de Dados_Images/PSV 02202.Imagem do Equipamento-.160421.jpg</t>
  </si>
  <si>
    <t>Weslley Ferreira Cooper - 31/01/2025 12:35:02</t>
  </si>
  <si>
    <t>PSV 030-02 / PSV 63485</t>
  </si>
  <si>
    <t>Caixa De Evaporação Nº 4</t>
  </si>
  <si>
    <t>Weslley Ferreira Cooper - 31/01/2025 12:31:38</t>
  </si>
  <si>
    <t>Weslley Ferreira Cooper - 31/01/2025 12:31:37</t>
  </si>
  <si>
    <t>Weslley Ferreira Cooper - 31/01/2025 12:31:35</t>
  </si>
  <si>
    <t>Weslley Ferreira Cooper - 31/01/2025 12:31:34</t>
  </si>
  <si>
    <t>Weslley Ferreira Cooper - 31/01/2025 12:31:33</t>
  </si>
  <si>
    <t>Beatriz Alves Nunes de Paulo - 05/02/2025 10:32:02</t>
  </si>
  <si>
    <t>Beatriz Alves Nunes de Paulo - 06/03/2025 08:33:00</t>
  </si>
  <si>
    <t>Base de Dados_Images/PSV 030-02 - PSV 63485.Imagem do Equipamento-.160314.jpg</t>
  </si>
  <si>
    <t>Weslley Ferreira Cooper - 31/01/2025 12:31:24</t>
  </si>
  <si>
    <t>PSV 16A &amp; PSV16B</t>
  </si>
  <si>
    <t>Válvula PSVs linha de V1</t>
  </si>
  <si>
    <t>Alisson Airton Sobrinho - 04/02/2025 16:48:00</t>
  </si>
  <si>
    <t>Alisson Airton Sobrinho - 04/02/2025 16:48:01</t>
  </si>
  <si>
    <t>Alisson Airton Sobrinho - 04/02/2025 16:48:02</t>
  </si>
  <si>
    <t>Alisson Airton Sobrinho - 04/02/2025 16:48:04</t>
  </si>
  <si>
    <t>Alisson Airton Sobrinho - 04/02/2025 16:48:05</t>
  </si>
  <si>
    <t>Alisson Airton Sobrinho - 04/02/2025 16:48:10</t>
  </si>
  <si>
    <t>Rafael Roldão Rodrigues - 04/03/2025 14:42:14</t>
  </si>
  <si>
    <t>Manutenção externa do equipamento em dia</t>
  </si>
  <si>
    <t>Rafael Roldão Rodrigues - 04/03/2025 14:42:13</t>
  </si>
  <si>
    <t>Base de Dados_Images/PSV 16A &amp; PSV16B.Imagem do Equipamento-.134615.jpg</t>
  </si>
  <si>
    <t>Alisson Airton Sobrinho - 08/02/2025 10:46:11</t>
  </si>
  <si>
    <t>PSV 627180</t>
  </si>
  <si>
    <t>PSV coluna A tubulação Cond. R</t>
  </si>
  <si>
    <t>Alisson Airton Sobrinho - 04/02/2025 16:47:10</t>
  </si>
  <si>
    <t>Alisson Airton Sobrinho - 04/02/2025 16:47:11</t>
  </si>
  <si>
    <t>Alisson Airton Sobrinho - 04/02/2025 16:47:12</t>
  </si>
  <si>
    <t>Alisson Airton Sobrinho - 04/02/2025 16:47:14</t>
  </si>
  <si>
    <t>Alisson Airton Sobrinho - 04/02/2025 16:47:15</t>
  </si>
  <si>
    <t>Alisson Airton Sobrinho - 04/02/2025 16:47:19</t>
  </si>
  <si>
    <t>Rafael Roldão Rodrigues - 04/03/2025 14:42:20</t>
  </si>
  <si>
    <t>Base de Dados_Images/PSV 627180.Imagem do Equipamento-.134548.jpg</t>
  </si>
  <si>
    <t>Alisson Airton Sobrinho - 08/02/2025 10:45:43</t>
  </si>
  <si>
    <t>PSV 627877</t>
  </si>
  <si>
    <t>VÁLVULA PSV TANQUE DE VINHO A CENTRÍFUGAR</t>
  </si>
  <si>
    <t>Alisson Airton Sobrinho - 04/02/2025 16:47:37</t>
  </si>
  <si>
    <t>Alisson Airton Sobrinho - 04/02/2025 16:47:38</t>
  </si>
  <si>
    <t>Alisson Airton Sobrinho - 04/02/2025 16:47:39</t>
  </si>
  <si>
    <t>Alisson Airton Sobrinho - 04/02/2025 16:47:41</t>
  </si>
  <si>
    <t>Alisson Airton Sobrinho - 04/02/2025 16:47:42</t>
  </si>
  <si>
    <t>Alisson Airton Sobrinho - 04/02/2025 16:47:46</t>
  </si>
  <si>
    <t>Rafael Roldão Rodrigues - 04/03/2025 14:42:25</t>
  </si>
  <si>
    <t>Base de Dados_Images/PSV 627877.Imagem do Equipamento-.134602.jpg</t>
  </si>
  <si>
    <t>Alisson Airton Sobrinho - 08/02/2025 10:45:58</t>
  </si>
  <si>
    <t>PSV 63484</t>
  </si>
  <si>
    <t>Coluna Barométrica Do Cozedor Nº 2</t>
  </si>
  <si>
    <t>Beatriz Alves Nunes de Paulo - 04/02/2025 14:00:24</t>
  </si>
  <si>
    <t>Beatriz Alves Nunes de Paulo - 04/02/2025 14:00:27</t>
  </si>
  <si>
    <t>Beatriz Alves Nunes de Paulo - 04/02/2025 14:00:28</t>
  </si>
  <si>
    <t>Beatriz Alves Nunes de Paulo - 04/02/2025 14:00:36</t>
  </si>
  <si>
    <t>Beatriz Alves Nunes de Paulo - 04/02/2025 14:00:33</t>
  </si>
  <si>
    <t>Beatriz Alves Nunes de Paulo - 04/02/2025 14:00:34</t>
  </si>
  <si>
    <t>Beatriz Alves Nunes de Paulo - 04/02/2025 14:00:35</t>
  </si>
  <si>
    <t>Beatriz Alves Nunes de Paulo - 04/02/2025 14:00:39</t>
  </si>
  <si>
    <t>Alisson Airton Sobrinho - 07/02/2025 15:17:00</t>
  </si>
  <si>
    <t>Alisson Airton Sobrinho - 07/02/2025 15:17:02</t>
  </si>
  <si>
    <t>Alisson Airton Sobrinho - 07/02/2025 15:17:09</t>
  </si>
  <si>
    <t>Beatriz Alves Nunes de Paulo - 20/02/2025 12:40:19</t>
  </si>
  <si>
    <t>Beatriz Alves Nunes de Paulo - 20/02/2025 12:40:18</t>
  </si>
  <si>
    <t>Beatriz Alves Nunes de Paulo - 02/04/2025 14:00:18</t>
  </si>
  <si>
    <t>PSV 63486</t>
  </si>
  <si>
    <t>Coluna Barométrica Do Cozedor Nº 3</t>
  </si>
  <si>
    <t>Beatriz Alves Nunes de Paulo - 04/02/2025 14:00:55</t>
  </si>
  <si>
    <t>Beatriz Alves Nunes de Paulo - 04/02/2025 14:00:56</t>
  </si>
  <si>
    <t>Beatriz Alves Nunes de Paulo - 04/02/2025 14:00:58</t>
  </si>
  <si>
    <t>Beatriz Alves Nunes de Paulo - 04/02/2025 14:01:00</t>
  </si>
  <si>
    <t>Beatriz Alves Nunes de Paulo - 04/02/2025 14:01:01</t>
  </si>
  <si>
    <t>Beatriz Alves Nunes de Paulo - 04/02/2025 14:01:02</t>
  </si>
  <si>
    <t>Beatriz Alves Nunes de Paulo - 04/02/2025 14:01:04</t>
  </si>
  <si>
    <t>Beatriz Alves Nunes de Paulo - 04/02/2025 14:01:05</t>
  </si>
  <si>
    <t>Alisson Airton Sobrinho - 07/02/2025 15:17:16</t>
  </si>
  <si>
    <t>Beatriz Alves Nunes de Paulo - 20/02/2025 12:40:50</t>
  </si>
  <si>
    <t>Beatriz Alves Nunes de Paulo - 20/02/2025 12:41:01</t>
  </si>
  <si>
    <t>Beatriz Alves Nunes de Paulo - 02/04/2025 14:00:48</t>
  </si>
  <si>
    <t>PSV-012-02</t>
  </si>
  <si>
    <t>Aquecedor De Caldo Vertical Nº 1 Álcool</t>
  </si>
  <si>
    <t>Weslley Ferreira Cooper - 31/01/2025 12:23:09</t>
  </si>
  <si>
    <t>Weslley Ferreira Cooper - 31/01/2025 12:23:08</t>
  </si>
  <si>
    <t>Weslley Ferreira Cooper - 31/01/2025 12:23:07</t>
  </si>
  <si>
    <t>Weslley Ferreira Cooper - 31/01/2025 12:23:06</t>
  </si>
  <si>
    <t>Weslley Ferreira Cooper - 31/01/2025 12:23:05</t>
  </si>
  <si>
    <t>Beatriz Alves Nunes de Paulo - 05/02/2025 10:30:25</t>
  </si>
  <si>
    <t>Beatriz Alves Nunes de Paulo - 06/03/2025 08:33:10</t>
  </si>
  <si>
    <t>Base de Dados_Images/PSV-012-02.Imagem do Equipamento-.155801.jpg</t>
  </si>
  <si>
    <t>Weslley Ferreira Cooper - 31/01/2025 12:22:57</t>
  </si>
  <si>
    <t>PSV-027-02 E PSV 029-02</t>
  </si>
  <si>
    <t>Tanque De Condensado De V1 Caixas Evaporação</t>
  </si>
  <si>
    <t>Alisson Airton Sobrinho - 07/02/2025 15:08:08</t>
  </si>
  <si>
    <t>Alisson Airton Sobrinho - 07/02/2025 15:08:09</t>
  </si>
  <si>
    <t>Alisson Airton Sobrinho - 07/02/2025 15:08:12</t>
  </si>
  <si>
    <t>Alisson Airton Sobrinho - 07/02/2025 15:08:14</t>
  </si>
  <si>
    <t>Alisson Airton Sobrinho - 07/02/2025 15:09:07</t>
  </si>
  <si>
    <t>Beatriz Alves Nunes de Paulo - 06/03/2025 08:33:05</t>
  </si>
  <si>
    <t>Base de Dados_Images/PSV-027-02 E PSV 029-02.Imagem do Equipamento-.143429.jpg</t>
  </si>
  <si>
    <t>Alisson Airton Sobrinho - 08/02/2025 11:34:20</t>
  </si>
  <si>
    <t>PSV-627181</t>
  </si>
  <si>
    <t>Balão G1</t>
  </si>
  <si>
    <t>Alisson Airton Sobrinho - 04/02/2025 16:45:33</t>
  </si>
  <si>
    <t>Alisson Airton Sobrinho - 04/02/2025 16:45:34</t>
  </si>
  <si>
    <t>Alisson Airton Sobrinho - 04/02/2025 16:45:35</t>
  </si>
  <si>
    <t>Alisson Airton Sobrinho - 04/02/2025 16:45:37</t>
  </si>
  <si>
    <t>Alisson Airton Sobrinho - 04/02/2025 16:45:38</t>
  </si>
  <si>
    <t>Alisson Airton Sobrinho - 04/02/2025 16:45:45</t>
  </si>
  <si>
    <t>Rafael Roldão Rodrigues - 04/03/2025 14:42:29</t>
  </si>
  <si>
    <t>Base de Dados_Images/PSV-627181.Imagem do Equipamento-.105036.jpg</t>
  </si>
  <si>
    <t>Alisson Airton Sobrinho - 08/02/2025 07:46:37</t>
  </si>
  <si>
    <t>PSV-627739</t>
  </si>
  <si>
    <t>Aquecedor De Caldo Vertical Nº 2 Álcool</t>
  </si>
  <si>
    <t>Weslley Ferreira Cooper - 31/01/2025 12:23:58</t>
  </si>
  <si>
    <t>Weslley Ferreira Cooper - 31/01/2025 12:23:56</t>
  </si>
  <si>
    <t>Weslley Ferreira Cooper - 31/01/2025 12:23:55</t>
  </si>
  <si>
    <t>Weslley Ferreira Cooper - 31/01/2025 12:23:54</t>
  </si>
  <si>
    <t>Weslley Ferreira Cooper - 31/01/2025 12:23:53</t>
  </si>
  <si>
    <t>Beatriz Alves Nunes de Paulo - 05/02/2025 10:30:36</t>
  </si>
  <si>
    <t>Beatriz Alves Nunes de Paulo - 06/03/2025 08:33:15</t>
  </si>
  <si>
    <t>Base de Dados_Images/PSV-627739.Imagem do Equipamento-.155834.jpg</t>
  </si>
  <si>
    <t>Weslley Ferreira Cooper - 31/01/2025 12:23:48</t>
  </si>
  <si>
    <t>PSV-627867 E PSV-627888</t>
  </si>
  <si>
    <t>Coluna A - A1 - D1</t>
  </si>
  <si>
    <t>Alisson Airton Sobrinho - 04/02/2025 16:39:58</t>
  </si>
  <si>
    <t>Alisson Airton Sobrinho - 04/02/2025 16:40:00</t>
  </si>
  <si>
    <t>Alisson Airton Sobrinho - 04/02/2025 16:40:01</t>
  </si>
  <si>
    <t>Alisson Airton Sobrinho - 04/02/2025 16:40:03</t>
  </si>
  <si>
    <t>Alisson Airton Sobrinho - 04/02/2025 16:40:04</t>
  </si>
  <si>
    <t>Alisson Airton Sobrinho - 04/02/2025 16:41:48</t>
  </si>
  <si>
    <t>Rafael Roldão Rodrigues - 04/03/2025 14:42:35</t>
  </si>
  <si>
    <t>Base de Dados_Images/PSV-627867 E PSV-627888.Imagem do Equipamento-.150848.jpg</t>
  </si>
  <si>
    <t>Paula Caroline Morais Duarte - 11/02/2025 12:08:43</t>
  </si>
  <si>
    <t>PSV-627871</t>
  </si>
  <si>
    <t>Caixa De Evaporação Nº 1</t>
  </si>
  <si>
    <t>Weslley Ferreira Cooper - 31/01/2025 12:19:13</t>
  </si>
  <si>
    <t>Weslley Ferreira Cooper - 31/01/2025 12:19:11</t>
  </si>
  <si>
    <t>Weslley Ferreira Cooper - 31/01/2025 12:19:10</t>
  </si>
  <si>
    <t>Weslley Ferreira Cooper - 31/01/2025 12:19:09</t>
  </si>
  <si>
    <t>Beatriz Alves Nunes de Paulo - 05/02/2025 10:29:47</t>
  </si>
  <si>
    <t>Beatriz Alves Nunes de Paulo - 06/03/2025 08:33:21</t>
  </si>
  <si>
    <t>Base de Dados_Images/PSV-627871.Imagem do Equipamento-.155557.jpg</t>
  </si>
  <si>
    <t>Weslley Ferreira Cooper - 31/01/2025 12:19:04</t>
  </si>
  <si>
    <t>PSV-627876/PSV-627908/PSV-627905</t>
  </si>
  <si>
    <t>Pré-Evaporador Nº 3</t>
  </si>
  <si>
    <t>Weslley Ferreira Cooper - 31/01/2025 12:37:52</t>
  </si>
  <si>
    <t>Weslley Ferreira Cooper - 31/01/2025 12:37:51</t>
  </si>
  <si>
    <t>Weslley Ferreira Cooper - 31/01/2025 12:37:50</t>
  </si>
  <si>
    <t>Weslley Ferreira Cooper - 31/01/2025 12:37:49</t>
  </si>
  <si>
    <t>Weslley Ferreira Cooper - 31/01/2025 12:37:47</t>
  </si>
  <si>
    <t>Beatriz Alves Nunes de Paulo - 05/02/2025 10:33:20</t>
  </si>
  <si>
    <t>Beatriz Alves Nunes de Paulo - 06/03/2025 08:33:25</t>
  </si>
  <si>
    <t>Base de Dados_Images/PSV-627876-PSV-627908-PSV-627905.Imagem do Equipamento-.160636.jpg</t>
  </si>
  <si>
    <t>Weslley Ferreira Cooper - 31/01/2025 12:38:21</t>
  </si>
  <si>
    <t>PSV-627881</t>
  </si>
  <si>
    <t>Alisson Airton Sobrinho - 04/02/2025 16:44:09</t>
  </si>
  <si>
    <t>Alisson Airton Sobrinho - 04/02/2025 16:44:10</t>
  </si>
  <si>
    <t>Alisson Airton Sobrinho - 04/02/2025 16:44:11</t>
  </si>
  <si>
    <t>Alisson Airton Sobrinho - 04/02/2025 16:44:13</t>
  </si>
  <si>
    <t>Alisson Airton Sobrinho - 04/02/2025 16:44:14</t>
  </si>
  <si>
    <t>Alisson Airton Sobrinho - 04/02/2025 16:44:18</t>
  </si>
  <si>
    <t>Rafael Roldão Rodrigues - 04/03/2025 14:42:40</t>
  </si>
  <si>
    <t>Base de Dados_Images/PSV-627881.Imagem do Equipamento-.150921.jpg</t>
  </si>
  <si>
    <t>Paula Caroline Morais Duarte - 11/02/2025 12:09:16</t>
  </si>
  <si>
    <t>PSV-627888</t>
  </si>
  <si>
    <t>Balão G2</t>
  </si>
  <si>
    <t>Alisson Airton Sobrinho - 04/02/2025 16:46:12</t>
  </si>
  <si>
    <t>Alisson Airton Sobrinho - 04/02/2025 16:46:13</t>
  </si>
  <si>
    <t>Alisson Airton Sobrinho - 04/02/2025 16:46:14</t>
  </si>
  <si>
    <t>Alisson Airton Sobrinho - 04/02/2025 16:46:16</t>
  </si>
  <si>
    <t>Alisson Airton Sobrinho - 04/02/2025 16:46:17</t>
  </si>
  <si>
    <t>Alisson Airton Sobrinho - 04/02/2025 16:46:21</t>
  </si>
  <si>
    <t>Rafael Roldão Rodrigues - 04/03/2025 14:42:59</t>
  </si>
  <si>
    <t>Base de Dados_Images/PSV-627888.Imagem do Equipamento-.105029.jpg</t>
  </si>
  <si>
    <t>Alisson Airton Sobrinho - 08/02/2025 07:46:12</t>
  </si>
  <si>
    <t>PSV-627890</t>
  </si>
  <si>
    <t>Balão de Separação de Arraste 6° Terno</t>
  </si>
  <si>
    <t>Weslley Ferreira Cooper - 29/01/2025 11:55:22</t>
  </si>
  <si>
    <t>Weslley Ferreira Cooper - 29/01/2025 11:55:19</t>
  </si>
  <si>
    <t>Weslley Ferreira Cooper - 29/01/2025 11:55:18</t>
  </si>
  <si>
    <t>Weslley Ferreira Cooper - 29/01/2025 11:55:17</t>
  </si>
  <si>
    <t>Weslley Ferreira Cooper - 29/01/2025 11:55:16</t>
  </si>
  <si>
    <t>Paula Caroline Morais Duarte - 10/02/2025 16:33:59</t>
  </si>
  <si>
    <t>Paula Caroline Morais Duarte - 20/02/2025 08:16:05</t>
  </si>
  <si>
    <t>Base de Dados_Images/PSV-627890.Imagem do Equipamento-.152011.jpg</t>
  </si>
  <si>
    <t>Weslley Ferreira Cooper - 29/01/2025 11:55:10</t>
  </si>
  <si>
    <t>PSV-627891</t>
  </si>
  <si>
    <t>Balão de Separação de Arraste 4° e 5° terno</t>
  </si>
  <si>
    <t>Paula Caroline Morais Duarte - 10/02/2025 16:36:48</t>
  </si>
  <si>
    <t>Paula Caroline Morais Duarte - 10/02/2025 16:36:49</t>
  </si>
  <si>
    <t>Paula Caroline Morais Duarte - 10/02/2025 16:36:50</t>
  </si>
  <si>
    <t>Paula Caroline Morais Duarte - 10/02/2025 16:36:51</t>
  </si>
  <si>
    <t>Paula Caroline Morais Duarte - 10/02/2025 16:36:52</t>
  </si>
  <si>
    <t>Paula Caroline Morais Duarte - 10/02/2025 16:37:04</t>
  </si>
  <si>
    <t>Paula Caroline Morais Duarte - 20/02/2025 08:10:06</t>
  </si>
  <si>
    <t>Base de Dados_Images/PSV-627891.Imagem do Equipamento-.193941.jpg</t>
  </si>
  <si>
    <t>Alisson Airton Sobrinho - 17/02/2025 16:35:32</t>
  </si>
  <si>
    <t>PSV-627893</t>
  </si>
  <si>
    <t>Balão de separação de arraste 1° terno</t>
  </si>
  <si>
    <t>Paula Caroline Morais Duarte - 06/02/2025 10:12:56</t>
  </si>
  <si>
    <t>Paula Caroline Morais Duarte - 06/02/2025 10:12:57</t>
  </si>
  <si>
    <t>Paula Caroline Morais Duarte - 06/02/2025 10:13:05</t>
  </si>
  <si>
    <t>Paula Caroline Morais Duarte - 06/02/2025 10:13:06</t>
  </si>
  <si>
    <t>Paula Caroline Morais Duarte - 06/02/2025 10:13:08</t>
  </si>
  <si>
    <t>Paula Caroline Morais Duarte - 20/02/2025 08:20:43</t>
  </si>
  <si>
    <t>Paula Caroline Morais Duarte - 20/02/2025 08:20:46</t>
  </si>
  <si>
    <t>Paula Caroline Morais Duarte - 02/01/2025 10:47:08</t>
  </si>
  <si>
    <t>PSV-627894</t>
  </si>
  <si>
    <t>Balão de Separação de Arraste 2°e 3° terno</t>
  </si>
  <si>
    <t>Weslley Ferreira Cooper - 29/01/2025 11:00:30</t>
  </si>
  <si>
    <t>Weslley Ferreira Cooper - 29/01/2025 11:00:29</t>
  </si>
  <si>
    <t>Weslley Ferreira Cooper - 29/01/2025 11:00:33</t>
  </si>
  <si>
    <t>Weslley Ferreira Cooper - 29/01/2025 11:00:54</t>
  </si>
  <si>
    <t>Weslley Ferreira Cooper - 29/01/2025 11:00:41</t>
  </si>
  <si>
    <t>Paula Caroline Morais Duarte - 06/02/2025 11:16:10</t>
  </si>
  <si>
    <t>Paula Caroline Morais Duarte - 20/02/2025 08:26:28</t>
  </si>
  <si>
    <t>Base de Dados_Images/PSV-627894.Imagem do Equipamento-.141417.jpg</t>
  </si>
  <si>
    <t>Weslley Ferreira Cooper - 29/01/2025 11:01:27</t>
  </si>
  <si>
    <t>PSV-627904</t>
  </si>
  <si>
    <t>Aquecedor De Caldo Vertical Nº 4 Açúcar</t>
  </si>
  <si>
    <t>Weslley Ferreira Cooper - 31/01/2025 12:26:51</t>
  </si>
  <si>
    <t>Weslley Ferreira Cooper - 31/01/2025 12:26:50</t>
  </si>
  <si>
    <t>Weslley Ferreira Cooper - 31/01/2025 12:26:49</t>
  </si>
  <si>
    <t>Weslley Ferreira Cooper - 31/01/2025 12:26:48</t>
  </si>
  <si>
    <t>Weslley Ferreira Cooper - 31/01/2025 12:26:46</t>
  </si>
  <si>
    <t>Beatriz Alves Nunes de Paulo - 05/02/2025 10:31:14</t>
  </si>
  <si>
    <t>Beatriz Alves Nunes de Paulo - 06/03/2025 08:33:32</t>
  </si>
  <si>
    <t>Base de Dados_Images/PSV-627904.Imagem do Equipamento-.160018.jpg</t>
  </si>
  <si>
    <t>Weslley Ferreira Cooper - 31/01/2025 12:26:39</t>
  </si>
  <si>
    <t>PSV-627906</t>
  </si>
  <si>
    <t>Pré-Evaporador Nº 2</t>
  </si>
  <si>
    <t>Weslley Ferreira Cooper - 31/01/2025 12:35:59</t>
  </si>
  <si>
    <t>Weslley Ferreira Cooper - 31/01/2025 12:35:58</t>
  </si>
  <si>
    <t>Weslley Ferreira Cooper - 31/01/2025 12:35:57</t>
  </si>
  <si>
    <t>Weslley Ferreira Cooper - 31/01/2025 12:35:56</t>
  </si>
  <si>
    <t>Weslley Ferreira Cooper - 31/01/2025 12:36:03</t>
  </si>
  <si>
    <t>Beatriz Alves Nunes de Paulo - 05/02/2025 10:33:09</t>
  </si>
  <si>
    <t>Beatriz Alves Nunes de Paulo - 06/03/2025 08:33:39</t>
  </si>
  <si>
    <t>Base de Dados_Images/PSV-627906.Imagem do Equipamento-.160549.jpg</t>
  </si>
  <si>
    <t>Weslley Ferreira Cooper - 31/01/2025 12:37:09</t>
  </si>
  <si>
    <t>PSV-627912</t>
  </si>
  <si>
    <t>Aquecedor De Caldo Vertical Nº 3 Álcool</t>
  </si>
  <si>
    <t>Weslley Ferreira Cooper - 31/01/2025 12:26:08</t>
  </si>
  <si>
    <t>Weslley Ferreira Cooper - 31/01/2025 12:26:07</t>
  </si>
  <si>
    <t>Weslley Ferreira Cooper - 31/01/2025 12:26:06</t>
  </si>
  <si>
    <t>Weslley Ferreira Cooper - 31/01/2025 12:26:05</t>
  </si>
  <si>
    <t>Weslley Ferreira Cooper - 31/01/2025 12:26:04</t>
  </si>
  <si>
    <t>Beatriz Alves Nunes de Paulo - 05/02/2025 10:31:04</t>
  </si>
  <si>
    <t>Beatriz Alves Nunes de Paulo - 06/03/2025 08:33:44</t>
  </si>
  <si>
    <t>Base de Dados_Images/PSV-627912.Imagem do Equipamento-.155945.jpg</t>
  </si>
  <si>
    <t>Weslley Ferreira Cooper - 31/01/2025 12:25:58</t>
  </si>
  <si>
    <t>PSV-627916</t>
  </si>
  <si>
    <t>Aquecedor De Caldo Vertical Nº 5 Açúcar</t>
  </si>
  <si>
    <t>Weslley Ferreira Cooper - 31/01/2025 12:27:22</t>
  </si>
  <si>
    <t>Weslley Ferreira Cooper - 31/01/2025 12:27:21</t>
  </si>
  <si>
    <t>Weslley Ferreira Cooper - 31/01/2025 12:27:20</t>
  </si>
  <si>
    <t>Weslley Ferreira Cooper - 31/01/2025 12:27:19</t>
  </si>
  <si>
    <t>Weslley Ferreira Cooper - 31/01/2025 12:27:17</t>
  </si>
  <si>
    <t>Beatriz Alves Nunes de Paulo - 05/02/2025 10:31:27</t>
  </si>
  <si>
    <t>Beatriz Alves Nunes de Paulo - 06/03/2025 08:33:50</t>
  </si>
  <si>
    <t>Beatriz Alves Nunes de Paulo - 06/03/2025 08:33:49</t>
  </si>
  <si>
    <t>Base de Dados_Images/PSV-627916.Imagem do Equipamento-.160053.jpg</t>
  </si>
  <si>
    <t>Weslley Ferreira Cooper - 31/01/2025 12:27:12</t>
  </si>
  <si>
    <t>PSV-627945</t>
  </si>
  <si>
    <t>Caixa De Evaporação Nº 2</t>
  </si>
  <si>
    <t>Weslley Ferreira Cooper - 31/01/2025 12:29:04</t>
  </si>
  <si>
    <t>Weslley Ferreira Cooper - 31/01/2025 12:29:02</t>
  </si>
  <si>
    <t>Weslley Ferreira Cooper - 31/01/2025 12:29:01</t>
  </si>
  <si>
    <t>Weslley Ferreira Cooper - 31/01/2025 12:29:00</t>
  </si>
  <si>
    <t>Weslley Ferreira Cooper - 31/01/2025 12:28:59</t>
  </si>
  <si>
    <t>Beatriz Alves Nunes de Paulo - 05/02/2025 10:31:43</t>
  </si>
  <si>
    <t>Beatriz Alves Nunes de Paulo - 06/03/2025 08:33:55</t>
  </si>
  <si>
    <t>Base de Dados_Images/PSV-627945.Imagem do Equipamento-.160303.jpg</t>
  </si>
  <si>
    <t>Weslley Ferreira Cooper - 31/01/2025 12:30:56</t>
  </si>
  <si>
    <t>PSV-627949</t>
  </si>
  <si>
    <t>Cozedor A Vácuo Nº 1</t>
  </si>
  <si>
    <t>Beatriz Alves Nunes de Paulo - 04/02/2025 09:26:12</t>
  </si>
  <si>
    <t>Beatriz Alves Nunes de Paulo - 04/02/2025 09:26:15</t>
  </si>
  <si>
    <t>Beatriz Alves Nunes de Paulo - 04/02/2025 09:26:16</t>
  </si>
  <si>
    <t>Beatriz Alves Nunes de Paulo - 04/02/2025 09:26:19</t>
  </si>
  <si>
    <t>Beatriz Alves Nunes de Paulo - 04/02/2025 09:26:22</t>
  </si>
  <si>
    <t>Beatriz Alves Nunes de Paulo - 04/02/2025 09:26:30</t>
  </si>
  <si>
    <t>Beatriz Alves Nunes de Paulo - 04/02/2025 09:26:31</t>
  </si>
  <si>
    <t>Beatriz Alves Nunes de Paulo - 04/02/2025 09:26:32</t>
  </si>
  <si>
    <t>Alisson Airton Sobrinho - 07/02/2025 15:16:35</t>
  </si>
  <si>
    <t>Alisson Airton Sobrinho - 07/02/2025 15:17:27</t>
  </si>
  <si>
    <t>Alisson Airton Sobrinho - 07/02/2025 15:16:42</t>
  </si>
  <si>
    <t>Alisson Airton Sobrinho - 20/02/2025 10:56:00</t>
  </si>
  <si>
    <t>Beatriz Alves Nunes de Paulo - 02/04/2025 09:25:52</t>
  </si>
  <si>
    <t>PSV-627956</t>
  </si>
  <si>
    <t>Cozedor A Vácuo Nº 3</t>
  </si>
  <si>
    <t>Beatriz Alves Nunes de Paulo - 04/02/2025 13:55:07</t>
  </si>
  <si>
    <t>Beatriz Alves Nunes de Paulo - 04/02/2025 13:55:09</t>
  </si>
  <si>
    <t>Beatriz Alves Nunes de Paulo - 04/02/2025 13:55:10</t>
  </si>
  <si>
    <t>Beatriz Alves Nunes de Paulo - 04/02/2025 13:55:12</t>
  </si>
  <si>
    <t>Beatriz Alves Nunes de Paulo - 04/02/2025 13:55:13</t>
  </si>
  <si>
    <t>Beatriz Alves Nunes de Paulo - 04/02/2025 13:55:14</t>
  </si>
  <si>
    <t>Beatriz Alves Nunes de Paulo - 04/02/2025 13:55:17</t>
  </si>
  <si>
    <t>Beatriz Alves Nunes de Paulo - 04/02/2025 13:55:18</t>
  </si>
  <si>
    <t>Alisson Airton Sobrinho - 07/02/2025 15:16:52</t>
  </si>
  <si>
    <t>Alisson Airton Sobrinho - 07/02/2025 15:16:53</t>
  </si>
  <si>
    <t>Beatriz Alves Nunes de Paulo - 20/02/2025 12:37:36</t>
  </si>
  <si>
    <t>Alisson Airton Sobrinho - 03/03/2025 16:04:50</t>
  </si>
  <si>
    <t>Beatriz Alves Nunes de Paulo - 02/04/2025 13:55:02</t>
  </si>
  <si>
    <t>PSV-627979</t>
  </si>
  <si>
    <t>Caixa De Evaporação Nº 3</t>
  </si>
  <si>
    <t>Weslley Ferreira Cooper - 31/01/2025 12:30:00</t>
  </si>
  <si>
    <t>Weslley Ferreira Cooper - 31/01/2025 12:29:59</t>
  </si>
  <si>
    <t>Weslley Ferreira Cooper - 31/01/2025 12:29:58</t>
  </si>
  <si>
    <t>Weslley Ferreira Cooper - 31/01/2025 12:29:56</t>
  </si>
  <si>
    <t>Weslley Ferreira Cooper - 31/01/2025 12:30:02</t>
  </si>
  <si>
    <t>Beatriz Alves Nunes de Paulo - 05/02/2025 10:31:53</t>
  </si>
  <si>
    <t>Beatriz Alves Nunes de Paulo - 06/03/2025 08:34:00</t>
  </si>
  <si>
    <t>Base de Dados_Images/PSV-627979.Imagem do Equipamento-.160218.jpg</t>
  </si>
  <si>
    <t>Weslley Ferreira Cooper - 31/01/2025 12:29:48</t>
  </si>
  <si>
    <t>PSV-FLM-01</t>
  </si>
  <si>
    <t>Alisson Airton Sobrinho - 04/02/2025 16:45:04</t>
  </si>
  <si>
    <t>Alisson Airton Sobrinho - 04/02/2025 16:45:06</t>
  </si>
  <si>
    <t>Alisson Airton Sobrinho - 04/02/2025 16:45:07</t>
  </si>
  <si>
    <t>Alisson Airton Sobrinho - 04/02/2025 16:45:09</t>
  </si>
  <si>
    <t>Alisson Airton Sobrinho - 04/02/2025 16:45:10</t>
  </si>
  <si>
    <t>Alisson Airton Sobrinho - 04/02/2025 16:45:15</t>
  </si>
  <si>
    <t>Rafael Roldão Rodrigues - 04/03/2025 14:43:06</t>
  </si>
  <si>
    <t>Base de Dados_Images/PSV-FLM-01.Imagem do Equipamento-.151020.jpg</t>
  </si>
  <si>
    <t>Paula Caroline Morais Duarte - 11/02/2025 12:10:15</t>
  </si>
  <si>
    <t>PSV-TORRE RESFRIAMENTO/GERADOR</t>
  </si>
  <si>
    <t>Linha Água Torre de Resfriamento TR9209</t>
  </si>
  <si>
    <t>Weslley Ferreira Cooper - 30/01/2025 08:36:45</t>
  </si>
  <si>
    <t>Weslley Ferreira Cooper - 30/01/2025 08:36:44</t>
  </si>
  <si>
    <t>Weslley Ferreira Cooper - 30/01/2025 08:36:43</t>
  </si>
  <si>
    <t>Weslley Ferreira Cooper - 30/01/2025 08:36:47</t>
  </si>
  <si>
    <t>Alisson Airton Sobrinho - 08/02/2025 14:12:49</t>
  </si>
  <si>
    <t>Paula Caroline Morais Duarte - 03/03/2025 16:09:49</t>
  </si>
  <si>
    <t>Base de Dados_Images/PSV-TORRE RESFRIAMENTO-GERADOR.Imagem do Equipamento-.125052.jpg</t>
  </si>
  <si>
    <t>Weslley Ferreira Cooper - 30/01/2025 08:36:36</t>
  </si>
  <si>
    <t>PSV-TORRE RESFRIAMENTO/R.P.E</t>
  </si>
  <si>
    <t>PSV- Torre de resfriamento TR9210</t>
  </si>
  <si>
    <t>Paula Caroline Morais Duarte - 10/02/2025 15:37:39</t>
  </si>
  <si>
    <t>Paula Caroline Morais Duarte - 10/02/2025 15:37:40</t>
  </si>
  <si>
    <t>Paula Caroline Morais Duarte - 10/02/2025 15:37:44</t>
  </si>
  <si>
    <t>Paula Caroline Morais Duarte - 10/02/2025 15:37:42</t>
  </si>
  <si>
    <t>Paula Caroline Morais Duarte - 10/02/2025 15:37:43</t>
  </si>
  <si>
    <t>Paula Caroline Morais Duarte - 10/02/2025 15:38:42</t>
  </si>
  <si>
    <t>Paula Caroline Morais Duarte - 20/02/2025 08:52:59</t>
  </si>
  <si>
    <t>Base de Dados_Images/PSV-TORRE RESFRIAMENTO-R.P.E.Imagem do Equipamento-.121802.jpg</t>
  </si>
  <si>
    <t>Alisson Airton Sobrinho - 11/02/2025 09:12:44</t>
  </si>
  <si>
    <t>PSV-VIN-18</t>
  </si>
  <si>
    <t>Pré - Aquecedor De Vinho E</t>
  </si>
  <si>
    <t>Alisson Airton Sobrinho - 04/02/2025 16:46:44</t>
  </si>
  <si>
    <t>Alisson Airton Sobrinho - 04/02/2025 16:46:45</t>
  </si>
  <si>
    <t>Alisson Airton Sobrinho - 04/02/2025 16:46:46</t>
  </si>
  <si>
    <t>Alisson Airton Sobrinho - 04/02/2025 16:46:48</t>
  </si>
  <si>
    <t>Alisson Airton Sobrinho - 04/02/2025 16:46:49</t>
  </si>
  <si>
    <t>Alisson Airton Sobrinho - 04/02/2025 16:46:53</t>
  </si>
  <si>
    <t>Rafael Roldão Rodrigues - 04/03/2025 14:43:12</t>
  </si>
  <si>
    <t>Base de Dados_Images/PSV-VIN-18.Imagem do Equipamento-.134527.jpg</t>
  </si>
  <si>
    <t>Alisson Airton Sobrinho - 08/02/2025 10:45:22</t>
  </si>
  <si>
    <t>PSV'S 014-02</t>
  </si>
  <si>
    <t>Pré-Evaporador Nº 1</t>
  </si>
  <si>
    <t>Weslley Ferreira Cooper - 31/01/2025 12:35:36</t>
  </si>
  <si>
    <t>Weslley Ferreira Cooper - 31/01/2025 12:35:35</t>
  </si>
  <si>
    <t>Weslley Ferreira Cooper - 31/01/2025 12:35:34</t>
  </si>
  <si>
    <t>Weslley Ferreira Cooper - 31/01/2025 12:35:33</t>
  </si>
  <si>
    <t>Weslley Ferreira Cooper - 31/01/2025 12:35:31</t>
  </si>
  <si>
    <t>Beatriz Alves Nunes de Paulo - 05/02/2025 10:32:47</t>
  </si>
  <si>
    <t>Beatriz Alves Nunes de Paulo - 06/03/2025 08:34:05</t>
  </si>
  <si>
    <t>Base de Dados_Images/PSV-S 014-02.Imagem do Equipamento-.160558.jpg</t>
  </si>
  <si>
    <t>Weslley Ferreira Cooper - 31/01/2025 12:37:33</t>
  </si>
  <si>
    <t>PSV/GERADOR DE ENERGIA</t>
  </si>
  <si>
    <t>Válvula de segurança gerador de vapor</t>
  </si>
  <si>
    <t>Weslley Ferreira Cooper - 30/01/2025 08:37:11</t>
  </si>
  <si>
    <t>Weslley Ferreira Cooper - 30/01/2025 08:37:09</t>
  </si>
  <si>
    <t>Weslley Ferreira Cooper - 30/01/2025 08:37:08</t>
  </si>
  <si>
    <t>Weslley Ferreira Cooper - 30/01/2025 08:37:07</t>
  </si>
  <si>
    <t>Alisson Airton Sobrinho - 08/02/2025 14:21:08</t>
  </si>
  <si>
    <t>Paula Caroline Morais Duarte - 03/03/2025 16:09:57</t>
  </si>
  <si>
    <t>Paula Caroline Morais Duarte - 03/03/2025 16:09:56</t>
  </si>
  <si>
    <t>Base de Dados_Images/PSV-GERADOR DE ENERGIA.Imagem do Equipamento-.125124.jpg</t>
  </si>
  <si>
    <t>Weslley Ferreira Cooper - 30/01/2025 08:37:03</t>
  </si>
  <si>
    <t>PSV627181</t>
  </si>
  <si>
    <t>Psv 1,3 kgp Condensador R e R1</t>
  </si>
  <si>
    <t>Alisson Airton Sobrinho - 04/02/2025 16:48:25</t>
  </si>
  <si>
    <t>Alisson Airton Sobrinho - 04/02/2025 16:48:26</t>
  </si>
  <si>
    <t>Alisson Airton Sobrinho - 04/02/2025 16:48:27</t>
  </si>
  <si>
    <t>Alisson Airton Sobrinho - 04/02/2025 16:48:29</t>
  </si>
  <si>
    <t>Alisson Airton Sobrinho - 04/02/2025 16:48:30</t>
  </si>
  <si>
    <t>Alisson Airton Sobrinho - 04/02/2025 16:48:34</t>
  </si>
  <si>
    <t>Rafael Roldão Rodrigues - 04/03/2025 14:43:18</t>
  </si>
  <si>
    <t>Base de Dados_Images/PSV627181.Imagem do Equipamento-.134644.jpg</t>
  </si>
  <si>
    <t>Alisson Airton Sobrinho - 08/02/2025 10:46:40</t>
  </si>
  <si>
    <t>PSV627863</t>
  </si>
  <si>
    <t>Psv tanque antiespumante</t>
  </si>
  <si>
    <t>Weslley Ferreira Cooper - 30/01/2025 09:26:07</t>
  </si>
  <si>
    <t>Weslley Ferreira Cooper - 30/01/2025 09:26:05</t>
  </si>
  <si>
    <t>Weslley Ferreira Cooper - 30/01/2025 09:26:04</t>
  </si>
  <si>
    <t>Weslley Ferreira Cooper - 30/01/2025 09:26:03</t>
  </si>
  <si>
    <t>Weslley Ferreira Cooper - 30/01/2025 09:26:02</t>
  </si>
  <si>
    <t>Rafael Roldão Rodrigues - 04/03/2025 14:44:17</t>
  </si>
  <si>
    <t>Alisson Airton Sobrinho - 05/03/2025 07:41:15</t>
  </si>
  <si>
    <t>Base de Dados_Images/PSV627863.Imagem do Equipamento-.131632.jpg</t>
  </si>
  <si>
    <t>Weslley Ferreira Cooper - 30/01/2025 09:25:55</t>
  </si>
  <si>
    <t>QVQ 63475</t>
  </si>
  <si>
    <t>Balão De Vácuo Alto</t>
  </si>
  <si>
    <t>Alisson Airton Sobrinho - 07/02/2025 15:04:26</t>
  </si>
  <si>
    <t>Alisson Airton Sobrinho - 07/02/2025 15:04:29</t>
  </si>
  <si>
    <t>Alisson Airton Sobrinho - 07/02/2025 15:04:30</t>
  </si>
  <si>
    <t>Alisson Airton Sobrinho - 07/02/2025 15:04:35</t>
  </si>
  <si>
    <t>Alisson Airton Sobrinho - 07/02/2025 15:04:34</t>
  </si>
  <si>
    <t>Alisson Airton Sobrinho - 07/02/2025 15:04:41</t>
  </si>
  <si>
    <t>Beatriz Alves Nunes de Paulo - 06/03/2025 08:34:11</t>
  </si>
  <si>
    <t>Base de Dados_Images/QVQ 63475.Imagem do Equipamento-.114501.jpg</t>
  </si>
  <si>
    <t>Alisson Airton Sobrinho - 08/02/2025 08:44:56</t>
  </si>
  <si>
    <t>QVQ 63477</t>
  </si>
  <si>
    <t>Balão De Vácuo Baixo</t>
  </si>
  <si>
    <t>Alisson Airton Sobrinho - 07/02/2025 15:07:22</t>
  </si>
  <si>
    <t>Alisson Airton Sobrinho - 07/02/2025 15:07:23</t>
  </si>
  <si>
    <t>Alisson Airton Sobrinho - 07/02/2025 15:07:25</t>
  </si>
  <si>
    <t>Alisson Airton Sobrinho - 07/02/2025 15:07:27</t>
  </si>
  <si>
    <t>Alisson Airton Sobrinho - 07/02/2025 15:07:33</t>
  </si>
  <si>
    <t>Beatriz Alves Nunes de Paulo - 06/03/2025 08:34:16</t>
  </si>
  <si>
    <t>Base de Dados_Images/QVQ 63477.Imagem do Equipamento-.114522.jpg</t>
  </si>
  <si>
    <t>Alisson Airton Sobrinho - 08/02/2025 08:45:17</t>
  </si>
  <si>
    <t>Rosca Rotativa</t>
  </si>
  <si>
    <t>RO3002</t>
  </si>
  <si>
    <t>Rosca Do Exaustor Do Bagacilho</t>
  </si>
  <si>
    <t>Beatriz Alves Nunes de Paulo - 28/01/2025 13:33:35</t>
  </si>
  <si>
    <t>Beatriz Alves Nunes de Paulo - 28/01/2025 13:33:37</t>
  </si>
  <si>
    <t>Beatriz Alves Nunes de Paulo - 28/01/2025 13:33:40</t>
  </si>
  <si>
    <t>Beatriz Alves Nunes de Paulo - 28/01/2025 13:33:52</t>
  </si>
  <si>
    <t>Beatriz Alves Nunes de Paulo - 28/01/2025 13:33:54</t>
  </si>
  <si>
    <t>Beatriz Alves Nunes de Paulo - 28/01/2025 13:33:59</t>
  </si>
  <si>
    <t>Beatriz Alves Nunes de Paulo - 28/01/2025 13:34:16</t>
  </si>
  <si>
    <t>Beatriz Alves Nunes de Paulo - 28/01/2025 13:34:17</t>
  </si>
  <si>
    <t>Beatriz Alves Nunes de Paulo - 28/01/2025 13:34:20</t>
  </si>
  <si>
    <t>Beatriz Alves Nunes de Paulo - 28/01/2025 13:34:22</t>
  </si>
  <si>
    <t>Beatriz Alves Nunes de Paulo - 28/01/2025 13:34:27</t>
  </si>
  <si>
    <t>Beatriz Alves Nunes de Paulo - 28/01/2025 13:34:31</t>
  </si>
  <si>
    <t>Beatriz Alves Nunes de Paulo - 28/01/2025 13:34:36</t>
  </si>
  <si>
    <t>Beatriz Alves Nunes de Paulo - 28/01/2025 13:34:39</t>
  </si>
  <si>
    <t>Alisson Airton Sobrinho - 04/03/2025 13:26:24</t>
  </si>
  <si>
    <t>Alisson Airton Sobrinho - 04/03/2025 13:26:26</t>
  </si>
  <si>
    <t>Alisson Airton Sobrinho - 04/03/2025 13:26:27</t>
  </si>
  <si>
    <t>Alisson Airton Sobrinho - 04/03/2025 13:26:29</t>
  </si>
  <si>
    <t>Alisson Airton Sobrinho - 04/03/2025 13:26:32</t>
  </si>
  <si>
    <t>Alisson Airton Sobrinho - 04/03/2025 13:26:33</t>
  </si>
  <si>
    <t>Alisson Airton Sobrinho - 04/03/2025 13:26:34</t>
  </si>
  <si>
    <t>Alisson Airton Sobrinho - 04/03/2025 13:26:35</t>
  </si>
  <si>
    <t>Alisson Airton Sobrinho - 07/03/2025 07:20:17</t>
  </si>
  <si>
    <t>Alisson Airton Sobrinho - 07/03/2025 07:20:18</t>
  </si>
  <si>
    <t>Alisson Airton Sobrinho - 07/03/2025 07:20:19</t>
  </si>
  <si>
    <t>Base de Dados_Images/RO3002.Imagem do Equipamento-.180052.jpg</t>
  </si>
  <si>
    <t>Beatriz Alves Nunes de Paulo - 28/01/2025 13:33:28</t>
  </si>
  <si>
    <t>RR2102</t>
  </si>
  <si>
    <t>Rosca Rotativasem Fim Da Peneira Rotativa</t>
  </si>
  <si>
    <t>Alisson Airton Sobrinho - 07/03/2025 06:26:08</t>
  </si>
  <si>
    <t>Alisson Airton Sobrinho - 07/03/2025 06:26:12</t>
  </si>
  <si>
    <t>Alisson Airton Sobrinho - 07/03/2025 06:26:11</t>
  </si>
  <si>
    <t>Alisson Airton Sobrinho - 07/03/2025 06:26:13</t>
  </si>
  <si>
    <t>Alisson Airton Sobrinho - 07/03/2025 06:26:16</t>
  </si>
  <si>
    <t>Alisson Airton Sobrinho - 07/03/2025 06:26:15</t>
  </si>
  <si>
    <t>Alisson Airton Sobrinho - 07/03/2025 06:26:18</t>
  </si>
  <si>
    <t>Alisson Airton Sobrinho - 07/03/2025 06:26:19</t>
  </si>
  <si>
    <t>Alisson Airton Sobrinho - 07/03/2025 06:26:21</t>
  </si>
  <si>
    <t>Alisson Airton Sobrinho - 07/03/2025 06:26:22</t>
  </si>
  <si>
    <t>Alisson Airton Sobrinho - 07/03/2025 06:26:23</t>
  </si>
  <si>
    <t>Alisson Airton Sobrinho - 07/03/2025 06:26:24</t>
  </si>
  <si>
    <t>Alisson Airton Sobrinho - 07/03/2025 06:26:25</t>
  </si>
  <si>
    <t>Alisson Airton Sobrinho - 07/03/2025 06:26:29</t>
  </si>
  <si>
    <t>Alisson Airton Sobrinho - 07/03/2025 06:26:30</t>
  </si>
  <si>
    <t>Alisson Airton Sobrinho - 07/03/2025 06:26:31</t>
  </si>
  <si>
    <t>Alisson Airton Sobrinho - 07/03/2025 06:26:32</t>
  </si>
  <si>
    <t>Alisson Airton Sobrinho - 07/03/2025 06:26:35</t>
  </si>
  <si>
    <t>Alisson Airton Sobrinho - 07/03/2025 06:26:36</t>
  </si>
  <si>
    <t>Alisson Airton Sobrinho - 07/03/2025 06:26:38</t>
  </si>
  <si>
    <t>Alisson Airton Sobrinho - 07/03/2025 06:26:40</t>
  </si>
  <si>
    <t>Alisson Airton Sobrinho - 07/03/2025 06:26:44</t>
  </si>
  <si>
    <t>Alisson Airton Sobrinho - 07/03/2025 06:26:46</t>
  </si>
  <si>
    <t>Alisson Airton Sobrinho - 07/03/2025 06:26:47</t>
  </si>
  <si>
    <t>Paula Caroline Morais Duarte - 02/10/2025 11:57:01</t>
  </si>
  <si>
    <t>RR4001</t>
  </si>
  <si>
    <t>Rosca Rotativa De Saida Do Secador Acucar</t>
  </si>
  <si>
    <t>Weslley Ferreira Cooper - 29/01/2025 12:50:50</t>
  </si>
  <si>
    <t>Weslley Ferreira Cooper - 29/01/2025 12:50:49</t>
  </si>
  <si>
    <t>Weslley Ferreira Cooper - 29/01/2025 12:50:47</t>
  </si>
  <si>
    <t>Weslley Ferreira Cooper - 29/01/2025 12:50:46</t>
  </si>
  <si>
    <t>Weslley Ferreira Cooper - 29/01/2025 12:50:44</t>
  </si>
  <si>
    <t>Weslley Ferreira Cooper - 29/01/2025 12:50:41</t>
  </si>
  <si>
    <t>Weslley Ferreira Cooper - 29/01/2025 12:50:40</t>
  </si>
  <si>
    <t>Weslley Ferreira Cooper - 29/01/2025 12:50:39</t>
  </si>
  <si>
    <t>Weslley Ferreira Cooper - 29/01/2025 12:50:37</t>
  </si>
  <si>
    <t>Weslley Ferreira Cooper - 29/01/2025 12:50:36</t>
  </si>
  <si>
    <t>Weslley Ferreira Cooper - 29/01/2025 12:50:35</t>
  </si>
  <si>
    <t>Beatriz Alves Nunes de Paulo - 03/02/2025 15:12:54</t>
  </si>
  <si>
    <t>Beatriz Alves Nunes de Paulo - 03/02/2025 15:12:55</t>
  </si>
  <si>
    <t>Beatriz Alves Nunes de Paulo - 03/02/2025 15:13:02</t>
  </si>
  <si>
    <t>Beatriz Alves Nunes de Paulo - 03/02/2025 15:13:07</t>
  </si>
  <si>
    <t>Beatriz Alves Nunes de Paulo - 03/02/2025 15:13:08</t>
  </si>
  <si>
    <t>Beatriz Alves Nunes de Paulo - 03/02/2025 15:13:09</t>
  </si>
  <si>
    <t>Alisson Airton Sobrinho - 07/03/2025 08:37:47</t>
  </si>
  <si>
    <t>Alisson Airton Sobrinho - 07/03/2025 08:37:50</t>
  </si>
  <si>
    <t>Alisson Airton Sobrinho - 07/03/2025 08:37:51</t>
  </si>
  <si>
    <t>Alisson Airton Sobrinho - 07/03/2025 08:37:52</t>
  </si>
  <si>
    <t>Base de Dados_Images/RR4001.Imagem do Equipamento-.172228.jpg</t>
  </si>
  <si>
    <t>Weslley Ferreira Cooper - 29/01/2025 12:50:27</t>
  </si>
  <si>
    <t>RR4002</t>
  </si>
  <si>
    <t>Rosca De Magma</t>
  </si>
  <si>
    <t>Alisson Airton Sobrinho - 27/01/2025 10:26:52</t>
  </si>
  <si>
    <t>Alisson Airton Sobrinho - 27/01/2025 10:26:54</t>
  </si>
  <si>
    <t>Alisson Airton Sobrinho - 27/01/2025 10:26:57</t>
  </si>
  <si>
    <t>Alisson Airton Sobrinho - 27/01/2025 10:27:00</t>
  </si>
  <si>
    <t>Alisson Airton Sobrinho - 27/01/2025 10:27:11</t>
  </si>
  <si>
    <t>Alisson Airton Sobrinho - 27/01/2025 10:27:13</t>
  </si>
  <si>
    <t>Alisson Airton Sobrinho - 27/01/2025 10:27:31</t>
  </si>
  <si>
    <t>Alisson Airton Sobrinho - 27/01/2025 10:27:39</t>
  </si>
  <si>
    <t>Alisson Airton Sobrinho - 27/01/2025 10:27:41</t>
  </si>
  <si>
    <t>Alisson Airton Sobrinho - 27/01/2025 10:27:43</t>
  </si>
  <si>
    <t>Alisson Airton Sobrinho - 27/01/2025 10:27:48</t>
  </si>
  <si>
    <t>Alisson Airton Sobrinho - 27/01/2025 10:28:01</t>
  </si>
  <si>
    <t>Alisson Airton Sobrinho - 27/01/2025 10:28:04</t>
  </si>
  <si>
    <t>Alisson Airton Sobrinho - 27/01/2025 10:28:14</t>
  </si>
  <si>
    <t>Beatriz Alves Nunes de Paulo - 04/02/2025 14:06:47</t>
  </si>
  <si>
    <t>Beatriz Alves Nunes de Paulo - 04/02/2025 14:06:48</t>
  </si>
  <si>
    <t>Beatriz Alves Nunes de Paulo - 04/02/2025 14:06:49</t>
  </si>
  <si>
    <t>Beatriz Alves Nunes de Paulo - 04/02/2025 14:06:51</t>
  </si>
  <si>
    <t>Beatriz Alves Nunes de Paulo - 27/02/2025 12:55:42</t>
  </si>
  <si>
    <t>Beatriz Alves Nunes de Paulo - 27/02/2025 12:55:44</t>
  </si>
  <si>
    <t>Beatriz Alves Nunes de Paulo - 27/02/2025 12:55:45</t>
  </si>
  <si>
    <t>Alisson Airton Sobrinho - 07/03/2025 10:59:34</t>
  </si>
  <si>
    <t>Alisson Airton Sobrinho - 07/03/2025 10:59:35</t>
  </si>
  <si>
    <t>Alisson Airton Sobrinho - 07/03/2025 10:59:36</t>
  </si>
  <si>
    <t>Alisson Airton Sobrinho - 07/03/2025 10:59:37</t>
  </si>
  <si>
    <t>Alisson Airton Sobrinho - 07/03/2025 10:59:38</t>
  </si>
  <si>
    <t>Base de Dados_Images/RR4002.Imagem do Equipamento-.143341.jpg</t>
  </si>
  <si>
    <t>Alisson Airton Sobrinho - 27/01/2025 10:26:44</t>
  </si>
  <si>
    <t>Rosca Silo Açucar</t>
  </si>
  <si>
    <t>RR4003</t>
  </si>
  <si>
    <t>Rosca Rotativa Do Silo De Acucar</t>
  </si>
  <si>
    <t>Beatriz Alves Nunes de Paulo - 28/01/2025 12:02:38</t>
  </si>
  <si>
    <t>Beatriz Alves Nunes de Paulo - 28/01/2025 12:02:40</t>
  </si>
  <si>
    <t>Beatriz Alves Nunes de Paulo - 28/01/2025 12:02:43</t>
  </si>
  <si>
    <t>Beatriz Alves Nunes de Paulo - 28/01/2025 12:02:41</t>
  </si>
  <si>
    <t>Beatriz Alves Nunes de Paulo - 28/01/2025 12:02:44</t>
  </si>
  <si>
    <t>Beatriz Alves Nunes de Paulo - 28/01/2025 12:02:55</t>
  </si>
  <si>
    <t>Beatriz Alves Nunes de Paulo - 28/01/2025 12:03:27</t>
  </si>
  <si>
    <t>Beatriz Alves Nunes de Paulo - 28/01/2025 12:03:30</t>
  </si>
  <si>
    <t>Beatriz Alves Nunes de Paulo - 28/01/2025 12:03:32</t>
  </si>
  <si>
    <t>Beatriz Alves Nunes de Paulo - 28/01/2025 12:03:33</t>
  </si>
  <si>
    <t>Beatriz Alves Nunes de Paulo - 28/01/2025 12:03:37</t>
  </si>
  <si>
    <t>Beatriz Alves Nunes de Paulo - 28/01/2025 12:03:40</t>
  </si>
  <si>
    <t>Beatriz Alves Nunes de Paulo - 28/01/2025 12:03:42</t>
  </si>
  <si>
    <t>Beatriz Alves Nunes de Paulo - 28/01/2025 12:03:45</t>
  </si>
  <si>
    <t>Beatriz Alves Nunes de Paulo - 03/02/2025 15:11:43</t>
  </si>
  <si>
    <t>Beatriz Alves Nunes de Paulo - 03/02/2025 15:11:46</t>
  </si>
  <si>
    <t>Beatriz Alves Nunes de Paulo - 03/02/2025 15:11:50</t>
  </si>
  <si>
    <t>Beatriz Alves Nunes de Paulo - 03/02/2025 15:11:54</t>
  </si>
  <si>
    <t>Beatriz Alves Nunes de Paulo - 03/02/2025 15:11:53</t>
  </si>
  <si>
    <t>Beatriz Alves Nunes de Paulo - 03/02/2025 15:11:52</t>
  </si>
  <si>
    <t>Alisson Airton Sobrinho - 07/03/2025 08:38:23</t>
  </si>
  <si>
    <t>Alisson Airton Sobrinho - 07/03/2025 08:38:26</t>
  </si>
  <si>
    <t>Alisson Airton Sobrinho - 07/03/2025 08:38:27</t>
  </si>
  <si>
    <t>Alisson Airton Sobrinho - 07/03/2025 08:38:28</t>
  </si>
  <si>
    <t>Beatriz Alves Nunes de Paulo - 01/28/2025 12:02:31</t>
  </si>
  <si>
    <t>Soprador De Fuligem</t>
  </si>
  <si>
    <t>SF8101</t>
  </si>
  <si>
    <t>Soprador De Fuligem Nº 01</t>
  </si>
  <si>
    <t>Paula Caroline Morais Duarte - 20/02/2025 12:31:04</t>
  </si>
  <si>
    <t>Paula Caroline Morais Duarte - 20/02/2025 12:31:05</t>
  </si>
  <si>
    <t>Paula Caroline Morais Duarte - 20/02/2025 12:31:07</t>
  </si>
  <si>
    <t>Paula Caroline Morais Duarte - 20/02/2025 12:31:08</t>
  </si>
  <si>
    <t>Paula Caroline Morais Duarte - 20/02/2025 12:31:10</t>
  </si>
  <si>
    <t>Paula Caroline Morais Duarte - 20/02/2025 12:31:13</t>
  </si>
  <si>
    <t>Paula Caroline Morais Duarte - 20/02/2025 12:31:15</t>
  </si>
  <si>
    <t>Paula Caroline Morais Duarte - 20/02/2025 12:31:16</t>
  </si>
  <si>
    <t>Paula Caroline Morais Duarte - 20/02/2025 12:31:18</t>
  </si>
  <si>
    <t>Paula Caroline Morais Duarte - 20/02/2025 12:31:21</t>
  </si>
  <si>
    <t>Paula Caroline Morais Duarte - 20/02/2025 12:31:22</t>
  </si>
  <si>
    <t>Paula Caroline Morais Duarte - 20/02/2025 12:31:27</t>
  </si>
  <si>
    <t>Paula Caroline Morais Duarte - 20/02/2025 12:31:28</t>
  </si>
  <si>
    <t>Paula Caroline Morais Duarte - 20/02/2025 12:31:30</t>
  </si>
  <si>
    <t>Alisson Airton Sobrinho - 27/02/2025 13:38:23</t>
  </si>
  <si>
    <t>Alisson Airton Sobrinho - 27/02/2025 13:38:24</t>
  </si>
  <si>
    <t>Alisson Airton Sobrinho - 27/02/2025 13:38:26</t>
  </si>
  <si>
    <t>Alisson Airton Sobrinho - 27/02/2025 13:38:28</t>
  </si>
  <si>
    <t>Alisson Airton Sobrinho - 27/02/2025 13:38:43</t>
  </si>
  <si>
    <t>Alisson Airton Sobrinho - 27/02/2025 13:38:41</t>
  </si>
  <si>
    <t>Alisson Airton Sobrinho - 27/02/2025 13:38:45</t>
  </si>
  <si>
    <t>Alisson Airton Sobrinho - 27/02/2025 13:38:48</t>
  </si>
  <si>
    <t>Alisson Airton Sobrinho - 27/02/2025 13:38:50</t>
  </si>
  <si>
    <t>Alisson Airton Sobrinho - 27/02/2025 13:38:51</t>
  </si>
  <si>
    <t>Alisson Airton Sobrinho - 27/02/2025 13:38:52</t>
  </si>
  <si>
    <t>Base de Dados_Images/SF8101.Imagem do Equipamento-.153202.jpg</t>
  </si>
  <si>
    <t>Paula Caroline Morais Duarte - 20/02/2025 12:31:49</t>
  </si>
  <si>
    <t>SF8102</t>
  </si>
  <si>
    <t>Soprador De Fuligem Nº 02</t>
  </si>
  <si>
    <t>Paula Caroline Morais Duarte - 17/02/2025 09:52:37</t>
  </si>
  <si>
    <t>Paula Caroline Morais Duarte - 17/02/2025 09:52:39</t>
  </si>
  <si>
    <t>Paula Caroline Morais Duarte - 17/02/2025 09:52:41</t>
  </si>
  <si>
    <t>Paula Caroline Morais Duarte - 17/02/2025 09:52:42</t>
  </si>
  <si>
    <t>Paula Caroline Morais Duarte - 17/02/2025 09:52:46</t>
  </si>
  <si>
    <t>Paula Caroline Morais Duarte - 17/02/2025 09:52:48</t>
  </si>
  <si>
    <t>Paula Caroline Morais Duarte - 17/02/2025 09:52:50</t>
  </si>
  <si>
    <t>Paula Caroline Morais Duarte - 17/02/2025 09:52:56</t>
  </si>
  <si>
    <t>Paula Caroline Morais Duarte - 17/02/2025 09:53:00</t>
  </si>
  <si>
    <t>Paula Caroline Morais Duarte - 17/02/2025 09:53:05</t>
  </si>
  <si>
    <t>Paula Caroline Morais Duarte - 17/02/2025 09:53:07</t>
  </si>
  <si>
    <t>Paula Caroline Morais Duarte - 17/02/2025 09:53:12</t>
  </si>
  <si>
    <t>Paula Caroline Morais Duarte - 17/02/2025 09:53:15</t>
  </si>
  <si>
    <t>Paula Caroline Morais Duarte - 17/02/2025 09:53:17</t>
  </si>
  <si>
    <t>Paula Caroline Morais Duarte - 03/03/2025 08:51:56</t>
  </si>
  <si>
    <t>Paula Caroline Morais Duarte - 03/03/2025 08:51:57</t>
  </si>
  <si>
    <t>Paula Caroline Morais Duarte - 03/03/2025 08:51:58</t>
  </si>
  <si>
    <t>Paula Caroline Morais Duarte - 03/03/2025 08:52:02</t>
  </si>
  <si>
    <t>Paula Caroline Morais Duarte - 03/03/2025 08:52:08</t>
  </si>
  <si>
    <t>Paula Caroline Morais Duarte - 03/03/2025 08:52:09</t>
  </si>
  <si>
    <t>Paula Caroline Morais Duarte - 03/03/2025 08:52:10</t>
  </si>
  <si>
    <t>Paula Caroline Morais Duarte - 03/03/2025 08:52:15</t>
  </si>
  <si>
    <t>Paula Caroline Morais Duarte - 03/03/2025 08:52:16</t>
  </si>
  <si>
    <t>Paula Caroline Morais Duarte - 03/03/2025 08:52:17</t>
  </si>
  <si>
    <t>Paula Caroline Morais Duarte - 03/03/2025 08:52:19</t>
  </si>
  <si>
    <t>Base de Dados_Images/SF8102.Imagem do Equipamento-.125244.jpg</t>
  </si>
  <si>
    <t>Paula Caroline Morais Duarte - 17/02/2025 09:52:25</t>
  </si>
  <si>
    <t>SF8103</t>
  </si>
  <si>
    <t>Soprador De Fuligem Nº 03</t>
  </si>
  <si>
    <t>Paula Caroline Morais Duarte - 20/02/2025 12:33:10</t>
  </si>
  <si>
    <t>Paula Caroline Morais Duarte - 20/02/2025 12:33:11</t>
  </si>
  <si>
    <t>Paula Caroline Morais Duarte - 20/02/2025 12:33:12</t>
  </si>
  <si>
    <t>Paula Caroline Morais Duarte - 20/02/2025 12:33:14</t>
  </si>
  <si>
    <t>Paula Caroline Morais Duarte - 20/02/2025 12:33:15</t>
  </si>
  <si>
    <t>Paula Caroline Morais Duarte - 20/02/2025 12:33:20</t>
  </si>
  <si>
    <t>Paula Caroline Morais Duarte - 20/02/2025 12:33:18</t>
  </si>
  <si>
    <t>Paula Caroline Morais Duarte - 20/02/2025 12:33:23</t>
  </si>
  <si>
    <t>Paula Caroline Morais Duarte - 20/02/2025 12:33:25</t>
  </si>
  <si>
    <t>Paula Caroline Morais Duarte - 20/02/2025 12:33:29</t>
  </si>
  <si>
    <t>Paula Caroline Morais Duarte - 20/02/2025 12:33:30</t>
  </si>
  <si>
    <t>Paula Caroline Morais Duarte - 20/02/2025 12:33:32</t>
  </si>
  <si>
    <t>Paula Caroline Morais Duarte - 20/02/2025 12:33:33</t>
  </si>
  <si>
    <t>Paula Caroline Morais Duarte - 20/02/2025 12:33:35</t>
  </si>
  <si>
    <t>Alisson Airton Sobrinho - 27/02/2025 13:39:01</t>
  </si>
  <si>
    <t>Alisson Airton Sobrinho - 27/02/2025 13:39:02</t>
  </si>
  <si>
    <t>Alisson Airton Sobrinho - 27/02/2025 13:39:07</t>
  </si>
  <si>
    <t>Alisson Airton Sobrinho - 27/02/2025 13:39:14</t>
  </si>
  <si>
    <t>Alisson Airton Sobrinho - 27/02/2025 13:39:16</t>
  </si>
  <si>
    <t>Alisson Airton Sobrinho - 27/02/2025 13:39:21</t>
  </si>
  <si>
    <t>Alisson Airton Sobrinho - 27/02/2025 13:39:22</t>
  </si>
  <si>
    <t>Alisson Airton Sobrinho - 27/02/2025 13:39:23</t>
  </si>
  <si>
    <t>Alisson Airton Sobrinho - 27/02/2025 13:39:24</t>
  </si>
  <si>
    <t>Base de Dados_Images/SF8103.Imagem do Equipamento-.153311.jpg</t>
  </si>
  <si>
    <t>Paula Caroline Morais Duarte - 20/02/2025 12:33:05</t>
  </si>
  <si>
    <t>SF8104</t>
  </si>
  <si>
    <t>Soprador De Fuligem Nº 04</t>
  </si>
  <si>
    <t>Paula Caroline Morais Duarte - 17/02/2025 09:51:03</t>
  </si>
  <si>
    <t>Paula Caroline Morais Duarte - 17/02/2025 09:51:04</t>
  </si>
  <si>
    <t>Paula Caroline Morais Duarte - 17/02/2025 09:51:05</t>
  </si>
  <si>
    <t>Paula Caroline Morais Duarte - 17/02/2025 09:51:06</t>
  </si>
  <si>
    <t>Paula Caroline Morais Duarte - 17/02/2025 09:51:14</t>
  </si>
  <si>
    <t>Paula Caroline Morais Duarte - 17/02/2025 09:51:15</t>
  </si>
  <si>
    <t>Paula Caroline Morais Duarte - 17/02/2025 09:51:17</t>
  </si>
  <si>
    <t>Paula Caroline Morais Duarte - 17/02/2025 09:51:21</t>
  </si>
  <si>
    <t>Paula Caroline Morais Duarte - 17/02/2025 09:51:24</t>
  </si>
  <si>
    <t>Paula Caroline Morais Duarte - 17/02/2025 09:51:22</t>
  </si>
  <si>
    <t>Paula Caroline Morais Duarte - 17/02/2025 09:51:29</t>
  </si>
  <si>
    <t>Paula Caroline Morais Duarte - 17/02/2025 09:51:32</t>
  </si>
  <si>
    <t>Paula Caroline Morais Duarte - 17/02/2025 09:51:33</t>
  </si>
  <si>
    <t>Paula Caroline Morais Duarte - 17/02/2025 09:51:34</t>
  </si>
  <si>
    <t>Paula Caroline Morais Duarte - 03/03/2025 08:51:23</t>
  </si>
  <si>
    <t>Paula Caroline Morais Duarte - 03/03/2025 08:51:24</t>
  </si>
  <si>
    <t>Paula Caroline Morais Duarte - 03/03/2025 08:51:26</t>
  </si>
  <si>
    <t>Paula Caroline Morais Duarte - 03/03/2025 08:51:27</t>
  </si>
  <si>
    <t>Paula Caroline Morais Duarte - 03/03/2025 08:51:33</t>
  </si>
  <si>
    <t>Paula Caroline Morais Duarte - 03/03/2025 08:51:34</t>
  </si>
  <si>
    <t>Paula Caroline Morais Duarte - 03/03/2025 08:51:35</t>
  </si>
  <si>
    <t>Paula Caroline Morais Duarte - 03/03/2025 08:51:46</t>
  </si>
  <si>
    <t>Paula Caroline Morais Duarte - 03/03/2025 08:51:47</t>
  </si>
  <si>
    <t>Paula Caroline Morais Duarte - 03/03/2025 08:51:48</t>
  </si>
  <si>
    <t>Paula Caroline Morais Duarte - 03/03/2025 08:51:49</t>
  </si>
  <si>
    <t>Base de Dados_Images/SF8104.Imagem do Equipamento-.125234.jpg</t>
  </si>
  <si>
    <t>Paula Caroline Morais Duarte - 17/02/2025 09:51:49</t>
  </si>
  <si>
    <t>SIT81070</t>
  </si>
  <si>
    <t>Transmissor Rotaçâo Turbo Bomba</t>
  </si>
  <si>
    <t>Weslley Ferreira Cooper - 31/01/2025 13:15:20</t>
  </si>
  <si>
    <t>Weslley Ferreira Cooper - 31/01/2025 13:15:19</t>
  </si>
  <si>
    <t>Weslley Ferreira Cooper - 31/01/2025 13:15:18</t>
  </si>
  <si>
    <t>Weslley Ferreira Cooper - 31/01/2025 13:15:16</t>
  </si>
  <si>
    <t>Rafael Roldão Rodrigues - 03/03/2025 11:52:57</t>
  </si>
  <si>
    <t>Rafael Roldão Rodrigues - 03/03/2025 11:52:58</t>
  </si>
  <si>
    <t>Rafael Roldão Rodrigues - 03/03/2025 11:53:03</t>
  </si>
  <si>
    <t>Rafael Roldão Rodrigues - 03/03/2025 11:53:04</t>
  </si>
  <si>
    <t>Alisson Airton Sobrinho - 17/03/2025 16:06:51</t>
  </si>
  <si>
    <t>Alisson Airton Sobrinho - 17/03/2025 16:06:52</t>
  </si>
  <si>
    <t>Base de Dados_Images/SIT81070.Imagem do Equipamento-.165703.jpg</t>
  </si>
  <si>
    <t>Weslley Ferreira Cooper - 31/01/2025 13:15:09</t>
  </si>
  <si>
    <t>SIT88021</t>
  </si>
  <si>
    <t>Rotação Da Turbina</t>
  </si>
  <si>
    <t>Weslley Ferreira Cooper - 05/02/2025 16:38:46</t>
  </si>
  <si>
    <t>Weslley Ferreira Cooper - 05/02/2025 16:38:44</t>
  </si>
  <si>
    <t>Weslley Ferreira Cooper - 05/02/2025 16:38:43</t>
  </si>
  <si>
    <t>Hugo Luis Leonel - 26/02/2025 12:15:20</t>
  </si>
  <si>
    <t>Hugo Luis Leonel - 26/02/2025 12:15:22</t>
  </si>
  <si>
    <t>Hugo Luis Leonel - 26/02/2025 12:15:23</t>
  </si>
  <si>
    <t>Rafael Roldão Rodrigues - 03/03/2025 11:05:07</t>
  </si>
  <si>
    <t>Rafael Roldão Rodrigues - 03/03/2025 11:05:08</t>
  </si>
  <si>
    <t>Paula Caroline Morais Duarte - 03/03/2025 16:11:21</t>
  </si>
  <si>
    <t>Weslley Ferreira Cooper - 02/05/2025 16:38:37</t>
  </si>
  <si>
    <t>Sistema De Coleta</t>
  </si>
  <si>
    <t>Amostrador/Sonda Oblíqua</t>
  </si>
  <si>
    <t>SONDA_PCTS</t>
  </si>
  <si>
    <t>Sonda Oblíqua Pcts</t>
  </si>
  <si>
    <t>Natanaelson Santana Fonseca - 05/02/2025 12:33:43</t>
  </si>
  <si>
    <t>Natanaelson Santana Fonseca - 05/02/2025 14:27:22</t>
  </si>
  <si>
    <t>Natanaelson Santana Fonseca - 05/02/2025 14:20:19</t>
  </si>
  <si>
    <t>Natanaelson Santana Fonseca - 05/02/2025 12:34:14</t>
  </si>
  <si>
    <t>Natanaelson Santana Fonseca - 05/02/2025 14:22:13</t>
  </si>
  <si>
    <t>Natanaelson Santana Fonseca - 05/02/2025 14:23:37</t>
  </si>
  <si>
    <t>Natanaelson Santana Fonseca - 05/02/2025 14:23:45</t>
  </si>
  <si>
    <t>Natanaelson Santana Fonseca - 05/02/2025 14:23:51</t>
  </si>
  <si>
    <t>Natanaelson Santana Fonseca - 05/02/2025 14:23:58</t>
  </si>
  <si>
    <t>Natanaelson Santana Fonseca - 05/02/2025 14:24:19</t>
  </si>
  <si>
    <t>Natanaelson Santana Fonseca - 05/02/2025 14:27:15</t>
  </si>
  <si>
    <t>Natanaelson Santana Fonseca - 05/02/2025 12:34:59</t>
  </si>
  <si>
    <t>Natanaelson Santana Fonseca - 05/02/2025 14:25:05</t>
  </si>
  <si>
    <t>Natanaelson Santana Fonseca - 05/02/2025 14:25:12</t>
  </si>
  <si>
    <t>Natanaelson Santana Fonseca - 05/02/2025 14:25:20</t>
  </si>
  <si>
    <t>Natanaelson Santana Fonseca - 05/02/2025 14:25:24</t>
  </si>
  <si>
    <t>Natanaelson Santana Fonseca - 05/02/2025 14:25:41</t>
  </si>
  <si>
    <t>Natanaelson Santana Fonseca - 05/02/2025 14:26:35</t>
  </si>
  <si>
    <t>Natanaelson Santana Fonseca - 05/02/2025 14:26:52</t>
  </si>
  <si>
    <t>Natanaelson Santana Fonseca - 05/02/2025 14:26:56</t>
  </si>
  <si>
    <t>Natanaelson Santana Fonseca - 05/02/2025 14:27:01</t>
  </si>
  <si>
    <t>Natanaelson Santana Fonseca - 05/02/2025 14:27:08</t>
  </si>
  <si>
    <t>Beatriz Alves Nunes de Paulo - 06/03/2025 10:36:02</t>
  </si>
  <si>
    <t>Natanaelson Santana Fonseca - 26/02/2025 07:07:56</t>
  </si>
  <si>
    <t>Beatriz Alves Nunes de Paulo - 06/03/2025 10:36:03</t>
  </si>
  <si>
    <t>Beatriz Alves Nunes de Paulo - 06/03/2025 10:36:05</t>
  </si>
  <si>
    <t>Beatriz Alves Nunes de Paulo - 06/03/2025 10:36:06</t>
  </si>
  <si>
    <t>Natanaelson Santana Fonseca - 26/02/2025 07:08:11</t>
  </si>
  <si>
    <t>Natanaelson Santana Fonseca - 26/02/2025 07:08:13</t>
  </si>
  <si>
    <t>Natanaelson Santana Fonseca - 06/03/2025 23:53:50</t>
  </si>
  <si>
    <t>Natanaelson Santana Fonseca - 06/03/2025 23:53:52</t>
  </si>
  <si>
    <t>Natanaelson Santana Fonseca - 06/03/2025 23:53:53</t>
  </si>
  <si>
    <t>Natanaelson Santana Fonseca - 06/03/2025 23:53:54</t>
  </si>
  <si>
    <t>Base de Dados_Images/SONDA_PCTS.Imagem do Equipamento-.173339.jpg</t>
  </si>
  <si>
    <t>Natanaelson Santana Fonseca - 05/02/2025 14:33:32</t>
  </si>
  <si>
    <t>Sx 2103</t>
  </si>
  <si>
    <t>Bomba óleo turbina 4° e 5°</t>
  </si>
  <si>
    <t>Alisson Airton Sobrinho - 17/02/2025 16:30:34</t>
  </si>
  <si>
    <t>Alisson Airton Sobrinho - 17/02/2025 16:30:35</t>
  </si>
  <si>
    <t>Alisson Airton Sobrinho - 17/02/2025 16:30:36</t>
  </si>
  <si>
    <t>Alisson Airton Sobrinho - 17/02/2025 16:30:37</t>
  </si>
  <si>
    <t>Alisson Airton Sobrinho - 17/02/2025 16:30:40</t>
  </si>
  <si>
    <t>Alisson Airton Sobrinho - 17/02/2025 16:30:39</t>
  </si>
  <si>
    <t>Alisson Airton Sobrinho - 17/02/2025 16:30:42</t>
  </si>
  <si>
    <t>Alisson Airton Sobrinho - 17/02/2025 16:30:45</t>
  </si>
  <si>
    <t>Alisson Airton Sobrinho - 17/02/2025 16:30:46</t>
  </si>
  <si>
    <t>Alisson Airton Sobrinho - 17/02/2025 16:30:48</t>
  </si>
  <si>
    <t>Alisson Airton Sobrinho - 17/02/2025 16:30:49</t>
  </si>
  <si>
    <t>Alisson Airton Sobrinho - 17/02/2025 16:30:50</t>
  </si>
  <si>
    <t>Alisson Airton Sobrinho - 17/02/2025 16:30:51</t>
  </si>
  <si>
    <t>Paula Caroline Morais Duarte - 20/02/2025 08:13:47</t>
  </si>
  <si>
    <t>Paula Caroline Morais Duarte - 20/02/2025 08:13:48</t>
  </si>
  <si>
    <t>Paula Caroline Morais Duarte - 20/02/2025 08:13:50</t>
  </si>
  <si>
    <t>Paula Caroline Morais Duarte - 20/02/2025 08:13:51</t>
  </si>
  <si>
    <t>Paula Caroline Morais Duarte - 20/02/2025 08:13:52</t>
  </si>
  <si>
    <t>Paula Caroline Morais Duarte - 20/02/2025 08:13:54</t>
  </si>
  <si>
    <t>Paula Caroline Morais Duarte - 20/02/2025 08:13:58</t>
  </si>
  <si>
    <t>Paula Caroline Morais Duarte - 20/02/2025 08:13:59</t>
  </si>
  <si>
    <t>Paula Caroline Morais Duarte - 20/02/2025 08:14:00</t>
  </si>
  <si>
    <t>Paula Caroline Morais Duarte - 20/02/2025 08:14:08</t>
  </si>
  <si>
    <t>Alisson Airton Sobrinho - 07/03/2025 07:43:53</t>
  </si>
  <si>
    <t>Alisson Airton Sobrinho - 07/03/2025 07:43:54</t>
  </si>
  <si>
    <t>Alisson Airton Sobrinho - 07/03/2025 07:43:55</t>
  </si>
  <si>
    <t>Base de Dados_Images/Sx 2103.Imagem do Equipamento-.193437.jpg</t>
  </si>
  <si>
    <t>Alisson Airton Sobrinho - 17/02/2025 16:34:33</t>
  </si>
  <si>
    <t>Base de Dados_Images/Sx 2103.Imagem da Plaqueta do Motor-.193431.jpg</t>
  </si>
  <si>
    <t>Alisson Airton Sobrinho - 17/02/2025 16:34:25</t>
  </si>
  <si>
    <t>SX2101</t>
  </si>
  <si>
    <t>Bomba de Óleo turbina 1° terno</t>
  </si>
  <si>
    <t>Paula Caroline Morais Duarte - 05/02/2025 10:16:11</t>
  </si>
  <si>
    <t>Paula Caroline Morais Duarte - 05/02/2025 10:16:12</t>
  </si>
  <si>
    <t>Paula Caroline Morais Duarte - 05/02/2025 10:16:14</t>
  </si>
  <si>
    <t>Paula Caroline Morais Duarte - 05/02/2025 10:16:16</t>
  </si>
  <si>
    <t>Paula Caroline Morais Duarte - 05/02/2025 10:16:18</t>
  </si>
  <si>
    <t>Paula Caroline Morais Duarte - 05/02/2025 10:16:21</t>
  </si>
  <si>
    <t>Paula Caroline Morais Duarte - 05/02/2025 10:16:23</t>
  </si>
  <si>
    <t>Paula Caroline Morais Duarte - 05/02/2025 10:16:43</t>
  </si>
  <si>
    <t>Paula Caroline Morais Duarte - 05/02/2025 10:16:47</t>
  </si>
  <si>
    <t>Paula Caroline Morais Duarte - 05/02/2025 10:16:54</t>
  </si>
  <si>
    <t>Paula Caroline Morais Duarte - 05/02/2025 10:16:56</t>
  </si>
  <si>
    <t>Paula Caroline Morais Duarte - 05/02/2025 10:16:58</t>
  </si>
  <si>
    <t>Paula Caroline Morais Duarte - 05/02/2025 10:16:59</t>
  </si>
  <si>
    <t>Paula Caroline Morais Duarte - 05/02/2025 10:17:02</t>
  </si>
  <si>
    <t>Paula Caroline Morais Duarte - 05/02/2025 10:17:04</t>
  </si>
  <si>
    <t>Paula Caroline Morais Duarte - 05/02/2025 10:17:06</t>
  </si>
  <si>
    <t>Paula Caroline Morais Duarte - 05/02/2025 16:35:02</t>
  </si>
  <si>
    <t>Paula Caroline Morais Duarte - 05/02/2025 16:35:05</t>
  </si>
  <si>
    <t>Paula Caroline Morais Duarte - 05/02/2025 16:35:07</t>
  </si>
  <si>
    <t>Paula Caroline Morais Duarte - 05/02/2025 16:35:09</t>
  </si>
  <si>
    <t>Paula Caroline Morais Duarte - 20/02/2025 08:20:31</t>
  </si>
  <si>
    <t>Paula Caroline Morais Duarte - 20/02/2025 08:20:32</t>
  </si>
  <si>
    <t>Paula Caroline Morais Duarte - 20/02/2025 08:20:33</t>
  </si>
  <si>
    <t>Paula Caroline Morais Duarte - 20/02/2025 08:20:34</t>
  </si>
  <si>
    <t>Alisson Airton Sobrinho - 07/03/2025 07:41:31</t>
  </si>
  <si>
    <t>Alisson Airton Sobrinho - 07/03/2025 07:41:32</t>
  </si>
  <si>
    <t>Alisson Airton Sobrinho - 07/03/2025 07:41:33</t>
  </si>
  <si>
    <t>Alisson Airton Sobrinho - 07/03/2025 07:41:34</t>
  </si>
  <si>
    <t>Paula Caroline Morais Duarte - 02/05/2025 10:15:18</t>
  </si>
  <si>
    <t>SX2102</t>
  </si>
  <si>
    <t>Bomba Óleo turbina 2° e 3° terno</t>
  </si>
  <si>
    <t>Paula Caroline Morais Duarte - 01/02/2025 10:21:28</t>
  </si>
  <si>
    <t>Paula Caroline Morais Duarte - 01/02/2025 10:21:29</t>
  </si>
  <si>
    <t>Paula Caroline Morais Duarte - 01/02/2025 10:22:59</t>
  </si>
  <si>
    <t>Paula Caroline Morais Duarte - 01/02/2025 10:23:02</t>
  </si>
  <si>
    <t>Paula Caroline Morais Duarte - 01/02/2025 10:23:04</t>
  </si>
  <si>
    <t>Paula Caroline Morais Duarte - 01/02/2025 10:23:05</t>
  </si>
  <si>
    <t>Paula Caroline Morais Duarte - 01/02/2025 10:23:08</t>
  </si>
  <si>
    <t>Paula Caroline Morais Duarte - 01/02/2025 10:23:09</t>
  </si>
  <si>
    <t>Paula Caroline Morais Duarte - 01/02/2025 10:23:11</t>
  </si>
  <si>
    <t>Paula Caroline Morais Duarte - 01/02/2025 10:27:38</t>
  </si>
  <si>
    <t>Paula Caroline Morais Duarte - 01/02/2025 10:23:14</t>
  </si>
  <si>
    <t>Paula Caroline Morais Duarte - 01/02/2025 10:23:16</t>
  </si>
  <si>
    <t>Paula Caroline Morais Duarte - 01/02/2025 10:23:17</t>
  </si>
  <si>
    <t>Paula Caroline Morais Duarte - 01/02/2025 10:23:19</t>
  </si>
  <si>
    <t>Paula Caroline Morais Duarte - 01/02/2025 10:23:21</t>
  </si>
  <si>
    <t>Paula Caroline Morais Duarte - 01/02/2025 10:23:20</t>
  </si>
  <si>
    <t>Paula Caroline Morais Duarte - 06/02/2025 11:15:06</t>
  </si>
  <si>
    <t>Paula Caroline Morais Duarte - 06/02/2025 11:15:07</t>
  </si>
  <si>
    <t>Paula Caroline Morais Duarte - 06/02/2025 11:15:11</t>
  </si>
  <si>
    <t>Paula Caroline Morais Duarte - 06/02/2025 11:15:13</t>
  </si>
  <si>
    <t>Paula Caroline Morais Duarte - 06/02/2025 11:15:28</t>
  </si>
  <si>
    <t>Paula Caroline Morais Duarte - 20/02/2025 08:26:15</t>
  </si>
  <si>
    <t>Paula Caroline Morais Duarte - 20/02/2025 08:26:16</t>
  </si>
  <si>
    <t>Paula Caroline Morais Duarte - 20/02/2025 08:26:17</t>
  </si>
  <si>
    <t>Paula Caroline Morais Duarte - 20/02/2025 08:26:18</t>
  </si>
  <si>
    <t>Alisson Airton Sobrinho - 07/03/2025 07:42:06</t>
  </si>
  <si>
    <t>Alisson Airton Sobrinho - 07/03/2025 07:42:10</t>
  </si>
  <si>
    <t>Base de Dados_Images/SX2102.Imagem do Equipamento-.135412.jpg</t>
  </si>
  <si>
    <t>Paula Caroline Morais Duarte - 01/02/2025 10:20:40</t>
  </si>
  <si>
    <t>Base de Dados_Images/SX2102.Imagem da Plaqueta do Motor-.135413.jpg</t>
  </si>
  <si>
    <t>Paula Caroline Morais Duarte - 01/02/2025 10:21:00</t>
  </si>
  <si>
    <t>SX2104</t>
  </si>
  <si>
    <t>Bomba Óleo turbina 6° terno</t>
  </si>
  <si>
    <t>Weslley Ferreira Cooper - 29/01/2025 11:53:10</t>
  </si>
  <si>
    <t>Weslley Ferreira Cooper - 29/01/2025 11:53:11</t>
  </si>
  <si>
    <t>Weslley Ferreira Cooper - 29/01/2025 11:53:33</t>
  </si>
  <si>
    <t>Weslley Ferreira Cooper - 29/01/2025 11:53:30</t>
  </si>
  <si>
    <t>Weslley Ferreira Cooper - 29/01/2025 11:53:27</t>
  </si>
  <si>
    <t>Weslley Ferreira Cooper - 29/01/2025 11:53:26</t>
  </si>
  <si>
    <t>Weslley Ferreira Cooper - 29/01/2025 11:53:22</t>
  </si>
  <si>
    <t>Weslley Ferreira Cooper - 29/01/2025 11:53:21</t>
  </si>
  <si>
    <t>Weslley Ferreira Cooper - 29/01/2025 11:53:20</t>
  </si>
  <si>
    <t>Paula Caroline Morais Duarte - 01/02/2025 10:29:14</t>
  </si>
  <si>
    <t>Weslley Ferreira Cooper - 29/01/2025 11:53:16</t>
  </si>
  <si>
    <t>Weslley Ferreira Cooper - 29/01/2025 11:53:15</t>
  </si>
  <si>
    <t>Weslley Ferreira Cooper - 29/01/2025 11:53:14</t>
  </si>
  <si>
    <t>Paula Caroline Morais Duarte - 20/02/2025 08:07:36</t>
  </si>
  <si>
    <t>Paula Caroline Morais Duarte - 20/02/2025 08:07:37</t>
  </si>
  <si>
    <t>Paula Caroline Morais Duarte - 20/02/2025 08:07:40</t>
  </si>
  <si>
    <t>Paula Caroline Morais Duarte - 20/02/2025 08:07:39</t>
  </si>
  <si>
    <t>Paula Caroline Morais Duarte - 20/02/2025 08:07:42</t>
  </si>
  <si>
    <t>Paula Caroline Morais Duarte - 20/02/2025 08:07:45</t>
  </si>
  <si>
    <t>Paula Caroline Morais Duarte - 20/02/2025 08:07:50</t>
  </si>
  <si>
    <t>Paula Caroline Morais Duarte - 20/02/2025 08:07:51</t>
  </si>
  <si>
    <t>Paula Caroline Morais Duarte - 20/02/2025 08:07:53</t>
  </si>
  <si>
    <t>Paula Caroline Morais Duarte - 20/02/2025 08:07:55</t>
  </si>
  <si>
    <t>Alisson Airton Sobrinho - 07/03/2025 07:44:18</t>
  </si>
  <si>
    <t>Alisson Airton Sobrinho - 07/03/2025 07:44:19</t>
  </si>
  <si>
    <t>Alisson Airton Sobrinho - 07/03/2025 07:44:20</t>
  </si>
  <si>
    <t>Alisson Airton Sobrinho - 07/03/2025 07:44:21</t>
  </si>
  <si>
    <t>Base de Dados_Images/SX2104.Imagem do Equipamento-.135537.jpg</t>
  </si>
  <si>
    <t>Paula Caroline Morais Duarte - 01/02/2025 10:29:44</t>
  </si>
  <si>
    <t>Base de Dados_Images/SX2104.Imagem da Plaqueta do Motor-.135549.jpg</t>
  </si>
  <si>
    <t>Paula Caroline Morais Duarte - 01/02/2025 10:30:06</t>
  </si>
  <si>
    <t>SX8801</t>
  </si>
  <si>
    <t>Bomba De Oleo Auxiliar Do Gerador</t>
  </si>
  <si>
    <t>Weslley Ferreira Cooper - 29/01/2025 15:06:13</t>
  </si>
  <si>
    <t>Weslley Ferreira Cooper - 29/01/2025 15:06:12</t>
  </si>
  <si>
    <t>Weslley Ferreira Cooper - 29/01/2025 15:06:10</t>
  </si>
  <si>
    <t>Weslley Ferreira Cooper - 29/01/2025 15:06:08</t>
  </si>
  <si>
    <t>Weslley Ferreira Cooper - 29/01/2025 15:06:07</t>
  </si>
  <si>
    <t>Weslley Ferreira Cooper - 29/01/2025 15:06:05</t>
  </si>
  <si>
    <t>Weslley Ferreira Cooper - 29/01/2025 15:06:02</t>
  </si>
  <si>
    <t>Weslley Ferreira Cooper - 29/01/2025 15:06:01</t>
  </si>
  <si>
    <t>Weslley Ferreira Cooper - 29/01/2025 15:06:00</t>
  </si>
  <si>
    <t>Weslley Ferreira Cooper - 29/01/2025 15:05:57</t>
  </si>
  <si>
    <t>Weslley Ferreira Cooper - 29/01/2025 15:05:56</t>
  </si>
  <si>
    <t>Weslley Ferreira Cooper - 29/01/2025 15:05:54</t>
  </si>
  <si>
    <t>Weslley Ferreira Cooper - 29/01/2025 15:05:51</t>
  </si>
  <si>
    <t>Weslley Ferreira Cooper - 29/01/2025 15:05:49</t>
  </si>
  <si>
    <t>Weslley Ferreira Cooper - 29/01/2025 15:05:48</t>
  </si>
  <si>
    <t>Weslley Ferreira Cooper - 29/01/2025 15:05:47</t>
  </si>
  <si>
    <t>Rafael Roldão Rodrigues - 03/03/2025 11:01:13</t>
  </si>
  <si>
    <t>Rafael Roldão Rodrigues - 03/03/2025 11:01:14</t>
  </si>
  <si>
    <t>Rafael Roldão Rodrigues - 03/03/2025 11:01:15</t>
  </si>
  <si>
    <t>Rafael Roldão Rodrigues - 03/03/2025 11:01:18</t>
  </si>
  <si>
    <t>Rafael Roldão Rodrigues - 03/03/2025 11:01:20</t>
  </si>
  <si>
    <t>Rafael Roldão Rodrigues - 03/03/2025 11:01:22</t>
  </si>
  <si>
    <t>Rafael Roldão Rodrigues - 03/03/2025 11:01:27</t>
  </si>
  <si>
    <t>Rafael Roldão Rodrigues - 03/03/2025 11:01:28</t>
  </si>
  <si>
    <t>Rafael Roldão Rodrigues - 03/03/2025 11:01:30</t>
  </si>
  <si>
    <t>Rafael Roldão Rodrigues - 03/03/2025 11:01:31</t>
  </si>
  <si>
    <t>Paula Caroline Morais Duarte - 03/03/2025 16:09:24</t>
  </si>
  <si>
    <t>Paula Caroline Morais Duarte - 03/03/2025 16:09:25</t>
  </si>
  <si>
    <t>Paula Caroline Morais Duarte - 03/03/2025 16:09:26</t>
  </si>
  <si>
    <t>Paula Caroline Morais Duarte - 03/03/2025 16:09:27</t>
  </si>
  <si>
    <t>Weslley Ferreira Cooper - 01/29/2025 15:05:36</t>
  </si>
  <si>
    <t>TCV20017</t>
  </si>
  <si>
    <t>Valvula Controle Temperatura Oleo Desfibrador</t>
  </si>
  <si>
    <t>Paula Caroline Morais Duarte - 29/01/2025 10:39:49</t>
  </si>
  <si>
    <t>Paula Caroline Morais Duarte - 29/01/2025 10:39:51</t>
  </si>
  <si>
    <t>Paula Caroline Morais Duarte - 29/01/2025 10:40:04</t>
  </si>
  <si>
    <t>Paula Caroline Morais Duarte - 29/01/2025 10:39:55</t>
  </si>
  <si>
    <t>Paula Caroline Morais Duarte - 29/01/2025 10:40:01</t>
  </si>
  <si>
    <t>Paula Caroline Morais Duarte - 29/01/2025 10:40:07</t>
  </si>
  <si>
    <t>Paula Caroline Morais Duarte - 29/01/2025 10:40:09</t>
  </si>
  <si>
    <t>Paula Caroline Morais Duarte - 29/01/2025 10:40:11</t>
  </si>
  <si>
    <t>Paula Caroline Morais Duarte - 06/02/2025 09:51:39</t>
  </si>
  <si>
    <t>Paula Caroline Morais Duarte - 06/02/2025 09:51:40</t>
  </si>
  <si>
    <t>Rafael Roldão Rodrigues - 03/03/2025 11:13:11</t>
  </si>
  <si>
    <t>Alisson Airton Sobrinho - 07/03/2025 06:22:40</t>
  </si>
  <si>
    <t>Base de Dados_Images/TCV20017.Imagem do Equipamento-.134849.jpg</t>
  </si>
  <si>
    <t>Paula Caroline Morais Duarte - 29/01/2025 10:39:42</t>
  </si>
  <si>
    <t>TCV20036</t>
  </si>
  <si>
    <t>Valvula Controle Temperatura Oleo 1° Terno</t>
  </si>
  <si>
    <t>Paula Caroline Morais Duarte - 22/01/2025 15:22:01</t>
  </si>
  <si>
    <t>Paula Caroline Morais Duarte - 22/01/2025 15:22:04</t>
  </si>
  <si>
    <t>Paula Caroline Morais Duarte - 22/01/2025 15:22:06</t>
  </si>
  <si>
    <t>Paula Caroline Morais Duarte - 22/01/2025 15:22:13</t>
  </si>
  <si>
    <t>Paula Caroline Morais Duarte - 22/01/2025 15:22:14</t>
  </si>
  <si>
    <t>Paula Caroline Morais Duarte - 22/01/2025 15:22:16</t>
  </si>
  <si>
    <t>Paula Caroline Morais Duarte - 22/01/2025 15:22:18</t>
  </si>
  <si>
    <t>Paula Caroline Morais Duarte - 22/01/2025 15:22:25</t>
  </si>
  <si>
    <t>Paula Caroline Morais Duarte - 10/02/2025 15:53:35</t>
  </si>
  <si>
    <t>Rafael Roldão Rodrigues - 03/03/2025 11:16:33</t>
  </si>
  <si>
    <t>Alisson Airton Sobrinho - 07/03/2025 06:34:09</t>
  </si>
  <si>
    <t>Base de Dados_Images/TCV20036.Imagem do Equipamento-.191106.jpg</t>
  </si>
  <si>
    <t>Paula Caroline Morais Duarte - 22/01/2025 15:21:47</t>
  </si>
  <si>
    <t>TCV20045</t>
  </si>
  <si>
    <t>Valvula Controle Temperatura Oleo 2/3° Ternos</t>
  </si>
  <si>
    <t>Paula Caroline Morais Duarte - 29/01/2025 11:05:12</t>
  </si>
  <si>
    <t>Paula Caroline Morais Duarte - 29/01/2025 11:05:14</t>
  </si>
  <si>
    <t>Paula Caroline Morais Duarte - 29/01/2025 11:05:33</t>
  </si>
  <si>
    <t>Paula Caroline Morais Duarte - 29/01/2025 11:05:31</t>
  </si>
  <si>
    <t>Paula Caroline Morais Duarte - 29/01/2025 11:05:58</t>
  </si>
  <si>
    <t>Paula Caroline Morais Duarte - 29/01/2025 11:06:03</t>
  </si>
  <si>
    <t>Paula Caroline Morais Duarte - 29/01/2025 11:06:05</t>
  </si>
  <si>
    <t>Paula Caroline Morais Duarte - 29/01/2025 11:06:07</t>
  </si>
  <si>
    <t>Paula Caroline Morais Duarte - 06/02/2025 11:17:17</t>
  </si>
  <si>
    <t>Paula Caroline Morais Duarte - 06/02/2025 11:17:18</t>
  </si>
  <si>
    <t>Paula Caroline Morais Duarte - 20/02/2025 08:23:21</t>
  </si>
  <si>
    <t>Alisson Airton Sobrinho - 07/03/2025 06:46:13</t>
  </si>
  <si>
    <t>Base de Dados_Images/TCV20045.Imagem do Equipamento-.141220.jpg</t>
  </si>
  <si>
    <t>Paula Caroline Morais Duarte - 29/01/2025 11:05:00</t>
  </si>
  <si>
    <t>TCV20067</t>
  </si>
  <si>
    <t>Valvula Controle Temperatura Oleo 4/5º Ternos</t>
  </si>
  <si>
    <t>Paula Caroline Morais Duarte - 10/02/2025 15:38:34</t>
  </si>
  <si>
    <t>Paula Caroline Morais Duarte - 10/02/2025 15:38:35</t>
  </si>
  <si>
    <t>Paula Caroline Morais Duarte - 10/02/2025 15:38:38</t>
  </si>
  <si>
    <t>Paula Caroline Morais Duarte - 10/02/2025 15:38:39</t>
  </si>
  <si>
    <t>Paula Caroline Morais Duarte - 10/02/2025 15:38:41</t>
  </si>
  <si>
    <t>Paula Caroline Morais Duarte - 10/02/2025 15:38:43</t>
  </si>
  <si>
    <t>Paula Caroline Morais Duarte - 10/02/2025 15:38:45</t>
  </si>
  <si>
    <t>Paula Caroline Morais Duarte - 10/02/2025 15:38:50</t>
  </si>
  <si>
    <t>Paula Caroline Morais Duarte - 10/02/2025 15:38:51</t>
  </si>
  <si>
    <t>Paula Caroline Morais Duarte - 20/02/2025 08:11:43</t>
  </si>
  <si>
    <t>Alisson Airton Sobrinho - 07/03/2025 06:55:44</t>
  </si>
  <si>
    <t>Base de Dados_Images/TCV20067.Imagem do Equipamento-.111712.jpg</t>
  </si>
  <si>
    <t>Paula Caroline Morais Duarte - 20/02/2025 08:17:07</t>
  </si>
  <si>
    <t>TCV20089</t>
  </si>
  <si>
    <t>Valvula Controle Temperatura Oleo 6º Ternos</t>
  </si>
  <si>
    <t>Weslley Ferreira Cooper - 29/01/2025 11:57:18</t>
  </si>
  <si>
    <t>Weslley Ferreira Cooper - 29/01/2025 11:57:17</t>
  </si>
  <si>
    <t>Weslley Ferreira Cooper - 29/01/2025 11:57:16</t>
  </si>
  <si>
    <t>Weslley Ferreira Cooper - 29/01/2025 11:57:14</t>
  </si>
  <si>
    <t>Weslley Ferreira Cooper - 29/01/2025 11:57:13</t>
  </si>
  <si>
    <t>Weslley Ferreira Cooper - 29/01/2025 11:57:11</t>
  </si>
  <si>
    <t>Weslley Ferreira Cooper - 29/01/2025 11:57:10</t>
  </si>
  <si>
    <t>Weslley Ferreira Cooper - 29/01/2025 11:57:09</t>
  </si>
  <si>
    <t>Paula Caroline Morais Duarte - 10/02/2025 14:59:34</t>
  </si>
  <si>
    <t>Paula Caroline Morais Duarte - 10/02/2025 14:59:35</t>
  </si>
  <si>
    <t>Paula Caroline Morais Duarte - 20/02/2025 08:05:18</t>
  </si>
  <si>
    <t>Alisson Airton Sobrinho - 07/03/2025 06:57:29</t>
  </si>
  <si>
    <t>Base de Dados_Images/TCV20089.Imagem do Equipamento-.152105.jpg</t>
  </si>
  <si>
    <t>Weslley Ferreira Cooper - 29/01/2025 11:56:54</t>
  </si>
  <si>
    <t>TCV35008</t>
  </si>
  <si>
    <t>Válvula Temperatura Água Embebição</t>
  </si>
  <si>
    <t>Erico Borges De Freitas - 01/02/2025 10:53:46</t>
  </si>
  <si>
    <t>Erico Borges De Freitas - 01/02/2025 10:53:43</t>
  </si>
  <si>
    <t>Erico Borges De Freitas - 01/02/2025 10:53:39</t>
  </si>
  <si>
    <t>Erico Borges De Freitas - 01/02/2025 10:53:37</t>
  </si>
  <si>
    <t>Erico Borges De Freitas - 01/02/2025 10:53:30</t>
  </si>
  <si>
    <t>Erico Borges De Freitas - 01/02/2025 10:53:28</t>
  </si>
  <si>
    <t>Erico Borges De Freitas - 01/02/2025 10:53:25</t>
  </si>
  <si>
    <t>Erico Borges De Freitas - 01/02/2025 10:53:22</t>
  </si>
  <si>
    <t>Alisson Airton Sobrinho - 03/03/2025 10:49:10</t>
  </si>
  <si>
    <t>Alisson Airton Sobrinho - 03/03/2025 10:49:11</t>
  </si>
  <si>
    <t>Alisson Airton Sobrinho - 03/03/2025 10:49:15</t>
  </si>
  <si>
    <t>Beatriz Alves Nunes de Paulo - 06/03/2025 08:42:00</t>
  </si>
  <si>
    <t>Base de Dados_Images/TCV35008.Imagem do Equipamento-.135307.jpg</t>
  </si>
  <si>
    <t>Erico Borges De Freitas - 01/02/2025 10:52:53</t>
  </si>
  <si>
    <t>Mosto Trocador 01</t>
  </si>
  <si>
    <t>TCV65011</t>
  </si>
  <si>
    <t>Válvula Agua Trocador Mosto 1</t>
  </si>
  <si>
    <t>Libner Ferreira De Morais - 06/02/2025 14:06:36</t>
  </si>
  <si>
    <t>Alisson Airton Sobrinho - 08/02/2025 10:26:31</t>
  </si>
  <si>
    <t>Alisson Airton Sobrinho - 08/02/2025 10:26:32</t>
  </si>
  <si>
    <t>Alisson Airton Sobrinho - 08/02/2025 10:26:34</t>
  </si>
  <si>
    <t>Alisson Airton Sobrinho - 08/02/2025 10:26:35</t>
  </si>
  <si>
    <t>Alisson Airton Sobrinho - 08/02/2025 10:26:36</t>
  </si>
  <si>
    <t>Alisson Airton Sobrinho - 08/02/2025 10:26:38</t>
  </si>
  <si>
    <t>Libner Ferreira De Morais - 06/02/2025 14:06:49</t>
  </si>
  <si>
    <t>Alisson Airton Sobrinho - 08/02/2025 10:26:42</t>
  </si>
  <si>
    <t>Alisson Airton Sobrinho - 08/02/2025 10:26:43</t>
  </si>
  <si>
    <t>Alisson Airton Sobrinho - 08/02/2025 10:26:50</t>
  </si>
  <si>
    <t>Alisson Airton Sobrinho - 04/03/2025 08:34:50</t>
  </si>
  <si>
    <t>Falta trocar a válvula para montar posicionados</t>
  </si>
  <si>
    <t>Base de Dados_Images/TCV65011.Imagem do Equipamento-.170754.jpg</t>
  </si>
  <si>
    <t>Libner Ferreira De Morais - 06/02/2025 14:07:49</t>
  </si>
  <si>
    <t>Mosto Trocador 02</t>
  </si>
  <si>
    <t>TCV65012</t>
  </si>
  <si>
    <t>Válvula Agua Trocador Mosto 2</t>
  </si>
  <si>
    <t>Libner Ferreira De Morais - 06/02/2025 14:58:25</t>
  </si>
  <si>
    <t>Libner Ferreira De Morais - 06/02/2025 14:58:26</t>
  </si>
  <si>
    <t>Libner Ferreira De Morais - 06/02/2025 14:58:28</t>
  </si>
  <si>
    <t>Libner Ferreira De Morais - 06/02/2025 14:58:29</t>
  </si>
  <si>
    <t>Libner Ferreira De Morais - 06/02/2025 14:58:40</t>
  </si>
  <si>
    <t>Libner Ferreira De Morais - 06/02/2025 14:58:51</t>
  </si>
  <si>
    <t>Libner Ferreira De Morais - 06/02/2025 14:58:53</t>
  </si>
  <si>
    <t>Libner Ferreira De Morais - 06/02/2025 14:58:54</t>
  </si>
  <si>
    <t>Alisson Airton Sobrinho - 08/02/2025 14:30:33</t>
  </si>
  <si>
    <t>Alisson Airton Sobrinho - 08/02/2025 14:30:34</t>
  </si>
  <si>
    <t>Alisson Airton Sobrinho - 04/03/2025 08:34:26</t>
  </si>
  <si>
    <t>Alisson Airton Sobrinho - 04/03/2025 08:34:29</t>
  </si>
  <si>
    <t>Base de Dados_Images/TCV65012.Imagem do Equipamento-.170408.jpg</t>
  </si>
  <si>
    <t>Libner Ferreira De Morais - 05/02/2025 13:42:44</t>
  </si>
  <si>
    <t>TCV65017</t>
  </si>
  <si>
    <t>Válvula Temperatura Trocador Dorna 1</t>
  </si>
  <si>
    <t>Alisson Airton Sobrinho - 28/01/2025 18:26:01</t>
  </si>
  <si>
    <t>Alisson Airton Sobrinho - 28/01/2025 18:26:02</t>
  </si>
  <si>
    <t>Alisson Airton Sobrinho - 28/01/2025 18:26:03</t>
  </si>
  <si>
    <t>Alisson Airton Sobrinho - 28/01/2025 18:26:04</t>
  </si>
  <si>
    <t>Alisson Airton Sobrinho - 28/01/2025 18:26:05</t>
  </si>
  <si>
    <t>Alisson Airton Sobrinho - 28/01/2025 18:26:07</t>
  </si>
  <si>
    <t>Alisson Airton Sobrinho - 28/01/2025 18:26:09</t>
  </si>
  <si>
    <t>Alisson Airton Sobrinho - 08/02/2025 09:25:40</t>
  </si>
  <si>
    <t>Alisson Airton Sobrinho - 08/02/2025 09:25:41</t>
  </si>
  <si>
    <t>Alisson Airton Sobrinho - 08/02/2025 09:25:55</t>
  </si>
  <si>
    <t>Alisson Airton Sobrinho - 04/03/2025 07:56:50</t>
  </si>
  <si>
    <t>Base de Dados_Images/TCV65017.Imagem do Equipamento-.213750.jpg</t>
  </si>
  <si>
    <t>Alisson Airton Sobrinho - 28/01/2025 18:25:56</t>
  </si>
  <si>
    <t>TCV65018</t>
  </si>
  <si>
    <t>Válvula Temperatura Trocador Dorna 2</t>
  </si>
  <si>
    <t>Alisson Airton Sobrinho - 21/01/2025 07:50:53</t>
  </si>
  <si>
    <t>Alisson Airton Sobrinho - 21/01/2025 07:50:54</t>
  </si>
  <si>
    <t>Alisson Airton Sobrinho - 21/01/2025 07:50:55</t>
  </si>
  <si>
    <t>Alisson Airton Sobrinho - 21/01/2025 07:50:57</t>
  </si>
  <si>
    <t>Alisson Airton Sobrinho - 21/01/2025 07:50:58</t>
  </si>
  <si>
    <t>Alisson Airton Sobrinho - 21/01/2025 07:51:00</t>
  </si>
  <si>
    <t>Alisson Airton Sobrinho - 21/01/2025 07:51:01</t>
  </si>
  <si>
    <t>Alisson Airton Sobrinho - 21/01/2025 07:51:02</t>
  </si>
  <si>
    <t>Alisson Airton Sobrinho - 08/02/2025 09:33:38</t>
  </si>
  <si>
    <t>Alisson Airton Sobrinho - 08/02/2025 09:33:42</t>
  </si>
  <si>
    <t>Alisson Airton Sobrinho - 04/03/2025 08:13:35</t>
  </si>
  <si>
    <t>Base de Dados_Images/TCV65018.Imagem do Equipamento-.133428.jpg</t>
  </si>
  <si>
    <t>Alisson Airton Sobrinho - 17/01/2025 10:34:21</t>
  </si>
  <si>
    <t>TCV65019</t>
  </si>
  <si>
    <t>Válvula Temperatura Trocador Dorna 3</t>
  </si>
  <si>
    <t>Alisson Airton Sobrinho - 21/01/2025 08:07:58</t>
  </si>
  <si>
    <t>Alisson Airton Sobrinho - 21/01/2025 08:08:01</t>
  </si>
  <si>
    <t>Alisson Airton Sobrinho - 21/01/2025 08:08:00</t>
  </si>
  <si>
    <t>Alisson Airton Sobrinho - 21/01/2025 08:08:03</t>
  </si>
  <si>
    <t>Alisson Airton Sobrinho - 21/01/2025 08:08:06</t>
  </si>
  <si>
    <t>Alisson Airton Sobrinho - 21/01/2025 08:08:05</t>
  </si>
  <si>
    <t>Alisson Airton Sobrinho - 21/01/2025 08:08:07</t>
  </si>
  <si>
    <t>Alisson Airton Sobrinho - 08/02/2025 09:40:33</t>
  </si>
  <si>
    <t>Alisson Airton Sobrinho - 08/02/2025 09:40:34</t>
  </si>
  <si>
    <t>Alisson Airton Sobrinho - 15/02/2025 11:49:52</t>
  </si>
  <si>
    <t>Alisson Airton Sobrinho - 04/03/2025 08:11:03</t>
  </si>
  <si>
    <t>Base de Dados_Images/TCV65019.Imagem do Equipamento-.135045.jpg</t>
  </si>
  <si>
    <t>Alisson Airton Sobrinho - 17/01/2025 10:50:14</t>
  </si>
  <si>
    <t>TCV65020</t>
  </si>
  <si>
    <t>Válvula Temperatura Trocador Dorna 4</t>
  </si>
  <si>
    <t>Alisson Airton Sobrinho - 21/01/2025 08:11:07</t>
  </si>
  <si>
    <t>Alisson Airton Sobrinho - 21/01/2025 08:11:10</t>
  </si>
  <si>
    <t>Alisson Airton Sobrinho - 21/01/2025 08:11:15</t>
  </si>
  <si>
    <t>Alisson Airton Sobrinho - 21/01/2025 08:11:12</t>
  </si>
  <si>
    <t>Alisson Airton Sobrinho - 21/01/2025 08:11:18</t>
  </si>
  <si>
    <t>Alisson Airton Sobrinho - 21/01/2025 08:11:21</t>
  </si>
  <si>
    <t>Alisson Airton Sobrinho - 08/02/2025 09:50:54</t>
  </si>
  <si>
    <t>Alisson Airton Sobrinho - 25/02/2025 10:01:25</t>
  </si>
  <si>
    <t>Alisson Airton Sobrinho - 04/03/2025 08:16:04</t>
  </si>
  <si>
    <t>Base de Dados_Images/TCV65020.Imagem do Equipamento-.140216.jpg</t>
  </si>
  <si>
    <t>Alisson Airton Sobrinho - 17/01/2025 11:02:10</t>
  </si>
  <si>
    <t>TCV65021</t>
  </si>
  <si>
    <t>Válvula Temperatura Trocador Dorna 5</t>
  </si>
  <si>
    <t>Alisson Airton Sobrinho - 21/01/2025 08:13:34</t>
  </si>
  <si>
    <t>Alisson Airton Sobrinho - 21/01/2025 08:13:35</t>
  </si>
  <si>
    <t>Alisson Airton Sobrinho - 21/01/2025 08:13:36</t>
  </si>
  <si>
    <t>Alisson Airton Sobrinho - 21/01/2025 08:13:37</t>
  </si>
  <si>
    <t>Alisson Airton Sobrinho - 21/01/2025 08:13:38</t>
  </si>
  <si>
    <t>Alisson Airton Sobrinho - 21/01/2025 08:13:39</t>
  </si>
  <si>
    <t>Alisson Airton Sobrinho - 21/01/2025 08:13:41</t>
  </si>
  <si>
    <t>Alisson Airton Sobrinho - 08/02/2025 09:55:30</t>
  </si>
  <si>
    <t>Alisson Airton Sobrinho - 08/02/2025 09:55:31</t>
  </si>
  <si>
    <t>Alisson Airton Sobrinho - 08/02/2025 10:04:31</t>
  </si>
  <si>
    <t>Alisson Airton Sobrinho - 04/03/2025 08:23:45</t>
  </si>
  <si>
    <t>Base de Dados_Images/TCV65021.Imagem do Equipamento-.140845.jpg</t>
  </si>
  <si>
    <t>Alisson Airton Sobrinho - 17/01/2025 11:08:38</t>
  </si>
  <si>
    <t>TCV65022</t>
  </si>
  <si>
    <t>Válvula Temperatura Trocador Dorna 6</t>
  </si>
  <si>
    <t>Alisson Airton Sobrinho - 21/01/2025 08:16:39</t>
  </si>
  <si>
    <t>Alisson Airton Sobrinho - 21/01/2025 08:16:41</t>
  </si>
  <si>
    <t>Alisson Airton Sobrinho - 21/01/2025 08:16:42</t>
  </si>
  <si>
    <t>Alisson Airton Sobrinho - 21/01/2025 08:16:43</t>
  </si>
  <si>
    <t>Alisson Airton Sobrinho - 21/01/2025 08:16:44</t>
  </si>
  <si>
    <t>Alisson Airton Sobrinho - 21/01/2025 08:16:46</t>
  </si>
  <si>
    <t>Alisson Airton Sobrinho - 08/02/2025 10:10:52</t>
  </si>
  <si>
    <t>Alisson Airton Sobrinho - 08/02/2025 10:10:54</t>
  </si>
  <si>
    <t>Alisson Airton Sobrinho - 15/02/2025 12:00:20</t>
  </si>
  <si>
    <t>Alisson Airton Sobrinho - 04/03/2025 08:30:22</t>
  </si>
  <si>
    <t>Base de Dados_Images/TCV65022.Imagem do Equipamento-.162701.jpg</t>
  </si>
  <si>
    <t>Alisson Airton Sobrinho - 17/01/2025 13:24:58</t>
  </si>
  <si>
    <t>TCV65023</t>
  </si>
  <si>
    <t>Válvula Temperatura Trocador Dorna 7</t>
  </si>
  <si>
    <t>Alisson Airton Sobrinho - 21/01/2025 10:29:57</t>
  </si>
  <si>
    <t>Alisson Airton Sobrinho - 21/01/2025 10:29:58</t>
  </si>
  <si>
    <t>Alisson Airton Sobrinho - 21/01/2025 10:29:59</t>
  </si>
  <si>
    <t>Alisson Airton Sobrinho - 21/01/2025 10:30:01</t>
  </si>
  <si>
    <t>Alisson Airton Sobrinho - 21/01/2025 10:30:02</t>
  </si>
  <si>
    <t>Alisson Airton Sobrinho - 21/01/2025 10:30:03</t>
  </si>
  <si>
    <t>Alisson Airton Sobrinho - 21/01/2025 10:30:05</t>
  </si>
  <si>
    <t>Alisson Airton Sobrinho - 08/02/2025 10:16:43</t>
  </si>
  <si>
    <t>Alisson Airton Sobrinho - 08/02/2025 10:16:44</t>
  </si>
  <si>
    <t>Alisson Airton Sobrinho - 08/02/2025 10:16:47</t>
  </si>
  <si>
    <t>Alisson Airton Sobrinho - 04/03/2025 08:26:58</t>
  </si>
  <si>
    <t>Base de Dados_Images/TCV65023.Imagem do Equipamento-.162836.jpg</t>
  </si>
  <si>
    <t>Alisson Airton Sobrinho - 17/01/2025 13:28:30</t>
  </si>
  <si>
    <t>TCV81022</t>
  </si>
  <si>
    <t>Dessuperaquecedor Vapor 1,5 Kgf/Cm² (Pos012-07)</t>
  </si>
  <si>
    <t>Paula Caroline Morais Duarte - 17/02/2025 10:49:29</t>
  </si>
  <si>
    <t>Paula Caroline Morais Duarte - 17/02/2025 10:49:31</t>
  </si>
  <si>
    <t>Paula Caroline Morais Duarte - 17/02/2025 10:49:33</t>
  </si>
  <si>
    <t>Paula Caroline Morais Duarte - 17/02/2025 10:49:35</t>
  </si>
  <si>
    <t>Paula Caroline Morais Duarte - 17/02/2025 10:49:40</t>
  </si>
  <si>
    <t>Paula Caroline Morais Duarte - 17/02/2025 10:49:42</t>
  </si>
  <si>
    <t>Paula Caroline Morais Duarte - 17/02/2025 10:49:44</t>
  </si>
  <si>
    <t>Paula Caroline Morais Duarte - 17/02/2025 10:49:46</t>
  </si>
  <si>
    <t>Paula Caroline Morais Duarte - 18/02/2025 11:45:50</t>
  </si>
  <si>
    <t>Paula Caroline Morais Duarte - 18/02/2025 11:45:51</t>
  </si>
  <si>
    <t>Paula Caroline Morais Duarte - 18/02/2025 11:45:55</t>
  </si>
  <si>
    <t>Paula Caroline Morais Duarte - 18/02/2025 11:46:07</t>
  </si>
  <si>
    <t>Base de Dados_Images/TCV81022.Imagem do Equipamento-.141143.jpg</t>
  </si>
  <si>
    <t>Paula Caroline Morais Duarte - 17/02/2025 10:54:34</t>
  </si>
  <si>
    <t>Ccm Casa De Força</t>
  </si>
  <si>
    <t>TI-70A-086A-049-CP9703</t>
  </si>
  <si>
    <t>COMPRESSOR DE AR Nº 03</t>
  </si>
  <si>
    <t>Weslley Ferreira Cooper - 30/01/2025 08:38:29</t>
  </si>
  <si>
    <t>Weslley Ferreira Cooper - 30/01/2025 08:38:28</t>
  </si>
  <si>
    <t>Weslley Ferreira Cooper - 30/01/2025 08:38:27</t>
  </si>
  <si>
    <t>Weslley Ferreira Cooper - 30/01/2025 08:38:25</t>
  </si>
  <si>
    <t>Weslley Ferreira Cooper - 30/01/2025 08:38:24</t>
  </si>
  <si>
    <t>Weslley Ferreira Cooper - 30/01/2025 08:38:22</t>
  </si>
  <si>
    <t>Weslley Ferreira Cooper - 30/01/2025 08:38:21</t>
  </si>
  <si>
    <t>Weslley Ferreira Cooper - 30/01/2025 08:38:20</t>
  </si>
  <si>
    <t>Hugo Luis Leonel - 26/02/2025 12:07:58</t>
  </si>
  <si>
    <t>Hugo Luis Leonel - 26/02/2025 12:08:00</t>
  </si>
  <si>
    <t>Hugo Luis Leonel - 26/02/2025 12:08:19</t>
  </si>
  <si>
    <t>Hugo Luis Leonel - 26/02/2025 12:08:21</t>
  </si>
  <si>
    <t>Paula Caroline Morais Duarte - 03/03/2025 16:08:16</t>
  </si>
  <si>
    <t>Paula Caroline Morais Duarte - 03/03/2025 16:08:17</t>
  </si>
  <si>
    <t>Paula Caroline Morais Duarte - 03/03/2025 16:08:18</t>
  </si>
  <si>
    <t>Paula Caroline Morais Duarte - 03/03/2025 16:08:19</t>
  </si>
  <si>
    <t>Base de Dados_Images/TI-70A-086A-049-CP9703.Imagem do Equipamento-.125153.jpg</t>
  </si>
  <si>
    <t>Weslley Ferreira Cooper - 30/01/2025 08:38:12</t>
  </si>
  <si>
    <t>TIC20017</t>
  </si>
  <si>
    <t>Controle De Temp Oleo Apos Resf Do Desfibrador</t>
  </si>
  <si>
    <t>Paula Caroline Morais Duarte - 18/02/2025 11:31:15</t>
  </si>
  <si>
    <t>Paula Caroline Morais Duarte - 18/02/2025 11:31:16</t>
  </si>
  <si>
    <t>Paula Caroline Morais Duarte - 18/02/2025 11:31:20</t>
  </si>
  <si>
    <t>Paula Caroline Morais Duarte - 18/02/2025 11:31:21</t>
  </si>
  <si>
    <t>Paula Caroline Morais Duarte - 18/02/2025 11:31:33</t>
  </si>
  <si>
    <t>Base de Dados_Images/TIC20017.Imagem do Equipamento-.143143.jpg</t>
  </si>
  <si>
    <t>TIC20036</t>
  </si>
  <si>
    <t>Controle De Temp Oleo Apos Resf Do 1° Terno</t>
  </si>
  <si>
    <t>Paula Caroline Morais Duarte - 06/02/2025 10:22:45</t>
  </si>
  <si>
    <t>Paula Caroline Morais Duarte - 06/02/2025 10:22:46</t>
  </si>
  <si>
    <t>Paula Caroline Morais Duarte - 06/02/2025 10:22:47</t>
  </si>
  <si>
    <t>Paula Caroline Morais Duarte - 06/02/2025 10:22:50</t>
  </si>
  <si>
    <t>Paula Caroline Morais Duarte - 06/02/2025 10:23:00</t>
  </si>
  <si>
    <t>Paula Caroline Morais Duarte - 06/02/2025 10:23:01</t>
  </si>
  <si>
    <t>Paula Caroline Morais Duarte - 06/02/2025 10:23:03</t>
  </si>
  <si>
    <t>Paula Caroline Morais Duarte - 19/02/2025 09:29:55</t>
  </si>
  <si>
    <t>Paula Caroline Morais Duarte - 19/02/2025 09:29:56</t>
  </si>
  <si>
    <t>Alisson Airton Sobrinho - 07/03/2025 06:51:57</t>
  </si>
  <si>
    <t>Alisson Airton Sobrinho - 07/03/2025 06:51:56</t>
  </si>
  <si>
    <t>Base de Dados_Images/TIC20036.Imagem do Equipamento-.132325.jpg</t>
  </si>
  <si>
    <t>Paula Caroline Morais Duarte - 06/02/2025 10:23:19</t>
  </si>
  <si>
    <t>TIC20045</t>
  </si>
  <si>
    <t>Controle De Temp Oleo Apos Resf Do 2/3° Terno</t>
  </si>
  <si>
    <t>Paula Caroline Morais Duarte - 20/02/2025 08:19:08</t>
  </si>
  <si>
    <t>Paula Caroline Morais Duarte - 20/02/2025 08:19:09</t>
  </si>
  <si>
    <t>Alisson Airton Sobrinho - 07/03/2025 06:53:19</t>
  </si>
  <si>
    <t>Base de Dados_Images/TIC20045.Imagem do Equipamento-.111904.jpg</t>
  </si>
  <si>
    <t>Paula Caroline Morais Duarte - 20/02/2025 08:17:45</t>
  </si>
  <si>
    <t>TIC20067</t>
  </si>
  <si>
    <t>Controle De Temp Oleo Apos Resf Do 4/5° Terno</t>
  </si>
  <si>
    <t>Paula Caroline Morais Duarte - 20/02/2025 08:14:59</t>
  </si>
  <si>
    <t>Paula Caroline Morais Duarte - 20/02/2025 08:15:00</t>
  </si>
  <si>
    <t>Alisson Airton Sobrinho - 07/03/2025 06:53:38</t>
  </si>
  <si>
    <t>Alisson Airton Sobrinho - 07/03/2025 06:53:39</t>
  </si>
  <si>
    <t>Base de Dados_Images/TIC20067.Imagem do Equipamento-.142545.jpg</t>
  </si>
  <si>
    <t>Paula Caroline Morais Duarte - 06/02/2025 11:25:38</t>
  </si>
  <si>
    <t>TIC20089</t>
  </si>
  <si>
    <t>Controle De Temp Oleo Apos Resf Do 6° Terno</t>
  </si>
  <si>
    <t>Paula Caroline Morais Duarte - 20/02/2025 08:08:42</t>
  </si>
  <si>
    <t>Paula Caroline Morais Duarte - 20/02/2025 08:08:43</t>
  </si>
  <si>
    <t>Alisson Airton Sobrinho - 07/03/2025 06:55:54</t>
  </si>
  <si>
    <t>Base de Dados_Images/TIC20089.Imagem do Equipamento-.110935.jpg</t>
  </si>
  <si>
    <t>Paula Caroline Morais Duarte - 20/02/2025 08:09:30</t>
  </si>
  <si>
    <t>TIC35008</t>
  </si>
  <si>
    <t>Controle De Temperatura Água Embebição</t>
  </si>
  <si>
    <t>Beatriz Alves Nunes de Paulo - 06/03/2025 08:40:34</t>
  </si>
  <si>
    <t>Beatriz Alves Nunes de Paulo - 06/03/2025 08:40:36</t>
  </si>
  <si>
    <t>Beatriz Alves Nunes de Paulo - 06/03/2025 08:40:39</t>
  </si>
  <si>
    <t>Beatriz Alves Nunes de Paulo - 06/03/2025 08:40:41</t>
  </si>
  <si>
    <t>Adriel da Silva Queiroz - 03/03/2025 15:15:19</t>
  </si>
  <si>
    <t>TIC65011</t>
  </si>
  <si>
    <t>Controle De Temperatura Do Trocador 01</t>
  </si>
  <si>
    <t>Alisson Airton Sobrinho - 25/02/2025 10:06:59</t>
  </si>
  <si>
    <t>Alisson Airton Sobrinho - 25/02/2025 10:07:00</t>
  </si>
  <si>
    <t>Alisson Airton Sobrinho - 04/03/2025 08:34:37</t>
  </si>
  <si>
    <t>Alisson Airton Sobrinho - 04/03/2025 08:34:38</t>
  </si>
  <si>
    <t>Base de Dados_Images/TIC65011.Imagem do Equipamento-.170536.jpg</t>
  </si>
  <si>
    <t>Libner Ferreira De Morais - 06/02/2025 14:05:31</t>
  </si>
  <si>
    <t>TIC65012</t>
  </si>
  <si>
    <t>Controle De Temperatura Do Trocador 02</t>
  </si>
  <si>
    <t>Alisson Airton Sobrinho - 04/03/2025 08:34:10</t>
  </si>
  <si>
    <t>Alisson Airton Sobrinho - 04/03/2025 08:34:06</t>
  </si>
  <si>
    <t>Alisson Airton Sobrinho - 04/03/2025 08:34:05</t>
  </si>
  <si>
    <t>Base de Dados_Images/TIC65012.Imagem do Equipamento-.170425.jpg</t>
  </si>
  <si>
    <t>Libner Ferreira De Morais - 05/02/2025 13:43:41</t>
  </si>
  <si>
    <t>TIC65017</t>
  </si>
  <si>
    <t>Controle De Temperatura Da Dorna 01</t>
  </si>
  <si>
    <t>Paula Caroline Morais Duarte - 25/02/2025 08:53:32</t>
  </si>
  <si>
    <t>Paula Caroline Morais Duarte - 25/02/2025 08:53:38</t>
  </si>
  <si>
    <t>Alisson Airton Sobrinho - 04/03/2025 07:55:56</t>
  </si>
  <si>
    <t>Alisson Airton Sobrinho - 04/03/2025 07:55:57</t>
  </si>
  <si>
    <t>Base de Dados_Images/TIC65017.Imagem do Equipamento-.163105.jpg</t>
  </si>
  <si>
    <t>Libner Ferreira De Morais - 06/02/2025 13:31:00</t>
  </si>
  <si>
    <t>TIC65018</t>
  </si>
  <si>
    <t>Controle De Temperatura Da Dorna 02</t>
  </si>
  <si>
    <t>Libner Ferreira De Morais - 07/02/2025 13:41:13</t>
  </si>
  <si>
    <t>Libner Ferreira De Morais - 07/02/2025 13:41:14</t>
  </si>
  <si>
    <t>Alisson Airton Sobrinho - 04/03/2025 08:12:49</t>
  </si>
  <si>
    <t>Base de Dados_Images/TIC65018.Imagem do Equipamento-.164334.jpg</t>
  </si>
  <si>
    <t>Libner Ferreira De Morais - 06/02/2025 13:43:25</t>
  </si>
  <si>
    <t>TIC65019</t>
  </si>
  <si>
    <t>Controle De Temperatura Da Dorna 03</t>
  </si>
  <si>
    <t>Libner Ferreira De Morais - 06/02/2025 13:48:06</t>
  </si>
  <si>
    <t>Libner Ferreira De Morais - 06/02/2025 13:48:07</t>
  </si>
  <si>
    <t>Alisson Airton Sobrinho - 04/03/2025 07:59:40</t>
  </si>
  <si>
    <t>Base de Dados_Images/TIC65019.Imagem do Equipamento-.164741.jpg</t>
  </si>
  <si>
    <t>Libner Ferreira De Morais - 06/02/2025 13:47:35</t>
  </si>
  <si>
    <t>TIC65020</t>
  </si>
  <si>
    <t>Controle De Temperatura Da Dorna 04</t>
  </si>
  <si>
    <t>Libner Ferreira De Morais - 06/02/2025 13:52:00</t>
  </si>
  <si>
    <t>Libner Ferreira De Morais - 06/02/2025 13:52:01</t>
  </si>
  <si>
    <t>Alisson Airton Sobrinho - 04/03/2025 08:15:04</t>
  </si>
  <si>
    <t>Alisson Airton Sobrinho - 04/03/2025 08:15:05</t>
  </si>
  <si>
    <t>Base de Dados_Images/TIC65020.Imagem do Equipamento-.165159.jpg</t>
  </si>
  <si>
    <t>Libner Ferreira De Morais - 06/02/2025 13:51:54</t>
  </si>
  <si>
    <t>TIC65021</t>
  </si>
  <si>
    <t>Controle De Temperatura Da Dorna 05</t>
  </si>
  <si>
    <t>Libner Ferreira De Morais - 06/02/2025 13:54:45</t>
  </si>
  <si>
    <t>Libner Ferreira De Morais - 06/02/2025 13:54:46</t>
  </si>
  <si>
    <t>Alisson Airton Sobrinho - 04/03/2025 08:18:14</t>
  </si>
  <si>
    <t>Alisson Airton Sobrinho - 04/03/2025 08:18:16</t>
  </si>
  <si>
    <t>Base de Dados_Images/TIC65021.Imagem do Equipamento-.165444.jpg</t>
  </si>
  <si>
    <t>Libner Ferreira De Morais - 06/02/2025 13:54:39</t>
  </si>
  <si>
    <t>TIC65022</t>
  </si>
  <si>
    <t>Controle De Temperatura Da Dorna 06</t>
  </si>
  <si>
    <t>Libner Ferreira De Morais - 06/02/2025 13:58:57</t>
  </si>
  <si>
    <t>Libner Ferreira De Morais - 06/02/2025 13:58:58</t>
  </si>
  <si>
    <t>Alisson Airton Sobrinho - 04/03/2025 08:29:14</t>
  </si>
  <si>
    <t>Alisson Airton Sobrinho - 04/03/2025 08:29:15</t>
  </si>
  <si>
    <t>Base de Dados_Images/TIC65022.Imagem do Equipamento-.165847.jpg</t>
  </si>
  <si>
    <t>Libner Ferreira De Morais - 06/02/2025 13:58:39</t>
  </si>
  <si>
    <t>TIC65023</t>
  </si>
  <si>
    <t>Controle De Temperatura Da Dorna 07</t>
  </si>
  <si>
    <t>Libner Ferreira De Morais - 06/02/2025 14:01:21</t>
  </si>
  <si>
    <t>Libner Ferreira De Morais - 06/02/2025 14:01:22</t>
  </si>
  <si>
    <t>Alisson Airton Sobrinho - 04/03/2025 08:25:54</t>
  </si>
  <si>
    <t>Alisson Airton Sobrinho - 04/03/2025 08:25:59</t>
  </si>
  <si>
    <t>Base de Dados_Images/TIC65023.Imagem do Equipamento-.170120.jpg</t>
  </si>
  <si>
    <t>Libner Ferreira De Morais - 06/02/2025 14:01:15</t>
  </si>
  <si>
    <t>TIC70007</t>
  </si>
  <si>
    <t>Controle De Temperatura Bandeja A-18</t>
  </si>
  <si>
    <t>Beatriz Alves Nunes de Paulo - 06/03/2025 14:37:39</t>
  </si>
  <si>
    <t>Beatriz Alves Nunes de Paulo - 06/03/2025 14:37:42</t>
  </si>
  <si>
    <t>Beatriz Alves Nunes de Paulo - 06/03/2025 14:37:51</t>
  </si>
  <si>
    <t>Base de Dados_Images/TIC70007.Imagem do Equipamento-.172119.jpg</t>
  </si>
  <si>
    <t>Libner Ferreira De Morais - 06/02/2025 14:21:14</t>
  </si>
  <si>
    <t>TIC81022</t>
  </si>
  <si>
    <t>Controle De Temperatura Da Linha 1,5 Dessuper</t>
  </si>
  <si>
    <t>Paula Caroline Morais Duarte - 17/02/2025 11:11:42</t>
  </si>
  <si>
    <t>Paula Caroline Morais Duarte - 17/02/2025 11:11:44</t>
  </si>
  <si>
    <t>Paula Caroline Morais Duarte - 17/02/2025 11:11:48</t>
  </si>
  <si>
    <t>Paula Caroline Morais Duarte - 17/02/2025 11:11:49</t>
  </si>
  <si>
    <t>Base de Dados_Images/TIC81022.Imagem do Equipamento-.141410.jpg</t>
  </si>
  <si>
    <t>Paula Caroline Morais Duarte - 17/02/2025 11:11:34</t>
  </si>
  <si>
    <t>TIP20037</t>
  </si>
  <si>
    <t>Deslocamento Rolo Superior Lado Esquerdo 1º Terno</t>
  </si>
  <si>
    <t>Paula Caroline Morais Duarte - 10/02/2025 15:41:55</t>
  </si>
  <si>
    <t>Paula Caroline Morais Duarte - 10/02/2025 15:41:56</t>
  </si>
  <si>
    <t>Paula Caroline Morais Duarte - 10/02/2025 15:41:57</t>
  </si>
  <si>
    <t>Paula Caroline Morais Duarte - 10/02/2025 15:41:59</t>
  </si>
  <si>
    <t>Paula Caroline Morais Duarte - 10/02/2025 15:42:03</t>
  </si>
  <si>
    <t>Paula Caroline Morais Duarte - 10/02/2025 15:42:04</t>
  </si>
  <si>
    <t>Paula Caroline Morais Duarte - 10/02/2025 15:42:07</t>
  </si>
  <si>
    <t>Rafael Roldão Rodrigues - 03/03/2025 11:16:57</t>
  </si>
  <si>
    <t>Rafael Roldão Rodrigues - 03/03/2025 11:16:58</t>
  </si>
  <si>
    <t>Alisson Airton Sobrinho - 07/03/2025 06:33:57</t>
  </si>
  <si>
    <t>Paula Caroline Morais Duarte - 01/29/2025 08:34:25</t>
  </si>
  <si>
    <t>TIP20056</t>
  </si>
  <si>
    <t>Deslocamento Rolo Superior Lado Direito 2º Terno</t>
  </si>
  <si>
    <t>Paula Caroline Morais Duarte - 10/02/2025 15:51:23</t>
  </si>
  <si>
    <t>Paula Caroline Morais Duarte - 10/02/2025 15:51:24</t>
  </si>
  <si>
    <t>Paula Caroline Morais Duarte - 10/02/2025 15:51:25</t>
  </si>
  <si>
    <t>Paula Caroline Morais Duarte - 10/02/2025 15:51:26</t>
  </si>
  <si>
    <t>Paula Caroline Morais Duarte - 10/02/2025 15:51:31</t>
  </si>
  <si>
    <t>Paula Caroline Morais Duarte - 10/02/2025 15:51:32</t>
  </si>
  <si>
    <t>Paula Caroline Morais Duarte - 10/02/2025 15:51:33</t>
  </si>
  <si>
    <t>Rafael Roldão Rodrigues - 03/03/2025 11:19:03</t>
  </si>
  <si>
    <t>Alisson Airton Sobrinho - 07/03/2025 06:34:21</t>
  </si>
  <si>
    <t>Alisson Airton Sobrinho - 07/03/2025 06:34:22</t>
  </si>
  <si>
    <t>Weslley Ferreira Cooper - 01/29/2025 11:44:49</t>
  </si>
  <si>
    <t>TIP20057</t>
  </si>
  <si>
    <t>Deslocamento Rolo Superior Lado Esquerdo 2º Terno</t>
  </si>
  <si>
    <t>Paula Caroline Morais Duarte - 10/02/2025 15:52:06</t>
  </si>
  <si>
    <t>Paula Caroline Morais Duarte - 10/02/2025 15:52:07</t>
  </si>
  <si>
    <t>Paula Caroline Morais Duarte - 10/02/2025 15:52:08</t>
  </si>
  <si>
    <t>Paula Caroline Morais Duarte - 10/02/2025 15:52:09</t>
  </si>
  <si>
    <t>Paula Caroline Morais Duarte - 10/02/2025 15:52:13</t>
  </si>
  <si>
    <t>Paula Caroline Morais Duarte - 10/02/2025 15:52:14</t>
  </si>
  <si>
    <t>Paula Caroline Morais Duarte - 10/02/2025 15:52:15</t>
  </si>
  <si>
    <t>Rafael Roldão Rodrigues - 03/03/2025 11:19:11</t>
  </si>
  <si>
    <t>Rafael Roldão Rodrigues - 03/03/2025 11:19:12</t>
  </si>
  <si>
    <t>Alisson Airton Sobrinho - 07/03/2025 06:34:28</t>
  </si>
  <si>
    <t>Weslley Ferreira Cooper - 01/29/2025 11:44:57</t>
  </si>
  <si>
    <t>TIP20058</t>
  </si>
  <si>
    <t>Deslocamento Rolo Superior Lado Direito 3º Terno</t>
  </si>
  <si>
    <t>Paula Caroline Morais Duarte - 10/02/2025 15:56:07</t>
  </si>
  <si>
    <t>Paula Caroline Morais Duarte - 10/02/2025 15:56:08</t>
  </si>
  <si>
    <t>Paula Caroline Morais Duarte - 10/02/2025 15:56:09</t>
  </si>
  <si>
    <t>Paula Caroline Morais Duarte - 10/02/2025 15:56:12</t>
  </si>
  <si>
    <t>Paula Caroline Morais Duarte - 10/02/2025 15:56:19</t>
  </si>
  <si>
    <t>Paula Caroline Morais Duarte - 10/02/2025 15:56:22</t>
  </si>
  <si>
    <t>Paula Caroline Morais Duarte - 10/02/2025 15:56:23</t>
  </si>
  <si>
    <t>Rafael Roldão Rodrigues - 03/03/2025 11:30:50</t>
  </si>
  <si>
    <t>Alisson Airton Sobrinho - 07/03/2025 06:35:53</t>
  </si>
  <si>
    <t>Paula Caroline Morais Duarte - 02/10/2025 15:55:59</t>
  </si>
  <si>
    <t>TIP20059</t>
  </si>
  <si>
    <t>Deslocamento Rolo Superior Lado Esquerdo 3º Terno</t>
  </si>
  <si>
    <t>Paula Caroline Morais Duarte - 10/02/2025 15:58:24</t>
  </si>
  <si>
    <t>Paula Caroline Morais Duarte - 10/02/2025 15:58:25</t>
  </si>
  <si>
    <t>Paula Caroline Morais Duarte - 10/02/2025 15:58:27</t>
  </si>
  <si>
    <t>Paula Caroline Morais Duarte - 10/02/2025 15:58:28</t>
  </si>
  <si>
    <t>Paula Caroline Morais Duarte - 10/02/2025 15:58:36</t>
  </si>
  <si>
    <t>Paula Caroline Morais Duarte - 10/02/2025 15:58:37</t>
  </si>
  <si>
    <t>Paula Caroline Morais Duarte - 10/02/2025 15:58:38</t>
  </si>
  <si>
    <t>Rafael Roldão Rodrigues - 03/03/2025 11:30:56</t>
  </si>
  <si>
    <t>Rafael Roldão Rodrigues - 03/03/2025 11:30:57</t>
  </si>
  <si>
    <t>Alisson Airton Sobrinho - 07/03/2025 06:36:00</t>
  </si>
  <si>
    <t>Alisson Airton Sobrinho - 07/03/2025 06:35:59</t>
  </si>
  <si>
    <t>Paula Caroline Morais Duarte - 02/10/2025 15:57:50</t>
  </si>
  <si>
    <t>TIP20078</t>
  </si>
  <si>
    <t>Deslocamento Rolo Superior Lado Direito 4º Terno</t>
  </si>
  <si>
    <t>Paula Caroline Morais Duarte - 10/02/2025 16:11:09</t>
  </si>
  <si>
    <t>Paula Caroline Morais Duarte - 10/02/2025 16:11:10</t>
  </si>
  <si>
    <t>Paula Caroline Morais Duarte - 10/02/2025 16:11:11</t>
  </si>
  <si>
    <t>Paula Caroline Morais Duarte - 10/02/2025 16:11:12</t>
  </si>
  <si>
    <t>Paula Caroline Morais Duarte - 10/02/2025 16:11:17</t>
  </si>
  <si>
    <t>Paula Caroline Morais Duarte - 10/02/2025 16:11:18</t>
  </si>
  <si>
    <t>Paula Caroline Morais Duarte - 10/02/2025 16:11:19</t>
  </si>
  <si>
    <t>Rafael Roldão Rodrigues - 03/03/2025 11:30:10</t>
  </si>
  <si>
    <t>Rafael Roldão Rodrigues - 03/03/2025 11:30:11</t>
  </si>
  <si>
    <t>Alisson Airton Sobrinho - 07/03/2025 06:37:53</t>
  </si>
  <si>
    <t>Alisson Airton Sobrinho - 07/03/2025 06:37:54</t>
  </si>
  <si>
    <t>Weslley Ferreira Cooper - 01/29/2025 11:47:42</t>
  </si>
  <si>
    <t>TIP20080</t>
  </si>
  <si>
    <t>Deslocamento Rolo Superior Lado Direito 5º Terno</t>
  </si>
  <si>
    <t>Paula Caroline Morais Duarte - 10/02/2025 16:13:05</t>
  </si>
  <si>
    <t>Paula Caroline Morais Duarte - 10/02/2025 16:13:13</t>
  </si>
  <si>
    <t>Paula Caroline Morais Duarte - 10/02/2025 16:13:16</t>
  </si>
  <si>
    <t>Paula Caroline Morais Duarte - 10/02/2025 16:18:02</t>
  </si>
  <si>
    <t>Paula Caroline Morais Duarte - 10/02/2025 16:18:06</t>
  </si>
  <si>
    <t>Paula Caroline Morais Duarte - 10/02/2025 16:18:07</t>
  </si>
  <si>
    <t>Paula Caroline Morais Duarte - 10/02/2025 16:18:08</t>
  </si>
  <si>
    <t>Rafael Roldão Rodrigues - 03/03/2025 11:29:47</t>
  </si>
  <si>
    <t>Rafael Roldão Rodrigues - 03/03/2025 11:29:48</t>
  </si>
  <si>
    <t>Alisson Airton Sobrinho - 07/03/2025 06:38:54</t>
  </si>
  <si>
    <t>Paula Caroline Morais Duarte - 02/10/2025 16:12:59</t>
  </si>
  <si>
    <t>TIP20081</t>
  </si>
  <si>
    <t>Deslocamento Rolo Superior Lado Esquerdo 5º Terno</t>
  </si>
  <si>
    <t>Paula Caroline Morais Duarte - 10/02/2025 16:18:25</t>
  </si>
  <si>
    <t>Paula Caroline Morais Duarte - 10/02/2025 16:18:31</t>
  </si>
  <si>
    <t>Paula Caroline Morais Duarte - 10/02/2025 16:18:33</t>
  </si>
  <si>
    <t>Paula Caroline Morais Duarte - 10/02/2025 16:18:35</t>
  </si>
  <si>
    <t>Paula Caroline Morais Duarte - 10/02/2025 16:18:40</t>
  </si>
  <si>
    <t>Paula Caroline Morais Duarte - 10/02/2025 16:18:41</t>
  </si>
  <si>
    <t>Paula Caroline Morais Duarte - 10/02/2025 16:18:45</t>
  </si>
  <si>
    <t>Rafael Roldão Rodrigues - 03/03/2025 11:29:58</t>
  </si>
  <si>
    <t>Rafael Roldão Rodrigues - 03/03/2025 11:29:59</t>
  </si>
  <si>
    <t>Alisson Airton Sobrinho - 07/03/2025 06:38:59</t>
  </si>
  <si>
    <t>Paula Caroline Morais Duarte - 02/10/2025 16:18:21</t>
  </si>
  <si>
    <t>TIP20097</t>
  </si>
  <si>
    <t>Deslocamento Rolo Superior Lado Direito 6º Terno</t>
  </si>
  <si>
    <t>Paula Caroline Morais Duarte - 10/02/2025 16:23:00</t>
  </si>
  <si>
    <t>Paula Caroline Morais Duarte - 10/02/2025 16:23:01</t>
  </si>
  <si>
    <t>Paula Caroline Morais Duarte - 10/02/2025 16:23:02</t>
  </si>
  <si>
    <t>Paula Caroline Morais Duarte - 10/02/2025 16:23:45</t>
  </si>
  <si>
    <t>Paula Caroline Morais Duarte - 10/02/2025 16:23:52</t>
  </si>
  <si>
    <t>Paula Caroline Morais Duarte - 10/02/2025 16:23:53</t>
  </si>
  <si>
    <t>Paula Caroline Morais Duarte - 10/02/2025 16:23:54</t>
  </si>
  <si>
    <t>Alisson Airton Sobrinho - 07/03/2025 06:40:03</t>
  </si>
  <si>
    <t>Alisson Airton Sobrinho - 07/03/2025 06:40:04</t>
  </si>
  <si>
    <t>Alisson Airton Sobrinho - 07/03/2025 06:40:09</t>
  </si>
  <si>
    <t>Alisson Airton Sobrinho - 07/03/2025 06:40:10</t>
  </si>
  <si>
    <t>Paula Caroline Morais Duarte - 02/10/2025 16:22:56</t>
  </si>
  <si>
    <t>TIP20098</t>
  </si>
  <si>
    <t>Deslocamento Rolo Superior Lado Esquerdo 6º Terno</t>
  </si>
  <si>
    <t>Paula Caroline Morais Duarte - 10/02/2025 16:24:30</t>
  </si>
  <si>
    <t>Paula Caroline Morais Duarte - 10/02/2025 16:24:32</t>
  </si>
  <si>
    <t>Paula Caroline Morais Duarte - 10/02/2025 16:24:33</t>
  </si>
  <si>
    <t>Paula Caroline Morais Duarte - 10/02/2025 16:24:39</t>
  </si>
  <si>
    <t>Paula Caroline Morais Duarte - 10/02/2025 16:24:40</t>
  </si>
  <si>
    <t>Paula Caroline Morais Duarte - 10/02/2025 16:24:41</t>
  </si>
  <si>
    <t>Alisson Airton Sobrinho - 07/03/2025 06:40:15</t>
  </si>
  <si>
    <t>Alisson Airton Sobrinho - 07/03/2025 06:40:16</t>
  </si>
  <si>
    <t>Alisson Airton Sobrinho - 07/03/2025 06:40:19</t>
  </si>
  <si>
    <t>Alisson Airton Sobrinho - 07/03/2025 06:40:20</t>
  </si>
  <si>
    <t>Paula Caroline Morais Duarte - 02/10/2025 16:24:23</t>
  </si>
  <si>
    <t>TIT20009</t>
  </si>
  <si>
    <t>Temperatura Loa 1 Turbina Desfibrador</t>
  </si>
  <si>
    <t>Paula Caroline Morais Duarte - 29/01/2025 10:37:35</t>
  </si>
  <si>
    <t>Paula Caroline Morais Duarte - 29/01/2025 10:37:38</t>
  </si>
  <si>
    <t>Paula Caroline Morais Duarte - 29/01/2025 10:37:37</t>
  </si>
  <si>
    <t>Paula Caroline Morais Duarte - 29/01/2025 10:37:40</t>
  </si>
  <si>
    <t>Paula Caroline Morais Duarte - 06/02/2025 09:43:40</t>
  </si>
  <si>
    <t>Paula Caroline Morais Duarte - 06/02/2025 09:43:42</t>
  </si>
  <si>
    <t>Rafael Roldão Rodrigues - 03/03/2025 11:11:05</t>
  </si>
  <si>
    <t>Rafael Roldão Rodrigues - 03/03/2025 11:11:06</t>
  </si>
  <si>
    <t>Alisson Airton Sobrinho - 07/03/2025 06:21:19</t>
  </si>
  <si>
    <t>Alisson Airton Sobrinho - 07/03/2025 06:21:21</t>
  </si>
  <si>
    <t>Base de Dados_Images/TIT20009.Imagem do Equipamento-.134715.jpg</t>
  </si>
  <si>
    <t>Paula Caroline Morais Duarte - 29/01/2025 10:37:27</t>
  </si>
  <si>
    <t>TIT20010</t>
  </si>
  <si>
    <t>Temperatura Loa 2 Turbina Desfibrador</t>
  </si>
  <si>
    <t>Paula Caroline Morais Duarte - 06/02/2025 09:45:20</t>
  </si>
  <si>
    <t>Paula Caroline Morais Duarte - 06/02/2025 09:45:22</t>
  </si>
  <si>
    <t>Paula Caroline Morais Duarte - 06/02/2025 09:45:23</t>
  </si>
  <si>
    <t>Paula Caroline Morais Duarte - 06/02/2025 09:45:24</t>
  </si>
  <si>
    <t>Paula Caroline Morais Duarte - 06/02/2025 09:45:36</t>
  </si>
  <si>
    <t>Paula Caroline Morais Duarte - 06/02/2025 09:45:37</t>
  </si>
  <si>
    <t>Paula Caroline Morais Duarte - 06/02/2025 09:45:38</t>
  </si>
  <si>
    <t>Rafael Roldão Rodrigues - 03/03/2025 11:11:19</t>
  </si>
  <si>
    <t>Rafael Roldão Rodrigues - 03/03/2025 11:11:20</t>
  </si>
  <si>
    <t>Alisson Airton Sobrinho - 07/03/2025 06:21:29</t>
  </si>
  <si>
    <t>Base de Dados_Images/TIT20010.Imagem do Equipamento-.124635.jpg</t>
  </si>
  <si>
    <t>Paula Caroline Morais Duarte - 06/02/2025 09:46:32</t>
  </si>
  <si>
    <t>TIT20011</t>
  </si>
  <si>
    <t>Temperatura Loa 3 Turbina Desfibrador</t>
  </si>
  <si>
    <t>Paula Caroline Morais Duarte - 29/01/2025 10:38:20</t>
  </si>
  <si>
    <t>Paula Caroline Morais Duarte - 29/01/2025 10:38:19</t>
  </si>
  <si>
    <t>Paula Caroline Morais Duarte - 29/01/2025 10:38:21</t>
  </si>
  <si>
    <t>Paula Caroline Morais Duarte - 29/01/2025 10:38:23</t>
  </si>
  <si>
    <t>Paula Caroline Morais Duarte - 06/02/2025 09:49:23</t>
  </si>
  <si>
    <t>Paula Caroline Morais Duarte - 06/02/2025 09:49:24</t>
  </si>
  <si>
    <t>Paula Caroline Morais Duarte - 06/02/2025 09:49:27</t>
  </si>
  <si>
    <t>Rafael Roldão Rodrigues - 03/03/2025 11:11:31</t>
  </si>
  <si>
    <t>Rafael Roldão Rodrigues - 03/03/2025 11:11:32</t>
  </si>
  <si>
    <t>Alisson Airton Sobrinho - 07/03/2025 06:21:36</t>
  </si>
  <si>
    <t>Alisson Airton Sobrinho - 07/03/2025 06:21:38</t>
  </si>
  <si>
    <t>Base de Dados_Images/TIT20011.Imagem do Equipamento-.134823.jpg</t>
  </si>
  <si>
    <t>Paula Caroline Morais Duarte - 29/01/2025 10:38:11</t>
  </si>
  <si>
    <t>TIT20012</t>
  </si>
  <si>
    <t>Temperatura La Turbina Desfibrador</t>
  </si>
  <si>
    <t>Paula Caroline Morais Duarte - 06/02/2025 09:47:28</t>
  </si>
  <si>
    <t>Paula Caroline Morais Duarte - 06/02/2025 09:47:30</t>
  </si>
  <si>
    <t>Paula Caroline Morais Duarte - 06/02/2025 09:47:38</t>
  </si>
  <si>
    <t>Paula Caroline Morais Duarte - 06/02/2025 09:47:39</t>
  </si>
  <si>
    <t>Paula Caroline Morais Duarte - 06/02/2025 09:47:44</t>
  </si>
  <si>
    <t>Paula Caroline Morais Duarte - 06/02/2025 09:47:45</t>
  </si>
  <si>
    <t>Paula Caroline Morais Duarte - 06/02/2025 09:47:47</t>
  </si>
  <si>
    <t>Rafael Roldão Rodrigues - 03/03/2025 11:11:42</t>
  </si>
  <si>
    <t>Rafael Roldão Rodrigues - 03/03/2025 11:11:43</t>
  </si>
  <si>
    <t>Alisson Airton Sobrinho - 07/03/2025 06:21:44</t>
  </si>
  <si>
    <t>Alisson Airton Sobrinho - 07/03/2025 06:21:45</t>
  </si>
  <si>
    <t>Base de Dados_Images/TIT20012.Imagem do Equipamento-.124727.jpg</t>
  </si>
  <si>
    <t>Paula Caroline Morais Duarte - 06/02/2025 09:47:24</t>
  </si>
  <si>
    <t>TIT20013</t>
  </si>
  <si>
    <t>Temp. Mancal Redutor Alta La Turbina Desfibrador</t>
  </si>
  <si>
    <t>Paula Caroline Morais Duarte - 06/02/2025 09:48:56</t>
  </si>
  <si>
    <t>Paula Caroline Morais Duarte - 06/02/2025 09:48:59</t>
  </si>
  <si>
    <t>Paula Caroline Morais Duarte - 06/02/2025 09:49:00</t>
  </si>
  <si>
    <t>Paula Caroline Morais Duarte - 06/02/2025 09:49:01</t>
  </si>
  <si>
    <t>Paula Caroline Morais Duarte - 06/02/2025 09:49:07</t>
  </si>
  <si>
    <t>Paula Caroline Morais Duarte - 06/02/2025 09:49:08</t>
  </si>
  <si>
    <t>Paula Caroline Morais Duarte - 06/02/2025 09:49:09</t>
  </si>
  <si>
    <t>Rafael Roldão Rodrigues - 03/03/2025 11:11:53</t>
  </si>
  <si>
    <t>Rafael Roldão Rodrigues - 03/03/2025 11:11:54</t>
  </si>
  <si>
    <t>Alisson Airton Sobrinho - 07/03/2025 06:21:50</t>
  </si>
  <si>
    <t>Alisson Airton Sobrinho - 07/03/2025 06:21:51</t>
  </si>
  <si>
    <t>Base de Dados_Images/TIT20013.Imagem do Equipamento-.124853.jpg</t>
  </si>
  <si>
    <t>Paula Caroline Morais Duarte - 06/02/2025 09:48:49</t>
  </si>
  <si>
    <t>TIT20014</t>
  </si>
  <si>
    <t>Temp. Mancal Redutor Alta Loa Turbina Desfibrador</t>
  </si>
  <si>
    <t>Paula Caroline Morais Duarte - 04/02/2025 14:33:47</t>
  </si>
  <si>
    <t>Paula Caroline Morais Duarte - 04/02/2025 14:33:48</t>
  </si>
  <si>
    <t>Paula Caroline Morais Duarte - 04/02/2025 14:33:50</t>
  </si>
  <si>
    <t>Paula Caroline Morais Duarte - 04/02/2025 14:33:55</t>
  </si>
  <si>
    <t>Paula Caroline Morais Duarte - 18/02/2025 10:57:31</t>
  </si>
  <si>
    <t>Paula Caroline Morais Duarte - 18/02/2025 10:57:32</t>
  </si>
  <si>
    <t>Paula Caroline Morais Duarte - 18/02/2025 10:57:34</t>
  </si>
  <si>
    <t>Rafael Roldão Rodrigues - 03/03/2025 11:12:05</t>
  </si>
  <si>
    <t>Rafael Roldão Rodrigues - 03/03/2025 11:12:06</t>
  </si>
  <si>
    <t>Alisson Airton Sobrinho - 07/03/2025 06:21:59</t>
  </si>
  <si>
    <t>Alisson Airton Sobrinho - 07/03/2025 06:21:56</t>
  </si>
  <si>
    <t>Base de Dados_Images/TIT20014.Imagem do Equipamento-.180113.jpg</t>
  </si>
  <si>
    <t>Paula Caroline Morais Duarte - 04/02/2025 14:33:39</t>
  </si>
  <si>
    <t>TIT20015</t>
  </si>
  <si>
    <t>Temperatura Mancal Desfibrador La</t>
  </si>
  <si>
    <t>Paula Caroline Morais Duarte - 06/02/2025 09:59:35</t>
  </si>
  <si>
    <t>Paula Caroline Morais Duarte - 06/02/2025 09:59:37</t>
  </si>
  <si>
    <t>Paula Caroline Morais Duarte - 06/02/2025 09:59:38</t>
  </si>
  <si>
    <t>Paula Caroline Morais Duarte - 06/02/2025 09:59:40</t>
  </si>
  <si>
    <t>Paula Caroline Morais Duarte - 06/02/2025 10:00:26</t>
  </si>
  <si>
    <t>Paula Caroline Morais Duarte - 06/02/2025 10:00:27</t>
  </si>
  <si>
    <t>Paula Caroline Morais Duarte - 06/02/2025 10:00:29</t>
  </si>
  <si>
    <t>Rafael Roldão Rodrigues - 03/03/2025 11:12:14</t>
  </si>
  <si>
    <t>Rafael Roldão Rodrigues - 03/03/2025 11:12:15</t>
  </si>
  <si>
    <t>Alisson Airton Sobrinho - 07/03/2025 06:22:04</t>
  </si>
  <si>
    <t>Base de Dados_Images/TIT20015.Imagem do Equipamento-.140624.jpg</t>
  </si>
  <si>
    <t>Paula Caroline Morais Duarte - 29/01/2025 10:40:35</t>
  </si>
  <si>
    <t>TIT20016</t>
  </si>
  <si>
    <t>Temperatura Mancal Desfibrador Loa</t>
  </si>
  <si>
    <t>Paula Caroline Morais Duarte - 06/02/2025 09:52:21</t>
  </si>
  <si>
    <t>Paula Caroline Morais Duarte - 06/02/2025 09:52:22</t>
  </si>
  <si>
    <t>Paula Caroline Morais Duarte - 06/02/2025 09:52:24</t>
  </si>
  <si>
    <t>Paula Caroline Morais Duarte - 06/02/2025 09:52:27</t>
  </si>
  <si>
    <t>Paula Caroline Morais Duarte - 06/02/2025 09:54:30</t>
  </si>
  <si>
    <t>Paula Caroline Morais Duarte - 06/02/2025 09:54:33</t>
  </si>
  <si>
    <t>Rafael Roldão Rodrigues - 03/03/2025 11:12:23</t>
  </si>
  <si>
    <t>Rafael Roldão Rodrigues - 03/03/2025 11:12:24</t>
  </si>
  <si>
    <t>Alisson Airton Sobrinho - 07/03/2025 06:22:10</t>
  </si>
  <si>
    <t>Base de Dados_Images/TIT20016.Imagem do Equipamento-.125422.jpg</t>
  </si>
  <si>
    <t>Paula Caroline Morais Duarte - 06/02/2025 09:54:18</t>
  </si>
  <si>
    <t>TIT20017</t>
  </si>
  <si>
    <t>Temperatura Oleo Apos Resfriador Do Desfibrador</t>
  </si>
  <si>
    <t>Paula Caroline Morais Duarte - 06/02/2025 10:18:19</t>
  </si>
  <si>
    <t>Paula Caroline Morais Duarte - 06/02/2025 10:18:20</t>
  </si>
  <si>
    <t>Paula Caroline Morais Duarte - 06/02/2025 10:18:21</t>
  </si>
  <si>
    <t>Paula Caroline Morais Duarte - 06/02/2025 10:18:25</t>
  </si>
  <si>
    <t>Paula Caroline Morais Duarte - 06/02/2025 10:18:35</t>
  </si>
  <si>
    <t>Paula Caroline Morais Duarte - 06/02/2025 10:18:36</t>
  </si>
  <si>
    <t>Paula Caroline Morais Duarte - 06/02/2025 10:18:37</t>
  </si>
  <si>
    <t>Rafael Roldão Rodrigues - 03/03/2025 11:12:31</t>
  </si>
  <si>
    <t>Rafael Roldão Rodrigues - 03/03/2025 11:12:33</t>
  </si>
  <si>
    <t>Alisson Airton Sobrinho - 07/03/2025 06:22:16</t>
  </si>
  <si>
    <t>Alisson Airton Sobrinho - 07/03/2025 06:22:15</t>
  </si>
  <si>
    <t>Base de Dados_Images/TIT20017.Imagem do Equipamento-.131817.jpg</t>
  </si>
  <si>
    <t>Paula Caroline Morais Duarte - 06/02/2025 10:18:12</t>
  </si>
  <si>
    <t>TIT20022</t>
  </si>
  <si>
    <t>Temperatura Vapor Escape Turbina 1º Terno</t>
  </si>
  <si>
    <t>Paula Caroline Morais Duarte - 29/01/2025 10:49:32</t>
  </si>
  <si>
    <t>Paula Caroline Morais Duarte - 29/01/2025 10:49:33</t>
  </si>
  <si>
    <t>Paula Caroline Morais Duarte - 29/01/2025 10:49:35</t>
  </si>
  <si>
    <t>Paula Caroline Morais Duarte - 29/01/2025 10:49:40</t>
  </si>
  <si>
    <t>Paula Caroline Morais Duarte - 05/02/2025 16:31:11</t>
  </si>
  <si>
    <t>Paula Caroline Morais Duarte - 05/02/2025 16:31:10</t>
  </si>
  <si>
    <t>Paula Caroline Morais Duarte - 20/02/2025 08:21:05</t>
  </si>
  <si>
    <t>Paula Caroline Morais Duarte - 20/02/2025 08:21:06</t>
  </si>
  <si>
    <t>Alisson Airton Sobrinho - 07/03/2025 06:52:02</t>
  </si>
  <si>
    <t>Base de Dados_Images/TIT20022.Imagem do Equipamento-.140801.jpg</t>
  </si>
  <si>
    <t>Paula Caroline Morais Duarte - 29/01/2025 10:49:27</t>
  </si>
  <si>
    <t>TIT20027</t>
  </si>
  <si>
    <t>Temperatura L. A. Turbina 1º Terno</t>
  </si>
  <si>
    <t>Paula Caroline Morais Duarte - 29/01/2025 10:52:56</t>
  </si>
  <si>
    <t>Paula Caroline Morais Duarte - 29/01/2025 10:52:57</t>
  </si>
  <si>
    <t>Paula Caroline Morais Duarte - 29/01/2025 10:52:58</t>
  </si>
  <si>
    <t>Paula Caroline Morais Duarte - 29/01/2025 10:53:01</t>
  </si>
  <si>
    <t>Paula Caroline Morais Duarte - 05/02/2025 16:28:33</t>
  </si>
  <si>
    <t>Paula Caroline Morais Duarte - 05/02/2025 16:28:32</t>
  </si>
  <si>
    <t>Paula Caroline Morais Duarte - 20/02/2025 08:22:23</t>
  </si>
  <si>
    <t>Paula Caroline Morais Duarte - 20/02/2025 08:22:24</t>
  </si>
  <si>
    <t>Alisson Airton Sobrinho - 07/03/2025 06:52:08</t>
  </si>
  <si>
    <t>Base de Dados_Images/TIT20027.Imagem do Equipamento-.140822.jpg</t>
  </si>
  <si>
    <t>Paula Caroline Morais Duarte - 29/01/2025 10:52:49</t>
  </si>
  <si>
    <t>TIT20028</t>
  </si>
  <si>
    <t>Temperatura L. O. A. Turbina 1º Terno</t>
  </si>
  <si>
    <t>Paula Caroline Morais Duarte - 29/01/2025 10:53:34</t>
  </si>
  <si>
    <t>Paula Caroline Morais Duarte - 29/01/2025 10:53:35</t>
  </si>
  <si>
    <t>Paula Caroline Morais Duarte - 29/01/2025 10:53:38</t>
  </si>
  <si>
    <t>Paula Caroline Morais Duarte - 29/01/2025 10:53:40</t>
  </si>
  <si>
    <t>Paula Caroline Morais Duarte - 05/02/2025 16:28:08</t>
  </si>
  <si>
    <t>Paula Caroline Morais Duarte - 05/02/2025 16:28:09</t>
  </si>
  <si>
    <t>Paula Caroline Morais Duarte - 05/02/2025 16:28:11</t>
  </si>
  <si>
    <t>Paula Caroline Morais Duarte - 19/02/2025 09:30:51</t>
  </si>
  <si>
    <t>Paula Caroline Morais Duarte - 19/02/2025 09:30:52</t>
  </si>
  <si>
    <t>Alisson Airton Sobrinho - 07/03/2025 06:52:14</t>
  </si>
  <si>
    <t>Base de Dados_Images/TIT20028.Imagem do Equipamento-.140843.jpg</t>
  </si>
  <si>
    <t>Paula Caroline Morais Duarte - 29/01/2025 10:53:26</t>
  </si>
  <si>
    <t>TIT20029</t>
  </si>
  <si>
    <t>Temperatura La 1 Redutor De Alta 1º Terno</t>
  </si>
  <si>
    <t>Paula Caroline Morais Duarte - 29/01/2025 10:54:42</t>
  </si>
  <si>
    <t>Paula Caroline Morais Duarte - 29/01/2025 10:54:44</t>
  </si>
  <si>
    <t>Paula Caroline Morais Duarte - 29/01/2025 10:54:45</t>
  </si>
  <si>
    <t>Paula Caroline Morais Duarte - 29/01/2025 10:54:49</t>
  </si>
  <si>
    <t>Paula Caroline Morais Duarte - 06/02/2025 09:33:58</t>
  </si>
  <si>
    <t>Paula Caroline Morais Duarte - 06/02/2025 09:33:59</t>
  </si>
  <si>
    <t>Paula Caroline Morais Duarte - 06/02/2025 09:34:01</t>
  </si>
  <si>
    <t>Paula Caroline Morais Duarte - 19/02/2025 09:27:44</t>
  </si>
  <si>
    <t>Paula Caroline Morais Duarte - 19/02/2025 09:27:47</t>
  </si>
  <si>
    <t>Alisson Airton Sobrinho - 07/03/2025 06:52:25</t>
  </si>
  <si>
    <t>Alisson Airton Sobrinho - 07/03/2025 06:52:21</t>
  </si>
  <si>
    <t>Base de Dados_Images/TIT20029.Imagem do Equipamento-.140903.jpg</t>
  </si>
  <si>
    <t>Paula Caroline Morais Duarte - 29/01/2025 10:54:37</t>
  </si>
  <si>
    <t>TIT20030</t>
  </si>
  <si>
    <t>Temperatura Loa 4 Redutor Alta 1º Terno</t>
  </si>
  <si>
    <t>Paula Caroline Morais Duarte - 29/01/2025 11:00:28</t>
  </si>
  <si>
    <t>Paula Caroline Morais Duarte - 29/01/2025 11:00:29</t>
  </si>
  <si>
    <t>Paula Caroline Morais Duarte - 29/01/2025 11:00:31</t>
  </si>
  <si>
    <t>Paula Caroline Morais Duarte - 29/01/2025 11:00:33</t>
  </si>
  <si>
    <t>Paula Caroline Morais Duarte - 05/02/2025 16:33:43</t>
  </si>
  <si>
    <t>Paula Caroline Morais Duarte - 05/02/2025 16:33:42</t>
  </si>
  <si>
    <t>Paula Caroline Morais Duarte - 19/02/2025 09:27:55</t>
  </si>
  <si>
    <t>Paula Caroline Morais Duarte - 19/02/2025 09:27:56</t>
  </si>
  <si>
    <t>Alisson Airton Sobrinho - 07/03/2025 06:52:30</t>
  </si>
  <si>
    <t>Base de Dados_Images/TIT20030.Imagem do Equipamento-.141157.jpg</t>
  </si>
  <si>
    <t>Paula Caroline Morais Duarte - 29/01/2025 11:00:23</t>
  </si>
  <si>
    <t>TIT20031</t>
  </si>
  <si>
    <t>Temperatura La 3 Redutor De Baixa 1º Terno</t>
  </si>
  <si>
    <t>Paula Caroline Morais Duarte - 29/01/2025 10:58:28</t>
  </si>
  <si>
    <t>Paula Caroline Morais Duarte - 29/01/2025 10:58:30</t>
  </si>
  <si>
    <t>Paula Caroline Morais Duarte - 29/01/2025 10:58:31</t>
  </si>
  <si>
    <t>Paula Caroline Morais Duarte - 29/01/2025 10:58:35</t>
  </si>
  <si>
    <t>Paula Caroline Morais Duarte - 05/02/2025 16:33:14</t>
  </si>
  <si>
    <t>Paula Caroline Morais Duarte - 05/02/2025 16:33:13</t>
  </si>
  <si>
    <t>Paula Caroline Morais Duarte - 05/02/2025 16:33:12</t>
  </si>
  <si>
    <t>Paula Caroline Morais Duarte - 19/02/2025 09:28:11</t>
  </si>
  <si>
    <t>Paula Caroline Morais Duarte - 19/02/2025 09:28:13</t>
  </si>
  <si>
    <t>Alisson Airton Sobrinho - 07/03/2025 06:52:37</t>
  </si>
  <si>
    <t>Alisson Airton Sobrinho - 07/03/2025 06:52:36</t>
  </si>
  <si>
    <t>Base de Dados_Images/TIT20031.Imagem do Equipamento-.141007.jpg</t>
  </si>
  <si>
    <t>Paula Caroline Morais Duarte - 29/01/2025 10:58:23</t>
  </si>
  <si>
    <t>TIT20032</t>
  </si>
  <si>
    <t>Temperatura Loa 2 Redutor Alta 1º Terno</t>
  </si>
  <si>
    <t>Paula Caroline Morais Duarte - 29/01/2025 10:59:24</t>
  </si>
  <si>
    <t>Paula Caroline Morais Duarte - 29/01/2025 10:59:26</t>
  </si>
  <si>
    <t>Paula Caroline Morais Duarte - 29/01/2025 10:59:27</t>
  </si>
  <si>
    <t>Paula Caroline Morais Duarte - 29/01/2025 10:59:29</t>
  </si>
  <si>
    <t>Paula Caroline Morais Duarte - 05/02/2025 16:33:02</t>
  </si>
  <si>
    <t>Paula Caroline Morais Duarte - 05/02/2025 16:33:01</t>
  </si>
  <si>
    <t>Paula Caroline Morais Duarte - 19/02/2025 09:28:24</t>
  </si>
  <si>
    <t>Paula Caroline Morais Duarte - 19/02/2025 09:28:25</t>
  </si>
  <si>
    <t>Alisson Airton Sobrinho - 07/03/2025 06:52:43</t>
  </si>
  <si>
    <t>Alisson Airton Sobrinho - 07/03/2025 06:52:42</t>
  </si>
  <si>
    <t>Base de Dados_Images/TIT20032.Imagem do Equipamento-.141030.jpg</t>
  </si>
  <si>
    <t>Paula Caroline Morais Duarte - 29/01/2025 10:59:19</t>
  </si>
  <si>
    <t>TIT20033</t>
  </si>
  <si>
    <t>Temperatura Lub. Red. Baixa 1º Terno</t>
  </si>
  <si>
    <t>Paula Caroline Morais Duarte - 06/02/2025 10:23:56</t>
  </si>
  <si>
    <t>Paula Caroline Morais Duarte - 06/02/2025 10:23:57</t>
  </si>
  <si>
    <t>Paula Caroline Morais Duarte - 06/02/2025 10:23:58</t>
  </si>
  <si>
    <t>Paula Caroline Morais Duarte - 06/02/2025 10:24:00</t>
  </si>
  <si>
    <t>Paula Caroline Morais Duarte - 06/02/2025 10:24:05</t>
  </si>
  <si>
    <t>Paula Caroline Morais Duarte - 06/02/2025 10:24:06</t>
  </si>
  <si>
    <t>Paula Caroline Morais Duarte - 06/02/2025 10:24:07</t>
  </si>
  <si>
    <t>Paula Caroline Morais Duarte - 19/02/2025 09:28:39</t>
  </si>
  <si>
    <t>Paula Caroline Morais Duarte - 19/02/2025 09:28:40</t>
  </si>
  <si>
    <t>Alisson Airton Sobrinho - 07/03/2025 06:52:48</t>
  </si>
  <si>
    <t>Base de Dados_Images/TIT20033.Imagem do Equipamento-.132355.jpg</t>
  </si>
  <si>
    <t>Paula Caroline Morais Duarte - 06/02/2025 10:23:49</t>
  </si>
  <si>
    <t>TIT20035</t>
  </si>
  <si>
    <t>Temperatura Óleo Lubrificação 1º Terno</t>
  </si>
  <si>
    <t>Paula Caroline Morais Duarte - 29/01/2025 10:56:05</t>
  </si>
  <si>
    <t>Paula Caroline Morais Duarte - 29/01/2025 10:56:06</t>
  </si>
  <si>
    <t>Paula Caroline Morais Duarte - 29/01/2025 10:56:08</t>
  </si>
  <si>
    <t>Paula Caroline Morais Duarte - 29/01/2025 10:56:09</t>
  </si>
  <si>
    <t>Paula Caroline Morais Duarte - 05/02/2025 16:32:23</t>
  </si>
  <si>
    <t>Paula Caroline Morais Duarte - 05/02/2025 16:32:22</t>
  </si>
  <si>
    <t>Paula Caroline Morais Duarte - 05/02/2025 16:32:21</t>
  </si>
  <si>
    <t>Paula Caroline Morais Duarte - 19/02/2025 09:29:19</t>
  </si>
  <si>
    <t>Paula Caroline Morais Duarte - 19/02/2025 09:29:21</t>
  </si>
  <si>
    <t>Alisson Airton Sobrinho - 07/03/2025 06:52:54</t>
  </si>
  <si>
    <t>Base de Dados_Images/TIT20035.Imagem do Equipamento-.140924.jpg</t>
  </si>
  <si>
    <t>Paula Caroline Morais Duarte - 29/01/2025 10:56:00</t>
  </si>
  <si>
    <t>TIT20036</t>
  </si>
  <si>
    <t>Temperatura Óleo Apos Resfriador 1º Terno</t>
  </si>
  <si>
    <t>Paula Caroline Morais Duarte - 29/01/2025 10:57:12</t>
  </si>
  <si>
    <t>Paula Caroline Morais Duarte - 29/01/2025 10:57:13</t>
  </si>
  <si>
    <t>Paula Caroline Morais Duarte - 29/01/2025 10:57:15</t>
  </si>
  <si>
    <t>Paula Caroline Morais Duarte - 29/01/2025 10:57:20</t>
  </si>
  <si>
    <t>Paula Caroline Morais Duarte - 05/02/2025 16:32:11</t>
  </si>
  <si>
    <t>Paula Caroline Morais Duarte - 05/02/2025 16:32:10</t>
  </si>
  <si>
    <t>Paula Caroline Morais Duarte - 19/02/2025 09:29:43</t>
  </si>
  <si>
    <t>Paula Caroline Morais Duarte - 19/02/2025 09:29:44</t>
  </si>
  <si>
    <t>Alisson Airton Sobrinho - 07/03/2025 06:53:01</t>
  </si>
  <si>
    <t>Alisson Airton Sobrinho - 07/03/2025 06:53:00</t>
  </si>
  <si>
    <t>Base de Dados_Images/TIT20036.Imagem do Equipamento-.140944.jpg</t>
  </si>
  <si>
    <t>Paula Caroline Morais Duarte - 29/01/2025 10:57:07</t>
  </si>
  <si>
    <t>TIT20040</t>
  </si>
  <si>
    <t>Temperatura Vapor Escape Turbina 2/3º Ternos</t>
  </si>
  <si>
    <t>Weslley Ferreira Cooper - 29/01/2025 10:52:59</t>
  </si>
  <si>
    <t>Weslley Ferreira Cooper - 29/01/2025 10:53:01</t>
  </si>
  <si>
    <t>Weslley Ferreira Cooper - 29/01/2025 10:53:07</t>
  </si>
  <si>
    <t>Weslley Ferreira Cooper - 29/01/2025 10:53:08</t>
  </si>
  <si>
    <t>Paula Caroline Morais Duarte - 06/02/2025 11:08:55</t>
  </si>
  <si>
    <t>Paula Caroline Morais Duarte - 06/02/2025 11:08:56</t>
  </si>
  <si>
    <t>Paula Caroline Morais Duarte - 06/02/2025 11:08:57</t>
  </si>
  <si>
    <t>Paula Caroline Morais Duarte - 20/02/2025 08:28:06</t>
  </si>
  <si>
    <t>Paula Caroline Morais Duarte - 20/02/2025 08:28:07</t>
  </si>
  <si>
    <t>Alisson Airton Sobrinho - 07/03/2025 06:45:14</t>
  </si>
  <si>
    <t>Alisson Airton Sobrinho - 07/03/2025 06:45:16</t>
  </si>
  <si>
    <t>Base de Dados_Images/TIT20040.Imagem do Equipamento-.141014.jpg</t>
  </si>
  <si>
    <t>Weslley Ferreira Cooper - 29/01/2025 10:52:52</t>
  </si>
  <si>
    <t>TIT20045</t>
  </si>
  <si>
    <t>Temperatura Do Oleo Apos O Resfriador 2/3° Ternos</t>
  </si>
  <si>
    <t>Paula Caroline Morais Duarte - 29/01/2025 11:42:44</t>
  </si>
  <si>
    <t>Paula Caroline Morais Duarte - 29/01/2025 11:42:45</t>
  </si>
  <si>
    <t>Paula Caroline Morais Duarte - 29/01/2025 11:42:47</t>
  </si>
  <si>
    <t>Paula Caroline Morais Duarte - 29/01/2025 11:42:48</t>
  </si>
  <si>
    <t>Paula Caroline Morais Duarte - 06/02/2025 11:16:57</t>
  </si>
  <si>
    <t>Paula Caroline Morais Duarte - 06/02/2025 11:16:58</t>
  </si>
  <si>
    <t>Paula Caroline Morais Duarte - 06/02/2025 11:16:59</t>
  </si>
  <si>
    <t>Paula Caroline Morais Duarte - 20/02/2025 08:26:48</t>
  </si>
  <si>
    <t>Paula Caroline Morais Duarte - 20/02/2025 08:26:49</t>
  </si>
  <si>
    <t>Alisson Airton Sobrinho - 07/03/2025 06:45:22</t>
  </si>
  <si>
    <t>Alisson Airton Sobrinho - 07/03/2025 06:45:23</t>
  </si>
  <si>
    <t>Base de Dados_Images/TIT20045.Imagem do Equipamento-.154713.jpg</t>
  </si>
  <si>
    <t>Paula Caroline Morais Duarte - 29/01/2025 11:42:37</t>
  </si>
  <si>
    <t>TIT20046</t>
  </si>
  <si>
    <t>Temperatura Loa 1 Turbina 2/3º Ternos</t>
  </si>
  <si>
    <t>Weslley Ferreira Cooper - 29/01/2025 10:49:19</t>
  </si>
  <si>
    <t>Weslley Ferreira Cooper - 29/01/2025 10:49:21</t>
  </si>
  <si>
    <t>Weslley Ferreira Cooper - 29/01/2025 10:49:24</t>
  </si>
  <si>
    <t>Weslley Ferreira Cooper - 29/01/2025 10:49:22</t>
  </si>
  <si>
    <t>Paula Caroline Morais Duarte - 06/02/2025 11:19:29</t>
  </si>
  <si>
    <t>Paula Caroline Morais Duarte - 06/02/2025 11:19:30</t>
  </si>
  <si>
    <t>Paula Caroline Morais Duarte - 06/02/2025 11:19:31</t>
  </si>
  <si>
    <t>Paula Caroline Morais Duarte - 20/02/2025 08:25:29</t>
  </si>
  <si>
    <t>Paula Caroline Morais Duarte - 20/02/2025 08:25:30</t>
  </si>
  <si>
    <t>Alisson Airton Sobrinho - 07/03/2025 06:45:34</t>
  </si>
  <si>
    <t>Base de Dados_Images/TIT20046.Imagem do Equipamento-.140519.jpg</t>
  </si>
  <si>
    <t>Weslley Ferreira Cooper - 29/01/2025 10:49:14</t>
  </si>
  <si>
    <t>TIT20047</t>
  </si>
  <si>
    <t>Temperatura Loa 2 Turbina 2/3º Ternos</t>
  </si>
  <si>
    <t>Weslley Ferreira Cooper - 29/01/2025 10:50:39</t>
  </si>
  <si>
    <t>Weslley Ferreira Cooper - 29/01/2025 10:50:41</t>
  </si>
  <si>
    <t>Weslley Ferreira Cooper - 29/01/2025 10:50:46</t>
  </si>
  <si>
    <t>Weslley Ferreira Cooper - 29/01/2025 10:50:44</t>
  </si>
  <si>
    <t>Paula Caroline Morais Duarte - 06/02/2025 11:19:16</t>
  </si>
  <si>
    <t>Paula Caroline Morais Duarte - 06/02/2025 11:19:17</t>
  </si>
  <si>
    <t>Paula Caroline Morais Duarte - 06/02/2025 11:19:18</t>
  </si>
  <si>
    <t>Paula Caroline Morais Duarte - 20/02/2025 08:25:10</t>
  </si>
  <si>
    <t>Paula Caroline Morais Duarte - 20/02/2025 08:25:11</t>
  </si>
  <si>
    <t>Alisson Airton Sobrinho - 07/03/2025 06:45:45</t>
  </si>
  <si>
    <t>Base de Dados_Images/TIT20047.Imagem do Equipamento-.140946.jpg</t>
  </si>
  <si>
    <t>Weslley Ferreira Cooper - 29/01/2025 10:50:28</t>
  </si>
  <si>
    <t>TIT20048</t>
  </si>
  <si>
    <t>Temperatura Loa 3 Turbina 2/3º Ternos</t>
  </si>
  <si>
    <t>Weslley Ferreira Cooper - 29/01/2025 10:49:50</t>
  </si>
  <si>
    <t>Weslley Ferreira Cooper - 29/01/2025 10:49:55</t>
  </si>
  <si>
    <t>Weslley Ferreira Cooper - 29/01/2025 10:49:53</t>
  </si>
  <si>
    <t>Weslley Ferreira Cooper - 29/01/2025 10:49:57</t>
  </si>
  <si>
    <t>Paula Caroline Morais Duarte - 06/02/2025 11:18:47</t>
  </si>
  <si>
    <t>Paula Caroline Morais Duarte - 06/02/2025 11:18:48</t>
  </si>
  <si>
    <t>Paula Caroline Morais Duarte - 06/02/2025 11:18:49</t>
  </si>
  <si>
    <t>Paula Caroline Morais Duarte - 20/02/2025 08:24:58</t>
  </si>
  <si>
    <t>Paula Caroline Morais Duarte - 20/02/2025 08:24:59</t>
  </si>
  <si>
    <t>Alisson Airton Sobrinho - 07/03/2025 06:45:51</t>
  </si>
  <si>
    <t>Base de Dados_Images/TIT20048.Imagem do Equipamento-.140911.jpg</t>
  </si>
  <si>
    <t>Weslley Ferreira Cooper - 29/01/2025 10:49:45</t>
  </si>
  <si>
    <t>TIT20049</t>
  </si>
  <si>
    <t>Temperatura La Turbina 2/3º Ternos</t>
  </si>
  <si>
    <t>Weslley Ferreira Cooper - 29/01/2025 10:53:45</t>
  </si>
  <si>
    <t>Weslley Ferreira Cooper - 29/01/2025 10:53:49</t>
  </si>
  <si>
    <t>Weslley Ferreira Cooper - 29/01/2025 10:53:51</t>
  </si>
  <si>
    <t>Weslley Ferreira Cooper - 29/01/2025 10:53:53</t>
  </si>
  <si>
    <t>Paula Caroline Morais Duarte - 06/02/2025 11:17:49</t>
  </si>
  <si>
    <t>Paula Caroline Morais Duarte - 06/02/2025 11:17:50</t>
  </si>
  <si>
    <t>Paula Caroline Morais Duarte - 06/02/2025 11:17:51</t>
  </si>
  <si>
    <t>Paula Caroline Morais Duarte - 20/02/2025 08:24:32</t>
  </si>
  <si>
    <t>Paula Caroline Morais Duarte - 20/02/2025 08:24:33</t>
  </si>
  <si>
    <t>Alisson Airton Sobrinho - 07/03/2025 06:45:57</t>
  </si>
  <si>
    <t>Base de Dados_Images/TIT20049.Imagem do Equipamento-.141052.jpg</t>
  </si>
  <si>
    <t>Weslley Ferreira Cooper - 29/01/2025 10:53:38</t>
  </si>
  <si>
    <t>TIT20050</t>
  </si>
  <si>
    <t>Temperatura Mancal Redutor Alta La 2/3º Ternos</t>
  </si>
  <si>
    <t>Weslley Ferreira Cooper - 29/01/2025 10:54:19</t>
  </si>
  <si>
    <t>Weslley Ferreira Cooper - 29/01/2025 10:54:18</t>
  </si>
  <si>
    <t>Weslley Ferreira Cooper - 29/01/2025 10:54:24</t>
  </si>
  <si>
    <t>Weslley Ferreira Cooper - 29/01/2025 10:54:22</t>
  </si>
  <si>
    <t>Paula Caroline Morais Duarte - 06/02/2025 10:25:50</t>
  </si>
  <si>
    <t>Paula Caroline Morais Duarte - 06/02/2025 10:25:51</t>
  </si>
  <si>
    <t>Paula Caroline Morais Duarte - 06/02/2025 10:25:55</t>
  </si>
  <si>
    <t>Paula Caroline Morais Duarte - 20/02/2025 08:24:44</t>
  </si>
  <si>
    <t>Paula Caroline Morais Duarte - 20/02/2025 08:24:45</t>
  </si>
  <si>
    <t>Alisson Airton Sobrinho - 07/03/2025 06:46:02</t>
  </si>
  <si>
    <t>Base de Dados_Images/TIT20050.Imagem do Equipamento-.141115.jpg</t>
  </si>
  <si>
    <t>Weslley Ferreira Cooper - 29/01/2025 10:54:11</t>
  </si>
  <si>
    <t>TIT20051</t>
  </si>
  <si>
    <t>Temperatura Mancal Redutor Baixa La 2/3º Ternos</t>
  </si>
  <si>
    <t>Paula Caroline Morais Duarte - 29/01/2025 11:43:29</t>
  </si>
  <si>
    <t>Paula Caroline Morais Duarte - 29/01/2025 11:43:31</t>
  </si>
  <si>
    <t>Paula Caroline Morais Duarte - 29/01/2025 11:43:32</t>
  </si>
  <si>
    <t>Paula Caroline Morais Duarte - 29/01/2025 11:43:42</t>
  </si>
  <si>
    <t>Paula Caroline Morais Duarte - 06/02/2025 10:25:11</t>
  </si>
  <si>
    <t>Paula Caroline Morais Duarte - 06/02/2025 10:25:10</t>
  </si>
  <si>
    <t>Paula Caroline Morais Duarte - 06/02/2025 10:25:09</t>
  </si>
  <si>
    <t>Paula Caroline Morais Duarte - 20/02/2025 08:23:33</t>
  </si>
  <si>
    <t>Paula Caroline Morais Duarte - 20/02/2025 08:23:34</t>
  </si>
  <si>
    <t>Alisson Airton Sobrinho - 07/03/2025 06:46:08</t>
  </si>
  <si>
    <t>Alisson Airton Sobrinho - 07/03/2025 06:46:07</t>
  </si>
  <si>
    <t>Base de Dados_Images/TIT20051.Imagem do Equipamento-.154743.jpg</t>
  </si>
  <si>
    <t>Paula Caroline Morais Duarte - 29/01/2025 11:43:25</t>
  </si>
  <si>
    <t>TIT20052</t>
  </si>
  <si>
    <t>Temperatura Mancal La Da Volandeira Do 2º Terno</t>
  </si>
  <si>
    <t>Weslley Ferreira Cooper - 29/01/2025 11:44:28</t>
  </si>
  <si>
    <t>Weslley Ferreira Cooper - 29/01/2025 11:44:27</t>
  </si>
  <si>
    <t>Weslley Ferreira Cooper - 29/01/2025 11:44:26</t>
  </si>
  <si>
    <t>Paula Caroline Morais Duarte - 10/02/2025 15:52:34</t>
  </si>
  <si>
    <t>Paula Caroline Morais Duarte - 10/02/2025 15:52:35</t>
  </si>
  <si>
    <t>Paula Caroline Morais Duarte - 10/02/2025 15:52:36</t>
  </si>
  <si>
    <t>Rafael Roldão Rodrigues - 03/03/2025 11:19:41</t>
  </si>
  <si>
    <t>Alisson Airton Sobrinho - 07/03/2025 06:34:47</t>
  </si>
  <si>
    <t>Base de Dados_Images/TIT20052.Imagem do Equipamento-.151153.jpg</t>
  </si>
  <si>
    <t>Weslley Ferreira Cooper - 29/01/2025 11:43:19</t>
  </si>
  <si>
    <t>TIT20053</t>
  </si>
  <si>
    <t>Temperatura Mancal Lna Da Volandeira Do 2º Terno</t>
  </si>
  <si>
    <t>Weslley Ferreira Cooper - 29/01/2025 11:41:42</t>
  </si>
  <si>
    <t>Weslley Ferreira Cooper - 29/01/2025 11:41:41</t>
  </si>
  <si>
    <t>Weslley Ferreira Cooper - 29/01/2025 11:41:40</t>
  </si>
  <si>
    <t>Paula Caroline Morais Duarte - 10/02/2025 15:52:23</t>
  </si>
  <si>
    <t>Paula Caroline Morais Duarte - 10/02/2025 15:52:24</t>
  </si>
  <si>
    <t>Rafael Roldão Rodrigues - 03/03/2025 11:19:49</t>
  </si>
  <si>
    <t>Rafael Roldão Rodrigues - 03/03/2025 11:19:51</t>
  </si>
  <si>
    <t>Alisson Airton Sobrinho - 07/03/2025 06:34:53</t>
  </si>
  <si>
    <t>Base de Dados_Images/TIT20053.Imagem do Equipamento-.151127.jpg</t>
  </si>
  <si>
    <t>Weslley Ferreira Cooper - 29/01/2025 11:41:33</t>
  </si>
  <si>
    <t>TIT20054</t>
  </si>
  <si>
    <t>Temperatura Mancal La Da Volandeira Do 3º Terno</t>
  </si>
  <si>
    <t>Weslley Ferreira Cooper - 29/01/2025 11:47:00</t>
  </si>
  <si>
    <t>Weslley Ferreira Cooper - 29/01/2025 11:46:59</t>
  </si>
  <si>
    <t>Weslley Ferreira Cooper - 29/01/2025 11:46:58</t>
  </si>
  <si>
    <t>Rafael Roldão Rodrigues - 03/03/2025 11:23:19</t>
  </si>
  <si>
    <t>Rafael Roldão Rodrigues - 03/03/2025 11:23:20</t>
  </si>
  <si>
    <t>Rafael Roldão Rodrigues - 03/03/2025 11:23:21</t>
  </si>
  <si>
    <t>Rafael Roldão Rodrigues - 03/03/2025 11:23:25</t>
  </si>
  <si>
    <t>Rafael Roldão Rodrigues - 03/03/2025 11:23:26</t>
  </si>
  <si>
    <t>Alisson Airton Sobrinho - 07/03/2025 06:36:06</t>
  </si>
  <si>
    <t>Base de Dados_Images/TIT20054.Imagem do Equipamento-.151300.jpg</t>
  </si>
  <si>
    <t>Weslley Ferreira Cooper - 29/01/2025 11:46:54</t>
  </si>
  <si>
    <t>TIT20055</t>
  </si>
  <si>
    <t>Temperatura Mancal Lna Da Volandeira Do 3º Terno</t>
  </si>
  <si>
    <t>Weslley Ferreira Cooper - 29/01/2025 11:46:24</t>
  </si>
  <si>
    <t>Weslley Ferreira Cooper - 29/01/2025 11:46:23</t>
  </si>
  <si>
    <t>Weslley Ferreira Cooper - 29/01/2025 11:46:22</t>
  </si>
  <si>
    <t>Paula Caroline Morais Duarte - 10/02/2025 16:39:42</t>
  </si>
  <si>
    <t>Paula Caroline Morais Duarte - 10/02/2025 16:39:43</t>
  </si>
  <si>
    <t>Paula Caroline Morais Duarte - 10/02/2025 16:39:44</t>
  </si>
  <si>
    <t>Rafael Roldão Rodrigues - 03/03/2025 11:23:36</t>
  </si>
  <si>
    <t>Rafael Roldão Rodrigues - 03/03/2025 11:23:37</t>
  </si>
  <si>
    <t>Alisson Airton Sobrinho - 07/03/2025 06:36:12</t>
  </si>
  <si>
    <t>Base de Dados_Images/TIT20055.Imagem do Equipamento-.151237.jpg</t>
  </si>
  <si>
    <t>Weslley Ferreira Cooper - 29/01/2025 11:46:17</t>
  </si>
  <si>
    <t>TIT20062</t>
  </si>
  <si>
    <t>Temperatura Vapor Escape Turbina 4/5º Ternos</t>
  </si>
  <si>
    <t>Paula Caroline Morais Duarte - 10/02/2025 15:36:13</t>
  </si>
  <si>
    <t>Paula Caroline Morais Duarte - 10/02/2025 15:36:14</t>
  </si>
  <si>
    <t>Paula Caroline Morais Duarte - 10/02/2025 15:36:16</t>
  </si>
  <si>
    <t>Paula Caroline Morais Duarte - 10/02/2025 16:35:54</t>
  </si>
  <si>
    <t>Paula Caroline Morais Duarte - 10/02/2025 16:35:55</t>
  </si>
  <si>
    <t>Paula Caroline Morais Duarte - 10/02/2025 16:35:56</t>
  </si>
  <si>
    <t>Paula Caroline Morais Duarte - 20/02/2025 08:13:28</t>
  </si>
  <si>
    <t>Paula Caroline Morais Duarte - 20/02/2025 08:13:29</t>
  </si>
  <si>
    <t>Alisson Airton Sobrinho - 07/03/2025 06:54:43</t>
  </si>
  <si>
    <t>Base de Dados_Images/TIT20062.Imagem do Equipamento-.142743.jpg</t>
  </si>
  <si>
    <t>Paula Caroline Morais Duarte - 06/02/2025 11:27:36</t>
  </si>
  <si>
    <t>TIT20067</t>
  </si>
  <si>
    <t>Temperatura Do Oleo Apos O Resfriador 4/5º Ternos</t>
  </si>
  <si>
    <t>Paula Caroline Morais Duarte - 31/01/2025 11:19:39</t>
  </si>
  <si>
    <t>Paula Caroline Morais Duarte - 31/01/2025 11:19:41</t>
  </si>
  <si>
    <t>Paula Caroline Morais Duarte - 31/01/2025 11:19:42</t>
  </si>
  <si>
    <t>Paula Caroline Morais Duarte - 31/01/2025 11:19:45</t>
  </si>
  <si>
    <t>Paula Caroline Morais Duarte - 10/02/2025 15:37:11</t>
  </si>
  <si>
    <t>Paula Caroline Morais Duarte - 10/02/2025 15:37:09</t>
  </si>
  <si>
    <t>Paula Caroline Morais Duarte - 10/02/2025 15:37:10</t>
  </si>
  <si>
    <t>Paula Caroline Morais Duarte - 20/02/2025 08:12:48</t>
  </si>
  <si>
    <t>Paula Caroline Morais Duarte - 20/02/2025 08:12:47</t>
  </si>
  <si>
    <t>Alisson Airton Sobrinho - 07/03/2025 06:54:56</t>
  </si>
  <si>
    <t>Base de Dados_Images/TIT20067.Imagem do Equipamento-.153900.jpg</t>
  </si>
  <si>
    <t>Paula Caroline Morais Duarte - 31/01/2025 11:19:30</t>
  </si>
  <si>
    <t>TIT20068</t>
  </si>
  <si>
    <t>Temperatura Loa 1 Turbina 4/5º Ternos</t>
  </si>
  <si>
    <t>Paula Caroline Morais Duarte - 31/01/2025 11:16:17</t>
  </si>
  <si>
    <t>Paula Caroline Morais Duarte - 31/01/2025 11:16:19</t>
  </si>
  <si>
    <t>Paula Caroline Morais Duarte - 31/01/2025 11:16:21</t>
  </si>
  <si>
    <t>Paula Caroline Morais Duarte - 10/02/2025 15:37:19</t>
  </si>
  <si>
    <t>Paula Caroline Morais Duarte - 10/02/2025 15:37:20</t>
  </si>
  <si>
    <t>Paula Caroline Morais Duarte - 10/02/2025 15:37:21</t>
  </si>
  <si>
    <t>Paula Caroline Morais Duarte - 20/02/2025 08:12:32</t>
  </si>
  <si>
    <t>Paula Caroline Morais Duarte - 20/02/2025 08:12:33</t>
  </si>
  <si>
    <t>Alisson Airton Sobrinho - 07/03/2025 06:55:05</t>
  </si>
  <si>
    <t>Alisson Airton Sobrinho - 07/03/2025 06:55:04</t>
  </si>
  <si>
    <t>Base de Dados_Images/TIT20068.Imagem do Equipamento-.153647.jpg</t>
  </si>
  <si>
    <t>Paula Caroline Morais Duarte - 31/01/2025 11:16:12</t>
  </si>
  <si>
    <t>TIT20069</t>
  </si>
  <si>
    <t>Temperatura Loa 2 Turbina 4/5º Ternos</t>
  </si>
  <si>
    <t>Paula Caroline Morais Duarte - 31/01/2025 11:17:53</t>
  </si>
  <si>
    <t>Paula Caroline Morais Duarte - 31/01/2025 11:17:59</t>
  </si>
  <si>
    <t>Paula Caroline Morais Duarte - 10/02/2025 15:37:28</t>
  </si>
  <si>
    <t>Paula Caroline Morais Duarte - 10/02/2025 15:37:29</t>
  </si>
  <si>
    <t>Paula Caroline Morais Duarte - 10/02/2025 15:37:30</t>
  </si>
  <si>
    <t>Paula Caroline Morais Duarte - 20/02/2025 08:12:26</t>
  </si>
  <si>
    <t>Paula Caroline Morais Duarte - 20/02/2025 08:12:25</t>
  </si>
  <si>
    <t>Alisson Airton Sobrinho - 07/03/2025 06:55:12</t>
  </si>
  <si>
    <t>Base de Dados_Images/TIT20069.Imagem do Equipamento-.153755.jpg</t>
  </si>
  <si>
    <t>Paula Caroline Morais Duarte - 31/01/2025 11:17:37</t>
  </si>
  <si>
    <t>TIT20070</t>
  </si>
  <si>
    <t>Temperatura Loa 3 Turbina 4/5º Ternos</t>
  </si>
  <si>
    <t>Paula Caroline Morais Duarte - 31/01/2025 11:17:00</t>
  </si>
  <si>
    <t>Paula Caroline Morais Duarte - 31/01/2025 11:17:01</t>
  </si>
  <si>
    <t>Paula Caroline Morais Duarte - 31/01/2025 11:17:02</t>
  </si>
  <si>
    <t>Paula Caroline Morais Duarte - 31/01/2025 11:17:04</t>
  </si>
  <si>
    <t>Paula Caroline Morais Duarte - 10/02/2025 15:37:41</t>
  </si>
  <si>
    <t>Paula Caroline Morais Duarte - 20/02/2025 08:12:17</t>
  </si>
  <si>
    <t>Paula Caroline Morais Duarte - 20/02/2025 08:12:18</t>
  </si>
  <si>
    <t>Alisson Airton Sobrinho - 07/03/2025 06:55:18</t>
  </si>
  <si>
    <t>Base de Dados_Images/TIT20070.Imagem do Equipamento-.153725.jpg</t>
  </si>
  <si>
    <t>Paula Caroline Morais Duarte - 31/01/2025 11:16:55</t>
  </si>
  <si>
    <t>TIT20071</t>
  </si>
  <si>
    <t>Temperatura La Turbina 4/5º Ternos</t>
  </si>
  <si>
    <t>Paula Caroline Morais Duarte - 31/01/2025 11:15:07</t>
  </si>
  <si>
    <t>Paula Caroline Morais Duarte - 31/01/2025 11:15:14</t>
  </si>
  <si>
    <t>Paula Caroline Morais Duarte - 31/01/2025 11:15:20</t>
  </si>
  <si>
    <t>Paula Caroline Morais Duarte - 10/02/2025 15:37:48</t>
  </si>
  <si>
    <t>Paula Caroline Morais Duarte - 10/02/2025 15:37:49</t>
  </si>
  <si>
    <t>Paula Caroline Morais Duarte - 10/02/2025 15:37:50</t>
  </si>
  <si>
    <t>Paula Caroline Morais Duarte - 20/02/2025 08:12:06</t>
  </si>
  <si>
    <t>Paula Caroline Morais Duarte - 20/02/2025 08:12:07</t>
  </si>
  <si>
    <t>Alisson Airton Sobrinho - 07/03/2025 06:55:24</t>
  </si>
  <si>
    <t>Alisson Airton Sobrinho - 07/03/2025 06:55:25</t>
  </si>
  <si>
    <t>Base de Dados_Images/TIT20071.Imagem do Equipamento-.153614.jpg</t>
  </si>
  <si>
    <t>Paula Caroline Morais Duarte - 31/01/2025 11:14:58</t>
  </si>
  <si>
    <t>TIT20072</t>
  </si>
  <si>
    <t>Temperatura Mancal Redutor Alta La 4/5º Ternos</t>
  </si>
  <si>
    <t>Paula Caroline Morais Duarte - 31/01/2025 11:14:31</t>
  </si>
  <si>
    <t>Paula Caroline Morais Duarte - 31/01/2025 11:14:32</t>
  </si>
  <si>
    <t>Paula Caroline Morais Duarte - 31/01/2025 11:14:33</t>
  </si>
  <si>
    <t>Paula Caroline Morais Duarte - 10/02/2025 15:37:58</t>
  </si>
  <si>
    <t>Paula Caroline Morais Duarte - 10/02/2025 15:37:59</t>
  </si>
  <si>
    <t>Paula Caroline Morais Duarte - 10/02/2025 15:38:00</t>
  </si>
  <si>
    <t>Paula Caroline Morais Duarte - 20/02/2025 08:11:59</t>
  </si>
  <si>
    <t>Alisson Airton Sobrinho - 07/03/2025 06:55:31</t>
  </si>
  <si>
    <t>Alisson Airton Sobrinho - 07/03/2025 06:55:30</t>
  </si>
  <si>
    <t>Base de Dados_Images/TIT20072.Imagem do Equipamento-.153544.jpg</t>
  </si>
  <si>
    <t>Paula Caroline Morais Duarte - 31/01/2025 11:14:27</t>
  </si>
  <si>
    <t>TIT20073</t>
  </si>
  <si>
    <t>Temperatura Mancal Redutor Baixa La 4/5º Ternos</t>
  </si>
  <si>
    <t>Paula Caroline Morais Duarte - 31/01/2025 11:19:05</t>
  </si>
  <si>
    <t>Paula Caroline Morais Duarte - 31/01/2025 11:19:06</t>
  </si>
  <si>
    <t>Paula Caroline Morais Duarte - 31/01/2025 11:19:09</t>
  </si>
  <si>
    <t>Paula Caroline Morais Duarte - 31/01/2025 11:19:10</t>
  </si>
  <si>
    <t>Paula Caroline Morais Duarte - 10/02/2025 15:38:12</t>
  </si>
  <si>
    <t>Paula Caroline Morais Duarte - 10/02/2025 15:38:13</t>
  </si>
  <si>
    <t>Paula Caroline Morais Duarte - 10/02/2025 15:38:14</t>
  </si>
  <si>
    <t>Paula Caroline Morais Duarte - 20/02/2025 08:11:51</t>
  </si>
  <si>
    <t>Paula Caroline Morais Duarte - 20/02/2025 08:11:50</t>
  </si>
  <si>
    <t>Alisson Airton Sobrinho - 07/03/2025 06:55:37</t>
  </si>
  <si>
    <t>Alisson Airton Sobrinho - 07/03/2025 06:55:38</t>
  </si>
  <si>
    <t>Base de Dados_Images/TIT20073.Imagem do Equipamento-.153829.jpg</t>
  </si>
  <si>
    <t>Paula Caroline Morais Duarte - 31/01/2025 11:18:49</t>
  </si>
  <si>
    <t>TIT20074</t>
  </si>
  <si>
    <t>Temperatura Mancal La Da Volandeira Do 4º Terno</t>
  </si>
  <si>
    <t>Weslley Ferreira Cooper - 29/01/2025 11:49:54</t>
  </si>
  <si>
    <t>Weslley Ferreira Cooper - 29/01/2025 11:49:53</t>
  </si>
  <si>
    <t>Weslley Ferreira Cooper - 29/01/2025 11:49:52</t>
  </si>
  <si>
    <t>Paula Caroline Morais Duarte - 10/02/2025 16:12:34</t>
  </si>
  <si>
    <t>Paula Caroline Morais Duarte - 10/02/2025 16:12:35</t>
  </si>
  <si>
    <t>Paula Caroline Morais Duarte - 10/02/2025 16:12:36</t>
  </si>
  <si>
    <t>Rafael Roldão Rodrigues - 03/03/2025 11:26:06</t>
  </si>
  <si>
    <t>Rafael Roldão Rodrigues - 03/03/2025 11:26:07</t>
  </si>
  <si>
    <t>Alisson Airton Sobrinho - 07/03/2025 06:38:03</t>
  </si>
  <si>
    <t>Alisson Airton Sobrinho - 07/03/2025 06:38:00</t>
  </si>
  <si>
    <t>Base de Dados_Images/TIT20074.Imagem do Equipamento-.151449.jpg</t>
  </si>
  <si>
    <t>Weslley Ferreira Cooper - 29/01/2025 11:49:48</t>
  </si>
  <si>
    <t>TIT20075</t>
  </si>
  <si>
    <t>Temperatura Mancal Lna Da Volandeira Do 4º Terno</t>
  </si>
  <si>
    <t>Weslley Ferreira Cooper - 29/01/2025 11:50:36</t>
  </si>
  <si>
    <t>Weslley Ferreira Cooper - 29/01/2025 11:50:35</t>
  </si>
  <si>
    <t>Weslley Ferreira Cooper - 29/01/2025 11:50:34</t>
  </si>
  <si>
    <t>Paula Caroline Morais Duarte - 10/02/2025 16:12:26</t>
  </si>
  <si>
    <t>Paula Caroline Morais Duarte - 10/02/2025 16:12:27</t>
  </si>
  <si>
    <t>Paula Caroline Morais Duarte - 10/02/2025 16:12:28</t>
  </si>
  <si>
    <t>Rafael Roldão Rodrigues - 03/03/2025 11:26:14</t>
  </si>
  <si>
    <t>Alisson Airton Sobrinho - 07/03/2025 06:38:08</t>
  </si>
  <si>
    <t>Base de Dados_Images/TIT20075.Imagem do Equipamento-.151715.jpg</t>
  </si>
  <si>
    <t>Weslley Ferreira Cooper - 29/01/2025 11:50:31</t>
  </si>
  <si>
    <t>TIT20076</t>
  </si>
  <si>
    <t>Temperatura Mancal La Da Volandeira Do 5º Terno</t>
  </si>
  <si>
    <t>Weslley Ferreira Cooper - 29/01/2025 11:49:11</t>
  </si>
  <si>
    <t>Weslley Ferreira Cooper - 29/01/2025 11:49:10</t>
  </si>
  <si>
    <t>Paula Caroline Morais Duarte - 10/02/2025 16:40:26</t>
  </si>
  <si>
    <t>Paula Caroline Morais Duarte - 10/02/2025 16:40:27</t>
  </si>
  <si>
    <t>Paula Caroline Morais Duarte - 10/02/2025 16:40:28</t>
  </si>
  <si>
    <t>Rafael Roldão Rodrigues - 03/03/2025 11:27:10</t>
  </si>
  <si>
    <t>Rafael Roldão Rodrigues - 03/03/2025 11:27:11</t>
  </si>
  <si>
    <t>Alisson Airton Sobrinho - 07/03/2025 06:39:04</t>
  </si>
  <si>
    <t>Base de Dados_Images/TIT20076.Imagem do Equipamento-.151347.jpg</t>
  </si>
  <si>
    <t>Weslley Ferreira Cooper - 29/01/2025 11:49:03</t>
  </si>
  <si>
    <t>TIT20077</t>
  </si>
  <si>
    <t>Temperatura Mancal Lna Da Volandeira Do 5º Terno</t>
  </si>
  <si>
    <t>Weslley Ferreira Cooper - 29/01/2025 11:51:35</t>
  </si>
  <si>
    <t>Weslley Ferreira Cooper - 29/01/2025 11:51:34</t>
  </si>
  <si>
    <t>Paula Caroline Morais Duarte - 10/02/2025 16:40:13</t>
  </si>
  <si>
    <t>Paula Caroline Morais Duarte - 10/02/2025 16:40:14</t>
  </si>
  <si>
    <t>Paula Caroline Morais Duarte - 10/02/2025 16:40:19</t>
  </si>
  <si>
    <t>Rafael Roldão Rodrigues - 03/03/2025 11:27:19</t>
  </si>
  <si>
    <t>Rafael Roldão Rodrigues - 03/03/2025 11:27:20</t>
  </si>
  <si>
    <t>Alisson Airton Sobrinho - 07/03/2025 06:39:12</t>
  </si>
  <si>
    <t>Alisson Airton Sobrinho - 07/03/2025 06:39:10</t>
  </si>
  <si>
    <t>Base de Dados_Images/TIT20077.Imagem do Equipamento-.151736.jpg</t>
  </si>
  <si>
    <t>Weslley Ferreira Cooper - 29/01/2025 11:51:30</t>
  </si>
  <si>
    <t>TIT20084</t>
  </si>
  <si>
    <t>Temperatura Vapor Escape Turbina 6º Ternos</t>
  </si>
  <si>
    <t>Weslley Ferreira Cooper - 29/01/2025 12:02:34</t>
  </si>
  <si>
    <t>Weslley Ferreira Cooper - 29/01/2025 12:02:33</t>
  </si>
  <si>
    <t>Weslley Ferreira Cooper - 29/01/2025 12:02:32</t>
  </si>
  <si>
    <t>Weslley Ferreira Cooper - 29/01/2025 12:02:31</t>
  </si>
  <si>
    <t>Paula Caroline Morais Duarte - 10/02/2025 15:41:00</t>
  </si>
  <si>
    <t>Paula Caroline Morais Duarte - 10/02/2025 15:41:01</t>
  </si>
  <si>
    <t>Paula Caroline Morais Duarte - 10/02/2025 15:41:02</t>
  </si>
  <si>
    <t>Paula Caroline Morais Duarte - 20/02/2025 08:07:27</t>
  </si>
  <si>
    <t>Paula Caroline Morais Duarte - 20/02/2025 08:07:28</t>
  </si>
  <si>
    <t>Alisson Airton Sobrinho - 07/03/2025 06:56:32</t>
  </si>
  <si>
    <t>Base de Dados_Images/TIT20084.Imagem do Equipamento-.152407.jpg</t>
  </si>
  <si>
    <t>Weslley Ferreira Cooper - 29/01/2025 12:02:27</t>
  </si>
  <si>
    <t>TIT20089</t>
  </si>
  <si>
    <t>Temperatura Do Oleo Apos O Resfriador 6º Ternos</t>
  </si>
  <si>
    <t>Weslley Ferreira Cooper - 29/01/2025 11:58:26</t>
  </si>
  <si>
    <t>Weslley Ferreira Cooper - 29/01/2025 11:58:25</t>
  </si>
  <si>
    <t>Weslley Ferreira Cooper - 29/01/2025 11:58:24</t>
  </si>
  <si>
    <t>Weslley Ferreira Cooper - 29/01/2025 11:58:23</t>
  </si>
  <si>
    <t>Paula Caroline Morais Duarte - 10/02/2025 15:01:58</t>
  </si>
  <si>
    <t>Paula Caroline Morais Duarte - 10/02/2025 15:01:59</t>
  </si>
  <si>
    <t>Paula Caroline Morais Duarte - 10/02/2025 15:02:00</t>
  </si>
  <si>
    <t>Paula Caroline Morais Duarte - 20/02/2025 08:06:19</t>
  </si>
  <si>
    <t>Paula Caroline Morais Duarte - 20/02/2025 08:06:20</t>
  </si>
  <si>
    <t>Alisson Airton Sobrinho - 07/03/2025 06:56:39</t>
  </si>
  <si>
    <t>Alisson Airton Sobrinho - 07/03/2025 06:56:38</t>
  </si>
  <si>
    <t>Base de Dados_Images/TIT20089.Imagem do Equipamento-.152222.jpg</t>
  </si>
  <si>
    <t>Weslley Ferreira Cooper - 29/01/2025 11:58:19</t>
  </si>
  <si>
    <t>TIT20090</t>
  </si>
  <si>
    <t>Temperatura Loa 1 Turbina 6º Ternos</t>
  </si>
  <si>
    <t>Weslley Ferreira Cooper - 29/01/2025 12:01:40</t>
  </si>
  <si>
    <t>Weslley Ferreira Cooper - 29/01/2025 12:01:39</t>
  </si>
  <si>
    <t>Weslley Ferreira Cooper - 29/01/2025 12:01:38</t>
  </si>
  <si>
    <t>Weslley Ferreira Cooper - 29/01/2025 12:01:37</t>
  </si>
  <si>
    <t>Paula Caroline Morais Duarte - 10/02/2025 15:01:43</t>
  </si>
  <si>
    <t>Paula Caroline Morais Duarte - 10/02/2025 15:01:42</t>
  </si>
  <si>
    <t>Paula Caroline Morais Duarte - 10/02/2025 15:01:41</t>
  </si>
  <si>
    <t>Paula Caroline Morais Duarte - 20/02/2025 08:06:09</t>
  </si>
  <si>
    <t>Paula Caroline Morais Duarte - 20/02/2025 08:06:10</t>
  </si>
  <si>
    <t>Alisson Airton Sobrinho - 07/03/2025 06:56:47</t>
  </si>
  <si>
    <t>Base de Dados_Images/TIT20090.Imagem do Equipamento-.152341.jpg</t>
  </si>
  <si>
    <t>Weslley Ferreira Cooper - 29/01/2025 12:01:29</t>
  </si>
  <si>
    <t>TIT20091</t>
  </si>
  <si>
    <t>Temperatura La Turbina 6º Ternos</t>
  </si>
  <si>
    <t>Weslley Ferreira Cooper - 29/01/2025 12:03:04</t>
  </si>
  <si>
    <t>Weslley Ferreira Cooper - 29/01/2025 12:03:03</t>
  </si>
  <si>
    <t>Weslley Ferreira Cooper - 29/01/2025 12:03:02</t>
  </si>
  <si>
    <t>Weslley Ferreira Cooper - 29/01/2025 12:03:01</t>
  </si>
  <si>
    <t>Paula Caroline Morais Duarte - 10/02/2025 15:01:08</t>
  </si>
  <si>
    <t>Paula Caroline Morais Duarte - 10/02/2025 15:01:16</t>
  </si>
  <si>
    <t>Paula Caroline Morais Duarte - 10/02/2025 15:01:17</t>
  </si>
  <si>
    <t>Paula Caroline Morais Duarte - 20/02/2025 08:06:02</t>
  </si>
  <si>
    <t>Paula Caroline Morais Duarte - 20/02/2025 08:06:03</t>
  </si>
  <si>
    <t>Alisson Airton Sobrinho - 07/03/2025 06:56:52</t>
  </si>
  <si>
    <t>Base de Dados_Images/TIT20091.Imagem do Equipamento-.152428.jpg</t>
  </si>
  <si>
    <t>Weslley Ferreira Cooper - 29/01/2025 12:02:56</t>
  </si>
  <si>
    <t>TIT20092</t>
  </si>
  <si>
    <t>Temperatura Mancal Redutor Alta La 6º Ternos</t>
  </si>
  <si>
    <t>Weslley Ferreira Cooper - 29/01/2025 12:03:40</t>
  </si>
  <si>
    <t>Weslley Ferreira Cooper - 29/01/2025 12:03:39</t>
  </si>
  <si>
    <t>Weslley Ferreira Cooper - 29/01/2025 12:03:38</t>
  </si>
  <si>
    <t>Weslley Ferreira Cooper - 29/01/2025 12:03:37</t>
  </si>
  <si>
    <t>Paula Caroline Morais Duarte - 10/02/2025 15:00:59</t>
  </si>
  <si>
    <t>Paula Caroline Morais Duarte - 10/02/2025 15:00:58</t>
  </si>
  <si>
    <t>Paula Caroline Morais Duarte - 10/02/2025 15:00:57</t>
  </si>
  <si>
    <t>Paula Caroline Morais Duarte - 20/02/2025 08:05:53</t>
  </si>
  <si>
    <t>Paula Caroline Morais Duarte - 20/02/2025 08:05:54</t>
  </si>
  <si>
    <t>Alisson Airton Sobrinho - 07/03/2025 06:56:59</t>
  </si>
  <si>
    <t>Base de Dados_Images/TIT20092.Imagem do Equipamento-.152450.jpg</t>
  </si>
  <si>
    <t>Weslley Ferreira Cooper - 29/01/2025 12:03:32</t>
  </si>
  <si>
    <t>TIT20093</t>
  </si>
  <si>
    <t>Temperatura Mancal Redutor Alta Lna 6º Ternos</t>
  </si>
  <si>
    <t>Weslley Ferreira Cooper - 29/01/2025 12:04:05</t>
  </si>
  <si>
    <t>Weslley Ferreira Cooper - 29/01/2025 12:04:03</t>
  </si>
  <si>
    <t>Weslley Ferreira Cooper - 29/01/2025 12:04:02</t>
  </si>
  <si>
    <t>Weslley Ferreira Cooper - 29/01/2025 12:04:01</t>
  </si>
  <si>
    <t>Paula Caroline Morais Duarte - 10/02/2025 15:00:43</t>
  </si>
  <si>
    <t>Paula Caroline Morais Duarte - 10/02/2025 15:00:42</t>
  </si>
  <si>
    <t>Paula Caroline Morais Duarte - 10/02/2025 15:00:40</t>
  </si>
  <si>
    <t>Paula Caroline Morais Duarte - 20/02/2025 08:05:45</t>
  </si>
  <si>
    <t>Paula Caroline Morais Duarte - 20/02/2025 08:05:44</t>
  </si>
  <si>
    <t>Alisson Airton Sobrinho - 07/03/2025 06:57:05</t>
  </si>
  <si>
    <t>Base de Dados_Images/TIT20093.Imagem do Equipamento-.152512.jpg</t>
  </si>
  <si>
    <t>Weslley Ferreira Cooper - 29/01/2025 12:03:56</t>
  </si>
  <si>
    <t>TIT20094</t>
  </si>
  <si>
    <t>Temperatura Mancal Redutor Baixa La 6º Ternos</t>
  </si>
  <si>
    <t>Weslley Ferreira Cooper - 29/01/2025 11:58:03</t>
  </si>
  <si>
    <t>Weslley Ferreira Cooper - 29/01/2025 11:57:55</t>
  </si>
  <si>
    <t>Weslley Ferreira Cooper - 29/01/2025 11:57:54</t>
  </si>
  <si>
    <t>Weslley Ferreira Cooper - 29/01/2025 11:57:53</t>
  </si>
  <si>
    <t>Paula Caroline Morais Duarte - 10/02/2025 15:00:17</t>
  </si>
  <si>
    <t>Paula Caroline Morais Duarte - 10/02/2025 15:00:16</t>
  </si>
  <si>
    <t>Paula Caroline Morais Duarte - 10/02/2025 15:00:15</t>
  </si>
  <si>
    <t>Paula Caroline Morais Duarte - 20/02/2025 08:05:36</t>
  </si>
  <si>
    <t>Alisson Airton Sobrinho - 07/03/2025 06:57:14</t>
  </si>
  <si>
    <t>Alisson Airton Sobrinho - 07/03/2025 06:57:11</t>
  </si>
  <si>
    <t>Base de Dados_Images/TIT20094.Imagem do Equipamento-.152144.jpg</t>
  </si>
  <si>
    <t>Weslley Ferreira Cooper - 29/01/2025 11:57:46</t>
  </si>
  <si>
    <t>TIT20095</t>
  </si>
  <si>
    <t>Temperatura Mancal Redutor Baixa Lna 6º Ternos</t>
  </si>
  <si>
    <t>Weslley Ferreira Cooper - 29/01/2025 11:59:58</t>
  </si>
  <si>
    <t>Weslley Ferreira Cooper - 29/01/2025 11:59:57</t>
  </si>
  <si>
    <t>Weslley Ferreira Cooper - 29/01/2025 11:59:56</t>
  </si>
  <si>
    <t>Weslley Ferreira Cooper - 29/01/2025 11:59:55</t>
  </si>
  <si>
    <t>Paula Caroline Morais Duarte - 10/02/2025 14:58:15</t>
  </si>
  <si>
    <t>Paula Caroline Morais Duarte - 10/02/2025 14:58:16</t>
  </si>
  <si>
    <t>Paula Caroline Morais Duarte - 20/02/2025 08:05:26</t>
  </si>
  <si>
    <t>Paula Caroline Morais Duarte - 20/02/2025 08:05:27</t>
  </si>
  <si>
    <t>Alisson Airton Sobrinho - 07/03/2025 06:57:23</t>
  </si>
  <si>
    <t>Alisson Airton Sobrinho - 07/03/2025 06:57:21</t>
  </si>
  <si>
    <t>Base de Dados_Images/TIT20095.Imagem do Equipamento-.152314.jpg</t>
  </si>
  <si>
    <t>Weslley Ferreira Cooper - 29/01/2025 11:59:50</t>
  </si>
  <si>
    <t>TIT20101</t>
  </si>
  <si>
    <t>Temperatura Da Água Embebição</t>
  </si>
  <si>
    <t>Paula Caroline Morais Duarte - 11/02/2025 09:16:47</t>
  </si>
  <si>
    <t>Paula Caroline Morais Duarte - 11/02/2025 09:16:48</t>
  </si>
  <si>
    <t>Paula Caroline Morais Duarte - 11/02/2025 09:16:50</t>
  </si>
  <si>
    <t>Paula Caroline Morais Duarte - 11/02/2025 09:16:51</t>
  </si>
  <si>
    <t>Rafael Roldão Rodrigues - 03/03/2025 11:43:54</t>
  </si>
  <si>
    <t>Rafael Roldão Rodrigues - 03/03/2025 11:43:55</t>
  </si>
  <si>
    <t>Rafael Roldão Rodrigues - 03/03/2025 11:43:56</t>
  </si>
  <si>
    <t>Rafael Roldão Rodrigues - 03/03/2025 11:44:00</t>
  </si>
  <si>
    <t>Rafael Roldão Rodrigues - 03/03/2025 11:44:01</t>
  </si>
  <si>
    <t>Alisson Airton Sobrinho - 07/03/2025 06:49:00</t>
  </si>
  <si>
    <t>Paula Caroline Morais Duarte - 02/11/2025 09:16:43</t>
  </si>
  <si>
    <t>TIT20112</t>
  </si>
  <si>
    <t>Temperatura Da Agua Rolo Sai 1° Terno Le</t>
  </si>
  <si>
    <t>Paula Caroline Morais Duarte - 10/02/2025 15:53:09</t>
  </si>
  <si>
    <t>Paula Caroline Morais Duarte - 10/02/2025 15:53:10</t>
  </si>
  <si>
    <t>Paula Caroline Morais Duarte - 10/02/2025 15:53:11</t>
  </si>
  <si>
    <t>Paula Caroline Morais Duarte - 10/02/2025 15:53:13</t>
  </si>
  <si>
    <t>Paula Caroline Morais Duarte - 10/02/2025 15:53:24</t>
  </si>
  <si>
    <t>Paula Caroline Morais Duarte - 10/02/2025 15:53:19</t>
  </si>
  <si>
    <t>Paula Caroline Morais Duarte - 10/02/2025 15:53:20</t>
  </si>
  <si>
    <t>Rafael Roldão Rodrigues - 03/03/2025 11:16:21</t>
  </si>
  <si>
    <t>Rafael Roldão Rodrigues - 03/03/2025 11:16:22</t>
  </si>
  <si>
    <t>Alisson Airton Sobrinho - 07/03/2025 06:34:03</t>
  </si>
  <si>
    <t>Base de Dados_Images/TIT20112.Imagem do Equipamento-.132709.jpg</t>
  </si>
  <si>
    <t>Matheus César Azevedo Neto - 10/02/2025 12:02:35</t>
  </si>
  <si>
    <t>TIT20113</t>
  </si>
  <si>
    <t>Temperatura Da Agua Rolo Ent 2° Terno Ld</t>
  </si>
  <si>
    <t>Paula Caroline Morais Duarte - 10/02/2025 15:42:15</t>
  </si>
  <si>
    <t>Paula Caroline Morais Duarte - 10/02/2025 15:42:16</t>
  </si>
  <si>
    <t>Paula Caroline Morais Duarte - 10/02/2025 15:42:21</t>
  </si>
  <si>
    <t>Paula Caroline Morais Duarte - 10/02/2025 15:42:22</t>
  </si>
  <si>
    <t>Paula Caroline Morais Duarte - 10/02/2025 15:42:27</t>
  </si>
  <si>
    <t>Paula Caroline Morais Duarte - 10/02/2025 15:42:28</t>
  </si>
  <si>
    <t>Paula Caroline Morais Duarte - 10/02/2025 15:42:29</t>
  </si>
  <si>
    <t>Rafael Roldão Rodrigues - 03/03/2025 11:19:59</t>
  </si>
  <si>
    <t>Rafael Roldão Rodrigues - 03/03/2025 11:20:00</t>
  </si>
  <si>
    <t>Alisson Airton Sobrinho - 07/03/2025 06:34:59</t>
  </si>
  <si>
    <t>Alisson Airton Sobrinho - 07/03/2025 06:34:58</t>
  </si>
  <si>
    <t>Base de Dados_Images/TIT20113.Imagem do Equipamento-.184503.jpg</t>
  </si>
  <si>
    <t>Paula Caroline Morais Duarte - 10/02/2025 15:44:56</t>
  </si>
  <si>
    <t>TIT20114</t>
  </si>
  <si>
    <t>Temperatura Da Agua Rolo Sup 2° Terno Ld</t>
  </si>
  <si>
    <t>Paula Caroline Morais Duarte - 10/02/2025 15:42:37</t>
  </si>
  <si>
    <t>Paula Caroline Morais Duarte - 10/02/2025 15:42:38</t>
  </si>
  <si>
    <t>Paula Caroline Morais Duarte - 10/02/2025 15:42:39</t>
  </si>
  <si>
    <t>Paula Caroline Morais Duarte - 10/02/2025 15:42:41</t>
  </si>
  <si>
    <t>Paula Caroline Morais Duarte - 10/02/2025 15:42:47</t>
  </si>
  <si>
    <t>Paula Caroline Morais Duarte - 10/02/2025 15:42:48</t>
  </si>
  <si>
    <t>Paula Caroline Morais Duarte - 10/02/2025 15:42:49</t>
  </si>
  <si>
    <t>Rafael Roldão Rodrigues - 03/03/2025 11:20:10</t>
  </si>
  <si>
    <t>Rafael Roldão Rodrigues - 03/03/2025 11:20:12</t>
  </si>
  <si>
    <t>Alisson Airton Sobrinho - 07/03/2025 06:35:04</t>
  </si>
  <si>
    <t>Base de Dados_Images/TIT20114.Imagem do Equipamento-.184619.jpg</t>
  </si>
  <si>
    <t>TIT20115</t>
  </si>
  <si>
    <t>Temperatura Da Agua Rolo Sai 2° Terno Ld</t>
  </si>
  <si>
    <t>Paula Caroline Morais Duarte - 10/02/2025 15:46:33</t>
  </si>
  <si>
    <t>Paula Caroline Morais Duarte - 10/02/2025 15:46:34</t>
  </si>
  <si>
    <t>Paula Caroline Morais Duarte - 10/02/2025 15:46:35</t>
  </si>
  <si>
    <t>Paula Caroline Morais Duarte - 10/02/2025 15:46:40</t>
  </si>
  <si>
    <t>Paula Caroline Morais Duarte - 10/02/2025 15:46:44</t>
  </si>
  <si>
    <t>Paula Caroline Morais Duarte - 10/02/2025 15:46:45</t>
  </si>
  <si>
    <t>Paula Caroline Morais Duarte - 10/02/2025 15:46:46</t>
  </si>
  <si>
    <t>Rafael Roldão Rodrigues - 03/03/2025 11:20:19</t>
  </si>
  <si>
    <t>Rafael Roldão Rodrigues - 03/03/2025 11:20:20</t>
  </si>
  <si>
    <t>Alisson Airton Sobrinho - 07/03/2025 06:35:17</t>
  </si>
  <si>
    <t>Base de Dados_Images/TIT20115.Imagem do Equipamento-.184635.jpg</t>
  </si>
  <si>
    <t>Paula Caroline Morais Duarte - 10/02/2025 15:46:29</t>
  </si>
  <si>
    <t>TIT20116</t>
  </si>
  <si>
    <t>Temperatura Da Agua Rolo Ent 2° Terno Le</t>
  </si>
  <si>
    <t>Paula Caroline Morais Duarte - 10/02/2025 15:47:27</t>
  </si>
  <si>
    <t>Paula Caroline Morais Duarte - 10/02/2025 15:47:28</t>
  </si>
  <si>
    <t>Paula Caroline Morais Duarte - 10/02/2025 15:47:29</t>
  </si>
  <si>
    <t>Paula Caroline Morais Duarte - 10/02/2025 15:47:33</t>
  </si>
  <si>
    <t>Paula Caroline Morais Duarte - 10/02/2025 15:47:37</t>
  </si>
  <si>
    <t>Paula Caroline Morais Duarte - 10/02/2025 15:47:38</t>
  </si>
  <si>
    <t>Paula Caroline Morais Duarte - 10/02/2025 15:47:39</t>
  </si>
  <si>
    <t>Rafael Roldão Rodrigues - 03/03/2025 11:20:28</t>
  </si>
  <si>
    <t>Rafael Roldão Rodrigues - 03/03/2025 11:20:29</t>
  </si>
  <si>
    <t>Alisson Airton Sobrinho - 07/03/2025 06:35:24</t>
  </si>
  <si>
    <t>Alisson Airton Sobrinho - 07/03/2025 06:35:23</t>
  </si>
  <si>
    <t>Base de Dados_Images/TIT20116.Imagem do Equipamento-.184728.jpg</t>
  </si>
  <si>
    <t>Paula Caroline Morais Duarte - 10/02/2025 15:47:22</t>
  </si>
  <si>
    <t>TIT20117</t>
  </si>
  <si>
    <t>Temperatura Da Agua Rolo Sup 2° Terno Le</t>
  </si>
  <si>
    <t>Paula Caroline Morais Duarte - 10/02/2025 15:49:31</t>
  </si>
  <si>
    <t>Paula Caroline Morais Duarte - 10/02/2025 15:49:39</t>
  </si>
  <si>
    <t>Paula Caroline Morais Duarte - 10/02/2025 15:49:40</t>
  </si>
  <si>
    <t>Paula Caroline Morais Duarte - 10/02/2025 15:49:41</t>
  </si>
  <si>
    <t>Rafael Roldão Rodrigues - 03/03/2025 11:20:38</t>
  </si>
  <si>
    <t>Rafael Roldão Rodrigues - 03/03/2025 11:20:39</t>
  </si>
  <si>
    <t>Alisson Airton Sobrinho - 07/03/2025 06:35:35</t>
  </si>
  <si>
    <t>Alisson Airton Sobrinho - 07/03/2025 06:35:31</t>
  </si>
  <si>
    <t>Base de Dados_Images/TIT20117.Imagem do Equipamento-.185056.jpg</t>
  </si>
  <si>
    <t>Paula Caroline Morais Duarte - 10/02/2025 15:50:50</t>
  </si>
  <si>
    <t>TIT20118</t>
  </si>
  <si>
    <t>Temperatura Da Agua Rolo Sai 2° Terno Le</t>
  </si>
  <si>
    <t>Paula Caroline Morais Duarte - 10/02/2025 15:49:51</t>
  </si>
  <si>
    <t>Paula Caroline Morais Duarte - 10/02/2025 15:49:52</t>
  </si>
  <si>
    <t>Paula Caroline Morais Duarte - 10/02/2025 15:49:53</t>
  </si>
  <si>
    <t>Paula Caroline Morais Duarte - 10/02/2025 15:49:54</t>
  </si>
  <si>
    <t>Paula Caroline Morais Duarte - 10/02/2025 15:50:26</t>
  </si>
  <si>
    <t>Paula Caroline Morais Duarte - 10/02/2025 15:50:27</t>
  </si>
  <si>
    <t>Paula Caroline Morais Duarte - 10/02/2025 15:50:28</t>
  </si>
  <si>
    <t>Rafael Roldão Rodrigues - 03/03/2025 11:21:14</t>
  </si>
  <si>
    <t>Rafael Roldão Rodrigues - 03/03/2025 11:21:15</t>
  </si>
  <si>
    <t>Alisson Airton Sobrinho - 07/03/2025 06:35:42</t>
  </si>
  <si>
    <t>Alisson Airton Sobrinho - 07/03/2025 06:35:41</t>
  </si>
  <si>
    <t>Base de Dados_Images/TIT20118.Imagem do Equipamento-.185024.jpg</t>
  </si>
  <si>
    <t>Paula Caroline Morais Duarte - 10/02/2025 15:50:17</t>
  </si>
  <si>
    <t>TIT20119</t>
  </si>
  <si>
    <t>Temperatura Da Agua Rolo Ent 3° Terno Ld</t>
  </si>
  <si>
    <t>Paula Caroline Morais Duarte - 10/02/2025 15:55:41</t>
  </si>
  <si>
    <t>Paula Caroline Morais Duarte - 10/02/2025 15:55:42</t>
  </si>
  <si>
    <t>Paula Caroline Morais Duarte - 10/02/2025 15:55:43</t>
  </si>
  <si>
    <t>Paula Caroline Morais Duarte - 10/02/2025 15:55:45</t>
  </si>
  <si>
    <t>Paula Caroline Morais Duarte - 10/02/2025 15:55:49</t>
  </si>
  <si>
    <t>Paula Caroline Morais Duarte - 10/02/2025 15:55:50</t>
  </si>
  <si>
    <t>Paula Caroline Morais Duarte - 10/02/2025 15:55:51</t>
  </si>
  <si>
    <t>Rafael Roldão Rodrigues - 03/03/2025 11:23:48</t>
  </si>
  <si>
    <t>Rafael Roldão Rodrigues - 03/03/2025 11:23:49</t>
  </si>
  <si>
    <t>Alisson Airton Sobrinho - 07/03/2025 06:36:18</t>
  </si>
  <si>
    <t>Base de Dados_Images/TIT20119.Imagem do Equipamento-.185543.jpg</t>
  </si>
  <si>
    <t>Paula Caroline Morais Duarte - 10/02/2025 15:55:37</t>
  </si>
  <si>
    <t>TIT20120</t>
  </si>
  <si>
    <t>Temperatura Da Agua Rolo Sup 3° Terno Ld</t>
  </si>
  <si>
    <t>Paula Caroline Morais Duarte - 10/02/2025 16:02:33</t>
  </si>
  <si>
    <t>Paula Caroline Morais Duarte - 10/02/2025 16:02:34</t>
  </si>
  <si>
    <t>Paula Caroline Morais Duarte - 10/02/2025 16:02:36</t>
  </si>
  <si>
    <t>Paula Caroline Morais Duarte - 10/02/2025 16:02:37</t>
  </si>
  <si>
    <t>Paula Caroline Morais Duarte - 10/02/2025 16:02:42</t>
  </si>
  <si>
    <t>Paula Caroline Morais Duarte - 10/02/2025 16:02:43</t>
  </si>
  <si>
    <t>Paula Caroline Morais Duarte - 10/02/2025 16:02:44</t>
  </si>
  <si>
    <t>Rafael Roldão Rodrigues - 03/03/2025 11:23:56</t>
  </si>
  <si>
    <t>Rafael Roldão Rodrigues - 03/03/2025 11:23:57</t>
  </si>
  <si>
    <t>Alisson Airton Sobrinho - 07/03/2025 06:36:24</t>
  </si>
  <si>
    <t>Alisson Airton Sobrinho - 07/03/2025 06:36:23</t>
  </si>
  <si>
    <t>Base de Dados_Images/TIT20120.Imagem do Equipamento-.190229.jpg</t>
  </si>
  <si>
    <t>Paula Caroline Morais Duarte - 10/02/2025 16:02:22</t>
  </si>
  <si>
    <t>TIT20121</t>
  </si>
  <si>
    <t>Temperatura Da Agua Rolo Sai 3° Terno Ld</t>
  </si>
  <si>
    <t>Paula Caroline Morais Duarte - 10/02/2025 16:03:08</t>
  </si>
  <si>
    <t>Paula Caroline Morais Duarte - 10/02/2025 16:03:09</t>
  </si>
  <si>
    <t>Paula Caroline Morais Duarte - 10/02/2025 16:03:10</t>
  </si>
  <si>
    <t>Paula Caroline Morais Duarte - 10/02/2025 16:03:11</t>
  </si>
  <si>
    <t>Paula Caroline Morais Duarte - 10/02/2025 16:03:15</t>
  </si>
  <si>
    <t>Paula Caroline Morais Duarte - 10/02/2025 16:03:16</t>
  </si>
  <si>
    <t>Paula Caroline Morais Duarte - 10/02/2025 16:03:17</t>
  </si>
  <si>
    <t>Rafael Roldão Rodrigues - 03/03/2025 11:24:04</t>
  </si>
  <si>
    <t>Rafael Roldão Rodrigues - 03/03/2025 11:24:05</t>
  </si>
  <si>
    <t>Alisson Airton Sobrinho - 07/03/2025 06:36:30</t>
  </si>
  <si>
    <t>Alisson Airton Sobrinho - 07/03/2025 06:36:29</t>
  </si>
  <si>
    <t>Base de Dados_Images/TIT20121.Imagem do Equipamento-.190310.jpg</t>
  </si>
  <si>
    <t>Paula Caroline Morais Duarte - 10/02/2025 16:03:03</t>
  </si>
  <si>
    <t>TIT20122</t>
  </si>
  <si>
    <t>Temperatura Da Agua Rolo Ent 3° Terno Le</t>
  </si>
  <si>
    <t>Paula Caroline Morais Duarte - 10/02/2025 16:03:51</t>
  </si>
  <si>
    <t>Paula Caroline Morais Duarte - 10/02/2025 16:03:52</t>
  </si>
  <si>
    <t>Paula Caroline Morais Duarte - 10/02/2025 16:03:53</t>
  </si>
  <si>
    <t>Paula Caroline Morais Duarte - 10/02/2025 16:03:54</t>
  </si>
  <si>
    <t>Paula Caroline Morais Duarte - 10/02/2025 16:04:06</t>
  </si>
  <si>
    <t>Paula Caroline Morais Duarte - 10/02/2025 16:04:07</t>
  </si>
  <si>
    <t>Paula Caroline Morais Duarte - 10/02/2025 16:04:08</t>
  </si>
  <si>
    <t>Rafael Roldão Rodrigues - 03/03/2025 11:24:11</t>
  </si>
  <si>
    <t>Rafael Roldão Rodrigues - 03/03/2025 11:24:12</t>
  </si>
  <si>
    <t>Alisson Airton Sobrinho - 07/03/2025 06:36:36</t>
  </si>
  <si>
    <t>Alisson Airton Sobrinho - 07/03/2025 06:36:35</t>
  </si>
  <si>
    <t>Base de Dados_Images/TIT20122.Imagem do Equipamento-.190352.jpg</t>
  </si>
  <si>
    <t>Paula Caroline Morais Duarte - 10/02/2025 16:03:40</t>
  </si>
  <si>
    <t>TIT20123</t>
  </si>
  <si>
    <t>Temperatura Da Agua Rolo Sup 3° Terno Le</t>
  </si>
  <si>
    <t>Paula Caroline Morais Duarte - 10/02/2025 16:04:36</t>
  </si>
  <si>
    <t>Paula Caroline Morais Duarte - 10/02/2025 16:04:40</t>
  </si>
  <si>
    <t>Paula Caroline Morais Duarte - 10/02/2025 16:04:39</t>
  </si>
  <si>
    <t>Paula Caroline Morais Duarte - 10/02/2025 16:04:43</t>
  </si>
  <si>
    <t>Paula Caroline Morais Duarte - 10/02/2025 16:04:49</t>
  </si>
  <si>
    <t>Paula Caroline Morais Duarte - 10/02/2025 16:04:50</t>
  </si>
  <si>
    <t>Paula Caroline Morais Duarte - 10/02/2025 16:04:51</t>
  </si>
  <si>
    <t>Rafael Roldão Rodrigues - 03/03/2025 11:24:19</t>
  </si>
  <si>
    <t>Rafael Roldão Rodrigues - 03/03/2025 11:24:20</t>
  </si>
  <si>
    <t>Alisson Airton Sobrinho - 07/03/2025 06:36:41</t>
  </si>
  <si>
    <t>Base de Dados_Images/TIT20123.Imagem do Equipamento-.190437.jpg</t>
  </si>
  <si>
    <t>Paula Caroline Morais Duarte - 10/02/2025 16:04:29</t>
  </si>
  <si>
    <t>TIT20124</t>
  </si>
  <si>
    <t>Temperatura Da Agua Rolo Sai 3° Terno Le</t>
  </si>
  <si>
    <t>Paula Caroline Morais Duarte - 10/02/2025 15:59:58</t>
  </si>
  <si>
    <t>Paula Caroline Morais Duarte - 10/02/2025 15:59:59</t>
  </si>
  <si>
    <t>Paula Caroline Morais Duarte - 10/02/2025 16:00:03</t>
  </si>
  <si>
    <t>Paula Caroline Morais Duarte - 10/02/2025 16:00:10</t>
  </si>
  <si>
    <t>Paula Caroline Morais Duarte - 10/02/2025 16:00:31</t>
  </si>
  <si>
    <t>Paula Caroline Morais Duarte - 10/02/2025 16:00:32</t>
  </si>
  <si>
    <t>Paula Caroline Morais Duarte - 10/02/2025 16:00:34</t>
  </si>
  <si>
    <t>Rafael Roldão Rodrigues - 03/03/2025 11:24:26</t>
  </si>
  <si>
    <t>Rafael Roldão Rodrigues - 03/03/2025 11:24:27</t>
  </si>
  <si>
    <t>Alisson Airton Sobrinho - 07/03/2025 06:36:50</t>
  </si>
  <si>
    <t>Alisson Airton Sobrinho - 07/03/2025 06:36:49</t>
  </si>
  <si>
    <t>Base de Dados_Images/TIT20124.Imagem do Equipamento-.190528.jpg</t>
  </si>
  <si>
    <t>Paula Caroline Morais Duarte - 10/02/2025 16:05:22</t>
  </si>
  <si>
    <t>TIT20128</t>
  </si>
  <si>
    <t>Temperatura Da Agua Rolo Ent 4° Terno Le</t>
  </si>
  <si>
    <t>Paula Caroline Morais Duarte - 10/02/2025 16:05:51</t>
  </si>
  <si>
    <t>Paula Caroline Morais Duarte - 10/02/2025 16:05:52</t>
  </si>
  <si>
    <t>Paula Caroline Morais Duarte - 10/02/2025 16:05:53</t>
  </si>
  <si>
    <t>Paula Caroline Morais Duarte - 10/02/2025 16:05:55</t>
  </si>
  <si>
    <t>Paula Caroline Morais Duarte - 10/02/2025 16:05:59</t>
  </si>
  <si>
    <t>Paula Caroline Morais Duarte - 10/02/2025 16:06:00</t>
  </si>
  <si>
    <t>Paula Caroline Morais Duarte - 10/02/2025 16:06:01</t>
  </si>
  <si>
    <t>Rafael Roldão Rodrigues - 03/03/2025 11:26:24</t>
  </si>
  <si>
    <t>Rafael Roldão Rodrigues - 03/03/2025 11:26:25</t>
  </si>
  <si>
    <t>Alisson Airton Sobrinho - 07/03/2025 06:38:14</t>
  </si>
  <si>
    <t>Alisson Airton Sobrinho - 07/03/2025 06:38:13</t>
  </si>
  <si>
    <t>Base de Dados_Images/TIT20128.Imagem do Equipamento-.190627.jpg</t>
  </si>
  <si>
    <t>Paula Caroline Morais Duarte - 10/02/2025 16:06:20</t>
  </si>
  <si>
    <t>TIT20129</t>
  </si>
  <si>
    <t>Temperatura Da Agua Rolo Sup 4° Terno Le</t>
  </si>
  <si>
    <t>Paula Caroline Morais Duarte - 10/02/2025 16:08:22</t>
  </si>
  <si>
    <t>Paula Caroline Morais Duarte - 10/02/2025 16:08:23</t>
  </si>
  <si>
    <t>Paula Caroline Morais Duarte - 10/02/2025 16:08:24</t>
  </si>
  <si>
    <t>Paula Caroline Morais Duarte - 10/02/2025 16:08:25</t>
  </si>
  <si>
    <t>Paula Caroline Morais Duarte - 10/02/2025 16:08:32</t>
  </si>
  <si>
    <t>Paula Caroline Morais Duarte - 10/02/2025 16:08:33</t>
  </si>
  <si>
    <t>Paula Caroline Morais Duarte - 10/02/2025 16:08:34</t>
  </si>
  <si>
    <t>Rafael Roldão Rodrigues - 03/03/2025 11:26:31</t>
  </si>
  <si>
    <t>Rafael Roldão Rodrigues - 03/03/2025 11:26:32</t>
  </si>
  <si>
    <t>Alisson Airton Sobrinho - 07/03/2025 06:38:19</t>
  </si>
  <si>
    <t>Base de Dados_Images/TIT20129.Imagem do Equipamento-.190806.jpg</t>
  </si>
  <si>
    <t>Paula Caroline Morais Duarte - 10/02/2025 16:07:56</t>
  </si>
  <si>
    <t>TIT20130</t>
  </si>
  <si>
    <t>Temperatura Da Agua Rolo Sai 4° Terno Le</t>
  </si>
  <si>
    <t>Paula Caroline Morais Duarte - 10/02/2025 16:09:15</t>
  </si>
  <si>
    <t>Paula Caroline Morais Duarte - 10/02/2025 16:09:17</t>
  </si>
  <si>
    <t>Paula Caroline Morais Duarte - 10/02/2025 16:09:18</t>
  </si>
  <si>
    <t>Paula Caroline Morais Duarte - 10/02/2025 16:09:19</t>
  </si>
  <si>
    <t>Paula Caroline Morais Duarte - 10/02/2025 16:09:29</t>
  </si>
  <si>
    <t>Paula Caroline Morais Duarte - 10/02/2025 16:09:30</t>
  </si>
  <si>
    <t>Paula Caroline Morais Duarte - 10/02/2025 16:09:31</t>
  </si>
  <si>
    <t>Rafael Roldão Rodrigues - 03/03/2025 11:26:38</t>
  </si>
  <si>
    <t>Rafael Roldão Rodrigues - 03/03/2025 11:26:39</t>
  </si>
  <si>
    <t>Alisson Airton Sobrinho - 07/03/2025 06:38:24</t>
  </si>
  <si>
    <t>Base de Dados_Images/TIT20130.Imagem do Equipamento-.190917.jpg</t>
  </si>
  <si>
    <t>Paula Caroline Morais Duarte - 10/02/2025 16:09:09</t>
  </si>
  <si>
    <t>TIT20134</t>
  </si>
  <si>
    <t>Temperatura Da Agua Rolo Ent 5° Terno Le</t>
  </si>
  <si>
    <t>Paula Caroline Morais Duarte - 10/02/2025 16:13:32</t>
  </si>
  <si>
    <t>Paula Caroline Morais Duarte - 10/02/2025 16:13:33</t>
  </si>
  <si>
    <t>Paula Caroline Morais Duarte - 10/02/2025 16:13:36</t>
  </si>
  <si>
    <t>Paula Caroline Morais Duarte - 10/02/2025 16:13:39</t>
  </si>
  <si>
    <t>Paula Caroline Morais Duarte - 10/02/2025 16:14:40</t>
  </si>
  <si>
    <t>Paula Caroline Morais Duarte - 10/02/2025 16:14:41</t>
  </si>
  <si>
    <t>Paula Caroline Morais Duarte - 10/02/2025 16:14:42</t>
  </si>
  <si>
    <t>Rafael Roldão Rodrigues - 03/03/2025 11:27:26</t>
  </si>
  <si>
    <t>Rafael Roldão Rodrigues - 03/03/2025 11:27:27</t>
  </si>
  <si>
    <t>Alisson Airton Sobrinho - 07/03/2025 06:39:21</t>
  </si>
  <si>
    <t>Alisson Airton Sobrinho - 07/03/2025 06:39:17</t>
  </si>
  <si>
    <t>Base de Dados_Images/TIT20134.Imagem do Equipamento-.191440.jpg</t>
  </si>
  <si>
    <t>Paula Caroline Morais Duarte - 10/02/2025 16:14:34</t>
  </si>
  <si>
    <t>TIT20135</t>
  </si>
  <si>
    <t>Temperatura Da Agua Rolo Sup 5° Terno Le</t>
  </si>
  <si>
    <t>Paula Caroline Morais Duarte - 10/02/2025 16:15:15</t>
  </si>
  <si>
    <t>Paula Caroline Morais Duarte - 10/02/2025 16:15:16</t>
  </si>
  <si>
    <t>Paula Caroline Morais Duarte - 10/02/2025 16:15:18</t>
  </si>
  <si>
    <t>Paula Caroline Morais Duarte - 10/02/2025 16:15:19</t>
  </si>
  <si>
    <t>Paula Caroline Morais Duarte - 10/02/2025 16:15:26</t>
  </si>
  <si>
    <t>Paula Caroline Morais Duarte - 10/02/2025 16:15:27</t>
  </si>
  <si>
    <t>Paula Caroline Morais Duarte - 10/02/2025 16:15:28</t>
  </si>
  <si>
    <t>Rafael Roldão Rodrigues - 03/03/2025 11:27:32</t>
  </si>
  <si>
    <t>Rafael Roldão Rodrigues - 03/03/2025 11:27:33</t>
  </si>
  <si>
    <t>Alisson Airton Sobrinho - 07/03/2025 06:39:27</t>
  </si>
  <si>
    <t>Alisson Airton Sobrinho - 07/03/2025 06:39:26</t>
  </si>
  <si>
    <t>Base de Dados_Images/TIT20135.Imagem do Equipamento-.191716.jpg</t>
  </si>
  <si>
    <t>Paula Caroline Morais Duarte - 10/02/2025 16:17:09</t>
  </si>
  <si>
    <t>TIT20136</t>
  </si>
  <si>
    <t>Temperatura Da Agua Rolo Sai 5° Terno Le</t>
  </si>
  <si>
    <t>Paula Caroline Morais Duarte - 10/02/2025 16:17:18</t>
  </si>
  <si>
    <t>Paula Caroline Morais Duarte - 10/02/2025 16:17:19</t>
  </si>
  <si>
    <t>Paula Caroline Morais Duarte - 10/02/2025 16:17:22</t>
  </si>
  <si>
    <t>Paula Caroline Morais Duarte - 10/02/2025 16:17:23</t>
  </si>
  <si>
    <t>Paula Caroline Morais Duarte - 10/02/2025 16:17:30</t>
  </si>
  <si>
    <t>Paula Caroline Morais Duarte - 10/02/2025 16:17:31</t>
  </si>
  <si>
    <t>Paula Caroline Morais Duarte - 10/02/2025 16:17:32</t>
  </si>
  <si>
    <t>Rafael Roldão Rodrigues - 03/03/2025 11:27:39</t>
  </si>
  <si>
    <t>Rafael Roldão Rodrigues - 03/03/2025 11:27:40</t>
  </si>
  <si>
    <t>Alisson Airton Sobrinho - 07/03/2025 06:39:32</t>
  </si>
  <si>
    <t>Base de Dados_Images/TIT20136.Imagem do Equipamento-.191803.jpg</t>
  </si>
  <si>
    <t>Paula Caroline Morais Duarte - 10/02/2025 16:17:48</t>
  </si>
  <si>
    <t>TIT20137</t>
  </si>
  <si>
    <t>Temperatura Da Agua Rolo Ent 6° Terno Ld</t>
  </si>
  <si>
    <t>Paula Caroline Morais Duarte - 10/02/2025 16:25:39</t>
  </si>
  <si>
    <t>Paula Caroline Morais Duarte - 10/02/2025 16:25:40</t>
  </si>
  <si>
    <t>Paula Caroline Morais Duarte - 10/02/2025 16:25:42</t>
  </si>
  <si>
    <t>Paula Caroline Morais Duarte - 10/02/2025 16:25:47</t>
  </si>
  <si>
    <t>Paula Caroline Morais Duarte - 10/02/2025 16:25:48</t>
  </si>
  <si>
    <t>Paula Caroline Morais Duarte - 10/02/2025 16:25:51</t>
  </si>
  <si>
    <t>Rafael Roldão Rodrigues - 03/03/2025 11:28:32</t>
  </si>
  <si>
    <t>Rafael Roldão Rodrigues - 03/03/2025 11:28:33</t>
  </si>
  <si>
    <t>Alisson Airton Sobrinho - 07/03/2025 06:40:25</t>
  </si>
  <si>
    <t>Base de Dados_Images/TIT20137.Imagem do Equipamento-.192644.jpg</t>
  </si>
  <si>
    <t>Paula Caroline Morais Duarte - 10/02/2025 16:26:37</t>
  </si>
  <si>
    <t>TIT20138</t>
  </si>
  <si>
    <t>Temperatura Da Agua Rolo Sup 6° Terno Ld</t>
  </si>
  <si>
    <t>Paula Caroline Morais Duarte - 10/02/2025 16:27:29</t>
  </si>
  <si>
    <t>Paula Caroline Morais Duarte - 10/02/2025 16:27:30</t>
  </si>
  <si>
    <t>Paula Caroline Morais Duarte - 10/02/2025 16:27:33</t>
  </si>
  <si>
    <t>Paula Caroline Morais Duarte - 10/02/2025 16:27:34</t>
  </si>
  <si>
    <t>Paula Caroline Morais Duarte - 10/02/2025 16:27:39</t>
  </si>
  <si>
    <t>Paula Caroline Morais Duarte - 10/02/2025 16:27:40</t>
  </si>
  <si>
    <t>Paula Caroline Morais Duarte - 10/02/2025 16:27:41</t>
  </si>
  <si>
    <t>Rafael Roldão Rodrigues - 03/03/2025 11:28:40</t>
  </si>
  <si>
    <t>Rafael Roldão Rodrigues - 03/03/2025 11:28:41</t>
  </si>
  <si>
    <t>Alisson Airton Sobrinho - 07/03/2025 06:40:32</t>
  </si>
  <si>
    <t>Base de Dados_Images/TIT20138.Imagem do Equipamento-.192728.jpg</t>
  </si>
  <si>
    <t>Paula Caroline Morais Duarte - 10/02/2025 16:27:19</t>
  </si>
  <si>
    <t>TIT20139</t>
  </si>
  <si>
    <t>Temperatura Da Agua Rolo Sai 6° Terno Ld</t>
  </si>
  <si>
    <t>Paula Caroline Morais Duarte - 10/02/2025 16:28:18</t>
  </si>
  <si>
    <t>Paula Caroline Morais Duarte - 10/02/2025 16:28:19</t>
  </si>
  <si>
    <t>Paula Caroline Morais Duarte - 10/02/2025 16:28:35</t>
  </si>
  <si>
    <t>Paula Caroline Morais Duarte - 10/02/2025 16:28:36</t>
  </si>
  <si>
    <t>Paula Caroline Morais Duarte - 10/02/2025 16:28:47</t>
  </si>
  <si>
    <t>Paula Caroline Morais Duarte - 10/02/2025 16:28:48</t>
  </si>
  <si>
    <t>Paula Caroline Morais Duarte - 10/02/2025 16:28:49</t>
  </si>
  <si>
    <t>Rafael Roldão Rodrigues - 03/03/2025 11:28:47</t>
  </si>
  <si>
    <t>Rafael Roldão Rodrigues - 03/03/2025 11:28:48</t>
  </si>
  <si>
    <t>Alisson Airton Sobrinho - 07/03/2025 06:40:38</t>
  </si>
  <si>
    <t>Alisson Airton Sobrinho - 07/03/2025 06:40:37</t>
  </si>
  <si>
    <t>Base de Dados_Images/TIT20139.Imagem do Equipamento-.192924.jpg</t>
  </si>
  <si>
    <t>Paula Caroline Morais Duarte - 10/02/2025 16:29:18</t>
  </si>
  <si>
    <t>TIT20140</t>
  </si>
  <si>
    <t>Temperatura Da Agua Rolo Ent 6° Terno Le</t>
  </si>
  <si>
    <t>Paula Caroline Morais Duarte - 10/02/2025 16:29:38</t>
  </si>
  <si>
    <t>Paula Caroline Morais Duarte - 10/02/2025 16:29:40</t>
  </si>
  <si>
    <t>Paula Caroline Morais Duarte - 10/02/2025 16:29:41</t>
  </si>
  <si>
    <t>Paula Caroline Morais Duarte - 10/02/2025 16:29:43</t>
  </si>
  <si>
    <t>Paula Caroline Morais Duarte - 10/02/2025 16:29:50</t>
  </si>
  <si>
    <t>Paula Caroline Morais Duarte - 10/02/2025 16:29:51</t>
  </si>
  <si>
    <t>Paula Caroline Morais Duarte - 10/02/2025 16:29:52</t>
  </si>
  <si>
    <t>Rafael Roldão Rodrigues - 03/03/2025 11:28:53</t>
  </si>
  <si>
    <t>Rafael Roldão Rodrigues - 03/03/2025 11:28:54</t>
  </si>
  <si>
    <t>Alisson Airton Sobrinho - 07/03/2025 06:40:43</t>
  </si>
  <si>
    <t>Base de Dados_Images/TIT20140.Imagem do Equipamento-.192939.jpg</t>
  </si>
  <si>
    <t>Paula Caroline Morais Duarte - 10/02/2025 16:29:34</t>
  </si>
  <si>
    <t>TIT20141</t>
  </si>
  <si>
    <t>Temperatura Da Agua Rolo Sup 6° Terno Le</t>
  </si>
  <si>
    <t>Paula Caroline Morais Duarte - 10/02/2025 16:30:10</t>
  </si>
  <si>
    <t>Paula Caroline Morais Duarte - 10/02/2025 16:30:11</t>
  </si>
  <si>
    <t>Paula Caroline Morais Duarte - 10/02/2025 16:30:12</t>
  </si>
  <si>
    <t>Paula Caroline Morais Duarte - 10/02/2025 16:30:14</t>
  </si>
  <si>
    <t>Paula Caroline Morais Duarte - 10/02/2025 16:30:18</t>
  </si>
  <si>
    <t>Paula Caroline Morais Duarte - 10/02/2025 16:30:20</t>
  </si>
  <si>
    <t>Paula Caroline Morais Duarte - 10/02/2025 16:30:21</t>
  </si>
  <si>
    <t>Rafael Roldão Rodrigues - 03/03/2025 11:29:00</t>
  </si>
  <si>
    <t>Rafael Roldão Rodrigues - 03/03/2025 11:29:01</t>
  </si>
  <si>
    <t>Alisson Airton Sobrinho - 07/03/2025 06:40:50</t>
  </si>
  <si>
    <t>Base de Dados_Images/TIT20141.Imagem do Equipamento-.193022.jpg</t>
  </si>
  <si>
    <t>Paula Caroline Morais Duarte - 10/02/2025 16:30:06</t>
  </si>
  <si>
    <t>TIT20142</t>
  </si>
  <si>
    <t>Temperatura Da Agua Rolo Sai 6° Terno Le</t>
  </si>
  <si>
    <t>Paula Caroline Morais Duarte - 10/02/2025 16:30:58</t>
  </si>
  <si>
    <t>Paula Caroline Morais Duarte - 10/02/2025 16:30:59</t>
  </si>
  <si>
    <t>Paula Caroline Morais Duarte - 10/02/2025 16:31:01</t>
  </si>
  <si>
    <t>Paula Caroline Morais Duarte - 10/02/2025 16:31:02</t>
  </si>
  <si>
    <t>Paula Caroline Morais Duarte - 10/02/2025 16:31:07</t>
  </si>
  <si>
    <t>Paula Caroline Morais Duarte - 10/02/2025 16:31:08</t>
  </si>
  <si>
    <t>Paula Caroline Morais Duarte - 10/02/2025 16:31:09</t>
  </si>
  <si>
    <t>Rafael Roldão Rodrigues - 03/03/2025 11:29:07</t>
  </si>
  <si>
    <t>Rafael Roldão Rodrigues - 03/03/2025 11:29:08</t>
  </si>
  <si>
    <t>Alisson Airton Sobrinho - 07/03/2025 06:40:58</t>
  </si>
  <si>
    <t>Alisson Airton Sobrinho - 07/03/2025 06:40:55</t>
  </si>
  <si>
    <t>Base de Dados_Images/TIT20142.Imagem do Equipamento-.193108.jpg</t>
  </si>
  <si>
    <t>Paula Caroline Morais Duarte - 10/02/2025 16:30:54</t>
  </si>
  <si>
    <t>Aquecedor Alcool 1</t>
  </si>
  <si>
    <t>TIT30021</t>
  </si>
  <si>
    <t>Temperatura Caldo Entrada Aquecedores Álcool</t>
  </si>
  <si>
    <t>Weslley Ferreira Cooper - 29/01/2025 13:05:49</t>
  </si>
  <si>
    <t>Weslley Ferreira Cooper - 29/01/2025 13:05:48</t>
  </si>
  <si>
    <t>Erico Borges De Freitas - 30/01/2025 10:55:13</t>
  </si>
  <si>
    <t>Erico Borges De Freitas - 30/01/2025 10:55:08</t>
  </si>
  <si>
    <t>Beatriz Alves Nunes de Paulo - 04/02/2025 09:54:16</t>
  </si>
  <si>
    <t>Alisson Airton Sobrinho - 07/02/2025 15:19:58</t>
  </si>
  <si>
    <t>Alisson Airton Sobrinho - 07/02/2025 15:19:59</t>
  </si>
  <si>
    <t>Beatriz Alves Nunes de Paulo - 11/02/2025 11:29:36</t>
  </si>
  <si>
    <t>Beatriz Alves Nunes de Paulo - 11/02/2025 11:29:39</t>
  </si>
  <si>
    <t>Beatriz Alves Nunes de Paulo - 06/03/2025 08:30:59</t>
  </si>
  <si>
    <t>Beatriz Alves Nunes de Paulo - 06/03/2025 08:31:00</t>
  </si>
  <si>
    <t>Base de Dados_Images/TIT30021.Imagem do Equipamento-.172546.jpg</t>
  </si>
  <si>
    <t>Erico Borges De Freitas - 29/01/2025 14:12:43</t>
  </si>
  <si>
    <t>TIT30022</t>
  </si>
  <si>
    <t>Temperatura Caldo Saída Aquecedor 1 Álcool</t>
  </si>
  <si>
    <t>Weslley Ferreira Cooper - 29/01/2025 13:06:24</t>
  </si>
  <si>
    <t>Weslley Ferreira Cooper - 29/01/2025 13:06:23</t>
  </si>
  <si>
    <t>Weslley Ferreira Cooper - 29/01/2025 13:06:22</t>
  </si>
  <si>
    <t>Weslley Ferreira Cooper - 29/01/2025 13:06:21</t>
  </si>
  <si>
    <t>Alisson Airton Sobrinho - 08/02/2025 08:00:01</t>
  </si>
  <si>
    <t>Alisson Airton Sobrinho - 08/02/2025 08:00:02</t>
  </si>
  <si>
    <t>Beatriz Alves Nunes de Paulo - 11/02/2025 11:30:14</t>
  </si>
  <si>
    <t>Beatriz Alves Nunes de Paulo - 11/02/2025 11:30:15</t>
  </si>
  <si>
    <t>Beatriz Alves Nunes de Paulo - 06/03/2025 08:31:11</t>
  </si>
  <si>
    <t>Beatriz Alves Nunes de Paulo - 06/03/2025 08:31:13</t>
  </si>
  <si>
    <t>Base de Dados_Images/TIT30022.Imagem do Equipamento-.172547.jpg</t>
  </si>
  <si>
    <t>Weslley Ferreira Cooper - 29/01/2025 13:06:15</t>
  </si>
  <si>
    <t>Aquecedor Alcool 3</t>
  </si>
  <si>
    <t>TIT30023</t>
  </si>
  <si>
    <t>Temperatura Caldo Saída Aquecedor 4 Álcool</t>
  </si>
  <si>
    <t>Weslley Ferreira Cooper - 29/01/2025 13:07:53</t>
  </si>
  <si>
    <t>Weslley Ferreira Cooper - 29/01/2025 13:07:51</t>
  </si>
  <si>
    <t>Weslley Ferreira Cooper - 29/01/2025 13:07:50</t>
  </si>
  <si>
    <t>Weslley Ferreira Cooper - 29/01/2025 13:07:49</t>
  </si>
  <si>
    <t>Alisson Airton Sobrinho - 07/03/2025 07:00:34</t>
  </si>
  <si>
    <t>Alisson Airton Sobrinho - 07/03/2025 07:00:35</t>
  </si>
  <si>
    <t>Alisson Airton Sobrinho - 07/03/2025 07:00:36</t>
  </si>
  <si>
    <t>Alisson Airton Sobrinho - 07/03/2025 07:00:41</t>
  </si>
  <si>
    <t>Alisson Airton Sobrinho - 07/03/2025 07:00:46</t>
  </si>
  <si>
    <t>Base de Dados_Images/TIT30023.Imagem do Equipamento-.172634.jpg</t>
  </si>
  <si>
    <t>Weslley Ferreira Cooper - 29/01/2025 13:07:31</t>
  </si>
  <si>
    <t>TIT30024</t>
  </si>
  <si>
    <t>Temperatura Caldo Saída Balão Flash</t>
  </si>
  <si>
    <t>Weslley Ferreira Cooper - 31/01/2025 12:04:17</t>
  </si>
  <si>
    <t>Weslley Ferreira Cooper - 31/01/2025 12:04:16</t>
  </si>
  <si>
    <t>Weslley Ferreira Cooper - 31/01/2025 12:04:15</t>
  </si>
  <si>
    <t>Weslley Ferreira Cooper - 31/01/2025 12:05:18</t>
  </si>
  <si>
    <t>Weslley Ferreira Cooper - 31/01/2025 12:05:19</t>
  </si>
  <si>
    <t>Rafael Roldão Rodrigues - 03/03/2025 12:08:50</t>
  </si>
  <si>
    <t>Rafael Roldão Rodrigues - 03/03/2025 12:08:51</t>
  </si>
  <si>
    <t>Alisson Airton Sobrinho - 08/03/2025 09:36:28</t>
  </si>
  <si>
    <t>Alisson Airton Sobrinho - 08/03/2025 09:36:29</t>
  </si>
  <si>
    <t>Base de Dados_Images/TIT30024.Imagem do Equipamento-.155425.jpg</t>
  </si>
  <si>
    <t>Weslley Ferreira Cooper - 31/01/2025 12:04:06</t>
  </si>
  <si>
    <t>Aquecedor Alcool 2</t>
  </si>
  <si>
    <t>TIT30025</t>
  </si>
  <si>
    <t>Temperatura Caldo Saída Aquecedor 2 Álcool</t>
  </si>
  <si>
    <t>Weslley Ferreira Cooper - 29/01/2025 13:07:01</t>
  </si>
  <si>
    <t>Weslley Ferreira Cooper - 29/01/2025 13:07:00</t>
  </si>
  <si>
    <t>Weslley Ferreira Cooper - 29/01/2025 13:06:58</t>
  </si>
  <si>
    <t>Weslley Ferreira Cooper - 29/01/2025 13:06:57</t>
  </si>
  <si>
    <t>Alisson Airton Sobrinho - 05/03/2025 17:37:55</t>
  </si>
  <si>
    <t>Alisson Airton Sobrinho - 05/03/2025 17:37:56</t>
  </si>
  <si>
    <t>Alisson Airton Sobrinho - 05/03/2025 17:37:59</t>
  </si>
  <si>
    <t>Alisson Airton Sobrinho - 05/03/2025 17:38:04</t>
  </si>
  <si>
    <t>Alisson Airton Sobrinho - 05/03/2025 17:38:05</t>
  </si>
  <si>
    <t>Alisson Airton Sobrinho - 05/03/2025 17:38:12</t>
  </si>
  <si>
    <t>Alisson Airton Sobrinho - 05/03/2025 17:38:13</t>
  </si>
  <si>
    <t>Base de Dados_Images/TIT30025.Imagem do Equipamento-.172607.jpg</t>
  </si>
  <si>
    <t>Weslley Ferreira Cooper - 29/01/2025 13:06:52</t>
  </si>
  <si>
    <t>TIT30026</t>
  </si>
  <si>
    <t>Temperatura Do Decantador Álcool</t>
  </si>
  <si>
    <t>Weslley Ferreira Cooper - 31/01/2025 12:05:30</t>
  </si>
  <si>
    <t>Weslley Ferreira Cooper - 31/01/2025 12:05:29</t>
  </si>
  <si>
    <t>Weslley Ferreira Cooper - 31/01/2025 12:05:28</t>
  </si>
  <si>
    <t>Weslley Ferreira Cooper - 31/01/2025 12:05:35</t>
  </si>
  <si>
    <t>Weslley Ferreira Cooper - 31/01/2025 12:05:34</t>
  </si>
  <si>
    <t>Rafael Roldão Rodrigues - 03/03/2025 12:08:57</t>
  </si>
  <si>
    <t>Rafael Roldão Rodrigues - 03/03/2025 12:08:58</t>
  </si>
  <si>
    <t>Alisson Airton Sobrinho - 08/03/2025 09:36:49</t>
  </si>
  <si>
    <t>Alisson Airton Sobrinho - 08/03/2025 09:36:50</t>
  </si>
  <si>
    <t>Base de Dados_Images/TIT30026.Imagem do Equipamento-.155547.jpg</t>
  </si>
  <si>
    <t>Weslley Ferreira Cooper - 31/01/2025 12:05:49</t>
  </si>
  <si>
    <t>Regenerador 1 De Caldo</t>
  </si>
  <si>
    <t>TIT30031</t>
  </si>
  <si>
    <t>Temperatura Entrada Caldo Do Regenerador 1</t>
  </si>
  <si>
    <t>Adriel da Silva Queiroz - 03/02/2025 16:17:33</t>
  </si>
  <si>
    <t>Adriel da Silva Queiroz - 03/02/2025 16:17:34</t>
  </si>
  <si>
    <t>Adriel da Silva Queiroz - 03/02/2025 16:17:36</t>
  </si>
  <si>
    <t>Adriel da Silva Queiroz - 06/02/2025 11:42:17</t>
  </si>
  <si>
    <t>Alisson Airton Sobrinho - 07/02/2025 15:22:08</t>
  </si>
  <si>
    <t>Alisson Airton Sobrinho - 07/02/2025 15:22:09</t>
  </si>
  <si>
    <t>Rafael Roldão Rodrigues - 03/03/2025 12:15:06</t>
  </si>
  <si>
    <t>Alisson Airton Sobrinho - 07/03/2025 07:16:57</t>
  </si>
  <si>
    <t>Alisson Airton Sobrinho - 07/03/2025 07:16:58</t>
  </si>
  <si>
    <t>Adriel da Silva Queiroz - 02/03/2025 16:17:08</t>
  </si>
  <si>
    <t>TIT30032</t>
  </si>
  <si>
    <t>Temperatura Saida Caldo Do Regenerador 1</t>
  </si>
  <si>
    <t>Adriel da Silva Queiroz - 03/02/2025 16:17:55</t>
  </si>
  <si>
    <t>Adriel da Silva Queiroz - 03/02/2025 16:17:56</t>
  </si>
  <si>
    <t>Adriel da Silva Queiroz - 03/02/2025 16:17:57</t>
  </si>
  <si>
    <t>Alisson Airton Sobrinho - 07/02/2025 15:22:21</t>
  </si>
  <si>
    <t>Alisson Airton Sobrinho - 07/02/2025 15:22:25</t>
  </si>
  <si>
    <t>Alisson Airton Sobrinho - 07/02/2025 15:22:26</t>
  </si>
  <si>
    <t>Rafael Roldão Rodrigues - 03/03/2025 12:15:13</t>
  </si>
  <si>
    <t>Rafael Roldão Rodrigues - 03/03/2025 12:15:14</t>
  </si>
  <si>
    <t>Alisson Airton Sobrinho - 07/03/2025 07:17:04</t>
  </si>
  <si>
    <t>Adriel da Silva Queiroz - 02/03/2025 16:17:48</t>
  </si>
  <si>
    <t>TIT30033</t>
  </si>
  <si>
    <t>Temperatura Entrada Vinhaça Do Regenerador 01</t>
  </si>
  <si>
    <t>Adriel da Silva Queiroz - 03/02/2025 16:18:12</t>
  </si>
  <si>
    <t>Adriel da Silva Queiroz - 03/02/2025 16:18:13</t>
  </si>
  <si>
    <t>Adriel da Silva Queiroz - 03/02/2025 16:18:14</t>
  </si>
  <si>
    <t>Rafael Roldão Rodrigues - 03/03/2025 12:15:21</t>
  </si>
  <si>
    <t>Rafael Roldão Rodrigues - 03/03/2025 12:15:22</t>
  </si>
  <si>
    <t>Rafael Roldão Rodrigues - 03/03/2025 12:15:26</t>
  </si>
  <si>
    <t>Rafael Roldão Rodrigues - 03/03/2025 12:15:27</t>
  </si>
  <si>
    <t>Alisson Airton Sobrinho - 07/03/2025 07:17:09</t>
  </si>
  <si>
    <t>Adriel da Silva Queiroz - 02/03/2025 16:18:06</t>
  </si>
  <si>
    <t>TIT30034</t>
  </si>
  <si>
    <t>Temperatura Saida Vinhaça Do Regenerador 01</t>
  </si>
  <si>
    <t>Adriel da Silva Queiroz - 03/02/2025 16:18:30</t>
  </si>
  <si>
    <t>Adriel da Silva Queiroz - 03/02/2025 16:18:31</t>
  </si>
  <si>
    <t>Adriel da Silva Queiroz - 03/02/2025 16:18:36</t>
  </si>
  <si>
    <t>Rafael Roldão Rodrigues - 03/03/2025 12:15:34</t>
  </si>
  <si>
    <t>Rafael Roldão Rodrigues - 03/03/2025 12:15:35</t>
  </si>
  <si>
    <t>Rafael Roldão Rodrigues - 03/03/2025 12:15:36</t>
  </si>
  <si>
    <t>Rafael Roldão Rodrigues - 03/03/2025 12:15:39</t>
  </si>
  <si>
    <t>Rafael Roldão Rodrigues - 03/03/2025 12:15:40</t>
  </si>
  <si>
    <t>Alisson Airton Sobrinho - 07/03/2025 07:17:14</t>
  </si>
  <si>
    <t>Adriel da Silva Queiroz - 02/03/2025 16:18:26</t>
  </si>
  <si>
    <t>Regenerador 2 De Caldo</t>
  </si>
  <si>
    <t>TIT30035</t>
  </si>
  <si>
    <t>Temperatura Entrada Caldo Do Regenerador 2</t>
  </si>
  <si>
    <t>Adriel da Silva Queiroz - 03/02/2025 16:20:12</t>
  </si>
  <si>
    <t>Adriel da Silva Queiroz - 03/02/2025 16:20:13</t>
  </si>
  <si>
    <t>Adriel da Silva Queiroz - 03/02/2025 16:20:14</t>
  </si>
  <si>
    <t>Adriel da Silva Queiroz - 03/02/2025 16:20:16</t>
  </si>
  <si>
    <t>Rafael Roldão Rodrigues - 03/03/2025 12:16:29</t>
  </si>
  <si>
    <t>Rafael Roldão Rodrigues - 03/03/2025 12:16:30</t>
  </si>
  <si>
    <t>Rafael Roldão Rodrigues - 03/03/2025 12:16:34</t>
  </si>
  <si>
    <t>Pendente</t>
  </si>
  <si>
    <t>Adriel da Silva Queiroz - 02/03/2025 16:20:07</t>
  </si>
  <si>
    <t>TIT30036</t>
  </si>
  <si>
    <t>Temperatura Entrada Vinhaça Do Regenerador 02</t>
  </si>
  <si>
    <t>Adriel da Silva Queiroz - 03/02/2025 16:20:58</t>
  </si>
  <si>
    <t>Adriel da Silva Queiroz - 03/02/2025 16:20:59</t>
  </si>
  <si>
    <t>Adriel da Silva Queiroz - 03/02/2025 16:21:01</t>
  </si>
  <si>
    <t>Adriel da Silva Queiroz - 03/02/2025 16:21:03</t>
  </si>
  <si>
    <t>Rafael Roldão Rodrigues - 03/03/2025 12:16:41</t>
  </si>
  <si>
    <t>Rafael Roldão Rodrigues - 03/03/2025 12:16:42</t>
  </si>
  <si>
    <t>Rafael Roldão Rodrigues - 03/03/2025 12:16:43</t>
  </si>
  <si>
    <t>Rafael Roldão Rodrigues - 03/03/2025 12:16:47</t>
  </si>
  <si>
    <t>Rafael Roldão Rodrigues - 03/03/2025 12:16:48</t>
  </si>
  <si>
    <t>Base de Dados_Images/TIT30036.Imagem do Equipamento-.194523.jpg</t>
  </si>
  <si>
    <t>Adriel da Silva Queiroz - 03/02/2025 16:20:53</t>
  </si>
  <si>
    <t>TIT30037</t>
  </si>
  <si>
    <t>Temperatura Saida Vinhaça Do Regenerador 02</t>
  </si>
  <si>
    <t>Adriel da Silva Queiroz - 03/02/2025 16:22:27</t>
  </si>
  <si>
    <t>Adriel da Silva Queiroz - 03/02/2025 16:22:29</t>
  </si>
  <si>
    <t>Adriel da Silva Queiroz - 03/02/2025 16:22:30</t>
  </si>
  <si>
    <t>Adriel da Silva Queiroz - 03/02/2025 16:22:32</t>
  </si>
  <si>
    <t>Rafael Roldão Rodrigues - 03/03/2025 12:16:54</t>
  </si>
  <si>
    <t>Rafael Roldão Rodrigues - 03/03/2025 12:16:55</t>
  </si>
  <si>
    <t>Rafael Roldão Rodrigues - 03/03/2025 12:16:56</t>
  </si>
  <si>
    <t>Rafael Roldão Rodrigues - 03/03/2025 12:16:59</t>
  </si>
  <si>
    <t>Rafael Roldão Rodrigues - 03/03/2025 12:17:00</t>
  </si>
  <si>
    <t>Base de Dados_Images/TIT30037.Imagem do Equipamento-.194556.jpg</t>
  </si>
  <si>
    <t>Adriel da Silva Queiroz - 03/02/2025 16:22:14</t>
  </si>
  <si>
    <t>TIT30038</t>
  </si>
  <si>
    <t>Temperatura Corpo Pré-Evap. 1 Álcool/Açúcar</t>
  </si>
  <si>
    <t>Erico Borges De Freitas - 30/01/2025 11:16:41</t>
  </si>
  <si>
    <t>Erico Borges De Freitas - 30/01/2025 11:16:37</t>
  </si>
  <si>
    <t>Erico Borges De Freitas - 30/01/2025 11:16:43</t>
  </si>
  <si>
    <t>Erico Borges De Freitas - 30/01/2025 11:16:34</t>
  </si>
  <si>
    <t>Paula Caroline Morais Duarte - 10/02/2025 16:36:21</t>
  </si>
  <si>
    <t>Alisson Airton Sobrinho - 11/02/2025 13:35:12</t>
  </si>
  <si>
    <t>Alisson Airton Sobrinho - 11/02/2025 13:35:18</t>
  </si>
  <si>
    <t>Beatriz Alves Nunes de Paulo - 06/03/2025 08:57:09</t>
  </si>
  <si>
    <t>Beatriz Alves Nunes de Paulo - 06/03/2025 08:57:13</t>
  </si>
  <si>
    <t>Base de Dados_Images/TIT30038.Imagem do Equipamento-.174412.jpg</t>
  </si>
  <si>
    <t>Erico Borges De Freitas - 29/01/2025 14:39:11</t>
  </si>
  <si>
    <t>TIT30040</t>
  </si>
  <si>
    <t>Temperatura Corpo Pré-Evap. 2 - 1º Efeito Açúcar</t>
  </si>
  <si>
    <t>Erico Borges De Freitas - 30/01/2025 10:57:48</t>
  </si>
  <si>
    <t>Erico Borges De Freitas - 30/01/2025 10:57:41</t>
  </si>
  <si>
    <t>Erico Borges De Freitas - 30/01/2025 10:57:37</t>
  </si>
  <si>
    <t>Erico Borges De Freitas - 30/01/2025 10:57:29</t>
  </si>
  <si>
    <t>Beatriz Alves Nunes de Paulo - 11/02/2025 14:38:47</t>
  </si>
  <si>
    <t>Beatriz Alves Nunes de Paulo - 11/02/2025 14:38:49</t>
  </si>
  <si>
    <t>Beatriz Alves Nunes de Paulo - 11/02/2025 14:38:51</t>
  </si>
  <si>
    <t>Beatriz Alves Nunes de Paulo - 11/02/2025 14:39:17</t>
  </si>
  <si>
    <t>Beatriz Alves Nunes de Paulo - 11/02/2025 14:39:18</t>
  </si>
  <si>
    <t>Alisson Airton Sobrinho - 07/03/2025 07:01:59</t>
  </si>
  <si>
    <t>Alisson Airton Sobrinho - 07/03/2025 07:01:58</t>
  </si>
  <si>
    <t>Base de Dados_Images/TIT30040.Imagem do Equipamento-.174639.jpg</t>
  </si>
  <si>
    <t>Erico Borges De Freitas - 29/01/2025 14:46:32</t>
  </si>
  <si>
    <t>TIT30041</t>
  </si>
  <si>
    <t>Temperatura Corpo Pré-Evap. 3 - 1/2º Ef. Açúcar</t>
  </si>
  <si>
    <t>Alisson Airton Sobrinho - 08/02/2025 08:50:33</t>
  </si>
  <si>
    <t>Alisson Airton Sobrinho - 08/02/2025 08:50:34</t>
  </si>
  <si>
    <t>Alisson Airton Sobrinho - 08/02/2025 08:50:35</t>
  </si>
  <si>
    <t>Alisson Airton Sobrinho - 08/02/2025 08:50:38</t>
  </si>
  <si>
    <t>Alisson Airton Sobrinho - 08/02/2025 08:50:43</t>
  </si>
  <si>
    <t>Alisson Airton Sobrinho - 08/02/2025 08:50:44</t>
  </si>
  <si>
    <t>Alisson Airton Sobrinho - 08/02/2025 08:50:49</t>
  </si>
  <si>
    <t>Adriel da Silva Queiroz - 03/03/2025 11:23:57</t>
  </si>
  <si>
    <t>Adriel da Silva Queiroz - 03/03/2025 11:23:58</t>
  </si>
  <si>
    <t>Alisson Airton Sobrinho - 07/03/2025 07:02:52</t>
  </si>
  <si>
    <t>Alisson Airton Sobrinho - 07/03/2025 07:02:51</t>
  </si>
  <si>
    <t>Base de Dados_Images/TIT30041.Imagem do Equipamento-.175118.jpg</t>
  </si>
  <si>
    <t>Erico Borges De Freitas - 29/01/2025 14:51:14</t>
  </si>
  <si>
    <t>TIT30042</t>
  </si>
  <si>
    <t>Temperatura Corpo Caixa 1 - 2/3º Ef. Açúcar</t>
  </si>
  <si>
    <t>Weslley Ferreira Cooper - 29/01/2025 13:13:42</t>
  </si>
  <si>
    <t>Weslley Ferreira Cooper - 29/01/2025 13:13:41</t>
  </si>
  <si>
    <t>Weslley Ferreira Cooper - 29/01/2025 13:13:40</t>
  </si>
  <si>
    <t>Weslley Ferreira Cooper - 29/01/2025 13:13:39</t>
  </si>
  <si>
    <t>Adriel da Silva Queiroz - 11/02/2025 13:54:50</t>
  </si>
  <si>
    <t>Adriel da Silva Queiroz - 11/02/2025 13:55:03</t>
  </si>
  <si>
    <t>Adriel da Silva Queiroz - 11/02/2025 13:56:26</t>
  </si>
  <si>
    <t>Adriel da Silva Queiroz - 11/02/2025 13:56:29</t>
  </si>
  <si>
    <t>Alisson Airton Sobrinho - 06/03/2025 12:11:11</t>
  </si>
  <si>
    <t>Alisson Airton Sobrinho - 06/03/2025 12:11:12</t>
  </si>
  <si>
    <t>Base de Dados_Images/TIT30042.Imagem do Equipamento-.172812.jpg</t>
  </si>
  <si>
    <t>Weslley Ferreira Cooper - 29/01/2025 13:13:33</t>
  </si>
  <si>
    <t>TIT30043</t>
  </si>
  <si>
    <t>Temperatura Corpo Pré-Evap. 2 Álcool</t>
  </si>
  <si>
    <t>Erico Borges De Freitas - 30/01/2025 11:35:30</t>
  </si>
  <si>
    <t>Erico Borges De Freitas - 30/01/2025 11:35:25</t>
  </si>
  <si>
    <t>Erico Borges De Freitas - 30/01/2025 11:35:23</t>
  </si>
  <si>
    <t>Erico Borges De Freitas - 30/01/2025 11:35:21</t>
  </si>
  <si>
    <t>Alisson Airton Sobrinho - 10/02/2025 16:45:46</t>
  </si>
  <si>
    <t>Alisson Airton Sobrinho - 10/02/2025 16:45:48</t>
  </si>
  <si>
    <t>Alisson Airton Sobrinho - 10/02/2025 16:45:49</t>
  </si>
  <si>
    <t>Adriel da Silva Queiroz - 03/03/2025 11:22:25</t>
  </si>
  <si>
    <t>Adriel da Silva Queiroz - 03/03/2025 11:22:26</t>
  </si>
  <si>
    <t>Alisson Airton Sobrinho - 04/03/2025 12:37:28</t>
  </si>
  <si>
    <t>Base de Dados_Images/TIT30043.Imagem do Equipamento-.174846.jpg</t>
  </si>
  <si>
    <t>Erico Borges De Freitas - 29/01/2025 14:48:05</t>
  </si>
  <si>
    <t>TIT30045</t>
  </si>
  <si>
    <t>Temperatura Corpo Caixa 2 - 3/4º Ef. Açúcar</t>
  </si>
  <si>
    <t>Weslley Ferreira Cooper - 29/01/2025 13:15:24</t>
  </si>
  <si>
    <t>Weslley Ferreira Cooper - 29/01/2025 13:15:23</t>
  </si>
  <si>
    <t>Weslley Ferreira Cooper - 29/01/2025 13:15:22</t>
  </si>
  <si>
    <t>Weslley Ferreira Cooper - 29/01/2025 13:15:20</t>
  </si>
  <si>
    <t>Adriel da Silva Queiroz - 11/02/2025 13:58:50</t>
  </si>
  <si>
    <t>Adriel da Silva Queiroz - 11/02/2025 13:58:51</t>
  </si>
  <si>
    <t>Adriel da Silva Queiroz - 11/02/2025 13:58:58</t>
  </si>
  <si>
    <t>Alisson Airton Sobrinho - 06/03/2025 12:14:06</t>
  </si>
  <si>
    <t>Base de Dados_Images/TIT30045.Imagem do Equipamento-.172854.jpg</t>
  </si>
  <si>
    <t>Weslley Ferreira Cooper - 29/01/2025 13:15:14</t>
  </si>
  <si>
    <t>TIT30046</t>
  </si>
  <si>
    <t>Temperatura Corpo Caixa 3 - 4/5º Ef. Açúcar</t>
  </si>
  <si>
    <t>Weslley Ferreira Cooper - 29/01/2025 13:16:43</t>
  </si>
  <si>
    <t>Weslley Ferreira Cooper - 29/01/2025 13:16:42</t>
  </si>
  <si>
    <t>Weslley Ferreira Cooper - 29/01/2025 13:16:41</t>
  </si>
  <si>
    <t>Weslley Ferreira Cooper - 29/01/2025 13:16:40</t>
  </si>
  <si>
    <t>Alisson Airton Sobrinho - 10/02/2025 16:46:41</t>
  </si>
  <si>
    <t>Alisson Airton Sobrinho - 10/02/2025 16:46:42</t>
  </si>
  <si>
    <t>Alisson Airton Sobrinho - 10/02/2025 16:46:43</t>
  </si>
  <si>
    <t>Adriel da Silva Queiroz - 03/03/2025 11:17:19</t>
  </si>
  <si>
    <t>Alisson Airton Sobrinho - 06/03/2025 12:12:05</t>
  </si>
  <si>
    <t>Alisson Airton Sobrinho - 06/03/2025 12:12:06</t>
  </si>
  <si>
    <t>Base de Dados_Images/TIT30046.Imagem do Equipamento-.172937.jpg</t>
  </si>
  <si>
    <t>Weslley Ferreira Cooper - 29/01/2025 13:16:35</t>
  </si>
  <si>
    <t>TIT30047</t>
  </si>
  <si>
    <t>Temperatura Corpo Caixa 4 - 5º Ef. Açúcar</t>
  </si>
  <si>
    <t>Weslley Ferreira Cooper - 29/01/2025 13:18:24</t>
  </si>
  <si>
    <t>Weslley Ferreira Cooper - 29/01/2025 13:18:23</t>
  </si>
  <si>
    <t>Weslley Ferreira Cooper - 29/01/2025 13:18:22</t>
  </si>
  <si>
    <t>Weslley Ferreira Cooper - 29/01/2025 13:18:21</t>
  </si>
  <si>
    <t>Rafael Roldão Rodrigues - 03/03/2025 12:05:39</t>
  </si>
  <si>
    <t>Rafael Roldão Rodrigues - 03/03/2025 12:05:40</t>
  </si>
  <si>
    <t>Rafael Roldão Rodrigues - 03/03/2025 12:05:41</t>
  </si>
  <si>
    <t>Rafael Roldão Rodrigues - 03/03/2025 12:05:49</t>
  </si>
  <si>
    <t>Rafael Roldão Rodrigues - 03/03/2025 12:05:50</t>
  </si>
  <si>
    <t>Alisson Airton Sobrinho - 06/03/2025 12:13:07</t>
  </si>
  <si>
    <t>Base de Dados_Images/TIT30047.Imagem do Equipamento-.173135.jpg</t>
  </si>
  <si>
    <t>Erico Borges De Freitas - 29/01/2025 14:31:29</t>
  </si>
  <si>
    <t>TIT30054</t>
  </si>
  <si>
    <t>Temperatura Água Saída Multijato Último Efeito Ev.</t>
  </si>
  <si>
    <t>Erico Borges De Freitas - 30/01/2025 11:04:10</t>
  </si>
  <si>
    <t>Erico Borges De Freitas - 30/01/2025 11:04:08</t>
  </si>
  <si>
    <t>Erico Borges De Freitas - 30/01/2025 11:04:07</t>
  </si>
  <si>
    <t>Erico Borges De Freitas - 30/01/2025 11:04:06</t>
  </si>
  <si>
    <t>Alisson Airton Sobrinho - 12/02/2025 12:44:30</t>
  </si>
  <si>
    <t>Alisson Airton Sobrinho - 12/02/2025 12:44:31</t>
  </si>
  <si>
    <t>Alisson Airton Sobrinho - 12/02/2025 12:44:32</t>
  </si>
  <si>
    <t>Rafael Roldão Rodrigues - 03/03/2025 12:05:58</t>
  </si>
  <si>
    <t>Rafael Roldão Rodrigues - 03/03/2025 12:05:59</t>
  </si>
  <si>
    <t>Alisson Airton Sobrinho - 06/03/2025 12:13:12</t>
  </si>
  <si>
    <t>Base de Dados_Images/TIT30054.Imagem do Equipamento-.155531.jpg</t>
  </si>
  <si>
    <t>Alisson Airton Sobrinho - 12/02/2025 12:44:56</t>
  </si>
  <si>
    <t>TIT35008</t>
  </si>
  <si>
    <t>Temperatura Água Embebição</t>
  </si>
  <si>
    <t>Erico Borges De Freitas - 01/02/2025 10:59:20</t>
  </si>
  <si>
    <t>Erico Borges De Freitas - 01/02/2025 10:59:18</t>
  </si>
  <si>
    <t>Erico Borges De Freitas - 01/02/2025 10:59:17</t>
  </si>
  <si>
    <t>Erico Borges De Freitas - 01/02/2025 10:59:16</t>
  </si>
  <si>
    <t>Alisson Airton Sobrinho - 03/03/2025 10:48:47</t>
  </si>
  <si>
    <t>Alisson Airton Sobrinho - 03/03/2025 10:48:48</t>
  </si>
  <si>
    <t>Alisson Airton Sobrinho - 03/03/2025 10:48:49</t>
  </si>
  <si>
    <t>Alisson Airton Sobrinho - 03/03/2025 10:48:52</t>
  </si>
  <si>
    <t>Alisson Airton Sobrinho - 03/03/2025 10:48:53</t>
  </si>
  <si>
    <t>Beatriz Alves Nunes de Paulo - 06/03/2025 08:41:43</t>
  </si>
  <si>
    <t>Base de Dados_Images/TIT35008.Imagem do Equipamento-.135913.jpg</t>
  </si>
  <si>
    <t>Erico Borges De Freitas - 01/02/2025 10:59:07</t>
  </si>
  <si>
    <t>TIT40035</t>
  </si>
  <si>
    <t>Temperatura Açúcar Depois Do Secador</t>
  </si>
  <si>
    <t>Weslley Ferreira Cooper - 29/01/2025 12:54:51</t>
  </si>
  <si>
    <t>Weslley Ferreira Cooper - 29/01/2025 12:54:50</t>
  </si>
  <si>
    <t>Alisson Airton Sobrinho - 08/02/2025 08:48:02</t>
  </si>
  <si>
    <t>Alisson Airton Sobrinho - 08/02/2025 08:48:03</t>
  </si>
  <si>
    <t>Alisson Airton Sobrinho - 08/02/2025 08:48:05</t>
  </si>
  <si>
    <t>Beatriz Alves Nunes de Paulo - 06/03/2025 09:03:19</t>
  </si>
  <si>
    <t>Alisson Airton Sobrinho - 07/03/2025 08:38:07</t>
  </si>
  <si>
    <t>Base de Dados_Images/TIT40035.Imagem do Equipamento-.172454.jpg</t>
  </si>
  <si>
    <t>Weslley Ferreira Cooper - 29/01/2025 12:54:45</t>
  </si>
  <si>
    <t>Ccm</t>
  </si>
  <si>
    <t>TIT40037</t>
  </si>
  <si>
    <t>Temperatura Do Ccm</t>
  </si>
  <si>
    <t>Beatriz Alves Nunes de Paulo - 06/02/2025 11:37:43</t>
  </si>
  <si>
    <t>Beatriz Alves Nunes de Paulo - 06/02/2025 11:37:46</t>
  </si>
  <si>
    <t>Beatriz Alves Nunes de Paulo - 06/02/2025 11:37:48</t>
  </si>
  <si>
    <t>Beatriz Alves Nunes de Paulo - 06/02/2025 11:37:49</t>
  </si>
  <si>
    <t>Beatriz Alves Nunes de Paulo - 06/02/2025 11:38:02</t>
  </si>
  <si>
    <t>Beatriz Alves Nunes de Paulo - 06/02/2025 11:38:04</t>
  </si>
  <si>
    <t>Beatriz Alves Nunes de Paulo - 06/02/2025 11:38:06</t>
  </si>
  <si>
    <t>Rafael Roldão Rodrigues - 04/03/2025 14:19:29</t>
  </si>
  <si>
    <t>Rafael Roldão Rodrigues - 04/03/2025 14:19:30</t>
  </si>
  <si>
    <t>Beatriz Alves Nunes de Paulo - 06/03/2025 08:46:12</t>
  </si>
  <si>
    <t>Beatriz Alves Nunes de Paulo - 02/06/2025 11:37:37</t>
  </si>
  <si>
    <t>TIT65006</t>
  </si>
  <si>
    <t>Temperatura Mosto Entrada Regeneradores</t>
  </si>
  <si>
    <t>Libner Ferreira De Morais - 06/02/2025 15:00:01</t>
  </si>
  <si>
    <t>Libner Ferreira De Morais - 06/02/2025 15:00:00</t>
  </si>
  <si>
    <t>Libner Ferreira De Morais - 06/02/2025 15:00:03</t>
  </si>
  <si>
    <t>Libner Ferreira De Morais - 06/02/2025 15:00:05</t>
  </si>
  <si>
    <t>Alisson Airton Sobrinho - 08/02/2025 14:15:32</t>
  </si>
  <si>
    <t>Alisson Airton Sobrinho - 08/02/2025 14:15:33</t>
  </si>
  <si>
    <t>Rafael Roldão Rodrigues - 03/03/2025 12:36:24</t>
  </si>
  <si>
    <t>Rafael Roldão Rodrigues - 03/03/2025 12:36:25</t>
  </si>
  <si>
    <t>Alisson Airton Sobrinho - 04/03/2025 09:00:45</t>
  </si>
  <si>
    <t>Alisson Airton Sobrinho - 04/03/2025 09:00:46</t>
  </si>
  <si>
    <t>Base de Dados_Images/TIT65006.Imagem do Equipamento-.170439.jpg</t>
  </si>
  <si>
    <t>Libner Ferreira De Morais - 05/02/2025 13:44:54</t>
  </si>
  <si>
    <t>TIT65007</t>
  </si>
  <si>
    <t>Temperatura Mosto Saída Regenerador 1</t>
  </si>
  <si>
    <t>Libner Ferreira De Morais - 06/02/2025 14:59:33</t>
  </si>
  <si>
    <t>Libner Ferreira De Morais - 06/02/2025 14:59:34</t>
  </si>
  <si>
    <t>Libner Ferreira De Morais - 06/02/2025 14:59:36</t>
  </si>
  <si>
    <t>Libner Ferreira De Morais - 06/02/2025 14:59:41</t>
  </si>
  <si>
    <t>Alisson Airton Sobrinho - 08/02/2025 14:15:22</t>
  </si>
  <si>
    <t>Alisson Airton Sobrinho - 08/02/2025 14:15:23</t>
  </si>
  <si>
    <t>Alisson Airton Sobrinho - 08/02/2025 14:15:24</t>
  </si>
  <si>
    <t>Rafael Roldão Rodrigues - 03/03/2025 12:36:31</t>
  </si>
  <si>
    <t>Rafael Roldão Rodrigues - 03/03/2025 12:36:32</t>
  </si>
  <si>
    <t>Alisson Airton Sobrinho - 04/03/2025 09:00:58</t>
  </si>
  <si>
    <t>Alisson Airton Sobrinho - 04/03/2025 09:00:59</t>
  </si>
  <si>
    <t>Base de Dados_Images/TIT65007.Imagem do Equipamento-.170432.jpg</t>
  </si>
  <si>
    <t>Libner Ferreira De Morais - 05/02/2025 13:44:34</t>
  </si>
  <si>
    <t>Regenerador 02</t>
  </si>
  <si>
    <t>TIT65008</t>
  </si>
  <si>
    <t>Temperatura Mosto Saída Regenerador 2</t>
  </si>
  <si>
    <t>Libner Ferreira De Morais - 06/02/2025 15:02:54</t>
  </si>
  <si>
    <t>Libner Ferreira De Morais - 06/02/2025 15:02:56</t>
  </si>
  <si>
    <t>Libner Ferreira De Morais - 06/02/2025 15:02:57</t>
  </si>
  <si>
    <t>Libner Ferreira De Morais - 06/02/2025 15:03:00</t>
  </si>
  <si>
    <t>Alisson Airton Sobrinho - 08/02/2025 14:30:14</t>
  </si>
  <si>
    <t>Alisson Airton Sobrinho - 08/02/2025 14:30:15</t>
  </si>
  <si>
    <t>Alisson Airton Sobrinho - 08/02/2025 14:30:18</t>
  </si>
  <si>
    <t>Rafael Roldão Rodrigues - 03/03/2025 12:39:00</t>
  </si>
  <si>
    <t>Rafael Roldão Rodrigues - 03/03/2025 12:39:01</t>
  </si>
  <si>
    <t>Alisson Airton Sobrinho - 04/03/2025 09:01:27</t>
  </si>
  <si>
    <t>Alisson Airton Sobrinho - 04/03/2025 09:01:28</t>
  </si>
  <si>
    <t>Base de Dados_Images/TIT65008.Imagem do Equipamento-.170529.jpg</t>
  </si>
  <si>
    <t>Libner Ferreira De Morais - 05/02/2025 13:48:36</t>
  </si>
  <si>
    <t>TIT65009</t>
  </si>
  <si>
    <t>Temperatura Caldo Entrada P/ Regeneradores Mosto</t>
  </si>
  <si>
    <t>Libner Ferreira De Morais - 06/02/2025 15:00:15</t>
  </si>
  <si>
    <t>Libner Ferreira De Morais - 06/02/2025 15:00:16</t>
  </si>
  <si>
    <t>Libner Ferreira De Morais - 06/02/2025 15:00:18</t>
  </si>
  <si>
    <t>Libner Ferreira De Morais - 06/02/2025 15:00:20</t>
  </si>
  <si>
    <t>Alisson Airton Sobrinho - 08/02/2025 14:15:42</t>
  </si>
  <si>
    <t>Alisson Airton Sobrinho - 08/02/2025 14:15:43</t>
  </si>
  <si>
    <t>Rafael Roldão Rodrigues - 03/03/2025 12:36:36</t>
  </si>
  <si>
    <t>Rafael Roldão Rodrigues - 03/03/2025 12:36:37</t>
  </si>
  <si>
    <t>Alisson Airton Sobrinho - 04/03/2025 09:00:51</t>
  </si>
  <si>
    <t>Alisson Airton Sobrinho - 04/03/2025 09:00:53</t>
  </si>
  <si>
    <t>Base de Dados_Images/TIT65009.Imagem do Equipamento-.170447.jpg</t>
  </si>
  <si>
    <t>Libner Ferreira De Morais - 05/02/2025 13:45:10</t>
  </si>
  <si>
    <t>TIT65010</t>
  </si>
  <si>
    <t>Temperatura Caldo Saída Regeneradores Mosto</t>
  </si>
  <si>
    <t>Libner Ferreira De Morais - 06/02/2025 15:00:35</t>
  </si>
  <si>
    <t>Libner Ferreira De Morais - 06/02/2025 15:00:38</t>
  </si>
  <si>
    <t>Libner Ferreira De Morais - 06/02/2025 15:00:40</t>
  </si>
  <si>
    <t>Libner Ferreira De Morais - 06/02/2025 15:00:42</t>
  </si>
  <si>
    <t>Alisson Airton Sobrinho - 08/02/2025 14:15:52</t>
  </si>
  <si>
    <t>Alisson Airton Sobrinho - 08/02/2025 14:15:53</t>
  </si>
  <si>
    <t>Alisson Airton Sobrinho - 08/02/2025 14:15:55</t>
  </si>
  <si>
    <t>Rafael Roldão Rodrigues - 03/03/2025 12:36:43</t>
  </si>
  <si>
    <t>Rafael Roldão Rodrigues - 03/03/2025 12:36:44</t>
  </si>
  <si>
    <t>Alisson Airton Sobrinho - 04/03/2025 09:01:03</t>
  </si>
  <si>
    <t>Alisson Airton Sobrinho - 04/03/2025 09:01:04</t>
  </si>
  <si>
    <t>Base de Dados_Images/TIT65010.Imagem do Equipamento-.170455.jpg</t>
  </si>
  <si>
    <t>Libner Ferreira De Morais - 05/02/2025 13:45:33</t>
  </si>
  <si>
    <t>TIT65011</t>
  </si>
  <si>
    <t>Temperatura Mosto Saída Trocador 1</t>
  </si>
  <si>
    <t>Libner Ferreira De Morais - 06/02/2025 09:04:02</t>
  </si>
  <si>
    <t>Libner Ferreira De Morais - 06/02/2025 09:04:03</t>
  </si>
  <si>
    <t>Libner Ferreira De Morais - 06/02/2025 09:04:04</t>
  </si>
  <si>
    <t>Libner Ferreira De Morais - 06/02/2025 09:04:05</t>
  </si>
  <si>
    <t>Alisson Airton Sobrinho - 08/02/2025 14:00:30</t>
  </si>
  <si>
    <t>Alisson Airton Sobrinho - 08/02/2025 14:00:31</t>
  </si>
  <si>
    <t>Alisson Airton Sobrinho - 08/02/2025 14:00:32</t>
  </si>
  <si>
    <t>Alisson Airton Sobrinho - 25/02/2025 10:07:20</t>
  </si>
  <si>
    <t>Alisson Airton Sobrinho - 25/02/2025 10:07:21</t>
  </si>
  <si>
    <t>Alisson Airton Sobrinho - 04/03/2025 08:34:44</t>
  </si>
  <si>
    <t>Alisson Airton Sobrinho - 04/03/2025 08:34:45</t>
  </si>
  <si>
    <t>Base de Dados_Images/TIT65011.Imagem do Equipamento-.170340.jpg</t>
  </si>
  <si>
    <t>Libner Ferreira De Morais - 05/02/2025 13:41:19</t>
  </si>
  <si>
    <t>TIT65012</t>
  </si>
  <si>
    <t>Temperatura Mosto Saída Trocador 2</t>
  </si>
  <si>
    <t>Libner Ferreira De Morais - 06/02/2025 14:57:58</t>
  </si>
  <si>
    <t>Libner Ferreira De Morais - 06/02/2025 14:57:59</t>
  </si>
  <si>
    <t>Libner Ferreira De Morais - 06/02/2025 14:58:00</t>
  </si>
  <si>
    <t>Libner Ferreira De Morais - 06/02/2025 14:58:06</t>
  </si>
  <si>
    <t>Alisson Airton Sobrinho - 08/02/2025 14:29:52</t>
  </si>
  <si>
    <t>Alisson Airton Sobrinho - 08/02/2025 14:29:53</t>
  </si>
  <si>
    <t>Alisson Airton Sobrinho - 08/02/2025 14:29:55</t>
  </si>
  <si>
    <t>Rafael Roldão Rodrigues - 03/03/2025 12:35:05</t>
  </si>
  <si>
    <t>Rafael Roldão Rodrigues - 03/03/2025 12:35:06</t>
  </si>
  <si>
    <t>Alisson Airton Sobrinho - 04/03/2025 08:34:17</t>
  </si>
  <si>
    <t>Alisson Airton Sobrinho - 04/03/2025 08:34:18</t>
  </si>
  <si>
    <t>Base de Dados_Images/TIT65012.Imagem do Equipamento-.170417.jpg</t>
  </si>
  <si>
    <t>Libner Ferreira De Morais - 05/02/2025 13:43:20</t>
  </si>
  <si>
    <t>TIT65017</t>
  </si>
  <si>
    <t>Temperatura Dorna 1</t>
  </si>
  <si>
    <t>Beatriz Alves Nunes de Paulo - 30/01/2025 19:45:30</t>
  </si>
  <si>
    <t>Beatriz Alves Nunes de Paulo - 30/01/2025 19:45:34</t>
  </si>
  <si>
    <t>Beatriz Alves Nunes de Paulo - 30/01/2025 19:45:31</t>
  </si>
  <si>
    <t>Beatriz Alves Nunes de Paulo - 30/01/2025 19:45:33</t>
  </si>
  <si>
    <t>Paula Caroline Morais Duarte - 14/02/2025 08:15:08</t>
  </si>
  <si>
    <t>Paula Caroline Morais Duarte - 14/02/2025 08:15:09</t>
  </si>
  <si>
    <t>Paula Caroline Morais Duarte - 14/02/2025 08:15:10</t>
  </si>
  <si>
    <t>Paula Caroline Morais Duarte - 25/02/2025 08:54:07</t>
  </si>
  <si>
    <t>Paula Caroline Morais Duarte - 25/02/2025 08:54:08</t>
  </si>
  <si>
    <t>Alisson Airton Sobrinho - 04/03/2025 07:56:34</t>
  </si>
  <si>
    <t>Alisson Airton Sobrinho - 04/03/2025 07:56:35</t>
  </si>
  <si>
    <t>Base de Dados_Images/TIT65017.Imagem do Equipamento-.224534.jpg</t>
  </si>
  <si>
    <t>Beatriz Alves Nunes de Paulo - 30/01/2025 19:45:27</t>
  </si>
  <si>
    <t>TIT65017B</t>
  </si>
  <si>
    <t>Temperatura após trocador dorna 1 B</t>
  </si>
  <si>
    <t>Beatriz Alves Nunes de Paulo - 30/01/2025 19:46:17</t>
  </si>
  <si>
    <t>Beatriz Alves Nunes de Paulo - 30/01/2025 19:46:18</t>
  </si>
  <si>
    <t>Beatriz Alves Nunes de Paulo - 30/01/2025 19:46:19</t>
  </si>
  <si>
    <t>Beatriz Alves Nunes de Paulo - 30/01/2025 19:46:24</t>
  </si>
  <si>
    <t>Alisson Airton Sobrinho - 25/02/2025 09:46:32</t>
  </si>
  <si>
    <t>Alisson Airton Sobrinho - 25/02/2025 09:46:35</t>
  </si>
  <si>
    <t>Alisson Airton Sobrinho - 25/02/2025 09:46:36</t>
  </si>
  <si>
    <t>Alisson Airton Sobrinho - 25/02/2025 09:46:40</t>
  </si>
  <si>
    <t>Alisson Airton Sobrinho - 04/03/2025 07:56:41</t>
  </si>
  <si>
    <t>Base de Dados_Images/TIT65017B.Imagem do Equipamento-.224614.jpg</t>
  </si>
  <si>
    <t>Beatriz Alves Nunes de Paulo - 30/01/2025 19:45:59</t>
  </si>
  <si>
    <t>TIT65018</t>
  </si>
  <si>
    <t>Temperatura Dorna 2</t>
  </si>
  <si>
    <t>Beatriz Alves Nunes de Paulo - 30/01/2025 19:44:18</t>
  </si>
  <si>
    <t>Beatriz Alves Nunes de Paulo - 30/01/2025 19:44:19</t>
  </si>
  <si>
    <t>Beatriz Alves Nunes de Paulo - 30/01/2025 19:44:21</t>
  </si>
  <si>
    <t>Paula Caroline Morais Duarte - 14/02/2025 07:48:12</t>
  </si>
  <si>
    <t>Paula Caroline Morais Duarte - 14/02/2025 07:48:14</t>
  </si>
  <si>
    <t>Alisson Airton Sobrinho - 25/02/2025 10:05:06</t>
  </si>
  <si>
    <t>Alisson Airton Sobrinho - 25/02/2025 10:05:05</t>
  </si>
  <si>
    <t>Alisson Airton Sobrinho - 04/03/2025 08:13:21</t>
  </si>
  <si>
    <t>Base de Dados_Images/TIT65018.Imagem do Equipamento-.224420.jpg</t>
  </si>
  <si>
    <t>Beatriz Alves Nunes de Paulo - 30/01/2025 19:44:14</t>
  </si>
  <si>
    <t>TIT65018B</t>
  </si>
  <si>
    <t>Temperatura após trocador dorna 2 B</t>
  </si>
  <si>
    <t>Beatriz Alves Nunes de Paulo - 30/01/2025 19:44:47</t>
  </si>
  <si>
    <t>Beatriz Alves Nunes de Paulo - 30/01/2025 19:44:48</t>
  </si>
  <si>
    <t>Beatriz Alves Nunes de Paulo - 30/01/2025 19:44:49</t>
  </si>
  <si>
    <t>Paula Caroline Morais Duarte - 14/02/2025 07:48:35</t>
  </si>
  <si>
    <t>Paula Caroline Morais Duarte - 14/02/2025 07:48:36</t>
  </si>
  <si>
    <t>Paula Caroline Morais Duarte - 14/02/2025 07:48:37</t>
  </si>
  <si>
    <t>Alisson Airton Sobrinho - 25/02/2025 10:05:21</t>
  </si>
  <si>
    <t>Alisson Airton Sobrinho - 04/03/2025 08:13:29</t>
  </si>
  <si>
    <t>Alisson Airton Sobrinho - 04/03/2025 08:13:30</t>
  </si>
  <si>
    <t>Base de Dados_Images/TIT65018B.Imagem do Equipamento-.224449.jpg</t>
  </si>
  <si>
    <t>Beatriz Alves Nunes de Paulo - 30/01/2025 19:44:43</t>
  </si>
  <si>
    <t>TIT65019</t>
  </si>
  <si>
    <t>Temperatura Dorna 3</t>
  </si>
  <si>
    <t>Alisson Airton Sobrinho - 28/01/2025 18:41:16</t>
  </si>
  <si>
    <t>Alisson Airton Sobrinho - 28/01/2025 18:41:17</t>
  </si>
  <si>
    <t>Alisson Airton Sobrinho - 28/01/2025 18:41:21</t>
  </si>
  <si>
    <t>Alisson Airton Sobrinho - 28/01/2025 18:41:24</t>
  </si>
  <si>
    <t>Paula Caroline Morais Duarte - 14/02/2025 07:46:20</t>
  </si>
  <si>
    <t>Paula Caroline Morais Duarte - 14/02/2025 07:46:21</t>
  </si>
  <si>
    <t>Paula Caroline Morais Duarte - 14/02/2025 07:46:22</t>
  </si>
  <si>
    <t>Alisson Airton Sobrinho - 25/02/2025 10:09:20</t>
  </si>
  <si>
    <t>Alisson Airton Sobrinho - 04/03/2025 08:00:11</t>
  </si>
  <si>
    <t>Alisson Airton Sobrinho - 04/03/2025 08:00:12</t>
  </si>
  <si>
    <t>Base de Dados_Images/TIT65019.Imagem do Equipamento-.214103.jpg</t>
  </si>
  <si>
    <t>Alisson Airton Sobrinho - 28/01/2025 18:41:00</t>
  </si>
  <si>
    <t>TIT65019B</t>
  </si>
  <si>
    <t>Temperatura após trocador dorna 3 B</t>
  </si>
  <si>
    <t>Libner Ferreira De Morais - 06/02/2025 14:40:13</t>
  </si>
  <si>
    <t>Libner Ferreira De Morais - 06/02/2025 14:40:15</t>
  </si>
  <si>
    <t>Libner Ferreira De Morais - 06/02/2025 14:40:17</t>
  </si>
  <si>
    <t>Libner Ferreira De Morais - 06/02/2025 14:40:18</t>
  </si>
  <si>
    <t>Paula Caroline Morais Duarte - 14/02/2025 07:46:41</t>
  </si>
  <si>
    <t>Paula Caroline Morais Duarte - 14/02/2025 07:46:42</t>
  </si>
  <si>
    <t>Paula Caroline Morais Duarte - 14/02/2025 07:46:44</t>
  </si>
  <si>
    <t>Alisson Airton Sobrinho - 25/02/2025 10:09:31</t>
  </si>
  <si>
    <t>Alisson Airton Sobrinho - 25/02/2025 10:09:32</t>
  </si>
  <si>
    <t>Alisson Airton Sobrinho - 04/03/2025 08:00:38</t>
  </si>
  <si>
    <t>Base de Dados_Images/TIT65019B.Imagem do Equipamento-.224339.jpg</t>
  </si>
  <si>
    <t>Beatriz Alves Nunes de Paulo - 30/01/2025 19:43:32</t>
  </si>
  <si>
    <t>TIT65020</t>
  </si>
  <si>
    <t>Temperatura Dorna 4</t>
  </si>
  <si>
    <t>Beatriz Alves Nunes de Paulo - 30/01/2025 19:42:48</t>
  </si>
  <si>
    <t>Beatriz Alves Nunes de Paulo - 30/01/2025 19:42:49</t>
  </si>
  <si>
    <t>Beatriz Alves Nunes de Paulo - 30/01/2025 19:42:50</t>
  </si>
  <si>
    <t>Beatriz Alves Nunes de Paulo - 30/01/2025 19:42:52</t>
  </si>
  <si>
    <t>Alisson Airton Sobrinho - 25/02/2025 09:50:38</t>
  </si>
  <si>
    <t>Alisson Airton Sobrinho - 25/02/2025 09:50:39</t>
  </si>
  <si>
    <t>Alisson Airton Sobrinho - 25/02/2025 09:50:42</t>
  </si>
  <si>
    <t>Alisson Airton Sobrinho - 25/02/2025 09:50:43</t>
  </si>
  <si>
    <t>Alisson Airton Sobrinho - 04/03/2025 08:15:36</t>
  </si>
  <si>
    <t>Base de Dados_Images/TIT65020.Imagem do Equipamento-.224253.jpg</t>
  </si>
  <si>
    <t>Beatriz Alves Nunes de Paulo - 30/01/2025 19:42:45</t>
  </si>
  <si>
    <t>TIT65020B</t>
  </si>
  <si>
    <t>Temperatura após trocador dorna 4 B</t>
  </si>
  <si>
    <t>Beatriz Alves Nunes de Paulo - 30/01/2025 19:43:09</t>
  </si>
  <si>
    <t>Beatriz Alves Nunes de Paulo - 30/01/2025 19:43:11</t>
  </si>
  <si>
    <t>Alisson Airton Sobrinho - 25/02/2025 09:51:00</t>
  </si>
  <si>
    <t>Alisson Airton Sobrinho - 25/02/2025 09:51:01</t>
  </si>
  <si>
    <t>Alisson Airton Sobrinho - 25/02/2025 09:51:02</t>
  </si>
  <si>
    <t>Alisson Airton Sobrinho - 25/02/2025 09:51:05</t>
  </si>
  <si>
    <t>Alisson Airton Sobrinho - 25/02/2025 09:51:06</t>
  </si>
  <si>
    <t>Alisson Airton Sobrinho - 04/03/2025 08:15:45</t>
  </si>
  <si>
    <t>Alisson Airton Sobrinho - 04/03/2025 08:15:46</t>
  </si>
  <si>
    <t>Base de Dados_Images/TIT65020B.Imagem do Equipamento-.224317.jpg</t>
  </si>
  <si>
    <t>Beatriz Alves Nunes de Paulo - 30/01/2025 19:43:05</t>
  </si>
  <si>
    <t>TIT65021</t>
  </si>
  <si>
    <t>Temperatura Dorna 5</t>
  </si>
  <si>
    <t>Beatriz Alves Nunes de Paulo - 30/01/2025 19:41:27</t>
  </si>
  <si>
    <t>Beatriz Alves Nunes de Paulo - 30/01/2025 19:41:26</t>
  </si>
  <si>
    <t>Beatriz Alves Nunes de Paulo - 30/01/2025 19:41:25</t>
  </si>
  <si>
    <t>Paula Caroline Morais Duarte - 14/02/2025 07:49:07</t>
  </si>
  <si>
    <t>Paula Caroline Morais Duarte - 14/02/2025 07:49:08</t>
  </si>
  <si>
    <t>Paula Caroline Morais Duarte - 14/02/2025 07:49:10</t>
  </si>
  <si>
    <t>Alisson Airton Sobrinho - 25/02/2025 10:00:01</t>
  </si>
  <si>
    <t>Alisson Airton Sobrinho - 25/02/2025 10:00:02</t>
  </si>
  <si>
    <t>Alisson Airton Sobrinho - 04/03/2025 08:23:31</t>
  </si>
  <si>
    <t>Base de Dados_Images/TIT65021.Imagem do Equipamento-.224149.jpg</t>
  </si>
  <si>
    <t>Beatriz Alves Nunes de Paulo - 30/01/2025 19:41:20</t>
  </si>
  <si>
    <t>TIT65021B</t>
  </si>
  <si>
    <t>Temperatura após trocador dorna 5 B</t>
  </si>
  <si>
    <t>Beatriz Alves Nunes de Paulo - 30/01/2025 19:41:42</t>
  </si>
  <si>
    <t>Beatriz Alves Nunes de Paulo - 30/01/2025 19:41:43</t>
  </si>
  <si>
    <t>Libner Ferreira De Morais - 06/02/2025 14:43:39</t>
  </si>
  <si>
    <t>Paula Caroline Morais Duarte - 14/02/2025 07:49:25</t>
  </si>
  <si>
    <t>Paula Caroline Morais Duarte - 14/02/2025 07:49:26</t>
  </si>
  <si>
    <t>Paula Caroline Morais Duarte - 14/02/2025 07:49:27</t>
  </si>
  <si>
    <t>Alisson Airton Sobrinho - 25/02/2025 10:00:55</t>
  </si>
  <si>
    <t>Alisson Airton Sobrinho - 04/03/2025 08:23:36</t>
  </si>
  <si>
    <t>Alisson Airton Sobrinho - 04/03/2025 08:23:37</t>
  </si>
  <si>
    <t>Base de Dados_Images/TIT65021B.Imagem do Equipamento-.224209.jpg</t>
  </si>
  <si>
    <t>Beatriz Alves Nunes de Paulo - 30/01/2025 19:41:38</t>
  </si>
  <si>
    <t>TIT65022</t>
  </si>
  <si>
    <t>Temperatura Dorna 6</t>
  </si>
  <si>
    <t>Beatriz Alves Nunes de Paulo - 30/01/2025 19:40:02</t>
  </si>
  <si>
    <t>Beatriz Alves Nunes de Paulo - 30/01/2025 19:40:04</t>
  </si>
  <si>
    <t>Beatriz Alves Nunes de Paulo - 30/01/2025 19:40:05</t>
  </si>
  <si>
    <t>Alisson Airton Sobrinho - 25/02/2025 09:52:59</t>
  </si>
  <si>
    <t>Alisson Airton Sobrinho - 25/02/2025 09:53:00</t>
  </si>
  <si>
    <t>Alisson Airton Sobrinho - 25/02/2025 09:53:04</t>
  </si>
  <si>
    <t>Alisson Airton Sobrinho - 04/03/2025 08:29:57</t>
  </si>
  <si>
    <t>Alisson Airton Sobrinho - 04/03/2025 08:29:56</t>
  </si>
  <si>
    <t>Base de Dados_Images/TIT65022.Imagem do Equipamento-.224037.jpg</t>
  </si>
  <si>
    <t>Beatriz Alves Nunes de Paulo - 30/01/2025 19:39:57</t>
  </si>
  <si>
    <t>TIT65022B</t>
  </si>
  <si>
    <t>Temperatura após trocador dorna 6 B</t>
  </si>
  <si>
    <t>Beatriz Alves Nunes de Paulo - 30/01/2025 19:40:31</t>
  </si>
  <si>
    <t>Beatriz Alves Nunes de Paulo - 30/01/2025 19:40:32</t>
  </si>
  <si>
    <t>Beatriz Alves Nunes de Paulo - 30/01/2025 19:40:34</t>
  </si>
  <si>
    <t>Alisson Airton Sobrinho - 25/02/2025 09:51:30</t>
  </si>
  <si>
    <t>Alisson Airton Sobrinho - 25/02/2025 09:51:31</t>
  </si>
  <si>
    <t>Alisson Airton Sobrinho - 25/02/2025 09:51:34</t>
  </si>
  <si>
    <t>Alisson Airton Sobrinho - 25/02/2025 09:51:35</t>
  </si>
  <si>
    <t>Alisson Airton Sobrinho - 04/03/2025 08:30:13</t>
  </si>
  <si>
    <t>Alisson Airton Sobrinho - 04/03/2025 08:30:14</t>
  </si>
  <si>
    <t>Base de Dados_Images/TIT65022B.Imagem do Equipamento-.224100.jpg</t>
  </si>
  <si>
    <t>Beatriz Alves Nunes de Paulo - 30/01/2025 19:40:27</t>
  </si>
  <si>
    <t>TIT65023</t>
  </si>
  <si>
    <t>Temperatura Dorna 7</t>
  </si>
  <si>
    <t>Beatriz Alves Nunes de Paulo - 30/01/2025 19:38:16</t>
  </si>
  <si>
    <t>Beatriz Alves Nunes de Paulo - 30/01/2025 19:38:17</t>
  </si>
  <si>
    <t>Beatriz Alves Nunes de Paulo - 30/01/2025 19:38:20</t>
  </si>
  <si>
    <t>Paula Caroline Morais Duarte - 14/02/2025 07:49:56</t>
  </si>
  <si>
    <t>Paula Caroline Morais Duarte - 14/02/2025 07:49:57</t>
  </si>
  <si>
    <t>Paula Caroline Morais Duarte - 14/02/2025 07:49:58</t>
  </si>
  <si>
    <t>Alisson Airton Sobrinho - 25/02/2025 10:03:50</t>
  </si>
  <si>
    <t>Alisson Airton Sobrinho - 04/03/2025 08:26:42</t>
  </si>
  <si>
    <t>Alisson Airton Sobrinho - 04/03/2025 08:26:43</t>
  </si>
  <si>
    <t>Base de Dados_Images/TIT65023.Imagem do Equipamento-.223931.jpg</t>
  </si>
  <si>
    <t>Beatriz Alves Nunes de Paulo - 30/01/2025 19:38:12</t>
  </si>
  <si>
    <t>TIT65023B</t>
  </si>
  <si>
    <t>Temperatura após trocador dorna 7 B</t>
  </si>
  <si>
    <t>Beatriz Alves Nunes de Paulo - 30/01/2025 19:38:54</t>
  </si>
  <si>
    <t>Beatriz Alves Nunes de Paulo - 30/01/2025 19:38:55</t>
  </si>
  <si>
    <t>Beatriz Alves Nunes de Paulo - 30/01/2025 19:38:56</t>
  </si>
  <si>
    <t>Beatriz Alves Nunes de Paulo - 30/01/2025 19:38:57</t>
  </si>
  <si>
    <t>Paula Caroline Morais Duarte - 14/02/2025 07:50:11</t>
  </si>
  <si>
    <t>Paula Caroline Morais Duarte - 14/02/2025 07:50:13</t>
  </si>
  <si>
    <t>Alisson Airton Sobrinho - 25/02/2025 10:04:02</t>
  </si>
  <si>
    <t>Alisson Airton Sobrinho - 04/03/2025 08:26:50</t>
  </si>
  <si>
    <t>Alisson Airton Sobrinho - 04/03/2025 08:26:51</t>
  </si>
  <si>
    <t>Base de Dados_Images/TIT65023B.Imagem do Equipamento-.223954.jpg</t>
  </si>
  <si>
    <t>Beatriz Alves Nunes de Paulo - 30/01/2025 19:38:43</t>
  </si>
  <si>
    <t>TIT65029</t>
  </si>
  <si>
    <t>Temperatura Da Centrifuga 01</t>
  </si>
  <si>
    <t>Weslley Ferreira Cooper - 30/01/2025 08:49:48</t>
  </si>
  <si>
    <t>Weslley Ferreira Cooper - 30/01/2025 08:49:47</t>
  </si>
  <si>
    <t>Rafael Roldão Rodrigues - 03/03/2025 12:28:42</t>
  </si>
  <si>
    <t>Rafael Roldão Rodrigues - 03/03/2025 12:28:44</t>
  </si>
  <si>
    <t>Rafael Roldão Rodrigues - 03/03/2025 12:28:48</t>
  </si>
  <si>
    <t>Rafael Roldão Rodrigues - 03/03/2025 12:28:49</t>
  </si>
  <si>
    <t>Alisson Airton Sobrinho - 07/03/2025 07:29:04</t>
  </si>
  <si>
    <t>Alisson Airton Sobrinho - 07/03/2025 07:29:05</t>
  </si>
  <si>
    <t>Base de Dados_Images/TIT65029.Imagem do Equipamento-.125643.jpg</t>
  </si>
  <si>
    <t>Weslley Ferreira Cooper - 30/01/2025 08:51:36</t>
  </si>
  <si>
    <t>TIT65030</t>
  </si>
  <si>
    <t>Temperatura Da Centrifuga 02</t>
  </si>
  <si>
    <t>Weslley Ferreira Cooper - 30/01/2025 08:53:20</t>
  </si>
  <si>
    <t>Weslley Ferreira Cooper - 30/01/2025 08:53:19</t>
  </si>
  <si>
    <t>Weslley Ferreira Cooper - 30/01/2025 08:53:18</t>
  </si>
  <si>
    <t>Rafael Roldão Rodrigues - 03/03/2025 12:29:26</t>
  </si>
  <si>
    <t>Rafael Roldão Rodrigues - 03/03/2025 12:29:27</t>
  </si>
  <si>
    <t>Rafael Roldão Rodrigues - 03/03/2025 12:29:31</t>
  </si>
  <si>
    <t>Rafael Roldão Rodrigues - 03/03/2025 12:29:32</t>
  </si>
  <si>
    <t>Alisson Airton Sobrinho - 10/03/2025 11:25:30</t>
  </si>
  <si>
    <t>Base de Dados_Images/TIT65030.Imagem do Equipamento-.125817.jpg</t>
  </si>
  <si>
    <t>Weslley Ferreira Cooper - 30/01/2025 08:53:13</t>
  </si>
  <si>
    <t>TIT65031</t>
  </si>
  <si>
    <t>Temperatura Da Centrifuga 03</t>
  </si>
  <si>
    <t>Weslley Ferreira Cooper - 30/01/2025 08:57:46</t>
  </si>
  <si>
    <t>Weslley Ferreira Cooper - 30/01/2025 08:57:45</t>
  </si>
  <si>
    <t>Weslley Ferreira Cooper - 30/01/2025 08:57:44</t>
  </si>
  <si>
    <t>Rafael Roldão Rodrigues - 03/03/2025 12:29:54</t>
  </si>
  <si>
    <t>Rafael Roldão Rodrigues - 03/03/2025 12:29:55</t>
  </si>
  <si>
    <t>Rafael Roldão Rodrigues - 03/03/2025 12:29:58</t>
  </si>
  <si>
    <t>Rafael Roldão Rodrigues - 03/03/2025 12:29:59</t>
  </si>
  <si>
    <t>Beatriz Alves Nunes de Paulo - 06/03/2025 09:17:16</t>
  </si>
  <si>
    <t>Beatriz Alves Nunes de Paulo - 06/03/2025 09:17:17</t>
  </si>
  <si>
    <t>Base de Dados_Images/TIT65031.Imagem do Equipamento-.130223.jpg</t>
  </si>
  <si>
    <t>Weslley Ferreira Cooper - 30/01/2025 08:57:36</t>
  </si>
  <si>
    <t>TIT65032</t>
  </si>
  <si>
    <t>Temperatura Da Centrifuga 04</t>
  </si>
  <si>
    <t>Weslley Ferreira Cooper - 30/01/2025 08:59:23</t>
  </si>
  <si>
    <t>Weslley Ferreira Cooper - 30/01/2025 08:59:22</t>
  </si>
  <si>
    <t>Weslley Ferreira Cooper - 30/01/2025 08:59:21</t>
  </si>
  <si>
    <t>Rafael Roldão Rodrigues - 03/03/2025 12:30:53</t>
  </si>
  <si>
    <t>Rafael Roldão Rodrigues - 03/03/2025 12:30:54</t>
  </si>
  <si>
    <t>Rafael Roldão Rodrigues - 03/03/2025 12:30:58</t>
  </si>
  <si>
    <t>Rafael Roldão Rodrigues - 03/03/2025 12:30:59</t>
  </si>
  <si>
    <t>Beatriz Alves Nunes de Paulo - 06/03/2025 09:17:47</t>
  </si>
  <si>
    <t>Beatriz Alves Nunes de Paulo - 06/03/2025 09:17:48</t>
  </si>
  <si>
    <t>Base de Dados_Images/TIT65032.Imagem do Equipamento-.130355.jpg</t>
  </si>
  <si>
    <t>Weslley Ferreira Cooper - 30/01/2025 08:59:13</t>
  </si>
  <si>
    <t>Extras</t>
  </si>
  <si>
    <t>TIT65035</t>
  </si>
  <si>
    <t>Paula Caroline Morais Duarte - 31/01/2025 10:22:55</t>
  </si>
  <si>
    <t>Paula Caroline Morais Duarte - 31/01/2025 10:22:56</t>
  </si>
  <si>
    <t>Paula Caroline Morais Duarte - 31/01/2025 10:22:59</t>
  </si>
  <si>
    <t>Paula Caroline Morais Duarte - 31/01/2025 10:23:00</t>
  </si>
  <si>
    <t>Paula Caroline Morais Duarte - 31/01/2025 10:23:06</t>
  </si>
  <si>
    <t>Paula Caroline Morais Duarte - 31/01/2025 10:23:08</t>
  </si>
  <si>
    <t>Paula Caroline Morais Duarte - 31/01/2025 10:23:07</t>
  </si>
  <si>
    <t>Paula Caroline Morais Duarte - 20/02/2025 10:25:28</t>
  </si>
  <si>
    <t>Paula Caroline Morais Duarte - 20/02/2025 10:25:29</t>
  </si>
  <si>
    <t>Paula Caroline Morais Duarte - 20/02/2025 10:25:35</t>
  </si>
  <si>
    <t>Paula Caroline Morais Duarte - 20/02/2025 10:25:36</t>
  </si>
  <si>
    <t>Base de Dados_Images/TIT65035.Imagem do Equipamento-.134428.jpg</t>
  </si>
  <si>
    <t>Paula Caroline Morais Duarte - 31/01/2025 10:23:31</t>
  </si>
  <si>
    <t>TIT70005</t>
  </si>
  <si>
    <t>Temperatura Bandeja A-1</t>
  </si>
  <si>
    <t>Libner Ferreira De Morais - 06/02/2025 09:05:34</t>
  </si>
  <si>
    <t>Libner Ferreira De Morais - 06/02/2025 09:05:35</t>
  </si>
  <si>
    <t>Libner Ferreira De Morais - 06/02/2025 09:05:36</t>
  </si>
  <si>
    <t>Paula Caroline Morais Duarte - 08/02/2025 13:44:44</t>
  </si>
  <si>
    <t>Paula Caroline Morais Duarte - 08/02/2025 13:44:45</t>
  </si>
  <si>
    <t>Paula Caroline Morais Duarte - 08/02/2025 13:44:46</t>
  </si>
  <si>
    <t>Rafael Roldão Rodrigues - 04/03/2025 14:35:44</t>
  </si>
  <si>
    <t>Rafael Roldão Rodrigues - 04/03/2025 14:35:45</t>
  </si>
  <si>
    <t>Alisson Airton Sobrinho - 06/03/2025 14:40:05</t>
  </si>
  <si>
    <t>Alisson Airton Sobrinho - 06/03/2025 14:40:06</t>
  </si>
  <si>
    <t>Base de Dados_Images/TIT70005.Imagem do Equipamento-.170601.jpg</t>
  </si>
  <si>
    <t>Libner Ferreira De Morais - 05/02/2025 13:59:07</t>
  </si>
  <si>
    <t>TIT70006</t>
  </si>
  <si>
    <t>Temperatura Bandeja A1-5</t>
  </si>
  <si>
    <t>Libner Ferreira De Morais - 06/02/2025 09:06:14</t>
  </si>
  <si>
    <t>Libner Ferreira De Morais - 06/02/2025 09:06:15</t>
  </si>
  <si>
    <t>Libner Ferreira De Morais - 06/02/2025 09:06:17</t>
  </si>
  <si>
    <t>Libner Ferreira De Morais - 06/02/2025 09:06:18</t>
  </si>
  <si>
    <t>Alisson Airton Sobrinho - 08/02/2025 13:46:43</t>
  </si>
  <si>
    <t>Alisson Airton Sobrinho - 08/02/2025 13:46:41</t>
  </si>
  <si>
    <t>Alisson Airton Sobrinho - 08/02/2025 13:46:39</t>
  </si>
  <si>
    <t>Rafael Roldão Rodrigues - 04/03/2025 14:35:53</t>
  </si>
  <si>
    <t>Rafael Roldão Rodrigues - 04/03/2025 14:35:54</t>
  </si>
  <si>
    <t>Alisson Airton Sobrinho - 06/03/2025 14:40:40</t>
  </si>
  <si>
    <t>Alisson Airton Sobrinho - 06/03/2025 14:40:41</t>
  </si>
  <si>
    <t>Base de Dados_Images/TIT70006.Imagem do Equipamento-.170618.jpg</t>
  </si>
  <si>
    <t>Libner Ferreira De Morais - 05/02/2025 14:04:25</t>
  </si>
  <si>
    <t>TIT70007</t>
  </si>
  <si>
    <t>Temperatura Bandeja A-18</t>
  </si>
  <si>
    <t>Libner Ferreira De Morais - 06/02/2025 09:06:35</t>
  </si>
  <si>
    <t>Libner Ferreira De Morais - 06/02/2025 09:06:37</t>
  </si>
  <si>
    <t>Libner Ferreira De Morais - 06/02/2025 09:06:38</t>
  </si>
  <si>
    <t>Libner Ferreira De Morais - 06/02/2025 09:06:40</t>
  </si>
  <si>
    <t>Alisson Airton Sobrinho - 08/02/2025 13:46:52</t>
  </si>
  <si>
    <t>Alisson Airton Sobrinho - 08/02/2025 13:46:53</t>
  </si>
  <si>
    <t>Alisson Airton Sobrinho - 08/02/2025 13:46:55</t>
  </si>
  <si>
    <t>Rafael Roldão Rodrigues - 04/03/2025 14:36:02</t>
  </si>
  <si>
    <t>Rafael Roldão Rodrigues - 04/03/2025 14:36:03</t>
  </si>
  <si>
    <t>Alisson Airton Sobrinho - 06/03/2025 14:41:03</t>
  </si>
  <si>
    <t>Alisson Airton Sobrinho - 06/03/2025 14:41:06</t>
  </si>
  <si>
    <t>Base de Dados_Images/TIT70007.Imagem do Equipamento-.170624.jpg</t>
  </si>
  <si>
    <t>Libner Ferreira De Morais - 05/02/2025 14:05:23</t>
  </si>
  <si>
    <t>TIT70010</t>
  </si>
  <si>
    <t>Temperatura Bandeja B-1</t>
  </si>
  <si>
    <t>Alisson Airton Sobrinho - 21/01/2025 14:23:18</t>
  </si>
  <si>
    <t>Alisson Airton Sobrinho - 21/01/2025 14:23:24</t>
  </si>
  <si>
    <t>Alisson Airton Sobrinho - 21/01/2025 14:23:33</t>
  </si>
  <si>
    <t>Alisson Airton Sobrinho - 21/01/2025 14:23:40</t>
  </si>
  <si>
    <t>Alisson Airton Sobrinho - 08/02/2025 13:48:35</t>
  </si>
  <si>
    <t>Alisson Airton Sobrinho - 08/02/2025 13:48:38</t>
  </si>
  <si>
    <t>Alisson Airton Sobrinho - 08/02/2025 13:48:37</t>
  </si>
  <si>
    <t>Rafael Roldão Rodrigues - 04/03/2025 14:37:43</t>
  </si>
  <si>
    <t>Rafael Roldão Rodrigues - 04/03/2025 14:37:44</t>
  </si>
  <si>
    <t>Alisson Airton Sobrinho - 06/03/2025 14:43:37</t>
  </si>
  <si>
    <t>Alisson Airton Sobrinho - 06/03/2025 14:43:38</t>
  </si>
  <si>
    <t>Base de Dados_Images/TIT70010.Imagem do Equipamento-.184447.jpg</t>
  </si>
  <si>
    <t>Alisson Airton Sobrinho - 21/01/2025 14:23:10</t>
  </si>
  <si>
    <t>TIT70011</t>
  </si>
  <si>
    <t>Temperatura Bandeja B-11</t>
  </si>
  <si>
    <t>Alisson Airton Sobrinho - 29/01/2025 19:37:05</t>
  </si>
  <si>
    <t>Alisson Airton Sobrinho - 29/01/2025 19:37:06</t>
  </si>
  <si>
    <t>Alisson Airton Sobrinho - 29/01/2025 19:37:08</t>
  </si>
  <si>
    <t>Alisson Airton Sobrinho - 08/02/2025 13:49:22</t>
  </si>
  <si>
    <t>Alisson Airton Sobrinho - 08/02/2025 13:49:31</t>
  </si>
  <si>
    <t>Rafael Roldão Rodrigues - 04/03/2025 14:37:51</t>
  </si>
  <si>
    <t>Alisson Airton Sobrinho - 06/03/2025 14:45:46</t>
  </si>
  <si>
    <t>Alisson Airton Sobrinho - 06/03/2025 14:45:48</t>
  </si>
  <si>
    <t>Base de Dados_Images/TIT70011.Imagem do Equipamento-.223857.jpg</t>
  </si>
  <si>
    <t>Alisson Airton Sobrinho - 29/01/2025 19:37:00</t>
  </si>
  <si>
    <t>TIT70012</t>
  </si>
  <si>
    <t>Temperatura Bandeja B1-3</t>
  </si>
  <si>
    <t>Weslley Ferreira Cooper - 31/01/2025 15:18:54</t>
  </si>
  <si>
    <t>Weslley Ferreira Cooper - 31/01/2025 15:18:55</t>
  </si>
  <si>
    <t>Weslley Ferreira Cooper - 31/01/2025 15:18:56</t>
  </si>
  <si>
    <t>Weslley Ferreira Cooper - 31/01/2025 15:19:02</t>
  </si>
  <si>
    <t>Weslley Ferreira Cooper - 31/01/2025 15:19:01</t>
  </si>
  <si>
    <t>Rafael Roldão Rodrigues - 04/03/2025 14:39:49</t>
  </si>
  <si>
    <t>Rafael Roldão Rodrigues - 04/03/2025 14:39:50</t>
  </si>
  <si>
    <t>Alisson Airton Sobrinho - 06/03/2025 14:50:42</t>
  </si>
  <si>
    <t>Base de Dados_Images/TIT70012.Imagem do Equipamento-.182021.jpg</t>
  </si>
  <si>
    <t>Weslley Ferreira Cooper - 31/01/2025 15:18:49</t>
  </si>
  <si>
    <t>TIT70013</t>
  </si>
  <si>
    <t>Temperatura Bandeja B-4</t>
  </si>
  <si>
    <t>Alisson Airton Sobrinho - 29/01/2025 19:26:38</t>
  </si>
  <si>
    <t>Alisson Airton Sobrinho - 29/01/2025 19:26:42</t>
  </si>
  <si>
    <t>Alisson Airton Sobrinho - 29/01/2025 19:26:44</t>
  </si>
  <si>
    <t>Alisson Airton Sobrinho - 08/02/2025 13:49:43</t>
  </si>
  <si>
    <t>Alisson Airton Sobrinho - 08/02/2025 13:49:44</t>
  </si>
  <si>
    <t>Alisson Airton Sobrinho - 08/02/2025 13:49:51</t>
  </si>
  <si>
    <t>Rafael Roldão Rodrigues - 04/03/2025 14:37:58</t>
  </si>
  <si>
    <t>Rafael Roldão Rodrigues - 04/03/2025 14:37:59</t>
  </si>
  <si>
    <t>Alisson Airton Sobrinho - 06/03/2025 14:45:57</t>
  </si>
  <si>
    <t>Alisson Airton Sobrinho - 06/03/2025 14:45:58</t>
  </si>
  <si>
    <t>Base de Dados_Images/TIT70013.Imagem do Equipamento-.222636.jpg</t>
  </si>
  <si>
    <t>Alisson Airton Sobrinho - 29/01/2025 19:26:32</t>
  </si>
  <si>
    <t>TIT70014</t>
  </si>
  <si>
    <t>Temperatura Bandeja B-47</t>
  </si>
  <si>
    <t>Libner Ferreira De Morais - 06/02/2025 09:14:25</t>
  </si>
  <si>
    <t>Libner Ferreira De Morais - 06/02/2025 09:14:27</t>
  </si>
  <si>
    <t>Libner Ferreira De Morais - 06/02/2025 09:14:29</t>
  </si>
  <si>
    <t>Alisson Airton Sobrinho - 08/02/2025 13:50:10</t>
  </si>
  <si>
    <t>Alisson Airton Sobrinho - 08/02/2025 13:50:11</t>
  </si>
  <si>
    <t>Alisson Airton Sobrinho - 08/02/2025 13:50:12</t>
  </si>
  <si>
    <t>Rafael Roldão Rodrigues - 04/03/2025 14:38:14</t>
  </si>
  <si>
    <t>Rafael Roldão Rodrigues - 04/03/2025 14:38:15</t>
  </si>
  <si>
    <t>Alisson Airton Sobrinho - 06/03/2025 14:46:03</t>
  </si>
  <si>
    <t>Alisson Airton Sobrinho - 06/03/2025 14:46:04</t>
  </si>
  <si>
    <t>Base de Dados_Images/TIT70014.Imagem do Equipamento-.170608.jpg</t>
  </si>
  <si>
    <t>Libner Ferreira De Morais - 05/02/2025 14:02:46</t>
  </si>
  <si>
    <t>TIT70015</t>
  </si>
  <si>
    <t>Temperatura Etanol Hidratado</t>
  </si>
  <si>
    <t>Libner Ferreira De Morais - 06/02/2025 09:15:50</t>
  </si>
  <si>
    <t>Libner Ferreira De Morais - 06/02/2025 09:15:52</t>
  </si>
  <si>
    <t>Libner Ferreira De Morais - 06/02/2025 09:15:53</t>
  </si>
  <si>
    <t>Libner Ferreira De Morais - 06/02/2025 09:15:54</t>
  </si>
  <si>
    <t>Alisson Airton Sobrinho - 08/02/2025 13:50:31</t>
  </si>
  <si>
    <t>Alisson Airton Sobrinho - 08/02/2025 13:50:33</t>
  </si>
  <si>
    <t>Rafael Roldão Rodrigues - 04/03/2025 14:38:23</t>
  </si>
  <si>
    <t>Rafael Roldão Rodrigues - 04/03/2025 14:38:24</t>
  </si>
  <si>
    <t>Alisson Airton Sobrinho - 06/03/2025 14:46:08</t>
  </si>
  <si>
    <t>Alisson Airton Sobrinho - 06/03/2025 14:46:09</t>
  </si>
  <si>
    <t>Base de Dados_Images/TIT70015.Imagem do Equipamento-.122420.jpg</t>
  </si>
  <si>
    <t>Libner Ferreira De Morais - 06/02/2025 09:24:15</t>
  </si>
  <si>
    <t>Trocador E</t>
  </si>
  <si>
    <t>TIT70016</t>
  </si>
  <si>
    <t>Temperatura Do Vinho Entrada Tracador E</t>
  </si>
  <si>
    <t>Alisson Airton Sobrinho - 29/01/2025 19:54:16</t>
  </si>
  <si>
    <t>Alisson Airton Sobrinho - 29/01/2025 19:54:18</t>
  </si>
  <si>
    <t>Alisson Airton Sobrinho - 29/01/2025 19:54:19</t>
  </si>
  <si>
    <t>Alisson Airton Sobrinho - 29/01/2025 19:54:20</t>
  </si>
  <si>
    <t>Alisson Airton Sobrinho - 08/02/2025 13:58:40</t>
  </si>
  <si>
    <t>Alisson Airton Sobrinho - 08/02/2025 13:58:41</t>
  </si>
  <si>
    <t>Alisson Airton Sobrinho - 08/02/2025 13:58:42</t>
  </si>
  <si>
    <t>Rafael Roldão Rodrigues - 04/03/2025 14:46:04</t>
  </si>
  <si>
    <t>Rafael Roldão Rodrigues - 04/03/2025 14:46:05</t>
  </si>
  <si>
    <t>Alisson Airton Sobrinho - 07/03/2025 08:06:29</t>
  </si>
  <si>
    <t>Base de Dados_Images/TIT70016.Imagem do Equipamento-.225535.jpg</t>
  </si>
  <si>
    <t>Alisson Airton Sobrinho - 29/01/2025 19:53:52</t>
  </si>
  <si>
    <t>Condensador E1</t>
  </si>
  <si>
    <t>TIT70017</t>
  </si>
  <si>
    <t>Temperatura Agua Condensador E1</t>
  </si>
  <si>
    <t>Alisson Airton Sobrinho - 29/01/2025 19:43:49</t>
  </si>
  <si>
    <t>Alisson Airton Sobrinho - 29/01/2025 19:43:50</t>
  </si>
  <si>
    <t>Alisson Airton Sobrinho - 29/01/2025 19:43:51</t>
  </si>
  <si>
    <t>Alisson Airton Sobrinho - 29/01/2025 19:43:54</t>
  </si>
  <si>
    <t>Alisson Airton Sobrinho - 08/02/2025 13:52:41</t>
  </si>
  <si>
    <t>Alisson Airton Sobrinho - 08/02/2025 13:52:42</t>
  </si>
  <si>
    <t>Alisson Airton Sobrinho - 08/02/2025 13:52:43</t>
  </si>
  <si>
    <t>Rafael Roldão Rodrigues - 04/03/2025 14:41:28</t>
  </si>
  <si>
    <t>Alisson Airton Sobrinho - 06/03/2025 14:51:22</t>
  </si>
  <si>
    <t>Alisson Airton Sobrinho - 06/03/2025 14:51:23</t>
  </si>
  <si>
    <t>Base de Dados_Images/TIT70017.Imagem do Equipamento-.224327.jpg</t>
  </si>
  <si>
    <t>Alisson Airton Sobrinho - 29/01/2025 19:43:23</t>
  </si>
  <si>
    <t>Condensador E2</t>
  </si>
  <si>
    <t>TIT70018</t>
  </si>
  <si>
    <t>Temperatura Agua Condensador E2</t>
  </si>
  <si>
    <t>Alisson Airton Sobrinho - 29/01/2025 19:40:17</t>
  </si>
  <si>
    <t>Alisson Airton Sobrinho - 29/01/2025 19:40:18</t>
  </si>
  <si>
    <t>Alisson Airton Sobrinho - 29/01/2025 19:40:22</t>
  </si>
  <si>
    <t>Alisson Airton Sobrinho - 08/02/2025 13:53:13</t>
  </si>
  <si>
    <t>Alisson Airton Sobrinho - 08/02/2025 13:53:14</t>
  </si>
  <si>
    <t>Alisson Airton Sobrinho - 08/02/2025 13:53:15</t>
  </si>
  <si>
    <t>Rafael Roldão Rodrigues - 04/03/2025 14:41:38</t>
  </si>
  <si>
    <t>Alisson Airton Sobrinho - 06/03/2025 14:46:59</t>
  </si>
  <si>
    <t>Alisson Airton Sobrinho - 06/03/2025 14:47:00</t>
  </si>
  <si>
    <t>Base de Dados_Images/TIT70018.Imagem do Equipamento-.224017.jpg</t>
  </si>
  <si>
    <t>Alisson Airton Sobrinho - 29/01/2025 19:40:12</t>
  </si>
  <si>
    <t>Trocador K</t>
  </si>
  <si>
    <t>TIT70019</t>
  </si>
  <si>
    <t>Temperatura Do Vinho Entrada Tracador K</t>
  </si>
  <si>
    <t>Alisson Airton Sobrinho - 29/01/2025 19:06:55</t>
  </si>
  <si>
    <t>Alisson Airton Sobrinho - 29/01/2025 19:07:10</t>
  </si>
  <si>
    <t>Alisson Airton Sobrinho - 29/01/2025 19:07:13</t>
  </si>
  <si>
    <t>Alisson Airton Sobrinho - 29/01/2025 19:07:21</t>
  </si>
  <si>
    <t>Alisson Airton Sobrinho - 08/02/2025 13:57:52</t>
  </si>
  <si>
    <t>Alisson Airton Sobrinho - 08/02/2025 13:57:54</t>
  </si>
  <si>
    <t>Alisson Airton Sobrinho - 08/02/2025 13:57:53</t>
  </si>
  <si>
    <t>Alisson Airton Sobrinho - 19/02/2025 16:47:02</t>
  </si>
  <si>
    <t>Alisson Airton Sobrinho - 07/03/2025 08:06:38</t>
  </si>
  <si>
    <t>Base de Dados_Images/TIT70019.Imagem do Equipamento-.221038.jpg</t>
  </si>
  <si>
    <t>Alisson Airton Sobrinho - 29/01/2025 19:06:48</t>
  </si>
  <si>
    <t>TIT70020</t>
  </si>
  <si>
    <t>Temperatura Do Vinho Saida Tracador K</t>
  </si>
  <si>
    <t>Alisson Airton Sobrinho - 29/01/2025 19:07:41</t>
  </si>
  <si>
    <t>Alisson Airton Sobrinho - 29/01/2025 19:07:42</t>
  </si>
  <si>
    <t>Alisson Airton Sobrinho - 29/01/2025 19:07:43</t>
  </si>
  <si>
    <t>Alisson Airton Sobrinho - 29/01/2025 19:07:44</t>
  </si>
  <si>
    <t>Alisson Airton Sobrinho - 08/02/2025 13:58:11</t>
  </si>
  <si>
    <t>Alisson Airton Sobrinho - 08/02/2025 13:58:14</t>
  </si>
  <si>
    <t>Alisson Airton Sobrinho - 19/02/2025 16:47:08</t>
  </si>
  <si>
    <t>Alisson Airton Sobrinho - 19/02/2025 16:47:09</t>
  </si>
  <si>
    <t>Alisson Airton Sobrinho - 07/03/2025 08:06:44</t>
  </si>
  <si>
    <t>Alisson Airton Sobrinho - 07/03/2025 08:06:45</t>
  </si>
  <si>
    <t>Base de Dados_Images/TIT70020.Imagem do Equipamento-.221108.jpg</t>
  </si>
  <si>
    <t>Alisson Airton Sobrinho - 29/01/2025 19:07:36</t>
  </si>
  <si>
    <t>Condensador R</t>
  </si>
  <si>
    <t>TIT70021</t>
  </si>
  <si>
    <t>Temperatura Saída Condensador R</t>
  </si>
  <si>
    <t>Alisson Airton Sobrinho - 29/01/2025 19:42:12</t>
  </si>
  <si>
    <t>Alisson Airton Sobrinho - 29/01/2025 19:42:13</t>
  </si>
  <si>
    <t>Alisson Airton Sobrinho - 29/01/2025 19:42:14</t>
  </si>
  <si>
    <t>Libner Ferreira De Morais - 06/02/2025 14:31:05</t>
  </si>
  <si>
    <t>Libner Ferreira De Morais - 06/02/2025 14:31:06</t>
  </si>
  <si>
    <t>Libner Ferreira De Morais - 06/02/2025 14:31:07</t>
  </si>
  <si>
    <t>Alisson Airton Sobrinho - 08/02/2025 13:53:37</t>
  </si>
  <si>
    <t>Alisson Airton Sobrinho - 08/02/2025 13:53:39</t>
  </si>
  <si>
    <t>Alisson Airton Sobrinho - 06/03/2025 14:47:51</t>
  </si>
  <si>
    <t>Alisson Airton Sobrinho - 06/03/2025 14:47:52</t>
  </si>
  <si>
    <t>Base de Dados_Images/TIT70021.Imagem do Equipamento-.224209.jpg</t>
  </si>
  <si>
    <t>Alisson Airton Sobrinho - 29/01/2025 19:42:04</t>
  </si>
  <si>
    <t>Condensador R1</t>
  </si>
  <si>
    <t>TIT70022</t>
  </si>
  <si>
    <t>Temperatura Saída Condensador R1</t>
  </si>
  <si>
    <t>Alisson Airton Sobrinho - 29/01/2025 19:41:28</t>
  </si>
  <si>
    <t>Alisson Airton Sobrinho - 29/01/2025 19:41:29</t>
  </si>
  <si>
    <t>Alisson Airton Sobrinho - 29/01/2025 19:41:30</t>
  </si>
  <si>
    <t>Alisson Airton Sobrinho - 29/01/2025 19:41:32</t>
  </si>
  <si>
    <t>Alisson Airton Sobrinho - 08/02/2025 13:53:52</t>
  </si>
  <si>
    <t>Alisson Airton Sobrinho - 08/02/2025 13:53:54</t>
  </si>
  <si>
    <t>Alisson Airton Sobrinho - 08/02/2025 13:53:55</t>
  </si>
  <si>
    <t>Rafael Roldão Rodrigues - 04/03/2025 14:42:01</t>
  </si>
  <si>
    <t>Rafael Roldão Rodrigues - 04/03/2025 14:42:02</t>
  </si>
  <si>
    <t>Alisson Airton Sobrinho - 06/03/2025 14:47:26</t>
  </si>
  <si>
    <t>Alisson Airton Sobrinho - 06/03/2025 14:47:27</t>
  </si>
  <si>
    <t>Base de Dados_Images/TIT70022.Imagem do Equipamento-.224129.jpg</t>
  </si>
  <si>
    <t>Alisson Airton Sobrinho - 29/01/2025 19:41:24</t>
  </si>
  <si>
    <t>TIT70023</t>
  </si>
  <si>
    <t>Temperatura Do Tanque De Medição 01 Hidratado</t>
  </si>
  <si>
    <t>Alisson Airton Sobrinho - 29/01/2025 19:16:02</t>
  </si>
  <si>
    <t>Alisson Airton Sobrinho - 29/01/2025 19:16:01</t>
  </si>
  <si>
    <t>Alisson Airton Sobrinho - 29/01/2025 19:16:00</t>
  </si>
  <si>
    <t>Libner Ferreira De Morais - 06/02/2025 14:26:44</t>
  </si>
  <si>
    <t>Libner Ferreira De Morais - 06/02/2025 14:26:45</t>
  </si>
  <si>
    <t>Libner Ferreira De Morais - 06/02/2025 14:26:46</t>
  </si>
  <si>
    <t>Alisson Airton Sobrinho - 19/02/2025 16:43:09</t>
  </si>
  <si>
    <t>Alisson Airton Sobrinho - 19/02/2025 16:43:10</t>
  </si>
  <si>
    <t>Alisson Airton Sobrinho - 07/03/2025 08:08:31</t>
  </si>
  <si>
    <t>Base de Dados_Images/TIT70023.Imagem do Equipamento-.221553.jpg</t>
  </si>
  <si>
    <t>Alisson Airton Sobrinho - 29/01/2025 19:15:49</t>
  </si>
  <si>
    <t>TIT70024</t>
  </si>
  <si>
    <t>Temperatura Do Tanque De Medição 02 Hidratado</t>
  </si>
  <si>
    <t>Alisson Airton Sobrinho - 29/01/2025 19:16:27</t>
  </si>
  <si>
    <t>Alisson Airton Sobrinho - 29/01/2025 19:16:30</t>
  </si>
  <si>
    <t>Alisson Airton Sobrinho - 29/01/2025 19:16:28</t>
  </si>
  <si>
    <t>Libner Ferreira De Morais - 06/02/2025 14:27:49</t>
  </si>
  <si>
    <t>Libner Ferreira De Morais - 06/02/2025 14:27:50</t>
  </si>
  <si>
    <t>Libner Ferreira De Morais - 06/02/2025 14:27:51</t>
  </si>
  <si>
    <t>Alisson Airton Sobrinho - 19/02/2025 16:45:02</t>
  </si>
  <si>
    <t>Alisson Airton Sobrinho - 07/03/2025 08:09:24</t>
  </si>
  <si>
    <t>Base de Dados_Images/TIT70024.Imagem do Equipamento-.221638.jpg</t>
  </si>
  <si>
    <t>Alisson Airton Sobrinho - 29/01/2025 19:16:22</t>
  </si>
  <si>
    <t>TIT81001</t>
  </si>
  <si>
    <t>Temperatura Água Saída Economizador</t>
  </si>
  <si>
    <t>Paula Caroline Morais Duarte - 29/01/2025 14:33:39</t>
  </si>
  <si>
    <t>Paula Caroline Morais Duarte - 29/01/2025 14:33:41</t>
  </si>
  <si>
    <t>Paula Caroline Morais Duarte - 29/01/2025 14:33:43</t>
  </si>
  <si>
    <t>Paula Caroline Morais Duarte - 29/01/2025 14:33:45</t>
  </si>
  <si>
    <t>Paula Caroline Morais Duarte - 11/02/2025 12:40:37</t>
  </si>
  <si>
    <t>Paula Caroline Morais Duarte - 11/02/2025 12:40:38</t>
  </si>
  <si>
    <t>Paula Caroline Morais Duarte - 11/02/2025 12:40:39</t>
  </si>
  <si>
    <t>Paula Caroline Morais Duarte - 20/02/2025 11:23:25</t>
  </si>
  <si>
    <t>Paula Caroline Morais Duarte - 20/02/2025 11:23:26</t>
  </si>
  <si>
    <t>Paula Caroline Morais Duarte - 25/02/2025 09:10:25</t>
  </si>
  <si>
    <t>Paula Caroline Morais Duarte - 25/02/2025 09:10:26</t>
  </si>
  <si>
    <t>Base de Dados_Images/TIT81001.Imagem do Equipamento-.182420.jpg</t>
  </si>
  <si>
    <t>Paula Caroline Morais Duarte - 29/01/2025 14:33:34</t>
  </si>
  <si>
    <t>TIT81003</t>
  </si>
  <si>
    <t>Temperatura Da Fornalha</t>
  </si>
  <si>
    <t>Paula Caroline Morais Duarte - 30/01/2025 10:57:56</t>
  </si>
  <si>
    <t>Paula Caroline Morais Duarte - 30/01/2025 10:57:57</t>
  </si>
  <si>
    <t>Paula Caroline Morais Duarte - 30/01/2025 10:57:59</t>
  </si>
  <si>
    <t>Paula Caroline Morais Duarte - 30/01/2025 10:58:08</t>
  </si>
  <si>
    <t>Paula Caroline Morais Duarte - 11/02/2025 12:30:56</t>
  </si>
  <si>
    <t>Paula Caroline Morais Duarte - 11/02/2025 12:30:57</t>
  </si>
  <si>
    <t>Paula Caroline Morais Duarte - 11/02/2025 12:30:58</t>
  </si>
  <si>
    <t>Paula Caroline Morais Duarte - 20/02/2025 11:24:08</t>
  </si>
  <si>
    <t>Paula Caroline Morais Duarte - 20/02/2025 11:24:09</t>
  </si>
  <si>
    <t>Paula Caroline Morais Duarte - 25/02/2025 09:11:09</t>
  </si>
  <si>
    <t>Paula Caroline Morais Duarte - 25/02/2025 09:11:10</t>
  </si>
  <si>
    <t>Base de Dados_Images/TIT81003.Imagem do Equipamento-.145932.jpg</t>
  </si>
  <si>
    <t>Paula Caroline Morais Duarte - 30/01/2025 10:57:41</t>
  </si>
  <si>
    <t>TIT81006A</t>
  </si>
  <si>
    <t>Temperatura 01 Vapor Superaquecido</t>
  </si>
  <si>
    <t>Weslley Ferreira Cooper - 05/02/2025 16:28:52</t>
  </si>
  <si>
    <t>Weslley Ferreira Cooper - 05/02/2025 16:28:51</t>
  </si>
  <si>
    <t>Weslley Ferreira Cooper - 05/02/2025 16:28:50</t>
  </si>
  <si>
    <t>Paula Caroline Morais Duarte - 11/02/2025 12:37:44</t>
  </si>
  <si>
    <t>Paula Caroline Morais Duarte - 11/02/2025 12:37:48</t>
  </si>
  <si>
    <t>Paula Caroline Morais Duarte - 11/02/2025 12:37:49</t>
  </si>
  <si>
    <t>Paula Caroline Morais Duarte - 17/02/2025 11:26:53</t>
  </si>
  <si>
    <t>Paula Caroline Morais Duarte - 17/02/2025 11:26:54</t>
  </si>
  <si>
    <t>Paula Caroline Morais Duarte - 17/02/2025 11:26:58</t>
  </si>
  <si>
    <t>Paula Caroline Morais Duarte - 01/31/2025 09:42:12</t>
  </si>
  <si>
    <t>TIT81006B</t>
  </si>
  <si>
    <t>Temperatura 02 Vapor Superaquecido</t>
  </si>
  <si>
    <t>Weslley Ferreira Cooper - 01/02/2025 08:59:23</t>
  </si>
  <si>
    <t>Weslley Ferreira Cooper - 01/02/2025 08:59:26</t>
  </si>
  <si>
    <t>Weslley Ferreira Cooper - 01/02/2025 08:59:25</t>
  </si>
  <si>
    <t>Paula Caroline Morais Duarte - 11/02/2025 12:38:07</t>
  </si>
  <si>
    <t>Paula Caroline Morais Duarte - 11/02/2025 12:38:09</t>
  </si>
  <si>
    <t>Paula Caroline Morais Duarte - 11/02/2025 12:38:10</t>
  </si>
  <si>
    <t>Paula Caroline Morais Duarte - 20/02/2025 11:32:21</t>
  </si>
  <si>
    <t>Paula Caroline Morais Duarte - 20/02/2025 11:32:22</t>
  </si>
  <si>
    <t>Paula Caroline Morais Duarte - 25/02/2025 09:11:54</t>
  </si>
  <si>
    <t>Paula Caroline Morais Duarte - 25/02/2025 09:11:55</t>
  </si>
  <si>
    <t>Base de Dados_Images/TIT81006B.Imagem do Equipamento-.130748.jpg</t>
  </si>
  <si>
    <t>Weslley Ferreira Cooper - 01/02/2025 08:59:39</t>
  </si>
  <si>
    <t>TIT81008</t>
  </si>
  <si>
    <t>Temperatura Gases Entrada Economizador</t>
  </si>
  <si>
    <t>Paula Caroline Morais Duarte - 11/02/2025 14:29:21</t>
  </si>
  <si>
    <t>Paula Caroline Morais Duarte - 11/02/2025 14:29:22</t>
  </si>
  <si>
    <t>Paula Caroline Morais Duarte - 11/02/2025 14:29:23</t>
  </si>
  <si>
    <t>Paula Caroline Morais Duarte - 11/02/2025 14:29:25</t>
  </si>
  <si>
    <t>Paula Caroline Morais Duarte - 11/02/2025 14:29:14</t>
  </si>
  <si>
    <t>Paula Caroline Morais Duarte - 11/02/2025 14:29:10</t>
  </si>
  <si>
    <t>Paula Caroline Morais Duarte - 11/02/2025 14:29:31</t>
  </si>
  <si>
    <t>Paula Caroline Morais Duarte - 11/02/2025 14:29:32</t>
  </si>
  <si>
    <t>Paula Caroline Morais Duarte - 11/02/2025 14:29:37</t>
  </si>
  <si>
    <t>Paula Caroline Morais Duarte - 11/02/2025 14:29:38</t>
  </si>
  <si>
    <t>Base de Dados_Images/TIT81008.Imagem do Equipamento-.182626.jpg</t>
  </si>
  <si>
    <t>Paula Caroline Morais Duarte - 29/01/2025 14:51:42</t>
  </si>
  <si>
    <t>TIT81009</t>
  </si>
  <si>
    <t>Temperatura Gases Saída Economizador</t>
  </si>
  <si>
    <t>Paula Caroline Morais Duarte - 29/01/2025 14:32:37</t>
  </si>
  <si>
    <t>Paula Caroline Morais Duarte - 29/01/2025 14:32:38</t>
  </si>
  <si>
    <t>Paula Caroline Morais Duarte - 29/01/2025 14:32:40</t>
  </si>
  <si>
    <t>Paula Caroline Morais Duarte - 29/01/2025 14:32:42</t>
  </si>
  <si>
    <t>Paula Caroline Morais Duarte - 11/02/2025 12:27:11</t>
  </si>
  <si>
    <t>Paula Caroline Morais Duarte - 11/02/2025 12:27:12</t>
  </si>
  <si>
    <t>Paula Caroline Morais Duarte - 11/02/2025 12:27:13</t>
  </si>
  <si>
    <t>Paula Caroline Morais Duarte - 20/02/2025 11:24:23</t>
  </si>
  <si>
    <t>Paula Caroline Morais Duarte - 20/02/2025 11:24:24</t>
  </si>
  <si>
    <t>Paula Caroline Morais Duarte - 25/02/2025 09:12:02</t>
  </si>
  <si>
    <t>Paula Caroline Morais Duarte - 25/02/2025 09:12:03</t>
  </si>
  <si>
    <t>Base de Dados_Images/TIT81009.Imagem do Equipamento-.182337.jpg</t>
  </si>
  <si>
    <t>Paula Caroline Morais Duarte - 29/01/2025 14:32:32</t>
  </si>
  <si>
    <t>TIT81012</t>
  </si>
  <si>
    <t>Temperatura do ar saída do ventilador primário</t>
  </si>
  <si>
    <t>Paula Caroline Morais Duarte - 17/02/2025 10:56:56</t>
  </si>
  <si>
    <t>Paula Caroline Morais Duarte - 17/02/2025 10:56:58</t>
  </si>
  <si>
    <t>Paula Caroline Morais Duarte - 17/02/2025 10:56:59</t>
  </si>
  <si>
    <t>Paula Caroline Morais Duarte - 17/02/2025 10:57:02</t>
  </si>
  <si>
    <t>Paula Caroline Morais Duarte - 17/02/2025 10:57:03</t>
  </si>
  <si>
    <t>Paula Caroline Morais Duarte - 17/02/2025 10:57:05</t>
  </si>
  <si>
    <t>Paula Caroline Morais Duarte - 17/02/2025 10:57:32</t>
  </si>
  <si>
    <t>Paula Caroline Morais Duarte - 17/02/2025 10:57:36</t>
  </si>
  <si>
    <t>Paula Caroline Morais Duarte - 17/02/2025 10:57:38</t>
  </si>
  <si>
    <t>Paula Caroline Morais Duarte - 17/02/2025 10:57:40</t>
  </si>
  <si>
    <t>Paula Caroline Morais Duarte - 17/02/2025 10:57:46</t>
  </si>
  <si>
    <t>Paula Caroline Morais Duarte - 17/02/2025 10:57:44</t>
  </si>
  <si>
    <t>Paula Caroline Morais Duarte - 17/02/2025 10:57:50</t>
  </si>
  <si>
    <t>Paula Caroline Morais Duarte - 17/02/2025 10:57:52</t>
  </si>
  <si>
    <t>Paula Caroline Morais Duarte - 17/02/2025 10:58:22</t>
  </si>
  <si>
    <t>Paula Caroline Morais Duarte - 17/02/2025 10:58:24</t>
  </si>
  <si>
    <t>Paula Caroline Morais Duarte - 17/02/2025 10:58:25</t>
  </si>
  <si>
    <t>Paula Caroline Morais Duarte - 17/02/2025 10:58:33</t>
  </si>
  <si>
    <t>Paula Caroline Morais Duarte - 17/02/2025 10:58:29</t>
  </si>
  <si>
    <t>Paula Caroline Morais Duarte - 17/02/2025 10:58:36</t>
  </si>
  <si>
    <t>Paula Caroline Morais Duarte - 17/02/2025 10:58:38</t>
  </si>
  <si>
    <t>Paula Caroline Morais Duarte - 23/02/2025 16:26:37</t>
  </si>
  <si>
    <t>Paula Caroline Morais Duarte - 23/02/2025 16:26:39</t>
  </si>
  <si>
    <t>Paula Caroline Morais Duarte - 23/02/2025 16:26:40</t>
  </si>
  <si>
    <t>Paula Caroline Morais Duarte - 23/02/2025 16:26:41</t>
  </si>
  <si>
    <t>Paula Caroline Morais Duarte - 23/02/2025 16:26:42</t>
  </si>
  <si>
    <t>Paula Caroline Morais Duarte - 23/02/2025 16:26:43</t>
  </si>
  <si>
    <t>Paula Caroline Morais Duarte - 23/02/2025 16:26:46</t>
  </si>
  <si>
    <t>Paula Caroline Morais Duarte - 23/02/2025 16:26:58</t>
  </si>
  <si>
    <t>Paula Caroline Morais Duarte - 23/02/2025 16:26:59</t>
  </si>
  <si>
    <t>Paula Caroline Morais Duarte - 23/02/2025 16:27:00</t>
  </si>
  <si>
    <t>Paula Caroline Morais Duarte - 25/02/2025 09:15:02</t>
  </si>
  <si>
    <t>Paula Caroline Morais Duarte - 25/02/2025 09:15:03</t>
  </si>
  <si>
    <t>Paula Caroline Morais Duarte - 25/02/2025 09:15:04</t>
  </si>
  <si>
    <t>Inserir_Remover TAG_Images/TIT81012.Imagem.172548.jpg</t>
  </si>
  <si>
    <t>Matheus César Azevedo Neto - 12/02/2025 08:49:39</t>
  </si>
  <si>
    <t>Base de Dados_Images/TIT81012.Imagem da Plaqueta do Motor-.141319.jpg</t>
  </si>
  <si>
    <t>Paula Caroline Morais Duarte - 17/02/2025 10:59:56</t>
  </si>
  <si>
    <t>TIT81014</t>
  </si>
  <si>
    <t>Temperatura Água Desaerador</t>
  </si>
  <si>
    <t>Paula Caroline Morais Duarte - 01/02/2025 14:47:46</t>
  </si>
  <si>
    <t>Paula Caroline Morais Duarte - 01/02/2025 14:47:47</t>
  </si>
  <si>
    <t>Paula Caroline Morais Duarte - 01/02/2025 14:47:49</t>
  </si>
  <si>
    <t>Paula Caroline Morais Duarte - 01/02/2025 14:47:50</t>
  </si>
  <si>
    <t>Weslley Ferreira Cooper - 05/02/2025 15:58:43</t>
  </si>
  <si>
    <t>Weslley Ferreira Cooper - 05/02/2025 15:58:42</t>
  </si>
  <si>
    <t>Weslley Ferreira Cooper - 05/02/2025 15:58:41</t>
  </si>
  <si>
    <t>Weslley Ferreira Cooper - 05/02/2025 15:58:47</t>
  </si>
  <si>
    <t>Weslley Ferreira Cooper - 05/02/2025 15:58:46</t>
  </si>
  <si>
    <t>Paula Caroline Morais Duarte - 17/02/2025 15:05:02</t>
  </si>
  <si>
    <t>Paula Caroline Morais Duarte - 17/02/2025 15:05:03</t>
  </si>
  <si>
    <t>Base de Dados_Images/TIT81014.Imagem do Equipamento-.124651.jpg</t>
  </si>
  <si>
    <t>Paula Caroline Morais Duarte - 01/02/2025 14:48:25</t>
  </si>
  <si>
    <t>TIT81022</t>
  </si>
  <si>
    <t>Temperatura Vapor Escape</t>
  </si>
  <si>
    <t>Paula Caroline Morais Duarte - 01/02/2025 10:09:42</t>
  </si>
  <si>
    <t>Paula Caroline Morais Duarte - 01/02/2025 10:09:43</t>
  </si>
  <si>
    <t>Paula Caroline Morais Duarte - 01/02/2025 10:09:44</t>
  </si>
  <si>
    <t>Paula Caroline Morais Duarte - 01/02/2025 10:09:45</t>
  </si>
  <si>
    <t>Paula Caroline Morais Duarte - 17/02/2025 11:10:20</t>
  </si>
  <si>
    <t>Paula Caroline Morais Duarte - 17/02/2025 11:10:27</t>
  </si>
  <si>
    <t>Paula Caroline Morais Duarte - 17/02/2025 11:10:28</t>
  </si>
  <si>
    <t>Paula Caroline Morais Duarte - 17/02/2025 11:10:46</t>
  </si>
  <si>
    <t>Paula Caroline Morais Duarte - 17/02/2025 11:10:49</t>
  </si>
  <si>
    <t>Paula Caroline Morais Duarte - 17/02/2025 11:10:57</t>
  </si>
  <si>
    <t>Paula Caroline Morais Duarte - 17/02/2025 11:11:03</t>
  </si>
  <si>
    <t>Base de Dados_Images/TIT81022.Imagem do Equipamento-.135355.jpg</t>
  </si>
  <si>
    <t>Paula Caroline Morais Duarte - 01/02/2025 10:10:20</t>
  </si>
  <si>
    <t>TIT81033</t>
  </si>
  <si>
    <t>Temperatura Motor Exaustor 01</t>
  </si>
  <si>
    <t>Weslley Ferreira Cooper - 31/01/2025 14:44:52</t>
  </si>
  <si>
    <t>Weslley Ferreira Cooper - 31/01/2025 14:44:51</t>
  </si>
  <si>
    <t>Weslley Ferreira Cooper - 31/01/2025 14:44:50</t>
  </si>
  <si>
    <t>Paula Caroline Morais Duarte - 21/02/2025 11:55:39</t>
  </si>
  <si>
    <t>Paula Caroline Morais Duarte - 21/02/2025 11:55:40</t>
  </si>
  <si>
    <t>Paula Caroline Morais Duarte - 21/02/2025 11:55:50</t>
  </si>
  <si>
    <t>Paula Caroline Morais Duarte - 21/02/2025 11:55:52</t>
  </si>
  <si>
    <t>Alisson Airton Sobrinho - 07/03/2025 09:32:18</t>
  </si>
  <si>
    <t>Alisson Airton Sobrinho - 07/03/2025 09:32:19</t>
  </si>
  <si>
    <t>Base de Dados_Images/TIT81033.Imagem do Equipamento-.181912.jpg</t>
  </si>
  <si>
    <t>Weslley Ferreira Cooper - 31/01/2025 14:44:45</t>
  </si>
  <si>
    <t>TIT81034</t>
  </si>
  <si>
    <t>Temperatura Motor Exaustor 02</t>
  </si>
  <si>
    <t>Weslley Ferreira Cooper - 31/01/2025 14:43:18</t>
  </si>
  <si>
    <t>Weslley Ferreira Cooper - 31/01/2025 14:43:17</t>
  </si>
  <si>
    <t>Weslley Ferreira Cooper - 31/01/2025 14:43:16</t>
  </si>
  <si>
    <t>Paula Caroline Morais Duarte - 21/02/2025 11:53:39</t>
  </si>
  <si>
    <t>Paula Caroline Morais Duarte - 21/02/2025 11:53:40</t>
  </si>
  <si>
    <t>Paula Caroline Morais Duarte - 21/02/2025 11:53:41</t>
  </si>
  <si>
    <t>Paula Caroline Morais Duarte - 21/02/2025 11:53:45</t>
  </si>
  <si>
    <t>Paula Caroline Morais Duarte - 21/02/2025 11:53:46</t>
  </si>
  <si>
    <t>Alisson Airton Sobrinho - 07/03/2025 09:32:34</t>
  </si>
  <si>
    <t>Base de Dados_Images/TIT81034.Imagem do Equipamento-.181846.jpg</t>
  </si>
  <si>
    <t>Weslley Ferreira Cooper - 31/01/2025 14:43:11</t>
  </si>
  <si>
    <t>TIT81040</t>
  </si>
  <si>
    <t>Temperatura Mancal Alta La1</t>
  </si>
  <si>
    <t>Weslley Ferreira Cooper - 01/02/2025 09:40:36</t>
  </si>
  <si>
    <t>Weslley Ferreira Cooper - 01/02/2025 09:40:35</t>
  </si>
  <si>
    <t>Paula Caroline Morais Duarte - 19/02/2025 08:25:58</t>
  </si>
  <si>
    <t>Paula Caroline Morais Duarte - 19/02/2025 08:25:59</t>
  </si>
  <si>
    <t>Paula Caroline Morais Duarte - 19/02/2025 08:26:00</t>
  </si>
  <si>
    <t>Paula Caroline Morais Duarte - 19/02/2025 08:26:05</t>
  </si>
  <si>
    <t>Paula Caroline Morais Duarte - 19/02/2025 08:26:06</t>
  </si>
  <si>
    <t>Paula Caroline Morais Duarte - 19/02/2025 08:26:10</t>
  </si>
  <si>
    <t>Base de Dados_Images/TIT81040.Imagem do Equipamento-.131115.jpg</t>
  </si>
  <si>
    <t>Weslley Ferreira Cooper - 01/02/2025 09:40:29</t>
  </si>
  <si>
    <t>TIT81041</t>
  </si>
  <si>
    <t>Temperatura Mancal Baixa La</t>
  </si>
  <si>
    <t>Weslley Ferreira Cooper - 31/01/2025 14:32:54</t>
  </si>
  <si>
    <t>Weslley Ferreira Cooper - 31/01/2025 14:32:53</t>
  </si>
  <si>
    <t>Paula Caroline Morais Duarte - 19/02/2025 08:27:17</t>
  </si>
  <si>
    <t>Paula Caroline Morais Duarte - 19/02/2025 08:27:18</t>
  </si>
  <si>
    <t>Paula Caroline Morais Duarte - 19/02/2025 08:27:19</t>
  </si>
  <si>
    <t>Paula Caroline Morais Duarte - 19/02/2025 08:27:23</t>
  </si>
  <si>
    <t>Paula Caroline Morais Duarte - 19/02/2025 08:27:24</t>
  </si>
  <si>
    <t>Paula Caroline Morais Duarte - 19/02/2025 08:27:28</t>
  </si>
  <si>
    <t>Paula Caroline Morais Duarte - 19/02/2025 08:27:29</t>
  </si>
  <si>
    <t>Base de Dados_Images/TIT81041.Imagem do Equipamento-.181818.jpg</t>
  </si>
  <si>
    <t>Weslley Ferreira Cooper - 31/01/2025 14:32:49</t>
  </si>
  <si>
    <t>TIT81042</t>
  </si>
  <si>
    <t>Temperatura Mancal Alta Loa</t>
  </si>
  <si>
    <t>Weslley Ferreira Cooper - 31/01/2025 14:32:25</t>
  </si>
  <si>
    <t>Weslley Ferreira Cooper - 31/01/2025 14:32:24</t>
  </si>
  <si>
    <t>Paula Caroline Morais Duarte - 19/02/2025 08:25:20</t>
  </si>
  <si>
    <t>Paula Caroline Morais Duarte - 19/02/2025 08:25:21</t>
  </si>
  <si>
    <t>Paula Caroline Morais Duarte - 19/02/2025 08:25:26</t>
  </si>
  <si>
    <t>Paula Caroline Morais Duarte - 19/02/2025 08:25:30</t>
  </si>
  <si>
    <t>Paula Caroline Morais Duarte - 19/02/2025 08:25:37</t>
  </si>
  <si>
    <t>Paula Caroline Morais Duarte - 19/02/2025 08:25:38</t>
  </si>
  <si>
    <t>Base de Dados_Images/TIT81042.Imagem do Equipamento-.181753.jpg</t>
  </si>
  <si>
    <t>Weslley Ferreira Cooper - 31/01/2025 14:32:10</t>
  </si>
  <si>
    <t>TIT81043</t>
  </si>
  <si>
    <t>Temperatura Mancal Baixa Loa</t>
  </si>
  <si>
    <t>Weslley Ferreira Cooper - 31/01/2025 14:31:33</t>
  </si>
  <si>
    <t>Weslley Ferreira Cooper - 31/01/2025 14:31:32</t>
  </si>
  <si>
    <t>Weslley Ferreira Cooper - 31/01/2025 14:31:31</t>
  </si>
  <si>
    <t>Paula Caroline Morais Duarte - 19/02/2025 08:27:40</t>
  </si>
  <si>
    <t>Paula Caroline Morais Duarte - 19/02/2025 08:27:41</t>
  </si>
  <si>
    <t>Paula Caroline Morais Duarte - 19/02/2025 08:27:43</t>
  </si>
  <si>
    <t>Paula Caroline Morais Duarte - 19/02/2025 08:27:49</t>
  </si>
  <si>
    <t>Paula Caroline Morais Duarte - 19/02/2025 08:27:50</t>
  </si>
  <si>
    <t>Paula Caroline Morais Duarte - 19/02/2025 08:27:53</t>
  </si>
  <si>
    <t>Paula Caroline Morais Duarte - 19/02/2025 08:27:54</t>
  </si>
  <si>
    <t>Base de Dados_Images/TIT81043.Imagem do Equipamento-.181737.jpg</t>
  </si>
  <si>
    <t>Weslley Ferreira Cooper - 31/01/2025 14:31:45</t>
  </si>
  <si>
    <t>TIT81044</t>
  </si>
  <si>
    <t>Temperatura La</t>
  </si>
  <si>
    <t>Weslley Ferreira Cooper - 31/01/2025 13:22:46</t>
  </si>
  <si>
    <t>Weslley Ferreira Cooper - 31/01/2025 13:22:45</t>
  </si>
  <si>
    <t>Paula Caroline Morais Duarte - 19/02/2025 08:26:28</t>
  </si>
  <si>
    <t>Paula Caroline Morais Duarte - 19/02/2025 08:26:29</t>
  </si>
  <si>
    <t>Paula Caroline Morais Duarte - 19/02/2025 08:26:30</t>
  </si>
  <si>
    <t>Paula Caroline Morais Duarte - 19/02/2025 08:26:34</t>
  </si>
  <si>
    <t>Paula Caroline Morais Duarte - 19/02/2025 08:26:35</t>
  </si>
  <si>
    <t>Paula Caroline Morais Duarte - 19/02/2025 08:26:39</t>
  </si>
  <si>
    <t>Paula Caroline Morais Duarte - 19/02/2025 08:26:40</t>
  </si>
  <si>
    <t>Base de Dados_Images/TIT81044.Imagem do Equipamento-.165744.jpg</t>
  </si>
  <si>
    <t>Weslley Ferreira Cooper - 31/01/2025 13:22:40</t>
  </si>
  <si>
    <t>TIT81045</t>
  </si>
  <si>
    <t>Temperatura Loa</t>
  </si>
  <si>
    <t>Weslley Ferreira Cooper - 31/01/2025 13:23:27</t>
  </si>
  <si>
    <t>Weslley Ferreira Cooper - 31/01/2025 13:23:26</t>
  </si>
  <si>
    <t>Weslley Ferreira Cooper - 31/01/2025 13:23:25</t>
  </si>
  <si>
    <t>Paula Caroline Morais Duarte - 19/02/2025 08:26:52</t>
  </si>
  <si>
    <t>Paula Caroline Morais Duarte - 19/02/2025 08:26:53</t>
  </si>
  <si>
    <t>Paula Caroline Morais Duarte - 19/02/2025 08:26:54</t>
  </si>
  <si>
    <t>Paula Caroline Morais Duarte - 19/02/2025 08:26:58</t>
  </si>
  <si>
    <t>Paula Caroline Morais Duarte - 19/02/2025 08:26:59</t>
  </si>
  <si>
    <t>Paula Caroline Morais Duarte - 19/02/2025 08:27:02</t>
  </si>
  <si>
    <t>Paula Caroline Morais Duarte - 19/02/2025 08:27:03</t>
  </si>
  <si>
    <t>Base de Dados_Images/TIT81045.Imagem do Equipamento-.165805.jpg</t>
  </si>
  <si>
    <t>Weslley Ferreira Cooper - 31/01/2025 13:23:17</t>
  </si>
  <si>
    <t>TIT81046</t>
  </si>
  <si>
    <t>Temperatura Oleo Lubrificação</t>
  </si>
  <si>
    <t>Weslley Ferreira Cooper - 31/01/2025 13:21:12</t>
  </si>
  <si>
    <t>Weslley Ferreira Cooper - 31/01/2025 13:21:11</t>
  </si>
  <si>
    <t>Weslley Ferreira Cooper - 31/01/2025 13:21:10</t>
  </si>
  <si>
    <t>Paula Caroline Morais Duarte - 19/02/2025 08:28:08</t>
  </si>
  <si>
    <t>Paula Caroline Morais Duarte - 19/02/2025 08:28:09</t>
  </si>
  <si>
    <t>Paula Caroline Morais Duarte - 19/02/2025 08:28:10</t>
  </si>
  <si>
    <t>Paula Caroline Morais Duarte - 19/02/2025 08:28:14</t>
  </si>
  <si>
    <t>Paula Caroline Morais Duarte - 19/02/2025 08:28:15</t>
  </si>
  <si>
    <t>Paula Caroline Morais Duarte - 19/02/2025 08:28:18</t>
  </si>
  <si>
    <t>Paula Caroline Morais Duarte - 19/02/2025 08:28:19</t>
  </si>
  <si>
    <t>Paula Caroline Morais Duarte - 01/31/2025 11:03:37</t>
  </si>
  <si>
    <t>TIT81047</t>
  </si>
  <si>
    <t>Temperatura Ccm Da Caldeira</t>
  </si>
  <si>
    <t>Paula Caroline Morais Duarte - 29/01/2025 09:37:06</t>
  </si>
  <si>
    <t>Paula Caroline Morais Duarte - 29/01/2025 09:37:08</t>
  </si>
  <si>
    <t>Paula Caroline Morais Duarte - 29/01/2025 09:37:10</t>
  </si>
  <si>
    <t>Paula Caroline Morais Duarte - 29/01/2025 09:37:12</t>
  </si>
  <si>
    <t>Paula Caroline Morais Duarte - 30/01/2025 10:39:47</t>
  </si>
  <si>
    <t>Paula Caroline Morais Duarte - 30/01/2025 10:39:48</t>
  </si>
  <si>
    <t>Paula Caroline Morais Duarte - 30/01/2025 10:39:49</t>
  </si>
  <si>
    <t>Paula Caroline Morais Duarte - 20/02/2025 12:40:24</t>
  </si>
  <si>
    <t>Paula Caroline Morais Duarte - 20/02/2025 12:40:25</t>
  </si>
  <si>
    <t>Paula Caroline Morais Duarte - 20/02/2025 12:40:29</t>
  </si>
  <si>
    <t>Paula Caroline Morais Duarte - 20/02/2025 12:40:30</t>
  </si>
  <si>
    <t>Base de Dados_Images/TIT81047.Imagem do Equipamento-.132125.jpg</t>
  </si>
  <si>
    <t>Paula Caroline Morais Duarte - 29/01/2025 09:37:00</t>
  </si>
  <si>
    <t>TIT81048</t>
  </si>
  <si>
    <t>Temperatura da Chaminé</t>
  </si>
  <si>
    <t>Weslley Ferreira Cooper - 05/02/2025 16:27:38</t>
  </si>
  <si>
    <t>Weslley Ferreira Cooper - 05/02/2025 16:27:37</t>
  </si>
  <si>
    <t>Weslley Ferreira Cooper - 05/02/2025 16:27:36</t>
  </si>
  <si>
    <t>Weslley Ferreira Cooper - 05/02/2025 16:27:34</t>
  </si>
  <si>
    <t>Weslley Ferreira Cooper - 05/02/2025 16:27:33</t>
  </si>
  <si>
    <t>Weslley Ferreira Cooper - 05/02/2025 16:27:32</t>
  </si>
  <si>
    <t>Paula Caroline Morais Duarte - 18/02/2025 09:28:55</t>
  </si>
  <si>
    <t>Paula Caroline Morais Duarte - 18/02/2025 09:28:56</t>
  </si>
  <si>
    <t>Paula Caroline Morais Duarte - 18/02/2025 09:28:57</t>
  </si>
  <si>
    <t>Paula Caroline Morais Duarte - 18/02/2025 09:29:06</t>
  </si>
  <si>
    <t>Paula Caroline Morais Duarte - 18/02/2025 09:29:21</t>
  </si>
  <si>
    <t>Paula Caroline Morais Duarte - 18/02/2025 09:29:08</t>
  </si>
  <si>
    <t>Paula Caroline Morais Duarte - 18/02/2025 09:29:09</t>
  </si>
  <si>
    <t>Paula Caroline Morais Duarte - 18/02/2025 09:29:28</t>
  </si>
  <si>
    <t>Paula Caroline Morais Duarte - 18/02/2025 09:29:29</t>
  </si>
  <si>
    <t>Paula Caroline Morais Duarte - 18/02/2025 09:29:30</t>
  </si>
  <si>
    <t>Weslley Ferreira Cooper - 02/05/2025 16:27:18</t>
  </si>
  <si>
    <t>TIT88001</t>
  </si>
  <si>
    <t>Temperatura Vapor Admissão Turbina Gerador</t>
  </si>
  <si>
    <t>Weslley Ferreira Cooper - 05/02/2025 16:38:12</t>
  </si>
  <si>
    <t>Weslley Ferreira Cooper - 05/02/2025 16:38:11</t>
  </si>
  <si>
    <t>Weslley Ferreira Cooper - 05/02/2025 16:38:10</t>
  </si>
  <si>
    <t>Hugo Luis Leonel - 26/02/2025 12:15:34</t>
  </si>
  <si>
    <t>Hugo Luis Leonel - 26/02/2025 12:15:36</t>
  </si>
  <si>
    <t>Rafael Roldão Rodrigues - 03/03/2025 11:05:15</t>
  </si>
  <si>
    <t>Rafael Roldão Rodrigues - 03/03/2025 11:05:16</t>
  </si>
  <si>
    <t>Paula Caroline Morais Duarte - 03/03/2025 16:11:28</t>
  </si>
  <si>
    <t>Paula Caroline Morais Duarte - 03/03/2025 16:11:29</t>
  </si>
  <si>
    <t>Weslley Ferreira Cooper - 02/05/2025 16:37:57</t>
  </si>
  <si>
    <t>TIT88003</t>
  </si>
  <si>
    <t>Temperatura Vapor Escape Turbina Gerador</t>
  </si>
  <si>
    <t>Weslley Ferreira Cooper - 05/02/2025 16:38:29</t>
  </si>
  <si>
    <t>Weslley Ferreira Cooper - 05/02/2025 16:38:28</t>
  </si>
  <si>
    <t>Weslley Ferreira Cooper - 05/02/2025 16:38:27</t>
  </si>
  <si>
    <t>Hugo Luis Leonel - 26/02/2025 12:15:42</t>
  </si>
  <si>
    <t>Hugo Luis Leonel - 26/02/2025 12:15:43</t>
  </si>
  <si>
    <t>Hugo Luis Leonel - 26/02/2025 12:15:44</t>
  </si>
  <si>
    <t>Rafael Roldão Rodrigues - 03/03/2025 11:05:23</t>
  </si>
  <si>
    <t>Rafael Roldão Rodrigues - 03/03/2025 11:05:24</t>
  </si>
  <si>
    <t>Paula Caroline Morais Duarte - 03/03/2025 16:11:36</t>
  </si>
  <si>
    <t>Paula Caroline Morais Duarte - 03/03/2025 16:11:37</t>
  </si>
  <si>
    <t>Weslley Ferreira Cooper - 02/05/2025 16:38:20</t>
  </si>
  <si>
    <t>TIT88007</t>
  </si>
  <si>
    <t>Temperatura Óleo Saída Do Trocador</t>
  </si>
  <si>
    <t>Weslley Ferreira Cooper - 05/02/2025 16:39:57</t>
  </si>
  <si>
    <t>Weslley Ferreira Cooper - 05/02/2025 16:39:56</t>
  </si>
  <si>
    <t>Weslley Ferreira Cooper - 05/02/2025 16:39:55</t>
  </si>
  <si>
    <t>Hugo Luis Leonel - 26/02/2025 12:15:50</t>
  </si>
  <si>
    <t>Hugo Luis Leonel - 26/02/2025 12:15:52</t>
  </si>
  <si>
    <t>Rafael Roldão Rodrigues - 03/03/2025 11:05:31</t>
  </si>
  <si>
    <t>Rafael Roldão Rodrigues - 03/03/2025 11:05:32</t>
  </si>
  <si>
    <t>Rafael Roldão Rodrigues - 03/03/2025 16:13:08</t>
  </si>
  <si>
    <t>Rafael Roldão Rodrigues - 03/03/2025 16:13:09</t>
  </si>
  <si>
    <t>Weslley Ferreira Cooper - 02/05/2025 16:39:51</t>
  </si>
  <si>
    <t>TIT88008</t>
  </si>
  <si>
    <t>Temperatura Mancal Turbina Axial Externo</t>
  </si>
  <si>
    <t>Weslley Ferreira Cooper - 05/02/2025 16:39:44</t>
  </si>
  <si>
    <t>Weslley Ferreira Cooper - 05/02/2025 16:39:45</t>
  </si>
  <si>
    <t>Weslley Ferreira Cooper - 05/02/2025 16:39:42</t>
  </si>
  <si>
    <t>Hugo Luis Leonel - 26/02/2025 12:15:58</t>
  </si>
  <si>
    <t>Hugo Luis Leonel - 26/02/2025 12:15:59</t>
  </si>
  <si>
    <t>Hugo Luis Leonel - 26/02/2025 12:16:00</t>
  </si>
  <si>
    <t>Rafael Roldão Rodrigues - 03/03/2025 11:05:40</t>
  </si>
  <si>
    <t>Rafael Roldão Rodrigues - 03/03/2025 11:05:41</t>
  </si>
  <si>
    <t>Rafael Roldão Rodrigues - 03/03/2025 16:13:15</t>
  </si>
  <si>
    <t>Rafael Roldão Rodrigues - 03/03/2025 16:13:16</t>
  </si>
  <si>
    <t>Weslley Ferreira Cooper - 02/05/2025 16:39:37</t>
  </si>
  <si>
    <t>TIT88009</t>
  </si>
  <si>
    <t>Temperatura Mancal Turbina Axial Interno</t>
  </si>
  <si>
    <t>Weslley Ferreira Cooper - 05/02/2025 16:39:33</t>
  </si>
  <si>
    <t>Weslley Ferreira Cooper - 05/02/2025 16:39:32</t>
  </si>
  <si>
    <t>Weslley Ferreira Cooper - 05/02/2025 16:39:31</t>
  </si>
  <si>
    <t>Rafael Roldão Rodrigues - 03/03/2025 11:06:04</t>
  </si>
  <si>
    <t>Rafael Roldão Rodrigues - 03/03/2025 11:06:05</t>
  </si>
  <si>
    <t>Rafael Roldão Rodrigues - 03/03/2025 11:06:06</t>
  </si>
  <si>
    <t>Rafael Roldão Rodrigues - 03/03/2025 11:06:11</t>
  </si>
  <si>
    <t>Rafael Roldão Rodrigues - 03/03/2025 11:06:12</t>
  </si>
  <si>
    <t>Rafael Roldão Rodrigues - 03/03/2025 16:13:22</t>
  </si>
  <si>
    <t>Rafael Roldão Rodrigues - 03/03/2025 16:13:23</t>
  </si>
  <si>
    <t>Weslley Ferreira Cooper - 02/05/2025 16:39:27</t>
  </si>
  <si>
    <t>TIT88010</t>
  </si>
  <si>
    <t>Temperatura Mancal Turbina Radial L.A.</t>
  </si>
  <si>
    <t>Weslley Ferreira Cooper - 05/02/2025 16:39:21</t>
  </si>
  <si>
    <t>Weslley Ferreira Cooper - 05/02/2025 16:39:20</t>
  </si>
  <si>
    <t>Weslley Ferreira Cooper - 05/02/2025 16:39:19</t>
  </si>
  <si>
    <t>Hugo Luis Leonel - 26/02/2025 12:16:17</t>
  </si>
  <si>
    <t>Hugo Luis Leonel - 26/02/2025 12:16:18</t>
  </si>
  <si>
    <t>Hugo Luis Leonel - 26/02/2025 12:16:19</t>
  </si>
  <si>
    <t>Rafael Roldão Rodrigues - 03/03/2025 11:06:24</t>
  </si>
  <si>
    <t>Rafael Roldão Rodrigues - 03/03/2025 11:06:25</t>
  </si>
  <si>
    <t>Rafael Roldão Rodrigues - 03/03/2025 16:13:29</t>
  </si>
  <si>
    <t>Rafael Roldão Rodrigues - 03/03/2025 16:13:30</t>
  </si>
  <si>
    <t>Weslley Ferreira Cooper - 02/05/2025 16:39:15</t>
  </si>
  <si>
    <t>TIT88011</t>
  </si>
  <si>
    <t>Temperatura Mancal Turbina Radial L.O.A.</t>
  </si>
  <si>
    <t>Weslley Ferreira Cooper - 05/02/2025 16:38:59</t>
  </si>
  <si>
    <t>Weslley Ferreira Cooper - 05/02/2025 16:38:58</t>
  </si>
  <si>
    <t>Hugo Luis Leonel - 26/02/2025 12:16:30</t>
  </si>
  <si>
    <t>Hugo Luis Leonel - 26/02/2025 12:16:31</t>
  </si>
  <si>
    <t>Hugo Luis Leonel - 26/02/2025 12:16:32</t>
  </si>
  <si>
    <t>Rafael Roldão Rodrigues - 03/03/2025 11:06:32</t>
  </si>
  <si>
    <t>Rafael Roldão Rodrigues - 03/03/2025 11:06:33</t>
  </si>
  <si>
    <t>Rafael Roldão Rodrigues - 03/03/2025 16:13:36</t>
  </si>
  <si>
    <t>Rafael Roldão Rodrigues - 03/03/2025 16:13:37</t>
  </si>
  <si>
    <t>Weslley Ferreira Cooper - 02/05/2025 16:38:52</t>
  </si>
  <si>
    <t>Redutor</t>
  </si>
  <si>
    <t>TIT88012</t>
  </si>
  <si>
    <t>Temperatura Mancal Redutor Radial Alto L.A.</t>
  </si>
  <si>
    <t>Weslley Ferreira Cooper - 05/02/2025 16:42:15</t>
  </si>
  <si>
    <t>Weslley Ferreira Cooper - 05/02/2025 16:42:14</t>
  </si>
  <si>
    <t>Weslley Ferreira Cooper - 05/02/2025 16:42:13</t>
  </si>
  <si>
    <t>Hugo Luis Leonel - 26/02/2025 12:11:59</t>
  </si>
  <si>
    <t>Matheus César Azevedo Neto - 26/02/2025 12:21:13</t>
  </si>
  <si>
    <t>Hugo Luis Leonel - 26/02/2025 12:12:33</t>
  </si>
  <si>
    <t>Rafael Roldão Rodrigues - 03/03/2025 11:03:31</t>
  </si>
  <si>
    <t>Rafael Roldão Rodrigues - 03/03/2025 11:03:32</t>
  </si>
  <si>
    <t>Paula Caroline Morais Duarte - 03/03/2025 16:10:06</t>
  </si>
  <si>
    <t>Paula Caroline Morais Duarte - 03/03/2025 16:10:07</t>
  </si>
  <si>
    <t>Weslley Ferreira Cooper - 02/05/2025 16:42:07</t>
  </si>
  <si>
    <t>TIT88013</t>
  </si>
  <si>
    <t>Temperatura Mancal Redutor Radial Alto L.O.A.</t>
  </si>
  <si>
    <t>Weslley Ferreira Cooper - 05/02/2025 16:41:59</t>
  </si>
  <si>
    <t>Weslley Ferreira Cooper - 05/02/2025 16:41:58</t>
  </si>
  <si>
    <t>Weslley Ferreira Cooper - 05/02/2025 16:41:57</t>
  </si>
  <si>
    <t>Hugo Luis Leonel - 26/02/2025 12:12:43</t>
  </si>
  <si>
    <t>Hugo Luis Leonel - 26/02/2025 12:13:04</t>
  </si>
  <si>
    <t>Hugo Luis Leonel - 26/02/2025 12:13:05</t>
  </si>
  <si>
    <t>Rafael Roldão Rodrigues - 03/03/2025 11:03:44</t>
  </si>
  <si>
    <t>Rafael Roldão Rodrigues - 03/03/2025 11:03:45</t>
  </si>
  <si>
    <t>Paula Caroline Morais Duarte - 03/03/2025 16:10:13</t>
  </si>
  <si>
    <t>Paula Caroline Morais Duarte - 03/03/2025 16:10:14</t>
  </si>
  <si>
    <t>Weslley Ferreira Cooper - 02/05/2025 16:41:52</t>
  </si>
  <si>
    <t>TIT88014</t>
  </si>
  <si>
    <t>Temperatura Mancal Redutor Radial Baixo L.A.</t>
  </si>
  <si>
    <t>Weslley Ferreira Cooper - 05/02/2025 16:41:46</t>
  </si>
  <si>
    <t>Weslley Ferreira Cooper - 05/02/2025 16:41:45</t>
  </si>
  <si>
    <t>Weslley Ferreira Cooper - 05/02/2025 16:41:44</t>
  </si>
  <si>
    <t>Hugo Luis Leonel - 26/02/2025 12:13:13</t>
  </si>
  <si>
    <t>Hugo Luis Leonel - 26/02/2025 12:13:15</t>
  </si>
  <si>
    <t>Rafael Roldão Rodrigues - 03/03/2025 11:03:52</t>
  </si>
  <si>
    <t>Rafael Roldão Rodrigues - 03/03/2025 11:03:53</t>
  </si>
  <si>
    <t>Paula Caroline Morais Duarte - 03/03/2025 16:10:20</t>
  </si>
  <si>
    <t>Paula Caroline Morais Duarte - 03/03/2025 16:10:21</t>
  </si>
  <si>
    <t>Weslley Ferreira Cooper - 02/05/2025 16:41:41</t>
  </si>
  <si>
    <t>TIT88016</t>
  </si>
  <si>
    <t>Temperatura Mancal Gerador Dianteiro</t>
  </si>
  <si>
    <t>Weslley Ferreira Cooper - 29/01/2025 15:07:07</t>
  </si>
  <si>
    <t>Weslley Ferreira Cooper - 29/01/2025 15:07:06</t>
  </si>
  <si>
    <t>Weslley Ferreira Cooper - 29/01/2025 15:07:05</t>
  </si>
  <si>
    <t>Weslley Ferreira Cooper - 29/01/2025 15:07:04</t>
  </si>
  <si>
    <t>Hugo Luis Leonel - 26/02/2025 12:09:55</t>
  </si>
  <si>
    <t>Hugo Luis Leonel - 26/02/2025 12:08:50</t>
  </si>
  <si>
    <t>Hugo Luis Leonel - 26/02/2025 12:09:57</t>
  </si>
  <si>
    <t>Rafael Roldão Rodrigues - 03/03/2025 11:01:45</t>
  </si>
  <si>
    <t>Rafael Roldão Rodrigues - 03/03/2025 11:01:46</t>
  </si>
  <si>
    <t>Paula Caroline Morais Duarte - 03/03/2025 16:08:45</t>
  </si>
  <si>
    <t>Paula Caroline Morais Duarte - 03/03/2025 16:08:46</t>
  </si>
  <si>
    <t>Base de Dados_Images/TIT88016.Imagem do Equipamento-.182010.jpg</t>
  </si>
  <si>
    <t>Weslley Ferreira Cooper - 29/01/2025 15:06:55</t>
  </si>
  <si>
    <t>TIT88017</t>
  </si>
  <si>
    <t>Temperatura Mancal Gerador Traseiro</t>
  </si>
  <si>
    <t>Weslley Ferreira Cooper - 29/01/2025 15:07:52</t>
  </si>
  <si>
    <t>Weslley Ferreira Cooper - 29/01/2025 15:07:50</t>
  </si>
  <si>
    <t>Weslley Ferreira Cooper - 29/01/2025 15:07:49</t>
  </si>
  <si>
    <t>Weslley Ferreira Cooper - 29/01/2025 15:07:47</t>
  </si>
  <si>
    <t>Hugo Luis Leonel - 26/02/2025 12:09:45</t>
  </si>
  <si>
    <t>Hugo Luis Leonel - 26/02/2025 12:08:59</t>
  </si>
  <si>
    <t>Hugo Luis Leonel - 26/02/2025 12:09:47</t>
  </si>
  <si>
    <t>Rafael Roldão Rodrigues - 03/03/2025 11:02:07</t>
  </si>
  <si>
    <t>Rafael Roldão Rodrigues - 03/03/2025 11:02:08</t>
  </si>
  <si>
    <t>Paula Caroline Morais Duarte - 03/03/2025 16:08:53</t>
  </si>
  <si>
    <t>Paula Caroline Morais Duarte - 03/03/2025 16:08:54</t>
  </si>
  <si>
    <t>Base de Dados_Images/TIT88017.Imagem do Equipamento-.182036.jpg</t>
  </si>
  <si>
    <t>Weslley Ferreira Cooper - 29/01/2025 15:07:40</t>
  </si>
  <si>
    <t>TIT88018</t>
  </si>
  <si>
    <t>Temperatura Fase R Do Gerador</t>
  </si>
  <si>
    <t>Weslley Ferreira Cooper - 29/01/2025 15:09:04</t>
  </si>
  <si>
    <t>Weslley Ferreira Cooper - 29/01/2025 15:09:03</t>
  </si>
  <si>
    <t>Weslley Ferreira Cooper - 29/01/2025 15:09:02</t>
  </si>
  <si>
    <t>Weslley Ferreira Cooper - 29/01/2025 15:09:01</t>
  </si>
  <si>
    <t>Hugo Luis Leonel - 26/02/2025 12:10:05</t>
  </si>
  <si>
    <t>Hugo Luis Leonel - 26/02/2025 12:09:10</t>
  </si>
  <si>
    <t>Hugo Luis Leonel - 26/02/2025 12:09:34</t>
  </si>
  <si>
    <t>Rafael Roldão Rodrigues - 03/03/2025 11:02:27</t>
  </si>
  <si>
    <t>Rafael Roldão Rodrigues - 03/03/2025 11:02:28</t>
  </si>
  <si>
    <t>Paula Caroline Morais Duarte - 03/03/2025 16:09:01</t>
  </si>
  <si>
    <t>Paula Caroline Morais Duarte - 03/03/2025 16:09:02</t>
  </si>
  <si>
    <t>Base de Dados_Images/TIT88018.Imagem do Equipamento-.182102.jpg</t>
  </si>
  <si>
    <t>Weslley Ferreira Cooper - 29/01/2025 15:08:50</t>
  </si>
  <si>
    <t>TIT88019</t>
  </si>
  <si>
    <t>Temperatura Fase S Do Gerador</t>
  </si>
  <si>
    <t>Weslley Ferreira Cooper - 29/01/2025 15:09:26</t>
  </si>
  <si>
    <t>Weslley Ferreira Cooper - 29/01/2025 15:09:25</t>
  </si>
  <si>
    <t>Weslley Ferreira Cooper - 29/01/2025 15:09:24</t>
  </si>
  <si>
    <t>Weslley Ferreira Cooper - 29/01/2025 15:09:23</t>
  </si>
  <si>
    <t>Hugo Luis Leonel - 26/02/2025 12:10:15</t>
  </si>
  <si>
    <t>Hugo Luis Leonel - 26/02/2025 12:09:20</t>
  </si>
  <si>
    <t>Hugo Luis Leonel - 26/02/2025 12:09:26</t>
  </si>
  <si>
    <t>Rafael Roldão Rodrigues - 03/03/2025 11:02:36</t>
  </si>
  <si>
    <t>Rafael Roldão Rodrigues - 03/03/2025 11:02:37</t>
  </si>
  <si>
    <t>Paula Caroline Morais Duarte - 03/03/2025 16:09:08</t>
  </si>
  <si>
    <t>Paula Caroline Morais Duarte - 03/03/2025 16:09:09</t>
  </si>
  <si>
    <t>Base de Dados_Images/TIT88019.Imagem do Equipamento-.182126.jpg</t>
  </si>
  <si>
    <t>Weslley Ferreira Cooper - 29/01/2025 15:09:17</t>
  </si>
  <si>
    <t>TIT88020</t>
  </si>
  <si>
    <t>Temperatura Fase T Do Gerador</t>
  </si>
  <si>
    <t>Weslley Ferreira Cooper - 29/01/2025 15:09:59</t>
  </si>
  <si>
    <t>Weslley Ferreira Cooper - 29/01/2025 15:09:58</t>
  </si>
  <si>
    <t>Weslley Ferreira Cooper - 29/01/2025 15:09:57</t>
  </si>
  <si>
    <t>Weslley Ferreira Cooper - 29/01/2025 15:09:55</t>
  </si>
  <si>
    <t>Hugo Luis Leonel - 26/02/2025 12:10:25</t>
  </si>
  <si>
    <t>Hugo Luis Leonel - 26/02/2025 12:10:26</t>
  </si>
  <si>
    <t>Hugo Luis Leonel - 26/02/2025 12:10:28</t>
  </si>
  <si>
    <t>Rafael Roldão Rodrigues - 03/03/2025 11:02:45</t>
  </si>
  <si>
    <t>Paula Caroline Morais Duarte - 03/03/2025 16:09:16</t>
  </si>
  <si>
    <t>Paula Caroline Morais Duarte - 03/03/2025 16:09:17</t>
  </si>
  <si>
    <t>Base de Dados_Images/TIT88020.Imagem do Equipamento-.182150.jpg</t>
  </si>
  <si>
    <t>Weslley Ferreira Cooper - 29/01/2025 15:09:46</t>
  </si>
  <si>
    <t>Torre</t>
  </si>
  <si>
    <t>TR9201</t>
  </si>
  <si>
    <t>Torre De Resfriamento Da Fabrica Nº 01</t>
  </si>
  <si>
    <t>Paula Caroline Morais Duarte - 30/01/2025 09:13:44</t>
  </si>
  <si>
    <t>Paula Caroline Morais Duarte - 30/01/2025 09:13:45</t>
  </si>
  <si>
    <t>Paula Caroline Morais Duarte - 30/01/2025 09:13:46</t>
  </si>
  <si>
    <t>Paula Caroline Morais Duarte - 30/01/2025 09:13:48</t>
  </si>
  <si>
    <t>Paula Caroline Morais Duarte - 30/01/2025 09:13:49</t>
  </si>
  <si>
    <t>Paula Caroline Morais Duarte - 30/01/2025 09:13:50</t>
  </si>
  <si>
    <t>Paula Caroline Morais Duarte - 30/01/2025 09:13:52</t>
  </si>
  <si>
    <t>Paula Caroline Morais Duarte - 30/01/2025 09:13:54</t>
  </si>
  <si>
    <t>Paula Caroline Morais Duarte - 30/01/2025 09:13:55</t>
  </si>
  <si>
    <t>Paula Caroline Morais Duarte - 30/01/2025 09:13:57</t>
  </si>
  <si>
    <t>Alisson Airton Sobrinho - 12/03/2025 07:43:51</t>
  </si>
  <si>
    <t>Alisson Airton Sobrinho - 12/03/2025 07:43:55</t>
  </si>
  <si>
    <t>Alisson Airton Sobrinho - 12/03/2025 07:43:56</t>
  </si>
  <si>
    <t>Alisson Airton Sobrinho - 12/03/2025 07:43:59</t>
  </si>
  <si>
    <t>Alisson Airton Sobrinho - 12/03/2025 07:44:00</t>
  </si>
  <si>
    <t>Base de Dados_Images/TR9201.Imagem do Equipamento-.124445.jpg</t>
  </si>
  <si>
    <t>Paula Caroline Morais Duarte - 30/01/2025 09:13:40</t>
  </si>
  <si>
    <t>TR9202</t>
  </si>
  <si>
    <t>Torre De Resfriamento Da Fabrica Nº 02</t>
  </si>
  <si>
    <t>Paula Caroline Morais Duarte - 30/01/2025 09:13:09</t>
  </si>
  <si>
    <t>Paula Caroline Morais Duarte - 30/01/2025 09:13:10</t>
  </si>
  <si>
    <t>Paula Caroline Morais Duarte - 30/01/2025 09:13:11</t>
  </si>
  <si>
    <t>Paula Caroline Morais Duarte - 30/01/2025 09:13:13</t>
  </si>
  <si>
    <t>Paula Caroline Morais Duarte - 30/01/2025 09:13:15</t>
  </si>
  <si>
    <t>Paula Caroline Morais Duarte - 30/01/2025 09:13:16</t>
  </si>
  <si>
    <t>Paula Caroline Morais Duarte - 30/01/2025 09:13:18</t>
  </si>
  <si>
    <t>Paula Caroline Morais Duarte - 30/01/2025 09:13:19</t>
  </si>
  <si>
    <t>Paula Caroline Morais Duarte - 30/01/2025 09:13:21</t>
  </si>
  <si>
    <t>Paula Caroline Morais Duarte - 30/01/2025 09:13:22</t>
  </si>
  <si>
    <t>Alisson Airton Sobrinho - 07/03/2025 09:16:39</t>
  </si>
  <si>
    <t>Alisson Airton Sobrinho - 07/03/2025 09:16:43</t>
  </si>
  <si>
    <t>Alisson Airton Sobrinho - 07/03/2025 09:16:44</t>
  </si>
  <si>
    <t>Alisson Airton Sobrinho - 07/03/2025 09:16:51</t>
  </si>
  <si>
    <t>Base de Dados_Images/TR9202.Imagem do Equipamento-.124404.jpg</t>
  </si>
  <si>
    <t>Paula Caroline Morais Duarte - 30/01/2025 09:12:57</t>
  </si>
  <si>
    <t>TR9203</t>
  </si>
  <si>
    <t>Torre De Resfriamento Da Fabrica Nº 03</t>
  </si>
  <si>
    <t>Paula Caroline Morais Duarte - 30/01/2025 09:12:09</t>
  </si>
  <si>
    <t>Paula Caroline Morais Duarte - 30/01/2025 09:12:11</t>
  </si>
  <si>
    <t>Paula Caroline Morais Duarte - 30/01/2025 09:12:12</t>
  </si>
  <si>
    <t>Paula Caroline Morais Duarte - 30/01/2025 09:12:13</t>
  </si>
  <si>
    <t>Paula Caroline Morais Duarte - 30/01/2025 09:12:15</t>
  </si>
  <si>
    <t>Paula Caroline Morais Duarte - 30/01/2025 09:12:16</t>
  </si>
  <si>
    <t>Paula Caroline Morais Duarte - 30/01/2025 09:12:17</t>
  </si>
  <si>
    <t>Paula Caroline Morais Duarte - 30/01/2025 09:12:18</t>
  </si>
  <si>
    <t>Paula Caroline Morais Duarte - 30/01/2025 09:12:21</t>
  </si>
  <si>
    <t>Paula Caroline Morais Duarte - 30/01/2025 09:12:20</t>
  </si>
  <si>
    <t>Alisson Airton Sobrinho - 07/03/2025 09:16:57</t>
  </si>
  <si>
    <t>Alisson Airton Sobrinho - 07/03/2025 09:17:03</t>
  </si>
  <si>
    <t>Alisson Airton Sobrinho - 07/03/2025 09:17:01</t>
  </si>
  <si>
    <t>Alisson Airton Sobrinho - 07/03/2025 09:17:02</t>
  </si>
  <si>
    <t>Alisson Airton Sobrinho - 07/03/2025 09:17:06</t>
  </si>
  <si>
    <t>Base de Dados_Images/TR9203.Imagem do Equipamento-.124322.jpg</t>
  </si>
  <si>
    <t>Paula Caroline Morais Duarte - 30/01/2025 09:12:05</t>
  </si>
  <si>
    <t>TR9204</t>
  </si>
  <si>
    <t>Torre De Resfriamento Mosto</t>
  </si>
  <si>
    <t>Paula Caroline Morais Duarte - 30/01/2025 08:28:52</t>
  </si>
  <si>
    <t>Paula Caroline Morais Duarte - 30/01/2025 08:28:53</t>
  </si>
  <si>
    <t>Paula Caroline Morais Duarte - 30/01/2025 08:28:54</t>
  </si>
  <si>
    <t>Paula Caroline Morais Duarte - 30/01/2025 08:28:56</t>
  </si>
  <si>
    <t>Paula Caroline Morais Duarte - 30/01/2025 08:28:57</t>
  </si>
  <si>
    <t>Paula Caroline Morais Duarte - 30/01/2025 08:29:00</t>
  </si>
  <si>
    <t>Paula Caroline Morais Duarte - 30/01/2025 08:29:01</t>
  </si>
  <si>
    <t>Paula Caroline Morais Duarte - 30/01/2025 08:29:03</t>
  </si>
  <si>
    <t>Paula Caroline Morais Duarte - 30/01/2025 08:29:04</t>
  </si>
  <si>
    <t>Paula Caroline Morais Duarte - 30/01/2025 08:29:06</t>
  </si>
  <si>
    <t>Alisson Airton Sobrinho - 05/03/2025 16:42:04</t>
  </si>
  <si>
    <t>Alisson Airton Sobrinho - 05/03/2025 16:41:20</t>
  </si>
  <si>
    <t>Alisson Airton Sobrinho - 05/03/2025 16:41:21</t>
  </si>
  <si>
    <t>Alisson Airton Sobrinho - 05/03/2025 16:41:29</t>
  </si>
  <si>
    <t>Alisson Airton Sobrinho - 06/03/2025 12:07:20</t>
  </si>
  <si>
    <t>Alisson Airton Sobrinho - 06/03/2025 12:07:21</t>
  </si>
  <si>
    <t>Base de Dados_Images/TR9204.Imagem do Equipamento-.122659.jpg</t>
  </si>
  <si>
    <t>Paula Caroline Morais Duarte - 30/01/2025 08:28:15</t>
  </si>
  <si>
    <t>TR9205</t>
  </si>
  <si>
    <t>Torre Resfriamento Fermentacao Nº 1</t>
  </si>
  <si>
    <t>Paula Caroline Morais Duarte - 30/01/2025 08:31:26</t>
  </si>
  <si>
    <t>Paula Caroline Morais Duarte - 30/01/2025 08:31:29</t>
  </si>
  <si>
    <t>Paula Caroline Morais Duarte - 30/01/2025 08:31:30</t>
  </si>
  <si>
    <t>Paula Caroline Morais Duarte - 30/01/2025 08:31:31</t>
  </si>
  <si>
    <t>Paula Caroline Morais Duarte - 30/01/2025 08:31:33</t>
  </si>
  <si>
    <t>Paula Caroline Morais Duarte - 30/01/2025 08:31:34</t>
  </si>
  <si>
    <t>Paula Caroline Morais Duarte - 30/01/2025 08:31:35</t>
  </si>
  <si>
    <t>Paula Caroline Morais Duarte - 30/01/2025 08:31:36</t>
  </si>
  <si>
    <t>Paula Caroline Morais Duarte - 30/01/2025 08:31:38</t>
  </si>
  <si>
    <t>Paula Caroline Morais Duarte - 30/01/2025 08:31:40</t>
  </si>
  <si>
    <t>Alisson Airton Sobrinho - 07/03/2025 09:01:16</t>
  </si>
  <si>
    <t>Alisson Airton Sobrinho - 07/03/2025 09:01:19</t>
  </si>
  <si>
    <t>Alisson Airton Sobrinho - 07/03/2025 09:01:20</t>
  </si>
  <si>
    <t>Alisson Airton Sobrinho - 07/03/2025 09:01:24</t>
  </si>
  <si>
    <t>Base de Dados_Images/TR9205.Imagem do Equipamento-.151705.jpg</t>
  </si>
  <si>
    <t>Paula Caroline Morais Duarte - 11/02/2025 11:50:31</t>
  </si>
  <si>
    <t>TR9206</t>
  </si>
  <si>
    <t>Torre Resfriamento Fermentacao Nº 2</t>
  </si>
  <si>
    <t>Paula Caroline Morais Duarte - 30/01/2025 08:32:31</t>
  </si>
  <si>
    <t>Alisson Airton Sobrinho - 06/03/2025 16:10:17</t>
  </si>
  <si>
    <t>Paula Caroline Morais Duarte - 30/01/2025 08:32:35</t>
  </si>
  <si>
    <t>Paula Caroline Morais Duarte - 30/01/2025 08:32:36</t>
  </si>
  <si>
    <t>Paula Caroline Morais Duarte - 30/01/2025 08:32:38</t>
  </si>
  <si>
    <t>Paula Caroline Morais Duarte - 30/01/2025 08:32:40</t>
  </si>
  <si>
    <t>Paula Caroline Morais Duarte - 30/01/2025 08:32:41</t>
  </si>
  <si>
    <t>Paula Caroline Morais Duarte - 30/01/2025 08:32:43</t>
  </si>
  <si>
    <t>Paula Caroline Morais Duarte - 30/01/2025 08:32:44</t>
  </si>
  <si>
    <t>Alisson Airton Sobrinho - 06/03/2025 16:10:23</t>
  </si>
  <si>
    <t>Alisson Airton Sobrinho - 07/03/2025 09:59:49</t>
  </si>
  <si>
    <t>Alisson Airton Sobrinho - 11/03/2025 07:18:18</t>
  </si>
  <si>
    <t>Alisson Airton Sobrinho - 11/03/2025 07:18:19</t>
  </si>
  <si>
    <t>Alisson Airton Sobrinho - 11/03/2025 07:18:20</t>
  </si>
  <si>
    <t>Alisson Airton Sobrinho - 11/03/2025 07:18:24</t>
  </si>
  <si>
    <t>Alisson Airton Sobrinho - 11/03/2025 07:18:25</t>
  </si>
  <si>
    <t>Base de Dados_Images/TR9206.Imagem do Equipamento-.151645.jpg</t>
  </si>
  <si>
    <t>Paula Caroline Morais Duarte - 11/02/2025 11:49:38</t>
  </si>
  <si>
    <t>TR9207</t>
  </si>
  <si>
    <t>Torre Resfriamento Fermentacao Nº 3</t>
  </si>
  <si>
    <t>Paula Caroline Morais Duarte - 30/01/2025 08:33:14</t>
  </si>
  <si>
    <t>Paula Caroline Morais Duarte - 30/01/2025 08:33:15</t>
  </si>
  <si>
    <t>Paula Caroline Morais Duarte - 30/01/2025 08:33:16</t>
  </si>
  <si>
    <t>Paula Caroline Morais Duarte - 30/01/2025 08:33:19</t>
  </si>
  <si>
    <t>Paula Caroline Morais Duarte - 30/01/2025 08:33:20</t>
  </si>
  <si>
    <t>Paula Caroline Morais Duarte - 30/01/2025 08:33:21</t>
  </si>
  <si>
    <t>Paula Caroline Morais Duarte - 30/01/2025 08:33:24</t>
  </si>
  <si>
    <t>Paula Caroline Morais Duarte - 30/01/2025 08:33:26</t>
  </si>
  <si>
    <t>Paula Caroline Morais Duarte - 30/01/2025 08:33:28</t>
  </si>
  <si>
    <t>Paula Caroline Morais Duarte - 30/01/2025 08:33:29</t>
  </si>
  <si>
    <t>Alisson Airton Sobrinho - 07/03/2025 09:01:35</t>
  </si>
  <si>
    <t>Alisson Airton Sobrinho - 07/03/2025 09:01:39</t>
  </si>
  <si>
    <t>Alisson Airton Sobrinho - 07/03/2025 09:01:43</t>
  </si>
  <si>
    <t>Alisson Airton Sobrinho - 07/03/2025 09:01:44</t>
  </si>
  <si>
    <t>Base de Dados_Images/TR9207.Imagem do Equipamento-.151656.jpg</t>
  </si>
  <si>
    <t>Paula Caroline Morais Duarte - 11/02/2025 11:49:58</t>
  </si>
  <si>
    <t>TR9208</t>
  </si>
  <si>
    <t>Torre Resfriamento Da Fabrica Nº 04</t>
  </si>
  <si>
    <t>Paula Caroline Morais Duarte - 30/01/2025 09:10:54</t>
  </si>
  <si>
    <t>Paula Caroline Morais Duarte - 30/01/2025 09:10:55</t>
  </si>
  <si>
    <t>Paula Caroline Morais Duarte - 30/01/2025 09:10:57</t>
  </si>
  <si>
    <t>Paula Caroline Morais Duarte - 30/01/2025 09:10:58</t>
  </si>
  <si>
    <t>Paula Caroline Morais Duarte - 30/01/2025 09:11:01</t>
  </si>
  <si>
    <t>Paula Caroline Morais Duarte - 30/01/2025 09:11:03</t>
  </si>
  <si>
    <t>Paula Caroline Morais Duarte - 30/01/2025 09:11:05</t>
  </si>
  <si>
    <t>Paula Caroline Morais Duarte - 30/01/2025 09:11:06</t>
  </si>
  <si>
    <t>Paula Caroline Morais Duarte - 30/01/2025 09:11:07</t>
  </si>
  <si>
    <t>Paula Caroline Morais Duarte - 30/01/2025 09:11:09</t>
  </si>
  <si>
    <t>Alisson Airton Sobrinho - 07/03/2025 09:17:17</t>
  </si>
  <si>
    <t>Alisson Airton Sobrinho - 07/03/2025 09:17:20</t>
  </si>
  <si>
    <t>Alisson Airton Sobrinho - 07/03/2025 09:17:22</t>
  </si>
  <si>
    <t>Alisson Airton Sobrinho - 07/03/2025 09:17:26</t>
  </si>
  <si>
    <t>Base de Dados_Images/TR9208.Imagem do Equipamento-.124237.jpg</t>
  </si>
  <si>
    <t>Paula Caroline Morais Duarte - 30/01/2025 09:10:50</t>
  </si>
  <si>
    <t>TR9209</t>
  </si>
  <si>
    <t>Torre De Resfriamento De Agua Alpina</t>
  </si>
  <si>
    <t>Paula Caroline Morais Duarte - 30/01/2025 08:20:29</t>
  </si>
  <si>
    <t>Paula Caroline Morais Duarte - 30/01/2025 08:20:30</t>
  </si>
  <si>
    <t>Paula Caroline Morais Duarte - 30/01/2025 08:20:52</t>
  </si>
  <si>
    <t>Paula Caroline Morais Duarte - 30/01/2025 08:20:54</t>
  </si>
  <si>
    <t>Paula Caroline Morais Duarte - 30/01/2025 08:20:56</t>
  </si>
  <si>
    <t>Paula Caroline Morais Duarte - 30/01/2025 08:20:57</t>
  </si>
  <si>
    <t>Paula Caroline Morais Duarte - 30/01/2025 08:20:58</t>
  </si>
  <si>
    <t>Paula Caroline Morais Duarte - 30/01/2025 08:21:00</t>
  </si>
  <si>
    <t>Paula Caroline Morais Duarte - 30/01/2025 08:21:09</t>
  </si>
  <si>
    <t>Paula Caroline Morais Duarte - 30/01/2025 08:21:25</t>
  </si>
  <si>
    <t>Paula Caroline Morais Duarte - 03/03/2025 08:42:25</t>
  </si>
  <si>
    <t>Paula Caroline Morais Duarte - 03/03/2025 08:42:30</t>
  </si>
  <si>
    <t>Paula Caroline Morais Duarte - 03/03/2025 08:42:32</t>
  </si>
  <si>
    <t>Matheus César Azevedo Neto - 03/03/2025 11:11:51</t>
  </si>
  <si>
    <t>Alisson Airton Sobrinho - 07/03/2025 09:11:33</t>
  </si>
  <si>
    <t>Alisson Airton Sobrinho - 07/03/2025 09:11:34</t>
  </si>
  <si>
    <t>Base de Dados_Images/TR9209.Imagem do Equipamento-.122618.jpg</t>
  </si>
  <si>
    <t>Paula Caroline Morais Duarte - 30/01/2025 08:20:02</t>
  </si>
  <si>
    <t>TR9210</t>
  </si>
  <si>
    <t>Torre Resfriamento Moenda</t>
  </si>
  <si>
    <t>Paula Caroline Morais Duarte - 30/01/2025 08:17:50</t>
  </si>
  <si>
    <t>Paula Caroline Morais Duarte - 30/01/2025 08:17:51</t>
  </si>
  <si>
    <t>Paula Caroline Morais Duarte - 30/01/2025 08:17:52</t>
  </si>
  <si>
    <t>Paula Caroline Morais Duarte - 30/01/2025 08:17:54</t>
  </si>
  <si>
    <t>Paula Caroline Morais Duarte - 30/01/2025 08:17:57</t>
  </si>
  <si>
    <t>Paula Caroline Morais Duarte - 30/01/2025 08:17:56</t>
  </si>
  <si>
    <t>Paula Caroline Morais Duarte - 30/01/2025 08:17:59</t>
  </si>
  <si>
    <t>Paula Caroline Morais Duarte - 30/01/2025 08:18:00</t>
  </si>
  <si>
    <t>Paula Caroline Morais Duarte - 30/01/2025 08:18:03</t>
  </si>
  <si>
    <t>Paula Caroline Morais Duarte - 30/01/2025 08:18:04</t>
  </si>
  <si>
    <t>Rafael Roldão Rodrigues - 03/03/2025 11:46:47</t>
  </si>
  <si>
    <t>Rafael Roldão Rodrigues - 03/03/2025 11:46:51</t>
  </si>
  <si>
    <t>Rafael Roldão Rodrigues - 03/03/2025 11:46:52</t>
  </si>
  <si>
    <t>Rafael Roldão Rodrigues - 03/03/2025 11:46:53</t>
  </si>
  <si>
    <t>Alisson Airton Sobrinho - 07/03/2025 06:50:37</t>
  </si>
  <si>
    <t>Base de Dados_Images/TR9210.Imagem do Equipamento-.122538.jpg</t>
  </si>
  <si>
    <t>Paula Caroline Morais Duarte - 30/01/2025 08:17:40</t>
  </si>
  <si>
    <t>TURBINA/PSV-DESFIBRADOR</t>
  </si>
  <si>
    <t>Balão de Separação de Arraste Desfibrador</t>
  </si>
  <si>
    <t>Paula Caroline Morais Duarte - 10/02/2025 15:37:52</t>
  </si>
  <si>
    <t>Paula Caroline Morais Duarte - 10/02/2025 15:37:53</t>
  </si>
  <si>
    <t>Paula Caroline Morais Duarte - 10/02/2025 15:37:54</t>
  </si>
  <si>
    <t>Paula Caroline Morais Duarte - 10/02/2025 15:37:56</t>
  </si>
  <si>
    <t>Paula Caroline Morais Duarte - 10/02/2025 15:37:57</t>
  </si>
  <si>
    <t>Paula Caroline Morais Duarte - 10/02/2025 16:37:24</t>
  </si>
  <si>
    <t>Paula Caroline Morais Duarte - 20/02/2025 08:53:05</t>
  </si>
  <si>
    <t>Base de Dados_Images/TURBINA-PSV-DESFIBRADOR.Imagem do Equipamento-.121810.jpg</t>
  </si>
  <si>
    <t>Alisson Airton Sobrinho - 11/02/2025 09:15:42</t>
  </si>
  <si>
    <t>VIT20018</t>
  </si>
  <si>
    <t>Vibração Do Mancal La Do Desfibrador</t>
  </si>
  <si>
    <t>Paula Caroline Morais Duarte - 06/02/2025 10:18:58</t>
  </si>
  <si>
    <t>Paula Caroline Morais Duarte - 06/02/2025 10:18:59</t>
  </si>
  <si>
    <t>Paula Caroline Morais Duarte - 06/02/2025 10:19:04</t>
  </si>
  <si>
    <t>Paula Caroline Morais Duarte - 06/02/2025 10:19:08</t>
  </si>
  <si>
    <t>Paula Caroline Morais Duarte - 11/02/2025 09:54:20</t>
  </si>
  <si>
    <t>Paula Caroline Morais Duarte - 11/02/2025 09:54:21</t>
  </si>
  <si>
    <t>Paula Caroline Morais Duarte - 11/02/2025 09:54:22</t>
  </si>
  <si>
    <t>Rafael Roldão Rodrigues - 03/03/2025 11:12:58</t>
  </si>
  <si>
    <t>Rafael Roldão Rodrigues - 03/03/2025 11:12:59</t>
  </si>
  <si>
    <t>Alisson Airton Sobrinho - 07/03/2025 06:22:22</t>
  </si>
  <si>
    <t>Alisson Airton Sobrinho - 07/03/2025 06:22:21</t>
  </si>
  <si>
    <t>Paula Caroline Morais Duarte - 02/06/2025 10:18:54</t>
  </si>
  <si>
    <t>VIT20019</t>
  </si>
  <si>
    <t>Vibração Do Mancal Lna Do Desfibrador</t>
  </si>
  <si>
    <t>Paula Caroline Morais Duarte - 06/02/2025 10:19:26</t>
  </si>
  <si>
    <t>Paula Caroline Morais Duarte - 06/02/2025 10:19:30</t>
  </si>
  <si>
    <t>Paula Caroline Morais Duarte - 06/02/2025 10:19:32</t>
  </si>
  <si>
    <t>Paula Caroline Morais Duarte - 06/02/2025 10:19:33</t>
  </si>
  <si>
    <t>Paula Caroline Morais Duarte - 11/02/2025 09:54:30</t>
  </si>
  <si>
    <t>Paula Caroline Morais Duarte - 11/02/2025 09:54:31</t>
  </si>
  <si>
    <t>Paula Caroline Morais Duarte - 11/02/2025 09:54:32</t>
  </si>
  <si>
    <t>Rafael Roldão Rodrigues - 03/03/2025 11:12:49</t>
  </si>
  <si>
    <t>Rafael Roldão Rodrigues - 03/03/2025 11:12:50</t>
  </si>
  <si>
    <t>Alisson Airton Sobrinho - 07/03/2025 06:22:27</t>
  </si>
  <si>
    <t>Paula Caroline Morais Duarte - 02/06/2025 10:16:03</t>
  </si>
  <si>
    <t>VIT65029</t>
  </si>
  <si>
    <t>Vibração Da Centrifuga 01</t>
  </si>
  <si>
    <t>Weslley Ferreira Cooper - 30/01/2025 08:51:16</t>
  </si>
  <si>
    <t>Weslley Ferreira Cooper - 30/01/2025 08:51:15</t>
  </si>
  <si>
    <t>Weslley Ferreira Cooper - 30/01/2025 08:51:14</t>
  </si>
  <si>
    <t>Rafael Roldão Rodrigues - 03/03/2025 12:28:56</t>
  </si>
  <si>
    <t>Rafael Roldão Rodrigues - 03/03/2025 12:28:57</t>
  </si>
  <si>
    <t>Rafael Roldão Rodrigues - 03/03/2025 12:29:01</t>
  </si>
  <si>
    <t>Rafael Roldão Rodrigues - 03/03/2025 12:29:02</t>
  </si>
  <si>
    <t>Alisson Airton Sobrinho - 07/03/2025 07:29:12</t>
  </si>
  <si>
    <t>Alisson Airton Sobrinho - 07/03/2025 07:29:14</t>
  </si>
  <si>
    <t>Base de Dados_Images/VIT65029.Imagem do Equipamento-.125613.jpg</t>
  </si>
  <si>
    <t>Weslley Ferreira Cooper - 30/01/2025 08:51:11</t>
  </si>
  <si>
    <t>VIT65030</t>
  </si>
  <si>
    <t>Vibração Da Centrifuga 02</t>
  </si>
  <si>
    <t>Weslley Ferreira Cooper - 30/01/2025 08:53:00</t>
  </si>
  <si>
    <t>Weslley Ferreira Cooper - 30/01/2025 08:52:59</t>
  </si>
  <si>
    <t>Weslley Ferreira Cooper - 30/01/2025 08:52:58</t>
  </si>
  <si>
    <t>Rafael Roldão Rodrigues - 03/03/2025 12:29:37</t>
  </si>
  <si>
    <t>Rafael Roldão Rodrigues - 03/03/2025 12:29:38</t>
  </si>
  <si>
    <t>Rafael Roldão Rodrigues - 03/03/2025 12:29:39</t>
  </si>
  <si>
    <t>Rafael Roldão Rodrigues - 03/03/2025 12:29:42</t>
  </si>
  <si>
    <t>Rafael Roldão Rodrigues - 03/03/2025 12:29:43</t>
  </si>
  <si>
    <t>Alisson Airton Sobrinho - 10/03/2025 11:25:37</t>
  </si>
  <si>
    <t>Alisson Airton Sobrinho - 10/03/2025 11:25:38</t>
  </si>
  <si>
    <t>Base de Dados_Images/VIT65030.Imagem do Equipamento-.125748.jpg</t>
  </si>
  <si>
    <t>Weslley Ferreira Cooper - 30/01/2025 08:52:54</t>
  </si>
  <si>
    <t>VIT65031</t>
  </si>
  <si>
    <t>Vibração Da Centrifuga 03</t>
  </si>
  <si>
    <t>Weslley Ferreira Cooper - 30/01/2025 08:57:22</t>
  </si>
  <si>
    <t>Weslley Ferreira Cooper - 30/01/2025 08:57:21</t>
  </si>
  <si>
    <t>Weslley Ferreira Cooper - 30/01/2025 08:57:20</t>
  </si>
  <si>
    <t>Rafael Roldão Rodrigues - 03/03/2025 12:30:05</t>
  </si>
  <si>
    <t>Rafael Roldão Rodrigues - 03/03/2025 12:30:06</t>
  </si>
  <si>
    <t>Rafael Roldão Rodrigues - 03/03/2025 12:30:07</t>
  </si>
  <si>
    <t>Rafael Roldão Rodrigues - 03/03/2025 12:30:10</t>
  </si>
  <si>
    <t>Rafael Roldão Rodrigues - 03/03/2025 12:30:11</t>
  </si>
  <si>
    <t>Beatriz Alves Nunes de Paulo - 06/03/2025 09:17:23</t>
  </si>
  <si>
    <t>Base de Dados_Images/VIT65031.Imagem do Equipamento-.130155.jpg</t>
  </si>
  <si>
    <t>Weslley Ferreira Cooper - 30/01/2025 08:57:16</t>
  </si>
  <si>
    <t>VIT65032</t>
  </si>
  <si>
    <t>Vibração Da Centrifuga 04</t>
  </si>
  <si>
    <t>Weslley Ferreira Cooper - 30/01/2025 08:58:48</t>
  </si>
  <si>
    <t>Weslley Ferreira Cooper - 30/01/2025 08:58:47</t>
  </si>
  <si>
    <t>Weslley Ferreira Cooper - 30/01/2025 08:58:46</t>
  </si>
  <si>
    <t>Alisson Airton Sobrinho - 05/03/2025 14:37:18</t>
  </si>
  <si>
    <t>Alisson Airton Sobrinho - 05/03/2025 14:37:21</t>
  </si>
  <si>
    <t>Alisson Airton Sobrinho - 05/03/2025 14:37:25</t>
  </si>
  <si>
    <t>Alisson Airton Sobrinho - 05/03/2025 14:37:26</t>
  </si>
  <si>
    <t>Alisson Airton Sobrinho - 05/03/2025 14:37:30</t>
  </si>
  <si>
    <t>Alisson Airton Sobrinho - 05/03/2025 14:37:31</t>
  </si>
  <si>
    <t>Base de Dados_Images/VIT65032.Imagem do Equipamento-.130335.jpg</t>
  </si>
  <si>
    <t>Weslley Ferreira Cooper - 30/01/2025 08:58:42</t>
  </si>
  <si>
    <t>VIT81035</t>
  </si>
  <si>
    <t>Vibração Do Exaustor 01</t>
  </si>
  <si>
    <t>Weslley Ferreira Cooper - 31/01/2025 14:45:33</t>
  </si>
  <si>
    <t>Weslley Ferreira Cooper - 31/01/2025 14:45:32</t>
  </si>
  <si>
    <t>Weslley Ferreira Cooper - 31/01/2025 14:45:31</t>
  </si>
  <si>
    <t>Weslley Ferreira Cooper - 31/01/2025 14:45:30</t>
  </si>
  <si>
    <t>Paula Caroline Morais Duarte - 20/02/2025 08:02:34</t>
  </si>
  <si>
    <t>Paula Caroline Morais Duarte - 20/02/2025 08:02:37</t>
  </si>
  <si>
    <t>Paula Caroline Morais Duarte - 20/02/2025 08:02:35</t>
  </si>
  <si>
    <t>Paula Caroline Morais Duarte - 20/02/2025 08:02:43</t>
  </si>
  <si>
    <t>Paula Caroline Morais Duarte - 20/02/2025 08:02:44</t>
  </si>
  <si>
    <t>Alisson Airton Sobrinho - 07/03/2025 09:33:18</t>
  </si>
  <si>
    <t>Alisson Airton Sobrinho - 07/03/2025 09:33:19</t>
  </si>
  <si>
    <t>Base de Dados_Images/VIT81035.Imagem do Equipamento-.181935.jpg</t>
  </si>
  <si>
    <t>Weslley Ferreira Cooper - 31/01/2025 14:45:25</t>
  </si>
  <si>
    <t>VIT81036</t>
  </si>
  <si>
    <t>Vibração Do Exaustor 02</t>
  </si>
  <si>
    <t>Weslley Ferreira Cooper - 31/01/2025 14:46:07</t>
  </si>
  <si>
    <t>Weslley Ferreira Cooper - 31/01/2025 14:46:06</t>
  </si>
  <si>
    <t>Weslley Ferreira Cooper - 31/01/2025 14:46:05</t>
  </si>
  <si>
    <t>Weslley Ferreira Cooper - 31/01/2025 14:46:03</t>
  </si>
  <si>
    <t>Paula Caroline Morais Duarte - 21/02/2025 11:36:49</t>
  </si>
  <si>
    <t>Paula Caroline Morais Duarte - 21/02/2025 11:36:52</t>
  </si>
  <si>
    <t>Paula Caroline Morais Duarte - 21/02/2025 11:36:53</t>
  </si>
  <si>
    <t>Paula Caroline Morais Duarte - 21/02/2025 11:36:57</t>
  </si>
  <si>
    <t>Paula Caroline Morais Duarte - 21/02/2025 11:36:59</t>
  </si>
  <si>
    <t>Alisson Airton Sobrinho - 07/03/2025 09:33:25</t>
  </si>
  <si>
    <t>Alisson Airton Sobrinho - 07/03/2025 09:33:26</t>
  </si>
  <si>
    <t>Base de Dados_Images/VIT81036.Imagem do Equipamento-.181958.jpg</t>
  </si>
  <si>
    <t>Weslley Ferreira Cooper - 31/01/2025 14:45:58</t>
  </si>
  <si>
    <t>VIT81037</t>
  </si>
  <si>
    <t>Vibração Do Ventilador Primario</t>
  </si>
  <si>
    <t>Paula Caroline Morais Duarte - 30/01/2025 10:27:39</t>
  </si>
  <si>
    <t>Paula Caroline Morais Duarte - 30/01/2025 10:27:41</t>
  </si>
  <si>
    <t>Paula Caroline Morais Duarte - 30/01/2025 10:27:48</t>
  </si>
  <si>
    <t>Paula Caroline Morais Duarte - 30/01/2025 10:27:50</t>
  </si>
  <si>
    <t>Alisson Airton Sobrinho - 07/03/2025 09:33:44</t>
  </si>
  <si>
    <t>Alisson Airton Sobrinho - 07/03/2025 09:33:45</t>
  </si>
  <si>
    <t>Alisson Airton Sobrinho - 07/03/2025 09:33:46</t>
  </si>
  <si>
    <t>Alisson Airton Sobrinho - 07/03/2025 09:33:49</t>
  </si>
  <si>
    <t>Alisson Airton Sobrinho - 07/03/2025 09:33:50</t>
  </si>
  <si>
    <t>Alisson Airton Sobrinho - 07/03/2025 09:33:59</t>
  </si>
  <si>
    <t>Alisson Airton Sobrinho - 07/03/2025 09:34:00</t>
  </si>
  <si>
    <t>Base de Dados_Images/VIT81037.Imagem do Equipamento-.145612.jpg</t>
  </si>
  <si>
    <t>Paula Caroline Morais Duarte - 30/01/2025 10:27:33</t>
  </si>
  <si>
    <t>Tanque Blend Anima</t>
  </si>
  <si>
    <t>VIT81038</t>
  </si>
  <si>
    <t>Vibração Do Ventilador Secundario</t>
  </si>
  <si>
    <t>Paula Caroline Morais Duarte - 29/01/2025 09:28:39</t>
  </si>
  <si>
    <t>Paula Caroline Morais Duarte - 29/01/2025 09:28:41</t>
  </si>
  <si>
    <t>Paula Caroline Morais Duarte - 29/01/2025 09:28:43</t>
  </si>
  <si>
    <t>Paula Caroline Morais Duarte - 29/01/2025 09:28:45</t>
  </si>
  <si>
    <t>Paula Caroline Morais Duarte - 21/02/2025 09:08:24</t>
  </si>
  <si>
    <t>Paula Caroline Morais Duarte - 21/02/2025 09:08:25</t>
  </si>
  <si>
    <t>Paula Caroline Morais Duarte - 21/02/2025 09:08:26</t>
  </si>
  <si>
    <t>Paula Caroline Morais Duarte - 21/02/2025 09:08:31</t>
  </si>
  <si>
    <t>Paula Caroline Morais Duarte - 21/02/2025 09:08:32</t>
  </si>
  <si>
    <t>Paula Caroline Morais Duarte - 21/02/2025 09:08:56</t>
  </si>
  <si>
    <t>Paula Caroline Morais Duarte - 21/02/2025 09:08:57</t>
  </si>
  <si>
    <t>Base de Dados_Images/VIT81038.Imagem do Equipamento-.132041.jpg</t>
  </si>
  <si>
    <t>Paula Caroline Morais Duarte - 29/01/2025 09:28:59</t>
  </si>
  <si>
    <t>VIT81039</t>
  </si>
  <si>
    <t>Vibração Do Ventilador Espargedor</t>
  </si>
  <si>
    <t>Paula Caroline Morais Duarte - 29/01/2025 09:32:25</t>
  </si>
  <si>
    <t>Paula Caroline Morais Duarte - 29/01/2025 09:32:27</t>
  </si>
  <si>
    <t>Paula Caroline Morais Duarte - 29/01/2025 09:32:33</t>
  </si>
  <si>
    <t>Paula Caroline Morais Duarte - 29/01/2025 09:32:31</t>
  </si>
  <si>
    <t>Paula Caroline Morais Duarte - 23/02/2025 16:41:03</t>
  </si>
  <si>
    <t>Paula Caroline Morais Duarte - 23/02/2025 16:41:04</t>
  </si>
  <si>
    <t>Paula Caroline Morais Duarte - 23/02/2025 16:41:08</t>
  </si>
  <si>
    <t>Paula Caroline Morais Duarte - 23/02/2025 16:41:16</t>
  </si>
  <si>
    <t>Paula Caroline Morais Duarte - 23/02/2025 16:41:21</t>
  </si>
  <si>
    <t>Paula Caroline Morais Duarte - 23/02/2025 16:41:22</t>
  </si>
  <si>
    <t>Base de Dados_Images/VIT81039.Imagem do Equipamento-.132104.jpg</t>
  </si>
  <si>
    <t>Paula Caroline Morais Duarte - 29/01/2025 09:31:39</t>
  </si>
  <si>
    <t>VQV 63474</t>
  </si>
  <si>
    <t>Multi-Jato Da Evaporação</t>
  </si>
  <si>
    <t>Weslley Ferreira Cooper - 31/01/2025 12:19:55</t>
  </si>
  <si>
    <t>Weslley Ferreira Cooper - 31/01/2025 12:19:54</t>
  </si>
  <si>
    <t>Weslley Ferreira Cooper - 31/01/2025 12:19:53</t>
  </si>
  <si>
    <t>Weslley Ferreira Cooper - 31/01/2025 12:19:52</t>
  </si>
  <si>
    <t>Weslley Ferreira Cooper - 31/01/2025 12:19:51</t>
  </si>
  <si>
    <t>Beatriz Alves Nunes de Paulo - 05/02/2025 10:29:56</t>
  </si>
  <si>
    <t>Beatriz Alves Nunes de Paulo - 06/03/2025 08:34:22</t>
  </si>
  <si>
    <t>Base de Dados_Images/VQV 63474.Imagem do Equipamento-.155633.jpg</t>
  </si>
  <si>
    <t>Weslley Ferreira Cooper - 31/01/2025 12:19:43</t>
  </si>
  <si>
    <t>VQV 63475</t>
  </si>
  <si>
    <t>Multi-Jato Do Filtro Rotativo</t>
  </si>
  <si>
    <t>Alisson Airton Sobrinho - 08/02/2025 08:51:21</t>
  </si>
  <si>
    <t>Alisson Airton Sobrinho - 08/02/2025 14:13:21</t>
  </si>
  <si>
    <t>Alisson Airton Sobrinho - 08/02/2025 14:13:22</t>
  </si>
  <si>
    <t>Alisson Airton Sobrinho - 08/02/2025 14:13:25</t>
  </si>
  <si>
    <t>Alisson Airton Sobrinho - 08/02/2025 14:13:28</t>
  </si>
  <si>
    <t>Alisson Airton Sobrinho - 07/02/2025 15:08:01</t>
  </si>
  <si>
    <t>Beatriz Alves Nunes de Paulo - 06/03/2025 08:34:27</t>
  </si>
  <si>
    <t>Base de Dados_Images/VQV 63475.Imagem do Equipamento-.160347.jpg</t>
  </si>
  <si>
    <t>Weslley Ferreira Cooper - 31/01/2025 12:33:03</t>
  </si>
  <si>
    <t>VQV63476</t>
  </si>
  <si>
    <t>Coluna Barométrica Do Cozedor Nº 1</t>
  </si>
  <si>
    <t>Beatriz Alves Nunes de Paulo - 06/02/2025 11:56:57</t>
  </si>
  <si>
    <t>Beatriz Alves Nunes de Paulo - 06/02/2025 11:56:59</t>
  </si>
  <si>
    <t>Beatriz Alves Nunes de Paulo - 06/02/2025 11:57:00</t>
  </si>
  <si>
    <t>Beatriz Alves Nunes de Paulo - 06/02/2025 11:57:02</t>
  </si>
  <si>
    <t>Beatriz Alves Nunes de Paulo - 06/02/2025 11:57:03</t>
  </si>
  <si>
    <t>Beatriz Alves Nunes de Paulo - 06/02/2025 11:57:05</t>
  </si>
  <si>
    <t>Beatriz Alves Nunes de Paulo - 06/02/2025 11:57:07</t>
  </si>
  <si>
    <t>Beatriz Alves Nunes de Paulo - 06/02/2025 11:57:09</t>
  </si>
  <si>
    <t>Beatriz Alves Nunes de Paulo - 06/02/2025 11:57:11</t>
  </si>
  <si>
    <t>Alisson Airton Sobrinho - 07/02/2025 15:16:17</t>
  </si>
  <si>
    <t>Alisson Airton Sobrinho - 07/02/2025 15:16:18</t>
  </si>
  <si>
    <t>Beatriz Alves Nunes de Paulo - 20/02/2025 12:41:46</t>
  </si>
  <si>
    <t>Beatriz Alves Nunes de Paulo - 20/02/2025 12:41:49</t>
  </si>
  <si>
    <t>Beatriz Alves Nunes de Paulo - 20/02/2025 12:41:55</t>
  </si>
  <si>
    <t>Beatriz Alves Nunes de Paulo - 20/02/2025 12:41:56</t>
  </si>
  <si>
    <t>Beatriz Alves Nunes de Paulo - 02/06/2025 11:55:40</t>
  </si>
  <si>
    <t>VR3008</t>
  </si>
  <si>
    <t>Valvula Rotativa Do Tanque De Lodo (Ventilador)</t>
  </si>
  <si>
    <t>Weslley Ferreira Cooper - 31/01/2025 11:22:04</t>
  </si>
  <si>
    <t>Weslley Ferreira Cooper - 31/01/2025 11:22:01</t>
  </si>
  <si>
    <t>Weslley Ferreira Cooper - 31/01/2025 11:22:00</t>
  </si>
  <si>
    <t>Weslley Ferreira Cooper - 31/01/2025 11:21:59</t>
  </si>
  <si>
    <t>Weslley Ferreira Cooper - 31/01/2025 11:21:58</t>
  </si>
  <si>
    <t>Weslley Ferreira Cooper - 31/01/2025 11:21:57</t>
  </si>
  <si>
    <t>Weslley Ferreira Cooper - 31/01/2025 11:21:40</t>
  </si>
  <si>
    <t>Weslley Ferreira Cooper - 31/01/2025 11:21:39</t>
  </si>
  <si>
    <t>Alisson Airton Sobrinho - 04/03/2025 13:26:48</t>
  </si>
  <si>
    <t>Alisson Airton Sobrinho - 04/03/2025 13:27:00</t>
  </si>
  <si>
    <t>Alisson Airton Sobrinho - 07/03/2025 07:20:30</t>
  </si>
  <si>
    <t>Base de Dados_Images/VR3008.Imagem do Equipamento-.154401.jpg</t>
  </si>
  <si>
    <t>Weslley Ferreira Cooper - 31/01/2025 11:21:34</t>
  </si>
  <si>
    <t>VT4001</t>
  </si>
  <si>
    <t>Ventilador Do Secador De Acucar</t>
  </si>
  <si>
    <t>Beatriz Alves Nunes de Paulo - 28/01/2025 08:59:41</t>
  </si>
  <si>
    <t>Beatriz Alves Nunes de Paulo - 28/01/2025 08:59:43</t>
  </si>
  <si>
    <t>Beatriz Alves Nunes de Paulo - 28/01/2025 08:59:46</t>
  </si>
  <si>
    <t>Beatriz Alves Nunes de Paulo - 28/01/2025 08:59:48</t>
  </si>
  <si>
    <t>Beatriz Alves Nunes de Paulo - 28/01/2025 08:59:50</t>
  </si>
  <si>
    <t>Beatriz Alves Nunes de Paulo - 28/01/2025 09:00:01</t>
  </si>
  <si>
    <t>Beatriz Alves Nunes de Paulo - 28/01/2025 08:59:54</t>
  </si>
  <si>
    <t>Beatriz Alves Nunes de Paulo - 28/01/2025 08:59:56</t>
  </si>
  <si>
    <t>Beatriz Alves Nunes de Paulo - 28/01/2025 09:00:05</t>
  </si>
  <si>
    <t>Beatriz Alves Nunes de Paulo - 28/01/2025 09:00:08</t>
  </si>
  <si>
    <t>Beatriz Alves Nunes de Paulo - 28/01/2025 09:00:14</t>
  </si>
  <si>
    <t>Beatriz Alves Nunes de Paulo - 28/01/2025 09:00:13</t>
  </si>
  <si>
    <t>Beatriz Alves Nunes de Paulo - 28/01/2025 09:00:15</t>
  </si>
  <si>
    <t>Beatriz Alves Nunes de Paulo - 28/01/2025 09:00:18</t>
  </si>
  <si>
    <t>Beatriz Alves Nunes de Paulo - 28/01/2025 09:00:20</t>
  </si>
  <si>
    <t>Beatriz Alves Nunes de Paulo - 28/01/2025 09:00:26</t>
  </si>
  <si>
    <t>Beatriz Alves Nunes de Paulo - 28/01/2025 09:00:25</t>
  </si>
  <si>
    <t>Beatriz Alves Nunes de Paulo - 28/01/2025 09:00:29</t>
  </si>
  <si>
    <t>Beatriz Alves Nunes de Paulo - 28/01/2025 09:00:31</t>
  </si>
  <si>
    <t>Beatriz Alves Nunes de Paulo - 28/01/2025 09:00:34</t>
  </si>
  <si>
    <t>Beatriz Alves Nunes de Paulo - 28/01/2025 09:00:40</t>
  </si>
  <si>
    <t>Alisson Airton Sobrinho - 04/03/2025 13:51:21</t>
  </si>
  <si>
    <t>Beatriz Alves Nunes de Paulo - 06/03/2025 09:03:25</t>
  </si>
  <si>
    <t>Beatriz Alves Nunes de Paulo - 06/03/2025 09:03:27</t>
  </si>
  <si>
    <t>Beatriz Alves Nunes de Paulo - 06/03/2025 09:03:29</t>
  </si>
  <si>
    <t>Beatriz Alves Nunes de Paulo - 06/03/2025 09:03:31</t>
  </si>
  <si>
    <t>Beatriz Alves Nunes de Paulo - 06/03/2025 09:03:35</t>
  </si>
  <si>
    <t>Beatriz Alves Nunes de Paulo - 06/03/2025 09:03:36</t>
  </si>
  <si>
    <t>Alisson Airton Sobrinho - 07/03/2025 08:38:13</t>
  </si>
  <si>
    <t>Alisson Airton Sobrinho - 07/03/2025 08:38:14</t>
  </si>
  <si>
    <t>Base de Dados_Images/VT4001.Imagem do Equipamento-.153315.jpg</t>
  </si>
  <si>
    <t>Beatriz Alves Nunes de Paulo - 28/01/2025 08:59:21</t>
  </si>
  <si>
    <t>Base de Dados_Images/VT4001.Imagem da Plaqueta do Motor-.153315.jpg</t>
  </si>
  <si>
    <t>Beatriz Alves Nunes de Paulo - 28/01/2025 08:59:34</t>
  </si>
  <si>
    <t>VT8101</t>
  </si>
  <si>
    <t>Ventilador Primário</t>
  </si>
  <si>
    <t>Paula Caroline Morais Duarte - 06/02/2025 12:14:02</t>
  </si>
  <si>
    <t>Paula Caroline Morais Duarte - 06/02/2025 12:14:03</t>
  </si>
  <si>
    <t>Paula Caroline Morais Duarte - 06/02/2025 12:14:05</t>
  </si>
  <si>
    <t>Paula Caroline Morais Duarte - 06/02/2025 12:14:06</t>
  </si>
  <si>
    <t>Paula Caroline Morais Duarte - 06/02/2025 12:14:11</t>
  </si>
  <si>
    <t>Paula Caroline Morais Duarte - 06/02/2025 12:16:09</t>
  </si>
  <si>
    <t>Paula Caroline Morais Duarte - 06/02/2025 12:14:33</t>
  </si>
  <si>
    <t>Paula Caroline Morais Duarte - 06/02/2025 12:14:35</t>
  </si>
  <si>
    <t>Paula Caroline Morais Duarte - 06/02/2025 12:14:37</t>
  </si>
  <si>
    <t>Paula Caroline Morais Duarte - 06/02/2025 12:14:39</t>
  </si>
  <si>
    <t>Paula Caroline Morais Duarte - 06/02/2025 12:14:41</t>
  </si>
  <si>
    <t>Paula Caroline Morais Duarte - 06/02/2025 12:14:44</t>
  </si>
  <si>
    <t>Paula Caroline Morais Duarte - 06/02/2025 12:14:45</t>
  </si>
  <si>
    <t>Paula Caroline Morais Duarte - 06/02/2025 12:15:43</t>
  </si>
  <si>
    <t>Paula Caroline Morais Duarte - 06/02/2025 12:15:46</t>
  </si>
  <si>
    <t>Paula Caroline Morais Duarte - 06/02/2025 12:15:47</t>
  </si>
  <si>
    <t>Paula Caroline Morais Duarte - 06/02/2025 12:15:50</t>
  </si>
  <si>
    <t>Paula Caroline Morais Duarte - 06/02/2025 12:15:52</t>
  </si>
  <si>
    <t>Paula Caroline Morais Duarte - 06/02/2025 12:15:54</t>
  </si>
  <si>
    <t>Paula Caroline Morais Duarte - 06/02/2025 12:15:57</t>
  </si>
  <si>
    <t>Paula Caroline Morais Duarte - 06/02/2025 12:16:00</t>
  </si>
  <si>
    <t>Paula Caroline Morais Duarte - 23/02/2025 16:25:21</t>
  </si>
  <si>
    <t>Paula Caroline Morais Duarte - 23/02/2025 16:25:23</t>
  </si>
  <si>
    <t>Paula Caroline Morais Duarte - 23/02/2025 16:25:25</t>
  </si>
  <si>
    <t>Paula Caroline Morais Duarte - 23/02/2025 16:25:27</t>
  </si>
  <si>
    <t>Paula Caroline Morais Duarte - 23/02/2025 16:25:29</t>
  </si>
  <si>
    <t>Paula Caroline Morais Duarte - 23/02/2025 16:25:30</t>
  </si>
  <si>
    <t>Paula Caroline Morais Duarte - 23/02/2025 16:25:32</t>
  </si>
  <si>
    <t>Paula Caroline Morais Duarte - 23/02/2025 16:25:38</t>
  </si>
  <si>
    <t>Paula Caroline Morais Duarte - 23/02/2025 16:25:39</t>
  </si>
  <si>
    <t>Paula Caroline Morais Duarte - 23/02/2025 16:25:40</t>
  </si>
  <si>
    <t>Paula Caroline Morais Duarte - 25/02/2025 09:14:54</t>
  </si>
  <si>
    <t>Paula Caroline Morais Duarte - 25/02/2025 09:14:55</t>
  </si>
  <si>
    <t>Base de Dados_Images/VT8101.Imagem do Equipamento-.152915.jpg</t>
  </si>
  <si>
    <t>Paula Caroline Morais Duarte - 06/02/2025 12:17:33</t>
  </si>
  <si>
    <t>Base de Dados_Images/VT8101.Imagem da Plaqueta do Motor-.152936.jpg</t>
  </si>
  <si>
    <t>Paula Caroline Morais Duarte - 06/02/2025 12:18:14</t>
  </si>
  <si>
    <t>VT8102</t>
  </si>
  <si>
    <t>Ventilador Secundário</t>
  </si>
  <si>
    <t>Paula Caroline Morais Duarte - 17/02/2025 09:45:29</t>
  </si>
  <si>
    <t>Paula Caroline Morais Duarte - 17/02/2025 09:45:30</t>
  </si>
  <si>
    <t>Paula Caroline Morais Duarte - 17/02/2025 09:45:34</t>
  </si>
  <si>
    <t>Paula Caroline Morais Duarte - 17/02/2025 09:45:33</t>
  </si>
  <si>
    <t>Paula Caroline Morais Duarte - 17/02/2025 09:45:36</t>
  </si>
  <si>
    <t>Paula Caroline Morais Duarte - 17/02/2025 09:45:37</t>
  </si>
  <si>
    <t>Paula Caroline Morais Duarte - 17/02/2025 09:45:39</t>
  </si>
  <si>
    <t>Paula Caroline Morais Duarte - 17/02/2025 09:45:43</t>
  </si>
  <si>
    <t>Paula Caroline Morais Duarte - 17/02/2025 09:45:42</t>
  </si>
  <si>
    <t>Paula Caroline Morais Duarte - 17/02/2025 09:45:45</t>
  </si>
  <si>
    <t>Paula Caroline Morais Duarte - 17/02/2025 09:45:47</t>
  </si>
  <si>
    <t>Paula Caroline Morais Duarte - 17/02/2025 09:45:48</t>
  </si>
  <si>
    <t>Paula Caroline Morais Duarte - 17/02/2025 09:45:52</t>
  </si>
  <si>
    <t>Paula Caroline Morais Duarte - 17/02/2025 09:45:54</t>
  </si>
  <si>
    <t>Paula Caroline Morais Duarte - 17/02/2025 09:45:55</t>
  </si>
  <si>
    <t>Paula Caroline Morais Duarte - 17/02/2025 09:46:00</t>
  </si>
  <si>
    <t>Paula Caroline Morais Duarte - 17/02/2025 09:46:01</t>
  </si>
  <si>
    <t>Paula Caroline Morais Duarte - 17/02/2025 09:46:06</t>
  </si>
  <si>
    <t>Paula Caroline Morais Duarte - 17/02/2025 09:46:05</t>
  </si>
  <si>
    <t>Paula Caroline Morais Duarte - 17/02/2025 09:46:04</t>
  </si>
  <si>
    <t>Paula Caroline Morais Duarte - 21/02/2025 09:04:06</t>
  </si>
  <si>
    <t>Paula Caroline Morais Duarte - 21/02/2025 09:04:07</t>
  </si>
  <si>
    <t>Paula Caroline Morais Duarte - 21/02/2025 09:04:08</t>
  </si>
  <si>
    <t>Paula Caroline Morais Duarte - 21/02/2025 09:04:11</t>
  </si>
  <si>
    <t>Paula Caroline Morais Duarte - 21/02/2025 09:04:15</t>
  </si>
  <si>
    <t>Paula Caroline Morais Duarte - 21/02/2025 09:04:14</t>
  </si>
  <si>
    <t>Paula Caroline Morais Duarte - 21/02/2025 09:04:16</t>
  </si>
  <si>
    <t>Paula Caroline Morais Duarte - 21/02/2025 09:04:20</t>
  </si>
  <si>
    <t>Paula Caroline Morais Duarte - 21/02/2025 09:04:21</t>
  </si>
  <si>
    <t>Paula Caroline Morais Duarte - 21/02/2025 09:04:22</t>
  </si>
  <si>
    <t>Paula Caroline Morais Duarte - 25/02/2025 09:14:41</t>
  </si>
  <si>
    <t>Paula Caroline Morais Duarte - 25/02/2025 09:14:42</t>
  </si>
  <si>
    <t>Paula Caroline Morais Duarte - 25/02/2025 09:14:43</t>
  </si>
  <si>
    <t>Base de Dados_Images/VT8102.Imagem do Equipamento-.140934.jpg</t>
  </si>
  <si>
    <t>Paula Caroline Morais Duarte - 17/02/2025 10:11:39</t>
  </si>
  <si>
    <t>Base de Dados_Images/VT8102.Imagem da Plaqueta do Motor-.141026.jpg</t>
  </si>
  <si>
    <t>Paula Caroline Morais Duarte - 17/02/2025 10:11:58</t>
  </si>
  <si>
    <t>VT8103</t>
  </si>
  <si>
    <t>Ventilador Espargedor Antigo</t>
  </si>
  <si>
    <t>Paula Caroline Morais Duarte - 28/01/2025 15:04:24</t>
  </si>
  <si>
    <t>Paula Caroline Morais Duarte - 28/01/2025 15:04:36</t>
  </si>
  <si>
    <t>Paula Caroline Morais Duarte - 28/01/2025 15:04:30</t>
  </si>
  <si>
    <t>Paula Caroline Morais Duarte - 28/01/2025 15:04:38</t>
  </si>
  <si>
    <t>Paula Caroline Morais Duarte - 28/01/2025 15:04:39</t>
  </si>
  <si>
    <t>Paula Caroline Morais Duarte - 28/01/2025 15:04:46</t>
  </si>
  <si>
    <t>Paula Caroline Morais Duarte - 28/01/2025 15:04:55</t>
  </si>
  <si>
    <t>Paula Caroline Morais Duarte - 28/01/2025 15:04:56</t>
  </si>
  <si>
    <t>Paula Caroline Morais Duarte - 28/01/2025 15:04:58</t>
  </si>
  <si>
    <t>Paula Caroline Morais Duarte - 28/01/2025 15:05:04</t>
  </si>
  <si>
    <t>Paula Caroline Morais Duarte - 28/01/2025 15:05:01</t>
  </si>
  <si>
    <t>Paula Caroline Morais Duarte - 28/01/2025 15:05:20</t>
  </si>
  <si>
    <t>Paula Caroline Morais Duarte - 28/01/2025 15:05:17</t>
  </si>
  <si>
    <t>Paula Caroline Morais Duarte - 28/01/2025 15:05:16</t>
  </si>
  <si>
    <t>Paula Caroline Morais Duarte - 28/01/2025 15:05:29</t>
  </si>
  <si>
    <t>Paula Caroline Morais Duarte - 28/01/2025 15:05:32</t>
  </si>
  <si>
    <t>Paula Caroline Morais Duarte - 28/01/2025 15:05:33</t>
  </si>
  <si>
    <t>Paula Caroline Morais Duarte - 28/01/2025 15:05:36</t>
  </si>
  <si>
    <t>Paula Caroline Morais Duarte - 28/01/2025 15:05:38</t>
  </si>
  <si>
    <t>Paula Caroline Morais Duarte - 28/01/2025 15:05:40</t>
  </si>
  <si>
    <t>Paula Caroline Morais Duarte - 28/01/2025 15:05:42</t>
  </si>
  <si>
    <t>Paula Caroline Morais Duarte - 23/02/2025 16:37:32</t>
  </si>
  <si>
    <t>Paula Caroline Morais Duarte - 23/02/2025 16:37:33</t>
  </si>
  <si>
    <t>Paula Caroline Morais Duarte - 23/02/2025 16:37:37</t>
  </si>
  <si>
    <t>Paula Caroline Morais Duarte - 23/02/2025 16:37:39</t>
  </si>
  <si>
    <t>Paula Caroline Morais Duarte - 23/02/2025 16:37:41</t>
  </si>
  <si>
    <t>Paula Caroline Morais Duarte - 23/02/2025 16:37:45</t>
  </si>
  <si>
    <t>Paula Caroline Morais Duarte - 23/02/2025 16:37:46</t>
  </si>
  <si>
    <t>Paula Caroline Morais Duarte - 23/02/2025 16:37:54</t>
  </si>
  <si>
    <t>Paula Caroline Morais Duarte - 23/02/2025 16:37:56</t>
  </si>
  <si>
    <t>Base de Dados_Images/VT8103.Imagem do Equipamento-.183250.jpg</t>
  </si>
  <si>
    <t>Paula Caroline Morais Duarte - 28/01/2025 15:03:49</t>
  </si>
  <si>
    <t>Base de Dados_Images/VT8103.Imagem da Plaqueta do Motor-.183250.jpg</t>
  </si>
  <si>
    <t>Paula Caroline Morais Duarte - 28/01/2025 15:03:59</t>
  </si>
  <si>
    <t>VT8104</t>
  </si>
  <si>
    <t>Ventilador Espagedor Novo</t>
  </si>
  <si>
    <t>Weslley Ferreira Cooper - 05/02/2025 16:35:06</t>
  </si>
  <si>
    <t>Weslley Ferreira Cooper - 05/02/2025 16:35:04</t>
  </si>
  <si>
    <t>Weslley Ferreira Cooper - 05/02/2025 16:35:03</t>
  </si>
  <si>
    <t>Weslley Ferreira Cooper - 05/02/2025 16:35:02</t>
  </si>
  <si>
    <t>Weslley Ferreira Cooper - 05/02/2025 16:35:00</t>
  </si>
  <si>
    <t>Weslley Ferreira Cooper - 05/02/2025 16:34:59</t>
  </si>
  <si>
    <t>Weslley Ferreira Cooper - 05/02/2025 16:34:58</t>
  </si>
  <si>
    <t>Weslley Ferreira Cooper - 05/02/2025 16:34:57</t>
  </si>
  <si>
    <t>Weslley Ferreira Cooper - 05/02/2025 16:34:55</t>
  </si>
  <si>
    <t>Weslley Ferreira Cooper - 05/02/2025 16:34:54</t>
  </si>
  <si>
    <t>Weslley Ferreira Cooper - 05/02/2025 16:34:53</t>
  </si>
  <si>
    <t>Weslley Ferreira Cooper - 05/02/2025 16:34:51</t>
  </si>
  <si>
    <t>Weslley Ferreira Cooper - 05/02/2025 16:34:50</t>
  </si>
  <si>
    <t>Weslley Ferreira Cooper - 05/02/2025 16:34:48</t>
  </si>
  <si>
    <t>Weslley Ferreira Cooper - 05/02/2025 16:34:47</t>
  </si>
  <si>
    <t>Weslley Ferreira Cooper - 05/02/2025 16:34:46</t>
  </si>
  <si>
    <t>Paula Caroline Morais Duarte - 23/02/2025 16:38:07</t>
  </si>
  <si>
    <t>Paula Caroline Morais Duarte - 23/02/2025 16:38:10</t>
  </si>
  <si>
    <t>Paula Caroline Morais Duarte - 23/02/2025 16:38:08</t>
  </si>
  <si>
    <t>Paula Caroline Morais Duarte - 23/02/2025 16:38:11</t>
  </si>
  <si>
    <t>Paula Caroline Morais Duarte - 23/02/2025 16:38:12</t>
  </si>
  <si>
    <t>Paula Caroline Morais Duarte - 23/02/2025 16:38:13</t>
  </si>
  <si>
    <t>Paula Caroline Morais Duarte - 23/02/2025 16:38:15</t>
  </si>
  <si>
    <t>Paula Caroline Morais Duarte - 23/02/2025 16:38:20</t>
  </si>
  <si>
    <t>Paula Caroline Morais Duarte - 23/02/2025 16:38:23</t>
  </si>
  <si>
    <t>Paula Caroline Morais Duarte - 23/02/2025 16:38:22</t>
  </si>
  <si>
    <t>Paula Caroline Morais Duarte - 23/02/2025 16:38:27</t>
  </si>
  <si>
    <t>Paula Caroline Morais Duarte - 23/02/2025 16:38:29</t>
  </si>
  <si>
    <t>Paula Caroline Morais Duarte - 23/02/2025 16:38:30</t>
  </si>
  <si>
    <t>Paula Caroline Morais Duarte - 01/28/2025 15:29:28</t>
  </si>
  <si>
    <t>VT9201</t>
  </si>
  <si>
    <t>Ventilador Torre De Resfriamento Da Fabrica Nº 01</t>
  </si>
  <si>
    <t>Paula Caroline Morais Duarte - 30/01/2025 08:59:52</t>
  </si>
  <si>
    <t>Paula Caroline Morais Duarte - 30/01/2025 09:00:04</t>
  </si>
  <si>
    <t>Paula Caroline Morais Duarte - 30/01/2025 08:59:56</t>
  </si>
  <si>
    <t>Paula Caroline Morais Duarte - 30/01/2025 09:00:07</t>
  </si>
  <si>
    <t>Paula Caroline Morais Duarte - 30/01/2025 09:00:09</t>
  </si>
  <si>
    <t>Paula Caroline Morais Duarte - 30/01/2025 09:00:11</t>
  </si>
  <si>
    <t>Paula Caroline Morais Duarte - 30/01/2025 09:00:13</t>
  </si>
  <si>
    <t>Paula Caroline Morais Duarte - 30/01/2025 09:00:16</t>
  </si>
  <si>
    <t>Paula Caroline Morais Duarte - 30/01/2025 09:00:18</t>
  </si>
  <si>
    <t>Paula Caroline Morais Duarte - 30/01/2025 09:00:20</t>
  </si>
  <si>
    <t>Paula Caroline Morais Duarte - 30/01/2025 09:00:28</t>
  </si>
  <si>
    <t>Paula Caroline Morais Duarte - 30/01/2025 09:00:26</t>
  </si>
  <si>
    <t>Paula Caroline Morais Duarte - 30/01/2025 09:00:25</t>
  </si>
  <si>
    <t>Paula Caroline Morais Duarte - 30/01/2025 09:00:36</t>
  </si>
  <si>
    <t>Paula Caroline Morais Duarte - 30/01/2025 09:00:33</t>
  </si>
  <si>
    <t>Paula Caroline Morais Duarte - 30/01/2025 09:00:38</t>
  </si>
  <si>
    <t>Paula Caroline Morais Duarte - 30/01/2025 09:00:40</t>
  </si>
  <si>
    <t>Paula Caroline Morais Duarte - 30/01/2025 09:00:43</t>
  </si>
  <si>
    <t>Paula Caroline Morais Duarte - 30/01/2025 09:01:02</t>
  </si>
  <si>
    <t>Paula Caroline Morais Duarte - 30/01/2025 09:01:04</t>
  </si>
  <si>
    <t>Paula Caroline Morais Duarte - 30/01/2025 09:01:06</t>
  </si>
  <si>
    <t>Alisson Airton Sobrinho - 12/03/2025 07:44:07</t>
  </si>
  <si>
    <t>Alisson Airton Sobrinho - 12/03/2025 07:44:08</t>
  </si>
  <si>
    <t>Alisson Airton Sobrinho - 12/03/2025 07:44:09</t>
  </si>
  <si>
    <t>Alisson Airton Sobrinho - 12/03/2025 07:44:10</t>
  </si>
  <si>
    <t>Alisson Airton Sobrinho - 12/03/2025 07:44:11</t>
  </si>
  <si>
    <t>Alisson Airton Sobrinho - 12/03/2025 07:44:15</t>
  </si>
  <si>
    <t>Alisson Airton Sobrinho - 12/03/2025 07:44:16</t>
  </si>
  <si>
    <t>Alisson Airton Sobrinho - 12/03/2025 07:44:19</t>
  </si>
  <si>
    <t>Alisson Airton Sobrinho - 12/03/2025 07:44:20</t>
  </si>
  <si>
    <t>Alisson Airton Sobrinho - 12/03/2025 07:44:21</t>
  </si>
  <si>
    <t>Paula Caroline Morais Duarte - 01/30/2025 08:59:46</t>
  </si>
  <si>
    <t>VT9202</t>
  </si>
  <si>
    <t>Ventilador Torre De Resfriamento Da Fabrica Nº 02</t>
  </si>
  <si>
    <t>Paula Caroline Morais Duarte - 30/01/2025 09:01:59</t>
  </si>
  <si>
    <t>Paula Caroline Morais Duarte - 30/01/2025 09:02:01</t>
  </si>
  <si>
    <t>Paula Caroline Morais Duarte - 30/01/2025 09:02:03</t>
  </si>
  <si>
    <t>Paula Caroline Morais Duarte - 30/01/2025 09:02:06</t>
  </si>
  <si>
    <t>Paula Caroline Morais Duarte - 30/01/2025 09:02:08</t>
  </si>
  <si>
    <t>Paula Caroline Morais Duarte - 30/01/2025 09:02:10</t>
  </si>
  <si>
    <t>Paula Caroline Morais Duarte - 30/01/2025 09:02:13</t>
  </si>
  <si>
    <t>Paula Caroline Morais Duarte - 30/01/2025 09:02:15</t>
  </si>
  <si>
    <t>Paula Caroline Morais Duarte - 30/01/2025 09:02:17</t>
  </si>
  <si>
    <t>Paula Caroline Morais Duarte - 30/01/2025 09:02:19</t>
  </si>
  <si>
    <t>Paula Caroline Morais Duarte - 30/01/2025 09:02:21</t>
  </si>
  <si>
    <t>Paula Caroline Morais Duarte - 30/01/2025 09:02:24</t>
  </si>
  <si>
    <t>Paula Caroline Morais Duarte - 30/01/2025 09:02:26</t>
  </si>
  <si>
    <t>Paula Caroline Morais Duarte - 30/01/2025 09:02:29</t>
  </si>
  <si>
    <t>Paula Caroline Morais Duarte - 30/01/2025 09:02:33</t>
  </si>
  <si>
    <t>Paula Caroline Morais Duarte - 30/01/2025 09:02:35</t>
  </si>
  <si>
    <t>Paula Caroline Morais Duarte - 30/01/2025 09:02:37</t>
  </si>
  <si>
    <t>Paula Caroline Morais Duarte - 30/01/2025 09:02:39</t>
  </si>
  <si>
    <t>Paula Caroline Morais Duarte - 30/01/2025 09:02:41</t>
  </si>
  <si>
    <t>Paula Caroline Morais Duarte - 30/01/2025 09:02:44</t>
  </si>
  <si>
    <t>Paula Caroline Morais Duarte - 30/01/2025 09:02:46</t>
  </si>
  <si>
    <t>Alisson Airton Sobrinho - 07/03/2025 09:17:33</t>
  </si>
  <si>
    <t>Alisson Airton Sobrinho - 07/03/2025 09:17:34</t>
  </si>
  <si>
    <t>Alisson Airton Sobrinho - 07/03/2025 09:17:37</t>
  </si>
  <si>
    <t>Alisson Airton Sobrinho - 07/03/2025 09:17:40</t>
  </si>
  <si>
    <t>Alisson Airton Sobrinho - 07/03/2025 09:17:44</t>
  </si>
  <si>
    <t>Alisson Airton Sobrinho - 07/03/2025 09:17:43</t>
  </si>
  <si>
    <t>Alisson Airton Sobrinho - 07/03/2025 09:17:48</t>
  </si>
  <si>
    <t>Alisson Airton Sobrinho - 07/03/2025 09:17:50</t>
  </si>
  <si>
    <t>Alisson Airton Sobrinho - 07/03/2025 09:17:54</t>
  </si>
  <si>
    <t>Alisson Airton Sobrinho - 07/03/2025 09:17:55</t>
  </si>
  <si>
    <t>Paula Caroline Morais Duarte - 01/30/2025 09:01:50</t>
  </si>
  <si>
    <t>VT9203</t>
  </si>
  <si>
    <t>Ventilador Torre De Resfriamento Da Fabrica Nº 03</t>
  </si>
  <si>
    <t>Paula Caroline Morais Duarte - 30/01/2025 09:03:09</t>
  </si>
  <si>
    <t>Paula Caroline Morais Duarte - 30/01/2025 09:03:11</t>
  </si>
  <si>
    <t>Paula Caroline Morais Duarte - 30/01/2025 09:03:13</t>
  </si>
  <si>
    <t>Paula Caroline Morais Duarte - 30/01/2025 09:03:15</t>
  </si>
  <si>
    <t>Paula Caroline Morais Duarte - 30/01/2025 09:03:18</t>
  </si>
  <si>
    <t>Paula Caroline Morais Duarte - 30/01/2025 09:03:19</t>
  </si>
  <si>
    <t>Paula Caroline Morais Duarte - 30/01/2025 09:03:22</t>
  </si>
  <si>
    <t>Paula Caroline Morais Duarte - 30/01/2025 09:03:25</t>
  </si>
  <si>
    <t>Paula Caroline Morais Duarte - 30/01/2025 09:03:31</t>
  </si>
  <si>
    <t>Paula Caroline Morais Duarte - 30/01/2025 09:03:34</t>
  </si>
  <si>
    <t>Paula Caroline Morais Duarte - 30/01/2025 09:03:36</t>
  </si>
  <si>
    <t>Paula Caroline Morais Duarte - 30/01/2025 09:03:39</t>
  </si>
  <si>
    <t>Paula Caroline Morais Duarte - 30/01/2025 09:03:41</t>
  </si>
  <si>
    <t>Paula Caroline Morais Duarte - 30/01/2025 09:03:49</t>
  </si>
  <si>
    <t>Paula Caroline Morais Duarte - 30/01/2025 09:03:47</t>
  </si>
  <si>
    <t>Paula Caroline Morais Duarte - 30/01/2025 09:03:52</t>
  </si>
  <si>
    <t>Paula Caroline Morais Duarte - 30/01/2025 09:03:54</t>
  </si>
  <si>
    <t>Paula Caroline Morais Duarte - 30/01/2025 09:03:58</t>
  </si>
  <si>
    <t>Paula Caroline Morais Duarte - 30/01/2025 09:04:01</t>
  </si>
  <si>
    <t>Paula Caroline Morais Duarte - 30/01/2025 09:04:03</t>
  </si>
  <si>
    <t>Paula Caroline Morais Duarte - 30/01/2025 09:04:05</t>
  </si>
  <si>
    <t>Alisson Airton Sobrinho - 07/03/2025 09:18:02</t>
  </si>
  <si>
    <t>Alisson Airton Sobrinho - 07/03/2025 09:18:03</t>
  </si>
  <si>
    <t>Alisson Airton Sobrinho - 07/03/2025 09:18:04</t>
  </si>
  <si>
    <t>Alisson Airton Sobrinho - 07/03/2025 09:18:06</t>
  </si>
  <si>
    <t>Alisson Airton Sobrinho - 07/03/2025 09:18:07</t>
  </si>
  <si>
    <t>Alisson Airton Sobrinho - 07/03/2025 09:18:08</t>
  </si>
  <si>
    <t>Alisson Airton Sobrinho - 07/03/2025 09:18:13</t>
  </si>
  <si>
    <t>Alisson Airton Sobrinho - 07/03/2025 09:18:17</t>
  </si>
  <si>
    <t>Alisson Airton Sobrinho - 07/03/2025 09:18:18</t>
  </si>
  <si>
    <t>Alisson Airton Sobrinho - 07/03/2025 09:18:19</t>
  </si>
  <si>
    <t>Paula Caroline Morais Duarte - 01/30/2025 09:03:00</t>
  </si>
  <si>
    <t>VT9204</t>
  </si>
  <si>
    <t>Ventilador Torre De Resfriamento Da Destilaria Nº</t>
  </si>
  <si>
    <t>Paula Caroline Morais Duarte - 11/02/2025 11:47:56</t>
  </si>
  <si>
    <t>Paula Caroline Morais Duarte - 11/02/2025 11:47:58</t>
  </si>
  <si>
    <t>Paula Caroline Morais Duarte - 11/02/2025 11:48:00</t>
  </si>
  <si>
    <t>Paula Caroline Morais Duarte - 11/02/2025 11:48:01</t>
  </si>
  <si>
    <t>Paula Caroline Morais Duarte - 11/02/2025 11:48:03</t>
  </si>
  <si>
    <t>Paula Caroline Morais Duarte - 11/02/2025 11:48:05</t>
  </si>
  <si>
    <t>Paula Caroline Morais Duarte - 11/02/2025 11:48:07</t>
  </si>
  <si>
    <t>Paula Caroline Morais Duarte - 11/02/2025 11:48:09</t>
  </si>
  <si>
    <t>Paula Caroline Morais Duarte - 11/02/2025 11:48:11</t>
  </si>
  <si>
    <t>Paula Caroline Morais Duarte - 11/02/2025 11:48:12</t>
  </si>
  <si>
    <t>Paula Caroline Morais Duarte - 11/02/2025 11:48:14</t>
  </si>
  <si>
    <t>Paula Caroline Morais Duarte - 11/02/2025 11:48:16</t>
  </si>
  <si>
    <t>Paula Caroline Morais Duarte - 11/02/2025 11:48:22</t>
  </si>
  <si>
    <t>Paula Caroline Morais Duarte - 11/02/2025 11:48:24</t>
  </si>
  <si>
    <t>Paula Caroline Morais Duarte - 11/02/2025 11:48:26</t>
  </si>
  <si>
    <t>Paula Caroline Morais Duarte - 11/02/2025 11:48:28</t>
  </si>
  <si>
    <t>Paula Caroline Morais Duarte - 11/02/2025 11:48:30</t>
  </si>
  <si>
    <t>Paula Caroline Morais Duarte - 11/02/2025 11:48:36</t>
  </si>
  <si>
    <t>Paula Caroline Morais Duarte - 11/02/2025 11:48:38</t>
  </si>
  <si>
    <t>Paula Caroline Morais Duarte - 11/02/2025 11:48:47</t>
  </si>
  <si>
    <t>Paula Caroline Morais Duarte - 11/02/2025 11:48:49</t>
  </si>
  <si>
    <t>Alisson Airton Sobrinho - 05/03/2025 16:42:12</t>
  </si>
  <si>
    <t>Alisson Airton Sobrinho - 05/03/2025 16:42:13</t>
  </si>
  <si>
    <t>Alisson Airton Sobrinho - 05/03/2025 16:42:14</t>
  </si>
  <si>
    <t>Alisson Airton Sobrinho - 05/03/2025 16:42:16</t>
  </si>
  <si>
    <t>Alisson Airton Sobrinho - 05/03/2025 16:42:17</t>
  </si>
  <si>
    <t>Alisson Airton Sobrinho - 05/03/2025 16:42:21</t>
  </si>
  <si>
    <t>Alisson Airton Sobrinho - 05/03/2025 16:42:20</t>
  </si>
  <si>
    <t>Alisson Airton Sobrinho - 05/03/2025 16:42:25</t>
  </si>
  <si>
    <t>Alisson Airton Sobrinho - 05/03/2025 16:42:27</t>
  </si>
  <si>
    <t>Alisson Airton Sobrinho - 05/03/2025 16:42:28</t>
  </si>
  <si>
    <t>Alisson Airton Sobrinho - 06/03/2025 13:06:48</t>
  </si>
  <si>
    <t>Alisson Airton Sobrinho - 06/03/2025 13:06:49</t>
  </si>
  <si>
    <t>Alisson Airton Sobrinho - 06/03/2025 13:06:50</t>
  </si>
  <si>
    <t>Base de Dados_Images/VT9204.Imagem do Equipamento-.151502.jpg</t>
  </si>
  <si>
    <t>Paula Caroline Morais Duarte - 11/02/2025 11:47:50</t>
  </si>
  <si>
    <t>VT9205</t>
  </si>
  <si>
    <t>Ventilador Torre Resfriamento Fermentacao Nº 1</t>
  </si>
  <si>
    <t>Paula Caroline Morais Duarte - 11/02/2025 11:21:10</t>
  </si>
  <si>
    <t>Paula Caroline Morais Duarte - 11/02/2025 11:21:14</t>
  </si>
  <si>
    <t>Paula Caroline Morais Duarte - 11/02/2025 11:21:12</t>
  </si>
  <si>
    <t>Paula Caroline Morais Duarte - 11/02/2025 11:21:15</t>
  </si>
  <si>
    <t>Paula Caroline Morais Duarte - 11/02/2025 11:21:46</t>
  </si>
  <si>
    <t>Paula Caroline Morais Duarte - 11/02/2025 11:21:44</t>
  </si>
  <si>
    <t>Paula Caroline Morais Duarte - 11/02/2025 11:21:42</t>
  </si>
  <si>
    <t>Paula Caroline Morais Duarte - 11/02/2025 11:21:40</t>
  </si>
  <si>
    <t>Paula Caroline Morais Duarte - 11/02/2025 11:21:38</t>
  </si>
  <si>
    <t>Paula Caroline Morais Duarte - 11/02/2025 11:21:37</t>
  </si>
  <si>
    <t>Paula Caroline Morais Duarte - 11/02/2025 11:21:33</t>
  </si>
  <si>
    <t>Paula Caroline Morais Duarte - 11/02/2025 11:21:30</t>
  </si>
  <si>
    <t>Paula Caroline Morais Duarte - 11/02/2025 11:21:28</t>
  </si>
  <si>
    <t>Paula Caroline Morais Duarte - 11/02/2025 11:21:26</t>
  </si>
  <si>
    <t>Paula Caroline Morais Duarte - 11/02/2025 11:21:25</t>
  </si>
  <si>
    <t>Paula Caroline Morais Duarte - 11/02/2025 11:21:23</t>
  </si>
  <si>
    <t>Paula Caroline Morais Duarte - 11/02/2025 11:21:21</t>
  </si>
  <si>
    <t>Paula Caroline Morais Duarte - 11/02/2025 11:21:20</t>
  </si>
  <si>
    <t>Paula Caroline Morais Duarte - 11/02/2025 11:21:18</t>
  </si>
  <si>
    <t>Alisson Airton Sobrinho - 07/03/2025 09:02:01</t>
  </si>
  <si>
    <t>Alisson Airton Sobrinho - 07/03/2025 09:02:03</t>
  </si>
  <si>
    <t>Alisson Airton Sobrinho - 07/03/2025 09:02:02</t>
  </si>
  <si>
    <t>Alisson Airton Sobrinho - 07/03/2025 09:02:05</t>
  </si>
  <si>
    <t>Alisson Airton Sobrinho - 07/03/2025 09:02:06</t>
  </si>
  <si>
    <t>Alisson Airton Sobrinho - 07/03/2025 09:02:07</t>
  </si>
  <si>
    <t>Alisson Airton Sobrinho - 07/03/2025 09:02:12</t>
  </si>
  <si>
    <t>Alisson Airton Sobrinho - 07/03/2025 09:02:13</t>
  </si>
  <si>
    <t>Alisson Airton Sobrinho - 07/03/2025 09:02:14</t>
  </si>
  <si>
    <t>Alisson Airton Sobrinho - 07/03/2025 09:02:19</t>
  </si>
  <si>
    <t>Alisson Airton Sobrinho - 07/03/2025 09:02:21</t>
  </si>
  <si>
    <t>Base de Dados_Images/VT9205.Imagem do Equipamento-.151712.jpg</t>
  </si>
  <si>
    <t>Paula Caroline Morais Duarte - 11/02/2025 11:50:50</t>
  </si>
  <si>
    <t>VT9206</t>
  </si>
  <si>
    <t>Ventilador Torre Resfriamento Fermentacao Nº 2</t>
  </si>
  <si>
    <t>Paula Caroline Morais Duarte - 11/02/2025 11:51:10</t>
  </si>
  <si>
    <t>Paula Caroline Morais Duarte - 11/02/2025 11:51:12</t>
  </si>
  <si>
    <t>Paula Caroline Morais Duarte - 11/02/2025 11:51:14</t>
  </si>
  <si>
    <t>Paula Caroline Morais Duarte - 11/02/2025 11:51:16</t>
  </si>
  <si>
    <t>Paula Caroline Morais Duarte - 11/02/2025 11:51:18</t>
  </si>
  <si>
    <t>Paula Caroline Morais Duarte - 11/02/2025 11:51:20</t>
  </si>
  <si>
    <t>Paula Caroline Morais Duarte - 11/02/2025 11:51:22</t>
  </si>
  <si>
    <t>Paula Caroline Morais Duarte - 11/02/2025 11:51:25</t>
  </si>
  <si>
    <t>Paula Caroline Morais Duarte - 11/02/2025 11:51:27</t>
  </si>
  <si>
    <t>Paula Caroline Morais Duarte - 11/02/2025 11:51:30</t>
  </si>
  <si>
    <t>Paula Caroline Morais Duarte - 11/02/2025 11:51:31</t>
  </si>
  <si>
    <t>Paula Caroline Morais Duarte - 11/02/2025 11:51:33</t>
  </si>
  <si>
    <t>Paula Caroline Morais Duarte - 11/02/2025 11:51:36</t>
  </si>
  <si>
    <t>Paula Caroline Morais Duarte - 11/02/2025 11:51:38</t>
  </si>
  <si>
    <t>Paula Caroline Morais Duarte - 11/02/2025 11:51:40</t>
  </si>
  <si>
    <t>Paula Caroline Morais Duarte - 11/02/2025 11:51:42</t>
  </si>
  <si>
    <t>Paula Caroline Morais Duarte - 11/02/2025 11:51:44</t>
  </si>
  <si>
    <t>Paula Caroline Morais Duarte - 11/02/2025 11:51:46</t>
  </si>
  <si>
    <t>Paula Caroline Morais Duarte - 11/02/2025 11:51:49</t>
  </si>
  <si>
    <t>Paula Caroline Morais Duarte - 11/02/2025 11:51:55</t>
  </si>
  <si>
    <t>Paula Caroline Morais Duarte - 11/02/2025 11:51:56</t>
  </si>
  <si>
    <t>Alisson Airton Sobrinho - 11/03/2025 07:18:32</t>
  </si>
  <si>
    <t>Alisson Airton Sobrinho - 11/03/2025 07:18:33</t>
  </si>
  <si>
    <t>Alisson Airton Sobrinho - 11/03/2025 07:18:34</t>
  </si>
  <si>
    <t>Alisson Airton Sobrinho - 11/03/2025 07:18:35</t>
  </si>
  <si>
    <t>Alisson Airton Sobrinho - 11/03/2025 07:18:36</t>
  </si>
  <si>
    <t>Alisson Airton Sobrinho - 11/03/2025 07:18:37</t>
  </si>
  <si>
    <t>Alisson Airton Sobrinho - 11/03/2025 07:18:41</t>
  </si>
  <si>
    <t>Alisson Airton Sobrinho - 11/03/2025 07:18:42</t>
  </si>
  <si>
    <t>Alisson Airton Sobrinho - 11/03/2025 07:18:47</t>
  </si>
  <si>
    <t>Alisson Airton Sobrinho - 11/03/2025 07:18:48</t>
  </si>
  <si>
    <t>Base de Dados_Images/VT9206.Imagem do Equipamento-.151719.jpg</t>
  </si>
  <si>
    <t>Paula Caroline Morais Duarte - 11/02/2025 11:51:03</t>
  </si>
  <si>
    <t>VT9207</t>
  </si>
  <si>
    <t>Ventilador Torre Resfriamento Fermentacao Nº 3</t>
  </si>
  <si>
    <t>Paula Caroline Morais Duarte - 11/02/2025 11:52:27</t>
  </si>
  <si>
    <t>Paula Caroline Morais Duarte - 11/02/2025 11:52:29</t>
  </si>
  <si>
    <t>Paula Caroline Morais Duarte - 11/02/2025 11:52:30</t>
  </si>
  <si>
    <t>Paula Caroline Morais Duarte - 11/02/2025 11:52:32</t>
  </si>
  <si>
    <t>Paula Caroline Morais Duarte - 11/02/2025 11:52:35</t>
  </si>
  <si>
    <t>Paula Caroline Morais Duarte - 11/02/2025 11:52:37</t>
  </si>
  <si>
    <t>Paula Caroline Morais Duarte - 11/02/2025 11:52:39</t>
  </si>
  <si>
    <t>Paula Caroline Morais Duarte - 11/02/2025 11:52:41</t>
  </si>
  <si>
    <t>Paula Caroline Morais Duarte - 11/02/2025 11:52:43</t>
  </si>
  <si>
    <t>Paula Caroline Morais Duarte - 11/02/2025 11:52:46</t>
  </si>
  <si>
    <t>Paula Caroline Morais Duarte - 11/02/2025 11:52:48</t>
  </si>
  <si>
    <t>Paula Caroline Morais Duarte - 11/02/2025 11:52:50</t>
  </si>
  <si>
    <t>Paula Caroline Morais Duarte - 11/02/2025 11:52:52</t>
  </si>
  <si>
    <t>Paula Caroline Morais Duarte - 11/02/2025 11:52:54</t>
  </si>
  <si>
    <t>Paula Caroline Morais Duarte - 11/02/2025 11:52:56</t>
  </si>
  <si>
    <t>Paula Caroline Morais Duarte - 11/02/2025 11:52:58</t>
  </si>
  <si>
    <t>Paula Caroline Morais Duarte - 11/02/2025 11:53:00</t>
  </si>
  <si>
    <t>Paula Caroline Morais Duarte - 11/02/2025 11:53:03</t>
  </si>
  <si>
    <t>Paula Caroline Morais Duarte - 11/02/2025 11:53:05</t>
  </si>
  <si>
    <t>Paula Caroline Morais Duarte - 11/02/2025 11:53:07</t>
  </si>
  <si>
    <t>Paula Caroline Morais Duarte - 11/02/2025 11:53:09</t>
  </si>
  <si>
    <t>Alisson Airton Sobrinho - 07/03/2025 09:02:35</t>
  </si>
  <si>
    <t>Alisson Airton Sobrinho - 07/03/2025 09:02:38</t>
  </si>
  <si>
    <t>Alisson Airton Sobrinho - 07/03/2025 09:02:40</t>
  </si>
  <si>
    <t>Alisson Airton Sobrinho - 07/03/2025 09:02:45</t>
  </si>
  <si>
    <t>Alisson Airton Sobrinho - 07/03/2025 09:02:46</t>
  </si>
  <si>
    <t>Alisson Airton Sobrinho - 07/03/2025 09:02:50</t>
  </si>
  <si>
    <t>Alisson Airton Sobrinho - 07/03/2025 09:02:52</t>
  </si>
  <si>
    <t>Alisson Airton Sobrinho - 07/03/2025 09:02:51</t>
  </si>
  <si>
    <t>Alisson Airton Sobrinho - 07/03/2025 09:02:55</t>
  </si>
  <si>
    <t>Alisson Airton Sobrinho - 07/03/2025 09:02:56</t>
  </si>
  <si>
    <t>Alisson Airton Sobrinho - 07/03/2025 09:02:57</t>
  </si>
  <si>
    <t>Base de Dados_Images/VT9207.Imagem do Equipamento-.151951.jpg</t>
  </si>
  <si>
    <t>Paula Caroline Morais Duarte - 11/02/2025 11:52:18</t>
  </si>
  <si>
    <t>VT9208</t>
  </si>
  <si>
    <t>Ventilador Torre Resfriamento Da Fabrica Nº 04</t>
  </si>
  <si>
    <t>Paula Caroline Morais Duarte - 30/01/2025 09:04:39</t>
  </si>
  <si>
    <t>Paula Caroline Morais Duarte - 30/01/2025 09:04:41</t>
  </si>
  <si>
    <t>Paula Caroline Morais Duarte - 30/01/2025 09:04:43</t>
  </si>
  <si>
    <t>Paula Caroline Morais Duarte - 30/01/2025 09:04:48</t>
  </si>
  <si>
    <t>Paula Caroline Morais Duarte - 30/01/2025 09:04:50</t>
  </si>
  <si>
    <t>Paula Caroline Morais Duarte - 30/01/2025 09:04:52</t>
  </si>
  <si>
    <t>Paula Caroline Morais Duarte - 30/01/2025 09:04:56</t>
  </si>
  <si>
    <t>Paula Caroline Morais Duarte - 30/01/2025 09:04:58</t>
  </si>
  <si>
    <t>Paula Caroline Morais Duarte - 30/01/2025 09:05:00</t>
  </si>
  <si>
    <t>Paula Caroline Morais Duarte - 30/01/2025 09:05:02</t>
  </si>
  <si>
    <t>Paula Caroline Morais Duarte - 30/01/2025 09:05:05</t>
  </si>
  <si>
    <t>Paula Caroline Morais Duarte - 30/01/2025 09:05:07</t>
  </si>
  <si>
    <t>Paula Caroline Morais Duarte - 30/01/2025 09:05:09</t>
  </si>
  <si>
    <t>Paula Caroline Morais Duarte - 30/01/2025 09:05:13</t>
  </si>
  <si>
    <t>Paula Caroline Morais Duarte - 30/01/2025 09:05:16</t>
  </si>
  <si>
    <t>Paula Caroline Morais Duarte - 30/01/2025 09:05:18</t>
  </si>
  <si>
    <t>Paula Caroline Morais Duarte - 30/01/2025 09:05:20</t>
  </si>
  <si>
    <t>Paula Caroline Morais Duarte - 30/01/2025 09:06:49</t>
  </si>
  <si>
    <t>Matheus César Azevedo Neto - 31/01/2025 11:42:05</t>
  </si>
  <si>
    <t>Matheus César Azevedo Neto - 31/01/2025 11:42:10</t>
  </si>
  <si>
    <t>Paula Caroline Morais Duarte - 30/01/2025 09:05:29</t>
  </si>
  <si>
    <t>Alisson Airton Sobrinho - 07/03/2025 09:18:25</t>
  </si>
  <si>
    <t>Alisson Airton Sobrinho - 07/03/2025 09:18:26</t>
  </si>
  <si>
    <t>Alisson Airton Sobrinho - 07/03/2025 09:18:27</t>
  </si>
  <si>
    <t>Alisson Airton Sobrinho - 07/03/2025 09:18:29</t>
  </si>
  <si>
    <t>Alisson Airton Sobrinho - 07/03/2025 09:18:31</t>
  </si>
  <si>
    <t>Alisson Airton Sobrinho - 07/03/2025 09:18:32</t>
  </si>
  <si>
    <t>Alisson Airton Sobrinho - 07/03/2025 09:18:37</t>
  </si>
  <si>
    <t>Alisson Airton Sobrinho - 07/03/2025 09:18:38</t>
  </si>
  <si>
    <t>Alisson Airton Sobrinho - 07/03/2025 09:18:43</t>
  </si>
  <si>
    <t>Alisson Airton Sobrinho - 07/03/2025 09:18:44</t>
  </si>
  <si>
    <t>Alisson Airton Sobrinho - 07/03/2025 09:18:46</t>
  </si>
  <si>
    <t>Paula Caroline Morais Duarte - 01/30/2025 09:04:16</t>
  </si>
  <si>
    <t>VT9209</t>
  </si>
  <si>
    <t>Ventilador Torre De Resfriamento De Agua Alpina</t>
  </si>
  <si>
    <t>Paula Caroline Morais Duarte - 31/01/2025 09:46:38</t>
  </si>
  <si>
    <t>Paula Caroline Morais Duarte - 31/01/2025 09:46:39</t>
  </si>
  <si>
    <t>Paula Caroline Morais Duarte - 31/01/2025 09:46:41</t>
  </si>
  <si>
    <t>Paula Caroline Morais Duarte - 31/01/2025 09:46:44</t>
  </si>
  <si>
    <t>Paula Caroline Morais Duarte - 31/01/2025 09:46:43</t>
  </si>
  <si>
    <t>Paula Caroline Morais Duarte - 31/01/2025 09:46:45</t>
  </si>
  <si>
    <t>Paula Caroline Morais Duarte - 31/01/2025 09:46:47</t>
  </si>
  <si>
    <t>Paula Caroline Morais Duarte - 31/01/2025 09:46:49</t>
  </si>
  <si>
    <t>Paula Caroline Morais Duarte - 31/01/2025 09:46:50</t>
  </si>
  <si>
    <t>Paula Caroline Morais Duarte - 31/01/2025 09:46:57</t>
  </si>
  <si>
    <t>Paula Caroline Morais Duarte - 31/01/2025 09:47:18</t>
  </si>
  <si>
    <t>Paula Caroline Morais Duarte - 31/01/2025 09:47:04</t>
  </si>
  <si>
    <t>Paula Caroline Morais Duarte - 31/01/2025 09:47:03</t>
  </si>
  <si>
    <t>Paula Caroline Morais Duarte - 31/01/2025 09:47:02</t>
  </si>
  <si>
    <t>Paula Caroline Morais Duarte - 31/01/2025 09:47:01</t>
  </si>
  <si>
    <t>Paula Caroline Morais Duarte - 31/01/2025 09:47:07</t>
  </si>
  <si>
    <t>Paula Caroline Morais Duarte - 31/01/2025 09:47:08</t>
  </si>
  <si>
    <t>Paula Caroline Morais Duarte - 31/01/2025 09:47:10</t>
  </si>
  <si>
    <t>Paula Caroline Morais Duarte - 31/01/2025 09:47:11</t>
  </si>
  <si>
    <t>Paula Caroline Morais Duarte - 31/01/2025 09:47:13</t>
  </si>
  <si>
    <t>Paula Caroline Morais Duarte - 03/03/2025 08:39:23</t>
  </si>
  <si>
    <t>Paula Caroline Morais Duarte - 03/03/2025 08:39:25</t>
  </si>
  <si>
    <t>Paula Caroline Morais Duarte - 03/03/2025 08:39:27</t>
  </si>
  <si>
    <t>Paula Caroline Morais Duarte - 03/03/2025 08:39:31</t>
  </si>
  <si>
    <t>Paula Caroline Morais Duarte - 03/03/2025 08:39:32</t>
  </si>
  <si>
    <t>Paula Caroline Morais Duarte - 03/03/2025 08:39:39</t>
  </si>
  <si>
    <t>Paula Caroline Morais Duarte - 03/03/2025 08:39:45</t>
  </si>
  <si>
    <t>Paula Caroline Morais Duarte - 03/03/2025 08:41:00</t>
  </si>
  <si>
    <t>Paula Caroline Morais Duarte - 03/03/2025 08:41:01</t>
  </si>
  <si>
    <t>Paula Caroline Morais Duarte - 03/03/2025 08:41:03</t>
  </si>
  <si>
    <t>Alisson Airton Sobrinho - 07/03/2025 09:11:42</t>
  </si>
  <si>
    <t>Alisson Airton Sobrinho - 07/03/2025 09:11:43</t>
  </si>
  <si>
    <t>Base de Dados_Images/VT9209.Imagem do Equipamento-.153532.jpg</t>
  </si>
  <si>
    <t>Paula Caroline Morais Duarte - 31/01/2025 11:10:49</t>
  </si>
  <si>
    <t>VT9210</t>
  </si>
  <si>
    <t>Ventilador Torre Resfriamento Moenda</t>
  </si>
  <si>
    <t>Paula Caroline Morais Duarte - 31/01/2025 11:09:06</t>
  </si>
  <si>
    <t>Paula Caroline Morais Duarte - 31/01/2025 11:09:07</t>
  </si>
  <si>
    <t>Paula Caroline Morais Duarte - 31/01/2025 11:09:08</t>
  </si>
  <si>
    <t>Paula Caroline Morais Duarte - 31/01/2025 11:09:13</t>
  </si>
  <si>
    <t>Paula Caroline Morais Duarte - 31/01/2025 11:09:17</t>
  </si>
  <si>
    <t>Paula Caroline Morais Duarte - 31/01/2025 11:09:18</t>
  </si>
  <si>
    <t>Paula Caroline Morais Duarte - 31/01/2025 11:09:20</t>
  </si>
  <si>
    <t>Paula Caroline Morais Duarte - 31/01/2025 11:09:22</t>
  </si>
  <si>
    <t>Paula Caroline Morais Duarte - 31/01/2025 11:09:33</t>
  </si>
  <si>
    <t>Paula Caroline Morais Duarte - 31/01/2025 11:09:34</t>
  </si>
  <si>
    <t>Paula Caroline Morais Duarte - 31/01/2025 11:09:42</t>
  </si>
  <si>
    <t>Paula Caroline Morais Duarte - 31/01/2025 11:09:44</t>
  </si>
  <si>
    <t>Paula Caroline Morais Duarte - 31/01/2025 11:09:46</t>
  </si>
  <si>
    <t>Paula Caroline Morais Duarte - 31/01/2025 11:09:48</t>
  </si>
  <si>
    <t>Paula Caroline Morais Duarte - 31/01/2025 11:09:55</t>
  </si>
  <si>
    <t>Paula Caroline Morais Duarte - 31/01/2025 11:09:57</t>
  </si>
  <si>
    <t>Paula Caroline Morais Duarte - 31/01/2025 11:09:58</t>
  </si>
  <si>
    <t>Paula Caroline Morais Duarte - 31/01/2025 11:10:00</t>
  </si>
  <si>
    <t>Paula Caroline Morais Duarte - 31/01/2025 11:10:02</t>
  </si>
  <si>
    <t>Paula Caroline Morais Duarte - 31/01/2025 11:10:04</t>
  </si>
  <si>
    <t>Paula Caroline Morais Duarte - 31/01/2025 11:10:05</t>
  </si>
  <si>
    <t>Paula Caroline Morais Duarte - 03/03/2025 09:13:50</t>
  </si>
  <si>
    <t>Paula Caroline Morais Duarte - 03/03/2025 09:13:51</t>
  </si>
  <si>
    <t>Paula Caroline Morais Duarte - 03/03/2025 09:13:52</t>
  </si>
  <si>
    <t>Paula Caroline Morais Duarte - 03/03/2025 09:13:54</t>
  </si>
  <si>
    <t>Paula Caroline Morais Duarte - 03/03/2025 09:13:55</t>
  </si>
  <si>
    <t>Paula Caroline Morais Duarte - 03/03/2025 09:13:59</t>
  </si>
  <si>
    <t>Paula Caroline Morais Duarte - 03/03/2025 09:14:00</t>
  </si>
  <si>
    <t>Paula Caroline Morais Duarte - 03/03/2025 09:13:42</t>
  </si>
  <si>
    <t>Paula Caroline Morais Duarte - 03/03/2025 09:13:43</t>
  </si>
  <si>
    <t>Paula Caroline Morais Duarte - 03/03/2025 09:13:44</t>
  </si>
  <si>
    <t>Alisson Airton Sobrinho - 07/03/2025 06:50:43</t>
  </si>
  <si>
    <t>Alisson Airton Sobrinho - 07/03/2025 06:50:42</t>
  </si>
  <si>
    <t>Base de Dados_Images/VT9210.Imagem do Equipamento-.153342.jpg</t>
  </si>
  <si>
    <t>Paula Caroline Morais Duarte - 31/01/2025 11:09:00</t>
  </si>
  <si>
    <t>WIC81029</t>
  </si>
  <si>
    <t>Controle De Torque Eixo Clarificador</t>
  </si>
  <si>
    <t>Alisson Airton Sobrinho - 07/03/2025 13:31:01</t>
  </si>
  <si>
    <t>Alisson Airton Sobrinho - 07/03/2025 13:31:02</t>
  </si>
  <si>
    <t>Alisson Airton Sobrinho - 07/03/2025 13:31:06</t>
  </si>
  <si>
    <t>Paula Caroline Morais Duarte - 02/03/2025 15:28:26</t>
  </si>
  <si>
    <t>XCV40004</t>
  </si>
  <si>
    <t>Válvula Água Multijato Cozedor 2</t>
  </si>
  <si>
    <t>Beatriz Alves Nunes de Paulo - 29/01/2025 14:04:36</t>
  </si>
  <si>
    <t>Beatriz Alves Nunes de Paulo - 29/01/2025 14:04:38</t>
  </si>
  <si>
    <t>Beatriz Alves Nunes de Paulo - 29/01/2025 14:04:46</t>
  </si>
  <si>
    <t>Beatriz Alves Nunes de Paulo - 29/01/2025 14:04:48</t>
  </si>
  <si>
    <t>Beatriz Alves Nunes de Paulo - 29/01/2025 14:04:51</t>
  </si>
  <si>
    <t>Beatriz Alves Nunes de Paulo - 29/01/2025 14:04:52</t>
  </si>
  <si>
    <t>Beatriz Alves Nunes de Paulo - 29/01/2025 14:04:57</t>
  </si>
  <si>
    <t>Beatriz Alves Nunes de Paulo - 29/01/2025 14:04:58</t>
  </si>
  <si>
    <t>Beatriz Alves Nunes de Paulo - 29/01/2025 14:05:04</t>
  </si>
  <si>
    <t>Beatriz Alves Nunes de Paulo - 29/01/2025 14:05:06</t>
  </si>
  <si>
    <t>Beatriz Alves Nunes de Paulo - 11/02/2025 09:30:39</t>
  </si>
  <si>
    <t>Alisson Airton Sobrinho - 07/03/2025 08:14:29</t>
  </si>
  <si>
    <t>Base de Dados_Images/XCV40004.Imagem do Equipamento-.190923.jpg</t>
  </si>
  <si>
    <t>Beatriz Alves Nunes de Paulo - 29/01/2025 14:04:08</t>
  </si>
  <si>
    <t>XCV40007</t>
  </si>
  <si>
    <t>Válvula Água Multijato Cozedor 3</t>
  </si>
  <si>
    <t>Beatriz Alves Nunes de Paulo - 29/01/2025 09:07:15</t>
  </si>
  <si>
    <t>Beatriz Alves Nunes de Paulo - 29/01/2025 09:07:19</t>
  </si>
  <si>
    <t>Beatriz Alves Nunes de Paulo - 29/01/2025 09:07:20</t>
  </si>
  <si>
    <t>Beatriz Alves Nunes de Paulo - 29/01/2025 09:07:22</t>
  </si>
  <si>
    <t>Beatriz Alves Nunes de Paulo - 29/01/2025 09:07:39</t>
  </si>
  <si>
    <t>Beatriz Alves Nunes de Paulo - 29/01/2025 09:07:41</t>
  </si>
  <si>
    <t>Beatriz Alves Nunes de Paulo - 29/01/2025 09:07:52</t>
  </si>
  <si>
    <t>Beatriz Alves Nunes de Paulo - 29/01/2025 09:07:53</t>
  </si>
  <si>
    <t>Beatriz Alves Nunes de Paulo - 20/02/2025 10:14:43</t>
  </si>
  <si>
    <t>Alisson Airton Sobrinho - 07/03/2025 08:14:33</t>
  </si>
  <si>
    <t>Base de Dados_Images/XCV40007.Imagem do Equipamento-.154832.jpg</t>
  </si>
  <si>
    <t>Beatriz Alves Nunes de Paulo - 29/01/2025 09:07:10</t>
  </si>
  <si>
    <t>XCV65017</t>
  </si>
  <si>
    <t>Válvula recirculacão dona 1</t>
  </si>
  <si>
    <t>Weslley Ferreira Cooper - 30/01/2025 09:40:23</t>
  </si>
  <si>
    <t>Weslley Ferreira Cooper - 30/01/2025 09:40:22</t>
  </si>
  <si>
    <t>Weslley Ferreira Cooper - 30/01/2025 09:40:21</t>
  </si>
  <si>
    <t>Weslley Ferreira Cooper - 30/01/2025 09:40:16</t>
  </si>
  <si>
    <t>Weslley Ferreira Cooper - 30/01/2025 09:40:13</t>
  </si>
  <si>
    <t>Weslley Ferreira Cooper - 30/01/2025 09:40:12</t>
  </si>
  <si>
    <t>Weslley Ferreira Cooper - 30/01/2025 09:40:11</t>
  </si>
  <si>
    <t>Weslley Ferreira Cooper - 30/01/2025 09:40:09</t>
  </si>
  <si>
    <t>Alisson Airton Sobrinho - 08/02/2025 14:08:49</t>
  </si>
  <si>
    <t>Alisson Airton Sobrinho - 15/02/2025 11:10:54</t>
  </si>
  <si>
    <t>Alisson Airton Sobrinho - 04/03/2025 07:56:56</t>
  </si>
  <si>
    <t>Base de Dados_Images/XCV65017.Imagem do Equipamento-.131848.jpg</t>
  </si>
  <si>
    <t>Weslley Ferreira Cooper - 30/01/2025 09:40:01</t>
  </si>
  <si>
    <t>XCV65018</t>
  </si>
  <si>
    <t>Válvula recirculacão dorna 2</t>
  </si>
  <si>
    <t>Weslley Ferreira Cooper - 30/01/2025 09:42:08</t>
  </si>
  <si>
    <t>Weslley Ferreira Cooper - 30/01/2025 09:42:07</t>
  </si>
  <si>
    <t>Weslley Ferreira Cooper - 30/01/2025 09:42:06</t>
  </si>
  <si>
    <t>Weslley Ferreira Cooper - 30/01/2025 09:42:03</t>
  </si>
  <si>
    <t>Weslley Ferreira Cooper - 30/01/2025 09:42:02</t>
  </si>
  <si>
    <t>Weslley Ferreira Cooper - 30/01/2025 09:42:01</t>
  </si>
  <si>
    <t>Weslley Ferreira Cooper - 30/01/2025 09:41:59</t>
  </si>
  <si>
    <t>Weslley Ferreira Cooper - 30/01/2025 09:41:58</t>
  </si>
  <si>
    <t>Alisson Airton Sobrinho - 08/02/2025 14:10:16</t>
  </si>
  <si>
    <t>Alisson Airton Sobrinho - 08/02/2025 14:10:17</t>
  </si>
  <si>
    <t>Alisson Airton Sobrinho - 15/02/2025 11:26:16</t>
  </si>
  <si>
    <t>Alisson Airton Sobrinho - 04/03/2025 08:13:41</t>
  </si>
  <si>
    <t>Base de Dados_Images/XCV65018.Imagem do Equipamento-.131926.jpg</t>
  </si>
  <si>
    <t>Weslley Ferreira Cooper - 30/01/2025 09:41:32</t>
  </si>
  <si>
    <t>XCV65019</t>
  </si>
  <si>
    <t>Válvula recirculacão dorna 3</t>
  </si>
  <si>
    <t>Weslley Ferreira Cooper - 30/01/2025 09:45:14</t>
  </si>
  <si>
    <t>Weslley Ferreira Cooper - 30/01/2025 09:45:13</t>
  </si>
  <si>
    <t>Weslley Ferreira Cooper - 30/01/2025 09:45:11</t>
  </si>
  <si>
    <t>Weslley Ferreira Cooper - 30/01/2025 09:45:10</t>
  </si>
  <si>
    <t>Weslley Ferreira Cooper - 30/01/2025 09:45:09</t>
  </si>
  <si>
    <t>Weslley Ferreira Cooper - 30/01/2025 09:45:08</t>
  </si>
  <si>
    <t>Weslley Ferreira Cooper - 30/01/2025 09:45:07</t>
  </si>
  <si>
    <t>Alisson Airton Sobrinho - 08/02/2025 09:40:44</t>
  </si>
  <si>
    <t>Alisson Airton Sobrinho - 25/02/2025 10:14:39</t>
  </si>
  <si>
    <t>Alisson Airton Sobrinho - 04/03/2025 08:11:11</t>
  </si>
  <si>
    <t>Base de Dados_Images/XCV65019.Imagem do Equipamento-.132039.jpg</t>
  </si>
  <si>
    <t>Weslley Ferreira Cooper - 30/01/2025 09:45:02</t>
  </si>
  <si>
    <t>XCV65020</t>
  </si>
  <si>
    <t>Válvula recirculacão dorna 4</t>
  </si>
  <si>
    <t>Weslley Ferreira Cooper - 30/01/2025 09:49:04</t>
  </si>
  <si>
    <t>Weslley Ferreira Cooper - 30/01/2025 09:49:03</t>
  </si>
  <si>
    <t>Weslley Ferreira Cooper - 30/01/2025 09:49:02</t>
  </si>
  <si>
    <t>Weslley Ferreira Cooper - 30/01/2025 09:49:01</t>
  </si>
  <si>
    <t>Weslley Ferreira Cooper - 30/01/2025 09:48:58</t>
  </si>
  <si>
    <t>Weslley Ferreira Cooper - 30/01/2025 09:48:57</t>
  </si>
  <si>
    <t>Weslley Ferreira Cooper - 30/01/2025 09:48:56</t>
  </si>
  <si>
    <t>Weslley Ferreira Cooper - 30/01/2025 09:48:55</t>
  </si>
  <si>
    <t>Alisson Airton Sobrinho - 08/02/2025 09:52:47</t>
  </si>
  <si>
    <t>Alisson Airton Sobrinho - 08/02/2025 09:52:48</t>
  </si>
  <si>
    <t>Alisson Airton Sobrinho - 15/02/2025 11:41:16</t>
  </si>
  <si>
    <t>Alisson Airton Sobrinho - 04/03/2025 08:16:13</t>
  </si>
  <si>
    <t>Base de Dados_Images/XCV65020.Imagem do Equipamento-.132214.jpg</t>
  </si>
  <si>
    <t>Weslley Ferreira Cooper - 30/01/2025 09:48:51</t>
  </si>
  <si>
    <t>XCV65021</t>
  </si>
  <si>
    <t>Válvula Recirculacão Dorna 5</t>
  </si>
  <si>
    <t>Weslley Ferreira Cooper - 30/01/2025 09:51:56</t>
  </si>
  <si>
    <t>Weslley Ferreira Cooper - 30/01/2025 09:51:55</t>
  </si>
  <si>
    <t>Weslley Ferreira Cooper - 30/01/2025 09:51:54</t>
  </si>
  <si>
    <t>Weslley Ferreira Cooper - 30/01/2025 09:51:53</t>
  </si>
  <si>
    <t>Weslley Ferreira Cooper - 30/01/2025 09:51:50</t>
  </si>
  <si>
    <t>Weslley Ferreira Cooper - 30/01/2025 09:51:49</t>
  </si>
  <si>
    <t>Weslley Ferreira Cooper - 30/01/2025 09:51:48</t>
  </si>
  <si>
    <t>Weslley Ferreira Cooper - 30/01/2025 09:51:47</t>
  </si>
  <si>
    <t>Alisson Airton Sobrinho - 08/02/2025 10:09:58</t>
  </si>
  <si>
    <t>Alisson Airton Sobrinho - 08/02/2025 10:10:02</t>
  </si>
  <si>
    <t>Alisson Airton Sobrinho - 15/02/2025 12:03:00</t>
  </si>
  <si>
    <t>Alisson Airton Sobrinho - 04/03/2025 08:23:51</t>
  </si>
  <si>
    <t>Base de Dados_Images/XCV65021.Imagem do Equipamento-.132338.jpg</t>
  </si>
  <si>
    <t>Weslley Ferreira Cooper - 30/01/2025 09:51:42</t>
  </si>
  <si>
    <t>XCV65022</t>
  </si>
  <si>
    <t>Válvula recirculacão dorna 6</t>
  </si>
  <si>
    <t>Weslley Ferreira Cooper - 30/01/2025 09:53:25</t>
  </si>
  <si>
    <t>Weslley Ferreira Cooper - 30/01/2025 09:53:24</t>
  </si>
  <si>
    <t>Weslley Ferreira Cooper - 30/01/2025 09:53:23</t>
  </si>
  <si>
    <t>Weslley Ferreira Cooper - 30/01/2025 09:53:22</t>
  </si>
  <si>
    <t>Weslley Ferreira Cooper - 30/01/2025 09:53:19</t>
  </si>
  <si>
    <t>Weslley Ferreira Cooper - 30/01/2025 09:53:18</t>
  </si>
  <si>
    <t>Weslley Ferreira Cooper - 30/01/2025 09:53:17</t>
  </si>
  <si>
    <t>Weslley Ferreira Cooper - 30/01/2025 09:53:16</t>
  </si>
  <si>
    <t>Alisson Airton Sobrinho - 08/02/2025 10:16:06</t>
  </si>
  <si>
    <t>Alisson Airton Sobrinho - 08/02/2025 10:16:05</t>
  </si>
  <si>
    <t>Alisson Airton Sobrinho - 08/02/2025 10:16:10</t>
  </si>
  <si>
    <t>Alisson Airton Sobrinho - 04/03/2025 08:30:27</t>
  </si>
  <si>
    <t>Base de Dados_Images/XCV65022.Imagem do Equipamento-.132505.jpg</t>
  </si>
  <si>
    <t>Weslley Ferreira Cooper - 30/01/2025 09:53:10</t>
  </si>
  <si>
    <t>XCV65023</t>
  </si>
  <si>
    <t>Válvula recirculacão dorna 7</t>
  </si>
  <si>
    <t>Weslley Ferreira Cooper - 30/01/2025 09:54:31</t>
  </si>
  <si>
    <t>Weslley Ferreira Cooper - 30/01/2025 09:54:30</t>
  </si>
  <si>
    <t>Weslley Ferreira Cooper - 30/01/2025 09:54:29</t>
  </si>
  <si>
    <t>Weslley Ferreira Cooper - 30/01/2025 09:54:32</t>
  </si>
  <si>
    <t>Weslley Ferreira Cooper - 30/01/2025 09:54:28</t>
  </si>
  <si>
    <t>Weslley Ferreira Cooper - 30/01/2025 09:54:27</t>
  </si>
  <si>
    <t>Weslley Ferreira Cooper - 30/01/2025 09:54:26</t>
  </si>
  <si>
    <t>Weslley Ferreira Cooper - 30/01/2025 09:54:24</t>
  </si>
  <si>
    <t>Alisson Airton Sobrinho - 08/02/2025 10:21:36</t>
  </si>
  <si>
    <t>Alisson Airton Sobrinho - 08/02/2025 10:21:37</t>
  </si>
  <si>
    <t>Alisson Airton Sobrinho - 08/02/2025 10:21:40</t>
  </si>
  <si>
    <t>Alisson Airton Sobrinho - 04/03/2025 08:27:04</t>
  </si>
  <si>
    <t>Base de Dados_Images/XCV65023.Imagem do Equipamento-.132616.jpg</t>
  </si>
  <si>
    <t>Weslley Ferreira Cooper - 30/01/2025 09:54:19</t>
  </si>
  <si>
    <t>XCV81025</t>
  </si>
  <si>
    <t>Valvula Partida Caldeira (Pos063-07)</t>
  </si>
  <si>
    <t>Weslley Ferreira Cooper - 01/02/2025 09:10:17</t>
  </si>
  <si>
    <t>Weslley Ferreira Cooper - 01/02/2025 09:10:16</t>
  </si>
  <si>
    <t>Weslley Ferreira Cooper - 01/02/2025 09:10:14</t>
  </si>
  <si>
    <t>Weslley Ferreira Cooper - 01/02/2025 09:10:13</t>
  </si>
  <si>
    <t>Weslley Ferreira Cooper - 01/02/2025 09:10:12</t>
  </si>
  <si>
    <t>Paula Caroline Morais Duarte - 19/02/2025 08:34:21</t>
  </si>
  <si>
    <t>Paula Caroline Morais Duarte - 19/02/2025 08:34:22</t>
  </si>
  <si>
    <t>Paula Caroline Morais Duarte - 19/02/2025 08:34:28</t>
  </si>
  <si>
    <t>Paula Caroline Morais Duarte - 19/02/2025 08:34:34</t>
  </si>
  <si>
    <t>Base de Dados_Images/XCV81025.Imagem do Equipamento-.130827.jpg</t>
  </si>
  <si>
    <t>Weslley Ferreira Cooper - 01/02/2025 09:10:08</t>
  </si>
  <si>
    <t>XCV81026</t>
  </si>
  <si>
    <t>Atuador Comporta Bagaço Esteira By-Pass (Pos025-07)</t>
  </si>
  <si>
    <t>Weslley Ferreira Cooper - 05/02/2025 16:30:37</t>
  </si>
  <si>
    <t>Weslley Ferreira Cooper - 05/02/2025 16:30:36</t>
  </si>
  <si>
    <t>Weslley Ferreira Cooper - 05/02/2025 16:30:39</t>
  </si>
  <si>
    <t>Weslley Ferreira Cooper - 05/02/2025 16:30:34</t>
  </si>
  <si>
    <t>Weslley Ferreira Cooper - 05/02/2025 16:30:33</t>
  </si>
  <si>
    <t>Weslley Ferreira Cooper - 05/02/2025 16:30:32</t>
  </si>
  <si>
    <t>Paula Caroline Morais Duarte - 18/02/2025 09:28:08</t>
  </si>
  <si>
    <t>Paula Caroline Morais Duarte - 18/02/2025 09:28:09</t>
  </si>
  <si>
    <t>Paula Caroline Morais Duarte - 18/02/2025 09:28:13</t>
  </si>
  <si>
    <t>Paula Caroline Morais Duarte - 18/02/2025 09:28:17</t>
  </si>
  <si>
    <t>Base de Dados_Images/XCV81026.Imagem do Equipamento-.174352.jpg</t>
  </si>
  <si>
    <t>Paula Caroline Morais Duarte - 17/02/2025 14:43:48</t>
  </si>
  <si>
    <t>XS77001</t>
  </si>
  <si>
    <t>GARRA CARREGAMENTO</t>
  </si>
  <si>
    <t>Weslley Ferreira Cooper - 31/01/2025 15:50:00</t>
  </si>
  <si>
    <t>Weslley Ferreira Cooper - 31/01/2025 15:49:59</t>
  </si>
  <si>
    <t>Weslley Ferreira Cooper - 31/01/2025 15:49:58</t>
  </si>
  <si>
    <t>Weslley Ferreira Cooper - 31/01/2025 15:49:57</t>
  </si>
  <si>
    <t>Alisson Airton Sobrinho - 04/02/2025 15:10:31</t>
  </si>
  <si>
    <t>Alisson Airton Sobrinho - 04/02/2025 15:10:32</t>
  </si>
  <si>
    <t>Alisson Airton Sobrinho - 04/02/2025 15:10:36</t>
  </si>
  <si>
    <t>Alisson Airton Sobrinho - 04/02/2025 15:10:41</t>
  </si>
  <si>
    <t>Alisson Airton Sobrinho - 04/02/2025 15:10:43</t>
  </si>
  <si>
    <t>Alisson Airton Sobrinho - 19/02/2025 11:55:31</t>
  </si>
  <si>
    <t>Weslley Ferreira Cooper - 01/31/2025 15:49:45</t>
  </si>
  <si>
    <t>XV-18007</t>
  </si>
  <si>
    <t>Comporta Bagaço</t>
  </si>
  <si>
    <t>Paula Caroline Morais Duarte - 30/01/2025 11:25:40</t>
  </si>
  <si>
    <t>Paula Caroline Morais Duarte - 30/01/2025 11:25:41</t>
  </si>
  <si>
    <t>Paula Caroline Morais Duarte - 30/01/2025 11:25:43</t>
  </si>
  <si>
    <t>Paula Caroline Morais Duarte - 30/01/2025 11:25:45</t>
  </si>
  <si>
    <t>Paula Caroline Morais Duarte - 30/01/2025 11:25:46</t>
  </si>
  <si>
    <t>Paula Caroline Morais Duarte - 30/01/2025 11:25:48</t>
  </si>
  <si>
    <t>Paula Caroline Morais Duarte - 30/01/2025 11:25:50</t>
  </si>
  <si>
    <t>Paula Caroline Morais Duarte - 30/01/2025 11:25:52</t>
  </si>
  <si>
    <t>Paula Caroline Morais Duarte - 18/02/2025 09:26:32</t>
  </si>
  <si>
    <t>Paula Caroline Morais Duarte - 18/02/2025 09:26:36</t>
  </si>
  <si>
    <t>Paula Caroline Morais Duarte - 18/02/2025 09:26:40</t>
  </si>
  <si>
    <t>Base de Dados_Images/XV-18007.Imagem do Equipamento-.150404.jpg</t>
  </si>
  <si>
    <t>Paula Caroline Morais Duarte - 30/01/2025 11:26:15</t>
  </si>
  <si>
    <t>XV20001</t>
  </si>
  <si>
    <t>Válvula Entrada Água Lavagem Peneira</t>
  </si>
  <si>
    <t>Paula Caroline Morais Duarte - 11/02/2025 09:42:28</t>
  </si>
  <si>
    <t>Paula Caroline Morais Duarte - 11/02/2025 09:42:30</t>
  </si>
  <si>
    <t>Paula Caroline Morais Duarte - 11/02/2025 09:42:31</t>
  </si>
  <si>
    <t>Paula Caroline Morais Duarte - 11/02/2025 09:42:33</t>
  </si>
  <si>
    <t>Paula Caroline Morais Duarte - 11/02/2025 09:42:35</t>
  </si>
  <si>
    <t>Paula Caroline Morais Duarte - 11/02/2025 09:42:36</t>
  </si>
  <si>
    <t>Paula Caroline Morais Duarte - 11/02/2025 09:42:37</t>
  </si>
  <si>
    <t>Paula Caroline Morais Duarte - 11/02/2025 09:42:39</t>
  </si>
  <si>
    <t>Rafael Roldão Rodrigues - 03/03/2025 11:38:13</t>
  </si>
  <si>
    <t>Rafael Roldão Rodrigues - 03/03/2025 11:38:14</t>
  </si>
  <si>
    <t>Rafael Roldão Rodrigues - 03/03/2025 11:38:19</t>
  </si>
  <si>
    <t>Alisson Airton Sobrinho - 07/03/2025 06:26:53</t>
  </si>
  <si>
    <t>Base de Dados_Images/XV20001.Imagem do Equipamento-.130013.jpg</t>
  </si>
  <si>
    <t>Paula Caroline Morais Duarte - 11/02/2025 09:42:56</t>
  </si>
  <si>
    <t>XV20002</t>
  </si>
  <si>
    <t>Válvula Água Limpeza Peneira Rotativa</t>
  </si>
  <si>
    <t>Paula Caroline Morais Duarte - 11/02/2025 09:42:02</t>
  </si>
  <si>
    <t>Paula Caroline Morais Duarte - 11/02/2025 09:42:05</t>
  </si>
  <si>
    <t>Paula Caroline Morais Duarte - 11/02/2025 09:42:06</t>
  </si>
  <si>
    <t>Paula Caroline Morais Duarte - 11/02/2025 09:42:08</t>
  </si>
  <si>
    <t>Paula Caroline Morais Duarte - 11/02/2025 09:42:10</t>
  </si>
  <si>
    <t>Paula Caroline Morais Duarte - 11/02/2025 09:42:11</t>
  </si>
  <si>
    <t>Paula Caroline Morais Duarte - 11/02/2025 09:42:12</t>
  </si>
  <si>
    <t>Paula Caroline Morais Duarte - 11/02/2025 09:42:14</t>
  </si>
  <si>
    <t>Rafael Roldão Rodrigues - 03/03/2025 11:38:26</t>
  </si>
  <si>
    <t>Rafael Roldão Rodrigues - 03/03/2025 11:38:27</t>
  </si>
  <si>
    <t>Rafael Roldão Rodrigues - 03/03/2025 11:38:31</t>
  </si>
  <si>
    <t>Alisson Airton Sobrinho - 07/03/2025 06:26:59</t>
  </si>
  <si>
    <t>Base de Dados_Images/XV20002.Imagem do Equipamento-.125859.jpg</t>
  </si>
  <si>
    <t>Paula Caroline Morais Duarte - 11/02/2025 09:41:57</t>
  </si>
  <si>
    <t>XV30001</t>
  </si>
  <si>
    <t>Val Cond Pre1 Normal</t>
  </si>
  <si>
    <t>Erico Borges De Freitas - 30/01/2025 11:19:31</t>
  </si>
  <si>
    <t>Erico Borges De Freitas - 30/01/2025 11:19:27</t>
  </si>
  <si>
    <t>Erico Borges De Freitas - 30/01/2025 11:19:24</t>
  </si>
  <si>
    <t>Erico Borges De Freitas - 30/01/2025 11:19:21</t>
  </si>
  <si>
    <t>Erico Borges De Freitas - 30/01/2025 11:19:07</t>
  </si>
  <si>
    <t>Erico Borges De Freitas - 30/01/2025 11:19:04</t>
  </si>
  <si>
    <t>Erico Borges De Freitas - 30/01/2025 11:19:00</t>
  </si>
  <si>
    <t>Erico Borges De Freitas - 30/01/2025 11:18:54</t>
  </si>
  <si>
    <t>Adriel da Silva Queiroz - 11/02/2025 13:43:09</t>
  </si>
  <si>
    <t>Adriel da Silva Queiroz - 11/02/2025 13:44:36</t>
  </si>
  <si>
    <t>Rafael Roldão Rodrigues - 03/03/2025 12:12:54</t>
  </si>
  <si>
    <t>Beatriz Alves Nunes de Paulo - 06/03/2025 08:57:18</t>
  </si>
  <si>
    <t>Base de Dados_Images/XV30001.Imagem do Equipamento-.141843.jpg</t>
  </si>
  <si>
    <t>Erico Borges De Freitas - 30/01/2025 11:18:38</t>
  </si>
  <si>
    <t>XV30002</t>
  </si>
  <si>
    <t>Val Cond Pre1 Bypass</t>
  </si>
  <si>
    <t>Erico Borges De Freitas - 30/01/2025 11:21:31</t>
  </si>
  <si>
    <t>Erico Borges De Freitas - 30/01/2025 11:21:29</t>
  </si>
  <si>
    <t>Erico Borges De Freitas - 30/01/2025 11:21:28</t>
  </si>
  <si>
    <t>Erico Borges De Freitas - 30/01/2025 11:21:26</t>
  </si>
  <si>
    <t>Erico Borges De Freitas - 30/01/2025 11:21:22</t>
  </si>
  <si>
    <t>Erico Borges De Freitas - 30/01/2025 11:21:20</t>
  </si>
  <si>
    <t>Erico Borges De Freitas - 30/01/2025 11:21:18</t>
  </si>
  <si>
    <t>Erico Borges De Freitas - 30/01/2025 11:21:14</t>
  </si>
  <si>
    <t>Adriel da Silva Queiroz - 11/02/2025 13:46:58</t>
  </si>
  <si>
    <t>Adriel da Silva Queiroz - 11/02/2025 13:47:00</t>
  </si>
  <si>
    <t>Rafael Roldão Rodrigues - 03/03/2025 12:13:01</t>
  </si>
  <si>
    <t>Beatriz Alves Nunes de Paulo - 06/03/2025 08:57:24</t>
  </si>
  <si>
    <t>Base de Dados_Images/XV30002.Imagem do Equipamento-.142032.jpg</t>
  </si>
  <si>
    <t>Erico Borges De Freitas - 30/01/2025 11:20:15</t>
  </si>
  <si>
    <t>XV30003</t>
  </si>
  <si>
    <t>Val Cond Pre2 Álcool Normal</t>
  </si>
  <si>
    <t>Erico Borges De Freitas - 01/02/2025 12:07:58</t>
  </si>
  <si>
    <t>Erico Borges De Freitas - 01/02/2025 12:08:01</t>
  </si>
  <si>
    <t>Erico Borges De Freitas - 01/02/2025 12:08:02</t>
  </si>
  <si>
    <t>Erico Borges De Freitas - 01/02/2025 12:08:04</t>
  </si>
  <si>
    <t>Erico Borges De Freitas - 01/02/2025 12:08:06</t>
  </si>
  <si>
    <t>Erico Borges De Freitas - 01/02/2025 12:08:08</t>
  </si>
  <si>
    <t>Erico Borges De Freitas - 01/02/2025 12:08:09</t>
  </si>
  <si>
    <t>Erico Borges De Freitas - 01/02/2025 12:08:10</t>
  </si>
  <si>
    <t>Adriel da Silva Queiroz - 03/03/2025 11:22:33</t>
  </si>
  <si>
    <t>Adriel da Silva Queiroz - 03/03/2025 11:22:34</t>
  </si>
  <si>
    <t>Adriel da Silva Queiroz - 03/03/2025 11:22:38</t>
  </si>
  <si>
    <t>Alisson Airton Sobrinho - 04/03/2025 12:37:17</t>
  </si>
  <si>
    <t>Base de Dados_Images/XV30003.Imagem do Equipamento-.151252.jpg</t>
  </si>
  <si>
    <t>Erico Borges De Freitas - 01/02/2025 12:07:51</t>
  </si>
  <si>
    <t>XV30004</t>
  </si>
  <si>
    <t>Val Cond Pre2 Álcool Bypass</t>
  </si>
  <si>
    <t>Erico Borges De Freitas - 01/02/2025 12:08:38</t>
  </si>
  <si>
    <t>Erico Borges De Freitas - 01/02/2025 12:08:40</t>
  </si>
  <si>
    <t>Erico Borges De Freitas - 01/02/2025 12:08:41</t>
  </si>
  <si>
    <t>Erico Borges De Freitas - 01/02/2025 12:08:43</t>
  </si>
  <si>
    <t>Erico Borges De Freitas - 01/02/2025 12:08:44</t>
  </si>
  <si>
    <t>Erico Borges De Freitas - 01/02/2025 12:08:47</t>
  </si>
  <si>
    <t>Erico Borges De Freitas - 01/02/2025 12:08:48</t>
  </si>
  <si>
    <t>Erico Borges De Freitas - 01/02/2025 12:08:50</t>
  </si>
  <si>
    <t>Adriel da Silva Queiroz - 03/03/2025 11:22:48</t>
  </si>
  <si>
    <t>Adriel da Silva Queiroz - 03/03/2025 11:22:51</t>
  </si>
  <si>
    <t>Adriel da Silva Queiroz - 03/03/2025 11:22:59</t>
  </si>
  <si>
    <t>Alisson Airton Sobrinho - 04/03/2025 12:37:23</t>
  </si>
  <si>
    <t>Base de Dados_Images/XV30004.Imagem do Equipamento-.152006.jpg</t>
  </si>
  <si>
    <t>Erico Borges De Freitas - 01/02/2025 12:08:33</t>
  </si>
  <si>
    <t>XV30007</t>
  </si>
  <si>
    <t>Val Cond Pre3 Bypass</t>
  </si>
  <si>
    <t>Weslley Ferreira Cooper - 30/01/2025 11:57:20</t>
  </si>
  <si>
    <t>Weslley Ferreira Cooper - 30/01/2025 11:57:28</t>
  </si>
  <si>
    <t>Weslley Ferreira Cooper - 30/01/2025 11:57:27</t>
  </si>
  <si>
    <t>Weslley Ferreira Cooper - 30/01/2025 11:57:30</t>
  </si>
  <si>
    <t>Weslley Ferreira Cooper - 30/01/2025 11:57:25</t>
  </si>
  <si>
    <t>Weslley Ferreira Cooper - 30/01/2025 11:57:24</t>
  </si>
  <si>
    <t>Weslley Ferreira Cooper - 30/01/2025 11:57:23</t>
  </si>
  <si>
    <t>Alisson Airton Sobrinho - 03/03/2025 10:58:41</t>
  </si>
  <si>
    <t>Alisson Airton Sobrinho - 03/03/2025 10:58:45</t>
  </si>
  <si>
    <t>Alisson Airton Sobrinho - 07/03/2025 09:06:02</t>
  </si>
  <si>
    <t>Base de Dados_Images/XV30007.Imagem do Equipamento-.145730.jpg</t>
  </si>
  <si>
    <t>Weslley Ferreira Cooper - 30/01/2025 11:57:15</t>
  </si>
  <si>
    <t>XV30008</t>
  </si>
  <si>
    <t>Val Cond Pre3 Normal</t>
  </si>
  <si>
    <t>Weslley Ferreira Cooper - 30/01/2025 11:58:25</t>
  </si>
  <si>
    <t>Weslley Ferreira Cooper - 30/01/2025 11:58:24</t>
  </si>
  <si>
    <t>Weslley Ferreira Cooper - 30/01/2025 11:58:23</t>
  </si>
  <si>
    <t>Weslley Ferreira Cooper - 30/01/2025 11:58:22</t>
  </si>
  <si>
    <t>Weslley Ferreira Cooper - 30/01/2025 11:58:19</t>
  </si>
  <si>
    <t>Weslley Ferreira Cooper - 30/01/2025 11:58:18</t>
  </si>
  <si>
    <t>Weslley Ferreira Cooper - 30/01/2025 11:58:17</t>
  </si>
  <si>
    <t>Weslley Ferreira Cooper - 30/01/2025 11:58:15</t>
  </si>
  <si>
    <t>Alisson Airton Sobrinho - 03/03/2025 10:58:49</t>
  </si>
  <si>
    <t>Alisson Airton Sobrinho - 03/03/2025 10:58:50</t>
  </si>
  <si>
    <t>Alisson Airton Sobrinho - 03/03/2025 10:58:54</t>
  </si>
  <si>
    <t>Alisson Airton Sobrinho - 07/03/2025 09:06:07</t>
  </si>
  <si>
    <t>Base de Dados_Images/XV30008.Imagem do Equipamento-.145824.jpg</t>
  </si>
  <si>
    <t>Weslley Ferreira Cooper - 30/01/2025 11:58:10</t>
  </si>
  <si>
    <t>Xv3007</t>
  </si>
  <si>
    <t>Válvula condensado pre 3 BYPASS</t>
  </si>
  <si>
    <t>Adriel da Silva Queiroz - 14/02/2025 10:41:21</t>
  </si>
  <si>
    <t>Adriel da Silva Queiroz - 14/02/2025 10:41:22</t>
  </si>
  <si>
    <t>Adriel da Silva Queiroz - 14/02/2025 10:41:25</t>
  </si>
  <si>
    <t>Adriel da Silva Queiroz - 14/02/2025 10:41:24</t>
  </si>
  <si>
    <t>Adriel da Silva Queiroz - 14/02/2025 10:41:27</t>
  </si>
  <si>
    <t>Adriel da Silva Queiroz - 14/02/2025 10:41:30</t>
  </si>
  <si>
    <t>Adriel da Silva Queiroz - 14/02/2025 10:41:32</t>
  </si>
  <si>
    <t>Adriel da Silva Queiroz - 14/02/2025 10:41:33</t>
  </si>
  <si>
    <t>Adriel da Silva Queiroz - 14/02/2025 10:43:49</t>
  </si>
  <si>
    <t>Adriel da Silva Queiroz - 14/02/2025 10:45:26</t>
  </si>
  <si>
    <t>Adriel da Silva Queiroz - 03/03/2025 11:24:06</t>
  </si>
  <si>
    <t>Alisson Airton Sobrinho - 07/03/2025 07:02:57</t>
  </si>
  <si>
    <t>Adriel da Silva Queiroz - 02/12/2025 10:33:21</t>
  </si>
  <si>
    <t>XV40001</t>
  </si>
  <si>
    <t>Válvula Alimentação Xarope Cozedor 1</t>
  </si>
  <si>
    <t>Beatriz Alves Nunes de Paulo - 29/01/2025 09:16:14</t>
  </si>
  <si>
    <t>Beatriz Alves Nunes de Paulo - 29/01/2025 09:16:15</t>
  </si>
  <si>
    <t>Beatriz Alves Nunes de Paulo - 29/01/2025 09:16:17</t>
  </si>
  <si>
    <t>Beatriz Alves Nunes de Paulo - 29/01/2025 09:16:20</t>
  </si>
  <si>
    <t>Beatriz Alves Nunes de Paulo - 29/01/2025 09:16:22</t>
  </si>
  <si>
    <t>Beatriz Alves Nunes de Paulo - 29/01/2025 09:16:23</t>
  </si>
  <si>
    <t>Beatriz Alves Nunes de Paulo - 29/01/2025 09:16:24</t>
  </si>
  <si>
    <t>Beatriz Alves Nunes de Paulo - 29/01/2025 09:16:25</t>
  </si>
  <si>
    <t>Beatriz Alves Nunes de Paulo - 29/01/2025 09:16:31</t>
  </si>
  <si>
    <t>Beatriz Alves Nunes de Paulo - 29/01/2025 09:16:32</t>
  </si>
  <si>
    <t>Beatriz Alves Nunes de Paulo - 11/02/2025 09:15:12</t>
  </si>
  <si>
    <t>Alisson Airton Sobrinho - 07/03/2025 08:14:38</t>
  </si>
  <si>
    <t>Base de Dados_Images/XV40001.Imagem do Equipamento-.155240.jpg</t>
  </si>
  <si>
    <t>Beatriz Alves Nunes de Paulo - 29/01/2025 09:16:07</t>
  </si>
  <si>
    <t>XV40002</t>
  </si>
  <si>
    <t>Válvula Alimentação Mel Rico Cozedor 1</t>
  </si>
  <si>
    <t>Beatriz Alves Nunes de Paulo - 29/01/2025 09:17:51</t>
  </si>
  <si>
    <t>Beatriz Alves Nunes de Paulo - 29/01/2025 09:17:53</t>
  </si>
  <si>
    <t>Beatriz Alves Nunes de Paulo - 29/01/2025 09:17:54</t>
  </si>
  <si>
    <t>Beatriz Alves Nunes de Paulo - 29/01/2025 09:17:56</t>
  </si>
  <si>
    <t>Beatriz Alves Nunes de Paulo - 29/01/2025 09:17:59</t>
  </si>
  <si>
    <t>Beatriz Alves Nunes de Paulo - 29/01/2025 09:17:58</t>
  </si>
  <si>
    <t>Beatriz Alves Nunes de Paulo - 29/01/2025 09:18:04</t>
  </si>
  <si>
    <t>Beatriz Alves Nunes de Paulo - 29/01/2025 09:18:07</t>
  </si>
  <si>
    <t>Beatriz Alves Nunes de Paulo - 11/02/2025 09:15:46</t>
  </si>
  <si>
    <t>Alisson Airton Sobrinho - 07/03/2025 08:14:43</t>
  </si>
  <si>
    <t>Base de Dados_Images/XV40002.Imagem do Equipamento-.164229.jpg</t>
  </si>
  <si>
    <t>Beatriz Alves Nunes de Paulo - 29/01/2025 09:17:44</t>
  </si>
  <si>
    <t>XV40003</t>
  </si>
  <si>
    <t>Válvula Alimentação Mel Pobre Cozedor 1</t>
  </si>
  <si>
    <t>Beatriz Alves Nunes de Paulo - 29/01/2025 09:18:29</t>
  </si>
  <si>
    <t>Beatriz Alves Nunes de Paulo - 29/01/2025 09:18:31</t>
  </si>
  <si>
    <t>Beatriz Alves Nunes de Paulo - 29/01/2025 09:18:32</t>
  </si>
  <si>
    <t>Beatriz Alves Nunes de Paulo - 29/01/2025 09:18:34</t>
  </si>
  <si>
    <t>Beatriz Alves Nunes de Paulo - 29/01/2025 09:18:35</t>
  </si>
  <si>
    <t>Beatriz Alves Nunes de Paulo - 29/01/2025 09:18:38</t>
  </si>
  <si>
    <t>Beatriz Alves Nunes de Paulo - 29/01/2025 09:18:42</t>
  </si>
  <si>
    <t>Beatriz Alves Nunes de Paulo - 29/01/2025 09:18:43</t>
  </si>
  <si>
    <t>Beatriz Alves Nunes de Paulo - 29/01/2025 09:18:49</t>
  </si>
  <si>
    <t>Beatriz Alves Nunes de Paulo - 29/01/2025 09:18:50</t>
  </si>
  <si>
    <t>Beatriz Alves Nunes de Paulo - 11/02/2025 09:16:12</t>
  </si>
  <si>
    <t>Alisson Airton Sobrinho - 07/03/2025 08:14:50</t>
  </si>
  <si>
    <t>Base de Dados_Images/XV40003.Imagem do Equipamento-.164312.jpg</t>
  </si>
  <si>
    <t>Beatriz Alves Nunes de Paulo - 29/01/2025 09:18:24</t>
  </si>
  <si>
    <t>XV40004</t>
  </si>
  <si>
    <t>Válvula Alimentação Água Quente Cozedor 1</t>
  </si>
  <si>
    <t>Beatriz Alves Nunes de Paulo - 29/01/2025 09:19:17</t>
  </si>
  <si>
    <t>Beatriz Alves Nunes de Paulo - 29/01/2025 09:19:19</t>
  </si>
  <si>
    <t>Beatriz Alves Nunes de Paulo - 29/01/2025 09:19:22</t>
  </si>
  <si>
    <t>Beatriz Alves Nunes de Paulo - 29/01/2025 09:19:23</t>
  </si>
  <si>
    <t>Beatriz Alves Nunes de Paulo - 29/01/2025 09:19:36</t>
  </si>
  <si>
    <t>Beatriz Alves Nunes de Paulo - 29/01/2025 09:19:32</t>
  </si>
  <si>
    <t>Beatriz Alves Nunes de Paulo - 29/01/2025 09:19:30</t>
  </si>
  <si>
    <t>Beatriz Alves Nunes de Paulo - 29/01/2025 09:19:29</t>
  </si>
  <si>
    <t>Beatriz Alves Nunes de Paulo - 29/01/2025 09:19:43</t>
  </si>
  <si>
    <t>Beatriz Alves Nunes de Paulo - 29/01/2025 09:19:42</t>
  </si>
  <si>
    <t>Beatriz Alves Nunes de Paulo - 11/02/2025 09:16:24</t>
  </si>
  <si>
    <t>Alisson Airton Sobrinho - 07/03/2025 08:14:55</t>
  </si>
  <si>
    <t>Base de Dados_Images/XV40004.Imagem do Equipamento-.164351.jpg</t>
  </si>
  <si>
    <t>Beatriz Alves Nunes de Paulo - 29/01/2025 09:19:08</t>
  </si>
  <si>
    <t>XV40005</t>
  </si>
  <si>
    <t>Válvula Limpeza Vapor Cozedor 1</t>
  </si>
  <si>
    <t>Beatriz Alves Nunes de Paulo - 29/01/2025 09:38:10</t>
  </si>
  <si>
    <t>Beatriz Alves Nunes de Paulo - 29/01/2025 09:38:14</t>
  </si>
  <si>
    <t>Beatriz Alves Nunes de Paulo - 29/01/2025 09:38:24</t>
  </si>
  <si>
    <t>Beatriz Alves Nunes de Paulo - 29/01/2025 09:38:25</t>
  </si>
  <si>
    <t>Beatriz Alves Nunes de Paulo - 29/01/2025 09:38:27</t>
  </si>
  <si>
    <t>Beatriz Alves Nunes de Paulo - 29/01/2025 09:38:29</t>
  </si>
  <si>
    <t>Beatriz Alves Nunes de Paulo - 29/01/2025 09:38:31</t>
  </si>
  <si>
    <t>Beatriz Alves Nunes de Paulo - 29/01/2025 09:38:32</t>
  </si>
  <si>
    <t>Beatriz Alves Nunes de Paulo - 29/01/2025 09:38:40</t>
  </si>
  <si>
    <t>Beatriz Alves Nunes de Paulo - 29/01/2025 09:38:41</t>
  </si>
  <si>
    <t>Beatriz Alves Nunes de Paulo - 11/02/2025 09:16:38</t>
  </si>
  <si>
    <t>Alisson Airton Sobrinho - 07/03/2025 08:15:01</t>
  </si>
  <si>
    <t>Base de Dados_Images/XV40005.Imagem do Equipamento-.164559.jpg</t>
  </si>
  <si>
    <t>Beatriz Alves Nunes de Paulo - 29/01/2025 09:38:03</t>
  </si>
  <si>
    <t>XV40006</t>
  </si>
  <si>
    <t>Válvula Quebra Vácuo Cozedor 1</t>
  </si>
  <si>
    <t>Beatriz Alves Nunes de Paulo - 01/02/2025 14:34:05</t>
  </si>
  <si>
    <t>Beatriz Alves Nunes de Paulo - 01/02/2025 14:35:07</t>
  </si>
  <si>
    <t>Beatriz Alves Nunes de Paulo - 01/02/2025 14:35:10</t>
  </si>
  <si>
    <t>Beatriz Alves Nunes de Paulo - 01/02/2025 14:35:15</t>
  </si>
  <si>
    <t>Beatriz Alves Nunes de Paulo - 01/02/2025 14:44:03</t>
  </si>
  <si>
    <t>Beatriz Alves Nunes de Paulo - 01/02/2025 14:44:17</t>
  </si>
  <si>
    <t>Beatriz Alves Nunes de Paulo - 01/02/2025 14:44:20</t>
  </si>
  <si>
    <t>Beatriz Alves Nunes de Paulo - 01/02/2025 14:44:22</t>
  </si>
  <si>
    <t>Beatriz Alves Nunes de Paulo - 11/02/2025 09:17:06</t>
  </si>
  <si>
    <t>Beatriz Alves Nunes de Paulo - 11/02/2025 09:17:13</t>
  </si>
  <si>
    <t>Alisson Airton Sobrinho - 07/03/2025 08:15:06</t>
  </si>
  <si>
    <t>Beatriz Alves Nunes de Paulo - 02/01/2025 14:33:55</t>
  </si>
  <si>
    <t>XV40007</t>
  </si>
  <si>
    <t>Valvula De Selo Bba Vacuo Cozedor 1</t>
  </si>
  <si>
    <t>Beatriz Alves Nunes de Paulo - 11/02/2025 09:20:20</t>
  </si>
  <si>
    <t>Beatriz Alves Nunes de Paulo - 11/02/2025 09:20:21</t>
  </si>
  <si>
    <t>Beatriz Alves Nunes de Paulo - 11/02/2025 09:20:25</t>
  </si>
  <si>
    <t>Beatriz Alves Nunes de Paulo - 11/02/2025 09:20:26</t>
  </si>
  <si>
    <t>Beatriz Alves Nunes de Paulo - 11/02/2025 09:20:27</t>
  </si>
  <si>
    <t>Beatriz Alves Nunes de Paulo - 11/02/2025 09:20:32</t>
  </si>
  <si>
    <t>Beatriz Alves Nunes de Paulo - 11/02/2025 09:20:29</t>
  </si>
  <si>
    <t>Beatriz Alves Nunes de Paulo - 11/02/2025 09:20:30</t>
  </si>
  <si>
    <t>Beatriz Alves Nunes de Paulo - 11/02/2025 09:20:41</t>
  </si>
  <si>
    <t>Beatriz Alves Nunes de Paulo - 11/02/2025 09:20:42</t>
  </si>
  <si>
    <t>Beatriz Alves Nunes de Paulo - 11/02/2025 09:20:49</t>
  </si>
  <si>
    <t>Alisson Airton Sobrinho - 07/03/2025 08:15:15</t>
  </si>
  <si>
    <t>Beatriz Alves Nunes de Paulo - 02/11/2025 09:20:15</t>
  </si>
  <si>
    <t>XV40008</t>
  </si>
  <si>
    <t>Válvula Complemento De Vacuo Cozedor 1</t>
  </si>
  <si>
    <t>Beatriz Alves Nunes de Paulo - 29/01/2025 08:48:32</t>
  </si>
  <si>
    <t>Beatriz Alves Nunes de Paulo - 29/01/2025 08:48:33</t>
  </si>
  <si>
    <t>Beatriz Alves Nunes de Paulo - 29/01/2025 08:48:35</t>
  </si>
  <si>
    <t>Beatriz Alves Nunes de Paulo - 29/01/2025 08:48:36</t>
  </si>
  <si>
    <t>Beatriz Alves Nunes de Paulo - 29/01/2025 08:48:41</t>
  </si>
  <si>
    <t>Beatriz Alves Nunes de Paulo - 29/01/2025 08:48:42</t>
  </si>
  <si>
    <t>Beatriz Alves Nunes de Paulo - 29/01/2025 08:48:44</t>
  </si>
  <si>
    <t>Beatriz Alves Nunes de Paulo - 29/01/2025 08:48:59</t>
  </si>
  <si>
    <t>Beatriz Alves Nunes de Paulo - 29/01/2025 08:49:00</t>
  </si>
  <si>
    <t>Beatriz Alves Nunes de Paulo - 11/02/2025 09:24:31</t>
  </si>
  <si>
    <t>Alisson Airton Sobrinho - 07/03/2025 08:15:20</t>
  </si>
  <si>
    <t>Base de Dados_Images/XV40008.Imagem do Equipamento-.142254.jpg</t>
  </si>
  <si>
    <t>Beatriz Alves Nunes de Paulo - 29/01/2025 08:48:22</t>
  </si>
  <si>
    <t>XV40009</t>
  </si>
  <si>
    <t>Valvula De Sucção Da Bba Auxiliar De Vacuo Cozedor 1</t>
  </si>
  <si>
    <t>Beatriz Alves Nunes de Paulo - 29/01/2025 09:42:36</t>
  </si>
  <si>
    <t>Beatriz Alves Nunes de Paulo - 29/01/2025 09:42:37</t>
  </si>
  <si>
    <t>Beatriz Alves Nunes de Paulo - 29/01/2025 09:42:39</t>
  </si>
  <si>
    <t>Beatriz Alves Nunes de Paulo - 29/01/2025 09:42:40</t>
  </si>
  <si>
    <t>Beatriz Alves Nunes de Paulo - 29/01/2025 09:42:43</t>
  </si>
  <si>
    <t>Beatriz Alves Nunes de Paulo - 29/01/2025 09:42:44</t>
  </si>
  <si>
    <t>Beatriz Alves Nunes de Paulo - 29/01/2025 09:42:47</t>
  </si>
  <si>
    <t>Beatriz Alves Nunes de Paulo - 29/01/2025 09:42:50</t>
  </si>
  <si>
    <t>Beatriz Alves Nunes de Paulo - 29/01/2025 09:42:55</t>
  </si>
  <si>
    <t>Beatriz Alves Nunes de Paulo - 29/01/2025 09:42:57</t>
  </si>
  <si>
    <t>Beatriz Alves Nunes de Paulo - 11/02/2025 09:25:38</t>
  </si>
  <si>
    <t>Alisson Airton Sobrinho - 07/03/2025 08:15:26</t>
  </si>
  <si>
    <t>Base de Dados_Images/XV40009.Imagem do Equipamento-.164737.jpg</t>
  </si>
  <si>
    <t>Beatriz Alves Nunes de Paulo - 29/01/2025 09:42:31</t>
  </si>
  <si>
    <t>XV40010</t>
  </si>
  <si>
    <t>Válvula Descarga Cozedor 1</t>
  </si>
  <si>
    <t>Beatriz Alves Nunes de Paulo - 30/01/2025 09:47:28</t>
  </si>
  <si>
    <t>Beatriz Alves Nunes de Paulo - 30/01/2025 09:47:34</t>
  </si>
  <si>
    <t>Beatriz Alves Nunes de Paulo - 30/01/2025 09:47:36</t>
  </si>
  <si>
    <t>Beatriz Alves Nunes de Paulo - 30/01/2025 09:47:37</t>
  </si>
  <si>
    <t>Beatriz Alves Nunes de Paulo - 30/01/2025 09:47:39</t>
  </si>
  <si>
    <t>Beatriz Alves Nunes de Paulo - 30/01/2025 09:47:40</t>
  </si>
  <si>
    <t>Beatriz Alves Nunes de Paulo - 30/01/2025 09:47:42</t>
  </si>
  <si>
    <t>Beatriz Alves Nunes de Paulo - 30/01/2025 09:47:43</t>
  </si>
  <si>
    <t>Beatriz Alves Nunes de Paulo - 11/02/2025 09:26:27</t>
  </si>
  <si>
    <t>Beatriz Alves Nunes de Paulo - 11/02/2025 09:26:28</t>
  </si>
  <si>
    <t>Beatriz Alves Nunes de Paulo - 11/02/2025 09:26:34</t>
  </si>
  <si>
    <t>Alisson Airton Sobrinho - 07/03/2025 08:15:31</t>
  </si>
  <si>
    <t>Base de Dados_Images/XV40010.Imagem do Equipamento-.141559.jpg</t>
  </si>
  <si>
    <t>Beatriz Alves Nunes de Paulo - 30/01/2025 09:47:14</t>
  </si>
  <si>
    <t>XV40011</t>
  </si>
  <si>
    <t>Válvula Corte/Pé Cozedor 1</t>
  </si>
  <si>
    <t>Beatriz Alves Nunes de Paulo - 30/01/2025 09:52:38</t>
  </si>
  <si>
    <t>Beatriz Alves Nunes de Paulo - 30/01/2025 09:52:39</t>
  </si>
  <si>
    <t>Beatriz Alves Nunes de Paulo - 30/01/2025 09:52:40</t>
  </si>
  <si>
    <t>Beatriz Alves Nunes de Paulo - 30/01/2025 09:52:41</t>
  </si>
  <si>
    <t>Beatriz Alves Nunes de Paulo - 30/01/2025 09:52:42</t>
  </si>
  <si>
    <t>Beatriz Alves Nunes de Paulo - 30/01/2025 09:52:44</t>
  </si>
  <si>
    <t>Beatriz Alves Nunes de Paulo - 30/01/2025 09:52:45</t>
  </si>
  <si>
    <t>Beatriz Alves Nunes de Paulo - 30/01/2025 09:52:47</t>
  </si>
  <si>
    <t>Beatriz Alves Nunes de Paulo - 17/02/2025 08:24:01</t>
  </si>
  <si>
    <t>Beatriz Alves Nunes de Paulo - 17/02/2025 08:24:02</t>
  </si>
  <si>
    <t>Beatriz Alves Nunes de Paulo - 20/02/2025 10:20:36</t>
  </si>
  <si>
    <t>Alisson Airton Sobrinho - 07/03/2025 08:15:35</t>
  </si>
  <si>
    <t>Beatriz Alves Nunes de Paulo - 01/30/2025 09:52:33</t>
  </si>
  <si>
    <t>XV40012</t>
  </si>
  <si>
    <t>Válvula Liquidação Cozedor 1</t>
  </si>
  <si>
    <t>Beatriz Alves Nunes de Paulo - 30/01/2025 09:50:38</t>
  </si>
  <si>
    <t>Beatriz Alves Nunes de Paulo - 30/01/2025 09:50:40</t>
  </si>
  <si>
    <t>Beatriz Alves Nunes de Paulo - 30/01/2025 09:50:41</t>
  </si>
  <si>
    <t>Beatriz Alves Nunes de Paulo - 30/01/2025 09:50:43</t>
  </si>
  <si>
    <t>Beatriz Alves Nunes de Paulo - 30/01/2025 09:50:44</t>
  </si>
  <si>
    <t>Beatriz Alves Nunes de Paulo - 30/01/2025 09:50:45</t>
  </si>
  <si>
    <t>Beatriz Alves Nunes de Paulo - 30/01/2025 09:50:46</t>
  </si>
  <si>
    <t>Beatriz Alves Nunes de Paulo - 17/02/2025 08:24:29</t>
  </si>
  <si>
    <t>Beatriz Alves Nunes de Paulo - 17/02/2025 08:24:31</t>
  </si>
  <si>
    <t>Beatriz Alves Nunes de Paulo - 20/02/2025 10:23:24</t>
  </si>
  <si>
    <t>Alisson Airton Sobrinho - 07/03/2025 08:15:40</t>
  </si>
  <si>
    <t>Beatriz Alves Nunes de Paulo - 01/30/2025 09:50:34</t>
  </si>
  <si>
    <t>XV40013</t>
  </si>
  <si>
    <t>Válvula Semente P/ Cozedor 1</t>
  </si>
  <si>
    <t>Beatriz Alves Nunes de Paulo - 29/01/2025 09:29:34</t>
  </si>
  <si>
    <t>Beatriz Alves Nunes de Paulo - 29/01/2025 09:29:39</t>
  </si>
  <si>
    <t>Beatriz Alves Nunes de Paulo - 29/01/2025 09:29:37</t>
  </si>
  <si>
    <t>Beatriz Alves Nunes de Paulo - 29/01/2025 09:29:44</t>
  </si>
  <si>
    <t>Beatriz Alves Nunes de Paulo - 29/01/2025 09:29:45</t>
  </si>
  <si>
    <t>Beatriz Alves Nunes de Paulo - 29/01/2025 09:29:46</t>
  </si>
  <si>
    <t>Beatriz Alves Nunes de Paulo - 29/01/2025 09:29:51</t>
  </si>
  <si>
    <t>Beatriz Alves Nunes de Paulo - 29/01/2025 09:29:49</t>
  </si>
  <si>
    <t>Beatriz Alves Nunes de Paulo - 29/01/2025 09:29:57</t>
  </si>
  <si>
    <t>Beatriz Alves Nunes de Paulo - 11/02/2025 09:26:54</t>
  </si>
  <si>
    <t>Matheus César Azevedo Neto - 07/03/2025 08:21:07</t>
  </si>
  <si>
    <t>Base de Dados_Images/XV40013.Imagem do Equipamento-.164519.jpg</t>
  </si>
  <si>
    <t>Beatriz Alves Nunes de Paulo - 29/01/2025 09:29:24</t>
  </si>
  <si>
    <t>XV40014</t>
  </si>
  <si>
    <t>Válvula Alimentação Xarope Cozedor 2</t>
  </si>
  <si>
    <t>Beatriz Alves Nunes de Paulo - 29/01/2025 09:00:43</t>
  </si>
  <si>
    <t>Beatriz Alves Nunes de Paulo - 29/01/2025 09:00:44</t>
  </si>
  <si>
    <t>Beatriz Alves Nunes de Paulo - 29/01/2025 09:00:45</t>
  </si>
  <si>
    <t>Beatriz Alves Nunes de Paulo - 29/01/2025 09:00:46</t>
  </si>
  <si>
    <t>Beatriz Alves Nunes de Paulo - 29/01/2025 09:00:47</t>
  </si>
  <si>
    <t>Beatriz Alves Nunes de Paulo - 29/01/2025 09:00:49</t>
  </si>
  <si>
    <t>Beatriz Alves Nunes de Paulo - 29/01/2025 09:00:51</t>
  </si>
  <si>
    <t>Beatriz Alves Nunes de Paulo - 29/01/2025 09:00:58</t>
  </si>
  <si>
    <t>Beatriz Alves Nunes de Paulo - 29/01/2025 09:01:00</t>
  </si>
  <si>
    <t>Beatriz Alves Nunes de Paulo - 11/02/2025 09:41:43</t>
  </si>
  <si>
    <t>Alisson Airton Sobrinho - 07/03/2025 08:15:57</t>
  </si>
  <si>
    <t>Base de Dados_Images/XV40014.Imagem do Equipamento-.180441.jpg</t>
  </si>
  <si>
    <t>Beatriz Alves Nunes de Paulo - 28/01/2025 14:37:15</t>
  </si>
  <si>
    <t>XV40015</t>
  </si>
  <si>
    <t>Válvula Alimentação Mel Pobre Cozedor 2</t>
  </si>
  <si>
    <t>Beatriz Alves Nunes de Paulo - 29/01/2025 09:01:18</t>
  </si>
  <si>
    <t>Beatriz Alves Nunes de Paulo - 29/01/2025 09:01:24</t>
  </si>
  <si>
    <t>Beatriz Alves Nunes de Paulo - 29/01/2025 09:01:21</t>
  </si>
  <si>
    <t>Beatriz Alves Nunes de Paulo - 29/01/2025 09:01:26</t>
  </si>
  <si>
    <t>Beatriz Alves Nunes de Paulo - 29/01/2025 09:01:28</t>
  </si>
  <si>
    <t>Beatriz Alves Nunes de Paulo - 29/01/2025 09:01:29</t>
  </si>
  <si>
    <t>Beatriz Alves Nunes de Paulo - 29/01/2025 09:01:39</t>
  </si>
  <si>
    <t>Beatriz Alves Nunes de Paulo - 29/01/2025 09:01:41</t>
  </si>
  <si>
    <t>Beatriz Alves Nunes de Paulo - 11/02/2025 09:43:14</t>
  </si>
  <si>
    <t>Alisson Airton Sobrinho - 07/03/2025 08:16:02</t>
  </si>
  <si>
    <t>Base de Dados_Images/XV40015.Imagem do Equipamento-.180503.jpg</t>
  </si>
  <si>
    <t>Beatriz Alves Nunes de Paulo - 28/01/2025 14:39:30</t>
  </si>
  <si>
    <t>XV40016</t>
  </si>
  <si>
    <t>Válvula Alimentação Mel Rico Cozedor 2</t>
  </si>
  <si>
    <t>Beatriz Alves Nunes de Paulo - 29/01/2025 09:01:58</t>
  </si>
  <si>
    <t>Beatriz Alves Nunes de Paulo - 29/01/2025 09:02:04</t>
  </si>
  <si>
    <t>Beatriz Alves Nunes de Paulo - 29/01/2025 09:02:06</t>
  </si>
  <si>
    <t>Beatriz Alves Nunes de Paulo - 29/01/2025 09:02:07</t>
  </si>
  <si>
    <t>Beatriz Alves Nunes de Paulo - 29/01/2025 09:02:09</t>
  </si>
  <si>
    <t>Beatriz Alves Nunes de Paulo - 29/01/2025 09:02:11</t>
  </si>
  <si>
    <t>Beatriz Alves Nunes de Paulo - 29/01/2025 09:02:16</t>
  </si>
  <si>
    <t>Beatriz Alves Nunes de Paulo - 29/01/2025 09:02:17</t>
  </si>
  <si>
    <t>Beatriz Alves Nunes de Paulo - 11/02/2025 09:43:25</t>
  </si>
  <si>
    <t>Alisson Airton Sobrinho - 07/03/2025 08:16:07</t>
  </si>
  <si>
    <t>Base de Dados_Images/XV40016.Imagem do Equipamento-.180451.jpg</t>
  </si>
  <si>
    <t>Beatriz Alves Nunes de Paulo - 28/01/2025 14:38:48</t>
  </si>
  <si>
    <t>XV40017</t>
  </si>
  <si>
    <t>Válvula Alimentação Água Quente Cozedor 2</t>
  </si>
  <si>
    <t>Beatriz Alves Nunes de Paulo - 29/01/2025 09:04:00</t>
  </si>
  <si>
    <t>Beatriz Alves Nunes de Paulo - 29/01/2025 09:04:02</t>
  </si>
  <si>
    <t>Beatriz Alves Nunes de Paulo - 29/01/2025 09:04:03</t>
  </si>
  <si>
    <t>Beatriz Alves Nunes de Paulo - 29/01/2025 09:04:05</t>
  </si>
  <si>
    <t>Beatriz Alves Nunes de Paulo - 29/01/2025 09:04:06</t>
  </si>
  <si>
    <t>Beatriz Alves Nunes de Paulo - 29/01/2025 09:04:08</t>
  </si>
  <si>
    <t>Beatriz Alves Nunes de Paulo - 29/01/2025 09:04:09</t>
  </si>
  <si>
    <t>Beatriz Alves Nunes de Paulo - 29/01/2025 09:04:11</t>
  </si>
  <si>
    <t>Beatriz Alves Nunes de Paulo - 29/01/2025 09:04:15</t>
  </si>
  <si>
    <t>Beatriz Alves Nunes de Paulo - 29/01/2025 09:04:16</t>
  </si>
  <si>
    <t>Beatriz Alves Nunes de Paulo - 11/02/2025 09:44:06</t>
  </si>
  <si>
    <t>Alisson Airton Sobrinho - 07/03/2025 08:16:12</t>
  </si>
  <si>
    <t>Base de Dados_Images/XV40017.Imagem do Equipamento-.154157.jpg</t>
  </si>
  <si>
    <t>Beatriz Alves Nunes de Paulo - 29/01/2025 09:03:56</t>
  </si>
  <si>
    <t>XV40018</t>
  </si>
  <si>
    <t>Válvula Limpeza Vapor Cozedor 2</t>
  </si>
  <si>
    <t>Beatriz Alves Nunes de Paulo - 29/01/2025 13:54:07</t>
  </si>
  <si>
    <t>Beatriz Alves Nunes de Paulo - 29/01/2025 13:54:09</t>
  </si>
  <si>
    <t>Beatriz Alves Nunes de Paulo - 29/01/2025 13:54:12</t>
  </si>
  <si>
    <t>Beatriz Alves Nunes de Paulo - 29/01/2025 13:54:30</t>
  </si>
  <si>
    <t>Beatriz Alves Nunes de Paulo - 29/01/2025 13:54:35</t>
  </si>
  <si>
    <t>Beatriz Alves Nunes de Paulo - 29/01/2025 13:54:41</t>
  </si>
  <si>
    <t>Beatriz Alves Nunes de Paulo - 29/01/2025 13:54:39</t>
  </si>
  <si>
    <t>Beatriz Alves Nunes de Paulo - 29/01/2025 13:54:44</t>
  </si>
  <si>
    <t>Beatriz Alves Nunes de Paulo - 29/01/2025 13:54:50</t>
  </si>
  <si>
    <t>Beatriz Alves Nunes de Paulo - 29/01/2025 13:54:51</t>
  </si>
  <si>
    <t>Beatriz Alves Nunes de Paulo - 11/02/2025 09:44:23</t>
  </si>
  <si>
    <t>Alisson Airton Sobrinho - 07/03/2025 08:16:18</t>
  </si>
  <si>
    <t>Beatriz Alves Nunes de Paulo - 01/29/2025 13:54:01</t>
  </si>
  <si>
    <t>XV40019</t>
  </si>
  <si>
    <t>Válvula Quebra Vácuo Cozedor 2</t>
  </si>
  <si>
    <t>Beatriz Alves Nunes de Paulo - 08/02/2025 13:55:33</t>
  </si>
  <si>
    <t>Beatriz Alves Nunes de Paulo - 08/02/2025 13:55:39</t>
  </si>
  <si>
    <t>Beatriz Alves Nunes de Paulo - 08/02/2025 13:55:40</t>
  </si>
  <si>
    <t>Beatriz Alves Nunes de Paulo - 08/02/2025 13:55:42</t>
  </si>
  <si>
    <t>Beatriz Alves Nunes de Paulo - 08/02/2025 13:55:47</t>
  </si>
  <si>
    <t>Beatriz Alves Nunes de Paulo - 08/02/2025 13:55:46</t>
  </si>
  <si>
    <t>Beatriz Alves Nunes de Paulo - 11/02/2025 09:46:44</t>
  </si>
  <si>
    <t>Beatriz Alves Nunes de Paulo - 11/02/2025 09:46:45</t>
  </si>
  <si>
    <t>Beatriz Alves Nunes de Paulo - 11/02/2025 09:46:55</t>
  </si>
  <si>
    <t>Alisson Airton Sobrinho - 07/03/2025 08:16:34</t>
  </si>
  <si>
    <t>Beatriz Alves Nunes de Paulo - 02/08/2025 13:54:35</t>
  </si>
  <si>
    <t>XV40020</t>
  </si>
  <si>
    <t>Valvula De Selo Bba Vacuo Cozedor 2</t>
  </si>
  <si>
    <t>Beatriz Alves Nunes de Paulo - 11/02/2025 11:00:20</t>
  </si>
  <si>
    <t>Beatriz Alves Nunes de Paulo - 11/02/2025 10:59:52</t>
  </si>
  <si>
    <t>Beatriz Alves Nunes de Paulo - 11/02/2025 10:59:58</t>
  </si>
  <si>
    <t>Beatriz Alves Nunes de Paulo - 11/02/2025 11:00:00</t>
  </si>
  <si>
    <t>Beatriz Alves Nunes de Paulo - 11/02/2025 11:00:05</t>
  </si>
  <si>
    <t>Beatriz Alves Nunes de Paulo - 11/02/2025 11:00:08</t>
  </si>
  <si>
    <t>Beatriz Alves Nunes de Paulo - 11/02/2025 11:00:10</t>
  </si>
  <si>
    <t>Beatriz Alves Nunes de Paulo - 11/02/2025 11:02:50</t>
  </si>
  <si>
    <t>Beatriz Alves Nunes de Paulo - 11/02/2025 11:02:52</t>
  </si>
  <si>
    <t>Beatriz Alves Nunes de Paulo - 11/02/2025 11:03:00</t>
  </si>
  <si>
    <t>Alisson Airton Sobrinho - 07/03/2025 08:16:40</t>
  </si>
  <si>
    <t>Beatriz Alves Nunes de Paulo - 02/11/2025 09:47:08</t>
  </si>
  <si>
    <t>XV40021</t>
  </si>
  <si>
    <t>Válvula Complemento De Vacuo Cozedor 2</t>
  </si>
  <si>
    <t>Beatriz Alves Nunes de Paulo - 04/02/2025 11:04:31</t>
  </si>
  <si>
    <t>Beatriz Alves Nunes de Paulo - 04/02/2025 11:04:34</t>
  </si>
  <si>
    <t>Beatriz Alves Nunes de Paulo - 04/02/2025 11:04:36</t>
  </si>
  <si>
    <t>Beatriz Alves Nunes de Paulo - 04/02/2025 11:04:38</t>
  </si>
  <si>
    <t>Beatriz Alves Nunes de Paulo - 04/02/2025 11:04:46</t>
  </si>
  <si>
    <t>Beatriz Alves Nunes de Paulo - 04/02/2025 11:04:48</t>
  </si>
  <si>
    <t>Beatriz Alves Nunes de Paulo - 04/02/2025 11:04:50</t>
  </si>
  <si>
    <t>Beatriz Alves Nunes de Paulo - 04/02/2025 11:05:23</t>
  </si>
  <si>
    <t>Beatriz Alves Nunes de Paulo - 04/02/2025 11:05:24</t>
  </si>
  <si>
    <t>Beatriz Alves Nunes de Paulo - 11/02/2025 11:05:19</t>
  </si>
  <si>
    <t>Alisson Airton Sobrinho - 07/03/2025 08:16:46</t>
  </si>
  <si>
    <t>Beatriz Alves Nunes de Paulo - 02/04/2025 11:03:13</t>
  </si>
  <si>
    <t>XV40022</t>
  </si>
  <si>
    <t>Valvula De Sucção Da Bba Auxiliar De Vacuo Cozedor 2</t>
  </si>
  <si>
    <t>Beatriz Alves Nunes de Paulo - 29/01/2025 14:01:31</t>
  </si>
  <si>
    <t>Beatriz Alves Nunes de Paulo - 29/01/2025 14:01:35</t>
  </si>
  <si>
    <t>Beatriz Alves Nunes de Paulo - 29/01/2025 14:01:37</t>
  </si>
  <si>
    <t>Beatriz Alves Nunes de Paulo - 29/01/2025 14:03:04</t>
  </si>
  <si>
    <t>Beatriz Alves Nunes de Paulo - 29/01/2025 14:03:06</t>
  </si>
  <si>
    <t>Beatriz Alves Nunes de Paulo - 29/01/2025 14:03:07</t>
  </si>
  <si>
    <t>Beatriz Alves Nunes de Paulo - 29/01/2025 14:03:08</t>
  </si>
  <si>
    <t>Beatriz Alves Nunes de Paulo - 29/01/2025 14:03:10</t>
  </si>
  <si>
    <t>Beatriz Alves Nunes de Paulo - 29/01/2025 14:03:16</t>
  </si>
  <si>
    <t>Beatriz Alves Nunes de Paulo - 29/01/2025 14:03:18</t>
  </si>
  <si>
    <t>Beatriz Alves Nunes de Paulo - 11/02/2025 09:45:04</t>
  </si>
  <si>
    <t>Alisson Airton Sobrinho - 07/03/2025 08:16:51</t>
  </si>
  <si>
    <t>Base de Dados_Images/XV40022.Imagem do Equipamento-.190839.jpg</t>
  </si>
  <si>
    <t>Beatriz Alves Nunes de Paulo - 29/01/2025 14:01:25</t>
  </si>
  <si>
    <t>XV40023</t>
  </si>
  <si>
    <t>Válvula Descarga Cozedor 2</t>
  </si>
  <si>
    <t>Beatriz Alves Nunes de Paulo - 31/01/2025 14:18:30</t>
  </si>
  <si>
    <t>Beatriz Alves Nunes de Paulo - 31/01/2025 14:18:32</t>
  </si>
  <si>
    <t>Beatriz Alves Nunes de Paulo - 31/01/2025 14:18:33</t>
  </si>
  <si>
    <t>Beatriz Alves Nunes de Paulo - 31/01/2025 14:18:34</t>
  </si>
  <si>
    <t>Beatriz Alves Nunes de Paulo - 31/01/2025 14:18:36</t>
  </si>
  <si>
    <t>Beatriz Alves Nunes de Paulo - 31/01/2025 14:18:37</t>
  </si>
  <si>
    <t>Beatriz Alves Nunes de Paulo - 31/01/2025 14:18:39</t>
  </si>
  <si>
    <t>Beatriz Alves Nunes de Paulo - 31/01/2025 14:18:40</t>
  </si>
  <si>
    <t>Beatriz Alves Nunes de Paulo - 11/02/2025 09:53:08</t>
  </si>
  <si>
    <t>Beatriz Alves Nunes de Paulo - 11/02/2025 09:53:09</t>
  </si>
  <si>
    <t>Beatriz Alves Nunes de Paulo - 11/02/2025 09:53:14</t>
  </si>
  <si>
    <t>Alisson Airton Sobrinho - 07/03/2025 08:16:56</t>
  </si>
  <si>
    <t>Beatriz Alves Nunes de Paulo - 01/31/2025 14:18:26</t>
  </si>
  <si>
    <t>XV40024</t>
  </si>
  <si>
    <t>Válvula Corte/Pé Cozedor 2</t>
  </si>
  <si>
    <t>Beatriz Alves Nunes de Paulo - 31/01/2025 14:18:57</t>
  </si>
  <si>
    <t>Beatriz Alves Nunes de Paulo - 31/01/2025 14:18:58</t>
  </si>
  <si>
    <t>Beatriz Alves Nunes de Paulo - 31/01/2025 14:19:02</t>
  </si>
  <si>
    <t>Beatriz Alves Nunes de Paulo - 31/01/2025 14:19:04</t>
  </si>
  <si>
    <t>Beatriz Alves Nunes de Paulo - 31/01/2025 14:19:06</t>
  </si>
  <si>
    <t>Beatriz Alves Nunes de Paulo - 31/01/2025 14:19:10</t>
  </si>
  <si>
    <t>Beatriz Alves Nunes de Paulo - 31/01/2025 14:19:11</t>
  </si>
  <si>
    <t>Beatriz Alves Nunes de Paulo - 31/01/2025 14:19:13</t>
  </si>
  <si>
    <t>Beatriz Alves Nunes de Paulo - 11/02/2025 09:53:33</t>
  </si>
  <si>
    <t>Beatriz Alves Nunes de Paulo - 11/02/2025 09:53:34</t>
  </si>
  <si>
    <t>Beatriz Alves Nunes de Paulo - 11/02/2025 09:53:40</t>
  </si>
  <si>
    <t>Alisson Airton Sobrinho - 07/03/2025 08:17:13</t>
  </si>
  <si>
    <t>Beatriz Alves Nunes de Paulo - 01/31/2025 14:18:53</t>
  </si>
  <si>
    <t>XV40025</t>
  </si>
  <si>
    <t>Válvula Liquidação Cozedor 2</t>
  </si>
  <si>
    <t>Beatriz Alves Nunes de Paulo - 31/01/2025 14:17:55</t>
  </si>
  <si>
    <t>Beatriz Alves Nunes de Paulo - 31/01/2025 14:18:00</t>
  </si>
  <si>
    <t>Beatriz Alves Nunes de Paulo - 31/01/2025 14:17:58</t>
  </si>
  <si>
    <t>Beatriz Alves Nunes de Paulo - 31/01/2025 14:17:59</t>
  </si>
  <si>
    <t>Beatriz Alves Nunes de Paulo - 31/01/2025 14:18:02</t>
  </si>
  <si>
    <t>Beatriz Alves Nunes de Paulo - 31/01/2025 14:18:03</t>
  </si>
  <si>
    <t>Beatriz Alves Nunes de Paulo - 31/01/2025 14:18:05</t>
  </si>
  <si>
    <t>Beatriz Alves Nunes de Paulo - 31/01/2025 14:18:06</t>
  </si>
  <si>
    <t>Beatriz Alves Nunes de Paulo - 11/02/2025 09:54:17</t>
  </si>
  <si>
    <t>Beatriz Alves Nunes de Paulo - 11/02/2025 09:54:18</t>
  </si>
  <si>
    <t>Beatriz Alves Nunes de Paulo - 11/02/2025 09:54:26</t>
  </si>
  <si>
    <t>Alisson Airton Sobrinho - 07/03/2025 08:17:19</t>
  </si>
  <si>
    <t>Beatriz Alves Nunes de Paulo - 01/31/2025 14:17:46</t>
  </si>
  <si>
    <t>XV40026</t>
  </si>
  <si>
    <t>Válvula Alimentação Xarope Cozedor 3</t>
  </si>
  <si>
    <t>Beatriz Alves Nunes de Paulo - 29/01/2025 09:09:02</t>
  </si>
  <si>
    <t>Beatriz Alves Nunes de Paulo - 29/01/2025 09:09:03</t>
  </si>
  <si>
    <t>Beatriz Alves Nunes de Paulo - 29/01/2025 09:09:04</t>
  </si>
  <si>
    <t>Beatriz Alves Nunes de Paulo - 29/01/2025 09:09:05</t>
  </si>
  <si>
    <t>Beatriz Alves Nunes de Paulo - 29/01/2025 09:09:06</t>
  </si>
  <si>
    <t>Beatriz Alves Nunes de Paulo - 29/01/2025 09:09:07</t>
  </si>
  <si>
    <t>Beatriz Alves Nunes de Paulo - 29/01/2025 09:09:13</t>
  </si>
  <si>
    <t>Beatriz Alves Nunes de Paulo - 29/01/2025 09:09:14</t>
  </si>
  <si>
    <t>Beatriz Alves Nunes de Paulo - 11/02/2025 09:59:22</t>
  </si>
  <si>
    <t>Alisson Airton Sobrinho - 07/03/2025 08:17:25</t>
  </si>
  <si>
    <t>Base de Dados_Images/XV40026.Imagem do Equipamento-.154927.jpg</t>
  </si>
  <si>
    <t>Beatriz Alves Nunes de Paulo - 29/01/2025 09:08:57</t>
  </si>
  <si>
    <t>XV40027</t>
  </si>
  <si>
    <t>Válvula Alimentação Mel Pobre Cozedor 3</t>
  </si>
  <si>
    <t>Beatriz Alves Nunes de Paulo - 29/01/2025 09:09:41</t>
  </si>
  <si>
    <t>Beatriz Alves Nunes de Paulo - 29/01/2025 09:09:42</t>
  </si>
  <si>
    <t>Beatriz Alves Nunes de Paulo - 29/01/2025 09:09:43</t>
  </si>
  <si>
    <t>Beatriz Alves Nunes de Paulo - 29/01/2025 09:09:45</t>
  </si>
  <si>
    <t>Beatriz Alves Nunes de Paulo - 29/01/2025 09:09:47</t>
  </si>
  <si>
    <t>Beatriz Alves Nunes de Paulo - 29/01/2025 09:09:48</t>
  </si>
  <si>
    <t>Beatriz Alves Nunes de Paulo - 29/01/2025 09:09:50</t>
  </si>
  <si>
    <t>Beatriz Alves Nunes de Paulo - 29/01/2025 09:09:57</t>
  </si>
  <si>
    <t>Beatriz Alves Nunes de Paulo - 29/01/2025 09:10:00</t>
  </si>
  <si>
    <t>Beatriz Alves Nunes de Paulo - 11/02/2025 09:59:34</t>
  </si>
  <si>
    <t>Alisson Airton Sobrinho - 07/03/2025 08:17:31</t>
  </si>
  <si>
    <t>Base de Dados_Images/XV40027.Imagem do Equipamento-.155014.jpg</t>
  </si>
  <si>
    <t>Beatriz Alves Nunes de Paulo - 29/01/2025 09:09:37</t>
  </si>
  <si>
    <t>XV40028</t>
  </si>
  <si>
    <t>Válvula Alimentação Mel Rico Cozedor 3</t>
  </si>
  <si>
    <t>Beatriz Alves Nunes de Paulo - 29/01/2025 09:10:24</t>
  </si>
  <si>
    <t>Beatriz Alves Nunes de Paulo - 29/01/2025 09:10:25</t>
  </si>
  <si>
    <t>Beatriz Alves Nunes de Paulo - 29/01/2025 09:10:27</t>
  </si>
  <si>
    <t>Beatriz Alves Nunes de Paulo - 29/01/2025 09:10:29</t>
  </si>
  <si>
    <t>Beatriz Alves Nunes de Paulo - 29/01/2025 09:10:30</t>
  </si>
  <si>
    <t>Beatriz Alves Nunes de Paulo - 29/01/2025 09:10:32</t>
  </si>
  <si>
    <t>Beatriz Alves Nunes de Paulo - 29/01/2025 09:10:33</t>
  </si>
  <si>
    <t>Beatriz Alves Nunes de Paulo - 29/01/2025 09:10:40</t>
  </si>
  <si>
    <t>Beatriz Alves Nunes de Paulo - 29/01/2025 09:10:41</t>
  </si>
  <si>
    <t>Beatriz Alves Nunes de Paulo - 11/02/2025 09:59:50</t>
  </si>
  <si>
    <t>Alisson Airton Sobrinho - 07/03/2025 08:17:37</t>
  </si>
  <si>
    <t>Alisson Airton Sobrinho - 07/03/2025 08:17:36</t>
  </si>
  <si>
    <t>Base de Dados_Images/XV40028.Imagem do Equipamento-.155102.jpg</t>
  </si>
  <si>
    <t>Beatriz Alves Nunes de Paulo - 29/01/2025 09:10:20</t>
  </si>
  <si>
    <t>XV40029</t>
  </si>
  <si>
    <t>Válvula Alimentação Água Quente Cozedor 3</t>
  </si>
  <si>
    <t>Beatriz Alves Nunes de Paulo - 29/01/2025 09:11:32</t>
  </si>
  <si>
    <t>Beatriz Alves Nunes de Paulo - 29/01/2025 09:11:33</t>
  </si>
  <si>
    <t>Beatriz Alves Nunes de Paulo - 29/01/2025 09:11:37</t>
  </si>
  <si>
    <t>Beatriz Alves Nunes de Paulo - 29/01/2025 09:11:39</t>
  </si>
  <si>
    <t>Beatriz Alves Nunes de Paulo - 29/01/2025 09:11:41</t>
  </si>
  <si>
    <t>Beatriz Alves Nunes de Paulo - 29/01/2025 09:11:42</t>
  </si>
  <si>
    <t>Beatriz Alves Nunes de Paulo - 29/01/2025 09:11:44</t>
  </si>
  <si>
    <t>Beatriz Alves Nunes de Paulo - 29/01/2025 09:12:02</t>
  </si>
  <si>
    <t>Beatriz Alves Nunes de Paulo - 11/02/2025 10:00:03</t>
  </si>
  <si>
    <t>Alisson Airton Sobrinho - 07/03/2025 08:17:42</t>
  </si>
  <si>
    <t>Base de Dados_Images/XV40029.Imagem do Equipamento-.155147.jpg</t>
  </si>
  <si>
    <t>Beatriz Alves Nunes de Paulo - 29/01/2025 09:11:21</t>
  </si>
  <si>
    <t>XV40030</t>
  </si>
  <si>
    <t>Válvula Limpeza Vapor Cozedor 3</t>
  </si>
  <si>
    <t>Beatriz Alves Nunes de Paulo - 04/02/2025 13:35:44</t>
  </si>
  <si>
    <t>Beatriz Alves Nunes de Paulo - 04/02/2025 13:35:48</t>
  </si>
  <si>
    <t>Beatriz Alves Nunes de Paulo - 04/02/2025 13:35:49</t>
  </si>
  <si>
    <t>Beatriz Alves Nunes de Paulo - 04/02/2025 13:35:55</t>
  </si>
  <si>
    <t>Beatriz Alves Nunes de Paulo - 04/02/2025 13:35:54</t>
  </si>
  <si>
    <t>Beatriz Alves Nunes de Paulo - 04/02/2025 13:36:04</t>
  </si>
  <si>
    <t>Beatriz Alves Nunes de Paulo - 04/02/2025 13:36:05</t>
  </si>
  <si>
    <t>Beatriz Alves Nunes de Paulo - 04/02/2025 13:36:06</t>
  </si>
  <si>
    <t>Beatriz Alves Nunes de Paulo - 04/02/2025 13:36:14</t>
  </si>
  <si>
    <t>Beatriz Alves Nunes de Paulo - 04/02/2025 13:36:15</t>
  </si>
  <si>
    <t>Beatriz Alves Nunes de Paulo - 11/02/2025 10:00:36</t>
  </si>
  <si>
    <t>Alisson Airton Sobrinho - 07/03/2025 08:17:47</t>
  </si>
  <si>
    <t>Beatriz Alves Nunes de Paulo - 02/04/2025 13:35:31</t>
  </si>
  <si>
    <t>XV40031</t>
  </si>
  <si>
    <t>Beatriz Alves Nunes de Paulo - 01/02/2025 08:56:27</t>
  </si>
  <si>
    <t>Beatriz Alves Nunes de Paulo - 01/02/2025 08:56:26</t>
  </si>
  <si>
    <t>Beatriz Alves Nunes de Paulo - 01/02/2025 08:56:25</t>
  </si>
  <si>
    <t>Beatriz Alves Nunes de Paulo - 01/02/2025 08:56:36</t>
  </si>
  <si>
    <t>Beatriz Alves Nunes de Paulo - 01/02/2025 08:56:35</t>
  </si>
  <si>
    <t>Beatriz Alves Nunes de Paulo - 01/02/2025 08:56:34</t>
  </si>
  <si>
    <t>Beatriz Alves Nunes de Paulo - 01/02/2025 08:56:33</t>
  </si>
  <si>
    <t>Beatriz Alves Nunes de Paulo - 11/02/2025 10:01:31</t>
  </si>
  <si>
    <t>Beatriz Alves Nunes de Paulo - 11/02/2025 10:01:32</t>
  </si>
  <si>
    <t>Beatriz Alves Nunes de Paulo - 11/02/2025 10:01:37</t>
  </si>
  <si>
    <t>Alisson Airton Sobrinho - 07/03/2025 08:17:53</t>
  </si>
  <si>
    <t>Base de Dados_Images/XV40031.Imagem do Equipamento-.130252.jpg</t>
  </si>
  <si>
    <t>Beatriz Alves Nunes de Paulo - 01/02/2025 08:55:58</t>
  </si>
  <si>
    <t>XV40032</t>
  </si>
  <si>
    <t>Válvula Complemento De Vácuo Cozedor 3</t>
  </si>
  <si>
    <t>Beatriz Alves Nunes de Paulo - 04/02/2025 13:39:42</t>
  </si>
  <si>
    <t>Beatriz Alves Nunes de Paulo - 04/02/2025 13:38:13</t>
  </si>
  <si>
    <t>Beatriz Alves Nunes de Paulo - 04/02/2025 13:38:16</t>
  </si>
  <si>
    <t>Beatriz Alves Nunes de Paulo - 04/02/2025 13:38:17</t>
  </si>
  <si>
    <t>Beatriz Alves Nunes de Paulo - 04/02/2025 13:38:20</t>
  </si>
  <si>
    <t>Beatriz Alves Nunes de Paulo - 04/02/2025 13:38:22</t>
  </si>
  <si>
    <t>Beatriz Alves Nunes de Paulo - 04/02/2025 13:38:23</t>
  </si>
  <si>
    <t>Beatriz Alves Nunes de Paulo - 04/02/2025 13:38:25</t>
  </si>
  <si>
    <t>Beatriz Alves Nunes de Paulo - 04/02/2025 13:38:31</t>
  </si>
  <si>
    <t>Beatriz Alves Nunes de Paulo - 04/02/2025 13:38:33</t>
  </si>
  <si>
    <t>Beatriz Alves Nunes de Paulo - 11/02/2025 10:02:41</t>
  </si>
  <si>
    <t>Alisson Airton Sobrinho - 07/03/2025 08:18:01</t>
  </si>
  <si>
    <t>Beatriz Alves Nunes de Paulo - 02/04/2025 13:38:08</t>
  </si>
  <si>
    <t>XV40033</t>
  </si>
  <si>
    <t>Valvula De Sucção Da Bba Auxiliar De Vacuo Cozedor 3</t>
  </si>
  <si>
    <t>Beatriz Alves Nunes de Paulo - 04/02/2025 13:39:00</t>
  </si>
  <si>
    <t>Beatriz Alves Nunes de Paulo - 04/02/2025 13:39:02</t>
  </si>
  <si>
    <t>Beatriz Alves Nunes de Paulo - 04/02/2025 13:39:03</t>
  </si>
  <si>
    <t>Beatriz Alves Nunes de Paulo - 04/02/2025 13:39:05</t>
  </si>
  <si>
    <t>Beatriz Alves Nunes de Paulo - 04/02/2025 13:39:06</t>
  </si>
  <si>
    <t>Beatriz Alves Nunes de Paulo - 04/02/2025 13:39:07</t>
  </si>
  <si>
    <t>Beatriz Alves Nunes de Paulo - 04/02/2025 13:39:09</t>
  </si>
  <si>
    <t>Beatriz Alves Nunes de Paulo - 04/02/2025 13:39:10</t>
  </si>
  <si>
    <t>Beatriz Alves Nunes de Paulo - 04/02/2025 13:39:22</t>
  </si>
  <si>
    <t>Beatriz Alves Nunes de Paulo - 04/02/2025 13:39:18</t>
  </si>
  <si>
    <t>Beatriz Alves Nunes de Paulo - 11/02/2025 10:02:56</t>
  </si>
  <si>
    <t>Alisson Airton Sobrinho - 07/03/2025 08:18:05</t>
  </si>
  <si>
    <t>Beatriz Alves Nunes de Paulo - 02/04/2025 13:38:46</t>
  </si>
  <si>
    <t>XV40034</t>
  </si>
  <si>
    <t>Válvula Quebra Vácuo Cozedor 3</t>
  </si>
  <si>
    <t>Beatriz Alves Nunes de Paulo - 29/01/2025 14:13:19</t>
  </si>
  <si>
    <t>Beatriz Alves Nunes de Paulo - 29/01/2025 14:13:20</t>
  </si>
  <si>
    <t>Beatriz Alves Nunes de Paulo - 29/01/2025 14:13:21</t>
  </si>
  <si>
    <t>Beatriz Alves Nunes de Paulo - 29/01/2025 14:13:24</t>
  </si>
  <si>
    <t>Beatriz Alves Nunes de Paulo - 29/01/2025 14:13:25</t>
  </si>
  <si>
    <t>Beatriz Alves Nunes de Paulo - 29/01/2025 14:13:26</t>
  </si>
  <si>
    <t>Beatriz Alves Nunes de Paulo - 29/01/2025 14:13:42</t>
  </si>
  <si>
    <t>Beatriz Alves Nunes de Paulo - 29/01/2025 14:13:43</t>
  </si>
  <si>
    <t>Beatriz Alves Nunes de Paulo - 29/01/2025 14:15:19</t>
  </si>
  <si>
    <t>Beatriz Alves Nunes de Paulo - 29/01/2025 14:15:20</t>
  </si>
  <si>
    <t>Beatriz Alves Nunes de Paulo - 11/02/2025 10:03:22</t>
  </si>
  <si>
    <t>Alisson Airton Sobrinho - 07/03/2025 08:18:12</t>
  </si>
  <si>
    <t>Base de Dados_Images/XV40034.Imagem do Equipamento-.191043.jpg</t>
  </si>
  <si>
    <t>Beatriz Alves Nunes de Paulo - 29/01/2025 14:13:11</t>
  </si>
  <si>
    <t>XV40035</t>
  </si>
  <si>
    <t>Válvula Descarga Cozedor 3</t>
  </si>
  <si>
    <t>Beatriz Alves Nunes de Paulo - 31/01/2025 14:20:01</t>
  </si>
  <si>
    <t>Beatriz Alves Nunes de Paulo - 31/01/2025 14:20:06</t>
  </si>
  <si>
    <t>Beatriz Alves Nunes de Paulo - 31/01/2025 14:20:13</t>
  </si>
  <si>
    <t>Beatriz Alves Nunes de Paulo - 31/01/2025 14:20:14</t>
  </si>
  <si>
    <t>Beatriz Alves Nunes de Paulo - 31/01/2025 14:20:16</t>
  </si>
  <si>
    <t>Beatriz Alves Nunes de Paulo - 31/01/2025 14:20:17</t>
  </si>
  <si>
    <t>Beatriz Alves Nunes de Paulo - 31/01/2025 14:20:20</t>
  </si>
  <si>
    <t>Beatriz Alves Nunes de Paulo - 31/01/2025 14:20:24</t>
  </si>
  <si>
    <t>Beatriz Alves Nunes de Paulo - 11/02/2025 10:04:45</t>
  </si>
  <si>
    <t>Beatriz Alves Nunes de Paulo - 11/02/2025 10:04:47</t>
  </si>
  <si>
    <t>Beatriz Alves Nunes de Paulo - 11/02/2025 10:04:52</t>
  </si>
  <si>
    <t>Alisson Airton Sobrinho - 07/03/2025 08:18:17</t>
  </si>
  <si>
    <t>Beatriz Alves Nunes de Paulo - 01/31/2025 14:19:56</t>
  </si>
  <si>
    <t>XV40036</t>
  </si>
  <si>
    <t>Válvula Corte/Pé Cozedor 3</t>
  </si>
  <si>
    <t>Beatriz Alves Nunes de Paulo - 31/01/2025 14:19:32</t>
  </si>
  <si>
    <t>Beatriz Alves Nunes de Paulo - 31/01/2025 14:19:33</t>
  </si>
  <si>
    <t>Beatriz Alves Nunes de Paulo - 31/01/2025 14:19:35</t>
  </si>
  <si>
    <t>Beatriz Alves Nunes de Paulo - 31/01/2025 14:19:36</t>
  </si>
  <si>
    <t>Beatriz Alves Nunes de Paulo - 31/01/2025 14:19:37</t>
  </si>
  <si>
    <t>Beatriz Alves Nunes de Paulo - 31/01/2025 14:19:39</t>
  </si>
  <si>
    <t>Beatriz Alves Nunes de Paulo - 31/01/2025 14:19:40</t>
  </si>
  <si>
    <t>Beatriz Alves Nunes de Paulo - 31/01/2025 14:19:41</t>
  </si>
  <si>
    <t>Beatriz Alves Nunes de Paulo - 11/02/2025 10:05:24</t>
  </si>
  <si>
    <t>Beatriz Alves Nunes de Paulo - 11/02/2025 10:05:26</t>
  </si>
  <si>
    <t>Beatriz Alves Nunes de Paulo - 11/02/2025 10:05:32</t>
  </si>
  <si>
    <t>Alisson Airton Sobrinho - 07/03/2025 08:18:24</t>
  </si>
  <si>
    <t>Beatriz Alves Nunes de Paulo - 01/31/2025 14:19:28</t>
  </si>
  <si>
    <t>XV40037</t>
  </si>
  <si>
    <t>Válvula Liquidação Cozedor 3</t>
  </si>
  <si>
    <t>Beatriz Alves Nunes de Paulo - 31/01/2025 14:16:44</t>
  </si>
  <si>
    <t>Beatriz Alves Nunes de Paulo - 31/01/2025 14:16:47</t>
  </si>
  <si>
    <t>Beatriz Alves Nunes de Paulo - 31/01/2025 14:16:48</t>
  </si>
  <si>
    <t>Beatriz Alves Nunes de Paulo - 31/01/2025 14:16:50</t>
  </si>
  <si>
    <t>Beatriz Alves Nunes de Paulo - 31/01/2025 14:16:52</t>
  </si>
  <si>
    <t>Beatriz Alves Nunes de Paulo - 31/01/2025 14:16:54</t>
  </si>
  <si>
    <t>Beatriz Alves Nunes de Paulo - 31/01/2025 14:16:55</t>
  </si>
  <si>
    <t>Beatriz Alves Nunes de Paulo - 31/01/2025 14:16:57</t>
  </si>
  <si>
    <t>Beatriz Alves Nunes de Paulo - 11/02/2025 10:06:09</t>
  </si>
  <si>
    <t>Beatriz Alves Nunes de Paulo - 11/02/2025 10:06:10</t>
  </si>
  <si>
    <t>Beatriz Alves Nunes de Paulo - 11/02/2025 10:06:19</t>
  </si>
  <si>
    <t>Alisson Airton Sobrinho - 07/03/2025 08:18:30</t>
  </si>
  <si>
    <t>Beatriz Alves Nunes de Paulo - 01/31/2025 14:16:40</t>
  </si>
  <si>
    <t>Linha De Corte</t>
  </si>
  <si>
    <t>XV40038</t>
  </si>
  <si>
    <t>Valvula De Limpeza Da Linha De Corte Ma</t>
  </si>
  <si>
    <t>Beatriz Alves Nunes de Paulo - 29/01/2025 10:26:10</t>
  </si>
  <si>
    <t>Beatriz Alves Nunes de Paulo - 29/01/2025 10:26:11</t>
  </si>
  <si>
    <t>Beatriz Alves Nunes de Paulo - 29/01/2025 10:26:12</t>
  </si>
  <si>
    <t>Beatriz Alves Nunes de Paulo - 29/01/2025 10:26:13</t>
  </si>
  <si>
    <t>Beatriz Alves Nunes de Paulo - 29/01/2025 10:26:14</t>
  </si>
  <si>
    <t>Beatriz Alves Nunes de Paulo - 29/01/2025 10:26:15</t>
  </si>
  <si>
    <t>Beatriz Alves Nunes de Paulo - 29/01/2025 10:26:18</t>
  </si>
  <si>
    <t>Beatriz Alves Nunes de Paulo - 29/01/2025 10:26:16</t>
  </si>
  <si>
    <t>Beatriz Alves Nunes de Paulo - 04/02/2025 13:11:35</t>
  </si>
  <si>
    <t>Beatriz Alves Nunes de Paulo - 04/02/2025 13:11:36</t>
  </si>
  <si>
    <t>Beatriz Alves Nunes de Paulo - 11/02/2025 11:44:51</t>
  </si>
  <si>
    <t>Beatriz Alves Nunes de Paulo - 06/03/2025 08:48:31</t>
  </si>
  <si>
    <t>Beatriz Alves Nunes de Paulo - 01/29/2025 10:26:06</t>
  </si>
  <si>
    <t>XV40039</t>
  </si>
  <si>
    <t>Valvula De Vapor De Limpeza Linha Corte Sementeira 01</t>
  </si>
  <si>
    <t>Beatriz Alves Nunes de Paulo - 30/01/2025 09:27:16</t>
  </si>
  <si>
    <t>Beatriz Alves Nunes de Paulo - 30/01/2025 09:27:18</t>
  </si>
  <si>
    <t>Beatriz Alves Nunes de Paulo - 30/01/2025 09:27:20</t>
  </si>
  <si>
    <t>Beatriz Alves Nunes de Paulo - 30/01/2025 09:27:24</t>
  </si>
  <si>
    <t>Beatriz Alves Nunes de Paulo - 30/01/2025 09:27:26</t>
  </si>
  <si>
    <t>Beatriz Alves Nunes de Paulo - 30/01/2025 09:27:27</t>
  </si>
  <si>
    <t>Beatriz Alves Nunes de Paulo - 30/01/2025 09:27:29</t>
  </si>
  <si>
    <t>Beatriz Alves Nunes de Paulo - 30/01/2025 09:27:31</t>
  </si>
  <si>
    <t>Beatriz Alves Nunes de Paulo - 04/02/2025 13:22:20</t>
  </si>
  <si>
    <t>Beatriz Alves Nunes de Paulo - 04/02/2025 13:22:25</t>
  </si>
  <si>
    <t>Beatriz Alves Nunes de Paulo - 11/02/2025 10:12:15</t>
  </si>
  <si>
    <t>Alisson Airton Sobrinho - 07/03/2025 08:18:35</t>
  </si>
  <si>
    <t>Base de Dados_Images/XV40039.Imagem do Equipamento-.141415.jpg</t>
  </si>
  <si>
    <t>Beatriz Alves Nunes de Paulo - 30/01/2025 09:27:11</t>
  </si>
  <si>
    <t>XV40041</t>
  </si>
  <si>
    <t>Valvula De Limpeza Da Linha De Corte Mb</t>
  </si>
  <si>
    <t>Beatriz Alves Nunes de Paulo - 29/01/2025 10:26:30</t>
  </si>
  <si>
    <t>Beatriz Alves Nunes de Paulo - 29/01/2025 10:26:32</t>
  </si>
  <si>
    <t>Beatriz Alves Nunes de Paulo - 29/01/2025 10:26:37</t>
  </si>
  <si>
    <t>Beatriz Alves Nunes de Paulo - 29/01/2025 10:26:34</t>
  </si>
  <si>
    <t>Beatriz Alves Nunes de Paulo - 29/01/2025 10:26:35</t>
  </si>
  <si>
    <t>Beatriz Alves Nunes de Paulo - 29/01/2025 10:26:39</t>
  </si>
  <si>
    <t>Beatriz Alves Nunes de Paulo - 04/02/2025 13:11:49</t>
  </si>
  <si>
    <t>Beatriz Alves Nunes de Paulo - 11/02/2025 11:46:09</t>
  </si>
  <si>
    <t>Beatriz Alves Nunes de Paulo - 06/03/2025 08:48:35</t>
  </si>
  <si>
    <t>Beatriz Alves Nunes de Paulo - 01/29/2025 10:26:26</t>
  </si>
  <si>
    <t>XV40042</t>
  </si>
  <si>
    <t>Valvula De Vapor De Limpeza Linha Corte Sementeira 03</t>
  </si>
  <si>
    <t>Beatriz Alves Nunes de Paulo - 13/02/2025 13:31:26</t>
  </si>
  <si>
    <t>Beatriz Alves Nunes de Paulo - 13/02/2025 13:31:08</t>
  </si>
  <si>
    <t>Beatriz Alves Nunes de Paulo - 13/02/2025 13:31:10</t>
  </si>
  <si>
    <t>Beatriz Alves Nunes de Paulo - 13/02/2025 13:31:12</t>
  </si>
  <si>
    <t>Beatriz Alves Nunes de Paulo - 13/02/2025 13:31:14</t>
  </si>
  <si>
    <t>Beatriz Alves Nunes de Paulo - 13/02/2025 13:31:15</t>
  </si>
  <si>
    <t>Beatriz Alves Nunes de Paulo - 13/02/2025 13:31:17</t>
  </si>
  <si>
    <t>Beatriz Alves Nunes de Paulo - 13/02/2025 13:31:34</t>
  </si>
  <si>
    <t>Beatriz Alves Nunes de Paulo - 13/02/2025 13:31:41</t>
  </si>
  <si>
    <t>Beatriz Alves Nunes de Paulo - 20/02/2025 12:44:23</t>
  </si>
  <si>
    <t>Alisson Airton Sobrinho - 07/03/2025 08:21:54</t>
  </si>
  <si>
    <t>Beatriz Alves Nunes de Paulo - 02/13/2025 13:31:02</t>
  </si>
  <si>
    <t>XV40044</t>
  </si>
  <si>
    <t>Valvula De Bloqueio 2 Linha Corte Massa A E Massa B</t>
  </si>
  <si>
    <t>Beatriz Alves Nunes de Paulo - 29/01/2025 10:25:46</t>
  </si>
  <si>
    <t>Beatriz Alves Nunes de Paulo - 29/01/2025 10:25:47</t>
  </si>
  <si>
    <t>Beatriz Alves Nunes de Paulo - 29/01/2025 10:25:49</t>
  </si>
  <si>
    <t>Beatriz Alves Nunes de Paulo - 29/01/2025 10:25:53</t>
  </si>
  <si>
    <t>Beatriz Alves Nunes de Paulo - 29/01/2025 10:25:54</t>
  </si>
  <si>
    <t>Beatriz Alves Nunes de Paulo - 29/01/2025 10:25:56</t>
  </si>
  <si>
    <t>Beatriz Alves Nunes de Paulo - 29/01/2025 10:25:57</t>
  </si>
  <si>
    <t>Beatriz Alves Nunes de Paulo - 04/02/2025 13:11:28</t>
  </si>
  <si>
    <t>Beatriz Alves Nunes de Paulo - 11/02/2025 11:44:39</t>
  </si>
  <si>
    <t>Beatriz Alves Nunes de Paulo - 06/03/2025 08:48:40</t>
  </si>
  <si>
    <t>Beatriz Alves Nunes de Paulo - 01/29/2025 10:25:42</t>
  </si>
  <si>
    <t>XV40045</t>
  </si>
  <si>
    <t>Válvula Descarga Sementeira 2-3 P/ Cristalizador B</t>
  </si>
  <si>
    <t>Beatriz Alves Nunes de Paulo - 29/01/2025 10:14:24</t>
  </si>
  <si>
    <t>Beatriz Alves Nunes de Paulo - 29/01/2025 10:14:25</t>
  </si>
  <si>
    <t>Beatriz Alves Nunes de Paulo - 29/01/2025 10:14:27</t>
  </si>
  <si>
    <t>Beatriz Alves Nunes de Paulo - 29/01/2025 10:14:29</t>
  </si>
  <si>
    <t>Beatriz Alves Nunes de Paulo - 29/01/2025 10:14:30</t>
  </si>
  <si>
    <t>Beatriz Alves Nunes de Paulo - 29/01/2025 10:14:33</t>
  </si>
  <si>
    <t>Beatriz Alves Nunes de Paulo - 29/01/2025 10:14:34</t>
  </si>
  <si>
    <t>Beatriz Alves Nunes de Paulo - 29/01/2025 10:14:36</t>
  </si>
  <si>
    <t>Beatriz Alves Nunes de Paulo - 04/02/2025 13:07:18</t>
  </si>
  <si>
    <t>Beatriz Alves Nunes de Paulo - 04/02/2025 13:07:21</t>
  </si>
  <si>
    <t>Beatriz Alves Nunes de Paulo - 20/02/2025 12:35:42</t>
  </si>
  <si>
    <t>Beatriz Alves Nunes de Paulo - 06/03/2025 08:47:25</t>
  </si>
  <si>
    <t>Beatriz Alves Nunes de Paulo - 01/29/2025 10:14:19</t>
  </si>
  <si>
    <t>XV40046</t>
  </si>
  <si>
    <t>Valvula De Dreno Linha De Corte Para Destilaria</t>
  </si>
  <si>
    <t>Beatriz Alves Nunes de Paulo - 29/01/2025 10:26:52</t>
  </si>
  <si>
    <t>Beatriz Alves Nunes de Paulo - 29/01/2025 10:26:54</t>
  </si>
  <si>
    <t>Beatriz Alves Nunes de Paulo - 29/01/2025 10:26:55</t>
  </si>
  <si>
    <t>Beatriz Alves Nunes de Paulo - 29/01/2025 10:26:56</t>
  </si>
  <si>
    <t>Beatriz Alves Nunes de Paulo - 29/01/2025 10:27:00</t>
  </si>
  <si>
    <t>Beatriz Alves Nunes de Paulo - 29/01/2025 10:27:02</t>
  </si>
  <si>
    <t>Beatriz Alves Nunes de Paulo - 29/01/2025 10:27:04</t>
  </si>
  <si>
    <t>Beatriz Alves Nunes de Paulo - 04/02/2025 13:12:01</t>
  </si>
  <si>
    <t>Beatriz Alves Nunes de Paulo - 04/02/2025 13:12:02</t>
  </si>
  <si>
    <t>Beatriz Alves Nunes de Paulo - 27/02/2025 12:55:17</t>
  </si>
  <si>
    <t>Beatriz Alves Nunes de Paulo - 06/03/2025 08:48:45</t>
  </si>
  <si>
    <t>Beatriz Alves Nunes de Paulo - 01/29/2025 10:26:48</t>
  </si>
  <si>
    <t>XV40047</t>
  </si>
  <si>
    <t>Beatriz Alves Nunes de Paulo - 29/01/2025 10:25:09</t>
  </si>
  <si>
    <t>Beatriz Alves Nunes de Paulo - 29/01/2025 10:25:10</t>
  </si>
  <si>
    <t>Beatriz Alves Nunes de Paulo - 29/01/2025 10:25:11</t>
  </si>
  <si>
    <t>Beatriz Alves Nunes de Paulo - 29/01/2025 10:25:18</t>
  </si>
  <si>
    <t>Beatriz Alves Nunes de Paulo - 29/01/2025 10:25:16</t>
  </si>
  <si>
    <t>Beatriz Alves Nunes de Paulo - 29/01/2025 10:25:21</t>
  </si>
  <si>
    <t>Beatriz Alves Nunes de Paulo - 29/01/2025 10:25:22</t>
  </si>
  <si>
    <t>Beatriz Alves Nunes de Paulo - 29/01/2025 10:25:24</t>
  </si>
  <si>
    <t>Beatriz Alves Nunes de Paulo - 04/02/2025 13:11:20</t>
  </si>
  <si>
    <t>Beatriz Alves Nunes de Paulo - 11/02/2025 11:44:30</t>
  </si>
  <si>
    <t>Beatriz Alves Nunes de Paulo - 06/03/2025 08:48:50</t>
  </si>
  <si>
    <t>Beatriz Alves Nunes de Paulo - 01/29/2025 10:25:02</t>
  </si>
  <si>
    <t>XV40049</t>
  </si>
  <si>
    <t>Válvula Liquidação Sementeira 2</t>
  </si>
  <si>
    <t>Beatriz Alves Nunes de Paulo - 04/02/2025 14:10:22</t>
  </si>
  <si>
    <t>Beatriz Alves Nunes de Paulo - 04/02/2025 14:10:23</t>
  </si>
  <si>
    <t>Beatriz Alves Nunes de Paulo - 04/02/2025 14:10:25</t>
  </si>
  <si>
    <t>Beatriz Alves Nunes de Paulo - 04/02/2025 14:10:30</t>
  </si>
  <si>
    <t>Beatriz Alves Nunes de Paulo - 04/02/2025 14:10:32</t>
  </si>
  <si>
    <t>Beatriz Alves Nunes de Paulo - 04/02/2025 14:10:38</t>
  </si>
  <si>
    <t>Beatriz Alves Nunes de Paulo - 04/02/2025 14:10:37</t>
  </si>
  <si>
    <t>Beatriz Alves Nunes de Paulo - 04/02/2025 14:10:36</t>
  </si>
  <si>
    <t>Beatriz Alves Nunes de Paulo - 04/02/2025 14:10:45</t>
  </si>
  <si>
    <t>Beatriz Alves Nunes de Paulo - 04/02/2025 14:10:46</t>
  </si>
  <si>
    <t>Beatriz Alves Nunes de Paulo - 20/02/2025 12:33:47</t>
  </si>
  <si>
    <t>Alisson Airton Sobrinho - 07/03/2025 08:20:58</t>
  </si>
  <si>
    <t>Beatriz Alves Nunes de Paulo - 02/04/2025 14:10:13</t>
  </si>
  <si>
    <t>XV40050</t>
  </si>
  <si>
    <t>Válvula Vapor Sementeira 2</t>
  </si>
  <si>
    <t>Beatriz Alves Nunes de Paulo - 29/01/2025 13:25:54</t>
  </si>
  <si>
    <t>Beatriz Alves Nunes de Paulo - 29/01/2025 13:25:56</t>
  </si>
  <si>
    <t>Beatriz Alves Nunes de Paulo - 29/01/2025 13:25:57</t>
  </si>
  <si>
    <t>Beatriz Alves Nunes de Paulo - 29/01/2025 13:26:00</t>
  </si>
  <si>
    <t>Beatriz Alves Nunes de Paulo - 29/01/2025 13:26:02</t>
  </si>
  <si>
    <t>Beatriz Alves Nunes de Paulo - 29/01/2025 13:26:08</t>
  </si>
  <si>
    <t>Beatriz Alves Nunes de Paulo - 29/01/2025 13:26:05</t>
  </si>
  <si>
    <t>Beatriz Alves Nunes de Paulo - 29/01/2025 13:26:10</t>
  </si>
  <si>
    <t>Beatriz Alves Nunes de Paulo - 17/02/2025 08:37:27</t>
  </si>
  <si>
    <t>Beatriz Alves Nunes de Paulo - 17/02/2025 08:37:28</t>
  </si>
  <si>
    <t>Beatriz Alves Nunes de Paulo - 20/02/2025 12:34:13</t>
  </si>
  <si>
    <t>Alisson Airton Sobrinho - 07/03/2025 08:20:53</t>
  </si>
  <si>
    <t>Base de Dados_Images/XV40050.Imagem do Equipamento-.180202.jpg</t>
  </si>
  <si>
    <t>Beatriz Alves Nunes de Paulo - 29/01/2025 13:25:45</t>
  </si>
  <si>
    <t>XV40051</t>
  </si>
  <si>
    <t>Válvula Quebra Vácuo Sementeira 2</t>
  </si>
  <si>
    <t>Beatriz Alves Nunes de Paulo - 29/01/2025 13:12:26</t>
  </si>
  <si>
    <t>Beatriz Alves Nunes de Paulo - 29/01/2025 13:12:27</t>
  </si>
  <si>
    <t>Beatriz Alves Nunes de Paulo - 29/01/2025 13:12:42</t>
  </si>
  <si>
    <t>Beatriz Alves Nunes de Paulo - 29/01/2025 13:12:45</t>
  </si>
  <si>
    <t>Beatriz Alves Nunes de Paulo - 29/01/2025 13:12:46</t>
  </si>
  <si>
    <t>Beatriz Alves Nunes de Paulo - 29/01/2025 13:12:52</t>
  </si>
  <si>
    <t>Beatriz Alves Nunes de Paulo - 29/01/2025 13:12:54</t>
  </si>
  <si>
    <t>Beatriz Alves Nunes de Paulo - 29/01/2025 13:12:55</t>
  </si>
  <si>
    <t>Beatriz Alves Nunes de Paulo - 13/02/2025 13:22:20</t>
  </si>
  <si>
    <t>Beatriz Alves Nunes de Paulo - 13/02/2025 13:22:21</t>
  </si>
  <si>
    <t>Beatriz Alves Nunes de Paulo - 13/02/2025 13:22:46</t>
  </si>
  <si>
    <t>Alisson Airton Sobrinho - 07/03/2025 08:20:41</t>
  </si>
  <si>
    <t>Base de Dados_Images/XV40051.Imagem do Equipamento-.151147.jpg</t>
  </si>
  <si>
    <t>Beatriz Alves Nunes de Paulo - 29/01/2025 11:42:21</t>
  </si>
  <si>
    <t>XV40052</t>
  </si>
  <si>
    <t>Válvula Forma Vácuo Sementeira 2</t>
  </si>
  <si>
    <t>Beatriz Alves Nunes de Paulo - 29/01/2025 13:13:08</t>
  </si>
  <si>
    <t>Beatriz Alves Nunes de Paulo - 29/01/2025 13:13:10</t>
  </si>
  <si>
    <t>Beatriz Alves Nunes de Paulo - 29/01/2025 13:13:12</t>
  </si>
  <si>
    <t>Beatriz Alves Nunes de Paulo - 29/01/2025 13:13:13</t>
  </si>
  <si>
    <t>Beatriz Alves Nunes de Paulo - 29/01/2025 13:13:15</t>
  </si>
  <si>
    <t>Beatriz Alves Nunes de Paulo - 29/01/2025 13:13:17</t>
  </si>
  <si>
    <t>Beatriz Alves Nunes de Paulo - 29/01/2025 13:13:18</t>
  </si>
  <si>
    <t>Beatriz Alves Nunes de Paulo - 29/01/2025 13:13:20</t>
  </si>
  <si>
    <t>Beatriz Alves Nunes de Paulo - 17/02/2025 08:42:48</t>
  </si>
  <si>
    <t>Beatriz Alves Nunes de Paulo - 17/02/2025 08:42:50</t>
  </si>
  <si>
    <t>Beatriz Alves Nunes de Paulo - 20/02/2025 12:34:01</t>
  </si>
  <si>
    <t>Alisson Airton Sobrinho - 07/03/2025 08:21:03</t>
  </si>
  <si>
    <t>Base de Dados_Images/XV40052.Imagem do Equipamento-.151154.jpg</t>
  </si>
  <si>
    <t>Beatriz Alves Nunes de Paulo - 29/01/2025 11:43:03</t>
  </si>
  <si>
    <t>XV40053</t>
  </si>
  <si>
    <t>Válvula Liquidação Sementeira 3</t>
  </si>
  <si>
    <t>Beatriz Alves Nunes de Paulo - 30/01/2025 09:45:07</t>
  </si>
  <si>
    <t>Beatriz Alves Nunes de Paulo - 30/01/2025 09:45:08</t>
  </si>
  <si>
    <t>Beatriz Alves Nunes de Paulo - 30/01/2025 09:45:09</t>
  </si>
  <si>
    <t>Beatriz Alves Nunes de Paulo - 30/01/2025 09:45:12</t>
  </si>
  <si>
    <t>Beatriz Alves Nunes de Paulo - 30/01/2025 09:45:14</t>
  </si>
  <si>
    <t>Beatriz Alves Nunes de Paulo - 30/01/2025 09:45:16</t>
  </si>
  <si>
    <t>Beatriz Alves Nunes de Paulo - 30/01/2025 09:45:17</t>
  </si>
  <si>
    <t>Beatriz Alves Nunes de Paulo - 30/01/2025 09:45:19</t>
  </si>
  <si>
    <t>Beatriz Alves Nunes de Paulo - 17/02/2025 08:43:43</t>
  </si>
  <si>
    <t>Beatriz Alves Nunes de Paulo - 20/02/2025 12:43:46</t>
  </si>
  <si>
    <t>Alisson Airton Sobrinho - 07/03/2025 08:21:59</t>
  </si>
  <si>
    <t>Base de Dados_Images/XV40053.Imagem do Equipamento-.141518.jpg</t>
  </si>
  <si>
    <t>Beatriz Alves Nunes de Paulo - 30/01/2025 09:45:00</t>
  </si>
  <si>
    <t>XV40054</t>
  </si>
  <si>
    <t>Válvula Vapor Sementeira 3</t>
  </si>
  <si>
    <t>Beatriz Alves Nunes de Paulo - 29/01/2025 13:31:37</t>
  </si>
  <si>
    <t>Beatriz Alves Nunes de Paulo - 29/01/2025 13:31:39</t>
  </si>
  <si>
    <t>Beatriz Alves Nunes de Paulo - 29/01/2025 13:31:41</t>
  </si>
  <si>
    <t>Beatriz Alves Nunes de Paulo - 29/01/2025 13:32:09</t>
  </si>
  <si>
    <t>Beatriz Alves Nunes de Paulo - 29/01/2025 13:32:12</t>
  </si>
  <si>
    <t>Beatriz Alves Nunes de Paulo - 29/01/2025 13:32:19</t>
  </si>
  <si>
    <t>Beatriz Alves Nunes de Paulo - 29/01/2025 13:32:17</t>
  </si>
  <si>
    <t>Beatriz Alves Nunes de Paulo - 29/01/2025 13:32:21</t>
  </si>
  <si>
    <t>Beatriz Alves Nunes de Paulo - 17/02/2025 08:39:50</t>
  </si>
  <si>
    <t>Beatriz Alves Nunes de Paulo - 17/02/2025 08:39:51</t>
  </si>
  <si>
    <t>Beatriz Alves Nunes de Paulo - 20/02/2025 12:43:56</t>
  </si>
  <si>
    <t>Alisson Airton Sobrinho - 07/03/2025 08:22:03</t>
  </si>
  <si>
    <t>Beatriz Alves Nunes de Paulo - 01/29/2025 13:31:33</t>
  </si>
  <si>
    <t>XV40055</t>
  </si>
  <si>
    <t>Válvula Forma Vácuo Sementeira 3</t>
  </si>
  <si>
    <t>Beatriz Alves Nunes de Paulo - 29/01/2025 13:28:32</t>
  </si>
  <si>
    <t>Beatriz Alves Nunes de Paulo - 29/01/2025 13:28:37</t>
  </si>
  <si>
    <t>Beatriz Alves Nunes de Paulo - 29/01/2025 13:28:39</t>
  </si>
  <si>
    <t>Beatriz Alves Nunes de Paulo - 29/01/2025 13:28:44</t>
  </si>
  <si>
    <t>Beatriz Alves Nunes de Paulo - 29/01/2025 13:28:46</t>
  </si>
  <si>
    <t>Beatriz Alves Nunes de Paulo - 29/01/2025 13:28:48</t>
  </si>
  <si>
    <t>Beatriz Alves Nunes de Paulo - 29/01/2025 13:28:49</t>
  </si>
  <si>
    <t>Beatriz Alves Nunes de Paulo - 29/01/2025 13:28:51</t>
  </si>
  <si>
    <t>Beatriz Alves Nunes de Paulo - 17/02/2025 08:41:38</t>
  </si>
  <si>
    <t>Beatriz Alves Nunes de Paulo - 17/02/2025 08:41:39</t>
  </si>
  <si>
    <t>Beatriz Alves Nunes de Paulo - 20/02/2025 12:44:06</t>
  </si>
  <si>
    <t>Alisson Airton Sobrinho - 07/03/2025 08:22:08</t>
  </si>
  <si>
    <t>Base de Dados_Images/XV40055.Imagem do Equipamento-.182609.jpg</t>
  </si>
  <si>
    <t>Beatriz Alves Nunes de Paulo - 29/01/2025 13:28:17</t>
  </si>
  <si>
    <t>XV40056</t>
  </si>
  <si>
    <t>Válvula Quebra Vácuo Sementeira 3</t>
  </si>
  <si>
    <t>Beatriz Alves Nunes de Paulo - 29/01/2025 13:29:50</t>
  </si>
  <si>
    <t>Beatriz Alves Nunes de Paulo - 29/01/2025 13:29:53</t>
  </si>
  <si>
    <t>Beatriz Alves Nunes de Paulo - 29/01/2025 13:29:55</t>
  </si>
  <si>
    <t>Beatriz Alves Nunes de Paulo - 29/01/2025 13:29:57</t>
  </si>
  <si>
    <t>Beatriz Alves Nunes de Paulo - 29/01/2025 13:29:58</t>
  </si>
  <si>
    <t>Beatriz Alves Nunes de Paulo - 29/01/2025 13:30:02</t>
  </si>
  <si>
    <t>Beatriz Alves Nunes de Paulo - 29/01/2025 13:30:03</t>
  </si>
  <si>
    <t>Beatriz Alves Nunes de Paulo - 29/01/2025 13:30:06</t>
  </si>
  <si>
    <t>Beatriz Alves Nunes de Paulo - 13/02/2025 13:23:42</t>
  </si>
  <si>
    <t>Beatriz Alves Nunes de Paulo - 13/02/2025 13:23:57</t>
  </si>
  <si>
    <t>Alisson Airton Sobrinho - 07/03/2025 08:22:12</t>
  </si>
  <si>
    <t>Base de Dados_Images/XV40056.Imagem do Equipamento-.182713.jpg</t>
  </si>
  <si>
    <t>Beatriz Alves Nunes de Paulo - 29/01/2025 13:29:42</t>
  </si>
  <si>
    <t>XV40057</t>
  </si>
  <si>
    <t>Válvula Vapor De Saída Sementeira 4</t>
  </si>
  <si>
    <t>Beatriz Alves Nunes de Paulo - 29/01/2025 11:19:29</t>
  </si>
  <si>
    <t>Beatriz Alves Nunes de Paulo - 29/01/2025 11:19:30</t>
  </si>
  <si>
    <t>Beatriz Alves Nunes de Paulo - 29/01/2025 11:19:33</t>
  </si>
  <si>
    <t>Beatriz Alves Nunes de Paulo - 29/01/2025 11:19:35</t>
  </si>
  <si>
    <t>Beatriz Alves Nunes de Paulo - 29/01/2025 11:19:37</t>
  </si>
  <si>
    <t>Beatriz Alves Nunes de Paulo - 29/01/2025 11:19:41</t>
  </si>
  <si>
    <t>Beatriz Alves Nunes de Paulo - 29/01/2025 11:19:42</t>
  </si>
  <si>
    <t>Beatriz Alves Nunes de Paulo - 29/01/2025 11:19:45</t>
  </si>
  <si>
    <t>Beatriz Alves Nunes de Paulo - 12/02/2025 14:54:53</t>
  </si>
  <si>
    <t>Beatriz Alves Nunes de Paulo - 12/02/2025 14:55:09</t>
  </si>
  <si>
    <t>Alisson Airton Sobrinho - 07/03/2025 08:22:24</t>
  </si>
  <si>
    <t>Base de Dados_Images/XV40057.Imagem do Equipamento-.142227.jpg</t>
  </si>
  <si>
    <t>Beatriz Alves Nunes de Paulo - 29/01/2025 11:19:20</t>
  </si>
  <si>
    <t>XV40058</t>
  </si>
  <si>
    <t>Válvula Vapor De Limpeza Sementeira 4</t>
  </si>
  <si>
    <t>Beatriz Alves Nunes de Paulo - 29/01/2025 11:31:21</t>
  </si>
  <si>
    <t>Beatriz Alves Nunes de Paulo - 29/01/2025 11:31:23</t>
  </si>
  <si>
    <t>Beatriz Alves Nunes de Paulo - 29/01/2025 11:31:25</t>
  </si>
  <si>
    <t>Beatriz Alves Nunes de Paulo - 29/01/2025 11:31:37</t>
  </si>
  <si>
    <t>Beatriz Alves Nunes de Paulo - 29/01/2025 11:31:39</t>
  </si>
  <si>
    <t>Beatriz Alves Nunes de Paulo - 29/01/2025 11:31:44</t>
  </si>
  <si>
    <t>Beatriz Alves Nunes de Paulo - 29/01/2025 11:31:46</t>
  </si>
  <si>
    <t>Beatriz Alves Nunes de Paulo - 29/01/2025 11:31:48</t>
  </si>
  <si>
    <t>Beatriz Alves Nunes de Paulo - 12/02/2025 14:55:23</t>
  </si>
  <si>
    <t>Beatriz Alves Nunes de Paulo - 12/02/2025 14:55:27</t>
  </si>
  <si>
    <t>Beatriz Alves Nunes de Paulo - 12/02/2025 14:55:35</t>
  </si>
  <si>
    <t>Alisson Airton Sobrinho - 07/03/2025 08:22:34</t>
  </si>
  <si>
    <t>Base de Dados_Images/XV40058.Imagem do Equipamento-.143120.jpg</t>
  </si>
  <si>
    <t>Beatriz Alves Nunes de Paulo - 29/01/2025 11:31:12</t>
  </si>
  <si>
    <t>Xv40059</t>
  </si>
  <si>
    <t>Válvula Quebra Vácuo</t>
  </si>
  <si>
    <t>Beatriz Alves Nunes de Paulo - 20/02/2025 12:47:12</t>
  </si>
  <si>
    <t>Beatriz Alves Nunes de Paulo - 20/02/2025 12:47:13</t>
  </si>
  <si>
    <t>Beatriz Alves Nunes de Paulo - 20/02/2025 12:47:14</t>
  </si>
  <si>
    <t>Beatriz Alves Nunes de Paulo - 20/02/2025 12:47:15</t>
  </si>
  <si>
    <t>Beatriz Alves Nunes de Paulo - 20/02/2025 12:47:21</t>
  </si>
  <si>
    <t>Beatriz Alves Nunes de Paulo - 20/02/2025 12:47:28</t>
  </si>
  <si>
    <t>Beatriz Alves Nunes de Paulo - 20/02/2025 12:47:29</t>
  </si>
  <si>
    <t>Beatriz Alves Nunes de Paulo - 20/02/2025 12:47:30</t>
  </si>
  <si>
    <t>Beatriz Alves Nunes de Paulo - 20/02/2025 12:47:45</t>
  </si>
  <si>
    <t>Beatriz Alves Nunes de Paulo - 20/02/2025 12:47:46</t>
  </si>
  <si>
    <t>Beatriz Alves Nunes de Paulo - 20/02/2025 12:47:51</t>
  </si>
  <si>
    <t>Alisson Airton Sobrinho - 07/03/2025 08:22:39</t>
  </si>
  <si>
    <t>Beatriz Alves Nunes de Paulo - 02/20/2025 12:45:13</t>
  </si>
  <si>
    <t>XV40060</t>
  </si>
  <si>
    <t>Válvula Formação De Vácuo Sementeira 4</t>
  </si>
  <si>
    <t>Beatriz Alves Nunes de Paulo - 29/01/2025 11:32:42</t>
  </si>
  <si>
    <t>Beatriz Alves Nunes de Paulo - 29/01/2025 11:32:39</t>
  </si>
  <si>
    <t>Beatriz Alves Nunes de Paulo - 29/01/2025 11:32:48</t>
  </si>
  <si>
    <t>Beatriz Alves Nunes de Paulo - 29/01/2025 11:32:50</t>
  </si>
  <si>
    <t>Beatriz Alves Nunes de Paulo - 29/01/2025 11:32:52</t>
  </si>
  <si>
    <t>Beatriz Alves Nunes de Paulo - 29/01/2025 11:32:58</t>
  </si>
  <si>
    <t>Beatriz Alves Nunes de Paulo - 29/01/2025 11:33:02</t>
  </si>
  <si>
    <t>Beatriz Alves Nunes de Paulo - 29/01/2025 11:33:05</t>
  </si>
  <si>
    <t>Beatriz Alves Nunes de Paulo - 12/02/2025 14:55:53</t>
  </si>
  <si>
    <t>Beatriz Alves Nunes de Paulo - 12/02/2025 14:55:55</t>
  </si>
  <si>
    <t>Beatriz Alves Nunes de Paulo - 12/02/2025 14:56:17</t>
  </si>
  <si>
    <t>Alisson Airton Sobrinho - 07/03/2025 08:22:45</t>
  </si>
  <si>
    <t>Base de Dados_Images/XV40060.Imagem do Equipamento-.143242.jpg</t>
  </si>
  <si>
    <t>Beatriz Alves Nunes de Paulo - 29/01/2025 11:32:31</t>
  </si>
  <si>
    <t>XV40061</t>
  </si>
  <si>
    <t>Válvula Complemento Vácuo Sementeira 4</t>
  </si>
  <si>
    <t>Beatriz Alves Nunes de Paulo - 29/01/2025 14:07:29</t>
  </si>
  <si>
    <t>Beatriz Alves Nunes de Paulo - 29/01/2025 14:07:32</t>
  </si>
  <si>
    <t>Beatriz Alves Nunes de Paulo - 29/01/2025 14:07:34</t>
  </si>
  <si>
    <t>Beatriz Alves Nunes de Paulo - 29/01/2025 14:07:35</t>
  </si>
  <si>
    <t>Beatriz Alves Nunes de Paulo - 29/01/2025 14:07:36</t>
  </si>
  <si>
    <t>Beatriz Alves Nunes de Paulo - 29/01/2025 14:07:44</t>
  </si>
  <si>
    <t>Beatriz Alves Nunes de Paulo - 29/01/2025 14:07:45</t>
  </si>
  <si>
    <t>Beatriz Alves Nunes de Paulo - 29/01/2025 14:07:47</t>
  </si>
  <si>
    <t>Beatriz Alves Nunes de Paulo - 12/02/2025 14:56:34</t>
  </si>
  <si>
    <t>Beatriz Alves Nunes de Paulo - 12/02/2025 14:56:35</t>
  </si>
  <si>
    <t>Beatriz Alves Nunes de Paulo - 12/02/2025 14:56:45</t>
  </si>
  <si>
    <t>Alisson Airton Sobrinho - 07/03/2025 08:22:51</t>
  </si>
  <si>
    <t>Base de Dados_Images/XV40061.Imagem do Equipamento-.191008.jpg</t>
  </si>
  <si>
    <t>Beatriz Alves Nunes de Paulo - 29/01/2025 14:07:23</t>
  </si>
  <si>
    <t>XV40062</t>
  </si>
  <si>
    <t>Válvula Liquidação Sementeira 1</t>
  </si>
  <si>
    <t>Beatriz Alves Nunes de Paulo - 11/02/2025 10:08:50</t>
  </si>
  <si>
    <t>Beatriz Alves Nunes de Paulo - 11/02/2025 10:08:51</t>
  </si>
  <si>
    <t>Beatriz Alves Nunes de Paulo - 11/02/2025 10:08:52</t>
  </si>
  <si>
    <t>Beatriz Alves Nunes de Paulo - 11/02/2025 10:08:55</t>
  </si>
  <si>
    <t>Beatriz Alves Nunes de Paulo - 11/02/2025 10:09:00</t>
  </si>
  <si>
    <t>Beatriz Alves Nunes de Paulo - 11/02/2025 10:09:01</t>
  </si>
  <si>
    <t>Beatriz Alves Nunes de Paulo - 11/02/2025 10:09:02</t>
  </si>
  <si>
    <t>Beatriz Alves Nunes de Paulo - 11/02/2025 10:09:15</t>
  </si>
  <si>
    <t>Beatriz Alves Nunes de Paulo - 11/02/2025 10:09:16</t>
  </si>
  <si>
    <t>Beatriz Alves Nunes de Paulo - 11/02/2025 10:09:59</t>
  </si>
  <si>
    <t>Alisson Airton Sobrinho - 07/03/2025 08:18:40</t>
  </si>
  <si>
    <t>Beatriz Alves Nunes de Paulo - 02/11/2025 10:06:34</t>
  </si>
  <si>
    <t>XV40064</t>
  </si>
  <si>
    <t>Válvula Limpeza Linha De Corte Sementeira 4</t>
  </si>
  <si>
    <t>Beatriz Alves Nunes de Paulo - 29/01/2025 11:20:28</t>
  </si>
  <si>
    <t>Beatriz Alves Nunes de Paulo - 29/01/2025 11:20:29</t>
  </si>
  <si>
    <t>Beatriz Alves Nunes de Paulo - 29/01/2025 11:20:33</t>
  </si>
  <si>
    <t>Beatriz Alves Nunes de Paulo - 29/01/2025 11:20:39</t>
  </si>
  <si>
    <t>Beatriz Alves Nunes de Paulo - 29/01/2025 11:20:37</t>
  </si>
  <si>
    <t>Beatriz Alves Nunes de Paulo - 29/01/2025 11:20:41</t>
  </si>
  <si>
    <t>Beatriz Alves Nunes de Paulo - 29/01/2025 11:20:43</t>
  </si>
  <si>
    <t>Beatriz Alves Nunes de Paulo - 29/01/2025 11:20:45</t>
  </si>
  <si>
    <t>Beatriz Alves Nunes de Paulo - 12/02/2025 14:57:29</t>
  </si>
  <si>
    <t>Beatriz Alves Nunes de Paulo - 12/02/2025 14:57:30</t>
  </si>
  <si>
    <t>Beatriz Alves Nunes de Paulo - 12/02/2025 14:57:44</t>
  </si>
  <si>
    <t>Alisson Airton Sobrinho - 07/03/2025 08:22:56</t>
  </si>
  <si>
    <t>Base de Dados_Images/XV40064.Imagem do Equipamento-.142309.jpg</t>
  </si>
  <si>
    <t>Beatriz Alves Nunes de Paulo - 29/01/2025 11:20:22</t>
  </si>
  <si>
    <t>XV40065</t>
  </si>
  <si>
    <t>Válvula Complemento De Vácuo Cozedor 1</t>
  </si>
  <si>
    <t>Beatriz Alves Nunes de Paulo - 29/01/2025 09:40:55</t>
  </si>
  <si>
    <t>Beatriz Alves Nunes de Paulo - 29/01/2025 09:40:59</t>
  </si>
  <si>
    <t>Beatriz Alves Nunes de Paulo - 29/01/2025 09:41:01</t>
  </si>
  <si>
    <t>Beatriz Alves Nunes de Paulo - 29/01/2025 09:41:03</t>
  </si>
  <si>
    <t>Beatriz Alves Nunes de Paulo - 29/01/2025 09:41:05</t>
  </si>
  <si>
    <t>Beatriz Alves Nunes de Paulo - 29/01/2025 09:41:06</t>
  </si>
  <si>
    <t>Beatriz Alves Nunes de Paulo - 29/01/2025 09:41:09</t>
  </si>
  <si>
    <t>Beatriz Alves Nunes de Paulo - 29/01/2025 09:41:11</t>
  </si>
  <si>
    <t>Beatriz Alves Nunes de Paulo - 29/01/2025 09:41:20</t>
  </si>
  <si>
    <t>Beatriz Alves Nunes de Paulo - 29/01/2025 09:41:25</t>
  </si>
  <si>
    <t>Beatriz Alves Nunes de Paulo - 11/02/2025 09:27:28</t>
  </si>
  <si>
    <t>Alisson Airton Sobrinho - 07/03/2025 08:18:45</t>
  </si>
  <si>
    <t>Base de Dados_Images/XV40065.Imagem do Equipamento-.164642.jpg</t>
  </si>
  <si>
    <t>Beatriz Alves Nunes de Paulo - 29/01/2025 09:40:49</t>
  </si>
  <si>
    <t>XV40066 (Duplicado 1)</t>
  </si>
  <si>
    <t>Valvula De Complemento De Vacuo Das Sementeiras</t>
  </si>
  <si>
    <t>Beatriz Alves Nunes de Paulo - 29/01/2025 13:34:26</t>
  </si>
  <si>
    <t>Beatriz Alves Nunes de Paulo - 29/01/2025 13:34:28</t>
  </si>
  <si>
    <t>Beatriz Alves Nunes de Paulo - 29/01/2025 13:34:30</t>
  </si>
  <si>
    <t>Beatriz Alves Nunes de Paulo - 29/01/2025 13:34:32</t>
  </si>
  <si>
    <t>Beatriz Alves Nunes de Paulo - 29/01/2025 13:34:34</t>
  </si>
  <si>
    <t>Beatriz Alves Nunes de Paulo - 29/01/2025 13:34:37</t>
  </si>
  <si>
    <t>Beatriz Alves Nunes de Paulo - 29/01/2025 13:34:41</t>
  </si>
  <si>
    <t>Beatriz Alves Nunes de Paulo - 29/01/2025 13:34:43</t>
  </si>
  <si>
    <t>Beatriz Alves Nunes de Paulo - 04/02/2025 14:12:17</t>
  </si>
  <si>
    <t>Beatriz Alves Nunes de Paulo - 04/02/2025 14:12:18</t>
  </si>
  <si>
    <t>Beatriz Alves Nunes de Paulo - 20/02/2025 12:34:28</t>
  </si>
  <si>
    <t>Alisson Airton Sobrinho - 07/03/2025 08:21:07</t>
  </si>
  <si>
    <t>Beatriz Alves Nunes de Paulo - 01/29/2025 13:34:17</t>
  </si>
  <si>
    <t>XV40066 (Duplicado 2)</t>
  </si>
  <si>
    <t>Beatriz Alves Nunes de Paulo - 27/02/2025 10:54:11</t>
  </si>
  <si>
    <t>Beatriz Alves Nunes de Paulo - 27/02/2025 10:54:12</t>
  </si>
  <si>
    <t>Beatriz Alves Nunes de Paulo - 27/02/2025 10:54:14</t>
  </si>
  <si>
    <t>Beatriz Alves Nunes de Paulo - 27/02/2025 10:54:17</t>
  </si>
  <si>
    <t>Beatriz Alves Nunes de Paulo - 27/02/2025 10:54:18</t>
  </si>
  <si>
    <t>Beatriz Alves Nunes de Paulo - 27/02/2025 10:54:20</t>
  </si>
  <si>
    <t>Beatriz Alves Nunes de Paulo - 27/02/2025 10:54:24</t>
  </si>
  <si>
    <t>Beatriz Alves Nunes de Paulo - 27/02/2025 10:54:25</t>
  </si>
  <si>
    <t>Beatriz Alves Nunes de Paulo - 27/02/2025 10:54:28</t>
  </si>
  <si>
    <t>Alisson Airton Sobrinho - 07/03/2025 08:22:17</t>
  </si>
  <si>
    <t>Beatriz Alves Nunes de Paulo - 02/27/2025 10:53:58</t>
  </si>
  <si>
    <t>XV40067</t>
  </si>
  <si>
    <t>Válvula Limpeza Água Cozedor 1</t>
  </si>
  <si>
    <t>Beatriz Alves Nunes de Paulo - 29/01/2025 13:38:22</t>
  </si>
  <si>
    <t>Beatriz Alves Nunes de Paulo - 29/01/2025 13:38:24</t>
  </si>
  <si>
    <t>Beatriz Alves Nunes de Paulo - 29/01/2025 13:38:40</t>
  </si>
  <si>
    <t>Beatriz Alves Nunes de Paulo - 29/01/2025 13:38:44</t>
  </si>
  <si>
    <t>Beatriz Alves Nunes de Paulo - 29/01/2025 13:38:46</t>
  </si>
  <si>
    <t>Beatriz Alves Nunes de Paulo - 29/01/2025 13:38:49</t>
  </si>
  <si>
    <t>Beatriz Alves Nunes de Paulo - 29/01/2025 13:38:52</t>
  </si>
  <si>
    <t>Beatriz Alves Nunes de Paulo - 29/01/2025 13:38:57</t>
  </si>
  <si>
    <t>Beatriz Alves Nunes de Paulo - 29/01/2025 13:39:07</t>
  </si>
  <si>
    <t>Beatriz Alves Nunes de Paulo - 29/01/2025 13:39:09</t>
  </si>
  <si>
    <t>Beatriz Alves Nunes de Paulo - 11/02/2025 09:27:18</t>
  </si>
  <si>
    <t>Alisson Airton Sobrinho - 07/03/2025 08:18:50</t>
  </si>
  <si>
    <t>Base de Dados_Images/XV40067.Imagem do Equipamento-.190407.jpg</t>
  </si>
  <si>
    <t>Beatriz Alves Nunes de Paulo - 29/01/2025 13:38:02</t>
  </si>
  <si>
    <t>XV40068</t>
  </si>
  <si>
    <t>Válvula Limpeza Água Cozedor 2</t>
  </si>
  <si>
    <t>Beatriz Alves Nunes de Paulo - 29/01/2025 13:21:01</t>
  </si>
  <si>
    <t>Beatriz Alves Nunes de Paulo - 29/01/2025 13:21:03</t>
  </si>
  <si>
    <t>Beatriz Alves Nunes de Paulo - 29/01/2025 13:21:05</t>
  </si>
  <si>
    <t>Beatriz Alves Nunes de Paulo - 29/01/2025 13:21:07</t>
  </si>
  <si>
    <t>Beatriz Alves Nunes de Paulo - 29/01/2025 13:21:12</t>
  </si>
  <si>
    <t>Beatriz Alves Nunes de Paulo - 29/01/2025 13:21:14</t>
  </si>
  <si>
    <t>Beatriz Alves Nunes de Paulo - 29/01/2025 13:21:16</t>
  </si>
  <si>
    <t>Beatriz Alves Nunes de Paulo - 29/01/2025 13:21:18</t>
  </si>
  <si>
    <t>Beatriz Alves Nunes de Paulo - 29/01/2025 13:21:27</t>
  </si>
  <si>
    <t>Beatriz Alves Nunes de Paulo - 29/01/2025 13:21:28</t>
  </si>
  <si>
    <t>Beatriz Alves Nunes de Paulo - 11/02/2025 09:56:39</t>
  </si>
  <si>
    <t>Alisson Airton Sobrinho - 07/03/2025 08:18:56</t>
  </si>
  <si>
    <t>Base de Dados_Images/XV40068.Imagem do Equipamento-.175913.jpg</t>
  </si>
  <si>
    <t>Beatriz Alves Nunes de Paulo - 29/01/2025 13:20:50</t>
  </si>
  <si>
    <t>XV40069</t>
  </si>
  <si>
    <t>Válvula Limpeza Água Cozedor 3</t>
  </si>
  <si>
    <t>Beatriz Alves Nunes de Paulo - 29/01/2025 09:27:48</t>
  </si>
  <si>
    <t>Beatriz Alves Nunes de Paulo - 29/01/2025 09:27:49</t>
  </si>
  <si>
    <t>Beatriz Alves Nunes de Paulo - 29/01/2025 09:27:51</t>
  </si>
  <si>
    <t>Beatriz Alves Nunes de Paulo - 29/01/2025 09:27:54</t>
  </si>
  <si>
    <t>Beatriz Alves Nunes de Paulo - 29/01/2025 09:27:56</t>
  </si>
  <si>
    <t>Beatriz Alves Nunes de Paulo - 29/01/2025 09:27:57</t>
  </si>
  <si>
    <t>Beatriz Alves Nunes de Paulo - 29/01/2025 09:27:59</t>
  </si>
  <si>
    <t>Beatriz Alves Nunes de Paulo - 29/01/2025 09:28:01</t>
  </si>
  <si>
    <t>Beatriz Alves Nunes de Paulo - 29/01/2025 09:28:09</t>
  </si>
  <si>
    <t>Beatriz Alves Nunes de Paulo - 29/01/2025 09:28:10</t>
  </si>
  <si>
    <t>Beatriz Alves Nunes de Paulo - 11/02/2025 10:11:23</t>
  </si>
  <si>
    <t>Alisson Airton Sobrinho - 07/03/2025 08:19:01</t>
  </si>
  <si>
    <t>Base de Dados_Images/XV40069.Imagem do Equipamento-.164437.jpg</t>
  </si>
  <si>
    <t>Beatriz Alves Nunes de Paulo - 29/01/2025 09:27:42</t>
  </si>
  <si>
    <t>XV40078</t>
  </si>
  <si>
    <t>Valvula De Saida Do Cristalizador 02 Para As Konts</t>
  </si>
  <si>
    <t>Alisson Airton Sobrinho - 27/01/2025 10:56:26</t>
  </si>
  <si>
    <t>Alisson Airton Sobrinho - 27/01/2025 10:56:29</t>
  </si>
  <si>
    <t>Alisson Airton Sobrinho - 27/01/2025 10:56:34</t>
  </si>
  <si>
    <t>Alisson Airton Sobrinho - 27/01/2025 10:56:38</t>
  </si>
  <si>
    <t>Alisson Airton Sobrinho - 27/01/2025 10:56:42</t>
  </si>
  <si>
    <t>Beatriz Alves Nunes de Paulo - 29/01/2025 14:38:58</t>
  </si>
  <si>
    <t>Beatriz Alves Nunes de Paulo - 29/01/2025 14:39:02</t>
  </si>
  <si>
    <t>Beatriz Alves Nunes de Paulo - 29/01/2025 14:39:04</t>
  </si>
  <si>
    <t>Beatriz Alves Nunes de Paulo - 04/02/2025 13:07:06</t>
  </si>
  <si>
    <t>Beatriz Alves Nunes de Paulo - 04/02/2025 13:07:07</t>
  </si>
  <si>
    <t>Beatriz Alves Nunes de Paulo - 20/02/2025 12:35:32</t>
  </si>
  <si>
    <t>Beatriz Alves Nunes de Paulo - 06/03/2025 08:47:19</t>
  </si>
  <si>
    <t>Base de Dados_Images/XV40078.Imagem do Equipamento-.151600.jpg</t>
  </si>
  <si>
    <t>Alisson Airton Sobrinho - 27/01/2025 10:56:12</t>
  </si>
  <si>
    <t>XV65001</t>
  </si>
  <si>
    <t>Valvula De Entrada De Fermento Dorna 01</t>
  </si>
  <si>
    <t>Libner Ferreira De Morais - 06/02/2025 08:33:32</t>
  </si>
  <si>
    <t>Libner Ferreira De Morais - 06/02/2025 08:33:33</t>
  </si>
  <si>
    <t>Libner Ferreira De Morais - 06/02/2025 08:33:36</t>
  </si>
  <si>
    <t>Libner Ferreira De Morais - 06/02/2025 08:33:40</t>
  </si>
  <si>
    <t>Libner Ferreira De Morais - 06/02/2025 08:33:41</t>
  </si>
  <si>
    <t>Libner Ferreira De Morais - 06/02/2025 08:33:45</t>
  </si>
  <si>
    <t>Libner Ferreira De Morais - 06/02/2025 08:33:49</t>
  </si>
  <si>
    <t>Libner Ferreira De Morais - 06/02/2025 08:33:50</t>
  </si>
  <si>
    <t>Alisson Airton Sobrinho - 08/02/2025 09:26:18</t>
  </si>
  <si>
    <t>Alisson Airton Sobrinho - 08/02/2025 09:26:19</t>
  </si>
  <si>
    <t>Alisson Airton Sobrinho - 08/02/2025 09:26:32</t>
  </si>
  <si>
    <t>Alisson Airton Sobrinho - 04/03/2025 07:57:03</t>
  </si>
  <si>
    <t>Base de Dados_Images/XV65001.Imagem do Equipamento-.172802.jpg</t>
  </si>
  <si>
    <t>Libner Ferreira De Morais - 05/02/2025 14:27:56</t>
  </si>
  <si>
    <t>XV65002</t>
  </si>
  <si>
    <t>Valvula 01 Mosto Linha 01 Da Dorna 01</t>
  </si>
  <si>
    <t>Libner Ferreira De Morais - 06/02/2025 12:45:03</t>
  </si>
  <si>
    <t>Libner Ferreira De Morais - 06/02/2025 12:45:04</t>
  </si>
  <si>
    <t>Libner Ferreira De Morais - 06/02/2025 12:45:05</t>
  </si>
  <si>
    <t>Libner Ferreira De Morais - 06/02/2025 12:45:08</t>
  </si>
  <si>
    <t>Libner Ferreira De Morais - 06/02/2025 12:45:09</t>
  </si>
  <si>
    <t>Libner Ferreira De Morais - 06/02/2025 12:45:11</t>
  </si>
  <si>
    <t>Libner Ferreira De Morais - 06/02/2025 12:45:13</t>
  </si>
  <si>
    <t>Libner Ferreira De Morais - 06/02/2025 12:45:14</t>
  </si>
  <si>
    <t>Alisson Airton Sobrinho - 08/02/2025 14:06:29</t>
  </si>
  <si>
    <t>Alisson Airton Sobrinho - 08/02/2025 14:06:30</t>
  </si>
  <si>
    <t>Alisson Airton Sobrinho - 15/02/2025 11:06:50</t>
  </si>
  <si>
    <t>Alisson Airton Sobrinho - 04/03/2025 07:57:09</t>
  </si>
  <si>
    <t>Base de Dados_Images/XV65002.Imagem do Equipamento-.154453.jpg</t>
  </si>
  <si>
    <t>Libner Ferreira De Morais - 06/02/2025 12:44:47</t>
  </si>
  <si>
    <t>XV65003</t>
  </si>
  <si>
    <t>Valvula 02 Mosto Linha 01 Da Dorna 01</t>
  </si>
  <si>
    <t>Libner Ferreira De Morais - 06/02/2025 12:47:30</t>
  </si>
  <si>
    <t>Libner Ferreira De Morais - 06/02/2025 12:47:32</t>
  </si>
  <si>
    <t>Libner Ferreira De Morais - 06/02/2025 12:47:34</t>
  </si>
  <si>
    <t>Libner Ferreira De Morais - 06/02/2025 12:47:35</t>
  </si>
  <si>
    <t>Libner Ferreira De Morais - 06/02/2025 12:47:37</t>
  </si>
  <si>
    <t>Libner Ferreira De Morais - 06/02/2025 12:47:39</t>
  </si>
  <si>
    <t>Libner Ferreira De Morais - 06/02/2025 12:47:41</t>
  </si>
  <si>
    <t>Libner Ferreira De Morais - 06/02/2025 12:47:42</t>
  </si>
  <si>
    <t>Alisson Airton Sobrinho - 08/02/2025 14:06:43</t>
  </si>
  <si>
    <t>Alisson Airton Sobrinho - 08/02/2025 14:06:46</t>
  </si>
  <si>
    <t>Alisson Airton Sobrinho - 15/02/2025 11:07:52</t>
  </si>
  <si>
    <t>Alisson Airton Sobrinho - 04/03/2025 07:57:17</t>
  </si>
  <si>
    <t>Base de Dados_Images/XV65003.Imagem do Equipamento-.154615.jpg</t>
  </si>
  <si>
    <t>Libner Ferreira De Morais - 06/02/2025 12:46:10</t>
  </si>
  <si>
    <t>XV65004</t>
  </si>
  <si>
    <t>Valvula 01 Mosto Linha 02 Da Dorna 01</t>
  </si>
  <si>
    <t>Libner Ferreira De Morais - 06/02/2025 11:53:35</t>
  </si>
  <si>
    <t>Libner Ferreira De Morais - 06/02/2025 11:53:49</t>
  </si>
  <si>
    <t>Libner Ferreira De Morais - 06/02/2025 11:53:52</t>
  </si>
  <si>
    <t>Libner Ferreira De Morais - 06/02/2025 11:53:54</t>
  </si>
  <si>
    <t>Libner Ferreira De Morais - 06/02/2025 11:53:56</t>
  </si>
  <si>
    <t>Libner Ferreira De Morais - 06/02/2025 11:53:59</t>
  </si>
  <si>
    <t>Libner Ferreira De Morais - 06/02/2025 11:54:01</t>
  </si>
  <si>
    <t>Libner Ferreira De Morais - 06/02/2025 11:54:04</t>
  </si>
  <si>
    <t>Alisson Airton Sobrinho - 08/02/2025 14:35:52</t>
  </si>
  <si>
    <t>Alisson Airton Sobrinho - 08/02/2025 14:35:53</t>
  </si>
  <si>
    <t>Alisson Airton Sobrinho - 15/02/2025 11:08:08</t>
  </si>
  <si>
    <t>Alisson Airton Sobrinho - 04/03/2025 07:57:21</t>
  </si>
  <si>
    <t>Base de Dados_Images/XV65004.Imagem do Equipamento-.151253.jpg</t>
  </si>
  <si>
    <t>Libner Ferreira De Morais - 06/02/2025 11:53:26</t>
  </si>
  <si>
    <t>XV65005</t>
  </si>
  <si>
    <t>Valvula 02 Mosto Linha 02 Da Dorna 01</t>
  </si>
  <si>
    <t>Libner Ferreira De Morais - 06/02/2025 11:51:29</t>
  </si>
  <si>
    <t>Libner Ferreira De Morais - 06/02/2025 11:51:30</t>
  </si>
  <si>
    <t>Libner Ferreira De Morais - 06/02/2025 11:51:31</t>
  </si>
  <si>
    <t>Libner Ferreira De Morais - 06/02/2025 11:51:33</t>
  </si>
  <si>
    <t>Libner Ferreira De Morais - 06/02/2025 11:51:39</t>
  </si>
  <si>
    <t>Libner Ferreira De Morais - 06/02/2025 11:51:37</t>
  </si>
  <si>
    <t>Libner Ferreira De Morais - 06/02/2025 11:51:41</t>
  </si>
  <si>
    <t>Libner Ferreira De Morais - 06/02/2025 11:51:42</t>
  </si>
  <si>
    <t>Alisson Airton Sobrinho - 08/02/2025 14:07:56</t>
  </si>
  <si>
    <t>Alisson Airton Sobrinho - 15/02/2025 11:08:22</t>
  </si>
  <si>
    <t>Alisson Airton Sobrinho - 04/03/2025 07:57:26</t>
  </si>
  <si>
    <t>Base de Dados_Images/XV65005.Imagem do Equipamento-.151230.jpg</t>
  </si>
  <si>
    <t>Libner Ferreira De Morais - 06/02/2025 11:52:49</t>
  </si>
  <si>
    <t>XV65006</t>
  </si>
  <si>
    <t>Valvula De Água Limpeza Da Dorna 01</t>
  </si>
  <si>
    <t>Libner Ferreira De Morais - 06/02/2025 08:34:31</t>
  </si>
  <si>
    <t>Libner Ferreira De Morais - 06/02/2025 08:34:33</t>
  </si>
  <si>
    <t>Libner Ferreira De Morais - 06/02/2025 08:34:37</t>
  </si>
  <si>
    <t>Libner Ferreira De Morais - 06/02/2025 08:34:39</t>
  </si>
  <si>
    <t>Libner Ferreira De Morais - 06/02/2025 08:34:43</t>
  </si>
  <si>
    <t>Libner Ferreira De Morais - 06/02/2025 08:34:45</t>
  </si>
  <si>
    <t>Libner Ferreira De Morais - 06/02/2025 08:34:48</t>
  </si>
  <si>
    <t>Libner Ferreira De Morais - 06/02/2025 08:34:49</t>
  </si>
  <si>
    <t>Alisson Airton Sobrinho - 08/02/2025 14:07:00</t>
  </si>
  <si>
    <t>Alisson Airton Sobrinho - 08/02/2025 14:06:59</t>
  </si>
  <si>
    <t>Alisson Airton Sobrinho - 15/02/2025 11:08:47</t>
  </si>
  <si>
    <t>Alisson Airton Sobrinho - 04/03/2025 07:57:32</t>
  </si>
  <si>
    <t>Base de Dados_Images/XV65006.Imagem do Equipamento-.173008.jpg</t>
  </si>
  <si>
    <t>Libner Ferreira De Morais - 05/02/2025 14:30:01</t>
  </si>
  <si>
    <t>XV65007</t>
  </si>
  <si>
    <t>Valvula De Ár Comprimido Da Dorna 01</t>
  </si>
  <si>
    <t>Libner Ferreira De Morais - 06/02/2025 08:35:35</t>
  </si>
  <si>
    <t>Libner Ferreira De Morais - 06/02/2025 08:35:38</t>
  </si>
  <si>
    <t>Libner Ferreira De Morais - 06/02/2025 08:35:40</t>
  </si>
  <si>
    <t>Libner Ferreira De Morais - 06/02/2025 08:35:42</t>
  </si>
  <si>
    <t>Libner Ferreira De Morais - 06/02/2025 08:35:45</t>
  </si>
  <si>
    <t>Libner Ferreira De Morais - 06/02/2025 08:35:46</t>
  </si>
  <si>
    <t>Libner Ferreira De Morais - 06/02/2025 08:35:57</t>
  </si>
  <si>
    <t>Libner Ferreira De Morais - 06/02/2025 08:36:06</t>
  </si>
  <si>
    <t>Alisson Airton Sobrinho - 08/02/2025 14:07:13</t>
  </si>
  <si>
    <t>Alisson Airton Sobrinho - 15/02/2025 11:11:17</t>
  </si>
  <si>
    <t>Alisson Airton Sobrinho - 04/03/2025 07:57:37</t>
  </si>
  <si>
    <t>Base de Dados_Images/XV65007.Imagem do Equipamento-.173616.jpg</t>
  </si>
  <si>
    <t>Libner Ferreira De Morais - 05/02/2025 14:36:10</t>
  </si>
  <si>
    <t>XV65008</t>
  </si>
  <si>
    <t>Valvula De Dreno Do Tubo Da Dorna 01</t>
  </si>
  <si>
    <t>Alisson Airton Sobrinho - 08/02/2025 14:08:08</t>
  </si>
  <si>
    <t>Alisson Airton Sobrinho - 08/02/2025 14:08:09</t>
  </si>
  <si>
    <t>Alisson Airton Sobrinho - 08/02/2025 14:08:13</t>
  </si>
  <si>
    <t>Alisson Airton Sobrinho - 08/02/2025 14:08:11</t>
  </si>
  <si>
    <t>Alisson Airton Sobrinho - 08/02/2025 14:08:14</t>
  </si>
  <si>
    <t>Alisson Airton Sobrinho - 08/02/2025 14:08:15</t>
  </si>
  <si>
    <t>Alisson Airton Sobrinho - 08/02/2025 14:08:16</t>
  </si>
  <si>
    <t>Alisson Airton Sobrinho - 08/02/2025 14:08:21</t>
  </si>
  <si>
    <t>Alisson Airton Sobrinho - 08/02/2025 14:08:24</t>
  </si>
  <si>
    <t>Alisson Airton Sobrinho - 15/02/2025 11:09:18</t>
  </si>
  <si>
    <t>Alisson Airton Sobrinho - 04/03/2025 07:57:42</t>
  </si>
  <si>
    <t>Base de Dados_Images/XV65008.Imagem do Equipamento-.173725.jpg</t>
  </si>
  <si>
    <t>Libner Ferreira De Morais - 05/02/2025 14:37:19</t>
  </si>
  <si>
    <t>XV65009</t>
  </si>
  <si>
    <t>Valvula De Recirculação Da Dorna 01</t>
  </si>
  <si>
    <t>Alisson Airton Sobrinho - 28/01/2025 18:24:52</t>
  </si>
  <si>
    <t>Alisson Airton Sobrinho - 28/01/2025 18:24:56</t>
  </si>
  <si>
    <t>Alisson Airton Sobrinho - 28/01/2025 18:24:58</t>
  </si>
  <si>
    <t>Alisson Airton Sobrinho - 28/01/2025 18:25:02</t>
  </si>
  <si>
    <t>Alisson Airton Sobrinho - 28/01/2025 18:25:04</t>
  </si>
  <si>
    <t>Alisson Airton Sobrinho - 28/01/2025 18:25:06</t>
  </si>
  <si>
    <t>Alisson Airton Sobrinho - 28/01/2025 18:25:09</t>
  </si>
  <si>
    <t>Alisson Airton Sobrinho - 28/01/2025 18:25:13</t>
  </si>
  <si>
    <t>Alisson Airton Sobrinho - 08/02/2025 09:32:16</t>
  </si>
  <si>
    <t>Alisson Airton Sobrinho - 08/02/2025 09:32:15</t>
  </si>
  <si>
    <t>Alisson Airton Sobrinho - 08/02/2025 09:32:21</t>
  </si>
  <si>
    <t>Alisson Airton Sobrinho - 04/03/2025 07:57:47</t>
  </si>
  <si>
    <t>Base de Dados_Images/XV65009.Imagem do Equipamento-.213700.jpg</t>
  </si>
  <si>
    <t>Alisson Airton Sobrinho - 28/01/2025 18:24:38</t>
  </si>
  <si>
    <t>XV65010</t>
  </si>
  <si>
    <t>Valvula De Centrifugação Da Dorna 01</t>
  </si>
  <si>
    <t>Weslley Ferreira Cooper - 30/01/2025 09:38:43</t>
  </si>
  <si>
    <t>Weslley Ferreira Cooper - 30/01/2025 09:38:42</t>
  </si>
  <si>
    <t>Weslley Ferreira Cooper - 30/01/2025 09:38:41</t>
  </si>
  <si>
    <t>Weslley Ferreira Cooper - 30/01/2025 09:38:40</t>
  </si>
  <si>
    <t>Weslley Ferreira Cooper - 30/01/2025 09:38:36</t>
  </si>
  <si>
    <t>Weslley Ferreira Cooper - 30/01/2025 09:38:35</t>
  </si>
  <si>
    <t>Weslley Ferreira Cooper - 30/01/2025 09:38:34</t>
  </si>
  <si>
    <t>Weslley Ferreira Cooper - 30/01/2025 09:38:33</t>
  </si>
  <si>
    <t>Alisson Airton Sobrinho - 08/02/2025 14:08:32</t>
  </si>
  <si>
    <t>Alisson Airton Sobrinho - 08/02/2025 14:08:33</t>
  </si>
  <si>
    <t>Alisson Airton Sobrinho - 15/02/2025 11:10:07</t>
  </si>
  <si>
    <t>Alisson Airton Sobrinho - 04/03/2025 07:57:52</t>
  </si>
  <si>
    <t>Base de Dados_Images/XV65010.Imagem do Equipamento-.151808.jpg</t>
  </si>
  <si>
    <t>Libner Ferreira De Morais - 06/02/2025 12:11:37</t>
  </si>
  <si>
    <t>XV65011</t>
  </si>
  <si>
    <t>Valvula De Dreno Do Trocador Da Dorna 01</t>
  </si>
  <si>
    <t>Alisson Airton Sobrinho - 28/01/2025 18:27:00</t>
  </si>
  <si>
    <t>Alisson Airton Sobrinho - 28/01/2025 18:27:01</t>
  </si>
  <si>
    <t>Alisson Airton Sobrinho - 28/01/2025 18:27:02</t>
  </si>
  <si>
    <t>Alisson Airton Sobrinho - 28/01/2025 18:27:11</t>
  </si>
  <si>
    <t>Alisson Airton Sobrinho - 28/01/2025 18:27:04</t>
  </si>
  <si>
    <t>Alisson Airton Sobrinho - 28/01/2025 18:27:05</t>
  </si>
  <si>
    <t>Alisson Airton Sobrinho - 28/01/2025 18:27:07</t>
  </si>
  <si>
    <t>Alisson Airton Sobrinho - 08/02/2025 09:27:14</t>
  </si>
  <si>
    <t>Alisson Airton Sobrinho - 08/02/2025 09:27:15</t>
  </si>
  <si>
    <t>Alisson Airton Sobrinho - 08/02/2025 09:27:22</t>
  </si>
  <si>
    <t>Alisson Airton Sobrinho - 04/03/2025 07:57:56</t>
  </si>
  <si>
    <t>Base de Dados_Images/XV65011.Imagem do Equipamento-.213824.jpg</t>
  </si>
  <si>
    <t>Alisson Airton Sobrinho - 28/01/2025 18:26:54</t>
  </si>
  <si>
    <t>XV65012</t>
  </si>
  <si>
    <t>Valvula De Drenagem Da Limpeza Da Dorna 01</t>
  </si>
  <si>
    <t>Alisson Airton Sobrinho - 28/01/2025 18:27:41</t>
  </si>
  <si>
    <t>Alisson Airton Sobrinho - 28/01/2025 18:27:44</t>
  </si>
  <si>
    <t>Alisson Airton Sobrinho - 28/01/2025 18:27:43</t>
  </si>
  <si>
    <t>Alisson Airton Sobrinho - 28/01/2025 18:27:42</t>
  </si>
  <si>
    <t>Alisson Airton Sobrinho - 28/01/2025 18:27:47</t>
  </si>
  <si>
    <t>Alisson Airton Sobrinho - 28/01/2025 18:27:50</t>
  </si>
  <si>
    <t>Alisson Airton Sobrinho - 28/01/2025 18:27:49</t>
  </si>
  <si>
    <t>Alisson Airton Sobrinho - 08/02/2025 14:08:41</t>
  </si>
  <si>
    <t>Alisson Airton Sobrinho - 15/02/2025 11:10:24</t>
  </si>
  <si>
    <t>Alisson Airton Sobrinho - 04/03/2025 07:58:01</t>
  </si>
  <si>
    <t>Base de Dados_Images/XV65012.Imagem do Equipamento-.213855.jpg</t>
  </si>
  <si>
    <t>Alisson Airton Sobrinho - 28/01/2025 18:27:33</t>
  </si>
  <si>
    <t>XV65013</t>
  </si>
  <si>
    <t>Valvula De Entrada De Fermento Dorna 02</t>
  </si>
  <si>
    <t>Libner Ferreira De Morais - 06/02/2025 08:39:51</t>
  </si>
  <si>
    <t>Libner Ferreira De Morais - 06/02/2025 08:39:52</t>
  </si>
  <si>
    <t>Libner Ferreira De Morais - 06/02/2025 08:39:54</t>
  </si>
  <si>
    <t>Libner Ferreira De Morais - 06/02/2025 08:39:56</t>
  </si>
  <si>
    <t>Libner Ferreira De Morais - 06/02/2025 08:39:58</t>
  </si>
  <si>
    <t>Libner Ferreira De Morais - 06/02/2025 08:40:00</t>
  </si>
  <si>
    <t>Libner Ferreira De Morais - 06/02/2025 08:40:06</t>
  </si>
  <si>
    <t>Libner Ferreira De Morais - 06/02/2025 08:40:07</t>
  </si>
  <si>
    <t>Alisson Airton Sobrinho - 08/02/2025 09:33:55</t>
  </si>
  <si>
    <t>Alisson Airton Sobrinho - 08/02/2025 09:33:56</t>
  </si>
  <si>
    <t>Alisson Airton Sobrinho - 25/02/2025 10:05:33</t>
  </si>
  <si>
    <t>Alisson Airton Sobrinho - 04/03/2025 08:13:47</t>
  </si>
  <si>
    <t>Base de Dados_Images/XV65013.Imagem do Equipamento-.173804.jpg</t>
  </si>
  <si>
    <t>Libner Ferreira De Morais - 05/02/2025 14:37:58</t>
  </si>
  <si>
    <t>XV65018</t>
  </si>
  <si>
    <t>Valvula De Água Limpeza Da Dorna 02</t>
  </si>
  <si>
    <t>Libner Ferreira De Morais - 06/02/2025 08:40:24</t>
  </si>
  <si>
    <t>Libner Ferreira De Morais - 06/02/2025 08:40:25</t>
  </si>
  <si>
    <t>Libner Ferreira De Morais - 06/02/2025 08:40:26</t>
  </si>
  <si>
    <t>Libner Ferreira De Morais - 06/02/2025 08:40:28</t>
  </si>
  <si>
    <t>Libner Ferreira De Morais - 06/02/2025 08:40:30</t>
  </si>
  <si>
    <t>Libner Ferreira De Morais - 06/02/2025 08:40:32</t>
  </si>
  <si>
    <t>Libner Ferreira De Morais - 06/02/2025 08:40:34</t>
  </si>
  <si>
    <t>Libner Ferreira De Morais - 06/02/2025 08:40:38</t>
  </si>
  <si>
    <t>Alisson Airton Sobrinho - 08/02/2025 09:38:12</t>
  </si>
  <si>
    <t>Alisson Airton Sobrinho - 08/02/2025 09:38:14</t>
  </si>
  <si>
    <t>Alisson Airton Sobrinho - 15/02/2025 11:26:56</t>
  </si>
  <si>
    <t>Alisson Airton Sobrinho - 04/03/2025 08:13:52</t>
  </si>
  <si>
    <t>Base de Dados_Images/XV65018.Imagem do Equipamento-.173916.jpg</t>
  </si>
  <si>
    <t>Libner Ferreira De Morais - 05/02/2025 14:39:08</t>
  </si>
  <si>
    <t>XV65019</t>
  </si>
  <si>
    <t>Valvula De Ár Comprimido Da Dorna 02</t>
  </si>
  <si>
    <t>Libner Ferreira De Morais - 06/02/2025 14:45:56</t>
  </si>
  <si>
    <t>Libner Ferreira De Morais - 06/02/2025 08:41:11</t>
  </si>
  <si>
    <t>Libner Ferreira De Morais - 06/02/2025 14:45:59</t>
  </si>
  <si>
    <t>Libner Ferreira De Morais - 06/02/2025 08:41:16</t>
  </si>
  <si>
    <t>Libner Ferreira De Morais - 06/02/2025 14:46:00</t>
  </si>
  <si>
    <t>Libner Ferreira De Morais - 06/02/2025 14:46:03</t>
  </si>
  <si>
    <t>Libner Ferreira De Morais - 06/02/2025 14:46:01</t>
  </si>
  <si>
    <t>Libner Ferreira De Morais - 06/02/2025 14:46:04</t>
  </si>
  <si>
    <t>Alisson Airton Sobrinho - 08/02/2025 14:09:10</t>
  </si>
  <si>
    <t>Alisson Airton Sobrinho - 25/02/2025 10:05:43</t>
  </si>
  <si>
    <t>Alisson Airton Sobrinho - 04/03/2025 08:13:57</t>
  </si>
  <si>
    <t>Trocou por motor mas o sistema de lavagem esta desamontado</t>
  </si>
  <si>
    <t>Base de Dados_Images/XV65019.Imagem do Equipamento-.173945.jpg</t>
  </si>
  <si>
    <t>Libner Ferreira De Morais - 05/02/2025 14:39:29</t>
  </si>
  <si>
    <t>XV65020</t>
  </si>
  <si>
    <t>Valvula De Dreno Do Tubo Da Dorna 02</t>
  </si>
  <si>
    <t>Libner Ferreira De Morais - 06/02/2025 14:46:19</t>
  </si>
  <si>
    <t>Libner Ferreira De Morais - 06/02/2025 14:46:20</t>
  </si>
  <si>
    <t>Libner Ferreira De Morais - 06/02/2025 14:46:22</t>
  </si>
  <si>
    <t>Libner Ferreira De Morais - 06/02/2025 14:46:23</t>
  </si>
  <si>
    <t>Libner Ferreira De Morais - 06/02/2025 14:46:25</t>
  </si>
  <si>
    <t>Libner Ferreira De Morais - 06/02/2025 14:46:28</t>
  </si>
  <si>
    <t>Libner Ferreira De Morais - 06/02/2025 14:46:30</t>
  </si>
  <si>
    <t>Alisson Airton Sobrinho - 08/02/2025 14:09:22</t>
  </si>
  <si>
    <t>Alisson Airton Sobrinho - 08/02/2025 14:09:23</t>
  </si>
  <si>
    <t>Alisson Airton Sobrinho - 15/02/2025 11:24:56</t>
  </si>
  <si>
    <t>Alisson Airton Sobrinho - 04/03/2025 08:14:02</t>
  </si>
  <si>
    <t>Base de Dados_Images/XV65020.Imagem do Equipamento-.173833.jpg</t>
  </si>
  <si>
    <t>Libner Ferreira De Morais - 05/02/2025 14:38:26</t>
  </si>
  <si>
    <t>XV65021</t>
  </si>
  <si>
    <t>Valvula De Recirculação Da Dorna 02</t>
  </si>
  <si>
    <t>Libner Ferreira De Morais - 06/02/2025 14:46:51</t>
  </si>
  <si>
    <t>Libner Ferreira De Morais - 06/02/2025 14:46:52</t>
  </si>
  <si>
    <t>Libner Ferreira De Morais - 06/02/2025 14:46:53</t>
  </si>
  <si>
    <t>Libner Ferreira De Morais - 06/02/2025 14:46:55</t>
  </si>
  <si>
    <t>Libner Ferreira De Morais - 06/02/2025 14:46:57</t>
  </si>
  <si>
    <t>Libner Ferreira De Morais - 06/02/2025 14:46:58</t>
  </si>
  <si>
    <t>Libner Ferreira De Morais - 06/02/2025 14:46:59</t>
  </si>
  <si>
    <t>Libner Ferreira De Morais - 06/02/2025 14:47:01</t>
  </si>
  <si>
    <t>Alisson Airton Sobrinho - 08/02/2025 09:38:21</t>
  </si>
  <si>
    <t>Alisson Airton Sobrinho - 08/02/2025 09:38:22</t>
  </si>
  <si>
    <t>Alisson Airton Sobrinho - 15/02/2025 11:25:05</t>
  </si>
  <si>
    <t>Alisson Airton Sobrinho - 04/03/2025 08:14:07</t>
  </si>
  <si>
    <t>Base de Dados_Images/XV65021.Imagem do Equipamento-.133245.jpg</t>
  </si>
  <si>
    <t>Alisson Airton Sobrinho - 17/01/2025 10:32:38</t>
  </si>
  <si>
    <t>XV65022</t>
  </si>
  <si>
    <t>Valvula De Centrifugação Da Dorna 02</t>
  </si>
  <si>
    <t>Weslley Ferreira Cooper - 30/01/2025 09:43:28</t>
  </si>
  <si>
    <t>Weslley Ferreira Cooper - 30/01/2025 09:43:27</t>
  </si>
  <si>
    <t>Weslley Ferreira Cooper - 30/01/2025 09:43:26</t>
  </si>
  <si>
    <t>Weslley Ferreira Cooper - 30/01/2025 09:43:30</t>
  </si>
  <si>
    <t>Weslley Ferreira Cooper - 30/01/2025 09:43:23</t>
  </si>
  <si>
    <t>Weslley Ferreira Cooper - 30/01/2025 09:43:22</t>
  </si>
  <si>
    <t>Weslley Ferreira Cooper - 30/01/2025 09:43:21</t>
  </si>
  <si>
    <t>Weslley Ferreira Cooper - 30/01/2025 09:43:20</t>
  </si>
  <si>
    <t>Alisson Airton Sobrinho - 08/02/2025 14:09:59</t>
  </si>
  <si>
    <t>Alisson Airton Sobrinho - 08/02/2025 14:10:00</t>
  </si>
  <si>
    <t>Alisson Airton Sobrinho - 15/02/2025 11:25:36</t>
  </si>
  <si>
    <t>Alisson Airton Sobrinho - 04/03/2025 08:14:12</t>
  </si>
  <si>
    <t>Base de Dados_Images/XV65022.Imagem do Equipamento-.132004.jpg</t>
  </si>
  <si>
    <t>Weslley Ferreira Cooper - 30/01/2025 09:43:09</t>
  </si>
  <si>
    <t>XV65023</t>
  </si>
  <si>
    <t>Valvula De Dreno Do Trocador Da Dorna 02</t>
  </si>
  <si>
    <t>Alisson Airton Sobrinho - 08/02/2025 09:38:33</t>
  </si>
  <si>
    <t>Alisson Airton Sobrinho - 08/02/2025 09:38:34</t>
  </si>
  <si>
    <t>Alisson Airton Sobrinho - 08/02/2025 09:38:37</t>
  </si>
  <si>
    <t>Alisson Airton Sobrinho - 08/02/2025 09:38:41</t>
  </si>
  <si>
    <t>Alisson Airton Sobrinho - 08/02/2025 09:38:42</t>
  </si>
  <si>
    <t>Alisson Airton Sobrinho - 08/02/2025 09:38:47</t>
  </si>
  <si>
    <t>Alisson Airton Sobrinho - 08/02/2025 09:38:50</t>
  </si>
  <si>
    <t>Alisson Airton Sobrinho - 15/02/2025 11:25:46</t>
  </si>
  <si>
    <t>Alisson Airton Sobrinho - 04/03/2025 08:14:17</t>
  </si>
  <si>
    <t>Válvula travada aguardando troca para montar atuador</t>
  </si>
  <si>
    <t>Base de Dados_Images/XV65023.Imagem do Equipamento-.180611.jpg</t>
  </si>
  <si>
    <t>Libner Ferreira De Morais - 05/02/2025 15:06:05</t>
  </si>
  <si>
    <t>XV65024</t>
  </si>
  <si>
    <t>Valvula De Drenagem Da Limpeza Da Dorna 02</t>
  </si>
  <si>
    <t>Libner Ferreira De Morais - 06/02/2025 14:48:51</t>
  </si>
  <si>
    <t>Libner Ferreira De Morais - 06/02/2025 14:48:52</t>
  </si>
  <si>
    <t>Libner Ferreira De Morais - 06/02/2025 14:48:53</t>
  </si>
  <si>
    <t>Libner Ferreira De Morais - 06/02/2025 14:48:56</t>
  </si>
  <si>
    <t>Libner Ferreira De Morais - 06/02/2025 14:48:57</t>
  </si>
  <si>
    <t>Libner Ferreira De Morais - 06/02/2025 14:48:59</t>
  </si>
  <si>
    <t>Libner Ferreira De Morais - 06/02/2025 14:49:00</t>
  </si>
  <si>
    <t>Libner Ferreira De Morais - 06/02/2025 14:49:02</t>
  </si>
  <si>
    <t>Alisson Airton Sobrinho - 08/02/2025 09:39:02</t>
  </si>
  <si>
    <t>Alisson Airton Sobrinho - 08/02/2025 09:39:04</t>
  </si>
  <si>
    <t>Alisson Airton Sobrinho - 15/02/2025 11:25:56</t>
  </si>
  <si>
    <t>Alisson Airton Sobrinho - 04/03/2025 08:14:24</t>
  </si>
  <si>
    <t>Base de Dados_Images/XV65024.Imagem do Equipamento-.133715.jpg</t>
  </si>
  <si>
    <t>Alisson Airton Sobrinho - 17/01/2025 10:37:08</t>
  </si>
  <si>
    <t>XV65025</t>
  </si>
  <si>
    <t>Valvula De Entrada De Fermento Dorna 03</t>
  </si>
  <si>
    <t>Weslley Ferreira Cooper - 30/01/2025 09:06:43</t>
  </si>
  <si>
    <t>Weslley Ferreira Cooper - 30/01/2025 09:06:42</t>
  </si>
  <si>
    <t>Weslley Ferreira Cooper - 30/01/2025 09:06:41</t>
  </si>
  <si>
    <t>Weslley Ferreira Cooper - 30/01/2025 09:06:40</t>
  </si>
  <si>
    <t>Weslley Ferreira Cooper - 30/01/2025 09:06:39</t>
  </si>
  <si>
    <t>Weslley Ferreira Cooper - 30/01/2025 09:06:38</t>
  </si>
  <si>
    <t>Alisson Airton Sobrinho - 08/02/2025 09:48:42</t>
  </si>
  <si>
    <t>Alisson Airton Sobrinho - 08/02/2025 09:48:43</t>
  </si>
  <si>
    <t>Alisson Airton Sobrinho - 25/02/2025 10:14:02</t>
  </si>
  <si>
    <t>Alisson Airton Sobrinho - 04/03/2025 08:11:15</t>
  </si>
  <si>
    <t>Base de Dados_Images/XV65025.Imagem do Equipamento-.130640.jpg</t>
  </si>
  <si>
    <t>Weslley Ferreira Cooper - 30/01/2025 09:06:34</t>
  </si>
  <si>
    <t>XV65030</t>
  </si>
  <si>
    <t>Valvula De Água Limpeza Da Dorna 03</t>
  </si>
  <si>
    <t>Weslley Ferreira Cooper - 30/01/2025 09:11:16</t>
  </si>
  <si>
    <t>Weslley Ferreira Cooper - 30/01/2025 09:11:15</t>
  </si>
  <si>
    <t>Weslley Ferreira Cooper - 30/01/2025 09:11:14</t>
  </si>
  <si>
    <t>Weslley Ferreira Cooper - 30/01/2025 09:11:13</t>
  </si>
  <si>
    <t>Weslley Ferreira Cooper - 30/01/2025 09:11:11</t>
  </si>
  <si>
    <t>Weslley Ferreira Cooper - 30/01/2025 09:11:10</t>
  </si>
  <si>
    <t>Weslley Ferreira Cooper - 30/01/2025 09:11:09</t>
  </si>
  <si>
    <t>Weslley Ferreira Cooper - 30/01/2025 09:11:08</t>
  </si>
  <si>
    <t>Alisson Airton Sobrinho - 08/02/2025 09:48:50</t>
  </si>
  <si>
    <t>Alisson Airton Sobrinho - 25/02/2025 10:14:06</t>
  </si>
  <si>
    <t>Alisson Airton Sobrinho - 04/03/2025 08:11:26</t>
  </si>
  <si>
    <t>Base de Dados_Images/XV65030.Imagem do Equipamento-.130812.jpg</t>
  </si>
  <si>
    <t>Weslley Ferreira Cooper - 30/01/2025 09:11:03</t>
  </si>
  <si>
    <t>XV65031</t>
  </si>
  <si>
    <t>Valvula De Ár Comprimido Da Dorna 03</t>
  </si>
  <si>
    <t>Libner Ferreira De Morais - 06/02/2025 08:43:00</t>
  </si>
  <si>
    <t>Libner Ferreira De Morais - 06/02/2025 08:43:01</t>
  </si>
  <si>
    <t>Libner Ferreira De Morais - 06/02/2025 08:43:02</t>
  </si>
  <si>
    <t>Libner Ferreira De Morais - 06/02/2025 08:43:04</t>
  </si>
  <si>
    <t>Libner Ferreira De Morais - 06/02/2025 08:43:05</t>
  </si>
  <si>
    <t>Libner Ferreira De Morais - 06/02/2025 08:43:07</t>
  </si>
  <si>
    <t>Libner Ferreira De Morais - 06/02/2025 08:43:08</t>
  </si>
  <si>
    <t>Libner Ferreira De Morais - 06/02/2025 08:43:10</t>
  </si>
  <si>
    <t>Alisson Airton Sobrinho - 08/02/2025 09:50:29</t>
  </si>
  <si>
    <t>Alisson Airton Sobrinho - 08/02/2025 09:50:30</t>
  </si>
  <si>
    <t>Alisson Airton Sobrinho - 25/02/2025 10:14:11</t>
  </si>
  <si>
    <t>Alisson Airton Sobrinho - 04/03/2025 08:11:31</t>
  </si>
  <si>
    <t>Base de Dados_Images/XV65031.Imagem do Equipamento-.174214.jpg</t>
  </si>
  <si>
    <t>Libner Ferreira De Morais - 05/02/2025 14:42:08</t>
  </si>
  <si>
    <t>XV65032</t>
  </si>
  <si>
    <t>Valvula De Dreno Do Tubo Da Dorna 03</t>
  </si>
  <si>
    <t>Weslley Ferreira Cooper - 30/01/2025 09:06:07</t>
  </si>
  <si>
    <t>Weslley Ferreira Cooper - 30/01/2025 09:06:06</t>
  </si>
  <si>
    <t>Weslley Ferreira Cooper - 30/01/2025 09:06:09</t>
  </si>
  <si>
    <t>Weslley Ferreira Cooper - 30/01/2025 09:06:05</t>
  </si>
  <si>
    <t>Weslley Ferreira Cooper - 30/01/2025 09:06:04</t>
  </si>
  <si>
    <t>Weslley Ferreira Cooper - 30/01/2025 09:06:03</t>
  </si>
  <si>
    <t>Weslley Ferreira Cooper - 30/01/2025 09:06:02</t>
  </si>
  <si>
    <t>Alisson Airton Sobrinho - 08/02/2025 09:40:53</t>
  </si>
  <si>
    <t>Alisson Airton Sobrinho - 08/02/2025 09:40:54</t>
  </si>
  <si>
    <t>Alisson Airton Sobrinho - 25/02/2025 10:14:15</t>
  </si>
  <si>
    <t>Alisson Airton Sobrinho - 04/03/2025 08:12:01</t>
  </si>
  <si>
    <t>Base de Dados_Images/XV65032.Imagem do Equipamento-.130601.jpg</t>
  </si>
  <si>
    <t>Weslley Ferreira Cooper - 30/01/2025 09:05:57</t>
  </si>
  <si>
    <t>XV65033</t>
  </si>
  <si>
    <t>Valvula De Recirculação Da Dorna 03</t>
  </si>
  <si>
    <t>Alisson Airton Sobrinho - 21/01/2025 08:06:06</t>
  </si>
  <si>
    <t>Alisson Airton Sobrinho - 21/01/2025 08:06:07</t>
  </si>
  <si>
    <t>Alisson Airton Sobrinho - 21/01/2025 08:06:10</t>
  </si>
  <si>
    <t>Alisson Airton Sobrinho - 21/01/2025 08:06:11</t>
  </si>
  <si>
    <t>Alisson Airton Sobrinho - 21/01/2025 08:06:12</t>
  </si>
  <si>
    <t>Alisson Airton Sobrinho - 21/01/2025 08:06:13</t>
  </si>
  <si>
    <t>Alisson Airton Sobrinho - 21/01/2025 08:06:14</t>
  </si>
  <si>
    <t>Alisson Airton Sobrinho - 08/02/2025 09:40:03</t>
  </si>
  <si>
    <t>Alisson Airton Sobrinho - 25/02/2025 10:14:19</t>
  </si>
  <si>
    <t>Alisson Airton Sobrinho - 04/03/2025 08:12:06</t>
  </si>
  <si>
    <t>Base de Dados_Images/XV65033.Imagem do Equipamento-.135137.jpg</t>
  </si>
  <si>
    <t>Alisson Airton Sobrinho - 17/01/2025 10:51:28</t>
  </si>
  <si>
    <t>XV65034</t>
  </si>
  <si>
    <t>Valvula De Centrifugação Da Dorna 03</t>
  </si>
  <si>
    <t>Weslley Ferreira Cooper - 30/01/2025 09:46:18</t>
  </si>
  <si>
    <t>Weslley Ferreira Cooper - 30/01/2025 09:46:17</t>
  </si>
  <si>
    <t>Weslley Ferreira Cooper - 30/01/2025 09:46:16</t>
  </si>
  <si>
    <t>Weslley Ferreira Cooper - 30/01/2025 09:46:13</t>
  </si>
  <si>
    <t>Weslley Ferreira Cooper - 30/01/2025 09:46:12</t>
  </si>
  <si>
    <t>Weslley Ferreira Cooper - 30/01/2025 09:46:11</t>
  </si>
  <si>
    <t>Weslley Ferreira Cooper - 30/01/2025 09:46:10</t>
  </si>
  <si>
    <t>Weslley Ferreira Cooper - 30/01/2025 09:46:09</t>
  </si>
  <si>
    <t>Alisson Airton Sobrinho - 08/02/2025 09:49:12</t>
  </si>
  <si>
    <t>Alisson Airton Sobrinho - 08/02/2025 09:49:13</t>
  </si>
  <si>
    <t>Alisson Airton Sobrinho - 15/02/2025 11:45:56</t>
  </si>
  <si>
    <t>Alisson Airton Sobrinho - 04/03/2025 08:39:37</t>
  </si>
  <si>
    <t>Base de Dados_Images/XV65034.Imagem do Equipamento-.132123.jpg</t>
  </si>
  <si>
    <t>Weslley Ferreira Cooper - 30/01/2025 09:46:01</t>
  </si>
  <si>
    <t>XV65035</t>
  </si>
  <si>
    <t>Valvula De Dreno Do Trocador Da Dorna 03</t>
  </si>
  <si>
    <t>Alisson Airton Sobrinho - 21/01/2025 08:06:43</t>
  </si>
  <si>
    <t>Alisson Airton Sobrinho - 21/01/2025 08:06:45</t>
  </si>
  <si>
    <t>Alisson Airton Sobrinho - 21/01/2025 08:07:39</t>
  </si>
  <si>
    <t>Alisson Airton Sobrinho - 21/01/2025 08:06:46</t>
  </si>
  <si>
    <t>Alisson Airton Sobrinho - 21/01/2025 08:06:49</t>
  </si>
  <si>
    <t>Alisson Airton Sobrinho - 21/01/2025 08:06:48</t>
  </si>
  <si>
    <t>Alisson Airton Sobrinho - 21/01/2025 08:06:50</t>
  </si>
  <si>
    <t>Alisson Airton Sobrinho - 08/02/2025 09:40:15</t>
  </si>
  <si>
    <t>Alisson Airton Sobrinho - 25/02/2025 10:14:33</t>
  </si>
  <si>
    <t>Alisson Airton Sobrinho - 04/03/2025 08:39:44</t>
  </si>
  <si>
    <t>Base de Dados_Images/XV65035.Imagem do Equipamento-.135155.jpg</t>
  </si>
  <si>
    <t>Alisson Airton Sobrinho - 17/01/2025 10:51:50</t>
  </si>
  <si>
    <t>XV65036</t>
  </si>
  <si>
    <t>Valvula De Drenagem Da Limpeza Da Dorna 03</t>
  </si>
  <si>
    <t>Alisson Airton Sobrinho - 21/01/2025 08:08:56</t>
  </si>
  <si>
    <t>Alisson Airton Sobrinho - 21/01/2025 08:08:57</t>
  </si>
  <si>
    <t>Alisson Airton Sobrinho - 21/01/2025 08:08:59</t>
  </si>
  <si>
    <t>Alisson Airton Sobrinho - 21/01/2025 08:09:00</t>
  </si>
  <si>
    <t>Alisson Airton Sobrinho - 21/01/2025 08:09:02</t>
  </si>
  <si>
    <t>Alisson Airton Sobrinho - 21/01/2025 08:09:03</t>
  </si>
  <si>
    <t>Alisson Airton Sobrinho - 08/02/2025 09:40:23</t>
  </si>
  <si>
    <t>Alisson Airton Sobrinho - 15/02/2025 11:46:11</t>
  </si>
  <si>
    <t>Alisson Airton Sobrinho - 04/03/2025 08:39:51</t>
  </si>
  <si>
    <t>Base de Dados_Images/XV65036.Imagem do Equipamento-.135222.jpg</t>
  </si>
  <si>
    <t>Alisson Airton Sobrinho - 17/01/2025 10:52:15</t>
  </si>
  <si>
    <t>XV65037</t>
  </si>
  <si>
    <t>Valvula De Entrada De Fermento Dorna 04</t>
  </si>
  <si>
    <t>Weslley Ferreira Cooper - 30/01/2025 09:12:08</t>
  </si>
  <si>
    <t>Weslley Ferreira Cooper - 30/01/2025 09:12:07</t>
  </si>
  <si>
    <t>Weslley Ferreira Cooper - 30/01/2025 09:12:06</t>
  </si>
  <si>
    <t>Weslley Ferreira Cooper - 30/01/2025 09:12:03</t>
  </si>
  <si>
    <t>Weslley Ferreira Cooper - 30/01/2025 09:12:02</t>
  </si>
  <si>
    <t>Weslley Ferreira Cooper - 30/01/2025 09:12:01</t>
  </si>
  <si>
    <t>Weslley Ferreira Cooper - 30/01/2025 09:12:00</t>
  </si>
  <si>
    <t>Weslley Ferreira Cooper - 30/01/2025 09:11:56</t>
  </si>
  <si>
    <t>Alisson Airton Sobrinho - 08/02/2025 09:51:47</t>
  </si>
  <si>
    <t>Alisson Airton Sobrinho - 08/02/2025 09:51:49</t>
  </si>
  <si>
    <t>Alisson Airton Sobrinho - 25/02/2025 10:01:30</t>
  </si>
  <si>
    <t>Alisson Airton Sobrinho - 04/03/2025 08:16:18</t>
  </si>
  <si>
    <t>Base de Dados_Images/XV65037.Imagem do Equipamento-.130846.jpg</t>
  </si>
  <si>
    <t>Weslley Ferreira Cooper - 30/01/2025 09:11:51</t>
  </si>
  <si>
    <t>XV65042</t>
  </si>
  <si>
    <t>Valvula De Água Limpeza Da Dorna 04</t>
  </si>
  <si>
    <t>Weslley Ferreira Cooper - 30/01/2025 09:10:34</t>
  </si>
  <si>
    <t>Weslley Ferreira Cooper - 30/01/2025 09:10:32</t>
  </si>
  <si>
    <t>Weslley Ferreira Cooper - 30/01/2025 09:10:31</t>
  </si>
  <si>
    <t>Weslley Ferreira Cooper - 30/01/2025 09:10:30</t>
  </si>
  <si>
    <t>Weslley Ferreira Cooper - 30/01/2025 09:10:29</t>
  </si>
  <si>
    <t>Weslley Ferreira Cooper - 30/01/2025 09:10:27</t>
  </si>
  <si>
    <t>Weslley Ferreira Cooper - 30/01/2025 09:10:26</t>
  </si>
  <si>
    <t>Weslley Ferreira Cooper - 30/01/2025 09:10:25</t>
  </si>
  <si>
    <t>Alisson Airton Sobrinho - 08/02/2025 09:53:23</t>
  </si>
  <si>
    <t>Alisson Airton Sobrinho - 08/02/2025 09:53:24</t>
  </si>
  <si>
    <t>Alisson Airton Sobrinho - 25/02/2025 10:01:36</t>
  </si>
  <si>
    <t>Alisson Airton Sobrinho - 04/03/2025 08:16:23</t>
  </si>
  <si>
    <t>Base de Dados_Images/XV65042.Imagem do Equipamento-.130739.jpg</t>
  </si>
  <si>
    <t>Weslley Ferreira Cooper - 30/01/2025 09:10:16</t>
  </si>
  <si>
    <t>XV65043</t>
  </si>
  <si>
    <t>Valvula De Ár Comprimido Da Dorna 04</t>
  </si>
  <si>
    <t>Libner Ferreira De Morais - 06/02/2025 08:45:00</t>
  </si>
  <si>
    <t>Libner Ferreira De Morais - 06/02/2025 08:45:02</t>
  </si>
  <si>
    <t>Libner Ferreira De Morais - 06/02/2025 08:45:03</t>
  </si>
  <si>
    <t>Libner Ferreira De Morais - 06/02/2025 08:45:05</t>
  </si>
  <si>
    <t>Libner Ferreira De Morais - 06/02/2025 08:45:10</t>
  </si>
  <si>
    <t>Libner Ferreira De Morais - 06/02/2025 08:45:11</t>
  </si>
  <si>
    <t>Libner Ferreira De Morais - 06/02/2025 08:45:13</t>
  </si>
  <si>
    <t>Libner Ferreira De Morais - 06/02/2025 08:45:16</t>
  </si>
  <si>
    <t>Alisson Airton Sobrinho - 08/02/2025 09:53:32</t>
  </si>
  <si>
    <t>Alisson Airton Sobrinho - 08/02/2025 09:53:33</t>
  </si>
  <si>
    <t>Alisson Airton Sobrinho - 25/02/2025 10:01:42</t>
  </si>
  <si>
    <t>Alisson Airton Sobrinho - 04/03/2025 08:16:33</t>
  </si>
  <si>
    <t>Base de Dados_Images/XV65043.Imagem do Equipamento-.174339.jpg</t>
  </si>
  <si>
    <t>Libner Ferreira De Morais - 05/02/2025 14:43:33</t>
  </si>
  <si>
    <t>XV65044</t>
  </si>
  <si>
    <t>Valvula De Dreno Do Tubo Da Dorna 04</t>
  </si>
  <si>
    <t>Weslley Ferreira Cooper - 30/01/2025 09:12:52</t>
  </si>
  <si>
    <t>Weslley Ferreira Cooper - 30/01/2025 09:12:51</t>
  </si>
  <si>
    <t>Weslley Ferreira Cooper - 30/01/2025 09:12:50</t>
  </si>
  <si>
    <t>Weslley Ferreira Cooper - 30/01/2025 09:12:49</t>
  </si>
  <si>
    <t>Weslley Ferreira Cooper - 30/01/2025 09:12:48</t>
  </si>
  <si>
    <t>Weslley Ferreira Cooper - 30/01/2025 09:12:47</t>
  </si>
  <si>
    <t>Weslley Ferreira Cooper - 30/01/2025 09:12:46</t>
  </si>
  <si>
    <t>Weslley Ferreira Cooper - 30/01/2025 09:12:44</t>
  </si>
  <si>
    <t>Alisson Airton Sobrinho - 08/02/2025 09:55:09</t>
  </si>
  <si>
    <t>Alisson Airton Sobrinho - 08/02/2025 09:55:12</t>
  </si>
  <si>
    <t>Alisson Airton Sobrinho - 15/02/2025 11:39:49</t>
  </si>
  <si>
    <t>Alisson Airton Sobrinho - 04/03/2025 08:17:03</t>
  </si>
  <si>
    <t>Base de Dados_Images/XV65044.Imagem do Equipamento-.130922.jpg</t>
  </si>
  <si>
    <t>Weslley Ferreira Cooper - 30/01/2025 09:12:38</t>
  </si>
  <si>
    <t>XV65045</t>
  </si>
  <si>
    <t>Valvula De Recirculação Da Dorna 04</t>
  </si>
  <si>
    <t>Alisson Airton Sobrinho - 21/01/2025 08:11:33</t>
  </si>
  <si>
    <t>Alisson Airton Sobrinho - 21/01/2025 08:11:34</t>
  </si>
  <si>
    <t>Alisson Airton Sobrinho - 21/01/2025 08:11:47</t>
  </si>
  <si>
    <t>Alisson Airton Sobrinho - 21/01/2025 08:11:36</t>
  </si>
  <si>
    <t>Alisson Airton Sobrinho - 21/01/2025 08:11:37</t>
  </si>
  <si>
    <t>Alisson Airton Sobrinho - 21/01/2025 08:11:39</t>
  </si>
  <si>
    <t>Alisson Airton Sobrinho - 21/01/2025 08:11:42</t>
  </si>
  <si>
    <t>Alisson Airton Sobrinho - 21/01/2025 08:11:41</t>
  </si>
  <si>
    <t>Alisson Airton Sobrinho - 08/02/2025 09:52:01</t>
  </si>
  <si>
    <t>Alisson Airton Sobrinho - 08/02/2025 09:52:02</t>
  </si>
  <si>
    <t>Alisson Airton Sobrinho - 15/02/2025 11:41:59</t>
  </si>
  <si>
    <t>Alisson Airton Sobrinho - 04/03/2025 08:17:11</t>
  </si>
  <si>
    <t>Base de Dados_Images/XV65045.Imagem do Equipamento-.140526.jpg</t>
  </si>
  <si>
    <t>Alisson Airton Sobrinho - 17/01/2025 11:05:20</t>
  </si>
  <si>
    <t>XV65046</t>
  </si>
  <si>
    <t>Valvula De Centrifugação Da Dorna 04</t>
  </si>
  <si>
    <t>Weslley Ferreira Cooper - 30/01/2025 09:51:18</t>
  </si>
  <si>
    <t>Weslley Ferreira Cooper - 30/01/2025 09:51:17</t>
  </si>
  <si>
    <t>Weslley Ferreira Cooper - 30/01/2025 09:51:16</t>
  </si>
  <si>
    <t>Weslley Ferreira Cooper - 30/01/2025 09:51:15</t>
  </si>
  <si>
    <t>Weslley Ferreira Cooper - 30/01/2025 09:51:12</t>
  </si>
  <si>
    <t>Weslley Ferreira Cooper - 30/01/2025 09:51:11</t>
  </si>
  <si>
    <t>Weslley Ferreira Cooper - 30/01/2025 09:51:10</t>
  </si>
  <si>
    <t>Weslley Ferreira Cooper - 30/01/2025 09:51:09</t>
  </si>
  <si>
    <t>Alisson Airton Sobrinho - 08/02/2025 09:52:19</t>
  </si>
  <si>
    <t>Alisson Airton Sobrinho - 08/02/2025 09:52:20</t>
  </si>
  <si>
    <t>Alisson Airton Sobrinho - 25/02/2025 10:01:51</t>
  </si>
  <si>
    <t>Alisson Airton Sobrinho - 04/03/2025 08:17:20</t>
  </si>
  <si>
    <t>Base de Dados_Images/XV65046.Imagem do Equipamento-.132259.jpg</t>
  </si>
  <si>
    <t>Weslley Ferreira Cooper - 30/01/2025 09:51:04</t>
  </si>
  <si>
    <t>XV65047</t>
  </si>
  <si>
    <t>Valvula De Dreno Do Trocador Da Dorna 04</t>
  </si>
  <si>
    <t>Weslley Ferreira Cooper - 31/01/2025 15:47:22</t>
  </si>
  <si>
    <t>Weslley Ferreira Cooper - 31/01/2025 15:47:33</t>
  </si>
  <si>
    <t>Weslley Ferreira Cooper - 31/01/2025 15:47:32</t>
  </si>
  <si>
    <t>Weslley Ferreira Cooper - 31/01/2025 15:47:34</t>
  </si>
  <si>
    <t>Weslley Ferreira Cooper - 31/01/2025 15:47:28</t>
  </si>
  <si>
    <t>Weslley Ferreira Cooper - 31/01/2025 15:47:27</t>
  </si>
  <si>
    <t>Weslley Ferreira Cooper - 31/01/2025 15:47:25</t>
  </si>
  <si>
    <t>Weslley Ferreira Cooper - 31/01/2025 15:47:24</t>
  </si>
  <si>
    <t>Alisson Airton Sobrinho - 08/02/2025 09:52:27</t>
  </si>
  <si>
    <t>Alisson Airton Sobrinho - 08/02/2025 09:52:28</t>
  </si>
  <si>
    <t>Alisson Airton Sobrinho - 15/02/2025 11:42:53</t>
  </si>
  <si>
    <t>Alisson Airton Sobrinho - 04/03/2025 08:17:36</t>
  </si>
  <si>
    <t>Base de Dados_Images/XV65047.Imagem do Equipamento-.115135.jpg</t>
  </si>
  <si>
    <t>Libner Ferreira De Morais - 06/02/2025 08:51:26</t>
  </si>
  <si>
    <t>XV65048</t>
  </si>
  <si>
    <t>Valvula De Drenagem Da Limpeza Da Dorna 04</t>
  </si>
  <si>
    <t>Alisson Airton Sobrinho - 21/01/2025 08:11:57</t>
  </si>
  <si>
    <t>Alisson Airton Sobrinho - 21/01/2025 08:12:02</t>
  </si>
  <si>
    <t>Alisson Airton Sobrinho - 21/01/2025 08:12:03</t>
  </si>
  <si>
    <t>Alisson Airton Sobrinho - 21/01/2025 08:12:04</t>
  </si>
  <si>
    <t>Alisson Airton Sobrinho - 21/01/2025 08:12:08</t>
  </si>
  <si>
    <t>Alisson Airton Sobrinho - 21/01/2025 08:12:06</t>
  </si>
  <si>
    <t>Alisson Airton Sobrinho - 21/01/2025 08:12:10</t>
  </si>
  <si>
    <t>Alisson Airton Sobrinho - 08/02/2025 09:52:39</t>
  </si>
  <si>
    <t>Alisson Airton Sobrinho - 08/02/2025 09:52:40</t>
  </si>
  <si>
    <t>Alisson Airton Sobrinho - 15/02/2025 11:43:05</t>
  </si>
  <si>
    <t>Alisson Airton Sobrinho - 04/03/2025 08:17:45</t>
  </si>
  <si>
    <t>Base de Dados_Images/XV65048.Imagem do Equipamento-.140255.jpg</t>
  </si>
  <si>
    <t>Alisson Airton Sobrinho - 17/01/2025 11:02:49</t>
  </si>
  <si>
    <t>XV65049</t>
  </si>
  <si>
    <t>Valvula De Entrada De Fermento Dorna 05</t>
  </si>
  <si>
    <t>Weslley Ferreira Cooper - 30/01/2025 09:20:14</t>
  </si>
  <si>
    <t>Weslley Ferreira Cooper - 30/01/2025 09:20:13</t>
  </si>
  <si>
    <t>Weslley Ferreira Cooper - 30/01/2025 09:20:08</t>
  </si>
  <si>
    <t>Weslley Ferreira Cooper - 30/01/2025 09:20:12</t>
  </si>
  <si>
    <t>Weslley Ferreira Cooper - 30/01/2025 09:20:04</t>
  </si>
  <si>
    <t>Weslley Ferreira Cooper - 30/01/2025 09:20:03</t>
  </si>
  <si>
    <t>Weslley Ferreira Cooper - 30/01/2025 09:20:02</t>
  </si>
  <si>
    <t>Weslley Ferreira Cooper - 30/01/2025 09:20:01</t>
  </si>
  <si>
    <t>Alisson Airton Sobrinho - 08/02/2025 09:55:45</t>
  </si>
  <si>
    <t>Alisson Airton Sobrinho - 08/02/2025 10:04:41</t>
  </si>
  <si>
    <t>Alisson Airton Sobrinho - 04/03/2025 08:23:56</t>
  </si>
  <si>
    <t>Base de Dados_Images/XV65049.Imagem do Equipamento-.131444.jpg</t>
  </si>
  <si>
    <t>Weslley Ferreira Cooper - 30/01/2025 09:19:55</t>
  </si>
  <si>
    <t>XV65054</t>
  </si>
  <si>
    <t>Valvula De Água Limpeza Da Dorna 05</t>
  </si>
  <si>
    <t>Weslley Ferreira Cooper - 30/01/2025 09:21:07</t>
  </si>
  <si>
    <t>Weslley Ferreira Cooper - 30/01/2025 09:21:06</t>
  </si>
  <si>
    <t>Weslley Ferreira Cooper - 30/01/2025 09:21:04</t>
  </si>
  <si>
    <t>Weslley Ferreira Cooper - 30/01/2025 09:20:51</t>
  </si>
  <si>
    <t>Weslley Ferreira Cooper - 30/01/2025 09:20:50</t>
  </si>
  <si>
    <t>Weslley Ferreira Cooper - 30/01/2025 09:20:49</t>
  </si>
  <si>
    <t>Weslley Ferreira Cooper - 30/01/2025 09:20:48</t>
  </si>
  <si>
    <t>Weslley Ferreira Cooper - 30/01/2025 09:20:46</t>
  </si>
  <si>
    <t>Alisson Airton Sobrinho - 08/02/2025 10:04:54</t>
  </si>
  <si>
    <t>Alisson Airton Sobrinho - 08/02/2025 10:04:57</t>
  </si>
  <si>
    <t>Alisson Airton Sobrinho - 15/02/2025 12:02:46</t>
  </si>
  <si>
    <t>Alisson Airton Sobrinho - 04/03/2025 08:24:01</t>
  </si>
  <si>
    <t>Base de Dados_Images/XV65054.Imagem do Equipamento-.131526.jpg</t>
  </si>
  <si>
    <t>Weslley Ferreira Cooper - 30/01/2025 09:20:40</t>
  </si>
  <si>
    <t>XV65055</t>
  </si>
  <si>
    <t>Valvula De Ár Comprimido Da Dorna 05</t>
  </si>
  <si>
    <t>Libner Ferreira De Morais - 06/02/2025 14:43:52</t>
  </si>
  <si>
    <t>Libner Ferreira De Morais - 06/02/2025 14:43:53</t>
  </si>
  <si>
    <t>Libner Ferreira De Morais - 06/02/2025 14:43:55</t>
  </si>
  <si>
    <t>Libner Ferreira De Morais - 06/02/2025 14:43:56</t>
  </si>
  <si>
    <t>Libner Ferreira De Morais - 06/02/2025 14:43:58</t>
  </si>
  <si>
    <t>Libner Ferreira De Morais - 06/02/2025 14:43:59</t>
  </si>
  <si>
    <t>Libner Ferreira De Morais - 06/02/2025 14:44:01</t>
  </si>
  <si>
    <t>Alisson Airton Sobrinho - 08/02/2025 10:05:16</t>
  </si>
  <si>
    <t>Alisson Airton Sobrinho - 08/02/2025 10:05:17</t>
  </si>
  <si>
    <t>Alisson Airton Sobrinho - 15/02/2025 12:02:31</t>
  </si>
  <si>
    <t>Alisson Airton Sobrinho - 04/03/2025 08:24:09</t>
  </si>
  <si>
    <t>Base de Dados_Images/XV65055.Imagem do Equipamento-.174613.jpg</t>
  </si>
  <si>
    <t>Libner Ferreira De Morais - 05/02/2025 14:46:07</t>
  </si>
  <si>
    <t>XV65056</t>
  </si>
  <si>
    <t>Valvula De Dreno Do Tubo Da Dorna 05</t>
  </si>
  <si>
    <t>Weslley Ferreira Cooper - 30/01/2025 09:19:35</t>
  </si>
  <si>
    <t>Weslley Ferreira Cooper - 30/01/2025 09:19:34</t>
  </si>
  <si>
    <t>Weslley Ferreira Cooper - 30/01/2025 09:19:37</t>
  </si>
  <si>
    <t>Weslley Ferreira Cooper - 30/01/2025 09:19:32</t>
  </si>
  <si>
    <t>Weslley Ferreira Cooper - 30/01/2025 09:19:31</t>
  </si>
  <si>
    <t>Weslley Ferreira Cooper - 30/01/2025 09:19:30</t>
  </si>
  <si>
    <t>Weslley Ferreira Cooper - 30/01/2025 09:19:28</t>
  </si>
  <si>
    <t>Weslley Ferreira Cooper - 30/01/2025 09:19:27</t>
  </si>
  <si>
    <t>Alisson Airton Sobrinho - 08/02/2025 10:05:31</t>
  </si>
  <si>
    <t>Alisson Airton Sobrinho - 08/02/2025 10:05:34</t>
  </si>
  <si>
    <t>Alisson Airton Sobrinho - 15/02/2025 12:02:23</t>
  </si>
  <si>
    <t>Alisson Airton Sobrinho - 04/03/2025 08:24:18</t>
  </si>
  <si>
    <t>Base de Dados_Images/XV65056.Imagem do Equipamento-.131407.jpg</t>
  </si>
  <si>
    <t>Weslley Ferreira Cooper - 30/01/2025 09:19:20</t>
  </si>
  <si>
    <t>XV65057</t>
  </si>
  <si>
    <t>Valvula De Recirculação Da Dorna 05</t>
  </si>
  <si>
    <t>Alisson Airton Sobrinho - 21/01/2025 08:13:59</t>
  </si>
  <si>
    <t>Alisson Airton Sobrinho - 21/01/2025 08:14:00</t>
  </si>
  <si>
    <t>Alisson Airton Sobrinho - 21/01/2025 08:14:02</t>
  </si>
  <si>
    <t>Alisson Airton Sobrinho - 21/01/2025 08:14:03</t>
  </si>
  <si>
    <t>Alisson Airton Sobrinho - 21/01/2025 08:14:06</t>
  </si>
  <si>
    <t>Alisson Airton Sobrinho - 21/01/2025 08:14:05</t>
  </si>
  <si>
    <t>Alisson Airton Sobrinho - 21/01/2025 08:14:08</t>
  </si>
  <si>
    <t>Alisson Airton Sobrinho - 08/02/2025 10:05:42</t>
  </si>
  <si>
    <t>Alisson Airton Sobrinho - 15/02/2025 14:31:44</t>
  </si>
  <si>
    <t>Alisson Airton Sobrinho - 04/03/2025 08:24:24</t>
  </si>
  <si>
    <t>Base de Dados_Images/XV65057.Imagem do Equipamento-.140905.jpg</t>
  </si>
  <si>
    <t>Alisson Airton Sobrinho - 17/01/2025 11:08:57</t>
  </si>
  <si>
    <t>XV65058</t>
  </si>
  <si>
    <t>Valvula De Centrifugação Da Dorna 05</t>
  </si>
  <si>
    <t>Weslley Ferreira Cooper - 30/01/2025 09:52:32</t>
  </si>
  <si>
    <t>Weslley Ferreira Cooper - 30/01/2025 09:52:31</t>
  </si>
  <si>
    <t>Weslley Ferreira Cooper - 30/01/2025 09:52:30</t>
  </si>
  <si>
    <t>Weslley Ferreira Cooper - 30/01/2025 09:52:29</t>
  </si>
  <si>
    <t>Weslley Ferreira Cooper - 30/01/2025 09:52:28</t>
  </si>
  <si>
    <t>Weslley Ferreira Cooper - 30/01/2025 09:52:27</t>
  </si>
  <si>
    <t>Weslley Ferreira Cooper - 30/01/2025 09:52:26</t>
  </si>
  <si>
    <t>Weslley Ferreira Cooper - 30/01/2025 09:52:25</t>
  </si>
  <si>
    <t>Alisson Airton Sobrinho - 08/02/2025 10:06:39</t>
  </si>
  <si>
    <t>Alisson Airton Sobrinho - 08/02/2025 10:06:41</t>
  </si>
  <si>
    <t>Alisson Airton Sobrinho - 15/02/2025 11:52:47</t>
  </si>
  <si>
    <t>Alisson Airton Sobrinho - 04/03/2025 08:24:32</t>
  </si>
  <si>
    <t>Base de Dados_Images/XV65058.Imagem do Equipamento-.132457.jpg</t>
  </si>
  <si>
    <t>Weslley Ferreira Cooper - 30/01/2025 09:52:43</t>
  </si>
  <si>
    <t>XV65059</t>
  </si>
  <si>
    <t>Valvula De Dreno Do Trocador Da Dorna 05</t>
  </si>
  <si>
    <t>Weslley Ferreira Cooper - 31/01/2025 15:43:29</t>
  </si>
  <si>
    <t>Weslley Ferreira Cooper - 31/01/2025 15:43:28</t>
  </si>
  <si>
    <t>Weslley Ferreira Cooper - 31/01/2025 15:43:27</t>
  </si>
  <si>
    <t>Weslley Ferreira Cooper - 31/01/2025 15:43:24</t>
  </si>
  <si>
    <t>Weslley Ferreira Cooper - 31/01/2025 15:43:23</t>
  </si>
  <si>
    <t>Weslley Ferreira Cooper - 31/01/2025 15:43:22</t>
  </si>
  <si>
    <t>Weslley Ferreira Cooper - 31/01/2025 15:43:21</t>
  </si>
  <si>
    <t>Weslley Ferreira Cooper - 31/01/2025 15:43:19</t>
  </si>
  <si>
    <t>Alisson Airton Sobrinho - 08/02/2025 10:06:55</t>
  </si>
  <si>
    <t>Alisson Airton Sobrinho - 15/02/2025 11:52:03</t>
  </si>
  <si>
    <t>Alisson Airton Sobrinho - 04/03/2025 08:24:38</t>
  </si>
  <si>
    <t>Base de Dados_Images/XV65059.Imagem do Equipamento-.184314.jpg</t>
  </si>
  <si>
    <t>Weslley Ferreira Cooper - 31/01/2025 15:43:08</t>
  </si>
  <si>
    <t>XV65060</t>
  </si>
  <si>
    <t>Valvula De Drenagem Da Limpeza Da Dorna 05</t>
  </si>
  <si>
    <t>Alisson Airton Sobrinho - 21/01/2025 08:14:28</t>
  </si>
  <si>
    <t>Alisson Airton Sobrinho - 21/01/2025 08:14:30</t>
  </si>
  <si>
    <t>Alisson Airton Sobrinho - 21/01/2025 08:14:31</t>
  </si>
  <si>
    <t>Alisson Airton Sobrinho - 21/01/2025 08:14:33</t>
  </si>
  <si>
    <t>Alisson Airton Sobrinho - 21/01/2025 08:14:35</t>
  </si>
  <si>
    <t>Alisson Airton Sobrinho - 21/01/2025 08:14:37</t>
  </si>
  <si>
    <t>Alisson Airton Sobrinho - 08/02/2025 10:07:05</t>
  </si>
  <si>
    <t>Alisson Airton Sobrinho - 08/02/2025 10:07:06</t>
  </si>
  <si>
    <t>Alisson Airton Sobrinho - 15/02/2025 11:51:51</t>
  </si>
  <si>
    <t>Alisson Airton Sobrinho - 04/03/2025 08:25:16</t>
  </si>
  <si>
    <t>Base de Dados_Images/XV65060.Imagem do Equipamento-.140935.jpg</t>
  </si>
  <si>
    <t>Alisson Airton Sobrinho - 17/01/2025 11:09:30</t>
  </si>
  <si>
    <t>XV65061</t>
  </si>
  <si>
    <t>Valvula De Entrada De Fermento Dorna 06</t>
  </si>
  <si>
    <t>Weslley Ferreira Cooper - 30/01/2025 09:14:34</t>
  </si>
  <si>
    <t>Weslley Ferreira Cooper - 30/01/2025 09:14:33</t>
  </si>
  <si>
    <t>Weslley Ferreira Cooper - 30/01/2025 09:14:31</t>
  </si>
  <si>
    <t>Weslley Ferreira Cooper - 30/01/2025 09:14:30</t>
  </si>
  <si>
    <t>Weslley Ferreira Cooper - 30/01/2025 09:14:27</t>
  </si>
  <si>
    <t>Weslley Ferreira Cooper - 30/01/2025 09:14:26</t>
  </si>
  <si>
    <t>Weslley Ferreira Cooper - 30/01/2025 09:14:25</t>
  </si>
  <si>
    <t>Weslley Ferreira Cooper - 30/01/2025 09:14:24</t>
  </si>
  <si>
    <t>Alisson Airton Sobrinho - 08/02/2025 10:11:01</t>
  </si>
  <si>
    <t>Alisson Airton Sobrinho - 08/02/2025 10:11:02</t>
  </si>
  <si>
    <t>Alisson Airton Sobrinho - 25/02/2025 09:59:02</t>
  </si>
  <si>
    <t>Alisson Airton Sobrinho - 04/03/2025 08:30:33</t>
  </si>
  <si>
    <t>Base de Dados_Images/XV65061.Imagem do Equipamento-.131029.jpg</t>
  </si>
  <si>
    <t>Weslley Ferreira Cooper - 30/01/2025 09:14:18</t>
  </si>
  <si>
    <t>XV65066</t>
  </si>
  <si>
    <t>Valvula De Água Limpeza Da Dorna 06</t>
  </si>
  <si>
    <t>Weslley Ferreira Cooper - 30/01/2025 09:13:50</t>
  </si>
  <si>
    <t>Weslley Ferreira Cooper - 30/01/2025 09:13:49</t>
  </si>
  <si>
    <t>Weslley Ferreira Cooper - 30/01/2025 09:13:48</t>
  </si>
  <si>
    <t>Weslley Ferreira Cooper - 30/01/2025 09:13:47</t>
  </si>
  <si>
    <t>Weslley Ferreira Cooper - 30/01/2025 09:13:56</t>
  </si>
  <si>
    <t>Weslley Ferreira Cooper - 30/01/2025 09:13:55</t>
  </si>
  <si>
    <t>Weslley Ferreira Cooper - 30/01/2025 09:13:54</t>
  </si>
  <si>
    <t>Weslley Ferreira Cooper - 30/01/2025 09:13:53</t>
  </si>
  <si>
    <t>Alisson Airton Sobrinho - 08/02/2025 10:11:13</t>
  </si>
  <si>
    <t>Alisson Airton Sobrinho - 15/02/2025 11:58:32</t>
  </si>
  <si>
    <t>Alisson Airton Sobrinho - 04/03/2025 08:30:38</t>
  </si>
  <si>
    <t>Base de Dados_Images/XV65066.Imagem do Equipamento-.130957.jpg</t>
  </si>
  <si>
    <t>Weslley Ferreira Cooper - 30/01/2025 09:13:42</t>
  </si>
  <si>
    <t>XV65067</t>
  </si>
  <si>
    <t>Valvula De Ár Comprimido Da Dorna 06</t>
  </si>
  <si>
    <t>Libner Ferreira De Morais - 06/02/2025 14:41:57</t>
  </si>
  <si>
    <t>Libner Ferreira De Morais - 06/02/2025 14:41:59</t>
  </si>
  <si>
    <t>Libner Ferreira De Morais - 06/02/2025 14:42:00</t>
  </si>
  <si>
    <t>Libner Ferreira De Morais - 06/02/2025 14:42:01</t>
  </si>
  <si>
    <t>Libner Ferreira De Morais - 06/02/2025 14:42:03</t>
  </si>
  <si>
    <t>Libner Ferreira De Morais - 06/02/2025 14:42:05</t>
  </si>
  <si>
    <t>Libner Ferreira De Morais - 06/02/2025 14:42:06</t>
  </si>
  <si>
    <t>Libner Ferreira De Morais - 06/02/2025 14:42:07</t>
  </si>
  <si>
    <t>Alisson Airton Sobrinho - 08/02/2025 10:11:59</t>
  </si>
  <si>
    <t>Alisson Airton Sobrinho - 08/02/2025 10:12:09</t>
  </si>
  <si>
    <t>Alisson Airton Sobrinho - 04/03/2025 08:30:43</t>
  </si>
  <si>
    <t>Base de Dados_Images/XV65067.Imagem do Equipamento-.174727.jpg</t>
  </si>
  <si>
    <t>Libner Ferreira De Morais - 05/02/2025 14:47:19</t>
  </si>
  <si>
    <t>XV65068</t>
  </si>
  <si>
    <t>Valvula De Dreno Do Tubo Da Dorna 06</t>
  </si>
  <si>
    <t>Weslley Ferreira Cooper - 30/01/2025 09:15:08</t>
  </si>
  <si>
    <t>Weslley Ferreira Cooper - 30/01/2025 09:15:07</t>
  </si>
  <si>
    <t>Weslley Ferreira Cooper - 30/01/2025 09:15:16</t>
  </si>
  <si>
    <t>Weslley Ferreira Cooper - 30/01/2025 09:15:12</t>
  </si>
  <si>
    <t>Weslley Ferreira Cooper - 30/01/2025 09:15:05</t>
  </si>
  <si>
    <t>Weslley Ferreira Cooper - 30/01/2025 09:15:04</t>
  </si>
  <si>
    <t>Weslley Ferreira Cooper - 30/01/2025 09:15:03</t>
  </si>
  <si>
    <t>Weslley Ferreira Cooper - 30/01/2025 09:15:02</t>
  </si>
  <si>
    <t>Alisson Airton Sobrinho - 08/02/2025 10:11:20</t>
  </si>
  <si>
    <t>Alisson Airton Sobrinho - 08/02/2025 10:11:26</t>
  </si>
  <si>
    <t>Alisson Airton Sobrinho - 15/02/2025 11:58:53</t>
  </si>
  <si>
    <t>Alisson Airton Sobrinho - 04/03/2025 08:30:54</t>
  </si>
  <si>
    <t>Base de Dados_Images/XV65068.Imagem do Equipamento-.131104.jpg</t>
  </si>
  <si>
    <t>Weslley Ferreira Cooper - 30/01/2025 09:14:56</t>
  </si>
  <si>
    <t>XV65069</t>
  </si>
  <si>
    <t>Valvula De Recirculação Da Dorna 06</t>
  </si>
  <si>
    <t>Alisson Airton Sobrinho - 21/01/2025 08:17:03</t>
  </si>
  <si>
    <t>Alisson Airton Sobrinho - 21/01/2025 08:17:04</t>
  </si>
  <si>
    <t>Alisson Airton Sobrinho - 21/01/2025 08:17:06</t>
  </si>
  <si>
    <t>Alisson Airton Sobrinho - 21/01/2025 08:17:07</t>
  </si>
  <si>
    <t>Alisson Airton Sobrinho - 21/01/2025 08:17:08</t>
  </si>
  <si>
    <t>Alisson Airton Sobrinho - 21/01/2025 08:17:09</t>
  </si>
  <si>
    <t>Alisson Airton Sobrinho - 21/01/2025 08:17:10</t>
  </si>
  <si>
    <t>Alisson Airton Sobrinho - 08/02/2025 10:12:15</t>
  </si>
  <si>
    <t>Alisson Airton Sobrinho - 08/02/2025 10:12:16</t>
  </si>
  <si>
    <t>Alisson Airton Sobrinho - 08/02/2025 10:12:20</t>
  </si>
  <si>
    <t>Alisson Airton Sobrinho - 04/03/2025 08:31:16</t>
  </si>
  <si>
    <t>Base de Dados_Images/XV65069.Imagem do Equipamento-.162709.jpg</t>
  </si>
  <si>
    <t>Alisson Airton Sobrinho - 17/01/2025 13:25:21</t>
  </si>
  <si>
    <t>XV65070</t>
  </si>
  <si>
    <t>Valvula De Centrifugação Da Dorna 06</t>
  </si>
  <si>
    <t>Weslley Ferreira Cooper - 30/01/2025 09:53:48</t>
  </si>
  <si>
    <t>Weslley Ferreira Cooper - 30/01/2025 09:53:47</t>
  </si>
  <si>
    <t>Weslley Ferreira Cooper - 30/01/2025 09:53:50</t>
  </si>
  <si>
    <t>Weslley Ferreira Cooper - 30/01/2025 09:53:46</t>
  </si>
  <si>
    <t>Weslley Ferreira Cooper - 30/01/2025 09:53:45</t>
  </si>
  <si>
    <t>Weslley Ferreira Cooper - 30/01/2025 09:53:44</t>
  </si>
  <si>
    <t>Weslley Ferreira Cooper - 30/01/2025 09:53:43</t>
  </si>
  <si>
    <t>Weslley Ferreira Cooper - 30/01/2025 09:53:41</t>
  </si>
  <si>
    <t>Alisson Airton Sobrinho - 08/02/2025 10:12:30</t>
  </si>
  <si>
    <t>Alisson Airton Sobrinho - 08/02/2025 10:12:49</t>
  </si>
  <si>
    <t>Alisson Airton Sobrinho - 08/02/2025 10:14:56</t>
  </si>
  <si>
    <t>Alisson Airton Sobrinho - 04/03/2025 08:31:33</t>
  </si>
  <si>
    <t>Base de Dados_Images/XV65070.Imagem do Equipamento-.132542.jpg</t>
  </si>
  <si>
    <t>Weslley Ferreira Cooper - 30/01/2025 09:53:37</t>
  </si>
  <si>
    <t>XV65071</t>
  </si>
  <si>
    <t>Valvula De Dreno Do Trocador Da Dorna 06</t>
  </si>
  <si>
    <t>Alisson Airton Sobrinho - 21/01/2025 08:17:22</t>
  </si>
  <si>
    <t>Alisson Airton Sobrinho - 21/01/2025 08:17:23</t>
  </si>
  <si>
    <t>Alisson Airton Sobrinho - 21/01/2025 08:17:25</t>
  </si>
  <si>
    <t>Alisson Airton Sobrinho - 21/01/2025 08:17:26</t>
  </si>
  <si>
    <t>Alisson Airton Sobrinho - 21/01/2025 08:17:28</t>
  </si>
  <si>
    <t>Alisson Airton Sobrinho - 21/01/2025 08:17:29</t>
  </si>
  <si>
    <t>Alisson Airton Sobrinho - 21/01/2025 08:17:31</t>
  </si>
  <si>
    <t>Alisson Airton Sobrinho - 08/02/2025 10:15:26</t>
  </si>
  <si>
    <t>Alisson Airton Sobrinho - 08/02/2025 10:15:31</t>
  </si>
  <si>
    <t>Alisson Airton Sobrinho - 04/03/2025 08:31:38</t>
  </si>
  <si>
    <t>Base de Dados_Images/XV65071.Imagem do Equipamento-.162719.jpg</t>
  </si>
  <si>
    <t>Alisson Airton Sobrinho - 17/01/2025 13:25:47</t>
  </si>
  <si>
    <t>XV65072</t>
  </si>
  <si>
    <t>Valvula De Drenagem Da Limpeza Da Dorna 06</t>
  </si>
  <si>
    <t>Alisson Airton Sobrinho - 21/01/2025 08:17:45</t>
  </si>
  <si>
    <t>Alisson Airton Sobrinho - 21/01/2025 08:17:46</t>
  </si>
  <si>
    <t>Alisson Airton Sobrinho - 21/01/2025 08:17:47</t>
  </si>
  <si>
    <t>Alisson Airton Sobrinho - 21/01/2025 08:17:53</t>
  </si>
  <si>
    <t>Alisson Airton Sobrinho - 21/01/2025 08:17:54</t>
  </si>
  <si>
    <t>Alisson Airton Sobrinho - 21/01/2025 08:17:55</t>
  </si>
  <si>
    <t>Alisson Airton Sobrinho - 21/01/2025 08:17:57</t>
  </si>
  <si>
    <t>Alisson Airton Sobrinho - 08/02/2025 10:15:46</t>
  </si>
  <si>
    <t>Alisson Airton Sobrinho - 08/02/2025 10:15:47</t>
  </si>
  <si>
    <t>Alisson Airton Sobrinho - 08/02/2025 10:15:51</t>
  </si>
  <si>
    <t>Alisson Airton Sobrinho - 04/03/2025 08:31:47</t>
  </si>
  <si>
    <t>Base de Dados_Images/XV65072.Imagem do Equipamento-.162728.jpg</t>
  </si>
  <si>
    <t>Alisson Airton Sobrinho - 17/01/2025 13:27:06</t>
  </si>
  <si>
    <t>XV65073</t>
  </si>
  <si>
    <t>Valvula De Entrada De Fermento Dorna 07</t>
  </si>
  <si>
    <t>Weslley Ferreira Cooper - 30/01/2025 09:17:18</t>
  </si>
  <si>
    <t>Weslley Ferreira Cooper - 30/01/2025 09:17:17</t>
  </si>
  <si>
    <t>Weslley Ferreira Cooper - 30/01/2025 09:17:16</t>
  </si>
  <si>
    <t>Weslley Ferreira Cooper - 30/01/2025 09:17:15</t>
  </si>
  <si>
    <t>Weslley Ferreira Cooper - 30/01/2025 09:17:12</t>
  </si>
  <si>
    <t>Weslley Ferreira Cooper - 30/01/2025 09:17:11</t>
  </si>
  <si>
    <t>Weslley Ferreira Cooper - 30/01/2025 09:17:10</t>
  </si>
  <si>
    <t>Weslley Ferreira Cooper - 30/01/2025 09:17:09</t>
  </si>
  <si>
    <t>Alisson Airton Sobrinho - 08/02/2025 10:16:55</t>
  </si>
  <si>
    <t>Alisson Airton Sobrinho - 08/02/2025 10:17:01</t>
  </si>
  <si>
    <t>Alisson Airton Sobrinho - 04/03/2025 08:27:10</t>
  </si>
  <si>
    <t>Base de Dados_Images/XV65073.Imagem do Equipamento-.131252.jpg</t>
  </si>
  <si>
    <t>Weslley Ferreira Cooper - 30/01/2025 09:16:57</t>
  </si>
  <si>
    <t>XV65078</t>
  </si>
  <si>
    <t>Valvula De Água Limpeza Da Dorna 07</t>
  </si>
  <si>
    <t>Weslley Ferreira Cooper - 30/01/2025 09:16:15</t>
  </si>
  <si>
    <t>Weslley Ferreira Cooper - 30/01/2025 09:16:14</t>
  </si>
  <si>
    <t>Weslley Ferreira Cooper - 30/01/2025 09:16:13</t>
  </si>
  <si>
    <t>Weslley Ferreira Cooper - 30/01/2025 09:16:10</t>
  </si>
  <si>
    <t>Weslley Ferreira Cooper - 30/01/2025 09:16:09</t>
  </si>
  <si>
    <t>Weslley Ferreira Cooper - 30/01/2025 09:16:08</t>
  </si>
  <si>
    <t>Weslley Ferreira Cooper - 30/01/2025 09:16:07</t>
  </si>
  <si>
    <t>Weslley Ferreira Cooper - 30/01/2025 09:16:05</t>
  </si>
  <si>
    <t>Alisson Airton Sobrinho - 08/02/2025 10:17:11</t>
  </si>
  <si>
    <t>Alisson Airton Sobrinho - 08/02/2025 10:17:12</t>
  </si>
  <si>
    <t>Alisson Airton Sobrinho - 08/02/2025 10:17:17</t>
  </si>
  <si>
    <t>Alisson Airton Sobrinho - 04/03/2025 08:27:16</t>
  </si>
  <si>
    <t>Base de Dados_Images/XV65078.Imagem do Equipamento-.131145.jpg</t>
  </si>
  <si>
    <t>Weslley Ferreira Cooper - 30/01/2025 09:16:00</t>
  </si>
  <si>
    <t>XV65079</t>
  </si>
  <si>
    <t>Valvula De Ár Comprimido Da Dorna 07</t>
  </si>
  <si>
    <t>Libner Ferreira De Morais - 06/02/2025 14:42:33</t>
  </si>
  <si>
    <t>Libner Ferreira De Morais - 06/02/2025 14:42:35</t>
  </si>
  <si>
    <t>Libner Ferreira De Morais - 06/02/2025 14:42:34</t>
  </si>
  <si>
    <t>Libner Ferreira De Morais - 06/02/2025 14:42:37</t>
  </si>
  <si>
    <t>Libner Ferreira De Morais - 06/02/2025 14:42:38</t>
  </si>
  <si>
    <t>Libner Ferreira De Morais - 06/02/2025 14:42:39</t>
  </si>
  <si>
    <t>Libner Ferreira De Morais - 06/02/2025 14:42:41</t>
  </si>
  <si>
    <t>Alisson Airton Sobrinho - 08/02/2025 10:18:21</t>
  </si>
  <si>
    <t>Alisson Airton Sobrinho - 08/02/2025 10:18:22</t>
  </si>
  <si>
    <t>Alisson Airton Sobrinho - 08/02/2025 10:18:49</t>
  </si>
  <si>
    <t>Alisson Airton Sobrinho - 04/03/2025 08:27:43</t>
  </si>
  <si>
    <t>Base de Dados_Images/XV65079.Imagem do Equipamento-.174924.jpg</t>
  </si>
  <si>
    <t>Libner Ferreira De Morais - 05/02/2025 14:48:57</t>
  </si>
  <si>
    <t>XV65080</t>
  </si>
  <si>
    <t>Valvula De Dreno Do Tubo Da Dorna 07</t>
  </si>
  <si>
    <t>Weslley Ferreira Cooper - 30/01/2025 09:18:23</t>
  </si>
  <si>
    <t>Weslley Ferreira Cooper - 30/01/2025 09:18:22</t>
  </si>
  <si>
    <t>Weslley Ferreira Cooper - 30/01/2025 09:18:21</t>
  </si>
  <si>
    <t>Weslley Ferreira Cooper - 30/01/2025 09:18:20</t>
  </si>
  <si>
    <t>Weslley Ferreira Cooper - 30/01/2025 09:18:17</t>
  </si>
  <si>
    <t>Weslley Ferreira Cooper - 30/01/2025 09:18:16</t>
  </si>
  <si>
    <t>Weslley Ferreira Cooper - 30/01/2025 09:18:15</t>
  </si>
  <si>
    <t>Weslley Ferreira Cooper - 30/01/2025 09:18:14</t>
  </si>
  <si>
    <t>Alisson Airton Sobrinho - 08/02/2025 10:18:57</t>
  </si>
  <si>
    <t>Alisson Airton Sobrinho - 08/02/2025 10:18:58</t>
  </si>
  <si>
    <t>Alisson Airton Sobrinho - 08/02/2025 10:19:04</t>
  </si>
  <si>
    <t>Alisson Airton Sobrinho - 04/03/2025 08:27:50</t>
  </si>
  <si>
    <t>Base de Dados_Images/XV65080.Imagem do Equipamento-.131330.jpg</t>
  </si>
  <si>
    <t>Weslley Ferreira Cooper - 30/01/2025 09:18:06</t>
  </si>
  <si>
    <t>XV65081</t>
  </si>
  <si>
    <t>Valvula De Recirculação Da Dorna 07</t>
  </si>
  <si>
    <t>Alisson Airton Sobrinho - 21/01/2025 10:28:37</t>
  </si>
  <si>
    <t>Alisson Airton Sobrinho - 21/01/2025 10:28:38</t>
  </si>
  <si>
    <t>Alisson Airton Sobrinho - 21/01/2025 10:28:39</t>
  </si>
  <si>
    <t>Alisson Airton Sobrinho - 21/01/2025 10:28:43</t>
  </si>
  <si>
    <t>Alisson Airton Sobrinho - 21/01/2025 10:28:44</t>
  </si>
  <si>
    <t>Alisson Airton Sobrinho - 21/01/2025 10:28:49</t>
  </si>
  <si>
    <t>Alisson Airton Sobrinho - 21/01/2025 10:28:47</t>
  </si>
  <si>
    <t>Alisson Airton Sobrinho - 21/01/2025 10:28:50</t>
  </si>
  <si>
    <t>Alisson Airton Sobrinho - 08/02/2025 10:19:11</t>
  </si>
  <si>
    <t>Alisson Airton Sobrinho - 08/02/2025 10:19:15</t>
  </si>
  <si>
    <t>Alisson Airton Sobrinho - 04/03/2025 08:28:05</t>
  </si>
  <si>
    <t>Base de Dados_Images/XV65081.Imagem do Equipamento-.162855.jpg</t>
  </si>
  <si>
    <t>Alisson Airton Sobrinho - 17/01/2025 13:28:49</t>
  </si>
  <si>
    <t>XV65082</t>
  </si>
  <si>
    <t>Valvula De Centrifugação Da Dorna 07</t>
  </si>
  <si>
    <t>Weslley Ferreira Cooper - 30/01/2025 09:55:11</t>
  </si>
  <si>
    <t>Weslley Ferreira Cooper - 30/01/2025 09:55:10</t>
  </si>
  <si>
    <t>Weslley Ferreira Cooper - 30/01/2025 09:55:09</t>
  </si>
  <si>
    <t>Weslley Ferreira Cooper - 30/01/2025 09:55:08</t>
  </si>
  <si>
    <t>Weslley Ferreira Cooper - 30/01/2025 09:55:06</t>
  </si>
  <si>
    <t>Weslley Ferreira Cooper - 30/01/2025 09:55:05</t>
  </si>
  <si>
    <t>Weslley Ferreira Cooper - 30/01/2025 09:55:04</t>
  </si>
  <si>
    <t>Weslley Ferreira Cooper - 30/01/2025 09:55:02</t>
  </si>
  <si>
    <t>Alisson Airton Sobrinho - 08/02/2025 10:20:38</t>
  </si>
  <si>
    <t>Alisson Airton Sobrinho - 08/02/2025 10:20:39</t>
  </si>
  <si>
    <t>Alisson Airton Sobrinho - 08/02/2025 10:20:43</t>
  </si>
  <si>
    <t>Alisson Airton Sobrinho - 04/03/2025 08:28:11</t>
  </si>
  <si>
    <t>Base de Dados_Images/XV65082.Imagem do Equipamento-.132701.jpg</t>
  </si>
  <si>
    <t>Weslley Ferreira Cooper - 30/01/2025 09:54:57</t>
  </si>
  <si>
    <t>XV65083</t>
  </si>
  <si>
    <t>Valvula De Dreno Do Trocador Da Dorna 07</t>
  </si>
  <si>
    <t>Weslley Ferreira Cooper - 31/01/2025 15:45:20</t>
  </si>
  <si>
    <t>Weslley Ferreira Cooper - 31/01/2025 15:45:19</t>
  </si>
  <si>
    <t>Weslley Ferreira Cooper - 31/01/2025 15:45:18</t>
  </si>
  <si>
    <t>Weslley Ferreira Cooper - 31/01/2025 15:45:17</t>
  </si>
  <si>
    <t>Weslley Ferreira Cooper - 31/01/2025 15:45:14</t>
  </si>
  <si>
    <t>Weslley Ferreira Cooper - 31/01/2025 15:45:12</t>
  </si>
  <si>
    <t>Weslley Ferreira Cooper - 31/01/2025 15:45:11</t>
  </si>
  <si>
    <t>Weslley Ferreira Cooper - 31/01/2025 15:45:10</t>
  </si>
  <si>
    <t>Alisson Airton Sobrinho - 08/02/2025 10:20:55</t>
  </si>
  <si>
    <t>Alisson Airton Sobrinho - 08/02/2025 10:20:59</t>
  </si>
  <si>
    <t>Alisson Airton Sobrinho - 04/03/2025 08:28:18</t>
  </si>
  <si>
    <t>Base de Dados_Images/XV65083.Imagem do Equipamento-.184502.jpg</t>
  </si>
  <si>
    <t>Weslley Ferreira Cooper - 31/01/2025 15:44:56</t>
  </si>
  <si>
    <t>XV65084</t>
  </si>
  <si>
    <t>Valvula De Drenagem Da Limpeza Da Dorna 07</t>
  </si>
  <si>
    <t>Alisson Airton Sobrinho - 21/01/2025 10:26:36</t>
  </si>
  <si>
    <t>Alisson Airton Sobrinho - 21/01/2025 10:26:37</t>
  </si>
  <si>
    <t>Alisson Airton Sobrinho - 21/01/2025 10:26:40</t>
  </si>
  <si>
    <t>Alisson Airton Sobrinho - 21/01/2025 10:27:02</t>
  </si>
  <si>
    <t>Alisson Airton Sobrinho - 21/01/2025 10:26:46</t>
  </si>
  <si>
    <t>Alisson Airton Sobrinho - 21/01/2025 10:27:03</t>
  </si>
  <si>
    <t>Alisson Airton Sobrinho - 21/01/2025 10:27:04</t>
  </si>
  <si>
    <t>Alisson Airton Sobrinho - 08/02/2025 10:21:06</t>
  </si>
  <si>
    <t>Alisson Airton Sobrinho - 08/02/2025 10:21:27</t>
  </si>
  <si>
    <t>Alisson Airton Sobrinho - 04/03/2025 08:28:27</t>
  </si>
  <si>
    <t>Base de Dados_Images/XV65084.Imagem do Equipamento-.163040.jpg</t>
  </si>
  <si>
    <t>Alisson Airton Sobrinho - 17/01/2025 13:30:35</t>
  </si>
  <si>
    <t>XV65085</t>
  </si>
  <si>
    <t>Válvula Vinho p/ tanque de vinho a destilar</t>
  </si>
  <si>
    <t>Libner Ferreira De Morais - 06/02/2025 14:57:26</t>
  </si>
  <si>
    <t>Libner Ferreira De Morais - 06/02/2025 14:57:28</t>
  </si>
  <si>
    <t>Libner Ferreira De Morais - 06/02/2025 14:57:29</t>
  </si>
  <si>
    <t>Libner Ferreira De Morais - 06/02/2025 14:57:31</t>
  </si>
  <si>
    <t>Libner Ferreira De Morais - 06/02/2025 14:57:33</t>
  </si>
  <si>
    <t>Libner Ferreira De Morais - 06/02/2025 14:57:37</t>
  </si>
  <si>
    <t>Libner Ferreira De Morais - 06/02/2025 14:57:36</t>
  </si>
  <si>
    <t>Libner Ferreira De Morais - 06/02/2025 14:57:35</t>
  </si>
  <si>
    <t>Alisson Airton Sobrinho - 08/02/2025 10:51:08</t>
  </si>
  <si>
    <t>Alisson Airton Sobrinho - 08/02/2025 10:51:09</t>
  </si>
  <si>
    <t>Beatriz Alves Nunes de Paulo - 06/03/2025 09:21:15</t>
  </si>
  <si>
    <t>Beatriz Alves Nunes de Paulo - 06/03/2025 09:21:18</t>
  </si>
  <si>
    <t>Base de Dados_Images/XV65085.Imagem do Equipamento-.171755.jpg</t>
  </si>
  <si>
    <t>Libner Ferreira De Morais - 05/02/2025 14:16:48</t>
  </si>
  <si>
    <t>XV65086</t>
  </si>
  <si>
    <t>Válvula manobra das dornas para centrífugas</t>
  </si>
  <si>
    <t>Libner Ferreira De Morais - 06/02/2025 14:57:07</t>
  </si>
  <si>
    <t>Libner Ferreira De Morais - 06/02/2025 14:57:08</t>
  </si>
  <si>
    <t>Libner Ferreira De Morais - 06/02/2025 14:57:10</t>
  </si>
  <si>
    <t>Libner Ferreira De Morais - 06/02/2025 14:57:12</t>
  </si>
  <si>
    <t>Libner Ferreira De Morais - 06/02/2025 14:57:13</t>
  </si>
  <si>
    <t>Libner Ferreira De Morais - 06/02/2025 14:57:15</t>
  </si>
  <si>
    <t>Libner Ferreira De Morais - 06/02/2025 14:57:16</t>
  </si>
  <si>
    <t>Libner Ferreira De Morais - 06/02/2025 14:57:18</t>
  </si>
  <si>
    <t>Alisson Airton Sobrinho - 08/02/2025 10:51:00</t>
  </si>
  <si>
    <t>Alisson Airton Sobrinho - 08/02/2025 10:51:01</t>
  </si>
  <si>
    <t>Beatriz Alves Nunes de Paulo - 06/03/2025 09:21:23</t>
  </si>
  <si>
    <t>Beatriz Alves Nunes de Paulo - 06/03/2025 09:21:27</t>
  </si>
  <si>
    <t>Base de Dados_Images/XV65086.Imagem do Equipamento-.171804.jpg</t>
  </si>
  <si>
    <t>Libner Ferreira De Morais - 05/02/2025 14:17:31</t>
  </si>
  <si>
    <t>XV65087</t>
  </si>
  <si>
    <t>Valvula De Flegmaça Limpeza Da Linha 01 De Mosto</t>
  </si>
  <si>
    <t>Libner Ferreira De Morais - 06/02/2025 11:56:52</t>
  </si>
  <si>
    <t>Libner Ferreira De Morais - 06/02/2025 11:56:54</t>
  </si>
  <si>
    <t>Libner Ferreira De Morais - 06/02/2025 11:56:57</t>
  </si>
  <si>
    <t>Libner Ferreira De Morais - 06/02/2025 11:57:00</t>
  </si>
  <si>
    <t>Libner Ferreira De Morais - 06/02/2025 11:57:02</t>
  </si>
  <si>
    <t>Libner Ferreira De Morais - 06/02/2025 11:57:05</t>
  </si>
  <si>
    <t>Libner Ferreira De Morais - 06/02/2025 11:57:07</t>
  </si>
  <si>
    <t>Libner Ferreira De Morais - 06/02/2025 11:57:09</t>
  </si>
  <si>
    <t>Alisson Airton Sobrinho - 08/02/2025 10:39:20</t>
  </si>
  <si>
    <t>Alisson Airton Sobrinho - 08/02/2025 10:39:22</t>
  </si>
  <si>
    <t>Alisson Airton Sobrinho - 15/02/2025 14:39:22</t>
  </si>
  <si>
    <t>Alisson Airton Sobrinho - 04/03/2025 08:33:36</t>
  </si>
  <si>
    <t>Base de Dados_Images/XV65087.Imagem do Equipamento-.151626.jpg</t>
  </si>
  <si>
    <t>Libner Ferreira De Morais - 06/02/2025 11:55:58</t>
  </si>
  <si>
    <t>XV65088</t>
  </si>
  <si>
    <t>Valvula De Flegmaça Limpeza Da Linha 02 De Mosto</t>
  </si>
  <si>
    <t>Libner Ferreira De Morais - 06/02/2025 11:54:53</t>
  </si>
  <si>
    <t>Libner Ferreira De Morais - 06/02/2025 11:55:00</t>
  </si>
  <si>
    <t>Libner Ferreira De Morais - 06/02/2025 11:55:02</t>
  </si>
  <si>
    <t>Libner Ferreira De Morais - 06/02/2025 11:54:59</t>
  </si>
  <si>
    <t>Libner Ferreira De Morais - 06/02/2025 11:55:11</t>
  </si>
  <si>
    <t>Libner Ferreira De Morais - 06/02/2025 11:55:10</t>
  </si>
  <si>
    <t>Libner Ferreira De Morais - 06/02/2025 11:55:14</t>
  </si>
  <si>
    <t>Libner Ferreira De Morais - 06/02/2025 11:55:16</t>
  </si>
  <si>
    <t>Alisson Airton Sobrinho - 08/02/2025 10:39:30</t>
  </si>
  <si>
    <t>Alisson Airton Sobrinho - 08/02/2025 10:39:33</t>
  </si>
  <si>
    <t>Alisson Airton Sobrinho - 15/02/2025 14:38:51</t>
  </si>
  <si>
    <t>Alisson Airton Sobrinho - 04/03/2025 08:33:43</t>
  </si>
  <si>
    <t>Base de Dados_Images/XV65088.Imagem do Equipamento-.151524.jpg</t>
  </si>
  <si>
    <t>Libner Ferreira De Morais - 06/02/2025 11:54:47</t>
  </si>
  <si>
    <t>XV65089</t>
  </si>
  <si>
    <t>Valvula De Entrada De Levedura Da Cuba 01</t>
  </si>
  <si>
    <t>Alisson Airton Sobrinho - 29/01/2025 20:04:29</t>
  </si>
  <si>
    <t>Alisson Airton Sobrinho - 29/01/2025 20:04:31</t>
  </si>
  <si>
    <t>Alisson Airton Sobrinho - 29/01/2025 20:04:33</t>
  </si>
  <si>
    <t>Alisson Airton Sobrinho - 29/01/2025 20:04:34</t>
  </si>
  <si>
    <t>Alisson Airton Sobrinho - 29/01/2025 20:04:35</t>
  </si>
  <si>
    <t>Alisson Airton Sobrinho - 29/01/2025 20:04:36</t>
  </si>
  <si>
    <t>Alisson Airton Sobrinho - 03/03/2025 09:13:38</t>
  </si>
  <si>
    <t>Alisson Airton Sobrinho - 03/03/2025 09:13:39</t>
  </si>
  <si>
    <t>Alisson Airton Sobrinho - 03/03/2025 09:13:42</t>
  </si>
  <si>
    <t>Alisson Airton Sobrinho - 04/03/2025 07:54:05</t>
  </si>
  <si>
    <t>Base de Dados_Images/XV65089.Imagem do Equipamento-.230516.jpg</t>
  </si>
  <si>
    <t>Alisson Airton Sobrinho - 29/01/2025 20:04:07</t>
  </si>
  <si>
    <t>XV65090</t>
  </si>
  <si>
    <t>Valvula De Entrada De Agua Da Cuba 01</t>
  </si>
  <si>
    <t>Alisson Airton Sobrinho - 29/01/2025 19:57:04</t>
  </si>
  <si>
    <t>Alisson Airton Sobrinho - 29/01/2025 19:57:06</t>
  </si>
  <si>
    <t>Alisson Airton Sobrinho - 29/01/2025 19:57:08</t>
  </si>
  <si>
    <t>Alisson Airton Sobrinho - 29/01/2025 19:57:10</t>
  </si>
  <si>
    <t>Alisson Airton Sobrinho - 29/01/2025 19:57:11</t>
  </si>
  <si>
    <t>Alisson Airton Sobrinho - 03/03/2025 09:14:08</t>
  </si>
  <si>
    <t>Alisson Airton Sobrinho - 03/03/2025 09:14:09</t>
  </si>
  <si>
    <t>Alisson Airton Sobrinho - 03/03/2025 09:14:12</t>
  </si>
  <si>
    <t>Alisson Airton Sobrinho - 04/03/2025 07:54:10</t>
  </si>
  <si>
    <t>Base de Dados_Images/XV65090.Imagem do Equipamento-.225703.jpg</t>
  </si>
  <si>
    <t>Alisson Airton Sobrinho - 29/01/2025 19:56:58</t>
  </si>
  <si>
    <t>XV65091</t>
  </si>
  <si>
    <t>Valvula De Entrada De Acido Da Cuba 01</t>
  </si>
  <si>
    <t>Alisson Airton Sobrinho - 29/01/2025 19:59:48</t>
  </si>
  <si>
    <t>Alisson Airton Sobrinho - 29/01/2025 19:59:49</t>
  </si>
  <si>
    <t>Alisson Airton Sobrinho - 29/01/2025 19:59:51</t>
  </si>
  <si>
    <t>Alisson Airton Sobrinho - 29/01/2025 19:59:52</t>
  </si>
  <si>
    <t>Alisson Airton Sobrinho - 29/01/2025 19:59:54</t>
  </si>
  <si>
    <t>Alisson Airton Sobrinho - 29/01/2025 19:59:55</t>
  </si>
  <si>
    <t>Alisson Airton Sobrinho - 03/03/2025 09:13:48</t>
  </si>
  <si>
    <t>Alisson Airton Sobrinho - 03/03/2025 09:13:49</t>
  </si>
  <si>
    <t>Alisson Airton Sobrinho - 03/03/2025 09:13:52</t>
  </si>
  <si>
    <t>Alisson Airton Sobrinho - 04/03/2025 07:54:15</t>
  </si>
  <si>
    <t>Base de Dados_Images/XV65091.Imagem do Equipamento-.225946.jpg</t>
  </si>
  <si>
    <t>Alisson Airton Sobrinho - 29/01/2025 19:59:39</t>
  </si>
  <si>
    <t>XV65092</t>
  </si>
  <si>
    <t>Valvula De Dreno Da Cuba 01</t>
  </si>
  <si>
    <t>Alisson Airton Sobrinho - 17/01/2025 15:05:49</t>
  </si>
  <si>
    <t>Alisson Airton Sobrinho - 17/01/2025 15:05:50</t>
  </si>
  <si>
    <t>Alisson Airton Sobrinho - 17/01/2025 15:05:52</t>
  </si>
  <si>
    <t>Alisson Airton Sobrinho - 17/01/2025 15:05:54</t>
  </si>
  <si>
    <t>Alisson Airton Sobrinho - 17/01/2025 15:05:55</t>
  </si>
  <si>
    <t>Alisson Airton Sobrinho - 17/01/2025 15:05:56</t>
  </si>
  <si>
    <t>Alisson Airton Sobrinho - 17/01/2025 15:05:58</t>
  </si>
  <si>
    <t>Alisson Airton Sobrinho - 17/01/2025 15:06:00</t>
  </si>
  <si>
    <t>Alisson Airton Sobrinho - 03/03/2025 09:13:57</t>
  </si>
  <si>
    <t>Alisson Airton Sobrinho - 03/03/2025 09:13:58</t>
  </si>
  <si>
    <t>Rafael Roldão Rodrigues - 03/03/2025 12:32:14</t>
  </si>
  <si>
    <t>Alisson Airton Sobrinho - 04/03/2025 07:54:22</t>
  </si>
  <si>
    <t>Base de Dados_Images/XV65092.Imagem do Equipamento-.163707.jpg</t>
  </si>
  <si>
    <t>Alisson Airton Sobrinho - 17/01/2025 13:37:02</t>
  </si>
  <si>
    <t>XV65093</t>
  </si>
  <si>
    <t>Valvula De Entrada De Levedura Da Cuba 02</t>
  </si>
  <si>
    <t>Alisson Airton Sobrinho - 29/01/2025 20:03:19</t>
  </si>
  <si>
    <t>Alisson Airton Sobrinho - 29/01/2025 20:03:20</t>
  </si>
  <si>
    <t>Alisson Airton Sobrinho - 29/01/2025 20:03:30</t>
  </si>
  <si>
    <t>Alisson Airton Sobrinho - 29/01/2025 20:03:21</t>
  </si>
  <si>
    <t>Alisson Airton Sobrinho - 29/01/2025 20:03:24</t>
  </si>
  <si>
    <t>Alisson Airton Sobrinho - 29/01/2025 20:03:29</t>
  </si>
  <si>
    <t>Alisson Airton Sobrinho - 29/01/2025 20:03:32</t>
  </si>
  <si>
    <t>Alisson Airton Sobrinho - 29/01/2025 20:03:33</t>
  </si>
  <si>
    <t>Libner Ferreira De Morais - 07/02/2025 15:00:08</t>
  </si>
  <si>
    <t>Libner Ferreira De Morais - 07/02/2025 15:00:09</t>
  </si>
  <si>
    <t>Alisson Airton Sobrinho - 04/03/2025 07:54:53</t>
  </si>
  <si>
    <t>Alisson Airton Sobrinho - 04/03/2025 07:54:58</t>
  </si>
  <si>
    <t>Base de Dados_Images/XV65093.Imagem do Equipamento-.230432.jpg</t>
  </si>
  <si>
    <t>Alisson Airton Sobrinho - 29/01/2025 20:03:15</t>
  </si>
  <si>
    <t>XV65094</t>
  </si>
  <si>
    <t>Valvula De Entrada De Agua Da Cuba 02</t>
  </si>
  <si>
    <t>Alisson Airton Sobrinho - 29/01/2025 20:02:02</t>
  </si>
  <si>
    <t>Alisson Airton Sobrinho - 29/01/2025 20:02:06</t>
  </si>
  <si>
    <t>Alisson Airton Sobrinho - 29/01/2025 20:02:04</t>
  </si>
  <si>
    <t>Alisson Airton Sobrinho - 29/01/2025 20:02:05</t>
  </si>
  <si>
    <t>Alisson Airton Sobrinho - 29/01/2025 20:02:18</t>
  </si>
  <si>
    <t>Alisson Airton Sobrinho - 29/01/2025 20:02:17</t>
  </si>
  <si>
    <t>Alisson Airton Sobrinho - 29/01/2025 20:02:23</t>
  </si>
  <si>
    <t>Alisson Airton Sobrinho - 29/01/2025 20:02:26</t>
  </si>
  <si>
    <t>Libner Ferreira De Morais - 07/02/2025 15:00:19</t>
  </si>
  <si>
    <t>Libner Ferreira De Morais - 07/02/2025 15:00:21</t>
  </si>
  <si>
    <t>Rafael Roldão Rodrigues - 03/03/2025 12:33:25</t>
  </si>
  <si>
    <t>Alisson Airton Sobrinho - 04/03/2025 07:55:03</t>
  </si>
  <si>
    <t>Base de Dados_Images/XV65094.Imagem do Equipamento-.230313.jpg</t>
  </si>
  <si>
    <t>Alisson Airton Sobrinho - 29/01/2025 20:01:42</t>
  </si>
  <si>
    <t>XV65095</t>
  </si>
  <si>
    <t>Valvula De Entrada De Acido Da Cuba 02</t>
  </si>
  <si>
    <t>Alisson Airton Sobrinho - 29/01/2025 20:01:16</t>
  </si>
  <si>
    <t>Alisson Airton Sobrinho - 29/01/2025 20:01:19</t>
  </si>
  <si>
    <t>Alisson Airton Sobrinho - 29/01/2025 20:01:17</t>
  </si>
  <si>
    <t>Alisson Airton Sobrinho - 29/01/2025 20:01:21</t>
  </si>
  <si>
    <t>Alisson Airton Sobrinho - 29/01/2025 20:01:22</t>
  </si>
  <si>
    <t>Alisson Airton Sobrinho - 29/01/2025 20:01:23</t>
  </si>
  <si>
    <t>Alisson Airton Sobrinho - 03/03/2025 09:11:25</t>
  </si>
  <si>
    <t>Alisson Airton Sobrinho - 03/03/2025 09:11:29</t>
  </si>
  <si>
    <t>Alisson Airton Sobrinho - 04/03/2025 07:55:07</t>
  </si>
  <si>
    <t>Base de Dados_Images/XV65095.Imagem do Equipamento-.230127.jpg</t>
  </si>
  <si>
    <t>Alisson Airton Sobrinho - 29/01/2025 20:01:12</t>
  </si>
  <si>
    <t>XV65096</t>
  </si>
  <si>
    <t>Valvula De Dreno Da Cuba 02</t>
  </si>
  <si>
    <t>Alisson Airton Sobrinho - 17/01/2025 15:12:05</t>
  </si>
  <si>
    <t>Alisson Airton Sobrinho - 17/01/2025 15:12:07</t>
  </si>
  <si>
    <t>Alisson Airton Sobrinho - 17/01/2025 15:12:09</t>
  </si>
  <si>
    <t>Alisson Airton Sobrinho - 17/01/2025 15:12:10</t>
  </si>
  <si>
    <t>Alisson Airton Sobrinho - 17/01/2025 15:12:11</t>
  </si>
  <si>
    <t>Alisson Airton Sobrinho - 17/01/2025 15:12:14</t>
  </si>
  <si>
    <t>Alisson Airton Sobrinho - 17/01/2025 15:12:15</t>
  </si>
  <si>
    <t>Alisson Airton Sobrinho - 17/01/2025 15:12:16</t>
  </si>
  <si>
    <t>Alisson Airton Sobrinho - 03/03/2025 09:13:01</t>
  </si>
  <si>
    <t>Alisson Airton Sobrinho - 03/03/2025 09:13:02</t>
  </si>
  <si>
    <t>Alisson Airton Sobrinho - 03/03/2025 09:13:06</t>
  </si>
  <si>
    <t>Alisson Airton Sobrinho - 04/03/2025 07:55:12</t>
  </si>
  <si>
    <t>Base de Dados_Images/XV65096.Imagem do Equipamento-.164143.jpg</t>
  </si>
  <si>
    <t>Alisson Airton Sobrinho - 17/01/2025 13:41:38</t>
  </si>
  <si>
    <t>XV65097</t>
  </si>
  <si>
    <t>Valvula De Entrada De Levedura Da Cuba 03</t>
  </si>
  <si>
    <t>Alisson Airton Sobrinho - 29/01/2025 20:02:48</t>
  </si>
  <si>
    <t>Alisson Airton Sobrinho - 29/01/2025 20:02:50</t>
  </si>
  <si>
    <t>Alisson Airton Sobrinho - 29/01/2025 20:02:49</t>
  </si>
  <si>
    <t>Alisson Airton Sobrinho - 29/01/2025 20:02:52</t>
  </si>
  <si>
    <t>Alisson Airton Sobrinho - 29/01/2025 20:02:53</t>
  </si>
  <si>
    <t>Alisson Airton Sobrinho - 03/03/2025 09:12:19</t>
  </si>
  <si>
    <t>Alisson Airton Sobrinho - 03/03/2025 09:12:23</t>
  </si>
  <si>
    <t>Beatriz Alves Nunes de Paulo - 06/03/2025 09:19:04</t>
  </si>
  <si>
    <t>Base de Dados_Images/XV65097.Imagem do Equipamento-.230351.jpg</t>
  </si>
  <si>
    <t>Alisson Airton Sobrinho - 29/01/2025 20:02:43</t>
  </si>
  <si>
    <t>XV65098</t>
  </si>
  <si>
    <t>Valvula De Entrada De Agua Da Cuba 03</t>
  </si>
  <si>
    <t>Alisson Airton Sobrinho - 29/01/2025 20:07:46</t>
  </si>
  <si>
    <t>Alisson Airton Sobrinho - 29/01/2025 20:07:47</t>
  </si>
  <si>
    <t>Alisson Airton Sobrinho - 29/01/2025 20:07:51</t>
  </si>
  <si>
    <t>Alisson Airton Sobrinho - 29/01/2025 20:07:49</t>
  </si>
  <si>
    <t>Alisson Airton Sobrinho - 29/01/2025 20:07:55</t>
  </si>
  <si>
    <t>Alisson Airton Sobrinho - 29/01/2025 20:07:53</t>
  </si>
  <si>
    <t>Alisson Airton Sobrinho - 03/03/2025 09:12:28</t>
  </si>
  <si>
    <t>Alisson Airton Sobrinho - 03/03/2025 09:12:29</t>
  </si>
  <si>
    <t>Alisson Airton Sobrinho - 03/03/2025 09:12:33</t>
  </si>
  <si>
    <t>Beatriz Alves Nunes de Paulo - 06/03/2025 09:19:10</t>
  </si>
  <si>
    <t>Base de Dados_Images/XV65098.Imagem do Equipamento-.230831.jpg</t>
  </si>
  <si>
    <t>Alisson Airton Sobrinho - 29/01/2025 20:07:41</t>
  </si>
  <si>
    <t>XV65099</t>
  </si>
  <si>
    <t>Valvula De Entrada De Acido Da Cuba 03</t>
  </si>
  <si>
    <t>Alisson Airton Sobrinho - 29/01/2025 20:08:51</t>
  </si>
  <si>
    <t>Alisson Airton Sobrinho - 29/01/2025 20:08:52</t>
  </si>
  <si>
    <t>Alisson Airton Sobrinho - 29/01/2025 20:08:56</t>
  </si>
  <si>
    <t>Alisson Airton Sobrinho - 29/01/2025 20:08:55</t>
  </si>
  <si>
    <t>Alisson Airton Sobrinho - 29/01/2025 20:08:57</t>
  </si>
  <si>
    <t>Alisson Airton Sobrinho - 29/01/2025 20:09:00</t>
  </si>
  <si>
    <t>Alisson Airton Sobrinho - 03/03/2025 09:12:37</t>
  </si>
  <si>
    <t>Alisson Airton Sobrinho - 03/03/2025 09:12:38</t>
  </si>
  <si>
    <t>Alisson Airton Sobrinho - 03/03/2025 09:12:41</t>
  </si>
  <si>
    <t>Beatriz Alves Nunes de Paulo - 06/03/2025 09:19:15</t>
  </si>
  <si>
    <t>Base de Dados_Images/XV65099.Imagem do Equipamento-.230907.jpg</t>
  </si>
  <si>
    <t>Alisson Airton Sobrinho - 29/01/2025 20:08:41</t>
  </si>
  <si>
    <t>XV65100</t>
  </si>
  <si>
    <t>Valvula De Dreno Da Cuba 03</t>
  </si>
  <si>
    <t>Alisson Airton Sobrinho - 29/01/2025 20:09:57</t>
  </si>
  <si>
    <t>Alisson Airton Sobrinho - 29/01/2025 20:09:59</t>
  </si>
  <si>
    <t>Alisson Airton Sobrinho - 29/01/2025 20:10:00</t>
  </si>
  <si>
    <t>Alisson Airton Sobrinho - 29/01/2025 20:10:04</t>
  </si>
  <si>
    <t>Alisson Airton Sobrinho - 29/01/2025 20:10:02</t>
  </si>
  <si>
    <t>Alisson Airton Sobrinho - 29/01/2025 20:10:03</t>
  </si>
  <si>
    <t>Alisson Airton Sobrinho - 29/01/2025 20:10:06</t>
  </si>
  <si>
    <t>Alisson Airton Sobrinho - 03/03/2025 09:12:47</t>
  </si>
  <si>
    <t>Alisson Airton Sobrinho - 03/03/2025 09:12:51</t>
  </si>
  <si>
    <t>Beatriz Alves Nunes de Paulo - 06/03/2025 09:19:21</t>
  </si>
  <si>
    <t>Base de Dados_Images/XV65100.Imagem do Equipamento-.230956.jpg</t>
  </si>
  <si>
    <t>Alisson Airton Sobrinho - 29/01/2025 20:09:47</t>
  </si>
  <si>
    <t>XV65101</t>
  </si>
  <si>
    <t>Válvula Entrada Água Centrífuga 1</t>
  </si>
  <si>
    <t>Weslley Ferreira Cooper - 30/01/2025 08:48:08</t>
  </si>
  <si>
    <t>Weslley Ferreira Cooper - 30/01/2025 08:48:07</t>
  </si>
  <si>
    <t>Weslley Ferreira Cooper - 30/01/2025 08:48:06</t>
  </si>
  <si>
    <t>Weslley Ferreira Cooper - 30/01/2025 08:48:12</t>
  </si>
  <si>
    <t>Weslley Ferreira Cooper - 30/01/2025 08:48:11</t>
  </si>
  <si>
    <t>Weslley Ferreira Cooper - 30/01/2025 08:48:10</t>
  </si>
  <si>
    <t>Rafael Roldão Rodrigues - 04/03/2025 14:48:25</t>
  </si>
  <si>
    <t>Rafael Roldão Rodrigues - 04/03/2025 14:48:26</t>
  </si>
  <si>
    <t>Rafael Roldão Rodrigues - 04/03/2025 14:48:50</t>
  </si>
  <si>
    <t>Alisson Airton Sobrinho - 07/03/2025 07:29:21</t>
  </si>
  <si>
    <t>Base de Dados_Images/XV65101.Imagem do Equipamento-.125406.jpg</t>
  </si>
  <si>
    <t>Weslley Ferreira Cooper - 30/01/2025 08:48:02</t>
  </si>
  <si>
    <t>XV65102</t>
  </si>
  <si>
    <t>Válvula Entrada Água Centrífuga 2</t>
  </si>
  <si>
    <t>Weslley Ferreira Cooper - 30/01/2025 08:53:55</t>
  </si>
  <si>
    <t>Weslley Ferreira Cooper - 30/01/2025 08:53:56</t>
  </si>
  <si>
    <t>Weslley Ferreira Cooper - 30/01/2025 08:53:58</t>
  </si>
  <si>
    <t>Weslley Ferreira Cooper - 30/01/2025 08:53:57</t>
  </si>
  <si>
    <t>Weslley Ferreira Cooper - 30/01/2025 08:54:01</t>
  </si>
  <si>
    <t>Weslley Ferreira Cooper - 30/01/2025 08:54:00</t>
  </si>
  <si>
    <t>Alisson Airton Sobrinho - 10/03/2025 11:25:44</t>
  </si>
  <si>
    <t>Alisson Airton Sobrinho - 10/03/2025 11:25:45</t>
  </si>
  <si>
    <t>Alisson Airton Sobrinho - 10/03/2025 11:25:48</t>
  </si>
  <si>
    <t>Alisson Airton Sobrinho - 10/03/2025 11:25:51</t>
  </si>
  <si>
    <t>Base de Dados_Images/XV65102.Imagem do Equipamento-.125839.jpg</t>
  </si>
  <si>
    <t>Weslley Ferreira Cooper - 30/01/2025 08:53:51</t>
  </si>
  <si>
    <t>XV65103</t>
  </si>
  <si>
    <t>Válvula Entrada Água Centrífuga 3</t>
  </si>
  <si>
    <t>Weslley Ferreira Cooper - 30/01/2025 08:54:59</t>
  </si>
  <si>
    <t>Weslley Ferreira Cooper - 30/01/2025 08:54:58</t>
  </si>
  <si>
    <t>Weslley Ferreira Cooper - 30/01/2025 08:54:57</t>
  </si>
  <si>
    <t>Weslley Ferreira Cooper - 30/01/2025 08:55:02</t>
  </si>
  <si>
    <t>Weslley Ferreira Cooper - 30/01/2025 08:55:01</t>
  </si>
  <si>
    <t>Alisson Airton Sobrinho - 05/03/2025 14:35:30</t>
  </si>
  <si>
    <t>Alisson Airton Sobrinho - 05/03/2025 14:35:35</t>
  </si>
  <si>
    <t>Alisson Airton Sobrinho - 05/03/2025 14:35:38</t>
  </si>
  <si>
    <t>Base de Dados_Images/XV65103.Imagem do Equipamento-.125953.jpg</t>
  </si>
  <si>
    <t>Weslley Ferreira Cooper - 30/01/2025 08:54:51</t>
  </si>
  <si>
    <t>XV65104</t>
  </si>
  <si>
    <t>Válvula Entrada Água Centrífuga 4</t>
  </si>
  <si>
    <t>Weslley Ferreira Cooper - 30/01/2025 08:59:43</t>
  </si>
  <si>
    <t>Weslley Ferreira Cooper - 30/01/2025 08:59:42</t>
  </si>
  <si>
    <t>Weslley Ferreira Cooper - 30/01/2025 08:59:46</t>
  </si>
  <si>
    <t>Weslley Ferreira Cooper - 30/01/2025 08:59:45</t>
  </si>
  <si>
    <t>Alisson Airton Sobrinho - 05/03/2025 14:38:07</t>
  </si>
  <si>
    <t>Alisson Airton Sobrinho - 05/03/2025 14:38:08</t>
  </si>
  <si>
    <t>Alisson Airton Sobrinho - 05/03/2025 14:38:12</t>
  </si>
  <si>
    <t>Alisson Airton Sobrinho - 05/03/2025 14:38:15</t>
  </si>
  <si>
    <t>Base de Dados_Images/XV65104.Imagem do Equipamento-.130416.jpg</t>
  </si>
  <si>
    <t>Weslley Ferreira Cooper - 30/01/2025 08:59:38</t>
  </si>
  <si>
    <t>XV65105</t>
  </si>
  <si>
    <t>Válvula De Amostragem De Mosto Da Linha 01</t>
  </si>
  <si>
    <t>Libner Ferreira De Morais - 06/02/2025 13:09:34</t>
  </si>
  <si>
    <t>Libner Ferreira De Morais - 06/02/2025 13:09:33</t>
  </si>
  <si>
    <t>Libner Ferreira De Morais - 06/02/2025 13:09:36</t>
  </si>
  <si>
    <t>Libner Ferreira De Morais - 06/02/2025 13:09:38</t>
  </si>
  <si>
    <t>Libner Ferreira De Morais - 06/02/2025 13:09:39</t>
  </si>
  <si>
    <t>Libner Ferreira De Morais - 06/02/2025 13:09:41</t>
  </si>
  <si>
    <t>Libner Ferreira De Morais - 06/02/2025 13:09:42</t>
  </si>
  <si>
    <t>Libner Ferreira De Morais - 06/02/2025 13:09:44</t>
  </si>
  <si>
    <t>Alisson Airton Sobrinho - 08/02/2025 10:39:42</t>
  </si>
  <si>
    <t>Alisson Airton Sobrinho - 15/02/2025 14:39:52</t>
  </si>
  <si>
    <t>Alisson Airton Sobrinho - 04/03/2025 08:33:50</t>
  </si>
  <si>
    <t>Base de Dados_Images/XV65105.Imagem do Equipamento-.181035.jpg</t>
  </si>
  <si>
    <t>Libner Ferreira De Morais - 05/02/2025 15:10:28</t>
  </si>
  <si>
    <t>XV65106</t>
  </si>
  <si>
    <t>Válvula De Amostragem De Mosto Da Linha 02</t>
  </si>
  <si>
    <t>Weslley Ferreira Cooper - 30/01/2025 09:35:21</t>
  </si>
  <si>
    <t>Weslley Ferreira Cooper - 30/01/2025 09:35:20</t>
  </si>
  <si>
    <t>Weslley Ferreira Cooper - 30/01/2025 09:35:19</t>
  </si>
  <si>
    <t>Weslley Ferreira Cooper - 30/01/2025 09:35:17</t>
  </si>
  <si>
    <t>Weslley Ferreira Cooper - 30/01/2025 09:35:15</t>
  </si>
  <si>
    <t>Weslley Ferreira Cooper - 30/01/2025 09:35:14</t>
  </si>
  <si>
    <t>Weslley Ferreira Cooper - 30/01/2025 09:35:13</t>
  </si>
  <si>
    <t>Weslley Ferreira Cooper - 30/01/2025 09:35:11</t>
  </si>
  <si>
    <t>Alisson Airton Sobrinho - 08/02/2025 10:39:48</t>
  </si>
  <si>
    <t>Alisson Airton Sobrinho - 08/02/2025 10:39:49</t>
  </si>
  <si>
    <t>Alisson Airton Sobrinho - 15/02/2025 14:40:09</t>
  </si>
  <si>
    <t>Alisson Airton Sobrinho - 04/03/2025 08:33:57</t>
  </si>
  <si>
    <t>Base de Dados_Images/XV65106.Imagem do Equipamento-.131729.jpg</t>
  </si>
  <si>
    <t>Weslley Ferreira Cooper - 30/01/2025 09:35:05</t>
  </si>
  <si>
    <t>XV65107</t>
  </si>
  <si>
    <t>Válvula De Mosto De Entrada Regenerador 01</t>
  </si>
  <si>
    <t>Libner Ferreira De Morais - 06/02/2025 15:00:52</t>
  </si>
  <si>
    <t>Libner Ferreira De Morais - 06/02/2025 15:00:54</t>
  </si>
  <si>
    <t>Libner Ferreira De Morais - 06/02/2025 15:01:00</t>
  </si>
  <si>
    <t>Libner Ferreira De Morais - 06/02/2025 15:01:01</t>
  </si>
  <si>
    <t>Libner Ferreira De Morais - 06/02/2025 15:01:04</t>
  </si>
  <si>
    <t>Libner Ferreira De Morais - 06/02/2025 15:01:05</t>
  </si>
  <si>
    <t>Libner Ferreira De Morais - 06/02/2025 15:01:07</t>
  </si>
  <si>
    <t>Libner Ferreira De Morais - 06/02/2025 15:01:08</t>
  </si>
  <si>
    <t>Alisson Airton Sobrinho - 08/02/2025 14:15:01</t>
  </si>
  <si>
    <t>Alisson Airton Sobrinho - 08/02/2025 14:15:02</t>
  </si>
  <si>
    <t>Rafael Roldão Rodrigues - 03/03/2025 12:36:50</t>
  </si>
  <si>
    <t>Alisson Airton Sobrinho - 04/03/2025 09:01:08</t>
  </si>
  <si>
    <t>Base de Dados_Images/XV65107.Imagem do Equipamento-.170502.jpg</t>
  </si>
  <si>
    <t>Libner Ferreira De Morais - 05/02/2025 13:46:01</t>
  </si>
  <si>
    <t>XV65108</t>
  </si>
  <si>
    <t>Válvula De Flegmaça Limpeza Regenerador 01</t>
  </si>
  <si>
    <t>Libner Ferreira De Morais - 06/02/2025 15:01:44</t>
  </si>
  <si>
    <t>Libner Ferreira De Morais - 06/02/2025 15:01:46</t>
  </si>
  <si>
    <t>Libner Ferreira De Morais - 06/02/2025 15:01:47</t>
  </si>
  <si>
    <t>Libner Ferreira De Morais - 06/02/2025 15:01:49</t>
  </si>
  <si>
    <t>Libner Ferreira De Morais - 06/02/2025 15:01:50</t>
  </si>
  <si>
    <t>Libner Ferreira De Morais - 06/02/2025 15:01:52</t>
  </si>
  <si>
    <t>Libner Ferreira De Morais - 06/02/2025 15:01:53</t>
  </si>
  <si>
    <t>Libner Ferreira De Morais - 06/02/2025 15:01:55</t>
  </si>
  <si>
    <t>Libner Ferreira De Morais - 06/02/2025 15:02:01</t>
  </si>
  <si>
    <t>Libner Ferreira De Morais - 06/02/2025 15:02:02</t>
  </si>
  <si>
    <t>Rafael Roldão Rodrigues - 03/03/2025 12:36:56</t>
  </si>
  <si>
    <t>Alisson Airton Sobrinho - 04/03/2025 09:01:13</t>
  </si>
  <si>
    <t>Base de Dados_Images/XV65108.Imagem do Equipamento-.170511.jpg</t>
  </si>
  <si>
    <t>Libner Ferreira De Morais - 05/02/2025 13:46:20</t>
  </si>
  <si>
    <t>XV65109</t>
  </si>
  <si>
    <t>Válvula De Mosto De Entrada Regenerador 02</t>
  </si>
  <si>
    <t>Libner Ferreira De Morais - 06/02/2025 15:03:10</t>
  </si>
  <si>
    <t>Libner Ferreira De Morais - 06/02/2025 15:03:11</t>
  </si>
  <si>
    <t>Libner Ferreira De Morais - 06/02/2025 15:03:13</t>
  </si>
  <si>
    <t>Libner Ferreira De Morais - 06/02/2025 15:03:14</t>
  </si>
  <si>
    <t>Libner Ferreira De Morais - 06/02/2025 15:03:17</t>
  </si>
  <si>
    <t>Libner Ferreira De Morais - 06/02/2025 15:03:15</t>
  </si>
  <si>
    <t>Libner Ferreira De Morais - 06/02/2025 15:03:18</t>
  </si>
  <si>
    <t>Libner Ferreira De Morais - 06/02/2025 15:03:20</t>
  </si>
  <si>
    <t>Libner Ferreira De Morais - 06/02/2025 15:03:27</t>
  </si>
  <si>
    <t>Libner Ferreira De Morais - 06/02/2025 15:03:28</t>
  </si>
  <si>
    <t>Rafael Roldão Rodrigues - 03/03/2025 12:39:30</t>
  </si>
  <si>
    <t>Alisson Airton Sobrinho - 04/03/2025 09:01:32</t>
  </si>
  <si>
    <t>Base de Dados_Images/XV65109.Imagem do Equipamento-.172828.jpg</t>
  </si>
  <si>
    <t>Alisson Airton Sobrinho - 17/01/2025 14:28:13</t>
  </si>
  <si>
    <t>XV65110</t>
  </si>
  <si>
    <t>Válvula De Flegmaça Limpeza Regenerador 02</t>
  </si>
  <si>
    <t>Libner Ferreira De Morais - 06/02/2025 15:03:37</t>
  </si>
  <si>
    <t>Libner Ferreira De Morais - 06/02/2025 15:03:38</t>
  </si>
  <si>
    <t>Libner Ferreira De Morais - 06/02/2025 15:03:41</t>
  </si>
  <si>
    <t>Libner Ferreira De Morais - 06/02/2025 15:03:43</t>
  </si>
  <si>
    <t>Libner Ferreira De Morais - 06/02/2025 15:03:45</t>
  </si>
  <si>
    <t>Libner Ferreira De Morais - 06/02/2025 15:03:46</t>
  </si>
  <si>
    <t>Libner Ferreira De Morais - 06/02/2025 15:03:47</t>
  </si>
  <si>
    <t>Libner Ferreira De Morais - 06/02/2025 15:03:49</t>
  </si>
  <si>
    <t>Libner Ferreira De Morais - 06/02/2025 15:03:57</t>
  </si>
  <si>
    <t>Libner Ferreira De Morais - 06/02/2025 15:03:58</t>
  </si>
  <si>
    <t>Rafael Roldão Rodrigues - 03/03/2025 12:39:37</t>
  </si>
  <si>
    <t>Alisson Airton Sobrinho - 04/03/2025 09:01:36</t>
  </si>
  <si>
    <t>Base de Dados_Images/XV65110.Imagem do Equipamento-.170519.jpg</t>
  </si>
  <si>
    <t>Libner Ferreira De Morais - 05/02/2025 13:47:29</t>
  </si>
  <si>
    <t>Tanque Dreno</t>
  </si>
  <si>
    <t>XV65111</t>
  </si>
  <si>
    <t>Válvula De Vinho Bruto Para Tanque De Dreno</t>
  </si>
  <si>
    <t>Libner Ferreira De Morais - 06/02/2025 15:07:02</t>
  </si>
  <si>
    <t>Libner Ferreira De Morais - 06/02/2025 15:07:04</t>
  </si>
  <si>
    <t>Libner Ferreira De Morais - 06/02/2025 15:07:05</t>
  </si>
  <si>
    <t>Libner Ferreira De Morais - 06/02/2025 15:07:19</t>
  </si>
  <si>
    <t>Libner Ferreira De Morais - 06/02/2025 15:07:20</t>
  </si>
  <si>
    <t>Libner Ferreira De Morais - 06/02/2025 15:07:29</t>
  </si>
  <si>
    <t>Libner Ferreira De Morais - 06/02/2025 15:07:30</t>
  </si>
  <si>
    <t>Libner Ferreira De Morais - 06/02/2025 15:07:32</t>
  </si>
  <si>
    <t>Libner Ferreira De Morais - 06/02/2025 15:08:35</t>
  </si>
  <si>
    <t>Libner Ferreira De Morais - 06/02/2025 15:08:36</t>
  </si>
  <si>
    <t>Rafael Roldão Rodrigues - 03/03/2025 12:45:19</t>
  </si>
  <si>
    <t>Beatriz Alves Nunes de Paulo - 06/03/2025 09:23:56</t>
  </si>
  <si>
    <t>Base de Dados_Images/XV65111.Imagem do Equipamento-.171325.jpg</t>
  </si>
  <si>
    <t>Alisson Airton Sobrinho - 17/01/2025 14:13:18</t>
  </si>
  <si>
    <t>XV65112</t>
  </si>
  <si>
    <t>Válvula De Vinho Bruto Para Vinhaça</t>
  </si>
  <si>
    <t>Libner Ferreira De Morais - 06/02/2025 15:08:11</t>
  </si>
  <si>
    <t>Libner Ferreira De Morais - 06/02/2025 15:08:13</t>
  </si>
  <si>
    <t>Libner Ferreira De Morais - 06/02/2025 15:08:14</t>
  </si>
  <si>
    <t>Libner Ferreira De Morais - 06/02/2025 15:08:16</t>
  </si>
  <si>
    <t>Libner Ferreira De Morais - 06/02/2025 15:08:17</t>
  </si>
  <si>
    <t>Libner Ferreira De Morais - 06/02/2025 15:08:19</t>
  </si>
  <si>
    <t>Libner Ferreira De Morais - 06/02/2025 15:08:20</t>
  </si>
  <si>
    <t>Libner Ferreira De Morais - 06/02/2025 15:08:25</t>
  </si>
  <si>
    <t>Libner Ferreira De Morais - 06/02/2025 15:08:44</t>
  </si>
  <si>
    <t>Libner Ferreira De Morais - 06/02/2025 15:08:45</t>
  </si>
  <si>
    <t>Rafael Roldão Rodrigues - 03/03/2025 12:45:25</t>
  </si>
  <si>
    <t>Beatriz Alves Nunes de Paulo - 06/03/2025 09:24:01</t>
  </si>
  <si>
    <t>Base de Dados_Images/XV65112.Imagem do Equipamento-.171400.jpg</t>
  </si>
  <si>
    <t>Alisson Airton Sobrinho - 17/01/2025 14:13:50</t>
  </si>
  <si>
    <t>XV65113</t>
  </si>
  <si>
    <t>Valvula De Bloqueio De Soda Para Cip</t>
  </si>
  <si>
    <t>Libner Ferreira De Morais - 06/02/2025 14:09:29</t>
  </si>
  <si>
    <t>Libner Ferreira De Morais - 06/02/2025 14:09:31</t>
  </si>
  <si>
    <t>Libner Ferreira De Morais - 06/02/2025 14:09:34</t>
  </si>
  <si>
    <t>Libner Ferreira De Morais - 06/02/2025 14:09:35</t>
  </si>
  <si>
    <t>Libner Ferreira De Morais - 06/02/2025 14:09:36</t>
  </si>
  <si>
    <t>Libner Ferreira De Morais - 06/02/2025 14:09:38</t>
  </si>
  <si>
    <t>Alisson Airton Sobrinho - 08/02/2025 14:18:19</t>
  </si>
  <si>
    <t>Alisson Airton Sobrinho - 08/02/2025 14:18:20</t>
  </si>
  <si>
    <t>Rafael Roldão Rodrigues - 03/03/2025 12:40:53</t>
  </si>
  <si>
    <t>Alisson Airton Sobrinho - 07/03/2025 07:31:39</t>
  </si>
  <si>
    <t>Base de Dados_Images/XV65113.Imagem do Equipamento-.172525.jpg</t>
  </si>
  <si>
    <t>Alisson Airton Sobrinho - 17/01/2025 14:25:20</t>
  </si>
  <si>
    <t>XV65114</t>
  </si>
  <si>
    <t>Valvula De Bloqueio De Soda Tanques 118 E 120</t>
  </si>
  <si>
    <t>Libner Ferreira De Morais - 06/02/2025 14:09:50</t>
  </si>
  <si>
    <t>Libner Ferreira De Morais - 06/02/2025 14:09:51</t>
  </si>
  <si>
    <t>Libner Ferreira De Morais - 06/02/2025 14:09:52</t>
  </si>
  <si>
    <t>Libner Ferreira De Morais - 06/02/2025 14:09:54</t>
  </si>
  <si>
    <t>Libner Ferreira De Morais - 06/02/2025 14:09:56</t>
  </si>
  <si>
    <t>Libner Ferreira De Morais - 06/02/2025 14:09:58</t>
  </si>
  <si>
    <t>Libner Ferreira De Morais - 06/02/2025 14:10:00</t>
  </si>
  <si>
    <t>Alisson Airton Sobrinho - 08/02/2025 14:18:28</t>
  </si>
  <si>
    <t>Alisson Airton Sobrinho - 08/02/2025 14:18:29</t>
  </si>
  <si>
    <t>Rafael Roldão Rodrigues - 03/03/2025 12:41:03</t>
  </si>
  <si>
    <t>Alisson Airton Sobrinho - 07/03/2025 07:31:46</t>
  </si>
  <si>
    <t>Base de Dados_Images/XV65114.Imagem do Equipamento-.172509.jpg</t>
  </si>
  <si>
    <t>Alisson Airton Sobrinho - 17/01/2025 14:24:58</t>
  </si>
  <si>
    <t>XV65115</t>
  </si>
  <si>
    <t>Valvula De Bloqueio De Ar Comp Da Bomba De Soda</t>
  </si>
  <si>
    <t>Alisson Airton Sobrinho - 08/02/2025 07:43:26</t>
  </si>
  <si>
    <t>Alisson Airton Sobrinho - 08/02/2025 07:43:29</t>
  </si>
  <si>
    <t>Alisson Airton Sobrinho - 08/02/2025 07:43:28</t>
  </si>
  <si>
    <t>Alisson Airton Sobrinho - 08/02/2025 07:43:31</t>
  </si>
  <si>
    <t>Alisson Airton Sobrinho - 08/02/2025 07:43:34</t>
  </si>
  <si>
    <t>Alisson Airton Sobrinho - 08/02/2025 07:43:35</t>
  </si>
  <si>
    <t>Alisson Airton Sobrinho - 08/02/2025 07:43:37</t>
  </si>
  <si>
    <t>Alisson Airton Sobrinho - 08/02/2025 07:43:38</t>
  </si>
  <si>
    <t>Alisson Airton Sobrinho - 08/02/2025 07:43:46</t>
  </si>
  <si>
    <t>Alisson Airton Sobrinho - 08/02/2025 07:43:50</t>
  </si>
  <si>
    <t>Alisson Airton Sobrinho - 08/02/2025 07:44:29</t>
  </si>
  <si>
    <t>Alisson Airton Sobrinho - 07/03/2025 07:31:53</t>
  </si>
  <si>
    <t>Se encontra bloqueada</t>
  </si>
  <si>
    <t>Base de Dados_Images/XV65115.Imagem do Equipamento-.105019.jpg</t>
  </si>
  <si>
    <t>Alisson Airton Sobrinho - 08/02/2025 07:44:56</t>
  </si>
  <si>
    <t>XV65116</t>
  </si>
  <si>
    <t>Valvula De Bloqueio De Ar Comp Da Bomba De Acido 01</t>
  </si>
  <si>
    <t>Libner Ferreira De Morais - 06/02/2025 14:54:33</t>
  </si>
  <si>
    <t>Libner Ferreira De Morais - 06/02/2025 14:54:35</t>
  </si>
  <si>
    <t>Libner Ferreira De Morais - 06/02/2025 14:54:38</t>
  </si>
  <si>
    <t>Libner Ferreira De Morais - 06/02/2025 14:54:36</t>
  </si>
  <si>
    <t>Libner Ferreira De Morais - 06/02/2025 14:54:40</t>
  </si>
  <si>
    <t>Libner Ferreira De Morais - 06/02/2025 14:54:41</t>
  </si>
  <si>
    <t>Libner Ferreira De Morais - 06/02/2025 14:54:43</t>
  </si>
  <si>
    <t>Libner Ferreira De Morais - 06/02/2025 14:54:44</t>
  </si>
  <si>
    <t>Alisson Airton Sobrinho - 08/02/2025 14:44:39</t>
  </si>
  <si>
    <t>Alisson Airton Sobrinho - 08/02/2025 14:44:40</t>
  </si>
  <si>
    <t>Alisson Airton Sobrinho - 10/03/2025 11:27:35</t>
  </si>
  <si>
    <t>Alisson Airton Sobrinho - 10/03/2025 11:27:38</t>
  </si>
  <si>
    <t>Base de Dados_Images/XV65116.Imagem do Equipamento-.114411.jpg</t>
  </si>
  <si>
    <t>Alisson Airton Sobrinho - 01/02/2025 08:44:06</t>
  </si>
  <si>
    <t>XV65117</t>
  </si>
  <si>
    <t>Valvula De Bloqueio De Ar Comp Da Bomba De Acido 02</t>
  </si>
  <si>
    <t>Libner Ferreira De Morais - 06/02/2025 14:55:04</t>
  </si>
  <si>
    <t>Libner Ferreira De Morais - 06/02/2025 14:55:05</t>
  </si>
  <si>
    <t>Libner Ferreira De Morais - 06/02/2025 14:55:06</t>
  </si>
  <si>
    <t>Libner Ferreira De Morais - 06/02/2025 14:55:07</t>
  </si>
  <si>
    <t>Libner Ferreira De Morais - 06/02/2025 14:55:09</t>
  </si>
  <si>
    <t>Libner Ferreira De Morais - 06/02/2025 14:55:10</t>
  </si>
  <si>
    <t>Libner Ferreira De Morais - 06/02/2025 14:55:12</t>
  </si>
  <si>
    <t>Libner Ferreira De Morais - 06/02/2025 14:55:13</t>
  </si>
  <si>
    <t>Alisson Airton Sobrinho - 08/02/2025 14:37:25</t>
  </si>
  <si>
    <t>Alisson Airton Sobrinho - 10/03/2025 11:27:43</t>
  </si>
  <si>
    <t>Alisson Airton Sobrinho - 10/03/2025 11:27:47</t>
  </si>
  <si>
    <t>Base de Dados_Images/XV65117.Imagem do Equipamento-.114440.jpg</t>
  </si>
  <si>
    <t>Alisson Airton Sobrinho - 01/02/2025 08:44:36</t>
  </si>
  <si>
    <t>XV65118</t>
  </si>
  <si>
    <t>Valvula De Bloqueio De Ar Comp Da Bomba De Acido 03</t>
  </si>
  <si>
    <t>Libner Ferreira De Morais - 06/02/2025 14:55:25</t>
  </si>
  <si>
    <t>Libner Ferreira De Morais - 06/02/2025 14:55:26</t>
  </si>
  <si>
    <t>Libner Ferreira De Morais - 06/02/2025 14:55:27</t>
  </si>
  <si>
    <t>Libner Ferreira De Morais - 06/02/2025 14:55:29</t>
  </si>
  <si>
    <t>Libner Ferreira De Morais - 06/02/2025 14:55:31</t>
  </si>
  <si>
    <t>Libner Ferreira De Morais - 06/02/2025 14:55:32</t>
  </si>
  <si>
    <t>Libner Ferreira De Morais - 06/02/2025 14:55:34</t>
  </si>
  <si>
    <t>Alisson Airton Sobrinho - 08/02/2025 14:45:00</t>
  </si>
  <si>
    <t>Alisson Airton Sobrinho - 08/02/2025 14:45:03</t>
  </si>
  <si>
    <t>Alisson Airton Sobrinho - 10/03/2025 11:27:51</t>
  </si>
  <si>
    <t>Alisson Airton Sobrinho - 10/03/2025 11:27:55</t>
  </si>
  <si>
    <t>Base de Dados_Images/XV65118.Imagem do Equipamento-.114621.jpg</t>
  </si>
  <si>
    <t>Alisson Airton Sobrinho - 01/02/2025 08:46:17</t>
  </si>
  <si>
    <t>XV65119</t>
  </si>
  <si>
    <t>Válvula nível altíssimo coluna CO2</t>
  </si>
  <si>
    <t>Libner Ferreira De Morais - 06/02/2025 14:45:13</t>
  </si>
  <si>
    <t>Libner Ferreira De Morais - 06/02/2025 09:03:33</t>
  </si>
  <si>
    <t>Libner Ferreira De Morais - 06/02/2025 09:03:34</t>
  </si>
  <si>
    <t>Libner Ferreira De Morais - 06/02/2025 09:03:35</t>
  </si>
  <si>
    <t>Libner Ferreira De Morais - 06/02/2025 14:45:10</t>
  </si>
  <si>
    <t>Libner Ferreira De Morais - 06/02/2025 09:03:38</t>
  </si>
  <si>
    <t>Libner Ferreira De Morais - 06/02/2025 09:03:40</t>
  </si>
  <si>
    <t>Libner Ferreira De Morais - 06/02/2025 09:03:42</t>
  </si>
  <si>
    <t>Libner Ferreira De Morais - 06/02/2025 14:45:18</t>
  </si>
  <si>
    <t>Libner Ferreira De Morais - 06/02/2025 14:45:20</t>
  </si>
  <si>
    <t>Alisson Airton Sobrinho - 25/02/2025 10:15:20</t>
  </si>
  <si>
    <t>Alisson Airton Sobrinho - 04/03/2025 08:32:38</t>
  </si>
  <si>
    <t>Base de Dados_Images/XV65119.Imagem do Equipamento-.181239.jpg</t>
  </si>
  <si>
    <t>Libner Ferreira De Morais - 05/02/2025 15:12:32</t>
  </si>
  <si>
    <t>Volante De Vinho A Destilar</t>
  </si>
  <si>
    <t>XV65120</t>
  </si>
  <si>
    <t xml:space="preserve">AMOSTRADOR DE VINHO APÓS VOL. </t>
  </si>
  <si>
    <t>Alisson Airton Sobrinho - 29/01/2025 16:55:51</t>
  </si>
  <si>
    <t>Alisson Airton Sobrinho - 29/01/2025 16:55:52</t>
  </si>
  <si>
    <t>Alisson Airton Sobrinho - 29/01/2025 16:55:54</t>
  </si>
  <si>
    <t>Alisson Airton Sobrinho - 29/01/2025 16:55:55</t>
  </si>
  <si>
    <t>Alisson Airton Sobrinho - 29/01/2025 16:55:56</t>
  </si>
  <si>
    <t>Alisson Airton Sobrinho - 29/01/2025 16:55:59</t>
  </si>
  <si>
    <t>Alisson Airton Sobrinho - 29/01/2025 16:56:00</t>
  </si>
  <si>
    <t>Alisson Airton Sobrinho - 29/01/2025 16:56:01</t>
  </si>
  <si>
    <t>Alisson Airton Sobrinho - 29/01/2025 16:56:03</t>
  </si>
  <si>
    <t>Alisson Airton Sobrinho - 29/01/2025 16:56:05</t>
  </si>
  <si>
    <t>Alisson Airton Sobrinho - 29/01/2025 16:56:06</t>
  </si>
  <si>
    <t>Alisson Airton Sobrinho - 29/01/2025 16:56:08</t>
  </si>
  <si>
    <t>Alisson Airton Sobrinho - 29/01/2025 16:56:09</t>
  </si>
  <si>
    <t>Alisson Airton Sobrinho - 29/01/2025 16:56:10</t>
  </si>
  <si>
    <t>Alisson Airton Sobrinho - 29/01/2025 16:56:12</t>
  </si>
  <si>
    <t>Alisson Airton Sobrinho - 29/01/2025 16:56:15</t>
  </si>
  <si>
    <t>Alisson Airton Sobrinho - 29/01/2025 16:56:19</t>
  </si>
  <si>
    <t>Alisson Airton Sobrinho - 29/01/2025 16:56:16</t>
  </si>
  <si>
    <t>Alisson Airton Sobrinho - 29/01/2025 16:56:17</t>
  </si>
  <si>
    <t>Alisson Airton Sobrinho - 29/01/2025 16:56:22</t>
  </si>
  <si>
    <t>Alisson Airton Sobrinho - 29/01/2025 16:56:23</t>
  </si>
  <si>
    <t>Alisson Airton Sobrinho - 29/01/2025 16:56:28</t>
  </si>
  <si>
    <t>Alisson Airton Sobrinho - 29/01/2025 16:56:29</t>
  </si>
  <si>
    <t>Alisson Airton Sobrinho - 08/02/2025 13:57:12</t>
  </si>
  <si>
    <t>Alisson Airton Sobrinho - 08/02/2025 13:57:13</t>
  </si>
  <si>
    <t>Alisson Airton Sobrinho - 08/02/2025 13:57:14</t>
  </si>
  <si>
    <t>Alisson Airton Sobrinho - 08/02/2025 13:57:15</t>
  </si>
  <si>
    <t>Alisson Airton Sobrinho - 20/02/2025 11:01:22</t>
  </si>
  <si>
    <t>Alisson Airton Sobrinho - 20/02/2025 11:01:24</t>
  </si>
  <si>
    <t>Alisson Airton Sobrinho - 20/02/2025 11:01:25</t>
  </si>
  <si>
    <t>Alisson Airton Sobrinho - 20/02/2025 11:01:26</t>
  </si>
  <si>
    <t>Alisson Airton Sobrinho - 20/02/2025 11:01:27</t>
  </si>
  <si>
    <t>Base de Dados_Images/XV65120.Imagem do Equipamento-.220816.jpg</t>
  </si>
  <si>
    <t>Alisson Airton Sobrinho - 29/01/2025 16:55:42</t>
  </si>
  <si>
    <t xml:space="preserve">Tanque De Mel Final </t>
  </si>
  <si>
    <t>XV65121</t>
  </si>
  <si>
    <t xml:space="preserve">AMOSTRADOR DE MEL FINAL </t>
  </si>
  <si>
    <t>Alisson Airton Sobrinho - 08/02/2025 10:48:25</t>
  </si>
  <si>
    <t>Alisson Airton Sobrinho - 02/01/2025 10:55:50</t>
  </si>
  <si>
    <t>Alisson Airton Sobrinho - 02/01/2025 10:55:52</t>
  </si>
  <si>
    <t>Alisson Airton Sobrinho - 02/01/2025 10:55:54</t>
  </si>
  <si>
    <t>Alisson Airton Sobrinho - 02/01/2025 10:55:57</t>
  </si>
  <si>
    <t>Alisson Airton Sobrinho - 02/01/2025 10:56:00</t>
  </si>
  <si>
    <t>Alisson Airton Sobrinho - 02/01/2025 10:56:03</t>
  </si>
  <si>
    <t>Alisson Airton Sobrinho - 02/01/2025 10:56:08</t>
  </si>
  <si>
    <t>Alisson Airton Sobrinho - 02/01/2025 10:56:09</t>
  </si>
  <si>
    <t>Alisson Airton Sobrinho - 02/01/2025 10:56:16</t>
  </si>
  <si>
    <t>Alisson Airton Sobrinho - 08/02/2025 10:48:29</t>
  </si>
  <si>
    <t>Alisson Airton Sobrinho - 08/02/2025 10:48:34</t>
  </si>
  <si>
    <t>Alisson Airton Sobrinho - 08/02/2025 10:48:32</t>
  </si>
  <si>
    <t>Alisson Airton Sobrinho - 08/02/2025 10:48:39</t>
  </si>
  <si>
    <t>Alisson Airton Sobrinho - 08/02/2025 10:48:38</t>
  </si>
  <si>
    <t>Alisson Airton Sobrinho - 08/02/2025 10:48:43</t>
  </si>
  <si>
    <t>Alisson Airton Sobrinho - 08/02/2025 10:48:41</t>
  </si>
  <si>
    <t>Alisson Airton Sobrinho - 08/02/2025 10:48:47</t>
  </si>
  <si>
    <t>Alisson Airton Sobrinho - 08/02/2025 10:48:45</t>
  </si>
  <si>
    <t>Alisson Airton Sobrinho - 08/02/2025 10:48:51</t>
  </si>
  <si>
    <t>Alisson Airton Sobrinho - 05/02/2025 15:16:05</t>
  </si>
  <si>
    <t>Alisson Airton Sobrinho - 08/02/2025 10:48:52</t>
  </si>
  <si>
    <t>Alisson Airton Sobrinho - 08/02/2025 10:48:57</t>
  </si>
  <si>
    <t>Alisson Airton Sobrinho - 08/02/2025 10:48:58</t>
  </si>
  <si>
    <t>Alisson Airton Sobrinho - 08/02/2025 10:48:59</t>
  </si>
  <si>
    <t>Alisson Airton Sobrinho - 08/02/2025 10:49:01</t>
  </si>
  <si>
    <t>Alisson Airton Sobrinho - 08/02/2025 10:49:06</t>
  </si>
  <si>
    <t>Alisson Airton Sobrinho - 08/02/2025 10:49:09</t>
  </si>
  <si>
    <t>Alisson Airton Sobrinho - 08/02/2025 10:49:11</t>
  </si>
  <si>
    <t>Base de Dados_Images/XV65121.Imagem do Equipamento-.135533.jpg</t>
  </si>
  <si>
    <t>Alisson Airton Sobrinho - 02/01/2025 10:55:23</t>
  </si>
  <si>
    <t xml:space="preserve">Tanque De Vinho  Centrifugar </t>
  </si>
  <si>
    <t>XV65122</t>
  </si>
  <si>
    <t xml:space="preserve">AMOSTRADOR DE VINHO A CENTR. </t>
  </si>
  <si>
    <t>Alisson Airton Sobrinho - 08/02/2025 14:19:36</t>
  </si>
  <si>
    <t>Alisson Airton Sobrinho - 08/02/2025 14:19:37</t>
  </si>
  <si>
    <t>Alisson Airton Sobrinho - 08/02/2025 14:19:39</t>
  </si>
  <si>
    <t>Alisson Airton Sobrinho - 08/02/2025 14:19:44</t>
  </si>
  <si>
    <t>Alisson Airton Sobrinho - 08/02/2025 14:19:42</t>
  </si>
  <si>
    <t>Alisson Airton Sobrinho - 08/02/2025 14:19:49</t>
  </si>
  <si>
    <t>Alisson Airton Sobrinho - 08/02/2025 14:19:46</t>
  </si>
  <si>
    <t>Alisson Airton Sobrinho - 08/02/2025 14:19:47</t>
  </si>
  <si>
    <t>Alisson Airton Sobrinho - 08/02/2025 14:19:52</t>
  </si>
  <si>
    <t>Alisson Airton Sobrinho - 08/02/2025 14:19:53</t>
  </si>
  <si>
    <t>Alisson Airton Sobrinho - 08/02/2025 14:19:55</t>
  </si>
  <si>
    <t>Alisson Airton Sobrinho - 08/02/2025 14:19:58</t>
  </si>
  <si>
    <t>Alisson Airton Sobrinho - 08/02/2025 14:19:59</t>
  </si>
  <si>
    <t>Alisson Airton Sobrinho - 08/02/2025 14:20:01</t>
  </si>
  <si>
    <t>Alisson Airton Sobrinho - 08/02/2025 14:20:02</t>
  </si>
  <si>
    <t>Alisson Airton Sobrinho - 08/02/2025 14:20:06</t>
  </si>
  <si>
    <t>Alisson Airton Sobrinho - 08/02/2025 14:20:04</t>
  </si>
  <si>
    <t>Alisson Airton Sobrinho - 08/02/2025 14:20:08</t>
  </si>
  <si>
    <t>Alisson Airton Sobrinho - 08/02/2025 14:20:09</t>
  </si>
  <si>
    <t>Alisson Airton Sobrinho - 08/02/2025 14:20:11</t>
  </si>
  <si>
    <t>Alisson Airton Sobrinho - 08/02/2025 14:20:13</t>
  </si>
  <si>
    <t>Alisson Airton Sobrinho - 08/02/2025 14:20:14</t>
  </si>
  <si>
    <t>Alisson Airton Sobrinho - 08/02/2025 14:20:35</t>
  </si>
  <si>
    <t>Alisson Airton Sobrinho - 08/02/2025 14:20:37</t>
  </si>
  <si>
    <t>Alisson Airton Sobrinho - 08/02/2025 14:20:38</t>
  </si>
  <si>
    <t>Alisson Airton Sobrinho - 08/02/2025 14:20:40</t>
  </si>
  <si>
    <t>Beatriz Alves Nunes de Paulo - 06/03/2025 09:23:39</t>
  </si>
  <si>
    <t>Beatriz Alves Nunes de Paulo - 06/03/2025 09:23:40</t>
  </si>
  <si>
    <t>Beatriz Alves Nunes de Paulo - 06/03/2025 09:23:41</t>
  </si>
  <si>
    <t>Beatriz Alves Nunes de Paulo - 06/03/2025 09:23:42</t>
  </si>
  <si>
    <t>Beatriz Alves Nunes de Paulo - 06/03/2025 09:23:43</t>
  </si>
  <si>
    <t>Base de Dados_Images/XV65122.Imagem do Equipamento-.170647.jpg</t>
  </si>
  <si>
    <t>Alisson Airton Sobrinho - 17/01/2025 14:06:40</t>
  </si>
  <si>
    <t>Torre Co2</t>
  </si>
  <si>
    <t>XV65123</t>
  </si>
  <si>
    <t>AMOSTRADOR ÁGUA CO2</t>
  </si>
  <si>
    <t>Matheus César Azevedo Neto - 31/01/2025 11:47:40</t>
  </si>
  <si>
    <t>Matheus César Azevedo Neto - 31/01/2025 11:48:04</t>
  </si>
  <si>
    <t>Matheus César Azevedo Neto - 31/01/2025 11:48:19</t>
  </si>
  <si>
    <t>Alisson Airton Sobrinho - 21/01/2025 10:31:18</t>
  </si>
  <si>
    <t>Alisson Airton Sobrinho - 21/01/2025 10:31:23</t>
  </si>
  <si>
    <t>Alisson Airton Sobrinho - 21/01/2025 10:31:24</t>
  </si>
  <si>
    <t>Alisson Airton Sobrinho - 21/01/2025 10:31:25</t>
  </si>
  <si>
    <t>Alisson Airton Sobrinho - 21/01/2025 10:31:31</t>
  </si>
  <si>
    <t>Alisson Airton Sobrinho - 21/01/2025 10:31:27</t>
  </si>
  <si>
    <t>Alisson Airton Sobrinho - 21/01/2025 10:31:30</t>
  </si>
  <si>
    <t>Alisson Airton Sobrinho - 21/01/2025 10:31:35</t>
  </si>
  <si>
    <t>Alisson Airton Sobrinho - 21/01/2025 10:31:36</t>
  </si>
  <si>
    <t>Alisson Airton Sobrinho - 21/01/2025 10:31:39</t>
  </si>
  <si>
    <t>Alisson Airton Sobrinho - 21/01/2025 10:31:40</t>
  </si>
  <si>
    <t>Alisson Airton Sobrinho - 21/01/2025 10:31:43</t>
  </si>
  <si>
    <t>Alisson Airton Sobrinho - 21/01/2025 10:31:42</t>
  </si>
  <si>
    <t>Alisson Airton Sobrinho - 21/01/2025 10:31:45</t>
  </si>
  <si>
    <t>Alisson Airton Sobrinho - 21/01/2025 10:31:49</t>
  </si>
  <si>
    <t>Alisson Airton Sobrinho - 21/01/2025 10:31:50</t>
  </si>
  <si>
    <t>Alisson Airton Sobrinho - 21/01/2025 10:31:51</t>
  </si>
  <si>
    <t>Alisson Airton Sobrinho - 21/01/2025 10:32:21</t>
  </si>
  <si>
    <t>Alisson Airton Sobrinho - 21/01/2025 10:32:35</t>
  </si>
  <si>
    <t>Alisson Airton Sobrinho - 08/02/2025 14:02:06</t>
  </si>
  <si>
    <t>Alisson Airton Sobrinho - 08/02/2025 14:02:07</t>
  </si>
  <si>
    <t>Alisson Airton Sobrinho - 08/02/2025 14:02:08</t>
  </si>
  <si>
    <t>Alisson Airton Sobrinho - 08/02/2025 14:02:09</t>
  </si>
  <si>
    <t>Alisson Airton Sobrinho - 08/02/2025 14:02:10</t>
  </si>
  <si>
    <t>Alisson Airton Sobrinho - 04/03/2025 09:04:54</t>
  </si>
  <si>
    <t>Alisson Airton Sobrinho - 04/03/2025 09:04:55</t>
  </si>
  <si>
    <t>Alisson Airton Sobrinho - 04/03/2025 09:04:57</t>
  </si>
  <si>
    <t>Alisson Airton Sobrinho - 04/03/2025 09:04:59</t>
  </si>
  <si>
    <t>Base de Dados_Images/XV65123.Imagem do Equipamento-.163343.jpg</t>
  </si>
  <si>
    <t>Alisson Airton Sobrinho - 17/01/2025 13:33:37</t>
  </si>
  <si>
    <t>XV6519</t>
  </si>
  <si>
    <t xml:space="preserve">AMOSTRADOR DE MOSTO </t>
  </si>
  <si>
    <t>Alisson Airton Sobrinho - 08/02/2025 08:27:08</t>
  </si>
  <si>
    <t>Alisson Airton Sobrinho - 08/02/2025 08:27:09</t>
  </si>
  <si>
    <t>Alisson Airton Sobrinho - 08/02/2025 08:27:11</t>
  </si>
  <si>
    <t>Alisson Airton Sobrinho - 08/02/2025 08:27:14</t>
  </si>
  <si>
    <t>Alisson Airton Sobrinho - 08/02/2025 08:27:16</t>
  </si>
  <si>
    <t>Alisson Airton Sobrinho - 08/02/2025 08:27:17</t>
  </si>
  <si>
    <t>Alisson Airton Sobrinho - 08/02/2025 08:27:18</t>
  </si>
  <si>
    <t>Alisson Airton Sobrinho - 08/02/2025 08:27:19</t>
  </si>
  <si>
    <t>Alisson Airton Sobrinho - 08/02/2025 08:27:20</t>
  </si>
  <si>
    <t>Alisson Airton Sobrinho - 08/02/2025 08:27:21</t>
  </si>
  <si>
    <t>Alisson Airton Sobrinho - 08/02/2025 08:27:23</t>
  </si>
  <si>
    <t>Alisson Airton Sobrinho - 08/02/2025 08:27:24</t>
  </si>
  <si>
    <t>Alisson Airton Sobrinho - 08/02/2025 08:27:26</t>
  </si>
  <si>
    <t>Alisson Airton Sobrinho - 08/02/2025 08:26:34</t>
  </si>
  <si>
    <t>Alisson Airton Sobrinho - 08/02/2025 08:26:35</t>
  </si>
  <si>
    <t>Alisson Airton Sobrinho - 08/02/2025 08:26:44</t>
  </si>
  <si>
    <t>Alisson Airton Sobrinho - 08/02/2025 08:26:46</t>
  </si>
  <si>
    <t>Alisson Airton Sobrinho - 08/02/2025 08:26:47</t>
  </si>
  <si>
    <t>Alisson Airton Sobrinho - 08/02/2025 08:27:00</t>
  </si>
  <si>
    <t>Alisson Airton Sobrinho - 08/02/2025 08:26:49</t>
  </si>
  <si>
    <t>Alisson Airton Sobrinho - 08/02/2025 08:27:02</t>
  </si>
  <si>
    <t>Alisson Airton Sobrinho - 08/02/2025 08:27:32</t>
  </si>
  <si>
    <t>Alisson Airton Sobrinho - 08/02/2025 08:27:33</t>
  </si>
  <si>
    <t>Alisson Airton Sobrinho - 08/02/2025 08:27:34</t>
  </si>
  <si>
    <t>Alisson Airton Sobrinho - 08/02/2025 08:27:35</t>
  </si>
  <si>
    <t>Alisson Airton Sobrinho - 08/02/2025 08:27:36</t>
  </si>
  <si>
    <t>Alisson Airton Sobrinho - 08/02/2025 08:27:41</t>
  </si>
  <si>
    <t>Alisson Airton Sobrinho - 08/02/2025 08:27:42</t>
  </si>
  <si>
    <t>Alisson Airton Sobrinho - 08/02/2025 08:27:44</t>
  </si>
  <si>
    <t>Alisson Airton Sobrinho - 08/02/2025 08:27:45</t>
  </si>
  <si>
    <t>Alisson Airton Sobrinho - 08/02/2025 08:27:46</t>
  </si>
  <si>
    <t>Alisson Airton Sobrinho - 08/02/2025 08:27:47</t>
  </si>
  <si>
    <t>Base de Dados_Images/XV6519.Imagem do Equipamento-.151715.jpg</t>
  </si>
  <si>
    <t>Libner Ferreira De Morais - 06/02/2025 12:00:04</t>
  </si>
  <si>
    <t>XV70001</t>
  </si>
  <si>
    <t>Valvula De Entrada Do Tanque De Medição 01</t>
  </si>
  <si>
    <t>Alisson Airton Sobrinho - 29/01/2025 19:18:44</t>
  </si>
  <si>
    <t>Alisson Airton Sobrinho - 29/01/2025 19:18:45</t>
  </si>
  <si>
    <t>Alisson Airton Sobrinho - 29/01/2025 19:18:47</t>
  </si>
  <si>
    <t>Alisson Airton Sobrinho - 29/01/2025 19:18:49</t>
  </si>
  <si>
    <t>Alisson Airton Sobrinho - 29/01/2025 19:18:48</t>
  </si>
  <si>
    <t>Alisson Airton Sobrinho - 29/01/2025 19:18:50</t>
  </si>
  <si>
    <t>Alisson Airton Sobrinho - 29/01/2025 19:18:52</t>
  </si>
  <si>
    <t>Libner Ferreira De Morais - 06/02/2025 14:27:06</t>
  </si>
  <si>
    <t>Libner Ferreira De Morais - 06/02/2025 14:27:07</t>
  </si>
  <si>
    <t>Alisson Airton Sobrinho - 19/02/2025 16:43:18</t>
  </si>
  <si>
    <t>Alisson Airton Sobrinho - 07/03/2025 08:08:36</t>
  </si>
  <si>
    <t>Base de Dados_Images/XV70001.Imagem do Equipamento-.221842.jpg</t>
  </si>
  <si>
    <t>Alisson Airton Sobrinho - 29/01/2025 19:18:38</t>
  </si>
  <si>
    <t>XV70002</t>
  </si>
  <si>
    <t>Valvula De Saida Do Tanque De Medição 01</t>
  </si>
  <si>
    <t>Alisson Airton Sobrinho - 21/01/2025 12:04:36</t>
  </si>
  <si>
    <t>Alisson Airton Sobrinho - 21/01/2025 12:04:38</t>
  </si>
  <si>
    <t>Alisson Airton Sobrinho - 21/01/2025 12:04:53</t>
  </si>
  <si>
    <t>Alisson Airton Sobrinho - 21/01/2025 12:04:43</t>
  </si>
  <si>
    <t>Alisson Airton Sobrinho - 21/01/2025 12:04:44</t>
  </si>
  <si>
    <t>Alisson Airton Sobrinho - 21/01/2025 12:04:45</t>
  </si>
  <si>
    <t>Alisson Airton Sobrinho - 21/01/2025 12:04:48</t>
  </si>
  <si>
    <t>Alisson Airton Sobrinho - 21/01/2025 12:04:49</t>
  </si>
  <si>
    <t>Libner Ferreira De Morais - 06/02/2025 14:27:24</t>
  </si>
  <si>
    <t>Libner Ferreira De Morais - 06/02/2025 14:27:25</t>
  </si>
  <si>
    <t>Alisson Airton Sobrinho - 19/02/2025 16:43:24</t>
  </si>
  <si>
    <t>Alisson Airton Sobrinho - 07/03/2025 08:08:43</t>
  </si>
  <si>
    <t>Base de Dados_Images/XV70002.Imagem do Equipamento-.181504.jpg</t>
  </si>
  <si>
    <t>Alisson Airton Sobrinho - 21/01/2025 12:04:25</t>
  </si>
  <si>
    <t>XV70003</t>
  </si>
  <si>
    <t>Valvula De Entrada Do Tanque De Medição 02</t>
  </si>
  <si>
    <t>Alisson Airton Sobrinho - 29/01/2025 19:20:13</t>
  </si>
  <si>
    <t>Alisson Airton Sobrinho - 29/01/2025 19:20:23</t>
  </si>
  <si>
    <t>Alisson Airton Sobrinho - 29/01/2025 19:20:15</t>
  </si>
  <si>
    <t>Alisson Airton Sobrinho - 29/01/2025 19:20:16</t>
  </si>
  <si>
    <t>Alisson Airton Sobrinho - 29/01/2025 19:20:17</t>
  </si>
  <si>
    <t>Alisson Airton Sobrinho - 29/01/2025 19:20:19</t>
  </si>
  <si>
    <t>Libner Ferreira De Morais - 06/02/2025 14:28:14</t>
  </si>
  <si>
    <t>Libner Ferreira De Morais - 06/02/2025 14:28:16</t>
  </si>
  <si>
    <t>Alisson Airton Sobrinho - 19/02/2025 16:45:07</t>
  </si>
  <si>
    <t>Alisson Airton Sobrinho - 07/03/2025 08:09:32</t>
  </si>
  <si>
    <t>Base de Dados_Images/XV70003.Imagem do Equipamento-.222011.jpg</t>
  </si>
  <si>
    <t>Alisson Airton Sobrinho - 29/01/2025 19:20:07</t>
  </si>
  <si>
    <t>XV70004</t>
  </si>
  <si>
    <t>Valvula De Saida Do Tanque De Medição 02</t>
  </si>
  <si>
    <t>Alisson Airton Sobrinho - 21/01/2025 12:05:28</t>
  </si>
  <si>
    <t>Alisson Airton Sobrinho - 21/01/2025 12:05:34</t>
  </si>
  <si>
    <t>Alisson Airton Sobrinho - 21/01/2025 12:05:31</t>
  </si>
  <si>
    <t>Alisson Airton Sobrinho - 21/01/2025 12:05:41</t>
  </si>
  <si>
    <t>Alisson Airton Sobrinho - 21/01/2025 12:05:42</t>
  </si>
  <si>
    <t>Alisson Airton Sobrinho - 21/01/2025 12:05:43</t>
  </si>
  <si>
    <t>Alisson Airton Sobrinho - 21/01/2025 12:05:44</t>
  </si>
  <si>
    <t>Alisson Airton Sobrinho - 21/01/2025 12:05:49</t>
  </si>
  <si>
    <t>Libner Ferreira De Morais - 06/02/2025 14:28:26</t>
  </si>
  <si>
    <t>Libner Ferreira De Morais - 06/02/2025 14:28:25</t>
  </si>
  <si>
    <t>Alisson Airton Sobrinho - 19/02/2025 16:45:12</t>
  </si>
  <si>
    <t>Alisson Airton Sobrinho - 07/03/2025 08:09:37</t>
  </si>
  <si>
    <t>Base de Dados_Images/XV70004.Imagem do Equipamento-.181557.jpg</t>
  </si>
  <si>
    <t>Alisson Airton Sobrinho - 21/01/2025 12:05:21</t>
  </si>
  <si>
    <t>XV70005</t>
  </si>
  <si>
    <t>Valvula De Entrada Do Tanque De Armazenamento 01</t>
  </si>
  <si>
    <t>Weslley Ferreira Cooper - 31/01/2025 15:54:55</t>
  </si>
  <si>
    <t>Weslley Ferreira Cooper - 31/01/2025 15:54:53</t>
  </si>
  <si>
    <t>Weslley Ferreira Cooper - 31/01/2025 15:54:52</t>
  </si>
  <si>
    <t>Weslley Ferreira Cooper - 31/01/2025 15:54:51</t>
  </si>
  <si>
    <t>Weslley Ferreira Cooper - 31/01/2025 15:54:48</t>
  </si>
  <si>
    <t>Weslley Ferreira Cooper - 31/01/2025 15:54:47</t>
  </si>
  <si>
    <t>Weslley Ferreira Cooper - 31/01/2025 15:54:46</t>
  </si>
  <si>
    <t>Weslley Ferreira Cooper - 31/01/2025 15:54:45</t>
  </si>
  <si>
    <t>Alisson Airton Sobrinho - 19/02/2025 16:43:43</t>
  </si>
  <si>
    <t>Alisson Airton Sobrinho - 19/02/2025 16:43:49</t>
  </si>
  <si>
    <t>Beatriz Alves Nunes de Paulo - 06/03/2025 09:12:09</t>
  </si>
  <si>
    <t>Beatriz Alves Nunes de Paulo - 06/03/2025 09:12:08</t>
  </si>
  <si>
    <t>Weslley Ferreira Cooper - 01/31/2025 15:25:39</t>
  </si>
  <si>
    <t>XV70006</t>
  </si>
  <si>
    <t>Valvula De Entrada Do Tanque De Armazenamento 02</t>
  </si>
  <si>
    <t>Weslley Ferreira Cooper - 31/01/2025 15:55:22</t>
  </si>
  <si>
    <t>Weslley Ferreira Cooper - 31/01/2025 15:55:20</t>
  </si>
  <si>
    <t>Weslley Ferreira Cooper - 31/01/2025 15:55:19</t>
  </si>
  <si>
    <t>Weslley Ferreira Cooper - 31/01/2025 15:55:16</t>
  </si>
  <si>
    <t>Weslley Ferreira Cooper - 31/01/2025 15:55:15</t>
  </si>
  <si>
    <t>Weslley Ferreira Cooper - 31/01/2025 15:55:14</t>
  </si>
  <si>
    <t>Weslley Ferreira Cooper - 31/01/2025 15:55:13</t>
  </si>
  <si>
    <t>Weslley Ferreira Cooper - 31/01/2025 15:55:12</t>
  </si>
  <si>
    <t>Alisson Airton Sobrinho - 19/02/2025 16:45:29</t>
  </si>
  <si>
    <t>Alisson Airton Sobrinho - 19/02/2025 16:45:31</t>
  </si>
  <si>
    <t>Alisson Airton Sobrinho - 19/02/2025 16:45:34</t>
  </si>
  <si>
    <t>Beatriz Alves Nunes de Paulo - 06/03/2025 09:13:02</t>
  </si>
  <si>
    <t>Weslley Ferreira Cooper - 01/31/2025 15:55:06</t>
  </si>
  <si>
    <t>XV70007</t>
  </si>
  <si>
    <t>Valvula De Entrada Do Tanque De Armazenamento 03</t>
  </si>
  <si>
    <t>Weslley Ferreira Cooper - 31/01/2025 15:55:44</t>
  </si>
  <si>
    <t>Weslley Ferreira Cooper - 31/01/2025 15:55:43</t>
  </si>
  <si>
    <t>Weslley Ferreira Cooper - 31/01/2025 15:55:42</t>
  </si>
  <si>
    <t>Weslley Ferreira Cooper - 31/01/2025 15:55:39</t>
  </si>
  <si>
    <t>Weslley Ferreira Cooper - 31/01/2025 15:55:38</t>
  </si>
  <si>
    <t>Weslley Ferreira Cooper - 31/01/2025 15:55:37</t>
  </si>
  <si>
    <t>Weslley Ferreira Cooper - 31/01/2025 15:55:36</t>
  </si>
  <si>
    <t>Weslley Ferreira Cooper - 31/01/2025 15:55:35</t>
  </si>
  <si>
    <t>Alisson Airton Sobrinho - 19/02/2025 16:45:50</t>
  </si>
  <si>
    <t>Alisson Airton Sobrinho - 19/02/2025 16:45:54</t>
  </si>
  <si>
    <t>Beatriz Alves Nunes de Paulo - 06/03/2025 09:13:11</t>
  </si>
  <si>
    <t>Weslley Ferreira Cooper - 01/31/2025 15:25:29</t>
  </si>
  <si>
    <t>XV70008  (Duplicado 1)</t>
  </si>
  <si>
    <t>Valvula Do Coletor De Amostra De Vinhaça</t>
  </si>
  <si>
    <t>Alisson Airton Sobrinho - 29/01/2025 16:58:07</t>
  </si>
  <si>
    <t>Alisson Airton Sobrinho - 29/01/2025 16:58:11</t>
  </si>
  <si>
    <t>Alisson Airton Sobrinho - 29/01/2025 16:58:08</t>
  </si>
  <si>
    <t>Alisson Airton Sobrinho - 29/01/2025 16:58:15</t>
  </si>
  <si>
    <t>Alisson Airton Sobrinho - 29/01/2025 16:58:22</t>
  </si>
  <si>
    <t>Alisson Airton Sobrinho - 29/01/2025 16:58:23</t>
  </si>
  <si>
    <t>Alisson Airton Sobrinho - 29/01/2025 16:58:24</t>
  </si>
  <si>
    <t>Alisson Airton Sobrinho - 29/01/2025 16:58:47</t>
  </si>
  <si>
    <t>Libner Ferreira De Morais - 06/02/2025 14:32:25</t>
  </si>
  <si>
    <t>Libner Ferreira De Morais - 06/02/2025 14:32:27</t>
  </si>
  <si>
    <t>Alisson Airton Sobrinho - 20/02/2025 11:01:37</t>
  </si>
  <si>
    <t>Alisson Airton Sobrinho - 06/03/2025 14:41:39</t>
  </si>
  <si>
    <t>Base de Dados_Images/XV70008.Imagem do Equipamento-.121208.jpg</t>
  </si>
  <si>
    <t>Libner Ferreira De Morais - 06/02/2025 09:12:04</t>
  </si>
  <si>
    <t>XV70008 (Duplicado 2)</t>
  </si>
  <si>
    <t xml:space="preserve">AMOSTRADOR DE VINHAÇA </t>
  </si>
  <si>
    <t>Alisson Airton Sobrinho - 03/03/2025 08:52:43</t>
  </si>
  <si>
    <t>Alisson Airton Sobrinho - 03/03/2025 08:52:44</t>
  </si>
  <si>
    <t>Alisson Airton Sobrinho - 03/03/2025 08:52:45</t>
  </si>
  <si>
    <t>Alisson Airton Sobrinho - 03/03/2025 08:52:46</t>
  </si>
  <si>
    <t>Alisson Airton Sobrinho - 03/03/2025 08:52:47</t>
  </si>
  <si>
    <t>Alisson Airton Sobrinho - 03/03/2025 08:52:48</t>
  </si>
  <si>
    <t>Alisson Airton Sobrinho - 03/03/2025 08:52:49</t>
  </si>
  <si>
    <t>Alisson Airton Sobrinho - 03/03/2025 08:52:50</t>
  </si>
  <si>
    <t>Alisson Airton Sobrinho - 03/03/2025 08:52:51</t>
  </si>
  <si>
    <t>Alisson Airton Sobrinho - 03/03/2025 08:53:02</t>
  </si>
  <si>
    <t>Alisson Airton Sobrinho - 03/03/2025 08:53:03</t>
  </si>
  <si>
    <t>Alisson Airton Sobrinho - 03/03/2025 08:53:04</t>
  </si>
  <si>
    <t>Alisson Airton Sobrinho - 03/03/2025 08:53:05</t>
  </si>
  <si>
    <t>Alisson Airton Sobrinho - 03/03/2025 08:53:06</t>
  </si>
  <si>
    <t>Alisson Airton Sobrinho - 03/03/2025 08:53:08</t>
  </si>
  <si>
    <t>Alisson Airton Sobrinho - 03/03/2025 08:53:09</t>
  </si>
  <si>
    <t>Alisson Airton Sobrinho - 03/03/2025 08:53:10</t>
  </si>
  <si>
    <t>Alisson Airton Sobrinho - 03/03/2025 08:53:11</t>
  </si>
  <si>
    <t>Alisson Airton Sobrinho - 03/03/2025 08:53:12</t>
  </si>
  <si>
    <t>Alisson Airton Sobrinho - 03/03/2025 08:53:13</t>
  </si>
  <si>
    <t>Alisson Airton Sobrinho - 03/03/2025 08:53:15</t>
  </si>
  <si>
    <t>Alisson Airton Sobrinho - 03/03/2025 08:55:02</t>
  </si>
  <si>
    <t>Alisson Airton Sobrinho - 03/03/2025 08:55:03</t>
  </si>
  <si>
    <t>Alisson Airton Sobrinho - 03/03/2025 08:55:04</t>
  </si>
  <si>
    <t>Alisson Airton Sobrinho - 03/03/2025 08:55:05</t>
  </si>
  <si>
    <t>Alisson Airton Sobrinho - 03/03/2025 08:55:06</t>
  </si>
  <si>
    <t>Alisson Airton Sobrinho - 03/03/2025 08:55:19</t>
  </si>
  <si>
    <t>Alisson Airton Sobrinho - 03/03/2025 08:55:21</t>
  </si>
  <si>
    <t>Alisson Airton Sobrinho - 03/03/2025 08:55:22</t>
  </si>
  <si>
    <t>Alisson Airton Sobrinho - 03/03/2025 08:55:23</t>
  </si>
  <si>
    <t>Alisson Airton Sobrinho - 03/03/2025 08:55:24</t>
  </si>
  <si>
    <t>Alisson Airton Sobrinho - 03/03/2025 08:52:36</t>
  </si>
  <si>
    <t>XV70009 (Duplicado 1)</t>
  </si>
  <si>
    <t>Valvula Do Coletor De Amostra De Flegmaça</t>
  </si>
  <si>
    <t>Alisson Airton Sobrinho - 21/01/2025 11:41:52</t>
  </si>
  <si>
    <t>Alisson Airton Sobrinho - 21/01/2025 11:41:53</t>
  </si>
  <si>
    <t>Alisson Airton Sobrinho - 21/01/2025 11:41:55</t>
  </si>
  <si>
    <t>Alisson Airton Sobrinho - 21/01/2025 11:41:59</t>
  </si>
  <si>
    <t>Alisson Airton Sobrinho - 21/01/2025 11:42:01</t>
  </si>
  <si>
    <t>Alisson Airton Sobrinho - 21/01/2025 11:42:19</t>
  </si>
  <si>
    <t>Alisson Airton Sobrinho - 21/01/2025 11:42:04</t>
  </si>
  <si>
    <t>Alisson Airton Sobrinho - 21/01/2025 11:42:06</t>
  </si>
  <si>
    <t>Libner Ferreira De Morais - 06/02/2025 14:25:51</t>
  </si>
  <si>
    <t>Libner Ferreira De Morais - 06/02/2025 14:25:52</t>
  </si>
  <si>
    <t>Paula Caroline Morais Duarte - 14/02/2025 08:13:35</t>
  </si>
  <si>
    <t>Alisson Airton Sobrinho - 06/03/2025 14:50:21</t>
  </si>
  <si>
    <t>Base de Dados_Images/XV70009.Imagem do Equipamento-.150609.jpg</t>
  </si>
  <si>
    <t>Alisson Airton Sobrinho - 21/01/2025 11:41:44</t>
  </si>
  <si>
    <t>XV70009 (Duplicado 2)</t>
  </si>
  <si>
    <t xml:space="preserve">AMOSTRADOR DE FLEGMAÇA </t>
  </si>
  <si>
    <t>Alisson Airton Sobrinho - 03/03/2025 12:37:24</t>
  </si>
  <si>
    <t>Alisson Airton Sobrinho - 03/03/2025 12:37:26</t>
  </si>
  <si>
    <t>Alisson Airton Sobrinho - 03/03/2025 12:37:27</t>
  </si>
  <si>
    <t>Alisson Airton Sobrinho - 03/03/2025 12:37:28</t>
  </si>
  <si>
    <t>Alisson Airton Sobrinho - 03/03/2025 12:37:29</t>
  </si>
  <si>
    <t>Alisson Airton Sobrinho - 03/03/2025 12:37:30</t>
  </si>
  <si>
    <t>Alisson Airton Sobrinho - 03/03/2025 12:37:31</t>
  </si>
  <si>
    <t>Alisson Airton Sobrinho - 03/03/2025 12:37:32</t>
  </si>
  <si>
    <t>Alisson Airton Sobrinho - 03/03/2025 12:37:33</t>
  </si>
  <si>
    <t>Alisson Airton Sobrinho - 03/03/2025 12:37:34</t>
  </si>
  <si>
    <t>Alisson Airton Sobrinho - 03/03/2025 12:37:36</t>
  </si>
  <si>
    <t>Alisson Airton Sobrinho - 03/03/2025 12:37:37</t>
  </si>
  <si>
    <t>Alisson Airton Sobrinho - 03/03/2025 12:37:39</t>
  </si>
  <si>
    <t>Alisson Airton Sobrinho - 03/03/2025 12:37:40</t>
  </si>
  <si>
    <t>Alisson Airton Sobrinho - 03/03/2025 12:37:41</t>
  </si>
  <si>
    <t>Alisson Airton Sobrinho - 03/03/2025 12:37:42</t>
  </si>
  <si>
    <t>Alisson Airton Sobrinho - 03/03/2025 12:37:44</t>
  </si>
  <si>
    <t>Alisson Airton Sobrinho - 03/03/2025 12:37:45</t>
  </si>
  <si>
    <t>Alisson Airton Sobrinho - 03/03/2025 12:37:46</t>
  </si>
  <si>
    <t>Alisson Airton Sobrinho - 03/03/2025 12:37:50</t>
  </si>
  <si>
    <t>Alisson Airton Sobrinho - 03/03/2025 12:37:51</t>
  </si>
  <si>
    <t>Alisson Airton Sobrinho - 03/03/2025 12:37:54</t>
  </si>
  <si>
    <t>Alisson Airton Sobrinho - 03/03/2025 12:37:55</t>
  </si>
  <si>
    <t>Alisson Airton Sobrinho - 03/03/2025 12:37:56</t>
  </si>
  <si>
    <t>Alisson Airton Sobrinho - 03/03/2025 12:38:01</t>
  </si>
  <si>
    <t>Alisson Airton Sobrinho - 03/03/2025 12:38:02</t>
  </si>
  <si>
    <t>Alisson Airton Sobrinho - 03/03/2025 12:38:03</t>
  </si>
  <si>
    <t>Alisson Airton Sobrinho - 03/03/2025 12:38:04</t>
  </si>
  <si>
    <t>Alisson Airton Sobrinho - 03/03/2025 12:38:05</t>
  </si>
  <si>
    <t>Alisson Airton Sobrinho - 03/03/2025 12:38:06</t>
  </si>
  <si>
    <t>Alisson Airton Sobrinho - 03/03/2025 12:36:52</t>
  </si>
  <si>
    <t>XV77001</t>
  </si>
  <si>
    <t>VÁVULA AUT. ON/OFF BLOQ. DE LIQUIDO PERIGOSO</t>
  </si>
  <si>
    <t>Alisson Airton Sobrinho - 21/01/2025 13:47:44</t>
  </si>
  <si>
    <t>Alisson Airton Sobrinho - 21/01/2025 13:47:46</t>
  </si>
  <si>
    <t>Alisson Airton Sobrinho - 21/01/2025 13:47:51</t>
  </si>
  <si>
    <t>Alisson Airton Sobrinho - 21/01/2025 13:47:55</t>
  </si>
  <si>
    <t>Alisson Airton Sobrinho - 21/01/2025 13:48:04</t>
  </si>
  <si>
    <t>Alisson Airton Sobrinho - 21/01/2025 13:48:06</t>
  </si>
  <si>
    <t>Alisson Airton Sobrinho - 21/01/2025 13:48:09</t>
  </si>
  <si>
    <t>Alisson Airton Sobrinho - 21/01/2025 13:48:12</t>
  </si>
  <si>
    <t>Alisson Airton Sobrinho - 04/02/2025 14:43:17</t>
  </si>
  <si>
    <t>Alisson Airton Sobrinho - 04/02/2025 14:43:28</t>
  </si>
  <si>
    <t>Alisson Airton Sobrinho - 04/02/2025 14:43:39</t>
  </si>
  <si>
    <t>Alisson Airton Sobrinho - 19/02/2025 11:56:56</t>
  </si>
  <si>
    <t>Base de Dados_Images/XV77001.Imagem do Equipamento-.183926.jpg</t>
  </si>
  <si>
    <t>Alisson Airton Sobrinho - 21/01/2025 13:47:32</t>
  </si>
  <si>
    <t>XV81001</t>
  </si>
  <si>
    <t>Válvula Descarga De Fundo (Val047-07)</t>
  </si>
  <si>
    <t>Paula Caroline Morais Duarte - 30/01/2025 10:52:20</t>
  </si>
  <si>
    <t>Paula Caroline Morais Duarte - 30/01/2025 10:52:22</t>
  </si>
  <si>
    <t>Paula Caroline Morais Duarte - 30/01/2025 10:52:24</t>
  </si>
  <si>
    <t>Paula Caroline Morais Duarte - 30/01/2025 10:52:26</t>
  </si>
  <si>
    <t>Paula Caroline Morais Duarte - 30/01/2025 10:52:28</t>
  </si>
  <si>
    <t>Paula Caroline Morais Duarte - 30/01/2025 10:52:30</t>
  </si>
  <si>
    <t>Paula Caroline Morais Duarte - 30/01/2025 10:52:36</t>
  </si>
  <si>
    <t>Paula Caroline Morais Duarte - 30/01/2025 10:52:38</t>
  </si>
  <si>
    <t>Paula Caroline Morais Duarte - 19/02/2025 08:31:44</t>
  </si>
  <si>
    <t>Paula Caroline Morais Duarte - 19/02/2025 08:31:45</t>
  </si>
  <si>
    <t>Paula Caroline Morais Duarte - 19/02/2025 08:31:50</t>
  </si>
  <si>
    <t>Paula Caroline Morais Duarte - 19/02/2025 08:31:55</t>
  </si>
  <si>
    <t>Base de Dados_Images/XV81001.Imagem do Equipamento-.145839.jpg</t>
  </si>
  <si>
    <t>Paula Caroline Morais Duarte - 30/01/2025 10:52:14</t>
  </si>
  <si>
    <t>XV81002</t>
  </si>
  <si>
    <t>Válvula Bloqueio Vapor Soprador Fuligem (Val048-07)</t>
  </si>
  <si>
    <t>Paula Caroline Morais Duarte - 17/02/2025 10:45:50</t>
  </si>
  <si>
    <t>Paula Caroline Morais Duarte - 17/02/2025 10:45:53</t>
  </si>
  <si>
    <t>Paula Caroline Morais Duarte - 17/02/2025 10:45:55</t>
  </si>
  <si>
    <t>Paula Caroline Morais Duarte - 17/02/2025 10:46:02</t>
  </si>
  <si>
    <t>Paula Caroline Morais Duarte - 20/02/2025 11:36:15</t>
  </si>
  <si>
    <t>Paula Caroline Morais Duarte - 20/02/2025 11:36:12</t>
  </si>
  <si>
    <t>Paula Caroline Morais Duarte - 20/02/2025 11:36:17</t>
  </si>
  <si>
    <t>Paula Caroline Morais Duarte - 20/02/2025 11:36:19</t>
  </si>
  <si>
    <t>Paula Caroline Morais Duarte - 21/02/2025 08:23:06</t>
  </si>
  <si>
    <t>Paula Caroline Morais Duarte - 21/02/2025 08:23:10</t>
  </si>
  <si>
    <t>Paula Caroline Morais Duarte - 21/02/2025 08:23:48</t>
  </si>
  <si>
    <t>Paula Caroline Morais Duarte - 25/02/2025 09:12:23</t>
  </si>
  <si>
    <t>Base de Dados_Images/XV81002.Imagem do Equipamento-.153217.jpg</t>
  </si>
  <si>
    <t>Paula Caroline Morais Duarte - 20/02/2025 12:32:12</t>
  </si>
  <si>
    <t>XV81003</t>
  </si>
  <si>
    <t>Válvula Dreno 1 Soprador Fuligem (Val049-07)</t>
  </si>
  <si>
    <t>Paula Caroline Morais Duarte - 30/01/2025 11:20:11</t>
  </si>
  <si>
    <t>Paula Caroline Morais Duarte - 30/01/2025 11:20:12</t>
  </si>
  <si>
    <t>Paula Caroline Morais Duarte - 30/01/2025 11:20:14</t>
  </si>
  <si>
    <t>Paula Caroline Morais Duarte - 30/01/2025 11:20:16</t>
  </si>
  <si>
    <t>Paula Caroline Morais Duarte - 30/01/2025 11:20:19</t>
  </si>
  <si>
    <t>Paula Caroline Morais Duarte - 30/01/2025 11:20:21</t>
  </si>
  <si>
    <t>Paula Caroline Morais Duarte - 30/01/2025 11:20:22</t>
  </si>
  <si>
    <t>Paula Caroline Morais Duarte - 30/01/2025 11:20:24</t>
  </si>
  <si>
    <t>Paula Caroline Morais Duarte - 25/02/2025 09:13:34</t>
  </si>
  <si>
    <t>Paula Caroline Morais Duarte - 25/02/2025 09:13:51</t>
  </si>
  <si>
    <t>Paula Caroline Morais Duarte - 25/02/2025 09:13:58</t>
  </si>
  <si>
    <t>Paula Caroline Morais Duarte - 25/02/2025 09:14:02</t>
  </si>
  <si>
    <t>Base de Dados_Images/XV81003.Imagem do Equipamento-.150324.jpg</t>
  </si>
  <si>
    <t>Paula Caroline Morais Duarte - 30/01/2025 11:21:01</t>
  </si>
  <si>
    <t>XV81004</t>
  </si>
  <si>
    <t>Válvula Dreno 2 Soprador Fuligem (Val050-07)</t>
  </si>
  <si>
    <t>Paula Caroline Morais Duarte - 30/01/2025 11:17:57</t>
  </si>
  <si>
    <t>Paula Caroline Morais Duarte - 30/01/2025 11:17:59</t>
  </si>
  <si>
    <t>Paula Caroline Morais Duarte - 30/01/2025 11:18:00</t>
  </si>
  <si>
    <t>Paula Caroline Morais Duarte - 30/01/2025 11:18:02</t>
  </si>
  <si>
    <t>Paula Caroline Morais Duarte - 30/01/2025 11:18:04</t>
  </si>
  <si>
    <t>Paula Caroline Morais Duarte - 30/01/2025 11:18:06</t>
  </si>
  <si>
    <t>Paula Caroline Morais Duarte - 30/01/2025 11:18:07</t>
  </si>
  <si>
    <t>Paula Caroline Morais Duarte - 30/01/2025 11:18:10</t>
  </si>
  <si>
    <t>Paula Caroline Morais Duarte - 25/02/2025 09:14:13</t>
  </si>
  <si>
    <t>Paula Caroline Morais Duarte - 25/02/2025 09:14:14</t>
  </si>
  <si>
    <t>Paula Caroline Morais Duarte - 25/02/2025 09:14:27</t>
  </si>
  <si>
    <t>Paula Caroline Morais Duarte - 25/02/2025 09:14:30</t>
  </si>
  <si>
    <t>Base de Dados_Images/XV81004.Imagem do Equipamento-.150242.jpg</t>
  </si>
  <si>
    <t>Paula Caroline Morais Duarte - 30/01/2025 11:18:55</t>
  </si>
  <si>
    <t>XV81006</t>
  </si>
  <si>
    <t>Válv On/Off - Entrada Água Clarificador (Pos242-06)</t>
  </si>
  <si>
    <t>Paula Caroline Morais Duarte - 29/01/2025 13:12:44</t>
  </si>
  <si>
    <t>Paula Caroline Morais Duarte - 29/01/2025 13:12:43</t>
  </si>
  <si>
    <t>Paula Caroline Morais Duarte - 29/01/2025 13:12:47</t>
  </si>
  <si>
    <t>Paula Caroline Morais Duarte - 29/01/2025 13:12:48</t>
  </si>
  <si>
    <t>Paula Caroline Morais Duarte - 29/01/2025 13:12:50</t>
  </si>
  <si>
    <t>Paula Caroline Morais Duarte - 29/01/2025 13:12:52</t>
  </si>
  <si>
    <t>Paula Caroline Morais Duarte - 29/01/2025 13:12:54</t>
  </si>
  <si>
    <t>Paula Caroline Morais Duarte - 29/01/2025 13:12:56</t>
  </si>
  <si>
    <t>Rafael Roldão Rodrigues - 03/03/2025 12:00:28</t>
  </si>
  <si>
    <t>Rafael Roldão Rodrigues - 03/03/2025 12:00:29</t>
  </si>
  <si>
    <t>Rafael Roldão Rodrigues - 03/03/2025 12:01:14</t>
  </si>
  <si>
    <t>Alisson Airton Sobrinho - 07/03/2025 09:34:23</t>
  </si>
  <si>
    <t>Base de Dados_Images/XV81006.Imagem do Equipamento-.161341.jpg</t>
  </si>
  <si>
    <t>Paula Caroline Morais Duarte - 29/01/2025 13:13:18</t>
  </si>
  <si>
    <t>XV81007</t>
  </si>
  <si>
    <t>Válv On/Off – Lodo (Pos243-06)</t>
  </si>
  <si>
    <t>Paula Caroline Morais Duarte - 29/01/2025 13:10:13</t>
  </si>
  <si>
    <t>Paula Caroline Morais Duarte - 29/01/2025 13:10:14</t>
  </si>
  <si>
    <t>Paula Caroline Morais Duarte - 29/01/2025 13:10:16</t>
  </si>
  <si>
    <t>Paula Caroline Morais Duarte - 29/01/2025 13:10:18</t>
  </si>
  <si>
    <t>Paula Caroline Morais Duarte - 29/01/2025 13:10:19</t>
  </si>
  <si>
    <t>Paula Caroline Morais Duarte - 29/01/2025 13:10:21</t>
  </si>
  <si>
    <t>Paula Caroline Morais Duarte - 29/01/2025 13:10:23</t>
  </si>
  <si>
    <t>Paula Caroline Morais Duarte - 29/01/2025 13:10:25</t>
  </si>
  <si>
    <t>Rafael Roldão Rodrigues - 03/03/2025 11:55:17</t>
  </si>
  <si>
    <t>Rafael Roldão Rodrigues - 03/03/2025 11:55:18</t>
  </si>
  <si>
    <t>Rafael Roldão Rodrigues - 03/03/2025 11:56:20</t>
  </si>
  <si>
    <t>Alisson Airton Sobrinho - 07/03/2025 09:34:29</t>
  </si>
  <si>
    <t>Base de Dados_Images/XV81007.Imagem do Equipamento-.161126.jpg</t>
  </si>
  <si>
    <t>Paula Caroline Morais Duarte - 29/01/2025 13:10:03</t>
  </si>
  <si>
    <t>XV81008</t>
  </si>
  <si>
    <t>Comporta on/off pátio</t>
  </si>
  <si>
    <t>Paula Caroline Morais Duarte - 18/02/2025 09:15:40</t>
  </si>
  <si>
    <t>Paula Caroline Morais Duarte - 18/02/2025 09:15:41</t>
  </si>
  <si>
    <t>Paula Caroline Morais Duarte - 18/02/2025 09:15:43</t>
  </si>
  <si>
    <t>Paula Caroline Morais Duarte - 18/02/2025 09:15:44</t>
  </si>
  <si>
    <t>Paula Caroline Morais Duarte - 18/02/2025 09:15:48</t>
  </si>
  <si>
    <t>Paula Caroline Morais Duarte - 18/02/2025 09:15:49</t>
  </si>
  <si>
    <t>Paula Caroline Morais Duarte - 18/02/2025 09:15:51</t>
  </si>
  <si>
    <t>Paula Caroline Morais Duarte - 18/02/2025 09:15:52</t>
  </si>
  <si>
    <t>Paula Caroline Morais Duarte - 18/02/2025 09:16:08</t>
  </si>
  <si>
    <t>Paula Caroline Morais Duarte - 18/02/2025 09:16:09</t>
  </si>
  <si>
    <t>Paula Caroline Morais Duarte - 18/02/2025 09:16:33</t>
  </si>
  <si>
    <t>Paula Caroline Morais Duarte - 18/02/2025 09:16:43</t>
  </si>
  <si>
    <t>Base de Dados_Images/XV81008.Imagem do Equipamento-.121534.jpg</t>
  </si>
  <si>
    <t>Paula Caroline Morais Duarte - 18/02/2025 09:15:30</t>
  </si>
  <si>
    <t>XV88001</t>
  </si>
  <si>
    <t>Válvula Vapor P/ Turbo-Bomba Turbina Gerador</t>
  </si>
  <si>
    <t>Weslley Ferreira Cooper - 05/02/2025 16:41:29</t>
  </si>
  <si>
    <t>Weslley Ferreira Cooper - 05/02/2025 16:41:28</t>
  </si>
  <si>
    <t>Weslley Ferreira Cooper - 05/02/2025 16:40:55</t>
  </si>
  <si>
    <t>Weslley Ferreira Cooper - 05/02/2025 16:40:54</t>
  </si>
  <si>
    <t>Weslley Ferreira Cooper - 05/02/2025 16:40:53</t>
  </si>
  <si>
    <t>Hugo Luis Leonel - 26/02/2025 12:16:39</t>
  </si>
  <si>
    <t>Hugo Luis Leonel - 26/02/2025 12:16:40</t>
  </si>
  <si>
    <t>Rafael Roldão Rodrigues - 03/03/2025 11:06:41</t>
  </si>
  <si>
    <t>Rafael Roldão Rodrigues - 03/03/2025 16:13:43</t>
  </si>
  <si>
    <t>Weslley Ferreira Cooper - 02/05/2025 16:40:31</t>
  </si>
  <si>
    <t>Entrada Multijatos</t>
  </si>
  <si>
    <t>XV92001</t>
  </si>
  <si>
    <t xml:space="preserve">ÁGUA DE ENTRADA MULTIJATOS </t>
  </si>
  <si>
    <t>Alisson Airton Sobrinho - 12/02/2025 12:42:37</t>
  </si>
  <si>
    <t>Alisson Airton Sobrinho - 12/02/2025 12:42:38</t>
  </si>
  <si>
    <t>Alisson Airton Sobrinho - 12/02/2025 12:42:43</t>
  </si>
  <si>
    <t>Alisson Airton Sobrinho - 12/02/2025 12:42:48</t>
  </si>
  <si>
    <t>Alisson Airton Sobrinho - 12/02/2025 12:42:50</t>
  </si>
  <si>
    <t>Alisson Airton Sobrinho - 12/02/2025 12:42:51</t>
  </si>
  <si>
    <t>Alisson Airton Sobrinho - 12/02/2025 12:42:54</t>
  </si>
  <si>
    <t>Alisson Airton Sobrinho - 12/02/2025 12:42:56</t>
  </si>
  <si>
    <t>Alisson Airton Sobrinho - 12/02/2025 12:42:58</t>
  </si>
  <si>
    <t>Alisson Airton Sobrinho - 12/02/2025 12:42:59</t>
  </si>
  <si>
    <t>Alisson Airton Sobrinho - 12/02/2025 12:43:01</t>
  </si>
  <si>
    <t>Alisson Airton Sobrinho - 12/02/2025 12:43:04</t>
  </si>
  <si>
    <t>Alisson Airton Sobrinho - 12/02/2025 12:43:05</t>
  </si>
  <si>
    <t>Alisson Airton Sobrinho - 12/02/2025 12:43:08</t>
  </si>
  <si>
    <t>Alisson Airton Sobrinho - 12/02/2025 12:43:11</t>
  </si>
  <si>
    <t>Alisson Airton Sobrinho - 12/02/2025 12:43:09</t>
  </si>
  <si>
    <t>Alisson Airton Sobrinho - 12/02/2025 12:43:14</t>
  </si>
  <si>
    <t>Alisson Airton Sobrinho - 12/02/2025 12:43:17</t>
  </si>
  <si>
    <t>Alisson Airton Sobrinho - 12/02/2025 12:43:19</t>
  </si>
  <si>
    <t>Alisson Airton Sobrinho - 12/02/2025 12:43:20</t>
  </si>
  <si>
    <t>Alisson Airton Sobrinho - 12/02/2025 12:43:28</t>
  </si>
  <si>
    <t>Alisson Airton Sobrinho - 12/02/2025 12:43:26</t>
  </si>
  <si>
    <t>Alisson Airton Sobrinho - 12/02/2025 12:43:30</t>
  </si>
  <si>
    <t>Alisson Airton Sobrinho - 12/02/2025 12:43:36</t>
  </si>
  <si>
    <t>Alisson Airton Sobrinho - 12/02/2025 12:43:37</t>
  </si>
  <si>
    <t>Alisson Airton Sobrinho - 12/02/2025 12:43:38</t>
  </si>
  <si>
    <t>Alisson Airton Sobrinho - 12/02/2025 12:43:41</t>
  </si>
  <si>
    <t>Alisson Airton Sobrinho - 12/02/2025 12:43:42</t>
  </si>
  <si>
    <t>Rafael Roldão Rodrigues - 03/03/2025 12:09:44</t>
  </si>
  <si>
    <t>Rafael Roldão Rodrigues - 03/03/2025 12:09:45</t>
  </si>
  <si>
    <t>Rafael Roldão Rodrigues - 03/03/2025 12:09:46</t>
  </si>
  <si>
    <t>Rafael Roldão Rodrigues - 03/03/2025 12:09:47</t>
  </si>
  <si>
    <t>Rafael Roldão Rodrigues - 03/03/2025 12:09:48</t>
  </si>
  <si>
    <t>Rafael Roldão Rodrigues - 03/03/2025 12:09:50</t>
  </si>
  <si>
    <t>Base de Dados_Images/XV92001.Imagem do Equipamento-.155347.jpg</t>
  </si>
  <si>
    <t>Alisson Airton Sobrinho - 12/02/2025 12:42:30</t>
  </si>
  <si>
    <t>YS77001</t>
  </si>
  <si>
    <t>MONITOR DE CARREGAMENTO</t>
  </si>
  <si>
    <t>Beatriz Alves Nunes de Paulo - 06/03/2025 09:10:24</t>
  </si>
  <si>
    <t>Beatriz Alves Nunes de Paulo - 06/03/2025 09:10:25</t>
  </si>
  <si>
    <t>Beatriz Alves Nunes de Paulo - 06/03/2025 09:10:29</t>
  </si>
  <si>
    <t>Alisson Airton Sobrinho - 02/17/2025 09:17:31</t>
  </si>
  <si>
    <t>ZE77001</t>
  </si>
  <si>
    <t>SENSOR DE POSIÇÃO BRAÇO CARREG.</t>
  </si>
  <si>
    <t>Weslley Ferreira Cooper - 31/01/2025 15:48:48</t>
  </si>
  <si>
    <t>Weslley Ferreira Cooper - 31/01/2025 15:48:47</t>
  </si>
  <si>
    <t>Weslley Ferreira Cooper - 31/01/2025 15:48:46</t>
  </si>
  <si>
    <t>Weslley Ferreira Cooper - 31/01/2025 15:48:44</t>
  </si>
  <si>
    <t>Alisson Airton Sobrinho - 04/02/2025 15:08:57</t>
  </si>
  <si>
    <t>Alisson Airton Sobrinho - 04/02/2025 15:08:59</t>
  </si>
  <si>
    <t>Alisson Airton Sobrinho - 04/02/2025 15:09:02</t>
  </si>
  <si>
    <t>Alisson Airton Sobrinho - 04/02/2025 15:09:09</t>
  </si>
  <si>
    <t>Alisson Airton Sobrinho - 04/02/2025 15:09:11</t>
  </si>
  <si>
    <t>Alisson Airton Sobrinho - 19/02/2025 11:54:52</t>
  </si>
  <si>
    <t>Alisson Airton Sobrinho - 19/02/2025 11:54:53</t>
  </si>
  <si>
    <t>Weslley Ferreira Cooper - 01/31/2025 15:48:10</t>
  </si>
  <si>
    <t>PIT20008</t>
  </si>
  <si>
    <t>Pressão Óleo Diferencial Filtro Turb. Desfibrador</t>
  </si>
  <si>
    <t>Alisson Airton Sobrinho - 03/03/2025 15:29:09</t>
  </si>
  <si>
    <t>Alisson Airton Sobrinho - 03/03/2025 15:29:10</t>
  </si>
  <si>
    <t>Alisson Airton Sobrinho - 03/03/2025 15:29:11</t>
  </si>
  <si>
    <t>Alisson Airton Sobrinho - 03/03/2025 15:29:12</t>
  </si>
  <si>
    <t>Alisson Airton Sobrinho - 03/03/2025 15:29:15</t>
  </si>
  <si>
    <t>Alisson Airton Sobrinho - 03/03/2025 15:29:16</t>
  </si>
  <si>
    <t>Alisson Airton Sobrinho - 03/03/2025 15:29:17</t>
  </si>
  <si>
    <t>Alisson Airton Sobrinho - 03/03/2025 15:29:23</t>
  </si>
  <si>
    <t>Alisson Airton Sobrinho - 03/03/2025 15:29:24</t>
  </si>
  <si>
    <t>Alisson Airton Sobrinho - 07/03/2025 06:22:33</t>
  </si>
  <si>
    <t>Base de Dados_Images/PIT20008.Imagem do Equipamento-.193239.jpg</t>
  </si>
  <si>
    <t>Matheus César Azevedo Neto - 03/03/2025 15:23:02</t>
  </si>
  <si>
    <t>Cristalizador 05</t>
  </si>
  <si>
    <t>CR-4005</t>
  </si>
  <si>
    <t>Cristalizador Agitador N° 05</t>
  </si>
  <si>
    <t>Alisson Airton Sobrinho - 07/03/2025 11:28:15</t>
  </si>
  <si>
    <t>Alisson Airton Sobrinho - 07/03/2025 11:28:19</t>
  </si>
  <si>
    <t>Alisson Airton Sobrinho - 07/03/2025 11:28:21</t>
  </si>
  <si>
    <t>Alisson Airton Sobrinho - 07/03/2025 11:28:22</t>
  </si>
  <si>
    <t>Alisson Airton Sobrinho - 07/03/2025 11:28:24</t>
  </si>
  <si>
    <t>Alisson Airton Sobrinho - 07/03/2025 11:28:26</t>
  </si>
  <si>
    <t>Alisson Airton Sobrinho - 07/03/2025 11:28:28</t>
  </si>
  <si>
    <t>Alisson Airton Sobrinho - 07/03/2025 11:28:30</t>
  </si>
  <si>
    <t>Alisson Airton Sobrinho - 07/03/2025 11:28:31</t>
  </si>
  <si>
    <t>Alisson Airton Sobrinho - 07/03/2025 11:28:32</t>
  </si>
  <si>
    <t>Alisson Airton Sobrinho - 08/03/2025 11:48:29</t>
  </si>
  <si>
    <t>Alisson Airton Sobrinho - 08/03/2025 11:48:31</t>
  </si>
  <si>
    <t>Alisson Airton Sobrinho - 08/03/2025 11:48:33</t>
  </si>
  <si>
    <t>Alisson Airton Sobrinho - 08/03/2025 11:48:35</t>
  </si>
  <si>
    <t>Alisson Airton Sobrinho - 08/03/2025 11:56:17</t>
  </si>
  <si>
    <t>Alisson Airton Sobrinho - 08/03/2025 11:56:18</t>
  </si>
  <si>
    <t>Alisson Airton Sobrinho - 08/03/2025 11:56:19</t>
  </si>
  <si>
    <t>Alisson Airton Sobrinho - 08/03/2025 11:56:21</t>
  </si>
  <si>
    <t>Alisson Airton Sobrinho - 08/03/2025 11:56:22</t>
  </si>
  <si>
    <t>Alisson Airton Sobrinho - 08/03/2025 14:05:47</t>
  </si>
  <si>
    <t>Alisson Airton Sobrinho - 08/03/2025 14:05:48</t>
  </si>
  <si>
    <t>Alisson Airton Sobrinho - 08/03/2025 14:05:49</t>
  </si>
  <si>
    <t>Alisson Airton Sobrinho - 03/07/2025 11:27:38</t>
  </si>
  <si>
    <t>Cristalizador 06</t>
  </si>
  <si>
    <t>CR-4006</t>
  </si>
  <si>
    <t>N°06</t>
  </si>
  <si>
    <t>Alisson Airton Sobrinho - 07/03/2025 11:28:48</t>
  </si>
  <si>
    <t>Alisson Airton Sobrinho - 07/03/2025 11:28:50</t>
  </si>
  <si>
    <t>Alisson Airton Sobrinho - 07/03/2025 11:28:51</t>
  </si>
  <si>
    <t>Alisson Airton Sobrinho - 07/03/2025 11:28:52</t>
  </si>
  <si>
    <t>Alisson Airton Sobrinho - 07/03/2025 11:28:53</t>
  </si>
  <si>
    <t>Alisson Airton Sobrinho - 07/03/2025 11:28:54</t>
  </si>
  <si>
    <t>Alisson Airton Sobrinho - 07/03/2025 11:28:55</t>
  </si>
  <si>
    <t>Alisson Airton Sobrinho - 07/03/2025 11:28:56</t>
  </si>
  <si>
    <t>Alisson Airton Sobrinho - 07/03/2025 11:28:57</t>
  </si>
  <si>
    <t>Alisson Airton Sobrinho - 07/03/2025 11:28:59</t>
  </si>
  <si>
    <t>Alisson Airton Sobrinho - 07/03/2025 11:29:00</t>
  </si>
  <si>
    <t>Alisson Airton Sobrinho - 08/03/2025 11:48:55</t>
  </si>
  <si>
    <t>Alisson Airton Sobrinho - 08/03/2025 11:48:57</t>
  </si>
  <si>
    <t>Alisson Airton Sobrinho - 08/03/2025 11:48:58</t>
  </si>
  <si>
    <t>Alisson Airton Sobrinho - 08/03/2025 11:49:00</t>
  </si>
  <si>
    <t>Alisson Airton Sobrinho - 08/03/2025 11:56:31</t>
  </si>
  <si>
    <t>Alisson Airton Sobrinho - 08/03/2025 11:56:32</t>
  </si>
  <si>
    <t>Alisson Airton Sobrinho - 08/03/2025 11:56:33</t>
  </si>
  <si>
    <t>Alisson Airton Sobrinho - 08/03/2025 11:56:34</t>
  </si>
  <si>
    <t>Alisson Airton Sobrinho - 08/03/2025 11:56:36</t>
  </si>
  <si>
    <t>Alisson Airton Sobrinho - 08/03/2025 14:05:56</t>
  </si>
  <si>
    <t>Alisson Airton Sobrinho - 08/03/2025 14:05:57</t>
  </si>
  <si>
    <t>Alisson Airton Sobrinho - 08/03/2025 14:05:58</t>
  </si>
  <si>
    <t>Alisson Airton Sobrinho - 03/07/2025 11:28:45</t>
  </si>
  <si>
    <t>Cristalizador 07</t>
  </si>
  <si>
    <t>CR-4007</t>
  </si>
  <si>
    <t>Cristalizador Agitador N°07</t>
  </si>
  <si>
    <t>Alisson Airton Sobrinho - 07/03/2025 11:30:36</t>
  </si>
  <si>
    <t>Alisson Airton Sobrinho - 07/03/2025 11:30:37</t>
  </si>
  <si>
    <t>Alisson Airton Sobrinho - 07/03/2025 11:30:38</t>
  </si>
  <si>
    <t>Alisson Airton Sobrinho - 07/03/2025 11:30:39</t>
  </si>
  <si>
    <t>Alisson Airton Sobrinho - 07/03/2025 11:30:40</t>
  </si>
  <si>
    <t>Alisson Airton Sobrinho - 07/03/2025 11:30:41</t>
  </si>
  <si>
    <t>Alisson Airton Sobrinho - 07/03/2025 11:30:42</t>
  </si>
  <si>
    <t>Alisson Airton Sobrinho - 07/03/2025 11:30:44</t>
  </si>
  <si>
    <t>Alisson Airton Sobrinho - 07/03/2025 11:30:46</t>
  </si>
  <si>
    <t>Alisson Airton Sobrinho - 07/03/2025 11:30:47</t>
  </si>
  <si>
    <t>Alisson Airton Sobrinho - 08/03/2025 11:49:09</t>
  </si>
  <si>
    <t>Alisson Airton Sobrinho - 08/03/2025 11:49:11</t>
  </si>
  <si>
    <t>Alisson Airton Sobrinho - 08/03/2025 11:49:12</t>
  </si>
  <si>
    <t>Alisson Airton Sobrinho - 08/03/2025 11:49:13</t>
  </si>
  <si>
    <t>Alisson Airton Sobrinho - 08/03/2025 11:56:43</t>
  </si>
  <si>
    <t>Alisson Airton Sobrinho - 08/03/2025 11:56:44</t>
  </si>
  <si>
    <t>Alisson Airton Sobrinho - 08/03/2025 11:56:45</t>
  </si>
  <si>
    <t>Alisson Airton Sobrinho - 08/03/2025 11:56:46</t>
  </si>
  <si>
    <t>Alisson Airton Sobrinho - 08/03/2025 11:56:48</t>
  </si>
  <si>
    <t>Alisson Airton Sobrinho - 08/03/2025 14:06:05</t>
  </si>
  <si>
    <t>Alisson Airton Sobrinho - 08/03/2025 14:06:06</t>
  </si>
  <si>
    <t>Alisson Airton Sobrinho - 08/03/2025 14:06:07</t>
  </si>
  <si>
    <t>Alisson Airton Sobrinho - 03/07/2025 11:30:33</t>
  </si>
  <si>
    <t>ID</t>
  </si>
  <si>
    <t>Nº Pergunta [AUT]</t>
  </si>
  <si>
    <t>OS</t>
  </si>
  <si>
    <t>Etapa</t>
  </si>
  <si>
    <t>Pendência:</t>
  </si>
  <si>
    <t>Status da Pendência</t>
  </si>
  <si>
    <t>Resolução:</t>
  </si>
  <si>
    <t>Resolução Aprovada ?</t>
  </si>
  <si>
    <t>Motivo de Reprovação:</t>
  </si>
  <si>
    <t>Resolução Após Reprova:</t>
  </si>
  <si>
    <t>Registrada:</t>
  </si>
  <si>
    <t>Andamento:</t>
  </si>
  <si>
    <t>Resolvida:</t>
  </si>
  <si>
    <t>Aprovada:</t>
  </si>
  <si>
    <t>Assinatura</t>
  </si>
  <si>
    <t>Imagem da Pendência</t>
  </si>
  <si>
    <t>Imagem Após Resolução</t>
  </si>
  <si>
    <t>5823d304</t>
  </si>
  <si>
    <t>XV65121_PC_P2</t>
  </si>
  <si>
    <t>Tanque De Mel Final</t>
  </si>
  <si>
    <t>(MM) Proteções das partes rotativas instaladas ? = Não Conforme</t>
  </si>
  <si>
    <t>Resolvida</t>
  </si>
  <si>
    <t>Feito.</t>
  </si>
  <si>
    <t>Aprovada</t>
  </si>
  <si>
    <t>Alisson Airton Sobrinho - 02/01/2025 10:55:47</t>
  </si>
  <si>
    <t>Matheus César Azevedo Neto - 31/01/2025 11:49:22</t>
  </si>
  <si>
    <t>Matheus César Azevedo Neto - 31/01/2025 11:49:46</t>
  </si>
  <si>
    <t>Usuários_Images/Matheus César Azevedo Neto.Assinatura.175632.png</t>
  </si>
  <si>
    <t>a87a94d3</t>
  </si>
  <si>
    <t>XV65123_PC_P1</t>
  </si>
  <si>
    <t>(MM) Equipamento Isento de vazamento de óleo ? = Não Conforme</t>
  </si>
  <si>
    <t>Alisson Airton Sobrinho - 21/01/2025 11:42:16</t>
  </si>
  <si>
    <t>Matheus César Azevedo Neto - 31/01/2025 11:46:37</t>
  </si>
  <si>
    <t>Matheus César Azevedo Neto - 31/01/2025 11:47:38</t>
  </si>
  <si>
    <t>c2bae46b</t>
  </si>
  <si>
    <t>XV65123_PC_P3</t>
  </si>
  <si>
    <t>(MM) Cabos e roldanas instalados ? = Não Conforme</t>
  </si>
  <si>
    <t>feito.</t>
  </si>
  <si>
    <t>Alisson Airton Sobrinho - 21/01/2025 11:42:21</t>
  </si>
  <si>
    <t>Matheus César Azevedo Neto - 31/01/2025 11:46:46</t>
  </si>
  <si>
    <t>Matheus César Azevedo Neto - 31/01/2025 11:48:17</t>
  </si>
  <si>
    <t>1b4158e9</t>
  </si>
  <si>
    <t>XV65123_PC_P2</t>
  </si>
  <si>
    <t>Alisson Airton Sobrinho - 21/01/2025 11:42:27</t>
  </si>
  <si>
    <t>Matheus César Azevedo Neto - 31/01/2025 11:47:01</t>
  </si>
  <si>
    <t>Matheus César Azevedo Neto - 31/01/2025 11:48:03</t>
  </si>
  <si>
    <t>a32c7fc3</t>
  </si>
  <si>
    <t>BC7106_PC_P14</t>
  </si>
  <si>
    <t>(ME) Placa com dados do motor está fixada e legível ? = Não Conforme</t>
  </si>
  <si>
    <t>Alisson Airton Sobrinho - 21/01/2025 11:52:17</t>
  </si>
  <si>
    <t>Matheus César Azevedo Neto - 31/01/2025 11:45:44</t>
  </si>
  <si>
    <t>Matheus César Azevedo Neto - 31/01/2025 11:48:10</t>
  </si>
  <si>
    <t>0a0d9e17</t>
  </si>
  <si>
    <t>BC6503_PC_P14</t>
  </si>
  <si>
    <t>Alisson Airton Sobrinho - 21/01/2025 11:52:50</t>
  </si>
  <si>
    <t>Matheus César Azevedo Neto - 31/01/2025 11:50:45</t>
  </si>
  <si>
    <t>Matheus César Azevedo Neto - 31/01/2025 11:51:10</t>
  </si>
  <si>
    <t>5aec793f</t>
  </si>
  <si>
    <t>BC6504_PC_P14</t>
  </si>
  <si>
    <t>Alisson Airton Sobrinho - 21/01/2025 11:52:57</t>
  </si>
  <si>
    <t>Matheus César Azevedo Neto - 31/01/2025 12:01:33</t>
  </si>
  <si>
    <t>Matheus César Azevedo Neto - 31/01/2025 12:01:50</t>
  </si>
  <si>
    <t>63681549</t>
  </si>
  <si>
    <t>BC6505_PC_P14</t>
  </si>
  <si>
    <t>Alisson Airton Sobrinho - 21/01/2025 11:53:03</t>
  </si>
  <si>
    <t>Matheus César Azevedo Neto - 03/02/2025 08:07:20</t>
  </si>
  <si>
    <t>Matheus César Azevedo Neto - 03/02/2025 08:07:51</t>
  </si>
  <si>
    <t>cb9d33e3</t>
  </si>
  <si>
    <t>BC6506_PC_P14</t>
  </si>
  <si>
    <t>Alisson Airton Sobrinho - 21/01/2025 12:02:35</t>
  </si>
  <si>
    <t>Matheus César Azevedo Neto - 31/01/2025 12:02:35</t>
  </si>
  <si>
    <t>Matheus César Azevedo Neto - 31/01/2025 12:02:59</t>
  </si>
  <si>
    <t>0dc668ae</t>
  </si>
  <si>
    <t>BC6507_PC_P14</t>
  </si>
  <si>
    <t>Alisson Airton Sobrinho - 21/01/2025 12:03:57</t>
  </si>
  <si>
    <t>Matheus César Azevedo Neto - 31/01/2025 12:03:16</t>
  </si>
  <si>
    <t>Matheus César Azevedo Neto - 31/01/2025 12:03:35</t>
  </si>
  <si>
    <t>ff449237</t>
  </si>
  <si>
    <t>BC6508_PC_P14</t>
  </si>
  <si>
    <t>Alisson Airton Sobrinho - 21/01/2025 12:04:05</t>
  </si>
  <si>
    <t>Matheus César Azevedo Neto - 31/01/2025 12:03:53</t>
  </si>
  <si>
    <t>Matheus César Azevedo Neto - 31/01/2025 12:04:06</t>
  </si>
  <si>
    <t>96c271aa</t>
  </si>
  <si>
    <t>BC6509_PC_P14</t>
  </si>
  <si>
    <t>Alisson Airton Sobrinho - 21/01/2025 12:04:12</t>
  </si>
  <si>
    <t>Matheus César Azevedo Neto - 31/01/2025 12:04:14</t>
  </si>
  <si>
    <t>Matheus César Azevedo Neto - 31/01/2025 12:04:47</t>
  </si>
  <si>
    <t>c52b20a4</t>
  </si>
  <si>
    <t>BC7112_PC_P14</t>
  </si>
  <si>
    <t>Alisson Airton Sobrinho - 21/01/2025 12:04:22</t>
  </si>
  <si>
    <t>Matheus César Azevedo Neto - 31/01/2025 12:04:28</t>
  </si>
  <si>
    <t>Matheus César Azevedo Neto - 31/01/2025 12:04:36</t>
  </si>
  <si>
    <t>7f415ee5</t>
  </si>
  <si>
    <t>BC7111_PC_P14</t>
  </si>
  <si>
    <t>Alisson Airton Sobrinho - 21/01/2025 12:04:30</t>
  </si>
  <si>
    <t>Matheus César Azevedo Neto - 31/01/2025 12:05:04</t>
  </si>
  <si>
    <t>Matheus César Azevedo Neto - 31/01/2025 12:05:12</t>
  </si>
  <si>
    <t>dd23969a</t>
  </si>
  <si>
    <t>BC7105_PC_P14</t>
  </si>
  <si>
    <t>Matheus César Azevedo Neto - 31/01/2025 12:05:20</t>
  </si>
  <si>
    <t>Matheus César Azevedo Neto - 31/01/2025 12:05:26</t>
  </si>
  <si>
    <t>9a5ab855</t>
  </si>
  <si>
    <t>BC7101_PC_P14</t>
  </si>
  <si>
    <t>Alisson Airton Sobrinho - 21/01/2025 15:14:10</t>
  </si>
  <si>
    <t>Matheus César Azevedo Neto - 31/01/2025 12:05:35</t>
  </si>
  <si>
    <t>Matheus César Azevedo Neto - 31/01/2025 12:05:41</t>
  </si>
  <si>
    <t>a83f2a67</t>
  </si>
  <si>
    <t>BC7102_PC_P14</t>
  </si>
  <si>
    <t>Alisson Airton Sobrinho - 21/01/2025 15:17:21</t>
  </si>
  <si>
    <t>Matheus César Azevedo Neto - 31/01/2025 12:05:53</t>
  </si>
  <si>
    <t>Matheus César Azevedo Neto - 31/01/2025 12:06:00</t>
  </si>
  <si>
    <t>491ed8ce</t>
  </si>
  <si>
    <t>EC4001_PC_P3</t>
  </si>
  <si>
    <t>(MM) Proteção da parte rotativa instalada ? = Não Conforme</t>
  </si>
  <si>
    <t>Realizado</t>
  </si>
  <si>
    <t>Alisson Airton Sobrinho - 27/01/2025 11:26:17</t>
  </si>
  <si>
    <t>Matheus César Azevedo Neto - 30/01/2025 08:28:41</t>
  </si>
  <si>
    <t>Matheus César Azevedo Neto - 31/01/2025 11:48:24</t>
  </si>
  <si>
    <t>10c64494</t>
  </si>
  <si>
    <t>BD4003_PC_P14</t>
  </si>
  <si>
    <t>Beatriz Alves Nunes de Paulo - 28/01/2025 10:12:21</t>
  </si>
  <si>
    <t>Matheus César Azevedo Neto - 31/01/2025 11:43:16</t>
  </si>
  <si>
    <t>Matheus César Azevedo Neto - 31/01/2025 11:47:55</t>
  </si>
  <si>
    <t>cf3f145c</t>
  </si>
  <si>
    <t>MX6502_PC_P11</t>
  </si>
  <si>
    <t>Alisson Airton Sobrinho - 29/01/2025 20:06:40</t>
  </si>
  <si>
    <t>Matheus César Azevedo Neto - 31/01/2025 11:44:26</t>
  </si>
  <si>
    <t>Matheus César Azevedo Neto - 31/01/2025 11:45:10</t>
  </si>
  <si>
    <t>3546a04e</t>
  </si>
  <si>
    <t>VT9208_PC_P19</t>
  </si>
  <si>
    <t>(ME) Cabo de alimentação de rede conectado ? = Não Conforme</t>
  </si>
  <si>
    <t>Paula Caroline Morais Duarte - 30/01/2025 09:42:17</t>
  </si>
  <si>
    <t>Matheus César Azevedo Neto - 31/01/2025 08:58:29</t>
  </si>
  <si>
    <t>Matheus César Azevedo Neto - 31/01/2025 11:42:03</t>
  </si>
  <si>
    <t>9408937a</t>
  </si>
  <si>
    <t>VT9208_PC_P20</t>
  </si>
  <si>
    <t>(ME) Sistema pneumático de operação dos dampers instalados e operacional ? (mangueiras, regulador de pressão de ar, filtros de linha)= Não Conforme</t>
  </si>
  <si>
    <t>Paula Caroline Morais Duarte - 30/01/2025 09:42:22</t>
  </si>
  <si>
    <t>Matheus César Azevedo Neto - 31/01/2025 08:58:15</t>
  </si>
  <si>
    <t>Matheus César Azevedo Neto - 31/01/2025 11:42:09</t>
  </si>
  <si>
    <t>d8881443</t>
  </si>
  <si>
    <t>Local do instrumento errado, o mesmo se encontra na fermentação</t>
  </si>
  <si>
    <t>Weslley Ferreira Cooper - 30/01/2025 09:33:17</t>
  </si>
  <si>
    <t>Matheus César Azevedo Neto - 04/02/2025 15:23:41</t>
  </si>
  <si>
    <t>Matheus César Azevedo Neto - 04/02/2025 15:23:48</t>
  </si>
  <si>
    <t>dfdd556d</t>
  </si>
  <si>
    <t>BC9602_PC_P3</t>
  </si>
  <si>
    <t>Paula Caroline Morais Duarte - 30/01/2025 16:03:43</t>
  </si>
  <si>
    <t>Matheus César Azevedo Neto - 31/01/2025 08:57:58</t>
  </si>
  <si>
    <t>Matheus César Azevedo Neto - 31/01/2025 11:41:54</t>
  </si>
  <si>
    <t>e8920947</t>
  </si>
  <si>
    <t>BC9237_CE_P1</t>
  </si>
  <si>
    <t>(MM) Observado vazamento do fluido de lubrificação ? = Não Conforme</t>
  </si>
  <si>
    <t>ok.</t>
  </si>
  <si>
    <t>Paula Caroline Morais Duarte - 31/01/2025 08:50:55</t>
  </si>
  <si>
    <t>Matheus César Azevedo Neto - 31/01/2025 08:57:42</t>
  </si>
  <si>
    <t>Matheus César Azevedo Neto - 31/01/2025 09:08:08</t>
  </si>
  <si>
    <t>5414c057</t>
  </si>
  <si>
    <t>BC9237_CE_P3</t>
  </si>
  <si>
    <t>(MM) Válvula de sucção e recalque da bomba estão abertas ? = Não Conforme</t>
  </si>
  <si>
    <t>Paula Caroline Morais Duarte - 31/01/2025 08:51:21</t>
  </si>
  <si>
    <t>Matheus César Azevedo Neto - 31/01/2025 08:57:28</t>
  </si>
  <si>
    <t>Matheus César Azevedo Neto - 03/02/2025 13:44:49</t>
  </si>
  <si>
    <t>8780ba6d</t>
  </si>
  <si>
    <t>BC9237_CE_P5</t>
  </si>
  <si>
    <t>(ME) Teste sentido de giro realizado e conforme ? = Não Conforme</t>
  </si>
  <si>
    <t>Paula Caroline Morais Duarte - 31/01/2025 08:51:25</t>
  </si>
  <si>
    <t>Matheus César Azevedo Neto - 31/01/2025 08:57:11</t>
  </si>
  <si>
    <t>Matheus César Azevedo Neto - 03/02/2025 13:44:53</t>
  </si>
  <si>
    <t>62566266</t>
  </si>
  <si>
    <t>BC9237_CE_P6</t>
  </si>
  <si>
    <t>(ME) Teste da Botoeira de emergência realizado e conforme ? = Não Conforme</t>
  </si>
  <si>
    <t>Paula Caroline Morais Duarte - 31/01/2025 08:51:30</t>
  </si>
  <si>
    <t>Matheus César Azevedo Neto - 31/01/2025 08:56:50</t>
  </si>
  <si>
    <t>Matheus César Azevedo Neto - 03/02/2025 13:45:00</t>
  </si>
  <si>
    <t>aa56b2b9</t>
  </si>
  <si>
    <t>EX8102_PC_P3</t>
  </si>
  <si>
    <t>Weslley Ferreira Cooper - 01/02/2025 10:10:06</t>
  </si>
  <si>
    <t>Matheus César Azevedo Neto - 03/02/2025 08:06:51</t>
  </si>
  <si>
    <t>Matheus César Azevedo Neto - 03/02/2025 08:07:58</t>
  </si>
  <si>
    <t>064bef74</t>
  </si>
  <si>
    <t>EX8102_PC_P2</t>
  </si>
  <si>
    <t>(MM) Nível de óleo adequado ? = Não Conforme</t>
  </si>
  <si>
    <t>Weslley Ferreira Cooper - 01/02/2025 10:10:13</t>
  </si>
  <si>
    <t>Matheus César Azevedo Neto - 03/02/2025 08:06:41</t>
  </si>
  <si>
    <t>Matheus César Azevedo Neto - 03/02/2025 08:08:02</t>
  </si>
  <si>
    <t>6a674e8c</t>
  </si>
  <si>
    <t>CAV002_CE_P1</t>
  </si>
  <si>
    <t>(ME) Foi realizada análise de redes ? = Não Conforme</t>
  </si>
  <si>
    <t>Alisson Airton Sobrinho - 04/02/2025 14:31:32</t>
  </si>
  <si>
    <t>Matheus César Azevedo Neto - 04/02/2025 15:06:18</t>
  </si>
  <si>
    <t>Matheus César Azevedo Neto - 04/02/2025 15:06:29</t>
  </si>
  <si>
    <t>908476ba</t>
  </si>
  <si>
    <t>BC6516_PC_P1</t>
  </si>
  <si>
    <t>(ME) Motor instalado ? = Não Conforme</t>
  </si>
  <si>
    <t>Libner Ferreira De Morais - 06/02/2025 08:24:33</t>
  </si>
  <si>
    <t>Matheus César Azevedo Neto - 06/02/2025 12:08:15</t>
  </si>
  <si>
    <t>Matheus César Azevedo Neto - 06/02/2025 13:36:22</t>
  </si>
  <si>
    <t>244947fc</t>
  </si>
  <si>
    <t>BC9107_CE_P4</t>
  </si>
  <si>
    <t>(ME) Configuração do driver testada e correta ? (Somente se substituído) = Não Conforme</t>
  </si>
  <si>
    <t>Drive montado.</t>
  </si>
  <si>
    <t>Matheus César Azevedo Neto - 25/02/2025 09:28:43</t>
  </si>
  <si>
    <t>Matheus César Azevedo Neto - 25/02/2025 09:28:54</t>
  </si>
  <si>
    <t>cb966ff3</t>
  </si>
  <si>
    <t>BC9107_CE_P5</t>
  </si>
  <si>
    <t>Matheus César Azevedo Neto - 25/02/2025 09:28:26</t>
  </si>
  <si>
    <t>Matheus César Azevedo Neto - 25/02/2025 09:29:38</t>
  </si>
  <si>
    <t>0d3e1423</t>
  </si>
  <si>
    <t>TIT88012_CE_P2</t>
  </si>
  <si>
    <t>(ME) Display do transmissor operando corretamente ? = Não Conforme</t>
  </si>
  <si>
    <t>Resolvido.</t>
  </si>
  <si>
    <t>Hugo Luis Leonel - 26/02/2025 12:12:05</t>
  </si>
  <si>
    <t>Matheus César Azevedo Neto - 26/02/2025 12:21:00</t>
  </si>
  <si>
    <t>Matheus César Azevedo Neto - 26/02/2025 12:21:11</t>
  </si>
  <si>
    <t>4e660a0c</t>
  </si>
  <si>
    <t>TR9209_DF_P3</t>
  </si>
  <si>
    <t>Distribuição uniforme de água resfriada na bacia ? = Não Conforme</t>
  </si>
  <si>
    <t>Paula Caroline Morais Duarte - 03/03/2025 08:42:47</t>
  </si>
  <si>
    <t>Matheus César Azevedo Neto - 03/03/2025 11:11:15</t>
  </si>
  <si>
    <t>Matheus César Azevedo Neto - 03/03/2025 11:11:50</t>
  </si>
  <si>
    <t>e0fbefda</t>
  </si>
  <si>
    <t>XV40013_DQ_P1</t>
  </si>
  <si>
    <t>Equipamento isento de vazamento ? = Não Conforme</t>
  </si>
  <si>
    <t>Alisson Airton Sobrinho - 07/03/2025 08:15:49</t>
  </si>
  <si>
    <t>Matheus César Azevedo Neto - 07/03/2025 08:20:55</t>
  </si>
  <si>
    <t>Matheus César Azevedo Neto - 07/03/2025 08:21:05</t>
  </si>
  <si>
    <t>Registrado:</t>
  </si>
  <si>
    <t>Imagem</t>
  </si>
  <si>
    <t>Motivo da Remoção</t>
  </si>
  <si>
    <t>Status</t>
  </si>
  <si>
    <t>Adicionado/Removido:</t>
  </si>
  <si>
    <t>Matheus César Azevedo Neto - 29/01/2025 11:18:05</t>
  </si>
  <si>
    <t>Adicionado</t>
  </si>
  <si>
    <t>Matheus César Azevedo Neto - 29/01/2025 11:18:08</t>
  </si>
  <si>
    <t>9104</t>
  </si>
  <si>
    <t>Incluir</t>
  </si>
  <si>
    <t>Paula Caroline Morais Duarte - 28/01/2025 15:59:30</t>
  </si>
  <si>
    <t>Bomba já existente</t>
  </si>
  <si>
    <t>Removido</t>
  </si>
  <si>
    <t>Matheus César Azevedo Neto - 28/01/2025 16:47:03</t>
  </si>
  <si>
    <t>BC 9104</t>
  </si>
  <si>
    <t>Bba Água Bruta Para Lavagem de Gases</t>
  </si>
  <si>
    <t>Diego Silva Queiroz - 28/01/2025 16:01:51</t>
  </si>
  <si>
    <t>Matheus César Azevedo Neto - 28/01/2025 16:46:59</t>
  </si>
  <si>
    <t>Paula Caroline Morais Duarte - 28/01/2025 16:06:35</t>
  </si>
  <si>
    <t>Matheus César Azevedo Neto - 28/01/2025 16:47:26</t>
  </si>
  <si>
    <t>Paula Caroline Morais Duarte - 30/01/2025 15:39:40</t>
  </si>
  <si>
    <t>Weslley Ferreira Cooper - 31/01/2025 11:52:54</t>
  </si>
  <si>
    <t>Essa válvula passou a ser manual,devido controle por inversor</t>
  </si>
  <si>
    <t>Matheus César Azevedo Neto - 03/02/2025 14:17:22</t>
  </si>
  <si>
    <t>XV30005</t>
  </si>
  <si>
    <t>Val Cond Pre2 Normal</t>
  </si>
  <si>
    <t>Erico Borges De Freitas - 01/02/2025 11:35:03</t>
  </si>
  <si>
    <t>Base de Dados_Images/XV30005.Imagem do Equipamento-.145418.jpg</t>
  </si>
  <si>
    <t>Instrumento não existente</t>
  </si>
  <si>
    <t>Matheus César Azevedo Neto - 04/02/2025 14:29:54</t>
  </si>
  <si>
    <t>XV30006</t>
  </si>
  <si>
    <t>Val Cond Pre2 Bypass</t>
  </si>
  <si>
    <t>Erico Borges De Freitas - 01/02/2025 11:35:59</t>
  </si>
  <si>
    <t>Base de Dados_Images/XV30006.Imagem do Equipamento-.145515.jpg</t>
  </si>
  <si>
    <t>Matheus César Azevedo Neto - 04/02/2025 14:29:51</t>
  </si>
  <si>
    <t>Erico Borges De Freitas - 01/02/2025 11:40:03</t>
  </si>
  <si>
    <t>Matheus César Azevedo Neto - 03/02/2025 14:16:24</t>
  </si>
  <si>
    <t>TCV40034</t>
  </si>
  <si>
    <t>Válvula Temperatura Secador Açúcar</t>
  </si>
  <si>
    <t>Beatriz Alves Nunes de Paulo - 03/02/2025 09:58:37</t>
  </si>
  <si>
    <t>Não há no campo</t>
  </si>
  <si>
    <t>Matheus César Azevedo Neto - 03/02/2025 14:16:45</t>
  </si>
  <si>
    <t>TIT40034</t>
  </si>
  <si>
    <t>Temperatura Secador Açúcar</t>
  </si>
  <si>
    <t>Beatriz Alves Nunes de Paulo - 03/02/2025 10:00:38</t>
  </si>
  <si>
    <t>Matheus César Azevedo Neto - 03/02/2025 14:16:42</t>
  </si>
  <si>
    <t>Paula Caroline Morais Duarte - 03/02/2025 10:46:05</t>
  </si>
  <si>
    <t>Matheus César Azevedo Neto - 03/02/2025 14:16:21</t>
  </si>
  <si>
    <t>EB5003</t>
  </si>
  <si>
    <t>Esteira Movel P/ Carreg Acucar Caminh</t>
  </si>
  <si>
    <t>Beatriz Alves Nunes de Paulo - 03/02/2025 11:48:15</t>
  </si>
  <si>
    <t>Não existe</t>
  </si>
  <si>
    <t>Matheus César Azevedo Neto - 03/02/2025 14:16:39</t>
  </si>
  <si>
    <t>EB4001</t>
  </si>
  <si>
    <t>Esteira De Pedra Para Diluição</t>
  </si>
  <si>
    <t>Beatriz Alves Nunes de Paulo - 03/02/2025 11:48:57</t>
  </si>
  <si>
    <t>Matheus César Azevedo Neto - 03/02/2025 14:16:37</t>
  </si>
  <si>
    <t>LCV40037</t>
  </si>
  <si>
    <t>Válvula Nível Lavador Pó</t>
  </si>
  <si>
    <t>Beatriz Alves Nunes de Paulo - 03/02/2025 11:52:38</t>
  </si>
  <si>
    <t>Matheus César Azevedo Neto - 03/02/2025 14:16:34</t>
  </si>
  <si>
    <t>BC9108</t>
  </si>
  <si>
    <t>Bba O De Agua P/ Eta</t>
  </si>
  <si>
    <t>Paula Caroline Morais Duarte - 03/02/2025 15:55:24</t>
  </si>
  <si>
    <t>Matheus César Azevedo Neto - 04/02/2025 14:29:46</t>
  </si>
  <si>
    <t>BC9109</t>
  </si>
  <si>
    <t>Bba (Reserva) De Agua P/ Eta</t>
  </si>
  <si>
    <t>Paula Caroline Morais Duarte - 03/02/2025 15:55:41</t>
  </si>
  <si>
    <t>Matheus César Azevedo Neto - 04/02/2025 14:29:43</t>
  </si>
  <si>
    <t>Paula Caroline Morais Duarte - 03/02/2025 15:02:52</t>
  </si>
  <si>
    <t>Matheus César Azevedo Neto - 03/02/2025 15:11:40</t>
  </si>
  <si>
    <t>BC4001</t>
  </si>
  <si>
    <t>Bba Do Tq Diluidor De Acucar</t>
  </si>
  <si>
    <t>Beatriz Alves Nunes de Paulo - 03/02/2025 15:09:11</t>
  </si>
  <si>
    <t>Desativada</t>
  </si>
  <si>
    <t>Matheus César Azevedo Neto - 03/02/2025 15:11:50</t>
  </si>
  <si>
    <t>Tanque Caldo Primario (Tq 201)</t>
  </si>
  <si>
    <t>FIC30008</t>
  </si>
  <si>
    <t>Controle De Vazão Caldo Primário</t>
  </si>
  <si>
    <t>Adriel da Silva Queiroz - 04/02/2025 10:45:50</t>
  </si>
  <si>
    <t>Item desativado</t>
  </si>
  <si>
    <t>Matheus César Azevedo Neto - 04/02/2025 14:29:58</t>
  </si>
  <si>
    <t>Nível Tanque Caldo Primário</t>
  </si>
  <si>
    <t>Adriel da Silva Queiroz - 04/02/2025 10:46:25</t>
  </si>
  <si>
    <t>Não existe em campo</t>
  </si>
  <si>
    <t>Matheus César Azevedo Neto - 04/02/2025 14:30:01</t>
  </si>
  <si>
    <t>FIT30008</t>
  </si>
  <si>
    <t>Vazão Caldo Primário</t>
  </si>
  <si>
    <t>Adriel da Silva Queiroz - 04/02/2025 10:46:54</t>
  </si>
  <si>
    <t>Matheus César Azevedo Neto - 04/02/2025 14:29:38</t>
  </si>
  <si>
    <t>FCV30008</t>
  </si>
  <si>
    <t>Válvula Vazão Caldo Primário</t>
  </si>
  <si>
    <t>Adriel da Silva Queiroz - 04/02/2025 10:47:24</t>
  </si>
  <si>
    <t>Não existente em campo</t>
  </si>
  <si>
    <t>Matheus César Azevedo Neto - 04/02/2025 15:01:11</t>
  </si>
  <si>
    <t>FIT40002</t>
  </si>
  <si>
    <t>Vazão Mel Final</t>
  </si>
  <si>
    <t>Alisson Airton Sobrinho - 04/02/2025 14:22:02</t>
  </si>
  <si>
    <t>Item não existe em campo</t>
  </si>
  <si>
    <t>Matheus César Azevedo Neto - 04/02/2025 15:01:22</t>
  </si>
  <si>
    <t>XV40043</t>
  </si>
  <si>
    <t>Valvula De Vapor De Limpeza Linha Corte Sementeira 02</t>
  </si>
  <si>
    <t>Beatriz Alves Nunes de Paulo - 04/02/2025 14:17:47</t>
  </si>
  <si>
    <t>Não tem no campo</t>
  </si>
  <si>
    <t>Matheus César Azevedo Neto - 04/02/2025 15:01:18</t>
  </si>
  <si>
    <t>Beatriz Alves Nunes de Paulo - 04/02/2025 15:05:03</t>
  </si>
  <si>
    <t>Matheus César Azevedo Neto - 04/02/2025 15:10:12</t>
  </si>
  <si>
    <t>Paula Caroline Morais Duarte - 05/02/2025 14:47:32</t>
  </si>
  <si>
    <t>Matheus César Azevedo Neto - 06/02/2025 12:08:32</t>
  </si>
  <si>
    <t>Paula Caroline Morais Duarte - 05/02/2025 14:48:43</t>
  </si>
  <si>
    <t>Matheus César Azevedo Neto - 06/02/2025 12:08:31</t>
  </si>
  <si>
    <t>Redutora 1,5X 0,8 Kgf/Cm²</t>
  </si>
  <si>
    <t>PIT81024</t>
  </si>
  <si>
    <t>Pressão Vapor Vegetal V1</t>
  </si>
  <si>
    <t>Weslley Ferreira Cooper - 05/02/2025 16:21:14</t>
  </si>
  <si>
    <t>Item não existe mais, foi retirado de funcionamento algum tempo atrás</t>
  </si>
  <si>
    <t>Matheus César Azevedo Neto - 06/02/2025 12:08:54</t>
  </si>
  <si>
    <t>PCV81023A</t>
  </si>
  <si>
    <t>Válvula Redutora 1 Vapor 1,5/0,8 Kgf/Cm² (Pos008-07)</t>
  </si>
  <si>
    <t>Weslley Ferreira Cooper - 05/02/2025 16:22:28</t>
  </si>
  <si>
    <t>Item nao existe mais, foi retirado alguns anos</t>
  </si>
  <si>
    <t>Matheus César Azevedo Neto - 06/02/2025 12:08:52</t>
  </si>
  <si>
    <t>PCV81023B</t>
  </si>
  <si>
    <t>Válvula Redutora 2 Vapor 1,5/0,8 Kgf/Cm² (Val064-07)</t>
  </si>
  <si>
    <t>Weslley Ferreira Cooper - 05/02/2025 16:23:13</t>
  </si>
  <si>
    <t>Item retirado a alguns anos,não-existe mais</t>
  </si>
  <si>
    <t>Matheus César Azevedo Neto - 06/02/2025 12:08:50</t>
  </si>
  <si>
    <t>PIC81023</t>
  </si>
  <si>
    <t>Controle De Pressão Redutora 1,5 Para 0,8</t>
  </si>
  <si>
    <t>Weslley Ferreira Cooper - 05/02/2025 16:24:11</t>
  </si>
  <si>
    <t>Matheus César Azevedo Neto - 06/02/2025 12:08:47</t>
  </si>
  <si>
    <t>Vácuos</t>
  </si>
  <si>
    <t>XV92003</t>
  </si>
  <si>
    <t>AMOSTRADOR SÁIDA MULTIJATOS</t>
  </si>
  <si>
    <t>Beatriz Alves Nunes de Paulo - 06/02/2025 11:15:46</t>
  </si>
  <si>
    <t>Equipamento encontra se em outro setor</t>
  </si>
  <si>
    <t>Matheus César Azevedo Neto - 14/02/2025 10:47:58</t>
  </si>
  <si>
    <t>PCTS</t>
  </si>
  <si>
    <t>Xv 92003</t>
  </si>
  <si>
    <t>Inserindo Equipamento</t>
  </si>
  <si>
    <t>Alisson Airton Sobrinho - 11/02/2025 08:40:23</t>
  </si>
  <si>
    <t>Inexistente no setor</t>
  </si>
  <si>
    <t>Matheus César Azevedo Neto - 11/02/2025 12:39:57</t>
  </si>
  <si>
    <t>Beatriz Alves Nunes de Paulo - 06/02/2025 12:14:47</t>
  </si>
  <si>
    <t>Matheus César Azevedo Neto - 06/02/2025 13:04:59</t>
  </si>
  <si>
    <t xml:space="preserve"> - 06/02/2025 12:19:46</t>
  </si>
  <si>
    <t>Matheus César Azevedo Neto - 06/02/2025 13:04:56</t>
  </si>
  <si>
    <t>Trocador De Calor/Evaporador/Aquecedor</t>
  </si>
  <si>
    <t>VA-01</t>
  </si>
  <si>
    <t>Cozedor 01 (Massa B)</t>
  </si>
  <si>
    <t>Beatriz Alves Nunes de Paulo - 08/02/2025 13:22:09</t>
  </si>
  <si>
    <t>Istrumento Não ha setor</t>
  </si>
  <si>
    <t>Matheus César Azevedo Neto - 14/02/2025 10:47:55</t>
  </si>
  <si>
    <t>VA-02</t>
  </si>
  <si>
    <t>Cozedor 02 (Massa B)</t>
  </si>
  <si>
    <t>Beatriz Alves Nunes de Paulo - 08/02/2025 13:22:46</t>
  </si>
  <si>
    <t>Instrumento não há no setor</t>
  </si>
  <si>
    <t>Matheus César Azevedo Neto - 14/02/2025 10:47:49</t>
  </si>
  <si>
    <t>VA-03</t>
  </si>
  <si>
    <t>Cozedor 03 (Massa A)</t>
  </si>
  <si>
    <t>Beatriz Alves Nunes de Paulo - 08/02/2025 13:23:27</t>
  </si>
  <si>
    <t>Matheus César Azevedo Neto - 14/02/2025 10:47:45</t>
  </si>
  <si>
    <t>TIT20107</t>
  </si>
  <si>
    <t>Temperatura Da Agua Rolo Ent 1° Terno Ld</t>
  </si>
  <si>
    <t>Rogerio Lombardi - 10/02/2025 11:45:33</t>
  </si>
  <si>
    <t>Base de Dados_Images/TIT20107.Imagem do Equipamento-.133238.jpg</t>
  </si>
  <si>
    <t>Não existe esta aplicação em campo</t>
  </si>
  <si>
    <t>Matheus César Azevedo Neto - 10/02/2025 11:45:56</t>
  </si>
  <si>
    <t>TIT20108</t>
  </si>
  <si>
    <t>Temperatura Da Agua Rolo Sup 1° Terno Ld</t>
  </si>
  <si>
    <t>Rogerio Lombardi - 10/02/2025 11:46:12</t>
  </si>
  <si>
    <t>Base de Dados_Images/TIT20108.Imagem do Equipamento-.133156.jpg</t>
  </si>
  <si>
    <t>Matheus César Azevedo Neto - 10/02/2025 11:46:33</t>
  </si>
  <si>
    <t>TIT20109</t>
  </si>
  <si>
    <t>Temperatura Da Agua Rolo Sai 1° Terno Ld</t>
  </si>
  <si>
    <t>Rogerio Lombardi - 10/02/2025 11:46:29</t>
  </si>
  <si>
    <t>Base de Dados_Images/TIT20109.Imagem do Equipamento-.133012.jpg</t>
  </si>
  <si>
    <t>Matheus César Azevedo Neto - 10/02/2025 11:47:01</t>
  </si>
  <si>
    <t>TIT20110</t>
  </si>
  <si>
    <t>Temperatura Da Agua Rolo Ent 1° Terno Le</t>
  </si>
  <si>
    <t>Rogerio Lombardi - 10/02/2025 11:46:50</t>
  </si>
  <si>
    <t>Base de Dados_Images/TIT20110.Imagem do Equipamento-.132930.jpg</t>
  </si>
  <si>
    <t>Matheus César Azevedo Neto - 10/02/2025 11:46:57</t>
  </si>
  <si>
    <t>TIT20111</t>
  </si>
  <si>
    <t>Temperatura Da Agua Rolo Sup 1° Terno Le</t>
  </si>
  <si>
    <t>Rogerio Lombardi - 10/02/2025 11:47:15</t>
  </si>
  <si>
    <t>Base de Dados_Images/TIT20111.Imagem do Equipamento-.132837.jpg</t>
  </si>
  <si>
    <t>Matheus César Azevedo Neto - 10/02/2025 11:47:24</t>
  </si>
  <si>
    <t>Matheus César Azevedo Neto - 10/02/2025 12:02:31</t>
  </si>
  <si>
    <t>Lavagem De Cana</t>
  </si>
  <si>
    <t>XV10001</t>
  </si>
  <si>
    <t>ÁGUA DA LAVAGEM DE CANA</t>
  </si>
  <si>
    <t>Paula Caroline Morais Duarte - 11/02/2025 09:28:33</t>
  </si>
  <si>
    <t>Dados de outro equipamento</t>
  </si>
  <si>
    <t>Matheus César Azevedo Neto - 11/02/2025 12:39:44</t>
  </si>
  <si>
    <t>XCV40001</t>
  </si>
  <si>
    <t>Válvula Água Multijato Cozedor 1</t>
  </si>
  <si>
    <t>Beatriz Alves Nunes de Paulo - 11/02/2025 10:55:08</t>
  </si>
  <si>
    <t>Não existe no campo</t>
  </si>
  <si>
    <t>Matheus César Azevedo Neto - 14/02/2025 10:47:52</t>
  </si>
  <si>
    <t>DCV40001</t>
  </si>
  <si>
    <t>Válvula Entrada Produto Cozedor 1</t>
  </si>
  <si>
    <t>Beatriz Alves Nunes de Paulo - 11/02/2025 10:56:23</t>
  </si>
  <si>
    <t>Matheus César Azevedo Neto - 14/02/2025 10:47:42</t>
  </si>
  <si>
    <t>Matheus César Azevedo Neto - 18/02/2025 09:14:33</t>
  </si>
  <si>
    <t>Matheus César Azevedo Neto - 18/02/2025 09:14:36</t>
  </si>
  <si>
    <t>Paula Caroline Morais Duarte - 11/02/2025 14:25:46</t>
  </si>
  <si>
    <t>Saída Multijatos</t>
  </si>
  <si>
    <t>XV92002</t>
  </si>
  <si>
    <t>ÁGUA SAÍDA MULTIJATOS EVAPORAÇÃO</t>
  </si>
  <si>
    <t>Alisson Airton Sobrinho - 12/02/2025 12:47:04</t>
  </si>
  <si>
    <t>Inexistente</t>
  </si>
  <si>
    <t>Matheus César Azevedo Neto - 14/02/2025 10:47:39</t>
  </si>
  <si>
    <t>LCV30038</t>
  </si>
  <si>
    <t>Válvula Nível Caldo P/ Pré-Evap. 3 - 1º Ef. Açúcar</t>
  </si>
  <si>
    <t>Beatriz Alves Nunes de Paulo - 12/02/2025 13:04:34</t>
  </si>
  <si>
    <t>Válvulas desativadas</t>
  </si>
  <si>
    <t>Matheus César Azevedo Neto - 14/02/2025 10:47:30</t>
  </si>
  <si>
    <t>LCV30040</t>
  </si>
  <si>
    <t>Válvula Nível Caldo Cx. 01 2/3º Ef. Açucar</t>
  </si>
  <si>
    <t>Beatriz Alves Nunes de Paulo - 12/02/2025 13:05:15</t>
  </si>
  <si>
    <t>Válvula desativada</t>
  </si>
  <si>
    <t>Matheus César Azevedo Neto - 14/02/2025 10:47:26</t>
  </si>
  <si>
    <t>LCV30039</t>
  </si>
  <si>
    <t>Válvula Nível Caldo P/ Pré-Evap. 3 - 1/2º Ef. Açúcar</t>
  </si>
  <si>
    <t>Beatriz Alves Nunes de Paulo - 12/02/2025 13:06:32</t>
  </si>
  <si>
    <t>Matheus César Azevedo Neto - 14/02/2025 10:47:09</t>
  </si>
  <si>
    <t>LCV30043</t>
  </si>
  <si>
    <t>Válvula Nível Caldo Cx. 02 3/4º Ef. Açucar</t>
  </si>
  <si>
    <t>Alisson Airton Sobrinho - 14/02/2025 10:38:29</t>
  </si>
  <si>
    <t>Matheus César Azevedo Neto - 14/02/2025 10:46:45</t>
  </si>
  <si>
    <t>LCV30044</t>
  </si>
  <si>
    <t>Válvula Nível Caldo Caixa 3 - 4/5º Ef. Açúcar</t>
  </si>
  <si>
    <t>Alisson Airton Sobrinho - 14/02/2025 10:39:21</t>
  </si>
  <si>
    <t>Matheus César Azevedo Neto - 14/02/2025 10:46:41</t>
  </si>
  <si>
    <t>LCV30045</t>
  </si>
  <si>
    <t>Válvula Nível Caldo Caixa 4 - 5º Ef. Açúcar</t>
  </si>
  <si>
    <t>Adriel da Silva Queiroz - 14/02/2025 10:55:32</t>
  </si>
  <si>
    <t>Matheus César Azevedo Neto - 15/02/2025 08:35:32</t>
  </si>
  <si>
    <t>Beatriz Alves Nunes de Paulo - 17/02/2025 08:49:03</t>
  </si>
  <si>
    <t>Matheus César Azevedo Neto - 17/02/2025 15:05:14</t>
  </si>
  <si>
    <t>SX2103</t>
  </si>
  <si>
    <t>Bomba Óleo turbina 4° e 5° terno</t>
  </si>
  <si>
    <t>Alisson Airton Sobrinho - 17/02/2025 16:26:48</t>
  </si>
  <si>
    <t>Base de Dados_Images/SX2103.Imagem do Equipamento-.191207.jpg</t>
  </si>
  <si>
    <t>Matheus César Azevedo Neto - 17/02/2025 16:27:25</t>
  </si>
  <si>
    <t>Alisson Airton Sobrinho - 17/02/2025 16:29:19</t>
  </si>
  <si>
    <t>Matheus César Azevedo Neto - 17/02/2025 16:29:50</t>
  </si>
  <si>
    <t>Paula Caroline Morais Duarte - 18/02/2025 11:25:09</t>
  </si>
  <si>
    <t>TIP20079</t>
  </si>
  <si>
    <t>Deslocamento Rolo Superior Lado Esquerdo 4º Terno</t>
  </si>
  <si>
    <t>Paula Caroline Morais Duarte - 18/02/2025 13:12:24</t>
  </si>
  <si>
    <t>Editar o estático</t>
  </si>
  <si>
    <t>Matheus César Azevedo Neto - 18/02/2025 13:14:35</t>
  </si>
  <si>
    <t>FIC20099</t>
  </si>
  <si>
    <t>Controle De Vazão Água Embebição</t>
  </si>
  <si>
    <t>Paula Caroline Morais Duarte - 20/02/2025 10:37:25</t>
  </si>
  <si>
    <t>Não encontrado</t>
  </si>
  <si>
    <t>Matheus César Azevedo Neto - 25/02/2025 07:45:09</t>
  </si>
  <si>
    <t>Bomba água residual 1</t>
  </si>
  <si>
    <t>Matheus César Azevedo Neto - 25/02/2025 07:44:36</t>
  </si>
  <si>
    <t>Base de Dados_Images/BC9807.Imagem do Equipamento-.145810.jpg</t>
  </si>
  <si>
    <t>Equipamento duplicado.</t>
  </si>
  <si>
    <t>Matheus César Azevedo Neto - 25/02/2025 07:45:12</t>
  </si>
  <si>
    <t>BC3023</t>
  </si>
  <si>
    <t>Bomba De Xarope Para O Filtro Reverflux</t>
  </si>
  <si>
    <t>Matheus César Azevedo Neto - 26/02/2025 12:25:06</t>
  </si>
  <si>
    <t>Base de Dados_Images/BC3023.Imagem do Equipamento-.151619.jpg</t>
  </si>
  <si>
    <t>Equipamento retirado da operação</t>
  </si>
  <si>
    <t>Matheus César Azevedo Neto - 26/02/2025 12:25:23</t>
  </si>
  <si>
    <t>LIT81029</t>
  </si>
  <si>
    <t>Nível Tanque Água Filtrada</t>
  </si>
  <si>
    <t>Matheus César Azevedo Neto - 03/03/2025 11:52:08</t>
  </si>
  <si>
    <t>Base de Dados_Images/LIT81029.Imagem do Equipamento-.155556.jpg</t>
  </si>
  <si>
    <t>Equipamento desativado.</t>
  </si>
  <si>
    <t>Matheus César Azevedo Neto - 03/03/2025 13:32:29</t>
  </si>
  <si>
    <t>Flotador</t>
  </si>
  <si>
    <t>BC3011</t>
  </si>
  <si>
    <t>Bomba 01 De Xarope Flotado Para Fabrica</t>
  </si>
  <si>
    <t>Alisson Airton Sobrinho - 03/03/2025 14:08:07</t>
  </si>
  <si>
    <t>Base de Dados_Images/BC3011.Imagem do Equipamento-.151858.jpg</t>
  </si>
  <si>
    <t>inexistente na planta industrial</t>
  </si>
  <si>
    <t>Matheus César Azevedo Neto - 03/03/2025 14:29:21</t>
  </si>
  <si>
    <t>Matheus César Azevedo Neto - 03/03/2025 15:22:58</t>
  </si>
  <si>
    <t>Cristalizador 03</t>
  </si>
  <si>
    <t>CR4003</t>
  </si>
  <si>
    <t>Cristalizador Agitador Nº 03</t>
  </si>
  <si>
    <t>Alisson Airton Sobrinho - 07/03/2025 11:17:28</t>
  </si>
  <si>
    <t>falha no sistema</t>
  </si>
  <si>
    <t>Matheus César Azevedo Neto - 07/03/2025 11:19:46</t>
  </si>
  <si>
    <t>CR4005</t>
  </si>
  <si>
    <t>Cristalizador Agitador Nº 05</t>
  </si>
  <si>
    <t>Alisson Airton Sobrinho - 07/03/2025 11:17:49</t>
  </si>
  <si>
    <t>Matheus César Azevedo Neto - 07/03/2025 11:19:43</t>
  </si>
  <si>
    <t>CR4006</t>
  </si>
  <si>
    <t>Cristalizador Agitador Nº 06</t>
  </si>
  <si>
    <t>Alisson Airton Sobrinho - 07/03/2025 11:18:07</t>
  </si>
  <si>
    <t>Matheus César Azevedo Neto - 07/03/2025 11:19:40</t>
  </si>
  <si>
    <t>CR4007</t>
  </si>
  <si>
    <t>Cristalizador Agitador Nº 07</t>
  </si>
  <si>
    <t>Alisson Airton Sobrinho - 07/03/2025 11:18:21</t>
  </si>
  <si>
    <t>Matheus César Azevedo Neto - 07/03/2025 11:19:37</t>
  </si>
  <si>
    <t>CR-4003</t>
  </si>
  <si>
    <t>Cristalizador Agitador N° 03</t>
  </si>
  <si>
    <t>Matheus César Azevedo Neto - 07/03/2025 14:00:46</t>
  </si>
  <si>
    <t>Equipamento descomissionado.</t>
  </si>
  <si>
    <t>Matheus César Azevedo Neto - 07/03/2025 14:02:27</t>
  </si>
  <si>
    <t>Alisson Airton Sobrinho - 07/03/2025 11:24:12</t>
  </si>
  <si>
    <t>Matheus César Azevedo Neto - 07/03/2025 11:25:36</t>
  </si>
  <si>
    <t>Alisson Airton Sobrinho - 07/03/2025 11:25:04</t>
  </si>
  <si>
    <t>Matheus César Azevedo Neto - 07/03/2025 11:25:37</t>
  </si>
  <si>
    <t>Alisson Airton Sobrinho - 07/03/2025 11:25:51</t>
  </si>
  <si>
    <t>Matheus César Azevedo Neto - 07/03/2025 11:26:33</t>
  </si>
  <si>
    <t>BC9219</t>
  </si>
  <si>
    <t>Bomba água coluna barométrica cozedor nº3</t>
  </si>
  <si>
    <t>Matheus César Azevedo Neto - 07/03/2025 14:30:41</t>
  </si>
  <si>
    <t>Base de Dados_Images/BC9219.Imagem do Equipamento-.150217.jpg</t>
  </si>
  <si>
    <t>Item descomissionado.</t>
  </si>
  <si>
    <t>Matheus César Azevedo Neto - 07/03/2025 14:30:53</t>
  </si>
  <si>
    <t>Pré</t>
  </si>
  <si>
    <t>Est.</t>
  </si>
  <si>
    <t>Frio</t>
  </si>
  <si>
    <t>Quente</t>
  </si>
  <si>
    <t>Geral</t>
  </si>
  <si>
    <t>Avanço por Etapa</t>
  </si>
  <si>
    <t>PSSR</t>
  </si>
  <si>
    <t>Moagem Teste</t>
  </si>
  <si>
    <t>(PC) Aprovador</t>
  </si>
  <si>
    <t>(PC) Aprovador [Monitoramento]</t>
  </si>
  <si>
    <t>(PC) Aprovador [Assinatura]</t>
  </si>
  <si>
    <t>(PC) Gate Keeper</t>
  </si>
  <si>
    <t>(PC) Gate Keeper [Monitoramento]</t>
  </si>
  <si>
    <t>(PC) Gate Keeper [Assinatura]</t>
  </si>
  <si>
    <t>(PC) Itens C/ Pendência na Liberação</t>
  </si>
  <si>
    <t>Pré-Comissionamento Liberado ?</t>
  </si>
  <si>
    <t>Pré-Comissionamento Liberado ? [Monitoramento]</t>
  </si>
  <si>
    <t xml:space="preserve">Comissionamento Estático </t>
  </si>
  <si>
    <t>(CE) Aprovador</t>
  </si>
  <si>
    <t>(CE) Cargo Aprovador</t>
  </si>
  <si>
    <t>(CE) Aprovador [Monitoramento]</t>
  </si>
  <si>
    <t>(CE) Aprovador [Assinatura]</t>
  </si>
  <si>
    <t>(CE) Aprovador 2</t>
  </si>
  <si>
    <t>(CE) Aprovador 2 [Monitoramento]</t>
  </si>
  <si>
    <t>(CE) Aprovador 2 [Assinatura]</t>
  </si>
  <si>
    <t>(CE) Gate Keeper</t>
  </si>
  <si>
    <t>(CE) Gate Keeper [Monitoramento]</t>
  </si>
  <si>
    <t>(CE) Gate Keeper [Assinatura]</t>
  </si>
  <si>
    <t>(CE) Itens C/ Pendência na Liberação</t>
  </si>
  <si>
    <t>Comissionamento Estático Liberado ?</t>
  </si>
  <si>
    <t>Comissionamento Estático Liberado ? [Monitoramento]</t>
  </si>
  <si>
    <t>(DF) Aprovador</t>
  </si>
  <si>
    <t>(DF) Aprovador [Monitoramento]</t>
  </si>
  <si>
    <t>(DF) Aprovador [Assinatura]</t>
  </si>
  <si>
    <t>(DF) Gate Keeper</t>
  </si>
  <si>
    <t>(DF) Gate Keeper [Monitoramento]</t>
  </si>
  <si>
    <t>(DF) Gate Keeper [Assinatura]</t>
  </si>
  <si>
    <t>(DF) Itens C/ Pendência na Liberação</t>
  </si>
  <si>
    <t>Dinâmico Frio Liberado ?</t>
  </si>
  <si>
    <t>Dinâmico Frio Liberado ? [Monitoramento]</t>
  </si>
  <si>
    <t>(PSSR) Aprovador</t>
  </si>
  <si>
    <t>(PSSR) Cargo Aprovador</t>
  </si>
  <si>
    <t>(PSSR) Aprovador [Monitoramento]</t>
  </si>
  <si>
    <t>(PSSR) Aprovador [Assinatura]</t>
  </si>
  <si>
    <t>(PSSR) Aprovador 2</t>
  </si>
  <si>
    <t>(PSSR) Cargo Aprovador 2</t>
  </si>
  <si>
    <t>(PSSR) Aprovador 2 [Monitoramento]</t>
  </si>
  <si>
    <t>(PSSR) Aprovador 2 [Assinatura]</t>
  </si>
  <si>
    <t>(PSSR) Gate Keeper</t>
  </si>
  <si>
    <t>(PSSR) Cargo Gate Keeper</t>
  </si>
  <si>
    <t>(PSSR) Gate Keeper [Monitoramento]</t>
  </si>
  <si>
    <t>(PSSR) Gate Keeper [Assinatura]</t>
  </si>
  <si>
    <t>(PSSR) Gate Keeper 2</t>
  </si>
  <si>
    <t>(PSSR) Cargo Gate Keeper 2</t>
  </si>
  <si>
    <t>(PSSR) Gate Keeper 2 [Monitoramento]</t>
  </si>
  <si>
    <t>(PSSR) Gate Keeper 2 [Assinatura]</t>
  </si>
  <si>
    <t>(PSSR) Itens C/ Pendência na Liberação</t>
  </si>
  <si>
    <t>PSSR Liberado ?</t>
  </si>
  <si>
    <t>(Monitoramento) PSSR Liberado ?</t>
  </si>
  <si>
    <t>(DQ) Aprovador</t>
  </si>
  <si>
    <t>(DQ) Cargo Aprovador</t>
  </si>
  <si>
    <t>(DQ) Aprovador [Monitoramento]</t>
  </si>
  <si>
    <t>(DQ) Aprovador [Assinatura]</t>
  </si>
  <si>
    <t>(DQ) Aprovador 2</t>
  </si>
  <si>
    <t>(DQ) Cargo Aprovador 2</t>
  </si>
  <si>
    <t>(DQ) Aprovador 2 [Monitoramento]</t>
  </si>
  <si>
    <t>(DQ) Aprovador 2 [Assinatura]</t>
  </si>
  <si>
    <t>(DQ) Gate Keeper</t>
  </si>
  <si>
    <t>(DQ) Cargo Gate Keeper</t>
  </si>
  <si>
    <t>(DQ) Gate Keeper [Monitoramento]</t>
  </si>
  <si>
    <t>(DQ) Gate Keeper [Assinatura]</t>
  </si>
  <si>
    <t>(DQ) Gate Keeper 2</t>
  </si>
  <si>
    <t>(DQ) Cargo Gate Keeper 2</t>
  </si>
  <si>
    <t>(DQ) Gate Keeper 2 [Monitoramento]</t>
  </si>
  <si>
    <t>(DQ) Gate Keeper 2 [Assinatura]</t>
  </si>
  <si>
    <t>(DQ) Itens C/ Pendência na Liberação</t>
  </si>
  <si>
    <t>Dinâmico Quente Liberado ?</t>
  </si>
  <si>
    <t>Dinâmico Quente Liberado ? [Monitoramento]</t>
  </si>
  <si>
    <t>(MT) Aprovador</t>
  </si>
  <si>
    <t>(MT) Cargo Aprovador</t>
  </si>
  <si>
    <t>(MT) Aprovador [Monitoramento]</t>
  </si>
  <si>
    <t>(MT) Aprovador [Assinatura]</t>
  </si>
  <si>
    <t>(MT) Aprovador 2</t>
  </si>
  <si>
    <t>(MT) Cargo Aprovador 2</t>
  </si>
  <si>
    <t>(MT) Aprovador 2 [Monitoramento]</t>
  </si>
  <si>
    <t>(MT) Aprovador 2 [Assinatura]</t>
  </si>
  <si>
    <t>(MT) Gate Keeper</t>
  </si>
  <si>
    <t>(MT) Cargo Gate Keeper</t>
  </si>
  <si>
    <t>(MT) Gate Keeper [Monitoramento]</t>
  </si>
  <si>
    <t>(MT) Gate Keeper [Assinatura]</t>
  </si>
  <si>
    <t>(MT) Gate Keeper 2</t>
  </si>
  <si>
    <t>(MT) Cargo Gate Keeper 2</t>
  </si>
  <si>
    <t>(MT) Gate Keeper 2 [Monitoramento]</t>
  </si>
  <si>
    <t>(MT) Gate Keeper 2 [Assinatura]</t>
  </si>
  <si>
    <t>(MT) Itens C/ Pendência na Liberação</t>
  </si>
  <si>
    <t>Moagem Teste Liberada ?</t>
  </si>
  <si>
    <t>Moagem Teste Liberada ? [Monitoramento]</t>
  </si>
  <si>
    <t>Aprovado</t>
  </si>
  <si>
    <t>Francisco Neto - 27/01/2025 09:07:56</t>
  </si>
  <si>
    <t>Usuários_Images/Francisco Neto.Assinatura.132500.png</t>
  </si>
  <si>
    <t>Matheus César Azevedo Neto - 27/01/2025 10:55:33</t>
  </si>
  <si>
    <t>Liberado</t>
  </si>
  <si>
    <t>Coordenador de Produção</t>
  </si>
  <si>
    <t>Rogerio Lombardi - 31/01/2025 11:13:35</t>
  </si>
  <si>
    <t>Usuários_Images/Rogerio Lombardi.Assinatura.132242.png</t>
  </si>
  <si>
    <t>Francisco Neto - 03/02/2025 14:08:12</t>
  </si>
  <si>
    <t>Matheus César Azevedo Neto - 03/02/2025 14:40:01</t>
  </si>
  <si>
    <t>Rogerio Lombardi - 04/02/2025 15:09:02</t>
  </si>
  <si>
    <t>Matheus César Azevedo Neto - 04/02/2025 15:11:41</t>
  </si>
  <si>
    <t>-</t>
  </si>
  <si>
    <t>Rogerio Lombardi - 06/02/2025 11:22:26</t>
  </si>
  <si>
    <t>Representante HSSE</t>
  </si>
  <si>
    <t>Carlito Evan Soares - 10/02/2025 14:09:18</t>
  </si>
  <si>
    <t>Usuários_Images/Carlito Evan Soares.Assinatura.170350.png</t>
  </si>
  <si>
    <t>Coordenador de Processos</t>
  </si>
  <si>
    <t>Matheus César Azevedo Neto - 10/02/2025 14:13:00</t>
  </si>
  <si>
    <t>Gerente Industrial</t>
  </si>
  <si>
    <t>Regis Bottino - 10/02/2025 14:16:28</t>
  </si>
  <si>
    <t>Usuários_Images/Regis Bottino.Assinatura.152250.png</t>
  </si>
  <si>
    <t>Rogerio Lombardi - 25/02/2025 08:13:33</t>
  </si>
  <si>
    <t>Regis Bottino - 06/03/2025 11:49:47</t>
  </si>
  <si>
    <t>Matheus César Azevedo Neto - 06/03/2025 17:41:33</t>
  </si>
  <si>
    <t>Não Liberada</t>
  </si>
  <si>
    <t>Francisco Neto - 27/01/2025 12:51:16</t>
  </si>
  <si>
    <t>Matheus César Azevedo Neto - 28/01/2025 07:28:23</t>
  </si>
  <si>
    <t>Rogerio Lombardi - 31/01/2025 11:14:57</t>
  </si>
  <si>
    <t>Francisco Neto - 03/02/2025 14:08:33</t>
  </si>
  <si>
    <t>Matheus César Azevedo Neto - 03/02/2025 14:40:49</t>
  </si>
  <si>
    <t>Rogerio Lombardi - 04/02/2025 15:09:07</t>
  </si>
  <si>
    <t>Matheus César Azevedo Neto - 04/02/2025 15:14:18</t>
  </si>
  <si>
    <t>Rogerio Lombardi - 06/02/2025 11:22:29</t>
  </si>
  <si>
    <t>Carlito Evan Soares - 10/02/2025 14:29:31</t>
  </si>
  <si>
    <t>Matheus César Azevedo Neto - 10/02/2025 14:36:20</t>
  </si>
  <si>
    <t>Regis Bottino - 10/02/2025 14:49:22</t>
  </si>
  <si>
    <t>Rogerio Lombardi - 20/02/2025 09:31:53</t>
  </si>
  <si>
    <t>Regis Bottino - 06/03/2025 11:49:44</t>
  </si>
  <si>
    <t>Matheus César Azevedo Neto - 06/03/2025 18:19:52</t>
  </si>
  <si>
    <t>Francisco Neto - 30/01/2025 09:00:56</t>
  </si>
  <si>
    <t>Matheus César Azevedo Neto - 30/01/2025 09:19:04</t>
  </si>
  <si>
    <t>Rogerio Lombardi - 31/01/2025 11:13:39</t>
  </si>
  <si>
    <t>Francisco Neto - 03/02/2025 14:24:48</t>
  </si>
  <si>
    <t>Matheus César Azevedo Neto - 03/02/2025 14:40:46</t>
  </si>
  <si>
    <t>Rogerio Lombardi - 04/02/2025 15:09:11</t>
  </si>
  <si>
    <t>Matheus César Azevedo Neto - 04/02/2025 15:11:57</t>
  </si>
  <si>
    <t>Rogerio Lombardi - 06/02/2025 11:22:33</t>
  </si>
  <si>
    <t>Carlito Evan Soares - 10/02/2025 14:29:45</t>
  </si>
  <si>
    <t>Matheus César Azevedo Neto - 10/02/2025 14:36:29</t>
  </si>
  <si>
    <t>Regis Bottino - 10/02/2025 14:49:27</t>
  </si>
  <si>
    <t>Rogerio Lombardi - 25/02/2025 08:13:38</t>
  </si>
  <si>
    <t>Regis Bottino - 06/03/2025 11:49:27</t>
  </si>
  <si>
    <t>Matheus César Azevedo Neto - 06/03/2025 18:19:23</t>
  </si>
  <si>
    <t>Francisco Neto - 27/01/2025 09:07:34</t>
  </si>
  <si>
    <t>Matheus César Azevedo Neto - 27/01/2025 10:50:05</t>
  </si>
  <si>
    <t>Rogerio Lombardi - 31/01/2025 11:15:00</t>
  </si>
  <si>
    <t>Francisco Neto - 03/02/2025 14:24:52</t>
  </si>
  <si>
    <t>Matheus César Azevedo Neto - 03/02/2025 14:40:04</t>
  </si>
  <si>
    <t>Rogerio Lombardi - 04/02/2025 15:09:14</t>
  </si>
  <si>
    <t>Matheus César Azevedo Neto - 04/02/2025 15:11:45</t>
  </si>
  <si>
    <t>Rogerio Lombardi - 06/02/2025 11:22:36</t>
  </si>
  <si>
    <t>Carlito Evan Soares - 10/02/2025 14:29:52</t>
  </si>
  <si>
    <t>Matheus César Azevedo Neto - 10/02/2025 14:36:47</t>
  </si>
  <si>
    <t>Regis Bottino - 10/02/2025 14:50:25</t>
  </si>
  <si>
    <t>Rogerio Lombardi - 20/02/2025 09:31:56</t>
  </si>
  <si>
    <t>Regis Bottino - 06/03/2025 11:49:38</t>
  </si>
  <si>
    <t>Matheus César Azevedo Neto - 06/03/2025 18:16:01</t>
  </si>
  <si>
    <t>Francisco Neto - 30/01/2025 09:01:04</t>
  </si>
  <si>
    <t>Matheus César Azevedo Neto - 30/01/2025 09:19:08</t>
  </si>
  <si>
    <t>Rogerio Lombardi - 31/01/2025 11:13:46</t>
  </si>
  <si>
    <t>Francisco Neto - 03/02/2025 14:24:56</t>
  </si>
  <si>
    <t>Matheus César Azevedo Neto - 03/02/2025 14:40:07</t>
  </si>
  <si>
    <t>Rogerio Lombardi - 04/02/2025 15:10:41</t>
  </si>
  <si>
    <t>Matheus César Azevedo Neto - 04/02/2025 15:16:35</t>
  </si>
  <si>
    <t>Rogerio Lombardi - 06/02/2025 11:22:40</t>
  </si>
  <si>
    <t>Carlito Evan Soares - 10/02/2025 14:30:01</t>
  </si>
  <si>
    <t>Matheus César Azevedo Neto - 10/02/2025 14:38:01</t>
  </si>
  <si>
    <t>Regis Bottino - 10/02/2025 14:50:31</t>
  </si>
  <si>
    <t>Rogerio Lombardi - 25/02/2025 08:13:41</t>
  </si>
  <si>
    <t>Regis Bottino - 06/03/2025 11:49:32</t>
  </si>
  <si>
    <t>Matheus César Azevedo Neto - 06/03/2025 18:14:15</t>
  </si>
  <si>
    <t>Francisco Neto - 30/01/2025 09:00:51</t>
  </si>
  <si>
    <t>Matheus César Azevedo Neto - 30/01/2025 09:18:47</t>
  </si>
  <si>
    <t>Rogerio Lombardi - 31/01/2025 11:14:26</t>
  </si>
  <si>
    <t>Francisco Neto - 03/02/2025 14:24:59</t>
  </si>
  <si>
    <t>Matheus César Azevedo Neto - 03/02/2025 14:40:09</t>
  </si>
  <si>
    <t>Rogerio Lombardi - 04/02/2025 15:10:12</t>
  </si>
  <si>
    <t>Matheus César Azevedo Neto - 04/02/2025 15:14:32</t>
  </si>
  <si>
    <t>Rogerio Lombardi - 06/02/2025 11:22:43</t>
  </si>
  <si>
    <t>Carlito Evan Soares - 10/02/2025 14:30:10</t>
  </si>
  <si>
    <t>Matheus César Azevedo Neto - 10/02/2025 14:36:56</t>
  </si>
  <si>
    <t>Regis Bottino - 10/02/2025 14:49:33</t>
  </si>
  <si>
    <t>Rogerio Lombardi - 25/02/2025 08:13:43</t>
  </si>
  <si>
    <t>Regis Bottino - 06/03/2025 11:49:35</t>
  </si>
  <si>
    <t>Matheus César Azevedo Neto - 06/03/2025 18:14:51</t>
  </si>
  <si>
    <t>Francisco Neto - 31/01/2025 12:00:07</t>
  </si>
  <si>
    <t>Matheus César Azevedo Neto - 31/01/2025 12:11:27</t>
  </si>
  <si>
    <t>Rogerio Lombardi - 31/01/2025 13:15:46</t>
  </si>
  <si>
    <t>Francisco Neto - 03/02/2025 14:25:03</t>
  </si>
  <si>
    <t>Matheus César Azevedo Neto - 03/02/2025 14:40:12</t>
  </si>
  <si>
    <t>Rogerio Lombardi - 04/02/2025 15:09:23</t>
  </si>
  <si>
    <t>Matheus César Azevedo Neto - 04/02/2025 15:11:43</t>
  </si>
  <si>
    <t>Rogerio Lombardi - 06/02/2025 11:22:47</t>
  </si>
  <si>
    <t>Carlito Evan Soares - 10/02/2025 14:30:28</t>
  </si>
  <si>
    <t>Matheus César Azevedo Neto - 10/02/2025 14:37:05</t>
  </si>
  <si>
    <t>Regis Bottino - 10/02/2025 14:49:38</t>
  </si>
  <si>
    <t>Rogerio Lombardi - 20/02/2025 09:31:49</t>
  </si>
  <si>
    <t>Regis Bottino - 06/03/2025 11:49:58</t>
  </si>
  <si>
    <t>Matheus César Azevedo Neto - 06/03/2025 18:19:56</t>
  </si>
  <si>
    <t>Francisco Neto - 30/01/2025 09:00:53</t>
  </si>
  <si>
    <t>Matheus César Azevedo Neto - 30/01/2025 09:18:53</t>
  </si>
  <si>
    <t>Rogerio Lombardi - 31/01/2025 11:13:50</t>
  </si>
  <si>
    <t>Francisco Neto - 03/02/2025 14:25:06</t>
  </si>
  <si>
    <t>Matheus César Azevedo Neto - 03/02/2025 14:40:15</t>
  </si>
  <si>
    <t>Rogerio Lombardi - 04/02/2025 15:09:28</t>
  </si>
  <si>
    <t>Matheus César Azevedo Neto - 04/02/2025 15:11:47</t>
  </si>
  <si>
    <t>Rogerio Lombardi - 06/02/2025 11:22:50</t>
  </si>
  <si>
    <t>Carlito Evan Soares - 10/02/2025 14:30:33</t>
  </si>
  <si>
    <t>Matheus César Azevedo Neto - 10/02/2025 14:37:14</t>
  </si>
  <si>
    <t>Regis Bottino - 10/02/2025 14:49:44</t>
  </si>
  <si>
    <t>Rogerio Lombardi - 25/02/2025 08:13:46</t>
  </si>
  <si>
    <t>Regis Bottino - 06/03/2025 11:48:36</t>
  </si>
  <si>
    <t>Matheus César Azevedo Neto - 06/03/2025 18:15:02</t>
  </si>
  <si>
    <t>Francisco Neto - 27/01/2025 09:07:51</t>
  </si>
  <si>
    <t>Matheus César Azevedo Neto - 27/01/2025 10:55:29</t>
  </si>
  <si>
    <t>Rogerio Lombardi - 31/01/2025 11:13:57</t>
  </si>
  <si>
    <t>Francisco Neto - 03/02/2025 14:25:11</t>
  </si>
  <si>
    <t>Matheus César Azevedo Neto - 03/02/2025 14:40:44</t>
  </si>
  <si>
    <t>Rogerio Lombardi - 04/02/2025 15:09:32</t>
  </si>
  <si>
    <t>Matheus César Azevedo Neto - 04/02/2025 15:11:49</t>
  </si>
  <si>
    <t>Rogerio Lombardi - 06/02/2025 11:22:53</t>
  </si>
  <si>
    <t>Carlito Evan Soares - 10/02/2025 14:30:43</t>
  </si>
  <si>
    <t>Matheus César Azevedo Neto - 10/02/2025 14:37:22</t>
  </si>
  <si>
    <t>Regis Bottino - 10/02/2025 14:49:57</t>
  </si>
  <si>
    <t>Rogerio Lombardi - 25/02/2025 08:13:49</t>
  </si>
  <si>
    <t>Regis Bottino - 06/03/2025 11:48:41</t>
  </si>
  <si>
    <t>Matheus César Azevedo Neto - 06/03/2025 18:17:51</t>
  </si>
  <si>
    <t>Francisco Neto - 27/01/2025 12:51:18</t>
  </si>
  <si>
    <t>Matheus César Azevedo Neto - 28/01/2025 07:28:31</t>
  </si>
  <si>
    <t>Rogerio Lombardi - 31/01/2025 11:14:09</t>
  </si>
  <si>
    <t>Francisco Neto - 03/02/2025 14:25:13</t>
  </si>
  <si>
    <t>Matheus César Azevedo Neto - 03/02/2025 14:40:18</t>
  </si>
  <si>
    <t>Rogerio Lombardi - 04/02/2025 15:09:37</t>
  </si>
  <si>
    <t>Matheus César Azevedo Neto - 04/02/2025 15:11:53</t>
  </si>
  <si>
    <t>Rogerio Lombardi - 06/02/2025 11:22:57</t>
  </si>
  <si>
    <t>Carlito Evan Soares - 10/02/2025 14:31:42</t>
  </si>
  <si>
    <t>Matheus César Azevedo Neto - 10/02/2025 14:37:29</t>
  </si>
  <si>
    <t>Regis Bottino - 10/02/2025 14:49:49</t>
  </si>
  <si>
    <t>Rogerio Lombardi - 20/02/2025 09:30:57</t>
  </si>
  <si>
    <t>Regis Bottino - 06/03/2025 11:49:51</t>
  </si>
  <si>
    <t>Matheus César Azevedo Neto - 06/03/2025 18:19:59</t>
  </si>
  <si>
    <t>Francisco Neto - 27/01/2025 09:07:40</t>
  </si>
  <si>
    <t>Matheus César Azevedo Neto - 27/01/2025 10:55:24</t>
  </si>
  <si>
    <t>Rogerio Lombardi - 31/01/2025 11:14:02</t>
  </si>
  <si>
    <t>Francisco Neto - 03/02/2025 14:25:15</t>
  </si>
  <si>
    <t>Matheus César Azevedo Neto - 03/02/2025 14:40:20</t>
  </si>
  <si>
    <t>Rogerio Lombardi - 04/02/2025 15:09:40</t>
  </si>
  <si>
    <t>Matheus César Azevedo Neto - 04/02/2025 15:11:55</t>
  </si>
  <si>
    <t>Rogerio Lombardi - 06/02/2025 11:23:00</t>
  </si>
  <si>
    <t>Carlito Evan Soares - 10/02/2025 14:31:50</t>
  </si>
  <si>
    <t>Matheus César Azevedo Neto - 10/02/2025 14:37:37</t>
  </si>
  <si>
    <t>Regis Bottino - 10/02/2025 14:50:02</t>
  </si>
  <si>
    <t>Rogerio Lombardi - 20/02/2025 09:32:00</t>
  </si>
  <si>
    <t>Regis Bottino - 06/03/2025 11:49:41</t>
  </si>
  <si>
    <t>Matheus César Azevedo Neto - 06/03/2025 18:19:47</t>
  </si>
  <si>
    <t>Francisco Neto - 03/02/2025 14:22:08</t>
  </si>
  <si>
    <t>Matheus César Azevedo Neto - 03/02/2025 14:36:26</t>
  </si>
  <si>
    <t>Coordenador de Manutenção</t>
  </si>
  <si>
    <t>Francisco Neto - 04/02/2025 12:13:56</t>
  </si>
  <si>
    <t>Rogerio Lombardi - 04/02/2025 15:08:41</t>
  </si>
  <si>
    <t>Matheus César Azevedo Neto - 04/02/2025 15:10:47</t>
  </si>
  <si>
    <t>Rogerio Lombardi - 04/02/2025 15:12:36</t>
  </si>
  <si>
    <t>Matheus César Azevedo Neto - 04/02/2025 15:16:33</t>
  </si>
  <si>
    <t>Rogerio Lombardi - 06/02/2025 11:23:03</t>
  </si>
  <si>
    <t>Carlito Evan Soares - 10/02/2025 14:31:54</t>
  </si>
  <si>
    <t>Matheus César Azevedo Neto - 10/02/2025 14:37:45</t>
  </si>
  <si>
    <t>Regis Bottino - 10/02/2025 14:50:07</t>
  </si>
  <si>
    <t>Rogerio Lombardi - 25/02/2025 08:14:00</t>
  </si>
  <si>
    <t>Regis Bottino - 06/03/2025 11:48:44</t>
  </si>
  <si>
    <t>Matheus César Azevedo Neto - 06/03/2025 18:27:46</t>
  </si>
  <si>
    <t>Francisco Neto - 30/01/2025 08:46:13</t>
  </si>
  <si>
    <t>Matheus César Azevedo Neto - 30/01/2025 09:18:30</t>
  </si>
  <si>
    <t>Rogerio Lombardi - 31/01/2025 11:14:30</t>
  </si>
  <si>
    <t>Francisco Neto - 03/02/2025 14:27:29</t>
  </si>
  <si>
    <t>Matheus César Azevedo Neto - 03/02/2025 14:40:23</t>
  </si>
  <si>
    <t>Rogerio Lombardi - 04/02/2025 15:09:43</t>
  </si>
  <si>
    <t>Matheus César Azevedo Neto - 04/02/2025 15:11:51</t>
  </si>
  <si>
    <t>Rogerio Lombardi - 06/02/2025 11:23:06</t>
  </si>
  <si>
    <t>Carlito Evan Soares - 10/02/2025 14:32:05</t>
  </si>
  <si>
    <t>Matheus César Azevedo Neto - 10/02/2025 14:37:53</t>
  </si>
  <si>
    <t>Regis Bottino - 10/02/2025 14:50:13</t>
  </si>
  <si>
    <t>Rogerio Lombardi - 25/02/2025 08:13:52</t>
  </si>
  <si>
    <t>Regis Bottino - 06/03/2025 11:48:48</t>
  </si>
  <si>
    <t>Matheus César Azevedo Neto - 06/03/2025 18:16:47</t>
  </si>
  <si>
    <t>Francisco Neto - 30/01/2025 09:00:40</t>
  </si>
  <si>
    <t>Matheus César Azevedo Neto - 30/01/2025 09:18:35</t>
  </si>
  <si>
    <t>Rogerio Lombardi - 31/01/2025 11:14:37</t>
  </si>
  <si>
    <t>Francisco Neto - 03/02/2025 14:25:19</t>
  </si>
  <si>
    <t>Matheus César Azevedo Neto - 03/02/2025 14:40:27</t>
  </si>
  <si>
    <t>Rogerio Lombardi - 04/02/2025 15:09:46</t>
  </si>
  <si>
    <t>Matheus César Azevedo Neto - 04/02/2025 15:13:56</t>
  </si>
  <si>
    <t>Rogerio Lombardi - 06/02/2025 11:23:09</t>
  </si>
  <si>
    <t>Carlito Evan Soares - 10/02/2025 14:32:28</t>
  </si>
  <si>
    <t>Matheus César Azevedo Neto - 10/02/2025 14:38:09</t>
  </si>
  <si>
    <t>Regis Bottino - 10/02/2025 14:50:19</t>
  </si>
  <si>
    <t>Rogerio Lombardi - 25/02/2025 08:13:54</t>
  </si>
  <si>
    <t>Regis Bottino - 06/03/2025 11:48:51</t>
  </si>
  <si>
    <t>Matheus César Azevedo Neto - 06/03/2025 18:19:18</t>
  </si>
  <si>
    <t>Francisco Neto - 30/01/2025 09:00:45</t>
  </si>
  <si>
    <t>Matheus César Azevedo Neto - 30/01/2025 09:18:38</t>
  </si>
  <si>
    <t>Rogerio Lombardi - 31/01/2025 11:14:41</t>
  </si>
  <si>
    <t>Francisco Neto - 03/02/2025 14:25:21</t>
  </si>
  <si>
    <t>Matheus César Azevedo Neto - 03/02/2025 14:40:30</t>
  </si>
  <si>
    <t>Rogerio Lombardi - 04/02/2025 15:09:49</t>
  </si>
  <si>
    <t>Matheus César Azevedo Neto - 04/02/2025 15:13:50</t>
  </si>
  <si>
    <t>Rogerio Lombardi - 06/02/2025 11:23:12</t>
  </si>
  <si>
    <t>Carlito Evan Soares - 10/02/2025 14:32:37</t>
  </si>
  <si>
    <t>Matheus César Azevedo Neto - 10/02/2025 14:38:18</t>
  </si>
  <si>
    <t>Regis Bottino - 10/02/2025 14:50:35</t>
  </si>
  <si>
    <t>Rogerio Lombardi - 25/02/2025 08:13:57</t>
  </si>
  <si>
    <t>Regis Bottino - 06/03/2025 11:48:54</t>
  </si>
  <si>
    <t>Matheus César Azevedo Neto - 06/03/2025 18:27:50</t>
  </si>
  <si>
    <t>Francisco Neto - 03/02/2025 14:22:11</t>
  </si>
  <si>
    <t>Matheus César Azevedo Neto - 03/02/2025 14:36:31</t>
  </si>
  <si>
    <t>Francisco Neto - 04/02/2025 12:13:59</t>
  </si>
  <si>
    <t>Rogerio Lombardi - 04/02/2025 15:08:45</t>
  </si>
  <si>
    <t>Matheus César Azevedo Neto - 04/02/2025 15:11:08</t>
  </si>
  <si>
    <t>Rogerio Lombardi - 04/02/2025 15:12:39</t>
  </si>
  <si>
    <t>Matheus César Azevedo Neto - 04/02/2025 15:14:34</t>
  </si>
  <si>
    <t>Rogerio Lombardi - 06/02/2025 11:23:35</t>
  </si>
  <si>
    <t>Carlito Evan Soares - 10/02/2025 14:32:44</t>
  </si>
  <si>
    <t>Matheus César Azevedo Neto - 10/02/2025 14:38:25</t>
  </si>
  <si>
    <t>Regis Bottino - 10/02/2025 14:50:47</t>
  </si>
  <si>
    <t>Rogerio Lombardi - 07/03/2025 14:32:51</t>
  </si>
  <si>
    <t>Regis Bottino - 07/03/2025 14:36:10</t>
  </si>
  <si>
    <t>Matheus César Azevedo Neto - 07/03/2025 14:38:35</t>
  </si>
  <si>
    <t>Francisco Neto - 03/02/2025 14:22:12</t>
  </si>
  <si>
    <t>Matheus César Azevedo Neto - 03/02/2025 14:36:49</t>
  </si>
  <si>
    <t>Francisco Neto - 04/02/2025 12:14:01</t>
  </si>
  <si>
    <t>Rogerio Lombardi - 04/02/2025 15:06:37</t>
  </si>
  <si>
    <t>Matheus César Azevedo Neto - 04/02/2025 15:10:50</t>
  </si>
  <si>
    <t>Rogerio Lombardi - 04/02/2025 15:12:42</t>
  </si>
  <si>
    <t>Matheus César Azevedo Neto - 04/02/2025 15:16:25</t>
  </si>
  <si>
    <t>Rogerio Lombardi - 06/02/2025 11:23:38</t>
  </si>
  <si>
    <t>Carlito Evan Soares - 10/02/2025 14:32:48</t>
  </si>
  <si>
    <t>Matheus César Azevedo Neto - 10/02/2025 14:39:12</t>
  </si>
  <si>
    <t>Regis Bottino - 10/02/2025 14:50:41</t>
  </si>
  <si>
    <t>Rogerio Lombardi - 25/02/2025 08:14:03</t>
  </si>
  <si>
    <t>Regis Bottino - 06/03/2025 11:48:57</t>
  </si>
  <si>
    <t>Matheus César Azevedo Neto - 06/03/2025 18:17:30</t>
  </si>
  <si>
    <t>Francisco Neto - 03/02/2025 14:22:14</t>
  </si>
  <si>
    <t>Matheus César Azevedo Neto - 03/02/2025 14:36:33</t>
  </si>
  <si>
    <t>Francisco Neto - 04/02/2025 12:14:04</t>
  </si>
  <si>
    <t>Rogerio Lombardi - 04/02/2025 15:06:49</t>
  </si>
  <si>
    <t>Matheus César Azevedo Neto - 04/02/2025 15:11:06</t>
  </si>
  <si>
    <t>Rogerio Lombardi - 04/02/2025 15:12:45</t>
  </si>
  <si>
    <t>Matheus César Azevedo Neto - 04/02/2025 15:16:27</t>
  </si>
  <si>
    <t>Rogerio Lombardi - 06/02/2025 11:23:41</t>
  </si>
  <si>
    <t>Carlito Evan Soares - 10/02/2025 14:32:55</t>
  </si>
  <si>
    <t>Matheus César Azevedo Neto - 10/02/2025 14:38:45</t>
  </si>
  <si>
    <t>Regis Bottino - 10/02/2025 14:50:52</t>
  </si>
  <si>
    <t>Rogerio Lombardi - 25/02/2025 08:14:14</t>
  </si>
  <si>
    <t>Regis Bottino - 06/03/2025 11:49:00</t>
  </si>
  <si>
    <t>Matheus César Azevedo Neto - 06/03/2025 18:15:44</t>
  </si>
  <si>
    <t>Francisco Neto - 03/02/2025 14:22:16</t>
  </si>
  <si>
    <t>Matheus César Azevedo Neto - 03/02/2025 14:36:45</t>
  </si>
  <si>
    <t>Francisco Neto - 04/02/2025 12:14:06</t>
  </si>
  <si>
    <t>Rogerio Lombardi - 04/02/2025 15:06:56</t>
  </si>
  <si>
    <t>Matheus César Azevedo Neto - 04/02/2025 15:10:53</t>
  </si>
  <si>
    <t>Rogerio Lombardi - 04/02/2025 15:12:48</t>
  </si>
  <si>
    <t>Matheus César Azevedo Neto - 04/02/2025 15:16:29</t>
  </si>
  <si>
    <t>Rogerio Lombardi - 06/02/2025 11:23:44</t>
  </si>
  <si>
    <t>Carlito Evan Soares - 10/02/2025 14:33:00</t>
  </si>
  <si>
    <t>Matheus César Azevedo Neto - 10/02/2025 14:38:51</t>
  </si>
  <si>
    <t>Regis Bottino - 10/02/2025 14:52:01</t>
  </si>
  <si>
    <t>Rogerio Lombardi - 25/02/2025 08:14:06</t>
  </si>
  <si>
    <t>Regis Bottino - 06/03/2025 11:49:04</t>
  </si>
  <si>
    <t>Matheus César Azevedo Neto - 06/03/2025 18:16:37</t>
  </si>
  <si>
    <t>Francisco Neto - 30/01/2025 09:00:48</t>
  </si>
  <si>
    <t>Matheus César Azevedo Neto - 30/01/2025 09:18:43</t>
  </si>
  <si>
    <t>Rogerio Lombardi - 31/01/2025 11:15:03</t>
  </si>
  <si>
    <t>Francisco Neto - 03/02/2025 14:25:23</t>
  </si>
  <si>
    <t>Matheus César Azevedo Neto - 03/02/2025 14:40:36</t>
  </si>
  <si>
    <t>Rogerio Lombardi - 04/02/2025 15:09:52</t>
  </si>
  <si>
    <t>Matheus César Azevedo Neto - 04/02/2025 15:13:54</t>
  </si>
  <si>
    <t>Rogerio Lombardi - 06/02/2025 11:23:47</t>
  </si>
  <si>
    <t>Carlito Evan Soares - 10/02/2025 14:33:07</t>
  </si>
  <si>
    <t>Matheus César Azevedo Neto - 10/02/2025 14:38:58</t>
  </si>
  <si>
    <t>Regis Bottino - 10/02/2025 14:51:29</t>
  </si>
  <si>
    <t>Rogerio Lombardi - 25/02/2025 08:14:08</t>
  </si>
  <si>
    <t>Regis Bottino - 06/03/2025 11:49:07</t>
  </si>
  <si>
    <t>Matheus César Azevedo Neto - 06/03/2025 18:19:30</t>
  </si>
  <si>
    <t>Francisco Neto - 03/02/2025 14:22:18</t>
  </si>
  <si>
    <t>Matheus César Azevedo Neto - 03/02/2025 14:36:36</t>
  </si>
  <si>
    <t>Francisco Neto - 04/02/2025 12:14:08</t>
  </si>
  <si>
    <t>Rogerio Lombardi - 04/02/2025 15:07:02</t>
  </si>
  <si>
    <t>Matheus César Azevedo Neto - 04/02/2025 15:10:55</t>
  </si>
  <si>
    <t>Rogerio Lombardi - 04/02/2025 15:12:51</t>
  </si>
  <si>
    <t>Matheus César Azevedo Neto - 04/02/2025 15:16:31</t>
  </si>
  <si>
    <t>Rogerio Lombardi - 06/02/2025 11:23:50</t>
  </si>
  <si>
    <t>Carlito Evan Soares - 10/02/2025 14:33:11</t>
  </si>
  <si>
    <t>Matheus César Azevedo Neto - 10/02/2025 14:39:05</t>
  </si>
  <si>
    <t>Regis Bottino - 10/02/2025 14:51:44</t>
  </si>
  <si>
    <t>Rogerio Lombardi - 25/02/2025 08:14:11</t>
  </si>
  <si>
    <t>Regis Bottino - 06/03/2025 11:49:14</t>
  </si>
  <si>
    <t>Matheus César Azevedo Neto - 06/03/2025 18:15:16</t>
  </si>
  <si>
    <t>Francisco Neto - 28/01/2025 13:30:28</t>
  </si>
  <si>
    <t>Matheus César Azevedo Neto - 28/01/2025 15:34:14</t>
  </si>
  <si>
    <t>Rogerio Lombardi - 31/01/2025 11:15:06</t>
  </si>
  <si>
    <t>Francisco Neto - 03/02/2025 14:25:25</t>
  </si>
  <si>
    <t>Matheus César Azevedo Neto - 03/02/2025 14:40:39</t>
  </si>
  <si>
    <t>Rogerio Lombardi - 04/02/2025 15:09:55</t>
  </si>
  <si>
    <t>Matheus César Azevedo Neto - 04/02/2025 15:13:52</t>
  </si>
  <si>
    <t>Rogerio Lombardi - 06/02/2025 11:23:53</t>
  </si>
  <si>
    <t>Carlito Evan Soares - 10/02/2025 14:33:15</t>
  </si>
  <si>
    <t>Matheus César Azevedo Neto - 10/02/2025 14:39:53</t>
  </si>
  <si>
    <t>Regis Bottino - 10/02/2025 14:51:35</t>
  </si>
  <si>
    <t>Rogerio Lombardi - 25/02/2025 08:14:17</t>
  </si>
  <si>
    <t>Regis Bottino - 06/03/2025 11:49:17</t>
  </si>
  <si>
    <t>Matheus César Azevedo Neto - 06/03/2025 18:19:34</t>
  </si>
  <si>
    <t>Francisco Neto - 30/01/2025 09:01:07</t>
  </si>
  <si>
    <t>Matheus César Azevedo Neto - 30/01/2025 09:19:13</t>
  </si>
  <si>
    <t>Rogerio Lombardi - 31/01/2025 11:16:23</t>
  </si>
  <si>
    <t>Francisco Neto - 03/02/2025 14:25:27</t>
  </si>
  <si>
    <t>Matheus César Azevedo Neto - 03/02/2025 14:40:41</t>
  </si>
  <si>
    <t>Rogerio Lombardi - 04/02/2025 15:10:00</t>
  </si>
  <si>
    <t>Matheus César Azevedo Neto - 04/02/2025 15:13:58</t>
  </si>
  <si>
    <t>Rogerio Lombardi - 06/02/2025 11:23:56</t>
  </si>
  <si>
    <t>Carlito Evan Soares - 10/02/2025 14:33:19</t>
  </si>
  <si>
    <t>Matheus César Azevedo Neto - 10/02/2025 14:39:21</t>
  </si>
  <si>
    <t>Regis Bottino - 10/02/2025 14:51:40</t>
  </si>
  <si>
    <t>Rogerio Lombardi - 20/02/2025 09:31:46</t>
  </si>
  <si>
    <t>Regis Bottino - 06/03/2025 11:49:55</t>
  </si>
  <si>
    <t>Matheus César Azevedo Neto - 06/03/2025 18:17:07</t>
  </si>
  <si>
    <t>Francisco Neto - 03/02/2025 14:22:19</t>
  </si>
  <si>
    <t>Matheus César Azevedo Neto - 03/02/2025 14:36:41</t>
  </si>
  <si>
    <t>Francisco Neto - 04/02/2025 12:14:12</t>
  </si>
  <si>
    <t>Rogerio Lombardi - 04/02/2025 15:07:08</t>
  </si>
  <si>
    <t>Matheus César Azevedo Neto - 04/02/2025 15:10:58</t>
  </si>
  <si>
    <t>Rogerio Lombardi - 04/02/2025 15:12:57</t>
  </si>
  <si>
    <t>Matheus César Azevedo Neto - 04/02/2025 15:16:43</t>
  </si>
  <si>
    <t>Rogerio Lombardi - 06/02/2025 11:23:59</t>
  </si>
  <si>
    <t>Carlito Evan Soares - 10/02/2025 14:33:23</t>
  </si>
  <si>
    <t>Matheus César Azevedo Neto - 10/02/2025 14:39:29</t>
  </si>
  <si>
    <t>Regis Bottino - 10/02/2025 14:52:13</t>
  </si>
  <si>
    <t>Rogerio Lombardi - 20/02/2025 09:30:47</t>
  </si>
  <si>
    <t>Regis Bottino - 04/03/2025 07:01:37</t>
  </si>
  <si>
    <t>Matheus César Azevedo Neto - 04/03/2025 09:26:29</t>
  </si>
  <si>
    <t>Francisco Neto - 03/02/2025 14:22:21</t>
  </si>
  <si>
    <t>Matheus César Azevedo Neto - 03/02/2025 14:36:38</t>
  </si>
  <si>
    <t>Francisco Neto - 04/02/2025 12:14:15</t>
  </si>
  <si>
    <t>Rogerio Lombardi - 04/02/2025 15:07:14</t>
  </si>
  <si>
    <t>Matheus César Azevedo Neto - 04/02/2025 15:11:01</t>
  </si>
  <si>
    <t>Rogerio Lombardi - 04/02/2025 15:12:54</t>
  </si>
  <si>
    <t>Matheus César Azevedo Neto - 04/02/2025 15:16:37</t>
  </si>
  <si>
    <t>Rogerio Lombardi - 06/02/2025 11:24:03</t>
  </si>
  <si>
    <t>Carlito Evan Soares - 10/02/2025 14:33:28</t>
  </si>
  <si>
    <t>Matheus César Azevedo Neto - 10/02/2025 14:39:36</t>
  </si>
  <si>
    <t>Regis Bottino - 10/02/2025 14:51:49</t>
  </si>
  <si>
    <t>Rogerio Lombardi - 07/03/2025 14:32:53</t>
  </si>
  <si>
    <t>Regis Bottino - 07/03/2025 14:36:14</t>
  </si>
  <si>
    <t>Matheus César Azevedo Neto - 07/03/2025 14:38:39</t>
  </si>
  <si>
    <t>Francisco Neto - 03/02/2025 14:22:23</t>
  </si>
  <si>
    <t>Matheus César Azevedo Neto - 03/02/2025 14:36:43</t>
  </si>
  <si>
    <t>Francisco Neto - 04/02/2025 12:14:28</t>
  </si>
  <si>
    <t>Rogerio Lombardi - 04/02/2025 15:07:28</t>
  </si>
  <si>
    <t>Matheus César Azevedo Neto - 04/02/2025 15:11:03</t>
  </si>
  <si>
    <t>Rogerio Lombardi - 04/02/2025 15:13:00</t>
  </si>
  <si>
    <t>Matheus César Azevedo Neto - 04/02/2025 15:16:42</t>
  </si>
  <si>
    <t>Rogerio Lombardi - 06/02/2025 11:24:06</t>
  </si>
  <si>
    <t>Carlito Evan Soares - 10/02/2025 14:33:33</t>
  </si>
  <si>
    <t>Matheus César Azevedo Neto - 10/02/2025 14:39:44</t>
  </si>
  <si>
    <t>Regis Bottino - 10/02/2025 14:52:07</t>
  </si>
  <si>
    <t>Rogerio Lombardi - 25/02/2025 08:14:20</t>
  </si>
  <si>
    <t>Regis Bottino - 06/03/2025 11:49:20</t>
  </si>
  <si>
    <t>Matheus César Azevedo Neto - 06/03/2025 18:19:39</t>
  </si>
  <si>
    <t>Francisco Neto - 03/02/2025 14:22:25</t>
  </si>
  <si>
    <t>Matheus César Azevedo Neto - 03/02/2025 14:36:52</t>
  </si>
  <si>
    <t>Francisco Neto - 04/02/2025 12:14:30</t>
  </si>
  <si>
    <t>Rogerio Lombardi - 04/02/2025 15:08:07</t>
  </si>
  <si>
    <t>Matheus César Azevedo Neto - 04/02/2025 15:11:11</t>
  </si>
  <si>
    <t>Rogerio Lombardi - 04/02/2025 15:13:05</t>
  </si>
  <si>
    <t>Matheus César Azevedo Neto - 04/02/2025 15:16:40</t>
  </si>
  <si>
    <t>Rogerio Lombardi - 06/02/2025 11:24:10</t>
  </si>
  <si>
    <t>Carlito Evan Soares - 10/02/2025 14:33:37</t>
  </si>
  <si>
    <t>Matheus César Azevedo Neto - 10/02/2025 14:40:01</t>
  </si>
  <si>
    <t>Regis Bottino - 10/02/2025 14:52:20</t>
  </si>
  <si>
    <t>Rogerio Lombardi - 25/02/2025 08:14:26</t>
  </si>
  <si>
    <t>Regis Bottino - 06/03/2025 11:49:11</t>
  </si>
  <si>
    <t>Matheus César Azevedo Neto - 06/03/2025 18:19:43</t>
  </si>
  <si>
    <t>Francisco Neto - 30/01/2025 08:46:05</t>
  </si>
  <si>
    <t>Matheus César Azevedo Neto - 30/01/2025 09:18:25</t>
  </si>
  <si>
    <t>Rogerio Lombardi - 31/01/2025 11:16:15</t>
  </si>
  <si>
    <t>Francisco Neto - 03/02/2025 14:25:29</t>
  </si>
  <si>
    <t>Matheus César Azevedo Neto - 03/02/2025 14:40:52</t>
  </si>
  <si>
    <t>Rogerio Lombardi - 04/02/2025 15:10:35</t>
  </si>
  <si>
    <t>Matheus César Azevedo Neto - 04/02/2025 15:16:45</t>
  </si>
  <si>
    <t>Rogerio Lombardi - 06/02/2025 11:24:13</t>
  </si>
  <si>
    <t>Carlito Evan Soares - 10/02/2025 14:33:42</t>
  </si>
  <si>
    <t>Matheus César Azevedo Neto - 10/02/2025 14:40:09</t>
  </si>
  <si>
    <t>Regis Bottino - 10/02/2025 14:52:26</t>
  </si>
  <si>
    <t>Rogerio Lombardi - 25/02/2025 08:14:23</t>
  </si>
  <si>
    <t>Regis Bottino - 06/03/2025 11:49:24</t>
  </si>
  <si>
    <t>Matheus César Azevedo Neto - 06/03/2025 18:16:13</t>
  </si>
  <si>
    <t>Francisco Neto - 30/01/2025 09:01:46</t>
  </si>
  <si>
    <t>Matheus César Azevedo Neto - 30/01/2025 09:20:38</t>
  </si>
  <si>
    <t>Edson Veloso - 31/01/2025 12:26:19</t>
  </si>
  <si>
    <t>Usuários_Images/Edson Veloso.Assinatura.131812.png</t>
  </si>
  <si>
    <t>Francisco Neto - 03/02/2025 14:25:38</t>
  </si>
  <si>
    <t>Matheus César Azevedo Neto - 03/02/2025 14:40:56</t>
  </si>
  <si>
    <t>Edson Veloso - 04/02/2025 10:32:23</t>
  </si>
  <si>
    <t>Matheus César Azevedo Neto - 04/02/2025 12:53:29</t>
  </si>
  <si>
    <t>Mariana Oliveira - 05/03/2025 16:50:40</t>
  </si>
  <si>
    <t>Usuários_Images/Mariana Oliveira.Assinatura.114615.png</t>
  </si>
  <si>
    <t>Edson Veloso - 05/03/2025 17:16:56</t>
  </si>
  <si>
    <t>Regis Bottino - 05/03/2025 17:18:34</t>
  </si>
  <si>
    <t>Matheus César Azevedo Neto - 05/03/2025 17:23:21</t>
  </si>
  <si>
    <t>Edson Veloso - 06/03/2025 11:53:39</t>
  </si>
  <si>
    <t>Regis Bottino - 07/03/2025 07:19:25</t>
  </si>
  <si>
    <t>Matheus César Azevedo Neto - 07/03/2025 07:40:26</t>
  </si>
  <si>
    <t>Francisco Neto - 30/01/2025 09:01:19</t>
  </si>
  <si>
    <t>Matheus César Azevedo Neto - 30/01/2025 09:19:18</t>
  </si>
  <si>
    <t>Edson Veloso - 31/01/2025 12:27:16</t>
  </si>
  <si>
    <t>Francisco Neto - 03/02/2025 14:25:40</t>
  </si>
  <si>
    <t>Matheus César Azevedo Neto - 03/02/2025 14:40:59</t>
  </si>
  <si>
    <t>Edson Veloso - 04/02/2025 10:32:26</t>
  </si>
  <si>
    <t>Matheus César Azevedo Neto - 04/02/2025 13:01:04</t>
  </si>
  <si>
    <t>Edson Veloso - 07/02/2025 07:42:34</t>
  </si>
  <si>
    <t>Mariana Oliveira - 05/03/2025 16:50:47</t>
  </si>
  <si>
    <t>Regis Bottino - 05/03/2025 17:18:39</t>
  </si>
  <si>
    <t>Matheus César Azevedo Neto - 05/03/2025 17:23:24</t>
  </si>
  <si>
    <t>Edson Veloso - 06/03/2025 11:53:44</t>
  </si>
  <si>
    <t>Regis Bottino - 07/03/2025 07:19:27</t>
  </si>
  <si>
    <t>Matheus César Azevedo Neto - 07/03/2025 07:40:29</t>
  </si>
  <si>
    <t>Francisco Neto - 30/01/2025 09:01:21</t>
  </si>
  <si>
    <t>Matheus César Azevedo Neto - 30/01/2025 09:19:23</t>
  </si>
  <si>
    <t>Edson Veloso - 31/01/2025 12:26:29</t>
  </si>
  <si>
    <t>Francisco Neto - 03/02/2025 14:25:42</t>
  </si>
  <si>
    <t>Matheus César Azevedo Neto - 03/02/2025 14:42:32</t>
  </si>
  <si>
    <t>Edson Veloso - 04/02/2025 10:32:29</t>
  </si>
  <si>
    <t>Matheus César Azevedo Neto - 04/02/2025 12:53:31</t>
  </si>
  <si>
    <t>Edson Veloso - 07/02/2025 07:42:38</t>
  </si>
  <si>
    <t>Mariana Oliveira - 06/03/2025 18:01:06</t>
  </si>
  <si>
    <t>Regis Bottino - 06/03/2025 18:11:50</t>
  </si>
  <si>
    <t>Matheus César Azevedo Neto - 06/03/2025 18:13:21</t>
  </si>
  <si>
    <t>Edson Veloso - 07/03/2025 07:24:54</t>
  </si>
  <si>
    <t>Regis Bottino - 07/03/2025 07:45:54</t>
  </si>
  <si>
    <t>Matheus César Azevedo Neto - 07/03/2025 07:55:54</t>
  </si>
  <si>
    <t>Francisco Neto - 30/01/2025 09:01:24</t>
  </si>
  <si>
    <t>Matheus César Azevedo Neto - 30/01/2025 09:19:27</t>
  </si>
  <si>
    <t>Edson Veloso - 03/02/2025 14:24:13</t>
  </si>
  <si>
    <t>Francisco Neto - 03/02/2025 14:25:44</t>
  </si>
  <si>
    <t>Matheus César Azevedo Neto - 03/02/2025 14:41:01</t>
  </si>
  <si>
    <t>Edson Veloso - 04/02/2025 10:32:31</t>
  </si>
  <si>
    <t>Matheus César Azevedo Neto - 04/02/2025 12:53:34</t>
  </si>
  <si>
    <t>Edson Veloso - 03/03/2025 13:40:26</t>
  </si>
  <si>
    <t>Mariana Oliveira - 05/03/2025 16:51:02</t>
  </si>
  <si>
    <t>Regis Bottino - 05/03/2025 17:18:45</t>
  </si>
  <si>
    <t>Matheus César Azevedo Neto - 05/03/2025 17:23:28</t>
  </si>
  <si>
    <t>Edson Veloso - 07/03/2025 07:24:57</t>
  </si>
  <si>
    <t>Regis Bottino - 07/03/2025 07:45:56</t>
  </si>
  <si>
    <t>Matheus César Azevedo Neto - 07/03/2025 07:51:28</t>
  </si>
  <si>
    <t>Francisco Neto - 30/01/2025 09:01:36</t>
  </si>
  <si>
    <t>Matheus César Azevedo Neto - 30/01/2025 09:19:53</t>
  </si>
  <si>
    <t>Edson Veloso - 03/02/2025 14:24:20</t>
  </si>
  <si>
    <t>Francisco Neto - 03/02/2025 14:25:45</t>
  </si>
  <si>
    <t>Matheus César Azevedo Neto - 03/02/2025 14:41:03</t>
  </si>
  <si>
    <t>Edson Veloso - 04/02/2025 10:32:34</t>
  </si>
  <si>
    <t>Matheus César Azevedo Neto - 04/02/2025 12:53:38</t>
  </si>
  <si>
    <t>Edson Veloso - 03/03/2025 13:40:32</t>
  </si>
  <si>
    <t>Mariana Oliveira - 05/03/2025 16:51:07</t>
  </si>
  <si>
    <t>Regis Bottino - 05/03/2025 17:18:49</t>
  </si>
  <si>
    <t>Matheus César Azevedo Neto - 05/03/2025 17:23:32</t>
  </si>
  <si>
    <t>Edson Veloso - 07/03/2025 07:24:59</t>
  </si>
  <si>
    <t>Regis Bottino - 07/03/2025 07:46:00</t>
  </si>
  <si>
    <t>Matheus César Azevedo Neto - 07/03/2025 07:51:32</t>
  </si>
  <si>
    <t>Francisco Neto - 30/01/2025 09:01:38</t>
  </si>
  <si>
    <t>Matheus César Azevedo Neto - 30/01/2025 09:19:57</t>
  </si>
  <si>
    <t>Edson Veloso - 03/02/2025 14:24:25</t>
  </si>
  <si>
    <t>Francisco Neto - 03/02/2025 14:26:13</t>
  </si>
  <si>
    <t>Matheus César Azevedo Neto - 03/02/2025 14:41:07</t>
  </si>
  <si>
    <t>Edson Veloso - 04/02/2025 10:32:36</t>
  </si>
  <si>
    <t>Matheus César Azevedo Neto - 04/02/2025 13:01:06</t>
  </si>
  <si>
    <t>Edson Veloso - 04/03/2025 13:42:16</t>
  </si>
  <si>
    <t>Mariana Oliveira - 05/03/2025 16:51:49</t>
  </si>
  <si>
    <t>Regis Bottino - 05/03/2025 17:18:52</t>
  </si>
  <si>
    <t>Matheus César Azevedo Neto - 05/03/2025 17:23:36</t>
  </si>
  <si>
    <t>Edson Veloso - 07/03/2025 07:25:01</t>
  </si>
  <si>
    <t>Regis Bottino - 07/03/2025 07:46:14</t>
  </si>
  <si>
    <t>Matheus César Azevedo Neto - 07/03/2025 07:56:39</t>
  </si>
  <si>
    <t>Francisco Neto - 30/01/2025 09:02:13</t>
  </si>
  <si>
    <t>Matheus César Azevedo Neto - 30/01/2025 09:21:16</t>
  </si>
  <si>
    <t>Edson Veloso - 03/02/2025 14:24:30</t>
  </si>
  <si>
    <t>Francisco Neto - 03/02/2025 14:26:16</t>
  </si>
  <si>
    <t>Matheus César Azevedo Neto - 03/02/2025 14:41:09</t>
  </si>
  <si>
    <t>Edson Veloso - 04/02/2025 10:32:38</t>
  </si>
  <si>
    <t>Matheus César Azevedo Neto - 04/02/2025 13:01:23</t>
  </si>
  <si>
    <t>Edson Veloso - 04/03/2025 13:42:02</t>
  </si>
  <si>
    <t>Mariana Oliveira - 05/03/2025 16:51:54</t>
  </si>
  <si>
    <t>Regis Bottino - 05/03/2025 17:19:03</t>
  </si>
  <si>
    <t>Matheus César Azevedo Neto - 05/03/2025 17:23:39</t>
  </si>
  <si>
    <t>Edson Veloso - 07/03/2025 07:25:03</t>
  </si>
  <si>
    <t>Regis Bottino - 07/03/2025 07:46:02</t>
  </si>
  <si>
    <t>Matheus César Azevedo Neto - 07/03/2025 07:56:35</t>
  </si>
  <si>
    <t>Francisco Neto - 30/01/2025 09:02:11</t>
  </si>
  <si>
    <t>Matheus César Azevedo Neto - 30/01/2025 09:21:13</t>
  </si>
  <si>
    <t>Edson Veloso - 03/02/2025 14:24:02</t>
  </si>
  <si>
    <t>Francisco Neto - 03/02/2025 14:25:33</t>
  </si>
  <si>
    <t>Matheus César Azevedo Neto - 03/02/2025 14:42:24</t>
  </si>
  <si>
    <t>Edson Veloso - 04/02/2025 10:32:41</t>
  </si>
  <si>
    <t>Matheus César Azevedo Neto - 04/02/2025 13:01:08</t>
  </si>
  <si>
    <t>Edson Veloso - 07/03/2025 07:03:24</t>
  </si>
  <si>
    <t>Mariana Oliveira - 07/03/2025 19:06:43</t>
  </si>
  <si>
    <t>Regis Bottino - 07/03/2025 19:22:59</t>
  </si>
  <si>
    <t>Matheus César Azevedo Neto - 08/03/2025 09:34:45</t>
  </si>
  <si>
    <t>Edson Veloso - 08/03/2025 11:52:45</t>
  </si>
  <si>
    <t>Regis Bottino - 19/03/2025 17:50:36</t>
  </si>
  <si>
    <t>Matheus César Azevedo Neto - 19/03/2025 17:51:36</t>
  </si>
  <si>
    <t>Francisco Neto - 03/02/2025 14:22:30</t>
  </si>
  <si>
    <t>Matheus César Azevedo Neto - 03/02/2025 14:36:58</t>
  </si>
  <si>
    <t>Edson Veloso - 04/02/2025 10:30:38</t>
  </si>
  <si>
    <t>Francisco Neto - 04/02/2025 12:14:37</t>
  </si>
  <si>
    <t>Matheus César Azevedo Neto - 04/02/2025 12:50:40</t>
  </si>
  <si>
    <t>Edson Veloso - 04/02/2025 16:34:55</t>
  </si>
  <si>
    <t>Matheus César Azevedo Neto - 05/02/2025 10:46:18</t>
  </si>
  <si>
    <t>Mariana Oliveira - 05/03/2025 16:52:10</t>
  </si>
  <si>
    <t>Edson Veloso - 05/03/2025 17:17:03</t>
  </si>
  <si>
    <t>Regis Bottino - 05/03/2025 17:19:00</t>
  </si>
  <si>
    <t>Matheus César Azevedo Neto - 05/03/2025 17:23:43</t>
  </si>
  <si>
    <t>Edson Veloso - 07/03/2025 14:28:03</t>
  </si>
  <si>
    <t>Regis Bottino - 07/03/2025 14:36:17</t>
  </si>
  <si>
    <t>Matheus César Azevedo Neto - 07/03/2025 14:38:42</t>
  </si>
  <si>
    <t>Francisco Neto - 30/01/2025 09:01:49</t>
  </si>
  <si>
    <t>Matheus César Azevedo Neto - 30/01/2025 09:20:41</t>
  </si>
  <si>
    <t>Edson Veloso - 03/02/2025 14:24:41</t>
  </si>
  <si>
    <t>Francisco Neto - 03/02/2025 14:26:18</t>
  </si>
  <si>
    <t>Matheus César Azevedo Neto - 03/02/2025 14:41:12</t>
  </si>
  <si>
    <t>Edson Veloso - 04/02/2025 10:32:43</t>
  </si>
  <si>
    <t>Matheus César Azevedo Neto - 04/02/2025 13:01:10</t>
  </si>
  <si>
    <t>Mariana Oliveira - 06/03/2025 13:21:25</t>
  </si>
  <si>
    <t>Edson Veloso - 07/03/2025 07:03:11</t>
  </si>
  <si>
    <t>Regis Bottino - 07/03/2025 07:07:36</t>
  </si>
  <si>
    <t>Matheus César Azevedo Neto - 07/03/2025 07:08:34</t>
  </si>
  <si>
    <t>Edson Veloso - 07/03/2025 07:24:52</t>
  </si>
  <si>
    <t>Regis Bottino - 07/03/2025 07:46:04</t>
  </si>
  <si>
    <t>Matheus César Azevedo Neto - 07/03/2025 07:51:35</t>
  </si>
  <si>
    <t>Francisco Neto - 30/01/2025 14:45:41</t>
  </si>
  <si>
    <t>Matheus César Azevedo Neto - 31/01/2025 12:11:36</t>
  </si>
  <si>
    <t>Edson Veloso - 31/01/2025 12:36:00</t>
  </si>
  <si>
    <t>Francisco Neto - 03/02/2025 14:26:19</t>
  </si>
  <si>
    <t>Matheus César Azevedo Neto - 03/02/2025 14:41:15</t>
  </si>
  <si>
    <t>Edson Veloso - 04/02/2025 10:32:46</t>
  </si>
  <si>
    <t>Matheus César Azevedo Neto - 04/02/2025 13:01:16</t>
  </si>
  <si>
    <t>Edson Veloso - 07/02/2025 07:42:52</t>
  </si>
  <si>
    <t>Mariana Oliveira - 06/03/2025 09:53:30</t>
  </si>
  <si>
    <t>Regis Bottino - 06/03/2025 11:37:04</t>
  </si>
  <si>
    <t>Matheus César Azevedo Neto - 06/03/2025 11:40:40</t>
  </si>
  <si>
    <t>Edson Veloso - 07/03/2025 14:28:18</t>
  </si>
  <si>
    <t>Regis Bottino - 07/03/2025 14:36:20</t>
  </si>
  <si>
    <t>Matheus César Azevedo Neto - 07/03/2025 14:38:45</t>
  </si>
  <si>
    <t>Francisco Neto - 31/01/2025 16:49:36</t>
  </si>
  <si>
    <t>Matheus César Azevedo Neto - 01/02/2025 09:40:47</t>
  </si>
  <si>
    <t>Edson Veloso - 03/02/2025 14:24:47</t>
  </si>
  <si>
    <t>Francisco Neto - 03/02/2025 14:26:21</t>
  </si>
  <si>
    <t>Matheus César Azevedo Neto - 03/02/2025 14:41:17</t>
  </si>
  <si>
    <t>Edson Veloso - 04/02/2025 10:32:49</t>
  </si>
  <si>
    <t>Matheus César Azevedo Neto - 04/02/2025 13:01:12</t>
  </si>
  <si>
    <t>Mariana Oliveira - 06/03/2025 20:27:33</t>
  </si>
  <si>
    <t>Edson Veloso - 07/03/2025 07:03:16</t>
  </si>
  <si>
    <t>Regis Bottino - 07/03/2025 07:07:40</t>
  </si>
  <si>
    <t>Matheus César Azevedo Neto - 07/03/2025 07:08:37</t>
  </si>
  <si>
    <t>Edson Veloso - 07/03/2025 07:25:06</t>
  </si>
  <si>
    <t>Regis Bottino - 07/03/2025 07:46:06</t>
  </si>
  <si>
    <t>Matheus César Azevedo Neto - 07/03/2025 07:55:56</t>
  </si>
  <si>
    <t>Francisco Neto - 30/01/2025 14:45:54</t>
  </si>
  <si>
    <t>Matheus César Azevedo Neto - 30/01/2025 15:51:14</t>
  </si>
  <si>
    <t>Edson Veloso - 03/02/2025 14:24:51</t>
  </si>
  <si>
    <t>Francisco Neto - 03/02/2025 14:26:23</t>
  </si>
  <si>
    <t>Matheus César Azevedo Neto - 03/02/2025 14:41:20</t>
  </si>
  <si>
    <t>Edson Veloso - 04/02/2025 10:32:52</t>
  </si>
  <si>
    <t>Matheus César Azevedo Neto - 04/02/2025 13:01:14</t>
  </si>
  <si>
    <t>Edson Veloso - 03/03/2025 13:40:45</t>
  </si>
  <si>
    <t>Mariana Oliveira - 03/03/2025 16:13:15</t>
  </si>
  <si>
    <t>Regis Bottino - 04/03/2025 06:59:34</t>
  </si>
  <si>
    <t>Matheus César Azevedo Neto - 04/03/2025 07:03:46</t>
  </si>
  <si>
    <t>Edson Veloso - 06/03/2025 11:53:47</t>
  </si>
  <si>
    <t>Regis Bottino - 07/03/2025 07:19:29</t>
  </si>
  <si>
    <t>Matheus César Azevedo Neto - 07/03/2025 07:40:32</t>
  </si>
  <si>
    <t>Francisco Neto - 30/01/2025 14:45:52</t>
  </si>
  <si>
    <t>Matheus César Azevedo Neto - 30/01/2025 15:51:10</t>
  </si>
  <si>
    <t>Edson Veloso - 03/02/2025 14:24:55</t>
  </si>
  <si>
    <t>Francisco Neto - 03/02/2025 14:26:24</t>
  </si>
  <si>
    <t>Matheus César Azevedo Neto - 03/02/2025 14:41:26</t>
  </si>
  <si>
    <t>Edson Veloso - 04/02/2025 10:32:55</t>
  </si>
  <si>
    <t>Matheus César Azevedo Neto - 04/02/2025 13:01:18</t>
  </si>
  <si>
    <t>Edson Veloso - 03/03/2025 13:40:51</t>
  </si>
  <si>
    <t>Mariana Oliveira - 05/03/2025 16:52:43</t>
  </si>
  <si>
    <t>Regis Bottino - 05/03/2025 17:19:07</t>
  </si>
  <si>
    <t>Matheus César Azevedo Neto - 05/03/2025 17:23:46</t>
  </si>
  <si>
    <t>Edson Veloso - 07/03/2025 07:25:08</t>
  </si>
  <si>
    <t>Regis Bottino - 07/03/2025 07:46:08</t>
  </si>
  <si>
    <t>Matheus César Azevedo Neto - 07/03/2025 07:55:59</t>
  </si>
  <si>
    <t>Francisco Neto - 30/01/2025 14:45:57</t>
  </si>
  <si>
    <t>Matheus César Azevedo Neto - 30/01/2025 15:51:32</t>
  </si>
  <si>
    <t>Edson Veloso - 03/02/2025 14:25:12</t>
  </si>
  <si>
    <t>Francisco Neto - 03/02/2025 14:26:26</t>
  </si>
  <si>
    <t>Matheus César Azevedo Neto - 03/02/2025 14:41:29</t>
  </si>
  <si>
    <t>Edson Veloso - 04/02/2025 10:32:57</t>
  </si>
  <si>
    <t>Matheus César Azevedo Neto - 04/02/2025 13:01:19</t>
  </si>
  <si>
    <t>Edson Veloso - 03/03/2025 13:41:09</t>
  </si>
  <si>
    <t>Mariana Oliveira - 03/03/2025 16:13:24</t>
  </si>
  <si>
    <t>Regis Bottino - 04/03/2025 06:59:38</t>
  </si>
  <si>
    <t>Matheus César Azevedo Neto - 04/03/2025 07:03:49</t>
  </si>
  <si>
    <t>Edson Veloso - 05/03/2025 14:00:09</t>
  </si>
  <si>
    <t>Regis Bottino - 05/03/2025 14:06:58</t>
  </si>
  <si>
    <t>Matheus César Azevedo Neto - 05/03/2025 14:10:32</t>
  </si>
  <si>
    <t>Francisco Neto - 30/01/2025 14:46:01</t>
  </si>
  <si>
    <t>Matheus César Azevedo Neto - 30/01/2025 15:51:22</t>
  </si>
  <si>
    <t>Edson Veloso - 03/02/2025 14:25:19</t>
  </si>
  <si>
    <t>Francisco Neto - 03/02/2025 14:26:27</t>
  </si>
  <si>
    <t>Matheus César Azevedo Neto - 03/02/2025 14:41:32</t>
  </si>
  <si>
    <t>Edson Veloso - 04/02/2025 10:33:00</t>
  </si>
  <si>
    <t>Matheus César Azevedo Neto - 04/02/2025 13:01:21</t>
  </si>
  <si>
    <t>Edson Veloso - 04/03/2025 13:44:11</t>
  </si>
  <si>
    <t>Mariana Oliveira - 06/03/2025 09:58:30</t>
  </si>
  <si>
    <t>Regis Bottino - 06/03/2025 11:37:08</t>
  </si>
  <si>
    <t>Matheus César Azevedo Neto - 06/03/2025 11:40:45</t>
  </si>
  <si>
    <t>Edson Veloso - 07/03/2025 07:25:13</t>
  </si>
  <si>
    <t>Regis Bottino - 07/03/2025 07:46:10</t>
  </si>
  <si>
    <t>Matheus César Azevedo Neto - 07/03/2025 07:56:02</t>
  </si>
  <si>
    <t>Francisco Neto - 31/01/2025 16:49:32</t>
  </si>
  <si>
    <t>Matheus César Azevedo Neto - 01/02/2025 09:40:44</t>
  </si>
  <si>
    <t>Edson Veloso - 03/02/2025 14:25:24</t>
  </si>
  <si>
    <t>Francisco Neto - 03/02/2025 14:26:29</t>
  </si>
  <si>
    <t>Matheus César Azevedo Neto - 03/02/2025 14:41:34</t>
  </si>
  <si>
    <t>Edson Veloso - 04/02/2025 10:33:56</t>
  </si>
  <si>
    <t>Matheus César Azevedo Neto - 04/02/2025 13:02:00</t>
  </si>
  <si>
    <t>Edson Veloso - 03/03/2025 13:41:19</t>
  </si>
  <si>
    <t>Mariana Oliveira - 03/03/2025 16:06:51</t>
  </si>
  <si>
    <t>Regis Bottino - 04/03/2025 06:59:42</t>
  </si>
  <si>
    <t>Matheus César Azevedo Neto - 04/03/2025 07:03:54</t>
  </si>
  <si>
    <t>Edson Veloso - 06/03/2025 11:53:51</t>
  </si>
  <si>
    <t>Regis Bottino - 07/03/2025 07:19:32</t>
  </si>
  <si>
    <t>Matheus César Azevedo Neto - 07/03/2025 07:40:35</t>
  </si>
  <si>
    <t>Francisco Neto - 30/01/2025 14:45:47</t>
  </si>
  <si>
    <t>Matheus César Azevedo Neto - 30/01/2025 15:51:01</t>
  </si>
  <si>
    <t>Edson Veloso - 03/02/2025 14:25:28</t>
  </si>
  <si>
    <t>Francisco Neto - 03/02/2025 14:26:31</t>
  </si>
  <si>
    <t>Matheus César Azevedo Neto - 03/02/2025 14:41:37</t>
  </si>
  <si>
    <t>Edson Veloso - 04/02/2025 10:33:02</t>
  </si>
  <si>
    <t>Matheus César Azevedo Neto - 04/02/2025 13:01:56</t>
  </si>
  <si>
    <t>Edson Veloso - 03/03/2025 11:55:13</t>
  </si>
  <si>
    <t>Mariana Oliveira - 04/03/2025 17:34:40</t>
  </si>
  <si>
    <t>Regis Bottino - 05/03/2025 07:22:45</t>
  </si>
  <si>
    <t>Matheus César Azevedo Neto - 05/03/2025 07:35:06</t>
  </si>
  <si>
    <t>Edson Veloso - 05/03/2025 14:00:13</t>
  </si>
  <si>
    <t>Regis Bottino - 05/03/2025 14:07:08</t>
  </si>
  <si>
    <t>Matheus César Azevedo Neto - 05/03/2025 14:10:35</t>
  </si>
  <si>
    <t>Francisco Neto - 03/02/2025 14:22:31</t>
  </si>
  <si>
    <t>Matheus César Azevedo Neto - 03/02/2025 14:37:11</t>
  </si>
  <si>
    <t>Edson Veloso - 04/02/2025 10:30:42</t>
  </si>
  <si>
    <t>Francisco Neto - 04/02/2025 12:14:39</t>
  </si>
  <si>
    <t>Matheus César Azevedo Neto - 04/02/2025 12:50:44</t>
  </si>
  <si>
    <t>Edson Veloso - 04/02/2025 16:34:59</t>
  </si>
  <si>
    <t>Matheus César Azevedo Neto - 05/02/2025 10:46:00</t>
  </si>
  <si>
    <t>Edson Veloso - 04/03/2025 13:42:40</t>
  </si>
  <si>
    <t>Mariana Oliveira - 06/03/2025 18:01:14</t>
  </si>
  <si>
    <t>Regis Bottino - 06/03/2025 18:12:00</t>
  </si>
  <si>
    <t>Matheus César Azevedo Neto - 06/03/2025 18:13:44</t>
  </si>
  <si>
    <t>Edson Veloso - 07/03/2025 07:25:16</t>
  </si>
  <si>
    <t>Regis Bottino - 07/03/2025 07:46:12</t>
  </si>
  <si>
    <t>Matheus César Azevedo Neto - 07/03/2025 07:56:05</t>
  </si>
  <si>
    <t>Francisco Neto - 03/02/2025 14:22:34</t>
  </si>
  <si>
    <t>Matheus César Azevedo Neto - 03/02/2025 14:37:09</t>
  </si>
  <si>
    <t>Edson Veloso - 04/02/2025 10:30:46</t>
  </si>
  <si>
    <t>Francisco Neto - 04/02/2025 12:14:44</t>
  </si>
  <si>
    <t>Matheus César Azevedo Neto - 04/02/2025 12:50:47</t>
  </si>
  <si>
    <t>Edson Veloso - 04/02/2025 16:35:01</t>
  </si>
  <si>
    <t>Matheus César Azevedo Neto - 05/02/2025 10:46:11</t>
  </si>
  <si>
    <t>Edson Veloso - 07/03/2025 07:03:19</t>
  </si>
  <si>
    <t>Não Liberado</t>
  </si>
  <si>
    <t>Francisco Neto - 03/02/2025 14:22:35</t>
  </si>
  <si>
    <t>Matheus César Azevedo Neto - 03/02/2025 14:37:00</t>
  </si>
  <si>
    <t>Edson Veloso - 04/02/2025 10:30:49</t>
  </si>
  <si>
    <t>Francisco Neto - 04/02/2025 12:14:47</t>
  </si>
  <si>
    <t>Matheus César Azevedo Neto - 04/02/2025 12:50:51</t>
  </si>
  <si>
    <t>Edson Veloso - 04/02/2025 16:35:04</t>
  </si>
  <si>
    <t>Matheus César Azevedo Neto - 05/02/2025 10:46:02</t>
  </si>
  <si>
    <t>Edson Veloso - 04/03/2025 13:44:03</t>
  </si>
  <si>
    <t>Mariana Oliveira - 05/03/2025 16:53:06</t>
  </si>
  <si>
    <t>Regis Bottino - 05/03/2025 17:19:10</t>
  </si>
  <si>
    <t>Matheus César Azevedo Neto - 05/03/2025 17:23:50</t>
  </si>
  <si>
    <t>Edson Veloso - 07/03/2025 14:28:01</t>
  </si>
  <si>
    <t>Regis Bottino - 07/03/2025 14:36:23</t>
  </si>
  <si>
    <t>Matheus César Azevedo Neto - 07/03/2025 14:38:49</t>
  </si>
  <si>
    <t>Francisco Neto - 30/01/2025 09:01:26</t>
  </si>
  <si>
    <t>Matheus César Azevedo Neto - 30/01/2025 09:19:35</t>
  </si>
  <si>
    <t>Edson Veloso - 31/01/2025 12:36:15</t>
  </si>
  <si>
    <t>Francisco Neto - 03/02/2025 14:26:33</t>
  </si>
  <si>
    <t>Matheus César Azevedo Neto - 03/02/2025 14:41:39</t>
  </si>
  <si>
    <t>Edson Veloso - 04/02/2025 10:33:04</t>
  </si>
  <si>
    <t>Matheus César Azevedo Neto - 04/02/2025 13:01:25</t>
  </si>
  <si>
    <t>Edson Veloso - 04/03/2025 13:42:46</t>
  </si>
  <si>
    <t>Mariana Oliveira - 06/03/2025 10:00:24</t>
  </si>
  <si>
    <t>Regis Bottino - 06/03/2025 11:37:56</t>
  </si>
  <si>
    <t>Matheus César Azevedo Neto - 06/03/2025 11:41:17</t>
  </si>
  <si>
    <t>Edson Veloso - 07/03/2025 07:25:18</t>
  </si>
  <si>
    <t>Regis Bottino - 07/03/2025 07:48:28</t>
  </si>
  <si>
    <t>Matheus César Azevedo Neto - 07/03/2025 07:56:08</t>
  </si>
  <si>
    <t>Francisco Neto - 30/01/2025 09:01:55</t>
  </si>
  <si>
    <t>Matheus César Azevedo Neto - 30/01/2025 09:20:45</t>
  </si>
  <si>
    <t>Edson Veloso - 31/01/2025 12:36:20</t>
  </si>
  <si>
    <t>Francisco Neto - 03/02/2025 14:26:34</t>
  </si>
  <si>
    <t>Matheus César Azevedo Neto - 03/02/2025 14:41:42</t>
  </si>
  <si>
    <t>Edson Veloso - 04/02/2025 10:33:07</t>
  </si>
  <si>
    <t>Matheus César Azevedo Neto - 04/02/2025 13:01:27</t>
  </si>
  <si>
    <t>Edson Veloso - 04/03/2025 13:42:58</t>
  </si>
  <si>
    <t>Mariana Oliveira - 06/03/2025 10:00:27</t>
  </si>
  <si>
    <t>Regis Bottino - 06/03/2025 11:38:01</t>
  </si>
  <si>
    <t>Matheus César Azevedo Neto - 06/03/2025 11:40:50</t>
  </si>
  <si>
    <t>Edson Veloso - 07/03/2025 07:25:20</t>
  </si>
  <si>
    <t>Regis Bottino - 07/03/2025 07:48:50</t>
  </si>
  <si>
    <t>Matheus César Azevedo Neto - 07/03/2025 07:56:11</t>
  </si>
  <si>
    <t>Francisco Neto - 30/01/2025 09:01:28</t>
  </si>
  <si>
    <t>Matheus César Azevedo Neto - 30/01/2025 09:19:39</t>
  </si>
  <si>
    <t>Edson Veloso - 31/01/2025 12:36:29</t>
  </si>
  <si>
    <t>Francisco Neto - 03/02/2025 14:26:36</t>
  </si>
  <si>
    <t>Matheus César Azevedo Neto - 03/02/2025 14:41:44</t>
  </si>
  <si>
    <t>Edson Veloso - 04/02/2025 10:33:09</t>
  </si>
  <si>
    <t>Matheus César Azevedo Neto - 04/02/2025 13:01:28</t>
  </si>
  <si>
    <t>Edson Veloso - 04/03/2025 13:43:10</t>
  </si>
  <si>
    <t>Mariana Oliveira - 06/03/2025 10:00:31</t>
  </si>
  <si>
    <t>Regis Bottino - 06/03/2025 11:38:04</t>
  </si>
  <si>
    <t>Matheus César Azevedo Neto - 06/03/2025 11:40:58</t>
  </si>
  <si>
    <t>Edson Veloso - 07/03/2025 07:25:22</t>
  </si>
  <si>
    <t>Regis Bottino - 07/03/2025 07:48:31</t>
  </si>
  <si>
    <t>Matheus César Azevedo Neto - 07/03/2025 07:56:16</t>
  </si>
  <si>
    <t>Francisco Neto - 30/01/2025 09:01:31</t>
  </si>
  <si>
    <t>Matheus César Azevedo Neto - 30/01/2025 09:19:43</t>
  </si>
  <si>
    <t>Edson Veloso - 31/01/2025 12:36:34</t>
  </si>
  <si>
    <t>Francisco Neto - 03/02/2025 14:26:38</t>
  </si>
  <si>
    <t>Matheus César Azevedo Neto - 03/02/2025 14:41:47</t>
  </si>
  <si>
    <t>Edson Veloso - 04/02/2025 10:33:11</t>
  </si>
  <si>
    <t>Matheus César Azevedo Neto - 04/02/2025 13:01:30</t>
  </si>
  <si>
    <t>Edson Veloso - 04/03/2025 13:42:54</t>
  </si>
  <si>
    <t>Mariana Oliveira - 06/03/2025 10:00:35</t>
  </si>
  <si>
    <t>Regis Bottino - 06/03/2025 11:38:27</t>
  </si>
  <si>
    <t>Matheus César Azevedo Neto - 06/03/2025 11:40:54</t>
  </si>
  <si>
    <t>Edson Veloso - 07/03/2025 07:25:25</t>
  </si>
  <si>
    <t>Regis Bottino - 07/03/2025 07:48:38</t>
  </si>
  <si>
    <t>Matheus César Azevedo Neto - 07/03/2025 07:56:19</t>
  </si>
  <si>
    <t>Francisco Neto - 30/01/2025 09:02:00</t>
  </si>
  <si>
    <t>Matheus César Azevedo Neto - 30/01/2025 09:21:06</t>
  </si>
  <si>
    <t>Edson Veloso - 31/01/2025 12:36:39</t>
  </si>
  <si>
    <t>Francisco Neto - 03/02/2025 14:26:39</t>
  </si>
  <si>
    <t>Matheus César Azevedo Neto - 03/02/2025 14:41:49</t>
  </si>
  <si>
    <t>Edson Veloso - 04/02/2025 10:33:14</t>
  </si>
  <si>
    <t>Matheus César Azevedo Neto - 04/02/2025 13:01:32</t>
  </si>
  <si>
    <t>Edson Veloso - 04/03/2025 13:43:14</t>
  </si>
  <si>
    <t>Mariana Oliveira - 05/03/2025 16:53:14</t>
  </si>
  <si>
    <t>Regis Bottino - 05/03/2025 17:19:14</t>
  </si>
  <si>
    <t>Matheus César Azevedo Neto - 05/03/2025 17:23:54</t>
  </si>
  <si>
    <t>Edson Veloso - 06/03/2025 11:53:54</t>
  </si>
  <si>
    <t>Regis Bottino - 07/03/2025 07:19:34</t>
  </si>
  <si>
    <t>Matheus César Azevedo Neto - 07/03/2025 07:40:49</t>
  </si>
  <si>
    <t>Francisco Neto - 30/01/2025 09:01:40</t>
  </si>
  <si>
    <t>Matheus César Azevedo Neto - 30/01/2025 09:20:29</t>
  </si>
  <si>
    <t>Edson Veloso - 31/01/2025 12:36:44</t>
  </si>
  <si>
    <t>Francisco Neto - 03/02/2025 14:26:41</t>
  </si>
  <si>
    <t>Matheus César Azevedo Neto - 03/02/2025 14:41:52</t>
  </si>
  <si>
    <t>Edson Veloso - 04/02/2025 10:33:16</t>
  </si>
  <si>
    <t>Matheus César Azevedo Neto - 04/02/2025 13:01:33</t>
  </si>
  <si>
    <t>Edson Veloso - 04/03/2025 13:43:06</t>
  </si>
  <si>
    <t>Mariana Oliveira - 06/03/2025 18:03:42</t>
  </si>
  <si>
    <t>Regis Bottino - 06/03/2025 18:11:55</t>
  </si>
  <si>
    <t>Matheus César Azevedo Neto - 06/03/2025 18:13:28</t>
  </si>
  <si>
    <t>Edson Veloso - 07/03/2025 07:25:27</t>
  </si>
  <si>
    <t>Regis Bottino - 07/03/2025 07:48:33</t>
  </si>
  <si>
    <t>Matheus César Azevedo Neto - 07/03/2025 07:56:21</t>
  </si>
  <si>
    <t>Francisco Neto - 30/01/2025 09:01:44</t>
  </si>
  <si>
    <t>Matheus César Azevedo Neto - 30/01/2025 09:20:34</t>
  </si>
  <si>
    <t>Edson Veloso - 03/02/2025 14:25:32</t>
  </si>
  <si>
    <t>Francisco Neto - 03/02/2025 14:26:42</t>
  </si>
  <si>
    <t>Matheus César Azevedo Neto - 03/02/2025 14:41:54</t>
  </si>
  <si>
    <t>Edson Veloso - 04/02/2025 10:33:19</t>
  </si>
  <si>
    <t>Matheus César Azevedo Neto - 04/02/2025 13:01:37</t>
  </si>
  <si>
    <t>Edson Veloso - 04/03/2025 13:43:19</t>
  </si>
  <si>
    <t>Mariana Oliveira - 06/03/2025 18:04:06</t>
  </si>
  <si>
    <t>Regis Bottino - 06/03/2025 18:12:07</t>
  </si>
  <si>
    <t>Matheus César Azevedo Neto - 06/03/2025 18:13:34</t>
  </si>
  <si>
    <t>Edson Veloso - 07/03/2025 07:25:29</t>
  </si>
  <si>
    <t>Regis Bottino - 07/03/2025 07:48:40</t>
  </si>
  <si>
    <t>Matheus César Azevedo Neto - 07/03/2025 07:56:24</t>
  </si>
  <si>
    <t>Francisco Neto - 30/01/2025 09:02:02</t>
  </si>
  <si>
    <t>Matheus César Azevedo Neto - 30/01/2025 09:20:49</t>
  </si>
  <si>
    <t>Edson Veloso - 31/01/2025 12:44:28</t>
  </si>
  <si>
    <t>Francisco Neto - 03/02/2025 14:26:44</t>
  </si>
  <si>
    <t>Matheus César Azevedo Neto - 03/02/2025 14:41:57</t>
  </si>
  <si>
    <t>Edson Veloso - 04/02/2025 10:33:27</t>
  </si>
  <si>
    <t>Matheus César Azevedo Neto - 04/02/2025 13:01:35</t>
  </si>
  <si>
    <t>Edson Veloso - 04/03/2025 13:43:34</t>
  </si>
  <si>
    <t>Mariana Oliveira - 06/03/2025 11:39:10</t>
  </si>
  <si>
    <t>Matheus César Azevedo Neto - 06/03/2025 11:41:05</t>
  </si>
  <si>
    <t>Regis Bottino - 06/03/2025 11:50:14</t>
  </si>
  <si>
    <t>Edson Veloso - 07/03/2025 07:25:31</t>
  </si>
  <si>
    <t>Regis Bottino - 07/03/2025 07:48:42</t>
  </si>
  <si>
    <t>Matheus César Azevedo Neto - 07/03/2025 07:56:27</t>
  </si>
  <si>
    <t>Francisco Neto - 27/01/2025 15:29:18</t>
  </si>
  <si>
    <t>Matheus César Azevedo Neto - 28/01/2025 07:28:39</t>
  </si>
  <si>
    <t>Edson Veloso - 30/01/2025 16:20:25</t>
  </si>
  <si>
    <t>Francisco Neto - 03/02/2025 14:25:36</t>
  </si>
  <si>
    <t>Matheus César Azevedo Neto - 03/02/2025 14:42:21</t>
  </si>
  <si>
    <t>Edson Veloso - 04/02/2025 10:33:29</t>
  </si>
  <si>
    <t>Matheus César Azevedo Neto - 04/02/2025 13:01:39</t>
  </si>
  <si>
    <t>Mariana Oliveira - 06/03/2025 10:05:57</t>
  </si>
  <si>
    <t>Edson Veloso - 07/03/2025 07:03:27</t>
  </si>
  <si>
    <t>Regis Bottino - 07/03/2025 07:07:43</t>
  </si>
  <si>
    <t>Matheus César Azevedo Neto - 07/03/2025 07:08:48</t>
  </si>
  <si>
    <t>Edson Veloso - 07/03/2025 07:25:43</t>
  </si>
  <si>
    <t>Regis Bottino - 07/03/2025 07:48:44</t>
  </si>
  <si>
    <t>Matheus César Azevedo Neto - 07/03/2025 07:56:31</t>
  </si>
  <si>
    <t>Francisco Neto - 03/02/2025 14:22:37</t>
  </si>
  <si>
    <t>Matheus César Azevedo Neto - 03/02/2025 14:37:07</t>
  </si>
  <si>
    <t>Edson Veloso - 04/02/2025 10:30:32</t>
  </si>
  <si>
    <t>Francisco Neto - 04/02/2025 12:14:33</t>
  </si>
  <si>
    <t>Matheus César Azevedo Neto - 04/02/2025 12:50:36</t>
  </si>
  <si>
    <t>Edson Veloso - 04/02/2025 16:35:06</t>
  </si>
  <si>
    <t>Matheus César Azevedo Neto - 05/02/2025 10:46:04</t>
  </si>
  <si>
    <t>Edson Veloso - 04/03/2025 13:43:25</t>
  </si>
  <si>
    <t>Mariana Oliveira - 05/03/2025 16:53:29</t>
  </si>
  <si>
    <t>Regis Bottino - 05/03/2025 17:19:17</t>
  </si>
  <si>
    <t>Matheus César Azevedo Neto - 05/03/2025 17:23:57</t>
  </si>
  <si>
    <t>Edson Veloso - 07/03/2025 07:25:46</t>
  </si>
  <si>
    <t>Regis Bottino - 07/03/2025 07:48:46</t>
  </si>
  <si>
    <t>Matheus César Azevedo Neto - 07/03/2025 07:57:24</t>
  </si>
  <si>
    <t>Francisco Neto - 03/02/2025 14:22:39</t>
  </si>
  <si>
    <t>Matheus César Azevedo Neto - 03/02/2025 14:37:03</t>
  </si>
  <si>
    <t>Edson Veloso - 04/02/2025 10:30:52</t>
  </si>
  <si>
    <t>Francisco Neto - 04/02/2025 12:14:49</t>
  </si>
  <si>
    <t>Matheus César Azevedo Neto - 04/02/2025 12:51:15</t>
  </si>
  <si>
    <t>Edson Veloso - 04/02/2025 16:35:20</t>
  </si>
  <si>
    <t>Matheus César Azevedo Neto - 05/02/2025 10:46:15</t>
  </si>
  <si>
    <t>Edson Veloso - 07/02/2025 07:43:13</t>
  </si>
  <si>
    <t>Mariana Oliveira - 06/03/2025 10:07:28</t>
  </si>
  <si>
    <t>Regis Bottino - 06/03/2025 11:38:08</t>
  </si>
  <si>
    <t>Matheus César Azevedo Neto - 06/03/2025 11:41:09</t>
  </si>
  <si>
    <t>Edson Veloso - 07/03/2025 14:28:21</t>
  </si>
  <si>
    <t>Regis Bottino - 07/03/2025 14:36:26</t>
  </si>
  <si>
    <t>Matheus César Azevedo Neto - 07/03/2025 14:38:53</t>
  </si>
  <si>
    <t>Francisco Neto - 03/02/2025 14:22:40</t>
  </si>
  <si>
    <t>Matheus César Azevedo Neto - 03/02/2025 14:37:05</t>
  </si>
  <si>
    <t>Edson Veloso - 04/02/2025 10:30:55</t>
  </si>
  <si>
    <t>Francisco Neto - 04/02/2025 12:14:51</t>
  </si>
  <si>
    <t>Matheus César Azevedo Neto - 04/02/2025 12:51:00</t>
  </si>
  <si>
    <t>Edson Veloso - 04/02/2025 16:35:10</t>
  </si>
  <si>
    <t>Matheus César Azevedo Neto - 05/02/2025 10:46:06</t>
  </si>
  <si>
    <t>Edson Veloso - 04/03/2025 13:43:31</t>
  </si>
  <si>
    <t>Mariana Oliveira - 06/03/2025 11:39:16</t>
  </si>
  <si>
    <t>Matheus César Azevedo Neto - 06/03/2025 11:41:12</t>
  </si>
  <si>
    <t>Regis Bottino - 06/03/2025 11:50:17</t>
  </si>
  <si>
    <t>Edson Veloso - 07/03/2025 07:25:48</t>
  </si>
  <si>
    <t>Regis Bottino - 07/03/2025 07:48:48</t>
  </si>
  <si>
    <t>Matheus César Azevedo Neto - 07/03/2025 07:57:46</t>
  </si>
  <si>
    <t>Francisco Neto - 03/02/2025 14:22:26</t>
  </si>
  <si>
    <t>Matheus César Azevedo Neto - 03/02/2025 14:36:54</t>
  </si>
  <si>
    <t>Edson Veloso - 04/02/2025 10:30:58</t>
  </si>
  <si>
    <t>Francisco Neto - 04/02/2025 12:14:53</t>
  </si>
  <si>
    <t>Matheus César Azevedo Neto - 04/02/2025 12:51:06</t>
  </si>
  <si>
    <t>Edson Veloso - 04/02/2025 16:35:12</t>
  </si>
  <si>
    <t>Matheus César Azevedo Neto - 05/02/2025 10:46:08</t>
  </si>
  <si>
    <t>Edson Veloso - 03/03/2025 13:42:22</t>
  </si>
  <si>
    <t>Mariana Oliveira - 06/03/2025 10:14:12</t>
  </si>
  <si>
    <t>Regis Bottino - 06/03/2025 11:38:11</t>
  </si>
  <si>
    <t>Matheus César Azevedo Neto - 06/03/2025 11:41:24</t>
  </si>
  <si>
    <t>Edson Veloso - 07/03/2025 07:25:50</t>
  </si>
  <si>
    <t>Regis Bottino - 07/03/2025 07:48:52</t>
  </si>
  <si>
    <t>Matheus César Azevedo Neto - 07/03/2025 07:57:27</t>
  </si>
  <si>
    <t>Francisco Neto - 30/01/2025 14:45:59</t>
  </si>
  <si>
    <t>Matheus César Azevedo Neto - 30/01/2025 15:51:19</t>
  </si>
  <si>
    <t>Edson Veloso - 31/01/2025 12:44:14</t>
  </si>
  <si>
    <t>Francisco Neto - 03/02/2025 14:26:45</t>
  </si>
  <si>
    <t>Matheus César Azevedo Neto - 03/02/2025 14:42:01</t>
  </si>
  <si>
    <t>Edson Veloso - 04/02/2025 10:33:32</t>
  </si>
  <si>
    <t>Matheus César Azevedo Neto - 04/02/2025 13:01:42</t>
  </si>
  <si>
    <t>Edson Veloso - 03/03/2025 13:42:30</t>
  </si>
  <si>
    <t>Mariana Oliveira - 04/03/2025 17:36:11</t>
  </si>
  <si>
    <t>Regis Bottino - 05/03/2025 07:22:49</t>
  </si>
  <si>
    <t>Matheus César Azevedo Neto - 05/03/2025 07:39:59</t>
  </si>
  <si>
    <t>Edson Veloso - 06/03/2025 11:54:01</t>
  </si>
  <si>
    <t>Regis Bottino - 07/03/2025 07:19:40</t>
  </si>
  <si>
    <t>Matheus César Azevedo Neto - 07/03/2025 07:40:38</t>
  </si>
  <si>
    <t>Francisco Neto - 30/01/2025 14:45:44</t>
  </si>
  <si>
    <t>Matheus César Azevedo Neto - 30/01/2025 15:50:55</t>
  </si>
  <si>
    <t>Edson Veloso - 31/01/2025 12:35:17</t>
  </si>
  <si>
    <t>Francisco Neto - 03/02/2025 14:26:47</t>
  </si>
  <si>
    <t>Matheus César Azevedo Neto - 03/02/2025 14:42:03</t>
  </si>
  <si>
    <t>Edson Veloso - 04/02/2025 10:33:34</t>
  </si>
  <si>
    <t>Matheus César Azevedo Neto - 04/02/2025 13:01:40</t>
  </si>
  <si>
    <t>Edson Veloso - 03/03/2025 13:42:35</t>
  </si>
  <si>
    <t>Mariana Oliveira - 03/03/2025 16:14:43</t>
  </si>
  <si>
    <t>Regis Bottino - 04/03/2025 06:59:45</t>
  </si>
  <si>
    <t>Matheus César Azevedo Neto - 04/03/2025 07:03:57</t>
  </si>
  <si>
    <t>Edson Veloso - 06/03/2025 11:54:05</t>
  </si>
  <si>
    <t>Regis Bottino - 07/03/2025 07:19:43</t>
  </si>
  <si>
    <t>Matheus César Azevedo Neto - 07/03/2025 07:40:40</t>
  </si>
  <si>
    <t>Francisco Neto - 30/01/2025 14:46:03</t>
  </si>
  <si>
    <t>Matheus César Azevedo Neto - 30/01/2025 15:51:28</t>
  </si>
  <si>
    <t>Edson Veloso - 31/01/2025 12:44:24</t>
  </si>
  <si>
    <t>Francisco Neto - 03/02/2025 14:26:48</t>
  </si>
  <si>
    <t>Matheus César Azevedo Neto - 03/02/2025 14:42:08</t>
  </si>
  <si>
    <t>Edson Veloso - 04/02/2025 10:33:36</t>
  </si>
  <si>
    <t>Matheus César Azevedo Neto - 04/02/2025 13:01:44</t>
  </si>
  <si>
    <t>Edson Veloso - 03/03/2025 13:42:42</t>
  </si>
  <si>
    <t>Mariana Oliveira - 07/03/2025 09:01:32</t>
  </si>
  <si>
    <t>Regis Bottino - 07/03/2025 09:03:57</t>
  </si>
  <si>
    <t>Matheus César Azevedo Neto - 07/03/2025 09:04:20</t>
  </si>
  <si>
    <t>Edson Veloso - 07/03/2025 11:15:49</t>
  </si>
  <si>
    <t>Regis Bottino - 07/03/2025 13:01:27</t>
  </si>
  <si>
    <t>Matheus César Azevedo Neto - 07/03/2025 13:02:44</t>
  </si>
  <si>
    <t>Francisco Neto - 30/01/2025 09:02:16</t>
  </si>
  <si>
    <t>Matheus César Azevedo Neto - 30/01/2025 09:21:19</t>
  </si>
  <si>
    <t>Edson Veloso - 03/02/2025 14:25:36</t>
  </si>
  <si>
    <t>Francisco Neto - 03/02/2025 14:26:50</t>
  </si>
  <si>
    <t>Matheus César Azevedo Neto - 03/02/2025 14:42:10</t>
  </si>
  <si>
    <t>Edson Veloso - 04/02/2025 10:33:39</t>
  </si>
  <si>
    <t>Matheus César Azevedo Neto - 04/02/2025 13:01:46</t>
  </si>
  <si>
    <t>Edson Veloso - 03/03/2025 13:42:48</t>
  </si>
  <si>
    <t>Mariana Oliveira - 03/03/2025 16:12:09</t>
  </si>
  <si>
    <t>Regis Bottino - 04/03/2025 06:59:49</t>
  </si>
  <si>
    <t>Matheus César Azevedo Neto - 04/03/2025 07:04:00</t>
  </si>
  <si>
    <t>Edson Veloso - 06/03/2025 11:54:08</t>
  </si>
  <si>
    <t>Regis Bottino - 07/03/2025 07:19:44</t>
  </si>
  <si>
    <t>Matheus César Azevedo Neto - 07/03/2025 07:40:45</t>
  </si>
  <si>
    <t>Francisco Neto - 03/02/2025 14:22:28</t>
  </si>
  <si>
    <t>Matheus César Azevedo Neto - 03/02/2025 14:36:56</t>
  </si>
  <si>
    <t>Edson Veloso - 04/02/2025 10:31:01</t>
  </si>
  <si>
    <t>Francisco Neto - 04/02/2025 12:15:16</t>
  </si>
  <si>
    <t>Matheus César Azevedo Neto - 04/02/2025 12:51:19</t>
  </si>
  <si>
    <t>Edson Veloso - 04/02/2025 16:35:14</t>
  </si>
  <si>
    <t>Matheus César Azevedo Neto - 05/02/2025 10:46:09</t>
  </si>
  <si>
    <t>Edson Veloso - 03/03/2025 13:42:55</t>
  </si>
  <si>
    <t>Mariana Oliveira - 03/03/2025 16:14:25</t>
  </si>
  <si>
    <t>Regis Bottino - 04/03/2025 06:59:52</t>
  </si>
  <si>
    <t>Matheus César Azevedo Neto - 04/03/2025 07:04:03</t>
  </si>
  <si>
    <t>Edson Veloso - 06/03/2025 11:53:57</t>
  </si>
  <si>
    <t>Regis Bottino - 07/03/2025 07:19:47</t>
  </si>
  <si>
    <t>Matheus César Azevedo Neto - 07/03/2025 07:40:52</t>
  </si>
  <si>
    <t>Francisco Neto - 30/01/2025 09:01:33</t>
  </si>
  <si>
    <t>Matheus César Azevedo Neto - 30/01/2025 09:19:49</t>
  </si>
  <si>
    <t>Edson Veloso - 03/02/2025 14:25:39</t>
  </si>
  <si>
    <t>Francisco Neto - 03/02/2025 14:26:52</t>
  </si>
  <si>
    <t>Matheus César Azevedo Neto - 03/02/2025 14:42:17</t>
  </si>
  <si>
    <t>Edson Veloso - 04/02/2025 10:33:43</t>
  </si>
  <si>
    <t>Matheus César Azevedo Neto - 04/02/2025 13:01:47</t>
  </si>
  <si>
    <t>Edson Veloso - 04/03/2025 13:43:56</t>
  </si>
  <si>
    <t>Mariana Oliveira - 06/03/2025 10:15:19</t>
  </si>
  <si>
    <t>Regis Bottino - 06/03/2025 11:38:15</t>
  </si>
  <si>
    <t>Matheus César Azevedo Neto - 06/03/2025 11:41:21</t>
  </si>
  <si>
    <t>Edson Veloso - 07/03/2025 07:24:47</t>
  </si>
  <si>
    <t>Regis Bottino - 07/03/2025 07:46:17</t>
  </si>
  <si>
    <t>Matheus César Azevedo Neto - 07/03/2025 07:57:40</t>
  </si>
  <si>
    <t>Francisco Neto - 30/01/2025 09:02:04</t>
  </si>
  <si>
    <t>Matheus César Azevedo Neto - 30/01/2025 09:20:55</t>
  </si>
  <si>
    <t>Edson Veloso - 31/01/2025 15:15:27</t>
  </si>
  <si>
    <t>Francisco Neto - 03/02/2025 14:26:53</t>
  </si>
  <si>
    <t>Matheus César Azevedo Neto - 03/02/2025 14:42:13</t>
  </si>
  <si>
    <t>Edson Veloso - 04/02/2025 10:33:45</t>
  </si>
  <si>
    <t>Matheus César Azevedo Neto - 04/02/2025 13:01:49</t>
  </si>
  <si>
    <t>Mariana Oliveira - 06/03/2025 18:03:28</t>
  </si>
  <si>
    <t>Edson Veloso - 07/03/2025 07:03:29</t>
  </si>
  <si>
    <t>Regis Bottino - 07/03/2025 07:07:46</t>
  </si>
  <si>
    <t>Matheus César Azevedo Neto - 07/03/2025 07:08:55</t>
  </si>
  <si>
    <t>Edson Veloso - 07/03/2025 07:25:52</t>
  </si>
  <si>
    <t>Regis Bottino - 07/03/2025 07:46:23</t>
  </si>
  <si>
    <t>Matheus César Azevedo Neto - 07/03/2025 07:57:30</t>
  </si>
  <si>
    <t>Francisco Neto - 30/01/2025 09:02:06</t>
  </si>
  <si>
    <t>Matheus César Azevedo Neto - 30/01/2025 09:20:59</t>
  </si>
  <si>
    <t>Edson Veloso - 31/01/2025 15:15:33</t>
  </si>
  <si>
    <t>Francisco Neto - 03/02/2025 14:26:55</t>
  </si>
  <si>
    <t>Matheus César Azevedo Neto - 03/02/2025 14:42:26</t>
  </si>
  <si>
    <t>Edson Veloso - 04/02/2025 10:33:48</t>
  </si>
  <si>
    <t>Matheus César Azevedo Neto - 04/02/2025 13:01:51</t>
  </si>
  <si>
    <t>Mariana Oliveira - 06/03/2025 18:04:14</t>
  </si>
  <si>
    <t>Edson Veloso - 07/03/2025 07:03:31</t>
  </si>
  <si>
    <t>Regis Bottino - 07/03/2025 07:07:49</t>
  </si>
  <si>
    <t>Matheus César Azevedo Neto - 07/03/2025 07:08:59</t>
  </si>
  <si>
    <t>Edson Veloso - 07/03/2025 07:24:49</t>
  </si>
  <si>
    <t>Regis Bottino - 07/03/2025 07:45:58</t>
  </si>
  <si>
    <t>Matheus César Azevedo Neto - 07/03/2025 07:51:25</t>
  </si>
  <si>
    <t>Francisco Neto - 30/01/2025 09:02:09</t>
  </si>
  <si>
    <t>Matheus César Azevedo Neto - 30/01/2025 09:21:09</t>
  </si>
  <si>
    <t>Edson Veloso - 03/02/2025 14:25:43</t>
  </si>
  <si>
    <t>Francisco Neto - 03/02/2025 14:26:57</t>
  </si>
  <si>
    <t>Matheus César Azevedo Neto - 03/02/2025 14:42:30</t>
  </si>
  <si>
    <t>Edson Veloso - 04/02/2025 10:33:50</t>
  </si>
  <si>
    <t>Matheus César Azevedo Neto - 04/02/2025 13:01:53</t>
  </si>
  <si>
    <t>Edson Veloso - 04/03/2025 13:43:41</t>
  </si>
  <si>
    <t>Mariana Oliveira - 06/03/2025 18:04:20</t>
  </si>
  <si>
    <t>Regis Bottino - 06/03/2025 18:12:04</t>
  </si>
  <si>
    <t>Matheus César Azevedo Neto - 06/03/2025 18:13:57</t>
  </si>
  <si>
    <t>Edson Veloso - 07/03/2025 07:25:57</t>
  </si>
  <si>
    <t>Regis Bottino - 07/03/2025 07:46:19</t>
  </si>
  <si>
    <t>Matheus César Azevedo Neto - 07/03/2025 07:57:43</t>
  </si>
  <si>
    <t>Francisco Neto - 03/02/2025 14:22:42</t>
  </si>
  <si>
    <t>Matheus César Azevedo Neto - 03/02/2025 14:37:13</t>
  </si>
  <si>
    <t>Edson Veloso - 04/02/2025 10:31:04</t>
  </si>
  <si>
    <t>Francisco Neto - 04/02/2025 12:15:19</t>
  </si>
  <si>
    <t>Matheus César Azevedo Neto - 04/02/2025 12:51:11</t>
  </si>
  <si>
    <t>Edson Veloso - 04/02/2025 16:35:17</t>
  </si>
  <si>
    <t>Matheus César Azevedo Neto - 05/02/2025 10:46:13</t>
  </si>
  <si>
    <t>Edson Veloso - 04/03/2025 13:43:46</t>
  </si>
  <si>
    <t>Mariana Oliveira - 06/03/2025 10:15:35</t>
  </si>
  <si>
    <t>Regis Bottino - 06/03/2025 11:38:23</t>
  </si>
  <si>
    <t>Matheus César Azevedo Neto - 06/03/2025 11:41:40</t>
  </si>
  <si>
    <t>Edson Veloso - 07/03/2025 07:25:54</t>
  </si>
  <si>
    <t>Regis Bottino - 07/03/2025 07:46:21</t>
  </si>
  <si>
    <t>Matheus César Azevedo Neto - 07/03/2025 07:57:52</t>
  </si>
  <si>
    <t>Francisco Neto - 30/01/2025 14:45:50</t>
  </si>
  <si>
    <t>Matheus César Azevedo Neto - 30/01/2025 15:51:05</t>
  </si>
  <si>
    <t>Edson Veloso - 31/01/2025 12:35:01</t>
  </si>
  <si>
    <t>Francisco Neto - 03/02/2025 14:26:59</t>
  </si>
  <si>
    <t>Matheus César Azevedo Neto - 03/02/2025 14:42:35</t>
  </si>
  <si>
    <t>Edson Veloso - 04/02/2025 10:33:53</t>
  </si>
  <si>
    <t>Matheus César Azevedo Neto - 04/02/2025 13:01:54</t>
  </si>
  <si>
    <t>Mariana Oliveira - 06/03/2025 20:23:35</t>
  </si>
  <si>
    <t>Edson Veloso - 07/03/2025 07:03:34</t>
  </si>
  <si>
    <t>Regis Bottino - 07/03/2025 07:07:51</t>
  </si>
  <si>
    <t>Matheus César Azevedo Neto - 07/03/2025 07:09:02</t>
  </si>
  <si>
    <t>Edson Veloso - 07/03/2025 07:25:59</t>
  </si>
  <si>
    <t>Regis Bottino - 07/03/2025 07:46:26</t>
  </si>
  <si>
    <t>Matheus César Azevedo Neto - 07/03/2025 07:57:49</t>
  </si>
  <si>
    <t>Francisco Neto - 27/01/2025 12:49:40</t>
  </si>
  <si>
    <t>Matheus César Azevedo Neto - 28/01/2025 07:28:58</t>
  </si>
  <si>
    <t>Edson Veloso - 31/01/2025 12:34:12</t>
  </si>
  <si>
    <t>Francisco Neto - 03/02/2025 14:27:01</t>
  </si>
  <si>
    <t>Matheus César Azevedo Neto - 03/02/2025 14:42:47</t>
  </si>
  <si>
    <t>Edson Veloso - 04/02/2025 10:33:58</t>
  </si>
  <si>
    <t>Matheus César Azevedo Neto - 04/02/2025 13:02:37</t>
  </si>
  <si>
    <t>Edson Veloso - 04/03/2025 13:44:17</t>
  </si>
  <si>
    <t>Mariana Oliveira - 05/03/2025 15:28:13</t>
  </si>
  <si>
    <t>Regis Bottino - 05/03/2025 15:33:12</t>
  </si>
  <si>
    <t>Matheus César Azevedo Neto - 05/03/2025 15:35:18</t>
  </si>
  <si>
    <t>Edson Veloso - 07/03/2025 07:29:36</t>
  </si>
  <si>
    <t>Regis Bottino - 07/03/2025 07:46:43</t>
  </si>
  <si>
    <t>Matheus César Azevedo Neto - 07/03/2025 07:54:21</t>
  </si>
  <si>
    <t>Francisco Neto - 28/01/2025 13:30:41</t>
  </si>
  <si>
    <t>Matheus César Azevedo Neto - 28/01/2025 15:34:18</t>
  </si>
  <si>
    <t>Edson Veloso - 30/01/2025 16:20:54</t>
  </si>
  <si>
    <t>Francisco Neto - 03/02/2025 14:27:03</t>
  </si>
  <si>
    <t>Matheus César Azevedo Neto - 03/02/2025 14:42:44</t>
  </si>
  <si>
    <t>Edson Veloso - 04/02/2025 10:34:01</t>
  </si>
  <si>
    <t>Matheus César Azevedo Neto - 04/02/2025 13:01:58</t>
  </si>
  <si>
    <t>Edson Veloso - 04/03/2025 13:44:22</t>
  </si>
  <si>
    <t>Mariana Oliveira - 06/03/2025 08:51:49</t>
  </si>
  <si>
    <t>Regis Bottino - 06/03/2025 11:36:48</t>
  </si>
  <si>
    <t>Matheus César Azevedo Neto - 06/03/2025 11:41:36</t>
  </si>
  <si>
    <t>Edson Veloso - 07/03/2025 07:28:05</t>
  </si>
  <si>
    <t>Regis Bottino - 07/03/2025 07:46:28</t>
  </si>
  <si>
    <t>Matheus César Azevedo Neto - 07/03/2025 07:51:41</t>
  </si>
  <si>
    <t>Francisco Neto - 03/02/2025 14:22:44</t>
  </si>
  <si>
    <t>Matheus César Azevedo Neto - 03/02/2025 14:37:19</t>
  </si>
  <si>
    <t>Edson Veloso - 04/02/2025 10:31:07</t>
  </si>
  <si>
    <t>Francisco Neto - 04/02/2025 12:15:21</t>
  </si>
  <si>
    <t>Matheus César Azevedo Neto - 04/02/2025 12:51:30</t>
  </si>
  <si>
    <t>Edson Veloso - 04/02/2025 16:35:23</t>
  </si>
  <si>
    <t>Matheus César Azevedo Neto - 05/02/2025 10:46:33</t>
  </si>
  <si>
    <t>Edson Veloso - 05/03/2025 15:24:10</t>
  </si>
  <si>
    <t>Mariana Oliveira - 05/03/2025 15:28:23</t>
  </si>
  <si>
    <t>Regis Bottino - 05/03/2025 15:33:15</t>
  </si>
  <si>
    <t>Matheus César Azevedo Neto - 05/03/2025 15:35:21</t>
  </si>
  <si>
    <t>Edson Veloso - 06/03/2025 11:54:16</t>
  </si>
  <si>
    <t>Regis Bottino - 07/03/2025 07:19:49</t>
  </si>
  <si>
    <t>Matheus César Azevedo Neto - 07/03/2025 07:40:58</t>
  </si>
  <si>
    <t>Francisco Neto - 03/02/2025 14:22:46</t>
  </si>
  <si>
    <t>Matheus César Azevedo Neto - 03/02/2025 14:38:54</t>
  </si>
  <si>
    <t>Edson Veloso - 04/02/2025 10:31:10</t>
  </si>
  <si>
    <t>Francisco Neto - 04/02/2025 12:15:23</t>
  </si>
  <si>
    <t>Matheus César Azevedo Neto - 04/02/2025 12:51:23</t>
  </si>
  <si>
    <t>Edson Veloso - 04/02/2025 16:35:26</t>
  </si>
  <si>
    <t>Matheus César Azevedo Neto - 05/02/2025 10:46:29</t>
  </si>
  <si>
    <t>Edson Veloso - 05/03/2025 15:24:14</t>
  </si>
  <si>
    <t>Mariana Oliveira - 05/03/2025 15:28:29</t>
  </si>
  <si>
    <t>Regis Bottino - 05/03/2025 15:33:34</t>
  </si>
  <si>
    <t>Matheus César Azevedo Neto - 05/03/2025 15:35:43</t>
  </si>
  <si>
    <t>Edson Veloso - 06/03/2025 11:54:19</t>
  </si>
  <si>
    <t>Regis Bottino - 07/03/2025 07:19:51</t>
  </si>
  <si>
    <t>Matheus César Azevedo Neto - 07/03/2025 07:40:55</t>
  </si>
  <si>
    <t>Francisco Neto - 03/02/2025 14:22:47</t>
  </si>
  <si>
    <t>Matheus César Azevedo Neto - 03/02/2025 14:37:29</t>
  </si>
  <si>
    <t>Edson Veloso - 04/02/2025 10:31:13</t>
  </si>
  <si>
    <t>Francisco Neto - 04/02/2025 12:15:27</t>
  </si>
  <si>
    <t>Matheus César Azevedo Neto - 04/02/2025 12:51:27</t>
  </si>
  <si>
    <t>Edson Veloso - 04/02/2025 16:35:30</t>
  </si>
  <si>
    <t>Matheus César Azevedo Neto - 05/02/2025 10:46:21</t>
  </si>
  <si>
    <t>Edson Veloso - 07/03/2025 07:03:37</t>
  </si>
  <si>
    <t>Mariana Oliveira - 07/03/2025 11:09:52</t>
  </si>
  <si>
    <t>Regis Bottino - 07/03/2025 13:01:08</t>
  </si>
  <si>
    <t>Matheus César Azevedo Neto - 07/03/2025 13:02:13</t>
  </si>
  <si>
    <t>Edson Veloso - 07/03/2025 14:26:07</t>
  </si>
  <si>
    <t>Regis Bottino - 07/03/2025 14:36:33</t>
  </si>
  <si>
    <t>Matheus César Azevedo Neto - 07/03/2025 14:38:56</t>
  </si>
  <si>
    <t>Francisco Neto - 03/02/2025 14:22:49</t>
  </si>
  <si>
    <t>Matheus César Azevedo Neto - 03/02/2025 14:37:21</t>
  </si>
  <si>
    <t>Edson Veloso - 04/02/2025 10:31:15</t>
  </si>
  <si>
    <t>Francisco Neto - 04/02/2025 12:15:29</t>
  </si>
  <si>
    <t>Matheus César Azevedo Neto - 04/02/2025 12:51:41</t>
  </si>
  <si>
    <t>Edson Veloso - 04/02/2025 16:35:32</t>
  </si>
  <si>
    <t>Matheus César Azevedo Neto - 05/02/2025 10:46:22</t>
  </si>
  <si>
    <t>Edson Veloso - 07/03/2025 07:03:40</t>
  </si>
  <si>
    <t>Mariana Oliveira - 10/03/2025 11:14:51</t>
  </si>
  <si>
    <t>Regis Bottino - 10/03/2025 11:18:05</t>
  </si>
  <si>
    <t>Matheus César Azevedo Neto - 10/03/2025 11:19:04</t>
  </si>
  <si>
    <t>Francisco Neto - 03/02/2025 14:22:51</t>
  </si>
  <si>
    <t>Matheus César Azevedo Neto - 03/02/2025 14:37:25</t>
  </si>
  <si>
    <t>Edson Veloso - 04/02/2025 10:31:17</t>
  </si>
  <si>
    <t>Francisco Neto - 04/02/2025 12:15:32</t>
  </si>
  <si>
    <t>Matheus César Azevedo Neto - 04/02/2025 12:51:33</t>
  </si>
  <si>
    <t>Edson Veloso - 04/02/2025 16:35:35</t>
  </si>
  <si>
    <t>Matheus César Azevedo Neto - 05/02/2025 10:46:25</t>
  </si>
  <si>
    <t>Edson Veloso - 07/03/2025 07:03:42</t>
  </si>
  <si>
    <t>Mariana Oliveira - 11/03/2025 15:19:06</t>
  </si>
  <si>
    <t>Regis Bottino - 12/03/2025 07:48:05</t>
  </si>
  <si>
    <t>Matheus César Azevedo Neto - 12/03/2025 07:49:36</t>
  </si>
  <si>
    <t>Francisco Neto - 30/01/2025 09:02:22</t>
  </si>
  <si>
    <t>Matheus César Azevedo Neto - 30/01/2025 09:22:43</t>
  </si>
  <si>
    <t>Edson Veloso - 31/01/2025 12:38:51</t>
  </si>
  <si>
    <t>Francisco Neto - 03/02/2025 14:27:16</t>
  </si>
  <si>
    <t>Matheus César Azevedo Neto - 03/02/2025 14:43:27</t>
  </si>
  <si>
    <t>Edson Veloso - 04/02/2025 10:34:12</t>
  </si>
  <si>
    <t>Matheus César Azevedo Neto - 04/02/2025 13:02:02</t>
  </si>
  <si>
    <t>Edson Veloso - 05/03/2025 13:51:52</t>
  </si>
  <si>
    <t>Mariana Oliveira - 05/03/2025 14:27:12</t>
  </si>
  <si>
    <t>Regis Bottino - 05/03/2025 14:29:53</t>
  </si>
  <si>
    <t>Matheus César Azevedo Neto - 05/03/2025 14:30:11</t>
  </si>
  <si>
    <t>Edson Veloso - 06/03/2025 11:54:26</t>
  </si>
  <si>
    <t>Regis Bottino - 07/03/2025 07:19:53</t>
  </si>
  <si>
    <t>Matheus César Azevedo Neto - 07/03/2025 07:41:01</t>
  </si>
  <si>
    <t>Francisco Neto - 30/01/2025 09:02:25</t>
  </si>
  <si>
    <t>Matheus César Azevedo Neto - 30/01/2025 09:22:46</t>
  </si>
  <si>
    <t>Edson Veloso - 31/01/2025 12:38:55</t>
  </si>
  <si>
    <t>Francisco Neto - 03/02/2025 14:27:18</t>
  </si>
  <si>
    <t>Matheus César Azevedo Neto - 03/02/2025 14:42:53</t>
  </si>
  <si>
    <t>Edson Veloso - 04/02/2025 10:34:15</t>
  </si>
  <si>
    <t>Matheus César Azevedo Neto - 04/02/2025 13:02:04</t>
  </si>
  <si>
    <t>Edson Veloso - 05/03/2025 13:51:56</t>
  </si>
  <si>
    <t>Mariana Oliveira - 05/03/2025 14:27:54</t>
  </si>
  <si>
    <t>Regis Bottino - 05/03/2025 14:29:56</t>
  </si>
  <si>
    <t>Matheus César Azevedo Neto - 05/03/2025 14:30:14</t>
  </si>
  <si>
    <t>Edson Veloso - 06/03/2025 11:54:30</t>
  </si>
  <si>
    <t>Regis Bottino - 07/03/2025 07:19:55</t>
  </si>
  <si>
    <t>Matheus César Azevedo Neto - 07/03/2025 07:41:10</t>
  </si>
  <si>
    <t>Francisco Neto - 03/02/2025 14:22:53</t>
  </si>
  <si>
    <t>Matheus César Azevedo Neto - 03/02/2025 14:37:23</t>
  </si>
  <si>
    <t>Francisco Neto - 30/01/2025 09:02:27</t>
  </si>
  <si>
    <t>Matheus César Azevedo Neto - 30/01/2025 09:22:50</t>
  </si>
  <si>
    <t>Edson Veloso - 31/01/2025 12:38:58</t>
  </si>
  <si>
    <t>Francisco Neto - 03/02/2025 14:27:20</t>
  </si>
  <si>
    <t>Matheus César Azevedo Neto - 03/02/2025 14:42:55</t>
  </si>
  <si>
    <t>Edson Veloso - 04/02/2025 10:34:17</t>
  </si>
  <si>
    <t>Matheus César Azevedo Neto - 04/02/2025 13:02:06</t>
  </si>
  <si>
    <t>Edson Veloso - 05/03/2025 13:52:03</t>
  </si>
  <si>
    <t>Mariana Oliveira - 05/03/2025 15:25:24</t>
  </si>
  <si>
    <t>Regis Bottino - 05/03/2025 15:33:20</t>
  </si>
  <si>
    <t>Matheus César Azevedo Neto - 05/03/2025 15:35:25</t>
  </si>
  <si>
    <t>Edson Veloso - 06/03/2025 11:54:33</t>
  </si>
  <si>
    <t>Regis Bottino - 07/03/2025 07:19:59</t>
  </si>
  <si>
    <t>Matheus César Azevedo Neto - 07/03/2025 07:41:04</t>
  </si>
  <si>
    <t>Francisco Neto - 30/01/2025 09:02:29</t>
  </si>
  <si>
    <t>Matheus César Azevedo Neto - 30/01/2025 09:22:53</t>
  </si>
  <si>
    <t>Francisco Neto - 08/03/2025 11:50:47</t>
  </si>
  <si>
    <t>Edson Veloso - 08/03/2025 11:52:29</t>
  </si>
  <si>
    <t>Matheus César Azevedo Neto - 08/03/2025 11:54:50</t>
  </si>
  <si>
    <t>Edson Veloso - 08/03/2025 12:00:52</t>
  </si>
  <si>
    <t>Matheus César Azevedo Neto - 08/03/2025 12:02:20</t>
  </si>
  <si>
    <t>Edson Veloso - 08/03/2025 12:05:21</t>
  </si>
  <si>
    <t>Mariana Oliveira - 08/03/2025 12:45:13</t>
  </si>
  <si>
    <t>Regis Bottino - 08/03/2025 14:01:08</t>
  </si>
  <si>
    <t>Matheus César Azevedo Neto - 08/03/2025 14:02:25</t>
  </si>
  <si>
    <t>Francisco Neto - 30/01/2025 09:02:33</t>
  </si>
  <si>
    <t>Matheus César Azevedo Neto - 30/01/2025 09:22:57</t>
  </si>
  <si>
    <t>Francisco Neto - 08/03/2025 11:50:50</t>
  </si>
  <si>
    <t>Edson Veloso - 08/03/2025 11:52:35</t>
  </si>
  <si>
    <t>Matheus César Azevedo Neto - 08/03/2025 11:54:53</t>
  </si>
  <si>
    <t>Edson Veloso - 08/03/2025 12:00:55</t>
  </si>
  <si>
    <t>Matheus César Azevedo Neto - 08/03/2025 12:02:23</t>
  </si>
  <si>
    <t>Edson Veloso - 08/03/2025 12:05:26</t>
  </si>
  <si>
    <t>Mariana Oliveira - 08/03/2025 12:45:18</t>
  </si>
  <si>
    <t>Regis Bottino - 08/03/2025 14:01:11</t>
  </si>
  <si>
    <t>Matheus César Azevedo Neto - 08/03/2025 14:02:29</t>
  </si>
  <si>
    <t>Francisco Neto - 30/01/2025 09:02:35</t>
  </si>
  <si>
    <t>Matheus César Azevedo Neto - 30/01/2025 09:23:33</t>
  </si>
  <si>
    <t>Francisco Neto - 08/03/2025 11:50:54</t>
  </si>
  <si>
    <t>Edson Veloso - 08/03/2025 11:52:39</t>
  </si>
  <si>
    <t>Matheus César Azevedo Neto - 08/03/2025 11:54:56</t>
  </si>
  <si>
    <t>Edson Veloso - 08/03/2025 12:00:58</t>
  </si>
  <si>
    <t>Matheus César Azevedo Neto - 08/03/2025 12:02:27</t>
  </si>
  <si>
    <t>Edson Veloso - 08/03/2025 12:05:29</t>
  </si>
  <si>
    <t>Mariana Oliveira - 08/03/2025 12:45:25</t>
  </si>
  <si>
    <t>Regis Bottino - 08/03/2025 14:01:14</t>
  </si>
  <si>
    <t>Matheus César Azevedo Neto - 08/03/2025 14:02:32</t>
  </si>
  <si>
    <t>Francisco Neto - 30/01/2025 09:02:38</t>
  </si>
  <si>
    <t>Matheus César Azevedo Neto - 30/01/2025 09:23:00</t>
  </si>
  <si>
    <t>Edson Veloso - 03/02/2025 14:25:51</t>
  </si>
  <si>
    <t>Francisco Neto - 03/02/2025 14:27:22</t>
  </si>
  <si>
    <t>Matheus César Azevedo Neto - 03/02/2025 14:42:57</t>
  </si>
  <si>
    <t>Edson Veloso - 04/02/2025 10:34:19</t>
  </si>
  <si>
    <t>Matheus César Azevedo Neto - 04/02/2025 13:02:07</t>
  </si>
  <si>
    <t>Mariana Oliveira - 05/03/2025 14:28:31</t>
  </si>
  <si>
    <t>Edson Veloso - 05/03/2025 15:24:23</t>
  </si>
  <si>
    <t>Regis Bottino - 05/03/2025 15:33:23</t>
  </si>
  <si>
    <t>Matheus César Azevedo Neto - 05/03/2025 15:35:32</t>
  </si>
  <si>
    <t>Edson Veloso - 06/03/2025 11:54:23</t>
  </si>
  <si>
    <t>Regis Bottino - 07/03/2025 07:20:01</t>
  </si>
  <si>
    <t>Matheus César Azevedo Neto - 07/03/2025 07:41:07</t>
  </si>
  <si>
    <t>Francisco Neto - 03/02/2025 14:22:54</t>
  </si>
  <si>
    <t>Matheus César Azevedo Neto - 03/02/2025 14:38:49</t>
  </si>
  <si>
    <t>Edson Veloso - 04/02/2025 10:31:20</t>
  </si>
  <si>
    <t>Francisco Neto - 04/02/2025 12:15:36</t>
  </si>
  <si>
    <t>Matheus César Azevedo Neto - 04/02/2025 12:51:38</t>
  </si>
  <si>
    <t>Edson Veloso - 04/02/2025 16:35:39</t>
  </si>
  <si>
    <t>Matheus César Azevedo Neto - 05/02/2025 10:46:27</t>
  </si>
  <si>
    <t>Edson Veloso - 08/02/2025 11:15:49</t>
  </si>
  <si>
    <t>Mariana Oliveira - 19/02/2025 08:47:45</t>
  </si>
  <si>
    <t>Matheus César Azevedo Neto - 19/02/2025 09:40:43</t>
  </si>
  <si>
    <t>Regis Bottino - 19/02/2025 09:42:20</t>
  </si>
  <si>
    <t>Edson Veloso - 25/02/2025 08:17:16</t>
  </si>
  <si>
    <t>Regis Bottino - 25/02/2025 08:20:49</t>
  </si>
  <si>
    <t>Matheus César Azevedo Neto - 25/02/2025 08:22:38</t>
  </si>
  <si>
    <t>Francisco Neto - 27/01/2025 12:49:50</t>
  </si>
  <si>
    <t>Matheus César Azevedo Neto - 28/01/2025 07:28:53</t>
  </si>
  <si>
    <t>Edson Veloso - 31/01/2025 12:39:04</t>
  </si>
  <si>
    <t>Francisco Neto - 03/02/2025 14:27:31</t>
  </si>
  <si>
    <t>Matheus César Azevedo Neto - 03/02/2025 14:43:00</t>
  </si>
  <si>
    <t>Edson Veloso - 04/02/2025 10:34:22</t>
  </si>
  <si>
    <t>Matheus César Azevedo Neto - 04/02/2025 13:02:09</t>
  </si>
  <si>
    <t>Edson Veloso - 05/03/2025 15:24:27</t>
  </si>
  <si>
    <t>Mariana Oliveira - 06/03/2025 08:52:00</t>
  </si>
  <si>
    <t>Regis Bottino - 06/03/2025 11:36:52</t>
  </si>
  <si>
    <t>Matheus César Azevedo Neto - 06/03/2025 11:41:44</t>
  </si>
  <si>
    <t>Edson Veloso - 07/03/2025 07:28:47</t>
  </si>
  <si>
    <t>Regis Bottino - 07/03/2025 07:46:32</t>
  </si>
  <si>
    <t>Matheus César Azevedo Neto - 07/03/2025 07:53:46</t>
  </si>
  <si>
    <t>Francisco Neto - 03/02/2025 14:22:56</t>
  </si>
  <si>
    <t>Matheus César Azevedo Neto - 03/02/2025 14:37:27</t>
  </si>
  <si>
    <t>Edson Veloso - 04/02/2025 10:31:22</t>
  </si>
  <si>
    <t>Francisco Neto - 04/02/2025 12:15:38</t>
  </si>
  <si>
    <t>Matheus César Azevedo Neto - 04/02/2025 12:51:45</t>
  </si>
  <si>
    <t>Edson Veloso - 04/02/2025 16:35:42</t>
  </si>
  <si>
    <t>Matheus César Azevedo Neto - 05/02/2025 10:46:31</t>
  </si>
  <si>
    <t>Edson Veloso - 05/03/2025 13:50:34</t>
  </si>
  <si>
    <t>Mariana Oliveira - 05/03/2025 18:19:40</t>
  </si>
  <si>
    <t>Regis Bottino - 05/03/2025 18:29:04</t>
  </si>
  <si>
    <t>Matheus César Azevedo Neto - 05/03/2025 18:40:44</t>
  </si>
  <si>
    <t>Edson Veloso - 07/03/2025 07:28:38</t>
  </si>
  <si>
    <t>Regis Bottino - 07/03/2025 07:46:30</t>
  </si>
  <si>
    <t>Matheus César Azevedo Neto - 07/03/2025 07:51:46</t>
  </si>
  <si>
    <t>Francisco Neto - 28/01/2025 13:30:54</t>
  </si>
  <si>
    <t>Matheus César Azevedo Neto - 28/01/2025 15:34:25</t>
  </si>
  <si>
    <t>Edson Veloso - 03/02/2025 14:25:48</t>
  </si>
  <si>
    <t>Francisco Neto - 03/02/2025 14:27:08</t>
  </si>
  <si>
    <t>Matheus César Azevedo Neto - 03/02/2025 14:42:50</t>
  </si>
  <si>
    <t>Edson Veloso - 04/02/2025 10:34:24</t>
  </si>
  <si>
    <t>Matheus César Azevedo Neto - 04/02/2025 13:02:11</t>
  </si>
  <si>
    <t>Edson Veloso - 05/03/2025 15:24:34</t>
  </si>
  <si>
    <t>Mariana Oliveira - 06/03/2025 08:52:11</t>
  </si>
  <si>
    <t>Regis Bottino - 06/03/2025 11:36:55</t>
  </si>
  <si>
    <t>Matheus César Azevedo Neto - 06/03/2025 11:41:48</t>
  </si>
  <si>
    <t>Edson Veloso - 07/03/2025 07:28:40</t>
  </si>
  <si>
    <t>Regis Bottino - 07/03/2025 07:46:34</t>
  </si>
  <si>
    <t>Matheus César Azevedo Neto - 07/03/2025 07:51:43</t>
  </si>
  <si>
    <t>Francisco Neto - 28/01/2025 13:30:57</t>
  </si>
  <si>
    <t>Matheus César Azevedo Neto - 28/01/2025 15:34:29</t>
  </si>
  <si>
    <t>Edson Veloso - 31/01/2025 12:34:20</t>
  </si>
  <si>
    <t>Francisco Neto - 03/02/2025 14:27:07</t>
  </si>
  <si>
    <t>Matheus César Azevedo Neto - 03/02/2025 14:43:37</t>
  </si>
  <si>
    <t>Edson Veloso - 04/02/2025 10:34:26</t>
  </si>
  <si>
    <t>Matheus César Azevedo Neto - 04/02/2025 13:02:12</t>
  </si>
  <si>
    <t>Edson Veloso - 05/03/2025 07:18:35</t>
  </si>
  <si>
    <t>Mariana Oliveira - 05/03/2025 15:30:17</t>
  </si>
  <si>
    <t>Regis Bottino - 05/03/2025 15:33:27</t>
  </si>
  <si>
    <t>Matheus César Azevedo Neto - 05/03/2025 15:35:28</t>
  </si>
  <si>
    <t>Edson Veloso - 07/03/2025 07:28:42</t>
  </si>
  <si>
    <t>Regis Bottino - 07/03/2025 07:46:36</t>
  </si>
  <si>
    <t>Matheus César Azevedo Neto - 07/03/2025 07:51:49</t>
  </si>
  <si>
    <t>Francisco Neto - 30/01/2025 09:02:47</t>
  </si>
  <si>
    <t>Matheus César Azevedo Neto - 30/01/2025 09:23:21</t>
  </si>
  <si>
    <t>Francisco Neto - 03/02/2025 14:28:40</t>
  </si>
  <si>
    <t>Edson Veloso - 03/02/2025 14:29:44</t>
  </si>
  <si>
    <t>Matheus César Azevedo Neto - 03/02/2025 14:43:06</t>
  </si>
  <si>
    <t>Edson Veloso - 04/02/2025 10:34:29</t>
  </si>
  <si>
    <t>Matheus César Azevedo Neto - 04/02/2025 13:02:15</t>
  </si>
  <si>
    <t>Mariana Oliveira - 04/03/2025 19:28:13</t>
  </si>
  <si>
    <t>Edson Veloso - 05/03/2025 07:17:50</t>
  </si>
  <si>
    <t>Regis Bottino - 05/03/2025 07:22:53</t>
  </si>
  <si>
    <t>Matheus César Azevedo Neto - 05/03/2025 07:39:05</t>
  </si>
  <si>
    <t>Edson Veloso - 07/03/2025 07:28:44</t>
  </si>
  <si>
    <t>Regis Bottino - 07/03/2025 07:46:38</t>
  </si>
  <si>
    <t>Matheus César Azevedo Neto - 07/03/2025 07:51:52</t>
  </si>
  <si>
    <t>Francisco Neto - 30/01/2025 09:02:50</t>
  </si>
  <si>
    <t>Matheus César Azevedo Neto - 30/01/2025 09:23:24</t>
  </si>
  <si>
    <t>Edson Veloso - 03/02/2025 14:26:00</t>
  </si>
  <si>
    <t>Francisco Neto - 03/02/2025 14:28:44</t>
  </si>
  <si>
    <t>Matheus César Azevedo Neto - 03/02/2025 14:43:03</t>
  </si>
  <si>
    <t>Edson Veloso - 04/02/2025 10:34:34</t>
  </si>
  <si>
    <t>Matheus César Azevedo Neto - 04/02/2025 13:02:17</t>
  </si>
  <si>
    <t>Mariana Oliveira - 04/03/2025 19:28:26</t>
  </si>
  <si>
    <t>Edson Veloso - 05/03/2025 07:17:56</t>
  </si>
  <si>
    <t>Regis Bottino - 05/03/2025 07:22:58</t>
  </si>
  <si>
    <t>Matheus César Azevedo Neto - 05/03/2025 07:39:10</t>
  </si>
  <si>
    <t>Edson Veloso - 07/03/2025 07:29:39</t>
  </si>
  <si>
    <t>Regis Bottino - 07/03/2025 07:48:56</t>
  </si>
  <si>
    <t>Matheus César Azevedo Neto - 07/03/2025 07:51:59</t>
  </si>
  <si>
    <t>Francisco Neto - 30/01/2025 09:02:40</t>
  </si>
  <si>
    <t>Matheus César Azevedo Neto - 30/01/2025 09:23:11</t>
  </si>
  <si>
    <t>Edson Veloso - 03/02/2025 14:26:03</t>
  </si>
  <si>
    <t>Francisco Neto - 03/02/2025 14:28:48</t>
  </si>
  <si>
    <t>Matheus César Azevedo Neto - 03/02/2025 14:43:08</t>
  </si>
  <si>
    <t>Edson Veloso - 04/02/2025 10:34:36</t>
  </si>
  <si>
    <t>Matheus César Azevedo Neto - 04/02/2025 13:02:18</t>
  </si>
  <si>
    <t>Mariana Oliveira - 04/03/2025 19:28:30</t>
  </si>
  <si>
    <t>Edson Veloso - 05/03/2025 07:18:00</t>
  </si>
  <si>
    <t>Regis Bottino - 05/03/2025 07:23:01</t>
  </si>
  <si>
    <t>Matheus César Azevedo Neto - 05/03/2025 07:39:13</t>
  </si>
  <si>
    <t>Edson Veloso - 07/03/2025 07:28:49</t>
  </si>
  <si>
    <t>Regis Bottino - 07/03/2025 07:48:55</t>
  </si>
  <si>
    <t>Matheus César Azevedo Neto - 07/03/2025 07:51:56</t>
  </si>
  <si>
    <t>Francisco Neto - 27/01/2025 12:50:05</t>
  </si>
  <si>
    <t>Matheus César Azevedo Neto - 28/01/2025 07:29:02</t>
  </si>
  <si>
    <t>Edson Veloso - 30/01/2025 16:20:59</t>
  </si>
  <si>
    <t>Francisco Neto - 03/02/2025 14:27:05</t>
  </si>
  <si>
    <t>Matheus César Azevedo Neto - 03/02/2025 14:42:42</t>
  </si>
  <si>
    <t>Edson Veloso - 04/02/2025 10:34:40</t>
  </si>
  <si>
    <t>Matheus César Azevedo Neto - 04/02/2025 13:02:20</t>
  </si>
  <si>
    <t>Mariana Oliveira - 05/03/2025 18:11:21</t>
  </si>
  <si>
    <t>Edson Veloso - 05/03/2025 18:26:17</t>
  </si>
  <si>
    <t>Regis Bottino - 05/03/2025 18:29:13</t>
  </si>
  <si>
    <t>Matheus César Azevedo Neto - 05/03/2025 18:40:51</t>
  </si>
  <si>
    <t>Edson Veloso - 07/03/2025 07:28:51</t>
  </si>
  <si>
    <t>Regis Bottino - 07/03/2025 07:49:01</t>
  </si>
  <si>
    <t>Matheus César Azevedo Neto - 07/03/2025 07:54:06</t>
  </si>
  <si>
    <t>Francisco Neto - 30/01/2025 14:46:20</t>
  </si>
  <si>
    <t>Matheus César Azevedo Neto - 30/01/2025 15:51:51</t>
  </si>
  <si>
    <t>Edson Veloso - 03/02/2025 14:26:07</t>
  </si>
  <si>
    <t>Francisco Neto - 03/02/2025 14:28:51</t>
  </si>
  <si>
    <t>Matheus César Azevedo Neto - 03/02/2025 14:43:11</t>
  </si>
  <si>
    <t>Edson Veloso - 04/02/2025 10:34:44</t>
  </si>
  <si>
    <t>Matheus César Azevedo Neto - 04/02/2025 13:02:22</t>
  </si>
  <si>
    <t>Mariana Oliveira - 04/03/2025 19:28:52</t>
  </si>
  <si>
    <t>Edson Veloso - 05/03/2025 07:18:10</t>
  </si>
  <si>
    <t>Regis Bottino - 05/03/2025 07:23:05</t>
  </si>
  <si>
    <t>Matheus César Azevedo Neto - 05/03/2025 07:39:24</t>
  </si>
  <si>
    <t>Edson Veloso - 07/03/2025 07:28:54</t>
  </si>
  <si>
    <t>Regis Bottino - 07/03/2025 07:48:59</t>
  </si>
  <si>
    <t>Matheus César Azevedo Neto - 07/03/2025 07:53:54</t>
  </si>
  <si>
    <t>Francisco Neto - 30/01/2025 14:46:14</t>
  </si>
  <si>
    <t>Matheus César Azevedo Neto - 30/01/2025 15:53:21</t>
  </si>
  <si>
    <t>Edson Veloso - 31/01/2025 12:39:18</t>
  </si>
  <si>
    <t>Francisco Neto - 03/02/2025 14:27:36</t>
  </si>
  <si>
    <t>Matheus César Azevedo Neto - 03/02/2025 14:43:16</t>
  </si>
  <si>
    <t>Edson Veloso - 04/02/2025 10:34:46</t>
  </si>
  <si>
    <t>Matheus César Azevedo Neto - 04/02/2025 13:02:24</t>
  </si>
  <si>
    <t>Mariana Oliveira - 04/03/2025 19:29:25</t>
  </si>
  <si>
    <t>Edson Veloso - 05/03/2025 07:18:21</t>
  </si>
  <si>
    <t>Regis Bottino - 05/03/2025 07:23:09</t>
  </si>
  <si>
    <t>Matheus César Azevedo Neto - 05/03/2025 07:39:17</t>
  </si>
  <si>
    <t>Edson Veloso - 07/03/2025 07:29:02</t>
  </si>
  <si>
    <t>Regis Bottino - 07/03/2025 07:49:03</t>
  </si>
  <si>
    <t>Matheus César Azevedo Neto - 07/03/2025 07:53:51</t>
  </si>
  <si>
    <t>Francisco Neto - 05/02/2025 13:03:10</t>
  </si>
  <si>
    <t>Matheus César Azevedo Neto - 06/02/2025 11:25:59</t>
  </si>
  <si>
    <t>Edson Veloso - 06/02/2025 12:49:09</t>
  </si>
  <si>
    <t>Francisco Neto - 06/02/2025 13:03:31</t>
  </si>
  <si>
    <t>Matheus César Azevedo Neto - 06/02/2025 13:05:10</t>
  </si>
  <si>
    <t>Edson Veloso - 06/02/2025 13:21:36</t>
  </si>
  <si>
    <t>Matheus César Azevedo Neto - 06/02/2025 13:55:19</t>
  </si>
  <si>
    <t>Mariana Oliveira - 04/03/2025 19:29:37</t>
  </si>
  <si>
    <t>Edson Veloso - 05/03/2025 07:18:25</t>
  </si>
  <si>
    <t>Regis Bottino - 05/03/2025 07:23:17</t>
  </si>
  <si>
    <t>Matheus César Azevedo Neto - 05/03/2025 07:39:21</t>
  </si>
  <si>
    <t>Edson Veloso - 07/03/2025 07:29:04</t>
  </si>
  <si>
    <t>Regis Bottino - 07/03/2025 07:49:49</t>
  </si>
  <si>
    <t>Matheus César Azevedo Neto - 07/03/2025 07:53:56</t>
  </si>
  <si>
    <t>Francisco Neto - 30/01/2025 14:46:12</t>
  </si>
  <si>
    <t>Matheus César Azevedo Neto - 30/01/2025 15:51:41</t>
  </si>
  <si>
    <t>Edson Veloso - 31/01/2025 12:39:23</t>
  </si>
  <si>
    <t>Francisco Neto - 03/02/2025 14:27:38</t>
  </si>
  <si>
    <t>Matheus César Azevedo Neto - 03/02/2025 14:43:14</t>
  </si>
  <si>
    <t>Edson Veloso - 04/02/2025 10:34:49</t>
  </si>
  <si>
    <t>Matheus César Azevedo Neto - 04/02/2025 13:02:25</t>
  </si>
  <si>
    <t>Edson Veloso - 05/03/2025 15:24:45</t>
  </si>
  <si>
    <t>Mariana Oliveira - 05/03/2025 18:11:52</t>
  </si>
  <si>
    <t>Regis Bottino - 05/03/2025 18:29:08</t>
  </si>
  <si>
    <t>Matheus César Azevedo Neto - 05/03/2025 18:41:07</t>
  </si>
  <si>
    <t>Edson Veloso - 07/03/2025 07:29:06</t>
  </si>
  <si>
    <t>Regis Bottino - 07/03/2025 07:49:58</t>
  </si>
  <si>
    <t>Matheus César Azevedo Neto - 07/03/2025 07:54:00</t>
  </si>
  <si>
    <t>Francisco Neto - 30/01/2025 09:02:43</t>
  </si>
  <si>
    <t>Matheus César Azevedo Neto - 30/01/2025 09:23:14</t>
  </si>
  <si>
    <t>Edson Veloso - 31/01/2025 12:33:57</t>
  </si>
  <si>
    <t>Francisco Neto - 31/01/2025 15:36:28</t>
  </si>
  <si>
    <t>Matheus César Azevedo Neto - 31/01/2025 16:14:36</t>
  </si>
  <si>
    <t>Edson Veloso - 03/02/2025 14:30:21</t>
  </si>
  <si>
    <t>Matheus César Azevedo Neto - 03/02/2025 14:49:21</t>
  </si>
  <si>
    <t>Edson Veloso - 04/02/2025 10:37:33</t>
  </si>
  <si>
    <t>Mariana Oliveira - 05/03/2025 15:31:01</t>
  </si>
  <si>
    <t>Regis Bottino - 05/03/2025 15:33:30</t>
  </si>
  <si>
    <t>Matheus César Azevedo Neto - 05/03/2025 15:35:36</t>
  </si>
  <si>
    <t>Edson Veloso - 07/03/2025 07:29:08</t>
  </si>
  <si>
    <t>Regis Bottino - 07/03/2025 07:49:51</t>
  </si>
  <si>
    <t>Matheus César Azevedo Neto - 07/03/2025 07:54:02</t>
  </si>
  <si>
    <t>Francisco Neto - 27/01/2025 12:49:34</t>
  </si>
  <si>
    <t>Matheus César Azevedo Neto - 28/01/2025 07:29:06</t>
  </si>
  <si>
    <t>Edson Veloso - 31/01/2025 12:39:29</t>
  </si>
  <si>
    <t>Francisco Neto - 03/02/2025 14:28:12</t>
  </si>
  <si>
    <t>Matheus César Azevedo Neto - 03/02/2025 14:43:21</t>
  </si>
  <si>
    <t>Edson Veloso - 04/02/2025 10:34:51</t>
  </si>
  <si>
    <t>Matheus César Azevedo Neto - 04/02/2025 13:02:27</t>
  </si>
  <si>
    <t>Edson Veloso - 05/03/2025 15:24:50</t>
  </si>
  <si>
    <t>Mariana Oliveira - 05/03/2025 15:31:10</t>
  </si>
  <si>
    <t>Regis Bottino - 05/03/2025 15:33:38</t>
  </si>
  <si>
    <t>Matheus César Azevedo Neto - 05/03/2025 15:35:39</t>
  </si>
  <si>
    <t>Edson Veloso - 07/03/2025 07:29:11</t>
  </si>
  <si>
    <t>Regis Bottino - 07/03/2025 07:49:53</t>
  </si>
  <si>
    <t>Matheus César Azevedo Neto - 07/03/2025 07:54:17</t>
  </si>
  <si>
    <t>Francisco Neto - 28/01/2025 13:30:45</t>
  </si>
  <si>
    <t>Matheus César Azevedo Neto - 28/01/2025 15:34:22</t>
  </si>
  <si>
    <t>Francisco Neto - 03/02/2025 14:28:15</t>
  </si>
  <si>
    <t>Edson Veloso - 03/02/2025 14:29:50</t>
  </si>
  <si>
    <t>Matheus César Azevedo Neto - 03/02/2025 14:43:19</t>
  </si>
  <si>
    <t>Edson Veloso - 04/02/2025 10:34:54</t>
  </si>
  <si>
    <t>Matheus César Azevedo Neto - 04/02/2025 13:02:29</t>
  </si>
  <si>
    <t>Edson Veloso - 05/03/2025 15:24:56</t>
  </si>
  <si>
    <t>Mariana Oliveira - 05/03/2025 15:31:19</t>
  </si>
  <si>
    <t>Regis Bottino - 05/03/2025 15:33:54</t>
  </si>
  <si>
    <t>Matheus César Azevedo Neto - 05/03/2025 15:35:46</t>
  </si>
  <si>
    <t>Edson Veloso - 07/03/2025 07:29:13</t>
  </si>
  <si>
    <t>Regis Bottino - 07/03/2025 07:49:55</t>
  </si>
  <si>
    <t>Matheus César Azevedo Neto - 07/03/2025 07:54:09</t>
  </si>
  <si>
    <t>Francisco Neto - 31/01/2025 12:00:13</t>
  </si>
  <si>
    <t>Matheus César Azevedo Neto - 31/01/2025 12:11:40</t>
  </si>
  <si>
    <t>Edson Veloso - 31/01/2025 12:33:45</t>
  </si>
  <si>
    <t>Francisco Neto - 03/02/2025 14:28:18</t>
  </si>
  <si>
    <t>Matheus César Azevedo Neto - 03/02/2025 14:43:24</t>
  </si>
  <si>
    <t>Edson Veloso - 04/02/2025 10:34:57</t>
  </si>
  <si>
    <t>Matheus César Azevedo Neto - 04/02/2025 13:02:31</t>
  </si>
  <si>
    <t>Edson Veloso - 05/03/2025 13:50:26</t>
  </si>
  <si>
    <t>Mariana Oliveira - 05/03/2025 15:31:25</t>
  </si>
  <si>
    <t>Regis Bottino - 05/03/2025 15:33:41</t>
  </si>
  <si>
    <t>Matheus César Azevedo Neto - 05/03/2025 15:35:50</t>
  </si>
  <si>
    <t>Edson Veloso - 07/03/2025 07:29:31</t>
  </si>
  <si>
    <t>Regis Bottino - 07/03/2025 07:49:57</t>
  </si>
  <si>
    <t>Matheus César Azevedo Neto - 07/03/2025 07:54:12</t>
  </si>
  <si>
    <t>Francisco Neto - 30/01/2025 14:46:08</t>
  </si>
  <si>
    <t>Matheus César Azevedo Neto - 30/01/2025 15:51:38</t>
  </si>
  <si>
    <t>Edson Veloso - 31/01/2025 12:39:33</t>
  </si>
  <si>
    <t>Francisco Neto - 03/02/2025 14:28:21</t>
  </si>
  <si>
    <t>Matheus César Azevedo Neto - 03/02/2025 14:43:29</t>
  </si>
  <si>
    <t>Edson Veloso - 04/02/2025 10:35:00</t>
  </si>
  <si>
    <t>Matheus César Azevedo Neto - 04/02/2025 13:02:32</t>
  </si>
  <si>
    <t>Edson Veloso - 05/03/2025 13:49:28</t>
  </si>
  <si>
    <t>Mariana Oliveira - 05/03/2025 14:29:03</t>
  </si>
  <si>
    <t>Regis Bottino - 05/03/2025 14:30:00</t>
  </si>
  <si>
    <t>Matheus César Azevedo Neto - 05/03/2025 14:30:22</t>
  </si>
  <si>
    <t>Edson Veloso - 07/03/2025 07:29:34</t>
  </si>
  <si>
    <t>Regis Bottino - 07/03/2025 07:46:41</t>
  </si>
  <si>
    <t>Matheus César Azevedo Neto - 07/03/2025 07:54:14</t>
  </si>
  <si>
    <t>Francisco Neto - 30/01/2025 09:02:45</t>
  </si>
  <si>
    <t>Matheus César Azevedo Neto - 30/01/2025 09:23:18</t>
  </si>
  <si>
    <t>Francisco Neto - 03/02/2025 14:28:23</t>
  </si>
  <si>
    <t>Edson Veloso - 03/02/2025 14:29:58</t>
  </si>
  <si>
    <t>Matheus César Azevedo Neto - 03/02/2025 14:43:34</t>
  </si>
  <si>
    <t>Edson Veloso - 04/02/2025 10:35:03</t>
  </si>
  <si>
    <t>Matheus César Azevedo Neto - 04/02/2025 13:02:34</t>
  </si>
  <si>
    <t>Mariana Oliveira - 04/03/2025 19:30:28</t>
  </si>
  <si>
    <t>Edson Veloso - 05/03/2025 07:18:46</t>
  </si>
  <si>
    <t>Regis Bottino - 05/03/2025 07:23:13</t>
  </si>
  <si>
    <t>Matheus César Azevedo Neto - 05/03/2025 07:39:28</t>
  </si>
  <si>
    <t>Edson Veloso - 05/03/2025 14:00:18</t>
  </si>
  <si>
    <t>Regis Bottino - 05/03/2025 14:07:05</t>
  </si>
  <si>
    <t>Matheus César Azevedo Neto - 05/03/2025 14:10:38</t>
  </si>
  <si>
    <t>Francisco Neto - 03/02/2025 14:22:58</t>
  </si>
  <si>
    <t>Matheus César Azevedo Neto - 03/02/2025 14:38:52</t>
  </si>
  <si>
    <t>Edson Veloso - 04/02/2025 10:31:25</t>
  </si>
  <si>
    <t>Francisco Neto - 04/02/2025 12:15:41</t>
  </si>
  <si>
    <t>Matheus César Azevedo Neto - 04/02/2025 12:51:48</t>
  </si>
  <si>
    <t>Edson Veloso - 04/02/2025 16:35:44</t>
  </si>
  <si>
    <t>Matheus César Azevedo Neto - 05/02/2025 10:46:38</t>
  </si>
  <si>
    <t>Edson Veloso - 05/03/2025 15:25:00</t>
  </si>
  <si>
    <t>Mariana Oliveira - 05/03/2025 15:31:48</t>
  </si>
  <si>
    <t>Regis Bottino - 05/03/2025 15:33:49</t>
  </si>
  <si>
    <t>Matheus César Azevedo Neto - 05/03/2025 15:35:53</t>
  </si>
  <si>
    <t>Edson Veloso - 07/03/2025 14:28:24</t>
  </si>
  <si>
    <t>Regis Bottino - 07/03/2025 14:36:30</t>
  </si>
  <si>
    <t>Matheus César Azevedo Neto - 07/03/2025 14:39:00</t>
  </si>
  <si>
    <t>Francisco Neto - 28/01/2025 13:31:16</t>
  </si>
  <si>
    <t>Matheus César Azevedo Neto - 28/01/2025 15:34:36</t>
  </si>
  <si>
    <t>Francisco Neto - 03/02/2025 14:28:26</t>
  </si>
  <si>
    <t>Edson Veloso - 03/02/2025 14:30:05</t>
  </si>
  <si>
    <t>Matheus César Azevedo Neto - 03/02/2025 14:44:11</t>
  </si>
  <si>
    <t>Edson Veloso - 04/02/2025 10:35:16</t>
  </si>
  <si>
    <t>Matheus César Azevedo Neto - 04/02/2025 13:02:44</t>
  </si>
  <si>
    <t>Edson Veloso - 04/03/2025 13:40:42</t>
  </si>
  <si>
    <t>Mariana Oliveira - 05/03/2025 18:13:31</t>
  </si>
  <si>
    <t>Regis Bottino - 05/03/2025 18:29:17</t>
  </si>
  <si>
    <t>Matheus César Azevedo Neto - 05/03/2025 18:41:12</t>
  </si>
  <si>
    <t>Edson Veloso - 07/03/2025 07:30:10</t>
  </si>
  <si>
    <t>Regis Bottino - 07/03/2025 07:46:45</t>
  </si>
  <si>
    <t>Matheus César Azevedo Neto - 07/03/2025 07:54:24</t>
  </si>
  <si>
    <t>Francisco Neto - 28/01/2025 13:31:03</t>
  </si>
  <si>
    <t>Matheus César Azevedo Neto - 28/01/2025 15:34:33</t>
  </si>
  <si>
    <t>Edson Veloso - 03/02/2025 14:26:43</t>
  </si>
  <si>
    <t>Francisco Neto - 03/02/2025 14:29:02</t>
  </si>
  <si>
    <t>Matheus César Azevedo Neto - 03/02/2025 14:43:51</t>
  </si>
  <si>
    <t>Edson Veloso - 04/02/2025 10:35:06</t>
  </si>
  <si>
    <t>Matheus César Azevedo Neto - 04/02/2025 13:02:45</t>
  </si>
  <si>
    <t>Edson Veloso - 04/03/2025 13:40:48</t>
  </si>
  <si>
    <t>Mariana Oliveira - 05/03/2025 18:15:17</t>
  </si>
  <si>
    <t>Regis Bottino - 05/03/2025 18:29:21</t>
  </si>
  <si>
    <t>Matheus César Azevedo Neto - 05/03/2025 18:41:16</t>
  </si>
  <si>
    <t>Edson Veloso - 07/03/2025 07:30:12</t>
  </si>
  <si>
    <t>Regis Bottino - 07/03/2025 07:46:47</t>
  </si>
  <si>
    <t>Matheus César Azevedo Neto - 07/03/2025 07:55:04</t>
  </si>
  <si>
    <t>Francisco Neto - 30/01/2025 09:02:57</t>
  </si>
  <si>
    <t>Matheus César Azevedo Neto - 30/01/2025 09:23:44</t>
  </si>
  <si>
    <t>Edson Veloso - 31/01/2025 12:39:54</t>
  </si>
  <si>
    <t>Francisco Neto - 03/02/2025 14:29:04</t>
  </si>
  <si>
    <t>Matheus César Azevedo Neto - 03/02/2025 14:44:04</t>
  </si>
  <si>
    <t>Edson Veloso - 04/02/2025 10:35:08</t>
  </si>
  <si>
    <t>Matheus César Azevedo Neto - 04/02/2025 13:02:39</t>
  </si>
  <si>
    <t>Edson Veloso - 04/03/2025 13:40:52</t>
  </si>
  <si>
    <t>Mariana Oliveira - 04/03/2025 19:25:12</t>
  </si>
  <si>
    <t>Regis Bottino - 05/03/2025 07:23:21</t>
  </si>
  <si>
    <t>Matheus César Azevedo Neto - 05/03/2025 07:39:44</t>
  </si>
  <si>
    <t>Edson Veloso - 07/03/2025 07:30:14</t>
  </si>
  <si>
    <t>Regis Bottino - 07/03/2025 07:46:49</t>
  </si>
  <si>
    <t>Matheus César Azevedo Neto - 07/03/2025 07:55:07</t>
  </si>
  <si>
    <t>Francisco Neto - 31/01/2025 12:00:22</t>
  </si>
  <si>
    <t>Matheus César Azevedo Neto - 31/01/2025 12:11:43</t>
  </si>
  <si>
    <t>Edson Veloso - 31/01/2025 12:39:58</t>
  </si>
  <si>
    <t>Francisco Neto - 03/02/2025 14:29:06</t>
  </si>
  <si>
    <t>Matheus César Azevedo Neto - 03/02/2025 14:44:07</t>
  </si>
  <si>
    <t>Edson Veloso - 04/02/2025 10:35:10</t>
  </si>
  <si>
    <t>Matheus César Azevedo Neto - 04/02/2025 13:02:40</t>
  </si>
  <si>
    <t>Edson Veloso - 05/03/2025 15:25:07</t>
  </si>
  <si>
    <t>Mariana Oliveira - 05/03/2025 18:13:41</t>
  </si>
  <si>
    <t>Regis Bottino - 05/03/2025 18:29:24</t>
  </si>
  <si>
    <t>Matheus César Azevedo Neto - 05/03/2025 18:41:20</t>
  </si>
  <si>
    <t>Edson Veloso - 07/03/2025 14:27:53</t>
  </si>
  <si>
    <t>Regis Bottino - 07/03/2025 14:36:36</t>
  </si>
  <si>
    <t>Matheus César Azevedo Neto - 07/03/2025 14:39:43</t>
  </si>
  <si>
    <t>Francisco Neto - 30/01/2025 09:02:59</t>
  </si>
  <si>
    <t>Matheus César Azevedo Neto - 30/01/2025 09:23:48</t>
  </si>
  <si>
    <t>Edson Veloso - 31/01/2025 12:40:01</t>
  </si>
  <si>
    <t>Francisco Neto - 03/02/2025 14:29:08</t>
  </si>
  <si>
    <t>Matheus César Azevedo Neto - 03/02/2025 14:44:14</t>
  </si>
  <si>
    <t>Edson Veloso - 04/02/2025 10:35:14</t>
  </si>
  <si>
    <t>Matheus César Azevedo Neto - 04/02/2025 13:02:42</t>
  </si>
  <si>
    <t>Edson Veloso - 04/03/2025 13:40:56</t>
  </si>
  <si>
    <t>Mariana Oliveira - 04/03/2025 19:25:28</t>
  </si>
  <si>
    <t>Regis Bottino - 05/03/2025 07:23:24</t>
  </si>
  <si>
    <t>Matheus César Azevedo Neto - 05/03/2025 07:39:54</t>
  </si>
  <si>
    <t>Edson Veloso - 07/03/2025 14:27:57</t>
  </si>
  <si>
    <t>Regis Bottino - 07/03/2025 14:36:38</t>
  </si>
  <si>
    <t>Matheus César Azevedo Neto - 07/03/2025 14:39:47</t>
  </si>
  <si>
    <t>Francisco Neto - 27/01/2025 12:50:22</t>
  </si>
  <si>
    <t>Matheus César Azevedo Neto - 28/01/2025 07:29:19</t>
  </si>
  <si>
    <t>Edson Veloso - 31/01/2025 15:15:52</t>
  </si>
  <si>
    <t>Francisco Neto - 03/02/2025 14:29:36</t>
  </si>
  <si>
    <t>Matheus César Azevedo Neto - 03/02/2025 14:44:31</t>
  </si>
  <si>
    <t>Edson Veloso - 04/02/2025 10:35:19</t>
  </si>
  <si>
    <t>Matheus César Azevedo Neto - 04/02/2025 13:03:25</t>
  </si>
  <si>
    <t>Edson Veloso - 07/02/2025 07:43:39</t>
  </si>
  <si>
    <t>Mariana Oliveira - 19/02/2025 08:47:18</t>
  </si>
  <si>
    <t>Matheus César Azevedo Neto - 19/02/2025 09:40:52</t>
  </si>
  <si>
    <t>Regis Bottino - 19/02/2025 09:42:28</t>
  </si>
  <si>
    <t>Edson Veloso - 20/02/2025 09:33:15</t>
  </si>
  <si>
    <t>Regis Bottino - 25/02/2025 08:19:38</t>
  </si>
  <si>
    <t>Matheus César Azevedo Neto - 25/02/2025 08:22:42</t>
  </si>
  <si>
    <t>Francisco Neto - 27/01/2025 12:50:24</t>
  </si>
  <si>
    <t>Matheus César Azevedo Neto - 28/01/2025 07:29:25</t>
  </si>
  <si>
    <t>Edson Veloso - 03/02/2025 14:27:11</t>
  </si>
  <si>
    <t>Francisco Neto - 03/02/2025 14:29:38</t>
  </si>
  <si>
    <t>Matheus César Azevedo Neto - 03/02/2025 14:45:32</t>
  </si>
  <si>
    <t>Edson Veloso - 04/02/2025 10:35:21</t>
  </si>
  <si>
    <t>Matheus César Azevedo Neto - 04/02/2025 13:02:48</t>
  </si>
  <si>
    <t>Mariana Oliveira - 04/03/2025 17:24:11</t>
  </si>
  <si>
    <t>Edson Veloso - 04/03/2025 19:22:28</t>
  </si>
  <si>
    <t>Regis Bottino - 05/03/2025 07:23:28</t>
  </si>
  <si>
    <t>Matheus César Azevedo Neto - 05/03/2025 07:35:18</t>
  </si>
  <si>
    <t>Edson Veloso - 07/03/2025 07:27:02</t>
  </si>
  <si>
    <t>Regis Bottino - 07/03/2025 07:47:06</t>
  </si>
  <si>
    <t>Matheus César Azevedo Neto - 07/03/2025 07:54:37</t>
  </si>
  <si>
    <t>Francisco Neto - 27/01/2025 09:09:08</t>
  </si>
  <si>
    <t>Matheus César Azevedo Neto - 27/01/2025 10:57:31</t>
  </si>
  <si>
    <t>Edson Veloso - 03/02/2025 14:27:15</t>
  </si>
  <si>
    <t>Francisco Neto - 03/02/2025 14:29:39</t>
  </si>
  <si>
    <t>Matheus César Azevedo Neto - 03/02/2025 14:44:33</t>
  </si>
  <si>
    <t>Edson Veloso - 04/02/2025 10:35:24</t>
  </si>
  <si>
    <t>Matheus César Azevedo Neto - 04/02/2025 13:03:21</t>
  </si>
  <si>
    <t>Mariana Oliveira - 04/03/2025 17:22:09</t>
  </si>
  <si>
    <t>Edson Veloso - 04/03/2025 19:22:33</t>
  </si>
  <si>
    <t>Regis Bottino - 05/03/2025 07:23:32</t>
  </si>
  <si>
    <t>Matheus César Azevedo Neto - 05/03/2025 07:35:24</t>
  </si>
  <si>
    <t>Edson Veloso - 07/03/2025 07:26:09</t>
  </si>
  <si>
    <t>Regis Bottino - 07/03/2025 07:49:07</t>
  </si>
  <si>
    <t>Matheus César Azevedo Neto - 07/03/2025 07:58:11</t>
  </si>
  <si>
    <t>Francisco Neto - 27/01/2025 09:08:45</t>
  </si>
  <si>
    <t>Matheus César Azevedo Neto - 27/01/2025 10:57:28</t>
  </si>
  <si>
    <t>Edson Veloso - 03/02/2025 14:27:07</t>
  </si>
  <si>
    <t>Francisco Neto - 03/02/2025 14:29:33</t>
  </si>
  <si>
    <t>Matheus César Azevedo Neto - 03/02/2025 14:44:25</t>
  </si>
  <si>
    <t>Edson Veloso - 04/02/2025 10:35:26</t>
  </si>
  <si>
    <t>Matheus César Azevedo Neto - 04/02/2025 13:02:50</t>
  </si>
  <si>
    <t>Mariana Oliveira - 04/03/2025 10:52:36</t>
  </si>
  <si>
    <t>Edson Veloso - 04/03/2025 13:38:21</t>
  </si>
  <si>
    <t>Regis Bottino - 04/03/2025 13:43:21</t>
  </si>
  <si>
    <t>Matheus César Azevedo Neto - 04/03/2025 13:45:22</t>
  </si>
  <si>
    <t>Edson Veloso - 07/03/2025 07:26:20</t>
  </si>
  <si>
    <t>Regis Bottino - 07/03/2025 07:49:12</t>
  </si>
  <si>
    <t>Matheus César Azevedo Neto - 07/03/2025 07:57:55</t>
  </si>
  <si>
    <t>Francisco Neto - 30/01/2025 09:03:01</t>
  </si>
  <si>
    <t>Matheus César Azevedo Neto - 30/01/2025 09:23:51</t>
  </si>
  <si>
    <t>Edson Veloso - 03/02/2025 14:27:19</t>
  </si>
  <si>
    <t>Francisco Neto - 03/02/2025 14:29:41</t>
  </si>
  <si>
    <t>Matheus César Azevedo Neto - 03/02/2025 14:44:36</t>
  </si>
  <si>
    <t>Edson Veloso - 04/02/2025 10:35:29</t>
  </si>
  <si>
    <t>Matheus César Azevedo Neto - 04/02/2025 13:03:00</t>
  </si>
  <si>
    <t>Mariana Oliveira - 04/03/2025 10:52:43</t>
  </si>
  <si>
    <t>Edson Veloso - 04/03/2025 13:38:30</t>
  </si>
  <si>
    <t>Regis Bottino - 04/03/2025 13:43:24</t>
  </si>
  <si>
    <t>Matheus César Azevedo Neto - 04/03/2025 13:45:26</t>
  </si>
  <si>
    <t>Edson Veloso - 07/03/2025 07:26:12</t>
  </si>
  <si>
    <t>Regis Bottino - 07/03/2025 07:49:08</t>
  </si>
  <si>
    <t>Matheus César Azevedo Neto - 07/03/2025 07:58:08</t>
  </si>
  <si>
    <t>Francisco Neto - 30/01/2025 09:03:04</t>
  </si>
  <si>
    <t>Matheus César Azevedo Neto - 30/01/2025 09:25:55</t>
  </si>
  <si>
    <t>Edson Veloso - 03/02/2025 14:27:23</t>
  </si>
  <si>
    <t>Francisco Neto - 03/02/2025 14:29:44</t>
  </si>
  <si>
    <t>Matheus César Azevedo Neto - 03/02/2025 14:44:56</t>
  </si>
  <si>
    <t>Edson Veloso - 04/02/2025 10:35:32</t>
  </si>
  <si>
    <t>Matheus César Azevedo Neto - 04/02/2025 13:02:52</t>
  </si>
  <si>
    <t>Mariana Oliveira - 04/03/2025 10:52:51</t>
  </si>
  <si>
    <t>Edson Veloso - 04/03/2025 13:38:34</t>
  </si>
  <si>
    <t>Regis Bottino - 04/03/2025 13:43:28</t>
  </si>
  <si>
    <t>Matheus César Azevedo Neto - 04/03/2025 13:45:29</t>
  </si>
  <si>
    <t>Edson Veloso - 07/03/2025 07:26:14</t>
  </si>
  <si>
    <t>Regis Bottino - 07/03/2025 07:49:10</t>
  </si>
  <si>
    <t>Matheus César Azevedo Neto - 07/03/2025 07:57:58</t>
  </si>
  <si>
    <t>Francisco Neto - 30/01/2025 09:03:07</t>
  </si>
  <si>
    <t>Matheus César Azevedo Neto - 30/01/2025 09:25:59</t>
  </si>
  <si>
    <t>Edson Veloso - 03/02/2025 14:27:31</t>
  </si>
  <si>
    <t>Francisco Neto - 03/02/2025 14:29:46</t>
  </si>
  <si>
    <t>Matheus César Azevedo Neto - 03/02/2025 14:45:16</t>
  </si>
  <si>
    <t>Edson Veloso - 04/02/2025 10:35:34</t>
  </si>
  <si>
    <t>Matheus César Azevedo Neto - 04/02/2025 13:02:53</t>
  </si>
  <si>
    <t>Mariana Oliveira - 04/03/2025 10:53:15</t>
  </si>
  <si>
    <t>Edson Veloso - 04/03/2025 13:38:39</t>
  </si>
  <si>
    <t>Regis Bottino - 04/03/2025 13:43:35</t>
  </si>
  <si>
    <t>Matheus César Azevedo Neto - 04/03/2025 13:45:32</t>
  </si>
  <si>
    <t>Edson Veloso - 07/03/2025 07:26:16</t>
  </si>
  <si>
    <t>Regis Bottino - 07/03/2025 07:49:14</t>
  </si>
  <si>
    <t>Matheus César Azevedo Neto - 07/03/2025 07:58:05</t>
  </si>
  <si>
    <t>Francisco Neto - 30/01/2025 09:03:10</t>
  </si>
  <si>
    <t>Matheus César Azevedo Neto - 30/01/2025 09:26:02</t>
  </si>
  <si>
    <t>Edson Veloso - 03/02/2025 14:27:35</t>
  </si>
  <si>
    <t>Francisco Neto - 03/02/2025 14:29:48</t>
  </si>
  <si>
    <t>Matheus César Azevedo Neto - 03/02/2025 14:44:58</t>
  </si>
  <si>
    <t>Edson Veloso - 04/02/2025 10:35:37</t>
  </si>
  <si>
    <t>Matheus César Azevedo Neto - 04/02/2025 13:02:55</t>
  </si>
  <si>
    <t>Mariana Oliveira - 04/03/2025 10:53:37</t>
  </si>
  <si>
    <t>Edson Veloso - 04/03/2025 13:38:43</t>
  </si>
  <si>
    <t>Regis Bottino - 04/03/2025 13:43:31</t>
  </si>
  <si>
    <t>Matheus César Azevedo Neto - 04/03/2025 13:45:35</t>
  </si>
  <si>
    <t>Edson Veloso - 07/03/2025 07:26:18</t>
  </si>
  <si>
    <t>Regis Bottino - 07/03/2025 07:47:10</t>
  </si>
  <si>
    <t>Matheus César Azevedo Neto - 07/03/2025 07:58:13</t>
  </si>
  <si>
    <t>Francisco Neto - 03/02/2025 14:11:33</t>
  </si>
  <si>
    <t>Matheus César Azevedo Neto - 03/02/2025 14:38:59</t>
  </si>
  <si>
    <t>Edson Veloso - 04/02/2025 10:31:34</t>
  </si>
  <si>
    <t>Francisco Neto - 04/02/2025 12:15:54</t>
  </si>
  <si>
    <t>Matheus César Azevedo Neto - 04/02/2025 12:52:39</t>
  </si>
  <si>
    <t>Edson Veloso - 04/02/2025 16:35:49</t>
  </si>
  <si>
    <t>Matheus César Azevedo Neto - 05/02/2025 10:46:42</t>
  </si>
  <si>
    <t>Mariana Oliveira - 03/03/2025 16:16:08</t>
  </si>
  <si>
    <t>Edson Veloso - 04/03/2025 13:38:48</t>
  </si>
  <si>
    <t>Regis Bottino - 04/03/2025 13:43:42</t>
  </si>
  <si>
    <t>Matheus César Azevedo Neto - 04/03/2025 13:45:39</t>
  </si>
  <si>
    <t>Edson Veloso - 05/03/2025 14:00:26</t>
  </si>
  <si>
    <t>Regis Bottino - 05/03/2025 14:07:01</t>
  </si>
  <si>
    <t>Matheus César Azevedo Neto - 05/03/2025 14:10:41</t>
  </si>
  <si>
    <t>Francisco Neto - 27/01/2025 12:50:16</t>
  </si>
  <si>
    <t>Matheus César Azevedo Neto - 28/01/2025 07:29:11</t>
  </si>
  <si>
    <t>Edson Veloso - 03/02/2025 14:26:47</t>
  </si>
  <si>
    <t>Francisco Neto - 03/02/2025 14:29:13</t>
  </si>
  <si>
    <t>Matheus César Azevedo Neto - 03/02/2025 14:44:17</t>
  </si>
  <si>
    <t>Edson Veloso - 04/02/2025 10:35:39</t>
  </si>
  <si>
    <t>Matheus César Azevedo Neto - 04/02/2025 13:02:57</t>
  </si>
  <si>
    <t>Mariana Oliveira - 04/03/2025 19:15:20</t>
  </si>
  <si>
    <t>Edson Veloso - 04/03/2025 19:22:36</t>
  </si>
  <si>
    <t>Regis Bottino - 05/03/2025 07:23:35</t>
  </si>
  <si>
    <t>Matheus César Azevedo Neto - 05/03/2025 07:35:30</t>
  </si>
  <si>
    <t>Edson Veloso - 07/03/2025 07:26:22</t>
  </si>
  <si>
    <t>Regis Bottino - 07/03/2025 07:47:11</t>
  </si>
  <si>
    <t>Matheus César Azevedo Neto - 07/03/2025 07:56:51</t>
  </si>
  <si>
    <t>Francisco Neto - 30/01/2025 14:46:30</t>
  </si>
  <si>
    <t>Matheus César Azevedo Neto - 30/01/2025 15:53:30</t>
  </si>
  <si>
    <t>Edson Veloso - 31/01/2025 15:19:03</t>
  </si>
  <si>
    <t>Francisco Neto - 03/02/2025 14:29:50</t>
  </si>
  <si>
    <t>Matheus César Azevedo Neto - 03/02/2025 14:45:00</t>
  </si>
  <si>
    <t>Edson Veloso - 04/02/2025 10:35:41</t>
  </si>
  <si>
    <t>Matheus César Azevedo Neto - 04/02/2025 13:02:59</t>
  </si>
  <si>
    <t>Mariana Oliveira - 04/03/2025 17:33:05</t>
  </si>
  <si>
    <t>Edson Veloso - 04/03/2025 19:22:46</t>
  </si>
  <si>
    <t>Regis Bottino - 05/03/2025 07:23:38</t>
  </si>
  <si>
    <t>Matheus César Azevedo Neto - 05/03/2025 07:38:23</t>
  </si>
  <si>
    <t>Edson Veloso - 05/03/2025 14:00:30</t>
  </si>
  <si>
    <t>Regis Bottino - 05/03/2025 14:07:18</t>
  </si>
  <si>
    <t>Matheus César Azevedo Neto - 05/03/2025 14:10:44</t>
  </si>
  <si>
    <t>Francisco Neto - 31/01/2025 16:49:59</t>
  </si>
  <si>
    <t>Matheus César Azevedo Neto - 01/02/2025 09:41:02</t>
  </si>
  <si>
    <t>Edson Veloso - 03/02/2025 14:27:40</t>
  </si>
  <si>
    <t>Francisco Neto - 03/02/2025 14:29:52</t>
  </si>
  <si>
    <t>Matheus César Azevedo Neto - 03/02/2025 14:45:03</t>
  </si>
  <si>
    <t>Edson Veloso - 04/02/2025 10:35:44</t>
  </si>
  <si>
    <t>Matheus César Azevedo Neto - 04/02/2025 13:03:02</t>
  </si>
  <si>
    <t>Mariana Oliveira - 04/03/2025 19:21:03</t>
  </si>
  <si>
    <t>Edson Veloso - 05/03/2025 09:08:49</t>
  </si>
  <si>
    <t>Regis Bottino - 05/03/2025 09:10:41</t>
  </si>
  <si>
    <t>Matheus César Azevedo Neto - 05/03/2025 09:12:44</t>
  </si>
  <si>
    <t>Edson Veloso - 07/03/2025 07:26:53</t>
  </si>
  <si>
    <t>Regis Bottino - 07/03/2025 07:50:06</t>
  </si>
  <si>
    <t>Matheus César Azevedo Neto - 07/03/2025 07:55:36</t>
  </si>
  <si>
    <t>Francisco Neto - 31/01/2025 16:50:04</t>
  </si>
  <si>
    <t>Matheus César Azevedo Neto - 01/02/2025 09:41:05</t>
  </si>
  <si>
    <t>Edson Veloso - 03/02/2025 14:27:44</t>
  </si>
  <si>
    <t>Francisco Neto - 03/02/2025 14:29:58</t>
  </si>
  <si>
    <t>Matheus César Azevedo Neto - 03/02/2025 14:45:05</t>
  </si>
  <si>
    <t>Edson Veloso - 04/02/2025 10:35:46</t>
  </si>
  <si>
    <t>Matheus César Azevedo Neto - 04/02/2025 13:03:03</t>
  </si>
  <si>
    <t>Mariana Oliveira - 04/03/2025 19:21:11</t>
  </si>
  <si>
    <t>Edson Veloso - 05/03/2025 09:08:53</t>
  </si>
  <si>
    <t>Regis Bottino - 05/03/2025 09:10:44</t>
  </si>
  <si>
    <t>Matheus César Azevedo Neto - 05/03/2025 09:12:49</t>
  </si>
  <si>
    <t>Edson Veloso - 07/03/2025 07:26:55</t>
  </si>
  <si>
    <t>Regis Bottino - 07/03/2025 07:50:04</t>
  </si>
  <si>
    <t>Matheus César Azevedo Neto - 07/03/2025 07:54:30</t>
  </si>
  <si>
    <t>Francisco Neto - 31/01/2025 16:50:07</t>
  </si>
  <si>
    <t>Matheus César Azevedo Neto - 01/02/2025 09:41:07</t>
  </si>
  <si>
    <t>Edson Veloso - 03/02/2025 14:27:48</t>
  </si>
  <si>
    <t>Francisco Neto - 03/02/2025 14:30:00</t>
  </si>
  <si>
    <t>Matheus César Azevedo Neto - 03/02/2025 14:45:08</t>
  </si>
  <si>
    <t>Edson Veloso - 04/02/2025 10:35:49</t>
  </si>
  <si>
    <t>Matheus César Azevedo Neto - 04/02/2025 13:03:05</t>
  </si>
  <si>
    <t>Mariana Oliveira - 04/03/2025 19:21:18</t>
  </si>
  <si>
    <t>Edson Veloso - 05/03/2025 09:08:56</t>
  </si>
  <si>
    <t>Regis Bottino - 05/03/2025 09:10:47</t>
  </si>
  <si>
    <t>Matheus César Azevedo Neto - 05/03/2025 09:12:52</t>
  </si>
  <si>
    <t>Edson Veloso - 07/03/2025 07:26:57</t>
  </si>
  <si>
    <t>Regis Bottino - 07/03/2025 07:50:08</t>
  </si>
  <si>
    <t>Matheus César Azevedo Neto - 07/03/2025 07:55:39</t>
  </si>
  <si>
    <t>Francisco Neto - 27/01/2025 09:08:41</t>
  </si>
  <si>
    <t>Matheus César Azevedo Neto - 27/01/2025 10:57:24</t>
  </si>
  <si>
    <t>Edson Veloso - 03/02/2025 14:26:56</t>
  </si>
  <si>
    <t>Francisco Neto - 03/02/2025 14:29:28</t>
  </si>
  <si>
    <t>Matheus César Azevedo Neto - 03/02/2025 14:44:28</t>
  </si>
  <si>
    <t>Edson Veloso - 04/02/2025 10:35:51</t>
  </si>
  <si>
    <t>Matheus César Azevedo Neto - 04/02/2025 13:03:06</t>
  </si>
  <si>
    <t>Mariana Oliveira - 04/03/2025 17:26:16</t>
  </si>
  <si>
    <t>Edson Veloso - 04/03/2025 19:22:54</t>
  </si>
  <si>
    <t>Regis Bottino - 05/03/2025 07:23:59</t>
  </si>
  <si>
    <t>Matheus César Azevedo Neto - 05/03/2025 07:35:56</t>
  </si>
  <si>
    <t>Edson Veloso - 07/03/2025 07:26:32</t>
  </si>
  <si>
    <t>Regis Bottino - 07/03/2025 07:46:51</t>
  </si>
  <si>
    <t>Matheus César Azevedo Neto - 07/03/2025 07:55:10</t>
  </si>
  <si>
    <t>Francisco Neto - 31/01/2025 16:49:46</t>
  </si>
  <si>
    <t>Matheus César Azevedo Neto - 01/02/2025 09:40:50</t>
  </si>
  <si>
    <t>Edson Veloso - 03/02/2025 14:27:52</t>
  </si>
  <si>
    <t>Francisco Neto - 03/02/2025 14:30:02</t>
  </si>
  <si>
    <t>Matheus César Azevedo Neto - 03/02/2025 14:45:10</t>
  </si>
  <si>
    <t>Edson Veloso - 04/02/2025 10:35:54</t>
  </si>
  <si>
    <t>Matheus César Azevedo Neto - 04/02/2025 13:03:08</t>
  </si>
  <si>
    <t>Mariana Oliveira - 04/03/2025 17:32:22</t>
  </si>
  <si>
    <t>Edson Veloso - 04/03/2025 19:22:57</t>
  </si>
  <si>
    <t>Regis Bottino - 05/03/2025 07:24:15</t>
  </si>
  <si>
    <t>Matheus César Azevedo Neto - 05/03/2025 07:36:02</t>
  </si>
  <si>
    <t>Edson Veloso - 07/03/2025 07:26:36</t>
  </si>
  <si>
    <t>Regis Bottino - 07/03/2025 07:47:00</t>
  </si>
  <si>
    <t>Matheus César Azevedo Neto - 07/03/2025 07:55:20</t>
  </si>
  <si>
    <t>Francisco Neto - 31/01/2025 16:49:48</t>
  </si>
  <si>
    <t>Matheus César Azevedo Neto - 01/02/2025 09:40:53</t>
  </si>
  <si>
    <t>Edson Veloso - 03/02/2025 14:27:56</t>
  </si>
  <si>
    <t>Francisco Neto - 03/02/2025 14:30:03</t>
  </si>
  <si>
    <t>Matheus César Azevedo Neto - 03/02/2025 14:45:29</t>
  </si>
  <si>
    <t>Edson Veloso - 04/02/2025 10:35:56</t>
  </si>
  <si>
    <t>Matheus César Azevedo Neto - 04/02/2025 13:03:10</t>
  </si>
  <si>
    <t>Mariana Oliveira - 04/03/2025 17:33:30</t>
  </si>
  <si>
    <t>Edson Veloso - 04/03/2025 19:23:00</t>
  </si>
  <si>
    <t>Regis Bottino - 05/03/2025 07:24:02</t>
  </si>
  <si>
    <t>Matheus César Azevedo Neto - 05/03/2025 07:36:07</t>
  </si>
  <si>
    <t>Edson Veloso - 07/03/2025 07:26:43</t>
  </si>
  <si>
    <t>Regis Bottino - 07/03/2025 07:46:54</t>
  </si>
  <si>
    <t>Matheus César Azevedo Neto - 07/03/2025 07:55:13</t>
  </si>
  <si>
    <t>Francisco Neto - 03/02/2025 14:23:00</t>
  </si>
  <si>
    <t>Matheus César Azevedo Neto - 03/02/2025 14:38:56</t>
  </si>
  <si>
    <t>Edson Veloso - 04/02/2025 10:31:46</t>
  </si>
  <si>
    <t>Francisco Neto - 04/02/2025 12:15:57</t>
  </si>
  <si>
    <t>Matheus César Azevedo Neto - 04/02/2025 12:52:42</t>
  </si>
  <si>
    <t>Edson Veloso - 04/02/2025 16:35:47</t>
  </si>
  <si>
    <t>Matheus César Azevedo Neto - 05/02/2025 10:46:40</t>
  </si>
  <si>
    <t>Mariana Oliveira - 04/03/2025 17:30:58</t>
  </si>
  <si>
    <t>Edson Veloso - 04/03/2025 19:23:04</t>
  </si>
  <si>
    <t>Regis Bottino - 05/03/2025 07:23:41</t>
  </si>
  <si>
    <t>Matheus César Azevedo Neto - 05/03/2025 07:38:29</t>
  </si>
  <si>
    <t>Edson Veloso - 05/03/2025 14:00:33</t>
  </si>
  <si>
    <t>Regis Bottino - 05/03/2025 14:07:22</t>
  </si>
  <si>
    <t>Matheus César Azevedo Neto - 05/03/2025 14:10:48</t>
  </si>
  <si>
    <t>Francisco Neto - 31/01/2025 16:49:51</t>
  </si>
  <si>
    <t>Matheus César Azevedo Neto - 01/02/2025 09:40:55</t>
  </si>
  <si>
    <t>Edson Veloso - 03/02/2025 14:27:00</t>
  </si>
  <si>
    <t>Francisco Neto - 03/02/2025 14:29:30</t>
  </si>
  <si>
    <t>Matheus César Azevedo Neto - 03/02/2025 14:44:20</t>
  </si>
  <si>
    <t>Edson Veloso - 04/02/2025 10:35:59</t>
  </si>
  <si>
    <t>Matheus César Azevedo Neto - 04/02/2025 13:03:11</t>
  </si>
  <si>
    <t>Mariana Oliveira - 04/03/2025 19:15:36</t>
  </si>
  <si>
    <t>Edson Veloso - 04/03/2025 19:23:12</t>
  </si>
  <si>
    <t>Regis Bottino - 05/03/2025 07:24:06</t>
  </si>
  <si>
    <t>Matheus César Azevedo Neto - 05/03/2025 07:36:12</t>
  </si>
  <si>
    <t>Edson Veloso - 07/03/2025 07:26:39</t>
  </si>
  <si>
    <t>Regis Bottino - 07/03/2025 07:46:56</t>
  </si>
  <si>
    <t>Matheus César Azevedo Neto - 07/03/2025 07:55:16</t>
  </si>
  <si>
    <t>Francisco Neto - 27/01/2025 12:50:19</t>
  </si>
  <si>
    <t>Matheus César Azevedo Neto - 28/01/2025 07:29:15</t>
  </si>
  <si>
    <t>Edson Veloso - 03/02/2025 14:27:04</t>
  </si>
  <si>
    <t>Francisco Neto - 03/02/2025 14:29:32</t>
  </si>
  <si>
    <t>Matheus César Azevedo Neto - 03/02/2025 14:44:23</t>
  </si>
  <si>
    <t>Edson Veloso - 04/02/2025 10:36:01</t>
  </si>
  <si>
    <t>Matheus César Azevedo Neto - 04/02/2025 13:03:13</t>
  </si>
  <si>
    <t>Mariana Oliveira - 04/03/2025 19:15:46</t>
  </si>
  <si>
    <t>Edson Veloso - 04/03/2025 19:23:28</t>
  </si>
  <si>
    <t>Regis Bottino - 05/03/2025 07:24:12</t>
  </si>
  <si>
    <t>Matheus César Azevedo Neto - 05/03/2025 07:36:16</t>
  </si>
  <si>
    <t>Edson Veloso - 07/03/2025 07:26:41</t>
  </si>
  <si>
    <t>Regis Bottino - 07/03/2025 07:46:58</t>
  </si>
  <si>
    <t>Matheus César Azevedo Neto - 07/03/2025 07:55:23</t>
  </si>
  <si>
    <t>Francisco Neto - 31/01/2025 16:49:53</t>
  </si>
  <si>
    <t>Matheus César Azevedo Neto - 01/02/2025 09:40:59</t>
  </si>
  <si>
    <t>Edson Veloso - 03/02/2025 14:26:52</t>
  </si>
  <si>
    <t>Francisco Neto - 03/02/2025 14:29:15</t>
  </si>
  <si>
    <t>Matheus César Azevedo Neto - 03/02/2025 14:45:34</t>
  </si>
  <si>
    <t>Edson Veloso - 04/02/2025 10:36:04</t>
  </si>
  <si>
    <t>Matheus César Azevedo Neto - 04/02/2025 13:03:15</t>
  </si>
  <si>
    <t>Mariana Oliveira - 04/03/2025 19:20:30</t>
  </si>
  <si>
    <t>Edson Veloso - 04/03/2025 19:23:32</t>
  </si>
  <si>
    <t>Regis Bottino - 05/03/2025 07:24:09</t>
  </si>
  <si>
    <t>Matheus César Azevedo Neto - 05/03/2025 07:36:20</t>
  </si>
  <si>
    <t>Edson Veloso - 07/03/2025 07:26:48</t>
  </si>
  <si>
    <t>Regis Bottino - 07/03/2025 07:47:02</t>
  </si>
  <si>
    <t>Matheus César Azevedo Neto - 07/03/2025 07:55:26</t>
  </si>
  <si>
    <t>Francisco Neto - 30/01/2025 09:03:20</t>
  </si>
  <si>
    <t>Matheus César Azevedo Neto - 30/01/2025 09:26:10</t>
  </si>
  <si>
    <t>Edson Veloso - 31/01/2025 15:27:43</t>
  </si>
  <si>
    <t>Francisco Neto - 03/02/2025 14:30:05</t>
  </si>
  <si>
    <t>Matheus César Azevedo Neto - 03/02/2025 14:45:18</t>
  </si>
  <si>
    <t>Edson Veloso - 04/02/2025 10:36:06</t>
  </si>
  <si>
    <t>Matheus César Azevedo Neto - 04/02/2025 13:03:16</t>
  </si>
  <si>
    <t>Mariana Oliveira - 04/03/2025 17:28:04</t>
  </si>
  <si>
    <t>Edson Veloso - 04/03/2025 19:23:16</t>
  </si>
  <si>
    <t>Regis Bottino - 05/03/2025 07:24:18</t>
  </si>
  <si>
    <t>Matheus César Azevedo Neto - 05/03/2025 07:36:25</t>
  </si>
  <si>
    <t>Edson Veloso - 07/03/2025 07:27:00</t>
  </si>
  <si>
    <t>Regis Bottino - 07/03/2025 07:47:05</t>
  </si>
  <si>
    <t>Matheus César Azevedo Neto - 07/03/2025 07:54:34</t>
  </si>
  <si>
    <t>Francisco Neto - 28/01/2025 13:31:08</t>
  </si>
  <si>
    <t>Matheus César Azevedo Neto - 28/01/2025 15:34:40</t>
  </si>
  <si>
    <t>Edson Veloso - 31/01/2025 15:27:28</t>
  </si>
  <si>
    <t>Francisco Neto - 03/02/2025 14:30:07</t>
  </si>
  <si>
    <t>Matheus César Azevedo Neto - 03/02/2025 14:45:21</t>
  </si>
  <si>
    <t>Edson Veloso - 04/02/2025 10:36:08</t>
  </si>
  <si>
    <t>Matheus César Azevedo Neto - 04/02/2025 13:03:18</t>
  </si>
  <si>
    <t>Mariana Oliveira - 04/03/2025 19:20:42</t>
  </si>
  <si>
    <t>Edson Veloso - 04/03/2025 19:23:20</t>
  </si>
  <si>
    <t>Regis Bottino - 05/03/2025 07:24:21</t>
  </si>
  <si>
    <t>Matheus César Azevedo Neto - 05/03/2025 07:38:46</t>
  </si>
  <si>
    <t>Edson Veloso - 05/03/2025 14:00:36</t>
  </si>
  <si>
    <t>Regis Bottino - 05/03/2025 14:07:25</t>
  </si>
  <si>
    <t>Matheus César Azevedo Neto - 05/03/2025 14:10:51</t>
  </si>
  <si>
    <t>Francisco Neto - 30/01/2025 09:03:12</t>
  </si>
  <si>
    <t>Matheus César Azevedo Neto - 30/01/2025 09:26:06</t>
  </si>
  <si>
    <t>Edson Veloso - 03/02/2025 14:28:01</t>
  </si>
  <si>
    <t>Francisco Neto - 03/02/2025 14:30:08</t>
  </si>
  <si>
    <t>Matheus César Azevedo Neto - 03/02/2025 14:45:24</t>
  </si>
  <si>
    <t>Edson Veloso - 04/02/2025 10:36:11</t>
  </si>
  <si>
    <t>Matheus César Azevedo Neto - 04/02/2025 13:03:20</t>
  </si>
  <si>
    <t>Mariana Oliveira - 04/03/2025 19:20:51</t>
  </si>
  <si>
    <t>Edson Veloso - 04/03/2025 19:23:25</t>
  </si>
  <si>
    <t>Regis Bottino - 05/03/2025 07:24:25</t>
  </si>
  <si>
    <t>Matheus César Azevedo Neto - 05/03/2025 07:36:32</t>
  </si>
  <si>
    <t>Edson Veloso - 07/03/2025 07:26:46</t>
  </si>
  <si>
    <t>Regis Bottino - 07/03/2025 07:50:02</t>
  </si>
  <si>
    <t>Matheus César Azevedo Neto - 07/03/2025 07:55:30</t>
  </si>
  <si>
    <t>Francisco Neto - 30/01/2025 14:46:25</t>
  </si>
  <si>
    <t>Matheus César Azevedo Neto - 30/01/2025 15:53:26</t>
  </si>
  <si>
    <t>Edson Veloso - 03/02/2025 14:28:05</t>
  </si>
  <si>
    <t>Francisco Neto - 03/02/2025 14:30:10</t>
  </si>
  <si>
    <t>Matheus César Azevedo Neto - 03/02/2025 14:45:26</t>
  </si>
  <si>
    <t>Edson Veloso - 04/02/2025 10:36:13</t>
  </si>
  <si>
    <t>Matheus César Azevedo Neto - 04/02/2025 13:03:23</t>
  </si>
  <si>
    <t>Mariana Oliveira - 04/03/2025 10:54:05</t>
  </si>
  <si>
    <t>Edson Veloso - 04/03/2025 13:38:58</t>
  </si>
  <si>
    <t>Regis Bottino - 04/03/2025 13:43:38</t>
  </si>
  <si>
    <t>Matheus César Azevedo Neto - 04/03/2025 13:45:42</t>
  </si>
  <si>
    <t>Edson Veloso - 07/03/2025 07:26:50</t>
  </si>
  <si>
    <t>Regis Bottino - 07/03/2025 07:50:00</t>
  </si>
  <si>
    <t>Matheus César Azevedo Neto - 07/03/2025 07:55:33</t>
  </si>
  <si>
    <t>Francisco Neto - 30/01/2025 09:03:23</t>
  </si>
  <si>
    <t>Matheus César Azevedo Neto - 30/01/2025 09:26:14</t>
  </si>
  <si>
    <t>Edson Veloso - 31/01/2025 15:27:38</t>
  </si>
  <si>
    <t>Francisco Neto - 03/02/2025 14:30:12</t>
  </si>
  <si>
    <t>Matheus César Azevedo Neto - 03/02/2025 14:45:37</t>
  </si>
  <si>
    <t>Edson Veloso - 04/02/2025 10:36:16</t>
  </si>
  <si>
    <t>Matheus César Azevedo Neto - 04/02/2025 13:03:27</t>
  </si>
  <si>
    <t>Mariana Oliveira - 04/03/2025 10:54:28</t>
  </si>
  <si>
    <t>Edson Veloso - 04/03/2025 13:39:05</t>
  </si>
  <si>
    <t>Regis Bottino - 04/03/2025 13:43:46</t>
  </si>
  <si>
    <t>Matheus César Azevedo Neto - 04/03/2025 13:45:46</t>
  </si>
  <si>
    <t>Edson Veloso - 07/03/2025 14:28:26</t>
  </si>
  <si>
    <t>Regis Bottino - 07/03/2025 14:36:40</t>
  </si>
  <si>
    <t>Matheus César Azevedo Neto - 07/03/2025 14:39:57</t>
  </si>
  <si>
    <t>Francisco Neto - 30/01/2025 14:46:38</t>
  </si>
  <si>
    <t>Matheus César Azevedo Neto - 30/01/2025 15:53:37</t>
  </si>
  <si>
    <t>Edson Veloso - 03/02/2025 14:28:54</t>
  </si>
  <si>
    <t>Francisco Neto - 03/02/2025 14:31:06</t>
  </si>
  <si>
    <t>Matheus César Azevedo Neto - 03/02/2025 14:46:02</t>
  </si>
  <si>
    <t>Edson Veloso - 04/02/2025 10:37:20</t>
  </si>
  <si>
    <t>Matheus César Azevedo Neto - 04/02/2025 15:17:07</t>
  </si>
  <si>
    <t>Edson Veloso - 03/03/2025 14:42:34</t>
  </si>
  <si>
    <t>Mariana Oliveira - 05/03/2025 10:12:13</t>
  </si>
  <si>
    <t>Regis Bottino - 05/03/2025 13:27:33</t>
  </si>
  <si>
    <t>Matheus César Azevedo Neto - 05/03/2025 14:10:06</t>
  </si>
  <si>
    <t>Edson Veloso - 07/03/2025 07:30:19</t>
  </si>
  <si>
    <t>Regis Bottino - 07/03/2025 07:47:13</t>
  </si>
  <si>
    <t>Matheus César Azevedo Neto - 07/03/2025 07:56:54</t>
  </si>
  <si>
    <t>Francisco Neto - 30/01/2025 14:46:41</t>
  </si>
  <si>
    <t>Matheus César Azevedo Neto - 30/01/2025 15:54:29</t>
  </si>
  <si>
    <t>Edson Veloso - 03/02/2025 14:28:57</t>
  </si>
  <si>
    <t>Francisco Neto - 03/02/2025 14:31:08</t>
  </si>
  <si>
    <t>Matheus César Azevedo Neto - 03/02/2025 14:46:05</t>
  </si>
  <si>
    <t>Edson Veloso - 04/02/2025 10:36:18</t>
  </si>
  <si>
    <t>Matheus César Azevedo Neto - 04/02/2025 13:04:10</t>
  </si>
  <si>
    <t>Edson Veloso - 03/03/2025 14:42:39</t>
  </si>
  <si>
    <t>Mariana Oliveira - 04/03/2025 11:06:01</t>
  </si>
  <si>
    <t>Regis Bottino - 04/03/2025 13:43:50</t>
  </si>
  <si>
    <t>Matheus César Azevedo Neto - 04/03/2025 13:45:49</t>
  </si>
  <si>
    <t>Edson Veloso - 07/03/2025 07:30:26</t>
  </si>
  <si>
    <t>Regis Bottino - 07/03/2025 07:47:15</t>
  </si>
  <si>
    <t>Matheus César Azevedo Neto - 07/03/2025 07:56:57</t>
  </si>
  <si>
    <t>Francisco Neto - 30/01/2025 14:46:44</t>
  </si>
  <si>
    <t>Matheus César Azevedo Neto - 30/01/2025 15:53:40</t>
  </si>
  <si>
    <t>Edson Veloso - 03/02/2025 14:29:02</t>
  </si>
  <si>
    <t>Francisco Neto - 03/02/2025 14:31:09</t>
  </si>
  <si>
    <t>Matheus César Azevedo Neto - 03/02/2025 14:46:10</t>
  </si>
  <si>
    <t>Edson Veloso - 04/02/2025 10:36:21</t>
  </si>
  <si>
    <t>Matheus César Azevedo Neto - 04/02/2025 13:03:28</t>
  </si>
  <si>
    <t>Edson Veloso - 03/03/2025 14:42:42</t>
  </si>
  <si>
    <t>Mariana Oliveira - 10/03/2025 11:14:30</t>
  </si>
  <si>
    <t>Regis Bottino - 10/03/2025 11:18:08</t>
  </si>
  <si>
    <t>Matheus César Azevedo Neto - 10/03/2025 11:19:07</t>
  </si>
  <si>
    <t>Francisco Neto - 30/01/2025 14:46:46</t>
  </si>
  <si>
    <t>Matheus César Azevedo Neto - 30/01/2025 15:54:25</t>
  </si>
  <si>
    <t>Edson Veloso - 03/02/2025 14:29:06</t>
  </si>
  <si>
    <t>Francisco Neto - 03/02/2025 14:31:11</t>
  </si>
  <si>
    <t>Matheus César Azevedo Neto - 03/02/2025 14:46:19</t>
  </si>
  <si>
    <t>Edson Veloso - 04/02/2025 10:36:23</t>
  </si>
  <si>
    <t>Matheus César Azevedo Neto - 04/02/2025 13:03:30</t>
  </si>
  <si>
    <t>Edson Veloso - 03/03/2025 14:42:45</t>
  </si>
  <si>
    <t>Mariana Oliveira - 05/03/2025 10:12:27</t>
  </si>
  <si>
    <t>Regis Bottino - 05/03/2025 13:27:38</t>
  </si>
  <si>
    <t>Matheus César Azevedo Neto - 05/03/2025 14:10:10</t>
  </si>
  <si>
    <t>Edson Veloso - 06/03/2025 11:54:40</t>
  </si>
  <si>
    <t>Regis Bottino - 07/03/2025 07:20:03</t>
  </si>
  <si>
    <t>Matheus César Azevedo Neto - 07/03/2025 07:41:17</t>
  </si>
  <si>
    <t>Francisco Neto - 30/01/2025 14:46:48</t>
  </si>
  <si>
    <t>Matheus César Azevedo Neto - 30/01/2025 15:54:32</t>
  </si>
  <si>
    <t>Edson Veloso - 03/02/2025 14:29:10</t>
  </si>
  <si>
    <t>Francisco Neto - 03/02/2025 14:31:12</t>
  </si>
  <si>
    <t>Matheus César Azevedo Neto - 03/02/2025 14:46:14</t>
  </si>
  <si>
    <t>Edson Veloso - 04/02/2025 10:36:25</t>
  </si>
  <si>
    <t>Matheus César Azevedo Neto - 04/02/2025 13:03:33</t>
  </si>
  <si>
    <t>Edson Veloso - 03/03/2025 14:42:49</t>
  </si>
  <si>
    <t>Mariana Oliveira - 05/03/2025 10:12:21</t>
  </si>
  <si>
    <t>Regis Bottino - 05/03/2025 13:27:42</t>
  </si>
  <si>
    <t>Matheus César Azevedo Neto - 05/03/2025 14:10:13</t>
  </si>
  <si>
    <t>Edson Veloso - 06/03/2025 11:54:43</t>
  </si>
  <si>
    <t>Regis Bottino - 07/03/2025 07:20:05</t>
  </si>
  <si>
    <t>Matheus César Azevedo Neto - 07/03/2025 07:41:14</t>
  </si>
  <si>
    <t>Francisco Neto - 27/01/2025 09:09:20</t>
  </si>
  <si>
    <t>Matheus César Azevedo Neto - 27/01/2025 10:58:15</t>
  </si>
  <si>
    <t>Edson Veloso - 03/02/2025 14:28:18</t>
  </si>
  <si>
    <t>Francisco Neto - 03/02/2025 14:30:49</t>
  </si>
  <si>
    <t>Matheus César Azevedo Neto - 03/02/2025 14:46:22</t>
  </si>
  <si>
    <t>Edson Veloso - 04/02/2025 10:36:28</t>
  </si>
  <si>
    <t>Matheus César Azevedo Neto - 04/02/2025 13:03:35</t>
  </si>
  <si>
    <t>Edson Veloso - 03/03/2025 14:42:53</t>
  </si>
  <si>
    <t>Mariana Oliveira - 03/03/2025 22:29:45</t>
  </si>
  <si>
    <t>Regis Bottino - 04/03/2025 06:59:55</t>
  </si>
  <si>
    <t>Matheus César Azevedo Neto - 04/03/2025 07:03:01</t>
  </si>
  <si>
    <t>Edson Veloso - 05/03/2025 14:00:46</t>
  </si>
  <si>
    <t>Regis Bottino - 05/03/2025 14:07:11</t>
  </si>
  <si>
    <t>Matheus César Azevedo Neto - 05/03/2025 14:10:55</t>
  </si>
  <si>
    <t>Francisco Neto - 27/01/2025 09:09:36</t>
  </si>
  <si>
    <t>Matheus César Azevedo Neto - 27/01/2025 10:58:20</t>
  </si>
  <si>
    <t>Edson Veloso - 03/02/2025 14:28:26</t>
  </si>
  <si>
    <t>Francisco Neto - 03/02/2025 14:30:54</t>
  </si>
  <si>
    <t>Matheus César Azevedo Neto - 03/02/2025 14:45:44</t>
  </si>
  <si>
    <t>Edson Veloso - 04/02/2025 10:36:31</t>
  </si>
  <si>
    <t>Matheus César Azevedo Neto - 04/02/2025 13:03:37</t>
  </si>
  <si>
    <t>Edson Veloso - 03/03/2025 14:42:56</t>
  </si>
  <si>
    <t>Mariana Oliveira - 03/03/2025 18:58:55</t>
  </si>
  <si>
    <t>Regis Bottino - 04/03/2025 07:00:29</t>
  </si>
  <si>
    <t>Matheus César Azevedo Neto - 04/03/2025 07:03:04</t>
  </si>
  <si>
    <t>Edson Veloso - 05/03/2025 14:00:58</t>
  </si>
  <si>
    <t>Regis Bottino - 05/03/2025 14:07:15</t>
  </si>
  <si>
    <t>Matheus César Azevedo Neto - 05/03/2025 14:10:59</t>
  </si>
  <si>
    <t>Francisco Neto - 30/01/2025 09:03:29</t>
  </si>
  <si>
    <t>Matheus César Azevedo Neto - 30/01/2025 09:26:24</t>
  </si>
  <si>
    <t>Edson Veloso - 03/02/2025 14:28:30</t>
  </si>
  <si>
    <t>Francisco Neto - 03/02/2025 14:30:55</t>
  </si>
  <si>
    <t>Matheus César Azevedo Neto - 03/02/2025 14:45:47</t>
  </si>
  <si>
    <t>Edson Veloso - 04/02/2025 10:36:33</t>
  </si>
  <si>
    <t>Matheus César Azevedo Neto - 04/02/2025 13:03:39</t>
  </si>
  <si>
    <t>Edson Veloso - 03/03/2025 14:43:00</t>
  </si>
  <si>
    <t>Mariana Oliveira - 04/03/2025 11:06:18</t>
  </si>
  <si>
    <t>Regis Bottino - 04/03/2025 13:43:54</t>
  </si>
  <si>
    <t>Matheus César Azevedo Neto - 04/03/2025 13:45:53</t>
  </si>
  <si>
    <t>Edson Veloso - 06/03/2025 11:54:46</t>
  </si>
  <si>
    <t>Regis Bottino - 07/03/2025 07:20:07</t>
  </si>
  <si>
    <t>Matheus César Azevedo Neto - 07/03/2025 07:41:31</t>
  </si>
  <si>
    <t>Francisco Neto - 31/01/2025 16:50:40</t>
  </si>
  <si>
    <t>Matheus César Azevedo Neto - 01/02/2025 09:41:23</t>
  </si>
  <si>
    <t>Edson Veloso - 03/02/2025 14:29:14</t>
  </si>
  <si>
    <t>Francisco Neto - 03/02/2025 14:31:14</t>
  </si>
  <si>
    <t>Matheus César Azevedo Neto - 03/02/2025 14:46:17</t>
  </si>
  <si>
    <t>Edson Veloso - 04/02/2025 10:36:35</t>
  </si>
  <si>
    <t>Matheus César Azevedo Neto - 04/02/2025 13:03:41</t>
  </si>
  <si>
    <t>Edson Veloso - 03/03/2025 14:43:03</t>
  </si>
  <si>
    <t>Mariana Oliveira - 03/03/2025 22:30:02</t>
  </si>
  <si>
    <t>Regis Bottino - 04/03/2025 06:59:58</t>
  </si>
  <si>
    <t>Matheus César Azevedo Neto - 04/03/2025 07:03:08</t>
  </si>
  <si>
    <t>Edson Veloso - 05/03/2025 14:01:01</t>
  </si>
  <si>
    <t>Regis Bottino - 05/03/2025 14:08:01</t>
  </si>
  <si>
    <t>Matheus César Azevedo Neto - 05/03/2025 14:11:03</t>
  </si>
  <si>
    <t>Francisco Neto - 31/01/2025 16:50:43</t>
  </si>
  <si>
    <t>Matheus César Azevedo Neto - 01/02/2025 09:41:25</t>
  </si>
  <si>
    <t>Edson Veloso - 03/02/2025 14:28:34</t>
  </si>
  <si>
    <t>Francisco Neto - 03/02/2025 14:30:57</t>
  </si>
  <si>
    <t>Matheus César Azevedo Neto - 03/02/2025 14:45:49</t>
  </si>
  <si>
    <t>Edson Veloso - 04/02/2025 10:36:39</t>
  </si>
  <si>
    <t>Matheus César Azevedo Neto - 04/02/2025 13:04:06</t>
  </si>
  <si>
    <t>Edson Veloso - 03/03/2025 14:43:06</t>
  </si>
  <si>
    <t>Mariana Oliveira - 03/03/2025 22:47:07</t>
  </si>
  <si>
    <t>Regis Bottino - 04/03/2025 07:00:05</t>
  </si>
  <si>
    <t>Matheus César Azevedo Neto - 04/03/2025 07:03:12</t>
  </si>
  <si>
    <t>Edson Veloso - 05/03/2025 14:01:08</t>
  </si>
  <si>
    <t>Regis Bottino - 05/03/2025 14:07:31</t>
  </si>
  <si>
    <t>Matheus César Azevedo Neto - 05/03/2025 14:12:02</t>
  </si>
  <si>
    <t>Aprovado C/ Pendências</t>
  </si>
  <si>
    <t>Francisco Neto - 30/01/2025 09:03:35</t>
  </si>
  <si>
    <t>Matheus César Azevedo Neto - 01/02/2025 09:41:20</t>
  </si>
  <si>
    <t>63681549_BC6505</t>
  </si>
  <si>
    <t>Edson Veloso - 03/02/2025 14:29:17</t>
  </si>
  <si>
    <t>Francisco Neto - 03/02/2025 14:31:30</t>
  </si>
  <si>
    <t>Matheus César Azevedo Neto - 03/02/2025 14:46:40</t>
  </si>
  <si>
    <t>Edson Veloso - 04/02/2025 10:36:41</t>
  </si>
  <si>
    <t>Matheus César Azevedo Neto - 04/02/2025 13:03:46</t>
  </si>
  <si>
    <t>Edson Veloso - 03/03/2025 14:43:10</t>
  </si>
  <si>
    <t>Mariana Oliveira - 03/03/2025 18:53:56</t>
  </si>
  <si>
    <t>Regis Bottino - 04/03/2025 07:00:01</t>
  </si>
  <si>
    <t>Matheus César Azevedo Neto - 04/03/2025 07:03:15</t>
  </si>
  <si>
    <t>Edson Veloso - 05/03/2025 14:00:51</t>
  </si>
  <si>
    <t>Regis Bottino - 05/03/2025 14:07:40</t>
  </si>
  <si>
    <t>Matheus César Azevedo Neto - 05/03/2025 14:11:07</t>
  </si>
  <si>
    <t>Francisco Neto - 31/01/2025 16:50:29</t>
  </si>
  <si>
    <t>Matheus César Azevedo Neto - 01/02/2025 09:41:10</t>
  </si>
  <si>
    <t>Edson Veloso - 03/02/2025 14:28:38</t>
  </si>
  <si>
    <t>Francisco Neto - 03/02/2025 14:30:59</t>
  </si>
  <si>
    <t>Matheus César Azevedo Neto - 03/02/2025 14:45:52</t>
  </si>
  <si>
    <t>Edson Veloso - 04/02/2025 10:36:44</t>
  </si>
  <si>
    <t>Matheus César Azevedo Neto - 04/02/2025 13:03:58</t>
  </si>
  <si>
    <t>Edson Veloso - 03/03/2025 14:43:13</t>
  </si>
  <si>
    <t>Mariana Oliveira - 03/03/2025 18:54:05</t>
  </si>
  <si>
    <t>Regis Bottino - 04/03/2025 07:00:08</t>
  </si>
  <si>
    <t>Matheus César Azevedo Neto - 04/03/2025 07:03:19</t>
  </si>
  <si>
    <t>Edson Veloso - 05/03/2025 14:00:54</t>
  </si>
  <si>
    <t>Regis Bottino - 05/03/2025 14:07:44</t>
  </si>
  <si>
    <t>Matheus César Azevedo Neto - 05/03/2025 14:11:17</t>
  </si>
  <si>
    <t>Francisco Neto - 31/01/2025 16:50:38</t>
  </si>
  <si>
    <t>Matheus César Azevedo Neto - 01/02/2025 09:41:18</t>
  </si>
  <si>
    <t>Edson Veloso - 03/02/2025 14:28:41</t>
  </si>
  <si>
    <t>Francisco Neto - 03/02/2025 14:31:00</t>
  </si>
  <si>
    <t>Matheus César Azevedo Neto - 03/02/2025 14:45:54</t>
  </si>
  <si>
    <t>Edson Veloso - 04/02/2025 10:36:47</t>
  </si>
  <si>
    <t>Matheus César Azevedo Neto - 04/02/2025 13:03:56</t>
  </si>
  <si>
    <t>Edson Veloso - 03/03/2025 14:43:18</t>
  </si>
  <si>
    <t>Mariana Oliveira - 03/03/2025 18:54:15</t>
  </si>
  <si>
    <t>Regis Bottino - 04/03/2025 07:00:10</t>
  </si>
  <si>
    <t>Matheus César Azevedo Neto - 04/03/2025 07:03:23</t>
  </si>
  <si>
    <t>Edson Veloso - 05/03/2025 14:01:11</t>
  </si>
  <si>
    <t>Regis Bottino - 05/03/2025 14:07:47</t>
  </si>
  <si>
    <t>Matheus César Azevedo Neto - 05/03/2025 14:11:10</t>
  </si>
  <si>
    <t>Francisco Neto - 31/01/2025 16:50:32</t>
  </si>
  <si>
    <t>Matheus César Azevedo Neto - 01/02/2025 09:41:12</t>
  </si>
  <si>
    <t>Edson Veloso - 03/02/2025 14:28:45</t>
  </si>
  <si>
    <t>Francisco Neto - 03/02/2025 14:31:02</t>
  </si>
  <si>
    <t>Matheus César Azevedo Neto - 03/02/2025 14:46:08</t>
  </si>
  <si>
    <t>Edson Veloso - 04/02/2025 10:36:49</t>
  </si>
  <si>
    <t>Matheus César Azevedo Neto - 04/02/2025 13:03:59</t>
  </si>
  <si>
    <t>Edson Veloso - 03/03/2025 14:43:20</t>
  </si>
  <si>
    <t>Mariana Oliveira - 03/03/2025 18:54:22</t>
  </si>
  <si>
    <t>Regis Bottino - 04/03/2025 07:00:15</t>
  </si>
  <si>
    <t>Matheus César Azevedo Neto - 04/03/2025 07:03:26</t>
  </si>
  <si>
    <t>Edson Veloso - 05/03/2025 14:01:22</t>
  </si>
  <si>
    <t>Regis Bottino - 05/03/2025 14:07:34</t>
  </si>
  <si>
    <t>Matheus César Azevedo Neto - 05/03/2025 14:11:14</t>
  </si>
  <si>
    <t>Francisco Neto - 31/01/2025 16:50:36</t>
  </si>
  <si>
    <t>Matheus César Azevedo Neto - 01/02/2025 09:41:15</t>
  </si>
  <si>
    <t>Edson Veloso - 03/02/2025 14:28:50</t>
  </si>
  <si>
    <t>Francisco Neto - 03/02/2025 14:31:04</t>
  </si>
  <si>
    <t>Matheus César Azevedo Neto - 03/02/2025 14:45:59</t>
  </si>
  <si>
    <t>Edson Veloso - 04/02/2025 10:36:52</t>
  </si>
  <si>
    <t>Matheus César Azevedo Neto - 04/02/2025 13:04:01</t>
  </si>
  <si>
    <t>Edson Veloso - 03/03/2025 14:43:23</t>
  </si>
  <si>
    <t>Mariana Oliveira - 03/03/2025 22:30:18</t>
  </si>
  <si>
    <t>Regis Bottino - 04/03/2025 07:00:40</t>
  </si>
  <si>
    <t>Matheus César Azevedo Neto - 04/03/2025 07:03:29</t>
  </si>
  <si>
    <t>Edson Veloso - 05/03/2025 14:01:04</t>
  </si>
  <si>
    <t>Regis Bottino - 05/03/2025 14:07:37</t>
  </si>
  <si>
    <t>Matheus César Azevedo Neto - 05/03/2025 14:11:21</t>
  </si>
  <si>
    <t>Francisco Neto - 30/01/2025 14:47:21</t>
  </si>
  <si>
    <t>Matheus César Azevedo Neto - 30/01/2025 15:54:36</t>
  </si>
  <si>
    <t>Edson Veloso - 03/02/2025 14:28:22</t>
  </si>
  <si>
    <t>Francisco Neto - 03/02/2025 14:30:52</t>
  </si>
  <si>
    <t>Matheus César Azevedo Neto - 03/02/2025 14:45:57</t>
  </si>
  <si>
    <t>Edson Veloso - 04/02/2025 10:36:54</t>
  </si>
  <si>
    <t>Matheus César Azevedo Neto - 04/02/2025 13:04:03</t>
  </si>
  <si>
    <t>Edson Veloso - 03/03/2025 14:43:29</t>
  </si>
  <si>
    <t>Mariana Oliveira - 03/03/2025 18:58:02</t>
  </si>
  <si>
    <t>Regis Bottino - 04/03/2025 07:00:32</t>
  </si>
  <si>
    <t>Matheus César Azevedo Neto - 04/03/2025 07:04:21</t>
  </si>
  <si>
    <t>Edson Veloso - 05/03/2025 14:01:25</t>
  </si>
  <si>
    <t>Regis Bottino - 05/03/2025 14:07:52</t>
  </si>
  <si>
    <t>Matheus César Azevedo Neto - 05/03/2025 14:12:05</t>
  </si>
  <si>
    <t>Francisco Neto - 30/01/2025 14:47:25</t>
  </si>
  <si>
    <t>Matheus César Azevedo Neto - 30/01/2025 15:54:41</t>
  </si>
  <si>
    <t>Edson Veloso - 31/01/2025 15:28:09</t>
  </si>
  <si>
    <t>Francisco Neto - 03/02/2025 14:31:32</t>
  </si>
  <si>
    <t>Matheus César Azevedo Neto - 03/02/2025 14:46:37</t>
  </si>
  <si>
    <t>Edson Veloso - 04/02/2025 10:36:57</t>
  </si>
  <si>
    <t>Matheus César Azevedo Neto - 04/02/2025 13:04:05</t>
  </si>
  <si>
    <t>Edson Veloso - 03/03/2025 14:43:34</t>
  </si>
  <si>
    <t>Mariana Oliveira - 03/03/2025 22:56:45</t>
  </si>
  <si>
    <t>Regis Bottino - 04/03/2025 07:00:34</t>
  </si>
  <si>
    <t>Matheus César Azevedo Neto - 04/03/2025 07:04:26</t>
  </si>
  <si>
    <t>Edson Veloso - 05/03/2025 14:01:28</t>
  </si>
  <si>
    <t>Regis Bottino - 05/03/2025 14:07:55</t>
  </si>
  <si>
    <t>Matheus César Azevedo Neto - 05/03/2025 14:12:08</t>
  </si>
  <si>
    <t>Francisco Neto - 03/02/2025 14:23:02</t>
  </si>
  <si>
    <t>Matheus César Azevedo Neto - 03/02/2025 14:39:22</t>
  </si>
  <si>
    <t>Edson Veloso - 04/02/2025 10:31:48</t>
  </si>
  <si>
    <t>Francisco Neto - 04/02/2025 12:16:00</t>
  </si>
  <si>
    <t>Matheus César Azevedo Neto - 04/02/2025 12:52:45</t>
  </si>
  <si>
    <t>Edson Veloso - 04/02/2025 16:35:53</t>
  </si>
  <si>
    <t>Matheus César Azevedo Neto - 05/02/2025 10:51:14</t>
  </si>
  <si>
    <t>Edson Veloso - 03/03/2025 14:43:38</t>
  </si>
  <si>
    <t>Mariana Oliveira - 03/03/2025 22:56:29</t>
  </si>
  <si>
    <t>Regis Bottino - 04/03/2025 07:00:37</t>
  </si>
  <si>
    <t>Matheus César Azevedo Neto - 04/03/2025 07:04:34</t>
  </si>
  <si>
    <t>Edson Veloso - 05/03/2025 14:01:15</t>
  </si>
  <si>
    <t>Regis Bottino - 05/03/2025 14:07:58</t>
  </si>
  <si>
    <t>Matheus César Azevedo Neto - 05/03/2025 14:12:11</t>
  </si>
  <si>
    <t>Francisco Neto - 03/02/2025 14:23:03</t>
  </si>
  <si>
    <t>Matheus César Azevedo Neto - 03/02/2025 14:39:18</t>
  </si>
  <si>
    <t>Edson Veloso - 04/02/2025 10:31:51</t>
  </si>
  <si>
    <t>Francisco Neto - 04/02/2025 12:16:03</t>
  </si>
  <si>
    <t>Matheus César Azevedo Neto - 04/02/2025 12:53:15</t>
  </si>
  <si>
    <t>Edson Veloso - 04/02/2025 16:35:56</t>
  </si>
  <si>
    <t>Matheus César Azevedo Neto - 05/02/2025 10:51:10</t>
  </si>
  <si>
    <t>Edson Veloso - 03/03/2025 14:43:41</t>
  </si>
  <si>
    <t>Mariana Oliveira - 03/03/2025 22:56:37</t>
  </si>
  <si>
    <t>Regis Bottino - 04/03/2025 07:00:43</t>
  </si>
  <si>
    <t>Matheus César Azevedo Neto - 04/03/2025 07:04:29</t>
  </si>
  <si>
    <t>Edson Veloso - 05/03/2025 14:01:19</t>
  </si>
  <si>
    <t>Regis Bottino - 05/03/2025 14:08:06</t>
  </si>
  <si>
    <t>Matheus César Azevedo Neto - 05/03/2025 14:12:14</t>
  </si>
  <si>
    <t>Francisco Neto - 03/02/2025 14:23:05</t>
  </si>
  <si>
    <t>Matheus César Azevedo Neto - 03/02/2025 14:39:01</t>
  </si>
  <si>
    <t>Edson Veloso - 04/02/2025 10:31:53</t>
  </si>
  <si>
    <t>Francisco Neto - 04/02/2025 12:16:05</t>
  </si>
  <si>
    <t>Matheus César Azevedo Neto - 04/02/2025 12:52:49</t>
  </si>
  <si>
    <t>Edson Veloso - 04/02/2025 16:35:58</t>
  </si>
  <si>
    <t>Matheus César Azevedo Neto - 05/02/2025 10:51:00</t>
  </si>
  <si>
    <t>Edson Veloso - 03/03/2025 14:43:45</t>
  </si>
  <si>
    <t>Mariana Oliveira - 03/03/2025 18:04:16</t>
  </si>
  <si>
    <t>Regis Bottino - 04/03/2025 07:00:48</t>
  </si>
  <si>
    <t>Matheus César Azevedo Neto - 04/03/2025 07:04:31</t>
  </si>
  <si>
    <t>Edson Veloso - 05/03/2025 14:01:32</t>
  </si>
  <si>
    <t>Regis Bottino - 05/03/2025 14:08:09</t>
  </si>
  <si>
    <t>Matheus César Azevedo Neto - 05/03/2025 14:12:17</t>
  </si>
  <si>
    <t>Francisco Neto - 03/02/2025 14:23:07</t>
  </si>
  <si>
    <t>Matheus César Azevedo Neto - 03/02/2025 14:39:13</t>
  </si>
  <si>
    <t>Edson Veloso - 04/02/2025 10:31:56</t>
  </si>
  <si>
    <t>Francisco Neto - 04/02/2025 12:16:08</t>
  </si>
  <si>
    <t>Matheus César Azevedo Neto - 04/02/2025 12:52:52</t>
  </si>
  <si>
    <t>Edson Veloso - 04/02/2025 16:36:01</t>
  </si>
  <si>
    <t>Matheus César Azevedo Neto - 05/02/2025 10:51:02</t>
  </si>
  <si>
    <t>Edson Veloso - 03/03/2025 14:43:47</t>
  </si>
  <si>
    <t>Mariana Oliveira - 03/03/2025 18:04:24</t>
  </si>
  <si>
    <t>Regis Bottino - 04/03/2025 07:00:46</t>
  </si>
  <si>
    <t>Matheus César Azevedo Neto - 04/03/2025 07:04:37</t>
  </si>
  <si>
    <t>Edson Veloso - 05/03/2025 14:01:35</t>
  </si>
  <si>
    <t>Regis Bottino - 05/03/2025 14:08:12</t>
  </si>
  <si>
    <t>Matheus César Azevedo Neto - 05/03/2025 14:12:21</t>
  </si>
  <si>
    <t>Francisco Neto - 01/02/2025 09:47:06</t>
  </si>
  <si>
    <t>Matheus César Azevedo Neto - 01/02/2025 09:51:42</t>
  </si>
  <si>
    <t>Edson Veloso - 03/02/2025 14:29:21</t>
  </si>
  <si>
    <t>Francisco Neto - 03/02/2025 14:31:35</t>
  </si>
  <si>
    <t>Matheus César Azevedo Neto - 03/02/2025 14:46:27</t>
  </si>
  <si>
    <t>Edson Veloso - 04/02/2025 10:36:59</t>
  </si>
  <si>
    <t>Matheus César Azevedo Neto - 04/02/2025 13:04:08</t>
  </si>
  <si>
    <t>Edson Veloso - 07/03/2025 07:03:45</t>
  </si>
  <si>
    <t>Mariana Oliveira - 10/03/2025 11:14:37</t>
  </si>
  <si>
    <t>Regis Bottino - 10/03/2025 11:18:11</t>
  </si>
  <si>
    <t>Matheus César Azevedo Neto - 10/03/2025 11:19:10</t>
  </si>
  <si>
    <t>Francisco Neto - 01/02/2025 09:47:04</t>
  </si>
  <si>
    <t>Matheus César Azevedo Neto - 01/02/2025 09:51:38</t>
  </si>
  <si>
    <t>Edson Veloso - 03/02/2025 14:28:14</t>
  </si>
  <si>
    <t>Francisco Neto - 03/02/2025 14:30:48</t>
  </si>
  <si>
    <t>Matheus César Azevedo Neto - 03/02/2025 14:46:25</t>
  </si>
  <si>
    <t>Edson Veloso - 04/02/2025 10:37:02</t>
  </si>
  <si>
    <t>Matheus César Azevedo Neto - 04/02/2025 15:17:03</t>
  </si>
  <si>
    <t>Edson Veloso - 05/03/2025 13:51:21</t>
  </si>
  <si>
    <t>Mariana Oliveira - 05/03/2025 14:22:08</t>
  </si>
  <si>
    <t>Regis Bottino - 05/03/2025 14:23:37</t>
  </si>
  <si>
    <t>Matheus César Azevedo Neto - 05/03/2025 14:30:25</t>
  </si>
  <si>
    <t>Edson Veloso - 07/03/2025 07:30:21</t>
  </si>
  <si>
    <t>Regis Bottino - 07/03/2025 07:47:17</t>
  </si>
  <si>
    <t>Matheus César Azevedo Neto - 07/03/2025 07:57:00</t>
  </si>
  <si>
    <t>Francisco Neto - 27/01/2025 12:50:39</t>
  </si>
  <si>
    <t>Matheus César Azevedo Neto - 28/01/2025 07:29:29</t>
  </si>
  <si>
    <t>Edson Veloso - 31/01/2025 15:28:18</t>
  </si>
  <si>
    <t>Francisco Neto - 03/02/2025 14:31:36</t>
  </si>
  <si>
    <t>Matheus César Azevedo Neto - 03/02/2025 14:46:30</t>
  </si>
  <si>
    <t>Edson Veloso - 04/02/2025 10:37:05</t>
  </si>
  <si>
    <t>Matheus César Azevedo Neto - 04/02/2025 15:16:55</t>
  </si>
  <si>
    <t>Edson Veloso - 04/03/2025 13:37:35</t>
  </si>
  <si>
    <t>Mariana Oliveira - 05/03/2025 10:57:40</t>
  </si>
  <si>
    <t>Regis Bottino - 05/03/2025 13:27:48</t>
  </si>
  <si>
    <t>Matheus César Azevedo Neto - 05/03/2025 14:10:17</t>
  </si>
  <si>
    <t>Edson Veloso - 06/03/2025 11:54:49</t>
  </si>
  <si>
    <t>Regis Bottino - 07/03/2025 07:20:09</t>
  </si>
  <si>
    <t>Matheus César Azevedo Neto - 07/03/2025 07:41:21</t>
  </si>
  <si>
    <t>Francisco Neto - 30/01/2025 09:03:42</t>
  </si>
  <si>
    <t>Matheus César Azevedo Neto - 30/01/2025 09:26:39</t>
  </si>
  <si>
    <t>Edson Veloso - 31/01/2025 15:28:27</t>
  </si>
  <si>
    <t>Francisco Neto - 03/02/2025 14:31:38</t>
  </si>
  <si>
    <t>Matheus César Azevedo Neto - 03/02/2025 14:46:32</t>
  </si>
  <si>
    <t>Edson Veloso - 04/02/2025 10:37:09</t>
  </si>
  <si>
    <t>Matheus César Azevedo Neto - 04/02/2025 15:17:00</t>
  </si>
  <si>
    <t>Edson Veloso - 03/03/2025 14:44:01</t>
  </si>
  <si>
    <t>Mariana Oliveira - 05/03/2025 14:22:28</t>
  </si>
  <si>
    <t>Regis Bottino - 05/03/2025 14:23:42</t>
  </si>
  <si>
    <t>Matheus César Azevedo Neto - 05/03/2025 14:30:32</t>
  </si>
  <si>
    <t>Edson Veloso - 06/03/2025 11:54:52</t>
  </si>
  <si>
    <t>Regis Bottino - 07/03/2025 07:20:11</t>
  </si>
  <si>
    <t>Matheus César Azevedo Neto - 07/03/2025 07:41:24</t>
  </si>
  <si>
    <t>Francisco Neto - 03/02/2025 14:23:09</t>
  </si>
  <si>
    <t>Matheus César Azevedo Neto - 03/02/2025 14:39:09</t>
  </si>
  <si>
    <t>Edson Veloso - 04/02/2025 10:31:58</t>
  </si>
  <si>
    <t>Francisco Neto - 04/02/2025 12:16:11</t>
  </si>
  <si>
    <t>Matheus César Azevedo Neto - 04/02/2025 12:52:55</t>
  </si>
  <si>
    <t>Edson Veloso - 04/02/2025 16:36:03</t>
  </si>
  <si>
    <t>Matheus César Azevedo Neto - 05/02/2025 10:51:04</t>
  </si>
  <si>
    <t>Mariana Oliveira - 05/03/2025 11:49:47</t>
  </si>
  <si>
    <t>Edson Veloso - 05/03/2025 13:53:54</t>
  </si>
  <si>
    <t>Regis Bottino - 05/03/2025 13:58:14</t>
  </si>
  <si>
    <t>Matheus César Azevedo Neto - 05/03/2025 14:10:20</t>
  </si>
  <si>
    <t>Edson Veloso - 06/03/2025 11:54:59</t>
  </si>
  <si>
    <t>Regis Bottino - 07/03/2025 07:20:12</t>
  </si>
  <si>
    <t>Matheus César Azevedo Neto - 07/03/2025 07:41:27</t>
  </si>
  <si>
    <t>Francisco Neto - 03/02/2025 14:23:11</t>
  </si>
  <si>
    <t>Matheus César Azevedo Neto - 03/02/2025 14:39:11</t>
  </si>
  <si>
    <t>Edson Veloso - 04/02/2025 10:32:01</t>
  </si>
  <si>
    <t>Francisco Neto - 04/02/2025 12:16:13</t>
  </si>
  <si>
    <t>Matheus César Azevedo Neto - 04/02/2025 12:52:59</t>
  </si>
  <si>
    <t>Edson Veloso - 04/02/2025 16:36:05</t>
  </si>
  <si>
    <t>Matheus César Azevedo Neto - 05/02/2025 10:51:06</t>
  </si>
  <si>
    <t>Edson Veloso - 03/03/2025 14:44:09</t>
  </si>
  <si>
    <t>Mariana Oliveira - 03/03/2025 18:03:12</t>
  </si>
  <si>
    <t>Regis Bottino - 04/03/2025 07:00:51</t>
  </si>
  <si>
    <t>Matheus César Azevedo Neto - 04/03/2025 07:04:10</t>
  </si>
  <si>
    <t>Edson Veloso - 07/03/2025 14:27:07</t>
  </si>
  <si>
    <t>Regis Bottino - 07/03/2025 14:36:42</t>
  </si>
  <si>
    <t>Matheus César Azevedo Neto - 07/03/2025 14:40:00</t>
  </si>
  <si>
    <t>Francisco Neto - 03/02/2025 14:23:13</t>
  </si>
  <si>
    <t>Matheus César Azevedo Neto - 03/02/2025 14:39:20</t>
  </si>
  <si>
    <t>Edson Veloso - 04/02/2025 10:32:03</t>
  </si>
  <si>
    <t>Francisco Neto - 04/02/2025 12:16:16</t>
  </si>
  <si>
    <t>Matheus César Azevedo Neto - 04/02/2025 12:53:02</t>
  </si>
  <si>
    <t>Edson Veloso - 04/02/2025 16:36:07</t>
  </si>
  <si>
    <t>Matheus César Azevedo Neto - 05/02/2025 10:51:08</t>
  </si>
  <si>
    <t>Edson Veloso - 03/03/2025 14:44:13</t>
  </si>
  <si>
    <t>Mariana Oliveira - 05/03/2025 14:22:48</t>
  </si>
  <si>
    <t>Regis Bottino - 05/03/2025 14:24:34</t>
  </si>
  <si>
    <t>Matheus César Azevedo Neto - 05/03/2025 14:30:37</t>
  </si>
  <si>
    <t>Edson Veloso - 07/03/2025 14:28:29</t>
  </si>
  <si>
    <t>Regis Bottino - 07/03/2025 14:36:44</t>
  </si>
  <si>
    <t>Matheus César Azevedo Neto - 07/03/2025 14:39:19</t>
  </si>
  <si>
    <t>Francisco Neto - 01/02/2025 09:46:58</t>
  </si>
  <si>
    <t>Matheus César Azevedo Neto - 01/02/2025 09:51:31</t>
  </si>
  <si>
    <t>Edson Veloso - 03/02/2025 14:28:10</t>
  </si>
  <si>
    <t>Francisco Neto - 03/02/2025 14:30:46</t>
  </si>
  <si>
    <t>Matheus César Azevedo Neto - 03/02/2025 14:45:41</t>
  </si>
  <si>
    <t>Edson Veloso - 04/02/2025 10:37:12</t>
  </si>
  <si>
    <t>Matheus César Azevedo Neto - 04/02/2025 15:16:58</t>
  </si>
  <si>
    <t>Mariana Oliveira - 05/03/2025 11:00:30</t>
  </si>
  <si>
    <t>Edson Veloso - 05/03/2025 13:53:48</t>
  </si>
  <si>
    <t>Regis Bottino - 05/03/2025 13:58:18</t>
  </si>
  <si>
    <t>Matheus César Azevedo Neto - 05/03/2025 14:10:24</t>
  </si>
  <si>
    <t>Edson Veloso - 07/03/2025 07:30:23</t>
  </si>
  <si>
    <t>Regis Bottino - 07/03/2025 07:47:19</t>
  </si>
  <si>
    <t>Matheus César Azevedo Neto - 07/03/2025 07:57:03</t>
  </si>
  <si>
    <t>Francisco Neto - 03/02/2025 14:23:14</t>
  </si>
  <si>
    <t>Matheus César Azevedo Neto - 03/02/2025 14:39:24</t>
  </si>
  <si>
    <t>Edson Veloso - 04/02/2025 10:32:05</t>
  </si>
  <si>
    <t>Francisco Neto - 04/02/2025 12:16:19</t>
  </si>
  <si>
    <t>Matheus César Azevedo Neto - 04/02/2025 12:53:08</t>
  </si>
  <si>
    <t>Edson Veloso - 04/02/2025 16:36:09</t>
  </si>
  <si>
    <t>Matheus César Azevedo Neto - 05/02/2025 10:51:12</t>
  </si>
  <si>
    <t>Edson Veloso - 05/03/2025 13:53:08</t>
  </si>
  <si>
    <t>Mariana Oliveira - 05/03/2025 14:22:43</t>
  </si>
  <si>
    <t>Regis Bottino - 05/03/2025 14:24:38</t>
  </si>
  <si>
    <t>Matheus César Azevedo Neto - 05/03/2025 14:30:34</t>
  </si>
  <si>
    <t>Edson Veloso - 06/03/2025 11:54:55</t>
  </si>
  <si>
    <t>Regis Bottino - 07/03/2025 07:20:14</t>
  </si>
  <si>
    <t>Matheus César Azevedo Neto - 07/03/2025 07:41:33</t>
  </si>
  <si>
    <t>Francisco Neto - 30/01/2025 09:03:33</t>
  </si>
  <si>
    <t>Matheus César Azevedo Neto - 30/01/2025 09:26:28</t>
  </si>
  <si>
    <t>Edson Veloso - 31/01/2025 12:28:20</t>
  </si>
  <si>
    <t>Francisco Neto - 31/01/2025 15:36:40</t>
  </si>
  <si>
    <t>Matheus César Azevedo Neto - 31/01/2025 16:14:43</t>
  </si>
  <si>
    <t>Edson Veloso - 03/02/2025 14:30:26</t>
  </si>
  <si>
    <t>Matheus César Azevedo Neto - 03/02/2025 14:49:31</t>
  </si>
  <si>
    <t>Edson Veloso - 04/02/2025 10:37:40</t>
  </si>
  <si>
    <t>Mariana Oliveira - 03/03/2025 18:03:58</t>
  </si>
  <si>
    <t>Regis Bottino - 04/03/2025 07:00:54</t>
  </si>
  <si>
    <t>Matheus César Azevedo Neto - 04/03/2025 07:04:13</t>
  </si>
  <si>
    <t>Edson Veloso - 05/03/2025 14:01:38</t>
  </si>
  <si>
    <t>Regis Bottino - 05/03/2025 14:08:18</t>
  </si>
  <si>
    <t>Matheus César Azevedo Neto - 05/03/2025 14:12:24</t>
  </si>
  <si>
    <t>Francisco Neto - 30/01/2025 09:03:26</t>
  </si>
  <si>
    <t>Matheus César Azevedo Neto - 30/01/2025 09:26:20</t>
  </si>
  <si>
    <t>Edson Veloso - 31/01/2025 15:28:22</t>
  </si>
  <si>
    <t>Francisco Neto - 03/02/2025 14:31:40</t>
  </si>
  <si>
    <t>Matheus César Azevedo Neto - 03/02/2025 14:46:35</t>
  </si>
  <si>
    <t>Edson Veloso - 04/02/2025 10:37:15</t>
  </si>
  <si>
    <t>Matheus César Azevedo Neto - 04/02/2025 15:17:02</t>
  </si>
  <si>
    <t>Edson Veloso - 03/03/2025 14:44:25</t>
  </si>
  <si>
    <t>Mariana Oliveira - 03/03/2025 18:03:36</t>
  </si>
  <si>
    <t>Regis Bottino - 04/03/2025 07:00:57</t>
  </si>
  <si>
    <t>Matheus César Azevedo Neto - 04/03/2025 07:03:37</t>
  </si>
  <si>
    <t>Edson Veloso - 05/03/2025 14:01:42</t>
  </si>
  <si>
    <t>Regis Bottino - 05/03/2025 14:08:15</t>
  </si>
  <si>
    <t>Matheus César Azevedo Neto - 05/03/2025 14:12:27</t>
  </si>
  <si>
    <t>Francisco Neto - 01/02/2025 09:47:01</t>
  </si>
  <si>
    <t>Matheus César Azevedo Neto - 01/02/2025 09:51:34</t>
  </si>
  <si>
    <t>Edson Veloso - 03/02/2025 14:29:25</t>
  </si>
  <si>
    <t>Francisco Neto - 03/02/2025 14:31:41</t>
  </si>
  <si>
    <t>Matheus César Azevedo Neto - 03/02/2025 14:46:43</t>
  </si>
  <si>
    <t>Edson Veloso - 04/02/2025 10:37:18</t>
  </si>
  <si>
    <t>Matheus César Azevedo Neto - 04/02/2025 15:17:05</t>
  </si>
  <si>
    <t>Edson Veloso - 03/03/2025 14:44:29</t>
  </si>
  <si>
    <t>Mariana Oliveira - 03/03/2025 18:03:24</t>
  </si>
  <si>
    <t>Regis Bottino - 04/03/2025 07:01:00</t>
  </si>
  <si>
    <t>Matheus César Azevedo Neto - 04/03/2025 07:04:16</t>
  </si>
  <si>
    <t>Edson Veloso - 07/03/2025 14:28:32</t>
  </si>
  <si>
    <t>Regis Bottino - 07/03/2025 14:36:46</t>
  </si>
  <si>
    <t>Matheus César Azevedo Neto - 07/03/2025 14:39:23</t>
  </si>
  <si>
    <t>Francisco Neto - 03/02/2025 14:23:17</t>
  </si>
  <si>
    <t>Matheus César Azevedo Neto - 03/02/2025 14:39:28</t>
  </si>
  <si>
    <t>Francisco Neto - 04/02/2025 12:16:27</t>
  </si>
  <si>
    <t>Rogerio Lombardi - 04/02/2025 15:07:37</t>
  </si>
  <si>
    <t>Matheus César Azevedo Neto - 04/02/2025 15:11:27</t>
  </si>
  <si>
    <t>Rogerio Lombardi - 04/02/2025 15:14:35</t>
  </si>
  <si>
    <t>Matheus César Azevedo Neto - 04/02/2025 15:18:07</t>
  </si>
  <si>
    <t>Rogerio Lombardi - 06/02/2025 11:24:15</t>
  </si>
  <si>
    <t>Carlito Evan Soares - 10/02/2025 14:35:50</t>
  </si>
  <si>
    <t>Matheus César Azevedo Neto - 10/02/2025 14:40:37</t>
  </si>
  <si>
    <t>Regis Bottino - 10/02/2025 14:52:59</t>
  </si>
  <si>
    <t>Rogerio Lombardi - 25/02/2025 08:14:36</t>
  </si>
  <si>
    <t>Regis Bottino - 06/03/2025 11:47:44</t>
  </si>
  <si>
    <t>Matheus César Azevedo Neto - 06/03/2025 18:27:55</t>
  </si>
  <si>
    <t>Francisco Neto - 28/01/2025 13:33:55</t>
  </si>
  <si>
    <t>Matheus César Azevedo Neto - 28/01/2025 15:34:44</t>
  </si>
  <si>
    <t>Rogerio Lombardi - 31/01/2025 11:16:38</t>
  </si>
  <si>
    <t>Francisco Neto - 03/02/2025 14:32:05</t>
  </si>
  <si>
    <t>Matheus César Azevedo Neto - 03/02/2025 14:46:51</t>
  </si>
  <si>
    <t>Rogerio Lombardi - 04/02/2025 15:10:19</t>
  </si>
  <si>
    <t>Matheus César Azevedo Neto - 04/02/2025 15:17:09</t>
  </si>
  <si>
    <t>Rogerio Lombardi - 06/02/2025 11:24:18</t>
  </si>
  <si>
    <t>Carlito Evan Soares - 10/02/2025 14:35:56</t>
  </si>
  <si>
    <t>Matheus César Azevedo Neto - 10/02/2025 14:40:49</t>
  </si>
  <si>
    <t>Regis Bottino - 10/02/2025 14:55:06</t>
  </si>
  <si>
    <t>Rogerio Lombardi - 20/02/2025 09:31:11</t>
  </si>
  <si>
    <t>Regis Bottino - 25/02/2025 09:05:20</t>
  </si>
  <si>
    <t>Matheus César Azevedo Neto - 25/02/2025 09:06:40</t>
  </si>
  <si>
    <t>Francisco Neto - 03/02/2025 14:23:22</t>
  </si>
  <si>
    <t>Matheus César Azevedo Neto - 03/02/2025 14:39:40</t>
  </si>
  <si>
    <t>Francisco Neto - 04/02/2025 12:16:30</t>
  </si>
  <si>
    <t>Rogerio Lombardi - 04/02/2025 15:08:12</t>
  </si>
  <si>
    <t>Matheus César Azevedo Neto - 04/02/2025 15:11:22</t>
  </si>
  <si>
    <t>Rogerio Lombardi - 04/02/2025 15:13:08</t>
  </si>
  <si>
    <t>Matheus César Azevedo Neto - 04/02/2025 15:17:11</t>
  </si>
  <si>
    <t>Rogerio Lombardi - 06/02/2025 11:24:21</t>
  </si>
  <si>
    <t>Carlito Evan Soares - 10/02/2025 14:36:01</t>
  </si>
  <si>
    <t>Matheus César Azevedo Neto - 10/02/2025 14:40:43</t>
  </si>
  <si>
    <t>Regis Bottino - 10/02/2025 14:53:17</t>
  </si>
  <si>
    <t>Rogerio Lombardi - 23/02/2025 17:10:36</t>
  </si>
  <si>
    <t>Regis Bottino - 25/02/2025 08:19:53</t>
  </si>
  <si>
    <t>Matheus César Azevedo Neto - 25/02/2025 08:22:49</t>
  </si>
  <si>
    <t>Francisco Neto - 03/02/2025 14:23:24</t>
  </si>
  <si>
    <t>Matheus César Azevedo Neto - 03/02/2025 14:39:30</t>
  </si>
  <si>
    <t>Francisco Neto - 04/02/2025 12:16:33</t>
  </si>
  <si>
    <t>Rogerio Lombardi - 04/02/2025 15:08:16</t>
  </si>
  <si>
    <t>Matheus César Azevedo Neto - 04/02/2025 15:11:14</t>
  </si>
  <si>
    <t>Rogerio Lombardi - 04/02/2025 15:13:11</t>
  </si>
  <si>
    <t>Matheus César Azevedo Neto - 04/02/2025 15:17:13</t>
  </si>
  <si>
    <t>Rogerio Lombardi - 06/02/2025 17:04:54</t>
  </si>
  <si>
    <t>Carlito Evan Soares - 10/02/2025 14:36:06</t>
  </si>
  <si>
    <t>Matheus César Azevedo Neto - 10/02/2025 14:40:55</t>
  </si>
  <si>
    <t>Regis Bottino - 10/02/2025 14:53:05</t>
  </si>
  <si>
    <t>Rogerio Lombardi - 20/02/2025 09:31:27</t>
  </si>
  <si>
    <t>Regis Bottino - 25/02/2025 08:19:56</t>
  </si>
  <si>
    <t>Matheus César Azevedo Neto - 25/02/2025 08:22:55</t>
  </si>
  <si>
    <t>Francisco Neto - 01/02/2025 09:47:09</t>
  </si>
  <si>
    <t>Matheus César Azevedo Neto - 01/02/2025 09:51:44</t>
  </si>
  <si>
    <t>Rogerio Lombardi - 03/02/2025 12:22:51</t>
  </si>
  <si>
    <t>Francisco Neto - 03/02/2025 14:32:09</t>
  </si>
  <si>
    <t>Matheus César Azevedo Neto - 03/02/2025 14:46:53</t>
  </si>
  <si>
    <t>Rogerio Lombardi - 04/02/2025 15:10:22</t>
  </si>
  <si>
    <t>Matheus César Azevedo Neto - 04/02/2025 15:17:15</t>
  </si>
  <si>
    <t>Rogerio Lombardi - 06/02/2025 17:04:57</t>
  </si>
  <si>
    <t>Carlito Evan Soares - 10/02/2025 14:36:11</t>
  </si>
  <si>
    <t>Matheus César Azevedo Neto - 10/02/2025 14:42:24</t>
  </si>
  <si>
    <t>Regis Bottino - 10/02/2025 14:53:12</t>
  </si>
  <si>
    <t>Rogerio Lombardi - 20/02/2025 09:31:30</t>
  </si>
  <si>
    <t>Regis Bottino - 25/02/2025 08:20:17</t>
  </si>
  <si>
    <t>Matheus César Azevedo Neto - 25/02/2025 08:22:52</t>
  </si>
  <si>
    <t>Francisco Neto - 30/01/2025 14:47:31</t>
  </si>
  <si>
    <t>Matheus César Azevedo Neto - 30/01/2025 15:52:23</t>
  </si>
  <si>
    <t>Rogerio Lombardi - 31/01/2025 11:16:46</t>
  </si>
  <si>
    <t>Francisco Neto - 03/02/2025 14:32:11</t>
  </si>
  <si>
    <t>Matheus César Azevedo Neto - 03/02/2025 14:47:22</t>
  </si>
  <si>
    <t>Rogerio Lombardi - 04/02/2025 15:14:47</t>
  </si>
  <si>
    <t>Matheus César Azevedo Neto - 04/02/2025 15:18:18</t>
  </si>
  <si>
    <t>Rogerio Lombardi - 06/02/2025 17:05:00</t>
  </si>
  <si>
    <t>Carlito Evan Soares - 10/02/2025 14:36:18</t>
  </si>
  <si>
    <t>Matheus César Azevedo Neto - 10/02/2025 14:41:02</t>
  </si>
  <si>
    <t>Regis Bottino - 10/02/2025 14:53:24</t>
  </si>
  <si>
    <t>Rogerio Lombardi - 23/02/2025 17:10:43</t>
  </si>
  <si>
    <t>Regis Bottino - 25/02/2025 08:20:20</t>
  </si>
  <si>
    <t>Matheus César Azevedo Neto - 25/02/2025 08:23:05</t>
  </si>
  <si>
    <t>Francisco Neto - 30/01/2025 09:03:52</t>
  </si>
  <si>
    <t>Matheus César Azevedo Neto - 30/01/2025 09:26:52</t>
  </si>
  <si>
    <t>Rogerio Lombardi - 31/01/2025 11:16:49</t>
  </si>
  <si>
    <t>Francisco Neto - 03/02/2025 14:32:12</t>
  </si>
  <si>
    <t>Matheus César Azevedo Neto - 03/02/2025 14:46:58</t>
  </si>
  <si>
    <t>Rogerio Lombardi - 04/02/2025 15:10:26</t>
  </si>
  <si>
    <t>Matheus César Azevedo Neto - 04/02/2025 15:17:16</t>
  </si>
  <si>
    <t>Rogerio Lombardi - 06/02/2025 17:05:04</t>
  </si>
  <si>
    <t>Carlito Evan Soares - 10/02/2025 14:36:37</t>
  </si>
  <si>
    <t>Matheus César Azevedo Neto - 10/02/2025 14:41:08</t>
  </si>
  <si>
    <t>Regis Bottino - 10/02/2025 14:53:57</t>
  </si>
  <si>
    <t>Rogerio Lombardi - 25/02/2025 08:14:41</t>
  </si>
  <si>
    <t>Regis Bottino - 06/03/2025 11:47:50</t>
  </si>
  <si>
    <t>Matheus César Azevedo Neto - 06/03/2025 18:22:49</t>
  </si>
  <si>
    <t>Francisco Neto - 27/01/2025 12:50:56</t>
  </si>
  <si>
    <t>Matheus César Azevedo Neto - 28/01/2025 07:29:39</t>
  </si>
  <si>
    <t>Rogerio Lombardi - 31/01/2025 11:16:43</t>
  </si>
  <si>
    <t>Francisco Neto - 03/02/2025 14:32:07</t>
  </si>
  <si>
    <t>Matheus César Azevedo Neto - 03/02/2025 14:46:55</t>
  </si>
  <si>
    <t>Rogerio Lombardi - 04/02/2025 15:10:08</t>
  </si>
  <si>
    <t>Matheus César Azevedo Neto - 04/02/2025 15:18:10</t>
  </si>
  <si>
    <t>Rogerio Lombardi - 06/02/2025 17:05:06</t>
  </si>
  <si>
    <t>Carlito Evan Soares - 10/02/2025 14:37:23</t>
  </si>
  <si>
    <t>Matheus César Azevedo Neto - 10/02/2025 14:41:15</t>
  </si>
  <si>
    <t>Regis Bottino - 10/02/2025 14:53:46</t>
  </si>
  <si>
    <t>Rogerio Lombardi - 20/02/2025 09:31:23</t>
  </si>
  <si>
    <t>Regis Bottino - 25/02/2025 08:20:35</t>
  </si>
  <si>
    <t>Matheus César Azevedo Neto - 25/02/2025 08:22:46</t>
  </si>
  <si>
    <t>Francisco Neto - 03/02/2025 14:23:18</t>
  </si>
  <si>
    <t>Matheus César Azevedo Neto - 03/02/2025 14:39:36</t>
  </si>
  <si>
    <t>Francisco Neto - 04/02/2025 12:16:36</t>
  </si>
  <si>
    <t>Rogerio Lombardi - 04/02/2025 15:07:48</t>
  </si>
  <si>
    <t>Matheus César Azevedo Neto - 04/02/2025 15:11:16</t>
  </si>
  <si>
    <t>Rogerio Lombardi - 04/02/2025 15:13:14</t>
  </si>
  <si>
    <t>Matheus César Azevedo Neto - 04/02/2025 15:17:18</t>
  </si>
  <si>
    <t>Rogerio Lombardi - 06/02/2025 17:05:09</t>
  </si>
  <si>
    <t>Carlito Evan Soares - 10/02/2025 14:37:28</t>
  </si>
  <si>
    <t>Matheus César Azevedo Neto - 10/02/2025 14:41:22</t>
  </si>
  <si>
    <t>Regis Bottino - 10/02/2025 14:53:51</t>
  </si>
  <si>
    <t>Rogerio Lombardi - 23/02/2025 17:10:47</t>
  </si>
  <si>
    <t>Regis Bottino - 25/02/2025 08:20:13</t>
  </si>
  <si>
    <t>Matheus César Azevedo Neto - 25/02/2025 08:22:59</t>
  </si>
  <si>
    <t>Francisco Neto - 30/01/2025 14:47:41</t>
  </si>
  <si>
    <t>Matheus César Azevedo Neto - 30/01/2025 15:52:35</t>
  </si>
  <si>
    <t>Rogerio Lombardi - 31/01/2025 11:16:58</t>
  </si>
  <si>
    <t>Francisco Neto - 03/02/2025 14:32:48</t>
  </si>
  <si>
    <t>Matheus César Azevedo Neto - 03/02/2025 14:47:01</t>
  </si>
  <si>
    <t>Rogerio Lombardi - 04/02/2025 15:10:29</t>
  </si>
  <si>
    <t>Matheus César Azevedo Neto - 04/02/2025 15:17:20</t>
  </si>
  <si>
    <t>Rogerio Lombardi - 06/02/2025 17:05:12</t>
  </si>
  <si>
    <t>Carlito Evan Soares - 10/02/2025 14:37:32</t>
  </si>
  <si>
    <t>Matheus César Azevedo Neto - 10/02/2025 14:41:28</t>
  </si>
  <si>
    <t>Regis Bottino - 10/02/2025 14:54:10</t>
  </si>
  <si>
    <t>Rogerio Lombardi - 25/02/2025 08:14:38</t>
  </si>
  <si>
    <t>Regis Bottino - 06/03/2025 11:47:55</t>
  </si>
  <si>
    <t>Matheus César Azevedo Neto - 06/03/2025 18:27:58</t>
  </si>
  <si>
    <t>Francisco Neto - 30/01/2025 14:47:43</t>
  </si>
  <si>
    <t>Matheus César Azevedo Neto - 30/01/2025 15:52:31</t>
  </si>
  <si>
    <t>Rogerio Lombardi - 31/01/2025 11:17:01</t>
  </si>
  <si>
    <t>Francisco Neto - 03/02/2025 14:32:50</t>
  </si>
  <si>
    <t>Matheus César Azevedo Neto - 03/02/2025 14:47:03</t>
  </si>
  <si>
    <t>Rogerio Lombardi - 04/02/2025 15:10:45</t>
  </si>
  <si>
    <t>Matheus César Azevedo Neto - 04/02/2025 15:17:22</t>
  </si>
  <si>
    <t>Rogerio Lombardi - 06/02/2025 17:05:15</t>
  </si>
  <si>
    <t>Carlito Evan Soares - 10/02/2025 14:37:37</t>
  </si>
  <si>
    <t>Matheus César Azevedo Neto - 10/02/2025 14:41:40</t>
  </si>
  <si>
    <t>Regis Bottino - 10/02/2025 14:54:05</t>
  </si>
  <si>
    <t>Rogerio Lombardi - 25/02/2025 08:14:58</t>
  </si>
  <si>
    <t>Regis Bottino - 06/03/2025 11:47:59</t>
  </si>
  <si>
    <t>Matheus César Azevedo Neto - 06/03/2025 18:28:01</t>
  </si>
  <si>
    <t>Francisco Neto - 30/01/2025 14:47:46</t>
  </si>
  <si>
    <t>Matheus César Azevedo Neto - 30/01/2025 15:52:39</t>
  </si>
  <si>
    <t>Rogerio Lombardi - 31/01/2025 11:17:03</t>
  </si>
  <si>
    <t>Francisco Neto - 03/02/2025 14:32:52</t>
  </si>
  <si>
    <t>Matheus César Azevedo Neto - 03/02/2025 14:47:06</t>
  </si>
  <si>
    <t>Rogerio Lombardi - 04/02/2025 15:10:49</t>
  </si>
  <si>
    <t>Matheus César Azevedo Neto - 04/02/2025 15:17:23</t>
  </si>
  <si>
    <t>Rogerio Lombardi - 06/02/2025 17:05:29</t>
  </si>
  <si>
    <t>Carlito Evan Soares - 10/02/2025 14:37:41</t>
  </si>
  <si>
    <t>Matheus César Azevedo Neto - 10/02/2025 14:41:46</t>
  </si>
  <si>
    <t>Regis Bottino - 10/02/2025 14:54:15</t>
  </si>
  <si>
    <t>Rogerio Lombardi - 25/02/2025 08:14:44</t>
  </si>
  <si>
    <t>Regis Bottino - 06/03/2025 11:48:03</t>
  </si>
  <si>
    <t>Matheus César Azevedo Neto - 06/03/2025 18:28:05</t>
  </si>
  <si>
    <t>Francisco Neto - 30/01/2025 09:03:49</t>
  </si>
  <si>
    <t>Matheus César Azevedo Neto - 30/01/2025 09:26:55</t>
  </si>
  <si>
    <t>Rogerio Lombardi - 31/01/2025 11:16:19</t>
  </si>
  <si>
    <t>Francisco Neto - 03/02/2025 14:31:44</t>
  </si>
  <si>
    <t>Matheus César Azevedo Neto - 03/02/2025 14:48:23</t>
  </si>
  <si>
    <t>Rogerio Lombardi - 04/02/2025 15:10:55</t>
  </si>
  <si>
    <t>Matheus César Azevedo Neto - 04/02/2025 15:18:20</t>
  </si>
  <si>
    <t>Rogerio Lombardi - 06/02/2025 17:05:32</t>
  </si>
  <si>
    <t>Carlito Evan Soares - 10/02/2025 14:37:46</t>
  </si>
  <si>
    <t>Matheus César Azevedo Neto - 10/02/2025 14:41:51</t>
  </si>
  <si>
    <t>Regis Bottino - 10/02/2025 14:54:41</t>
  </si>
  <si>
    <t>Rogerio Lombardi - 23/02/2025 17:11:14</t>
  </si>
  <si>
    <t>Regis Bottino - 25/02/2025 08:20:00</t>
  </si>
  <si>
    <t>Matheus César Azevedo Neto - 25/02/2025 08:23:02</t>
  </si>
  <si>
    <t>Francisco Neto - 30/01/2025 09:04:13</t>
  </si>
  <si>
    <t>Matheus César Azevedo Neto - 30/01/2025 09:27:36</t>
  </si>
  <si>
    <t>Rogerio Lombardi - 31/01/2025 11:18:54</t>
  </si>
  <si>
    <t>Francisco Neto - 03/02/2025 14:32:53</t>
  </si>
  <si>
    <t>Matheus César Azevedo Neto - 03/02/2025 14:47:08</t>
  </si>
  <si>
    <t>Rogerio Lombardi - 04/02/2025 15:10:58</t>
  </si>
  <si>
    <t>Matheus César Azevedo Neto - 04/02/2025 15:17:32</t>
  </si>
  <si>
    <t>Rogerio Lombardi - 06/02/2025 17:05:36</t>
  </si>
  <si>
    <t>Carlito Evan Soares - 10/02/2025 14:37:50</t>
  </si>
  <si>
    <t>Matheus César Azevedo Neto - 10/02/2025 14:41:58</t>
  </si>
  <si>
    <t>Regis Bottino - 10/02/2025 14:54:21</t>
  </si>
  <si>
    <t>Rogerio Lombardi - 20/02/2025 09:31:20</t>
  </si>
  <si>
    <t>Regis Bottino - 25/02/2025 09:10:45</t>
  </si>
  <si>
    <t>Matheus César Azevedo Neto - 25/02/2025 09:12:50</t>
  </si>
  <si>
    <t>Francisco Neto - 30/01/2025 09:03:54</t>
  </si>
  <si>
    <t>Matheus César Azevedo Neto - 30/01/2025 09:26:58</t>
  </si>
  <si>
    <t>Rogerio Lombardi - 31/01/2025 11:17:09</t>
  </si>
  <si>
    <t>Francisco Neto - 03/02/2025 14:32:55</t>
  </si>
  <si>
    <t>Matheus César Azevedo Neto - 03/02/2025 14:47:10</t>
  </si>
  <si>
    <t>Rogerio Lombardi - 04/02/2025 15:11:01</t>
  </si>
  <si>
    <t>Matheus César Azevedo Neto - 04/02/2025 15:17:34</t>
  </si>
  <si>
    <t>Rogerio Lombardi - 06/02/2025 17:05:39</t>
  </si>
  <si>
    <t>Carlito Evan Soares - 10/02/2025 14:37:54</t>
  </si>
  <si>
    <t>Matheus César Azevedo Neto - 10/02/2025 14:42:04</t>
  </si>
  <si>
    <t>Regis Bottino - 10/02/2025 14:54:51</t>
  </si>
  <si>
    <t>Rogerio Lombardi - 25/02/2025 08:14:46</t>
  </si>
  <si>
    <t>Regis Bottino - 06/03/2025 11:48:06</t>
  </si>
  <si>
    <t>Matheus César Azevedo Neto - 06/03/2025 18:22:55</t>
  </si>
  <si>
    <t>Francisco Neto - 30/01/2025 14:47:36</t>
  </si>
  <si>
    <t>Matheus César Azevedo Neto - 30/01/2025 15:52:54</t>
  </si>
  <si>
    <t>Rogerio Lombardi - 31/01/2025 11:17:12</t>
  </si>
  <si>
    <t>Francisco Neto - 03/02/2025 14:32:56</t>
  </si>
  <si>
    <t>Matheus César Azevedo Neto - 03/02/2025 14:47:13</t>
  </si>
  <si>
    <t>Rogerio Lombardi - 04/02/2025 15:14:50</t>
  </si>
  <si>
    <t>Matheus César Azevedo Neto - 04/02/2025 15:18:12</t>
  </si>
  <si>
    <t>Rogerio Lombardi - 06/02/2025 17:05:42</t>
  </si>
  <si>
    <t>Carlito Evan Soares - 10/02/2025 14:38:00</t>
  </si>
  <si>
    <t>Matheus César Azevedo Neto - 10/02/2025 14:42:09</t>
  </si>
  <si>
    <t>Regis Bottino - 10/02/2025 14:54:46</t>
  </si>
  <si>
    <t>Rogerio Lombardi - 23/02/2025 17:10:51</t>
  </si>
  <si>
    <t>Regis Bottino - 25/02/2025 08:20:09</t>
  </si>
  <si>
    <t>Matheus César Azevedo Neto - 25/02/2025 08:23:11</t>
  </si>
  <si>
    <t>Francisco Neto - 30/01/2025 14:47:39</t>
  </si>
  <si>
    <t>Matheus César Azevedo Neto - 30/01/2025 15:52:27</t>
  </si>
  <si>
    <t>Rogerio Lombardi - 31/01/2025 11:17:15</t>
  </si>
  <si>
    <t>Francisco Neto - 03/02/2025 14:32:58</t>
  </si>
  <si>
    <t>Matheus César Azevedo Neto - 03/02/2025 14:47:16</t>
  </si>
  <si>
    <t>Rogerio Lombardi - 04/02/2025 15:12:02</t>
  </si>
  <si>
    <t>Matheus César Azevedo Neto - 04/02/2025 15:18:32</t>
  </si>
  <si>
    <t>Rogerio Lombardi - 06/02/2025 17:05:46</t>
  </si>
  <si>
    <t>Carlito Evan Soares - 10/02/2025 14:38:07</t>
  </si>
  <si>
    <t>Matheus César Azevedo Neto - 10/02/2025 14:42:18</t>
  </si>
  <si>
    <t>Regis Bottino - 10/02/2025 14:54:56</t>
  </si>
  <si>
    <t>Rogerio Lombardi - 23/02/2025 17:10:59</t>
  </si>
  <si>
    <t>Regis Bottino - 25/02/2025 08:20:03</t>
  </si>
  <si>
    <t>Matheus César Azevedo Neto - 25/02/2025 08:23:08</t>
  </si>
  <si>
    <t>Francisco Neto - 27/01/2025 09:09:49</t>
  </si>
  <si>
    <t>Matheus César Azevedo Neto - 27/01/2025 11:00:58</t>
  </si>
  <si>
    <t>Rogerio Lombardi - 31/01/2025 11:16:32</t>
  </si>
  <si>
    <t>Francisco Neto - 03/02/2025 14:14:55</t>
  </si>
  <si>
    <t>Matheus César Azevedo Neto - 03/02/2025 14:15:16</t>
  </si>
  <si>
    <t>Rogerio Lombardi - 03/02/2025 14:23:03</t>
  </si>
  <si>
    <t>Matheus César Azevedo Neto - 03/02/2025 14:49:25</t>
  </si>
  <si>
    <t>Rogerio Lombardi - 06/02/2025 17:05:54</t>
  </si>
  <si>
    <t>Carlito Evan Soares - 10/02/2025 14:38:11</t>
  </si>
  <si>
    <t>Matheus César Azevedo Neto - 10/02/2025 14:44:05</t>
  </si>
  <si>
    <t>Regis Bottino - 10/02/2025 14:54:26</t>
  </si>
  <si>
    <t>Rogerio Lombardi - 20/02/2025 09:31:14</t>
  </si>
  <si>
    <t>Regis Bottino - 25/02/2025 09:10:58</t>
  </si>
  <si>
    <t>Matheus César Azevedo Neto - 25/02/2025 09:12:40</t>
  </si>
  <si>
    <t>Francisco Neto - 27/01/2025 12:50:53</t>
  </si>
  <si>
    <t>Matheus César Azevedo Neto - 28/01/2025 07:29:35</t>
  </si>
  <si>
    <t>Rogerio Lombardi - 31/01/2025 11:16:26</t>
  </si>
  <si>
    <t>Francisco Neto - 03/02/2025 14:14:44</t>
  </si>
  <si>
    <t>Matheus César Azevedo Neto - 03/02/2025 14:15:11</t>
  </si>
  <si>
    <t>Rogerio Lombardi - 03/02/2025 14:23:11</t>
  </si>
  <si>
    <t>Matheus César Azevedo Neto - 03/02/2025 14:49:23</t>
  </si>
  <si>
    <t>Rogerio Lombardi - 06/02/2025 17:05:57</t>
  </si>
  <si>
    <t>Carlito Evan Soares - 10/02/2025 14:38:15</t>
  </si>
  <si>
    <t>Matheus César Azevedo Neto - 10/02/2025 14:42:31</t>
  </si>
  <si>
    <t>Regis Bottino - 10/02/2025 14:54:31</t>
  </si>
  <si>
    <t>Rogerio Lombardi - 20/02/2025 09:31:17</t>
  </si>
  <si>
    <t>Regis Bottino - 25/02/2025 09:11:01</t>
  </si>
  <si>
    <t>Matheus César Azevedo Neto - 25/02/2025 09:12:44</t>
  </si>
  <si>
    <t>Francisco Neto - 27/01/2025 09:09:44</t>
  </si>
  <si>
    <t>Matheus César Azevedo Neto - 27/01/2025 11:00:44</t>
  </si>
  <si>
    <t>Rogerio Lombardi - 31/01/2025 11:16:41</t>
  </si>
  <si>
    <t>Francisco Neto - 03/02/2025 14:15:05</t>
  </si>
  <si>
    <t>Matheus César Azevedo Neto - 03/02/2025 14:15:19</t>
  </si>
  <si>
    <t>Rogerio Lombardi - 03/02/2025 14:23:15</t>
  </si>
  <si>
    <t>Matheus César Azevedo Neto - 03/02/2025 14:49:27</t>
  </si>
  <si>
    <t>Rogerio Lombardi - 06/02/2025 17:06:18</t>
  </si>
  <si>
    <t>Carlito Evan Soares - 10/02/2025 14:38:19</t>
  </si>
  <si>
    <t>Matheus César Azevedo Neto - 10/02/2025 14:42:40</t>
  </si>
  <si>
    <t>Regis Bottino - 10/02/2025 14:54:36</t>
  </si>
  <si>
    <t>Rogerio Lombardi - 20/02/2025 09:31:07</t>
  </si>
  <si>
    <t>Regis Bottino - 25/02/2025 09:11:05</t>
  </si>
  <si>
    <t>Matheus César Azevedo Neto - 25/02/2025 09:12:37</t>
  </si>
  <si>
    <t>Francisco Neto - 30/01/2025 09:04:20</t>
  </si>
  <si>
    <t>Matheus César Azevedo Neto - 30/01/2025 09:27:46</t>
  </si>
  <si>
    <t>Rogerio Lombardi - 31/01/2025 11:17:18</t>
  </si>
  <si>
    <t>Francisco Neto - 03/02/2025 14:33:00</t>
  </si>
  <si>
    <t>Matheus César Azevedo Neto - 03/02/2025 14:47:24</t>
  </si>
  <si>
    <t>Rogerio Lombardi - 04/02/2025 15:14:53</t>
  </si>
  <si>
    <t>Matheus César Azevedo Neto - 04/02/2025 15:18:14</t>
  </si>
  <si>
    <t>Rogerio Lombardi - 06/02/2025 17:06:23</t>
  </si>
  <si>
    <t>Carlito Evan Soares - 10/02/2025 14:38:46</t>
  </si>
  <si>
    <t>Matheus César Azevedo Neto - 10/02/2025 14:42:50</t>
  </si>
  <si>
    <t>Regis Bottino - 10/02/2025 14:55:01</t>
  </si>
  <si>
    <t>Rogerio Lombardi - 25/02/2025 08:14:49</t>
  </si>
  <si>
    <t>Regis Bottino - 25/02/2025 09:33:47</t>
  </si>
  <si>
    <t>Matheus César Azevedo Neto - 25/02/2025 09:34:59</t>
  </si>
  <si>
    <t>Francisco Neto - 03/02/2025 14:23:25</t>
  </si>
  <si>
    <t>Matheus César Azevedo Neto - 03/02/2025 14:39:32</t>
  </si>
  <si>
    <t>Francisco Neto - 04/02/2025 12:16:39</t>
  </si>
  <si>
    <t>Rogerio Lombardi - 04/02/2025 15:07:53</t>
  </si>
  <si>
    <t>Matheus César Azevedo Neto - 04/02/2025 15:11:19</t>
  </si>
  <si>
    <t>Rogerio Lombardi - 04/02/2025 15:14:57</t>
  </si>
  <si>
    <t>Matheus César Azevedo Neto - 04/02/2025 15:18:28</t>
  </si>
  <si>
    <t>Rogerio Lombardi - 06/02/2025 17:06:27</t>
  </si>
  <si>
    <t>Carlito Evan Soares - 10/02/2025 14:38:50</t>
  </si>
  <si>
    <t>Matheus César Azevedo Neto - 10/02/2025 14:43:35</t>
  </si>
  <si>
    <t>Regis Bottino - 10/02/2025 14:55:11</t>
  </si>
  <si>
    <t>Rogerio Lombardi - 25/02/2025 08:15:29</t>
  </si>
  <si>
    <t>Regis Bottino - 25/02/2025 09:11:16</t>
  </si>
  <si>
    <t>Matheus César Azevedo Neto - 25/02/2025 09:12:47</t>
  </si>
  <si>
    <t>Francisco Neto - 03/02/2025 14:23:20</t>
  </si>
  <si>
    <t>Matheus César Azevedo Neto - 03/02/2025 14:39:38</t>
  </si>
  <si>
    <t>Francisco Neto - 04/02/2025 12:16:43</t>
  </si>
  <si>
    <t>Rogerio Lombardi - 04/02/2025 15:07:56</t>
  </si>
  <si>
    <t>Matheus César Azevedo Neto - 04/02/2025 15:11:24</t>
  </si>
  <si>
    <t>Rogerio Lombardi - 04/02/2025 15:15:00</t>
  </si>
  <si>
    <t>Matheus César Azevedo Neto - 04/02/2025 15:18:24</t>
  </si>
  <si>
    <t>Rogerio Lombardi - 06/02/2025 17:06:33</t>
  </si>
  <si>
    <t>Carlito Evan Soares - 10/02/2025 14:38:23</t>
  </si>
  <si>
    <t>Matheus César Azevedo Neto - 10/02/2025 14:43:41</t>
  </si>
  <si>
    <t>Regis Bottino - 10/02/2025 14:56:20</t>
  </si>
  <si>
    <t>Rogerio Lombardi - 23/02/2025 17:10:55</t>
  </si>
  <si>
    <t>Regis Bottino - 25/02/2025 08:20:06</t>
  </si>
  <si>
    <t>Matheus César Azevedo Neto - 25/02/2025 08:23:23</t>
  </si>
  <si>
    <t>Francisco Neto - 30/01/2025 14:47:50</t>
  </si>
  <si>
    <t>Matheus César Azevedo Neto - 30/01/2025 15:52:50</t>
  </si>
  <si>
    <t>Rogerio Lombardi - 31/01/2025 11:16:35</t>
  </si>
  <si>
    <t>Francisco Neto - 03/02/2025 14:31:57</t>
  </si>
  <si>
    <t>Matheus César Azevedo Neto - 03/02/2025 14:48:36</t>
  </si>
  <si>
    <t>Rogerio Lombardi - 04/02/2025 15:11:04</t>
  </si>
  <si>
    <t>Matheus César Azevedo Neto - 04/02/2025 15:17:36</t>
  </si>
  <si>
    <t>Rogerio Lombardi - 06/02/2025 17:06:36</t>
  </si>
  <si>
    <t>Carlito Evan Soares - 10/02/2025 14:38:27</t>
  </si>
  <si>
    <t>Matheus César Azevedo Neto - 10/02/2025 14:43:47</t>
  </si>
  <si>
    <t>Regis Bottino - 10/02/2025 14:55:51</t>
  </si>
  <si>
    <t>Rogerio Lombardi - 25/02/2025 08:15:24</t>
  </si>
  <si>
    <t>Regis Bottino - 06/03/2025 11:48:21</t>
  </si>
  <si>
    <t>Matheus César Azevedo Neto - 06/03/2025 18:28:08</t>
  </si>
  <si>
    <t>Francisco Neto - 31/01/2025 12:00:35</t>
  </si>
  <si>
    <t>Matheus César Azevedo Neto - 31/01/2025 12:11:49</t>
  </si>
  <si>
    <t>Rogerio Lombardi - 31/01/2025 13:15:59</t>
  </si>
  <si>
    <t>Francisco Neto - 03/02/2025 14:33:01</t>
  </si>
  <si>
    <t>Matheus César Azevedo Neto - 03/02/2025 14:48:26</t>
  </si>
  <si>
    <t>Rogerio Lombardi - 04/02/2025 15:11:07</t>
  </si>
  <si>
    <t>Matheus César Azevedo Neto - 04/02/2025 15:17:38</t>
  </si>
  <si>
    <t>Rogerio Lombardi - 06/02/2025 17:06:40</t>
  </si>
  <si>
    <t>Carlito Evan Soares - 10/02/2025 14:38:54</t>
  </si>
  <si>
    <t>Matheus César Azevedo Neto - 10/02/2025 14:43:53</t>
  </si>
  <si>
    <t>Regis Bottino - 10/02/2025 14:55:47</t>
  </si>
  <si>
    <t>Rogerio Lombardi - 25/02/2025 08:14:52</t>
  </si>
  <si>
    <t>Regis Bottino - 06/03/2025 11:48:10</t>
  </si>
  <si>
    <t>Matheus César Azevedo Neto - 06/03/2025 18:22:59</t>
  </si>
  <si>
    <t>Francisco Neto - 30/01/2025 09:03:56</t>
  </si>
  <si>
    <t>Matheus César Azevedo Neto - 30/01/2025 09:27:02</t>
  </si>
  <si>
    <t>Rogerio Lombardi - 31/01/2025 11:17:21</t>
  </si>
  <si>
    <t>Francisco Neto - 03/02/2025 14:33:03</t>
  </si>
  <si>
    <t>Matheus César Azevedo Neto - 03/02/2025 14:47:27</t>
  </si>
  <si>
    <t>Rogerio Lombardi - 04/02/2025 15:12:06</t>
  </si>
  <si>
    <t>Matheus César Azevedo Neto - 04/02/2025 15:18:22</t>
  </si>
  <si>
    <t>Rogerio Lombardi - 06/02/2025 17:06:42</t>
  </si>
  <si>
    <t>Carlito Evan Soares - 10/02/2025 14:38:58</t>
  </si>
  <si>
    <t>Matheus César Azevedo Neto - 10/02/2025 14:43:59</t>
  </si>
  <si>
    <t>Regis Bottino - 10/02/2025 14:55:56</t>
  </si>
  <si>
    <t>Rogerio Lombardi - 23/02/2025 17:11:03</t>
  </si>
  <si>
    <t>Regis Bottino - 25/02/2025 08:20:29</t>
  </si>
  <si>
    <t>Matheus César Azevedo Neto - 25/02/2025 08:23:14</t>
  </si>
  <si>
    <t>Peneira Vlc</t>
  </si>
  <si>
    <t>Francisco Neto - 03/02/2025 14:23:27</t>
  </si>
  <si>
    <t>Matheus César Azevedo Neto - 03/02/2025 14:39:34</t>
  </si>
  <si>
    <t>Francisco Neto - 04/02/2025 12:16:45</t>
  </si>
  <si>
    <t>Rogerio Lombardi - 04/02/2025 15:08:01</t>
  </si>
  <si>
    <t>Matheus César Azevedo Neto - 04/02/2025 15:11:30</t>
  </si>
  <si>
    <t>Rogerio Lombardi - 04/02/2025 15:14:23</t>
  </si>
  <si>
    <t>Matheus César Azevedo Neto - 04/02/2025 15:17:39</t>
  </si>
  <si>
    <t>Rogerio Lombardi - 06/02/2025 17:06:46</t>
  </si>
  <si>
    <t>Carlito Evan Soares - 10/02/2025 14:39:04</t>
  </si>
  <si>
    <t>Matheus César Azevedo Neto - 10/02/2025 14:44:57</t>
  </si>
  <si>
    <t>Regis Bottino - 10/02/2025 14:56:06</t>
  </si>
  <si>
    <t>Rogerio Lombardi - 25/02/2025 08:14:55</t>
  </si>
  <si>
    <t>Regis Bottino - 06/03/2025 11:48:13</t>
  </si>
  <si>
    <t>Matheus César Azevedo Neto - 06/03/2025 18:23:03</t>
  </si>
  <si>
    <t>Francisco Neto - 30/01/2025 09:03:58</t>
  </si>
  <si>
    <t>Matheus César Azevedo Neto - 30/01/2025 09:27:05</t>
  </si>
  <si>
    <t>Rogerio Lombardi - 31/01/2025 11:17:24</t>
  </si>
  <si>
    <t>Francisco Neto - 03/02/2025 14:33:04</t>
  </si>
  <si>
    <t>Matheus César Azevedo Neto - 03/02/2025 14:47:30</t>
  </si>
  <si>
    <t>Rogerio Lombardi - 04/02/2025 15:11:10</t>
  </si>
  <si>
    <t>Matheus César Azevedo Neto - 04/02/2025 15:17:41</t>
  </si>
  <si>
    <t>Rogerio Lombardi - 06/02/2025 17:06:50</t>
  </si>
  <si>
    <t>Carlito Evan Soares - 10/02/2025 14:39:08</t>
  </si>
  <si>
    <t>Matheus César Azevedo Neto - 10/02/2025 14:44:11</t>
  </si>
  <si>
    <t>Regis Bottino - 10/02/2025 14:55:43</t>
  </si>
  <si>
    <t>Rogerio Lombardi - 07/03/2025 14:33:28</t>
  </si>
  <si>
    <t>Regis Bottino - 07/03/2025 14:37:25</t>
  </si>
  <si>
    <t>Matheus César Azevedo Neto - 07/03/2025 14:39:06</t>
  </si>
  <si>
    <t>Francisco Neto - 30/01/2025 09:04:25</t>
  </si>
  <si>
    <t>Matheus César Azevedo Neto - 30/01/2025 09:27:50</t>
  </si>
  <si>
    <t>Rogerio Lombardi - 31/01/2025 11:17:28</t>
  </si>
  <si>
    <t>Francisco Neto - 03/02/2025 14:33:08</t>
  </si>
  <si>
    <t>Matheus César Azevedo Neto - 03/02/2025 14:47:39</t>
  </si>
  <si>
    <t>Rogerio Lombardi - 04/02/2025 15:11:14</t>
  </si>
  <si>
    <t>Matheus César Azevedo Neto - 04/02/2025 15:17:43</t>
  </si>
  <si>
    <t>Rogerio Lombardi - 06/02/2025 17:06:55</t>
  </si>
  <si>
    <t>Carlito Evan Soares - 10/02/2025 14:39:12</t>
  </si>
  <si>
    <t>Matheus César Azevedo Neto - 10/02/2025 14:44:17</t>
  </si>
  <si>
    <t>Regis Bottino - 10/02/2025 14:56:01</t>
  </si>
  <si>
    <t>Rogerio Lombardi - 23/02/2025 17:11:07</t>
  </si>
  <si>
    <t>Regis Bottino - 25/02/2025 08:20:23</t>
  </si>
  <si>
    <t>Matheus César Azevedo Neto - 25/02/2025 08:23:17</t>
  </si>
  <si>
    <t>Francisco Neto - 31/01/2025 12:00:38</t>
  </si>
  <si>
    <t>Matheus César Azevedo Neto - 31/01/2025 12:11:53</t>
  </si>
  <si>
    <t>Rogerio Lombardi - 31/01/2025 13:16:03</t>
  </si>
  <si>
    <t>Francisco Neto - 03/02/2025 14:33:09</t>
  </si>
  <si>
    <t>Matheus César Azevedo Neto - 03/02/2025 14:47:33</t>
  </si>
  <si>
    <t>Rogerio Lombardi - 04/02/2025 15:11:17</t>
  </si>
  <si>
    <t>Matheus César Azevedo Neto - 04/02/2025 15:17:45</t>
  </si>
  <si>
    <t>Rogerio Lombardi - 06/02/2025 17:07:00</t>
  </si>
  <si>
    <t>Carlito Evan Soares - 10/02/2025 14:39:21</t>
  </si>
  <si>
    <t>Matheus César Azevedo Neto - 10/02/2025 14:44:23</t>
  </si>
  <si>
    <t>Regis Bottino - 10/02/2025 14:56:11</t>
  </si>
  <si>
    <t>Rogerio Lombardi - 20/02/2025 09:31:36</t>
  </si>
  <si>
    <t>Regis Bottino - 25/02/2025 09:41:49</t>
  </si>
  <si>
    <t>Matheus César Azevedo Neto - 25/02/2025 09:42:35</t>
  </si>
  <si>
    <t>Francisco Neto - 30/01/2025 09:05:03</t>
  </si>
  <si>
    <t>Matheus César Azevedo Neto - 30/01/2025 09:27:56</t>
  </si>
  <si>
    <t>Rogerio Lombardi - 31/01/2025 11:16:29</t>
  </si>
  <si>
    <t>Matheus César Azevedo Neto - 03/02/2025 13:44:06</t>
  </si>
  <si>
    <t>5414c057_BC9237,8780ba6d_BC9237,62566266_BC9237</t>
  </si>
  <si>
    <t>Rogerio Lombardi - 03/02/2025 14:23:19</t>
  </si>
  <si>
    <t>Matheus César Azevedo Neto - 03/02/2025 14:49:29</t>
  </si>
  <si>
    <t>Rogerio Lombardi - 06/02/2025 17:07:05</t>
  </si>
  <si>
    <t>Carlito Evan Soares - 10/02/2025 14:39:24</t>
  </si>
  <si>
    <t>Matheus César Azevedo Neto - 10/02/2025 14:44:31</t>
  </si>
  <si>
    <t>Regis Bottino - 10/02/2025 14:56:16</t>
  </si>
  <si>
    <t>Rogerio Lombardi - 20/02/2025 09:31:38</t>
  </si>
  <si>
    <t>Regis Bottino - 06/03/2025 11:48:28</t>
  </si>
  <si>
    <t>Matheus César Azevedo Neto - 06/03/2025 18:28:11</t>
  </si>
  <si>
    <t>Francisco Neto - 30/01/2025 09:04:15</t>
  </si>
  <si>
    <t>Matheus César Azevedo Neto - 30/01/2025 09:27:39</t>
  </si>
  <si>
    <t>Rogerio Lombardi - 31/01/2025 11:17:31</t>
  </si>
  <si>
    <t>Francisco Neto - 03/02/2025 14:33:11</t>
  </si>
  <si>
    <t>Matheus César Azevedo Neto - 03/02/2025 14:47:36</t>
  </si>
  <si>
    <t>Rogerio Lombardi - 04/02/2025 15:11:27</t>
  </si>
  <si>
    <t>Matheus César Azevedo Neto - 04/02/2025 15:17:47</t>
  </si>
  <si>
    <t>Rogerio Lombardi - 06/02/2025 17:07:08</t>
  </si>
  <si>
    <t>Carlito Evan Soares - 10/02/2025 14:39:28</t>
  </si>
  <si>
    <t>Matheus César Azevedo Neto - 10/02/2025 14:44:39</t>
  </si>
  <si>
    <t>Regis Bottino - 10/02/2025 14:56:35</t>
  </si>
  <si>
    <t>Rogerio Lombardi - 25/02/2025 08:15:01</t>
  </si>
  <si>
    <t>Regis Bottino - 06/03/2025 11:48:17</t>
  </si>
  <si>
    <t>Matheus César Azevedo Neto - 06/03/2025 18:23:07</t>
  </si>
  <si>
    <t>Francisco Neto - 30/01/2025 09:04:10</t>
  </si>
  <si>
    <t>Matheus César Azevedo Neto - 30/01/2025 09:27:32</t>
  </si>
  <si>
    <t>Rogerio Lombardi - 31/01/2025 11:17:34</t>
  </si>
  <si>
    <t>Francisco Neto - 03/02/2025 14:33:12</t>
  </si>
  <si>
    <t>Matheus César Azevedo Neto - 03/02/2025 14:48:31</t>
  </si>
  <si>
    <t>Rogerio Lombardi - 04/02/2025 15:11:33</t>
  </si>
  <si>
    <t>Matheus César Azevedo Neto - 04/02/2025 15:17:48</t>
  </si>
  <si>
    <t>Rogerio Lombardi - 06/02/2025 17:07:11</t>
  </si>
  <si>
    <t>Carlito Evan Soares - 10/02/2025 14:39:32</t>
  </si>
  <si>
    <t>Matheus César Azevedo Neto - 10/02/2025 14:44:45</t>
  </si>
  <si>
    <t>Regis Bottino - 10/02/2025 14:56:25</t>
  </si>
  <si>
    <t>Rogerio Lombardi - 25/02/2025 08:15:18</t>
  </si>
  <si>
    <t>Regis Bottino - 06/03/2025 11:48:32</t>
  </si>
  <si>
    <t>Matheus César Azevedo Neto - 06/03/2025 18:23:11</t>
  </si>
  <si>
    <t>Francisco Neto - 30/01/2025 09:04:01</t>
  </si>
  <si>
    <t>Matheus César Azevedo Neto - 30/01/2025 09:27:09</t>
  </si>
  <si>
    <t>Rogerio Lombardi - 31/01/2025 11:17:36</t>
  </si>
  <si>
    <t>Francisco Neto - 03/02/2025 14:33:14</t>
  </si>
  <si>
    <t>Matheus César Azevedo Neto - 03/02/2025 14:47:41</t>
  </si>
  <si>
    <t>Rogerio Lombardi - 04/02/2025 15:11:36</t>
  </si>
  <si>
    <t>Matheus César Azevedo Neto - 04/02/2025 15:17:50</t>
  </si>
  <si>
    <t>Rogerio Lombardi - 06/02/2025 17:07:15</t>
  </si>
  <si>
    <t>Carlito Evan Soares - 10/02/2025 14:39:44</t>
  </si>
  <si>
    <t>Matheus César Azevedo Neto - 10/02/2025 14:44:51</t>
  </si>
  <si>
    <t>Regis Bottino - 10/02/2025 14:56:30</t>
  </si>
  <si>
    <t>Rogerio Lombardi - 23/02/2025 17:11:11</t>
  </si>
  <si>
    <t>Regis Bottino - 25/02/2025 08:20:26</t>
  </si>
  <si>
    <t>Matheus César Azevedo Neto - 25/02/2025 08:23:20</t>
  </si>
  <si>
    <t>Francisco Neto - 27/01/2025 09:09:47</t>
  </si>
  <si>
    <t>Matheus César Azevedo Neto - 27/01/2025 11:00:49</t>
  </si>
  <si>
    <t>Rogerio Lombardi - 31/01/2025 11:17:44</t>
  </si>
  <si>
    <t>Francisco Neto - 03/02/2025 14:33:15</t>
  </si>
  <si>
    <t>Matheus César Azevedo Neto - 03/02/2025 14:47:48</t>
  </si>
  <si>
    <t>Rogerio Lombardi - 04/02/2025 15:11:39</t>
  </si>
  <si>
    <t>Matheus César Azevedo Neto - 04/02/2025 15:17:52</t>
  </si>
  <si>
    <t>Rogerio Lombardi - 06/02/2025 17:07:18</t>
  </si>
  <si>
    <t>Carlito Evan Soares - 11/02/2025 11:22:39</t>
  </si>
  <si>
    <t>Matheus César Azevedo Neto - 11/02/2025 11:23:14</t>
  </si>
  <si>
    <t>Regis Bottino - 11/02/2025 11:24:23</t>
  </si>
  <si>
    <t>Rogerio Lombardi - 20/02/2025 09:31:33</t>
  </si>
  <si>
    <t>Regis Bottino - 25/02/2025 08:20:40</t>
  </si>
  <si>
    <t>Matheus César Azevedo Neto - 25/02/2025 08:23:26</t>
  </si>
  <si>
    <t>Francisco Neto - 30/01/2025 09:04:03</t>
  </si>
  <si>
    <t>Matheus César Azevedo Neto - 30/01/2025 09:27:13</t>
  </si>
  <si>
    <t>Rogerio Lombardi - 31/01/2025 11:17:47</t>
  </si>
  <si>
    <t>Francisco Neto - 03/02/2025 14:33:17</t>
  </si>
  <si>
    <t>Matheus César Azevedo Neto - 03/02/2025 14:48:28</t>
  </si>
  <si>
    <t>Rogerio Lombardi - 04/02/2025 15:11:42</t>
  </si>
  <si>
    <t>Matheus César Azevedo Neto - 04/02/2025 15:17:54</t>
  </si>
  <si>
    <t>Rogerio Lombardi - 25/02/2025 10:09:43</t>
  </si>
  <si>
    <t>Mariana Oliveira - 07/03/2025 14:22:46</t>
  </si>
  <si>
    <t>Regis Bottino - 07/03/2025 14:25:28</t>
  </si>
  <si>
    <t>Matheus César Azevedo Neto - 07/03/2025 14:38:28</t>
  </si>
  <si>
    <t>Francisco Neto - 30/01/2025 09:04:18</t>
  </si>
  <si>
    <t>Matheus César Azevedo Neto - 30/01/2025 09:27:42</t>
  </si>
  <si>
    <t>Rogerio Lombardi - 31/01/2025 11:17:50</t>
  </si>
  <si>
    <t>Francisco Neto - 03/02/2025 14:33:18</t>
  </si>
  <si>
    <t>Matheus César Azevedo Neto - 03/02/2025 14:47:51</t>
  </si>
  <si>
    <t>Rogerio Lombardi - 04/02/2025 15:11:45</t>
  </si>
  <si>
    <t>Matheus César Azevedo Neto - 04/02/2025 15:17:56</t>
  </si>
  <si>
    <t>Rogerio Lombardi - 07/02/2025 07:40:30</t>
  </si>
  <si>
    <t>Mariana Oliveira - 07/03/2025 09:56:43</t>
  </si>
  <si>
    <t>Regis Bottino - 07/03/2025 10:01:39</t>
  </si>
  <si>
    <t>Matheus César Azevedo Neto - 07/03/2025 10:02:33</t>
  </si>
  <si>
    <t>Rogerio Lombardi - 07/03/2025 14:33:11</t>
  </si>
  <si>
    <t>Regis Bottino - 07/03/2025 14:37:18</t>
  </si>
  <si>
    <t>Matheus César Azevedo Neto - 07/03/2025 14:39:09</t>
  </si>
  <si>
    <t>Francisco Neto - 30/01/2025 09:05:09</t>
  </si>
  <si>
    <t>Matheus César Azevedo Neto - 30/01/2025 09:28:03</t>
  </si>
  <si>
    <t>Rogerio Lombardi - 31/01/2025 11:18:59</t>
  </si>
  <si>
    <t>Francisco Neto - 03/02/2025 14:33:20</t>
  </si>
  <si>
    <t>Matheus César Azevedo Neto - 03/02/2025 14:48:33</t>
  </si>
  <si>
    <t>Rogerio Lombardi - 04/02/2025 15:11:47</t>
  </si>
  <si>
    <t>Matheus César Azevedo Neto - 04/02/2025 15:17:57</t>
  </si>
  <si>
    <t>Rogerio Lombardi - 07/02/2025 07:40:24</t>
  </si>
  <si>
    <t>Carlito Evan Soares - 10/02/2025 14:38:36</t>
  </si>
  <si>
    <t>Matheus César Azevedo Neto - 10/02/2025 14:45:03</t>
  </si>
  <si>
    <t>Regis Bottino - 10/02/2025 14:56:40</t>
  </si>
  <si>
    <t>Rogerio Lombardi - 25/02/2025 08:15:21</t>
  </si>
  <si>
    <t>Regis Bottino - 06/03/2025 11:47:36</t>
  </si>
  <si>
    <t>Matheus César Azevedo Neto - 06/03/2025 11:56:02</t>
  </si>
  <si>
    <t>Francisco Neto - 28/01/2025 13:33:58</t>
  </si>
  <si>
    <t>Matheus César Azevedo Neto - 28/01/2025 15:34:47</t>
  </si>
  <si>
    <t>Rogerio Lombardi - 31/01/2025 11:17:55</t>
  </si>
  <si>
    <t>Francisco Neto - 03/02/2025 14:33:22</t>
  </si>
  <si>
    <t>Matheus César Azevedo Neto - 03/02/2025 14:48:38</t>
  </si>
  <si>
    <t>Rogerio Lombardi - 04/02/2025 15:11:50</t>
  </si>
  <si>
    <t>Matheus César Azevedo Neto - 04/02/2025 15:17:59</t>
  </si>
  <si>
    <t>Rogerio Lombardi - 07/02/2025 07:40:19</t>
  </si>
  <si>
    <t>Mariana Oliveira - 05/03/2025 14:30:36</t>
  </si>
  <si>
    <t>Regis Bottino - 05/03/2025 15:33:58</t>
  </si>
  <si>
    <t>Matheus César Azevedo Neto - 06/03/2025 18:28:18</t>
  </si>
  <si>
    <t>Rogerio Lombardi - 07/03/2025 07:43:15</t>
  </si>
  <si>
    <t>Regis Bottino - 07/03/2025 07:47:21</t>
  </si>
  <si>
    <t>Matheus César Azevedo Neto - 07/03/2025 07:54:42</t>
  </si>
  <si>
    <t>Francisco Neto - 30/01/2025 14:47:48</t>
  </si>
  <si>
    <t>Matheus César Azevedo Neto - 30/01/2025 15:52:45</t>
  </si>
  <si>
    <t>Rogerio Lombardi - 31/01/2025 11:17:58</t>
  </si>
  <si>
    <t>Francisco Neto - 03/02/2025 14:33:23</t>
  </si>
  <si>
    <t>Matheus César Azevedo Neto - 03/02/2025 14:47:54</t>
  </si>
  <si>
    <t>Rogerio Lombardi - 04/02/2025 15:11:53</t>
  </si>
  <si>
    <t>Matheus César Azevedo Neto - 04/02/2025 15:18:02</t>
  </si>
  <si>
    <t>Rogerio Lombardi - 25/02/2025 10:09:47</t>
  </si>
  <si>
    <t>Mariana Oliveira - 07/03/2025 09:48:00</t>
  </si>
  <si>
    <t>Matheus César Azevedo Neto - 07/03/2025 09:53:51</t>
  </si>
  <si>
    <t>Regis Bottino - 07/03/2025 10:01:44</t>
  </si>
  <si>
    <t>Rogerio Lombardi - 07/03/2025 14:33:06</t>
  </si>
  <si>
    <t>Regis Bottino - 07/03/2025 14:37:20</t>
  </si>
  <si>
    <t>Matheus César Azevedo Neto - 07/03/2025 14:39:12</t>
  </si>
  <si>
    <t>Francisco Neto - 30/01/2025 09:05:00</t>
  </si>
  <si>
    <t>Matheus César Azevedo Neto - 30/01/2025 09:27:53</t>
  </si>
  <si>
    <t>Rogerio Lombardi - 31/01/2025 11:18:01</t>
  </si>
  <si>
    <t>Francisco Neto - 03/02/2025 14:33:25</t>
  </si>
  <si>
    <t>Matheus César Azevedo Neto - 03/02/2025 14:47:57</t>
  </si>
  <si>
    <t>Rogerio Lombardi - 04/02/2025 15:11:56</t>
  </si>
  <si>
    <t>Matheus César Azevedo Neto - 04/02/2025 15:18:04</t>
  </si>
  <si>
    <t>Rogerio Lombardi - 25/02/2025 10:09:50</t>
  </si>
  <si>
    <t>Mariana Oliveira - 05/03/2025 18:28:49</t>
  </si>
  <si>
    <t>Regis Bottino - 05/03/2025 18:39:15</t>
  </si>
  <si>
    <t>Matheus César Azevedo Neto - 05/03/2025 18:41:26</t>
  </si>
  <si>
    <t>Rogerio Lombardi - 06/03/2025 11:51:57</t>
  </si>
  <si>
    <t>Regis Bottino - 07/03/2025 07:21:16</t>
  </si>
  <si>
    <t>Matheus César Azevedo Neto - 07/03/2025 07:41:37</t>
  </si>
  <si>
    <t>Francisco Neto - 30/01/2025 09:05:06</t>
  </si>
  <si>
    <t>Matheus César Azevedo Neto - 30/01/2025 09:27:59</t>
  </si>
  <si>
    <t>Rogerio Lombardi - 31/01/2025 11:19:02</t>
  </si>
  <si>
    <t>Francisco Neto - 03/02/2025 14:33:26</t>
  </si>
  <si>
    <t>Matheus César Azevedo Neto - 03/02/2025 14:48:00</t>
  </si>
  <si>
    <t>Rogerio Lombardi - 04/02/2025 15:11:59</t>
  </si>
  <si>
    <t>Matheus César Azevedo Neto - 04/02/2025 15:18:05</t>
  </si>
  <si>
    <t>Rogerio Lombardi - 25/02/2025 10:09:53</t>
  </si>
  <si>
    <t>Mariana Oliveira - 06/03/2025 18:53:39</t>
  </si>
  <si>
    <t>Regis Bottino - 07/03/2025 07:07:54</t>
  </si>
  <si>
    <t>Matheus César Azevedo Neto - 07/03/2025 07:09:06</t>
  </si>
  <si>
    <t>Rogerio Lombardi - 07/03/2025 07:43:18</t>
  </si>
  <si>
    <t>Regis Bottino - 07/03/2025 07:47:23</t>
  </si>
  <si>
    <t>Matheus César Azevedo Neto - 07/03/2025 07:54:46</t>
  </si>
  <si>
    <t>Francisco Neto - 30/01/2025 09:04:05</t>
  </si>
  <si>
    <t>Matheus César Azevedo Neto - 30/01/2025 09:27:25</t>
  </si>
  <si>
    <t>Rogerio Lombardi - 31/01/2025 11:18:06</t>
  </si>
  <si>
    <t>Francisco Neto - 03/02/2025 14:33:28</t>
  </si>
  <si>
    <t>Matheus César Azevedo Neto - 03/02/2025 14:48:02</t>
  </si>
  <si>
    <t>Rogerio Lombardi - 04/02/2025 15:15:03</t>
  </si>
  <si>
    <t>Matheus César Azevedo Neto - 04/02/2025 15:18:26</t>
  </si>
  <si>
    <t>Rogerio Lombardi - 25/02/2025 10:09:56</t>
  </si>
  <si>
    <t>Mariana Oliveira - 06/03/2025 11:33:52</t>
  </si>
  <si>
    <t>Regis Bottino - 06/03/2025 11:36:37</t>
  </si>
  <si>
    <t>Matheus César Azevedo Neto - 06/03/2025 11:41:32</t>
  </si>
  <si>
    <t>Rogerio Lombardi - 06/03/2025 11:51:52</t>
  </si>
  <si>
    <t>Regis Bottino - 07/03/2025 07:21:19</t>
  </si>
  <si>
    <t>Matheus César Azevedo Neto - 07/03/2025 07:41:40</t>
  </si>
  <si>
    <t>Francisco Neto - 30/01/2025 09:04:08</t>
  </si>
  <si>
    <t>Matheus César Azevedo Neto - 30/01/2025 09:27:28</t>
  </si>
  <si>
    <t>Rogerio Lombardi - 31/01/2025 11:18:09</t>
  </si>
  <si>
    <t>Francisco Neto - 03/02/2025 14:33:30</t>
  </si>
  <si>
    <t>Matheus César Azevedo Neto - 03/02/2025 14:48:06</t>
  </si>
  <si>
    <t>Rogerio Lombardi - 04/02/2025 15:12:09</t>
  </si>
  <si>
    <t>Matheus César Azevedo Neto - 04/02/2025 15:18:30</t>
  </si>
  <si>
    <t>Rogerio Lombardi - 25/02/2025 10:09:59</t>
  </si>
  <si>
    <t>Mariana Oliveira - 07/03/2025 09:56:59</t>
  </si>
  <si>
    <t>Regis Bottino - 07/03/2025 10:01:48</t>
  </si>
  <si>
    <t>Matheus César Azevedo Neto - 07/03/2025 10:02:36</t>
  </si>
  <si>
    <t>Rogerio Lombardi - 07/03/2025 14:33:04</t>
  </si>
  <si>
    <t>Regis Bottino - 07/03/2025 14:37:23</t>
  </si>
  <si>
    <t>Matheus César Azevedo Neto - 07/03/2025 14:39:15</t>
  </si>
  <si>
    <t>Francisco Neto - 30/01/2025 09:05:18</t>
  </si>
  <si>
    <t>Matheus César Azevedo Neto - 30/01/2025 09:28:11</t>
  </si>
  <si>
    <t>Rogerio Lombardi - 31/01/2025 11:18:12</t>
  </si>
  <si>
    <t>Francisco Neto - 03/02/2025 14:33:33</t>
  </si>
  <si>
    <t>Matheus César Azevedo Neto - 03/02/2025 14:48:42</t>
  </si>
  <si>
    <t>Rogerio Lombardi - 04/02/2025 15:12:13</t>
  </si>
  <si>
    <t>Matheus César Azevedo Neto - 04/02/2025 15:18:34</t>
  </si>
  <si>
    <t>Rogerio Lombardi - 03/03/2025 13:38:35</t>
  </si>
  <si>
    <t>Mariana Oliveira - 03/03/2025 14:50:37</t>
  </si>
  <si>
    <t>Regis Bottino - 03/03/2025 14:58:17</t>
  </si>
  <si>
    <t>Matheus César Azevedo Neto - 03/03/2025 14:59:48</t>
  </si>
  <si>
    <t>Rogerio Lombardi - 04/03/2025 14:13:47</t>
  </si>
  <si>
    <t>Regis Bottino - 05/03/2025 13:58:41</t>
  </si>
  <si>
    <t>Matheus César Azevedo Neto - 05/03/2025 14:11:28</t>
  </si>
  <si>
    <t>Francisco Neto - 30/01/2025 09:05:15</t>
  </si>
  <si>
    <t>Matheus César Azevedo Neto - 30/01/2025 09:28:08</t>
  </si>
  <si>
    <t>Rogerio Lombardi - 31/01/2025 11:18:27</t>
  </si>
  <si>
    <t>Francisco Neto - 03/02/2025 14:33:35</t>
  </si>
  <si>
    <t>Matheus César Azevedo Neto - 03/02/2025 14:48:45</t>
  </si>
  <si>
    <t>Rogerio Lombardi - 04/02/2025 15:12:16</t>
  </si>
  <si>
    <t>Matheus César Azevedo Neto - 04/02/2025 15:18:36</t>
  </si>
  <si>
    <t>Rogerio Lombardi - 03/03/2025 13:38:42</t>
  </si>
  <si>
    <t>Mariana Oliveira - 03/03/2025 14:51:36</t>
  </si>
  <si>
    <t>Regis Bottino - 03/03/2025 14:58:24</t>
  </si>
  <si>
    <t>Matheus César Azevedo Neto - 03/03/2025 14:59:52</t>
  </si>
  <si>
    <t>Rogerio Lombardi - 04/03/2025 14:13:51</t>
  </si>
  <si>
    <t>Regis Bottino - 05/03/2025 13:58:45</t>
  </si>
  <si>
    <t>Matheus César Azevedo Neto - 05/03/2025 14:11:34</t>
  </si>
  <si>
    <t>Francisco Neto - 03/02/2025 14:23:30</t>
  </si>
  <si>
    <t>Matheus César Azevedo Neto - 03/02/2025 14:39:42</t>
  </si>
  <si>
    <t>Francisco Neto - 04/02/2025 12:17:05</t>
  </si>
  <si>
    <t>Rogerio Lombardi - 04/02/2025 15:08:21</t>
  </si>
  <si>
    <t>Matheus César Azevedo Neto - 04/02/2025 15:11:32</t>
  </si>
  <si>
    <t>Rogerio Lombardi - 04/02/2025 15:15:07</t>
  </si>
  <si>
    <t>Matheus César Azevedo Neto - 04/02/2025 15:18:57</t>
  </si>
  <si>
    <t>Rogerio Lombardi - 03/03/2025 13:38:38</t>
  </si>
  <si>
    <t>Mariana Oliveira - 03/03/2025 14:51:48</t>
  </si>
  <si>
    <t>Regis Bottino - 03/03/2025 14:58:30</t>
  </si>
  <si>
    <t>Matheus César Azevedo Neto - 03/03/2025 14:59:56</t>
  </si>
  <si>
    <t>Rogerio Lombardi - 04/03/2025 14:13:54</t>
  </si>
  <si>
    <t>Regis Bottino - 05/03/2025 13:58:49</t>
  </si>
  <si>
    <t>Matheus César Azevedo Neto - 05/03/2025 14:11:31</t>
  </si>
  <si>
    <t>Francisco Neto - 30/01/2025 14:47:54</t>
  </si>
  <si>
    <t>Matheus César Azevedo Neto - 30/01/2025 15:52:12</t>
  </si>
  <si>
    <t>Rogerio Lombardi - 31/01/2025 11:18:31</t>
  </si>
  <si>
    <t>Francisco Neto - 03/02/2025 14:33:36</t>
  </si>
  <si>
    <t>Matheus César Azevedo Neto - 03/02/2025 14:48:47</t>
  </si>
  <si>
    <t>Rogerio Lombardi - 04/02/2025 15:12:22</t>
  </si>
  <si>
    <t>Matheus César Azevedo Neto - 04/02/2025 15:18:53</t>
  </si>
  <si>
    <t>Rogerio Lombardi - 03/03/2025 13:38:46</t>
  </si>
  <si>
    <t>Mariana Oliveira - 03/03/2025 14:51:59</t>
  </si>
  <si>
    <t>Regis Bottino - 03/03/2025 14:58:35</t>
  </si>
  <si>
    <t>Matheus César Azevedo Neto - 03/03/2025 14:59:59</t>
  </si>
  <si>
    <t>Rogerio Lombardi - 04/03/2025 14:13:58</t>
  </si>
  <si>
    <t>Regis Bottino - 05/03/2025 13:58:52</t>
  </si>
  <si>
    <t>Matheus César Azevedo Neto - 05/03/2025 14:11:38</t>
  </si>
  <si>
    <t>Francisco Neto - 30/01/2025 14:47:57</t>
  </si>
  <si>
    <t>Matheus César Azevedo Neto - 30/01/2025 15:52:16</t>
  </si>
  <si>
    <t>Rogerio Lombardi - 31/01/2025 11:18:34</t>
  </si>
  <si>
    <t>Francisco Neto - 03/02/2025 14:33:38</t>
  </si>
  <si>
    <t>Matheus César Azevedo Neto - 03/02/2025 14:48:56</t>
  </si>
  <si>
    <t>Rogerio Lombardi - 04/02/2025 15:12:19</t>
  </si>
  <si>
    <t>Matheus César Azevedo Neto - 04/02/2025 15:18:39</t>
  </si>
  <si>
    <t>Rogerio Lombardi - 03/03/2025 13:38:49</t>
  </si>
  <si>
    <t>Mariana Oliveira - 03/03/2025 14:52:12</t>
  </si>
  <si>
    <t>Regis Bottino - 03/03/2025 14:58:40</t>
  </si>
  <si>
    <t>Matheus César Azevedo Neto - 03/03/2025 15:00:03</t>
  </si>
  <si>
    <t>Rogerio Lombardi - 04/03/2025 14:14:01</t>
  </si>
  <si>
    <t>Regis Bottino - 05/03/2025 13:58:56</t>
  </si>
  <si>
    <t>Matheus César Azevedo Neto - 05/03/2025 14:11:41</t>
  </si>
  <si>
    <t>Francisco Neto - 03/02/2025 14:23:32</t>
  </si>
  <si>
    <t>Matheus César Azevedo Neto - 03/02/2025 14:39:43</t>
  </si>
  <si>
    <t>Francisco Neto - 04/02/2025 12:17:08</t>
  </si>
  <si>
    <t>Rogerio Lombardi - 04/02/2025 15:08:25</t>
  </si>
  <si>
    <t>Matheus César Azevedo Neto - 04/02/2025 15:11:35</t>
  </si>
  <si>
    <t>Rogerio Lombardi - 04/02/2025 15:15:10</t>
  </si>
  <si>
    <t>Matheus César Azevedo Neto - 04/02/2025 15:18:55</t>
  </si>
  <si>
    <t>Rogerio Lombardi - 03/03/2025 13:38:53</t>
  </si>
  <si>
    <t>Mariana Oliveira - 03/03/2025 14:52:22</t>
  </si>
  <si>
    <t>Regis Bottino - 03/03/2025 14:58:44</t>
  </si>
  <si>
    <t>Matheus César Azevedo Neto - 03/03/2025 15:00:06</t>
  </si>
  <si>
    <t>Rogerio Lombardi - 04/03/2025 14:14:04</t>
  </si>
  <si>
    <t>Regis Bottino - 05/03/2025 13:59:00</t>
  </si>
  <si>
    <t>Matheus César Azevedo Neto - 05/03/2025 14:11:45</t>
  </si>
  <si>
    <t>Francisco Neto - 03/02/2025 14:23:33</t>
  </si>
  <si>
    <t>Matheus César Azevedo Neto - 03/02/2025 14:39:47</t>
  </si>
  <si>
    <t>Francisco Neto - 04/02/2025 12:17:10</t>
  </si>
  <si>
    <t>Juliana Carvalho - 24/02/2025 11:24:59</t>
  </si>
  <si>
    <t>Usuários_Images/Juliana Carvalho.Assinatura.142412.png</t>
  </si>
  <si>
    <t>Matheus César Azevedo Neto - 25/02/2025 07:47:21</t>
  </si>
  <si>
    <t>Juliana Carvalho - 04/03/2025 09:35:45</t>
  </si>
  <si>
    <t>Matheus César Azevedo Neto - 06/03/2025 18:28:35</t>
  </si>
  <si>
    <t>Mariana Oliveira - 07/03/2025 10:41:04</t>
  </si>
  <si>
    <t>Juliana Carvalho - 07/03/2025 11:47:54</t>
  </si>
  <si>
    <t>Regis Bottino - 07/03/2025 13:01:11</t>
  </si>
  <si>
    <t>Matheus César Azevedo Neto - 07/03/2025 13:02:17</t>
  </si>
  <si>
    <t>Juliana Carvalho - 07/03/2025 17:54:00</t>
  </si>
  <si>
    <t>Regis Bottino - 11/03/2025 10:41:22</t>
  </si>
  <si>
    <t>Matheus César Azevedo Neto - 19/03/2025 17:51:48</t>
  </si>
  <si>
    <t>Juliana Carvalho - 20/03/2025 14:53:46</t>
  </si>
  <si>
    <t>Francisco Neto - 03/02/2025 14:23:35</t>
  </si>
  <si>
    <t>Matheus César Azevedo Neto - 03/02/2025 14:39:49</t>
  </si>
  <si>
    <t>Francisco Neto - 04/02/2025 12:17:12</t>
  </si>
  <si>
    <t>Juliana Carvalho - 24/02/2025 15:01:48</t>
  </si>
  <si>
    <t>Matheus César Azevedo Neto - 25/02/2025 07:47:27</t>
  </si>
  <si>
    <t>Juliana Carvalho - 04/03/2025 09:35:18</t>
  </si>
  <si>
    <t>Matheus César Azevedo Neto - 06/03/2025 18:28:30</t>
  </si>
  <si>
    <t>Mariana Oliveira - 06/03/2025 18:50:38</t>
  </si>
  <si>
    <t>Juliana Carvalho - 07/03/2025 11:48:01</t>
  </si>
  <si>
    <t>Regis Bottino - 07/03/2025 13:01:14</t>
  </si>
  <si>
    <t>Matheus César Azevedo Neto - 07/03/2025 13:02:21</t>
  </si>
  <si>
    <t>Juliana Carvalho - 07/03/2025 17:53:33</t>
  </si>
  <si>
    <t>Regis Bottino - 19/03/2025 17:50:43</t>
  </si>
  <si>
    <t>Matheus César Azevedo Neto - 19/03/2025 17:51:43</t>
  </si>
  <si>
    <t>Juliana Carvalho - 20/03/2025 14:53:50</t>
  </si>
  <si>
    <t>Francisco Neto - 03/02/2025 14:23:37</t>
  </si>
  <si>
    <t>Matheus César Azevedo Neto - 03/02/2025 14:39:51</t>
  </si>
  <si>
    <t>Francisco Neto - 04/02/2025 12:17:14</t>
  </si>
  <si>
    <t>Juliana Carvalho - 24/02/2025 11:25:16</t>
  </si>
  <si>
    <t>Matheus César Azevedo Neto - 25/02/2025 07:47:31</t>
  </si>
  <si>
    <t>Juliana Carvalho - 04/03/2025 09:35:06</t>
  </si>
  <si>
    <t>Matheus César Azevedo Neto - 05/03/2025 14:09:47</t>
  </si>
  <si>
    <t>Mariana Oliveira - 05/03/2025 14:30:52</t>
  </si>
  <si>
    <t>Juliana Carvalho - 07/03/2025 17:53:15</t>
  </si>
  <si>
    <t>Regis Bottino - 07/03/2025 19:23:07</t>
  </si>
  <si>
    <t>Matheus César Azevedo Neto - 08/03/2025 08:49:42</t>
  </si>
  <si>
    <t>Juliana Carvalho - 10/03/2025 13:41:14</t>
  </si>
  <si>
    <t>Regis Bottino - 19/03/2025 17:50:40</t>
  </si>
  <si>
    <t>Matheus César Azevedo Neto - 19/03/2025 17:51:51</t>
  </si>
  <si>
    <t>Juliana Carvalho - 20/03/2025 14:53:54</t>
  </si>
  <si>
    <t>Francisco Neto - 03/02/2025 14:23:39</t>
  </si>
  <si>
    <t>Matheus César Azevedo Neto - 03/02/2025 14:39:53</t>
  </si>
  <si>
    <t>Francisco Neto - 04/02/2025 12:17:17</t>
  </si>
  <si>
    <t>Juliana Carvalho - 24/02/2025 15:01:54</t>
  </si>
  <si>
    <t>Matheus César Azevedo Neto - 25/02/2025 07:47:35</t>
  </si>
  <si>
    <t>Juliana Carvalho - 04/03/2025 09:35:12</t>
  </si>
  <si>
    <t>Matheus César Azevedo Neto - 05/03/2025 14:09:51</t>
  </si>
  <si>
    <t>Mariana Oliveira - 06/03/2025 18:52:58</t>
  </si>
  <si>
    <t>Juliana Carvalho - 07/03/2025 11:48:10</t>
  </si>
  <si>
    <t>Regis Bottino - 07/03/2025 13:01:17</t>
  </si>
  <si>
    <t>Matheus César Azevedo Neto - 07/03/2025 13:02:24</t>
  </si>
  <si>
    <t>Juliana Carvalho - 07/03/2025 17:53:38</t>
  </si>
  <si>
    <t>Regis Bottino - 19/03/2025 17:50:46</t>
  </si>
  <si>
    <t>Matheus César Azevedo Neto - 19/03/2025 17:51:54</t>
  </si>
  <si>
    <t>Juliana Carvalho - 20/03/2025 14:53:56</t>
  </si>
  <si>
    <t>Arquivo Causa/Ação TRIP 1</t>
  </si>
  <si>
    <t>Arquivo Causa/Ação TRIP 2</t>
  </si>
  <si>
    <t>Arquivo Causa/Ação TRIP 3</t>
  </si>
  <si>
    <t>Comissionamento de Intertravamento Feito ?</t>
  </si>
  <si>
    <t>Concluído em:</t>
  </si>
  <si>
    <t>/INTERTRAVAMENTOS/ITA-CAL-INTERTRAVAMENTO.pdf</t>
  </si>
  <si>
    <t>Diego Silva Queiroz - 04/03/2025 10:54:05</t>
  </si>
  <si>
    <t>Usuários_Images/Diego Silva Queiroz.Assinatura.172009.png</t>
  </si>
  <si>
    <t>Fábrica de Açúcar</t>
  </si>
  <si>
    <t>/INTERTRAVAMENTOS/ITA-FABR-INTERTRAVAMENTO.pdf</t>
  </si>
  <si>
    <t>Diego Silva Queiroz - 18/03/2025 11:45:08</t>
  </si>
  <si>
    <t>Destilaria</t>
  </si>
  <si>
    <t>/INTERTRAVAMENTOS/ITA-FDEST-INTERTRAVAMENTO.pdf</t>
  </si>
  <si>
    <t>Diego Silva Queiroz - 18/03/2025 11:45:12</t>
  </si>
  <si>
    <t>Moenda</t>
  </si>
  <si>
    <t>/INTERTRAVAMENTOS/ITA-MOE-INTERTRAVAMENTO.pdf</t>
  </si>
  <si>
    <t>Diego Silva Queiroz - 18/03/2025 11:45:03</t>
  </si>
  <si>
    <t>Tratamento</t>
  </si>
  <si>
    <t>/INTERTRAVAMENTOS/ITA-TRAT-INTERTRAVAMENTO.pdf</t>
  </si>
  <si>
    <t>Diego Silva Queiroz - 18/03/2025 11:44:53</t>
  </si>
  <si>
    <t>Email</t>
  </si>
  <si>
    <t>Nome</t>
  </si>
  <si>
    <t>Senha</t>
  </si>
  <si>
    <t>Autorização</t>
  </si>
  <si>
    <t>Autorização (Cargo)</t>
  </si>
  <si>
    <t>Autorização (Comissionamento)</t>
  </si>
  <si>
    <t>Autorização (Pendências)</t>
  </si>
  <si>
    <t>Autorização (Inserir/Remover)</t>
  </si>
  <si>
    <t>itapagipe.comissionamento@gmail.com</t>
  </si>
  <si>
    <t>Adriel da Silva Queiroz</t>
  </si>
  <si>
    <t>adriel@2024</t>
  </si>
  <si>
    <t>Comissionador</t>
  </si>
  <si>
    <t>MASTER</t>
  </si>
  <si>
    <t>N0</t>
  </si>
  <si>
    <t>Usuários_Images/Adriel da Silva Queiroz.Assinatura.125655.png</t>
  </si>
  <si>
    <t>Alexandre Queiroz Santilli</t>
  </si>
  <si>
    <r>
      <rPr>
        <rFont val="Calibri, sans-serif"/>
        <color rgb="FF1155CC"/>
        <sz val="11.0"/>
        <u/>
      </rPr>
      <t>Alexandre.Q@2024</t>
    </r>
  </si>
  <si>
    <t>Alisson Airton Sobrinho</t>
  </si>
  <si>
    <r>
      <rPr>
        <rFont val="Calibri, sans-serif"/>
        <color rgb="FF1155CC"/>
        <sz val="11.0"/>
        <u/>
      </rPr>
      <t>Alisson@2024</t>
    </r>
  </si>
  <si>
    <t>Usuários_Images/Alisson Airton Sobrinho.Assinatura.125915.png</t>
  </si>
  <si>
    <t>Allan Victor Souza Campos Cunha</t>
  </si>
  <si>
    <r>
      <rPr>
        <rFont val="Calibri, sans-serif"/>
        <color rgb="FF1155CC"/>
        <sz val="11.0"/>
        <u/>
      </rPr>
      <t>Allan@2024</t>
    </r>
  </si>
  <si>
    <t>Beatriz Alves Nunes de Paulo</t>
  </si>
  <si>
    <t>beatriz@2024</t>
  </si>
  <si>
    <t>Usuários_Images/Beatriz Alves Nunes de Paulo.Assinatura.111458.png</t>
  </si>
  <si>
    <t>Carlito Evan Soares</t>
  </si>
  <si>
    <t>Carlito@2024</t>
  </si>
  <si>
    <t>N1</t>
  </si>
  <si>
    <t>Cintia Povoa</t>
  </si>
  <si>
    <t>cintia@2024</t>
  </si>
  <si>
    <t>Danilo Cabrini</t>
  </si>
  <si>
    <r>
      <rPr>
        <rFont val="Calibri, sans-serif"/>
        <color rgb="FF1155CC"/>
        <sz val="11.0"/>
        <u/>
      </rPr>
      <t>Danilo@2024</t>
    </r>
  </si>
  <si>
    <t>Master</t>
  </si>
  <si>
    <t>Usuários_Images/Danilo Cabrini.Assinatura.131207.png</t>
  </si>
  <si>
    <t>Diego Silva Queiroz</t>
  </si>
  <si>
    <r>
      <rPr>
        <rFont val="Calibri, sans-serif"/>
        <color rgb="FF1155CC"/>
        <sz val="11.0"/>
        <u/>
      </rPr>
      <t>Diego@2024</t>
    </r>
  </si>
  <si>
    <t>Edson Veloso</t>
  </si>
  <si>
    <r>
      <rPr>
        <rFont val="Calibri, sans-serif"/>
        <color rgb="FF1155CC"/>
        <sz val="11.0"/>
        <u/>
      </rPr>
      <t>Edson.Ve@2024</t>
    </r>
  </si>
  <si>
    <t>Erico Borges De Freitas</t>
  </si>
  <si>
    <r>
      <rPr>
        <rFont val="Calibri, sans-serif"/>
        <color rgb="FF1155CC"/>
        <sz val="11.0"/>
        <u/>
      </rPr>
      <t>Erico@2024</t>
    </r>
  </si>
  <si>
    <t>Usuários_Images/Erico Borges De Freitas.Assinatura.141647.png</t>
  </si>
  <si>
    <t>Francisco Neto</t>
  </si>
  <si>
    <r>
      <rPr>
        <rFont val="Calibri, sans-serif"/>
        <color rgb="FF1155CC"/>
        <sz val="11.0"/>
        <u/>
      </rPr>
      <t>Francisco@2024</t>
    </r>
  </si>
  <si>
    <t>Gabriel Pitta de Paula</t>
  </si>
  <si>
    <t>gabriel@2024</t>
  </si>
  <si>
    <t>Guilherme Christofoletti</t>
  </si>
  <si>
    <t>guilherme@2024</t>
  </si>
  <si>
    <t>Hugo Luis Leonel</t>
  </si>
  <si>
    <r>
      <rPr>
        <rFont val="Calibri, sans-serif"/>
        <color rgb="FF1155CC"/>
        <sz val="11.0"/>
        <u/>
      </rPr>
      <t>Hugo.L@2024</t>
    </r>
  </si>
  <si>
    <t>Usuários_Images/Hugo Luis Leonel.Assinatura.141029.png</t>
  </si>
  <si>
    <t>Igor Metchko</t>
  </si>
  <si>
    <t>igor@2024</t>
  </si>
  <si>
    <t>José Adenilson Francisco Da Silva</t>
  </si>
  <si>
    <r>
      <rPr>
        <rFont val="Calibri, sans-serif"/>
        <color rgb="FF1155CC"/>
        <sz val="11.0"/>
        <u/>
      </rPr>
      <t>Jose.A@2024</t>
    </r>
  </si>
  <si>
    <t>Juliana Carvalho</t>
  </si>
  <si>
    <r>
      <rPr>
        <rFont val="Calibri, sans-serif"/>
        <color rgb="FF1155CC"/>
        <sz val="11.0"/>
        <u/>
      </rPr>
      <t>Juliana@2024</t>
    </r>
  </si>
  <si>
    <t>Leonardo Sergio Mesquita de Oliveira</t>
  </si>
  <si>
    <t>leandro@2024</t>
  </si>
  <si>
    <t>Libner Ferreira De Morais</t>
  </si>
  <si>
    <r>
      <rPr>
        <rFont val="Calibri, sans-serif"/>
        <color rgb="FF1155CC"/>
        <sz val="11.0"/>
        <u/>
      </rPr>
      <t>Libner@2024</t>
    </r>
  </si>
  <si>
    <t>Usuários_Images/Libner Ferreira De Morais.Assinatura.141215.png</t>
  </si>
  <si>
    <t>Loedes Ferreira Pinto</t>
  </si>
  <si>
    <r>
      <rPr>
        <rFont val="Calibri, sans-serif"/>
        <color rgb="FF1155CC"/>
        <sz val="11.0"/>
        <u/>
      </rPr>
      <t>Loedes@2024</t>
    </r>
  </si>
  <si>
    <t>Usuários_Images/Loedes Ferreira Pinto.Assinatura.115039.png</t>
  </si>
  <si>
    <t>Lucas Freitas Lemes</t>
  </si>
  <si>
    <r>
      <rPr>
        <rFont val="Calibri, sans-serif"/>
        <color rgb="FF1155CC"/>
        <sz val="11.0"/>
        <u/>
      </rPr>
      <t>Lucas.F@2024</t>
    </r>
  </si>
  <si>
    <t>Lucas Gonçalves De Queiroz</t>
  </si>
  <si>
    <r>
      <rPr>
        <rFont val="Calibri, sans-serif"/>
        <color rgb="FF1155CC"/>
        <sz val="11.0"/>
        <u/>
      </rPr>
      <t>Lucas.G@2024</t>
    </r>
  </si>
  <si>
    <t>Lucas Queiroz Da Cunha</t>
  </si>
  <si>
    <r>
      <rPr>
        <rFont val="Calibri, sans-serif"/>
        <color rgb="FF1155CC"/>
        <sz val="11.0"/>
        <u/>
      </rPr>
      <t>Lucas.Q@2024</t>
    </r>
  </si>
  <si>
    <t>Marcelo Barbosa De Souza</t>
  </si>
  <si>
    <r>
      <rPr>
        <rFont val="Calibri, sans-serif"/>
        <color rgb="FF1155CC"/>
        <sz val="11.0"/>
        <u/>
      </rPr>
      <t>Marcelo@2024</t>
    </r>
  </si>
  <si>
    <t>Maria Vitória Mazza</t>
  </si>
  <si>
    <r>
      <rPr>
        <rFont val="Calibri, sans-serif"/>
        <color rgb="FF1155CC"/>
        <sz val="11.0"/>
        <u/>
      </rPr>
      <t>Maria@2024</t>
    </r>
  </si>
  <si>
    <t>Usuários_Images/Maria Vitória Mazza.Assinatura.140201.png</t>
  </si>
  <si>
    <t>Mariana Oliveira</t>
  </si>
  <si>
    <r>
      <rPr>
        <rFont val="Calibri, sans-serif"/>
        <color rgb="FF1155CC"/>
        <sz val="11.0"/>
        <u/>
      </rPr>
      <t>Mariana.O@2024</t>
    </r>
  </si>
  <si>
    <t>Matheus César Azevedo Neto</t>
  </si>
  <si>
    <r>
      <rPr>
        <rFont val="Calibri, sans-serif"/>
        <color rgb="FF1155CC"/>
        <sz val="11.0"/>
        <u/>
      </rPr>
      <t>Matheus.CA@2024</t>
    </r>
  </si>
  <si>
    <t>Natanaelson Santana Fonseca</t>
  </si>
  <si>
    <r>
      <rPr>
        <rFont val="Calibri, sans-serif"/>
        <color rgb="FF1155CC"/>
        <sz val="11.0"/>
        <u/>
      </rPr>
      <t>Natanaelson@2024</t>
    </r>
  </si>
  <si>
    <t>Usuários_Images/Natanaelson Santana Fonseca.Assinatura.141312.png</t>
  </si>
  <si>
    <t>Paula Caroline Morais Duarte</t>
  </si>
  <si>
    <r>
      <rPr>
        <rFont val="Calibri, sans-serif"/>
        <color rgb="FF1155CC"/>
        <sz val="11.0"/>
        <u/>
      </rPr>
      <t>Paula.C@2024</t>
    </r>
  </si>
  <si>
    <t>Usuários_Images/Paula Caroline Morais Duarte.Assinatura.142044.png</t>
  </si>
  <si>
    <t>Pedro Cury</t>
  </si>
  <si>
    <t>pedro@2024</t>
  </si>
  <si>
    <t>Rafael Roldão Rodrigues</t>
  </si>
  <si>
    <r>
      <rPr>
        <rFont val="Calibri, sans-serif"/>
        <color rgb="FF1155CC"/>
        <sz val="11.0"/>
        <u/>
      </rPr>
      <t>Rafael.R@2024</t>
    </r>
  </si>
  <si>
    <t>Usuários_Images/Rafael Roldão Rodrigues.Assinatura.135820.png</t>
  </si>
  <si>
    <t>Regis Bottino</t>
  </si>
  <si>
    <r>
      <rPr>
        <rFont val="Calibri, sans-serif"/>
        <color rgb="FF1155CC"/>
        <sz val="11.0"/>
        <u/>
      </rPr>
      <t>Regis.Bo@2024</t>
    </r>
  </si>
  <si>
    <t>Reiverte Nathan Aranha De Oliveira</t>
  </si>
  <si>
    <r>
      <rPr>
        <rFont val="Calibri, sans-serif"/>
        <color rgb="FF1155CC"/>
        <sz val="11.0"/>
        <u/>
      </rPr>
      <t>Reiverte@2024</t>
    </r>
  </si>
  <si>
    <t>Renan Silvestrin</t>
  </si>
  <si>
    <t>renan@2024</t>
  </si>
  <si>
    <t>Roberto Cesar Lodi</t>
  </si>
  <si>
    <r>
      <rPr>
        <rFont val="Calibri, sans-serif"/>
        <color rgb="FF1155CC"/>
        <sz val="11.0"/>
        <u/>
      </rPr>
      <t>Roberto@2024</t>
    </r>
  </si>
  <si>
    <t>Usuários_Images/Roberto Cesar Lodi.Assinatura.142122.png</t>
  </si>
  <si>
    <t>Rogerio Lombardi</t>
  </si>
  <si>
    <r>
      <rPr>
        <rFont val="Calibri, sans-serif"/>
        <color rgb="FF1155CC"/>
        <sz val="11.0"/>
        <u/>
      </rPr>
      <t>Rogerio.L@2024</t>
    </r>
  </si>
  <si>
    <t>Rosalvo Menezes Alexandre Neto</t>
  </si>
  <si>
    <r>
      <rPr>
        <rFont val="Calibri, sans-serif"/>
        <color rgb="FF1155CC"/>
        <sz val="11.0"/>
        <u/>
      </rPr>
      <t>Rosalvo@2024</t>
    </r>
  </si>
  <si>
    <t>Sandro Luis</t>
  </si>
  <si>
    <t>Sandro.LFE@2024</t>
  </si>
  <si>
    <t>Superintendente Industrial</t>
  </si>
  <si>
    <t>Weslley Ferreira Cooper</t>
  </si>
  <si>
    <r>
      <rPr>
        <rFont val="Calibri, sans-serif"/>
        <color rgb="FF1155CC"/>
        <sz val="11.0"/>
        <u/>
      </rPr>
      <t>Weslley@2024</t>
    </r>
  </si>
  <si>
    <t>Usuários_Images/Weslley Ferreira Cooper.Assinatura.142554.png</t>
  </si>
  <si>
    <t>andrebarata@gmail.com</t>
  </si>
  <si>
    <t>CORE - André</t>
  </si>
  <si>
    <t>ANDRE123</t>
  </si>
  <si>
    <t>coreautomacaomaq1@gmail.com</t>
  </si>
  <si>
    <t>CORE - Juan</t>
  </si>
  <si>
    <t>JUAN123</t>
  </si>
  <si>
    <t>coreautomacaomaq2@gmail.com</t>
  </si>
  <si>
    <t>CORE - Kayo</t>
  </si>
  <si>
    <t>KAYO123</t>
  </si>
  <si>
    <t>angelotileandro@gmail.com</t>
  </si>
  <si>
    <t>CORE - Leandro</t>
  </si>
  <si>
    <t>LEANDRO123</t>
  </si>
  <si>
    <t>Usuários_Images/CORE - Leandro.Assinatura.185701.png</t>
  </si>
  <si>
    <t>coreautomacaomaq3@gmail.com</t>
  </si>
  <si>
    <t>CORE - Matheus</t>
  </si>
  <si>
    <t>MATHEUS123</t>
  </si>
  <si>
    <t>corewqc@gmail.com</t>
  </si>
  <si>
    <t>CORE - Wanderson</t>
  </si>
  <si>
    <t>QUINTAS27</t>
  </si>
  <si>
    <t>Usuários_Images/CORE - Wanderson.Assinatura.114019.png</t>
  </si>
  <si>
    <t>Cargo</t>
  </si>
  <si>
    <t>Setor</t>
  </si>
  <si>
    <t>E-mail</t>
  </si>
  <si>
    <t>COMISSIONAMENTO</t>
  </si>
  <si>
    <t>Pendências</t>
  </si>
  <si>
    <t>Remoção e Adição de itens</t>
  </si>
  <si>
    <t>Edição de TAG</t>
  </si>
  <si>
    <t>Autorização (Edição)</t>
  </si>
  <si>
    <t>Visualização</t>
  </si>
  <si>
    <t>Preenchimento Check-list</t>
  </si>
  <si>
    <t>Criação</t>
  </si>
  <si>
    <t>Alteração de status</t>
  </si>
  <si>
    <t>Aprovação de Resolução</t>
  </si>
  <si>
    <t>Solicitação</t>
  </si>
  <si>
    <t>Aprovação</t>
  </si>
  <si>
    <t>X</t>
  </si>
  <si>
    <t>NX</t>
  </si>
  <si>
    <r>
      <rPr>
        <rFont val="Calibri, sans-serif"/>
        <color rgb="FF1155CC"/>
        <sz val="11.0"/>
        <u/>
      </rPr>
      <t>Alexandre.Q@2024</t>
    </r>
  </si>
  <si>
    <r>
      <rPr>
        <rFont val="Calibri, sans-serif"/>
        <color rgb="FF1155CC"/>
        <sz val="11.0"/>
        <u/>
      </rPr>
      <t>alexandre.santilli@bpbioenergy.com</t>
    </r>
  </si>
  <si>
    <r>
      <rPr>
        <rFont val="Calibri, sans-serif"/>
        <color rgb="FF1155CC"/>
        <sz val="11.0"/>
        <u/>
      </rPr>
      <t>Alisson@2024</t>
    </r>
  </si>
  <si>
    <r>
      <rPr>
        <rFont val="Calibri, sans-serif"/>
        <color rgb="FF1155CC"/>
        <sz val="11.0"/>
        <u/>
      </rPr>
      <t>alisson.sobrinho@bpbioenergy.com</t>
    </r>
  </si>
  <si>
    <r>
      <rPr>
        <rFont val="Calibri, sans-serif"/>
        <color rgb="FF1155CC"/>
        <sz val="11.0"/>
        <u/>
      </rPr>
      <t>Allan@2024</t>
    </r>
  </si>
  <si>
    <r>
      <rPr>
        <rFont val="Calibri, sans-serif"/>
        <color rgb="FF1155CC"/>
        <sz val="11.0"/>
        <u/>
      </rPr>
      <t>Danilo@2024</t>
    </r>
  </si>
  <si>
    <r>
      <rPr>
        <rFont val="Calibri, sans-serif"/>
        <color rgb="FF1155CC"/>
        <sz val="11.0"/>
        <u/>
      </rPr>
      <t>danilo.cabrini@bpbioenergy.com</t>
    </r>
  </si>
  <si>
    <r>
      <rPr>
        <rFont val="Calibri, sans-serif"/>
        <color rgb="FF1155CC"/>
        <sz val="11.0"/>
        <u/>
      </rPr>
      <t>Diego@2024</t>
    </r>
  </si>
  <si>
    <r>
      <rPr>
        <rFont val="Calibri, sans-serif"/>
        <color rgb="FF1155CC"/>
        <sz val="11.0"/>
        <u/>
      </rPr>
      <t>diego.queiroz@bpbioenergy.com</t>
    </r>
  </si>
  <si>
    <r>
      <rPr>
        <rFont val="Calibri, sans-serif"/>
        <color rgb="FF1155CC"/>
        <sz val="11.0"/>
        <u/>
      </rPr>
      <t>Edson.Ve@2024</t>
    </r>
  </si>
  <si>
    <t>Tratamento; Fábrica de Açúcar; Armazém de Açúcar; Destilaria e Fermentação</t>
  </si>
  <si>
    <r>
      <rPr>
        <rFont val="Calibri, sans-serif"/>
        <color rgb="FF1155CC"/>
        <sz val="11.0"/>
        <u/>
      </rPr>
      <t>edson.mendes@bpbioenergy.com</t>
    </r>
  </si>
  <si>
    <r>
      <rPr>
        <rFont val="Calibri, sans-serif"/>
        <color rgb="FF1155CC"/>
        <sz val="11.0"/>
        <u/>
      </rPr>
      <t>Erico@2024</t>
    </r>
  </si>
  <si>
    <r>
      <rPr>
        <rFont val="Calibri, sans-serif"/>
        <color rgb="FF1155CC"/>
        <sz val="11.0"/>
        <u/>
      </rPr>
      <t>erico.freitas@bpbioenergy.com</t>
    </r>
  </si>
  <si>
    <r>
      <rPr>
        <rFont val="Calibri, sans-serif"/>
        <color rgb="FF1155CC"/>
        <sz val="11.0"/>
        <u/>
      </rPr>
      <t>Francisco@2024</t>
    </r>
  </si>
  <si>
    <t>francisco.neto@bpbioenergy.com</t>
  </si>
  <si>
    <r>
      <rPr>
        <rFont val="Calibri, sans-serif"/>
        <color rgb="FF1155CC"/>
        <sz val="11.0"/>
        <u/>
      </rPr>
      <t>Hugo.L@2024</t>
    </r>
  </si>
  <si>
    <t>hugo.garcia@bpbioenergy.com</t>
  </si>
  <si>
    <r>
      <rPr>
        <rFont val="Calibri, sans-serif"/>
        <color rgb="FF1155CC"/>
        <sz val="11.0"/>
        <u/>
      </rPr>
      <t>Jose.A@2024</t>
    </r>
  </si>
  <si>
    <t>jose.af.silva@bpbioenergy.com</t>
  </si>
  <si>
    <r>
      <rPr>
        <rFont val="Calibri, sans-serif"/>
        <color rgb="FF1155CC"/>
        <sz val="11.0"/>
        <u/>
      </rPr>
      <t>Juliana@2024</t>
    </r>
  </si>
  <si>
    <r>
      <rPr>
        <rFont val="Calibri, sans-serif"/>
        <color rgb="FF1155CC"/>
        <sz val="11.0"/>
        <u/>
      </rPr>
      <t>juliana.carvalho@bpbioenergy.com</t>
    </r>
  </si>
  <si>
    <r>
      <rPr>
        <rFont val="Calibri, sans-serif"/>
        <color rgb="FF1155CC"/>
        <sz val="11.0"/>
        <u/>
      </rPr>
      <t>Libner@2024</t>
    </r>
  </si>
  <si>
    <t>libner.morais@bpbioenergy.com</t>
  </si>
  <si>
    <r>
      <rPr>
        <rFont val="Calibri, sans-serif"/>
        <color rgb="FF1155CC"/>
        <sz val="11.0"/>
        <u/>
      </rPr>
      <t>Loedes@2024</t>
    </r>
  </si>
  <si>
    <r>
      <rPr>
        <rFont val="Calibri, sans-serif"/>
        <color rgb="FF1155CC"/>
        <sz val="11.0"/>
        <u/>
      </rPr>
      <t>loedes.pinto@bpbioenergy.com</t>
    </r>
  </si>
  <si>
    <r>
      <rPr>
        <rFont val="Calibri, sans-serif"/>
        <color rgb="FF1155CC"/>
        <sz val="11.0"/>
        <u/>
      </rPr>
      <t>Lucas.F@2024</t>
    </r>
  </si>
  <si>
    <t>lucas.lemes@bpbioenergy.com</t>
  </si>
  <si>
    <r>
      <rPr>
        <rFont val="Calibri, sans-serif"/>
        <color rgb="FF1155CC"/>
        <sz val="11.0"/>
        <u/>
      </rPr>
      <t>Lucas.G@2024</t>
    </r>
  </si>
  <si>
    <r>
      <rPr>
        <rFont val="Calibri, sans-serif"/>
        <color rgb="FF1155CC"/>
        <sz val="11.0"/>
        <u/>
      </rPr>
      <t>lucas.andrade@bpbioenergy.com</t>
    </r>
  </si>
  <si>
    <r>
      <rPr>
        <rFont val="Calibri, sans-serif"/>
        <color rgb="FF1155CC"/>
        <sz val="11.0"/>
        <u/>
      </rPr>
      <t>Lucas.Q@2024</t>
    </r>
  </si>
  <si>
    <r>
      <rPr>
        <rFont val="Calibri, sans-serif"/>
        <color rgb="FF1155CC"/>
        <sz val="11.0"/>
        <u/>
      </rPr>
      <t>Marcelo@2024</t>
    </r>
  </si>
  <si>
    <t>marcelo.b.souza@bpbioenergy.com</t>
  </si>
  <si>
    <r>
      <rPr>
        <rFont val="Calibri, sans-serif"/>
        <color rgb="FF1155CC"/>
        <sz val="11.0"/>
        <u/>
      </rPr>
      <t>Maria@2024</t>
    </r>
  </si>
  <si>
    <r>
      <rPr>
        <rFont val="Calibri, sans-serif"/>
        <color rgb="FF1155CC"/>
        <sz val="11.0"/>
        <u/>
      </rPr>
      <t>maria.vmm.fabiano@bpbioenergy.com</t>
    </r>
  </si>
  <si>
    <r>
      <rPr>
        <rFont val="Calibri, sans-serif"/>
        <color rgb="FF1155CC"/>
        <sz val="11.0"/>
        <u/>
      </rPr>
      <t>Mariana.O@2024</t>
    </r>
  </si>
  <si>
    <r>
      <rPr>
        <rFont val="Calibri, sans-serif"/>
        <color rgb="FF1155CC"/>
        <sz val="11.0"/>
        <u/>
      </rPr>
      <t>mariana.oliveira@bpbioenergy.com</t>
    </r>
  </si>
  <si>
    <r>
      <rPr>
        <rFont val="Calibri, sans-serif"/>
        <color rgb="FF1155CC"/>
        <sz val="11.0"/>
        <u/>
      </rPr>
      <t>Matheus.CA@2024</t>
    </r>
  </si>
  <si>
    <r>
      <rPr>
        <rFont val="Calibri, sans-serif"/>
        <color rgb="FF1155CC"/>
        <sz val="11.0"/>
        <u/>
      </rPr>
      <t>matheus.moura@bpbioenergy.com</t>
    </r>
  </si>
  <si>
    <r>
      <rPr>
        <rFont val="Calibri, sans-serif"/>
        <color rgb="FF1155CC"/>
        <sz val="11.0"/>
        <u/>
      </rPr>
      <t>Natanaelson@2024</t>
    </r>
  </si>
  <si>
    <t>natanaelson.fonseca@bpbioenergy.com</t>
  </si>
  <si>
    <r>
      <rPr>
        <rFont val="Calibri, sans-serif"/>
        <color rgb="FF1155CC"/>
        <sz val="11.0"/>
        <u/>
      </rPr>
      <t>Paula.C@2024</t>
    </r>
  </si>
  <si>
    <r>
      <rPr>
        <rFont val="Calibri, sans-serif"/>
        <color rgb="FF1155CC"/>
        <sz val="11.0"/>
        <u/>
      </rPr>
      <t>paula.duarte@bpbioenergy.com</t>
    </r>
  </si>
  <si>
    <r>
      <rPr>
        <rFont val="Calibri, sans-serif"/>
        <color rgb="FF1155CC"/>
        <sz val="11.0"/>
        <u/>
      </rPr>
      <t>Rafael.R@2024</t>
    </r>
  </si>
  <si>
    <t>rafael.roldao@bpbioenergy.com</t>
  </si>
  <si>
    <r>
      <rPr>
        <rFont val="Calibri, sans-serif"/>
        <color rgb="FF1155CC"/>
        <sz val="11.0"/>
        <u/>
      </rPr>
      <t>Regis.Bo@2024</t>
    </r>
  </si>
  <si>
    <t>regis.bottino@bpbioenergy.com</t>
  </si>
  <si>
    <r>
      <rPr>
        <rFont val="Calibri, sans-serif"/>
        <color rgb="FF1155CC"/>
        <sz val="11.0"/>
        <u/>
      </rPr>
      <t>Reiverte@2024</t>
    </r>
  </si>
  <si>
    <r>
      <rPr>
        <rFont val="Calibri, sans-serif"/>
        <color rgb="FF1155CC"/>
        <sz val="11.0"/>
        <u/>
      </rPr>
      <t>reiverte.oliveira@bpbioenergy.com</t>
    </r>
  </si>
  <si>
    <r>
      <rPr>
        <rFont val="Calibri, sans-serif"/>
        <color rgb="FF1155CC"/>
        <sz val="11.0"/>
        <u/>
      </rPr>
      <t>Roberto@2024</t>
    </r>
  </si>
  <si>
    <t>roberto.lodi@bpbungebio.com.br</t>
  </si>
  <si>
    <r>
      <rPr>
        <rFont val="Calibri, sans-serif"/>
        <color rgb="FF1155CC"/>
        <sz val="11.0"/>
        <u/>
      </rPr>
      <t>Rogerio.L@2024</t>
    </r>
  </si>
  <si>
    <t>R.P.E; Geração de Vapor; Geração de Energia</t>
  </si>
  <si>
    <r>
      <rPr>
        <rFont val="Calibri, sans-serif"/>
        <color rgb="FF1155CC"/>
        <sz val="11.0"/>
        <u/>
      </rPr>
      <t>rogerio.lombardi@bpbioenergy.com</t>
    </r>
  </si>
  <si>
    <r>
      <rPr>
        <rFont val="Calibri, sans-serif"/>
        <color rgb="FF1155CC"/>
        <sz val="11.0"/>
        <u/>
      </rPr>
      <t>Rosalvo@2024</t>
    </r>
  </si>
  <si>
    <t>rosalvo.neto@bpbioenergy.com</t>
  </si>
  <si>
    <r>
      <rPr>
        <rFont val="Calibri, sans-serif"/>
        <color rgb="FF1155CC"/>
        <sz val="11.0"/>
        <u/>
      </rPr>
      <t>Sandro.Lu@2024</t>
    </r>
  </si>
  <si>
    <r>
      <rPr>
        <rFont val="Calibri, sans-serif"/>
        <color rgb="FF1155CC"/>
        <sz val="11.0"/>
        <u/>
      </rPr>
      <t>sandro.luis@bpbioenergy.com</t>
    </r>
  </si>
  <si>
    <r>
      <rPr>
        <rFont val="Calibri, sans-serif"/>
        <color rgb="FF1155CC"/>
        <sz val="11.0"/>
        <u/>
      </rPr>
      <t>Weslley@2024</t>
    </r>
  </si>
  <si>
    <t>Situação</t>
  </si>
  <si>
    <t>Usuário</t>
  </si>
  <si>
    <t>Alteração em:</t>
  </si>
  <si>
    <t>0c713de4</t>
  </si>
  <si>
    <t>Anterior</t>
  </si>
  <si>
    <t>30/01/2025 08:30:59</t>
  </si>
  <si>
    <t>8db653bb</t>
  </si>
  <si>
    <t>Torre De Resfriamento Da Destilaria Nº</t>
  </si>
  <si>
    <t>31/01/2025 09:01:40</t>
  </si>
  <si>
    <t>c0530390</t>
  </si>
  <si>
    <t>Nova</t>
  </si>
  <si>
    <t>31/01/2025 09:02:09</t>
  </si>
  <si>
    <t>6d2242ea</t>
  </si>
  <si>
    <t>31/01/2025 11:44:10</t>
  </si>
  <si>
    <t>912830da</t>
  </si>
  <si>
    <t>31/01/2025 11:47:22</t>
  </si>
  <si>
    <t>83b998b1</t>
  </si>
  <si>
    <t>AMOSTRADOR DE MEL FINAL</t>
  </si>
  <si>
    <t>31/01/2025 11:49:11</t>
  </si>
  <si>
    <t>8bd70e83</t>
  </si>
  <si>
    <t>31/01/2025 11:49:38</t>
  </si>
  <si>
    <t>865150f3</t>
  </si>
  <si>
    <t>Brix Mel Pobre</t>
  </si>
  <si>
    <t>31/01/2025 11:50:07</t>
  </si>
  <si>
    <t>e63008a6</t>
  </si>
  <si>
    <t>31/01/2025 11:50:20</t>
  </si>
  <si>
    <t>d40c5fe2</t>
  </si>
  <si>
    <t>31/01/2025 11:51:04</t>
  </si>
  <si>
    <t>49e33cd9</t>
  </si>
  <si>
    <t>31/01/2025 12:01:43</t>
  </si>
  <si>
    <t>8b253e24</t>
  </si>
  <si>
    <t>31/01/2025 12:02:44</t>
  </si>
  <si>
    <t>29c8602f</t>
  </si>
  <si>
    <t>31/01/2025 12:03:08</t>
  </si>
  <si>
    <t>8621fc2e</t>
  </si>
  <si>
    <t>31/01/2025 12:03:29</t>
  </si>
  <si>
    <t>ecf23941</t>
  </si>
  <si>
    <t>31/01/2025 12:03:46</t>
  </si>
  <si>
    <t>800f83ad</t>
  </si>
  <si>
    <t>31/01/2025 12:06:11</t>
  </si>
  <si>
    <t>a17809a1</t>
  </si>
  <si>
    <t>31/01/2025 12:06:35</t>
  </si>
  <si>
    <t>a981c528</t>
  </si>
  <si>
    <t>31/01/2025 12:09:47</t>
  </si>
  <si>
    <t>c6bc9105</t>
  </si>
  <si>
    <t>03/02/2025 08:09:03</t>
  </si>
  <si>
    <t>c80257c5</t>
  </si>
  <si>
    <t>03/02/2025 10:37:40</t>
  </si>
  <si>
    <t>d343a105</t>
  </si>
  <si>
    <t>03/02/2025 12:42:34</t>
  </si>
  <si>
    <t>e1d49e33</t>
  </si>
  <si>
    <t>04/02/2025 13:07:46</t>
  </si>
  <si>
    <t>a24d9b77</t>
  </si>
  <si>
    <t>04/02/2025 15:23:01</t>
  </si>
  <si>
    <t>b5306f23</t>
  </si>
  <si>
    <t>04/02/2025 15:23:31</t>
  </si>
  <si>
    <t>ba100dc7</t>
  </si>
  <si>
    <t>06/02/2025 13:40:19</t>
  </si>
  <si>
    <t>1b9c8002</t>
  </si>
  <si>
    <t>08/02/2025 12:41:59</t>
  </si>
  <si>
    <t>f4887cc7</t>
  </si>
  <si>
    <t>08/02/2025 12:43:43</t>
  </si>
  <si>
    <t>5b008cfe</t>
  </si>
  <si>
    <t>08/02/2025 12:48:57</t>
  </si>
  <si>
    <t>c091b428</t>
  </si>
  <si>
    <t>08/02/2025 12:50:32</t>
  </si>
  <si>
    <t>b3a9b2df</t>
  </si>
  <si>
    <t>10/02/2025 09:11:01</t>
  </si>
  <si>
    <t>74430026</t>
  </si>
  <si>
    <t>10/02/2025 09:37:12</t>
  </si>
  <si>
    <t>961ee102</t>
  </si>
  <si>
    <t>10/02/2025 12:05:42</t>
  </si>
  <si>
    <t>b1920d81</t>
  </si>
  <si>
    <t>10/02/2025 12:12:04</t>
  </si>
  <si>
    <t>d686a200</t>
  </si>
  <si>
    <t>10/02/2025 12:15:13</t>
  </si>
  <si>
    <t>d6eebab6</t>
  </si>
  <si>
    <t>12/02/2025 08:50:16</t>
  </si>
  <si>
    <t>c42a6e3f</t>
  </si>
  <si>
    <t>17/02/2025 16:23:21</t>
  </si>
  <si>
    <t>a1d704f5</t>
  </si>
  <si>
    <t>CAMERA SAIDA AÇUCAR P/ SECADOR</t>
  </si>
  <si>
    <t>20/02/2025 15:47:49</t>
  </si>
  <si>
    <t>db8c56bc</t>
  </si>
  <si>
    <t>25/02/2025 07:42:39</t>
  </si>
  <si>
    <t>c4dab6ed</t>
  </si>
  <si>
    <t>25/02/2025 09:37:02</t>
  </si>
  <si>
    <t>294f3105</t>
  </si>
  <si>
    <t>25/02/2025 09:37:21</t>
  </si>
  <si>
    <t>ed464464</t>
  </si>
  <si>
    <t>25/02/2025 09:37:37</t>
  </si>
  <si>
    <t>09b8f7f7</t>
  </si>
  <si>
    <t>25/02/2025 09:38:05</t>
  </si>
  <si>
    <t>f5bbc5fb</t>
  </si>
  <si>
    <t>03/03/2025 11:51:15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</si>
</sst>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h:mm:ss"/>
    <numFmt numFmtId="165" formatCode="d/m/yyyy hh:mm:ss"/>
    <numFmt numFmtId="166" formatCode="dd&quot;/&quot;mm&quot;/&quot;yyyy&quot; &quot;hh&quot;:&quot;mm&quot;:&quot;ss"/>
  </numFmts>
  <fonts count="21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color theme="1"/>
      <name val="Arial"/>
    </font>
    <font>
      <color theme="1"/>
      <name val="Calibri"/>
    </font>
    <font>
      <sz val="11.0"/>
      <color rgb="FF444444"/>
      <name val="Calibri"/>
    </font>
    <font>
      <sz val="11.0"/>
      <color rgb="FF000000"/>
      <name val="Arial"/>
    </font>
    <font>
      <sz val="12.0"/>
      <color rgb="FF000000"/>
      <name val="Arial"/>
    </font>
    <font>
      <b/>
      <sz val="15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sz val="11.0"/>
      <color rgb="FF000000"/>
      <name val="Roboto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4.0"/>
      <color theme="1"/>
      <name val="Calibri"/>
    </font>
    <font/>
    <font>
      <sz val="11.0"/>
      <color theme="1"/>
      <name val="Arial"/>
    </font>
    <font>
      <u/>
      <sz val="11.0"/>
      <color rgb="FF0000FF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EAF1DD"/>
        <bgColor rgb="FFEAF1DD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3C7D22"/>
        <bgColor rgb="FF3C7D22"/>
      </patternFill>
    </fill>
    <fill>
      <patternFill patternType="solid">
        <fgColor rgb="FF999999"/>
        <bgColor rgb="FF999999"/>
      </patternFill>
    </fill>
    <fill>
      <patternFill patternType="solid">
        <fgColor rgb="FFFBDAD7"/>
        <bgColor rgb="FFFBDAD7"/>
      </patternFill>
    </fill>
    <fill>
      <patternFill patternType="solid">
        <fgColor rgb="FFDAF1F3"/>
        <bgColor rgb="FFDAF1F3"/>
      </patternFill>
    </fill>
    <fill>
      <patternFill patternType="solid">
        <fgColor rgb="FF3C78D8"/>
        <bgColor rgb="FF3C78D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3" numFmtId="0" xfId="0" applyAlignment="1" applyBorder="1" applyFill="1" applyFont="1">
      <alignment horizontal="center" shrinkToFit="0" vertical="center" wrapText="1"/>
    </xf>
    <xf borderId="1" fillId="0" fontId="4" numFmtId="49" xfId="0" applyAlignment="1" applyBorder="1" applyFont="1" applyNumberFormat="1">
      <alignment horizontal="center" vertical="center"/>
    </xf>
    <xf borderId="1" fillId="3" fontId="1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5" numFmtId="164" xfId="0" applyAlignment="1" applyBorder="1" applyFont="1" applyNumberFormat="1">
      <alignment readingOrder="0" vertical="bottom"/>
    </xf>
    <xf borderId="1" fillId="0" fontId="5" numFmtId="0" xfId="0" applyAlignment="1" applyBorder="1" applyFont="1">
      <alignment vertical="bottom"/>
    </xf>
    <xf borderId="1" fillId="0" fontId="4" numFmtId="164" xfId="0" applyAlignment="1" applyBorder="1" applyFont="1" applyNumberFormat="1">
      <alignment readingOrder="0" vertical="bottom"/>
    </xf>
    <xf borderId="1" fillId="0" fontId="4" numFmtId="0" xfId="0" applyAlignment="1" applyBorder="1" applyFont="1">
      <alignment vertical="bottom"/>
    </xf>
    <xf borderId="1" fillId="0" fontId="4" numFmtId="49" xfId="0" applyAlignment="1" applyBorder="1" applyFont="1" applyNumberFormat="1">
      <alignment horizontal="center" shrinkToFit="0" vertical="center" wrapText="1"/>
    </xf>
    <xf borderId="1" fillId="0" fontId="5" numFmtId="164" xfId="0" applyAlignment="1" applyBorder="1" applyFont="1" applyNumberFormat="1">
      <alignment vertical="bottom"/>
    </xf>
    <xf borderId="1" fillId="0" fontId="6" numFmtId="49" xfId="0" applyAlignment="1" applyBorder="1" applyFont="1" applyNumberFormat="1">
      <alignment horizontal="center" vertical="center"/>
    </xf>
    <xf borderId="1" fillId="0" fontId="4" numFmtId="49" xfId="0" applyAlignment="1" applyBorder="1" applyFont="1" applyNumberFormat="1">
      <alignment horizontal="center" readingOrder="0" vertical="center"/>
    </xf>
    <xf borderId="1" fillId="0" fontId="6" numFmtId="49" xfId="0" applyAlignment="1" applyBorder="1" applyFont="1" applyNumberFormat="1">
      <alignment horizontal="center" readingOrder="0" vertical="center"/>
    </xf>
    <xf borderId="1" fillId="3" fontId="1" numFmtId="0" xfId="0" applyAlignment="1" applyBorder="1" applyFont="1">
      <alignment horizontal="center" readingOrder="0" shrinkToFit="0" wrapText="1"/>
    </xf>
    <xf borderId="1" fillId="0" fontId="4" numFmtId="49" xfId="0" applyAlignment="1" applyBorder="1" applyFont="1" applyNumberFormat="1">
      <alignment horizontal="center" readingOrder="0" shrinkToFit="0" vertical="center" wrapText="1"/>
    </xf>
    <xf borderId="1" fillId="0" fontId="7" numFmtId="49" xfId="0" applyAlignment="1" applyBorder="1" applyFont="1" applyNumberFormat="1">
      <alignment horizontal="center" vertical="center"/>
    </xf>
    <xf borderId="1" fillId="0" fontId="6" numFmtId="49" xfId="0" applyAlignment="1" applyBorder="1" applyFont="1" applyNumberFormat="1">
      <alignment horizontal="center" shrinkToFit="0" vertical="center" wrapText="1"/>
    </xf>
    <xf borderId="2" fillId="0" fontId="4" numFmtId="49" xfId="0" applyAlignment="1" applyBorder="1" applyFont="1" applyNumberFormat="1">
      <alignment horizontal="center" vertical="center"/>
    </xf>
    <xf borderId="0" fillId="0" fontId="4" numFmtId="49" xfId="0" applyAlignment="1" applyFont="1" applyNumberFormat="1">
      <alignment horizontal="center" readingOrder="0" vertical="center"/>
    </xf>
    <xf borderId="0" fillId="0" fontId="6" numFmtId="49" xfId="0" applyAlignment="1" applyFont="1" applyNumberFormat="1">
      <alignment horizontal="center" readingOrder="0" vertical="center"/>
    </xf>
    <xf borderId="0" fillId="3" fontId="1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164" xfId="0" applyAlignment="1" applyFont="1" applyNumberFormat="1">
      <alignment readingOrder="0"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readingOrder="0" vertical="bottom"/>
    </xf>
    <xf borderId="1" fillId="11" fontId="1" numFmtId="0" xfId="0" applyAlignment="1" applyBorder="1" applyFill="1" applyFont="1">
      <alignment horizontal="center" shrinkToFit="0" vertical="center" wrapText="0"/>
    </xf>
    <xf borderId="1" fillId="11" fontId="1" numFmtId="0" xfId="0" applyAlignment="1" applyBorder="1" applyFont="1">
      <alignment horizontal="center" readingOrder="0" shrinkToFit="0" vertical="center" wrapText="0"/>
    </xf>
    <xf borderId="1" fillId="12" fontId="1" numFmtId="0" xfId="0" applyAlignment="1" applyBorder="1" applyFill="1" applyFont="1">
      <alignment horizontal="center" shrinkToFit="0" vertical="center" wrapText="0"/>
    </xf>
    <xf borderId="1" fillId="12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quotePrefix="1" borderId="1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13" fontId="1" numFmtId="0" xfId="0" applyAlignment="1" applyBorder="1" applyFill="1" applyFont="1">
      <alignment horizontal="center" shrinkToFit="0" vertical="center" wrapText="0"/>
    </xf>
    <xf borderId="1" fillId="13" fontId="1" numFmtId="0" xfId="0" applyAlignment="1" applyBorder="1" applyFont="1">
      <alignment horizontal="center" shrinkToFit="0" vertical="center" wrapText="0"/>
    </xf>
    <xf borderId="1" fillId="13" fontId="1" numFmtId="0" xfId="0" applyAlignment="1" applyBorder="1" applyFont="1">
      <alignment horizontal="center" readingOrder="0" shrinkToFit="0" vertical="center" wrapText="0"/>
    </xf>
    <xf borderId="1" fillId="14" fontId="8" numFmtId="0" xfId="0" applyAlignment="1" applyBorder="1" applyFill="1" applyFont="1">
      <alignment readingOrder="0" shrinkToFit="0" wrapText="0"/>
    </xf>
    <xf borderId="1" fillId="0" fontId="9" numFmtId="0" xfId="0" applyAlignment="1" applyBorder="1" applyFont="1">
      <alignment horizontal="center" readingOrder="0" shrinkToFit="0" vertical="center" wrapText="0"/>
    </xf>
    <xf quotePrefix="1" borderId="1" fillId="14" fontId="8" numFmtId="0" xfId="0" applyAlignment="1" applyBorder="1" applyFont="1">
      <alignment readingOrder="0" shrinkToFit="0" wrapText="0"/>
    </xf>
    <xf borderId="0" fillId="14" fontId="8" numFmtId="0" xfId="0" applyAlignment="1" applyFont="1">
      <alignment readingOrder="0" shrinkToFit="0" wrapText="0"/>
    </xf>
    <xf borderId="0" fillId="0" fontId="9" numFmtId="0" xfId="0" applyAlignment="1" applyFont="1">
      <alignment horizontal="center" readingOrder="0" shrinkToFit="0" vertical="center" wrapText="0"/>
    </xf>
    <xf quotePrefix="1" borderId="0" fillId="14" fontId="8" numFmtId="0" xfId="0" applyAlignment="1" applyFont="1">
      <alignment readingOrder="0" shrinkToFit="0" wrapText="0"/>
    </xf>
    <xf borderId="1" fillId="15" fontId="3" numFmtId="0" xfId="0" applyAlignment="1" applyBorder="1" applyFill="1" applyFont="1">
      <alignment horizontal="center" readingOrder="0" shrinkToFit="0" vertical="center" wrapText="1"/>
    </xf>
    <xf borderId="1" fillId="16" fontId="1" numFmtId="0" xfId="0" applyAlignment="1" applyBorder="1" applyFill="1" applyFont="1">
      <alignment horizontal="center" readingOrder="0" vertical="bottom"/>
    </xf>
    <xf borderId="1" fillId="16" fontId="1" numFmtId="0" xfId="0" applyAlignment="1" applyBorder="1" applyFont="1">
      <alignment horizontal="center" vertical="bottom"/>
    </xf>
    <xf borderId="1" fillId="6" fontId="10" numFmtId="0" xfId="0" applyAlignment="1" applyBorder="1" applyFont="1">
      <alignment horizontal="center" readingOrder="0" shrinkToFit="0" vertical="center" wrapText="1"/>
    </xf>
    <xf borderId="1" fillId="0" fontId="4" numFmtId="49" xfId="0" applyAlignment="1" applyBorder="1" applyFont="1" applyNumberFormat="1">
      <alignment horizontal="center" vertical="bottom"/>
    </xf>
    <xf borderId="1" fillId="0" fontId="4" numFmtId="9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5" numFmtId="10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5" numFmtId="10" xfId="0" applyAlignment="1" applyBorder="1" applyFont="1" applyNumberFormat="1">
      <alignment horizontal="center" readingOrder="0" shrinkToFit="0" vertical="bottom" wrapText="0"/>
    </xf>
    <xf borderId="1" fillId="17" fontId="1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6" fontId="1" numFmtId="49" xfId="0" applyAlignment="1" applyBorder="1" applyFont="1" applyNumberFormat="1">
      <alignment horizontal="center" shrinkToFit="0" vertical="center" wrapText="1"/>
    </xf>
    <xf borderId="1" fillId="18" fontId="1" numFmtId="0" xfId="0" applyAlignment="1" applyBorder="1" applyFill="1" applyFont="1">
      <alignment horizontal="center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6" fontId="1" numFmtId="10" xfId="0" applyAlignment="1" applyBorder="1" applyFont="1" applyNumberFormat="1">
      <alignment horizontal="center" shrinkToFit="0" vertical="center" wrapText="1"/>
    </xf>
    <xf borderId="0" fillId="9" fontId="1" numFmtId="0" xfId="0" applyAlignment="1" applyFont="1">
      <alignment horizontal="center" shrinkToFit="0" vertical="center" wrapText="1"/>
    </xf>
    <xf borderId="1" fillId="0" fontId="4" numFmtId="49" xfId="0" applyAlignment="1" applyBorder="1" applyFont="1" applyNumberFormat="1">
      <alignment horizontal="center"/>
    </xf>
    <xf borderId="1" fillId="0" fontId="5" numFmtId="9" xfId="0" applyAlignment="1" applyBorder="1" applyFont="1" applyNumberFormat="1">
      <alignment horizontal="right" vertical="bottom"/>
    </xf>
    <xf borderId="1" fillId="0" fontId="5" numFmtId="9" xfId="0" applyAlignment="1" applyBorder="1" applyFont="1" applyNumberFormat="1">
      <alignment vertical="bottom"/>
    </xf>
    <xf borderId="1" fillId="0" fontId="5" numFmtId="165" xfId="0" applyAlignment="1" applyBorder="1" applyFont="1" applyNumberFormat="1">
      <alignment readingOrder="0" vertical="bottom"/>
    </xf>
    <xf borderId="1" fillId="0" fontId="5" numFmtId="49" xfId="0" applyAlignment="1" applyBorder="1" applyFont="1" applyNumberFormat="1">
      <alignment horizontal="right" vertical="bottom"/>
    </xf>
    <xf borderId="1" fillId="0" fontId="5" numFmtId="165" xfId="0" applyAlignment="1" applyBorder="1" applyFont="1" applyNumberFormat="1">
      <alignment vertical="bottom"/>
    </xf>
    <xf borderId="0" fillId="0" fontId="5" numFmtId="9" xfId="0" applyAlignment="1" applyFont="1" applyNumberFormat="1">
      <alignment vertical="bottom"/>
    </xf>
    <xf borderId="1" fillId="0" fontId="4" numFmtId="49" xfId="0" applyAlignment="1" applyBorder="1" applyFont="1" applyNumberFormat="1">
      <alignment horizontal="center" shrinkToFit="0" wrapText="1"/>
    </xf>
    <xf borderId="1" fillId="0" fontId="4" numFmtId="49" xfId="0" applyAlignment="1" applyBorder="1" applyFont="1" applyNumberFormat="1">
      <alignment horizontal="center" readingOrder="0"/>
    </xf>
    <xf borderId="1" fillId="0" fontId="6" numFmtId="49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bottom"/>
    </xf>
    <xf borderId="1" fillId="0" fontId="12" numFmtId="0" xfId="0" applyBorder="1" applyFont="1"/>
    <xf borderId="1" fillId="0" fontId="12" numFmtId="0" xfId="0" applyAlignment="1" applyBorder="1" applyFont="1">
      <alignment readingOrder="0"/>
    </xf>
    <xf borderId="1" fillId="6" fontId="1" numFmtId="0" xfId="0" applyAlignment="1" applyBorder="1" applyFont="1">
      <alignment horizontal="center"/>
    </xf>
    <xf borderId="1" fillId="0" fontId="13" numFmtId="0" xfId="0" applyAlignment="1" applyBorder="1" applyFont="1">
      <alignment readingOrder="0"/>
    </xf>
    <xf borderId="3" fillId="0" fontId="4" numFmtId="0" xfId="0" applyAlignment="1" applyBorder="1" applyFont="1">
      <alignment vertical="bottom"/>
    </xf>
    <xf borderId="2" fillId="0" fontId="14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readingOrder="0" vertical="bottom"/>
    </xf>
    <xf borderId="3" fillId="0" fontId="4" numFmtId="0" xfId="0" applyAlignment="1" applyBorder="1" applyFont="1">
      <alignment readingOrder="0" vertical="bottom"/>
    </xf>
    <xf borderId="2" fillId="0" fontId="15" numFmtId="0" xfId="0" applyAlignment="1" applyBorder="1" applyFont="1">
      <alignment readingOrder="0" vertical="bottom"/>
    </xf>
    <xf borderId="3" fillId="14" fontId="4" numFmtId="0" xfId="0" applyAlignment="1" applyBorder="1" applyFont="1">
      <alignment vertical="bottom"/>
    </xf>
    <xf borderId="2" fillId="14" fontId="4" numFmtId="0" xfId="0" applyAlignment="1" applyBorder="1" applyFont="1">
      <alignment vertical="bottom"/>
    </xf>
    <xf borderId="3" fillId="0" fontId="16" numFmtId="0" xfId="0" applyAlignment="1" applyBorder="1" applyFont="1">
      <alignment vertical="bottom"/>
    </xf>
    <xf borderId="1" fillId="14" fontId="13" numFmtId="0" xfId="0" applyBorder="1" applyFont="1"/>
    <xf borderId="1" fillId="14" fontId="13" numFmtId="0" xfId="0" applyAlignment="1" applyBorder="1" applyFont="1">
      <alignment vertical="bottom"/>
    </xf>
    <xf borderId="1" fillId="14" fontId="13" numFmtId="0" xfId="0" applyAlignment="1" applyBorder="1" applyFont="1">
      <alignment horizontal="center"/>
    </xf>
    <xf borderId="1" fillId="14" fontId="5" numFmtId="0" xfId="0" applyAlignment="1" applyBorder="1" applyFont="1">
      <alignment vertical="bottom"/>
    </xf>
    <xf borderId="1" fillId="14" fontId="5" numFmtId="0" xfId="0" applyAlignment="1" applyBorder="1" applyFont="1">
      <alignment readingOrder="0" vertical="bottom"/>
    </xf>
    <xf borderId="1" fillId="14" fontId="13" numFmtId="0" xfId="0" applyAlignment="1" applyBorder="1" applyFont="1">
      <alignment readingOrder="0" vertical="bottom"/>
    </xf>
    <xf borderId="4" fillId="2" fontId="17" numFmtId="0" xfId="0" applyAlignment="1" applyBorder="1" applyFont="1">
      <alignment horizontal="center" vertical="center"/>
    </xf>
    <xf borderId="5" fillId="19" fontId="17" numFmtId="0" xfId="0" applyAlignment="1" applyBorder="1" applyFill="1" applyFont="1">
      <alignment horizontal="center" vertical="center"/>
    </xf>
    <xf borderId="6" fillId="0" fontId="18" numFmtId="0" xfId="0" applyBorder="1" applyFont="1"/>
    <xf borderId="4" fillId="20" fontId="17" numFmtId="0" xfId="0" applyAlignment="1" applyBorder="1" applyFill="1" applyFont="1">
      <alignment horizontal="center" vertical="center"/>
    </xf>
    <xf borderId="7" fillId="21" fontId="17" numFmtId="0" xfId="0" applyAlignment="1" applyBorder="1" applyFill="1" applyFont="1">
      <alignment horizontal="center" vertical="center"/>
    </xf>
    <xf borderId="5" fillId="0" fontId="18" numFmtId="0" xfId="0" applyBorder="1" applyFont="1"/>
    <xf borderId="7" fillId="22" fontId="17" numFmtId="0" xfId="0" applyAlignment="1" applyBorder="1" applyFill="1" applyFont="1">
      <alignment horizontal="center" vertical="center"/>
    </xf>
    <xf borderId="0" fillId="23" fontId="17" numFmtId="0" xfId="0" applyAlignment="1" applyFill="1" applyFont="1">
      <alignment horizontal="center" vertical="center"/>
    </xf>
    <xf borderId="3" fillId="0" fontId="18" numFmtId="0" xfId="0" applyBorder="1" applyFont="1"/>
    <xf borderId="2" fillId="19" fontId="17" numFmtId="0" xfId="0" applyAlignment="1" applyBorder="1" applyFont="1">
      <alignment horizontal="center" vertical="center"/>
    </xf>
    <xf borderId="1" fillId="21" fontId="17" numFmtId="0" xfId="0" applyAlignment="1" applyBorder="1" applyFont="1">
      <alignment horizontal="center" vertical="center"/>
    </xf>
    <xf borderId="1" fillId="22" fontId="17" numFmtId="0" xfId="0" applyAlignment="1" applyBorder="1" applyFont="1">
      <alignment horizontal="center" vertical="center"/>
    </xf>
    <xf borderId="2" fillId="14" fontId="4" numFmtId="0" xfId="0" applyAlignment="1" applyBorder="1" applyFont="1">
      <alignment horizontal="center" vertical="bottom"/>
    </xf>
    <xf borderId="2" fillId="14" fontId="4" numFmtId="0" xfId="0" applyAlignment="1" applyBorder="1" applyFont="1">
      <alignment vertical="bottom"/>
    </xf>
    <xf borderId="2" fillId="14" fontId="4" numFmtId="0" xfId="0" applyAlignment="1" applyBorder="1" applyFont="1">
      <alignment horizontal="center" vertical="bottom"/>
    </xf>
    <xf borderId="2" fillId="14" fontId="4" numFmtId="0" xfId="0" applyAlignment="1" applyBorder="1" applyFont="1">
      <alignment horizontal="center" shrinkToFit="0" vertical="bottom" wrapText="1"/>
    </xf>
    <xf borderId="2" fillId="14" fontId="19" numFmtId="0" xfId="0" applyAlignment="1" applyBorder="1" applyFont="1">
      <alignment horizontal="center" vertical="bottom"/>
    </xf>
    <xf borderId="8" fillId="0" fontId="20" numFmtId="0" xfId="0" applyAlignment="1" applyBorder="1" applyFont="1">
      <alignment vertical="bottom"/>
    </xf>
    <xf borderId="3" fillId="14" fontId="4" numFmtId="0" xfId="0" applyAlignment="1" applyBorder="1" applyFont="1">
      <alignment horizontal="center" vertical="bottom"/>
    </xf>
    <xf borderId="0" fillId="2" fontId="1" numFmtId="0" xfId="0" applyAlignment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0" fillId="0" fontId="12" numFmtId="0" xfId="0" applyAlignment="1" applyFont="1">
      <alignment readingOrder="0"/>
    </xf>
    <xf quotePrefix="1" borderId="0" fillId="0" fontId="12" numFmtId="0" xfId="0" applyAlignment="1" applyFont="1">
      <alignment readingOrder="0"/>
    </xf>
    <xf borderId="0" fillId="0" fontId="12" numFmtId="166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31" Type="http://schemas.openxmlformats.org/officeDocument/2006/relationships/drawing" Target="../drawings/drawing7.xml"/><Relationship Id="rId30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mailto:mateus.ferreira@bpbioenergy.com" TargetMode="External"/><Relationship Id="rId44" Type="http://schemas.openxmlformats.org/officeDocument/2006/relationships/hyperlink" Target="about:blank" TargetMode="External"/><Relationship Id="rId43" Type="http://schemas.openxmlformats.org/officeDocument/2006/relationships/hyperlink" Target="mailto:max.viegas@bpbioenergy.com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mailto:reiverte.oliveira@bpbioenergy.com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mailto:alexandre.santilli@bpbioenergy.com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mailto:alisson.sobrinho@bpbioenergy.com" TargetMode="External"/><Relationship Id="rId9" Type="http://schemas.openxmlformats.org/officeDocument/2006/relationships/hyperlink" Target="mailto:diego.queiroz@bpbioenergy.com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mailto:patriqui.santos@bpbioenergy.com" TargetMode="External"/><Relationship Id="rId49" Type="http://schemas.openxmlformats.org/officeDocument/2006/relationships/hyperlink" Target="mailto:rogerio.lombardi@bpbioenergy.com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mailto:danilo.cabrini@bpbioenergy.com" TargetMode="External"/><Relationship Id="rId8" Type="http://schemas.openxmlformats.org/officeDocument/2006/relationships/hyperlink" Target="about:blank" TargetMode="External"/><Relationship Id="rId31" Type="http://schemas.openxmlformats.org/officeDocument/2006/relationships/hyperlink" Target="about:blank" TargetMode="External"/><Relationship Id="rId30" Type="http://schemas.openxmlformats.org/officeDocument/2006/relationships/hyperlink" Target="mailto:jessica.craveiro@bpbioenergy.com" TargetMode="External"/><Relationship Id="rId33" Type="http://schemas.openxmlformats.org/officeDocument/2006/relationships/hyperlink" Target="about:blank" TargetMode="External"/><Relationship Id="rId32" Type="http://schemas.openxmlformats.org/officeDocument/2006/relationships/hyperlink" Target="mailto:maria.vmm.fabiano@bpbioenergy.com" TargetMode="External"/><Relationship Id="rId35" Type="http://schemas.openxmlformats.org/officeDocument/2006/relationships/hyperlink" Target="about:blank" TargetMode="External"/><Relationship Id="rId34" Type="http://schemas.openxmlformats.org/officeDocument/2006/relationships/hyperlink" Target="mailto:mariana.oliveira@bpbioenergy.com" TargetMode="External"/><Relationship Id="rId37" Type="http://schemas.openxmlformats.org/officeDocument/2006/relationships/hyperlink" Target="about:blank" TargetMode="External"/><Relationship Id="rId36" Type="http://schemas.openxmlformats.org/officeDocument/2006/relationships/hyperlink" Target="mailto:matheus.moura@bpbioenergy.com" TargetMode="External"/><Relationship Id="rId39" Type="http://schemas.openxmlformats.org/officeDocument/2006/relationships/hyperlink" Target="mailto:paula.duarte@bpbioenergy.com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mailto:fabiano.rodrigues@bpbioenergy.com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mailto:loedes.pinto@bpbioenergy.com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mailto:fernando.correa@bpbioenergy.com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mailto:lucas.andrade@bpbioenergy.com" TargetMode="External"/><Relationship Id="rId29" Type="http://schemas.openxmlformats.org/officeDocument/2006/relationships/hyperlink" Target="about:blank" TargetMode="External"/><Relationship Id="rId51" Type="http://schemas.openxmlformats.org/officeDocument/2006/relationships/hyperlink" Target="about:blank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about:blank" TargetMode="External"/><Relationship Id="rId52" Type="http://schemas.openxmlformats.org/officeDocument/2006/relationships/hyperlink" Target="mailto:sandro.luis@bpbioenergy.com" TargetMode="External"/><Relationship Id="rId11" Type="http://schemas.openxmlformats.org/officeDocument/2006/relationships/hyperlink" Target="mailto:edson.mendes@bpbioenergy.com" TargetMode="External"/><Relationship Id="rId10" Type="http://schemas.openxmlformats.org/officeDocument/2006/relationships/hyperlink" Target="about:blank" TargetMode="External"/><Relationship Id="rId54" Type="http://schemas.openxmlformats.org/officeDocument/2006/relationships/drawing" Target="../drawings/drawing8.xml"/><Relationship Id="rId13" Type="http://schemas.openxmlformats.org/officeDocument/2006/relationships/hyperlink" Target="mailto:erico.freitas@bpbioenergy.com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mailto:cleber.soroca@bpbioenergy.com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mailto:juliana.carvalho@bpbioenergy.com" TargetMode="External"/><Relationship Id="rId18" Type="http://schemas.openxmlformats.org/officeDocument/2006/relationships/hyperlink" Target="about:blank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38.75"/>
    <col customWidth="1" min="6" max="6" width="39.75"/>
    <col customWidth="1" min="7" max="167" width="51.88"/>
    <col customWidth="1" min="168" max="168" width="62.13"/>
    <col customWidth="1" min="169" max="169" width="51.88"/>
    <col customWidth="1" min="170" max="171" width="66.0"/>
    <col customWidth="1" min="172" max="174" width="62.0"/>
  </cols>
  <sheetData>
    <row r="1" ht="56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5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5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3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5" t="s">
        <v>132</v>
      </c>
      <c r="ED1" s="6" t="s">
        <v>133</v>
      </c>
      <c r="EE1" s="6" t="s">
        <v>134</v>
      </c>
      <c r="EF1" s="3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7" t="s">
        <v>156</v>
      </c>
      <c r="FB1" s="7" t="s">
        <v>157</v>
      </c>
      <c r="FC1" s="5" t="s">
        <v>158</v>
      </c>
      <c r="FD1" s="6" t="s">
        <v>159</v>
      </c>
      <c r="FE1" s="6" t="s">
        <v>160</v>
      </c>
      <c r="FF1" s="8" t="s">
        <v>161</v>
      </c>
      <c r="FG1" s="8" t="s">
        <v>162</v>
      </c>
      <c r="FH1" s="8" t="s">
        <v>163</v>
      </c>
      <c r="FI1" s="9" t="s">
        <v>164</v>
      </c>
      <c r="FJ1" s="10" t="s">
        <v>165</v>
      </c>
      <c r="FK1" s="10" t="s">
        <v>166</v>
      </c>
      <c r="FL1" s="11" t="s">
        <v>167</v>
      </c>
      <c r="FM1" s="11" t="s">
        <v>168</v>
      </c>
      <c r="FN1" s="11" t="s">
        <v>169</v>
      </c>
      <c r="FO1" s="11" t="s">
        <v>170</v>
      </c>
      <c r="FP1" s="11" t="s">
        <v>171</v>
      </c>
      <c r="FQ1" s="11" t="s">
        <v>172</v>
      </c>
      <c r="FR1" s="11" t="s">
        <v>173</v>
      </c>
    </row>
    <row r="2" ht="15.75" customHeight="1">
      <c r="A2" s="12" t="s">
        <v>174</v>
      </c>
      <c r="B2" s="12" t="s">
        <v>175</v>
      </c>
      <c r="C2" s="12" t="s">
        <v>176</v>
      </c>
      <c r="D2" s="12">
        <v>624691.0</v>
      </c>
      <c r="E2" s="12" t="s">
        <v>177</v>
      </c>
      <c r="F2" s="13" t="s">
        <v>178</v>
      </c>
      <c r="G2" s="14" t="s">
        <v>179</v>
      </c>
      <c r="H2" s="14" t="s">
        <v>180</v>
      </c>
      <c r="I2" s="14" t="s">
        <v>179</v>
      </c>
      <c r="J2" s="14" t="s">
        <v>181</v>
      </c>
      <c r="K2" s="14" t="s">
        <v>179</v>
      </c>
      <c r="L2" s="14" t="s">
        <v>182</v>
      </c>
      <c r="M2" s="14" t="s">
        <v>179</v>
      </c>
      <c r="N2" s="14" t="s">
        <v>183</v>
      </c>
      <c r="O2" s="14" t="s">
        <v>179</v>
      </c>
      <c r="P2" s="14" t="s">
        <v>184</v>
      </c>
      <c r="Q2" s="14" t="s">
        <v>179</v>
      </c>
      <c r="R2" s="14" t="s">
        <v>185</v>
      </c>
      <c r="S2" s="14" t="s">
        <v>179</v>
      </c>
      <c r="T2" s="14" t="s">
        <v>186</v>
      </c>
      <c r="U2" s="14" t="s">
        <v>179</v>
      </c>
      <c r="V2" s="14" t="s">
        <v>187</v>
      </c>
      <c r="W2" s="14" t="s">
        <v>188</v>
      </c>
      <c r="X2" s="14" t="s">
        <v>189</v>
      </c>
      <c r="Y2" s="14" t="s">
        <v>179</v>
      </c>
      <c r="Z2" s="14" t="s">
        <v>190</v>
      </c>
      <c r="AA2" s="14" t="s">
        <v>179</v>
      </c>
      <c r="AB2" s="14" t="s">
        <v>191</v>
      </c>
      <c r="AC2" s="14" t="s">
        <v>179</v>
      </c>
      <c r="AD2" s="14" t="s">
        <v>192</v>
      </c>
      <c r="AE2" s="14" t="s">
        <v>179</v>
      </c>
      <c r="AF2" s="14" t="s">
        <v>193</v>
      </c>
      <c r="AG2" s="14" t="s">
        <v>179</v>
      </c>
      <c r="AH2" s="14" t="s">
        <v>194</v>
      </c>
      <c r="AI2" s="14" t="s">
        <v>179</v>
      </c>
      <c r="AJ2" s="14" t="s">
        <v>195</v>
      </c>
      <c r="AK2" s="14" t="s">
        <v>179</v>
      </c>
      <c r="AL2" s="14" t="s">
        <v>196</v>
      </c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6" t="s">
        <v>197</v>
      </c>
      <c r="BP2" s="17" t="s">
        <v>198</v>
      </c>
      <c r="BQ2" s="18">
        <v>45699.58773148148</v>
      </c>
      <c r="BR2" s="17" t="s">
        <v>198</v>
      </c>
      <c r="BS2" s="18">
        <v>45693.49773148148</v>
      </c>
      <c r="BT2" s="17" t="s">
        <v>198</v>
      </c>
      <c r="BU2" s="18">
        <v>45699.58773148148</v>
      </c>
      <c r="BV2" s="13" t="s">
        <v>199</v>
      </c>
      <c r="BW2" s="14" t="s">
        <v>179</v>
      </c>
      <c r="BX2" s="14" t="s">
        <v>200</v>
      </c>
      <c r="BY2" s="14" t="s">
        <v>179</v>
      </c>
      <c r="BZ2" s="14" t="s">
        <v>200</v>
      </c>
      <c r="CA2" s="14" t="s">
        <v>179</v>
      </c>
      <c r="CB2" s="14" t="s">
        <v>201</v>
      </c>
      <c r="CC2" s="14" t="s">
        <v>179</v>
      </c>
      <c r="CD2" s="14" t="s">
        <v>202</v>
      </c>
      <c r="CE2" s="14" t="s">
        <v>179</v>
      </c>
      <c r="CF2" s="14" t="s">
        <v>203</v>
      </c>
      <c r="CG2" s="14" t="s">
        <v>179</v>
      </c>
      <c r="CH2" s="14" t="s">
        <v>204</v>
      </c>
      <c r="CI2" s="19"/>
      <c r="CJ2" s="15"/>
      <c r="CK2" s="19"/>
      <c r="CL2" s="15"/>
      <c r="CM2" s="19"/>
      <c r="CN2" s="15"/>
      <c r="CO2" s="19"/>
      <c r="CP2" s="15"/>
      <c r="CQ2" s="15"/>
      <c r="CR2" s="15"/>
      <c r="CS2" s="19"/>
      <c r="CT2" s="15"/>
      <c r="CU2" s="19"/>
      <c r="CV2" s="15"/>
      <c r="CW2" s="19"/>
      <c r="CX2" s="15"/>
      <c r="CY2" s="19"/>
      <c r="CZ2" s="15"/>
      <c r="DA2" s="16" t="s">
        <v>197</v>
      </c>
      <c r="DB2" s="17" t="s">
        <v>198</v>
      </c>
      <c r="DC2" s="20">
        <v>45723.26650462963</v>
      </c>
      <c r="DD2" s="17" t="s">
        <v>198</v>
      </c>
      <c r="DE2" s="18">
        <v>45723.266539351855</v>
      </c>
      <c r="DF2" s="17" t="s">
        <v>198</v>
      </c>
      <c r="DG2" s="18">
        <v>45723.266539351855</v>
      </c>
      <c r="DH2" s="13" t="s">
        <v>205</v>
      </c>
      <c r="DI2" s="14" t="s">
        <v>179</v>
      </c>
      <c r="DJ2" s="14" t="s">
        <v>206</v>
      </c>
      <c r="DK2" s="14" t="s">
        <v>179</v>
      </c>
      <c r="DL2" s="14" t="s">
        <v>207</v>
      </c>
      <c r="DM2" s="14" t="s">
        <v>179</v>
      </c>
      <c r="DN2" s="14" t="s">
        <v>208</v>
      </c>
      <c r="DO2" s="14" t="s">
        <v>179</v>
      </c>
      <c r="DP2" s="14" t="s">
        <v>208</v>
      </c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6" t="s">
        <v>197</v>
      </c>
      <c r="ED2" s="17" t="s">
        <v>198</v>
      </c>
      <c r="EE2" s="18">
        <v>45723.26663194445</v>
      </c>
      <c r="EF2" s="13" t="s">
        <v>209</v>
      </c>
      <c r="EG2" s="14" t="s">
        <v>179</v>
      </c>
      <c r="EH2" s="14" t="s">
        <v>210</v>
      </c>
      <c r="EI2" s="14" t="s">
        <v>179</v>
      </c>
      <c r="EJ2" s="14" t="s">
        <v>211</v>
      </c>
      <c r="EK2" s="14" t="s">
        <v>179</v>
      </c>
      <c r="EL2" s="14" t="s">
        <v>212</v>
      </c>
      <c r="EM2" s="14" t="s">
        <v>179</v>
      </c>
      <c r="EN2" s="14" t="s">
        <v>213</v>
      </c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6" t="s">
        <v>197</v>
      </c>
      <c r="FD2" s="17" t="s">
        <v>198</v>
      </c>
      <c r="FE2" s="18">
        <v>45723.26672453704</v>
      </c>
      <c r="FF2" s="19"/>
      <c r="FG2" s="19"/>
      <c r="FH2" s="21" t="s">
        <v>197</v>
      </c>
      <c r="FI2" s="17" t="s">
        <v>214</v>
      </c>
      <c r="FJ2" s="18">
        <v>45723.26672453704</v>
      </c>
      <c r="FK2" s="14" t="s">
        <v>213</v>
      </c>
      <c r="FL2" s="19"/>
      <c r="FM2" s="19"/>
      <c r="FN2" s="19"/>
      <c r="FO2" s="19"/>
      <c r="FP2" s="19" t="str">
        <f t="shared" ref="FP2:FP1187" si="1">FL2</f>
        <v/>
      </c>
      <c r="FQ2" s="14" t="s">
        <v>215</v>
      </c>
      <c r="FR2" s="14" t="s">
        <v>216</v>
      </c>
    </row>
    <row r="3" ht="15.75" customHeight="1">
      <c r="A3" s="12" t="s">
        <v>217</v>
      </c>
      <c r="B3" s="12" t="s">
        <v>218</v>
      </c>
      <c r="C3" s="12" t="s">
        <v>219</v>
      </c>
      <c r="D3" s="22" t="s">
        <v>220</v>
      </c>
      <c r="E3" s="22" t="s">
        <v>221</v>
      </c>
      <c r="F3" s="13" t="s">
        <v>178</v>
      </c>
      <c r="G3" s="14" t="s">
        <v>179</v>
      </c>
      <c r="H3" s="14" t="s">
        <v>222</v>
      </c>
      <c r="I3" s="14" t="s">
        <v>179</v>
      </c>
      <c r="J3" s="14" t="s">
        <v>223</v>
      </c>
      <c r="K3" s="14" t="s">
        <v>179</v>
      </c>
      <c r="L3" s="14" t="s">
        <v>223</v>
      </c>
      <c r="M3" s="14" t="s">
        <v>179</v>
      </c>
      <c r="N3" s="14" t="s">
        <v>224</v>
      </c>
      <c r="O3" s="14" t="s">
        <v>179</v>
      </c>
      <c r="P3" s="14" t="s">
        <v>225</v>
      </c>
      <c r="Q3" s="14" t="s">
        <v>179</v>
      </c>
      <c r="R3" s="14" t="s">
        <v>225</v>
      </c>
      <c r="S3" s="14" t="s">
        <v>179</v>
      </c>
      <c r="T3" s="14" t="s">
        <v>226</v>
      </c>
      <c r="U3" s="14" t="s">
        <v>179</v>
      </c>
      <c r="V3" s="14" t="s">
        <v>227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6" t="s">
        <v>197</v>
      </c>
      <c r="BP3" s="17" t="s">
        <v>228</v>
      </c>
      <c r="BQ3" s="23"/>
      <c r="BR3" s="17" t="s">
        <v>198</v>
      </c>
      <c r="BS3" s="18">
        <v>45719.57679398148</v>
      </c>
      <c r="BT3" s="17" t="s">
        <v>198</v>
      </c>
      <c r="BU3" s="18">
        <v>45719.57679398148</v>
      </c>
      <c r="BV3" s="13" t="s">
        <v>199</v>
      </c>
      <c r="BW3" s="14" t="s">
        <v>179</v>
      </c>
      <c r="BX3" s="14" t="s">
        <v>229</v>
      </c>
      <c r="BY3" s="14" t="s">
        <v>179</v>
      </c>
      <c r="BZ3" s="14" t="s">
        <v>230</v>
      </c>
      <c r="CA3" s="15"/>
      <c r="CB3" s="15"/>
      <c r="CC3" s="15"/>
      <c r="CD3" s="15"/>
      <c r="CE3" s="15"/>
      <c r="CF3" s="15"/>
      <c r="CG3" s="19"/>
      <c r="CH3" s="15"/>
      <c r="CI3" s="19"/>
      <c r="CJ3" s="15"/>
      <c r="CK3" s="19"/>
      <c r="CL3" s="15"/>
      <c r="CM3" s="19"/>
      <c r="CN3" s="15"/>
      <c r="CO3" s="19"/>
      <c r="CP3" s="15"/>
      <c r="CQ3" s="15"/>
      <c r="CR3" s="15"/>
      <c r="CS3" s="19"/>
      <c r="CT3" s="15"/>
      <c r="CU3" s="19"/>
      <c r="CV3" s="15"/>
      <c r="CW3" s="19"/>
      <c r="CX3" s="15"/>
      <c r="CY3" s="19"/>
      <c r="CZ3" s="15"/>
      <c r="DA3" s="16" t="s">
        <v>197</v>
      </c>
      <c r="DB3" s="17" t="s">
        <v>228</v>
      </c>
      <c r="DC3" s="16"/>
      <c r="DD3" s="17" t="s">
        <v>198</v>
      </c>
      <c r="DE3" s="18">
        <v>45719.576840277776</v>
      </c>
      <c r="DF3" s="17" t="s">
        <v>198</v>
      </c>
      <c r="DG3" s="18">
        <v>45719.576840277776</v>
      </c>
      <c r="DH3" s="13" t="s">
        <v>205</v>
      </c>
      <c r="DI3" s="14" t="s">
        <v>179</v>
      </c>
      <c r="DJ3" s="14" t="s">
        <v>231</v>
      </c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6" t="s">
        <v>197</v>
      </c>
      <c r="ED3" s="17" t="s">
        <v>198</v>
      </c>
      <c r="EE3" s="18">
        <v>45719.576886574076</v>
      </c>
      <c r="EF3" s="13" t="s">
        <v>209</v>
      </c>
      <c r="EG3" s="14" t="s">
        <v>179</v>
      </c>
      <c r="EH3" s="14" t="s">
        <v>232</v>
      </c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6" t="s">
        <v>197</v>
      </c>
      <c r="FD3" s="17" t="s">
        <v>198</v>
      </c>
      <c r="FE3" s="18">
        <v>45726.46258101852</v>
      </c>
      <c r="FF3" s="19"/>
      <c r="FG3" s="19"/>
      <c r="FH3" s="21" t="s">
        <v>197</v>
      </c>
      <c r="FI3" s="17" t="s">
        <v>214</v>
      </c>
      <c r="FJ3" s="18">
        <v>45726.46258101852</v>
      </c>
      <c r="FK3" s="14" t="s">
        <v>232</v>
      </c>
      <c r="FL3" s="19"/>
      <c r="FM3" s="19"/>
      <c r="FN3" s="19"/>
      <c r="FO3" s="19"/>
      <c r="FP3" s="19" t="str">
        <f t="shared" si="1"/>
        <v/>
      </c>
      <c r="FQ3" s="14" t="s">
        <v>215</v>
      </c>
      <c r="FR3" s="14" t="s">
        <v>233</v>
      </c>
    </row>
    <row r="4" ht="15.75" customHeight="1">
      <c r="A4" s="12" t="s">
        <v>234</v>
      </c>
      <c r="B4" s="12" t="s">
        <v>235</v>
      </c>
      <c r="C4" s="12" t="s">
        <v>219</v>
      </c>
      <c r="D4" s="22" t="s">
        <v>236</v>
      </c>
      <c r="E4" s="22" t="s">
        <v>237</v>
      </c>
      <c r="F4" s="13" t="s">
        <v>178</v>
      </c>
      <c r="G4" s="14" t="s">
        <v>179</v>
      </c>
      <c r="H4" s="14" t="s">
        <v>238</v>
      </c>
      <c r="I4" s="14" t="s">
        <v>179</v>
      </c>
      <c r="J4" s="14" t="s">
        <v>238</v>
      </c>
      <c r="K4" s="14" t="s">
        <v>179</v>
      </c>
      <c r="L4" s="14" t="s">
        <v>239</v>
      </c>
      <c r="M4" s="14" t="s">
        <v>179</v>
      </c>
      <c r="N4" s="14" t="s">
        <v>240</v>
      </c>
      <c r="O4" s="14" t="s">
        <v>179</v>
      </c>
      <c r="P4" s="14" t="s">
        <v>241</v>
      </c>
      <c r="Q4" s="14" t="s">
        <v>179</v>
      </c>
      <c r="R4" s="14" t="s">
        <v>241</v>
      </c>
      <c r="S4" s="14" t="s">
        <v>179</v>
      </c>
      <c r="T4" s="14" t="s">
        <v>242</v>
      </c>
      <c r="U4" s="14" t="s">
        <v>179</v>
      </c>
      <c r="V4" s="14" t="s">
        <v>242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6" t="s">
        <v>197</v>
      </c>
      <c r="BP4" s="17" t="s">
        <v>228</v>
      </c>
      <c r="BQ4" s="23"/>
      <c r="BR4" s="17" t="s">
        <v>198</v>
      </c>
      <c r="BS4" s="18">
        <v>45687.367256944446</v>
      </c>
      <c r="BT4" s="17" t="s">
        <v>198</v>
      </c>
      <c r="BU4" s="18">
        <v>45687.367256944446</v>
      </c>
      <c r="BV4" s="13" t="s">
        <v>199</v>
      </c>
      <c r="BW4" s="14" t="s">
        <v>179</v>
      </c>
      <c r="BX4" s="14" t="s">
        <v>243</v>
      </c>
      <c r="BY4" s="14" t="s">
        <v>179</v>
      </c>
      <c r="BZ4" s="14" t="s">
        <v>244</v>
      </c>
      <c r="CA4" s="15"/>
      <c r="CB4" s="15"/>
      <c r="CC4" s="15"/>
      <c r="CD4" s="15"/>
      <c r="CE4" s="15"/>
      <c r="CF4" s="15"/>
      <c r="CG4" s="19"/>
      <c r="CH4" s="15"/>
      <c r="CI4" s="19"/>
      <c r="CJ4" s="15"/>
      <c r="CK4" s="19"/>
      <c r="CL4" s="15"/>
      <c r="CM4" s="19"/>
      <c r="CN4" s="15"/>
      <c r="CO4" s="19"/>
      <c r="CP4" s="15"/>
      <c r="CQ4" s="15"/>
      <c r="CR4" s="15"/>
      <c r="CS4" s="19"/>
      <c r="CT4" s="15"/>
      <c r="CU4" s="19"/>
      <c r="CV4" s="15"/>
      <c r="CW4" s="19"/>
      <c r="CX4" s="15"/>
      <c r="CY4" s="19"/>
      <c r="CZ4" s="15"/>
      <c r="DA4" s="16" t="s">
        <v>197</v>
      </c>
      <c r="DB4" s="17" t="s">
        <v>228</v>
      </c>
      <c r="DC4" s="16"/>
      <c r="DD4" s="17" t="s">
        <v>198</v>
      </c>
      <c r="DE4" s="18">
        <v>45695.56935185185</v>
      </c>
      <c r="DF4" s="17" t="s">
        <v>198</v>
      </c>
      <c r="DG4" s="18">
        <v>45695.56935185185</v>
      </c>
      <c r="DH4" s="13" t="s">
        <v>205</v>
      </c>
      <c r="DI4" s="14" t="s">
        <v>179</v>
      </c>
      <c r="DJ4" s="14" t="s">
        <v>245</v>
      </c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6" t="s">
        <v>197</v>
      </c>
      <c r="ED4" s="17" t="s">
        <v>198</v>
      </c>
      <c r="EE4" s="18">
        <v>45720.61734953704</v>
      </c>
      <c r="EF4" s="13" t="s">
        <v>209</v>
      </c>
      <c r="EG4" s="14" t="s">
        <v>179</v>
      </c>
      <c r="EH4" s="14" t="s">
        <v>246</v>
      </c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6" t="s">
        <v>197</v>
      </c>
      <c r="FD4" s="17" t="s">
        <v>198</v>
      </c>
      <c r="FE4" s="18">
        <v>45722.62079861111</v>
      </c>
      <c r="FF4" s="19"/>
      <c r="FG4" s="19"/>
      <c r="FH4" s="21" t="s">
        <v>197</v>
      </c>
      <c r="FI4" s="17" t="s">
        <v>214</v>
      </c>
      <c r="FJ4" s="18">
        <v>45722.62079861111</v>
      </c>
      <c r="FK4" s="14" t="s">
        <v>246</v>
      </c>
      <c r="FL4" s="14" t="s">
        <v>247</v>
      </c>
      <c r="FM4" s="14" t="s">
        <v>248</v>
      </c>
      <c r="FN4" s="19"/>
      <c r="FO4" s="19"/>
      <c r="FP4" s="19" t="str">
        <f t="shared" si="1"/>
        <v>Base de Dados_Images/ACVCF6501.Imagem do Equipamento-.125453.jpg</v>
      </c>
      <c r="FQ4" s="14"/>
      <c r="FR4" s="14"/>
    </row>
    <row r="5" ht="15.75" customHeight="1">
      <c r="A5" s="12" t="s">
        <v>234</v>
      </c>
      <c r="B5" s="12" t="s">
        <v>249</v>
      </c>
      <c r="C5" s="12" t="s">
        <v>219</v>
      </c>
      <c r="D5" s="22" t="s">
        <v>250</v>
      </c>
      <c r="E5" s="22" t="s">
        <v>251</v>
      </c>
      <c r="F5" s="13" t="s">
        <v>178</v>
      </c>
      <c r="G5" s="14" t="s">
        <v>179</v>
      </c>
      <c r="H5" s="14" t="s">
        <v>252</v>
      </c>
      <c r="I5" s="14" t="s">
        <v>179</v>
      </c>
      <c r="J5" s="14" t="s">
        <v>252</v>
      </c>
      <c r="K5" s="14" t="s">
        <v>179</v>
      </c>
      <c r="L5" s="14" t="s">
        <v>253</v>
      </c>
      <c r="M5" s="14" t="s">
        <v>179</v>
      </c>
      <c r="N5" s="14" t="s">
        <v>254</v>
      </c>
      <c r="O5" s="14" t="s">
        <v>179</v>
      </c>
      <c r="P5" s="14" t="s">
        <v>254</v>
      </c>
      <c r="Q5" s="14" t="s">
        <v>179</v>
      </c>
      <c r="R5" s="14" t="s">
        <v>255</v>
      </c>
      <c r="S5" s="14" t="s">
        <v>179</v>
      </c>
      <c r="T5" s="14" t="s">
        <v>255</v>
      </c>
      <c r="U5" s="14" t="s">
        <v>179</v>
      </c>
      <c r="V5" s="14" t="s">
        <v>256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6" t="s">
        <v>197</v>
      </c>
      <c r="BP5" s="17" t="s">
        <v>228</v>
      </c>
      <c r="BQ5" s="23"/>
      <c r="BR5" s="17" t="s">
        <v>198</v>
      </c>
      <c r="BS5" s="18">
        <v>45687.37119212963</v>
      </c>
      <c r="BT5" s="17" t="s">
        <v>198</v>
      </c>
      <c r="BU5" s="18">
        <v>45687.37119212963</v>
      </c>
      <c r="BV5" s="13" t="s">
        <v>199</v>
      </c>
      <c r="BW5" s="14" t="s">
        <v>179</v>
      </c>
      <c r="BX5" s="14" t="s">
        <v>257</v>
      </c>
      <c r="BY5" s="14" t="s">
        <v>179</v>
      </c>
      <c r="BZ5" s="14" t="s">
        <v>258</v>
      </c>
      <c r="CA5" s="15"/>
      <c r="CB5" s="15"/>
      <c r="CC5" s="15"/>
      <c r="CD5" s="15"/>
      <c r="CE5" s="15"/>
      <c r="CF5" s="15"/>
      <c r="CG5" s="19"/>
      <c r="CH5" s="15"/>
      <c r="CI5" s="19"/>
      <c r="CJ5" s="15"/>
      <c r="CK5" s="19"/>
      <c r="CL5" s="15"/>
      <c r="CM5" s="19"/>
      <c r="CN5" s="15"/>
      <c r="CO5" s="19"/>
      <c r="CP5" s="15"/>
      <c r="CQ5" s="15"/>
      <c r="CR5" s="15"/>
      <c r="CS5" s="19"/>
      <c r="CT5" s="15"/>
      <c r="CU5" s="19"/>
      <c r="CV5" s="15"/>
      <c r="CW5" s="19"/>
      <c r="CX5" s="15"/>
      <c r="CY5" s="19"/>
      <c r="CZ5" s="15"/>
      <c r="DA5" s="16" t="s">
        <v>197</v>
      </c>
      <c r="DB5" s="17" t="s">
        <v>228</v>
      </c>
      <c r="DC5" s="16"/>
      <c r="DD5" s="17" t="s">
        <v>198</v>
      </c>
      <c r="DE5" s="18">
        <v>45695.56957175926</v>
      </c>
      <c r="DF5" s="17" t="s">
        <v>198</v>
      </c>
      <c r="DG5" s="18">
        <v>45695.56957175926</v>
      </c>
      <c r="DH5" s="13" t="s">
        <v>205</v>
      </c>
      <c r="DI5" s="14" t="s">
        <v>179</v>
      </c>
      <c r="DJ5" s="14" t="s">
        <v>259</v>
      </c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6" t="s">
        <v>197</v>
      </c>
      <c r="ED5" s="17" t="s">
        <v>198</v>
      </c>
      <c r="EE5" s="18">
        <v>45726.47555555555</v>
      </c>
      <c r="EF5" s="13" t="s">
        <v>209</v>
      </c>
      <c r="EG5" s="14" t="s">
        <v>179</v>
      </c>
      <c r="EH5" s="14" t="s">
        <v>260</v>
      </c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6" t="s">
        <v>197</v>
      </c>
      <c r="FD5" s="17" t="s">
        <v>198</v>
      </c>
      <c r="FE5" s="18">
        <v>45726.47560185185</v>
      </c>
      <c r="FF5" s="19"/>
      <c r="FG5" s="19"/>
      <c r="FH5" s="21" t="s">
        <v>197</v>
      </c>
      <c r="FI5" s="17" t="s">
        <v>214</v>
      </c>
      <c r="FJ5" s="18">
        <v>45726.47560185185</v>
      </c>
      <c r="FK5" s="14" t="s">
        <v>260</v>
      </c>
      <c r="FL5" s="14" t="s">
        <v>261</v>
      </c>
      <c r="FM5" s="14" t="s">
        <v>262</v>
      </c>
      <c r="FN5" s="19"/>
      <c r="FO5" s="19"/>
      <c r="FP5" s="19" t="str">
        <f t="shared" si="1"/>
        <v>Base de Dados_Images/ACVCF6502.Imagem do Equipamento-.125916.jpg</v>
      </c>
      <c r="FQ5" s="19"/>
      <c r="FR5" s="19"/>
    </row>
    <row r="6" ht="15.75" customHeight="1">
      <c r="A6" s="12" t="s">
        <v>234</v>
      </c>
      <c r="B6" s="12" t="s">
        <v>263</v>
      </c>
      <c r="C6" s="12" t="s">
        <v>219</v>
      </c>
      <c r="D6" s="22" t="s">
        <v>264</v>
      </c>
      <c r="E6" s="22" t="s">
        <v>265</v>
      </c>
      <c r="F6" s="13" t="s">
        <v>178</v>
      </c>
      <c r="G6" s="14" t="s">
        <v>179</v>
      </c>
      <c r="H6" s="14" t="s">
        <v>266</v>
      </c>
      <c r="I6" s="14" t="s">
        <v>179</v>
      </c>
      <c r="J6" s="14" t="s">
        <v>266</v>
      </c>
      <c r="K6" s="14" t="s">
        <v>179</v>
      </c>
      <c r="L6" s="14" t="s">
        <v>267</v>
      </c>
      <c r="M6" s="14" t="s">
        <v>179</v>
      </c>
      <c r="N6" s="14" t="s">
        <v>267</v>
      </c>
      <c r="O6" s="14" t="s">
        <v>179</v>
      </c>
      <c r="P6" s="14" t="s">
        <v>268</v>
      </c>
      <c r="Q6" s="14" t="s">
        <v>179</v>
      </c>
      <c r="R6" s="14" t="s">
        <v>268</v>
      </c>
      <c r="S6" s="14" t="s">
        <v>179</v>
      </c>
      <c r="T6" s="14" t="s">
        <v>269</v>
      </c>
      <c r="U6" s="14" t="s">
        <v>179</v>
      </c>
      <c r="V6" s="14" t="s">
        <v>269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6" t="s">
        <v>197</v>
      </c>
      <c r="BP6" s="17" t="s">
        <v>228</v>
      </c>
      <c r="BQ6" s="23"/>
      <c r="BR6" s="17" t="s">
        <v>198</v>
      </c>
      <c r="BS6" s="18">
        <v>45687.37185185185</v>
      </c>
      <c r="BT6" s="17" t="s">
        <v>198</v>
      </c>
      <c r="BU6" s="18">
        <v>45687.37185185185</v>
      </c>
      <c r="BV6" s="13" t="s">
        <v>199</v>
      </c>
      <c r="BW6" s="14" t="s">
        <v>179</v>
      </c>
      <c r="BX6" s="14" t="s">
        <v>270</v>
      </c>
      <c r="BY6" s="14" t="s">
        <v>179</v>
      </c>
      <c r="BZ6" s="14" t="s">
        <v>271</v>
      </c>
      <c r="CA6" s="15"/>
      <c r="CB6" s="15"/>
      <c r="CC6" s="15"/>
      <c r="CD6" s="15"/>
      <c r="CE6" s="15"/>
      <c r="CF6" s="15"/>
      <c r="CG6" s="19"/>
      <c r="CH6" s="15"/>
      <c r="CI6" s="19"/>
      <c r="CJ6" s="15"/>
      <c r="CK6" s="19"/>
      <c r="CL6" s="15"/>
      <c r="CM6" s="19"/>
      <c r="CN6" s="15"/>
      <c r="CO6" s="19"/>
      <c r="CP6" s="15"/>
      <c r="CQ6" s="15"/>
      <c r="CR6" s="15"/>
      <c r="CS6" s="19"/>
      <c r="CT6" s="15"/>
      <c r="CU6" s="19"/>
      <c r="CV6" s="15"/>
      <c r="CW6" s="19"/>
      <c r="CX6" s="15"/>
      <c r="CY6" s="19"/>
      <c r="CZ6" s="15"/>
      <c r="DA6" s="16" t="s">
        <v>197</v>
      </c>
      <c r="DB6" s="17" t="s">
        <v>228</v>
      </c>
      <c r="DC6" s="16"/>
      <c r="DD6" s="17" t="s">
        <v>198</v>
      </c>
      <c r="DE6" s="18">
        <v>45695.569756944446</v>
      </c>
      <c r="DF6" s="17" t="s">
        <v>198</v>
      </c>
      <c r="DG6" s="18">
        <v>45695.569756944446</v>
      </c>
      <c r="DH6" s="13" t="s">
        <v>205</v>
      </c>
      <c r="DI6" s="14" t="s">
        <v>179</v>
      </c>
      <c r="DJ6" s="14" t="s">
        <v>272</v>
      </c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6" t="s">
        <v>197</v>
      </c>
      <c r="ED6" s="17" t="s">
        <v>198</v>
      </c>
      <c r="EE6" s="18">
        <v>45722.38715277778</v>
      </c>
      <c r="EF6" s="13" t="s">
        <v>209</v>
      </c>
      <c r="EG6" s="14" t="s">
        <v>179</v>
      </c>
      <c r="EH6" s="14" t="s">
        <v>273</v>
      </c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6" t="s">
        <v>197</v>
      </c>
      <c r="FD6" s="17" t="s">
        <v>198</v>
      </c>
      <c r="FE6" s="18">
        <v>45722.3871875</v>
      </c>
      <c r="FF6" s="19"/>
      <c r="FG6" s="19"/>
      <c r="FH6" s="21" t="s">
        <v>197</v>
      </c>
      <c r="FI6" s="17" t="s">
        <v>214</v>
      </c>
      <c r="FJ6" s="18">
        <v>45722.3871875</v>
      </c>
      <c r="FK6" s="14" t="s">
        <v>273</v>
      </c>
      <c r="FL6" s="14" t="s">
        <v>274</v>
      </c>
      <c r="FM6" s="14" t="s">
        <v>275</v>
      </c>
      <c r="FN6" s="19"/>
      <c r="FO6" s="19"/>
      <c r="FP6" s="19" t="str">
        <f t="shared" si="1"/>
        <v>Base de Dados_Images/ACVCF6503.Imagem do Equipamento-.130030.jpg</v>
      </c>
      <c r="FQ6" s="19"/>
      <c r="FR6" s="19"/>
    </row>
    <row r="7" ht="15.75" customHeight="1">
      <c r="A7" s="12" t="s">
        <v>234</v>
      </c>
      <c r="B7" s="12" t="s">
        <v>276</v>
      </c>
      <c r="C7" s="12" t="s">
        <v>219</v>
      </c>
      <c r="D7" s="22" t="s">
        <v>277</v>
      </c>
      <c r="E7" s="22" t="s">
        <v>278</v>
      </c>
      <c r="F7" s="13" t="s">
        <v>178</v>
      </c>
      <c r="G7" s="14" t="s">
        <v>179</v>
      </c>
      <c r="H7" s="14" t="s">
        <v>279</v>
      </c>
      <c r="I7" s="14" t="s">
        <v>179</v>
      </c>
      <c r="J7" s="14" t="s">
        <v>280</v>
      </c>
      <c r="K7" s="14" t="s">
        <v>179</v>
      </c>
      <c r="L7" s="14" t="s">
        <v>281</v>
      </c>
      <c r="M7" s="14" t="s">
        <v>179</v>
      </c>
      <c r="N7" s="14" t="s">
        <v>282</v>
      </c>
      <c r="O7" s="14" t="s">
        <v>179</v>
      </c>
      <c r="P7" s="14" t="s">
        <v>283</v>
      </c>
      <c r="Q7" s="14" t="s">
        <v>179</v>
      </c>
      <c r="R7" s="14" t="s">
        <v>284</v>
      </c>
      <c r="S7" s="14" t="s">
        <v>179</v>
      </c>
      <c r="T7" s="14" t="s">
        <v>284</v>
      </c>
      <c r="U7" s="14" t="s">
        <v>179</v>
      </c>
      <c r="V7" s="14" t="s">
        <v>285</v>
      </c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6" t="s">
        <v>197</v>
      </c>
      <c r="BP7" s="17" t="s">
        <v>228</v>
      </c>
      <c r="BQ7" s="23"/>
      <c r="BR7" s="17" t="s">
        <v>198</v>
      </c>
      <c r="BS7" s="18">
        <v>45687.37520833333</v>
      </c>
      <c r="BT7" s="17" t="s">
        <v>198</v>
      </c>
      <c r="BU7" s="18">
        <v>45687.37520833333</v>
      </c>
      <c r="BV7" s="13" t="s">
        <v>199</v>
      </c>
      <c r="BW7" s="14" t="s">
        <v>179</v>
      </c>
      <c r="BX7" s="14" t="s">
        <v>286</v>
      </c>
      <c r="BY7" s="14" t="s">
        <v>179</v>
      </c>
      <c r="BZ7" s="14" t="s">
        <v>287</v>
      </c>
      <c r="CA7" s="15"/>
      <c r="CB7" s="15"/>
      <c r="CC7" s="15"/>
      <c r="CD7" s="15"/>
      <c r="CE7" s="15"/>
      <c r="CF7" s="15"/>
      <c r="CG7" s="19"/>
      <c r="CH7" s="15"/>
      <c r="CI7" s="19"/>
      <c r="CJ7" s="15"/>
      <c r="CK7" s="19"/>
      <c r="CL7" s="15"/>
      <c r="CM7" s="19"/>
      <c r="CN7" s="15"/>
      <c r="CO7" s="19"/>
      <c r="CP7" s="15"/>
      <c r="CQ7" s="15"/>
      <c r="CR7" s="15"/>
      <c r="CS7" s="19"/>
      <c r="CT7" s="15"/>
      <c r="CU7" s="19"/>
      <c r="CV7" s="15"/>
      <c r="CW7" s="19"/>
      <c r="CX7" s="15"/>
      <c r="CY7" s="19"/>
      <c r="CZ7" s="15"/>
      <c r="DA7" s="16" t="s">
        <v>197</v>
      </c>
      <c r="DB7" s="17" t="s">
        <v>228</v>
      </c>
      <c r="DC7" s="16"/>
      <c r="DD7" s="17" t="s">
        <v>198</v>
      </c>
      <c r="DE7" s="18">
        <v>45695.56995370371</v>
      </c>
      <c r="DF7" s="17" t="s">
        <v>198</v>
      </c>
      <c r="DG7" s="18">
        <v>45695.56995370371</v>
      </c>
      <c r="DH7" s="13" t="s">
        <v>205</v>
      </c>
      <c r="DI7" s="14" t="s">
        <v>179</v>
      </c>
      <c r="DJ7" s="14" t="s">
        <v>288</v>
      </c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6" t="s">
        <v>197</v>
      </c>
      <c r="ED7" s="17" t="s">
        <v>198</v>
      </c>
      <c r="EE7" s="18">
        <v>45722.38744212963</v>
      </c>
      <c r="EF7" s="13" t="s">
        <v>209</v>
      </c>
      <c r="EG7" s="14" t="s">
        <v>179</v>
      </c>
      <c r="EH7" s="14" t="s">
        <v>289</v>
      </c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6" t="s">
        <v>197</v>
      </c>
      <c r="FD7" s="17" t="s">
        <v>198</v>
      </c>
      <c r="FE7" s="18">
        <v>45722.38747685185</v>
      </c>
      <c r="FF7" s="19"/>
      <c r="FG7" s="19"/>
      <c r="FH7" s="21" t="s">
        <v>197</v>
      </c>
      <c r="FI7" s="17" t="s">
        <v>214</v>
      </c>
      <c r="FJ7" s="18">
        <v>45722.38747685185</v>
      </c>
      <c r="FK7" s="14" t="s">
        <v>289</v>
      </c>
      <c r="FL7" s="14" t="s">
        <v>290</v>
      </c>
      <c r="FM7" s="14" t="s">
        <v>291</v>
      </c>
      <c r="FN7" s="19"/>
      <c r="FO7" s="19"/>
      <c r="FP7" s="19" t="str">
        <f t="shared" si="1"/>
        <v>Base de Dados_Images/ACVCF6504.Imagem do Equipamento-.130452.jpg</v>
      </c>
      <c r="FQ7" s="19"/>
      <c r="FR7" s="19"/>
    </row>
    <row r="8" ht="15.75" customHeight="1">
      <c r="A8" s="12" t="s">
        <v>292</v>
      </c>
      <c r="B8" s="12" t="s">
        <v>293</v>
      </c>
      <c r="C8" s="24" t="s">
        <v>294</v>
      </c>
      <c r="D8" s="22" t="s">
        <v>295</v>
      </c>
      <c r="E8" s="22" t="s">
        <v>296</v>
      </c>
      <c r="F8" s="13" t="s">
        <v>178</v>
      </c>
      <c r="G8" s="14" t="s">
        <v>179</v>
      </c>
      <c r="H8" s="14" t="s">
        <v>297</v>
      </c>
      <c r="I8" s="14" t="s">
        <v>179</v>
      </c>
      <c r="J8" s="14" t="s">
        <v>298</v>
      </c>
      <c r="K8" s="14" t="s">
        <v>179</v>
      </c>
      <c r="L8" s="14" t="s">
        <v>299</v>
      </c>
      <c r="M8" s="14" t="s">
        <v>179</v>
      </c>
      <c r="N8" s="14" t="s">
        <v>300</v>
      </c>
      <c r="O8" s="14" t="s">
        <v>179</v>
      </c>
      <c r="P8" s="14" t="s">
        <v>301</v>
      </c>
      <c r="Q8" s="14" t="s">
        <v>179</v>
      </c>
      <c r="R8" s="14" t="s">
        <v>302</v>
      </c>
      <c r="S8" s="14" t="s">
        <v>179</v>
      </c>
      <c r="T8" s="14" t="s">
        <v>303</v>
      </c>
      <c r="U8" s="14" t="s">
        <v>179</v>
      </c>
      <c r="V8" s="14" t="s">
        <v>304</v>
      </c>
      <c r="W8" s="14" t="s">
        <v>179</v>
      </c>
      <c r="X8" s="14" t="s">
        <v>305</v>
      </c>
      <c r="Y8" s="14" t="s">
        <v>179</v>
      </c>
      <c r="Z8" s="14" t="s">
        <v>306</v>
      </c>
      <c r="AA8" s="14" t="s">
        <v>188</v>
      </c>
      <c r="AB8" s="14" t="s">
        <v>307</v>
      </c>
      <c r="AC8" s="14" t="s">
        <v>179</v>
      </c>
      <c r="AD8" s="14" t="s">
        <v>308</v>
      </c>
      <c r="AE8" s="14" t="s">
        <v>179</v>
      </c>
      <c r="AF8" s="14" t="s">
        <v>309</v>
      </c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6" t="s">
        <v>197</v>
      </c>
      <c r="BP8" s="17" t="s">
        <v>198</v>
      </c>
      <c r="BQ8" s="18">
        <v>45685.48341435185</v>
      </c>
      <c r="BR8" s="17" t="s">
        <v>198</v>
      </c>
      <c r="BS8" s="18">
        <v>45685.483611111114</v>
      </c>
      <c r="BT8" s="17" t="s">
        <v>198</v>
      </c>
      <c r="BU8" s="18">
        <v>45685.483611111114</v>
      </c>
      <c r="BV8" s="13" t="s">
        <v>199</v>
      </c>
      <c r="BW8" s="14" t="s">
        <v>179</v>
      </c>
      <c r="BX8" s="14" t="s">
        <v>310</v>
      </c>
      <c r="BY8" s="14" t="s">
        <v>179</v>
      </c>
      <c r="BZ8" s="14" t="s">
        <v>311</v>
      </c>
      <c r="CA8" s="14" t="s">
        <v>179</v>
      </c>
      <c r="CB8" s="14" t="s">
        <v>312</v>
      </c>
      <c r="CC8" s="14" t="s">
        <v>179</v>
      </c>
      <c r="CD8" s="14" t="s">
        <v>313</v>
      </c>
      <c r="CE8" s="15"/>
      <c r="CF8" s="15"/>
      <c r="CG8" s="19"/>
      <c r="CH8" s="15"/>
      <c r="CI8" s="19"/>
      <c r="CJ8" s="15"/>
      <c r="CK8" s="19"/>
      <c r="CL8" s="15"/>
      <c r="CM8" s="19"/>
      <c r="CN8" s="15"/>
      <c r="CO8" s="19"/>
      <c r="CP8" s="15"/>
      <c r="CQ8" s="15"/>
      <c r="CR8" s="15"/>
      <c r="CS8" s="19"/>
      <c r="CT8" s="15"/>
      <c r="CU8" s="19"/>
      <c r="CV8" s="15"/>
      <c r="CW8" s="19"/>
      <c r="CX8" s="15"/>
      <c r="CY8" s="19"/>
      <c r="CZ8" s="15"/>
      <c r="DA8" s="16" t="s">
        <v>197</v>
      </c>
      <c r="DB8" s="17" t="s">
        <v>198</v>
      </c>
      <c r="DC8" s="20">
        <v>45720.55917824074</v>
      </c>
      <c r="DD8" s="17" t="s">
        <v>198</v>
      </c>
      <c r="DE8" s="18">
        <v>45720.55923611111</v>
      </c>
      <c r="DF8" s="17" t="s">
        <v>198</v>
      </c>
      <c r="DG8" s="18">
        <v>45720.55923611111</v>
      </c>
      <c r="DH8" s="13" t="s">
        <v>205</v>
      </c>
      <c r="DI8" s="14" t="s">
        <v>179</v>
      </c>
      <c r="DJ8" s="14" t="s">
        <v>314</v>
      </c>
      <c r="DK8" s="14" t="s">
        <v>179</v>
      </c>
      <c r="DL8" s="14" t="s">
        <v>315</v>
      </c>
      <c r="DM8" s="14" t="s">
        <v>179</v>
      </c>
      <c r="DN8" s="14" t="s">
        <v>316</v>
      </c>
      <c r="DO8" s="14" t="s">
        <v>179</v>
      </c>
      <c r="DP8" s="14" t="s">
        <v>315</v>
      </c>
      <c r="DQ8" s="14" t="s">
        <v>179</v>
      </c>
      <c r="DR8" s="14" t="s">
        <v>317</v>
      </c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6" t="s">
        <v>197</v>
      </c>
      <c r="ED8" s="17" t="s">
        <v>198</v>
      </c>
      <c r="EE8" s="18">
        <v>45720.55935185185</v>
      </c>
      <c r="EF8" s="13" t="s">
        <v>209</v>
      </c>
      <c r="EG8" s="14" t="s">
        <v>179</v>
      </c>
      <c r="EH8" s="14" t="s">
        <v>318</v>
      </c>
      <c r="EI8" s="14" t="s">
        <v>179</v>
      </c>
      <c r="EJ8" s="14" t="s">
        <v>319</v>
      </c>
      <c r="EK8" s="14" t="s">
        <v>179</v>
      </c>
      <c r="EL8" s="14" t="s">
        <v>320</v>
      </c>
      <c r="EM8" s="14" t="s">
        <v>179</v>
      </c>
      <c r="EN8" s="14" t="s">
        <v>321</v>
      </c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6" t="s">
        <v>197</v>
      </c>
      <c r="FD8" s="17" t="s">
        <v>198</v>
      </c>
      <c r="FE8" s="18">
        <v>45723.30538194445</v>
      </c>
      <c r="FF8" s="19"/>
      <c r="FG8" s="19"/>
      <c r="FH8" s="21" t="s">
        <v>197</v>
      </c>
      <c r="FI8" s="17" t="s">
        <v>214</v>
      </c>
      <c r="FJ8" s="18">
        <v>45723.30538194445</v>
      </c>
      <c r="FK8" s="14" t="s">
        <v>321</v>
      </c>
      <c r="FL8" s="14" t="s">
        <v>322</v>
      </c>
      <c r="FM8" s="14" t="s">
        <v>323</v>
      </c>
      <c r="FN8" s="19"/>
      <c r="FO8" s="19"/>
      <c r="FP8" s="19" t="str">
        <f t="shared" si="1"/>
        <v>Base de Dados_Images/AG3008.Imagem do Equipamento-.170350.jpg</v>
      </c>
      <c r="FQ8" s="19"/>
      <c r="FR8" s="19"/>
    </row>
    <row r="9" ht="15.75" customHeight="1">
      <c r="A9" s="12" t="s">
        <v>234</v>
      </c>
      <c r="B9" s="12" t="s">
        <v>235</v>
      </c>
      <c r="C9" s="24" t="s">
        <v>324</v>
      </c>
      <c r="D9" s="22" t="s">
        <v>325</v>
      </c>
      <c r="E9" s="22" t="s">
        <v>326</v>
      </c>
      <c r="F9" s="13" t="s">
        <v>178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6" t="s">
        <v>197</v>
      </c>
      <c r="BP9" s="17" t="s">
        <v>228</v>
      </c>
      <c r="BQ9" s="23"/>
      <c r="BR9" s="17" t="s">
        <v>228</v>
      </c>
      <c r="BS9" s="23"/>
      <c r="BT9" s="17" t="s">
        <v>228</v>
      </c>
      <c r="BU9" s="23"/>
      <c r="BV9" s="13" t="s">
        <v>199</v>
      </c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9"/>
      <c r="CH9" s="15"/>
      <c r="CI9" s="19"/>
      <c r="CJ9" s="15"/>
      <c r="CK9" s="19"/>
      <c r="CL9" s="15"/>
      <c r="CM9" s="19"/>
      <c r="CN9" s="15"/>
      <c r="CO9" s="19"/>
      <c r="CP9" s="15"/>
      <c r="CQ9" s="15"/>
      <c r="CR9" s="15"/>
      <c r="CS9" s="19"/>
      <c r="CT9" s="15"/>
      <c r="CU9" s="19"/>
      <c r="CV9" s="15"/>
      <c r="CW9" s="19"/>
      <c r="CX9" s="15"/>
      <c r="CY9" s="19"/>
      <c r="CZ9" s="15"/>
      <c r="DA9" s="16" t="s">
        <v>197</v>
      </c>
      <c r="DB9" s="17" t="s">
        <v>228</v>
      </c>
      <c r="DC9" s="16"/>
      <c r="DD9" s="17" t="s">
        <v>228</v>
      </c>
      <c r="DE9" s="23"/>
      <c r="DF9" s="17" t="s">
        <v>228</v>
      </c>
      <c r="DG9" s="23"/>
      <c r="DH9" s="13" t="s">
        <v>205</v>
      </c>
      <c r="DI9" s="14" t="s">
        <v>179</v>
      </c>
      <c r="DJ9" s="14" t="s">
        <v>327</v>
      </c>
      <c r="DK9" s="14" t="s">
        <v>179</v>
      </c>
      <c r="DL9" s="14" t="s">
        <v>328</v>
      </c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6" t="s">
        <v>197</v>
      </c>
      <c r="ED9" s="17" t="s">
        <v>198</v>
      </c>
      <c r="EE9" s="18">
        <v>45694.568344907406</v>
      </c>
      <c r="EF9" s="13" t="s">
        <v>209</v>
      </c>
      <c r="EG9" s="14" t="s">
        <v>179</v>
      </c>
      <c r="EH9" s="14" t="s">
        <v>329</v>
      </c>
      <c r="EI9" s="14" t="s">
        <v>179</v>
      </c>
      <c r="EJ9" s="14" t="s">
        <v>330</v>
      </c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6" t="s">
        <v>197</v>
      </c>
      <c r="FD9" s="17" t="s">
        <v>198</v>
      </c>
      <c r="FE9" s="18">
        <v>45723.31175925926</v>
      </c>
      <c r="FF9" s="19"/>
      <c r="FG9" s="19"/>
      <c r="FH9" s="21" t="s">
        <v>197</v>
      </c>
      <c r="FI9" s="17" t="s">
        <v>214</v>
      </c>
      <c r="FJ9" s="18">
        <v>45723.31175925926</v>
      </c>
      <c r="FK9" s="14" t="s">
        <v>330</v>
      </c>
      <c r="FL9" s="14" t="s">
        <v>331</v>
      </c>
      <c r="FM9" s="14" t="s">
        <v>332</v>
      </c>
      <c r="FN9" s="19"/>
      <c r="FO9" s="19"/>
      <c r="FP9" s="19" t="str">
        <f t="shared" si="1"/>
        <v>Base de Dados_Images/AIC CF6501.Imagem do Equipamento-.163826.jpg</v>
      </c>
      <c r="FQ9" s="19"/>
      <c r="FR9" s="19"/>
    </row>
    <row r="10" ht="15.75" customHeight="1">
      <c r="A10" s="12" t="s">
        <v>234</v>
      </c>
      <c r="B10" s="12" t="s">
        <v>249</v>
      </c>
      <c r="C10" s="24" t="s">
        <v>324</v>
      </c>
      <c r="D10" s="22" t="s">
        <v>333</v>
      </c>
      <c r="E10" s="22" t="s">
        <v>334</v>
      </c>
      <c r="F10" s="13" t="s">
        <v>178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6" t="s">
        <v>197</v>
      </c>
      <c r="BP10" s="17" t="s">
        <v>228</v>
      </c>
      <c r="BQ10" s="23"/>
      <c r="BR10" s="17" t="s">
        <v>228</v>
      </c>
      <c r="BS10" s="23"/>
      <c r="BT10" s="17" t="s">
        <v>228</v>
      </c>
      <c r="BU10" s="23"/>
      <c r="BV10" s="13" t="s">
        <v>199</v>
      </c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9"/>
      <c r="CH10" s="15"/>
      <c r="CI10" s="19"/>
      <c r="CJ10" s="15"/>
      <c r="CK10" s="19"/>
      <c r="CL10" s="15"/>
      <c r="CM10" s="19"/>
      <c r="CN10" s="15"/>
      <c r="CO10" s="19"/>
      <c r="CP10" s="15"/>
      <c r="CQ10" s="15"/>
      <c r="CR10" s="15"/>
      <c r="CS10" s="19"/>
      <c r="CT10" s="15"/>
      <c r="CU10" s="19"/>
      <c r="CV10" s="15"/>
      <c r="CW10" s="19"/>
      <c r="CX10" s="15"/>
      <c r="CY10" s="19"/>
      <c r="CZ10" s="15"/>
      <c r="DA10" s="16" t="s">
        <v>197</v>
      </c>
      <c r="DB10" s="17" t="s">
        <v>228</v>
      </c>
      <c r="DC10" s="16"/>
      <c r="DD10" s="17" t="s">
        <v>228</v>
      </c>
      <c r="DE10" s="23"/>
      <c r="DF10" s="17" t="s">
        <v>228</v>
      </c>
      <c r="DG10" s="23"/>
      <c r="DH10" s="13" t="s">
        <v>205</v>
      </c>
      <c r="DI10" s="14" t="s">
        <v>179</v>
      </c>
      <c r="DJ10" s="14" t="s">
        <v>335</v>
      </c>
      <c r="DK10" s="14" t="s">
        <v>179</v>
      </c>
      <c r="DL10" s="14" t="s">
        <v>336</v>
      </c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6" t="s">
        <v>197</v>
      </c>
      <c r="ED10" s="17" t="s">
        <v>198</v>
      </c>
      <c r="EE10" s="18">
        <v>45694.567708333336</v>
      </c>
      <c r="EF10" s="13" t="s">
        <v>209</v>
      </c>
      <c r="EG10" s="14" t="s">
        <v>179</v>
      </c>
      <c r="EH10" s="14" t="s">
        <v>337</v>
      </c>
      <c r="EI10" s="14" t="s">
        <v>179</v>
      </c>
      <c r="EJ10" s="14" t="s">
        <v>338</v>
      </c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6" t="s">
        <v>197</v>
      </c>
      <c r="FD10" s="17" t="s">
        <v>198</v>
      </c>
      <c r="FE10" s="18">
        <v>45726.4756712963</v>
      </c>
      <c r="FF10" s="19"/>
      <c r="FG10" s="19"/>
      <c r="FH10" s="21" t="s">
        <v>197</v>
      </c>
      <c r="FI10" s="17" t="s">
        <v>214</v>
      </c>
      <c r="FJ10" s="18">
        <v>45726.4756712963</v>
      </c>
      <c r="FK10" s="14" t="s">
        <v>338</v>
      </c>
      <c r="FL10" s="14" t="s">
        <v>339</v>
      </c>
      <c r="FM10" s="14" t="s">
        <v>340</v>
      </c>
      <c r="FN10" s="19"/>
      <c r="FO10" s="19"/>
      <c r="FP10" s="19" t="str">
        <f t="shared" si="1"/>
        <v>Base de Dados_Images/AIC CF6502.Imagem do Equipamento-.163645.jpg</v>
      </c>
      <c r="FQ10" s="19"/>
      <c r="FR10" s="19"/>
    </row>
    <row r="11" ht="15.75" customHeight="1">
      <c r="A11" s="12" t="s">
        <v>234</v>
      </c>
      <c r="B11" s="12" t="s">
        <v>263</v>
      </c>
      <c r="C11" s="24" t="s">
        <v>324</v>
      </c>
      <c r="D11" s="22" t="s">
        <v>341</v>
      </c>
      <c r="E11" s="22" t="s">
        <v>342</v>
      </c>
      <c r="F11" s="13" t="s">
        <v>178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6" t="s">
        <v>197</v>
      </c>
      <c r="BP11" s="17" t="s">
        <v>228</v>
      </c>
      <c r="BQ11" s="23"/>
      <c r="BR11" s="17" t="s">
        <v>228</v>
      </c>
      <c r="BS11" s="23"/>
      <c r="BT11" s="17" t="s">
        <v>228</v>
      </c>
      <c r="BU11" s="23"/>
      <c r="BV11" s="13" t="s">
        <v>199</v>
      </c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9"/>
      <c r="CH11" s="15"/>
      <c r="CI11" s="19"/>
      <c r="CJ11" s="15"/>
      <c r="CK11" s="19"/>
      <c r="CL11" s="15"/>
      <c r="CM11" s="19"/>
      <c r="CN11" s="15"/>
      <c r="CO11" s="19"/>
      <c r="CP11" s="15"/>
      <c r="CQ11" s="15"/>
      <c r="CR11" s="15"/>
      <c r="CS11" s="19"/>
      <c r="CT11" s="15"/>
      <c r="CU11" s="19"/>
      <c r="CV11" s="15"/>
      <c r="CW11" s="19"/>
      <c r="CX11" s="15"/>
      <c r="CY11" s="19"/>
      <c r="CZ11" s="15"/>
      <c r="DA11" s="16" t="s">
        <v>197</v>
      </c>
      <c r="DB11" s="17" t="s">
        <v>228</v>
      </c>
      <c r="DC11" s="16"/>
      <c r="DD11" s="17" t="s">
        <v>228</v>
      </c>
      <c r="DE11" s="23"/>
      <c r="DF11" s="17" t="s">
        <v>228</v>
      </c>
      <c r="DG11" s="23"/>
      <c r="DH11" s="13" t="s">
        <v>205</v>
      </c>
      <c r="DI11" s="14" t="s">
        <v>179</v>
      </c>
      <c r="DJ11" s="14" t="s">
        <v>343</v>
      </c>
      <c r="DK11" s="14" t="s">
        <v>179</v>
      </c>
      <c r="DL11" s="14" t="s">
        <v>344</v>
      </c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6" t="s">
        <v>197</v>
      </c>
      <c r="ED11" s="17" t="s">
        <v>198</v>
      </c>
      <c r="EE11" s="18">
        <v>45694.56752314815</v>
      </c>
      <c r="EF11" s="13" t="s">
        <v>209</v>
      </c>
      <c r="EG11" s="14" t="s">
        <v>179</v>
      </c>
      <c r="EH11" s="14" t="s">
        <v>345</v>
      </c>
      <c r="EI11" s="14" t="s">
        <v>179</v>
      </c>
      <c r="EJ11" s="14" t="s">
        <v>346</v>
      </c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6" t="s">
        <v>197</v>
      </c>
      <c r="FD11" s="17" t="s">
        <v>198</v>
      </c>
      <c r="FE11" s="18">
        <v>45722.38690972222</v>
      </c>
      <c r="FF11" s="19"/>
      <c r="FG11" s="19"/>
      <c r="FH11" s="21" t="s">
        <v>197</v>
      </c>
      <c r="FI11" s="17" t="s">
        <v>214</v>
      </c>
      <c r="FJ11" s="18">
        <v>45722.38690972222</v>
      </c>
      <c r="FK11" s="14" t="s">
        <v>346</v>
      </c>
      <c r="FL11" s="14" t="s">
        <v>347</v>
      </c>
      <c r="FM11" s="14" t="s">
        <v>348</v>
      </c>
      <c r="FN11" s="19"/>
      <c r="FO11" s="19"/>
      <c r="FP11" s="19" t="str">
        <f t="shared" si="1"/>
        <v>Base de Dados_Images/AIC CF6503.Imagem do Equipamento-.163708.jpg</v>
      </c>
      <c r="FQ11" s="19"/>
      <c r="FR11" s="19"/>
    </row>
    <row r="12" ht="15.75" customHeight="1">
      <c r="A12" s="12" t="s">
        <v>234</v>
      </c>
      <c r="B12" s="12" t="s">
        <v>276</v>
      </c>
      <c r="C12" s="24" t="s">
        <v>324</v>
      </c>
      <c r="D12" s="22" t="s">
        <v>349</v>
      </c>
      <c r="E12" s="22" t="s">
        <v>350</v>
      </c>
      <c r="F12" s="13" t="s">
        <v>178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6" t="s">
        <v>197</v>
      </c>
      <c r="BP12" s="17" t="s">
        <v>228</v>
      </c>
      <c r="BQ12" s="23"/>
      <c r="BR12" s="17" t="s">
        <v>228</v>
      </c>
      <c r="BS12" s="23"/>
      <c r="BT12" s="17" t="s">
        <v>228</v>
      </c>
      <c r="BU12" s="23"/>
      <c r="BV12" s="13" t="s">
        <v>199</v>
      </c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9"/>
      <c r="CH12" s="15"/>
      <c r="CI12" s="19"/>
      <c r="CJ12" s="15"/>
      <c r="CK12" s="19"/>
      <c r="CL12" s="15"/>
      <c r="CM12" s="19"/>
      <c r="CN12" s="15"/>
      <c r="CO12" s="19"/>
      <c r="CP12" s="15"/>
      <c r="CQ12" s="15"/>
      <c r="CR12" s="15"/>
      <c r="CS12" s="19"/>
      <c r="CT12" s="15"/>
      <c r="CU12" s="19"/>
      <c r="CV12" s="15"/>
      <c r="CW12" s="19"/>
      <c r="CX12" s="15"/>
      <c r="CY12" s="19"/>
      <c r="CZ12" s="15"/>
      <c r="DA12" s="16" t="s">
        <v>197</v>
      </c>
      <c r="DB12" s="17" t="s">
        <v>228</v>
      </c>
      <c r="DC12" s="16"/>
      <c r="DD12" s="17" t="s">
        <v>228</v>
      </c>
      <c r="DE12" s="23"/>
      <c r="DF12" s="17" t="s">
        <v>228</v>
      </c>
      <c r="DG12" s="23"/>
      <c r="DH12" s="13" t="s">
        <v>205</v>
      </c>
      <c r="DI12" s="14" t="s">
        <v>179</v>
      </c>
      <c r="DJ12" s="14" t="s">
        <v>351</v>
      </c>
      <c r="DK12" s="14" t="s">
        <v>179</v>
      </c>
      <c r="DL12" s="14" t="s">
        <v>352</v>
      </c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6" t="s">
        <v>197</v>
      </c>
      <c r="ED12" s="17" t="s">
        <v>198</v>
      </c>
      <c r="EE12" s="18">
        <v>45694.37600694445</v>
      </c>
      <c r="EF12" s="13" t="s">
        <v>209</v>
      </c>
      <c r="EG12" s="14" t="s">
        <v>179</v>
      </c>
      <c r="EH12" s="14" t="s">
        <v>353</v>
      </c>
      <c r="EI12" s="14" t="s">
        <v>179</v>
      </c>
      <c r="EJ12" s="14" t="s">
        <v>354</v>
      </c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6" t="s">
        <v>197</v>
      </c>
      <c r="FD12" s="17" t="s">
        <v>198</v>
      </c>
      <c r="FE12" s="18">
        <v>45722.387291666666</v>
      </c>
      <c r="FF12" s="19"/>
      <c r="FG12" s="19"/>
      <c r="FH12" s="21" t="s">
        <v>197</v>
      </c>
      <c r="FI12" s="17" t="s">
        <v>214</v>
      </c>
      <c r="FJ12" s="18">
        <v>45722.387291666666</v>
      </c>
      <c r="FK12" s="14" t="s">
        <v>354</v>
      </c>
      <c r="FL12" s="14" t="s">
        <v>355</v>
      </c>
      <c r="FM12" s="14" t="s">
        <v>356</v>
      </c>
      <c r="FN12" s="19"/>
      <c r="FO12" s="19"/>
      <c r="FP12" s="19" t="str">
        <f t="shared" si="1"/>
        <v>Base de Dados_Images/AIC CF6504.Imagem do Equipamento-.181653.jpg</v>
      </c>
      <c r="FQ12" s="19"/>
      <c r="FR12" s="19"/>
    </row>
    <row r="13" ht="15.75" customHeight="1">
      <c r="A13" s="12" t="s">
        <v>357</v>
      </c>
      <c r="B13" s="12" t="s">
        <v>358</v>
      </c>
      <c r="C13" s="24" t="s">
        <v>324</v>
      </c>
      <c r="D13" s="22" t="s">
        <v>359</v>
      </c>
      <c r="E13" s="22" t="s">
        <v>360</v>
      </c>
      <c r="F13" s="13" t="s">
        <v>178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6" t="s">
        <v>197</v>
      </c>
      <c r="BP13" s="17" t="s">
        <v>228</v>
      </c>
      <c r="BQ13" s="23"/>
      <c r="BR13" s="17" t="s">
        <v>228</v>
      </c>
      <c r="BS13" s="23"/>
      <c r="BT13" s="17" t="s">
        <v>228</v>
      </c>
      <c r="BU13" s="23"/>
      <c r="BV13" s="13" t="s">
        <v>199</v>
      </c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9"/>
      <c r="CH13" s="15"/>
      <c r="CI13" s="19"/>
      <c r="CJ13" s="15"/>
      <c r="CK13" s="19"/>
      <c r="CL13" s="15"/>
      <c r="CM13" s="19"/>
      <c r="CN13" s="15"/>
      <c r="CO13" s="19"/>
      <c r="CP13" s="15"/>
      <c r="CQ13" s="15"/>
      <c r="CR13" s="15"/>
      <c r="CS13" s="19"/>
      <c r="CT13" s="15"/>
      <c r="CU13" s="19"/>
      <c r="CV13" s="15"/>
      <c r="CW13" s="19"/>
      <c r="CX13" s="15"/>
      <c r="CY13" s="19"/>
      <c r="CZ13" s="15"/>
      <c r="DA13" s="16" t="s">
        <v>197</v>
      </c>
      <c r="DB13" s="17" t="s">
        <v>228</v>
      </c>
      <c r="DC13" s="16"/>
      <c r="DD13" s="17" t="s">
        <v>228</v>
      </c>
      <c r="DE13" s="23"/>
      <c r="DF13" s="17" t="s">
        <v>228</v>
      </c>
      <c r="DG13" s="23"/>
      <c r="DH13" s="13" t="s">
        <v>205</v>
      </c>
      <c r="DI13" s="14" t="s">
        <v>179</v>
      </c>
      <c r="DJ13" s="14" t="s">
        <v>361</v>
      </c>
      <c r="DK13" s="14" t="s">
        <v>179</v>
      </c>
      <c r="DL13" s="14" t="s">
        <v>362</v>
      </c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6" t="s">
        <v>197</v>
      </c>
      <c r="ED13" s="17" t="s">
        <v>198</v>
      </c>
      <c r="EE13" s="18">
        <v>45706.396215277775</v>
      </c>
      <c r="EF13" s="13" t="s">
        <v>209</v>
      </c>
      <c r="EG13" s="14" t="s">
        <v>179</v>
      </c>
      <c r="EH13" s="14" t="s">
        <v>363</v>
      </c>
      <c r="EI13" s="14" t="s">
        <v>179</v>
      </c>
      <c r="EJ13" s="14" t="s">
        <v>364</v>
      </c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6" t="s">
        <v>197</v>
      </c>
      <c r="FD13" s="17" t="s">
        <v>198</v>
      </c>
      <c r="FE13" s="18">
        <v>45706.39627314815</v>
      </c>
      <c r="FF13" s="19"/>
      <c r="FG13" s="19"/>
      <c r="FH13" s="21" t="s">
        <v>197</v>
      </c>
      <c r="FI13" s="17" t="s">
        <v>214</v>
      </c>
      <c r="FJ13" s="18">
        <v>45706.39627314815</v>
      </c>
      <c r="FK13" s="14" t="s">
        <v>364</v>
      </c>
      <c r="FL13" s="19"/>
      <c r="FM13" s="19"/>
      <c r="FN13" s="19"/>
      <c r="FO13" s="19"/>
      <c r="FP13" s="19" t="str">
        <f t="shared" si="1"/>
        <v/>
      </c>
      <c r="FQ13" s="14" t="s">
        <v>215</v>
      </c>
      <c r="FR13" s="14" t="s">
        <v>365</v>
      </c>
    </row>
    <row r="14" ht="15.75" customHeight="1">
      <c r="A14" s="12" t="s">
        <v>357</v>
      </c>
      <c r="B14" s="12" t="s">
        <v>366</v>
      </c>
      <c r="C14" s="24" t="s">
        <v>324</v>
      </c>
      <c r="D14" s="22" t="s">
        <v>367</v>
      </c>
      <c r="E14" s="22" t="s">
        <v>368</v>
      </c>
      <c r="F14" s="13" t="s">
        <v>178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6" t="s">
        <v>197</v>
      </c>
      <c r="BP14" s="17" t="s">
        <v>228</v>
      </c>
      <c r="BQ14" s="23"/>
      <c r="BR14" s="17" t="s">
        <v>228</v>
      </c>
      <c r="BS14" s="23"/>
      <c r="BT14" s="17" t="s">
        <v>228</v>
      </c>
      <c r="BU14" s="23"/>
      <c r="BV14" s="13" t="s">
        <v>199</v>
      </c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9"/>
      <c r="CH14" s="15"/>
      <c r="CI14" s="19"/>
      <c r="CJ14" s="15"/>
      <c r="CK14" s="19"/>
      <c r="CL14" s="15"/>
      <c r="CM14" s="19"/>
      <c r="CN14" s="15"/>
      <c r="CO14" s="19"/>
      <c r="CP14" s="15"/>
      <c r="CQ14" s="15"/>
      <c r="CR14" s="15"/>
      <c r="CS14" s="19"/>
      <c r="CT14" s="15"/>
      <c r="CU14" s="19"/>
      <c r="CV14" s="15"/>
      <c r="CW14" s="19"/>
      <c r="CX14" s="15"/>
      <c r="CY14" s="19"/>
      <c r="CZ14" s="15"/>
      <c r="DA14" s="16" t="s">
        <v>197</v>
      </c>
      <c r="DB14" s="17" t="s">
        <v>228</v>
      </c>
      <c r="DC14" s="16"/>
      <c r="DD14" s="17" t="s">
        <v>228</v>
      </c>
      <c r="DE14" s="23"/>
      <c r="DF14" s="17" t="s">
        <v>228</v>
      </c>
      <c r="DG14" s="23"/>
      <c r="DH14" s="13" t="s">
        <v>205</v>
      </c>
      <c r="DI14" s="14" t="s">
        <v>179</v>
      </c>
      <c r="DJ14" s="14" t="s">
        <v>369</v>
      </c>
      <c r="DK14" s="14" t="s">
        <v>179</v>
      </c>
      <c r="DL14" s="14" t="s">
        <v>370</v>
      </c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6" t="s">
        <v>197</v>
      </c>
      <c r="ED14" s="17" t="s">
        <v>198</v>
      </c>
      <c r="EE14" s="18">
        <v>45711.686111111114</v>
      </c>
      <c r="EF14" s="13" t="s">
        <v>209</v>
      </c>
      <c r="EG14" s="14" t="s">
        <v>179</v>
      </c>
      <c r="EH14" s="14" t="s">
        <v>371</v>
      </c>
      <c r="EI14" s="14" t="s">
        <v>179</v>
      </c>
      <c r="EJ14" s="14" t="s">
        <v>371</v>
      </c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6" t="s">
        <v>197</v>
      </c>
      <c r="FD14" s="17" t="s">
        <v>198</v>
      </c>
      <c r="FE14" s="18">
        <v>45713.39157407408</v>
      </c>
      <c r="FF14" s="19"/>
      <c r="FG14" s="19"/>
      <c r="FH14" s="21" t="s">
        <v>197</v>
      </c>
      <c r="FI14" s="17" t="s">
        <v>214</v>
      </c>
      <c r="FJ14" s="18">
        <v>45713.39157407408</v>
      </c>
      <c r="FK14" s="14" t="s">
        <v>371</v>
      </c>
      <c r="FL14" s="14" t="s">
        <v>372</v>
      </c>
      <c r="FM14" s="14" t="s">
        <v>373</v>
      </c>
      <c r="FN14" s="19"/>
      <c r="FO14" s="19"/>
      <c r="FP14" s="19" t="str">
        <f t="shared" si="1"/>
        <v>Base de Dados_Images/AIC81018.Imagem do Equipamento-.145920.jpg</v>
      </c>
      <c r="FQ14" s="14"/>
      <c r="FR14" s="14"/>
    </row>
    <row r="15" ht="15.75" customHeight="1">
      <c r="A15" s="12" t="s">
        <v>292</v>
      </c>
      <c r="B15" s="12" t="s">
        <v>374</v>
      </c>
      <c r="C15" s="24" t="s">
        <v>375</v>
      </c>
      <c r="D15" s="22" t="s">
        <v>376</v>
      </c>
      <c r="E15" s="22" t="s">
        <v>377</v>
      </c>
      <c r="F15" s="13" t="s">
        <v>178</v>
      </c>
      <c r="G15" s="14" t="s">
        <v>179</v>
      </c>
      <c r="H15" s="14" t="s">
        <v>378</v>
      </c>
      <c r="I15" s="14" t="s">
        <v>179</v>
      </c>
      <c r="J15" s="14" t="s">
        <v>379</v>
      </c>
      <c r="K15" s="14" t="s">
        <v>179</v>
      </c>
      <c r="L15" s="14" t="s">
        <v>380</v>
      </c>
      <c r="M15" s="14" t="s">
        <v>179</v>
      </c>
      <c r="N15" s="14" t="s">
        <v>381</v>
      </c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6" t="s">
        <v>197</v>
      </c>
      <c r="BP15" s="17" t="s">
        <v>198</v>
      </c>
      <c r="BQ15" s="18">
        <v>45692.65557870371</v>
      </c>
      <c r="BR15" s="17" t="s">
        <v>198</v>
      </c>
      <c r="BS15" s="18">
        <v>45692.65555555555</v>
      </c>
      <c r="BT15" s="17" t="s">
        <v>198</v>
      </c>
      <c r="BU15" s="18">
        <v>45692.65557870371</v>
      </c>
      <c r="BV15" s="13" t="s">
        <v>199</v>
      </c>
      <c r="BW15" s="14" t="s">
        <v>179</v>
      </c>
      <c r="BX15" s="14" t="s">
        <v>382</v>
      </c>
      <c r="BY15" s="14" t="s">
        <v>179</v>
      </c>
      <c r="BZ15" s="14" t="s">
        <v>383</v>
      </c>
      <c r="CA15" s="14" t="s">
        <v>179</v>
      </c>
      <c r="CB15" s="14" t="s">
        <v>384</v>
      </c>
      <c r="CC15" s="15"/>
      <c r="CD15" s="15"/>
      <c r="CE15" s="15"/>
      <c r="CF15" s="15"/>
      <c r="CG15" s="19"/>
      <c r="CH15" s="15"/>
      <c r="CI15" s="19"/>
      <c r="CJ15" s="15"/>
      <c r="CK15" s="19"/>
      <c r="CL15" s="15"/>
      <c r="CM15" s="19"/>
      <c r="CN15" s="15"/>
      <c r="CO15" s="19"/>
      <c r="CP15" s="15"/>
      <c r="CQ15" s="15"/>
      <c r="CR15" s="15"/>
      <c r="CS15" s="19"/>
      <c r="CT15" s="15"/>
      <c r="CU15" s="19"/>
      <c r="CV15" s="15"/>
      <c r="CW15" s="19"/>
      <c r="CX15" s="15"/>
      <c r="CY15" s="19"/>
      <c r="CZ15" s="15"/>
      <c r="DA15" s="16" t="s">
        <v>197</v>
      </c>
      <c r="DB15" s="17" t="s">
        <v>228</v>
      </c>
      <c r="DC15" s="16"/>
      <c r="DD15" s="17" t="s">
        <v>198</v>
      </c>
      <c r="DE15" s="18">
        <v>45719.45694444444</v>
      </c>
      <c r="DF15" s="17" t="s">
        <v>198</v>
      </c>
      <c r="DG15" s="18">
        <v>45719.45694444444</v>
      </c>
      <c r="DH15" s="13" t="s">
        <v>205</v>
      </c>
      <c r="DI15" s="14" t="s">
        <v>179</v>
      </c>
      <c r="DJ15" s="14" t="s">
        <v>385</v>
      </c>
      <c r="DK15" s="14" t="s">
        <v>179</v>
      </c>
      <c r="DL15" s="14" t="s">
        <v>386</v>
      </c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6" t="s">
        <v>197</v>
      </c>
      <c r="ED15" s="17" t="s">
        <v>198</v>
      </c>
      <c r="EE15" s="18">
        <v>45719.45716435185</v>
      </c>
      <c r="EF15" s="13" t="s">
        <v>209</v>
      </c>
      <c r="EG15" s="14" t="s">
        <v>179</v>
      </c>
      <c r="EH15" s="14" t="s">
        <v>387</v>
      </c>
      <c r="EI15" s="14" t="s">
        <v>179</v>
      </c>
      <c r="EJ15" s="14" t="s">
        <v>388</v>
      </c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6" t="s">
        <v>197</v>
      </c>
      <c r="FD15" s="17" t="s">
        <v>198</v>
      </c>
      <c r="FE15" s="18">
        <v>45723.37898148148</v>
      </c>
      <c r="FF15" s="19"/>
      <c r="FG15" s="19"/>
      <c r="FH15" s="21" t="s">
        <v>197</v>
      </c>
      <c r="FI15" s="17" t="s">
        <v>214</v>
      </c>
      <c r="FJ15" s="18">
        <v>45723.37898148148</v>
      </c>
      <c r="FK15" s="14" t="s">
        <v>387</v>
      </c>
      <c r="FL15" s="14" t="s">
        <v>389</v>
      </c>
      <c r="FM15" s="14" t="s">
        <v>390</v>
      </c>
      <c r="FN15" s="19"/>
      <c r="FO15" s="19"/>
      <c r="FP15" s="19" t="str">
        <f t="shared" si="1"/>
        <v>Base de Dados_Images/AIT35006.Imagem do Equipamento-.192301.jpg</v>
      </c>
      <c r="FQ15" s="14"/>
      <c r="FR15" s="14"/>
    </row>
    <row r="16" ht="15.75" customHeight="1">
      <c r="A16" s="12" t="s">
        <v>292</v>
      </c>
      <c r="B16" s="12" t="s">
        <v>391</v>
      </c>
      <c r="C16" s="24" t="s">
        <v>375</v>
      </c>
      <c r="D16" s="22" t="s">
        <v>392</v>
      </c>
      <c r="E16" s="22" t="s">
        <v>393</v>
      </c>
      <c r="F16" s="13" t="s">
        <v>178</v>
      </c>
      <c r="G16" s="14" t="s">
        <v>179</v>
      </c>
      <c r="H16" s="14" t="s">
        <v>394</v>
      </c>
      <c r="I16" s="14" t="s">
        <v>179</v>
      </c>
      <c r="J16" s="14" t="s">
        <v>395</v>
      </c>
      <c r="K16" s="14" t="s">
        <v>179</v>
      </c>
      <c r="L16" s="14" t="s">
        <v>396</v>
      </c>
      <c r="M16" s="14" t="s">
        <v>179</v>
      </c>
      <c r="N16" s="14" t="s">
        <v>397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6" t="s">
        <v>197</v>
      </c>
      <c r="BP16" s="17" t="s">
        <v>198</v>
      </c>
      <c r="BQ16" s="18">
        <v>45696.36787037037</v>
      </c>
      <c r="BR16" s="17" t="s">
        <v>198</v>
      </c>
      <c r="BS16" s="18">
        <v>45696.367939814816</v>
      </c>
      <c r="BT16" s="17" t="s">
        <v>198</v>
      </c>
      <c r="BU16" s="18">
        <v>45696.367939814816</v>
      </c>
      <c r="BV16" s="13" t="s">
        <v>199</v>
      </c>
      <c r="BW16" s="14" t="s">
        <v>179</v>
      </c>
      <c r="BX16" s="14" t="s">
        <v>398</v>
      </c>
      <c r="BY16" s="14" t="s">
        <v>179</v>
      </c>
      <c r="BZ16" s="14" t="s">
        <v>398</v>
      </c>
      <c r="CA16" s="14" t="s">
        <v>179</v>
      </c>
      <c r="CB16" s="14" t="s">
        <v>399</v>
      </c>
      <c r="CC16" s="15"/>
      <c r="CD16" s="15"/>
      <c r="CE16" s="15"/>
      <c r="CF16" s="15"/>
      <c r="CG16" s="19"/>
      <c r="CH16" s="15"/>
      <c r="CI16" s="19"/>
      <c r="CJ16" s="15"/>
      <c r="CK16" s="19"/>
      <c r="CL16" s="15"/>
      <c r="CM16" s="19"/>
      <c r="CN16" s="15"/>
      <c r="CO16" s="19"/>
      <c r="CP16" s="15"/>
      <c r="CQ16" s="15"/>
      <c r="CR16" s="15"/>
      <c r="CS16" s="19"/>
      <c r="CT16" s="15"/>
      <c r="CU16" s="19"/>
      <c r="CV16" s="15"/>
      <c r="CW16" s="19"/>
      <c r="CX16" s="15"/>
      <c r="CY16" s="19"/>
      <c r="CZ16" s="15"/>
      <c r="DA16" s="16" t="s">
        <v>197</v>
      </c>
      <c r="DB16" s="17" t="s">
        <v>228</v>
      </c>
      <c r="DC16" s="16"/>
      <c r="DD16" s="17" t="s">
        <v>198</v>
      </c>
      <c r="DE16" s="18">
        <v>45696.367997685185</v>
      </c>
      <c r="DF16" s="17" t="s">
        <v>198</v>
      </c>
      <c r="DG16" s="18">
        <v>45696.367997685185</v>
      </c>
      <c r="DH16" s="13" t="s">
        <v>205</v>
      </c>
      <c r="DI16" s="14" t="s">
        <v>179</v>
      </c>
      <c r="DJ16" s="14" t="s">
        <v>400</v>
      </c>
      <c r="DK16" s="14" t="s">
        <v>179</v>
      </c>
      <c r="DL16" s="14" t="s">
        <v>400</v>
      </c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6" t="s">
        <v>197</v>
      </c>
      <c r="ED16" s="17" t="s">
        <v>198</v>
      </c>
      <c r="EE16" s="18">
        <v>45720.579247685186</v>
      </c>
      <c r="EF16" s="13" t="s">
        <v>209</v>
      </c>
      <c r="EG16" s="14" t="s">
        <v>179</v>
      </c>
      <c r="EH16" s="14" t="s">
        <v>401</v>
      </c>
      <c r="EI16" s="14" t="s">
        <v>179</v>
      </c>
      <c r="EJ16" s="14" t="s">
        <v>402</v>
      </c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6" t="s">
        <v>197</v>
      </c>
      <c r="FD16" s="17" t="s">
        <v>198</v>
      </c>
      <c r="FE16" s="18">
        <v>45722.372777777775</v>
      </c>
      <c r="FF16" s="19"/>
      <c r="FG16" s="19"/>
      <c r="FH16" s="21" t="s">
        <v>197</v>
      </c>
      <c r="FI16" s="17" t="s">
        <v>214</v>
      </c>
      <c r="FJ16" s="18">
        <v>45722.372777777775</v>
      </c>
      <c r="FK16" s="14" t="s">
        <v>402</v>
      </c>
      <c r="FL16" s="19"/>
      <c r="FM16" s="19"/>
      <c r="FN16" s="19"/>
      <c r="FO16" s="19"/>
      <c r="FP16" s="19" t="str">
        <f t="shared" si="1"/>
        <v/>
      </c>
      <c r="FQ16" s="14" t="s">
        <v>215</v>
      </c>
      <c r="FR16" s="14" t="s">
        <v>403</v>
      </c>
    </row>
    <row r="17" ht="15.75" customHeight="1">
      <c r="A17" s="12" t="s">
        <v>357</v>
      </c>
      <c r="B17" s="12" t="s">
        <v>358</v>
      </c>
      <c r="C17" s="24" t="s">
        <v>375</v>
      </c>
      <c r="D17" s="22" t="s">
        <v>404</v>
      </c>
      <c r="E17" s="22" t="s">
        <v>405</v>
      </c>
      <c r="F17" s="13" t="s">
        <v>178</v>
      </c>
      <c r="G17" s="14" t="s">
        <v>179</v>
      </c>
      <c r="H17" s="14" t="s">
        <v>406</v>
      </c>
      <c r="I17" s="14" t="s">
        <v>179</v>
      </c>
      <c r="J17" s="14" t="s">
        <v>407</v>
      </c>
      <c r="K17" s="14" t="s">
        <v>179</v>
      </c>
      <c r="L17" s="14" t="s">
        <v>408</v>
      </c>
      <c r="M17" s="14" t="s">
        <v>179</v>
      </c>
      <c r="N17" s="14" t="s">
        <v>409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6" t="s">
        <v>197</v>
      </c>
      <c r="BP17" s="17" t="s">
        <v>198</v>
      </c>
      <c r="BQ17" s="18">
        <v>45693.60224537037</v>
      </c>
      <c r="BR17" s="17" t="s">
        <v>198</v>
      </c>
      <c r="BS17" s="18">
        <v>45693.60228009259</v>
      </c>
      <c r="BT17" s="17" t="s">
        <v>198</v>
      </c>
      <c r="BU17" s="18">
        <v>45693.60228009259</v>
      </c>
      <c r="BV17" s="13" t="s">
        <v>199</v>
      </c>
      <c r="BW17" s="14" t="s">
        <v>179</v>
      </c>
      <c r="BX17" s="14" t="s">
        <v>410</v>
      </c>
      <c r="BY17" s="14" t="s">
        <v>179</v>
      </c>
      <c r="BZ17" s="14" t="s">
        <v>411</v>
      </c>
      <c r="CA17" s="14" t="s">
        <v>179</v>
      </c>
      <c r="CB17" s="14" t="s">
        <v>412</v>
      </c>
      <c r="CC17" s="15"/>
      <c r="CD17" s="15"/>
      <c r="CE17" s="15"/>
      <c r="CF17" s="15"/>
      <c r="CG17" s="19"/>
      <c r="CH17" s="15"/>
      <c r="CI17" s="19"/>
      <c r="CJ17" s="15"/>
      <c r="CK17" s="19"/>
      <c r="CL17" s="15"/>
      <c r="CM17" s="19"/>
      <c r="CN17" s="15"/>
      <c r="CO17" s="19"/>
      <c r="CP17" s="15"/>
      <c r="CQ17" s="15"/>
      <c r="CR17" s="15"/>
      <c r="CS17" s="19"/>
      <c r="CT17" s="15"/>
      <c r="CU17" s="19"/>
      <c r="CV17" s="15"/>
      <c r="CW17" s="19"/>
      <c r="CX17" s="15"/>
      <c r="CY17" s="19"/>
      <c r="CZ17" s="15"/>
      <c r="DA17" s="16" t="s">
        <v>197</v>
      </c>
      <c r="DB17" s="17" t="s">
        <v>228</v>
      </c>
      <c r="DC17" s="16"/>
      <c r="DD17" s="17" t="s">
        <v>198</v>
      </c>
      <c r="DE17" s="18">
        <v>45708.47555555555</v>
      </c>
      <c r="DF17" s="17" t="s">
        <v>198</v>
      </c>
      <c r="DG17" s="18">
        <v>45708.47555555555</v>
      </c>
      <c r="DH17" s="13" t="s">
        <v>205</v>
      </c>
      <c r="DI17" s="14" t="s">
        <v>179</v>
      </c>
      <c r="DJ17" s="14" t="s">
        <v>413</v>
      </c>
      <c r="DK17" s="14" t="s">
        <v>179</v>
      </c>
      <c r="DL17" s="14" t="s">
        <v>414</v>
      </c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6" t="s">
        <v>197</v>
      </c>
      <c r="ED17" s="17" t="s">
        <v>198</v>
      </c>
      <c r="EE17" s="18">
        <v>45708.47561342592</v>
      </c>
      <c r="EF17" s="13" t="s">
        <v>209</v>
      </c>
      <c r="EG17" s="14" t="s">
        <v>179</v>
      </c>
      <c r="EH17" s="14" t="s">
        <v>415</v>
      </c>
      <c r="EI17" s="14" t="s">
        <v>179</v>
      </c>
      <c r="EJ17" s="14" t="s">
        <v>416</v>
      </c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6" t="s">
        <v>197</v>
      </c>
      <c r="FD17" s="17" t="s">
        <v>198</v>
      </c>
      <c r="FE17" s="18">
        <v>45713.385567129626</v>
      </c>
      <c r="FF17" s="19"/>
      <c r="FG17" s="19"/>
      <c r="FH17" s="21" t="s">
        <v>197</v>
      </c>
      <c r="FI17" s="17" t="s">
        <v>214</v>
      </c>
      <c r="FJ17" s="18">
        <v>45713.385567129626</v>
      </c>
      <c r="FK17" s="14" t="s">
        <v>416</v>
      </c>
      <c r="FL17" s="14" t="s">
        <v>417</v>
      </c>
      <c r="FM17" s="14" t="s">
        <v>418</v>
      </c>
      <c r="FN17" s="19"/>
      <c r="FO17" s="19"/>
      <c r="FP17" s="19" t="str">
        <f t="shared" si="1"/>
        <v>Base de Dados_Images/AIT81016.Imagem do Equipamento-.102716.jpg</v>
      </c>
      <c r="FQ17" s="14"/>
      <c r="FR17" s="14"/>
    </row>
    <row r="18" ht="15.75" customHeight="1">
      <c r="A18" s="12" t="s">
        <v>357</v>
      </c>
      <c r="B18" s="12" t="s">
        <v>419</v>
      </c>
      <c r="C18" s="24" t="s">
        <v>375</v>
      </c>
      <c r="D18" s="22" t="s">
        <v>420</v>
      </c>
      <c r="E18" s="22" t="s">
        <v>421</v>
      </c>
      <c r="F18" s="13" t="s">
        <v>178</v>
      </c>
      <c r="G18" s="14" t="s">
        <v>179</v>
      </c>
      <c r="H18" s="14" t="s">
        <v>422</v>
      </c>
      <c r="I18" s="14" t="s">
        <v>179</v>
      </c>
      <c r="J18" s="14" t="s">
        <v>422</v>
      </c>
      <c r="K18" s="14" t="s">
        <v>179</v>
      </c>
      <c r="L18" s="14" t="s">
        <v>423</v>
      </c>
      <c r="M18" s="14" t="s">
        <v>179</v>
      </c>
      <c r="N18" s="14" t="s">
        <v>424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6" t="s">
        <v>197</v>
      </c>
      <c r="BP18" s="17" t="s">
        <v>198</v>
      </c>
      <c r="BQ18" s="18">
        <v>45691.57375</v>
      </c>
      <c r="BR18" s="17" t="s">
        <v>198</v>
      </c>
      <c r="BS18" s="18">
        <v>45691.573796296296</v>
      </c>
      <c r="BT18" s="17" t="s">
        <v>198</v>
      </c>
      <c r="BU18" s="18">
        <v>45691.573796296296</v>
      </c>
      <c r="BV18" s="13" t="s">
        <v>199</v>
      </c>
      <c r="BW18" s="14" t="s">
        <v>179</v>
      </c>
      <c r="BX18" s="14" t="s">
        <v>425</v>
      </c>
      <c r="BY18" s="14" t="s">
        <v>179</v>
      </c>
      <c r="BZ18" s="14" t="s">
        <v>426</v>
      </c>
      <c r="CA18" s="14" t="s">
        <v>179</v>
      </c>
      <c r="CB18" s="14" t="s">
        <v>427</v>
      </c>
      <c r="CC18" s="15"/>
      <c r="CD18" s="15"/>
      <c r="CE18" s="15"/>
      <c r="CF18" s="15"/>
      <c r="CG18" s="19"/>
      <c r="CH18" s="15"/>
      <c r="CI18" s="19"/>
      <c r="CJ18" s="15"/>
      <c r="CK18" s="19"/>
      <c r="CL18" s="15"/>
      <c r="CM18" s="19"/>
      <c r="CN18" s="15"/>
      <c r="CO18" s="19"/>
      <c r="CP18" s="15"/>
      <c r="CQ18" s="15"/>
      <c r="CR18" s="15"/>
      <c r="CS18" s="19"/>
      <c r="CT18" s="15"/>
      <c r="CU18" s="19"/>
      <c r="CV18" s="15"/>
      <c r="CW18" s="19"/>
      <c r="CX18" s="15"/>
      <c r="CY18" s="19"/>
      <c r="CZ18" s="15"/>
      <c r="DA18" s="16" t="s">
        <v>197</v>
      </c>
      <c r="DB18" s="17" t="s">
        <v>228</v>
      </c>
      <c r="DC18" s="16"/>
      <c r="DD18" s="17" t="s">
        <v>198</v>
      </c>
      <c r="DE18" s="18">
        <v>45699.49625</v>
      </c>
      <c r="DF18" s="17" t="s">
        <v>198</v>
      </c>
      <c r="DG18" s="18">
        <v>45699.49625</v>
      </c>
      <c r="DH18" s="13" t="s">
        <v>205</v>
      </c>
      <c r="DI18" s="14" t="s">
        <v>179</v>
      </c>
      <c r="DJ18" s="14" t="s">
        <v>428</v>
      </c>
      <c r="DK18" s="14" t="s">
        <v>179</v>
      </c>
      <c r="DL18" s="14" t="s">
        <v>429</v>
      </c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6" t="s">
        <v>197</v>
      </c>
      <c r="ED18" s="17" t="s">
        <v>198</v>
      </c>
      <c r="EE18" s="18">
        <v>45708.528865740744</v>
      </c>
      <c r="EF18" s="13" t="s">
        <v>209</v>
      </c>
      <c r="EG18" s="14" t="s">
        <v>179</v>
      </c>
      <c r="EH18" s="14" t="s">
        <v>430</v>
      </c>
      <c r="EI18" s="14" t="s">
        <v>179</v>
      </c>
      <c r="EJ18" s="14" t="s">
        <v>431</v>
      </c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6" t="s">
        <v>197</v>
      </c>
      <c r="FD18" s="17" t="s">
        <v>198</v>
      </c>
      <c r="FE18" s="18">
        <v>45713.40479166667</v>
      </c>
      <c r="FF18" s="19"/>
      <c r="FG18" s="19"/>
      <c r="FH18" s="21" t="s">
        <v>197</v>
      </c>
      <c r="FI18" s="17" t="s">
        <v>214</v>
      </c>
      <c r="FJ18" s="18">
        <v>45713.40479166667</v>
      </c>
      <c r="FK18" s="14" t="s">
        <v>431</v>
      </c>
      <c r="FL18" s="14" t="s">
        <v>432</v>
      </c>
      <c r="FM18" s="14" t="s">
        <v>433</v>
      </c>
      <c r="FN18" s="19"/>
      <c r="FO18" s="19"/>
      <c r="FP18" s="19" t="str">
        <f t="shared" si="1"/>
        <v>Base de Dados_Images/AIT81017.Imagem do Equipamento-.164608.jpg</v>
      </c>
      <c r="FQ18" s="14"/>
      <c r="FR18" s="14"/>
    </row>
    <row r="19" ht="15.75" customHeight="1">
      <c r="A19" s="12" t="s">
        <v>357</v>
      </c>
      <c r="B19" s="12" t="s">
        <v>419</v>
      </c>
      <c r="C19" s="24" t="s">
        <v>375</v>
      </c>
      <c r="D19" s="22" t="s">
        <v>434</v>
      </c>
      <c r="E19" s="22" t="s">
        <v>435</v>
      </c>
      <c r="F19" s="13" t="s">
        <v>178</v>
      </c>
      <c r="G19" s="14" t="s">
        <v>179</v>
      </c>
      <c r="H19" s="14" t="s">
        <v>436</v>
      </c>
      <c r="I19" s="14" t="s">
        <v>179</v>
      </c>
      <c r="J19" s="14" t="s">
        <v>437</v>
      </c>
      <c r="K19" s="14" t="s">
        <v>179</v>
      </c>
      <c r="L19" s="14" t="s">
        <v>438</v>
      </c>
      <c r="M19" s="14" t="s">
        <v>179</v>
      </c>
      <c r="N19" s="14" t="s">
        <v>439</v>
      </c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6" t="s">
        <v>197</v>
      </c>
      <c r="BP19" s="17" t="s">
        <v>198</v>
      </c>
      <c r="BQ19" s="18">
        <v>45688.39722222222</v>
      </c>
      <c r="BR19" s="17" t="s">
        <v>198</v>
      </c>
      <c r="BS19" s="18">
        <v>45688.39726851852</v>
      </c>
      <c r="BT19" s="17" t="s">
        <v>198</v>
      </c>
      <c r="BU19" s="18">
        <v>45688.39726851852</v>
      </c>
      <c r="BV19" s="13" t="s">
        <v>199</v>
      </c>
      <c r="BW19" s="14" t="s">
        <v>179</v>
      </c>
      <c r="BX19" s="14" t="s">
        <v>440</v>
      </c>
      <c r="BY19" s="14" t="s">
        <v>179</v>
      </c>
      <c r="BZ19" s="14" t="s">
        <v>441</v>
      </c>
      <c r="CA19" s="14" t="s">
        <v>179</v>
      </c>
      <c r="CB19" s="14" t="s">
        <v>442</v>
      </c>
      <c r="CC19" s="15"/>
      <c r="CD19" s="15"/>
      <c r="CE19" s="15"/>
      <c r="CF19" s="15"/>
      <c r="CG19" s="19"/>
      <c r="CH19" s="15"/>
      <c r="CI19" s="19"/>
      <c r="CJ19" s="15"/>
      <c r="CK19" s="19"/>
      <c r="CL19" s="15"/>
      <c r="CM19" s="19"/>
      <c r="CN19" s="15"/>
      <c r="CO19" s="19"/>
      <c r="CP19" s="15"/>
      <c r="CQ19" s="15"/>
      <c r="CR19" s="15"/>
      <c r="CS19" s="19"/>
      <c r="CT19" s="15"/>
      <c r="CU19" s="19"/>
      <c r="CV19" s="15"/>
      <c r="CW19" s="19"/>
      <c r="CX19" s="15"/>
      <c r="CY19" s="19"/>
      <c r="CZ19" s="15"/>
      <c r="DA19" s="16" t="s">
        <v>197</v>
      </c>
      <c r="DB19" s="17" t="s">
        <v>228</v>
      </c>
      <c r="DC19" s="16"/>
      <c r="DD19" s="17" t="s">
        <v>198</v>
      </c>
      <c r="DE19" s="18">
        <v>45699.496354166666</v>
      </c>
      <c r="DF19" s="17" t="s">
        <v>198</v>
      </c>
      <c r="DG19" s="18">
        <v>45699.496354166666</v>
      </c>
      <c r="DH19" s="13" t="s">
        <v>205</v>
      </c>
      <c r="DI19" s="14" t="s">
        <v>179</v>
      </c>
      <c r="DJ19" s="14" t="s">
        <v>443</v>
      </c>
      <c r="DK19" s="14" t="s">
        <v>179</v>
      </c>
      <c r="DL19" s="14" t="s">
        <v>444</v>
      </c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6" t="s">
        <v>197</v>
      </c>
      <c r="ED19" s="17" t="s">
        <v>198</v>
      </c>
      <c r="EE19" s="18">
        <v>45708.52899305556</v>
      </c>
      <c r="EF19" s="13" t="s">
        <v>209</v>
      </c>
      <c r="EG19" s="14" t="s">
        <v>179</v>
      </c>
      <c r="EH19" s="14" t="s">
        <v>445</v>
      </c>
      <c r="EI19" s="14" t="s">
        <v>179</v>
      </c>
      <c r="EJ19" s="14" t="s">
        <v>445</v>
      </c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6" t="s">
        <v>197</v>
      </c>
      <c r="FD19" s="17" t="s">
        <v>198</v>
      </c>
      <c r="FE19" s="18">
        <v>45713.404861111114</v>
      </c>
      <c r="FF19" s="19"/>
      <c r="FG19" s="19"/>
      <c r="FH19" s="21" t="s">
        <v>197</v>
      </c>
      <c r="FI19" s="17" t="s">
        <v>214</v>
      </c>
      <c r="FJ19" s="18">
        <v>45713.404861111114</v>
      </c>
      <c r="FK19" s="14" t="s">
        <v>445</v>
      </c>
      <c r="FL19" s="14" t="s">
        <v>446</v>
      </c>
      <c r="FM19" s="14" t="s">
        <v>447</v>
      </c>
      <c r="FN19" s="19"/>
      <c r="FO19" s="19"/>
      <c r="FP19" s="19" t="str">
        <f t="shared" si="1"/>
        <v>Base de Dados_Images/AIT81018.Imagem do Equipamento-.133911.jpg</v>
      </c>
      <c r="FQ19" s="14"/>
      <c r="FR19" s="14"/>
    </row>
    <row r="20" ht="15.75" customHeight="1">
      <c r="A20" s="12" t="s">
        <v>357</v>
      </c>
      <c r="B20" s="12" t="s">
        <v>448</v>
      </c>
      <c r="C20" s="24" t="s">
        <v>375</v>
      </c>
      <c r="D20" s="22" t="s">
        <v>449</v>
      </c>
      <c r="E20" s="22" t="s">
        <v>450</v>
      </c>
      <c r="F20" s="13" t="s">
        <v>178</v>
      </c>
      <c r="G20" s="14" t="s">
        <v>179</v>
      </c>
      <c r="H20" s="14" t="s">
        <v>451</v>
      </c>
      <c r="I20" s="14" t="s">
        <v>179</v>
      </c>
      <c r="J20" s="14" t="s">
        <v>451</v>
      </c>
      <c r="K20" s="14" t="s">
        <v>179</v>
      </c>
      <c r="L20" s="14" t="s">
        <v>452</v>
      </c>
      <c r="M20" s="14" t="s">
        <v>179</v>
      </c>
      <c r="N20" s="14" t="s">
        <v>453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6" t="s">
        <v>197</v>
      </c>
      <c r="BP20" s="17" t="s">
        <v>198</v>
      </c>
      <c r="BQ20" s="18">
        <v>45688.37082175926</v>
      </c>
      <c r="BR20" s="17" t="s">
        <v>198</v>
      </c>
      <c r="BS20" s="18">
        <v>45688.37086805556</v>
      </c>
      <c r="BT20" s="17" t="s">
        <v>198</v>
      </c>
      <c r="BU20" s="18">
        <v>45688.37086805556</v>
      </c>
      <c r="BV20" s="13" t="s">
        <v>199</v>
      </c>
      <c r="BW20" s="14" t="s">
        <v>179</v>
      </c>
      <c r="BX20" s="14" t="s">
        <v>454</v>
      </c>
      <c r="BY20" s="14" t="s">
        <v>179</v>
      </c>
      <c r="BZ20" s="14" t="s">
        <v>454</v>
      </c>
      <c r="CA20" s="14" t="s">
        <v>179</v>
      </c>
      <c r="CB20" s="14" t="s">
        <v>455</v>
      </c>
      <c r="CC20" s="15"/>
      <c r="CD20" s="15"/>
      <c r="CE20" s="15"/>
      <c r="CF20" s="15"/>
      <c r="CG20" s="19"/>
      <c r="CH20" s="15"/>
      <c r="CI20" s="19"/>
      <c r="CJ20" s="15"/>
      <c r="CK20" s="19"/>
      <c r="CL20" s="15"/>
      <c r="CM20" s="19"/>
      <c r="CN20" s="15"/>
      <c r="CO20" s="19"/>
      <c r="CP20" s="15"/>
      <c r="CQ20" s="15"/>
      <c r="CR20" s="15"/>
      <c r="CS20" s="19"/>
      <c r="CT20" s="15"/>
      <c r="CU20" s="19"/>
      <c r="CV20" s="15"/>
      <c r="CW20" s="19"/>
      <c r="CX20" s="15"/>
      <c r="CY20" s="19"/>
      <c r="CZ20" s="15"/>
      <c r="DA20" s="16" t="s">
        <v>197</v>
      </c>
      <c r="DB20" s="17" t="s">
        <v>228</v>
      </c>
      <c r="DC20" s="16"/>
      <c r="DD20" s="17" t="s">
        <v>198</v>
      </c>
      <c r="DE20" s="18">
        <v>45723.39571759259</v>
      </c>
      <c r="DF20" s="17" t="s">
        <v>198</v>
      </c>
      <c r="DG20" s="18">
        <v>45723.39571759259</v>
      </c>
      <c r="DH20" s="13" t="s">
        <v>205</v>
      </c>
      <c r="DI20" s="14" t="s">
        <v>179</v>
      </c>
      <c r="DJ20" s="14" t="s">
        <v>456</v>
      </c>
      <c r="DK20" s="14" t="s">
        <v>179</v>
      </c>
      <c r="DL20" s="14" t="s">
        <v>456</v>
      </c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6" t="s">
        <v>197</v>
      </c>
      <c r="ED20" s="17" t="s">
        <v>198</v>
      </c>
      <c r="EE20" s="18">
        <v>45723.39576388889</v>
      </c>
      <c r="EF20" s="13" t="s">
        <v>209</v>
      </c>
      <c r="EG20" s="14" t="s">
        <v>179</v>
      </c>
      <c r="EH20" s="14" t="s">
        <v>457</v>
      </c>
      <c r="EI20" s="14" t="s">
        <v>179</v>
      </c>
      <c r="EJ20" s="14" t="s">
        <v>458</v>
      </c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6" t="s">
        <v>197</v>
      </c>
      <c r="FD20" s="17" t="s">
        <v>198</v>
      </c>
      <c r="FE20" s="18">
        <v>45723.39582175926</v>
      </c>
      <c r="FF20" s="19"/>
      <c r="FG20" s="19"/>
      <c r="FH20" s="21" t="s">
        <v>197</v>
      </c>
      <c r="FI20" s="17" t="s">
        <v>214</v>
      </c>
      <c r="FJ20" s="18">
        <v>45723.39582175926</v>
      </c>
      <c r="FK20" s="14" t="s">
        <v>458</v>
      </c>
      <c r="FL20" s="14" t="s">
        <v>459</v>
      </c>
      <c r="FM20" s="14" t="s">
        <v>460</v>
      </c>
      <c r="FN20" s="19"/>
      <c r="FO20" s="19"/>
      <c r="FP20" s="19" t="str">
        <f t="shared" si="1"/>
        <v>Base de Dados_Images/AIT81019.Imagem do Equipamento-.133842.jpg</v>
      </c>
      <c r="FQ20" s="14"/>
      <c r="FR20" s="14"/>
    </row>
    <row r="21" ht="15.75" customHeight="1">
      <c r="A21" s="12" t="s">
        <v>461</v>
      </c>
      <c r="B21" s="12" t="s">
        <v>462</v>
      </c>
      <c r="C21" s="24" t="s">
        <v>463</v>
      </c>
      <c r="D21" s="22" t="s">
        <v>464</v>
      </c>
      <c r="E21" s="22" t="s">
        <v>465</v>
      </c>
      <c r="F21" s="13" t="s">
        <v>178</v>
      </c>
      <c r="G21" s="14" t="s">
        <v>179</v>
      </c>
      <c r="H21" s="14" t="s">
        <v>466</v>
      </c>
      <c r="I21" s="14" t="s">
        <v>179</v>
      </c>
      <c r="J21" s="14" t="s">
        <v>467</v>
      </c>
      <c r="K21" s="14" t="s">
        <v>179</v>
      </c>
      <c r="L21" s="14" t="s">
        <v>468</v>
      </c>
      <c r="M21" s="14" t="s">
        <v>179</v>
      </c>
      <c r="N21" s="14" t="s">
        <v>468</v>
      </c>
      <c r="O21" s="14" t="s">
        <v>179</v>
      </c>
      <c r="P21" s="14" t="s">
        <v>469</v>
      </c>
      <c r="Q21" s="14" t="s">
        <v>179</v>
      </c>
      <c r="R21" s="14" t="s">
        <v>470</v>
      </c>
      <c r="S21" s="14" t="s">
        <v>179</v>
      </c>
      <c r="T21" s="14" t="s">
        <v>471</v>
      </c>
      <c r="U21" s="14" t="s">
        <v>179</v>
      </c>
      <c r="V21" s="14" t="s">
        <v>471</v>
      </c>
      <c r="W21" s="14" t="s">
        <v>179</v>
      </c>
      <c r="X21" s="14" t="s">
        <v>472</v>
      </c>
      <c r="Y21" s="14" t="s">
        <v>179</v>
      </c>
      <c r="Z21" s="14" t="s">
        <v>472</v>
      </c>
      <c r="AA21" s="14" t="s">
        <v>179</v>
      </c>
      <c r="AB21" s="14" t="s">
        <v>473</v>
      </c>
      <c r="AC21" s="14" t="s">
        <v>179</v>
      </c>
      <c r="AD21" s="14" t="s">
        <v>474</v>
      </c>
      <c r="AE21" s="14" t="s">
        <v>179</v>
      </c>
      <c r="AF21" s="14" t="s">
        <v>475</v>
      </c>
      <c r="AG21" s="14" t="s">
        <v>179</v>
      </c>
      <c r="AH21" s="14" t="s">
        <v>476</v>
      </c>
      <c r="AI21" s="14" t="s">
        <v>179</v>
      </c>
      <c r="AJ21" s="14" t="s">
        <v>477</v>
      </c>
      <c r="AK21" s="14" t="s">
        <v>179</v>
      </c>
      <c r="AL21" s="14" t="s">
        <v>478</v>
      </c>
      <c r="AM21" s="14" t="s">
        <v>179</v>
      </c>
      <c r="AN21" s="14" t="s">
        <v>479</v>
      </c>
      <c r="AO21" s="14" t="s">
        <v>179</v>
      </c>
      <c r="AP21" s="14" t="s">
        <v>479</v>
      </c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6" t="s">
        <v>197</v>
      </c>
      <c r="BP21" s="17" t="s">
        <v>198</v>
      </c>
      <c r="BQ21" s="18">
        <v>45686.53665509259</v>
      </c>
      <c r="BR21" s="17" t="s">
        <v>198</v>
      </c>
      <c r="BS21" s="18">
        <v>45686.53649305556</v>
      </c>
      <c r="BT21" s="17" t="s">
        <v>198</v>
      </c>
      <c r="BU21" s="18">
        <v>45686.53665509259</v>
      </c>
      <c r="BV21" s="13" t="s">
        <v>199</v>
      </c>
      <c r="BW21" s="14" t="s">
        <v>179</v>
      </c>
      <c r="BX21" s="14" t="s">
        <v>480</v>
      </c>
      <c r="BY21" s="14" t="s">
        <v>179</v>
      </c>
      <c r="BZ21" s="14" t="s">
        <v>481</v>
      </c>
      <c r="CA21" s="14" t="s">
        <v>179</v>
      </c>
      <c r="CB21" s="14" t="s">
        <v>482</v>
      </c>
      <c r="CC21" s="14" t="s">
        <v>179</v>
      </c>
      <c r="CD21" s="14" t="s">
        <v>483</v>
      </c>
      <c r="CE21" s="14" t="s">
        <v>179</v>
      </c>
      <c r="CF21" s="14" t="s">
        <v>483</v>
      </c>
      <c r="CG21" s="19"/>
      <c r="CH21" s="15"/>
      <c r="CI21" s="19"/>
      <c r="CJ21" s="15"/>
      <c r="CK21" s="19"/>
      <c r="CL21" s="15"/>
      <c r="CM21" s="19"/>
      <c r="CN21" s="15"/>
      <c r="CO21" s="19"/>
      <c r="CP21" s="15"/>
      <c r="CQ21" s="15"/>
      <c r="CR21" s="15"/>
      <c r="CS21" s="19"/>
      <c r="CT21" s="15"/>
      <c r="CU21" s="19"/>
      <c r="CV21" s="15"/>
      <c r="CW21" s="19"/>
      <c r="CX21" s="15"/>
      <c r="CY21" s="19"/>
      <c r="CZ21" s="15"/>
      <c r="DA21" s="16" t="s">
        <v>197</v>
      </c>
      <c r="DB21" s="17" t="s">
        <v>198</v>
      </c>
      <c r="DC21" s="20">
        <v>45691.634375</v>
      </c>
      <c r="DD21" s="17" t="s">
        <v>198</v>
      </c>
      <c r="DE21" s="18">
        <v>45691.634421296294</v>
      </c>
      <c r="DF21" s="17" t="s">
        <v>198</v>
      </c>
      <c r="DG21" s="18">
        <v>45691.634421296294</v>
      </c>
      <c r="DH21" s="13" t="s">
        <v>205</v>
      </c>
      <c r="DI21" s="14" t="s">
        <v>179</v>
      </c>
      <c r="DJ21" s="14" t="s">
        <v>484</v>
      </c>
      <c r="DK21" s="14" t="s">
        <v>179</v>
      </c>
      <c r="DL21" s="14" t="s">
        <v>485</v>
      </c>
      <c r="DM21" s="14" t="s">
        <v>179</v>
      </c>
      <c r="DN21" s="14" t="s">
        <v>486</v>
      </c>
      <c r="DO21" s="14" t="s">
        <v>179</v>
      </c>
      <c r="DP21" s="14" t="s">
        <v>487</v>
      </c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6" t="s">
        <v>197</v>
      </c>
      <c r="ED21" s="17" t="s">
        <v>198</v>
      </c>
      <c r="EE21" s="18">
        <v>45691.63453703704</v>
      </c>
      <c r="EF21" s="13" t="s">
        <v>209</v>
      </c>
      <c r="EG21" s="14" t="s">
        <v>179</v>
      </c>
      <c r="EH21" s="14" t="s">
        <v>488</v>
      </c>
      <c r="EI21" s="14" t="s">
        <v>179</v>
      </c>
      <c r="EJ21" s="14" t="s">
        <v>489</v>
      </c>
      <c r="EK21" s="14" t="s">
        <v>179</v>
      </c>
      <c r="EL21" s="14" t="s">
        <v>489</v>
      </c>
      <c r="EM21" s="14" t="s">
        <v>179</v>
      </c>
      <c r="EN21" s="14" t="s">
        <v>490</v>
      </c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6" t="s">
        <v>197</v>
      </c>
      <c r="FD21" s="17" t="s">
        <v>198</v>
      </c>
      <c r="FE21" s="18">
        <v>45723.35973379629</v>
      </c>
      <c r="FF21" s="19"/>
      <c r="FG21" s="19"/>
      <c r="FH21" s="21" t="s">
        <v>197</v>
      </c>
      <c r="FI21" s="17" t="s">
        <v>214</v>
      </c>
      <c r="FJ21" s="18">
        <v>45723.35973379629</v>
      </c>
      <c r="FK21" s="14" t="s">
        <v>490</v>
      </c>
      <c r="FL21" s="14" t="s">
        <v>491</v>
      </c>
      <c r="FM21" s="14" t="s">
        <v>492</v>
      </c>
      <c r="FN21" s="19"/>
      <c r="FO21" s="19"/>
      <c r="FP21" s="19" t="str">
        <f t="shared" si="1"/>
        <v>Base de Dados_Images/AS4001.Imagem do Equipamento-.172336.jpg</v>
      </c>
      <c r="FQ21" s="19"/>
      <c r="FR21" s="19"/>
    </row>
    <row r="22" ht="15.75" customHeight="1">
      <c r="A22" s="25" t="s">
        <v>292</v>
      </c>
      <c r="B22" s="25" t="s">
        <v>493</v>
      </c>
      <c r="C22" s="26" t="s">
        <v>494</v>
      </c>
      <c r="D22" s="25" t="s">
        <v>495</v>
      </c>
      <c r="E22" s="25" t="s">
        <v>496</v>
      </c>
      <c r="F22" s="27" t="s">
        <v>178</v>
      </c>
      <c r="G22" s="14" t="s">
        <v>179</v>
      </c>
      <c r="H22" s="14" t="s">
        <v>497</v>
      </c>
      <c r="I22" s="14" t="s">
        <v>188</v>
      </c>
      <c r="J22" s="14" t="s">
        <v>498</v>
      </c>
      <c r="K22" s="14" t="s">
        <v>179</v>
      </c>
      <c r="L22" s="14" t="s">
        <v>499</v>
      </c>
      <c r="M22" s="14" t="s">
        <v>188</v>
      </c>
      <c r="N22" s="14" t="s">
        <v>500</v>
      </c>
      <c r="O22" s="14" t="s">
        <v>179</v>
      </c>
      <c r="P22" s="14" t="s">
        <v>501</v>
      </c>
      <c r="Q22" s="14" t="s">
        <v>179</v>
      </c>
      <c r="R22" s="14" t="s">
        <v>502</v>
      </c>
      <c r="S22" s="14" t="s">
        <v>179</v>
      </c>
      <c r="T22" s="14" t="s">
        <v>503</v>
      </c>
      <c r="U22" s="14" t="s">
        <v>179</v>
      </c>
      <c r="V22" s="14" t="s">
        <v>504</v>
      </c>
      <c r="W22" s="14" t="s">
        <v>179</v>
      </c>
      <c r="X22" s="14" t="s">
        <v>505</v>
      </c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7" t="s">
        <v>197</v>
      </c>
      <c r="BP22" s="17" t="s">
        <v>198</v>
      </c>
      <c r="BQ22" s="18">
        <v>45694.49297453704</v>
      </c>
      <c r="BR22" s="17" t="s">
        <v>198</v>
      </c>
      <c r="BS22" s="18">
        <v>45694.493125</v>
      </c>
      <c r="BT22" s="17" t="s">
        <v>198</v>
      </c>
      <c r="BU22" s="18">
        <v>45694.493125</v>
      </c>
      <c r="BV22" s="27" t="s">
        <v>199</v>
      </c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9"/>
      <c r="CJ22" s="15"/>
      <c r="CK22" s="19"/>
      <c r="CL22" s="15"/>
      <c r="CM22" s="19"/>
      <c r="CN22" s="15"/>
      <c r="CO22" s="19"/>
      <c r="CP22" s="15"/>
      <c r="CQ22" s="15"/>
      <c r="CR22" s="15"/>
      <c r="CS22" s="19"/>
      <c r="CT22" s="15"/>
      <c r="CU22" s="19"/>
      <c r="CV22" s="15"/>
      <c r="CW22" s="19"/>
      <c r="CX22" s="15"/>
      <c r="CY22" s="19"/>
      <c r="CZ22" s="15"/>
      <c r="DA22" s="17" t="s">
        <v>197</v>
      </c>
      <c r="DB22" s="17" t="s">
        <v>228</v>
      </c>
      <c r="DC22" s="20"/>
      <c r="DD22" s="17" t="s">
        <v>228</v>
      </c>
      <c r="DE22" s="18"/>
      <c r="DF22" s="17" t="s">
        <v>228</v>
      </c>
      <c r="DG22" s="18"/>
      <c r="DH22" s="27" t="s">
        <v>205</v>
      </c>
      <c r="DI22" s="14" t="s">
        <v>179</v>
      </c>
      <c r="DJ22" s="14" t="s">
        <v>506</v>
      </c>
      <c r="DK22" s="14" t="s">
        <v>179</v>
      </c>
      <c r="DL22" s="14" t="s">
        <v>506</v>
      </c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7" t="s">
        <v>197</v>
      </c>
      <c r="ED22" s="17" t="s">
        <v>198</v>
      </c>
      <c r="EE22" s="18">
        <v>45722.35912037037</v>
      </c>
      <c r="EF22" s="27" t="s">
        <v>209</v>
      </c>
      <c r="EG22" s="14" t="s">
        <v>179</v>
      </c>
      <c r="EH22" s="14" t="s">
        <v>507</v>
      </c>
      <c r="EI22" s="14" t="s">
        <v>179</v>
      </c>
      <c r="EJ22" s="14" t="s">
        <v>507</v>
      </c>
      <c r="EK22" s="14" t="s">
        <v>179</v>
      </c>
      <c r="EL22" s="14" t="s">
        <v>508</v>
      </c>
      <c r="EM22" s="14" t="s">
        <v>179</v>
      </c>
      <c r="EN22" s="14" t="s">
        <v>509</v>
      </c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7" t="s">
        <v>197</v>
      </c>
      <c r="FD22" s="17" t="s">
        <v>198</v>
      </c>
      <c r="FE22" s="18">
        <v>45723.29686342592</v>
      </c>
      <c r="FF22" s="19"/>
      <c r="FG22" s="19"/>
      <c r="FH22" s="17" t="s">
        <v>197</v>
      </c>
      <c r="FI22" s="17" t="s">
        <v>214</v>
      </c>
      <c r="FJ22" s="18">
        <v>45723.29686342592</v>
      </c>
      <c r="FK22" s="14" t="s">
        <v>509</v>
      </c>
      <c r="FL22" s="14"/>
      <c r="FM22" s="14"/>
      <c r="FN22" s="19"/>
      <c r="FO22" s="19"/>
      <c r="FP22" s="19" t="str">
        <f t="shared" si="1"/>
        <v/>
      </c>
      <c r="FQ22" s="14" t="s">
        <v>215</v>
      </c>
      <c r="FR22" s="14" t="s">
        <v>510</v>
      </c>
    </row>
    <row r="23" ht="15.75" customHeight="1">
      <c r="A23" s="12" t="s">
        <v>234</v>
      </c>
      <c r="B23" s="12" t="s">
        <v>511</v>
      </c>
      <c r="C23" s="24" t="s">
        <v>512</v>
      </c>
      <c r="D23" s="12" t="s">
        <v>513</v>
      </c>
      <c r="E23" s="12" t="s">
        <v>514</v>
      </c>
      <c r="F23" s="13" t="s">
        <v>178</v>
      </c>
      <c r="G23" s="14" t="s">
        <v>179</v>
      </c>
      <c r="H23" s="14" t="s">
        <v>515</v>
      </c>
      <c r="I23" s="14" t="s">
        <v>179</v>
      </c>
      <c r="J23" s="14" t="s">
        <v>516</v>
      </c>
      <c r="K23" s="14" t="s">
        <v>179</v>
      </c>
      <c r="L23" s="14" t="s">
        <v>517</v>
      </c>
      <c r="M23" s="14" t="s">
        <v>179</v>
      </c>
      <c r="N23" s="14" t="s">
        <v>518</v>
      </c>
      <c r="O23" s="14" t="s">
        <v>179</v>
      </c>
      <c r="P23" s="14" t="s">
        <v>519</v>
      </c>
      <c r="Q23" s="14" t="s">
        <v>179</v>
      </c>
      <c r="R23" s="14" t="s">
        <v>520</v>
      </c>
      <c r="S23" s="14" t="s">
        <v>179</v>
      </c>
      <c r="T23" s="14" t="s">
        <v>521</v>
      </c>
      <c r="U23" s="14" t="s">
        <v>179</v>
      </c>
      <c r="V23" s="14" t="s">
        <v>522</v>
      </c>
      <c r="W23" s="14" t="s">
        <v>179</v>
      </c>
      <c r="X23" s="14" t="s">
        <v>523</v>
      </c>
      <c r="Y23" s="14" t="s">
        <v>188</v>
      </c>
      <c r="Z23" s="14" t="s">
        <v>524</v>
      </c>
      <c r="AA23" s="14" t="s">
        <v>179</v>
      </c>
      <c r="AB23" s="14" t="s">
        <v>525</v>
      </c>
      <c r="AC23" s="14" t="s">
        <v>179</v>
      </c>
      <c r="AD23" s="14" t="s">
        <v>526</v>
      </c>
      <c r="AE23" s="14" t="s">
        <v>179</v>
      </c>
      <c r="AF23" s="14" t="s">
        <v>527</v>
      </c>
      <c r="AG23" s="14" t="s">
        <v>179</v>
      </c>
      <c r="AH23" s="14" t="s">
        <v>528</v>
      </c>
      <c r="AI23" s="14" t="s">
        <v>179</v>
      </c>
      <c r="AJ23" s="14" t="s">
        <v>529</v>
      </c>
      <c r="AK23" s="14" t="s">
        <v>179</v>
      </c>
      <c r="AL23" s="14" t="s">
        <v>530</v>
      </c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6" t="s">
        <v>197</v>
      </c>
      <c r="BP23" s="17" t="s">
        <v>198</v>
      </c>
      <c r="BQ23" s="18">
        <v>45689.3569212963</v>
      </c>
      <c r="BR23" s="17" t="s">
        <v>198</v>
      </c>
      <c r="BS23" s="18">
        <v>45689.35729166667</v>
      </c>
      <c r="BT23" s="17" t="s">
        <v>198</v>
      </c>
      <c r="BU23" s="18">
        <v>45689.35729166667</v>
      </c>
      <c r="BV23" s="13" t="s">
        <v>199</v>
      </c>
      <c r="BW23" s="14" t="s">
        <v>179</v>
      </c>
      <c r="BX23" s="14" t="s">
        <v>531</v>
      </c>
      <c r="BY23" s="14" t="s">
        <v>179</v>
      </c>
      <c r="BZ23" s="14" t="s">
        <v>531</v>
      </c>
      <c r="CA23" s="14" t="s">
        <v>179</v>
      </c>
      <c r="CB23" s="14" t="s">
        <v>532</v>
      </c>
      <c r="CC23" s="14" t="s">
        <v>179</v>
      </c>
      <c r="CD23" s="14" t="s">
        <v>533</v>
      </c>
      <c r="CE23" s="14" t="s">
        <v>179</v>
      </c>
      <c r="CF23" s="14" t="s">
        <v>534</v>
      </c>
      <c r="CG23" s="14" t="s">
        <v>188</v>
      </c>
      <c r="CH23" s="14" t="s">
        <v>535</v>
      </c>
      <c r="CI23" s="19"/>
      <c r="CJ23" s="15"/>
      <c r="CK23" s="19"/>
      <c r="CL23" s="15"/>
      <c r="CM23" s="19"/>
      <c r="CN23" s="15"/>
      <c r="CO23" s="19"/>
      <c r="CP23" s="15"/>
      <c r="CQ23" s="15"/>
      <c r="CR23" s="15"/>
      <c r="CS23" s="19"/>
      <c r="CT23" s="15"/>
      <c r="CU23" s="19"/>
      <c r="CV23" s="15"/>
      <c r="CW23" s="19"/>
      <c r="CX23" s="15"/>
      <c r="CY23" s="19"/>
      <c r="CZ23" s="15"/>
      <c r="DA23" s="16" t="s">
        <v>197</v>
      </c>
      <c r="DB23" s="17" t="s">
        <v>198</v>
      </c>
      <c r="DC23" s="20">
        <v>45689.35824074074</v>
      </c>
      <c r="DD23" s="17" t="s">
        <v>198</v>
      </c>
      <c r="DE23" s="18">
        <v>45689.3584375</v>
      </c>
      <c r="DF23" s="17" t="s">
        <v>198</v>
      </c>
      <c r="DG23" s="18">
        <v>45689.3584375</v>
      </c>
      <c r="DH23" s="13" t="s">
        <v>205</v>
      </c>
      <c r="DI23" s="14" t="s">
        <v>179</v>
      </c>
      <c r="DJ23" s="14" t="s">
        <v>536</v>
      </c>
      <c r="DK23" s="14" t="s">
        <v>179</v>
      </c>
      <c r="DL23" s="14" t="s">
        <v>537</v>
      </c>
      <c r="DM23" s="14" t="s">
        <v>179</v>
      </c>
      <c r="DN23" s="14" t="s">
        <v>538</v>
      </c>
      <c r="DO23" s="14" t="s">
        <v>179</v>
      </c>
      <c r="DP23" s="14" t="s">
        <v>539</v>
      </c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6" t="s">
        <v>197</v>
      </c>
      <c r="ED23" s="17" t="s">
        <v>198</v>
      </c>
      <c r="EE23" s="18">
        <v>45692.636655092596</v>
      </c>
      <c r="EF23" s="13" t="s">
        <v>209</v>
      </c>
      <c r="EG23" s="14" t="s">
        <v>179</v>
      </c>
      <c r="EH23" s="14" t="s">
        <v>540</v>
      </c>
      <c r="EI23" s="14" t="s">
        <v>179</v>
      </c>
      <c r="EJ23" s="14" t="s">
        <v>541</v>
      </c>
      <c r="EK23" s="14" t="s">
        <v>179</v>
      </c>
      <c r="EL23" s="14" t="s">
        <v>541</v>
      </c>
      <c r="EM23" s="14" t="s">
        <v>179</v>
      </c>
      <c r="EN23" s="14" t="s">
        <v>542</v>
      </c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6" t="s">
        <v>197</v>
      </c>
      <c r="FD23" s="17" t="s">
        <v>198</v>
      </c>
      <c r="FE23" s="18">
        <v>45720.355775462966</v>
      </c>
      <c r="FF23" s="19"/>
      <c r="FG23" s="19"/>
      <c r="FH23" s="21" t="s">
        <v>197</v>
      </c>
      <c r="FI23" s="17" t="s">
        <v>214</v>
      </c>
      <c r="FJ23" s="18">
        <v>45720.355775462966</v>
      </c>
      <c r="FK23" s="14" t="s">
        <v>542</v>
      </c>
      <c r="FL23" s="14" t="s">
        <v>543</v>
      </c>
      <c r="FM23" s="14" t="s">
        <v>544</v>
      </c>
      <c r="FN23" s="14" t="s">
        <v>545</v>
      </c>
      <c r="FO23" s="14" t="s">
        <v>546</v>
      </c>
      <c r="FP23" s="19" t="str">
        <f t="shared" si="1"/>
        <v>Base de Dados_Images/BC 6502_.Imagem do Equipamento-.113720.jpg</v>
      </c>
      <c r="FQ23" s="19"/>
      <c r="FR23" s="19"/>
    </row>
    <row r="24" ht="15.75" customHeight="1">
      <c r="A24" s="12" t="s">
        <v>547</v>
      </c>
      <c r="B24" s="12" t="s">
        <v>548</v>
      </c>
      <c r="C24" s="24" t="s">
        <v>512</v>
      </c>
      <c r="D24" s="12" t="s">
        <v>549</v>
      </c>
      <c r="E24" s="12"/>
      <c r="F24" s="13" t="s">
        <v>178</v>
      </c>
      <c r="G24" s="14" t="s">
        <v>179</v>
      </c>
      <c r="H24" s="14" t="s">
        <v>550</v>
      </c>
      <c r="I24" s="14" t="s">
        <v>179</v>
      </c>
      <c r="J24" s="14" t="s">
        <v>551</v>
      </c>
      <c r="K24" s="14" t="s">
        <v>179</v>
      </c>
      <c r="L24" s="14" t="s">
        <v>552</v>
      </c>
      <c r="M24" s="14" t="s">
        <v>179</v>
      </c>
      <c r="N24" s="14" t="s">
        <v>553</v>
      </c>
      <c r="O24" s="14" t="s">
        <v>179</v>
      </c>
      <c r="P24" s="14" t="s">
        <v>554</v>
      </c>
      <c r="Q24" s="14" t="s">
        <v>179</v>
      </c>
      <c r="R24" s="14" t="s">
        <v>555</v>
      </c>
      <c r="S24" s="14" t="s">
        <v>179</v>
      </c>
      <c r="T24" s="14" t="s">
        <v>556</v>
      </c>
      <c r="U24" s="14" t="s">
        <v>179</v>
      </c>
      <c r="V24" s="14" t="s">
        <v>557</v>
      </c>
      <c r="W24" s="14" t="s">
        <v>179</v>
      </c>
      <c r="X24" s="14" t="s">
        <v>558</v>
      </c>
      <c r="Y24" s="14" t="s">
        <v>179</v>
      </c>
      <c r="Z24" s="14" t="s">
        <v>559</v>
      </c>
      <c r="AA24" s="14" t="s">
        <v>179</v>
      </c>
      <c r="AB24" s="14" t="s">
        <v>560</v>
      </c>
      <c r="AC24" s="14" t="s">
        <v>179</v>
      </c>
      <c r="AD24" s="14" t="s">
        <v>561</v>
      </c>
      <c r="AE24" s="14" t="s">
        <v>179</v>
      </c>
      <c r="AF24" s="14" t="s">
        <v>562</v>
      </c>
      <c r="AG24" s="14" t="s">
        <v>179</v>
      </c>
      <c r="AH24" s="14" t="s">
        <v>563</v>
      </c>
      <c r="AI24" s="14" t="s">
        <v>179</v>
      </c>
      <c r="AJ24" s="14" t="s">
        <v>564</v>
      </c>
      <c r="AK24" s="14" t="s">
        <v>179</v>
      </c>
      <c r="AL24" s="14" t="s">
        <v>565</v>
      </c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6" t="s">
        <v>197</v>
      </c>
      <c r="BP24" s="17" t="s">
        <v>198</v>
      </c>
      <c r="BQ24" s="18">
        <v>45688.65246527778</v>
      </c>
      <c r="BR24" s="17" t="s">
        <v>198</v>
      </c>
      <c r="BS24" s="18">
        <v>45688.65247685185</v>
      </c>
      <c r="BT24" s="17" t="s">
        <v>198</v>
      </c>
      <c r="BU24" s="18">
        <v>45688.65247685185</v>
      </c>
      <c r="BV24" s="13" t="s">
        <v>199</v>
      </c>
      <c r="BW24" s="14" t="s">
        <v>179</v>
      </c>
      <c r="BX24" s="14" t="s">
        <v>566</v>
      </c>
      <c r="BY24" s="14" t="s">
        <v>179</v>
      </c>
      <c r="BZ24" s="14" t="s">
        <v>567</v>
      </c>
      <c r="CA24" s="14" t="s">
        <v>179</v>
      </c>
      <c r="CB24" s="14" t="s">
        <v>568</v>
      </c>
      <c r="CC24" s="14" t="s">
        <v>179</v>
      </c>
      <c r="CD24" s="14" t="s">
        <v>569</v>
      </c>
      <c r="CE24" s="14" t="s">
        <v>179</v>
      </c>
      <c r="CF24" s="14" t="s">
        <v>570</v>
      </c>
      <c r="CG24" s="14" t="s">
        <v>179</v>
      </c>
      <c r="CH24" s="14" t="s">
        <v>571</v>
      </c>
      <c r="CI24" s="19"/>
      <c r="CJ24" s="15"/>
      <c r="CK24" s="19"/>
      <c r="CL24" s="15"/>
      <c r="CM24" s="19"/>
      <c r="CN24" s="15"/>
      <c r="CO24" s="19"/>
      <c r="CP24" s="15"/>
      <c r="CQ24" s="15"/>
      <c r="CR24" s="15"/>
      <c r="CS24" s="19"/>
      <c r="CT24" s="15"/>
      <c r="CU24" s="19"/>
      <c r="CV24" s="15"/>
      <c r="CW24" s="19"/>
      <c r="CX24" s="15"/>
      <c r="CY24" s="19"/>
      <c r="CZ24" s="15"/>
      <c r="DA24" s="16" t="s">
        <v>197</v>
      </c>
      <c r="DB24" s="17" t="s">
        <v>198</v>
      </c>
      <c r="DC24" s="20">
        <v>45689.4074537037</v>
      </c>
      <c r="DD24" s="17" t="s">
        <v>198</v>
      </c>
      <c r="DE24" s="18">
        <v>45692.641493055555</v>
      </c>
      <c r="DF24" s="17" t="s">
        <v>198</v>
      </c>
      <c r="DG24" s="18">
        <v>45692.641493055555</v>
      </c>
      <c r="DH24" s="13" t="s">
        <v>205</v>
      </c>
      <c r="DI24" s="14" t="s">
        <v>179</v>
      </c>
      <c r="DJ24" s="14" t="s">
        <v>572</v>
      </c>
      <c r="DK24" s="14" t="s">
        <v>179</v>
      </c>
      <c r="DL24" s="14" t="s">
        <v>573</v>
      </c>
      <c r="DM24" s="14" t="s">
        <v>179</v>
      </c>
      <c r="DN24" s="14" t="s">
        <v>574</v>
      </c>
      <c r="DO24" s="14" t="s">
        <v>179</v>
      </c>
      <c r="DP24" s="14" t="s">
        <v>574</v>
      </c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6" t="s">
        <v>197</v>
      </c>
      <c r="ED24" s="17" t="s">
        <v>198</v>
      </c>
      <c r="EE24" s="18">
        <v>45722.38248842592</v>
      </c>
      <c r="EF24" s="13" t="s">
        <v>209</v>
      </c>
      <c r="EG24" s="14" t="s">
        <v>179</v>
      </c>
      <c r="EH24" s="14" t="s">
        <v>575</v>
      </c>
      <c r="EI24" s="14" t="s">
        <v>179</v>
      </c>
      <c r="EJ24" s="14" t="s">
        <v>576</v>
      </c>
      <c r="EK24" s="14" t="s">
        <v>179</v>
      </c>
      <c r="EL24" s="14" t="s">
        <v>577</v>
      </c>
      <c r="EM24" s="14" t="s">
        <v>179</v>
      </c>
      <c r="EN24" s="14" t="s">
        <v>578</v>
      </c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6" t="s">
        <v>197</v>
      </c>
      <c r="FD24" s="17" t="s">
        <v>198</v>
      </c>
      <c r="FE24" s="18">
        <v>45722.61284722222</v>
      </c>
      <c r="FF24" s="19"/>
      <c r="FG24" s="19"/>
      <c r="FH24" s="21" t="s">
        <v>197</v>
      </c>
      <c r="FI24" s="17" t="s">
        <v>214</v>
      </c>
      <c r="FJ24" s="18">
        <v>45722.61284722222</v>
      </c>
      <c r="FK24" s="14" t="s">
        <v>578</v>
      </c>
      <c r="FL24" s="14" t="s">
        <v>579</v>
      </c>
      <c r="FM24" s="14" t="s">
        <v>580</v>
      </c>
      <c r="FN24" s="19"/>
      <c r="FO24" s="19"/>
      <c r="FP24" s="19" t="str">
        <f t="shared" si="1"/>
        <v>Base de Dados_Images/BC 7107 BOMBA ETANOL DE 2° P- VOLANTE.Imagem do Equipamento-.183910.jpg</v>
      </c>
      <c r="FQ24" s="19"/>
      <c r="FR24" s="19"/>
    </row>
    <row r="25" ht="15.75" customHeight="1">
      <c r="A25" s="12" t="s">
        <v>174</v>
      </c>
      <c r="B25" s="22" t="s">
        <v>581</v>
      </c>
      <c r="C25" s="24" t="s">
        <v>512</v>
      </c>
      <c r="D25" s="22" t="s">
        <v>582</v>
      </c>
      <c r="E25" s="22" t="s">
        <v>583</v>
      </c>
      <c r="F25" s="13" t="s">
        <v>178</v>
      </c>
      <c r="G25" s="14" t="s">
        <v>179</v>
      </c>
      <c r="H25" s="14" t="s">
        <v>584</v>
      </c>
      <c r="I25" s="14" t="s">
        <v>179</v>
      </c>
      <c r="J25" s="14" t="s">
        <v>585</v>
      </c>
      <c r="K25" s="14" t="s">
        <v>179</v>
      </c>
      <c r="L25" s="14" t="s">
        <v>586</v>
      </c>
      <c r="M25" s="14" t="s">
        <v>179</v>
      </c>
      <c r="N25" s="14" t="s">
        <v>587</v>
      </c>
      <c r="O25" s="14" t="s">
        <v>179</v>
      </c>
      <c r="P25" s="14" t="s">
        <v>588</v>
      </c>
      <c r="Q25" s="14" t="s">
        <v>179</v>
      </c>
      <c r="R25" s="14" t="s">
        <v>589</v>
      </c>
      <c r="S25" s="14" t="s">
        <v>179</v>
      </c>
      <c r="T25" s="14" t="s">
        <v>590</v>
      </c>
      <c r="U25" s="14" t="s">
        <v>179</v>
      </c>
      <c r="V25" s="14" t="s">
        <v>591</v>
      </c>
      <c r="W25" s="14" t="s">
        <v>179</v>
      </c>
      <c r="X25" s="14" t="s">
        <v>592</v>
      </c>
      <c r="Y25" s="14" t="s">
        <v>179</v>
      </c>
      <c r="Z25" s="14" t="s">
        <v>593</v>
      </c>
      <c r="AA25" s="14" t="s">
        <v>179</v>
      </c>
      <c r="AB25" s="14" t="s">
        <v>594</v>
      </c>
      <c r="AC25" s="14" t="s">
        <v>179</v>
      </c>
      <c r="AD25" s="14" t="s">
        <v>595</v>
      </c>
      <c r="AE25" s="14" t="s">
        <v>179</v>
      </c>
      <c r="AF25" s="14" t="s">
        <v>596</v>
      </c>
      <c r="AG25" s="14" t="s">
        <v>179</v>
      </c>
      <c r="AH25" s="14" t="s">
        <v>597</v>
      </c>
      <c r="AI25" s="14" t="s">
        <v>179</v>
      </c>
      <c r="AJ25" s="14" t="s">
        <v>598</v>
      </c>
      <c r="AK25" s="14" t="s">
        <v>179</v>
      </c>
      <c r="AL25" s="14" t="s">
        <v>599</v>
      </c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6" t="s">
        <v>197</v>
      </c>
      <c r="BP25" s="17" t="s">
        <v>198</v>
      </c>
      <c r="BQ25" s="18">
        <v>45686.38101851852</v>
      </c>
      <c r="BR25" s="17" t="s">
        <v>198</v>
      </c>
      <c r="BS25" s="18">
        <v>45686.381215277775</v>
      </c>
      <c r="BT25" s="17" t="s">
        <v>198</v>
      </c>
      <c r="BU25" s="18">
        <v>45686.381215277775</v>
      </c>
      <c r="BV25" s="13" t="s">
        <v>199</v>
      </c>
      <c r="BW25" s="14" t="s">
        <v>179</v>
      </c>
      <c r="BX25" s="14" t="s">
        <v>600</v>
      </c>
      <c r="BY25" s="14" t="s">
        <v>179</v>
      </c>
      <c r="BZ25" s="14" t="s">
        <v>601</v>
      </c>
      <c r="CA25" s="14" t="s">
        <v>179</v>
      </c>
      <c r="CB25" s="14" t="s">
        <v>602</v>
      </c>
      <c r="CC25" s="14" t="s">
        <v>179</v>
      </c>
      <c r="CD25" s="14" t="s">
        <v>603</v>
      </c>
      <c r="CE25" s="14" t="s">
        <v>179</v>
      </c>
      <c r="CF25" s="14" t="s">
        <v>604</v>
      </c>
      <c r="CG25" s="14" t="s">
        <v>179</v>
      </c>
      <c r="CH25" s="14" t="s">
        <v>605</v>
      </c>
      <c r="CI25" s="19"/>
      <c r="CJ25" s="15"/>
      <c r="CK25" s="19"/>
      <c r="CL25" s="15"/>
      <c r="CM25" s="19"/>
      <c r="CN25" s="15"/>
      <c r="CO25" s="19"/>
      <c r="CP25" s="15"/>
      <c r="CQ25" s="15"/>
      <c r="CR25" s="15"/>
      <c r="CS25" s="19"/>
      <c r="CT25" s="15"/>
      <c r="CU25" s="19"/>
      <c r="CV25" s="15"/>
      <c r="CW25" s="19"/>
      <c r="CX25" s="15"/>
      <c r="CY25" s="19"/>
      <c r="CZ25" s="15"/>
      <c r="DA25" s="16" t="s">
        <v>197</v>
      </c>
      <c r="DB25" s="17" t="s">
        <v>198</v>
      </c>
      <c r="DC25" s="20">
        <v>45722.34427083333</v>
      </c>
      <c r="DD25" s="17" t="s">
        <v>198</v>
      </c>
      <c r="DE25" s="18">
        <v>45722.344351851854</v>
      </c>
      <c r="DF25" s="17" t="s">
        <v>198</v>
      </c>
      <c r="DG25" s="18">
        <v>45722.344351851854</v>
      </c>
      <c r="DH25" s="13" t="s">
        <v>205</v>
      </c>
      <c r="DI25" s="14" t="s">
        <v>179</v>
      </c>
      <c r="DJ25" s="14" t="s">
        <v>606</v>
      </c>
      <c r="DK25" s="14" t="s">
        <v>179</v>
      </c>
      <c r="DL25" s="14" t="s">
        <v>607</v>
      </c>
      <c r="DM25" s="14" t="s">
        <v>179</v>
      </c>
      <c r="DN25" s="14" t="s">
        <v>608</v>
      </c>
      <c r="DO25" s="14" t="s">
        <v>179</v>
      </c>
      <c r="DP25" s="14" t="s">
        <v>609</v>
      </c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6" t="s">
        <v>197</v>
      </c>
      <c r="ED25" s="17" t="s">
        <v>198</v>
      </c>
      <c r="EE25" s="18">
        <v>45722.3446412037</v>
      </c>
      <c r="EF25" s="13" t="s">
        <v>209</v>
      </c>
      <c r="EG25" s="14" t="s">
        <v>179</v>
      </c>
      <c r="EH25" s="14" t="s">
        <v>610</v>
      </c>
      <c r="EI25" s="14" t="s">
        <v>179</v>
      </c>
      <c r="EJ25" s="14" t="s">
        <v>610</v>
      </c>
      <c r="EK25" s="14" t="s">
        <v>179</v>
      </c>
      <c r="EL25" s="14" t="s">
        <v>611</v>
      </c>
      <c r="EM25" s="14" t="s">
        <v>179</v>
      </c>
      <c r="EN25" s="14" t="s">
        <v>612</v>
      </c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6" t="s">
        <v>197</v>
      </c>
      <c r="FD25" s="17" t="s">
        <v>198</v>
      </c>
      <c r="FE25" s="18">
        <v>45723.31982638889</v>
      </c>
      <c r="FF25" s="19"/>
      <c r="FG25" s="19"/>
      <c r="FH25" s="21" t="s">
        <v>197</v>
      </c>
      <c r="FI25" s="17" t="s">
        <v>214</v>
      </c>
      <c r="FJ25" s="18">
        <v>45723.31982638889</v>
      </c>
      <c r="FK25" s="14" t="s">
        <v>612</v>
      </c>
      <c r="FL25" s="14" t="s">
        <v>613</v>
      </c>
      <c r="FM25" s="14" t="s">
        <v>614</v>
      </c>
      <c r="FN25" s="14" t="s">
        <v>615</v>
      </c>
      <c r="FO25" s="14" t="s">
        <v>616</v>
      </c>
      <c r="FP25" s="19" t="str">
        <f t="shared" si="1"/>
        <v>Base de Dados_Images/BC2101.Imagem do Equipamento-.131245.jpg</v>
      </c>
      <c r="FQ25" s="19"/>
      <c r="FR25" s="19"/>
    </row>
    <row r="26" ht="15.75" customHeight="1">
      <c r="A26" s="12" t="s">
        <v>174</v>
      </c>
      <c r="B26" s="22" t="s">
        <v>617</v>
      </c>
      <c r="C26" s="24" t="s">
        <v>512</v>
      </c>
      <c r="D26" s="22" t="s">
        <v>618</v>
      </c>
      <c r="E26" s="22" t="s">
        <v>619</v>
      </c>
      <c r="F26" s="13" t="s">
        <v>178</v>
      </c>
      <c r="G26" s="14" t="s">
        <v>179</v>
      </c>
      <c r="H26" s="14" t="s">
        <v>620</v>
      </c>
      <c r="I26" s="14" t="s">
        <v>179</v>
      </c>
      <c r="J26" s="14" t="s">
        <v>621</v>
      </c>
      <c r="K26" s="14" t="s">
        <v>179</v>
      </c>
      <c r="L26" s="14" t="s">
        <v>622</v>
      </c>
      <c r="M26" s="14" t="s">
        <v>179</v>
      </c>
      <c r="N26" s="14" t="s">
        <v>623</v>
      </c>
      <c r="O26" s="14" t="s">
        <v>179</v>
      </c>
      <c r="P26" s="14" t="s">
        <v>624</v>
      </c>
      <c r="Q26" s="14" t="s">
        <v>179</v>
      </c>
      <c r="R26" s="14" t="s">
        <v>625</v>
      </c>
      <c r="S26" s="14" t="s">
        <v>179</v>
      </c>
      <c r="T26" s="14" t="s">
        <v>626</v>
      </c>
      <c r="U26" s="14" t="s">
        <v>179</v>
      </c>
      <c r="V26" s="14" t="s">
        <v>627</v>
      </c>
      <c r="W26" s="14" t="s">
        <v>179</v>
      </c>
      <c r="X26" s="14" t="s">
        <v>628</v>
      </c>
      <c r="Y26" s="14" t="s">
        <v>179</v>
      </c>
      <c r="Z26" s="14" t="s">
        <v>629</v>
      </c>
      <c r="AA26" s="14" t="s">
        <v>179</v>
      </c>
      <c r="AB26" s="14" t="s">
        <v>630</v>
      </c>
      <c r="AC26" s="14" t="s">
        <v>179</v>
      </c>
      <c r="AD26" s="14" t="s">
        <v>631</v>
      </c>
      <c r="AE26" s="14" t="s">
        <v>179</v>
      </c>
      <c r="AF26" s="14" t="s">
        <v>632</v>
      </c>
      <c r="AG26" s="14" t="s">
        <v>179</v>
      </c>
      <c r="AH26" s="14" t="s">
        <v>633</v>
      </c>
      <c r="AI26" s="14" t="s">
        <v>179</v>
      </c>
      <c r="AJ26" s="14" t="s">
        <v>634</v>
      </c>
      <c r="AK26" s="14" t="s">
        <v>179</v>
      </c>
      <c r="AL26" s="14" t="s">
        <v>635</v>
      </c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6" t="s">
        <v>197</v>
      </c>
      <c r="BP26" s="17" t="s">
        <v>198</v>
      </c>
      <c r="BQ26" s="18">
        <v>45686.382361111115</v>
      </c>
      <c r="BR26" s="17" t="s">
        <v>198</v>
      </c>
      <c r="BS26" s="18">
        <v>45686.38261574074</v>
      </c>
      <c r="BT26" s="17" t="s">
        <v>198</v>
      </c>
      <c r="BU26" s="18">
        <v>45686.38261574074</v>
      </c>
      <c r="BV26" s="13" t="s">
        <v>199</v>
      </c>
      <c r="BW26" s="14" t="s">
        <v>179</v>
      </c>
      <c r="BX26" s="14" t="s">
        <v>636</v>
      </c>
      <c r="BY26" s="14" t="s">
        <v>179</v>
      </c>
      <c r="BZ26" s="14" t="s">
        <v>636</v>
      </c>
      <c r="CA26" s="14" t="s">
        <v>179</v>
      </c>
      <c r="CB26" s="14" t="s">
        <v>637</v>
      </c>
      <c r="CC26" s="14" t="s">
        <v>179</v>
      </c>
      <c r="CD26" s="14" t="s">
        <v>638</v>
      </c>
      <c r="CE26" s="14" t="s">
        <v>179</v>
      </c>
      <c r="CF26" s="14" t="s">
        <v>637</v>
      </c>
      <c r="CG26" s="14" t="s">
        <v>179</v>
      </c>
      <c r="CH26" s="14" t="s">
        <v>639</v>
      </c>
      <c r="CI26" s="19"/>
      <c r="CJ26" s="15"/>
      <c r="CK26" s="19"/>
      <c r="CL26" s="15"/>
      <c r="CM26" s="19"/>
      <c r="CN26" s="15"/>
      <c r="CO26" s="19"/>
      <c r="CP26" s="15"/>
      <c r="CQ26" s="15"/>
      <c r="CR26" s="15"/>
      <c r="CS26" s="19"/>
      <c r="CT26" s="15"/>
      <c r="CU26" s="19"/>
      <c r="CV26" s="15"/>
      <c r="CW26" s="19"/>
      <c r="CX26" s="15"/>
      <c r="CY26" s="19"/>
      <c r="CZ26" s="15"/>
      <c r="DA26" s="16" t="s">
        <v>197</v>
      </c>
      <c r="DB26" s="17" t="s">
        <v>198</v>
      </c>
      <c r="DC26" s="20">
        <v>45722.34508101852</v>
      </c>
      <c r="DD26" s="17" t="s">
        <v>198</v>
      </c>
      <c r="DE26" s="18">
        <v>45722.345185185186</v>
      </c>
      <c r="DF26" s="17" t="s">
        <v>198</v>
      </c>
      <c r="DG26" s="18">
        <v>45722.345185185186</v>
      </c>
      <c r="DH26" s="13" t="s">
        <v>205</v>
      </c>
      <c r="DI26" s="14" t="s">
        <v>179</v>
      </c>
      <c r="DJ26" s="14" t="s">
        <v>640</v>
      </c>
      <c r="DK26" s="14" t="s">
        <v>179</v>
      </c>
      <c r="DL26" s="14" t="s">
        <v>640</v>
      </c>
      <c r="DM26" s="14" t="s">
        <v>179</v>
      </c>
      <c r="DN26" s="14" t="s">
        <v>641</v>
      </c>
      <c r="DO26" s="14" t="s">
        <v>179</v>
      </c>
      <c r="DP26" s="14" t="s">
        <v>642</v>
      </c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6" t="s">
        <v>197</v>
      </c>
      <c r="ED26" s="17" t="s">
        <v>198</v>
      </c>
      <c r="EE26" s="18">
        <v>45722.34525462963</v>
      </c>
      <c r="EF26" s="13" t="s">
        <v>209</v>
      </c>
      <c r="EG26" s="14" t="s">
        <v>179</v>
      </c>
      <c r="EH26" s="14" t="s">
        <v>643</v>
      </c>
      <c r="EI26" s="14" t="s">
        <v>179</v>
      </c>
      <c r="EJ26" s="14" t="s">
        <v>644</v>
      </c>
      <c r="EK26" s="14" t="s">
        <v>179</v>
      </c>
      <c r="EL26" s="14" t="s">
        <v>644</v>
      </c>
      <c r="EM26" s="14" t="s">
        <v>179</v>
      </c>
      <c r="EN26" s="14" t="s">
        <v>645</v>
      </c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6" t="s">
        <v>197</v>
      </c>
      <c r="FD26" s="17" t="s">
        <v>198</v>
      </c>
      <c r="FE26" s="18">
        <v>45723.31995370371</v>
      </c>
      <c r="FF26" s="19"/>
      <c r="FG26" s="19"/>
      <c r="FH26" s="21" t="s">
        <v>197</v>
      </c>
      <c r="FI26" s="17" t="s">
        <v>214</v>
      </c>
      <c r="FJ26" s="18">
        <v>45723.31995370371</v>
      </c>
      <c r="FK26" s="14" t="s">
        <v>645</v>
      </c>
      <c r="FL26" s="14" t="s">
        <v>646</v>
      </c>
      <c r="FM26" s="14" t="s">
        <v>647</v>
      </c>
      <c r="FN26" s="14" t="s">
        <v>648</v>
      </c>
      <c r="FO26" s="14" t="s">
        <v>649</v>
      </c>
      <c r="FP26" s="19" t="str">
        <f t="shared" si="1"/>
        <v>Base de Dados_Images/BC2102.Imagem do Equipamento-.131407.jpg</v>
      </c>
      <c r="FQ26" s="19"/>
      <c r="FR26" s="19"/>
    </row>
    <row r="27" ht="15.75" customHeight="1">
      <c r="A27" s="12" t="s">
        <v>174</v>
      </c>
      <c r="B27" s="22" t="s">
        <v>650</v>
      </c>
      <c r="C27" s="24" t="s">
        <v>512</v>
      </c>
      <c r="D27" s="22" t="s">
        <v>651</v>
      </c>
      <c r="E27" s="22" t="s">
        <v>652</v>
      </c>
      <c r="F27" s="13" t="s">
        <v>178</v>
      </c>
      <c r="G27" s="14" t="s">
        <v>179</v>
      </c>
      <c r="H27" s="14" t="s">
        <v>653</v>
      </c>
      <c r="I27" s="14" t="s">
        <v>179</v>
      </c>
      <c r="J27" s="14" t="s">
        <v>654</v>
      </c>
      <c r="K27" s="14" t="s">
        <v>179</v>
      </c>
      <c r="L27" s="14" t="s">
        <v>655</v>
      </c>
      <c r="M27" s="14" t="s">
        <v>179</v>
      </c>
      <c r="N27" s="14" t="s">
        <v>656</v>
      </c>
      <c r="O27" s="14" t="s">
        <v>179</v>
      </c>
      <c r="P27" s="14" t="s">
        <v>657</v>
      </c>
      <c r="Q27" s="14" t="s">
        <v>179</v>
      </c>
      <c r="R27" s="14" t="s">
        <v>658</v>
      </c>
      <c r="S27" s="14" t="s">
        <v>179</v>
      </c>
      <c r="T27" s="14" t="s">
        <v>659</v>
      </c>
      <c r="U27" s="14" t="s">
        <v>179</v>
      </c>
      <c r="V27" s="14" t="s">
        <v>660</v>
      </c>
      <c r="W27" s="14" t="s">
        <v>179</v>
      </c>
      <c r="X27" s="14" t="s">
        <v>661</v>
      </c>
      <c r="Y27" s="14" t="s">
        <v>179</v>
      </c>
      <c r="Z27" s="14" t="s">
        <v>662</v>
      </c>
      <c r="AA27" s="14" t="s">
        <v>179</v>
      </c>
      <c r="AB27" s="14" t="s">
        <v>663</v>
      </c>
      <c r="AC27" s="14" t="s">
        <v>179</v>
      </c>
      <c r="AD27" s="14" t="s">
        <v>664</v>
      </c>
      <c r="AE27" s="14" t="s">
        <v>179</v>
      </c>
      <c r="AF27" s="14" t="s">
        <v>665</v>
      </c>
      <c r="AG27" s="14" t="s">
        <v>179</v>
      </c>
      <c r="AH27" s="14" t="s">
        <v>666</v>
      </c>
      <c r="AI27" s="14" t="s">
        <v>179</v>
      </c>
      <c r="AJ27" s="14" t="s">
        <v>667</v>
      </c>
      <c r="AK27" s="14" t="s">
        <v>179</v>
      </c>
      <c r="AL27" s="14" t="s">
        <v>668</v>
      </c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6" t="s">
        <v>197</v>
      </c>
      <c r="BP27" s="17" t="s">
        <v>198</v>
      </c>
      <c r="BQ27" s="18">
        <v>45686.38425925926</v>
      </c>
      <c r="BR27" s="17" t="s">
        <v>198</v>
      </c>
      <c r="BS27" s="18">
        <v>45686.384421296294</v>
      </c>
      <c r="BT27" s="17" t="s">
        <v>198</v>
      </c>
      <c r="BU27" s="18">
        <v>45686.384421296294</v>
      </c>
      <c r="BV27" s="13" t="s">
        <v>199</v>
      </c>
      <c r="BW27" s="14" t="s">
        <v>179</v>
      </c>
      <c r="BX27" s="14" t="s">
        <v>669</v>
      </c>
      <c r="BY27" s="14" t="s">
        <v>179</v>
      </c>
      <c r="BZ27" s="14" t="s">
        <v>669</v>
      </c>
      <c r="CA27" s="14" t="s">
        <v>179</v>
      </c>
      <c r="CB27" s="14" t="s">
        <v>670</v>
      </c>
      <c r="CC27" s="14" t="s">
        <v>179</v>
      </c>
      <c r="CD27" s="14" t="s">
        <v>670</v>
      </c>
      <c r="CE27" s="14" t="s">
        <v>179</v>
      </c>
      <c r="CF27" s="14" t="s">
        <v>671</v>
      </c>
      <c r="CG27" s="14" t="s">
        <v>179</v>
      </c>
      <c r="CH27" s="14" t="s">
        <v>671</v>
      </c>
      <c r="CI27" s="19"/>
      <c r="CJ27" s="15"/>
      <c r="CK27" s="19"/>
      <c r="CL27" s="15"/>
      <c r="CM27" s="19"/>
      <c r="CN27" s="15"/>
      <c r="CO27" s="19"/>
      <c r="CP27" s="15"/>
      <c r="CQ27" s="15"/>
      <c r="CR27" s="15"/>
      <c r="CS27" s="19"/>
      <c r="CT27" s="15"/>
      <c r="CU27" s="19"/>
      <c r="CV27" s="15"/>
      <c r="CW27" s="19"/>
      <c r="CX27" s="15"/>
      <c r="CY27" s="19"/>
      <c r="CZ27" s="15"/>
      <c r="DA27" s="16" t="s">
        <v>197</v>
      </c>
      <c r="DB27" s="17" t="s">
        <v>198</v>
      </c>
      <c r="DC27" s="20">
        <v>45722.345625</v>
      </c>
      <c r="DD27" s="17" t="s">
        <v>198</v>
      </c>
      <c r="DE27" s="18">
        <v>45722.345659722225</v>
      </c>
      <c r="DF27" s="17" t="s">
        <v>198</v>
      </c>
      <c r="DG27" s="18">
        <v>45722.345659722225</v>
      </c>
      <c r="DH27" s="13" t="s">
        <v>205</v>
      </c>
      <c r="DI27" s="14" t="s">
        <v>179</v>
      </c>
      <c r="DJ27" s="14" t="s">
        <v>672</v>
      </c>
      <c r="DK27" s="14" t="s">
        <v>179</v>
      </c>
      <c r="DL27" s="14" t="s">
        <v>673</v>
      </c>
      <c r="DM27" s="14" t="s">
        <v>179</v>
      </c>
      <c r="DN27" s="14" t="s">
        <v>673</v>
      </c>
      <c r="DO27" s="14" t="s">
        <v>179</v>
      </c>
      <c r="DP27" s="14" t="s">
        <v>674</v>
      </c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6" t="s">
        <v>197</v>
      </c>
      <c r="ED27" s="17" t="s">
        <v>198</v>
      </c>
      <c r="EE27" s="18">
        <v>45722.34575231482</v>
      </c>
      <c r="EF27" s="13" t="s">
        <v>209</v>
      </c>
      <c r="EG27" s="14" t="s">
        <v>179</v>
      </c>
      <c r="EH27" s="14" t="s">
        <v>675</v>
      </c>
      <c r="EI27" s="14" t="s">
        <v>179</v>
      </c>
      <c r="EJ27" s="14" t="s">
        <v>675</v>
      </c>
      <c r="EK27" s="14" t="s">
        <v>179</v>
      </c>
      <c r="EL27" s="14" t="s">
        <v>676</v>
      </c>
      <c r="EM27" s="14" t="s">
        <v>179</v>
      </c>
      <c r="EN27" s="14" t="s">
        <v>677</v>
      </c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6" t="s">
        <v>197</v>
      </c>
      <c r="FD27" s="17" t="s">
        <v>198</v>
      </c>
      <c r="FE27" s="18">
        <v>45723.319699074076</v>
      </c>
      <c r="FF27" s="19"/>
      <c r="FG27" s="19"/>
      <c r="FH27" s="21" t="s">
        <v>197</v>
      </c>
      <c r="FI27" s="17" t="s">
        <v>214</v>
      </c>
      <c r="FJ27" s="18">
        <v>45723.319699074076</v>
      </c>
      <c r="FK27" s="14" t="s">
        <v>677</v>
      </c>
      <c r="FL27" s="14" t="s">
        <v>678</v>
      </c>
      <c r="FM27" s="14" t="s">
        <v>679</v>
      </c>
      <c r="FN27" s="14" t="s">
        <v>680</v>
      </c>
      <c r="FO27" s="14" t="s">
        <v>681</v>
      </c>
      <c r="FP27" s="19" t="str">
        <f t="shared" si="1"/>
        <v>Base de Dados_Images/BC2103.Imagem do Equipamento-.131509.jpg</v>
      </c>
      <c r="FQ27" s="19"/>
      <c r="FR27" s="19"/>
    </row>
    <row r="28" ht="15.75" customHeight="1">
      <c r="A28" s="12" t="s">
        <v>174</v>
      </c>
      <c r="B28" s="22" t="s">
        <v>682</v>
      </c>
      <c r="C28" s="24" t="s">
        <v>512</v>
      </c>
      <c r="D28" s="22" t="s">
        <v>683</v>
      </c>
      <c r="E28" s="22" t="s">
        <v>684</v>
      </c>
      <c r="F28" s="13" t="s">
        <v>178</v>
      </c>
      <c r="G28" s="14" t="s">
        <v>179</v>
      </c>
      <c r="H28" s="14" t="s">
        <v>685</v>
      </c>
      <c r="I28" s="14" t="s">
        <v>179</v>
      </c>
      <c r="J28" s="14" t="s">
        <v>686</v>
      </c>
      <c r="K28" s="14" t="s">
        <v>179</v>
      </c>
      <c r="L28" s="14" t="s">
        <v>687</v>
      </c>
      <c r="M28" s="14" t="s">
        <v>179</v>
      </c>
      <c r="N28" s="14" t="s">
        <v>688</v>
      </c>
      <c r="O28" s="14" t="s">
        <v>179</v>
      </c>
      <c r="P28" s="14" t="s">
        <v>689</v>
      </c>
      <c r="Q28" s="14" t="s">
        <v>179</v>
      </c>
      <c r="R28" s="14" t="s">
        <v>690</v>
      </c>
      <c r="S28" s="14" t="s">
        <v>179</v>
      </c>
      <c r="T28" s="14" t="s">
        <v>691</v>
      </c>
      <c r="U28" s="14" t="s">
        <v>179</v>
      </c>
      <c r="V28" s="14" t="s">
        <v>692</v>
      </c>
      <c r="W28" s="14" t="s">
        <v>179</v>
      </c>
      <c r="X28" s="14" t="s">
        <v>693</v>
      </c>
      <c r="Y28" s="14" t="s">
        <v>179</v>
      </c>
      <c r="Z28" s="14" t="s">
        <v>694</v>
      </c>
      <c r="AA28" s="14" t="s">
        <v>179</v>
      </c>
      <c r="AB28" s="14" t="s">
        <v>695</v>
      </c>
      <c r="AC28" s="14" t="s">
        <v>179</v>
      </c>
      <c r="AD28" s="14" t="s">
        <v>696</v>
      </c>
      <c r="AE28" s="14" t="s">
        <v>179</v>
      </c>
      <c r="AF28" s="14" t="s">
        <v>697</v>
      </c>
      <c r="AG28" s="14" t="s">
        <v>179</v>
      </c>
      <c r="AH28" s="14" t="s">
        <v>698</v>
      </c>
      <c r="AI28" s="14" t="s">
        <v>179</v>
      </c>
      <c r="AJ28" s="14" t="s">
        <v>699</v>
      </c>
      <c r="AK28" s="14" t="s">
        <v>179</v>
      </c>
      <c r="AL28" s="14" t="s">
        <v>700</v>
      </c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6" t="s">
        <v>197</v>
      </c>
      <c r="BP28" s="17" t="s">
        <v>198</v>
      </c>
      <c r="BQ28" s="18">
        <v>45686.3859375</v>
      </c>
      <c r="BR28" s="17" t="s">
        <v>198</v>
      </c>
      <c r="BS28" s="18">
        <v>45686.386145833334</v>
      </c>
      <c r="BT28" s="17" t="s">
        <v>198</v>
      </c>
      <c r="BU28" s="18">
        <v>45686.386145833334</v>
      </c>
      <c r="BV28" s="13" t="s">
        <v>199</v>
      </c>
      <c r="BW28" s="14" t="s">
        <v>179</v>
      </c>
      <c r="BX28" s="14" t="s">
        <v>701</v>
      </c>
      <c r="BY28" s="14" t="s">
        <v>179</v>
      </c>
      <c r="BZ28" s="14" t="s">
        <v>702</v>
      </c>
      <c r="CA28" s="14" t="s">
        <v>179</v>
      </c>
      <c r="CB28" s="14" t="s">
        <v>703</v>
      </c>
      <c r="CC28" s="14" t="s">
        <v>179</v>
      </c>
      <c r="CD28" s="14" t="s">
        <v>704</v>
      </c>
      <c r="CE28" s="14" t="s">
        <v>179</v>
      </c>
      <c r="CF28" s="14" t="s">
        <v>705</v>
      </c>
      <c r="CG28" s="14" t="s">
        <v>179</v>
      </c>
      <c r="CH28" s="14" t="s">
        <v>705</v>
      </c>
      <c r="CI28" s="19"/>
      <c r="CJ28" s="15"/>
      <c r="CK28" s="19"/>
      <c r="CL28" s="15"/>
      <c r="CM28" s="19"/>
      <c r="CN28" s="15"/>
      <c r="CO28" s="19"/>
      <c r="CP28" s="15"/>
      <c r="CQ28" s="15"/>
      <c r="CR28" s="15"/>
      <c r="CS28" s="19"/>
      <c r="CT28" s="15"/>
      <c r="CU28" s="19"/>
      <c r="CV28" s="15"/>
      <c r="CW28" s="19"/>
      <c r="CX28" s="15"/>
      <c r="CY28" s="19"/>
      <c r="CZ28" s="15"/>
      <c r="DA28" s="16" t="s">
        <v>197</v>
      </c>
      <c r="DB28" s="17" t="s">
        <v>198</v>
      </c>
      <c r="DC28" s="20">
        <v>45722.346030092594</v>
      </c>
      <c r="DD28" s="17" t="s">
        <v>198</v>
      </c>
      <c r="DE28" s="18">
        <v>45722.34605324074</v>
      </c>
      <c r="DF28" s="17" t="s">
        <v>198</v>
      </c>
      <c r="DG28" s="18">
        <v>45722.34605324074</v>
      </c>
      <c r="DH28" s="13" t="s">
        <v>205</v>
      </c>
      <c r="DI28" s="14" t="s">
        <v>179</v>
      </c>
      <c r="DJ28" s="14" t="s">
        <v>706</v>
      </c>
      <c r="DK28" s="14" t="s">
        <v>179</v>
      </c>
      <c r="DL28" s="14" t="s">
        <v>706</v>
      </c>
      <c r="DM28" s="14" t="s">
        <v>179</v>
      </c>
      <c r="DN28" s="14" t="s">
        <v>707</v>
      </c>
      <c r="DO28" s="14" t="s">
        <v>179</v>
      </c>
      <c r="DP28" s="14" t="s">
        <v>708</v>
      </c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6" t="s">
        <v>197</v>
      </c>
      <c r="ED28" s="17" t="s">
        <v>198</v>
      </c>
      <c r="EE28" s="18">
        <v>45722.34619212963</v>
      </c>
      <c r="EF28" s="13" t="s">
        <v>209</v>
      </c>
      <c r="EG28" s="14" t="s">
        <v>179</v>
      </c>
      <c r="EH28" s="14" t="s">
        <v>709</v>
      </c>
      <c r="EI28" s="14" t="s">
        <v>179</v>
      </c>
      <c r="EJ28" s="14" t="s">
        <v>709</v>
      </c>
      <c r="EK28" s="14" t="s">
        <v>179</v>
      </c>
      <c r="EL28" s="14" t="s">
        <v>710</v>
      </c>
      <c r="EM28" s="14" t="s">
        <v>179</v>
      </c>
      <c r="EN28" s="14" t="s">
        <v>711</v>
      </c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6" t="s">
        <v>197</v>
      </c>
      <c r="FD28" s="17" t="s">
        <v>198</v>
      </c>
      <c r="FE28" s="18">
        <v>45723.32009259259</v>
      </c>
      <c r="FF28" s="19"/>
      <c r="FG28" s="19"/>
      <c r="FH28" s="21" t="s">
        <v>197</v>
      </c>
      <c r="FI28" s="17" t="s">
        <v>214</v>
      </c>
      <c r="FJ28" s="18">
        <v>45723.32009259259</v>
      </c>
      <c r="FK28" s="14" t="s">
        <v>711</v>
      </c>
      <c r="FL28" s="14" t="s">
        <v>712</v>
      </c>
      <c r="FM28" s="14" t="s">
        <v>713</v>
      </c>
      <c r="FN28" s="14" t="s">
        <v>714</v>
      </c>
      <c r="FO28" s="14" t="s">
        <v>715</v>
      </c>
      <c r="FP28" s="19" t="str">
        <f t="shared" si="1"/>
        <v>Base de Dados_Images/BC2104.Imagem do Equipamento-.131624.jpg</v>
      </c>
      <c r="FQ28" s="19"/>
      <c r="FR28" s="19"/>
    </row>
    <row r="29" ht="15.75" customHeight="1">
      <c r="A29" s="12" t="s">
        <v>174</v>
      </c>
      <c r="B29" s="12" t="s">
        <v>716</v>
      </c>
      <c r="C29" s="24" t="s">
        <v>512</v>
      </c>
      <c r="D29" s="22" t="s">
        <v>717</v>
      </c>
      <c r="E29" s="22" t="s">
        <v>718</v>
      </c>
      <c r="F29" s="13" t="s">
        <v>178</v>
      </c>
      <c r="G29" s="14" t="s">
        <v>179</v>
      </c>
      <c r="H29" s="14" t="s">
        <v>719</v>
      </c>
      <c r="I29" s="14" t="s">
        <v>179</v>
      </c>
      <c r="J29" s="14" t="s">
        <v>720</v>
      </c>
      <c r="K29" s="14" t="s">
        <v>179</v>
      </c>
      <c r="L29" s="14" t="s">
        <v>721</v>
      </c>
      <c r="M29" s="14" t="s">
        <v>179</v>
      </c>
      <c r="N29" s="14" t="s">
        <v>722</v>
      </c>
      <c r="O29" s="14" t="s">
        <v>179</v>
      </c>
      <c r="P29" s="14" t="s">
        <v>723</v>
      </c>
      <c r="Q29" s="14" t="s">
        <v>179</v>
      </c>
      <c r="R29" s="14" t="s">
        <v>724</v>
      </c>
      <c r="S29" s="14" t="s">
        <v>179</v>
      </c>
      <c r="T29" s="14" t="s">
        <v>725</v>
      </c>
      <c r="U29" s="14" t="s">
        <v>179</v>
      </c>
      <c r="V29" s="14" t="s">
        <v>726</v>
      </c>
      <c r="W29" s="14" t="s">
        <v>179</v>
      </c>
      <c r="X29" s="14" t="s">
        <v>727</v>
      </c>
      <c r="Y29" s="14" t="s">
        <v>179</v>
      </c>
      <c r="Z29" s="14" t="s">
        <v>728</v>
      </c>
      <c r="AA29" s="14" t="s">
        <v>179</v>
      </c>
      <c r="AB29" s="14" t="s">
        <v>729</v>
      </c>
      <c r="AC29" s="14" t="s">
        <v>179</v>
      </c>
      <c r="AD29" s="14" t="s">
        <v>730</v>
      </c>
      <c r="AE29" s="14" t="s">
        <v>179</v>
      </c>
      <c r="AF29" s="14" t="s">
        <v>731</v>
      </c>
      <c r="AG29" s="14" t="s">
        <v>179</v>
      </c>
      <c r="AH29" s="14" t="s">
        <v>732</v>
      </c>
      <c r="AI29" s="14" t="s">
        <v>179</v>
      </c>
      <c r="AJ29" s="14" t="s">
        <v>733</v>
      </c>
      <c r="AK29" s="14" t="s">
        <v>179</v>
      </c>
      <c r="AL29" s="14" t="s">
        <v>734</v>
      </c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6" t="s">
        <v>197</v>
      </c>
      <c r="BP29" s="17" t="s">
        <v>198</v>
      </c>
      <c r="BQ29" s="18">
        <v>45686.379594907405</v>
      </c>
      <c r="BR29" s="17" t="s">
        <v>198</v>
      </c>
      <c r="BS29" s="18">
        <v>45686.37980324074</v>
      </c>
      <c r="BT29" s="17" t="s">
        <v>198</v>
      </c>
      <c r="BU29" s="18">
        <v>45686.37980324074</v>
      </c>
      <c r="BV29" s="13" t="s">
        <v>199</v>
      </c>
      <c r="BW29" s="14" t="s">
        <v>179</v>
      </c>
      <c r="BX29" s="14" t="s">
        <v>735</v>
      </c>
      <c r="BY29" s="14" t="s">
        <v>179</v>
      </c>
      <c r="BZ29" s="14" t="s">
        <v>736</v>
      </c>
      <c r="CA29" s="14" t="s">
        <v>179</v>
      </c>
      <c r="CB29" s="14" t="s">
        <v>737</v>
      </c>
      <c r="CC29" s="14" t="s">
        <v>179</v>
      </c>
      <c r="CD29" s="14" t="s">
        <v>738</v>
      </c>
      <c r="CE29" s="14" t="s">
        <v>179</v>
      </c>
      <c r="CF29" s="14" t="s">
        <v>739</v>
      </c>
      <c r="CG29" s="14" t="s">
        <v>179</v>
      </c>
      <c r="CH29" s="14" t="s">
        <v>740</v>
      </c>
      <c r="CI29" s="19"/>
      <c r="CJ29" s="15"/>
      <c r="CK29" s="19"/>
      <c r="CL29" s="15"/>
      <c r="CM29" s="19"/>
      <c r="CN29" s="15"/>
      <c r="CO29" s="19"/>
      <c r="CP29" s="15"/>
      <c r="CQ29" s="15"/>
      <c r="CR29" s="15"/>
      <c r="CS29" s="19"/>
      <c r="CT29" s="15"/>
      <c r="CU29" s="19"/>
      <c r="CV29" s="15"/>
      <c r="CW29" s="19"/>
      <c r="CX29" s="15"/>
      <c r="CY29" s="19"/>
      <c r="CZ29" s="15"/>
      <c r="DA29" s="16" t="s">
        <v>197</v>
      </c>
      <c r="DB29" s="17" t="s">
        <v>198</v>
      </c>
      <c r="DC29" s="20">
        <v>45708.376979166664</v>
      </c>
      <c r="DD29" s="17" t="s">
        <v>198</v>
      </c>
      <c r="DE29" s="18">
        <v>45708.37701388889</v>
      </c>
      <c r="DF29" s="17" t="s">
        <v>198</v>
      </c>
      <c r="DG29" s="18">
        <v>45708.37701388889</v>
      </c>
      <c r="DH29" s="13" t="s">
        <v>205</v>
      </c>
      <c r="DI29" s="14" t="s">
        <v>179</v>
      </c>
      <c r="DJ29" s="14" t="s">
        <v>741</v>
      </c>
      <c r="DK29" s="14" t="s">
        <v>179</v>
      </c>
      <c r="DL29" s="14" t="s">
        <v>742</v>
      </c>
      <c r="DM29" s="14" t="s">
        <v>179</v>
      </c>
      <c r="DN29" s="14" t="s">
        <v>743</v>
      </c>
      <c r="DO29" s="14" t="s">
        <v>179</v>
      </c>
      <c r="DP29" s="14" t="s">
        <v>744</v>
      </c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6" t="s">
        <v>197</v>
      </c>
      <c r="ED29" s="17" t="s">
        <v>198</v>
      </c>
      <c r="EE29" s="18">
        <v>45708.37710648148</v>
      </c>
      <c r="EF29" s="13" t="s">
        <v>209</v>
      </c>
      <c r="EG29" s="14" t="s">
        <v>179</v>
      </c>
      <c r="EH29" s="14" t="s">
        <v>745</v>
      </c>
      <c r="EI29" s="14" t="s">
        <v>179</v>
      </c>
      <c r="EJ29" s="14" t="s">
        <v>746</v>
      </c>
      <c r="EK29" s="14" t="s">
        <v>179</v>
      </c>
      <c r="EL29" s="14" t="s">
        <v>747</v>
      </c>
      <c r="EM29" s="14" t="s">
        <v>179</v>
      </c>
      <c r="EN29" s="14" t="s">
        <v>748</v>
      </c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6" t="s">
        <v>197</v>
      </c>
      <c r="FD29" s="17" t="s">
        <v>198</v>
      </c>
      <c r="FE29" s="18">
        <v>45708.37719907407</v>
      </c>
      <c r="FF29" s="19"/>
      <c r="FG29" s="19"/>
      <c r="FH29" s="21" t="s">
        <v>197</v>
      </c>
      <c r="FI29" s="17" t="s">
        <v>214</v>
      </c>
      <c r="FJ29" s="18">
        <v>45708.37719907407</v>
      </c>
      <c r="FK29" s="14" t="s">
        <v>748</v>
      </c>
      <c r="FL29" s="14" t="s">
        <v>749</v>
      </c>
      <c r="FM29" s="14" t="s">
        <v>750</v>
      </c>
      <c r="FN29" s="14" t="s">
        <v>751</v>
      </c>
      <c r="FO29" s="14" t="s">
        <v>752</v>
      </c>
      <c r="FP29" s="19" t="str">
        <f t="shared" si="1"/>
        <v>Base de Dados_Images/BC2105.Imagem do Equipamento-.131135.jpg</v>
      </c>
      <c r="FQ29" s="19"/>
      <c r="FR29" s="19"/>
    </row>
    <row r="30" ht="15.75" customHeight="1">
      <c r="A30" s="12" t="s">
        <v>174</v>
      </c>
      <c r="B30" s="22" t="s">
        <v>753</v>
      </c>
      <c r="C30" s="24" t="s">
        <v>512</v>
      </c>
      <c r="D30" s="22" t="s">
        <v>754</v>
      </c>
      <c r="E30" s="22" t="s">
        <v>755</v>
      </c>
      <c r="F30" s="13" t="s">
        <v>178</v>
      </c>
      <c r="G30" s="14" t="s">
        <v>179</v>
      </c>
      <c r="H30" s="14" t="s">
        <v>756</v>
      </c>
      <c r="I30" s="14" t="s">
        <v>179</v>
      </c>
      <c r="J30" s="14" t="s">
        <v>757</v>
      </c>
      <c r="K30" s="14" t="s">
        <v>179</v>
      </c>
      <c r="L30" s="14" t="s">
        <v>758</v>
      </c>
      <c r="M30" s="14" t="s">
        <v>179</v>
      </c>
      <c r="N30" s="14" t="s">
        <v>759</v>
      </c>
      <c r="O30" s="14" t="s">
        <v>179</v>
      </c>
      <c r="P30" s="14" t="s">
        <v>760</v>
      </c>
      <c r="Q30" s="14" t="s">
        <v>179</v>
      </c>
      <c r="R30" s="14" t="s">
        <v>761</v>
      </c>
      <c r="S30" s="14" t="s">
        <v>179</v>
      </c>
      <c r="T30" s="14" t="s">
        <v>762</v>
      </c>
      <c r="U30" s="14" t="s">
        <v>179</v>
      </c>
      <c r="V30" s="14" t="s">
        <v>763</v>
      </c>
      <c r="W30" s="14" t="s">
        <v>179</v>
      </c>
      <c r="X30" s="14" t="s">
        <v>764</v>
      </c>
      <c r="Y30" s="14" t="s">
        <v>179</v>
      </c>
      <c r="Z30" s="14" t="s">
        <v>765</v>
      </c>
      <c r="AA30" s="14" t="s">
        <v>179</v>
      </c>
      <c r="AB30" s="14" t="s">
        <v>766</v>
      </c>
      <c r="AC30" s="14" t="s">
        <v>179</v>
      </c>
      <c r="AD30" s="14" t="s">
        <v>767</v>
      </c>
      <c r="AE30" s="14" t="s">
        <v>179</v>
      </c>
      <c r="AF30" s="14" t="s">
        <v>768</v>
      </c>
      <c r="AG30" s="14" t="s">
        <v>179</v>
      </c>
      <c r="AH30" s="14" t="s">
        <v>769</v>
      </c>
      <c r="AI30" s="14" t="s">
        <v>179</v>
      </c>
      <c r="AJ30" s="14" t="s">
        <v>770</v>
      </c>
      <c r="AK30" s="14" t="s">
        <v>179</v>
      </c>
      <c r="AL30" s="14" t="s">
        <v>771</v>
      </c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6" t="s">
        <v>197</v>
      </c>
      <c r="BP30" s="17" t="s">
        <v>198</v>
      </c>
      <c r="BQ30" s="18">
        <v>45686.378113425926</v>
      </c>
      <c r="BR30" s="17" t="s">
        <v>198</v>
      </c>
      <c r="BS30" s="18">
        <v>45686.378275462965</v>
      </c>
      <c r="BT30" s="17" t="s">
        <v>198</v>
      </c>
      <c r="BU30" s="18">
        <v>45686.378275462965</v>
      </c>
      <c r="BV30" s="13" t="s">
        <v>199</v>
      </c>
      <c r="BW30" s="14" t="s">
        <v>179</v>
      </c>
      <c r="BX30" s="14" t="s">
        <v>772</v>
      </c>
      <c r="BY30" s="14" t="s">
        <v>179</v>
      </c>
      <c r="BZ30" s="14" t="s">
        <v>772</v>
      </c>
      <c r="CA30" s="14" t="s">
        <v>179</v>
      </c>
      <c r="CB30" s="14" t="s">
        <v>773</v>
      </c>
      <c r="CC30" s="14" t="s">
        <v>179</v>
      </c>
      <c r="CD30" s="14" t="s">
        <v>774</v>
      </c>
      <c r="CE30" s="14" t="s">
        <v>179</v>
      </c>
      <c r="CF30" s="14" t="s">
        <v>775</v>
      </c>
      <c r="CG30" s="14" t="s">
        <v>188</v>
      </c>
      <c r="CH30" s="14" t="s">
        <v>776</v>
      </c>
      <c r="CI30" s="19"/>
      <c r="CJ30" s="15"/>
      <c r="CK30" s="19"/>
      <c r="CL30" s="15"/>
      <c r="CM30" s="19"/>
      <c r="CN30" s="15"/>
      <c r="CO30" s="19"/>
      <c r="CP30" s="15"/>
      <c r="CQ30" s="15"/>
      <c r="CR30" s="15"/>
      <c r="CS30" s="19"/>
      <c r="CT30" s="15"/>
      <c r="CU30" s="19"/>
      <c r="CV30" s="15"/>
      <c r="CW30" s="19"/>
      <c r="CX30" s="15"/>
      <c r="CY30" s="19"/>
      <c r="CZ30" s="15"/>
      <c r="DA30" s="16" t="s">
        <v>197</v>
      </c>
      <c r="DB30" s="17" t="s">
        <v>198</v>
      </c>
      <c r="DC30" s="20">
        <v>45721.382893518516</v>
      </c>
      <c r="DD30" s="17" t="s">
        <v>198</v>
      </c>
      <c r="DE30" s="18">
        <v>45721.38295138889</v>
      </c>
      <c r="DF30" s="17" t="s">
        <v>198</v>
      </c>
      <c r="DG30" s="18">
        <v>45721.38295138889</v>
      </c>
      <c r="DH30" s="13" t="s">
        <v>205</v>
      </c>
      <c r="DI30" s="14" t="s">
        <v>179</v>
      </c>
      <c r="DJ30" s="14" t="s">
        <v>777</v>
      </c>
      <c r="DK30" s="14" t="s">
        <v>179</v>
      </c>
      <c r="DL30" s="14" t="s">
        <v>778</v>
      </c>
      <c r="DM30" s="14" t="s">
        <v>179</v>
      </c>
      <c r="DN30" s="14" t="s">
        <v>779</v>
      </c>
      <c r="DO30" s="14" t="s">
        <v>179</v>
      </c>
      <c r="DP30" s="14" t="s">
        <v>780</v>
      </c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6" t="s">
        <v>197</v>
      </c>
      <c r="ED30" s="17" t="s">
        <v>198</v>
      </c>
      <c r="EE30" s="18">
        <v>45721.383055555554</v>
      </c>
      <c r="EF30" s="13" t="s">
        <v>209</v>
      </c>
      <c r="EG30" s="14" t="s">
        <v>179</v>
      </c>
      <c r="EH30" s="14" t="s">
        <v>781</v>
      </c>
      <c r="EI30" s="14" t="s">
        <v>179</v>
      </c>
      <c r="EJ30" s="14" t="s">
        <v>782</v>
      </c>
      <c r="EK30" s="14" t="s">
        <v>179</v>
      </c>
      <c r="EL30" s="14" t="s">
        <v>783</v>
      </c>
      <c r="EM30" s="14" t="s">
        <v>179</v>
      </c>
      <c r="EN30" s="14" t="s">
        <v>784</v>
      </c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6" t="s">
        <v>197</v>
      </c>
      <c r="FD30" s="17" t="s">
        <v>198</v>
      </c>
      <c r="FE30" s="18">
        <v>45723.269733796296</v>
      </c>
      <c r="FF30" s="19"/>
      <c r="FG30" s="19"/>
      <c r="FH30" s="21" t="s">
        <v>197</v>
      </c>
      <c r="FI30" s="17" t="s">
        <v>214</v>
      </c>
      <c r="FJ30" s="18">
        <v>45723.269733796296</v>
      </c>
      <c r="FK30" s="14" t="s">
        <v>784</v>
      </c>
      <c r="FL30" s="14" t="s">
        <v>785</v>
      </c>
      <c r="FM30" s="14" t="s">
        <v>786</v>
      </c>
      <c r="FN30" s="14" t="s">
        <v>787</v>
      </c>
      <c r="FO30" s="14" t="s">
        <v>788</v>
      </c>
      <c r="FP30" s="19" t="str">
        <f t="shared" si="1"/>
        <v>Base de Dados_Images/BC2106.Imagem do Equipamento-.131026.jpg</v>
      </c>
      <c r="FQ30" s="19"/>
      <c r="FR30" s="19"/>
    </row>
    <row r="31" ht="15.75" customHeight="1">
      <c r="A31" s="12" t="s">
        <v>174</v>
      </c>
      <c r="B31" s="22" t="s">
        <v>753</v>
      </c>
      <c r="C31" s="24" t="s">
        <v>512</v>
      </c>
      <c r="D31" s="22" t="s">
        <v>789</v>
      </c>
      <c r="E31" s="22" t="s">
        <v>790</v>
      </c>
      <c r="F31" s="13" t="s">
        <v>178</v>
      </c>
      <c r="G31" s="14" t="s">
        <v>179</v>
      </c>
      <c r="H31" s="14" t="s">
        <v>791</v>
      </c>
      <c r="I31" s="14" t="s">
        <v>179</v>
      </c>
      <c r="J31" s="14" t="s">
        <v>792</v>
      </c>
      <c r="K31" s="14" t="s">
        <v>179</v>
      </c>
      <c r="L31" s="14" t="s">
        <v>793</v>
      </c>
      <c r="M31" s="14" t="s">
        <v>179</v>
      </c>
      <c r="N31" s="14" t="s">
        <v>794</v>
      </c>
      <c r="O31" s="14" t="s">
        <v>179</v>
      </c>
      <c r="P31" s="14" t="s">
        <v>795</v>
      </c>
      <c r="Q31" s="14" t="s">
        <v>179</v>
      </c>
      <c r="R31" s="14" t="s">
        <v>796</v>
      </c>
      <c r="S31" s="14" t="s">
        <v>179</v>
      </c>
      <c r="T31" s="14" t="s">
        <v>797</v>
      </c>
      <c r="U31" s="14" t="s">
        <v>179</v>
      </c>
      <c r="V31" s="14" t="s">
        <v>798</v>
      </c>
      <c r="W31" s="14" t="s">
        <v>179</v>
      </c>
      <c r="X31" s="14" t="s">
        <v>799</v>
      </c>
      <c r="Y31" s="14" t="s">
        <v>179</v>
      </c>
      <c r="Z31" s="14" t="s">
        <v>800</v>
      </c>
      <c r="AA31" s="14" t="s">
        <v>179</v>
      </c>
      <c r="AB31" s="14" t="s">
        <v>801</v>
      </c>
      <c r="AC31" s="14" t="s">
        <v>179</v>
      </c>
      <c r="AD31" s="14" t="s">
        <v>802</v>
      </c>
      <c r="AE31" s="14" t="s">
        <v>179</v>
      </c>
      <c r="AF31" s="14" t="s">
        <v>803</v>
      </c>
      <c r="AG31" s="14" t="s">
        <v>179</v>
      </c>
      <c r="AH31" s="14" t="s">
        <v>804</v>
      </c>
      <c r="AI31" s="14" t="s">
        <v>179</v>
      </c>
      <c r="AJ31" s="14" t="s">
        <v>805</v>
      </c>
      <c r="AK31" s="14" t="s">
        <v>179</v>
      </c>
      <c r="AL31" s="14" t="s">
        <v>806</v>
      </c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6" t="s">
        <v>197</v>
      </c>
      <c r="BP31" s="17" t="s">
        <v>198</v>
      </c>
      <c r="BQ31" s="18">
        <v>45686.37694444445</v>
      </c>
      <c r="BR31" s="17" t="s">
        <v>198</v>
      </c>
      <c r="BS31" s="18">
        <v>45686.377222222225</v>
      </c>
      <c r="BT31" s="17" t="s">
        <v>198</v>
      </c>
      <c r="BU31" s="18">
        <v>45686.377222222225</v>
      </c>
      <c r="BV31" s="13" t="s">
        <v>199</v>
      </c>
      <c r="BW31" s="14" t="s">
        <v>179</v>
      </c>
      <c r="BX31" s="14" t="s">
        <v>807</v>
      </c>
      <c r="BY31" s="14" t="s">
        <v>179</v>
      </c>
      <c r="BZ31" s="14" t="s">
        <v>808</v>
      </c>
      <c r="CA31" s="14" t="s">
        <v>179</v>
      </c>
      <c r="CB31" s="14" t="s">
        <v>809</v>
      </c>
      <c r="CC31" s="14" t="s">
        <v>179</v>
      </c>
      <c r="CD31" s="14" t="s">
        <v>810</v>
      </c>
      <c r="CE31" s="14" t="s">
        <v>179</v>
      </c>
      <c r="CF31" s="14" t="s">
        <v>811</v>
      </c>
      <c r="CG31" s="14" t="s">
        <v>179</v>
      </c>
      <c r="CH31" s="14" t="s">
        <v>812</v>
      </c>
      <c r="CI31" s="19"/>
      <c r="CJ31" s="15"/>
      <c r="CK31" s="19"/>
      <c r="CL31" s="15"/>
      <c r="CM31" s="19"/>
      <c r="CN31" s="15"/>
      <c r="CO31" s="19"/>
      <c r="CP31" s="15"/>
      <c r="CQ31" s="15"/>
      <c r="CR31" s="15"/>
      <c r="CS31" s="19"/>
      <c r="CT31" s="15"/>
      <c r="CU31" s="19"/>
      <c r="CV31" s="15"/>
      <c r="CW31" s="19"/>
      <c r="CX31" s="15"/>
      <c r="CY31" s="19"/>
      <c r="CZ31" s="15"/>
      <c r="DA31" s="16" t="s">
        <v>197</v>
      </c>
      <c r="DB31" s="17" t="s">
        <v>198</v>
      </c>
      <c r="DC31" s="20">
        <v>45721.38319444445</v>
      </c>
      <c r="DD31" s="17" t="s">
        <v>198</v>
      </c>
      <c r="DE31" s="18">
        <v>45721.38322916667</v>
      </c>
      <c r="DF31" s="17" t="s">
        <v>198</v>
      </c>
      <c r="DG31" s="18">
        <v>45721.38322916667</v>
      </c>
      <c r="DH31" s="13" t="s">
        <v>205</v>
      </c>
      <c r="DI31" s="14" t="s">
        <v>179</v>
      </c>
      <c r="DJ31" s="14" t="s">
        <v>813</v>
      </c>
      <c r="DK31" s="14" t="s">
        <v>179</v>
      </c>
      <c r="DL31" s="14" t="s">
        <v>814</v>
      </c>
      <c r="DM31" s="14" t="s">
        <v>179</v>
      </c>
      <c r="DN31" s="14" t="s">
        <v>815</v>
      </c>
      <c r="DO31" s="14" t="s">
        <v>179</v>
      </c>
      <c r="DP31" s="14" t="s">
        <v>816</v>
      </c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6" t="s">
        <v>197</v>
      </c>
      <c r="ED31" s="17" t="s">
        <v>198</v>
      </c>
      <c r="EE31" s="18">
        <v>45722.34699074074</v>
      </c>
      <c r="EF31" s="13" t="s">
        <v>209</v>
      </c>
      <c r="EG31" s="14" t="s">
        <v>179</v>
      </c>
      <c r="EH31" s="14" t="s">
        <v>817</v>
      </c>
      <c r="EI31" s="14" t="s">
        <v>179</v>
      </c>
      <c r="EJ31" s="14" t="s">
        <v>817</v>
      </c>
      <c r="EK31" s="14" t="s">
        <v>179</v>
      </c>
      <c r="EL31" s="14" t="s">
        <v>818</v>
      </c>
      <c r="EM31" s="14" t="s">
        <v>179</v>
      </c>
      <c r="EN31" s="14" t="s">
        <v>819</v>
      </c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6" t="s">
        <v>197</v>
      </c>
      <c r="FD31" s="17" t="s">
        <v>198</v>
      </c>
      <c r="FE31" s="18">
        <v>45723.269849537035</v>
      </c>
      <c r="FF31" s="19"/>
      <c r="FG31" s="19"/>
      <c r="FH31" s="21" t="s">
        <v>197</v>
      </c>
      <c r="FI31" s="17" t="s">
        <v>214</v>
      </c>
      <c r="FJ31" s="18">
        <v>45723.269849537035</v>
      </c>
      <c r="FK31" s="14" t="s">
        <v>819</v>
      </c>
      <c r="FL31" s="14" t="s">
        <v>820</v>
      </c>
      <c r="FM31" s="14" t="s">
        <v>821</v>
      </c>
      <c r="FN31" s="14" t="s">
        <v>822</v>
      </c>
      <c r="FO31" s="14" t="s">
        <v>823</v>
      </c>
      <c r="FP31" s="19" t="str">
        <f t="shared" si="1"/>
        <v>Base de Dados_Images/BC2107.Imagem do Equipamento-.130910.jpg</v>
      </c>
      <c r="FQ31" s="19"/>
      <c r="FR31" s="19"/>
    </row>
    <row r="32" ht="15.75" customHeight="1">
      <c r="A32" s="12" t="s">
        <v>174</v>
      </c>
      <c r="B32" s="22" t="s">
        <v>824</v>
      </c>
      <c r="C32" s="24" t="s">
        <v>512</v>
      </c>
      <c r="D32" s="22" t="s">
        <v>825</v>
      </c>
      <c r="E32" s="22" t="s">
        <v>826</v>
      </c>
      <c r="F32" s="13" t="s">
        <v>178</v>
      </c>
      <c r="G32" s="14" t="s">
        <v>179</v>
      </c>
      <c r="H32" s="14" t="s">
        <v>827</v>
      </c>
      <c r="I32" s="14" t="s">
        <v>179</v>
      </c>
      <c r="J32" s="14" t="s">
        <v>828</v>
      </c>
      <c r="K32" s="14" t="s">
        <v>179</v>
      </c>
      <c r="L32" s="14" t="s">
        <v>829</v>
      </c>
      <c r="M32" s="14" t="s">
        <v>179</v>
      </c>
      <c r="N32" s="14" t="s">
        <v>830</v>
      </c>
      <c r="O32" s="14" t="s">
        <v>179</v>
      </c>
      <c r="P32" s="14" t="s">
        <v>831</v>
      </c>
      <c r="Q32" s="14" t="s">
        <v>179</v>
      </c>
      <c r="R32" s="14" t="s">
        <v>832</v>
      </c>
      <c r="S32" s="14" t="s">
        <v>179</v>
      </c>
      <c r="T32" s="14" t="s">
        <v>833</v>
      </c>
      <c r="U32" s="14" t="s">
        <v>179</v>
      </c>
      <c r="V32" s="14" t="s">
        <v>834</v>
      </c>
      <c r="W32" s="14" t="s">
        <v>179</v>
      </c>
      <c r="X32" s="14" t="s">
        <v>835</v>
      </c>
      <c r="Y32" s="14" t="s">
        <v>179</v>
      </c>
      <c r="Z32" s="14" t="s">
        <v>836</v>
      </c>
      <c r="AA32" s="14" t="s">
        <v>179</v>
      </c>
      <c r="AB32" s="14" t="s">
        <v>837</v>
      </c>
      <c r="AC32" s="14" t="s">
        <v>179</v>
      </c>
      <c r="AD32" s="14" t="s">
        <v>838</v>
      </c>
      <c r="AE32" s="14" t="s">
        <v>179</v>
      </c>
      <c r="AF32" s="14" t="s">
        <v>839</v>
      </c>
      <c r="AG32" s="14" t="s">
        <v>179</v>
      </c>
      <c r="AH32" s="14" t="s">
        <v>840</v>
      </c>
      <c r="AI32" s="14" t="s">
        <v>179</v>
      </c>
      <c r="AJ32" s="14" t="s">
        <v>841</v>
      </c>
      <c r="AK32" s="14" t="s">
        <v>179</v>
      </c>
      <c r="AL32" s="14" t="s">
        <v>842</v>
      </c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6" t="s">
        <v>197</v>
      </c>
      <c r="BP32" s="17" t="s">
        <v>198</v>
      </c>
      <c r="BQ32" s="18">
        <v>45686.368935185186</v>
      </c>
      <c r="BR32" s="17" t="s">
        <v>198</v>
      </c>
      <c r="BS32" s="18">
        <v>45686.36931712963</v>
      </c>
      <c r="BT32" s="17" t="s">
        <v>198</v>
      </c>
      <c r="BU32" s="18">
        <v>45686.36931712963</v>
      </c>
      <c r="BV32" s="13" t="s">
        <v>199</v>
      </c>
      <c r="BW32" s="14" t="s">
        <v>179</v>
      </c>
      <c r="BX32" s="14" t="s">
        <v>843</v>
      </c>
      <c r="BY32" s="14" t="s">
        <v>179</v>
      </c>
      <c r="BZ32" s="14" t="s">
        <v>844</v>
      </c>
      <c r="CA32" s="14" t="s">
        <v>179</v>
      </c>
      <c r="CB32" s="14" t="s">
        <v>845</v>
      </c>
      <c r="CC32" s="14" t="s">
        <v>179</v>
      </c>
      <c r="CD32" s="14" t="s">
        <v>846</v>
      </c>
      <c r="CE32" s="14" t="s">
        <v>179</v>
      </c>
      <c r="CF32" s="14" t="s">
        <v>847</v>
      </c>
      <c r="CG32" s="14" t="s">
        <v>179</v>
      </c>
      <c r="CH32" s="14" t="s">
        <v>848</v>
      </c>
      <c r="CI32" s="19"/>
      <c r="CJ32" s="15"/>
      <c r="CK32" s="19"/>
      <c r="CL32" s="15"/>
      <c r="CM32" s="19"/>
      <c r="CN32" s="15"/>
      <c r="CO32" s="19"/>
      <c r="CP32" s="15"/>
      <c r="CQ32" s="15"/>
      <c r="CR32" s="15"/>
      <c r="CS32" s="19"/>
      <c r="CT32" s="15"/>
      <c r="CU32" s="19"/>
      <c r="CV32" s="15"/>
      <c r="CW32" s="19"/>
      <c r="CX32" s="15"/>
      <c r="CY32" s="19"/>
      <c r="CZ32" s="15"/>
      <c r="DA32" s="16" t="s">
        <v>197</v>
      </c>
      <c r="DB32" s="17" t="s">
        <v>198</v>
      </c>
      <c r="DC32" s="20">
        <v>45722.34869212963</v>
      </c>
      <c r="DD32" s="17" t="s">
        <v>198</v>
      </c>
      <c r="DE32" s="18">
        <v>45722.34872685185</v>
      </c>
      <c r="DF32" s="17" t="s">
        <v>198</v>
      </c>
      <c r="DG32" s="18">
        <v>45722.34872685185</v>
      </c>
      <c r="DH32" s="13" t="s">
        <v>205</v>
      </c>
      <c r="DI32" s="14" t="s">
        <v>179</v>
      </c>
      <c r="DJ32" s="14" t="s">
        <v>849</v>
      </c>
      <c r="DK32" s="14" t="s">
        <v>179</v>
      </c>
      <c r="DL32" s="14" t="s">
        <v>850</v>
      </c>
      <c r="DM32" s="14" t="s">
        <v>179</v>
      </c>
      <c r="DN32" s="14" t="s">
        <v>851</v>
      </c>
      <c r="DO32" s="14" t="s">
        <v>179</v>
      </c>
      <c r="DP32" s="14" t="s">
        <v>852</v>
      </c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6" t="s">
        <v>197</v>
      </c>
      <c r="ED32" s="17" t="s">
        <v>198</v>
      </c>
      <c r="EE32" s="18">
        <v>45722.34881944444</v>
      </c>
      <c r="EF32" s="13" t="s">
        <v>209</v>
      </c>
      <c r="EG32" s="14" t="s">
        <v>179</v>
      </c>
      <c r="EH32" s="14" t="s">
        <v>853</v>
      </c>
      <c r="EI32" s="14" t="s">
        <v>179</v>
      </c>
      <c r="EJ32" s="14" t="s">
        <v>853</v>
      </c>
      <c r="EK32" s="14" t="s">
        <v>179</v>
      </c>
      <c r="EL32" s="14" t="s">
        <v>854</v>
      </c>
      <c r="EM32" s="14" t="s">
        <v>179</v>
      </c>
      <c r="EN32" s="14" t="s">
        <v>854</v>
      </c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6" t="s">
        <v>197</v>
      </c>
      <c r="FD32" s="17" t="s">
        <v>198</v>
      </c>
      <c r="FE32" s="18">
        <v>45723.283171296294</v>
      </c>
      <c r="FF32" s="19"/>
      <c r="FG32" s="19"/>
      <c r="FH32" s="21" t="s">
        <v>197</v>
      </c>
      <c r="FI32" s="17" t="s">
        <v>214</v>
      </c>
      <c r="FJ32" s="18">
        <v>45723.283171296294</v>
      </c>
      <c r="FK32" s="14" t="s">
        <v>854</v>
      </c>
      <c r="FL32" s="14" t="s">
        <v>855</v>
      </c>
      <c r="FM32" s="14" t="s">
        <v>856</v>
      </c>
      <c r="FN32" s="14" t="s">
        <v>857</v>
      </c>
      <c r="FO32" s="14" t="s">
        <v>858</v>
      </c>
      <c r="FP32" s="19" t="str">
        <f t="shared" si="1"/>
        <v>Base de Dados_Images/BC2108.Imagem do Equipamento-.130058.jpg</v>
      </c>
      <c r="FQ32" s="19"/>
      <c r="FR32" s="19"/>
    </row>
    <row r="33" ht="15.75" customHeight="1">
      <c r="A33" s="12" t="s">
        <v>174</v>
      </c>
      <c r="B33" s="22" t="s">
        <v>824</v>
      </c>
      <c r="C33" s="24" t="s">
        <v>512</v>
      </c>
      <c r="D33" s="22" t="s">
        <v>859</v>
      </c>
      <c r="E33" s="22" t="s">
        <v>860</v>
      </c>
      <c r="F33" s="13" t="s">
        <v>178</v>
      </c>
      <c r="G33" s="14" t="s">
        <v>179</v>
      </c>
      <c r="H33" s="14" t="s">
        <v>861</v>
      </c>
      <c r="I33" s="14" t="s">
        <v>179</v>
      </c>
      <c r="J33" s="14" t="s">
        <v>862</v>
      </c>
      <c r="K33" s="14" t="s">
        <v>179</v>
      </c>
      <c r="L33" s="14" t="s">
        <v>863</v>
      </c>
      <c r="M33" s="14" t="s">
        <v>179</v>
      </c>
      <c r="N33" s="14" t="s">
        <v>864</v>
      </c>
      <c r="O33" s="14" t="s">
        <v>179</v>
      </c>
      <c r="P33" s="14" t="s">
        <v>865</v>
      </c>
      <c r="Q33" s="14" t="s">
        <v>179</v>
      </c>
      <c r="R33" s="14" t="s">
        <v>866</v>
      </c>
      <c r="S33" s="14" t="s">
        <v>179</v>
      </c>
      <c r="T33" s="14" t="s">
        <v>867</v>
      </c>
      <c r="U33" s="14" t="s">
        <v>179</v>
      </c>
      <c r="V33" s="14" t="s">
        <v>868</v>
      </c>
      <c r="W33" s="14" t="s">
        <v>179</v>
      </c>
      <c r="X33" s="14" t="s">
        <v>868</v>
      </c>
      <c r="Y33" s="14" t="s">
        <v>179</v>
      </c>
      <c r="Z33" s="14" t="s">
        <v>869</v>
      </c>
      <c r="AA33" s="14" t="s">
        <v>179</v>
      </c>
      <c r="AB33" s="14" t="s">
        <v>870</v>
      </c>
      <c r="AC33" s="14" t="s">
        <v>179</v>
      </c>
      <c r="AD33" s="14" t="s">
        <v>871</v>
      </c>
      <c r="AE33" s="14" t="s">
        <v>179</v>
      </c>
      <c r="AF33" s="14" t="s">
        <v>872</v>
      </c>
      <c r="AG33" s="14" t="s">
        <v>179</v>
      </c>
      <c r="AH33" s="14" t="s">
        <v>873</v>
      </c>
      <c r="AI33" s="14" t="s">
        <v>179</v>
      </c>
      <c r="AJ33" s="14" t="s">
        <v>874</v>
      </c>
      <c r="AK33" s="14" t="s">
        <v>179</v>
      </c>
      <c r="AL33" s="14" t="s">
        <v>875</v>
      </c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6" t="s">
        <v>197</v>
      </c>
      <c r="BP33" s="17" t="s">
        <v>198</v>
      </c>
      <c r="BQ33" s="18">
        <v>45686.36797453704</v>
      </c>
      <c r="BR33" s="17" t="s">
        <v>198</v>
      </c>
      <c r="BS33" s="18">
        <v>45686.36814814815</v>
      </c>
      <c r="BT33" s="17" t="s">
        <v>198</v>
      </c>
      <c r="BU33" s="18">
        <v>45686.36814814815</v>
      </c>
      <c r="BV33" s="13" t="s">
        <v>199</v>
      </c>
      <c r="BW33" s="14" t="s">
        <v>179</v>
      </c>
      <c r="BX33" s="14" t="s">
        <v>876</v>
      </c>
      <c r="BY33" s="14" t="s">
        <v>179</v>
      </c>
      <c r="BZ33" s="14" t="s">
        <v>877</v>
      </c>
      <c r="CA33" s="14" t="s">
        <v>179</v>
      </c>
      <c r="CB33" s="14" t="s">
        <v>878</v>
      </c>
      <c r="CC33" s="14" t="s">
        <v>179</v>
      </c>
      <c r="CD33" s="14" t="s">
        <v>878</v>
      </c>
      <c r="CE33" s="14" t="s">
        <v>179</v>
      </c>
      <c r="CF33" s="14" t="s">
        <v>879</v>
      </c>
      <c r="CG33" s="14" t="s">
        <v>179</v>
      </c>
      <c r="CH33" s="14" t="s">
        <v>879</v>
      </c>
      <c r="CI33" s="19"/>
      <c r="CJ33" s="15"/>
      <c r="CK33" s="19"/>
      <c r="CL33" s="15"/>
      <c r="CM33" s="19"/>
      <c r="CN33" s="15"/>
      <c r="CO33" s="19"/>
      <c r="CP33" s="15"/>
      <c r="CQ33" s="15"/>
      <c r="CR33" s="15"/>
      <c r="CS33" s="19"/>
      <c r="CT33" s="15"/>
      <c r="CU33" s="19"/>
      <c r="CV33" s="15"/>
      <c r="CW33" s="19"/>
      <c r="CX33" s="15"/>
      <c r="CY33" s="19"/>
      <c r="CZ33" s="15"/>
      <c r="DA33" s="16" t="s">
        <v>197</v>
      </c>
      <c r="DB33" s="17" t="s">
        <v>198</v>
      </c>
      <c r="DC33" s="20">
        <v>45722.34903935185</v>
      </c>
      <c r="DD33" s="17" t="s">
        <v>198</v>
      </c>
      <c r="DE33" s="18">
        <v>45722.34905092593</v>
      </c>
      <c r="DF33" s="17" t="s">
        <v>198</v>
      </c>
      <c r="DG33" s="18">
        <v>45722.34905092593</v>
      </c>
      <c r="DH33" s="13" t="s">
        <v>205</v>
      </c>
      <c r="DI33" s="14" t="s">
        <v>179</v>
      </c>
      <c r="DJ33" s="14" t="s">
        <v>880</v>
      </c>
      <c r="DK33" s="14" t="s">
        <v>179</v>
      </c>
      <c r="DL33" s="14" t="s">
        <v>881</v>
      </c>
      <c r="DM33" s="14" t="s">
        <v>179</v>
      </c>
      <c r="DN33" s="14" t="s">
        <v>882</v>
      </c>
      <c r="DO33" s="14" t="s">
        <v>179</v>
      </c>
      <c r="DP33" s="14" t="s">
        <v>882</v>
      </c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6" t="s">
        <v>197</v>
      </c>
      <c r="ED33" s="17" t="s">
        <v>198</v>
      </c>
      <c r="EE33" s="18">
        <v>45722.34912037037</v>
      </c>
      <c r="EF33" s="13" t="s">
        <v>209</v>
      </c>
      <c r="EG33" s="14" t="s">
        <v>179</v>
      </c>
      <c r="EH33" s="14" t="s">
        <v>883</v>
      </c>
      <c r="EI33" s="14" t="s">
        <v>179</v>
      </c>
      <c r="EJ33" s="14" t="s">
        <v>884</v>
      </c>
      <c r="EK33" s="14" t="s">
        <v>179</v>
      </c>
      <c r="EL33" s="14" t="s">
        <v>883</v>
      </c>
      <c r="EM33" s="14" t="s">
        <v>179</v>
      </c>
      <c r="EN33" s="14" t="s">
        <v>885</v>
      </c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6" t="s">
        <v>197</v>
      </c>
      <c r="FD33" s="17" t="s">
        <v>198</v>
      </c>
      <c r="FE33" s="18">
        <v>45723.28327546296</v>
      </c>
      <c r="FF33" s="19"/>
      <c r="FG33" s="19"/>
      <c r="FH33" s="21" t="s">
        <v>197</v>
      </c>
      <c r="FI33" s="17" t="s">
        <v>214</v>
      </c>
      <c r="FJ33" s="18">
        <v>45723.28327546296</v>
      </c>
      <c r="FK33" s="14" t="s">
        <v>885</v>
      </c>
      <c r="FL33" s="14" t="s">
        <v>886</v>
      </c>
      <c r="FM33" s="14" t="s">
        <v>887</v>
      </c>
      <c r="FN33" s="14" t="s">
        <v>888</v>
      </c>
      <c r="FO33" s="14" t="s">
        <v>889</v>
      </c>
      <c r="FP33" s="19" t="str">
        <f t="shared" si="1"/>
        <v>Base de Dados_Images/BC2109.Imagem do Equipamento-.125935.jpg</v>
      </c>
      <c r="FQ33" s="19"/>
      <c r="FR33" s="19"/>
    </row>
    <row r="34" ht="15.75" customHeight="1">
      <c r="A34" s="12" t="s">
        <v>174</v>
      </c>
      <c r="B34" s="22" t="s">
        <v>753</v>
      </c>
      <c r="C34" s="24" t="s">
        <v>512</v>
      </c>
      <c r="D34" s="22" t="s">
        <v>890</v>
      </c>
      <c r="E34" s="22" t="s">
        <v>891</v>
      </c>
      <c r="F34" s="13" t="s">
        <v>178</v>
      </c>
      <c r="G34" s="14" t="s">
        <v>179</v>
      </c>
      <c r="H34" s="14" t="s">
        <v>892</v>
      </c>
      <c r="I34" s="14" t="s">
        <v>179</v>
      </c>
      <c r="J34" s="14" t="s">
        <v>893</v>
      </c>
      <c r="K34" s="14" t="s">
        <v>179</v>
      </c>
      <c r="L34" s="14" t="s">
        <v>894</v>
      </c>
      <c r="M34" s="14" t="s">
        <v>179</v>
      </c>
      <c r="N34" s="14" t="s">
        <v>895</v>
      </c>
      <c r="O34" s="14" t="s">
        <v>179</v>
      </c>
      <c r="P34" s="14" t="s">
        <v>896</v>
      </c>
      <c r="Q34" s="14" t="s">
        <v>179</v>
      </c>
      <c r="R34" s="14" t="s">
        <v>897</v>
      </c>
      <c r="S34" s="14" t="s">
        <v>179</v>
      </c>
      <c r="T34" s="14" t="s">
        <v>898</v>
      </c>
      <c r="U34" s="14" t="s">
        <v>179</v>
      </c>
      <c r="V34" s="14" t="s">
        <v>899</v>
      </c>
      <c r="W34" s="14" t="s">
        <v>179</v>
      </c>
      <c r="X34" s="14" t="s">
        <v>900</v>
      </c>
      <c r="Y34" s="14" t="s">
        <v>179</v>
      </c>
      <c r="Z34" s="14" t="s">
        <v>901</v>
      </c>
      <c r="AA34" s="14" t="s">
        <v>179</v>
      </c>
      <c r="AB34" s="14" t="s">
        <v>902</v>
      </c>
      <c r="AC34" s="14" t="s">
        <v>179</v>
      </c>
      <c r="AD34" s="14" t="s">
        <v>903</v>
      </c>
      <c r="AE34" s="14" t="s">
        <v>179</v>
      </c>
      <c r="AF34" s="14" t="s">
        <v>904</v>
      </c>
      <c r="AG34" s="14" t="s">
        <v>179</v>
      </c>
      <c r="AH34" s="14" t="s">
        <v>905</v>
      </c>
      <c r="AI34" s="14" t="s">
        <v>179</v>
      </c>
      <c r="AJ34" s="14" t="s">
        <v>906</v>
      </c>
      <c r="AK34" s="14" t="s">
        <v>179</v>
      </c>
      <c r="AL34" s="14" t="s">
        <v>907</v>
      </c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6" t="s">
        <v>197</v>
      </c>
      <c r="BP34" s="17" t="s">
        <v>198</v>
      </c>
      <c r="BQ34" s="18">
        <v>45686.37122685185</v>
      </c>
      <c r="BR34" s="17" t="s">
        <v>198</v>
      </c>
      <c r="BS34" s="18">
        <v>45686.371400462966</v>
      </c>
      <c r="BT34" s="17" t="s">
        <v>198</v>
      </c>
      <c r="BU34" s="18">
        <v>45686.371400462966</v>
      </c>
      <c r="BV34" s="13" t="s">
        <v>199</v>
      </c>
      <c r="BW34" s="14" t="s">
        <v>179</v>
      </c>
      <c r="BX34" s="14" t="s">
        <v>908</v>
      </c>
      <c r="BY34" s="14" t="s">
        <v>179</v>
      </c>
      <c r="BZ34" s="14" t="s">
        <v>909</v>
      </c>
      <c r="CA34" s="14" t="s">
        <v>179</v>
      </c>
      <c r="CB34" s="14" t="s">
        <v>910</v>
      </c>
      <c r="CC34" s="14" t="s">
        <v>179</v>
      </c>
      <c r="CD34" s="14" t="s">
        <v>911</v>
      </c>
      <c r="CE34" s="14" t="s">
        <v>179</v>
      </c>
      <c r="CF34" s="14" t="s">
        <v>912</v>
      </c>
      <c r="CG34" s="14" t="s">
        <v>179</v>
      </c>
      <c r="CH34" s="14" t="s">
        <v>912</v>
      </c>
      <c r="CI34" s="19"/>
      <c r="CJ34" s="15"/>
      <c r="CK34" s="19"/>
      <c r="CL34" s="15"/>
      <c r="CM34" s="19"/>
      <c r="CN34" s="15"/>
      <c r="CO34" s="19"/>
      <c r="CP34" s="15"/>
      <c r="CQ34" s="15"/>
      <c r="CR34" s="15"/>
      <c r="CS34" s="19"/>
      <c r="CT34" s="15"/>
      <c r="CU34" s="19"/>
      <c r="CV34" s="15"/>
      <c r="CW34" s="19"/>
      <c r="CX34" s="15"/>
      <c r="CY34" s="19"/>
      <c r="CZ34" s="15"/>
      <c r="DA34" s="16" t="s">
        <v>197</v>
      </c>
      <c r="DB34" s="17" t="s">
        <v>198</v>
      </c>
      <c r="DC34" s="20">
        <v>45723.26996527778</v>
      </c>
      <c r="DD34" s="17" t="s">
        <v>198</v>
      </c>
      <c r="DE34" s="18">
        <v>45723.26998842593</v>
      </c>
      <c r="DF34" s="17" t="s">
        <v>198</v>
      </c>
      <c r="DG34" s="18">
        <v>45723.26998842593</v>
      </c>
      <c r="DH34" s="13" t="s">
        <v>205</v>
      </c>
      <c r="DI34" s="14" t="s">
        <v>179</v>
      </c>
      <c r="DJ34" s="14" t="s">
        <v>913</v>
      </c>
      <c r="DK34" s="14" t="s">
        <v>179</v>
      </c>
      <c r="DL34" s="14" t="s">
        <v>914</v>
      </c>
      <c r="DM34" s="14" t="s">
        <v>179</v>
      </c>
      <c r="DN34" s="14" t="s">
        <v>915</v>
      </c>
      <c r="DO34" s="14" t="s">
        <v>179</v>
      </c>
      <c r="DP34" s="14" t="s">
        <v>916</v>
      </c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6" t="s">
        <v>197</v>
      </c>
      <c r="ED34" s="17" t="s">
        <v>198</v>
      </c>
      <c r="EE34" s="18">
        <v>45723.27008101852</v>
      </c>
      <c r="EF34" s="13" t="s">
        <v>209</v>
      </c>
      <c r="EG34" s="14" t="s">
        <v>179</v>
      </c>
      <c r="EH34" s="14" t="s">
        <v>917</v>
      </c>
      <c r="EI34" s="14" t="s">
        <v>179</v>
      </c>
      <c r="EJ34" s="14" t="s">
        <v>918</v>
      </c>
      <c r="EK34" s="14" t="s">
        <v>179</v>
      </c>
      <c r="EL34" s="14" t="s">
        <v>918</v>
      </c>
      <c r="EM34" s="14" t="s">
        <v>179</v>
      </c>
      <c r="EN34" s="14" t="s">
        <v>919</v>
      </c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6" t="s">
        <v>197</v>
      </c>
      <c r="FD34" s="17" t="s">
        <v>198</v>
      </c>
      <c r="FE34" s="18">
        <v>45723.27018518518</v>
      </c>
      <c r="FF34" s="19"/>
      <c r="FG34" s="19"/>
      <c r="FH34" s="21" t="s">
        <v>197</v>
      </c>
      <c r="FI34" s="17" t="s">
        <v>214</v>
      </c>
      <c r="FJ34" s="18">
        <v>45723.27018518518</v>
      </c>
      <c r="FK34" s="14" t="s">
        <v>919</v>
      </c>
      <c r="FL34" s="14" t="s">
        <v>920</v>
      </c>
      <c r="FM34" s="14" t="s">
        <v>921</v>
      </c>
      <c r="FN34" s="14" t="s">
        <v>922</v>
      </c>
      <c r="FO34" s="14" t="s">
        <v>923</v>
      </c>
      <c r="FP34" s="19" t="str">
        <f t="shared" si="1"/>
        <v>Base de Dados_Images/BC2110.Imagem do Equipamento-.130328.jpg</v>
      </c>
      <c r="FQ34" s="19"/>
      <c r="FR34" s="19"/>
    </row>
    <row r="35" ht="15.75" customHeight="1">
      <c r="A35" s="12" t="s">
        <v>174</v>
      </c>
      <c r="B35" s="22" t="s">
        <v>753</v>
      </c>
      <c r="C35" s="24" t="s">
        <v>512</v>
      </c>
      <c r="D35" s="22" t="s">
        <v>924</v>
      </c>
      <c r="E35" s="22" t="s">
        <v>925</v>
      </c>
      <c r="F35" s="13" t="s">
        <v>178</v>
      </c>
      <c r="G35" s="14" t="s">
        <v>179</v>
      </c>
      <c r="H35" s="14" t="s">
        <v>926</v>
      </c>
      <c r="I35" s="14" t="s">
        <v>179</v>
      </c>
      <c r="J35" s="14" t="s">
        <v>927</v>
      </c>
      <c r="K35" s="14" t="s">
        <v>179</v>
      </c>
      <c r="L35" s="14" t="s">
        <v>928</v>
      </c>
      <c r="M35" s="14" t="s">
        <v>179</v>
      </c>
      <c r="N35" s="14" t="s">
        <v>929</v>
      </c>
      <c r="O35" s="14" t="s">
        <v>179</v>
      </c>
      <c r="P35" s="14" t="s">
        <v>930</v>
      </c>
      <c r="Q35" s="14" t="s">
        <v>179</v>
      </c>
      <c r="R35" s="14" t="s">
        <v>931</v>
      </c>
      <c r="S35" s="14" t="s">
        <v>179</v>
      </c>
      <c r="T35" s="14" t="s">
        <v>932</v>
      </c>
      <c r="U35" s="14" t="s">
        <v>179</v>
      </c>
      <c r="V35" s="14" t="s">
        <v>933</v>
      </c>
      <c r="W35" s="14" t="s">
        <v>179</v>
      </c>
      <c r="X35" s="14" t="s">
        <v>934</v>
      </c>
      <c r="Y35" s="14" t="s">
        <v>179</v>
      </c>
      <c r="Z35" s="14" t="s">
        <v>935</v>
      </c>
      <c r="AA35" s="14" t="s">
        <v>179</v>
      </c>
      <c r="AB35" s="14" t="s">
        <v>936</v>
      </c>
      <c r="AC35" s="14" t="s">
        <v>179</v>
      </c>
      <c r="AD35" s="14" t="s">
        <v>937</v>
      </c>
      <c r="AE35" s="14" t="s">
        <v>179</v>
      </c>
      <c r="AF35" s="14" t="s">
        <v>938</v>
      </c>
      <c r="AG35" s="14" t="s">
        <v>179</v>
      </c>
      <c r="AH35" s="14" t="s">
        <v>939</v>
      </c>
      <c r="AI35" s="14" t="s">
        <v>179</v>
      </c>
      <c r="AJ35" s="14" t="s">
        <v>940</v>
      </c>
      <c r="AK35" s="14" t="s">
        <v>179</v>
      </c>
      <c r="AL35" s="14" t="s">
        <v>941</v>
      </c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6" t="s">
        <v>197</v>
      </c>
      <c r="BP35" s="17" t="s">
        <v>198</v>
      </c>
      <c r="BQ35" s="18">
        <v>45686.37222222222</v>
      </c>
      <c r="BR35" s="17" t="s">
        <v>198</v>
      </c>
      <c r="BS35" s="18">
        <v>45686.37243055556</v>
      </c>
      <c r="BT35" s="17" t="s">
        <v>198</v>
      </c>
      <c r="BU35" s="18">
        <v>45686.37243055556</v>
      </c>
      <c r="BV35" s="13" t="s">
        <v>199</v>
      </c>
      <c r="BW35" s="14" t="s">
        <v>179</v>
      </c>
      <c r="BX35" s="14" t="s">
        <v>942</v>
      </c>
      <c r="BY35" s="14" t="s">
        <v>179</v>
      </c>
      <c r="BZ35" s="14" t="s">
        <v>943</v>
      </c>
      <c r="CA35" s="14" t="s">
        <v>179</v>
      </c>
      <c r="CB35" s="14" t="s">
        <v>944</v>
      </c>
      <c r="CC35" s="14" t="s">
        <v>179</v>
      </c>
      <c r="CD35" s="14" t="s">
        <v>945</v>
      </c>
      <c r="CE35" s="14" t="s">
        <v>179</v>
      </c>
      <c r="CF35" s="14" t="s">
        <v>944</v>
      </c>
      <c r="CG35" s="14" t="s">
        <v>179</v>
      </c>
      <c r="CH35" s="14" t="s">
        <v>946</v>
      </c>
      <c r="CI35" s="19"/>
      <c r="CJ35" s="15"/>
      <c r="CK35" s="19"/>
      <c r="CL35" s="15"/>
      <c r="CM35" s="19"/>
      <c r="CN35" s="15"/>
      <c r="CO35" s="19"/>
      <c r="CP35" s="15"/>
      <c r="CQ35" s="15"/>
      <c r="CR35" s="15"/>
      <c r="CS35" s="19"/>
      <c r="CT35" s="15"/>
      <c r="CU35" s="19"/>
      <c r="CV35" s="15"/>
      <c r="CW35" s="19"/>
      <c r="CX35" s="15"/>
      <c r="CY35" s="19"/>
      <c r="CZ35" s="15"/>
      <c r="DA35" s="16" t="s">
        <v>197</v>
      </c>
      <c r="DB35" s="17" t="s">
        <v>198</v>
      </c>
      <c r="DC35" s="20">
        <v>45723.27030092593</v>
      </c>
      <c r="DD35" s="17" t="s">
        <v>198</v>
      </c>
      <c r="DE35" s="18">
        <v>45723.2703125</v>
      </c>
      <c r="DF35" s="17" t="s">
        <v>198</v>
      </c>
      <c r="DG35" s="18">
        <v>45723.2703125</v>
      </c>
      <c r="DH35" s="13" t="s">
        <v>205</v>
      </c>
      <c r="DI35" s="14" t="s">
        <v>179</v>
      </c>
      <c r="DJ35" s="14" t="s">
        <v>947</v>
      </c>
      <c r="DK35" s="14" t="s">
        <v>179</v>
      </c>
      <c r="DL35" s="14" t="s">
        <v>948</v>
      </c>
      <c r="DM35" s="14" t="s">
        <v>179</v>
      </c>
      <c r="DN35" s="14" t="s">
        <v>949</v>
      </c>
      <c r="DO35" s="14" t="s">
        <v>179</v>
      </c>
      <c r="DP35" s="14" t="s">
        <v>949</v>
      </c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6" t="s">
        <v>197</v>
      </c>
      <c r="ED35" s="17" t="s">
        <v>198</v>
      </c>
      <c r="EE35" s="18">
        <v>45723.27039351852</v>
      </c>
      <c r="EF35" s="13" t="s">
        <v>209</v>
      </c>
      <c r="EG35" s="14" t="s">
        <v>179</v>
      </c>
      <c r="EH35" s="14" t="s">
        <v>950</v>
      </c>
      <c r="EI35" s="14" t="s">
        <v>179</v>
      </c>
      <c r="EJ35" s="14" t="s">
        <v>950</v>
      </c>
      <c r="EK35" s="14" t="s">
        <v>179</v>
      </c>
      <c r="EL35" s="14" t="s">
        <v>951</v>
      </c>
      <c r="EM35" s="14" t="s">
        <v>179</v>
      </c>
      <c r="EN35" s="14" t="s">
        <v>952</v>
      </c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6" t="s">
        <v>197</v>
      </c>
      <c r="FD35" s="17" t="s">
        <v>198</v>
      </c>
      <c r="FE35" s="18">
        <v>45723.270462962966</v>
      </c>
      <c r="FF35" s="19"/>
      <c r="FG35" s="19"/>
      <c r="FH35" s="21" t="s">
        <v>197</v>
      </c>
      <c r="FI35" s="17" t="s">
        <v>214</v>
      </c>
      <c r="FJ35" s="18">
        <v>45723.270462962966</v>
      </c>
      <c r="FK35" s="14" t="s">
        <v>952</v>
      </c>
      <c r="FL35" s="14" t="s">
        <v>953</v>
      </c>
      <c r="FM35" s="14" t="s">
        <v>954</v>
      </c>
      <c r="FN35" s="14" t="s">
        <v>955</v>
      </c>
      <c r="FO35" s="14" t="s">
        <v>956</v>
      </c>
      <c r="FP35" s="19" t="str">
        <f t="shared" si="1"/>
        <v>Base de Dados_Images/BC2111.Imagem do Equipamento-.130515.jpg</v>
      </c>
      <c r="FQ35" s="19"/>
      <c r="FR35" s="19"/>
    </row>
    <row r="36" ht="15.75" customHeight="1">
      <c r="A36" s="12" t="s">
        <v>174</v>
      </c>
      <c r="B36" s="22" t="s">
        <v>824</v>
      </c>
      <c r="C36" s="24" t="s">
        <v>512</v>
      </c>
      <c r="D36" s="22" t="s">
        <v>957</v>
      </c>
      <c r="E36" s="22" t="s">
        <v>958</v>
      </c>
      <c r="F36" s="13" t="s">
        <v>178</v>
      </c>
      <c r="G36" s="14" t="s">
        <v>179</v>
      </c>
      <c r="H36" s="14" t="s">
        <v>959</v>
      </c>
      <c r="I36" s="14" t="s">
        <v>179</v>
      </c>
      <c r="J36" s="14" t="s">
        <v>960</v>
      </c>
      <c r="K36" s="14" t="s">
        <v>179</v>
      </c>
      <c r="L36" s="14" t="s">
        <v>961</v>
      </c>
      <c r="M36" s="14" t="s">
        <v>179</v>
      </c>
      <c r="N36" s="14" t="s">
        <v>962</v>
      </c>
      <c r="O36" s="14" t="s">
        <v>179</v>
      </c>
      <c r="P36" s="14" t="s">
        <v>963</v>
      </c>
      <c r="Q36" s="14" t="s">
        <v>179</v>
      </c>
      <c r="R36" s="14" t="s">
        <v>964</v>
      </c>
      <c r="S36" s="14" t="s">
        <v>179</v>
      </c>
      <c r="T36" s="14" t="s">
        <v>965</v>
      </c>
      <c r="U36" s="14" t="s">
        <v>179</v>
      </c>
      <c r="V36" s="14" t="s">
        <v>966</v>
      </c>
      <c r="W36" s="14" t="s">
        <v>179</v>
      </c>
      <c r="X36" s="14" t="s">
        <v>967</v>
      </c>
      <c r="Y36" s="14" t="s">
        <v>179</v>
      </c>
      <c r="Z36" s="14" t="s">
        <v>968</v>
      </c>
      <c r="AA36" s="14" t="s">
        <v>179</v>
      </c>
      <c r="AB36" s="14" t="s">
        <v>969</v>
      </c>
      <c r="AC36" s="14" t="s">
        <v>179</v>
      </c>
      <c r="AD36" s="14" t="s">
        <v>970</v>
      </c>
      <c r="AE36" s="14" t="s">
        <v>179</v>
      </c>
      <c r="AF36" s="14" t="s">
        <v>971</v>
      </c>
      <c r="AG36" s="14" t="s">
        <v>179</v>
      </c>
      <c r="AH36" s="14" t="s">
        <v>972</v>
      </c>
      <c r="AI36" s="14" t="s">
        <v>179</v>
      </c>
      <c r="AJ36" s="14" t="s">
        <v>973</v>
      </c>
      <c r="AK36" s="14" t="s">
        <v>179</v>
      </c>
      <c r="AL36" s="14" t="s">
        <v>974</v>
      </c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6" t="s">
        <v>197</v>
      </c>
      <c r="BP36" s="17" t="s">
        <v>198</v>
      </c>
      <c r="BQ36" s="18">
        <v>45686.37399305555</v>
      </c>
      <c r="BR36" s="17" t="s">
        <v>198</v>
      </c>
      <c r="BS36" s="18">
        <v>45686.37412037037</v>
      </c>
      <c r="BT36" s="17" t="s">
        <v>198</v>
      </c>
      <c r="BU36" s="18">
        <v>45686.37412037037</v>
      </c>
      <c r="BV36" s="13" t="s">
        <v>199</v>
      </c>
      <c r="BW36" s="14" t="s">
        <v>179</v>
      </c>
      <c r="BX36" s="14" t="s">
        <v>975</v>
      </c>
      <c r="BY36" s="14" t="s">
        <v>179</v>
      </c>
      <c r="BZ36" s="14" t="s">
        <v>976</v>
      </c>
      <c r="CA36" s="14" t="s">
        <v>179</v>
      </c>
      <c r="CB36" s="14" t="s">
        <v>977</v>
      </c>
      <c r="CC36" s="14" t="s">
        <v>179</v>
      </c>
      <c r="CD36" s="14" t="s">
        <v>978</v>
      </c>
      <c r="CE36" s="14" t="s">
        <v>179</v>
      </c>
      <c r="CF36" s="14" t="s">
        <v>979</v>
      </c>
      <c r="CG36" s="14" t="s">
        <v>179</v>
      </c>
      <c r="CH36" s="14" t="s">
        <v>980</v>
      </c>
      <c r="CI36" s="19"/>
      <c r="CJ36" s="15"/>
      <c r="CK36" s="19"/>
      <c r="CL36" s="15"/>
      <c r="CM36" s="19"/>
      <c r="CN36" s="15"/>
      <c r="CO36" s="19"/>
      <c r="CP36" s="15"/>
      <c r="CQ36" s="15"/>
      <c r="CR36" s="15"/>
      <c r="CS36" s="19"/>
      <c r="CT36" s="15"/>
      <c r="CU36" s="19"/>
      <c r="CV36" s="15"/>
      <c r="CW36" s="19"/>
      <c r="CX36" s="15"/>
      <c r="CY36" s="19"/>
      <c r="CZ36" s="15"/>
      <c r="DA36" s="16" t="s">
        <v>197</v>
      </c>
      <c r="DB36" s="17" t="s">
        <v>198</v>
      </c>
      <c r="DC36" s="20">
        <v>45722.3475</v>
      </c>
      <c r="DD36" s="17" t="s">
        <v>198</v>
      </c>
      <c r="DE36" s="18">
        <v>45722.34752314815</v>
      </c>
      <c r="DF36" s="17" t="s">
        <v>198</v>
      </c>
      <c r="DG36" s="18">
        <v>45722.34752314815</v>
      </c>
      <c r="DH36" s="13" t="s">
        <v>205</v>
      </c>
      <c r="DI36" s="14" t="s">
        <v>179</v>
      </c>
      <c r="DJ36" s="14" t="s">
        <v>981</v>
      </c>
      <c r="DK36" s="14" t="s">
        <v>179</v>
      </c>
      <c r="DL36" s="14" t="s">
        <v>982</v>
      </c>
      <c r="DM36" s="14" t="s">
        <v>179</v>
      </c>
      <c r="DN36" s="14" t="s">
        <v>983</v>
      </c>
      <c r="DO36" s="14" t="s">
        <v>179</v>
      </c>
      <c r="DP36" s="14" t="s">
        <v>984</v>
      </c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6" t="s">
        <v>197</v>
      </c>
      <c r="ED36" s="17" t="s">
        <v>198</v>
      </c>
      <c r="EE36" s="18">
        <v>45722.347604166665</v>
      </c>
      <c r="EF36" s="13" t="s">
        <v>209</v>
      </c>
      <c r="EG36" s="14" t="s">
        <v>179</v>
      </c>
      <c r="EH36" s="14" t="s">
        <v>985</v>
      </c>
      <c r="EI36" s="14" t="s">
        <v>179</v>
      </c>
      <c r="EJ36" s="14" t="s">
        <v>986</v>
      </c>
      <c r="EK36" s="14" t="s">
        <v>179</v>
      </c>
      <c r="EL36" s="14" t="s">
        <v>987</v>
      </c>
      <c r="EM36" s="14" t="s">
        <v>179</v>
      </c>
      <c r="EN36" s="14" t="s">
        <v>988</v>
      </c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6" t="s">
        <v>197</v>
      </c>
      <c r="FD36" s="17" t="s">
        <v>198</v>
      </c>
      <c r="FE36" s="18">
        <v>45723.28337962963</v>
      </c>
      <c r="FF36" s="19"/>
      <c r="FG36" s="19"/>
      <c r="FH36" s="21" t="s">
        <v>197</v>
      </c>
      <c r="FI36" s="17" t="s">
        <v>214</v>
      </c>
      <c r="FJ36" s="18">
        <v>45723.28337962963</v>
      </c>
      <c r="FK36" s="14" t="s">
        <v>988</v>
      </c>
      <c r="FL36" s="14" t="s">
        <v>989</v>
      </c>
      <c r="FM36" s="14" t="s">
        <v>990</v>
      </c>
      <c r="FN36" s="14" t="s">
        <v>991</v>
      </c>
      <c r="FO36" s="14" t="s">
        <v>992</v>
      </c>
      <c r="FP36" s="19" t="str">
        <f t="shared" si="1"/>
        <v>Base de Dados_Images/BC2112.Imagem do Equipamento-.130637.jpg</v>
      </c>
      <c r="FQ36" s="19"/>
      <c r="FR36" s="19"/>
    </row>
    <row r="37" ht="15.75" customHeight="1">
      <c r="A37" s="12" t="s">
        <v>174</v>
      </c>
      <c r="B37" s="22" t="s">
        <v>824</v>
      </c>
      <c r="C37" s="24" t="s">
        <v>512</v>
      </c>
      <c r="D37" s="22" t="s">
        <v>993</v>
      </c>
      <c r="E37" s="22" t="s">
        <v>994</v>
      </c>
      <c r="F37" s="13" t="s">
        <v>178</v>
      </c>
      <c r="G37" s="14" t="s">
        <v>179</v>
      </c>
      <c r="H37" s="14" t="s">
        <v>995</v>
      </c>
      <c r="I37" s="14" t="s">
        <v>179</v>
      </c>
      <c r="J37" s="14" t="s">
        <v>996</v>
      </c>
      <c r="K37" s="14" t="s">
        <v>179</v>
      </c>
      <c r="L37" s="14" t="s">
        <v>997</v>
      </c>
      <c r="M37" s="14" t="s">
        <v>179</v>
      </c>
      <c r="N37" s="14" t="s">
        <v>998</v>
      </c>
      <c r="O37" s="14" t="s">
        <v>179</v>
      </c>
      <c r="P37" s="14" t="s">
        <v>999</v>
      </c>
      <c r="Q37" s="14" t="s">
        <v>179</v>
      </c>
      <c r="R37" s="14" t="s">
        <v>1000</v>
      </c>
      <c r="S37" s="14" t="s">
        <v>179</v>
      </c>
      <c r="T37" s="14" t="s">
        <v>1001</v>
      </c>
      <c r="U37" s="14" t="s">
        <v>179</v>
      </c>
      <c r="V37" s="14" t="s">
        <v>1002</v>
      </c>
      <c r="W37" s="14" t="s">
        <v>179</v>
      </c>
      <c r="X37" s="14" t="s">
        <v>1003</v>
      </c>
      <c r="Y37" s="14" t="s">
        <v>179</v>
      </c>
      <c r="Z37" s="14" t="s">
        <v>1004</v>
      </c>
      <c r="AA37" s="14" t="s">
        <v>179</v>
      </c>
      <c r="AB37" s="14" t="s">
        <v>1005</v>
      </c>
      <c r="AC37" s="14" t="s">
        <v>179</v>
      </c>
      <c r="AD37" s="14" t="s">
        <v>1006</v>
      </c>
      <c r="AE37" s="14" t="s">
        <v>179</v>
      </c>
      <c r="AF37" s="14" t="s">
        <v>1007</v>
      </c>
      <c r="AG37" s="14" t="s">
        <v>179</v>
      </c>
      <c r="AH37" s="14" t="s">
        <v>1008</v>
      </c>
      <c r="AI37" s="14" t="s">
        <v>179</v>
      </c>
      <c r="AJ37" s="14" t="s">
        <v>1009</v>
      </c>
      <c r="AK37" s="14" t="s">
        <v>179</v>
      </c>
      <c r="AL37" s="14" t="s">
        <v>1010</v>
      </c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6" t="s">
        <v>197</v>
      </c>
      <c r="BP37" s="17" t="s">
        <v>198</v>
      </c>
      <c r="BQ37" s="18">
        <v>45686.375</v>
      </c>
      <c r="BR37" s="17" t="s">
        <v>198</v>
      </c>
      <c r="BS37" s="18">
        <v>45686.37516203704</v>
      </c>
      <c r="BT37" s="17" t="s">
        <v>198</v>
      </c>
      <c r="BU37" s="18">
        <v>45686.37516203704</v>
      </c>
      <c r="BV37" s="13" t="s">
        <v>199</v>
      </c>
      <c r="BW37" s="14" t="s">
        <v>179</v>
      </c>
      <c r="BX37" s="14" t="s">
        <v>1011</v>
      </c>
      <c r="BY37" s="14" t="s">
        <v>179</v>
      </c>
      <c r="BZ37" s="14" t="s">
        <v>1011</v>
      </c>
      <c r="CA37" s="14" t="s">
        <v>179</v>
      </c>
      <c r="CB37" s="14" t="s">
        <v>1012</v>
      </c>
      <c r="CC37" s="14" t="s">
        <v>179</v>
      </c>
      <c r="CD37" s="14" t="s">
        <v>1013</v>
      </c>
      <c r="CE37" s="14" t="s">
        <v>179</v>
      </c>
      <c r="CF37" s="14" t="s">
        <v>1014</v>
      </c>
      <c r="CG37" s="14" t="s">
        <v>179</v>
      </c>
      <c r="CH37" s="14" t="s">
        <v>1014</v>
      </c>
      <c r="CI37" s="19"/>
      <c r="CJ37" s="15"/>
      <c r="CK37" s="19"/>
      <c r="CL37" s="15"/>
      <c r="CM37" s="19"/>
      <c r="CN37" s="15"/>
      <c r="CO37" s="19"/>
      <c r="CP37" s="15"/>
      <c r="CQ37" s="15"/>
      <c r="CR37" s="15"/>
      <c r="CS37" s="19"/>
      <c r="CT37" s="15"/>
      <c r="CU37" s="19"/>
      <c r="CV37" s="15"/>
      <c r="CW37" s="19"/>
      <c r="CX37" s="15"/>
      <c r="CY37" s="19"/>
      <c r="CZ37" s="15"/>
      <c r="DA37" s="16" t="s">
        <v>197</v>
      </c>
      <c r="DB37" s="17" t="s">
        <v>198</v>
      </c>
      <c r="DC37" s="20">
        <v>45722.34787037037</v>
      </c>
      <c r="DD37" s="17" t="s">
        <v>198</v>
      </c>
      <c r="DE37" s="18">
        <v>45722.347905092596</v>
      </c>
      <c r="DF37" s="17" t="s">
        <v>198</v>
      </c>
      <c r="DG37" s="18">
        <v>45722.347905092596</v>
      </c>
      <c r="DH37" s="13" t="s">
        <v>205</v>
      </c>
      <c r="DI37" s="14" t="s">
        <v>179</v>
      </c>
      <c r="DJ37" s="14" t="s">
        <v>1015</v>
      </c>
      <c r="DK37" s="14" t="s">
        <v>179</v>
      </c>
      <c r="DL37" s="14" t="s">
        <v>1016</v>
      </c>
      <c r="DM37" s="14" t="s">
        <v>179</v>
      </c>
      <c r="DN37" s="14" t="s">
        <v>1017</v>
      </c>
      <c r="DO37" s="14" t="s">
        <v>179</v>
      </c>
      <c r="DP37" s="14" t="s">
        <v>1018</v>
      </c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6" t="s">
        <v>197</v>
      </c>
      <c r="ED37" s="17" t="s">
        <v>198</v>
      </c>
      <c r="EE37" s="18">
        <v>45722.34804398148</v>
      </c>
      <c r="EF37" s="13" t="s">
        <v>209</v>
      </c>
      <c r="EG37" s="14" t="s">
        <v>179</v>
      </c>
      <c r="EH37" s="14" t="s">
        <v>1019</v>
      </c>
      <c r="EI37" s="14" t="s">
        <v>179</v>
      </c>
      <c r="EJ37" s="14" t="s">
        <v>1020</v>
      </c>
      <c r="EK37" s="14" t="s">
        <v>179</v>
      </c>
      <c r="EL37" s="14" t="s">
        <v>1021</v>
      </c>
      <c r="EM37" s="14" t="s">
        <v>179</v>
      </c>
      <c r="EN37" s="14" t="s">
        <v>1022</v>
      </c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6" t="s">
        <v>197</v>
      </c>
      <c r="FD37" s="17" t="s">
        <v>198</v>
      </c>
      <c r="FE37" s="18">
        <v>45723.283472222225</v>
      </c>
      <c r="FF37" s="19"/>
      <c r="FG37" s="19"/>
      <c r="FH37" s="21" t="s">
        <v>197</v>
      </c>
      <c r="FI37" s="17" t="s">
        <v>214</v>
      </c>
      <c r="FJ37" s="18">
        <v>45723.283472222225</v>
      </c>
      <c r="FK37" s="14" t="s">
        <v>1022</v>
      </c>
      <c r="FL37" s="14" t="s">
        <v>1023</v>
      </c>
      <c r="FM37" s="14" t="s">
        <v>1024</v>
      </c>
      <c r="FN37" s="14" t="s">
        <v>1025</v>
      </c>
      <c r="FO37" s="14" t="s">
        <v>1026</v>
      </c>
      <c r="FP37" s="19" t="str">
        <f t="shared" si="1"/>
        <v>Base de Dados_Images/BC2113.Imagem do Equipamento-.130806.jpg</v>
      </c>
      <c r="FQ37" s="19"/>
      <c r="FR37" s="19"/>
    </row>
    <row r="38" ht="15.75" customHeight="1">
      <c r="A38" s="12" t="s">
        <v>174</v>
      </c>
      <c r="B38" s="12" t="s">
        <v>716</v>
      </c>
      <c r="C38" s="24" t="s">
        <v>512</v>
      </c>
      <c r="D38" s="12" t="s">
        <v>1027</v>
      </c>
      <c r="E38" s="22" t="s">
        <v>1028</v>
      </c>
      <c r="F38" s="13" t="s">
        <v>178</v>
      </c>
      <c r="G38" s="14" t="s">
        <v>179</v>
      </c>
      <c r="H38" s="14" t="s">
        <v>1029</v>
      </c>
      <c r="I38" s="14" t="s">
        <v>179</v>
      </c>
      <c r="J38" s="14" t="s">
        <v>1030</v>
      </c>
      <c r="K38" s="14" t="s">
        <v>179</v>
      </c>
      <c r="L38" s="14" t="s">
        <v>1031</v>
      </c>
      <c r="M38" s="14" t="s">
        <v>179</v>
      </c>
      <c r="N38" s="14" t="s">
        <v>1032</v>
      </c>
      <c r="O38" s="14" t="s">
        <v>179</v>
      </c>
      <c r="P38" s="14" t="s">
        <v>1033</v>
      </c>
      <c r="Q38" s="14" t="s">
        <v>179</v>
      </c>
      <c r="R38" s="14" t="s">
        <v>1034</v>
      </c>
      <c r="S38" s="14" t="s">
        <v>179</v>
      </c>
      <c r="T38" s="14" t="s">
        <v>1035</v>
      </c>
      <c r="U38" s="14" t="s">
        <v>179</v>
      </c>
      <c r="V38" s="14" t="s">
        <v>1036</v>
      </c>
      <c r="W38" s="14" t="s">
        <v>179</v>
      </c>
      <c r="X38" s="14" t="s">
        <v>1037</v>
      </c>
      <c r="Y38" s="14" t="s">
        <v>179</v>
      </c>
      <c r="Z38" s="14" t="s">
        <v>1038</v>
      </c>
      <c r="AA38" s="14" t="s">
        <v>179</v>
      </c>
      <c r="AB38" s="14" t="s">
        <v>1039</v>
      </c>
      <c r="AC38" s="14" t="s">
        <v>179</v>
      </c>
      <c r="AD38" s="14" t="s">
        <v>1040</v>
      </c>
      <c r="AE38" s="14" t="s">
        <v>179</v>
      </c>
      <c r="AF38" s="14" t="s">
        <v>1041</v>
      </c>
      <c r="AG38" s="14" t="s">
        <v>179</v>
      </c>
      <c r="AH38" s="14" t="s">
        <v>1042</v>
      </c>
      <c r="AI38" s="14" t="s">
        <v>179</v>
      </c>
      <c r="AJ38" s="14" t="s">
        <v>1043</v>
      </c>
      <c r="AK38" s="14" t="s">
        <v>179</v>
      </c>
      <c r="AL38" s="14" t="s">
        <v>1044</v>
      </c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6" t="s">
        <v>197</v>
      </c>
      <c r="BP38" s="17" t="s">
        <v>198</v>
      </c>
      <c r="BQ38" s="18">
        <v>45706.4678587963</v>
      </c>
      <c r="BR38" s="17" t="s">
        <v>198</v>
      </c>
      <c r="BS38" s="18">
        <v>45706.46837962963</v>
      </c>
      <c r="BT38" s="17" t="s">
        <v>198</v>
      </c>
      <c r="BU38" s="18">
        <v>45706.46837962963</v>
      </c>
      <c r="BV38" s="13" t="s">
        <v>199</v>
      </c>
      <c r="BW38" s="14" t="s">
        <v>179</v>
      </c>
      <c r="BX38" s="14" t="s">
        <v>1045</v>
      </c>
      <c r="BY38" s="14" t="s">
        <v>179</v>
      </c>
      <c r="BZ38" s="14" t="s">
        <v>1046</v>
      </c>
      <c r="CA38" s="14" t="s">
        <v>179</v>
      </c>
      <c r="CB38" s="14" t="s">
        <v>1047</v>
      </c>
      <c r="CC38" s="14" t="s">
        <v>179</v>
      </c>
      <c r="CD38" s="14" t="s">
        <v>1048</v>
      </c>
      <c r="CE38" s="14" t="s">
        <v>179</v>
      </c>
      <c r="CF38" s="14" t="s">
        <v>1049</v>
      </c>
      <c r="CG38" s="14" t="s">
        <v>179</v>
      </c>
      <c r="CH38" s="14" t="s">
        <v>1050</v>
      </c>
      <c r="CI38" s="19"/>
      <c r="CJ38" s="15"/>
      <c r="CK38" s="19"/>
      <c r="CL38" s="15"/>
      <c r="CM38" s="19"/>
      <c r="CN38" s="15"/>
      <c r="CO38" s="19"/>
      <c r="CP38" s="15"/>
      <c r="CQ38" s="15"/>
      <c r="CR38" s="15"/>
      <c r="CS38" s="19"/>
      <c r="CT38" s="15"/>
      <c r="CU38" s="19"/>
      <c r="CV38" s="15"/>
      <c r="CW38" s="19"/>
      <c r="CX38" s="15"/>
      <c r="CY38" s="19"/>
      <c r="CZ38" s="15"/>
      <c r="DA38" s="16" t="s">
        <v>197</v>
      </c>
      <c r="DB38" s="17" t="s">
        <v>198</v>
      </c>
      <c r="DC38" s="20">
        <v>45721.48826388889</v>
      </c>
      <c r="DD38" s="17" t="s">
        <v>198</v>
      </c>
      <c r="DE38" s="18">
        <v>45721.48831018519</v>
      </c>
      <c r="DF38" s="17" t="s">
        <v>198</v>
      </c>
      <c r="DG38" s="18">
        <v>45721.48831018519</v>
      </c>
      <c r="DH38" s="13" t="s">
        <v>205</v>
      </c>
      <c r="DI38" s="14" t="s">
        <v>179</v>
      </c>
      <c r="DJ38" s="14" t="s">
        <v>1051</v>
      </c>
      <c r="DK38" s="14" t="s">
        <v>179</v>
      </c>
      <c r="DL38" s="14" t="s">
        <v>1052</v>
      </c>
      <c r="DM38" s="14" t="s">
        <v>179</v>
      </c>
      <c r="DN38" s="14" t="s">
        <v>1053</v>
      </c>
      <c r="DO38" s="14" t="s">
        <v>179</v>
      </c>
      <c r="DP38" s="14" t="s">
        <v>1054</v>
      </c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6" t="s">
        <v>197</v>
      </c>
      <c r="ED38" s="17" t="s">
        <v>198</v>
      </c>
      <c r="EE38" s="18">
        <v>45721.48841435185</v>
      </c>
      <c r="EF38" s="13" t="s">
        <v>209</v>
      </c>
      <c r="EG38" s="14" t="s">
        <v>179</v>
      </c>
      <c r="EH38" s="14" t="s">
        <v>1055</v>
      </c>
      <c r="EI38" s="14" t="s">
        <v>179</v>
      </c>
      <c r="EJ38" s="14" t="s">
        <v>1056</v>
      </c>
      <c r="EK38" s="14" t="s">
        <v>179</v>
      </c>
      <c r="EL38" s="14" t="s">
        <v>1057</v>
      </c>
      <c r="EM38" s="14" t="s">
        <v>179</v>
      </c>
      <c r="EN38" s="14" t="s">
        <v>1057</v>
      </c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6" t="s">
        <v>197</v>
      </c>
      <c r="FD38" s="17" t="s">
        <v>198</v>
      </c>
      <c r="FE38" s="18">
        <v>45723.45444444445</v>
      </c>
      <c r="FF38" s="19"/>
      <c r="FG38" s="19"/>
      <c r="FH38" s="21" t="s">
        <v>197</v>
      </c>
      <c r="FI38" s="17" t="s">
        <v>214</v>
      </c>
      <c r="FJ38" s="18">
        <v>45723.45444444445</v>
      </c>
      <c r="FK38" s="14" t="s">
        <v>1057</v>
      </c>
      <c r="FL38" s="14" t="s">
        <v>1058</v>
      </c>
      <c r="FM38" s="14" t="s">
        <v>1059</v>
      </c>
      <c r="FN38" s="14" t="s">
        <v>1060</v>
      </c>
      <c r="FO38" s="14" t="s">
        <v>1061</v>
      </c>
      <c r="FP38" s="19" t="str">
        <f t="shared" si="1"/>
        <v>Base de Dados_Images/BC2114.Imagem do Equipamento-.142700.jpg</v>
      </c>
      <c r="FQ38" s="14"/>
      <c r="FR38" s="14"/>
    </row>
    <row r="39" ht="15.75" customHeight="1">
      <c r="A39" s="12" t="s">
        <v>174</v>
      </c>
      <c r="B39" s="22" t="s">
        <v>1062</v>
      </c>
      <c r="C39" s="24" t="s">
        <v>512</v>
      </c>
      <c r="D39" s="22" t="s">
        <v>1063</v>
      </c>
      <c r="E39" s="22" t="s">
        <v>1064</v>
      </c>
      <c r="F39" s="13" t="s">
        <v>178</v>
      </c>
      <c r="G39" s="14" t="s">
        <v>179</v>
      </c>
      <c r="H39" s="14" t="s">
        <v>1065</v>
      </c>
      <c r="I39" s="14" t="s">
        <v>179</v>
      </c>
      <c r="J39" s="14" t="s">
        <v>1066</v>
      </c>
      <c r="K39" s="14" t="s">
        <v>179</v>
      </c>
      <c r="L39" s="14" t="s">
        <v>1067</v>
      </c>
      <c r="M39" s="14" t="s">
        <v>179</v>
      </c>
      <c r="N39" s="14" t="s">
        <v>1068</v>
      </c>
      <c r="O39" s="14" t="s">
        <v>179</v>
      </c>
      <c r="P39" s="14" t="s">
        <v>1069</v>
      </c>
      <c r="Q39" s="14" t="s">
        <v>179</v>
      </c>
      <c r="R39" s="14" t="s">
        <v>1070</v>
      </c>
      <c r="S39" s="14" t="s">
        <v>179</v>
      </c>
      <c r="T39" s="14" t="s">
        <v>1071</v>
      </c>
      <c r="U39" s="14" t="s">
        <v>179</v>
      </c>
      <c r="V39" s="14" t="s">
        <v>1072</v>
      </c>
      <c r="W39" s="14" t="s">
        <v>179</v>
      </c>
      <c r="X39" s="14" t="s">
        <v>1073</v>
      </c>
      <c r="Y39" s="14" t="s">
        <v>179</v>
      </c>
      <c r="Z39" s="14" t="s">
        <v>1074</v>
      </c>
      <c r="AA39" s="14" t="s">
        <v>179</v>
      </c>
      <c r="AB39" s="14" t="s">
        <v>1075</v>
      </c>
      <c r="AC39" s="14" t="s">
        <v>179</v>
      </c>
      <c r="AD39" s="14" t="s">
        <v>1076</v>
      </c>
      <c r="AE39" s="14" t="s">
        <v>179</v>
      </c>
      <c r="AF39" s="14" t="s">
        <v>1077</v>
      </c>
      <c r="AG39" s="14" t="s">
        <v>179</v>
      </c>
      <c r="AH39" s="14" t="s">
        <v>1078</v>
      </c>
      <c r="AI39" s="14" t="s">
        <v>179</v>
      </c>
      <c r="AJ39" s="14" t="s">
        <v>1079</v>
      </c>
      <c r="AK39" s="14" t="s">
        <v>179</v>
      </c>
      <c r="AL39" s="14" t="s">
        <v>1080</v>
      </c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6" t="s">
        <v>197</v>
      </c>
      <c r="BP39" s="17" t="s">
        <v>198</v>
      </c>
      <c r="BQ39" s="18">
        <v>45686.387395833335</v>
      </c>
      <c r="BR39" s="17" t="s">
        <v>198</v>
      </c>
      <c r="BS39" s="18">
        <v>45686.38758101852</v>
      </c>
      <c r="BT39" s="17" t="s">
        <v>198</v>
      </c>
      <c r="BU39" s="18">
        <v>45686.38758101852</v>
      </c>
      <c r="BV39" s="13" t="s">
        <v>199</v>
      </c>
      <c r="BW39" s="14" t="s">
        <v>179</v>
      </c>
      <c r="BX39" s="14" t="s">
        <v>1081</v>
      </c>
      <c r="BY39" s="14" t="s">
        <v>179</v>
      </c>
      <c r="BZ39" s="14" t="s">
        <v>1082</v>
      </c>
      <c r="CA39" s="14" t="s">
        <v>179</v>
      </c>
      <c r="CB39" s="14" t="s">
        <v>1083</v>
      </c>
      <c r="CC39" s="14" t="s">
        <v>179</v>
      </c>
      <c r="CD39" s="14" t="s">
        <v>1084</v>
      </c>
      <c r="CE39" s="14" t="s">
        <v>179</v>
      </c>
      <c r="CF39" s="14" t="s">
        <v>1085</v>
      </c>
      <c r="CG39" s="14" t="s">
        <v>179</v>
      </c>
      <c r="CH39" s="14" t="s">
        <v>1086</v>
      </c>
      <c r="CI39" s="19"/>
      <c r="CJ39" s="15"/>
      <c r="CK39" s="19"/>
      <c r="CL39" s="15"/>
      <c r="CM39" s="19"/>
      <c r="CN39" s="15"/>
      <c r="CO39" s="19"/>
      <c r="CP39" s="15"/>
      <c r="CQ39" s="15"/>
      <c r="CR39" s="15"/>
      <c r="CS39" s="19"/>
      <c r="CT39" s="15"/>
      <c r="CU39" s="19"/>
      <c r="CV39" s="15"/>
      <c r="CW39" s="19"/>
      <c r="CX39" s="15"/>
      <c r="CY39" s="19"/>
      <c r="CZ39" s="15"/>
      <c r="DA39" s="16" t="s">
        <v>197</v>
      </c>
      <c r="DB39" s="17" t="s">
        <v>198</v>
      </c>
      <c r="DC39" s="20">
        <v>45722.34832175926</v>
      </c>
      <c r="DD39" s="17" t="s">
        <v>198</v>
      </c>
      <c r="DE39" s="18">
        <v>45722.34835648148</v>
      </c>
      <c r="DF39" s="17" t="s">
        <v>198</v>
      </c>
      <c r="DG39" s="18">
        <v>45722.34835648148</v>
      </c>
      <c r="DH39" s="13" t="s">
        <v>205</v>
      </c>
      <c r="DI39" s="14" t="s">
        <v>179</v>
      </c>
      <c r="DJ39" s="14" t="s">
        <v>1087</v>
      </c>
      <c r="DK39" s="14" t="s">
        <v>179</v>
      </c>
      <c r="DL39" s="14" t="s">
        <v>1088</v>
      </c>
      <c r="DM39" s="14" t="s">
        <v>179</v>
      </c>
      <c r="DN39" s="14" t="s">
        <v>1089</v>
      </c>
      <c r="DO39" s="14" t="s">
        <v>179</v>
      </c>
      <c r="DP39" s="14" t="s">
        <v>1090</v>
      </c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6" t="s">
        <v>197</v>
      </c>
      <c r="ED39" s="17" t="s">
        <v>198</v>
      </c>
      <c r="EE39" s="18">
        <v>45722.34842592593</v>
      </c>
      <c r="EF39" s="13" t="s">
        <v>209</v>
      </c>
      <c r="EG39" s="14" t="s">
        <v>179</v>
      </c>
      <c r="EH39" s="14" t="s">
        <v>1091</v>
      </c>
      <c r="EI39" s="14" t="s">
        <v>179</v>
      </c>
      <c r="EJ39" s="14" t="s">
        <v>1092</v>
      </c>
      <c r="EK39" s="14" t="s">
        <v>179</v>
      </c>
      <c r="EL39" s="14" t="s">
        <v>1093</v>
      </c>
      <c r="EM39" s="14" t="s">
        <v>179</v>
      </c>
      <c r="EN39" s="14" t="s">
        <v>1094</v>
      </c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6" t="s">
        <v>197</v>
      </c>
      <c r="FD39" s="17" t="s">
        <v>198</v>
      </c>
      <c r="FE39" s="18">
        <v>45723.28287037037</v>
      </c>
      <c r="FF39" s="19"/>
      <c r="FG39" s="19"/>
      <c r="FH39" s="21" t="s">
        <v>197</v>
      </c>
      <c r="FI39" s="17" t="s">
        <v>214</v>
      </c>
      <c r="FJ39" s="18">
        <v>45723.28287037037</v>
      </c>
      <c r="FK39" s="14" t="s">
        <v>1094</v>
      </c>
      <c r="FL39" s="14" t="s">
        <v>1095</v>
      </c>
      <c r="FM39" s="14" t="s">
        <v>1096</v>
      </c>
      <c r="FN39" s="14" t="s">
        <v>1097</v>
      </c>
      <c r="FO39" s="14" t="s">
        <v>1098</v>
      </c>
      <c r="FP39" s="19" t="str">
        <f t="shared" si="1"/>
        <v>Base de Dados_Images/BC2115.Imagem do Equipamento-.131737.jpg</v>
      </c>
      <c r="FQ39" s="19"/>
      <c r="FR39" s="19"/>
    </row>
    <row r="40" ht="15.75" customHeight="1">
      <c r="A40" s="25" t="s">
        <v>1099</v>
      </c>
      <c r="B40" s="25" t="s">
        <v>716</v>
      </c>
      <c r="C40" s="26" t="s">
        <v>176</v>
      </c>
      <c r="D40" s="25" t="s">
        <v>1100</v>
      </c>
      <c r="E40" s="25" t="s">
        <v>1101</v>
      </c>
      <c r="F40" s="27" t="s">
        <v>178</v>
      </c>
      <c r="G40" s="14" t="s">
        <v>179</v>
      </c>
      <c r="H40" s="14" t="s">
        <v>1102</v>
      </c>
      <c r="I40" s="14" t="s">
        <v>179</v>
      </c>
      <c r="J40" s="14" t="s">
        <v>1103</v>
      </c>
      <c r="K40" s="14" t="s">
        <v>179</v>
      </c>
      <c r="L40" s="14" t="s">
        <v>1104</v>
      </c>
      <c r="M40" s="14" t="s">
        <v>179</v>
      </c>
      <c r="N40" s="14" t="s">
        <v>1105</v>
      </c>
      <c r="O40" s="14" t="s">
        <v>179</v>
      </c>
      <c r="P40" s="14" t="s">
        <v>1106</v>
      </c>
      <c r="Q40" s="14" t="s">
        <v>179</v>
      </c>
      <c r="R40" s="14" t="s">
        <v>1107</v>
      </c>
      <c r="S40" s="14" t="s">
        <v>179</v>
      </c>
      <c r="T40" s="14" t="s">
        <v>1108</v>
      </c>
      <c r="U40" s="14" t="s">
        <v>179</v>
      </c>
      <c r="V40" s="14" t="s">
        <v>1109</v>
      </c>
      <c r="W40" s="14" t="s">
        <v>179</v>
      </c>
      <c r="X40" s="14" t="s">
        <v>1110</v>
      </c>
      <c r="Y40" s="14" t="s">
        <v>179</v>
      </c>
      <c r="Z40" s="14" t="s">
        <v>1111</v>
      </c>
      <c r="AA40" s="14" t="s">
        <v>179</v>
      </c>
      <c r="AB40" s="14" t="s">
        <v>1112</v>
      </c>
      <c r="AC40" s="14" t="s">
        <v>179</v>
      </c>
      <c r="AD40" s="14" t="s">
        <v>1113</v>
      </c>
      <c r="AE40" s="14" t="s">
        <v>179</v>
      </c>
      <c r="AF40" s="14" t="s">
        <v>1114</v>
      </c>
      <c r="AG40" s="14" t="s">
        <v>179</v>
      </c>
      <c r="AH40" s="14" t="s">
        <v>1115</v>
      </c>
      <c r="AI40" s="14" t="s">
        <v>179</v>
      </c>
      <c r="AJ40" s="14" t="s">
        <v>1116</v>
      </c>
      <c r="AK40" s="14" t="s">
        <v>179</v>
      </c>
      <c r="AL40" s="14" t="s">
        <v>1117</v>
      </c>
      <c r="AM40" s="14"/>
      <c r="AN40" s="14"/>
      <c r="AO40" s="14"/>
      <c r="AP40" s="14"/>
      <c r="AQ40" s="14"/>
      <c r="AR40" s="14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7" t="s">
        <v>197</v>
      </c>
      <c r="BP40" s="17" t="s">
        <v>198</v>
      </c>
      <c r="BQ40" s="18">
        <v>45708.355787037035</v>
      </c>
      <c r="BR40" s="17" t="s">
        <v>198</v>
      </c>
      <c r="BS40" s="18">
        <v>45708.356099537035</v>
      </c>
      <c r="BT40" s="17" t="s">
        <v>198</v>
      </c>
      <c r="BU40" s="18">
        <v>45708.356099537035</v>
      </c>
      <c r="BV40" s="27" t="s">
        <v>199</v>
      </c>
      <c r="BW40" s="14" t="s">
        <v>179</v>
      </c>
      <c r="BX40" s="14" t="s">
        <v>1118</v>
      </c>
      <c r="BY40" s="14" t="s">
        <v>179</v>
      </c>
      <c r="BZ40" s="14" t="s">
        <v>1119</v>
      </c>
      <c r="CA40" s="14" t="s">
        <v>179</v>
      </c>
      <c r="CB40" s="14" t="s">
        <v>1120</v>
      </c>
      <c r="CC40" s="14" t="s">
        <v>179</v>
      </c>
      <c r="CD40" s="14" t="s">
        <v>1121</v>
      </c>
      <c r="CE40" s="14" t="s">
        <v>179</v>
      </c>
      <c r="CF40" s="14" t="s">
        <v>1122</v>
      </c>
      <c r="CG40" s="14" t="s">
        <v>179</v>
      </c>
      <c r="CH40" s="14" t="s">
        <v>1123</v>
      </c>
      <c r="CI40" s="19"/>
      <c r="CJ40" s="15"/>
      <c r="CK40" s="19"/>
      <c r="CL40" s="15"/>
      <c r="CM40" s="19"/>
      <c r="CN40" s="15"/>
      <c r="CO40" s="19"/>
      <c r="CP40" s="15"/>
      <c r="CQ40" s="15"/>
      <c r="CR40" s="15"/>
      <c r="CS40" s="19"/>
      <c r="CT40" s="15"/>
      <c r="CU40" s="19"/>
      <c r="CV40" s="15"/>
      <c r="CW40" s="19"/>
      <c r="CX40" s="15"/>
      <c r="CY40" s="19"/>
      <c r="CZ40" s="15"/>
      <c r="DA40" s="17" t="s">
        <v>197</v>
      </c>
      <c r="DB40" s="17" t="s">
        <v>198</v>
      </c>
      <c r="DC40" s="20">
        <v>45723.27984953704</v>
      </c>
      <c r="DD40" s="17" t="s">
        <v>198</v>
      </c>
      <c r="DE40" s="18">
        <v>45723.27989583334</v>
      </c>
      <c r="DF40" s="17" t="s">
        <v>198</v>
      </c>
      <c r="DG40" s="18">
        <v>45723.27989583334</v>
      </c>
      <c r="DH40" s="27" t="s">
        <v>205</v>
      </c>
      <c r="DI40" s="14" t="s">
        <v>179</v>
      </c>
      <c r="DJ40" s="14" t="s">
        <v>1124</v>
      </c>
      <c r="DK40" s="14" t="s">
        <v>179</v>
      </c>
      <c r="DL40" s="14" t="s">
        <v>1125</v>
      </c>
      <c r="DM40" s="14" t="s">
        <v>179</v>
      </c>
      <c r="DN40" s="14" t="s">
        <v>1126</v>
      </c>
      <c r="DO40" s="14" t="s">
        <v>179</v>
      </c>
      <c r="DP40" s="14" t="s">
        <v>1126</v>
      </c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7" t="s">
        <v>197</v>
      </c>
      <c r="ED40" s="17" t="s">
        <v>198</v>
      </c>
      <c r="EE40" s="18">
        <v>45723.279965277776</v>
      </c>
      <c r="EF40" s="27" t="s">
        <v>209</v>
      </c>
      <c r="EG40" s="14" t="s">
        <v>179</v>
      </c>
      <c r="EH40" s="14" t="s">
        <v>1127</v>
      </c>
      <c r="EI40" s="14" t="s">
        <v>179</v>
      </c>
      <c r="EJ40" s="14" t="s">
        <v>1127</v>
      </c>
      <c r="EK40" s="14" t="s">
        <v>179</v>
      </c>
      <c r="EL40" s="14" t="s">
        <v>1128</v>
      </c>
      <c r="EM40" s="14" t="s">
        <v>179</v>
      </c>
      <c r="EN40" s="14" t="s">
        <v>1129</v>
      </c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7" t="s">
        <v>197</v>
      </c>
      <c r="FD40" s="17" t="s">
        <v>198</v>
      </c>
      <c r="FE40" s="18">
        <v>45723.28003472222</v>
      </c>
      <c r="FF40" s="19"/>
      <c r="FG40" s="19"/>
      <c r="FH40" s="17" t="s">
        <v>197</v>
      </c>
      <c r="FI40" s="17" t="s">
        <v>214</v>
      </c>
      <c r="FJ40" s="18">
        <v>45723.28003472222</v>
      </c>
      <c r="FK40" s="14" t="s">
        <v>1129</v>
      </c>
      <c r="FL40" s="14" t="s">
        <v>1130</v>
      </c>
      <c r="FM40" s="14" t="s">
        <v>1131</v>
      </c>
      <c r="FN40" s="14"/>
      <c r="FO40" s="14"/>
      <c r="FP40" s="19" t="str">
        <f t="shared" si="1"/>
        <v>Inserir_Remover TAG_Images/BC2116.Imagem.142716.jpg</v>
      </c>
      <c r="FQ40" s="14"/>
      <c r="FR40" s="14"/>
    </row>
    <row r="41" ht="15.75" customHeight="1">
      <c r="A41" s="12" t="s">
        <v>174</v>
      </c>
      <c r="B41" s="12" t="s">
        <v>1132</v>
      </c>
      <c r="C41" s="24" t="s">
        <v>512</v>
      </c>
      <c r="D41" s="12" t="s">
        <v>1133</v>
      </c>
      <c r="E41" s="22" t="s">
        <v>1134</v>
      </c>
      <c r="F41" s="13" t="s">
        <v>178</v>
      </c>
      <c r="G41" s="14" t="s">
        <v>179</v>
      </c>
      <c r="H41" s="14" t="s">
        <v>1135</v>
      </c>
      <c r="I41" s="14" t="s">
        <v>179</v>
      </c>
      <c r="J41" s="14" t="s">
        <v>1136</v>
      </c>
      <c r="K41" s="14" t="s">
        <v>179</v>
      </c>
      <c r="L41" s="14" t="s">
        <v>1136</v>
      </c>
      <c r="M41" s="14" t="s">
        <v>179</v>
      </c>
      <c r="N41" s="14" t="s">
        <v>1137</v>
      </c>
      <c r="O41" s="14" t="s">
        <v>179</v>
      </c>
      <c r="P41" s="14" t="s">
        <v>1138</v>
      </c>
      <c r="Q41" s="14" t="s">
        <v>179</v>
      </c>
      <c r="R41" s="14" t="s">
        <v>1139</v>
      </c>
      <c r="S41" s="14" t="s">
        <v>179</v>
      </c>
      <c r="T41" s="14" t="s">
        <v>1139</v>
      </c>
      <c r="U41" s="14" t="s">
        <v>179</v>
      </c>
      <c r="V41" s="14" t="s">
        <v>1140</v>
      </c>
      <c r="W41" s="14" t="s">
        <v>179</v>
      </c>
      <c r="X41" s="14" t="s">
        <v>1141</v>
      </c>
      <c r="Y41" s="14" t="s">
        <v>188</v>
      </c>
      <c r="Z41" s="14" t="s">
        <v>1142</v>
      </c>
      <c r="AA41" s="14" t="s">
        <v>179</v>
      </c>
      <c r="AB41" s="14" t="s">
        <v>1143</v>
      </c>
      <c r="AC41" s="14" t="s">
        <v>179</v>
      </c>
      <c r="AD41" s="14" t="s">
        <v>1144</v>
      </c>
      <c r="AE41" s="14" t="s">
        <v>179</v>
      </c>
      <c r="AF41" s="14" t="s">
        <v>1145</v>
      </c>
      <c r="AG41" s="14" t="s">
        <v>179</v>
      </c>
      <c r="AH41" s="14" t="s">
        <v>1146</v>
      </c>
      <c r="AI41" s="14" t="s">
        <v>179</v>
      </c>
      <c r="AJ41" s="14" t="s">
        <v>1147</v>
      </c>
      <c r="AK41" s="14" t="s">
        <v>179</v>
      </c>
      <c r="AL41" s="14" t="s">
        <v>1148</v>
      </c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6" t="s">
        <v>197</v>
      </c>
      <c r="BP41" s="17" t="s">
        <v>198</v>
      </c>
      <c r="BQ41" s="18">
        <v>45686.484398148146</v>
      </c>
      <c r="BR41" s="17" t="s">
        <v>198</v>
      </c>
      <c r="BS41" s="18">
        <v>45686.48452546296</v>
      </c>
      <c r="BT41" s="17" t="s">
        <v>198</v>
      </c>
      <c r="BU41" s="18">
        <v>45686.48452546296</v>
      </c>
      <c r="BV41" s="13" t="s">
        <v>199</v>
      </c>
      <c r="BW41" s="14" t="s">
        <v>179</v>
      </c>
      <c r="BX41" s="14" t="s">
        <v>1149</v>
      </c>
      <c r="BY41" s="14" t="s">
        <v>179</v>
      </c>
      <c r="BZ41" s="14" t="s">
        <v>1150</v>
      </c>
      <c r="CA41" s="14" t="s">
        <v>179</v>
      </c>
      <c r="CB41" s="14" t="s">
        <v>1151</v>
      </c>
      <c r="CC41" s="14" t="s">
        <v>179</v>
      </c>
      <c r="CD41" s="14" t="s">
        <v>1152</v>
      </c>
      <c r="CE41" s="14" t="s">
        <v>179</v>
      </c>
      <c r="CF41" s="14" t="s">
        <v>1153</v>
      </c>
      <c r="CG41" s="14" t="s">
        <v>179</v>
      </c>
      <c r="CH41" s="14" t="s">
        <v>1154</v>
      </c>
      <c r="CI41" s="19"/>
      <c r="CJ41" s="15"/>
      <c r="CK41" s="19"/>
      <c r="CL41" s="15"/>
      <c r="CM41" s="19"/>
      <c r="CN41" s="15"/>
      <c r="CO41" s="19"/>
      <c r="CP41" s="15"/>
      <c r="CQ41" s="15"/>
      <c r="CR41" s="15"/>
      <c r="CS41" s="19"/>
      <c r="CT41" s="15"/>
      <c r="CU41" s="19"/>
      <c r="CV41" s="15"/>
      <c r="CW41" s="19"/>
      <c r="CX41" s="15"/>
      <c r="CY41" s="19"/>
      <c r="CZ41" s="15"/>
      <c r="DA41" s="16" t="s">
        <v>197</v>
      </c>
      <c r="DB41" s="17" t="s">
        <v>198</v>
      </c>
      <c r="DC41" s="20">
        <v>45721.445752314816</v>
      </c>
      <c r="DD41" s="17" t="s">
        <v>198</v>
      </c>
      <c r="DE41" s="18">
        <v>45721.44578703704</v>
      </c>
      <c r="DF41" s="17" t="s">
        <v>198</v>
      </c>
      <c r="DG41" s="18">
        <v>45721.44578703704</v>
      </c>
      <c r="DH41" s="13" t="s">
        <v>205</v>
      </c>
      <c r="DI41" s="14" t="s">
        <v>179</v>
      </c>
      <c r="DJ41" s="14" t="s">
        <v>1155</v>
      </c>
      <c r="DK41" s="14" t="s">
        <v>179</v>
      </c>
      <c r="DL41" s="14" t="s">
        <v>1156</v>
      </c>
      <c r="DM41" s="14" t="s">
        <v>179</v>
      </c>
      <c r="DN41" s="14" t="s">
        <v>1157</v>
      </c>
      <c r="DO41" s="14" t="s">
        <v>179</v>
      </c>
      <c r="DP41" s="14" t="s">
        <v>1158</v>
      </c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6" t="s">
        <v>197</v>
      </c>
      <c r="ED41" s="17" t="s">
        <v>198</v>
      </c>
      <c r="EE41" s="18">
        <v>45722.43696759259</v>
      </c>
      <c r="EF41" s="13" t="s">
        <v>209</v>
      </c>
      <c r="EG41" s="14" t="s">
        <v>179</v>
      </c>
      <c r="EH41" s="14" t="s">
        <v>1159</v>
      </c>
      <c r="EI41" s="14" t="s">
        <v>179</v>
      </c>
      <c r="EJ41" s="14" t="s">
        <v>1159</v>
      </c>
      <c r="EK41" s="14" t="s">
        <v>179</v>
      </c>
      <c r="EL41" s="14" t="s">
        <v>1160</v>
      </c>
      <c r="EM41" s="14" t="s">
        <v>179</v>
      </c>
      <c r="EN41" s="14" t="s">
        <v>1161</v>
      </c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6" t="s">
        <v>197</v>
      </c>
      <c r="FD41" s="17" t="s">
        <v>198</v>
      </c>
      <c r="FE41" s="18">
        <v>45723.274039351854</v>
      </c>
      <c r="FF41" s="19"/>
      <c r="FG41" s="19"/>
      <c r="FH41" s="21" t="s">
        <v>197</v>
      </c>
      <c r="FI41" s="17" t="s">
        <v>214</v>
      </c>
      <c r="FJ41" s="18">
        <v>45723.274039351854</v>
      </c>
      <c r="FK41" s="14" t="s">
        <v>1159</v>
      </c>
      <c r="FL41" s="14" t="s">
        <v>1162</v>
      </c>
      <c r="FM41" s="14" t="s">
        <v>1163</v>
      </c>
      <c r="FN41" s="19"/>
      <c r="FO41" s="19"/>
      <c r="FP41" s="19" t="str">
        <f t="shared" si="1"/>
        <v>Base de Dados_Images/BC2118.Imagem do Equipamento-.150915.jpg</v>
      </c>
      <c r="FQ41" s="14"/>
      <c r="FR41" s="14"/>
    </row>
    <row r="42" ht="15.75" customHeight="1">
      <c r="A42" s="12" t="s">
        <v>174</v>
      </c>
      <c r="B42" s="12" t="s">
        <v>1132</v>
      </c>
      <c r="C42" s="24" t="s">
        <v>512</v>
      </c>
      <c r="D42" s="12" t="s">
        <v>1164</v>
      </c>
      <c r="E42" s="22" t="s">
        <v>1165</v>
      </c>
      <c r="F42" s="13" t="s">
        <v>178</v>
      </c>
      <c r="G42" s="14" t="s">
        <v>179</v>
      </c>
      <c r="H42" s="14" t="s">
        <v>1166</v>
      </c>
      <c r="I42" s="14" t="s">
        <v>179</v>
      </c>
      <c r="J42" s="14" t="s">
        <v>1167</v>
      </c>
      <c r="K42" s="14" t="s">
        <v>179</v>
      </c>
      <c r="L42" s="14" t="s">
        <v>1168</v>
      </c>
      <c r="M42" s="14" t="s">
        <v>179</v>
      </c>
      <c r="N42" s="14" t="s">
        <v>1169</v>
      </c>
      <c r="O42" s="14" t="s">
        <v>179</v>
      </c>
      <c r="P42" s="14" t="s">
        <v>1169</v>
      </c>
      <c r="Q42" s="14" t="s">
        <v>179</v>
      </c>
      <c r="R42" s="14" t="s">
        <v>1170</v>
      </c>
      <c r="S42" s="14" t="s">
        <v>179</v>
      </c>
      <c r="T42" s="14" t="s">
        <v>1171</v>
      </c>
      <c r="U42" s="14" t="s">
        <v>179</v>
      </c>
      <c r="V42" s="14" t="s">
        <v>1172</v>
      </c>
      <c r="W42" s="14" t="s">
        <v>179</v>
      </c>
      <c r="X42" s="14" t="s">
        <v>1173</v>
      </c>
      <c r="Y42" s="14" t="s">
        <v>188</v>
      </c>
      <c r="Z42" s="14" t="s">
        <v>1174</v>
      </c>
      <c r="AA42" s="14" t="s">
        <v>179</v>
      </c>
      <c r="AB42" s="14" t="s">
        <v>1175</v>
      </c>
      <c r="AC42" s="14" t="s">
        <v>179</v>
      </c>
      <c r="AD42" s="14" t="s">
        <v>1176</v>
      </c>
      <c r="AE42" s="14" t="s">
        <v>179</v>
      </c>
      <c r="AF42" s="14" t="s">
        <v>1177</v>
      </c>
      <c r="AG42" s="14" t="s">
        <v>179</v>
      </c>
      <c r="AH42" s="14" t="s">
        <v>1178</v>
      </c>
      <c r="AI42" s="14" t="s">
        <v>179</v>
      </c>
      <c r="AJ42" s="14" t="s">
        <v>1178</v>
      </c>
      <c r="AK42" s="14" t="s">
        <v>179</v>
      </c>
      <c r="AL42" s="14" t="s">
        <v>1179</v>
      </c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6" t="s">
        <v>197</v>
      </c>
      <c r="BP42" s="17" t="s">
        <v>198</v>
      </c>
      <c r="BQ42" s="18">
        <v>45705.672685185185</v>
      </c>
      <c r="BR42" s="17" t="s">
        <v>198</v>
      </c>
      <c r="BS42" s="18">
        <v>45686.48489583333</v>
      </c>
      <c r="BT42" s="17" t="s">
        <v>198</v>
      </c>
      <c r="BU42" s="18">
        <v>45705.672685185185</v>
      </c>
      <c r="BV42" s="13" t="s">
        <v>199</v>
      </c>
      <c r="BW42" s="14" t="s">
        <v>179</v>
      </c>
      <c r="BX42" s="14" t="s">
        <v>1180</v>
      </c>
      <c r="BY42" s="14" t="s">
        <v>179</v>
      </c>
      <c r="BZ42" s="14" t="s">
        <v>1180</v>
      </c>
      <c r="CA42" s="14" t="s">
        <v>179</v>
      </c>
      <c r="CB42" s="14" t="s">
        <v>1181</v>
      </c>
      <c r="CC42" s="14" t="s">
        <v>179</v>
      </c>
      <c r="CD42" s="14" t="s">
        <v>1182</v>
      </c>
      <c r="CE42" s="14" t="s">
        <v>179</v>
      </c>
      <c r="CF42" s="14" t="s">
        <v>1182</v>
      </c>
      <c r="CG42" s="14" t="s">
        <v>179</v>
      </c>
      <c r="CH42" s="14" t="s">
        <v>1183</v>
      </c>
      <c r="CI42" s="19"/>
      <c r="CJ42" s="15"/>
      <c r="CK42" s="19"/>
      <c r="CL42" s="15"/>
      <c r="CM42" s="19"/>
      <c r="CN42" s="15"/>
      <c r="CO42" s="19"/>
      <c r="CP42" s="15"/>
      <c r="CQ42" s="15"/>
      <c r="CR42" s="15"/>
      <c r="CS42" s="19"/>
      <c r="CT42" s="15"/>
      <c r="CU42" s="19"/>
      <c r="CV42" s="15"/>
      <c r="CW42" s="19"/>
      <c r="CX42" s="15"/>
      <c r="CY42" s="19"/>
      <c r="CZ42" s="15"/>
      <c r="DA42" s="16" t="s">
        <v>197</v>
      </c>
      <c r="DB42" s="17" t="s">
        <v>198</v>
      </c>
      <c r="DC42" s="20">
        <v>45721.4458912037</v>
      </c>
      <c r="DD42" s="17" t="s">
        <v>198</v>
      </c>
      <c r="DE42" s="18">
        <v>45721.445925925924</v>
      </c>
      <c r="DF42" s="17" t="s">
        <v>198</v>
      </c>
      <c r="DG42" s="18">
        <v>45721.445925925924</v>
      </c>
      <c r="DH42" s="13" t="s">
        <v>205</v>
      </c>
      <c r="DI42" s="14" t="s">
        <v>179</v>
      </c>
      <c r="DJ42" s="14" t="s">
        <v>1184</v>
      </c>
      <c r="DK42" s="14" t="s">
        <v>179</v>
      </c>
      <c r="DL42" s="14" t="s">
        <v>1185</v>
      </c>
      <c r="DM42" s="14" t="s">
        <v>179</v>
      </c>
      <c r="DN42" s="14" t="s">
        <v>1185</v>
      </c>
      <c r="DO42" s="14" t="s">
        <v>179</v>
      </c>
      <c r="DP42" s="14" t="s">
        <v>1186</v>
      </c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6" t="s">
        <v>197</v>
      </c>
      <c r="ED42" s="17" t="s">
        <v>198</v>
      </c>
      <c r="EE42" s="18">
        <v>45723.319502314815</v>
      </c>
      <c r="EF42" s="13" t="s">
        <v>209</v>
      </c>
      <c r="EG42" s="14" t="s">
        <v>179</v>
      </c>
      <c r="EH42" s="14" t="s">
        <v>1187</v>
      </c>
      <c r="EI42" s="14" t="s">
        <v>179</v>
      </c>
      <c r="EJ42" s="14" t="s">
        <v>1187</v>
      </c>
      <c r="EK42" s="14" t="s">
        <v>179</v>
      </c>
      <c r="EL42" s="14" t="s">
        <v>1188</v>
      </c>
      <c r="EM42" s="14" t="s">
        <v>179</v>
      </c>
      <c r="EN42" s="14" t="s">
        <v>1189</v>
      </c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6" t="s">
        <v>197</v>
      </c>
      <c r="FD42" s="17" t="s">
        <v>198</v>
      </c>
      <c r="FE42" s="18">
        <v>45723.31957175926</v>
      </c>
      <c r="FF42" s="19"/>
      <c r="FG42" s="19"/>
      <c r="FH42" s="21" t="s">
        <v>197</v>
      </c>
      <c r="FI42" s="17" t="s">
        <v>214</v>
      </c>
      <c r="FJ42" s="18">
        <v>45723.31957175926</v>
      </c>
      <c r="FK42" s="14" t="s">
        <v>1189</v>
      </c>
      <c r="FL42" s="14" t="s">
        <v>1190</v>
      </c>
      <c r="FM42" s="14" t="s">
        <v>1191</v>
      </c>
      <c r="FN42" s="19"/>
      <c r="FO42" s="19"/>
      <c r="FP42" s="19" t="str">
        <f t="shared" si="1"/>
        <v>Base de Dados_Images/BC2119.Imagem do Equipamento-.191225.jpg</v>
      </c>
      <c r="FQ42" s="19"/>
      <c r="FR42" s="19"/>
    </row>
    <row r="43" ht="15.75" customHeight="1">
      <c r="A43" s="12" t="s">
        <v>174</v>
      </c>
      <c r="B43" s="22" t="s">
        <v>1192</v>
      </c>
      <c r="C43" s="24" t="s">
        <v>512</v>
      </c>
      <c r="D43" s="12" t="s">
        <v>1193</v>
      </c>
      <c r="E43" s="22" t="s">
        <v>1194</v>
      </c>
      <c r="F43" s="13" t="s">
        <v>178</v>
      </c>
      <c r="G43" s="14" t="s">
        <v>179</v>
      </c>
      <c r="H43" s="14" t="s">
        <v>1195</v>
      </c>
      <c r="I43" s="14" t="s">
        <v>179</v>
      </c>
      <c r="J43" s="14" t="s">
        <v>1196</v>
      </c>
      <c r="K43" s="14" t="s">
        <v>179</v>
      </c>
      <c r="L43" s="14" t="s">
        <v>1197</v>
      </c>
      <c r="M43" s="14" t="s">
        <v>179</v>
      </c>
      <c r="N43" s="14" t="s">
        <v>1198</v>
      </c>
      <c r="O43" s="14" t="s">
        <v>179</v>
      </c>
      <c r="P43" s="14" t="s">
        <v>1199</v>
      </c>
      <c r="Q43" s="14" t="s">
        <v>179</v>
      </c>
      <c r="R43" s="14" t="s">
        <v>1200</v>
      </c>
      <c r="S43" s="14" t="s">
        <v>179</v>
      </c>
      <c r="T43" s="14" t="s">
        <v>1201</v>
      </c>
      <c r="U43" s="14" t="s">
        <v>179</v>
      </c>
      <c r="V43" s="14" t="s">
        <v>1202</v>
      </c>
      <c r="W43" s="14" t="s">
        <v>179</v>
      </c>
      <c r="X43" s="14" t="s">
        <v>1203</v>
      </c>
      <c r="Y43" s="14" t="s">
        <v>188</v>
      </c>
      <c r="Z43" s="14" t="s">
        <v>1204</v>
      </c>
      <c r="AA43" s="14" t="s">
        <v>179</v>
      </c>
      <c r="AB43" s="14" t="s">
        <v>1205</v>
      </c>
      <c r="AC43" s="14" t="s">
        <v>179</v>
      </c>
      <c r="AD43" s="14" t="s">
        <v>1206</v>
      </c>
      <c r="AE43" s="14" t="s">
        <v>179</v>
      </c>
      <c r="AF43" s="14" t="s">
        <v>1207</v>
      </c>
      <c r="AG43" s="14" t="s">
        <v>179</v>
      </c>
      <c r="AH43" s="14" t="s">
        <v>1208</v>
      </c>
      <c r="AI43" s="14" t="s">
        <v>179</v>
      </c>
      <c r="AJ43" s="14" t="s">
        <v>1209</v>
      </c>
      <c r="AK43" s="14" t="s">
        <v>179</v>
      </c>
      <c r="AL43" s="14" t="s">
        <v>1210</v>
      </c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6" t="s">
        <v>197</v>
      </c>
      <c r="BP43" s="17" t="s">
        <v>198</v>
      </c>
      <c r="BQ43" s="18">
        <v>45686.45664351852</v>
      </c>
      <c r="BR43" s="17" t="s">
        <v>198</v>
      </c>
      <c r="BS43" s="18">
        <v>45686.456967592596</v>
      </c>
      <c r="BT43" s="17" t="s">
        <v>198</v>
      </c>
      <c r="BU43" s="18">
        <v>45686.456967592596</v>
      </c>
      <c r="BV43" s="13" t="s">
        <v>199</v>
      </c>
      <c r="BW43" s="14" t="s">
        <v>179</v>
      </c>
      <c r="BX43" s="14" t="s">
        <v>1211</v>
      </c>
      <c r="BY43" s="14" t="s">
        <v>179</v>
      </c>
      <c r="BZ43" s="14" t="s">
        <v>1211</v>
      </c>
      <c r="CA43" s="14" t="s">
        <v>179</v>
      </c>
      <c r="CB43" s="14" t="s">
        <v>1212</v>
      </c>
      <c r="CC43" s="14" t="s">
        <v>179</v>
      </c>
      <c r="CD43" s="14" t="s">
        <v>1213</v>
      </c>
      <c r="CE43" s="14" t="s">
        <v>179</v>
      </c>
      <c r="CF43" s="14" t="s">
        <v>1214</v>
      </c>
      <c r="CG43" s="14" t="s">
        <v>179</v>
      </c>
      <c r="CH43" s="14" t="s">
        <v>1215</v>
      </c>
      <c r="CI43" s="19"/>
      <c r="CJ43" s="15"/>
      <c r="CK43" s="19"/>
      <c r="CL43" s="15"/>
      <c r="CM43" s="19"/>
      <c r="CN43" s="15"/>
      <c r="CO43" s="19"/>
      <c r="CP43" s="15"/>
      <c r="CQ43" s="15"/>
      <c r="CR43" s="15"/>
      <c r="CS43" s="19"/>
      <c r="CT43" s="15"/>
      <c r="CU43" s="19"/>
      <c r="CV43" s="15"/>
      <c r="CW43" s="19"/>
      <c r="CX43" s="15"/>
      <c r="CY43" s="19"/>
      <c r="CZ43" s="15"/>
      <c r="DA43" s="16" t="s">
        <v>197</v>
      </c>
      <c r="DB43" s="17" t="s">
        <v>198</v>
      </c>
      <c r="DC43" s="20">
        <v>45694.46209490741</v>
      </c>
      <c r="DD43" s="17" t="s">
        <v>198</v>
      </c>
      <c r="DE43" s="18">
        <v>45694.462175925924</v>
      </c>
      <c r="DF43" s="17" t="s">
        <v>198</v>
      </c>
      <c r="DG43" s="18">
        <v>45694.462175925924</v>
      </c>
      <c r="DH43" s="13" t="s">
        <v>205</v>
      </c>
      <c r="DI43" s="14" t="s">
        <v>179</v>
      </c>
      <c r="DJ43" s="14" t="s">
        <v>1216</v>
      </c>
      <c r="DK43" s="14" t="s">
        <v>179</v>
      </c>
      <c r="DL43" s="14" t="s">
        <v>1217</v>
      </c>
      <c r="DM43" s="14" t="s">
        <v>179</v>
      </c>
      <c r="DN43" s="14" t="s">
        <v>1218</v>
      </c>
      <c r="DO43" s="14" t="s">
        <v>179</v>
      </c>
      <c r="DP43" s="14" t="s">
        <v>1219</v>
      </c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6" t="s">
        <v>197</v>
      </c>
      <c r="ED43" s="17" t="s">
        <v>198</v>
      </c>
      <c r="EE43" s="18">
        <v>45708.35130787037</v>
      </c>
      <c r="EF43" s="13" t="s">
        <v>209</v>
      </c>
      <c r="EG43" s="14" t="s">
        <v>179</v>
      </c>
      <c r="EH43" s="14" t="s">
        <v>1220</v>
      </c>
      <c r="EI43" s="14" t="s">
        <v>179</v>
      </c>
      <c r="EJ43" s="14" t="s">
        <v>1221</v>
      </c>
      <c r="EK43" s="14" t="s">
        <v>179</v>
      </c>
      <c r="EL43" s="14" t="s">
        <v>1222</v>
      </c>
      <c r="EM43" s="14" t="s">
        <v>179</v>
      </c>
      <c r="EN43" s="14" t="s">
        <v>1223</v>
      </c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6" t="s">
        <v>197</v>
      </c>
      <c r="FD43" s="17" t="s">
        <v>198</v>
      </c>
      <c r="FE43" s="18">
        <v>45723.320706018516</v>
      </c>
      <c r="FF43" s="19"/>
      <c r="FG43" s="19"/>
      <c r="FH43" s="21" t="s">
        <v>197</v>
      </c>
      <c r="FI43" s="17" t="s">
        <v>214</v>
      </c>
      <c r="FJ43" s="18">
        <v>45723.320706018516</v>
      </c>
      <c r="FK43" s="14" t="s">
        <v>1223</v>
      </c>
      <c r="FL43" s="14" t="s">
        <v>1224</v>
      </c>
      <c r="FM43" s="14" t="s">
        <v>1225</v>
      </c>
      <c r="FN43" s="19"/>
      <c r="FO43" s="19"/>
      <c r="FP43" s="19" t="str">
        <f t="shared" si="1"/>
        <v>Base de Dados_Images/BC2120.Imagem do Equipamento-.141134.jpg</v>
      </c>
      <c r="FQ43" s="19"/>
      <c r="FR43" s="19"/>
    </row>
    <row r="44" ht="15.75" customHeight="1">
      <c r="A44" s="12" t="s">
        <v>174</v>
      </c>
      <c r="B44" s="22" t="s">
        <v>1192</v>
      </c>
      <c r="C44" s="24" t="s">
        <v>512</v>
      </c>
      <c r="D44" s="12" t="s">
        <v>1226</v>
      </c>
      <c r="E44" s="22" t="s">
        <v>1227</v>
      </c>
      <c r="F44" s="13" t="s">
        <v>178</v>
      </c>
      <c r="G44" s="14" t="s">
        <v>179</v>
      </c>
      <c r="H44" s="14" t="s">
        <v>1228</v>
      </c>
      <c r="I44" s="14" t="s">
        <v>179</v>
      </c>
      <c r="J44" s="14" t="s">
        <v>1229</v>
      </c>
      <c r="K44" s="14" t="s">
        <v>179</v>
      </c>
      <c r="L44" s="14" t="s">
        <v>1230</v>
      </c>
      <c r="M44" s="14" t="s">
        <v>179</v>
      </c>
      <c r="N44" s="14" t="s">
        <v>1231</v>
      </c>
      <c r="O44" s="14" t="s">
        <v>179</v>
      </c>
      <c r="P44" s="14" t="s">
        <v>1232</v>
      </c>
      <c r="Q44" s="14" t="s">
        <v>179</v>
      </c>
      <c r="R44" s="14" t="s">
        <v>1233</v>
      </c>
      <c r="S44" s="14" t="s">
        <v>179</v>
      </c>
      <c r="T44" s="14" t="s">
        <v>1234</v>
      </c>
      <c r="U44" s="14" t="s">
        <v>179</v>
      </c>
      <c r="V44" s="14" t="s">
        <v>1235</v>
      </c>
      <c r="W44" s="14" t="s">
        <v>179</v>
      </c>
      <c r="X44" s="14" t="s">
        <v>1236</v>
      </c>
      <c r="Y44" s="14" t="s">
        <v>188</v>
      </c>
      <c r="Z44" s="14" t="s">
        <v>1237</v>
      </c>
      <c r="AA44" s="14" t="s">
        <v>179</v>
      </c>
      <c r="AB44" s="14" t="s">
        <v>1238</v>
      </c>
      <c r="AC44" s="14" t="s">
        <v>179</v>
      </c>
      <c r="AD44" s="14" t="s">
        <v>1239</v>
      </c>
      <c r="AE44" s="14" t="s">
        <v>179</v>
      </c>
      <c r="AF44" s="14" t="s">
        <v>1240</v>
      </c>
      <c r="AG44" s="14" t="s">
        <v>179</v>
      </c>
      <c r="AH44" s="14" t="s">
        <v>1241</v>
      </c>
      <c r="AI44" s="14" t="s">
        <v>179</v>
      </c>
      <c r="AJ44" s="14" t="s">
        <v>1242</v>
      </c>
      <c r="AK44" s="14" t="s">
        <v>179</v>
      </c>
      <c r="AL44" s="14" t="s">
        <v>1243</v>
      </c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6" t="s">
        <v>197</v>
      </c>
      <c r="BP44" s="17" t="s">
        <v>198</v>
      </c>
      <c r="BQ44" s="18">
        <v>45686.45768518518</v>
      </c>
      <c r="BR44" s="17" t="s">
        <v>198</v>
      </c>
      <c r="BS44" s="18">
        <v>45686.457870370374</v>
      </c>
      <c r="BT44" s="17" t="s">
        <v>198</v>
      </c>
      <c r="BU44" s="18">
        <v>45686.457870370374</v>
      </c>
      <c r="BV44" s="13" t="s">
        <v>199</v>
      </c>
      <c r="BW44" s="14" t="s">
        <v>179</v>
      </c>
      <c r="BX44" s="14" t="s">
        <v>1244</v>
      </c>
      <c r="BY44" s="14" t="s">
        <v>179</v>
      </c>
      <c r="BZ44" s="14" t="s">
        <v>1244</v>
      </c>
      <c r="CA44" s="14" t="s">
        <v>179</v>
      </c>
      <c r="CB44" s="14" t="s">
        <v>1245</v>
      </c>
      <c r="CC44" s="14" t="s">
        <v>179</v>
      </c>
      <c r="CD44" s="14" t="s">
        <v>1246</v>
      </c>
      <c r="CE44" s="14" t="s">
        <v>179</v>
      </c>
      <c r="CF44" s="14" t="s">
        <v>1247</v>
      </c>
      <c r="CG44" s="14" t="s">
        <v>179</v>
      </c>
      <c r="CH44" s="14" t="s">
        <v>1248</v>
      </c>
      <c r="CI44" s="19"/>
      <c r="CJ44" s="15"/>
      <c r="CK44" s="19"/>
      <c r="CL44" s="15"/>
      <c r="CM44" s="19"/>
      <c r="CN44" s="15"/>
      <c r="CO44" s="19"/>
      <c r="CP44" s="15"/>
      <c r="CQ44" s="15"/>
      <c r="CR44" s="15"/>
      <c r="CS44" s="19"/>
      <c r="CT44" s="15"/>
      <c r="CU44" s="19"/>
      <c r="CV44" s="15"/>
      <c r="CW44" s="19"/>
      <c r="CX44" s="15"/>
      <c r="CY44" s="19"/>
      <c r="CZ44" s="15"/>
      <c r="DA44" s="16" t="s">
        <v>197</v>
      </c>
      <c r="DB44" s="17" t="s">
        <v>198</v>
      </c>
      <c r="DC44" s="20">
        <v>45694.46836805555</v>
      </c>
      <c r="DD44" s="17" t="s">
        <v>198</v>
      </c>
      <c r="DE44" s="18">
        <v>45694.46842592592</v>
      </c>
      <c r="DF44" s="17" t="s">
        <v>198</v>
      </c>
      <c r="DG44" s="18">
        <v>45694.46842592592</v>
      </c>
      <c r="DH44" s="13" t="s">
        <v>205</v>
      </c>
      <c r="DI44" s="14" t="s">
        <v>179</v>
      </c>
      <c r="DJ44" s="14" t="s">
        <v>1249</v>
      </c>
      <c r="DK44" s="14" t="s">
        <v>179</v>
      </c>
      <c r="DL44" s="14" t="s">
        <v>1250</v>
      </c>
      <c r="DM44" s="14" t="s">
        <v>179</v>
      </c>
      <c r="DN44" s="14" t="s">
        <v>1251</v>
      </c>
      <c r="DO44" s="14" t="s">
        <v>179</v>
      </c>
      <c r="DP44" s="14" t="s">
        <v>1252</v>
      </c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6" t="s">
        <v>197</v>
      </c>
      <c r="ED44" s="17" t="s">
        <v>198</v>
      </c>
      <c r="EE44" s="18">
        <v>45708.351493055554</v>
      </c>
      <c r="EF44" s="13" t="s">
        <v>209</v>
      </c>
      <c r="EG44" s="14" t="s">
        <v>179</v>
      </c>
      <c r="EH44" s="14" t="s">
        <v>1253</v>
      </c>
      <c r="EI44" s="14" t="s">
        <v>179</v>
      </c>
      <c r="EJ44" s="14" t="s">
        <v>1253</v>
      </c>
      <c r="EK44" s="14" t="s">
        <v>179</v>
      </c>
      <c r="EL44" s="14" t="s">
        <v>1254</v>
      </c>
      <c r="EM44" s="14" t="s">
        <v>179</v>
      </c>
      <c r="EN44" s="14" t="s">
        <v>1255</v>
      </c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6" t="s">
        <v>197</v>
      </c>
      <c r="FD44" s="17" t="s">
        <v>198</v>
      </c>
      <c r="FE44" s="18">
        <v>45723.32083333333</v>
      </c>
      <c r="FF44" s="19"/>
      <c r="FG44" s="19"/>
      <c r="FH44" s="21" t="s">
        <v>197</v>
      </c>
      <c r="FI44" s="17" t="s">
        <v>214</v>
      </c>
      <c r="FJ44" s="18">
        <v>45723.32083333333</v>
      </c>
      <c r="FK44" s="14" t="s">
        <v>1255</v>
      </c>
      <c r="FL44" s="14" t="s">
        <v>1256</v>
      </c>
      <c r="FM44" s="14" t="s">
        <v>1257</v>
      </c>
      <c r="FN44" s="19"/>
      <c r="FO44" s="19"/>
      <c r="FP44" s="19" t="str">
        <f t="shared" si="1"/>
        <v>Base de Dados_Images/BC2121.Imagem do Equipamento-.141235.jpg</v>
      </c>
      <c r="FQ44" s="19"/>
      <c r="FR44" s="19"/>
    </row>
    <row r="45" ht="15.75" customHeight="1">
      <c r="A45" s="12" t="s">
        <v>174</v>
      </c>
      <c r="B45" s="22" t="s">
        <v>1258</v>
      </c>
      <c r="C45" s="24" t="s">
        <v>512</v>
      </c>
      <c r="D45" s="12" t="s">
        <v>1259</v>
      </c>
      <c r="E45" s="22" t="s">
        <v>1260</v>
      </c>
      <c r="F45" s="13" t="s">
        <v>178</v>
      </c>
      <c r="G45" s="14" t="s">
        <v>179</v>
      </c>
      <c r="H45" s="14" t="s">
        <v>1261</v>
      </c>
      <c r="I45" s="14" t="s">
        <v>179</v>
      </c>
      <c r="J45" s="14" t="s">
        <v>1262</v>
      </c>
      <c r="K45" s="14" t="s">
        <v>179</v>
      </c>
      <c r="L45" s="14" t="s">
        <v>1263</v>
      </c>
      <c r="M45" s="14" t="s">
        <v>179</v>
      </c>
      <c r="N45" s="14" t="s">
        <v>1264</v>
      </c>
      <c r="O45" s="14" t="s">
        <v>179</v>
      </c>
      <c r="P45" s="14" t="s">
        <v>1265</v>
      </c>
      <c r="Q45" s="14" t="s">
        <v>179</v>
      </c>
      <c r="R45" s="14" t="s">
        <v>1266</v>
      </c>
      <c r="S45" s="14" t="s">
        <v>179</v>
      </c>
      <c r="T45" s="14" t="s">
        <v>1267</v>
      </c>
      <c r="U45" s="14" t="s">
        <v>179</v>
      </c>
      <c r="V45" s="14" t="s">
        <v>1268</v>
      </c>
      <c r="W45" s="14" t="s">
        <v>179</v>
      </c>
      <c r="X45" s="14" t="s">
        <v>1269</v>
      </c>
      <c r="Y45" s="14" t="s">
        <v>188</v>
      </c>
      <c r="Z45" s="14" t="s">
        <v>1270</v>
      </c>
      <c r="AA45" s="14" t="s">
        <v>179</v>
      </c>
      <c r="AB45" s="14" t="s">
        <v>1271</v>
      </c>
      <c r="AC45" s="14" t="s">
        <v>179</v>
      </c>
      <c r="AD45" s="14" t="s">
        <v>1272</v>
      </c>
      <c r="AE45" s="14" t="s">
        <v>179</v>
      </c>
      <c r="AF45" s="14" t="s">
        <v>1273</v>
      </c>
      <c r="AG45" s="14" t="s">
        <v>179</v>
      </c>
      <c r="AH45" s="14" t="s">
        <v>1274</v>
      </c>
      <c r="AI45" s="14" t="s">
        <v>179</v>
      </c>
      <c r="AJ45" s="14" t="s">
        <v>1275</v>
      </c>
      <c r="AK45" s="14" t="s">
        <v>179</v>
      </c>
      <c r="AL45" s="14" t="s">
        <v>1276</v>
      </c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6" t="s">
        <v>197</v>
      </c>
      <c r="BP45" s="17" t="s">
        <v>198</v>
      </c>
      <c r="BQ45" s="18">
        <v>45686.46383101852</v>
      </c>
      <c r="BR45" s="17" t="s">
        <v>198</v>
      </c>
      <c r="BS45" s="18">
        <v>45686.463842592595</v>
      </c>
      <c r="BT45" s="17" t="s">
        <v>198</v>
      </c>
      <c r="BU45" s="18">
        <v>45686.463842592595</v>
      </c>
      <c r="BV45" s="13" t="s">
        <v>199</v>
      </c>
      <c r="BW45" s="14" t="s">
        <v>179</v>
      </c>
      <c r="BX45" s="14" t="s">
        <v>1277</v>
      </c>
      <c r="BY45" s="14" t="s">
        <v>179</v>
      </c>
      <c r="BZ45" s="14" t="s">
        <v>1278</v>
      </c>
      <c r="CA45" s="14" t="s">
        <v>179</v>
      </c>
      <c r="CB45" s="14" t="s">
        <v>1279</v>
      </c>
      <c r="CC45" s="14" t="s">
        <v>179</v>
      </c>
      <c r="CD45" s="14" t="s">
        <v>1280</v>
      </c>
      <c r="CE45" s="14" t="s">
        <v>179</v>
      </c>
      <c r="CF45" s="14" t="s">
        <v>1281</v>
      </c>
      <c r="CG45" s="14" t="s">
        <v>179</v>
      </c>
      <c r="CH45" s="14" t="s">
        <v>1282</v>
      </c>
      <c r="CI45" s="19"/>
      <c r="CJ45" s="15"/>
      <c r="CK45" s="19"/>
      <c r="CL45" s="15"/>
      <c r="CM45" s="19"/>
      <c r="CN45" s="15"/>
      <c r="CO45" s="19"/>
      <c r="CP45" s="15"/>
      <c r="CQ45" s="15"/>
      <c r="CR45" s="15"/>
      <c r="CS45" s="19"/>
      <c r="CT45" s="15"/>
      <c r="CU45" s="19"/>
      <c r="CV45" s="15"/>
      <c r="CW45" s="19"/>
      <c r="CX45" s="15"/>
      <c r="CY45" s="19"/>
      <c r="CZ45" s="15"/>
      <c r="DA45" s="16" t="s">
        <v>197</v>
      </c>
      <c r="DB45" s="17" t="s">
        <v>198</v>
      </c>
      <c r="DC45" s="20">
        <v>45708.34390046296</v>
      </c>
      <c r="DD45" s="17" t="s">
        <v>198</v>
      </c>
      <c r="DE45" s="18">
        <v>45708.34394675926</v>
      </c>
      <c r="DF45" s="17" t="s">
        <v>198</v>
      </c>
      <c r="DG45" s="18">
        <v>45708.34394675926</v>
      </c>
      <c r="DH45" s="13" t="s">
        <v>205</v>
      </c>
      <c r="DI45" s="14" t="s">
        <v>179</v>
      </c>
      <c r="DJ45" s="14" t="s">
        <v>1283</v>
      </c>
      <c r="DK45" s="14" t="s">
        <v>179</v>
      </c>
      <c r="DL45" s="14" t="s">
        <v>1284</v>
      </c>
      <c r="DM45" s="14" t="s">
        <v>179</v>
      </c>
      <c r="DN45" s="14" t="s">
        <v>1285</v>
      </c>
      <c r="DO45" s="14" t="s">
        <v>179</v>
      </c>
      <c r="DP45" s="14" t="s">
        <v>1285</v>
      </c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6" t="s">
        <v>197</v>
      </c>
      <c r="ED45" s="17" t="s">
        <v>198</v>
      </c>
      <c r="EE45" s="18">
        <v>45708.3440162037</v>
      </c>
      <c r="EF45" s="13" t="s">
        <v>209</v>
      </c>
      <c r="EG45" s="14" t="s">
        <v>179</v>
      </c>
      <c r="EH45" s="14" t="s">
        <v>1286</v>
      </c>
      <c r="EI45" s="14" t="s">
        <v>179</v>
      </c>
      <c r="EJ45" s="14" t="s">
        <v>1287</v>
      </c>
      <c r="EK45" s="14" t="s">
        <v>179</v>
      </c>
      <c r="EL45" s="14" t="s">
        <v>1288</v>
      </c>
      <c r="EM45" s="14" t="s">
        <v>179</v>
      </c>
      <c r="EN45" s="14" t="s">
        <v>1288</v>
      </c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6" t="s">
        <v>197</v>
      </c>
      <c r="FD45" s="17" t="s">
        <v>198</v>
      </c>
      <c r="FE45" s="18">
        <v>45723.32197916666</v>
      </c>
      <c r="FF45" s="19"/>
      <c r="FG45" s="19"/>
      <c r="FH45" s="21" t="s">
        <v>197</v>
      </c>
      <c r="FI45" s="17" t="s">
        <v>214</v>
      </c>
      <c r="FJ45" s="18">
        <v>45723.32197916666</v>
      </c>
      <c r="FK45" s="14" t="s">
        <v>1288</v>
      </c>
      <c r="FL45" s="14" t="s">
        <v>1289</v>
      </c>
      <c r="FM45" s="14" t="s">
        <v>1290</v>
      </c>
      <c r="FN45" s="19"/>
      <c r="FO45" s="19"/>
      <c r="FP45" s="19" t="str">
        <f t="shared" si="1"/>
        <v>Base de Dados_Images/BC2122.Imagem do Equipamento-.141658.jpg</v>
      </c>
      <c r="FQ45" s="19"/>
      <c r="FR45" s="19"/>
    </row>
    <row r="46" ht="15.75" customHeight="1">
      <c r="A46" s="12" t="s">
        <v>174</v>
      </c>
      <c r="B46" s="22" t="s">
        <v>1258</v>
      </c>
      <c r="C46" s="24" t="s">
        <v>512</v>
      </c>
      <c r="D46" s="12" t="s">
        <v>1291</v>
      </c>
      <c r="E46" s="22" t="s">
        <v>1292</v>
      </c>
      <c r="F46" s="13" t="s">
        <v>178</v>
      </c>
      <c r="G46" s="14" t="s">
        <v>179</v>
      </c>
      <c r="H46" s="14" t="s">
        <v>1293</v>
      </c>
      <c r="I46" s="14" t="s">
        <v>179</v>
      </c>
      <c r="J46" s="14" t="s">
        <v>1294</v>
      </c>
      <c r="K46" s="14" t="s">
        <v>179</v>
      </c>
      <c r="L46" s="14" t="s">
        <v>1295</v>
      </c>
      <c r="M46" s="14" t="s">
        <v>179</v>
      </c>
      <c r="N46" s="14" t="s">
        <v>1296</v>
      </c>
      <c r="O46" s="14" t="s">
        <v>179</v>
      </c>
      <c r="P46" s="14" t="s">
        <v>1297</v>
      </c>
      <c r="Q46" s="14" t="s">
        <v>179</v>
      </c>
      <c r="R46" s="14" t="s">
        <v>1298</v>
      </c>
      <c r="S46" s="14" t="s">
        <v>179</v>
      </c>
      <c r="T46" s="14" t="s">
        <v>1299</v>
      </c>
      <c r="U46" s="14" t="s">
        <v>179</v>
      </c>
      <c r="V46" s="14" t="s">
        <v>1300</v>
      </c>
      <c r="W46" s="14" t="s">
        <v>179</v>
      </c>
      <c r="X46" s="14" t="s">
        <v>1301</v>
      </c>
      <c r="Y46" s="14" t="s">
        <v>179</v>
      </c>
      <c r="Z46" s="14" t="s">
        <v>1302</v>
      </c>
      <c r="AA46" s="14" t="s">
        <v>179</v>
      </c>
      <c r="AB46" s="14" t="s">
        <v>1303</v>
      </c>
      <c r="AC46" s="14" t="s">
        <v>179</v>
      </c>
      <c r="AD46" s="14" t="s">
        <v>1304</v>
      </c>
      <c r="AE46" s="14" t="s">
        <v>179</v>
      </c>
      <c r="AF46" s="14" t="s">
        <v>1305</v>
      </c>
      <c r="AG46" s="14" t="s">
        <v>179</v>
      </c>
      <c r="AH46" s="14" t="s">
        <v>1306</v>
      </c>
      <c r="AI46" s="14" t="s">
        <v>179</v>
      </c>
      <c r="AJ46" s="14" t="s">
        <v>1307</v>
      </c>
      <c r="AK46" s="14" t="s">
        <v>179</v>
      </c>
      <c r="AL46" s="14" t="s">
        <v>1308</v>
      </c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6" t="s">
        <v>197</v>
      </c>
      <c r="BP46" s="17" t="s">
        <v>198</v>
      </c>
      <c r="BQ46" s="18">
        <v>45705.670335648145</v>
      </c>
      <c r="BR46" s="17" t="s">
        <v>198</v>
      </c>
      <c r="BS46" s="18">
        <v>45705.67042824074</v>
      </c>
      <c r="BT46" s="17" t="s">
        <v>198</v>
      </c>
      <c r="BU46" s="18">
        <v>45705.67042824074</v>
      </c>
      <c r="BV46" s="13" t="s">
        <v>199</v>
      </c>
      <c r="BW46" s="14" t="s">
        <v>179</v>
      </c>
      <c r="BX46" s="14" t="s">
        <v>1309</v>
      </c>
      <c r="BY46" s="14" t="s">
        <v>179</v>
      </c>
      <c r="BZ46" s="14" t="s">
        <v>1310</v>
      </c>
      <c r="CA46" s="14" t="s">
        <v>179</v>
      </c>
      <c r="CB46" s="14" t="s">
        <v>1311</v>
      </c>
      <c r="CC46" s="14" t="s">
        <v>179</v>
      </c>
      <c r="CD46" s="14" t="s">
        <v>1312</v>
      </c>
      <c r="CE46" s="14" t="s">
        <v>179</v>
      </c>
      <c r="CF46" s="14" t="s">
        <v>1313</v>
      </c>
      <c r="CG46" s="14" t="s">
        <v>179</v>
      </c>
      <c r="CH46" s="14" t="s">
        <v>1314</v>
      </c>
      <c r="CI46" s="19"/>
      <c r="CJ46" s="15"/>
      <c r="CK46" s="19"/>
      <c r="CL46" s="15"/>
      <c r="CM46" s="19"/>
      <c r="CN46" s="15"/>
      <c r="CO46" s="19"/>
      <c r="CP46" s="15"/>
      <c r="CQ46" s="15"/>
      <c r="CR46" s="15"/>
      <c r="CS46" s="19"/>
      <c r="CT46" s="15"/>
      <c r="CU46" s="19"/>
      <c r="CV46" s="15"/>
      <c r="CW46" s="19"/>
      <c r="CX46" s="15"/>
      <c r="CY46" s="19"/>
      <c r="CZ46" s="15"/>
      <c r="DA46" s="16" t="s">
        <v>197</v>
      </c>
      <c r="DB46" s="17" t="s">
        <v>198</v>
      </c>
      <c r="DC46" s="20">
        <v>45708.343460648146</v>
      </c>
      <c r="DD46" s="17" t="s">
        <v>198</v>
      </c>
      <c r="DE46" s="18">
        <v>45708.343506944446</v>
      </c>
      <c r="DF46" s="17" t="s">
        <v>198</v>
      </c>
      <c r="DG46" s="18">
        <v>45708.343506944446</v>
      </c>
      <c r="DH46" s="13" t="s">
        <v>205</v>
      </c>
      <c r="DI46" s="14" t="s">
        <v>179</v>
      </c>
      <c r="DJ46" s="14" t="s">
        <v>1315</v>
      </c>
      <c r="DK46" s="14" t="s">
        <v>179</v>
      </c>
      <c r="DL46" s="14" t="s">
        <v>1316</v>
      </c>
      <c r="DM46" s="14" t="s">
        <v>179</v>
      </c>
      <c r="DN46" s="14" t="s">
        <v>1317</v>
      </c>
      <c r="DO46" s="14" t="s">
        <v>179</v>
      </c>
      <c r="DP46" s="14" t="s">
        <v>1318</v>
      </c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6" t="s">
        <v>197</v>
      </c>
      <c r="ED46" s="17" t="s">
        <v>198</v>
      </c>
      <c r="EE46" s="18">
        <v>45708.34359953704</v>
      </c>
      <c r="EF46" s="13" t="s">
        <v>209</v>
      </c>
      <c r="EG46" s="14" t="s">
        <v>179</v>
      </c>
      <c r="EH46" s="14" t="s">
        <v>1319</v>
      </c>
      <c r="EI46" s="14" t="s">
        <v>179</v>
      </c>
      <c r="EJ46" s="14" t="s">
        <v>1319</v>
      </c>
      <c r="EK46" s="14" t="s">
        <v>179</v>
      </c>
      <c r="EL46" s="14" t="s">
        <v>1320</v>
      </c>
      <c r="EM46" s="14" t="s">
        <v>179</v>
      </c>
      <c r="EN46" s="14" t="s">
        <v>1320</v>
      </c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6" t="s">
        <v>197</v>
      </c>
      <c r="FD46" s="17" t="s">
        <v>198</v>
      </c>
      <c r="FE46" s="18">
        <v>45723.322071759256</v>
      </c>
      <c r="FF46" s="19"/>
      <c r="FG46" s="19"/>
      <c r="FH46" s="21" t="s">
        <v>197</v>
      </c>
      <c r="FI46" s="17" t="s">
        <v>214</v>
      </c>
      <c r="FJ46" s="18">
        <v>45723.322071759256</v>
      </c>
      <c r="FK46" s="14" t="s">
        <v>1320</v>
      </c>
      <c r="FL46" s="14" t="s">
        <v>1321</v>
      </c>
      <c r="FM46" s="14" t="s">
        <v>1322</v>
      </c>
      <c r="FN46" s="14" t="s">
        <v>1323</v>
      </c>
      <c r="FO46" s="14" t="s">
        <v>1324</v>
      </c>
      <c r="FP46" s="19" t="str">
        <f t="shared" si="1"/>
        <v>Base de Dados_Images/BC2123.Imagem do Equipamento-.193817.jpg</v>
      </c>
      <c r="FQ46" s="14"/>
      <c r="FR46" s="14"/>
    </row>
    <row r="47" ht="15.75" customHeight="1">
      <c r="A47" s="12" t="s">
        <v>174</v>
      </c>
      <c r="B47" s="22" t="s">
        <v>1325</v>
      </c>
      <c r="C47" s="24" t="s">
        <v>512</v>
      </c>
      <c r="D47" s="12" t="s">
        <v>1326</v>
      </c>
      <c r="E47" s="22" t="s">
        <v>1327</v>
      </c>
      <c r="F47" s="13" t="s">
        <v>178</v>
      </c>
      <c r="G47" s="14" t="s">
        <v>179</v>
      </c>
      <c r="H47" s="14" t="s">
        <v>1328</v>
      </c>
      <c r="I47" s="14" t="s">
        <v>179</v>
      </c>
      <c r="J47" s="14" t="s">
        <v>1329</v>
      </c>
      <c r="K47" s="14" t="s">
        <v>179</v>
      </c>
      <c r="L47" s="14" t="s">
        <v>1330</v>
      </c>
      <c r="M47" s="14" t="s">
        <v>179</v>
      </c>
      <c r="N47" s="14" t="s">
        <v>1331</v>
      </c>
      <c r="O47" s="14" t="s">
        <v>179</v>
      </c>
      <c r="P47" s="14" t="s">
        <v>1332</v>
      </c>
      <c r="Q47" s="14" t="s">
        <v>179</v>
      </c>
      <c r="R47" s="14" t="s">
        <v>1333</v>
      </c>
      <c r="S47" s="14" t="s">
        <v>179</v>
      </c>
      <c r="T47" s="14" t="s">
        <v>1334</v>
      </c>
      <c r="U47" s="14" t="s">
        <v>179</v>
      </c>
      <c r="V47" s="14" t="s">
        <v>1335</v>
      </c>
      <c r="W47" s="14" t="s">
        <v>179</v>
      </c>
      <c r="X47" s="14" t="s">
        <v>1336</v>
      </c>
      <c r="Y47" s="14" t="s">
        <v>188</v>
      </c>
      <c r="Z47" s="14" t="s">
        <v>1337</v>
      </c>
      <c r="AA47" s="14" t="s">
        <v>179</v>
      </c>
      <c r="AB47" s="14" t="s">
        <v>1338</v>
      </c>
      <c r="AC47" s="14" t="s">
        <v>179</v>
      </c>
      <c r="AD47" s="14" t="s">
        <v>1339</v>
      </c>
      <c r="AE47" s="14" t="s">
        <v>179</v>
      </c>
      <c r="AF47" s="14" t="s">
        <v>1340</v>
      </c>
      <c r="AG47" s="14" t="s">
        <v>179</v>
      </c>
      <c r="AH47" s="14" t="s">
        <v>1341</v>
      </c>
      <c r="AI47" s="14" t="s">
        <v>179</v>
      </c>
      <c r="AJ47" s="14" t="s">
        <v>1342</v>
      </c>
      <c r="AK47" s="14" t="s">
        <v>179</v>
      </c>
      <c r="AL47" s="14" t="s">
        <v>1343</v>
      </c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6" t="s">
        <v>197</v>
      </c>
      <c r="BP47" s="17" t="s">
        <v>198</v>
      </c>
      <c r="BQ47" s="18">
        <v>45686.49643518519</v>
      </c>
      <c r="BR47" s="17" t="s">
        <v>198</v>
      </c>
      <c r="BS47" s="18">
        <v>45686.49644675926</v>
      </c>
      <c r="BT47" s="17" t="s">
        <v>198</v>
      </c>
      <c r="BU47" s="18">
        <v>45686.49644675926</v>
      </c>
      <c r="BV47" s="13" t="s">
        <v>199</v>
      </c>
      <c r="BW47" s="14" t="s">
        <v>179</v>
      </c>
      <c r="BX47" s="14" t="s">
        <v>1344</v>
      </c>
      <c r="BY47" s="14" t="s">
        <v>179</v>
      </c>
      <c r="BZ47" s="14" t="s">
        <v>1345</v>
      </c>
      <c r="CA47" s="14" t="s">
        <v>179</v>
      </c>
      <c r="CB47" s="14" t="s">
        <v>1346</v>
      </c>
      <c r="CC47" s="14" t="s">
        <v>179</v>
      </c>
      <c r="CD47" s="14" t="s">
        <v>1347</v>
      </c>
      <c r="CE47" s="14" t="s">
        <v>179</v>
      </c>
      <c r="CF47" s="14" t="s">
        <v>1348</v>
      </c>
      <c r="CG47" s="14" t="s">
        <v>179</v>
      </c>
      <c r="CH47" s="14" t="s">
        <v>1349</v>
      </c>
      <c r="CI47" s="19"/>
      <c r="CJ47" s="15"/>
      <c r="CK47" s="19"/>
      <c r="CL47" s="15"/>
      <c r="CM47" s="19"/>
      <c r="CN47" s="15"/>
      <c r="CO47" s="19"/>
      <c r="CP47" s="15"/>
      <c r="CQ47" s="15"/>
      <c r="CR47" s="15"/>
      <c r="CS47" s="19"/>
      <c r="CT47" s="15"/>
      <c r="CU47" s="19"/>
      <c r="CV47" s="15"/>
      <c r="CW47" s="19"/>
      <c r="CX47" s="15"/>
      <c r="CY47" s="19"/>
      <c r="CZ47" s="15"/>
      <c r="DA47" s="16" t="s">
        <v>197</v>
      </c>
      <c r="DB47" s="17" t="s">
        <v>198</v>
      </c>
      <c r="DC47" s="20">
        <v>45708.33899305556</v>
      </c>
      <c r="DD47" s="17" t="s">
        <v>198</v>
      </c>
      <c r="DE47" s="18">
        <v>45708.33903935185</v>
      </c>
      <c r="DF47" s="17" t="s">
        <v>198</v>
      </c>
      <c r="DG47" s="18">
        <v>45708.33903935185</v>
      </c>
      <c r="DH47" s="13" t="s">
        <v>205</v>
      </c>
      <c r="DI47" s="14" t="s">
        <v>179</v>
      </c>
      <c r="DJ47" s="14" t="s">
        <v>1350</v>
      </c>
      <c r="DK47" s="14" t="s">
        <v>179</v>
      </c>
      <c r="DL47" s="14" t="s">
        <v>1351</v>
      </c>
      <c r="DM47" s="14" t="s">
        <v>179</v>
      </c>
      <c r="DN47" s="14" t="s">
        <v>1352</v>
      </c>
      <c r="DO47" s="14" t="s">
        <v>179</v>
      </c>
      <c r="DP47" s="14" t="s">
        <v>1353</v>
      </c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6" t="s">
        <v>197</v>
      </c>
      <c r="ED47" s="17" t="s">
        <v>198</v>
      </c>
      <c r="EE47" s="18">
        <v>45708.339155092595</v>
      </c>
      <c r="EF47" s="13" t="s">
        <v>209</v>
      </c>
      <c r="EG47" s="14" t="s">
        <v>179</v>
      </c>
      <c r="EH47" s="14" t="s">
        <v>1354</v>
      </c>
      <c r="EI47" s="14" t="s">
        <v>179</v>
      </c>
      <c r="EJ47" s="14" t="s">
        <v>1354</v>
      </c>
      <c r="EK47" s="14" t="s">
        <v>179</v>
      </c>
      <c r="EL47" s="14" t="s">
        <v>1355</v>
      </c>
      <c r="EM47" s="14" t="s">
        <v>179</v>
      </c>
      <c r="EN47" s="14" t="s">
        <v>1356</v>
      </c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6" t="s">
        <v>197</v>
      </c>
      <c r="FD47" s="17" t="s">
        <v>198</v>
      </c>
      <c r="FE47" s="18">
        <v>45723.32236111111</v>
      </c>
      <c r="FF47" s="19"/>
      <c r="FG47" s="19"/>
      <c r="FH47" s="21" t="s">
        <v>197</v>
      </c>
      <c r="FI47" s="17" t="s">
        <v>214</v>
      </c>
      <c r="FJ47" s="18">
        <v>45723.32236111111</v>
      </c>
      <c r="FK47" s="14" t="s">
        <v>1356</v>
      </c>
      <c r="FL47" s="14" t="s">
        <v>1357</v>
      </c>
      <c r="FM47" s="14" t="s">
        <v>1358</v>
      </c>
      <c r="FN47" s="19"/>
      <c r="FO47" s="19"/>
      <c r="FP47" s="19" t="str">
        <f t="shared" si="1"/>
        <v>Base de Dados_Images/BC2124.Imagem do Equipamento-.151905.jpg</v>
      </c>
      <c r="FQ47" s="14"/>
      <c r="FR47" s="14"/>
    </row>
    <row r="48" ht="15.75" customHeight="1">
      <c r="A48" s="12" t="s">
        <v>174</v>
      </c>
      <c r="B48" s="12" t="s">
        <v>1359</v>
      </c>
      <c r="C48" s="24" t="s">
        <v>512</v>
      </c>
      <c r="D48" s="12" t="s">
        <v>1360</v>
      </c>
      <c r="E48" s="12" t="s">
        <v>1361</v>
      </c>
      <c r="F48" s="13" t="s">
        <v>178</v>
      </c>
      <c r="G48" s="14" t="s">
        <v>179</v>
      </c>
      <c r="H48" s="14" t="s">
        <v>1362</v>
      </c>
      <c r="I48" s="14" t="s">
        <v>179</v>
      </c>
      <c r="J48" s="14" t="s">
        <v>1363</v>
      </c>
      <c r="K48" s="14" t="s">
        <v>179</v>
      </c>
      <c r="L48" s="14" t="s">
        <v>1364</v>
      </c>
      <c r="M48" s="14" t="s">
        <v>179</v>
      </c>
      <c r="N48" s="14" t="s">
        <v>1365</v>
      </c>
      <c r="O48" s="14" t="s">
        <v>179</v>
      </c>
      <c r="P48" s="14" t="s">
        <v>1366</v>
      </c>
      <c r="Q48" s="14" t="s">
        <v>179</v>
      </c>
      <c r="R48" s="14" t="s">
        <v>1367</v>
      </c>
      <c r="S48" s="14" t="s">
        <v>179</v>
      </c>
      <c r="T48" s="14" t="s">
        <v>1368</v>
      </c>
      <c r="U48" s="14" t="s">
        <v>179</v>
      </c>
      <c r="V48" s="14" t="s">
        <v>1369</v>
      </c>
      <c r="W48" s="14" t="s">
        <v>179</v>
      </c>
      <c r="X48" s="14" t="s">
        <v>1370</v>
      </c>
      <c r="Y48" s="14" t="s">
        <v>179</v>
      </c>
      <c r="Z48" s="14" t="s">
        <v>1371</v>
      </c>
      <c r="AA48" s="14" t="s">
        <v>179</v>
      </c>
      <c r="AB48" s="14" t="s">
        <v>1372</v>
      </c>
      <c r="AC48" s="14" t="s">
        <v>179</v>
      </c>
      <c r="AD48" s="14" t="s">
        <v>1373</v>
      </c>
      <c r="AE48" s="14" t="s">
        <v>179</v>
      </c>
      <c r="AF48" s="14" t="s">
        <v>1374</v>
      </c>
      <c r="AG48" s="14" t="s">
        <v>179</v>
      </c>
      <c r="AH48" s="14" t="s">
        <v>1375</v>
      </c>
      <c r="AI48" s="14" t="s">
        <v>179</v>
      </c>
      <c r="AJ48" s="14" t="s">
        <v>1376</v>
      </c>
      <c r="AK48" s="14" t="s">
        <v>179</v>
      </c>
      <c r="AL48" s="14" t="s">
        <v>1377</v>
      </c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6" t="s">
        <v>197</v>
      </c>
      <c r="BP48" s="17" t="s">
        <v>198</v>
      </c>
      <c r="BQ48" s="18">
        <v>45692.61376157407</v>
      </c>
      <c r="BR48" s="17" t="s">
        <v>198</v>
      </c>
      <c r="BS48" s="18">
        <v>45692.61415509259</v>
      </c>
      <c r="BT48" s="17" t="s">
        <v>198</v>
      </c>
      <c r="BU48" s="18">
        <v>45692.61415509259</v>
      </c>
      <c r="BV48" s="13" t="s">
        <v>199</v>
      </c>
      <c r="BW48" s="14" t="s">
        <v>179</v>
      </c>
      <c r="BX48" s="14" t="s">
        <v>1378</v>
      </c>
      <c r="BY48" s="14" t="s">
        <v>179</v>
      </c>
      <c r="BZ48" s="14" t="s">
        <v>1379</v>
      </c>
      <c r="CA48" s="14" t="s">
        <v>179</v>
      </c>
      <c r="CB48" s="14" t="s">
        <v>1379</v>
      </c>
      <c r="CC48" s="14" t="s">
        <v>179</v>
      </c>
      <c r="CD48" s="14" t="s">
        <v>1380</v>
      </c>
      <c r="CE48" s="14" t="s">
        <v>179</v>
      </c>
      <c r="CF48" s="14" t="s">
        <v>1381</v>
      </c>
      <c r="CG48" s="14" t="s">
        <v>179</v>
      </c>
      <c r="CH48" s="14" t="s">
        <v>1382</v>
      </c>
      <c r="CI48" s="19"/>
      <c r="CJ48" s="15"/>
      <c r="CK48" s="19"/>
      <c r="CL48" s="15"/>
      <c r="CM48" s="19"/>
      <c r="CN48" s="15"/>
      <c r="CO48" s="19"/>
      <c r="CP48" s="15"/>
      <c r="CQ48" s="15"/>
      <c r="CR48" s="15"/>
      <c r="CS48" s="19"/>
      <c r="CT48" s="15"/>
      <c r="CU48" s="19"/>
      <c r="CV48" s="15"/>
      <c r="CW48" s="19"/>
      <c r="CX48" s="15"/>
      <c r="CY48" s="19"/>
      <c r="CZ48" s="15"/>
      <c r="DA48" s="16" t="s">
        <v>197</v>
      </c>
      <c r="DB48" s="17" t="s">
        <v>198</v>
      </c>
      <c r="DC48" s="20">
        <v>45694.40341435185</v>
      </c>
      <c r="DD48" s="17" t="s">
        <v>198</v>
      </c>
      <c r="DE48" s="18">
        <v>45694.40346064815</v>
      </c>
      <c r="DF48" s="17" t="s">
        <v>198</v>
      </c>
      <c r="DG48" s="18">
        <v>45694.40346064815</v>
      </c>
      <c r="DH48" s="13" t="s">
        <v>205</v>
      </c>
      <c r="DI48" s="14" t="s">
        <v>179</v>
      </c>
      <c r="DJ48" s="14" t="s">
        <v>1383</v>
      </c>
      <c r="DK48" s="14" t="s">
        <v>179</v>
      </c>
      <c r="DL48" s="14" t="s">
        <v>1384</v>
      </c>
      <c r="DM48" s="14" t="s">
        <v>179</v>
      </c>
      <c r="DN48" s="14" t="s">
        <v>1384</v>
      </c>
      <c r="DO48" s="14" t="s">
        <v>179</v>
      </c>
      <c r="DP48" s="14" t="s">
        <v>1385</v>
      </c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6" t="s">
        <v>197</v>
      </c>
      <c r="ED48" s="17" t="s">
        <v>198</v>
      </c>
      <c r="EE48" s="18">
        <v>45708.44366898148</v>
      </c>
      <c r="EF48" s="13" t="s">
        <v>209</v>
      </c>
      <c r="EG48" s="14" t="s">
        <v>179</v>
      </c>
      <c r="EH48" s="14" t="s">
        <v>1386</v>
      </c>
      <c r="EI48" s="14" t="s">
        <v>179</v>
      </c>
      <c r="EJ48" s="14" t="s">
        <v>1387</v>
      </c>
      <c r="EK48" s="14" t="s">
        <v>179</v>
      </c>
      <c r="EL48" s="14" t="s">
        <v>1387</v>
      </c>
      <c r="EM48" s="14" t="s">
        <v>179</v>
      </c>
      <c r="EN48" s="14" t="s">
        <v>1388</v>
      </c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6" t="s">
        <v>197</v>
      </c>
      <c r="FD48" s="17" t="s">
        <v>198</v>
      </c>
      <c r="FE48" s="18">
        <v>45723.26427083334</v>
      </c>
      <c r="FF48" s="19"/>
      <c r="FG48" s="19"/>
      <c r="FH48" s="21" t="s">
        <v>197</v>
      </c>
      <c r="FI48" s="17" t="s">
        <v>214</v>
      </c>
      <c r="FJ48" s="18">
        <v>45723.26427083334</v>
      </c>
      <c r="FK48" s="14" t="s">
        <v>1388</v>
      </c>
      <c r="FL48" s="14" t="s">
        <v>1389</v>
      </c>
      <c r="FM48" s="14" t="s">
        <v>1390</v>
      </c>
      <c r="FN48" s="14" t="s">
        <v>1391</v>
      </c>
      <c r="FO48" s="14" t="s">
        <v>1392</v>
      </c>
      <c r="FP48" s="19" t="str">
        <f t="shared" si="1"/>
        <v>Base de Dados_Images/BC2125.Imagem do Equipamento-.130046.jpg</v>
      </c>
      <c r="FQ48" s="14"/>
      <c r="FR48" s="14"/>
    </row>
    <row r="49" ht="15.75" customHeight="1">
      <c r="A49" s="12" t="s">
        <v>292</v>
      </c>
      <c r="B49" s="12" t="s">
        <v>1393</v>
      </c>
      <c r="C49" s="24" t="s">
        <v>512</v>
      </c>
      <c r="D49" s="22" t="s">
        <v>1394</v>
      </c>
      <c r="E49" s="22" t="s">
        <v>1395</v>
      </c>
      <c r="F49" s="13" t="s">
        <v>178</v>
      </c>
      <c r="G49" s="14" t="s">
        <v>179</v>
      </c>
      <c r="H49" s="14" t="s">
        <v>1396</v>
      </c>
      <c r="I49" s="14" t="s">
        <v>179</v>
      </c>
      <c r="J49" s="14" t="s">
        <v>1397</v>
      </c>
      <c r="K49" s="14" t="s">
        <v>179</v>
      </c>
      <c r="L49" s="14" t="s">
        <v>1398</v>
      </c>
      <c r="M49" s="14" t="s">
        <v>179</v>
      </c>
      <c r="N49" s="14" t="s">
        <v>1399</v>
      </c>
      <c r="O49" s="14" t="s">
        <v>179</v>
      </c>
      <c r="P49" s="14" t="s">
        <v>1399</v>
      </c>
      <c r="Q49" s="14" t="s">
        <v>179</v>
      </c>
      <c r="R49" s="14" t="s">
        <v>1400</v>
      </c>
      <c r="S49" s="14" t="s">
        <v>179</v>
      </c>
      <c r="T49" s="14" t="s">
        <v>1401</v>
      </c>
      <c r="U49" s="14" t="s">
        <v>179</v>
      </c>
      <c r="V49" s="14" t="s">
        <v>1402</v>
      </c>
      <c r="W49" s="14" t="s">
        <v>179</v>
      </c>
      <c r="X49" s="14" t="s">
        <v>1402</v>
      </c>
      <c r="Y49" s="14" t="s">
        <v>179</v>
      </c>
      <c r="Z49" s="14" t="s">
        <v>1403</v>
      </c>
      <c r="AA49" s="14" t="s">
        <v>179</v>
      </c>
      <c r="AB49" s="14" t="s">
        <v>1404</v>
      </c>
      <c r="AC49" s="14" t="s">
        <v>179</v>
      </c>
      <c r="AD49" s="14" t="s">
        <v>1405</v>
      </c>
      <c r="AE49" s="14" t="s">
        <v>179</v>
      </c>
      <c r="AF49" s="14" t="s">
        <v>1405</v>
      </c>
      <c r="AG49" s="14" t="s">
        <v>179</v>
      </c>
      <c r="AH49" s="14" t="s">
        <v>1406</v>
      </c>
      <c r="AI49" s="14" t="s">
        <v>179</v>
      </c>
      <c r="AJ49" s="14" t="s">
        <v>1407</v>
      </c>
      <c r="AK49" s="14" t="s">
        <v>179</v>
      </c>
      <c r="AL49" s="14" t="s">
        <v>1407</v>
      </c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6" t="s">
        <v>197</v>
      </c>
      <c r="BP49" s="17" t="s">
        <v>198</v>
      </c>
      <c r="BQ49" s="18">
        <v>45691.48207175926</v>
      </c>
      <c r="BR49" s="17" t="s">
        <v>198</v>
      </c>
      <c r="BS49" s="18">
        <v>45691.48216435185</v>
      </c>
      <c r="BT49" s="17" t="s">
        <v>198</v>
      </c>
      <c r="BU49" s="18">
        <v>45691.48216435185</v>
      </c>
      <c r="BV49" s="13" t="s">
        <v>199</v>
      </c>
      <c r="BW49" s="14" t="s">
        <v>179</v>
      </c>
      <c r="BX49" s="14" t="s">
        <v>1408</v>
      </c>
      <c r="BY49" s="14" t="s">
        <v>179</v>
      </c>
      <c r="BZ49" s="14" t="s">
        <v>1409</v>
      </c>
      <c r="CA49" s="14" t="s">
        <v>179</v>
      </c>
      <c r="CB49" s="14" t="s">
        <v>1410</v>
      </c>
      <c r="CC49" s="14" t="s">
        <v>179</v>
      </c>
      <c r="CD49" s="14" t="s">
        <v>1411</v>
      </c>
      <c r="CE49" s="14" t="s">
        <v>179</v>
      </c>
      <c r="CF49" s="14" t="s">
        <v>1411</v>
      </c>
      <c r="CG49" s="14" t="s">
        <v>179</v>
      </c>
      <c r="CH49" s="14" t="s">
        <v>1412</v>
      </c>
      <c r="CI49" s="19"/>
      <c r="CJ49" s="15"/>
      <c r="CK49" s="19"/>
      <c r="CL49" s="15"/>
      <c r="CM49" s="19"/>
      <c r="CN49" s="15"/>
      <c r="CO49" s="19"/>
      <c r="CP49" s="15"/>
      <c r="CQ49" s="15"/>
      <c r="CR49" s="15"/>
      <c r="CS49" s="19"/>
      <c r="CT49" s="15"/>
      <c r="CU49" s="19"/>
      <c r="CV49" s="15"/>
      <c r="CW49" s="19"/>
      <c r="CX49" s="15"/>
      <c r="CY49" s="19"/>
      <c r="CZ49" s="15"/>
      <c r="DA49" s="16" t="s">
        <v>197</v>
      </c>
      <c r="DB49" s="17" t="s">
        <v>198</v>
      </c>
      <c r="DC49" s="20">
        <v>45719.4434837963</v>
      </c>
      <c r="DD49" s="17" t="s">
        <v>198</v>
      </c>
      <c r="DE49" s="18">
        <v>45719.443506944444</v>
      </c>
      <c r="DF49" s="17" t="s">
        <v>198</v>
      </c>
      <c r="DG49" s="18">
        <v>45719.443506944444</v>
      </c>
      <c r="DH49" s="13" t="s">
        <v>205</v>
      </c>
      <c r="DI49" s="14" t="s">
        <v>179</v>
      </c>
      <c r="DJ49" s="14" t="s">
        <v>1413</v>
      </c>
      <c r="DK49" s="14" t="s">
        <v>179</v>
      </c>
      <c r="DL49" s="14" t="s">
        <v>1413</v>
      </c>
      <c r="DM49" s="14" t="s">
        <v>179</v>
      </c>
      <c r="DN49" s="14" t="s">
        <v>1414</v>
      </c>
      <c r="DO49" s="14" t="s">
        <v>179</v>
      </c>
      <c r="DP49" s="14" t="s">
        <v>1415</v>
      </c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6" t="s">
        <v>197</v>
      </c>
      <c r="ED49" s="17" t="s">
        <v>198</v>
      </c>
      <c r="EE49" s="18">
        <v>45719.44357638889</v>
      </c>
      <c r="EF49" s="13" t="s">
        <v>209</v>
      </c>
      <c r="EG49" s="14" t="s">
        <v>179</v>
      </c>
      <c r="EH49" s="14" t="s">
        <v>1416</v>
      </c>
      <c r="EI49" s="14" t="s">
        <v>179</v>
      </c>
      <c r="EJ49" s="14" t="s">
        <v>1416</v>
      </c>
      <c r="EK49" s="14" t="s">
        <v>179</v>
      </c>
      <c r="EL49" s="14" t="s">
        <v>1417</v>
      </c>
      <c r="EM49" s="14" t="s">
        <v>179</v>
      </c>
      <c r="EN49" s="14" t="s">
        <v>1417</v>
      </c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6" t="s">
        <v>197</v>
      </c>
      <c r="FD49" s="17" t="s">
        <v>198</v>
      </c>
      <c r="FE49" s="18">
        <v>45722.36282407407</v>
      </c>
      <c r="FF49" s="19"/>
      <c r="FG49" s="19"/>
      <c r="FH49" s="21" t="s">
        <v>197</v>
      </c>
      <c r="FI49" s="17" t="s">
        <v>214</v>
      </c>
      <c r="FJ49" s="18">
        <v>45722.36282407407</v>
      </c>
      <c r="FK49" s="14" t="s">
        <v>1417</v>
      </c>
      <c r="FL49" s="14" t="s">
        <v>1418</v>
      </c>
      <c r="FM49" s="14" t="s">
        <v>1419</v>
      </c>
      <c r="FN49" s="19"/>
      <c r="FO49" s="19"/>
      <c r="FP49" s="19" t="str">
        <f t="shared" si="1"/>
        <v>Base de Dados_Images/BC3003.Imagem do Equipamento-.144151.jpg</v>
      </c>
      <c r="FQ49" s="19"/>
      <c r="FR49" s="19"/>
    </row>
    <row r="50" ht="15.75" customHeight="1">
      <c r="A50" s="12" t="s">
        <v>292</v>
      </c>
      <c r="B50" s="12" t="s">
        <v>1420</v>
      </c>
      <c r="C50" s="24" t="s">
        <v>512</v>
      </c>
      <c r="D50" s="22" t="s">
        <v>1421</v>
      </c>
      <c r="E50" s="22" t="s">
        <v>1422</v>
      </c>
      <c r="F50" s="13" t="s">
        <v>178</v>
      </c>
      <c r="G50" s="14" t="s">
        <v>179</v>
      </c>
      <c r="H50" s="14" t="s">
        <v>1423</v>
      </c>
      <c r="I50" s="14" t="s">
        <v>179</v>
      </c>
      <c r="J50" s="14" t="s">
        <v>1424</v>
      </c>
      <c r="K50" s="14" t="s">
        <v>179</v>
      </c>
      <c r="L50" s="14" t="s">
        <v>1425</v>
      </c>
      <c r="M50" s="14" t="s">
        <v>179</v>
      </c>
      <c r="N50" s="14" t="s">
        <v>1426</v>
      </c>
      <c r="O50" s="14" t="s">
        <v>179</v>
      </c>
      <c r="P50" s="14" t="s">
        <v>1427</v>
      </c>
      <c r="Q50" s="14" t="s">
        <v>179</v>
      </c>
      <c r="R50" s="14" t="s">
        <v>1428</v>
      </c>
      <c r="S50" s="14" t="s">
        <v>179</v>
      </c>
      <c r="T50" s="14" t="s">
        <v>1429</v>
      </c>
      <c r="U50" s="14" t="s">
        <v>179</v>
      </c>
      <c r="V50" s="14" t="s">
        <v>1430</v>
      </c>
      <c r="W50" s="14" t="s">
        <v>179</v>
      </c>
      <c r="X50" s="14" t="s">
        <v>1431</v>
      </c>
      <c r="Y50" s="14" t="s">
        <v>179</v>
      </c>
      <c r="Z50" s="14" t="s">
        <v>1432</v>
      </c>
      <c r="AA50" s="14" t="s">
        <v>179</v>
      </c>
      <c r="AB50" s="14" t="s">
        <v>1433</v>
      </c>
      <c r="AC50" s="14" t="s">
        <v>179</v>
      </c>
      <c r="AD50" s="14" t="s">
        <v>1433</v>
      </c>
      <c r="AE50" s="14" t="s">
        <v>179</v>
      </c>
      <c r="AF50" s="14" t="s">
        <v>1434</v>
      </c>
      <c r="AG50" s="14" t="s">
        <v>179</v>
      </c>
      <c r="AH50" s="14" t="s">
        <v>1435</v>
      </c>
      <c r="AI50" s="14" t="s">
        <v>179</v>
      </c>
      <c r="AJ50" s="14" t="s">
        <v>1436</v>
      </c>
      <c r="AK50" s="14" t="s">
        <v>179</v>
      </c>
      <c r="AL50" s="14" t="s">
        <v>1437</v>
      </c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6" t="s">
        <v>197</v>
      </c>
      <c r="BP50" s="17" t="s">
        <v>198</v>
      </c>
      <c r="BQ50" s="18">
        <v>45691.48390046296</v>
      </c>
      <c r="BR50" s="17" t="s">
        <v>198</v>
      </c>
      <c r="BS50" s="18">
        <v>45691.48399305555</v>
      </c>
      <c r="BT50" s="17" t="s">
        <v>198</v>
      </c>
      <c r="BU50" s="18">
        <v>45691.48399305555</v>
      </c>
      <c r="BV50" s="13" t="s">
        <v>199</v>
      </c>
      <c r="BW50" s="14" t="s">
        <v>179</v>
      </c>
      <c r="BX50" s="14" t="s">
        <v>1438</v>
      </c>
      <c r="BY50" s="14" t="s">
        <v>179</v>
      </c>
      <c r="BZ50" s="14" t="s">
        <v>1439</v>
      </c>
      <c r="CA50" s="14" t="s">
        <v>179</v>
      </c>
      <c r="CB50" s="14" t="s">
        <v>1440</v>
      </c>
      <c r="CC50" s="14" t="s">
        <v>188</v>
      </c>
      <c r="CD50" s="14" t="s">
        <v>1441</v>
      </c>
      <c r="CE50" s="14" t="s">
        <v>179</v>
      </c>
      <c r="CF50" s="14" t="s">
        <v>1442</v>
      </c>
      <c r="CG50" s="14" t="s">
        <v>188</v>
      </c>
      <c r="CH50" s="14" t="s">
        <v>1443</v>
      </c>
      <c r="CI50" s="19"/>
      <c r="CJ50" s="15"/>
      <c r="CK50" s="19"/>
      <c r="CL50" s="15"/>
      <c r="CM50" s="19"/>
      <c r="CN50" s="15"/>
      <c r="CO50" s="19"/>
      <c r="CP50" s="15"/>
      <c r="CQ50" s="15"/>
      <c r="CR50" s="15"/>
      <c r="CS50" s="19"/>
      <c r="CT50" s="15"/>
      <c r="CU50" s="19"/>
      <c r="CV50" s="15"/>
      <c r="CW50" s="19"/>
      <c r="CX50" s="15"/>
      <c r="CY50" s="19"/>
      <c r="CZ50" s="15"/>
      <c r="DA50" s="16" t="s">
        <v>197</v>
      </c>
      <c r="DB50" s="17" t="s">
        <v>198</v>
      </c>
      <c r="DC50" s="20">
        <v>45696.34137731481</v>
      </c>
      <c r="DD50" s="17" t="s">
        <v>198</v>
      </c>
      <c r="DE50" s="18">
        <v>45696.341458333336</v>
      </c>
      <c r="DF50" s="17" t="s">
        <v>198</v>
      </c>
      <c r="DG50" s="18">
        <v>45696.341458333336</v>
      </c>
      <c r="DH50" s="13" t="s">
        <v>205</v>
      </c>
      <c r="DI50" s="14" t="s">
        <v>179</v>
      </c>
      <c r="DJ50" s="14" t="s">
        <v>1444</v>
      </c>
      <c r="DK50" s="14" t="s">
        <v>179</v>
      </c>
      <c r="DL50" s="14" t="s">
        <v>1445</v>
      </c>
      <c r="DM50" s="14" t="s">
        <v>179</v>
      </c>
      <c r="DN50" s="14" t="s">
        <v>1445</v>
      </c>
      <c r="DO50" s="14" t="s">
        <v>179</v>
      </c>
      <c r="DP50" s="14" t="s">
        <v>1446</v>
      </c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6" t="s">
        <v>197</v>
      </c>
      <c r="ED50" s="17" t="s">
        <v>198</v>
      </c>
      <c r="EE50" s="18">
        <v>45719.47164351852</v>
      </c>
      <c r="EF50" s="13" t="s">
        <v>209</v>
      </c>
      <c r="EG50" s="14" t="s">
        <v>179</v>
      </c>
      <c r="EH50" s="14" t="s">
        <v>1447</v>
      </c>
      <c r="EI50" s="14" t="s">
        <v>179</v>
      </c>
      <c r="EJ50" s="14" t="s">
        <v>1448</v>
      </c>
      <c r="EK50" s="14" t="s">
        <v>179</v>
      </c>
      <c r="EL50" s="14" t="s">
        <v>1449</v>
      </c>
      <c r="EM50" s="14" t="s">
        <v>179</v>
      </c>
      <c r="EN50" s="14" t="s">
        <v>1449</v>
      </c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6" t="s">
        <v>197</v>
      </c>
      <c r="FD50" s="17" t="s">
        <v>198</v>
      </c>
      <c r="FE50" s="18">
        <v>45723.30787037037</v>
      </c>
      <c r="FF50" s="19"/>
      <c r="FG50" s="19"/>
      <c r="FH50" s="21" t="s">
        <v>197</v>
      </c>
      <c r="FI50" s="17" t="s">
        <v>214</v>
      </c>
      <c r="FJ50" s="18">
        <v>45723.30787037037</v>
      </c>
      <c r="FK50" s="14" t="s">
        <v>1449</v>
      </c>
      <c r="FL50" s="14" t="s">
        <v>1450</v>
      </c>
      <c r="FM50" s="14" t="s">
        <v>1451</v>
      </c>
      <c r="FN50" s="19"/>
      <c r="FO50" s="19"/>
      <c r="FP50" s="19" t="str">
        <f t="shared" si="1"/>
        <v>Base de Dados_Images/BC3004.Imagem do Equipamento-.144244.jpg</v>
      </c>
      <c r="FQ50" s="19"/>
      <c r="FR50" s="19"/>
    </row>
    <row r="51" ht="15.75" customHeight="1">
      <c r="A51" s="12" t="s">
        <v>292</v>
      </c>
      <c r="B51" s="12" t="s">
        <v>1452</v>
      </c>
      <c r="C51" s="24" t="s">
        <v>512</v>
      </c>
      <c r="D51" s="22" t="s">
        <v>1453</v>
      </c>
      <c r="E51" s="22" t="s">
        <v>1454</v>
      </c>
      <c r="F51" s="13" t="s">
        <v>178</v>
      </c>
      <c r="G51" s="14" t="s">
        <v>179</v>
      </c>
      <c r="H51" s="14" t="s">
        <v>1455</v>
      </c>
      <c r="I51" s="14" t="s">
        <v>179</v>
      </c>
      <c r="J51" s="14" t="s">
        <v>1456</v>
      </c>
      <c r="K51" s="14" t="s">
        <v>179</v>
      </c>
      <c r="L51" s="14" t="s">
        <v>1457</v>
      </c>
      <c r="M51" s="14" t="s">
        <v>179</v>
      </c>
      <c r="N51" s="14" t="s">
        <v>1458</v>
      </c>
      <c r="O51" s="14" t="s">
        <v>179</v>
      </c>
      <c r="P51" s="14" t="s">
        <v>1459</v>
      </c>
      <c r="Q51" s="14" t="s">
        <v>179</v>
      </c>
      <c r="R51" s="14" t="s">
        <v>1460</v>
      </c>
      <c r="S51" s="14" t="s">
        <v>179</v>
      </c>
      <c r="T51" s="14" t="s">
        <v>1461</v>
      </c>
      <c r="U51" s="14" t="s">
        <v>179</v>
      </c>
      <c r="V51" s="14" t="s">
        <v>1462</v>
      </c>
      <c r="W51" s="14" t="s">
        <v>179</v>
      </c>
      <c r="X51" s="14" t="s">
        <v>1463</v>
      </c>
      <c r="Y51" s="14" t="s">
        <v>179</v>
      </c>
      <c r="Z51" s="14" t="s">
        <v>1464</v>
      </c>
      <c r="AA51" s="14" t="s">
        <v>179</v>
      </c>
      <c r="AB51" s="14" t="s">
        <v>1465</v>
      </c>
      <c r="AC51" s="14" t="s">
        <v>179</v>
      </c>
      <c r="AD51" s="14" t="s">
        <v>1466</v>
      </c>
      <c r="AE51" s="14" t="s">
        <v>179</v>
      </c>
      <c r="AF51" s="14" t="s">
        <v>1467</v>
      </c>
      <c r="AG51" s="14" t="s">
        <v>179</v>
      </c>
      <c r="AH51" s="14" t="s">
        <v>1468</v>
      </c>
      <c r="AI51" s="14" t="s">
        <v>179</v>
      </c>
      <c r="AJ51" s="14" t="s">
        <v>1469</v>
      </c>
      <c r="AK51" s="14" t="s">
        <v>179</v>
      </c>
      <c r="AL51" s="14" t="s">
        <v>1470</v>
      </c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6" t="s">
        <v>197</v>
      </c>
      <c r="BP51" s="17" t="s">
        <v>198</v>
      </c>
      <c r="BQ51" s="18">
        <v>45685.568449074075</v>
      </c>
      <c r="BR51" s="17" t="s">
        <v>198</v>
      </c>
      <c r="BS51" s="18">
        <v>45685.56858796296</v>
      </c>
      <c r="BT51" s="17" t="s">
        <v>198</v>
      </c>
      <c r="BU51" s="18">
        <v>45685.56858796296</v>
      </c>
      <c r="BV51" s="13" t="s">
        <v>199</v>
      </c>
      <c r="BW51" s="14" t="s">
        <v>179</v>
      </c>
      <c r="BX51" s="14" t="s">
        <v>1471</v>
      </c>
      <c r="BY51" s="14" t="s">
        <v>179</v>
      </c>
      <c r="BZ51" s="14" t="s">
        <v>1472</v>
      </c>
      <c r="CA51" s="14" t="s">
        <v>179</v>
      </c>
      <c r="CB51" s="14" t="s">
        <v>1473</v>
      </c>
      <c r="CC51" s="14" t="s">
        <v>179</v>
      </c>
      <c r="CD51" s="14" t="s">
        <v>1473</v>
      </c>
      <c r="CE51" s="14" t="s">
        <v>179</v>
      </c>
      <c r="CF51" s="14" t="s">
        <v>1474</v>
      </c>
      <c r="CG51" s="14" t="s">
        <v>179</v>
      </c>
      <c r="CH51" s="14" t="s">
        <v>1475</v>
      </c>
      <c r="CI51" s="19"/>
      <c r="CJ51" s="15"/>
      <c r="CK51" s="19"/>
      <c r="CL51" s="15"/>
      <c r="CM51" s="19"/>
      <c r="CN51" s="15"/>
      <c r="CO51" s="19"/>
      <c r="CP51" s="15"/>
      <c r="CQ51" s="15"/>
      <c r="CR51" s="15"/>
      <c r="CS51" s="19"/>
      <c r="CT51" s="15"/>
      <c r="CU51" s="19"/>
      <c r="CV51" s="15"/>
      <c r="CW51" s="19"/>
      <c r="CX51" s="15"/>
      <c r="CY51" s="19"/>
      <c r="CZ51" s="15"/>
      <c r="DA51" s="16" t="s">
        <v>197</v>
      </c>
      <c r="DB51" s="17" t="s">
        <v>198</v>
      </c>
      <c r="DC51" s="20">
        <v>45723.29587962963</v>
      </c>
      <c r="DD51" s="17" t="s">
        <v>198</v>
      </c>
      <c r="DE51" s="18">
        <v>45723.29591435185</v>
      </c>
      <c r="DF51" s="17" t="s">
        <v>198</v>
      </c>
      <c r="DG51" s="18">
        <v>45723.29591435185</v>
      </c>
      <c r="DH51" s="13" t="s">
        <v>205</v>
      </c>
      <c r="DI51" s="14" t="s">
        <v>179</v>
      </c>
      <c r="DJ51" s="14" t="s">
        <v>1476</v>
      </c>
      <c r="DK51" s="14" t="s">
        <v>179</v>
      </c>
      <c r="DL51" s="14" t="s">
        <v>1477</v>
      </c>
      <c r="DM51" s="14" t="s">
        <v>179</v>
      </c>
      <c r="DN51" s="14" t="s">
        <v>1478</v>
      </c>
      <c r="DO51" s="14" t="s">
        <v>179</v>
      </c>
      <c r="DP51" s="14" t="s">
        <v>1479</v>
      </c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6" t="s">
        <v>197</v>
      </c>
      <c r="ED51" s="17" t="s">
        <v>198</v>
      </c>
      <c r="EE51" s="18">
        <v>45723.29603009259</v>
      </c>
      <c r="EF51" s="13" t="s">
        <v>209</v>
      </c>
      <c r="EG51" s="14" t="s">
        <v>179</v>
      </c>
      <c r="EH51" s="14" t="s">
        <v>1480</v>
      </c>
      <c r="EI51" s="14" t="s">
        <v>179</v>
      </c>
      <c r="EJ51" s="14" t="s">
        <v>1480</v>
      </c>
      <c r="EK51" s="14" t="s">
        <v>179</v>
      </c>
      <c r="EL51" s="14" t="s">
        <v>1481</v>
      </c>
      <c r="EM51" s="14" t="s">
        <v>179</v>
      </c>
      <c r="EN51" s="14" t="s">
        <v>1481</v>
      </c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6" t="s">
        <v>197</v>
      </c>
      <c r="FD51" s="17" t="s">
        <v>198</v>
      </c>
      <c r="FE51" s="18">
        <v>45723.29609953704</v>
      </c>
      <c r="FF51" s="19"/>
      <c r="FG51" s="19"/>
      <c r="FH51" s="21" t="s">
        <v>197</v>
      </c>
      <c r="FI51" s="17" t="s">
        <v>214</v>
      </c>
      <c r="FJ51" s="18">
        <v>45723.29609953704</v>
      </c>
      <c r="FK51" s="14" t="s">
        <v>1481</v>
      </c>
      <c r="FL51" s="14" t="s">
        <v>1482</v>
      </c>
      <c r="FM51" s="14" t="s">
        <v>1483</v>
      </c>
      <c r="FN51" s="14" t="s">
        <v>1484</v>
      </c>
      <c r="FO51" s="14" t="s">
        <v>1485</v>
      </c>
      <c r="FP51" s="19" t="str">
        <f t="shared" si="1"/>
        <v>Base de Dados_Images/BC3005.Imagem do Equipamento-.180209.jpg</v>
      </c>
      <c r="FQ51" s="19"/>
      <c r="FR51" s="19"/>
    </row>
    <row r="52" ht="15.75" customHeight="1">
      <c r="A52" s="12" t="s">
        <v>292</v>
      </c>
      <c r="B52" s="12" t="s">
        <v>1452</v>
      </c>
      <c r="C52" s="24" t="s">
        <v>512</v>
      </c>
      <c r="D52" s="22" t="s">
        <v>1486</v>
      </c>
      <c r="E52" s="22" t="s">
        <v>1487</v>
      </c>
      <c r="F52" s="13" t="s">
        <v>178</v>
      </c>
      <c r="G52" s="14" t="s">
        <v>179</v>
      </c>
      <c r="H52" s="14" t="s">
        <v>1488</v>
      </c>
      <c r="I52" s="14" t="s">
        <v>179</v>
      </c>
      <c r="J52" s="14" t="s">
        <v>1489</v>
      </c>
      <c r="K52" s="14" t="s">
        <v>179</v>
      </c>
      <c r="L52" s="14" t="s">
        <v>1490</v>
      </c>
      <c r="M52" s="14" t="s">
        <v>179</v>
      </c>
      <c r="N52" s="14" t="s">
        <v>1491</v>
      </c>
      <c r="O52" s="14" t="s">
        <v>179</v>
      </c>
      <c r="P52" s="14" t="s">
        <v>1492</v>
      </c>
      <c r="Q52" s="14" t="s">
        <v>179</v>
      </c>
      <c r="R52" s="14" t="s">
        <v>1493</v>
      </c>
      <c r="S52" s="14" t="s">
        <v>179</v>
      </c>
      <c r="T52" s="14" t="s">
        <v>1494</v>
      </c>
      <c r="U52" s="14" t="s">
        <v>179</v>
      </c>
      <c r="V52" s="14" t="s">
        <v>1495</v>
      </c>
      <c r="W52" s="14" t="s">
        <v>179</v>
      </c>
      <c r="X52" s="14" t="s">
        <v>1496</v>
      </c>
      <c r="Y52" s="14" t="s">
        <v>179</v>
      </c>
      <c r="Z52" s="14" t="s">
        <v>1497</v>
      </c>
      <c r="AA52" s="14" t="s">
        <v>179</v>
      </c>
      <c r="AB52" s="14" t="s">
        <v>1498</v>
      </c>
      <c r="AC52" s="14" t="s">
        <v>179</v>
      </c>
      <c r="AD52" s="14" t="s">
        <v>1499</v>
      </c>
      <c r="AE52" s="14" t="s">
        <v>179</v>
      </c>
      <c r="AF52" s="14" t="s">
        <v>1500</v>
      </c>
      <c r="AG52" s="14" t="s">
        <v>179</v>
      </c>
      <c r="AH52" s="14" t="s">
        <v>1501</v>
      </c>
      <c r="AI52" s="14" t="s">
        <v>179</v>
      </c>
      <c r="AJ52" s="14" t="s">
        <v>1502</v>
      </c>
      <c r="AK52" s="14" t="s">
        <v>179</v>
      </c>
      <c r="AL52" s="14" t="s">
        <v>1503</v>
      </c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6" t="s">
        <v>197</v>
      </c>
      <c r="BP52" s="17" t="s">
        <v>198</v>
      </c>
      <c r="BQ52" s="18">
        <v>45685.56989583333</v>
      </c>
      <c r="BR52" s="17" t="s">
        <v>198</v>
      </c>
      <c r="BS52" s="18">
        <v>45685.57005787037</v>
      </c>
      <c r="BT52" s="17" t="s">
        <v>198</v>
      </c>
      <c r="BU52" s="18">
        <v>45685.57005787037</v>
      </c>
      <c r="BV52" s="13" t="s">
        <v>199</v>
      </c>
      <c r="BW52" s="14" t="s">
        <v>179</v>
      </c>
      <c r="BX52" s="14" t="s">
        <v>1504</v>
      </c>
      <c r="BY52" s="14" t="s">
        <v>179</v>
      </c>
      <c r="BZ52" s="14" t="s">
        <v>1505</v>
      </c>
      <c r="CA52" s="14" t="s">
        <v>179</v>
      </c>
      <c r="CB52" s="14" t="s">
        <v>1506</v>
      </c>
      <c r="CC52" s="14" t="s">
        <v>179</v>
      </c>
      <c r="CD52" s="14" t="s">
        <v>1506</v>
      </c>
      <c r="CE52" s="14" t="s">
        <v>179</v>
      </c>
      <c r="CF52" s="14" t="s">
        <v>1507</v>
      </c>
      <c r="CG52" s="14" t="s">
        <v>179</v>
      </c>
      <c r="CH52" s="14" t="s">
        <v>1508</v>
      </c>
      <c r="CI52" s="19"/>
      <c r="CJ52" s="15"/>
      <c r="CK52" s="19"/>
      <c r="CL52" s="15"/>
      <c r="CM52" s="19"/>
      <c r="CN52" s="15"/>
      <c r="CO52" s="19"/>
      <c r="CP52" s="15"/>
      <c r="CQ52" s="15"/>
      <c r="CR52" s="15"/>
      <c r="CS52" s="19"/>
      <c r="CT52" s="15"/>
      <c r="CU52" s="19"/>
      <c r="CV52" s="15"/>
      <c r="CW52" s="19"/>
      <c r="CX52" s="15"/>
      <c r="CY52" s="19"/>
      <c r="CZ52" s="15"/>
      <c r="DA52" s="16" t="s">
        <v>197</v>
      </c>
      <c r="DB52" s="17" t="s">
        <v>198</v>
      </c>
      <c r="DC52" s="20">
        <v>45723.296215277776</v>
      </c>
      <c r="DD52" s="17" t="s">
        <v>198</v>
      </c>
      <c r="DE52" s="18">
        <v>45723.29623842592</v>
      </c>
      <c r="DF52" s="17" t="s">
        <v>198</v>
      </c>
      <c r="DG52" s="18">
        <v>45723.29623842592</v>
      </c>
      <c r="DH52" s="13" t="s">
        <v>205</v>
      </c>
      <c r="DI52" s="14" t="s">
        <v>179</v>
      </c>
      <c r="DJ52" s="14" t="s">
        <v>1509</v>
      </c>
      <c r="DK52" s="14" t="s">
        <v>179</v>
      </c>
      <c r="DL52" s="14" t="s">
        <v>1510</v>
      </c>
      <c r="DM52" s="14" t="s">
        <v>179</v>
      </c>
      <c r="DN52" s="14" t="s">
        <v>1510</v>
      </c>
      <c r="DO52" s="14" t="s">
        <v>179</v>
      </c>
      <c r="DP52" s="14" t="s">
        <v>1511</v>
      </c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6" t="s">
        <v>197</v>
      </c>
      <c r="ED52" s="17" t="s">
        <v>198</v>
      </c>
      <c r="EE52" s="18">
        <v>45723.29630787037</v>
      </c>
      <c r="EF52" s="13" t="s">
        <v>209</v>
      </c>
      <c r="EG52" s="14" t="s">
        <v>179</v>
      </c>
      <c r="EH52" s="14" t="s">
        <v>1512</v>
      </c>
      <c r="EI52" s="14" t="s">
        <v>179</v>
      </c>
      <c r="EJ52" s="14" t="s">
        <v>1513</v>
      </c>
      <c r="EK52" s="14" t="s">
        <v>179</v>
      </c>
      <c r="EL52" s="14" t="s">
        <v>1514</v>
      </c>
      <c r="EM52" s="14" t="s">
        <v>179</v>
      </c>
      <c r="EN52" s="14" t="s">
        <v>1515</v>
      </c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6" t="s">
        <v>197</v>
      </c>
      <c r="FD52" s="17" t="s">
        <v>198</v>
      </c>
      <c r="FE52" s="18">
        <v>45723.29641203704</v>
      </c>
      <c r="FF52" s="19"/>
      <c r="FG52" s="19"/>
      <c r="FH52" s="21" t="s">
        <v>197</v>
      </c>
      <c r="FI52" s="17" t="s">
        <v>214</v>
      </c>
      <c r="FJ52" s="18">
        <v>45723.29641203704</v>
      </c>
      <c r="FK52" s="14" t="s">
        <v>1515</v>
      </c>
      <c r="FL52" s="19"/>
      <c r="FM52" s="19"/>
      <c r="FN52" s="19"/>
      <c r="FO52" s="19"/>
      <c r="FP52" s="19" t="str">
        <f t="shared" si="1"/>
        <v/>
      </c>
      <c r="FQ52" s="14" t="s">
        <v>215</v>
      </c>
      <c r="FR52" s="14" t="s">
        <v>1516</v>
      </c>
    </row>
    <row r="53" ht="15.75" customHeight="1">
      <c r="A53" s="12" t="s">
        <v>292</v>
      </c>
      <c r="B53" s="12" t="s">
        <v>1517</v>
      </c>
      <c r="C53" s="24" t="s">
        <v>512</v>
      </c>
      <c r="D53" s="22" t="s">
        <v>1518</v>
      </c>
      <c r="E53" s="22" t="s">
        <v>1519</v>
      </c>
      <c r="F53" s="13" t="s">
        <v>178</v>
      </c>
      <c r="G53" s="14" t="s">
        <v>179</v>
      </c>
      <c r="H53" s="14" t="s">
        <v>1520</v>
      </c>
      <c r="I53" s="14" t="s">
        <v>179</v>
      </c>
      <c r="J53" s="14" t="s">
        <v>1521</v>
      </c>
      <c r="K53" s="14" t="s">
        <v>179</v>
      </c>
      <c r="L53" s="14" t="s">
        <v>1522</v>
      </c>
      <c r="M53" s="14" t="s">
        <v>179</v>
      </c>
      <c r="N53" s="14" t="s">
        <v>1523</v>
      </c>
      <c r="O53" s="14" t="s">
        <v>179</v>
      </c>
      <c r="P53" s="14" t="s">
        <v>1524</v>
      </c>
      <c r="Q53" s="14" t="s">
        <v>179</v>
      </c>
      <c r="R53" s="14" t="s">
        <v>1525</v>
      </c>
      <c r="S53" s="14" t="s">
        <v>179</v>
      </c>
      <c r="T53" s="14" t="s">
        <v>1526</v>
      </c>
      <c r="U53" s="14" t="s">
        <v>179</v>
      </c>
      <c r="V53" s="14" t="s">
        <v>1527</v>
      </c>
      <c r="W53" s="14" t="s">
        <v>179</v>
      </c>
      <c r="X53" s="14" t="s">
        <v>1528</v>
      </c>
      <c r="Y53" s="14" t="s">
        <v>179</v>
      </c>
      <c r="Z53" s="14" t="s">
        <v>1529</v>
      </c>
      <c r="AA53" s="14" t="s">
        <v>179</v>
      </c>
      <c r="AB53" s="14" t="s">
        <v>1530</v>
      </c>
      <c r="AC53" s="14" t="s">
        <v>179</v>
      </c>
      <c r="AD53" s="14" t="s">
        <v>1531</v>
      </c>
      <c r="AE53" s="14" t="s">
        <v>179</v>
      </c>
      <c r="AF53" s="14" t="s">
        <v>1532</v>
      </c>
      <c r="AG53" s="14" t="s">
        <v>179</v>
      </c>
      <c r="AH53" s="14" t="s">
        <v>1533</v>
      </c>
      <c r="AI53" s="14" t="s">
        <v>179</v>
      </c>
      <c r="AJ53" s="14" t="s">
        <v>1534</v>
      </c>
      <c r="AK53" s="14" t="s">
        <v>179</v>
      </c>
      <c r="AL53" s="14" t="s">
        <v>1535</v>
      </c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6" t="s">
        <v>197</v>
      </c>
      <c r="BP53" s="17" t="s">
        <v>198</v>
      </c>
      <c r="BQ53" s="18">
        <v>45685.404027777775</v>
      </c>
      <c r="BR53" s="17" t="s">
        <v>198</v>
      </c>
      <c r="BS53" s="18">
        <v>45685.40421296296</v>
      </c>
      <c r="BT53" s="17" t="s">
        <v>198</v>
      </c>
      <c r="BU53" s="18">
        <v>45685.40421296296</v>
      </c>
      <c r="BV53" s="13" t="s">
        <v>199</v>
      </c>
      <c r="BW53" s="14" t="s">
        <v>179</v>
      </c>
      <c r="BX53" s="14" t="s">
        <v>1536</v>
      </c>
      <c r="BY53" s="14" t="s">
        <v>179</v>
      </c>
      <c r="BZ53" s="14" t="s">
        <v>1536</v>
      </c>
      <c r="CA53" s="14" t="s">
        <v>179</v>
      </c>
      <c r="CB53" s="14" t="s">
        <v>1537</v>
      </c>
      <c r="CC53" s="14" t="s">
        <v>179</v>
      </c>
      <c r="CD53" s="14" t="s">
        <v>1538</v>
      </c>
      <c r="CE53" s="14" t="s">
        <v>179</v>
      </c>
      <c r="CF53" s="14" t="s">
        <v>1538</v>
      </c>
      <c r="CG53" s="14" t="s">
        <v>188</v>
      </c>
      <c r="CH53" s="14" t="s">
        <v>1539</v>
      </c>
      <c r="CI53" s="19"/>
      <c r="CJ53" s="15"/>
      <c r="CK53" s="19"/>
      <c r="CL53" s="15"/>
      <c r="CM53" s="19"/>
      <c r="CN53" s="15"/>
      <c r="CO53" s="19"/>
      <c r="CP53" s="15"/>
      <c r="CQ53" s="15"/>
      <c r="CR53" s="15"/>
      <c r="CS53" s="19"/>
      <c r="CT53" s="15"/>
      <c r="CU53" s="19"/>
      <c r="CV53" s="15"/>
      <c r="CW53" s="19"/>
      <c r="CX53" s="15"/>
      <c r="CY53" s="19"/>
      <c r="CZ53" s="15"/>
      <c r="DA53" s="16" t="s">
        <v>197</v>
      </c>
      <c r="DB53" s="17" t="s">
        <v>198</v>
      </c>
      <c r="DC53" s="20">
        <v>45705.65336805556</v>
      </c>
      <c r="DD53" s="17" t="s">
        <v>198</v>
      </c>
      <c r="DE53" s="18">
        <v>45705.653402777774</v>
      </c>
      <c r="DF53" s="17" t="s">
        <v>198</v>
      </c>
      <c r="DG53" s="18">
        <v>45705.653402777774</v>
      </c>
      <c r="DH53" s="13" t="s">
        <v>205</v>
      </c>
      <c r="DI53" s="14" t="s">
        <v>179</v>
      </c>
      <c r="DJ53" s="14" t="s">
        <v>1540</v>
      </c>
      <c r="DK53" s="14" t="s">
        <v>179</v>
      </c>
      <c r="DL53" s="14" t="s">
        <v>1541</v>
      </c>
      <c r="DM53" s="14" t="s">
        <v>179</v>
      </c>
      <c r="DN53" s="14" t="s">
        <v>1542</v>
      </c>
      <c r="DO53" s="14" t="s">
        <v>179</v>
      </c>
      <c r="DP53" s="14" t="s">
        <v>1543</v>
      </c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6" t="s">
        <v>197</v>
      </c>
      <c r="ED53" s="17" t="s">
        <v>198</v>
      </c>
      <c r="EE53" s="18">
        <v>45720.528275462966</v>
      </c>
      <c r="EF53" s="13" t="s">
        <v>209</v>
      </c>
      <c r="EG53" s="14" t="s">
        <v>179</v>
      </c>
      <c r="EH53" s="14" t="s">
        <v>1544</v>
      </c>
      <c r="EI53" s="14" t="s">
        <v>179</v>
      </c>
      <c r="EJ53" s="14" t="s">
        <v>1544</v>
      </c>
      <c r="EK53" s="14" t="s">
        <v>179</v>
      </c>
      <c r="EL53" s="14" t="s">
        <v>1545</v>
      </c>
      <c r="EM53" s="14" t="s">
        <v>179</v>
      </c>
      <c r="EN53" s="14" t="s">
        <v>1546</v>
      </c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6" t="s">
        <v>197</v>
      </c>
      <c r="FD53" s="17" t="s">
        <v>198</v>
      </c>
      <c r="FE53" s="18">
        <v>45723.30872685185</v>
      </c>
      <c r="FF53" s="19"/>
      <c r="FG53" s="19"/>
      <c r="FH53" s="21" t="s">
        <v>197</v>
      </c>
      <c r="FI53" s="17" t="s">
        <v>214</v>
      </c>
      <c r="FJ53" s="18">
        <v>45723.30872685185</v>
      </c>
      <c r="FK53" s="14" t="s">
        <v>1546</v>
      </c>
      <c r="FL53" s="14" t="s">
        <v>1547</v>
      </c>
      <c r="FM53" s="14" t="s">
        <v>1548</v>
      </c>
      <c r="FN53" s="19"/>
      <c r="FO53" s="19"/>
      <c r="FP53" s="19" t="str">
        <f t="shared" si="1"/>
        <v>Base de Dados_Images/BC3007.Imagem do Equipamento-.163428.jpg</v>
      </c>
      <c r="FQ53" s="19"/>
      <c r="FR53" s="19"/>
    </row>
    <row r="54" ht="15.75" customHeight="1">
      <c r="A54" s="12" t="s">
        <v>292</v>
      </c>
      <c r="B54" s="12" t="s">
        <v>1517</v>
      </c>
      <c r="C54" s="24" t="s">
        <v>512</v>
      </c>
      <c r="D54" s="22" t="s">
        <v>1549</v>
      </c>
      <c r="E54" s="22" t="s">
        <v>1550</v>
      </c>
      <c r="F54" s="13" t="s">
        <v>178</v>
      </c>
      <c r="G54" s="14" t="s">
        <v>179</v>
      </c>
      <c r="H54" s="14" t="s">
        <v>1551</v>
      </c>
      <c r="I54" s="14" t="s">
        <v>179</v>
      </c>
      <c r="J54" s="14" t="s">
        <v>1552</v>
      </c>
      <c r="K54" s="14" t="s">
        <v>179</v>
      </c>
      <c r="L54" s="14" t="s">
        <v>1553</v>
      </c>
      <c r="M54" s="14" t="s">
        <v>179</v>
      </c>
      <c r="N54" s="14" t="s">
        <v>1554</v>
      </c>
      <c r="O54" s="14" t="s">
        <v>179</v>
      </c>
      <c r="P54" s="14" t="s">
        <v>1555</v>
      </c>
      <c r="Q54" s="14" t="s">
        <v>179</v>
      </c>
      <c r="R54" s="14" t="s">
        <v>1556</v>
      </c>
      <c r="S54" s="14" t="s">
        <v>179</v>
      </c>
      <c r="T54" s="14" t="s">
        <v>1557</v>
      </c>
      <c r="U54" s="14" t="s">
        <v>179</v>
      </c>
      <c r="V54" s="14" t="s">
        <v>1558</v>
      </c>
      <c r="W54" s="14" t="s">
        <v>179</v>
      </c>
      <c r="X54" s="14" t="s">
        <v>1558</v>
      </c>
      <c r="Y54" s="14" t="s">
        <v>179</v>
      </c>
      <c r="Z54" s="14" t="s">
        <v>1559</v>
      </c>
      <c r="AA54" s="14" t="s">
        <v>179</v>
      </c>
      <c r="AB54" s="14" t="s">
        <v>1560</v>
      </c>
      <c r="AC54" s="14" t="s">
        <v>179</v>
      </c>
      <c r="AD54" s="14" t="s">
        <v>1561</v>
      </c>
      <c r="AE54" s="14" t="s">
        <v>179</v>
      </c>
      <c r="AF54" s="14" t="s">
        <v>1562</v>
      </c>
      <c r="AG54" s="14" t="s">
        <v>179</v>
      </c>
      <c r="AH54" s="14" t="s">
        <v>1562</v>
      </c>
      <c r="AI54" s="14" t="s">
        <v>179</v>
      </c>
      <c r="AJ54" s="14" t="s">
        <v>1563</v>
      </c>
      <c r="AK54" s="14" t="s">
        <v>179</v>
      </c>
      <c r="AL54" s="14" t="s">
        <v>1563</v>
      </c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6" t="s">
        <v>197</v>
      </c>
      <c r="BP54" s="17" t="s">
        <v>198</v>
      </c>
      <c r="BQ54" s="18">
        <v>45688.47791666666</v>
      </c>
      <c r="BR54" s="17" t="s">
        <v>198</v>
      </c>
      <c r="BS54" s="18">
        <v>45688.47792824074</v>
      </c>
      <c r="BT54" s="17" t="s">
        <v>198</v>
      </c>
      <c r="BU54" s="18">
        <v>45688.47792824074</v>
      </c>
      <c r="BV54" s="13" t="s">
        <v>199</v>
      </c>
      <c r="BW54" s="14" t="s">
        <v>179</v>
      </c>
      <c r="BX54" s="14" t="s">
        <v>1564</v>
      </c>
      <c r="BY54" s="14" t="s">
        <v>179</v>
      </c>
      <c r="BZ54" s="14" t="s">
        <v>1565</v>
      </c>
      <c r="CA54" s="14" t="s">
        <v>179</v>
      </c>
      <c r="CB54" s="14" t="s">
        <v>1566</v>
      </c>
      <c r="CC54" s="14" t="s">
        <v>179</v>
      </c>
      <c r="CD54" s="14" t="s">
        <v>1567</v>
      </c>
      <c r="CE54" s="14" t="s">
        <v>179</v>
      </c>
      <c r="CF54" s="14" t="s">
        <v>1568</v>
      </c>
      <c r="CG54" s="14" t="s">
        <v>179</v>
      </c>
      <c r="CH54" s="14" t="s">
        <v>1569</v>
      </c>
      <c r="CI54" s="19"/>
      <c r="CJ54" s="15"/>
      <c r="CK54" s="19"/>
      <c r="CL54" s="15"/>
      <c r="CM54" s="19"/>
      <c r="CN54" s="15"/>
      <c r="CO54" s="19"/>
      <c r="CP54" s="15"/>
      <c r="CQ54" s="15"/>
      <c r="CR54" s="15"/>
      <c r="CS54" s="19"/>
      <c r="CT54" s="15"/>
      <c r="CU54" s="19"/>
      <c r="CV54" s="15"/>
      <c r="CW54" s="19"/>
      <c r="CX54" s="15"/>
      <c r="CY54" s="19"/>
      <c r="CZ54" s="15"/>
      <c r="DA54" s="16" t="s">
        <v>197</v>
      </c>
      <c r="DB54" s="17" t="s">
        <v>198</v>
      </c>
      <c r="DC54" s="20">
        <v>45720.52875</v>
      </c>
      <c r="DD54" s="17" t="s">
        <v>198</v>
      </c>
      <c r="DE54" s="18">
        <v>45720.528819444444</v>
      </c>
      <c r="DF54" s="17" t="s">
        <v>198</v>
      </c>
      <c r="DG54" s="18">
        <v>45720.528819444444</v>
      </c>
      <c r="DH54" s="13" t="s">
        <v>205</v>
      </c>
      <c r="DI54" s="14" t="s">
        <v>179</v>
      </c>
      <c r="DJ54" s="14" t="s">
        <v>1570</v>
      </c>
      <c r="DK54" s="14" t="s">
        <v>179</v>
      </c>
      <c r="DL54" s="14" t="s">
        <v>1570</v>
      </c>
      <c r="DM54" s="14" t="s">
        <v>179</v>
      </c>
      <c r="DN54" s="14" t="s">
        <v>1571</v>
      </c>
      <c r="DO54" s="14" t="s">
        <v>179</v>
      </c>
      <c r="DP54" s="14" t="s">
        <v>1571</v>
      </c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6" t="s">
        <v>197</v>
      </c>
      <c r="ED54" s="17" t="s">
        <v>198</v>
      </c>
      <c r="EE54" s="18">
        <v>45720.52898148148</v>
      </c>
      <c r="EF54" s="13" t="s">
        <v>209</v>
      </c>
      <c r="EG54" s="14" t="s">
        <v>179</v>
      </c>
      <c r="EH54" s="14" t="s">
        <v>1572</v>
      </c>
      <c r="EI54" s="14" t="s">
        <v>179</v>
      </c>
      <c r="EJ54" s="14" t="s">
        <v>1573</v>
      </c>
      <c r="EK54" s="14" t="s">
        <v>179</v>
      </c>
      <c r="EL54" s="14" t="s">
        <v>1574</v>
      </c>
      <c r="EM54" s="14" t="s">
        <v>179</v>
      </c>
      <c r="EN54" s="14" t="s">
        <v>1575</v>
      </c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6" t="s">
        <v>197</v>
      </c>
      <c r="FD54" s="17" t="s">
        <v>198</v>
      </c>
      <c r="FE54" s="18">
        <v>45723.30883101852</v>
      </c>
      <c r="FF54" s="19"/>
      <c r="FG54" s="19"/>
      <c r="FH54" s="21" t="s">
        <v>197</v>
      </c>
      <c r="FI54" s="17" t="s">
        <v>214</v>
      </c>
      <c r="FJ54" s="18">
        <v>45723.30883101852</v>
      </c>
      <c r="FK54" s="14" t="s">
        <v>1575</v>
      </c>
      <c r="FL54" s="14" t="s">
        <v>1576</v>
      </c>
      <c r="FM54" s="14" t="s">
        <v>1577</v>
      </c>
      <c r="FN54" s="19"/>
      <c r="FO54" s="19"/>
      <c r="FP54" s="19" t="str">
        <f t="shared" si="1"/>
        <v>Base de Dados_Images/BC3008.Imagem do Equipamento-.154641.jpg</v>
      </c>
      <c r="FQ54" s="19"/>
      <c r="FR54" s="19"/>
    </row>
    <row r="55" ht="15.75" customHeight="1">
      <c r="A55" s="12" t="s">
        <v>292</v>
      </c>
      <c r="B55" s="12" t="s">
        <v>1517</v>
      </c>
      <c r="C55" s="24" t="s">
        <v>512</v>
      </c>
      <c r="D55" s="22" t="s">
        <v>1578</v>
      </c>
      <c r="E55" s="22" t="s">
        <v>1579</v>
      </c>
      <c r="F55" s="13" t="s">
        <v>178</v>
      </c>
      <c r="G55" s="14" t="s">
        <v>179</v>
      </c>
      <c r="H55" s="14" t="s">
        <v>1580</v>
      </c>
      <c r="I55" s="14" t="s">
        <v>179</v>
      </c>
      <c r="J55" s="14" t="s">
        <v>1581</v>
      </c>
      <c r="K55" s="14" t="s">
        <v>179</v>
      </c>
      <c r="L55" s="14" t="s">
        <v>1582</v>
      </c>
      <c r="M55" s="14" t="s">
        <v>179</v>
      </c>
      <c r="N55" s="14" t="s">
        <v>1583</v>
      </c>
      <c r="O55" s="14" t="s">
        <v>179</v>
      </c>
      <c r="P55" s="14" t="s">
        <v>1584</v>
      </c>
      <c r="Q55" s="14" t="s">
        <v>179</v>
      </c>
      <c r="R55" s="14" t="s">
        <v>1585</v>
      </c>
      <c r="S55" s="14" t="s">
        <v>179</v>
      </c>
      <c r="T55" s="14" t="s">
        <v>1586</v>
      </c>
      <c r="U55" s="14" t="s">
        <v>179</v>
      </c>
      <c r="V55" s="14" t="s">
        <v>1587</v>
      </c>
      <c r="W55" s="14" t="s">
        <v>188</v>
      </c>
      <c r="X55" s="14" t="s">
        <v>1588</v>
      </c>
      <c r="Y55" s="14" t="s">
        <v>179</v>
      </c>
      <c r="Z55" s="14" t="s">
        <v>1589</v>
      </c>
      <c r="AA55" s="14" t="s">
        <v>179</v>
      </c>
      <c r="AB55" s="14" t="s">
        <v>1590</v>
      </c>
      <c r="AC55" s="14" t="s">
        <v>179</v>
      </c>
      <c r="AD55" s="14" t="s">
        <v>1591</v>
      </c>
      <c r="AE55" s="14" t="s">
        <v>179</v>
      </c>
      <c r="AF55" s="14" t="s">
        <v>1592</v>
      </c>
      <c r="AG55" s="14" t="s">
        <v>188</v>
      </c>
      <c r="AH55" s="14" t="s">
        <v>1593</v>
      </c>
      <c r="AI55" s="14" t="s">
        <v>179</v>
      </c>
      <c r="AJ55" s="14" t="s">
        <v>1594</v>
      </c>
      <c r="AK55" s="14" t="s">
        <v>179</v>
      </c>
      <c r="AL55" s="14" t="s">
        <v>1595</v>
      </c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6" t="s">
        <v>197</v>
      </c>
      <c r="BP55" s="17" t="s">
        <v>198</v>
      </c>
      <c r="BQ55" s="18">
        <v>45685.40231481481</v>
      </c>
      <c r="BR55" s="17" t="s">
        <v>198</v>
      </c>
      <c r="BS55" s="18">
        <v>45685.40263888889</v>
      </c>
      <c r="BT55" s="17" t="s">
        <v>198</v>
      </c>
      <c r="BU55" s="18">
        <v>45685.40263888889</v>
      </c>
      <c r="BV55" s="13" t="s">
        <v>199</v>
      </c>
      <c r="BW55" s="14" t="s">
        <v>179</v>
      </c>
      <c r="BX55" s="14" t="s">
        <v>1596</v>
      </c>
      <c r="BY55" s="14" t="s">
        <v>179</v>
      </c>
      <c r="BZ55" s="14" t="s">
        <v>1597</v>
      </c>
      <c r="CA55" s="14" t="s">
        <v>179</v>
      </c>
      <c r="CB55" s="14" t="s">
        <v>1597</v>
      </c>
      <c r="CC55" s="14" t="s">
        <v>179</v>
      </c>
      <c r="CD55" s="14" t="s">
        <v>1598</v>
      </c>
      <c r="CE55" s="14" t="s">
        <v>179</v>
      </c>
      <c r="CF55" s="14" t="s">
        <v>1599</v>
      </c>
      <c r="CG55" s="14" t="s">
        <v>179</v>
      </c>
      <c r="CH55" s="14" t="s">
        <v>1600</v>
      </c>
      <c r="CI55" s="19"/>
      <c r="CJ55" s="15"/>
      <c r="CK55" s="19"/>
      <c r="CL55" s="15"/>
      <c r="CM55" s="19"/>
      <c r="CN55" s="15"/>
      <c r="CO55" s="19"/>
      <c r="CP55" s="15"/>
      <c r="CQ55" s="15"/>
      <c r="CR55" s="15"/>
      <c r="CS55" s="19"/>
      <c r="CT55" s="15"/>
      <c r="CU55" s="19"/>
      <c r="CV55" s="15"/>
      <c r="CW55" s="19"/>
      <c r="CX55" s="15"/>
      <c r="CY55" s="19"/>
      <c r="CZ55" s="15"/>
      <c r="DA55" s="16" t="s">
        <v>197</v>
      </c>
      <c r="DB55" s="17" t="s">
        <v>198</v>
      </c>
      <c r="DC55" s="20">
        <v>45720.529074074075</v>
      </c>
      <c r="DD55" s="17" t="s">
        <v>198</v>
      </c>
      <c r="DE55" s="18">
        <v>45720.529710648145</v>
      </c>
      <c r="DF55" s="17" t="s">
        <v>198</v>
      </c>
      <c r="DG55" s="18">
        <v>45720.529710648145</v>
      </c>
      <c r="DH55" s="13" t="s">
        <v>205</v>
      </c>
      <c r="DI55" s="14" t="s">
        <v>179</v>
      </c>
      <c r="DJ55" s="14" t="s">
        <v>1601</v>
      </c>
      <c r="DK55" s="14" t="s">
        <v>179</v>
      </c>
      <c r="DL55" s="14" t="s">
        <v>1602</v>
      </c>
      <c r="DM55" s="14" t="s">
        <v>179</v>
      </c>
      <c r="DN55" s="14" t="s">
        <v>1603</v>
      </c>
      <c r="DO55" s="14" t="s">
        <v>179</v>
      </c>
      <c r="DP55" s="14" t="s">
        <v>1604</v>
      </c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6" t="s">
        <v>197</v>
      </c>
      <c r="ED55" s="17" t="s">
        <v>198</v>
      </c>
      <c r="EE55" s="18">
        <v>45720.52921296296</v>
      </c>
      <c r="EF55" s="13" t="s">
        <v>209</v>
      </c>
      <c r="EG55" s="14" t="s">
        <v>179</v>
      </c>
      <c r="EH55" s="14" t="s">
        <v>1605</v>
      </c>
      <c r="EI55" s="14" t="s">
        <v>179</v>
      </c>
      <c r="EJ55" s="14" t="s">
        <v>1605</v>
      </c>
      <c r="EK55" s="14" t="s">
        <v>179</v>
      </c>
      <c r="EL55" s="14" t="s">
        <v>1606</v>
      </c>
      <c r="EM55" s="14" t="s">
        <v>179</v>
      </c>
      <c r="EN55" s="14" t="s">
        <v>1607</v>
      </c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6" t="s">
        <v>197</v>
      </c>
      <c r="FD55" s="17" t="s">
        <v>198</v>
      </c>
      <c r="FE55" s="18">
        <v>45723.30892361111</v>
      </c>
      <c r="FF55" s="19"/>
      <c r="FG55" s="19"/>
      <c r="FH55" s="21" t="s">
        <v>197</v>
      </c>
      <c r="FI55" s="17" t="s">
        <v>214</v>
      </c>
      <c r="FJ55" s="18">
        <v>45723.30892361111</v>
      </c>
      <c r="FK55" s="14" t="s">
        <v>1607</v>
      </c>
      <c r="FL55" s="14" t="s">
        <v>1608</v>
      </c>
      <c r="FM55" s="14" t="s">
        <v>1609</v>
      </c>
      <c r="FN55" s="19"/>
      <c r="FO55" s="19"/>
      <c r="FP55" s="19" t="str">
        <f t="shared" si="1"/>
        <v>Base de Dados_Images/BC3009.Imagem do Equipamento-.163312.jpg</v>
      </c>
      <c r="FQ55" s="19"/>
      <c r="FR55" s="19"/>
    </row>
    <row r="56" ht="15.75" customHeight="1">
      <c r="A56" s="12" t="s">
        <v>292</v>
      </c>
      <c r="B56" s="12" t="s">
        <v>1610</v>
      </c>
      <c r="C56" s="24" t="s">
        <v>512</v>
      </c>
      <c r="D56" s="22" t="s">
        <v>1611</v>
      </c>
      <c r="E56" s="22" t="s">
        <v>1612</v>
      </c>
      <c r="F56" s="13" t="s">
        <v>178</v>
      </c>
      <c r="G56" s="14" t="s">
        <v>179</v>
      </c>
      <c r="H56" s="14" t="s">
        <v>1613</v>
      </c>
      <c r="I56" s="14" t="s">
        <v>179</v>
      </c>
      <c r="J56" s="14" t="s">
        <v>1614</v>
      </c>
      <c r="K56" s="14" t="s">
        <v>179</v>
      </c>
      <c r="L56" s="14" t="s">
        <v>1615</v>
      </c>
      <c r="M56" s="14" t="s">
        <v>179</v>
      </c>
      <c r="N56" s="14" t="s">
        <v>1616</v>
      </c>
      <c r="O56" s="14" t="s">
        <v>179</v>
      </c>
      <c r="P56" s="14" t="s">
        <v>1617</v>
      </c>
      <c r="Q56" s="14" t="s">
        <v>179</v>
      </c>
      <c r="R56" s="14" t="s">
        <v>1618</v>
      </c>
      <c r="S56" s="14" t="s">
        <v>179</v>
      </c>
      <c r="T56" s="14" t="s">
        <v>1619</v>
      </c>
      <c r="U56" s="14" t="s">
        <v>179</v>
      </c>
      <c r="V56" s="14" t="s">
        <v>1620</v>
      </c>
      <c r="W56" s="14" t="s">
        <v>179</v>
      </c>
      <c r="X56" s="14" t="s">
        <v>1621</v>
      </c>
      <c r="Y56" s="14" t="s">
        <v>188</v>
      </c>
      <c r="Z56" s="14" t="s">
        <v>1622</v>
      </c>
      <c r="AA56" s="14" t="s">
        <v>179</v>
      </c>
      <c r="AB56" s="14" t="s">
        <v>1623</v>
      </c>
      <c r="AC56" s="14" t="s">
        <v>179</v>
      </c>
      <c r="AD56" s="14" t="s">
        <v>1624</v>
      </c>
      <c r="AE56" s="14" t="s">
        <v>179</v>
      </c>
      <c r="AF56" s="14" t="s">
        <v>1625</v>
      </c>
      <c r="AG56" s="14" t="s">
        <v>179</v>
      </c>
      <c r="AH56" s="14" t="s">
        <v>1626</v>
      </c>
      <c r="AI56" s="14" t="s">
        <v>179</v>
      </c>
      <c r="AJ56" s="14" t="s">
        <v>1627</v>
      </c>
      <c r="AK56" s="14" t="s">
        <v>179</v>
      </c>
      <c r="AL56" s="14" t="s">
        <v>1628</v>
      </c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6" t="s">
        <v>197</v>
      </c>
      <c r="BP56" s="17" t="s">
        <v>198</v>
      </c>
      <c r="BQ56" s="18">
        <v>45687.50346064815</v>
      </c>
      <c r="BR56" s="17" t="s">
        <v>198</v>
      </c>
      <c r="BS56" s="18">
        <v>45687.50349537037</v>
      </c>
      <c r="BT56" s="17" t="s">
        <v>198</v>
      </c>
      <c r="BU56" s="18">
        <v>45687.50349537037</v>
      </c>
      <c r="BV56" s="13" t="s">
        <v>199</v>
      </c>
      <c r="BW56" s="14" t="s">
        <v>179</v>
      </c>
      <c r="BX56" s="14" t="s">
        <v>1629</v>
      </c>
      <c r="BY56" s="14" t="s">
        <v>179</v>
      </c>
      <c r="BZ56" s="14" t="s">
        <v>1630</v>
      </c>
      <c r="CA56" s="14" t="s">
        <v>179</v>
      </c>
      <c r="CB56" s="14" t="s">
        <v>1631</v>
      </c>
      <c r="CC56" s="14" t="s">
        <v>179</v>
      </c>
      <c r="CD56" s="14" t="s">
        <v>1632</v>
      </c>
      <c r="CE56" s="14" t="s">
        <v>179</v>
      </c>
      <c r="CF56" s="14" t="s">
        <v>1633</v>
      </c>
      <c r="CG56" s="14" t="s">
        <v>179</v>
      </c>
      <c r="CH56" s="14" t="s">
        <v>1634</v>
      </c>
      <c r="CI56" s="19"/>
      <c r="CJ56" s="15"/>
      <c r="CK56" s="19"/>
      <c r="CL56" s="15"/>
      <c r="CM56" s="19"/>
      <c r="CN56" s="15"/>
      <c r="CO56" s="19"/>
      <c r="CP56" s="15"/>
      <c r="CQ56" s="15"/>
      <c r="CR56" s="15"/>
      <c r="CS56" s="19"/>
      <c r="CT56" s="15"/>
      <c r="CU56" s="19"/>
      <c r="CV56" s="15"/>
      <c r="CW56" s="19"/>
      <c r="CX56" s="15"/>
      <c r="CY56" s="19"/>
      <c r="CZ56" s="15"/>
      <c r="DA56" s="16" t="s">
        <v>197</v>
      </c>
      <c r="DB56" s="17" t="s">
        <v>198</v>
      </c>
      <c r="DC56" s="20">
        <v>45721.383576388886</v>
      </c>
      <c r="DD56" s="17" t="s">
        <v>198</v>
      </c>
      <c r="DE56" s="18">
        <v>45721.38361111111</v>
      </c>
      <c r="DF56" s="17" t="s">
        <v>198</v>
      </c>
      <c r="DG56" s="18">
        <v>45721.38361111111</v>
      </c>
      <c r="DH56" s="13" t="s">
        <v>205</v>
      </c>
      <c r="DI56" s="14" t="s">
        <v>179</v>
      </c>
      <c r="DJ56" s="14" t="s">
        <v>1635</v>
      </c>
      <c r="DK56" s="14" t="s">
        <v>179</v>
      </c>
      <c r="DL56" s="14" t="s">
        <v>1635</v>
      </c>
      <c r="DM56" s="14" t="s">
        <v>179</v>
      </c>
      <c r="DN56" s="14" t="s">
        <v>1636</v>
      </c>
      <c r="DO56" s="14" t="s">
        <v>179</v>
      </c>
      <c r="DP56" s="14" t="s">
        <v>1637</v>
      </c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6" t="s">
        <v>197</v>
      </c>
      <c r="ED56" s="17" t="s">
        <v>198</v>
      </c>
      <c r="EE56" s="18">
        <v>45721.38412037037</v>
      </c>
      <c r="EF56" s="13" t="s">
        <v>209</v>
      </c>
      <c r="EG56" s="14" t="s">
        <v>179</v>
      </c>
      <c r="EH56" s="14" t="s">
        <v>1638</v>
      </c>
      <c r="EI56" s="14" t="s">
        <v>179</v>
      </c>
      <c r="EJ56" s="14" t="s">
        <v>1639</v>
      </c>
      <c r="EK56" s="14" t="s">
        <v>179</v>
      </c>
      <c r="EL56" s="14" t="s">
        <v>1640</v>
      </c>
      <c r="EM56" s="14" t="s">
        <v>179</v>
      </c>
      <c r="EN56" s="14" t="s">
        <v>1641</v>
      </c>
      <c r="EO56" s="15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6" t="s">
        <v>197</v>
      </c>
      <c r="FD56" s="17" t="s">
        <v>198</v>
      </c>
      <c r="FE56" s="18">
        <v>45723.306284722225</v>
      </c>
      <c r="FF56" s="19"/>
      <c r="FG56" s="19"/>
      <c r="FH56" s="21" t="s">
        <v>197</v>
      </c>
      <c r="FI56" s="17" t="s">
        <v>214</v>
      </c>
      <c r="FJ56" s="18">
        <v>45723.306284722225</v>
      </c>
      <c r="FK56" s="14" t="s">
        <v>1641</v>
      </c>
      <c r="FL56" s="14" t="s">
        <v>1642</v>
      </c>
      <c r="FM56" s="14" t="s">
        <v>1643</v>
      </c>
      <c r="FN56" s="19"/>
      <c r="FO56" s="19"/>
      <c r="FP56" s="19" t="str">
        <f t="shared" si="1"/>
        <v>Base de Dados_Images/BC3010.Imagem do Equipamento-.151719.jpg</v>
      </c>
      <c r="FQ56" s="19"/>
      <c r="FR56" s="19"/>
    </row>
    <row r="57" ht="15.75" customHeight="1">
      <c r="A57" s="12" t="s">
        <v>292</v>
      </c>
      <c r="B57" s="12" t="s">
        <v>1644</v>
      </c>
      <c r="C57" s="24" t="s">
        <v>512</v>
      </c>
      <c r="D57" s="22" t="s">
        <v>1645</v>
      </c>
      <c r="E57" s="22" t="s">
        <v>1646</v>
      </c>
      <c r="F57" s="13" t="s">
        <v>178</v>
      </c>
      <c r="G57" s="14" t="s">
        <v>179</v>
      </c>
      <c r="H57" s="14" t="s">
        <v>1647</v>
      </c>
      <c r="I57" s="14" t="s">
        <v>179</v>
      </c>
      <c r="J57" s="14" t="s">
        <v>1648</v>
      </c>
      <c r="K57" s="14" t="s">
        <v>179</v>
      </c>
      <c r="L57" s="14" t="s">
        <v>1649</v>
      </c>
      <c r="M57" s="14" t="s">
        <v>179</v>
      </c>
      <c r="N57" s="14" t="s">
        <v>1650</v>
      </c>
      <c r="O57" s="14" t="s">
        <v>179</v>
      </c>
      <c r="P57" s="14" t="s">
        <v>1651</v>
      </c>
      <c r="Q57" s="14" t="s">
        <v>179</v>
      </c>
      <c r="R57" s="14" t="s">
        <v>1652</v>
      </c>
      <c r="S57" s="14" t="s">
        <v>179</v>
      </c>
      <c r="T57" s="14" t="s">
        <v>1653</v>
      </c>
      <c r="U57" s="14" t="s">
        <v>179</v>
      </c>
      <c r="V57" s="14" t="s">
        <v>1654</v>
      </c>
      <c r="W57" s="14" t="s">
        <v>179</v>
      </c>
      <c r="X57" s="14" t="s">
        <v>1655</v>
      </c>
      <c r="Y57" s="14" t="s">
        <v>179</v>
      </c>
      <c r="Z57" s="14" t="s">
        <v>1656</v>
      </c>
      <c r="AA57" s="14" t="s">
        <v>179</v>
      </c>
      <c r="AB57" s="14" t="s">
        <v>1657</v>
      </c>
      <c r="AC57" s="14" t="s">
        <v>179</v>
      </c>
      <c r="AD57" s="14" t="s">
        <v>1658</v>
      </c>
      <c r="AE57" s="14" t="s">
        <v>179</v>
      </c>
      <c r="AF57" s="14" t="s">
        <v>1659</v>
      </c>
      <c r="AG57" s="14" t="s">
        <v>188</v>
      </c>
      <c r="AH57" s="14" t="s">
        <v>1660</v>
      </c>
      <c r="AI57" s="14" t="s">
        <v>179</v>
      </c>
      <c r="AJ57" s="14" t="s">
        <v>1661</v>
      </c>
      <c r="AK57" s="14" t="s">
        <v>179</v>
      </c>
      <c r="AL57" s="14" t="s">
        <v>1662</v>
      </c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6" t="s">
        <v>197</v>
      </c>
      <c r="BP57" s="17" t="s">
        <v>198</v>
      </c>
      <c r="BQ57" s="18">
        <v>45696.60607638889</v>
      </c>
      <c r="BR57" s="17" t="s">
        <v>198</v>
      </c>
      <c r="BS57" s="18">
        <v>45696.606307870374</v>
      </c>
      <c r="BT57" s="17" t="s">
        <v>198</v>
      </c>
      <c r="BU57" s="18">
        <v>45696.606307870374</v>
      </c>
      <c r="BV57" s="13" t="s">
        <v>199</v>
      </c>
      <c r="BW57" s="14" t="s">
        <v>179</v>
      </c>
      <c r="BX57" s="14" t="s">
        <v>1663</v>
      </c>
      <c r="BY57" s="14" t="s">
        <v>179</v>
      </c>
      <c r="BZ57" s="14" t="s">
        <v>1663</v>
      </c>
      <c r="CA57" s="14" t="s">
        <v>179</v>
      </c>
      <c r="CB57" s="14" t="s">
        <v>1664</v>
      </c>
      <c r="CC57" s="14" t="s">
        <v>179</v>
      </c>
      <c r="CD57" s="14" t="s">
        <v>1665</v>
      </c>
      <c r="CE57" s="14" t="s">
        <v>179</v>
      </c>
      <c r="CF57" s="14" t="s">
        <v>1666</v>
      </c>
      <c r="CG57" s="14" t="s">
        <v>179</v>
      </c>
      <c r="CH57" s="14" t="s">
        <v>1667</v>
      </c>
      <c r="CI57" s="19"/>
      <c r="CJ57" s="15"/>
      <c r="CK57" s="19"/>
      <c r="CL57" s="15"/>
      <c r="CM57" s="19"/>
      <c r="CN57" s="15"/>
      <c r="CO57" s="19"/>
      <c r="CP57" s="15"/>
      <c r="CQ57" s="15"/>
      <c r="CR57" s="15"/>
      <c r="CS57" s="19"/>
      <c r="CT57" s="15"/>
      <c r="CU57" s="19"/>
      <c r="CV57" s="15"/>
      <c r="CW57" s="19"/>
      <c r="CX57" s="15"/>
      <c r="CY57" s="19"/>
      <c r="CZ57" s="15"/>
      <c r="DA57" s="16" t="s">
        <v>197</v>
      </c>
      <c r="DB57" s="17" t="s">
        <v>198</v>
      </c>
      <c r="DC57" s="20">
        <v>45719.44564814815</v>
      </c>
      <c r="DD57" s="17" t="s">
        <v>198</v>
      </c>
      <c r="DE57" s="18">
        <v>45719.44568287037</v>
      </c>
      <c r="DF57" s="17" t="s">
        <v>198</v>
      </c>
      <c r="DG57" s="18">
        <v>45719.44568287037</v>
      </c>
      <c r="DH57" s="13" t="s">
        <v>205</v>
      </c>
      <c r="DI57" s="14" t="s">
        <v>179</v>
      </c>
      <c r="DJ57" s="14" t="s">
        <v>1668</v>
      </c>
      <c r="DK57" s="14" t="s">
        <v>179</v>
      </c>
      <c r="DL57" s="14" t="s">
        <v>1669</v>
      </c>
      <c r="DM57" s="14" t="s">
        <v>179</v>
      </c>
      <c r="DN57" s="14" t="s">
        <v>1670</v>
      </c>
      <c r="DO57" s="14" t="s">
        <v>179</v>
      </c>
      <c r="DP57" s="14" t="s">
        <v>1671</v>
      </c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6" t="s">
        <v>197</v>
      </c>
      <c r="ED57" s="17" t="s">
        <v>198</v>
      </c>
      <c r="EE57" s="18">
        <v>45719.445763888885</v>
      </c>
      <c r="EF57" s="13" t="s">
        <v>209</v>
      </c>
      <c r="EG57" s="14" t="s">
        <v>179</v>
      </c>
      <c r="EH57" s="14" t="s">
        <v>1672</v>
      </c>
      <c r="EI57" s="14" t="s">
        <v>179</v>
      </c>
      <c r="EJ57" s="14" t="s">
        <v>1672</v>
      </c>
      <c r="EK57" s="14" t="s">
        <v>179</v>
      </c>
      <c r="EL57" s="14" t="s">
        <v>1673</v>
      </c>
      <c r="EM57" s="14" t="s">
        <v>179</v>
      </c>
      <c r="EN57" s="14" t="s">
        <v>1674</v>
      </c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6" t="s">
        <v>197</v>
      </c>
      <c r="FD57" s="17" t="s">
        <v>198</v>
      </c>
      <c r="FE57" s="18">
        <v>45723.30613425926</v>
      </c>
      <c r="FF57" s="19"/>
      <c r="FG57" s="19"/>
      <c r="FH57" s="21" t="s">
        <v>197</v>
      </c>
      <c r="FI57" s="17" t="s">
        <v>214</v>
      </c>
      <c r="FJ57" s="18">
        <v>45723.30613425926</v>
      </c>
      <c r="FK57" s="14" t="s">
        <v>1674</v>
      </c>
      <c r="FL57" s="19"/>
      <c r="FM57" s="19"/>
      <c r="FN57" s="19"/>
      <c r="FO57" s="19"/>
      <c r="FP57" s="19" t="str">
        <f t="shared" si="1"/>
        <v/>
      </c>
      <c r="FQ57" s="14" t="s">
        <v>215</v>
      </c>
      <c r="FR57" s="14" t="s">
        <v>1675</v>
      </c>
    </row>
    <row r="58" ht="15.75" customHeight="1">
      <c r="A58" s="12" t="s">
        <v>292</v>
      </c>
      <c r="B58" s="12" t="s">
        <v>1676</v>
      </c>
      <c r="C58" s="24" t="s">
        <v>512</v>
      </c>
      <c r="D58" s="22" t="s">
        <v>1677</v>
      </c>
      <c r="E58" s="22" t="s">
        <v>1678</v>
      </c>
      <c r="F58" s="13" t="s">
        <v>178</v>
      </c>
      <c r="G58" s="14" t="s">
        <v>179</v>
      </c>
      <c r="H58" s="14" t="s">
        <v>1679</v>
      </c>
      <c r="I58" s="14" t="s">
        <v>179</v>
      </c>
      <c r="J58" s="14" t="s">
        <v>1680</v>
      </c>
      <c r="K58" s="14" t="s">
        <v>179</v>
      </c>
      <c r="L58" s="14" t="s">
        <v>1681</v>
      </c>
      <c r="M58" s="14" t="s">
        <v>179</v>
      </c>
      <c r="N58" s="14" t="s">
        <v>1682</v>
      </c>
      <c r="O58" s="14" t="s">
        <v>179</v>
      </c>
      <c r="P58" s="14" t="s">
        <v>1683</v>
      </c>
      <c r="Q58" s="14" t="s">
        <v>179</v>
      </c>
      <c r="R58" s="14" t="s">
        <v>1684</v>
      </c>
      <c r="S58" s="14" t="s">
        <v>179</v>
      </c>
      <c r="T58" s="14" t="s">
        <v>1685</v>
      </c>
      <c r="U58" s="14" t="s">
        <v>179</v>
      </c>
      <c r="V58" s="14" t="s">
        <v>1686</v>
      </c>
      <c r="W58" s="14" t="s">
        <v>179</v>
      </c>
      <c r="X58" s="14" t="s">
        <v>1687</v>
      </c>
      <c r="Y58" s="14" t="s">
        <v>179</v>
      </c>
      <c r="Z58" s="14" t="s">
        <v>1688</v>
      </c>
      <c r="AA58" s="14" t="s">
        <v>179</v>
      </c>
      <c r="AB58" s="14" t="s">
        <v>1689</v>
      </c>
      <c r="AC58" s="14" t="s">
        <v>179</v>
      </c>
      <c r="AD58" s="14" t="s">
        <v>1690</v>
      </c>
      <c r="AE58" s="14" t="s">
        <v>179</v>
      </c>
      <c r="AF58" s="14" t="s">
        <v>1691</v>
      </c>
      <c r="AG58" s="14" t="s">
        <v>188</v>
      </c>
      <c r="AH58" s="14" t="s">
        <v>1692</v>
      </c>
      <c r="AI58" s="14" t="s">
        <v>179</v>
      </c>
      <c r="AJ58" s="14" t="s">
        <v>1693</v>
      </c>
      <c r="AK58" s="14" t="s">
        <v>179</v>
      </c>
      <c r="AL58" s="14" t="s">
        <v>1694</v>
      </c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6" t="s">
        <v>197</v>
      </c>
      <c r="BP58" s="17" t="s">
        <v>198</v>
      </c>
      <c r="BQ58" s="18">
        <v>45685.46837962963</v>
      </c>
      <c r="BR58" s="17" t="s">
        <v>198</v>
      </c>
      <c r="BS58" s="18">
        <v>45685.468726851854</v>
      </c>
      <c r="BT58" s="17" t="s">
        <v>198</v>
      </c>
      <c r="BU58" s="18">
        <v>45685.468726851854</v>
      </c>
      <c r="BV58" s="13" t="s">
        <v>199</v>
      </c>
      <c r="BW58" s="14" t="s">
        <v>179</v>
      </c>
      <c r="BX58" s="14" t="s">
        <v>1695</v>
      </c>
      <c r="BY58" s="14" t="s">
        <v>179</v>
      </c>
      <c r="BZ58" s="14" t="s">
        <v>1696</v>
      </c>
      <c r="CA58" s="14" t="s">
        <v>179</v>
      </c>
      <c r="CB58" s="14" t="s">
        <v>1697</v>
      </c>
      <c r="CC58" s="14" t="s">
        <v>179</v>
      </c>
      <c r="CD58" s="14" t="s">
        <v>1698</v>
      </c>
      <c r="CE58" s="14" t="s">
        <v>179</v>
      </c>
      <c r="CF58" s="14" t="s">
        <v>1699</v>
      </c>
      <c r="CG58" s="14" t="s">
        <v>179</v>
      </c>
      <c r="CH58" s="14" t="s">
        <v>1700</v>
      </c>
      <c r="CI58" s="19"/>
      <c r="CJ58" s="15"/>
      <c r="CK58" s="19"/>
      <c r="CL58" s="15"/>
      <c r="CM58" s="19"/>
      <c r="CN58" s="15"/>
      <c r="CO58" s="19"/>
      <c r="CP58" s="15"/>
      <c r="CQ58" s="15"/>
      <c r="CR58" s="15"/>
      <c r="CS58" s="19"/>
      <c r="CT58" s="15"/>
      <c r="CU58" s="19"/>
      <c r="CV58" s="15"/>
      <c r="CW58" s="19"/>
      <c r="CX58" s="15"/>
      <c r="CY58" s="19"/>
      <c r="CZ58" s="15"/>
      <c r="DA58" s="16" t="s">
        <v>197</v>
      </c>
      <c r="DB58" s="17" t="s">
        <v>198</v>
      </c>
      <c r="DC58" s="20">
        <v>45719.448113425926</v>
      </c>
      <c r="DD58" s="17" t="s">
        <v>198</v>
      </c>
      <c r="DE58" s="18">
        <v>45719.44814814815</v>
      </c>
      <c r="DF58" s="17" t="s">
        <v>198</v>
      </c>
      <c r="DG58" s="18">
        <v>45719.44814814815</v>
      </c>
      <c r="DH58" s="13" t="s">
        <v>205</v>
      </c>
      <c r="DI58" s="14" t="s">
        <v>179</v>
      </c>
      <c r="DJ58" s="14" t="s">
        <v>1701</v>
      </c>
      <c r="DK58" s="14" t="s">
        <v>179</v>
      </c>
      <c r="DL58" s="14" t="s">
        <v>1702</v>
      </c>
      <c r="DM58" s="14" t="s">
        <v>179</v>
      </c>
      <c r="DN58" s="14" t="s">
        <v>1703</v>
      </c>
      <c r="DO58" s="14" t="s">
        <v>179</v>
      </c>
      <c r="DP58" s="14" t="s">
        <v>1704</v>
      </c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6" t="s">
        <v>197</v>
      </c>
      <c r="ED58" s="17" t="s">
        <v>198</v>
      </c>
      <c r="EE58" s="18">
        <v>45719.448287037034</v>
      </c>
      <c r="EF58" s="13" t="s">
        <v>209</v>
      </c>
      <c r="EG58" s="14" t="s">
        <v>179</v>
      </c>
      <c r="EH58" s="14" t="s">
        <v>1705</v>
      </c>
      <c r="EI58" s="14" t="s">
        <v>179</v>
      </c>
      <c r="EJ58" s="14" t="s">
        <v>1705</v>
      </c>
      <c r="EK58" s="14" t="s">
        <v>179</v>
      </c>
      <c r="EL58" s="14" t="s">
        <v>1706</v>
      </c>
      <c r="EM58" s="14" t="s">
        <v>179</v>
      </c>
      <c r="EN58" s="14" t="s">
        <v>1707</v>
      </c>
      <c r="EO58" s="15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6" t="s">
        <v>197</v>
      </c>
      <c r="FD58" s="17" t="s">
        <v>198</v>
      </c>
      <c r="FE58" s="18">
        <v>45723.309016203704</v>
      </c>
      <c r="FF58" s="19"/>
      <c r="FG58" s="19"/>
      <c r="FH58" s="21" t="s">
        <v>197</v>
      </c>
      <c r="FI58" s="17" t="s">
        <v>214</v>
      </c>
      <c r="FJ58" s="18">
        <v>45723.309016203704</v>
      </c>
      <c r="FK58" s="14" t="s">
        <v>1707</v>
      </c>
      <c r="FL58" s="19"/>
      <c r="FM58" s="19"/>
      <c r="FN58" s="19"/>
      <c r="FO58" s="19"/>
      <c r="FP58" s="19" t="str">
        <f t="shared" si="1"/>
        <v/>
      </c>
      <c r="FQ58" s="14" t="s">
        <v>215</v>
      </c>
      <c r="FR58" s="14" t="s">
        <v>1708</v>
      </c>
    </row>
    <row r="59" ht="15.75" customHeight="1">
      <c r="A59" s="12" t="s">
        <v>292</v>
      </c>
      <c r="B59" s="12" t="s">
        <v>1676</v>
      </c>
      <c r="C59" s="24" t="s">
        <v>512</v>
      </c>
      <c r="D59" s="22" t="s">
        <v>1709</v>
      </c>
      <c r="E59" s="22" t="s">
        <v>1710</v>
      </c>
      <c r="F59" s="13" t="s">
        <v>178</v>
      </c>
      <c r="G59" s="14" t="s">
        <v>179</v>
      </c>
      <c r="H59" s="14" t="s">
        <v>1711</v>
      </c>
      <c r="I59" s="14" t="s">
        <v>179</v>
      </c>
      <c r="J59" s="14" t="s">
        <v>1712</v>
      </c>
      <c r="K59" s="14" t="s">
        <v>179</v>
      </c>
      <c r="L59" s="14" t="s">
        <v>1713</v>
      </c>
      <c r="M59" s="14" t="s">
        <v>179</v>
      </c>
      <c r="N59" s="14" t="s">
        <v>1714</v>
      </c>
      <c r="O59" s="14" t="s">
        <v>179</v>
      </c>
      <c r="P59" s="14" t="s">
        <v>1715</v>
      </c>
      <c r="Q59" s="14" t="s">
        <v>179</v>
      </c>
      <c r="R59" s="14" t="s">
        <v>1716</v>
      </c>
      <c r="S59" s="14" t="s">
        <v>179</v>
      </c>
      <c r="T59" s="14" t="s">
        <v>1717</v>
      </c>
      <c r="U59" s="14" t="s">
        <v>179</v>
      </c>
      <c r="V59" s="14" t="s">
        <v>1718</v>
      </c>
      <c r="W59" s="14" t="s">
        <v>179</v>
      </c>
      <c r="X59" s="14" t="s">
        <v>1719</v>
      </c>
      <c r="Y59" s="14" t="s">
        <v>179</v>
      </c>
      <c r="Z59" s="14" t="s">
        <v>1720</v>
      </c>
      <c r="AA59" s="14" t="s">
        <v>179</v>
      </c>
      <c r="AB59" s="14" t="s">
        <v>1721</v>
      </c>
      <c r="AC59" s="14" t="s">
        <v>179</v>
      </c>
      <c r="AD59" s="14" t="s">
        <v>1722</v>
      </c>
      <c r="AE59" s="14" t="s">
        <v>179</v>
      </c>
      <c r="AF59" s="14" t="s">
        <v>1723</v>
      </c>
      <c r="AG59" s="14" t="s">
        <v>188</v>
      </c>
      <c r="AH59" s="14" t="s">
        <v>1724</v>
      </c>
      <c r="AI59" s="14" t="s">
        <v>179</v>
      </c>
      <c r="AJ59" s="14" t="s">
        <v>1725</v>
      </c>
      <c r="AK59" s="14" t="s">
        <v>179</v>
      </c>
      <c r="AL59" s="14" t="s">
        <v>1726</v>
      </c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6" t="s">
        <v>197</v>
      </c>
      <c r="BP59" s="17" t="s">
        <v>198</v>
      </c>
      <c r="BQ59" s="18">
        <v>45685.469363425924</v>
      </c>
      <c r="BR59" s="17" t="s">
        <v>198</v>
      </c>
      <c r="BS59" s="18">
        <v>45685.46958333333</v>
      </c>
      <c r="BT59" s="17" t="s">
        <v>198</v>
      </c>
      <c r="BU59" s="18">
        <v>45685.46958333333</v>
      </c>
      <c r="BV59" s="13" t="s">
        <v>199</v>
      </c>
      <c r="BW59" s="14" t="s">
        <v>179</v>
      </c>
      <c r="BX59" s="14" t="s">
        <v>1727</v>
      </c>
      <c r="BY59" s="14" t="s">
        <v>179</v>
      </c>
      <c r="BZ59" s="14" t="s">
        <v>1728</v>
      </c>
      <c r="CA59" s="14" t="s">
        <v>179</v>
      </c>
      <c r="CB59" s="14" t="s">
        <v>1729</v>
      </c>
      <c r="CC59" s="14" t="s">
        <v>179</v>
      </c>
      <c r="CD59" s="14" t="s">
        <v>1730</v>
      </c>
      <c r="CE59" s="14" t="s">
        <v>179</v>
      </c>
      <c r="CF59" s="14" t="s">
        <v>1731</v>
      </c>
      <c r="CG59" s="14" t="s">
        <v>179</v>
      </c>
      <c r="CH59" s="14" t="s">
        <v>1732</v>
      </c>
      <c r="CI59" s="19"/>
      <c r="CJ59" s="15"/>
      <c r="CK59" s="19"/>
      <c r="CL59" s="15"/>
      <c r="CM59" s="19"/>
      <c r="CN59" s="15"/>
      <c r="CO59" s="19"/>
      <c r="CP59" s="15"/>
      <c r="CQ59" s="15"/>
      <c r="CR59" s="15"/>
      <c r="CS59" s="19"/>
      <c r="CT59" s="15"/>
      <c r="CU59" s="19"/>
      <c r="CV59" s="15"/>
      <c r="CW59" s="19"/>
      <c r="CX59" s="15"/>
      <c r="CY59" s="19"/>
      <c r="CZ59" s="15"/>
      <c r="DA59" s="16" t="s">
        <v>197</v>
      </c>
      <c r="DB59" s="17" t="s">
        <v>198</v>
      </c>
      <c r="DC59" s="20">
        <v>45719.44850694444</v>
      </c>
      <c r="DD59" s="17" t="s">
        <v>198</v>
      </c>
      <c r="DE59" s="18">
        <v>45719.44863425926</v>
      </c>
      <c r="DF59" s="17" t="s">
        <v>198</v>
      </c>
      <c r="DG59" s="18">
        <v>45719.44863425926</v>
      </c>
      <c r="DH59" s="13" t="s">
        <v>205</v>
      </c>
      <c r="DI59" s="14" t="s">
        <v>179</v>
      </c>
      <c r="DJ59" s="14" t="s">
        <v>1733</v>
      </c>
      <c r="DK59" s="14" t="s">
        <v>179</v>
      </c>
      <c r="DL59" s="14" t="s">
        <v>1733</v>
      </c>
      <c r="DM59" s="14" t="s">
        <v>179</v>
      </c>
      <c r="DN59" s="14" t="s">
        <v>1734</v>
      </c>
      <c r="DO59" s="14" t="s">
        <v>179</v>
      </c>
      <c r="DP59" s="14" t="s">
        <v>1734</v>
      </c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6" t="s">
        <v>197</v>
      </c>
      <c r="ED59" s="17" t="s">
        <v>198</v>
      </c>
      <c r="EE59" s="18">
        <v>45719.44871527778</v>
      </c>
      <c r="EF59" s="13" t="s">
        <v>209</v>
      </c>
      <c r="EG59" s="14" t="s">
        <v>179</v>
      </c>
      <c r="EH59" s="14" t="s">
        <v>1735</v>
      </c>
      <c r="EI59" s="14" t="s">
        <v>179</v>
      </c>
      <c r="EJ59" s="14" t="s">
        <v>1736</v>
      </c>
      <c r="EK59" s="14" t="s">
        <v>179</v>
      </c>
      <c r="EL59" s="14" t="s">
        <v>1737</v>
      </c>
      <c r="EM59" s="14" t="s">
        <v>179</v>
      </c>
      <c r="EN59" s="14" t="s">
        <v>1738</v>
      </c>
      <c r="EO59" s="15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6" t="s">
        <v>197</v>
      </c>
      <c r="FD59" s="17" t="s">
        <v>198</v>
      </c>
      <c r="FE59" s="18">
        <v>45723.29859953704</v>
      </c>
      <c r="FF59" s="19"/>
      <c r="FG59" s="19"/>
      <c r="FH59" s="21" t="s">
        <v>197</v>
      </c>
      <c r="FI59" s="17" t="s">
        <v>214</v>
      </c>
      <c r="FJ59" s="18">
        <v>45723.29859953704</v>
      </c>
      <c r="FK59" s="14" t="s">
        <v>1738</v>
      </c>
      <c r="FL59" s="19"/>
      <c r="FM59" s="19"/>
      <c r="FN59" s="19"/>
      <c r="FO59" s="19"/>
      <c r="FP59" s="19" t="str">
        <f t="shared" si="1"/>
        <v/>
      </c>
      <c r="FQ59" s="14" t="s">
        <v>215</v>
      </c>
      <c r="FR59" s="14" t="s">
        <v>1739</v>
      </c>
    </row>
    <row r="60" ht="15.75" customHeight="1">
      <c r="A60" s="12" t="s">
        <v>292</v>
      </c>
      <c r="B60" s="12" t="s">
        <v>1740</v>
      </c>
      <c r="C60" s="24" t="s">
        <v>512</v>
      </c>
      <c r="D60" s="22" t="s">
        <v>1741</v>
      </c>
      <c r="E60" s="22" t="s">
        <v>1742</v>
      </c>
      <c r="F60" s="13" t="s">
        <v>178</v>
      </c>
      <c r="G60" s="14" t="s">
        <v>179</v>
      </c>
      <c r="H60" s="14" t="s">
        <v>1743</v>
      </c>
      <c r="I60" s="14" t="s">
        <v>179</v>
      </c>
      <c r="J60" s="14" t="s">
        <v>1744</v>
      </c>
      <c r="K60" s="14" t="s">
        <v>179</v>
      </c>
      <c r="L60" s="14" t="s">
        <v>1745</v>
      </c>
      <c r="M60" s="14" t="s">
        <v>179</v>
      </c>
      <c r="N60" s="14" t="s">
        <v>1746</v>
      </c>
      <c r="O60" s="14" t="s">
        <v>179</v>
      </c>
      <c r="P60" s="14" t="s">
        <v>1747</v>
      </c>
      <c r="Q60" s="14" t="s">
        <v>179</v>
      </c>
      <c r="R60" s="14" t="s">
        <v>1748</v>
      </c>
      <c r="S60" s="14" t="s">
        <v>179</v>
      </c>
      <c r="T60" s="14" t="s">
        <v>1749</v>
      </c>
      <c r="U60" s="14" t="s">
        <v>179</v>
      </c>
      <c r="V60" s="14" t="s">
        <v>1750</v>
      </c>
      <c r="W60" s="14" t="s">
        <v>179</v>
      </c>
      <c r="X60" s="14" t="s">
        <v>1751</v>
      </c>
      <c r="Y60" s="14" t="s">
        <v>179</v>
      </c>
      <c r="Z60" s="14" t="s">
        <v>1752</v>
      </c>
      <c r="AA60" s="14" t="s">
        <v>179</v>
      </c>
      <c r="AB60" s="14" t="s">
        <v>1753</v>
      </c>
      <c r="AC60" s="14" t="s">
        <v>179</v>
      </c>
      <c r="AD60" s="14" t="s">
        <v>1754</v>
      </c>
      <c r="AE60" s="14" t="s">
        <v>179</v>
      </c>
      <c r="AF60" s="14" t="s">
        <v>1755</v>
      </c>
      <c r="AG60" s="14" t="s">
        <v>179</v>
      </c>
      <c r="AH60" s="14" t="s">
        <v>1756</v>
      </c>
      <c r="AI60" s="14" t="s">
        <v>179</v>
      </c>
      <c r="AJ60" s="14" t="s">
        <v>1757</v>
      </c>
      <c r="AK60" s="14" t="s">
        <v>179</v>
      </c>
      <c r="AL60" s="14" t="s">
        <v>1758</v>
      </c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6" t="s">
        <v>197</v>
      </c>
      <c r="BP60" s="17" t="s">
        <v>198</v>
      </c>
      <c r="BQ60" s="18">
        <v>45700.52155092593</v>
      </c>
      <c r="BR60" s="17" t="s">
        <v>198</v>
      </c>
      <c r="BS60" s="18">
        <v>45700.52173611111</v>
      </c>
      <c r="BT60" s="17" t="s">
        <v>198</v>
      </c>
      <c r="BU60" s="18">
        <v>45700.52173611111</v>
      </c>
      <c r="BV60" s="13" t="s">
        <v>199</v>
      </c>
      <c r="BW60" s="14" t="s">
        <v>179</v>
      </c>
      <c r="BX60" s="14" t="s">
        <v>1759</v>
      </c>
      <c r="BY60" s="14" t="s">
        <v>179</v>
      </c>
      <c r="BZ60" s="14" t="s">
        <v>1760</v>
      </c>
      <c r="CA60" s="14" t="s">
        <v>179</v>
      </c>
      <c r="CB60" s="14" t="s">
        <v>1761</v>
      </c>
      <c r="CC60" s="14" t="s">
        <v>179</v>
      </c>
      <c r="CD60" s="14" t="s">
        <v>1762</v>
      </c>
      <c r="CE60" s="14" t="s">
        <v>179</v>
      </c>
      <c r="CF60" s="14" t="s">
        <v>1763</v>
      </c>
      <c r="CG60" s="14" t="s">
        <v>179</v>
      </c>
      <c r="CH60" s="14" t="s">
        <v>1764</v>
      </c>
      <c r="CI60" s="19"/>
      <c r="CJ60" s="15"/>
      <c r="CK60" s="19"/>
      <c r="CL60" s="15"/>
      <c r="CM60" s="19"/>
      <c r="CN60" s="15"/>
      <c r="CO60" s="19"/>
      <c r="CP60" s="15"/>
      <c r="CQ60" s="15"/>
      <c r="CR60" s="15"/>
      <c r="CS60" s="19"/>
      <c r="CT60" s="15"/>
      <c r="CU60" s="19"/>
      <c r="CV60" s="15"/>
      <c r="CW60" s="19"/>
      <c r="CX60" s="15"/>
      <c r="CY60" s="19"/>
      <c r="CZ60" s="15"/>
      <c r="DA60" s="16" t="s">
        <v>197</v>
      </c>
      <c r="DB60" s="17" t="s">
        <v>198</v>
      </c>
      <c r="DC60" s="20">
        <v>45719.44945601852</v>
      </c>
      <c r="DD60" s="17" t="s">
        <v>198</v>
      </c>
      <c r="DE60" s="18">
        <v>45719.44950231481</v>
      </c>
      <c r="DF60" s="17" t="s">
        <v>198</v>
      </c>
      <c r="DG60" s="18">
        <v>45719.44950231481</v>
      </c>
      <c r="DH60" s="13" t="s">
        <v>205</v>
      </c>
      <c r="DI60" s="14" t="s">
        <v>179</v>
      </c>
      <c r="DJ60" s="14" t="s">
        <v>1765</v>
      </c>
      <c r="DK60" s="14" t="s">
        <v>179</v>
      </c>
      <c r="DL60" s="14" t="s">
        <v>1766</v>
      </c>
      <c r="DM60" s="14" t="s">
        <v>179</v>
      </c>
      <c r="DN60" s="14" t="s">
        <v>1767</v>
      </c>
      <c r="DO60" s="14" t="s">
        <v>179</v>
      </c>
      <c r="DP60" s="14" t="s">
        <v>1768</v>
      </c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6" t="s">
        <v>197</v>
      </c>
      <c r="ED60" s="17" t="s">
        <v>198</v>
      </c>
      <c r="EE60" s="18">
        <v>45719.44957175926</v>
      </c>
      <c r="EF60" s="13" t="s">
        <v>209</v>
      </c>
      <c r="EG60" s="14" t="s">
        <v>179</v>
      </c>
      <c r="EH60" s="14" t="s">
        <v>1769</v>
      </c>
      <c r="EI60" s="14" t="s">
        <v>179</v>
      </c>
      <c r="EJ60" s="14" t="s">
        <v>1770</v>
      </c>
      <c r="EK60" s="14" t="s">
        <v>179</v>
      </c>
      <c r="EL60" s="14" t="s">
        <v>1771</v>
      </c>
      <c r="EM60" s="14" t="s">
        <v>179</v>
      </c>
      <c r="EN60" s="14" t="s">
        <v>1772</v>
      </c>
      <c r="EO60" s="15"/>
      <c r="EP60" s="15"/>
      <c r="EQ60" s="15"/>
      <c r="ER60" s="1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6" t="s">
        <v>197</v>
      </c>
      <c r="FD60" s="17" t="s">
        <v>198</v>
      </c>
      <c r="FE60" s="18">
        <v>45722.36172453704</v>
      </c>
      <c r="FF60" s="19"/>
      <c r="FG60" s="19"/>
      <c r="FH60" s="21" t="s">
        <v>197</v>
      </c>
      <c r="FI60" s="17" t="s">
        <v>214</v>
      </c>
      <c r="FJ60" s="18">
        <v>45722.36172453704</v>
      </c>
      <c r="FK60" s="14" t="s">
        <v>1772</v>
      </c>
      <c r="FL60" s="14" t="s">
        <v>1773</v>
      </c>
      <c r="FM60" s="14" t="s">
        <v>1774</v>
      </c>
      <c r="FN60" s="14" t="s">
        <v>1775</v>
      </c>
      <c r="FO60" s="14" t="s">
        <v>1776</v>
      </c>
      <c r="FP60" s="19" t="str">
        <f t="shared" si="1"/>
        <v>Base de Dados_Images/BC3015.Imagem do Equipamento-.155153.jpg</v>
      </c>
      <c r="FQ60" s="14"/>
      <c r="FR60" s="14"/>
    </row>
    <row r="61" ht="15.75" customHeight="1">
      <c r="A61" s="12" t="s">
        <v>292</v>
      </c>
      <c r="B61" s="12" t="s">
        <v>1777</v>
      </c>
      <c r="C61" s="24" t="s">
        <v>512</v>
      </c>
      <c r="D61" s="22" t="s">
        <v>1778</v>
      </c>
      <c r="E61" s="22" t="s">
        <v>1779</v>
      </c>
      <c r="F61" s="13" t="s">
        <v>178</v>
      </c>
      <c r="G61" s="14" t="s">
        <v>179</v>
      </c>
      <c r="H61" s="14" t="s">
        <v>1780</v>
      </c>
      <c r="I61" s="14" t="s">
        <v>179</v>
      </c>
      <c r="J61" s="14" t="s">
        <v>1781</v>
      </c>
      <c r="K61" s="14" t="s">
        <v>179</v>
      </c>
      <c r="L61" s="14" t="s">
        <v>1782</v>
      </c>
      <c r="M61" s="14" t="s">
        <v>179</v>
      </c>
      <c r="N61" s="14" t="s">
        <v>1783</v>
      </c>
      <c r="O61" s="14" t="s">
        <v>179</v>
      </c>
      <c r="P61" s="14" t="s">
        <v>1784</v>
      </c>
      <c r="Q61" s="14" t="s">
        <v>179</v>
      </c>
      <c r="R61" s="14" t="s">
        <v>1785</v>
      </c>
      <c r="S61" s="14" t="s">
        <v>179</v>
      </c>
      <c r="T61" s="14" t="s">
        <v>1786</v>
      </c>
      <c r="U61" s="14" t="s">
        <v>179</v>
      </c>
      <c r="V61" s="14" t="s">
        <v>1787</v>
      </c>
      <c r="W61" s="14" t="s">
        <v>179</v>
      </c>
      <c r="X61" s="14" t="s">
        <v>1788</v>
      </c>
      <c r="Y61" s="14" t="s">
        <v>179</v>
      </c>
      <c r="Z61" s="14" t="s">
        <v>1789</v>
      </c>
      <c r="AA61" s="14" t="s">
        <v>179</v>
      </c>
      <c r="AB61" s="14" t="s">
        <v>1790</v>
      </c>
      <c r="AC61" s="14" t="s">
        <v>179</v>
      </c>
      <c r="AD61" s="14" t="s">
        <v>1791</v>
      </c>
      <c r="AE61" s="14" t="s">
        <v>179</v>
      </c>
      <c r="AF61" s="14" t="s">
        <v>1792</v>
      </c>
      <c r="AG61" s="14" t="s">
        <v>179</v>
      </c>
      <c r="AH61" s="14" t="s">
        <v>1793</v>
      </c>
      <c r="AI61" s="14" t="s">
        <v>179</v>
      </c>
      <c r="AJ61" s="14" t="s">
        <v>1794</v>
      </c>
      <c r="AK61" s="14" t="s">
        <v>179</v>
      </c>
      <c r="AL61" s="14" t="s">
        <v>1795</v>
      </c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6" t="s">
        <v>197</v>
      </c>
      <c r="BP61" s="17" t="s">
        <v>198</v>
      </c>
      <c r="BQ61" s="18">
        <v>45685.40640046296</v>
      </c>
      <c r="BR61" s="17" t="s">
        <v>198</v>
      </c>
      <c r="BS61" s="18">
        <v>45685.406539351854</v>
      </c>
      <c r="BT61" s="17" t="s">
        <v>198</v>
      </c>
      <c r="BU61" s="18">
        <v>45685.406539351854</v>
      </c>
      <c r="BV61" s="13" t="s">
        <v>199</v>
      </c>
      <c r="BW61" s="14" t="s">
        <v>179</v>
      </c>
      <c r="BX61" s="14" t="s">
        <v>1796</v>
      </c>
      <c r="BY61" s="14" t="s">
        <v>179</v>
      </c>
      <c r="BZ61" s="14" t="s">
        <v>1796</v>
      </c>
      <c r="CA61" s="14" t="s">
        <v>179</v>
      </c>
      <c r="CB61" s="14" t="s">
        <v>1797</v>
      </c>
      <c r="CC61" s="14" t="s">
        <v>179</v>
      </c>
      <c r="CD61" s="14" t="s">
        <v>1798</v>
      </c>
      <c r="CE61" s="14" t="s">
        <v>179</v>
      </c>
      <c r="CF61" s="14" t="s">
        <v>1799</v>
      </c>
      <c r="CG61" s="14" t="s">
        <v>179</v>
      </c>
      <c r="CH61" s="14" t="s">
        <v>1800</v>
      </c>
      <c r="CI61" s="19"/>
      <c r="CJ61" s="15"/>
      <c r="CK61" s="19"/>
      <c r="CL61" s="15"/>
      <c r="CM61" s="19"/>
      <c r="CN61" s="15"/>
      <c r="CO61" s="19"/>
      <c r="CP61" s="15"/>
      <c r="CQ61" s="15"/>
      <c r="CR61" s="15"/>
      <c r="CS61" s="19"/>
      <c r="CT61" s="15"/>
      <c r="CU61" s="19"/>
      <c r="CV61" s="15"/>
      <c r="CW61" s="19"/>
      <c r="CX61" s="15"/>
      <c r="CY61" s="19"/>
      <c r="CZ61" s="15"/>
      <c r="DA61" s="16" t="s">
        <v>197</v>
      </c>
      <c r="DB61" s="17" t="s">
        <v>198</v>
      </c>
      <c r="DC61" s="20">
        <v>45719.588321759256</v>
      </c>
      <c r="DD61" s="17" t="s">
        <v>198</v>
      </c>
      <c r="DE61" s="18">
        <v>45719.58835648148</v>
      </c>
      <c r="DF61" s="17" t="s">
        <v>198</v>
      </c>
      <c r="DG61" s="18">
        <v>45719.58835648148</v>
      </c>
      <c r="DH61" s="13" t="s">
        <v>205</v>
      </c>
      <c r="DI61" s="14" t="s">
        <v>179</v>
      </c>
      <c r="DJ61" s="14" t="s">
        <v>1801</v>
      </c>
      <c r="DK61" s="14" t="s">
        <v>179</v>
      </c>
      <c r="DL61" s="14" t="s">
        <v>1802</v>
      </c>
      <c r="DM61" s="14" t="s">
        <v>179</v>
      </c>
      <c r="DN61" s="14" t="s">
        <v>1802</v>
      </c>
      <c r="DO61" s="14" t="s">
        <v>179</v>
      </c>
      <c r="DP61" s="14" t="s">
        <v>1803</v>
      </c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6" t="s">
        <v>197</v>
      </c>
      <c r="ED61" s="17" t="s">
        <v>198</v>
      </c>
      <c r="EE61" s="18">
        <v>45719.67636574074</v>
      </c>
      <c r="EF61" s="13" t="s">
        <v>209</v>
      </c>
      <c r="EG61" s="14" t="s">
        <v>179</v>
      </c>
      <c r="EH61" s="14" t="s">
        <v>1804</v>
      </c>
      <c r="EI61" s="14" t="s">
        <v>179</v>
      </c>
      <c r="EJ61" s="14" t="s">
        <v>1805</v>
      </c>
      <c r="EK61" s="14" t="s">
        <v>179</v>
      </c>
      <c r="EL61" s="14" t="s">
        <v>1806</v>
      </c>
      <c r="EM61" s="14" t="s">
        <v>179</v>
      </c>
      <c r="EN61" s="14" t="s">
        <v>1806</v>
      </c>
      <c r="EO61" s="15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6" t="s">
        <v>197</v>
      </c>
      <c r="FD61" s="17" t="s">
        <v>198</v>
      </c>
      <c r="FE61" s="18">
        <v>45723.307233796295</v>
      </c>
      <c r="FF61" s="19"/>
      <c r="FG61" s="19"/>
      <c r="FH61" s="21" t="s">
        <v>197</v>
      </c>
      <c r="FI61" s="17" t="s">
        <v>214</v>
      </c>
      <c r="FJ61" s="18">
        <v>45723.307233796295</v>
      </c>
      <c r="FK61" s="14" t="s">
        <v>1806</v>
      </c>
      <c r="FL61" s="14" t="s">
        <v>1807</v>
      </c>
      <c r="FM61" s="14" t="s">
        <v>1808</v>
      </c>
      <c r="FN61" s="19"/>
      <c r="FO61" s="19"/>
      <c r="FP61" s="19" t="str">
        <f t="shared" si="1"/>
        <v>Base de Dados_Images/BC3016.Imagem do Equipamento-.163523.jpg</v>
      </c>
      <c r="FQ61" s="19"/>
      <c r="FR61" s="19"/>
    </row>
    <row r="62" ht="15.75" customHeight="1">
      <c r="A62" s="12" t="s">
        <v>292</v>
      </c>
      <c r="B62" s="12" t="s">
        <v>1809</v>
      </c>
      <c r="C62" s="24" t="s">
        <v>512</v>
      </c>
      <c r="D62" s="22" t="s">
        <v>1810</v>
      </c>
      <c r="E62" s="22" t="s">
        <v>1811</v>
      </c>
      <c r="F62" s="13" t="s">
        <v>178</v>
      </c>
      <c r="G62" s="14" t="s">
        <v>179</v>
      </c>
      <c r="H62" s="14" t="s">
        <v>1812</v>
      </c>
      <c r="I62" s="14" t="s">
        <v>179</v>
      </c>
      <c r="J62" s="14" t="s">
        <v>1813</v>
      </c>
      <c r="K62" s="14" t="s">
        <v>179</v>
      </c>
      <c r="L62" s="14" t="s">
        <v>1814</v>
      </c>
      <c r="M62" s="14" t="s">
        <v>179</v>
      </c>
      <c r="N62" s="14" t="s">
        <v>1815</v>
      </c>
      <c r="O62" s="14" t="s">
        <v>179</v>
      </c>
      <c r="P62" s="14" t="s">
        <v>1816</v>
      </c>
      <c r="Q62" s="14" t="s">
        <v>179</v>
      </c>
      <c r="R62" s="14" t="s">
        <v>1817</v>
      </c>
      <c r="S62" s="14" t="s">
        <v>179</v>
      </c>
      <c r="T62" s="14" t="s">
        <v>1818</v>
      </c>
      <c r="U62" s="14" t="s">
        <v>179</v>
      </c>
      <c r="V62" s="14" t="s">
        <v>1819</v>
      </c>
      <c r="W62" s="14" t="s">
        <v>179</v>
      </c>
      <c r="X62" s="14" t="s">
        <v>1820</v>
      </c>
      <c r="Y62" s="14" t="s">
        <v>179</v>
      </c>
      <c r="Z62" s="14" t="s">
        <v>1821</v>
      </c>
      <c r="AA62" s="14" t="s">
        <v>179</v>
      </c>
      <c r="AB62" s="14" t="s">
        <v>1822</v>
      </c>
      <c r="AC62" s="14" t="s">
        <v>179</v>
      </c>
      <c r="AD62" s="14" t="s">
        <v>1823</v>
      </c>
      <c r="AE62" s="14" t="s">
        <v>179</v>
      </c>
      <c r="AF62" s="14" t="s">
        <v>1824</v>
      </c>
      <c r="AG62" s="14" t="s">
        <v>179</v>
      </c>
      <c r="AH62" s="14" t="s">
        <v>1825</v>
      </c>
      <c r="AI62" s="14" t="s">
        <v>179</v>
      </c>
      <c r="AJ62" s="14" t="s">
        <v>1826</v>
      </c>
      <c r="AK62" s="14" t="s">
        <v>179</v>
      </c>
      <c r="AL62" s="14" t="s">
        <v>1827</v>
      </c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6" t="s">
        <v>197</v>
      </c>
      <c r="BP62" s="17" t="s">
        <v>198</v>
      </c>
      <c r="BQ62" s="18">
        <v>45685.46582175926</v>
      </c>
      <c r="BR62" s="17" t="s">
        <v>198</v>
      </c>
      <c r="BS62" s="18">
        <v>45685.46611111111</v>
      </c>
      <c r="BT62" s="17" t="s">
        <v>198</v>
      </c>
      <c r="BU62" s="18">
        <v>45685.46611111111</v>
      </c>
      <c r="BV62" s="13" t="s">
        <v>199</v>
      </c>
      <c r="BW62" s="14" t="s">
        <v>179</v>
      </c>
      <c r="BX62" s="14" t="s">
        <v>1828</v>
      </c>
      <c r="BY62" s="14" t="s">
        <v>179</v>
      </c>
      <c r="BZ62" s="14" t="s">
        <v>1829</v>
      </c>
      <c r="CA62" s="14" t="s">
        <v>179</v>
      </c>
      <c r="CB62" s="14" t="s">
        <v>1830</v>
      </c>
      <c r="CC62" s="14" t="s">
        <v>188</v>
      </c>
      <c r="CD62" s="14" t="s">
        <v>1831</v>
      </c>
      <c r="CE62" s="14" t="s">
        <v>179</v>
      </c>
      <c r="CF62" s="14" t="s">
        <v>1832</v>
      </c>
      <c r="CG62" s="14" t="s">
        <v>188</v>
      </c>
      <c r="CH62" s="14" t="s">
        <v>1833</v>
      </c>
      <c r="CI62" s="19"/>
      <c r="CJ62" s="15"/>
      <c r="CK62" s="19"/>
      <c r="CL62" s="15"/>
      <c r="CM62" s="19"/>
      <c r="CN62" s="15"/>
      <c r="CO62" s="19"/>
      <c r="CP62" s="15"/>
      <c r="CQ62" s="15"/>
      <c r="CR62" s="15"/>
      <c r="CS62" s="19"/>
      <c r="CT62" s="15"/>
      <c r="CU62" s="19"/>
      <c r="CV62" s="15"/>
      <c r="CW62" s="19"/>
      <c r="CX62" s="15"/>
      <c r="CY62" s="19"/>
      <c r="CZ62" s="15"/>
      <c r="DA62" s="16" t="s">
        <v>197</v>
      </c>
      <c r="DB62" s="17" t="s">
        <v>198</v>
      </c>
      <c r="DC62" s="20">
        <v>45696.33920138889</v>
      </c>
      <c r="DD62" s="17" t="s">
        <v>198</v>
      </c>
      <c r="DE62" s="18">
        <v>45696.33934027778</v>
      </c>
      <c r="DF62" s="17" t="s">
        <v>198</v>
      </c>
      <c r="DG62" s="18">
        <v>45696.33934027778</v>
      </c>
      <c r="DH62" s="13" t="s">
        <v>205</v>
      </c>
      <c r="DI62" s="14" t="s">
        <v>179</v>
      </c>
      <c r="DJ62" s="14" t="s">
        <v>1834</v>
      </c>
      <c r="DK62" s="14" t="s">
        <v>179</v>
      </c>
      <c r="DL62" s="14" t="s">
        <v>1835</v>
      </c>
      <c r="DM62" s="14" t="s">
        <v>179</v>
      </c>
      <c r="DN62" s="14" t="s">
        <v>1836</v>
      </c>
      <c r="DO62" s="14" t="s">
        <v>179</v>
      </c>
      <c r="DP62" s="14" t="s">
        <v>1837</v>
      </c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6" t="s">
        <v>197</v>
      </c>
      <c r="ED62" s="17" t="s">
        <v>198</v>
      </c>
      <c r="EE62" s="18">
        <v>45723.30909722222</v>
      </c>
      <c r="EF62" s="13" t="s">
        <v>209</v>
      </c>
      <c r="EG62" s="14" t="s">
        <v>179</v>
      </c>
      <c r="EH62" s="14" t="s">
        <v>1838</v>
      </c>
      <c r="EI62" s="14" t="s">
        <v>179</v>
      </c>
      <c r="EJ62" s="14" t="s">
        <v>1838</v>
      </c>
      <c r="EK62" s="14" t="s">
        <v>179</v>
      </c>
      <c r="EL62" s="14" t="s">
        <v>1839</v>
      </c>
      <c r="EM62" s="14" t="s">
        <v>179</v>
      </c>
      <c r="EN62" s="14" t="s">
        <v>1840</v>
      </c>
      <c r="EO62" s="15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6" t="s">
        <v>197</v>
      </c>
      <c r="FD62" s="17" t="s">
        <v>198</v>
      </c>
      <c r="FE62" s="18">
        <v>45723.309212962966</v>
      </c>
      <c r="FF62" s="19"/>
      <c r="FG62" s="19"/>
      <c r="FH62" s="21" t="s">
        <v>197</v>
      </c>
      <c r="FI62" s="17" t="s">
        <v>214</v>
      </c>
      <c r="FJ62" s="18">
        <v>45723.309212962966</v>
      </c>
      <c r="FK62" s="14" t="s">
        <v>1840</v>
      </c>
      <c r="FL62" s="14" t="s">
        <v>1841</v>
      </c>
      <c r="FM62" s="14" t="s">
        <v>1842</v>
      </c>
      <c r="FN62" s="19"/>
      <c r="FO62" s="19"/>
      <c r="FP62" s="19" t="str">
        <f t="shared" si="1"/>
        <v>Base de Dados_Images/BC3019.Imagem do Equipamento-.141725.jpg</v>
      </c>
      <c r="FQ62" s="14"/>
      <c r="FR62" s="14"/>
    </row>
    <row r="63" ht="15.75" customHeight="1">
      <c r="A63" s="12" t="s">
        <v>292</v>
      </c>
      <c r="B63" s="12" t="s">
        <v>1809</v>
      </c>
      <c r="C63" s="24" t="s">
        <v>512</v>
      </c>
      <c r="D63" s="22" t="s">
        <v>1843</v>
      </c>
      <c r="E63" s="22" t="s">
        <v>1844</v>
      </c>
      <c r="F63" s="13" t="s">
        <v>178</v>
      </c>
      <c r="G63" s="14" t="s">
        <v>179</v>
      </c>
      <c r="H63" s="14" t="s">
        <v>1845</v>
      </c>
      <c r="I63" s="14" t="s">
        <v>179</v>
      </c>
      <c r="J63" s="14" t="s">
        <v>1846</v>
      </c>
      <c r="K63" s="14" t="s">
        <v>179</v>
      </c>
      <c r="L63" s="14" t="s">
        <v>1847</v>
      </c>
      <c r="M63" s="14" t="s">
        <v>179</v>
      </c>
      <c r="N63" s="14" t="s">
        <v>1848</v>
      </c>
      <c r="O63" s="14" t="s">
        <v>179</v>
      </c>
      <c r="P63" s="14" t="s">
        <v>1849</v>
      </c>
      <c r="Q63" s="14" t="s">
        <v>179</v>
      </c>
      <c r="R63" s="14" t="s">
        <v>1850</v>
      </c>
      <c r="S63" s="14" t="s">
        <v>179</v>
      </c>
      <c r="T63" s="14" t="s">
        <v>1851</v>
      </c>
      <c r="U63" s="14" t="s">
        <v>179</v>
      </c>
      <c r="V63" s="14" t="s">
        <v>1852</v>
      </c>
      <c r="W63" s="14" t="s">
        <v>179</v>
      </c>
      <c r="X63" s="14" t="s">
        <v>1853</v>
      </c>
      <c r="Y63" s="14" t="s">
        <v>179</v>
      </c>
      <c r="Z63" s="14" t="s">
        <v>1854</v>
      </c>
      <c r="AA63" s="14" t="s">
        <v>179</v>
      </c>
      <c r="AB63" s="14" t="s">
        <v>1855</v>
      </c>
      <c r="AC63" s="14" t="s">
        <v>179</v>
      </c>
      <c r="AD63" s="14" t="s">
        <v>1856</v>
      </c>
      <c r="AE63" s="14" t="s">
        <v>179</v>
      </c>
      <c r="AF63" s="14" t="s">
        <v>1857</v>
      </c>
      <c r="AG63" s="14" t="s">
        <v>179</v>
      </c>
      <c r="AH63" s="14" t="s">
        <v>1858</v>
      </c>
      <c r="AI63" s="14" t="s">
        <v>179</v>
      </c>
      <c r="AJ63" s="14" t="s">
        <v>1859</v>
      </c>
      <c r="AK63" s="14" t="s">
        <v>179</v>
      </c>
      <c r="AL63" s="14" t="s">
        <v>1860</v>
      </c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6" t="s">
        <v>197</v>
      </c>
      <c r="BP63" s="17" t="s">
        <v>198</v>
      </c>
      <c r="BQ63" s="18">
        <v>45685.465</v>
      </c>
      <c r="BR63" s="17" t="s">
        <v>198</v>
      </c>
      <c r="BS63" s="18">
        <v>45685.46508101852</v>
      </c>
      <c r="BT63" s="17" t="s">
        <v>198</v>
      </c>
      <c r="BU63" s="18">
        <v>45685.46508101852</v>
      </c>
      <c r="BV63" s="13" t="s">
        <v>199</v>
      </c>
      <c r="BW63" s="14" t="s">
        <v>179</v>
      </c>
      <c r="BX63" s="14" t="s">
        <v>1861</v>
      </c>
      <c r="BY63" s="14" t="s">
        <v>179</v>
      </c>
      <c r="BZ63" s="14" t="s">
        <v>1862</v>
      </c>
      <c r="CA63" s="14" t="s">
        <v>179</v>
      </c>
      <c r="CB63" s="14" t="s">
        <v>1863</v>
      </c>
      <c r="CC63" s="14" t="s">
        <v>188</v>
      </c>
      <c r="CD63" s="14" t="s">
        <v>1864</v>
      </c>
      <c r="CE63" s="14" t="s">
        <v>179</v>
      </c>
      <c r="CF63" s="14" t="s">
        <v>1865</v>
      </c>
      <c r="CG63" s="14" t="s">
        <v>188</v>
      </c>
      <c r="CH63" s="14" t="s">
        <v>1866</v>
      </c>
      <c r="CI63" s="19"/>
      <c r="CJ63" s="15"/>
      <c r="CK63" s="19"/>
      <c r="CL63" s="15"/>
      <c r="CM63" s="19"/>
      <c r="CN63" s="15"/>
      <c r="CO63" s="19"/>
      <c r="CP63" s="15"/>
      <c r="CQ63" s="15"/>
      <c r="CR63" s="15"/>
      <c r="CS63" s="19"/>
      <c r="CT63" s="15"/>
      <c r="CU63" s="19"/>
      <c r="CV63" s="15"/>
      <c r="CW63" s="19"/>
      <c r="CX63" s="15"/>
      <c r="CY63" s="19"/>
      <c r="CZ63" s="15"/>
      <c r="DA63" s="16" t="s">
        <v>197</v>
      </c>
      <c r="DB63" s="17" t="s">
        <v>198</v>
      </c>
      <c r="DC63" s="20">
        <v>45696.33961805556</v>
      </c>
      <c r="DD63" s="17" t="s">
        <v>198</v>
      </c>
      <c r="DE63" s="18">
        <v>45696.33971064815</v>
      </c>
      <c r="DF63" s="17" t="s">
        <v>198</v>
      </c>
      <c r="DG63" s="18">
        <v>45696.33971064815</v>
      </c>
      <c r="DH63" s="13" t="s">
        <v>205</v>
      </c>
      <c r="DI63" s="14" t="s">
        <v>179</v>
      </c>
      <c r="DJ63" s="14" t="s">
        <v>1867</v>
      </c>
      <c r="DK63" s="14" t="s">
        <v>179</v>
      </c>
      <c r="DL63" s="14" t="s">
        <v>1868</v>
      </c>
      <c r="DM63" s="14" t="s">
        <v>179</v>
      </c>
      <c r="DN63" s="14" t="s">
        <v>1869</v>
      </c>
      <c r="DO63" s="14" t="s">
        <v>179</v>
      </c>
      <c r="DP63" s="14" t="s">
        <v>1870</v>
      </c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6" t="s">
        <v>197</v>
      </c>
      <c r="ED63" s="17" t="s">
        <v>198</v>
      </c>
      <c r="EE63" s="18">
        <v>45723.30930555556</v>
      </c>
      <c r="EF63" s="13" t="s">
        <v>209</v>
      </c>
      <c r="EG63" s="14" t="s">
        <v>179</v>
      </c>
      <c r="EH63" s="14" t="s">
        <v>1871</v>
      </c>
      <c r="EI63" s="14" t="s">
        <v>179</v>
      </c>
      <c r="EJ63" s="14" t="s">
        <v>1872</v>
      </c>
      <c r="EK63" s="14" t="s">
        <v>179</v>
      </c>
      <c r="EL63" s="14" t="s">
        <v>1873</v>
      </c>
      <c r="EM63" s="14" t="s">
        <v>179</v>
      </c>
      <c r="EN63" s="14" t="s">
        <v>1874</v>
      </c>
      <c r="EO63" s="15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6" t="s">
        <v>197</v>
      </c>
      <c r="FD63" s="17" t="s">
        <v>198</v>
      </c>
      <c r="FE63" s="18">
        <v>45723.309375</v>
      </c>
      <c r="FF63" s="19"/>
      <c r="FG63" s="19"/>
      <c r="FH63" s="21" t="s">
        <v>197</v>
      </c>
      <c r="FI63" s="17" t="s">
        <v>214</v>
      </c>
      <c r="FJ63" s="18">
        <v>45723.309375</v>
      </c>
      <c r="FK63" s="14" t="s">
        <v>1874</v>
      </c>
      <c r="FL63" s="14" t="s">
        <v>1875</v>
      </c>
      <c r="FM63" s="14" t="s">
        <v>1876</v>
      </c>
      <c r="FN63" s="19"/>
      <c r="FO63" s="19"/>
      <c r="FP63" s="19" t="str">
        <f t="shared" si="1"/>
        <v>Base de Dados_Images/BC3020.Imagem do Equipamento-.141734.jpg</v>
      </c>
      <c r="FQ63" s="14"/>
      <c r="FR63" s="14"/>
    </row>
    <row r="64" ht="15.75" customHeight="1">
      <c r="A64" s="12" t="s">
        <v>292</v>
      </c>
      <c r="B64" s="12" t="s">
        <v>1877</v>
      </c>
      <c r="C64" s="24" t="s">
        <v>512</v>
      </c>
      <c r="D64" s="22" t="s">
        <v>1878</v>
      </c>
      <c r="E64" s="22" t="s">
        <v>1879</v>
      </c>
      <c r="F64" s="13" t="s">
        <v>178</v>
      </c>
      <c r="G64" s="14" t="s">
        <v>179</v>
      </c>
      <c r="H64" s="14" t="s">
        <v>1880</v>
      </c>
      <c r="I64" s="14" t="s">
        <v>179</v>
      </c>
      <c r="J64" s="14" t="s">
        <v>1881</v>
      </c>
      <c r="K64" s="14" t="s">
        <v>179</v>
      </c>
      <c r="L64" s="14" t="s">
        <v>1882</v>
      </c>
      <c r="M64" s="14" t="s">
        <v>179</v>
      </c>
      <c r="N64" s="14" t="s">
        <v>1883</v>
      </c>
      <c r="O64" s="14" t="s">
        <v>179</v>
      </c>
      <c r="P64" s="14" t="s">
        <v>1884</v>
      </c>
      <c r="Q64" s="14" t="s">
        <v>179</v>
      </c>
      <c r="R64" s="14" t="s">
        <v>1885</v>
      </c>
      <c r="S64" s="14" t="s">
        <v>179</v>
      </c>
      <c r="T64" s="14" t="s">
        <v>1886</v>
      </c>
      <c r="U64" s="14" t="s">
        <v>179</v>
      </c>
      <c r="V64" s="14" t="s">
        <v>1887</v>
      </c>
      <c r="W64" s="14" t="s">
        <v>179</v>
      </c>
      <c r="X64" s="14" t="s">
        <v>1888</v>
      </c>
      <c r="Y64" s="14" t="s">
        <v>179</v>
      </c>
      <c r="Z64" s="14" t="s">
        <v>1889</v>
      </c>
      <c r="AA64" s="14" t="s">
        <v>179</v>
      </c>
      <c r="AB64" s="14" t="s">
        <v>1890</v>
      </c>
      <c r="AC64" s="14" t="s">
        <v>179</v>
      </c>
      <c r="AD64" s="14" t="s">
        <v>1891</v>
      </c>
      <c r="AE64" s="14" t="s">
        <v>179</v>
      </c>
      <c r="AF64" s="14" t="s">
        <v>1892</v>
      </c>
      <c r="AG64" s="14" t="s">
        <v>179</v>
      </c>
      <c r="AH64" s="14" t="s">
        <v>1893</v>
      </c>
      <c r="AI64" s="14" t="s">
        <v>179</v>
      </c>
      <c r="AJ64" s="14" t="s">
        <v>1894</v>
      </c>
      <c r="AK64" s="14" t="s">
        <v>179</v>
      </c>
      <c r="AL64" s="14" t="s">
        <v>1895</v>
      </c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6" t="s">
        <v>197</v>
      </c>
      <c r="BP64" s="17" t="s">
        <v>198</v>
      </c>
      <c r="BQ64" s="18">
        <v>45688.492268518516</v>
      </c>
      <c r="BR64" s="17" t="s">
        <v>198</v>
      </c>
      <c r="BS64" s="18">
        <v>45688.49228009259</v>
      </c>
      <c r="BT64" s="17" t="s">
        <v>198</v>
      </c>
      <c r="BU64" s="18">
        <v>45688.49228009259</v>
      </c>
      <c r="BV64" s="13" t="s">
        <v>199</v>
      </c>
      <c r="BW64" s="14" t="s">
        <v>179</v>
      </c>
      <c r="BX64" s="14" t="s">
        <v>1896</v>
      </c>
      <c r="BY64" s="14" t="s">
        <v>179</v>
      </c>
      <c r="BZ64" s="14" t="s">
        <v>1897</v>
      </c>
      <c r="CA64" s="14" t="s">
        <v>179</v>
      </c>
      <c r="CB64" s="14" t="s">
        <v>1897</v>
      </c>
      <c r="CC64" s="14" t="s">
        <v>179</v>
      </c>
      <c r="CD64" s="14" t="s">
        <v>1898</v>
      </c>
      <c r="CE64" s="14" t="s">
        <v>179</v>
      </c>
      <c r="CF64" s="14" t="s">
        <v>1899</v>
      </c>
      <c r="CG64" s="14" t="s">
        <v>179</v>
      </c>
      <c r="CH64" s="14" t="s">
        <v>1900</v>
      </c>
      <c r="CI64" s="19"/>
      <c r="CJ64" s="15"/>
      <c r="CK64" s="19"/>
      <c r="CL64" s="15"/>
      <c r="CM64" s="19"/>
      <c r="CN64" s="15"/>
      <c r="CO64" s="19"/>
      <c r="CP64" s="15"/>
      <c r="CQ64" s="15"/>
      <c r="CR64" s="15"/>
      <c r="CS64" s="19"/>
      <c r="CT64" s="15"/>
      <c r="CU64" s="19"/>
      <c r="CV64" s="15"/>
      <c r="CW64" s="19"/>
      <c r="CX64" s="15"/>
      <c r="CY64" s="19"/>
      <c r="CZ64" s="15"/>
      <c r="DA64" s="16" t="s">
        <v>197</v>
      </c>
      <c r="DB64" s="17" t="s">
        <v>198</v>
      </c>
      <c r="DC64" s="20">
        <v>45705.38553240741</v>
      </c>
      <c r="DD64" s="17" t="s">
        <v>198</v>
      </c>
      <c r="DE64" s="18">
        <v>45705.385567129626</v>
      </c>
      <c r="DF64" s="17" t="s">
        <v>198</v>
      </c>
      <c r="DG64" s="18">
        <v>45705.385567129626</v>
      </c>
      <c r="DH64" s="13" t="s">
        <v>205</v>
      </c>
      <c r="DI64" s="14" t="s">
        <v>179</v>
      </c>
      <c r="DJ64" s="14" t="s">
        <v>1901</v>
      </c>
      <c r="DK64" s="14" t="s">
        <v>179</v>
      </c>
      <c r="DL64" s="14" t="s">
        <v>1902</v>
      </c>
      <c r="DM64" s="14" t="s">
        <v>179</v>
      </c>
      <c r="DN64" s="14" t="s">
        <v>1902</v>
      </c>
      <c r="DO64" s="14" t="s">
        <v>179</v>
      </c>
      <c r="DP64" s="14" t="s">
        <v>1903</v>
      </c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6" t="s">
        <v>197</v>
      </c>
      <c r="ED64" s="17" t="s">
        <v>198</v>
      </c>
      <c r="EE64" s="18">
        <v>45723.3041087963</v>
      </c>
      <c r="EF64" s="13" t="s">
        <v>209</v>
      </c>
      <c r="EG64" s="14" t="s">
        <v>179</v>
      </c>
      <c r="EH64" s="14" t="s">
        <v>1904</v>
      </c>
      <c r="EI64" s="14" t="s">
        <v>179</v>
      </c>
      <c r="EJ64" s="14" t="s">
        <v>1904</v>
      </c>
      <c r="EK64" s="14" t="s">
        <v>179</v>
      </c>
      <c r="EL64" s="14" t="s">
        <v>1905</v>
      </c>
      <c r="EM64" s="14" t="s">
        <v>179</v>
      </c>
      <c r="EN64" s="14" t="s">
        <v>1906</v>
      </c>
      <c r="EO64" s="15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6" t="s">
        <v>197</v>
      </c>
      <c r="FD64" s="17" t="s">
        <v>198</v>
      </c>
      <c r="FE64" s="18">
        <v>45723.304189814815</v>
      </c>
      <c r="FF64" s="19"/>
      <c r="FG64" s="19"/>
      <c r="FH64" s="21" t="s">
        <v>197</v>
      </c>
      <c r="FI64" s="17" t="s">
        <v>214</v>
      </c>
      <c r="FJ64" s="18">
        <v>45723.304189814815</v>
      </c>
      <c r="FK64" s="14" t="s">
        <v>1906</v>
      </c>
      <c r="FL64" s="14" t="s">
        <v>1907</v>
      </c>
      <c r="FM64" s="14" t="s">
        <v>1908</v>
      </c>
      <c r="FN64" s="19"/>
      <c r="FO64" s="19"/>
      <c r="FP64" s="19" t="str">
        <f t="shared" si="1"/>
        <v>Base de Dados_Images/BC3021.Imagem do Equipamento-.155146.jpg</v>
      </c>
      <c r="FQ64" s="19"/>
      <c r="FR64" s="19"/>
    </row>
    <row r="65" ht="15.75" customHeight="1">
      <c r="A65" s="12" t="s">
        <v>292</v>
      </c>
      <c r="B65" s="12" t="s">
        <v>1877</v>
      </c>
      <c r="C65" s="24" t="s">
        <v>512</v>
      </c>
      <c r="D65" s="28" t="s">
        <v>1909</v>
      </c>
      <c r="E65" s="22" t="s">
        <v>1910</v>
      </c>
      <c r="F65" s="13" t="s">
        <v>178</v>
      </c>
      <c r="G65" s="14" t="s">
        <v>179</v>
      </c>
      <c r="H65" s="14" t="s">
        <v>1911</v>
      </c>
      <c r="I65" s="14" t="s">
        <v>179</v>
      </c>
      <c r="J65" s="14" t="s">
        <v>1912</v>
      </c>
      <c r="K65" s="14" t="s">
        <v>179</v>
      </c>
      <c r="L65" s="14" t="s">
        <v>1913</v>
      </c>
      <c r="M65" s="14" t="s">
        <v>179</v>
      </c>
      <c r="N65" s="14" t="s">
        <v>1914</v>
      </c>
      <c r="O65" s="14" t="s">
        <v>179</v>
      </c>
      <c r="P65" s="14" t="s">
        <v>1915</v>
      </c>
      <c r="Q65" s="14" t="s">
        <v>179</v>
      </c>
      <c r="R65" s="14" t="s">
        <v>1916</v>
      </c>
      <c r="S65" s="14" t="s">
        <v>179</v>
      </c>
      <c r="T65" s="14" t="s">
        <v>1917</v>
      </c>
      <c r="U65" s="14" t="s">
        <v>179</v>
      </c>
      <c r="V65" s="14" t="s">
        <v>1918</v>
      </c>
      <c r="W65" s="14" t="s">
        <v>179</v>
      </c>
      <c r="X65" s="14" t="s">
        <v>1919</v>
      </c>
      <c r="Y65" s="14" t="s">
        <v>188</v>
      </c>
      <c r="Z65" s="14" t="s">
        <v>1920</v>
      </c>
      <c r="AA65" s="14" t="s">
        <v>179</v>
      </c>
      <c r="AB65" s="14" t="s">
        <v>1921</v>
      </c>
      <c r="AC65" s="14" t="s">
        <v>179</v>
      </c>
      <c r="AD65" s="14" t="s">
        <v>1922</v>
      </c>
      <c r="AE65" s="14" t="s">
        <v>179</v>
      </c>
      <c r="AF65" s="14" t="s">
        <v>1923</v>
      </c>
      <c r="AG65" s="14" t="s">
        <v>179</v>
      </c>
      <c r="AH65" s="14" t="s">
        <v>1924</v>
      </c>
      <c r="AI65" s="14" t="s">
        <v>179</v>
      </c>
      <c r="AJ65" s="14" t="s">
        <v>1925</v>
      </c>
      <c r="AK65" s="14" t="s">
        <v>179</v>
      </c>
      <c r="AL65" s="14" t="s">
        <v>1926</v>
      </c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6" t="s">
        <v>197</v>
      </c>
      <c r="BP65" s="17" t="s">
        <v>198</v>
      </c>
      <c r="BQ65" s="18">
        <v>45685.399502314816</v>
      </c>
      <c r="BR65" s="17" t="s">
        <v>198</v>
      </c>
      <c r="BS65" s="18">
        <v>45685.39976851852</v>
      </c>
      <c r="BT65" s="17" t="s">
        <v>198</v>
      </c>
      <c r="BU65" s="18">
        <v>45685.39976851852</v>
      </c>
      <c r="BV65" s="13" t="s">
        <v>199</v>
      </c>
      <c r="BW65" s="14" t="s">
        <v>179</v>
      </c>
      <c r="BX65" s="14" t="s">
        <v>1927</v>
      </c>
      <c r="BY65" s="14" t="s">
        <v>179</v>
      </c>
      <c r="BZ65" s="14" t="s">
        <v>1928</v>
      </c>
      <c r="CA65" s="14" t="s">
        <v>179</v>
      </c>
      <c r="CB65" s="14" t="s">
        <v>1929</v>
      </c>
      <c r="CC65" s="14" t="s">
        <v>179</v>
      </c>
      <c r="CD65" s="14" t="s">
        <v>1930</v>
      </c>
      <c r="CE65" s="14" t="s">
        <v>179</v>
      </c>
      <c r="CF65" s="14" t="s">
        <v>1931</v>
      </c>
      <c r="CG65" s="14" t="s">
        <v>179</v>
      </c>
      <c r="CH65" s="14" t="s">
        <v>1932</v>
      </c>
      <c r="CI65" s="19"/>
      <c r="CJ65" s="15"/>
      <c r="CK65" s="19"/>
      <c r="CL65" s="15"/>
      <c r="CM65" s="19"/>
      <c r="CN65" s="15"/>
      <c r="CO65" s="19"/>
      <c r="CP65" s="15"/>
      <c r="CQ65" s="15"/>
      <c r="CR65" s="15"/>
      <c r="CS65" s="19"/>
      <c r="CT65" s="15"/>
      <c r="CU65" s="19"/>
      <c r="CV65" s="15"/>
      <c r="CW65" s="19"/>
      <c r="CX65" s="15"/>
      <c r="CY65" s="19"/>
      <c r="CZ65" s="15"/>
      <c r="DA65" s="16" t="s">
        <v>197</v>
      </c>
      <c r="DB65" s="17" t="s">
        <v>198</v>
      </c>
      <c r="DC65" s="20">
        <v>45685.400196759256</v>
      </c>
      <c r="DD65" s="17" t="s">
        <v>198</v>
      </c>
      <c r="DE65" s="18">
        <v>45685.40033564815</v>
      </c>
      <c r="DF65" s="17" t="s">
        <v>198</v>
      </c>
      <c r="DG65" s="18">
        <v>45685.40033564815</v>
      </c>
      <c r="DH65" s="13" t="s">
        <v>205</v>
      </c>
      <c r="DI65" s="14" t="s">
        <v>179</v>
      </c>
      <c r="DJ65" s="14" t="s">
        <v>1933</v>
      </c>
      <c r="DK65" s="14" t="s">
        <v>179</v>
      </c>
      <c r="DL65" s="14" t="s">
        <v>1933</v>
      </c>
      <c r="DM65" s="14" t="s">
        <v>179</v>
      </c>
      <c r="DN65" s="14" t="s">
        <v>1934</v>
      </c>
      <c r="DO65" s="14" t="s">
        <v>179</v>
      </c>
      <c r="DP65" s="14" t="s">
        <v>1934</v>
      </c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6" t="s">
        <v>197</v>
      </c>
      <c r="ED65" s="17" t="s">
        <v>198</v>
      </c>
      <c r="EE65" s="18">
        <v>45723.30428240741</v>
      </c>
      <c r="EF65" s="13" t="s">
        <v>209</v>
      </c>
      <c r="EG65" s="14" t="s">
        <v>179</v>
      </c>
      <c r="EH65" s="14" t="s">
        <v>1935</v>
      </c>
      <c r="EI65" s="14" t="s">
        <v>179</v>
      </c>
      <c r="EJ65" s="14" t="s">
        <v>1935</v>
      </c>
      <c r="EK65" s="14" t="s">
        <v>179</v>
      </c>
      <c r="EL65" s="14" t="s">
        <v>1936</v>
      </c>
      <c r="EM65" s="14" t="s">
        <v>179</v>
      </c>
      <c r="EN65" s="14" t="s">
        <v>1937</v>
      </c>
      <c r="EO65" s="15"/>
      <c r="EP65" s="15"/>
      <c r="EQ65" s="15"/>
      <c r="ER65" s="15"/>
      <c r="ES65" s="15"/>
      <c r="ET65" s="15"/>
      <c r="EU65" s="15"/>
      <c r="EV65" s="15"/>
      <c r="EW65" s="15"/>
      <c r="EX65" s="15"/>
      <c r="EY65" s="15"/>
      <c r="EZ65" s="15"/>
      <c r="FA65" s="15"/>
      <c r="FB65" s="15"/>
      <c r="FC65" s="16" t="s">
        <v>197</v>
      </c>
      <c r="FD65" s="17" t="s">
        <v>198</v>
      </c>
      <c r="FE65" s="18">
        <v>45723.304375</v>
      </c>
      <c r="FF65" s="19"/>
      <c r="FG65" s="19"/>
      <c r="FH65" s="21" t="s">
        <v>197</v>
      </c>
      <c r="FI65" s="17" t="s">
        <v>214</v>
      </c>
      <c r="FJ65" s="18">
        <v>45723.304375</v>
      </c>
      <c r="FK65" s="14" t="s">
        <v>1937</v>
      </c>
      <c r="FL65" s="14" t="s">
        <v>1938</v>
      </c>
      <c r="FM65" s="14" t="s">
        <v>1939</v>
      </c>
      <c r="FN65" s="14" t="s">
        <v>1940</v>
      </c>
      <c r="FO65" s="14" t="s">
        <v>1941</v>
      </c>
      <c r="FP65" s="19" t="str">
        <f t="shared" si="1"/>
        <v>Base de Dados_Images/BC3022.Imagem do Equipamento-.155341.jpg</v>
      </c>
      <c r="FQ65" s="19"/>
      <c r="FR65" s="19"/>
    </row>
    <row r="66" ht="15.75" customHeight="1">
      <c r="A66" s="12" t="s">
        <v>292</v>
      </c>
      <c r="B66" s="12" t="s">
        <v>1942</v>
      </c>
      <c r="C66" s="24" t="s">
        <v>512</v>
      </c>
      <c r="D66" s="28" t="s">
        <v>1943</v>
      </c>
      <c r="E66" s="22" t="s">
        <v>1944</v>
      </c>
      <c r="F66" s="13" t="s">
        <v>178</v>
      </c>
      <c r="G66" s="14" t="s">
        <v>179</v>
      </c>
      <c r="H66" s="14" t="s">
        <v>1945</v>
      </c>
      <c r="I66" s="14" t="s">
        <v>179</v>
      </c>
      <c r="J66" s="14" t="s">
        <v>1946</v>
      </c>
      <c r="K66" s="14" t="s">
        <v>179</v>
      </c>
      <c r="L66" s="14" t="s">
        <v>1947</v>
      </c>
      <c r="M66" s="14" t="s">
        <v>179</v>
      </c>
      <c r="N66" s="14" t="s">
        <v>1948</v>
      </c>
      <c r="O66" s="14" t="s">
        <v>179</v>
      </c>
      <c r="P66" s="14" t="s">
        <v>1949</v>
      </c>
      <c r="Q66" s="14" t="s">
        <v>179</v>
      </c>
      <c r="R66" s="14" t="s">
        <v>1950</v>
      </c>
      <c r="S66" s="14" t="s">
        <v>179</v>
      </c>
      <c r="T66" s="14" t="s">
        <v>1951</v>
      </c>
      <c r="U66" s="14" t="s">
        <v>179</v>
      </c>
      <c r="V66" s="14" t="s">
        <v>1952</v>
      </c>
      <c r="W66" s="14" t="s">
        <v>179</v>
      </c>
      <c r="X66" s="14" t="s">
        <v>1953</v>
      </c>
      <c r="Y66" s="14" t="s">
        <v>179</v>
      </c>
      <c r="Z66" s="14" t="s">
        <v>1954</v>
      </c>
      <c r="AA66" s="14" t="s">
        <v>179</v>
      </c>
      <c r="AB66" s="14" t="s">
        <v>1955</v>
      </c>
      <c r="AC66" s="14" t="s">
        <v>179</v>
      </c>
      <c r="AD66" s="14" t="s">
        <v>1956</v>
      </c>
      <c r="AE66" s="14" t="s">
        <v>179</v>
      </c>
      <c r="AF66" s="14" t="s">
        <v>1957</v>
      </c>
      <c r="AG66" s="14" t="s">
        <v>179</v>
      </c>
      <c r="AH66" s="14" t="s">
        <v>1958</v>
      </c>
      <c r="AI66" s="14" t="s">
        <v>179</v>
      </c>
      <c r="AJ66" s="14" t="s">
        <v>1958</v>
      </c>
      <c r="AK66" s="14" t="s">
        <v>179</v>
      </c>
      <c r="AL66" s="14" t="s">
        <v>1959</v>
      </c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6" t="s">
        <v>197</v>
      </c>
      <c r="BP66" s="17" t="s">
        <v>198</v>
      </c>
      <c r="BQ66" s="18">
        <v>45715.561261574076</v>
      </c>
      <c r="BR66" s="17" t="s">
        <v>198</v>
      </c>
      <c r="BS66" s="18">
        <v>45715.561435185184</v>
      </c>
      <c r="BT66" s="17" t="s">
        <v>198</v>
      </c>
      <c r="BU66" s="18">
        <v>45715.561435185184</v>
      </c>
      <c r="BV66" s="13" t="s">
        <v>199</v>
      </c>
      <c r="BW66" s="14" t="s">
        <v>179</v>
      </c>
      <c r="BX66" s="14" t="s">
        <v>1960</v>
      </c>
      <c r="BY66" s="14" t="s">
        <v>179</v>
      </c>
      <c r="BZ66" s="14" t="s">
        <v>1961</v>
      </c>
      <c r="CA66" s="14" t="s">
        <v>179</v>
      </c>
      <c r="CB66" s="14" t="s">
        <v>1962</v>
      </c>
      <c r="CC66" s="14" t="s">
        <v>179</v>
      </c>
      <c r="CD66" s="14" t="s">
        <v>1963</v>
      </c>
      <c r="CE66" s="14" t="s">
        <v>179</v>
      </c>
      <c r="CF66" s="14" t="s">
        <v>1964</v>
      </c>
      <c r="CG66" s="14" t="s">
        <v>179</v>
      </c>
      <c r="CH66" s="14" t="s">
        <v>1965</v>
      </c>
      <c r="CI66" s="19"/>
      <c r="CJ66" s="15"/>
      <c r="CK66" s="19"/>
      <c r="CL66" s="15"/>
      <c r="CM66" s="19"/>
      <c r="CN66" s="15"/>
      <c r="CO66" s="19"/>
      <c r="CP66" s="15"/>
      <c r="CQ66" s="15"/>
      <c r="CR66" s="15"/>
      <c r="CS66" s="19"/>
      <c r="CT66" s="15"/>
      <c r="CU66" s="19"/>
      <c r="CV66" s="15"/>
      <c r="CW66" s="19"/>
      <c r="CX66" s="15"/>
      <c r="CY66" s="19"/>
      <c r="CZ66" s="15"/>
      <c r="DA66" s="16" t="s">
        <v>197</v>
      </c>
      <c r="DB66" s="17" t="s">
        <v>198</v>
      </c>
      <c r="DC66" s="20">
        <v>45715.56155092592</v>
      </c>
      <c r="DD66" s="17" t="s">
        <v>198</v>
      </c>
      <c r="DE66" s="18">
        <v>45715.561631944445</v>
      </c>
      <c r="DF66" s="17" t="s">
        <v>198</v>
      </c>
      <c r="DG66" s="18">
        <v>45715.561631944445</v>
      </c>
      <c r="DH66" s="13" t="s">
        <v>205</v>
      </c>
      <c r="DI66" s="14" t="s">
        <v>179</v>
      </c>
      <c r="DJ66" s="14" t="s">
        <v>1966</v>
      </c>
      <c r="DK66" s="14" t="s">
        <v>179</v>
      </c>
      <c r="DL66" s="14" t="s">
        <v>1967</v>
      </c>
      <c r="DM66" s="14" t="s">
        <v>179</v>
      </c>
      <c r="DN66" s="14" t="s">
        <v>1968</v>
      </c>
      <c r="DO66" s="14" t="s">
        <v>179</v>
      </c>
      <c r="DP66" s="14" t="s">
        <v>1969</v>
      </c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6" t="s">
        <v>197</v>
      </c>
      <c r="ED66" s="17" t="s">
        <v>198</v>
      </c>
      <c r="EE66" s="18">
        <v>45715.561736111114</v>
      </c>
      <c r="EF66" s="13" t="s">
        <v>209</v>
      </c>
      <c r="EG66" s="14" t="s">
        <v>179</v>
      </c>
      <c r="EH66" s="14" t="s">
        <v>1970</v>
      </c>
      <c r="EI66" s="14" t="s">
        <v>179</v>
      </c>
      <c r="EJ66" s="14" t="s">
        <v>1971</v>
      </c>
      <c r="EK66" s="14" t="s">
        <v>179</v>
      </c>
      <c r="EL66" s="14" t="s">
        <v>1972</v>
      </c>
      <c r="EM66" s="14" t="s">
        <v>179</v>
      </c>
      <c r="EN66" s="14" t="s">
        <v>1973</v>
      </c>
      <c r="EO66" s="15"/>
      <c r="EP66" s="15"/>
      <c r="EQ66" s="15"/>
      <c r="ER66" s="15"/>
      <c r="ES66" s="15"/>
      <c r="ET66" s="15"/>
      <c r="EU66" s="15"/>
      <c r="EV66" s="15"/>
      <c r="EW66" s="15"/>
      <c r="EX66" s="15"/>
      <c r="EY66" s="15"/>
      <c r="EZ66" s="15"/>
      <c r="FA66" s="15"/>
      <c r="FB66" s="15"/>
      <c r="FC66" s="16" t="s">
        <v>197</v>
      </c>
      <c r="FD66" s="17" t="s">
        <v>198</v>
      </c>
      <c r="FE66" s="18">
        <v>45723.30677083333</v>
      </c>
      <c r="FF66" s="19"/>
      <c r="FG66" s="19"/>
      <c r="FH66" s="21" t="s">
        <v>197</v>
      </c>
      <c r="FI66" s="17" t="s">
        <v>214</v>
      </c>
      <c r="FJ66" s="18">
        <v>45723.30677083333</v>
      </c>
      <c r="FK66" s="14" t="s">
        <v>1973</v>
      </c>
      <c r="FL66" s="19"/>
      <c r="FM66" s="19"/>
      <c r="FN66" s="19"/>
      <c r="FO66" s="19"/>
      <c r="FP66" s="19" t="str">
        <f t="shared" si="1"/>
        <v/>
      </c>
      <c r="FQ66" s="14" t="s">
        <v>215</v>
      </c>
      <c r="FR66" s="14" t="s">
        <v>1974</v>
      </c>
    </row>
    <row r="67" ht="15.75" customHeight="1">
      <c r="A67" s="12" t="s">
        <v>292</v>
      </c>
      <c r="B67" s="12" t="s">
        <v>1975</v>
      </c>
      <c r="C67" s="24" t="s">
        <v>512</v>
      </c>
      <c r="D67" s="22" t="s">
        <v>1976</v>
      </c>
      <c r="E67" s="22" t="s">
        <v>1977</v>
      </c>
      <c r="F67" s="13" t="s">
        <v>178</v>
      </c>
      <c r="G67" s="14" t="s">
        <v>179</v>
      </c>
      <c r="H67" s="14" t="s">
        <v>1978</v>
      </c>
      <c r="I67" s="14" t="s">
        <v>179</v>
      </c>
      <c r="J67" s="14" t="s">
        <v>1979</v>
      </c>
      <c r="K67" s="14" t="s">
        <v>179</v>
      </c>
      <c r="L67" s="14" t="s">
        <v>1980</v>
      </c>
      <c r="M67" s="14" t="s">
        <v>179</v>
      </c>
      <c r="N67" s="14" t="s">
        <v>1981</v>
      </c>
      <c r="O67" s="14" t="s">
        <v>179</v>
      </c>
      <c r="P67" s="14" t="s">
        <v>1982</v>
      </c>
      <c r="Q67" s="14" t="s">
        <v>179</v>
      </c>
      <c r="R67" s="14" t="s">
        <v>1983</v>
      </c>
      <c r="S67" s="14" t="s">
        <v>179</v>
      </c>
      <c r="T67" s="14" t="s">
        <v>1984</v>
      </c>
      <c r="U67" s="14" t="s">
        <v>179</v>
      </c>
      <c r="V67" s="14" t="s">
        <v>1985</v>
      </c>
      <c r="W67" s="14" t="s">
        <v>179</v>
      </c>
      <c r="X67" s="14" t="s">
        <v>1986</v>
      </c>
      <c r="Y67" s="14" t="s">
        <v>188</v>
      </c>
      <c r="Z67" s="14" t="s">
        <v>1987</v>
      </c>
      <c r="AA67" s="14" t="s">
        <v>179</v>
      </c>
      <c r="AB67" s="14" t="s">
        <v>1988</v>
      </c>
      <c r="AC67" s="14" t="s">
        <v>179</v>
      </c>
      <c r="AD67" s="14" t="s">
        <v>1989</v>
      </c>
      <c r="AE67" s="14" t="s">
        <v>179</v>
      </c>
      <c r="AF67" s="14" t="s">
        <v>1990</v>
      </c>
      <c r="AG67" s="14" t="s">
        <v>179</v>
      </c>
      <c r="AH67" s="14" t="s">
        <v>1991</v>
      </c>
      <c r="AI67" s="14" t="s">
        <v>179</v>
      </c>
      <c r="AJ67" s="14" t="s">
        <v>1992</v>
      </c>
      <c r="AK67" s="14" t="s">
        <v>179</v>
      </c>
      <c r="AL67" s="14" t="s">
        <v>1993</v>
      </c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6" t="s">
        <v>197</v>
      </c>
      <c r="BP67" s="17" t="s">
        <v>198</v>
      </c>
      <c r="BQ67" s="18">
        <v>45687.50171296296</v>
      </c>
      <c r="BR67" s="17" t="s">
        <v>198</v>
      </c>
      <c r="BS67" s="18">
        <v>45687.50172453704</v>
      </c>
      <c r="BT67" s="17" t="s">
        <v>198</v>
      </c>
      <c r="BU67" s="18">
        <v>45687.50172453704</v>
      </c>
      <c r="BV67" s="13" t="s">
        <v>199</v>
      </c>
      <c r="BW67" s="14" t="s">
        <v>179</v>
      </c>
      <c r="BX67" s="14" t="s">
        <v>1994</v>
      </c>
      <c r="BY67" s="14" t="s">
        <v>179</v>
      </c>
      <c r="BZ67" s="14" t="s">
        <v>1995</v>
      </c>
      <c r="CA67" s="14" t="s">
        <v>179</v>
      </c>
      <c r="CB67" s="14" t="s">
        <v>1996</v>
      </c>
      <c r="CC67" s="14" t="s">
        <v>179</v>
      </c>
      <c r="CD67" s="14" t="s">
        <v>1997</v>
      </c>
      <c r="CE67" s="14" t="s">
        <v>179</v>
      </c>
      <c r="CF67" s="14" t="s">
        <v>1998</v>
      </c>
      <c r="CG67" s="14" t="s">
        <v>179</v>
      </c>
      <c r="CH67" s="14" t="s">
        <v>1999</v>
      </c>
      <c r="CI67" s="19"/>
      <c r="CJ67" s="15"/>
      <c r="CK67" s="19"/>
      <c r="CL67" s="15"/>
      <c r="CM67" s="19"/>
      <c r="CN67" s="15"/>
      <c r="CO67" s="19"/>
      <c r="CP67" s="15"/>
      <c r="CQ67" s="15"/>
      <c r="CR67" s="15"/>
      <c r="CS67" s="19"/>
      <c r="CT67" s="15"/>
      <c r="CU67" s="19"/>
      <c r="CV67" s="15"/>
      <c r="CW67" s="19"/>
      <c r="CX67" s="15"/>
      <c r="CY67" s="19"/>
      <c r="CZ67" s="15"/>
      <c r="DA67" s="16" t="s">
        <v>197</v>
      </c>
      <c r="DB67" s="17" t="s">
        <v>198</v>
      </c>
      <c r="DC67" s="20">
        <v>45719.47069444445</v>
      </c>
      <c r="DD67" s="17" t="s">
        <v>198</v>
      </c>
      <c r="DE67" s="18">
        <v>45719.47112268519</v>
      </c>
      <c r="DF67" s="17" t="s">
        <v>198</v>
      </c>
      <c r="DG67" s="18">
        <v>45719.47112268519</v>
      </c>
      <c r="DH67" s="13" t="s">
        <v>205</v>
      </c>
      <c r="DI67" s="14" t="s">
        <v>179</v>
      </c>
      <c r="DJ67" s="14" t="s">
        <v>2000</v>
      </c>
      <c r="DK67" s="14" t="s">
        <v>179</v>
      </c>
      <c r="DL67" s="14" t="s">
        <v>2001</v>
      </c>
      <c r="DM67" s="14" t="s">
        <v>179</v>
      </c>
      <c r="DN67" s="14" t="s">
        <v>2002</v>
      </c>
      <c r="DO67" s="14" t="s">
        <v>179</v>
      </c>
      <c r="DP67" s="14" t="s">
        <v>2003</v>
      </c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6" t="s">
        <v>197</v>
      </c>
      <c r="ED67" s="17" t="s">
        <v>198</v>
      </c>
      <c r="EE67" s="18">
        <v>45719.47122685185</v>
      </c>
      <c r="EF67" s="13" t="s">
        <v>209</v>
      </c>
      <c r="EG67" s="14" t="s">
        <v>179</v>
      </c>
      <c r="EH67" s="14" t="s">
        <v>2004</v>
      </c>
      <c r="EI67" s="14" t="s">
        <v>179</v>
      </c>
      <c r="EJ67" s="14" t="s">
        <v>2005</v>
      </c>
      <c r="EK67" s="14" t="s">
        <v>179</v>
      </c>
      <c r="EL67" s="14" t="s">
        <v>2006</v>
      </c>
      <c r="EM67" s="14" t="s">
        <v>179</v>
      </c>
      <c r="EN67" s="14" t="s">
        <v>2007</v>
      </c>
      <c r="EO67" s="15"/>
      <c r="EP67" s="15"/>
      <c r="EQ67" s="15"/>
      <c r="ER67" s="15"/>
      <c r="ES67" s="15"/>
      <c r="ET67" s="15"/>
      <c r="EU67" s="15"/>
      <c r="EV67" s="15"/>
      <c r="EW67" s="15"/>
      <c r="EX67" s="15"/>
      <c r="EY67" s="15"/>
      <c r="EZ67" s="15"/>
      <c r="FA67" s="15"/>
      <c r="FB67" s="15"/>
      <c r="FC67" s="16" t="s">
        <v>197</v>
      </c>
      <c r="FD67" s="17" t="s">
        <v>198</v>
      </c>
      <c r="FE67" s="18">
        <v>45722.50894675926</v>
      </c>
      <c r="FF67" s="19"/>
      <c r="FG67" s="19"/>
      <c r="FH67" s="21" t="s">
        <v>197</v>
      </c>
      <c r="FI67" s="17" t="s">
        <v>214</v>
      </c>
      <c r="FJ67" s="18">
        <v>45722.50894675926</v>
      </c>
      <c r="FK67" s="14" t="s">
        <v>2007</v>
      </c>
      <c r="FL67" s="14" t="s">
        <v>2008</v>
      </c>
      <c r="FM67" s="14" t="s">
        <v>2009</v>
      </c>
      <c r="FN67" s="19"/>
      <c r="FO67" s="19"/>
      <c r="FP67" s="19" t="str">
        <f t="shared" si="1"/>
        <v>Base de Dados_Images/BC3026.Imagem do Equipamento-.151353.jpg</v>
      </c>
      <c r="FQ67" s="19"/>
      <c r="FR67" s="19"/>
    </row>
    <row r="68" ht="15.75" customHeight="1">
      <c r="A68" s="12" t="s">
        <v>292</v>
      </c>
      <c r="B68" s="12" t="s">
        <v>374</v>
      </c>
      <c r="C68" s="24" t="s">
        <v>512</v>
      </c>
      <c r="D68" s="22" t="s">
        <v>2010</v>
      </c>
      <c r="E68" s="22" t="s">
        <v>2011</v>
      </c>
      <c r="F68" s="13" t="s">
        <v>178</v>
      </c>
      <c r="G68" s="14" t="s">
        <v>179</v>
      </c>
      <c r="H68" s="14" t="s">
        <v>2012</v>
      </c>
      <c r="I68" s="14" t="s">
        <v>179</v>
      </c>
      <c r="J68" s="14" t="s">
        <v>2013</v>
      </c>
      <c r="K68" s="14" t="s">
        <v>179</v>
      </c>
      <c r="L68" s="14" t="s">
        <v>2014</v>
      </c>
      <c r="M68" s="14" t="s">
        <v>179</v>
      </c>
      <c r="N68" s="14" t="s">
        <v>2015</v>
      </c>
      <c r="O68" s="14" t="s">
        <v>179</v>
      </c>
      <c r="P68" s="14" t="s">
        <v>2016</v>
      </c>
      <c r="Q68" s="14" t="s">
        <v>179</v>
      </c>
      <c r="R68" s="14" t="s">
        <v>2017</v>
      </c>
      <c r="S68" s="14" t="s">
        <v>179</v>
      </c>
      <c r="T68" s="14" t="s">
        <v>2018</v>
      </c>
      <c r="U68" s="14" t="s">
        <v>179</v>
      </c>
      <c r="V68" s="14" t="s">
        <v>2019</v>
      </c>
      <c r="W68" s="14" t="s">
        <v>179</v>
      </c>
      <c r="X68" s="14" t="s">
        <v>2020</v>
      </c>
      <c r="Y68" s="14" t="s">
        <v>188</v>
      </c>
      <c r="Z68" s="14" t="s">
        <v>2021</v>
      </c>
      <c r="AA68" s="14" t="s">
        <v>179</v>
      </c>
      <c r="AB68" s="14" t="s">
        <v>2022</v>
      </c>
      <c r="AC68" s="14" t="s">
        <v>179</v>
      </c>
      <c r="AD68" s="14" t="s">
        <v>2023</v>
      </c>
      <c r="AE68" s="14" t="s">
        <v>179</v>
      </c>
      <c r="AF68" s="14" t="s">
        <v>2024</v>
      </c>
      <c r="AG68" s="14" t="s">
        <v>188</v>
      </c>
      <c r="AH68" s="14" t="s">
        <v>2025</v>
      </c>
      <c r="AI68" s="14" t="s">
        <v>179</v>
      </c>
      <c r="AJ68" s="14" t="s">
        <v>2026</v>
      </c>
      <c r="AK68" s="14" t="s">
        <v>179</v>
      </c>
      <c r="AL68" s="14" t="s">
        <v>2027</v>
      </c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6" t="s">
        <v>197</v>
      </c>
      <c r="BP68" s="17" t="s">
        <v>198</v>
      </c>
      <c r="BQ68" s="18">
        <v>45692.37001157407</v>
      </c>
      <c r="BR68" s="17" t="s">
        <v>198</v>
      </c>
      <c r="BS68" s="18">
        <v>45692.37034722222</v>
      </c>
      <c r="BT68" s="17" t="s">
        <v>198</v>
      </c>
      <c r="BU68" s="18">
        <v>45692.37034722222</v>
      </c>
      <c r="BV68" s="13" t="s">
        <v>199</v>
      </c>
      <c r="BW68" s="14" t="s">
        <v>179</v>
      </c>
      <c r="BX68" s="14" t="s">
        <v>2028</v>
      </c>
      <c r="BY68" s="14" t="s">
        <v>179</v>
      </c>
      <c r="BZ68" s="14" t="s">
        <v>2029</v>
      </c>
      <c r="CA68" s="14" t="s">
        <v>179</v>
      </c>
      <c r="CB68" s="14" t="s">
        <v>2030</v>
      </c>
      <c r="CC68" s="14" t="s">
        <v>179</v>
      </c>
      <c r="CD68" s="14" t="s">
        <v>2030</v>
      </c>
      <c r="CE68" s="14" t="s">
        <v>179</v>
      </c>
      <c r="CF68" s="14" t="s">
        <v>2031</v>
      </c>
      <c r="CG68" s="14" t="s">
        <v>179</v>
      </c>
      <c r="CH68" s="14" t="s">
        <v>2032</v>
      </c>
      <c r="CI68" s="19"/>
      <c r="CJ68" s="15"/>
      <c r="CK68" s="19"/>
      <c r="CL68" s="15"/>
      <c r="CM68" s="19"/>
      <c r="CN68" s="15"/>
      <c r="CO68" s="19"/>
      <c r="CP68" s="15"/>
      <c r="CQ68" s="15"/>
      <c r="CR68" s="15"/>
      <c r="CS68" s="19"/>
      <c r="CT68" s="15"/>
      <c r="CU68" s="19"/>
      <c r="CV68" s="15"/>
      <c r="CW68" s="19"/>
      <c r="CX68" s="15"/>
      <c r="CY68" s="19"/>
      <c r="CZ68" s="15"/>
      <c r="DA68" s="16" t="s">
        <v>197</v>
      </c>
      <c r="DB68" s="17" t="s">
        <v>198</v>
      </c>
      <c r="DC68" s="20">
        <v>45719.45653935185</v>
      </c>
      <c r="DD68" s="17" t="s">
        <v>198</v>
      </c>
      <c r="DE68" s="18">
        <v>45719.4565625</v>
      </c>
      <c r="DF68" s="17" t="s">
        <v>198</v>
      </c>
      <c r="DG68" s="18">
        <v>45719.4565625</v>
      </c>
      <c r="DH68" s="13" t="s">
        <v>205</v>
      </c>
      <c r="DI68" s="14" t="s">
        <v>179</v>
      </c>
      <c r="DJ68" s="14" t="s">
        <v>2033</v>
      </c>
      <c r="DK68" s="14" t="s">
        <v>179</v>
      </c>
      <c r="DL68" s="14" t="s">
        <v>2033</v>
      </c>
      <c r="DM68" s="14" t="s">
        <v>179</v>
      </c>
      <c r="DN68" s="14" t="s">
        <v>2034</v>
      </c>
      <c r="DO68" s="14" t="s">
        <v>179</v>
      </c>
      <c r="DP68" s="14" t="s">
        <v>2035</v>
      </c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6" t="s">
        <v>197</v>
      </c>
      <c r="ED68" s="17" t="s">
        <v>198</v>
      </c>
      <c r="EE68" s="18">
        <v>45719.45664351852</v>
      </c>
      <c r="EF68" s="13" t="s">
        <v>209</v>
      </c>
      <c r="EG68" s="14" t="s">
        <v>179</v>
      </c>
      <c r="EH68" s="14" t="s">
        <v>2036</v>
      </c>
      <c r="EI68" s="14" t="s">
        <v>179</v>
      </c>
      <c r="EJ68" s="14" t="s">
        <v>2037</v>
      </c>
      <c r="EK68" s="14" t="s">
        <v>179</v>
      </c>
      <c r="EL68" s="14" t="s">
        <v>2038</v>
      </c>
      <c r="EM68" s="14" t="s">
        <v>179</v>
      </c>
      <c r="EN68" s="14" t="s">
        <v>2039</v>
      </c>
      <c r="EO68" s="15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6" t="s">
        <v>197</v>
      </c>
      <c r="FD68" s="17" t="s">
        <v>198</v>
      </c>
      <c r="FE68" s="18">
        <v>45723.37878472222</v>
      </c>
      <c r="FF68" s="19"/>
      <c r="FG68" s="19"/>
      <c r="FH68" s="21" t="s">
        <v>197</v>
      </c>
      <c r="FI68" s="17" t="s">
        <v>214</v>
      </c>
      <c r="FJ68" s="18">
        <v>45723.37878472222</v>
      </c>
      <c r="FK68" s="14" t="s">
        <v>2039</v>
      </c>
      <c r="FL68" s="14" t="s">
        <v>2040</v>
      </c>
      <c r="FM68" s="14" t="s">
        <v>2041</v>
      </c>
      <c r="FN68" s="19"/>
      <c r="FO68" s="19"/>
      <c r="FP68" s="19" t="str">
        <f t="shared" si="1"/>
        <v>Base de Dados_Images/BC3501.Imagem do Equipamento-.185637.jpg</v>
      </c>
      <c r="FQ68" s="14"/>
      <c r="FR68" s="14"/>
    </row>
    <row r="69" ht="15.75" customHeight="1">
      <c r="A69" s="12" t="s">
        <v>292</v>
      </c>
      <c r="B69" s="12" t="s">
        <v>374</v>
      </c>
      <c r="C69" s="24" t="s">
        <v>512</v>
      </c>
      <c r="D69" s="22" t="s">
        <v>2042</v>
      </c>
      <c r="E69" s="22" t="s">
        <v>2043</v>
      </c>
      <c r="F69" s="13" t="s">
        <v>178</v>
      </c>
      <c r="G69" s="14" t="s">
        <v>179</v>
      </c>
      <c r="H69" s="14" t="s">
        <v>2044</v>
      </c>
      <c r="I69" s="14" t="s">
        <v>179</v>
      </c>
      <c r="J69" s="14" t="s">
        <v>2045</v>
      </c>
      <c r="K69" s="14" t="s">
        <v>179</v>
      </c>
      <c r="L69" s="14" t="s">
        <v>2046</v>
      </c>
      <c r="M69" s="14" t="s">
        <v>179</v>
      </c>
      <c r="N69" s="14" t="s">
        <v>2047</v>
      </c>
      <c r="O69" s="14" t="s">
        <v>179</v>
      </c>
      <c r="P69" s="14" t="s">
        <v>2048</v>
      </c>
      <c r="Q69" s="14" t="s">
        <v>179</v>
      </c>
      <c r="R69" s="14" t="s">
        <v>2049</v>
      </c>
      <c r="S69" s="14" t="s">
        <v>179</v>
      </c>
      <c r="T69" s="14" t="s">
        <v>2050</v>
      </c>
      <c r="U69" s="14" t="s">
        <v>179</v>
      </c>
      <c r="V69" s="14" t="s">
        <v>2051</v>
      </c>
      <c r="W69" s="14" t="s">
        <v>179</v>
      </c>
      <c r="X69" s="14" t="s">
        <v>2052</v>
      </c>
      <c r="Y69" s="14" t="s">
        <v>188</v>
      </c>
      <c r="Z69" s="14" t="s">
        <v>2053</v>
      </c>
      <c r="AA69" s="14" t="s">
        <v>179</v>
      </c>
      <c r="AB69" s="14" t="s">
        <v>2054</v>
      </c>
      <c r="AC69" s="14" t="s">
        <v>179</v>
      </c>
      <c r="AD69" s="14" t="s">
        <v>2055</v>
      </c>
      <c r="AE69" s="14" t="s">
        <v>179</v>
      </c>
      <c r="AF69" s="14" t="s">
        <v>2054</v>
      </c>
      <c r="AG69" s="14" t="s">
        <v>179</v>
      </c>
      <c r="AH69" s="14" t="s">
        <v>2056</v>
      </c>
      <c r="AI69" s="14" t="s">
        <v>179</v>
      </c>
      <c r="AJ69" s="14" t="s">
        <v>2057</v>
      </c>
      <c r="AK69" s="14" t="s">
        <v>179</v>
      </c>
      <c r="AL69" s="14" t="s">
        <v>2057</v>
      </c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6" t="s">
        <v>197</v>
      </c>
      <c r="BP69" s="17" t="s">
        <v>198</v>
      </c>
      <c r="BQ69" s="18">
        <v>45692.36914351852</v>
      </c>
      <c r="BR69" s="17" t="s">
        <v>198</v>
      </c>
      <c r="BS69" s="18">
        <v>45692.36923611111</v>
      </c>
      <c r="BT69" s="17" t="s">
        <v>198</v>
      </c>
      <c r="BU69" s="18">
        <v>45692.36923611111</v>
      </c>
      <c r="BV69" s="13" t="s">
        <v>199</v>
      </c>
      <c r="BW69" s="14" t="s">
        <v>179</v>
      </c>
      <c r="BX69" s="14" t="s">
        <v>2058</v>
      </c>
      <c r="BY69" s="14" t="s">
        <v>179</v>
      </c>
      <c r="BZ69" s="14" t="s">
        <v>2059</v>
      </c>
      <c r="CA69" s="14" t="s">
        <v>179</v>
      </c>
      <c r="CB69" s="14" t="s">
        <v>2060</v>
      </c>
      <c r="CC69" s="14" t="s">
        <v>179</v>
      </c>
      <c r="CD69" s="14" t="s">
        <v>2061</v>
      </c>
      <c r="CE69" s="14" t="s">
        <v>179</v>
      </c>
      <c r="CF69" s="14" t="s">
        <v>2062</v>
      </c>
      <c r="CG69" s="14" t="s">
        <v>179</v>
      </c>
      <c r="CH69" s="14" t="s">
        <v>2063</v>
      </c>
      <c r="CI69" s="19"/>
      <c r="CJ69" s="15"/>
      <c r="CK69" s="19"/>
      <c r="CL69" s="15"/>
      <c r="CM69" s="19"/>
      <c r="CN69" s="15"/>
      <c r="CO69" s="19"/>
      <c r="CP69" s="15"/>
      <c r="CQ69" s="15"/>
      <c r="CR69" s="15"/>
      <c r="CS69" s="19"/>
      <c r="CT69" s="15"/>
      <c r="CU69" s="19"/>
      <c r="CV69" s="15"/>
      <c r="CW69" s="19"/>
      <c r="CX69" s="15"/>
      <c r="CY69" s="19"/>
      <c r="CZ69" s="15"/>
      <c r="DA69" s="16" t="s">
        <v>197</v>
      </c>
      <c r="DB69" s="17" t="s">
        <v>198</v>
      </c>
      <c r="DC69" s="20">
        <v>45719.456724537034</v>
      </c>
      <c r="DD69" s="17" t="s">
        <v>198</v>
      </c>
      <c r="DE69" s="18">
        <v>45719.456770833334</v>
      </c>
      <c r="DF69" s="17" t="s">
        <v>198</v>
      </c>
      <c r="DG69" s="18">
        <v>45719.456770833334</v>
      </c>
      <c r="DH69" s="13" t="s">
        <v>205</v>
      </c>
      <c r="DI69" s="14" t="s">
        <v>179</v>
      </c>
      <c r="DJ69" s="14" t="s">
        <v>2064</v>
      </c>
      <c r="DK69" s="14" t="s">
        <v>179</v>
      </c>
      <c r="DL69" s="14" t="s">
        <v>2065</v>
      </c>
      <c r="DM69" s="14" t="s">
        <v>179</v>
      </c>
      <c r="DN69" s="14" t="s">
        <v>2066</v>
      </c>
      <c r="DO69" s="14" t="s">
        <v>179</v>
      </c>
      <c r="DP69" s="14" t="s">
        <v>2067</v>
      </c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6" t="s">
        <v>197</v>
      </c>
      <c r="ED69" s="17" t="s">
        <v>198</v>
      </c>
      <c r="EE69" s="18">
        <v>45719.45684027778</v>
      </c>
      <c r="EF69" s="13" t="s">
        <v>209</v>
      </c>
      <c r="EG69" s="14" t="s">
        <v>179</v>
      </c>
      <c r="EH69" s="14" t="s">
        <v>2068</v>
      </c>
      <c r="EI69" s="14" t="s">
        <v>179</v>
      </c>
      <c r="EJ69" s="14" t="s">
        <v>2069</v>
      </c>
      <c r="EK69" s="14" t="s">
        <v>179</v>
      </c>
      <c r="EL69" s="14" t="s">
        <v>2069</v>
      </c>
      <c r="EM69" s="14" t="s">
        <v>179</v>
      </c>
      <c r="EN69" s="14" t="s">
        <v>2070</v>
      </c>
      <c r="EO69" s="15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6" t="s">
        <v>197</v>
      </c>
      <c r="FD69" s="17" t="s">
        <v>198</v>
      </c>
      <c r="FE69" s="18">
        <v>45723.378912037035</v>
      </c>
      <c r="FF69" s="19"/>
      <c r="FG69" s="19"/>
      <c r="FH69" s="21" t="s">
        <v>197</v>
      </c>
      <c r="FI69" s="17" t="s">
        <v>214</v>
      </c>
      <c r="FJ69" s="18">
        <v>45723.378912037035</v>
      </c>
      <c r="FK69" s="14" t="s">
        <v>2070</v>
      </c>
      <c r="FL69" s="14" t="s">
        <v>2071</v>
      </c>
      <c r="FM69" s="14" t="s">
        <v>2072</v>
      </c>
      <c r="FN69" s="19"/>
      <c r="FO69" s="19"/>
      <c r="FP69" s="19" t="str">
        <f t="shared" si="1"/>
        <v>Base de Dados_Images/BC3502.Imagem do Equipamento-.185630.jpg</v>
      </c>
      <c r="FQ69" s="14"/>
      <c r="FR69" s="14"/>
    </row>
    <row r="70" ht="15.75" customHeight="1">
      <c r="A70" s="12" t="s">
        <v>292</v>
      </c>
      <c r="B70" s="12" t="s">
        <v>1393</v>
      </c>
      <c r="C70" s="24" t="s">
        <v>512</v>
      </c>
      <c r="D70" s="12" t="s">
        <v>2073</v>
      </c>
      <c r="E70" s="12" t="s">
        <v>2074</v>
      </c>
      <c r="F70" s="13" t="s">
        <v>178</v>
      </c>
      <c r="G70" s="14" t="s">
        <v>179</v>
      </c>
      <c r="H70" s="14" t="s">
        <v>2075</v>
      </c>
      <c r="I70" s="14" t="s">
        <v>179</v>
      </c>
      <c r="J70" s="14" t="s">
        <v>2076</v>
      </c>
      <c r="K70" s="14" t="s">
        <v>179</v>
      </c>
      <c r="L70" s="14" t="s">
        <v>2077</v>
      </c>
      <c r="M70" s="14" t="s">
        <v>179</v>
      </c>
      <c r="N70" s="14" t="s">
        <v>2078</v>
      </c>
      <c r="O70" s="14" t="s">
        <v>179</v>
      </c>
      <c r="P70" s="14" t="s">
        <v>2079</v>
      </c>
      <c r="Q70" s="14" t="s">
        <v>179</v>
      </c>
      <c r="R70" s="14" t="s">
        <v>2080</v>
      </c>
      <c r="S70" s="14" t="s">
        <v>179</v>
      </c>
      <c r="T70" s="14" t="s">
        <v>2081</v>
      </c>
      <c r="U70" s="14" t="s">
        <v>179</v>
      </c>
      <c r="V70" s="14" t="s">
        <v>2082</v>
      </c>
      <c r="W70" s="14" t="s">
        <v>179</v>
      </c>
      <c r="X70" s="14" t="s">
        <v>2083</v>
      </c>
      <c r="Y70" s="14" t="s">
        <v>179</v>
      </c>
      <c r="Z70" s="14" t="s">
        <v>2084</v>
      </c>
      <c r="AA70" s="14" t="s">
        <v>179</v>
      </c>
      <c r="AB70" s="14" t="s">
        <v>2085</v>
      </c>
      <c r="AC70" s="14" t="s">
        <v>179</v>
      </c>
      <c r="AD70" s="14" t="s">
        <v>2086</v>
      </c>
      <c r="AE70" s="14" t="s">
        <v>179</v>
      </c>
      <c r="AF70" s="14" t="s">
        <v>2087</v>
      </c>
      <c r="AG70" s="14" t="s">
        <v>179</v>
      </c>
      <c r="AH70" s="14" t="s">
        <v>2088</v>
      </c>
      <c r="AI70" s="14" t="s">
        <v>179</v>
      </c>
      <c r="AJ70" s="14" t="s">
        <v>2089</v>
      </c>
      <c r="AK70" s="14" t="s">
        <v>179</v>
      </c>
      <c r="AL70" s="14" t="s">
        <v>2090</v>
      </c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6" t="s">
        <v>197</v>
      </c>
      <c r="BP70" s="17" t="s">
        <v>198</v>
      </c>
      <c r="BQ70" s="18">
        <v>45705.43349537037</v>
      </c>
      <c r="BR70" s="17" t="s">
        <v>198</v>
      </c>
      <c r="BS70" s="18">
        <v>45705.43378472222</v>
      </c>
      <c r="BT70" s="17" t="s">
        <v>198</v>
      </c>
      <c r="BU70" s="18">
        <v>45705.43378472222</v>
      </c>
      <c r="BV70" s="13" t="s">
        <v>199</v>
      </c>
      <c r="BW70" s="14" t="s">
        <v>179</v>
      </c>
      <c r="BX70" s="14" t="s">
        <v>2091</v>
      </c>
      <c r="BY70" s="14" t="s">
        <v>179</v>
      </c>
      <c r="BZ70" s="14" t="s">
        <v>2092</v>
      </c>
      <c r="CA70" s="14" t="s">
        <v>179</v>
      </c>
      <c r="CB70" s="14" t="s">
        <v>2093</v>
      </c>
      <c r="CC70" s="14" t="s">
        <v>179</v>
      </c>
      <c r="CD70" s="14" t="s">
        <v>2094</v>
      </c>
      <c r="CE70" s="14" t="s">
        <v>179</v>
      </c>
      <c r="CF70" s="14" t="s">
        <v>2094</v>
      </c>
      <c r="CG70" s="14" t="s">
        <v>179</v>
      </c>
      <c r="CH70" s="14" t="s">
        <v>2095</v>
      </c>
      <c r="CI70" s="19"/>
      <c r="CJ70" s="15"/>
      <c r="CK70" s="19"/>
      <c r="CL70" s="15"/>
      <c r="CM70" s="19"/>
      <c r="CN70" s="15"/>
      <c r="CO70" s="19"/>
      <c r="CP70" s="15"/>
      <c r="CQ70" s="15"/>
      <c r="CR70" s="15"/>
      <c r="CS70" s="19"/>
      <c r="CT70" s="15"/>
      <c r="CU70" s="19"/>
      <c r="CV70" s="15"/>
      <c r="CW70" s="19"/>
      <c r="CX70" s="15"/>
      <c r="CY70" s="19"/>
      <c r="CZ70" s="15"/>
      <c r="DA70" s="16" t="s">
        <v>197</v>
      </c>
      <c r="DB70" s="17" t="s">
        <v>198</v>
      </c>
      <c r="DC70" s="20">
        <v>45719.445023148146</v>
      </c>
      <c r="DD70" s="17" t="s">
        <v>198</v>
      </c>
      <c r="DE70" s="18">
        <v>45719.44505787037</v>
      </c>
      <c r="DF70" s="17" t="s">
        <v>198</v>
      </c>
      <c r="DG70" s="18">
        <v>45719.44505787037</v>
      </c>
      <c r="DH70" s="13" t="s">
        <v>205</v>
      </c>
      <c r="DI70" s="14" t="s">
        <v>179</v>
      </c>
      <c r="DJ70" s="14" t="s">
        <v>2096</v>
      </c>
      <c r="DK70" s="14" t="s">
        <v>179</v>
      </c>
      <c r="DL70" s="14" t="s">
        <v>2097</v>
      </c>
      <c r="DM70" s="14" t="s">
        <v>179</v>
      </c>
      <c r="DN70" s="14" t="s">
        <v>2098</v>
      </c>
      <c r="DO70" s="14" t="s">
        <v>179</v>
      </c>
      <c r="DP70" s="14" t="s">
        <v>2099</v>
      </c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6" t="s">
        <v>197</v>
      </c>
      <c r="ED70" s="17" t="s">
        <v>198</v>
      </c>
      <c r="EE70" s="18">
        <v>45719.445127314815</v>
      </c>
      <c r="EF70" s="13" t="s">
        <v>209</v>
      </c>
      <c r="EG70" s="14" t="s">
        <v>179</v>
      </c>
      <c r="EH70" s="14" t="s">
        <v>2100</v>
      </c>
      <c r="EI70" s="14" t="s">
        <v>179</v>
      </c>
      <c r="EJ70" s="14" t="s">
        <v>2101</v>
      </c>
      <c r="EK70" s="14" t="s">
        <v>179</v>
      </c>
      <c r="EL70" s="14" t="s">
        <v>2102</v>
      </c>
      <c r="EM70" s="14" t="s">
        <v>179</v>
      </c>
      <c r="EN70" s="14" t="s">
        <v>2103</v>
      </c>
      <c r="EO70" s="15"/>
      <c r="EP70" s="15"/>
      <c r="EQ70" s="15"/>
      <c r="ER70" s="15"/>
      <c r="ES70" s="15"/>
      <c r="ET70" s="15"/>
      <c r="EU70" s="15"/>
      <c r="EV70" s="15"/>
      <c r="EW70" s="15"/>
      <c r="EX70" s="15"/>
      <c r="EY70" s="15"/>
      <c r="EZ70" s="15"/>
      <c r="FA70" s="15"/>
      <c r="FB70" s="15"/>
      <c r="FC70" s="16" t="s">
        <v>197</v>
      </c>
      <c r="FD70" s="17" t="s">
        <v>198</v>
      </c>
      <c r="FE70" s="18">
        <v>45722.36295138889</v>
      </c>
      <c r="FF70" s="19"/>
      <c r="FG70" s="19"/>
      <c r="FH70" s="21" t="s">
        <v>197</v>
      </c>
      <c r="FI70" s="17" t="s">
        <v>214</v>
      </c>
      <c r="FJ70" s="18">
        <v>45722.36295138889</v>
      </c>
      <c r="FK70" s="14" t="s">
        <v>2103</v>
      </c>
      <c r="FL70" s="19"/>
      <c r="FM70" s="19"/>
      <c r="FN70" s="19"/>
      <c r="FO70" s="19"/>
      <c r="FP70" s="19" t="str">
        <f t="shared" si="1"/>
        <v/>
      </c>
      <c r="FQ70" s="14" t="s">
        <v>215</v>
      </c>
      <c r="FR70" s="14" t="s">
        <v>2104</v>
      </c>
    </row>
    <row r="71" ht="15.75" customHeight="1">
      <c r="A71" s="12" t="s">
        <v>292</v>
      </c>
      <c r="B71" s="12" t="s">
        <v>1420</v>
      </c>
      <c r="C71" s="24" t="s">
        <v>512</v>
      </c>
      <c r="D71" s="22" t="s">
        <v>2105</v>
      </c>
      <c r="E71" s="22" t="s">
        <v>2106</v>
      </c>
      <c r="F71" s="13" t="s">
        <v>178</v>
      </c>
      <c r="G71" s="14" t="s">
        <v>179</v>
      </c>
      <c r="H71" s="14" t="s">
        <v>2107</v>
      </c>
      <c r="I71" s="14" t="s">
        <v>179</v>
      </c>
      <c r="J71" s="14" t="s">
        <v>2108</v>
      </c>
      <c r="K71" s="14" t="s">
        <v>179</v>
      </c>
      <c r="L71" s="14" t="s">
        <v>2109</v>
      </c>
      <c r="M71" s="14" t="s">
        <v>179</v>
      </c>
      <c r="N71" s="14" t="s">
        <v>2110</v>
      </c>
      <c r="O71" s="14" t="s">
        <v>179</v>
      </c>
      <c r="P71" s="14" t="s">
        <v>2111</v>
      </c>
      <c r="Q71" s="14" t="s">
        <v>179</v>
      </c>
      <c r="R71" s="14" t="s">
        <v>2112</v>
      </c>
      <c r="S71" s="14" t="s">
        <v>179</v>
      </c>
      <c r="T71" s="14" t="s">
        <v>2112</v>
      </c>
      <c r="U71" s="14" t="s">
        <v>179</v>
      </c>
      <c r="V71" s="14" t="s">
        <v>2113</v>
      </c>
      <c r="W71" s="14" t="s">
        <v>179</v>
      </c>
      <c r="X71" s="14" t="s">
        <v>2114</v>
      </c>
      <c r="Y71" s="14" t="s">
        <v>179</v>
      </c>
      <c r="Z71" s="14" t="s">
        <v>2115</v>
      </c>
      <c r="AA71" s="14" t="s">
        <v>179</v>
      </c>
      <c r="AB71" s="14" t="s">
        <v>2116</v>
      </c>
      <c r="AC71" s="14" t="s">
        <v>179</v>
      </c>
      <c r="AD71" s="14" t="s">
        <v>2117</v>
      </c>
      <c r="AE71" s="14" t="s">
        <v>179</v>
      </c>
      <c r="AF71" s="14" t="s">
        <v>2117</v>
      </c>
      <c r="AG71" s="14" t="s">
        <v>188</v>
      </c>
      <c r="AH71" s="14" t="s">
        <v>2118</v>
      </c>
      <c r="AI71" s="14" t="s">
        <v>179</v>
      </c>
      <c r="AJ71" s="14" t="s">
        <v>2119</v>
      </c>
      <c r="AK71" s="14" t="s">
        <v>179</v>
      </c>
      <c r="AL71" s="14" t="s">
        <v>2119</v>
      </c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6" t="s">
        <v>197</v>
      </c>
      <c r="BP71" s="17" t="s">
        <v>198</v>
      </c>
      <c r="BQ71" s="18">
        <v>45692.37233796297</v>
      </c>
      <c r="BR71" s="17" t="s">
        <v>198</v>
      </c>
      <c r="BS71" s="18">
        <v>45692.37247685185</v>
      </c>
      <c r="BT71" s="17" t="s">
        <v>198</v>
      </c>
      <c r="BU71" s="18">
        <v>45692.37247685185</v>
      </c>
      <c r="BV71" s="13" t="s">
        <v>199</v>
      </c>
      <c r="BW71" s="14" t="s">
        <v>179</v>
      </c>
      <c r="BX71" s="14" t="s">
        <v>2120</v>
      </c>
      <c r="BY71" s="14" t="s">
        <v>179</v>
      </c>
      <c r="BZ71" s="14" t="s">
        <v>2121</v>
      </c>
      <c r="CA71" s="14" t="s">
        <v>179</v>
      </c>
      <c r="CB71" s="14" t="s">
        <v>2122</v>
      </c>
      <c r="CC71" s="14" t="s">
        <v>188</v>
      </c>
      <c r="CD71" s="14" t="s">
        <v>2123</v>
      </c>
      <c r="CE71" s="14" t="s">
        <v>179</v>
      </c>
      <c r="CF71" s="14" t="s">
        <v>2124</v>
      </c>
      <c r="CG71" s="14" t="s">
        <v>188</v>
      </c>
      <c r="CH71" s="14" t="s">
        <v>2125</v>
      </c>
      <c r="CI71" s="19"/>
      <c r="CJ71" s="15"/>
      <c r="CK71" s="19"/>
      <c r="CL71" s="15"/>
      <c r="CM71" s="19"/>
      <c r="CN71" s="15"/>
      <c r="CO71" s="19"/>
      <c r="CP71" s="15"/>
      <c r="CQ71" s="15"/>
      <c r="CR71" s="15"/>
      <c r="CS71" s="19"/>
      <c r="CT71" s="15"/>
      <c r="CU71" s="19"/>
      <c r="CV71" s="15"/>
      <c r="CW71" s="19"/>
      <c r="CX71" s="15"/>
      <c r="CY71" s="19"/>
      <c r="CZ71" s="15"/>
      <c r="DA71" s="16" t="s">
        <v>197</v>
      </c>
      <c r="DB71" s="17" t="s">
        <v>198</v>
      </c>
      <c r="DC71" s="20">
        <v>45696.34112268518</v>
      </c>
      <c r="DD71" s="17" t="s">
        <v>198</v>
      </c>
      <c r="DE71" s="18">
        <v>45696.341215277775</v>
      </c>
      <c r="DF71" s="17" t="s">
        <v>198</v>
      </c>
      <c r="DG71" s="18">
        <v>45696.341215277775</v>
      </c>
      <c r="DH71" s="13" t="s">
        <v>205</v>
      </c>
      <c r="DI71" s="14" t="s">
        <v>179</v>
      </c>
      <c r="DJ71" s="14" t="s">
        <v>2126</v>
      </c>
      <c r="DK71" s="14" t="s">
        <v>179</v>
      </c>
      <c r="DL71" s="14" t="s">
        <v>2127</v>
      </c>
      <c r="DM71" s="14" t="s">
        <v>179</v>
      </c>
      <c r="DN71" s="14" t="s">
        <v>2128</v>
      </c>
      <c r="DO71" s="14" t="s">
        <v>179</v>
      </c>
      <c r="DP71" s="14" t="s">
        <v>2129</v>
      </c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6" t="s">
        <v>197</v>
      </c>
      <c r="ED71" s="17" t="s">
        <v>198</v>
      </c>
      <c r="EE71" s="18">
        <v>45719.47179398148</v>
      </c>
      <c r="EF71" s="13" t="s">
        <v>209</v>
      </c>
      <c r="EG71" s="14" t="s">
        <v>179</v>
      </c>
      <c r="EH71" s="14" t="s">
        <v>2130</v>
      </c>
      <c r="EI71" s="14" t="s">
        <v>179</v>
      </c>
      <c r="EJ71" s="14" t="s">
        <v>2130</v>
      </c>
      <c r="EK71" s="14" t="s">
        <v>179</v>
      </c>
      <c r="EL71" s="14" t="s">
        <v>2131</v>
      </c>
      <c r="EM71" s="14" t="s">
        <v>179</v>
      </c>
      <c r="EN71" s="14" t="s">
        <v>2131</v>
      </c>
      <c r="EO71" s="15"/>
      <c r="EP71" s="15"/>
      <c r="EQ71" s="15"/>
      <c r="ER71" s="15"/>
      <c r="ES71" s="15"/>
      <c r="ET71" s="15"/>
      <c r="EU71" s="15"/>
      <c r="EV71" s="15"/>
      <c r="EW71" s="15"/>
      <c r="EX71" s="15"/>
      <c r="EY71" s="15"/>
      <c r="EZ71" s="15"/>
      <c r="FA71" s="15"/>
      <c r="FB71" s="15"/>
      <c r="FC71" s="16" t="s">
        <v>197</v>
      </c>
      <c r="FD71" s="17" t="s">
        <v>198</v>
      </c>
      <c r="FE71" s="18">
        <v>45723.30795138889</v>
      </c>
      <c r="FF71" s="19"/>
      <c r="FG71" s="19"/>
      <c r="FH71" s="21" t="s">
        <v>197</v>
      </c>
      <c r="FI71" s="17" t="s">
        <v>214</v>
      </c>
      <c r="FJ71" s="18">
        <v>45723.30795138889</v>
      </c>
      <c r="FK71" s="14" t="s">
        <v>2131</v>
      </c>
      <c r="FL71" s="19"/>
      <c r="FM71" s="19"/>
      <c r="FN71" s="19"/>
      <c r="FO71" s="19"/>
      <c r="FP71" s="19" t="str">
        <f t="shared" si="1"/>
        <v/>
      </c>
      <c r="FQ71" s="14" t="s">
        <v>215</v>
      </c>
      <c r="FR71" s="14" t="s">
        <v>2132</v>
      </c>
    </row>
    <row r="72" ht="15.75" customHeight="1">
      <c r="A72" s="12" t="s">
        <v>292</v>
      </c>
      <c r="B72" s="12" t="s">
        <v>1420</v>
      </c>
      <c r="C72" s="24" t="s">
        <v>512</v>
      </c>
      <c r="D72" s="12" t="s">
        <v>2133</v>
      </c>
      <c r="E72" s="12" t="s">
        <v>2134</v>
      </c>
      <c r="F72" s="13" t="s">
        <v>178</v>
      </c>
      <c r="G72" s="14" t="s">
        <v>179</v>
      </c>
      <c r="H72" s="14" t="s">
        <v>2135</v>
      </c>
      <c r="I72" s="14" t="s">
        <v>179</v>
      </c>
      <c r="J72" s="14" t="s">
        <v>2136</v>
      </c>
      <c r="K72" s="14" t="s">
        <v>179</v>
      </c>
      <c r="L72" s="14" t="s">
        <v>2137</v>
      </c>
      <c r="M72" s="14" t="s">
        <v>179</v>
      </c>
      <c r="N72" s="14" t="s">
        <v>2138</v>
      </c>
      <c r="O72" s="14" t="s">
        <v>179</v>
      </c>
      <c r="P72" s="14" t="s">
        <v>2139</v>
      </c>
      <c r="Q72" s="14" t="s">
        <v>179</v>
      </c>
      <c r="R72" s="14" t="s">
        <v>2140</v>
      </c>
      <c r="S72" s="14" t="s">
        <v>179</v>
      </c>
      <c r="T72" s="14" t="s">
        <v>2141</v>
      </c>
      <c r="U72" s="14" t="s">
        <v>179</v>
      </c>
      <c r="V72" s="14" t="s">
        <v>2142</v>
      </c>
      <c r="W72" s="14" t="s">
        <v>179</v>
      </c>
      <c r="X72" s="14" t="s">
        <v>2143</v>
      </c>
      <c r="Y72" s="14" t="s">
        <v>188</v>
      </c>
      <c r="Z72" s="14" t="s">
        <v>2144</v>
      </c>
      <c r="AA72" s="14" t="s">
        <v>179</v>
      </c>
      <c r="AB72" s="14" t="s">
        <v>2145</v>
      </c>
      <c r="AC72" s="14" t="s">
        <v>179</v>
      </c>
      <c r="AD72" s="14" t="s">
        <v>2145</v>
      </c>
      <c r="AE72" s="14" t="s">
        <v>179</v>
      </c>
      <c r="AF72" s="14" t="s">
        <v>2146</v>
      </c>
      <c r="AG72" s="14" t="s">
        <v>188</v>
      </c>
      <c r="AH72" s="14" t="s">
        <v>2147</v>
      </c>
      <c r="AI72" s="14" t="s">
        <v>179</v>
      </c>
      <c r="AJ72" s="14" t="s">
        <v>2148</v>
      </c>
      <c r="AK72" s="14" t="s">
        <v>179</v>
      </c>
      <c r="AL72" s="14" t="s">
        <v>2148</v>
      </c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6" t="s">
        <v>197</v>
      </c>
      <c r="BP72" s="17" t="s">
        <v>198</v>
      </c>
      <c r="BQ72" s="18">
        <v>45692.37293981481</v>
      </c>
      <c r="BR72" s="17" t="s">
        <v>198</v>
      </c>
      <c r="BS72" s="18">
        <v>45692.373032407406</v>
      </c>
      <c r="BT72" s="17" t="s">
        <v>198</v>
      </c>
      <c r="BU72" s="18">
        <v>45692.373032407406</v>
      </c>
      <c r="BV72" s="13" t="s">
        <v>199</v>
      </c>
      <c r="BW72" s="14" t="s">
        <v>179</v>
      </c>
      <c r="BX72" s="14" t="s">
        <v>2149</v>
      </c>
      <c r="BY72" s="14" t="s">
        <v>179</v>
      </c>
      <c r="BZ72" s="14" t="s">
        <v>2150</v>
      </c>
      <c r="CA72" s="14" t="s">
        <v>179</v>
      </c>
      <c r="CB72" s="14" t="s">
        <v>2151</v>
      </c>
      <c r="CC72" s="14" t="s">
        <v>188</v>
      </c>
      <c r="CD72" s="14" t="s">
        <v>2152</v>
      </c>
      <c r="CE72" s="14" t="s">
        <v>179</v>
      </c>
      <c r="CF72" s="14" t="s">
        <v>2153</v>
      </c>
      <c r="CG72" s="14" t="s">
        <v>188</v>
      </c>
      <c r="CH72" s="14" t="s">
        <v>2154</v>
      </c>
      <c r="CI72" s="19"/>
      <c r="CJ72" s="15"/>
      <c r="CK72" s="19"/>
      <c r="CL72" s="15"/>
      <c r="CM72" s="19"/>
      <c r="CN72" s="15"/>
      <c r="CO72" s="19"/>
      <c r="CP72" s="15"/>
      <c r="CQ72" s="15"/>
      <c r="CR72" s="15"/>
      <c r="CS72" s="19"/>
      <c r="CT72" s="15"/>
      <c r="CU72" s="19"/>
      <c r="CV72" s="15"/>
      <c r="CW72" s="19"/>
      <c r="CX72" s="15"/>
      <c r="CY72" s="19"/>
      <c r="CZ72" s="15"/>
      <c r="DA72" s="16" t="s">
        <v>197</v>
      </c>
      <c r="DB72" s="17" t="s">
        <v>198</v>
      </c>
      <c r="DC72" s="20">
        <v>45696.34172453704</v>
      </c>
      <c r="DD72" s="17" t="s">
        <v>198</v>
      </c>
      <c r="DE72" s="18">
        <v>45696.341770833336</v>
      </c>
      <c r="DF72" s="17" t="s">
        <v>198</v>
      </c>
      <c r="DG72" s="18">
        <v>45696.341770833336</v>
      </c>
      <c r="DH72" s="13" t="s">
        <v>205</v>
      </c>
      <c r="DI72" s="14" t="s">
        <v>179</v>
      </c>
      <c r="DJ72" s="14" t="s">
        <v>2155</v>
      </c>
      <c r="DK72" s="14" t="s">
        <v>179</v>
      </c>
      <c r="DL72" s="14" t="s">
        <v>2156</v>
      </c>
      <c r="DM72" s="14" t="s">
        <v>179</v>
      </c>
      <c r="DN72" s="14" t="s">
        <v>2157</v>
      </c>
      <c r="DO72" s="14" t="s">
        <v>179</v>
      </c>
      <c r="DP72" s="14" t="s">
        <v>2158</v>
      </c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6" t="s">
        <v>197</v>
      </c>
      <c r="ED72" s="17" t="s">
        <v>198</v>
      </c>
      <c r="EE72" s="18">
        <v>45719.47195601852</v>
      </c>
      <c r="EF72" s="13" t="s">
        <v>209</v>
      </c>
      <c r="EG72" s="14" t="s">
        <v>179</v>
      </c>
      <c r="EH72" s="14" t="s">
        <v>2159</v>
      </c>
      <c r="EI72" s="14" t="s">
        <v>179</v>
      </c>
      <c r="EJ72" s="14" t="s">
        <v>2159</v>
      </c>
      <c r="EK72" s="14" t="s">
        <v>179</v>
      </c>
      <c r="EL72" s="14" t="s">
        <v>2160</v>
      </c>
      <c r="EM72" s="14" t="s">
        <v>179</v>
      </c>
      <c r="EN72" s="14" t="s">
        <v>2161</v>
      </c>
      <c r="EO72" s="15"/>
      <c r="EP72" s="15"/>
      <c r="EQ72" s="15"/>
      <c r="ER72" s="15"/>
      <c r="ES72" s="15"/>
      <c r="ET72" s="15"/>
      <c r="EU72" s="15"/>
      <c r="EV72" s="15"/>
      <c r="EW72" s="15"/>
      <c r="EX72" s="15"/>
      <c r="EY72" s="15"/>
      <c r="EZ72" s="15"/>
      <c r="FA72" s="15"/>
      <c r="FB72" s="15"/>
      <c r="FC72" s="16" t="s">
        <v>197</v>
      </c>
      <c r="FD72" s="17" t="s">
        <v>198</v>
      </c>
      <c r="FE72" s="18">
        <v>45723.30806712963</v>
      </c>
      <c r="FF72" s="19"/>
      <c r="FG72" s="19"/>
      <c r="FH72" s="21" t="s">
        <v>197</v>
      </c>
      <c r="FI72" s="17" t="s">
        <v>214</v>
      </c>
      <c r="FJ72" s="18">
        <v>45723.30806712963</v>
      </c>
      <c r="FK72" s="14" t="s">
        <v>2161</v>
      </c>
      <c r="FL72" s="19"/>
      <c r="FM72" s="19"/>
      <c r="FN72" s="19"/>
      <c r="FO72" s="19"/>
      <c r="FP72" s="19" t="str">
        <f t="shared" si="1"/>
        <v/>
      </c>
      <c r="FQ72" s="14" t="s">
        <v>215</v>
      </c>
      <c r="FR72" s="14" t="s">
        <v>2162</v>
      </c>
    </row>
    <row r="73" ht="15.75" customHeight="1">
      <c r="A73" s="12" t="s">
        <v>217</v>
      </c>
      <c r="B73" s="12" t="s">
        <v>1420</v>
      </c>
      <c r="C73" s="24" t="s">
        <v>512</v>
      </c>
      <c r="D73" s="22" t="s">
        <v>2163</v>
      </c>
      <c r="E73" s="22" t="s">
        <v>2164</v>
      </c>
      <c r="F73" s="13" t="s">
        <v>178</v>
      </c>
      <c r="G73" s="14" t="s">
        <v>179</v>
      </c>
      <c r="H73" s="14" t="s">
        <v>2165</v>
      </c>
      <c r="I73" s="14" t="s">
        <v>179</v>
      </c>
      <c r="J73" s="14" t="s">
        <v>2166</v>
      </c>
      <c r="K73" s="14" t="s">
        <v>179</v>
      </c>
      <c r="L73" s="14" t="s">
        <v>2167</v>
      </c>
      <c r="M73" s="14" t="s">
        <v>179</v>
      </c>
      <c r="N73" s="14" t="s">
        <v>2168</v>
      </c>
      <c r="O73" s="14" t="s">
        <v>179</v>
      </c>
      <c r="P73" s="14" t="s">
        <v>2169</v>
      </c>
      <c r="Q73" s="14" t="s">
        <v>179</v>
      </c>
      <c r="R73" s="14" t="s">
        <v>2170</v>
      </c>
      <c r="S73" s="14" t="s">
        <v>179</v>
      </c>
      <c r="T73" s="14" t="s">
        <v>2171</v>
      </c>
      <c r="U73" s="14" t="s">
        <v>179</v>
      </c>
      <c r="V73" s="14" t="s">
        <v>2172</v>
      </c>
      <c r="W73" s="14" t="s">
        <v>179</v>
      </c>
      <c r="X73" s="14" t="s">
        <v>2170</v>
      </c>
      <c r="Y73" s="14" t="s">
        <v>188</v>
      </c>
      <c r="Z73" s="14" t="s">
        <v>2173</v>
      </c>
      <c r="AA73" s="14" t="s">
        <v>179</v>
      </c>
      <c r="AB73" s="14" t="s">
        <v>2173</v>
      </c>
      <c r="AC73" s="14" t="s">
        <v>179</v>
      </c>
      <c r="AD73" s="14" t="s">
        <v>2174</v>
      </c>
      <c r="AE73" s="14" t="s">
        <v>179</v>
      </c>
      <c r="AF73" s="14" t="s">
        <v>2175</v>
      </c>
      <c r="AG73" s="14" t="s">
        <v>179</v>
      </c>
      <c r="AH73" s="14" t="s">
        <v>2176</v>
      </c>
      <c r="AI73" s="14" t="s">
        <v>179</v>
      </c>
      <c r="AJ73" s="14" t="s">
        <v>2177</v>
      </c>
      <c r="AK73" s="14" t="s">
        <v>179</v>
      </c>
      <c r="AL73" s="14" t="s">
        <v>2178</v>
      </c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6" t="s">
        <v>197</v>
      </c>
      <c r="BP73" s="17" t="s">
        <v>198</v>
      </c>
      <c r="BQ73" s="18">
        <v>45705.414988425924</v>
      </c>
      <c r="BR73" s="17" t="s">
        <v>198</v>
      </c>
      <c r="BS73" s="18">
        <v>45705.41509259259</v>
      </c>
      <c r="BT73" s="17" t="s">
        <v>198</v>
      </c>
      <c r="BU73" s="18">
        <v>45705.41509259259</v>
      </c>
      <c r="BV73" s="13" t="s">
        <v>199</v>
      </c>
      <c r="BW73" s="14" t="s">
        <v>179</v>
      </c>
      <c r="BX73" s="14" t="s">
        <v>2179</v>
      </c>
      <c r="BY73" s="14" t="s">
        <v>179</v>
      </c>
      <c r="BZ73" s="14" t="s">
        <v>2180</v>
      </c>
      <c r="CA73" s="14" t="s">
        <v>179</v>
      </c>
      <c r="CB73" s="14" t="s">
        <v>2181</v>
      </c>
      <c r="CC73" s="14" t="s">
        <v>179</v>
      </c>
      <c r="CD73" s="14" t="s">
        <v>2182</v>
      </c>
      <c r="CE73" s="14" t="s">
        <v>179</v>
      </c>
      <c r="CF73" s="14" t="s">
        <v>2183</v>
      </c>
      <c r="CG73" s="14" t="s">
        <v>179</v>
      </c>
      <c r="CH73" s="14" t="s">
        <v>2184</v>
      </c>
      <c r="CI73" s="19"/>
      <c r="CJ73" s="15"/>
      <c r="CK73" s="19"/>
      <c r="CL73" s="15"/>
      <c r="CM73" s="19"/>
      <c r="CN73" s="15"/>
      <c r="CO73" s="19"/>
      <c r="CP73" s="15"/>
      <c r="CQ73" s="15"/>
      <c r="CR73" s="15"/>
      <c r="CS73" s="19"/>
      <c r="CT73" s="15"/>
      <c r="CU73" s="19"/>
      <c r="CV73" s="15"/>
      <c r="CW73" s="19"/>
      <c r="CX73" s="15"/>
      <c r="CY73" s="19"/>
      <c r="CZ73" s="15"/>
      <c r="DA73" s="16" t="s">
        <v>197</v>
      </c>
      <c r="DB73" s="17" t="s">
        <v>198</v>
      </c>
      <c r="DC73" s="20">
        <v>45705.42974537037</v>
      </c>
      <c r="DD73" s="17" t="s">
        <v>198</v>
      </c>
      <c r="DE73" s="18">
        <v>45722.37505787037</v>
      </c>
      <c r="DF73" s="17" t="s">
        <v>198</v>
      </c>
      <c r="DG73" s="18">
        <v>45722.37505787037</v>
      </c>
      <c r="DH73" s="13" t="s">
        <v>205</v>
      </c>
      <c r="DI73" s="14" t="s">
        <v>179</v>
      </c>
      <c r="DJ73" s="14" t="s">
        <v>2185</v>
      </c>
      <c r="DK73" s="14" t="s">
        <v>179</v>
      </c>
      <c r="DL73" s="14" t="s">
        <v>2186</v>
      </c>
      <c r="DM73" s="14" t="s">
        <v>179</v>
      </c>
      <c r="DN73" s="14" t="s">
        <v>2187</v>
      </c>
      <c r="DO73" s="14" t="s">
        <v>179</v>
      </c>
      <c r="DP73" s="14" t="s">
        <v>2188</v>
      </c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6" t="s">
        <v>197</v>
      </c>
      <c r="ED73" s="17" t="s">
        <v>198</v>
      </c>
      <c r="EE73" s="18">
        <v>45722.375127314815</v>
      </c>
      <c r="EF73" s="13" t="s">
        <v>209</v>
      </c>
      <c r="EG73" s="14" t="s">
        <v>179</v>
      </c>
      <c r="EH73" s="14" t="s">
        <v>2189</v>
      </c>
      <c r="EI73" s="14" t="s">
        <v>179</v>
      </c>
      <c r="EJ73" s="14" t="s">
        <v>2190</v>
      </c>
      <c r="EK73" s="14" t="s">
        <v>179</v>
      </c>
      <c r="EL73" s="14" t="s">
        <v>2191</v>
      </c>
      <c r="EM73" s="14" t="s">
        <v>179</v>
      </c>
      <c r="EN73" s="14" t="s">
        <v>2192</v>
      </c>
      <c r="EO73" s="15"/>
      <c r="EP73" s="15"/>
      <c r="EQ73" s="15"/>
      <c r="ER73" s="1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6" t="s">
        <v>197</v>
      </c>
      <c r="FD73" s="17" t="s">
        <v>198</v>
      </c>
      <c r="FE73" s="18">
        <v>45723.34939814815</v>
      </c>
      <c r="FF73" s="19"/>
      <c r="FG73" s="19"/>
      <c r="FH73" s="21" t="s">
        <v>197</v>
      </c>
      <c r="FI73" s="17" t="s">
        <v>214</v>
      </c>
      <c r="FJ73" s="18">
        <v>45723.34939814815</v>
      </c>
      <c r="FK73" s="14" t="s">
        <v>2192</v>
      </c>
      <c r="FL73" s="19"/>
      <c r="FM73" s="19"/>
      <c r="FN73" s="19"/>
      <c r="FO73" s="19"/>
      <c r="FP73" s="19" t="str">
        <f t="shared" si="1"/>
        <v/>
      </c>
      <c r="FQ73" s="14" t="s">
        <v>215</v>
      </c>
      <c r="FR73" s="14" t="s">
        <v>2193</v>
      </c>
    </row>
    <row r="74" ht="15.75" customHeight="1">
      <c r="A74" s="12" t="s">
        <v>292</v>
      </c>
      <c r="B74" s="12" t="s">
        <v>1740</v>
      </c>
      <c r="C74" s="24" t="s">
        <v>512</v>
      </c>
      <c r="D74" s="28" t="s">
        <v>2194</v>
      </c>
      <c r="E74" s="22" t="s">
        <v>2195</v>
      </c>
      <c r="F74" s="13" t="s">
        <v>178</v>
      </c>
      <c r="G74" s="14" t="s">
        <v>179</v>
      </c>
      <c r="H74" s="14" t="s">
        <v>2196</v>
      </c>
      <c r="I74" s="14" t="s">
        <v>179</v>
      </c>
      <c r="J74" s="14" t="s">
        <v>2197</v>
      </c>
      <c r="K74" s="14" t="s">
        <v>179</v>
      </c>
      <c r="L74" s="14" t="s">
        <v>2198</v>
      </c>
      <c r="M74" s="14" t="s">
        <v>179</v>
      </c>
      <c r="N74" s="14" t="s">
        <v>2199</v>
      </c>
      <c r="O74" s="14" t="s">
        <v>179</v>
      </c>
      <c r="P74" s="14" t="s">
        <v>2200</v>
      </c>
      <c r="Q74" s="14" t="s">
        <v>179</v>
      </c>
      <c r="R74" s="14" t="s">
        <v>2201</v>
      </c>
      <c r="S74" s="14" t="s">
        <v>179</v>
      </c>
      <c r="T74" s="14" t="s">
        <v>2202</v>
      </c>
      <c r="U74" s="14" t="s">
        <v>179</v>
      </c>
      <c r="V74" s="14" t="s">
        <v>2203</v>
      </c>
      <c r="W74" s="14" t="s">
        <v>179</v>
      </c>
      <c r="X74" s="14" t="s">
        <v>2204</v>
      </c>
      <c r="Y74" s="14" t="s">
        <v>179</v>
      </c>
      <c r="Z74" s="14" t="s">
        <v>2205</v>
      </c>
      <c r="AA74" s="14" t="s">
        <v>179</v>
      </c>
      <c r="AB74" s="14" t="s">
        <v>2206</v>
      </c>
      <c r="AC74" s="14" t="s">
        <v>179</v>
      </c>
      <c r="AD74" s="14" t="s">
        <v>2207</v>
      </c>
      <c r="AE74" s="14" t="s">
        <v>179</v>
      </c>
      <c r="AF74" s="14" t="s">
        <v>2208</v>
      </c>
      <c r="AG74" s="14" t="s">
        <v>179</v>
      </c>
      <c r="AH74" s="14" t="s">
        <v>2209</v>
      </c>
      <c r="AI74" s="14" t="s">
        <v>179</v>
      </c>
      <c r="AJ74" s="14" t="s">
        <v>2210</v>
      </c>
      <c r="AK74" s="14" t="s">
        <v>179</v>
      </c>
      <c r="AL74" s="14" t="s">
        <v>2211</v>
      </c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6" t="s">
        <v>197</v>
      </c>
      <c r="BP74" s="17" t="s">
        <v>198</v>
      </c>
      <c r="BQ74" s="18">
        <v>45685.47346064815</v>
      </c>
      <c r="BR74" s="17" t="s">
        <v>198</v>
      </c>
      <c r="BS74" s="18">
        <v>45685.473703703705</v>
      </c>
      <c r="BT74" s="17" t="s">
        <v>198</v>
      </c>
      <c r="BU74" s="18">
        <v>45685.473703703705</v>
      </c>
      <c r="BV74" s="13" t="s">
        <v>199</v>
      </c>
      <c r="BW74" s="14" t="s">
        <v>179</v>
      </c>
      <c r="BX74" s="14" t="s">
        <v>2212</v>
      </c>
      <c r="BY74" s="14" t="s">
        <v>179</v>
      </c>
      <c r="BZ74" s="14" t="s">
        <v>2213</v>
      </c>
      <c r="CA74" s="14" t="s">
        <v>179</v>
      </c>
      <c r="CB74" s="14" t="s">
        <v>2214</v>
      </c>
      <c r="CC74" s="14" t="s">
        <v>179</v>
      </c>
      <c r="CD74" s="14" t="s">
        <v>2215</v>
      </c>
      <c r="CE74" s="14" t="s">
        <v>179</v>
      </c>
      <c r="CF74" s="14" t="s">
        <v>2216</v>
      </c>
      <c r="CG74" s="14" t="s">
        <v>179</v>
      </c>
      <c r="CH74" s="14" t="s">
        <v>2217</v>
      </c>
      <c r="CI74" s="19"/>
      <c r="CJ74" s="15"/>
      <c r="CK74" s="19"/>
      <c r="CL74" s="15"/>
      <c r="CM74" s="19"/>
      <c r="CN74" s="15"/>
      <c r="CO74" s="19"/>
      <c r="CP74" s="15"/>
      <c r="CQ74" s="15"/>
      <c r="CR74" s="15"/>
      <c r="CS74" s="19"/>
      <c r="CT74" s="15"/>
      <c r="CU74" s="19"/>
      <c r="CV74" s="15"/>
      <c r="CW74" s="19"/>
      <c r="CX74" s="15"/>
      <c r="CY74" s="19"/>
      <c r="CZ74" s="15"/>
      <c r="DA74" s="16" t="s">
        <v>197</v>
      </c>
      <c r="DB74" s="17" t="s">
        <v>198</v>
      </c>
      <c r="DC74" s="20">
        <v>45719.44988425926</v>
      </c>
      <c r="DD74" s="17" t="s">
        <v>198</v>
      </c>
      <c r="DE74" s="18">
        <v>45719.449953703705</v>
      </c>
      <c r="DF74" s="17" t="s">
        <v>198</v>
      </c>
      <c r="DG74" s="18">
        <v>45719.449953703705</v>
      </c>
      <c r="DH74" s="13" t="s">
        <v>205</v>
      </c>
      <c r="DI74" s="14" t="s">
        <v>179</v>
      </c>
      <c r="DJ74" s="14" t="s">
        <v>2218</v>
      </c>
      <c r="DK74" s="14" t="s">
        <v>179</v>
      </c>
      <c r="DL74" s="14" t="s">
        <v>2219</v>
      </c>
      <c r="DM74" s="14" t="s">
        <v>179</v>
      </c>
      <c r="DN74" s="14" t="s">
        <v>2220</v>
      </c>
      <c r="DO74" s="14" t="s">
        <v>179</v>
      </c>
      <c r="DP74" s="14" t="s">
        <v>2221</v>
      </c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6" t="s">
        <v>197</v>
      </c>
      <c r="ED74" s="17" t="s">
        <v>198</v>
      </c>
      <c r="EE74" s="18">
        <v>45719.45002314815</v>
      </c>
      <c r="EF74" s="13" t="s">
        <v>209</v>
      </c>
      <c r="EG74" s="14" t="s">
        <v>179</v>
      </c>
      <c r="EH74" s="14" t="s">
        <v>2222</v>
      </c>
      <c r="EI74" s="14" t="s">
        <v>179</v>
      </c>
      <c r="EJ74" s="14" t="s">
        <v>2222</v>
      </c>
      <c r="EK74" s="14" t="s">
        <v>179</v>
      </c>
      <c r="EL74" s="14" t="s">
        <v>2223</v>
      </c>
      <c r="EM74" s="14" t="s">
        <v>179</v>
      </c>
      <c r="EN74" s="14" t="s">
        <v>2224</v>
      </c>
      <c r="EO74" s="15"/>
      <c r="EP74" s="15"/>
      <c r="EQ74" s="15"/>
      <c r="ER74" s="1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6" t="s">
        <v>197</v>
      </c>
      <c r="FD74" s="17" t="s">
        <v>198</v>
      </c>
      <c r="FE74" s="18">
        <v>45722.36184027778</v>
      </c>
      <c r="FF74" s="19"/>
      <c r="FG74" s="19"/>
      <c r="FH74" s="21" t="s">
        <v>197</v>
      </c>
      <c r="FI74" s="17" t="s">
        <v>214</v>
      </c>
      <c r="FJ74" s="18">
        <v>45722.36184027778</v>
      </c>
      <c r="FK74" s="14" t="s">
        <v>2224</v>
      </c>
      <c r="FL74" s="19"/>
      <c r="FM74" s="19"/>
      <c r="FN74" s="19"/>
      <c r="FO74" s="19"/>
      <c r="FP74" s="19" t="str">
        <f t="shared" si="1"/>
        <v/>
      </c>
      <c r="FQ74" s="14" t="s">
        <v>215</v>
      </c>
      <c r="FR74" s="14" t="s">
        <v>2225</v>
      </c>
    </row>
    <row r="75" ht="15.75" customHeight="1">
      <c r="A75" s="12" t="s">
        <v>174</v>
      </c>
      <c r="B75" s="22" t="s">
        <v>2226</v>
      </c>
      <c r="C75" s="24" t="s">
        <v>512</v>
      </c>
      <c r="D75" s="25" t="s">
        <v>2227</v>
      </c>
      <c r="E75" s="22" t="s">
        <v>2228</v>
      </c>
      <c r="F75" s="13" t="s">
        <v>178</v>
      </c>
      <c r="G75" s="14" t="s">
        <v>179</v>
      </c>
      <c r="H75" s="14" t="s">
        <v>2229</v>
      </c>
      <c r="I75" s="14" t="s">
        <v>179</v>
      </c>
      <c r="J75" s="14" t="s">
        <v>2230</v>
      </c>
      <c r="K75" s="14" t="s">
        <v>179</v>
      </c>
      <c r="L75" s="14" t="s">
        <v>2231</v>
      </c>
      <c r="M75" s="14" t="s">
        <v>179</v>
      </c>
      <c r="N75" s="14" t="s">
        <v>2232</v>
      </c>
      <c r="O75" s="14" t="s">
        <v>179</v>
      </c>
      <c r="P75" s="14" t="s">
        <v>2233</v>
      </c>
      <c r="Q75" s="14" t="s">
        <v>179</v>
      </c>
      <c r="R75" s="14" t="s">
        <v>2234</v>
      </c>
      <c r="S75" s="14" t="s">
        <v>179</v>
      </c>
      <c r="T75" s="14" t="s">
        <v>2235</v>
      </c>
      <c r="U75" s="14" t="s">
        <v>179</v>
      </c>
      <c r="V75" s="14" t="s">
        <v>2236</v>
      </c>
      <c r="W75" s="14" t="s">
        <v>179</v>
      </c>
      <c r="X75" s="14" t="s">
        <v>2237</v>
      </c>
      <c r="Y75" s="14" t="s">
        <v>179</v>
      </c>
      <c r="Z75" s="14" t="s">
        <v>2238</v>
      </c>
      <c r="AA75" s="14" t="s">
        <v>179</v>
      </c>
      <c r="AB75" s="14" t="s">
        <v>2239</v>
      </c>
      <c r="AC75" s="14" t="s">
        <v>179</v>
      </c>
      <c r="AD75" s="14" t="s">
        <v>2240</v>
      </c>
      <c r="AE75" s="14" t="s">
        <v>179</v>
      </c>
      <c r="AF75" s="14" t="s">
        <v>2241</v>
      </c>
      <c r="AG75" s="14" t="s">
        <v>179</v>
      </c>
      <c r="AH75" s="14" t="s">
        <v>2242</v>
      </c>
      <c r="AI75" s="14" t="s">
        <v>179</v>
      </c>
      <c r="AJ75" s="14" t="s">
        <v>2243</v>
      </c>
      <c r="AK75" s="14" t="s">
        <v>179</v>
      </c>
      <c r="AL75" s="14" t="s">
        <v>2244</v>
      </c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6" t="s">
        <v>197</v>
      </c>
      <c r="BP75" s="17" t="s">
        <v>198</v>
      </c>
      <c r="BQ75" s="18">
        <v>45715.56214120371</v>
      </c>
      <c r="BR75" s="17" t="s">
        <v>198</v>
      </c>
      <c r="BS75" s="18">
        <v>45715.562372685185</v>
      </c>
      <c r="BT75" s="17" t="s">
        <v>198</v>
      </c>
      <c r="BU75" s="18">
        <v>45715.562372685185</v>
      </c>
      <c r="BV75" s="13" t="s">
        <v>199</v>
      </c>
      <c r="BW75" s="14" t="s">
        <v>179</v>
      </c>
      <c r="BX75" s="14" t="s">
        <v>2245</v>
      </c>
      <c r="BY75" s="14" t="s">
        <v>179</v>
      </c>
      <c r="BZ75" s="14" t="s">
        <v>2245</v>
      </c>
      <c r="CA75" s="14" t="s">
        <v>179</v>
      </c>
      <c r="CB75" s="14" t="s">
        <v>2246</v>
      </c>
      <c r="CC75" s="14" t="s">
        <v>179</v>
      </c>
      <c r="CD75" s="14" t="s">
        <v>2247</v>
      </c>
      <c r="CE75" s="14" t="s">
        <v>179</v>
      </c>
      <c r="CF75" s="14" t="s">
        <v>2248</v>
      </c>
      <c r="CG75" s="14" t="s">
        <v>179</v>
      </c>
      <c r="CH75" s="14" t="s">
        <v>2249</v>
      </c>
      <c r="CI75" s="19"/>
      <c r="CJ75" s="15"/>
      <c r="CK75" s="19"/>
      <c r="CL75" s="15"/>
      <c r="CM75" s="19"/>
      <c r="CN75" s="15"/>
      <c r="CO75" s="19"/>
      <c r="CP75" s="15"/>
      <c r="CQ75" s="15"/>
      <c r="CR75" s="15"/>
      <c r="CS75" s="19"/>
      <c r="CT75" s="15"/>
      <c r="CU75" s="19"/>
      <c r="CV75" s="15"/>
      <c r="CW75" s="19"/>
      <c r="CX75" s="15"/>
      <c r="CY75" s="19"/>
      <c r="CZ75" s="15"/>
      <c r="DA75" s="16" t="s">
        <v>197</v>
      </c>
      <c r="DB75" s="17" t="s">
        <v>198</v>
      </c>
      <c r="DC75" s="20">
        <v>45722.3434375</v>
      </c>
      <c r="DD75" s="17" t="s">
        <v>198</v>
      </c>
      <c r="DE75" s="18">
        <v>45722.3434837963</v>
      </c>
      <c r="DF75" s="17" t="s">
        <v>198</v>
      </c>
      <c r="DG75" s="18">
        <v>45722.3434837963</v>
      </c>
      <c r="DH75" s="13" t="s">
        <v>205</v>
      </c>
      <c r="DI75" s="14" t="s">
        <v>179</v>
      </c>
      <c r="DJ75" s="14" t="s">
        <v>2250</v>
      </c>
      <c r="DK75" s="14" t="s">
        <v>179</v>
      </c>
      <c r="DL75" s="14" t="s">
        <v>2250</v>
      </c>
      <c r="DM75" s="14" t="s">
        <v>179</v>
      </c>
      <c r="DN75" s="14" t="s">
        <v>2251</v>
      </c>
      <c r="DO75" s="14" t="s">
        <v>179</v>
      </c>
      <c r="DP75" s="14" t="s">
        <v>2252</v>
      </c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6" t="s">
        <v>197</v>
      </c>
      <c r="ED75" s="17" t="s">
        <v>198</v>
      </c>
      <c r="EE75" s="18">
        <v>45722.343564814815</v>
      </c>
      <c r="EF75" s="13" t="s">
        <v>209</v>
      </c>
      <c r="EG75" s="14" t="s">
        <v>179</v>
      </c>
      <c r="EH75" s="14" t="s">
        <v>2253</v>
      </c>
      <c r="EI75" s="14" t="s">
        <v>179</v>
      </c>
      <c r="EJ75" s="14" t="s">
        <v>2253</v>
      </c>
      <c r="EK75" s="14" t="s">
        <v>179</v>
      </c>
      <c r="EL75" s="14" t="s">
        <v>2254</v>
      </c>
      <c r="EM75" s="14" t="s">
        <v>179</v>
      </c>
      <c r="EN75" s="14" t="s">
        <v>2255</v>
      </c>
      <c r="EO75" s="15"/>
      <c r="EP75" s="15"/>
      <c r="EQ75" s="15"/>
      <c r="ER75" s="1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6" t="s">
        <v>197</v>
      </c>
      <c r="FD75" s="17" t="s">
        <v>198</v>
      </c>
      <c r="FE75" s="18">
        <v>45723.283738425926</v>
      </c>
      <c r="FF75" s="19"/>
      <c r="FG75" s="19"/>
      <c r="FH75" s="21" t="s">
        <v>197</v>
      </c>
      <c r="FI75" s="17" t="s">
        <v>214</v>
      </c>
      <c r="FJ75" s="18">
        <v>45723.283738425926</v>
      </c>
      <c r="FK75" s="14" t="s">
        <v>2255</v>
      </c>
      <c r="FL75" s="19"/>
      <c r="FM75" s="19"/>
      <c r="FN75" s="19"/>
      <c r="FO75" s="19"/>
      <c r="FP75" s="19" t="str">
        <f t="shared" si="1"/>
        <v/>
      </c>
      <c r="FQ75" s="14" t="s">
        <v>215</v>
      </c>
      <c r="FR75" s="14" t="s">
        <v>2256</v>
      </c>
    </row>
    <row r="76" ht="15.75" customHeight="1">
      <c r="A76" s="12" t="s">
        <v>292</v>
      </c>
      <c r="B76" s="12" t="s">
        <v>1740</v>
      </c>
      <c r="C76" s="24" t="s">
        <v>512</v>
      </c>
      <c r="D76" s="28" t="s">
        <v>2257</v>
      </c>
      <c r="E76" s="22" t="s">
        <v>2195</v>
      </c>
      <c r="F76" s="13" t="s">
        <v>178</v>
      </c>
      <c r="G76" s="14" t="s">
        <v>179</v>
      </c>
      <c r="H76" s="14" t="s">
        <v>2258</v>
      </c>
      <c r="I76" s="14" t="s">
        <v>179</v>
      </c>
      <c r="J76" s="14" t="s">
        <v>2259</v>
      </c>
      <c r="K76" s="14" t="s">
        <v>179</v>
      </c>
      <c r="L76" s="14" t="s">
        <v>2260</v>
      </c>
      <c r="M76" s="14" t="s">
        <v>179</v>
      </c>
      <c r="N76" s="14" t="s">
        <v>2261</v>
      </c>
      <c r="O76" s="14" t="s">
        <v>179</v>
      </c>
      <c r="P76" s="14" t="s">
        <v>2262</v>
      </c>
      <c r="Q76" s="14" t="s">
        <v>179</v>
      </c>
      <c r="R76" s="14" t="s">
        <v>2263</v>
      </c>
      <c r="S76" s="14" t="s">
        <v>179</v>
      </c>
      <c r="T76" s="14" t="s">
        <v>2264</v>
      </c>
      <c r="U76" s="14" t="s">
        <v>179</v>
      </c>
      <c r="V76" s="14" t="s">
        <v>2265</v>
      </c>
      <c r="W76" s="14" t="s">
        <v>179</v>
      </c>
      <c r="X76" s="14" t="s">
        <v>2266</v>
      </c>
      <c r="Y76" s="14" t="s">
        <v>179</v>
      </c>
      <c r="Z76" s="14" t="s">
        <v>2267</v>
      </c>
      <c r="AA76" s="14" t="s">
        <v>179</v>
      </c>
      <c r="AB76" s="14" t="s">
        <v>2268</v>
      </c>
      <c r="AC76" s="14" t="s">
        <v>179</v>
      </c>
      <c r="AD76" s="14" t="s">
        <v>2269</v>
      </c>
      <c r="AE76" s="14" t="s">
        <v>179</v>
      </c>
      <c r="AF76" s="14" t="s">
        <v>2270</v>
      </c>
      <c r="AG76" s="14" t="s">
        <v>179</v>
      </c>
      <c r="AH76" s="14" t="s">
        <v>2271</v>
      </c>
      <c r="AI76" s="14" t="s">
        <v>179</v>
      </c>
      <c r="AJ76" s="14" t="s">
        <v>2272</v>
      </c>
      <c r="AK76" s="14" t="s">
        <v>179</v>
      </c>
      <c r="AL76" s="14" t="s">
        <v>2273</v>
      </c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6" t="s">
        <v>197</v>
      </c>
      <c r="BP76" s="17" t="s">
        <v>198</v>
      </c>
      <c r="BQ76" s="18">
        <v>45685.475636574076</v>
      </c>
      <c r="BR76" s="17" t="s">
        <v>198</v>
      </c>
      <c r="BS76" s="18">
        <v>45685.47591435185</v>
      </c>
      <c r="BT76" s="17" t="s">
        <v>198</v>
      </c>
      <c r="BU76" s="18">
        <v>45685.47591435185</v>
      </c>
      <c r="BV76" s="13" t="s">
        <v>199</v>
      </c>
      <c r="BW76" s="14" t="s">
        <v>179</v>
      </c>
      <c r="BX76" s="14" t="s">
        <v>2274</v>
      </c>
      <c r="BY76" s="14" t="s">
        <v>179</v>
      </c>
      <c r="BZ76" s="14" t="s">
        <v>2274</v>
      </c>
      <c r="CA76" s="14" t="s">
        <v>179</v>
      </c>
      <c r="CB76" s="14" t="s">
        <v>2275</v>
      </c>
      <c r="CC76" s="14" t="s">
        <v>179</v>
      </c>
      <c r="CD76" s="14" t="s">
        <v>2276</v>
      </c>
      <c r="CE76" s="14" t="s">
        <v>179</v>
      </c>
      <c r="CF76" s="14" t="s">
        <v>2277</v>
      </c>
      <c r="CG76" s="14" t="s">
        <v>179</v>
      </c>
      <c r="CH76" s="14" t="s">
        <v>2278</v>
      </c>
      <c r="CI76" s="19"/>
      <c r="CJ76" s="15"/>
      <c r="CK76" s="19"/>
      <c r="CL76" s="15"/>
      <c r="CM76" s="19"/>
      <c r="CN76" s="15"/>
      <c r="CO76" s="19"/>
      <c r="CP76" s="15"/>
      <c r="CQ76" s="15"/>
      <c r="CR76" s="15"/>
      <c r="CS76" s="19"/>
      <c r="CT76" s="15"/>
      <c r="CU76" s="19"/>
      <c r="CV76" s="15"/>
      <c r="CW76" s="19"/>
      <c r="CX76" s="15"/>
      <c r="CY76" s="19"/>
      <c r="CZ76" s="15"/>
      <c r="DA76" s="16" t="s">
        <v>197</v>
      </c>
      <c r="DB76" s="17" t="s">
        <v>198</v>
      </c>
      <c r="DC76" s="20">
        <v>45719.4496875</v>
      </c>
      <c r="DD76" s="17" t="s">
        <v>198</v>
      </c>
      <c r="DE76" s="18">
        <v>45719.44972222222</v>
      </c>
      <c r="DF76" s="17" t="s">
        <v>198</v>
      </c>
      <c r="DG76" s="18">
        <v>45719.44972222222</v>
      </c>
      <c r="DH76" s="13" t="s">
        <v>205</v>
      </c>
      <c r="DI76" s="14" t="s">
        <v>179</v>
      </c>
      <c r="DJ76" s="14" t="s">
        <v>2279</v>
      </c>
      <c r="DK76" s="14" t="s">
        <v>179</v>
      </c>
      <c r="DL76" s="14" t="s">
        <v>2280</v>
      </c>
      <c r="DM76" s="14" t="s">
        <v>179</v>
      </c>
      <c r="DN76" s="14" t="s">
        <v>2281</v>
      </c>
      <c r="DO76" s="14" t="s">
        <v>179</v>
      </c>
      <c r="DP76" s="14" t="s">
        <v>2282</v>
      </c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6" t="s">
        <v>197</v>
      </c>
      <c r="ED76" s="17" t="s">
        <v>198</v>
      </c>
      <c r="EE76" s="18">
        <v>45719.449791666666</v>
      </c>
      <c r="EF76" s="13" t="s">
        <v>209</v>
      </c>
      <c r="EG76" s="14" t="s">
        <v>179</v>
      </c>
      <c r="EH76" s="14" t="s">
        <v>2283</v>
      </c>
      <c r="EI76" s="14" t="s">
        <v>179</v>
      </c>
      <c r="EJ76" s="14" t="s">
        <v>2284</v>
      </c>
      <c r="EK76" s="14" t="s">
        <v>179</v>
      </c>
      <c r="EL76" s="14" t="s">
        <v>2285</v>
      </c>
      <c r="EM76" s="14" t="s">
        <v>179</v>
      </c>
      <c r="EN76" s="14" t="s">
        <v>2286</v>
      </c>
      <c r="EO76" s="15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6" t="s">
        <v>197</v>
      </c>
      <c r="FD76" s="17" t="s">
        <v>198</v>
      </c>
      <c r="FE76" s="18">
        <v>45722.361979166664</v>
      </c>
      <c r="FF76" s="19"/>
      <c r="FG76" s="19"/>
      <c r="FH76" s="21" t="s">
        <v>197</v>
      </c>
      <c r="FI76" s="17" t="s">
        <v>214</v>
      </c>
      <c r="FJ76" s="18">
        <v>45722.361979166664</v>
      </c>
      <c r="FK76" s="14" t="s">
        <v>2286</v>
      </c>
      <c r="FL76" s="19"/>
      <c r="FM76" s="19"/>
      <c r="FN76" s="19"/>
      <c r="FO76" s="19"/>
      <c r="FP76" s="19" t="str">
        <f t="shared" si="1"/>
        <v/>
      </c>
      <c r="FQ76" s="14" t="s">
        <v>215</v>
      </c>
      <c r="FR76" s="14" t="s">
        <v>2287</v>
      </c>
    </row>
    <row r="77" ht="15.75" customHeight="1">
      <c r="A77" s="12" t="s">
        <v>174</v>
      </c>
      <c r="B77" s="22" t="s">
        <v>2226</v>
      </c>
      <c r="C77" s="24" t="s">
        <v>512</v>
      </c>
      <c r="D77" s="25" t="s">
        <v>2288</v>
      </c>
      <c r="E77" s="22" t="s">
        <v>2289</v>
      </c>
      <c r="F77" s="13" t="s">
        <v>178</v>
      </c>
      <c r="G77" s="14" t="s">
        <v>179</v>
      </c>
      <c r="H77" s="14" t="s">
        <v>2290</v>
      </c>
      <c r="I77" s="14" t="s">
        <v>179</v>
      </c>
      <c r="J77" s="14" t="s">
        <v>2291</v>
      </c>
      <c r="K77" s="14" t="s">
        <v>179</v>
      </c>
      <c r="L77" s="14" t="s">
        <v>2292</v>
      </c>
      <c r="M77" s="14" t="s">
        <v>179</v>
      </c>
      <c r="N77" s="14" t="s">
        <v>2293</v>
      </c>
      <c r="O77" s="14" t="s">
        <v>179</v>
      </c>
      <c r="P77" s="14" t="s">
        <v>2294</v>
      </c>
      <c r="Q77" s="14" t="s">
        <v>179</v>
      </c>
      <c r="R77" s="14" t="s">
        <v>2295</v>
      </c>
      <c r="S77" s="14" t="s">
        <v>179</v>
      </c>
      <c r="T77" s="14" t="s">
        <v>2296</v>
      </c>
      <c r="U77" s="14" t="s">
        <v>179</v>
      </c>
      <c r="V77" s="14" t="s">
        <v>2297</v>
      </c>
      <c r="W77" s="14" t="s">
        <v>179</v>
      </c>
      <c r="X77" s="14" t="s">
        <v>2298</v>
      </c>
      <c r="Y77" s="14" t="s">
        <v>179</v>
      </c>
      <c r="Z77" s="14" t="s">
        <v>2299</v>
      </c>
      <c r="AA77" s="14" t="s">
        <v>179</v>
      </c>
      <c r="AB77" s="14" t="s">
        <v>2300</v>
      </c>
      <c r="AC77" s="14" t="s">
        <v>179</v>
      </c>
      <c r="AD77" s="14" t="s">
        <v>2301</v>
      </c>
      <c r="AE77" s="14" t="s">
        <v>179</v>
      </c>
      <c r="AF77" s="14" t="s">
        <v>2302</v>
      </c>
      <c r="AG77" s="14" t="s">
        <v>179</v>
      </c>
      <c r="AH77" s="14" t="s">
        <v>2303</v>
      </c>
      <c r="AI77" s="14" t="s">
        <v>179</v>
      </c>
      <c r="AJ77" s="14" t="s">
        <v>2304</v>
      </c>
      <c r="AK77" s="14" t="s">
        <v>179</v>
      </c>
      <c r="AL77" s="14" t="s">
        <v>2305</v>
      </c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6" t="s">
        <v>197</v>
      </c>
      <c r="BP77" s="17" t="s">
        <v>198</v>
      </c>
      <c r="BQ77" s="18">
        <v>45715.56284722222</v>
      </c>
      <c r="BR77" s="17" t="s">
        <v>198</v>
      </c>
      <c r="BS77" s="18">
        <v>45715.56300925926</v>
      </c>
      <c r="BT77" s="17" t="s">
        <v>198</v>
      </c>
      <c r="BU77" s="18">
        <v>45715.56300925926</v>
      </c>
      <c r="BV77" s="13" t="s">
        <v>199</v>
      </c>
      <c r="BW77" s="14" t="s">
        <v>179</v>
      </c>
      <c r="BX77" s="14" t="s">
        <v>2306</v>
      </c>
      <c r="BY77" s="14" t="s">
        <v>179</v>
      </c>
      <c r="BZ77" s="14" t="s">
        <v>2307</v>
      </c>
      <c r="CA77" s="14" t="s">
        <v>179</v>
      </c>
      <c r="CB77" s="14" t="s">
        <v>2308</v>
      </c>
      <c r="CC77" s="14" t="s">
        <v>179</v>
      </c>
      <c r="CD77" s="14" t="s">
        <v>2309</v>
      </c>
      <c r="CE77" s="14" t="s">
        <v>179</v>
      </c>
      <c r="CF77" s="14" t="s">
        <v>2310</v>
      </c>
      <c r="CG77" s="14" t="s">
        <v>179</v>
      </c>
      <c r="CH77" s="14" t="s">
        <v>2311</v>
      </c>
      <c r="CI77" s="19"/>
      <c r="CJ77" s="15"/>
      <c r="CK77" s="19"/>
      <c r="CL77" s="15"/>
      <c r="CM77" s="19"/>
      <c r="CN77" s="15"/>
      <c r="CO77" s="19"/>
      <c r="CP77" s="15"/>
      <c r="CQ77" s="15"/>
      <c r="CR77" s="15"/>
      <c r="CS77" s="19"/>
      <c r="CT77" s="15"/>
      <c r="CU77" s="19"/>
      <c r="CV77" s="15"/>
      <c r="CW77" s="19"/>
      <c r="CX77" s="15"/>
      <c r="CY77" s="19"/>
      <c r="CZ77" s="15"/>
      <c r="DA77" s="16" t="s">
        <v>197</v>
      </c>
      <c r="DB77" s="17" t="s">
        <v>198</v>
      </c>
      <c r="DC77" s="20">
        <v>45722.3437037037</v>
      </c>
      <c r="DD77" s="17" t="s">
        <v>198</v>
      </c>
      <c r="DE77" s="18">
        <v>45722.34380787037</v>
      </c>
      <c r="DF77" s="17" t="s">
        <v>198</v>
      </c>
      <c r="DG77" s="18">
        <v>45722.34380787037</v>
      </c>
      <c r="DH77" s="13" t="s">
        <v>205</v>
      </c>
      <c r="DI77" s="14" t="s">
        <v>179</v>
      </c>
      <c r="DJ77" s="14" t="s">
        <v>2312</v>
      </c>
      <c r="DK77" s="14" t="s">
        <v>179</v>
      </c>
      <c r="DL77" s="14" t="s">
        <v>2313</v>
      </c>
      <c r="DM77" s="14" t="s">
        <v>179</v>
      </c>
      <c r="DN77" s="14" t="s">
        <v>2314</v>
      </c>
      <c r="DO77" s="14" t="s">
        <v>179</v>
      </c>
      <c r="DP77" s="14" t="s">
        <v>2315</v>
      </c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6" t="s">
        <v>197</v>
      </c>
      <c r="ED77" s="17" t="s">
        <v>198</v>
      </c>
      <c r="EE77" s="18">
        <v>45722.34391203704</v>
      </c>
      <c r="EF77" s="13" t="s">
        <v>209</v>
      </c>
      <c r="EG77" s="14" t="s">
        <v>179</v>
      </c>
      <c r="EH77" s="14" t="s">
        <v>2316</v>
      </c>
      <c r="EI77" s="14" t="s">
        <v>179</v>
      </c>
      <c r="EJ77" s="14" t="s">
        <v>2317</v>
      </c>
      <c r="EK77" s="14" t="s">
        <v>179</v>
      </c>
      <c r="EL77" s="14" t="s">
        <v>2318</v>
      </c>
      <c r="EM77" s="14" t="s">
        <v>179</v>
      </c>
      <c r="EN77" s="14" t="s">
        <v>2318</v>
      </c>
      <c r="EO77" s="15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6" t="s">
        <v>197</v>
      </c>
      <c r="FD77" s="17" t="s">
        <v>198</v>
      </c>
      <c r="FE77" s="18">
        <v>45723.28383101852</v>
      </c>
      <c r="FF77" s="19"/>
      <c r="FG77" s="19"/>
      <c r="FH77" s="21" t="s">
        <v>197</v>
      </c>
      <c r="FI77" s="17" t="s">
        <v>214</v>
      </c>
      <c r="FJ77" s="18">
        <v>45723.28383101852</v>
      </c>
      <c r="FK77" s="14" t="s">
        <v>2318</v>
      </c>
      <c r="FL77" s="19"/>
      <c r="FM77" s="19"/>
      <c r="FN77" s="19"/>
      <c r="FO77" s="19"/>
      <c r="FP77" s="19" t="str">
        <f t="shared" si="1"/>
        <v/>
      </c>
      <c r="FQ77" s="14" t="s">
        <v>215</v>
      </c>
      <c r="FR77" s="14" t="s">
        <v>2319</v>
      </c>
    </row>
    <row r="78" ht="15.75" customHeight="1">
      <c r="A78" s="12" t="s">
        <v>292</v>
      </c>
      <c r="B78" s="12" t="s">
        <v>1740</v>
      </c>
      <c r="C78" s="24" t="s">
        <v>512</v>
      </c>
      <c r="D78" s="22" t="s">
        <v>2320</v>
      </c>
      <c r="E78" s="22" t="s">
        <v>2321</v>
      </c>
      <c r="F78" s="13" t="s">
        <v>178</v>
      </c>
      <c r="G78" s="14" t="s">
        <v>179</v>
      </c>
      <c r="H78" s="14" t="s">
        <v>2322</v>
      </c>
      <c r="I78" s="14" t="s">
        <v>179</v>
      </c>
      <c r="J78" s="14" t="s">
        <v>2323</v>
      </c>
      <c r="K78" s="14" t="s">
        <v>179</v>
      </c>
      <c r="L78" s="14" t="s">
        <v>2324</v>
      </c>
      <c r="M78" s="14" t="s">
        <v>179</v>
      </c>
      <c r="N78" s="14" t="s">
        <v>2325</v>
      </c>
      <c r="O78" s="14" t="s">
        <v>179</v>
      </c>
      <c r="P78" s="14" t="s">
        <v>2326</v>
      </c>
      <c r="Q78" s="14" t="s">
        <v>179</v>
      </c>
      <c r="R78" s="14" t="s">
        <v>2327</v>
      </c>
      <c r="S78" s="14" t="s">
        <v>179</v>
      </c>
      <c r="T78" s="14" t="s">
        <v>2328</v>
      </c>
      <c r="U78" s="14" t="s">
        <v>179</v>
      </c>
      <c r="V78" s="14" t="s">
        <v>2329</v>
      </c>
      <c r="W78" s="14" t="s">
        <v>179</v>
      </c>
      <c r="X78" s="14" t="s">
        <v>2330</v>
      </c>
      <c r="Y78" s="14" t="s">
        <v>179</v>
      </c>
      <c r="Z78" s="14" t="s">
        <v>2331</v>
      </c>
      <c r="AA78" s="14" t="s">
        <v>179</v>
      </c>
      <c r="AB78" s="14" t="s">
        <v>2332</v>
      </c>
      <c r="AC78" s="14" t="s">
        <v>179</v>
      </c>
      <c r="AD78" s="14" t="s">
        <v>2333</v>
      </c>
      <c r="AE78" s="14" t="s">
        <v>179</v>
      </c>
      <c r="AF78" s="14" t="s">
        <v>2334</v>
      </c>
      <c r="AG78" s="14" t="s">
        <v>188</v>
      </c>
      <c r="AH78" s="14" t="s">
        <v>2335</v>
      </c>
      <c r="AI78" s="14" t="s">
        <v>179</v>
      </c>
      <c r="AJ78" s="14" t="s">
        <v>2336</v>
      </c>
      <c r="AK78" s="14" t="s">
        <v>179</v>
      </c>
      <c r="AL78" s="14" t="s">
        <v>2337</v>
      </c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6" t="s">
        <v>197</v>
      </c>
      <c r="BP78" s="17" t="s">
        <v>198</v>
      </c>
      <c r="BQ78" s="18">
        <v>45692.42400462963</v>
      </c>
      <c r="BR78" s="17" t="s">
        <v>198</v>
      </c>
      <c r="BS78" s="18">
        <v>45692.42414351852</v>
      </c>
      <c r="BT78" s="17" t="s">
        <v>198</v>
      </c>
      <c r="BU78" s="18">
        <v>45692.42414351852</v>
      </c>
      <c r="BV78" s="13" t="s">
        <v>199</v>
      </c>
      <c r="BW78" s="14" t="s">
        <v>179</v>
      </c>
      <c r="BX78" s="14" t="s">
        <v>2338</v>
      </c>
      <c r="BY78" s="14" t="s">
        <v>179</v>
      </c>
      <c r="BZ78" s="14" t="s">
        <v>2339</v>
      </c>
      <c r="CA78" s="14" t="s">
        <v>179</v>
      </c>
      <c r="CB78" s="14" t="s">
        <v>2340</v>
      </c>
      <c r="CC78" s="14" t="s">
        <v>179</v>
      </c>
      <c r="CD78" s="14" t="s">
        <v>2341</v>
      </c>
      <c r="CE78" s="14" t="s">
        <v>179</v>
      </c>
      <c r="CF78" s="14" t="s">
        <v>2342</v>
      </c>
      <c r="CG78" s="14" t="s">
        <v>179</v>
      </c>
      <c r="CH78" s="14" t="s">
        <v>2343</v>
      </c>
      <c r="CI78" s="19"/>
      <c r="CJ78" s="15"/>
      <c r="CK78" s="19"/>
      <c r="CL78" s="15"/>
      <c r="CM78" s="19"/>
      <c r="CN78" s="15"/>
      <c r="CO78" s="19"/>
      <c r="CP78" s="15"/>
      <c r="CQ78" s="15"/>
      <c r="CR78" s="15"/>
      <c r="CS78" s="19"/>
      <c r="CT78" s="15"/>
      <c r="CU78" s="19"/>
      <c r="CV78" s="15"/>
      <c r="CW78" s="19"/>
      <c r="CX78" s="15"/>
      <c r="CY78" s="19"/>
      <c r="CZ78" s="15"/>
      <c r="DA78" s="16" t="s">
        <v>197</v>
      </c>
      <c r="DB78" s="17" t="s">
        <v>198</v>
      </c>
      <c r="DC78" s="20">
        <v>45719.450219907405</v>
      </c>
      <c r="DD78" s="17" t="s">
        <v>198</v>
      </c>
      <c r="DE78" s="18">
        <v>45719.45025462963</v>
      </c>
      <c r="DF78" s="17" t="s">
        <v>198</v>
      </c>
      <c r="DG78" s="18">
        <v>45719.45025462963</v>
      </c>
      <c r="DH78" s="13" t="s">
        <v>205</v>
      </c>
      <c r="DI78" s="14" t="s">
        <v>179</v>
      </c>
      <c r="DJ78" s="14" t="s">
        <v>2344</v>
      </c>
      <c r="DK78" s="14" t="s">
        <v>179</v>
      </c>
      <c r="DL78" s="14" t="s">
        <v>2345</v>
      </c>
      <c r="DM78" s="14" t="s">
        <v>179</v>
      </c>
      <c r="DN78" s="14" t="s">
        <v>2346</v>
      </c>
      <c r="DO78" s="14" t="s">
        <v>179</v>
      </c>
      <c r="DP78" s="14" t="s">
        <v>2347</v>
      </c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6" t="s">
        <v>197</v>
      </c>
      <c r="ED78" s="17" t="s">
        <v>198</v>
      </c>
      <c r="EE78" s="18">
        <v>45719.45033564815</v>
      </c>
      <c r="EF78" s="13" t="s">
        <v>209</v>
      </c>
      <c r="EG78" s="14" t="s">
        <v>179</v>
      </c>
      <c r="EH78" s="14" t="s">
        <v>2348</v>
      </c>
      <c r="EI78" s="14" t="s">
        <v>179</v>
      </c>
      <c r="EJ78" s="14" t="s">
        <v>2348</v>
      </c>
      <c r="EK78" s="14" t="s">
        <v>179</v>
      </c>
      <c r="EL78" s="14" t="s">
        <v>2349</v>
      </c>
      <c r="EM78" s="14" t="s">
        <v>179</v>
      </c>
      <c r="EN78" s="14" t="s">
        <v>2350</v>
      </c>
      <c r="EO78" s="15"/>
      <c r="EP78" s="15"/>
      <c r="EQ78" s="15"/>
      <c r="ER78" s="15"/>
      <c r="ES78" s="15"/>
      <c r="ET78" s="15"/>
      <c r="EU78" s="15"/>
      <c r="EV78" s="15"/>
      <c r="EW78" s="15"/>
      <c r="EX78" s="15"/>
      <c r="EY78" s="15"/>
      <c r="EZ78" s="15"/>
      <c r="FA78" s="15"/>
      <c r="FB78" s="15"/>
      <c r="FC78" s="16" t="s">
        <v>197</v>
      </c>
      <c r="FD78" s="17" t="s">
        <v>198</v>
      </c>
      <c r="FE78" s="18">
        <v>45722.36211805556</v>
      </c>
      <c r="FF78" s="19"/>
      <c r="FG78" s="19"/>
      <c r="FH78" s="21" t="s">
        <v>197</v>
      </c>
      <c r="FI78" s="17" t="s">
        <v>214</v>
      </c>
      <c r="FJ78" s="18">
        <v>45722.36211805556</v>
      </c>
      <c r="FK78" s="14" t="s">
        <v>2350</v>
      </c>
      <c r="FL78" s="19"/>
      <c r="FM78" s="19"/>
      <c r="FN78" s="19"/>
      <c r="FO78" s="19"/>
      <c r="FP78" s="19" t="str">
        <f t="shared" si="1"/>
        <v/>
      </c>
      <c r="FQ78" s="14" t="s">
        <v>215</v>
      </c>
      <c r="FR78" s="14" t="s">
        <v>2351</v>
      </c>
    </row>
    <row r="79" ht="15.75" customHeight="1">
      <c r="A79" s="12" t="s">
        <v>217</v>
      </c>
      <c r="B79" s="12" t="s">
        <v>2352</v>
      </c>
      <c r="C79" s="24" t="s">
        <v>512</v>
      </c>
      <c r="D79" s="22" t="s">
        <v>2353</v>
      </c>
      <c r="E79" s="22" t="s">
        <v>2354</v>
      </c>
      <c r="F79" s="13" t="s">
        <v>178</v>
      </c>
      <c r="G79" s="14" t="s">
        <v>179</v>
      </c>
      <c r="H79" s="14" t="s">
        <v>2355</v>
      </c>
      <c r="I79" s="14" t="s">
        <v>179</v>
      </c>
      <c r="J79" s="14" t="s">
        <v>2356</v>
      </c>
      <c r="K79" s="14" t="s">
        <v>179</v>
      </c>
      <c r="L79" s="14" t="s">
        <v>2357</v>
      </c>
      <c r="M79" s="14" t="s">
        <v>179</v>
      </c>
      <c r="N79" s="14" t="s">
        <v>2358</v>
      </c>
      <c r="O79" s="14" t="s">
        <v>179</v>
      </c>
      <c r="P79" s="14" t="s">
        <v>2359</v>
      </c>
      <c r="Q79" s="14" t="s">
        <v>179</v>
      </c>
      <c r="R79" s="14" t="s">
        <v>2360</v>
      </c>
      <c r="S79" s="14" t="s">
        <v>179</v>
      </c>
      <c r="T79" s="14" t="s">
        <v>2361</v>
      </c>
      <c r="U79" s="14" t="s">
        <v>179</v>
      </c>
      <c r="V79" s="14" t="s">
        <v>2362</v>
      </c>
      <c r="W79" s="14" t="s">
        <v>179</v>
      </c>
      <c r="X79" s="14" t="s">
        <v>2363</v>
      </c>
      <c r="Y79" s="14" t="s">
        <v>179</v>
      </c>
      <c r="Z79" s="14" t="s">
        <v>2364</v>
      </c>
      <c r="AA79" s="14" t="s">
        <v>179</v>
      </c>
      <c r="AB79" s="14" t="s">
        <v>2365</v>
      </c>
      <c r="AC79" s="14" t="s">
        <v>179</v>
      </c>
      <c r="AD79" s="14" t="s">
        <v>2366</v>
      </c>
      <c r="AE79" s="14" t="s">
        <v>179</v>
      </c>
      <c r="AF79" s="14" t="s">
        <v>2367</v>
      </c>
      <c r="AG79" s="14" t="s">
        <v>179</v>
      </c>
      <c r="AH79" s="14" t="s">
        <v>2368</v>
      </c>
      <c r="AI79" s="14" t="s">
        <v>179</v>
      </c>
      <c r="AJ79" s="14" t="s">
        <v>2369</v>
      </c>
      <c r="AK79" s="14" t="s">
        <v>179</v>
      </c>
      <c r="AL79" s="14" t="s">
        <v>2370</v>
      </c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6" t="s">
        <v>197</v>
      </c>
      <c r="BP79" s="17" t="s">
        <v>198</v>
      </c>
      <c r="BQ79" s="18">
        <v>45685.386030092595</v>
      </c>
      <c r="BR79" s="17" t="s">
        <v>198</v>
      </c>
      <c r="BS79" s="18">
        <v>45685.38623842593</v>
      </c>
      <c r="BT79" s="17" t="s">
        <v>198</v>
      </c>
      <c r="BU79" s="18">
        <v>45685.38623842593</v>
      </c>
      <c r="BV79" s="13" t="s">
        <v>199</v>
      </c>
      <c r="BW79" s="14" t="s">
        <v>179</v>
      </c>
      <c r="BX79" s="14" t="s">
        <v>2371</v>
      </c>
      <c r="BY79" s="14" t="s">
        <v>179</v>
      </c>
      <c r="BZ79" s="14" t="s">
        <v>2372</v>
      </c>
      <c r="CA79" s="14" t="s">
        <v>179</v>
      </c>
      <c r="CB79" s="14" t="s">
        <v>2373</v>
      </c>
      <c r="CC79" s="14" t="s">
        <v>179</v>
      </c>
      <c r="CD79" s="14" t="s">
        <v>2374</v>
      </c>
      <c r="CE79" s="14" t="s">
        <v>179</v>
      </c>
      <c r="CF79" s="14" t="s">
        <v>2375</v>
      </c>
      <c r="CG79" s="14" t="s">
        <v>179</v>
      </c>
      <c r="CH79" s="14" t="s">
        <v>2376</v>
      </c>
      <c r="CI79" s="19"/>
      <c r="CJ79" s="15"/>
      <c r="CK79" s="19"/>
      <c r="CL79" s="15"/>
      <c r="CM79" s="19"/>
      <c r="CN79" s="15"/>
      <c r="CO79" s="19"/>
      <c r="CP79" s="15"/>
      <c r="CQ79" s="15"/>
      <c r="CR79" s="15"/>
      <c r="CS79" s="19"/>
      <c r="CT79" s="15"/>
      <c r="CU79" s="19"/>
      <c r="CV79" s="15"/>
      <c r="CW79" s="19"/>
      <c r="CX79" s="15"/>
      <c r="CY79" s="19"/>
      <c r="CZ79" s="15"/>
      <c r="DA79" s="16" t="s">
        <v>197</v>
      </c>
      <c r="DB79" s="17" t="s">
        <v>198</v>
      </c>
      <c r="DC79" s="20">
        <v>45692.600625</v>
      </c>
      <c r="DD79" s="17" t="s">
        <v>198</v>
      </c>
      <c r="DE79" s="18">
        <v>45692.60065972222</v>
      </c>
      <c r="DF79" s="17" t="s">
        <v>198</v>
      </c>
      <c r="DG79" s="18">
        <v>45692.60065972222</v>
      </c>
      <c r="DH79" s="13" t="s">
        <v>205</v>
      </c>
      <c r="DI79" s="14" t="s">
        <v>179</v>
      </c>
      <c r="DJ79" s="14" t="s">
        <v>2377</v>
      </c>
      <c r="DK79" s="14" t="s">
        <v>179</v>
      </c>
      <c r="DL79" s="14" t="s">
        <v>2377</v>
      </c>
      <c r="DM79" s="14" t="s">
        <v>179</v>
      </c>
      <c r="DN79" s="14" t="s">
        <v>2378</v>
      </c>
      <c r="DO79" s="14" t="s">
        <v>179</v>
      </c>
      <c r="DP79" s="14" t="s">
        <v>2379</v>
      </c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6" t="s">
        <v>197</v>
      </c>
      <c r="ED79" s="17" t="s">
        <v>198</v>
      </c>
      <c r="EE79" s="18">
        <v>45721.3215162037</v>
      </c>
      <c r="EF79" s="13" t="s">
        <v>209</v>
      </c>
      <c r="EG79" s="14" t="s">
        <v>179</v>
      </c>
      <c r="EH79" s="14" t="s">
        <v>2380</v>
      </c>
      <c r="EI79" s="14" t="s">
        <v>179</v>
      </c>
      <c r="EJ79" s="14" t="s">
        <v>2380</v>
      </c>
      <c r="EK79" s="14" t="s">
        <v>179</v>
      </c>
      <c r="EL79" s="14" t="s">
        <v>2381</v>
      </c>
      <c r="EM79" s="14" t="s">
        <v>179</v>
      </c>
      <c r="EN79" s="14" t="s">
        <v>2382</v>
      </c>
      <c r="EO79" s="15"/>
      <c r="EP79" s="15"/>
      <c r="EQ79" s="15"/>
      <c r="ER79" s="15"/>
      <c r="ES79" s="15"/>
      <c r="ET79" s="15"/>
      <c r="EU79" s="15"/>
      <c r="EV79" s="15"/>
      <c r="EW79" s="15"/>
      <c r="EX79" s="15"/>
      <c r="EY79" s="15"/>
      <c r="EZ79" s="15"/>
      <c r="FA79" s="15"/>
      <c r="FB79" s="15"/>
      <c r="FC79" s="16" t="s">
        <v>197</v>
      </c>
      <c r="FD79" s="17" t="s">
        <v>198</v>
      </c>
      <c r="FE79" s="18">
        <v>45721.32162037037</v>
      </c>
      <c r="FF79" s="19"/>
      <c r="FG79" s="19"/>
      <c r="FH79" s="21" t="s">
        <v>197</v>
      </c>
      <c r="FI79" s="17" t="s">
        <v>214</v>
      </c>
      <c r="FJ79" s="18">
        <v>45721.32162037037</v>
      </c>
      <c r="FK79" s="14" t="s">
        <v>2382</v>
      </c>
      <c r="FL79" s="14" t="s">
        <v>2383</v>
      </c>
      <c r="FM79" s="14" t="s">
        <v>2384</v>
      </c>
      <c r="FN79" s="19"/>
      <c r="FO79" s="19"/>
      <c r="FP79" s="19" t="str">
        <f t="shared" si="1"/>
        <v>Base de Dados_Images/BC4002.Imagem do Equipamento-.162853.jpg</v>
      </c>
      <c r="FQ79" s="19"/>
      <c r="FR79" s="19"/>
    </row>
    <row r="80" ht="15.75" customHeight="1">
      <c r="A80" s="12" t="s">
        <v>217</v>
      </c>
      <c r="B80" s="12" t="s">
        <v>2352</v>
      </c>
      <c r="C80" s="24" t="s">
        <v>512</v>
      </c>
      <c r="D80" s="22" t="s">
        <v>2385</v>
      </c>
      <c r="E80" s="22" t="s">
        <v>2386</v>
      </c>
      <c r="F80" s="13" t="s">
        <v>178</v>
      </c>
      <c r="G80" s="14" t="s">
        <v>179</v>
      </c>
      <c r="H80" s="14" t="s">
        <v>2387</v>
      </c>
      <c r="I80" s="14" t="s">
        <v>179</v>
      </c>
      <c r="J80" s="14" t="s">
        <v>2388</v>
      </c>
      <c r="K80" s="14" t="s">
        <v>179</v>
      </c>
      <c r="L80" s="14" t="s">
        <v>2389</v>
      </c>
      <c r="M80" s="14" t="s">
        <v>179</v>
      </c>
      <c r="N80" s="14" t="s">
        <v>2390</v>
      </c>
      <c r="O80" s="14" t="s">
        <v>179</v>
      </c>
      <c r="P80" s="14" t="s">
        <v>2391</v>
      </c>
      <c r="Q80" s="14" t="s">
        <v>179</v>
      </c>
      <c r="R80" s="14" t="s">
        <v>2392</v>
      </c>
      <c r="S80" s="14" t="s">
        <v>179</v>
      </c>
      <c r="T80" s="14" t="s">
        <v>2393</v>
      </c>
      <c r="U80" s="14" t="s">
        <v>179</v>
      </c>
      <c r="V80" s="14" t="s">
        <v>2394</v>
      </c>
      <c r="W80" s="14" t="s">
        <v>179</v>
      </c>
      <c r="X80" s="14" t="s">
        <v>2395</v>
      </c>
      <c r="Y80" s="14" t="s">
        <v>179</v>
      </c>
      <c r="Z80" s="14" t="s">
        <v>2396</v>
      </c>
      <c r="AA80" s="14" t="s">
        <v>179</v>
      </c>
      <c r="AB80" s="14" t="s">
        <v>2397</v>
      </c>
      <c r="AC80" s="14" t="s">
        <v>179</v>
      </c>
      <c r="AD80" s="14" t="s">
        <v>2398</v>
      </c>
      <c r="AE80" s="14" t="s">
        <v>179</v>
      </c>
      <c r="AF80" s="14" t="s">
        <v>2399</v>
      </c>
      <c r="AG80" s="14" t="s">
        <v>179</v>
      </c>
      <c r="AH80" s="14" t="s">
        <v>2400</v>
      </c>
      <c r="AI80" s="14" t="s">
        <v>179</v>
      </c>
      <c r="AJ80" s="14" t="s">
        <v>2401</v>
      </c>
      <c r="AK80" s="14" t="s">
        <v>179</v>
      </c>
      <c r="AL80" s="14" t="s">
        <v>2402</v>
      </c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6" t="s">
        <v>197</v>
      </c>
      <c r="BP80" s="17" t="s">
        <v>198</v>
      </c>
      <c r="BQ80" s="18">
        <v>45687.343043981484</v>
      </c>
      <c r="BR80" s="17" t="s">
        <v>198</v>
      </c>
      <c r="BS80" s="18">
        <v>45687.34326388889</v>
      </c>
      <c r="BT80" s="17" t="s">
        <v>198</v>
      </c>
      <c r="BU80" s="18">
        <v>45687.34326388889</v>
      </c>
      <c r="BV80" s="13" t="s">
        <v>199</v>
      </c>
      <c r="BW80" s="14" t="s">
        <v>179</v>
      </c>
      <c r="BX80" s="14" t="s">
        <v>2403</v>
      </c>
      <c r="BY80" s="14" t="s">
        <v>179</v>
      </c>
      <c r="BZ80" s="14" t="s">
        <v>2404</v>
      </c>
      <c r="CA80" s="14" t="s">
        <v>179</v>
      </c>
      <c r="CB80" s="14" t="s">
        <v>2405</v>
      </c>
      <c r="CC80" s="14" t="s">
        <v>179</v>
      </c>
      <c r="CD80" s="14" t="s">
        <v>2406</v>
      </c>
      <c r="CE80" s="14" t="s">
        <v>179</v>
      </c>
      <c r="CF80" s="14" t="s">
        <v>2407</v>
      </c>
      <c r="CG80" s="14" t="s">
        <v>179</v>
      </c>
      <c r="CH80" s="14" t="s">
        <v>2408</v>
      </c>
      <c r="CI80" s="19"/>
      <c r="CJ80" s="15"/>
      <c r="CK80" s="19"/>
      <c r="CL80" s="15"/>
      <c r="CM80" s="19"/>
      <c r="CN80" s="15"/>
      <c r="CO80" s="19"/>
      <c r="CP80" s="15"/>
      <c r="CQ80" s="15"/>
      <c r="CR80" s="15"/>
      <c r="CS80" s="19"/>
      <c r="CT80" s="15"/>
      <c r="CU80" s="19"/>
      <c r="CV80" s="15"/>
      <c r="CW80" s="19"/>
      <c r="CX80" s="15"/>
      <c r="CY80" s="19"/>
      <c r="CZ80" s="15"/>
      <c r="DA80" s="16" t="s">
        <v>197</v>
      </c>
      <c r="DB80" s="17" t="s">
        <v>198</v>
      </c>
      <c r="DC80" s="20">
        <v>45692.60091435185</v>
      </c>
      <c r="DD80" s="17" t="s">
        <v>198</v>
      </c>
      <c r="DE80" s="18">
        <v>45692.60092592592</v>
      </c>
      <c r="DF80" s="17" t="s">
        <v>198</v>
      </c>
      <c r="DG80" s="18">
        <v>45692.60092592592</v>
      </c>
      <c r="DH80" s="13" t="s">
        <v>205</v>
      </c>
      <c r="DI80" s="14" t="s">
        <v>179</v>
      </c>
      <c r="DJ80" s="14" t="s">
        <v>2409</v>
      </c>
      <c r="DK80" s="14" t="s">
        <v>179</v>
      </c>
      <c r="DL80" s="14" t="s">
        <v>2409</v>
      </c>
      <c r="DM80" s="14" t="s">
        <v>179</v>
      </c>
      <c r="DN80" s="14" t="s">
        <v>2410</v>
      </c>
      <c r="DO80" s="14" t="s">
        <v>179</v>
      </c>
      <c r="DP80" s="14" t="s">
        <v>2411</v>
      </c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6" t="s">
        <v>197</v>
      </c>
      <c r="ED80" s="17" t="s">
        <v>198</v>
      </c>
      <c r="EE80" s="18">
        <v>45721.32172453704</v>
      </c>
      <c r="EF80" s="13" t="s">
        <v>209</v>
      </c>
      <c r="EG80" s="14" t="s">
        <v>179</v>
      </c>
      <c r="EH80" s="14" t="s">
        <v>2412</v>
      </c>
      <c r="EI80" s="14" t="s">
        <v>179</v>
      </c>
      <c r="EJ80" s="14" t="s">
        <v>2412</v>
      </c>
      <c r="EK80" s="14" t="s">
        <v>179</v>
      </c>
      <c r="EL80" s="14" t="s">
        <v>2413</v>
      </c>
      <c r="EM80" s="14" t="s">
        <v>179</v>
      </c>
      <c r="EN80" s="14" t="s">
        <v>2414</v>
      </c>
      <c r="EO80" s="15"/>
      <c r="EP80" s="15"/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6" t="s">
        <v>197</v>
      </c>
      <c r="FD80" s="17" t="s">
        <v>198</v>
      </c>
      <c r="FE80" s="18">
        <v>45721.32179398148</v>
      </c>
      <c r="FF80" s="19"/>
      <c r="FG80" s="19"/>
      <c r="FH80" s="21" t="s">
        <v>197</v>
      </c>
      <c r="FI80" s="17" t="s">
        <v>214</v>
      </c>
      <c r="FJ80" s="18">
        <v>45721.32179398148</v>
      </c>
      <c r="FK80" s="14" t="s">
        <v>2414</v>
      </c>
      <c r="FL80" s="19"/>
      <c r="FM80" s="19"/>
      <c r="FN80" s="19"/>
      <c r="FO80" s="19"/>
      <c r="FP80" s="19" t="str">
        <f t="shared" si="1"/>
        <v/>
      </c>
      <c r="FQ80" s="14" t="s">
        <v>215</v>
      </c>
      <c r="FR80" s="14" t="s">
        <v>2415</v>
      </c>
    </row>
    <row r="81" ht="15.75" customHeight="1">
      <c r="A81" s="12" t="s">
        <v>461</v>
      </c>
      <c r="B81" s="12" t="s">
        <v>2416</v>
      </c>
      <c r="C81" s="24" t="s">
        <v>512</v>
      </c>
      <c r="D81" s="22" t="s">
        <v>2417</v>
      </c>
      <c r="E81" s="22" t="s">
        <v>2418</v>
      </c>
      <c r="F81" s="13" t="s">
        <v>178</v>
      </c>
      <c r="G81" s="14" t="s">
        <v>179</v>
      </c>
      <c r="H81" s="14" t="s">
        <v>2419</v>
      </c>
      <c r="I81" s="14" t="s">
        <v>179</v>
      </c>
      <c r="J81" s="14" t="s">
        <v>2420</v>
      </c>
      <c r="K81" s="14" t="s">
        <v>179</v>
      </c>
      <c r="L81" s="14" t="s">
        <v>2421</v>
      </c>
      <c r="M81" s="14" t="s">
        <v>179</v>
      </c>
      <c r="N81" s="14" t="s">
        <v>2422</v>
      </c>
      <c r="O81" s="14" t="s">
        <v>179</v>
      </c>
      <c r="P81" s="14" t="s">
        <v>2423</v>
      </c>
      <c r="Q81" s="14" t="s">
        <v>179</v>
      </c>
      <c r="R81" s="14" t="s">
        <v>2424</v>
      </c>
      <c r="S81" s="14" t="s">
        <v>179</v>
      </c>
      <c r="T81" s="14" t="s">
        <v>2425</v>
      </c>
      <c r="U81" s="14" t="s">
        <v>179</v>
      </c>
      <c r="V81" s="14" t="s">
        <v>2426</v>
      </c>
      <c r="W81" s="14" t="s">
        <v>179</v>
      </c>
      <c r="X81" s="14" t="s">
        <v>2427</v>
      </c>
      <c r="Y81" s="14" t="s">
        <v>179</v>
      </c>
      <c r="Z81" s="14" t="s">
        <v>2428</v>
      </c>
      <c r="AA81" s="14" t="s">
        <v>179</v>
      </c>
      <c r="AB81" s="14" t="s">
        <v>2429</v>
      </c>
      <c r="AC81" s="14" t="s">
        <v>179</v>
      </c>
      <c r="AD81" s="14" t="s">
        <v>2430</v>
      </c>
      <c r="AE81" s="14" t="s">
        <v>179</v>
      </c>
      <c r="AF81" s="14" t="s">
        <v>2431</v>
      </c>
      <c r="AG81" s="14" t="s">
        <v>179</v>
      </c>
      <c r="AH81" s="14" t="s">
        <v>2432</v>
      </c>
      <c r="AI81" s="14" t="s">
        <v>179</v>
      </c>
      <c r="AJ81" s="14" t="s">
        <v>2433</v>
      </c>
      <c r="AK81" s="14" t="s">
        <v>179</v>
      </c>
      <c r="AL81" s="14" t="s">
        <v>2434</v>
      </c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6" t="s">
        <v>197</v>
      </c>
      <c r="BP81" s="17" t="s">
        <v>198</v>
      </c>
      <c r="BQ81" s="18">
        <v>45685.378217592595</v>
      </c>
      <c r="BR81" s="17" t="s">
        <v>198</v>
      </c>
      <c r="BS81" s="18">
        <v>45684.55614583333</v>
      </c>
      <c r="BT81" s="17" t="s">
        <v>198</v>
      </c>
      <c r="BU81" s="18">
        <v>45685.378217592595</v>
      </c>
      <c r="BV81" s="13" t="s">
        <v>199</v>
      </c>
      <c r="BW81" s="14" t="s">
        <v>179</v>
      </c>
      <c r="BX81" s="14" t="s">
        <v>2435</v>
      </c>
      <c r="BY81" s="14" t="s">
        <v>179</v>
      </c>
      <c r="BZ81" s="14" t="s">
        <v>2436</v>
      </c>
      <c r="CA81" s="14" t="s">
        <v>179</v>
      </c>
      <c r="CB81" s="14" t="s">
        <v>2437</v>
      </c>
      <c r="CC81" s="14" t="s">
        <v>179</v>
      </c>
      <c r="CD81" s="14" t="s">
        <v>2437</v>
      </c>
      <c r="CE81" s="14" t="s">
        <v>179</v>
      </c>
      <c r="CF81" s="14" t="s">
        <v>2438</v>
      </c>
      <c r="CG81" s="14" t="s">
        <v>179</v>
      </c>
      <c r="CH81" s="14" t="s">
        <v>2439</v>
      </c>
      <c r="CI81" s="19"/>
      <c r="CJ81" s="15"/>
      <c r="CK81" s="19"/>
      <c r="CL81" s="15"/>
      <c r="CM81" s="19"/>
      <c r="CN81" s="15"/>
      <c r="CO81" s="19"/>
      <c r="CP81" s="15"/>
      <c r="CQ81" s="15"/>
      <c r="CR81" s="15"/>
      <c r="CS81" s="19"/>
      <c r="CT81" s="15"/>
      <c r="CU81" s="19"/>
      <c r="CV81" s="15"/>
      <c r="CW81" s="19"/>
      <c r="CX81" s="15"/>
      <c r="CY81" s="19"/>
      <c r="CZ81" s="15"/>
      <c r="DA81" s="16" t="s">
        <v>197</v>
      </c>
      <c r="DB81" s="17" t="s">
        <v>198</v>
      </c>
      <c r="DC81" s="20">
        <v>45691.63045138889</v>
      </c>
      <c r="DD81" s="17" t="s">
        <v>198</v>
      </c>
      <c r="DE81" s="18">
        <v>45691.630474537036</v>
      </c>
      <c r="DF81" s="17" t="s">
        <v>198</v>
      </c>
      <c r="DG81" s="18">
        <v>45691.630474537036</v>
      </c>
      <c r="DH81" s="13" t="s">
        <v>205</v>
      </c>
      <c r="DI81" s="14" t="s">
        <v>179</v>
      </c>
      <c r="DJ81" s="14" t="s">
        <v>2440</v>
      </c>
      <c r="DK81" s="14" t="s">
        <v>179</v>
      </c>
      <c r="DL81" s="14" t="s">
        <v>2441</v>
      </c>
      <c r="DM81" s="14" t="s">
        <v>179</v>
      </c>
      <c r="DN81" s="14" t="s">
        <v>2442</v>
      </c>
      <c r="DO81" s="14" t="s">
        <v>179</v>
      </c>
      <c r="DP81" s="14" t="s">
        <v>2441</v>
      </c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6" t="s">
        <v>197</v>
      </c>
      <c r="ED81" s="17" t="s">
        <v>198</v>
      </c>
      <c r="EE81" s="18">
        <v>45691.63303240741</v>
      </c>
      <c r="EF81" s="13" t="s">
        <v>209</v>
      </c>
      <c r="EG81" s="14" t="s">
        <v>179</v>
      </c>
      <c r="EH81" s="14" t="s">
        <v>2443</v>
      </c>
      <c r="EI81" s="14" t="s">
        <v>179</v>
      </c>
      <c r="EJ81" s="14" t="s">
        <v>2443</v>
      </c>
      <c r="EK81" s="14" t="s">
        <v>179</v>
      </c>
      <c r="EL81" s="14" t="s">
        <v>2444</v>
      </c>
      <c r="EM81" s="14" t="s">
        <v>179</v>
      </c>
      <c r="EN81" s="14" t="s">
        <v>2444</v>
      </c>
      <c r="EO81" s="15"/>
      <c r="EP81" s="15"/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5"/>
      <c r="FB81" s="15"/>
      <c r="FC81" s="16" t="s">
        <v>197</v>
      </c>
      <c r="FD81" s="17" t="s">
        <v>198</v>
      </c>
      <c r="FE81" s="18">
        <v>45723.560694444444</v>
      </c>
      <c r="FF81" s="19"/>
      <c r="FG81" s="19"/>
      <c r="FH81" s="21" t="s">
        <v>197</v>
      </c>
      <c r="FI81" s="17" t="s">
        <v>214</v>
      </c>
      <c r="FJ81" s="18">
        <v>45723.560694444444</v>
      </c>
      <c r="FK81" s="14" t="s">
        <v>2444</v>
      </c>
      <c r="FL81" s="14" t="s">
        <v>2445</v>
      </c>
      <c r="FM81" s="14" t="s">
        <v>2446</v>
      </c>
      <c r="FN81" s="14" t="s">
        <v>2447</v>
      </c>
      <c r="FO81" s="14" t="s">
        <v>2448</v>
      </c>
      <c r="FP81" s="19" t="str">
        <f t="shared" si="1"/>
        <v>Base de Dados_Images/BC4004.Imagem do Equipamento-.175809.jpg</v>
      </c>
      <c r="FQ81" s="19"/>
      <c r="FR81" s="19"/>
    </row>
    <row r="82" ht="15.75" customHeight="1">
      <c r="A82" s="12" t="s">
        <v>217</v>
      </c>
      <c r="B82" s="12" t="s">
        <v>2449</v>
      </c>
      <c r="C82" s="24" t="s">
        <v>512</v>
      </c>
      <c r="D82" s="22" t="s">
        <v>2450</v>
      </c>
      <c r="E82" s="22" t="s">
        <v>2451</v>
      </c>
      <c r="F82" s="13" t="s">
        <v>178</v>
      </c>
      <c r="G82" s="14" t="s">
        <v>179</v>
      </c>
      <c r="H82" s="14" t="s">
        <v>2452</v>
      </c>
      <c r="I82" s="14" t="s">
        <v>179</v>
      </c>
      <c r="J82" s="14" t="s">
        <v>2453</v>
      </c>
      <c r="K82" s="14" t="s">
        <v>179</v>
      </c>
      <c r="L82" s="14" t="s">
        <v>2454</v>
      </c>
      <c r="M82" s="14" t="s">
        <v>179</v>
      </c>
      <c r="N82" s="14" t="s">
        <v>2455</v>
      </c>
      <c r="O82" s="14" t="s">
        <v>179</v>
      </c>
      <c r="P82" s="14" t="s">
        <v>2456</v>
      </c>
      <c r="Q82" s="14" t="s">
        <v>179</v>
      </c>
      <c r="R82" s="14" t="s">
        <v>2457</v>
      </c>
      <c r="S82" s="14" t="s">
        <v>179</v>
      </c>
      <c r="T82" s="14" t="s">
        <v>2458</v>
      </c>
      <c r="U82" s="14" t="s">
        <v>179</v>
      </c>
      <c r="V82" s="14" t="s">
        <v>2459</v>
      </c>
      <c r="W82" s="14" t="s">
        <v>179</v>
      </c>
      <c r="X82" s="14" t="s">
        <v>2460</v>
      </c>
      <c r="Y82" s="14" t="s">
        <v>188</v>
      </c>
      <c r="Z82" s="14" t="s">
        <v>2461</v>
      </c>
      <c r="AA82" s="14" t="s">
        <v>179</v>
      </c>
      <c r="AB82" s="14" t="s">
        <v>2462</v>
      </c>
      <c r="AC82" s="14" t="s">
        <v>179</v>
      </c>
      <c r="AD82" s="14" t="s">
        <v>2463</v>
      </c>
      <c r="AE82" s="14" t="s">
        <v>179</v>
      </c>
      <c r="AF82" s="14" t="s">
        <v>2464</v>
      </c>
      <c r="AG82" s="14" t="s">
        <v>179</v>
      </c>
      <c r="AH82" s="14" t="s">
        <v>2465</v>
      </c>
      <c r="AI82" s="14" t="s">
        <v>179</v>
      </c>
      <c r="AJ82" s="14" t="s">
        <v>2466</v>
      </c>
      <c r="AK82" s="14" t="s">
        <v>179</v>
      </c>
      <c r="AL82" s="14" t="s">
        <v>2467</v>
      </c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6" t="s">
        <v>197</v>
      </c>
      <c r="BP82" s="17" t="s">
        <v>198</v>
      </c>
      <c r="BQ82" s="18">
        <v>45685.379270833335</v>
      </c>
      <c r="BR82" s="17" t="s">
        <v>198</v>
      </c>
      <c r="BS82" s="18">
        <v>45685.37965277778</v>
      </c>
      <c r="BT82" s="17" t="s">
        <v>198</v>
      </c>
      <c r="BU82" s="18">
        <v>45685.37965277778</v>
      </c>
      <c r="BV82" s="13" t="s">
        <v>199</v>
      </c>
      <c r="BW82" s="14" t="s">
        <v>179</v>
      </c>
      <c r="BX82" s="14" t="s">
        <v>2468</v>
      </c>
      <c r="BY82" s="14" t="s">
        <v>179</v>
      </c>
      <c r="BZ82" s="14" t="s">
        <v>2469</v>
      </c>
      <c r="CA82" s="14" t="s">
        <v>179</v>
      </c>
      <c r="CB82" s="14" t="s">
        <v>2470</v>
      </c>
      <c r="CC82" s="14" t="s">
        <v>179</v>
      </c>
      <c r="CD82" s="14" t="s">
        <v>2471</v>
      </c>
      <c r="CE82" s="14" t="s">
        <v>179</v>
      </c>
      <c r="CF82" s="14" t="s">
        <v>2472</v>
      </c>
      <c r="CG82" s="14" t="s">
        <v>179</v>
      </c>
      <c r="CH82" s="14" t="s">
        <v>2473</v>
      </c>
      <c r="CI82" s="19"/>
      <c r="CJ82" s="15"/>
      <c r="CK82" s="19"/>
      <c r="CL82" s="15"/>
      <c r="CM82" s="19"/>
      <c r="CN82" s="15"/>
      <c r="CO82" s="19"/>
      <c r="CP82" s="15"/>
      <c r="CQ82" s="15"/>
      <c r="CR82" s="15"/>
      <c r="CS82" s="19"/>
      <c r="CT82" s="15"/>
      <c r="CU82" s="19"/>
      <c r="CV82" s="15"/>
      <c r="CW82" s="19"/>
      <c r="CX82" s="15"/>
      <c r="CY82" s="19"/>
      <c r="CZ82" s="15"/>
      <c r="DA82" s="16" t="s">
        <v>197</v>
      </c>
      <c r="DB82" s="17" t="s">
        <v>198</v>
      </c>
      <c r="DC82" s="20">
        <v>45715.54707175926</v>
      </c>
      <c r="DD82" s="17" t="s">
        <v>198</v>
      </c>
      <c r="DE82" s="18">
        <v>45715.54785879629</v>
      </c>
      <c r="DF82" s="17" t="s">
        <v>198</v>
      </c>
      <c r="DG82" s="18">
        <v>45715.54785879629</v>
      </c>
      <c r="DH82" s="13" t="s">
        <v>205</v>
      </c>
      <c r="DI82" s="14" t="s">
        <v>179</v>
      </c>
      <c r="DJ82" s="14" t="s">
        <v>2474</v>
      </c>
      <c r="DK82" s="14" t="s">
        <v>179</v>
      </c>
      <c r="DL82" s="14" t="s">
        <v>2475</v>
      </c>
      <c r="DM82" s="14" t="s">
        <v>179</v>
      </c>
      <c r="DN82" s="14" t="s">
        <v>2476</v>
      </c>
      <c r="DO82" s="14" t="s">
        <v>179</v>
      </c>
      <c r="DP82" s="14" t="s">
        <v>2477</v>
      </c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6" t="s">
        <v>197</v>
      </c>
      <c r="ED82" s="17" t="s">
        <v>198</v>
      </c>
      <c r="EE82" s="18">
        <v>45715.548055555555</v>
      </c>
      <c r="EF82" s="13" t="s">
        <v>209</v>
      </c>
      <c r="EG82" s="14" t="s">
        <v>179</v>
      </c>
      <c r="EH82" s="14" t="s">
        <v>2478</v>
      </c>
      <c r="EI82" s="14" t="s">
        <v>179</v>
      </c>
      <c r="EJ82" s="14" t="s">
        <v>2478</v>
      </c>
      <c r="EK82" s="14" t="s">
        <v>179</v>
      </c>
      <c r="EL82" s="14" t="s">
        <v>2479</v>
      </c>
      <c r="EM82" s="14" t="s">
        <v>179</v>
      </c>
      <c r="EN82" s="14" t="s">
        <v>2480</v>
      </c>
      <c r="EO82" s="15"/>
      <c r="EP82" s="15"/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6" t="s">
        <v>197</v>
      </c>
      <c r="FD82" s="17" t="s">
        <v>198</v>
      </c>
      <c r="FE82" s="18">
        <v>45723.35600694444</v>
      </c>
      <c r="FF82" s="19"/>
      <c r="FG82" s="19"/>
      <c r="FH82" s="21" t="s">
        <v>197</v>
      </c>
      <c r="FI82" s="17" t="s">
        <v>214</v>
      </c>
      <c r="FJ82" s="18">
        <v>45723.35600694444</v>
      </c>
      <c r="FK82" s="14" t="s">
        <v>2480</v>
      </c>
      <c r="FL82" s="14" t="s">
        <v>2481</v>
      </c>
      <c r="FM82" s="14" t="s">
        <v>2482</v>
      </c>
      <c r="FN82" s="19"/>
      <c r="FO82" s="19"/>
      <c r="FP82" s="19" t="str">
        <f t="shared" si="1"/>
        <v>Base de Dados_Images/BC4005.Imagem do Equipamento-.153547.jpg</v>
      </c>
      <c r="FQ82" s="19"/>
      <c r="FR82" s="19"/>
    </row>
    <row r="83" ht="15.75" customHeight="1">
      <c r="A83" s="12" t="s">
        <v>217</v>
      </c>
      <c r="B83" s="12" t="s">
        <v>1420</v>
      </c>
      <c r="C83" s="24" t="s">
        <v>512</v>
      </c>
      <c r="D83" s="22" t="s">
        <v>2483</v>
      </c>
      <c r="E83" s="22" t="s">
        <v>2484</v>
      </c>
      <c r="F83" s="13" t="s">
        <v>178</v>
      </c>
      <c r="G83" s="14" t="s">
        <v>179</v>
      </c>
      <c r="H83" s="14" t="s">
        <v>2485</v>
      </c>
      <c r="I83" s="14" t="s">
        <v>179</v>
      </c>
      <c r="J83" s="14" t="s">
        <v>2486</v>
      </c>
      <c r="K83" s="14" t="s">
        <v>179</v>
      </c>
      <c r="L83" s="14" t="s">
        <v>2486</v>
      </c>
      <c r="M83" s="14" t="s">
        <v>179</v>
      </c>
      <c r="N83" s="14" t="s">
        <v>2487</v>
      </c>
      <c r="O83" s="14" t="s">
        <v>179</v>
      </c>
      <c r="P83" s="14" t="s">
        <v>2488</v>
      </c>
      <c r="Q83" s="14" t="s">
        <v>179</v>
      </c>
      <c r="R83" s="14" t="s">
        <v>2488</v>
      </c>
      <c r="S83" s="14" t="s">
        <v>179</v>
      </c>
      <c r="T83" s="14" t="s">
        <v>2489</v>
      </c>
      <c r="U83" s="14" t="s">
        <v>179</v>
      </c>
      <c r="V83" s="14" t="s">
        <v>2490</v>
      </c>
      <c r="W83" s="14" t="s">
        <v>179</v>
      </c>
      <c r="X83" s="14" t="s">
        <v>2491</v>
      </c>
      <c r="Y83" s="14" t="s">
        <v>188</v>
      </c>
      <c r="Z83" s="14" t="s">
        <v>2492</v>
      </c>
      <c r="AA83" s="14" t="s">
        <v>179</v>
      </c>
      <c r="AB83" s="14" t="s">
        <v>2493</v>
      </c>
      <c r="AC83" s="14" t="s">
        <v>179</v>
      </c>
      <c r="AD83" s="14" t="s">
        <v>2494</v>
      </c>
      <c r="AE83" s="14" t="s">
        <v>179</v>
      </c>
      <c r="AF83" s="14" t="s">
        <v>2495</v>
      </c>
      <c r="AG83" s="14" t="s">
        <v>179</v>
      </c>
      <c r="AH83" s="14" t="s">
        <v>2496</v>
      </c>
      <c r="AI83" s="14" t="s">
        <v>179</v>
      </c>
      <c r="AJ83" s="14" t="s">
        <v>2497</v>
      </c>
      <c r="AK83" s="14" t="s">
        <v>179</v>
      </c>
      <c r="AL83" s="14" t="s">
        <v>2498</v>
      </c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6" t="s">
        <v>197</v>
      </c>
      <c r="BP83" s="17" t="s">
        <v>198</v>
      </c>
      <c r="BQ83" s="18">
        <v>45705.41201388889</v>
      </c>
      <c r="BR83" s="17" t="s">
        <v>198</v>
      </c>
      <c r="BS83" s="18">
        <v>45705.41210648148</v>
      </c>
      <c r="BT83" s="17" t="s">
        <v>198</v>
      </c>
      <c r="BU83" s="18">
        <v>45705.41210648148</v>
      </c>
      <c r="BV83" s="13" t="s">
        <v>199</v>
      </c>
      <c r="BW83" s="14" t="s">
        <v>179</v>
      </c>
      <c r="BX83" s="14" t="s">
        <v>2499</v>
      </c>
      <c r="BY83" s="14" t="s">
        <v>179</v>
      </c>
      <c r="BZ83" s="14" t="s">
        <v>2499</v>
      </c>
      <c r="CA83" s="14" t="s">
        <v>179</v>
      </c>
      <c r="CB83" s="14" t="s">
        <v>2500</v>
      </c>
      <c r="CC83" s="14" t="s">
        <v>179</v>
      </c>
      <c r="CD83" s="14" t="s">
        <v>2501</v>
      </c>
      <c r="CE83" s="14" t="s">
        <v>179</v>
      </c>
      <c r="CF83" s="14" t="s">
        <v>2502</v>
      </c>
      <c r="CG83" s="14" t="s">
        <v>179</v>
      </c>
      <c r="CH83" s="14" t="s">
        <v>2503</v>
      </c>
      <c r="CI83" s="19"/>
      <c r="CJ83" s="15"/>
      <c r="CK83" s="19"/>
      <c r="CL83" s="15"/>
      <c r="CM83" s="19"/>
      <c r="CN83" s="15"/>
      <c r="CO83" s="19"/>
      <c r="CP83" s="15"/>
      <c r="CQ83" s="15"/>
      <c r="CR83" s="15"/>
      <c r="CS83" s="19"/>
      <c r="CT83" s="15"/>
      <c r="CU83" s="19"/>
      <c r="CV83" s="15"/>
      <c r="CW83" s="19"/>
      <c r="CX83" s="15"/>
      <c r="CY83" s="19"/>
      <c r="CZ83" s="15"/>
      <c r="DA83" s="16" t="s">
        <v>197</v>
      </c>
      <c r="DB83" s="17" t="s">
        <v>198</v>
      </c>
      <c r="DC83" s="20">
        <v>45722.37525462963</v>
      </c>
      <c r="DD83" s="17" t="s">
        <v>198</v>
      </c>
      <c r="DE83" s="18">
        <v>45722.375289351854</v>
      </c>
      <c r="DF83" s="17" t="s">
        <v>198</v>
      </c>
      <c r="DG83" s="18">
        <v>45722.375289351854</v>
      </c>
      <c r="DH83" s="13" t="s">
        <v>205</v>
      </c>
      <c r="DI83" s="14" t="s">
        <v>179</v>
      </c>
      <c r="DJ83" s="14" t="s">
        <v>2504</v>
      </c>
      <c r="DK83" s="14" t="s">
        <v>179</v>
      </c>
      <c r="DL83" s="14" t="s">
        <v>2504</v>
      </c>
      <c r="DM83" s="14" t="s">
        <v>179</v>
      </c>
      <c r="DN83" s="14" t="s">
        <v>2505</v>
      </c>
      <c r="DO83" s="14" t="s">
        <v>179</v>
      </c>
      <c r="DP83" s="14" t="s">
        <v>2506</v>
      </c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6" t="s">
        <v>197</v>
      </c>
      <c r="ED83" s="17" t="s">
        <v>198</v>
      </c>
      <c r="EE83" s="18">
        <v>45722.37537037037</v>
      </c>
      <c r="EF83" s="13" t="s">
        <v>209</v>
      </c>
      <c r="EG83" s="14" t="s">
        <v>179</v>
      </c>
      <c r="EH83" s="14" t="s">
        <v>2507</v>
      </c>
      <c r="EI83" s="14" t="s">
        <v>179</v>
      </c>
      <c r="EJ83" s="14" t="s">
        <v>2507</v>
      </c>
      <c r="EK83" s="14" t="s">
        <v>179</v>
      </c>
      <c r="EL83" s="14" t="s">
        <v>2508</v>
      </c>
      <c r="EM83" s="14" t="s">
        <v>179</v>
      </c>
      <c r="EN83" s="14" t="s">
        <v>2509</v>
      </c>
      <c r="EO83" s="15"/>
      <c r="EP83" s="15"/>
      <c r="EQ83" s="15"/>
      <c r="ER83" s="15"/>
      <c r="ES83" s="15"/>
      <c r="ET83" s="15"/>
      <c r="EU83" s="15"/>
      <c r="EV83" s="15"/>
      <c r="EW83" s="15"/>
      <c r="EX83" s="15"/>
      <c r="EY83" s="15"/>
      <c r="EZ83" s="15"/>
      <c r="FA83" s="15"/>
      <c r="FB83" s="15"/>
      <c r="FC83" s="16" t="s">
        <v>197</v>
      </c>
      <c r="FD83" s="17" t="s">
        <v>198</v>
      </c>
      <c r="FE83" s="18">
        <v>45723.349490740744</v>
      </c>
      <c r="FF83" s="19"/>
      <c r="FG83" s="19"/>
      <c r="FH83" s="21" t="s">
        <v>197</v>
      </c>
      <c r="FI83" s="17" t="s">
        <v>214</v>
      </c>
      <c r="FJ83" s="18">
        <v>45723.349490740744</v>
      </c>
      <c r="FK83" s="14" t="s">
        <v>2509</v>
      </c>
      <c r="FL83" s="14" t="s">
        <v>2510</v>
      </c>
      <c r="FM83" s="14" t="s">
        <v>2511</v>
      </c>
      <c r="FN83" s="19"/>
      <c r="FO83" s="19"/>
      <c r="FP83" s="19" t="str">
        <f t="shared" si="1"/>
        <v>Base de Dados_Images/BC4006.Imagem do Equipamento-.125327.jpg</v>
      </c>
      <c r="FQ83" s="19"/>
      <c r="FR83" s="19"/>
    </row>
    <row r="84" ht="15.75" customHeight="1">
      <c r="A84" s="12" t="s">
        <v>217</v>
      </c>
      <c r="B84" s="12" t="s">
        <v>1420</v>
      </c>
      <c r="C84" s="24" t="s">
        <v>512</v>
      </c>
      <c r="D84" s="22" t="s">
        <v>2512</v>
      </c>
      <c r="E84" s="22" t="s">
        <v>2513</v>
      </c>
      <c r="F84" s="13" t="s">
        <v>178</v>
      </c>
      <c r="G84" s="14" t="s">
        <v>179</v>
      </c>
      <c r="H84" s="14" t="s">
        <v>2514</v>
      </c>
      <c r="I84" s="14" t="s">
        <v>179</v>
      </c>
      <c r="J84" s="14" t="s">
        <v>2515</v>
      </c>
      <c r="K84" s="14" t="s">
        <v>179</v>
      </c>
      <c r="L84" s="14" t="s">
        <v>2516</v>
      </c>
      <c r="M84" s="14" t="s">
        <v>179</v>
      </c>
      <c r="N84" s="14" t="s">
        <v>2517</v>
      </c>
      <c r="O84" s="14" t="s">
        <v>179</v>
      </c>
      <c r="P84" s="14" t="s">
        <v>2518</v>
      </c>
      <c r="Q84" s="14" t="s">
        <v>179</v>
      </c>
      <c r="R84" s="14" t="s">
        <v>2519</v>
      </c>
      <c r="S84" s="14" t="s">
        <v>179</v>
      </c>
      <c r="T84" s="14" t="s">
        <v>2520</v>
      </c>
      <c r="U84" s="14" t="s">
        <v>179</v>
      </c>
      <c r="V84" s="14" t="s">
        <v>2521</v>
      </c>
      <c r="W84" s="14" t="s">
        <v>179</v>
      </c>
      <c r="X84" s="14" t="s">
        <v>2522</v>
      </c>
      <c r="Y84" s="14" t="s">
        <v>188</v>
      </c>
      <c r="Z84" s="14" t="s">
        <v>2523</v>
      </c>
      <c r="AA84" s="14" t="s">
        <v>179</v>
      </c>
      <c r="AB84" s="14" t="s">
        <v>2524</v>
      </c>
      <c r="AC84" s="14" t="s">
        <v>179</v>
      </c>
      <c r="AD84" s="14" t="s">
        <v>2525</v>
      </c>
      <c r="AE84" s="14" t="s">
        <v>179</v>
      </c>
      <c r="AF84" s="14" t="s">
        <v>2526</v>
      </c>
      <c r="AG84" s="14" t="s">
        <v>179</v>
      </c>
      <c r="AH84" s="14" t="s">
        <v>2527</v>
      </c>
      <c r="AI84" s="14" t="s">
        <v>179</v>
      </c>
      <c r="AJ84" s="14" t="s">
        <v>2528</v>
      </c>
      <c r="AK84" s="14" t="s">
        <v>179</v>
      </c>
      <c r="AL84" s="14" t="s">
        <v>2529</v>
      </c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6" t="s">
        <v>197</v>
      </c>
      <c r="BP84" s="17" t="s">
        <v>198</v>
      </c>
      <c r="BQ84" s="18">
        <v>45705.41059027778</v>
      </c>
      <c r="BR84" s="17" t="s">
        <v>198</v>
      </c>
      <c r="BS84" s="18">
        <v>45705.41090277778</v>
      </c>
      <c r="BT84" s="17" t="s">
        <v>198</v>
      </c>
      <c r="BU84" s="18">
        <v>45705.41090277778</v>
      </c>
      <c r="BV84" s="13" t="s">
        <v>199</v>
      </c>
      <c r="BW84" s="14" t="s">
        <v>179</v>
      </c>
      <c r="BX84" s="14" t="s">
        <v>2530</v>
      </c>
      <c r="BY84" s="14" t="s">
        <v>179</v>
      </c>
      <c r="BZ84" s="14" t="s">
        <v>2531</v>
      </c>
      <c r="CA84" s="14" t="s">
        <v>179</v>
      </c>
      <c r="CB84" s="14" t="s">
        <v>2532</v>
      </c>
      <c r="CC84" s="14" t="s">
        <v>179</v>
      </c>
      <c r="CD84" s="14" t="s">
        <v>2533</v>
      </c>
      <c r="CE84" s="14" t="s">
        <v>179</v>
      </c>
      <c r="CF84" s="14" t="s">
        <v>2534</v>
      </c>
      <c r="CG84" s="14" t="s">
        <v>179</v>
      </c>
      <c r="CH84" s="14" t="s">
        <v>2535</v>
      </c>
      <c r="CI84" s="19"/>
      <c r="CJ84" s="15"/>
      <c r="CK84" s="19"/>
      <c r="CL84" s="15"/>
      <c r="CM84" s="19"/>
      <c r="CN84" s="15"/>
      <c r="CO84" s="19"/>
      <c r="CP84" s="15"/>
      <c r="CQ84" s="15"/>
      <c r="CR84" s="15"/>
      <c r="CS84" s="19"/>
      <c r="CT84" s="15"/>
      <c r="CU84" s="19"/>
      <c r="CV84" s="15"/>
      <c r="CW84" s="19"/>
      <c r="CX84" s="15"/>
      <c r="CY84" s="19"/>
      <c r="CZ84" s="15"/>
      <c r="DA84" s="16" t="s">
        <v>197</v>
      </c>
      <c r="DB84" s="17" t="s">
        <v>198</v>
      </c>
      <c r="DC84" s="20">
        <v>45722.37548611111</v>
      </c>
      <c r="DD84" s="17" t="s">
        <v>198</v>
      </c>
      <c r="DE84" s="18">
        <v>45722.375497685185</v>
      </c>
      <c r="DF84" s="17" t="s">
        <v>198</v>
      </c>
      <c r="DG84" s="18">
        <v>45722.375497685185</v>
      </c>
      <c r="DH84" s="13" t="s">
        <v>205</v>
      </c>
      <c r="DI84" s="14" t="s">
        <v>179</v>
      </c>
      <c r="DJ84" s="14" t="s">
        <v>2536</v>
      </c>
      <c r="DK84" s="14" t="s">
        <v>179</v>
      </c>
      <c r="DL84" s="14" t="s">
        <v>2536</v>
      </c>
      <c r="DM84" s="14" t="s">
        <v>179</v>
      </c>
      <c r="DN84" s="14" t="s">
        <v>2537</v>
      </c>
      <c r="DO84" s="14" t="s">
        <v>179</v>
      </c>
      <c r="DP84" s="14" t="s">
        <v>2538</v>
      </c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6" t="s">
        <v>197</v>
      </c>
      <c r="ED84" s="17" t="s">
        <v>198</v>
      </c>
      <c r="EE84" s="18">
        <v>45722.375613425924</v>
      </c>
      <c r="EF84" s="13" t="s">
        <v>209</v>
      </c>
      <c r="EG84" s="14" t="s">
        <v>179</v>
      </c>
      <c r="EH84" s="14" t="s">
        <v>2539</v>
      </c>
      <c r="EI84" s="14" t="s">
        <v>179</v>
      </c>
      <c r="EJ84" s="14" t="s">
        <v>2539</v>
      </c>
      <c r="EK84" s="14" t="s">
        <v>179</v>
      </c>
      <c r="EL84" s="14" t="s">
        <v>2540</v>
      </c>
      <c r="EM84" s="14" t="s">
        <v>179</v>
      </c>
      <c r="EN84" s="14" t="s">
        <v>2541</v>
      </c>
      <c r="EO84" s="15"/>
      <c r="EP84" s="15"/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6" t="s">
        <v>197</v>
      </c>
      <c r="FD84" s="17" t="s">
        <v>198</v>
      </c>
      <c r="FE84" s="18">
        <v>45723.349583333336</v>
      </c>
      <c r="FF84" s="19"/>
      <c r="FG84" s="19"/>
      <c r="FH84" s="21" t="s">
        <v>197</v>
      </c>
      <c r="FI84" s="17" t="s">
        <v>214</v>
      </c>
      <c r="FJ84" s="18">
        <v>45723.349583333336</v>
      </c>
      <c r="FK84" s="14" t="s">
        <v>2541</v>
      </c>
      <c r="FL84" s="14" t="s">
        <v>2542</v>
      </c>
      <c r="FM84" s="14" t="s">
        <v>2543</v>
      </c>
      <c r="FN84" s="19"/>
      <c r="FO84" s="19"/>
      <c r="FP84" s="19" t="str">
        <f t="shared" si="1"/>
        <v>Base de Dados_Images/BC4007.Imagem do Equipamento-.125319.jpg</v>
      </c>
      <c r="FQ84" s="14"/>
      <c r="FR84" s="14"/>
    </row>
    <row r="85" ht="15.75" customHeight="1">
      <c r="A85" s="12" t="s">
        <v>217</v>
      </c>
      <c r="B85" s="12" t="s">
        <v>2449</v>
      </c>
      <c r="C85" s="24" t="s">
        <v>512</v>
      </c>
      <c r="D85" s="22" t="s">
        <v>2544</v>
      </c>
      <c r="E85" s="22" t="s">
        <v>2545</v>
      </c>
      <c r="F85" s="13" t="s">
        <v>178</v>
      </c>
      <c r="G85" s="14" t="s">
        <v>179</v>
      </c>
      <c r="H85" s="14" t="s">
        <v>2546</v>
      </c>
      <c r="I85" s="14" t="s">
        <v>179</v>
      </c>
      <c r="J85" s="14" t="s">
        <v>2547</v>
      </c>
      <c r="K85" s="14" t="s">
        <v>179</v>
      </c>
      <c r="L85" s="14" t="s">
        <v>2548</v>
      </c>
      <c r="M85" s="14" t="s">
        <v>179</v>
      </c>
      <c r="N85" s="14" t="s">
        <v>2549</v>
      </c>
      <c r="O85" s="14" t="s">
        <v>179</v>
      </c>
      <c r="P85" s="14" t="s">
        <v>2550</v>
      </c>
      <c r="Q85" s="14" t="s">
        <v>179</v>
      </c>
      <c r="R85" s="14" t="s">
        <v>2551</v>
      </c>
      <c r="S85" s="14" t="s">
        <v>179</v>
      </c>
      <c r="T85" s="14" t="s">
        <v>2552</v>
      </c>
      <c r="U85" s="14" t="s">
        <v>179</v>
      </c>
      <c r="V85" s="14" t="s">
        <v>2553</v>
      </c>
      <c r="W85" s="14" t="s">
        <v>179</v>
      </c>
      <c r="X85" s="14" t="s">
        <v>2554</v>
      </c>
      <c r="Y85" s="14" t="s">
        <v>188</v>
      </c>
      <c r="Z85" s="14" t="s">
        <v>2555</v>
      </c>
      <c r="AA85" s="14" t="s">
        <v>179</v>
      </c>
      <c r="AB85" s="14" t="s">
        <v>2556</v>
      </c>
      <c r="AC85" s="14" t="s">
        <v>179</v>
      </c>
      <c r="AD85" s="14" t="s">
        <v>2557</v>
      </c>
      <c r="AE85" s="14" t="s">
        <v>179</v>
      </c>
      <c r="AF85" s="14" t="s">
        <v>2558</v>
      </c>
      <c r="AG85" s="14" t="s">
        <v>179</v>
      </c>
      <c r="AH85" s="14" t="s">
        <v>2559</v>
      </c>
      <c r="AI85" s="14" t="s">
        <v>179</v>
      </c>
      <c r="AJ85" s="14" t="s">
        <v>2560</v>
      </c>
      <c r="AK85" s="14" t="s">
        <v>179</v>
      </c>
      <c r="AL85" s="14" t="s">
        <v>2561</v>
      </c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6" t="s">
        <v>197</v>
      </c>
      <c r="BP85" s="17" t="s">
        <v>198</v>
      </c>
      <c r="BQ85" s="18">
        <v>45685.367210648146</v>
      </c>
      <c r="BR85" s="17" t="s">
        <v>198</v>
      </c>
      <c r="BS85" s="18">
        <v>45685.367627314816</v>
      </c>
      <c r="BT85" s="17" t="s">
        <v>198</v>
      </c>
      <c r="BU85" s="18">
        <v>45685.367627314816</v>
      </c>
      <c r="BV85" s="13" t="s">
        <v>199</v>
      </c>
      <c r="BW85" s="14" t="s">
        <v>179</v>
      </c>
      <c r="BX85" s="14" t="s">
        <v>2562</v>
      </c>
      <c r="BY85" s="14" t="s">
        <v>179</v>
      </c>
      <c r="BZ85" s="14" t="s">
        <v>2563</v>
      </c>
      <c r="CA85" s="14" t="s">
        <v>179</v>
      </c>
      <c r="CB85" s="14" t="s">
        <v>2564</v>
      </c>
      <c r="CC85" s="14" t="s">
        <v>179</v>
      </c>
      <c r="CD85" s="14" t="s">
        <v>2565</v>
      </c>
      <c r="CE85" s="14" t="s">
        <v>179</v>
      </c>
      <c r="CF85" s="14" t="s">
        <v>2566</v>
      </c>
      <c r="CG85" s="14" t="s">
        <v>179</v>
      </c>
      <c r="CH85" s="14" t="s">
        <v>2567</v>
      </c>
      <c r="CI85" s="19"/>
      <c r="CJ85" s="15"/>
      <c r="CK85" s="19"/>
      <c r="CL85" s="15"/>
      <c r="CM85" s="19"/>
      <c r="CN85" s="15"/>
      <c r="CO85" s="19"/>
      <c r="CP85" s="15"/>
      <c r="CQ85" s="15"/>
      <c r="CR85" s="15"/>
      <c r="CS85" s="19"/>
      <c r="CT85" s="15"/>
      <c r="CU85" s="19"/>
      <c r="CV85" s="15"/>
      <c r="CW85" s="19"/>
      <c r="CX85" s="15"/>
      <c r="CY85" s="19"/>
      <c r="CZ85" s="15"/>
      <c r="DA85" s="16" t="s">
        <v>197</v>
      </c>
      <c r="DB85" s="17" t="s">
        <v>198</v>
      </c>
      <c r="DC85" s="20">
        <v>45715.55023148148</v>
      </c>
      <c r="DD85" s="17" t="s">
        <v>198</v>
      </c>
      <c r="DE85" s="18">
        <v>45715.55050925926</v>
      </c>
      <c r="DF85" s="17" t="s">
        <v>198</v>
      </c>
      <c r="DG85" s="18">
        <v>45715.55050925926</v>
      </c>
      <c r="DH85" s="13" t="s">
        <v>205</v>
      </c>
      <c r="DI85" s="14" t="s">
        <v>179</v>
      </c>
      <c r="DJ85" s="14" t="s">
        <v>2568</v>
      </c>
      <c r="DK85" s="14" t="s">
        <v>179</v>
      </c>
      <c r="DL85" s="14" t="s">
        <v>2569</v>
      </c>
      <c r="DM85" s="14" t="s">
        <v>179</v>
      </c>
      <c r="DN85" s="14" t="s">
        <v>2570</v>
      </c>
      <c r="DO85" s="14" t="s">
        <v>179</v>
      </c>
      <c r="DP85" s="14" t="s">
        <v>2571</v>
      </c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6" t="s">
        <v>197</v>
      </c>
      <c r="ED85" s="17" t="s">
        <v>198</v>
      </c>
      <c r="EE85" s="18">
        <v>45715.55094907407</v>
      </c>
      <c r="EF85" s="13" t="s">
        <v>209</v>
      </c>
      <c r="EG85" s="14" t="s">
        <v>179</v>
      </c>
      <c r="EH85" s="14" t="s">
        <v>2572</v>
      </c>
      <c r="EI85" s="14" t="s">
        <v>179</v>
      </c>
      <c r="EJ85" s="14" t="s">
        <v>2572</v>
      </c>
      <c r="EK85" s="14" t="s">
        <v>179</v>
      </c>
      <c r="EL85" s="14" t="s">
        <v>2573</v>
      </c>
      <c r="EM85" s="14" t="s">
        <v>179</v>
      </c>
      <c r="EN85" s="14" t="s">
        <v>2574</v>
      </c>
      <c r="EO85" s="15"/>
      <c r="EP85" s="15"/>
      <c r="EQ85" s="15"/>
      <c r="ER85" s="15"/>
      <c r="ES85" s="15"/>
      <c r="ET85" s="15"/>
      <c r="EU85" s="15"/>
      <c r="EV85" s="15"/>
      <c r="EW85" s="15"/>
      <c r="EX85" s="15"/>
      <c r="EY85" s="15"/>
      <c r="EZ85" s="15"/>
      <c r="FA85" s="15"/>
      <c r="FB85" s="15"/>
      <c r="FC85" s="16" t="s">
        <v>197</v>
      </c>
      <c r="FD85" s="17" t="s">
        <v>198</v>
      </c>
      <c r="FE85" s="18">
        <v>45723.35613425926</v>
      </c>
      <c r="FF85" s="19"/>
      <c r="FG85" s="19"/>
      <c r="FH85" s="21" t="s">
        <v>197</v>
      </c>
      <c r="FI85" s="17" t="s">
        <v>214</v>
      </c>
      <c r="FJ85" s="18">
        <v>45723.35613425926</v>
      </c>
      <c r="FK85" s="14" t="s">
        <v>2574</v>
      </c>
      <c r="FL85" s="14" t="s">
        <v>2575</v>
      </c>
      <c r="FM85" s="14" t="s">
        <v>2576</v>
      </c>
      <c r="FN85" s="19"/>
      <c r="FO85" s="19"/>
      <c r="FP85" s="19" t="str">
        <f t="shared" si="1"/>
        <v>Base de Dados_Images/BC4008.Imagem do Equipamento-.152702.jpg</v>
      </c>
      <c r="FQ85" s="19"/>
      <c r="FR85" s="19"/>
    </row>
    <row r="86" ht="15.75" customHeight="1">
      <c r="A86" s="12" t="s">
        <v>217</v>
      </c>
      <c r="B86" s="12" t="s">
        <v>2449</v>
      </c>
      <c r="C86" s="24" t="s">
        <v>512</v>
      </c>
      <c r="D86" s="22" t="s">
        <v>2577</v>
      </c>
      <c r="E86" s="22" t="s">
        <v>2578</v>
      </c>
      <c r="F86" s="13" t="s">
        <v>178</v>
      </c>
      <c r="G86" s="14" t="s">
        <v>179</v>
      </c>
      <c r="H86" s="14" t="s">
        <v>2579</v>
      </c>
      <c r="I86" s="14" t="s">
        <v>179</v>
      </c>
      <c r="J86" s="14" t="s">
        <v>2580</v>
      </c>
      <c r="K86" s="14" t="s">
        <v>179</v>
      </c>
      <c r="L86" s="14" t="s">
        <v>2581</v>
      </c>
      <c r="M86" s="14" t="s">
        <v>179</v>
      </c>
      <c r="N86" s="14" t="s">
        <v>2582</v>
      </c>
      <c r="O86" s="14" t="s">
        <v>179</v>
      </c>
      <c r="P86" s="14" t="s">
        <v>2583</v>
      </c>
      <c r="Q86" s="14" t="s">
        <v>179</v>
      </c>
      <c r="R86" s="14" t="s">
        <v>2584</v>
      </c>
      <c r="S86" s="14" t="s">
        <v>179</v>
      </c>
      <c r="T86" s="14" t="s">
        <v>2584</v>
      </c>
      <c r="U86" s="14" t="s">
        <v>179</v>
      </c>
      <c r="V86" s="14" t="s">
        <v>2585</v>
      </c>
      <c r="W86" s="14" t="s">
        <v>179</v>
      </c>
      <c r="X86" s="14" t="s">
        <v>2585</v>
      </c>
      <c r="Y86" s="14" t="s">
        <v>188</v>
      </c>
      <c r="Z86" s="14" t="s">
        <v>2586</v>
      </c>
      <c r="AA86" s="14" t="s">
        <v>179</v>
      </c>
      <c r="AB86" s="14" t="s">
        <v>2587</v>
      </c>
      <c r="AC86" s="14" t="s">
        <v>179</v>
      </c>
      <c r="AD86" s="14" t="s">
        <v>2588</v>
      </c>
      <c r="AE86" s="14" t="s">
        <v>179</v>
      </c>
      <c r="AF86" s="14" t="s">
        <v>2589</v>
      </c>
      <c r="AG86" s="14" t="s">
        <v>179</v>
      </c>
      <c r="AH86" s="14" t="s">
        <v>2590</v>
      </c>
      <c r="AI86" s="14" t="s">
        <v>179</v>
      </c>
      <c r="AJ86" s="14" t="s">
        <v>2591</v>
      </c>
      <c r="AK86" s="14" t="s">
        <v>179</v>
      </c>
      <c r="AL86" s="14" t="s">
        <v>2592</v>
      </c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6" t="s">
        <v>197</v>
      </c>
      <c r="BP86" s="17" t="s">
        <v>198</v>
      </c>
      <c r="BQ86" s="18">
        <v>45685.36318287037</v>
      </c>
      <c r="BR86" s="17" t="s">
        <v>198</v>
      </c>
      <c r="BS86" s="18">
        <v>45685.36315972222</v>
      </c>
      <c r="BT86" s="17" t="s">
        <v>198</v>
      </c>
      <c r="BU86" s="18">
        <v>45685.36318287037</v>
      </c>
      <c r="BV86" s="13" t="s">
        <v>199</v>
      </c>
      <c r="BW86" s="14" t="s">
        <v>179</v>
      </c>
      <c r="BX86" s="14" t="s">
        <v>2593</v>
      </c>
      <c r="BY86" s="14" t="s">
        <v>179</v>
      </c>
      <c r="BZ86" s="14" t="s">
        <v>2594</v>
      </c>
      <c r="CA86" s="14" t="s">
        <v>179</v>
      </c>
      <c r="CB86" s="14" t="s">
        <v>2595</v>
      </c>
      <c r="CC86" s="14" t="s">
        <v>179</v>
      </c>
      <c r="CD86" s="14" t="s">
        <v>2596</v>
      </c>
      <c r="CE86" s="14" t="s">
        <v>179</v>
      </c>
      <c r="CF86" s="14" t="s">
        <v>2597</v>
      </c>
      <c r="CG86" s="14" t="s">
        <v>179</v>
      </c>
      <c r="CH86" s="14" t="s">
        <v>2598</v>
      </c>
      <c r="CI86" s="19"/>
      <c r="CJ86" s="15"/>
      <c r="CK86" s="19"/>
      <c r="CL86" s="15"/>
      <c r="CM86" s="19"/>
      <c r="CN86" s="15"/>
      <c r="CO86" s="19"/>
      <c r="CP86" s="15"/>
      <c r="CQ86" s="15"/>
      <c r="CR86" s="15"/>
      <c r="CS86" s="19"/>
      <c r="CT86" s="15"/>
      <c r="CU86" s="19"/>
      <c r="CV86" s="15"/>
      <c r="CW86" s="19"/>
      <c r="CX86" s="15"/>
      <c r="CY86" s="19"/>
      <c r="CZ86" s="15"/>
      <c r="DA86" s="16" t="s">
        <v>197</v>
      </c>
      <c r="DB86" s="17" t="s">
        <v>198</v>
      </c>
      <c r="DC86" s="20">
        <v>45715.55259259259</v>
      </c>
      <c r="DD86" s="17" t="s">
        <v>198</v>
      </c>
      <c r="DE86" s="18">
        <v>45715.55263888889</v>
      </c>
      <c r="DF86" s="17" t="s">
        <v>198</v>
      </c>
      <c r="DG86" s="18">
        <v>45715.55263888889</v>
      </c>
      <c r="DH86" s="13" t="s">
        <v>205</v>
      </c>
      <c r="DI86" s="14" t="s">
        <v>179</v>
      </c>
      <c r="DJ86" s="14" t="s">
        <v>2599</v>
      </c>
      <c r="DK86" s="14" t="s">
        <v>179</v>
      </c>
      <c r="DL86" s="14" t="s">
        <v>2600</v>
      </c>
      <c r="DM86" s="14" t="s">
        <v>179</v>
      </c>
      <c r="DN86" s="14" t="s">
        <v>2601</v>
      </c>
      <c r="DO86" s="14" t="s">
        <v>179</v>
      </c>
      <c r="DP86" s="14" t="s">
        <v>2601</v>
      </c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6" t="s">
        <v>197</v>
      </c>
      <c r="ED86" s="17" t="s">
        <v>198</v>
      </c>
      <c r="EE86" s="18">
        <v>45715.5528587963</v>
      </c>
      <c r="EF86" s="13" t="s">
        <v>209</v>
      </c>
      <c r="EG86" s="14" t="s">
        <v>179</v>
      </c>
      <c r="EH86" s="14" t="s">
        <v>2602</v>
      </c>
      <c r="EI86" s="14" t="s">
        <v>179</v>
      </c>
      <c r="EJ86" s="14" t="s">
        <v>2602</v>
      </c>
      <c r="EK86" s="14" t="s">
        <v>179</v>
      </c>
      <c r="EL86" s="14" t="s">
        <v>2603</v>
      </c>
      <c r="EM86" s="14" t="s">
        <v>179</v>
      </c>
      <c r="EN86" s="14" t="s">
        <v>2604</v>
      </c>
      <c r="EO86" s="15"/>
      <c r="EP86" s="15"/>
      <c r="EQ86" s="15"/>
      <c r="ER86" s="15"/>
      <c r="ES86" s="15"/>
      <c r="ET86" s="15"/>
      <c r="EU86" s="15"/>
      <c r="EV86" s="15"/>
      <c r="EW86" s="15"/>
      <c r="EX86" s="15"/>
      <c r="EY86" s="15"/>
      <c r="EZ86" s="15"/>
      <c r="FA86" s="15"/>
      <c r="FB86" s="15"/>
      <c r="FC86" s="16" t="s">
        <v>197</v>
      </c>
      <c r="FD86" s="17" t="s">
        <v>198</v>
      </c>
      <c r="FE86" s="18">
        <v>45723.35623842593</v>
      </c>
      <c r="FF86" s="19"/>
      <c r="FG86" s="19"/>
      <c r="FH86" s="21" t="s">
        <v>197</v>
      </c>
      <c r="FI86" s="17" t="s">
        <v>214</v>
      </c>
      <c r="FJ86" s="18">
        <v>45723.35623842593</v>
      </c>
      <c r="FK86" s="14" t="s">
        <v>2604</v>
      </c>
      <c r="FL86" s="14"/>
      <c r="FM86" s="14"/>
      <c r="FN86" s="19"/>
      <c r="FO86" s="19"/>
      <c r="FP86" s="19" t="str">
        <f t="shared" si="1"/>
        <v/>
      </c>
      <c r="FQ86" s="14" t="s">
        <v>215</v>
      </c>
      <c r="FR86" s="14" t="s">
        <v>2605</v>
      </c>
    </row>
    <row r="87" ht="15.75" customHeight="1">
      <c r="A87" s="12" t="s">
        <v>217</v>
      </c>
      <c r="B87" s="12" t="s">
        <v>2449</v>
      </c>
      <c r="C87" s="24" t="s">
        <v>512</v>
      </c>
      <c r="D87" s="22" t="s">
        <v>2606</v>
      </c>
      <c r="E87" s="22" t="s">
        <v>2607</v>
      </c>
      <c r="F87" s="13" t="s">
        <v>178</v>
      </c>
      <c r="G87" s="14" t="s">
        <v>179</v>
      </c>
      <c r="H87" s="14" t="s">
        <v>2608</v>
      </c>
      <c r="I87" s="14" t="s">
        <v>179</v>
      </c>
      <c r="J87" s="14" t="s">
        <v>2609</v>
      </c>
      <c r="K87" s="14" t="s">
        <v>179</v>
      </c>
      <c r="L87" s="14" t="s">
        <v>2610</v>
      </c>
      <c r="M87" s="14" t="s">
        <v>179</v>
      </c>
      <c r="N87" s="14" t="s">
        <v>2611</v>
      </c>
      <c r="O87" s="14" t="s">
        <v>179</v>
      </c>
      <c r="P87" s="14" t="s">
        <v>2612</v>
      </c>
      <c r="Q87" s="14" t="s">
        <v>179</v>
      </c>
      <c r="R87" s="14" t="s">
        <v>2612</v>
      </c>
      <c r="S87" s="14" t="s">
        <v>179</v>
      </c>
      <c r="T87" s="14" t="s">
        <v>2613</v>
      </c>
      <c r="U87" s="14" t="s">
        <v>179</v>
      </c>
      <c r="V87" s="14" t="s">
        <v>2614</v>
      </c>
      <c r="W87" s="14" t="s">
        <v>179</v>
      </c>
      <c r="X87" s="14" t="s">
        <v>2615</v>
      </c>
      <c r="Y87" s="14" t="s">
        <v>188</v>
      </c>
      <c r="Z87" s="14" t="s">
        <v>2616</v>
      </c>
      <c r="AA87" s="14" t="s">
        <v>179</v>
      </c>
      <c r="AB87" s="14" t="s">
        <v>2617</v>
      </c>
      <c r="AC87" s="14" t="s">
        <v>179</v>
      </c>
      <c r="AD87" s="14" t="s">
        <v>2618</v>
      </c>
      <c r="AE87" s="14" t="s">
        <v>179</v>
      </c>
      <c r="AF87" s="14" t="s">
        <v>2619</v>
      </c>
      <c r="AG87" s="14" t="s">
        <v>179</v>
      </c>
      <c r="AH87" s="14" t="s">
        <v>2620</v>
      </c>
      <c r="AI87" s="14" t="s">
        <v>179</v>
      </c>
      <c r="AJ87" s="14" t="s">
        <v>2621</v>
      </c>
      <c r="AK87" s="14" t="s">
        <v>179</v>
      </c>
      <c r="AL87" s="14" t="s">
        <v>2622</v>
      </c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6" t="s">
        <v>197</v>
      </c>
      <c r="BP87" s="17" t="s">
        <v>198</v>
      </c>
      <c r="BQ87" s="18">
        <v>45686.36951388889</v>
      </c>
      <c r="BR87" s="17" t="s">
        <v>198</v>
      </c>
      <c r="BS87" s="18">
        <v>45686.36959490741</v>
      </c>
      <c r="BT87" s="17" t="s">
        <v>198</v>
      </c>
      <c r="BU87" s="18">
        <v>45686.36959490741</v>
      </c>
      <c r="BV87" s="13" t="s">
        <v>199</v>
      </c>
      <c r="BW87" s="14" t="s">
        <v>179</v>
      </c>
      <c r="BX87" s="14" t="s">
        <v>2623</v>
      </c>
      <c r="BY87" s="14" t="s">
        <v>179</v>
      </c>
      <c r="BZ87" s="14" t="s">
        <v>2623</v>
      </c>
      <c r="CA87" s="14" t="s">
        <v>179</v>
      </c>
      <c r="CB87" s="14" t="s">
        <v>2624</v>
      </c>
      <c r="CC87" s="14" t="s">
        <v>179</v>
      </c>
      <c r="CD87" s="14" t="s">
        <v>2624</v>
      </c>
      <c r="CE87" s="14" t="s">
        <v>179</v>
      </c>
      <c r="CF87" s="14" t="s">
        <v>2625</v>
      </c>
      <c r="CG87" s="14" t="s">
        <v>179</v>
      </c>
      <c r="CH87" s="14" t="s">
        <v>2625</v>
      </c>
      <c r="CI87" s="19"/>
      <c r="CJ87" s="15"/>
      <c r="CK87" s="19"/>
      <c r="CL87" s="15"/>
      <c r="CM87" s="19"/>
      <c r="CN87" s="15"/>
      <c r="CO87" s="19"/>
      <c r="CP87" s="15"/>
      <c r="CQ87" s="15"/>
      <c r="CR87" s="15"/>
      <c r="CS87" s="19"/>
      <c r="CT87" s="15"/>
      <c r="CU87" s="19"/>
      <c r="CV87" s="15"/>
      <c r="CW87" s="19"/>
      <c r="CX87" s="15"/>
      <c r="CY87" s="19"/>
      <c r="CZ87" s="15"/>
      <c r="DA87" s="16" t="s">
        <v>197</v>
      </c>
      <c r="DB87" s="17" t="s">
        <v>198</v>
      </c>
      <c r="DC87" s="20">
        <v>45686.36984953703</v>
      </c>
      <c r="DD87" s="17" t="s">
        <v>198</v>
      </c>
      <c r="DE87" s="18">
        <v>45686.36982638889</v>
      </c>
      <c r="DF87" s="17" t="s">
        <v>198</v>
      </c>
      <c r="DG87" s="18">
        <v>45686.36984953703</v>
      </c>
      <c r="DH87" s="13" t="s">
        <v>205</v>
      </c>
      <c r="DI87" s="14" t="s">
        <v>179</v>
      </c>
      <c r="DJ87" s="14" t="s">
        <v>2626</v>
      </c>
      <c r="DK87" s="14" t="s">
        <v>179</v>
      </c>
      <c r="DL87" s="14" t="s">
        <v>2627</v>
      </c>
      <c r="DM87" s="14" t="s">
        <v>179</v>
      </c>
      <c r="DN87" s="14" t="s">
        <v>2628</v>
      </c>
      <c r="DO87" s="14" t="s">
        <v>179</v>
      </c>
      <c r="DP87" s="14" t="s">
        <v>2629</v>
      </c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6" t="s">
        <v>197</v>
      </c>
      <c r="ED87" s="17" t="s">
        <v>198</v>
      </c>
      <c r="EE87" s="18">
        <v>45715.55378472222</v>
      </c>
      <c r="EF87" s="13" t="s">
        <v>209</v>
      </c>
      <c r="EG87" s="14" t="s">
        <v>179</v>
      </c>
      <c r="EH87" s="14" t="s">
        <v>2630</v>
      </c>
      <c r="EI87" s="14" t="s">
        <v>179</v>
      </c>
      <c r="EJ87" s="14" t="s">
        <v>2630</v>
      </c>
      <c r="EK87" s="14" t="s">
        <v>179</v>
      </c>
      <c r="EL87" s="14" t="s">
        <v>2631</v>
      </c>
      <c r="EM87" s="14" t="s">
        <v>179</v>
      </c>
      <c r="EN87" s="14" t="s">
        <v>2632</v>
      </c>
      <c r="EO87" s="15"/>
      <c r="EP87" s="15"/>
      <c r="EQ87" s="15"/>
      <c r="ER87" s="15"/>
      <c r="ES87" s="15"/>
      <c r="ET87" s="15"/>
      <c r="EU87" s="15"/>
      <c r="EV87" s="15"/>
      <c r="EW87" s="15"/>
      <c r="EX87" s="15"/>
      <c r="EY87" s="15"/>
      <c r="EZ87" s="15"/>
      <c r="FA87" s="15"/>
      <c r="FB87" s="15"/>
      <c r="FC87" s="16" t="s">
        <v>197</v>
      </c>
      <c r="FD87" s="17" t="s">
        <v>198</v>
      </c>
      <c r="FE87" s="18">
        <v>45723.35634259259</v>
      </c>
      <c r="FF87" s="19"/>
      <c r="FG87" s="19"/>
      <c r="FH87" s="21" t="s">
        <v>197</v>
      </c>
      <c r="FI87" s="17" t="s">
        <v>214</v>
      </c>
      <c r="FJ87" s="18">
        <v>45723.35634259259</v>
      </c>
      <c r="FK87" s="14" t="s">
        <v>2632</v>
      </c>
      <c r="FL87" s="14" t="s">
        <v>2633</v>
      </c>
      <c r="FM87" s="14" t="s">
        <v>2634</v>
      </c>
      <c r="FN87" s="14" t="s">
        <v>2635</v>
      </c>
      <c r="FO87" s="14" t="s">
        <v>2636</v>
      </c>
      <c r="FP87" s="19" t="str">
        <f t="shared" si="1"/>
        <v>Base de Dados_Images/BC4010.Imagem do Equipamento-.142509.jpg</v>
      </c>
      <c r="FQ87" s="19"/>
      <c r="FR87" s="19"/>
    </row>
    <row r="88" ht="15.75" customHeight="1">
      <c r="A88" s="12" t="s">
        <v>217</v>
      </c>
      <c r="B88" s="12" t="s">
        <v>2449</v>
      </c>
      <c r="C88" s="24" t="s">
        <v>512</v>
      </c>
      <c r="D88" s="22" t="s">
        <v>2637</v>
      </c>
      <c r="E88" s="22" t="s">
        <v>2638</v>
      </c>
      <c r="F88" s="13" t="s">
        <v>178</v>
      </c>
      <c r="G88" s="14" t="s">
        <v>179</v>
      </c>
      <c r="H88" s="14" t="s">
        <v>2639</v>
      </c>
      <c r="I88" s="14" t="s">
        <v>179</v>
      </c>
      <c r="J88" s="14" t="s">
        <v>2640</v>
      </c>
      <c r="K88" s="14" t="s">
        <v>179</v>
      </c>
      <c r="L88" s="14" t="s">
        <v>2641</v>
      </c>
      <c r="M88" s="14" t="s">
        <v>179</v>
      </c>
      <c r="N88" s="14" t="s">
        <v>2642</v>
      </c>
      <c r="O88" s="14" t="s">
        <v>179</v>
      </c>
      <c r="P88" s="14" t="s">
        <v>2643</v>
      </c>
      <c r="Q88" s="14" t="s">
        <v>179</v>
      </c>
      <c r="R88" s="14" t="s">
        <v>2644</v>
      </c>
      <c r="S88" s="14" t="s">
        <v>179</v>
      </c>
      <c r="T88" s="14" t="s">
        <v>2645</v>
      </c>
      <c r="U88" s="14" t="s">
        <v>179</v>
      </c>
      <c r="V88" s="14" t="s">
        <v>2646</v>
      </c>
      <c r="W88" s="14" t="s">
        <v>179</v>
      </c>
      <c r="X88" s="14" t="s">
        <v>2647</v>
      </c>
      <c r="Y88" s="14" t="s">
        <v>188</v>
      </c>
      <c r="Z88" s="14" t="s">
        <v>2648</v>
      </c>
      <c r="AA88" s="14" t="s">
        <v>179</v>
      </c>
      <c r="AB88" s="14" t="s">
        <v>2649</v>
      </c>
      <c r="AC88" s="14" t="s">
        <v>179</v>
      </c>
      <c r="AD88" s="14" t="s">
        <v>2649</v>
      </c>
      <c r="AE88" s="14" t="s">
        <v>179</v>
      </c>
      <c r="AF88" s="14" t="s">
        <v>2650</v>
      </c>
      <c r="AG88" s="14" t="s">
        <v>179</v>
      </c>
      <c r="AH88" s="14" t="s">
        <v>2651</v>
      </c>
      <c r="AI88" s="14" t="s">
        <v>179</v>
      </c>
      <c r="AJ88" s="14" t="s">
        <v>2652</v>
      </c>
      <c r="AK88" s="14" t="s">
        <v>179</v>
      </c>
      <c r="AL88" s="14" t="s">
        <v>2653</v>
      </c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6" t="s">
        <v>197</v>
      </c>
      <c r="BP88" s="17" t="s">
        <v>198</v>
      </c>
      <c r="BQ88" s="18">
        <v>45686.37085648148</v>
      </c>
      <c r="BR88" s="17" t="s">
        <v>198</v>
      </c>
      <c r="BS88" s="18">
        <v>45686.37094907407</v>
      </c>
      <c r="BT88" s="17" t="s">
        <v>198</v>
      </c>
      <c r="BU88" s="18">
        <v>45686.37094907407</v>
      </c>
      <c r="BV88" s="13" t="s">
        <v>199</v>
      </c>
      <c r="BW88" s="14" t="s">
        <v>179</v>
      </c>
      <c r="BX88" s="14" t="s">
        <v>2654</v>
      </c>
      <c r="BY88" s="14" t="s">
        <v>179</v>
      </c>
      <c r="BZ88" s="14" t="s">
        <v>2655</v>
      </c>
      <c r="CA88" s="14" t="s">
        <v>179</v>
      </c>
      <c r="CB88" s="14" t="s">
        <v>2656</v>
      </c>
      <c r="CC88" s="14" t="s">
        <v>179</v>
      </c>
      <c r="CD88" s="14" t="s">
        <v>2657</v>
      </c>
      <c r="CE88" s="14" t="s">
        <v>179</v>
      </c>
      <c r="CF88" s="14" t="s">
        <v>2656</v>
      </c>
      <c r="CG88" s="14" t="s">
        <v>179</v>
      </c>
      <c r="CH88" s="14" t="s">
        <v>2658</v>
      </c>
      <c r="CI88" s="19"/>
      <c r="CJ88" s="15"/>
      <c r="CK88" s="19"/>
      <c r="CL88" s="15"/>
      <c r="CM88" s="19"/>
      <c r="CN88" s="15"/>
      <c r="CO88" s="19"/>
      <c r="CP88" s="15"/>
      <c r="CQ88" s="15"/>
      <c r="CR88" s="15"/>
      <c r="CS88" s="19"/>
      <c r="CT88" s="15"/>
      <c r="CU88" s="19"/>
      <c r="CV88" s="15"/>
      <c r="CW88" s="19"/>
      <c r="CX88" s="15"/>
      <c r="CY88" s="19"/>
      <c r="CZ88" s="15"/>
      <c r="DA88" s="16" t="s">
        <v>197</v>
      </c>
      <c r="DB88" s="17" t="s">
        <v>198</v>
      </c>
      <c r="DC88" s="20">
        <v>45686.371087962965</v>
      </c>
      <c r="DD88" s="17" t="s">
        <v>198</v>
      </c>
      <c r="DE88" s="18">
        <v>45686.371099537035</v>
      </c>
      <c r="DF88" s="17" t="s">
        <v>198</v>
      </c>
      <c r="DG88" s="18">
        <v>45686.371099537035</v>
      </c>
      <c r="DH88" s="13" t="s">
        <v>205</v>
      </c>
      <c r="DI88" s="14" t="s">
        <v>179</v>
      </c>
      <c r="DJ88" s="14" t="s">
        <v>2659</v>
      </c>
      <c r="DK88" s="14" t="s">
        <v>179</v>
      </c>
      <c r="DL88" s="14" t="s">
        <v>2660</v>
      </c>
      <c r="DM88" s="14" t="s">
        <v>179</v>
      </c>
      <c r="DN88" s="14" t="s">
        <v>2661</v>
      </c>
      <c r="DO88" s="14" t="s">
        <v>179</v>
      </c>
      <c r="DP88" s="14" t="s">
        <v>2662</v>
      </c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6" t="s">
        <v>197</v>
      </c>
      <c r="ED88" s="17" t="s">
        <v>198</v>
      </c>
      <c r="EE88" s="18">
        <v>45715.554131944446</v>
      </c>
      <c r="EF88" s="13" t="s">
        <v>209</v>
      </c>
      <c r="EG88" s="14" t="s">
        <v>179</v>
      </c>
      <c r="EH88" s="14" t="s">
        <v>2663</v>
      </c>
      <c r="EI88" s="14" t="s">
        <v>179</v>
      </c>
      <c r="EJ88" s="14" t="s">
        <v>2664</v>
      </c>
      <c r="EK88" s="14" t="s">
        <v>179</v>
      </c>
      <c r="EL88" s="14" t="s">
        <v>2665</v>
      </c>
      <c r="EM88" s="14" t="s">
        <v>179</v>
      </c>
      <c r="EN88" s="14" t="s">
        <v>2666</v>
      </c>
      <c r="EO88" s="15"/>
      <c r="EP88" s="15"/>
      <c r="EQ88" s="15"/>
      <c r="ER88" s="1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6" t="s">
        <v>197</v>
      </c>
      <c r="FD88" s="17" t="s">
        <v>198</v>
      </c>
      <c r="FE88" s="18">
        <v>45723.35643518518</v>
      </c>
      <c r="FF88" s="19"/>
      <c r="FG88" s="19"/>
      <c r="FH88" s="21" t="s">
        <v>197</v>
      </c>
      <c r="FI88" s="17" t="s">
        <v>214</v>
      </c>
      <c r="FJ88" s="18">
        <v>45723.35643518518</v>
      </c>
      <c r="FK88" s="14" t="s">
        <v>2666</v>
      </c>
      <c r="FL88" s="14" t="s">
        <v>2667</v>
      </c>
      <c r="FM88" s="14" t="s">
        <v>2668</v>
      </c>
      <c r="FN88" s="14" t="s">
        <v>2669</v>
      </c>
      <c r="FO88" s="14" t="s">
        <v>2670</v>
      </c>
      <c r="FP88" s="19" t="str">
        <f t="shared" si="1"/>
        <v>Base de Dados_Images/BC4011.Imagem do Equipamento-.153801.jpg</v>
      </c>
      <c r="FQ88" s="19"/>
      <c r="FR88" s="19"/>
    </row>
    <row r="89" ht="15.75" customHeight="1">
      <c r="A89" s="12" t="s">
        <v>234</v>
      </c>
      <c r="B89" s="12" t="s">
        <v>2671</v>
      </c>
      <c r="C89" s="24" t="s">
        <v>512</v>
      </c>
      <c r="D89" s="22" t="s">
        <v>2672</v>
      </c>
      <c r="E89" s="22" t="s">
        <v>2673</v>
      </c>
      <c r="F89" s="13" t="s">
        <v>178</v>
      </c>
      <c r="G89" s="14" t="s">
        <v>179</v>
      </c>
      <c r="H89" s="14" t="s">
        <v>2674</v>
      </c>
      <c r="I89" s="14" t="s">
        <v>179</v>
      </c>
      <c r="J89" s="14" t="s">
        <v>2675</v>
      </c>
      <c r="K89" s="14" t="s">
        <v>179</v>
      </c>
      <c r="L89" s="14" t="s">
        <v>2676</v>
      </c>
      <c r="M89" s="14" t="s">
        <v>179</v>
      </c>
      <c r="N89" s="14" t="s">
        <v>2677</v>
      </c>
      <c r="O89" s="14" t="s">
        <v>179</v>
      </c>
      <c r="P89" s="14" t="s">
        <v>2678</v>
      </c>
      <c r="Q89" s="14" t="s">
        <v>179</v>
      </c>
      <c r="R89" s="14" t="s">
        <v>2679</v>
      </c>
      <c r="S89" s="14" t="s">
        <v>179</v>
      </c>
      <c r="T89" s="14" t="s">
        <v>2680</v>
      </c>
      <c r="U89" s="14" t="s">
        <v>179</v>
      </c>
      <c r="V89" s="14" t="s">
        <v>2681</v>
      </c>
      <c r="W89" s="14" t="s">
        <v>179</v>
      </c>
      <c r="X89" s="14" t="s">
        <v>2682</v>
      </c>
      <c r="Y89" s="14" t="s">
        <v>179</v>
      </c>
      <c r="Z89" s="14" t="s">
        <v>2683</v>
      </c>
      <c r="AA89" s="14" t="s">
        <v>179</v>
      </c>
      <c r="AB89" s="14" t="s">
        <v>2684</v>
      </c>
      <c r="AC89" s="14" t="s">
        <v>179</v>
      </c>
      <c r="AD89" s="14" t="s">
        <v>2685</v>
      </c>
      <c r="AE89" s="14" t="s">
        <v>179</v>
      </c>
      <c r="AF89" s="14" t="s">
        <v>2686</v>
      </c>
      <c r="AG89" s="14" t="s">
        <v>179</v>
      </c>
      <c r="AH89" s="14" t="s">
        <v>2687</v>
      </c>
      <c r="AI89" s="14" t="s">
        <v>179</v>
      </c>
      <c r="AJ89" s="14" t="s">
        <v>2688</v>
      </c>
      <c r="AK89" s="14" t="s">
        <v>179</v>
      </c>
      <c r="AL89" s="14" t="s">
        <v>2689</v>
      </c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6" t="s">
        <v>197</v>
      </c>
      <c r="BP89" s="17" t="s">
        <v>198</v>
      </c>
      <c r="BQ89" s="18">
        <v>45674.62768518519</v>
      </c>
      <c r="BR89" s="17" t="s">
        <v>198</v>
      </c>
      <c r="BS89" s="18">
        <v>45674.62783564815</v>
      </c>
      <c r="BT89" s="17" t="s">
        <v>198</v>
      </c>
      <c r="BU89" s="18">
        <v>45674.62783564815</v>
      </c>
      <c r="BV89" s="13" t="s">
        <v>199</v>
      </c>
      <c r="BW89" s="14" t="s">
        <v>179</v>
      </c>
      <c r="BX89" s="14" t="s">
        <v>2690</v>
      </c>
      <c r="BY89" s="14" t="s">
        <v>179</v>
      </c>
      <c r="BZ89" s="14" t="s">
        <v>2691</v>
      </c>
      <c r="CA89" s="14" t="s">
        <v>179</v>
      </c>
      <c r="CB89" s="14" t="s">
        <v>2692</v>
      </c>
      <c r="CC89" s="14" t="s">
        <v>179</v>
      </c>
      <c r="CD89" s="14" t="s">
        <v>2693</v>
      </c>
      <c r="CE89" s="14" t="s">
        <v>179</v>
      </c>
      <c r="CF89" s="14" t="s">
        <v>2694</v>
      </c>
      <c r="CG89" s="14" t="s">
        <v>188</v>
      </c>
      <c r="CH89" s="14" t="s">
        <v>2695</v>
      </c>
      <c r="CI89" s="19"/>
      <c r="CJ89" s="15"/>
      <c r="CK89" s="19"/>
      <c r="CL89" s="15"/>
      <c r="CM89" s="19"/>
      <c r="CN89" s="15"/>
      <c r="CO89" s="19"/>
      <c r="CP89" s="15"/>
      <c r="CQ89" s="15"/>
      <c r="CR89" s="15"/>
      <c r="CS89" s="19"/>
      <c r="CT89" s="15"/>
      <c r="CU89" s="19"/>
      <c r="CV89" s="15"/>
      <c r="CW89" s="19"/>
      <c r="CX89" s="15"/>
      <c r="CY89" s="19"/>
      <c r="CZ89" s="15"/>
      <c r="DA89" s="16" t="s">
        <v>197</v>
      </c>
      <c r="DB89" s="17" t="s">
        <v>198</v>
      </c>
      <c r="DC89" s="20">
        <v>45689.39256944445</v>
      </c>
      <c r="DD89" s="17" t="s">
        <v>198</v>
      </c>
      <c r="DE89" s="18">
        <v>45689.41228009259</v>
      </c>
      <c r="DF89" s="17" t="s">
        <v>198</v>
      </c>
      <c r="DG89" s="18">
        <v>45689.41228009259</v>
      </c>
      <c r="DH89" s="13" t="s">
        <v>205</v>
      </c>
      <c r="DI89" s="14" t="s">
        <v>179</v>
      </c>
      <c r="DJ89" s="14" t="s">
        <v>2696</v>
      </c>
      <c r="DK89" s="14" t="s">
        <v>179</v>
      </c>
      <c r="DL89" s="14" t="s">
        <v>2696</v>
      </c>
      <c r="DM89" s="14" t="s">
        <v>179</v>
      </c>
      <c r="DN89" s="14" t="s">
        <v>2697</v>
      </c>
      <c r="DO89" s="14" t="s">
        <v>179</v>
      </c>
      <c r="DP89" s="14" t="s">
        <v>2698</v>
      </c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6" t="s">
        <v>197</v>
      </c>
      <c r="ED89" s="17" t="s">
        <v>198</v>
      </c>
      <c r="EE89" s="18">
        <v>45720.32894675926</v>
      </c>
      <c r="EF89" s="13" t="s">
        <v>209</v>
      </c>
      <c r="EG89" s="14" t="s">
        <v>179</v>
      </c>
      <c r="EH89" s="14" t="s">
        <v>2699</v>
      </c>
      <c r="EI89" s="14" t="s">
        <v>179</v>
      </c>
      <c r="EJ89" s="14" t="s">
        <v>2699</v>
      </c>
      <c r="EK89" s="14" t="s">
        <v>179</v>
      </c>
      <c r="EL89" s="14" t="s">
        <v>2700</v>
      </c>
      <c r="EM89" s="14" t="s">
        <v>179</v>
      </c>
      <c r="EN89" s="14" t="s">
        <v>2701</v>
      </c>
      <c r="EO89" s="15"/>
      <c r="EP89" s="15"/>
      <c r="EQ89" s="15"/>
      <c r="ER89" s="15"/>
      <c r="ES89" s="15"/>
      <c r="ET89" s="15"/>
      <c r="EU89" s="15"/>
      <c r="EV89" s="15"/>
      <c r="EW89" s="15"/>
      <c r="EX89" s="15"/>
      <c r="EY89" s="15"/>
      <c r="EZ89" s="15"/>
      <c r="FA89" s="15"/>
      <c r="FB89" s="15"/>
      <c r="FC89" s="16" t="s">
        <v>197</v>
      </c>
      <c r="FD89" s="17" t="s">
        <v>198</v>
      </c>
      <c r="FE89" s="18">
        <v>45720.32902777778</v>
      </c>
      <c r="FF89" s="19"/>
      <c r="FG89" s="19"/>
      <c r="FH89" s="21" t="s">
        <v>197</v>
      </c>
      <c r="FI89" s="17" t="s">
        <v>214</v>
      </c>
      <c r="FJ89" s="18">
        <v>45720.32902777778</v>
      </c>
      <c r="FK89" s="14" t="s">
        <v>2701</v>
      </c>
      <c r="FL89" s="14" t="s">
        <v>2702</v>
      </c>
      <c r="FM89" s="14" t="s">
        <v>2703</v>
      </c>
      <c r="FN89" s="14" t="s">
        <v>2704</v>
      </c>
      <c r="FO89" s="14" t="s">
        <v>2705</v>
      </c>
      <c r="FP89" s="19" t="str">
        <f t="shared" si="1"/>
        <v>Base de Dados_Images/BC6501.Imagem do Equipamento-.163812.jpg</v>
      </c>
      <c r="FQ89" s="19"/>
      <c r="FR89" s="19"/>
    </row>
    <row r="90" ht="15.75" customHeight="1">
      <c r="A90" s="12" t="s">
        <v>234</v>
      </c>
      <c r="B90" s="12" t="s">
        <v>2706</v>
      </c>
      <c r="C90" s="24" t="s">
        <v>512</v>
      </c>
      <c r="D90" s="22" t="s">
        <v>2707</v>
      </c>
      <c r="E90" s="22" t="s">
        <v>2708</v>
      </c>
      <c r="F90" s="13" t="s">
        <v>178</v>
      </c>
      <c r="G90" s="14" t="s">
        <v>179</v>
      </c>
      <c r="H90" s="14" t="s">
        <v>2709</v>
      </c>
      <c r="I90" s="14" t="s">
        <v>179</v>
      </c>
      <c r="J90" s="14" t="s">
        <v>2710</v>
      </c>
      <c r="K90" s="14" t="s">
        <v>179</v>
      </c>
      <c r="L90" s="14" t="s">
        <v>2711</v>
      </c>
      <c r="M90" s="14" t="s">
        <v>179</v>
      </c>
      <c r="N90" s="14" t="s">
        <v>2712</v>
      </c>
      <c r="O90" s="14" t="s">
        <v>179</v>
      </c>
      <c r="P90" s="14" t="s">
        <v>2713</v>
      </c>
      <c r="Q90" s="14" t="s">
        <v>179</v>
      </c>
      <c r="R90" s="14" t="s">
        <v>2714</v>
      </c>
      <c r="S90" s="14" t="s">
        <v>179</v>
      </c>
      <c r="T90" s="14" t="s">
        <v>2715</v>
      </c>
      <c r="U90" s="14" t="s">
        <v>179</v>
      </c>
      <c r="V90" s="14" t="s">
        <v>2716</v>
      </c>
      <c r="W90" s="14" t="s">
        <v>179</v>
      </c>
      <c r="X90" s="14" t="s">
        <v>2717</v>
      </c>
      <c r="Y90" s="14" t="s">
        <v>179</v>
      </c>
      <c r="Z90" s="14" t="s">
        <v>2718</v>
      </c>
      <c r="AA90" s="14" t="s">
        <v>179</v>
      </c>
      <c r="AB90" s="14" t="s">
        <v>2719</v>
      </c>
      <c r="AC90" s="14" t="s">
        <v>179</v>
      </c>
      <c r="AD90" s="14" t="s">
        <v>2720</v>
      </c>
      <c r="AE90" s="14" t="s">
        <v>179</v>
      </c>
      <c r="AF90" s="14" t="s">
        <v>2721</v>
      </c>
      <c r="AG90" s="14" t="s">
        <v>179</v>
      </c>
      <c r="AH90" s="14" t="s">
        <v>2722</v>
      </c>
      <c r="AI90" s="14" t="s">
        <v>179</v>
      </c>
      <c r="AJ90" s="14" t="s">
        <v>2723</v>
      </c>
      <c r="AK90" s="14" t="s">
        <v>179</v>
      </c>
      <c r="AL90" s="14" t="s">
        <v>2724</v>
      </c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7" t="s">
        <v>197</v>
      </c>
      <c r="BP90" s="17" t="s">
        <v>198</v>
      </c>
      <c r="BQ90" s="18">
        <v>45674.631377314814</v>
      </c>
      <c r="BR90" s="17" t="s">
        <v>198</v>
      </c>
      <c r="BS90" s="18">
        <v>45688.49388888889</v>
      </c>
      <c r="BT90" s="17" t="s">
        <v>198</v>
      </c>
      <c r="BU90" s="18">
        <v>45688.49388888889</v>
      </c>
      <c r="BV90" s="13" t="s">
        <v>199</v>
      </c>
      <c r="BW90" s="14" t="s">
        <v>179</v>
      </c>
      <c r="BX90" s="14" t="s">
        <v>2725</v>
      </c>
      <c r="BY90" s="14" t="s">
        <v>179</v>
      </c>
      <c r="BZ90" s="14" t="s">
        <v>2726</v>
      </c>
      <c r="CA90" s="14" t="s">
        <v>179</v>
      </c>
      <c r="CB90" s="14" t="s">
        <v>2727</v>
      </c>
      <c r="CC90" s="14" t="s">
        <v>179</v>
      </c>
      <c r="CD90" s="14" t="s">
        <v>2728</v>
      </c>
      <c r="CE90" s="14" t="s">
        <v>179</v>
      </c>
      <c r="CF90" s="14" t="s">
        <v>2729</v>
      </c>
      <c r="CG90" s="14" t="s">
        <v>188</v>
      </c>
      <c r="CH90" s="14" t="s">
        <v>2730</v>
      </c>
      <c r="CI90" s="19"/>
      <c r="CJ90" s="15"/>
      <c r="CK90" s="19"/>
      <c r="CL90" s="15"/>
      <c r="CM90" s="19"/>
      <c r="CN90" s="15"/>
      <c r="CO90" s="19"/>
      <c r="CP90" s="15"/>
      <c r="CQ90" s="15"/>
      <c r="CR90" s="15"/>
      <c r="CS90" s="19"/>
      <c r="CT90" s="15"/>
      <c r="CU90" s="19"/>
      <c r="CV90" s="15"/>
      <c r="CW90" s="19"/>
      <c r="CX90" s="15"/>
      <c r="CY90" s="19"/>
      <c r="CZ90" s="15"/>
      <c r="DA90" s="16" t="s">
        <v>197</v>
      </c>
      <c r="DB90" s="17" t="s">
        <v>198</v>
      </c>
      <c r="DC90" s="20">
        <v>45692.63857638889</v>
      </c>
      <c r="DD90" s="17" t="s">
        <v>198</v>
      </c>
      <c r="DE90" s="18">
        <v>45692.638645833336</v>
      </c>
      <c r="DF90" s="17" t="s">
        <v>198</v>
      </c>
      <c r="DG90" s="18">
        <v>45692.638645833336</v>
      </c>
      <c r="DH90" s="13" t="s">
        <v>205</v>
      </c>
      <c r="DI90" s="14" t="s">
        <v>179</v>
      </c>
      <c r="DJ90" s="14" t="s">
        <v>2731</v>
      </c>
      <c r="DK90" s="14" t="s">
        <v>179</v>
      </c>
      <c r="DL90" s="14" t="s">
        <v>2732</v>
      </c>
      <c r="DM90" s="14" t="s">
        <v>179</v>
      </c>
      <c r="DN90" s="14" t="s">
        <v>2733</v>
      </c>
      <c r="DO90" s="14" t="s">
        <v>179</v>
      </c>
      <c r="DP90" s="14" t="s">
        <v>2734</v>
      </c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6" t="s">
        <v>197</v>
      </c>
      <c r="ED90" s="17" t="s">
        <v>198</v>
      </c>
      <c r="EE90" s="18">
        <v>45705.43096064815</v>
      </c>
      <c r="EF90" s="13" t="s">
        <v>209</v>
      </c>
      <c r="EG90" s="14" t="s">
        <v>179</v>
      </c>
      <c r="EH90" s="14" t="s">
        <v>2735</v>
      </c>
      <c r="EI90" s="14" t="s">
        <v>179</v>
      </c>
      <c r="EJ90" s="14" t="s">
        <v>2735</v>
      </c>
      <c r="EK90" s="14" t="s">
        <v>179</v>
      </c>
      <c r="EL90" s="14" t="s">
        <v>2736</v>
      </c>
      <c r="EM90" s="14" t="s">
        <v>179</v>
      </c>
      <c r="EN90" s="14" t="s">
        <v>2737</v>
      </c>
      <c r="EO90" s="15"/>
      <c r="EP90" s="15"/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6" t="s">
        <v>197</v>
      </c>
      <c r="FD90" s="17" t="s">
        <v>198</v>
      </c>
      <c r="FE90" s="18">
        <v>45720.330613425926</v>
      </c>
      <c r="FF90" s="14" t="s">
        <v>2738</v>
      </c>
      <c r="FG90" s="19"/>
      <c r="FH90" s="17" t="s">
        <v>198</v>
      </c>
      <c r="FI90" s="17" t="s">
        <v>214</v>
      </c>
      <c r="FJ90" s="18">
        <v>45720.330613425926</v>
      </c>
      <c r="FK90" s="14" t="s">
        <v>2737</v>
      </c>
      <c r="FL90" s="14" t="s">
        <v>2739</v>
      </c>
      <c r="FM90" s="14" t="s">
        <v>2740</v>
      </c>
      <c r="FN90" s="14" t="s">
        <v>2741</v>
      </c>
      <c r="FO90" s="14" t="s">
        <v>2742</v>
      </c>
      <c r="FP90" s="19" t="str">
        <f t="shared" si="1"/>
        <v>Base de Dados_Images/BC6503.Imagem do Equipamento-.132535.jpg</v>
      </c>
      <c r="FQ90" s="19"/>
      <c r="FR90" s="19"/>
    </row>
    <row r="91" ht="15.75" customHeight="1">
      <c r="A91" s="12" t="s">
        <v>234</v>
      </c>
      <c r="B91" s="12" t="s">
        <v>2743</v>
      </c>
      <c r="C91" s="24" t="s">
        <v>512</v>
      </c>
      <c r="D91" s="22" t="s">
        <v>2744</v>
      </c>
      <c r="E91" s="22" t="s">
        <v>2745</v>
      </c>
      <c r="F91" s="13" t="s">
        <v>178</v>
      </c>
      <c r="G91" s="14" t="s">
        <v>179</v>
      </c>
      <c r="H91" s="14" t="s">
        <v>2746</v>
      </c>
      <c r="I91" s="14" t="s">
        <v>179</v>
      </c>
      <c r="J91" s="14" t="s">
        <v>2747</v>
      </c>
      <c r="K91" s="14" t="s">
        <v>179</v>
      </c>
      <c r="L91" s="14" t="s">
        <v>2748</v>
      </c>
      <c r="M91" s="14" t="s">
        <v>179</v>
      </c>
      <c r="N91" s="14" t="s">
        <v>2749</v>
      </c>
      <c r="O91" s="14" t="s">
        <v>179</v>
      </c>
      <c r="P91" s="14" t="s">
        <v>2750</v>
      </c>
      <c r="Q91" s="14" t="s">
        <v>179</v>
      </c>
      <c r="R91" s="14" t="s">
        <v>2751</v>
      </c>
      <c r="S91" s="14" t="s">
        <v>179</v>
      </c>
      <c r="T91" s="14" t="s">
        <v>2752</v>
      </c>
      <c r="U91" s="14" t="s">
        <v>179</v>
      </c>
      <c r="V91" s="14" t="s">
        <v>2753</v>
      </c>
      <c r="W91" s="14" t="s">
        <v>179</v>
      </c>
      <c r="X91" s="14" t="s">
        <v>2754</v>
      </c>
      <c r="Y91" s="14" t="s">
        <v>179</v>
      </c>
      <c r="Z91" s="14" t="s">
        <v>2755</v>
      </c>
      <c r="AA91" s="14" t="s">
        <v>179</v>
      </c>
      <c r="AB91" s="14" t="s">
        <v>2756</v>
      </c>
      <c r="AC91" s="14" t="s">
        <v>179</v>
      </c>
      <c r="AD91" s="14" t="s">
        <v>2757</v>
      </c>
      <c r="AE91" s="14" t="s">
        <v>179</v>
      </c>
      <c r="AF91" s="14" t="s">
        <v>2758</v>
      </c>
      <c r="AG91" s="14" t="s">
        <v>179</v>
      </c>
      <c r="AH91" s="14" t="s">
        <v>2759</v>
      </c>
      <c r="AI91" s="14" t="s">
        <v>179</v>
      </c>
      <c r="AJ91" s="14" t="s">
        <v>2760</v>
      </c>
      <c r="AK91" s="14" t="s">
        <v>179</v>
      </c>
      <c r="AL91" s="14" t="s">
        <v>2761</v>
      </c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7" t="s">
        <v>197</v>
      </c>
      <c r="BP91" s="17" t="s">
        <v>198</v>
      </c>
      <c r="BQ91" s="18">
        <v>45674.63413194445</v>
      </c>
      <c r="BR91" s="17" t="s">
        <v>198</v>
      </c>
      <c r="BS91" s="18">
        <v>45688.501296296294</v>
      </c>
      <c r="BT91" s="17" t="s">
        <v>198</v>
      </c>
      <c r="BU91" s="18">
        <v>45688.501296296294</v>
      </c>
      <c r="BV91" s="13" t="s">
        <v>199</v>
      </c>
      <c r="BW91" s="14" t="s">
        <v>179</v>
      </c>
      <c r="BX91" s="14" t="s">
        <v>2762</v>
      </c>
      <c r="BY91" s="14" t="s">
        <v>179</v>
      </c>
      <c r="BZ91" s="14" t="s">
        <v>2763</v>
      </c>
      <c r="CA91" s="14" t="s">
        <v>179</v>
      </c>
      <c r="CB91" s="14" t="s">
        <v>2764</v>
      </c>
      <c r="CC91" s="14" t="s">
        <v>179</v>
      </c>
      <c r="CD91" s="14" t="s">
        <v>2765</v>
      </c>
      <c r="CE91" s="14" t="s">
        <v>179</v>
      </c>
      <c r="CF91" s="14" t="s">
        <v>2766</v>
      </c>
      <c r="CG91" s="14" t="s">
        <v>188</v>
      </c>
      <c r="CH91" s="14" t="s">
        <v>2767</v>
      </c>
      <c r="CI91" s="19"/>
      <c r="CJ91" s="15"/>
      <c r="CK91" s="19"/>
      <c r="CL91" s="15"/>
      <c r="CM91" s="19"/>
      <c r="CN91" s="15"/>
      <c r="CO91" s="19"/>
      <c r="CP91" s="15"/>
      <c r="CQ91" s="15"/>
      <c r="CR91" s="15"/>
      <c r="CS91" s="19"/>
      <c r="CT91" s="15"/>
      <c r="CU91" s="19"/>
      <c r="CV91" s="15"/>
      <c r="CW91" s="19"/>
      <c r="CX91" s="15"/>
      <c r="CY91" s="19"/>
      <c r="CZ91" s="15"/>
      <c r="DA91" s="16" t="s">
        <v>197</v>
      </c>
      <c r="DB91" s="17" t="s">
        <v>198</v>
      </c>
      <c r="DC91" s="20">
        <v>45689.610625</v>
      </c>
      <c r="DD91" s="17" t="s">
        <v>198</v>
      </c>
      <c r="DE91" s="18">
        <v>45689.61068287037</v>
      </c>
      <c r="DF91" s="17" t="s">
        <v>198</v>
      </c>
      <c r="DG91" s="18">
        <v>45689.61068287037</v>
      </c>
      <c r="DH91" s="13" t="s">
        <v>205</v>
      </c>
      <c r="DI91" s="14" t="s">
        <v>179</v>
      </c>
      <c r="DJ91" s="14" t="s">
        <v>2768</v>
      </c>
      <c r="DK91" s="14" t="s">
        <v>179</v>
      </c>
      <c r="DL91" s="14" t="s">
        <v>2769</v>
      </c>
      <c r="DM91" s="14" t="s">
        <v>179</v>
      </c>
      <c r="DN91" s="14" t="s">
        <v>2770</v>
      </c>
      <c r="DO91" s="14" t="s">
        <v>179</v>
      </c>
      <c r="DP91" s="14" t="s">
        <v>2771</v>
      </c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6" t="s">
        <v>197</v>
      </c>
      <c r="ED91" s="17" t="s">
        <v>198</v>
      </c>
      <c r="EE91" s="18">
        <v>45703.48190972222</v>
      </c>
      <c r="EF91" s="13" t="s">
        <v>209</v>
      </c>
      <c r="EG91" s="14" t="s">
        <v>179</v>
      </c>
      <c r="EH91" s="14" t="s">
        <v>2772</v>
      </c>
      <c r="EI91" s="14" t="s">
        <v>179</v>
      </c>
      <c r="EJ91" s="14" t="s">
        <v>2772</v>
      </c>
      <c r="EK91" s="14" t="s">
        <v>179</v>
      </c>
      <c r="EL91" s="14" t="s">
        <v>2773</v>
      </c>
      <c r="EM91" s="14" t="s">
        <v>179</v>
      </c>
      <c r="EN91" s="14" t="s">
        <v>2774</v>
      </c>
      <c r="EO91" s="15"/>
      <c r="EP91" s="15"/>
      <c r="EQ91" s="15"/>
      <c r="ER91" s="15"/>
      <c r="ES91" s="15"/>
      <c r="ET91" s="15"/>
      <c r="EU91" s="15"/>
      <c r="EV91" s="15"/>
      <c r="EW91" s="15"/>
      <c r="EX91" s="15"/>
      <c r="EY91" s="15"/>
      <c r="EZ91" s="15"/>
      <c r="FA91" s="15"/>
      <c r="FB91" s="15"/>
      <c r="FC91" s="16" t="s">
        <v>197</v>
      </c>
      <c r="FD91" s="17" t="s">
        <v>198</v>
      </c>
      <c r="FE91" s="18">
        <v>45720.34233796296</v>
      </c>
      <c r="FF91" s="14" t="s">
        <v>2738</v>
      </c>
      <c r="FG91" s="19"/>
      <c r="FH91" s="17" t="s">
        <v>198</v>
      </c>
      <c r="FI91" s="17" t="s">
        <v>214</v>
      </c>
      <c r="FJ91" s="18">
        <v>45720.34233796296</v>
      </c>
      <c r="FK91" s="14" t="s">
        <v>2774</v>
      </c>
      <c r="FL91" s="14" t="s">
        <v>2775</v>
      </c>
      <c r="FM91" s="14" t="s">
        <v>2776</v>
      </c>
      <c r="FN91" s="14" t="s">
        <v>2777</v>
      </c>
      <c r="FO91" s="14" t="s">
        <v>2778</v>
      </c>
      <c r="FP91" s="19" t="str">
        <f t="shared" si="1"/>
        <v>Base de Dados_Images/BC6504.Imagem do Equipamento-.133129.jpg</v>
      </c>
      <c r="FQ91" s="19"/>
      <c r="FR91" s="19"/>
    </row>
    <row r="92" ht="15.75" customHeight="1">
      <c r="A92" s="12" t="s">
        <v>234</v>
      </c>
      <c r="B92" s="12" t="s">
        <v>2779</v>
      </c>
      <c r="C92" s="24" t="s">
        <v>512</v>
      </c>
      <c r="D92" s="22" t="s">
        <v>2780</v>
      </c>
      <c r="E92" s="22" t="s">
        <v>2781</v>
      </c>
      <c r="F92" s="13" t="s">
        <v>178</v>
      </c>
      <c r="G92" s="14" t="s">
        <v>179</v>
      </c>
      <c r="H92" s="14" t="s">
        <v>2782</v>
      </c>
      <c r="I92" s="14" t="s">
        <v>179</v>
      </c>
      <c r="J92" s="14" t="s">
        <v>2783</v>
      </c>
      <c r="K92" s="14" t="s">
        <v>179</v>
      </c>
      <c r="L92" s="14" t="s">
        <v>2784</v>
      </c>
      <c r="M92" s="14" t="s">
        <v>179</v>
      </c>
      <c r="N92" s="14" t="s">
        <v>2785</v>
      </c>
      <c r="O92" s="14" t="s">
        <v>179</v>
      </c>
      <c r="P92" s="14" t="s">
        <v>2786</v>
      </c>
      <c r="Q92" s="14" t="s">
        <v>179</v>
      </c>
      <c r="R92" s="14" t="s">
        <v>2787</v>
      </c>
      <c r="S92" s="14" t="s">
        <v>179</v>
      </c>
      <c r="T92" s="14" t="s">
        <v>2788</v>
      </c>
      <c r="U92" s="14" t="s">
        <v>179</v>
      </c>
      <c r="V92" s="14" t="s">
        <v>2789</v>
      </c>
      <c r="W92" s="14" t="s">
        <v>179</v>
      </c>
      <c r="X92" s="14" t="s">
        <v>2790</v>
      </c>
      <c r="Y92" s="14" t="s">
        <v>179</v>
      </c>
      <c r="Z92" s="14" t="s">
        <v>2791</v>
      </c>
      <c r="AA92" s="14" t="s">
        <v>179</v>
      </c>
      <c r="AB92" s="14" t="s">
        <v>2792</v>
      </c>
      <c r="AC92" s="14" t="s">
        <v>179</v>
      </c>
      <c r="AD92" s="14" t="s">
        <v>2793</v>
      </c>
      <c r="AE92" s="14" t="s">
        <v>179</v>
      </c>
      <c r="AF92" s="14" t="s">
        <v>2794</v>
      </c>
      <c r="AG92" s="14" t="s">
        <v>179</v>
      </c>
      <c r="AH92" s="14" t="s">
        <v>2795</v>
      </c>
      <c r="AI92" s="14" t="s">
        <v>179</v>
      </c>
      <c r="AJ92" s="14" t="s">
        <v>2796</v>
      </c>
      <c r="AK92" s="14" t="s">
        <v>179</v>
      </c>
      <c r="AL92" s="14" t="s">
        <v>2797</v>
      </c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7" t="s">
        <v>197</v>
      </c>
      <c r="BP92" s="17" t="s">
        <v>198</v>
      </c>
      <c r="BQ92" s="18">
        <v>45678.33625</v>
      </c>
      <c r="BR92" s="17" t="s">
        <v>198</v>
      </c>
      <c r="BS92" s="18">
        <v>45691.338796296295</v>
      </c>
      <c r="BT92" s="17" t="s">
        <v>198</v>
      </c>
      <c r="BU92" s="18">
        <v>45691.338796296295</v>
      </c>
      <c r="BV92" s="13" t="s">
        <v>199</v>
      </c>
      <c r="BW92" s="14" t="s">
        <v>179</v>
      </c>
      <c r="BX92" s="14" t="s">
        <v>2798</v>
      </c>
      <c r="BY92" s="14" t="s">
        <v>179</v>
      </c>
      <c r="BZ92" s="14" t="s">
        <v>2799</v>
      </c>
      <c r="CA92" s="14" t="s">
        <v>179</v>
      </c>
      <c r="CB92" s="14" t="s">
        <v>2800</v>
      </c>
      <c r="CC92" s="14" t="s">
        <v>179</v>
      </c>
      <c r="CD92" s="14" t="s">
        <v>2801</v>
      </c>
      <c r="CE92" s="14" t="s">
        <v>179</v>
      </c>
      <c r="CF92" s="14" t="s">
        <v>2802</v>
      </c>
      <c r="CG92" s="14" t="s">
        <v>188</v>
      </c>
      <c r="CH92" s="14" t="s">
        <v>2803</v>
      </c>
      <c r="CI92" s="19"/>
      <c r="CJ92" s="15"/>
      <c r="CK92" s="19"/>
      <c r="CL92" s="15"/>
      <c r="CM92" s="19"/>
      <c r="CN92" s="15"/>
      <c r="CO92" s="19"/>
      <c r="CP92" s="15"/>
      <c r="CQ92" s="15"/>
      <c r="CR92" s="15"/>
      <c r="CS92" s="19"/>
      <c r="CT92" s="15"/>
      <c r="CU92" s="19"/>
      <c r="CV92" s="15"/>
      <c r="CW92" s="19"/>
      <c r="CX92" s="15"/>
      <c r="CY92" s="19"/>
      <c r="CZ92" s="15"/>
      <c r="DA92" s="16" t="s">
        <v>197</v>
      </c>
      <c r="DB92" s="17" t="s">
        <v>198</v>
      </c>
      <c r="DC92" s="20">
        <v>45692.63792824074</v>
      </c>
      <c r="DD92" s="17" t="s">
        <v>198</v>
      </c>
      <c r="DE92" s="18">
        <v>45692.63799768518</v>
      </c>
      <c r="DF92" s="17" t="s">
        <v>198</v>
      </c>
      <c r="DG92" s="18">
        <v>45692.63799768518</v>
      </c>
      <c r="DH92" s="13" t="s">
        <v>205</v>
      </c>
      <c r="DI92" s="14" t="s">
        <v>179</v>
      </c>
      <c r="DJ92" s="14" t="s">
        <v>2804</v>
      </c>
      <c r="DK92" s="14" t="s">
        <v>179</v>
      </c>
      <c r="DL92" s="14" t="s">
        <v>2805</v>
      </c>
      <c r="DM92" s="14" t="s">
        <v>179</v>
      </c>
      <c r="DN92" s="14" t="s">
        <v>2806</v>
      </c>
      <c r="DO92" s="14" t="s">
        <v>179</v>
      </c>
      <c r="DP92" s="14" t="s">
        <v>2807</v>
      </c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6" t="s">
        <v>197</v>
      </c>
      <c r="ED92" s="17" t="s">
        <v>198</v>
      </c>
      <c r="EE92" s="18">
        <v>45703.60053240741</v>
      </c>
      <c r="EF92" s="13" t="s">
        <v>209</v>
      </c>
      <c r="EG92" s="14" t="s">
        <v>179</v>
      </c>
      <c r="EH92" s="14" t="s">
        <v>2808</v>
      </c>
      <c r="EI92" s="14" t="s">
        <v>179</v>
      </c>
      <c r="EJ92" s="14" t="s">
        <v>2809</v>
      </c>
      <c r="EK92" s="14" t="s">
        <v>179</v>
      </c>
      <c r="EL92" s="14" t="s">
        <v>2810</v>
      </c>
      <c r="EM92" s="14" t="s">
        <v>179</v>
      </c>
      <c r="EN92" s="14" t="s">
        <v>2811</v>
      </c>
      <c r="EO92" s="15"/>
      <c r="EP92" s="15"/>
      <c r="EQ92" s="15"/>
      <c r="ER92" s="15"/>
      <c r="ES92" s="15"/>
      <c r="ET92" s="15"/>
      <c r="EU92" s="15"/>
      <c r="EV92" s="15"/>
      <c r="EW92" s="15"/>
      <c r="EX92" s="15"/>
      <c r="EY92" s="15"/>
      <c r="EZ92" s="15"/>
      <c r="FA92" s="15"/>
      <c r="FB92" s="15"/>
      <c r="FC92" s="16" t="s">
        <v>197</v>
      </c>
      <c r="FD92" s="17" t="s">
        <v>198</v>
      </c>
      <c r="FE92" s="18">
        <v>45720.33325231481</v>
      </c>
      <c r="FF92" s="14"/>
      <c r="FG92" s="19"/>
      <c r="FH92" s="17" t="s">
        <v>197</v>
      </c>
      <c r="FI92" s="17" t="s">
        <v>214</v>
      </c>
      <c r="FJ92" s="18">
        <v>45720.33325231481</v>
      </c>
      <c r="FK92" s="14" t="s">
        <v>2811</v>
      </c>
      <c r="FL92" s="14" t="s">
        <v>2812</v>
      </c>
      <c r="FM92" s="14" t="s">
        <v>2813</v>
      </c>
      <c r="FN92" s="14" t="s">
        <v>2814</v>
      </c>
      <c r="FO92" s="14" t="s">
        <v>2815</v>
      </c>
      <c r="FP92" s="19" t="str">
        <f t="shared" si="1"/>
        <v>Base de Dados_Images/BC6505.Imagem do Equipamento-.134602.jpg</v>
      </c>
      <c r="FQ92" s="19"/>
      <c r="FR92" s="19"/>
    </row>
    <row r="93" ht="15.75" customHeight="1">
      <c r="A93" s="12" t="s">
        <v>234</v>
      </c>
      <c r="B93" s="12" t="s">
        <v>2816</v>
      </c>
      <c r="C93" s="24" t="s">
        <v>512</v>
      </c>
      <c r="D93" s="22" t="s">
        <v>2817</v>
      </c>
      <c r="E93" s="22" t="s">
        <v>2818</v>
      </c>
      <c r="F93" s="13" t="s">
        <v>178</v>
      </c>
      <c r="G93" s="14" t="s">
        <v>179</v>
      </c>
      <c r="H93" s="14" t="s">
        <v>2819</v>
      </c>
      <c r="I93" s="14" t="s">
        <v>179</v>
      </c>
      <c r="J93" s="14" t="s">
        <v>2820</v>
      </c>
      <c r="K93" s="14" t="s">
        <v>179</v>
      </c>
      <c r="L93" s="14" t="s">
        <v>2821</v>
      </c>
      <c r="M93" s="14" t="s">
        <v>179</v>
      </c>
      <c r="N93" s="14" t="s">
        <v>2822</v>
      </c>
      <c r="O93" s="14" t="s">
        <v>179</v>
      </c>
      <c r="P93" s="14" t="s">
        <v>2823</v>
      </c>
      <c r="Q93" s="14" t="s">
        <v>179</v>
      </c>
      <c r="R93" s="14" t="s">
        <v>2823</v>
      </c>
      <c r="S93" s="14" t="s">
        <v>179</v>
      </c>
      <c r="T93" s="14" t="s">
        <v>2824</v>
      </c>
      <c r="U93" s="14" t="s">
        <v>179</v>
      </c>
      <c r="V93" s="14" t="s">
        <v>2824</v>
      </c>
      <c r="W93" s="14" t="s">
        <v>179</v>
      </c>
      <c r="X93" s="14" t="s">
        <v>2825</v>
      </c>
      <c r="Y93" s="14" t="s">
        <v>179</v>
      </c>
      <c r="Z93" s="14" t="s">
        <v>2826</v>
      </c>
      <c r="AA93" s="14" t="s">
        <v>179</v>
      </c>
      <c r="AB93" s="14" t="s">
        <v>2827</v>
      </c>
      <c r="AC93" s="14" t="s">
        <v>179</v>
      </c>
      <c r="AD93" s="14" t="s">
        <v>2828</v>
      </c>
      <c r="AE93" s="14" t="s">
        <v>179</v>
      </c>
      <c r="AF93" s="14" t="s">
        <v>2829</v>
      </c>
      <c r="AG93" s="14" t="s">
        <v>179</v>
      </c>
      <c r="AH93" s="14" t="s">
        <v>2830</v>
      </c>
      <c r="AI93" s="14" t="s">
        <v>179</v>
      </c>
      <c r="AJ93" s="14" t="s">
        <v>2831</v>
      </c>
      <c r="AK93" s="14" t="s">
        <v>179</v>
      </c>
      <c r="AL93" s="14" t="s">
        <v>2832</v>
      </c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7" t="s">
        <v>197</v>
      </c>
      <c r="BP93" s="17" t="s">
        <v>198</v>
      </c>
      <c r="BQ93" s="18">
        <v>45678.34049768518</v>
      </c>
      <c r="BR93" s="17" t="s">
        <v>198</v>
      </c>
      <c r="BS93" s="18">
        <v>45688.50209490741</v>
      </c>
      <c r="BT93" s="17" t="s">
        <v>198</v>
      </c>
      <c r="BU93" s="18">
        <v>45688.50209490741</v>
      </c>
      <c r="BV93" s="13" t="s">
        <v>199</v>
      </c>
      <c r="BW93" s="14" t="s">
        <v>179</v>
      </c>
      <c r="BX93" s="14" t="s">
        <v>2833</v>
      </c>
      <c r="BY93" s="14" t="s">
        <v>179</v>
      </c>
      <c r="BZ93" s="14" t="s">
        <v>2834</v>
      </c>
      <c r="CA93" s="14" t="s">
        <v>179</v>
      </c>
      <c r="CB93" s="14" t="s">
        <v>2835</v>
      </c>
      <c r="CC93" s="14" t="s">
        <v>179</v>
      </c>
      <c r="CD93" s="14" t="s">
        <v>2836</v>
      </c>
      <c r="CE93" s="14" t="s">
        <v>179</v>
      </c>
      <c r="CF93" s="14" t="s">
        <v>2837</v>
      </c>
      <c r="CG93" s="14" t="s">
        <v>188</v>
      </c>
      <c r="CH93" s="14" t="s">
        <v>2838</v>
      </c>
      <c r="CI93" s="19"/>
      <c r="CJ93" s="15"/>
      <c r="CK93" s="19"/>
      <c r="CL93" s="15"/>
      <c r="CM93" s="19"/>
      <c r="CN93" s="15"/>
      <c r="CO93" s="19"/>
      <c r="CP93" s="15"/>
      <c r="CQ93" s="15"/>
      <c r="CR93" s="15"/>
      <c r="CS93" s="19"/>
      <c r="CT93" s="15"/>
      <c r="CU93" s="19"/>
      <c r="CV93" s="15"/>
      <c r="CW93" s="19"/>
      <c r="CX93" s="15"/>
      <c r="CY93" s="19"/>
      <c r="CZ93" s="15"/>
      <c r="DA93" s="16" t="s">
        <v>197</v>
      </c>
      <c r="DB93" s="17" t="s">
        <v>198</v>
      </c>
      <c r="DC93" s="20">
        <v>45689.6294212963</v>
      </c>
      <c r="DD93" s="17" t="s">
        <v>198</v>
      </c>
      <c r="DE93" s="18">
        <v>45689.62949074074</v>
      </c>
      <c r="DF93" s="17" t="s">
        <v>198</v>
      </c>
      <c r="DG93" s="18">
        <v>45689.62949074074</v>
      </c>
      <c r="DH93" s="13" t="s">
        <v>205</v>
      </c>
      <c r="DI93" s="14" t="s">
        <v>179</v>
      </c>
      <c r="DJ93" s="14" t="s">
        <v>2839</v>
      </c>
      <c r="DK93" s="14" t="s">
        <v>179</v>
      </c>
      <c r="DL93" s="14" t="s">
        <v>2840</v>
      </c>
      <c r="DM93" s="14" t="s">
        <v>179</v>
      </c>
      <c r="DN93" s="14" t="s">
        <v>2841</v>
      </c>
      <c r="DO93" s="14" t="s">
        <v>179</v>
      </c>
      <c r="DP93" s="14" t="s">
        <v>2842</v>
      </c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6" t="s">
        <v>197</v>
      </c>
      <c r="ED93" s="17" t="s">
        <v>198</v>
      </c>
      <c r="EE93" s="18">
        <v>45703.601585648146</v>
      </c>
      <c r="EF93" s="13" t="s">
        <v>209</v>
      </c>
      <c r="EG93" s="14" t="s">
        <v>179</v>
      </c>
      <c r="EH93" s="14" t="s">
        <v>2843</v>
      </c>
      <c r="EI93" s="14" t="s">
        <v>179</v>
      </c>
      <c r="EJ93" s="14" t="s">
        <v>2843</v>
      </c>
      <c r="EK93" s="14" t="s">
        <v>179</v>
      </c>
      <c r="EL93" s="14" t="s">
        <v>2844</v>
      </c>
      <c r="EM93" s="14" t="s">
        <v>179</v>
      </c>
      <c r="EN93" s="14" t="s">
        <v>2845</v>
      </c>
      <c r="EO93" s="15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6" t="s">
        <v>197</v>
      </c>
      <c r="FD93" s="17" t="s">
        <v>198</v>
      </c>
      <c r="FE93" s="18">
        <v>45720.34390046296</v>
      </c>
      <c r="FF93" s="19"/>
      <c r="FG93" s="19"/>
      <c r="FH93" s="21" t="s">
        <v>197</v>
      </c>
      <c r="FI93" s="17" t="s">
        <v>214</v>
      </c>
      <c r="FJ93" s="18">
        <v>45720.34390046296</v>
      </c>
      <c r="FK93" s="14" t="s">
        <v>2845</v>
      </c>
      <c r="FL93" s="14" t="s">
        <v>2846</v>
      </c>
      <c r="FM93" s="14" t="s">
        <v>2847</v>
      </c>
      <c r="FN93" s="14" t="s">
        <v>2848</v>
      </c>
      <c r="FO93" s="14" t="s">
        <v>2849</v>
      </c>
      <c r="FP93" s="19" t="str">
        <f t="shared" si="1"/>
        <v>Base de Dados_Images/BC6506.Imagem do Equipamento-.140050.jpg</v>
      </c>
      <c r="FQ93" s="19"/>
      <c r="FR93" s="19"/>
    </row>
    <row r="94" ht="15.75" customHeight="1">
      <c r="A94" s="12" t="s">
        <v>234</v>
      </c>
      <c r="B94" s="12" t="s">
        <v>2850</v>
      </c>
      <c r="C94" s="24" t="s">
        <v>512</v>
      </c>
      <c r="D94" s="22" t="s">
        <v>2851</v>
      </c>
      <c r="E94" s="22" t="s">
        <v>2852</v>
      </c>
      <c r="F94" s="13" t="s">
        <v>178</v>
      </c>
      <c r="G94" s="14" t="s">
        <v>179</v>
      </c>
      <c r="H94" s="14" t="s">
        <v>2853</v>
      </c>
      <c r="I94" s="14" t="s">
        <v>179</v>
      </c>
      <c r="J94" s="14" t="s">
        <v>2854</v>
      </c>
      <c r="K94" s="14" t="s">
        <v>179</v>
      </c>
      <c r="L94" s="14" t="s">
        <v>2855</v>
      </c>
      <c r="M94" s="14" t="s">
        <v>179</v>
      </c>
      <c r="N94" s="14" t="s">
        <v>2856</v>
      </c>
      <c r="O94" s="14" t="s">
        <v>179</v>
      </c>
      <c r="P94" s="14" t="s">
        <v>2857</v>
      </c>
      <c r="Q94" s="14" t="s">
        <v>179</v>
      </c>
      <c r="R94" s="14" t="s">
        <v>2858</v>
      </c>
      <c r="S94" s="14" t="s">
        <v>179</v>
      </c>
      <c r="T94" s="14" t="s">
        <v>2859</v>
      </c>
      <c r="U94" s="14" t="s">
        <v>179</v>
      </c>
      <c r="V94" s="14" t="s">
        <v>2860</v>
      </c>
      <c r="W94" s="14" t="s">
        <v>179</v>
      </c>
      <c r="X94" s="14" t="s">
        <v>2861</v>
      </c>
      <c r="Y94" s="14" t="s">
        <v>179</v>
      </c>
      <c r="Z94" s="14" t="s">
        <v>2862</v>
      </c>
      <c r="AA94" s="14" t="s">
        <v>179</v>
      </c>
      <c r="AB94" s="14" t="s">
        <v>2863</v>
      </c>
      <c r="AC94" s="14" t="s">
        <v>179</v>
      </c>
      <c r="AD94" s="14" t="s">
        <v>2863</v>
      </c>
      <c r="AE94" s="14" t="s">
        <v>179</v>
      </c>
      <c r="AF94" s="14" t="s">
        <v>2864</v>
      </c>
      <c r="AG94" s="14" t="s">
        <v>179</v>
      </c>
      <c r="AH94" s="14" t="s">
        <v>2865</v>
      </c>
      <c r="AI94" s="14" t="s">
        <v>179</v>
      </c>
      <c r="AJ94" s="14" t="s">
        <v>2866</v>
      </c>
      <c r="AK94" s="14" t="s">
        <v>179</v>
      </c>
      <c r="AL94" s="14" t="s">
        <v>2867</v>
      </c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7" t="s">
        <v>197</v>
      </c>
      <c r="BP94" s="17" t="s">
        <v>198</v>
      </c>
      <c r="BQ94" s="18">
        <v>45678.342523148145</v>
      </c>
      <c r="BR94" s="17" t="s">
        <v>198</v>
      </c>
      <c r="BS94" s="18">
        <v>45688.5025</v>
      </c>
      <c r="BT94" s="17" t="s">
        <v>198</v>
      </c>
      <c r="BU94" s="18">
        <v>45688.5025</v>
      </c>
      <c r="BV94" s="13" t="s">
        <v>199</v>
      </c>
      <c r="BW94" s="14" t="s">
        <v>179</v>
      </c>
      <c r="BX94" s="14" t="s">
        <v>2868</v>
      </c>
      <c r="BY94" s="14" t="s">
        <v>179</v>
      </c>
      <c r="BZ94" s="14" t="s">
        <v>2869</v>
      </c>
      <c r="CA94" s="14" t="s">
        <v>179</v>
      </c>
      <c r="CB94" s="14" t="s">
        <v>2870</v>
      </c>
      <c r="CC94" s="14" t="s">
        <v>179</v>
      </c>
      <c r="CD94" s="14" t="s">
        <v>2871</v>
      </c>
      <c r="CE94" s="14" t="s">
        <v>179</v>
      </c>
      <c r="CF94" s="14" t="s">
        <v>2872</v>
      </c>
      <c r="CG94" s="14" t="s">
        <v>188</v>
      </c>
      <c r="CH94" s="14" t="s">
        <v>2873</v>
      </c>
      <c r="CI94" s="19"/>
      <c r="CJ94" s="15"/>
      <c r="CK94" s="19"/>
      <c r="CL94" s="15"/>
      <c r="CM94" s="19"/>
      <c r="CN94" s="15"/>
      <c r="CO94" s="19"/>
      <c r="CP94" s="15"/>
      <c r="CQ94" s="15"/>
      <c r="CR94" s="15"/>
      <c r="CS94" s="19"/>
      <c r="CT94" s="15"/>
      <c r="CU94" s="19"/>
      <c r="CV94" s="15"/>
      <c r="CW94" s="19"/>
      <c r="CX94" s="15"/>
      <c r="CY94" s="19"/>
      <c r="CZ94" s="15"/>
      <c r="DA94" s="16" t="s">
        <v>197</v>
      </c>
      <c r="DB94" s="17" t="s">
        <v>198</v>
      </c>
      <c r="DC94" s="20">
        <v>45689.6296875</v>
      </c>
      <c r="DD94" s="17" t="s">
        <v>198</v>
      </c>
      <c r="DE94" s="18">
        <v>45689.62976851852</v>
      </c>
      <c r="DF94" s="17" t="s">
        <v>198</v>
      </c>
      <c r="DG94" s="18">
        <v>45689.62976851852</v>
      </c>
      <c r="DH94" s="13" t="s">
        <v>205</v>
      </c>
      <c r="DI94" s="14" t="s">
        <v>179</v>
      </c>
      <c r="DJ94" s="14" t="s">
        <v>2874</v>
      </c>
      <c r="DK94" s="14" t="s">
        <v>179</v>
      </c>
      <c r="DL94" s="14" t="s">
        <v>2874</v>
      </c>
      <c r="DM94" s="14" t="s">
        <v>179</v>
      </c>
      <c r="DN94" s="14" t="s">
        <v>2875</v>
      </c>
      <c r="DO94" s="14" t="s">
        <v>179</v>
      </c>
      <c r="DP94" s="14" t="s">
        <v>2876</v>
      </c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6" t="s">
        <v>197</v>
      </c>
      <c r="ED94" s="17" t="s">
        <v>198</v>
      </c>
      <c r="EE94" s="18">
        <v>45703.49581018519</v>
      </c>
      <c r="EF94" s="13" t="s">
        <v>209</v>
      </c>
      <c r="EG94" s="14" t="s">
        <v>179</v>
      </c>
      <c r="EH94" s="14" t="s">
        <v>2877</v>
      </c>
      <c r="EI94" s="14" t="s">
        <v>179</v>
      </c>
      <c r="EJ94" s="14" t="s">
        <v>2878</v>
      </c>
      <c r="EK94" s="14" t="s">
        <v>179</v>
      </c>
      <c r="EL94" s="14" t="s">
        <v>2879</v>
      </c>
      <c r="EM94" s="14" t="s">
        <v>179</v>
      </c>
      <c r="EN94" s="14" t="s">
        <v>2880</v>
      </c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6" t="s">
        <v>197</v>
      </c>
      <c r="FD94" s="17" t="s">
        <v>198</v>
      </c>
      <c r="FE94" s="18">
        <v>45720.34611111111</v>
      </c>
      <c r="FF94" s="19"/>
      <c r="FG94" s="19"/>
      <c r="FH94" s="21" t="s">
        <v>197</v>
      </c>
      <c r="FI94" s="17" t="s">
        <v>214</v>
      </c>
      <c r="FJ94" s="18">
        <v>45720.34611111111</v>
      </c>
      <c r="FK94" s="14" t="s">
        <v>2880</v>
      </c>
      <c r="FL94" s="14" t="s">
        <v>2881</v>
      </c>
      <c r="FM94" s="14" t="s">
        <v>2882</v>
      </c>
      <c r="FN94" s="14" t="s">
        <v>2883</v>
      </c>
      <c r="FO94" s="14" t="s">
        <v>2884</v>
      </c>
      <c r="FP94" s="19" t="str">
        <f t="shared" si="1"/>
        <v>Base de Dados_Images/BC6507.Imagem do Equipamento-.140758.jpg</v>
      </c>
      <c r="FQ94" s="19"/>
      <c r="FR94" s="19"/>
    </row>
    <row r="95" ht="15.75" customHeight="1">
      <c r="A95" s="12" t="s">
        <v>234</v>
      </c>
      <c r="B95" s="12" t="s">
        <v>2885</v>
      </c>
      <c r="C95" s="24" t="s">
        <v>512</v>
      </c>
      <c r="D95" s="22" t="s">
        <v>2886</v>
      </c>
      <c r="E95" s="22" t="s">
        <v>2887</v>
      </c>
      <c r="F95" s="13" t="s">
        <v>178</v>
      </c>
      <c r="G95" s="14" t="s">
        <v>179</v>
      </c>
      <c r="H95" s="14" t="s">
        <v>2888</v>
      </c>
      <c r="I95" s="14" t="s">
        <v>179</v>
      </c>
      <c r="J95" s="14" t="s">
        <v>2888</v>
      </c>
      <c r="K95" s="14" t="s">
        <v>179</v>
      </c>
      <c r="L95" s="14" t="s">
        <v>2889</v>
      </c>
      <c r="M95" s="14" t="s">
        <v>179</v>
      </c>
      <c r="N95" s="14" t="s">
        <v>2890</v>
      </c>
      <c r="O95" s="14" t="s">
        <v>179</v>
      </c>
      <c r="P95" s="14" t="s">
        <v>2891</v>
      </c>
      <c r="Q95" s="14" t="s">
        <v>179</v>
      </c>
      <c r="R95" s="14" t="s">
        <v>2892</v>
      </c>
      <c r="S95" s="14" t="s">
        <v>179</v>
      </c>
      <c r="T95" s="14" t="s">
        <v>2893</v>
      </c>
      <c r="U95" s="14" t="s">
        <v>179</v>
      </c>
      <c r="V95" s="14" t="s">
        <v>2894</v>
      </c>
      <c r="W95" s="14" t="s">
        <v>179</v>
      </c>
      <c r="X95" s="14" t="s">
        <v>2895</v>
      </c>
      <c r="Y95" s="14" t="s">
        <v>179</v>
      </c>
      <c r="Z95" s="14" t="s">
        <v>2896</v>
      </c>
      <c r="AA95" s="14" t="s">
        <v>179</v>
      </c>
      <c r="AB95" s="14" t="s">
        <v>2897</v>
      </c>
      <c r="AC95" s="14" t="s">
        <v>179</v>
      </c>
      <c r="AD95" s="14" t="s">
        <v>2898</v>
      </c>
      <c r="AE95" s="14" t="s">
        <v>179</v>
      </c>
      <c r="AF95" s="14" t="s">
        <v>2899</v>
      </c>
      <c r="AG95" s="14" t="s">
        <v>179</v>
      </c>
      <c r="AH95" s="14" t="s">
        <v>2900</v>
      </c>
      <c r="AI95" s="14" t="s">
        <v>179</v>
      </c>
      <c r="AJ95" s="14" t="s">
        <v>2901</v>
      </c>
      <c r="AK95" s="14" t="s">
        <v>179</v>
      </c>
      <c r="AL95" s="14" t="s">
        <v>2902</v>
      </c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7" t="s">
        <v>197</v>
      </c>
      <c r="BP95" s="17" t="s">
        <v>198</v>
      </c>
      <c r="BQ95" s="18">
        <v>45678.34460648148</v>
      </c>
      <c r="BR95" s="17" t="s">
        <v>198</v>
      </c>
      <c r="BS95" s="18">
        <v>45688.502858796295</v>
      </c>
      <c r="BT95" s="17" t="s">
        <v>198</v>
      </c>
      <c r="BU95" s="18">
        <v>45688.502858796295</v>
      </c>
      <c r="BV95" s="13" t="s">
        <v>199</v>
      </c>
      <c r="BW95" s="14" t="s">
        <v>179</v>
      </c>
      <c r="BX95" s="14" t="s">
        <v>2903</v>
      </c>
      <c r="BY95" s="14" t="s">
        <v>179</v>
      </c>
      <c r="BZ95" s="14" t="s">
        <v>2904</v>
      </c>
      <c r="CA95" s="14" t="s">
        <v>179</v>
      </c>
      <c r="CB95" s="14" t="s">
        <v>2905</v>
      </c>
      <c r="CC95" s="14" t="s">
        <v>179</v>
      </c>
      <c r="CD95" s="14" t="s">
        <v>2906</v>
      </c>
      <c r="CE95" s="14" t="s">
        <v>179</v>
      </c>
      <c r="CF95" s="14" t="s">
        <v>2907</v>
      </c>
      <c r="CG95" s="14" t="s">
        <v>188</v>
      </c>
      <c r="CH95" s="14" t="s">
        <v>2908</v>
      </c>
      <c r="CI95" s="19"/>
      <c r="CJ95" s="15"/>
      <c r="CK95" s="19"/>
      <c r="CL95" s="15"/>
      <c r="CM95" s="19"/>
      <c r="CN95" s="15"/>
      <c r="CO95" s="19"/>
      <c r="CP95" s="15"/>
      <c r="CQ95" s="15"/>
      <c r="CR95" s="15"/>
      <c r="CS95" s="19"/>
      <c r="CT95" s="15"/>
      <c r="CU95" s="19"/>
      <c r="CV95" s="15"/>
      <c r="CW95" s="19"/>
      <c r="CX95" s="15"/>
      <c r="CY95" s="19"/>
      <c r="CZ95" s="15"/>
      <c r="DA95" s="16" t="s">
        <v>197</v>
      </c>
      <c r="DB95" s="17" t="s">
        <v>198</v>
      </c>
      <c r="DC95" s="20">
        <v>45689.62993055556</v>
      </c>
      <c r="DD95" s="17" t="s">
        <v>198</v>
      </c>
      <c r="DE95" s="18">
        <v>45689.63</v>
      </c>
      <c r="DF95" s="17" t="s">
        <v>198</v>
      </c>
      <c r="DG95" s="18">
        <v>45689.63</v>
      </c>
      <c r="DH95" s="13" t="s">
        <v>205</v>
      </c>
      <c r="DI95" s="14" t="s">
        <v>179</v>
      </c>
      <c r="DJ95" s="14" t="s">
        <v>2909</v>
      </c>
      <c r="DK95" s="14" t="s">
        <v>179</v>
      </c>
      <c r="DL95" s="14" t="s">
        <v>2910</v>
      </c>
      <c r="DM95" s="14" t="s">
        <v>179</v>
      </c>
      <c r="DN95" s="14" t="s">
        <v>2911</v>
      </c>
      <c r="DO95" s="14" t="s">
        <v>179</v>
      </c>
      <c r="DP95" s="14" t="s">
        <v>2912</v>
      </c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6" t="s">
        <v>197</v>
      </c>
      <c r="ED95" s="17" t="s">
        <v>198</v>
      </c>
      <c r="EE95" s="18">
        <v>45703.60225694445</v>
      </c>
      <c r="EF95" s="13" t="s">
        <v>209</v>
      </c>
      <c r="EG95" s="14" t="s">
        <v>179</v>
      </c>
      <c r="EH95" s="14" t="s">
        <v>2913</v>
      </c>
      <c r="EI95" s="14" t="s">
        <v>179</v>
      </c>
      <c r="EJ95" s="14" t="s">
        <v>2914</v>
      </c>
      <c r="EK95" s="14" t="s">
        <v>179</v>
      </c>
      <c r="EL95" s="14" t="s">
        <v>2915</v>
      </c>
      <c r="EM95" s="14" t="s">
        <v>179</v>
      </c>
      <c r="EN95" s="14" t="s">
        <v>2916</v>
      </c>
      <c r="EO95" s="15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6" t="s">
        <v>197</v>
      </c>
      <c r="FD95" s="17" t="s">
        <v>198</v>
      </c>
      <c r="FE95" s="18">
        <v>45720.35377314815</v>
      </c>
      <c r="FF95" s="19"/>
      <c r="FG95" s="19"/>
      <c r="FH95" s="21" t="s">
        <v>197</v>
      </c>
      <c r="FI95" s="17" t="s">
        <v>214</v>
      </c>
      <c r="FJ95" s="18">
        <v>45720.35377314815</v>
      </c>
      <c r="FK95" s="14" t="s">
        <v>2916</v>
      </c>
      <c r="FL95" s="14" t="s">
        <v>2917</v>
      </c>
      <c r="FM95" s="14" t="s">
        <v>2918</v>
      </c>
      <c r="FN95" s="14" t="s">
        <v>2919</v>
      </c>
      <c r="FO95" s="14" t="s">
        <v>2920</v>
      </c>
      <c r="FP95" s="19" t="str">
        <f t="shared" si="1"/>
        <v>Base de Dados_Images/BC6508.Imagem do Equipamento-.162652.jpg</v>
      </c>
      <c r="FQ95" s="19"/>
      <c r="FR95" s="19"/>
    </row>
    <row r="96" ht="15.75" customHeight="1">
      <c r="A96" s="12" t="s">
        <v>234</v>
      </c>
      <c r="B96" s="12" t="s">
        <v>2921</v>
      </c>
      <c r="C96" s="24" t="s">
        <v>512</v>
      </c>
      <c r="D96" s="22" t="s">
        <v>2922</v>
      </c>
      <c r="E96" s="22" t="s">
        <v>2923</v>
      </c>
      <c r="F96" s="13" t="s">
        <v>178</v>
      </c>
      <c r="G96" s="14" t="s">
        <v>179</v>
      </c>
      <c r="H96" s="14" t="s">
        <v>2924</v>
      </c>
      <c r="I96" s="14" t="s">
        <v>179</v>
      </c>
      <c r="J96" s="14" t="s">
        <v>2925</v>
      </c>
      <c r="K96" s="14" t="s">
        <v>179</v>
      </c>
      <c r="L96" s="14" t="s">
        <v>2926</v>
      </c>
      <c r="M96" s="14" t="s">
        <v>179</v>
      </c>
      <c r="N96" s="14" t="s">
        <v>2927</v>
      </c>
      <c r="O96" s="14" t="s">
        <v>179</v>
      </c>
      <c r="P96" s="14" t="s">
        <v>2928</v>
      </c>
      <c r="Q96" s="14" t="s">
        <v>179</v>
      </c>
      <c r="R96" s="14" t="s">
        <v>2929</v>
      </c>
      <c r="S96" s="14" t="s">
        <v>179</v>
      </c>
      <c r="T96" s="14" t="s">
        <v>2930</v>
      </c>
      <c r="U96" s="14" t="s">
        <v>179</v>
      </c>
      <c r="V96" s="14" t="s">
        <v>2931</v>
      </c>
      <c r="W96" s="14" t="s">
        <v>179</v>
      </c>
      <c r="X96" s="14" t="s">
        <v>2932</v>
      </c>
      <c r="Y96" s="14" t="s">
        <v>179</v>
      </c>
      <c r="Z96" s="14" t="s">
        <v>2933</v>
      </c>
      <c r="AA96" s="14" t="s">
        <v>179</v>
      </c>
      <c r="AB96" s="14" t="s">
        <v>2934</v>
      </c>
      <c r="AC96" s="14" t="s">
        <v>179</v>
      </c>
      <c r="AD96" s="14" t="s">
        <v>2935</v>
      </c>
      <c r="AE96" s="14" t="s">
        <v>179</v>
      </c>
      <c r="AF96" s="14" t="s">
        <v>2935</v>
      </c>
      <c r="AG96" s="14" t="s">
        <v>179</v>
      </c>
      <c r="AH96" s="14" t="s">
        <v>2936</v>
      </c>
      <c r="AI96" s="14" t="s">
        <v>179</v>
      </c>
      <c r="AJ96" s="14" t="s">
        <v>2937</v>
      </c>
      <c r="AK96" s="14" t="s">
        <v>179</v>
      </c>
      <c r="AL96" s="14" t="s">
        <v>2938</v>
      </c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7" t="s">
        <v>197</v>
      </c>
      <c r="BP96" s="17" t="s">
        <v>198</v>
      </c>
      <c r="BQ96" s="18">
        <v>45678.43784722222</v>
      </c>
      <c r="BR96" s="17" t="s">
        <v>198</v>
      </c>
      <c r="BS96" s="18">
        <v>45688.503333333334</v>
      </c>
      <c r="BT96" s="17" t="s">
        <v>198</v>
      </c>
      <c r="BU96" s="18">
        <v>45688.503333333334</v>
      </c>
      <c r="BV96" s="13" t="s">
        <v>199</v>
      </c>
      <c r="BW96" s="14" t="s">
        <v>179</v>
      </c>
      <c r="BX96" s="14" t="s">
        <v>2939</v>
      </c>
      <c r="BY96" s="14" t="s">
        <v>179</v>
      </c>
      <c r="BZ96" s="14" t="s">
        <v>2940</v>
      </c>
      <c r="CA96" s="14" t="s">
        <v>179</v>
      </c>
      <c r="CB96" s="14" t="s">
        <v>2941</v>
      </c>
      <c r="CC96" s="14" t="s">
        <v>179</v>
      </c>
      <c r="CD96" s="14" t="s">
        <v>2942</v>
      </c>
      <c r="CE96" s="14" t="s">
        <v>179</v>
      </c>
      <c r="CF96" s="14" t="s">
        <v>2943</v>
      </c>
      <c r="CG96" s="14" t="s">
        <v>188</v>
      </c>
      <c r="CH96" s="14" t="s">
        <v>2944</v>
      </c>
      <c r="CI96" s="19"/>
      <c r="CJ96" s="15"/>
      <c r="CK96" s="19"/>
      <c r="CL96" s="15"/>
      <c r="CM96" s="19"/>
      <c r="CN96" s="15"/>
      <c r="CO96" s="19"/>
      <c r="CP96" s="15"/>
      <c r="CQ96" s="15"/>
      <c r="CR96" s="15"/>
      <c r="CS96" s="19"/>
      <c r="CT96" s="15"/>
      <c r="CU96" s="19"/>
      <c r="CV96" s="15"/>
      <c r="CW96" s="19"/>
      <c r="CX96" s="15"/>
      <c r="CY96" s="19"/>
      <c r="CZ96" s="15"/>
      <c r="DA96" s="16" t="s">
        <v>197</v>
      </c>
      <c r="DB96" s="17" t="s">
        <v>198</v>
      </c>
      <c r="DC96" s="20">
        <v>45689.63018518518</v>
      </c>
      <c r="DD96" s="17" t="s">
        <v>198</v>
      </c>
      <c r="DE96" s="18">
        <v>45689.63025462963</v>
      </c>
      <c r="DF96" s="17" t="s">
        <v>198</v>
      </c>
      <c r="DG96" s="18">
        <v>45689.63025462963</v>
      </c>
      <c r="DH96" s="13" t="s">
        <v>205</v>
      </c>
      <c r="DI96" s="14" t="s">
        <v>179</v>
      </c>
      <c r="DJ96" s="14" t="s">
        <v>2945</v>
      </c>
      <c r="DK96" s="14" t="s">
        <v>179</v>
      </c>
      <c r="DL96" s="14" t="s">
        <v>2945</v>
      </c>
      <c r="DM96" s="14" t="s">
        <v>179</v>
      </c>
      <c r="DN96" s="14" t="s">
        <v>2946</v>
      </c>
      <c r="DO96" s="14" t="s">
        <v>179</v>
      </c>
      <c r="DP96" s="14" t="s">
        <v>2947</v>
      </c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6" t="s">
        <v>197</v>
      </c>
      <c r="ED96" s="17" t="s">
        <v>198</v>
      </c>
      <c r="EE96" s="18">
        <v>45703.60327546296</v>
      </c>
      <c r="EF96" s="13" t="s">
        <v>209</v>
      </c>
      <c r="EG96" s="14" t="s">
        <v>179</v>
      </c>
      <c r="EH96" s="14" t="s">
        <v>2948</v>
      </c>
      <c r="EI96" s="14" t="s">
        <v>179</v>
      </c>
      <c r="EJ96" s="14" t="s">
        <v>2949</v>
      </c>
      <c r="EK96" s="14" t="s">
        <v>179</v>
      </c>
      <c r="EL96" s="14" t="s">
        <v>2950</v>
      </c>
      <c r="EM96" s="14" t="s">
        <v>179</v>
      </c>
      <c r="EN96" s="14" t="s">
        <v>2951</v>
      </c>
      <c r="EO96" s="15"/>
      <c r="EP96" s="15"/>
      <c r="EQ96" s="15"/>
      <c r="ER96" s="15"/>
      <c r="ES96" s="15"/>
      <c r="ET96" s="15"/>
      <c r="EU96" s="15"/>
      <c r="EV96" s="15"/>
      <c r="EW96" s="15"/>
      <c r="EX96" s="15"/>
      <c r="EY96" s="15"/>
      <c r="EZ96" s="15"/>
      <c r="FA96" s="15"/>
      <c r="FB96" s="15"/>
      <c r="FC96" s="16" t="s">
        <v>197</v>
      </c>
      <c r="FD96" s="17" t="s">
        <v>198</v>
      </c>
      <c r="FE96" s="18">
        <v>45720.35150462963</v>
      </c>
      <c r="FF96" s="19"/>
      <c r="FG96" s="19"/>
      <c r="FH96" s="21" t="s">
        <v>197</v>
      </c>
      <c r="FI96" s="17" t="s">
        <v>214</v>
      </c>
      <c r="FJ96" s="18">
        <v>45720.35150462963</v>
      </c>
      <c r="FK96" s="14" t="s">
        <v>2951</v>
      </c>
      <c r="FL96" s="14" t="s">
        <v>2952</v>
      </c>
      <c r="FM96" s="14" t="s">
        <v>2953</v>
      </c>
      <c r="FN96" s="14" t="s">
        <v>2954</v>
      </c>
      <c r="FO96" s="14" t="s">
        <v>2955</v>
      </c>
      <c r="FP96" s="19" t="str">
        <f t="shared" si="1"/>
        <v>Base de Dados_Images/BC6509.Imagem do Equipamento-.162805.jpg</v>
      </c>
      <c r="FQ96" s="19"/>
      <c r="FR96" s="19"/>
    </row>
    <row r="97" ht="15.75" customHeight="1">
      <c r="A97" s="12" t="s">
        <v>234</v>
      </c>
      <c r="B97" s="12" t="s">
        <v>2956</v>
      </c>
      <c r="C97" s="24" t="s">
        <v>512</v>
      </c>
      <c r="D97" s="22" t="s">
        <v>2957</v>
      </c>
      <c r="E97" s="22" t="s">
        <v>2958</v>
      </c>
      <c r="F97" s="13" t="s">
        <v>178</v>
      </c>
      <c r="G97" s="14" t="s">
        <v>179</v>
      </c>
      <c r="H97" s="14" t="s">
        <v>2959</v>
      </c>
      <c r="I97" s="14" t="s">
        <v>179</v>
      </c>
      <c r="J97" s="14" t="s">
        <v>2960</v>
      </c>
      <c r="K97" s="14" t="s">
        <v>179</v>
      </c>
      <c r="L97" s="14" t="s">
        <v>2961</v>
      </c>
      <c r="M97" s="14" t="s">
        <v>179</v>
      </c>
      <c r="N97" s="14" t="s">
        <v>2962</v>
      </c>
      <c r="O97" s="14" t="s">
        <v>179</v>
      </c>
      <c r="P97" s="14" t="s">
        <v>2963</v>
      </c>
      <c r="Q97" s="14" t="s">
        <v>179</v>
      </c>
      <c r="R97" s="14" t="s">
        <v>2964</v>
      </c>
      <c r="S97" s="14" t="s">
        <v>179</v>
      </c>
      <c r="T97" s="14" t="s">
        <v>2965</v>
      </c>
      <c r="U97" s="14" t="s">
        <v>179</v>
      </c>
      <c r="V97" s="14" t="s">
        <v>2966</v>
      </c>
      <c r="W97" s="14" t="s">
        <v>179</v>
      </c>
      <c r="X97" s="14" t="s">
        <v>2967</v>
      </c>
      <c r="Y97" s="14" t="s">
        <v>179</v>
      </c>
      <c r="Z97" s="14" t="s">
        <v>2968</v>
      </c>
      <c r="AA97" s="14" t="s">
        <v>179</v>
      </c>
      <c r="AB97" s="14" t="s">
        <v>2969</v>
      </c>
      <c r="AC97" s="14" t="s">
        <v>179</v>
      </c>
      <c r="AD97" s="14" t="s">
        <v>2970</v>
      </c>
      <c r="AE97" s="14" t="s">
        <v>179</v>
      </c>
      <c r="AF97" s="14" t="s">
        <v>2971</v>
      </c>
      <c r="AG97" s="14" t="s">
        <v>179</v>
      </c>
      <c r="AH97" s="14" t="s">
        <v>2972</v>
      </c>
      <c r="AI97" s="14" t="s">
        <v>179</v>
      </c>
      <c r="AJ97" s="14" t="s">
        <v>2973</v>
      </c>
      <c r="AK97" s="14" t="s">
        <v>179</v>
      </c>
      <c r="AL97" s="14" t="s">
        <v>2974</v>
      </c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6" t="s">
        <v>197</v>
      </c>
      <c r="BP97" s="17" t="s">
        <v>198</v>
      </c>
      <c r="BQ97" s="18">
        <v>45686.617743055554</v>
      </c>
      <c r="BR97" s="17" t="s">
        <v>198</v>
      </c>
      <c r="BS97" s="18">
        <v>45686.6177662037</v>
      </c>
      <c r="BT97" s="17" t="s">
        <v>198</v>
      </c>
      <c r="BU97" s="18">
        <v>45686.6177662037</v>
      </c>
      <c r="BV97" s="13" t="s">
        <v>199</v>
      </c>
      <c r="BW97" s="14" t="s">
        <v>179</v>
      </c>
      <c r="BX97" s="14" t="s">
        <v>2975</v>
      </c>
      <c r="BY97" s="14" t="s">
        <v>179</v>
      </c>
      <c r="BZ97" s="14" t="s">
        <v>2976</v>
      </c>
      <c r="CA97" s="14" t="s">
        <v>179</v>
      </c>
      <c r="CB97" s="14" t="s">
        <v>2977</v>
      </c>
      <c r="CC97" s="14" t="s">
        <v>179</v>
      </c>
      <c r="CD97" s="14" t="s">
        <v>2978</v>
      </c>
      <c r="CE97" s="14" t="s">
        <v>179</v>
      </c>
      <c r="CF97" s="14" t="s">
        <v>2979</v>
      </c>
      <c r="CG97" s="14" t="s">
        <v>179</v>
      </c>
      <c r="CH97" s="14" t="s">
        <v>2980</v>
      </c>
      <c r="CI97" s="19"/>
      <c r="CJ97" s="15"/>
      <c r="CK97" s="19"/>
      <c r="CL97" s="15"/>
      <c r="CM97" s="19"/>
      <c r="CN97" s="15"/>
      <c r="CO97" s="19"/>
      <c r="CP97" s="15"/>
      <c r="CQ97" s="15"/>
      <c r="CR97" s="15"/>
      <c r="CS97" s="19"/>
      <c r="CT97" s="15"/>
      <c r="CU97" s="19"/>
      <c r="CV97" s="15"/>
      <c r="CW97" s="19"/>
      <c r="CX97" s="15"/>
      <c r="CY97" s="19"/>
      <c r="CZ97" s="15"/>
      <c r="DA97" s="16" t="s">
        <v>197</v>
      </c>
      <c r="DB97" s="17" t="s">
        <v>198</v>
      </c>
      <c r="DC97" s="20">
        <v>45692.63329861111</v>
      </c>
      <c r="DD97" s="17" t="s">
        <v>198</v>
      </c>
      <c r="DE97" s="18">
        <v>45692.63337962963</v>
      </c>
      <c r="DF97" s="17" t="s">
        <v>198</v>
      </c>
      <c r="DG97" s="18">
        <v>45692.63337962963</v>
      </c>
      <c r="DH97" s="13" t="s">
        <v>205</v>
      </c>
      <c r="DI97" s="14" t="s">
        <v>179</v>
      </c>
      <c r="DJ97" s="14" t="s">
        <v>2981</v>
      </c>
      <c r="DK97" s="14" t="s">
        <v>179</v>
      </c>
      <c r="DL97" s="14" t="s">
        <v>2981</v>
      </c>
      <c r="DM97" s="14" t="s">
        <v>179</v>
      </c>
      <c r="DN97" s="14" t="s">
        <v>2982</v>
      </c>
      <c r="DO97" s="14" t="s">
        <v>179</v>
      </c>
      <c r="DP97" s="14" t="s">
        <v>2983</v>
      </c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6" t="s">
        <v>197</v>
      </c>
      <c r="ED97" s="17" t="s">
        <v>198</v>
      </c>
      <c r="EE97" s="18">
        <v>45720.377916666665</v>
      </c>
      <c r="EF97" s="13" t="s">
        <v>209</v>
      </c>
      <c r="EG97" s="14" t="s">
        <v>179</v>
      </c>
      <c r="EH97" s="14" t="s">
        <v>2984</v>
      </c>
      <c r="EI97" s="14" t="s">
        <v>179</v>
      </c>
      <c r="EJ97" s="14" t="s">
        <v>2984</v>
      </c>
      <c r="EK97" s="14" t="s">
        <v>179</v>
      </c>
      <c r="EL97" s="14" t="s">
        <v>2985</v>
      </c>
      <c r="EM97" s="14" t="s">
        <v>179</v>
      </c>
      <c r="EN97" s="14" t="s">
        <v>2986</v>
      </c>
      <c r="EO97" s="15"/>
      <c r="EP97" s="15"/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6" t="s">
        <v>197</v>
      </c>
      <c r="FD97" s="17" t="s">
        <v>198</v>
      </c>
      <c r="FE97" s="18">
        <v>45720.37798611111</v>
      </c>
      <c r="FF97" s="19"/>
      <c r="FG97" s="19"/>
      <c r="FH97" s="21" t="s">
        <v>197</v>
      </c>
      <c r="FI97" s="17" t="s">
        <v>214</v>
      </c>
      <c r="FJ97" s="18">
        <v>45720.37798611111</v>
      </c>
      <c r="FK97" s="14" t="s">
        <v>2986</v>
      </c>
      <c r="FL97" s="14" t="s">
        <v>2987</v>
      </c>
      <c r="FM97" s="14" t="s">
        <v>2988</v>
      </c>
      <c r="FN97" s="14" t="s">
        <v>2989</v>
      </c>
      <c r="FO97" s="14" t="s">
        <v>2990</v>
      </c>
      <c r="FP97" s="19" t="str">
        <f t="shared" si="1"/>
        <v>Base de Dados_Images/BC6512.Imagem do Equipamento-.175851.jpg</v>
      </c>
      <c r="FQ97" s="19"/>
      <c r="FR97" s="19"/>
    </row>
    <row r="98" ht="15.75" customHeight="1">
      <c r="A98" s="12" t="s">
        <v>234</v>
      </c>
      <c r="B98" s="12" t="s">
        <v>2991</v>
      </c>
      <c r="C98" s="24" t="s">
        <v>512</v>
      </c>
      <c r="D98" s="22" t="s">
        <v>2992</v>
      </c>
      <c r="E98" s="22" t="s">
        <v>2993</v>
      </c>
      <c r="F98" s="13" t="s">
        <v>178</v>
      </c>
      <c r="G98" s="14" t="s">
        <v>179</v>
      </c>
      <c r="H98" s="14" t="s">
        <v>2994</v>
      </c>
      <c r="I98" s="14" t="s">
        <v>179</v>
      </c>
      <c r="J98" s="14" t="s">
        <v>2995</v>
      </c>
      <c r="K98" s="14" t="s">
        <v>179</v>
      </c>
      <c r="L98" s="14" t="s">
        <v>2996</v>
      </c>
      <c r="M98" s="14" t="s">
        <v>179</v>
      </c>
      <c r="N98" s="14" t="s">
        <v>2997</v>
      </c>
      <c r="O98" s="14" t="s">
        <v>179</v>
      </c>
      <c r="P98" s="14" t="s">
        <v>2998</v>
      </c>
      <c r="Q98" s="14" t="s">
        <v>179</v>
      </c>
      <c r="R98" s="14" t="s">
        <v>2999</v>
      </c>
      <c r="S98" s="14" t="s">
        <v>179</v>
      </c>
      <c r="T98" s="14" t="s">
        <v>3000</v>
      </c>
      <c r="U98" s="14" t="s">
        <v>179</v>
      </c>
      <c r="V98" s="14" t="s">
        <v>3001</v>
      </c>
      <c r="W98" s="14" t="s">
        <v>179</v>
      </c>
      <c r="X98" s="14" t="s">
        <v>3002</v>
      </c>
      <c r="Y98" s="14" t="s">
        <v>179</v>
      </c>
      <c r="Z98" s="14" t="s">
        <v>3003</v>
      </c>
      <c r="AA98" s="14" t="s">
        <v>179</v>
      </c>
      <c r="AB98" s="14" t="s">
        <v>3004</v>
      </c>
      <c r="AC98" s="14" t="s">
        <v>179</v>
      </c>
      <c r="AD98" s="14" t="s">
        <v>3005</v>
      </c>
      <c r="AE98" s="14" t="s">
        <v>179</v>
      </c>
      <c r="AF98" s="14" t="s">
        <v>3006</v>
      </c>
      <c r="AG98" s="14" t="s">
        <v>179</v>
      </c>
      <c r="AH98" s="14" t="s">
        <v>3007</v>
      </c>
      <c r="AI98" s="14" t="s">
        <v>179</v>
      </c>
      <c r="AJ98" s="14" t="s">
        <v>3008</v>
      </c>
      <c r="AK98" s="14" t="s">
        <v>179</v>
      </c>
      <c r="AL98" s="14" t="s">
        <v>3009</v>
      </c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6" t="s">
        <v>197</v>
      </c>
      <c r="BP98" s="17" t="s">
        <v>198</v>
      </c>
      <c r="BQ98" s="18">
        <v>45659.457916666666</v>
      </c>
      <c r="BR98" s="17" t="s">
        <v>198</v>
      </c>
      <c r="BS98" s="18">
        <v>45659.458020833335</v>
      </c>
      <c r="BT98" s="17" t="s">
        <v>198</v>
      </c>
      <c r="BU98" s="18">
        <v>45659.458020833335</v>
      </c>
      <c r="BV98" s="13" t="s">
        <v>199</v>
      </c>
      <c r="BW98" s="14" t="s">
        <v>179</v>
      </c>
      <c r="BX98" s="14" t="s">
        <v>3010</v>
      </c>
      <c r="BY98" s="14" t="s">
        <v>179</v>
      </c>
      <c r="BZ98" s="14" t="s">
        <v>3011</v>
      </c>
      <c r="CA98" s="14" t="s">
        <v>179</v>
      </c>
      <c r="CB98" s="14" t="s">
        <v>3012</v>
      </c>
      <c r="CC98" s="14" t="s">
        <v>179</v>
      </c>
      <c r="CD98" s="14" t="s">
        <v>3013</v>
      </c>
      <c r="CE98" s="14" t="s">
        <v>179</v>
      </c>
      <c r="CF98" s="14" t="s">
        <v>3014</v>
      </c>
      <c r="CG98" s="14" t="s">
        <v>188</v>
      </c>
      <c r="CH98" s="14" t="s">
        <v>3015</v>
      </c>
      <c r="CI98" s="19"/>
      <c r="CJ98" s="15"/>
      <c r="CK98" s="19"/>
      <c r="CL98" s="15"/>
      <c r="CM98" s="19"/>
      <c r="CN98" s="15"/>
      <c r="CO98" s="19"/>
      <c r="CP98" s="15"/>
      <c r="CQ98" s="15"/>
      <c r="CR98" s="15"/>
      <c r="CS98" s="19"/>
      <c r="CT98" s="15"/>
      <c r="CU98" s="19"/>
      <c r="CV98" s="15"/>
      <c r="CW98" s="19"/>
      <c r="CX98" s="15"/>
      <c r="CY98" s="19"/>
      <c r="CZ98" s="15"/>
      <c r="DA98" s="16" t="s">
        <v>197</v>
      </c>
      <c r="DB98" s="17" t="s">
        <v>198</v>
      </c>
      <c r="DC98" s="20">
        <v>45692.63416666666</v>
      </c>
      <c r="DD98" s="17" t="s">
        <v>198</v>
      </c>
      <c r="DE98" s="18">
        <v>45692.63425925926</v>
      </c>
      <c r="DF98" s="17" t="s">
        <v>198</v>
      </c>
      <c r="DG98" s="18">
        <v>45692.63425925926</v>
      </c>
      <c r="DH98" s="13" t="s">
        <v>205</v>
      </c>
      <c r="DI98" s="14" t="s">
        <v>179</v>
      </c>
      <c r="DJ98" s="14" t="s">
        <v>3016</v>
      </c>
      <c r="DK98" s="14" t="s">
        <v>179</v>
      </c>
      <c r="DL98" s="14" t="s">
        <v>3016</v>
      </c>
      <c r="DM98" s="14" t="s">
        <v>179</v>
      </c>
      <c r="DN98" s="14" t="s">
        <v>3017</v>
      </c>
      <c r="DO98" s="14" t="s">
        <v>179</v>
      </c>
      <c r="DP98" s="14" t="s">
        <v>3017</v>
      </c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6" t="s">
        <v>197</v>
      </c>
      <c r="ED98" s="17" t="s">
        <v>198</v>
      </c>
      <c r="EE98" s="18">
        <v>45720.376979166664</v>
      </c>
      <c r="EF98" s="13" t="s">
        <v>209</v>
      </c>
      <c r="EG98" s="14" t="s">
        <v>179</v>
      </c>
      <c r="EH98" s="14" t="s">
        <v>3018</v>
      </c>
      <c r="EI98" s="14" t="s">
        <v>179</v>
      </c>
      <c r="EJ98" s="14" t="s">
        <v>3019</v>
      </c>
      <c r="EK98" s="14" t="s">
        <v>179</v>
      </c>
      <c r="EL98" s="14" t="s">
        <v>3020</v>
      </c>
      <c r="EM98" s="14" t="s">
        <v>179</v>
      </c>
      <c r="EN98" s="14" t="s">
        <v>3021</v>
      </c>
      <c r="EO98" s="15"/>
      <c r="EP98" s="15"/>
      <c r="EQ98" s="15"/>
      <c r="ER98" s="15"/>
      <c r="ES98" s="15"/>
      <c r="ET98" s="15"/>
      <c r="EU98" s="15"/>
      <c r="EV98" s="15"/>
      <c r="EW98" s="15"/>
      <c r="EX98" s="15"/>
      <c r="EY98" s="15"/>
      <c r="EZ98" s="15"/>
      <c r="FA98" s="15"/>
      <c r="FB98" s="15"/>
      <c r="FC98" s="16" t="s">
        <v>197</v>
      </c>
      <c r="FD98" s="17" t="s">
        <v>198</v>
      </c>
      <c r="FE98" s="18">
        <v>45722.390069444446</v>
      </c>
      <c r="FF98" s="19"/>
      <c r="FG98" s="19"/>
      <c r="FH98" s="21" t="s">
        <v>197</v>
      </c>
      <c r="FI98" s="17" t="s">
        <v>214</v>
      </c>
      <c r="FJ98" s="18">
        <v>45722.390069444446</v>
      </c>
      <c r="FK98" s="14" t="s">
        <v>3021</v>
      </c>
      <c r="FL98" s="14" t="s">
        <v>3022</v>
      </c>
      <c r="FM98" s="14" t="s">
        <v>3023</v>
      </c>
      <c r="FN98" s="14" t="s">
        <v>3024</v>
      </c>
      <c r="FO98" s="14" t="s">
        <v>3025</v>
      </c>
      <c r="FP98" s="19" t="str">
        <f t="shared" si="1"/>
        <v>Base de Dados_Images/BC6513.Imagem do Equipamento-.135853.jpg</v>
      </c>
      <c r="FQ98" s="19"/>
      <c r="FR98" s="19"/>
    </row>
    <row r="99" ht="15.75" customHeight="1">
      <c r="A99" s="12" t="s">
        <v>234</v>
      </c>
      <c r="B99" s="12" t="s">
        <v>2991</v>
      </c>
      <c r="C99" s="24" t="s">
        <v>512</v>
      </c>
      <c r="D99" s="22" t="s">
        <v>3026</v>
      </c>
      <c r="E99" s="22" t="s">
        <v>3027</v>
      </c>
      <c r="F99" s="13" t="s">
        <v>178</v>
      </c>
      <c r="G99" s="14" t="s">
        <v>179</v>
      </c>
      <c r="H99" s="14" t="s">
        <v>3028</v>
      </c>
      <c r="I99" s="14" t="s">
        <v>179</v>
      </c>
      <c r="J99" s="14" t="s">
        <v>3029</v>
      </c>
      <c r="K99" s="14" t="s">
        <v>179</v>
      </c>
      <c r="L99" s="14" t="s">
        <v>3030</v>
      </c>
      <c r="M99" s="14" t="s">
        <v>179</v>
      </c>
      <c r="N99" s="14" t="s">
        <v>3031</v>
      </c>
      <c r="O99" s="14" t="s">
        <v>179</v>
      </c>
      <c r="P99" s="14" t="s">
        <v>3032</v>
      </c>
      <c r="Q99" s="14" t="s">
        <v>179</v>
      </c>
      <c r="R99" s="14" t="s">
        <v>3033</v>
      </c>
      <c r="S99" s="14" t="s">
        <v>179</v>
      </c>
      <c r="T99" s="14" t="s">
        <v>3034</v>
      </c>
      <c r="U99" s="14" t="s">
        <v>179</v>
      </c>
      <c r="V99" s="14" t="s">
        <v>3035</v>
      </c>
      <c r="W99" s="14" t="s">
        <v>179</v>
      </c>
      <c r="X99" s="14" t="s">
        <v>3036</v>
      </c>
      <c r="Y99" s="14" t="s">
        <v>179</v>
      </c>
      <c r="Z99" s="14" t="s">
        <v>3037</v>
      </c>
      <c r="AA99" s="14" t="s">
        <v>179</v>
      </c>
      <c r="AB99" s="14" t="s">
        <v>3038</v>
      </c>
      <c r="AC99" s="14" t="s">
        <v>179</v>
      </c>
      <c r="AD99" s="14" t="s">
        <v>3039</v>
      </c>
      <c r="AE99" s="14" t="s">
        <v>179</v>
      </c>
      <c r="AF99" s="14" t="s">
        <v>3040</v>
      </c>
      <c r="AG99" s="14" t="s">
        <v>179</v>
      </c>
      <c r="AH99" s="14" t="s">
        <v>3041</v>
      </c>
      <c r="AI99" s="14" t="s">
        <v>179</v>
      </c>
      <c r="AJ99" s="14" t="s">
        <v>3042</v>
      </c>
      <c r="AK99" s="14" t="s">
        <v>179</v>
      </c>
      <c r="AL99" s="14" t="s">
        <v>3043</v>
      </c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6" t="s">
        <v>197</v>
      </c>
      <c r="BP99" s="17" t="s">
        <v>198</v>
      </c>
      <c r="BQ99" s="18">
        <v>45659.45868055556</v>
      </c>
      <c r="BR99" s="17" t="s">
        <v>198</v>
      </c>
      <c r="BS99" s="18">
        <v>45659.458819444444</v>
      </c>
      <c r="BT99" s="17" t="s">
        <v>198</v>
      </c>
      <c r="BU99" s="18">
        <v>45659.458819444444</v>
      </c>
      <c r="BV99" s="13" t="s">
        <v>199</v>
      </c>
      <c r="BW99" s="14" t="s">
        <v>179</v>
      </c>
      <c r="BX99" s="14" t="s">
        <v>3044</v>
      </c>
      <c r="BY99" s="14" t="s">
        <v>179</v>
      </c>
      <c r="BZ99" s="14" t="s">
        <v>3045</v>
      </c>
      <c r="CA99" s="14" t="s">
        <v>179</v>
      </c>
      <c r="CB99" s="14" t="s">
        <v>3046</v>
      </c>
      <c r="CC99" s="14" t="s">
        <v>179</v>
      </c>
      <c r="CD99" s="14" t="s">
        <v>3047</v>
      </c>
      <c r="CE99" s="14" t="s">
        <v>179</v>
      </c>
      <c r="CF99" s="14" t="s">
        <v>3048</v>
      </c>
      <c r="CG99" s="14" t="s">
        <v>188</v>
      </c>
      <c r="CH99" s="14" t="s">
        <v>3049</v>
      </c>
      <c r="CI99" s="19"/>
      <c r="CJ99" s="15"/>
      <c r="CK99" s="19"/>
      <c r="CL99" s="15"/>
      <c r="CM99" s="19"/>
      <c r="CN99" s="15"/>
      <c r="CO99" s="19"/>
      <c r="CP99" s="15"/>
      <c r="CQ99" s="15"/>
      <c r="CR99" s="15"/>
      <c r="CS99" s="19"/>
      <c r="CT99" s="15"/>
      <c r="CU99" s="19"/>
      <c r="CV99" s="15"/>
      <c r="CW99" s="19"/>
      <c r="CX99" s="15"/>
      <c r="CY99" s="19"/>
      <c r="CZ99" s="15"/>
      <c r="DA99" s="16" t="s">
        <v>197</v>
      </c>
      <c r="DB99" s="17" t="s">
        <v>198</v>
      </c>
      <c r="DC99" s="20">
        <v>45692.63438657407</v>
      </c>
      <c r="DD99" s="17" t="s">
        <v>198</v>
      </c>
      <c r="DE99" s="18">
        <v>45692.634467592594</v>
      </c>
      <c r="DF99" s="17" t="s">
        <v>198</v>
      </c>
      <c r="DG99" s="18">
        <v>45692.634467592594</v>
      </c>
      <c r="DH99" s="13" t="s">
        <v>205</v>
      </c>
      <c r="DI99" s="14" t="s">
        <v>179</v>
      </c>
      <c r="DJ99" s="14" t="s">
        <v>3050</v>
      </c>
      <c r="DK99" s="14" t="s">
        <v>179</v>
      </c>
      <c r="DL99" s="14" t="s">
        <v>3050</v>
      </c>
      <c r="DM99" s="14" t="s">
        <v>179</v>
      </c>
      <c r="DN99" s="14" t="s">
        <v>3051</v>
      </c>
      <c r="DO99" s="14" t="s">
        <v>179</v>
      </c>
      <c r="DP99" s="14" t="s">
        <v>3052</v>
      </c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6" t="s">
        <v>197</v>
      </c>
      <c r="ED99" s="17" t="s">
        <v>198</v>
      </c>
      <c r="EE99" s="18">
        <v>45720.37709490741</v>
      </c>
      <c r="EF99" s="13" t="s">
        <v>209</v>
      </c>
      <c r="EG99" s="14" t="s">
        <v>179</v>
      </c>
      <c r="EH99" s="14" t="s">
        <v>3053</v>
      </c>
      <c r="EI99" s="14" t="s">
        <v>179</v>
      </c>
      <c r="EJ99" s="14" t="s">
        <v>3054</v>
      </c>
      <c r="EK99" s="14" t="s">
        <v>179</v>
      </c>
      <c r="EL99" s="14" t="s">
        <v>3055</v>
      </c>
      <c r="EM99" s="14" t="s">
        <v>179</v>
      </c>
      <c r="EN99" s="14" t="s">
        <v>3056</v>
      </c>
      <c r="EO99" s="15"/>
      <c r="EP99" s="15"/>
      <c r="EQ99" s="15"/>
      <c r="ER99" s="15"/>
      <c r="ES99" s="15"/>
      <c r="ET99" s="15"/>
      <c r="EU99" s="15"/>
      <c r="EV99" s="15"/>
      <c r="EW99" s="15"/>
      <c r="EX99" s="15"/>
      <c r="EY99" s="15"/>
      <c r="EZ99" s="15"/>
      <c r="FA99" s="15"/>
      <c r="FB99" s="15"/>
      <c r="FC99" s="16" t="s">
        <v>197</v>
      </c>
      <c r="FD99" s="17" t="s">
        <v>198</v>
      </c>
      <c r="FE99" s="18">
        <v>45722.39016203704</v>
      </c>
      <c r="FF99" s="19"/>
      <c r="FG99" s="19"/>
      <c r="FH99" s="21" t="s">
        <v>197</v>
      </c>
      <c r="FI99" s="17" t="s">
        <v>214</v>
      </c>
      <c r="FJ99" s="18">
        <v>45722.39016203704</v>
      </c>
      <c r="FK99" s="14" t="s">
        <v>3056</v>
      </c>
      <c r="FL99" s="14" t="s">
        <v>3057</v>
      </c>
      <c r="FM99" s="14" t="s">
        <v>3058</v>
      </c>
      <c r="FN99" s="14" t="s">
        <v>3059</v>
      </c>
      <c r="FO99" s="14" t="s">
        <v>3060</v>
      </c>
      <c r="FP99" s="19" t="str">
        <f t="shared" si="1"/>
        <v>Base de Dados_Images/BC6514.Imagem do Equipamento-.140009.jpg</v>
      </c>
      <c r="FQ99" s="19"/>
      <c r="FR99" s="19"/>
    </row>
    <row r="100" ht="15.75" customHeight="1">
      <c r="A100" s="12" t="s">
        <v>234</v>
      </c>
      <c r="B100" s="12" t="s">
        <v>2956</v>
      </c>
      <c r="C100" s="24" t="s">
        <v>512</v>
      </c>
      <c r="D100" s="22" t="s">
        <v>3061</v>
      </c>
      <c r="E100" s="22" t="s">
        <v>3062</v>
      </c>
      <c r="F100" s="13" t="s">
        <v>178</v>
      </c>
      <c r="G100" s="14" t="s">
        <v>179</v>
      </c>
      <c r="H100" s="14" t="s">
        <v>3063</v>
      </c>
      <c r="I100" s="14" t="s">
        <v>179</v>
      </c>
      <c r="J100" s="14" t="s">
        <v>3064</v>
      </c>
      <c r="K100" s="14" t="s">
        <v>179</v>
      </c>
      <c r="L100" s="14" t="s">
        <v>3065</v>
      </c>
      <c r="M100" s="14" t="s">
        <v>179</v>
      </c>
      <c r="N100" s="14" t="s">
        <v>3066</v>
      </c>
      <c r="O100" s="14" t="s">
        <v>179</v>
      </c>
      <c r="P100" s="14" t="s">
        <v>3067</v>
      </c>
      <c r="Q100" s="14" t="s">
        <v>179</v>
      </c>
      <c r="R100" s="14" t="s">
        <v>3068</v>
      </c>
      <c r="S100" s="14" t="s">
        <v>179</v>
      </c>
      <c r="T100" s="14" t="s">
        <v>3069</v>
      </c>
      <c r="U100" s="14" t="s">
        <v>179</v>
      </c>
      <c r="V100" s="14" t="s">
        <v>3070</v>
      </c>
      <c r="W100" s="14" t="s">
        <v>179</v>
      </c>
      <c r="X100" s="14" t="s">
        <v>3071</v>
      </c>
      <c r="Y100" s="14" t="s">
        <v>179</v>
      </c>
      <c r="Z100" s="14" t="s">
        <v>3072</v>
      </c>
      <c r="AA100" s="14" t="s">
        <v>179</v>
      </c>
      <c r="AB100" s="14" t="s">
        <v>3073</v>
      </c>
      <c r="AC100" s="14" t="s">
        <v>179</v>
      </c>
      <c r="AD100" s="14" t="s">
        <v>3074</v>
      </c>
      <c r="AE100" s="14" t="s">
        <v>179</v>
      </c>
      <c r="AF100" s="14" t="s">
        <v>3075</v>
      </c>
      <c r="AG100" s="14" t="s">
        <v>179</v>
      </c>
      <c r="AH100" s="14" t="s">
        <v>3076</v>
      </c>
      <c r="AI100" s="14" t="s">
        <v>179</v>
      </c>
      <c r="AJ100" s="14" t="s">
        <v>3077</v>
      </c>
      <c r="AK100" s="14" t="s">
        <v>179</v>
      </c>
      <c r="AL100" s="14" t="s">
        <v>3078</v>
      </c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6" t="s">
        <v>197</v>
      </c>
      <c r="BP100" s="17" t="s">
        <v>198</v>
      </c>
      <c r="BQ100" s="18">
        <v>45686.61900462963</v>
      </c>
      <c r="BR100" s="17" t="s">
        <v>198</v>
      </c>
      <c r="BS100" s="18">
        <v>45686.619039351855</v>
      </c>
      <c r="BT100" s="17" t="s">
        <v>198</v>
      </c>
      <c r="BU100" s="18">
        <v>45686.619039351855</v>
      </c>
      <c r="BV100" s="13" t="s">
        <v>199</v>
      </c>
      <c r="BW100" s="14" t="s">
        <v>179</v>
      </c>
      <c r="BX100" s="14" t="s">
        <v>3079</v>
      </c>
      <c r="BY100" s="14" t="s">
        <v>179</v>
      </c>
      <c r="BZ100" s="14" t="s">
        <v>3080</v>
      </c>
      <c r="CA100" s="14" t="s">
        <v>179</v>
      </c>
      <c r="CB100" s="14" t="s">
        <v>3081</v>
      </c>
      <c r="CC100" s="14" t="s">
        <v>179</v>
      </c>
      <c r="CD100" s="14" t="s">
        <v>3082</v>
      </c>
      <c r="CE100" s="14" t="s">
        <v>179</v>
      </c>
      <c r="CF100" s="14" t="s">
        <v>3083</v>
      </c>
      <c r="CG100" s="14" t="s">
        <v>179</v>
      </c>
      <c r="CH100" s="14" t="s">
        <v>3084</v>
      </c>
      <c r="CI100" s="19"/>
      <c r="CJ100" s="15"/>
      <c r="CK100" s="19"/>
      <c r="CL100" s="15"/>
      <c r="CM100" s="19"/>
      <c r="CN100" s="15"/>
      <c r="CO100" s="19"/>
      <c r="CP100" s="15"/>
      <c r="CQ100" s="15"/>
      <c r="CR100" s="15"/>
      <c r="CS100" s="19"/>
      <c r="CT100" s="15"/>
      <c r="CU100" s="19"/>
      <c r="CV100" s="15"/>
      <c r="CW100" s="19"/>
      <c r="CX100" s="15"/>
      <c r="CY100" s="19"/>
      <c r="CZ100" s="15"/>
      <c r="DA100" s="16" t="s">
        <v>197</v>
      </c>
      <c r="DB100" s="17" t="s">
        <v>198</v>
      </c>
      <c r="DC100" s="20">
        <v>45692.63354166667</v>
      </c>
      <c r="DD100" s="17" t="s">
        <v>198</v>
      </c>
      <c r="DE100" s="18">
        <v>45692.63361111111</v>
      </c>
      <c r="DF100" s="17" t="s">
        <v>198</v>
      </c>
      <c r="DG100" s="18">
        <v>45692.63361111111</v>
      </c>
      <c r="DH100" s="13" t="s">
        <v>205</v>
      </c>
      <c r="DI100" s="14" t="s">
        <v>179</v>
      </c>
      <c r="DJ100" s="14" t="s">
        <v>3085</v>
      </c>
      <c r="DK100" s="14" t="s">
        <v>179</v>
      </c>
      <c r="DL100" s="14" t="s">
        <v>3086</v>
      </c>
      <c r="DM100" s="14" t="s">
        <v>179</v>
      </c>
      <c r="DN100" s="14" t="s">
        <v>3087</v>
      </c>
      <c r="DO100" s="14" t="s">
        <v>179</v>
      </c>
      <c r="DP100" s="14" t="s">
        <v>3088</v>
      </c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6" t="s">
        <v>197</v>
      </c>
      <c r="ED100" s="17" t="s">
        <v>198</v>
      </c>
      <c r="EE100" s="18">
        <v>45720.37809027778</v>
      </c>
      <c r="EF100" s="13" t="s">
        <v>209</v>
      </c>
      <c r="EG100" s="14" t="s">
        <v>179</v>
      </c>
      <c r="EH100" s="14" t="s">
        <v>3089</v>
      </c>
      <c r="EI100" s="14" t="s">
        <v>179</v>
      </c>
      <c r="EJ100" s="14" t="s">
        <v>3090</v>
      </c>
      <c r="EK100" s="14" t="s">
        <v>179</v>
      </c>
      <c r="EL100" s="14" t="s">
        <v>3091</v>
      </c>
      <c r="EM100" s="14" t="s">
        <v>179</v>
      </c>
      <c r="EN100" s="14" t="s">
        <v>3092</v>
      </c>
      <c r="EO100" s="15"/>
      <c r="EP100" s="15"/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6" t="s">
        <v>197</v>
      </c>
      <c r="FD100" s="17" t="s">
        <v>198</v>
      </c>
      <c r="FE100" s="18">
        <v>45720.37815972222</v>
      </c>
      <c r="FF100" s="19"/>
      <c r="FG100" s="19"/>
      <c r="FH100" s="21" t="s">
        <v>197</v>
      </c>
      <c r="FI100" s="17" t="s">
        <v>214</v>
      </c>
      <c r="FJ100" s="18">
        <v>45720.37815972222</v>
      </c>
      <c r="FK100" s="14" t="s">
        <v>3092</v>
      </c>
      <c r="FL100" s="14" t="s">
        <v>3093</v>
      </c>
      <c r="FM100" s="14" t="s">
        <v>3094</v>
      </c>
      <c r="FN100" s="14" t="s">
        <v>3095</v>
      </c>
      <c r="FO100" s="14" t="s">
        <v>3096</v>
      </c>
      <c r="FP100" s="19" t="str">
        <f t="shared" si="1"/>
        <v>Base de Dados_Images/BC6515.Imagem do Equipamento-.180031.jpg</v>
      </c>
      <c r="FQ100" s="19"/>
      <c r="FR100" s="19"/>
    </row>
    <row r="101" ht="15.75" customHeight="1">
      <c r="A101" s="12" t="s">
        <v>234</v>
      </c>
      <c r="B101" s="12" t="s">
        <v>2706</v>
      </c>
      <c r="C101" s="24" t="s">
        <v>512</v>
      </c>
      <c r="D101" s="12" t="s">
        <v>3097</v>
      </c>
      <c r="E101" s="12" t="s">
        <v>3098</v>
      </c>
      <c r="F101" s="13" t="s">
        <v>178</v>
      </c>
      <c r="G101" s="14" t="s">
        <v>188</v>
      </c>
      <c r="H101" s="14" t="s">
        <v>3099</v>
      </c>
      <c r="I101" s="14" t="s">
        <v>188</v>
      </c>
      <c r="J101" s="14" t="s">
        <v>3100</v>
      </c>
      <c r="K101" s="14" t="s">
        <v>188</v>
      </c>
      <c r="L101" s="14" t="s">
        <v>3101</v>
      </c>
      <c r="M101" s="14" t="s">
        <v>188</v>
      </c>
      <c r="N101" s="14" t="s">
        <v>3102</v>
      </c>
      <c r="O101" s="14" t="s">
        <v>188</v>
      </c>
      <c r="P101" s="14" t="s">
        <v>3103</v>
      </c>
      <c r="Q101" s="14" t="s">
        <v>188</v>
      </c>
      <c r="R101" s="14" t="s">
        <v>3104</v>
      </c>
      <c r="S101" s="14" t="s">
        <v>188</v>
      </c>
      <c r="T101" s="14" t="s">
        <v>3105</v>
      </c>
      <c r="U101" s="14" t="s">
        <v>188</v>
      </c>
      <c r="V101" s="14" t="s">
        <v>3106</v>
      </c>
      <c r="W101" s="14" t="s">
        <v>188</v>
      </c>
      <c r="X101" s="14" t="s">
        <v>3107</v>
      </c>
      <c r="Y101" s="14" t="s">
        <v>188</v>
      </c>
      <c r="Z101" s="14" t="s">
        <v>3107</v>
      </c>
      <c r="AA101" s="14" t="s">
        <v>188</v>
      </c>
      <c r="AB101" s="14" t="s">
        <v>3108</v>
      </c>
      <c r="AC101" s="14" t="s">
        <v>188</v>
      </c>
      <c r="AD101" s="14" t="s">
        <v>3109</v>
      </c>
      <c r="AE101" s="14" t="s">
        <v>188</v>
      </c>
      <c r="AF101" s="14" t="s">
        <v>3110</v>
      </c>
      <c r="AG101" s="14" t="s">
        <v>188</v>
      </c>
      <c r="AH101" s="14" t="s">
        <v>3110</v>
      </c>
      <c r="AI101" s="14" t="s">
        <v>188</v>
      </c>
      <c r="AJ101" s="14" t="s">
        <v>3111</v>
      </c>
      <c r="AK101" s="14" t="s">
        <v>188</v>
      </c>
      <c r="AL101" s="14" t="s">
        <v>3112</v>
      </c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7" t="s">
        <v>197</v>
      </c>
      <c r="BP101" s="17" t="s">
        <v>198</v>
      </c>
      <c r="BQ101" s="18">
        <v>45696.310590277775</v>
      </c>
      <c r="BR101" s="17" t="s">
        <v>198</v>
      </c>
      <c r="BS101" s="18">
        <v>45696.310694444444</v>
      </c>
      <c r="BT101" s="17" t="s">
        <v>198</v>
      </c>
      <c r="BU101" s="18">
        <v>45696.310694444444</v>
      </c>
      <c r="BV101" s="13" t="s">
        <v>199</v>
      </c>
      <c r="BW101" s="14" t="s">
        <v>188</v>
      </c>
      <c r="BX101" s="14" t="s">
        <v>3113</v>
      </c>
      <c r="BY101" s="14" t="s">
        <v>188</v>
      </c>
      <c r="BZ101" s="14" t="s">
        <v>3113</v>
      </c>
      <c r="CA101" s="14" t="s">
        <v>188</v>
      </c>
      <c r="CB101" s="14" t="s">
        <v>3114</v>
      </c>
      <c r="CC101" s="14" t="s">
        <v>188</v>
      </c>
      <c r="CD101" s="14" t="s">
        <v>3115</v>
      </c>
      <c r="CE101" s="14" t="s">
        <v>188</v>
      </c>
      <c r="CF101" s="14" t="s">
        <v>3116</v>
      </c>
      <c r="CG101" s="14" t="s">
        <v>188</v>
      </c>
      <c r="CH101" s="14" t="s">
        <v>3117</v>
      </c>
      <c r="CI101" s="19"/>
      <c r="CJ101" s="15"/>
      <c r="CK101" s="19"/>
      <c r="CL101" s="15"/>
      <c r="CM101" s="19"/>
      <c r="CN101" s="15"/>
      <c r="CO101" s="19"/>
      <c r="CP101" s="15"/>
      <c r="CQ101" s="15"/>
      <c r="CR101" s="15"/>
      <c r="CS101" s="19"/>
      <c r="CT101" s="15"/>
      <c r="CU101" s="19"/>
      <c r="CV101" s="15"/>
      <c r="CW101" s="19"/>
      <c r="CX101" s="15"/>
      <c r="CY101" s="19"/>
      <c r="CZ101" s="15"/>
      <c r="DA101" s="16" t="s">
        <v>197</v>
      </c>
      <c r="DB101" s="17" t="s">
        <v>198</v>
      </c>
      <c r="DC101" s="20">
        <v>45696.31079861111</v>
      </c>
      <c r="DD101" s="17" t="s">
        <v>198</v>
      </c>
      <c r="DE101" s="18">
        <v>45696.31085648148</v>
      </c>
      <c r="DF101" s="17" t="s">
        <v>198</v>
      </c>
      <c r="DG101" s="18">
        <v>45696.31085648148</v>
      </c>
      <c r="DH101" s="13" t="s">
        <v>205</v>
      </c>
      <c r="DI101" s="14" t="s">
        <v>188</v>
      </c>
      <c r="DJ101" s="14" t="s">
        <v>3118</v>
      </c>
      <c r="DK101" s="14" t="s">
        <v>188</v>
      </c>
      <c r="DL101" s="14" t="s">
        <v>3118</v>
      </c>
      <c r="DM101" s="14" t="s">
        <v>188</v>
      </c>
      <c r="DN101" s="14" t="s">
        <v>3119</v>
      </c>
      <c r="DO101" s="14" t="s">
        <v>188</v>
      </c>
      <c r="DP101" s="14" t="s">
        <v>3120</v>
      </c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6" t="s">
        <v>197</v>
      </c>
      <c r="ED101" s="17" t="s">
        <v>198</v>
      </c>
      <c r="EE101" s="18">
        <v>45696.310949074075</v>
      </c>
      <c r="EF101" s="13" t="s">
        <v>209</v>
      </c>
      <c r="EG101" s="14" t="s">
        <v>188</v>
      </c>
      <c r="EH101" s="14" t="s">
        <v>3121</v>
      </c>
      <c r="EI101" s="14" t="s">
        <v>188</v>
      </c>
      <c r="EJ101" s="14" t="s">
        <v>3122</v>
      </c>
      <c r="EK101" s="14" t="s">
        <v>188</v>
      </c>
      <c r="EL101" s="14" t="s">
        <v>3122</v>
      </c>
      <c r="EM101" s="14" t="s">
        <v>188</v>
      </c>
      <c r="EN101" s="14" t="s">
        <v>3123</v>
      </c>
      <c r="EO101" s="15"/>
      <c r="EP101" s="15"/>
      <c r="EQ101" s="15"/>
      <c r="ER101" s="15"/>
      <c r="ES101" s="15"/>
      <c r="ET101" s="15"/>
      <c r="EU101" s="15"/>
      <c r="EV101" s="15"/>
      <c r="EW101" s="15"/>
      <c r="EX101" s="15"/>
      <c r="EY101" s="15"/>
      <c r="EZ101" s="15"/>
      <c r="FA101" s="15"/>
      <c r="FB101" s="15"/>
      <c r="FC101" s="16" t="s">
        <v>197</v>
      </c>
      <c r="FD101" s="17" t="s">
        <v>198</v>
      </c>
      <c r="FE101" s="18">
        <v>45720.33075231482</v>
      </c>
      <c r="FF101" s="19"/>
      <c r="FG101" s="19"/>
      <c r="FH101" s="21" t="s">
        <v>197</v>
      </c>
      <c r="FI101" s="17" t="s">
        <v>214</v>
      </c>
      <c r="FJ101" s="18">
        <v>45720.33075231482</v>
      </c>
      <c r="FK101" s="14" t="s">
        <v>3123</v>
      </c>
      <c r="FL101" s="14" t="s">
        <v>3124</v>
      </c>
      <c r="FM101" s="14" t="s">
        <v>3125</v>
      </c>
      <c r="FN101" s="14" t="s">
        <v>3126</v>
      </c>
      <c r="FO101" s="14" t="s">
        <v>3127</v>
      </c>
      <c r="FP101" s="19" t="str">
        <f t="shared" si="1"/>
        <v>Base de Dados_Images/BC6516.Imagem do Equipamento-.180744.jpg</v>
      </c>
      <c r="FQ101" s="19"/>
      <c r="FR101" s="19"/>
    </row>
    <row r="102" ht="15.75" customHeight="1">
      <c r="A102" s="25" t="s">
        <v>234</v>
      </c>
      <c r="B102" s="25" t="s">
        <v>3128</v>
      </c>
      <c r="C102" s="24" t="s">
        <v>512</v>
      </c>
      <c r="D102" s="22" t="s">
        <v>3129</v>
      </c>
      <c r="E102" s="22" t="s">
        <v>3130</v>
      </c>
      <c r="F102" s="13" t="s">
        <v>178</v>
      </c>
      <c r="G102" s="14" t="s">
        <v>179</v>
      </c>
      <c r="H102" s="14" t="s">
        <v>3131</v>
      </c>
      <c r="I102" s="14" t="s">
        <v>179</v>
      </c>
      <c r="J102" s="14" t="s">
        <v>3132</v>
      </c>
      <c r="K102" s="14" t="s">
        <v>179</v>
      </c>
      <c r="L102" s="14" t="s">
        <v>3133</v>
      </c>
      <c r="M102" s="14" t="s">
        <v>179</v>
      </c>
      <c r="N102" s="14" t="s">
        <v>3134</v>
      </c>
      <c r="O102" s="14" t="s">
        <v>179</v>
      </c>
      <c r="P102" s="14" t="s">
        <v>3135</v>
      </c>
      <c r="Q102" s="14" t="s">
        <v>179</v>
      </c>
      <c r="R102" s="14" t="s">
        <v>3136</v>
      </c>
      <c r="S102" s="14" t="s">
        <v>179</v>
      </c>
      <c r="T102" s="14" t="s">
        <v>3137</v>
      </c>
      <c r="U102" s="14" t="s">
        <v>179</v>
      </c>
      <c r="V102" s="14" t="s">
        <v>3138</v>
      </c>
      <c r="W102" s="14" t="s">
        <v>179</v>
      </c>
      <c r="X102" s="14" t="s">
        <v>3139</v>
      </c>
      <c r="Y102" s="14" t="s">
        <v>179</v>
      </c>
      <c r="Z102" s="14" t="s">
        <v>3140</v>
      </c>
      <c r="AA102" s="14" t="s">
        <v>179</v>
      </c>
      <c r="AB102" s="14" t="s">
        <v>3141</v>
      </c>
      <c r="AC102" s="14" t="s">
        <v>179</v>
      </c>
      <c r="AD102" s="14" t="s">
        <v>3142</v>
      </c>
      <c r="AE102" s="14" t="s">
        <v>179</v>
      </c>
      <c r="AF102" s="14" t="s">
        <v>3143</v>
      </c>
      <c r="AG102" s="14" t="s">
        <v>179</v>
      </c>
      <c r="AH102" s="14" t="s">
        <v>3144</v>
      </c>
      <c r="AI102" s="14" t="s">
        <v>179</v>
      </c>
      <c r="AJ102" s="14" t="s">
        <v>3145</v>
      </c>
      <c r="AK102" s="14" t="s">
        <v>179</v>
      </c>
      <c r="AL102" s="14" t="s">
        <v>3146</v>
      </c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6" t="s">
        <v>197</v>
      </c>
      <c r="BP102" s="17" t="s">
        <v>198</v>
      </c>
      <c r="BQ102" s="18">
        <v>45691.40201388889</v>
      </c>
      <c r="BR102" s="17" t="s">
        <v>198</v>
      </c>
      <c r="BS102" s="18">
        <v>45691.402453703704</v>
      </c>
      <c r="BT102" s="17" t="s">
        <v>198</v>
      </c>
      <c r="BU102" s="18">
        <v>45691.402453703704</v>
      </c>
      <c r="BV102" s="13" t="s">
        <v>199</v>
      </c>
      <c r="BW102" s="14" t="s">
        <v>179</v>
      </c>
      <c r="BX102" s="14" t="s">
        <v>3147</v>
      </c>
      <c r="BY102" s="14" t="s">
        <v>179</v>
      </c>
      <c r="BZ102" s="14" t="s">
        <v>3148</v>
      </c>
      <c r="CA102" s="14" t="s">
        <v>179</v>
      </c>
      <c r="CB102" s="14" t="s">
        <v>3149</v>
      </c>
      <c r="CC102" s="14" t="s">
        <v>179</v>
      </c>
      <c r="CD102" s="14" t="s">
        <v>3150</v>
      </c>
      <c r="CE102" s="14" t="s">
        <v>179</v>
      </c>
      <c r="CF102" s="14" t="s">
        <v>3151</v>
      </c>
      <c r="CG102" s="14" t="s">
        <v>179</v>
      </c>
      <c r="CH102" s="14" t="s">
        <v>3152</v>
      </c>
      <c r="CI102" s="19"/>
      <c r="CJ102" s="15"/>
      <c r="CK102" s="19"/>
      <c r="CL102" s="15"/>
      <c r="CM102" s="19"/>
      <c r="CN102" s="15"/>
      <c r="CO102" s="19"/>
      <c r="CP102" s="15"/>
      <c r="CQ102" s="15"/>
      <c r="CR102" s="15"/>
      <c r="CS102" s="19"/>
      <c r="CT102" s="15"/>
      <c r="CU102" s="19"/>
      <c r="CV102" s="15"/>
      <c r="CW102" s="19"/>
      <c r="CX102" s="15"/>
      <c r="CY102" s="19"/>
      <c r="CZ102" s="15"/>
      <c r="DA102" s="16" t="s">
        <v>197</v>
      </c>
      <c r="DB102" s="17" t="s">
        <v>198</v>
      </c>
      <c r="DC102" s="20">
        <v>45713.40788194445</v>
      </c>
      <c r="DD102" s="17" t="s">
        <v>198</v>
      </c>
      <c r="DE102" s="18">
        <v>45713.40792824074</v>
      </c>
      <c r="DF102" s="17" t="s">
        <v>198</v>
      </c>
      <c r="DG102" s="18">
        <v>45713.40792824074</v>
      </c>
      <c r="DH102" s="13" t="s">
        <v>205</v>
      </c>
      <c r="DI102" s="14" t="s">
        <v>179</v>
      </c>
      <c r="DJ102" s="14" t="s">
        <v>3153</v>
      </c>
      <c r="DK102" s="14" t="s">
        <v>179</v>
      </c>
      <c r="DL102" s="14" t="s">
        <v>3154</v>
      </c>
      <c r="DM102" s="14" t="s">
        <v>179</v>
      </c>
      <c r="DN102" s="14" t="s">
        <v>3155</v>
      </c>
      <c r="DO102" s="14" t="s">
        <v>179</v>
      </c>
      <c r="DP102" s="14" t="s">
        <v>3156</v>
      </c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6" t="s">
        <v>197</v>
      </c>
      <c r="ED102" s="17" t="s">
        <v>198</v>
      </c>
      <c r="EE102" s="18">
        <v>45713.407997685186</v>
      </c>
      <c r="EF102" s="13" t="s">
        <v>209</v>
      </c>
      <c r="EG102" s="14" t="s">
        <v>179</v>
      </c>
      <c r="EH102" s="14" t="s">
        <v>3157</v>
      </c>
      <c r="EI102" s="14" t="s">
        <v>179</v>
      </c>
      <c r="EJ102" s="14" t="s">
        <v>3158</v>
      </c>
      <c r="EK102" s="14" t="s">
        <v>179</v>
      </c>
      <c r="EL102" s="14" t="s">
        <v>3159</v>
      </c>
      <c r="EM102" s="14" t="s">
        <v>179</v>
      </c>
      <c r="EN102" s="14" t="s">
        <v>3160</v>
      </c>
      <c r="EO102" s="15"/>
      <c r="EP102" s="15"/>
      <c r="EQ102" s="15"/>
      <c r="ER102" s="15"/>
      <c r="ES102" s="15"/>
      <c r="ET102" s="15"/>
      <c r="EU102" s="15"/>
      <c r="EV102" s="15"/>
      <c r="EW102" s="15"/>
      <c r="EX102" s="15"/>
      <c r="EY102" s="15"/>
      <c r="EZ102" s="15"/>
      <c r="FA102" s="15"/>
      <c r="FB102" s="15"/>
      <c r="FC102" s="16" t="s">
        <v>197</v>
      </c>
      <c r="FD102" s="17" t="s">
        <v>198</v>
      </c>
      <c r="FE102" s="18">
        <v>45720.37546296296</v>
      </c>
      <c r="FF102" s="19"/>
      <c r="FG102" s="19"/>
      <c r="FH102" s="21" t="s">
        <v>197</v>
      </c>
      <c r="FI102" s="17" t="s">
        <v>214</v>
      </c>
      <c r="FJ102" s="18">
        <v>45720.37546296296</v>
      </c>
      <c r="FK102" s="14" t="s">
        <v>3159</v>
      </c>
      <c r="FL102" s="14" t="s">
        <v>3161</v>
      </c>
      <c r="FM102" s="14" t="s">
        <v>3162</v>
      </c>
      <c r="FN102" s="14" t="s">
        <v>3163</v>
      </c>
      <c r="FO102" s="14" t="s">
        <v>3164</v>
      </c>
      <c r="FP102" s="19" t="str">
        <f t="shared" si="1"/>
        <v>Base de Dados_Images/BC6517.Imagem do Equipamento-.124950.jpg</v>
      </c>
      <c r="FQ102" s="14"/>
      <c r="FR102" s="14"/>
    </row>
    <row r="103" ht="15.75" customHeight="1">
      <c r="A103" s="12" t="s">
        <v>547</v>
      </c>
      <c r="B103" s="12" t="s">
        <v>3165</v>
      </c>
      <c r="C103" s="24" t="s">
        <v>512</v>
      </c>
      <c r="D103" s="22" t="s">
        <v>3166</v>
      </c>
      <c r="E103" s="22" t="s">
        <v>3167</v>
      </c>
      <c r="F103" s="13" t="s">
        <v>178</v>
      </c>
      <c r="G103" s="14" t="s">
        <v>179</v>
      </c>
      <c r="H103" s="14" t="s">
        <v>3168</v>
      </c>
      <c r="I103" s="14" t="s">
        <v>179</v>
      </c>
      <c r="J103" s="14" t="s">
        <v>3169</v>
      </c>
      <c r="K103" s="14" t="s">
        <v>179</v>
      </c>
      <c r="L103" s="14" t="s">
        <v>3170</v>
      </c>
      <c r="M103" s="14" t="s">
        <v>179</v>
      </c>
      <c r="N103" s="14" t="s">
        <v>3171</v>
      </c>
      <c r="O103" s="14" t="s">
        <v>179</v>
      </c>
      <c r="P103" s="14" t="s">
        <v>3172</v>
      </c>
      <c r="Q103" s="14" t="s">
        <v>179</v>
      </c>
      <c r="R103" s="14" t="s">
        <v>3173</v>
      </c>
      <c r="S103" s="14" t="s">
        <v>179</v>
      </c>
      <c r="T103" s="14" t="s">
        <v>3173</v>
      </c>
      <c r="U103" s="14" t="s">
        <v>179</v>
      </c>
      <c r="V103" s="14" t="s">
        <v>3174</v>
      </c>
      <c r="W103" s="14" t="s">
        <v>179</v>
      </c>
      <c r="X103" s="14" t="s">
        <v>3174</v>
      </c>
      <c r="Y103" s="14" t="s">
        <v>179</v>
      </c>
      <c r="Z103" s="14" t="s">
        <v>3175</v>
      </c>
      <c r="AA103" s="14" t="s">
        <v>179</v>
      </c>
      <c r="AB103" s="14" t="s">
        <v>3175</v>
      </c>
      <c r="AC103" s="14" t="s">
        <v>179</v>
      </c>
      <c r="AD103" s="14" t="s">
        <v>3176</v>
      </c>
      <c r="AE103" s="14" t="s">
        <v>179</v>
      </c>
      <c r="AF103" s="14" t="s">
        <v>3177</v>
      </c>
      <c r="AG103" s="14" t="s">
        <v>179</v>
      </c>
      <c r="AH103" s="14" t="s">
        <v>3177</v>
      </c>
      <c r="AI103" s="14" t="s">
        <v>179</v>
      </c>
      <c r="AJ103" s="14" t="s">
        <v>3178</v>
      </c>
      <c r="AK103" s="14" t="s">
        <v>179</v>
      </c>
      <c r="AL103" s="14" t="s">
        <v>3179</v>
      </c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6" t="s">
        <v>197</v>
      </c>
      <c r="BP103" s="17" t="s">
        <v>198</v>
      </c>
      <c r="BQ103" s="18">
        <v>45686.79869212963</v>
      </c>
      <c r="BR103" s="17" t="s">
        <v>198</v>
      </c>
      <c r="BS103" s="18">
        <v>45686.79891203704</v>
      </c>
      <c r="BT103" s="17" t="s">
        <v>198</v>
      </c>
      <c r="BU103" s="18">
        <v>45686.79891203704</v>
      </c>
      <c r="BV103" s="13" t="s">
        <v>199</v>
      </c>
      <c r="BW103" s="14" t="s">
        <v>179</v>
      </c>
      <c r="BX103" s="14" t="s">
        <v>3180</v>
      </c>
      <c r="BY103" s="14" t="s">
        <v>179</v>
      </c>
      <c r="BZ103" s="14" t="s">
        <v>3181</v>
      </c>
      <c r="CA103" s="14" t="s">
        <v>179</v>
      </c>
      <c r="CB103" s="14" t="s">
        <v>3182</v>
      </c>
      <c r="CC103" s="14" t="s">
        <v>179</v>
      </c>
      <c r="CD103" s="14" t="s">
        <v>3183</v>
      </c>
      <c r="CE103" s="14" t="s">
        <v>179</v>
      </c>
      <c r="CF103" s="14" t="s">
        <v>3184</v>
      </c>
      <c r="CG103" s="14" t="s">
        <v>188</v>
      </c>
      <c r="CH103" s="14" t="s">
        <v>3185</v>
      </c>
      <c r="CI103" s="19"/>
      <c r="CJ103" s="15"/>
      <c r="CK103" s="19"/>
      <c r="CL103" s="15"/>
      <c r="CM103" s="19"/>
      <c r="CN103" s="15"/>
      <c r="CO103" s="19"/>
      <c r="CP103" s="15"/>
      <c r="CQ103" s="15"/>
      <c r="CR103" s="15"/>
      <c r="CS103" s="19"/>
      <c r="CT103" s="15"/>
      <c r="CU103" s="19"/>
      <c r="CV103" s="15"/>
      <c r="CW103" s="19"/>
      <c r="CX103" s="15"/>
      <c r="CY103" s="19"/>
      <c r="CZ103" s="15"/>
      <c r="DA103" s="16" t="s">
        <v>197</v>
      </c>
      <c r="DB103" s="17" t="s">
        <v>198</v>
      </c>
      <c r="DC103" s="20">
        <v>45692.642534722225</v>
      </c>
      <c r="DD103" s="17" t="s">
        <v>198</v>
      </c>
      <c r="DE103" s="18">
        <v>45692.642604166664</v>
      </c>
      <c r="DF103" s="17" t="s">
        <v>198</v>
      </c>
      <c r="DG103" s="18">
        <v>45692.642604166664</v>
      </c>
      <c r="DH103" s="13" t="s">
        <v>205</v>
      </c>
      <c r="DI103" s="14" t="s">
        <v>179</v>
      </c>
      <c r="DJ103" s="14" t="s">
        <v>3186</v>
      </c>
      <c r="DK103" s="14" t="s">
        <v>179</v>
      </c>
      <c r="DL103" s="14" t="s">
        <v>3186</v>
      </c>
      <c r="DM103" s="14" t="s">
        <v>179</v>
      </c>
      <c r="DN103" s="14" t="s">
        <v>3187</v>
      </c>
      <c r="DO103" s="14" t="s">
        <v>179</v>
      </c>
      <c r="DP103" s="14" t="s">
        <v>3188</v>
      </c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6" t="s">
        <v>197</v>
      </c>
      <c r="ED103" s="17" t="s">
        <v>198</v>
      </c>
      <c r="EE103" s="18">
        <v>45722.620208333334</v>
      </c>
      <c r="EF103" s="13" t="s">
        <v>209</v>
      </c>
      <c r="EG103" s="14" t="s">
        <v>179</v>
      </c>
      <c r="EH103" s="14" t="s">
        <v>3189</v>
      </c>
      <c r="EI103" s="14" t="s">
        <v>179</v>
      </c>
      <c r="EJ103" s="14" t="s">
        <v>3189</v>
      </c>
      <c r="EK103" s="14" t="s">
        <v>179</v>
      </c>
      <c r="EL103" s="14" t="s">
        <v>3190</v>
      </c>
      <c r="EM103" s="14" t="s">
        <v>179</v>
      </c>
      <c r="EN103" s="14" t="s">
        <v>3190</v>
      </c>
      <c r="EO103" s="15"/>
      <c r="EP103" s="15"/>
      <c r="EQ103" s="15"/>
      <c r="ER103" s="15"/>
      <c r="ES103" s="15"/>
      <c r="ET103" s="15"/>
      <c r="EU103" s="15"/>
      <c r="EV103" s="15"/>
      <c r="EW103" s="15"/>
      <c r="EX103" s="15"/>
      <c r="EY103" s="15"/>
      <c r="EZ103" s="15"/>
      <c r="FA103" s="15"/>
      <c r="FB103" s="15"/>
      <c r="FC103" s="16" t="s">
        <v>197</v>
      </c>
      <c r="FD103" s="17" t="s">
        <v>198</v>
      </c>
      <c r="FE103" s="18">
        <v>45723.33763888889</v>
      </c>
      <c r="FF103" s="19"/>
      <c r="FG103" s="19"/>
      <c r="FH103" s="21" t="s">
        <v>197</v>
      </c>
      <c r="FI103" s="17" t="s">
        <v>214</v>
      </c>
      <c r="FJ103" s="18">
        <v>45723.33763888889</v>
      </c>
      <c r="FK103" s="14" t="s">
        <v>3190</v>
      </c>
      <c r="FL103" s="14" t="s">
        <v>3191</v>
      </c>
      <c r="FM103" s="14" t="s">
        <v>3192</v>
      </c>
      <c r="FN103" s="14" t="s">
        <v>3193</v>
      </c>
      <c r="FO103" s="14" t="s">
        <v>3194</v>
      </c>
      <c r="FP103" s="19" t="str">
        <f t="shared" si="1"/>
        <v>Base de Dados_Images/BC6518.Imagem do Equipamento-.221128.jpg</v>
      </c>
      <c r="FQ103" s="19"/>
      <c r="FR103" s="19"/>
    </row>
    <row r="104" ht="15.75" customHeight="1">
      <c r="A104" s="12" t="s">
        <v>547</v>
      </c>
      <c r="B104" s="12" t="s">
        <v>3195</v>
      </c>
      <c r="C104" s="24" t="s">
        <v>512</v>
      </c>
      <c r="D104" s="22" t="s">
        <v>3196</v>
      </c>
      <c r="E104" s="22" t="s">
        <v>3197</v>
      </c>
      <c r="F104" s="13" t="s">
        <v>178</v>
      </c>
      <c r="G104" s="14" t="s">
        <v>179</v>
      </c>
      <c r="H104" s="14" t="s">
        <v>3198</v>
      </c>
      <c r="I104" s="14" t="s">
        <v>179</v>
      </c>
      <c r="J104" s="14" t="s">
        <v>3199</v>
      </c>
      <c r="K104" s="14" t="s">
        <v>179</v>
      </c>
      <c r="L104" s="14" t="s">
        <v>3200</v>
      </c>
      <c r="M104" s="14" t="s">
        <v>179</v>
      </c>
      <c r="N104" s="14" t="s">
        <v>3201</v>
      </c>
      <c r="O104" s="14" t="s">
        <v>179</v>
      </c>
      <c r="P104" s="14" t="s">
        <v>3202</v>
      </c>
      <c r="Q104" s="14" t="s">
        <v>179</v>
      </c>
      <c r="R104" s="14" t="s">
        <v>3203</v>
      </c>
      <c r="S104" s="14" t="s">
        <v>179</v>
      </c>
      <c r="T104" s="14" t="s">
        <v>3204</v>
      </c>
      <c r="U104" s="14" t="s">
        <v>179</v>
      </c>
      <c r="V104" s="14" t="s">
        <v>3205</v>
      </c>
      <c r="W104" s="14" t="s">
        <v>179</v>
      </c>
      <c r="X104" s="14" t="s">
        <v>3206</v>
      </c>
      <c r="Y104" s="14" t="s">
        <v>188</v>
      </c>
      <c r="Z104" s="14" t="s">
        <v>3207</v>
      </c>
      <c r="AA104" s="14" t="s">
        <v>179</v>
      </c>
      <c r="AB104" s="14" t="s">
        <v>3208</v>
      </c>
      <c r="AC104" s="14" t="s">
        <v>179</v>
      </c>
      <c r="AD104" s="14" t="s">
        <v>3209</v>
      </c>
      <c r="AE104" s="14" t="s">
        <v>179</v>
      </c>
      <c r="AF104" s="14" t="s">
        <v>3210</v>
      </c>
      <c r="AG104" s="14" t="s">
        <v>179</v>
      </c>
      <c r="AH104" s="14" t="s">
        <v>3211</v>
      </c>
      <c r="AI104" s="14" t="s">
        <v>179</v>
      </c>
      <c r="AJ104" s="14" t="s">
        <v>3212</v>
      </c>
      <c r="AK104" s="14" t="s">
        <v>179</v>
      </c>
      <c r="AL104" s="14" t="s">
        <v>3213</v>
      </c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6" t="s">
        <v>197</v>
      </c>
      <c r="BP104" s="17" t="s">
        <v>198</v>
      </c>
      <c r="BQ104" s="18">
        <v>45689.59228009259</v>
      </c>
      <c r="BR104" s="17" t="s">
        <v>198</v>
      </c>
      <c r="BS104" s="18">
        <v>45689.59244212963</v>
      </c>
      <c r="BT104" s="17" t="s">
        <v>198</v>
      </c>
      <c r="BU104" s="18">
        <v>45689.59244212963</v>
      </c>
      <c r="BV104" s="13" t="s">
        <v>199</v>
      </c>
      <c r="BW104" s="14" t="s">
        <v>179</v>
      </c>
      <c r="BX104" s="14" t="s">
        <v>3214</v>
      </c>
      <c r="BY104" s="14" t="s">
        <v>179</v>
      </c>
      <c r="BZ104" s="14" t="s">
        <v>3215</v>
      </c>
      <c r="CA104" s="14" t="s">
        <v>179</v>
      </c>
      <c r="CB104" s="14" t="s">
        <v>3216</v>
      </c>
      <c r="CC104" s="14" t="s">
        <v>179</v>
      </c>
      <c r="CD104" s="14" t="s">
        <v>3217</v>
      </c>
      <c r="CE104" s="14" t="s">
        <v>179</v>
      </c>
      <c r="CF104" s="14" t="s">
        <v>3218</v>
      </c>
      <c r="CG104" s="14" t="s">
        <v>188</v>
      </c>
      <c r="CH104" s="14" t="s">
        <v>3219</v>
      </c>
      <c r="CI104" s="19"/>
      <c r="CJ104" s="15"/>
      <c r="CK104" s="19"/>
      <c r="CL104" s="15"/>
      <c r="CM104" s="19"/>
      <c r="CN104" s="15"/>
      <c r="CO104" s="19"/>
      <c r="CP104" s="15"/>
      <c r="CQ104" s="15"/>
      <c r="CR104" s="15"/>
      <c r="CS104" s="19"/>
      <c r="CT104" s="15"/>
      <c r="CU104" s="19"/>
      <c r="CV104" s="15"/>
      <c r="CW104" s="19"/>
      <c r="CX104" s="15"/>
      <c r="CY104" s="19"/>
      <c r="CZ104" s="15"/>
      <c r="DA104" s="16" t="s">
        <v>197</v>
      </c>
      <c r="DB104" s="17" t="s">
        <v>198</v>
      </c>
      <c r="DC104" s="20">
        <v>45692.64506944444</v>
      </c>
      <c r="DD104" s="17" t="s">
        <v>198</v>
      </c>
      <c r="DE104" s="18">
        <v>45692.64513888889</v>
      </c>
      <c r="DF104" s="17" t="s">
        <v>198</v>
      </c>
      <c r="DG104" s="18">
        <v>45692.64513888889</v>
      </c>
      <c r="DH104" s="13" t="s">
        <v>205</v>
      </c>
      <c r="DI104" s="14" t="s">
        <v>179</v>
      </c>
      <c r="DJ104" s="14" t="s">
        <v>3220</v>
      </c>
      <c r="DK104" s="14" t="s">
        <v>179</v>
      </c>
      <c r="DL104" s="14" t="s">
        <v>3221</v>
      </c>
      <c r="DM104" s="14" t="s">
        <v>179</v>
      </c>
      <c r="DN104" s="14" t="s">
        <v>3222</v>
      </c>
      <c r="DO104" s="14" t="s">
        <v>179</v>
      </c>
      <c r="DP104" s="14" t="s">
        <v>3223</v>
      </c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6" t="s">
        <v>197</v>
      </c>
      <c r="ED104" s="17" t="s">
        <v>198</v>
      </c>
      <c r="EE104" s="18">
        <v>45721.4949537037</v>
      </c>
      <c r="EF104" s="13" t="s">
        <v>209</v>
      </c>
      <c r="EG104" s="14" t="s">
        <v>179</v>
      </c>
      <c r="EH104" s="14" t="s">
        <v>3224</v>
      </c>
      <c r="EI104" s="14" t="s">
        <v>179</v>
      </c>
      <c r="EJ104" s="14" t="s">
        <v>3224</v>
      </c>
      <c r="EK104" s="14" t="s">
        <v>179</v>
      </c>
      <c r="EL104" s="14" t="s">
        <v>3225</v>
      </c>
      <c r="EM104" s="14" t="s">
        <v>179</v>
      </c>
      <c r="EN104" s="14" t="s">
        <v>3225</v>
      </c>
      <c r="EO104" s="15"/>
      <c r="EP104" s="15"/>
      <c r="EQ104" s="15"/>
      <c r="ER104" s="15"/>
      <c r="ES104" s="15"/>
      <c r="ET104" s="15"/>
      <c r="EU104" s="15"/>
      <c r="EV104" s="15"/>
      <c r="EW104" s="15"/>
      <c r="EX104" s="15"/>
      <c r="EY104" s="15"/>
      <c r="EZ104" s="15"/>
      <c r="FA104" s="15"/>
      <c r="FB104" s="15"/>
      <c r="FC104" s="16" t="s">
        <v>197</v>
      </c>
      <c r="FD104" s="17" t="s">
        <v>198</v>
      </c>
      <c r="FE104" s="18">
        <v>45721.49502314815</v>
      </c>
      <c r="FF104" s="19"/>
      <c r="FG104" s="19"/>
      <c r="FH104" s="21" t="s">
        <v>197</v>
      </c>
      <c r="FI104" s="17" t="s">
        <v>214</v>
      </c>
      <c r="FJ104" s="18">
        <v>45721.49502314815</v>
      </c>
      <c r="FK104" s="14" t="s">
        <v>3225</v>
      </c>
      <c r="FL104" s="14" t="s">
        <v>3226</v>
      </c>
      <c r="FM104" s="14" t="s">
        <v>3227</v>
      </c>
      <c r="FN104" s="14" t="s">
        <v>3228</v>
      </c>
      <c r="FO104" s="14" t="s">
        <v>3229</v>
      </c>
      <c r="FP104" s="19" t="str">
        <f t="shared" si="1"/>
        <v>Base de Dados_Images/BC7001.Imagem do Equipamento-.170925.jpg</v>
      </c>
      <c r="FQ104" s="19"/>
      <c r="FR104" s="19"/>
    </row>
    <row r="105" ht="15.75" customHeight="1">
      <c r="A105" s="12" t="s">
        <v>234</v>
      </c>
      <c r="B105" s="12" t="s">
        <v>3230</v>
      </c>
      <c r="C105" s="24" t="s">
        <v>512</v>
      </c>
      <c r="D105" s="22" t="s">
        <v>3231</v>
      </c>
      <c r="E105" s="22" t="s">
        <v>3232</v>
      </c>
      <c r="F105" s="13" t="s">
        <v>178</v>
      </c>
      <c r="G105" s="14" t="s">
        <v>179</v>
      </c>
      <c r="H105" s="14" t="s">
        <v>3233</v>
      </c>
      <c r="I105" s="14" t="s">
        <v>188</v>
      </c>
      <c r="J105" s="14" t="s">
        <v>3234</v>
      </c>
      <c r="K105" s="14" t="s">
        <v>179</v>
      </c>
      <c r="L105" s="14" t="s">
        <v>3235</v>
      </c>
      <c r="M105" s="14" t="s">
        <v>179</v>
      </c>
      <c r="N105" s="14" t="s">
        <v>3236</v>
      </c>
      <c r="O105" s="14" t="s">
        <v>179</v>
      </c>
      <c r="P105" s="14" t="s">
        <v>3237</v>
      </c>
      <c r="Q105" s="14" t="s">
        <v>179</v>
      </c>
      <c r="R105" s="14" t="s">
        <v>3238</v>
      </c>
      <c r="S105" s="14" t="s">
        <v>179</v>
      </c>
      <c r="T105" s="14" t="s">
        <v>3239</v>
      </c>
      <c r="U105" s="14" t="s">
        <v>179</v>
      </c>
      <c r="V105" s="14" t="s">
        <v>3240</v>
      </c>
      <c r="W105" s="14" t="s">
        <v>179</v>
      </c>
      <c r="X105" s="14" t="s">
        <v>3241</v>
      </c>
      <c r="Y105" s="14" t="s">
        <v>188</v>
      </c>
      <c r="Z105" s="14" t="s">
        <v>3242</v>
      </c>
      <c r="AA105" s="14" t="s">
        <v>179</v>
      </c>
      <c r="AB105" s="14" t="s">
        <v>3243</v>
      </c>
      <c r="AC105" s="14" t="s">
        <v>179</v>
      </c>
      <c r="AD105" s="14" t="s">
        <v>3244</v>
      </c>
      <c r="AE105" s="14" t="s">
        <v>179</v>
      </c>
      <c r="AF105" s="14" t="s">
        <v>3245</v>
      </c>
      <c r="AG105" s="14" t="s">
        <v>179</v>
      </c>
      <c r="AH105" s="14" t="s">
        <v>3246</v>
      </c>
      <c r="AI105" s="14" t="s">
        <v>179</v>
      </c>
      <c r="AJ105" s="14" t="s">
        <v>3247</v>
      </c>
      <c r="AK105" s="14" t="s">
        <v>179</v>
      </c>
      <c r="AL105" s="14" t="s">
        <v>3248</v>
      </c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6" t="s">
        <v>197</v>
      </c>
      <c r="BP105" s="17" t="s">
        <v>198</v>
      </c>
      <c r="BQ105" s="18">
        <v>45689.391226851854</v>
      </c>
      <c r="BR105" s="17" t="s">
        <v>198</v>
      </c>
      <c r="BS105" s="18">
        <v>45689.39166666667</v>
      </c>
      <c r="BT105" s="17" t="s">
        <v>198</v>
      </c>
      <c r="BU105" s="18">
        <v>45689.39166666667</v>
      </c>
      <c r="BV105" s="13" t="s">
        <v>199</v>
      </c>
      <c r="BW105" s="14" t="s">
        <v>179</v>
      </c>
      <c r="BX105" s="14" t="s">
        <v>3249</v>
      </c>
      <c r="BY105" s="14" t="s">
        <v>179</v>
      </c>
      <c r="BZ105" s="14" t="s">
        <v>3250</v>
      </c>
      <c r="CA105" s="14" t="s">
        <v>179</v>
      </c>
      <c r="CB105" s="14" t="s">
        <v>3251</v>
      </c>
      <c r="CC105" s="14" t="s">
        <v>179</v>
      </c>
      <c r="CD105" s="14" t="s">
        <v>3252</v>
      </c>
      <c r="CE105" s="14" t="s">
        <v>179</v>
      </c>
      <c r="CF105" s="14" t="s">
        <v>3253</v>
      </c>
      <c r="CG105" s="14" t="s">
        <v>188</v>
      </c>
      <c r="CH105" s="14" t="s">
        <v>3254</v>
      </c>
      <c r="CI105" s="19"/>
      <c r="CJ105" s="15"/>
      <c r="CK105" s="19"/>
      <c r="CL105" s="15"/>
      <c r="CM105" s="19"/>
      <c r="CN105" s="15"/>
      <c r="CO105" s="19"/>
      <c r="CP105" s="15"/>
      <c r="CQ105" s="15"/>
      <c r="CR105" s="15"/>
      <c r="CS105" s="19"/>
      <c r="CT105" s="15"/>
      <c r="CU105" s="19"/>
      <c r="CV105" s="15"/>
      <c r="CW105" s="19"/>
      <c r="CX105" s="15"/>
      <c r="CY105" s="19"/>
      <c r="CZ105" s="15"/>
      <c r="DA105" s="16" t="s">
        <v>197</v>
      </c>
      <c r="DB105" s="17" t="s">
        <v>198</v>
      </c>
      <c r="DC105" s="20">
        <v>45689.50202546296</v>
      </c>
      <c r="DD105" s="17" t="s">
        <v>198</v>
      </c>
      <c r="DE105" s="18">
        <v>45689.50209490741</v>
      </c>
      <c r="DF105" s="17" t="s">
        <v>198</v>
      </c>
      <c r="DG105" s="18">
        <v>45689.50209490741</v>
      </c>
      <c r="DH105" s="13" t="s">
        <v>205</v>
      </c>
      <c r="DI105" s="14" t="s">
        <v>179</v>
      </c>
      <c r="DJ105" s="14" t="s">
        <v>3255</v>
      </c>
      <c r="DK105" s="14" t="s">
        <v>179</v>
      </c>
      <c r="DL105" s="14" t="s">
        <v>3256</v>
      </c>
      <c r="DM105" s="14" t="s">
        <v>179</v>
      </c>
      <c r="DN105" s="14" t="s">
        <v>3257</v>
      </c>
      <c r="DO105" s="14" t="s">
        <v>179</v>
      </c>
      <c r="DP105" s="14" t="s">
        <v>3257</v>
      </c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6" t="s">
        <v>197</v>
      </c>
      <c r="ED105" s="17" t="s">
        <v>198</v>
      </c>
      <c r="EE105" s="18">
        <v>45720.376493055555</v>
      </c>
      <c r="EF105" s="13" t="s">
        <v>209</v>
      </c>
      <c r="EG105" s="14" t="s">
        <v>179</v>
      </c>
      <c r="EH105" s="14" t="s">
        <v>3258</v>
      </c>
      <c r="EI105" s="14" t="s">
        <v>179</v>
      </c>
      <c r="EJ105" s="14" t="s">
        <v>3259</v>
      </c>
      <c r="EK105" s="14" t="s">
        <v>179</v>
      </c>
      <c r="EL105" s="14" t="s">
        <v>3259</v>
      </c>
      <c r="EM105" s="14" t="s">
        <v>179</v>
      </c>
      <c r="EN105" s="14" t="s">
        <v>3260</v>
      </c>
      <c r="EO105" s="15"/>
      <c r="EP105" s="15"/>
      <c r="EQ105" s="15"/>
      <c r="ER105" s="15"/>
      <c r="ES105" s="15"/>
      <c r="ET105" s="15"/>
      <c r="EU105" s="15"/>
      <c r="EV105" s="15"/>
      <c r="EW105" s="15"/>
      <c r="EX105" s="15"/>
      <c r="EY105" s="15"/>
      <c r="EZ105" s="15"/>
      <c r="FA105" s="15"/>
      <c r="FB105" s="15"/>
      <c r="FC105" s="16" t="s">
        <v>197</v>
      </c>
      <c r="FD105" s="17" t="s">
        <v>198</v>
      </c>
      <c r="FE105" s="18">
        <v>45723.31317129629</v>
      </c>
      <c r="FF105" s="19"/>
      <c r="FG105" s="19"/>
      <c r="FH105" s="21" t="s">
        <v>197</v>
      </c>
      <c r="FI105" s="17" t="s">
        <v>214</v>
      </c>
      <c r="FJ105" s="18">
        <v>45723.31317129629</v>
      </c>
      <c r="FK105" s="14" t="s">
        <v>3260</v>
      </c>
      <c r="FL105" s="14" t="s">
        <v>3261</v>
      </c>
      <c r="FM105" s="14" t="s">
        <v>3262</v>
      </c>
      <c r="FN105" s="14" t="s">
        <v>3263</v>
      </c>
      <c r="FO105" s="14" t="s">
        <v>3264</v>
      </c>
      <c r="FP105" s="19" t="str">
        <f t="shared" si="1"/>
        <v>Base de Dados_Images/BC7003.Imagem do Equipamento-.122214.jpg</v>
      </c>
      <c r="FQ105" s="19"/>
      <c r="FR105" s="19"/>
    </row>
    <row r="106" ht="15.75" customHeight="1">
      <c r="A106" s="12" t="s">
        <v>547</v>
      </c>
      <c r="B106" s="12" t="s">
        <v>3195</v>
      </c>
      <c r="C106" s="24" t="s">
        <v>512</v>
      </c>
      <c r="D106" s="22" t="s">
        <v>3265</v>
      </c>
      <c r="E106" s="22" t="s">
        <v>3266</v>
      </c>
      <c r="F106" s="13" t="s">
        <v>178</v>
      </c>
      <c r="G106" s="14" t="s">
        <v>179</v>
      </c>
      <c r="H106" s="14" t="s">
        <v>3267</v>
      </c>
      <c r="I106" s="14" t="s">
        <v>179</v>
      </c>
      <c r="J106" s="14" t="s">
        <v>3268</v>
      </c>
      <c r="K106" s="14" t="s">
        <v>179</v>
      </c>
      <c r="L106" s="14" t="s">
        <v>3269</v>
      </c>
      <c r="M106" s="14" t="s">
        <v>179</v>
      </c>
      <c r="N106" s="14" t="s">
        <v>3270</v>
      </c>
      <c r="O106" s="14" t="s">
        <v>179</v>
      </c>
      <c r="P106" s="14" t="s">
        <v>3271</v>
      </c>
      <c r="Q106" s="14" t="s">
        <v>179</v>
      </c>
      <c r="R106" s="14" t="s">
        <v>3272</v>
      </c>
      <c r="S106" s="14" t="s">
        <v>179</v>
      </c>
      <c r="T106" s="14" t="s">
        <v>3273</v>
      </c>
      <c r="U106" s="14" t="s">
        <v>179</v>
      </c>
      <c r="V106" s="14" t="s">
        <v>3274</v>
      </c>
      <c r="W106" s="14" t="s">
        <v>179</v>
      </c>
      <c r="X106" s="14" t="s">
        <v>3275</v>
      </c>
      <c r="Y106" s="14" t="s">
        <v>188</v>
      </c>
      <c r="Z106" s="14" t="s">
        <v>3276</v>
      </c>
      <c r="AA106" s="14" t="s">
        <v>179</v>
      </c>
      <c r="AB106" s="14" t="s">
        <v>3277</v>
      </c>
      <c r="AC106" s="14" t="s">
        <v>179</v>
      </c>
      <c r="AD106" s="14" t="s">
        <v>3278</v>
      </c>
      <c r="AE106" s="14" t="s">
        <v>179</v>
      </c>
      <c r="AF106" s="14" t="s">
        <v>3279</v>
      </c>
      <c r="AG106" s="14" t="s">
        <v>179</v>
      </c>
      <c r="AH106" s="14" t="s">
        <v>3280</v>
      </c>
      <c r="AI106" s="14" t="s">
        <v>179</v>
      </c>
      <c r="AJ106" s="14" t="s">
        <v>3281</v>
      </c>
      <c r="AK106" s="14" t="s">
        <v>188</v>
      </c>
      <c r="AL106" s="14" t="s">
        <v>3282</v>
      </c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6" t="s">
        <v>197</v>
      </c>
      <c r="BP106" s="17" t="s">
        <v>198</v>
      </c>
      <c r="BQ106" s="18">
        <v>45689.592777777776</v>
      </c>
      <c r="BR106" s="17" t="s">
        <v>198</v>
      </c>
      <c r="BS106" s="18">
        <v>45689.609189814815</v>
      </c>
      <c r="BT106" s="17" t="s">
        <v>198</v>
      </c>
      <c r="BU106" s="18">
        <v>45689.609189814815</v>
      </c>
      <c r="BV106" s="13" t="s">
        <v>199</v>
      </c>
      <c r="BW106" s="14" t="s">
        <v>179</v>
      </c>
      <c r="BX106" s="14" t="s">
        <v>3283</v>
      </c>
      <c r="BY106" s="14" t="s">
        <v>179</v>
      </c>
      <c r="BZ106" s="14" t="s">
        <v>3284</v>
      </c>
      <c r="CA106" s="14" t="s">
        <v>179</v>
      </c>
      <c r="CB106" s="14" t="s">
        <v>3285</v>
      </c>
      <c r="CC106" s="14" t="s">
        <v>179</v>
      </c>
      <c r="CD106" s="14" t="s">
        <v>3286</v>
      </c>
      <c r="CE106" s="14" t="s">
        <v>179</v>
      </c>
      <c r="CF106" s="14" t="s">
        <v>3287</v>
      </c>
      <c r="CG106" s="14" t="s">
        <v>188</v>
      </c>
      <c r="CH106" s="14" t="s">
        <v>3288</v>
      </c>
      <c r="CI106" s="19"/>
      <c r="CJ106" s="15"/>
      <c r="CK106" s="19"/>
      <c r="CL106" s="15"/>
      <c r="CM106" s="19"/>
      <c r="CN106" s="15"/>
      <c r="CO106" s="19"/>
      <c r="CP106" s="15"/>
      <c r="CQ106" s="15"/>
      <c r="CR106" s="15"/>
      <c r="CS106" s="19"/>
      <c r="CT106" s="15"/>
      <c r="CU106" s="19"/>
      <c r="CV106" s="15"/>
      <c r="CW106" s="19"/>
      <c r="CX106" s="15"/>
      <c r="CY106" s="19"/>
      <c r="CZ106" s="15"/>
      <c r="DA106" s="16" t="s">
        <v>197</v>
      </c>
      <c r="DB106" s="17" t="s">
        <v>198</v>
      </c>
      <c r="DC106" s="20">
        <v>45692.64540509259</v>
      </c>
      <c r="DD106" s="17" t="s">
        <v>198</v>
      </c>
      <c r="DE106" s="18">
        <v>45692.64545138889</v>
      </c>
      <c r="DF106" s="17" t="s">
        <v>198</v>
      </c>
      <c r="DG106" s="18">
        <v>45692.64545138889</v>
      </c>
      <c r="DH106" s="13" t="s">
        <v>205</v>
      </c>
      <c r="DI106" s="14" t="s">
        <v>179</v>
      </c>
      <c r="DJ106" s="14" t="s">
        <v>3289</v>
      </c>
      <c r="DK106" s="14" t="s">
        <v>179</v>
      </c>
      <c r="DL106" s="14" t="s">
        <v>3289</v>
      </c>
      <c r="DM106" s="14" t="s">
        <v>179</v>
      </c>
      <c r="DN106" s="14" t="s">
        <v>3290</v>
      </c>
      <c r="DO106" s="14" t="s">
        <v>179</v>
      </c>
      <c r="DP106" s="14" t="s">
        <v>3291</v>
      </c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6" t="s">
        <v>197</v>
      </c>
      <c r="ED106" s="17" t="s">
        <v>198</v>
      </c>
      <c r="EE106" s="18">
        <v>45721.49512731482</v>
      </c>
      <c r="EF106" s="13" t="s">
        <v>209</v>
      </c>
      <c r="EG106" s="14" t="s">
        <v>179</v>
      </c>
      <c r="EH106" s="14" t="s">
        <v>3292</v>
      </c>
      <c r="EI106" s="14" t="s">
        <v>179</v>
      </c>
      <c r="EJ106" s="14" t="s">
        <v>3293</v>
      </c>
      <c r="EK106" s="14" t="s">
        <v>179</v>
      </c>
      <c r="EL106" s="14" t="s">
        <v>3294</v>
      </c>
      <c r="EM106" s="14" t="s">
        <v>179</v>
      </c>
      <c r="EN106" s="14" t="s">
        <v>3295</v>
      </c>
      <c r="EO106" s="15"/>
      <c r="EP106" s="15"/>
      <c r="EQ106" s="15"/>
      <c r="ER106" s="15"/>
      <c r="ES106" s="15"/>
      <c r="ET106" s="15"/>
      <c r="EU106" s="15"/>
      <c r="EV106" s="15"/>
      <c r="EW106" s="15"/>
      <c r="EX106" s="15"/>
      <c r="EY106" s="15"/>
      <c r="EZ106" s="15"/>
      <c r="FA106" s="15"/>
      <c r="FB106" s="15"/>
      <c r="FC106" s="16" t="s">
        <v>197</v>
      </c>
      <c r="FD106" s="17" t="s">
        <v>198</v>
      </c>
      <c r="FE106" s="18">
        <v>45721.49521990741</v>
      </c>
      <c r="FF106" s="19"/>
      <c r="FG106" s="19"/>
      <c r="FH106" s="21" t="s">
        <v>197</v>
      </c>
      <c r="FI106" s="17" t="s">
        <v>214</v>
      </c>
      <c r="FJ106" s="18">
        <v>45721.49521990741</v>
      </c>
      <c r="FK106" s="14" t="s">
        <v>3295</v>
      </c>
      <c r="FL106" s="14" t="s">
        <v>3296</v>
      </c>
      <c r="FM106" s="14" t="s">
        <v>3297</v>
      </c>
      <c r="FN106" s="14" t="s">
        <v>3298</v>
      </c>
      <c r="FO106" s="14" t="s">
        <v>3299</v>
      </c>
      <c r="FP106" s="19" t="str">
        <f t="shared" si="1"/>
        <v>Base de Dados_Images/BC7004.Imagem do Equipamento-.170659.jpg</v>
      </c>
      <c r="FQ106" s="19"/>
      <c r="FR106" s="19"/>
    </row>
    <row r="107" ht="15.75" customHeight="1">
      <c r="A107" s="12" t="s">
        <v>234</v>
      </c>
      <c r="B107" s="12" t="s">
        <v>3300</v>
      </c>
      <c r="C107" s="24" t="s">
        <v>512</v>
      </c>
      <c r="D107" s="22" t="s">
        <v>3301</v>
      </c>
      <c r="E107" s="22" t="s">
        <v>3302</v>
      </c>
      <c r="F107" s="13" t="s">
        <v>178</v>
      </c>
      <c r="G107" s="14" t="s">
        <v>179</v>
      </c>
      <c r="H107" s="14" t="s">
        <v>3303</v>
      </c>
      <c r="I107" s="14" t="s">
        <v>179</v>
      </c>
      <c r="J107" s="14" t="s">
        <v>3304</v>
      </c>
      <c r="K107" s="14" t="s">
        <v>179</v>
      </c>
      <c r="L107" s="14" t="s">
        <v>3305</v>
      </c>
      <c r="M107" s="14" t="s">
        <v>179</v>
      </c>
      <c r="N107" s="14" t="s">
        <v>3306</v>
      </c>
      <c r="O107" s="14" t="s">
        <v>179</v>
      </c>
      <c r="P107" s="14" t="s">
        <v>3307</v>
      </c>
      <c r="Q107" s="14" t="s">
        <v>179</v>
      </c>
      <c r="R107" s="14" t="s">
        <v>3308</v>
      </c>
      <c r="S107" s="14" t="s">
        <v>179</v>
      </c>
      <c r="T107" s="14" t="s">
        <v>3309</v>
      </c>
      <c r="U107" s="14" t="s">
        <v>179</v>
      </c>
      <c r="V107" s="14" t="s">
        <v>3310</v>
      </c>
      <c r="W107" s="14" t="s">
        <v>179</v>
      </c>
      <c r="X107" s="14" t="s">
        <v>3311</v>
      </c>
      <c r="Y107" s="14" t="s">
        <v>188</v>
      </c>
      <c r="Z107" s="14" t="s">
        <v>3312</v>
      </c>
      <c r="AA107" s="14" t="s">
        <v>179</v>
      </c>
      <c r="AB107" s="14" t="s">
        <v>3313</v>
      </c>
      <c r="AC107" s="14" t="s">
        <v>179</v>
      </c>
      <c r="AD107" s="14" t="s">
        <v>3314</v>
      </c>
      <c r="AE107" s="14" t="s">
        <v>179</v>
      </c>
      <c r="AF107" s="14" t="s">
        <v>3315</v>
      </c>
      <c r="AG107" s="14" t="s">
        <v>179</v>
      </c>
      <c r="AH107" s="14" t="s">
        <v>3316</v>
      </c>
      <c r="AI107" s="14" t="s">
        <v>179</v>
      </c>
      <c r="AJ107" s="14" t="s">
        <v>3317</v>
      </c>
      <c r="AK107" s="14" t="s">
        <v>179</v>
      </c>
      <c r="AL107" s="14" t="s">
        <v>3318</v>
      </c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6" t="s">
        <v>197</v>
      </c>
      <c r="BP107" s="17" t="s">
        <v>198</v>
      </c>
      <c r="BQ107" s="18">
        <v>45689.39934027778</v>
      </c>
      <c r="BR107" s="17" t="s">
        <v>198</v>
      </c>
      <c r="BS107" s="18">
        <v>45689.39962962963</v>
      </c>
      <c r="BT107" s="17" t="s">
        <v>198</v>
      </c>
      <c r="BU107" s="18">
        <v>45689.39962962963</v>
      </c>
      <c r="BV107" s="13" t="s">
        <v>199</v>
      </c>
      <c r="BW107" s="14" t="s">
        <v>179</v>
      </c>
      <c r="BX107" s="14" t="s">
        <v>3319</v>
      </c>
      <c r="BY107" s="14" t="s">
        <v>179</v>
      </c>
      <c r="BZ107" s="14" t="s">
        <v>3320</v>
      </c>
      <c r="CA107" s="14" t="s">
        <v>179</v>
      </c>
      <c r="CB107" s="14" t="s">
        <v>3321</v>
      </c>
      <c r="CC107" s="14" t="s">
        <v>179</v>
      </c>
      <c r="CD107" s="14" t="s">
        <v>3322</v>
      </c>
      <c r="CE107" s="14" t="s">
        <v>179</v>
      </c>
      <c r="CF107" s="14" t="s">
        <v>3323</v>
      </c>
      <c r="CG107" s="14" t="s">
        <v>188</v>
      </c>
      <c r="CH107" s="14" t="s">
        <v>3324</v>
      </c>
      <c r="CI107" s="19"/>
      <c r="CJ107" s="15"/>
      <c r="CK107" s="19"/>
      <c r="CL107" s="15"/>
      <c r="CM107" s="19"/>
      <c r="CN107" s="15"/>
      <c r="CO107" s="19"/>
      <c r="CP107" s="15"/>
      <c r="CQ107" s="15"/>
      <c r="CR107" s="15"/>
      <c r="CS107" s="19"/>
      <c r="CT107" s="15"/>
      <c r="CU107" s="19"/>
      <c r="CV107" s="15"/>
      <c r="CW107" s="19"/>
      <c r="CX107" s="15"/>
      <c r="CY107" s="19"/>
      <c r="CZ107" s="15"/>
      <c r="DA107" s="16" t="s">
        <v>197</v>
      </c>
      <c r="DB107" s="17" t="s">
        <v>198</v>
      </c>
      <c r="DC107" s="20">
        <v>45689.50047453704</v>
      </c>
      <c r="DD107" s="17" t="s">
        <v>198</v>
      </c>
      <c r="DE107" s="18">
        <v>45689.500555555554</v>
      </c>
      <c r="DF107" s="17" t="s">
        <v>198</v>
      </c>
      <c r="DG107" s="18">
        <v>45689.500555555554</v>
      </c>
      <c r="DH107" s="13" t="s">
        <v>205</v>
      </c>
      <c r="DI107" s="14" t="s">
        <v>179</v>
      </c>
      <c r="DJ107" s="14" t="s">
        <v>3325</v>
      </c>
      <c r="DK107" s="14" t="s">
        <v>179</v>
      </c>
      <c r="DL107" s="14" t="s">
        <v>3326</v>
      </c>
      <c r="DM107" s="14" t="s">
        <v>179</v>
      </c>
      <c r="DN107" s="14" t="s">
        <v>3327</v>
      </c>
      <c r="DO107" s="14" t="s">
        <v>179</v>
      </c>
      <c r="DP107" s="14" t="s">
        <v>3328</v>
      </c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6" t="s">
        <v>197</v>
      </c>
      <c r="ED107" s="17" t="s">
        <v>198</v>
      </c>
      <c r="EE107" s="18">
        <v>45692.63601851852</v>
      </c>
      <c r="EF107" s="13" t="s">
        <v>209</v>
      </c>
      <c r="EG107" s="14" t="s">
        <v>179</v>
      </c>
      <c r="EH107" s="14" t="s">
        <v>3329</v>
      </c>
      <c r="EI107" s="14" t="s">
        <v>179</v>
      </c>
      <c r="EJ107" s="14" t="s">
        <v>3330</v>
      </c>
      <c r="EK107" s="14" t="s">
        <v>179</v>
      </c>
      <c r="EL107" s="14" t="s">
        <v>3331</v>
      </c>
      <c r="EM107" s="14" t="s">
        <v>179</v>
      </c>
      <c r="EN107" s="14" t="s">
        <v>3332</v>
      </c>
      <c r="EO107" s="15"/>
      <c r="EP107" s="15"/>
      <c r="EQ107" s="15"/>
      <c r="ER107" s="15"/>
      <c r="ES107" s="15"/>
      <c r="ET107" s="15"/>
      <c r="EU107" s="15"/>
      <c r="EV107" s="15"/>
      <c r="EW107" s="15"/>
      <c r="EX107" s="15"/>
      <c r="EY107" s="15"/>
      <c r="EZ107" s="15"/>
      <c r="FA107" s="15"/>
      <c r="FB107" s="15"/>
      <c r="FC107" s="16" t="s">
        <v>197</v>
      </c>
      <c r="FD107" s="17" t="s">
        <v>198</v>
      </c>
      <c r="FE107" s="18">
        <v>45723.314247685186</v>
      </c>
      <c r="FF107" s="19"/>
      <c r="FG107" s="19"/>
      <c r="FH107" s="21" t="s">
        <v>197</v>
      </c>
      <c r="FI107" s="17" t="s">
        <v>214</v>
      </c>
      <c r="FJ107" s="18">
        <v>45723.314247685186</v>
      </c>
      <c r="FK107" s="14" t="s">
        <v>3332</v>
      </c>
      <c r="FL107" s="14" t="s">
        <v>3333</v>
      </c>
      <c r="FM107" s="14" t="s">
        <v>3334</v>
      </c>
      <c r="FN107" s="14" t="s">
        <v>3335</v>
      </c>
      <c r="FO107" s="14" t="s">
        <v>3336</v>
      </c>
      <c r="FP107" s="19" t="str">
        <f t="shared" si="1"/>
        <v>Base de Dados_Images/BC7005.Imagem do Equipamento-.123436.jpg</v>
      </c>
      <c r="FQ107" s="19"/>
      <c r="FR107" s="19"/>
    </row>
    <row r="108" ht="15.75" customHeight="1">
      <c r="A108" s="12" t="s">
        <v>547</v>
      </c>
      <c r="B108" s="12" t="s">
        <v>3337</v>
      </c>
      <c r="C108" s="24" t="s">
        <v>512</v>
      </c>
      <c r="D108" s="22" t="s">
        <v>3338</v>
      </c>
      <c r="E108" s="22" t="s">
        <v>3339</v>
      </c>
      <c r="F108" s="13" t="s">
        <v>178</v>
      </c>
      <c r="G108" s="14" t="s">
        <v>179</v>
      </c>
      <c r="H108" s="14" t="s">
        <v>3340</v>
      </c>
      <c r="I108" s="14" t="s">
        <v>179</v>
      </c>
      <c r="J108" s="14" t="s">
        <v>3341</v>
      </c>
      <c r="K108" s="14" t="s">
        <v>179</v>
      </c>
      <c r="L108" s="14" t="s">
        <v>3342</v>
      </c>
      <c r="M108" s="14" t="s">
        <v>179</v>
      </c>
      <c r="N108" s="14" t="s">
        <v>3343</v>
      </c>
      <c r="O108" s="14" t="s">
        <v>179</v>
      </c>
      <c r="P108" s="14" t="s">
        <v>3344</v>
      </c>
      <c r="Q108" s="14" t="s">
        <v>179</v>
      </c>
      <c r="R108" s="14" t="s">
        <v>3345</v>
      </c>
      <c r="S108" s="14" t="s">
        <v>179</v>
      </c>
      <c r="T108" s="14" t="s">
        <v>3346</v>
      </c>
      <c r="U108" s="14" t="s">
        <v>179</v>
      </c>
      <c r="V108" s="14" t="s">
        <v>3347</v>
      </c>
      <c r="W108" s="14" t="s">
        <v>179</v>
      </c>
      <c r="X108" s="14" t="s">
        <v>3348</v>
      </c>
      <c r="Y108" s="14" t="s">
        <v>188</v>
      </c>
      <c r="Z108" s="14" t="s">
        <v>3349</v>
      </c>
      <c r="AA108" s="14" t="s">
        <v>179</v>
      </c>
      <c r="AB108" s="14" t="s">
        <v>3350</v>
      </c>
      <c r="AC108" s="14" t="s">
        <v>179</v>
      </c>
      <c r="AD108" s="14" t="s">
        <v>3351</v>
      </c>
      <c r="AE108" s="14" t="s">
        <v>179</v>
      </c>
      <c r="AF108" s="14" t="s">
        <v>3352</v>
      </c>
      <c r="AG108" s="14" t="s">
        <v>179</v>
      </c>
      <c r="AH108" s="14" t="s">
        <v>3353</v>
      </c>
      <c r="AI108" s="14" t="s">
        <v>179</v>
      </c>
      <c r="AJ108" s="14" t="s">
        <v>3354</v>
      </c>
      <c r="AK108" s="14" t="s">
        <v>179</v>
      </c>
      <c r="AL108" s="14" t="s">
        <v>3355</v>
      </c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6" t="s">
        <v>197</v>
      </c>
      <c r="BP108" s="17" t="s">
        <v>198</v>
      </c>
      <c r="BQ108" s="18">
        <v>45689.40144675926</v>
      </c>
      <c r="BR108" s="17" t="s">
        <v>198</v>
      </c>
      <c r="BS108" s="18">
        <v>45689.40167824074</v>
      </c>
      <c r="BT108" s="17" t="s">
        <v>198</v>
      </c>
      <c r="BU108" s="18">
        <v>45689.40167824074</v>
      </c>
      <c r="BV108" s="13" t="s">
        <v>199</v>
      </c>
      <c r="BW108" s="14" t="s">
        <v>179</v>
      </c>
      <c r="BX108" s="14" t="s">
        <v>3356</v>
      </c>
      <c r="BY108" s="14" t="s">
        <v>179</v>
      </c>
      <c r="BZ108" s="14" t="s">
        <v>3357</v>
      </c>
      <c r="CA108" s="14" t="s">
        <v>179</v>
      </c>
      <c r="CB108" s="14" t="s">
        <v>3358</v>
      </c>
      <c r="CC108" s="14" t="s">
        <v>179</v>
      </c>
      <c r="CD108" s="14" t="s">
        <v>3359</v>
      </c>
      <c r="CE108" s="14" t="s">
        <v>179</v>
      </c>
      <c r="CF108" s="14" t="s">
        <v>3360</v>
      </c>
      <c r="CG108" s="14" t="s">
        <v>188</v>
      </c>
      <c r="CH108" s="14" t="s">
        <v>3361</v>
      </c>
      <c r="CI108" s="19"/>
      <c r="CJ108" s="15"/>
      <c r="CK108" s="19"/>
      <c r="CL108" s="15"/>
      <c r="CM108" s="19"/>
      <c r="CN108" s="15"/>
      <c r="CO108" s="19"/>
      <c r="CP108" s="15"/>
      <c r="CQ108" s="15"/>
      <c r="CR108" s="15"/>
      <c r="CS108" s="19"/>
      <c r="CT108" s="15"/>
      <c r="CU108" s="19"/>
      <c r="CV108" s="15"/>
      <c r="CW108" s="19"/>
      <c r="CX108" s="15"/>
      <c r="CY108" s="19"/>
      <c r="CZ108" s="15"/>
      <c r="DA108" s="16" t="s">
        <v>197</v>
      </c>
      <c r="DB108" s="17" t="s">
        <v>198</v>
      </c>
      <c r="DC108" s="20">
        <v>45692.646585648145</v>
      </c>
      <c r="DD108" s="17" t="s">
        <v>198</v>
      </c>
      <c r="DE108" s="18">
        <v>45692.64666666667</v>
      </c>
      <c r="DF108" s="17" t="s">
        <v>198</v>
      </c>
      <c r="DG108" s="18">
        <v>45692.64666666667</v>
      </c>
      <c r="DH108" s="13" t="s">
        <v>205</v>
      </c>
      <c r="DI108" s="14" t="s">
        <v>179</v>
      </c>
      <c r="DJ108" s="14" t="s">
        <v>3362</v>
      </c>
      <c r="DK108" s="14" t="s">
        <v>179</v>
      </c>
      <c r="DL108" s="14" t="s">
        <v>3363</v>
      </c>
      <c r="DM108" s="14" t="s">
        <v>179</v>
      </c>
      <c r="DN108" s="14" t="s">
        <v>3364</v>
      </c>
      <c r="DO108" s="14" t="s">
        <v>179</v>
      </c>
      <c r="DP108" s="14" t="s">
        <v>3365</v>
      </c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6" t="s">
        <v>197</v>
      </c>
      <c r="ED108" s="17" t="s">
        <v>198</v>
      </c>
      <c r="EE108" s="18">
        <v>45721.32017361111</v>
      </c>
      <c r="EF108" s="13" t="s">
        <v>209</v>
      </c>
      <c r="EG108" s="14" t="s">
        <v>179</v>
      </c>
      <c r="EH108" s="14" t="s">
        <v>3366</v>
      </c>
      <c r="EI108" s="14" t="s">
        <v>179</v>
      </c>
      <c r="EJ108" s="14" t="s">
        <v>3366</v>
      </c>
      <c r="EK108" s="14" t="s">
        <v>179</v>
      </c>
      <c r="EL108" s="14" t="s">
        <v>3367</v>
      </c>
      <c r="EM108" s="14" t="s">
        <v>179</v>
      </c>
      <c r="EN108" s="14" t="s">
        <v>3368</v>
      </c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5"/>
      <c r="EZ108" s="15"/>
      <c r="FA108" s="15"/>
      <c r="FB108" s="15"/>
      <c r="FC108" s="16" t="s">
        <v>197</v>
      </c>
      <c r="FD108" s="17" t="s">
        <v>198</v>
      </c>
      <c r="FE108" s="18">
        <v>45721.32025462963</v>
      </c>
      <c r="FF108" s="19"/>
      <c r="FG108" s="19"/>
      <c r="FH108" s="21" t="s">
        <v>197</v>
      </c>
      <c r="FI108" s="17" t="s">
        <v>214</v>
      </c>
      <c r="FJ108" s="18">
        <v>45721.32025462963</v>
      </c>
      <c r="FK108" s="14" t="s">
        <v>3368</v>
      </c>
      <c r="FL108" s="14" t="s">
        <v>3369</v>
      </c>
      <c r="FM108" s="14" t="s">
        <v>3370</v>
      </c>
      <c r="FN108" s="14" t="s">
        <v>3371</v>
      </c>
      <c r="FO108" s="14" t="s">
        <v>3372</v>
      </c>
      <c r="FP108" s="19" t="str">
        <f t="shared" si="1"/>
        <v>Base de Dados_Images/BC7006.Imagem do Equipamento-.123738.jpg</v>
      </c>
      <c r="FQ108" s="19"/>
      <c r="FR108" s="19"/>
    </row>
    <row r="109" ht="15.75" customHeight="1">
      <c r="A109" s="12" t="s">
        <v>547</v>
      </c>
      <c r="B109" s="12" t="s">
        <v>3373</v>
      </c>
      <c r="C109" s="24" t="s">
        <v>512</v>
      </c>
      <c r="D109" s="22" t="s">
        <v>3374</v>
      </c>
      <c r="E109" s="22" t="s">
        <v>3375</v>
      </c>
      <c r="F109" s="13" t="s">
        <v>178</v>
      </c>
      <c r="G109" s="14" t="s">
        <v>179</v>
      </c>
      <c r="H109" s="14" t="s">
        <v>3376</v>
      </c>
      <c r="I109" s="14" t="s">
        <v>179</v>
      </c>
      <c r="J109" s="14" t="s">
        <v>3377</v>
      </c>
      <c r="K109" s="14" t="s">
        <v>179</v>
      </c>
      <c r="L109" s="14" t="s">
        <v>3378</v>
      </c>
      <c r="M109" s="14" t="s">
        <v>179</v>
      </c>
      <c r="N109" s="14" t="s">
        <v>3379</v>
      </c>
      <c r="O109" s="14" t="s">
        <v>179</v>
      </c>
      <c r="P109" s="14" t="s">
        <v>3380</v>
      </c>
      <c r="Q109" s="14" t="s">
        <v>179</v>
      </c>
      <c r="R109" s="14" t="s">
        <v>3381</v>
      </c>
      <c r="S109" s="14" t="s">
        <v>179</v>
      </c>
      <c r="T109" s="14" t="s">
        <v>3382</v>
      </c>
      <c r="U109" s="14" t="s">
        <v>179</v>
      </c>
      <c r="V109" s="14" t="s">
        <v>3383</v>
      </c>
      <c r="W109" s="14" t="s">
        <v>179</v>
      </c>
      <c r="X109" s="14" t="s">
        <v>3384</v>
      </c>
      <c r="Y109" s="14" t="s">
        <v>179</v>
      </c>
      <c r="Z109" s="14" t="s">
        <v>3385</v>
      </c>
      <c r="AA109" s="14" t="s">
        <v>179</v>
      </c>
      <c r="AB109" s="14" t="s">
        <v>3386</v>
      </c>
      <c r="AC109" s="14" t="s">
        <v>179</v>
      </c>
      <c r="AD109" s="14" t="s">
        <v>3387</v>
      </c>
      <c r="AE109" s="14" t="s">
        <v>179</v>
      </c>
      <c r="AF109" s="14" t="s">
        <v>3388</v>
      </c>
      <c r="AG109" s="14" t="s">
        <v>179</v>
      </c>
      <c r="AH109" s="14" t="s">
        <v>3389</v>
      </c>
      <c r="AI109" s="14" t="s">
        <v>179</v>
      </c>
      <c r="AJ109" s="14" t="s">
        <v>3390</v>
      </c>
      <c r="AK109" s="14" t="s">
        <v>179</v>
      </c>
      <c r="AL109" s="14" t="s">
        <v>3391</v>
      </c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7" t="s">
        <v>197</v>
      </c>
      <c r="BP109" s="17" t="s">
        <v>198</v>
      </c>
      <c r="BQ109" s="18">
        <v>45678.50256944444</v>
      </c>
      <c r="BR109" s="17" t="s">
        <v>198</v>
      </c>
      <c r="BS109" s="18">
        <v>45688.503958333335</v>
      </c>
      <c r="BT109" s="17" t="s">
        <v>198</v>
      </c>
      <c r="BU109" s="18">
        <v>45688.503958333335</v>
      </c>
      <c r="BV109" s="13" t="s">
        <v>199</v>
      </c>
      <c r="BW109" s="14" t="s">
        <v>179</v>
      </c>
      <c r="BX109" s="14" t="s">
        <v>3392</v>
      </c>
      <c r="BY109" s="14" t="s">
        <v>179</v>
      </c>
      <c r="BZ109" s="14" t="s">
        <v>3393</v>
      </c>
      <c r="CA109" s="14" t="s">
        <v>179</v>
      </c>
      <c r="CB109" s="14" t="s">
        <v>3394</v>
      </c>
      <c r="CC109" s="14" t="s">
        <v>179</v>
      </c>
      <c r="CD109" s="14" t="s">
        <v>3395</v>
      </c>
      <c r="CE109" s="14" t="s">
        <v>179</v>
      </c>
      <c r="CF109" s="14" t="s">
        <v>3396</v>
      </c>
      <c r="CG109" s="14" t="s">
        <v>188</v>
      </c>
      <c r="CH109" s="14" t="s">
        <v>3397</v>
      </c>
      <c r="CI109" s="19"/>
      <c r="CJ109" s="15"/>
      <c r="CK109" s="19"/>
      <c r="CL109" s="15"/>
      <c r="CM109" s="19"/>
      <c r="CN109" s="15"/>
      <c r="CO109" s="19"/>
      <c r="CP109" s="15"/>
      <c r="CQ109" s="15"/>
      <c r="CR109" s="15"/>
      <c r="CS109" s="19"/>
      <c r="CT109" s="15"/>
      <c r="CU109" s="19"/>
      <c r="CV109" s="15"/>
      <c r="CW109" s="19"/>
      <c r="CX109" s="15"/>
      <c r="CY109" s="19"/>
      <c r="CZ109" s="15"/>
      <c r="DA109" s="16" t="s">
        <v>197</v>
      </c>
      <c r="DB109" s="17" t="s">
        <v>198</v>
      </c>
      <c r="DC109" s="20">
        <v>45692.64462962963</v>
      </c>
      <c r="DD109" s="17" t="s">
        <v>198</v>
      </c>
      <c r="DE109" s="18">
        <v>45692.64472222222</v>
      </c>
      <c r="DF109" s="17" t="s">
        <v>198</v>
      </c>
      <c r="DG109" s="18">
        <v>45692.64472222222</v>
      </c>
      <c r="DH109" s="13" t="s">
        <v>205</v>
      </c>
      <c r="DI109" s="14" t="s">
        <v>179</v>
      </c>
      <c r="DJ109" s="14" t="s">
        <v>3398</v>
      </c>
      <c r="DK109" s="14" t="s">
        <v>179</v>
      </c>
      <c r="DL109" s="14" t="s">
        <v>3399</v>
      </c>
      <c r="DM109" s="14" t="s">
        <v>179</v>
      </c>
      <c r="DN109" s="14" t="s">
        <v>3400</v>
      </c>
      <c r="DO109" s="14" t="s">
        <v>179</v>
      </c>
      <c r="DP109" s="14" t="s">
        <v>3401</v>
      </c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6" t="s">
        <v>197</v>
      </c>
      <c r="ED109" s="17" t="s">
        <v>198</v>
      </c>
      <c r="EE109" s="18">
        <v>45707.696493055555</v>
      </c>
      <c r="EF109" s="13" t="s">
        <v>209</v>
      </c>
      <c r="EG109" s="14" t="s">
        <v>179</v>
      </c>
      <c r="EH109" s="14" t="s">
        <v>3402</v>
      </c>
      <c r="EI109" s="14" t="s">
        <v>179</v>
      </c>
      <c r="EJ109" s="14" t="s">
        <v>3403</v>
      </c>
      <c r="EK109" s="14" t="s">
        <v>179</v>
      </c>
      <c r="EL109" s="14" t="s">
        <v>3404</v>
      </c>
      <c r="EM109" s="14" t="s">
        <v>179</v>
      </c>
      <c r="EN109" s="14" t="s">
        <v>3405</v>
      </c>
      <c r="EO109" s="15"/>
      <c r="EP109" s="15"/>
      <c r="EQ109" s="15"/>
      <c r="ER109" s="15"/>
      <c r="ES109" s="15"/>
      <c r="ET109" s="15"/>
      <c r="EU109" s="15"/>
      <c r="EV109" s="15"/>
      <c r="EW109" s="15"/>
      <c r="EX109" s="15"/>
      <c r="EY109" s="15"/>
      <c r="EZ109" s="15"/>
      <c r="FA109" s="15"/>
      <c r="FB109" s="15"/>
      <c r="FC109" s="16" t="s">
        <v>197</v>
      </c>
      <c r="FD109" s="17" t="s">
        <v>198</v>
      </c>
      <c r="FE109" s="18">
        <v>45723.339108796295</v>
      </c>
      <c r="FF109" s="19"/>
      <c r="FG109" s="19"/>
      <c r="FH109" s="21" t="s">
        <v>197</v>
      </c>
      <c r="FI109" s="17" t="s">
        <v>214</v>
      </c>
      <c r="FJ109" s="18">
        <v>45723.339108796295</v>
      </c>
      <c r="FK109" s="14" t="s">
        <v>3405</v>
      </c>
      <c r="FL109" s="14" t="s">
        <v>3406</v>
      </c>
      <c r="FM109" s="14" t="s">
        <v>3407</v>
      </c>
      <c r="FN109" s="14" t="s">
        <v>3408</v>
      </c>
      <c r="FO109" s="14" t="s">
        <v>3409</v>
      </c>
      <c r="FP109" s="19" t="str">
        <f t="shared" si="1"/>
        <v>Base de Dados_Images/BC7101.Imagem do Equipamento-.181334.jpg</v>
      </c>
      <c r="FQ109" s="19"/>
      <c r="FR109" s="19"/>
    </row>
    <row r="110" ht="15.75" customHeight="1">
      <c r="A110" s="12" t="s">
        <v>547</v>
      </c>
      <c r="B110" s="12" t="s">
        <v>3410</v>
      </c>
      <c r="C110" s="24" t="s">
        <v>512</v>
      </c>
      <c r="D110" s="22" t="s">
        <v>3411</v>
      </c>
      <c r="E110" s="22" t="s">
        <v>3412</v>
      </c>
      <c r="F110" s="13" t="s">
        <v>178</v>
      </c>
      <c r="G110" s="14" t="s">
        <v>179</v>
      </c>
      <c r="H110" s="14" t="s">
        <v>3413</v>
      </c>
      <c r="I110" s="14" t="s">
        <v>179</v>
      </c>
      <c r="J110" s="14" t="s">
        <v>3414</v>
      </c>
      <c r="K110" s="14" t="s">
        <v>179</v>
      </c>
      <c r="L110" s="14" t="s">
        <v>3415</v>
      </c>
      <c r="M110" s="14" t="s">
        <v>179</v>
      </c>
      <c r="N110" s="14" t="s">
        <v>3416</v>
      </c>
      <c r="O110" s="14" t="s">
        <v>179</v>
      </c>
      <c r="P110" s="14" t="s">
        <v>3417</v>
      </c>
      <c r="Q110" s="14" t="s">
        <v>179</v>
      </c>
      <c r="R110" s="14" t="s">
        <v>3418</v>
      </c>
      <c r="S110" s="14" t="s">
        <v>179</v>
      </c>
      <c r="T110" s="14" t="s">
        <v>3419</v>
      </c>
      <c r="U110" s="14" t="s">
        <v>179</v>
      </c>
      <c r="V110" s="14" t="s">
        <v>3420</v>
      </c>
      <c r="W110" s="14" t="s">
        <v>179</v>
      </c>
      <c r="X110" s="14" t="s">
        <v>3421</v>
      </c>
      <c r="Y110" s="14" t="s">
        <v>179</v>
      </c>
      <c r="Z110" s="14" t="s">
        <v>3422</v>
      </c>
      <c r="AA110" s="14" t="s">
        <v>179</v>
      </c>
      <c r="AB110" s="14" t="s">
        <v>3423</v>
      </c>
      <c r="AC110" s="14" t="s">
        <v>179</v>
      </c>
      <c r="AD110" s="14" t="s">
        <v>3424</v>
      </c>
      <c r="AE110" s="14" t="s">
        <v>179</v>
      </c>
      <c r="AF110" s="14" t="s">
        <v>3425</v>
      </c>
      <c r="AG110" s="14" t="s">
        <v>179</v>
      </c>
      <c r="AH110" s="14" t="s">
        <v>3426</v>
      </c>
      <c r="AI110" s="14" t="s">
        <v>179</v>
      </c>
      <c r="AJ110" s="14" t="s">
        <v>3427</v>
      </c>
      <c r="AK110" s="14" t="s">
        <v>179</v>
      </c>
      <c r="AL110" s="14" t="s">
        <v>3428</v>
      </c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7" t="s">
        <v>197</v>
      </c>
      <c r="BP110" s="17" t="s">
        <v>198</v>
      </c>
      <c r="BQ110" s="18">
        <v>45678.505266203705</v>
      </c>
      <c r="BR110" s="17" t="s">
        <v>198</v>
      </c>
      <c r="BS110" s="18">
        <v>45688.50418981481</v>
      </c>
      <c r="BT110" s="17" t="s">
        <v>198</v>
      </c>
      <c r="BU110" s="18">
        <v>45688.50418981481</v>
      </c>
      <c r="BV110" s="13" t="s">
        <v>199</v>
      </c>
      <c r="BW110" s="14" t="s">
        <v>179</v>
      </c>
      <c r="BX110" s="14" t="s">
        <v>3429</v>
      </c>
      <c r="BY110" s="14" t="s">
        <v>179</v>
      </c>
      <c r="BZ110" s="14" t="s">
        <v>3430</v>
      </c>
      <c r="CA110" s="14" t="s">
        <v>179</v>
      </c>
      <c r="CB110" s="14" t="s">
        <v>3431</v>
      </c>
      <c r="CC110" s="14" t="s">
        <v>179</v>
      </c>
      <c r="CD110" s="14" t="s">
        <v>3432</v>
      </c>
      <c r="CE110" s="14" t="s">
        <v>179</v>
      </c>
      <c r="CF110" s="14" t="s">
        <v>3433</v>
      </c>
      <c r="CG110" s="14" t="s">
        <v>188</v>
      </c>
      <c r="CH110" s="14" t="s">
        <v>3434</v>
      </c>
      <c r="CI110" s="19"/>
      <c r="CJ110" s="15"/>
      <c r="CK110" s="19"/>
      <c r="CL110" s="15"/>
      <c r="CM110" s="19"/>
      <c r="CN110" s="15"/>
      <c r="CO110" s="19"/>
      <c r="CP110" s="15"/>
      <c r="CQ110" s="15"/>
      <c r="CR110" s="15"/>
      <c r="CS110" s="19"/>
      <c r="CT110" s="15"/>
      <c r="CU110" s="19"/>
      <c r="CV110" s="15"/>
      <c r="CW110" s="19"/>
      <c r="CX110" s="15"/>
      <c r="CY110" s="19"/>
      <c r="CZ110" s="15"/>
      <c r="DA110" s="16" t="s">
        <v>197</v>
      </c>
      <c r="DB110" s="17" t="s">
        <v>198</v>
      </c>
      <c r="DC110" s="20">
        <v>45692.64400462963</v>
      </c>
      <c r="DD110" s="17" t="s">
        <v>198</v>
      </c>
      <c r="DE110" s="18">
        <v>45692.64412037037</v>
      </c>
      <c r="DF110" s="17" t="s">
        <v>198</v>
      </c>
      <c r="DG110" s="18">
        <v>45692.64412037037</v>
      </c>
      <c r="DH110" s="13" t="s">
        <v>205</v>
      </c>
      <c r="DI110" s="14" t="s">
        <v>179</v>
      </c>
      <c r="DJ110" s="14" t="s">
        <v>3435</v>
      </c>
      <c r="DK110" s="14" t="s">
        <v>179</v>
      </c>
      <c r="DL110" s="14" t="s">
        <v>3435</v>
      </c>
      <c r="DM110" s="14" t="s">
        <v>179</v>
      </c>
      <c r="DN110" s="14" t="s">
        <v>3436</v>
      </c>
      <c r="DO110" s="14" t="s">
        <v>179</v>
      </c>
      <c r="DP110" s="14" t="s">
        <v>3437</v>
      </c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6" t="s">
        <v>197</v>
      </c>
      <c r="ED110" s="17" t="s">
        <v>198</v>
      </c>
      <c r="EE110" s="18">
        <v>45707.69775462963</v>
      </c>
      <c r="EF110" s="13" t="s">
        <v>209</v>
      </c>
      <c r="EG110" s="14" t="s">
        <v>179</v>
      </c>
      <c r="EH110" s="14" t="s">
        <v>3438</v>
      </c>
      <c r="EI110" s="14" t="s">
        <v>179</v>
      </c>
      <c r="EJ110" s="14" t="s">
        <v>3439</v>
      </c>
      <c r="EK110" s="14" t="s">
        <v>179</v>
      </c>
      <c r="EL110" s="14" t="s">
        <v>3440</v>
      </c>
      <c r="EM110" s="14" t="s">
        <v>179</v>
      </c>
      <c r="EN110" s="14" t="s">
        <v>3440</v>
      </c>
      <c r="EO110" s="15"/>
      <c r="EP110" s="15"/>
      <c r="EQ110" s="15"/>
      <c r="ER110" s="15"/>
      <c r="ES110" s="15"/>
      <c r="ET110" s="15"/>
      <c r="EU110" s="15"/>
      <c r="EV110" s="15"/>
      <c r="EW110" s="15"/>
      <c r="EX110" s="15"/>
      <c r="EY110" s="15"/>
      <c r="EZ110" s="15"/>
      <c r="FA110" s="15"/>
      <c r="FB110" s="15"/>
      <c r="FC110" s="16" t="s">
        <v>197</v>
      </c>
      <c r="FD110" s="17" t="s">
        <v>198</v>
      </c>
      <c r="FE110" s="18">
        <v>45723.33969907407</v>
      </c>
      <c r="FF110" s="19"/>
      <c r="FG110" s="19"/>
      <c r="FH110" s="21" t="s">
        <v>197</v>
      </c>
      <c r="FI110" s="17" t="s">
        <v>214</v>
      </c>
      <c r="FJ110" s="18">
        <v>45723.33969907407</v>
      </c>
      <c r="FK110" s="14" t="s">
        <v>3440</v>
      </c>
      <c r="FL110" s="14" t="s">
        <v>3441</v>
      </c>
      <c r="FM110" s="14" t="s">
        <v>3442</v>
      </c>
      <c r="FN110" s="14" t="s">
        <v>3443</v>
      </c>
      <c r="FO110" s="14" t="s">
        <v>3444</v>
      </c>
      <c r="FP110" s="19" t="str">
        <f t="shared" si="1"/>
        <v>Base de Dados_Images/BC7102.Imagem do Equipamento-.181652.jpg</v>
      </c>
      <c r="FQ110" s="19"/>
      <c r="FR110" s="19"/>
    </row>
    <row r="111" ht="15.75" customHeight="1">
      <c r="A111" s="12" t="s">
        <v>547</v>
      </c>
      <c r="B111" s="12" t="s">
        <v>3445</v>
      </c>
      <c r="C111" s="24" t="s">
        <v>512</v>
      </c>
      <c r="D111" s="22" t="s">
        <v>3446</v>
      </c>
      <c r="E111" s="22" t="s">
        <v>3447</v>
      </c>
      <c r="F111" s="13" t="s">
        <v>178</v>
      </c>
      <c r="G111" s="14" t="s">
        <v>179</v>
      </c>
      <c r="H111" s="14" t="s">
        <v>3448</v>
      </c>
      <c r="I111" s="14" t="s">
        <v>179</v>
      </c>
      <c r="J111" s="14" t="s">
        <v>3449</v>
      </c>
      <c r="K111" s="14" t="s">
        <v>179</v>
      </c>
      <c r="L111" s="14" t="s">
        <v>3450</v>
      </c>
      <c r="M111" s="14" t="s">
        <v>179</v>
      </c>
      <c r="N111" s="14" t="s">
        <v>3451</v>
      </c>
      <c r="O111" s="14" t="s">
        <v>179</v>
      </c>
      <c r="P111" s="14" t="s">
        <v>3452</v>
      </c>
      <c r="Q111" s="14" t="s">
        <v>179</v>
      </c>
      <c r="R111" s="14" t="s">
        <v>3453</v>
      </c>
      <c r="S111" s="14" t="s">
        <v>179</v>
      </c>
      <c r="T111" s="14" t="s">
        <v>3454</v>
      </c>
      <c r="U111" s="14" t="s">
        <v>179</v>
      </c>
      <c r="V111" s="14" t="s">
        <v>3455</v>
      </c>
      <c r="W111" s="14" t="s">
        <v>179</v>
      </c>
      <c r="X111" s="14" t="s">
        <v>3456</v>
      </c>
      <c r="Y111" s="14" t="s">
        <v>179</v>
      </c>
      <c r="Z111" s="14" t="s">
        <v>3457</v>
      </c>
      <c r="AA111" s="14" t="s">
        <v>179</v>
      </c>
      <c r="AB111" s="14" t="s">
        <v>3458</v>
      </c>
      <c r="AC111" s="14" t="s">
        <v>179</v>
      </c>
      <c r="AD111" s="14" t="s">
        <v>3459</v>
      </c>
      <c r="AE111" s="14" t="s">
        <v>179</v>
      </c>
      <c r="AF111" s="14" t="s">
        <v>3460</v>
      </c>
      <c r="AG111" s="14" t="s">
        <v>179</v>
      </c>
      <c r="AH111" s="14" t="s">
        <v>3461</v>
      </c>
      <c r="AI111" s="14" t="s">
        <v>179</v>
      </c>
      <c r="AJ111" s="14" t="s">
        <v>3462</v>
      </c>
      <c r="AK111" s="14" t="s">
        <v>179</v>
      </c>
      <c r="AL111" s="14" t="s">
        <v>3463</v>
      </c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6" t="s">
        <v>197</v>
      </c>
      <c r="BP111" s="17" t="s">
        <v>198</v>
      </c>
      <c r="BQ111" s="18">
        <v>45678.49219907408</v>
      </c>
      <c r="BR111" s="17" t="s">
        <v>198</v>
      </c>
      <c r="BS111" s="18">
        <v>45678.49232638889</v>
      </c>
      <c r="BT111" s="17" t="s">
        <v>198</v>
      </c>
      <c r="BU111" s="18">
        <v>45678.49232638889</v>
      </c>
      <c r="BV111" s="13" t="s">
        <v>199</v>
      </c>
      <c r="BW111" s="14" t="s">
        <v>179</v>
      </c>
      <c r="BX111" s="14" t="s">
        <v>3464</v>
      </c>
      <c r="BY111" s="14" t="s">
        <v>179</v>
      </c>
      <c r="BZ111" s="14" t="s">
        <v>3465</v>
      </c>
      <c r="CA111" s="14" t="s">
        <v>179</v>
      </c>
      <c r="CB111" s="14" t="s">
        <v>3466</v>
      </c>
      <c r="CC111" s="14" t="s">
        <v>179</v>
      </c>
      <c r="CD111" s="14" t="s">
        <v>3467</v>
      </c>
      <c r="CE111" s="14" t="s">
        <v>179</v>
      </c>
      <c r="CF111" s="14" t="s">
        <v>3468</v>
      </c>
      <c r="CG111" s="14" t="s">
        <v>188</v>
      </c>
      <c r="CH111" s="14" t="s">
        <v>3469</v>
      </c>
      <c r="CI111" s="19"/>
      <c r="CJ111" s="15"/>
      <c r="CK111" s="19"/>
      <c r="CL111" s="15"/>
      <c r="CM111" s="19"/>
      <c r="CN111" s="15"/>
      <c r="CO111" s="19"/>
      <c r="CP111" s="15"/>
      <c r="CQ111" s="15"/>
      <c r="CR111" s="15"/>
      <c r="CS111" s="19"/>
      <c r="CT111" s="15"/>
      <c r="CU111" s="19"/>
      <c r="CV111" s="15"/>
      <c r="CW111" s="19"/>
      <c r="CX111" s="15"/>
      <c r="CY111" s="19"/>
      <c r="CZ111" s="15"/>
      <c r="DA111" s="16" t="s">
        <v>197</v>
      </c>
      <c r="DB111" s="17" t="s">
        <v>198</v>
      </c>
      <c r="DC111" s="20">
        <v>45689.43858796296</v>
      </c>
      <c r="DD111" s="17" t="s">
        <v>198</v>
      </c>
      <c r="DE111" s="18">
        <v>45689.438680555555</v>
      </c>
      <c r="DF111" s="17" t="s">
        <v>198</v>
      </c>
      <c r="DG111" s="18">
        <v>45689.438680555555</v>
      </c>
      <c r="DH111" s="13" t="s">
        <v>205</v>
      </c>
      <c r="DI111" s="14" t="s">
        <v>179</v>
      </c>
      <c r="DJ111" s="14" t="s">
        <v>3470</v>
      </c>
      <c r="DK111" s="14" t="s">
        <v>179</v>
      </c>
      <c r="DL111" s="14" t="s">
        <v>3471</v>
      </c>
      <c r="DM111" s="14" t="s">
        <v>179</v>
      </c>
      <c r="DN111" s="14" t="s">
        <v>3472</v>
      </c>
      <c r="DO111" s="14" t="s">
        <v>179</v>
      </c>
      <c r="DP111" s="14" t="s">
        <v>3472</v>
      </c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6" t="s">
        <v>197</v>
      </c>
      <c r="ED111" s="17" t="s">
        <v>198</v>
      </c>
      <c r="EE111" s="18">
        <v>45722.38506944444</v>
      </c>
      <c r="EF111" s="13" t="s">
        <v>209</v>
      </c>
      <c r="EG111" s="14" t="s">
        <v>179</v>
      </c>
      <c r="EH111" s="14" t="s">
        <v>3473</v>
      </c>
      <c r="EI111" s="14" t="s">
        <v>179</v>
      </c>
      <c r="EJ111" s="14" t="s">
        <v>3474</v>
      </c>
      <c r="EK111" s="14" t="s">
        <v>179</v>
      </c>
      <c r="EL111" s="14" t="s">
        <v>3475</v>
      </c>
      <c r="EM111" s="14" t="s">
        <v>179</v>
      </c>
      <c r="EN111" s="14" t="s">
        <v>3476</v>
      </c>
      <c r="EO111" s="15"/>
      <c r="EP111" s="15"/>
      <c r="EQ111" s="15"/>
      <c r="ER111" s="15"/>
      <c r="ES111" s="15"/>
      <c r="ET111" s="15"/>
      <c r="EU111" s="15"/>
      <c r="EV111" s="15"/>
      <c r="EW111" s="15"/>
      <c r="EX111" s="15"/>
      <c r="EY111" s="15"/>
      <c r="EZ111" s="15"/>
      <c r="FA111" s="15"/>
      <c r="FB111" s="15"/>
      <c r="FC111" s="16" t="s">
        <v>197</v>
      </c>
      <c r="FD111" s="17" t="s">
        <v>198</v>
      </c>
      <c r="FE111" s="18">
        <v>45723.33399305555</v>
      </c>
      <c r="FF111" s="19"/>
      <c r="FG111" s="19"/>
      <c r="FH111" s="21" t="s">
        <v>197</v>
      </c>
      <c r="FI111" s="17" t="s">
        <v>214</v>
      </c>
      <c r="FJ111" s="18">
        <v>45723.33399305555</v>
      </c>
      <c r="FK111" s="14" t="s">
        <v>3476</v>
      </c>
      <c r="FL111" s="14" t="s">
        <v>3477</v>
      </c>
      <c r="FM111" s="14" t="s">
        <v>3478</v>
      </c>
      <c r="FN111" s="14" t="s">
        <v>3479</v>
      </c>
      <c r="FO111" s="14" t="s">
        <v>3480</v>
      </c>
      <c r="FP111" s="19" t="str">
        <f t="shared" si="1"/>
        <v>Base de Dados_Images/BC7103.Imagem do Equipamento-.172629.jpg</v>
      </c>
      <c r="FQ111" s="19"/>
      <c r="FR111" s="19"/>
    </row>
    <row r="112" ht="15.75" customHeight="1">
      <c r="A112" s="12" t="s">
        <v>547</v>
      </c>
      <c r="B112" s="12" t="s">
        <v>3445</v>
      </c>
      <c r="C112" s="24" t="s">
        <v>512</v>
      </c>
      <c r="D112" s="22" t="s">
        <v>3481</v>
      </c>
      <c r="E112" s="22" t="s">
        <v>3482</v>
      </c>
      <c r="F112" s="13" t="s">
        <v>178</v>
      </c>
      <c r="G112" s="14" t="s">
        <v>179</v>
      </c>
      <c r="H112" s="14" t="s">
        <v>3483</v>
      </c>
      <c r="I112" s="14" t="s">
        <v>179</v>
      </c>
      <c r="J112" s="14" t="s">
        <v>3484</v>
      </c>
      <c r="K112" s="14" t="s">
        <v>179</v>
      </c>
      <c r="L112" s="14" t="s">
        <v>3485</v>
      </c>
      <c r="M112" s="14" t="s">
        <v>179</v>
      </c>
      <c r="N112" s="14" t="s">
        <v>3486</v>
      </c>
      <c r="O112" s="14" t="s">
        <v>179</v>
      </c>
      <c r="P112" s="14" t="s">
        <v>3487</v>
      </c>
      <c r="Q112" s="14" t="s">
        <v>179</v>
      </c>
      <c r="R112" s="14" t="s">
        <v>3488</v>
      </c>
      <c r="S112" s="14" t="s">
        <v>179</v>
      </c>
      <c r="T112" s="14" t="s">
        <v>3489</v>
      </c>
      <c r="U112" s="14" t="s">
        <v>179</v>
      </c>
      <c r="V112" s="14" t="s">
        <v>3490</v>
      </c>
      <c r="W112" s="14" t="s">
        <v>179</v>
      </c>
      <c r="X112" s="14" t="s">
        <v>3491</v>
      </c>
      <c r="Y112" s="14" t="s">
        <v>179</v>
      </c>
      <c r="Z112" s="14" t="s">
        <v>3492</v>
      </c>
      <c r="AA112" s="14" t="s">
        <v>179</v>
      </c>
      <c r="AB112" s="14" t="s">
        <v>3493</v>
      </c>
      <c r="AC112" s="14" t="s">
        <v>179</v>
      </c>
      <c r="AD112" s="14" t="s">
        <v>3494</v>
      </c>
      <c r="AE112" s="14" t="s">
        <v>179</v>
      </c>
      <c r="AF112" s="14" t="s">
        <v>3495</v>
      </c>
      <c r="AG112" s="14" t="s">
        <v>179</v>
      </c>
      <c r="AH112" s="14" t="s">
        <v>3496</v>
      </c>
      <c r="AI112" s="14" t="s">
        <v>179</v>
      </c>
      <c r="AJ112" s="14" t="s">
        <v>3497</v>
      </c>
      <c r="AK112" s="14" t="s">
        <v>179</v>
      </c>
      <c r="AL112" s="14" t="s">
        <v>3498</v>
      </c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6" t="s">
        <v>197</v>
      </c>
      <c r="BP112" s="17" t="s">
        <v>198</v>
      </c>
      <c r="BQ112" s="18">
        <v>45678.49329861111</v>
      </c>
      <c r="BR112" s="17" t="s">
        <v>198</v>
      </c>
      <c r="BS112" s="18">
        <v>45678.493414351855</v>
      </c>
      <c r="BT112" s="17" t="s">
        <v>198</v>
      </c>
      <c r="BU112" s="18">
        <v>45678.493414351855</v>
      </c>
      <c r="BV112" s="13" t="s">
        <v>199</v>
      </c>
      <c r="BW112" s="14" t="s">
        <v>179</v>
      </c>
      <c r="BX112" s="14" t="s">
        <v>3499</v>
      </c>
      <c r="BY112" s="14" t="s">
        <v>179</v>
      </c>
      <c r="BZ112" s="14" t="s">
        <v>3500</v>
      </c>
      <c r="CA112" s="14" t="s">
        <v>179</v>
      </c>
      <c r="CB112" s="14" t="s">
        <v>3501</v>
      </c>
      <c r="CC112" s="14" t="s">
        <v>179</v>
      </c>
      <c r="CD112" s="14" t="s">
        <v>3501</v>
      </c>
      <c r="CE112" s="14" t="s">
        <v>179</v>
      </c>
      <c r="CF112" s="14" t="s">
        <v>3502</v>
      </c>
      <c r="CG112" s="14" t="s">
        <v>179</v>
      </c>
      <c r="CH112" s="14" t="s">
        <v>3503</v>
      </c>
      <c r="CI112" s="19"/>
      <c r="CJ112" s="15"/>
      <c r="CK112" s="19"/>
      <c r="CL112" s="15"/>
      <c r="CM112" s="19"/>
      <c r="CN112" s="15"/>
      <c r="CO112" s="19"/>
      <c r="CP112" s="15"/>
      <c r="CQ112" s="15"/>
      <c r="CR112" s="15"/>
      <c r="CS112" s="19"/>
      <c r="CT112" s="15"/>
      <c r="CU112" s="19"/>
      <c r="CV112" s="15"/>
      <c r="CW112" s="19"/>
      <c r="CX112" s="15"/>
      <c r="CY112" s="19"/>
      <c r="CZ112" s="15"/>
      <c r="DA112" s="16" t="s">
        <v>197</v>
      </c>
      <c r="DB112" s="17" t="s">
        <v>198</v>
      </c>
      <c r="DC112" s="20">
        <v>45713.41515046296</v>
      </c>
      <c r="DD112" s="17" t="s">
        <v>198</v>
      </c>
      <c r="DE112" s="18">
        <v>45713.41517361111</v>
      </c>
      <c r="DF112" s="17" t="s">
        <v>198</v>
      </c>
      <c r="DG112" s="18">
        <v>45713.41517361111</v>
      </c>
      <c r="DH112" s="13" t="s">
        <v>205</v>
      </c>
      <c r="DI112" s="14" t="s">
        <v>179</v>
      </c>
      <c r="DJ112" s="14" t="s">
        <v>3504</v>
      </c>
      <c r="DK112" s="14" t="s">
        <v>179</v>
      </c>
      <c r="DL112" s="14" t="s">
        <v>3504</v>
      </c>
      <c r="DM112" s="14" t="s">
        <v>179</v>
      </c>
      <c r="DN112" s="14" t="s">
        <v>3505</v>
      </c>
      <c r="DO112" s="14" t="s">
        <v>179</v>
      </c>
      <c r="DP112" s="14" t="s">
        <v>3506</v>
      </c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6" t="s">
        <v>197</v>
      </c>
      <c r="ED112" s="17" t="s">
        <v>198</v>
      </c>
      <c r="EE112" s="18">
        <v>45713.41525462963</v>
      </c>
      <c r="EF112" s="13" t="s">
        <v>209</v>
      </c>
      <c r="EG112" s="14" t="s">
        <v>179</v>
      </c>
      <c r="EH112" s="14" t="s">
        <v>3507</v>
      </c>
      <c r="EI112" s="14" t="s">
        <v>179</v>
      </c>
      <c r="EJ112" s="14" t="s">
        <v>3508</v>
      </c>
      <c r="EK112" s="14" t="s">
        <v>179</v>
      </c>
      <c r="EL112" s="14" t="s">
        <v>3509</v>
      </c>
      <c r="EM112" s="14" t="s">
        <v>179</v>
      </c>
      <c r="EN112" s="14" t="s">
        <v>3509</v>
      </c>
      <c r="EO112" s="15"/>
      <c r="EP112" s="15"/>
      <c r="EQ112" s="15"/>
      <c r="ER112" s="15"/>
      <c r="ES112" s="15"/>
      <c r="ET112" s="15"/>
      <c r="EU112" s="15"/>
      <c r="EV112" s="15"/>
      <c r="EW112" s="15"/>
      <c r="EX112" s="15"/>
      <c r="EY112" s="15"/>
      <c r="EZ112" s="15"/>
      <c r="FA112" s="15"/>
      <c r="FB112" s="15"/>
      <c r="FC112" s="16" t="s">
        <v>197</v>
      </c>
      <c r="FD112" s="17" t="s">
        <v>198</v>
      </c>
      <c r="FE112" s="18">
        <v>45726.46357638889</v>
      </c>
      <c r="FF112" s="19"/>
      <c r="FG112" s="19"/>
      <c r="FH112" s="21" t="s">
        <v>197</v>
      </c>
      <c r="FI112" s="17" t="s">
        <v>214</v>
      </c>
      <c r="FJ112" s="18">
        <v>45726.46357638889</v>
      </c>
      <c r="FK112" s="14" t="s">
        <v>3509</v>
      </c>
      <c r="FL112" s="14" t="s">
        <v>3510</v>
      </c>
      <c r="FM112" s="14" t="s">
        <v>3511</v>
      </c>
      <c r="FN112" s="14" t="s">
        <v>3512</v>
      </c>
      <c r="FO112" s="14" t="s">
        <v>3513</v>
      </c>
      <c r="FP112" s="19" t="str">
        <f t="shared" si="1"/>
        <v>Base de Dados_Images/BC7104.Imagem do Equipamento-.172822.jpg</v>
      </c>
      <c r="FQ112" s="19"/>
      <c r="FR112" s="19"/>
    </row>
    <row r="113" ht="15.75" customHeight="1">
      <c r="A113" s="12" t="s">
        <v>547</v>
      </c>
      <c r="B113" s="12" t="s">
        <v>3514</v>
      </c>
      <c r="C113" s="24" t="s">
        <v>512</v>
      </c>
      <c r="D113" s="22" t="s">
        <v>3515</v>
      </c>
      <c r="E113" s="22" t="s">
        <v>3516</v>
      </c>
      <c r="F113" s="13" t="s">
        <v>178</v>
      </c>
      <c r="G113" s="14" t="s">
        <v>179</v>
      </c>
      <c r="H113" s="14" t="s">
        <v>3517</v>
      </c>
      <c r="I113" s="14" t="s">
        <v>179</v>
      </c>
      <c r="J113" s="14" t="s">
        <v>3518</v>
      </c>
      <c r="K113" s="14" t="s">
        <v>179</v>
      </c>
      <c r="L113" s="14" t="s">
        <v>3519</v>
      </c>
      <c r="M113" s="14" t="s">
        <v>179</v>
      </c>
      <c r="N113" s="14" t="s">
        <v>3520</v>
      </c>
      <c r="O113" s="14" t="s">
        <v>179</v>
      </c>
      <c r="P113" s="14" t="s">
        <v>3521</v>
      </c>
      <c r="Q113" s="14" t="s">
        <v>179</v>
      </c>
      <c r="R113" s="14" t="s">
        <v>3522</v>
      </c>
      <c r="S113" s="14" t="s">
        <v>179</v>
      </c>
      <c r="T113" s="14" t="s">
        <v>3523</v>
      </c>
      <c r="U113" s="14" t="s">
        <v>179</v>
      </c>
      <c r="V113" s="14" t="s">
        <v>3524</v>
      </c>
      <c r="W113" s="14" t="s">
        <v>179</v>
      </c>
      <c r="X113" s="14" t="s">
        <v>3525</v>
      </c>
      <c r="Y113" s="14" t="s">
        <v>179</v>
      </c>
      <c r="Z113" s="14" t="s">
        <v>3526</v>
      </c>
      <c r="AA113" s="14" t="s">
        <v>179</v>
      </c>
      <c r="AB113" s="14" t="s">
        <v>3527</v>
      </c>
      <c r="AC113" s="14" t="s">
        <v>179</v>
      </c>
      <c r="AD113" s="14" t="s">
        <v>3528</v>
      </c>
      <c r="AE113" s="14" t="s">
        <v>179</v>
      </c>
      <c r="AF113" s="14" t="s">
        <v>3529</v>
      </c>
      <c r="AG113" s="14" t="s">
        <v>179</v>
      </c>
      <c r="AH113" s="14" t="s">
        <v>3530</v>
      </c>
      <c r="AI113" s="14" t="s">
        <v>179</v>
      </c>
      <c r="AJ113" s="14" t="s">
        <v>3531</v>
      </c>
      <c r="AK113" s="14" t="s">
        <v>179</v>
      </c>
      <c r="AL113" s="14" t="s">
        <v>3532</v>
      </c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7" t="s">
        <v>197</v>
      </c>
      <c r="BP113" s="17" t="s">
        <v>198</v>
      </c>
      <c r="BQ113" s="18">
        <v>45678.465995370374</v>
      </c>
      <c r="BR113" s="17" t="s">
        <v>198</v>
      </c>
      <c r="BS113" s="18">
        <v>45688.503796296296</v>
      </c>
      <c r="BT113" s="17" t="s">
        <v>198</v>
      </c>
      <c r="BU113" s="18">
        <v>45688.503796296296</v>
      </c>
      <c r="BV113" s="13" t="s">
        <v>199</v>
      </c>
      <c r="BW113" s="14" t="s">
        <v>179</v>
      </c>
      <c r="BX113" s="14" t="s">
        <v>3533</v>
      </c>
      <c r="BY113" s="14" t="s">
        <v>179</v>
      </c>
      <c r="BZ113" s="14" t="s">
        <v>3534</v>
      </c>
      <c r="CA113" s="14" t="s">
        <v>179</v>
      </c>
      <c r="CB113" s="14" t="s">
        <v>3535</v>
      </c>
      <c r="CC113" s="14" t="s">
        <v>179</v>
      </c>
      <c r="CD113" s="14" t="s">
        <v>3536</v>
      </c>
      <c r="CE113" s="14" t="s">
        <v>179</v>
      </c>
      <c r="CF113" s="14" t="s">
        <v>3537</v>
      </c>
      <c r="CG113" s="14" t="s">
        <v>188</v>
      </c>
      <c r="CH113" s="14" t="s">
        <v>3538</v>
      </c>
      <c r="CI113" s="19"/>
      <c r="CJ113" s="15"/>
      <c r="CK113" s="19"/>
      <c r="CL113" s="15"/>
      <c r="CM113" s="19"/>
      <c r="CN113" s="15"/>
      <c r="CO113" s="19"/>
      <c r="CP113" s="15"/>
      <c r="CQ113" s="15"/>
      <c r="CR113" s="15"/>
      <c r="CS113" s="19"/>
      <c r="CT113" s="15"/>
      <c r="CU113" s="19"/>
      <c r="CV113" s="15"/>
      <c r="CW113" s="19"/>
      <c r="CX113" s="15"/>
      <c r="CY113" s="19"/>
      <c r="CZ113" s="15"/>
      <c r="DA113" s="16" t="s">
        <v>197</v>
      </c>
      <c r="DB113" s="17" t="s">
        <v>198</v>
      </c>
      <c r="DC113" s="20">
        <v>45689.43790509259</v>
      </c>
      <c r="DD113" s="17" t="s">
        <v>198</v>
      </c>
      <c r="DE113" s="18">
        <v>45689.43802083333</v>
      </c>
      <c r="DF113" s="17" t="s">
        <v>198</v>
      </c>
      <c r="DG113" s="18">
        <v>45689.43802083333</v>
      </c>
      <c r="DH113" s="13" t="s">
        <v>205</v>
      </c>
      <c r="DI113" s="14" t="s">
        <v>179</v>
      </c>
      <c r="DJ113" s="14" t="s">
        <v>3539</v>
      </c>
      <c r="DK113" s="14" t="s">
        <v>179</v>
      </c>
      <c r="DL113" s="14" t="s">
        <v>3540</v>
      </c>
      <c r="DM113" s="14" t="s">
        <v>179</v>
      </c>
      <c r="DN113" s="14" t="s">
        <v>3541</v>
      </c>
      <c r="DO113" s="14" t="s">
        <v>179</v>
      </c>
      <c r="DP113" s="14" t="s">
        <v>3542</v>
      </c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6" t="s">
        <v>197</v>
      </c>
      <c r="ED113" s="17" t="s">
        <v>198</v>
      </c>
      <c r="EE113" s="18">
        <v>45722.384664351855</v>
      </c>
      <c r="EF113" s="13" t="s">
        <v>209</v>
      </c>
      <c r="EG113" s="14" t="s">
        <v>179</v>
      </c>
      <c r="EH113" s="14" t="s">
        <v>3543</v>
      </c>
      <c r="EI113" s="14" t="s">
        <v>179</v>
      </c>
      <c r="EJ113" s="14" t="s">
        <v>3543</v>
      </c>
      <c r="EK113" s="14" t="s">
        <v>179</v>
      </c>
      <c r="EL113" s="14" t="s">
        <v>3544</v>
      </c>
      <c r="EM113" s="14" t="s">
        <v>179</v>
      </c>
      <c r="EN113" s="14" t="s">
        <v>3544</v>
      </c>
      <c r="EO113" s="15"/>
      <c r="EP113" s="15"/>
      <c r="EQ113" s="15"/>
      <c r="ER113" s="15"/>
      <c r="ES113" s="15"/>
      <c r="ET113" s="15"/>
      <c r="EU113" s="15"/>
      <c r="EV113" s="15"/>
      <c r="EW113" s="15"/>
      <c r="EX113" s="15"/>
      <c r="EY113" s="15"/>
      <c r="EZ113" s="15"/>
      <c r="FA113" s="15"/>
      <c r="FB113" s="15"/>
      <c r="FC113" s="16" t="s">
        <v>197</v>
      </c>
      <c r="FD113" s="17" t="s">
        <v>198</v>
      </c>
      <c r="FE113" s="18">
        <v>45723.340162037035</v>
      </c>
      <c r="FF113" s="14" t="s">
        <v>2738</v>
      </c>
      <c r="FG113" s="19"/>
      <c r="FH113" s="17" t="s">
        <v>198</v>
      </c>
      <c r="FI113" s="17" t="s">
        <v>214</v>
      </c>
      <c r="FJ113" s="18">
        <v>45723.340162037035</v>
      </c>
      <c r="FK113" s="14" t="s">
        <v>3544</v>
      </c>
      <c r="FL113" s="14" t="s">
        <v>3545</v>
      </c>
      <c r="FM113" s="14" t="s">
        <v>3546</v>
      </c>
      <c r="FN113" s="14" t="s">
        <v>3547</v>
      </c>
      <c r="FO113" s="14" t="s">
        <v>3548</v>
      </c>
      <c r="FP113" s="19" t="str">
        <f t="shared" si="1"/>
        <v>Base de Dados_Images/BC7105.Imagem do Equipamento-.144721.jpg</v>
      </c>
      <c r="FQ113" s="19"/>
      <c r="FR113" s="19"/>
    </row>
    <row r="114" ht="15.75" customHeight="1">
      <c r="A114" s="12" t="s">
        <v>547</v>
      </c>
      <c r="B114" s="12" t="s">
        <v>3514</v>
      </c>
      <c r="C114" s="24" t="s">
        <v>512</v>
      </c>
      <c r="D114" s="22" t="s">
        <v>3549</v>
      </c>
      <c r="E114" s="22" t="s">
        <v>3550</v>
      </c>
      <c r="F114" s="13" t="s">
        <v>178</v>
      </c>
      <c r="G114" s="14" t="s">
        <v>179</v>
      </c>
      <c r="H114" s="14" t="s">
        <v>3551</v>
      </c>
      <c r="I114" s="14" t="s">
        <v>179</v>
      </c>
      <c r="J114" s="14" t="s">
        <v>3552</v>
      </c>
      <c r="K114" s="14" t="s">
        <v>179</v>
      </c>
      <c r="L114" s="14" t="s">
        <v>3553</v>
      </c>
      <c r="M114" s="14" t="s">
        <v>179</v>
      </c>
      <c r="N114" s="14" t="s">
        <v>3554</v>
      </c>
      <c r="O114" s="14" t="s">
        <v>179</v>
      </c>
      <c r="P114" s="14" t="s">
        <v>3555</v>
      </c>
      <c r="Q114" s="14" t="s">
        <v>179</v>
      </c>
      <c r="R114" s="14" t="s">
        <v>3556</v>
      </c>
      <c r="S114" s="14" t="s">
        <v>179</v>
      </c>
      <c r="T114" s="14" t="s">
        <v>3557</v>
      </c>
      <c r="U114" s="14" t="s">
        <v>179</v>
      </c>
      <c r="V114" s="14" t="s">
        <v>3558</v>
      </c>
      <c r="W114" s="14" t="s">
        <v>179</v>
      </c>
      <c r="X114" s="14" t="s">
        <v>3559</v>
      </c>
      <c r="Y114" s="14" t="s">
        <v>179</v>
      </c>
      <c r="Z114" s="14" t="s">
        <v>3560</v>
      </c>
      <c r="AA114" s="14" t="s">
        <v>179</v>
      </c>
      <c r="AB114" s="14" t="s">
        <v>3561</v>
      </c>
      <c r="AC114" s="14" t="s">
        <v>179</v>
      </c>
      <c r="AD114" s="14" t="s">
        <v>3562</v>
      </c>
      <c r="AE114" s="14" t="s">
        <v>179</v>
      </c>
      <c r="AF114" s="14" t="s">
        <v>3563</v>
      </c>
      <c r="AG114" s="14" t="s">
        <v>179</v>
      </c>
      <c r="AH114" s="14" t="s">
        <v>3564</v>
      </c>
      <c r="AI114" s="14" t="s">
        <v>179</v>
      </c>
      <c r="AJ114" s="14" t="s">
        <v>3565</v>
      </c>
      <c r="AK114" s="14" t="s">
        <v>179</v>
      </c>
      <c r="AL114" s="14" t="s">
        <v>3566</v>
      </c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7" t="s">
        <v>197</v>
      </c>
      <c r="BP114" s="17" t="s">
        <v>198</v>
      </c>
      <c r="BQ114" s="18">
        <v>45678.46771990741</v>
      </c>
      <c r="BR114" s="17" t="s">
        <v>198</v>
      </c>
      <c r="BS114" s="18">
        <v>45688.49180555555</v>
      </c>
      <c r="BT114" s="17" t="s">
        <v>198</v>
      </c>
      <c r="BU114" s="18">
        <v>45688.49180555555</v>
      </c>
      <c r="BV114" s="13" t="s">
        <v>199</v>
      </c>
      <c r="BW114" s="14" t="s">
        <v>179</v>
      </c>
      <c r="BX114" s="14" t="s">
        <v>3567</v>
      </c>
      <c r="BY114" s="14" t="s">
        <v>179</v>
      </c>
      <c r="BZ114" s="14" t="s">
        <v>3568</v>
      </c>
      <c r="CA114" s="14" t="s">
        <v>179</v>
      </c>
      <c r="CB114" s="14" t="s">
        <v>3569</v>
      </c>
      <c r="CC114" s="14" t="s">
        <v>179</v>
      </c>
      <c r="CD114" s="14" t="s">
        <v>3570</v>
      </c>
      <c r="CE114" s="14" t="s">
        <v>179</v>
      </c>
      <c r="CF114" s="14" t="s">
        <v>3571</v>
      </c>
      <c r="CG114" s="14" t="s">
        <v>188</v>
      </c>
      <c r="CH114" s="14" t="s">
        <v>3572</v>
      </c>
      <c r="CI114" s="19"/>
      <c r="CJ114" s="15"/>
      <c r="CK114" s="19"/>
      <c r="CL114" s="15"/>
      <c r="CM114" s="19"/>
      <c r="CN114" s="15"/>
      <c r="CO114" s="19"/>
      <c r="CP114" s="15"/>
      <c r="CQ114" s="15"/>
      <c r="CR114" s="15"/>
      <c r="CS114" s="19"/>
      <c r="CT114" s="15"/>
      <c r="CU114" s="19"/>
      <c r="CV114" s="15"/>
      <c r="CW114" s="19"/>
      <c r="CX114" s="15"/>
      <c r="CY114" s="19"/>
      <c r="CZ114" s="15"/>
      <c r="DA114" s="16" t="s">
        <v>197</v>
      </c>
      <c r="DB114" s="17" t="s">
        <v>198</v>
      </c>
      <c r="DC114" s="20">
        <v>45692.64710648148</v>
      </c>
      <c r="DD114" s="17" t="s">
        <v>198</v>
      </c>
      <c r="DE114" s="18">
        <v>45692.647210648145</v>
      </c>
      <c r="DF114" s="17" t="s">
        <v>198</v>
      </c>
      <c r="DG114" s="18">
        <v>45692.647210648145</v>
      </c>
      <c r="DH114" s="13" t="s">
        <v>205</v>
      </c>
      <c r="DI114" s="14" t="s">
        <v>179</v>
      </c>
      <c r="DJ114" s="14" t="s">
        <v>3573</v>
      </c>
      <c r="DK114" s="14" t="s">
        <v>179</v>
      </c>
      <c r="DL114" s="14" t="s">
        <v>3574</v>
      </c>
      <c r="DM114" s="14" t="s">
        <v>179</v>
      </c>
      <c r="DN114" s="14" t="s">
        <v>3575</v>
      </c>
      <c r="DO114" s="14" t="s">
        <v>179</v>
      </c>
      <c r="DP114" s="14" t="s">
        <v>3576</v>
      </c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6" t="s">
        <v>197</v>
      </c>
      <c r="ED114" s="17" t="s">
        <v>198</v>
      </c>
      <c r="EE114" s="18">
        <v>45722.384930555556</v>
      </c>
      <c r="EF114" s="13" t="s">
        <v>209</v>
      </c>
      <c r="EG114" s="14" t="s">
        <v>179</v>
      </c>
      <c r="EH114" s="14" t="s">
        <v>3577</v>
      </c>
      <c r="EI114" s="14" t="s">
        <v>179</v>
      </c>
      <c r="EJ114" s="14" t="s">
        <v>3577</v>
      </c>
      <c r="EK114" s="14" t="s">
        <v>179</v>
      </c>
      <c r="EL114" s="14" t="s">
        <v>3578</v>
      </c>
      <c r="EM114" s="14" t="s">
        <v>179</v>
      </c>
      <c r="EN114" s="14" t="s">
        <v>3579</v>
      </c>
      <c r="EO114" s="15"/>
      <c r="EP114" s="15"/>
      <c r="EQ114" s="15"/>
      <c r="ER114" s="15"/>
      <c r="ES114" s="15"/>
      <c r="ET114" s="15"/>
      <c r="EU114" s="15"/>
      <c r="EV114" s="15"/>
      <c r="EW114" s="15"/>
      <c r="EX114" s="15"/>
      <c r="EY114" s="15"/>
      <c r="EZ114" s="15"/>
      <c r="FA114" s="15"/>
      <c r="FB114" s="15"/>
      <c r="FC114" s="16" t="s">
        <v>197</v>
      </c>
      <c r="FD114" s="17" t="s">
        <v>198</v>
      </c>
      <c r="FE114" s="18">
        <v>45723.34025462963</v>
      </c>
      <c r="FF114" s="14" t="s">
        <v>2738</v>
      </c>
      <c r="FG114" s="19"/>
      <c r="FH114" s="17" t="s">
        <v>198</v>
      </c>
      <c r="FI114" s="17" t="s">
        <v>214</v>
      </c>
      <c r="FJ114" s="18">
        <v>45723.34025462963</v>
      </c>
      <c r="FK114" s="14" t="s">
        <v>3579</v>
      </c>
      <c r="FL114" s="14" t="s">
        <v>3580</v>
      </c>
      <c r="FM114" s="14" t="s">
        <v>3581</v>
      </c>
      <c r="FN114" s="14" t="s">
        <v>3582</v>
      </c>
      <c r="FO114" s="14" t="s">
        <v>3583</v>
      </c>
      <c r="FP114" s="19" t="str">
        <f t="shared" si="1"/>
        <v>Base de Dados_Images/BC7106.Imagem do Equipamento-.144932.jpg</v>
      </c>
      <c r="FQ114" s="19"/>
      <c r="FR114" s="19"/>
    </row>
    <row r="115" ht="15.75" customHeight="1">
      <c r="A115" s="25" t="s">
        <v>547</v>
      </c>
      <c r="B115" s="25" t="s">
        <v>3584</v>
      </c>
      <c r="C115" s="24" t="s">
        <v>512</v>
      </c>
      <c r="D115" s="22" t="s">
        <v>3585</v>
      </c>
      <c r="E115" s="22" t="s">
        <v>3586</v>
      </c>
      <c r="F115" s="13" t="s">
        <v>178</v>
      </c>
      <c r="G115" s="14" t="s">
        <v>179</v>
      </c>
      <c r="H115" s="14" t="s">
        <v>3587</v>
      </c>
      <c r="I115" s="14" t="s">
        <v>179</v>
      </c>
      <c r="J115" s="14" t="s">
        <v>3588</v>
      </c>
      <c r="K115" s="14" t="s">
        <v>179</v>
      </c>
      <c r="L115" s="14" t="s">
        <v>3589</v>
      </c>
      <c r="M115" s="14" t="s">
        <v>179</v>
      </c>
      <c r="N115" s="14" t="s">
        <v>3590</v>
      </c>
      <c r="O115" s="14" t="s">
        <v>179</v>
      </c>
      <c r="P115" s="14" t="s">
        <v>3591</v>
      </c>
      <c r="Q115" s="14" t="s">
        <v>179</v>
      </c>
      <c r="R115" s="14" t="s">
        <v>3592</v>
      </c>
      <c r="S115" s="14" t="s">
        <v>179</v>
      </c>
      <c r="T115" s="14" t="s">
        <v>3593</v>
      </c>
      <c r="U115" s="14" t="s">
        <v>179</v>
      </c>
      <c r="V115" s="14" t="s">
        <v>3594</v>
      </c>
      <c r="W115" s="14" t="s">
        <v>179</v>
      </c>
      <c r="X115" s="14" t="s">
        <v>3595</v>
      </c>
      <c r="Y115" s="14" t="s">
        <v>179</v>
      </c>
      <c r="Z115" s="14" t="s">
        <v>3596</v>
      </c>
      <c r="AA115" s="14" t="s">
        <v>179</v>
      </c>
      <c r="AB115" s="14" t="s">
        <v>3597</v>
      </c>
      <c r="AC115" s="14" t="s">
        <v>179</v>
      </c>
      <c r="AD115" s="14" t="s">
        <v>3598</v>
      </c>
      <c r="AE115" s="14" t="s">
        <v>179</v>
      </c>
      <c r="AF115" s="14" t="s">
        <v>3599</v>
      </c>
      <c r="AG115" s="14" t="s">
        <v>179</v>
      </c>
      <c r="AH115" s="14" t="s">
        <v>3600</v>
      </c>
      <c r="AI115" s="14" t="s">
        <v>179</v>
      </c>
      <c r="AJ115" s="14" t="s">
        <v>3601</v>
      </c>
      <c r="AK115" s="14" t="s">
        <v>179</v>
      </c>
      <c r="AL115" s="14" t="s">
        <v>3602</v>
      </c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6" t="s">
        <v>197</v>
      </c>
      <c r="BP115" s="17" t="s">
        <v>198</v>
      </c>
      <c r="BQ115" s="18">
        <v>45691.400185185186</v>
      </c>
      <c r="BR115" s="17" t="s">
        <v>198</v>
      </c>
      <c r="BS115" s="18">
        <v>45691.400416666664</v>
      </c>
      <c r="BT115" s="17" t="s">
        <v>198</v>
      </c>
      <c r="BU115" s="18">
        <v>45691.400416666664</v>
      </c>
      <c r="BV115" s="13" t="s">
        <v>199</v>
      </c>
      <c r="BW115" s="14" t="s">
        <v>179</v>
      </c>
      <c r="BX115" s="14" t="s">
        <v>3603</v>
      </c>
      <c r="BY115" s="14" t="s">
        <v>179</v>
      </c>
      <c r="BZ115" s="14" t="s">
        <v>3603</v>
      </c>
      <c r="CA115" s="14" t="s">
        <v>179</v>
      </c>
      <c r="CB115" s="14" t="s">
        <v>3604</v>
      </c>
      <c r="CC115" s="14" t="s">
        <v>179</v>
      </c>
      <c r="CD115" s="14" t="s">
        <v>3605</v>
      </c>
      <c r="CE115" s="14" t="s">
        <v>179</v>
      </c>
      <c r="CF115" s="14" t="s">
        <v>3606</v>
      </c>
      <c r="CG115" s="14" t="s">
        <v>179</v>
      </c>
      <c r="CH115" s="14" t="s">
        <v>3607</v>
      </c>
      <c r="CI115" s="19"/>
      <c r="CJ115" s="15"/>
      <c r="CK115" s="19"/>
      <c r="CL115" s="15"/>
      <c r="CM115" s="19"/>
      <c r="CN115" s="15"/>
      <c r="CO115" s="19"/>
      <c r="CP115" s="15"/>
      <c r="CQ115" s="15"/>
      <c r="CR115" s="15"/>
      <c r="CS115" s="19"/>
      <c r="CT115" s="15"/>
      <c r="CU115" s="19"/>
      <c r="CV115" s="15"/>
      <c r="CW115" s="19"/>
      <c r="CX115" s="15"/>
      <c r="CY115" s="19"/>
      <c r="CZ115" s="15"/>
      <c r="DA115" s="16" t="s">
        <v>197</v>
      </c>
      <c r="DB115" s="17" t="s">
        <v>198</v>
      </c>
      <c r="DC115" s="20">
        <v>45713.414675925924</v>
      </c>
      <c r="DD115" s="17" t="s">
        <v>198</v>
      </c>
      <c r="DE115" s="18">
        <v>45713.41473379629</v>
      </c>
      <c r="DF115" s="17" t="s">
        <v>198</v>
      </c>
      <c r="DG115" s="18">
        <v>45713.41473379629</v>
      </c>
      <c r="DH115" s="13" t="s">
        <v>205</v>
      </c>
      <c r="DI115" s="14" t="s">
        <v>179</v>
      </c>
      <c r="DJ115" s="14" t="s">
        <v>3608</v>
      </c>
      <c r="DK115" s="14" t="s">
        <v>179</v>
      </c>
      <c r="DL115" s="14" t="s">
        <v>3609</v>
      </c>
      <c r="DM115" s="14" t="s">
        <v>179</v>
      </c>
      <c r="DN115" s="14" t="s">
        <v>3610</v>
      </c>
      <c r="DO115" s="14" t="s">
        <v>179</v>
      </c>
      <c r="DP115" s="14" t="s">
        <v>3611</v>
      </c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6" t="s">
        <v>197</v>
      </c>
      <c r="ED115" s="17" t="s">
        <v>198</v>
      </c>
      <c r="EE115" s="18">
        <v>45713.41480324074</v>
      </c>
      <c r="EF115" s="13" t="s">
        <v>209</v>
      </c>
      <c r="EG115" s="14" t="s">
        <v>179</v>
      </c>
      <c r="EH115" s="14" t="s">
        <v>3612</v>
      </c>
      <c r="EI115" s="14" t="s">
        <v>179</v>
      </c>
      <c r="EJ115" s="14" t="s">
        <v>3612</v>
      </c>
      <c r="EK115" s="14" t="s">
        <v>179</v>
      </c>
      <c r="EL115" s="14" t="s">
        <v>3613</v>
      </c>
      <c r="EM115" s="14" t="s">
        <v>179</v>
      </c>
      <c r="EN115" s="14" t="s">
        <v>3614</v>
      </c>
      <c r="EO115" s="15"/>
      <c r="EP115" s="15"/>
      <c r="EQ115" s="15"/>
      <c r="ER115" s="15"/>
      <c r="ES115" s="15"/>
      <c r="ET115" s="15"/>
      <c r="EU115" s="15"/>
      <c r="EV115" s="15"/>
      <c r="EW115" s="15"/>
      <c r="EX115" s="15"/>
      <c r="EY115" s="15"/>
      <c r="EZ115" s="15"/>
      <c r="FA115" s="15"/>
      <c r="FB115" s="15"/>
      <c r="FC115" s="16" t="s">
        <v>197</v>
      </c>
      <c r="FD115" s="17" t="s">
        <v>198</v>
      </c>
      <c r="FE115" s="18">
        <v>45723.338796296295</v>
      </c>
      <c r="FF115" s="19"/>
      <c r="FG115" s="19"/>
      <c r="FH115" s="21" t="s">
        <v>197</v>
      </c>
      <c r="FI115" s="17" t="s">
        <v>214</v>
      </c>
      <c r="FJ115" s="18">
        <v>45723.338796296295</v>
      </c>
      <c r="FK115" s="14" t="s">
        <v>3614</v>
      </c>
      <c r="FL115" s="14" t="s">
        <v>3615</v>
      </c>
      <c r="FM115" s="14" t="s">
        <v>3616</v>
      </c>
      <c r="FN115" s="14" t="s">
        <v>3617</v>
      </c>
      <c r="FO115" s="14" t="s">
        <v>3618</v>
      </c>
      <c r="FP115" s="19" t="str">
        <f t="shared" si="1"/>
        <v>Base de Dados_Images/BC7107.Imagem do Equipamento-.124935.jpg</v>
      </c>
      <c r="FQ115" s="14"/>
      <c r="FR115" s="14"/>
    </row>
    <row r="116" ht="15.75" customHeight="1">
      <c r="A116" s="12" t="s">
        <v>547</v>
      </c>
      <c r="B116" s="12" t="s">
        <v>3619</v>
      </c>
      <c r="C116" s="24" t="s">
        <v>512</v>
      </c>
      <c r="D116" s="22" t="s">
        <v>3620</v>
      </c>
      <c r="E116" s="22" t="s">
        <v>3621</v>
      </c>
      <c r="F116" s="13" t="s">
        <v>178</v>
      </c>
      <c r="G116" s="14" t="s">
        <v>179</v>
      </c>
      <c r="H116" s="14" t="s">
        <v>3622</v>
      </c>
      <c r="I116" s="14" t="s">
        <v>179</v>
      </c>
      <c r="J116" s="14" t="s">
        <v>3623</v>
      </c>
      <c r="K116" s="14" t="s">
        <v>179</v>
      </c>
      <c r="L116" s="14" t="s">
        <v>3624</v>
      </c>
      <c r="M116" s="14" t="s">
        <v>179</v>
      </c>
      <c r="N116" s="14" t="s">
        <v>3625</v>
      </c>
      <c r="O116" s="14" t="s">
        <v>179</v>
      </c>
      <c r="P116" s="14" t="s">
        <v>3626</v>
      </c>
      <c r="Q116" s="14" t="s">
        <v>179</v>
      </c>
      <c r="R116" s="14" t="s">
        <v>3627</v>
      </c>
      <c r="S116" s="14" t="s">
        <v>179</v>
      </c>
      <c r="T116" s="14" t="s">
        <v>3628</v>
      </c>
      <c r="U116" s="14" t="s">
        <v>179</v>
      </c>
      <c r="V116" s="14" t="s">
        <v>3629</v>
      </c>
      <c r="W116" s="14" t="s">
        <v>179</v>
      </c>
      <c r="X116" s="14" t="s">
        <v>3630</v>
      </c>
      <c r="Y116" s="14" t="s">
        <v>179</v>
      </c>
      <c r="Z116" s="14" t="s">
        <v>3631</v>
      </c>
      <c r="AA116" s="14" t="s">
        <v>179</v>
      </c>
      <c r="AB116" s="14" t="s">
        <v>3632</v>
      </c>
      <c r="AC116" s="14" t="s">
        <v>179</v>
      </c>
      <c r="AD116" s="14" t="s">
        <v>3633</v>
      </c>
      <c r="AE116" s="14" t="s">
        <v>179</v>
      </c>
      <c r="AF116" s="14" t="s">
        <v>3634</v>
      </c>
      <c r="AG116" s="14" t="s">
        <v>179</v>
      </c>
      <c r="AH116" s="14" t="s">
        <v>3635</v>
      </c>
      <c r="AI116" s="14" t="s">
        <v>179</v>
      </c>
      <c r="AJ116" s="14" t="s">
        <v>3636</v>
      </c>
      <c r="AK116" s="14" t="s">
        <v>179</v>
      </c>
      <c r="AL116" s="14" t="s">
        <v>3637</v>
      </c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6" t="s">
        <v>197</v>
      </c>
      <c r="BP116" s="17" t="s">
        <v>198</v>
      </c>
      <c r="BQ116" s="18">
        <v>45678.495520833334</v>
      </c>
      <c r="BR116" s="17" t="s">
        <v>198</v>
      </c>
      <c r="BS116" s="18">
        <v>45678.49649305556</v>
      </c>
      <c r="BT116" s="17" t="s">
        <v>198</v>
      </c>
      <c r="BU116" s="18">
        <v>45678.49649305556</v>
      </c>
      <c r="BV116" s="13" t="s">
        <v>199</v>
      </c>
      <c r="BW116" s="14" t="s">
        <v>179</v>
      </c>
      <c r="BX116" s="14" t="s">
        <v>3638</v>
      </c>
      <c r="BY116" s="14" t="s">
        <v>179</v>
      </c>
      <c r="BZ116" s="14" t="s">
        <v>3639</v>
      </c>
      <c r="CA116" s="14" t="s">
        <v>179</v>
      </c>
      <c r="CB116" s="14" t="s">
        <v>3640</v>
      </c>
      <c r="CC116" s="14" t="s">
        <v>179</v>
      </c>
      <c r="CD116" s="14" t="s">
        <v>3641</v>
      </c>
      <c r="CE116" s="14" t="s">
        <v>179</v>
      </c>
      <c r="CF116" s="14" t="s">
        <v>3642</v>
      </c>
      <c r="CG116" s="14" t="s">
        <v>188</v>
      </c>
      <c r="CH116" s="14" t="s">
        <v>3643</v>
      </c>
      <c r="CI116" s="19"/>
      <c r="CJ116" s="15"/>
      <c r="CK116" s="19"/>
      <c r="CL116" s="15"/>
      <c r="CM116" s="19"/>
      <c r="CN116" s="15"/>
      <c r="CO116" s="19"/>
      <c r="CP116" s="15"/>
      <c r="CQ116" s="15"/>
      <c r="CR116" s="15"/>
      <c r="CS116" s="19"/>
      <c r="CT116" s="15"/>
      <c r="CU116" s="19"/>
      <c r="CV116" s="15"/>
      <c r="CW116" s="19"/>
      <c r="CX116" s="15"/>
      <c r="CY116" s="19"/>
      <c r="CZ116" s="15"/>
      <c r="DA116" s="16" t="s">
        <v>197</v>
      </c>
      <c r="DB116" s="17" t="s">
        <v>198</v>
      </c>
      <c r="DC116" s="20">
        <v>45689.42564814815</v>
      </c>
      <c r="DD116" s="17" t="s">
        <v>198</v>
      </c>
      <c r="DE116" s="18">
        <v>45689.425578703704</v>
      </c>
      <c r="DF116" s="17" t="s">
        <v>198</v>
      </c>
      <c r="DG116" s="18">
        <v>45689.42564814815</v>
      </c>
      <c r="DH116" s="13" t="s">
        <v>205</v>
      </c>
      <c r="DI116" s="14" t="s">
        <v>179</v>
      </c>
      <c r="DJ116" s="14" t="s">
        <v>3644</v>
      </c>
      <c r="DK116" s="14" t="s">
        <v>179</v>
      </c>
      <c r="DL116" s="14" t="s">
        <v>3645</v>
      </c>
      <c r="DM116" s="14" t="s">
        <v>179</v>
      </c>
      <c r="DN116" s="14" t="s">
        <v>3646</v>
      </c>
      <c r="DO116" s="14" t="s">
        <v>179</v>
      </c>
      <c r="DP116" s="14" t="s">
        <v>3647</v>
      </c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6" t="s">
        <v>197</v>
      </c>
      <c r="ED116" s="17" t="s">
        <v>198</v>
      </c>
      <c r="EE116" s="18">
        <v>45722.38300925926</v>
      </c>
      <c r="EF116" s="13" t="s">
        <v>209</v>
      </c>
      <c r="EG116" s="14" t="s">
        <v>179</v>
      </c>
      <c r="EH116" s="14" t="s">
        <v>3648</v>
      </c>
      <c r="EI116" s="14" t="s">
        <v>179</v>
      </c>
      <c r="EJ116" s="14" t="s">
        <v>3649</v>
      </c>
      <c r="EK116" s="14" t="s">
        <v>179</v>
      </c>
      <c r="EL116" s="14" t="s">
        <v>3649</v>
      </c>
      <c r="EM116" s="14" t="s">
        <v>179</v>
      </c>
      <c r="EN116" s="14" t="s">
        <v>3650</v>
      </c>
      <c r="EO116" s="15"/>
      <c r="EP116" s="15"/>
      <c r="EQ116" s="15"/>
      <c r="ER116" s="15"/>
      <c r="ES116" s="15"/>
      <c r="ET116" s="15"/>
      <c r="EU116" s="15"/>
      <c r="EV116" s="15"/>
      <c r="EW116" s="15"/>
      <c r="EX116" s="15"/>
      <c r="EY116" s="15"/>
      <c r="EZ116" s="15"/>
      <c r="FA116" s="15"/>
      <c r="FB116" s="15"/>
      <c r="FC116" s="16" t="s">
        <v>197</v>
      </c>
      <c r="FD116" s="17" t="s">
        <v>198</v>
      </c>
      <c r="FE116" s="18">
        <v>45722.616956018515</v>
      </c>
      <c r="FF116" s="19"/>
      <c r="FG116" s="19"/>
      <c r="FH116" s="21" t="s">
        <v>197</v>
      </c>
      <c r="FI116" s="17" t="s">
        <v>214</v>
      </c>
      <c r="FJ116" s="18">
        <v>45722.616956018515</v>
      </c>
      <c r="FK116" s="14" t="s">
        <v>3650</v>
      </c>
      <c r="FL116" s="14" t="s">
        <v>3651</v>
      </c>
      <c r="FM116" s="14" t="s">
        <v>3652</v>
      </c>
      <c r="FN116" s="14" t="s">
        <v>3653</v>
      </c>
      <c r="FO116" s="14" t="s">
        <v>3654</v>
      </c>
      <c r="FP116" s="19" t="str">
        <f t="shared" si="1"/>
        <v>Base de Dados_Images/BC7108.Imagem do Equipamento-.173427.jpg</v>
      </c>
      <c r="FQ116" s="19"/>
      <c r="FR116" s="19"/>
    </row>
    <row r="117" ht="15.75" customHeight="1">
      <c r="A117" s="12" t="s">
        <v>547</v>
      </c>
      <c r="B117" s="12" t="s">
        <v>3655</v>
      </c>
      <c r="C117" s="24" t="s">
        <v>512</v>
      </c>
      <c r="D117" s="22" t="s">
        <v>3656</v>
      </c>
      <c r="E117" s="22" t="s">
        <v>3657</v>
      </c>
      <c r="F117" s="13" t="s">
        <v>178</v>
      </c>
      <c r="G117" s="14" t="s">
        <v>179</v>
      </c>
      <c r="H117" s="14" t="s">
        <v>3658</v>
      </c>
      <c r="I117" s="14" t="s">
        <v>179</v>
      </c>
      <c r="J117" s="14" t="s">
        <v>3659</v>
      </c>
      <c r="K117" s="14" t="s">
        <v>179</v>
      </c>
      <c r="L117" s="14" t="s">
        <v>3660</v>
      </c>
      <c r="M117" s="14" t="s">
        <v>179</v>
      </c>
      <c r="N117" s="14" t="s">
        <v>3661</v>
      </c>
      <c r="O117" s="14" t="s">
        <v>179</v>
      </c>
      <c r="P117" s="14" t="s">
        <v>3662</v>
      </c>
      <c r="Q117" s="14" t="s">
        <v>179</v>
      </c>
      <c r="R117" s="14" t="s">
        <v>3663</v>
      </c>
      <c r="S117" s="14" t="s">
        <v>179</v>
      </c>
      <c r="T117" s="14" t="s">
        <v>3664</v>
      </c>
      <c r="U117" s="14" t="s">
        <v>179</v>
      </c>
      <c r="V117" s="14" t="s">
        <v>3665</v>
      </c>
      <c r="W117" s="14" t="s">
        <v>179</v>
      </c>
      <c r="X117" s="14" t="s">
        <v>3666</v>
      </c>
      <c r="Y117" s="14" t="s">
        <v>179</v>
      </c>
      <c r="Z117" s="14" t="s">
        <v>3667</v>
      </c>
      <c r="AA117" s="14" t="s">
        <v>179</v>
      </c>
      <c r="AB117" s="14" t="s">
        <v>3668</v>
      </c>
      <c r="AC117" s="14" t="s">
        <v>179</v>
      </c>
      <c r="AD117" s="14" t="s">
        <v>3669</v>
      </c>
      <c r="AE117" s="14" t="s">
        <v>179</v>
      </c>
      <c r="AF117" s="14" t="s">
        <v>3670</v>
      </c>
      <c r="AG117" s="14" t="s">
        <v>179</v>
      </c>
      <c r="AH117" s="14" t="s">
        <v>3671</v>
      </c>
      <c r="AI117" s="14" t="s">
        <v>179</v>
      </c>
      <c r="AJ117" s="14" t="s">
        <v>3672</v>
      </c>
      <c r="AK117" s="14" t="s">
        <v>179</v>
      </c>
      <c r="AL117" s="14" t="s">
        <v>3673</v>
      </c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6" t="s">
        <v>197</v>
      </c>
      <c r="BP117" s="17" t="s">
        <v>198</v>
      </c>
      <c r="BQ117" s="18">
        <v>45678.488969907405</v>
      </c>
      <c r="BR117" s="17" t="s">
        <v>198</v>
      </c>
      <c r="BS117" s="18">
        <v>45678.4891087963</v>
      </c>
      <c r="BT117" s="17" t="s">
        <v>198</v>
      </c>
      <c r="BU117" s="18">
        <v>45678.4891087963</v>
      </c>
      <c r="BV117" s="13" t="s">
        <v>199</v>
      </c>
      <c r="BW117" s="14" t="s">
        <v>179</v>
      </c>
      <c r="BX117" s="14" t="s">
        <v>3674</v>
      </c>
      <c r="BY117" s="14" t="s">
        <v>179</v>
      </c>
      <c r="BZ117" s="14" t="s">
        <v>3674</v>
      </c>
      <c r="CA117" s="14" t="s">
        <v>179</v>
      </c>
      <c r="CB117" s="14" t="s">
        <v>3675</v>
      </c>
      <c r="CC117" s="14" t="s">
        <v>179</v>
      </c>
      <c r="CD117" s="14" t="s">
        <v>3676</v>
      </c>
      <c r="CE117" s="14" t="s">
        <v>179</v>
      </c>
      <c r="CF117" s="14" t="s">
        <v>3677</v>
      </c>
      <c r="CG117" s="14" t="s">
        <v>179</v>
      </c>
      <c r="CH117" s="14" t="s">
        <v>3678</v>
      </c>
      <c r="CI117" s="19"/>
      <c r="CJ117" s="15"/>
      <c r="CK117" s="19"/>
      <c r="CL117" s="15"/>
      <c r="CM117" s="19"/>
      <c r="CN117" s="15"/>
      <c r="CO117" s="19"/>
      <c r="CP117" s="15"/>
      <c r="CQ117" s="15"/>
      <c r="CR117" s="15"/>
      <c r="CS117" s="19"/>
      <c r="CT117" s="15"/>
      <c r="CU117" s="19"/>
      <c r="CV117" s="15"/>
      <c r="CW117" s="19"/>
      <c r="CX117" s="15"/>
      <c r="CY117" s="19"/>
      <c r="CZ117" s="15"/>
      <c r="DA117" s="16" t="s">
        <v>197</v>
      </c>
      <c r="DB117" s="17" t="s">
        <v>198</v>
      </c>
      <c r="DC117" s="20">
        <v>45689.40572916667</v>
      </c>
      <c r="DD117" s="17" t="s">
        <v>198</v>
      </c>
      <c r="DE117" s="18">
        <v>45689.42623842593</v>
      </c>
      <c r="DF117" s="17" t="s">
        <v>198</v>
      </c>
      <c r="DG117" s="18">
        <v>45689.42623842593</v>
      </c>
      <c r="DH117" s="13" t="s">
        <v>205</v>
      </c>
      <c r="DI117" s="14" t="s">
        <v>179</v>
      </c>
      <c r="DJ117" s="14" t="s">
        <v>3679</v>
      </c>
      <c r="DK117" s="14" t="s">
        <v>179</v>
      </c>
      <c r="DL117" s="14" t="s">
        <v>3680</v>
      </c>
      <c r="DM117" s="14" t="s">
        <v>179</v>
      </c>
      <c r="DN117" s="14" t="s">
        <v>3681</v>
      </c>
      <c r="DO117" s="14" t="s">
        <v>179</v>
      </c>
      <c r="DP117" s="14" t="s">
        <v>3682</v>
      </c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6" t="s">
        <v>197</v>
      </c>
      <c r="ED117" s="17" t="s">
        <v>198</v>
      </c>
      <c r="EE117" s="18">
        <v>45722.3843287037</v>
      </c>
      <c r="EF117" s="13" t="s">
        <v>209</v>
      </c>
      <c r="EG117" s="14" t="s">
        <v>179</v>
      </c>
      <c r="EH117" s="14" t="s">
        <v>3683</v>
      </c>
      <c r="EI117" s="14" t="s">
        <v>179</v>
      </c>
      <c r="EJ117" s="14" t="s">
        <v>3684</v>
      </c>
      <c r="EK117" s="14" t="s">
        <v>179</v>
      </c>
      <c r="EL117" s="14" t="s">
        <v>3685</v>
      </c>
      <c r="EM117" s="14" t="s">
        <v>179</v>
      </c>
      <c r="EN117" s="14" t="s">
        <v>3685</v>
      </c>
      <c r="EO117" s="15"/>
      <c r="EP117" s="15"/>
      <c r="EQ117" s="15"/>
      <c r="ER117" s="15"/>
      <c r="ES117" s="15"/>
      <c r="ET117" s="15"/>
      <c r="EU117" s="15"/>
      <c r="EV117" s="15"/>
      <c r="EW117" s="15"/>
      <c r="EX117" s="15"/>
      <c r="EY117" s="15"/>
      <c r="EZ117" s="15"/>
      <c r="FA117" s="15"/>
      <c r="FB117" s="15"/>
      <c r="FC117" s="16" t="s">
        <v>197</v>
      </c>
      <c r="FD117" s="17" t="s">
        <v>198</v>
      </c>
      <c r="FE117" s="18">
        <v>45723.336377314816</v>
      </c>
      <c r="FF117" s="19"/>
      <c r="FG117" s="19"/>
      <c r="FH117" s="21" t="s">
        <v>197</v>
      </c>
      <c r="FI117" s="17" t="s">
        <v>214</v>
      </c>
      <c r="FJ117" s="18">
        <v>45723.336377314816</v>
      </c>
      <c r="FK117" s="14" t="s">
        <v>3685</v>
      </c>
      <c r="FL117" s="14" t="s">
        <v>3686</v>
      </c>
      <c r="FM117" s="14" t="s">
        <v>3687</v>
      </c>
      <c r="FN117" s="14" t="s">
        <v>3688</v>
      </c>
      <c r="FO117" s="14" t="s">
        <v>3689</v>
      </c>
      <c r="FP117" s="19" t="str">
        <f t="shared" si="1"/>
        <v>Base de Dados_Images/BC7109.Imagem do Equipamento-.125742.jpg</v>
      </c>
      <c r="FQ117" s="19"/>
      <c r="FR117" s="19"/>
    </row>
    <row r="118" ht="15.75" customHeight="1">
      <c r="A118" s="12" t="s">
        <v>547</v>
      </c>
      <c r="B118" s="12" t="s">
        <v>3655</v>
      </c>
      <c r="C118" s="24" t="s">
        <v>512</v>
      </c>
      <c r="D118" s="22" t="s">
        <v>3690</v>
      </c>
      <c r="E118" s="22" t="s">
        <v>3691</v>
      </c>
      <c r="F118" s="13" t="s">
        <v>178</v>
      </c>
      <c r="G118" s="14" t="s">
        <v>179</v>
      </c>
      <c r="H118" s="14" t="s">
        <v>3692</v>
      </c>
      <c r="I118" s="14" t="s">
        <v>179</v>
      </c>
      <c r="J118" s="14" t="s">
        <v>3693</v>
      </c>
      <c r="K118" s="14" t="s">
        <v>179</v>
      </c>
      <c r="L118" s="14" t="s">
        <v>3694</v>
      </c>
      <c r="M118" s="14" t="s">
        <v>179</v>
      </c>
      <c r="N118" s="14" t="s">
        <v>3695</v>
      </c>
      <c r="O118" s="14" t="s">
        <v>179</v>
      </c>
      <c r="P118" s="14" t="s">
        <v>3696</v>
      </c>
      <c r="Q118" s="14" t="s">
        <v>179</v>
      </c>
      <c r="R118" s="14" t="s">
        <v>3697</v>
      </c>
      <c r="S118" s="14" t="s">
        <v>179</v>
      </c>
      <c r="T118" s="14" t="s">
        <v>3698</v>
      </c>
      <c r="U118" s="14" t="s">
        <v>179</v>
      </c>
      <c r="V118" s="14" t="s">
        <v>3699</v>
      </c>
      <c r="W118" s="14" t="s">
        <v>179</v>
      </c>
      <c r="X118" s="14" t="s">
        <v>3700</v>
      </c>
      <c r="Y118" s="14" t="s">
        <v>179</v>
      </c>
      <c r="Z118" s="14" t="s">
        <v>3701</v>
      </c>
      <c r="AA118" s="14" t="s">
        <v>179</v>
      </c>
      <c r="AB118" s="14" t="s">
        <v>3702</v>
      </c>
      <c r="AC118" s="14" t="s">
        <v>179</v>
      </c>
      <c r="AD118" s="14" t="s">
        <v>3703</v>
      </c>
      <c r="AE118" s="14" t="s">
        <v>179</v>
      </c>
      <c r="AF118" s="14" t="s">
        <v>3704</v>
      </c>
      <c r="AG118" s="14" t="s">
        <v>179</v>
      </c>
      <c r="AH118" s="14" t="s">
        <v>3705</v>
      </c>
      <c r="AI118" s="14" t="s">
        <v>179</v>
      </c>
      <c r="AJ118" s="14" t="s">
        <v>3706</v>
      </c>
      <c r="AK118" s="14" t="s">
        <v>179</v>
      </c>
      <c r="AL118" s="14" t="s">
        <v>3707</v>
      </c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6" t="s">
        <v>197</v>
      </c>
      <c r="BP118" s="17" t="s">
        <v>198</v>
      </c>
      <c r="BQ118" s="18">
        <v>45678.49018518518</v>
      </c>
      <c r="BR118" s="17" t="s">
        <v>198</v>
      </c>
      <c r="BS118" s="18">
        <v>45678.49052083334</v>
      </c>
      <c r="BT118" s="17" t="s">
        <v>198</v>
      </c>
      <c r="BU118" s="18">
        <v>45678.49052083334</v>
      </c>
      <c r="BV118" s="13" t="s">
        <v>199</v>
      </c>
      <c r="BW118" s="14" t="s">
        <v>179</v>
      </c>
      <c r="BX118" s="14" t="s">
        <v>3708</v>
      </c>
      <c r="BY118" s="14" t="s">
        <v>179</v>
      </c>
      <c r="BZ118" s="14" t="s">
        <v>3709</v>
      </c>
      <c r="CA118" s="14" t="s">
        <v>179</v>
      </c>
      <c r="CB118" s="14" t="s">
        <v>3710</v>
      </c>
      <c r="CC118" s="14" t="s">
        <v>179</v>
      </c>
      <c r="CD118" s="14" t="s">
        <v>3711</v>
      </c>
      <c r="CE118" s="14" t="s">
        <v>179</v>
      </c>
      <c r="CF118" s="14" t="s">
        <v>3712</v>
      </c>
      <c r="CG118" s="14" t="s">
        <v>188</v>
      </c>
      <c r="CH118" s="14" t="s">
        <v>3713</v>
      </c>
      <c r="CI118" s="19"/>
      <c r="CJ118" s="15"/>
      <c r="CK118" s="19"/>
      <c r="CL118" s="15"/>
      <c r="CM118" s="19"/>
      <c r="CN118" s="15"/>
      <c r="CO118" s="19"/>
      <c r="CP118" s="15"/>
      <c r="CQ118" s="15"/>
      <c r="CR118" s="15"/>
      <c r="CS118" s="19"/>
      <c r="CT118" s="15"/>
      <c r="CU118" s="19"/>
      <c r="CV118" s="15"/>
      <c r="CW118" s="19"/>
      <c r="CX118" s="15"/>
      <c r="CY118" s="19"/>
      <c r="CZ118" s="15"/>
      <c r="DA118" s="16" t="s">
        <v>197</v>
      </c>
      <c r="DB118" s="17" t="s">
        <v>198</v>
      </c>
      <c r="DC118" s="20">
        <v>45689.40604166667</v>
      </c>
      <c r="DD118" s="17" t="s">
        <v>198</v>
      </c>
      <c r="DE118" s="18">
        <v>45689.42638888889</v>
      </c>
      <c r="DF118" s="17" t="s">
        <v>198</v>
      </c>
      <c r="DG118" s="18">
        <v>45689.42638888889</v>
      </c>
      <c r="DH118" s="13" t="s">
        <v>205</v>
      </c>
      <c r="DI118" s="14" t="s">
        <v>179</v>
      </c>
      <c r="DJ118" s="14" t="s">
        <v>3714</v>
      </c>
      <c r="DK118" s="14" t="s">
        <v>179</v>
      </c>
      <c r="DL118" s="14" t="s">
        <v>3714</v>
      </c>
      <c r="DM118" s="14" t="s">
        <v>179</v>
      </c>
      <c r="DN118" s="14" t="s">
        <v>3715</v>
      </c>
      <c r="DO118" s="14" t="s">
        <v>179</v>
      </c>
      <c r="DP118" s="14" t="s">
        <v>3715</v>
      </c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6" t="s">
        <v>197</v>
      </c>
      <c r="ED118" s="17" t="s">
        <v>198</v>
      </c>
      <c r="EE118" s="18">
        <v>45722.38444444445</v>
      </c>
      <c r="EF118" s="13" t="s">
        <v>209</v>
      </c>
      <c r="EG118" s="14" t="s">
        <v>179</v>
      </c>
      <c r="EH118" s="14" t="s">
        <v>3716</v>
      </c>
      <c r="EI118" s="14" t="s">
        <v>179</v>
      </c>
      <c r="EJ118" s="14" t="s">
        <v>3716</v>
      </c>
      <c r="EK118" s="14" t="s">
        <v>179</v>
      </c>
      <c r="EL118" s="14" t="s">
        <v>3717</v>
      </c>
      <c r="EM118" s="14" t="s">
        <v>179</v>
      </c>
      <c r="EN118" s="14" t="s">
        <v>3718</v>
      </c>
      <c r="EO118" s="15"/>
      <c r="EP118" s="15"/>
      <c r="EQ118" s="15"/>
      <c r="ER118" s="15"/>
      <c r="ES118" s="15"/>
      <c r="ET118" s="15"/>
      <c r="EU118" s="15"/>
      <c r="EV118" s="15"/>
      <c r="EW118" s="15"/>
      <c r="EX118" s="15"/>
      <c r="EY118" s="15"/>
      <c r="EZ118" s="15"/>
      <c r="FA118" s="15"/>
      <c r="FB118" s="15"/>
      <c r="FC118" s="16" t="s">
        <v>197</v>
      </c>
      <c r="FD118" s="17" t="s">
        <v>198</v>
      </c>
      <c r="FE118" s="18">
        <v>45723.33646990741</v>
      </c>
      <c r="FF118" s="19"/>
      <c r="FG118" s="19"/>
      <c r="FH118" s="21" t="s">
        <v>197</v>
      </c>
      <c r="FI118" s="17" t="s">
        <v>214</v>
      </c>
      <c r="FJ118" s="18">
        <v>45723.33646990741</v>
      </c>
      <c r="FK118" s="14" t="s">
        <v>3718</v>
      </c>
      <c r="FL118" s="14" t="s">
        <v>3719</v>
      </c>
      <c r="FM118" s="14" t="s">
        <v>3720</v>
      </c>
      <c r="FN118" s="14" t="s">
        <v>3721</v>
      </c>
      <c r="FO118" s="14" t="s">
        <v>3722</v>
      </c>
      <c r="FP118" s="19" t="str">
        <f t="shared" si="1"/>
        <v>Base de Dados_Images/BC7110.Imagem do Equipamento-.125757.jpg</v>
      </c>
      <c r="FQ118" s="19"/>
      <c r="FR118" s="19"/>
    </row>
    <row r="119" ht="15.75" customHeight="1">
      <c r="A119" s="12" t="s">
        <v>547</v>
      </c>
      <c r="B119" s="12" t="s">
        <v>3723</v>
      </c>
      <c r="C119" s="24" t="s">
        <v>512</v>
      </c>
      <c r="D119" s="22" t="s">
        <v>3724</v>
      </c>
      <c r="E119" s="22" t="s">
        <v>3725</v>
      </c>
      <c r="F119" s="13" t="s">
        <v>178</v>
      </c>
      <c r="G119" s="14" t="s">
        <v>179</v>
      </c>
      <c r="H119" s="14" t="s">
        <v>3726</v>
      </c>
      <c r="I119" s="14" t="s">
        <v>179</v>
      </c>
      <c r="J119" s="14" t="s">
        <v>3727</v>
      </c>
      <c r="K119" s="14" t="s">
        <v>179</v>
      </c>
      <c r="L119" s="14" t="s">
        <v>3728</v>
      </c>
      <c r="M119" s="14" t="s">
        <v>179</v>
      </c>
      <c r="N119" s="14" t="s">
        <v>3729</v>
      </c>
      <c r="O119" s="14" t="s">
        <v>179</v>
      </c>
      <c r="P119" s="14" t="s">
        <v>3730</v>
      </c>
      <c r="Q119" s="14" t="s">
        <v>179</v>
      </c>
      <c r="R119" s="14" t="s">
        <v>3731</v>
      </c>
      <c r="S119" s="14" t="s">
        <v>179</v>
      </c>
      <c r="T119" s="14" t="s">
        <v>3732</v>
      </c>
      <c r="U119" s="14" t="s">
        <v>179</v>
      </c>
      <c r="V119" s="14" t="s">
        <v>3733</v>
      </c>
      <c r="W119" s="14" t="s">
        <v>179</v>
      </c>
      <c r="X119" s="14" t="s">
        <v>3734</v>
      </c>
      <c r="Y119" s="14" t="s">
        <v>179</v>
      </c>
      <c r="Z119" s="14" t="s">
        <v>3735</v>
      </c>
      <c r="AA119" s="14" t="s">
        <v>179</v>
      </c>
      <c r="AB119" s="14" t="s">
        <v>3736</v>
      </c>
      <c r="AC119" s="14" t="s">
        <v>179</v>
      </c>
      <c r="AD119" s="14" t="s">
        <v>3737</v>
      </c>
      <c r="AE119" s="14" t="s">
        <v>179</v>
      </c>
      <c r="AF119" s="14" t="s">
        <v>3738</v>
      </c>
      <c r="AG119" s="14" t="s">
        <v>179</v>
      </c>
      <c r="AH119" s="14" t="s">
        <v>3739</v>
      </c>
      <c r="AI119" s="14" t="s">
        <v>179</v>
      </c>
      <c r="AJ119" s="14" t="s">
        <v>3740</v>
      </c>
      <c r="AK119" s="14" t="s">
        <v>179</v>
      </c>
      <c r="AL119" s="14" t="s">
        <v>3741</v>
      </c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7" t="s">
        <v>197</v>
      </c>
      <c r="BP119" s="17" t="s">
        <v>198</v>
      </c>
      <c r="BQ119" s="18">
        <v>45678.463113425925</v>
      </c>
      <c r="BR119" s="17" t="s">
        <v>198</v>
      </c>
      <c r="BS119" s="18">
        <v>45688.50362268519</v>
      </c>
      <c r="BT119" s="17" t="s">
        <v>198</v>
      </c>
      <c r="BU119" s="18">
        <v>45688.50362268519</v>
      </c>
      <c r="BV119" s="13" t="s">
        <v>199</v>
      </c>
      <c r="BW119" s="14" t="s">
        <v>179</v>
      </c>
      <c r="BX119" s="14" t="s">
        <v>3742</v>
      </c>
      <c r="BY119" s="14" t="s">
        <v>179</v>
      </c>
      <c r="BZ119" s="14" t="s">
        <v>3743</v>
      </c>
      <c r="CA119" s="14" t="s">
        <v>179</v>
      </c>
      <c r="CB119" s="14" t="s">
        <v>3744</v>
      </c>
      <c r="CC119" s="14" t="s">
        <v>179</v>
      </c>
      <c r="CD119" s="14" t="s">
        <v>3745</v>
      </c>
      <c r="CE119" s="14" t="s">
        <v>179</v>
      </c>
      <c r="CF119" s="14" t="s">
        <v>3746</v>
      </c>
      <c r="CG119" s="14" t="s">
        <v>188</v>
      </c>
      <c r="CH119" s="14" t="s">
        <v>3747</v>
      </c>
      <c r="CI119" s="19"/>
      <c r="CJ119" s="15"/>
      <c r="CK119" s="19"/>
      <c r="CL119" s="15"/>
      <c r="CM119" s="19"/>
      <c r="CN119" s="15"/>
      <c r="CO119" s="19"/>
      <c r="CP119" s="15"/>
      <c r="CQ119" s="15"/>
      <c r="CR119" s="15"/>
      <c r="CS119" s="19"/>
      <c r="CT119" s="15"/>
      <c r="CU119" s="19"/>
      <c r="CV119" s="15"/>
      <c r="CW119" s="19"/>
      <c r="CX119" s="15"/>
      <c r="CY119" s="19"/>
      <c r="CZ119" s="15"/>
      <c r="DA119" s="16" t="s">
        <v>197</v>
      </c>
      <c r="DB119" s="17" t="s">
        <v>198</v>
      </c>
      <c r="DC119" s="20">
        <v>45689.43890046296</v>
      </c>
      <c r="DD119" s="17" t="s">
        <v>198</v>
      </c>
      <c r="DE119" s="18">
        <v>45689.43894675926</v>
      </c>
      <c r="DF119" s="17" t="s">
        <v>198</v>
      </c>
      <c r="DG119" s="18">
        <v>45689.43894675926</v>
      </c>
      <c r="DH119" s="13" t="s">
        <v>205</v>
      </c>
      <c r="DI119" s="14" t="s">
        <v>179</v>
      </c>
      <c r="DJ119" s="14" t="s">
        <v>3748</v>
      </c>
      <c r="DK119" s="14" t="s">
        <v>179</v>
      </c>
      <c r="DL119" s="14" t="s">
        <v>3748</v>
      </c>
      <c r="DM119" s="14" t="s">
        <v>179</v>
      </c>
      <c r="DN119" s="14" t="s">
        <v>3748</v>
      </c>
      <c r="DO119" s="14" t="s">
        <v>179</v>
      </c>
      <c r="DP119" s="14" t="s">
        <v>3749</v>
      </c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6" t="s">
        <v>197</v>
      </c>
      <c r="ED119" s="17" t="s">
        <v>198</v>
      </c>
      <c r="EE119" s="18">
        <v>45722.3852662037</v>
      </c>
      <c r="EF119" s="13" t="s">
        <v>209</v>
      </c>
      <c r="EG119" s="14" t="s">
        <v>179</v>
      </c>
      <c r="EH119" s="14" t="s">
        <v>3750</v>
      </c>
      <c r="EI119" s="14" t="s">
        <v>179</v>
      </c>
      <c r="EJ119" s="14" t="s">
        <v>3751</v>
      </c>
      <c r="EK119" s="14" t="s">
        <v>179</v>
      </c>
      <c r="EL119" s="14" t="s">
        <v>3752</v>
      </c>
      <c r="EM119" s="14" t="s">
        <v>179</v>
      </c>
      <c r="EN119" s="14" t="s">
        <v>3753</v>
      </c>
      <c r="EO119" s="15"/>
      <c r="EP119" s="15"/>
      <c r="EQ119" s="15"/>
      <c r="ER119" s="15"/>
      <c r="ES119" s="15"/>
      <c r="ET119" s="15"/>
      <c r="EU119" s="15"/>
      <c r="EV119" s="15"/>
      <c r="EW119" s="15"/>
      <c r="EX119" s="15"/>
      <c r="EY119" s="15"/>
      <c r="EZ119" s="15"/>
      <c r="FA119" s="15"/>
      <c r="FB119" s="15"/>
      <c r="FC119" s="16" t="s">
        <v>197</v>
      </c>
      <c r="FD119" s="17" t="s">
        <v>198</v>
      </c>
      <c r="FE119" s="18">
        <v>45723.33431712963</v>
      </c>
      <c r="FF119" s="19"/>
      <c r="FG119" s="19"/>
      <c r="FH119" s="21" t="s">
        <v>197</v>
      </c>
      <c r="FI119" s="17" t="s">
        <v>214</v>
      </c>
      <c r="FJ119" s="18">
        <v>45723.33431712963</v>
      </c>
      <c r="FK119" s="14" t="s">
        <v>3753</v>
      </c>
      <c r="FL119" s="14" t="s">
        <v>3754</v>
      </c>
      <c r="FM119" s="14" t="s">
        <v>3755</v>
      </c>
      <c r="FN119" s="14" t="s">
        <v>3756</v>
      </c>
      <c r="FO119" s="14" t="s">
        <v>3757</v>
      </c>
      <c r="FP119" s="19" t="str">
        <f t="shared" si="1"/>
        <v>Base de Dados_Images/BC7111.Imagem do Equipamento-.144354.jpg</v>
      </c>
      <c r="FQ119" s="19"/>
      <c r="FR119" s="19"/>
    </row>
    <row r="120" ht="15.75" customHeight="1">
      <c r="A120" s="12" t="s">
        <v>547</v>
      </c>
      <c r="B120" s="12" t="s">
        <v>3723</v>
      </c>
      <c r="C120" s="24" t="s">
        <v>512</v>
      </c>
      <c r="D120" s="22" t="s">
        <v>3758</v>
      </c>
      <c r="E120" s="22" t="s">
        <v>3759</v>
      </c>
      <c r="F120" s="13" t="s">
        <v>178</v>
      </c>
      <c r="G120" s="14" t="s">
        <v>179</v>
      </c>
      <c r="H120" s="14" t="s">
        <v>3760</v>
      </c>
      <c r="I120" s="14" t="s">
        <v>179</v>
      </c>
      <c r="J120" s="14" t="s">
        <v>3761</v>
      </c>
      <c r="K120" s="14" t="s">
        <v>179</v>
      </c>
      <c r="L120" s="14" t="s">
        <v>3762</v>
      </c>
      <c r="M120" s="14" t="s">
        <v>179</v>
      </c>
      <c r="N120" s="14" t="s">
        <v>3763</v>
      </c>
      <c r="O120" s="14" t="s">
        <v>179</v>
      </c>
      <c r="P120" s="14" t="s">
        <v>3764</v>
      </c>
      <c r="Q120" s="14" t="s">
        <v>179</v>
      </c>
      <c r="R120" s="14" t="s">
        <v>3765</v>
      </c>
      <c r="S120" s="14" t="s">
        <v>179</v>
      </c>
      <c r="T120" s="14" t="s">
        <v>3766</v>
      </c>
      <c r="U120" s="14" t="s">
        <v>179</v>
      </c>
      <c r="V120" s="14" t="s">
        <v>3767</v>
      </c>
      <c r="W120" s="14" t="s">
        <v>179</v>
      </c>
      <c r="X120" s="14" t="s">
        <v>3768</v>
      </c>
      <c r="Y120" s="14" t="s">
        <v>179</v>
      </c>
      <c r="Z120" s="14" t="s">
        <v>3769</v>
      </c>
      <c r="AA120" s="14" t="s">
        <v>179</v>
      </c>
      <c r="AB120" s="14" t="s">
        <v>3770</v>
      </c>
      <c r="AC120" s="14" t="s">
        <v>179</v>
      </c>
      <c r="AD120" s="14" t="s">
        <v>3771</v>
      </c>
      <c r="AE120" s="14" t="s">
        <v>179</v>
      </c>
      <c r="AF120" s="14" t="s">
        <v>3772</v>
      </c>
      <c r="AG120" s="14" t="s">
        <v>179</v>
      </c>
      <c r="AH120" s="14" t="s">
        <v>3773</v>
      </c>
      <c r="AI120" s="14" t="s">
        <v>179</v>
      </c>
      <c r="AJ120" s="14" t="s">
        <v>3774</v>
      </c>
      <c r="AK120" s="14" t="s">
        <v>179</v>
      </c>
      <c r="AL120" s="14" t="s">
        <v>3775</v>
      </c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7" t="s">
        <v>197</v>
      </c>
      <c r="BP120" s="17" t="s">
        <v>198</v>
      </c>
      <c r="BQ120" s="18">
        <v>45678.46440972222</v>
      </c>
      <c r="BR120" s="17" t="s">
        <v>198</v>
      </c>
      <c r="BS120" s="18">
        <v>45688.50320601852</v>
      </c>
      <c r="BT120" s="17" t="s">
        <v>198</v>
      </c>
      <c r="BU120" s="18">
        <v>45688.50320601852</v>
      </c>
      <c r="BV120" s="13" t="s">
        <v>199</v>
      </c>
      <c r="BW120" s="14" t="s">
        <v>179</v>
      </c>
      <c r="BX120" s="14" t="s">
        <v>3776</v>
      </c>
      <c r="BY120" s="14" t="s">
        <v>179</v>
      </c>
      <c r="BZ120" s="14" t="s">
        <v>3777</v>
      </c>
      <c r="CA120" s="14" t="s">
        <v>179</v>
      </c>
      <c r="CB120" s="14" t="s">
        <v>3778</v>
      </c>
      <c r="CC120" s="14" t="s">
        <v>179</v>
      </c>
      <c r="CD120" s="14" t="s">
        <v>3779</v>
      </c>
      <c r="CE120" s="14" t="s">
        <v>179</v>
      </c>
      <c r="CF120" s="14" t="s">
        <v>3780</v>
      </c>
      <c r="CG120" s="14" t="s">
        <v>188</v>
      </c>
      <c r="CH120" s="14" t="s">
        <v>3781</v>
      </c>
      <c r="CI120" s="19"/>
      <c r="CJ120" s="15"/>
      <c r="CK120" s="19"/>
      <c r="CL120" s="15"/>
      <c r="CM120" s="19"/>
      <c r="CN120" s="15"/>
      <c r="CO120" s="19"/>
      <c r="CP120" s="15"/>
      <c r="CQ120" s="15"/>
      <c r="CR120" s="15"/>
      <c r="CS120" s="19"/>
      <c r="CT120" s="15"/>
      <c r="CU120" s="19"/>
      <c r="CV120" s="15"/>
      <c r="CW120" s="19"/>
      <c r="CX120" s="15"/>
      <c r="CY120" s="19"/>
      <c r="CZ120" s="15"/>
      <c r="DA120" s="16" t="s">
        <v>197</v>
      </c>
      <c r="DB120" s="17" t="s">
        <v>198</v>
      </c>
      <c r="DC120" s="20">
        <v>45689.43912037037</v>
      </c>
      <c r="DD120" s="17" t="s">
        <v>198</v>
      </c>
      <c r="DE120" s="18">
        <v>45689.43920138889</v>
      </c>
      <c r="DF120" s="17" t="s">
        <v>198</v>
      </c>
      <c r="DG120" s="18">
        <v>45689.43920138889</v>
      </c>
      <c r="DH120" s="13" t="s">
        <v>205</v>
      </c>
      <c r="DI120" s="14" t="s">
        <v>179</v>
      </c>
      <c r="DJ120" s="14" t="s">
        <v>3782</v>
      </c>
      <c r="DK120" s="14" t="s">
        <v>179</v>
      </c>
      <c r="DL120" s="14" t="s">
        <v>3783</v>
      </c>
      <c r="DM120" s="14" t="s">
        <v>179</v>
      </c>
      <c r="DN120" s="14" t="s">
        <v>3784</v>
      </c>
      <c r="DO120" s="14" t="s">
        <v>179</v>
      </c>
      <c r="DP120" s="14" t="s">
        <v>3784</v>
      </c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6" t="s">
        <v>197</v>
      </c>
      <c r="ED120" s="17" t="s">
        <v>198</v>
      </c>
      <c r="EE120" s="18">
        <v>45722.38537037037</v>
      </c>
      <c r="EF120" s="13" t="s">
        <v>209</v>
      </c>
      <c r="EG120" s="14" t="s">
        <v>179</v>
      </c>
      <c r="EH120" s="14" t="s">
        <v>3785</v>
      </c>
      <c r="EI120" s="14" t="s">
        <v>179</v>
      </c>
      <c r="EJ120" s="14" t="s">
        <v>3786</v>
      </c>
      <c r="EK120" s="14" t="s">
        <v>179</v>
      </c>
      <c r="EL120" s="14" t="s">
        <v>3787</v>
      </c>
      <c r="EM120" s="14" t="s">
        <v>179</v>
      </c>
      <c r="EN120" s="14" t="s">
        <v>3788</v>
      </c>
      <c r="EO120" s="15"/>
      <c r="EP120" s="15"/>
      <c r="EQ120" s="15"/>
      <c r="ER120" s="15"/>
      <c r="ES120" s="15"/>
      <c r="ET120" s="15"/>
      <c r="EU120" s="15"/>
      <c r="EV120" s="15"/>
      <c r="EW120" s="15"/>
      <c r="EX120" s="15"/>
      <c r="EY120" s="15"/>
      <c r="EZ120" s="15"/>
      <c r="FA120" s="15"/>
      <c r="FB120" s="15"/>
      <c r="FC120" s="16" t="s">
        <v>197</v>
      </c>
      <c r="FD120" s="17" t="s">
        <v>198</v>
      </c>
      <c r="FE120" s="18">
        <v>45723.58422453704</v>
      </c>
      <c r="FF120" s="19"/>
      <c r="FG120" s="19"/>
      <c r="FH120" s="21" t="s">
        <v>197</v>
      </c>
      <c r="FI120" s="17" t="s">
        <v>214</v>
      </c>
      <c r="FJ120" s="18">
        <v>45723.58422453704</v>
      </c>
      <c r="FK120" s="14" t="s">
        <v>3788</v>
      </c>
      <c r="FL120" s="14" t="s">
        <v>3789</v>
      </c>
      <c r="FM120" s="14" t="s">
        <v>3790</v>
      </c>
      <c r="FN120" s="14" t="s">
        <v>3791</v>
      </c>
      <c r="FO120" s="14" t="s">
        <v>3792</v>
      </c>
      <c r="FP120" s="19" t="str">
        <f t="shared" si="1"/>
        <v>Base de Dados_Images/BC7112.Imagem do Equipamento-.144545.jpg</v>
      </c>
      <c r="FQ120" s="19"/>
      <c r="FR120" s="19"/>
    </row>
    <row r="121" ht="15.75" customHeight="1">
      <c r="A121" s="12" t="s">
        <v>547</v>
      </c>
      <c r="B121" s="12" t="s">
        <v>548</v>
      </c>
      <c r="C121" s="24" t="s">
        <v>512</v>
      </c>
      <c r="D121" s="12" t="s">
        <v>3793</v>
      </c>
      <c r="E121" s="12"/>
      <c r="F121" s="13" t="s">
        <v>178</v>
      </c>
      <c r="G121" s="14" t="s">
        <v>179</v>
      </c>
      <c r="H121" s="14" t="s">
        <v>3794</v>
      </c>
      <c r="I121" s="14" t="s">
        <v>179</v>
      </c>
      <c r="J121" s="14" t="s">
        <v>3795</v>
      </c>
      <c r="K121" s="14" t="s">
        <v>179</v>
      </c>
      <c r="L121" s="14" t="s">
        <v>3796</v>
      </c>
      <c r="M121" s="14" t="s">
        <v>179</v>
      </c>
      <c r="N121" s="14" t="s">
        <v>3797</v>
      </c>
      <c r="O121" s="14" t="s">
        <v>179</v>
      </c>
      <c r="P121" s="14" t="s">
        <v>3798</v>
      </c>
      <c r="Q121" s="14" t="s">
        <v>179</v>
      </c>
      <c r="R121" s="14" t="s">
        <v>3799</v>
      </c>
      <c r="S121" s="14" t="s">
        <v>179</v>
      </c>
      <c r="T121" s="14" t="s">
        <v>3800</v>
      </c>
      <c r="U121" s="14" t="s">
        <v>179</v>
      </c>
      <c r="V121" s="14" t="s">
        <v>3801</v>
      </c>
      <c r="W121" s="14" t="s">
        <v>179</v>
      </c>
      <c r="X121" s="14" t="s">
        <v>3802</v>
      </c>
      <c r="Y121" s="14" t="s">
        <v>179</v>
      </c>
      <c r="Z121" s="14" t="s">
        <v>3803</v>
      </c>
      <c r="AA121" s="14" t="s">
        <v>179</v>
      </c>
      <c r="AB121" s="14" t="s">
        <v>3804</v>
      </c>
      <c r="AC121" s="14" t="s">
        <v>179</v>
      </c>
      <c r="AD121" s="14" t="s">
        <v>3805</v>
      </c>
      <c r="AE121" s="14" t="s">
        <v>179</v>
      </c>
      <c r="AF121" s="14" t="s">
        <v>3806</v>
      </c>
      <c r="AG121" s="14" t="s">
        <v>179</v>
      </c>
      <c r="AH121" s="14" t="s">
        <v>3807</v>
      </c>
      <c r="AI121" s="14" t="s">
        <v>179</v>
      </c>
      <c r="AJ121" s="14" t="s">
        <v>3808</v>
      </c>
      <c r="AK121" s="14" t="s">
        <v>179</v>
      </c>
      <c r="AL121" s="14" t="s">
        <v>3809</v>
      </c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6" t="s">
        <v>197</v>
      </c>
      <c r="BP121" s="17" t="s">
        <v>198</v>
      </c>
      <c r="BQ121" s="18">
        <v>45688.65332175926</v>
      </c>
      <c r="BR121" s="17" t="s">
        <v>198</v>
      </c>
      <c r="BS121" s="18">
        <v>45688.65336805556</v>
      </c>
      <c r="BT121" s="17" t="s">
        <v>198</v>
      </c>
      <c r="BU121" s="18">
        <v>45688.65336805556</v>
      </c>
      <c r="BV121" s="13" t="s">
        <v>199</v>
      </c>
      <c r="BW121" s="14" t="s">
        <v>179</v>
      </c>
      <c r="BX121" s="14" t="s">
        <v>3810</v>
      </c>
      <c r="BY121" s="14" t="s">
        <v>179</v>
      </c>
      <c r="BZ121" s="14" t="s">
        <v>3811</v>
      </c>
      <c r="CA121" s="14" t="s">
        <v>179</v>
      </c>
      <c r="CB121" s="14" t="s">
        <v>3812</v>
      </c>
      <c r="CC121" s="14" t="s">
        <v>179</v>
      </c>
      <c r="CD121" s="14" t="s">
        <v>3813</v>
      </c>
      <c r="CE121" s="14" t="s">
        <v>179</v>
      </c>
      <c r="CF121" s="14" t="s">
        <v>3814</v>
      </c>
      <c r="CG121" s="14" t="s">
        <v>179</v>
      </c>
      <c r="CH121" s="14" t="s">
        <v>3815</v>
      </c>
      <c r="CI121" s="19"/>
      <c r="CJ121" s="15"/>
      <c r="CK121" s="19"/>
      <c r="CL121" s="15"/>
      <c r="CM121" s="19"/>
      <c r="CN121" s="15"/>
      <c r="CO121" s="19"/>
      <c r="CP121" s="15"/>
      <c r="CQ121" s="15"/>
      <c r="CR121" s="15"/>
      <c r="CS121" s="19"/>
      <c r="CT121" s="15"/>
      <c r="CU121" s="19"/>
      <c r="CV121" s="15"/>
      <c r="CW121" s="19"/>
      <c r="CX121" s="15"/>
      <c r="CY121" s="19"/>
      <c r="CZ121" s="15"/>
      <c r="DA121" s="16" t="s">
        <v>197</v>
      </c>
      <c r="DB121" s="17" t="s">
        <v>198</v>
      </c>
      <c r="DC121" s="20">
        <v>45689.40715277778</v>
      </c>
      <c r="DD121" s="17" t="s">
        <v>198</v>
      </c>
      <c r="DE121" s="18">
        <v>45692.64179398148</v>
      </c>
      <c r="DF121" s="17" t="s">
        <v>198</v>
      </c>
      <c r="DG121" s="18">
        <v>45692.64179398148</v>
      </c>
      <c r="DH121" s="13" t="s">
        <v>205</v>
      </c>
      <c r="DI121" s="14" t="s">
        <v>179</v>
      </c>
      <c r="DJ121" s="14" t="s">
        <v>3816</v>
      </c>
      <c r="DK121" s="14" t="s">
        <v>179</v>
      </c>
      <c r="DL121" s="14" t="s">
        <v>3817</v>
      </c>
      <c r="DM121" s="14" t="s">
        <v>179</v>
      </c>
      <c r="DN121" s="14" t="s">
        <v>3818</v>
      </c>
      <c r="DO121" s="14" t="s">
        <v>179</v>
      </c>
      <c r="DP121" s="14" t="s">
        <v>3819</v>
      </c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6" t="s">
        <v>197</v>
      </c>
      <c r="ED121" s="17" t="s">
        <v>198</v>
      </c>
      <c r="EE121" s="18">
        <v>45722.382627314815</v>
      </c>
      <c r="EF121" s="13" t="s">
        <v>209</v>
      </c>
      <c r="EG121" s="14" t="s">
        <v>179</v>
      </c>
      <c r="EH121" s="14" t="s">
        <v>3820</v>
      </c>
      <c r="EI121" s="14" t="s">
        <v>179</v>
      </c>
      <c r="EJ121" s="14" t="s">
        <v>3820</v>
      </c>
      <c r="EK121" s="14" t="s">
        <v>179</v>
      </c>
      <c r="EL121" s="14" t="s">
        <v>3821</v>
      </c>
      <c r="EM121" s="14" t="s">
        <v>179</v>
      </c>
      <c r="EN121" s="14" t="s">
        <v>3822</v>
      </c>
      <c r="EO121" s="15"/>
      <c r="EP121" s="15"/>
      <c r="EQ121" s="15"/>
      <c r="ER121" s="15"/>
      <c r="ES121" s="15"/>
      <c r="ET121" s="15"/>
      <c r="EU121" s="15"/>
      <c r="EV121" s="15"/>
      <c r="EW121" s="15"/>
      <c r="EX121" s="15"/>
      <c r="EY121" s="15"/>
      <c r="EZ121" s="15"/>
      <c r="FA121" s="15"/>
      <c r="FB121" s="15"/>
      <c r="FC121" s="16" t="s">
        <v>197</v>
      </c>
      <c r="FD121" s="17" t="s">
        <v>198</v>
      </c>
      <c r="FE121" s="18">
        <v>45722.61309027778</v>
      </c>
      <c r="FF121" s="19"/>
      <c r="FG121" s="19"/>
      <c r="FH121" s="21" t="s">
        <v>197</v>
      </c>
      <c r="FI121" s="17" t="s">
        <v>214</v>
      </c>
      <c r="FJ121" s="18">
        <v>45722.61309027778</v>
      </c>
      <c r="FK121" s="14" t="s">
        <v>3822</v>
      </c>
      <c r="FL121" s="14" t="s">
        <v>3823</v>
      </c>
      <c r="FM121" s="14" t="s">
        <v>3824</v>
      </c>
      <c r="FN121" s="19"/>
      <c r="FO121" s="19"/>
      <c r="FP121" s="19" t="str">
        <f t="shared" si="1"/>
        <v>Base de Dados_Images/BC7113 ETANOL DE 2° ESTOQUE P- VOLANTE.Imagem do Equipamento-.184026.jpg</v>
      </c>
      <c r="FQ121" s="19"/>
      <c r="FR121" s="19"/>
    </row>
    <row r="122" ht="15.75" customHeight="1">
      <c r="A122" s="12" t="s">
        <v>547</v>
      </c>
      <c r="B122" s="12" t="s">
        <v>3825</v>
      </c>
      <c r="C122" s="24" t="s">
        <v>512</v>
      </c>
      <c r="D122" s="12" t="s">
        <v>3826</v>
      </c>
      <c r="E122" s="12" t="s">
        <v>3827</v>
      </c>
      <c r="F122" s="13" t="s">
        <v>178</v>
      </c>
      <c r="G122" s="14" t="s">
        <v>179</v>
      </c>
      <c r="H122" s="14" t="s">
        <v>3828</v>
      </c>
      <c r="I122" s="14" t="s">
        <v>179</v>
      </c>
      <c r="J122" s="14" t="s">
        <v>3829</v>
      </c>
      <c r="K122" s="14" t="s">
        <v>179</v>
      </c>
      <c r="L122" s="14" t="s">
        <v>3830</v>
      </c>
      <c r="M122" s="14" t="s">
        <v>179</v>
      </c>
      <c r="N122" s="14" t="s">
        <v>3831</v>
      </c>
      <c r="O122" s="14" t="s">
        <v>179</v>
      </c>
      <c r="P122" s="14" t="s">
        <v>3832</v>
      </c>
      <c r="Q122" s="14" t="s">
        <v>179</v>
      </c>
      <c r="R122" s="14" t="s">
        <v>3833</v>
      </c>
      <c r="S122" s="14" t="s">
        <v>179</v>
      </c>
      <c r="T122" s="14" t="s">
        <v>3834</v>
      </c>
      <c r="U122" s="14" t="s">
        <v>179</v>
      </c>
      <c r="V122" s="14" t="s">
        <v>3835</v>
      </c>
      <c r="W122" s="14" t="s">
        <v>179</v>
      </c>
      <c r="X122" s="14" t="s">
        <v>3836</v>
      </c>
      <c r="Y122" s="14" t="s">
        <v>179</v>
      </c>
      <c r="Z122" s="14" t="s">
        <v>3837</v>
      </c>
      <c r="AA122" s="14" t="s">
        <v>179</v>
      </c>
      <c r="AB122" s="14" t="s">
        <v>3838</v>
      </c>
      <c r="AC122" s="14" t="s">
        <v>179</v>
      </c>
      <c r="AD122" s="14" t="s">
        <v>3839</v>
      </c>
      <c r="AE122" s="14" t="s">
        <v>179</v>
      </c>
      <c r="AF122" s="14" t="s">
        <v>3840</v>
      </c>
      <c r="AG122" s="14" t="s">
        <v>179</v>
      </c>
      <c r="AH122" s="14" t="s">
        <v>3841</v>
      </c>
      <c r="AI122" s="14" t="s">
        <v>179</v>
      </c>
      <c r="AJ122" s="14" t="s">
        <v>3842</v>
      </c>
      <c r="AK122" s="14" t="s">
        <v>179</v>
      </c>
      <c r="AL122" s="14" t="s">
        <v>3843</v>
      </c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6" t="s">
        <v>197</v>
      </c>
      <c r="BP122" s="17" t="s">
        <v>198</v>
      </c>
      <c r="BQ122" s="18">
        <v>45678.56753472222</v>
      </c>
      <c r="BR122" s="17" t="s">
        <v>198</v>
      </c>
      <c r="BS122" s="18">
        <v>45678.567453703705</v>
      </c>
      <c r="BT122" s="17" t="s">
        <v>198</v>
      </c>
      <c r="BU122" s="18">
        <v>45678.56753472222</v>
      </c>
      <c r="BV122" s="13" t="s">
        <v>199</v>
      </c>
      <c r="BW122" s="14" t="s">
        <v>179</v>
      </c>
      <c r="BX122" s="14" t="s">
        <v>3844</v>
      </c>
      <c r="BY122" s="14" t="s">
        <v>179</v>
      </c>
      <c r="BZ122" s="14" t="s">
        <v>3845</v>
      </c>
      <c r="CA122" s="14" t="s">
        <v>179</v>
      </c>
      <c r="CB122" s="14" t="s">
        <v>3846</v>
      </c>
      <c r="CC122" s="14" t="s">
        <v>179</v>
      </c>
      <c r="CD122" s="14" t="s">
        <v>3847</v>
      </c>
      <c r="CE122" s="14" t="s">
        <v>179</v>
      </c>
      <c r="CF122" s="14" t="s">
        <v>3848</v>
      </c>
      <c r="CG122" s="14" t="s">
        <v>179</v>
      </c>
      <c r="CH122" s="14" t="s">
        <v>3849</v>
      </c>
      <c r="CI122" s="19"/>
      <c r="CJ122" s="15"/>
      <c r="CK122" s="19"/>
      <c r="CL122" s="15"/>
      <c r="CM122" s="19"/>
      <c r="CN122" s="15"/>
      <c r="CO122" s="19"/>
      <c r="CP122" s="15"/>
      <c r="CQ122" s="15"/>
      <c r="CR122" s="15"/>
      <c r="CS122" s="19"/>
      <c r="CT122" s="15"/>
      <c r="CU122" s="19"/>
      <c r="CV122" s="15"/>
      <c r="CW122" s="19"/>
      <c r="CX122" s="15"/>
      <c r="CY122" s="19"/>
      <c r="CZ122" s="15"/>
      <c r="DA122" s="16" t="s">
        <v>197</v>
      </c>
      <c r="DB122" s="17" t="s">
        <v>198</v>
      </c>
      <c r="DC122" s="20">
        <v>45692.59409722222</v>
      </c>
      <c r="DD122" s="17" t="s">
        <v>198</v>
      </c>
      <c r="DE122" s="18">
        <v>45692.59428240741</v>
      </c>
      <c r="DF122" s="17" t="s">
        <v>198</v>
      </c>
      <c r="DG122" s="18">
        <v>45692.59428240741</v>
      </c>
      <c r="DH122" s="13" t="s">
        <v>205</v>
      </c>
      <c r="DI122" s="14" t="s">
        <v>179</v>
      </c>
      <c r="DJ122" s="14" t="s">
        <v>3850</v>
      </c>
      <c r="DK122" s="14" t="s">
        <v>179</v>
      </c>
      <c r="DL122" s="14" t="s">
        <v>3851</v>
      </c>
      <c r="DM122" s="14" t="s">
        <v>179</v>
      </c>
      <c r="DN122" s="14" t="s">
        <v>3852</v>
      </c>
      <c r="DO122" s="14" t="s">
        <v>179</v>
      </c>
      <c r="DP122" s="14" t="s">
        <v>3853</v>
      </c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6" t="s">
        <v>197</v>
      </c>
      <c r="ED122" s="17" t="s">
        <v>198</v>
      </c>
      <c r="EE122" s="18">
        <v>45692.6069212963</v>
      </c>
      <c r="EF122" s="13" t="s">
        <v>209</v>
      </c>
      <c r="EG122" s="14" t="s">
        <v>179</v>
      </c>
      <c r="EH122" s="14" t="s">
        <v>3854</v>
      </c>
      <c r="EI122" s="14" t="s">
        <v>179</v>
      </c>
      <c r="EJ122" s="14" t="s">
        <v>3855</v>
      </c>
      <c r="EK122" s="14" t="s">
        <v>179</v>
      </c>
      <c r="EL122" s="14" t="s">
        <v>3856</v>
      </c>
      <c r="EM122" s="14" t="s">
        <v>179</v>
      </c>
      <c r="EN122" s="14" t="s">
        <v>3856</v>
      </c>
      <c r="EO122" s="15"/>
      <c r="EP122" s="15"/>
      <c r="EQ122" s="15"/>
      <c r="ER122" s="15"/>
      <c r="ES122" s="15"/>
      <c r="ET122" s="15"/>
      <c r="EU122" s="15"/>
      <c r="EV122" s="15"/>
      <c r="EW122" s="15"/>
      <c r="EX122" s="15"/>
      <c r="EY122" s="15"/>
      <c r="EZ122" s="15"/>
      <c r="FA122" s="15"/>
      <c r="FB122" s="15"/>
      <c r="FC122" s="16" t="s">
        <v>197</v>
      </c>
      <c r="FD122" s="17" t="s">
        <v>198</v>
      </c>
      <c r="FE122" s="18">
        <v>45707.497083333335</v>
      </c>
      <c r="FF122" s="19"/>
      <c r="FG122" s="19"/>
      <c r="FH122" s="21" t="s">
        <v>197</v>
      </c>
      <c r="FI122" s="17" t="s">
        <v>214</v>
      </c>
      <c r="FJ122" s="18">
        <v>45707.497083333335</v>
      </c>
      <c r="FK122" s="14" t="s">
        <v>3856</v>
      </c>
      <c r="FL122" s="14" t="s">
        <v>3857</v>
      </c>
      <c r="FM122" s="14" t="s">
        <v>3858</v>
      </c>
      <c r="FN122" s="14" t="s">
        <v>3859</v>
      </c>
      <c r="FO122" s="14" t="s">
        <v>3860</v>
      </c>
      <c r="FP122" s="19" t="str">
        <f t="shared" si="1"/>
        <v>Base de Dados_Images/BC7701.Imagem do Equipamento-.183635.jpg</v>
      </c>
      <c r="FQ122" s="19"/>
      <c r="FR122" s="19"/>
    </row>
    <row r="123" ht="15.75" customHeight="1">
      <c r="A123" s="12" t="s">
        <v>547</v>
      </c>
      <c r="B123" s="12" t="s">
        <v>3825</v>
      </c>
      <c r="C123" s="24" t="s">
        <v>512</v>
      </c>
      <c r="D123" s="12" t="s">
        <v>3861</v>
      </c>
      <c r="E123" s="12" t="s">
        <v>3862</v>
      </c>
      <c r="F123" s="13" t="s">
        <v>178</v>
      </c>
      <c r="G123" s="14" t="s">
        <v>179</v>
      </c>
      <c r="H123" s="14" t="s">
        <v>3863</v>
      </c>
      <c r="I123" s="14" t="s">
        <v>179</v>
      </c>
      <c r="J123" s="14" t="s">
        <v>3864</v>
      </c>
      <c r="K123" s="14" t="s">
        <v>179</v>
      </c>
      <c r="L123" s="14" t="s">
        <v>3863</v>
      </c>
      <c r="M123" s="14" t="s">
        <v>179</v>
      </c>
      <c r="N123" s="14" t="s">
        <v>3865</v>
      </c>
      <c r="O123" s="14" t="s">
        <v>179</v>
      </c>
      <c r="P123" s="14" t="s">
        <v>3866</v>
      </c>
      <c r="Q123" s="14" t="s">
        <v>179</v>
      </c>
      <c r="R123" s="14" t="s">
        <v>3867</v>
      </c>
      <c r="S123" s="14" t="s">
        <v>179</v>
      </c>
      <c r="T123" s="14" t="s">
        <v>3868</v>
      </c>
      <c r="U123" s="14" t="s">
        <v>179</v>
      </c>
      <c r="V123" s="14" t="s">
        <v>3868</v>
      </c>
      <c r="W123" s="14" t="s">
        <v>179</v>
      </c>
      <c r="X123" s="14" t="s">
        <v>3869</v>
      </c>
      <c r="Y123" s="14" t="s">
        <v>179</v>
      </c>
      <c r="Z123" s="14" t="s">
        <v>3870</v>
      </c>
      <c r="AA123" s="14" t="s">
        <v>179</v>
      </c>
      <c r="AB123" s="14" t="s">
        <v>3871</v>
      </c>
      <c r="AC123" s="14" t="s">
        <v>179</v>
      </c>
      <c r="AD123" s="14" t="s">
        <v>3871</v>
      </c>
      <c r="AE123" s="14" t="s">
        <v>179</v>
      </c>
      <c r="AF123" s="14" t="s">
        <v>3872</v>
      </c>
      <c r="AG123" s="14" t="s">
        <v>179</v>
      </c>
      <c r="AH123" s="14" t="s">
        <v>3873</v>
      </c>
      <c r="AI123" s="14" t="s">
        <v>179</v>
      </c>
      <c r="AJ123" s="14" t="s">
        <v>3874</v>
      </c>
      <c r="AK123" s="14" t="s">
        <v>179</v>
      </c>
      <c r="AL123" s="14" t="s">
        <v>3875</v>
      </c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6" t="s">
        <v>197</v>
      </c>
      <c r="BP123" s="17" t="s">
        <v>198</v>
      </c>
      <c r="BQ123" s="18">
        <v>45678.56637731481</v>
      </c>
      <c r="BR123" s="17" t="s">
        <v>198</v>
      </c>
      <c r="BS123" s="18">
        <v>45678.56633101852</v>
      </c>
      <c r="BT123" s="17" t="s">
        <v>198</v>
      </c>
      <c r="BU123" s="18">
        <v>45678.56637731481</v>
      </c>
      <c r="BV123" s="13" t="s">
        <v>199</v>
      </c>
      <c r="BW123" s="14" t="s">
        <v>179</v>
      </c>
      <c r="BX123" s="14" t="s">
        <v>3876</v>
      </c>
      <c r="BY123" s="14" t="s">
        <v>179</v>
      </c>
      <c r="BZ123" s="14" t="s">
        <v>3877</v>
      </c>
      <c r="CA123" s="14" t="s">
        <v>179</v>
      </c>
      <c r="CB123" s="14" t="s">
        <v>3878</v>
      </c>
      <c r="CC123" s="14" t="s">
        <v>179</v>
      </c>
      <c r="CD123" s="14" t="s">
        <v>3879</v>
      </c>
      <c r="CE123" s="14" t="s">
        <v>179</v>
      </c>
      <c r="CF123" s="14" t="s">
        <v>3880</v>
      </c>
      <c r="CG123" s="14" t="s">
        <v>179</v>
      </c>
      <c r="CH123" s="14" t="s">
        <v>3881</v>
      </c>
      <c r="CI123" s="19"/>
      <c r="CJ123" s="15"/>
      <c r="CK123" s="19"/>
      <c r="CL123" s="15"/>
      <c r="CM123" s="19"/>
      <c r="CN123" s="15"/>
      <c r="CO123" s="19"/>
      <c r="CP123" s="15"/>
      <c r="CQ123" s="15"/>
      <c r="CR123" s="15"/>
      <c r="CS123" s="19"/>
      <c r="CT123" s="15"/>
      <c r="CU123" s="19"/>
      <c r="CV123" s="15"/>
      <c r="CW123" s="19"/>
      <c r="CX123" s="15"/>
      <c r="CY123" s="19"/>
      <c r="CZ123" s="15"/>
      <c r="DA123" s="16" t="s">
        <v>197</v>
      </c>
      <c r="DB123" s="17" t="s">
        <v>198</v>
      </c>
      <c r="DC123" s="20">
        <v>45692.59465277778</v>
      </c>
      <c r="DD123" s="17" t="s">
        <v>198</v>
      </c>
      <c r="DE123" s="18">
        <v>45692.59474537037</v>
      </c>
      <c r="DF123" s="17" t="s">
        <v>198</v>
      </c>
      <c r="DG123" s="18">
        <v>45692.59474537037</v>
      </c>
      <c r="DH123" s="13" t="s">
        <v>205</v>
      </c>
      <c r="DI123" s="14" t="s">
        <v>179</v>
      </c>
      <c r="DJ123" s="14" t="s">
        <v>3882</v>
      </c>
      <c r="DK123" s="14" t="s">
        <v>179</v>
      </c>
      <c r="DL123" s="14" t="s">
        <v>3883</v>
      </c>
      <c r="DM123" s="14" t="s">
        <v>179</v>
      </c>
      <c r="DN123" s="14" t="s">
        <v>3884</v>
      </c>
      <c r="DO123" s="14" t="s">
        <v>179</v>
      </c>
      <c r="DP123" s="14" t="s">
        <v>3885</v>
      </c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6" t="s">
        <v>197</v>
      </c>
      <c r="ED123" s="17" t="s">
        <v>198</v>
      </c>
      <c r="EE123" s="18">
        <v>45692.606724537036</v>
      </c>
      <c r="EF123" s="13" t="s">
        <v>209</v>
      </c>
      <c r="EG123" s="14" t="s">
        <v>179</v>
      </c>
      <c r="EH123" s="14" t="s">
        <v>3886</v>
      </c>
      <c r="EI123" s="14" t="s">
        <v>179</v>
      </c>
      <c r="EJ123" s="14" t="s">
        <v>3886</v>
      </c>
      <c r="EK123" s="14" t="s">
        <v>179</v>
      </c>
      <c r="EL123" s="14" t="s">
        <v>3887</v>
      </c>
      <c r="EM123" s="14" t="s">
        <v>179</v>
      </c>
      <c r="EN123" s="14" t="s">
        <v>3887</v>
      </c>
      <c r="EO123" s="15"/>
      <c r="EP123" s="15"/>
      <c r="EQ123" s="15"/>
      <c r="ER123" s="15"/>
      <c r="ES123" s="15"/>
      <c r="ET123" s="15"/>
      <c r="EU123" s="15"/>
      <c r="EV123" s="15"/>
      <c r="EW123" s="15"/>
      <c r="EX123" s="15"/>
      <c r="EY123" s="15"/>
      <c r="EZ123" s="15"/>
      <c r="FA123" s="15"/>
      <c r="FB123" s="15"/>
      <c r="FC123" s="16" t="s">
        <v>197</v>
      </c>
      <c r="FD123" s="17" t="s">
        <v>198</v>
      </c>
      <c r="FE123" s="18">
        <v>45707.4971875</v>
      </c>
      <c r="FF123" s="19"/>
      <c r="FG123" s="19"/>
      <c r="FH123" s="21" t="s">
        <v>197</v>
      </c>
      <c r="FI123" s="17" t="s">
        <v>214</v>
      </c>
      <c r="FJ123" s="18">
        <v>45707.4971875</v>
      </c>
      <c r="FK123" s="14" t="s">
        <v>3887</v>
      </c>
      <c r="FL123" s="14" t="s">
        <v>3888</v>
      </c>
      <c r="FM123" s="14" t="s">
        <v>3889</v>
      </c>
      <c r="FN123" s="14" t="s">
        <v>3890</v>
      </c>
      <c r="FO123" s="14" t="s">
        <v>3891</v>
      </c>
      <c r="FP123" s="19" t="str">
        <f t="shared" si="1"/>
        <v>Base de Dados_Images/BC7702.Imagem do Equipamento-.181854.jpg</v>
      </c>
      <c r="FQ123" s="19"/>
      <c r="FR123" s="19"/>
    </row>
    <row r="124" ht="15.75" customHeight="1">
      <c r="A124" s="12" t="s">
        <v>547</v>
      </c>
      <c r="B124" s="12" t="s">
        <v>3825</v>
      </c>
      <c r="C124" s="24" t="s">
        <v>512</v>
      </c>
      <c r="D124" s="12" t="s">
        <v>3892</v>
      </c>
      <c r="E124" s="12" t="s">
        <v>3893</v>
      </c>
      <c r="F124" s="13" t="s">
        <v>178</v>
      </c>
      <c r="G124" s="14" t="s">
        <v>179</v>
      </c>
      <c r="H124" s="14" t="s">
        <v>3894</v>
      </c>
      <c r="I124" s="14" t="s">
        <v>179</v>
      </c>
      <c r="J124" s="14" t="s">
        <v>3895</v>
      </c>
      <c r="K124" s="14" t="s">
        <v>179</v>
      </c>
      <c r="L124" s="14" t="s">
        <v>3896</v>
      </c>
      <c r="M124" s="14" t="s">
        <v>179</v>
      </c>
      <c r="N124" s="14" t="s">
        <v>3897</v>
      </c>
      <c r="O124" s="14" t="s">
        <v>179</v>
      </c>
      <c r="P124" s="14" t="s">
        <v>3898</v>
      </c>
      <c r="Q124" s="14" t="s">
        <v>179</v>
      </c>
      <c r="R124" s="14" t="s">
        <v>3899</v>
      </c>
      <c r="S124" s="14" t="s">
        <v>179</v>
      </c>
      <c r="T124" s="14" t="s">
        <v>3900</v>
      </c>
      <c r="U124" s="14" t="s">
        <v>179</v>
      </c>
      <c r="V124" s="14" t="s">
        <v>3901</v>
      </c>
      <c r="W124" s="14" t="s">
        <v>179</v>
      </c>
      <c r="X124" s="14" t="s">
        <v>3902</v>
      </c>
      <c r="Y124" s="14" t="s">
        <v>179</v>
      </c>
      <c r="Z124" s="14" t="s">
        <v>3903</v>
      </c>
      <c r="AA124" s="14" t="s">
        <v>179</v>
      </c>
      <c r="AB124" s="14" t="s">
        <v>3904</v>
      </c>
      <c r="AC124" s="14" t="s">
        <v>179</v>
      </c>
      <c r="AD124" s="14" t="s">
        <v>3905</v>
      </c>
      <c r="AE124" s="14" t="s">
        <v>179</v>
      </c>
      <c r="AF124" s="14" t="s">
        <v>3906</v>
      </c>
      <c r="AG124" s="14" t="s">
        <v>179</v>
      </c>
      <c r="AH124" s="14" t="s">
        <v>3907</v>
      </c>
      <c r="AI124" s="14" t="s">
        <v>179</v>
      </c>
      <c r="AJ124" s="14" t="s">
        <v>3908</v>
      </c>
      <c r="AK124" s="14" t="s">
        <v>179</v>
      </c>
      <c r="AL124" s="14" t="s">
        <v>3909</v>
      </c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6" t="s">
        <v>197</v>
      </c>
      <c r="BP124" s="17" t="s">
        <v>198</v>
      </c>
      <c r="BQ124" s="18">
        <v>45678.57111111111</v>
      </c>
      <c r="BR124" s="17" t="s">
        <v>198</v>
      </c>
      <c r="BS124" s="18">
        <v>45678.57121527778</v>
      </c>
      <c r="BT124" s="17" t="s">
        <v>198</v>
      </c>
      <c r="BU124" s="18">
        <v>45678.57121527778</v>
      </c>
      <c r="BV124" s="13" t="s">
        <v>199</v>
      </c>
      <c r="BW124" s="14" t="s">
        <v>179</v>
      </c>
      <c r="BX124" s="14" t="s">
        <v>3910</v>
      </c>
      <c r="BY124" s="14" t="s">
        <v>179</v>
      </c>
      <c r="BZ124" s="14" t="s">
        <v>3910</v>
      </c>
      <c r="CA124" s="14" t="s">
        <v>179</v>
      </c>
      <c r="CB124" s="14" t="s">
        <v>3911</v>
      </c>
      <c r="CC124" s="14" t="s">
        <v>179</v>
      </c>
      <c r="CD124" s="14" t="s">
        <v>3912</v>
      </c>
      <c r="CE124" s="14" t="s">
        <v>179</v>
      </c>
      <c r="CF124" s="14" t="s">
        <v>3913</v>
      </c>
      <c r="CG124" s="14" t="s">
        <v>179</v>
      </c>
      <c r="CH124" s="14" t="s">
        <v>3914</v>
      </c>
      <c r="CI124" s="19"/>
      <c r="CJ124" s="15"/>
      <c r="CK124" s="19"/>
      <c r="CL124" s="15"/>
      <c r="CM124" s="19"/>
      <c r="CN124" s="15"/>
      <c r="CO124" s="19"/>
      <c r="CP124" s="15"/>
      <c r="CQ124" s="15"/>
      <c r="CR124" s="15"/>
      <c r="CS124" s="19"/>
      <c r="CT124" s="15"/>
      <c r="CU124" s="19"/>
      <c r="CV124" s="15"/>
      <c r="CW124" s="19"/>
      <c r="CX124" s="15"/>
      <c r="CY124" s="19"/>
      <c r="CZ124" s="15"/>
      <c r="DA124" s="16" t="s">
        <v>197</v>
      </c>
      <c r="DB124" s="17" t="s">
        <v>198</v>
      </c>
      <c r="DC124" s="20">
        <v>45692.59496527778</v>
      </c>
      <c r="DD124" s="17" t="s">
        <v>198</v>
      </c>
      <c r="DE124" s="18">
        <v>45692.595034722224</v>
      </c>
      <c r="DF124" s="17" t="s">
        <v>198</v>
      </c>
      <c r="DG124" s="18">
        <v>45692.595034722224</v>
      </c>
      <c r="DH124" s="13" t="s">
        <v>205</v>
      </c>
      <c r="DI124" s="14" t="s">
        <v>179</v>
      </c>
      <c r="DJ124" s="14" t="s">
        <v>3915</v>
      </c>
      <c r="DK124" s="14" t="s">
        <v>179</v>
      </c>
      <c r="DL124" s="14" t="s">
        <v>3916</v>
      </c>
      <c r="DM124" s="14" t="s">
        <v>179</v>
      </c>
      <c r="DN124" s="14" t="s">
        <v>3917</v>
      </c>
      <c r="DO124" s="14" t="s">
        <v>179</v>
      </c>
      <c r="DP124" s="14" t="s">
        <v>3918</v>
      </c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6" t="s">
        <v>197</v>
      </c>
      <c r="ED124" s="17" t="s">
        <v>198</v>
      </c>
      <c r="EE124" s="18">
        <v>45692.606516203705</v>
      </c>
      <c r="EF124" s="13" t="s">
        <v>209</v>
      </c>
      <c r="EG124" s="14" t="s">
        <v>179</v>
      </c>
      <c r="EH124" s="14" t="s">
        <v>3919</v>
      </c>
      <c r="EI124" s="14" t="s">
        <v>179</v>
      </c>
      <c r="EJ124" s="14" t="s">
        <v>3920</v>
      </c>
      <c r="EK124" s="14" t="s">
        <v>179</v>
      </c>
      <c r="EL124" s="14" t="s">
        <v>3921</v>
      </c>
      <c r="EM124" s="14" t="s">
        <v>179</v>
      </c>
      <c r="EN124" s="14" t="s">
        <v>3921</v>
      </c>
      <c r="EO124" s="15"/>
      <c r="EP124" s="15"/>
      <c r="EQ124" s="15"/>
      <c r="ER124" s="15"/>
      <c r="ES124" s="15"/>
      <c r="ET124" s="15"/>
      <c r="EU124" s="15"/>
      <c r="EV124" s="15"/>
      <c r="EW124" s="15"/>
      <c r="EX124" s="15"/>
      <c r="EY124" s="15"/>
      <c r="EZ124" s="15"/>
      <c r="FA124" s="15"/>
      <c r="FB124" s="15"/>
      <c r="FC124" s="16" t="s">
        <v>197</v>
      </c>
      <c r="FD124" s="17" t="s">
        <v>198</v>
      </c>
      <c r="FE124" s="18">
        <v>45707.49729166667</v>
      </c>
      <c r="FF124" s="19"/>
      <c r="FG124" s="19"/>
      <c r="FH124" s="21" t="s">
        <v>197</v>
      </c>
      <c r="FI124" s="17" t="s">
        <v>214</v>
      </c>
      <c r="FJ124" s="18">
        <v>45707.49729166667</v>
      </c>
      <c r="FK124" s="14" t="s">
        <v>3921</v>
      </c>
      <c r="FL124" s="14" t="s">
        <v>3922</v>
      </c>
      <c r="FM124" s="14" t="s">
        <v>3923</v>
      </c>
      <c r="FN124" s="14" t="s">
        <v>3924</v>
      </c>
      <c r="FO124" s="14" t="s">
        <v>3925</v>
      </c>
      <c r="FP124" s="19" t="str">
        <f t="shared" si="1"/>
        <v>Base de Dados_Images/BC7703.Imagem do Equipamento-.183802.jpg</v>
      </c>
      <c r="FQ124" s="19"/>
      <c r="FR124" s="19"/>
    </row>
    <row r="125" ht="15.75" customHeight="1">
      <c r="A125" s="12" t="s">
        <v>357</v>
      </c>
      <c r="B125" s="12" t="s">
        <v>358</v>
      </c>
      <c r="C125" s="24" t="s">
        <v>512</v>
      </c>
      <c r="D125" s="22" t="s">
        <v>3926</v>
      </c>
      <c r="E125" s="22" t="s">
        <v>3927</v>
      </c>
      <c r="F125" s="13" t="s">
        <v>178</v>
      </c>
      <c r="G125" s="14" t="s">
        <v>179</v>
      </c>
      <c r="H125" s="14" t="s">
        <v>3928</v>
      </c>
      <c r="I125" s="14" t="s">
        <v>179</v>
      </c>
      <c r="J125" s="14" t="s">
        <v>3929</v>
      </c>
      <c r="K125" s="14" t="s">
        <v>179</v>
      </c>
      <c r="L125" s="14" t="s">
        <v>3930</v>
      </c>
      <c r="M125" s="14" t="s">
        <v>179</v>
      </c>
      <c r="N125" s="14" t="s">
        <v>3931</v>
      </c>
      <c r="O125" s="14" t="s">
        <v>179</v>
      </c>
      <c r="P125" s="14" t="s">
        <v>3932</v>
      </c>
      <c r="Q125" s="14" t="s">
        <v>179</v>
      </c>
      <c r="R125" s="14" t="s">
        <v>3933</v>
      </c>
      <c r="S125" s="14" t="s">
        <v>179</v>
      </c>
      <c r="T125" s="14" t="s">
        <v>3934</v>
      </c>
      <c r="U125" s="14" t="s">
        <v>179</v>
      </c>
      <c r="V125" s="14" t="s">
        <v>3935</v>
      </c>
      <c r="W125" s="14" t="s">
        <v>179</v>
      </c>
      <c r="X125" s="14" t="s">
        <v>3936</v>
      </c>
      <c r="Y125" s="14" t="s">
        <v>179</v>
      </c>
      <c r="Z125" s="14" t="s">
        <v>3937</v>
      </c>
      <c r="AA125" s="14" t="s">
        <v>179</v>
      </c>
      <c r="AB125" s="14" t="s">
        <v>3938</v>
      </c>
      <c r="AC125" s="14" t="s">
        <v>179</v>
      </c>
      <c r="AD125" s="14" t="s">
        <v>3939</v>
      </c>
      <c r="AE125" s="14" t="s">
        <v>179</v>
      </c>
      <c r="AF125" s="14" t="s">
        <v>3940</v>
      </c>
      <c r="AG125" s="14" t="s">
        <v>179</v>
      </c>
      <c r="AH125" s="14" t="s">
        <v>3941</v>
      </c>
      <c r="AI125" s="14" t="s">
        <v>179</v>
      </c>
      <c r="AJ125" s="14" t="s">
        <v>3942</v>
      </c>
      <c r="AK125" s="14" t="s">
        <v>179</v>
      </c>
      <c r="AL125" s="14" t="s">
        <v>3943</v>
      </c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6" t="s">
        <v>197</v>
      </c>
      <c r="BP125" s="17" t="s">
        <v>198</v>
      </c>
      <c r="BQ125" s="18">
        <v>45685.57726851852</v>
      </c>
      <c r="BR125" s="17" t="s">
        <v>198</v>
      </c>
      <c r="BS125" s="18">
        <v>45685.57747685185</v>
      </c>
      <c r="BT125" s="17" t="s">
        <v>198</v>
      </c>
      <c r="BU125" s="18">
        <v>45685.57747685185</v>
      </c>
      <c r="BV125" s="13" t="s">
        <v>199</v>
      </c>
      <c r="BW125" s="14" t="s">
        <v>179</v>
      </c>
      <c r="BX125" s="14" t="s">
        <v>3944</v>
      </c>
      <c r="BY125" s="14" t="s">
        <v>179</v>
      </c>
      <c r="BZ125" s="14" t="s">
        <v>3945</v>
      </c>
      <c r="CA125" s="14" t="s">
        <v>179</v>
      </c>
      <c r="CB125" s="14" t="s">
        <v>3946</v>
      </c>
      <c r="CC125" s="14" t="s">
        <v>179</v>
      </c>
      <c r="CD125" s="14" t="s">
        <v>3947</v>
      </c>
      <c r="CE125" s="14" t="s">
        <v>179</v>
      </c>
      <c r="CF125" s="14" t="s">
        <v>3948</v>
      </c>
      <c r="CG125" s="14" t="s">
        <v>179</v>
      </c>
      <c r="CH125" s="14" t="s">
        <v>3949</v>
      </c>
      <c r="CI125" s="19"/>
      <c r="CJ125" s="15"/>
      <c r="CK125" s="19"/>
      <c r="CL125" s="15"/>
      <c r="CM125" s="19"/>
      <c r="CN125" s="15"/>
      <c r="CO125" s="19"/>
      <c r="CP125" s="15"/>
      <c r="CQ125" s="15"/>
      <c r="CR125" s="15"/>
      <c r="CS125" s="19"/>
      <c r="CT125" s="15"/>
      <c r="CU125" s="19"/>
      <c r="CV125" s="15"/>
      <c r="CW125" s="19"/>
      <c r="CX125" s="15"/>
      <c r="CY125" s="19"/>
      <c r="CZ125" s="15"/>
      <c r="DA125" s="16" t="s">
        <v>197</v>
      </c>
      <c r="DB125" s="17" t="s">
        <v>198</v>
      </c>
      <c r="DC125" s="20">
        <v>45709.39020833333</v>
      </c>
      <c r="DD125" s="17" t="s">
        <v>198</v>
      </c>
      <c r="DE125" s="18">
        <v>45709.39027777778</v>
      </c>
      <c r="DF125" s="17" t="s">
        <v>198</v>
      </c>
      <c r="DG125" s="18">
        <v>45709.39027777778</v>
      </c>
      <c r="DH125" s="13" t="s">
        <v>205</v>
      </c>
      <c r="DI125" s="14" t="s">
        <v>179</v>
      </c>
      <c r="DJ125" s="14" t="s">
        <v>3950</v>
      </c>
      <c r="DK125" s="14" t="s">
        <v>179</v>
      </c>
      <c r="DL125" s="14" t="s">
        <v>3951</v>
      </c>
      <c r="DM125" s="14" t="s">
        <v>179</v>
      </c>
      <c r="DN125" s="14" t="s">
        <v>3952</v>
      </c>
      <c r="DO125" s="14" t="s">
        <v>179</v>
      </c>
      <c r="DP125" s="14" t="s">
        <v>3953</v>
      </c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6" t="s">
        <v>197</v>
      </c>
      <c r="ED125" s="17" t="s">
        <v>198</v>
      </c>
      <c r="EE125" s="18">
        <v>45709.390381944446</v>
      </c>
      <c r="EF125" s="13" t="s">
        <v>209</v>
      </c>
      <c r="EG125" s="14" t="s">
        <v>179</v>
      </c>
      <c r="EH125" s="14" t="s">
        <v>3954</v>
      </c>
      <c r="EI125" s="14" t="s">
        <v>179</v>
      </c>
      <c r="EJ125" s="14" t="s">
        <v>3955</v>
      </c>
      <c r="EK125" s="14" t="s">
        <v>179</v>
      </c>
      <c r="EL125" s="14" t="s">
        <v>3956</v>
      </c>
      <c r="EM125" s="14" t="s">
        <v>179</v>
      </c>
      <c r="EN125" s="14" t="s">
        <v>3957</v>
      </c>
      <c r="EO125" s="15"/>
      <c r="EP125" s="15"/>
      <c r="EQ125" s="15"/>
      <c r="ER125" s="15"/>
      <c r="ES125" s="15"/>
      <c r="ET125" s="15"/>
      <c r="EU125" s="15"/>
      <c r="EV125" s="15"/>
      <c r="EW125" s="15"/>
      <c r="EX125" s="15"/>
      <c r="EY125" s="15"/>
      <c r="EZ125" s="15"/>
      <c r="FA125" s="15"/>
      <c r="FB125" s="15"/>
      <c r="FC125" s="16" t="s">
        <v>197</v>
      </c>
      <c r="FD125" s="17" t="s">
        <v>198</v>
      </c>
      <c r="FE125" s="18">
        <v>45713.38091435185</v>
      </c>
      <c r="FF125" s="19"/>
      <c r="FG125" s="19"/>
      <c r="FH125" s="21" t="s">
        <v>197</v>
      </c>
      <c r="FI125" s="17" t="s">
        <v>214</v>
      </c>
      <c r="FJ125" s="18">
        <v>45713.38091435185</v>
      </c>
      <c r="FK125" s="14" t="s">
        <v>3957</v>
      </c>
      <c r="FL125" s="14" t="s">
        <v>3958</v>
      </c>
      <c r="FM125" s="14" t="s">
        <v>3959</v>
      </c>
      <c r="FN125" s="14" t="s">
        <v>3960</v>
      </c>
      <c r="FO125" s="14" t="s">
        <v>3961</v>
      </c>
      <c r="FP125" s="19" t="str">
        <f t="shared" si="1"/>
        <v>Base de Dados_Images/BC8101.Imagem do Equipamento-.173251.jpg</v>
      </c>
      <c r="FQ125" s="19"/>
      <c r="FR125" s="19"/>
    </row>
    <row r="126" ht="15.75" customHeight="1">
      <c r="A126" s="12" t="s">
        <v>357</v>
      </c>
      <c r="B126" s="12" t="s">
        <v>358</v>
      </c>
      <c r="C126" s="24" t="s">
        <v>512</v>
      </c>
      <c r="D126" s="22" t="s">
        <v>3962</v>
      </c>
      <c r="E126" s="22" t="s">
        <v>3963</v>
      </c>
      <c r="F126" s="13" t="s">
        <v>178</v>
      </c>
      <c r="G126" s="14" t="s">
        <v>179</v>
      </c>
      <c r="H126" s="14" t="s">
        <v>3964</v>
      </c>
      <c r="I126" s="14" t="s">
        <v>179</v>
      </c>
      <c r="J126" s="14" t="s">
        <v>3965</v>
      </c>
      <c r="K126" s="14" t="s">
        <v>179</v>
      </c>
      <c r="L126" s="14" t="s">
        <v>3966</v>
      </c>
      <c r="M126" s="14" t="s">
        <v>179</v>
      </c>
      <c r="N126" s="14" t="s">
        <v>3967</v>
      </c>
      <c r="O126" s="14" t="s">
        <v>179</v>
      </c>
      <c r="P126" s="14" t="s">
        <v>3968</v>
      </c>
      <c r="Q126" s="14" t="s">
        <v>179</v>
      </c>
      <c r="R126" s="14" t="s">
        <v>3969</v>
      </c>
      <c r="S126" s="14" t="s">
        <v>179</v>
      </c>
      <c r="T126" s="14" t="s">
        <v>3970</v>
      </c>
      <c r="U126" s="14" t="s">
        <v>179</v>
      </c>
      <c r="V126" s="14" t="s">
        <v>3971</v>
      </c>
      <c r="W126" s="14" t="s">
        <v>179</v>
      </c>
      <c r="X126" s="14" t="s">
        <v>3972</v>
      </c>
      <c r="Y126" s="14" t="s">
        <v>179</v>
      </c>
      <c r="Z126" s="14" t="s">
        <v>3973</v>
      </c>
      <c r="AA126" s="14" t="s">
        <v>179</v>
      </c>
      <c r="AB126" s="14" t="s">
        <v>3974</v>
      </c>
      <c r="AC126" s="14" t="s">
        <v>179</v>
      </c>
      <c r="AD126" s="14" t="s">
        <v>3975</v>
      </c>
      <c r="AE126" s="14" t="s">
        <v>179</v>
      </c>
      <c r="AF126" s="14" t="s">
        <v>3976</v>
      </c>
      <c r="AG126" s="14" t="s">
        <v>179</v>
      </c>
      <c r="AH126" s="14" t="s">
        <v>3977</v>
      </c>
      <c r="AI126" s="14" t="s">
        <v>179</v>
      </c>
      <c r="AJ126" s="14" t="s">
        <v>3978</v>
      </c>
      <c r="AK126" s="14" t="s">
        <v>179</v>
      </c>
      <c r="AL126" s="14" t="s">
        <v>3979</v>
      </c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6" t="s">
        <v>197</v>
      </c>
      <c r="BP126" s="17" t="s">
        <v>198</v>
      </c>
      <c r="BQ126" s="18">
        <v>45685.57931712963</v>
      </c>
      <c r="BR126" s="17" t="s">
        <v>198</v>
      </c>
      <c r="BS126" s="18">
        <v>45685.57943287037</v>
      </c>
      <c r="BT126" s="17" t="s">
        <v>198</v>
      </c>
      <c r="BU126" s="18">
        <v>45685.57943287037</v>
      </c>
      <c r="BV126" s="13" t="s">
        <v>199</v>
      </c>
      <c r="BW126" s="14" t="s">
        <v>179</v>
      </c>
      <c r="BX126" s="14" t="s">
        <v>3980</v>
      </c>
      <c r="BY126" s="14" t="s">
        <v>179</v>
      </c>
      <c r="BZ126" s="14" t="s">
        <v>3981</v>
      </c>
      <c r="CA126" s="14" t="s">
        <v>179</v>
      </c>
      <c r="CB126" s="14" t="s">
        <v>3982</v>
      </c>
      <c r="CC126" s="14" t="s">
        <v>179</v>
      </c>
      <c r="CD126" s="14" t="s">
        <v>3983</v>
      </c>
      <c r="CE126" s="14" t="s">
        <v>179</v>
      </c>
      <c r="CF126" s="14" t="s">
        <v>3984</v>
      </c>
      <c r="CG126" s="14" t="s">
        <v>179</v>
      </c>
      <c r="CH126" s="14" t="s">
        <v>3985</v>
      </c>
      <c r="CI126" s="19"/>
      <c r="CJ126" s="15"/>
      <c r="CK126" s="19"/>
      <c r="CL126" s="15"/>
      <c r="CM126" s="19"/>
      <c r="CN126" s="15"/>
      <c r="CO126" s="19"/>
      <c r="CP126" s="15"/>
      <c r="CQ126" s="15"/>
      <c r="CR126" s="15"/>
      <c r="CS126" s="19"/>
      <c r="CT126" s="15"/>
      <c r="CU126" s="19"/>
      <c r="CV126" s="15"/>
      <c r="CW126" s="19"/>
      <c r="CX126" s="15"/>
      <c r="CY126" s="19"/>
      <c r="CZ126" s="15"/>
      <c r="DA126" s="16" t="s">
        <v>197</v>
      </c>
      <c r="DB126" s="17" t="s">
        <v>198</v>
      </c>
      <c r="DC126" s="20">
        <v>45691.68020833333</v>
      </c>
      <c r="DD126" s="17" t="s">
        <v>198</v>
      </c>
      <c r="DE126" s="18">
        <v>45691.680289351854</v>
      </c>
      <c r="DF126" s="17" t="s">
        <v>198</v>
      </c>
      <c r="DG126" s="18">
        <v>45691.680289351854</v>
      </c>
      <c r="DH126" s="13" t="s">
        <v>205</v>
      </c>
      <c r="DI126" s="14" t="s">
        <v>179</v>
      </c>
      <c r="DJ126" s="14" t="s">
        <v>3986</v>
      </c>
      <c r="DK126" s="14" t="s">
        <v>179</v>
      </c>
      <c r="DL126" s="14" t="s">
        <v>3987</v>
      </c>
      <c r="DM126" s="14" t="s">
        <v>179</v>
      </c>
      <c r="DN126" s="14" t="s">
        <v>3988</v>
      </c>
      <c r="DO126" s="14" t="s">
        <v>179</v>
      </c>
      <c r="DP126" s="14" t="s">
        <v>3989</v>
      </c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6" t="s">
        <v>197</v>
      </c>
      <c r="ED126" s="17" t="s">
        <v>198</v>
      </c>
      <c r="EE126" s="18">
        <v>45692.49418981482</v>
      </c>
      <c r="EF126" s="13" t="s">
        <v>209</v>
      </c>
      <c r="EG126" s="14" t="s">
        <v>179</v>
      </c>
      <c r="EH126" s="14" t="s">
        <v>3990</v>
      </c>
      <c r="EI126" s="14" t="s">
        <v>179</v>
      </c>
      <c r="EJ126" s="14" t="s">
        <v>3991</v>
      </c>
      <c r="EK126" s="14" t="s">
        <v>179</v>
      </c>
      <c r="EL126" s="14" t="s">
        <v>3992</v>
      </c>
      <c r="EM126" s="14" t="s">
        <v>179</v>
      </c>
      <c r="EN126" s="14" t="s">
        <v>3993</v>
      </c>
      <c r="EO126" s="15"/>
      <c r="EP126" s="15"/>
      <c r="EQ126" s="15"/>
      <c r="ER126" s="15"/>
      <c r="ES126" s="15"/>
      <c r="ET126" s="15"/>
      <c r="EU126" s="15"/>
      <c r="EV126" s="15"/>
      <c r="EW126" s="15"/>
      <c r="EX126" s="15"/>
      <c r="EY126" s="15"/>
      <c r="EZ126" s="15"/>
      <c r="FA126" s="15"/>
      <c r="FB126" s="15"/>
      <c r="FC126" s="16" t="s">
        <v>197</v>
      </c>
      <c r="FD126" s="17" t="s">
        <v>198</v>
      </c>
      <c r="FE126" s="18">
        <v>45705.35060185185</v>
      </c>
      <c r="FF126" s="19"/>
      <c r="FG126" s="19"/>
      <c r="FH126" s="21" t="s">
        <v>197</v>
      </c>
      <c r="FI126" s="17" t="s">
        <v>214</v>
      </c>
      <c r="FJ126" s="18">
        <v>45705.35060185185</v>
      </c>
      <c r="FK126" s="14" t="s">
        <v>3993</v>
      </c>
      <c r="FL126" s="14" t="s">
        <v>3994</v>
      </c>
      <c r="FM126" s="14" t="s">
        <v>3995</v>
      </c>
      <c r="FN126" s="14" t="s">
        <v>3996</v>
      </c>
      <c r="FO126" s="14" t="s">
        <v>3997</v>
      </c>
      <c r="FP126" s="19" t="str">
        <f t="shared" si="1"/>
        <v>Base de Dados_Images/BC8102.Imagem do Equipamento-.173403.jpg</v>
      </c>
      <c r="FQ126" s="19"/>
      <c r="FR126" s="19"/>
    </row>
    <row r="127" ht="15.75" customHeight="1">
      <c r="A127" s="12" t="s">
        <v>357</v>
      </c>
      <c r="B127" s="12" t="s">
        <v>3998</v>
      </c>
      <c r="C127" s="24" t="s">
        <v>512</v>
      </c>
      <c r="D127" s="12" t="s">
        <v>3999</v>
      </c>
      <c r="E127" s="12" t="s">
        <v>4000</v>
      </c>
      <c r="F127" s="13" t="s">
        <v>178</v>
      </c>
      <c r="G127" s="14" t="s">
        <v>179</v>
      </c>
      <c r="H127" s="14" t="s">
        <v>4001</v>
      </c>
      <c r="I127" s="14" t="s">
        <v>179</v>
      </c>
      <c r="J127" s="14" t="s">
        <v>4002</v>
      </c>
      <c r="K127" s="14" t="s">
        <v>179</v>
      </c>
      <c r="L127" s="14" t="s">
        <v>4003</v>
      </c>
      <c r="M127" s="14" t="s">
        <v>179</v>
      </c>
      <c r="N127" s="14" t="s">
        <v>4004</v>
      </c>
      <c r="O127" s="14" t="s">
        <v>179</v>
      </c>
      <c r="P127" s="14" t="s">
        <v>4005</v>
      </c>
      <c r="Q127" s="14" t="s">
        <v>179</v>
      </c>
      <c r="R127" s="14" t="s">
        <v>4006</v>
      </c>
      <c r="S127" s="14" t="s">
        <v>179</v>
      </c>
      <c r="T127" s="14" t="s">
        <v>4007</v>
      </c>
      <c r="U127" s="14" t="s">
        <v>179</v>
      </c>
      <c r="V127" s="14" t="s">
        <v>4008</v>
      </c>
      <c r="W127" s="14" t="s">
        <v>179</v>
      </c>
      <c r="X127" s="14" t="s">
        <v>4009</v>
      </c>
      <c r="Y127" s="14" t="s">
        <v>179</v>
      </c>
      <c r="Z127" s="14" t="s">
        <v>4010</v>
      </c>
      <c r="AA127" s="14" t="s">
        <v>179</v>
      </c>
      <c r="AB127" s="14" t="s">
        <v>4011</v>
      </c>
      <c r="AC127" s="14" t="s">
        <v>179</v>
      </c>
      <c r="AD127" s="14" t="s">
        <v>4012</v>
      </c>
      <c r="AE127" s="14" t="s">
        <v>179</v>
      </c>
      <c r="AF127" s="14" t="s">
        <v>4013</v>
      </c>
      <c r="AG127" s="14" t="s">
        <v>179</v>
      </c>
      <c r="AH127" s="14" t="s">
        <v>4014</v>
      </c>
      <c r="AI127" s="14" t="s">
        <v>179</v>
      </c>
      <c r="AJ127" s="14" t="s">
        <v>4015</v>
      </c>
      <c r="AK127" s="14" t="s">
        <v>179</v>
      </c>
      <c r="AL127" s="14" t="s">
        <v>4016</v>
      </c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6" t="s">
        <v>197</v>
      </c>
      <c r="BP127" s="17" t="s">
        <v>198</v>
      </c>
      <c r="BQ127" s="18">
        <v>45685.58908564815</v>
      </c>
      <c r="BR127" s="17" t="s">
        <v>198</v>
      </c>
      <c r="BS127" s="18">
        <v>45685.58925925926</v>
      </c>
      <c r="BT127" s="17" t="s">
        <v>198</v>
      </c>
      <c r="BU127" s="18">
        <v>45685.58925925926</v>
      </c>
      <c r="BV127" s="13" t="s">
        <v>199</v>
      </c>
      <c r="BW127" s="14" t="s">
        <v>179</v>
      </c>
      <c r="BX127" s="14" t="s">
        <v>4017</v>
      </c>
      <c r="BY127" s="14" t="s">
        <v>179</v>
      </c>
      <c r="BZ127" s="14" t="s">
        <v>4018</v>
      </c>
      <c r="CA127" s="14" t="s">
        <v>179</v>
      </c>
      <c r="CB127" s="14" t="s">
        <v>4019</v>
      </c>
      <c r="CC127" s="14" t="s">
        <v>179</v>
      </c>
      <c r="CD127" s="14" t="s">
        <v>4020</v>
      </c>
      <c r="CE127" s="14" t="s">
        <v>179</v>
      </c>
      <c r="CF127" s="14" t="s">
        <v>4021</v>
      </c>
      <c r="CG127" s="14" t="s">
        <v>179</v>
      </c>
      <c r="CH127" s="14" t="s">
        <v>4022</v>
      </c>
      <c r="CI127" s="19"/>
      <c r="CJ127" s="15"/>
      <c r="CK127" s="19"/>
      <c r="CL127" s="15"/>
      <c r="CM127" s="19"/>
      <c r="CN127" s="15"/>
      <c r="CO127" s="19"/>
      <c r="CP127" s="15"/>
      <c r="CQ127" s="15"/>
      <c r="CR127" s="15"/>
      <c r="CS127" s="19"/>
      <c r="CT127" s="15"/>
      <c r="CU127" s="19"/>
      <c r="CV127" s="15"/>
      <c r="CW127" s="19"/>
      <c r="CX127" s="15"/>
      <c r="CY127" s="19"/>
      <c r="CZ127" s="15"/>
      <c r="DA127" s="16" t="s">
        <v>197</v>
      </c>
      <c r="DB127" s="17" t="s">
        <v>198</v>
      </c>
      <c r="DC127" s="20">
        <v>45691.67886574074</v>
      </c>
      <c r="DD127" s="17" t="s">
        <v>198</v>
      </c>
      <c r="DE127" s="18">
        <v>45691.678935185184</v>
      </c>
      <c r="DF127" s="17" t="s">
        <v>198</v>
      </c>
      <c r="DG127" s="18">
        <v>45691.678935185184</v>
      </c>
      <c r="DH127" s="13" t="s">
        <v>205</v>
      </c>
      <c r="DI127" s="14" t="s">
        <v>179</v>
      </c>
      <c r="DJ127" s="14" t="s">
        <v>4023</v>
      </c>
      <c r="DK127" s="14" t="s">
        <v>179</v>
      </c>
      <c r="DL127" s="14" t="s">
        <v>4024</v>
      </c>
      <c r="DM127" s="14" t="s">
        <v>179</v>
      </c>
      <c r="DN127" s="14" t="s">
        <v>4025</v>
      </c>
      <c r="DO127" s="14" t="s">
        <v>179</v>
      </c>
      <c r="DP127" s="14" t="s">
        <v>4026</v>
      </c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6" t="s">
        <v>197</v>
      </c>
      <c r="ED127" s="17" t="s">
        <v>198</v>
      </c>
      <c r="EE127" s="18">
        <v>45705.344722222224</v>
      </c>
      <c r="EF127" s="13" t="s">
        <v>209</v>
      </c>
      <c r="EG127" s="14" t="s">
        <v>179</v>
      </c>
      <c r="EH127" s="14" t="s">
        <v>4027</v>
      </c>
      <c r="EI127" s="14" t="s">
        <v>179</v>
      </c>
      <c r="EJ127" s="14" t="s">
        <v>4028</v>
      </c>
      <c r="EK127" s="14" t="s">
        <v>179</v>
      </c>
      <c r="EL127" s="14" t="s">
        <v>4029</v>
      </c>
      <c r="EM127" s="14" t="s">
        <v>179</v>
      </c>
      <c r="EN127" s="14" t="s">
        <v>4030</v>
      </c>
      <c r="EO127" s="15"/>
      <c r="EP127" s="15"/>
      <c r="EQ127" s="15"/>
      <c r="ER127" s="15"/>
      <c r="ES127" s="15"/>
      <c r="ET127" s="15"/>
      <c r="EU127" s="15"/>
      <c r="EV127" s="15"/>
      <c r="EW127" s="15"/>
      <c r="EX127" s="15"/>
      <c r="EY127" s="15"/>
      <c r="EZ127" s="15"/>
      <c r="FA127" s="15"/>
      <c r="FB127" s="15"/>
      <c r="FC127" s="16" t="s">
        <v>197</v>
      </c>
      <c r="FD127" s="17" t="s">
        <v>198</v>
      </c>
      <c r="FE127" s="18">
        <v>45705.34480324074</v>
      </c>
      <c r="FF127" s="19"/>
      <c r="FG127" s="19"/>
      <c r="FH127" s="21" t="s">
        <v>197</v>
      </c>
      <c r="FI127" s="17" t="s">
        <v>214</v>
      </c>
      <c r="FJ127" s="18">
        <v>45705.34480324074</v>
      </c>
      <c r="FK127" s="14" t="s">
        <v>4030</v>
      </c>
      <c r="FL127" s="14" t="s">
        <v>4031</v>
      </c>
      <c r="FM127" s="14" t="s">
        <v>4032</v>
      </c>
      <c r="FN127" s="14" t="s">
        <v>4033</v>
      </c>
      <c r="FO127" s="14" t="s">
        <v>4034</v>
      </c>
      <c r="FP127" s="19" t="str">
        <f t="shared" si="1"/>
        <v>Base de Dados_Images/BC8103_.Imagem do Equipamento-.174307.jpg</v>
      </c>
      <c r="FQ127" s="19"/>
      <c r="FR127" s="19"/>
    </row>
    <row r="128" ht="15.75" customHeight="1">
      <c r="A128" s="12" t="s">
        <v>357</v>
      </c>
      <c r="B128" s="12" t="s">
        <v>3998</v>
      </c>
      <c r="C128" s="24" t="s">
        <v>512</v>
      </c>
      <c r="D128" s="12" t="s">
        <v>4035</v>
      </c>
      <c r="E128" s="12" t="s">
        <v>4036</v>
      </c>
      <c r="F128" s="13" t="s">
        <v>178</v>
      </c>
      <c r="G128" s="14" t="s">
        <v>179</v>
      </c>
      <c r="H128" s="14" t="s">
        <v>4037</v>
      </c>
      <c r="I128" s="14" t="s">
        <v>179</v>
      </c>
      <c r="J128" s="14" t="s">
        <v>4038</v>
      </c>
      <c r="K128" s="14" t="s">
        <v>179</v>
      </c>
      <c r="L128" s="14" t="s">
        <v>4039</v>
      </c>
      <c r="M128" s="14" t="s">
        <v>179</v>
      </c>
      <c r="N128" s="14" t="s">
        <v>4040</v>
      </c>
      <c r="O128" s="14" t="s">
        <v>179</v>
      </c>
      <c r="P128" s="14" t="s">
        <v>4041</v>
      </c>
      <c r="Q128" s="14" t="s">
        <v>179</v>
      </c>
      <c r="R128" s="14" t="s">
        <v>4042</v>
      </c>
      <c r="S128" s="14" t="s">
        <v>179</v>
      </c>
      <c r="T128" s="14" t="s">
        <v>4043</v>
      </c>
      <c r="U128" s="14" t="s">
        <v>179</v>
      </c>
      <c r="V128" s="14" t="s">
        <v>4044</v>
      </c>
      <c r="W128" s="14" t="s">
        <v>179</v>
      </c>
      <c r="X128" s="14" t="s">
        <v>4045</v>
      </c>
      <c r="Y128" s="14" t="s">
        <v>179</v>
      </c>
      <c r="Z128" s="14" t="s">
        <v>4046</v>
      </c>
      <c r="AA128" s="14" t="s">
        <v>179</v>
      </c>
      <c r="AB128" s="14" t="s">
        <v>4047</v>
      </c>
      <c r="AC128" s="14" t="s">
        <v>179</v>
      </c>
      <c r="AD128" s="14" t="s">
        <v>4048</v>
      </c>
      <c r="AE128" s="14" t="s">
        <v>179</v>
      </c>
      <c r="AF128" s="14" t="s">
        <v>4049</v>
      </c>
      <c r="AG128" s="14" t="s">
        <v>179</v>
      </c>
      <c r="AH128" s="14" t="s">
        <v>4050</v>
      </c>
      <c r="AI128" s="14" t="s">
        <v>179</v>
      </c>
      <c r="AJ128" s="14" t="s">
        <v>4051</v>
      </c>
      <c r="AK128" s="14" t="s">
        <v>179</v>
      </c>
      <c r="AL128" s="14" t="s">
        <v>4052</v>
      </c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6" t="s">
        <v>197</v>
      </c>
      <c r="BP128" s="17" t="s">
        <v>198</v>
      </c>
      <c r="BQ128" s="18">
        <v>45685.58738425926</v>
      </c>
      <c r="BR128" s="17" t="s">
        <v>198</v>
      </c>
      <c r="BS128" s="18">
        <v>45685.587534722225</v>
      </c>
      <c r="BT128" s="17" t="s">
        <v>198</v>
      </c>
      <c r="BU128" s="18">
        <v>45685.587534722225</v>
      </c>
      <c r="BV128" s="13" t="s">
        <v>199</v>
      </c>
      <c r="BW128" s="14" t="s">
        <v>179</v>
      </c>
      <c r="BX128" s="14" t="s">
        <v>4053</v>
      </c>
      <c r="BY128" s="14" t="s">
        <v>179</v>
      </c>
      <c r="BZ128" s="14" t="s">
        <v>4054</v>
      </c>
      <c r="CA128" s="14" t="s">
        <v>179</v>
      </c>
      <c r="CB128" s="14" t="s">
        <v>4055</v>
      </c>
      <c r="CC128" s="14" t="s">
        <v>179</v>
      </c>
      <c r="CD128" s="14" t="s">
        <v>4056</v>
      </c>
      <c r="CE128" s="14" t="s">
        <v>179</v>
      </c>
      <c r="CF128" s="14" t="s">
        <v>4057</v>
      </c>
      <c r="CG128" s="14" t="s">
        <v>179</v>
      </c>
      <c r="CH128" s="14" t="s">
        <v>4058</v>
      </c>
      <c r="CI128" s="19"/>
      <c r="CJ128" s="15"/>
      <c r="CK128" s="19"/>
      <c r="CL128" s="15"/>
      <c r="CM128" s="19"/>
      <c r="CN128" s="15"/>
      <c r="CO128" s="19"/>
      <c r="CP128" s="15"/>
      <c r="CQ128" s="15"/>
      <c r="CR128" s="15"/>
      <c r="CS128" s="19"/>
      <c r="CT128" s="15"/>
      <c r="CU128" s="19"/>
      <c r="CV128" s="15"/>
      <c r="CW128" s="19"/>
      <c r="CX128" s="15"/>
      <c r="CY128" s="19"/>
      <c r="CZ128" s="15"/>
      <c r="DA128" s="16" t="s">
        <v>197</v>
      </c>
      <c r="DB128" s="17" t="s">
        <v>198</v>
      </c>
      <c r="DC128" s="20">
        <v>45691.67943287037</v>
      </c>
      <c r="DD128" s="17" t="s">
        <v>198</v>
      </c>
      <c r="DE128" s="18">
        <v>45691.67949074074</v>
      </c>
      <c r="DF128" s="17" t="s">
        <v>198</v>
      </c>
      <c r="DG128" s="18">
        <v>45691.67949074074</v>
      </c>
      <c r="DH128" s="13" t="s">
        <v>205</v>
      </c>
      <c r="DI128" s="14" t="s">
        <v>179</v>
      </c>
      <c r="DJ128" s="14" t="s">
        <v>4059</v>
      </c>
      <c r="DK128" s="14" t="s">
        <v>179</v>
      </c>
      <c r="DL128" s="14" t="s">
        <v>4060</v>
      </c>
      <c r="DM128" s="14" t="s">
        <v>179</v>
      </c>
      <c r="DN128" s="14" t="s">
        <v>4061</v>
      </c>
      <c r="DO128" s="14" t="s">
        <v>179</v>
      </c>
      <c r="DP128" s="14" t="s">
        <v>4062</v>
      </c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6" t="s">
        <v>197</v>
      </c>
      <c r="ED128" s="17" t="s">
        <v>198</v>
      </c>
      <c r="EE128" s="18">
        <v>45705.34515046296</v>
      </c>
      <c r="EF128" s="13" t="s">
        <v>209</v>
      </c>
      <c r="EG128" s="14" t="s">
        <v>179</v>
      </c>
      <c r="EH128" s="14" t="s">
        <v>4063</v>
      </c>
      <c r="EI128" s="14" t="s">
        <v>179</v>
      </c>
      <c r="EJ128" s="14" t="s">
        <v>4064</v>
      </c>
      <c r="EK128" s="14" t="s">
        <v>179</v>
      </c>
      <c r="EL128" s="14" t="s">
        <v>4065</v>
      </c>
      <c r="EM128" s="14" t="s">
        <v>179</v>
      </c>
      <c r="EN128" s="14" t="s">
        <v>4066</v>
      </c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6" t="s">
        <v>197</v>
      </c>
      <c r="FD128" s="17" t="s">
        <v>198</v>
      </c>
      <c r="FE128" s="18">
        <v>45705.3452662037</v>
      </c>
      <c r="FF128" s="19"/>
      <c r="FG128" s="19"/>
      <c r="FH128" s="21" t="s">
        <v>197</v>
      </c>
      <c r="FI128" s="17" t="s">
        <v>214</v>
      </c>
      <c r="FJ128" s="18">
        <v>45705.3452662037</v>
      </c>
      <c r="FK128" s="14" t="s">
        <v>4066</v>
      </c>
      <c r="FL128" s="14" t="s">
        <v>4067</v>
      </c>
      <c r="FM128" s="14" t="s">
        <v>4068</v>
      </c>
      <c r="FN128" s="14" t="s">
        <v>4069</v>
      </c>
      <c r="FO128" s="14" t="s">
        <v>4070</v>
      </c>
      <c r="FP128" s="19" t="str">
        <f t="shared" si="1"/>
        <v>Base de Dados_Images/BC8104_.Imagem do Equipamento-.174150.jpg</v>
      </c>
      <c r="FQ128" s="19"/>
      <c r="FR128" s="19"/>
    </row>
    <row r="129" ht="15.75" customHeight="1">
      <c r="A129" s="12" t="s">
        <v>357</v>
      </c>
      <c r="B129" s="12" t="s">
        <v>4071</v>
      </c>
      <c r="C129" s="24" t="s">
        <v>512</v>
      </c>
      <c r="D129" s="22" t="s">
        <v>4072</v>
      </c>
      <c r="E129" s="22" t="s">
        <v>4073</v>
      </c>
      <c r="F129" s="13" t="s">
        <v>178</v>
      </c>
      <c r="G129" s="14" t="s">
        <v>179</v>
      </c>
      <c r="H129" s="14" t="s">
        <v>4074</v>
      </c>
      <c r="I129" s="14" t="s">
        <v>179</v>
      </c>
      <c r="J129" s="14" t="s">
        <v>4075</v>
      </c>
      <c r="K129" s="14" t="s">
        <v>179</v>
      </c>
      <c r="L129" s="14" t="s">
        <v>4076</v>
      </c>
      <c r="M129" s="14" t="s">
        <v>179</v>
      </c>
      <c r="N129" s="14" t="s">
        <v>4077</v>
      </c>
      <c r="O129" s="14" t="s">
        <v>179</v>
      </c>
      <c r="P129" s="14" t="s">
        <v>4078</v>
      </c>
      <c r="Q129" s="14" t="s">
        <v>179</v>
      </c>
      <c r="R129" s="14" t="s">
        <v>4079</v>
      </c>
      <c r="S129" s="14" t="s">
        <v>179</v>
      </c>
      <c r="T129" s="14" t="s">
        <v>4080</v>
      </c>
      <c r="U129" s="14" t="s">
        <v>179</v>
      </c>
      <c r="V129" s="14" t="s">
        <v>4081</v>
      </c>
      <c r="W129" s="14" t="s">
        <v>179</v>
      </c>
      <c r="X129" s="14" t="s">
        <v>4082</v>
      </c>
      <c r="Y129" s="14" t="s">
        <v>179</v>
      </c>
      <c r="Z129" s="14" t="s">
        <v>4083</v>
      </c>
      <c r="AA129" s="14" t="s">
        <v>179</v>
      </c>
      <c r="AB129" s="14" t="s">
        <v>4084</v>
      </c>
      <c r="AC129" s="14" t="s">
        <v>179</v>
      </c>
      <c r="AD129" s="14" t="s">
        <v>4085</v>
      </c>
      <c r="AE129" s="14" t="s">
        <v>179</v>
      </c>
      <c r="AF129" s="14" t="s">
        <v>4086</v>
      </c>
      <c r="AG129" s="14" t="s">
        <v>179</v>
      </c>
      <c r="AH129" s="14" t="s">
        <v>4087</v>
      </c>
      <c r="AI129" s="14" t="s">
        <v>179</v>
      </c>
      <c r="AJ129" s="14" t="s">
        <v>4088</v>
      </c>
      <c r="AK129" s="14" t="s">
        <v>179</v>
      </c>
      <c r="AL129" s="14" t="s">
        <v>4089</v>
      </c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6" t="s">
        <v>197</v>
      </c>
      <c r="BP129" s="17" t="s">
        <v>198</v>
      </c>
      <c r="BQ129" s="18">
        <v>45686.393217592595</v>
      </c>
      <c r="BR129" s="17" t="s">
        <v>198</v>
      </c>
      <c r="BS129" s="18">
        <v>45686.39333333333</v>
      </c>
      <c r="BT129" s="17" t="s">
        <v>198</v>
      </c>
      <c r="BU129" s="18">
        <v>45686.39333333333</v>
      </c>
      <c r="BV129" s="13" t="s">
        <v>199</v>
      </c>
      <c r="BW129" s="14" t="s">
        <v>179</v>
      </c>
      <c r="BX129" s="14" t="s">
        <v>4090</v>
      </c>
      <c r="BY129" s="14" t="s">
        <v>179</v>
      </c>
      <c r="BZ129" s="14" t="s">
        <v>4091</v>
      </c>
      <c r="CA129" s="14" t="s">
        <v>179</v>
      </c>
      <c r="CB129" s="14" t="s">
        <v>4092</v>
      </c>
      <c r="CC129" s="14" t="s">
        <v>179</v>
      </c>
      <c r="CD129" s="14" t="s">
        <v>4093</v>
      </c>
      <c r="CE129" s="14" t="s">
        <v>179</v>
      </c>
      <c r="CF129" s="14" t="s">
        <v>4094</v>
      </c>
      <c r="CG129" s="14" t="s">
        <v>179</v>
      </c>
      <c r="CH129" s="14" t="s">
        <v>4095</v>
      </c>
      <c r="CI129" s="19"/>
      <c r="CJ129" s="15"/>
      <c r="CK129" s="19"/>
      <c r="CL129" s="15"/>
      <c r="CM129" s="19"/>
      <c r="CN129" s="15"/>
      <c r="CO129" s="19"/>
      <c r="CP129" s="15"/>
      <c r="CQ129" s="15"/>
      <c r="CR129" s="15"/>
      <c r="CS129" s="19"/>
      <c r="CT129" s="15"/>
      <c r="CU129" s="19"/>
      <c r="CV129" s="15"/>
      <c r="CW129" s="19"/>
      <c r="CX129" s="15"/>
      <c r="CY129" s="19"/>
      <c r="CZ129" s="15"/>
      <c r="DA129" s="16" t="s">
        <v>197</v>
      </c>
      <c r="DB129" s="17" t="s">
        <v>198</v>
      </c>
      <c r="DC129" s="20">
        <v>45686.393912037034</v>
      </c>
      <c r="DD129" s="17" t="s">
        <v>198</v>
      </c>
      <c r="DE129" s="18">
        <v>45686.39400462963</v>
      </c>
      <c r="DF129" s="17" t="s">
        <v>198</v>
      </c>
      <c r="DG129" s="18">
        <v>45686.39400462963</v>
      </c>
      <c r="DH129" s="13" t="s">
        <v>205</v>
      </c>
      <c r="DI129" s="14" t="s">
        <v>179</v>
      </c>
      <c r="DJ129" s="14" t="s">
        <v>4096</v>
      </c>
      <c r="DK129" s="14" t="s">
        <v>179</v>
      </c>
      <c r="DL129" s="14" t="s">
        <v>4097</v>
      </c>
      <c r="DM129" s="14" t="s">
        <v>179</v>
      </c>
      <c r="DN129" s="14" t="s">
        <v>4098</v>
      </c>
      <c r="DO129" s="14" t="s">
        <v>179</v>
      </c>
      <c r="DP129" s="14" t="s">
        <v>4099</v>
      </c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6" t="s">
        <v>197</v>
      </c>
      <c r="ED129" s="17" t="s">
        <v>198</v>
      </c>
      <c r="EE129" s="18">
        <v>45691.63395833333</v>
      </c>
      <c r="EF129" s="13" t="s">
        <v>209</v>
      </c>
      <c r="EG129" s="14" t="s">
        <v>179</v>
      </c>
      <c r="EH129" s="14" t="s">
        <v>4100</v>
      </c>
      <c r="EI129" s="14" t="s">
        <v>179</v>
      </c>
      <c r="EJ129" s="14" t="s">
        <v>4101</v>
      </c>
      <c r="EK129" s="14" t="s">
        <v>179</v>
      </c>
      <c r="EL129" s="14" t="s">
        <v>4102</v>
      </c>
      <c r="EM129" s="14" t="s">
        <v>179</v>
      </c>
      <c r="EN129" s="14" t="s">
        <v>4103</v>
      </c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6" t="s">
        <v>197</v>
      </c>
      <c r="FD129" s="17" t="s">
        <v>198</v>
      </c>
      <c r="FE129" s="18">
        <v>45699.447071759256</v>
      </c>
      <c r="FF129" s="19"/>
      <c r="FG129" s="19"/>
      <c r="FH129" s="21" t="s">
        <v>197</v>
      </c>
      <c r="FI129" s="17" t="s">
        <v>214</v>
      </c>
      <c r="FJ129" s="18">
        <v>45699.447071759256</v>
      </c>
      <c r="FK129" s="14" t="s">
        <v>4103</v>
      </c>
      <c r="FL129" s="14" t="s">
        <v>4104</v>
      </c>
      <c r="FM129" s="14" t="s">
        <v>4105</v>
      </c>
      <c r="FN129" s="14" t="s">
        <v>4106</v>
      </c>
      <c r="FO129" s="14" t="s">
        <v>4107</v>
      </c>
      <c r="FP129" s="19" t="str">
        <f t="shared" si="1"/>
        <v>Base de Dados_Images/BC8105.Imagem do Equipamento-.131952.jpg</v>
      </c>
      <c r="FQ129" s="14"/>
      <c r="FR129" s="14"/>
    </row>
    <row r="130" ht="15.75" customHeight="1">
      <c r="A130" s="12" t="s">
        <v>357</v>
      </c>
      <c r="B130" s="12" t="s">
        <v>4108</v>
      </c>
      <c r="C130" s="24" t="s">
        <v>512</v>
      </c>
      <c r="D130" s="22" t="s">
        <v>4109</v>
      </c>
      <c r="E130" s="22" t="s">
        <v>4110</v>
      </c>
      <c r="F130" s="13" t="s">
        <v>178</v>
      </c>
      <c r="G130" s="14" t="s">
        <v>179</v>
      </c>
      <c r="H130" s="14" t="s">
        <v>4111</v>
      </c>
      <c r="I130" s="14" t="s">
        <v>179</v>
      </c>
      <c r="J130" s="14" t="s">
        <v>4112</v>
      </c>
      <c r="K130" s="14" t="s">
        <v>179</v>
      </c>
      <c r="L130" s="14" t="s">
        <v>4113</v>
      </c>
      <c r="M130" s="14" t="s">
        <v>179</v>
      </c>
      <c r="N130" s="14" t="s">
        <v>4114</v>
      </c>
      <c r="O130" s="14" t="s">
        <v>179</v>
      </c>
      <c r="P130" s="14" t="s">
        <v>4115</v>
      </c>
      <c r="Q130" s="14" t="s">
        <v>179</v>
      </c>
      <c r="R130" s="14" t="s">
        <v>4116</v>
      </c>
      <c r="S130" s="14" t="s">
        <v>179</v>
      </c>
      <c r="T130" s="14" t="s">
        <v>4117</v>
      </c>
      <c r="U130" s="14" t="s">
        <v>179</v>
      </c>
      <c r="V130" s="14" t="s">
        <v>4118</v>
      </c>
      <c r="W130" s="14" t="s">
        <v>179</v>
      </c>
      <c r="X130" s="14" t="s">
        <v>4119</v>
      </c>
      <c r="Y130" s="14" t="s">
        <v>179</v>
      </c>
      <c r="Z130" s="14" t="s">
        <v>4120</v>
      </c>
      <c r="AA130" s="14" t="s">
        <v>179</v>
      </c>
      <c r="AB130" s="14" t="s">
        <v>4121</v>
      </c>
      <c r="AC130" s="14" t="s">
        <v>179</v>
      </c>
      <c r="AD130" s="14" t="s">
        <v>4122</v>
      </c>
      <c r="AE130" s="14" t="s">
        <v>179</v>
      </c>
      <c r="AF130" s="14" t="s">
        <v>4123</v>
      </c>
      <c r="AG130" s="14" t="s">
        <v>179</v>
      </c>
      <c r="AH130" s="14" t="s">
        <v>4124</v>
      </c>
      <c r="AI130" s="14" t="s">
        <v>179</v>
      </c>
      <c r="AJ130" s="14" t="s">
        <v>4125</v>
      </c>
      <c r="AK130" s="14" t="s">
        <v>179</v>
      </c>
      <c r="AL130" s="14" t="s">
        <v>4126</v>
      </c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6" t="s">
        <v>197</v>
      </c>
      <c r="BP130" s="17" t="s">
        <v>198</v>
      </c>
      <c r="BQ130" s="18">
        <v>45723.532002314816</v>
      </c>
      <c r="BR130" s="17" t="s">
        <v>198</v>
      </c>
      <c r="BS130" s="18">
        <v>45698.64606481481</v>
      </c>
      <c r="BT130" s="17" t="s">
        <v>198</v>
      </c>
      <c r="BU130" s="18">
        <v>45723.532002314816</v>
      </c>
      <c r="BV130" s="13" t="s">
        <v>199</v>
      </c>
      <c r="BW130" s="14" t="s">
        <v>179</v>
      </c>
      <c r="BX130" s="14" t="s">
        <v>4127</v>
      </c>
      <c r="BY130" s="14" t="s">
        <v>179</v>
      </c>
      <c r="BZ130" s="14" t="s">
        <v>4128</v>
      </c>
      <c r="CA130" s="14" t="s">
        <v>179</v>
      </c>
      <c r="CB130" s="14" t="s">
        <v>4129</v>
      </c>
      <c r="CC130" s="14" t="s">
        <v>179</v>
      </c>
      <c r="CD130" s="14" t="s">
        <v>4130</v>
      </c>
      <c r="CE130" s="14" t="s">
        <v>179</v>
      </c>
      <c r="CF130" s="14" t="s">
        <v>4131</v>
      </c>
      <c r="CG130" s="14" t="s">
        <v>179</v>
      </c>
      <c r="CH130" s="14" t="s">
        <v>4132</v>
      </c>
      <c r="CI130" s="19"/>
      <c r="CJ130" s="15"/>
      <c r="CK130" s="19"/>
      <c r="CL130" s="15"/>
      <c r="CM130" s="19"/>
      <c r="CN130" s="15"/>
      <c r="CO130" s="19"/>
      <c r="CP130" s="15"/>
      <c r="CQ130" s="15"/>
      <c r="CR130" s="15"/>
      <c r="CS130" s="19"/>
      <c r="CT130" s="15"/>
      <c r="CU130" s="19"/>
      <c r="CV130" s="15"/>
      <c r="CW130" s="19"/>
      <c r="CX130" s="15"/>
      <c r="CY130" s="19"/>
      <c r="CZ130" s="15"/>
      <c r="DA130" s="16" t="s">
        <v>197</v>
      </c>
      <c r="DB130" s="17" t="s">
        <v>198</v>
      </c>
      <c r="DC130" s="20">
        <v>45723.53209490741</v>
      </c>
      <c r="DD130" s="17" t="s">
        <v>198</v>
      </c>
      <c r="DE130" s="18">
        <v>45723.53212962963</v>
      </c>
      <c r="DF130" s="17" t="s">
        <v>198</v>
      </c>
      <c r="DG130" s="18">
        <v>45723.53212962963</v>
      </c>
      <c r="DH130" s="13" t="s">
        <v>205</v>
      </c>
      <c r="DI130" s="14" t="s">
        <v>179</v>
      </c>
      <c r="DJ130" s="14" t="s">
        <v>4133</v>
      </c>
      <c r="DK130" s="14" t="s">
        <v>179</v>
      </c>
      <c r="DL130" s="14" t="s">
        <v>4134</v>
      </c>
      <c r="DM130" s="14" t="s">
        <v>179</v>
      </c>
      <c r="DN130" s="14" t="s">
        <v>4135</v>
      </c>
      <c r="DO130" s="14" t="s">
        <v>179</v>
      </c>
      <c r="DP130" s="14" t="s">
        <v>4136</v>
      </c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6" t="s">
        <v>197</v>
      </c>
      <c r="ED130" s="17" t="s">
        <v>198</v>
      </c>
      <c r="EE130" s="18">
        <v>45723.53229166667</v>
      </c>
      <c r="EF130" s="13" t="s">
        <v>209</v>
      </c>
      <c r="EG130" s="14" t="s">
        <v>179</v>
      </c>
      <c r="EH130" s="14" t="s">
        <v>4137</v>
      </c>
      <c r="EI130" s="14" t="s">
        <v>179</v>
      </c>
      <c r="EJ130" s="14" t="s">
        <v>4138</v>
      </c>
      <c r="EK130" s="14" t="s">
        <v>179</v>
      </c>
      <c r="EL130" s="14" t="s">
        <v>4139</v>
      </c>
      <c r="EM130" s="14" t="s">
        <v>179</v>
      </c>
      <c r="EN130" s="14" t="s">
        <v>4140</v>
      </c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6" t="s">
        <v>197</v>
      </c>
      <c r="FD130" s="17" t="s">
        <v>198</v>
      </c>
      <c r="FE130" s="18">
        <v>45723.54037037037</v>
      </c>
      <c r="FF130" s="19"/>
      <c r="FG130" s="19"/>
      <c r="FH130" s="21" t="s">
        <v>197</v>
      </c>
      <c r="FI130" s="17" t="s">
        <v>214</v>
      </c>
      <c r="FJ130" s="18">
        <v>45723.54037037037</v>
      </c>
      <c r="FK130" s="14" t="s">
        <v>4140</v>
      </c>
      <c r="FL130" s="19"/>
      <c r="FM130" s="19"/>
      <c r="FN130" s="19"/>
      <c r="FO130" s="19"/>
      <c r="FP130" s="19" t="str">
        <f t="shared" si="1"/>
        <v/>
      </c>
      <c r="FQ130" s="14" t="s">
        <v>215</v>
      </c>
      <c r="FR130" s="14" t="s">
        <v>4141</v>
      </c>
    </row>
    <row r="131" ht="15.75" customHeight="1">
      <c r="A131" s="25" t="s">
        <v>357</v>
      </c>
      <c r="B131" s="25" t="s">
        <v>358</v>
      </c>
      <c r="C131" s="26" t="s">
        <v>176</v>
      </c>
      <c r="D131" s="25" t="s">
        <v>4142</v>
      </c>
      <c r="E131" s="25" t="s">
        <v>4143</v>
      </c>
      <c r="F131" s="27" t="s">
        <v>178</v>
      </c>
      <c r="G131" s="14" t="s">
        <v>179</v>
      </c>
      <c r="H131" s="14" t="s">
        <v>4144</v>
      </c>
      <c r="I131" s="14" t="s">
        <v>179</v>
      </c>
      <c r="J131" s="14" t="s">
        <v>4145</v>
      </c>
      <c r="K131" s="14" t="s">
        <v>179</v>
      </c>
      <c r="L131" s="14" t="s">
        <v>4146</v>
      </c>
      <c r="M131" s="14" t="s">
        <v>179</v>
      </c>
      <c r="N131" s="14" t="s">
        <v>4147</v>
      </c>
      <c r="O131" s="14" t="s">
        <v>179</v>
      </c>
      <c r="P131" s="14" t="s">
        <v>4148</v>
      </c>
      <c r="Q131" s="14" t="s">
        <v>179</v>
      </c>
      <c r="R131" s="14" t="s">
        <v>4149</v>
      </c>
      <c r="S131" s="14" t="s">
        <v>179</v>
      </c>
      <c r="T131" s="14" t="s">
        <v>4150</v>
      </c>
      <c r="U131" s="14" t="s">
        <v>179</v>
      </c>
      <c r="V131" s="14" t="s">
        <v>4151</v>
      </c>
      <c r="W131" s="14" t="s">
        <v>179</v>
      </c>
      <c r="X131" s="14" t="s">
        <v>4152</v>
      </c>
      <c r="Y131" s="14" t="s">
        <v>179</v>
      </c>
      <c r="Z131" s="14" t="s">
        <v>4153</v>
      </c>
      <c r="AA131" s="14" t="s">
        <v>179</v>
      </c>
      <c r="AB131" s="14" t="s">
        <v>4154</v>
      </c>
      <c r="AC131" s="14" t="s">
        <v>179</v>
      </c>
      <c r="AD131" s="14" t="s">
        <v>4155</v>
      </c>
      <c r="AE131" s="14" t="s">
        <v>179</v>
      </c>
      <c r="AF131" s="14" t="s">
        <v>4156</v>
      </c>
      <c r="AG131" s="14" t="s">
        <v>179</v>
      </c>
      <c r="AH131" s="14" t="s">
        <v>4157</v>
      </c>
      <c r="AI131" s="14" t="s">
        <v>179</v>
      </c>
      <c r="AJ131" s="14" t="s">
        <v>4158</v>
      </c>
      <c r="AK131" s="14" t="s">
        <v>179</v>
      </c>
      <c r="AL131" s="14" t="s">
        <v>4159</v>
      </c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7" t="s">
        <v>197</v>
      </c>
      <c r="BP131" s="17" t="s">
        <v>198</v>
      </c>
      <c r="BQ131" s="18">
        <v>45688.41164351852</v>
      </c>
      <c r="BR131" s="17" t="s">
        <v>198</v>
      </c>
      <c r="BS131" s="18">
        <v>45688.411770833336</v>
      </c>
      <c r="BT131" s="17" t="s">
        <v>198</v>
      </c>
      <c r="BU131" s="18">
        <v>45688.411770833336</v>
      </c>
      <c r="BV131" s="27" t="s">
        <v>199</v>
      </c>
      <c r="BW131" s="14" t="s">
        <v>179</v>
      </c>
      <c r="BX131" s="14" t="s">
        <v>4160</v>
      </c>
      <c r="BY131" s="14" t="s">
        <v>179</v>
      </c>
      <c r="BZ131" s="14" t="s">
        <v>4161</v>
      </c>
      <c r="CA131" s="14" t="s">
        <v>179</v>
      </c>
      <c r="CB131" s="14" t="s">
        <v>4162</v>
      </c>
      <c r="CC131" s="14" t="s">
        <v>179</v>
      </c>
      <c r="CD131" s="14" t="s">
        <v>4162</v>
      </c>
      <c r="CE131" s="14" t="s">
        <v>179</v>
      </c>
      <c r="CF131" s="14" t="s">
        <v>4163</v>
      </c>
      <c r="CG131" s="14" t="s">
        <v>179</v>
      </c>
      <c r="CH131" s="14" t="s">
        <v>4164</v>
      </c>
      <c r="CI131" s="19"/>
      <c r="CJ131" s="15"/>
      <c r="CK131" s="19"/>
      <c r="CL131" s="15"/>
      <c r="CM131" s="19"/>
      <c r="CN131" s="15"/>
      <c r="CO131" s="19"/>
      <c r="CP131" s="15"/>
      <c r="CQ131" s="15"/>
      <c r="CR131" s="15"/>
      <c r="CS131" s="19"/>
      <c r="CT131" s="15"/>
      <c r="CU131" s="19"/>
      <c r="CV131" s="15"/>
      <c r="CW131" s="19"/>
      <c r="CX131" s="15"/>
      <c r="CY131" s="19"/>
      <c r="CZ131" s="15"/>
      <c r="DA131" s="17" t="s">
        <v>197</v>
      </c>
      <c r="DB131" s="17" t="s">
        <v>198</v>
      </c>
      <c r="DC131" s="20">
        <v>45722.40212962963</v>
      </c>
      <c r="DD131" s="17" t="s">
        <v>198</v>
      </c>
      <c r="DE131" s="18">
        <v>45722.40216435185</v>
      </c>
      <c r="DF131" s="17" t="s">
        <v>198</v>
      </c>
      <c r="DG131" s="18">
        <v>45722.40216435185</v>
      </c>
      <c r="DH131" s="27" t="s">
        <v>205</v>
      </c>
      <c r="DI131" s="14" t="s">
        <v>179</v>
      </c>
      <c r="DJ131" s="14" t="s">
        <v>4165</v>
      </c>
      <c r="DK131" s="14" t="s">
        <v>179</v>
      </c>
      <c r="DL131" s="14" t="s">
        <v>4165</v>
      </c>
      <c r="DM131" s="14" t="s">
        <v>179</v>
      </c>
      <c r="DN131" s="14" t="s">
        <v>4166</v>
      </c>
      <c r="DO131" s="14" t="s">
        <v>179</v>
      </c>
      <c r="DP131" s="14" t="s">
        <v>4167</v>
      </c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7" t="s">
        <v>197</v>
      </c>
      <c r="ED131" s="17" t="s">
        <v>198</v>
      </c>
      <c r="EE131" s="18">
        <v>45723.382743055554</v>
      </c>
      <c r="EF131" s="27" t="s">
        <v>209</v>
      </c>
      <c r="EG131" s="14" t="s">
        <v>179</v>
      </c>
      <c r="EH131" s="14" t="s">
        <v>4168</v>
      </c>
      <c r="EI131" s="14" t="s">
        <v>179</v>
      </c>
      <c r="EJ131" s="14" t="s">
        <v>4168</v>
      </c>
      <c r="EK131" s="14" t="s">
        <v>179</v>
      </c>
      <c r="EL131" s="14" t="s">
        <v>4169</v>
      </c>
      <c r="EM131" s="14" t="s">
        <v>179</v>
      </c>
      <c r="EN131" s="14" t="s">
        <v>4170</v>
      </c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7" t="s">
        <v>197</v>
      </c>
      <c r="FD131" s="17" t="s">
        <v>198</v>
      </c>
      <c r="FE131" s="18">
        <v>45723.382835648146</v>
      </c>
      <c r="FF131" s="19"/>
      <c r="FG131" s="19"/>
      <c r="FH131" s="17" t="s">
        <v>197</v>
      </c>
      <c r="FI131" s="17" t="s">
        <v>214</v>
      </c>
      <c r="FJ131" s="18">
        <v>45723.382835648146</v>
      </c>
      <c r="FK131" s="14" t="s">
        <v>4170</v>
      </c>
      <c r="FL131" s="14" t="s">
        <v>4171</v>
      </c>
      <c r="FM131" s="14" t="s">
        <v>4172</v>
      </c>
      <c r="FN131" s="19"/>
      <c r="FO131" s="19"/>
      <c r="FP131" s="19" t="str">
        <f t="shared" si="1"/>
        <v>Inserir_Remover TAG_Images/BC8108.Imagem.183943.jpg</v>
      </c>
      <c r="FQ131" s="14"/>
      <c r="FR131" s="14"/>
    </row>
    <row r="132" ht="15.75" customHeight="1">
      <c r="A132" s="12" t="s">
        <v>357</v>
      </c>
      <c r="B132" s="12" t="s">
        <v>4173</v>
      </c>
      <c r="C132" s="24" t="s">
        <v>512</v>
      </c>
      <c r="D132" s="22" t="s">
        <v>4174</v>
      </c>
      <c r="E132" s="22" t="s">
        <v>4175</v>
      </c>
      <c r="F132" s="13" t="s">
        <v>178</v>
      </c>
      <c r="G132" s="14" t="s">
        <v>179</v>
      </c>
      <c r="H132" s="14" t="s">
        <v>4176</v>
      </c>
      <c r="I132" s="14" t="s">
        <v>179</v>
      </c>
      <c r="J132" s="14" t="s">
        <v>4177</v>
      </c>
      <c r="K132" s="14" t="s">
        <v>179</v>
      </c>
      <c r="L132" s="14" t="s">
        <v>4178</v>
      </c>
      <c r="M132" s="14" t="s">
        <v>179</v>
      </c>
      <c r="N132" s="14" t="s">
        <v>4179</v>
      </c>
      <c r="O132" s="14" t="s">
        <v>179</v>
      </c>
      <c r="P132" s="14" t="s">
        <v>4180</v>
      </c>
      <c r="Q132" s="14" t="s">
        <v>179</v>
      </c>
      <c r="R132" s="14" t="s">
        <v>4181</v>
      </c>
      <c r="S132" s="14" t="s">
        <v>179</v>
      </c>
      <c r="T132" s="14" t="s">
        <v>4182</v>
      </c>
      <c r="U132" s="14" t="s">
        <v>179</v>
      </c>
      <c r="V132" s="14" t="s">
        <v>4183</v>
      </c>
      <c r="W132" s="14" t="s">
        <v>179</v>
      </c>
      <c r="X132" s="14" t="s">
        <v>4184</v>
      </c>
      <c r="Y132" s="14" t="s">
        <v>179</v>
      </c>
      <c r="Z132" s="14" t="s">
        <v>4185</v>
      </c>
      <c r="AA132" s="14" t="s">
        <v>179</v>
      </c>
      <c r="AB132" s="14" t="s">
        <v>4186</v>
      </c>
      <c r="AC132" s="14" t="s">
        <v>179</v>
      </c>
      <c r="AD132" s="14" t="s">
        <v>4187</v>
      </c>
      <c r="AE132" s="14" t="s">
        <v>179</v>
      </c>
      <c r="AF132" s="14" t="s">
        <v>4188</v>
      </c>
      <c r="AG132" s="14" t="s">
        <v>179</v>
      </c>
      <c r="AH132" s="14" t="s">
        <v>4189</v>
      </c>
      <c r="AI132" s="14" t="s">
        <v>179</v>
      </c>
      <c r="AJ132" s="14" t="s">
        <v>4190</v>
      </c>
      <c r="AK132" s="14" t="s">
        <v>179</v>
      </c>
      <c r="AL132" s="14" t="s">
        <v>4191</v>
      </c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6" t="s">
        <v>197</v>
      </c>
      <c r="BP132" s="17" t="s">
        <v>198</v>
      </c>
      <c r="BQ132" s="18">
        <v>45686.52726851852</v>
      </c>
      <c r="BR132" s="17" t="s">
        <v>198</v>
      </c>
      <c r="BS132" s="18">
        <v>45686.52756944444</v>
      </c>
      <c r="BT132" s="17" t="s">
        <v>198</v>
      </c>
      <c r="BU132" s="18">
        <v>45686.52756944444</v>
      </c>
      <c r="BV132" s="13" t="s">
        <v>199</v>
      </c>
      <c r="BW132" s="14" t="s">
        <v>179</v>
      </c>
      <c r="BX132" s="14" t="s">
        <v>4192</v>
      </c>
      <c r="BY132" s="14" t="s">
        <v>179</v>
      </c>
      <c r="BZ132" s="14" t="s">
        <v>4192</v>
      </c>
      <c r="CA132" s="14" t="s">
        <v>179</v>
      </c>
      <c r="CB132" s="14" t="s">
        <v>4193</v>
      </c>
      <c r="CC132" s="14" t="s">
        <v>179</v>
      </c>
      <c r="CD132" s="14" t="s">
        <v>4194</v>
      </c>
      <c r="CE132" s="14" t="s">
        <v>179</v>
      </c>
      <c r="CF132" s="14" t="s">
        <v>4194</v>
      </c>
      <c r="CG132" s="14" t="s">
        <v>179</v>
      </c>
      <c r="CH132" s="14" t="s">
        <v>4195</v>
      </c>
      <c r="CI132" s="19"/>
      <c r="CJ132" s="15"/>
      <c r="CK132" s="19"/>
      <c r="CL132" s="15"/>
      <c r="CM132" s="19"/>
      <c r="CN132" s="15"/>
      <c r="CO132" s="19"/>
      <c r="CP132" s="15"/>
      <c r="CQ132" s="15"/>
      <c r="CR132" s="15"/>
      <c r="CS132" s="19"/>
      <c r="CT132" s="15"/>
      <c r="CU132" s="19"/>
      <c r="CV132" s="15"/>
      <c r="CW132" s="19"/>
      <c r="CX132" s="15"/>
      <c r="CY132" s="19"/>
      <c r="CZ132" s="15"/>
      <c r="DA132" s="16" t="s">
        <v>197</v>
      </c>
      <c r="DB132" s="17" t="s">
        <v>198</v>
      </c>
      <c r="DC132" s="20">
        <v>45723.54105324074</v>
      </c>
      <c r="DD132" s="17" t="s">
        <v>198</v>
      </c>
      <c r="DE132" s="18">
        <v>45723.54108796296</v>
      </c>
      <c r="DF132" s="17" t="s">
        <v>198</v>
      </c>
      <c r="DG132" s="18">
        <v>45723.54108796296</v>
      </c>
      <c r="DH132" s="13" t="s">
        <v>205</v>
      </c>
      <c r="DI132" s="14" t="s">
        <v>179</v>
      </c>
      <c r="DJ132" s="14" t="s">
        <v>4196</v>
      </c>
      <c r="DK132" s="14" t="s">
        <v>179</v>
      </c>
      <c r="DL132" s="14" t="s">
        <v>4197</v>
      </c>
      <c r="DM132" s="14" t="s">
        <v>179</v>
      </c>
      <c r="DN132" s="14" t="s">
        <v>4198</v>
      </c>
      <c r="DO132" s="14" t="s">
        <v>179</v>
      </c>
      <c r="DP132" s="14" t="s">
        <v>4199</v>
      </c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6" t="s">
        <v>197</v>
      </c>
      <c r="ED132" s="17" t="s">
        <v>198</v>
      </c>
      <c r="EE132" s="18">
        <v>45723.54115740741</v>
      </c>
      <c r="EF132" s="13" t="s">
        <v>209</v>
      </c>
      <c r="EG132" s="14" t="s">
        <v>179</v>
      </c>
      <c r="EH132" s="14" t="s">
        <v>4200</v>
      </c>
      <c r="EI132" s="14" t="s">
        <v>179</v>
      </c>
      <c r="EJ132" s="14" t="s">
        <v>4200</v>
      </c>
      <c r="EK132" s="14" t="s">
        <v>179</v>
      </c>
      <c r="EL132" s="14" t="s">
        <v>4201</v>
      </c>
      <c r="EM132" s="14" t="s">
        <v>179</v>
      </c>
      <c r="EN132" s="14" t="s">
        <v>4202</v>
      </c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6" t="s">
        <v>197</v>
      </c>
      <c r="FD132" s="17" t="s">
        <v>198</v>
      </c>
      <c r="FE132" s="18">
        <v>45723.54121527778</v>
      </c>
      <c r="FF132" s="19"/>
      <c r="FG132" s="19"/>
      <c r="FH132" s="21" t="s">
        <v>197</v>
      </c>
      <c r="FI132" s="17" t="s">
        <v>214</v>
      </c>
      <c r="FJ132" s="18">
        <v>45723.54121527778</v>
      </c>
      <c r="FK132" s="14" t="s">
        <v>4202</v>
      </c>
      <c r="FL132" s="14" t="s">
        <v>4203</v>
      </c>
      <c r="FM132" s="14" t="s">
        <v>4204</v>
      </c>
      <c r="FN132" s="14" t="s">
        <v>4205</v>
      </c>
      <c r="FO132" s="14" t="s">
        <v>4206</v>
      </c>
      <c r="FP132" s="19" t="str">
        <f t="shared" si="1"/>
        <v>Base de Dados_Images/BC8109.Imagem do Equipamento-.155051.jpg</v>
      </c>
      <c r="FQ132" s="19"/>
      <c r="FR132" s="19"/>
    </row>
    <row r="133" ht="15.75" customHeight="1">
      <c r="A133" s="12" t="s">
        <v>357</v>
      </c>
      <c r="B133" s="12" t="s">
        <v>4071</v>
      </c>
      <c r="C133" s="24" t="s">
        <v>512</v>
      </c>
      <c r="D133" s="22" t="s">
        <v>4207</v>
      </c>
      <c r="E133" s="22" t="s">
        <v>4208</v>
      </c>
      <c r="F133" s="13" t="s">
        <v>178</v>
      </c>
      <c r="G133" s="14" t="s">
        <v>188</v>
      </c>
      <c r="H133" s="14" t="s">
        <v>4209</v>
      </c>
      <c r="I133" s="14" t="s">
        <v>188</v>
      </c>
      <c r="J133" s="14" t="s">
        <v>4210</v>
      </c>
      <c r="K133" s="14" t="s">
        <v>188</v>
      </c>
      <c r="L133" s="14" t="s">
        <v>4211</v>
      </c>
      <c r="M133" s="14" t="s">
        <v>188</v>
      </c>
      <c r="N133" s="14" t="s">
        <v>4212</v>
      </c>
      <c r="O133" s="14" t="s">
        <v>188</v>
      </c>
      <c r="P133" s="14" t="s">
        <v>4213</v>
      </c>
      <c r="Q133" s="14" t="s">
        <v>188</v>
      </c>
      <c r="R133" s="14" t="s">
        <v>4214</v>
      </c>
      <c r="S133" s="14" t="s">
        <v>188</v>
      </c>
      <c r="T133" s="14" t="s">
        <v>4215</v>
      </c>
      <c r="U133" s="14" t="s">
        <v>188</v>
      </c>
      <c r="V133" s="14" t="s">
        <v>4216</v>
      </c>
      <c r="W133" s="14" t="s">
        <v>188</v>
      </c>
      <c r="X133" s="14" t="s">
        <v>4217</v>
      </c>
      <c r="Y133" s="14" t="s">
        <v>188</v>
      </c>
      <c r="Z133" s="14" t="s">
        <v>4218</v>
      </c>
      <c r="AA133" s="14" t="s">
        <v>188</v>
      </c>
      <c r="AB133" s="14" t="s">
        <v>4219</v>
      </c>
      <c r="AC133" s="14" t="s">
        <v>188</v>
      </c>
      <c r="AD133" s="14" t="s">
        <v>4220</v>
      </c>
      <c r="AE133" s="14" t="s">
        <v>188</v>
      </c>
      <c r="AF133" s="14" t="s">
        <v>4221</v>
      </c>
      <c r="AG133" s="14" t="s">
        <v>188</v>
      </c>
      <c r="AH133" s="14" t="s">
        <v>4222</v>
      </c>
      <c r="AI133" s="14" t="s">
        <v>188</v>
      </c>
      <c r="AJ133" s="14" t="s">
        <v>4223</v>
      </c>
      <c r="AK133" s="14" t="s">
        <v>188</v>
      </c>
      <c r="AL133" s="14" t="s">
        <v>4224</v>
      </c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6" t="s">
        <v>197</v>
      </c>
      <c r="BP133" s="17" t="s">
        <v>198</v>
      </c>
      <c r="BQ133" s="18">
        <v>45687.448217592595</v>
      </c>
      <c r="BR133" s="17" t="s">
        <v>198</v>
      </c>
      <c r="BS133" s="18">
        <v>45687.44855324074</v>
      </c>
      <c r="BT133" s="17" t="s">
        <v>198</v>
      </c>
      <c r="BU133" s="18">
        <v>45687.44855324074</v>
      </c>
      <c r="BV133" s="13" t="s">
        <v>199</v>
      </c>
      <c r="BW133" s="14" t="s">
        <v>188</v>
      </c>
      <c r="BX133" s="14" t="s">
        <v>4225</v>
      </c>
      <c r="BY133" s="14" t="s">
        <v>188</v>
      </c>
      <c r="BZ133" s="14" t="s">
        <v>4226</v>
      </c>
      <c r="CA133" s="14" t="s">
        <v>188</v>
      </c>
      <c r="CB133" s="14" t="s">
        <v>4227</v>
      </c>
      <c r="CC133" s="14" t="s">
        <v>188</v>
      </c>
      <c r="CD133" s="14" t="s">
        <v>4228</v>
      </c>
      <c r="CE133" s="14" t="s">
        <v>188</v>
      </c>
      <c r="CF133" s="14" t="s">
        <v>4229</v>
      </c>
      <c r="CG133" s="14" t="s">
        <v>188</v>
      </c>
      <c r="CH133" s="14" t="s">
        <v>4230</v>
      </c>
      <c r="CI133" s="19"/>
      <c r="CJ133" s="15"/>
      <c r="CK133" s="19"/>
      <c r="CL133" s="15"/>
      <c r="CM133" s="19"/>
      <c r="CN133" s="15"/>
      <c r="CO133" s="19"/>
      <c r="CP133" s="15"/>
      <c r="CQ133" s="15"/>
      <c r="CR133" s="15"/>
      <c r="CS133" s="19"/>
      <c r="CT133" s="15"/>
      <c r="CU133" s="19"/>
      <c r="CV133" s="15"/>
      <c r="CW133" s="19"/>
      <c r="CX133" s="15"/>
      <c r="CY133" s="19"/>
      <c r="CZ133" s="15"/>
      <c r="DA133" s="16" t="s">
        <v>197</v>
      </c>
      <c r="DB133" s="17" t="s">
        <v>198</v>
      </c>
      <c r="DC133" s="20">
        <v>45687.44898148148</v>
      </c>
      <c r="DD133" s="17" t="s">
        <v>198</v>
      </c>
      <c r="DE133" s="18">
        <v>45687.44907407407</v>
      </c>
      <c r="DF133" s="17" t="s">
        <v>198</v>
      </c>
      <c r="DG133" s="18">
        <v>45687.44907407407</v>
      </c>
      <c r="DH133" s="13" t="s">
        <v>205</v>
      </c>
      <c r="DI133" s="14" t="s">
        <v>179</v>
      </c>
      <c r="DJ133" s="14" t="s">
        <v>4231</v>
      </c>
      <c r="DK133" s="14" t="s">
        <v>179</v>
      </c>
      <c r="DL133" s="14" t="s">
        <v>4232</v>
      </c>
      <c r="DM133" s="14" t="s">
        <v>179</v>
      </c>
      <c r="DN133" s="14" t="s">
        <v>4233</v>
      </c>
      <c r="DO133" s="14" t="s">
        <v>179</v>
      </c>
      <c r="DP133" s="14" t="s">
        <v>4234</v>
      </c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6" t="s">
        <v>197</v>
      </c>
      <c r="ED133" s="17" t="s">
        <v>198</v>
      </c>
      <c r="EE133" s="18">
        <v>45691.62914351852</v>
      </c>
      <c r="EF133" s="13" t="s">
        <v>209</v>
      </c>
      <c r="EG133" s="14" t="s">
        <v>179</v>
      </c>
      <c r="EH133" s="14" t="s">
        <v>4235</v>
      </c>
      <c r="EI133" s="14" t="s">
        <v>179</v>
      </c>
      <c r="EJ133" s="14" t="s">
        <v>4236</v>
      </c>
      <c r="EK133" s="14" t="s">
        <v>179</v>
      </c>
      <c r="EL133" s="14" t="s">
        <v>4237</v>
      </c>
      <c r="EM133" s="14" t="s">
        <v>179</v>
      </c>
      <c r="EN133" s="14" t="s">
        <v>4238</v>
      </c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6" t="s">
        <v>197</v>
      </c>
      <c r="FD133" s="17" t="s">
        <v>198</v>
      </c>
      <c r="FE133" s="18">
        <v>45699.44975694444</v>
      </c>
      <c r="FF133" s="19"/>
      <c r="FG133" s="19"/>
      <c r="FH133" s="21" t="s">
        <v>197</v>
      </c>
      <c r="FI133" s="17" t="s">
        <v>214</v>
      </c>
      <c r="FJ133" s="18">
        <v>45699.44975694444</v>
      </c>
      <c r="FK133" s="14" t="s">
        <v>4238</v>
      </c>
      <c r="FL133" s="19"/>
      <c r="FM133" s="19"/>
      <c r="FN133" s="19"/>
      <c r="FO133" s="19"/>
      <c r="FP133" s="19" t="str">
        <f t="shared" si="1"/>
        <v/>
      </c>
      <c r="FQ133" s="14" t="s">
        <v>215</v>
      </c>
      <c r="FR133" s="14" t="s">
        <v>4239</v>
      </c>
    </row>
    <row r="134" ht="15.75" customHeight="1">
      <c r="A134" s="12" t="s">
        <v>357</v>
      </c>
      <c r="B134" s="12" t="s">
        <v>4240</v>
      </c>
      <c r="C134" s="24" t="s">
        <v>512</v>
      </c>
      <c r="D134" s="22" t="s">
        <v>4241</v>
      </c>
      <c r="E134" s="22" t="s">
        <v>4242</v>
      </c>
      <c r="F134" s="13" t="s">
        <v>178</v>
      </c>
      <c r="G134" s="14" t="s">
        <v>179</v>
      </c>
      <c r="H134" s="14" t="s">
        <v>4243</v>
      </c>
      <c r="I134" s="14" t="s">
        <v>179</v>
      </c>
      <c r="J134" s="14" t="s">
        <v>4244</v>
      </c>
      <c r="K134" s="14" t="s">
        <v>179</v>
      </c>
      <c r="L134" s="14" t="s">
        <v>4245</v>
      </c>
      <c r="M134" s="14" t="s">
        <v>179</v>
      </c>
      <c r="N134" s="14" t="s">
        <v>4246</v>
      </c>
      <c r="O134" s="14" t="s">
        <v>179</v>
      </c>
      <c r="P134" s="14" t="s">
        <v>4247</v>
      </c>
      <c r="Q134" s="14" t="s">
        <v>179</v>
      </c>
      <c r="R134" s="14" t="s">
        <v>4248</v>
      </c>
      <c r="S134" s="14" t="s">
        <v>179</v>
      </c>
      <c r="T134" s="14" t="s">
        <v>4249</v>
      </c>
      <c r="U134" s="14" t="s">
        <v>179</v>
      </c>
      <c r="V134" s="14" t="s">
        <v>4250</v>
      </c>
      <c r="W134" s="14" t="s">
        <v>179</v>
      </c>
      <c r="X134" s="14" t="s">
        <v>4251</v>
      </c>
      <c r="Y134" s="14" t="s">
        <v>179</v>
      </c>
      <c r="Z134" s="14" t="s">
        <v>4252</v>
      </c>
      <c r="AA134" s="14" t="s">
        <v>179</v>
      </c>
      <c r="AB134" s="14" t="s">
        <v>4253</v>
      </c>
      <c r="AC134" s="14" t="s">
        <v>179</v>
      </c>
      <c r="AD134" s="14" t="s">
        <v>4254</v>
      </c>
      <c r="AE134" s="14" t="s">
        <v>179</v>
      </c>
      <c r="AF134" s="14" t="s">
        <v>4255</v>
      </c>
      <c r="AG134" s="14" t="s">
        <v>179</v>
      </c>
      <c r="AH134" s="14" t="s">
        <v>4256</v>
      </c>
      <c r="AI134" s="14" t="s">
        <v>179</v>
      </c>
      <c r="AJ134" s="14" t="s">
        <v>4257</v>
      </c>
      <c r="AK134" s="14" t="s">
        <v>179</v>
      </c>
      <c r="AL134" s="14" t="s">
        <v>4258</v>
      </c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6" t="s">
        <v>197</v>
      </c>
      <c r="BP134" s="17" t="s">
        <v>198</v>
      </c>
      <c r="BQ134" s="18">
        <v>45686.52599537037</v>
      </c>
      <c r="BR134" s="17" t="s">
        <v>198</v>
      </c>
      <c r="BS134" s="18">
        <v>45686.526192129626</v>
      </c>
      <c r="BT134" s="17" t="s">
        <v>198</v>
      </c>
      <c r="BU134" s="18">
        <v>45686.526192129626</v>
      </c>
      <c r="BV134" s="13" t="s">
        <v>199</v>
      </c>
      <c r="BW134" s="14" t="s">
        <v>179</v>
      </c>
      <c r="BX134" s="14" t="s">
        <v>4259</v>
      </c>
      <c r="BY134" s="14" t="s">
        <v>179</v>
      </c>
      <c r="BZ134" s="14" t="s">
        <v>4260</v>
      </c>
      <c r="CA134" s="14" t="s">
        <v>179</v>
      </c>
      <c r="CB134" s="14" t="s">
        <v>4261</v>
      </c>
      <c r="CC134" s="14" t="s">
        <v>179</v>
      </c>
      <c r="CD134" s="14" t="s">
        <v>4262</v>
      </c>
      <c r="CE134" s="14" t="s">
        <v>179</v>
      </c>
      <c r="CF134" s="14" t="s">
        <v>4263</v>
      </c>
      <c r="CG134" s="14" t="s">
        <v>179</v>
      </c>
      <c r="CH134" s="14" t="s">
        <v>4264</v>
      </c>
      <c r="CI134" s="19"/>
      <c r="CJ134" s="15"/>
      <c r="CK134" s="19"/>
      <c r="CL134" s="15"/>
      <c r="CM134" s="19"/>
      <c r="CN134" s="15"/>
      <c r="CO134" s="19"/>
      <c r="CP134" s="15"/>
      <c r="CQ134" s="15"/>
      <c r="CR134" s="15"/>
      <c r="CS134" s="19"/>
      <c r="CT134" s="15"/>
      <c r="CU134" s="19"/>
      <c r="CV134" s="15"/>
      <c r="CW134" s="19"/>
      <c r="CX134" s="15"/>
      <c r="CY134" s="19"/>
      <c r="CZ134" s="15"/>
      <c r="DA134" s="16" t="s">
        <v>197</v>
      </c>
      <c r="DB134" s="17" t="s">
        <v>198</v>
      </c>
      <c r="DC134" s="20">
        <v>45723.62076388889</v>
      </c>
      <c r="DD134" s="17" t="s">
        <v>198</v>
      </c>
      <c r="DE134" s="18">
        <v>45723.62085648148</v>
      </c>
      <c r="DF134" s="17" t="s">
        <v>198</v>
      </c>
      <c r="DG134" s="18">
        <v>45723.62085648148</v>
      </c>
      <c r="DH134" s="13" t="s">
        <v>205</v>
      </c>
      <c r="DI134" s="14" t="s">
        <v>179</v>
      </c>
      <c r="DJ134" s="14" t="s">
        <v>4265</v>
      </c>
      <c r="DK134" s="14" t="s">
        <v>179</v>
      </c>
      <c r="DL134" s="14" t="s">
        <v>4266</v>
      </c>
      <c r="DM134" s="14" t="s">
        <v>179</v>
      </c>
      <c r="DN134" s="14" t="s">
        <v>4267</v>
      </c>
      <c r="DO134" s="14" t="s">
        <v>179</v>
      </c>
      <c r="DP134" s="14" t="s">
        <v>4268</v>
      </c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6" t="s">
        <v>197</v>
      </c>
      <c r="ED134" s="17" t="s">
        <v>198</v>
      </c>
      <c r="EE134" s="18">
        <v>45723.6472337963</v>
      </c>
      <c r="EF134" s="13" t="s">
        <v>209</v>
      </c>
      <c r="EG134" s="14" t="s">
        <v>179</v>
      </c>
      <c r="EH134" s="14" t="s">
        <v>4269</v>
      </c>
      <c r="EI134" s="14" t="s">
        <v>179</v>
      </c>
      <c r="EJ134" s="14" t="s">
        <v>4269</v>
      </c>
      <c r="EK134" s="14" t="s">
        <v>179</v>
      </c>
      <c r="EL134" s="14" t="s">
        <v>4270</v>
      </c>
      <c r="EM134" s="14" t="s">
        <v>179</v>
      </c>
      <c r="EN134" s="14" t="s">
        <v>4271</v>
      </c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6" t="s">
        <v>197</v>
      </c>
      <c r="FD134" s="17" t="s">
        <v>198</v>
      </c>
      <c r="FE134" s="18">
        <v>45723.64730324074</v>
      </c>
      <c r="FF134" s="19"/>
      <c r="FG134" s="19"/>
      <c r="FH134" s="21" t="s">
        <v>197</v>
      </c>
      <c r="FI134" s="17" t="s">
        <v>214</v>
      </c>
      <c r="FJ134" s="18">
        <v>45723.64730324074</v>
      </c>
      <c r="FK134" s="14" t="s">
        <v>4271</v>
      </c>
      <c r="FL134" s="14" t="s">
        <v>4272</v>
      </c>
      <c r="FM134" s="14" t="s">
        <v>4273</v>
      </c>
      <c r="FN134" s="14" t="s">
        <v>4274</v>
      </c>
      <c r="FO134" s="14" t="s">
        <v>4275</v>
      </c>
      <c r="FP134" s="19" t="str">
        <f t="shared" si="1"/>
        <v>Base de Dados_Images/BC8114.Imagem do Equipamento-.154942.jpg</v>
      </c>
      <c r="FQ134" s="19"/>
      <c r="FR134" s="19"/>
    </row>
    <row r="135" ht="15.75" customHeight="1">
      <c r="A135" s="12" t="s">
        <v>357</v>
      </c>
      <c r="B135" s="12" t="s">
        <v>4276</v>
      </c>
      <c r="C135" s="24" t="s">
        <v>512</v>
      </c>
      <c r="D135" s="22" t="s">
        <v>4277</v>
      </c>
      <c r="E135" s="22" t="s">
        <v>4278</v>
      </c>
      <c r="F135" s="13" t="s">
        <v>178</v>
      </c>
      <c r="G135" s="14" t="s">
        <v>179</v>
      </c>
      <c r="H135" s="14" t="s">
        <v>4279</v>
      </c>
      <c r="I135" s="14" t="s">
        <v>179</v>
      </c>
      <c r="J135" s="14" t="s">
        <v>4280</v>
      </c>
      <c r="K135" s="14" t="s">
        <v>179</v>
      </c>
      <c r="L135" s="14" t="s">
        <v>4281</v>
      </c>
      <c r="M135" s="14" t="s">
        <v>179</v>
      </c>
      <c r="N135" s="14" t="s">
        <v>4282</v>
      </c>
      <c r="O135" s="14" t="s">
        <v>179</v>
      </c>
      <c r="P135" s="14" t="s">
        <v>4283</v>
      </c>
      <c r="Q135" s="14" t="s">
        <v>179</v>
      </c>
      <c r="R135" s="14" t="s">
        <v>4284</v>
      </c>
      <c r="S135" s="14" t="s">
        <v>179</v>
      </c>
      <c r="T135" s="14" t="s">
        <v>4285</v>
      </c>
      <c r="U135" s="14" t="s">
        <v>179</v>
      </c>
      <c r="V135" s="14" t="s">
        <v>4286</v>
      </c>
      <c r="W135" s="14" t="s">
        <v>179</v>
      </c>
      <c r="X135" s="14" t="s">
        <v>4287</v>
      </c>
      <c r="Y135" s="14" t="s">
        <v>179</v>
      </c>
      <c r="Z135" s="14" t="s">
        <v>4288</v>
      </c>
      <c r="AA135" s="14" t="s">
        <v>179</v>
      </c>
      <c r="AB135" s="14" t="s">
        <v>4289</v>
      </c>
      <c r="AC135" s="14" t="s">
        <v>179</v>
      </c>
      <c r="AD135" s="14" t="s">
        <v>4290</v>
      </c>
      <c r="AE135" s="14" t="s">
        <v>179</v>
      </c>
      <c r="AF135" s="14" t="s">
        <v>4291</v>
      </c>
      <c r="AG135" s="14" t="s">
        <v>179</v>
      </c>
      <c r="AH135" s="14" t="s">
        <v>4292</v>
      </c>
      <c r="AI135" s="14" t="s">
        <v>179</v>
      </c>
      <c r="AJ135" s="14" t="s">
        <v>4293</v>
      </c>
      <c r="AK135" s="14" t="s">
        <v>179</v>
      </c>
      <c r="AL135" s="14" t="s">
        <v>4294</v>
      </c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6" t="s">
        <v>197</v>
      </c>
      <c r="BP135" s="17" t="s">
        <v>198</v>
      </c>
      <c r="BQ135" s="18">
        <v>45686.53</v>
      </c>
      <c r="BR135" s="17" t="s">
        <v>198</v>
      </c>
      <c r="BS135" s="18">
        <v>45686.53021990741</v>
      </c>
      <c r="BT135" s="17" t="s">
        <v>198</v>
      </c>
      <c r="BU135" s="18">
        <v>45686.53021990741</v>
      </c>
      <c r="BV135" s="13" t="s">
        <v>199</v>
      </c>
      <c r="BW135" s="14" t="s">
        <v>179</v>
      </c>
      <c r="BX135" s="14" t="s">
        <v>4295</v>
      </c>
      <c r="BY135" s="14" t="s">
        <v>179</v>
      </c>
      <c r="BZ135" s="14" t="s">
        <v>4295</v>
      </c>
      <c r="CA135" s="14" t="s">
        <v>179</v>
      </c>
      <c r="CB135" s="14" t="s">
        <v>4296</v>
      </c>
      <c r="CC135" s="14" t="s">
        <v>179</v>
      </c>
      <c r="CD135" s="14" t="s">
        <v>4297</v>
      </c>
      <c r="CE135" s="14" t="s">
        <v>179</v>
      </c>
      <c r="CF135" s="14" t="s">
        <v>4298</v>
      </c>
      <c r="CG135" s="14" t="s">
        <v>179</v>
      </c>
      <c r="CH135" s="14" t="s">
        <v>4298</v>
      </c>
      <c r="CI135" s="19"/>
      <c r="CJ135" s="15"/>
      <c r="CK135" s="19"/>
      <c r="CL135" s="15"/>
      <c r="CM135" s="19"/>
      <c r="CN135" s="15"/>
      <c r="CO135" s="19"/>
      <c r="CP135" s="15"/>
      <c r="CQ135" s="15"/>
      <c r="CR135" s="15"/>
      <c r="CS135" s="19"/>
      <c r="CT135" s="15"/>
      <c r="CU135" s="19"/>
      <c r="CV135" s="15"/>
      <c r="CW135" s="19"/>
      <c r="CX135" s="15"/>
      <c r="CY135" s="19"/>
      <c r="CZ135" s="15"/>
      <c r="DA135" s="16" t="s">
        <v>197</v>
      </c>
      <c r="DB135" s="17" t="s">
        <v>198</v>
      </c>
      <c r="DC135" s="20">
        <v>45723.62126157407</v>
      </c>
      <c r="DD135" s="17" t="s">
        <v>198</v>
      </c>
      <c r="DE135" s="18">
        <v>45723.62130787037</v>
      </c>
      <c r="DF135" s="17" t="s">
        <v>198</v>
      </c>
      <c r="DG135" s="18">
        <v>45723.62130787037</v>
      </c>
      <c r="DH135" s="13" t="s">
        <v>205</v>
      </c>
      <c r="DI135" s="14" t="s">
        <v>179</v>
      </c>
      <c r="DJ135" s="14" t="s">
        <v>4299</v>
      </c>
      <c r="DK135" s="14" t="s">
        <v>179</v>
      </c>
      <c r="DL135" s="14" t="s">
        <v>4300</v>
      </c>
      <c r="DM135" s="14" t="s">
        <v>179</v>
      </c>
      <c r="DN135" s="14" t="s">
        <v>4301</v>
      </c>
      <c r="DO135" s="14" t="s">
        <v>179</v>
      </c>
      <c r="DP135" s="14" t="s">
        <v>4302</v>
      </c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6" t="s">
        <v>197</v>
      </c>
      <c r="ED135" s="17" t="s">
        <v>198</v>
      </c>
      <c r="EE135" s="18">
        <v>45723.62148148148</v>
      </c>
      <c r="EF135" s="13" t="s">
        <v>209</v>
      </c>
      <c r="EG135" s="14" t="s">
        <v>179</v>
      </c>
      <c r="EH135" s="14" t="s">
        <v>4303</v>
      </c>
      <c r="EI135" s="14" t="s">
        <v>179</v>
      </c>
      <c r="EJ135" s="14" t="s">
        <v>4304</v>
      </c>
      <c r="EK135" s="14" t="s">
        <v>179</v>
      </c>
      <c r="EL135" s="14" t="s">
        <v>4305</v>
      </c>
      <c r="EM135" s="14" t="s">
        <v>179</v>
      </c>
      <c r="EN135" s="14" t="s">
        <v>4306</v>
      </c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6" t="s">
        <v>197</v>
      </c>
      <c r="FD135" s="17" t="s">
        <v>198</v>
      </c>
      <c r="FE135" s="18">
        <v>45723.6216087963</v>
      </c>
      <c r="FF135" s="19"/>
      <c r="FG135" s="19"/>
      <c r="FH135" s="21" t="s">
        <v>197</v>
      </c>
      <c r="FI135" s="17" t="s">
        <v>214</v>
      </c>
      <c r="FJ135" s="18">
        <v>45723.6216087963</v>
      </c>
      <c r="FK135" s="14" t="s">
        <v>4307</v>
      </c>
      <c r="FL135" s="14" t="s">
        <v>4308</v>
      </c>
      <c r="FM135" s="14" t="s">
        <v>4309</v>
      </c>
      <c r="FN135" s="14" t="s">
        <v>4310</v>
      </c>
      <c r="FO135" s="14" t="s">
        <v>4311</v>
      </c>
      <c r="FP135" s="19" t="str">
        <f t="shared" si="1"/>
        <v>Base de Dados_Images/BC8115.Imagem do Equipamento-.175906.jpg</v>
      </c>
      <c r="FQ135" s="14"/>
      <c r="FR135" s="14"/>
    </row>
    <row r="136" ht="15.75" customHeight="1">
      <c r="A136" s="12" t="s">
        <v>357</v>
      </c>
      <c r="B136" s="12" t="s">
        <v>4276</v>
      </c>
      <c r="C136" s="24" t="s">
        <v>512</v>
      </c>
      <c r="D136" s="12" t="s">
        <v>4312</v>
      </c>
      <c r="E136" s="12" t="s">
        <v>4313</v>
      </c>
      <c r="F136" s="13" t="s">
        <v>178</v>
      </c>
      <c r="G136" s="14" t="s">
        <v>179</v>
      </c>
      <c r="H136" s="14" t="s">
        <v>4314</v>
      </c>
      <c r="I136" s="14" t="s">
        <v>179</v>
      </c>
      <c r="J136" s="14" t="s">
        <v>4315</v>
      </c>
      <c r="K136" s="14" t="s">
        <v>179</v>
      </c>
      <c r="L136" s="14" t="s">
        <v>4316</v>
      </c>
      <c r="M136" s="14" t="s">
        <v>179</v>
      </c>
      <c r="N136" s="14" t="s">
        <v>4317</v>
      </c>
      <c r="O136" s="14" t="s">
        <v>179</v>
      </c>
      <c r="P136" s="14" t="s">
        <v>4318</v>
      </c>
      <c r="Q136" s="14" t="s">
        <v>179</v>
      </c>
      <c r="R136" s="14" t="s">
        <v>4319</v>
      </c>
      <c r="S136" s="14" t="s">
        <v>179</v>
      </c>
      <c r="T136" s="14" t="s">
        <v>4320</v>
      </c>
      <c r="U136" s="14" t="s">
        <v>179</v>
      </c>
      <c r="V136" s="14" t="s">
        <v>4321</v>
      </c>
      <c r="W136" s="14" t="s">
        <v>179</v>
      </c>
      <c r="X136" s="14" t="s">
        <v>4322</v>
      </c>
      <c r="Y136" s="14" t="s">
        <v>179</v>
      </c>
      <c r="Z136" s="14" t="s">
        <v>4323</v>
      </c>
      <c r="AA136" s="14" t="s">
        <v>179</v>
      </c>
      <c r="AB136" s="14" t="s">
        <v>4324</v>
      </c>
      <c r="AC136" s="14" t="s">
        <v>179</v>
      </c>
      <c r="AD136" s="14" t="s">
        <v>4325</v>
      </c>
      <c r="AE136" s="14" t="s">
        <v>179</v>
      </c>
      <c r="AF136" s="14" t="s">
        <v>4326</v>
      </c>
      <c r="AG136" s="14" t="s">
        <v>179</v>
      </c>
      <c r="AH136" s="14" t="s">
        <v>4327</v>
      </c>
      <c r="AI136" s="14" t="s">
        <v>179</v>
      </c>
      <c r="AJ136" s="14" t="s">
        <v>4328</v>
      </c>
      <c r="AK136" s="14" t="s">
        <v>179</v>
      </c>
      <c r="AL136" s="14" t="s">
        <v>4329</v>
      </c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6" t="s">
        <v>197</v>
      </c>
      <c r="BP136" s="17" t="s">
        <v>198</v>
      </c>
      <c r="BQ136" s="18">
        <v>45686.531168981484</v>
      </c>
      <c r="BR136" s="17" t="s">
        <v>198</v>
      </c>
      <c r="BS136" s="18">
        <v>45686.531319444446</v>
      </c>
      <c r="BT136" s="17" t="s">
        <v>198</v>
      </c>
      <c r="BU136" s="18">
        <v>45686.531319444446</v>
      </c>
      <c r="BV136" s="13" t="s">
        <v>199</v>
      </c>
      <c r="BW136" s="14" t="s">
        <v>179</v>
      </c>
      <c r="BX136" s="14" t="s">
        <v>4330</v>
      </c>
      <c r="BY136" s="14" t="s">
        <v>179</v>
      </c>
      <c r="BZ136" s="14" t="s">
        <v>4330</v>
      </c>
      <c r="CA136" s="14" t="s">
        <v>179</v>
      </c>
      <c r="CB136" s="14" t="s">
        <v>4331</v>
      </c>
      <c r="CC136" s="14" t="s">
        <v>179</v>
      </c>
      <c r="CD136" s="14" t="s">
        <v>4332</v>
      </c>
      <c r="CE136" s="14" t="s">
        <v>179</v>
      </c>
      <c r="CF136" s="14" t="s">
        <v>4333</v>
      </c>
      <c r="CG136" s="14" t="s">
        <v>179</v>
      </c>
      <c r="CH136" s="14" t="s">
        <v>4333</v>
      </c>
      <c r="CI136" s="19"/>
      <c r="CJ136" s="15"/>
      <c r="CK136" s="19"/>
      <c r="CL136" s="15"/>
      <c r="CM136" s="19"/>
      <c r="CN136" s="15"/>
      <c r="CO136" s="19"/>
      <c r="CP136" s="15"/>
      <c r="CQ136" s="15"/>
      <c r="CR136" s="15"/>
      <c r="CS136" s="19"/>
      <c r="CT136" s="15"/>
      <c r="CU136" s="19"/>
      <c r="CV136" s="15"/>
      <c r="CW136" s="19"/>
      <c r="CX136" s="15"/>
      <c r="CY136" s="19"/>
      <c r="CZ136" s="15"/>
      <c r="DA136" s="16" t="s">
        <v>197</v>
      </c>
      <c r="DB136" s="17" t="s">
        <v>198</v>
      </c>
      <c r="DC136" s="20">
        <v>45723.644641203704</v>
      </c>
      <c r="DD136" s="17" t="s">
        <v>198</v>
      </c>
      <c r="DE136" s="18">
        <v>45723.644733796296</v>
      </c>
      <c r="DF136" s="17" t="s">
        <v>198</v>
      </c>
      <c r="DG136" s="18">
        <v>45723.644733796296</v>
      </c>
      <c r="DH136" s="13" t="s">
        <v>205</v>
      </c>
      <c r="DI136" s="14" t="s">
        <v>179</v>
      </c>
      <c r="DJ136" s="14" t="s">
        <v>4334</v>
      </c>
      <c r="DK136" s="14" t="s">
        <v>179</v>
      </c>
      <c r="DL136" s="14" t="s">
        <v>4335</v>
      </c>
      <c r="DM136" s="14" t="s">
        <v>179</v>
      </c>
      <c r="DN136" s="14" t="s">
        <v>4335</v>
      </c>
      <c r="DO136" s="14" t="s">
        <v>179</v>
      </c>
      <c r="DP136" s="14" t="s">
        <v>4336</v>
      </c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6" t="s">
        <v>197</v>
      </c>
      <c r="ED136" s="17" t="s">
        <v>198</v>
      </c>
      <c r="EE136" s="18">
        <v>45723.64486111111</v>
      </c>
      <c r="EF136" s="13" t="s">
        <v>209</v>
      </c>
      <c r="EG136" s="14" t="s">
        <v>179</v>
      </c>
      <c r="EH136" s="14" t="s">
        <v>4337</v>
      </c>
      <c r="EI136" s="14" t="s">
        <v>179</v>
      </c>
      <c r="EJ136" s="14" t="s">
        <v>4337</v>
      </c>
      <c r="EK136" s="14" t="s">
        <v>179</v>
      </c>
      <c r="EL136" s="14" t="s">
        <v>4338</v>
      </c>
      <c r="EM136" s="14" t="s">
        <v>179</v>
      </c>
      <c r="EN136" s="14" t="s">
        <v>4339</v>
      </c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6" t="s">
        <v>197</v>
      </c>
      <c r="FD136" s="17" t="s">
        <v>198</v>
      </c>
      <c r="FE136" s="18">
        <v>45723.64494212963</v>
      </c>
      <c r="FF136" s="19"/>
      <c r="FG136" s="19"/>
      <c r="FH136" s="21" t="s">
        <v>197</v>
      </c>
      <c r="FI136" s="17" t="s">
        <v>214</v>
      </c>
      <c r="FJ136" s="18">
        <v>45723.64494212963</v>
      </c>
      <c r="FK136" s="14" t="s">
        <v>4339</v>
      </c>
      <c r="FL136" s="14" t="s">
        <v>4340</v>
      </c>
      <c r="FM136" s="14" t="s">
        <v>4341</v>
      </c>
      <c r="FN136" s="14" t="s">
        <v>4342</v>
      </c>
      <c r="FO136" s="14" t="s">
        <v>4343</v>
      </c>
      <c r="FP136" s="19" t="str">
        <f t="shared" si="1"/>
        <v>Base de Dados_Images/Bc8116_.Imagem do Equipamento-.155327.jpg</v>
      </c>
      <c r="FQ136" s="19"/>
      <c r="FR136" s="19"/>
    </row>
    <row r="137" ht="15.75" customHeight="1">
      <c r="A137" s="12" t="s">
        <v>357</v>
      </c>
      <c r="B137" s="12" t="s">
        <v>4344</v>
      </c>
      <c r="C137" s="24" t="s">
        <v>512</v>
      </c>
      <c r="D137" s="22" t="s">
        <v>4345</v>
      </c>
      <c r="E137" s="22" t="s">
        <v>4346</v>
      </c>
      <c r="F137" s="13" t="s">
        <v>178</v>
      </c>
      <c r="G137" s="14" t="s">
        <v>179</v>
      </c>
      <c r="H137" s="14" t="s">
        <v>4347</v>
      </c>
      <c r="I137" s="14" t="s">
        <v>179</v>
      </c>
      <c r="J137" s="14" t="s">
        <v>4348</v>
      </c>
      <c r="K137" s="14" t="s">
        <v>179</v>
      </c>
      <c r="L137" s="14" t="s">
        <v>4349</v>
      </c>
      <c r="M137" s="14" t="s">
        <v>179</v>
      </c>
      <c r="N137" s="14" t="s">
        <v>4350</v>
      </c>
      <c r="O137" s="14" t="s">
        <v>179</v>
      </c>
      <c r="P137" s="14" t="s">
        <v>4351</v>
      </c>
      <c r="Q137" s="14" t="s">
        <v>179</v>
      </c>
      <c r="R137" s="14" t="s">
        <v>4352</v>
      </c>
      <c r="S137" s="14" t="s">
        <v>179</v>
      </c>
      <c r="T137" s="14" t="s">
        <v>4353</v>
      </c>
      <c r="U137" s="14" t="s">
        <v>179</v>
      </c>
      <c r="V137" s="14" t="s">
        <v>4354</v>
      </c>
      <c r="W137" s="14" t="s">
        <v>179</v>
      </c>
      <c r="X137" s="14" t="s">
        <v>4355</v>
      </c>
      <c r="Y137" s="14" t="s">
        <v>179</v>
      </c>
      <c r="Z137" s="14" t="s">
        <v>4356</v>
      </c>
      <c r="AA137" s="14" t="s">
        <v>179</v>
      </c>
      <c r="AB137" s="14" t="s">
        <v>4357</v>
      </c>
      <c r="AC137" s="14" t="s">
        <v>179</v>
      </c>
      <c r="AD137" s="14" t="s">
        <v>4358</v>
      </c>
      <c r="AE137" s="14" t="s">
        <v>179</v>
      </c>
      <c r="AF137" s="14" t="s">
        <v>4359</v>
      </c>
      <c r="AG137" s="14" t="s">
        <v>179</v>
      </c>
      <c r="AH137" s="14" t="s">
        <v>4360</v>
      </c>
      <c r="AI137" s="14" t="s">
        <v>179</v>
      </c>
      <c r="AJ137" s="14" t="s">
        <v>4361</v>
      </c>
      <c r="AK137" s="14" t="s">
        <v>179</v>
      </c>
      <c r="AL137" s="14" t="s">
        <v>4362</v>
      </c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6" t="s">
        <v>197</v>
      </c>
      <c r="BP137" s="17" t="s">
        <v>198</v>
      </c>
      <c r="BQ137" s="18">
        <v>45686.53859953704</v>
      </c>
      <c r="BR137" s="17" t="s">
        <v>198</v>
      </c>
      <c r="BS137" s="18">
        <v>45686.53876157408</v>
      </c>
      <c r="BT137" s="17" t="s">
        <v>198</v>
      </c>
      <c r="BU137" s="18">
        <v>45686.53876157408</v>
      </c>
      <c r="BV137" s="13" t="s">
        <v>199</v>
      </c>
      <c r="BW137" s="14" t="s">
        <v>179</v>
      </c>
      <c r="BX137" s="14" t="s">
        <v>4363</v>
      </c>
      <c r="BY137" s="14" t="s">
        <v>179</v>
      </c>
      <c r="BZ137" s="14" t="s">
        <v>4364</v>
      </c>
      <c r="CA137" s="14" t="s">
        <v>179</v>
      </c>
      <c r="CB137" s="14" t="s">
        <v>4365</v>
      </c>
      <c r="CC137" s="14" t="s">
        <v>179</v>
      </c>
      <c r="CD137" s="14" t="s">
        <v>4366</v>
      </c>
      <c r="CE137" s="14" t="s">
        <v>179</v>
      </c>
      <c r="CF137" s="14" t="s">
        <v>4367</v>
      </c>
      <c r="CG137" s="14" t="s">
        <v>179</v>
      </c>
      <c r="CH137" s="14" t="s">
        <v>4368</v>
      </c>
      <c r="CI137" s="19"/>
      <c r="CJ137" s="15"/>
      <c r="CK137" s="19"/>
      <c r="CL137" s="15"/>
      <c r="CM137" s="19"/>
      <c r="CN137" s="15"/>
      <c r="CO137" s="19"/>
      <c r="CP137" s="15"/>
      <c r="CQ137" s="15"/>
      <c r="CR137" s="15"/>
      <c r="CS137" s="19"/>
      <c r="CT137" s="15"/>
      <c r="CU137" s="19"/>
      <c r="CV137" s="15"/>
      <c r="CW137" s="19"/>
      <c r="CX137" s="15"/>
      <c r="CY137" s="19"/>
      <c r="CZ137" s="15"/>
      <c r="DA137" s="16" t="s">
        <v>197</v>
      </c>
      <c r="DB137" s="17" t="s">
        <v>198</v>
      </c>
      <c r="DC137" s="20">
        <v>45723.59761574074</v>
      </c>
      <c r="DD137" s="17" t="s">
        <v>198</v>
      </c>
      <c r="DE137" s="18">
        <v>45723.597650462965</v>
      </c>
      <c r="DF137" s="17" t="s">
        <v>198</v>
      </c>
      <c r="DG137" s="18">
        <v>45723.597650462965</v>
      </c>
      <c r="DH137" s="13" t="s">
        <v>205</v>
      </c>
      <c r="DI137" s="14" t="s">
        <v>179</v>
      </c>
      <c r="DJ137" s="14" t="s">
        <v>4369</v>
      </c>
      <c r="DK137" s="14" t="s">
        <v>179</v>
      </c>
      <c r="DL137" s="14" t="s">
        <v>4369</v>
      </c>
      <c r="DM137" s="14" t="s">
        <v>179</v>
      </c>
      <c r="DN137" s="14" t="s">
        <v>4370</v>
      </c>
      <c r="DO137" s="14" t="s">
        <v>179</v>
      </c>
      <c r="DP137" s="14" t="s">
        <v>4370</v>
      </c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6" t="s">
        <v>197</v>
      </c>
      <c r="ED137" s="17" t="s">
        <v>198</v>
      </c>
      <c r="EE137" s="18">
        <v>45723.597719907404</v>
      </c>
      <c r="EF137" s="13" t="s">
        <v>209</v>
      </c>
      <c r="EG137" s="14" t="s">
        <v>179</v>
      </c>
      <c r="EH137" s="14" t="s">
        <v>4371</v>
      </c>
      <c r="EI137" s="14" t="s">
        <v>179</v>
      </c>
      <c r="EJ137" s="14" t="s">
        <v>4372</v>
      </c>
      <c r="EK137" s="14" t="s">
        <v>179</v>
      </c>
      <c r="EL137" s="14" t="s">
        <v>4372</v>
      </c>
      <c r="EM137" s="14" t="s">
        <v>179</v>
      </c>
      <c r="EN137" s="14" t="s">
        <v>4373</v>
      </c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6" t="s">
        <v>197</v>
      </c>
      <c r="FD137" s="17" t="s">
        <v>198</v>
      </c>
      <c r="FE137" s="18">
        <v>45723.5978125</v>
      </c>
      <c r="FF137" s="19"/>
      <c r="FG137" s="19"/>
      <c r="FH137" s="21" t="s">
        <v>197</v>
      </c>
      <c r="FI137" s="17" t="s">
        <v>214</v>
      </c>
      <c r="FJ137" s="18">
        <v>45723.5978125</v>
      </c>
      <c r="FK137" s="14" t="s">
        <v>4373</v>
      </c>
      <c r="FL137" s="14" t="s">
        <v>4374</v>
      </c>
      <c r="FM137" s="14" t="s">
        <v>4375</v>
      </c>
      <c r="FN137" s="14" t="s">
        <v>4376</v>
      </c>
      <c r="FO137" s="14" t="s">
        <v>4377</v>
      </c>
      <c r="FP137" s="19" t="str">
        <f t="shared" si="1"/>
        <v>Base de Dados_Images/BC8117.Imagem do Equipamento-.155757.jpg</v>
      </c>
      <c r="FQ137" s="19"/>
      <c r="FR137" s="19"/>
    </row>
    <row r="138" ht="15.75" customHeight="1">
      <c r="A138" s="12" t="s">
        <v>357</v>
      </c>
      <c r="B138" s="12" t="s">
        <v>358</v>
      </c>
      <c r="C138" s="24" t="s">
        <v>512</v>
      </c>
      <c r="D138" s="22" t="s">
        <v>4378</v>
      </c>
      <c r="E138" s="22" t="s">
        <v>4379</v>
      </c>
      <c r="F138" s="13" t="s">
        <v>178</v>
      </c>
      <c r="G138" s="14" t="s">
        <v>179</v>
      </c>
      <c r="H138" s="14" t="s">
        <v>4380</v>
      </c>
      <c r="I138" s="14" t="s">
        <v>179</v>
      </c>
      <c r="J138" s="14" t="s">
        <v>4381</v>
      </c>
      <c r="K138" s="14" t="s">
        <v>179</v>
      </c>
      <c r="L138" s="14" t="s">
        <v>4382</v>
      </c>
      <c r="M138" s="14" t="s">
        <v>179</v>
      </c>
      <c r="N138" s="14" t="s">
        <v>4383</v>
      </c>
      <c r="O138" s="14" t="s">
        <v>179</v>
      </c>
      <c r="P138" s="14" t="s">
        <v>4384</v>
      </c>
      <c r="Q138" s="14" t="s">
        <v>179</v>
      </c>
      <c r="R138" s="14" t="s">
        <v>4385</v>
      </c>
      <c r="S138" s="14" t="s">
        <v>179</v>
      </c>
      <c r="T138" s="14" t="s">
        <v>4386</v>
      </c>
      <c r="U138" s="14" t="s">
        <v>179</v>
      </c>
      <c r="V138" s="14" t="s">
        <v>4387</v>
      </c>
      <c r="W138" s="14" t="s">
        <v>179</v>
      </c>
      <c r="X138" s="14" t="s">
        <v>4387</v>
      </c>
      <c r="Y138" s="14" t="s">
        <v>179</v>
      </c>
      <c r="Z138" s="14" t="s">
        <v>4388</v>
      </c>
      <c r="AA138" s="14" t="s">
        <v>179</v>
      </c>
      <c r="AB138" s="14" t="s">
        <v>4389</v>
      </c>
      <c r="AC138" s="14" t="s">
        <v>179</v>
      </c>
      <c r="AD138" s="14" t="s">
        <v>4390</v>
      </c>
      <c r="AE138" s="14" t="s">
        <v>179</v>
      </c>
      <c r="AF138" s="14" t="s">
        <v>4391</v>
      </c>
      <c r="AG138" s="14" t="s">
        <v>179</v>
      </c>
      <c r="AH138" s="14" t="s">
        <v>4392</v>
      </c>
      <c r="AI138" s="14" t="s">
        <v>179</v>
      </c>
      <c r="AJ138" s="14" t="s">
        <v>4393</v>
      </c>
      <c r="AK138" s="14" t="s">
        <v>179</v>
      </c>
      <c r="AL138" s="14" t="s">
        <v>4394</v>
      </c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6" t="s">
        <v>197</v>
      </c>
      <c r="BP138" s="17" t="s">
        <v>198</v>
      </c>
      <c r="BQ138" s="18">
        <v>45685.57592592593</v>
      </c>
      <c r="BR138" s="17" t="s">
        <v>198</v>
      </c>
      <c r="BS138" s="18">
        <v>45685.57607638889</v>
      </c>
      <c r="BT138" s="17" t="s">
        <v>198</v>
      </c>
      <c r="BU138" s="18">
        <v>45685.57607638889</v>
      </c>
      <c r="BV138" s="13" t="s">
        <v>199</v>
      </c>
      <c r="BW138" s="14" t="s">
        <v>179</v>
      </c>
      <c r="BX138" s="14" t="s">
        <v>4395</v>
      </c>
      <c r="BY138" s="14" t="s">
        <v>179</v>
      </c>
      <c r="BZ138" s="14" t="s">
        <v>4396</v>
      </c>
      <c r="CA138" s="14" t="s">
        <v>179</v>
      </c>
      <c r="CB138" s="14" t="s">
        <v>4397</v>
      </c>
      <c r="CC138" s="14" t="s">
        <v>179</v>
      </c>
      <c r="CD138" s="14" t="s">
        <v>4398</v>
      </c>
      <c r="CE138" s="14" t="s">
        <v>179</v>
      </c>
      <c r="CF138" s="14" t="s">
        <v>4399</v>
      </c>
      <c r="CG138" s="14" t="s">
        <v>179</v>
      </c>
      <c r="CH138" s="14" t="s">
        <v>4400</v>
      </c>
      <c r="CI138" s="19"/>
      <c r="CJ138" s="15"/>
      <c r="CK138" s="19"/>
      <c r="CL138" s="15"/>
      <c r="CM138" s="19"/>
      <c r="CN138" s="15"/>
      <c r="CO138" s="19"/>
      <c r="CP138" s="15"/>
      <c r="CQ138" s="15"/>
      <c r="CR138" s="15"/>
      <c r="CS138" s="19"/>
      <c r="CT138" s="15"/>
      <c r="CU138" s="19"/>
      <c r="CV138" s="15"/>
      <c r="CW138" s="19"/>
      <c r="CX138" s="15"/>
      <c r="CY138" s="19"/>
      <c r="CZ138" s="15"/>
      <c r="DA138" s="16" t="s">
        <v>197</v>
      </c>
      <c r="DB138" s="17" t="s">
        <v>198</v>
      </c>
      <c r="DC138" s="20">
        <v>45711.683599537035</v>
      </c>
      <c r="DD138" s="17" t="s">
        <v>198</v>
      </c>
      <c r="DE138" s="18">
        <v>45711.683645833335</v>
      </c>
      <c r="DF138" s="17" t="s">
        <v>198</v>
      </c>
      <c r="DG138" s="18">
        <v>45711.683645833335</v>
      </c>
      <c r="DH138" s="13" t="s">
        <v>205</v>
      </c>
      <c r="DI138" s="14" t="s">
        <v>179</v>
      </c>
      <c r="DJ138" s="14" t="s">
        <v>4401</v>
      </c>
      <c r="DK138" s="14" t="s">
        <v>179</v>
      </c>
      <c r="DL138" s="14" t="s">
        <v>4402</v>
      </c>
      <c r="DM138" s="14" t="s">
        <v>179</v>
      </c>
      <c r="DN138" s="14" t="s">
        <v>4403</v>
      </c>
      <c r="DO138" s="14" t="s">
        <v>179</v>
      </c>
      <c r="DP138" s="14" t="s">
        <v>4404</v>
      </c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6" t="s">
        <v>197</v>
      </c>
      <c r="ED138" s="17" t="s">
        <v>198</v>
      </c>
      <c r="EE138" s="18">
        <v>45711.683796296296</v>
      </c>
      <c r="EF138" s="13" t="s">
        <v>209</v>
      </c>
      <c r="EG138" s="14" t="s">
        <v>179</v>
      </c>
      <c r="EH138" s="14" t="s">
        <v>4405</v>
      </c>
      <c r="EI138" s="14" t="s">
        <v>179</v>
      </c>
      <c r="EJ138" s="14" t="s">
        <v>4406</v>
      </c>
      <c r="EK138" s="14" t="s">
        <v>179</v>
      </c>
      <c r="EL138" s="14" t="s">
        <v>4407</v>
      </c>
      <c r="EM138" s="14" t="s">
        <v>179</v>
      </c>
      <c r="EN138" s="14" t="s">
        <v>4408</v>
      </c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6" t="s">
        <v>197</v>
      </c>
      <c r="FD138" s="17" t="s">
        <v>198</v>
      </c>
      <c r="FE138" s="18">
        <v>45713.38111111111</v>
      </c>
      <c r="FF138" s="19"/>
      <c r="FG138" s="19"/>
      <c r="FH138" s="21" t="s">
        <v>197</v>
      </c>
      <c r="FI138" s="17" t="s">
        <v>214</v>
      </c>
      <c r="FJ138" s="18">
        <v>45713.38111111111</v>
      </c>
      <c r="FK138" s="14" t="s">
        <v>4408</v>
      </c>
      <c r="FL138" s="14" t="s">
        <v>4409</v>
      </c>
      <c r="FM138" s="14" t="s">
        <v>4410</v>
      </c>
      <c r="FN138" s="14" t="s">
        <v>4411</v>
      </c>
      <c r="FO138" s="14" t="s">
        <v>4412</v>
      </c>
      <c r="FP138" s="19" t="str">
        <f t="shared" si="1"/>
        <v>Base de Dados_Images/BC8118.Imagem do Equipamento-.173134.jpg</v>
      </c>
      <c r="FQ138" s="19"/>
      <c r="FR138" s="19"/>
    </row>
    <row r="139" ht="15.75" customHeight="1">
      <c r="A139" s="12" t="s">
        <v>357</v>
      </c>
      <c r="B139" s="12" t="s">
        <v>4413</v>
      </c>
      <c r="C139" s="24" t="s">
        <v>512</v>
      </c>
      <c r="D139" s="22" t="s">
        <v>4414</v>
      </c>
      <c r="E139" s="22" t="s">
        <v>4415</v>
      </c>
      <c r="F139" s="13" t="s">
        <v>178</v>
      </c>
      <c r="G139" s="14" t="s">
        <v>179</v>
      </c>
      <c r="H139" s="14" t="s">
        <v>4416</v>
      </c>
      <c r="I139" s="14" t="s">
        <v>179</v>
      </c>
      <c r="J139" s="14" t="s">
        <v>4417</v>
      </c>
      <c r="K139" s="14" t="s">
        <v>179</v>
      </c>
      <c r="L139" s="14" t="s">
        <v>4418</v>
      </c>
      <c r="M139" s="14" t="s">
        <v>179</v>
      </c>
      <c r="N139" s="14" t="s">
        <v>4419</v>
      </c>
      <c r="O139" s="14" t="s">
        <v>179</v>
      </c>
      <c r="P139" s="14" t="s">
        <v>4420</v>
      </c>
      <c r="Q139" s="14" t="s">
        <v>179</v>
      </c>
      <c r="R139" s="14" t="s">
        <v>4421</v>
      </c>
      <c r="S139" s="14" t="s">
        <v>179</v>
      </c>
      <c r="T139" s="14" t="s">
        <v>4422</v>
      </c>
      <c r="U139" s="14" t="s">
        <v>179</v>
      </c>
      <c r="V139" s="14" t="s">
        <v>4423</v>
      </c>
      <c r="W139" s="14" t="s">
        <v>179</v>
      </c>
      <c r="X139" s="14" t="s">
        <v>4424</v>
      </c>
      <c r="Y139" s="14" t="s">
        <v>179</v>
      </c>
      <c r="Z139" s="14" t="s">
        <v>4425</v>
      </c>
      <c r="AA139" s="14" t="s">
        <v>179</v>
      </c>
      <c r="AB139" s="14" t="s">
        <v>4426</v>
      </c>
      <c r="AC139" s="14" t="s">
        <v>179</v>
      </c>
      <c r="AD139" s="14" t="s">
        <v>4427</v>
      </c>
      <c r="AE139" s="14" t="s">
        <v>179</v>
      </c>
      <c r="AF139" s="14" t="s">
        <v>4428</v>
      </c>
      <c r="AG139" s="14" t="s">
        <v>179</v>
      </c>
      <c r="AH139" s="14" t="s">
        <v>4429</v>
      </c>
      <c r="AI139" s="14" t="s">
        <v>179</v>
      </c>
      <c r="AJ139" s="14" t="s">
        <v>4430</v>
      </c>
      <c r="AK139" s="14" t="s">
        <v>179</v>
      </c>
      <c r="AL139" s="14" t="s">
        <v>4431</v>
      </c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6" t="s">
        <v>197</v>
      </c>
      <c r="BP139" s="17" t="s">
        <v>198</v>
      </c>
      <c r="BQ139" s="18">
        <v>45681.45130787037</v>
      </c>
      <c r="BR139" s="17" t="s">
        <v>198</v>
      </c>
      <c r="BS139" s="18">
        <v>45681.45141203704</v>
      </c>
      <c r="BT139" s="17" t="s">
        <v>198</v>
      </c>
      <c r="BU139" s="18">
        <v>45681.45141203704</v>
      </c>
      <c r="BV139" s="13" t="s">
        <v>199</v>
      </c>
      <c r="BW139" s="14" t="s">
        <v>179</v>
      </c>
      <c r="BX139" s="14" t="s">
        <v>4432</v>
      </c>
      <c r="BY139" s="14" t="s">
        <v>179</v>
      </c>
      <c r="BZ139" s="14" t="s">
        <v>4433</v>
      </c>
      <c r="CA139" s="14" t="s">
        <v>179</v>
      </c>
      <c r="CB139" s="14" t="s">
        <v>4434</v>
      </c>
      <c r="CC139" s="14" t="s">
        <v>179</v>
      </c>
      <c r="CD139" s="14" t="s">
        <v>4435</v>
      </c>
      <c r="CE139" s="14" t="s">
        <v>179</v>
      </c>
      <c r="CF139" s="14" t="s">
        <v>4436</v>
      </c>
      <c r="CG139" s="14" t="s">
        <v>179</v>
      </c>
      <c r="CH139" s="14" t="s">
        <v>4437</v>
      </c>
      <c r="CI139" s="19"/>
      <c r="CJ139" s="15"/>
      <c r="CK139" s="19"/>
      <c r="CL139" s="15"/>
      <c r="CM139" s="19"/>
      <c r="CN139" s="15"/>
      <c r="CO139" s="19"/>
      <c r="CP139" s="15"/>
      <c r="CQ139" s="15"/>
      <c r="CR139" s="15"/>
      <c r="CS139" s="19"/>
      <c r="CT139" s="15"/>
      <c r="CU139" s="19"/>
      <c r="CV139" s="15"/>
      <c r="CW139" s="19"/>
      <c r="CX139" s="15"/>
      <c r="CY139" s="19"/>
      <c r="CZ139" s="15"/>
      <c r="DA139" s="16" t="s">
        <v>197</v>
      </c>
      <c r="DB139" s="17" t="s">
        <v>198</v>
      </c>
      <c r="DC139" s="20">
        <v>45699.50035879629</v>
      </c>
      <c r="DD139" s="17" t="s">
        <v>198</v>
      </c>
      <c r="DE139" s="18">
        <v>45699.50041666667</v>
      </c>
      <c r="DF139" s="17" t="s">
        <v>198</v>
      </c>
      <c r="DG139" s="18">
        <v>45699.50041666667</v>
      </c>
      <c r="DH139" s="13" t="s">
        <v>205</v>
      </c>
      <c r="DI139" s="14" t="s">
        <v>179</v>
      </c>
      <c r="DJ139" s="14" t="s">
        <v>4438</v>
      </c>
      <c r="DK139" s="14" t="s">
        <v>179</v>
      </c>
      <c r="DL139" s="14" t="s">
        <v>4439</v>
      </c>
      <c r="DM139" s="14" t="s">
        <v>179</v>
      </c>
      <c r="DN139" s="14" t="s">
        <v>4440</v>
      </c>
      <c r="DO139" s="14" t="s">
        <v>179</v>
      </c>
      <c r="DP139" s="14" t="s">
        <v>4441</v>
      </c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6" t="s">
        <v>197</v>
      </c>
      <c r="ED139" s="17" t="s">
        <v>198</v>
      </c>
      <c r="EE139" s="18">
        <v>45699.51032407407</v>
      </c>
      <c r="EF139" s="13" t="s">
        <v>209</v>
      </c>
      <c r="EG139" s="14" t="s">
        <v>179</v>
      </c>
      <c r="EH139" s="14" t="s">
        <v>4442</v>
      </c>
      <c r="EI139" s="14" t="s">
        <v>179</v>
      </c>
      <c r="EJ139" s="14" t="s">
        <v>4443</v>
      </c>
      <c r="EK139" s="14" t="s">
        <v>179</v>
      </c>
      <c r="EL139" s="14" t="s">
        <v>4444</v>
      </c>
      <c r="EM139" s="14" t="s">
        <v>179</v>
      </c>
      <c r="EN139" s="14" t="s">
        <v>4445</v>
      </c>
      <c r="EO139" s="15"/>
      <c r="EP139" s="15"/>
      <c r="EQ139" s="15"/>
      <c r="ER139" s="15"/>
      <c r="ES139" s="15"/>
      <c r="ET139" s="15"/>
      <c r="EU139" s="15"/>
      <c r="EV139" s="15"/>
      <c r="EW139" s="15"/>
      <c r="EX139" s="15"/>
      <c r="EY139" s="15"/>
      <c r="EZ139" s="15"/>
      <c r="FA139" s="15"/>
      <c r="FB139" s="15"/>
      <c r="FC139" s="16" t="s">
        <v>197</v>
      </c>
      <c r="FD139" s="17" t="s">
        <v>198</v>
      </c>
      <c r="FE139" s="18">
        <v>45699.51059027778</v>
      </c>
      <c r="FF139" s="19"/>
      <c r="FG139" s="19"/>
      <c r="FH139" s="21" t="s">
        <v>197</v>
      </c>
      <c r="FI139" s="17" t="s">
        <v>214</v>
      </c>
      <c r="FJ139" s="18">
        <v>45699.51059027778</v>
      </c>
      <c r="FK139" s="14" t="s">
        <v>4445</v>
      </c>
      <c r="FL139" s="14" t="s">
        <v>4446</v>
      </c>
      <c r="FM139" s="14" t="s">
        <v>4447</v>
      </c>
      <c r="FN139" s="14" t="s">
        <v>4448</v>
      </c>
      <c r="FO139" s="14" t="s">
        <v>4449</v>
      </c>
      <c r="FP139" s="19" t="str">
        <f t="shared" si="1"/>
        <v>Base de Dados_Images/BC9101.Imagem do Equipamento-.143948.jpg</v>
      </c>
      <c r="FQ139" s="19"/>
      <c r="FR139" s="19"/>
    </row>
    <row r="140" ht="15.75" customHeight="1">
      <c r="A140" s="12" t="s">
        <v>357</v>
      </c>
      <c r="B140" s="12" t="s">
        <v>4413</v>
      </c>
      <c r="C140" s="24" t="s">
        <v>512</v>
      </c>
      <c r="D140" s="22" t="s">
        <v>4450</v>
      </c>
      <c r="E140" s="22" t="s">
        <v>4451</v>
      </c>
      <c r="F140" s="13" t="s">
        <v>178</v>
      </c>
      <c r="G140" s="14" t="s">
        <v>179</v>
      </c>
      <c r="H140" s="14" t="s">
        <v>4452</v>
      </c>
      <c r="I140" s="14" t="s">
        <v>179</v>
      </c>
      <c r="J140" s="14" t="s">
        <v>4453</v>
      </c>
      <c r="K140" s="14" t="s">
        <v>179</v>
      </c>
      <c r="L140" s="14" t="s">
        <v>4454</v>
      </c>
      <c r="M140" s="14" t="s">
        <v>179</v>
      </c>
      <c r="N140" s="14" t="s">
        <v>4455</v>
      </c>
      <c r="O140" s="14" t="s">
        <v>179</v>
      </c>
      <c r="P140" s="14" t="s">
        <v>4456</v>
      </c>
      <c r="Q140" s="14" t="s">
        <v>179</v>
      </c>
      <c r="R140" s="14" t="s">
        <v>4457</v>
      </c>
      <c r="S140" s="14" t="s">
        <v>179</v>
      </c>
      <c r="T140" s="14" t="s">
        <v>4458</v>
      </c>
      <c r="U140" s="14" t="s">
        <v>179</v>
      </c>
      <c r="V140" s="14" t="s">
        <v>4458</v>
      </c>
      <c r="W140" s="14" t="s">
        <v>179</v>
      </c>
      <c r="X140" s="14" t="s">
        <v>4459</v>
      </c>
      <c r="Y140" s="14" t="s">
        <v>179</v>
      </c>
      <c r="Z140" s="14" t="s">
        <v>4460</v>
      </c>
      <c r="AA140" s="14" t="s">
        <v>179</v>
      </c>
      <c r="AB140" s="14" t="s">
        <v>4461</v>
      </c>
      <c r="AC140" s="14" t="s">
        <v>179</v>
      </c>
      <c r="AD140" s="14" t="s">
        <v>4462</v>
      </c>
      <c r="AE140" s="14" t="s">
        <v>179</v>
      </c>
      <c r="AF140" s="14" t="s">
        <v>4463</v>
      </c>
      <c r="AG140" s="14" t="s">
        <v>179</v>
      </c>
      <c r="AH140" s="14" t="s">
        <v>4464</v>
      </c>
      <c r="AI140" s="14" t="s">
        <v>179</v>
      </c>
      <c r="AJ140" s="14" t="s">
        <v>4465</v>
      </c>
      <c r="AK140" s="14" t="s">
        <v>179</v>
      </c>
      <c r="AL140" s="14" t="s">
        <v>4466</v>
      </c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6" t="s">
        <v>197</v>
      </c>
      <c r="BP140" s="17" t="s">
        <v>198</v>
      </c>
      <c r="BQ140" s="18">
        <v>45711.69459490741</v>
      </c>
      <c r="BR140" s="17" t="s">
        <v>198</v>
      </c>
      <c r="BS140" s="18">
        <v>45711.694548611114</v>
      </c>
      <c r="BT140" s="17" t="s">
        <v>198</v>
      </c>
      <c r="BU140" s="18">
        <v>45711.69459490741</v>
      </c>
      <c r="BV140" s="13" t="s">
        <v>199</v>
      </c>
      <c r="BW140" s="14" t="s">
        <v>179</v>
      </c>
      <c r="BX140" s="14" t="s">
        <v>4467</v>
      </c>
      <c r="BY140" s="14" t="s">
        <v>179</v>
      </c>
      <c r="BZ140" s="14" t="s">
        <v>4468</v>
      </c>
      <c r="CA140" s="14" t="s">
        <v>179</v>
      </c>
      <c r="CB140" s="14" t="s">
        <v>4469</v>
      </c>
      <c r="CC140" s="14" t="s">
        <v>179</v>
      </c>
      <c r="CD140" s="14" t="s">
        <v>4470</v>
      </c>
      <c r="CE140" s="14" t="s">
        <v>179</v>
      </c>
      <c r="CF140" s="14" t="s">
        <v>4471</v>
      </c>
      <c r="CG140" s="14" t="s">
        <v>179</v>
      </c>
      <c r="CH140" s="14" t="s">
        <v>4472</v>
      </c>
      <c r="CI140" s="19"/>
      <c r="CJ140" s="15"/>
      <c r="CK140" s="19"/>
      <c r="CL140" s="15"/>
      <c r="CM140" s="19"/>
      <c r="CN140" s="15"/>
      <c r="CO140" s="19"/>
      <c r="CP140" s="15"/>
      <c r="CQ140" s="15"/>
      <c r="CR140" s="15"/>
      <c r="CS140" s="19"/>
      <c r="CT140" s="15"/>
      <c r="CU140" s="19"/>
      <c r="CV140" s="15"/>
      <c r="CW140" s="19"/>
      <c r="CX140" s="15"/>
      <c r="CY140" s="19"/>
      <c r="CZ140" s="15"/>
      <c r="DA140" s="16" t="s">
        <v>197</v>
      </c>
      <c r="DB140" s="17" t="s">
        <v>198</v>
      </c>
      <c r="DC140" s="20">
        <v>45711.694710648146</v>
      </c>
      <c r="DD140" s="17" t="s">
        <v>198</v>
      </c>
      <c r="DE140" s="18">
        <v>45711.694756944446</v>
      </c>
      <c r="DF140" s="17" t="s">
        <v>198</v>
      </c>
      <c r="DG140" s="18">
        <v>45711.694756944446</v>
      </c>
      <c r="DH140" s="13" t="s">
        <v>205</v>
      </c>
      <c r="DI140" s="14" t="s">
        <v>179</v>
      </c>
      <c r="DJ140" s="14" t="s">
        <v>4473</v>
      </c>
      <c r="DK140" s="14" t="s">
        <v>179</v>
      </c>
      <c r="DL140" s="14" t="s">
        <v>4474</v>
      </c>
      <c r="DM140" s="14" t="s">
        <v>179</v>
      </c>
      <c r="DN140" s="14" t="s">
        <v>4475</v>
      </c>
      <c r="DO140" s="14" t="s">
        <v>179</v>
      </c>
      <c r="DP140" s="14" t="s">
        <v>4476</v>
      </c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6" t="s">
        <v>197</v>
      </c>
      <c r="ED140" s="17" t="s">
        <v>198</v>
      </c>
      <c r="EE140" s="18">
        <v>45711.69484953704</v>
      </c>
      <c r="EF140" s="13" t="s">
        <v>209</v>
      </c>
      <c r="EG140" s="14" t="s">
        <v>179</v>
      </c>
      <c r="EH140" s="14" t="s">
        <v>4477</v>
      </c>
      <c r="EI140" s="14" t="s">
        <v>179</v>
      </c>
      <c r="EJ140" s="14" t="s">
        <v>4478</v>
      </c>
      <c r="EK140" s="14" t="s">
        <v>179</v>
      </c>
      <c r="EL140" s="14" t="s">
        <v>4478</v>
      </c>
      <c r="EM140" s="14" t="s">
        <v>179</v>
      </c>
      <c r="EN140" s="14" t="s">
        <v>4479</v>
      </c>
      <c r="EO140" s="15"/>
      <c r="EP140" s="15"/>
      <c r="EQ140" s="15"/>
      <c r="ER140" s="15"/>
      <c r="ES140" s="15"/>
      <c r="ET140" s="15"/>
      <c r="EU140" s="15"/>
      <c r="EV140" s="15"/>
      <c r="EW140" s="15"/>
      <c r="EX140" s="15"/>
      <c r="EY140" s="15"/>
      <c r="EZ140" s="15"/>
      <c r="FA140" s="15"/>
      <c r="FB140" s="15"/>
      <c r="FC140" s="16" t="s">
        <v>197</v>
      </c>
      <c r="FD140" s="17" t="s">
        <v>198</v>
      </c>
      <c r="FE140" s="18">
        <v>45726.47856481482</v>
      </c>
      <c r="FF140" s="19"/>
      <c r="FG140" s="19"/>
      <c r="FH140" s="21" t="s">
        <v>197</v>
      </c>
      <c r="FI140" s="17" t="s">
        <v>214</v>
      </c>
      <c r="FJ140" s="18">
        <v>45726.47856481482</v>
      </c>
      <c r="FK140" s="14" t="s">
        <v>4479</v>
      </c>
      <c r="FL140" s="14" t="s">
        <v>4480</v>
      </c>
      <c r="FM140" s="14" t="s">
        <v>4481</v>
      </c>
      <c r="FN140" s="14"/>
      <c r="FO140" s="14"/>
      <c r="FP140" s="19" t="str">
        <f t="shared" si="1"/>
        <v>Base de Dados_Images/BC9102.Imagem do Equipamento-.124530.jpg</v>
      </c>
      <c r="FQ140" s="19"/>
      <c r="FR140" s="19"/>
    </row>
    <row r="141" ht="15.75" customHeight="1">
      <c r="A141" s="12" t="s">
        <v>357</v>
      </c>
      <c r="B141" s="12" t="s">
        <v>4413</v>
      </c>
      <c r="C141" s="24" t="s">
        <v>512</v>
      </c>
      <c r="D141" s="22" t="s">
        <v>4482</v>
      </c>
      <c r="E141" s="22" t="s">
        <v>4483</v>
      </c>
      <c r="F141" s="13" t="s">
        <v>178</v>
      </c>
      <c r="G141" s="14" t="s">
        <v>179</v>
      </c>
      <c r="H141" s="14" t="s">
        <v>4484</v>
      </c>
      <c r="I141" s="14" t="s">
        <v>179</v>
      </c>
      <c r="J141" s="14" t="s">
        <v>4485</v>
      </c>
      <c r="K141" s="14" t="s">
        <v>179</v>
      </c>
      <c r="L141" s="14" t="s">
        <v>4486</v>
      </c>
      <c r="M141" s="14" t="s">
        <v>179</v>
      </c>
      <c r="N141" s="14" t="s">
        <v>4487</v>
      </c>
      <c r="O141" s="14" t="s">
        <v>179</v>
      </c>
      <c r="P141" s="14" t="s">
        <v>4488</v>
      </c>
      <c r="Q141" s="14" t="s">
        <v>179</v>
      </c>
      <c r="R141" s="14" t="s">
        <v>4489</v>
      </c>
      <c r="S141" s="14" t="s">
        <v>179</v>
      </c>
      <c r="T141" s="14" t="s">
        <v>4490</v>
      </c>
      <c r="U141" s="14" t="s">
        <v>179</v>
      </c>
      <c r="V141" s="14" t="s">
        <v>4491</v>
      </c>
      <c r="W141" s="14" t="s">
        <v>179</v>
      </c>
      <c r="X141" s="14" t="s">
        <v>4492</v>
      </c>
      <c r="Y141" s="14" t="s">
        <v>179</v>
      </c>
      <c r="Z141" s="14" t="s">
        <v>4493</v>
      </c>
      <c r="AA141" s="14" t="s">
        <v>179</v>
      </c>
      <c r="AB141" s="14" t="s">
        <v>4494</v>
      </c>
      <c r="AC141" s="14" t="s">
        <v>179</v>
      </c>
      <c r="AD141" s="14" t="s">
        <v>4495</v>
      </c>
      <c r="AE141" s="14" t="s">
        <v>179</v>
      </c>
      <c r="AF141" s="14" t="s">
        <v>4496</v>
      </c>
      <c r="AG141" s="14" t="s">
        <v>179</v>
      </c>
      <c r="AH141" s="14" t="s">
        <v>4497</v>
      </c>
      <c r="AI141" s="14" t="s">
        <v>179</v>
      </c>
      <c r="AJ141" s="14" t="s">
        <v>4498</v>
      </c>
      <c r="AK141" s="14" t="s">
        <v>179</v>
      </c>
      <c r="AL141" s="14" t="s">
        <v>4499</v>
      </c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6" t="s">
        <v>197</v>
      </c>
      <c r="BP141" s="17" t="s">
        <v>198</v>
      </c>
      <c r="BQ141" s="18">
        <v>45681.455046296294</v>
      </c>
      <c r="BR141" s="17" t="s">
        <v>198</v>
      </c>
      <c r="BS141" s="18">
        <v>45681.45518518519</v>
      </c>
      <c r="BT141" s="17" t="s">
        <v>198</v>
      </c>
      <c r="BU141" s="18">
        <v>45681.45518518519</v>
      </c>
      <c r="BV141" s="13" t="s">
        <v>199</v>
      </c>
      <c r="BW141" s="14" t="s">
        <v>179</v>
      </c>
      <c r="BX141" s="14" t="s">
        <v>4500</v>
      </c>
      <c r="BY141" s="14" t="s">
        <v>179</v>
      </c>
      <c r="BZ141" s="14" t="s">
        <v>4501</v>
      </c>
      <c r="CA141" s="14" t="s">
        <v>179</v>
      </c>
      <c r="CB141" s="14" t="s">
        <v>4502</v>
      </c>
      <c r="CC141" s="14" t="s">
        <v>179</v>
      </c>
      <c r="CD141" s="14" t="s">
        <v>4503</v>
      </c>
      <c r="CE141" s="14" t="s">
        <v>179</v>
      </c>
      <c r="CF141" s="14" t="s">
        <v>4504</v>
      </c>
      <c r="CG141" s="14" t="s">
        <v>179</v>
      </c>
      <c r="CH141" s="14" t="s">
        <v>4505</v>
      </c>
      <c r="CI141" s="19"/>
      <c r="CJ141" s="15"/>
      <c r="CK141" s="19"/>
      <c r="CL141" s="15"/>
      <c r="CM141" s="19"/>
      <c r="CN141" s="15"/>
      <c r="CO141" s="19"/>
      <c r="CP141" s="15"/>
      <c r="CQ141" s="15"/>
      <c r="CR141" s="15"/>
      <c r="CS141" s="19"/>
      <c r="CT141" s="15"/>
      <c r="CU141" s="19"/>
      <c r="CV141" s="15"/>
      <c r="CW141" s="19"/>
      <c r="CX141" s="15"/>
      <c r="CY141" s="19"/>
      <c r="CZ141" s="15"/>
      <c r="DA141" s="16" t="s">
        <v>197</v>
      </c>
      <c r="DB141" s="17" t="s">
        <v>198</v>
      </c>
      <c r="DC141" s="20">
        <v>45699.502430555556</v>
      </c>
      <c r="DD141" s="17" t="s">
        <v>198</v>
      </c>
      <c r="DE141" s="18">
        <v>45699.50247685185</v>
      </c>
      <c r="DF141" s="17" t="s">
        <v>198</v>
      </c>
      <c r="DG141" s="18">
        <v>45699.50247685185</v>
      </c>
      <c r="DH141" s="13" t="s">
        <v>205</v>
      </c>
      <c r="DI141" s="14" t="s">
        <v>179</v>
      </c>
      <c r="DJ141" s="14" t="s">
        <v>4506</v>
      </c>
      <c r="DK141" s="14" t="s">
        <v>179</v>
      </c>
      <c r="DL141" s="14" t="s">
        <v>4507</v>
      </c>
      <c r="DM141" s="14" t="s">
        <v>179</v>
      </c>
      <c r="DN141" s="14" t="s">
        <v>4508</v>
      </c>
      <c r="DO141" s="14" t="s">
        <v>179</v>
      </c>
      <c r="DP141" s="14" t="s">
        <v>4509</v>
      </c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6" t="s">
        <v>197</v>
      </c>
      <c r="ED141" s="17" t="s">
        <v>198</v>
      </c>
      <c r="EE141" s="18">
        <v>45699.511099537034</v>
      </c>
      <c r="EF141" s="13" t="s">
        <v>209</v>
      </c>
      <c r="EG141" s="14" t="s">
        <v>179</v>
      </c>
      <c r="EH141" s="14" t="s">
        <v>4510</v>
      </c>
      <c r="EI141" s="14" t="s">
        <v>179</v>
      </c>
      <c r="EJ141" s="14" t="s">
        <v>4511</v>
      </c>
      <c r="EK141" s="14" t="s">
        <v>179</v>
      </c>
      <c r="EL141" s="14" t="s">
        <v>4512</v>
      </c>
      <c r="EM141" s="14" t="s">
        <v>179</v>
      </c>
      <c r="EN141" s="14" t="s">
        <v>4513</v>
      </c>
      <c r="EO141" s="15"/>
      <c r="EP141" s="15"/>
      <c r="EQ141" s="15"/>
      <c r="ER141" s="15"/>
      <c r="ES141" s="15"/>
      <c r="ET141" s="15"/>
      <c r="EU141" s="15"/>
      <c r="EV141" s="15"/>
      <c r="EW141" s="15"/>
      <c r="EX141" s="15"/>
      <c r="EY141" s="15"/>
      <c r="EZ141" s="15"/>
      <c r="FA141" s="15"/>
      <c r="FB141" s="15"/>
      <c r="FC141" s="16" t="s">
        <v>197</v>
      </c>
      <c r="FD141" s="17" t="s">
        <v>198</v>
      </c>
      <c r="FE141" s="18">
        <v>45699.51121527778</v>
      </c>
      <c r="FF141" s="19"/>
      <c r="FG141" s="19"/>
      <c r="FH141" s="21" t="s">
        <v>197</v>
      </c>
      <c r="FI141" s="17" t="s">
        <v>214</v>
      </c>
      <c r="FJ141" s="18">
        <v>45699.51121527778</v>
      </c>
      <c r="FK141" s="14" t="s">
        <v>4514</v>
      </c>
      <c r="FL141" s="14" t="s">
        <v>4515</v>
      </c>
      <c r="FM141" s="14" t="s">
        <v>4516</v>
      </c>
      <c r="FN141" s="14" t="s">
        <v>4517</v>
      </c>
      <c r="FO141" s="14" t="s">
        <v>4514</v>
      </c>
      <c r="FP141" s="19" t="str">
        <f t="shared" si="1"/>
        <v>Base de Dados_Images/BC9103.Imagem do Equipamento-.132240.jpg</v>
      </c>
      <c r="FQ141" s="19"/>
      <c r="FR141" s="19"/>
    </row>
    <row r="142" ht="15.75" customHeight="1">
      <c r="A142" s="12" t="s">
        <v>357</v>
      </c>
      <c r="B142" s="12" t="s">
        <v>4071</v>
      </c>
      <c r="C142" s="24" t="s">
        <v>512</v>
      </c>
      <c r="D142" s="22" t="s">
        <v>4518</v>
      </c>
      <c r="E142" s="22" t="s">
        <v>4519</v>
      </c>
      <c r="F142" s="13" t="s">
        <v>178</v>
      </c>
      <c r="G142" s="14" t="s">
        <v>179</v>
      </c>
      <c r="H142" s="14" t="s">
        <v>4520</v>
      </c>
      <c r="I142" s="14" t="s">
        <v>179</v>
      </c>
      <c r="J142" s="14" t="s">
        <v>4521</v>
      </c>
      <c r="K142" s="14" t="s">
        <v>179</v>
      </c>
      <c r="L142" s="14" t="s">
        <v>4522</v>
      </c>
      <c r="M142" s="14" t="s">
        <v>179</v>
      </c>
      <c r="N142" s="14" t="s">
        <v>4523</v>
      </c>
      <c r="O142" s="14" t="s">
        <v>179</v>
      </c>
      <c r="P142" s="14" t="s">
        <v>4524</v>
      </c>
      <c r="Q142" s="14" t="s">
        <v>179</v>
      </c>
      <c r="R142" s="14" t="s">
        <v>4525</v>
      </c>
      <c r="S142" s="14" t="s">
        <v>179</v>
      </c>
      <c r="T142" s="14" t="s">
        <v>4526</v>
      </c>
      <c r="U142" s="14" t="s">
        <v>179</v>
      </c>
      <c r="V142" s="14" t="s">
        <v>4527</v>
      </c>
      <c r="W142" s="14" t="s">
        <v>179</v>
      </c>
      <c r="X142" s="14" t="s">
        <v>4528</v>
      </c>
      <c r="Y142" s="14" t="s">
        <v>179</v>
      </c>
      <c r="Z142" s="14" t="s">
        <v>4529</v>
      </c>
      <c r="AA142" s="14" t="s">
        <v>179</v>
      </c>
      <c r="AB142" s="14" t="s">
        <v>4530</v>
      </c>
      <c r="AC142" s="14" t="s">
        <v>179</v>
      </c>
      <c r="AD142" s="14" t="s">
        <v>4531</v>
      </c>
      <c r="AE142" s="14" t="s">
        <v>179</v>
      </c>
      <c r="AF142" s="14" t="s">
        <v>4532</v>
      </c>
      <c r="AG142" s="14" t="s">
        <v>179</v>
      </c>
      <c r="AH142" s="14" t="s">
        <v>4533</v>
      </c>
      <c r="AI142" s="14" t="s">
        <v>179</v>
      </c>
      <c r="AJ142" s="14" t="s">
        <v>4534</v>
      </c>
      <c r="AK142" s="14" t="s">
        <v>179</v>
      </c>
      <c r="AL142" s="14" t="s">
        <v>4535</v>
      </c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6" t="s">
        <v>197</v>
      </c>
      <c r="BP142" s="17" t="s">
        <v>198</v>
      </c>
      <c r="BQ142" s="18">
        <v>45678.633518518516</v>
      </c>
      <c r="BR142" s="17" t="s">
        <v>198</v>
      </c>
      <c r="BS142" s="18">
        <v>45678.63365740741</v>
      </c>
      <c r="BT142" s="17" t="s">
        <v>198</v>
      </c>
      <c r="BU142" s="18">
        <v>45678.63365740741</v>
      </c>
      <c r="BV142" s="13" t="s">
        <v>199</v>
      </c>
      <c r="BW142" s="14" t="s">
        <v>179</v>
      </c>
      <c r="BX142" s="14" t="s">
        <v>4536</v>
      </c>
      <c r="BY142" s="14" t="s">
        <v>179</v>
      </c>
      <c r="BZ142" s="14" t="s">
        <v>4537</v>
      </c>
      <c r="CA142" s="14" t="s">
        <v>179</v>
      </c>
      <c r="CB142" s="14" t="s">
        <v>4538</v>
      </c>
      <c r="CC142" s="14" t="s">
        <v>179</v>
      </c>
      <c r="CD142" s="14" t="s">
        <v>4539</v>
      </c>
      <c r="CE142" s="14" t="s">
        <v>179</v>
      </c>
      <c r="CF142" s="14" t="s">
        <v>4540</v>
      </c>
      <c r="CG142" s="14" t="s">
        <v>179</v>
      </c>
      <c r="CH142" s="14" t="s">
        <v>4541</v>
      </c>
      <c r="CI142" s="19"/>
      <c r="CJ142" s="15"/>
      <c r="CK142" s="19"/>
      <c r="CL142" s="15"/>
      <c r="CM142" s="19"/>
      <c r="CN142" s="15"/>
      <c r="CO142" s="19"/>
      <c r="CP142" s="15"/>
      <c r="CQ142" s="15"/>
      <c r="CR142" s="15"/>
      <c r="CS142" s="19"/>
      <c r="CT142" s="15"/>
      <c r="CU142" s="19"/>
      <c r="CV142" s="15"/>
      <c r="CW142" s="19"/>
      <c r="CX142" s="15"/>
      <c r="CY142" s="19"/>
      <c r="CZ142" s="15"/>
      <c r="DA142" s="16" t="s">
        <v>197</v>
      </c>
      <c r="DB142" s="17" t="s">
        <v>198</v>
      </c>
      <c r="DC142" s="20">
        <v>45685.6528587963</v>
      </c>
      <c r="DD142" s="17" t="s">
        <v>198</v>
      </c>
      <c r="DE142" s="18">
        <v>45685.652916666666</v>
      </c>
      <c r="DF142" s="17" t="s">
        <v>198</v>
      </c>
      <c r="DG142" s="18">
        <v>45685.652916666666</v>
      </c>
      <c r="DH142" s="13" t="s">
        <v>205</v>
      </c>
      <c r="DI142" s="14" t="s">
        <v>179</v>
      </c>
      <c r="DJ142" s="14" t="s">
        <v>4542</v>
      </c>
      <c r="DK142" s="14" t="s">
        <v>179</v>
      </c>
      <c r="DL142" s="14" t="s">
        <v>4543</v>
      </c>
      <c r="DM142" s="14" t="s">
        <v>179</v>
      </c>
      <c r="DN142" s="14" t="s">
        <v>4544</v>
      </c>
      <c r="DO142" s="14" t="s">
        <v>179</v>
      </c>
      <c r="DP142" s="14" t="s">
        <v>4545</v>
      </c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6" t="s">
        <v>197</v>
      </c>
      <c r="ED142" s="17" t="s">
        <v>198</v>
      </c>
      <c r="EE142" s="18">
        <v>45691.63662037037</v>
      </c>
      <c r="EF142" s="13" t="s">
        <v>209</v>
      </c>
      <c r="EG142" s="14" t="s">
        <v>179</v>
      </c>
      <c r="EH142" s="14" t="s">
        <v>4546</v>
      </c>
      <c r="EI142" s="14" t="s">
        <v>179</v>
      </c>
      <c r="EJ142" s="14" t="s">
        <v>4547</v>
      </c>
      <c r="EK142" s="14" t="s">
        <v>179</v>
      </c>
      <c r="EL142" s="14" t="s">
        <v>4548</v>
      </c>
      <c r="EM142" s="14" t="s">
        <v>179</v>
      </c>
      <c r="EN142" s="14" t="s">
        <v>4549</v>
      </c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6" t="s">
        <v>197</v>
      </c>
      <c r="FD142" s="17" t="s">
        <v>198</v>
      </c>
      <c r="FE142" s="18">
        <v>45699.44726851852</v>
      </c>
      <c r="FF142" s="19"/>
      <c r="FG142" s="19"/>
      <c r="FH142" s="21" t="s">
        <v>197</v>
      </c>
      <c r="FI142" s="17" t="s">
        <v>214</v>
      </c>
      <c r="FJ142" s="18">
        <v>45699.44726851852</v>
      </c>
      <c r="FK142" s="14" t="s">
        <v>4549</v>
      </c>
      <c r="FL142" s="14" t="s">
        <v>4550</v>
      </c>
      <c r="FM142" s="14" t="s">
        <v>4551</v>
      </c>
      <c r="FN142" s="14" t="s">
        <v>4552</v>
      </c>
      <c r="FO142" s="14" t="s">
        <v>4553</v>
      </c>
      <c r="FP142" s="19" t="str">
        <f t="shared" si="1"/>
        <v>Base de Dados_Images/BC9104.Imagem do Equipamento-.182955.jpg</v>
      </c>
      <c r="FQ142" s="19"/>
      <c r="FR142" s="19"/>
    </row>
    <row r="143" ht="15.75" customHeight="1">
      <c r="A143" s="12" t="s">
        <v>357</v>
      </c>
      <c r="B143" s="12" t="s">
        <v>4071</v>
      </c>
      <c r="C143" s="24" t="s">
        <v>512</v>
      </c>
      <c r="D143" s="22" t="s">
        <v>4554</v>
      </c>
      <c r="E143" s="22" t="s">
        <v>4555</v>
      </c>
      <c r="F143" s="13" t="s">
        <v>178</v>
      </c>
      <c r="G143" s="14" t="s">
        <v>179</v>
      </c>
      <c r="H143" s="14" t="s">
        <v>4556</v>
      </c>
      <c r="I143" s="14" t="s">
        <v>179</v>
      </c>
      <c r="J143" s="14" t="s">
        <v>4557</v>
      </c>
      <c r="K143" s="14" t="s">
        <v>179</v>
      </c>
      <c r="L143" s="14" t="s">
        <v>4558</v>
      </c>
      <c r="M143" s="14" t="s">
        <v>179</v>
      </c>
      <c r="N143" s="14" t="s">
        <v>4559</v>
      </c>
      <c r="O143" s="14" t="s">
        <v>179</v>
      </c>
      <c r="P143" s="14" t="s">
        <v>4560</v>
      </c>
      <c r="Q143" s="14" t="s">
        <v>179</v>
      </c>
      <c r="R143" s="14" t="s">
        <v>4561</v>
      </c>
      <c r="S143" s="14" t="s">
        <v>179</v>
      </c>
      <c r="T143" s="14" t="s">
        <v>4562</v>
      </c>
      <c r="U143" s="14" t="s">
        <v>179</v>
      </c>
      <c r="V143" s="14" t="s">
        <v>4563</v>
      </c>
      <c r="W143" s="14" t="s">
        <v>179</v>
      </c>
      <c r="X143" s="14" t="s">
        <v>4564</v>
      </c>
      <c r="Y143" s="14" t="s">
        <v>179</v>
      </c>
      <c r="Z143" s="14" t="s">
        <v>4565</v>
      </c>
      <c r="AA143" s="14" t="s">
        <v>179</v>
      </c>
      <c r="AB143" s="14" t="s">
        <v>4566</v>
      </c>
      <c r="AC143" s="14" t="s">
        <v>179</v>
      </c>
      <c r="AD143" s="14" t="s">
        <v>4567</v>
      </c>
      <c r="AE143" s="14" t="s">
        <v>179</v>
      </c>
      <c r="AF143" s="14" t="s">
        <v>4568</v>
      </c>
      <c r="AG143" s="14" t="s">
        <v>179</v>
      </c>
      <c r="AH143" s="14" t="s">
        <v>4569</v>
      </c>
      <c r="AI143" s="14" t="s">
        <v>179</v>
      </c>
      <c r="AJ143" s="14" t="s">
        <v>4570</v>
      </c>
      <c r="AK143" s="14" t="s">
        <v>179</v>
      </c>
      <c r="AL143" s="14" t="s">
        <v>4571</v>
      </c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6" t="s">
        <v>197</v>
      </c>
      <c r="BP143" s="17" t="s">
        <v>198</v>
      </c>
      <c r="BQ143" s="18">
        <v>45678.63162037037</v>
      </c>
      <c r="BR143" s="17" t="s">
        <v>198</v>
      </c>
      <c r="BS143" s="18">
        <v>45678.63179398148</v>
      </c>
      <c r="BT143" s="17" t="s">
        <v>198</v>
      </c>
      <c r="BU143" s="18">
        <v>45678.63179398148</v>
      </c>
      <c r="BV143" s="13" t="s">
        <v>199</v>
      </c>
      <c r="BW143" s="14" t="s">
        <v>179</v>
      </c>
      <c r="BX143" s="14" t="s">
        <v>4572</v>
      </c>
      <c r="BY143" s="14" t="s">
        <v>179</v>
      </c>
      <c r="BZ143" s="14" t="s">
        <v>4573</v>
      </c>
      <c r="CA143" s="14" t="s">
        <v>179</v>
      </c>
      <c r="CB143" s="14" t="s">
        <v>4574</v>
      </c>
      <c r="CC143" s="14" t="s">
        <v>179</v>
      </c>
      <c r="CD143" s="14" t="s">
        <v>4575</v>
      </c>
      <c r="CE143" s="14" t="s">
        <v>179</v>
      </c>
      <c r="CF143" s="14" t="s">
        <v>4576</v>
      </c>
      <c r="CG143" s="14" t="s">
        <v>179</v>
      </c>
      <c r="CH143" s="14" t="s">
        <v>4577</v>
      </c>
      <c r="CI143" s="19"/>
      <c r="CJ143" s="15"/>
      <c r="CK143" s="19"/>
      <c r="CL143" s="15"/>
      <c r="CM143" s="19"/>
      <c r="CN143" s="15"/>
      <c r="CO143" s="19"/>
      <c r="CP143" s="15"/>
      <c r="CQ143" s="15"/>
      <c r="CR143" s="15"/>
      <c r="CS143" s="19"/>
      <c r="CT143" s="15"/>
      <c r="CU143" s="19"/>
      <c r="CV143" s="15"/>
      <c r="CW143" s="19"/>
      <c r="CX143" s="15"/>
      <c r="CY143" s="19"/>
      <c r="CZ143" s="15"/>
      <c r="DA143" s="16" t="s">
        <v>197</v>
      </c>
      <c r="DB143" s="17" t="s">
        <v>198</v>
      </c>
      <c r="DC143" s="20">
        <v>45691.63680555556</v>
      </c>
      <c r="DD143" s="17" t="s">
        <v>198</v>
      </c>
      <c r="DE143" s="18">
        <v>45691.636979166666</v>
      </c>
      <c r="DF143" s="17" t="s">
        <v>198</v>
      </c>
      <c r="DG143" s="18">
        <v>45691.636979166666</v>
      </c>
      <c r="DH143" s="13" t="s">
        <v>205</v>
      </c>
      <c r="DI143" s="14" t="s">
        <v>179</v>
      </c>
      <c r="DJ143" s="14" t="s">
        <v>4578</v>
      </c>
      <c r="DK143" s="14" t="s">
        <v>179</v>
      </c>
      <c r="DL143" s="14" t="s">
        <v>4579</v>
      </c>
      <c r="DM143" s="14" t="s">
        <v>179</v>
      </c>
      <c r="DN143" s="14" t="s">
        <v>4580</v>
      </c>
      <c r="DO143" s="14" t="s">
        <v>179</v>
      </c>
      <c r="DP143" s="14" t="s">
        <v>4581</v>
      </c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6" t="s">
        <v>197</v>
      </c>
      <c r="ED143" s="17" t="s">
        <v>198</v>
      </c>
      <c r="EE143" s="18">
        <v>45691.637094907404</v>
      </c>
      <c r="EF143" s="13" t="s">
        <v>209</v>
      </c>
      <c r="EG143" s="14" t="s">
        <v>179</v>
      </c>
      <c r="EH143" s="14" t="s">
        <v>4582</v>
      </c>
      <c r="EI143" s="14" t="s">
        <v>179</v>
      </c>
      <c r="EJ143" s="14" t="s">
        <v>4582</v>
      </c>
      <c r="EK143" s="14" t="s">
        <v>179</v>
      </c>
      <c r="EL143" s="14" t="s">
        <v>4583</v>
      </c>
      <c r="EM143" s="14" t="s">
        <v>179</v>
      </c>
      <c r="EN143" s="14" t="s">
        <v>4584</v>
      </c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6" t="s">
        <v>197</v>
      </c>
      <c r="FD143" s="17" t="s">
        <v>198</v>
      </c>
      <c r="FE143" s="18">
        <v>45713.395</v>
      </c>
      <c r="FF143" s="19"/>
      <c r="FG143" s="19"/>
      <c r="FH143" s="21" t="s">
        <v>197</v>
      </c>
      <c r="FI143" s="17" t="s">
        <v>214</v>
      </c>
      <c r="FJ143" s="18">
        <v>45713.395</v>
      </c>
      <c r="FK143" s="14" t="s">
        <v>4584</v>
      </c>
      <c r="FL143" s="14" t="s">
        <v>4585</v>
      </c>
      <c r="FM143" s="14" t="s">
        <v>4586</v>
      </c>
      <c r="FN143" s="14" t="s">
        <v>4587</v>
      </c>
      <c r="FO143" s="14" t="s">
        <v>4588</v>
      </c>
      <c r="FP143" s="19" t="str">
        <f t="shared" si="1"/>
        <v>Base de Dados_Images/BC9105.Imagem do Equipamento-.182851.jpg</v>
      </c>
      <c r="FQ143" s="19"/>
      <c r="FR143" s="19"/>
    </row>
    <row r="144" ht="15.75" customHeight="1">
      <c r="A144" s="12" t="s">
        <v>357</v>
      </c>
      <c r="B144" s="12" t="s">
        <v>4071</v>
      </c>
      <c r="C144" s="24" t="s">
        <v>512</v>
      </c>
      <c r="D144" s="22" t="s">
        <v>4589</v>
      </c>
      <c r="E144" s="22" t="s">
        <v>4590</v>
      </c>
      <c r="F144" s="13" t="s">
        <v>178</v>
      </c>
      <c r="G144" s="14" t="s">
        <v>179</v>
      </c>
      <c r="H144" s="14" t="s">
        <v>4591</v>
      </c>
      <c r="I144" s="14" t="s">
        <v>179</v>
      </c>
      <c r="J144" s="14" t="s">
        <v>4592</v>
      </c>
      <c r="K144" s="14" t="s">
        <v>179</v>
      </c>
      <c r="L144" s="14" t="s">
        <v>4593</v>
      </c>
      <c r="M144" s="14" t="s">
        <v>179</v>
      </c>
      <c r="N144" s="14" t="s">
        <v>4594</v>
      </c>
      <c r="O144" s="14" t="s">
        <v>179</v>
      </c>
      <c r="P144" s="14" t="s">
        <v>4595</v>
      </c>
      <c r="Q144" s="14" t="s">
        <v>179</v>
      </c>
      <c r="R144" s="14" t="s">
        <v>4596</v>
      </c>
      <c r="S144" s="14" t="s">
        <v>179</v>
      </c>
      <c r="T144" s="14" t="s">
        <v>4597</v>
      </c>
      <c r="U144" s="14" t="s">
        <v>179</v>
      </c>
      <c r="V144" s="14" t="s">
        <v>4598</v>
      </c>
      <c r="W144" s="14" t="s">
        <v>179</v>
      </c>
      <c r="X144" s="14" t="s">
        <v>4599</v>
      </c>
      <c r="Y144" s="14" t="s">
        <v>179</v>
      </c>
      <c r="Z144" s="14" t="s">
        <v>4600</v>
      </c>
      <c r="AA144" s="14" t="s">
        <v>179</v>
      </c>
      <c r="AB144" s="14" t="s">
        <v>4601</v>
      </c>
      <c r="AC144" s="14" t="s">
        <v>179</v>
      </c>
      <c r="AD144" s="14" t="s">
        <v>4602</v>
      </c>
      <c r="AE144" s="14" t="s">
        <v>179</v>
      </c>
      <c r="AF144" s="14" t="s">
        <v>4603</v>
      </c>
      <c r="AG144" s="14" t="s">
        <v>179</v>
      </c>
      <c r="AH144" s="14" t="s">
        <v>4604</v>
      </c>
      <c r="AI144" s="14" t="s">
        <v>179</v>
      </c>
      <c r="AJ144" s="14" t="s">
        <v>4605</v>
      </c>
      <c r="AK144" s="14" t="s">
        <v>179</v>
      </c>
      <c r="AL144" s="14" t="s">
        <v>4606</v>
      </c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6" t="s">
        <v>197</v>
      </c>
      <c r="BP144" s="17" t="s">
        <v>198</v>
      </c>
      <c r="BQ144" s="18">
        <v>45681.41306712963</v>
      </c>
      <c r="BR144" s="17" t="s">
        <v>198</v>
      </c>
      <c r="BS144" s="18">
        <v>45681.41320601852</v>
      </c>
      <c r="BT144" s="17" t="s">
        <v>198</v>
      </c>
      <c r="BU144" s="18">
        <v>45681.41320601852</v>
      </c>
      <c r="BV144" s="13" t="s">
        <v>199</v>
      </c>
      <c r="BW144" s="14" t="s">
        <v>179</v>
      </c>
      <c r="BX144" s="14" t="s">
        <v>4607</v>
      </c>
      <c r="BY144" s="14" t="s">
        <v>179</v>
      </c>
      <c r="BZ144" s="14" t="s">
        <v>4608</v>
      </c>
      <c r="CA144" s="14" t="s">
        <v>179</v>
      </c>
      <c r="CB144" s="14" t="s">
        <v>4609</v>
      </c>
      <c r="CC144" s="14" t="s">
        <v>179</v>
      </c>
      <c r="CD144" s="14" t="s">
        <v>4610</v>
      </c>
      <c r="CE144" s="14" t="s">
        <v>179</v>
      </c>
      <c r="CF144" s="14" t="s">
        <v>4611</v>
      </c>
      <c r="CG144" s="14" t="s">
        <v>179</v>
      </c>
      <c r="CH144" s="14" t="s">
        <v>4612</v>
      </c>
      <c r="CI144" s="19"/>
      <c r="CJ144" s="15"/>
      <c r="CK144" s="19"/>
      <c r="CL144" s="15"/>
      <c r="CM144" s="19"/>
      <c r="CN144" s="15"/>
      <c r="CO144" s="19"/>
      <c r="CP144" s="15"/>
      <c r="CQ144" s="15"/>
      <c r="CR144" s="15"/>
      <c r="CS144" s="19"/>
      <c r="CT144" s="15"/>
      <c r="CU144" s="19"/>
      <c r="CV144" s="15"/>
      <c r="CW144" s="19"/>
      <c r="CX144" s="15"/>
      <c r="CY144" s="19"/>
      <c r="CZ144" s="15"/>
      <c r="DA144" s="16" t="s">
        <v>197</v>
      </c>
      <c r="DB144" s="17" t="s">
        <v>198</v>
      </c>
      <c r="DC144" s="20">
        <v>45699.448217592595</v>
      </c>
      <c r="DD144" s="17" t="s">
        <v>198</v>
      </c>
      <c r="DE144" s="18">
        <v>45699.448287037034</v>
      </c>
      <c r="DF144" s="17" t="s">
        <v>198</v>
      </c>
      <c r="DG144" s="18">
        <v>45699.448287037034</v>
      </c>
      <c r="DH144" s="13" t="s">
        <v>205</v>
      </c>
      <c r="DI144" s="14" t="s">
        <v>179</v>
      </c>
      <c r="DJ144" s="14" t="s">
        <v>4613</v>
      </c>
      <c r="DK144" s="14" t="s">
        <v>179</v>
      </c>
      <c r="DL144" s="14" t="s">
        <v>4614</v>
      </c>
      <c r="DM144" s="14" t="s">
        <v>179</v>
      </c>
      <c r="DN144" s="14" t="s">
        <v>4615</v>
      </c>
      <c r="DO144" s="14" t="s">
        <v>179</v>
      </c>
      <c r="DP144" s="14" t="s">
        <v>4616</v>
      </c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6" t="s">
        <v>197</v>
      </c>
      <c r="ED144" s="17" t="s">
        <v>198</v>
      </c>
      <c r="EE144" s="18">
        <v>45709.64790509259</v>
      </c>
      <c r="EF144" s="13" t="s">
        <v>209</v>
      </c>
      <c r="EG144" s="14" t="s">
        <v>179</v>
      </c>
      <c r="EH144" s="14" t="s">
        <v>4617</v>
      </c>
      <c r="EI144" s="14" t="s">
        <v>179</v>
      </c>
      <c r="EJ144" s="14" t="s">
        <v>4618</v>
      </c>
      <c r="EK144" s="14" t="s">
        <v>179</v>
      </c>
      <c r="EL144" s="14" t="s">
        <v>4619</v>
      </c>
      <c r="EM144" s="14" t="s">
        <v>179</v>
      </c>
      <c r="EN144" s="14" t="s">
        <v>4620</v>
      </c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6" t="s">
        <v>197</v>
      </c>
      <c r="FD144" s="17" t="s">
        <v>198</v>
      </c>
      <c r="FE144" s="18">
        <v>45713.394849537035</v>
      </c>
      <c r="FF144" s="19"/>
      <c r="FG144" s="19"/>
      <c r="FH144" s="21" t="s">
        <v>197</v>
      </c>
      <c r="FI144" s="17" t="s">
        <v>214</v>
      </c>
      <c r="FJ144" s="18">
        <v>45713.394849537035</v>
      </c>
      <c r="FK144" s="14" t="s">
        <v>4620</v>
      </c>
      <c r="FL144" s="14" t="s">
        <v>4621</v>
      </c>
      <c r="FM144" s="14" t="s">
        <v>4622</v>
      </c>
      <c r="FN144" s="14" t="s">
        <v>4623</v>
      </c>
      <c r="FO144" s="14" t="s">
        <v>4624</v>
      </c>
      <c r="FP144" s="19" t="str">
        <f t="shared" si="1"/>
        <v>Base de Dados_Images/BC9106.Imagem do Equipamento-.175556.jpg</v>
      </c>
      <c r="FQ144" s="19"/>
      <c r="FR144" s="19"/>
    </row>
    <row r="145" ht="15.75" customHeight="1">
      <c r="A145" s="12" t="s">
        <v>357</v>
      </c>
      <c r="B145" s="12" t="s">
        <v>4071</v>
      </c>
      <c r="C145" s="24" t="s">
        <v>512</v>
      </c>
      <c r="D145" s="22" t="s">
        <v>4625</v>
      </c>
      <c r="E145" s="22" t="s">
        <v>4626</v>
      </c>
      <c r="F145" s="13" t="s">
        <v>178</v>
      </c>
      <c r="G145" s="14" t="s">
        <v>179</v>
      </c>
      <c r="H145" s="14" t="s">
        <v>4627</v>
      </c>
      <c r="I145" s="14" t="s">
        <v>179</v>
      </c>
      <c r="J145" s="14" t="s">
        <v>4628</v>
      </c>
      <c r="K145" s="14" t="s">
        <v>179</v>
      </c>
      <c r="L145" s="14" t="s">
        <v>4629</v>
      </c>
      <c r="M145" s="14" t="s">
        <v>179</v>
      </c>
      <c r="N145" s="14" t="s">
        <v>4630</v>
      </c>
      <c r="O145" s="14" t="s">
        <v>179</v>
      </c>
      <c r="P145" s="14" t="s">
        <v>4631</v>
      </c>
      <c r="Q145" s="14" t="s">
        <v>179</v>
      </c>
      <c r="R145" s="14" t="s">
        <v>4632</v>
      </c>
      <c r="S145" s="14" t="s">
        <v>179</v>
      </c>
      <c r="T145" s="14" t="s">
        <v>4633</v>
      </c>
      <c r="U145" s="14" t="s">
        <v>179</v>
      </c>
      <c r="V145" s="14" t="s">
        <v>4634</v>
      </c>
      <c r="W145" s="14" t="s">
        <v>179</v>
      </c>
      <c r="X145" s="14" t="s">
        <v>4635</v>
      </c>
      <c r="Y145" s="14" t="s">
        <v>179</v>
      </c>
      <c r="Z145" s="14" t="s">
        <v>4636</v>
      </c>
      <c r="AA145" s="14" t="s">
        <v>179</v>
      </c>
      <c r="AB145" s="14" t="s">
        <v>4637</v>
      </c>
      <c r="AC145" s="14" t="s">
        <v>179</v>
      </c>
      <c r="AD145" s="14" t="s">
        <v>4638</v>
      </c>
      <c r="AE145" s="14" t="s">
        <v>179</v>
      </c>
      <c r="AF145" s="14" t="s">
        <v>4639</v>
      </c>
      <c r="AG145" s="14" t="s">
        <v>179</v>
      </c>
      <c r="AH145" s="14" t="s">
        <v>4640</v>
      </c>
      <c r="AI145" s="14" t="s">
        <v>179</v>
      </c>
      <c r="AJ145" s="14" t="s">
        <v>4641</v>
      </c>
      <c r="AK145" s="14" t="s">
        <v>179</v>
      </c>
      <c r="AL145" s="14" t="s">
        <v>4642</v>
      </c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6" t="s">
        <v>197</v>
      </c>
      <c r="BP145" s="17" t="s">
        <v>198</v>
      </c>
      <c r="BQ145" s="18">
        <v>45681.41116898148</v>
      </c>
      <c r="BR145" s="17" t="s">
        <v>198</v>
      </c>
      <c r="BS145" s="18">
        <v>45681.41135416667</v>
      </c>
      <c r="BT145" s="17" t="s">
        <v>198</v>
      </c>
      <c r="BU145" s="18">
        <v>45681.41135416667</v>
      </c>
      <c r="BV145" s="13" t="s">
        <v>199</v>
      </c>
      <c r="BW145" s="14" t="s">
        <v>179</v>
      </c>
      <c r="BX145" s="14" t="s">
        <v>4643</v>
      </c>
      <c r="BY145" s="14" t="s">
        <v>179</v>
      </c>
      <c r="BZ145" s="14" t="s">
        <v>4644</v>
      </c>
      <c r="CA145" s="14" t="s">
        <v>179</v>
      </c>
      <c r="CB145" s="14" t="s">
        <v>4645</v>
      </c>
      <c r="CC145" s="14" t="s">
        <v>179</v>
      </c>
      <c r="CD145" s="14" t="s">
        <v>4646</v>
      </c>
      <c r="CE145" s="14" t="s">
        <v>179</v>
      </c>
      <c r="CF145" s="14" t="s">
        <v>4647</v>
      </c>
      <c r="CG145" s="14" t="s">
        <v>179</v>
      </c>
      <c r="CH145" s="14" t="s">
        <v>4648</v>
      </c>
      <c r="CI145" s="19"/>
      <c r="CJ145" s="15"/>
      <c r="CK145" s="19"/>
      <c r="CL145" s="15"/>
      <c r="CM145" s="19"/>
      <c r="CN145" s="15"/>
      <c r="CO145" s="19"/>
      <c r="CP145" s="15"/>
      <c r="CQ145" s="15"/>
      <c r="CR145" s="15"/>
      <c r="CS145" s="19"/>
      <c r="CT145" s="15"/>
      <c r="CU145" s="19"/>
      <c r="CV145" s="15"/>
      <c r="CW145" s="19"/>
      <c r="CX145" s="15"/>
      <c r="CY145" s="19"/>
      <c r="CZ145" s="15"/>
      <c r="DA145" s="17" t="s">
        <v>197</v>
      </c>
      <c r="DB145" s="17" t="s">
        <v>198</v>
      </c>
      <c r="DC145" s="20">
        <v>45699.447604166664</v>
      </c>
      <c r="DD145" s="17" t="s">
        <v>198</v>
      </c>
      <c r="DE145" s="18">
        <v>45713.39560185185</v>
      </c>
      <c r="DF145" s="17" t="s">
        <v>198</v>
      </c>
      <c r="DG145" s="18">
        <v>45713.39560185185</v>
      </c>
      <c r="DH145" s="13" t="s">
        <v>205</v>
      </c>
      <c r="DI145" s="14" t="s">
        <v>179</v>
      </c>
      <c r="DJ145" s="14" t="s">
        <v>4649</v>
      </c>
      <c r="DK145" s="14" t="s">
        <v>179</v>
      </c>
      <c r="DL145" s="14" t="s">
        <v>4650</v>
      </c>
      <c r="DM145" s="14" t="s">
        <v>179</v>
      </c>
      <c r="DN145" s="14" t="s">
        <v>4651</v>
      </c>
      <c r="DO145" s="14" t="s">
        <v>179</v>
      </c>
      <c r="DP145" s="14" t="s">
        <v>4652</v>
      </c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6" t="s">
        <v>197</v>
      </c>
      <c r="ED145" s="17" t="s">
        <v>198</v>
      </c>
      <c r="EE145" s="18">
        <v>45713.39255787037</v>
      </c>
      <c r="EF145" s="13" t="s">
        <v>209</v>
      </c>
      <c r="EG145" s="14" t="s">
        <v>179</v>
      </c>
      <c r="EH145" s="14" t="s">
        <v>4653</v>
      </c>
      <c r="EI145" s="14" t="s">
        <v>179</v>
      </c>
      <c r="EJ145" s="14" t="s">
        <v>4654</v>
      </c>
      <c r="EK145" s="14" t="s">
        <v>179</v>
      </c>
      <c r="EL145" s="14" t="s">
        <v>4655</v>
      </c>
      <c r="EM145" s="14" t="s">
        <v>179</v>
      </c>
      <c r="EN145" s="14" t="s">
        <v>4656</v>
      </c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6" t="s">
        <v>197</v>
      </c>
      <c r="FD145" s="17" t="s">
        <v>198</v>
      </c>
      <c r="FE145" s="18">
        <v>45713.39461805556</v>
      </c>
      <c r="FF145" s="19"/>
      <c r="FG145" s="19"/>
      <c r="FH145" s="21" t="s">
        <v>197</v>
      </c>
      <c r="FI145" s="17" t="s">
        <v>214</v>
      </c>
      <c r="FJ145" s="18">
        <v>45713.39560185185</v>
      </c>
      <c r="FK145" s="14" t="s">
        <v>4647</v>
      </c>
      <c r="FL145" s="14" t="s">
        <v>4657</v>
      </c>
      <c r="FM145" s="14" t="s">
        <v>4658</v>
      </c>
      <c r="FN145" s="14" t="s">
        <v>4659</v>
      </c>
      <c r="FO145" s="14" t="s">
        <v>4660</v>
      </c>
      <c r="FP145" s="19" t="str">
        <f t="shared" si="1"/>
        <v>Base de Dados_Images/BC9107.Imagem do Equipamento-.175421.jpg</v>
      </c>
      <c r="FQ145" s="19"/>
      <c r="FR145" s="19"/>
    </row>
    <row r="146" ht="15.75" customHeight="1">
      <c r="A146" s="12" t="s">
        <v>357</v>
      </c>
      <c r="B146" s="12" t="s">
        <v>4071</v>
      </c>
      <c r="C146" s="24" t="s">
        <v>512</v>
      </c>
      <c r="D146" s="22" t="s">
        <v>4661</v>
      </c>
      <c r="E146" s="22" t="s">
        <v>4662</v>
      </c>
      <c r="F146" s="13" t="s">
        <v>178</v>
      </c>
      <c r="G146" s="14" t="s">
        <v>179</v>
      </c>
      <c r="H146" s="14" t="s">
        <v>4663</v>
      </c>
      <c r="I146" s="14" t="s">
        <v>179</v>
      </c>
      <c r="J146" s="14" t="s">
        <v>4664</v>
      </c>
      <c r="K146" s="14" t="s">
        <v>179</v>
      </c>
      <c r="L146" s="14" t="s">
        <v>4665</v>
      </c>
      <c r="M146" s="14" t="s">
        <v>179</v>
      </c>
      <c r="N146" s="14" t="s">
        <v>4666</v>
      </c>
      <c r="O146" s="14" t="s">
        <v>179</v>
      </c>
      <c r="P146" s="14" t="s">
        <v>4667</v>
      </c>
      <c r="Q146" s="14" t="s">
        <v>179</v>
      </c>
      <c r="R146" s="14" t="s">
        <v>4668</v>
      </c>
      <c r="S146" s="14" t="s">
        <v>179</v>
      </c>
      <c r="T146" s="14" t="s">
        <v>4669</v>
      </c>
      <c r="U146" s="14" t="s">
        <v>179</v>
      </c>
      <c r="V146" s="14" t="s">
        <v>4670</v>
      </c>
      <c r="W146" s="14" t="s">
        <v>179</v>
      </c>
      <c r="X146" s="14" t="s">
        <v>4671</v>
      </c>
      <c r="Y146" s="14" t="s">
        <v>179</v>
      </c>
      <c r="Z146" s="14" t="s">
        <v>4672</v>
      </c>
      <c r="AA146" s="14" t="s">
        <v>179</v>
      </c>
      <c r="AB146" s="14" t="s">
        <v>4673</v>
      </c>
      <c r="AC146" s="14" t="s">
        <v>179</v>
      </c>
      <c r="AD146" s="14" t="s">
        <v>4674</v>
      </c>
      <c r="AE146" s="14" t="s">
        <v>179</v>
      </c>
      <c r="AF146" s="14" t="s">
        <v>4675</v>
      </c>
      <c r="AG146" s="14" t="s">
        <v>179</v>
      </c>
      <c r="AH146" s="14" t="s">
        <v>4676</v>
      </c>
      <c r="AI146" s="14" t="s">
        <v>179</v>
      </c>
      <c r="AJ146" s="14" t="s">
        <v>4677</v>
      </c>
      <c r="AK146" s="14" t="s">
        <v>179</v>
      </c>
      <c r="AL146" s="14" t="s">
        <v>4678</v>
      </c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6" t="s">
        <v>197</v>
      </c>
      <c r="BP146" s="17" t="s">
        <v>198</v>
      </c>
      <c r="BQ146" s="18">
        <v>45678.6815625</v>
      </c>
      <c r="BR146" s="17" t="s">
        <v>198</v>
      </c>
      <c r="BS146" s="18">
        <v>45678.68174768519</v>
      </c>
      <c r="BT146" s="17" t="s">
        <v>198</v>
      </c>
      <c r="BU146" s="18">
        <v>45678.68174768519</v>
      </c>
      <c r="BV146" s="13" t="s">
        <v>199</v>
      </c>
      <c r="BW146" s="14" t="s">
        <v>179</v>
      </c>
      <c r="BX146" s="14" t="s">
        <v>4679</v>
      </c>
      <c r="BY146" s="14" t="s">
        <v>179</v>
      </c>
      <c r="BZ146" s="14" t="s">
        <v>4680</v>
      </c>
      <c r="CA146" s="14" t="s">
        <v>179</v>
      </c>
      <c r="CB146" s="14" t="s">
        <v>4681</v>
      </c>
      <c r="CC146" s="14" t="s">
        <v>179</v>
      </c>
      <c r="CD146" s="14" t="s">
        <v>4682</v>
      </c>
      <c r="CE146" s="14" t="s">
        <v>179</v>
      </c>
      <c r="CF146" s="14" t="s">
        <v>4683</v>
      </c>
      <c r="CG146" s="14" t="s">
        <v>179</v>
      </c>
      <c r="CH146" s="14" t="s">
        <v>4684</v>
      </c>
      <c r="CI146" s="19"/>
      <c r="CJ146" s="15"/>
      <c r="CK146" s="19"/>
      <c r="CL146" s="15"/>
      <c r="CM146" s="19"/>
      <c r="CN146" s="15"/>
      <c r="CO146" s="19"/>
      <c r="CP146" s="15"/>
      <c r="CQ146" s="15"/>
      <c r="CR146" s="15"/>
      <c r="CS146" s="19"/>
      <c r="CT146" s="15"/>
      <c r="CU146" s="19"/>
      <c r="CV146" s="15"/>
      <c r="CW146" s="19"/>
      <c r="CX146" s="15"/>
      <c r="CY146" s="19"/>
      <c r="CZ146" s="15"/>
      <c r="DA146" s="16" t="s">
        <v>197</v>
      </c>
      <c r="DB146" s="17" t="s">
        <v>198</v>
      </c>
      <c r="DC146" s="20">
        <v>45685.65482638889</v>
      </c>
      <c r="DD146" s="17" t="s">
        <v>198</v>
      </c>
      <c r="DE146" s="18">
        <v>45685.65488425926</v>
      </c>
      <c r="DF146" s="17" t="s">
        <v>198</v>
      </c>
      <c r="DG146" s="18">
        <v>45685.65488425926</v>
      </c>
      <c r="DH146" s="13" t="s">
        <v>205</v>
      </c>
      <c r="DI146" s="14" t="s">
        <v>179</v>
      </c>
      <c r="DJ146" s="14" t="s">
        <v>4685</v>
      </c>
      <c r="DK146" s="14" t="s">
        <v>179</v>
      </c>
      <c r="DL146" s="14" t="s">
        <v>4686</v>
      </c>
      <c r="DM146" s="14" t="s">
        <v>179</v>
      </c>
      <c r="DN146" s="14" t="s">
        <v>4687</v>
      </c>
      <c r="DO146" s="14" t="s">
        <v>179</v>
      </c>
      <c r="DP146" s="14" t="s">
        <v>4688</v>
      </c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6" t="s">
        <v>197</v>
      </c>
      <c r="ED146" s="17" t="s">
        <v>198</v>
      </c>
      <c r="EE146" s="18">
        <v>45691.62868055556</v>
      </c>
      <c r="EF146" s="13" t="s">
        <v>209</v>
      </c>
      <c r="EG146" s="14" t="s">
        <v>179</v>
      </c>
      <c r="EH146" s="14" t="s">
        <v>4689</v>
      </c>
      <c r="EI146" s="14" t="s">
        <v>179</v>
      </c>
      <c r="EJ146" s="14" t="s">
        <v>4690</v>
      </c>
      <c r="EK146" s="14" t="s">
        <v>179</v>
      </c>
      <c r="EL146" s="14" t="s">
        <v>4691</v>
      </c>
      <c r="EM146" s="14" t="s">
        <v>179</v>
      </c>
      <c r="EN146" s="14" t="s">
        <v>4692</v>
      </c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6" t="s">
        <v>197</v>
      </c>
      <c r="FD146" s="17" t="s">
        <v>198</v>
      </c>
      <c r="FE146" s="18">
        <v>45699.445972222224</v>
      </c>
      <c r="FF146" s="19"/>
      <c r="FG146" s="19"/>
      <c r="FH146" s="21" t="s">
        <v>197</v>
      </c>
      <c r="FI146" s="17" t="s">
        <v>214</v>
      </c>
      <c r="FJ146" s="18">
        <v>45699.445972222224</v>
      </c>
      <c r="FK146" s="14" t="s">
        <v>4692</v>
      </c>
      <c r="FL146" s="14" t="s">
        <v>4693</v>
      </c>
      <c r="FM146" s="14" t="s">
        <v>4694</v>
      </c>
      <c r="FN146" s="14" t="s">
        <v>4695</v>
      </c>
      <c r="FO146" s="14" t="s">
        <v>4696</v>
      </c>
      <c r="FP146" s="19" t="str">
        <f t="shared" si="1"/>
        <v>Base de Dados_Images/BC9110.Imagem do Equipamento-.192629.jpg</v>
      </c>
      <c r="FQ146" s="19"/>
      <c r="FR146" s="19"/>
    </row>
    <row r="147" ht="15.75" customHeight="1">
      <c r="A147" s="12" t="s">
        <v>357</v>
      </c>
      <c r="B147" s="12" t="s">
        <v>4697</v>
      </c>
      <c r="C147" s="24" t="s">
        <v>512</v>
      </c>
      <c r="D147" s="22" t="s">
        <v>4698</v>
      </c>
      <c r="E147" s="22" t="s">
        <v>4699</v>
      </c>
      <c r="F147" s="13" t="s">
        <v>178</v>
      </c>
      <c r="G147" s="14" t="s">
        <v>179</v>
      </c>
      <c r="H147" s="14" t="s">
        <v>4700</v>
      </c>
      <c r="I147" s="14" t="s">
        <v>179</v>
      </c>
      <c r="J147" s="14" t="s">
        <v>4700</v>
      </c>
      <c r="K147" s="14" t="s">
        <v>179</v>
      </c>
      <c r="L147" s="14" t="s">
        <v>4701</v>
      </c>
      <c r="M147" s="14" t="s">
        <v>179</v>
      </c>
      <c r="N147" s="14" t="s">
        <v>4702</v>
      </c>
      <c r="O147" s="14" t="s">
        <v>179</v>
      </c>
      <c r="P147" s="14" t="s">
        <v>4702</v>
      </c>
      <c r="Q147" s="14" t="s">
        <v>179</v>
      </c>
      <c r="R147" s="14" t="s">
        <v>4703</v>
      </c>
      <c r="S147" s="14" t="s">
        <v>179</v>
      </c>
      <c r="T147" s="14" t="s">
        <v>4704</v>
      </c>
      <c r="U147" s="14" t="s">
        <v>179</v>
      </c>
      <c r="V147" s="14" t="s">
        <v>4704</v>
      </c>
      <c r="W147" s="14" t="s">
        <v>179</v>
      </c>
      <c r="X147" s="14" t="s">
        <v>4705</v>
      </c>
      <c r="Y147" s="14" t="s">
        <v>179</v>
      </c>
      <c r="Z147" s="14" t="s">
        <v>4706</v>
      </c>
      <c r="AA147" s="14" t="s">
        <v>179</v>
      </c>
      <c r="AB147" s="14" t="s">
        <v>4707</v>
      </c>
      <c r="AC147" s="14" t="s">
        <v>179</v>
      </c>
      <c r="AD147" s="14" t="s">
        <v>4708</v>
      </c>
      <c r="AE147" s="14" t="s">
        <v>179</v>
      </c>
      <c r="AF147" s="14" t="s">
        <v>4709</v>
      </c>
      <c r="AG147" s="14" t="s">
        <v>179</v>
      </c>
      <c r="AH147" s="14" t="s">
        <v>4710</v>
      </c>
      <c r="AI147" s="14" t="s">
        <v>179</v>
      </c>
      <c r="AJ147" s="14" t="s">
        <v>4711</v>
      </c>
      <c r="AK147" s="14" t="s">
        <v>179</v>
      </c>
      <c r="AL147" s="14" t="s">
        <v>4712</v>
      </c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6" t="s">
        <v>197</v>
      </c>
      <c r="BP147" s="17" t="s">
        <v>198</v>
      </c>
      <c r="BQ147" s="18">
        <v>45687.36917824074</v>
      </c>
      <c r="BR147" s="17" t="s">
        <v>198</v>
      </c>
      <c r="BS147" s="18">
        <v>45687.369259259256</v>
      </c>
      <c r="BT147" s="17" t="s">
        <v>198</v>
      </c>
      <c r="BU147" s="18">
        <v>45687.369259259256</v>
      </c>
      <c r="BV147" s="13" t="s">
        <v>199</v>
      </c>
      <c r="BW147" s="14" t="s">
        <v>179</v>
      </c>
      <c r="BX147" s="14" t="s">
        <v>4713</v>
      </c>
      <c r="BY147" s="14" t="s">
        <v>179</v>
      </c>
      <c r="BZ147" s="14" t="s">
        <v>4714</v>
      </c>
      <c r="CA147" s="14" t="s">
        <v>179</v>
      </c>
      <c r="CB147" s="14" t="s">
        <v>4715</v>
      </c>
      <c r="CC147" s="14" t="s">
        <v>179</v>
      </c>
      <c r="CD147" s="14" t="s">
        <v>4716</v>
      </c>
      <c r="CE147" s="14" t="s">
        <v>179</v>
      </c>
      <c r="CF147" s="14" t="s">
        <v>4717</v>
      </c>
      <c r="CG147" s="14" t="s">
        <v>179</v>
      </c>
      <c r="CH147" s="14" t="s">
        <v>4718</v>
      </c>
      <c r="CI147" s="19"/>
      <c r="CJ147" s="15"/>
      <c r="CK147" s="19"/>
      <c r="CL147" s="15"/>
      <c r="CM147" s="19"/>
      <c r="CN147" s="15"/>
      <c r="CO147" s="19"/>
      <c r="CP147" s="15"/>
      <c r="CQ147" s="15"/>
      <c r="CR147" s="15"/>
      <c r="CS147" s="19"/>
      <c r="CT147" s="15"/>
      <c r="CU147" s="19"/>
      <c r="CV147" s="15"/>
      <c r="CW147" s="19"/>
      <c r="CX147" s="15"/>
      <c r="CY147" s="19"/>
      <c r="CZ147" s="15"/>
      <c r="DA147" s="16" t="s">
        <v>197</v>
      </c>
      <c r="DB147" s="17" t="s">
        <v>198</v>
      </c>
      <c r="DC147" s="20">
        <v>45723.38358796296</v>
      </c>
      <c r="DD147" s="17" t="s">
        <v>198</v>
      </c>
      <c r="DE147" s="18">
        <v>45723.38363425926</v>
      </c>
      <c r="DF147" s="17" t="s">
        <v>198</v>
      </c>
      <c r="DG147" s="18">
        <v>45723.38363425926</v>
      </c>
      <c r="DH147" s="13" t="s">
        <v>205</v>
      </c>
      <c r="DI147" s="14" t="s">
        <v>179</v>
      </c>
      <c r="DJ147" s="14" t="s">
        <v>4719</v>
      </c>
      <c r="DK147" s="14" t="s">
        <v>179</v>
      </c>
      <c r="DL147" s="14" t="s">
        <v>4719</v>
      </c>
      <c r="DM147" s="14" t="s">
        <v>179</v>
      </c>
      <c r="DN147" s="14" t="s">
        <v>4720</v>
      </c>
      <c r="DO147" s="14" t="s">
        <v>179</v>
      </c>
      <c r="DP147" s="14" t="s">
        <v>4721</v>
      </c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6" t="s">
        <v>197</v>
      </c>
      <c r="ED147" s="17" t="s">
        <v>198</v>
      </c>
      <c r="EE147" s="18">
        <v>45723.38371527778</v>
      </c>
      <c r="EF147" s="13" t="s">
        <v>209</v>
      </c>
      <c r="EG147" s="14" t="s">
        <v>179</v>
      </c>
      <c r="EH147" s="14" t="s">
        <v>4722</v>
      </c>
      <c r="EI147" s="14" t="s">
        <v>179</v>
      </c>
      <c r="EJ147" s="14" t="s">
        <v>4722</v>
      </c>
      <c r="EK147" s="14" t="s">
        <v>179</v>
      </c>
      <c r="EL147" s="14" t="s">
        <v>4723</v>
      </c>
      <c r="EM147" s="14" t="s">
        <v>179</v>
      </c>
      <c r="EN147" s="14" t="s">
        <v>4724</v>
      </c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6" t="s">
        <v>197</v>
      </c>
      <c r="FD147" s="17" t="s">
        <v>198</v>
      </c>
      <c r="FE147" s="18">
        <v>45723.38379629629</v>
      </c>
      <c r="FF147" s="19"/>
      <c r="FG147" s="19"/>
      <c r="FH147" s="21" t="s">
        <v>197</v>
      </c>
      <c r="FI147" s="17" t="s">
        <v>214</v>
      </c>
      <c r="FJ147" s="18">
        <v>45723.38379629629</v>
      </c>
      <c r="FK147" s="14" t="s">
        <v>4724</v>
      </c>
      <c r="FL147" s="14" t="s">
        <v>4725</v>
      </c>
      <c r="FM147" s="14" t="s">
        <v>4726</v>
      </c>
      <c r="FN147" s="14" t="s">
        <v>4727</v>
      </c>
      <c r="FO147" s="14" t="s">
        <v>4728</v>
      </c>
      <c r="FP147" s="19" t="str">
        <f t="shared" si="1"/>
        <v>Base de Dados_Images/BC9201.Imagem do Equipamento-.123052.jpg</v>
      </c>
      <c r="FQ147" s="14"/>
      <c r="FR147" s="14"/>
    </row>
    <row r="148" ht="15.75" customHeight="1">
      <c r="A148" s="12" t="s">
        <v>357</v>
      </c>
      <c r="B148" s="12" t="s">
        <v>4697</v>
      </c>
      <c r="C148" s="24" t="s">
        <v>512</v>
      </c>
      <c r="D148" s="22" t="s">
        <v>4729</v>
      </c>
      <c r="E148" s="22" t="s">
        <v>4730</v>
      </c>
      <c r="F148" s="13" t="s">
        <v>178</v>
      </c>
      <c r="G148" s="14" t="s">
        <v>179</v>
      </c>
      <c r="H148" s="14" t="s">
        <v>4731</v>
      </c>
      <c r="I148" s="14" t="s">
        <v>179</v>
      </c>
      <c r="J148" s="14" t="s">
        <v>4732</v>
      </c>
      <c r="K148" s="14" t="s">
        <v>179</v>
      </c>
      <c r="L148" s="14" t="s">
        <v>4733</v>
      </c>
      <c r="M148" s="14" t="s">
        <v>179</v>
      </c>
      <c r="N148" s="14" t="s">
        <v>4734</v>
      </c>
      <c r="O148" s="14" t="s">
        <v>179</v>
      </c>
      <c r="P148" s="14" t="s">
        <v>4735</v>
      </c>
      <c r="Q148" s="14" t="s">
        <v>179</v>
      </c>
      <c r="R148" s="14" t="s">
        <v>4736</v>
      </c>
      <c r="S148" s="14" t="s">
        <v>179</v>
      </c>
      <c r="T148" s="14" t="s">
        <v>4737</v>
      </c>
      <c r="U148" s="14" t="s">
        <v>179</v>
      </c>
      <c r="V148" s="14" t="s">
        <v>4738</v>
      </c>
      <c r="W148" s="14" t="s">
        <v>179</v>
      </c>
      <c r="X148" s="14" t="s">
        <v>4739</v>
      </c>
      <c r="Y148" s="14" t="s">
        <v>179</v>
      </c>
      <c r="Z148" s="14" t="s">
        <v>4740</v>
      </c>
      <c r="AA148" s="14" t="s">
        <v>179</v>
      </c>
      <c r="AB148" s="14" t="s">
        <v>4741</v>
      </c>
      <c r="AC148" s="14" t="s">
        <v>179</v>
      </c>
      <c r="AD148" s="14" t="s">
        <v>4742</v>
      </c>
      <c r="AE148" s="14" t="s">
        <v>179</v>
      </c>
      <c r="AF148" s="14" t="s">
        <v>4743</v>
      </c>
      <c r="AG148" s="14" t="s">
        <v>179</v>
      </c>
      <c r="AH148" s="14" t="s">
        <v>4744</v>
      </c>
      <c r="AI148" s="14" t="s">
        <v>179</v>
      </c>
      <c r="AJ148" s="14" t="s">
        <v>4745</v>
      </c>
      <c r="AK148" s="14" t="s">
        <v>179</v>
      </c>
      <c r="AL148" s="14" t="s">
        <v>4746</v>
      </c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6" t="s">
        <v>197</v>
      </c>
      <c r="BP148" s="17" t="s">
        <v>198</v>
      </c>
      <c r="BQ148" s="18">
        <v>45687.371041666665</v>
      </c>
      <c r="BR148" s="17" t="s">
        <v>198</v>
      </c>
      <c r="BS148" s="18">
        <v>45687.371157407404</v>
      </c>
      <c r="BT148" s="17" t="s">
        <v>198</v>
      </c>
      <c r="BU148" s="18">
        <v>45687.371157407404</v>
      </c>
      <c r="BV148" s="13" t="s">
        <v>199</v>
      </c>
      <c r="BW148" s="14" t="s">
        <v>179</v>
      </c>
      <c r="BX148" s="14" t="s">
        <v>4747</v>
      </c>
      <c r="BY148" s="14" t="s">
        <v>179</v>
      </c>
      <c r="BZ148" s="14" t="s">
        <v>4748</v>
      </c>
      <c r="CA148" s="14" t="s">
        <v>179</v>
      </c>
      <c r="CB148" s="14" t="s">
        <v>4749</v>
      </c>
      <c r="CC148" s="14" t="s">
        <v>179</v>
      </c>
      <c r="CD148" s="14" t="s">
        <v>4750</v>
      </c>
      <c r="CE148" s="14" t="s">
        <v>179</v>
      </c>
      <c r="CF148" s="14" t="s">
        <v>4751</v>
      </c>
      <c r="CG148" s="14" t="s">
        <v>179</v>
      </c>
      <c r="CH148" s="14" t="s">
        <v>4752</v>
      </c>
      <c r="CI148" s="19"/>
      <c r="CJ148" s="15"/>
      <c r="CK148" s="19"/>
      <c r="CL148" s="15"/>
      <c r="CM148" s="19"/>
      <c r="CN148" s="15"/>
      <c r="CO148" s="19"/>
      <c r="CP148" s="15"/>
      <c r="CQ148" s="15"/>
      <c r="CR148" s="15"/>
      <c r="CS148" s="19"/>
      <c r="CT148" s="15"/>
      <c r="CU148" s="19"/>
      <c r="CV148" s="15"/>
      <c r="CW148" s="19"/>
      <c r="CX148" s="15"/>
      <c r="CY148" s="19"/>
      <c r="CZ148" s="15"/>
      <c r="DA148" s="16" t="s">
        <v>197</v>
      </c>
      <c r="DB148" s="17" t="s">
        <v>198</v>
      </c>
      <c r="DC148" s="20">
        <v>45723.38400462963</v>
      </c>
      <c r="DD148" s="17" t="s">
        <v>198</v>
      </c>
      <c r="DE148" s="18">
        <v>45723.384050925924</v>
      </c>
      <c r="DF148" s="17" t="s">
        <v>198</v>
      </c>
      <c r="DG148" s="18">
        <v>45723.384050925924</v>
      </c>
      <c r="DH148" s="13" t="s">
        <v>205</v>
      </c>
      <c r="DI148" s="14" t="s">
        <v>179</v>
      </c>
      <c r="DJ148" s="14" t="s">
        <v>4753</v>
      </c>
      <c r="DK148" s="14" t="s">
        <v>179</v>
      </c>
      <c r="DL148" s="14" t="s">
        <v>4754</v>
      </c>
      <c r="DM148" s="14" t="s">
        <v>179</v>
      </c>
      <c r="DN148" s="14" t="s">
        <v>4755</v>
      </c>
      <c r="DO148" s="14" t="s">
        <v>179</v>
      </c>
      <c r="DP148" s="14" t="s">
        <v>4756</v>
      </c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6" t="s">
        <v>197</v>
      </c>
      <c r="ED148" s="17" t="s">
        <v>198</v>
      </c>
      <c r="EE148" s="18">
        <v>45723.38422453704</v>
      </c>
      <c r="EF148" s="13" t="s">
        <v>209</v>
      </c>
      <c r="EG148" s="14" t="s">
        <v>179</v>
      </c>
      <c r="EH148" s="14" t="s">
        <v>4757</v>
      </c>
      <c r="EI148" s="14" t="s">
        <v>179</v>
      </c>
      <c r="EJ148" s="14" t="s">
        <v>4757</v>
      </c>
      <c r="EK148" s="14" t="s">
        <v>179</v>
      </c>
      <c r="EL148" s="14" t="s">
        <v>4758</v>
      </c>
      <c r="EM148" s="14" t="s">
        <v>179</v>
      </c>
      <c r="EN148" s="14" t="s">
        <v>4759</v>
      </c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6" t="s">
        <v>197</v>
      </c>
      <c r="FD148" s="17" t="s">
        <v>198</v>
      </c>
      <c r="FE148" s="18">
        <v>45723.38431712963</v>
      </c>
      <c r="FF148" s="19"/>
      <c r="FG148" s="19"/>
      <c r="FH148" s="21" t="s">
        <v>197</v>
      </c>
      <c r="FI148" s="17" t="s">
        <v>214</v>
      </c>
      <c r="FJ148" s="18">
        <v>45723.38431712963</v>
      </c>
      <c r="FK148" s="14" t="s">
        <v>4759</v>
      </c>
      <c r="FL148" s="14" t="s">
        <v>4760</v>
      </c>
      <c r="FM148" s="14" t="s">
        <v>4761</v>
      </c>
      <c r="FN148" s="14" t="s">
        <v>4762</v>
      </c>
      <c r="FO148" s="14" t="s">
        <v>4763</v>
      </c>
      <c r="FP148" s="19" t="str">
        <f t="shared" si="1"/>
        <v>Base de Dados_Images/BC9202.Imagem do Equipamento-.123119.jpg</v>
      </c>
      <c r="FQ148" s="19"/>
      <c r="FR148" s="19"/>
    </row>
    <row r="149" ht="15.75" customHeight="1">
      <c r="A149" s="12" t="s">
        <v>357</v>
      </c>
      <c r="B149" s="12" t="s">
        <v>4697</v>
      </c>
      <c r="C149" s="24" t="s">
        <v>512</v>
      </c>
      <c r="D149" s="22" t="s">
        <v>4764</v>
      </c>
      <c r="E149" s="22" t="s">
        <v>4765</v>
      </c>
      <c r="F149" s="13" t="s">
        <v>178</v>
      </c>
      <c r="G149" s="14" t="s">
        <v>179</v>
      </c>
      <c r="H149" s="14" t="s">
        <v>4766</v>
      </c>
      <c r="I149" s="14" t="s">
        <v>179</v>
      </c>
      <c r="J149" s="14" t="s">
        <v>4767</v>
      </c>
      <c r="K149" s="14" t="s">
        <v>179</v>
      </c>
      <c r="L149" s="14" t="s">
        <v>4768</v>
      </c>
      <c r="M149" s="14" t="s">
        <v>179</v>
      </c>
      <c r="N149" s="14" t="s">
        <v>4769</v>
      </c>
      <c r="O149" s="14" t="s">
        <v>179</v>
      </c>
      <c r="P149" s="14" t="s">
        <v>4770</v>
      </c>
      <c r="Q149" s="14" t="s">
        <v>179</v>
      </c>
      <c r="R149" s="14" t="s">
        <v>4771</v>
      </c>
      <c r="S149" s="14" t="s">
        <v>179</v>
      </c>
      <c r="T149" s="14" t="s">
        <v>4772</v>
      </c>
      <c r="U149" s="14" t="s">
        <v>179</v>
      </c>
      <c r="V149" s="14" t="s">
        <v>4773</v>
      </c>
      <c r="W149" s="14" t="s">
        <v>179</v>
      </c>
      <c r="X149" s="14" t="s">
        <v>4774</v>
      </c>
      <c r="Y149" s="14" t="s">
        <v>179</v>
      </c>
      <c r="Z149" s="14" t="s">
        <v>4775</v>
      </c>
      <c r="AA149" s="14" t="s">
        <v>179</v>
      </c>
      <c r="AB149" s="14" t="s">
        <v>4776</v>
      </c>
      <c r="AC149" s="14" t="s">
        <v>179</v>
      </c>
      <c r="AD149" s="14" t="s">
        <v>4777</v>
      </c>
      <c r="AE149" s="14" t="s">
        <v>179</v>
      </c>
      <c r="AF149" s="14" t="s">
        <v>4778</v>
      </c>
      <c r="AG149" s="14" t="s">
        <v>179</v>
      </c>
      <c r="AH149" s="14" t="s">
        <v>4779</v>
      </c>
      <c r="AI149" s="14" t="s">
        <v>179</v>
      </c>
      <c r="AJ149" s="14" t="s">
        <v>4780</v>
      </c>
      <c r="AK149" s="14" t="s">
        <v>179</v>
      </c>
      <c r="AL149" s="14" t="s">
        <v>4781</v>
      </c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6" t="s">
        <v>197</v>
      </c>
      <c r="BP149" s="17" t="s">
        <v>198</v>
      </c>
      <c r="BQ149" s="18">
        <v>45681.44188657407</v>
      </c>
      <c r="BR149" s="17" t="s">
        <v>198</v>
      </c>
      <c r="BS149" s="18">
        <v>45681.44211805556</v>
      </c>
      <c r="BT149" s="17" t="s">
        <v>198</v>
      </c>
      <c r="BU149" s="18">
        <v>45681.44211805556</v>
      </c>
      <c r="BV149" s="13" t="s">
        <v>199</v>
      </c>
      <c r="BW149" s="14" t="s">
        <v>179</v>
      </c>
      <c r="BX149" s="14" t="s">
        <v>4782</v>
      </c>
      <c r="BY149" s="14" t="s">
        <v>179</v>
      </c>
      <c r="BZ149" s="14" t="s">
        <v>4782</v>
      </c>
      <c r="CA149" s="14" t="s">
        <v>179</v>
      </c>
      <c r="CB149" s="14" t="s">
        <v>4783</v>
      </c>
      <c r="CC149" s="14" t="s">
        <v>179</v>
      </c>
      <c r="CD149" s="14" t="s">
        <v>4784</v>
      </c>
      <c r="CE149" s="14" t="s">
        <v>179</v>
      </c>
      <c r="CF149" s="14" t="s">
        <v>4785</v>
      </c>
      <c r="CG149" s="14" t="s">
        <v>179</v>
      </c>
      <c r="CH149" s="14" t="s">
        <v>4786</v>
      </c>
      <c r="CI149" s="19"/>
      <c r="CJ149" s="15"/>
      <c r="CK149" s="19"/>
      <c r="CL149" s="15"/>
      <c r="CM149" s="19"/>
      <c r="CN149" s="15"/>
      <c r="CO149" s="19"/>
      <c r="CP149" s="15"/>
      <c r="CQ149" s="15"/>
      <c r="CR149" s="15"/>
      <c r="CS149" s="19"/>
      <c r="CT149" s="15"/>
      <c r="CU149" s="19"/>
      <c r="CV149" s="15"/>
      <c r="CW149" s="19"/>
      <c r="CX149" s="15"/>
      <c r="CY149" s="19"/>
      <c r="CZ149" s="15"/>
      <c r="DA149" s="16" t="s">
        <v>197</v>
      </c>
      <c r="DB149" s="17" t="s">
        <v>198</v>
      </c>
      <c r="DC149" s="20">
        <v>45723.384409722225</v>
      </c>
      <c r="DD149" s="17" t="s">
        <v>198</v>
      </c>
      <c r="DE149" s="18">
        <v>45723.38445601852</v>
      </c>
      <c r="DF149" s="17" t="s">
        <v>198</v>
      </c>
      <c r="DG149" s="18">
        <v>45723.38445601852</v>
      </c>
      <c r="DH149" s="13" t="s">
        <v>205</v>
      </c>
      <c r="DI149" s="14" t="s">
        <v>179</v>
      </c>
      <c r="DJ149" s="14" t="s">
        <v>4787</v>
      </c>
      <c r="DK149" s="14" t="s">
        <v>179</v>
      </c>
      <c r="DL149" s="14" t="s">
        <v>4788</v>
      </c>
      <c r="DM149" s="14" t="s">
        <v>179</v>
      </c>
      <c r="DN149" s="14" t="s">
        <v>4789</v>
      </c>
      <c r="DO149" s="14" t="s">
        <v>179</v>
      </c>
      <c r="DP149" s="14" t="s">
        <v>4790</v>
      </c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6" t="s">
        <v>197</v>
      </c>
      <c r="ED149" s="17" t="s">
        <v>198</v>
      </c>
      <c r="EE149" s="18">
        <v>45723.38454861111</v>
      </c>
      <c r="EF149" s="13" t="s">
        <v>209</v>
      </c>
      <c r="EG149" s="14" t="s">
        <v>179</v>
      </c>
      <c r="EH149" s="14" t="s">
        <v>4791</v>
      </c>
      <c r="EI149" s="14" t="s">
        <v>179</v>
      </c>
      <c r="EJ149" s="14" t="s">
        <v>4792</v>
      </c>
      <c r="EK149" s="14" t="s">
        <v>179</v>
      </c>
      <c r="EL149" s="14" t="s">
        <v>4793</v>
      </c>
      <c r="EM149" s="14" t="s">
        <v>179</v>
      </c>
      <c r="EN149" s="14" t="s">
        <v>4794</v>
      </c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6" t="s">
        <v>197</v>
      </c>
      <c r="FD149" s="17" t="s">
        <v>198</v>
      </c>
      <c r="FE149" s="18">
        <v>45723.38462962963</v>
      </c>
      <c r="FF149" s="19"/>
      <c r="FG149" s="19"/>
      <c r="FH149" s="21" t="s">
        <v>197</v>
      </c>
      <c r="FI149" s="17" t="s">
        <v>214</v>
      </c>
      <c r="FJ149" s="18">
        <v>45723.38462962963</v>
      </c>
      <c r="FK149" s="14" t="s">
        <v>4794</v>
      </c>
      <c r="FL149" s="14" t="s">
        <v>4795</v>
      </c>
      <c r="FM149" s="14" t="s">
        <v>4796</v>
      </c>
      <c r="FN149" s="14" t="s">
        <v>4797</v>
      </c>
      <c r="FO149" s="14" t="s">
        <v>4798</v>
      </c>
      <c r="FP149" s="19" t="str">
        <f t="shared" si="1"/>
        <v>Base de Dados_Images/BC9203.Imagem do Equipamento-.125014.jpg</v>
      </c>
      <c r="FQ149" s="19"/>
      <c r="FR149" s="19"/>
    </row>
    <row r="150" ht="15.75" customHeight="1">
      <c r="A150" s="12" t="s">
        <v>357</v>
      </c>
      <c r="B150" s="12" t="s">
        <v>4697</v>
      </c>
      <c r="C150" s="24" t="s">
        <v>512</v>
      </c>
      <c r="D150" s="22" t="s">
        <v>4799</v>
      </c>
      <c r="E150" s="22" t="s">
        <v>4800</v>
      </c>
      <c r="F150" s="13" t="s">
        <v>178</v>
      </c>
      <c r="G150" s="14" t="s">
        <v>179</v>
      </c>
      <c r="H150" s="14" t="s">
        <v>4801</v>
      </c>
      <c r="I150" s="14" t="s">
        <v>179</v>
      </c>
      <c r="J150" s="14" t="s">
        <v>4802</v>
      </c>
      <c r="K150" s="14" t="s">
        <v>179</v>
      </c>
      <c r="L150" s="14" t="s">
        <v>4803</v>
      </c>
      <c r="M150" s="14" t="s">
        <v>179</v>
      </c>
      <c r="N150" s="14" t="s">
        <v>4804</v>
      </c>
      <c r="O150" s="14" t="s">
        <v>179</v>
      </c>
      <c r="P150" s="14" t="s">
        <v>4805</v>
      </c>
      <c r="Q150" s="14" t="s">
        <v>179</v>
      </c>
      <c r="R150" s="14" t="s">
        <v>4806</v>
      </c>
      <c r="S150" s="14" t="s">
        <v>179</v>
      </c>
      <c r="T150" s="14" t="s">
        <v>4807</v>
      </c>
      <c r="U150" s="14" t="s">
        <v>179</v>
      </c>
      <c r="V150" s="14" t="s">
        <v>4808</v>
      </c>
      <c r="W150" s="14" t="s">
        <v>179</v>
      </c>
      <c r="X150" s="14" t="s">
        <v>4809</v>
      </c>
      <c r="Y150" s="14" t="s">
        <v>179</v>
      </c>
      <c r="Z150" s="14" t="s">
        <v>4810</v>
      </c>
      <c r="AA150" s="14" t="s">
        <v>179</v>
      </c>
      <c r="AB150" s="14" t="s">
        <v>4811</v>
      </c>
      <c r="AC150" s="14" t="s">
        <v>179</v>
      </c>
      <c r="AD150" s="14" t="s">
        <v>4812</v>
      </c>
      <c r="AE150" s="14" t="s">
        <v>179</v>
      </c>
      <c r="AF150" s="14" t="s">
        <v>4813</v>
      </c>
      <c r="AG150" s="14" t="s">
        <v>179</v>
      </c>
      <c r="AH150" s="14" t="s">
        <v>4814</v>
      </c>
      <c r="AI150" s="14" t="s">
        <v>179</v>
      </c>
      <c r="AJ150" s="14" t="s">
        <v>4815</v>
      </c>
      <c r="AK150" s="14" t="s">
        <v>179</v>
      </c>
      <c r="AL150" s="14" t="s">
        <v>4816</v>
      </c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6" t="s">
        <v>197</v>
      </c>
      <c r="BP150" s="17" t="s">
        <v>198</v>
      </c>
      <c r="BQ150" s="18">
        <v>45687.37280092593</v>
      </c>
      <c r="BR150" s="17" t="s">
        <v>198</v>
      </c>
      <c r="BS150" s="18">
        <v>45687.37378472222</v>
      </c>
      <c r="BT150" s="17" t="s">
        <v>198</v>
      </c>
      <c r="BU150" s="18">
        <v>45687.37378472222</v>
      </c>
      <c r="BV150" s="13" t="s">
        <v>199</v>
      </c>
      <c r="BW150" s="14" t="s">
        <v>179</v>
      </c>
      <c r="BX150" s="14" t="s">
        <v>4817</v>
      </c>
      <c r="BY150" s="14" t="s">
        <v>179</v>
      </c>
      <c r="BZ150" s="14" t="s">
        <v>4818</v>
      </c>
      <c r="CA150" s="14" t="s">
        <v>179</v>
      </c>
      <c r="CB150" s="14" t="s">
        <v>4819</v>
      </c>
      <c r="CC150" s="14" t="s">
        <v>179</v>
      </c>
      <c r="CD150" s="14" t="s">
        <v>4820</v>
      </c>
      <c r="CE150" s="14" t="s">
        <v>179</v>
      </c>
      <c r="CF150" s="14" t="s">
        <v>4820</v>
      </c>
      <c r="CG150" s="14" t="s">
        <v>179</v>
      </c>
      <c r="CH150" s="14" t="s">
        <v>4821</v>
      </c>
      <c r="CI150" s="19"/>
      <c r="CJ150" s="15"/>
      <c r="CK150" s="19"/>
      <c r="CL150" s="15"/>
      <c r="CM150" s="19"/>
      <c r="CN150" s="15"/>
      <c r="CO150" s="19"/>
      <c r="CP150" s="15"/>
      <c r="CQ150" s="15"/>
      <c r="CR150" s="15"/>
      <c r="CS150" s="19"/>
      <c r="CT150" s="15"/>
      <c r="CU150" s="19"/>
      <c r="CV150" s="15"/>
      <c r="CW150" s="19"/>
      <c r="CX150" s="15"/>
      <c r="CY150" s="19"/>
      <c r="CZ150" s="15"/>
      <c r="DA150" s="16" t="s">
        <v>197</v>
      </c>
      <c r="DB150" s="17" t="s">
        <v>198</v>
      </c>
      <c r="DC150" s="20">
        <v>45723.384733796294</v>
      </c>
      <c r="DD150" s="17" t="s">
        <v>198</v>
      </c>
      <c r="DE150" s="18">
        <v>45723.38476851852</v>
      </c>
      <c r="DF150" s="17" t="s">
        <v>198</v>
      </c>
      <c r="DG150" s="18">
        <v>45723.38476851852</v>
      </c>
      <c r="DH150" s="13" t="s">
        <v>205</v>
      </c>
      <c r="DI150" s="14" t="s">
        <v>179</v>
      </c>
      <c r="DJ150" s="14" t="s">
        <v>4822</v>
      </c>
      <c r="DK150" s="14" t="s">
        <v>179</v>
      </c>
      <c r="DL150" s="14" t="s">
        <v>4823</v>
      </c>
      <c r="DM150" s="14" t="s">
        <v>179</v>
      </c>
      <c r="DN150" s="14" t="s">
        <v>4824</v>
      </c>
      <c r="DO150" s="14" t="s">
        <v>179</v>
      </c>
      <c r="DP150" s="14" t="s">
        <v>4825</v>
      </c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6" t="s">
        <v>197</v>
      </c>
      <c r="ED150" s="17" t="s">
        <v>198</v>
      </c>
      <c r="EE150" s="18">
        <v>45723.38486111111</v>
      </c>
      <c r="EF150" s="13" t="s">
        <v>209</v>
      </c>
      <c r="EG150" s="14" t="s">
        <v>179</v>
      </c>
      <c r="EH150" s="14" t="s">
        <v>4826</v>
      </c>
      <c r="EI150" s="14" t="s">
        <v>179</v>
      </c>
      <c r="EJ150" s="14" t="s">
        <v>4827</v>
      </c>
      <c r="EK150" s="14" t="s">
        <v>179</v>
      </c>
      <c r="EL150" s="14" t="s">
        <v>4827</v>
      </c>
      <c r="EM150" s="14" t="s">
        <v>179</v>
      </c>
      <c r="EN150" s="14" t="s">
        <v>4828</v>
      </c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6" t="s">
        <v>197</v>
      </c>
      <c r="FD150" s="17" t="s">
        <v>198</v>
      </c>
      <c r="FE150" s="18">
        <v>45723.38494212963</v>
      </c>
      <c r="FF150" s="19"/>
      <c r="FG150" s="19"/>
      <c r="FH150" s="21" t="s">
        <v>197</v>
      </c>
      <c r="FI150" s="17" t="s">
        <v>214</v>
      </c>
      <c r="FJ150" s="18">
        <v>45723.38494212963</v>
      </c>
      <c r="FK150" s="14" t="s">
        <v>4828</v>
      </c>
      <c r="FL150" s="14" t="s">
        <v>4829</v>
      </c>
      <c r="FM150" s="14" t="s">
        <v>4830</v>
      </c>
      <c r="FN150" s="14" t="s">
        <v>4831</v>
      </c>
      <c r="FO150" s="14" t="s">
        <v>4832</v>
      </c>
      <c r="FP150" s="19" t="str">
        <f t="shared" si="1"/>
        <v>Base de Dados_Images/BC9204.Imagem do Equipamento-.123232.jpg</v>
      </c>
      <c r="FQ150" s="19"/>
      <c r="FR150" s="19"/>
    </row>
    <row r="151" ht="15.75" customHeight="1">
      <c r="A151" s="12" t="s">
        <v>547</v>
      </c>
      <c r="B151" s="12" t="s">
        <v>4833</v>
      </c>
      <c r="C151" s="24" t="s">
        <v>512</v>
      </c>
      <c r="D151" s="28" t="s">
        <v>4834</v>
      </c>
      <c r="E151" s="22" t="s">
        <v>4835</v>
      </c>
      <c r="F151" s="13" t="s">
        <v>178</v>
      </c>
      <c r="G151" s="14" t="s">
        <v>179</v>
      </c>
      <c r="H151" s="14" t="s">
        <v>4836</v>
      </c>
      <c r="I151" s="14" t="s">
        <v>179</v>
      </c>
      <c r="J151" s="14" t="s">
        <v>4837</v>
      </c>
      <c r="K151" s="14" t="s">
        <v>179</v>
      </c>
      <c r="L151" s="14" t="s">
        <v>4838</v>
      </c>
      <c r="M151" s="14" t="s">
        <v>179</v>
      </c>
      <c r="N151" s="14" t="s">
        <v>4839</v>
      </c>
      <c r="O151" s="14" t="s">
        <v>179</v>
      </c>
      <c r="P151" s="14" t="s">
        <v>4840</v>
      </c>
      <c r="Q151" s="14" t="s">
        <v>179</v>
      </c>
      <c r="R151" s="14" t="s">
        <v>4841</v>
      </c>
      <c r="S151" s="14" t="s">
        <v>179</v>
      </c>
      <c r="T151" s="14" t="s">
        <v>4842</v>
      </c>
      <c r="U151" s="14" t="s">
        <v>179</v>
      </c>
      <c r="V151" s="14" t="s">
        <v>4843</v>
      </c>
      <c r="W151" s="14" t="s">
        <v>179</v>
      </c>
      <c r="X151" s="14" t="s">
        <v>4844</v>
      </c>
      <c r="Y151" s="14" t="s">
        <v>179</v>
      </c>
      <c r="Z151" s="14" t="s">
        <v>4845</v>
      </c>
      <c r="AA151" s="14" t="s">
        <v>179</v>
      </c>
      <c r="AB151" s="14" t="s">
        <v>4846</v>
      </c>
      <c r="AC151" s="14" t="s">
        <v>179</v>
      </c>
      <c r="AD151" s="14" t="s">
        <v>4847</v>
      </c>
      <c r="AE151" s="14" t="s">
        <v>179</v>
      </c>
      <c r="AF151" s="14" t="s">
        <v>4848</v>
      </c>
      <c r="AG151" s="14" t="s">
        <v>179</v>
      </c>
      <c r="AH151" s="14" t="s">
        <v>4849</v>
      </c>
      <c r="AI151" s="14" t="s">
        <v>179</v>
      </c>
      <c r="AJ151" s="14" t="s">
        <v>4850</v>
      </c>
      <c r="AK151" s="14" t="s">
        <v>179</v>
      </c>
      <c r="AL151" s="14" t="s">
        <v>4851</v>
      </c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6" t="s">
        <v>197</v>
      </c>
      <c r="BP151" s="17" t="s">
        <v>198</v>
      </c>
      <c r="BQ151" s="18">
        <v>45681.421377314815</v>
      </c>
      <c r="BR151" s="17" t="s">
        <v>198</v>
      </c>
      <c r="BS151" s="18">
        <v>45681.42155092592</v>
      </c>
      <c r="BT151" s="17" t="s">
        <v>198</v>
      </c>
      <c r="BU151" s="18">
        <v>45681.42155092592</v>
      </c>
      <c r="BV151" s="13" t="s">
        <v>199</v>
      </c>
      <c r="BW151" s="14" t="s">
        <v>179</v>
      </c>
      <c r="BX151" s="14" t="s">
        <v>4852</v>
      </c>
      <c r="BY151" s="14" t="s">
        <v>179</v>
      </c>
      <c r="BZ151" s="14" t="s">
        <v>4853</v>
      </c>
      <c r="CA151" s="14" t="s">
        <v>179</v>
      </c>
      <c r="CB151" s="14" t="s">
        <v>4854</v>
      </c>
      <c r="CC151" s="14" t="s">
        <v>179</v>
      </c>
      <c r="CD151" s="14" t="s">
        <v>4855</v>
      </c>
      <c r="CE151" s="14" t="s">
        <v>179</v>
      </c>
      <c r="CF151" s="14" t="s">
        <v>4856</v>
      </c>
      <c r="CG151" s="14" t="s">
        <v>179</v>
      </c>
      <c r="CH151" s="14" t="s">
        <v>4857</v>
      </c>
      <c r="CI151" s="19"/>
      <c r="CJ151" s="15"/>
      <c r="CK151" s="19"/>
      <c r="CL151" s="15"/>
      <c r="CM151" s="19"/>
      <c r="CN151" s="15"/>
      <c r="CO151" s="19"/>
      <c r="CP151" s="15"/>
      <c r="CQ151" s="15"/>
      <c r="CR151" s="15"/>
      <c r="CS151" s="19"/>
      <c r="CT151" s="15"/>
      <c r="CU151" s="19"/>
      <c r="CV151" s="15"/>
      <c r="CW151" s="19"/>
      <c r="CX151" s="15"/>
      <c r="CY151" s="19"/>
      <c r="CZ151" s="15"/>
      <c r="DA151" s="16" t="s">
        <v>197</v>
      </c>
      <c r="DB151" s="17" t="s">
        <v>198</v>
      </c>
      <c r="DC151" s="20">
        <v>45692.64790509259</v>
      </c>
      <c r="DD151" s="17" t="s">
        <v>198</v>
      </c>
      <c r="DE151" s="18">
        <v>45692.64800925926</v>
      </c>
      <c r="DF151" s="17" t="s">
        <v>198</v>
      </c>
      <c r="DG151" s="18">
        <v>45692.64800925926</v>
      </c>
      <c r="DH151" s="13" t="s">
        <v>205</v>
      </c>
      <c r="DI151" s="14" t="s">
        <v>179</v>
      </c>
      <c r="DJ151" s="14" t="s">
        <v>4858</v>
      </c>
      <c r="DK151" s="14" t="s">
        <v>179</v>
      </c>
      <c r="DL151" s="14" t="s">
        <v>4859</v>
      </c>
      <c r="DM151" s="14" t="s">
        <v>179</v>
      </c>
      <c r="DN151" s="14" t="s">
        <v>4860</v>
      </c>
      <c r="DO151" s="14" t="s">
        <v>179</v>
      </c>
      <c r="DP151" s="14" t="s">
        <v>4861</v>
      </c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6" t="s">
        <v>197</v>
      </c>
      <c r="ED151" s="17" t="s">
        <v>198</v>
      </c>
      <c r="EE151" s="18">
        <v>45721.49431712963</v>
      </c>
      <c r="EF151" s="13" t="s">
        <v>209</v>
      </c>
      <c r="EG151" s="14" t="s">
        <v>179</v>
      </c>
      <c r="EH151" s="14" t="s">
        <v>4862</v>
      </c>
      <c r="EI151" s="14" t="s">
        <v>179</v>
      </c>
      <c r="EJ151" s="14" t="s">
        <v>4862</v>
      </c>
      <c r="EK151" s="14" t="s">
        <v>179</v>
      </c>
      <c r="EL151" s="14" t="s">
        <v>4863</v>
      </c>
      <c r="EM151" s="14" t="s">
        <v>179</v>
      </c>
      <c r="EN151" s="14" t="s">
        <v>4864</v>
      </c>
      <c r="EO151" s="15"/>
      <c r="EP151" s="15"/>
      <c r="EQ151" s="15"/>
      <c r="ER151" s="15"/>
      <c r="ES151" s="15"/>
      <c r="ET151" s="15"/>
      <c r="EU151" s="15"/>
      <c r="EV151" s="15"/>
      <c r="EW151" s="15"/>
      <c r="EX151" s="15"/>
      <c r="EY151" s="15"/>
      <c r="EZ151" s="15"/>
      <c r="FA151" s="15"/>
      <c r="FB151" s="15"/>
      <c r="FC151" s="16" t="s">
        <v>197</v>
      </c>
      <c r="FD151" s="17" t="s">
        <v>198</v>
      </c>
      <c r="FE151" s="18">
        <v>45721.49439814815</v>
      </c>
      <c r="FF151" s="19"/>
      <c r="FG151" s="19"/>
      <c r="FH151" s="21" t="s">
        <v>197</v>
      </c>
      <c r="FI151" s="17" t="s">
        <v>214</v>
      </c>
      <c r="FJ151" s="18">
        <v>45721.49439814815</v>
      </c>
      <c r="FK151" s="14" t="s">
        <v>4864</v>
      </c>
      <c r="FL151" s="14" t="s">
        <v>4865</v>
      </c>
      <c r="FM151" s="14" t="s">
        <v>4866</v>
      </c>
      <c r="FN151" s="14" t="s">
        <v>4867</v>
      </c>
      <c r="FO151" s="14" t="s">
        <v>4868</v>
      </c>
      <c r="FP151" s="19" t="str">
        <f t="shared" si="1"/>
        <v>Base de Dados_Images/BC9205.Imagem do Equipamento-.110844.jpg</v>
      </c>
      <c r="FQ151" s="19"/>
      <c r="FR151" s="19"/>
    </row>
    <row r="152" ht="15.75" customHeight="1">
      <c r="A152" s="12" t="s">
        <v>357</v>
      </c>
      <c r="B152" s="12" t="s">
        <v>4833</v>
      </c>
      <c r="C152" s="24" t="s">
        <v>512</v>
      </c>
      <c r="D152" s="28" t="s">
        <v>4869</v>
      </c>
      <c r="E152" s="22" t="s">
        <v>4870</v>
      </c>
      <c r="F152" s="13" t="s">
        <v>178</v>
      </c>
      <c r="G152" s="14" t="s">
        <v>179</v>
      </c>
      <c r="H152" s="14" t="s">
        <v>4871</v>
      </c>
      <c r="I152" s="14" t="s">
        <v>179</v>
      </c>
      <c r="J152" s="14" t="s">
        <v>4872</v>
      </c>
      <c r="K152" s="14" t="s">
        <v>179</v>
      </c>
      <c r="L152" s="14" t="s">
        <v>4873</v>
      </c>
      <c r="M152" s="14" t="s">
        <v>179</v>
      </c>
      <c r="N152" s="14" t="s">
        <v>4874</v>
      </c>
      <c r="O152" s="14" t="s">
        <v>179</v>
      </c>
      <c r="P152" s="14" t="s">
        <v>4874</v>
      </c>
      <c r="Q152" s="14" t="s">
        <v>179</v>
      </c>
      <c r="R152" s="14" t="s">
        <v>4875</v>
      </c>
      <c r="S152" s="14" t="s">
        <v>179</v>
      </c>
      <c r="T152" s="14" t="s">
        <v>4876</v>
      </c>
      <c r="U152" s="14" t="s">
        <v>179</v>
      </c>
      <c r="V152" s="14" t="s">
        <v>4877</v>
      </c>
      <c r="W152" s="14" t="s">
        <v>179</v>
      </c>
      <c r="X152" s="14" t="s">
        <v>4878</v>
      </c>
      <c r="Y152" s="14" t="s">
        <v>179</v>
      </c>
      <c r="Z152" s="14" t="s">
        <v>4878</v>
      </c>
      <c r="AA152" s="14" t="s">
        <v>179</v>
      </c>
      <c r="AB152" s="14" t="s">
        <v>4879</v>
      </c>
      <c r="AC152" s="14" t="s">
        <v>179</v>
      </c>
      <c r="AD152" s="14" t="s">
        <v>4880</v>
      </c>
      <c r="AE152" s="14" t="s">
        <v>179</v>
      </c>
      <c r="AF152" s="14" t="s">
        <v>4881</v>
      </c>
      <c r="AG152" s="14" t="s">
        <v>179</v>
      </c>
      <c r="AH152" s="14" t="s">
        <v>4882</v>
      </c>
      <c r="AI152" s="14" t="s">
        <v>179</v>
      </c>
      <c r="AJ152" s="14" t="s">
        <v>4883</v>
      </c>
      <c r="AK152" s="14" t="s">
        <v>179</v>
      </c>
      <c r="AL152" s="14" t="s">
        <v>4884</v>
      </c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6" t="s">
        <v>197</v>
      </c>
      <c r="BP152" s="17" t="s">
        <v>198</v>
      </c>
      <c r="BQ152" s="18">
        <v>45715.5633912037</v>
      </c>
      <c r="BR152" s="17" t="s">
        <v>198</v>
      </c>
      <c r="BS152" s="18">
        <v>45715.56350694445</v>
      </c>
      <c r="BT152" s="17" t="s">
        <v>198</v>
      </c>
      <c r="BU152" s="18">
        <v>45715.56350694445</v>
      </c>
      <c r="BV152" s="13" t="s">
        <v>199</v>
      </c>
      <c r="BW152" s="14" t="s">
        <v>179</v>
      </c>
      <c r="BX152" s="14" t="s">
        <v>4885</v>
      </c>
      <c r="BY152" s="14" t="s">
        <v>179</v>
      </c>
      <c r="BZ152" s="14" t="s">
        <v>4886</v>
      </c>
      <c r="CA152" s="14" t="s">
        <v>179</v>
      </c>
      <c r="CB152" s="14" t="s">
        <v>4887</v>
      </c>
      <c r="CC152" s="14" t="s">
        <v>179</v>
      </c>
      <c r="CD152" s="14" t="s">
        <v>4888</v>
      </c>
      <c r="CE152" s="14" t="s">
        <v>179</v>
      </c>
      <c r="CF152" s="14" t="s">
        <v>4889</v>
      </c>
      <c r="CG152" s="14" t="s">
        <v>179</v>
      </c>
      <c r="CH152" s="14" t="s">
        <v>4890</v>
      </c>
      <c r="CI152" s="19"/>
      <c r="CJ152" s="15"/>
      <c r="CK152" s="19"/>
      <c r="CL152" s="15"/>
      <c r="CM152" s="19"/>
      <c r="CN152" s="15"/>
      <c r="CO152" s="19"/>
      <c r="CP152" s="15"/>
      <c r="CQ152" s="15"/>
      <c r="CR152" s="15"/>
      <c r="CS152" s="19"/>
      <c r="CT152" s="15"/>
      <c r="CU152" s="19"/>
      <c r="CV152" s="15"/>
      <c r="CW152" s="19"/>
      <c r="CX152" s="15"/>
      <c r="CY152" s="19"/>
      <c r="CZ152" s="15"/>
      <c r="DA152" s="16" t="s">
        <v>197</v>
      </c>
      <c r="DB152" s="17" t="s">
        <v>198</v>
      </c>
      <c r="DC152" s="20">
        <v>45721.69488425926</v>
      </c>
      <c r="DD152" s="17" t="s">
        <v>198</v>
      </c>
      <c r="DE152" s="18">
        <v>45721.69495370371</v>
      </c>
      <c r="DF152" s="17" t="s">
        <v>198</v>
      </c>
      <c r="DG152" s="18">
        <v>45721.69495370371</v>
      </c>
      <c r="DH152" s="13" t="s">
        <v>205</v>
      </c>
      <c r="DI152" s="14" t="s">
        <v>179</v>
      </c>
      <c r="DJ152" s="14" t="s">
        <v>4891</v>
      </c>
      <c r="DK152" s="14" t="s">
        <v>179</v>
      </c>
      <c r="DL152" s="14" t="s">
        <v>4891</v>
      </c>
      <c r="DM152" s="14" t="s">
        <v>179</v>
      </c>
      <c r="DN152" s="14" t="s">
        <v>4892</v>
      </c>
      <c r="DO152" s="14" t="s">
        <v>179</v>
      </c>
      <c r="DP152" s="14" t="s">
        <v>4893</v>
      </c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6" t="s">
        <v>197</v>
      </c>
      <c r="ED152" s="17" t="s">
        <v>198</v>
      </c>
      <c r="EE152" s="18">
        <v>45721.69511574074</v>
      </c>
      <c r="EF152" s="13" t="s">
        <v>209</v>
      </c>
      <c r="EG152" s="14" t="s">
        <v>179</v>
      </c>
      <c r="EH152" s="14" t="s">
        <v>4894</v>
      </c>
      <c r="EI152" s="14" t="s">
        <v>179</v>
      </c>
      <c r="EJ152" s="14" t="s">
        <v>4895</v>
      </c>
      <c r="EK152" s="14" t="s">
        <v>179</v>
      </c>
      <c r="EL152" s="14" t="s">
        <v>4896</v>
      </c>
      <c r="EM152" s="14" t="s">
        <v>179</v>
      </c>
      <c r="EN152" s="14" t="s">
        <v>4897</v>
      </c>
      <c r="EO152" s="15"/>
      <c r="EP152" s="15"/>
      <c r="EQ152" s="15"/>
      <c r="ER152" s="15"/>
      <c r="ES152" s="15"/>
      <c r="ET152" s="15"/>
      <c r="EU152" s="15"/>
      <c r="EV152" s="15"/>
      <c r="EW152" s="15"/>
      <c r="EX152" s="15"/>
      <c r="EY152" s="15"/>
      <c r="EZ152" s="15"/>
      <c r="FA152" s="15"/>
      <c r="FB152" s="15"/>
      <c r="FC152" s="16" t="s">
        <v>197</v>
      </c>
      <c r="FD152" s="17" t="s">
        <v>198</v>
      </c>
      <c r="FE152" s="18">
        <v>45722.50454861111</v>
      </c>
      <c r="FF152" s="19"/>
      <c r="FG152" s="19"/>
      <c r="FH152" s="21" t="s">
        <v>197</v>
      </c>
      <c r="FI152" s="17" t="s">
        <v>214</v>
      </c>
      <c r="FJ152" s="18">
        <v>45722.50454861111</v>
      </c>
      <c r="FK152" s="14" t="s">
        <v>4897</v>
      </c>
      <c r="FL152" s="19"/>
      <c r="FM152" s="19"/>
      <c r="FN152" s="19"/>
      <c r="FO152" s="19"/>
      <c r="FP152" s="19" t="str">
        <f t="shared" si="1"/>
        <v/>
      </c>
      <c r="FQ152" s="14" t="s">
        <v>215</v>
      </c>
      <c r="FR152" s="14" t="s">
        <v>4898</v>
      </c>
    </row>
    <row r="153" ht="15.75" customHeight="1">
      <c r="A153" s="12" t="s">
        <v>357</v>
      </c>
      <c r="B153" s="12" t="s">
        <v>4833</v>
      </c>
      <c r="C153" s="24" t="s">
        <v>512</v>
      </c>
      <c r="D153" s="22" t="s">
        <v>4899</v>
      </c>
      <c r="E153" s="22" t="s">
        <v>4835</v>
      </c>
      <c r="F153" s="13" t="s">
        <v>178</v>
      </c>
      <c r="G153" s="14" t="s">
        <v>179</v>
      </c>
      <c r="H153" s="14" t="s">
        <v>4900</v>
      </c>
      <c r="I153" s="14" t="s">
        <v>179</v>
      </c>
      <c r="J153" s="14" t="s">
        <v>4901</v>
      </c>
      <c r="K153" s="14" t="s">
        <v>179</v>
      </c>
      <c r="L153" s="14" t="s">
        <v>4902</v>
      </c>
      <c r="M153" s="14" t="s">
        <v>179</v>
      </c>
      <c r="N153" s="14" t="s">
        <v>4903</v>
      </c>
      <c r="O153" s="14" t="s">
        <v>179</v>
      </c>
      <c r="P153" s="14" t="s">
        <v>4904</v>
      </c>
      <c r="Q153" s="14" t="s">
        <v>179</v>
      </c>
      <c r="R153" s="14" t="s">
        <v>4905</v>
      </c>
      <c r="S153" s="14" t="s">
        <v>179</v>
      </c>
      <c r="T153" s="14" t="s">
        <v>4906</v>
      </c>
      <c r="U153" s="14" t="s">
        <v>179</v>
      </c>
      <c r="V153" s="14" t="s">
        <v>4907</v>
      </c>
      <c r="W153" s="14" t="s">
        <v>179</v>
      </c>
      <c r="X153" s="14" t="s">
        <v>4908</v>
      </c>
      <c r="Y153" s="14" t="s">
        <v>179</v>
      </c>
      <c r="Z153" s="14" t="s">
        <v>4909</v>
      </c>
      <c r="AA153" s="14" t="s">
        <v>179</v>
      </c>
      <c r="AB153" s="14" t="s">
        <v>4910</v>
      </c>
      <c r="AC153" s="14" t="s">
        <v>179</v>
      </c>
      <c r="AD153" s="14" t="s">
        <v>4911</v>
      </c>
      <c r="AE153" s="14" t="s">
        <v>179</v>
      </c>
      <c r="AF153" s="14" t="s">
        <v>4912</v>
      </c>
      <c r="AG153" s="14" t="s">
        <v>179</v>
      </c>
      <c r="AH153" s="14" t="s">
        <v>4913</v>
      </c>
      <c r="AI153" s="14" t="s">
        <v>179</v>
      </c>
      <c r="AJ153" s="14" t="s">
        <v>4914</v>
      </c>
      <c r="AK153" s="14" t="s">
        <v>179</v>
      </c>
      <c r="AL153" s="14" t="s">
        <v>4915</v>
      </c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6" t="s">
        <v>197</v>
      </c>
      <c r="BP153" s="17" t="s">
        <v>198</v>
      </c>
      <c r="BQ153" s="18">
        <v>45681.423425925925</v>
      </c>
      <c r="BR153" s="17" t="s">
        <v>198</v>
      </c>
      <c r="BS153" s="18">
        <v>45681.42354166666</v>
      </c>
      <c r="BT153" s="17" t="s">
        <v>198</v>
      </c>
      <c r="BU153" s="18">
        <v>45681.42354166666</v>
      </c>
      <c r="BV153" s="13" t="s">
        <v>199</v>
      </c>
      <c r="BW153" s="14" t="s">
        <v>179</v>
      </c>
      <c r="BX153" s="14" t="s">
        <v>4916</v>
      </c>
      <c r="BY153" s="14" t="s">
        <v>179</v>
      </c>
      <c r="BZ153" s="14" t="s">
        <v>4916</v>
      </c>
      <c r="CA153" s="14" t="s">
        <v>179</v>
      </c>
      <c r="CB153" s="14" t="s">
        <v>4917</v>
      </c>
      <c r="CC153" s="14" t="s">
        <v>179</v>
      </c>
      <c r="CD153" s="14" t="s">
        <v>4918</v>
      </c>
      <c r="CE153" s="14" t="s">
        <v>179</v>
      </c>
      <c r="CF153" s="14" t="s">
        <v>4919</v>
      </c>
      <c r="CG153" s="14" t="s">
        <v>179</v>
      </c>
      <c r="CH153" s="14" t="s">
        <v>4920</v>
      </c>
      <c r="CI153" s="19"/>
      <c r="CJ153" s="15"/>
      <c r="CK153" s="19"/>
      <c r="CL153" s="15"/>
      <c r="CM153" s="19"/>
      <c r="CN153" s="15"/>
      <c r="CO153" s="19"/>
      <c r="CP153" s="15"/>
      <c r="CQ153" s="15"/>
      <c r="CR153" s="15"/>
      <c r="CS153" s="19"/>
      <c r="CT153" s="15"/>
      <c r="CU153" s="19"/>
      <c r="CV153" s="15"/>
      <c r="CW153" s="19"/>
      <c r="CX153" s="15"/>
      <c r="CY153" s="19"/>
      <c r="CZ153" s="15"/>
      <c r="DA153" s="16" t="s">
        <v>197</v>
      </c>
      <c r="DB153" s="17" t="s">
        <v>198</v>
      </c>
      <c r="DC153" s="20">
        <v>45721.69525462963</v>
      </c>
      <c r="DD153" s="17" t="s">
        <v>198</v>
      </c>
      <c r="DE153" s="18">
        <v>45721.69530092592</v>
      </c>
      <c r="DF153" s="17" t="s">
        <v>198</v>
      </c>
      <c r="DG153" s="18">
        <v>45721.69530092592</v>
      </c>
      <c r="DH153" s="13" t="s">
        <v>205</v>
      </c>
      <c r="DI153" s="14" t="s">
        <v>179</v>
      </c>
      <c r="DJ153" s="14" t="s">
        <v>4921</v>
      </c>
      <c r="DK153" s="14" t="s">
        <v>179</v>
      </c>
      <c r="DL153" s="14" t="s">
        <v>4921</v>
      </c>
      <c r="DM153" s="14" t="s">
        <v>179</v>
      </c>
      <c r="DN153" s="14" t="s">
        <v>4922</v>
      </c>
      <c r="DO153" s="14" t="s">
        <v>179</v>
      </c>
      <c r="DP153" s="14" t="s">
        <v>4923</v>
      </c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6" t="s">
        <v>197</v>
      </c>
      <c r="ED153" s="17" t="s">
        <v>198</v>
      </c>
      <c r="EE153" s="18">
        <v>45722.39283564815</v>
      </c>
      <c r="EF153" s="13" t="s">
        <v>209</v>
      </c>
      <c r="EG153" s="14" t="s">
        <v>179</v>
      </c>
      <c r="EH153" s="14" t="s">
        <v>4924</v>
      </c>
      <c r="EI153" s="14" t="s">
        <v>179</v>
      </c>
      <c r="EJ153" s="14" t="s">
        <v>4925</v>
      </c>
      <c r="EK153" s="14" t="s">
        <v>179</v>
      </c>
      <c r="EL153" s="14" t="s">
        <v>4926</v>
      </c>
      <c r="EM153" s="14" t="s">
        <v>179</v>
      </c>
      <c r="EN153" s="14" t="s">
        <v>4927</v>
      </c>
      <c r="EO153" s="15"/>
      <c r="EP153" s="15"/>
      <c r="EQ153" s="15"/>
      <c r="ER153" s="15"/>
      <c r="ES153" s="15"/>
      <c r="ET153" s="15"/>
      <c r="EU153" s="15"/>
      <c r="EV153" s="15"/>
      <c r="EW153" s="15"/>
      <c r="EX153" s="15"/>
      <c r="EY153" s="15"/>
      <c r="EZ153" s="15"/>
      <c r="FA153" s="15"/>
      <c r="FB153" s="15"/>
      <c r="FC153" s="16" t="s">
        <v>197</v>
      </c>
      <c r="FD153" s="17" t="s">
        <v>198</v>
      </c>
      <c r="FE153" s="18">
        <v>45722.50486111111</v>
      </c>
      <c r="FF153" s="19"/>
      <c r="FG153" s="19"/>
      <c r="FH153" s="21" t="s">
        <v>197</v>
      </c>
      <c r="FI153" s="17" t="s">
        <v>214</v>
      </c>
      <c r="FJ153" s="18">
        <v>45722.50486111111</v>
      </c>
      <c r="FK153" s="14" t="s">
        <v>4927</v>
      </c>
      <c r="FL153" s="14" t="s">
        <v>4928</v>
      </c>
      <c r="FM153" s="14" t="s">
        <v>4929</v>
      </c>
      <c r="FN153" s="14" t="s">
        <v>4930</v>
      </c>
      <c r="FO153" s="14" t="s">
        <v>4931</v>
      </c>
      <c r="FP153" s="19" t="str">
        <f t="shared" si="1"/>
        <v>Base de Dados_Images/BC9206.Imagem do Equipamento-.111010.jpg</v>
      </c>
      <c r="FQ153" s="19"/>
      <c r="FR153" s="19"/>
    </row>
    <row r="154" ht="15.75" customHeight="1">
      <c r="A154" s="12" t="s">
        <v>357</v>
      </c>
      <c r="B154" s="12" t="s">
        <v>4833</v>
      </c>
      <c r="C154" s="24" t="s">
        <v>512</v>
      </c>
      <c r="D154" s="22" t="s">
        <v>4932</v>
      </c>
      <c r="E154" s="22" t="s">
        <v>4835</v>
      </c>
      <c r="F154" s="13" t="s">
        <v>178</v>
      </c>
      <c r="G154" s="14" t="s">
        <v>188</v>
      </c>
      <c r="H154" s="14" t="s">
        <v>4933</v>
      </c>
      <c r="I154" s="14" t="s">
        <v>188</v>
      </c>
      <c r="J154" s="14" t="s">
        <v>4934</v>
      </c>
      <c r="K154" s="14" t="s">
        <v>188</v>
      </c>
      <c r="L154" s="14" t="s">
        <v>4935</v>
      </c>
      <c r="M154" s="14" t="s">
        <v>188</v>
      </c>
      <c r="N154" s="14" t="s">
        <v>4936</v>
      </c>
      <c r="O154" s="14" t="s">
        <v>188</v>
      </c>
      <c r="P154" s="14" t="s">
        <v>4937</v>
      </c>
      <c r="Q154" s="14" t="s">
        <v>188</v>
      </c>
      <c r="R154" s="14" t="s">
        <v>4937</v>
      </c>
      <c r="S154" s="14" t="s">
        <v>188</v>
      </c>
      <c r="T154" s="14" t="s">
        <v>4938</v>
      </c>
      <c r="U154" s="14" t="s">
        <v>188</v>
      </c>
      <c r="V154" s="14" t="s">
        <v>4939</v>
      </c>
      <c r="W154" s="14" t="s">
        <v>188</v>
      </c>
      <c r="X154" s="14" t="s">
        <v>4940</v>
      </c>
      <c r="Y154" s="14" t="s">
        <v>188</v>
      </c>
      <c r="Z154" s="14" t="s">
        <v>4941</v>
      </c>
      <c r="AA154" s="14" t="s">
        <v>188</v>
      </c>
      <c r="AB154" s="14" t="s">
        <v>4942</v>
      </c>
      <c r="AC154" s="14" t="s">
        <v>188</v>
      </c>
      <c r="AD154" s="14" t="s">
        <v>4943</v>
      </c>
      <c r="AE154" s="14" t="s">
        <v>188</v>
      </c>
      <c r="AF154" s="14" t="s">
        <v>4944</v>
      </c>
      <c r="AG154" s="14" t="s">
        <v>188</v>
      </c>
      <c r="AH154" s="14" t="s">
        <v>4944</v>
      </c>
      <c r="AI154" s="14" t="s">
        <v>188</v>
      </c>
      <c r="AJ154" s="14" t="s">
        <v>4945</v>
      </c>
      <c r="AK154" s="14" t="s">
        <v>188</v>
      </c>
      <c r="AL154" s="14" t="s">
        <v>4946</v>
      </c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6" t="s">
        <v>197</v>
      </c>
      <c r="BP154" s="17" t="s">
        <v>198</v>
      </c>
      <c r="BQ154" s="18">
        <v>45719.46508101852</v>
      </c>
      <c r="BR154" s="17" t="s">
        <v>198</v>
      </c>
      <c r="BS154" s="18">
        <v>45719.465150462966</v>
      </c>
      <c r="BT154" s="17" t="s">
        <v>198</v>
      </c>
      <c r="BU154" s="18">
        <v>45719.465150462966</v>
      </c>
      <c r="BV154" s="13" t="s">
        <v>199</v>
      </c>
      <c r="BW154" s="14" t="s">
        <v>188</v>
      </c>
      <c r="BX154" s="14" t="s">
        <v>4947</v>
      </c>
      <c r="BY154" s="14" t="s">
        <v>188</v>
      </c>
      <c r="BZ154" s="14" t="s">
        <v>4948</v>
      </c>
      <c r="CA154" s="14" t="s">
        <v>188</v>
      </c>
      <c r="CB154" s="14" t="s">
        <v>4949</v>
      </c>
      <c r="CC154" s="14" t="s">
        <v>188</v>
      </c>
      <c r="CD154" s="14" t="s">
        <v>4950</v>
      </c>
      <c r="CE154" s="14" t="s">
        <v>188</v>
      </c>
      <c r="CF154" s="14" t="s">
        <v>4951</v>
      </c>
      <c r="CG154" s="14" t="s">
        <v>188</v>
      </c>
      <c r="CH154" s="14" t="s">
        <v>4952</v>
      </c>
      <c r="CI154" s="19"/>
      <c r="CJ154" s="15"/>
      <c r="CK154" s="19"/>
      <c r="CL154" s="15"/>
      <c r="CM154" s="19"/>
      <c r="CN154" s="15"/>
      <c r="CO154" s="19"/>
      <c r="CP154" s="15"/>
      <c r="CQ154" s="15"/>
      <c r="CR154" s="15"/>
      <c r="CS154" s="19"/>
      <c r="CT154" s="15"/>
      <c r="CU154" s="19"/>
      <c r="CV154" s="15"/>
      <c r="CW154" s="19"/>
      <c r="CX154" s="15"/>
      <c r="CY154" s="19"/>
      <c r="CZ154" s="15"/>
      <c r="DA154" s="16" t="s">
        <v>197</v>
      </c>
      <c r="DB154" s="17" t="s">
        <v>198</v>
      </c>
      <c r="DC154" s="20">
        <v>45719.465208333335</v>
      </c>
      <c r="DD154" s="17" t="s">
        <v>198</v>
      </c>
      <c r="DE154" s="18">
        <v>45719.46524305556</v>
      </c>
      <c r="DF154" s="17" t="s">
        <v>198</v>
      </c>
      <c r="DG154" s="18">
        <v>45719.46524305556</v>
      </c>
      <c r="DH154" s="13" t="s">
        <v>205</v>
      </c>
      <c r="DI154" s="14" t="s">
        <v>188</v>
      </c>
      <c r="DJ154" s="14" t="s">
        <v>4953</v>
      </c>
      <c r="DK154" s="14" t="s">
        <v>188</v>
      </c>
      <c r="DL154" s="14" t="s">
        <v>4954</v>
      </c>
      <c r="DM154" s="14" t="s">
        <v>188</v>
      </c>
      <c r="DN154" s="14" t="s">
        <v>4955</v>
      </c>
      <c r="DO154" s="14" t="s">
        <v>188</v>
      </c>
      <c r="DP154" s="14" t="s">
        <v>4955</v>
      </c>
      <c r="DQ154" s="15"/>
      <c r="DR154" s="15"/>
      <c r="DS154" s="15"/>
      <c r="DT154" s="15"/>
      <c r="DU154" s="15"/>
      <c r="DV154" s="15"/>
      <c r="DW154" s="15"/>
      <c r="DX154" s="15"/>
      <c r="DY154" s="15"/>
      <c r="DZ154" s="15"/>
      <c r="EA154" s="15"/>
      <c r="EB154" s="15"/>
      <c r="EC154" s="16" t="s">
        <v>197</v>
      </c>
      <c r="ED154" s="17" t="s">
        <v>198</v>
      </c>
      <c r="EE154" s="18">
        <v>45719.4653125</v>
      </c>
      <c r="EF154" s="13" t="s">
        <v>209</v>
      </c>
      <c r="EG154" s="14" t="s">
        <v>179</v>
      </c>
      <c r="EH154" s="14" t="s">
        <v>4956</v>
      </c>
      <c r="EI154" s="14" t="s">
        <v>179</v>
      </c>
      <c r="EJ154" s="14" t="s">
        <v>4957</v>
      </c>
      <c r="EK154" s="14" t="s">
        <v>179</v>
      </c>
      <c r="EL154" s="14" t="s">
        <v>4958</v>
      </c>
      <c r="EM154" s="14" t="s">
        <v>179</v>
      </c>
      <c r="EN154" s="14" t="s">
        <v>4959</v>
      </c>
      <c r="EO154" s="15"/>
      <c r="EP154" s="15"/>
      <c r="EQ154" s="15"/>
      <c r="ER154" s="15"/>
      <c r="ES154" s="15"/>
      <c r="ET154" s="15"/>
      <c r="EU154" s="15"/>
      <c r="EV154" s="15"/>
      <c r="EW154" s="15"/>
      <c r="EX154" s="15"/>
      <c r="EY154" s="15"/>
      <c r="EZ154" s="15"/>
      <c r="FA154" s="15"/>
      <c r="FB154" s="15"/>
      <c r="FC154" s="16" t="s">
        <v>197</v>
      </c>
      <c r="FD154" s="17" t="s">
        <v>198</v>
      </c>
      <c r="FE154" s="18">
        <v>45722.50494212963</v>
      </c>
      <c r="FF154" s="14" t="s">
        <v>4960</v>
      </c>
      <c r="FG154" s="19"/>
      <c r="FH154" s="17" t="s">
        <v>198</v>
      </c>
      <c r="FI154" s="17" t="s">
        <v>214</v>
      </c>
      <c r="FJ154" s="18">
        <v>45722.50494212963</v>
      </c>
      <c r="FK154" s="14" t="s">
        <v>4959</v>
      </c>
      <c r="FL154" s="14"/>
      <c r="FM154" s="14"/>
      <c r="FN154" s="14"/>
      <c r="FO154" s="14"/>
      <c r="FP154" s="19" t="str">
        <f t="shared" si="1"/>
        <v/>
      </c>
      <c r="FQ154" s="14" t="s">
        <v>215</v>
      </c>
      <c r="FR154" s="14" t="s">
        <v>4961</v>
      </c>
    </row>
    <row r="155" ht="15.75" customHeight="1">
      <c r="A155" s="12" t="s">
        <v>357</v>
      </c>
      <c r="B155" s="12" t="s">
        <v>4962</v>
      </c>
      <c r="C155" s="24" t="s">
        <v>512</v>
      </c>
      <c r="D155" s="22" t="s">
        <v>4963</v>
      </c>
      <c r="E155" s="22" t="s">
        <v>4964</v>
      </c>
      <c r="F155" s="13" t="s">
        <v>178</v>
      </c>
      <c r="G155" s="14" t="s">
        <v>179</v>
      </c>
      <c r="H155" s="14" t="s">
        <v>4965</v>
      </c>
      <c r="I155" s="14" t="s">
        <v>179</v>
      </c>
      <c r="J155" s="14" t="s">
        <v>4966</v>
      </c>
      <c r="K155" s="14" t="s">
        <v>179</v>
      </c>
      <c r="L155" s="14" t="s">
        <v>4967</v>
      </c>
      <c r="M155" s="14" t="s">
        <v>179</v>
      </c>
      <c r="N155" s="14" t="s">
        <v>4968</v>
      </c>
      <c r="O155" s="14" t="s">
        <v>179</v>
      </c>
      <c r="P155" s="14" t="s">
        <v>4969</v>
      </c>
      <c r="Q155" s="14" t="s">
        <v>179</v>
      </c>
      <c r="R155" s="14" t="s">
        <v>4970</v>
      </c>
      <c r="S155" s="14" t="s">
        <v>179</v>
      </c>
      <c r="T155" s="14" t="s">
        <v>4971</v>
      </c>
      <c r="U155" s="14" t="s">
        <v>179</v>
      </c>
      <c r="V155" s="14" t="s">
        <v>4972</v>
      </c>
      <c r="W155" s="14" t="s">
        <v>179</v>
      </c>
      <c r="X155" s="14" t="s">
        <v>4973</v>
      </c>
      <c r="Y155" s="14" t="s">
        <v>179</v>
      </c>
      <c r="Z155" s="14" t="s">
        <v>4974</v>
      </c>
      <c r="AA155" s="14" t="s">
        <v>179</v>
      </c>
      <c r="AB155" s="14" t="s">
        <v>4975</v>
      </c>
      <c r="AC155" s="14" t="s">
        <v>179</v>
      </c>
      <c r="AD155" s="14" t="s">
        <v>4976</v>
      </c>
      <c r="AE155" s="14" t="s">
        <v>179</v>
      </c>
      <c r="AF155" s="14" t="s">
        <v>4977</v>
      </c>
      <c r="AG155" s="14" t="s">
        <v>179</v>
      </c>
      <c r="AH155" s="14" t="s">
        <v>4978</v>
      </c>
      <c r="AI155" s="14" t="s">
        <v>179</v>
      </c>
      <c r="AJ155" s="14" t="s">
        <v>4979</v>
      </c>
      <c r="AK155" s="14" t="s">
        <v>179</v>
      </c>
      <c r="AL155" s="14" t="s">
        <v>4980</v>
      </c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6" t="s">
        <v>197</v>
      </c>
      <c r="BP155" s="17" t="s">
        <v>198</v>
      </c>
      <c r="BQ155" s="18">
        <v>45681.4262962963</v>
      </c>
      <c r="BR155" s="17" t="s">
        <v>198</v>
      </c>
      <c r="BS155" s="18">
        <v>45681.426412037035</v>
      </c>
      <c r="BT155" s="17" t="s">
        <v>198</v>
      </c>
      <c r="BU155" s="18">
        <v>45681.426412037035</v>
      </c>
      <c r="BV155" s="13" t="s">
        <v>199</v>
      </c>
      <c r="BW155" s="14" t="s">
        <v>179</v>
      </c>
      <c r="BX155" s="14" t="s">
        <v>4981</v>
      </c>
      <c r="BY155" s="14" t="s">
        <v>179</v>
      </c>
      <c r="BZ155" s="14" t="s">
        <v>4982</v>
      </c>
      <c r="CA155" s="14" t="s">
        <v>179</v>
      </c>
      <c r="CB155" s="14" t="s">
        <v>4983</v>
      </c>
      <c r="CC155" s="14" t="s">
        <v>179</v>
      </c>
      <c r="CD155" s="14" t="s">
        <v>4984</v>
      </c>
      <c r="CE155" s="14" t="s">
        <v>179</v>
      </c>
      <c r="CF155" s="14" t="s">
        <v>4985</v>
      </c>
      <c r="CG155" s="14" t="s">
        <v>179</v>
      </c>
      <c r="CH155" s="14" t="s">
        <v>4986</v>
      </c>
      <c r="CI155" s="19"/>
      <c r="CJ155" s="15"/>
      <c r="CK155" s="19"/>
      <c r="CL155" s="15"/>
      <c r="CM155" s="19"/>
      <c r="CN155" s="15"/>
      <c r="CO155" s="19"/>
      <c r="CP155" s="15"/>
      <c r="CQ155" s="15"/>
      <c r="CR155" s="15"/>
      <c r="CS155" s="19"/>
      <c r="CT155" s="15"/>
      <c r="CU155" s="19"/>
      <c r="CV155" s="15"/>
      <c r="CW155" s="19"/>
      <c r="CX155" s="15"/>
      <c r="CY155" s="19"/>
      <c r="CZ155" s="15"/>
      <c r="DA155" s="16" t="s">
        <v>197</v>
      </c>
      <c r="DB155" s="17" t="s">
        <v>198</v>
      </c>
      <c r="DC155" s="20">
        <v>45699.489074074074</v>
      </c>
      <c r="DD155" s="17" t="s">
        <v>198</v>
      </c>
      <c r="DE155" s="18">
        <v>45699.489212962966</v>
      </c>
      <c r="DF155" s="17" t="s">
        <v>198</v>
      </c>
      <c r="DG155" s="18">
        <v>45699.489212962966</v>
      </c>
      <c r="DH155" s="13" t="s">
        <v>205</v>
      </c>
      <c r="DI155" s="14" t="s">
        <v>179</v>
      </c>
      <c r="DJ155" s="14" t="s">
        <v>4987</v>
      </c>
      <c r="DK155" s="14" t="s">
        <v>179</v>
      </c>
      <c r="DL155" s="14" t="s">
        <v>4988</v>
      </c>
      <c r="DM155" s="14" t="s">
        <v>179</v>
      </c>
      <c r="DN155" s="14" t="s">
        <v>4989</v>
      </c>
      <c r="DO155" s="14" t="s">
        <v>179</v>
      </c>
      <c r="DP155" s="14" t="s">
        <v>4989</v>
      </c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6" t="s">
        <v>197</v>
      </c>
      <c r="ED155" s="17" t="s">
        <v>198</v>
      </c>
      <c r="EE155" s="18">
        <v>45705.51584490741</v>
      </c>
      <c r="EF155" s="13" t="s">
        <v>209</v>
      </c>
      <c r="EG155" s="14" t="s">
        <v>179</v>
      </c>
      <c r="EH155" s="14" t="s">
        <v>4990</v>
      </c>
      <c r="EI155" s="14" t="s">
        <v>179</v>
      </c>
      <c r="EJ155" s="14" t="s">
        <v>4990</v>
      </c>
      <c r="EK155" s="14" t="s">
        <v>179</v>
      </c>
      <c r="EL155" s="14" t="s">
        <v>4991</v>
      </c>
      <c r="EM155" s="14" t="s">
        <v>179</v>
      </c>
      <c r="EN155" s="14" t="s">
        <v>4992</v>
      </c>
      <c r="EO155" s="15"/>
      <c r="EP155" s="15"/>
      <c r="EQ155" s="15"/>
      <c r="ER155" s="15"/>
      <c r="ES155" s="15"/>
      <c r="ET155" s="15"/>
      <c r="EU155" s="15"/>
      <c r="EV155" s="15"/>
      <c r="EW155" s="15"/>
      <c r="EX155" s="15"/>
      <c r="EY155" s="15"/>
      <c r="EZ155" s="15"/>
      <c r="FA155" s="15"/>
      <c r="FB155" s="15"/>
      <c r="FC155" s="16" t="s">
        <v>197</v>
      </c>
      <c r="FD155" s="17" t="s">
        <v>198</v>
      </c>
      <c r="FE155" s="18">
        <v>45723.36335648148</v>
      </c>
      <c r="FF155" s="19"/>
      <c r="FG155" s="19"/>
      <c r="FH155" s="21" t="s">
        <v>197</v>
      </c>
      <c r="FI155" s="17" t="s">
        <v>214</v>
      </c>
      <c r="FJ155" s="18">
        <v>45723.36335648148</v>
      </c>
      <c r="FK155" s="14" t="s">
        <v>4992</v>
      </c>
      <c r="FL155" s="14" t="s">
        <v>4993</v>
      </c>
      <c r="FM155" s="14" t="s">
        <v>4994</v>
      </c>
      <c r="FN155" s="14" t="s">
        <v>4995</v>
      </c>
      <c r="FO155" s="14" t="s">
        <v>4996</v>
      </c>
      <c r="FP155" s="19" t="str">
        <f t="shared" si="1"/>
        <v>Base de Dados_Images/BC9208.Imagem do Equipamento-.111156.jpg</v>
      </c>
      <c r="FQ155" s="19"/>
      <c r="FR155" s="19"/>
    </row>
    <row r="156" ht="15.75" customHeight="1">
      <c r="A156" s="12" t="s">
        <v>357</v>
      </c>
      <c r="B156" s="12" t="s">
        <v>4962</v>
      </c>
      <c r="C156" s="24" t="s">
        <v>512</v>
      </c>
      <c r="D156" s="22" t="s">
        <v>4997</v>
      </c>
      <c r="E156" s="22" t="s">
        <v>4964</v>
      </c>
      <c r="F156" s="13" t="s">
        <v>178</v>
      </c>
      <c r="G156" s="14" t="s">
        <v>179</v>
      </c>
      <c r="H156" s="14" t="s">
        <v>4998</v>
      </c>
      <c r="I156" s="14" t="s">
        <v>179</v>
      </c>
      <c r="J156" s="14" t="s">
        <v>4999</v>
      </c>
      <c r="K156" s="14" t="s">
        <v>179</v>
      </c>
      <c r="L156" s="14" t="s">
        <v>5000</v>
      </c>
      <c r="M156" s="14" t="s">
        <v>179</v>
      </c>
      <c r="N156" s="14" t="s">
        <v>5001</v>
      </c>
      <c r="O156" s="14" t="s">
        <v>179</v>
      </c>
      <c r="P156" s="14" t="s">
        <v>5002</v>
      </c>
      <c r="Q156" s="14" t="s">
        <v>179</v>
      </c>
      <c r="R156" s="14" t="s">
        <v>5003</v>
      </c>
      <c r="S156" s="14" t="s">
        <v>179</v>
      </c>
      <c r="T156" s="14" t="s">
        <v>5004</v>
      </c>
      <c r="U156" s="14" t="s">
        <v>179</v>
      </c>
      <c r="V156" s="14" t="s">
        <v>5005</v>
      </c>
      <c r="W156" s="14" t="s">
        <v>179</v>
      </c>
      <c r="X156" s="14" t="s">
        <v>5006</v>
      </c>
      <c r="Y156" s="14" t="s">
        <v>179</v>
      </c>
      <c r="Z156" s="14" t="s">
        <v>5007</v>
      </c>
      <c r="AA156" s="14" t="s">
        <v>179</v>
      </c>
      <c r="AB156" s="14" t="s">
        <v>5008</v>
      </c>
      <c r="AC156" s="14" t="s">
        <v>179</v>
      </c>
      <c r="AD156" s="14" t="s">
        <v>5009</v>
      </c>
      <c r="AE156" s="14" t="s">
        <v>179</v>
      </c>
      <c r="AF156" s="14" t="s">
        <v>5010</v>
      </c>
      <c r="AG156" s="14" t="s">
        <v>179</v>
      </c>
      <c r="AH156" s="14" t="s">
        <v>5011</v>
      </c>
      <c r="AI156" s="14" t="s">
        <v>179</v>
      </c>
      <c r="AJ156" s="14" t="s">
        <v>5012</v>
      </c>
      <c r="AK156" s="14" t="s">
        <v>179</v>
      </c>
      <c r="AL156" s="14" t="s">
        <v>5013</v>
      </c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6" t="s">
        <v>197</v>
      </c>
      <c r="BP156" s="17" t="s">
        <v>198</v>
      </c>
      <c r="BQ156" s="18">
        <v>45681.42978009259</v>
      </c>
      <c r="BR156" s="17" t="s">
        <v>198</v>
      </c>
      <c r="BS156" s="18">
        <v>45681.42994212963</v>
      </c>
      <c r="BT156" s="17" t="s">
        <v>198</v>
      </c>
      <c r="BU156" s="18">
        <v>45681.42994212963</v>
      </c>
      <c r="BV156" s="13" t="s">
        <v>199</v>
      </c>
      <c r="BW156" s="14" t="s">
        <v>179</v>
      </c>
      <c r="BX156" s="14" t="s">
        <v>5014</v>
      </c>
      <c r="BY156" s="14" t="s">
        <v>179</v>
      </c>
      <c r="BZ156" s="14" t="s">
        <v>5015</v>
      </c>
      <c r="CA156" s="14" t="s">
        <v>179</v>
      </c>
      <c r="CB156" s="14" t="s">
        <v>5016</v>
      </c>
      <c r="CC156" s="14" t="s">
        <v>179</v>
      </c>
      <c r="CD156" s="14" t="s">
        <v>5017</v>
      </c>
      <c r="CE156" s="14" t="s">
        <v>179</v>
      </c>
      <c r="CF156" s="14" t="s">
        <v>5018</v>
      </c>
      <c r="CG156" s="14" t="s">
        <v>179</v>
      </c>
      <c r="CH156" s="14" t="s">
        <v>5019</v>
      </c>
      <c r="CI156" s="19"/>
      <c r="CJ156" s="15"/>
      <c r="CK156" s="19"/>
      <c r="CL156" s="15"/>
      <c r="CM156" s="19"/>
      <c r="CN156" s="15"/>
      <c r="CO156" s="19"/>
      <c r="CP156" s="15"/>
      <c r="CQ156" s="15"/>
      <c r="CR156" s="15"/>
      <c r="CS156" s="19"/>
      <c r="CT156" s="15"/>
      <c r="CU156" s="19"/>
      <c r="CV156" s="15"/>
      <c r="CW156" s="19"/>
      <c r="CX156" s="15"/>
      <c r="CY156" s="19"/>
      <c r="CZ156" s="15"/>
      <c r="DA156" s="16" t="s">
        <v>197</v>
      </c>
      <c r="DB156" s="17" t="s">
        <v>198</v>
      </c>
      <c r="DC156" s="20">
        <v>45699.489375</v>
      </c>
      <c r="DD156" s="17" t="s">
        <v>198</v>
      </c>
      <c r="DE156" s="18">
        <v>45699.48945601852</v>
      </c>
      <c r="DF156" s="17" t="s">
        <v>198</v>
      </c>
      <c r="DG156" s="18">
        <v>45699.48945601852</v>
      </c>
      <c r="DH156" s="13" t="s">
        <v>205</v>
      </c>
      <c r="DI156" s="14" t="s">
        <v>179</v>
      </c>
      <c r="DJ156" s="14" t="s">
        <v>5020</v>
      </c>
      <c r="DK156" s="14" t="s">
        <v>179</v>
      </c>
      <c r="DL156" s="14" t="s">
        <v>5020</v>
      </c>
      <c r="DM156" s="14" t="s">
        <v>179</v>
      </c>
      <c r="DN156" s="14" t="s">
        <v>5021</v>
      </c>
      <c r="DO156" s="14" t="s">
        <v>179</v>
      </c>
      <c r="DP156" s="14" t="s">
        <v>5021</v>
      </c>
      <c r="DQ156" s="15"/>
      <c r="DR156" s="15"/>
      <c r="DS156" s="15"/>
      <c r="DT156" s="15"/>
      <c r="DU156" s="15"/>
      <c r="DV156" s="15"/>
      <c r="DW156" s="15"/>
      <c r="DX156" s="15"/>
      <c r="DY156" s="15"/>
      <c r="DZ156" s="15"/>
      <c r="EA156" s="15"/>
      <c r="EB156" s="15"/>
      <c r="EC156" s="16" t="s">
        <v>197</v>
      </c>
      <c r="ED156" s="17" t="s">
        <v>198</v>
      </c>
      <c r="EE156" s="18">
        <v>45705.516018518516</v>
      </c>
      <c r="EF156" s="13" t="s">
        <v>209</v>
      </c>
      <c r="EG156" s="14" t="s">
        <v>179</v>
      </c>
      <c r="EH156" s="14" t="s">
        <v>5022</v>
      </c>
      <c r="EI156" s="14" t="s">
        <v>179</v>
      </c>
      <c r="EJ156" s="14" t="s">
        <v>5023</v>
      </c>
      <c r="EK156" s="14" t="s">
        <v>179</v>
      </c>
      <c r="EL156" s="14" t="s">
        <v>5023</v>
      </c>
      <c r="EM156" s="14" t="s">
        <v>179</v>
      </c>
      <c r="EN156" s="14" t="s">
        <v>5024</v>
      </c>
      <c r="EO156" s="15"/>
      <c r="EP156" s="15"/>
      <c r="EQ156" s="15"/>
      <c r="ER156" s="15"/>
      <c r="ES156" s="15"/>
      <c r="ET156" s="15"/>
      <c r="EU156" s="15"/>
      <c r="EV156" s="15"/>
      <c r="EW156" s="15"/>
      <c r="EX156" s="15"/>
      <c r="EY156" s="15"/>
      <c r="EZ156" s="15"/>
      <c r="FA156" s="15"/>
      <c r="FB156" s="15"/>
      <c r="FC156" s="16" t="s">
        <v>197</v>
      </c>
      <c r="FD156" s="17" t="s">
        <v>198</v>
      </c>
      <c r="FE156" s="18">
        <v>45723.36388888889</v>
      </c>
      <c r="FF156" s="19"/>
      <c r="FG156" s="19"/>
      <c r="FH156" s="21" t="s">
        <v>197</v>
      </c>
      <c r="FI156" s="17" t="s">
        <v>214</v>
      </c>
      <c r="FJ156" s="18">
        <v>45723.36388888889</v>
      </c>
      <c r="FK156" s="14" t="s">
        <v>5024</v>
      </c>
      <c r="FL156" s="14" t="s">
        <v>5025</v>
      </c>
      <c r="FM156" s="14" t="s">
        <v>5026</v>
      </c>
      <c r="FN156" s="14" t="s">
        <v>5027</v>
      </c>
      <c r="FO156" s="14" t="s">
        <v>5028</v>
      </c>
      <c r="FP156" s="19" t="str">
        <f t="shared" si="1"/>
        <v>Base de Dados_Images/BC9209.Imagem do Equipamento-.111507.jpg</v>
      </c>
      <c r="FQ156" s="19"/>
      <c r="FR156" s="19"/>
    </row>
    <row r="157" ht="15.75" customHeight="1">
      <c r="A157" s="12" t="s">
        <v>357</v>
      </c>
      <c r="B157" s="12" t="s">
        <v>4962</v>
      </c>
      <c r="C157" s="24" t="s">
        <v>512</v>
      </c>
      <c r="D157" s="22" t="s">
        <v>5029</v>
      </c>
      <c r="E157" s="22" t="s">
        <v>4964</v>
      </c>
      <c r="F157" s="13" t="s">
        <v>178</v>
      </c>
      <c r="G157" s="14" t="s">
        <v>179</v>
      </c>
      <c r="H157" s="14" t="s">
        <v>5030</v>
      </c>
      <c r="I157" s="14" t="s">
        <v>179</v>
      </c>
      <c r="J157" s="14" t="s">
        <v>5031</v>
      </c>
      <c r="K157" s="14" t="s">
        <v>179</v>
      </c>
      <c r="L157" s="14" t="s">
        <v>5032</v>
      </c>
      <c r="M157" s="14" t="s">
        <v>179</v>
      </c>
      <c r="N157" s="14" t="s">
        <v>5033</v>
      </c>
      <c r="O157" s="14" t="s">
        <v>179</v>
      </c>
      <c r="P157" s="14" t="s">
        <v>5034</v>
      </c>
      <c r="Q157" s="14" t="s">
        <v>179</v>
      </c>
      <c r="R157" s="14" t="s">
        <v>5035</v>
      </c>
      <c r="S157" s="14" t="s">
        <v>179</v>
      </c>
      <c r="T157" s="14" t="s">
        <v>5036</v>
      </c>
      <c r="U157" s="14" t="s">
        <v>179</v>
      </c>
      <c r="V157" s="14" t="s">
        <v>5037</v>
      </c>
      <c r="W157" s="14" t="s">
        <v>179</v>
      </c>
      <c r="X157" s="14" t="s">
        <v>5038</v>
      </c>
      <c r="Y157" s="14" t="s">
        <v>179</v>
      </c>
      <c r="Z157" s="14" t="s">
        <v>5039</v>
      </c>
      <c r="AA157" s="14" t="s">
        <v>179</v>
      </c>
      <c r="AB157" s="14" t="s">
        <v>5040</v>
      </c>
      <c r="AC157" s="14" t="s">
        <v>179</v>
      </c>
      <c r="AD157" s="14" t="s">
        <v>5041</v>
      </c>
      <c r="AE157" s="14" t="s">
        <v>179</v>
      </c>
      <c r="AF157" s="14" t="s">
        <v>5042</v>
      </c>
      <c r="AG157" s="14" t="s">
        <v>179</v>
      </c>
      <c r="AH157" s="14" t="s">
        <v>5043</v>
      </c>
      <c r="AI157" s="14" t="s">
        <v>179</v>
      </c>
      <c r="AJ157" s="14" t="s">
        <v>5044</v>
      </c>
      <c r="AK157" s="14" t="s">
        <v>179</v>
      </c>
      <c r="AL157" s="14" t="s">
        <v>5045</v>
      </c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6" t="s">
        <v>197</v>
      </c>
      <c r="BP157" s="17" t="s">
        <v>198</v>
      </c>
      <c r="BQ157" s="18">
        <v>45681.436261574076</v>
      </c>
      <c r="BR157" s="17" t="s">
        <v>198</v>
      </c>
      <c r="BS157" s="18">
        <v>45681.436064814814</v>
      </c>
      <c r="BT157" s="17" t="s">
        <v>198</v>
      </c>
      <c r="BU157" s="18">
        <v>45681.436261574076</v>
      </c>
      <c r="BV157" s="13" t="s">
        <v>199</v>
      </c>
      <c r="BW157" s="14" t="s">
        <v>179</v>
      </c>
      <c r="BX157" s="14" t="s">
        <v>5046</v>
      </c>
      <c r="BY157" s="14" t="s">
        <v>179</v>
      </c>
      <c r="BZ157" s="14" t="s">
        <v>5047</v>
      </c>
      <c r="CA157" s="14" t="s">
        <v>179</v>
      </c>
      <c r="CB157" s="14" t="s">
        <v>5048</v>
      </c>
      <c r="CC157" s="14" t="s">
        <v>179</v>
      </c>
      <c r="CD157" s="14" t="s">
        <v>5049</v>
      </c>
      <c r="CE157" s="14" t="s">
        <v>179</v>
      </c>
      <c r="CF157" s="14" t="s">
        <v>5050</v>
      </c>
      <c r="CG157" s="14" t="s">
        <v>179</v>
      </c>
      <c r="CH157" s="14" t="s">
        <v>5051</v>
      </c>
      <c r="CI157" s="19"/>
      <c r="CJ157" s="15"/>
      <c r="CK157" s="19"/>
      <c r="CL157" s="15"/>
      <c r="CM157" s="19"/>
      <c r="CN157" s="15"/>
      <c r="CO157" s="19"/>
      <c r="CP157" s="15"/>
      <c r="CQ157" s="15"/>
      <c r="CR157" s="15"/>
      <c r="CS157" s="19"/>
      <c r="CT157" s="15"/>
      <c r="CU157" s="19"/>
      <c r="CV157" s="15"/>
      <c r="CW157" s="19"/>
      <c r="CX157" s="15"/>
      <c r="CY157" s="19"/>
      <c r="CZ157" s="15"/>
      <c r="DA157" s="16" t="s">
        <v>197</v>
      </c>
      <c r="DB157" s="17" t="s">
        <v>198</v>
      </c>
      <c r="DC157" s="20">
        <v>45699.489641203705</v>
      </c>
      <c r="DD157" s="17" t="s">
        <v>198</v>
      </c>
      <c r="DE157" s="18">
        <v>45699.4897337963</v>
      </c>
      <c r="DF157" s="17" t="s">
        <v>198</v>
      </c>
      <c r="DG157" s="18">
        <v>45699.4897337963</v>
      </c>
      <c r="DH157" s="13" t="s">
        <v>205</v>
      </c>
      <c r="DI157" s="14" t="s">
        <v>179</v>
      </c>
      <c r="DJ157" s="14" t="s">
        <v>5052</v>
      </c>
      <c r="DK157" s="14" t="s">
        <v>179</v>
      </c>
      <c r="DL157" s="14" t="s">
        <v>5053</v>
      </c>
      <c r="DM157" s="14" t="s">
        <v>179</v>
      </c>
      <c r="DN157" s="14" t="s">
        <v>5054</v>
      </c>
      <c r="DO157" s="14" t="s">
        <v>179</v>
      </c>
      <c r="DP157" s="14" t="s">
        <v>5055</v>
      </c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6" t="s">
        <v>197</v>
      </c>
      <c r="ED157" s="17" t="s">
        <v>198</v>
      </c>
      <c r="EE157" s="18">
        <v>45722.50003472222</v>
      </c>
      <c r="EF157" s="13" t="s">
        <v>209</v>
      </c>
      <c r="EG157" s="14" t="s">
        <v>179</v>
      </c>
      <c r="EH157" s="14" t="s">
        <v>5056</v>
      </c>
      <c r="EI157" s="14" t="s">
        <v>179</v>
      </c>
      <c r="EJ157" s="14" t="s">
        <v>5057</v>
      </c>
      <c r="EK157" s="14" t="s">
        <v>179</v>
      </c>
      <c r="EL157" s="14" t="s">
        <v>5057</v>
      </c>
      <c r="EM157" s="14" t="s">
        <v>179</v>
      </c>
      <c r="EN157" s="14" t="s">
        <v>5058</v>
      </c>
      <c r="EO157" s="15"/>
      <c r="EP157" s="15"/>
      <c r="EQ157" s="15"/>
      <c r="ER157" s="15"/>
      <c r="ES157" s="15"/>
      <c r="ET157" s="15"/>
      <c r="EU157" s="15"/>
      <c r="EV157" s="15"/>
      <c r="EW157" s="15"/>
      <c r="EX157" s="15"/>
      <c r="EY157" s="15"/>
      <c r="EZ157" s="15"/>
      <c r="FA157" s="15"/>
      <c r="FB157" s="15"/>
      <c r="FC157" s="16" t="s">
        <v>197</v>
      </c>
      <c r="FD157" s="17" t="s">
        <v>198</v>
      </c>
      <c r="FE157" s="18">
        <v>45723.364166666666</v>
      </c>
      <c r="FF157" s="19"/>
      <c r="FG157" s="19"/>
      <c r="FH157" s="21" t="s">
        <v>197</v>
      </c>
      <c r="FI157" s="17" t="s">
        <v>214</v>
      </c>
      <c r="FJ157" s="18">
        <v>45723.364166666666</v>
      </c>
      <c r="FK157" s="14" t="s">
        <v>5058</v>
      </c>
      <c r="FL157" s="14" t="s">
        <v>5059</v>
      </c>
      <c r="FM157" s="14" t="s">
        <v>5060</v>
      </c>
      <c r="FN157" s="14" t="s">
        <v>5061</v>
      </c>
      <c r="FO157" s="14" t="s">
        <v>5062</v>
      </c>
      <c r="FP157" s="19" t="str">
        <f t="shared" si="1"/>
        <v>Base de Dados_Images/BC9210.Imagem do Equipamento-.124225.jpg</v>
      </c>
      <c r="FQ157" s="19"/>
      <c r="FR157" s="19"/>
    </row>
    <row r="158" ht="15.75" customHeight="1">
      <c r="A158" s="12" t="s">
        <v>357</v>
      </c>
      <c r="B158" s="12" t="s">
        <v>4962</v>
      </c>
      <c r="C158" s="24" t="s">
        <v>512</v>
      </c>
      <c r="D158" s="22" t="s">
        <v>5063</v>
      </c>
      <c r="E158" s="22" t="s">
        <v>5064</v>
      </c>
      <c r="F158" s="13" t="s">
        <v>178</v>
      </c>
      <c r="G158" s="14" t="s">
        <v>179</v>
      </c>
      <c r="H158" s="14" t="s">
        <v>5065</v>
      </c>
      <c r="I158" s="14" t="s">
        <v>179</v>
      </c>
      <c r="J158" s="14" t="s">
        <v>5066</v>
      </c>
      <c r="K158" s="14" t="s">
        <v>179</v>
      </c>
      <c r="L158" s="14" t="s">
        <v>5067</v>
      </c>
      <c r="M158" s="14" t="s">
        <v>179</v>
      </c>
      <c r="N158" s="14" t="s">
        <v>5068</v>
      </c>
      <c r="O158" s="14" t="s">
        <v>179</v>
      </c>
      <c r="P158" s="14" t="s">
        <v>5069</v>
      </c>
      <c r="Q158" s="14" t="s">
        <v>179</v>
      </c>
      <c r="R158" s="14" t="s">
        <v>5070</v>
      </c>
      <c r="S158" s="14" t="s">
        <v>179</v>
      </c>
      <c r="T158" s="14" t="s">
        <v>5071</v>
      </c>
      <c r="U158" s="14" t="s">
        <v>179</v>
      </c>
      <c r="V158" s="14" t="s">
        <v>5072</v>
      </c>
      <c r="W158" s="14" t="s">
        <v>179</v>
      </c>
      <c r="X158" s="14" t="s">
        <v>5073</v>
      </c>
      <c r="Y158" s="14" t="s">
        <v>179</v>
      </c>
      <c r="Z158" s="14" t="s">
        <v>5074</v>
      </c>
      <c r="AA158" s="14" t="s">
        <v>179</v>
      </c>
      <c r="AB158" s="14" t="s">
        <v>5075</v>
      </c>
      <c r="AC158" s="14" t="s">
        <v>179</v>
      </c>
      <c r="AD158" s="14" t="s">
        <v>5076</v>
      </c>
      <c r="AE158" s="14" t="s">
        <v>179</v>
      </c>
      <c r="AF158" s="14" t="s">
        <v>5077</v>
      </c>
      <c r="AG158" s="14" t="s">
        <v>179</v>
      </c>
      <c r="AH158" s="14" t="s">
        <v>5078</v>
      </c>
      <c r="AI158" s="14" t="s">
        <v>179</v>
      </c>
      <c r="AJ158" s="14" t="s">
        <v>5079</v>
      </c>
      <c r="AK158" s="14" t="s">
        <v>179</v>
      </c>
      <c r="AL158" s="14" t="s">
        <v>5080</v>
      </c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6" t="s">
        <v>197</v>
      </c>
      <c r="BP158" s="17" t="s">
        <v>198</v>
      </c>
      <c r="BQ158" s="18">
        <v>45681.437939814816</v>
      </c>
      <c r="BR158" s="17" t="s">
        <v>198</v>
      </c>
      <c r="BS158" s="18">
        <v>45681.438043981485</v>
      </c>
      <c r="BT158" s="17" t="s">
        <v>198</v>
      </c>
      <c r="BU158" s="18">
        <v>45681.438043981485</v>
      </c>
      <c r="BV158" s="13" t="s">
        <v>199</v>
      </c>
      <c r="BW158" s="14" t="s">
        <v>179</v>
      </c>
      <c r="BX158" s="14" t="s">
        <v>5081</v>
      </c>
      <c r="BY158" s="14" t="s">
        <v>179</v>
      </c>
      <c r="BZ158" s="14" t="s">
        <v>5082</v>
      </c>
      <c r="CA158" s="14" t="s">
        <v>179</v>
      </c>
      <c r="CB158" s="14" t="s">
        <v>5083</v>
      </c>
      <c r="CC158" s="14" t="s">
        <v>179</v>
      </c>
      <c r="CD158" s="14" t="s">
        <v>5084</v>
      </c>
      <c r="CE158" s="14" t="s">
        <v>179</v>
      </c>
      <c r="CF158" s="14" t="s">
        <v>5085</v>
      </c>
      <c r="CG158" s="14" t="s">
        <v>179</v>
      </c>
      <c r="CH158" s="14" t="s">
        <v>5086</v>
      </c>
      <c r="CI158" s="19"/>
      <c r="CJ158" s="15"/>
      <c r="CK158" s="19"/>
      <c r="CL158" s="15"/>
      <c r="CM158" s="19"/>
      <c r="CN158" s="15"/>
      <c r="CO158" s="19"/>
      <c r="CP158" s="15"/>
      <c r="CQ158" s="15"/>
      <c r="CR158" s="15"/>
      <c r="CS158" s="19"/>
      <c r="CT158" s="15"/>
      <c r="CU158" s="19"/>
      <c r="CV158" s="15"/>
      <c r="CW158" s="19"/>
      <c r="CX158" s="15"/>
      <c r="CY158" s="19"/>
      <c r="CZ158" s="15"/>
      <c r="DA158" s="16" t="s">
        <v>197</v>
      </c>
      <c r="DB158" s="17" t="s">
        <v>198</v>
      </c>
      <c r="DC158" s="20">
        <v>45699.48987268518</v>
      </c>
      <c r="DD158" s="17" t="s">
        <v>198</v>
      </c>
      <c r="DE158" s="18">
        <v>45699.489953703705</v>
      </c>
      <c r="DF158" s="17" t="s">
        <v>198</v>
      </c>
      <c r="DG158" s="18">
        <v>45699.489953703705</v>
      </c>
      <c r="DH158" s="13" t="s">
        <v>205</v>
      </c>
      <c r="DI158" s="14" t="s">
        <v>179</v>
      </c>
      <c r="DJ158" s="14" t="s">
        <v>5087</v>
      </c>
      <c r="DK158" s="14" t="s">
        <v>179</v>
      </c>
      <c r="DL158" s="14" t="s">
        <v>5088</v>
      </c>
      <c r="DM158" s="14" t="s">
        <v>179</v>
      </c>
      <c r="DN158" s="14" t="s">
        <v>5089</v>
      </c>
      <c r="DO158" s="14" t="s">
        <v>179</v>
      </c>
      <c r="DP158" s="14" t="s">
        <v>5090</v>
      </c>
      <c r="DQ158" s="15"/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6" t="s">
        <v>197</v>
      </c>
      <c r="ED158" s="17" t="s">
        <v>198</v>
      </c>
      <c r="EE158" s="18">
        <v>45705.33868055556</v>
      </c>
      <c r="EF158" s="13" t="s">
        <v>209</v>
      </c>
      <c r="EG158" s="14" t="s">
        <v>179</v>
      </c>
      <c r="EH158" s="14" t="s">
        <v>5091</v>
      </c>
      <c r="EI158" s="14" t="s">
        <v>179</v>
      </c>
      <c r="EJ158" s="14" t="s">
        <v>5091</v>
      </c>
      <c r="EK158" s="14" t="s">
        <v>179</v>
      </c>
      <c r="EL158" s="14" t="s">
        <v>5092</v>
      </c>
      <c r="EM158" s="14" t="s">
        <v>179</v>
      </c>
      <c r="EN158" s="14" t="s">
        <v>5093</v>
      </c>
      <c r="EO158" s="15"/>
      <c r="EP158" s="15"/>
      <c r="EQ158" s="15"/>
      <c r="ER158" s="15"/>
      <c r="ES158" s="15"/>
      <c r="ET158" s="15"/>
      <c r="EU158" s="15"/>
      <c r="EV158" s="15"/>
      <c r="EW158" s="15"/>
      <c r="EX158" s="15"/>
      <c r="EY158" s="15"/>
      <c r="EZ158" s="15"/>
      <c r="FA158" s="15"/>
      <c r="FB158" s="15"/>
      <c r="FC158" s="16" t="s">
        <v>197</v>
      </c>
      <c r="FD158" s="17" t="s">
        <v>198</v>
      </c>
      <c r="FE158" s="18">
        <v>45723.364756944444</v>
      </c>
      <c r="FF158" s="19"/>
      <c r="FG158" s="19"/>
      <c r="FH158" s="21" t="s">
        <v>197</v>
      </c>
      <c r="FI158" s="17" t="s">
        <v>214</v>
      </c>
      <c r="FJ158" s="18">
        <v>45723.364756944444</v>
      </c>
      <c r="FK158" s="14" t="s">
        <v>5093</v>
      </c>
      <c r="FL158" s="14" t="s">
        <v>5094</v>
      </c>
      <c r="FM158" s="14" t="s">
        <v>5095</v>
      </c>
      <c r="FN158" s="14" t="s">
        <v>5096</v>
      </c>
      <c r="FO158" s="14" t="s">
        <v>5097</v>
      </c>
      <c r="FP158" s="19" t="str">
        <f t="shared" si="1"/>
        <v>Base de Dados_Images/BC9211.Imagem do Equipamento-.124429.jpg</v>
      </c>
      <c r="FQ158" s="19"/>
      <c r="FR158" s="19"/>
    </row>
    <row r="159" ht="15.75" customHeight="1">
      <c r="A159" s="12" t="s">
        <v>357</v>
      </c>
      <c r="B159" s="12" t="s">
        <v>4962</v>
      </c>
      <c r="C159" s="24" t="s">
        <v>512</v>
      </c>
      <c r="D159" s="22" t="s">
        <v>5098</v>
      </c>
      <c r="E159" s="22" t="s">
        <v>5064</v>
      </c>
      <c r="F159" s="13" t="s">
        <v>178</v>
      </c>
      <c r="G159" s="14" t="s">
        <v>179</v>
      </c>
      <c r="H159" s="14" t="s">
        <v>5099</v>
      </c>
      <c r="I159" s="14" t="s">
        <v>179</v>
      </c>
      <c r="J159" s="14" t="s">
        <v>5100</v>
      </c>
      <c r="K159" s="14" t="s">
        <v>179</v>
      </c>
      <c r="L159" s="14" t="s">
        <v>5101</v>
      </c>
      <c r="M159" s="14" t="s">
        <v>179</v>
      </c>
      <c r="N159" s="14" t="s">
        <v>5102</v>
      </c>
      <c r="O159" s="14" t="s">
        <v>179</v>
      </c>
      <c r="P159" s="14" t="s">
        <v>5103</v>
      </c>
      <c r="Q159" s="14" t="s">
        <v>179</v>
      </c>
      <c r="R159" s="14" t="s">
        <v>5104</v>
      </c>
      <c r="S159" s="14" t="s">
        <v>179</v>
      </c>
      <c r="T159" s="14" t="s">
        <v>5105</v>
      </c>
      <c r="U159" s="14" t="s">
        <v>179</v>
      </c>
      <c r="V159" s="14" t="s">
        <v>5106</v>
      </c>
      <c r="W159" s="14" t="s">
        <v>179</v>
      </c>
      <c r="X159" s="14" t="s">
        <v>5107</v>
      </c>
      <c r="Y159" s="14" t="s">
        <v>179</v>
      </c>
      <c r="Z159" s="14" t="s">
        <v>5108</v>
      </c>
      <c r="AA159" s="14" t="s">
        <v>179</v>
      </c>
      <c r="AB159" s="14" t="s">
        <v>5109</v>
      </c>
      <c r="AC159" s="14" t="s">
        <v>179</v>
      </c>
      <c r="AD159" s="14" t="s">
        <v>5110</v>
      </c>
      <c r="AE159" s="14" t="s">
        <v>179</v>
      </c>
      <c r="AF159" s="14" t="s">
        <v>5111</v>
      </c>
      <c r="AG159" s="14" t="s">
        <v>179</v>
      </c>
      <c r="AH159" s="14" t="s">
        <v>5112</v>
      </c>
      <c r="AI159" s="14" t="s">
        <v>179</v>
      </c>
      <c r="AJ159" s="14" t="s">
        <v>5113</v>
      </c>
      <c r="AK159" s="14" t="s">
        <v>179</v>
      </c>
      <c r="AL159" s="14" t="s">
        <v>5114</v>
      </c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6" t="s">
        <v>197</v>
      </c>
      <c r="BP159" s="17" t="s">
        <v>198</v>
      </c>
      <c r="BQ159" s="18">
        <v>45681.43902777778</v>
      </c>
      <c r="BR159" s="17" t="s">
        <v>198</v>
      </c>
      <c r="BS159" s="18">
        <v>45681.43917824074</v>
      </c>
      <c r="BT159" s="17" t="s">
        <v>198</v>
      </c>
      <c r="BU159" s="18">
        <v>45681.43917824074</v>
      </c>
      <c r="BV159" s="13" t="s">
        <v>199</v>
      </c>
      <c r="BW159" s="14" t="s">
        <v>179</v>
      </c>
      <c r="BX159" s="14" t="s">
        <v>5115</v>
      </c>
      <c r="BY159" s="14" t="s">
        <v>179</v>
      </c>
      <c r="BZ159" s="14" t="s">
        <v>5116</v>
      </c>
      <c r="CA159" s="14" t="s">
        <v>179</v>
      </c>
      <c r="CB159" s="14" t="s">
        <v>5117</v>
      </c>
      <c r="CC159" s="14" t="s">
        <v>179</v>
      </c>
      <c r="CD159" s="14" t="s">
        <v>5118</v>
      </c>
      <c r="CE159" s="14" t="s">
        <v>179</v>
      </c>
      <c r="CF159" s="14" t="s">
        <v>5119</v>
      </c>
      <c r="CG159" s="14" t="s">
        <v>179</v>
      </c>
      <c r="CH159" s="14" t="s">
        <v>5120</v>
      </c>
      <c r="CI159" s="19"/>
      <c r="CJ159" s="15"/>
      <c r="CK159" s="19"/>
      <c r="CL159" s="15"/>
      <c r="CM159" s="19"/>
      <c r="CN159" s="15"/>
      <c r="CO159" s="19"/>
      <c r="CP159" s="15"/>
      <c r="CQ159" s="15"/>
      <c r="CR159" s="15"/>
      <c r="CS159" s="19"/>
      <c r="CT159" s="15"/>
      <c r="CU159" s="19"/>
      <c r="CV159" s="15"/>
      <c r="CW159" s="19"/>
      <c r="CX159" s="15"/>
      <c r="CY159" s="19"/>
      <c r="CZ159" s="15"/>
      <c r="DA159" s="16" t="s">
        <v>197</v>
      </c>
      <c r="DB159" s="17" t="s">
        <v>198</v>
      </c>
      <c r="DC159" s="20">
        <v>45699.49010416667</v>
      </c>
      <c r="DD159" s="17" t="s">
        <v>198</v>
      </c>
      <c r="DE159" s="18">
        <v>45699.49016203704</v>
      </c>
      <c r="DF159" s="17" t="s">
        <v>198</v>
      </c>
      <c r="DG159" s="18">
        <v>45699.49016203704</v>
      </c>
      <c r="DH159" s="13" t="s">
        <v>205</v>
      </c>
      <c r="DI159" s="14" t="s">
        <v>179</v>
      </c>
      <c r="DJ159" s="14" t="s">
        <v>5121</v>
      </c>
      <c r="DK159" s="14" t="s">
        <v>179</v>
      </c>
      <c r="DL159" s="14" t="s">
        <v>5121</v>
      </c>
      <c r="DM159" s="14" t="s">
        <v>179</v>
      </c>
      <c r="DN159" s="14" t="s">
        <v>5122</v>
      </c>
      <c r="DO159" s="14" t="s">
        <v>179</v>
      </c>
      <c r="DP159" s="14" t="s">
        <v>5123</v>
      </c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6" t="s">
        <v>197</v>
      </c>
      <c r="ED159" s="17" t="s">
        <v>198</v>
      </c>
      <c r="EE159" s="18">
        <v>45705.518055555556</v>
      </c>
      <c r="EF159" s="13" t="s">
        <v>209</v>
      </c>
      <c r="EG159" s="14" t="s">
        <v>179</v>
      </c>
      <c r="EH159" s="14" t="s">
        <v>5124</v>
      </c>
      <c r="EI159" s="14" t="s">
        <v>179</v>
      </c>
      <c r="EJ159" s="14" t="s">
        <v>5125</v>
      </c>
      <c r="EK159" s="14" t="s">
        <v>179</v>
      </c>
      <c r="EL159" s="14" t="s">
        <v>5126</v>
      </c>
      <c r="EM159" s="14" t="s">
        <v>179</v>
      </c>
      <c r="EN159" s="14" t="s">
        <v>5127</v>
      </c>
      <c r="EO159" s="15"/>
      <c r="EP159" s="15"/>
      <c r="EQ159" s="15"/>
      <c r="ER159" s="15"/>
      <c r="ES159" s="15"/>
      <c r="ET159" s="15"/>
      <c r="EU159" s="15"/>
      <c r="EV159" s="15"/>
      <c r="EW159" s="15"/>
      <c r="EX159" s="15"/>
      <c r="EY159" s="15"/>
      <c r="EZ159" s="15"/>
      <c r="FA159" s="15"/>
      <c r="FB159" s="15"/>
      <c r="FC159" s="16" t="s">
        <v>197</v>
      </c>
      <c r="FD159" s="17" t="s">
        <v>198</v>
      </c>
      <c r="FE159" s="18">
        <v>45723.364849537036</v>
      </c>
      <c r="FF159" s="19"/>
      <c r="FG159" s="19"/>
      <c r="FH159" s="21" t="s">
        <v>197</v>
      </c>
      <c r="FI159" s="17" t="s">
        <v>214</v>
      </c>
      <c r="FJ159" s="18">
        <v>45723.364849537036</v>
      </c>
      <c r="FK159" s="14" t="s">
        <v>5127</v>
      </c>
      <c r="FL159" s="14" t="s">
        <v>5128</v>
      </c>
      <c r="FM159" s="14" t="s">
        <v>5129</v>
      </c>
      <c r="FN159" s="14" t="s">
        <v>5130</v>
      </c>
      <c r="FO159" s="14" t="s">
        <v>5131</v>
      </c>
      <c r="FP159" s="19" t="str">
        <f t="shared" si="1"/>
        <v>Base de Dados_Images/BC9212.Imagem do Equipamento-.124657.jpg</v>
      </c>
      <c r="FQ159" s="19"/>
      <c r="FR159" s="19"/>
    </row>
    <row r="160" ht="15.75" customHeight="1">
      <c r="A160" s="12" t="s">
        <v>174</v>
      </c>
      <c r="B160" s="12" t="s">
        <v>5132</v>
      </c>
      <c r="C160" s="24" t="s">
        <v>512</v>
      </c>
      <c r="D160" s="22" t="s">
        <v>5133</v>
      </c>
      <c r="E160" s="22" t="s">
        <v>5134</v>
      </c>
      <c r="F160" s="13" t="s">
        <v>178</v>
      </c>
      <c r="G160" s="14" t="s">
        <v>179</v>
      </c>
      <c r="H160" s="14" t="s">
        <v>5135</v>
      </c>
      <c r="I160" s="14" t="s">
        <v>179</v>
      </c>
      <c r="J160" s="14" t="s">
        <v>5136</v>
      </c>
      <c r="K160" s="14" t="s">
        <v>179</v>
      </c>
      <c r="L160" s="14" t="s">
        <v>5137</v>
      </c>
      <c r="M160" s="14" t="s">
        <v>179</v>
      </c>
      <c r="N160" s="14" t="s">
        <v>5138</v>
      </c>
      <c r="O160" s="14" t="s">
        <v>179</v>
      </c>
      <c r="P160" s="14" t="s">
        <v>5139</v>
      </c>
      <c r="Q160" s="14" t="s">
        <v>179</v>
      </c>
      <c r="R160" s="14" t="s">
        <v>5140</v>
      </c>
      <c r="S160" s="14" t="s">
        <v>179</v>
      </c>
      <c r="T160" s="14" t="s">
        <v>5141</v>
      </c>
      <c r="U160" s="14" t="s">
        <v>179</v>
      </c>
      <c r="V160" s="14" t="s">
        <v>5142</v>
      </c>
      <c r="W160" s="14" t="s">
        <v>179</v>
      </c>
      <c r="X160" s="14" t="s">
        <v>5143</v>
      </c>
      <c r="Y160" s="14" t="s">
        <v>179</v>
      </c>
      <c r="Z160" s="14" t="s">
        <v>5144</v>
      </c>
      <c r="AA160" s="14" t="s">
        <v>179</v>
      </c>
      <c r="AB160" s="14" t="s">
        <v>5145</v>
      </c>
      <c r="AC160" s="14" t="s">
        <v>179</v>
      </c>
      <c r="AD160" s="14" t="s">
        <v>5146</v>
      </c>
      <c r="AE160" s="14" t="s">
        <v>179</v>
      </c>
      <c r="AF160" s="14" t="s">
        <v>5147</v>
      </c>
      <c r="AG160" s="14" t="s">
        <v>179</v>
      </c>
      <c r="AH160" s="14" t="s">
        <v>5148</v>
      </c>
      <c r="AI160" s="14" t="s">
        <v>179</v>
      </c>
      <c r="AJ160" s="14" t="s">
        <v>5149</v>
      </c>
      <c r="AK160" s="14" t="s">
        <v>179</v>
      </c>
      <c r="AL160" s="14" t="s">
        <v>5150</v>
      </c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6" t="s">
        <v>197</v>
      </c>
      <c r="BP160" s="17" t="s">
        <v>198</v>
      </c>
      <c r="BQ160" s="18">
        <v>45681.43171296296</v>
      </c>
      <c r="BR160" s="17" t="s">
        <v>198</v>
      </c>
      <c r="BS160" s="18">
        <v>45681.43184027778</v>
      </c>
      <c r="BT160" s="17" t="s">
        <v>198</v>
      </c>
      <c r="BU160" s="18">
        <v>45681.43184027778</v>
      </c>
      <c r="BV160" s="13" t="s">
        <v>199</v>
      </c>
      <c r="BW160" s="14" t="s">
        <v>179</v>
      </c>
      <c r="BX160" s="14" t="s">
        <v>5151</v>
      </c>
      <c r="BY160" s="14" t="s">
        <v>179</v>
      </c>
      <c r="BZ160" s="14" t="s">
        <v>5152</v>
      </c>
      <c r="CA160" s="14" t="s">
        <v>179</v>
      </c>
      <c r="CB160" s="14" t="s">
        <v>5153</v>
      </c>
      <c r="CC160" s="14" t="s">
        <v>179</v>
      </c>
      <c r="CD160" s="14" t="s">
        <v>5154</v>
      </c>
      <c r="CE160" s="14" t="s">
        <v>179</v>
      </c>
      <c r="CF160" s="14" t="s">
        <v>5155</v>
      </c>
      <c r="CG160" s="14" t="s">
        <v>179</v>
      </c>
      <c r="CH160" s="14" t="s">
        <v>5156</v>
      </c>
      <c r="CI160" s="19"/>
      <c r="CJ160" s="15"/>
      <c r="CK160" s="19"/>
      <c r="CL160" s="15"/>
      <c r="CM160" s="19"/>
      <c r="CN160" s="15"/>
      <c r="CO160" s="19"/>
      <c r="CP160" s="15"/>
      <c r="CQ160" s="15"/>
      <c r="CR160" s="15"/>
      <c r="CS160" s="19"/>
      <c r="CT160" s="15"/>
      <c r="CU160" s="19"/>
      <c r="CV160" s="15"/>
      <c r="CW160" s="19"/>
      <c r="CX160" s="15"/>
      <c r="CY160" s="19"/>
      <c r="CZ160" s="15"/>
      <c r="DA160" s="16" t="s">
        <v>197</v>
      </c>
      <c r="DB160" s="17" t="s">
        <v>198</v>
      </c>
      <c r="DC160" s="20">
        <v>45719.4896875</v>
      </c>
      <c r="DD160" s="17" t="s">
        <v>198</v>
      </c>
      <c r="DE160" s="18">
        <v>45719.48974537037</v>
      </c>
      <c r="DF160" s="17" t="s">
        <v>198</v>
      </c>
      <c r="DG160" s="18">
        <v>45719.48974537037</v>
      </c>
      <c r="DH160" s="13" t="s">
        <v>205</v>
      </c>
      <c r="DI160" s="14" t="s">
        <v>179</v>
      </c>
      <c r="DJ160" s="14" t="s">
        <v>5157</v>
      </c>
      <c r="DK160" s="14" t="s">
        <v>179</v>
      </c>
      <c r="DL160" s="14" t="s">
        <v>5157</v>
      </c>
      <c r="DM160" s="14" t="s">
        <v>179</v>
      </c>
      <c r="DN160" s="14" t="s">
        <v>5158</v>
      </c>
      <c r="DO160" s="14" t="s">
        <v>179</v>
      </c>
      <c r="DP160" s="14" t="s">
        <v>5159</v>
      </c>
      <c r="DQ160" s="15"/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6" t="s">
        <v>197</v>
      </c>
      <c r="ED160" s="17" t="s">
        <v>198</v>
      </c>
      <c r="EE160" s="18">
        <v>45719.48987268518</v>
      </c>
      <c r="EF160" s="13" t="s">
        <v>209</v>
      </c>
      <c r="EG160" s="14" t="s">
        <v>179</v>
      </c>
      <c r="EH160" s="14" t="s">
        <v>5160</v>
      </c>
      <c r="EI160" s="14" t="s">
        <v>179</v>
      </c>
      <c r="EJ160" s="14" t="s">
        <v>5160</v>
      </c>
      <c r="EK160" s="14" t="s">
        <v>179</v>
      </c>
      <c r="EL160" s="14" t="s">
        <v>5161</v>
      </c>
      <c r="EM160" s="14" t="s">
        <v>179</v>
      </c>
      <c r="EN160" s="14" t="s">
        <v>5161</v>
      </c>
      <c r="EO160" s="15"/>
      <c r="EP160" s="15"/>
      <c r="EQ160" s="15"/>
      <c r="ER160" s="15"/>
      <c r="ES160" s="15"/>
      <c r="ET160" s="15"/>
      <c r="EU160" s="15"/>
      <c r="EV160" s="15"/>
      <c r="EW160" s="15"/>
      <c r="EX160" s="15"/>
      <c r="EY160" s="15"/>
      <c r="EZ160" s="15"/>
      <c r="FA160" s="15"/>
      <c r="FB160" s="15"/>
      <c r="FC160" s="16" t="s">
        <v>197</v>
      </c>
      <c r="FD160" s="17" t="s">
        <v>198</v>
      </c>
      <c r="FE160" s="18">
        <v>45723.284780092596</v>
      </c>
      <c r="FF160" s="19"/>
      <c r="FG160" s="19"/>
      <c r="FH160" s="21" t="s">
        <v>197</v>
      </c>
      <c r="FI160" s="17" t="s">
        <v>214</v>
      </c>
      <c r="FJ160" s="18">
        <v>45723.284780092596</v>
      </c>
      <c r="FK160" s="14" t="s">
        <v>5161</v>
      </c>
      <c r="FL160" s="14" t="s">
        <v>5162</v>
      </c>
      <c r="FM160" s="14" t="s">
        <v>5163</v>
      </c>
      <c r="FN160" s="14" t="s">
        <v>5164</v>
      </c>
      <c r="FO160" s="14" t="s">
        <v>5165</v>
      </c>
      <c r="FP160" s="19" t="str">
        <f t="shared" si="1"/>
        <v>Base de Dados_Images/BC9213.Imagem do Equipamento-.125843.jpg</v>
      </c>
      <c r="FQ160" s="19"/>
      <c r="FR160" s="19"/>
    </row>
    <row r="161" ht="15.75" customHeight="1">
      <c r="A161" s="12" t="s">
        <v>174</v>
      </c>
      <c r="B161" s="12" t="s">
        <v>5132</v>
      </c>
      <c r="C161" s="24" t="s">
        <v>512</v>
      </c>
      <c r="D161" s="28" t="s">
        <v>5166</v>
      </c>
      <c r="E161" s="22" t="s">
        <v>5167</v>
      </c>
      <c r="F161" s="13" t="s">
        <v>178</v>
      </c>
      <c r="G161" s="14" t="s">
        <v>179</v>
      </c>
      <c r="H161" s="14" t="s">
        <v>5168</v>
      </c>
      <c r="I161" s="14" t="s">
        <v>179</v>
      </c>
      <c r="J161" s="14" t="s">
        <v>5169</v>
      </c>
      <c r="K161" s="14" t="s">
        <v>179</v>
      </c>
      <c r="L161" s="14" t="s">
        <v>5170</v>
      </c>
      <c r="M161" s="14" t="s">
        <v>179</v>
      </c>
      <c r="N161" s="14" t="s">
        <v>5171</v>
      </c>
      <c r="O161" s="14" t="s">
        <v>179</v>
      </c>
      <c r="P161" s="14" t="s">
        <v>5172</v>
      </c>
      <c r="Q161" s="14" t="s">
        <v>179</v>
      </c>
      <c r="R161" s="14" t="s">
        <v>5173</v>
      </c>
      <c r="S161" s="14" t="s">
        <v>179</v>
      </c>
      <c r="T161" s="14" t="s">
        <v>5174</v>
      </c>
      <c r="U161" s="14" t="s">
        <v>179</v>
      </c>
      <c r="V161" s="14" t="s">
        <v>5175</v>
      </c>
      <c r="W161" s="14" t="s">
        <v>179</v>
      </c>
      <c r="X161" s="14" t="s">
        <v>5176</v>
      </c>
      <c r="Y161" s="14" t="s">
        <v>179</v>
      </c>
      <c r="Z161" s="14" t="s">
        <v>5177</v>
      </c>
      <c r="AA161" s="14" t="s">
        <v>179</v>
      </c>
      <c r="AB161" s="14" t="s">
        <v>5178</v>
      </c>
      <c r="AC161" s="14" t="s">
        <v>179</v>
      </c>
      <c r="AD161" s="14" t="s">
        <v>5179</v>
      </c>
      <c r="AE161" s="14" t="s">
        <v>179</v>
      </c>
      <c r="AF161" s="14" t="s">
        <v>5180</v>
      </c>
      <c r="AG161" s="14" t="s">
        <v>179</v>
      </c>
      <c r="AH161" s="14" t="s">
        <v>5181</v>
      </c>
      <c r="AI161" s="14" t="s">
        <v>179</v>
      </c>
      <c r="AJ161" s="14" t="s">
        <v>5182</v>
      </c>
      <c r="AK161" s="14" t="s">
        <v>179</v>
      </c>
      <c r="AL161" s="14" t="s">
        <v>5183</v>
      </c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6" t="s">
        <v>197</v>
      </c>
      <c r="BP161" s="17" t="s">
        <v>198</v>
      </c>
      <c r="BQ161" s="18">
        <v>45686.35857638889</v>
      </c>
      <c r="BR161" s="17" t="s">
        <v>198</v>
      </c>
      <c r="BS161" s="18">
        <v>45686.35868055555</v>
      </c>
      <c r="BT161" s="17" t="s">
        <v>198</v>
      </c>
      <c r="BU161" s="18">
        <v>45686.35868055555</v>
      </c>
      <c r="BV161" s="13" t="s">
        <v>199</v>
      </c>
      <c r="BW161" s="14" t="s">
        <v>179</v>
      </c>
      <c r="BX161" s="14" t="s">
        <v>5184</v>
      </c>
      <c r="BY161" s="14" t="s">
        <v>179</v>
      </c>
      <c r="BZ161" s="14" t="s">
        <v>5185</v>
      </c>
      <c r="CA161" s="14" t="s">
        <v>179</v>
      </c>
      <c r="CB161" s="14" t="s">
        <v>5186</v>
      </c>
      <c r="CC161" s="14" t="s">
        <v>179</v>
      </c>
      <c r="CD161" s="14" t="s">
        <v>5187</v>
      </c>
      <c r="CE161" s="14" t="s">
        <v>179</v>
      </c>
      <c r="CF161" s="14" t="s">
        <v>5188</v>
      </c>
      <c r="CG161" s="14" t="s">
        <v>179</v>
      </c>
      <c r="CH161" s="14" t="s">
        <v>5189</v>
      </c>
      <c r="CI161" s="19"/>
      <c r="CJ161" s="15"/>
      <c r="CK161" s="19"/>
      <c r="CL161" s="15"/>
      <c r="CM161" s="19"/>
      <c r="CN161" s="15"/>
      <c r="CO161" s="19"/>
      <c r="CP161" s="15"/>
      <c r="CQ161" s="15"/>
      <c r="CR161" s="15"/>
      <c r="CS161" s="19"/>
      <c r="CT161" s="15"/>
      <c r="CU161" s="19"/>
      <c r="CV161" s="15"/>
      <c r="CW161" s="19"/>
      <c r="CX161" s="15"/>
      <c r="CY161" s="19"/>
      <c r="CZ161" s="15"/>
      <c r="DA161" s="16" t="s">
        <v>197</v>
      </c>
      <c r="DB161" s="17" t="s">
        <v>198</v>
      </c>
      <c r="DC161" s="20">
        <v>45699.448587962965</v>
      </c>
      <c r="DD161" s="17" t="s">
        <v>198</v>
      </c>
      <c r="DE161" s="18">
        <v>45699.448645833334</v>
      </c>
      <c r="DF161" s="17" t="s">
        <v>198</v>
      </c>
      <c r="DG161" s="18">
        <v>45699.448645833334</v>
      </c>
      <c r="DH161" s="13" t="s">
        <v>205</v>
      </c>
      <c r="DI161" s="14" t="s">
        <v>179</v>
      </c>
      <c r="DJ161" s="14" t="s">
        <v>5190</v>
      </c>
      <c r="DK161" s="14" t="s">
        <v>179</v>
      </c>
      <c r="DL161" s="14" t="s">
        <v>5191</v>
      </c>
      <c r="DM161" s="14" t="s">
        <v>179</v>
      </c>
      <c r="DN161" s="14" t="s">
        <v>5192</v>
      </c>
      <c r="DO161" s="14" t="s">
        <v>179</v>
      </c>
      <c r="DP161" s="14" t="s">
        <v>5193</v>
      </c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6" t="s">
        <v>197</v>
      </c>
      <c r="ED161" s="17" t="s">
        <v>198</v>
      </c>
      <c r="EE161" s="18">
        <v>45713.39512731481</v>
      </c>
      <c r="EF161" s="13" t="s">
        <v>209</v>
      </c>
      <c r="EG161" s="14" t="s">
        <v>179</v>
      </c>
      <c r="EH161" s="14" t="s">
        <v>5194</v>
      </c>
      <c r="EI161" s="14" t="s">
        <v>179</v>
      </c>
      <c r="EJ161" s="14" t="s">
        <v>5195</v>
      </c>
      <c r="EK161" s="14" t="s">
        <v>179</v>
      </c>
      <c r="EL161" s="14" t="s">
        <v>5196</v>
      </c>
      <c r="EM161" s="14" t="s">
        <v>179</v>
      </c>
      <c r="EN161" s="14" t="s">
        <v>5197</v>
      </c>
      <c r="EO161" s="15"/>
      <c r="EP161" s="15"/>
      <c r="EQ161" s="15"/>
      <c r="ER161" s="15"/>
      <c r="ES161" s="15"/>
      <c r="ET161" s="15"/>
      <c r="EU161" s="15"/>
      <c r="EV161" s="15"/>
      <c r="EW161" s="15"/>
      <c r="EX161" s="15"/>
      <c r="EY161" s="15"/>
      <c r="EZ161" s="15"/>
      <c r="FA161" s="15"/>
      <c r="FB161" s="15"/>
      <c r="FC161" s="16" t="s">
        <v>197</v>
      </c>
      <c r="FD161" s="17" t="s">
        <v>198</v>
      </c>
      <c r="FE161" s="18">
        <v>45723.284895833334</v>
      </c>
      <c r="FF161" s="19"/>
      <c r="FG161" s="19"/>
      <c r="FH161" s="21" t="s">
        <v>197</v>
      </c>
      <c r="FI161" s="17" t="s">
        <v>214</v>
      </c>
      <c r="FJ161" s="18">
        <v>45723.284895833334</v>
      </c>
      <c r="FK161" s="14" t="s">
        <v>5197</v>
      </c>
      <c r="FL161" s="14" t="s">
        <v>5198</v>
      </c>
      <c r="FM161" s="14" t="s">
        <v>5199</v>
      </c>
      <c r="FN161" s="14" t="s">
        <v>5200</v>
      </c>
      <c r="FO161" s="14" t="s">
        <v>5201</v>
      </c>
      <c r="FP161" s="19" t="str">
        <f t="shared" si="1"/>
        <v>Base de Dados_Images/BC9214.Imagem do Equipamento-.125428.jpg</v>
      </c>
      <c r="FQ161" s="14"/>
      <c r="FR161" s="14"/>
    </row>
    <row r="162" ht="15.75" customHeight="1">
      <c r="A162" s="12" t="s">
        <v>357</v>
      </c>
      <c r="B162" s="12" t="s">
        <v>4071</v>
      </c>
      <c r="C162" s="24" t="s">
        <v>512</v>
      </c>
      <c r="D162" s="28" t="s">
        <v>5202</v>
      </c>
      <c r="E162" s="22" t="s">
        <v>5203</v>
      </c>
      <c r="F162" s="13" t="s">
        <v>178</v>
      </c>
      <c r="G162" s="14" t="s">
        <v>179</v>
      </c>
      <c r="H162" s="14" t="s">
        <v>5204</v>
      </c>
      <c r="I162" s="14" t="s">
        <v>179</v>
      </c>
      <c r="J162" s="14" t="s">
        <v>5205</v>
      </c>
      <c r="K162" s="14" t="s">
        <v>179</v>
      </c>
      <c r="L162" s="14" t="s">
        <v>5206</v>
      </c>
      <c r="M162" s="14" t="s">
        <v>179</v>
      </c>
      <c r="N162" s="14" t="s">
        <v>5207</v>
      </c>
      <c r="O162" s="14" t="s">
        <v>179</v>
      </c>
      <c r="P162" s="14" t="s">
        <v>5208</v>
      </c>
      <c r="Q162" s="14" t="s">
        <v>179</v>
      </c>
      <c r="R162" s="14" t="s">
        <v>5209</v>
      </c>
      <c r="S162" s="14" t="s">
        <v>179</v>
      </c>
      <c r="T162" s="14" t="s">
        <v>5210</v>
      </c>
      <c r="U162" s="14" t="s">
        <v>179</v>
      </c>
      <c r="V162" s="14" t="s">
        <v>5211</v>
      </c>
      <c r="W162" s="14" t="s">
        <v>179</v>
      </c>
      <c r="X162" s="14" t="s">
        <v>5212</v>
      </c>
      <c r="Y162" s="14" t="s">
        <v>179</v>
      </c>
      <c r="Z162" s="14" t="s">
        <v>5213</v>
      </c>
      <c r="AA162" s="14" t="s">
        <v>179</v>
      </c>
      <c r="AB162" s="14" t="s">
        <v>5214</v>
      </c>
      <c r="AC162" s="14" t="s">
        <v>179</v>
      </c>
      <c r="AD162" s="14" t="s">
        <v>5215</v>
      </c>
      <c r="AE162" s="14" t="s">
        <v>179</v>
      </c>
      <c r="AF162" s="14" t="s">
        <v>5216</v>
      </c>
      <c r="AG162" s="14" t="s">
        <v>179</v>
      </c>
      <c r="AH162" s="14" t="s">
        <v>5217</v>
      </c>
      <c r="AI162" s="14" t="s">
        <v>179</v>
      </c>
      <c r="AJ162" s="14" t="s">
        <v>5218</v>
      </c>
      <c r="AK162" s="14" t="s">
        <v>179</v>
      </c>
      <c r="AL162" s="14" t="s">
        <v>5219</v>
      </c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6" t="s">
        <v>197</v>
      </c>
      <c r="BP162" s="17" t="s">
        <v>198</v>
      </c>
      <c r="BQ162" s="18">
        <v>45715.56431712963</v>
      </c>
      <c r="BR162" s="17" t="s">
        <v>198</v>
      </c>
      <c r="BS162" s="18">
        <v>45715.56445601852</v>
      </c>
      <c r="BT162" s="17" t="s">
        <v>198</v>
      </c>
      <c r="BU162" s="18">
        <v>45715.56445601852</v>
      </c>
      <c r="BV162" s="13" t="s">
        <v>199</v>
      </c>
      <c r="BW162" s="14" t="s">
        <v>179</v>
      </c>
      <c r="BX162" s="14" t="s">
        <v>5220</v>
      </c>
      <c r="BY162" s="14" t="s">
        <v>179</v>
      </c>
      <c r="BZ162" s="14" t="s">
        <v>5221</v>
      </c>
      <c r="CA162" s="14" t="s">
        <v>179</v>
      </c>
      <c r="CB162" s="14" t="s">
        <v>5222</v>
      </c>
      <c r="CC162" s="14" t="s">
        <v>179</v>
      </c>
      <c r="CD162" s="14" t="s">
        <v>5223</v>
      </c>
      <c r="CE162" s="14" t="s">
        <v>179</v>
      </c>
      <c r="CF162" s="14" t="s">
        <v>5224</v>
      </c>
      <c r="CG162" s="14" t="s">
        <v>179</v>
      </c>
      <c r="CH162" s="14" t="s">
        <v>5225</v>
      </c>
      <c r="CI162" s="19"/>
      <c r="CJ162" s="15"/>
      <c r="CK162" s="19"/>
      <c r="CL162" s="15"/>
      <c r="CM162" s="19"/>
      <c r="CN162" s="15"/>
      <c r="CO162" s="19"/>
      <c r="CP162" s="15"/>
      <c r="CQ162" s="15"/>
      <c r="CR162" s="15"/>
      <c r="CS162" s="19"/>
      <c r="CT162" s="15"/>
      <c r="CU162" s="19"/>
      <c r="CV162" s="15"/>
      <c r="CW162" s="19"/>
      <c r="CX162" s="15"/>
      <c r="CY162" s="19"/>
      <c r="CZ162" s="15"/>
      <c r="DA162" s="16" t="s">
        <v>197</v>
      </c>
      <c r="DB162" s="17" t="s">
        <v>198</v>
      </c>
      <c r="DC162" s="20">
        <v>45719.358148148145</v>
      </c>
      <c r="DD162" s="17" t="s">
        <v>198</v>
      </c>
      <c r="DE162" s="18">
        <v>45719.35826388889</v>
      </c>
      <c r="DF162" s="17" t="s">
        <v>198</v>
      </c>
      <c r="DG162" s="18">
        <v>45719.35826388889</v>
      </c>
      <c r="DH162" s="13" t="s">
        <v>205</v>
      </c>
      <c r="DI162" s="14" t="s">
        <v>179</v>
      </c>
      <c r="DJ162" s="14" t="s">
        <v>5226</v>
      </c>
      <c r="DK162" s="14" t="s">
        <v>179</v>
      </c>
      <c r="DL162" s="14" t="s">
        <v>5227</v>
      </c>
      <c r="DM162" s="14" t="s">
        <v>179</v>
      </c>
      <c r="DN162" s="14" t="s">
        <v>5228</v>
      </c>
      <c r="DO162" s="14" t="s">
        <v>179</v>
      </c>
      <c r="DP162" s="14" t="s">
        <v>5229</v>
      </c>
      <c r="DQ162" s="15"/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6" t="s">
        <v>197</v>
      </c>
      <c r="ED162" s="17" t="s">
        <v>198</v>
      </c>
      <c r="EE162" s="18">
        <v>45719.358460648145</v>
      </c>
      <c r="EF162" s="13" t="s">
        <v>209</v>
      </c>
      <c r="EG162" s="14" t="s">
        <v>179</v>
      </c>
      <c r="EH162" s="14" t="s">
        <v>5230</v>
      </c>
      <c r="EI162" s="14" t="s">
        <v>179</v>
      </c>
      <c r="EJ162" s="14" t="s">
        <v>5231</v>
      </c>
      <c r="EK162" s="14" t="s">
        <v>179</v>
      </c>
      <c r="EL162" s="14" t="s">
        <v>5232</v>
      </c>
      <c r="EM162" s="14" t="s">
        <v>179</v>
      </c>
      <c r="EN162" s="14" t="s">
        <v>5233</v>
      </c>
      <c r="EO162" s="15"/>
      <c r="EP162" s="15"/>
      <c r="EQ162" s="15"/>
      <c r="ER162" s="15"/>
      <c r="ES162" s="15"/>
      <c r="ET162" s="15"/>
      <c r="EU162" s="15"/>
      <c r="EV162" s="15"/>
      <c r="EW162" s="15"/>
      <c r="EX162" s="15"/>
      <c r="EY162" s="15"/>
      <c r="EZ162" s="15"/>
      <c r="FA162" s="15"/>
      <c r="FB162" s="15"/>
      <c r="FC162" s="16" t="s">
        <v>197</v>
      </c>
      <c r="FD162" s="17" t="s">
        <v>198</v>
      </c>
      <c r="FE162" s="18">
        <v>45719.3587962963</v>
      </c>
      <c r="FF162" s="19"/>
      <c r="FG162" s="19"/>
      <c r="FH162" s="21" t="s">
        <v>197</v>
      </c>
      <c r="FI162" s="17" t="s">
        <v>214</v>
      </c>
      <c r="FJ162" s="18">
        <v>45719.3587962963</v>
      </c>
      <c r="FK162" s="14" t="s">
        <v>5233</v>
      </c>
      <c r="FL162" s="19"/>
      <c r="FM162" s="19"/>
      <c r="FN162" s="19"/>
      <c r="FO162" s="19"/>
      <c r="FP162" s="19" t="str">
        <f t="shared" si="1"/>
        <v/>
      </c>
      <c r="FQ162" s="14" t="s">
        <v>215</v>
      </c>
      <c r="FR162" s="14" t="s">
        <v>5234</v>
      </c>
    </row>
    <row r="163" ht="15.75" customHeight="1">
      <c r="A163" s="12" t="s">
        <v>174</v>
      </c>
      <c r="B163" s="12" t="s">
        <v>5132</v>
      </c>
      <c r="C163" s="24" t="s">
        <v>512</v>
      </c>
      <c r="D163" s="22" t="s">
        <v>5235</v>
      </c>
      <c r="E163" s="22" t="s">
        <v>5134</v>
      </c>
      <c r="F163" s="13" t="s">
        <v>178</v>
      </c>
      <c r="G163" s="14" t="s">
        <v>179</v>
      </c>
      <c r="H163" s="14" t="s">
        <v>5236</v>
      </c>
      <c r="I163" s="14" t="s">
        <v>179</v>
      </c>
      <c r="J163" s="14" t="s">
        <v>5237</v>
      </c>
      <c r="K163" s="14" t="s">
        <v>179</v>
      </c>
      <c r="L163" s="14" t="s">
        <v>5238</v>
      </c>
      <c r="M163" s="14" t="s">
        <v>179</v>
      </c>
      <c r="N163" s="14" t="s">
        <v>5239</v>
      </c>
      <c r="O163" s="14" t="s">
        <v>179</v>
      </c>
      <c r="P163" s="14" t="s">
        <v>5240</v>
      </c>
      <c r="Q163" s="14" t="s">
        <v>179</v>
      </c>
      <c r="R163" s="14" t="s">
        <v>5241</v>
      </c>
      <c r="S163" s="14" t="s">
        <v>179</v>
      </c>
      <c r="T163" s="14" t="s">
        <v>5242</v>
      </c>
      <c r="U163" s="14" t="s">
        <v>179</v>
      </c>
      <c r="V163" s="14" t="s">
        <v>5242</v>
      </c>
      <c r="W163" s="14" t="s">
        <v>179</v>
      </c>
      <c r="X163" s="14" t="s">
        <v>5243</v>
      </c>
      <c r="Y163" s="14" t="s">
        <v>179</v>
      </c>
      <c r="Z163" s="14" t="s">
        <v>5244</v>
      </c>
      <c r="AA163" s="14" t="s">
        <v>179</v>
      </c>
      <c r="AB163" s="14" t="s">
        <v>5245</v>
      </c>
      <c r="AC163" s="14" t="s">
        <v>179</v>
      </c>
      <c r="AD163" s="14" t="s">
        <v>5246</v>
      </c>
      <c r="AE163" s="14" t="s">
        <v>179</v>
      </c>
      <c r="AF163" s="14" t="s">
        <v>5247</v>
      </c>
      <c r="AG163" s="14" t="s">
        <v>179</v>
      </c>
      <c r="AH163" s="14" t="s">
        <v>5248</v>
      </c>
      <c r="AI163" s="14" t="s">
        <v>179</v>
      </c>
      <c r="AJ163" s="14" t="s">
        <v>5249</v>
      </c>
      <c r="AK163" s="14" t="s">
        <v>179</v>
      </c>
      <c r="AL163" s="14" t="s">
        <v>5250</v>
      </c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6" t="s">
        <v>197</v>
      </c>
      <c r="BP163" s="17" t="s">
        <v>198</v>
      </c>
      <c r="BQ163" s="18">
        <v>45686.36037037037</v>
      </c>
      <c r="BR163" s="17" t="s">
        <v>198</v>
      </c>
      <c r="BS163" s="18">
        <v>45686.36047453704</v>
      </c>
      <c r="BT163" s="17" t="s">
        <v>198</v>
      </c>
      <c r="BU163" s="18">
        <v>45686.36047453704</v>
      </c>
      <c r="BV163" s="13" t="s">
        <v>199</v>
      </c>
      <c r="BW163" s="14" t="s">
        <v>179</v>
      </c>
      <c r="BX163" s="14" t="s">
        <v>5251</v>
      </c>
      <c r="BY163" s="14" t="s">
        <v>179</v>
      </c>
      <c r="BZ163" s="14" t="s">
        <v>5252</v>
      </c>
      <c r="CA163" s="14" t="s">
        <v>179</v>
      </c>
      <c r="CB163" s="14" t="s">
        <v>5253</v>
      </c>
      <c r="CC163" s="14" t="s">
        <v>179</v>
      </c>
      <c r="CD163" s="14" t="s">
        <v>5254</v>
      </c>
      <c r="CE163" s="14" t="s">
        <v>179</v>
      </c>
      <c r="CF163" s="14" t="s">
        <v>5255</v>
      </c>
      <c r="CG163" s="14" t="s">
        <v>179</v>
      </c>
      <c r="CH163" s="14" t="s">
        <v>5256</v>
      </c>
      <c r="CI163" s="19"/>
      <c r="CJ163" s="15"/>
      <c r="CK163" s="19"/>
      <c r="CL163" s="15"/>
      <c r="CM163" s="19"/>
      <c r="CN163" s="15"/>
      <c r="CO163" s="19"/>
      <c r="CP163" s="15"/>
      <c r="CQ163" s="15"/>
      <c r="CR163" s="15"/>
      <c r="CS163" s="19"/>
      <c r="CT163" s="15"/>
      <c r="CU163" s="19"/>
      <c r="CV163" s="15"/>
      <c r="CW163" s="19"/>
      <c r="CX163" s="15"/>
      <c r="CY163" s="19"/>
      <c r="CZ163" s="15"/>
      <c r="DA163" s="16" t="s">
        <v>197</v>
      </c>
      <c r="DB163" s="17" t="s">
        <v>198</v>
      </c>
      <c r="DC163" s="20">
        <v>45719.490069444444</v>
      </c>
      <c r="DD163" s="17" t="s">
        <v>198</v>
      </c>
      <c r="DE163" s="18">
        <v>45719.490115740744</v>
      </c>
      <c r="DF163" s="17" t="s">
        <v>198</v>
      </c>
      <c r="DG163" s="18">
        <v>45719.490115740744</v>
      </c>
      <c r="DH163" s="13" t="s">
        <v>205</v>
      </c>
      <c r="DI163" s="14" t="s">
        <v>179</v>
      </c>
      <c r="DJ163" s="14" t="s">
        <v>5257</v>
      </c>
      <c r="DK163" s="14" t="s">
        <v>179</v>
      </c>
      <c r="DL163" s="14" t="s">
        <v>5258</v>
      </c>
      <c r="DM163" s="14" t="s">
        <v>179</v>
      </c>
      <c r="DN163" s="14" t="s">
        <v>5259</v>
      </c>
      <c r="DO163" s="14" t="s">
        <v>179</v>
      </c>
      <c r="DP163" s="14" t="s">
        <v>5260</v>
      </c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6" t="s">
        <v>197</v>
      </c>
      <c r="ED163" s="17" t="s">
        <v>198</v>
      </c>
      <c r="EE163" s="18">
        <v>45719.49024305555</v>
      </c>
      <c r="EF163" s="13" t="s">
        <v>209</v>
      </c>
      <c r="EG163" s="14" t="s">
        <v>179</v>
      </c>
      <c r="EH163" s="14" t="s">
        <v>5261</v>
      </c>
      <c r="EI163" s="14" t="s">
        <v>179</v>
      </c>
      <c r="EJ163" s="14" t="s">
        <v>5262</v>
      </c>
      <c r="EK163" s="14" t="s">
        <v>179</v>
      </c>
      <c r="EL163" s="14" t="s">
        <v>5261</v>
      </c>
      <c r="EM163" s="14" t="s">
        <v>179</v>
      </c>
      <c r="EN163" s="14" t="s">
        <v>5263</v>
      </c>
      <c r="EO163" s="15"/>
      <c r="EP163" s="15"/>
      <c r="EQ163" s="15"/>
      <c r="ER163" s="15"/>
      <c r="ES163" s="15"/>
      <c r="ET163" s="15"/>
      <c r="EU163" s="15"/>
      <c r="EV163" s="15"/>
      <c r="EW163" s="15"/>
      <c r="EX163" s="15"/>
      <c r="EY163" s="15"/>
      <c r="EZ163" s="15"/>
      <c r="FA163" s="15"/>
      <c r="FB163" s="15"/>
      <c r="FC163" s="16" t="s">
        <v>197</v>
      </c>
      <c r="FD163" s="17" t="s">
        <v>198</v>
      </c>
      <c r="FE163" s="18">
        <v>45723.285</v>
      </c>
      <c r="FF163" s="19"/>
      <c r="FG163" s="19"/>
      <c r="FH163" s="21" t="s">
        <v>197</v>
      </c>
      <c r="FI163" s="17" t="s">
        <v>214</v>
      </c>
      <c r="FJ163" s="18">
        <v>45723.285</v>
      </c>
      <c r="FK163" s="14" t="s">
        <v>5263</v>
      </c>
      <c r="FL163" s="14" t="s">
        <v>5264</v>
      </c>
      <c r="FM163" s="14" t="s">
        <v>5265</v>
      </c>
      <c r="FN163" s="14" t="s">
        <v>5266</v>
      </c>
      <c r="FO163" s="14" t="s">
        <v>5267</v>
      </c>
      <c r="FP163" s="19" t="str">
        <f t="shared" si="1"/>
        <v>Base de Dados_Images/BC9215.Imagem do Equipamento-.125730.jpg</v>
      </c>
      <c r="FQ163" s="19"/>
      <c r="FR163" s="19"/>
    </row>
    <row r="164" ht="15.75" customHeight="1">
      <c r="A164" s="12" t="s">
        <v>174</v>
      </c>
      <c r="B164" s="12" t="s">
        <v>5132</v>
      </c>
      <c r="C164" s="24" t="s">
        <v>512</v>
      </c>
      <c r="D164" s="22" t="s">
        <v>5268</v>
      </c>
      <c r="E164" s="22" t="s">
        <v>5269</v>
      </c>
      <c r="F164" s="13" t="s">
        <v>178</v>
      </c>
      <c r="G164" s="14" t="s">
        <v>179</v>
      </c>
      <c r="H164" s="14" t="s">
        <v>5270</v>
      </c>
      <c r="I164" s="14" t="s">
        <v>179</v>
      </c>
      <c r="J164" s="14" t="s">
        <v>5271</v>
      </c>
      <c r="K164" s="14" t="s">
        <v>179</v>
      </c>
      <c r="L164" s="14" t="s">
        <v>5272</v>
      </c>
      <c r="M164" s="14" t="s">
        <v>179</v>
      </c>
      <c r="N164" s="14" t="s">
        <v>5273</v>
      </c>
      <c r="O164" s="14" t="s">
        <v>179</v>
      </c>
      <c r="P164" s="14" t="s">
        <v>5274</v>
      </c>
      <c r="Q164" s="14" t="s">
        <v>179</v>
      </c>
      <c r="R164" s="14" t="s">
        <v>5275</v>
      </c>
      <c r="S164" s="14" t="s">
        <v>179</v>
      </c>
      <c r="T164" s="14" t="s">
        <v>5276</v>
      </c>
      <c r="U164" s="14" t="s">
        <v>179</v>
      </c>
      <c r="V164" s="14" t="s">
        <v>5277</v>
      </c>
      <c r="W164" s="14" t="s">
        <v>179</v>
      </c>
      <c r="X164" s="14" t="s">
        <v>5278</v>
      </c>
      <c r="Y164" s="14" t="s">
        <v>179</v>
      </c>
      <c r="Z164" s="14" t="s">
        <v>5279</v>
      </c>
      <c r="AA164" s="14" t="s">
        <v>179</v>
      </c>
      <c r="AB164" s="14" t="s">
        <v>5280</v>
      </c>
      <c r="AC164" s="14" t="s">
        <v>179</v>
      </c>
      <c r="AD164" s="14" t="s">
        <v>5281</v>
      </c>
      <c r="AE164" s="14" t="s">
        <v>179</v>
      </c>
      <c r="AF164" s="14" t="s">
        <v>5282</v>
      </c>
      <c r="AG164" s="14" t="s">
        <v>179</v>
      </c>
      <c r="AH164" s="14" t="s">
        <v>5283</v>
      </c>
      <c r="AI164" s="14" t="s">
        <v>179</v>
      </c>
      <c r="AJ164" s="14" t="s">
        <v>5284</v>
      </c>
      <c r="AK164" s="14" t="s">
        <v>179</v>
      </c>
      <c r="AL164" s="14" t="s">
        <v>5285</v>
      </c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6" t="s">
        <v>197</v>
      </c>
      <c r="BP164" s="17" t="s">
        <v>198</v>
      </c>
      <c r="BQ164" s="18">
        <v>45686.35946759259</v>
      </c>
      <c r="BR164" s="17" t="s">
        <v>198</v>
      </c>
      <c r="BS164" s="18">
        <v>45686.359606481485</v>
      </c>
      <c r="BT164" s="17" t="s">
        <v>198</v>
      </c>
      <c r="BU164" s="18">
        <v>45686.359606481485</v>
      </c>
      <c r="BV164" s="13" t="s">
        <v>199</v>
      </c>
      <c r="BW164" s="14" t="s">
        <v>179</v>
      </c>
      <c r="BX164" s="14" t="s">
        <v>5286</v>
      </c>
      <c r="BY164" s="14" t="s">
        <v>179</v>
      </c>
      <c r="BZ164" s="14" t="s">
        <v>5287</v>
      </c>
      <c r="CA164" s="14" t="s">
        <v>179</v>
      </c>
      <c r="CB164" s="14" t="s">
        <v>5288</v>
      </c>
      <c r="CC164" s="14" t="s">
        <v>179</v>
      </c>
      <c r="CD164" s="14" t="s">
        <v>5289</v>
      </c>
      <c r="CE164" s="14" t="s">
        <v>179</v>
      </c>
      <c r="CF164" s="14" t="s">
        <v>5290</v>
      </c>
      <c r="CG164" s="14" t="s">
        <v>179</v>
      </c>
      <c r="CH164" s="14" t="s">
        <v>5291</v>
      </c>
      <c r="CI164" s="19"/>
      <c r="CJ164" s="15"/>
      <c r="CK164" s="19"/>
      <c r="CL164" s="15"/>
      <c r="CM164" s="19"/>
      <c r="CN164" s="15"/>
      <c r="CO164" s="19"/>
      <c r="CP164" s="15"/>
      <c r="CQ164" s="15"/>
      <c r="CR164" s="15"/>
      <c r="CS164" s="19"/>
      <c r="CT164" s="15"/>
      <c r="CU164" s="19"/>
      <c r="CV164" s="15"/>
      <c r="CW164" s="19"/>
      <c r="CX164" s="15"/>
      <c r="CY164" s="19"/>
      <c r="CZ164" s="15"/>
      <c r="DA164" s="16" t="s">
        <v>197</v>
      </c>
      <c r="DB164" s="17" t="s">
        <v>198</v>
      </c>
      <c r="DC164" s="20">
        <v>45719.490578703706</v>
      </c>
      <c r="DD164" s="17" t="s">
        <v>198</v>
      </c>
      <c r="DE164" s="18">
        <v>45719.490625</v>
      </c>
      <c r="DF164" s="17" t="s">
        <v>198</v>
      </c>
      <c r="DG164" s="18">
        <v>45719.490625</v>
      </c>
      <c r="DH164" s="13" t="s">
        <v>205</v>
      </c>
      <c r="DI164" s="14" t="s">
        <v>179</v>
      </c>
      <c r="DJ164" s="14" t="s">
        <v>5292</v>
      </c>
      <c r="DK164" s="14" t="s">
        <v>179</v>
      </c>
      <c r="DL164" s="14" t="s">
        <v>5293</v>
      </c>
      <c r="DM164" s="14" t="s">
        <v>179</v>
      </c>
      <c r="DN164" s="14" t="s">
        <v>5294</v>
      </c>
      <c r="DO164" s="14" t="s">
        <v>179</v>
      </c>
      <c r="DP164" s="14" t="s">
        <v>5295</v>
      </c>
      <c r="DQ164" s="15"/>
      <c r="DR164" s="15"/>
      <c r="DS164" s="15"/>
      <c r="DT164" s="15"/>
      <c r="DU164" s="15"/>
      <c r="DV164" s="15"/>
      <c r="DW164" s="15"/>
      <c r="DX164" s="15"/>
      <c r="DY164" s="15"/>
      <c r="DZ164" s="15"/>
      <c r="EA164" s="15"/>
      <c r="EB164" s="15"/>
      <c r="EC164" s="16" t="s">
        <v>197</v>
      </c>
      <c r="ED164" s="17" t="s">
        <v>198</v>
      </c>
      <c r="EE164" s="18">
        <v>45719.49072916667</v>
      </c>
      <c r="EF164" s="13" t="s">
        <v>209</v>
      </c>
      <c r="EG164" s="14" t="s">
        <v>179</v>
      </c>
      <c r="EH164" s="14" t="s">
        <v>5296</v>
      </c>
      <c r="EI164" s="14" t="s">
        <v>179</v>
      </c>
      <c r="EJ164" s="14" t="s">
        <v>5297</v>
      </c>
      <c r="EK164" s="14" t="s">
        <v>179</v>
      </c>
      <c r="EL164" s="14" t="s">
        <v>5296</v>
      </c>
      <c r="EM164" s="14" t="s">
        <v>179</v>
      </c>
      <c r="EN164" s="14" t="s">
        <v>5298</v>
      </c>
      <c r="EO164" s="15"/>
      <c r="EP164" s="15"/>
      <c r="EQ164" s="15"/>
      <c r="ER164" s="15"/>
      <c r="ES164" s="15"/>
      <c r="ET164" s="15"/>
      <c r="EU164" s="15"/>
      <c r="EV164" s="15"/>
      <c r="EW164" s="15"/>
      <c r="EX164" s="15"/>
      <c r="EY164" s="15"/>
      <c r="EZ164" s="15"/>
      <c r="FA164" s="15"/>
      <c r="FB164" s="15"/>
      <c r="FC164" s="16" t="s">
        <v>197</v>
      </c>
      <c r="FD164" s="17" t="s">
        <v>198</v>
      </c>
      <c r="FE164" s="18">
        <v>45723.28508101852</v>
      </c>
      <c r="FF164" s="19"/>
      <c r="FG164" s="19"/>
      <c r="FH164" s="21" t="s">
        <v>197</v>
      </c>
      <c r="FI164" s="17" t="s">
        <v>214</v>
      </c>
      <c r="FJ164" s="18">
        <v>45723.28508101852</v>
      </c>
      <c r="FK164" s="14" t="s">
        <v>5298</v>
      </c>
      <c r="FL164" s="14" t="s">
        <v>5299</v>
      </c>
      <c r="FM164" s="14" t="s">
        <v>5300</v>
      </c>
      <c r="FN164" s="14" t="s">
        <v>5301</v>
      </c>
      <c r="FO164" s="14" t="s">
        <v>5302</v>
      </c>
      <c r="FP164" s="19" t="str">
        <f t="shared" si="1"/>
        <v>Base de Dados_Images/BC9216.Imagem do Equipamento-.125601.jpg</v>
      </c>
      <c r="FQ164" s="19"/>
      <c r="FR164" s="19"/>
    </row>
    <row r="165" ht="15.75" customHeight="1">
      <c r="A165" s="12" t="s">
        <v>357</v>
      </c>
      <c r="B165" s="12" t="s">
        <v>4697</v>
      </c>
      <c r="C165" s="24" t="s">
        <v>512</v>
      </c>
      <c r="D165" s="22" t="s">
        <v>5303</v>
      </c>
      <c r="E165" s="22" t="s">
        <v>5304</v>
      </c>
      <c r="F165" s="13" t="s">
        <v>178</v>
      </c>
      <c r="G165" s="14" t="s">
        <v>179</v>
      </c>
      <c r="H165" s="14" t="s">
        <v>5305</v>
      </c>
      <c r="I165" s="14" t="s">
        <v>179</v>
      </c>
      <c r="J165" s="14" t="s">
        <v>5306</v>
      </c>
      <c r="K165" s="14" t="s">
        <v>179</v>
      </c>
      <c r="L165" s="14" t="s">
        <v>5307</v>
      </c>
      <c r="M165" s="14" t="s">
        <v>179</v>
      </c>
      <c r="N165" s="14" t="s">
        <v>5308</v>
      </c>
      <c r="O165" s="14" t="s">
        <v>179</v>
      </c>
      <c r="P165" s="14" t="s">
        <v>5309</v>
      </c>
      <c r="Q165" s="14" t="s">
        <v>179</v>
      </c>
      <c r="R165" s="14" t="s">
        <v>5310</v>
      </c>
      <c r="S165" s="14" t="s">
        <v>179</v>
      </c>
      <c r="T165" s="14" t="s">
        <v>5311</v>
      </c>
      <c r="U165" s="14" t="s">
        <v>179</v>
      </c>
      <c r="V165" s="14" t="s">
        <v>5312</v>
      </c>
      <c r="W165" s="14" t="s">
        <v>179</v>
      </c>
      <c r="X165" s="14" t="s">
        <v>5313</v>
      </c>
      <c r="Y165" s="14" t="s">
        <v>179</v>
      </c>
      <c r="Z165" s="14" t="s">
        <v>5314</v>
      </c>
      <c r="AA165" s="14" t="s">
        <v>179</v>
      </c>
      <c r="AB165" s="14" t="s">
        <v>5315</v>
      </c>
      <c r="AC165" s="14" t="s">
        <v>179</v>
      </c>
      <c r="AD165" s="14" t="s">
        <v>5316</v>
      </c>
      <c r="AE165" s="14" t="s">
        <v>179</v>
      </c>
      <c r="AF165" s="14" t="s">
        <v>5317</v>
      </c>
      <c r="AG165" s="14" t="s">
        <v>179</v>
      </c>
      <c r="AH165" s="14" t="s">
        <v>5318</v>
      </c>
      <c r="AI165" s="14" t="s">
        <v>179</v>
      </c>
      <c r="AJ165" s="14" t="s">
        <v>5319</v>
      </c>
      <c r="AK165" s="14" t="s">
        <v>179</v>
      </c>
      <c r="AL165" s="14" t="s">
        <v>5320</v>
      </c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6" t="s">
        <v>197</v>
      </c>
      <c r="BP165" s="17" t="s">
        <v>198</v>
      </c>
      <c r="BQ165" s="18">
        <v>45681.443240740744</v>
      </c>
      <c r="BR165" s="17" t="s">
        <v>198</v>
      </c>
      <c r="BS165" s="18">
        <v>45681.443391203706</v>
      </c>
      <c r="BT165" s="17" t="s">
        <v>198</v>
      </c>
      <c r="BU165" s="18">
        <v>45681.443391203706</v>
      </c>
      <c r="BV165" s="13" t="s">
        <v>199</v>
      </c>
      <c r="BW165" s="14" t="s">
        <v>179</v>
      </c>
      <c r="BX165" s="14" t="s">
        <v>5321</v>
      </c>
      <c r="BY165" s="14" t="s">
        <v>179</v>
      </c>
      <c r="BZ165" s="14" t="s">
        <v>5322</v>
      </c>
      <c r="CA165" s="14" t="s">
        <v>179</v>
      </c>
      <c r="CB165" s="14" t="s">
        <v>5323</v>
      </c>
      <c r="CC165" s="14" t="s">
        <v>179</v>
      </c>
      <c r="CD165" s="14" t="s">
        <v>5324</v>
      </c>
      <c r="CE165" s="14" t="s">
        <v>179</v>
      </c>
      <c r="CF165" s="14" t="s">
        <v>5324</v>
      </c>
      <c r="CG165" s="14" t="s">
        <v>179</v>
      </c>
      <c r="CH165" s="14" t="s">
        <v>5325</v>
      </c>
      <c r="CI165" s="19"/>
      <c r="CJ165" s="15"/>
      <c r="CK165" s="19"/>
      <c r="CL165" s="15"/>
      <c r="CM165" s="19"/>
      <c r="CN165" s="15"/>
      <c r="CO165" s="19"/>
      <c r="CP165" s="15"/>
      <c r="CQ165" s="15"/>
      <c r="CR165" s="15"/>
      <c r="CS165" s="19"/>
      <c r="CT165" s="15"/>
      <c r="CU165" s="19"/>
      <c r="CV165" s="15"/>
      <c r="CW165" s="19"/>
      <c r="CX165" s="15"/>
      <c r="CY165" s="19"/>
      <c r="CZ165" s="15"/>
      <c r="DA165" s="16" t="s">
        <v>197</v>
      </c>
      <c r="DB165" s="17" t="s">
        <v>198</v>
      </c>
      <c r="DC165" s="20">
        <v>45723.38502314815</v>
      </c>
      <c r="DD165" s="17" t="s">
        <v>198</v>
      </c>
      <c r="DE165" s="18">
        <v>45723.385092592594</v>
      </c>
      <c r="DF165" s="17" t="s">
        <v>198</v>
      </c>
      <c r="DG165" s="18">
        <v>45723.385092592594</v>
      </c>
      <c r="DH165" s="13" t="s">
        <v>205</v>
      </c>
      <c r="DI165" s="14" t="s">
        <v>179</v>
      </c>
      <c r="DJ165" s="14" t="s">
        <v>5326</v>
      </c>
      <c r="DK165" s="14" t="s">
        <v>179</v>
      </c>
      <c r="DL165" s="14" t="s">
        <v>5326</v>
      </c>
      <c r="DM165" s="14" t="s">
        <v>179</v>
      </c>
      <c r="DN165" s="14" t="s">
        <v>5327</v>
      </c>
      <c r="DO165" s="14" t="s">
        <v>179</v>
      </c>
      <c r="DP165" s="14" t="s">
        <v>5328</v>
      </c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6" t="s">
        <v>197</v>
      </c>
      <c r="ED165" s="17" t="s">
        <v>198</v>
      </c>
      <c r="EE165" s="18">
        <v>45723.38517361111</v>
      </c>
      <c r="EF165" s="13" t="s">
        <v>209</v>
      </c>
      <c r="EG165" s="14" t="s">
        <v>179</v>
      </c>
      <c r="EH165" s="14" t="s">
        <v>5329</v>
      </c>
      <c r="EI165" s="14" t="s">
        <v>179</v>
      </c>
      <c r="EJ165" s="14" t="s">
        <v>5330</v>
      </c>
      <c r="EK165" s="14" t="s">
        <v>179</v>
      </c>
      <c r="EL165" s="14" t="s">
        <v>5331</v>
      </c>
      <c r="EM165" s="14" t="s">
        <v>179</v>
      </c>
      <c r="EN165" s="14" t="s">
        <v>5332</v>
      </c>
      <c r="EO165" s="15"/>
      <c r="EP165" s="15"/>
      <c r="EQ165" s="15"/>
      <c r="ER165" s="15"/>
      <c r="ES165" s="15"/>
      <c r="ET165" s="15"/>
      <c r="EU165" s="15"/>
      <c r="EV165" s="15"/>
      <c r="EW165" s="15"/>
      <c r="EX165" s="15"/>
      <c r="EY165" s="15"/>
      <c r="EZ165" s="15"/>
      <c r="FA165" s="15"/>
      <c r="FB165" s="15"/>
      <c r="FC165" s="16" t="s">
        <v>197</v>
      </c>
      <c r="FD165" s="17" t="s">
        <v>198</v>
      </c>
      <c r="FE165" s="18">
        <v>45723.3852662037</v>
      </c>
      <c r="FF165" s="19"/>
      <c r="FG165" s="19"/>
      <c r="FH165" s="21" t="s">
        <v>197</v>
      </c>
      <c r="FI165" s="17" t="s">
        <v>214</v>
      </c>
      <c r="FJ165" s="18">
        <v>45723.3852662037</v>
      </c>
      <c r="FK165" s="14" t="s">
        <v>5332</v>
      </c>
      <c r="FL165" s="14" t="s">
        <v>5333</v>
      </c>
      <c r="FM165" s="14" t="s">
        <v>5334</v>
      </c>
      <c r="FN165" s="14" t="s">
        <v>5335</v>
      </c>
      <c r="FO165" s="14" t="s">
        <v>5336</v>
      </c>
      <c r="FP165" s="19" t="str">
        <f t="shared" si="1"/>
        <v>Base de Dados_Images/BC9217.Imagem do Equipamento-.142917.jpg</v>
      </c>
      <c r="FQ165" s="19"/>
      <c r="FR165" s="19"/>
    </row>
    <row r="166" ht="15.75" customHeight="1">
      <c r="A166" s="12" t="s">
        <v>357</v>
      </c>
      <c r="B166" s="12" t="s">
        <v>4697</v>
      </c>
      <c r="C166" s="24" t="s">
        <v>512</v>
      </c>
      <c r="D166" s="22" t="s">
        <v>5337</v>
      </c>
      <c r="E166" s="22" t="s">
        <v>5338</v>
      </c>
      <c r="F166" s="13" t="s">
        <v>178</v>
      </c>
      <c r="G166" s="14" t="s">
        <v>179</v>
      </c>
      <c r="H166" s="14" t="s">
        <v>5339</v>
      </c>
      <c r="I166" s="14" t="s">
        <v>179</v>
      </c>
      <c r="J166" s="14" t="s">
        <v>5340</v>
      </c>
      <c r="K166" s="14" t="s">
        <v>179</v>
      </c>
      <c r="L166" s="14" t="s">
        <v>5341</v>
      </c>
      <c r="M166" s="14" t="s">
        <v>179</v>
      </c>
      <c r="N166" s="14" t="s">
        <v>5342</v>
      </c>
      <c r="O166" s="14" t="s">
        <v>179</v>
      </c>
      <c r="P166" s="14" t="s">
        <v>5343</v>
      </c>
      <c r="Q166" s="14" t="s">
        <v>179</v>
      </c>
      <c r="R166" s="14" t="s">
        <v>5344</v>
      </c>
      <c r="S166" s="14" t="s">
        <v>179</v>
      </c>
      <c r="T166" s="14" t="s">
        <v>5345</v>
      </c>
      <c r="U166" s="14" t="s">
        <v>179</v>
      </c>
      <c r="V166" s="14" t="s">
        <v>5346</v>
      </c>
      <c r="W166" s="14" t="s">
        <v>179</v>
      </c>
      <c r="X166" s="14" t="s">
        <v>5347</v>
      </c>
      <c r="Y166" s="14" t="s">
        <v>179</v>
      </c>
      <c r="Z166" s="14" t="s">
        <v>5348</v>
      </c>
      <c r="AA166" s="14" t="s">
        <v>179</v>
      </c>
      <c r="AB166" s="14" t="s">
        <v>5349</v>
      </c>
      <c r="AC166" s="14" t="s">
        <v>179</v>
      </c>
      <c r="AD166" s="14" t="s">
        <v>5350</v>
      </c>
      <c r="AE166" s="14" t="s">
        <v>179</v>
      </c>
      <c r="AF166" s="14" t="s">
        <v>5351</v>
      </c>
      <c r="AG166" s="14" t="s">
        <v>179</v>
      </c>
      <c r="AH166" s="14" t="s">
        <v>5352</v>
      </c>
      <c r="AI166" s="14" t="s">
        <v>179</v>
      </c>
      <c r="AJ166" s="14" t="s">
        <v>5353</v>
      </c>
      <c r="AK166" s="14" t="s">
        <v>179</v>
      </c>
      <c r="AL166" s="14" t="s">
        <v>5354</v>
      </c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6" t="s">
        <v>197</v>
      </c>
      <c r="BP166" s="17" t="s">
        <v>198</v>
      </c>
      <c r="BQ166" s="18">
        <v>45681.4403125</v>
      </c>
      <c r="BR166" s="17" t="s">
        <v>198</v>
      </c>
      <c r="BS166" s="18">
        <v>45681.440567129626</v>
      </c>
      <c r="BT166" s="17" t="s">
        <v>198</v>
      </c>
      <c r="BU166" s="18">
        <v>45681.440567129626</v>
      </c>
      <c r="BV166" s="13" t="s">
        <v>199</v>
      </c>
      <c r="BW166" s="14" t="s">
        <v>179</v>
      </c>
      <c r="BX166" s="14" t="s">
        <v>5355</v>
      </c>
      <c r="BY166" s="14" t="s">
        <v>179</v>
      </c>
      <c r="BZ166" s="14" t="s">
        <v>5355</v>
      </c>
      <c r="CA166" s="14" t="s">
        <v>179</v>
      </c>
      <c r="CB166" s="14" t="s">
        <v>5356</v>
      </c>
      <c r="CC166" s="14" t="s">
        <v>179</v>
      </c>
      <c r="CD166" s="14" t="s">
        <v>5357</v>
      </c>
      <c r="CE166" s="14" t="s">
        <v>179</v>
      </c>
      <c r="CF166" s="14" t="s">
        <v>5358</v>
      </c>
      <c r="CG166" s="14" t="s">
        <v>179</v>
      </c>
      <c r="CH166" s="14" t="s">
        <v>5358</v>
      </c>
      <c r="CI166" s="19"/>
      <c r="CJ166" s="15"/>
      <c r="CK166" s="19"/>
      <c r="CL166" s="15"/>
      <c r="CM166" s="19"/>
      <c r="CN166" s="15"/>
      <c r="CO166" s="19"/>
      <c r="CP166" s="15"/>
      <c r="CQ166" s="15"/>
      <c r="CR166" s="15"/>
      <c r="CS166" s="19"/>
      <c r="CT166" s="15"/>
      <c r="CU166" s="19"/>
      <c r="CV166" s="15"/>
      <c r="CW166" s="19"/>
      <c r="CX166" s="15"/>
      <c r="CY166" s="19"/>
      <c r="CZ166" s="15"/>
      <c r="DA166" s="16" t="s">
        <v>197</v>
      </c>
      <c r="DB166" s="17" t="s">
        <v>198</v>
      </c>
      <c r="DC166" s="20">
        <v>45723.385358796295</v>
      </c>
      <c r="DD166" s="17" t="s">
        <v>198</v>
      </c>
      <c r="DE166" s="18">
        <v>45723.38539351852</v>
      </c>
      <c r="DF166" s="17" t="s">
        <v>198</v>
      </c>
      <c r="DG166" s="18">
        <v>45723.38539351852</v>
      </c>
      <c r="DH166" s="13" t="s">
        <v>205</v>
      </c>
      <c r="DI166" s="14" t="s">
        <v>179</v>
      </c>
      <c r="DJ166" s="14" t="s">
        <v>5359</v>
      </c>
      <c r="DK166" s="14" t="s">
        <v>179</v>
      </c>
      <c r="DL166" s="14" t="s">
        <v>5360</v>
      </c>
      <c r="DM166" s="14" t="s">
        <v>179</v>
      </c>
      <c r="DN166" s="14" t="s">
        <v>5360</v>
      </c>
      <c r="DO166" s="14" t="s">
        <v>179</v>
      </c>
      <c r="DP166" s="14" t="s">
        <v>5361</v>
      </c>
      <c r="DQ166" s="15"/>
      <c r="DR166" s="15"/>
      <c r="DS166" s="15"/>
      <c r="DT166" s="15"/>
      <c r="DU166" s="15"/>
      <c r="DV166" s="15"/>
      <c r="DW166" s="15"/>
      <c r="DX166" s="15"/>
      <c r="DY166" s="15"/>
      <c r="DZ166" s="15"/>
      <c r="EA166" s="15"/>
      <c r="EB166" s="15"/>
      <c r="EC166" s="16" t="s">
        <v>197</v>
      </c>
      <c r="ED166" s="17" t="s">
        <v>198</v>
      </c>
      <c r="EE166" s="18">
        <v>45723.38547453703</v>
      </c>
      <c r="EF166" s="13" t="s">
        <v>209</v>
      </c>
      <c r="EG166" s="14" t="s">
        <v>179</v>
      </c>
      <c r="EH166" s="14" t="s">
        <v>5362</v>
      </c>
      <c r="EI166" s="14" t="s">
        <v>179</v>
      </c>
      <c r="EJ166" s="14" t="s">
        <v>5362</v>
      </c>
      <c r="EK166" s="14" t="s">
        <v>179</v>
      </c>
      <c r="EL166" s="14" t="s">
        <v>5363</v>
      </c>
      <c r="EM166" s="14" t="s">
        <v>179</v>
      </c>
      <c r="EN166" s="14" t="s">
        <v>5364</v>
      </c>
      <c r="EO166" s="15"/>
      <c r="EP166" s="15"/>
      <c r="EQ166" s="15"/>
      <c r="ER166" s="15"/>
      <c r="ES166" s="15"/>
      <c r="ET166" s="15"/>
      <c r="EU166" s="15"/>
      <c r="EV166" s="15"/>
      <c r="EW166" s="15"/>
      <c r="EX166" s="15"/>
      <c r="EY166" s="15"/>
      <c r="EZ166" s="15"/>
      <c r="FA166" s="15"/>
      <c r="FB166" s="15"/>
      <c r="FC166" s="16" t="s">
        <v>197</v>
      </c>
      <c r="FD166" s="17" t="s">
        <v>198</v>
      </c>
      <c r="FE166" s="18">
        <v>45723.38554398148</v>
      </c>
      <c r="FF166" s="19"/>
      <c r="FG166" s="19"/>
      <c r="FH166" s="21" t="s">
        <v>197</v>
      </c>
      <c r="FI166" s="17" t="s">
        <v>214</v>
      </c>
      <c r="FJ166" s="18">
        <v>45723.38554398148</v>
      </c>
      <c r="FK166" s="14" t="s">
        <v>5364</v>
      </c>
      <c r="FL166" s="14" t="s">
        <v>5365</v>
      </c>
      <c r="FM166" s="14" t="s">
        <v>5366</v>
      </c>
      <c r="FN166" s="14" t="s">
        <v>5367</v>
      </c>
      <c r="FO166" s="14" t="s">
        <v>5368</v>
      </c>
      <c r="FP166" s="19" t="str">
        <f t="shared" si="1"/>
        <v>Base de Dados_Images/BC9218.Imagem do Equipamento-.124827.jpg</v>
      </c>
      <c r="FQ166" s="19"/>
      <c r="FR166" s="19"/>
    </row>
    <row r="167" ht="15.75" customHeight="1">
      <c r="A167" s="12" t="s">
        <v>357</v>
      </c>
      <c r="B167" s="12" t="s">
        <v>4697</v>
      </c>
      <c r="C167" s="24" t="s">
        <v>512</v>
      </c>
      <c r="D167" s="22" t="s">
        <v>5369</v>
      </c>
      <c r="E167" s="22" t="s">
        <v>5370</v>
      </c>
      <c r="F167" s="13" t="s">
        <v>178</v>
      </c>
      <c r="G167" s="14" t="s">
        <v>179</v>
      </c>
      <c r="H167" s="14" t="s">
        <v>5371</v>
      </c>
      <c r="I167" s="14" t="s">
        <v>179</v>
      </c>
      <c r="J167" s="14" t="s">
        <v>5372</v>
      </c>
      <c r="K167" s="14" t="s">
        <v>179</v>
      </c>
      <c r="L167" s="14" t="s">
        <v>5373</v>
      </c>
      <c r="M167" s="14" t="s">
        <v>179</v>
      </c>
      <c r="N167" s="14" t="s">
        <v>5374</v>
      </c>
      <c r="O167" s="14" t="s">
        <v>179</v>
      </c>
      <c r="P167" s="14" t="s">
        <v>5375</v>
      </c>
      <c r="Q167" s="14" t="s">
        <v>179</v>
      </c>
      <c r="R167" s="14" t="s">
        <v>5376</v>
      </c>
      <c r="S167" s="14" t="s">
        <v>179</v>
      </c>
      <c r="T167" s="14" t="s">
        <v>5377</v>
      </c>
      <c r="U167" s="14" t="s">
        <v>179</v>
      </c>
      <c r="V167" s="14" t="s">
        <v>5378</v>
      </c>
      <c r="W167" s="14" t="s">
        <v>179</v>
      </c>
      <c r="X167" s="14" t="s">
        <v>5379</v>
      </c>
      <c r="Y167" s="14" t="s">
        <v>179</v>
      </c>
      <c r="Z167" s="14" t="s">
        <v>5380</v>
      </c>
      <c r="AA167" s="14" t="s">
        <v>179</v>
      </c>
      <c r="AB167" s="14" t="s">
        <v>5381</v>
      </c>
      <c r="AC167" s="14" t="s">
        <v>179</v>
      </c>
      <c r="AD167" s="14" t="s">
        <v>5382</v>
      </c>
      <c r="AE167" s="14" t="s">
        <v>179</v>
      </c>
      <c r="AF167" s="14" t="s">
        <v>5383</v>
      </c>
      <c r="AG167" s="14" t="s">
        <v>179</v>
      </c>
      <c r="AH167" s="14" t="s">
        <v>5384</v>
      </c>
      <c r="AI167" s="14" t="s">
        <v>179</v>
      </c>
      <c r="AJ167" s="14" t="s">
        <v>5385</v>
      </c>
      <c r="AK167" s="14" t="s">
        <v>179</v>
      </c>
      <c r="AL167" s="14" t="s">
        <v>5386</v>
      </c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6" t="s">
        <v>197</v>
      </c>
      <c r="BP167" s="17" t="s">
        <v>198</v>
      </c>
      <c r="BQ167" s="18">
        <v>45681.44428240741</v>
      </c>
      <c r="BR167" s="17" t="s">
        <v>198</v>
      </c>
      <c r="BS167" s="18">
        <v>45681.444386574076</v>
      </c>
      <c r="BT167" s="17" t="s">
        <v>198</v>
      </c>
      <c r="BU167" s="18">
        <v>45681.444386574076</v>
      </c>
      <c r="BV167" s="13" t="s">
        <v>199</v>
      </c>
      <c r="BW167" s="14" t="s">
        <v>179</v>
      </c>
      <c r="BX167" s="14" t="s">
        <v>5387</v>
      </c>
      <c r="BY167" s="14" t="s">
        <v>179</v>
      </c>
      <c r="BZ167" s="14" t="s">
        <v>5387</v>
      </c>
      <c r="CA167" s="14" t="s">
        <v>179</v>
      </c>
      <c r="CB167" s="14" t="s">
        <v>5388</v>
      </c>
      <c r="CC167" s="14" t="s">
        <v>179</v>
      </c>
      <c r="CD167" s="14" t="s">
        <v>5389</v>
      </c>
      <c r="CE167" s="14" t="s">
        <v>179</v>
      </c>
      <c r="CF167" s="14" t="s">
        <v>5390</v>
      </c>
      <c r="CG167" s="14" t="s">
        <v>179</v>
      </c>
      <c r="CH167" s="14" t="s">
        <v>5391</v>
      </c>
      <c r="CI167" s="19"/>
      <c r="CJ167" s="15"/>
      <c r="CK167" s="19"/>
      <c r="CL167" s="15"/>
      <c r="CM167" s="19"/>
      <c r="CN167" s="15"/>
      <c r="CO167" s="19"/>
      <c r="CP167" s="15"/>
      <c r="CQ167" s="15"/>
      <c r="CR167" s="15"/>
      <c r="CS167" s="19"/>
      <c r="CT167" s="15"/>
      <c r="CU167" s="19"/>
      <c r="CV167" s="15"/>
      <c r="CW167" s="19"/>
      <c r="CX167" s="15"/>
      <c r="CY167" s="19"/>
      <c r="CZ167" s="15"/>
      <c r="DA167" s="16" t="s">
        <v>197</v>
      </c>
      <c r="DB167" s="17" t="s">
        <v>198</v>
      </c>
      <c r="DC167" s="20">
        <v>45723.38582175926</v>
      </c>
      <c r="DD167" s="17" t="s">
        <v>198</v>
      </c>
      <c r="DE167" s="18">
        <v>45723.3858912037</v>
      </c>
      <c r="DF167" s="17" t="s">
        <v>198</v>
      </c>
      <c r="DG167" s="18">
        <v>45723.3858912037</v>
      </c>
      <c r="DH167" s="13" t="s">
        <v>205</v>
      </c>
      <c r="DI167" s="14" t="s">
        <v>179</v>
      </c>
      <c r="DJ167" s="14" t="s">
        <v>5392</v>
      </c>
      <c r="DK167" s="14" t="s">
        <v>179</v>
      </c>
      <c r="DL167" s="14" t="s">
        <v>5392</v>
      </c>
      <c r="DM167" s="14" t="s">
        <v>179</v>
      </c>
      <c r="DN167" s="14" t="s">
        <v>5393</v>
      </c>
      <c r="DO167" s="14" t="s">
        <v>179</v>
      </c>
      <c r="DP167" s="14" t="s">
        <v>5394</v>
      </c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6" t="s">
        <v>197</v>
      </c>
      <c r="ED167" s="17" t="s">
        <v>198</v>
      </c>
      <c r="EE167" s="18">
        <v>45723.386041666665</v>
      </c>
      <c r="EF167" s="13" t="s">
        <v>209</v>
      </c>
      <c r="EG167" s="14" t="s">
        <v>179</v>
      </c>
      <c r="EH167" s="14" t="s">
        <v>5395</v>
      </c>
      <c r="EI167" s="14" t="s">
        <v>179</v>
      </c>
      <c r="EJ167" s="14" t="s">
        <v>5396</v>
      </c>
      <c r="EK167" s="14" t="s">
        <v>179</v>
      </c>
      <c r="EL167" s="14" t="s">
        <v>5397</v>
      </c>
      <c r="EM167" s="14" t="s">
        <v>179</v>
      </c>
      <c r="EN167" s="14" t="s">
        <v>5398</v>
      </c>
      <c r="EO167" s="15"/>
      <c r="EP167" s="15"/>
      <c r="EQ167" s="15"/>
      <c r="ER167" s="15"/>
      <c r="ES167" s="15"/>
      <c r="ET167" s="15"/>
      <c r="EU167" s="15"/>
      <c r="EV167" s="15"/>
      <c r="EW167" s="15"/>
      <c r="EX167" s="15"/>
      <c r="EY167" s="15"/>
      <c r="EZ167" s="15"/>
      <c r="FA167" s="15"/>
      <c r="FB167" s="15"/>
      <c r="FC167" s="16" t="s">
        <v>197</v>
      </c>
      <c r="FD167" s="17" t="s">
        <v>198</v>
      </c>
      <c r="FE167" s="18">
        <v>45723.38613425926</v>
      </c>
      <c r="FF167" s="19"/>
      <c r="FG167" s="19"/>
      <c r="FH167" s="21" t="s">
        <v>197</v>
      </c>
      <c r="FI167" s="17" t="s">
        <v>214</v>
      </c>
      <c r="FJ167" s="18">
        <v>45723.38613425926</v>
      </c>
      <c r="FK167" s="14" t="s">
        <v>5398</v>
      </c>
      <c r="FL167" s="14" t="s">
        <v>5399</v>
      </c>
      <c r="FM167" s="14" t="s">
        <v>5400</v>
      </c>
      <c r="FN167" s="14" t="s">
        <v>5401</v>
      </c>
      <c r="FO167" s="14" t="s">
        <v>5402</v>
      </c>
      <c r="FP167" s="19" t="str">
        <f t="shared" si="1"/>
        <v>Base de Dados_Images/BC9220.Imagem do Equipamento-.143141.jpg</v>
      </c>
      <c r="FQ167" s="19"/>
      <c r="FR167" s="19"/>
    </row>
    <row r="168" ht="15.75" customHeight="1">
      <c r="A168" s="12" t="s">
        <v>357</v>
      </c>
      <c r="B168" s="12" t="s">
        <v>4071</v>
      </c>
      <c r="C168" s="24" t="s">
        <v>512</v>
      </c>
      <c r="D168" s="22" t="s">
        <v>5403</v>
      </c>
      <c r="E168" s="22" t="s">
        <v>5404</v>
      </c>
      <c r="F168" s="13" t="s">
        <v>178</v>
      </c>
      <c r="G168" s="14" t="s">
        <v>179</v>
      </c>
      <c r="H168" s="14" t="s">
        <v>5405</v>
      </c>
      <c r="I168" s="14" t="s">
        <v>179</v>
      </c>
      <c r="J168" s="14" t="s">
        <v>5406</v>
      </c>
      <c r="K168" s="14" t="s">
        <v>179</v>
      </c>
      <c r="L168" s="14" t="s">
        <v>5407</v>
      </c>
      <c r="M168" s="14" t="s">
        <v>179</v>
      </c>
      <c r="N168" s="14" t="s">
        <v>5408</v>
      </c>
      <c r="O168" s="14" t="s">
        <v>179</v>
      </c>
      <c r="P168" s="14" t="s">
        <v>5409</v>
      </c>
      <c r="Q168" s="14" t="s">
        <v>179</v>
      </c>
      <c r="R168" s="14" t="s">
        <v>5410</v>
      </c>
      <c r="S168" s="14" t="s">
        <v>179</v>
      </c>
      <c r="T168" s="14" t="s">
        <v>5411</v>
      </c>
      <c r="U168" s="14" t="s">
        <v>179</v>
      </c>
      <c r="V168" s="14" t="s">
        <v>5412</v>
      </c>
      <c r="W168" s="14" t="s">
        <v>179</v>
      </c>
      <c r="X168" s="14" t="s">
        <v>5413</v>
      </c>
      <c r="Y168" s="14" t="s">
        <v>179</v>
      </c>
      <c r="Z168" s="14" t="s">
        <v>5414</v>
      </c>
      <c r="AA168" s="14" t="s">
        <v>179</v>
      </c>
      <c r="AB168" s="14" t="s">
        <v>5415</v>
      </c>
      <c r="AC168" s="14" t="s">
        <v>179</v>
      </c>
      <c r="AD168" s="14" t="s">
        <v>5416</v>
      </c>
      <c r="AE168" s="14" t="s">
        <v>179</v>
      </c>
      <c r="AF168" s="14" t="s">
        <v>5417</v>
      </c>
      <c r="AG168" s="14" t="s">
        <v>179</v>
      </c>
      <c r="AH168" s="14" t="s">
        <v>5418</v>
      </c>
      <c r="AI168" s="14" t="s">
        <v>179</v>
      </c>
      <c r="AJ168" s="14" t="s">
        <v>5419</v>
      </c>
      <c r="AK168" s="14" t="s">
        <v>179</v>
      </c>
      <c r="AL168" s="14" t="s">
        <v>5420</v>
      </c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6" t="s">
        <v>197</v>
      </c>
      <c r="BP168" s="17" t="s">
        <v>198</v>
      </c>
      <c r="BQ168" s="18">
        <v>45681.406064814815</v>
      </c>
      <c r="BR168" s="17" t="s">
        <v>198</v>
      </c>
      <c r="BS168" s="18">
        <v>45681.406747685185</v>
      </c>
      <c r="BT168" s="17" t="s">
        <v>198</v>
      </c>
      <c r="BU168" s="18">
        <v>45681.406747685185</v>
      </c>
      <c r="BV168" s="13" t="s">
        <v>199</v>
      </c>
      <c r="BW168" s="14" t="s">
        <v>179</v>
      </c>
      <c r="BX168" s="14" t="s">
        <v>5421</v>
      </c>
      <c r="BY168" s="14" t="s">
        <v>179</v>
      </c>
      <c r="BZ168" s="14" t="s">
        <v>5422</v>
      </c>
      <c r="CA168" s="14" t="s">
        <v>179</v>
      </c>
      <c r="CB168" s="14" t="s">
        <v>5423</v>
      </c>
      <c r="CC168" s="14" t="s">
        <v>179</v>
      </c>
      <c r="CD168" s="14" t="s">
        <v>5424</v>
      </c>
      <c r="CE168" s="14" t="s">
        <v>179</v>
      </c>
      <c r="CF168" s="14" t="s">
        <v>5425</v>
      </c>
      <c r="CG168" s="14" t="s">
        <v>179</v>
      </c>
      <c r="CH168" s="14" t="s">
        <v>5426</v>
      </c>
      <c r="CI168" s="19"/>
      <c r="CJ168" s="15"/>
      <c r="CK168" s="19"/>
      <c r="CL168" s="15"/>
      <c r="CM168" s="19"/>
      <c r="CN168" s="15"/>
      <c r="CO168" s="19"/>
      <c r="CP168" s="15"/>
      <c r="CQ168" s="15"/>
      <c r="CR168" s="15"/>
      <c r="CS168" s="19"/>
      <c r="CT168" s="15"/>
      <c r="CU168" s="19"/>
      <c r="CV168" s="15"/>
      <c r="CW168" s="19"/>
      <c r="CX168" s="15"/>
      <c r="CY168" s="19"/>
      <c r="CZ168" s="15"/>
      <c r="DA168" s="16" t="s">
        <v>197</v>
      </c>
      <c r="DB168" s="17" t="s">
        <v>198</v>
      </c>
      <c r="DC168" s="20">
        <v>45699.44797453703</v>
      </c>
      <c r="DD168" s="17" t="s">
        <v>198</v>
      </c>
      <c r="DE168" s="18">
        <v>45699.44802083333</v>
      </c>
      <c r="DF168" s="17" t="s">
        <v>198</v>
      </c>
      <c r="DG168" s="18">
        <v>45699.44802083333</v>
      </c>
      <c r="DH168" s="13" t="s">
        <v>205</v>
      </c>
      <c r="DI168" s="14" t="s">
        <v>179</v>
      </c>
      <c r="DJ168" s="14" t="s">
        <v>5427</v>
      </c>
      <c r="DK168" s="14" t="s">
        <v>179</v>
      </c>
      <c r="DL168" s="14" t="s">
        <v>5428</v>
      </c>
      <c r="DM168" s="14" t="s">
        <v>179</v>
      </c>
      <c r="DN168" s="14" t="s">
        <v>5429</v>
      </c>
      <c r="DO168" s="14" t="s">
        <v>179</v>
      </c>
      <c r="DP168" s="14" t="s">
        <v>5430</v>
      </c>
      <c r="DQ168" s="15"/>
      <c r="DR168" s="15"/>
      <c r="DS168" s="15"/>
      <c r="DT168" s="15"/>
      <c r="DU168" s="15"/>
      <c r="DV168" s="15"/>
      <c r="DW168" s="15"/>
      <c r="DX168" s="15"/>
      <c r="DY168" s="15"/>
      <c r="DZ168" s="15"/>
      <c r="EA168" s="15"/>
      <c r="EB168" s="15"/>
      <c r="EC168" s="16" t="s">
        <v>197</v>
      </c>
      <c r="ED168" s="17" t="s">
        <v>198</v>
      </c>
      <c r="EE168" s="18">
        <v>45709.64418981481</v>
      </c>
      <c r="EF168" s="13" t="s">
        <v>209</v>
      </c>
      <c r="EG168" s="14" t="s">
        <v>179</v>
      </c>
      <c r="EH168" s="14" t="s">
        <v>5431</v>
      </c>
      <c r="EI168" s="14" t="s">
        <v>179</v>
      </c>
      <c r="EJ168" s="14" t="s">
        <v>5432</v>
      </c>
      <c r="EK168" s="14" t="s">
        <v>179</v>
      </c>
      <c r="EL168" s="14" t="s">
        <v>5433</v>
      </c>
      <c r="EM168" s="14" t="s">
        <v>179</v>
      </c>
      <c r="EN168" s="14" t="s">
        <v>5434</v>
      </c>
      <c r="EO168" s="15"/>
      <c r="EP168" s="15"/>
      <c r="EQ168" s="15"/>
      <c r="ER168" s="15"/>
      <c r="ES168" s="15"/>
      <c r="ET168" s="15"/>
      <c r="EU168" s="15"/>
      <c r="EV168" s="15"/>
      <c r="EW168" s="15"/>
      <c r="EX168" s="15"/>
      <c r="EY168" s="15"/>
      <c r="EZ168" s="15"/>
      <c r="FA168" s="15"/>
      <c r="FB168" s="15"/>
      <c r="FC168" s="16" t="s">
        <v>197</v>
      </c>
      <c r="FD168" s="17" t="s">
        <v>198</v>
      </c>
      <c r="FE168" s="18">
        <v>45713.39587962963</v>
      </c>
      <c r="FF168" s="19"/>
      <c r="FG168" s="19"/>
      <c r="FH168" s="21" t="s">
        <v>197</v>
      </c>
      <c r="FI168" s="17" t="s">
        <v>214</v>
      </c>
      <c r="FJ168" s="18">
        <v>45713.39587962963</v>
      </c>
      <c r="FK168" s="14" t="s">
        <v>5432</v>
      </c>
      <c r="FL168" s="14" t="s">
        <v>5435</v>
      </c>
      <c r="FM168" s="14" t="s">
        <v>5436</v>
      </c>
      <c r="FN168" s="14" t="s">
        <v>5437</v>
      </c>
      <c r="FO168" s="14" t="s">
        <v>5438</v>
      </c>
      <c r="FP168" s="19" t="str">
        <f t="shared" si="1"/>
        <v>Base de Dados_Images/BC9221.Imagem do Equipamento-.175320.jpg</v>
      </c>
      <c r="FQ168" s="19"/>
      <c r="FR168" s="19"/>
    </row>
    <row r="169" ht="15.75" customHeight="1">
      <c r="A169" s="12" t="s">
        <v>357</v>
      </c>
      <c r="B169" s="12" t="s">
        <v>4071</v>
      </c>
      <c r="C169" s="24" t="s">
        <v>512</v>
      </c>
      <c r="D169" s="22" t="s">
        <v>5439</v>
      </c>
      <c r="E169" s="22" t="s">
        <v>5440</v>
      </c>
      <c r="F169" s="13" t="s">
        <v>178</v>
      </c>
      <c r="G169" s="14" t="s">
        <v>179</v>
      </c>
      <c r="H169" s="14" t="s">
        <v>5441</v>
      </c>
      <c r="I169" s="14" t="s">
        <v>179</v>
      </c>
      <c r="J169" s="14" t="s">
        <v>5442</v>
      </c>
      <c r="K169" s="14" t="s">
        <v>179</v>
      </c>
      <c r="L169" s="14" t="s">
        <v>5443</v>
      </c>
      <c r="M169" s="14" t="s">
        <v>179</v>
      </c>
      <c r="N169" s="14" t="s">
        <v>5444</v>
      </c>
      <c r="O169" s="14" t="s">
        <v>179</v>
      </c>
      <c r="P169" s="14" t="s">
        <v>5445</v>
      </c>
      <c r="Q169" s="14" t="s">
        <v>179</v>
      </c>
      <c r="R169" s="14" t="s">
        <v>5446</v>
      </c>
      <c r="S169" s="14" t="s">
        <v>179</v>
      </c>
      <c r="T169" s="14" t="s">
        <v>5447</v>
      </c>
      <c r="U169" s="14" t="s">
        <v>179</v>
      </c>
      <c r="V169" s="14" t="s">
        <v>5448</v>
      </c>
      <c r="W169" s="14" t="s">
        <v>179</v>
      </c>
      <c r="X169" s="14" t="s">
        <v>5449</v>
      </c>
      <c r="Y169" s="14" t="s">
        <v>179</v>
      </c>
      <c r="Z169" s="14" t="s">
        <v>5450</v>
      </c>
      <c r="AA169" s="14" t="s">
        <v>179</v>
      </c>
      <c r="AB169" s="14" t="s">
        <v>5451</v>
      </c>
      <c r="AC169" s="14" t="s">
        <v>179</v>
      </c>
      <c r="AD169" s="14" t="s">
        <v>5452</v>
      </c>
      <c r="AE169" s="14" t="s">
        <v>179</v>
      </c>
      <c r="AF169" s="14" t="s">
        <v>5453</v>
      </c>
      <c r="AG169" s="14" t="s">
        <v>179</v>
      </c>
      <c r="AH169" s="14" t="s">
        <v>5454</v>
      </c>
      <c r="AI169" s="14" t="s">
        <v>179</v>
      </c>
      <c r="AJ169" s="14" t="s">
        <v>5455</v>
      </c>
      <c r="AK169" s="14" t="s">
        <v>179</v>
      </c>
      <c r="AL169" s="14" t="s">
        <v>5456</v>
      </c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6" t="s">
        <v>197</v>
      </c>
      <c r="BP169" s="17" t="s">
        <v>198</v>
      </c>
      <c r="BQ169" s="18">
        <v>45681.40493055555</v>
      </c>
      <c r="BR169" s="17" t="s">
        <v>198</v>
      </c>
      <c r="BS169" s="18">
        <v>45681.405069444445</v>
      </c>
      <c r="BT169" s="17" t="s">
        <v>198</v>
      </c>
      <c r="BU169" s="18">
        <v>45681.405069444445</v>
      </c>
      <c r="BV169" s="13" t="s">
        <v>199</v>
      </c>
      <c r="BW169" s="14" t="s">
        <v>179</v>
      </c>
      <c r="BX169" s="14" t="s">
        <v>5457</v>
      </c>
      <c r="BY169" s="14" t="s">
        <v>179</v>
      </c>
      <c r="BZ169" s="14" t="s">
        <v>5458</v>
      </c>
      <c r="CA169" s="14" t="s">
        <v>179</v>
      </c>
      <c r="CB169" s="14" t="s">
        <v>5459</v>
      </c>
      <c r="CC169" s="14" t="s">
        <v>179</v>
      </c>
      <c r="CD169" s="14" t="s">
        <v>5460</v>
      </c>
      <c r="CE169" s="14" t="s">
        <v>179</v>
      </c>
      <c r="CF169" s="14" t="s">
        <v>5461</v>
      </c>
      <c r="CG169" s="14" t="s">
        <v>179</v>
      </c>
      <c r="CH169" s="14" t="s">
        <v>5462</v>
      </c>
      <c r="CI169" s="19"/>
      <c r="CJ169" s="15"/>
      <c r="CK169" s="19"/>
      <c r="CL169" s="15"/>
      <c r="CM169" s="19"/>
      <c r="CN169" s="15"/>
      <c r="CO169" s="19"/>
      <c r="CP169" s="15"/>
      <c r="CQ169" s="15"/>
      <c r="CR169" s="15"/>
      <c r="CS169" s="19"/>
      <c r="CT169" s="15"/>
      <c r="CU169" s="19"/>
      <c r="CV169" s="15"/>
      <c r="CW169" s="19"/>
      <c r="CX169" s="15"/>
      <c r="CY169" s="19"/>
      <c r="CZ169" s="15"/>
      <c r="DA169" s="16" t="s">
        <v>197</v>
      </c>
      <c r="DB169" s="17" t="s">
        <v>198</v>
      </c>
      <c r="DC169" s="20">
        <v>45699.44888888889</v>
      </c>
      <c r="DD169" s="17" t="s">
        <v>198</v>
      </c>
      <c r="DE169" s="18">
        <v>45699.44893518519</v>
      </c>
      <c r="DF169" s="17" t="s">
        <v>198</v>
      </c>
      <c r="DG169" s="18">
        <v>45699.44893518519</v>
      </c>
      <c r="DH169" s="13" t="s">
        <v>205</v>
      </c>
      <c r="DI169" s="14" t="s">
        <v>179</v>
      </c>
      <c r="DJ169" s="14" t="s">
        <v>5463</v>
      </c>
      <c r="DK169" s="14" t="s">
        <v>179</v>
      </c>
      <c r="DL169" s="14" t="s">
        <v>5464</v>
      </c>
      <c r="DM169" s="14" t="s">
        <v>179</v>
      </c>
      <c r="DN169" s="14" t="s">
        <v>5465</v>
      </c>
      <c r="DO169" s="14" t="s">
        <v>179</v>
      </c>
      <c r="DP169" s="14" t="s">
        <v>5466</v>
      </c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6" t="s">
        <v>197</v>
      </c>
      <c r="ED169" s="17" t="s">
        <v>198</v>
      </c>
      <c r="EE169" s="18">
        <v>45709.64439814815</v>
      </c>
      <c r="EF169" s="13" t="s">
        <v>209</v>
      </c>
      <c r="EG169" s="14" t="s">
        <v>179</v>
      </c>
      <c r="EH169" s="14" t="s">
        <v>5467</v>
      </c>
      <c r="EI169" s="14" t="s">
        <v>179</v>
      </c>
      <c r="EJ169" s="14" t="s">
        <v>5468</v>
      </c>
      <c r="EK169" s="14" t="s">
        <v>179</v>
      </c>
      <c r="EL169" s="14" t="s">
        <v>5469</v>
      </c>
      <c r="EM169" s="14" t="s">
        <v>179</v>
      </c>
      <c r="EN169" s="14" t="s">
        <v>5470</v>
      </c>
      <c r="EO169" s="15"/>
      <c r="EP169" s="15"/>
      <c r="EQ169" s="15"/>
      <c r="ER169" s="15"/>
      <c r="ES169" s="15"/>
      <c r="ET169" s="15"/>
      <c r="EU169" s="15"/>
      <c r="EV169" s="15"/>
      <c r="EW169" s="15"/>
      <c r="EX169" s="15"/>
      <c r="EY169" s="15"/>
      <c r="EZ169" s="15"/>
      <c r="FA169" s="15"/>
      <c r="FB169" s="15"/>
      <c r="FC169" s="16" t="s">
        <v>197</v>
      </c>
      <c r="FD169" s="17" t="s">
        <v>198</v>
      </c>
      <c r="FE169" s="18">
        <v>45713.39613425926</v>
      </c>
      <c r="FF169" s="19"/>
      <c r="FG169" s="19"/>
      <c r="FH169" s="21" t="s">
        <v>197</v>
      </c>
      <c r="FI169" s="17" t="s">
        <v>214</v>
      </c>
      <c r="FJ169" s="18">
        <v>45713.39613425926</v>
      </c>
      <c r="FK169" s="14" t="s">
        <v>5470</v>
      </c>
      <c r="FL169" s="14" t="s">
        <v>5471</v>
      </c>
      <c r="FM169" s="14" t="s">
        <v>5472</v>
      </c>
      <c r="FN169" s="14" t="s">
        <v>5473</v>
      </c>
      <c r="FO169" s="14" t="s">
        <v>5474</v>
      </c>
      <c r="FP169" s="19" t="str">
        <f t="shared" si="1"/>
        <v>Base de Dados_Images/BC9222.Imagem do Equipamento-.143730.jpg</v>
      </c>
      <c r="FQ169" s="19"/>
      <c r="FR169" s="19"/>
    </row>
    <row r="170" ht="15.75" customHeight="1">
      <c r="A170" s="12" t="s">
        <v>357</v>
      </c>
      <c r="B170" s="12" t="s">
        <v>5475</v>
      </c>
      <c r="C170" s="24" t="s">
        <v>512</v>
      </c>
      <c r="D170" s="22" t="s">
        <v>5476</v>
      </c>
      <c r="E170" s="22" t="s">
        <v>5477</v>
      </c>
      <c r="F170" s="13" t="s">
        <v>178</v>
      </c>
      <c r="G170" s="14" t="s">
        <v>179</v>
      </c>
      <c r="H170" s="14" t="s">
        <v>5478</v>
      </c>
      <c r="I170" s="14" t="s">
        <v>179</v>
      </c>
      <c r="J170" s="14" t="s">
        <v>5479</v>
      </c>
      <c r="K170" s="14" t="s">
        <v>179</v>
      </c>
      <c r="L170" s="14" t="s">
        <v>5480</v>
      </c>
      <c r="M170" s="14" t="s">
        <v>179</v>
      </c>
      <c r="N170" s="14" t="s">
        <v>5481</v>
      </c>
      <c r="O170" s="14" t="s">
        <v>179</v>
      </c>
      <c r="P170" s="14" t="s">
        <v>5482</v>
      </c>
      <c r="Q170" s="14" t="s">
        <v>179</v>
      </c>
      <c r="R170" s="14" t="s">
        <v>5483</v>
      </c>
      <c r="S170" s="14" t="s">
        <v>179</v>
      </c>
      <c r="T170" s="14" t="s">
        <v>5484</v>
      </c>
      <c r="U170" s="14" t="s">
        <v>179</v>
      </c>
      <c r="V170" s="14" t="s">
        <v>5485</v>
      </c>
      <c r="W170" s="14" t="s">
        <v>179</v>
      </c>
      <c r="X170" s="14" t="s">
        <v>5486</v>
      </c>
      <c r="Y170" s="14" t="s">
        <v>179</v>
      </c>
      <c r="Z170" s="14" t="s">
        <v>5487</v>
      </c>
      <c r="AA170" s="14" t="s">
        <v>179</v>
      </c>
      <c r="AB170" s="14" t="s">
        <v>5488</v>
      </c>
      <c r="AC170" s="14" t="s">
        <v>179</v>
      </c>
      <c r="AD170" s="14" t="s">
        <v>5489</v>
      </c>
      <c r="AE170" s="14" t="s">
        <v>179</v>
      </c>
      <c r="AF170" s="14" t="s">
        <v>5490</v>
      </c>
      <c r="AG170" s="14" t="s">
        <v>179</v>
      </c>
      <c r="AH170" s="14" t="s">
        <v>5491</v>
      </c>
      <c r="AI170" s="14" t="s">
        <v>179</v>
      </c>
      <c r="AJ170" s="14" t="s">
        <v>5492</v>
      </c>
      <c r="AK170" s="14" t="s">
        <v>179</v>
      </c>
      <c r="AL170" s="14" t="s">
        <v>5493</v>
      </c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6" t="s">
        <v>197</v>
      </c>
      <c r="BP170" s="17" t="s">
        <v>198</v>
      </c>
      <c r="BQ170" s="18">
        <v>45678.629166666666</v>
      </c>
      <c r="BR170" s="17" t="s">
        <v>198</v>
      </c>
      <c r="BS170" s="18">
        <v>45678.629328703704</v>
      </c>
      <c r="BT170" s="17" t="s">
        <v>198</v>
      </c>
      <c r="BU170" s="18">
        <v>45678.629328703704</v>
      </c>
      <c r="BV170" s="13" t="s">
        <v>199</v>
      </c>
      <c r="BW170" s="14" t="s">
        <v>179</v>
      </c>
      <c r="BX170" s="14" t="s">
        <v>5494</v>
      </c>
      <c r="BY170" s="14" t="s">
        <v>179</v>
      </c>
      <c r="BZ170" s="14" t="s">
        <v>5495</v>
      </c>
      <c r="CA170" s="14" t="s">
        <v>179</v>
      </c>
      <c r="CB170" s="14" t="s">
        <v>5496</v>
      </c>
      <c r="CC170" s="14" t="s">
        <v>179</v>
      </c>
      <c r="CD170" s="14" t="s">
        <v>5497</v>
      </c>
      <c r="CE170" s="14" t="s">
        <v>179</v>
      </c>
      <c r="CF170" s="14" t="s">
        <v>5498</v>
      </c>
      <c r="CG170" s="14" t="s">
        <v>179</v>
      </c>
      <c r="CH170" s="14" t="s">
        <v>5499</v>
      </c>
      <c r="CI170" s="19"/>
      <c r="CJ170" s="15"/>
      <c r="CK170" s="19"/>
      <c r="CL170" s="15"/>
      <c r="CM170" s="19"/>
      <c r="CN170" s="15"/>
      <c r="CO170" s="19"/>
      <c r="CP170" s="15"/>
      <c r="CQ170" s="15"/>
      <c r="CR170" s="15"/>
      <c r="CS170" s="19"/>
      <c r="CT170" s="15"/>
      <c r="CU170" s="19"/>
      <c r="CV170" s="15"/>
      <c r="CW170" s="19"/>
      <c r="CX170" s="15"/>
      <c r="CY170" s="19"/>
      <c r="CZ170" s="15"/>
      <c r="DA170" s="16" t="s">
        <v>197</v>
      </c>
      <c r="DB170" s="17" t="s">
        <v>198</v>
      </c>
      <c r="DC170" s="20">
        <v>45686.51122685185</v>
      </c>
      <c r="DD170" s="17" t="s">
        <v>198</v>
      </c>
      <c r="DE170" s="18">
        <v>45686.511296296296</v>
      </c>
      <c r="DF170" s="17" t="s">
        <v>198</v>
      </c>
      <c r="DG170" s="18">
        <v>45686.511296296296</v>
      </c>
      <c r="DH170" s="13" t="s">
        <v>205</v>
      </c>
      <c r="DI170" s="14" t="s">
        <v>179</v>
      </c>
      <c r="DJ170" s="14" t="s">
        <v>5500</v>
      </c>
      <c r="DK170" s="14" t="s">
        <v>179</v>
      </c>
      <c r="DL170" s="14" t="s">
        <v>5501</v>
      </c>
      <c r="DM170" s="14" t="s">
        <v>179</v>
      </c>
      <c r="DN170" s="14" t="s">
        <v>5502</v>
      </c>
      <c r="DO170" s="14" t="s">
        <v>179</v>
      </c>
      <c r="DP170" s="14" t="s">
        <v>5503</v>
      </c>
      <c r="DQ170" s="15"/>
      <c r="DR170" s="15"/>
      <c r="DS170" s="15"/>
      <c r="DT170" s="15"/>
      <c r="DU170" s="15"/>
      <c r="DV170" s="15"/>
      <c r="DW170" s="15"/>
      <c r="DX170" s="15"/>
      <c r="DY170" s="15"/>
      <c r="DZ170" s="15"/>
      <c r="EA170" s="15"/>
      <c r="EB170" s="15"/>
      <c r="EC170" s="16" t="s">
        <v>197</v>
      </c>
      <c r="ED170" s="17" t="s">
        <v>198</v>
      </c>
      <c r="EE170" s="18">
        <v>45691.640011574076</v>
      </c>
      <c r="EF170" s="13" t="s">
        <v>209</v>
      </c>
      <c r="EG170" s="14" t="s">
        <v>179</v>
      </c>
      <c r="EH170" s="14" t="s">
        <v>5504</v>
      </c>
      <c r="EI170" s="14" t="s">
        <v>179</v>
      </c>
      <c r="EJ170" s="14" t="s">
        <v>5505</v>
      </c>
      <c r="EK170" s="14" t="s">
        <v>179</v>
      </c>
      <c r="EL170" s="14" t="s">
        <v>5506</v>
      </c>
      <c r="EM170" s="14" t="s">
        <v>179</v>
      </c>
      <c r="EN170" s="14" t="s">
        <v>5507</v>
      </c>
      <c r="EO170" s="15"/>
      <c r="EP170" s="15"/>
      <c r="EQ170" s="15"/>
      <c r="ER170" s="15"/>
      <c r="ES170" s="15"/>
      <c r="ET170" s="15"/>
      <c r="EU170" s="15"/>
      <c r="EV170" s="15"/>
      <c r="EW170" s="15"/>
      <c r="EX170" s="15"/>
      <c r="EY170" s="15"/>
      <c r="EZ170" s="15"/>
      <c r="FA170" s="15"/>
      <c r="FB170" s="15"/>
      <c r="FC170" s="16" t="s">
        <v>197</v>
      </c>
      <c r="FD170" s="17" t="s">
        <v>198</v>
      </c>
      <c r="FE170" s="18">
        <v>45705.334027777775</v>
      </c>
      <c r="FF170" s="19"/>
      <c r="FG170" s="19"/>
      <c r="FH170" s="21" t="s">
        <v>197</v>
      </c>
      <c r="FI170" s="17" t="s">
        <v>214</v>
      </c>
      <c r="FJ170" s="18">
        <v>45705.334027777775</v>
      </c>
      <c r="FK170" s="14" t="s">
        <v>5507</v>
      </c>
      <c r="FL170" s="14" t="s">
        <v>5508</v>
      </c>
      <c r="FM170" s="14" t="s">
        <v>5509</v>
      </c>
      <c r="FN170" s="14" t="s">
        <v>5510</v>
      </c>
      <c r="FO170" s="14" t="s">
        <v>5511</v>
      </c>
      <c r="FP170" s="19" t="str">
        <f t="shared" si="1"/>
        <v>Base de Dados_Images/BC9223.Imagem do Equipamento-.182750.jpg</v>
      </c>
      <c r="FQ170" s="19"/>
      <c r="FR170" s="19"/>
    </row>
    <row r="171" ht="15.75" customHeight="1">
      <c r="A171" s="12" t="s">
        <v>357</v>
      </c>
      <c r="B171" s="12" t="s">
        <v>5475</v>
      </c>
      <c r="C171" s="24" t="s">
        <v>512</v>
      </c>
      <c r="D171" s="22" t="s">
        <v>5512</v>
      </c>
      <c r="E171" s="22" t="s">
        <v>5513</v>
      </c>
      <c r="F171" s="13" t="s">
        <v>178</v>
      </c>
      <c r="G171" s="14" t="s">
        <v>179</v>
      </c>
      <c r="H171" s="14" t="s">
        <v>5514</v>
      </c>
      <c r="I171" s="14" t="s">
        <v>179</v>
      </c>
      <c r="J171" s="14" t="s">
        <v>5515</v>
      </c>
      <c r="K171" s="14" t="s">
        <v>179</v>
      </c>
      <c r="L171" s="14" t="s">
        <v>5516</v>
      </c>
      <c r="M171" s="14" t="s">
        <v>179</v>
      </c>
      <c r="N171" s="14" t="s">
        <v>5517</v>
      </c>
      <c r="O171" s="14" t="s">
        <v>179</v>
      </c>
      <c r="P171" s="14" t="s">
        <v>5518</v>
      </c>
      <c r="Q171" s="14" t="s">
        <v>179</v>
      </c>
      <c r="R171" s="14" t="s">
        <v>5519</v>
      </c>
      <c r="S171" s="14" t="s">
        <v>179</v>
      </c>
      <c r="T171" s="14" t="s">
        <v>5520</v>
      </c>
      <c r="U171" s="14" t="s">
        <v>179</v>
      </c>
      <c r="V171" s="14" t="s">
        <v>5521</v>
      </c>
      <c r="W171" s="14" t="s">
        <v>179</v>
      </c>
      <c r="X171" s="14" t="s">
        <v>5522</v>
      </c>
      <c r="Y171" s="14" t="s">
        <v>179</v>
      </c>
      <c r="Z171" s="14" t="s">
        <v>5523</v>
      </c>
      <c r="AA171" s="14" t="s">
        <v>179</v>
      </c>
      <c r="AB171" s="14" t="s">
        <v>5524</v>
      </c>
      <c r="AC171" s="14" t="s">
        <v>179</v>
      </c>
      <c r="AD171" s="14" t="s">
        <v>5525</v>
      </c>
      <c r="AE171" s="14" t="s">
        <v>179</v>
      </c>
      <c r="AF171" s="14" t="s">
        <v>5526</v>
      </c>
      <c r="AG171" s="14" t="s">
        <v>179</v>
      </c>
      <c r="AH171" s="14" t="s">
        <v>5527</v>
      </c>
      <c r="AI171" s="14" t="s">
        <v>179</v>
      </c>
      <c r="AJ171" s="14" t="s">
        <v>5528</v>
      </c>
      <c r="AK171" s="14" t="s">
        <v>179</v>
      </c>
      <c r="AL171" s="14" t="s">
        <v>5529</v>
      </c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6" t="s">
        <v>197</v>
      </c>
      <c r="BP171" s="17" t="s">
        <v>198</v>
      </c>
      <c r="BQ171" s="18">
        <v>45678.627604166664</v>
      </c>
      <c r="BR171" s="17" t="s">
        <v>198</v>
      </c>
      <c r="BS171" s="18">
        <v>45678.62777777778</v>
      </c>
      <c r="BT171" s="17" t="s">
        <v>198</v>
      </c>
      <c r="BU171" s="18">
        <v>45678.62777777778</v>
      </c>
      <c r="BV171" s="13" t="s">
        <v>199</v>
      </c>
      <c r="BW171" s="14" t="s">
        <v>179</v>
      </c>
      <c r="BX171" s="14" t="s">
        <v>5530</v>
      </c>
      <c r="BY171" s="14" t="s">
        <v>179</v>
      </c>
      <c r="BZ171" s="14" t="s">
        <v>5531</v>
      </c>
      <c r="CA171" s="14" t="s">
        <v>179</v>
      </c>
      <c r="CB171" s="14" t="s">
        <v>5532</v>
      </c>
      <c r="CC171" s="14" t="s">
        <v>179</v>
      </c>
      <c r="CD171" s="14" t="s">
        <v>5533</v>
      </c>
      <c r="CE171" s="14" t="s">
        <v>179</v>
      </c>
      <c r="CF171" s="14" t="s">
        <v>5534</v>
      </c>
      <c r="CG171" s="14" t="s">
        <v>179</v>
      </c>
      <c r="CH171" s="14" t="s">
        <v>5535</v>
      </c>
      <c r="CI171" s="19"/>
      <c r="CJ171" s="15"/>
      <c r="CK171" s="19"/>
      <c r="CL171" s="15"/>
      <c r="CM171" s="19"/>
      <c r="CN171" s="15"/>
      <c r="CO171" s="19"/>
      <c r="CP171" s="15"/>
      <c r="CQ171" s="15"/>
      <c r="CR171" s="15"/>
      <c r="CS171" s="19"/>
      <c r="CT171" s="15"/>
      <c r="CU171" s="19"/>
      <c r="CV171" s="15"/>
      <c r="CW171" s="19"/>
      <c r="CX171" s="15"/>
      <c r="CY171" s="19"/>
      <c r="CZ171" s="15"/>
      <c r="DA171" s="16" t="s">
        <v>197</v>
      </c>
      <c r="DB171" s="17" t="s">
        <v>198</v>
      </c>
      <c r="DC171" s="20">
        <v>45686.511516203704</v>
      </c>
      <c r="DD171" s="17" t="s">
        <v>198</v>
      </c>
      <c r="DE171" s="18">
        <v>45686.5115625</v>
      </c>
      <c r="DF171" s="17" t="s">
        <v>198</v>
      </c>
      <c r="DG171" s="18">
        <v>45686.5115625</v>
      </c>
      <c r="DH171" s="13" t="s">
        <v>205</v>
      </c>
      <c r="DI171" s="14" t="s">
        <v>179</v>
      </c>
      <c r="DJ171" s="14" t="s">
        <v>5536</v>
      </c>
      <c r="DK171" s="14" t="s">
        <v>179</v>
      </c>
      <c r="DL171" s="14" t="s">
        <v>5537</v>
      </c>
      <c r="DM171" s="14" t="s">
        <v>179</v>
      </c>
      <c r="DN171" s="14" t="s">
        <v>5538</v>
      </c>
      <c r="DO171" s="14" t="s">
        <v>179</v>
      </c>
      <c r="DP171" s="14" t="s">
        <v>5539</v>
      </c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6" t="s">
        <v>197</v>
      </c>
      <c r="ED171" s="17" t="s">
        <v>198</v>
      </c>
      <c r="EE171" s="18">
        <v>45691.63978009259</v>
      </c>
      <c r="EF171" s="13" t="s">
        <v>209</v>
      </c>
      <c r="EG171" s="14" t="s">
        <v>179</v>
      </c>
      <c r="EH171" s="14" t="s">
        <v>5540</v>
      </c>
      <c r="EI171" s="14" t="s">
        <v>179</v>
      </c>
      <c r="EJ171" s="14" t="s">
        <v>5541</v>
      </c>
      <c r="EK171" s="14" t="s">
        <v>179</v>
      </c>
      <c r="EL171" s="14" t="s">
        <v>5542</v>
      </c>
      <c r="EM171" s="14" t="s">
        <v>179</v>
      </c>
      <c r="EN171" s="14" t="s">
        <v>5543</v>
      </c>
      <c r="EO171" s="15"/>
      <c r="EP171" s="15"/>
      <c r="EQ171" s="15"/>
      <c r="ER171" s="15"/>
      <c r="ES171" s="15"/>
      <c r="ET171" s="15"/>
      <c r="EU171" s="15"/>
      <c r="EV171" s="15"/>
      <c r="EW171" s="15"/>
      <c r="EX171" s="15"/>
      <c r="EY171" s="15"/>
      <c r="EZ171" s="15"/>
      <c r="FA171" s="15"/>
      <c r="FB171" s="15"/>
      <c r="FC171" s="16" t="s">
        <v>197</v>
      </c>
      <c r="FD171" s="17" t="s">
        <v>198</v>
      </c>
      <c r="FE171" s="18">
        <v>45705.334282407406</v>
      </c>
      <c r="FF171" s="19"/>
      <c r="FG171" s="19"/>
      <c r="FH171" s="21" t="s">
        <v>197</v>
      </c>
      <c r="FI171" s="17" t="s">
        <v>214</v>
      </c>
      <c r="FJ171" s="18">
        <v>45705.334282407406</v>
      </c>
      <c r="FK171" s="14" t="s">
        <v>5543</v>
      </c>
      <c r="FL171" s="14" t="s">
        <v>5544</v>
      </c>
      <c r="FM171" s="14" t="s">
        <v>5545</v>
      </c>
      <c r="FN171" s="14" t="s">
        <v>5546</v>
      </c>
      <c r="FO171" s="14" t="s">
        <v>5547</v>
      </c>
      <c r="FP171" s="19" t="str">
        <f t="shared" si="1"/>
        <v>Base de Dados_Images/BC9224.Imagem do Equipamento-.182635.jpg</v>
      </c>
      <c r="FQ171" s="19"/>
      <c r="FR171" s="19"/>
    </row>
    <row r="172" ht="15.75" customHeight="1">
      <c r="A172" s="12" t="s">
        <v>357</v>
      </c>
      <c r="B172" s="12" t="s">
        <v>5475</v>
      </c>
      <c r="C172" s="24" t="s">
        <v>512</v>
      </c>
      <c r="D172" s="22" t="s">
        <v>5548</v>
      </c>
      <c r="E172" s="22" t="s">
        <v>5549</v>
      </c>
      <c r="F172" s="13" t="s">
        <v>178</v>
      </c>
      <c r="G172" s="14" t="s">
        <v>179</v>
      </c>
      <c r="H172" s="14" t="s">
        <v>5550</v>
      </c>
      <c r="I172" s="14" t="s">
        <v>179</v>
      </c>
      <c r="J172" s="14" t="s">
        <v>5551</v>
      </c>
      <c r="K172" s="14" t="s">
        <v>179</v>
      </c>
      <c r="L172" s="14" t="s">
        <v>5552</v>
      </c>
      <c r="M172" s="14" t="s">
        <v>179</v>
      </c>
      <c r="N172" s="14" t="s">
        <v>5553</v>
      </c>
      <c r="O172" s="14" t="s">
        <v>179</v>
      </c>
      <c r="P172" s="14" t="s">
        <v>5554</v>
      </c>
      <c r="Q172" s="14" t="s">
        <v>179</v>
      </c>
      <c r="R172" s="14" t="s">
        <v>5555</v>
      </c>
      <c r="S172" s="14" t="s">
        <v>179</v>
      </c>
      <c r="T172" s="14" t="s">
        <v>5556</v>
      </c>
      <c r="U172" s="14" t="s">
        <v>179</v>
      </c>
      <c r="V172" s="14" t="s">
        <v>5557</v>
      </c>
      <c r="W172" s="14" t="s">
        <v>179</v>
      </c>
      <c r="X172" s="14" t="s">
        <v>5558</v>
      </c>
      <c r="Y172" s="14" t="s">
        <v>179</v>
      </c>
      <c r="Z172" s="14" t="s">
        <v>5559</v>
      </c>
      <c r="AA172" s="14" t="s">
        <v>179</v>
      </c>
      <c r="AB172" s="14" t="s">
        <v>5560</v>
      </c>
      <c r="AC172" s="14" t="s">
        <v>179</v>
      </c>
      <c r="AD172" s="14" t="s">
        <v>5561</v>
      </c>
      <c r="AE172" s="14" t="s">
        <v>179</v>
      </c>
      <c r="AF172" s="14" t="s">
        <v>5562</v>
      </c>
      <c r="AG172" s="14" t="s">
        <v>179</v>
      </c>
      <c r="AH172" s="14" t="s">
        <v>5563</v>
      </c>
      <c r="AI172" s="14" t="s">
        <v>179</v>
      </c>
      <c r="AJ172" s="14" t="s">
        <v>5564</v>
      </c>
      <c r="AK172" s="14" t="s">
        <v>179</v>
      </c>
      <c r="AL172" s="14" t="s">
        <v>5565</v>
      </c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6" t="s">
        <v>197</v>
      </c>
      <c r="BP172" s="17" t="s">
        <v>198</v>
      </c>
      <c r="BQ172" s="18">
        <v>45681.449594907404</v>
      </c>
      <c r="BR172" s="17" t="s">
        <v>198</v>
      </c>
      <c r="BS172" s="18">
        <v>45681.44976851852</v>
      </c>
      <c r="BT172" s="17" t="s">
        <v>198</v>
      </c>
      <c r="BU172" s="18">
        <v>45681.44976851852</v>
      </c>
      <c r="BV172" s="13" t="s">
        <v>199</v>
      </c>
      <c r="BW172" s="14" t="s">
        <v>179</v>
      </c>
      <c r="BX172" s="14" t="s">
        <v>5566</v>
      </c>
      <c r="BY172" s="14" t="s">
        <v>179</v>
      </c>
      <c r="BZ172" s="14" t="s">
        <v>5567</v>
      </c>
      <c r="CA172" s="14" t="s">
        <v>179</v>
      </c>
      <c r="CB172" s="14" t="s">
        <v>5568</v>
      </c>
      <c r="CC172" s="14" t="s">
        <v>179</v>
      </c>
      <c r="CD172" s="14" t="s">
        <v>5569</v>
      </c>
      <c r="CE172" s="14" t="s">
        <v>179</v>
      </c>
      <c r="CF172" s="14" t="s">
        <v>5570</v>
      </c>
      <c r="CG172" s="14" t="s">
        <v>179</v>
      </c>
      <c r="CH172" s="14" t="s">
        <v>5571</v>
      </c>
      <c r="CI172" s="19"/>
      <c r="CJ172" s="15"/>
      <c r="CK172" s="19"/>
      <c r="CL172" s="15"/>
      <c r="CM172" s="19"/>
      <c r="CN172" s="15"/>
      <c r="CO172" s="19"/>
      <c r="CP172" s="15"/>
      <c r="CQ172" s="15"/>
      <c r="CR172" s="15"/>
      <c r="CS172" s="19"/>
      <c r="CT172" s="15"/>
      <c r="CU172" s="19"/>
      <c r="CV172" s="15"/>
      <c r="CW172" s="19"/>
      <c r="CX172" s="15"/>
      <c r="CY172" s="19"/>
      <c r="CZ172" s="15"/>
      <c r="DA172" s="16" t="s">
        <v>197</v>
      </c>
      <c r="DB172" s="17" t="s">
        <v>198</v>
      </c>
      <c r="DC172" s="20">
        <v>45698.659363425926</v>
      </c>
      <c r="DD172" s="17" t="s">
        <v>198</v>
      </c>
      <c r="DE172" s="18">
        <v>45698.65940972222</v>
      </c>
      <c r="DF172" s="17" t="s">
        <v>198</v>
      </c>
      <c r="DG172" s="18">
        <v>45698.65940972222</v>
      </c>
      <c r="DH172" s="13" t="s">
        <v>205</v>
      </c>
      <c r="DI172" s="14" t="s">
        <v>179</v>
      </c>
      <c r="DJ172" s="14" t="s">
        <v>5572</v>
      </c>
      <c r="DK172" s="14" t="s">
        <v>179</v>
      </c>
      <c r="DL172" s="14" t="s">
        <v>5573</v>
      </c>
      <c r="DM172" s="14" t="s">
        <v>179</v>
      </c>
      <c r="DN172" s="14" t="s">
        <v>5574</v>
      </c>
      <c r="DO172" s="14" t="s">
        <v>179</v>
      </c>
      <c r="DP172" s="14" t="s">
        <v>5575</v>
      </c>
      <c r="DQ172" s="15"/>
      <c r="DR172" s="15"/>
      <c r="DS172" s="15"/>
      <c r="DT172" s="15"/>
      <c r="DU172" s="15"/>
      <c r="DV172" s="15"/>
      <c r="DW172" s="15"/>
      <c r="DX172" s="15"/>
      <c r="DY172" s="15"/>
      <c r="DZ172" s="15"/>
      <c r="EA172" s="15"/>
      <c r="EB172" s="15"/>
      <c r="EC172" s="16" t="s">
        <v>197</v>
      </c>
      <c r="ED172" s="17" t="s">
        <v>198</v>
      </c>
      <c r="EE172" s="18">
        <v>45711.70616898148</v>
      </c>
      <c r="EF172" s="13" t="s">
        <v>209</v>
      </c>
      <c r="EG172" s="14" t="s">
        <v>179</v>
      </c>
      <c r="EH172" s="14" t="s">
        <v>5576</v>
      </c>
      <c r="EI172" s="14" t="s">
        <v>179</v>
      </c>
      <c r="EJ172" s="14" t="s">
        <v>5577</v>
      </c>
      <c r="EK172" s="14" t="s">
        <v>179</v>
      </c>
      <c r="EL172" s="14" t="s">
        <v>5578</v>
      </c>
      <c r="EM172" s="14" t="s">
        <v>179</v>
      </c>
      <c r="EN172" s="14" t="s">
        <v>5579</v>
      </c>
      <c r="EO172" s="15"/>
      <c r="EP172" s="15"/>
      <c r="EQ172" s="15"/>
      <c r="ER172" s="15"/>
      <c r="ES172" s="15"/>
      <c r="ET172" s="15"/>
      <c r="EU172" s="15"/>
      <c r="EV172" s="15"/>
      <c r="EW172" s="15"/>
      <c r="EX172" s="15"/>
      <c r="EY172" s="15"/>
      <c r="EZ172" s="15"/>
      <c r="FA172" s="15"/>
      <c r="FB172" s="15"/>
      <c r="FC172" s="16" t="s">
        <v>197</v>
      </c>
      <c r="FD172" s="17" t="s">
        <v>198</v>
      </c>
      <c r="FE172" s="18">
        <v>45723.408368055556</v>
      </c>
      <c r="FF172" s="19"/>
      <c r="FG172" s="19"/>
      <c r="FH172" s="21" t="s">
        <v>197</v>
      </c>
      <c r="FI172" s="17" t="s">
        <v>214</v>
      </c>
      <c r="FJ172" s="18">
        <v>45723.408368055556</v>
      </c>
      <c r="FK172" s="14" t="s">
        <v>5579</v>
      </c>
      <c r="FL172" s="14" t="s">
        <v>5580</v>
      </c>
      <c r="FM172" s="14" t="s">
        <v>5581</v>
      </c>
      <c r="FN172" s="14" t="s">
        <v>5582</v>
      </c>
      <c r="FO172" s="14" t="s">
        <v>5583</v>
      </c>
      <c r="FP172" s="19" t="str">
        <f t="shared" si="1"/>
        <v>Base de Dados_Images/BC9225.Imagem do Equipamento-.143820.jpg</v>
      </c>
      <c r="FQ172" s="19"/>
      <c r="FR172" s="19"/>
    </row>
    <row r="173" ht="15.75" customHeight="1">
      <c r="A173" s="12" t="s">
        <v>357</v>
      </c>
      <c r="B173" s="12" t="s">
        <v>5584</v>
      </c>
      <c r="C173" s="24" t="s">
        <v>512</v>
      </c>
      <c r="D173" s="22" t="s">
        <v>5585</v>
      </c>
      <c r="E173" s="22" t="s">
        <v>5586</v>
      </c>
      <c r="F173" s="13" t="s">
        <v>178</v>
      </c>
      <c r="G173" s="14" t="s">
        <v>179</v>
      </c>
      <c r="H173" s="14" t="s">
        <v>5587</v>
      </c>
      <c r="I173" s="14" t="s">
        <v>179</v>
      </c>
      <c r="J173" s="14" t="s">
        <v>5588</v>
      </c>
      <c r="K173" s="14" t="s">
        <v>179</v>
      </c>
      <c r="L173" s="14" t="s">
        <v>5589</v>
      </c>
      <c r="M173" s="14" t="s">
        <v>179</v>
      </c>
      <c r="N173" s="14" t="s">
        <v>5590</v>
      </c>
      <c r="O173" s="14" t="s">
        <v>179</v>
      </c>
      <c r="P173" s="14" t="s">
        <v>5591</v>
      </c>
      <c r="Q173" s="14" t="s">
        <v>179</v>
      </c>
      <c r="R173" s="14" t="s">
        <v>5592</v>
      </c>
      <c r="S173" s="14" t="s">
        <v>179</v>
      </c>
      <c r="T173" s="14" t="s">
        <v>5593</v>
      </c>
      <c r="U173" s="14" t="s">
        <v>179</v>
      </c>
      <c r="V173" s="14" t="s">
        <v>5594</v>
      </c>
      <c r="W173" s="14" t="s">
        <v>179</v>
      </c>
      <c r="X173" s="14" t="s">
        <v>5595</v>
      </c>
      <c r="Y173" s="14" t="s">
        <v>179</v>
      </c>
      <c r="Z173" s="14" t="s">
        <v>5596</v>
      </c>
      <c r="AA173" s="14" t="s">
        <v>179</v>
      </c>
      <c r="AB173" s="14" t="s">
        <v>5597</v>
      </c>
      <c r="AC173" s="14" t="s">
        <v>179</v>
      </c>
      <c r="AD173" s="14" t="s">
        <v>5598</v>
      </c>
      <c r="AE173" s="14" t="s">
        <v>179</v>
      </c>
      <c r="AF173" s="14" t="s">
        <v>5599</v>
      </c>
      <c r="AG173" s="14" t="s">
        <v>179</v>
      </c>
      <c r="AH173" s="14" t="s">
        <v>5600</v>
      </c>
      <c r="AI173" s="14" t="s">
        <v>179</v>
      </c>
      <c r="AJ173" s="14" t="s">
        <v>5601</v>
      </c>
      <c r="AK173" s="14" t="s">
        <v>179</v>
      </c>
      <c r="AL173" s="14" t="s">
        <v>5602</v>
      </c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6" t="s">
        <v>197</v>
      </c>
      <c r="BP173" s="17" t="s">
        <v>198</v>
      </c>
      <c r="BQ173" s="18">
        <v>45681.38915509259</v>
      </c>
      <c r="BR173" s="17" t="s">
        <v>198</v>
      </c>
      <c r="BS173" s="18">
        <v>45681.39010416667</v>
      </c>
      <c r="BT173" s="17" t="s">
        <v>198</v>
      </c>
      <c r="BU173" s="18">
        <v>45681.39010416667</v>
      </c>
      <c r="BV173" s="13" t="s">
        <v>199</v>
      </c>
      <c r="BW173" s="14" t="s">
        <v>179</v>
      </c>
      <c r="BX173" s="14" t="s">
        <v>5603</v>
      </c>
      <c r="BY173" s="14" t="s">
        <v>179</v>
      </c>
      <c r="BZ173" s="14" t="s">
        <v>5604</v>
      </c>
      <c r="CA173" s="14" t="s">
        <v>179</v>
      </c>
      <c r="CB173" s="14" t="s">
        <v>5605</v>
      </c>
      <c r="CC173" s="14" t="s">
        <v>179</v>
      </c>
      <c r="CD173" s="14" t="s">
        <v>5606</v>
      </c>
      <c r="CE173" s="14" t="s">
        <v>179</v>
      </c>
      <c r="CF173" s="14" t="s">
        <v>5607</v>
      </c>
      <c r="CG173" s="14" t="s">
        <v>179</v>
      </c>
      <c r="CH173" s="14" t="s">
        <v>5608</v>
      </c>
      <c r="CI173" s="19"/>
      <c r="CJ173" s="15"/>
      <c r="CK173" s="19"/>
      <c r="CL173" s="15"/>
      <c r="CM173" s="19"/>
      <c r="CN173" s="15"/>
      <c r="CO173" s="19"/>
      <c r="CP173" s="15"/>
      <c r="CQ173" s="15"/>
      <c r="CR173" s="15"/>
      <c r="CS173" s="19"/>
      <c r="CT173" s="15"/>
      <c r="CU173" s="19"/>
      <c r="CV173" s="15"/>
      <c r="CW173" s="19"/>
      <c r="CX173" s="15"/>
      <c r="CY173" s="19"/>
      <c r="CZ173" s="15"/>
      <c r="DA173" s="16" t="s">
        <v>197</v>
      </c>
      <c r="DB173" s="17" t="s">
        <v>198</v>
      </c>
      <c r="DC173" s="20">
        <v>45698.62997685185</v>
      </c>
      <c r="DD173" s="17" t="s">
        <v>198</v>
      </c>
      <c r="DE173" s="18">
        <v>45698.63002314815</v>
      </c>
      <c r="DF173" s="17" t="s">
        <v>198</v>
      </c>
      <c r="DG173" s="18">
        <v>45698.63002314815</v>
      </c>
      <c r="DH173" s="13" t="s">
        <v>205</v>
      </c>
      <c r="DI173" s="14" t="s">
        <v>179</v>
      </c>
      <c r="DJ173" s="14" t="s">
        <v>5609</v>
      </c>
      <c r="DK173" s="14" t="s">
        <v>179</v>
      </c>
      <c r="DL173" s="14" t="s">
        <v>5610</v>
      </c>
      <c r="DM173" s="14" t="s">
        <v>179</v>
      </c>
      <c r="DN173" s="14" t="s">
        <v>5611</v>
      </c>
      <c r="DO173" s="14" t="s">
        <v>179</v>
      </c>
      <c r="DP173" s="14" t="s">
        <v>5612</v>
      </c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6" t="s">
        <v>197</v>
      </c>
      <c r="ED173" s="17" t="s">
        <v>198</v>
      </c>
      <c r="EE173" s="18">
        <v>45709.64226851852</v>
      </c>
      <c r="EF173" s="13" t="s">
        <v>209</v>
      </c>
      <c r="EG173" s="14" t="s">
        <v>179</v>
      </c>
      <c r="EH173" s="14" t="s">
        <v>5613</v>
      </c>
      <c r="EI173" s="14" t="s">
        <v>179</v>
      </c>
      <c r="EJ173" s="14" t="s">
        <v>5614</v>
      </c>
      <c r="EK173" s="14" t="s">
        <v>179</v>
      </c>
      <c r="EL173" s="14" t="s">
        <v>5614</v>
      </c>
      <c r="EM173" s="14" t="s">
        <v>179</v>
      </c>
      <c r="EN173" s="14" t="s">
        <v>5615</v>
      </c>
      <c r="EO173" s="15"/>
      <c r="EP173" s="15"/>
      <c r="EQ173" s="15"/>
      <c r="ER173" s="15"/>
      <c r="ES173" s="15"/>
      <c r="ET173" s="15"/>
      <c r="EU173" s="15"/>
      <c r="EV173" s="15"/>
      <c r="EW173" s="15"/>
      <c r="EX173" s="15"/>
      <c r="EY173" s="15"/>
      <c r="EZ173" s="15"/>
      <c r="FA173" s="15"/>
      <c r="FB173" s="15"/>
      <c r="FC173" s="16" t="s">
        <v>197</v>
      </c>
      <c r="FD173" s="17" t="s">
        <v>198</v>
      </c>
      <c r="FE173" s="18">
        <v>45713.4021875</v>
      </c>
      <c r="FF173" s="19"/>
      <c r="FG173" s="19"/>
      <c r="FH173" s="21" t="s">
        <v>197</v>
      </c>
      <c r="FI173" s="17" t="s">
        <v>214</v>
      </c>
      <c r="FJ173" s="18">
        <v>45713.4021875</v>
      </c>
      <c r="FK173" s="14" t="s">
        <v>5615</v>
      </c>
      <c r="FL173" s="14" t="s">
        <v>5616</v>
      </c>
      <c r="FM173" s="14" t="s">
        <v>5617</v>
      </c>
      <c r="FN173" s="14" t="s">
        <v>5618</v>
      </c>
      <c r="FO173" s="14" t="s">
        <v>5619</v>
      </c>
      <c r="FP173" s="19" t="str">
        <f t="shared" si="1"/>
        <v>Base de Dados_Images/BC9226.Imagem do Equipamento-.143207.jpg</v>
      </c>
      <c r="FQ173" s="19"/>
      <c r="FR173" s="19"/>
    </row>
    <row r="174" ht="15.75" customHeight="1">
      <c r="A174" s="12" t="s">
        <v>357</v>
      </c>
      <c r="B174" s="12" t="s">
        <v>5584</v>
      </c>
      <c r="C174" s="24" t="s">
        <v>512</v>
      </c>
      <c r="D174" s="22" t="s">
        <v>5620</v>
      </c>
      <c r="E174" s="22" t="s">
        <v>5621</v>
      </c>
      <c r="F174" s="13" t="s">
        <v>178</v>
      </c>
      <c r="G174" s="14" t="s">
        <v>179</v>
      </c>
      <c r="H174" s="14" t="s">
        <v>5622</v>
      </c>
      <c r="I174" s="14" t="s">
        <v>179</v>
      </c>
      <c r="J174" s="14" t="s">
        <v>5623</v>
      </c>
      <c r="K174" s="14" t="s">
        <v>179</v>
      </c>
      <c r="L174" s="14" t="s">
        <v>5624</v>
      </c>
      <c r="M174" s="14" t="s">
        <v>179</v>
      </c>
      <c r="N174" s="14" t="s">
        <v>5625</v>
      </c>
      <c r="O174" s="14" t="s">
        <v>179</v>
      </c>
      <c r="P174" s="14" t="s">
        <v>5626</v>
      </c>
      <c r="Q174" s="14" t="s">
        <v>179</v>
      </c>
      <c r="R174" s="14" t="s">
        <v>5627</v>
      </c>
      <c r="S174" s="14" t="s">
        <v>179</v>
      </c>
      <c r="T174" s="14" t="s">
        <v>5628</v>
      </c>
      <c r="U174" s="14" t="s">
        <v>179</v>
      </c>
      <c r="V174" s="14" t="s">
        <v>5629</v>
      </c>
      <c r="W174" s="14" t="s">
        <v>179</v>
      </c>
      <c r="X174" s="14" t="s">
        <v>5630</v>
      </c>
      <c r="Y174" s="14" t="s">
        <v>179</v>
      </c>
      <c r="Z174" s="14" t="s">
        <v>5631</v>
      </c>
      <c r="AA174" s="14" t="s">
        <v>179</v>
      </c>
      <c r="AB174" s="14" t="s">
        <v>5632</v>
      </c>
      <c r="AC174" s="14" t="s">
        <v>179</v>
      </c>
      <c r="AD174" s="14" t="s">
        <v>5633</v>
      </c>
      <c r="AE174" s="14" t="s">
        <v>179</v>
      </c>
      <c r="AF174" s="14" t="s">
        <v>5634</v>
      </c>
      <c r="AG174" s="14" t="s">
        <v>179</v>
      </c>
      <c r="AH174" s="14" t="s">
        <v>5635</v>
      </c>
      <c r="AI174" s="14" t="s">
        <v>179</v>
      </c>
      <c r="AJ174" s="14" t="s">
        <v>5636</v>
      </c>
      <c r="AK174" s="14" t="s">
        <v>179</v>
      </c>
      <c r="AL174" s="14" t="s">
        <v>5637</v>
      </c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6" t="s">
        <v>197</v>
      </c>
      <c r="BP174" s="17" t="s">
        <v>198</v>
      </c>
      <c r="BQ174" s="18">
        <v>45681.396261574075</v>
      </c>
      <c r="BR174" s="17" t="s">
        <v>198</v>
      </c>
      <c r="BS174" s="18">
        <v>45681.396157407406</v>
      </c>
      <c r="BT174" s="17" t="s">
        <v>198</v>
      </c>
      <c r="BU174" s="18">
        <v>45681.396261574075</v>
      </c>
      <c r="BV174" s="13" t="s">
        <v>199</v>
      </c>
      <c r="BW174" s="14" t="s">
        <v>179</v>
      </c>
      <c r="BX174" s="14" t="s">
        <v>5638</v>
      </c>
      <c r="BY174" s="14" t="s">
        <v>179</v>
      </c>
      <c r="BZ174" s="14" t="s">
        <v>5639</v>
      </c>
      <c r="CA174" s="14" t="s">
        <v>179</v>
      </c>
      <c r="CB174" s="14" t="s">
        <v>5640</v>
      </c>
      <c r="CC174" s="14" t="s">
        <v>179</v>
      </c>
      <c r="CD174" s="14" t="s">
        <v>5641</v>
      </c>
      <c r="CE174" s="14" t="s">
        <v>179</v>
      </c>
      <c r="CF174" s="14" t="s">
        <v>5642</v>
      </c>
      <c r="CG174" s="14" t="s">
        <v>179</v>
      </c>
      <c r="CH174" s="14" t="s">
        <v>5643</v>
      </c>
      <c r="CI174" s="19"/>
      <c r="CJ174" s="15"/>
      <c r="CK174" s="19"/>
      <c r="CL174" s="15"/>
      <c r="CM174" s="19"/>
      <c r="CN174" s="15"/>
      <c r="CO174" s="19"/>
      <c r="CP174" s="15"/>
      <c r="CQ174" s="15"/>
      <c r="CR174" s="15"/>
      <c r="CS174" s="19"/>
      <c r="CT174" s="15"/>
      <c r="CU174" s="19"/>
      <c r="CV174" s="15"/>
      <c r="CW174" s="19"/>
      <c r="CX174" s="15"/>
      <c r="CY174" s="19"/>
      <c r="CZ174" s="15"/>
      <c r="DA174" s="16" t="s">
        <v>197</v>
      </c>
      <c r="DB174" s="17" t="s">
        <v>198</v>
      </c>
      <c r="DC174" s="20">
        <v>45698.62940972222</v>
      </c>
      <c r="DD174" s="17" t="s">
        <v>198</v>
      </c>
      <c r="DE174" s="18">
        <v>45698.62946759259</v>
      </c>
      <c r="DF174" s="17" t="s">
        <v>198</v>
      </c>
      <c r="DG174" s="18">
        <v>45698.62946759259</v>
      </c>
      <c r="DH174" s="13" t="s">
        <v>205</v>
      </c>
      <c r="DI174" s="14" t="s">
        <v>179</v>
      </c>
      <c r="DJ174" s="14" t="s">
        <v>5644</v>
      </c>
      <c r="DK174" s="14" t="s">
        <v>179</v>
      </c>
      <c r="DL174" s="14" t="s">
        <v>5645</v>
      </c>
      <c r="DM174" s="14" t="s">
        <v>179</v>
      </c>
      <c r="DN174" s="14" t="s">
        <v>5646</v>
      </c>
      <c r="DO174" s="14" t="s">
        <v>179</v>
      </c>
      <c r="DP174" s="14" t="s">
        <v>5647</v>
      </c>
      <c r="DQ174" s="15"/>
      <c r="DR174" s="15"/>
      <c r="DS174" s="15"/>
      <c r="DT174" s="15"/>
      <c r="DU174" s="15"/>
      <c r="DV174" s="15"/>
      <c r="DW174" s="15"/>
      <c r="DX174" s="15"/>
      <c r="DY174" s="15"/>
      <c r="DZ174" s="15"/>
      <c r="EA174" s="15"/>
      <c r="EB174" s="15"/>
      <c r="EC174" s="16" t="s">
        <v>197</v>
      </c>
      <c r="ED174" s="17" t="s">
        <v>198</v>
      </c>
      <c r="EE174" s="18">
        <v>45709.64320601852</v>
      </c>
      <c r="EF174" s="13" t="s">
        <v>209</v>
      </c>
      <c r="EG174" s="14" t="s">
        <v>179</v>
      </c>
      <c r="EH174" s="14" t="s">
        <v>5648</v>
      </c>
      <c r="EI174" s="14" t="s">
        <v>179</v>
      </c>
      <c r="EJ174" s="14" t="s">
        <v>5649</v>
      </c>
      <c r="EK174" s="14" t="s">
        <v>179</v>
      </c>
      <c r="EL174" s="14" t="s">
        <v>5650</v>
      </c>
      <c r="EM174" s="14" t="s">
        <v>179</v>
      </c>
      <c r="EN174" s="14" t="s">
        <v>5651</v>
      </c>
      <c r="EO174" s="15"/>
      <c r="EP174" s="15"/>
      <c r="EQ174" s="15"/>
      <c r="ER174" s="15"/>
      <c r="ES174" s="15"/>
      <c r="ET174" s="15"/>
      <c r="EU174" s="15"/>
      <c r="EV174" s="15"/>
      <c r="EW174" s="15"/>
      <c r="EX174" s="15"/>
      <c r="EY174" s="15"/>
      <c r="EZ174" s="15"/>
      <c r="FA174" s="15"/>
      <c r="FB174" s="15"/>
      <c r="FC174" s="16" t="s">
        <v>197</v>
      </c>
      <c r="FD174" s="17" t="s">
        <v>198</v>
      </c>
      <c r="FE174" s="18">
        <v>45713.40189814815</v>
      </c>
      <c r="FF174" s="19"/>
      <c r="FG174" s="19"/>
      <c r="FH174" s="21" t="s">
        <v>197</v>
      </c>
      <c r="FI174" s="17" t="s">
        <v>214</v>
      </c>
      <c r="FJ174" s="18">
        <v>45713.40189814815</v>
      </c>
      <c r="FK174" s="14" t="s">
        <v>5651</v>
      </c>
      <c r="FL174" s="14" t="s">
        <v>5652</v>
      </c>
      <c r="FM174" s="14" t="s">
        <v>5653</v>
      </c>
      <c r="FN174" s="14" t="s">
        <v>5654</v>
      </c>
      <c r="FO174" s="14" t="s">
        <v>5655</v>
      </c>
      <c r="FP174" s="19" t="str">
        <f t="shared" si="1"/>
        <v>Base de Dados_Images/BC9227.Imagem do Equipamento-.143332.jpg</v>
      </c>
      <c r="FQ174" s="19"/>
      <c r="FR174" s="19"/>
    </row>
    <row r="175" ht="15.75" customHeight="1">
      <c r="A175" s="12" t="s">
        <v>357</v>
      </c>
      <c r="B175" s="12" t="s">
        <v>5584</v>
      </c>
      <c r="C175" s="24" t="s">
        <v>512</v>
      </c>
      <c r="D175" s="22" t="s">
        <v>5656</v>
      </c>
      <c r="E175" s="22" t="s">
        <v>5657</v>
      </c>
      <c r="F175" s="13" t="s">
        <v>178</v>
      </c>
      <c r="G175" s="14" t="s">
        <v>179</v>
      </c>
      <c r="H175" s="14" t="s">
        <v>5658</v>
      </c>
      <c r="I175" s="14" t="s">
        <v>179</v>
      </c>
      <c r="J175" s="14" t="s">
        <v>5659</v>
      </c>
      <c r="K175" s="14" t="s">
        <v>179</v>
      </c>
      <c r="L175" s="14" t="s">
        <v>5660</v>
      </c>
      <c r="M175" s="14" t="s">
        <v>179</v>
      </c>
      <c r="N175" s="14" t="s">
        <v>5661</v>
      </c>
      <c r="O175" s="14" t="s">
        <v>179</v>
      </c>
      <c r="P175" s="14" t="s">
        <v>5662</v>
      </c>
      <c r="Q175" s="14" t="s">
        <v>179</v>
      </c>
      <c r="R175" s="14" t="s">
        <v>5663</v>
      </c>
      <c r="S175" s="14" t="s">
        <v>179</v>
      </c>
      <c r="T175" s="14" t="s">
        <v>5664</v>
      </c>
      <c r="U175" s="14" t="s">
        <v>179</v>
      </c>
      <c r="V175" s="14" t="s">
        <v>5665</v>
      </c>
      <c r="W175" s="14" t="s">
        <v>179</v>
      </c>
      <c r="X175" s="14" t="s">
        <v>5666</v>
      </c>
      <c r="Y175" s="14" t="s">
        <v>179</v>
      </c>
      <c r="Z175" s="14" t="s">
        <v>5667</v>
      </c>
      <c r="AA175" s="14" t="s">
        <v>179</v>
      </c>
      <c r="AB175" s="14" t="s">
        <v>5668</v>
      </c>
      <c r="AC175" s="14" t="s">
        <v>179</v>
      </c>
      <c r="AD175" s="14" t="s">
        <v>5669</v>
      </c>
      <c r="AE175" s="14" t="s">
        <v>179</v>
      </c>
      <c r="AF175" s="14" t="s">
        <v>5670</v>
      </c>
      <c r="AG175" s="14" t="s">
        <v>179</v>
      </c>
      <c r="AH175" s="14" t="s">
        <v>5671</v>
      </c>
      <c r="AI175" s="14" t="s">
        <v>179</v>
      </c>
      <c r="AJ175" s="14" t="s">
        <v>5672</v>
      </c>
      <c r="AK175" s="14" t="s">
        <v>179</v>
      </c>
      <c r="AL175" s="14" t="s">
        <v>5673</v>
      </c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6" t="s">
        <v>197</v>
      </c>
      <c r="BP175" s="17" t="s">
        <v>198</v>
      </c>
      <c r="BQ175" s="18">
        <v>45681.39753472222</v>
      </c>
      <c r="BR175" s="17" t="s">
        <v>198</v>
      </c>
      <c r="BS175" s="18">
        <v>45681.397685185184</v>
      </c>
      <c r="BT175" s="17" t="s">
        <v>198</v>
      </c>
      <c r="BU175" s="18">
        <v>45681.397685185184</v>
      </c>
      <c r="BV175" s="13" t="s">
        <v>199</v>
      </c>
      <c r="BW175" s="14" t="s">
        <v>179</v>
      </c>
      <c r="BX175" s="14" t="s">
        <v>5674</v>
      </c>
      <c r="BY175" s="14" t="s">
        <v>179</v>
      </c>
      <c r="BZ175" s="14" t="s">
        <v>5675</v>
      </c>
      <c r="CA175" s="14" t="s">
        <v>179</v>
      </c>
      <c r="CB175" s="14" t="s">
        <v>5676</v>
      </c>
      <c r="CC175" s="14" t="s">
        <v>179</v>
      </c>
      <c r="CD175" s="14" t="s">
        <v>5677</v>
      </c>
      <c r="CE175" s="14" t="s">
        <v>179</v>
      </c>
      <c r="CF175" s="14" t="s">
        <v>5678</v>
      </c>
      <c r="CG175" s="14" t="s">
        <v>179</v>
      </c>
      <c r="CH175" s="14" t="s">
        <v>5679</v>
      </c>
      <c r="CI175" s="19"/>
      <c r="CJ175" s="15"/>
      <c r="CK175" s="19"/>
      <c r="CL175" s="15"/>
      <c r="CM175" s="19"/>
      <c r="CN175" s="15"/>
      <c r="CO175" s="19"/>
      <c r="CP175" s="15"/>
      <c r="CQ175" s="15"/>
      <c r="CR175" s="15"/>
      <c r="CS175" s="19"/>
      <c r="CT175" s="15"/>
      <c r="CU175" s="19"/>
      <c r="CV175" s="15"/>
      <c r="CW175" s="19"/>
      <c r="CX175" s="15"/>
      <c r="CY175" s="19"/>
      <c r="CZ175" s="15"/>
      <c r="DA175" s="16" t="s">
        <v>197</v>
      </c>
      <c r="DB175" s="17" t="s">
        <v>198</v>
      </c>
      <c r="DC175" s="20">
        <v>45698.629745370374</v>
      </c>
      <c r="DD175" s="17" t="s">
        <v>198</v>
      </c>
      <c r="DE175" s="18">
        <v>45698.62978009259</v>
      </c>
      <c r="DF175" s="17" t="s">
        <v>198</v>
      </c>
      <c r="DG175" s="18">
        <v>45698.62978009259</v>
      </c>
      <c r="DH175" s="13" t="s">
        <v>205</v>
      </c>
      <c r="DI175" s="14" t="s">
        <v>179</v>
      </c>
      <c r="DJ175" s="14" t="s">
        <v>5680</v>
      </c>
      <c r="DK175" s="14" t="s">
        <v>179</v>
      </c>
      <c r="DL175" s="14" t="s">
        <v>5681</v>
      </c>
      <c r="DM175" s="14" t="s">
        <v>179</v>
      </c>
      <c r="DN175" s="14" t="s">
        <v>5682</v>
      </c>
      <c r="DO175" s="14" t="s">
        <v>179</v>
      </c>
      <c r="DP175" s="14" t="s">
        <v>5683</v>
      </c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6" t="s">
        <v>197</v>
      </c>
      <c r="ED175" s="17" t="s">
        <v>198</v>
      </c>
      <c r="EE175" s="18">
        <v>45709.64273148148</v>
      </c>
      <c r="EF175" s="13" t="s">
        <v>209</v>
      </c>
      <c r="EG175" s="14" t="s">
        <v>179</v>
      </c>
      <c r="EH175" s="14" t="s">
        <v>5684</v>
      </c>
      <c r="EI175" s="14" t="s">
        <v>179</v>
      </c>
      <c r="EJ175" s="14" t="s">
        <v>5685</v>
      </c>
      <c r="EK175" s="14" t="s">
        <v>179</v>
      </c>
      <c r="EL175" s="14" t="s">
        <v>5686</v>
      </c>
      <c r="EM175" s="14" t="s">
        <v>179</v>
      </c>
      <c r="EN175" s="14" t="s">
        <v>5687</v>
      </c>
      <c r="EO175" s="15"/>
      <c r="EP175" s="15"/>
      <c r="EQ175" s="15"/>
      <c r="ER175" s="15"/>
      <c r="ES175" s="15"/>
      <c r="ET175" s="15"/>
      <c r="EU175" s="15"/>
      <c r="EV175" s="15"/>
      <c r="EW175" s="15"/>
      <c r="EX175" s="15"/>
      <c r="EY175" s="15"/>
      <c r="EZ175" s="15"/>
      <c r="FA175" s="15"/>
      <c r="FB175" s="15"/>
      <c r="FC175" s="16" t="s">
        <v>197</v>
      </c>
      <c r="FD175" s="17" t="s">
        <v>198</v>
      </c>
      <c r="FE175" s="18">
        <v>45713.40201388889</v>
      </c>
      <c r="FF175" s="19"/>
      <c r="FG175" s="19"/>
      <c r="FH175" s="21" t="s">
        <v>197</v>
      </c>
      <c r="FI175" s="17" t="s">
        <v>214</v>
      </c>
      <c r="FJ175" s="18">
        <v>45713.40201388889</v>
      </c>
      <c r="FK175" s="14" t="s">
        <v>5687</v>
      </c>
      <c r="FL175" s="14" t="s">
        <v>5688</v>
      </c>
      <c r="FM175" s="14" t="s">
        <v>5689</v>
      </c>
      <c r="FN175" s="14" t="s">
        <v>5690</v>
      </c>
      <c r="FO175" s="14" t="s">
        <v>5691</v>
      </c>
      <c r="FP175" s="19" t="str">
        <f t="shared" si="1"/>
        <v>Base de Dados_Images/BC9228.Imagem do Equipamento-.143505.jpg</v>
      </c>
      <c r="FQ175" s="19"/>
      <c r="FR175" s="19"/>
    </row>
    <row r="176" ht="15.75" customHeight="1">
      <c r="A176" s="12" t="s">
        <v>357</v>
      </c>
      <c r="B176" s="12" t="s">
        <v>5584</v>
      </c>
      <c r="C176" s="24" t="s">
        <v>512</v>
      </c>
      <c r="D176" s="22" t="s">
        <v>5692</v>
      </c>
      <c r="E176" s="22" t="s">
        <v>5693</v>
      </c>
      <c r="F176" s="13" t="s">
        <v>178</v>
      </c>
      <c r="G176" s="14" t="s">
        <v>179</v>
      </c>
      <c r="H176" s="14" t="s">
        <v>5694</v>
      </c>
      <c r="I176" s="14" t="s">
        <v>179</v>
      </c>
      <c r="J176" s="14" t="s">
        <v>5695</v>
      </c>
      <c r="K176" s="14" t="s">
        <v>179</v>
      </c>
      <c r="L176" s="14" t="s">
        <v>5696</v>
      </c>
      <c r="M176" s="14" t="s">
        <v>179</v>
      </c>
      <c r="N176" s="14" t="s">
        <v>5697</v>
      </c>
      <c r="O176" s="14" t="s">
        <v>179</v>
      </c>
      <c r="P176" s="14" t="s">
        <v>5698</v>
      </c>
      <c r="Q176" s="14" t="s">
        <v>179</v>
      </c>
      <c r="R176" s="14" t="s">
        <v>5699</v>
      </c>
      <c r="S176" s="14" t="s">
        <v>179</v>
      </c>
      <c r="T176" s="14" t="s">
        <v>5700</v>
      </c>
      <c r="U176" s="14" t="s">
        <v>179</v>
      </c>
      <c r="V176" s="14" t="s">
        <v>5701</v>
      </c>
      <c r="W176" s="14" t="s">
        <v>179</v>
      </c>
      <c r="X176" s="14" t="s">
        <v>5702</v>
      </c>
      <c r="Y176" s="14" t="s">
        <v>179</v>
      </c>
      <c r="Z176" s="14" t="s">
        <v>5703</v>
      </c>
      <c r="AA176" s="14" t="s">
        <v>179</v>
      </c>
      <c r="AB176" s="14" t="s">
        <v>5704</v>
      </c>
      <c r="AC176" s="14" t="s">
        <v>179</v>
      </c>
      <c r="AD176" s="14" t="s">
        <v>5705</v>
      </c>
      <c r="AE176" s="14" t="s">
        <v>179</v>
      </c>
      <c r="AF176" s="14" t="s">
        <v>5706</v>
      </c>
      <c r="AG176" s="14" t="s">
        <v>179</v>
      </c>
      <c r="AH176" s="14" t="s">
        <v>5707</v>
      </c>
      <c r="AI176" s="14" t="s">
        <v>179</v>
      </c>
      <c r="AJ176" s="14" t="s">
        <v>5708</v>
      </c>
      <c r="AK176" s="14" t="s">
        <v>179</v>
      </c>
      <c r="AL176" s="14" t="s">
        <v>5709</v>
      </c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6" t="s">
        <v>197</v>
      </c>
      <c r="BP176" s="17" t="s">
        <v>198</v>
      </c>
      <c r="BQ176" s="18">
        <v>45678.63501157407</v>
      </c>
      <c r="BR176" s="17" t="s">
        <v>198</v>
      </c>
      <c r="BS176" s="18">
        <v>45678.63517361111</v>
      </c>
      <c r="BT176" s="17" t="s">
        <v>198</v>
      </c>
      <c r="BU176" s="18">
        <v>45678.63517361111</v>
      </c>
      <c r="BV176" s="13" t="s">
        <v>199</v>
      </c>
      <c r="BW176" s="14" t="s">
        <v>179</v>
      </c>
      <c r="BX176" s="14" t="s">
        <v>5710</v>
      </c>
      <c r="BY176" s="14" t="s">
        <v>179</v>
      </c>
      <c r="BZ176" s="14" t="s">
        <v>5711</v>
      </c>
      <c r="CA176" s="14" t="s">
        <v>179</v>
      </c>
      <c r="CB176" s="14" t="s">
        <v>5712</v>
      </c>
      <c r="CC176" s="14" t="s">
        <v>179</v>
      </c>
      <c r="CD176" s="14" t="s">
        <v>5713</v>
      </c>
      <c r="CE176" s="14" t="s">
        <v>179</v>
      </c>
      <c r="CF176" s="14" t="s">
        <v>5714</v>
      </c>
      <c r="CG176" s="14" t="s">
        <v>179</v>
      </c>
      <c r="CH176" s="14" t="s">
        <v>5715</v>
      </c>
      <c r="CI176" s="19"/>
      <c r="CJ176" s="15"/>
      <c r="CK176" s="19"/>
      <c r="CL176" s="15"/>
      <c r="CM176" s="19"/>
      <c r="CN176" s="15"/>
      <c r="CO176" s="19"/>
      <c r="CP176" s="15"/>
      <c r="CQ176" s="15"/>
      <c r="CR176" s="15"/>
      <c r="CS176" s="19"/>
      <c r="CT176" s="15"/>
      <c r="CU176" s="19"/>
      <c r="CV176" s="15"/>
      <c r="CW176" s="19"/>
      <c r="CX176" s="15"/>
      <c r="CY176" s="19"/>
      <c r="CZ176" s="15"/>
      <c r="DA176" s="16" t="s">
        <v>197</v>
      </c>
      <c r="DB176" s="17" t="s">
        <v>198</v>
      </c>
      <c r="DC176" s="20">
        <v>45686.51357638889</v>
      </c>
      <c r="DD176" s="17" t="s">
        <v>198</v>
      </c>
      <c r="DE176" s="18">
        <v>45686.51363425926</v>
      </c>
      <c r="DF176" s="17" t="s">
        <v>198</v>
      </c>
      <c r="DG176" s="18">
        <v>45686.51363425926</v>
      </c>
      <c r="DH176" s="13" t="s">
        <v>205</v>
      </c>
      <c r="DI176" s="14" t="s">
        <v>179</v>
      </c>
      <c r="DJ176" s="14" t="s">
        <v>5716</v>
      </c>
      <c r="DK176" s="14" t="s">
        <v>179</v>
      </c>
      <c r="DL176" s="14" t="s">
        <v>5717</v>
      </c>
      <c r="DM176" s="14" t="s">
        <v>179</v>
      </c>
      <c r="DN176" s="14" t="s">
        <v>5718</v>
      </c>
      <c r="DO176" s="14" t="s">
        <v>179</v>
      </c>
      <c r="DP176" s="14" t="s">
        <v>5719</v>
      </c>
      <c r="DQ176" s="15"/>
      <c r="DR176" s="15"/>
      <c r="DS176" s="15"/>
      <c r="DT176" s="15"/>
      <c r="DU176" s="15"/>
      <c r="DV176" s="15"/>
      <c r="DW176" s="15"/>
      <c r="DX176" s="15"/>
      <c r="DY176" s="15"/>
      <c r="DZ176" s="15"/>
      <c r="EA176" s="15"/>
      <c r="EB176" s="15"/>
      <c r="EC176" s="16" t="s">
        <v>197</v>
      </c>
      <c r="ED176" s="17" t="s">
        <v>198</v>
      </c>
      <c r="EE176" s="18">
        <v>45699.495983796296</v>
      </c>
      <c r="EF176" s="13" t="s">
        <v>209</v>
      </c>
      <c r="EG176" s="14" t="s">
        <v>179</v>
      </c>
      <c r="EH176" s="14" t="s">
        <v>5720</v>
      </c>
      <c r="EI176" s="14" t="s">
        <v>179</v>
      </c>
      <c r="EJ176" s="14" t="s">
        <v>5721</v>
      </c>
      <c r="EK176" s="14" t="s">
        <v>179</v>
      </c>
      <c r="EL176" s="14" t="s">
        <v>5722</v>
      </c>
      <c r="EM176" s="14" t="s">
        <v>179</v>
      </c>
      <c r="EN176" s="14" t="s">
        <v>5723</v>
      </c>
      <c r="EO176" s="15"/>
      <c r="EP176" s="15"/>
      <c r="EQ176" s="15"/>
      <c r="ER176" s="15"/>
      <c r="ES176" s="15"/>
      <c r="ET176" s="15"/>
      <c r="EU176" s="15"/>
      <c r="EV176" s="15"/>
      <c r="EW176" s="15"/>
      <c r="EX176" s="15"/>
      <c r="EY176" s="15"/>
      <c r="EZ176" s="15"/>
      <c r="FA176" s="15"/>
      <c r="FB176" s="15"/>
      <c r="FC176" s="16" t="s">
        <v>197</v>
      </c>
      <c r="FD176" s="17" t="s">
        <v>198</v>
      </c>
      <c r="FE176" s="18">
        <v>45699.496087962965</v>
      </c>
      <c r="FF176" s="19"/>
      <c r="FG176" s="19"/>
      <c r="FH176" s="21" t="s">
        <v>197</v>
      </c>
      <c r="FI176" s="17" t="s">
        <v>214</v>
      </c>
      <c r="FJ176" s="18">
        <v>45699.496087962965</v>
      </c>
      <c r="FK176" s="14" t="s">
        <v>5724</v>
      </c>
      <c r="FL176" s="14" t="s">
        <v>5725</v>
      </c>
      <c r="FM176" s="14" t="s">
        <v>5726</v>
      </c>
      <c r="FN176" s="14" t="s">
        <v>5727</v>
      </c>
      <c r="FO176" s="14" t="s">
        <v>5724</v>
      </c>
      <c r="FP176" s="19" t="str">
        <f t="shared" si="1"/>
        <v>Base de Dados_Images/BC9229.Imagem do Equipamento-.150328.jpg</v>
      </c>
      <c r="FQ176" s="19"/>
      <c r="FR176" s="19"/>
    </row>
    <row r="177" ht="15.75" customHeight="1">
      <c r="A177" s="12" t="s">
        <v>357</v>
      </c>
      <c r="B177" s="29" t="s">
        <v>4071</v>
      </c>
      <c r="C177" s="24" t="s">
        <v>512</v>
      </c>
      <c r="D177" s="22" t="s">
        <v>5728</v>
      </c>
      <c r="E177" s="22" t="s">
        <v>5729</v>
      </c>
      <c r="F177" s="13" t="s">
        <v>178</v>
      </c>
      <c r="G177" s="14" t="s">
        <v>179</v>
      </c>
      <c r="H177" s="14" t="s">
        <v>5730</v>
      </c>
      <c r="I177" s="14" t="s">
        <v>179</v>
      </c>
      <c r="J177" s="14" t="s">
        <v>5731</v>
      </c>
      <c r="K177" s="14" t="s">
        <v>179</v>
      </c>
      <c r="L177" s="14" t="s">
        <v>5732</v>
      </c>
      <c r="M177" s="14" t="s">
        <v>179</v>
      </c>
      <c r="N177" s="14" t="s">
        <v>5733</v>
      </c>
      <c r="O177" s="14" t="s">
        <v>179</v>
      </c>
      <c r="P177" s="14" t="s">
        <v>5734</v>
      </c>
      <c r="Q177" s="14" t="s">
        <v>179</v>
      </c>
      <c r="R177" s="14" t="s">
        <v>5735</v>
      </c>
      <c r="S177" s="14" t="s">
        <v>179</v>
      </c>
      <c r="T177" s="14" t="s">
        <v>5736</v>
      </c>
      <c r="U177" s="14" t="s">
        <v>179</v>
      </c>
      <c r="V177" s="14" t="s">
        <v>5737</v>
      </c>
      <c r="W177" s="14" t="s">
        <v>179</v>
      </c>
      <c r="X177" s="14" t="s">
        <v>5738</v>
      </c>
      <c r="Y177" s="14" t="s">
        <v>179</v>
      </c>
      <c r="Z177" s="14" t="s">
        <v>5739</v>
      </c>
      <c r="AA177" s="14" t="s">
        <v>179</v>
      </c>
      <c r="AB177" s="14" t="s">
        <v>5740</v>
      </c>
      <c r="AC177" s="14" t="s">
        <v>179</v>
      </c>
      <c r="AD177" s="14" t="s">
        <v>5741</v>
      </c>
      <c r="AE177" s="14" t="s">
        <v>179</v>
      </c>
      <c r="AF177" s="14" t="s">
        <v>5742</v>
      </c>
      <c r="AG177" s="14" t="s">
        <v>179</v>
      </c>
      <c r="AH177" s="14" t="s">
        <v>5743</v>
      </c>
      <c r="AI177" s="14" t="s">
        <v>179</v>
      </c>
      <c r="AJ177" s="14" t="s">
        <v>5744</v>
      </c>
      <c r="AK177" s="14" t="s">
        <v>179</v>
      </c>
      <c r="AL177" s="14" t="s">
        <v>5745</v>
      </c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6" t="s">
        <v>197</v>
      </c>
      <c r="BP177" s="17" t="s">
        <v>198</v>
      </c>
      <c r="BQ177" s="18">
        <v>45681.400775462964</v>
      </c>
      <c r="BR177" s="17" t="s">
        <v>198</v>
      </c>
      <c r="BS177" s="18">
        <v>45681.40310185185</v>
      </c>
      <c r="BT177" s="17" t="s">
        <v>198</v>
      </c>
      <c r="BU177" s="18">
        <v>45681.40310185185</v>
      </c>
      <c r="BV177" s="13" t="s">
        <v>199</v>
      </c>
      <c r="BW177" s="14" t="s">
        <v>179</v>
      </c>
      <c r="BX177" s="14" t="s">
        <v>5746</v>
      </c>
      <c r="BY177" s="14" t="s">
        <v>179</v>
      </c>
      <c r="BZ177" s="14" t="s">
        <v>5747</v>
      </c>
      <c r="CA177" s="14" t="s">
        <v>179</v>
      </c>
      <c r="CB177" s="14" t="s">
        <v>5748</v>
      </c>
      <c r="CC177" s="14" t="s">
        <v>179</v>
      </c>
      <c r="CD177" s="14" t="s">
        <v>5749</v>
      </c>
      <c r="CE177" s="14" t="s">
        <v>179</v>
      </c>
      <c r="CF177" s="14" t="s">
        <v>5750</v>
      </c>
      <c r="CG177" s="14" t="s">
        <v>179</v>
      </c>
      <c r="CH177" s="14" t="s">
        <v>5751</v>
      </c>
      <c r="CI177" s="19"/>
      <c r="CJ177" s="15"/>
      <c r="CK177" s="19"/>
      <c r="CL177" s="15"/>
      <c r="CM177" s="19"/>
      <c r="CN177" s="15"/>
      <c r="CO177" s="19"/>
      <c r="CP177" s="15"/>
      <c r="CQ177" s="15"/>
      <c r="CR177" s="15"/>
      <c r="CS177" s="19"/>
      <c r="CT177" s="15"/>
      <c r="CU177" s="19"/>
      <c r="CV177" s="15"/>
      <c r="CW177" s="19"/>
      <c r="CX177" s="15"/>
      <c r="CY177" s="19"/>
      <c r="CZ177" s="15"/>
      <c r="DA177" s="16" t="s">
        <v>197</v>
      </c>
      <c r="DB177" s="17" t="s">
        <v>198</v>
      </c>
      <c r="DC177" s="20">
        <v>45699.449270833335</v>
      </c>
      <c r="DD177" s="17" t="s">
        <v>198</v>
      </c>
      <c r="DE177" s="18">
        <v>45699.44940972222</v>
      </c>
      <c r="DF177" s="17" t="s">
        <v>198</v>
      </c>
      <c r="DG177" s="18">
        <v>45699.44940972222</v>
      </c>
      <c r="DH177" s="13" t="s">
        <v>205</v>
      </c>
      <c r="DI177" s="14" t="s">
        <v>179</v>
      </c>
      <c r="DJ177" s="14" t="s">
        <v>5752</v>
      </c>
      <c r="DK177" s="14" t="s">
        <v>179</v>
      </c>
      <c r="DL177" s="14" t="s">
        <v>5753</v>
      </c>
      <c r="DM177" s="14" t="s">
        <v>179</v>
      </c>
      <c r="DN177" s="14" t="s">
        <v>5754</v>
      </c>
      <c r="DO177" s="14" t="s">
        <v>179</v>
      </c>
      <c r="DP177" s="14" t="s">
        <v>5755</v>
      </c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6" t="s">
        <v>197</v>
      </c>
      <c r="ED177" s="17" t="s">
        <v>198</v>
      </c>
      <c r="EE177" s="18">
        <v>45709.64394675926</v>
      </c>
      <c r="EF177" s="13" t="s">
        <v>209</v>
      </c>
      <c r="EG177" s="14" t="s">
        <v>179</v>
      </c>
      <c r="EH177" s="14" t="s">
        <v>5756</v>
      </c>
      <c r="EI177" s="14" t="s">
        <v>179</v>
      </c>
      <c r="EJ177" s="14" t="s">
        <v>5757</v>
      </c>
      <c r="EK177" s="14" t="s">
        <v>179</v>
      </c>
      <c r="EL177" s="14" t="s">
        <v>5757</v>
      </c>
      <c r="EM177" s="14" t="s">
        <v>179</v>
      </c>
      <c r="EN177" s="14" t="s">
        <v>5758</v>
      </c>
      <c r="EO177" s="15"/>
      <c r="EP177" s="15"/>
      <c r="EQ177" s="15"/>
      <c r="ER177" s="15"/>
      <c r="ES177" s="15"/>
      <c r="ET177" s="15"/>
      <c r="EU177" s="15"/>
      <c r="EV177" s="15"/>
      <c r="EW177" s="15"/>
      <c r="EX177" s="15"/>
      <c r="EY177" s="15"/>
      <c r="EZ177" s="15"/>
      <c r="FA177" s="15"/>
      <c r="FB177" s="15"/>
      <c r="FC177" s="16" t="s">
        <v>197</v>
      </c>
      <c r="FD177" s="17" t="s">
        <v>198</v>
      </c>
      <c r="FE177" s="18">
        <v>45713.39634259259</v>
      </c>
      <c r="FF177" s="19"/>
      <c r="FG177" s="19"/>
      <c r="FH177" s="21" t="s">
        <v>197</v>
      </c>
      <c r="FI177" s="17" t="s">
        <v>214</v>
      </c>
      <c r="FJ177" s="18">
        <v>45713.39634259259</v>
      </c>
      <c r="FK177" s="14" t="s">
        <v>5758</v>
      </c>
      <c r="FL177" s="14" t="s">
        <v>5759</v>
      </c>
      <c r="FM177" s="14" t="s">
        <v>5760</v>
      </c>
      <c r="FN177" s="14" t="s">
        <v>5761</v>
      </c>
      <c r="FO177" s="14" t="s">
        <v>5762</v>
      </c>
      <c r="FP177" s="19" t="str">
        <f t="shared" si="1"/>
        <v>Base de Dados_Images/BC9230.Imagem do Equipamento-.143618.jpg</v>
      </c>
      <c r="FQ177" s="19"/>
      <c r="FR177" s="19"/>
    </row>
    <row r="178" ht="15.75" customHeight="1">
      <c r="A178" s="12" t="s">
        <v>357</v>
      </c>
      <c r="B178" s="29" t="s">
        <v>4071</v>
      </c>
      <c r="C178" s="24" t="s">
        <v>512</v>
      </c>
      <c r="D178" s="22" t="s">
        <v>5763</v>
      </c>
      <c r="E178" s="22" t="s">
        <v>5764</v>
      </c>
      <c r="F178" s="13" t="s">
        <v>178</v>
      </c>
      <c r="G178" s="14" t="s">
        <v>179</v>
      </c>
      <c r="H178" s="14" t="s">
        <v>5765</v>
      </c>
      <c r="I178" s="14" t="s">
        <v>179</v>
      </c>
      <c r="J178" s="14" t="s">
        <v>5766</v>
      </c>
      <c r="K178" s="14" t="s">
        <v>179</v>
      </c>
      <c r="L178" s="14" t="s">
        <v>5767</v>
      </c>
      <c r="M178" s="14" t="s">
        <v>179</v>
      </c>
      <c r="N178" s="14" t="s">
        <v>5768</v>
      </c>
      <c r="O178" s="14" t="s">
        <v>179</v>
      </c>
      <c r="P178" s="14" t="s">
        <v>5769</v>
      </c>
      <c r="Q178" s="14" t="s">
        <v>179</v>
      </c>
      <c r="R178" s="14" t="s">
        <v>5770</v>
      </c>
      <c r="S178" s="14" t="s">
        <v>179</v>
      </c>
      <c r="T178" s="14" t="s">
        <v>5771</v>
      </c>
      <c r="U178" s="14" t="s">
        <v>179</v>
      </c>
      <c r="V178" s="14" t="s">
        <v>5772</v>
      </c>
      <c r="W178" s="14" t="s">
        <v>179</v>
      </c>
      <c r="X178" s="14" t="s">
        <v>5773</v>
      </c>
      <c r="Y178" s="14" t="s">
        <v>179</v>
      </c>
      <c r="Z178" s="14" t="s">
        <v>5774</v>
      </c>
      <c r="AA178" s="14" t="s">
        <v>179</v>
      </c>
      <c r="AB178" s="14" t="s">
        <v>5775</v>
      </c>
      <c r="AC178" s="14" t="s">
        <v>179</v>
      </c>
      <c r="AD178" s="14" t="s">
        <v>5776</v>
      </c>
      <c r="AE178" s="14" t="s">
        <v>179</v>
      </c>
      <c r="AF178" s="14" t="s">
        <v>5777</v>
      </c>
      <c r="AG178" s="14" t="s">
        <v>179</v>
      </c>
      <c r="AH178" s="14" t="s">
        <v>5778</v>
      </c>
      <c r="AI178" s="14" t="s">
        <v>179</v>
      </c>
      <c r="AJ178" s="14" t="s">
        <v>5779</v>
      </c>
      <c r="AK178" s="14" t="s">
        <v>179</v>
      </c>
      <c r="AL178" s="14" t="s">
        <v>5780</v>
      </c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6" t="s">
        <v>197</v>
      </c>
      <c r="BP178" s="17" t="s">
        <v>198</v>
      </c>
      <c r="BQ178" s="18">
        <v>45678.62296296296</v>
      </c>
      <c r="BR178" s="17" t="s">
        <v>198</v>
      </c>
      <c r="BS178" s="18">
        <v>45678.62341435185</v>
      </c>
      <c r="BT178" s="17" t="s">
        <v>198</v>
      </c>
      <c r="BU178" s="18">
        <v>45678.62341435185</v>
      </c>
      <c r="BV178" s="13" t="s">
        <v>199</v>
      </c>
      <c r="BW178" s="14" t="s">
        <v>179</v>
      </c>
      <c r="BX178" s="14" t="s">
        <v>5781</v>
      </c>
      <c r="BY178" s="14" t="s">
        <v>179</v>
      </c>
      <c r="BZ178" s="14" t="s">
        <v>5782</v>
      </c>
      <c r="CA178" s="14" t="s">
        <v>179</v>
      </c>
      <c r="CB178" s="14" t="s">
        <v>5783</v>
      </c>
      <c r="CC178" s="14" t="s">
        <v>179</v>
      </c>
      <c r="CD178" s="14" t="s">
        <v>5784</v>
      </c>
      <c r="CE178" s="14" t="s">
        <v>179</v>
      </c>
      <c r="CF178" s="14" t="s">
        <v>5785</v>
      </c>
      <c r="CG178" s="14" t="s">
        <v>179</v>
      </c>
      <c r="CH178" s="14" t="s">
        <v>5786</v>
      </c>
      <c r="CI178" s="19"/>
      <c r="CJ178" s="15"/>
      <c r="CK178" s="19"/>
      <c r="CL178" s="15"/>
      <c r="CM178" s="19"/>
      <c r="CN178" s="15"/>
      <c r="CO178" s="19"/>
      <c r="CP178" s="15"/>
      <c r="CQ178" s="15"/>
      <c r="CR178" s="15"/>
      <c r="CS178" s="19"/>
      <c r="CT178" s="15"/>
      <c r="CU178" s="19"/>
      <c r="CV178" s="15"/>
      <c r="CW178" s="19"/>
      <c r="CX178" s="15"/>
      <c r="CY178" s="19"/>
      <c r="CZ178" s="15"/>
      <c r="DA178" s="16" t="s">
        <v>197</v>
      </c>
      <c r="DB178" s="17" t="s">
        <v>198</v>
      </c>
      <c r="DC178" s="20">
        <v>45685.655648148146</v>
      </c>
      <c r="DD178" s="17" t="s">
        <v>198</v>
      </c>
      <c r="DE178" s="18">
        <v>45685.655694444446</v>
      </c>
      <c r="DF178" s="17" t="s">
        <v>198</v>
      </c>
      <c r="DG178" s="18">
        <v>45685.655694444446</v>
      </c>
      <c r="DH178" s="13" t="s">
        <v>205</v>
      </c>
      <c r="DI178" s="14" t="s">
        <v>179</v>
      </c>
      <c r="DJ178" s="14" t="s">
        <v>5787</v>
      </c>
      <c r="DK178" s="14" t="s">
        <v>179</v>
      </c>
      <c r="DL178" s="14" t="s">
        <v>5788</v>
      </c>
      <c r="DM178" s="14" t="s">
        <v>179</v>
      </c>
      <c r="DN178" s="14" t="s">
        <v>5789</v>
      </c>
      <c r="DO178" s="14" t="s">
        <v>179</v>
      </c>
      <c r="DP178" s="14" t="s">
        <v>5790</v>
      </c>
      <c r="DQ178" s="15"/>
      <c r="DR178" s="15"/>
      <c r="DS178" s="15"/>
      <c r="DT178" s="15"/>
      <c r="DU178" s="15"/>
      <c r="DV178" s="15"/>
      <c r="DW178" s="15"/>
      <c r="DX178" s="15"/>
      <c r="DY178" s="15"/>
      <c r="DZ178" s="15"/>
      <c r="EA178" s="15"/>
      <c r="EB178" s="15"/>
      <c r="EC178" s="16" t="s">
        <v>197</v>
      </c>
      <c r="ED178" s="17" t="s">
        <v>198</v>
      </c>
      <c r="EE178" s="18">
        <v>45691.63483796296</v>
      </c>
      <c r="EF178" s="13" t="s">
        <v>209</v>
      </c>
      <c r="EG178" s="14" t="s">
        <v>179</v>
      </c>
      <c r="EH178" s="14" t="s">
        <v>5791</v>
      </c>
      <c r="EI178" s="14" t="s">
        <v>179</v>
      </c>
      <c r="EJ178" s="14" t="s">
        <v>5792</v>
      </c>
      <c r="EK178" s="14" t="s">
        <v>179</v>
      </c>
      <c r="EL178" s="14" t="s">
        <v>5793</v>
      </c>
      <c r="EM178" s="14" t="s">
        <v>179</v>
      </c>
      <c r="EN178" s="14" t="s">
        <v>5794</v>
      </c>
      <c r="EO178" s="15"/>
      <c r="EP178" s="15"/>
      <c r="EQ178" s="15"/>
      <c r="ER178" s="15"/>
      <c r="ES178" s="15"/>
      <c r="ET178" s="15"/>
      <c r="EU178" s="15"/>
      <c r="EV178" s="15"/>
      <c r="EW178" s="15"/>
      <c r="EX178" s="15"/>
      <c r="EY178" s="15"/>
      <c r="EZ178" s="15"/>
      <c r="FA178" s="15"/>
      <c r="FB178" s="15"/>
      <c r="FC178" s="16" t="s">
        <v>197</v>
      </c>
      <c r="FD178" s="17" t="s">
        <v>198</v>
      </c>
      <c r="FE178" s="18">
        <v>45699.496886574074</v>
      </c>
      <c r="FF178" s="19"/>
      <c r="FG178" s="19"/>
      <c r="FH178" s="21" t="s">
        <v>197</v>
      </c>
      <c r="FI178" s="17" t="s">
        <v>214</v>
      </c>
      <c r="FJ178" s="18">
        <v>45699.496886574074</v>
      </c>
      <c r="FK178" s="14" t="s">
        <v>5794</v>
      </c>
      <c r="FL178" s="14" t="s">
        <v>5795</v>
      </c>
      <c r="FM178" s="14" t="s">
        <v>5796</v>
      </c>
      <c r="FN178" s="14" t="s">
        <v>5797</v>
      </c>
      <c r="FO178" s="14" t="s">
        <v>5798</v>
      </c>
      <c r="FP178" s="19" t="str">
        <f t="shared" si="1"/>
        <v>Base de Dados_Images/BC9231.Imagem do Equipamento-.182529.jpg</v>
      </c>
      <c r="FQ178" s="19"/>
      <c r="FR178" s="19"/>
    </row>
    <row r="179" ht="15.75" customHeight="1">
      <c r="A179" s="12" t="s">
        <v>357</v>
      </c>
      <c r="B179" s="12" t="s">
        <v>4413</v>
      </c>
      <c r="C179" s="24" t="s">
        <v>512</v>
      </c>
      <c r="D179" s="22" t="s">
        <v>5799</v>
      </c>
      <c r="E179" s="22" t="s">
        <v>5800</v>
      </c>
      <c r="F179" s="13" t="s">
        <v>178</v>
      </c>
      <c r="G179" s="14" t="s">
        <v>179</v>
      </c>
      <c r="H179" s="14" t="s">
        <v>5801</v>
      </c>
      <c r="I179" s="14" t="s">
        <v>179</v>
      </c>
      <c r="J179" s="14" t="s">
        <v>5802</v>
      </c>
      <c r="K179" s="14" t="s">
        <v>179</v>
      </c>
      <c r="L179" s="14" t="s">
        <v>5803</v>
      </c>
      <c r="M179" s="14" t="s">
        <v>179</v>
      </c>
      <c r="N179" s="14" t="s">
        <v>5804</v>
      </c>
      <c r="O179" s="14" t="s">
        <v>179</v>
      </c>
      <c r="P179" s="14" t="s">
        <v>5805</v>
      </c>
      <c r="Q179" s="14" t="s">
        <v>179</v>
      </c>
      <c r="R179" s="14" t="s">
        <v>5806</v>
      </c>
      <c r="S179" s="14" t="s">
        <v>179</v>
      </c>
      <c r="T179" s="14" t="s">
        <v>5807</v>
      </c>
      <c r="U179" s="14" t="s">
        <v>179</v>
      </c>
      <c r="V179" s="14" t="s">
        <v>5808</v>
      </c>
      <c r="W179" s="14" t="s">
        <v>179</v>
      </c>
      <c r="X179" s="14" t="s">
        <v>5809</v>
      </c>
      <c r="Y179" s="14" t="s">
        <v>179</v>
      </c>
      <c r="Z179" s="14" t="s">
        <v>5810</v>
      </c>
      <c r="AA179" s="14" t="s">
        <v>179</v>
      </c>
      <c r="AB179" s="14" t="s">
        <v>5811</v>
      </c>
      <c r="AC179" s="14" t="s">
        <v>179</v>
      </c>
      <c r="AD179" s="14" t="s">
        <v>5812</v>
      </c>
      <c r="AE179" s="14" t="s">
        <v>179</v>
      </c>
      <c r="AF179" s="14" t="s">
        <v>5813</v>
      </c>
      <c r="AG179" s="14" t="s">
        <v>179</v>
      </c>
      <c r="AH179" s="14" t="s">
        <v>5814</v>
      </c>
      <c r="AI179" s="14" t="s">
        <v>179</v>
      </c>
      <c r="AJ179" s="14" t="s">
        <v>5815</v>
      </c>
      <c r="AK179" s="14" t="s">
        <v>179</v>
      </c>
      <c r="AL179" s="14" t="s">
        <v>5816</v>
      </c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6" t="s">
        <v>197</v>
      </c>
      <c r="BP179" s="17" t="s">
        <v>198</v>
      </c>
      <c r="BQ179" s="18">
        <v>45685.60530092593</v>
      </c>
      <c r="BR179" s="17" t="s">
        <v>198</v>
      </c>
      <c r="BS179" s="18">
        <v>45685.605474537035</v>
      </c>
      <c r="BT179" s="17" t="s">
        <v>198</v>
      </c>
      <c r="BU179" s="18">
        <v>45685.605474537035</v>
      </c>
      <c r="BV179" s="13" t="s">
        <v>199</v>
      </c>
      <c r="BW179" s="14" t="s">
        <v>179</v>
      </c>
      <c r="BX179" s="14" t="s">
        <v>5817</v>
      </c>
      <c r="BY179" s="14" t="s">
        <v>179</v>
      </c>
      <c r="BZ179" s="14" t="s">
        <v>5818</v>
      </c>
      <c r="CA179" s="14" t="s">
        <v>179</v>
      </c>
      <c r="CB179" s="14" t="s">
        <v>5819</v>
      </c>
      <c r="CC179" s="14" t="s">
        <v>179</v>
      </c>
      <c r="CD179" s="14" t="s">
        <v>5820</v>
      </c>
      <c r="CE179" s="14" t="s">
        <v>179</v>
      </c>
      <c r="CF179" s="14" t="s">
        <v>5821</v>
      </c>
      <c r="CG179" s="14" t="s">
        <v>179</v>
      </c>
      <c r="CH179" s="14" t="s">
        <v>5822</v>
      </c>
      <c r="CI179" s="19"/>
      <c r="CJ179" s="15"/>
      <c r="CK179" s="19"/>
      <c r="CL179" s="15"/>
      <c r="CM179" s="19"/>
      <c r="CN179" s="15"/>
      <c r="CO179" s="19"/>
      <c r="CP179" s="15"/>
      <c r="CQ179" s="15"/>
      <c r="CR179" s="15"/>
      <c r="CS179" s="19"/>
      <c r="CT179" s="15"/>
      <c r="CU179" s="19"/>
      <c r="CV179" s="15"/>
      <c r="CW179" s="19"/>
      <c r="CX179" s="15"/>
      <c r="CY179" s="19"/>
      <c r="CZ179" s="15"/>
      <c r="DA179" s="16" t="s">
        <v>197</v>
      </c>
      <c r="DB179" s="17" t="s">
        <v>198</v>
      </c>
      <c r="DC179" s="20">
        <v>45687.657546296294</v>
      </c>
      <c r="DD179" s="17" t="s">
        <v>198</v>
      </c>
      <c r="DE179" s="18">
        <v>45687.65760416666</v>
      </c>
      <c r="DF179" s="17" t="s">
        <v>198</v>
      </c>
      <c r="DG179" s="18">
        <v>45687.65760416666</v>
      </c>
      <c r="DH179" s="13" t="s">
        <v>205</v>
      </c>
      <c r="DI179" s="14" t="s">
        <v>179</v>
      </c>
      <c r="DJ179" s="14" t="s">
        <v>5823</v>
      </c>
      <c r="DK179" s="14" t="s">
        <v>179</v>
      </c>
      <c r="DL179" s="14" t="s">
        <v>5824</v>
      </c>
      <c r="DM179" s="14" t="s">
        <v>179</v>
      </c>
      <c r="DN179" s="14" t="s">
        <v>5825</v>
      </c>
      <c r="DO179" s="14" t="s">
        <v>179</v>
      </c>
      <c r="DP179" s="14" t="s">
        <v>5826</v>
      </c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6" t="s">
        <v>197</v>
      </c>
      <c r="ED179" s="17" t="s">
        <v>198</v>
      </c>
      <c r="EE179" s="18">
        <v>45699.51155092593</v>
      </c>
      <c r="EF179" s="13" t="s">
        <v>209</v>
      </c>
      <c r="EG179" s="14" t="s">
        <v>179</v>
      </c>
      <c r="EH179" s="14" t="s">
        <v>5827</v>
      </c>
      <c r="EI179" s="14" t="s">
        <v>179</v>
      </c>
      <c r="EJ179" s="14" t="s">
        <v>5828</v>
      </c>
      <c r="EK179" s="14" t="s">
        <v>188</v>
      </c>
      <c r="EL179" s="14" t="s">
        <v>5829</v>
      </c>
      <c r="EM179" s="14" t="s">
        <v>179</v>
      </c>
      <c r="EN179" s="14" t="s">
        <v>5830</v>
      </c>
      <c r="EO179" s="15"/>
      <c r="EP179" s="15"/>
      <c r="EQ179" s="15"/>
      <c r="ER179" s="15"/>
      <c r="ES179" s="15"/>
      <c r="ET179" s="15"/>
      <c r="EU179" s="15"/>
      <c r="EV179" s="15"/>
      <c r="EW179" s="15"/>
      <c r="EX179" s="15"/>
      <c r="EY179" s="15"/>
      <c r="EZ179" s="15"/>
      <c r="FA179" s="15"/>
      <c r="FB179" s="15"/>
      <c r="FC179" s="16" t="s">
        <v>197</v>
      </c>
      <c r="FD179" s="17" t="s">
        <v>198</v>
      </c>
      <c r="FE179" s="18">
        <v>45699.511666666665</v>
      </c>
      <c r="FF179" s="19"/>
      <c r="FG179" s="19"/>
      <c r="FH179" s="21" t="s">
        <v>197</v>
      </c>
      <c r="FI179" s="17" t="s">
        <v>214</v>
      </c>
      <c r="FJ179" s="18">
        <v>45699.511666666665</v>
      </c>
      <c r="FK179" s="14" t="s">
        <v>5829</v>
      </c>
      <c r="FL179" s="14" t="s">
        <v>5831</v>
      </c>
      <c r="FM179" s="14" t="s">
        <v>5832</v>
      </c>
      <c r="FN179" s="19"/>
      <c r="FO179" s="19"/>
      <c r="FP179" s="19" t="str">
        <f t="shared" si="1"/>
        <v>Base de Dados_Images/BC9232.Imagem do Equipamento-.174436.jpg</v>
      </c>
      <c r="FQ179" s="19"/>
      <c r="FR179" s="19"/>
    </row>
    <row r="180" ht="15.75" customHeight="1">
      <c r="A180" s="12" t="s">
        <v>357</v>
      </c>
      <c r="B180" s="12" t="s">
        <v>4413</v>
      </c>
      <c r="C180" s="24" t="s">
        <v>512</v>
      </c>
      <c r="D180" s="22" t="s">
        <v>5833</v>
      </c>
      <c r="E180" s="22" t="s">
        <v>5834</v>
      </c>
      <c r="F180" s="13" t="s">
        <v>178</v>
      </c>
      <c r="G180" s="14" t="s">
        <v>179</v>
      </c>
      <c r="H180" s="14" t="s">
        <v>5835</v>
      </c>
      <c r="I180" s="14" t="s">
        <v>179</v>
      </c>
      <c r="J180" s="14" t="s">
        <v>5836</v>
      </c>
      <c r="K180" s="14" t="s">
        <v>179</v>
      </c>
      <c r="L180" s="14" t="s">
        <v>5837</v>
      </c>
      <c r="M180" s="14" t="s">
        <v>179</v>
      </c>
      <c r="N180" s="14" t="s">
        <v>5838</v>
      </c>
      <c r="O180" s="14" t="s">
        <v>179</v>
      </c>
      <c r="P180" s="14" t="s">
        <v>5839</v>
      </c>
      <c r="Q180" s="14" t="s">
        <v>179</v>
      </c>
      <c r="R180" s="14" t="s">
        <v>5840</v>
      </c>
      <c r="S180" s="14" t="s">
        <v>179</v>
      </c>
      <c r="T180" s="14" t="s">
        <v>5841</v>
      </c>
      <c r="U180" s="14" t="s">
        <v>179</v>
      </c>
      <c r="V180" s="14" t="s">
        <v>5842</v>
      </c>
      <c r="W180" s="14" t="s">
        <v>179</v>
      </c>
      <c r="X180" s="14" t="s">
        <v>5843</v>
      </c>
      <c r="Y180" s="14" t="s">
        <v>179</v>
      </c>
      <c r="Z180" s="14" t="s">
        <v>5844</v>
      </c>
      <c r="AA180" s="14" t="s">
        <v>179</v>
      </c>
      <c r="AB180" s="14" t="s">
        <v>5845</v>
      </c>
      <c r="AC180" s="14" t="s">
        <v>179</v>
      </c>
      <c r="AD180" s="14" t="s">
        <v>5846</v>
      </c>
      <c r="AE180" s="14" t="s">
        <v>179</v>
      </c>
      <c r="AF180" s="14" t="s">
        <v>5846</v>
      </c>
      <c r="AG180" s="14" t="s">
        <v>179</v>
      </c>
      <c r="AH180" s="14" t="s">
        <v>5847</v>
      </c>
      <c r="AI180" s="14" t="s">
        <v>179</v>
      </c>
      <c r="AJ180" s="14" t="s">
        <v>5847</v>
      </c>
      <c r="AK180" s="14" t="s">
        <v>179</v>
      </c>
      <c r="AL180" s="14" t="s">
        <v>5848</v>
      </c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6" t="s">
        <v>197</v>
      </c>
      <c r="BP180" s="17" t="s">
        <v>198</v>
      </c>
      <c r="BQ180" s="18">
        <v>45687.58429398148</v>
      </c>
      <c r="BR180" s="17" t="s">
        <v>198</v>
      </c>
      <c r="BS180" s="18">
        <v>45687.584398148145</v>
      </c>
      <c r="BT180" s="17" t="s">
        <v>198</v>
      </c>
      <c r="BU180" s="18">
        <v>45687.584398148145</v>
      </c>
      <c r="BV180" s="13" t="s">
        <v>199</v>
      </c>
      <c r="BW180" s="14" t="s">
        <v>179</v>
      </c>
      <c r="BX180" s="14" t="s">
        <v>5849</v>
      </c>
      <c r="BY180" s="14" t="s">
        <v>179</v>
      </c>
      <c r="BZ180" s="14" t="s">
        <v>5850</v>
      </c>
      <c r="CA180" s="14" t="s">
        <v>179</v>
      </c>
      <c r="CB180" s="14" t="s">
        <v>5851</v>
      </c>
      <c r="CC180" s="14" t="s">
        <v>179</v>
      </c>
      <c r="CD180" s="14" t="s">
        <v>5852</v>
      </c>
      <c r="CE180" s="14" t="s">
        <v>179</v>
      </c>
      <c r="CF180" s="14" t="s">
        <v>5853</v>
      </c>
      <c r="CG180" s="14" t="s">
        <v>179</v>
      </c>
      <c r="CH180" s="14" t="s">
        <v>5854</v>
      </c>
      <c r="CI180" s="19"/>
      <c r="CJ180" s="15"/>
      <c r="CK180" s="19"/>
      <c r="CL180" s="15"/>
      <c r="CM180" s="19"/>
      <c r="CN180" s="15"/>
      <c r="CO180" s="19"/>
      <c r="CP180" s="15"/>
      <c r="CQ180" s="15"/>
      <c r="CR180" s="15"/>
      <c r="CS180" s="19"/>
      <c r="CT180" s="15"/>
      <c r="CU180" s="19"/>
      <c r="CV180" s="15"/>
      <c r="CW180" s="19"/>
      <c r="CX180" s="15"/>
      <c r="CY180" s="19"/>
      <c r="CZ180" s="15"/>
      <c r="DA180" s="16" t="s">
        <v>197</v>
      </c>
      <c r="DB180" s="17" t="s">
        <v>198</v>
      </c>
      <c r="DC180" s="20">
        <v>45705.47356481481</v>
      </c>
      <c r="DD180" s="17" t="s">
        <v>198</v>
      </c>
      <c r="DE180" s="18">
        <v>45705.47363425926</v>
      </c>
      <c r="DF180" s="17" t="s">
        <v>198</v>
      </c>
      <c r="DG180" s="18">
        <v>45705.47363425926</v>
      </c>
      <c r="DH180" s="13" t="s">
        <v>205</v>
      </c>
      <c r="DI180" s="14" t="s">
        <v>179</v>
      </c>
      <c r="DJ180" s="14" t="s">
        <v>5855</v>
      </c>
      <c r="DK180" s="14" t="s">
        <v>179</v>
      </c>
      <c r="DL180" s="14" t="s">
        <v>5856</v>
      </c>
      <c r="DM180" s="14" t="s">
        <v>179</v>
      </c>
      <c r="DN180" s="14" t="s">
        <v>5857</v>
      </c>
      <c r="DO180" s="14" t="s">
        <v>179</v>
      </c>
      <c r="DP180" s="14" t="s">
        <v>5858</v>
      </c>
      <c r="DQ180" s="15"/>
      <c r="DR180" s="15"/>
      <c r="DS180" s="15"/>
      <c r="DT180" s="15"/>
      <c r="DU180" s="15"/>
      <c r="DV180" s="15"/>
      <c r="DW180" s="15"/>
      <c r="DX180" s="15"/>
      <c r="DY180" s="15"/>
      <c r="DZ180" s="15"/>
      <c r="EA180" s="15"/>
      <c r="EB180" s="15"/>
      <c r="EC180" s="16" t="s">
        <v>197</v>
      </c>
      <c r="ED180" s="17" t="s">
        <v>198</v>
      </c>
      <c r="EE180" s="18">
        <v>45711.69420138889</v>
      </c>
      <c r="EF180" s="13" t="s">
        <v>209</v>
      </c>
      <c r="EG180" s="14" t="s">
        <v>179</v>
      </c>
      <c r="EH180" s="14" t="s">
        <v>5859</v>
      </c>
      <c r="EI180" s="14" t="s">
        <v>179</v>
      </c>
      <c r="EJ180" s="14" t="s">
        <v>5859</v>
      </c>
      <c r="EK180" s="14" t="s">
        <v>179</v>
      </c>
      <c r="EL180" s="14" t="s">
        <v>5860</v>
      </c>
      <c r="EM180" s="14" t="s">
        <v>179</v>
      </c>
      <c r="EN180" s="14" t="s">
        <v>5861</v>
      </c>
      <c r="EO180" s="15"/>
      <c r="EP180" s="15"/>
      <c r="EQ180" s="15"/>
      <c r="ER180" s="15"/>
      <c r="ES180" s="15"/>
      <c r="ET180" s="15"/>
      <c r="EU180" s="15"/>
      <c r="EV180" s="15"/>
      <c r="EW180" s="15"/>
      <c r="EX180" s="15"/>
      <c r="EY180" s="15"/>
      <c r="EZ180" s="15"/>
      <c r="FA180" s="15"/>
      <c r="FB180" s="15"/>
      <c r="FC180" s="16" t="s">
        <v>197</v>
      </c>
      <c r="FD180" s="17" t="s">
        <v>198</v>
      </c>
      <c r="FE180" s="18">
        <v>45726.47871527778</v>
      </c>
      <c r="FF180" s="19"/>
      <c r="FG180" s="19"/>
      <c r="FH180" s="21" t="s">
        <v>197</v>
      </c>
      <c r="FI180" s="17" t="s">
        <v>214</v>
      </c>
      <c r="FJ180" s="18">
        <v>45726.47871527778</v>
      </c>
      <c r="FK180" s="14" t="s">
        <v>5861</v>
      </c>
      <c r="FL180" s="14" t="s">
        <v>5862</v>
      </c>
      <c r="FM180" s="14" t="s">
        <v>5863</v>
      </c>
      <c r="FN180" s="19"/>
      <c r="FO180" s="19"/>
      <c r="FP180" s="19" t="str">
        <f t="shared" si="1"/>
        <v>Base de Dados_Images/BC9233.Imagem do Equipamento-.113459.jpg</v>
      </c>
      <c r="FQ180" s="14"/>
      <c r="FR180" s="14"/>
    </row>
    <row r="181" ht="15.75" customHeight="1">
      <c r="A181" s="12" t="s">
        <v>357</v>
      </c>
      <c r="B181" s="12" t="s">
        <v>4413</v>
      </c>
      <c r="C181" s="24" t="s">
        <v>512</v>
      </c>
      <c r="D181" s="22" t="s">
        <v>5864</v>
      </c>
      <c r="E181" s="22" t="s">
        <v>5865</v>
      </c>
      <c r="F181" s="13" t="s">
        <v>178</v>
      </c>
      <c r="G181" s="14" t="s">
        <v>179</v>
      </c>
      <c r="H181" s="14" t="s">
        <v>5866</v>
      </c>
      <c r="I181" s="14" t="s">
        <v>179</v>
      </c>
      <c r="J181" s="14" t="s">
        <v>5867</v>
      </c>
      <c r="K181" s="14" t="s">
        <v>179</v>
      </c>
      <c r="L181" s="14" t="s">
        <v>5868</v>
      </c>
      <c r="M181" s="14" t="s">
        <v>179</v>
      </c>
      <c r="N181" s="14" t="s">
        <v>5869</v>
      </c>
      <c r="O181" s="14" t="s">
        <v>179</v>
      </c>
      <c r="P181" s="14" t="s">
        <v>5870</v>
      </c>
      <c r="Q181" s="14" t="s">
        <v>179</v>
      </c>
      <c r="R181" s="14" t="s">
        <v>5871</v>
      </c>
      <c r="S181" s="14" t="s">
        <v>179</v>
      </c>
      <c r="T181" s="14" t="s">
        <v>5872</v>
      </c>
      <c r="U181" s="14" t="s">
        <v>179</v>
      </c>
      <c r="V181" s="14" t="s">
        <v>5873</v>
      </c>
      <c r="W181" s="14" t="s">
        <v>179</v>
      </c>
      <c r="X181" s="14" t="s">
        <v>5874</v>
      </c>
      <c r="Y181" s="14" t="s">
        <v>179</v>
      </c>
      <c r="Z181" s="14" t="s">
        <v>5875</v>
      </c>
      <c r="AA181" s="14" t="s">
        <v>179</v>
      </c>
      <c r="AB181" s="14" t="s">
        <v>5876</v>
      </c>
      <c r="AC181" s="14" t="s">
        <v>179</v>
      </c>
      <c r="AD181" s="14" t="s">
        <v>5877</v>
      </c>
      <c r="AE181" s="14" t="s">
        <v>179</v>
      </c>
      <c r="AF181" s="14" t="s">
        <v>5878</v>
      </c>
      <c r="AG181" s="14" t="s">
        <v>179</v>
      </c>
      <c r="AH181" s="14" t="s">
        <v>5879</v>
      </c>
      <c r="AI181" s="14" t="s">
        <v>179</v>
      </c>
      <c r="AJ181" s="14" t="s">
        <v>5880</v>
      </c>
      <c r="AK181" s="14" t="s">
        <v>179</v>
      </c>
      <c r="AL181" s="14" t="s">
        <v>5881</v>
      </c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6" t="s">
        <v>197</v>
      </c>
      <c r="BP181" s="17" t="s">
        <v>198</v>
      </c>
      <c r="BQ181" s="18">
        <v>45687.5862037037</v>
      </c>
      <c r="BR181" s="17" t="s">
        <v>198</v>
      </c>
      <c r="BS181" s="18">
        <v>45687.58645833333</v>
      </c>
      <c r="BT181" s="17" t="s">
        <v>198</v>
      </c>
      <c r="BU181" s="18">
        <v>45687.58645833333</v>
      </c>
      <c r="BV181" s="13" t="s">
        <v>199</v>
      </c>
      <c r="BW181" s="14" t="s">
        <v>179</v>
      </c>
      <c r="BX181" s="14" t="s">
        <v>5882</v>
      </c>
      <c r="BY181" s="14" t="s">
        <v>179</v>
      </c>
      <c r="BZ181" s="14" t="s">
        <v>5883</v>
      </c>
      <c r="CA181" s="14" t="s">
        <v>179</v>
      </c>
      <c r="CB181" s="14" t="s">
        <v>5884</v>
      </c>
      <c r="CC181" s="14" t="s">
        <v>179</v>
      </c>
      <c r="CD181" s="14" t="s">
        <v>5885</v>
      </c>
      <c r="CE181" s="14" t="s">
        <v>179</v>
      </c>
      <c r="CF181" s="14" t="s">
        <v>5886</v>
      </c>
      <c r="CG181" s="14" t="s">
        <v>179</v>
      </c>
      <c r="CH181" s="14" t="s">
        <v>5887</v>
      </c>
      <c r="CI181" s="19"/>
      <c r="CJ181" s="15"/>
      <c r="CK181" s="19"/>
      <c r="CL181" s="15"/>
      <c r="CM181" s="19"/>
      <c r="CN181" s="15"/>
      <c r="CO181" s="19"/>
      <c r="CP181" s="15"/>
      <c r="CQ181" s="15"/>
      <c r="CR181" s="15"/>
      <c r="CS181" s="19"/>
      <c r="CT181" s="15"/>
      <c r="CU181" s="19"/>
      <c r="CV181" s="15"/>
      <c r="CW181" s="19"/>
      <c r="CX181" s="15"/>
      <c r="CY181" s="19"/>
      <c r="CZ181" s="15"/>
      <c r="DA181" s="16" t="s">
        <v>197</v>
      </c>
      <c r="DB181" s="17" t="s">
        <v>198</v>
      </c>
      <c r="DC181" s="20">
        <v>45687.58689814815</v>
      </c>
      <c r="DD181" s="17" t="s">
        <v>198</v>
      </c>
      <c r="DE181" s="18">
        <v>45687.58694444445</v>
      </c>
      <c r="DF181" s="17" t="s">
        <v>198</v>
      </c>
      <c r="DG181" s="18">
        <v>45687.58694444445</v>
      </c>
      <c r="DH181" s="13" t="s">
        <v>205</v>
      </c>
      <c r="DI181" s="14" t="s">
        <v>179</v>
      </c>
      <c r="DJ181" s="14" t="s">
        <v>5888</v>
      </c>
      <c r="DK181" s="14" t="s">
        <v>179</v>
      </c>
      <c r="DL181" s="14" t="s">
        <v>5889</v>
      </c>
      <c r="DM181" s="14" t="s">
        <v>179</v>
      </c>
      <c r="DN181" s="14" t="s">
        <v>5890</v>
      </c>
      <c r="DO181" s="14" t="s">
        <v>179</v>
      </c>
      <c r="DP181" s="14" t="s">
        <v>5891</v>
      </c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6" t="s">
        <v>197</v>
      </c>
      <c r="ED181" s="17" t="s">
        <v>198</v>
      </c>
      <c r="EE181" s="18">
        <v>45692.492164351854</v>
      </c>
      <c r="EF181" s="13" t="s">
        <v>209</v>
      </c>
      <c r="EG181" s="14" t="s">
        <v>179</v>
      </c>
      <c r="EH181" s="14" t="s">
        <v>5892</v>
      </c>
      <c r="EI181" s="14" t="s">
        <v>179</v>
      </c>
      <c r="EJ181" s="14" t="s">
        <v>5893</v>
      </c>
      <c r="EK181" s="14" t="s">
        <v>179</v>
      </c>
      <c r="EL181" s="14" t="s">
        <v>5894</v>
      </c>
      <c r="EM181" s="14" t="s">
        <v>179</v>
      </c>
      <c r="EN181" s="14" t="s">
        <v>5895</v>
      </c>
      <c r="EO181" s="15"/>
      <c r="EP181" s="15"/>
      <c r="EQ181" s="15"/>
      <c r="ER181" s="15"/>
      <c r="ES181" s="15"/>
      <c r="ET181" s="15"/>
      <c r="EU181" s="15"/>
      <c r="EV181" s="15"/>
      <c r="EW181" s="15"/>
      <c r="EX181" s="15"/>
      <c r="EY181" s="15"/>
      <c r="EZ181" s="15"/>
      <c r="FA181" s="15"/>
      <c r="FB181" s="15"/>
      <c r="FC181" s="16" t="s">
        <v>197</v>
      </c>
      <c r="FD181" s="17" t="s">
        <v>198</v>
      </c>
      <c r="FE181" s="18">
        <v>45699.5021875</v>
      </c>
      <c r="FF181" s="19"/>
      <c r="FG181" s="19"/>
      <c r="FH181" s="21" t="s">
        <v>197</v>
      </c>
      <c r="FI181" s="17" t="s">
        <v>214</v>
      </c>
      <c r="FJ181" s="18">
        <v>45699.5021875</v>
      </c>
      <c r="FK181" s="14" t="s">
        <v>5895</v>
      </c>
      <c r="FL181" s="14" t="s">
        <v>5896</v>
      </c>
      <c r="FM181" s="14" t="s">
        <v>5897</v>
      </c>
      <c r="FN181" s="19"/>
      <c r="FO181" s="19"/>
      <c r="FP181" s="19" t="str">
        <f t="shared" si="1"/>
        <v>Base de Dados_Images/BC9234.Imagem do Equipamento-.134342.jpg</v>
      </c>
      <c r="FQ181" s="14"/>
      <c r="FR181" s="14"/>
    </row>
    <row r="182" ht="15.75" customHeight="1">
      <c r="A182" s="12" t="s">
        <v>357</v>
      </c>
      <c r="B182" s="12" t="s">
        <v>4413</v>
      </c>
      <c r="C182" s="24" t="s">
        <v>512</v>
      </c>
      <c r="D182" s="22" t="s">
        <v>5898</v>
      </c>
      <c r="E182" s="22" t="s">
        <v>5899</v>
      </c>
      <c r="F182" s="13" t="s">
        <v>178</v>
      </c>
      <c r="G182" s="14" t="s">
        <v>179</v>
      </c>
      <c r="H182" s="14" t="s">
        <v>5900</v>
      </c>
      <c r="I182" s="14" t="s">
        <v>179</v>
      </c>
      <c r="J182" s="14" t="s">
        <v>5901</v>
      </c>
      <c r="K182" s="14" t="s">
        <v>179</v>
      </c>
      <c r="L182" s="14" t="s">
        <v>5902</v>
      </c>
      <c r="M182" s="14" t="s">
        <v>179</v>
      </c>
      <c r="N182" s="14" t="s">
        <v>5903</v>
      </c>
      <c r="O182" s="14" t="s">
        <v>179</v>
      </c>
      <c r="P182" s="14" t="s">
        <v>5904</v>
      </c>
      <c r="Q182" s="14" t="s">
        <v>179</v>
      </c>
      <c r="R182" s="14" t="s">
        <v>5905</v>
      </c>
      <c r="S182" s="14" t="s">
        <v>179</v>
      </c>
      <c r="T182" s="14" t="s">
        <v>5906</v>
      </c>
      <c r="U182" s="14" t="s">
        <v>179</v>
      </c>
      <c r="V182" s="14" t="s">
        <v>5907</v>
      </c>
      <c r="W182" s="14" t="s">
        <v>179</v>
      </c>
      <c r="X182" s="14" t="s">
        <v>5908</v>
      </c>
      <c r="Y182" s="14" t="s">
        <v>179</v>
      </c>
      <c r="Z182" s="14" t="s">
        <v>5909</v>
      </c>
      <c r="AA182" s="14" t="s">
        <v>179</v>
      </c>
      <c r="AB182" s="14" t="s">
        <v>5910</v>
      </c>
      <c r="AC182" s="14" t="s">
        <v>179</v>
      </c>
      <c r="AD182" s="14" t="s">
        <v>5911</v>
      </c>
      <c r="AE182" s="14" t="s">
        <v>179</v>
      </c>
      <c r="AF182" s="14" t="s">
        <v>5912</v>
      </c>
      <c r="AG182" s="14" t="s">
        <v>179</v>
      </c>
      <c r="AH182" s="14" t="s">
        <v>5913</v>
      </c>
      <c r="AI182" s="14" t="s">
        <v>179</v>
      </c>
      <c r="AJ182" s="14" t="s">
        <v>5914</v>
      </c>
      <c r="AK182" s="14" t="s">
        <v>179</v>
      </c>
      <c r="AL182" s="14" t="s">
        <v>5915</v>
      </c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6" t="s">
        <v>197</v>
      </c>
      <c r="BP182" s="17" t="s">
        <v>198</v>
      </c>
      <c r="BQ182" s="18">
        <v>45687.611354166664</v>
      </c>
      <c r="BR182" s="17" t="s">
        <v>198</v>
      </c>
      <c r="BS182" s="18">
        <v>45687.61121527778</v>
      </c>
      <c r="BT182" s="17" t="s">
        <v>198</v>
      </c>
      <c r="BU182" s="18">
        <v>45687.611354166664</v>
      </c>
      <c r="BV182" s="13" t="s">
        <v>199</v>
      </c>
      <c r="BW182" s="14" t="s">
        <v>188</v>
      </c>
      <c r="BX182" s="14" t="s">
        <v>5916</v>
      </c>
      <c r="BY182" s="14" t="s">
        <v>188</v>
      </c>
      <c r="BZ182" s="14" t="s">
        <v>5917</v>
      </c>
      <c r="CA182" s="14" t="s">
        <v>188</v>
      </c>
      <c r="CB182" s="14" t="s">
        <v>5918</v>
      </c>
      <c r="CC182" s="14" t="s">
        <v>188</v>
      </c>
      <c r="CD182" s="14" t="s">
        <v>5919</v>
      </c>
      <c r="CE182" s="14" t="s">
        <v>188</v>
      </c>
      <c r="CF182" s="14" t="s">
        <v>5920</v>
      </c>
      <c r="CG182" s="14" t="s">
        <v>188</v>
      </c>
      <c r="CH182" s="14" t="s">
        <v>5921</v>
      </c>
      <c r="CI182" s="19"/>
      <c r="CJ182" s="15"/>
      <c r="CK182" s="19"/>
      <c r="CL182" s="15"/>
      <c r="CM182" s="19"/>
      <c r="CN182" s="15"/>
      <c r="CO182" s="19"/>
      <c r="CP182" s="15"/>
      <c r="CQ182" s="15"/>
      <c r="CR182" s="15"/>
      <c r="CS182" s="19"/>
      <c r="CT182" s="15"/>
      <c r="CU182" s="19"/>
      <c r="CV182" s="15"/>
      <c r="CW182" s="19"/>
      <c r="CX182" s="15"/>
      <c r="CY182" s="19"/>
      <c r="CZ182" s="15"/>
      <c r="DA182" s="16" t="s">
        <v>197</v>
      </c>
      <c r="DB182" s="17" t="s">
        <v>198</v>
      </c>
      <c r="DC182" s="20">
        <v>45687.61145833333</v>
      </c>
      <c r="DD182" s="17" t="s">
        <v>198</v>
      </c>
      <c r="DE182" s="18">
        <v>45687.61150462963</v>
      </c>
      <c r="DF182" s="17" t="s">
        <v>198</v>
      </c>
      <c r="DG182" s="18">
        <v>45687.61150462963</v>
      </c>
      <c r="DH182" s="13" t="s">
        <v>205</v>
      </c>
      <c r="DI182" s="14" t="s">
        <v>188</v>
      </c>
      <c r="DJ182" s="14" t="s">
        <v>5922</v>
      </c>
      <c r="DK182" s="14" t="s">
        <v>188</v>
      </c>
      <c r="DL182" s="14" t="s">
        <v>5923</v>
      </c>
      <c r="DM182" s="14" t="s">
        <v>188</v>
      </c>
      <c r="DN182" s="14" t="s">
        <v>5924</v>
      </c>
      <c r="DO182" s="14" t="s">
        <v>188</v>
      </c>
      <c r="DP182" s="14" t="s">
        <v>5925</v>
      </c>
      <c r="DQ182" s="15"/>
      <c r="DR182" s="15"/>
      <c r="DS182" s="15"/>
      <c r="DT182" s="15"/>
      <c r="DU182" s="15"/>
      <c r="DV182" s="15"/>
      <c r="DW182" s="15"/>
      <c r="DX182" s="15"/>
      <c r="DY182" s="15"/>
      <c r="DZ182" s="15"/>
      <c r="EA182" s="15"/>
      <c r="EB182" s="15"/>
      <c r="EC182" s="16" t="s">
        <v>197</v>
      </c>
      <c r="ED182" s="17" t="s">
        <v>198</v>
      </c>
      <c r="EE182" s="18">
        <v>45699.501863425925</v>
      </c>
      <c r="EF182" s="13" t="s">
        <v>209</v>
      </c>
      <c r="EG182" s="14" t="s">
        <v>188</v>
      </c>
      <c r="EH182" s="14" t="s">
        <v>5926</v>
      </c>
      <c r="EI182" s="14" t="s">
        <v>188</v>
      </c>
      <c r="EJ182" s="14" t="s">
        <v>5927</v>
      </c>
      <c r="EK182" s="14" t="s">
        <v>188</v>
      </c>
      <c r="EL182" s="14" t="s">
        <v>5928</v>
      </c>
      <c r="EM182" s="14" t="s">
        <v>188</v>
      </c>
      <c r="EN182" s="14" t="s">
        <v>5929</v>
      </c>
      <c r="EO182" s="15"/>
      <c r="EP182" s="15"/>
      <c r="EQ182" s="15"/>
      <c r="ER182" s="15"/>
      <c r="ES182" s="15"/>
      <c r="ET182" s="15"/>
      <c r="EU182" s="15"/>
      <c r="EV182" s="15"/>
      <c r="EW182" s="15"/>
      <c r="EX182" s="15"/>
      <c r="EY182" s="15"/>
      <c r="EZ182" s="15"/>
      <c r="FA182" s="15"/>
      <c r="FB182" s="15"/>
      <c r="FC182" s="16" t="s">
        <v>197</v>
      </c>
      <c r="FD182" s="17" t="s">
        <v>198</v>
      </c>
      <c r="FE182" s="18">
        <v>45699.50199074074</v>
      </c>
      <c r="FF182" s="19"/>
      <c r="FG182" s="19"/>
      <c r="FH182" s="21" t="s">
        <v>197</v>
      </c>
      <c r="FI182" s="17" t="s">
        <v>214</v>
      </c>
      <c r="FJ182" s="18">
        <v>45699.50199074074</v>
      </c>
      <c r="FK182" s="14" t="s">
        <v>5929</v>
      </c>
      <c r="FL182" s="14" t="s">
        <v>5930</v>
      </c>
      <c r="FM182" s="14" t="s">
        <v>5931</v>
      </c>
      <c r="FN182" s="19"/>
      <c r="FO182" s="19"/>
      <c r="FP182" s="19" t="str">
        <f t="shared" si="1"/>
        <v>Base de Dados_Images/BC9235.Imagem do Equipamento-.175548.jpg</v>
      </c>
      <c r="FQ182" s="14"/>
      <c r="FR182" s="14"/>
    </row>
    <row r="183" ht="15.75" customHeight="1">
      <c r="A183" s="12" t="s">
        <v>357</v>
      </c>
      <c r="B183" s="12" t="s">
        <v>4413</v>
      </c>
      <c r="C183" s="24" t="s">
        <v>512</v>
      </c>
      <c r="D183" s="22" t="s">
        <v>5932</v>
      </c>
      <c r="E183" s="22" t="s">
        <v>5933</v>
      </c>
      <c r="F183" s="13" t="s">
        <v>178</v>
      </c>
      <c r="G183" s="14" t="s">
        <v>179</v>
      </c>
      <c r="H183" s="14" t="s">
        <v>5934</v>
      </c>
      <c r="I183" s="14" t="s">
        <v>179</v>
      </c>
      <c r="J183" s="14" t="s">
        <v>5935</v>
      </c>
      <c r="K183" s="14" t="s">
        <v>179</v>
      </c>
      <c r="L183" s="14" t="s">
        <v>5936</v>
      </c>
      <c r="M183" s="14" t="s">
        <v>179</v>
      </c>
      <c r="N183" s="14" t="s">
        <v>5937</v>
      </c>
      <c r="O183" s="14" t="s">
        <v>179</v>
      </c>
      <c r="P183" s="14" t="s">
        <v>5938</v>
      </c>
      <c r="Q183" s="14" t="s">
        <v>179</v>
      </c>
      <c r="R183" s="14" t="s">
        <v>5939</v>
      </c>
      <c r="S183" s="14" t="s">
        <v>179</v>
      </c>
      <c r="T183" s="14" t="s">
        <v>5940</v>
      </c>
      <c r="U183" s="14" t="s">
        <v>179</v>
      </c>
      <c r="V183" s="14" t="s">
        <v>5941</v>
      </c>
      <c r="W183" s="14" t="s">
        <v>179</v>
      </c>
      <c r="X183" s="14" t="s">
        <v>5942</v>
      </c>
      <c r="Y183" s="14" t="s">
        <v>179</v>
      </c>
      <c r="Z183" s="14" t="s">
        <v>5943</v>
      </c>
      <c r="AA183" s="14" t="s">
        <v>179</v>
      </c>
      <c r="AB183" s="14" t="s">
        <v>5944</v>
      </c>
      <c r="AC183" s="14" t="s">
        <v>179</v>
      </c>
      <c r="AD183" s="14" t="s">
        <v>5945</v>
      </c>
      <c r="AE183" s="14" t="s">
        <v>179</v>
      </c>
      <c r="AF183" s="14" t="s">
        <v>5946</v>
      </c>
      <c r="AG183" s="14" t="s">
        <v>179</v>
      </c>
      <c r="AH183" s="14" t="s">
        <v>5947</v>
      </c>
      <c r="AI183" s="14" t="s">
        <v>179</v>
      </c>
      <c r="AJ183" s="14" t="s">
        <v>5948</v>
      </c>
      <c r="AK183" s="14" t="s">
        <v>179</v>
      </c>
      <c r="AL183" s="14" t="s">
        <v>5949</v>
      </c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6" t="s">
        <v>197</v>
      </c>
      <c r="BP183" s="17" t="s">
        <v>198</v>
      </c>
      <c r="BQ183" s="18">
        <v>45687.612488425926</v>
      </c>
      <c r="BR183" s="17" t="s">
        <v>198</v>
      </c>
      <c r="BS183" s="18">
        <v>45687.61263888889</v>
      </c>
      <c r="BT183" s="17" t="s">
        <v>198</v>
      </c>
      <c r="BU183" s="18">
        <v>45687.61263888889</v>
      </c>
      <c r="BV183" s="13" t="s">
        <v>199</v>
      </c>
      <c r="BW183" s="14" t="s">
        <v>188</v>
      </c>
      <c r="BX183" s="14" t="s">
        <v>5950</v>
      </c>
      <c r="BY183" s="14" t="s">
        <v>188</v>
      </c>
      <c r="BZ183" s="14" t="s">
        <v>5951</v>
      </c>
      <c r="CA183" s="14" t="s">
        <v>188</v>
      </c>
      <c r="CB183" s="14" t="s">
        <v>5952</v>
      </c>
      <c r="CC183" s="14" t="s">
        <v>188</v>
      </c>
      <c r="CD183" s="14" t="s">
        <v>5953</v>
      </c>
      <c r="CE183" s="14" t="s">
        <v>188</v>
      </c>
      <c r="CF183" s="14" t="s">
        <v>5954</v>
      </c>
      <c r="CG183" s="14" t="s">
        <v>188</v>
      </c>
      <c r="CH183" s="14" t="s">
        <v>5955</v>
      </c>
      <c r="CI183" s="19"/>
      <c r="CJ183" s="15"/>
      <c r="CK183" s="19"/>
      <c r="CL183" s="15"/>
      <c r="CM183" s="19"/>
      <c r="CN183" s="15"/>
      <c r="CO183" s="19"/>
      <c r="CP183" s="15"/>
      <c r="CQ183" s="15"/>
      <c r="CR183" s="15"/>
      <c r="CS183" s="19"/>
      <c r="CT183" s="15"/>
      <c r="CU183" s="19"/>
      <c r="CV183" s="15"/>
      <c r="CW183" s="19"/>
      <c r="CX183" s="15"/>
      <c r="CY183" s="19"/>
      <c r="CZ183" s="15"/>
      <c r="DA183" s="16" t="s">
        <v>197</v>
      </c>
      <c r="DB183" s="17" t="s">
        <v>198</v>
      </c>
      <c r="DC183" s="20">
        <v>45687.61274305556</v>
      </c>
      <c r="DD183" s="17" t="s">
        <v>198</v>
      </c>
      <c r="DE183" s="18">
        <v>45687.61282407407</v>
      </c>
      <c r="DF183" s="17" t="s">
        <v>198</v>
      </c>
      <c r="DG183" s="18">
        <v>45687.61282407407</v>
      </c>
      <c r="DH183" s="13" t="s">
        <v>205</v>
      </c>
      <c r="DI183" s="14" t="s">
        <v>188</v>
      </c>
      <c r="DJ183" s="14" t="s">
        <v>5956</v>
      </c>
      <c r="DK183" s="14" t="s">
        <v>188</v>
      </c>
      <c r="DL183" s="14" t="s">
        <v>5957</v>
      </c>
      <c r="DM183" s="14" t="s">
        <v>188</v>
      </c>
      <c r="DN183" s="14" t="s">
        <v>5958</v>
      </c>
      <c r="DO183" s="14" t="s">
        <v>188</v>
      </c>
      <c r="DP183" s="14" t="s">
        <v>5959</v>
      </c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6" t="s">
        <v>197</v>
      </c>
      <c r="ED183" s="17" t="s">
        <v>198</v>
      </c>
      <c r="EE183" s="18">
        <v>45699.498935185184</v>
      </c>
      <c r="EF183" s="13" t="s">
        <v>209</v>
      </c>
      <c r="EG183" s="14" t="s">
        <v>188</v>
      </c>
      <c r="EH183" s="14" t="s">
        <v>5960</v>
      </c>
      <c r="EI183" s="14" t="s">
        <v>188</v>
      </c>
      <c r="EJ183" s="14" t="s">
        <v>5961</v>
      </c>
      <c r="EK183" s="14" t="s">
        <v>188</v>
      </c>
      <c r="EL183" s="14" t="s">
        <v>5962</v>
      </c>
      <c r="EM183" s="14" t="s">
        <v>188</v>
      </c>
      <c r="EN183" s="14" t="s">
        <v>5963</v>
      </c>
      <c r="EO183" s="15"/>
      <c r="EP183" s="15"/>
      <c r="EQ183" s="15"/>
      <c r="ER183" s="15"/>
      <c r="ES183" s="15"/>
      <c r="ET183" s="15"/>
      <c r="EU183" s="15"/>
      <c r="EV183" s="15"/>
      <c r="EW183" s="15"/>
      <c r="EX183" s="15"/>
      <c r="EY183" s="15"/>
      <c r="EZ183" s="15"/>
      <c r="FA183" s="15"/>
      <c r="FB183" s="15"/>
      <c r="FC183" s="16" t="s">
        <v>197</v>
      </c>
      <c r="FD183" s="17" t="s">
        <v>198</v>
      </c>
      <c r="FE183" s="18">
        <v>45699.49903935185</v>
      </c>
      <c r="FF183" s="19"/>
      <c r="FG183" s="19"/>
      <c r="FH183" s="21" t="s">
        <v>197</v>
      </c>
      <c r="FI183" s="17" t="s">
        <v>214</v>
      </c>
      <c r="FJ183" s="18">
        <v>45699.49903935185</v>
      </c>
      <c r="FK183" s="14" t="s">
        <v>5963</v>
      </c>
      <c r="FL183" s="14" t="s">
        <v>5964</v>
      </c>
      <c r="FM183" s="14" t="s">
        <v>5965</v>
      </c>
      <c r="FN183" s="19"/>
      <c r="FO183" s="19"/>
      <c r="FP183" s="19" t="str">
        <f t="shared" si="1"/>
        <v>Base de Dados_Images/BC9236.Imagem do Equipamento-.175848.jpg</v>
      </c>
      <c r="FQ183" s="14"/>
      <c r="FR183" s="14"/>
    </row>
    <row r="184" ht="15.75" customHeight="1">
      <c r="A184" s="12" t="s">
        <v>357</v>
      </c>
      <c r="B184" s="12" t="s">
        <v>4413</v>
      </c>
      <c r="C184" s="24" t="s">
        <v>512</v>
      </c>
      <c r="D184" s="22" t="s">
        <v>5966</v>
      </c>
      <c r="E184" s="22" t="s">
        <v>5967</v>
      </c>
      <c r="F184" s="13" t="s">
        <v>178</v>
      </c>
      <c r="G184" s="14" t="s">
        <v>179</v>
      </c>
      <c r="H184" s="14" t="s">
        <v>5968</v>
      </c>
      <c r="I184" s="14" t="s">
        <v>179</v>
      </c>
      <c r="J184" s="14" t="s">
        <v>5969</v>
      </c>
      <c r="K184" s="14" t="s">
        <v>179</v>
      </c>
      <c r="L184" s="14" t="s">
        <v>5970</v>
      </c>
      <c r="M184" s="14" t="s">
        <v>179</v>
      </c>
      <c r="N184" s="14" t="s">
        <v>5971</v>
      </c>
      <c r="O184" s="14" t="s">
        <v>179</v>
      </c>
      <c r="P184" s="14" t="s">
        <v>5972</v>
      </c>
      <c r="Q184" s="14" t="s">
        <v>179</v>
      </c>
      <c r="R184" s="14" t="s">
        <v>5973</v>
      </c>
      <c r="S184" s="14" t="s">
        <v>179</v>
      </c>
      <c r="T184" s="14" t="s">
        <v>5974</v>
      </c>
      <c r="U184" s="14" t="s">
        <v>179</v>
      </c>
      <c r="V184" s="14" t="s">
        <v>5975</v>
      </c>
      <c r="W184" s="14" t="s">
        <v>179</v>
      </c>
      <c r="X184" s="14" t="s">
        <v>5976</v>
      </c>
      <c r="Y184" s="14" t="s">
        <v>179</v>
      </c>
      <c r="Z184" s="14" t="s">
        <v>5977</v>
      </c>
      <c r="AA184" s="14" t="s">
        <v>179</v>
      </c>
      <c r="AB184" s="14" t="s">
        <v>5978</v>
      </c>
      <c r="AC184" s="14" t="s">
        <v>179</v>
      </c>
      <c r="AD184" s="14" t="s">
        <v>5979</v>
      </c>
      <c r="AE184" s="14" t="s">
        <v>179</v>
      </c>
      <c r="AF184" s="14" t="s">
        <v>5980</v>
      </c>
      <c r="AG184" s="14" t="s">
        <v>179</v>
      </c>
      <c r="AH184" s="14" t="s">
        <v>5981</v>
      </c>
      <c r="AI184" s="14" t="s">
        <v>179</v>
      </c>
      <c r="AJ184" s="14" t="s">
        <v>5982</v>
      </c>
      <c r="AK184" s="14" t="s">
        <v>179</v>
      </c>
      <c r="AL184" s="14" t="s">
        <v>5983</v>
      </c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6" t="s">
        <v>197</v>
      </c>
      <c r="BP184" s="17" t="s">
        <v>198</v>
      </c>
      <c r="BQ184" s="18">
        <v>45687.61418981481</v>
      </c>
      <c r="BR184" s="17" t="s">
        <v>198</v>
      </c>
      <c r="BS184" s="18">
        <v>45687.614386574074</v>
      </c>
      <c r="BT184" s="17" t="s">
        <v>198</v>
      </c>
      <c r="BU184" s="18">
        <v>45687.614386574074</v>
      </c>
      <c r="BV184" s="13" t="s">
        <v>199</v>
      </c>
      <c r="BW184" s="14" t="s">
        <v>179</v>
      </c>
      <c r="BX184" s="14" t="s">
        <v>5984</v>
      </c>
      <c r="BY184" s="14" t="s">
        <v>179</v>
      </c>
      <c r="BZ184" s="14" t="s">
        <v>5985</v>
      </c>
      <c r="CA184" s="14" t="s">
        <v>179</v>
      </c>
      <c r="CB184" s="14" t="s">
        <v>5986</v>
      </c>
      <c r="CC184" s="14" t="s">
        <v>179</v>
      </c>
      <c r="CD184" s="14" t="s">
        <v>5987</v>
      </c>
      <c r="CE184" s="14" t="s">
        <v>179</v>
      </c>
      <c r="CF184" s="14" t="s">
        <v>5988</v>
      </c>
      <c r="CG184" s="14" t="s">
        <v>179</v>
      </c>
      <c r="CH184" s="14" t="s">
        <v>5989</v>
      </c>
      <c r="CI184" s="19"/>
      <c r="CJ184" s="15"/>
      <c r="CK184" s="19"/>
      <c r="CL184" s="15"/>
      <c r="CM184" s="19"/>
      <c r="CN184" s="15"/>
      <c r="CO184" s="19"/>
      <c r="CP184" s="15"/>
      <c r="CQ184" s="15"/>
      <c r="CR184" s="15"/>
      <c r="CS184" s="19"/>
      <c r="CT184" s="15"/>
      <c r="CU184" s="19"/>
      <c r="CV184" s="15"/>
      <c r="CW184" s="19"/>
      <c r="CX184" s="15"/>
      <c r="CY184" s="19"/>
      <c r="CZ184" s="15"/>
      <c r="DA184" s="17" t="s">
        <v>197</v>
      </c>
      <c r="DB184" s="17" t="s">
        <v>198</v>
      </c>
      <c r="DC184" s="20">
        <v>45699.497881944444</v>
      </c>
      <c r="DD184" s="17" t="s">
        <v>198</v>
      </c>
      <c r="DE184" s="18">
        <v>45699.49783564815</v>
      </c>
      <c r="DF184" s="17" t="s">
        <v>198</v>
      </c>
      <c r="DG184" s="18">
        <v>45699.497881944444</v>
      </c>
      <c r="DH184" s="13" t="s">
        <v>205</v>
      </c>
      <c r="DI184" s="14" t="s">
        <v>179</v>
      </c>
      <c r="DJ184" s="14" t="s">
        <v>5990</v>
      </c>
      <c r="DK184" s="14" t="s">
        <v>179</v>
      </c>
      <c r="DL184" s="14" t="s">
        <v>5991</v>
      </c>
      <c r="DM184" s="14" t="s">
        <v>179</v>
      </c>
      <c r="DN184" s="14" t="s">
        <v>5992</v>
      </c>
      <c r="DO184" s="14" t="s">
        <v>179</v>
      </c>
      <c r="DP184" s="14" t="s">
        <v>5993</v>
      </c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6" t="s">
        <v>197</v>
      </c>
      <c r="ED184" s="17" t="s">
        <v>198</v>
      </c>
      <c r="EE184" s="18">
        <v>45699.499456018515</v>
      </c>
      <c r="EF184" s="13" t="s">
        <v>209</v>
      </c>
      <c r="EG184" s="14" t="s">
        <v>179</v>
      </c>
      <c r="EH184" s="14" t="s">
        <v>5994</v>
      </c>
      <c r="EI184" s="14" t="s">
        <v>179</v>
      </c>
      <c r="EJ184" s="14" t="s">
        <v>5995</v>
      </c>
      <c r="EK184" s="14" t="s">
        <v>179</v>
      </c>
      <c r="EL184" s="14" t="s">
        <v>5996</v>
      </c>
      <c r="EM184" s="14" t="s">
        <v>179</v>
      </c>
      <c r="EN184" s="14" t="s">
        <v>5997</v>
      </c>
      <c r="EO184" s="15"/>
      <c r="EP184" s="15"/>
      <c r="EQ184" s="15"/>
      <c r="ER184" s="15"/>
      <c r="ES184" s="15"/>
      <c r="ET184" s="15"/>
      <c r="EU184" s="15"/>
      <c r="EV184" s="15"/>
      <c r="EW184" s="15"/>
      <c r="EX184" s="15"/>
      <c r="EY184" s="15"/>
      <c r="EZ184" s="15"/>
      <c r="FA184" s="15"/>
      <c r="FB184" s="15"/>
      <c r="FC184" s="16" t="s">
        <v>197</v>
      </c>
      <c r="FD184" s="17" t="s">
        <v>198</v>
      </c>
      <c r="FE184" s="18">
        <v>45699.49961805555</v>
      </c>
      <c r="FF184" s="19"/>
      <c r="FG184" s="19"/>
      <c r="FH184" s="21" t="s">
        <v>197</v>
      </c>
      <c r="FI184" s="17" t="s">
        <v>214</v>
      </c>
      <c r="FJ184" s="18">
        <v>45699.49961805555</v>
      </c>
      <c r="FK184" s="14" t="s">
        <v>5997</v>
      </c>
      <c r="FL184" s="14" t="s">
        <v>5998</v>
      </c>
      <c r="FM184" s="14" t="s">
        <v>5999</v>
      </c>
      <c r="FN184" s="14" t="s">
        <v>6000</v>
      </c>
      <c r="FO184" s="14" t="s">
        <v>6001</v>
      </c>
      <c r="FP184" s="19" t="str">
        <f t="shared" si="1"/>
        <v>Base de Dados_Images/BC9237.Imagem do Equipamento-.175704.jpg</v>
      </c>
      <c r="FQ184" s="14"/>
      <c r="FR184" s="14"/>
    </row>
    <row r="185" ht="15.75" customHeight="1">
      <c r="A185" s="12" t="s">
        <v>357</v>
      </c>
      <c r="B185" s="12" t="s">
        <v>4697</v>
      </c>
      <c r="C185" s="24" t="s">
        <v>512</v>
      </c>
      <c r="D185" s="22" t="s">
        <v>6002</v>
      </c>
      <c r="E185" s="22" t="s">
        <v>6003</v>
      </c>
      <c r="F185" s="13" t="s">
        <v>178</v>
      </c>
      <c r="G185" s="14" t="s">
        <v>179</v>
      </c>
      <c r="H185" s="14" t="s">
        <v>6004</v>
      </c>
      <c r="I185" s="14" t="s">
        <v>179</v>
      </c>
      <c r="J185" s="14" t="s">
        <v>6005</v>
      </c>
      <c r="K185" s="14" t="s">
        <v>179</v>
      </c>
      <c r="L185" s="14" t="s">
        <v>6006</v>
      </c>
      <c r="M185" s="14" t="s">
        <v>179</v>
      </c>
      <c r="N185" s="14" t="s">
        <v>6007</v>
      </c>
      <c r="O185" s="14" t="s">
        <v>179</v>
      </c>
      <c r="P185" s="14" t="s">
        <v>6008</v>
      </c>
      <c r="Q185" s="14" t="s">
        <v>179</v>
      </c>
      <c r="R185" s="14" t="s">
        <v>6009</v>
      </c>
      <c r="S185" s="14" t="s">
        <v>179</v>
      </c>
      <c r="T185" s="14" t="s">
        <v>6010</v>
      </c>
      <c r="U185" s="14" t="s">
        <v>179</v>
      </c>
      <c r="V185" s="14" t="s">
        <v>6011</v>
      </c>
      <c r="W185" s="14" t="s">
        <v>179</v>
      </c>
      <c r="X185" s="14" t="s">
        <v>6012</v>
      </c>
      <c r="Y185" s="14" t="s">
        <v>179</v>
      </c>
      <c r="Z185" s="14" t="s">
        <v>6013</v>
      </c>
      <c r="AA185" s="14" t="s">
        <v>179</v>
      </c>
      <c r="AB185" s="14" t="s">
        <v>6014</v>
      </c>
      <c r="AC185" s="14" t="s">
        <v>179</v>
      </c>
      <c r="AD185" s="14" t="s">
        <v>6015</v>
      </c>
      <c r="AE185" s="14" t="s">
        <v>179</v>
      </c>
      <c r="AF185" s="14" t="s">
        <v>6016</v>
      </c>
      <c r="AG185" s="14" t="s">
        <v>179</v>
      </c>
      <c r="AH185" s="14" t="s">
        <v>6017</v>
      </c>
      <c r="AI185" s="14" t="s">
        <v>179</v>
      </c>
      <c r="AJ185" s="14" t="s">
        <v>6018</v>
      </c>
      <c r="AK185" s="14" t="s">
        <v>179</v>
      </c>
      <c r="AL185" s="14" t="s">
        <v>6019</v>
      </c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6" t="s">
        <v>197</v>
      </c>
      <c r="BP185" s="17" t="s">
        <v>198</v>
      </c>
      <c r="BQ185" s="18">
        <v>45681.44527777778</v>
      </c>
      <c r="BR185" s="17" t="s">
        <v>198</v>
      </c>
      <c r="BS185" s="18">
        <v>45681.44540509259</v>
      </c>
      <c r="BT185" s="17" t="s">
        <v>198</v>
      </c>
      <c r="BU185" s="18">
        <v>45681.44540509259</v>
      </c>
      <c r="BV185" s="13" t="s">
        <v>199</v>
      </c>
      <c r="BW185" s="14" t="s">
        <v>179</v>
      </c>
      <c r="BX185" s="14" t="s">
        <v>6020</v>
      </c>
      <c r="BY185" s="14" t="s">
        <v>179</v>
      </c>
      <c r="BZ185" s="14" t="s">
        <v>6021</v>
      </c>
      <c r="CA185" s="14" t="s">
        <v>179</v>
      </c>
      <c r="CB185" s="14" t="s">
        <v>6022</v>
      </c>
      <c r="CC185" s="14" t="s">
        <v>179</v>
      </c>
      <c r="CD185" s="14" t="s">
        <v>6023</v>
      </c>
      <c r="CE185" s="14" t="s">
        <v>179</v>
      </c>
      <c r="CF185" s="14" t="s">
        <v>6023</v>
      </c>
      <c r="CG185" s="14" t="s">
        <v>179</v>
      </c>
      <c r="CH185" s="14" t="s">
        <v>6024</v>
      </c>
      <c r="CI185" s="19"/>
      <c r="CJ185" s="15"/>
      <c r="CK185" s="19"/>
      <c r="CL185" s="15"/>
      <c r="CM185" s="19"/>
      <c r="CN185" s="15"/>
      <c r="CO185" s="19"/>
      <c r="CP185" s="15"/>
      <c r="CQ185" s="15"/>
      <c r="CR185" s="15"/>
      <c r="CS185" s="19"/>
      <c r="CT185" s="15"/>
      <c r="CU185" s="19"/>
      <c r="CV185" s="15"/>
      <c r="CW185" s="19"/>
      <c r="CX185" s="15"/>
      <c r="CY185" s="19"/>
      <c r="CZ185" s="15"/>
      <c r="DA185" s="16" t="s">
        <v>197</v>
      </c>
      <c r="DB185" s="17" t="s">
        <v>198</v>
      </c>
      <c r="DC185" s="20">
        <v>45723.38622685185</v>
      </c>
      <c r="DD185" s="17" t="s">
        <v>198</v>
      </c>
      <c r="DE185" s="18">
        <v>45723.38626157407</v>
      </c>
      <c r="DF185" s="17" t="s">
        <v>198</v>
      </c>
      <c r="DG185" s="18">
        <v>45723.38626157407</v>
      </c>
      <c r="DH185" s="13" t="s">
        <v>205</v>
      </c>
      <c r="DI185" s="14" t="s">
        <v>179</v>
      </c>
      <c r="DJ185" s="14" t="s">
        <v>6025</v>
      </c>
      <c r="DK185" s="14" t="s">
        <v>179</v>
      </c>
      <c r="DL185" s="14" t="s">
        <v>6026</v>
      </c>
      <c r="DM185" s="14" t="s">
        <v>179</v>
      </c>
      <c r="DN185" s="14" t="s">
        <v>6027</v>
      </c>
      <c r="DO185" s="14" t="s">
        <v>179</v>
      </c>
      <c r="DP185" s="14" t="s">
        <v>6027</v>
      </c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6" t="s">
        <v>197</v>
      </c>
      <c r="ED185" s="17" t="s">
        <v>198</v>
      </c>
      <c r="EE185" s="18">
        <v>45723.386342592596</v>
      </c>
      <c r="EF185" s="13" t="s">
        <v>209</v>
      </c>
      <c r="EG185" s="14" t="s">
        <v>179</v>
      </c>
      <c r="EH185" s="14" t="s">
        <v>6028</v>
      </c>
      <c r="EI185" s="14" t="s">
        <v>179</v>
      </c>
      <c r="EJ185" s="14" t="s">
        <v>6029</v>
      </c>
      <c r="EK185" s="14" t="s">
        <v>179</v>
      </c>
      <c r="EL185" s="14" t="s">
        <v>6030</v>
      </c>
      <c r="EM185" s="14" t="s">
        <v>179</v>
      </c>
      <c r="EN185" s="14" t="s">
        <v>6031</v>
      </c>
      <c r="EO185" s="15"/>
      <c r="EP185" s="15"/>
      <c r="EQ185" s="15"/>
      <c r="ER185" s="15"/>
      <c r="ES185" s="15"/>
      <c r="ET185" s="15"/>
      <c r="EU185" s="15"/>
      <c r="EV185" s="15"/>
      <c r="EW185" s="15"/>
      <c r="EX185" s="15"/>
      <c r="EY185" s="15"/>
      <c r="EZ185" s="15"/>
      <c r="FA185" s="15"/>
      <c r="FB185" s="15"/>
      <c r="FC185" s="16" t="s">
        <v>197</v>
      </c>
      <c r="FD185" s="17" t="s">
        <v>198</v>
      </c>
      <c r="FE185" s="18">
        <v>45723.38643518519</v>
      </c>
      <c r="FF185" s="19"/>
      <c r="FG185" s="19"/>
      <c r="FH185" s="21" t="s">
        <v>197</v>
      </c>
      <c r="FI185" s="17" t="s">
        <v>214</v>
      </c>
      <c r="FJ185" s="18">
        <v>45723.38643518519</v>
      </c>
      <c r="FK185" s="14" t="s">
        <v>6029</v>
      </c>
      <c r="FL185" s="14" t="s">
        <v>6032</v>
      </c>
      <c r="FM185" s="14" t="s">
        <v>6033</v>
      </c>
      <c r="FN185" s="14" t="s">
        <v>6034</v>
      </c>
      <c r="FO185" s="14" t="s">
        <v>6035</v>
      </c>
      <c r="FP185" s="19" t="str">
        <f t="shared" si="1"/>
        <v>Base de Dados_Images/BC9238.Imagem do Equipamento-.143314.jpg</v>
      </c>
      <c r="FQ185" s="19"/>
      <c r="FR185" s="19"/>
    </row>
    <row r="186" ht="15.75" customHeight="1">
      <c r="A186" s="12" t="s">
        <v>357</v>
      </c>
      <c r="B186" s="12" t="s">
        <v>4413</v>
      </c>
      <c r="C186" s="24" t="s">
        <v>512</v>
      </c>
      <c r="D186" s="22" t="s">
        <v>6036</v>
      </c>
      <c r="E186" s="22" t="s">
        <v>6037</v>
      </c>
      <c r="F186" s="13" t="s">
        <v>178</v>
      </c>
      <c r="G186" s="14" t="s">
        <v>179</v>
      </c>
      <c r="H186" s="14" t="s">
        <v>6038</v>
      </c>
      <c r="I186" s="14" t="s">
        <v>179</v>
      </c>
      <c r="J186" s="14" t="s">
        <v>6039</v>
      </c>
      <c r="K186" s="14" t="s">
        <v>179</v>
      </c>
      <c r="L186" s="14" t="s">
        <v>6040</v>
      </c>
      <c r="M186" s="14" t="s">
        <v>179</v>
      </c>
      <c r="N186" s="14" t="s">
        <v>6041</v>
      </c>
      <c r="O186" s="14" t="s">
        <v>179</v>
      </c>
      <c r="P186" s="14" t="s">
        <v>6042</v>
      </c>
      <c r="Q186" s="14" t="s">
        <v>179</v>
      </c>
      <c r="R186" s="14" t="s">
        <v>6043</v>
      </c>
      <c r="S186" s="14" t="s">
        <v>179</v>
      </c>
      <c r="T186" s="14" t="s">
        <v>6044</v>
      </c>
      <c r="U186" s="14" t="s">
        <v>179</v>
      </c>
      <c r="V186" s="14" t="s">
        <v>6045</v>
      </c>
      <c r="W186" s="14" t="s">
        <v>179</v>
      </c>
      <c r="X186" s="14" t="s">
        <v>6046</v>
      </c>
      <c r="Y186" s="14" t="s">
        <v>179</v>
      </c>
      <c r="Z186" s="14" t="s">
        <v>6047</v>
      </c>
      <c r="AA186" s="14" t="s">
        <v>179</v>
      </c>
      <c r="AB186" s="14" t="s">
        <v>6048</v>
      </c>
      <c r="AC186" s="14" t="s">
        <v>179</v>
      </c>
      <c r="AD186" s="14" t="s">
        <v>6049</v>
      </c>
      <c r="AE186" s="14" t="s">
        <v>179</v>
      </c>
      <c r="AF186" s="14" t="s">
        <v>6050</v>
      </c>
      <c r="AG186" s="14" t="s">
        <v>179</v>
      </c>
      <c r="AH186" s="14" t="s">
        <v>6051</v>
      </c>
      <c r="AI186" s="14" t="s">
        <v>179</v>
      </c>
      <c r="AJ186" s="14" t="s">
        <v>6052</v>
      </c>
      <c r="AK186" s="14" t="s">
        <v>179</v>
      </c>
      <c r="AL186" s="14" t="s">
        <v>6053</v>
      </c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6" t="s">
        <v>197</v>
      </c>
      <c r="BP186" s="17" t="s">
        <v>198</v>
      </c>
      <c r="BQ186" s="18">
        <v>45687.66648148148</v>
      </c>
      <c r="BR186" s="17" t="s">
        <v>198</v>
      </c>
      <c r="BS186" s="18">
        <v>45687.66663194444</v>
      </c>
      <c r="BT186" s="17" t="s">
        <v>198</v>
      </c>
      <c r="BU186" s="18">
        <v>45687.66663194444</v>
      </c>
      <c r="BV186" s="13" t="s">
        <v>199</v>
      </c>
      <c r="BW186" s="14" t="s">
        <v>179</v>
      </c>
      <c r="BX186" s="14" t="s">
        <v>6054</v>
      </c>
      <c r="BY186" s="14" t="s">
        <v>179</v>
      </c>
      <c r="BZ186" s="14" t="s">
        <v>6055</v>
      </c>
      <c r="CA186" s="14" t="s">
        <v>179</v>
      </c>
      <c r="CB186" s="14" t="s">
        <v>6056</v>
      </c>
      <c r="CC186" s="14" t="s">
        <v>179</v>
      </c>
      <c r="CD186" s="14" t="s">
        <v>6057</v>
      </c>
      <c r="CE186" s="14" t="s">
        <v>179</v>
      </c>
      <c r="CF186" s="14" t="s">
        <v>6058</v>
      </c>
      <c r="CG186" s="14" t="s">
        <v>179</v>
      </c>
      <c r="CH186" s="14" t="s">
        <v>6059</v>
      </c>
      <c r="CI186" s="19"/>
      <c r="CJ186" s="15"/>
      <c r="CK186" s="19"/>
      <c r="CL186" s="15"/>
      <c r="CM186" s="19"/>
      <c r="CN186" s="15"/>
      <c r="CO186" s="19"/>
      <c r="CP186" s="15"/>
      <c r="CQ186" s="15"/>
      <c r="CR186" s="15"/>
      <c r="CS186" s="19"/>
      <c r="CT186" s="15"/>
      <c r="CU186" s="19"/>
      <c r="CV186" s="15"/>
      <c r="CW186" s="19"/>
      <c r="CX186" s="15"/>
      <c r="CY186" s="19"/>
      <c r="CZ186" s="15"/>
      <c r="DA186" s="16" t="s">
        <v>197</v>
      </c>
      <c r="DB186" s="17" t="s">
        <v>198</v>
      </c>
      <c r="DC186" s="20">
        <v>45687.667233796295</v>
      </c>
      <c r="DD186" s="17" t="s">
        <v>198</v>
      </c>
      <c r="DE186" s="18">
        <v>45687.667291666665</v>
      </c>
      <c r="DF186" s="17" t="s">
        <v>198</v>
      </c>
      <c r="DG186" s="18">
        <v>45687.667291666665</v>
      </c>
      <c r="DH186" s="13" t="s">
        <v>205</v>
      </c>
      <c r="DI186" s="14" t="s">
        <v>179</v>
      </c>
      <c r="DJ186" s="14" t="s">
        <v>6060</v>
      </c>
      <c r="DK186" s="14" t="s">
        <v>179</v>
      </c>
      <c r="DL186" s="14" t="s">
        <v>6061</v>
      </c>
      <c r="DM186" s="14" t="s">
        <v>179</v>
      </c>
      <c r="DN186" s="14" t="s">
        <v>6062</v>
      </c>
      <c r="DO186" s="14" t="s">
        <v>179</v>
      </c>
      <c r="DP186" s="14" t="s">
        <v>6063</v>
      </c>
      <c r="DQ186" s="15"/>
      <c r="DR186" s="15"/>
      <c r="DS186" s="15"/>
      <c r="DT186" s="15"/>
      <c r="DU186" s="15"/>
      <c r="DV186" s="15"/>
      <c r="DW186" s="15"/>
      <c r="DX186" s="15"/>
      <c r="DY186" s="15"/>
      <c r="DZ186" s="15"/>
      <c r="EA186" s="15"/>
      <c r="EB186" s="15"/>
      <c r="EC186" s="16" t="s">
        <v>197</v>
      </c>
      <c r="ED186" s="17" t="s">
        <v>198</v>
      </c>
      <c r="EE186" s="18">
        <v>45692.49306712963</v>
      </c>
      <c r="EF186" s="13" t="s">
        <v>209</v>
      </c>
      <c r="EG186" s="14" t="s">
        <v>179</v>
      </c>
      <c r="EH186" s="14" t="s">
        <v>6064</v>
      </c>
      <c r="EI186" s="14" t="s">
        <v>179</v>
      </c>
      <c r="EJ186" s="14" t="s">
        <v>6065</v>
      </c>
      <c r="EK186" s="14" t="s">
        <v>179</v>
      </c>
      <c r="EL186" s="14" t="s">
        <v>6066</v>
      </c>
      <c r="EM186" s="14" t="s">
        <v>179</v>
      </c>
      <c r="EN186" s="14" t="s">
        <v>6067</v>
      </c>
      <c r="EO186" s="15"/>
      <c r="EP186" s="15"/>
      <c r="EQ186" s="15"/>
      <c r="ER186" s="15"/>
      <c r="ES186" s="15"/>
      <c r="ET186" s="15"/>
      <c r="EU186" s="15"/>
      <c r="EV186" s="15"/>
      <c r="EW186" s="15"/>
      <c r="EX186" s="15"/>
      <c r="EY186" s="15"/>
      <c r="EZ186" s="15"/>
      <c r="FA186" s="15"/>
      <c r="FB186" s="15"/>
      <c r="FC186" s="16" t="s">
        <v>197</v>
      </c>
      <c r="FD186" s="17" t="s">
        <v>198</v>
      </c>
      <c r="FE186" s="18">
        <v>45699.49694444444</v>
      </c>
      <c r="FF186" s="19"/>
      <c r="FG186" s="19"/>
      <c r="FH186" s="21" t="s">
        <v>197</v>
      </c>
      <c r="FI186" s="17" t="s">
        <v>214</v>
      </c>
      <c r="FJ186" s="18">
        <v>45699.49694444444</v>
      </c>
      <c r="FK186" s="14" t="s">
        <v>6067</v>
      </c>
      <c r="FL186" s="14" t="s">
        <v>6068</v>
      </c>
      <c r="FM186" s="14" t="s">
        <v>6069</v>
      </c>
      <c r="FN186" s="14" t="s">
        <v>6070</v>
      </c>
      <c r="FO186" s="14" t="s">
        <v>6071</v>
      </c>
      <c r="FP186" s="19" t="str">
        <f t="shared" si="1"/>
        <v>Base de Dados_Images/BC9601.Imagem do Equipamento-.190230.jpg</v>
      </c>
      <c r="FQ186" s="14"/>
      <c r="FR186" s="14"/>
    </row>
    <row r="187" ht="15.75" customHeight="1">
      <c r="A187" s="12" t="s">
        <v>357</v>
      </c>
      <c r="B187" s="12" t="s">
        <v>4413</v>
      </c>
      <c r="C187" s="24" t="s">
        <v>512</v>
      </c>
      <c r="D187" s="22" t="s">
        <v>6072</v>
      </c>
      <c r="E187" s="22" t="s">
        <v>6073</v>
      </c>
      <c r="F187" s="13" t="s">
        <v>178</v>
      </c>
      <c r="G187" s="14" t="s">
        <v>179</v>
      </c>
      <c r="H187" s="14" t="s">
        <v>6074</v>
      </c>
      <c r="I187" s="14" t="s">
        <v>179</v>
      </c>
      <c r="J187" s="14" t="s">
        <v>6075</v>
      </c>
      <c r="K187" s="14" t="s">
        <v>179</v>
      </c>
      <c r="L187" s="14" t="s">
        <v>6076</v>
      </c>
      <c r="M187" s="14" t="s">
        <v>179</v>
      </c>
      <c r="N187" s="14" t="s">
        <v>6077</v>
      </c>
      <c r="O187" s="14" t="s">
        <v>179</v>
      </c>
      <c r="P187" s="14" t="s">
        <v>6078</v>
      </c>
      <c r="Q187" s="14" t="s">
        <v>179</v>
      </c>
      <c r="R187" s="14" t="s">
        <v>6079</v>
      </c>
      <c r="S187" s="14" t="s">
        <v>179</v>
      </c>
      <c r="T187" s="14" t="s">
        <v>6080</v>
      </c>
      <c r="U187" s="14" t="s">
        <v>179</v>
      </c>
      <c r="V187" s="14" t="s">
        <v>6081</v>
      </c>
      <c r="W187" s="14" t="s">
        <v>179</v>
      </c>
      <c r="X187" s="14" t="s">
        <v>6082</v>
      </c>
      <c r="Y187" s="14" t="s">
        <v>179</v>
      </c>
      <c r="Z187" s="14" t="s">
        <v>6083</v>
      </c>
      <c r="AA187" s="14" t="s">
        <v>179</v>
      </c>
      <c r="AB187" s="14" t="s">
        <v>6084</v>
      </c>
      <c r="AC187" s="14" t="s">
        <v>179</v>
      </c>
      <c r="AD187" s="14" t="s">
        <v>6085</v>
      </c>
      <c r="AE187" s="14" t="s">
        <v>179</v>
      </c>
      <c r="AF187" s="14" t="s">
        <v>6086</v>
      </c>
      <c r="AG187" s="14" t="s">
        <v>179</v>
      </c>
      <c r="AH187" s="14" t="s">
        <v>6087</v>
      </c>
      <c r="AI187" s="14" t="s">
        <v>179</v>
      </c>
      <c r="AJ187" s="14" t="s">
        <v>6088</v>
      </c>
      <c r="AK187" s="14" t="s">
        <v>179</v>
      </c>
      <c r="AL187" s="14" t="s">
        <v>6089</v>
      </c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7" t="s">
        <v>197</v>
      </c>
      <c r="BP187" s="17" t="s">
        <v>198</v>
      </c>
      <c r="BQ187" s="18">
        <v>45688.4874537037</v>
      </c>
      <c r="BR187" s="17" t="s">
        <v>198</v>
      </c>
      <c r="BS187" s="18">
        <v>45687.66869212963</v>
      </c>
      <c r="BT187" s="17" t="s">
        <v>198</v>
      </c>
      <c r="BU187" s="18">
        <v>45688.4874537037</v>
      </c>
      <c r="BV187" s="13" t="s">
        <v>199</v>
      </c>
      <c r="BW187" s="14" t="s">
        <v>179</v>
      </c>
      <c r="BX187" s="14" t="s">
        <v>6090</v>
      </c>
      <c r="BY187" s="14" t="s">
        <v>179</v>
      </c>
      <c r="BZ187" s="14" t="s">
        <v>6091</v>
      </c>
      <c r="CA187" s="14" t="s">
        <v>179</v>
      </c>
      <c r="CB187" s="14" t="s">
        <v>6092</v>
      </c>
      <c r="CC187" s="14" t="s">
        <v>179</v>
      </c>
      <c r="CD187" s="14" t="s">
        <v>6093</v>
      </c>
      <c r="CE187" s="14" t="s">
        <v>179</v>
      </c>
      <c r="CF187" s="14" t="s">
        <v>6094</v>
      </c>
      <c r="CG187" s="14" t="s">
        <v>179</v>
      </c>
      <c r="CH187" s="14" t="s">
        <v>6095</v>
      </c>
      <c r="CI187" s="19"/>
      <c r="CJ187" s="15"/>
      <c r="CK187" s="19"/>
      <c r="CL187" s="15"/>
      <c r="CM187" s="19"/>
      <c r="CN187" s="15"/>
      <c r="CO187" s="19"/>
      <c r="CP187" s="15"/>
      <c r="CQ187" s="15"/>
      <c r="CR187" s="15"/>
      <c r="CS187" s="19"/>
      <c r="CT187" s="15"/>
      <c r="CU187" s="19"/>
      <c r="CV187" s="15"/>
      <c r="CW187" s="19"/>
      <c r="CX187" s="15"/>
      <c r="CY187" s="19"/>
      <c r="CZ187" s="15"/>
      <c r="DA187" s="16" t="s">
        <v>197</v>
      </c>
      <c r="DB187" s="17" t="s">
        <v>198</v>
      </c>
      <c r="DC187" s="20">
        <v>45687.66894675926</v>
      </c>
      <c r="DD187" s="17" t="s">
        <v>198</v>
      </c>
      <c r="DE187" s="18">
        <v>45687.669027777774</v>
      </c>
      <c r="DF187" s="17" t="s">
        <v>198</v>
      </c>
      <c r="DG187" s="18">
        <v>45687.669027777774</v>
      </c>
      <c r="DH187" s="13" t="s">
        <v>205</v>
      </c>
      <c r="DI187" s="14" t="s">
        <v>179</v>
      </c>
      <c r="DJ187" s="14" t="s">
        <v>6096</v>
      </c>
      <c r="DK187" s="14" t="s">
        <v>179</v>
      </c>
      <c r="DL187" s="14" t="s">
        <v>6097</v>
      </c>
      <c r="DM187" s="14" t="s">
        <v>179</v>
      </c>
      <c r="DN187" s="14" t="s">
        <v>6098</v>
      </c>
      <c r="DO187" s="14" t="s">
        <v>179</v>
      </c>
      <c r="DP187" s="14" t="s">
        <v>6099</v>
      </c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6" t="s">
        <v>197</v>
      </c>
      <c r="ED187" s="17" t="s">
        <v>198</v>
      </c>
      <c r="EE187" s="18">
        <v>45692.49285879629</v>
      </c>
      <c r="EF187" s="13" t="s">
        <v>209</v>
      </c>
      <c r="EG187" s="14" t="s">
        <v>179</v>
      </c>
      <c r="EH187" s="14" t="s">
        <v>6100</v>
      </c>
      <c r="EI187" s="14" t="s">
        <v>179</v>
      </c>
      <c r="EJ187" s="14" t="s">
        <v>6101</v>
      </c>
      <c r="EK187" s="14" t="s">
        <v>179</v>
      </c>
      <c r="EL187" s="14" t="s">
        <v>6102</v>
      </c>
      <c r="EM187" s="14" t="s">
        <v>179</v>
      </c>
      <c r="EN187" s="14" t="s">
        <v>6103</v>
      </c>
      <c r="EO187" s="15"/>
      <c r="EP187" s="15"/>
      <c r="EQ187" s="15"/>
      <c r="ER187" s="15"/>
      <c r="ES187" s="15"/>
      <c r="ET187" s="15"/>
      <c r="EU187" s="15"/>
      <c r="EV187" s="15"/>
      <c r="EW187" s="15"/>
      <c r="EX187" s="15"/>
      <c r="EY187" s="15"/>
      <c r="EZ187" s="15"/>
      <c r="FA187" s="15"/>
      <c r="FB187" s="15"/>
      <c r="FC187" s="16" t="s">
        <v>197</v>
      </c>
      <c r="FD187" s="17" t="s">
        <v>198</v>
      </c>
      <c r="FE187" s="18">
        <v>45699.497141203705</v>
      </c>
      <c r="FF187" s="19"/>
      <c r="FG187" s="19"/>
      <c r="FH187" s="21" t="s">
        <v>197</v>
      </c>
      <c r="FI187" s="17" t="s">
        <v>214</v>
      </c>
      <c r="FJ187" s="18">
        <v>45699.497141203705</v>
      </c>
      <c r="FK187" s="14" t="s">
        <v>6103</v>
      </c>
      <c r="FL187" s="14" t="s">
        <v>6104</v>
      </c>
      <c r="FM187" s="14" t="s">
        <v>6105</v>
      </c>
      <c r="FN187" s="14" t="s">
        <v>6106</v>
      </c>
      <c r="FO187" s="14" t="s">
        <v>6107</v>
      </c>
      <c r="FP187" s="19" t="str">
        <f t="shared" si="1"/>
        <v>Base de Dados_Images/BC9602.Imagem do Equipamento-.190315.jpg</v>
      </c>
      <c r="FQ187" s="14"/>
      <c r="FR187" s="14"/>
    </row>
    <row r="188" ht="15.75" customHeight="1">
      <c r="A188" s="12" t="s">
        <v>357</v>
      </c>
      <c r="B188" s="12" t="s">
        <v>6108</v>
      </c>
      <c r="C188" s="24" t="s">
        <v>512</v>
      </c>
      <c r="D188" s="22" t="s">
        <v>6109</v>
      </c>
      <c r="E188" s="22" t="s">
        <v>6110</v>
      </c>
      <c r="F188" s="13" t="s">
        <v>178</v>
      </c>
      <c r="G188" s="14" t="s">
        <v>179</v>
      </c>
      <c r="H188" s="14" t="s">
        <v>6111</v>
      </c>
      <c r="I188" s="14" t="s">
        <v>179</v>
      </c>
      <c r="J188" s="14" t="s">
        <v>6112</v>
      </c>
      <c r="K188" s="14" t="s">
        <v>179</v>
      </c>
      <c r="L188" s="14" t="s">
        <v>6113</v>
      </c>
      <c r="M188" s="14" t="s">
        <v>179</v>
      </c>
      <c r="N188" s="14" t="s">
        <v>6114</v>
      </c>
      <c r="O188" s="14" t="s">
        <v>179</v>
      </c>
      <c r="P188" s="14" t="s">
        <v>6115</v>
      </c>
      <c r="Q188" s="14" t="s">
        <v>179</v>
      </c>
      <c r="R188" s="14" t="s">
        <v>6116</v>
      </c>
      <c r="S188" s="14" t="s">
        <v>179</v>
      </c>
      <c r="T188" s="14" t="s">
        <v>6117</v>
      </c>
      <c r="U188" s="14" t="s">
        <v>179</v>
      </c>
      <c r="V188" s="14" t="s">
        <v>6118</v>
      </c>
      <c r="W188" s="14" t="s">
        <v>179</v>
      </c>
      <c r="X188" s="14" t="s">
        <v>6119</v>
      </c>
      <c r="Y188" s="14" t="s">
        <v>179</v>
      </c>
      <c r="Z188" s="14" t="s">
        <v>6120</v>
      </c>
      <c r="AA188" s="14" t="s">
        <v>179</v>
      </c>
      <c r="AB188" s="14" t="s">
        <v>6121</v>
      </c>
      <c r="AC188" s="14" t="s">
        <v>179</v>
      </c>
      <c r="AD188" s="14" t="s">
        <v>6122</v>
      </c>
      <c r="AE188" s="14" t="s">
        <v>179</v>
      </c>
      <c r="AF188" s="14" t="s">
        <v>6123</v>
      </c>
      <c r="AG188" s="14" t="s">
        <v>179</v>
      </c>
      <c r="AH188" s="14" t="s">
        <v>6124</v>
      </c>
      <c r="AI188" s="14" t="s">
        <v>179</v>
      </c>
      <c r="AJ188" s="14" t="s">
        <v>6125</v>
      </c>
      <c r="AK188" s="14" t="s">
        <v>179</v>
      </c>
      <c r="AL188" s="14" t="s">
        <v>6126</v>
      </c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6" t="s">
        <v>197</v>
      </c>
      <c r="BP188" s="17" t="s">
        <v>198</v>
      </c>
      <c r="BQ188" s="18">
        <v>45687.60334490741</v>
      </c>
      <c r="BR188" s="17" t="s">
        <v>198</v>
      </c>
      <c r="BS188" s="18">
        <v>45687.603634259256</v>
      </c>
      <c r="BT188" s="17" t="s">
        <v>198</v>
      </c>
      <c r="BU188" s="18">
        <v>45687.603634259256</v>
      </c>
      <c r="BV188" s="13" t="s">
        <v>199</v>
      </c>
      <c r="BW188" s="14" t="s">
        <v>179</v>
      </c>
      <c r="BX188" s="14" t="s">
        <v>6127</v>
      </c>
      <c r="BY188" s="14" t="s">
        <v>179</v>
      </c>
      <c r="BZ188" s="14" t="s">
        <v>6127</v>
      </c>
      <c r="CA188" s="14" t="s">
        <v>179</v>
      </c>
      <c r="CB188" s="14" t="s">
        <v>6128</v>
      </c>
      <c r="CC188" s="14" t="s">
        <v>179</v>
      </c>
      <c r="CD188" s="14" t="s">
        <v>6129</v>
      </c>
      <c r="CE188" s="14" t="s">
        <v>179</v>
      </c>
      <c r="CF188" s="14" t="s">
        <v>6130</v>
      </c>
      <c r="CG188" s="14" t="s">
        <v>179</v>
      </c>
      <c r="CH188" s="14" t="s">
        <v>6131</v>
      </c>
      <c r="CI188" s="19"/>
      <c r="CJ188" s="15"/>
      <c r="CK188" s="19"/>
      <c r="CL188" s="15"/>
      <c r="CM188" s="19"/>
      <c r="CN188" s="15"/>
      <c r="CO188" s="19"/>
      <c r="CP188" s="15"/>
      <c r="CQ188" s="15"/>
      <c r="CR188" s="15"/>
      <c r="CS188" s="19"/>
      <c r="CT188" s="15"/>
      <c r="CU188" s="19"/>
      <c r="CV188" s="15"/>
      <c r="CW188" s="19"/>
      <c r="CX188" s="15"/>
      <c r="CY188" s="19"/>
      <c r="CZ188" s="15"/>
      <c r="DA188" s="16" t="s">
        <v>197</v>
      </c>
      <c r="DB188" s="17" t="s">
        <v>198</v>
      </c>
      <c r="DC188" s="20">
        <v>45723.48931712963</v>
      </c>
      <c r="DD188" s="17" t="s">
        <v>198</v>
      </c>
      <c r="DE188" s="18">
        <v>45723.48935185185</v>
      </c>
      <c r="DF188" s="17" t="s">
        <v>198</v>
      </c>
      <c r="DG188" s="18">
        <v>45723.48935185185</v>
      </c>
      <c r="DH188" s="13" t="s">
        <v>205</v>
      </c>
      <c r="DI188" s="14" t="s">
        <v>179</v>
      </c>
      <c r="DJ188" s="14" t="s">
        <v>6132</v>
      </c>
      <c r="DK188" s="14" t="s">
        <v>179</v>
      </c>
      <c r="DL188" s="14" t="s">
        <v>6133</v>
      </c>
      <c r="DM188" s="14" t="s">
        <v>179</v>
      </c>
      <c r="DN188" s="14" t="s">
        <v>6134</v>
      </c>
      <c r="DO188" s="14" t="s">
        <v>179</v>
      </c>
      <c r="DP188" s="14" t="s">
        <v>6135</v>
      </c>
      <c r="DQ188" s="15"/>
      <c r="DR188" s="15"/>
      <c r="DS188" s="15"/>
      <c r="DT188" s="15"/>
      <c r="DU188" s="15"/>
      <c r="DV188" s="15"/>
      <c r="DW188" s="15"/>
      <c r="DX188" s="15"/>
      <c r="DY188" s="15"/>
      <c r="DZ188" s="15"/>
      <c r="EA188" s="15"/>
      <c r="EB188" s="15"/>
      <c r="EC188" s="16" t="s">
        <v>197</v>
      </c>
      <c r="ED188" s="17" t="s">
        <v>198</v>
      </c>
      <c r="EE188" s="18">
        <v>45723.48949074074</v>
      </c>
      <c r="EF188" s="13" t="s">
        <v>209</v>
      </c>
      <c r="EG188" s="14" t="s">
        <v>179</v>
      </c>
      <c r="EH188" s="14" t="s">
        <v>6136</v>
      </c>
      <c r="EI188" s="14" t="s">
        <v>179</v>
      </c>
      <c r="EJ188" s="14" t="s">
        <v>6137</v>
      </c>
      <c r="EK188" s="14" t="s">
        <v>179</v>
      </c>
      <c r="EL188" s="14" t="s">
        <v>6137</v>
      </c>
      <c r="EM188" s="14" t="s">
        <v>179</v>
      </c>
      <c r="EN188" s="14" t="s">
        <v>6138</v>
      </c>
      <c r="EO188" s="15"/>
      <c r="EP188" s="15"/>
      <c r="EQ188" s="15"/>
      <c r="ER188" s="15"/>
      <c r="ES188" s="15"/>
      <c r="ET188" s="15"/>
      <c r="EU188" s="15"/>
      <c r="EV188" s="15"/>
      <c r="EW188" s="15"/>
      <c r="EX188" s="15"/>
      <c r="EY188" s="15"/>
      <c r="EZ188" s="15"/>
      <c r="FA188" s="15"/>
      <c r="FB188" s="15"/>
      <c r="FC188" s="16" t="s">
        <v>197</v>
      </c>
      <c r="FD188" s="17" t="s">
        <v>198</v>
      </c>
      <c r="FE188" s="18">
        <v>45723.48957175926</v>
      </c>
      <c r="FF188" s="19"/>
      <c r="FG188" s="19"/>
      <c r="FH188" s="21" t="s">
        <v>197</v>
      </c>
      <c r="FI188" s="17" t="s">
        <v>214</v>
      </c>
      <c r="FJ188" s="18">
        <v>45723.48957175926</v>
      </c>
      <c r="FK188" s="14" t="s">
        <v>6138</v>
      </c>
      <c r="FL188" s="14" t="s">
        <v>6139</v>
      </c>
      <c r="FM188" s="14" t="s">
        <v>6140</v>
      </c>
      <c r="FN188" s="14" t="s">
        <v>6141</v>
      </c>
      <c r="FO188" s="14" t="s">
        <v>6142</v>
      </c>
      <c r="FP188" s="19" t="str">
        <f t="shared" si="1"/>
        <v>Base de Dados_Images/BC9801.Imagem do Equipamento-.172819.jpg</v>
      </c>
      <c r="FQ188" s="19"/>
      <c r="FR188" s="19"/>
    </row>
    <row r="189" ht="15.75" customHeight="1">
      <c r="A189" s="12" t="s">
        <v>357</v>
      </c>
      <c r="B189" s="12" t="s">
        <v>6108</v>
      </c>
      <c r="C189" s="24" t="s">
        <v>512</v>
      </c>
      <c r="D189" s="22" t="s">
        <v>6143</v>
      </c>
      <c r="E189" s="22" t="s">
        <v>6144</v>
      </c>
      <c r="F189" s="13" t="s">
        <v>178</v>
      </c>
      <c r="G189" s="14" t="s">
        <v>179</v>
      </c>
      <c r="H189" s="14" t="s">
        <v>6145</v>
      </c>
      <c r="I189" s="14" t="s">
        <v>179</v>
      </c>
      <c r="J189" s="14" t="s">
        <v>6146</v>
      </c>
      <c r="K189" s="14" t="s">
        <v>179</v>
      </c>
      <c r="L189" s="14" t="s">
        <v>6147</v>
      </c>
      <c r="M189" s="14" t="s">
        <v>179</v>
      </c>
      <c r="N189" s="14" t="s">
        <v>6148</v>
      </c>
      <c r="O189" s="14" t="s">
        <v>179</v>
      </c>
      <c r="P189" s="14" t="s">
        <v>6149</v>
      </c>
      <c r="Q189" s="14" t="s">
        <v>179</v>
      </c>
      <c r="R189" s="14" t="s">
        <v>6150</v>
      </c>
      <c r="S189" s="14" t="s">
        <v>179</v>
      </c>
      <c r="T189" s="14" t="s">
        <v>6151</v>
      </c>
      <c r="U189" s="14" t="s">
        <v>179</v>
      </c>
      <c r="V189" s="14" t="s">
        <v>6152</v>
      </c>
      <c r="W189" s="14" t="s">
        <v>179</v>
      </c>
      <c r="X189" s="14" t="s">
        <v>6153</v>
      </c>
      <c r="Y189" s="14" t="s">
        <v>179</v>
      </c>
      <c r="Z189" s="14" t="s">
        <v>6154</v>
      </c>
      <c r="AA189" s="14" t="s">
        <v>179</v>
      </c>
      <c r="AB189" s="14" t="s">
        <v>6155</v>
      </c>
      <c r="AC189" s="14" t="s">
        <v>179</v>
      </c>
      <c r="AD189" s="14" t="s">
        <v>6156</v>
      </c>
      <c r="AE189" s="14" t="s">
        <v>179</v>
      </c>
      <c r="AF189" s="14" t="s">
        <v>6157</v>
      </c>
      <c r="AG189" s="14" t="s">
        <v>179</v>
      </c>
      <c r="AH189" s="14" t="s">
        <v>6158</v>
      </c>
      <c r="AI189" s="14" t="s">
        <v>179</v>
      </c>
      <c r="AJ189" s="14" t="s">
        <v>6159</v>
      </c>
      <c r="AK189" s="14" t="s">
        <v>179</v>
      </c>
      <c r="AL189" s="14" t="s">
        <v>6160</v>
      </c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6" t="s">
        <v>197</v>
      </c>
      <c r="BP189" s="17" t="s">
        <v>198</v>
      </c>
      <c r="BQ189" s="18">
        <v>45687.60538194444</v>
      </c>
      <c r="BR189" s="17" t="s">
        <v>198</v>
      </c>
      <c r="BS189" s="18">
        <v>45687.605520833335</v>
      </c>
      <c r="BT189" s="17" t="s">
        <v>198</v>
      </c>
      <c r="BU189" s="18">
        <v>45687.605520833335</v>
      </c>
      <c r="BV189" s="13" t="s">
        <v>199</v>
      </c>
      <c r="BW189" s="14" t="s">
        <v>179</v>
      </c>
      <c r="BX189" s="14" t="s">
        <v>6161</v>
      </c>
      <c r="BY189" s="14" t="s">
        <v>179</v>
      </c>
      <c r="BZ189" s="14" t="s">
        <v>6162</v>
      </c>
      <c r="CA189" s="14" t="s">
        <v>179</v>
      </c>
      <c r="CB189" s="14" t="s">
        <v>6163</v>
      </c>
      <c r="CC189" s="14" t="s">
        <v>179</v>
      </c>
      <c r="CD189" s="14" t="s">
        <v>6164</v>
      </c>
      <c r="CE189" s="14" t="s">
        <v>179</v>
      </c>
      <c r="CF189" s="14" t="s">
        <v>6165</v>
      </c>
      <c r="CG189" s="14" t="s">
        <v>179</v>
      </c>
      <c r="CH189" s="14" t="s">
        <v>6166</v>
      </c>
      <c r="CI189" s="19"/>
      <c r="CJ189" s="15"/>
      <c r="CK189" s="19"/>
      <c r="CL189" s="15"/>
      <c r="CM189" s="19"/>
      <c r="CN189" s="15"/>
      <c r="CO189" s="19"/>
      <c r="CP189" s="15"/>
      <c r="CQ189" s="15"/>
      <c r="CR189" s="15"/>
      <c r="CS189" s="19"/>
      <c r="CT189" s="15"/>
      <c r="CU189" s="19"/>
      <c r="CV189" s="15"/>
      <c r="CW189" s="19"/>
      <c r="CX189" s="15"/>
      <c r="CY189" s="19"/>
      <c r="CZ189" s="15"/>
      <c r="DA189" s="16" t="s">
        <v>197</v>
      </c>
      <c r="DB189" s="17" t="s">
        <v>198</v>
      </c>
      <c r="DC189" s="20">
        <v>45723.48966435185</v>
      </c>
      <c r="DD189" s="17" t="s">
        <v>198</v>
      </c>
      <c r="DE189" s="18">
        <v>45723.489699074074</v>
      </c>
      <c r="DF189" s="17" t="s">
        <v>198</v>
      </c>
      <c r="DG189" s="18">
        <v>45723.489699074074</v>
      </c>
      <c r="DH189" s="13" t="s">
        <v>205</v>
      </c>
      <c r="DI189" s="14" t="s">
        <v>179</v>
      </c>
      <c r="DJ189" s="14" t="s">
        <v>6167</v>
      </c>
      <c r="DK189" s="14" t="s">
        <v>179</v>
      </c>
      <c r="DL189" s="14" t="s">
        <v>6168</v>
      </c>
      <c r="DM189" s="14" t="s">
        <v>179</v>
      </c>
      <c r="DN189" s="14" t="s">
        <v>6169</v>
      </c>
      <c r="DO189" s="14" t="s">
        <v>179</v>
      </c>
      <c r="DP189" s="14" t="s">
        <v>6170</v>
      </c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6" t="s">
        <v>197</v>
      </c>
      <c r="ED189" s="17" t="s">
        <v>198</v>
      </c>
      <c r="EE189" s="18">
        <v>45723.48979166667</v>
      </c>
      <c r="EF189" s="13" t="s">
        <v>209</v>
      </c>
      <c r="EG189" s="14" t="s">
        <v>179</v>
      </c>
      <c r="EH189" s="14" t="s">
        <v>6171</v>
      </c>
      <c r="EI189" s="14" t="s">
        <v>179</v>
      </c>
      <c r="EJ189" s="14" t="s">
        <v>6172</v>
      </c>
      <c r="EK189" s="14" t="s">
        <v>179</v>
      </c>
      <c r="EL189" s="14" t="s">
        <v>6173</v>
      </c>
      <c r="EM189" s="14" t="s">
        <v>179</v>
      </c>
      <c r="EN189" s="14" t="s">
        <v>6174</v>
      </c>
      <c r="EO189" s="15"/>
      <c r="EP189" s="15"/>
      <c r="EQ189" s="15"/>
      <c r="ER189" s="15"/>
      <c r="ES189" s="15"/>
      <c r="ET189" s="15"/>
      <c r="EU189" s="15"/>
      <c r="EV189" s="15"/>
      <c r="EW189" s="15"/>
      <c r="EX189" s="15"/>
      <c r="EY189" s="15"/>
      <c r="EZ189" s="15"/>
      <c r="FA189" s="15"/>
      <c r="FB189" s="15"/>
      <c r="FC189" s="16" t="s">
        <v>197</v>
      </c>
      <c r="FD189" s="17" t="s">
        <v>198</v>
      </c>
      <c r="FE189" s="18">
        <v>45723.48987268518</v>
      </c>
      <c r="FF189" s="19"/>
      <c r="FG189" s="19"/>
      <c r="FH189" s="21" t="s">
        <v>197</v>
      </c>
      <c r="FI189" s="17" t="s">
        <v>214</v>
      </c>
      <c r="FJ189" s="18">
        <v>45723.48987268518</v>
      </c>
      <c r="FK189" s="14" t="s">
        <v>6174</v>
      </c>
      <c r="FL189" s="14" t="s">
        <v>6175</v>
      </c>
      <c r="FM189" s="14" t="s">
        <v>6176</v>
      </c>
      <c r="FN189" s="14" t="s">
        <v>6177</v>
      </c>
      <c r="FO189" s="14" t="s">
        <v>6178</v>
      </c>
      <c r="FP189" s="19" t="str">
        <f t="shared" si="1"/>
        <v>Base de Dados_Images/BC9802.Imagem do Equipamento-.173100.jpg</v>
      </c>
      <c r="FQ189" s="19"/>
      <c r="FR189" s="19"/>
    </row>
    <row r="190" ht="15.75" customHeight="1">
      <c r="A190" s="12" t="s">
        <v>357</v>
      </c>
      <c r="B190" s="12" t="s">
        <v>6179</v>
      </c>
      <c r="C190" s="24" t="s">
        <v>512</v>
      </c>
      <c r="D190" s="22" t="s">
        <v>6180</v>
      </c>
      <c r="E190" s="22" t="s">
        <v>6181</v>
      </c>
      <c r="F190" s="13" t="s">
        <v>178</v>
      </c>
      <c r="G190" s="14" t="s">
        <v>179</v>
      </c>
      <c r="H190" s="14" t="s">
        <v>6182</v>
      </c>
      <c r="I190" s="14" t="s">
        <v>179</v>
      </c>
      <c r="J190" s="14" t="s">
        <v>6183</v>
      </c>
      <c r="K190" s="14" t="s">
        <v>179</v>
      </c>
      <c r="L190" s="14" t="s">
        <v>6184</v>
      </c>
      <c r="M190" s="14" t="s">
        <v>179</v>
      </c>
      <c r="N190" s="14" t="s">
        <v>6185</v>
      </c>
      <c r="O190" s="14" t="s">
        <v>179</v>
      </c>
      <c r="P190" s="14" t="s">
        <v>6186</v>
      </c>
      <c r="Q190" s="14" t="s">
        <v>179</v>
      </c>
      <c r="R190" s="14" t="s">
        <v>6187</v>
      </c>
      <c r="S190" s="14" t="s">
        <v>179</v>
      </c>
      <c r="T190" s="14" t="s">
        <v>6188</v>
      </c>
      <c r="U190" s="14" t="s">
        <v>179</v>
      </c>
      <c r="V190" s="14" t="s">
        <v>6189</v>
      </c>
      <c r="W190" s="14" t="s">
        <v>179</v>
      </c>
      <c r="X190" s="14" t="s">
        <v>6190</v>
      </c>
      <c r="Y190" s="14" t="s">
        <v>179</v>
      </c>
      <c r="Z190" s="14" t="s">
        <v>6191</v>
      </c>
      <c r="AA190" s="14" t="s">
        <v>179</v>
      </c>
      <c r="AB190" s="14" t="s">
        <v>6192</v>
      </c>
      <c r="AC190" s="14" t="s">
        <v>179</v>
      </c>
      <c r="AD190" s="14" t="s">
        <v>6193</v>
      </c>
      <c r="AE190" s="14" t="s">
        <v>179</v>
      </c>
      <c r="AF190" s="14" t="s">
        <v>6194</v>
      </c>
      <c r="AG190" s="14" t="s">
        <v>179</v>
      </c>
      <c r="AH190" s="14" t="s">
        <v>6195</v>
      </c>
      <c r="AI190" s="14" t="s">
        <v>179</v>
      </c>
      <c r="AJ190" s="14" t="s">
        <v>6196</v>
      </c>
      <c r="AK190" s="14" t="s">
        <v>179</v>
      </c>
      <c r="AL190" s="14" t="s">
        <v>6197</v>
      </c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6" t="s">
        <v>197</v>
      </c>
      <c r="BP190" s="17" t="s">
        <v>198</v>
      </c>
      <c r="BQ190" s="18">
        <v>45687.57065972222</v>
      </c>
      <c r="BR190" s="17" t="s">
        <v>198</v>
      </c>
      <c r="BS190" s="18">
        <v>45687.57130787037</v>
      </c>
      <c r="BT190" s="17" t="s">
        <v>198</v>
      </c>
      <c r="BU190" s="18">
        <v>45687.57130787037</v>
      </c>
      <c r="BV190" s="13" t="s">
        <v>199</v>
      </c>
      <c r="BW190" s="14" t="s">
        <v>179</v>
      </c>
      <c r="BX190" s="14" t="s">
        <v>6198</v>
      </c>
      <c r="BY190" s="14" t="s">
        <v>179</v>
      </c>
      <c r="BZ190" s="14" t="s">
        <v>6199</v>
      </c>
      <c r="CA190" s="14" t="s">
        <v>179</v>
      </c>
      <c r="CB190" s="14" t="s">
        <v>6200</v>
      </c>
      <c r="CC190" s="14" t="s">
        <v>179</v>
      </c>
      <c r="CD190" s="14" t="s">
        <v>6201</v>
      </c>
      <c r="CE190" s="14" t="s">
        <v>179</v>
      </c>
      <c r="CF190" s="14" t="s">
        <v>6202</v>
      </c>
      <c r="CG190" s="14" t="s">
        <v>179</v>
      </c>
      <c r="CH190" s="14" t="s">
        <v>6203</v>
      </c>
      <c r="CI190" s="19"/>
      <c r="CJ190" s="15"/>
      <c r="CK190" s="19"/>
      <c r="CL190" s="15"/>
      <c r="CM190" s="19"/>
      <c r="CN190" s="15"/>
      <c r="CO190" s="19"/>
      <c r="CP190" s="15"/>
      <c r="CQ190" s="15"/>
      <c r="CR190" s="15"/>
      <c r="CS190" s="19"/>
      <c r="CT190" s="15"/>
      <c r="CU190" s="19"/>
      <c r="CV190" s="15"/>
      <c r="CW190" s="19"/>
      <c r="CX190" s="15"/>
      <c r="CY190" s="19"/>
      <c r="CZ190" s="15"/>
      <c r="DA190" s="16" t="s">
        <v>197</v>
      </c>
      <c r="DB190" s="17" t="s">
        <v>198</v>
      </c>
      <c r="DC190" s="20">
        <v>45713.388819444444</v>
      </c>
      <c r="DD190" s="17" t="s">
        <v>198</v>
      </c>
      <c r="DE190" s="18">
        <v>45713.388877314814</v>
      </c>
      <c r="DF190" s="17" t="s">
        <v>198</v>
      </c>
      <c r="DG190" s="18">
        <v>45713.388877314814</v>
      </c>
      <c r="DH190" s="13" t="s">
        <v>205</v>
      </c>
      <c r="DI190" s="14" t="s">
        <v>179</v>
      </c>
      <c r="DJ190" s="14" t="s">
        <v>6204</v>
      </c>
      <c r="DK190" s="14" t="s">
        <v>179</v>
      </c>
      <c r="DL190" s="14" t="s">
        <v>6205</v>
      </c>
      <c r="DM190" s="14" t="s">
        <v>179</v>
      </c>
      <c r="DN190" s="14" t="s">
        <v>6206</v>
      </c>
      <c r="DO190" s="14" t="s">
        <v>179</v>
      </c>
      <c r="DP190" s="14" t="s">
        <v>6207</v>
      </c>
      <c r="DQ190" s="15"/>
      <c r="DR190" s="15"/>
      <c r="DS190" s="15"/>
      <c r="DT190" s="15"/>
      <c r="DU190" s="15"/>
      <c r="DV190" s="15"/>
      <c r="DW190" s="15"/>
      <c r="DX190" s="15"/>
      <c r="DY190" s="15"/>
      <c r="DZ190" s="15"/>
      <c r="EA190" s="15"/>
      <c r="EB190" s="15"/>
      <c r="EC190" s="16" t="s">
        <v>197</v>
      </c>
      <c r="ED190" s="17" t="s">
        <v>198</v>
      </c>
      <c r="EE190" s="18">
        <v>45713.389027777775</v>
      </c>
      <c r="EF190" s="13" t="s">
        <v>209</v>
      </c>
      <c r="EG190" s="14" t="s">
        <v>179</v>
      </c>
      <c r="EH190" s="14" t="s">
        <v>6208</v>
      </c>
      <c r="EI190" s="14" t="s">
        <v>179</v>
      </c>
      <c r="EJ190" s="14" t="s">
        <v>6209</v>
      </c>
      <c r="EK190" s="14" t="s">
        <v>179</v>
      </c>
      <c r="EL190" s="14" t="s">
        <v>6210</v>
      </c>
      <c r="EM190" s="14" t="s">
        <v>179</v>
      </c>
      <c r="EN190" s="14" t="s">
        <v>6211</v>
      </c>
      <c r="EO190" s="15"/>
      <c r="EP190" s="15"/>
      <c r="EQ190" s="15"/>
      <c r="ER190" s="15"/>
      <c r="ES190" s="15"/>
      <c r="ET190" s="15"/>
      <c r="EU190" s="15"/>
      <c r="EV190" s="15"/>
      <c r="EW190" s="15"/>
      <c r="EX190" s="15"/>
      <c r="EY190" s="15"/>
      <c r="EZ190" s="15"/>
      <c r="FA190" s="15"/>
      <c r="FB190" s="15"/>
      <c r="FC190" s="16" t="s">
        <v>197</v>
      </c>
      <c r="FD190" s="17" t="s">
        <v>198</v>
      </c>
      <c r="FE190" s="18">
        <v>45723.48997685185</v>
      </c>
      <c r="FF190" s="19"/>
      <c r="FG190" s="19"/>
      <c r="FH190" s="21" t="s">
        <v>197</v>
      </c>
      <c r="FI190" s="17" t="s">
        <v>214</v>
      </c>
      <c r="FJ190" s="18">
        <v>45723.48997685185</v>
      </c>
      <c r="FK190" s="14" t="s">
        <v>6211</v>
      </c>
      <c r="FL190" s="19"/>
      <c r="FM190" s="19"/>
      <c r="FN190" s="19"/>
      <c r="FO190" s="19"/>
      <c r="FP190" s="19" t="str">
        <f t="shared" si="1"/>
        <v/>
      </c>
      <c r="FQ190" s="14" t="s">
        <v>215</v>
      </c>
      <c r="FR190" s="14" t="s">
        <v>6212</v>
      </c>
    </row>
    <row r="191" ht="15.75" customHeight="1">
      <c r="A191" s="12" t="s">
        <v>357</v>
      </c>
      <c r="B191" s="12" t="s">
        <v>6179</v>
      </c>
      <c r="C191" s="24" t="s">
        <v>512</v>
      </c>
      <c r="D191" s="22" t="s">
        <v>6213</v>
      </c>
      <c r="E191" s="22" t="s">
        <v>6214</v>
      </c>
      <c r="F191" s="13" t="s">
        <v>178</v>
      </c>
      <c r="G191" s="14" t="s">
        <v>179</v>
      </c>
      <c r="H191" s="14" t="s">
        <v>6215</v>
      </c>
      <c r="I191" s="14" t="s">
        <v>179</v>
      </c>
      <c r="J191" s="14" t="s">
        <v>6216</v>
      </c>
      <c r="K191" s="14" t="s">
        <v>179</v>
      </c>
      <c r="L191" s="14" t="s">
        <v>6217</v>
      </c>
      <c r="M191" s="14" t="s">
        <v>179</v>
      </c>
      <c r="N191" s="14" t="s">
        <v>6218</v>
      </c>
      <c r="O191" s="14" t="s">
        <v>179</v>
      </c>
      <c r="P191" s="14" t="s">
        <v>6219</v>
      </c>
      <c r="Q191" s="14" t="s">
        <v>179</v>
      </c>
      <c r="R191" s="14" t="s">
        <v>6220</v>
      </c>
      <c r="S191" s="14" t="s">
        <v>179</v>
      </c>
      <c r="T191" s="14" t="s">
        <v>6221</v>
      </c>
      <c r="U191" s="14" t="s">
        <v>179</v>
      </c>
      <c r="V191" s="14" t="s">
        <v>6222</v>
      </c>
      <c r="W191" s="14" t="s">
        <v>179</v>
      </c>
      <c r="X191" s="14" t="s">
        <v>6223</v>
      </c>
      <c r="Y191" s="14" t="s">
        <v>179</v>
      </c>
      <c r="Z191" s="14" t="s">
        <v>6224</v>
      </c>
      <c r="AA191" s="14" t="s">
        <v>179</v>
      </c>
      <c r="AB191" s="14" t="s">
        <v>6225</v>
      </c>
      <c r="AC191" s="14" t="s">
        <v>179</v>
      </c>
      <c r="AD191" s="14" t="s">
        <v>6226</v>
      </c>
      <c r="AE191" s="14" t="s">
        <v>179</v>
      </c>
      <c r="AF191" s="14" t="s">
        <v>6227</v>
      </c>
      <c r="AG191" s="14" t="s">
        <v>179</v>
      </c>
      <c r="AH191" s="14" t="s">
        <v>6228</v>
      </c>
      <c r="AI191" s="14" t="s">
        <v>179</v>
      </c>
      <c r="AJ191" s="14" t="s">
        <v>6229</v>
      </c>
      <c r="AK191" s="14" t="s">
        <v>179</v>
      </c>
      <c r="AL191" s="14" t="s">
        <v>6230</v>
      </c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6" t="s">
        <v>197</v>
      </c>
      <c r="BP191" s="17" t="s">
        <v>198</v>
      </c>
      <c r="BQ191" s="18">
        <v>45687.57203703704</v>
      </c>
      <c r="BR191" s="17" t="s">
        <v>198</v>
      </c>
      <c r="BS191" s="18">
        <v>45687.572222222225</v>
      </c>
      <c r="BT191" s="17" t="s">
        <v>198</v>
      </c>
      <c r="BU191" s="18">
        <v>45687.572222222225</v>
      </c>
      <c r="BV191" s="13" t="s">
        <v>199</v>
      </c>
      <c r="BW191" s="14" t="s">
        <v>179</v>
      </c>
      <c r="BX191" s="14" t="s">
        <v>6231</v>
      </c>
      <c r="BY191" s="14" t="s">
        <v>179</v>
      </c>
      <c r="BZ191" s="14" t="s">
        <v>6232</v>
      </c>
      <c r="CA191" s="14" t="s">
        <v>179</v>
      </c>
      <c r="CB191" s="14" t="s">
        <v>6233</v>
      </c>
      <c r="CC191" s="14" t="s">
        <v>179</v>
      </c>
      <c r="CD191" s="14" t="s">
        <v>6234</v>
      </c>
      <c r="CE191" s="14" t="s">
        <v>179</v>
      </c>
      <c r="CF191" s="14" t="s">
        <v>6235</v>
      </c>
      <c r="CG191" s="14" t="s">
        <v>179</v>
      </c>
      <c r="CH191" s="14" t="s">
        <v>6236</v>
      </c>
      <c r="CI191" s="19"/>
      <c r="CJ191" s="15"/>
      <c r="CK191" s="19"/>
      <c r="CL191" s="15"/>
      <c r="CM191" s="19"/>
      <c r="CN191" s="15"/>
      <c r="CO191" s="19"/>
      <c r="CP191" s="15"/>
      <c r="CQ191" s="15"/>
      <c r="CR191" s="15"/>
      <c r="CS191" s="19"/>
      <c r="CT191" s="15"/>
      <c r="CU191" s="19"/>
      <c r="CV191" s="15"/>
      <c r="CW191" s="19"/>
      <c r="CX191" s="15"/>
      <c r="CY191" s="19"/>
      <c r="CZ191" s="15"/>
      <c r="DA191" s="16" t="s">
        <v>197</v>
      </c>
      <c r="DB191" s="17" t="s">
        <v>198</v>
      </c>
      <c r="DC191" s="20">
        <v>45713.38922453704</v>
      </c>
      <c r="DD191" s="17" t="s">
        <v>198</v>
      </c>
      <c r="DE191" s="18">
        <v>45713.38930555555</v>
      </c>
      <c r="DF191" s="17" t="s">
        <v>198</v>
      </c>
      <c r="DG191" s="18">
        <v>45713.38930555555</v>
      </c>
      <c r="DH191" s="13" t="s">
        <v>205</v>
      </c>
      <c r="DI191" s="14" t="s">
        <v>179</v>
      </c>
      <c r="DJ191" s="14" t="s">
        <v>6237</v>
      </c>
      <c r="DK191" s="14" t="s">
        <v>179</v>
      </c>
      <c r="DL191" s="14" t="s">
        <v>6238</v>
      </c>
      <c r="DM191" s="14" t="s">
        <v>179</v>
      </c>
      <c r="DN191" s="14" t="s">
        <v>6239</v>
      </c>
      <c r="DO191" s="14" t="s">
        <v>179</v>
      </c>
      <c r="DP191" s="14" t="s">
        <v>6240</v>
      </c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6" t="s">
        <v>197</v>
      </c>
      <c r="ED191" s="17" t="s">
        <v>198</v>
      </c>
      <c r="EE191" s="18">
        <v>45713.38951388889</v>
      </c>
      <c r="EF191" s="13" t="s">
        <v>209</v>
      </c>
      <c r="EG191" s="14" t="s">
        <v>179</v>
      </c>
      <c r="EH191" s="14" t="s">
        <v>6241</v>
      </c>
      <c r="EI191" s="14" t="s">
        <v>179</v>
      </c>
      <c r="EJ191" s="14" t="s">
        <v>6242</v>
      </c>
      <c r="EK191" s="14" t="s">
        <v>179</v>
      </c>
      <c r="EL191" s="14" t="s">
        <v>6242</v>
      </c>
      <c r="EM191" s="14" t="s">
        <v>179</v>
      </c>
      <c r="EN191" s="14" t="s">
        <v>6243</v>
      </c>
      <c r="EO191" s="15"/>
      <c r="EP191" s="15"/>
      <c r="EQ191" s="15"/>
      <c r="ER191" s="15"/>
      <c r="ES191" s="15"/>
      <c r="ET191" s="15"/>
      <c r="EU191" s="15"/>
      <c r="EV191" s="15"/>
      <c r="EW191" s="15"/>
      <c r="EX191" s="15"/>
      <c r="EY191" s="15"/>
      <c r="EZ191" s="15"/>
      <c r="FA191" s="15"/>
      <c r="FB191" s="15"/>
      <c r="FC191" s="16" t="s">
        <v>197</v>
      </c>
      <c r="FD191" s="17" t="s">
        <v>198</v>
      </c>
      <c r="FE191" s="18">
        <v>45723.49009259259</v>
      </c>
      <c r="FF191" s="19"/>
      <c r="FG191" s="19"/>
      <c r="FH191" s="21" t="s">
        <v>197</v>
      </c>
      <c r="FI191" s="17" t="s">
        <v>214</v>
      </c>
      <c r="FJ191" s="18">
        <v>45723.49009259259</v>
      </c>
      <c r="FK191" s="14" t="s">
        <v>6243</v>
      </c>
      <c r="FL191" s="19"/>
      <c r="FM191" s="19"/>
      <c r="FN191" s="19"/>
      <c r="FO191" s="19"/>
      <c r="FP191" s="19" t="str">
        <f t="shared" si="1"/>
        <v/>
      </c>
      <c r="FQ191" s="14" t="s">
        <v>215</v>
      </c>
      <c r="FR191" s="14" t="s">
        <v>6244</v>
      </c>
    </row>
    <row r="192" ht="15.75" customHeight="1">
      <c r="A192" s="12" t="s">
        <v>357</v>
      </c>
      <c r="B192" s="12" t="s">
        <v>6179</v>
      </c>
      <c r="C192" s="24" t="s">
        <v>512</v>
      </c>
      <c r="D192" s="22" t="s">
        <v>6245</v>
      </c>
      <c r="E192" s="22" t="s">
        <v>6246</v>
      </c>
      <c r="F192" s="13" t="s">
        <v>178</v>
      </c>
      <c r="G192" s="14" t="s">
        <v>179</v>
      </c>
      <c r="H192" s="14" t="s">
        <v>6247</v>
      </c>
      <c r="I192" s="14" t="s">
        <v>179</v>
      </c>
      <c r="J192" s="14" t="s">
        <v>6248</v>
      </c>
      <c r="K192" s="14" t="s">
        <v>179</v>
      </c>
      <c r="L192" s="14" t="s">
        <v>6249</v>
      </c>
      <c r="M192" s="14" t="s">
        <v>179</v>
      </c>
      <c r="N192" s="14" t="s">
        <v>6250</v>
      </c>
      <c r="O192" s="14" t="s">
        <v>179</v>
      </c>
      <c r="P192" s="14" t="s">
        <v>6251</v>
      </c>
      <c r="Q192" s="14" t="s">
        <v>179</v>
      </c>
      <c r="R192" s="14" t="s">
        <v>6252</v>
      </c>
      <c r="S192" s="14" t="s">
        <v>179</v>
      </c>
      <c r="T192" s="14" t="s">
        <v>6253</v>
      </c>
      <c r="U192" s="14" t="s">
        <v>179</v>
      </c>
      <c r="V192" s="14" t="s">
        <v>6254</v>
      </c>
      <c r="W192" s="14" t="s">
        <v>179</v>
      </c>
      <c r="X192" s="14" t="s">
        <v>6255</v>
      </c>
      <c r="Y192" s="14" t="s">
        <v>179</v>
      </c>
      <c r="Z192" s="14" t="s">
        <v>6256</v>
      </c>
      <c r="AA192" s="14" t="s">
        <v>179</v>
      </c>
      <c r="AB192" s="14" t="s">
        <v>6257</v>
      </c>
      <c r="AC192" s="14" t="s">
        <v>179</v>
      </c>
      <c r="AD192" s="14" t="s">
        <v>6258</v>
      </c>
      <c r="AE192" s="14" t="s">
        <v>179</v>
      </c>
      <c r="AF192" s="14" t="s">
        <v>6259</v>
      </c>
      <c r="AG192" s="14" t="s">
        <v>179</v>
      </c>
      <c r="AH192" s="14" t="s">
        <v>6260</v>
      </c>
      <c r="AI192" s="14" t="s">
        <v>179</v>
      </c>
      <c r="AJ192" s="14" t="s">
        <v>6261</v>
      </c>
      <c r="AK192" s="14" t="s">
        <v>179</v>
      </c>
      <c r="AL192" s="14" t="s">
        <v>6262</v>
      </c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6" t="s">
        <v>197</v>
      </c>
      <c r="BP192" s="17" t="s">
        <v>198</v>
      </c>
      <c r="BQ192" s="18">
        <v>45687.57292824074</v>
      </c>
      <c r="BR192" s="17" t="s">
        <v>198</v>
      </c>
      <c r="BS192" s="18">
        <v>45687.573067129626</v>
      </c>
      <c r="BT192" s="17" t="s">
        <v>198</v>
      </c>
      <c r="BU192" s="18">
        <v>45687.573067129626</v>
      </c>
      <c r="BV192" s="13" t="s">
        <v>199</v>
      </c>
      <c r="BW192" s="14" t="s">
        <v>179</v>
      </c>
      <c r="BX192" s="14" t="s">
        <v>6263</v>
      </c>
      <c r="BY192" s="14" t="s">
        <v>179</v>
      </c>
      <c r="BZ192" s="14" t="s">
        <v>6264</v>
      </c>
      <c r="CA192" s="14" t="s">
        <v>179</v>
      </c>
      <c r="CB192" s="14" t="s">
        <v>6265</v>
      </c>
      <c r="CC192" s="14" t="s">
        <v>179</v>
      </c>
      <c r="CD192" s="14" t="s">
        <v>6266</v>
      </c>
      <c r="CE192" s="14" t="s">
        <v>179</v>
      </c>
      <c r="CF192" s="14" t="s">
        <v>6267</v>
      </c>
      <c r="CG192" s="14" t="s">
        <v>179</v>
      </c>
      <c r="CH192" s="14" t="s">
        <v>6268</v>
      </c>
      <c r="CI192" s="19"/>
      <c r="CJ192" s="15"/>
      <c r="CK192" s="19"/>
      <c r="CL192" s="15"/>
      <c r="CM192" s="19"/>
      <c r="CN192" s="15"/>
      <c r="CO192" s="19"/>
      <c r="CP192" s="15"/>
      <c r="CQ192" s="15"/>
      <c r="CR192" s="15"/>
      <c r="CS192" s="19"/>
      <c r="CT192" s="15"/>
      <c r="CU192" s="19"/>
      <c r="CV192" s="15"/>
      <c r="CW192" s="19"/>
      <c r="CX192" s="15"/>
      <c r="CY192" s="19"/>
      <c r="CZ192" s="15"/>
      <c r="DA192" s="16" t="s">
        <v>197</v>
      </c>
      <c r="DB192" s="17" t="s">
        <v>198</v>
      </c>
      <c r="DC192" s="20">
        <v>45713.38964120371</v>
      </c>
      <c r="DD192" s="17" t="s">
        <v>198</v>
      </c>
      <c r="DE192" s="18">
        <v>45713.389756944445</v>
      </c>
      <c r="DF192" s="17" t="s">
        <v>198</v>
      </c>
      <c r="DG192" s="18">
        <v>45713.389756944445</v>
      </c>
      <c r="DH192" s="13" t="s">
        <v>205</v>
      </c>
      <c r="DI192" s="14" t="s">
        <v>179</v>
      </c>
      <c r="DJ192" s="14" t="s">
        <v>6269</v>
      </c>
      <c r="DK192" s="14" t="s">
        <v>179</v>
      </c>
      <c r="DL192" s="14" t="s">
        <v>6270</v>
      </c>
      <c r="DM192" s="14" t="s">
        <v>179</v>
      </c>
      <c r="DN192" s="14" t="s">
        <v>6271</v>
      </c>
      <c r="DO192" s="14" t="s">
        <v>179</v>
      </c>
      <c r="DP192" s="14" t="s">
        <v>6272</v>
      </c>
      <c r="DQ192" s="15"/>
      <c r="DR192" s="15"/>
      <c r="DS192" s="15"/>
      <c r="DT192" s="15"/>
      <c r="DU192" s="15"/>
      <c r="DV192" s="15"/>
      <c r="DW192" s="15"/>
      <c r="DX192" s="15"/>
      <c r="DY192" s="15"/>
      <c r="DZ192" s="15"/>
      <c r="EA192" s="15"/>
      <c r="EB192" s="15"/>
      <c r="EC192" s="16" t="s">
        <v>197</v>
      </c>
      <c r="ED192" s="17" t="s">
        <v>198</v>
      </c>
      <c r="EE192" s="18">
        <v>45713.389918981484</v>
      </c>
      <c r="EF192" s="13" t="s">
        <v>209</v>
      </c>
      <c r="EG192" s="14" t="s">
        <v>179</v>
      </c>
      <c r="EH192" s="14" t="s">
        <v>6273</v>
      </c>
      <c r="EI192" s="14" t="s">
        <v>179</v>
      </c>
      <c r="EJ192" s="14" t="s">
        <v>6273</v>
      </c>
      <c r="EK192" s="14" t="s">
        <v>179</v>
      </c>
      <c r="EL192" s="14" t="s">
        <v>6274</v>
      </c>
      <c r="EM192" s="14" t="s">
        <v>179</v>
      </c>
      <c r="EN192" s="14" t="s">
        <v>6275</v>
      </c>
      <c r="EO192" s="15"/>
      <c r="EP192" s="15"/>
      <c r="EQ192" s="15"/>
      <c r="ER192" s="15"/>
      <c r="ES192" s="15"/>
      <c r="ET192" s="15"/>
      <c r="EU192" s="15"/>
      <c r="EV192" s="15"/>
      <c r="EW192" s="15"/>
      <c r="EX192" s="15"/>
      <c r="EY192" s="15"/>
      <c r="EZ192" s="15"/>
      <c r="FA192" s="15"/>
      <c r="FB192" s="15"/>
      <c r="FC192" s="16" t="s">
        <v>197</v>
      </c>
      <c r="FD192" s="17" t="s">
        <v>198</v>
      </c>
      <c r="FE192" s="18">
        <v>45723.49034722222</v>
      </c>
      <c r="FF192" s="19"/>
      <c r="FG192" s="19"/>
      <c r="FH192" s="21" t="s">
        <v>197</v>
      </c>
      <c r="FI192" s="17" t="s">
        <v>214</v>
      </c>
      <c r="FJ192" s="18">
        <v>45723.49034722222</v>
      </c>
      <c r="FK192" s="14" t="s">
        <v>6275</v>
      </c>
      <c r="FL192" s="19"/>
      <c r="FM192" s="19"/>
      <c r="FN192" s="19"/>
      <c r="FO192" s="19"/>
      <c r="FP192" s="19" t="str">
        <f t="shared" si="1"/>
        <v/>
      </c>
      <c r="FQ192" s="14" t="s">
        <v>215</v>
      </c>
      <c r="FR192" s="14" t="s">
        <v>6276</v>
      </c>
    </row>
    <row r="193" ht="15.75" customHeight="1">
      <c r="A193" s="12" t="s">
        <v>357</v>
      </c>
      <c r="B193" s="12" t="s">
        <v>6277</v>
      </c>
      <c r="C193" s="24" t="s">
        <v>512</v>
      </c>
      <c r="D193" s="22" t="s">
        <v>6278</v>
      </c>
      <c r="E193" s="22" t="s">
        <v>6279</v>
      </c>
      <c r="F193" s="13" t="s">
        <v>178</v>
      </c>
      <c r="G193" s="14" t="s">
        <v>179</v>
      </c>
      <c r="H193" s="14" t="s">
        <v>6280</v>
      </c>
      <c r="I193" s="14" t="s">
        <v>179</v>
      </c>
      <c r="J193" s="14" t="s">
        <v>6281</v>
      </c>
      <c r="K193" s="14" t="s">
        <v>179</v>
      </c>
      <c r="L193" s="14" t="s">
        <v>6282</v>
      </c>
      <c r="M193" s="14" t="s">
        <v>179</v>
      </c>
      <c r="N193" s="14" t="s">
        <v>6283</v>
      </c>
      <c r="O193" s="14" t="s">
        <v>179</v>
      </c>
      <c r="P193" s="14" t="s">
        <v>6284</v>
      </c>
      <c r="Q193" s="14" t="s">
        <v>179</v>
      </c>
      <c r="R193" s="14" t="s">
        <v>6285</v>
      </c>
      <c r="S193" s="14" t="s">
        <v>179</v>
      </c>
      <c r="T193" s="14" t="s">
        <v>6286</v>
      </c>
      <c r="U193" s="14" t="s">
        <v>179</v>
      </c>
      <c r="V193" s="14" t="s">
        <v>6287</v>
      </c>
      <c r="W193" s="14" t="s">
        <v>179</v>
      </c>
      <c r="X193" s="14" t="s">
        <v>6288</v>
      </c>
      <c r="Y193" s="14" t="s">
        <v>179</v>
      </c>
      <c r="Z193" s="14" t="s">
        <v>6289</v>
      </c>
      <c r="AA193" s="14" t="s">
        <v>179</v>
      </c>
      <c r="AB193" s="14" t="s">
        <v>6290</v>
      </c>
      <c r="AC193" s="14" t="s">
        <v>179</v>
      </c>
      <c r="AD193" s="14" t="s">
        <v>6291</v>
      </c>
      <c r="AE193" s="14" t="s">
        <v>179</v>
      </c>
      <c r="AF193" s="14" t="s">
        <v>6292</v>
      </c>
      <c r="AG193" s="14" t="s">
        <v>179</v>
      </c>
      <c r="AH193" s="14" t="s">
        <v>6293</v>
      </c>
      <c r="AI193" s="14" t="s">
        <v>179</v>
      </c>
      <c r="AJ193" s="14" t="s">
        <v>6294</v>
      </c>
      <c r="AK193" s="14" t="s">
        <v>179</v>
      </c>
      <c r="AL193" s="14" t="s">
        <v>6295</v>
      </c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6" t="s">
        <v>197</v>
      </c>
      <c r="BP193" s="17" t="s">
        <v>198</v>
      </c>
      <c r="BQ193" s="18">
        <v>45687.56916666667</v>
      </c>
      <c r="BR193" s="17" t="s">
        <v>198</v>
      </c>
      <c r="BS193" s="18">
        <v>45687.57005787037</v>
      </c>
      <c r="BT193" s="17" t="s">
        <v>198</v>
      </c>
      <c r="BU193" s="18">
        <v>45687.57005787037</v>
      </c>
      <c r="BV193" s="13" t="s">
        <v>199</v>
      </c>
      <c r="BW193" s="14" t="s">
        <v>179</v>
      </c>
      <c r="BX193" s="14" t="s">
        <v>6296</v>
      </c>
      <c r="BY193" s="14" t="s">
        <v>179</v>
      </c>
      <c r="BZ193" s="14" t="s">
        <v>6297</v>
      </c>
      <c r="CA193" s="14" t="s">
        <v>179</v>
      </c>
      <c r="CB193" s="14" t="s">
        <v>6298</v>
      </c>
      <c r="CC193" s="14" t="s">
        <v>179</v>
      </c>
      <c r="CD193" s="14" t="s">
        <v>6299</v>
      </c>
      <c r="CE193" s="14" t="s">
        <v>179</v>
      </c>
      <c r="CF193" s="14" t="s">
        <v>6299</v>
      </c>
      <c r="CG193" s="14" t="s">
        <v>179</v>
      </c>
      <c r="CH193" s="14" t="s">
        <v>6300</v>
      </c>
      <c r="CI193" s="19"/>
      <c r="CJ193" s="15"/>
      <c r="CK193" s="19"/>
      <c r="CL193" s="15"/>
      <c r="CM193" s="19"/>
      <c r="CN193" s="15"/>
      <c r="CO193" s="19"/>
      <c r="CP193" s="15"/>
      <c r="CQ193" s="15"/>
      <c r="CR193" s="15"/>
      <c r="CS193" s="19"/>
      <c r="CT193" s="15"/>
      <c r="CU193" s="19"/>
      <c r="CV193" s="15"/>
      <c r="CW193" s="19"/>
      <c r="CX193" s="15"/>
      <c r="CY193" s="19"/>
      <c r="CZ193" s="15"/>
      <c r="DA193" s="16" t="s">
        <v>197</v>
      </c>
      <c r="DB193" s="17" t="s">
        <v>198</v>
      </c>
      <c r="DC193" s="20">
        <v>45713.38820601852</v>
      </c>
      <c r="DD193" s="17" t="s">
        <v>198</v>
      </c>
      <c r="DE193" s="18">
        <v>45713.38829861111</v>
      </c>
      <c r="DF193" s="17" t="s">
        <v>198</v>
      </c>
      <c r="DG193" s="18">
        <v>45713.38829861111</v>
      </c>
      <c r="DH193" s="13" t="s">
        <v>205</v>
      </c>
      <c r="DI193" s="14" t="s">
        <v>179</v>
      </c>
      <c r="DJ193" s="14" t="s">
        <v>6301</v>
      </c>
      <c r="DK193" s="14" t="s">
        <v>179</v>
      </c>
      <c r="DL193" s="14" t="s">
        <v>6302</v>
      </c>
      <c r="DM193" s="14" t="s">
        <v>179</v>
      </c>
      <c r="DN193" s="14" t="s">
        <v>6303</v>
      </c>
      <c r="DO193" s="14" t="s">
        <v>179</v>
      </c>
      <c r="DP193" s="14" t="s">
        <v>6304</v>
      </c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6" t="s">
        <v>197</v>
      </c>
      <c r="ED193" s="17" t="s">
        <v>198</v>
      </c>
      <c r="EE193" s="18">
        <v>45713.38842592593</v>
      </c>
      <c r="EF193" s="13" t="s">
        <v>209</v>
      </c>
      <c r="EG193" s="14" t="s">
        <v>179</v>
      </c>
      <c r="EH193" s="14" t="s">
        <v>6305</v>
      </c>
      <c r="EI193" s="14" t="s">
        <v>179</v>
      </c>
      <c r="EJ193" s="14" t="s">
        <v>6306</v>
      </c>
      <c r="EK193" s="14" t="s">
        <v>179</v>
      </c>
      <c r="EL193" s="14" t="s">
        <v>6307</v>
      </c>
      <c r="EM193" s="14" t="s">
        <v>179</v>
      </c>
      <c r="EN193" s="14" t="s">
        <v>6308</v>
      </c>
      <c r="EO193" s="15"/>
      <c r="EP193" s="15"/>
      <c r="EQ193" s="15"/>
      <c r="ER193" s="15"/>
      <c r="ES193" s="15"/>
      <c r="ET193" s="15"/>
      <c r="EU193" s="15"/>
      <c r="EV193" s="15"/>
      <c r="EW193" s="15"/>
      <c r="EX193" s="15"/>
      <c r="EY193" s="15"/>
      <c r="EZ193" s="15"/>
      <c r="FA193" s="15"/>
      <c r="FB193" s="15"/>
      <c r="FC193" s="16" t="s">
        <v>197</v>
      </c>
      <c r="FD193" s="17" t="s">
        <v>198</v>
      </c>
      <c r="FE193" s="18">
        <v>45723.49050925926</v>
      </c>
      <c r="FF193" s="19"/>
      <c r="FG193" s="19"/>
      <c r="FH193" s="21" t="s">
        <v>197</v>
      </c>
      <c r="FI193" s="17" t="s">
        <v>214</v>
      </c>
      <c r="FJ193" s="18">
        <v>45723.49050925926</v>
      </c>
      <c r="FK193" s="14" t="s">
        <v>6305</v>
      </c>
      <c r="FL193" s="14" t="s">
        <v>6309</v>
      </c>
      <c r="FM193" s="14" t="s">
        <v>6310</v>
      </c>
      <c r="FN193" s="14" t="s">
        <v>6311</v>
      </c>
      <c r="FO193" s="14" t="s">
        <v>6312</v>
      </c>
      <c r="FP193" s="19" t="str">
        <f t="shared" si="1"/>
        <v>Base de Dados_Images/BC9806.Imagem do Equipamento-.172444.jpg</v>
      </c>
      <c r="FQ193" s="14"/>
      <c r="FR193" s="14"/>
    </row>
    <row r="194" ht="15.75" customHeight="1">
      <c r="A194" s="12" t="s">
        <v>357</v>
      </c>
      <c r="B194" s="12" t="s">
        <v>6313</v>
      </c>
      <c r="C194" s="24" t="s">
        <v>512</v>
      </c>
      <c r="D194" s="22" t="s">
        <v>6314</v>
      </c>
      <c r="E194" s="22" t="s">
        <v>6315</v>
      </c>
      <c r="F194" s="13" t="s">
        <v>178</v>
      </c>
      <c r="G194" s="14" t="s">
        <v>179</v>
      </c>
      <c r="H194" s="14" t="s">
        <v>6316</v>
      </c>
      <c r="I194" s="14" t="s">
        <v>179</v>
      </c>
      <c r="J194" s="14" t="s">
        <v>6317</v>
      </c>
      <c r="K194" s="14" t="s">
        <v>179</v>
      </c>
      <c r="L194" s="14" t="s">
        <v>6318</v>
      </c>
      <c r="M194" s="14" t="s">
        <v>179</v>
      </c>
      <c r="N194" s="14" t="s">
        <v>6319</v>
      </c>
      <c r="O194" s="14" t="s">
        <v>179</v>
      </c>
      <c r="P194" s="14" t="s">
        <v>6319</v>
      </c>
      <c r="Q194" s="14" t="s">
        <v>179</v>
      </c>
      <c r="R194" s="14" t="s">
        <v>6320</v>
      </c>
      <c r="S194" s="14" t="s">
        <v>179</v>
      </c>
      <c r="T194" s="14" t="s">
        <v>6320</v>
      </c>
      <c r="U194" s="14" t="s">
        <v>179</v>
      </c>
      <c r="V194" s="14" t="s">
        <v>6321</v>
      </c>
      <c r="W194" s="14" t="s">
        <v>179</v>
      </c>
      <c r="X194" s="14" t="s">
        <v>6322</v>
      </c>
      <c r="Y194" s="14" t="s">
        <v>179</v>
      </c>
      <c r="Z194" s="14" t="s">
        <v>6323</v>
      </c>
      <c r="AA194" s="14" t="s">
        <v>179</v>
      </c>
      <c r="AB194" s="14" t="s">
        <v>6324</v>
      </c>
      <c r="AC194" s="14" t="s">
        <v>179</v>
      </c>
      <c r="AD194" s="14" t="s">
        <v>6325</v>
      </c>
      <c r="AE194" s="14" t="s">
        <v>179</v>
      </c>
      <c r="AF194" s="14" t="s">
        <v>6326</v>
      </c>
      <c r="AG194" s="14" t="s">
        <v>179</v>
      </c>
      <c r="AH194" s="14" t="s">
        <v>6327</v>
      </c>
      <c r="AI194" s="14" t="s">
        <v>179</v>
      </c>
      <c r="AJ194" s="14" t="s">
        <v>6328</v>
      </c>
      <c r="AK194" s="14" t="s">
        <v>179</v>
      </c>
      <c r="AL194" s="14" t="s">
        <v>6329</v>
      </c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6" t="s">
        <v>197</v>
      </c>
      <c r="BP194" s="17" t="s">
        <v>198</v>
      </c>
      <c r="BQ194" s="18">
        <v>45713.32393518519</v>
      </c>
      <c r="BR194" s="17" t="s">
        <v>198</v>
      </c>
      <c r="BS194" s="18">
        <v>45713.32400462963</v>
      </c>
      <c r="BT194" s="17" t="s">
        <v>198</v>
      </c>
      <c r="BU194" s="18">
        <v>45713.32400462963</v>
      </c>
      <c r="BV194" s="13" t="s">
        <v>199</v>
      </c>
      <c r="BW194" s="14" t="s">
        <v>179</v>
      </c>
      <c r="BX194" s="14" t="s">
        <v>6330</v>
      </c>
      <c r="BY194" s="14" t="s">
        <v>179</v>
      </c>
      <c r="BZ194" s="14" t="s">
        <v>6331</v>
      </c>
      <c r="CA194" s="14" t="s">
        <v>179</v>
      </c>
      <c r="CB194" s="14" t="s">
        <v>6332</v>
      </c>
      <c r="CC194" s="14" t="s">
        <v>179</v>
      </c>
      <c r="CD194" s="14" t="s">
        <v>6333</v>
      </c>
      <c r="CE194" s="14" t="s">
        <v>179</v>
      </c>
      <c r="CF194" s="14" t="s">
        <v>6334</v>
      </c>
      <c r="CG194" s="14" t="s">
        <v>179</v>
      </c>
      <c r="CH194" s="14" t="s">
        <v>6335</v>
      </c>
      <c r="CI194" s="19"/>
      <c r="CJ194" s="15"/>
      <c r="CK194" s="19"/>
      <c r="CL194" s="15"/>
      <c r="CM194" s="19"/>
      <c r="CN194" s="15"/>
      <c r="CO194" s="19"/>
      <c r="CP194" s="15"/>
      <c r="CQ194" s="15"/>
      <c r="CR194" s="15"/>
      <c r="CS194" s="19"/>
      <c r="CT194" s="15"/>
      <c r="CU194" s="19"/>
      <c r="CV194" s="15"/>
      <c r="CW194" s="19"/>
      <c r="CX194" s="15"/>
      <c r="CY194" s="19"/>
      <c r="CZ194" s="15"/>
      <c r="DA194" s="16" t="s">
        <v>197</v>
      </c>
      <c r="DB194" s="17" t="s">
        <v>198</v>
      </c>
      <c r="DC194" s="20">
        <v>45713.32407407407</v>
      </c>
      <c r="DD194" s="17" t="s">
        <v>198</v>
      </c>
      <c r="DE194" s="18">
        <v>45713.324108796296</v>
      </c>
      <c r="DF194" s="17" t="s">
        <v>198</v>
      </c>
      <c r="DG194" s="18">
        <v>45713.324108796296</v>
      </c>
      <c r="DH194" s="13" t="s">
        <v>205</v>
      </c>
      <c r="DI194" s="14" t="s">
        <v>179</v>
      </c>
      <c r="DJ194" s="14" t="s">
        <v>6336</v>
      </c>
      <c r="DK194" s="14" t="s">
        <v>179</v>
      </c>
      <c r="DL194" s="14" t="s">
        <v>6337</v>
      </c>
      <c r="DM194" s="14" t="s">
        <v>179</v>
      </c>
      <c r="DN194" s="14" t="s">
        <v>6338</v>
      </c>
      <c r="DO194" s="14" t="s">
        <v>179</v>
      </c>
      <c r="DP194" s="14" t="s">
        <v>6339</v>
      </c>
      <c r="DQ194" s="15"/>
      <c r="DR194" s="15"/>
      <c r="DS194" s="15"/>
      <c r="DT194" s="15"/>
      <c r="DU194" s="15"/>
      <c r="DV194" s="15"/>
      <c r="DW194" s="15"/>
      <c r="DX194" s="15"/>
      <c r="DY194" s="15"/>
      <c r="DZ194" s="15"/>
      <c r="EA194" s="15"/>
      <c r="EB194" s="15"/>
      <c r="EC194" s="16" t="s">
        <v>197</v>
      </c>
      <c r="ED194" s="17" t="s">
        <v>198</v>
      </c>
      <c r="EE194" s="18">
        <v>45713.32417824074</v>
      </c>
      <c r="EF194" s="13" t="s">
        <v>209</v>
      </c>
      <c r="EG194" s="14" t="s">
        <v>179</v>
      </c>
      <c r="EH194" s="14" t="s">
        <v>6340</v>
      </c>
      <c r="EI194" s="14" t="s">
        <v>179</v>
      </c>
      <c r="EJ194" s="14" t="s">
        <v>6341</v>
      </c>
      <c r="EK194" s="14" t="s">
        <v>179</v>
      </c>
      <c r="EL194" s="14" t="s">
        <v>6342</v>
      </c>
      <c r="EM194" s="14" t="s">
        <v>179</v>
      </c>
      <c r="EN194" s="14" t="s">
        <v>6343</v>
      </c>
      <c r="EO194" s="15"/>
      <c r="EP194" s="15"/>
      <c r="EQ194" s="15"/>
      <c r="ER194" s="15"/>
      <c r="ES194" s="15"/>
      <c r="ET194" s="15"/>
      <c r="EU194" s="15"/>
      <c r="EV194" s="15"/>
      <c r="EW194" s="15"/>
      <c r="EX194" s="15"/>
      <c r="EY194" s="15"/>
      <c r="EZ194" s="15"/>
      <c r="FA194" s="15"/>
      <c r="FB194" s="15"/>
      <c r="FC194" s="16" t="s">
        <v>197</v>
      </c>
      <c r="FD194" s="17" t="s">
        <v>198</v>
      </c>
      <c r="FE194" s="18">
        <v>45713.380266203705</v>
      </c>
      <c r="FF194" s="19"/>
      <c r="FG194" s="19"/>
      <c r="FH194" s="21" t="s">
        <v>197</v>
      </c>
      <c r="FI194" s="17" t="s">
        <v>214</v>
      </c>
      <c r="FJ194" s="18">
        <v>45713.380266203705</v>
      </c>
      <c r="FK194" s="14" t="s">
        <v>6343</v>
      </c>
      <c r="FL194" s="19"/>
      <c r="FM194" s="19"/>
      <c r="FN194" s="19"/>
      <c r="FO194" s="19"/>
      <c r="FP194" s="19" t="str">
        <f t="shared" si="1"/>
        <v/>
      </c>
      <c r="FQ194" s="14" t="s">
        <v>215</v>
      </c>
      <c r="FR194" s="14" t="s">
        <v>6344</v>
      </c>
    </row>
    <row r="195" ht="15.75" customHeight="1">
      <c r="A195" s="12" t="s">
        <v>357</v>
      </c>
      <c r="B195" s="12" t="s">
        <v>6313</v>
      </c>
      <c r="C195" s="24" t="s">
        <v>512</v>
      </c>
      <c r="D195" s="22" t="s">
        <v>6345</v>
      </c>
      <c r="E195" s="22" t="s">
        <v>6346</v>
      </c>
      <c r="F195" s="13" t="s">
        <v>178</v>
      </c>
      <c r="G195" s="14" t="s">
        <v>179</v>
      </c>
      <c r="H195" s="14" t="s">
        <v>6347</v>
      </c>
      <c r="I195" s="14" t="s">
        <v>179</v>
      </c>
      <c r="J195" s="14" t="s">
        <v>6348</v>
      </c>
      <c r="K195" s="14" t="s">
        <v>179</v>
      </c>
      <c r="L195" s="14" t="s">
        <v>6349</v>
      </c>
      <c r="M195" s="14" t="s">
        <v>179</v>
      </c>
      <c r="N195" s="14" t="s">
        <v>6350</v>
      </c>
      <c r="O195" s="14" t="s">
        <v>179</v>
      </c>
      <c r="P195" s="14" t="s">
        <v>6351</v>
      </c>
      <c r="Q195" s="14" t="s">
        <v>179</v>
      </c>
      <c r="R195" s="14" t="s">
        <v>6352</v>
      </c>
      <c r="S195" s="14" t="s">
        <v>179</v>
      </c>
      <c r="T195" s="14" t="s">
        <v>6353</v>
      </c>
      <c r="U195" s="14" t="s">
        <v>179</v>
      </c>
      <c r="V195" s="14" t="s">
        <v>6354</v>
      </c>
      <c r="W195" s="14" t="s">
        <v>179</v>
      </c>
      <c r="X195" s="14" t="s">
        <v>6355</v>
      </c>
      <c r="Y195" s="14" t="s">
        <v>179</v>
      </c>
      <c r="Z195" s="14" t="s">
        <v>6356</v>
      </c>
      <c r="AA195" s="14" t="s">
        <v>179</v>
      </c>
      <c r="AB195" s="14" t="s">
        <v>6357</v>
      </c>
      <c r="AC195" s="14" t="s">
        <v>179</v>
      </c>
      <c r="AD195" s="14" t="s">
        <v>6358</v>
      </c>
      <c r="AE195" s="14" t="s">
        <v>179</v>
      </c>
      <c r="AF195" s="14" t="s">
        <v>6359</v>
      </c>
      <c r="AG195" s="14" t="s">
        <v>179</v>
      </c>
      <c r="AH195" s="14" t="s">
        <v>6360</v>
      </c>
      <c r="AI195" s="14" t="s">
        <v>179</v>
      </c>
      <c r="AJ195" s="14" t="s">
        <v>6361</v>
      </c>
      <c r="AK195" s="14" t="s">
        <v>179</v>
      </c>
      <c r="AL195" s="14" t="s">
        <v>6362</v>
      </c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6" t="s">
        <v>197</v>
      </c>
      <c r="BP195" s="17" t="s">
        <v>198</v>
      </c>
      <c r="BQ195" s="18">
        <v>45681.464791666665</v>
      </c>
      <c r="BR195" s="17" t="s">
        <v>198</v>
      </c>
      <c r="BS195" s="18">
        <v>45681.46488425926</v>
      </c>
      <c r="BT195" s="17" t="s">
        <v>198</v>
      </c>
      <c r="BU195" s="18">
        <v>45681.46488425926</v>
      </c>
      <c r="BV195" s="13" t="s">
        <v>199</v>
      </c>
      <c r="BW195" s="14" t="s">
        <v>179</v>
      </c>
      <c r="BX195" s="14" t="s">
        <v>6363</v>
      </c>
      <c r="BY195" s="14" t="s">
        <v>179</v>
      </c>
      <c r="BZ195" s="14" t="s">
        <v>6364</v>
      </c>
      <c r="CA195" s="14" t="s">
        <v>179</v>
      </c>
      <c r="CB195" s="14" t="s">
        <v>6365</v>
      </c>
      <c r="CC195" s="14" t="s">
        <v>179</v>
      </c>
      <c r="CD195" s="14" t="s">
        <v>6366</v>
      </c>
      <c r="CE195" s="14" t="s">
        <v>179</v>
      </c>
      <c r="CF195" s="14" t="s">
        <v>6367</v>
      </c>
      <c r="CG195" s="14" t="s">
        <v>179</v>
      </c>
      <c r="CH195" s="14" t="s">
        <v>6368</v>
      </c>
      <c r="CI195" s="19"/>
      <c r="CJ195" s="15"/>
      <c r="CK195" s="19"/>
      <c r="CL195" s="15"/>
      <c r="CM195" s="19"/>
      <c r="CN195" s="15"/>
      <c r="CO195" s="19"/>
      <c r="CP195" s="15"/>
      <c r="CQ195" s="15"/>
      <c r="CR195" s="15"/>
      <c r="CS195" s="19"/>
      <c r="CT195" s="15"/>
      <c r="CU195" s="19"/>
      <c r="CV195" s="15"/>
      <c r="CW195" s="19"/>
      <c r="CX195" s="15"/>
      <c r="CY195" s="19"/>
      <c r="CZ195" s="15"/>
      <c r="DA195" s="16" t="s">
        <v>197</v>
      </c>
      <c r="DB195" s="17" t="s">
        <v>198</v>
      </c>
      <c r="DC195" s="20">
        <v>45709.47009259259</v>
      </c>
      <c r="DD195" s="17" t="s">
        <v>198</v>
      </c>
      <c r="DE195" s="18">
        <v>45709.47017361111</v>
      </c>
      <c r="DF195" s="17" t="s">
        <v>198</v>
      </c>
      <c r="DG195" s="18">
        <v>45709.47017361111</v>
      </c>
      <c r="DH195" s="13" t="s">
        <v>205</v>
      </c>
      <c r="DI195" s="14" t="s">
        <v>179</v>
      </c>
      <c r="DJ195" s="14" t="s">
        <v>6369</v>
      </c>
      <c r="DK195" s="14" t="s">
        <v>179</v>
      </c>
      <c r="DL195" s="14" t="s">
        <v>6370</v>
      </c>
      <c r="DM195" s="14" t="s">
        <v>179</v>
      </c>
      <c r="DN195" s="14" t="s">
        <v>6371</v>
      </c>
      <c r="DO195" s="14" t="s">
        <v>179</v>
      </c>
      <c r="DP195" s="14" t="s">
        <v>6372</v>
      </c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6" t="s">
        <v>197</v>
      </c>
      <c r="ED195" s="17" t="s">
        <v>198</v>
      </c>
      <c r="EE195" s="18">
        <v>45709.471597222226</v>
      </c>
      <c r="EF195" s="13" t="s">
        <v>209</v>
      </c>
      <c r="EG195" s="14" t="s">
        <v>179</v>
      </c>
      <c r="EH195" s="14" t="s">
        <v>6373</v>
      </c>
      <c r="EI195" s="14" t="s">
        <v>179</v>
      </c>
      <c r="EJ195" s="14" t="s">
        <v>6374</v>
      </c>
      <c r="EK195" s="14" t="s">
        <v>179</v>
      </c>
      <c r="EL195" s="14" t="s">
        <v>6375</v>
      </c>
      <c r="EM195" s="14" t="s">
        <v>179</v>
      </c>
      <c r="EN195" s="14" t="s">
        <v>6376</v>
      </c>
      <c r="EO195" s="15"/>
      <c r="EP195" s="15"/>
      <c r="EQ195" s="15"/>
      <c r="ER195" s="15"/>
      <c r="ES195" s="15"/>
      <c r="ET195" s="15"/>
      <c r="EU195" s="15"/>
      <c r="EV195" s="15"/>
      <c r="EW195" s="15"/>
      <c r="EX195" s="15"/>
      <c r="EY195" s="15"/>
      <c r="EZ195" s="15"/>
      <c r="FA195" s="15"/>
      <c r="FB195" s="15"/>
      <c r="FC195" s="16" t="s">
        <v>197</v>
      </c>
      <c r="FD195" s="17" t="s">
        <v>198</v>
      </c>
      <c r="FE195" s="18">
        <v>45713.380520833336</v>
      </c>
      <c r="FF195" s="19"/>
      <c r="FG195" s="19"/>
      <c r="FH195" s="21" t="s">
        <v>197</v>
      </c>
      <c r="FI195" s="17" t="s">
        <v>214</v>
      </c>
      <c r="FJ195" s="18">
        <v>45713.380520833336</v>
      </c>
      <c r="FK195" s="14" t="s">
        <v>6376</v>
      </c>
      <c r="FL195" s="14" t="s">
        <v>6377</v>
      </c>
      <c r="FM195" s="14" t="s">
        <v>6378</v>
      </c>
      <c r="FN195" s="14" t="s">
        <v>6379</v>
      </c>
      <c r="FO195" s="14" t="s">
        <v>6380</v>
      </c>
      <c r="FP195" s="19" t="str">
        <f t="shared" si="1"/>
        <v>Base de Dados_Images/BC9808.Imagem do Equipamento-.145011.jpg</v>
      </c>
      <c r="FQ195" s="19"/>
      <c r="FR195" s="19"/>
    </row>
    <row r="196" ht="15.75" customHeight="1">
      <c r="A196" s="12" t="s">
        <v>357</v>
      </c>
      <c r="B196" s="12" t="s">
        <v>6313</v>
      </c>
      <c r="C196" s="24" t="s">
        <v>512</v>
      </c>
      <c r="D196" s="22" t="s">
        <v>6381</v>
      </c>
      <c r="E196" s="22" t="s">
        <v>6382</v>
      </c>
      <c r="F196" s="13" t="s">
        <v>178</v>
      </c>
      <c r="G196" s="14" t="s">
        <v>179</v>
      </c>
      <c r="H196" s="14" t="s">
        <v>6383</v>
      </c>
      <c r="I196" s="14" t="s">
        <v>179</v>
      </c>
      <c r="J196" s="14" t="s">
        <v>6384</v>
      </c>
      <c r="K196" s="14" t="s">
        <v>179</v>
      </c>
      <c r="L196" s="14" t="s">
        <v>6385</v>
      </c>
      <c r="M196" s="14" t="s">
        <v>179</v>
      </c>
      <c r="N196" s="14" t="s">
        <v>6386</v>
      </c>
      <c r="O196" s="14" t="s">
        <v>179</v>
      </c>
      <c r="P196" s="14" t="s">
        <v>6387</v>
      </c>
      <c r="Q196" s="14" t="s">
        <v>179</v>
      </c>
      <c r="R196" s="14" t="s">
        <v>6388</v>
      </c>
      <c r="S196" s="14" t="s">
        <v>179</v>
      </c>
      <c r="T196" s="14" t="s">
        <v>6389</v>
      </c>
      <c r="U196" s="14" t="s">
        <v>179</v>
      </c>
      <c r="V196" s="14" t="s">
        <v>6390</v>
      </c>
      <c r="W196" s="14" t="s">
        <v>179</v>
      </c>
      <c r="X196" s="14" t="s">
        <v>6391</v>
      </c>
      <c r="Y196" s="14" t="s">
        <v>179</v>
      </c>
      <c r="Z196" s="14" t="s">
        <v>6392</v>
      </c>
      <c r="AA196" s="14" t="s">
        <v>179</v>
      </c>
      <c r="AB196" s="14" t="s">
        <v>6393</v>
      </c>
      <c r="AC196" s="14" t="s">
        <v>179</v>
      </c>
      <c r="AD196" s="14" t="s">
        <v>6394</v>
      </c>
      <c r="AE196" s="14" t="s">
        <v>179</v>
      </c>
      <c r="AF196" s="14" t="s">
        <v>6395</v>
      </c>
      <c r="AG196" s="14" t="s">
        <v>179</v>
      </c>
      <c r="AH196" s="14" t="s">
        <v>6396</v>
      </c>
      <c r="AI196" s="14" t="s">
        <v>179</v>
      </c>
      <c r="AJ196" s="14" t="s">
        <v>6397</v>
      </c>
      <c r="AK196" s="14" t="s">
        <v>179</v>
      </c>
      <c r="AL196" s="14" t="s">
        <v>6398</v>
      </c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6" t="s">
        <v>197</v>
      </c>
      <c r="BP196" s="17" t="s">
        <v>198</v>
      </c>
      <c r="BQ196" s="18">
        <v>45681.46326388889</v>
      </c>
      <c r="BR196" s="17" t="s">
        <v>198</v>
      </c>
      <c r="BS196" s="18">
        <v>45681.4633912037</v>
      </c>
      <c r="BT196" s="17" t="s">
        <v>198</v>
      </c>
      <c r="BU196" s="18">
        <v>45681.4633912037</v>
      </c>
      <c r="BV196" s="13" t="s">
        <v>199</v>
      </c>
      <c r="BW196" s="14" t="s">
        <v>179</v>
      </c>
      <c r="BX196" s="14" t="s">
        <v>6399</v>
      </c>
      <c r="BY196" s="14" t="s">
        <v>179</v>
      </c>
      <c r="BZ196" s="14" t="s">
        <v>6399</v>
      </c>
      <c r="CA196" s="14" t="s">
        <v>179</v>
      </c>
      <c r="CB196" s="14" t="s">
        <v>6400</v>
      </c>
      <c r="CC196" s="14" t="s">
        <v>179</v>
      </c>
      <c r="CD196" s="14" t="s">
        <v>6401</v>
      </c>
      <c r="CE196" s="14" t="s">
        <v>179</v>
      </c>
      <c r="CF196" s="14" t="s">
        <v>6401</v>
      </c>
      <c r="CG196" s="14" t="s">
        <v>179</v>
      </c>
      <c r="CH196" s="14" t="s">
        <v>6402</v>
      </c>
      <c r="CI196" s="19"/>
      <c r="CJ196" s="15"/>
      <c r="CK196" s="19"/>
      <c r="CL196" s="15"/>
      <c r="CM196" s="19"/>
      <c r="CN196" s="15"/>
      <c r="CO196" s="19"/>
      <c r="CP196" s="15"/>
      <c r="CQ196" s="15"/>
      <c r="CR196" s="15"/>
      <c r="CS196" s="19"/>
      <c r="CT196" s="15"/>
      <c r="CU196" s="19"/>
      <c r="CV196" s="15"/>
      <c r="CW196" s="19"/>
      <c r="CX196" s="15"/>
      <c r="CY196" s="19"/>
      <c r="CZ196" s="15"/>
      <c r="DA196" s="16" t="s">
        <v>197</v>
      </c>
      <c r="DB196" s="17" t="s">
        <v>198</v>
      </c>
      <c r="DC196" s="20">
        <v>45685.65217592593</v>
      </c>
      <c r="DD196" s="17" t="s">
        <v>198</v>
      </c>
      <c r="DE196" s="18">
        <v>45685.65232638889</v>
      </c>
      <c r="DF196" s="17" t="s">
        <v>198</v>
      </c>
      <c r="DG196" s="18">
        <v>45685.65232638889</v>
      </c>
      <c r="DH196" s="13" t="s">
        <v>205</v>
      </c>
      <c r="DI196" s="14" t="s">
        <v>179</v>
      </c>
      <c r="DJ196" s="14" t="s">
        <v>6403</v>
      </c>
      <c r="DK196" s="14" t="s">
        <v>179</v>
      </c>
      <c r="DL196" s="14" t="s">
        <v>6403</v>
      </c>
      <c r="DM196" s="14" t="s">
        <v>179</v>
      </c>
      <c r="DN196" s="14" t="s">
        <v>6404</v>
      </c>
      <c r="DO196" s="14" t="s">
        <v>179</v>
      </c>
      <c r="DP196" s="14" t="s">
        <v>6405</v>
      </c>
      <c r="DQ196" s="15"/>
      <c r="DR196" s="15"/>
      <c r="DS196" s="15"/>
      <c r="DT196" s="15"/>
      <c r="DU196" s="15"/>
      <c r="DV196" s="15"/>
      <c r="DW196" s="15"/>
      <c r="DX196" s="15"/>
      <c r="DY196" s="15"/>
      <c r="DZ196" s="15"/>
      <c r="EA196" s="15"/>
      <c r="EB196" s="15"/>
      <c r="EC196" s="16" t="s">
        <v>197</v>
      </c>
      <c r="ED196" s="17" t="s">
        <v>198</v>
      </c>
      <c r="EE196" s="18">
        <v>45699.41888888889</v>
      </c>
      <c r="EF196" s="13" t="s">
        <v>209</v>
      </c>
      <c r="EG196" s="14" t="s">
        <v>179</v>
      </c>
      <c r="EH196" s="14" t="s">
        <v>6406</v>
      </c>
      <c r="EI196" s="14" t="s">
        <v>179</v>
      </c>
      <c r="EJ196" s="14" t="s">
        <v>6407</v>
      </c>
      <c r="EK196" s="14" t="s">
        <v>179</v>
      </c>
      <c r="EL196" s="14" t="s">
        <v>6408</v>
      </c>
      <c r="EM196" s="14" t="s">
        <v>179</v>
      </c>
      <c r="EN196" s="14" t="s">
        <v>6409</v>
      </c>
      <c r="EO196" s="15"/>
      <c r="EP196" s="15"/>
      <c r="EQ196" s="15"/>
      <c r="ER196" s="15"/>
      <c r="ES196" s="15"/>
      <c r="ET196" s="15"/>
      <c r="EU196" s="15"/>
      <c r="EV196" s="15"/>
      <c r="EW196" s="15"/>
      <c r="EX196" s="15"/>
      <c r="EY196" s="15"/>
      <c r="EZ196" s="15"/>
      <c r="FA196" s="15"/>
      <c r="FB196" s="15"/>
      <c r="FC196" s="16" t="s">
        <v>197</v>
      </c>
      <c r="FD196" s="17" t="s">
        <v>198</v>
      </c>
      <c r="FE196" s="18">
        <v>45699.419270833336</v>
      </c>
      <c r="FF196" s="19"/>
      <c r="FG196" s="19"/>
      <c r="FH196" s="21" t="s">
        <v>197</v>
      </c>
      <c r="FI196" s="17" t="s">
        <v>214</v>
      </c>
      <c r="FJ196" s="18">
        <v>45699.419270833336</v>
      </c>
      <c r="FK196" s="14" t="s">
        <v>6409</v>
      </c>
      <c r="FL196" s="14" t="s">
        <v>6410</v>
      </c>
      <c r="FM196" s="14" t="s">
        <v>6411</v>
      </c>
      <c r="FN196" s="14" t="s">
        <v>6412</v>
      </c>
      <c r="FO196" s="14" t="s">
        <v>6413</v>
      </c>
      <c r="FP196" s="19" t="str">
        <f t="shared" si="1"/>
        <v>Base de Dados_Images/BC9809.Imagem do Equipamento-.144831.jpg</v>
      </c>
      <c r="FQ196" s="19"/>
      <c r="FR196" s="19"/>
    </row>
    <row r="197" ht="15.75" customHeight="1">
      <c r="A197" s="12" t="s">
        <v>357</v>
      </c>
      <c r="B197" s="12" t="s">
        <v>6414</v>
      </c>
      <c r="C197" s="24" t="s">
        <v>512</v>
      </c>
      <c r="D197" s="22" t="s">
        <v>6415</v>
      </c>
      <c r="E197" s="22" t="s">
        <v>6416</v>
      </c>
      <c r="F197" s="13" t="s">
        <v>178</v>
      </c>
      <c r="G197" s="14" t="s">
        <v>179</v>
      </c>
      <c r="H197" s="14" t="s">
        <v>6417</v>
      </c>
      <c r="I197" s="14" t="s">
        <v>179</v>
      </c>
      <c r="J197" s="14" t="s">
        <v>6418</v>
      </c>
      <c r="K197" s="14" t="s">
        <v>179</v>
      </c>
      <c r="L197" s="14" t="s">
        <v>6419</v>
      </c>
      <c r="M197" s="14" t="s">
        <v>179</v>
      </c>
      <c r="N197" s="14" t="s">
        <v>6420</v>
      </c>
      <c r="O197" s="14" t="s">
        <v>179</v>
      </c>
      <c r="P197" s="14" t="s">
        <v>6421</v>
      </c>
      <c r="Q197" s="14" t="s">
        <v>179</v>
      </c>
      <c r="R197" s="14" t="s">
        <v>6422</v>
      </c>
      <c r="S197" s="14" t="s">
        <v>179</v>
      </c>
      <c r="T197" s="14" t="s">
        <v>6423</v>
      </c>
      <c r="U197" s="14" t="s">
        <v>179</v>
      </c>
      <c r="V197" s="14" t="s">
        <v>6424</v>
      </c>
      <c r="W197" s="14" t="s">
        <v>179</v>
      </c>
      <c r="X197" s="14" t="s">
        <v>6425</v>
      </c>
      <c r="Y197" s="14" t="s">
        <v>179</v>
      </c>
      <c r="Z197" s="14" t="s">
        <v>6426</v>
      </c>
      <c r="AA197" s="14" t="s">
        <v>179</v>
      </c>
      <c r="AB197" s="14" t="s">
        <v>6427</v>
      </c>
      <c r="AC197" s="14" t="s">
        <v>179</v>
      </c>
      <c r="AD197" s="14" t="s">
        <v>6428</v>
      </c>
      <c r="AE197" s="14" t="s">
        <v>179</v>
      </c>
      <c r="AF197" s="14" t="s">
        <v>6429</v>
      </c>
      <c r="AG197" s="14" t="s">
        <v>179</v>
      </c>
      <c r="AH197" s="14" t="s">
        <v>6430</v>
      </c>
      <c r="AI197" s="14" t="s">
        <v>179</v>
      </c>
      <c r="AJ197" s="14" t="s">
        <v>6431</v>
      </c>
      <c r="AK197" s="14" t="s">
        <v>179</v>
      </c>
      <c r="AL197" s="14" t="s">
        <v>6432</v>
      </c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6" t="s">
        <v>197</v>
      </c>
      <c r="BP197" s="17" t="s">
        <v>198</v>
      </c>
      <c r="BQ197" s="18">
        <v>45687.57650462963</v>
      </c>
      <c r="BR197" s="17" t="s">
        <v>198</v>
      </c>
      <c r="BS197" s="18">
        <v>45687.57671296296</v>
      </c>
      <c r="BT197" s="17" t="s">
        <v>198</v>
      </c>
      <c r="BU197" s="18">
        <v>45687.57671296296</v>
      </c>
      <c r="BV197" s="13" t="s">
        <v>199</v>
      </c>
      <c r="BW197" s="14" t="s">
        <v>179</v>
      </c>
      <c r="BX197" s="14" t="s">
        <v>6433</v>
      </c>
      <c r="BY197" s="14" t="s">
        <v>179</v>
      </c>
      <c r="BZ197" s="14" t="s">
        <v>6434</v>
      </c>
      <c r="CA197" s="14" t="s">
        <v>179</v>
      </c>
      <c r="CB197" s="14" t="s">
        <v>6435</v>
      </c>
      <c r="CC197" s="14" t="s">
        <v>179</v>
      </c>
      <c r="CD197" s="14" t="s">
        <v>6436</v>
      </c>
      <c r="CE197" s="14" t="s">
        <v>179</v>
      </c>
      <c r="CF197" s="14" t="s">
        <v>6437</v>
      </c>
      <c r="CG197" s="14" t="s">
        <v>179</v>
      </c>
      <c r="CH197" s="14" t="s">
        <v>6438</v>
      </c>
      <c r="CI197" s="19"/>
      <c r="CJ197" s="15"/>
      <c r="CK197" s="19"/>
      <c r="CL197" s="15"/>
      <c r="CM197" s="19"/>
      <c r="CN197" s="15"/>
      <c r="CO197" s="19"/>
      <c r="CP197" s="15"/>
      <c r="CQ197" s="15"/>
      <c r="CR197" s="15"/>
      <c r="CS197" s="19"/>
      <c r="CT197" s="15"/>
      <c r="CU197" s="19"/>
      <c r="CV197" s="15"/>
      <c r="CW197" s="19"/>
      <c r="CX197" s="15"/>
      <c r="CY197" s="19"/>
      <c r="CZ197" s="15"/>
      <c r="DA197" s="16" t="s">
        <v>197</v>
      </c>
      <c r="DB197" s="17" t="s">
        <v>198</v>
      </c>
      <c r="DC197" s="20">
        <v>45713.39048611111</v>
      </c>
      <c r="DD197" s="17" t="s">
        <v>198</v>
      </c>
      <c r="DE197" s="18">
        <v>45713.39053240741</v>
      </c>
      <c r="DF197" s="17" t="s">
        <v>198</v>
      </c>
      <c r="DG197" s="18">
        <v>45713.39053240741</v>
      </c>
      <c r="DH197" s="13" t="s">
        <v>205</v>
      </c>
      <c r="DI197" s="14" t="s">
        <v>179</v>
      </c>
      <c r="DJ197" s="14" t="s">
        <v>6439</v>
      </c>
      <c r="DK197" s="14" t="s">
        <v>179</v>
      </c>
      <c r="DL197" s="14" t="s">
        <v>6440</v>
      </c>
      <c r="DM197" s="14" t="s">
        <v>179</v>
      </c>
      <c r="DN197" s="14" t="s">
        <v>6441</v>
      </c>
      <c r="DO197" s="14" t="s">
        <v>179</v>
      </c>
      <c r="DP197" s="14" t="s">
        <v>6442</v>
      </c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6" t="s">
        <v>197</v>
      </c>
      <c r="ED197" s="17" t="s">
        <v>198</v>
      </c>
      <c r="EE197" s="18">
        <v>45713.39063657408</v>
      </c>
      <c r="EF197" s="13" t="s">
        <v>209</v>
      </c>
      <c r="EG197" s="14" t="s">
        <v>179</v>
      </c>
      <c r="EH197" s="14" t="s">
        <v>6443</v>
      </c>
      <c r="EI197" s="14" t="s">
        <v>179</v>
      </c>
      <c r="EJ197" s="14" t="s">
        <v>6444</v>
      </c>
      <c r="EK197" s="14" t="s">
        <v>179</v>
      </c>
      <c r="EL197" s="14" t="s">
        <v>6445</v>
      </c>
      <c r="EM197" s="14" t="s">
        <v>179</v>
      </c>
      <c r="EN197" s="14" t="s">
        <v>6446</v>
      </c>
      <c r="EO197" s="15"/>
      <c r="EP197" s="15"/>
      <c r="EQ197" s="15"/>
      <c r="ER197" s="15"/>
      <c r="ES197" s="15"/>
      <c r="ET197" s="15"/>
      <c r="EU197" s="15"/>
      <c r="EV197" s="15"/>
      <c r="EW197" s="15"/>
      <c r="EX197" s="15"/>
      <c r="EY197" s="15"/>
      <c r="EZ197" s="15"/>
      <c r="FA197" s="15"/>
      <c r="FB197" s="15"/>
      <c r="FC197" s="16" t="s">
        <v>197</v>
      </c>
      <c r="FD197" s="17" t="s">
        <v>198</v>
      </c>
      <c r="FE197" s="18">
        <v>45723.490636574075</v>
      </c>
      <c r="FF197" s="19"/>
      <c r="FG197" s="19"/>
      <c r="FH197" s="21" t="s">
        <v>197</v>
      </c>
      <c r="FI197" s="17" t="s">
        <v>214</v>
      </c>
      <c r="FJ197" s="18">
        <v>45723.490636574075</v>
      </c>
      <c r="FK197" s="14" t="s">
        <v>6446</v>
      </c>
      <c r="FL197" s="19"/>
      <c r="FM197" s="19"/>
      <c r="FN197" s="19"/>
      <c r="FO197" s="19"/>
      <c r="FP197" s="19" t="str">
        <f t="shared" si="1"/>
        <v/>
      </c>
      <c r="FQ197" s="14" t="s">
        <v>215</v>
      </c>
      <c r="FR197" s="14" t="s">
        <v>6447</v>
      </c>
    </row>
    <row r="198" ht="15.75" customHeight="1">
      <c r="A198" s="12" t="s">
        <v>357</v>
      </c>
      <c r="B198" s="12" t="s">
        <v>6414</v>
      </c>
      <c r="C198" s="24" t="s">
        <v>512</v>
      </c>
      <c r="D198" s="22" t="s">
        <v>6448</v>
      </c>
      <c r="E198" s="22" t="s">
        <v>6449</v>
      </c>
      <c r="F198" s="13" t="s">
        <v>178</v>
      </c>
      <c r="G198" s="14" t="s">
        <v>179</v>
      </c>
      <c r="H198" s="14" t="s">
        <v>6450</v>
      </c>
      <c r="I198" s="14" t="s">
        <v>179</v>
      </c>
      <c r="J198" s="14" t="s">
        <v>6451</v>
      </c>
      <c r="K198" s="14" t="s">
        <v>179</v>
      </c>
      <c r="L198" s="14" t="s">
        <v>6452</v>
      </c>
      <c r="M198" s="14" t="s">
        <v>179</v>
      </c>
      <c r="N198" s="14" t="s">
        <v>6453</v>
      </c>
      <c r="O198" s="14" t="s">
        <v>179</v>
      </c>
      <c r="P198" s="14" t="s">
        <v>6454</v>
      </c>
      <c r="Q198" s="14" t="s">
        <v>179</v>
      </c>
      <c r="R198" s="14" t="s">
        <v>6455</v>
      </c>
      <c r="S198" s="14" t="s">
        <v>179</v>
      </c>
      <c r="T198" s="14" t="s">
        <v>6456</v>
      </c>
      <c r="U198" s="14" t="s">
        <v>179</v>
      </c>
      <c r="V198" s="14" t="s">
        <v>6457</v>
      </c>
      <c r="W198" s="14" t="s">
        <v>179</v>
      </c>
      <c r="X198" s="14" t="s">
        <v>6458</v>
      </c>
      <c r="Y198" s="14" t="s">
        <v>179</v>
      </c>
      <c r="Z198" s="14" t="s">
        <v>6459</v>
      </c>
      <c r="AA198" s="14" t="s">
        <v>179</v>
      </c>
      <c r="AB198" s="14" t="s">
        <v>6460</v>
      </c>
      <c r="AC198" s="14" t="s">
        <v>179</v>
      </c>
      <c r="AD198" s="14" t="s">
        <v>6461</v>
      </c>
      <c r="AE198" s="14" t="s">
        <v>179</v>
      </c>
      <c r="AF198" s="14" t="s">
        <v>6462</v>
      </c>
      <c r="AG198" s="14" t="s">
        <v>179</v>
      </c>
      <c r="AH198" s="14" t="s">
        <v>6463</v>
      </c>
      <c r="AI198" s="14" t="s">
        <v>179</v>
      </c>
      <c r="AJ198" s="14" t="s">
        <v>6464</v>
      </c>
      <c r="AK198" s="14" t="s">
        <v>179</v>
      </c>
      <c r="AL198" s="14" t="s">
        <v>6465</v>
      </c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6" t="s">
        <v>197</v>
      </c>
      <c r="BP198" s="17" t="s">
        <v>198</v>
      </c>
      <c r="BQ198" s="18">
        <v>45687.577581018515</v>
      </c>
      <c r="BR198" s="17" t="s">
        <v>198</v>
      </c>
      <c r="BS198" s="18">
        <v>45687.57782407408</v>
      </c>
      <c r="BT198" s="17" t="s">
        <v>198</v>
      </c>
      <c r="BU198" s="18">
        <v>45687.57782407408</v>
      </c>
      <c r="BV198" s="13" t="s">
        <v>199</v>
      </c>
      <c r="BW198" s="14" t="s">
        <v>179</v>
      </c>
      <c r="BX198" s="14" t="s">
        <v>6466</v>
      </c>
      <c r="BY198" s="14" t="s">
        <v>179</v>
      </c>
      <c r="BZ198" s="14" t="s">
        <v>6466</v>
      </c>
      <c r="CA198" s="14" t="s">
        <v>179</v>
      </c>
      <c r="CB198" s="14" t="s">
        <v>6467</v>
      </c>
      <c r="CC198" s="14" t="s">
        <v>179</v>
      </c>
      <c r="CD198" s="14" t="s">
        <v>6468</v>
      </c>
      <c r="CE198" s="14" t="s">
        <v>179</v>
      </c>
      <c r="CF198" s="14" t="s">
        <v>6469</v>
      </c>
      <c r="CG198" s="14" t="s">
        <v>179</v>
      </c>
      <c r="CH198" s="14" t="s">
        <v>6470</v>
      </c>
      <c r="CI198" s="19"/>
      <c r="CJ198" s="15"/>
      <c r="CK198" s="19"/>
      <c r="CL198" s="15"/>
      <c r="CM198" s="19"/>
      <c r="CN198" s="15"/>
      <c r="CO198" s="19"/>
      <c r="CP198" s="15"/>
      <c r="CQ198" s="15"/>
      <c r="CR198" s="15"/>
      <c r="CS198" s="19"/>
      <c r="CT198" s="15"/>
      <c r="CU198" s="19"/>
      <c r="CV198" s="15"/>
      <c r="CW198" s="19"/>
      <c r="CX198" s="15"/>
      <c r="CY198" s="19"/>
      <c r="CZ198" s="15"/>
      <c r="DA198" s="16" t="s">
        <v>197</v>
      </c>
      <c r="DB198" s="17" t="s">
        <v>198</v>
      </c>
      <c r="DC198" s="20">
        <v>45713.39077546296</v>
      </c>
      <c r="DD198" s="17" t="s">
        <v>198</v>
      </c>
      <c r="DE198" s="18">
        <v>45713.39082175926</v>
      </c>
      <c r="DF198" s="17" t="s">
        <v>198</v>
      </c>
      <c r="DG198" s="18">
        <v>45713.39082175926</v>
      </c>
      <c r="DH198" s="13" t="s">
        <v>205</v>
      </c>
      <c r="DI198" s="14" t="s">
        <v>179</v>
      </c>
      <c r="DJ198" s="14" t="s">
        <v>6471</v>
      </c>
      <c r="DK198" s="14" t="s">
        <v>179</v>
      </c>
      <c r="DL198" s="14" t="s">
        <v>6472</v>
      </c>
      <c r="DM198" s="14" t="s">
        <v>179</v>
      </c>
      <c r="DN198" s="14" t="s">
        <v>6473</v>
      </c>
      <c r="DO198" s="14" t="s">
        <v>179</v>
      </c>
      <c r="DP198" s="14" t="s">
        <v>6474</v>
      </c>
      <c r="DQ198" s="15"/>
      <c r="DR198" s="15"/>
      <c r="DS198" s="15"/>
      <c r="DT198" s="15"/>
      <c r="DU198" s="15"/>
      <c r="DV198" s="15"/>
      <c r="DW198" s="15"/>
      <c r="DX198" s="15"/>
      <c r="DY198" s="15"/>
      <c r="DZ198" s="15"/>
      <c r="EA198" s="15"/>
      <c r="EB198" s="15"/>
      <c r="EC198" s="16" t="s">
        <v>197</v>
      </c>
      <c r="ED198" s="17" t="s">
        <v>198</v>
      </c>
      <c r="EE198" s="18">
        <v>45713.39096064815</v>
      </c>
      <c r="EF198" s="13" t="s">
        <v>209</v>
      </c>
      <c r="EG198" s="14" t="s">
        <v>179</v>
      </c>
      <c r="EH198" s="14" t="s">
        <v>6475</v>
      </c>
      <c r="EI198" s="14" t="s">
        <v>179</v>
      </c>
      <c r="EJ198" s="14" t="s">
        <v>6476</v>
      </c>
      <c r="EK198" s="14" t="s">
        <v>179</v>
      </c>
      <c r="EL198" s="14" t="s">
        <v>6476</v>
      </c>
      <c r="EM198" s="14" t="s">
        <v>179</v>
      </c>
      <c r="EN198" s="14" t="s">
        <v>6477</v>
      </c>
      <c r="EO198" s="15"/>
      <c r="EP198" s="15"/>
      <c r="EQ198" s="15"/>
      <c r="ER198" s="15"/>
      <c r="ES198" s="15"/>
      <c r="ET198" s="15"/>
      <c r="EU198" s="15"/>
      <c r="EV198" s="15"/>
      <c r="EW198" s="15"/>
      <c r="EX198" s="15"/>
      <c r="EY198" s="15"/>
      <c r="EZ198" s="15"/>
      <c r="FA198" s="15"/>
      <c r="FB198" s="15"/>
      <c r="FC198" s="16" t="s">
        <v>197</v>
      </c>
      <c r="FD198" s="17" t="s">
        <v>198</v>
      </c>
      <c r="FE198" s="18">
        <v>45723.49072916667</v>
      </c>
      <c r="FF198" s="19"/>
      <c r="FG198" s="19"/>
      <c r="FH198" s="21" t="s">
        <v>197</v>
      </c>
      <c r="FI198" s="17" t="s">
        <v>214</v>
      </c>
      <c r="FJ198" s="18">
        <v>45723.49072916667</v>
      </c>
      <c r="FK198" s="14" t="s">
        <v>6477</v>
      </c>
      <c r="FL198" s="19"/>
      <c r="FM198" s="19"/>
      <c r="FN198" s="19"/>
      <c r="FO198" s="19"/>
      <c r="FP198" s="19" t="str">
        <f t="shared" si="1"/>
        <v/>
      </c>
      <c r="FQ198" s="14" t="s">
        <v>215</v>
      </c>
      <c r="FR198" s="14" t="s">
        <v>6478</v>
      </c>
    </row>
    <row r="199" ht="15.75" customHeight="1">
      <c r="A199" s="12" t="s">
        <v>357</v>
      </c>
      <c r="B199" s="12" t="s">
        <v>6414</v>
      </c>
      <c r="C199" s="24" t="s">
        <v>512</v>
      </c>
      <c r="D199" s="22" t="s">
        <v>6479</v>
      </c>
      <c r="E199" s="22" t="s">
        <v>6480</v>
      </c>
      <c r="F199" s="13" t="s">
        <v>178</v>
      </c>
      <c r="G199" s="14" t="s">
        <v>179</v>
      </c>
      <c r="H199" s="14" t="s">
        <v>6481</v>
      </c>
      <c r="I199" s="14" t="s">
        <v>179</v>
      </c>
      <c r="J199" s="14" t="s">
        <v>6482</v>
      </c>
      <c r="K199" s="14" t="s">
        <v>179</v>
      </c>
      <c r="L199" s="14" t="s">
        <v>6483</v>
      </c>
      <c r="M199" s="14" t="s">
        <v>179</v>
      </c>
      <c r="N199" s="14" t="s">
        <v>6484</v>
      </c>
      <c r="O199" s="14" t="s">
        <v>179</v>
      </c>
      <c r="P199" s="14" t="s">
        <v>6485</v>
      </c>
      <c r="Q199" s="14" t="s">
        <v>179</v>
      </c>
      <c r="R199" s="14" t="s">
        <v>6486</v>
      </c>
      <c r="S199" s="14" t="s">
        <v>179</v>
      </c>
      <c r="T199" s="14" t="s">
        <v>6487</v>
      </c>
      <c r="U199" s="14" t="s">
        <v>179</v>
      </c>
      <c r="V199" s="14" t="s">
        <v>6488</v>
      </c>
      <c r="W199" s="14" t="s">
        <v>179</v>
      </c>
      <c r="X199" s="14" t="s">
        <v>6489</v>
      </c>
      <c r="Y199" s="14" t="s">
        <v>179</v>
      </c>
      <c r="Z199" s="14" t="s">
        <v>6490</v>
      </c>
      <c r="AA199" s="14" t="s">
        <v>179</v>
      </c>
      <c r="AB199" s="14" t="s">
        <v>6491</v>
      </c>
      <c r="AC199" s="14" t="s">
        <v>179</v>
      </c>
      <c r="AD199" s="14" t="s">
        <v>6492</v>
      </c>
      <c r="AE199" s="14" t="s">
        <v>179</v>
      </c>
      <c r="AF199" s="14" t="s">
        <v>6493</v>
      </c>
      <c r="AG199" s="14" t="s">
        <v>179</v>
      </c>
      <c r="AH199" s="14" t="s">
        <v>6494</v>
      </c>
      <c r="AI199" s="14" t="s">
        <v>179</v>
      </c>
      <c r="AJ199" s="14" t="s">
        <v>6495</v>
      </c>
      <c r="AK199" s="14" t="s">
        <v>179</v>
      </c>
      <c r="AL199" s="14" t="s">
        <v>6496</v>
      </c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6" t="s">
        <v>197</v>
      </c>
      <c r="BP199" s="17" t="s">
        <v>198</v>
      </c>
      <c r="BQ199" s="18">
        <v>45687.57915509259</v>
      </c>
      <c r="BR199" s="17" t="s">
        <v>198</v>
      </c>
      <c r="BS199" s="18">
        <v>45687.57921296296</v>
      </c>
      <c r="BT199" s="17" t="s">
        <v>198</v>
      </c>
      <c r="BU199" s="18">
        <v>45687.57921296296</v>
      </c>
      <c r="BV199" s="13" t="s">
        <v>199</v>
      </c>
      <c r="BW199" s="14" t="s">
        <v>179</v>
      </c>
      <c r="BX199" s="14" t="s">
        <v>6497</v>
      </c>
      <c r="BY199" s="14" t="s">
        <v>179</v>
      </c>
      <c r="BZ199" s="14" t="s">
        <v>6498</v>
      </c>
      <c r="CA199" s="14" t="s">
        <v>179</v>
      </c>
      <c r="CB199" s="14" t="s">
        <v>6499</v>
      </c>
      <c r="CC199" s="14" t="s">
        <v>179</v>
      </c>
      <c r="CD199" s="14" t="s">
        <v>6500</v>
      </c>
      <c r="CE199" s="14" t="s">
        <v>179</v>
      </c>
      <c r="CF199" s="14" t="s">
        <v>6501</v>
      </c>
      <c r="CG199" s="14" t="s">
        <v>179</v>
      </c>
      <c r="CH199" s="14" t="s">
        <v>6502</v>
      </c>
      <c r="CI199" s="19"/>
      <c r="CJ199" s="15"/>
      <c r="CK199" s="19"/>
      <c r="CL199" s="15"/>
      <c r="CM199" s="19"/>
      <c r="CN199" s="15"/>
      <c r="CO199" s="19"/>
      <c r="CP199" s="15"/>
      <c r="CQ199" s="15"/>
      <c r="CR199" s="15"/>
      <c r="CS199" s="19"/>
      <c r="CT199" s="15"/>
      <c r="CU199" s="19"/>
      <c r="CV199" s="15"/>
      <c r="CW199" s="19"/>
      <c r="CX199" s="15"/>
      <c r="CY199" s="19"/>
      <c r="CZ199" s="15"/>
      <c r="DA199" s="16" t="s">
        <v>197</v>
      </c>
      <c r="DB199" s="17" t="s">
        <v>198</v>
      </c>
      <c r="DC199" s="20">
        <v>45713.39113425926</v>
      </c>
      <c r="DD199" s="17" t="s">
        <v>198</v>
      </c>
      <c r="DE199" s="18">
        <v>45713.391180555554</v>
      </c>
      <c r="DF199" s="17" t="s">
        <v>198</v>
      </c>
      <c r="DG199" s="18">
        <v>45713.391180555554</v>
      </c>
      <c r="DH199" s="13" t="s">
        <v>205</v>
      </c>
      <c r="DI199" s="14" t="s">
        <v>179</v>
      </c>
      <c r="DJ199" s="14" t="s">
        <v>6503</v>
      </c>
      <c r="DK199" s="14" t="s">
        <v>179</v>
      </c>
      <c r="DL199" s="14" t="s">
        <v>6504</v>
      </c>
      <c r="DM199" s="14" t="s">
        <v>179</v>
      </c>
      <c r="DN199" s="14" t="s">
        <v>6505</v>
      </c>
      <c r="DO199" s="14" t="s">
        <v>179</v>
      </c>
      <c r="DP199" s="14" t="s">
        <v>6506</v>
      </c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6" t="s">
        <v>197</v>
      </c>
      <c r="ED199" s="17" t="s">
        <v>198</v>
      </c>
      <c r="EE199" s="18">
        <v>45713.39129629629</v>
      </c>
      <c r="EF199" s="13" t="s">
        <v>209</v>
      </c>
      <c r="EG199" s="14" t="s">
        <v>179</v>
      </c>
      <c r="EH199" s="14" t="s">
        <v>6507</v>
      </c>
      <c r="EI199" s="14" t="s">
        <v>179</v>
      </c>
      <c r="EJ199" s="14" t="s">
        <v>6508</v>
      </c>
      <c r="EK199" s="14" t="s">
        <v>179</v>
      </c>
      <c r="EL199" s="14" t="s">
        <v>6509</v>
      </c>
      <c r="EM199" s="14" t="s">
        <v>179</v>
      </c>
      <c r="EN199" s="14" t="s">
        <v>6509</v>
      </c>
      <c r="EO199" s="15"/>
      <c r="EP199" s="15"/>
      <c r="EQ199" s="15"/>
      <c r="ER199" s="15"/>
      <c r="ES199" s="15"/>
      <c r="ET199" s="15"/>
      <c r="EU199" s="15"/>
      <c r="EV199" s="15"/>
      <c r="EW199" s="15"/>
      <c r="EX199" s="15"/>
      <c r="EY199" s="15"/>
      <c r="EZ199" s="15"/>
      <c r="FA199" s="15"/>
      <c r="FB199" s="15"/>
      <c r="FC199" s="16" t="s">
        <v>197</v>
      </c>
      <c r="FD199" s="17" t="s">
        <v>198</v>
      </c>
      <c r="FE199" s="18">
        <v>45723.49082175926</v>
      </c>
      <c r="FF199" s="19"/>
      <c r="FG199" s="19"/>
      <c r="FH199" s="21" t="s">
        <v>197</v>
      </c>
      <c r="FI199" s="17" t="s">
        <v>214</v>
      </c>
      <c r="FJ199" s="18">
        <v>45723.49082175926</v>
      </c>
      <c r="FK199" s="14" t="s">
        <v>6509</v>
      </c>
      <c r="FL199" s="19"/>
      <c r="FM199" s="19"/>
      <c r="FN199" s="19"/>
      <c r="FO199" s="19"/>
      <c r="FP199" s="19" t="str">
        <f t="shared" si="1"/>
        <v/>
      </c>
      <c r="FQ199" s="14" t="s">
        <v>215</v>
      </c>
      <c r="FR199" s="14" t="s">
        <v>6510</v>
      </c>
    </row>
    <row r="200" ht="15.75" customHeight="1">
      <c r="A200" s="12" t="s">
        <v>357</v>
      </c>
      <c r="B200" s="12" t="s">
        <v>6277</v>
      </c>
      <c r="C200" s="24" t="s">
        <v>512</v>
      </c>
      <c r="D200" s="22" t="s">
        <v>6511</v>
      </c>
      <c r="E200" s="22" t="s">
        <v>6512</v>
      </c>
      <c r="F200" s="13" t="s">
        <v>178</v>
      </c>
      <c r="G200" s="14" t="s">
        <v>179</v>
      </c>
      <c r="H200" s="14" t="s">
        <v>6513</v>
      </c>
      <c r="I200" s="14" t="s">
        <v>179</v>
      </c>
      <c r="J200" s="14" t="s">
        <v>6514</v>
      </c>
      <c r="K200" s="14" t="s">
        <v>179</v>
      </c>
      <c r="L200" s="14" t="s">
        <v>6515</v>
      </c>
      <c r="M200" s="14" t="s">
        <v>179</v>
      </c>
      <c r="N200" s="14" t="s">
        <v>6516</v>
      </c>
      <c r="O200" s="14" t="s">
        <v>179</v>
      </c>
      <c r="P200" s="14" t="s">
        <v>6517</v>
      </c>
      <c r="Q200" s="14" t="s">
        <v>179</v>
      </c>
      <c r="R200" s="14" t="s">
        <v>6518</v>
      </c>
      <c r="S200" s="14" t="s">
        <v>179</v>
      </c>
      <c r="T200" s="14" t="s">
        <v>6519</v>
      </c>
      <c r="U200" s="14" t="s">
        <v>179</v>
      </c>
      <c r="V200" s="14" t="s">
        <v>6520</v>
      </c>
      <c r="W200" s="14" t="s">
        <v>179</v>
      </c>
      <c r="X200" s="14" t="s">
        <v>6521</v>
      </c>
      <c r="Y200" s="14" t="s">
        <v>179</v>
      </c>
      <c r="Z200" s="14" t="s">
        <v>6522</v>
      </c>
      <c r="AA200" s="14" t="s">
        <v>179</v>
      </c>
      <c r="AB200" s="14" t="s">
        <v>6523</v>
      </c>
      <c r="AC200" s="14" t="s">
        <v>179</v>
      </c>
      <c r="AD200" s="14" t="s">
        <v>6524</v>
      </c>
      <c r="AE200" s="14" t="s">
        <v>179</v>
      </c>
      <c r="AF200" s="14" t="s">
        <v>6525</v>
      </c>
      <c r="AG200" s="14" t="s">
        <v>179</v>
      </c>
      <c r="AH200" s="14" t="s">
        <v>6526</v>
      </c>
      <c r="AI200" s="14" t="s">
        <v>179</v>
      </c>
      <c r="AJ200" s="14" t="s">
        <v>6527</v>
      </c>
      <c r="AK200" s="14" t="s">
        <v>179</v>
      </c>
      <c r="AL200" s="14" t="s">
        <v>6528</v>
      </c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6" t="s">
        <v>197</v>
      </c>
      <c r="BP200" s="17" t="s">
        <v>198</v>
      </c>
      <c r="BQ200" s="18">
        <v>45687.5802662037</v>
      </c>
      <c r="BR200" s="17" t="s">
        <v>198</v>
      </c>
      <c r="BS200" s="18">
        <v>45687.58038194444</v>
      </c>
      <c r="BT200" s="17" t="s">
        <v>198</v>
      </c>
      <c r="BU200" s="18">
        <v>45687.58038194444</v>
      </c>
      <c r="BV200" s="13" t="s">
        <v>199</v>
      </c>
      <c r="BW200" s="14" t="s">
        <v>179</v>
      </c>
      <c r="BX200" s="14" t="s">
        <v>6529</v>
      </c>
      <c r="BY200" s="14" t="s">
        <v>179</v>
      </c>
      <c r="BZ200" s="14" t="s">
        <v>6530</v>
      </c>
      <c r="CA200" s="14" t="s">
        <v>179</v>
      </c>
      <c r="CB200" s="14" t="s">
        <v>6531</v>
      </c>
      <c r="CC200" s="14" t="s">
        <v>179</v>
      </c>
      <c r="CD200" s="14" t="s">
        <v>6532</v>
      </c>
      <c r="CE200" s="14" t="s">
        <v>179</v>
      </c>
      <c r="CF200" s="14" t="s">
        <v>6533</v>
      </c>
      <c r="CG200" s="14" t="s">
        <v>179</v>
      </c>
      <c r="CH200" s="14" t="s">
        <v>6534</v>
      </c>
      <c r="CI200" s="19"/>
      <c r="CJ200" s="15"/>
      <c r="CK200" s="19"/>
      <c r="CL200" s="15"/>
      <c r="CM200" s="19"/>
      <c r="CN200" s="15"/>
      <c r="CO200" s="19"/>
      <c r="CP200" s="15"/>
      <c r="CQ200" s="15"/>
      <c r="CR200" s="15"/>
      <c r="CS200" s="19"/>
      <c r="CT200" s="15"/>
      <c r="CU200" s="19"/>
      <c r="CV200" s="15"/>
      <c r="CW200" s="19"/>
      <c r="CX200" s="15"/>
      <c r="CY200" s="19"/>
      <c r="CZ200" s="15"/>
      <c r="DA200" s="16" t="s">
        <v>197</v>
      </c>
      <c r="DB200" s="17" t="s">
        <v>198</v>
      </c>
      <c r="DC200" s="20">
        <v>45713.39009259259</v>
      </c>
      <c r="DD200" s="17" t="s">
        <v>198</v>
      </c>
      <c r="DE200" s="18">
        <v>45713.39013888889</v>
      </c>
      <c r="DF200" s="17" t="s">
        <v>198</v>
      </c>
      <c r="DG200" s="18">
        <v>45713.39013888889</v>
      </c>
      <c r="DH200" s="13" t="s">
        <v>205</v>
      </c>
      <c r="DI200" s="14" t="s">
        <v>179</v>
      </c>
      <c r="DJ200" s="14" t="s">
        <v>6535</v>
      </c>
      <c r="DK200" s="14" t="s">
        <v>179</v>
      </c>
      <c r="DL200" s="14" t="s">
        <v>6536</v>
      </c>
      <c r="DM200" s="14" t="s">
        <v>179</v>
      </c>
      <c r="DN200" s="14" t="s">
        <v>6537</v>
      </c>
      <c r="DO200" s="14" t="s">
        <v>179</v>
      </c>
      <c r="DP200" s="14" t="s">
        <v>6538</v>
      </c>
      <c r="DQ200" s="15"/>
      <c r="DR200" s="15"/>
      <c r="DS200" s="15"/>
      <c r="DT200" s="15"/>
      <c r="DU200" s="15"/>
      <c r="DV200" s="15"/>
      <c r="DW200" s="15"/>
      <c r="DX200" s="15"/>
      <c r="DY200" s="15"/>
      <c r="DZ200" s="15"/>
      <c r="EA200" s="15"/>
      <c r="EB200" s="15"/>
      <c r="EC200" s="16" t="s">
        <v>197</v>
      </c>
      <c r="ED200" s="17" t="s">
        <v>198</v>
      </c>
      <c r="EE200" s="18">
        <v>45713.39020833333</v>
      </c>
      <c r="EF200" s="13" t="s">
        <v>209</v>
      </c>
      <c r="EG200" s="14" t="s">
        <v>179</v>
      </c>
      <c r="EH200" s="14" t="s">
        <v>6539</v>
      </c>
      <c r="EI200" s="14" t="s">
        <v>179</v>
      </c>
      <c r="EJ200" s="14" t="s">
        <v>6540</v>
      </c>
      <c r="EK200" s="14" t="s">
        <v>179</v>
      </c>
      <c r="EL200" s="14" t="s">
        <v>6540</v>
      </c>
      <c r="EM200" s="14" t="s">
        <v>179</v>
      </c>
      <c r="EN200" s="14" t="s">
        <v>6541</v>
      </c>
      <c r="EO200" s="15"/>
      <c r="EP200" s="15"/>
      <c r="EQ200" s="15"/>
      <c r="ER200" s="15"/>
      <c r="ES200" s="15"/>
      <c r="ET200" s="15"/>
      <c r="EU200" s="15"/>
      <c r="EV200" s="15"/>
      <c r="EW200" s="15"/>
      <c r="EX200" s="15"/>
      <c r="EY200" s="15"/>
      <c r="EZ200" s="15"/>
      <c r="FA200" s="15"/>
      <c r="FB200" s="15"/>
      <c r="FC200" s="16" t="s">
        <v>197</v>
      </c>
      <c r="FD200" s="17" t="s">
        <v>198</v>
      </c>
      <c r="FE200" s="18">
        <v>45723.491006944445</v>
      </c>
      <c r="FF200" s="19"/>
      <c r="FG200" s="19"/>
      <c r="FH200" s="21" t="s">
        <v>197</v>
      </c>
      <c r="FI200" s="17" t="s">
        <v>214</v>
      </c>
      <c r="FJ200" s="18">
        <v>45723.491006944445</v>
      </c>
      <c r="FK200" s="14" t="s">
        <v>6539</v>
      </c>
      <c r="FL200" s="14" t="s">
        <v>6542</v>
      </c>
      <c r="FM200" s="14" t="s">
        <v>6543</v>
      </c>
      <c r="FN200" s="14" t="s">
        <v>6544</v>
      </c>
      <c r="FO200" s="14" t="s">
        <v>6545</v>
      </c>
      <c r="FP200" s="19" t="str">
        <f t="shared" si="1"/>
        <v>Base de Dados_Images/BC9813.Imagem do Equipamento-.172608.jpg</v>
      </c>
      <c r="FQ200" s="14"/>
      <c r="FR200" s="14"/>
    </row>
    <row r="201" ht="15.75" customHeight="1">
      <c r="A201" s="12" t="s">
        <v>292</v>
      </c>
      <c r="B201" s="12" t="s">
        <v>6546</v>
      </c>
      <c r="C201" s="24" t="s">
        <v>512</v>
      </c>
      <c r="D201" s="22" t="s">
        <v>6547</v>
      </c>
      <c r="E201" s="22" t="s">
        <v>6548</v>
      </c>
      <c r="F201" s="13" t="s">
        <v>178</v>
      </c>
      <c r="G201" s="14" t="s">
        <v>179</v>
      </c>
      <c r="H201" s="14" t="s">
        <v>6549</v>
      </c>
      <c r="I201" s="14" t="s">
        <v>179</v>
      </c>
      <c r="J201" s="14" t="s">
        <v>6550</v>
      </c>
      <c r="K201" s="14" t="s">
        <v>179</v>
      </c>
      <c r="L201" s="14" t="s">
        <v>6551</v>
      </c>
      <c r="M201" s="14" t="s">
        <v>179</v>
      </c>
      <c r="N201" s="14" t="s">
        <v>6552</v>
      </c>
      <c r="O201" s="14" t="s">
        <v>179</v>
      </c>
      <c r="P201" s="14" t="s">
        <v>6553</v>
      </c>
      <c r="Q201" s="14" t="s">
        <v>179</v>
      </c>
      <c r="R201" s="14" t="s">
        <v>6554</v>
      </c>
      <c r="S201" s="14" t="s">
        <v>179</v>
      </c>
      <c r="T201" s="14" t="s">
        <v>6555</v>
      </c>
      <c r="U201" s="14" t="s">
        <v>179</v>
      </c>
      <c r="V201" s="14" t="s">
        <v>6556</v>
      </c>
      <c r="W201" s="14" t="s">
        <v>179</v>
      </c>
      <c r="X201" s="14" t="s">
        <v>6557</v>
      </c>
      <c r="Y201" s="14" t="s">
        <v>188</v>
      </c>
      <c r="Z201" s="14" t="s">
        <v>6558</v>
      </c>
      <c r="AA201" s="14" t="s">
        <v>179</v>
      </c>
      <c r="AB201" s="14" t="s">
        <v>6559</v>
      </c>
      <c r="AC201" s="14" t="s">
        <v>179</v>
      </c>
      <c r="AD201" s="14" t="s">
        <v>6560</v>
      </c>
      <c r="AE201" s="14" t="s">
        <v>179</v>
      </c>
      <c r="AF201" s="14" t="s">
        <v>6561</v>
      </c>
      <c r="AG201" s="14" t="s">
        <v>179</v>
      </c>
      <c r="AH201" s="14" t="s">
        <v>6562</v>
      </c>
      <c r="AI201" s="14" t="s">
        <v>179</v>
      </c>
      <c r="AJ201" s="14" t="s">
        <v>6563</v>
      </c>
      <c r="AK201" s="14" t="s">
        <v>179</v>
      </c>
      <c r="AL201" s="14" t="s">
        <v>6564</v>
      </c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6" t="s">
        <v>197</v>
      </c>
      <c r="BP201" s="17" t="s">
        <v>198</v>
      </c>
      <c r="BQ201" s="18">
        <v>45685.45998842592</v>
      </c>
      <c r="BR201" s="17" t="s">
        <v>198</v>
      </c>
      <c r="BS201" s="18">
        <v>45685.46045138889</v>
      </c>
      <c r="BT201" s="17" t="s">
        <v>198</v>
      </c>
      <c r="BU201" s="18">
        <v>45685.46045138889</v>
      </c>
      <c r="BV201" s="13" t="s">
        <v>199</v>
      </c>
      <c r="BW201" s="14" t="s">
        <v>179</v>
      </c>
      <c r="BX201" s="14" t="s">
        <v>6565</v>
      </c>
      <c r="BY201" s="14" t="s">
        <v>179</v>
      </c>
      <c r="BZ201" s="14" t="s">
        <v>6566</v>
      </c>
      <c r="CA201" s="14" t="s">
        <v>179</v>
      </c>
      <c r="CB201" s="14" t="s">
        <v>6567</v>
      </c>
      <c r="CC201" s="14" t="s">
        <v>179</v>
      </c>
      <c r="CD201" s="14" t="s">
        <v>6568</v>
      </c>
      <c r="CE201" s="14" t="s">
        <v>179</v>
      </c>
      <c r="CF201" s="14" t="s">
        <v>6569</v>
      </c>
      <c r="CG201" s="14" t="s">
        <v>179</v>
      </c>
      <c r="CH201" s="14" t="s">
        <v>6570</v>
      </c>
      <c r="CI201" s="19"/>
      <c r="CJ201" s="15"/>
      <c r="CK201" s="19"/>
      <c r="CL201" s="15"/>
      <c r="CM201" s="19"/>
      <c r="CN201" s="15"/>
      <c r="CO201" s="19"/>
      <c r="CP201" s="15"/>
      <c r="CQ201" s="15"/>
      <c r="CR201" s="15"/>
      <c r="CS201" s="19"/>
      <c r="CT201" s="15"/>
      <c r="CU201" s="19"/>
      <c r="CV201" s="15"/>
      <c r="CW201" s="19"/>
      <c r="CX201" s="15"/>
      <c r="CY201" s="19"/>
      <c r="CZ201" s="15"/>
      <c r="DA201" s="16" t="s">
        <v>197</v>
      </c>
      <c r="DB201" s="17" t="s">
        <v>198</v>
      </c>
      <c r="DC201" s="20">
        <v>45719.58453703704</v>
      </c>
      <c r="DD201" s="17" t="s">
        <v>198</v>
      </c>
      <c r="DE201" s="18">
        <v>45719.58457175926</v>
      </c>
      <c r="DF201" s="17" t="s">
        <v>198</v>
      </c>
      <c r="DG201" s="18">
        <v>45719.58457175926</v>
      </c>
      <c r="DH201" s="13" t="s">
        <v>205</v>
      </c>
      <c r="DI201" s="14" t="s">
        <v>179</v>
      </c>
      <c r="DJ201" s="14" t="s">
        <v>6571</v>
      </c>
      <c r="DK201" s="14" t="s">
        <v>179</v>
      </c>
      <c r="DL201" s="14" t="s">
        <v>6572</v>
      </c>
      <c r="DM201" s="14" t="s">
        <v>179</v>
      </c>
      <c r="DN201" s="14" t="s">
        <v>6573</v>
      </c>
      <c r="DO201" s="14" t="s">
        <v>179</v>
      </c>
      <c r="DP201" s="14" t="s">
        <v>6573</v>
      </c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6" t="s">
        <v>197</v>
      </c>
      <c r="ED201" s="17" t="s">
        <v>198</v>
      </c>
      <c r="EE201" s="18">
        <v>45719.584641203706</v>
      </c>
      <c r="EF201" s="13" t="s">
        <v>209</v>
      </c>
      <c r="EG201" s="14" t="s">
        <v>179</v>
      </c>
      <c r="EH201" s="14" t="s">
        <v>6574</v>
      </c>
      <c r="EI201" s="14" t="s">
        <v>179</v>
      </c>
      <c r="EJ201" s="14" t="s">
        <v>6575</v>
      </c>
      <c r="EK201" s="14" t="s">
        <v>179</v>
      </c>
      <c r="EL201" s="14" t="s">
        <v>6576</v>
      </c>
      <c r="EM201" s="14" t="s">
        <v>179</v>
      </c>
      <c r="EN201" s="14" t="s">
        <v>6577</v>
      </c>
      <c r="EO201" s="15"/>
      <c r="EP201" s="15"/>
      <c r="EQ201" s="15"/>
      <c r="ER201" s="15"/>
      <c r="ES201" s="15"/>
      <c r="ET201" s="15"/>
      <c r="EU201" s="15"/>
      <c r="EV201" s="15"/>
      <c r="EW201" s="15"/>
      <c r="EX201" s="15"/>
      <c r="EY201" s="15"/>
      <c r="EZ201" s="15"/>
      <c r="FA201" s="15"/>
      <c r="FB201" s="15"/>
      <c r="FC201" s="16" t="s">
        <v>197</v>
      </c>
      <c r="FD201" s="17" t="s">
        <v>198</v>
      </c>
      <c r="FE201" s="18">
        <v>45724.39946759259</v>
      </c>
      <c r="FF201" s="19"/>
      <c r="FG201" s="19"/>
      <c r="FH201" s="21" t="s">
        <v>197</v>
      </c>
      <c r="FI201" s="17" t="s">
        <v>214</v>
      </c>
      <c r="FJ201" s="18">
        <v>45724.39946759259</v>
      </c>
      <c r="FK201" s="14" t="s">
        <v>6577</v>
      </c>
      <c r="FL201" s="14" t="s">
        <v>6578</v>
      </c>
      <c r="FM201" s="14" t="s">
        <v>6579</v>
      </c>
      <c r="FN201" s="14" t="s">
        <v>6580</v>
      </c>
      <c r="FO201" s="14" t="s">
        <v>6581</v>
      </c>
      <c r="FP201" s="19" t="str">
        <f t="shared" si="1"/>
        <v>Base de Dados_Images/BD3001.Imagem do Equipamento-.164522.jpg</v>
      </c>
      <c r="FQ201" s="19"/>
      <c r="FR201" s="19"/>
    </row>
    <row r="202" ht="15.75" customHeight="1">
      <c r="A202" s="12" t="s">
        <v>292</v>
      </c>
      <c r="B202" s="12" t="s">
        <v>293</v>
      </c>
      <c r="C202" s="24" t="s">
        <v>512</v>
      </c>
      <c r="D202" s="22" t="s">
        <v>6582</v>
      </c>
      <c r="E202" s="22" t="s">
        <v>6583</v>
      </c>
      <c r="F202" s="13" t="s">
        <v>178</v>
      </c>
      <c r="G202" s="14" t="s">
        <v>179</v>
      </c>
      <c r="H202" s="14" t="s">
        <v>6584</v>
      </c>
      <c r="I202" s="14" t="s">
        <v>179</v>
      </c>
      <c r="J202" s="14" t="s">
        <v>6585</v>
      </c>
      <c r="K202" s="14" t="s">
        <v>179</v>
      </c>
      <c r="L202" s="14" t="s">
        <v>6586</v>
      </c>
      <c r="M202" s="14" t="s">
        <v>179</v>
      </c>
      <c r="N202" s="14" t="s">
        <v>6587</v>
      </c>
      <c r="O202" s="14" t="s">
        <v>179</v>
      </c>
      <c r="P202" s="14" t="s">
        <v>6588</v>
      </c>
      <c r="Q202" s="14" t="s">
        <v>179</v>
      </c>
      <c r="R202" s="14" t="s">
        <v>6589</v>
      </c>
      <c r="S202" s="14" t="s">
        <v>179</v>
      </c>
      <c r="T202" s="14" t="s">
        <v>6590</v>
      </c>
      <c r="U202" s="14" t="s">
        <v>179</v>
      </c>
      <c r="V202" s="14" t="s">
        <v>6591</v>
      </c>
      <c r="W202" s="14" t="s">
        <v>179</v>
      </c>
      <c r="X202" s="14" t="s">
        <v>6592</v>
      </c>
      <c r="Y202" s="14" t="s">
        <v>188</v>
      </c>
      <c r="Z202" s="14" t="s">
        <v>6593</v>
      </c>
      <c r="AA202" s="14" t="s">
        <v>179</v>
      </c>
      <c r="AB202" s="14" t="s">
        <v>6594</v>
      </c>
      <c r="AC202" s="14" t="s">
        <v>179</v>
      </c>
      <c r="AD202" s="14" t="s">
        <v>6595</v>
      </c>
      <c r="AE202" s="14" t="s">
        <v>179</v>
      </c>
      <c r="AF202" s="14" t="s">
        <v>6596</v>
      </c>
      <c r="AG202" s="14" t="s">
        <v>179</v>
      </c>
      <c r="AH202" s="14" t="s">
        <v>6597</v>
      </c>
      <c r="AI202" s="14" t="s">
        <v>179</v>
      </c>
      <c r="AJ202" s="14" t="s">
        <v>6598</v>
      </c>
      <c r="AK202" s="14" t="s">
        <v>179</v>
      </c>
      <c r="AL202" s="14" t="s">
        <v>6599</v>
      </c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6" t="s">
        <v>197</v>
      </c>
      <c r="BP202" s="17" t="s">
        <v>198</v>
      </c>
      <c r="BQ202" s="18">
        <v>45685.436006944445</v>
      </c>
      <c r="BR202" s="17" t="s">
        <v>198</v>
      </c>
      <c r="BS202" s="18">
        <v>45685.43646990741</v>
      </c>
      <c r="BT202" s="17" t="s">
        <v>198</v>
      </c>
      <c r="BU202" s="18">
        <v>45685.43646990741</v>
      </c>
      <c r="BV202" s="13" t="s">
        <v>199</v>
      </c>
      <c r="BW202" s="14" t="s">
        <v>179</v>
      </c>
      <c r="BX202" s="14" t="s">
        <v>6600</v>
      </c>
      <c r="BY202" s="14" t="s">
        <v>179</v>
      </c>
      <c r="BZ202" s="14" t="s">
        <v>6601</v>
      </c>
      <c r="CA202" s="14" t="s">
        <v>179</v>
      </c>
      <c r="CB202" s="14" t="s">
        <v>6602</v>
      </c>
      <c r="CC202" s="14" t="s">
        <v>179</v>
      </c>
      <c r="CD202" s="14" t="s">
        <v>6603</v>
      </c>
      <c r="CE202" s="14" t="s">
        <v>179</v>
      </c>
      <c r="CF202" s="14" t="s">
        <v>6604</v>
      </c>
      <c r="CG202" s="14" t="s">
        <v>179</v>
      </c>
      <c r="CH202" s="14" t="s">
        <v>6605</v>
      </c>
      <c r="CI202" s="19"/>
      <c r="CJ202" s="15"/>
      <c r="CK202" s="19"/>
      <c r="CL202" s="15"/>
      <c r="CM202" s="19"/>
      <c r="CN202" s="15"/>
      <c r="CO202" s="19"/>
      <c r="CP202" s="15"/>
      <c r="CQ202" s="15"/>
      <c r="CR202" s="15"/>
      <c r="CS202" s="19"/>
      <c r="CT202" s="15"/>
      <c r="CU202" s="19"/>
      <c r="CV202" s="15"/>
      <c r="CW202" s="19"/>
      <c r="CX202" s="15"/>
      <c r="CY202" s="19"/>
      <c r="CZ202" s="15"/>
      <c r="DA202" s="16" t="s">
        <v>197</v>
      </c>
      <c r="DB202" s="17" t="s">
        <v>198</v>
      </c>
      <c r="DC202" s="20">
        <v>45720.53256944445</v>
      </c>
      <c r="DD202" s="17" t="s">
        <v>198</v>
      </c>
      <c r="DE202" s="18">
        <v>45720.53260416666</v>
      </c>
      <c r="DF202" s="17" t="s">
        <v>198</v>
      </c>
      <c r="DG202" s="18">
        <v>45720.53260416666</v>
      </c>
      <c r="DH202" s="13" t="s">
        <v>205</v>
      </c>
      <c r="DI202" s="14" t="s">
        <v>179</v>
      </c>
      <c r="DJ202" s="14" t="s">
        <v>6606</v>
      </c>
      <c r="DK202" s="14" t="s">
        <v>179</v>
      </c>
      <c r="DL202" s="14" t="s">
        <v>6606</v>
      </c>
      <c r="DM202" s="14" t="s">
        <v>179</v>
      </c>
      <c r="DN202" s="14" t="s">
        <v>6607</v>
      </c>
      <c r="DO202" s="14" t="s">
        <v>179</v>
      </c>
      <c r="DP202" s="14" t="s">
        <v>6608</v>
      </c>
      <c r="DQ202" s="15"/>
      <c r="DR202" s="15"/>
      <c r="DS202" s="15"/>
      <c r="DT202" s="15"/>
      <c r="DU202" s="15"/>
      <c r="DV202" s="15"/>
      <c r="DW202" s="15"/>
      <c r="DX202" s="15"/>
      <c r="DY202" s="15"/>
      <c r="DZ202" s="15"/>
      <c r="EA202" s="15"/>
      <c r="EB202" s="15"/>
      <c r="EC202" s="16" t="s">
        <v>197</v>
      </c>
      <c r="ED202" s="17" t="s">
        <v>198</v>
      </c>
      <c r="EE202" s="18">
        <v>45720.53267361111</v>
      </c>
      <c r="EF202" s="13" t="s">
        <v>209</v>
      </c>
      <c r="EG202" s="14" t="s">
        <v>179</v>
      </c>
      <c r="EH202" s="14" t="s">
        <v>6609</v>
      </c>
      <c r="EI202" s="14" t="s">
        <v>179</v>
      </c>
      <c r="EJ202" s="14" t="s">
        <v>6610</v>
      </c>
      <c r="EK202" s="14" t="s">
        <v>179</v>
      </c>
      <c r="EL202" s="14" t="s">
        <v>6610</v>
      </c>
      <c r="EM202" s="14" t="s">
        <v>179</v>
      </c>
      <c r="EN202" s="14" t="s">
        <v>6611</v>
      </c>
      <c r="EO202" s="15"/>
      <c r="EP202" s="15"/>
      <c r="EQ202" s="15"/>
      <c r="ER202" s="15"/>
      <c r="ES202" s="15"/>
      <c r="ET202" s="15"/>
      <c r="EU202" s="15"/>
      <c r="EV202" s="15"/>
      <c r="EW202" s="15"/>
      <c r="EX202" s="15"/>
      <c r="EY202" s="15"/>
      <c r="EZ202" s="15"/>
      <c r="FA202" s="15"/>
      <c r="FB202" s="15"/>
      <c r="FC202" s="16" t="s">
        <v>197</v>
      </c>
      <c r="FD202" s="17" t="s">
        <v>198</v>
      </c>
      <c r="FE202" s="18">
        <v>45723.305601851855</v>
      </c>
      <c r="FF202" s="19"/>
      <c r="FG202" s="19"/>
      <c r="FH202" s="21" t="s">
        <v>197</v>
      </c>
      <c r="FI202" s="17" t="s">
        <v>214</v>
      </c>
      <c r="FJ202" s="18">
        <v>45723.305601851855</v>
      </c>
      <c r="FK202" s="14" t="s">
        <v>6611</v>
      </c>
      <c r="FL202" s="14" t="s">
        <v>6612</v>
      </c>
      <c r="FM202" s="14" t="s">
        <v>6613</v>
      </c>
      <c r="FN202" s="14" t="s">
        <v>6614</v>
      </c>
      <c r="FO202" s="14" t="s">
        <v>6615</v>
      </c>
      <c r="FP202" s="19" t="str">
        <f t="shared" si="1"/>
        <v>Base de Dados_Images/BD3003.Imagem do Equipamento-.164354.jpg</v>
      </c>
      <c r="FQ202" s="19"/>
      <c r="FR202" s="19"/>
    </row>
    <row r="203" ht="15.75" customHeight="1">
      <c r="A203" s="12" t="s">
        <v>292</v>
      </c>
      <c r="B203" s="12" t="s">
        <v>293</v>
      </c>
      <c r="C203" s="24" t="s">
        <v>512</v>
      </c>
      <c r="D203" s="22" t="s">
        <v>6616</v>
      </c>
      <c r="E203" s="22" t="s">
        <v>6617</v>
      </c>
      <c r="F203" s="13" t="s">
        <v>178</v>
      </c>
      <c r="G203" s="14" t="s">
        <v>179</v>
      </c>
      <c r="H203" s="14" t="s">
        <v>6618</v>
      </c>
      <c r="I203" s="14" t="s">
        <v>179</v>
      </c>
      <c r="J203" s="14" t="s">
        <v>6619</v>
      </c>
      <c r="K203" s="14" t="s">
        <v>179</v>
      </c>
      <c r="L203" s="14" t="s">
        <v>6620</v>
      </c>
      <c r="M203" s="14" t="s">
        <v>179</v>
      </c>
      <c r="N203" s="14" t="s">
        <v>6621</v>
      </c>
      <c r="O203" s="14" t="s">
        <v>179</v>
      </c>
      <c r="P203" s="14" t="s">
        <v>6621</v>
      </c>
      <c r="Q203" s="14" t="s">
        <v>179</v>
      </c>
      <c r="R203" s="14" t="s">
        <v>6622</v>
      </c>
      <c r="S203" s="14" t="s">
        <v>179</v>
      </c>
      <c r="T203" s="14" t="s">
        <v>6623</v>
      </c>
      <c r="U203" s="14" t="s">
        <v>179</v>
      </c>
      <c r="V203" s="14" t="s">
        <v>6623</v>
      </c>
      <c r="W203" s="14" t="s">
        <v>179</v>
      </c>
      <c r="X203" s="14" t="s">
        <v>6624</v>
      </c>
      <c r="Y203" s="14" t="s">
        <v>188</v>
      </c>
      <c r="Z203" s="14" t="s">
        <v>6625</v>
      </c>
      <c r="AA203" s="14" t="s">
        <v>179</v>
      </c>
      <c r="AB203" s="14" t="s">
        <v>6626</v>
      </c>
      <c r="AC203" s="14" t="s">
        <v>179</v>
      </c>
      <c r="AD203" s="14" t="s">
        <v>6627</v>
      </c>
      <c r="AE203" s="14" t="s">
        <v>179</v>
      </c>
      <c r="AF203" s="14" t="s">
        <v>6628</v>
      </c>
      <c r="AG203" s="14" t="s">
        <v>179</v>
      </c>
      <c r="AH203" s="14" t="s">
        <v>6629</v>
      </c>
      <c r="AI203" s="14" t="s">
        <v>179</v>
      </c>
      <c r="AJ203" s="14" t="s">
        <v>6629</v>
      </c>
      <c r="AK203" s="14" t="s">
        <v>179</v>
      </c>
      <c r="AL203" s="14" t="s">
        <v>6630</v>
      </c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6" t="s">
        <v>197</v>
      </c>
      <c r="BP203" s="17" t="s">
        <v>198</v>
      </c>
      <c r="BQ203" s="18">
        <v>45688.471238425926</v>
      </c>
      <c r="BR203" s="17" t="s">
        <v>198</v>
      </c>
      <c r="BS203" s="18">
        <v>45688.47125</v>
      </c>
      <c r="BT203" s="17" t="s">
        <v>198</v>
      </c>
      <c r="BU203" s="18">
        <v>45688.47125</v>
      </c>
      <c r="BV203" s="13" t="s">
        <v>199</v>
      </c>
      <c r="BW203" s="14" t="s">
        <v>179</v>
      </c>
      <c r="BX203" s="14" t="s">
        <v>6631</v>
      </c>
      <c r="BY203" s="14" t="s">
        <v>179</v>
      </c>
      <c r="BZ203" s="14" t="s">
        <v>6632</v>
      </c>
      <c r="CA203" s="14" t="s">
        <v>179</v>
      </c>
      <c r="CB203" s="14" t="s">
        <v>6633</v>
      </c>
      <c r="CC203" s="14" t="s">
        <v>179</v>
      </c>
      <c r="CD203" s="14" t="s">
        <v>6632</v>
      </c>
      <c r="CE203" s="14" t="s">
        <v>179</v>
      </c>
      <c r="CF203" s="14" t="s">
        <v>6634</v>
      </c>
      <c r="CG203" s="14" t="s">
        <v>188</v>
      </c>
      <c r="CH203" s="14" t="s">
        <v>6635</v>
      </c>
      <c r="CI203" s="19"/>
      <c r="CJ203" s="15"/>
      <c r="CK203" s="19"/>
      <c r="CL203" s="15"/>
      <c r="CM203" s="19"/>
      <c r="CN203" s="15"/>
      <c r="CO203" s="19"/>
      <c r="CP203" s="15"/>
      <c r="CQ203" s="15"/>
      <c r="CR203" s="15"/>
      <c r="CS203" s="19"/>
      <c r="CT203" s="15"/>
      <c r="CU203" s="19"/>
      <c r="CV203" s="15"/>
      <c r="CW203" s="19"/>
      <c r="CX203" s="15"/>
      <c r="CY203" s="19"/>
      <c r="CZ203" s="15"/>
      <c r="DA203" s="16" t="s">
        <v>197</v>
      </c>
      <c r="DB203" s="17" t="s">
        <v>198</v>
      </c>
      <c r="DC203" s="20">
        <v>45720.55971064815</v>
      </c>
      <c r="DD203" s="17" t="s">
        <v>198</v>
      </c>
      <c r="DE203" s="18">
        <v>45720.559895833336</v>
      </c>
      <c r="DF203" s="17" t="s">
        <v>198</v>
      </c>
      <c r="DG203" s="18">
        <v>45720.559895833336</v>
      </c>
      <c r="DH203" s="13" t="s">
        <v>205</v>
      </c>
      <c r="DI203" s="14" t="s">
        <v>179</v>
      </c>
      <c r="DJ203" s="14" t="s">
        <v>6636</v>
      </c>
      <c r="DK203" s="14" t="s">
        <v>179</v>
      </c>
      <c r="DL203" s="14" t="s">
        <v>6636</v>
      </c>
      <c r="DM203" s="14" t="s">
        <v>179</v>
      </c>
      <c r="DN203" s="14" t="s">
        <v>6637</v>
      </c>
      <c r="DO203" s="14" t="s">
        <v>179</v>
      </c>
      <c r="DP203" s="14" t="s">
        <v>6638</v>
      </c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6" t="s">
        <v>197</v>
      </c>
      <c r="ED203" s="17" t="s">
        <v>198</v>
      </c>
      <c r="EE203" s="18">
        <v>45720.55980324074</v>
      </c>
      <c r="EF203" s="13" t="s">
        <v>209</v>
      </c>
      <c r="EG203" s="14" t="s">
        <v>179</v>
      </c>
      <c r="EH203" s="14" t="s">
        <v>6639</v>
      </c>
      <c r="EI203" s="14" t="s">
        <v>179</v>
      </c>
      <c r="EJ203" s="14" t="s">
        <v>6639</v>
      </c>
      <c r="EK203" s="14" t="s">
        <v>179</v>
      </c>
      <c r="EL203" s="14" t="s">
        <v>6640</v>
      </c>
      <c r="EM203" s="14" t="s">
        <v>179</v>
      </c>
      <c r="EN203" s="14" t="s">
        <v>6641</v>
      </c>
      <c r="EO203" s="15"/>
      <c r="EP203" s="15"/>
      <c r="EQ203" s="15"/>
      <c r="ER203" s="15"/>
      <c r="ES203" s="15"/>
      <c r="ET203" s="15"/>
      <c r="EU203" s="15"/>
      <c r="EV203" s="15"/>
      <c r="EW203" s="15"/>
      <c r="EX203" s="15"/>
      <c r="EY203" s="15"/>
      <c r="EZ203" s="15"/>
      <c r="FA203" s="15"/>
      <c r="FB203" s="15"/>
      <c r="FC203" s="16" t="s">
        <v>197</v>
      </c>
      <c r="FD203" s="17" t="s">
        <v>198</v>
      </c>
      <c r="FE203" s="18">
        <v>45723.30569444445</v>
      </c>
      <c r="FF203" s="19"/>
      <c r="FG203" s="19"/>
      <c r="FH203" s="21" t="s">
        <v>197</v>
      </c>
      <c r="FI203" s="17" t="s">
        <v>214</v>
      </c>
      <c r="FJ203" s="18">
        <v>45723.30569444445</v>
      </c>
      <c r="FK203" s="14" t="s">
        <v>6641</v>
      </c>
      <c r="FL203" s="14" t="s">
        <v>6642</v>
      </c>
      <c r="FM203" s="14" t="s">
        <v>6643</v>
      </c>
      <c r="FN203" s="19"/>
      <c r="FO203" s="19"/>
      <c r="FP203" s="19" t="str">
        <f t="shared" si="1"/>
        <v>Base de Dados_Images/BD3004.Imagem do Equipamento-.154218.jpg</v>
      </c>
      <c r="FQ203" s="19"/>
      <c r="FR203" s="19"/>
    </row>
    <row r="204" ht="15.75" customHeight="1">
      <c r="A204" s="12" t="s">
        <v>292</v>
      </c>
      <c r="B204" s="12" t="s">
        <v>6644</v>
      </c>
      <c r="C204" s="24" t="s">
        <v>512</v>
      </c>
      <c r="D204" s="22" t="s">
        <v>6645</v>
      </c>
      <c r="E204" s="22" t="s">
        <v>6646</v>
      </c>
      <c r="F204" s="13" t="s">
        <v>178</v>
      </c>
      <c r="G204" s="14" t="s">
        <v>179</v>
      </c>
      <c r="H204" s="14" t="s">
        <v>6647</v>
      </c>
      <c r="I204" s="14" t="s">
        <v>179</v>
      </c>
      <c r="J204" s="14" t="s">
        <v>6648</v>
      </c>
      <c r="K204" s="14" t="s">
        <v>179</v>
      </c>
      <c r="L204" s="14" t="s">
        <v>6649</v>
      </c>
      <c r="M204" s="14" t="s">
        <v>179</v>
      </c>
      <c r="N204" s="14" t="s">
        <v>6650</v>
      </c>
      <c r="O204" s="14" t="s">
        <v>179</v>
      </c>
      <c r="P204" s="14" t="s">
        <v>6651</v>
      </c>
      <c r="Q204" s="14" t="s">
        <v>179</v>
      </c>
      <c r="R204" s="14" t="s">
        <v>6652</v>
      </c>
      <c r="S204" s="14" t="s">
        <v>179</v>
      </c>
      <c r="T204" s="14" t="s">
        <v>6653</v>
      </c>
      <c r="U204" s="14" t="s">
        <v>179</v>
      </c>
      <c r="V204" s="14" t="s">
        <v>6654</v>
      </c>
      <c r="W204" s="14" t="s">
        <v>179</v>
      </c>
      <c r="X204" s="14" t="s">
        <v>6655</v>
      </c>
      <c r="Y204" s="14" t="s">
        <v>188</v>
      </c>
      <c r="Z204" s="14" t="s">
        <v>6656</v>
      </c>
      <c r="AA204" s="14" t="s">
        <v>179</v>
      </c>
      <c r="AB204" s="14" t="s">
        <v>6657</v>
      </c>
      <c r="AC204" s="14" t="s">
        <v>179</v>
      </c>
      <c r="AD204" s="14" t="s">
        <v>6658</v>
      </c>
      <c r="AE204" s="14" t="s">
        <v>179</v>
      </c>
      <c r="AF204" s="14" t="s">
        <v>6659</v>
      </c>
      <c r="AG204" s="14" t="s">
        <v>188</v>
      </c>
      <c r="AH204" s="14" t="s">
        <v>6660</v>
      </c>
      <c r="AI204" s="14" t="s">
        <v>179</v>
      </c>
      <c r="AJ204" s="14" t="s">
        <v>6661</v>
      </c>
      <c r="AK204" s="14" t="s">
        <v>179</v>
      </c>
      <c r="AL204" s="14" t="s">
        <v>6662</v>
      </c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6" t="s">
        <v>197</v>
      </c>
      <c r="BP204" s="17" t="s">
        <v>198</v>
      </c>
      <c r="BQ204" s="18">
        <v>45685.39084490741</v>
      </c>
      <c r="BR204" s="17" t="s">
        <v>198</v>
      </c>
      <c r="BS204" s="18">
        <v>45685.391238425924</v>
      </c>
      <c r="BT204" s="17" t="s">
        <v>198</v>
      </c>
      <c r="BU204" s="18">
        <v>45685.391238425924</v>
      </c>
      <c r="BV204" s="13" t="s">
        <v>199</v>
      </c>
      <c r="BW204" s="14" t="s">
        <v>179</v>
      </c>
      <c r="BX204" s="14" t="s">
        <v>6663</v>
      </c>
      <c r="BY204" s="14" t="s">
        <v>179</v>
      </c>
      <c r="BZ204" s="14" t="s">
        <v>6664</v>
      </c>
      <c r="CA204" s="14" t="s">
        <v>179</v>
      </c>
      <c r="CB204" s="14" t="s">
        <v>6665</v>
      </c>
      <c r="CC204" s="14" t="s">
        <v>188</v>
      </c>
      <c r="CD204" s="14" t="s">
        <v>6666</v>
      </c>
      <c r="CE204" s="14" t="s">
        <v>179</v>
      </c>
      <c r="CF204" s="14" t="s">
        <v>6667</v>
      </c>
      <c r="CG204" s="14" t="s">
        <v>188</v>
      </c>
      <c r="CH204" s="14" t="s">
        <v>6668</v>
      </c>
      <c r="CI204" s="19"/>
      <c r="CJ204" s="15"/>
      <c r="CK204" s="19"/>
      <c r="CL204" s="15"/>
      <c r="CM204" s="19"/>
      <c r="CN204" s="15"/>
      <c r="CO204" s="19"/>
      <c r="CP204" s="15"/>
      <c r="CQ204" s="15"/>
      <c r="CR204" s="15"/>
      <c r="CS204" s="19"/>
      <c r="CT204" s="15"/>
      <c r="CU204" s="19"/>
      <c r="CV204" s="15"/>
      <c r="CW204" s="19"/>
      <c r="CX204" s="15"/>
      <c r="CY204" s="19"/>
      <c r="CZ204" s="15"/>
      <c r="DA204" s="16" t="s">
        <v>197</v>
      </c>
      <c r="DB204" s="17" t="s">
        <v>198</v>
      </c>
      <c r="DC204" s="20">
        <v>45696.3425</v>
      </c>
      <c r="DD204" s="17" t="s">
        <v>198</v>
      </c>
      <c r="DE204" s="18">
        <v>45696.342569444445</v>
      </c>
      <c r="DF204" s="17" t="s">
        <v>198</v>
      </c>
      <c r="DG204" s="18">
        <v>45696.342569444445</v>
      </c>
      <c r="DH204" s="13" t="s">
        <v>205</v>
      </c>
      <c r="DI204" s="14" t="s">
        <v>179</v>
      </c>
      <c r="DJ204" s="14" t="s">
        <v>6669</v>
      </c>
      <c r="DK204" s="14" t="s">
        <v>179</v>
      </c>
      <c r="DL204" s="14" t="s">
        <v>6670</v>
      </c>
      <c r="DM204" s="14" t="s">
        <v>179</v>
      </c>
      <c r="DN204" s="14" t="s">
        <v>6671</v>
      </c>
      <c r="DO204" s="14" t="s">
        <v>179</v>
      </c>
      <c r="DP204" s="14" t="s">
        <v>6672</v>
      </c>
      <c r="DQ204" s="15"/>
      <c r="DR204" s="15"/>
      <c r="DS204" s="15"/>
      <c r="DT204" s="15"/>
      <c r="DU204" s="15"/>
      <c r="DV204" s="15"/>
      <c r="DW204" s="15"/>
      <c r="DX204" s="15"/>
      <c r="DY204" s="15"/>
      <c r="DZ204" s="15"/>
      <c r="EA204" s="15"/>
      <c r="EB204" s="15"/>
      <c r="EC204" s="16" t="s">
        <v>197</v>
      </c>
      <c r="ED204" s="17" t="s">
        <v>198</v>
      </c>
      <c r="EE204" s="18">
        <v>45696.34269675926</v>
      </c>
      <c r="EF204" s="13" t="s">
        <v>209</v>
      </c>
      <c r="EG204" s="14" t="s">
        <v>179</v>
      </c>
      <c r="EH204" s="14" t="s">
        <v>6673</v>
      </c>
      <c r="EI204" s="14" t="s">
        <v>179</v>
      </c>
      <c r="EJ204" s="14" t="s">
        <v>6674</v>
      </c>
      <c r="EK204" s="14" t="s">
        <v>179</v>
      </c>
      <c r="EL204" s="14" t="s">
        <v>6675</v>
      </c>
      <c r="EM204" s="14" t="s">
        <v>179</v>
      </c>
      <c r="EN204" s="14" t="s">
        <v>6676</v>
      </c>
      <c r="EO204" s="15"/>
      <c r="EP204" s="15"/>
      <c r="EQ204" s="15"/>
      <c r="ER204" s="15"/>
      <c r="ES204" s="15"/>
      <c r="ET204" s="15"/>
      <c r="EU204" s="15"/>
      <c r="EV204" s="15"/>
      <c r="EW204" s="15"/>
      <c r="EX204" s="15"/>
      <c r="EY204" s="15"/>
      <c r="EZ204" s="15"/>
      <c r="FA204" s="15"/>
      <c r="FB204" s="15"/>
      <c r="FC204" s="16" t="s">
        <v>197</v>
      </c>
      <c r="FD204" s="17" t="s">
        <v>198</v>
      </c>
      <c r="FE204" s="18">
        <v>45723.30331018518</v>
      </c>
      <c r="FF204" s="19"/>
      <c r="FG204" s="19"/>
      <c r="FH204" s="21" t="s">
        <v>197</v>
      </c>
      <c r="FI204" s="17" t="s">
        <v>214</v>
      </c>
      <c r="FJ204" s="18">
        <v>45723.30331018518</v>
      </c>
      <c r="FK204" s="14" t="s">
        <v>6676</v>
      </c>
      <c r="FL204" s="19"/>
      <c r="FM204" s="19"/>
      <c r="FN204" s="19"/>
      <c r="FO204" s="19"/>
      <c r="FP204" s="19" t="str">
        <f t="shared" si="1"/>
        <v/>
      </c>
      <c r="FQ204" s="14" t="s">
        <v>215</v>
      </c>
      <c r="FR204" s="14" t="s">
        <v>6677</v>
      </c>
    </row>
    <row r="205" ht="15.75" customHeight="1">
      <c r="A205" s="12" t="s">
        <v>292</v>
      </c>
      <c r="B205" s="12" t="s">
        <v>6678</v>
      </c>
      <c r="C205" s="24" t="s">
        <v>512</v>
      </c>
      <c r="D205" s="22" t="s">
        <v>6679</v>
      </c>
      <c r="E205" s="22" t="s">
        <v>6680</v>
      </c>
      <c r="F205" s="13" t="s">
        <v>178</v>
      </c>
      <c r="G205" s="14" t="s">
        <v>179</v>
      </c>
      <c r="H205" s="14" t="s">
        <v>6681</v>
      </c>
      <c r="I205" s="14" t="s">
        <v>179</v>
      </c>
      <c r="J205" s="14" t="s">
        <v>6682</v>
      </c>
      <c r="K205" s="14" t="s">
        <v>179</v>
      </c>
      <c r="L205" s="14" t="s">
        <v>6683</v>
      </c>
      <c r="M205" s="14" t="s">
        <v>179</v>
      </c>
      <c r="N205" s="14" t="s">
        <v>6684</v>
      </c>
      <c r="O205" s="14" t="s">
        <v>179</v>
      </c>
      <c r="P205" s="14" t="s">
        <v>6685</v>
      </c>
      <c r="Q205" s="14" t="s">
        <v>179</v>
      </c>
      <c r="R205" s="14" t="s">
        <v>6686</v>
      </c>
      <c r="S205" s="14" t="s">
        <v>179</v>
      </c>
      <c r="T205" s="14" t="s">
        <v>6687</v>
      </c>
      <c r="U205" s="14" t="s">
        <v>179</v>
      </c>
      <c r="V205" s="14" t="s">
        <v>6688</v>
      </c>
      <c r="W205" s="14" t="s">
        <v>179</v>
      </c>
      <c r="X205" s="14" t="s">
        <v>6689</v>
      </c>
      <c r="Y205" s="14" t="s">
        <v>188</v>
      </c>
      <c r="Z205" s="14" t="s">
        <v>6690</v>
      </c>
      <c r="AA205" s="14" t="s">
        <v>179</v>
      </c>
      <c r="AB205" s="14" t="s">
        <v>6691</v>
      </c>
      <c r="AC205" s="14" t="s">
        <v>179</v>
      </c>
      <c r="AD205" s="14" t="s">
        <v>6692</v>
      </c>
      <c r="AE205" s="14" t="s">
        <v>179</v>
      </c>
      <c r="AF205" s="14" t="s">
        <v>6693</v>
      </c>
      <c r="AG205" s="14" t="s">
        <v>179</v>
      </c>
      <c r="AH205" s="14" t="s">
        <v>6694</v>
      </c>
      <c r="AI205" s="14" t="s">
        <v>179</v>
      </c>
      <c r="AJ205" s="14" t="s">
        <v>6695</v>
      </c>
      <c r="AK205" s="14" t="s">
        <v>179</v>
      </c>
      <c r="AL205" s="14" t="s">
        <v>6696</v>
      </c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6" t="s">
        <v>197</v>
      </c>
      <c r="BP205" s="17" t="s">
        <v>198</v>
      </c>
      <c r="BQ205" s="18">
        <v>45685.39381944444</v>
      </c>
      <c r="BR205" s="17" t="s">
        <v>198</v>
      </c>
      <c r="BS205" s="18">
        <v>45685.394155092596</v>
      </c>
      <c r="BT205" s="17" t="s">
        <v>198</v>
      </c>
      <c r="BU205" s="18">
        <v>45685.394155092596</v>
      </c>
      <c r="BV205" s="13" t="s">
        <v>199</v>
      </c>
      <c r="BW205" s="14" t="s">
        <v>179</v>
      </c>
      <c r="BX205" s="14" t="s">
        <v>6697</v>
      </c>
      <c r="BY205" s="14" t="s">
        <v>179</v>
      </c>
      <c r="BZ205" s="14" t="s">
        <v>6698</v>
      </c>
      <c r="CA205" s="14" t="s">
        <v>179</v>
      </c>
      <c r="CB205" s="14" t="s">
        <v>6699</v>
      </c>
      <c r="CC205" s="14" t="s">
        <v>179</v>
      </c>
      <c r="CD205" s="14" t="s">
        <v>6700</v>
      </c>
      <c r="CE205" s="14" t="s">
        <v>179</v>
      </c>
      <c r="CF205" s="14" t="s">
        <v>6701</v>
      </c>
      <c r="CG205" s="14" t="s">
        <v>179</v>
      </c>
      <c r="CH205" s="14" t="s">
        <v>6702</v>
      </c>
      <c r="CI205" s="19"/>
      <c r="CJ205" s="15"/>
      <c r="CK205" s="19"/>
      <c r="CL205" s="15"/>
      <c r="CM205" s="19"/>
      <c r="CN205" s="15"/>
      <c r="CO205" s="19"/>
      <c r="CP205" s="15"/>
      <c r="CQ205" s="15"/>
      <c r="CR205" s="15"/>
      <c r="CS205" s="19"/>
      <c r="CT205" s="15"/>
      <c r="CU205" s="19"/>
      <c r="CV205" s="15"/>
      <c r="CW205" s="19"/>
      <c r="CX205" s="15"/>
      <c r="CY205" s="19"/>
      <c r="CZ205" s="15"/>
      <c r="DA205" s="16" t="s">
        <v>197</v>
      </c>
      <c r="DB205" s="17" t="s">
        <v>198</v>
      </c>
      <c r="DC205" s="20">
        <v>45719.585810185185</v>
      </c>
      <c r="DD205" s="17" t="s">
        <v>198</v>
      </c>
      <c r="DE205" s="18">
        <v>45719.58584490741</v>
      </c>
      <c r="DF205" s="17" t="s">
        <v>198</v>
      </c>
      <c r="DG205" s="18">
        <v>45719.58584490741</v>
      </c>
      <c r="DH205" s="13" t="s">
        <v>205</v>
      </c>
      <c r="DI205" s="14" t="s">
        <v>179</v>
      </c>
      <c r="DJ205" s="14" t="s">
        <v>6703</v>
      </c>
      <c r="DK205" s="14" t="s">
        <v>179</v>
      </c>
      <c r="DL205" s="14" t="s">
        <v>6704</v>
      </c>
      <c r="DM205" s="14" t="s">
        <v>179</v>
      </c>
      <c r="DN205" s="14" t="s">
        <v>6705</v>
      </c>
      <c r="DO205" s="14" t="s">
        <v>179</v>
      </c>
      <c r="DP205" s="14" t="s">
        <v>6706</v>
      </c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6" t="s">
        <v>197</v>
      </c>
      <c r="ED205" s="17" t="s">
        <v>198</v>
      </c>
      <c r="EE205" s="18">
        <v>45719.585914351854</v>
      </c>
      <c r="EF205" s="13" t="s">
        <v>209</v>
      </c>
      <c r="EG205" s="14" t="s">
        <v>179</v>
      </c>
      <c r="EH205" s="14" t="s">
        <v>6707</v>
      </c>
      <c r="EI205" s="14" t="s">
        <v>179</v>
      </c>
      <c r="EJ205" s="14" t="s">
        <v>6708</v>
      </c>
      <c r="EK205" s="14" t="s">
        <v>179</v>
      </c>
      <c r="EL205" s="14" t="s">
        <v>6709</v>
      </c>
      <c r="EM205" s="14" t="s">
        <v>179</v>
      </c>
      <c r="EN205" s="14" t="s">
        <v>6710</v>
      </c>
      <c r="EO205" s="15"/>
      <c r="EP205" s="15"/>
      <c r="EQ205" s="15"/>
      <c r="ER205" s="15"/>
      <c r="ES205" s="15"/>
      <c r="ET205" s="15"/>
      <c r="EU205" s="15"/>
      <c r="EV205" s="15"/>
      <c r="EW205" s="15"/>
      <c r="EX205" s="15"/>
      <c r="EY205" s="15"/>
      <c r="EZ205" s="15"/>
      <c r="FA205" s="15"/>
      <c r="FB205" s="15"/>
      <c r="FC205" s="16" t="s">
        <v>197</v>
      </c>
      <c r="FD205" s="17" t="s">
        <v>198</v>
      </c>
      <c r="FE205" s="18">
        <v>45723.334756944445</v>
      </c>
      <c r="FF205" s="19"/>
      <c r="FG205" s="19"/>
      <c r="FH205" s="21" t="s">
        <v>197</v>
      </c>
      <c r="FI205" s="17" t="s">
        <v>214</v>
      </c>
      <c r="FJ205" s="18">
        <v>45723.334756944445</v>
      </c>
      <c r="FK205" s="14" t="s">
        <v>6709</v>
      </c>
      <c r="FL205" s="14" t="s">
        <v>6711</v>
      </c>
      <c r="FM205" s="14" t="s">
        <v>6712</v>
      </c>
      <c r="FN205" s="14" t="s">
        <v>6713</v>
      </c>
      <c r="FO205" s="14" t="s">
        <v>6714</v>
      </c>
      <c r="FP205" s="19" t="str">
        <f t="shared" si="1"/>
        <v>Base de Dados_Images/BD3202.Imagem do Equipamento-.163047.jpg</v>
      </c>
      <c r="FQ205" s="19"/>
      <c r="FR205" s="19"/>
    </row>
    <row r="206" ht="15.75" customHeight="1">
      <c r="A206" s="12" t="s">
        <v>217</v>
      </c>
      <c r="B206" s="12" t="s">
        <v>6715</v>
      </c>
      <c r="C206" s="24" t="s">
        <v>512</v>
      </c>
      <c r="D206" s="22" t="s">
        <v>6716</v>
      </c>
      <c r="E206" s="22" t="s">
        <v>6717</v>
      </c>
      <c r="F206" s="13" t="s">
        <v>178</v>
      </c>
      <c r="G206" s="14" t="s">
        <v>179</v>
      </c>
      <c r="H206" s="14" t="s">
        <v>6718</v>
      </c>
      <c r="I206" s="14" t="s">
        <v>179</v>
      </c>
      <c r="J206" s="14" t="s">
        <v>6719</v>
      </c>
      <c r="K206" s="14" t="s">
        <v>179</v>
      </c>
      <c r="L206" s="14" t="s">
        <v>6719</v>
      </c>
      <c r="M206" s="14" t="s">
        <v>179</v>
      </c>
      <c r="N206" s="14" t="s">
        <v>6720</v>
      </c>
      <c r="O206" s="14" t="s">
        <v>179</v>
      </c>
      <c r="P206" s="14" t="s">
        <v>6721</v>
      </c>
      <c r="Q206" s="14" t="s">
        <v>179</v>
      </c>
      <c r="R206" s="14" t="s">
        <v>6722</v>
      </c>
      <c r="S206" s="14" t="s">
        <v>179</v>
      </c>
      <c r="T206" s="14" t="s">
        <v>6723</v>
      </c>
      <c r="U206" s="14" t="s">
        <v>179</v>
      </c>
      <c r="V206" s="14" t="s">
        <v>6724</v>
      </c>
      <c r="W206" s="14" t="s">
        <v>188</v>
      </c>
      <c r="X206" s="14" t="s">
        <v>6725</v>
      </c>
      <c r="Y206" s="14" t="s">
        <v>188</v>
      </c>
      <c r="Z206" s="14" t="s">
        <v>6726</v>
      </c>
      <c r="AA206" s="14" t="s">
        <v>179</v>
      </c>
      <c r="AB206" s="14" t="s">
        <v>6727</v>
      </c>
      <c r="AC206" s="14" t="s">
        <v>179</v>
      </c>
      <c r="AD206" s="14" t="s">
        <v>6728</v>
      </c>
      <c r="AE206" s="14" t="s">
        <v>179</v>
      </c>
      <c r="AF206" s="14" t="s">
        <v>6729</v>
      </c>
      <c r="AG206" s="14" t="s">
        <v>179</v>
      </c>
      <c r="AH206" s="14" t="s">
        <v>6730</v>
      </c>
      <c r="AI206" s="14" t="s">
        <v>179</v>
      </c>
      <c r="AJ206" s="14" t="s">
        <v>6731</v>
      </c>
      <c r="AK206" s="14" t="s">
        <v>179</v>
      </c>
      <c r="AL206" s="14" t="s">
        <v>6732</v>
      </c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6" t="s">
        <v>197</v>
      </c>
      <c r="BP206" s="17" t="s">
        <v>198</v>
      </c>
      <c r="BQ206" s="18">
        <v>45685.35689814815</v>
      </c>
      <c r="BR206" s="17" t="s">
        <v>198</v>
      </c>
      <c r="BS206" s="18">
        <v>45685.35706018518</v>
      </c>
      <c r="BT206" s="17" t="s">
        <v>198</v>
      </c>
      <c r="BU206" s="18">
        <v>45685.35706018518</v>
      </c>
      <c r="BV206" s="13" t="s">
        <v>199</v>
      </c>
      <c r="BW206" s="14" t="s">
        <v>179</v>
      </c>
      <c r="BX206" s="14" t="s">
        <v>6733</v>
      </c>
      <c r="BY206" s="14" t="s">
        <v>179</v>
      </c>
      <c r="BZ206" s="14" t="s">
        <v>6734</v>
      </c>
      <c r="CA206" s="14" t="s">
        <v>179</v>
      </c>
      <c r="CB206" s="14" t="s">
        <v>6735</v>
      </c>
      <c r="CC206" s="14" t="s">
        <v>179</v>
      </c>
      <c r="CD206" s="14" t="s">
        <v>6736</v>
      </c>
      <c r="CE206" s="14" t="s">
        <v>179</v>
      </c>
      <c r="CF206" s="14" t="s">
        <v>6737</v>
      </c>
      <c r="CG206" s="14" t="s">
        <v>179</v>
      </c>
      <c r="CH206" s="14" t="s">
        <v>6738</v>
      </c>
      <c r="CI206" s="19"/>
      <c r="CJ206" s="15"/>
      <c r="CK206" s="19"/>
      <c r="CL206" s="15"/>
      <c r="CM206" s="19"/>
      <c r="CN206" s="15"/>
      <c r="CO206" s="19"/>
      <c r="CP206" s="15"/>
      <c r="CQ206" s="15"/>
      <c r="CR206" s="15"/>
      <c r="CS206" s="19"/>
      <c r="CT206" s="15"/>
      <c r="CU206" s="19"/>
      <c r="CV206" s="15"/>
      <c r="CW206" s="19"/>
      <c r="CX206" s="15"/>
      <c r="CY206" s="19"/>
      <c r="CZ206" s="15"/>
      <c r="DA206" s="16" t="s">
        <v>197</v>
      </c>
      <c r="DB206" s="17" t="s">
        <v>198</v>
      </c>
      <c r="DC206" s="20">
        <v>45692.60381944444</v>
      </c>
      <c r="DD206" s="17" t="s">
        <v>198</v>
      </c>
      <c r="DE206" s="18">
        <v>45692.603900462964</v>
      </c>
      <c r="DF206" s="17" t="s">
        <v>198</v>
      </c>
      <c r="DG206" s="18">
        <v>45692.603900462964</v>
      </c>
      <c r="DH206" s="13" t="s">
        <v>205</v>
      </c>
      <c r="DI206" s="14" t="s">
        <v>179</v>
      </c>
      <c r="DJ206" s="14" t="s">
        <v>6739</v>
      </c>
      <c r="DK206" s="14" t="s">
        <v>179</v>
      </c>
      <c r="DL206" s="14" t="s">
        <v>6740</v>
      </c>
      <c r="DM206" s="14" t="s">
        <v>179</v>
      </c>
      <c r="DN206" s="14" t="s">
        <v>6741</v>
      </c>
      <c r="DO206" s="14" t="s">
        <v>179</v>
      </c>
      <c r="DP206" s="14" t="s">
        <v>6742</v>
      </c>
      <c r="DQ206" s="15"/>
      <c r="DR206" s="15"/>
      <c r="DS206" s="15"/>
      <c r="DT206" s="15"/>
      <c r="DU206" s="15"/>
      <c r="DV206" s="15"/>
      <c r="DW206" s="15"/>
      <c r="DX206" s="15"/>
      <c r="DY206" s="15"/>
      <c r="DZ206" s="15"/>
      <c r="EA206" s="15"/>
      <c r="EB206" s="15"/>
      <c r="EC206" s="16" t="s">
        <v>197</v>
      </c>
      <c r="ED206" s="17" t="s">
        <v>198</v>
      </c>
      <c r="EE206" s="18">
        <v>45723.35451388889</v>
      </c>
      <c r="EF206" s="13" t="s">
        <v>209</v>
      </c>
      <c r="EG206" s="14" t="s">
        <v>179</v>
      </c>
      <c r="EH206" s="14" t="s">
        <v>6743</v>
      </c>
      <c r="EI206" s="14" t="s">
        <v>179</v>
      </c>
      <c r="EJ206" s="14" t="s">
        <v>6744</v>
      </c>
      <c r="EK206" s="14" t="s">
        <v>179</v>
      </c>
      <c r="EL206" s="14" t="s">
        <v>6744</v>
      </c>
      <c r="EM206" s="14" t="s">
        <v>179</v>
      </c>
      <c r="EN206" s="14" t="s">
        <v>6745</v>
      </c>
      <c r="EO206" s="15"/>
      <c r="EP206" s="15"/>
      <c r="EQ206" s="15"/>
      <c r="ER206" s="15"/>
      <c r="ES206" s="15"/>
      <c r="ET206" s="15"/>
      <c r="EU206" s="15"/>
      <c r="EV206" s="15"/>
      <c r="EW206" s="15"/>
      <c r="EX206" s="15"/>
      <c r="EY206" s="15"/>
      <c r="EZ206" s="15"/>
      <c r="FA206" s="15"/>
      <c r="FB206" s="15"/>
      <c r="FC206" s="16" t="s">
        <v>197</v>
      </c>
      <c r="FD206" s="17" t="s">
        <v>198</v>
      </c>
      <c r="FE206" s="18">
        <v>45723.354583333334</v>
      </c>
      <c r="FF206" s="19"/>
      <c r="FG206" s="19"/>
      <c r="FH206" s="21" t="s">
        <v>197</v>
      </c>
      <c r="FI206" s="17" t="s">
        <v>214</v>
      </c>
      <c r="FJ206" s="18">
        <v>45723.354583333334</v>
      </c>
      <c r="FK206" s="14" t="s">
        <v>6745</v>
      </c>
      <c r="FL206" s="14" t="s">
        <v>6746</v>
      </c>
      <c r="FM206" s="14" t="s">
        <v>6747</v>
      </c>
      <c r="FN206" s="14" t="s">
        <v>6748</v>
      </c>
      <c r="FO206" s="14" t="s">
        <v>6749</v>
      </c>
      <c r="FP206" s="19" t="str">
        <f t="shared" si="1"/>
        <v>Base de Dados_Images/BD4001.Imagem do Equipamento-.131558.jpg</v>
      </c>
      <c r="FQ206" s="19"/>
      <c r="FR206" s="19"/>
    </row>
    <row r="207" ht="15.75" customHeight="1">
      <c r="A207" s="12" t="s">
        <v>217</v>
      </c>
      <c r="B207" s="12" t="s">
        <v>6715</v>
      </c>
      <c r="C207" s="24" t="s">
        <v>512</v>
      </c>
      <c r="D207" s="22" t="s">
        <v>6750</v>
      </c>
      <c r="E207" s="22" t="s">
        <v>6751</v>
      </c>
      <c r="F207" s="13" t="s">
        <v>178</v>
      </c>
      <c r="G207" s="14" t="s">
        <v>179</v>
      </c>
      <c r="H207" s="14" t="s">
        <v>6752</v>
      </c>
      <c r="I207" s="14" t="s">
        <v>179</v>
      </c>
      <c r="J207" s="14" t="s">
        <v>6753</v>
      </c>
      <c r="K207" s="14" t="s">
        <v>179</v>
      </c>
      <c r="L207" s="14" t="s">
        <v>6754</v>
      </c>
      <c r="M207" s="14" t="s">
        <v>179</v>
      </c>
      <c r="N207" s="14" t="s">
        <v>6755</v>
      </c>
      <c r="O207" s="14" t="s">
        <v>179</v>
      </c>
      <c r="P207" s="14" t="s">
        <v>6756</v>
      </c>
      <c r="Q207" s="14" t="s">
        <v>179</v>
      </c>
      <c r="R207" s="14" t="s">
        <v>6757</v>
      </c>
      <c r="S207" s="14" t="s">
        <v>179</v>
      </c>
      <c r="T207" s="14" t="s">
        <v>6758</v>
      </c>
      <c r="U207" s="14" t="s">
        <v>179</v>
      </c>
      <c r="V207" s="14" t="s">
        <v>6759</v>
      </c>
      <c r="W207" s="14" t="s">
        <v>179</v>
      </c>
      <c r="X207" s="14" t="s">
        <v>6760</v>
      </c>
      <c r="Y207" s="14" t="s">
        <v>179</v>
      </c>
      <c r="Z207" s="14" t="s">
        <v>6761</v>
      </c>
      <c r="AA207" s="14" t="s">
        <v>179</v>
      </c>
      <c r="AB207" s="14" t="s">
        <v>6762</v>
      </c>
      <c r="AC207" s="14" t="s">
        <v>179</v>
      </c>
      <c r="AD207" s="14" t="s">
        <v>6763</v>
      </c>
      <c r="AE207" s="14" t="s">
        <v>179</v>
      </c>
      <c r="AF207" s="14" t="s">
        <v>6764</v>
      </c>
      <c r="AG207" s="14" t="s">
        <v>179</v>
      </c>
      <c r="AH207" s="14" t="s">
        <v>6765</v>
      </c>
      <c r="AI207" s="14" t="s">
        <v>179</v>
      </c>
      <c r="AJ207" s="14" t="s">
        <v>6766</v>
      </c>
      <c r="AK207" s="14" t="s">
        <v>179</v>
      </c>
      <c r="AL207" s="14" t="s">
        <v>6767</v>
      </c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6" t="s">
        <v>197</v>
      </c>
      <c r="BP207" s="17" t="s">
        <v>198</v>
      </c>
      <c r="BQ207" s="18">
        <v>45685.35818287037</v>
      </c>
      <c r="BR207" s="17" t="s">
        <v>198</v>
      </c>
      <c r="BS207" s="18">
        <v>45685.358460648145</v>
      </c>
      <c r="BT207" s="17" t="s">
        <v>198</v>
      </c>
      <c r="BU207" s="18">
        <v>45685.358460648145</v>
      </c>
      <c r="BV207" s="13" t="s">
        <v>199</v>
      </c>
      <c r="BW207" s="14" t="s">
        <v>179</v>
      </c>
      <c r="BX207" s="14" t="s">
        <v>6768</v>
      </c>
      <c r="BY207" s="14" t="s">
        <v>179</v>
      </c>
      <c r="BZ207" s="14" t="s">
        <v>6769</v>
      </c>
      <c r="CA207" s="14" t="s">
        <v>179</v>
      </c>
      <c r="CB207" s="14" t="s">
        <v>6770</v>
      </c>
      <c r="CC207" s="14" t="s">
        <v>179</v>
      </c>
      <c r="CD207" s="14" t="s">
        <v>6771</v>
      </c>
      <c r="CE207" s="14" t="s">
        <v>179</v>
      </c>
      <c r="CF207" s="14" t="s">
        <v>6772</v>
      </c>
      <c r="CG207" s="14" t="s">
        <v>179</v>
      </c>
      <c r="CH207" s="14" t="s">
        <v>6773</v>
      </c>
      <c r="CI207" s="19"/>
      <c r="CJ207" s="15"/>
      <c r="CK207" s="19"/>
      <c r="CL207" s="15"/>
      <c r="CM207" s="19"/>
      <c r="CN207" s="15"/>
      <c r="CO207" s="19"/>
      <c r="CP207" s="15"/>
      <c r="CQ207" s="15"/>
      <c r="CR207" s="15"/>
      <c r="CS207" s="19"/>
      <c r="CT207" s="15"/>
      <c r="CU207" s="19"/>
      <c r="CV207" s="15"/>
      <c r="CW207" s="19"/>
      <c r="CX207" s="15"/>
      <c r="CY207" s="19"/>
      <c r="CZ207" s="15"/>
      <c r="DA207" s="16" t="s">
        <v>197</v>
      </c>
      <c r="DB207" s="17" t="s">
        <v>198</v>
      </c>
      <c r="DC207" s="20">
        <v>45692.604050925926</v>
      </c>
      <c r="DD207" s="17" t="s">
        <v>198</v>
      </c>
      <c r="DE207" s="18">
        <v>45692.60412037037</v>
      </c>
      <c r="DF207" s="17" t="s">
        <v>198</v>
      </c>
      <c r="DG207" s="18">
        <v>45692.60412037037</v>
      </c>
      <c r="DH207" s="13" t="s">
        <v>205</v>
      </c>
      <c r="DI207" s="14" t="s">
        <v>179</v>
      </c>
      <c r="DJ207" s="14" t="s">
        <v>6774</v>
      </c>
      <c r="DK207" s="14" t="s">
        <v>179</v>
      </c>
      <c r="DL207" s="14" t="s">
        <v>6774</v>
      </c>
      <c r="DM207" s="14" t="s">
        <v>179</v>
      </c>
      <c r="DN207" s="14" t="s">
        <v>6775</v>
      </c>
      <c r="DO207" s="14" t="s">
        <v>179</v>
      </c>
      <c r="DP207" s="14" t="s">
        <v>6776</v>
      </c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6" t="s">
        <v>197</v>
      </c>
      <c r="ED207" s="17" t="s">
        <v>198</v>
      </c>
      <c r="EE207" s="18">
        <v>45723.3546875</v>
      </c>
      <c r="EF207" s="13" t="s">
        <v>209</v>
      </c>
      <c r="EG207" s="14" t="s">
        <v>179</v>
      </c>
      <c r="EH207" s="14" t="s">
        <v>6777</v>
      </c>
      <c r="EI207" s="14" t="s">
        <v>179</v>
      </c>
      <c r="EJ207" s="14" t="s">
        <v>6778</v>
      </c>
      <c r="EK207" s="14" t="s">
        <v>179</v>
      </c>
      <c r="EL207" s="14" t="s">
        <v>6779</v>
      </c>
      <c r="EM207" s="14" t="s">
        <v>179</v>
      </c>
      <c r="EN207" s="14" t="s">
        <v>6780</v>
      </c>
      <c r="EO207" s="15"/>
      <c r="EP207" s="15"/>
      <c r="EQ207" s="15"/>
      <c r="ER207" s="15"/>
      <c r="ES207" s="15"/>
      <c r="ET207" s="15"/>
      <c r="EU207" s="15"/>
      <c r="EV207" s="15"/>
      <c r="EW207" s="15"/>
      <c r="EX207" s="15"/>
      <c r="EY207" s="15"/>
      <c r="EZ207" s="15"/>
      <c r="FA207" s="15"/>
      <c r="FB207" s="15"/>
      <c r="FC207" s="16" t="s">
        <v>197</v>
      </c>
      <c r="FD207" s="17" t="s">
        <v>198</v>
      </c>
      <c r="FE207" s="18">
        <v>45723.35475694444</v>
      </c>
      <c r="FF207" s="19"/>
      <c r="FG207" s="19"/>
      <c r="FH207" s="21" t="s">
        <v>197</v>
      </c>
      <c r="FI207" s="17" t="s">
        <v>214</v>
      </c>
      <c r="FJ207" s="18">
        <v>45723.35475694444</v>
      </c>
      <c r="FK207" s="14" t="s">
        <v>6780</v>
      </c>
      <c r="FL207" s="14" t="s">
        <v>6781</v>
      </c>
      <c r="FM207" s="14" t="s">
        <v>6782</v>
      </c>
      <c r="FN207" s="14" t="s">
        <v>6783</v>
      </c>
      <c r="FO207" s="14" t="s">
        <v>6784</v>
      </c>
      <c r="FP207" s="19" t="str">
        <f t="shared" si="1"/>
        <v>Base de Dados_Images/BD4002.Imagem do Equipamento-.131729.jpg</v>
      </c>
      <c r="FQ207" s="19"/>
      <c r="FR207" s="19"/>
    </row>
    <row r="208" ht="15.75" customHeight="1">
      <c r="A208" s="12" t="s">
        <v>217</v>
      </c>
      <c r="B208" s="12" t="s">
        <v>6785</v>
      </c>
      <c r="C208" s="24" t="s">
        <v>512</v>
      </c>
      <c r="D208" s="22" t="s">
        <v>6786</v>
      </c>
      <c r="E208" s="22" t="s">
        <v>6787</v>
      </c>
      <c r="F208" s="13" t="s">
        <v>178</v>
      </c>
      <c r="G208" s="14" t="s">
        <v>179</v>
      </c>
      <c r="H208" s="14" t="s">
        <v>6788</v>
      </c>
      <c r="I208" s="14" t="s">
        <v>179</v>
      </c>
      <c r="J208" s="14" t="s">
        <v>6789</v>
      </c>
      <c r="K208" s="14" t="s">
        <v>179</v>
      </c>
      <c r="L208" s="14" t="s">
        <v>6790</v>
      </c>
      <c r="M208" s="14" t="s">
        <v>179</v>
      </c>
      <c r="N208" s="14" t="s">
        <v>6791</v>
      </c>
      <c r="O208" s="14" t="s">
        <v>179</v>
      </c>
      <c r="P208" s="14" t="s">
        <v>6792</v>
      </c>
      <c r="Q208" s="14" t="s">
        <v>179</v>
      </c>
      <c r="R208" s="14" t="s">
        <v>6793</v>
      </c>
      <c r="S208" s="14" t="s">
        <v>179</v>
      </c>
      <c r="T208" s="14" t="s">
        <v>6794</v>
      </c>
      <c r="U208" s="14" t="s">
        <v>179</v>
      </c>
      <c r="V208" s="14" t="s">
        <v>6795</v>
      </c>
      <c r="W208" s="14" t="s">
        <v>188</v>
      </c>
      <c r="X208" s="14" t="s">
        <v>6796</v>
      </c>
      <c r="Y208" s="14" t="s">
        <v>188</v>
      </c>
      <c r="Z208" s="14" t="s">
        <v>6797</v>
      </c>
      <c r="AA208" s="14" t="s">
        <v>179</v>
      </c>
      <c r="AB208" s="14" t="s">
        <v>6798</v>
      </c>
      <c r="AC208" s="14" t="s">
        <v>179</v>
      </c>
      <c r="AD208" s="14" t="s">
        <v>6799</v>
      </c>
      <c r="AE208" s="14" t="s">
        <v>179</v>
      </c>
      <c r="AF208" s="14" t="s">
        <v>6800</v>
      </c>
      <c r="AG208" s="14" t="s">
        <v>179</v>
      </c>
      <c r="AH208" s="14" t="s">
        <v>6801</v>
      </c>
      <c r="AI208" s="14" t="s">
        <v>179</v>
      </c>
      <c r="AJ208" s="14" t="s">
        <v>6802</v>
      </c>
      <c r="AK208" s="14" t="s">
        <v>179</v>
      </c>
      <c r="AL208" s="14" t="s">
        <v>6803</v>
      </c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7" t="s">
        <v>197</v>
      </c>
      <c r="BP208" s="17" t="s">
        <v>198</v>
      </c>
      <c r="BQ208" s="18">
        <v>45685.349641203706</v>
      </c>
      <c r="BR208" s="17" t="s">
        <v>198</v>
      </c>
      <c r="BS208" s="18">
        <v>45688.49162037037</v>
      </c>
      <c r="BT208" s="17" t="s">
        <v>198</v>
      </c>
      <c r="BU208" s="18">
        <v>45688.49162037037</v>
      </c>
      <c r="BV208" s="13" t="s">
        <v>199</v>
      </c>
      <c r="BW208" s="14" t="s">
        <v>179</v>
      </c>
      <c r="BX208" s="14" t="s">
        <v>6804</v>
      </c>
      <c r="BY208" s="14" t="s">
        <v>179</v>
      </c>
      <c r="BZ208" s="14" t="s">
        <v>6805</v>
      </c>
      <c r="CA208" s="14" t="s">
        <v>179</v>
      </c>
      <c r="CB208" s="14" t="s">
        <v>6806</v>
      </c>
      <c r="CC208" s="14" t="s">
        <v>179</v>
      </c>
      <c r="CD208" s="14" t="s">
        <v>6807</v>
      </c>
      <c r="CE208" s="14" t="s">
        <v>179</v>
      </c>
      <c r="CF208" s="14" t="s">
        <v>6808</v>
      </c>
      <c r="CG208" s="14" t="s">
        <v>179</v>
      </c>
      <c r="CH208" s="14" t="s">
        <v>6809</v>
      </c>
      <c r="CI208" s="19"/>
      <c r="CJ208" s="15"/>
      <c r="CK208" s="19"/>
      <c r="CL208" s="15"/>
      <c r="CM208" s="19"/>
      <c r="CN208" s="15"/>
      <c r="CO208" s="19"/>
      <c r="CP208" s="15"/>
      <c r="CQ208" s="15"/>
      <c r="CR208" s="15"/>
      <c r="CS208" s="19"/>
      <c r="CT208" s="15"/>
      <c r="CU208" s="19"/>
      <c r="CV208" s="15"/>
      <c r="CW208" s="19"/>
      <c r="CX208" s="15"/>
      <c r="CY208" s="19"/>
      <c r="CZ208" s="15"/>
      <c r="DA208" s="16" t="s">
        <v>197</v>
      </c>
      <c r="DB208" s="17" t="s">
        <v>198</v>
      </c>
      <c r="DC208" s="20">
        <v>45722.664375</v>
      </c>
      <c r="DD208" s="17" t="s">
        <v>198</v>
      </c>
      <c r="DE208" s="18">
        <v>45722.66440972222</v>
      </c>
      <c r="DF208" s="17" t="s">
        <v>198</v>
      </c>
      <c r="DG208" s="18">
        <v>45722.66440972222</v>
      </c>
      <c r="DH208" s="13" t="s">
        <v>205</v>
      </c>
      <c r="DI208" s="14" t="s">
        <v>179</v>
      </c>
      <c r="DJ208" s="14" t="s">
        <v>6810</v>
      </c>
      <c r="DK208" s="14" t="s">
        <v>179</v>
      </c>
      <c r="DL208" s="14" t="s">
        <v>6811</v>
      </c>
      <c r="DM208" s="14" t="s">
        <v>179</v>
      </c>
      <c r="DN208" s="14" t="s">
        <v>6812</v>
      </c>
      <c r="DO208" s="14" t="s">
        <v>179</v>
      </c>
      <c r="DP208" s="14" t="s">
        <v>6813</v>
      </c>
      <c r="DQ208" s="15"/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6" t="s">
        <v>197</v>
      </c>
      <c r="ED208" s="17" t="s">
        <v>198</v>
      </c>
      <c r="EE208" s="18">
        <v>45723.35275462963</v>
      </c>
      <c r="EF208" s="13" t="s">
        <v>209</v>
      </c>
      <c r="EG208" s="14" t="s">
        <v>179</v>
      </c>
      <c r="EH208" s="14" t="s">
        <v>6814</v>
      </c>
      <c r="EI208" s="14" t="s">
        <v>179</v>
      </c>
      <c r="EJ208" s="14" t="s">
        <v>6814</v>
      </c>
      <c r="EK208" s="14" t="s">
        <v>179</v>
      </c>
      <c r="EL208" s="14" t="s">
        <v>6815</v>
      </c>
      <c r="EM208" s="14" t="s">
        <v>179</v>
      </c>
      <c r="EN208" s="14" t="s">
        <v>6816</v>
      </c>
      <c r="EO208" s="15"/>
      <c r="EP208" s="15"/>
      <c r="EQ208" s="15"/>
      <c r="ER208" s="15"/>
      <c r="ES208" s="15"/>
      <c r="ET208" s="15"/>
      <c r="EU208" s="15"/>
      <c r="EV208" s="15"/>
      <c r="EW208" s="15"/>
      <c r="EX208" s="15"/>
      <c r="EY208" s="15"/>
      <c r="EZ208" s="15"/>
      <c r="FA208" s="15"/>
      <c r="FB208" s="15"/>
      <c r="FC208" s="16" t="s">
        <v>197</v>
      </c>
      <c r="FD208" s="17" t="s">
        <v>198</v>
      </c>
      <c r="FE208" s="18">
        <v>45723.35290509259</v>
      </c>
      <c r="FF208" s="19"/>
      <c r="FG208" s="19"/>
      <c r="FH208" s="21" t="s">
        <v>197</v>
      </c>
      <c r="FI208" s="17" t="s">
        <v>214</v>
      </c>
      <c r="FJ208" s="18">
        <v>45723.35290509259</v>
      </c>
      <c r="FK208" s="14" t="s">
        <v>6816</v>
      </c>
      <c r="FL208" s="14" t="s">
        <v>6817</v>
      </c>
      <c r="FM208" s="14" t="s">
        <v>6818</v>
      </c>
      <c r="FN208" s="19"/>
      <c r="FO208" s="19"/>
      <c r="FP208" s="19" t="str">
        <f t="shared" si="1"/>
        <v>Base de Dados_Images/BD4003.Imagem do Equipamento-.130936.jpg</v>
      </c>
      <c r="FQ208" s="19"/>
      <c r="FR208" s="19"/>
    </row>
    <row r="209" ht="15.75" customHeight="1">
      <c r="A209" s="12" t="s">
        <v>217</v>
      </c>
      <c r="B209" s="12" t="s">
        <v>6819</v>
      </c>
      <c r="C209" s="24" t="s">
        <v>512</v>
      </c>
      <c r="D209" s="22" t="s">
        <v>6820</v>
      </c>
      <c r="E209" s="22" t="s">
        <v>6821</v>
      </c>
      <c r="F209" s="13" t="s">
        <v>178</v>
      </c>
      <c r="G209" s="14" t="s">
        <v>179</v>
      </c>
      <c r="H209" s="14" t="s">
        <v>6822</v>
      </c>
      <c r="I209" s="14" t="s">
        <v>179</v>
      </c>
      <c r="J209" s="14" t="s">
        <v>6823</v>
      </c>
      <c r="K209" s="14" t="s">
        <v>179</v>
      </c>
      <c r="L209" s="14" t="s">
        <v>6824</v>
      </c>
      <c r="M209" s="14" t="s">
        <v>179</v>
      </c>
      <c r="N209" s="14" t="s">
        <v>6825</v>
      </c>
      <c r="O209" s="14" t="s">
        <v>179</v>
      </c>
      <c r="P209" s="14" t="s">
        <v>6826</v>
      </c>
      <c r="Q209" s="14" t="s">
        <v>179</v>
      </c>
      <c r="R209" s="14" t="s">
        <v>6827</v>
      </c>
      <c r="S209" s="14" t="s">
        <v>179</v>
      </c>
      <c r="T209" s="14" t="s">
        <v>6828</v>
      </c>
      <c r="U209" s="14" t="s">
        <v>179</v>
      </c>
      <c r="V209" s="14" t="s">
        <v>6829</v>
      </c>
      <c r="W209" s="14" t="s">
        <v>179</v>
      </c>
      <c r="X209" s="14" t="s">
        <v>6830</v>
      </c>
      <c r="Y209" s="14" t="s">
        <v>179</v>
      </c>
      <c r="Z209" s="14" t="s">
        <v>6831</v>
      </c>
      <c r="AA209" s="14" t="s">
        <v>179</v>
      </c>
      <c r="AB209" s="14" t="s">
        <v>6832</v>
      </c>
      <c r="AC209" s="14" t="s">
        <v>179</v>
      </c>
      <c r="AD209" s="14" t="s">
        <v>6832</v>
      </c>
      <c r="AE209" s="14" t="s">
        <v>179</v>
      </c>
      <c r="AF209" s="14" t="s">
        <v>6833</v>
      </c>
      <c r="AG209" s="14" t="s">
        <v>179</v>
      </c>
      <c r="AH209" s="14" t="s">
        <v>6834</v>
      </c>
      <c r="AI209" s="14" t="s">
        <v>179</v>
      </c>
      <c r="AJ209" s="14" t="s">
        <v>6835</v>
      </c>
      <c r="AK209" s="14" t="s">
        <v>179</v>
      </c>
      <c r="AL209" s="14" t="s">
        <v>6836</v>
      </c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6" t="s">
        <v>197</v>
      </c>
      <c r="BP209" s="17" t="s">
        <v>198</v>
      </c>
      <c r="BQ209" s="18">
        <v>45687.34116898148</v>
      </c>
      <c r="BR209" s="17" t="s">
        <v>198</v>
      </c>
      <c r="BS209" s="18">
        <v>45687.34123842593</v>
      </c>
      <c r="BT209" s="17" t="s">
        <v>198</v>
      </c>
      <c r="BU209" s="18">
        <v>45687.34123842593</v>
      </c>
      <c r="BV209" s="13" t="s">
        <v>199</v>
      </c>
      <c r="BW209" s="14" t="s">
        <v>179</v>
      </c>
      <c r="BX209" s="14" t="s">
        <v>6837</v>
      </c>
      <c r="BY209" s="14" t="s">
        <v>179</v>
      </c>
      <c r="BZ209" s="14" t="s">
        <v>6838</v>
      </c>
      <c r="CA209" s="14" t="s">
        <v>179</v>
      </c>
      <c r="CB209" s="14" t="s">
        <v>6839</v>
      </c>
      <c r="CC209" s="14" t="s">
        <v>179</v>
      </c>
      <c r="CD209" s="14" t="s">
        <v>6840</v>
      </c>
      <c r="CE209" s="14" t="s">
        <v>179</v>
      </c>
      <c r="CF209" s="14" t="s">
        <v>6840</v>
      </c>
      <c r="CG209" s="14" t="s">
        <v>179</v>
      </c>
      <c r="CH209" s="14" t="s">
        <v>6841</v>
      </c>
      <c r="CI209" s="19"/>
      <c r="CJ209" s="15"/>
      <c r="CK209" s="19"/>
      <c r="CL209" s="15"/>
      <c r="CM209" s="19"/>
      <c r="CN209" s="15"/>
      <c r="CO209" s="19"/>
      <c r="CP209" s="15"/>
      <c r="CQ209" s="15"/>
      <c r="CR209" s="15"/>
      <c r="CS209" s="19"/>
      <c r="CT209" s="15"/>
      <c r="CU209" s="19"/>
      <c r="CV209" s="15"/>
      <c r="CW209" s="19"/>
      <c r="CX209" s="15"/>
      <c r="CY209" s="19"/>
      <c r="CZ209" s="15"/>
      <c r="DA209" s="16" t="s">
        <v>197</v>
      </c>
      <c r="DB209" s="17" t="s">
        <v>198</v>
      </c>
      <c r="DC209" s="20">
        <v>45688.522048611114</v>
      </c>
      <c r="DD209" s="17" t="s">
        <v>198</v>
      </c>
      <c r="DE209" s="18">
        <v>45688.52210648148</v>
      </c>
      <c r="DF209" s="17" t="s">
        <v>198</v>
      </c>
      <c r="DG209" s="18">
        <v>45688.52210648148</v>
      </c>
      <c r="DH209" s="13" t="s">
        <v>205</v>
      </c>
      <c r="DI209" s="14" t="s">
        <v>179</v>
      </c>
      <c r="DJ209" s="14" t="s">
        <v>6842</v>
      </c>
      <c r="DK209" s="14" t="s">
        <v>179</v>
      </c>
      <c r="DL209" s="14" t="s">
        <v>6842</v>
      </c>
      <c r="DM209" s="14" t="s">
        <v>179</v>
      </c>
      <c r="DN209" s="14" t="s">
        <v>6843</v>
      </c>
      <c r="DO209" s="14" t="s">
        <v>179</v>
      </c>
      <c r="DP209" s="14" t="s">
        <v>6844</v>
      </c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6" t="s">
        <v>197</v>
      </c>
      <c r="ED209" s="17" t="s">
        <v>198</v>
      </c>
      <c r="EE209" s="18">
        <v>45723.355</v>
      </c>
      <c r="EF209" s="13" t="s">
        <v>209</v>
      </c>
      <c r="EG209" s="14" t="s">
        <v>179</v>
      </c>
      <c r="EH209" s="14" t="s">
        <v>6845</v>
      </c>
      <c r="EI209" s="14" t="s">
        <v>179</v>
      </c>
      <c r="EJ209" s="14" t="s">
        <v>6846</v>
      </c>
      <c r="EK209" s="14" t="s">
        <v>179</v>
      </c>
      <c r="EL209" s="14" t="s">
        <v>6846</v>
      </c>
      <c r="EM209" s="14" t="s">
        <v>179</v>
      </c>
      <c r="EN209" s="14" t="s">
        <v>6847</v>
      </c>
      <c r="EO209" s="15"/>
      <c r="EP209" s="15"/>
      <c r="EQ209" s="15"/>
      <c r="ER209" s="15"/>
      <c r="ES209" s="15"/>
      <c r="ET209" s="15"/>
      <c r="EU209" s="15"/>
      <c r="EV209" s="15"/>
      <c r="EW209" s="15"/>
      <c r="EX209" s="15"/>
      <c r="EY209" s="15"/>
      <c r="EZ209" s="15"/>
      <c r="FA209" s="15"/>
      <c r="FB209" s="15"/>
      <c r="FC209" s="16" t="s">
        <v>197</v>
      </c>
      <c r="FD209" s="17" t="s">
        <v>198</v>
      </c>
      <c r="FE209" s="18">
        <v>45723.35506944444</v>
      </c>
      <c r="FF209" s="19"/>
      <c r="FG209" s="19"/>
      <c r="FH209" s="21" t="s">
        <v>197</v>
      </c>
      <c r="FI209" s="17" t="s">
        <v>214</v>
      </c>
      <c r="FJ209" s="18">
        <v>45723.35506944444</v>
      </c>
      <c r="FK209" s="14" t="s">
        <v>6847</v>
      </c>
      <c r="FL209" s="19"/>
      <c r="FM209" s="19"/>
      <c r="FN209" s="19"/>
      <c r="FO209" s="19"/>
      <c r="FP209" s="19" t="str">
        <f t="shared" si="1"/>
        <v/>
      </c>
      <c r="FQ209" s="14" t="s">
        <v>215</v>
      </c>
      <c r="FR209" s="14" t="s">
        <v>6848</v>
      </c>
    </row>
    <row r="210" ht="15.75" customHeight="1">
      <c r="A210" s="12" t="s">
        <v>217</v>
      </c>
      <c r="B210" s="12" t="s">
        <v>6819</v>
      </c>
      <c r="C210" s="24" t="s">
        <v>512</v>
      </c>
      <c r="D210" s="22" t="s">
        <v>6849</v>
      </c>
      <c r="E210" s="22" t="s">
        <v>6850</v>
      </c>
      <c r="F210" s="13" t="s">
        <v>178</v>
      </c>
      <c r="G210" s="14" t="s">
        <v>179</v>
      </c>
      <c r="H210" s="14" t="s">
        <v>6851</v>
      </c>
      <c r="I210" s="14" t="s">
        <v>179</v>
      </c>
      <c r="J210" s="14" t="s">
        <v>6852</v>
      </c>
      <c r="K210" s="14" t="s">
        <v>179</v>
      </c>
      <c r="L210" s="14" t="s">
        <v>6853</v>
      </c>
      <c r="M210" s="14" t="s">
        <v>179</v>
      </c>
      <c r="N210" s="14" t="s">
        <v>6854</v>
      </c>
      <c r="O210" s="14" t="s">
        <v>179</v>
      </c>
      <c r="P210" s="14" t="s">
        <v>6855</v>
      </c>
      <c r="Q210" s="14" t="s">
        <v>179</v>
      </c>
      <c r="R210" s="14" t="s">
        <v>6856</v>
      </c>
      <c r="S210" s="14" t="s">
        <v>179</v>
      </c>
      <c r="T210" s="14" t="s">
        <v>6857</v>
      </c>
      <c r="U210" s="14" t="s">
        <v>179</v>
      </c>
      <c r="V210" s="14" t="s">
        <v>6858</v>
      </c>
      <c r="W210" s="14" t="s">
        <v>179</v>
      </c>
      <c r="X210" s="14" t="s">
        <v>6859</v>
      </c>
      <c r="Y210" s="14" t="s">
        <v>179</v>
      </c>
      <c r="Z210" s="14" t="s">
        <v>6860</v>
      </c>
      <c r="AA210" s="14" t="s">
        <v>179</v>
      </c>
      <c r="AB210" s="14" t="s">
        <v>6861</v>
      </c>
      <c r="AC210" s="14" t="s">
        <v>179</v>
      </c>
      <c r="AD210" s="14" t="s">
        <v>6862</v>
      </c>
      <c r="AE210" s="14" t="s">
        <v>179</v>
      </c>
      <c r="AF210" s="14" t="s">
        <v>6863</v>
      </c>
      <c r="AG210" s="14" t="s">
        <v>179</v>
      </c>
      <c r="AH210" s="14" t="s">
        <v>6864</v>
      </c>
      <c r="AI210" s="14" t="s">
        <v>179</v>
      </c>
      <c r="AJ210" s="14" t="s">
        <v>6865</v>
      </c>
      <c r="AK210" s="14" t="s">
        <v>179</v>
      </c>
      <c r="AL210" s="14" t="s">
        <v>6866</v>
      </c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6" t="s">
        <v>197</v>
      </c>
      <c r="BP210" s="17" t="s">
        <v>198</v>
      </c>
      <c r="BQ210" s="18">
        <v>45687.341782407406</v>
      </c>
      <c r="BR210" s="17" t="s">
        <v>198</v>
      </c>
      <c r="BS210" s="18">
        <v>45687.342002314814</v>
      </c>
      <c r="BT210" s="17" t="s">
        <v>198</v>
      </c>
      <c r="BU210" s="18">
        <v>45687.342002314814</v>
      </c>
      <c r="BV210" s="13" t="s">
        <v>199</v>
      </c>
      <c r="BW210" s="14" t="s">
        <v>179</v>
      </c>
      <c r="BX210" s="14" t="s">
        <v>6867</v>
      </c>
      <c r="BY210" s="14" t="s">
        <v>179</v>
      </c>
      <c r="BZ210" s="14" t="s">
        <v>6868</v>
      </c>
      <c r="CA210" s="14" t="s">
        <v>179</v>
      </c>
      <c r="CB210" s="14" t="s">
        <v>6869</v>
      </c>
      <c r="CC210" s="14" t="s">
        <v>179</v>
      </c>
      <c r="CD210" s="14" t="s">
        <v>6870</v>
      </c>
      <c r="CE210" s="14" t="s">
        <v>179</v>
      </c>
      <c r="CF210" s="14" t="s">
        <v>6871</v>
      </c>
      <c r="CG210" s="14" t="s">
        <v>179</v>
      </c>
      <c r="CH210" s="14" t="s">
        <v>6872</v>
      </c>
      <c r="CI210" s="19"/>
      <c r="CJ210" s="15"/>
      <c r="CK210" s="19"/>
      <c r="CL210" s="15"/>
      <c r="CM210" s="19"/>
      <c r="CN210" s="15"/>
      <c r="CO210" s="19"/>
      <c r="CP210" s="15"/>
      <c r="CQ210" s="15"/>
      <c r="CR210" s="15"/>
      <c r="CS210" s="19"/>
      <c r="CT210" s="15"/>
      <c r="CU210" s="19"/>
      <c r="CV210" s="15"/>
      <c r="CW210" s="19"/>
      <c r="CX210" s="15"/>
      <c r="CY210" s="19"/>
      <c r="CZ210" s="15"/>
      <c r="DA210" s="16" t="s">
        <v>197</v>
      </c>
      <c r="DB210" s="17" t="s">
        <v>198</v>
      </c>
      <c r="DC210" s="20">
        <v>45688.52228009259</v>
      </c>
      <c r="DD210" s="17" t="s">
        <v>198</v>
      </c>
      <c r="DE210" s="18">
        <v>45688.52232638889</v>
      </c>
      <c r="DF210" s="17" t="s">
        <v>198</v>
      </c>
      <c r="DG210" s="18">
        <v>45688.52232638889</v>
      </c>
      <c r="DH210" s="13" t="s">
        <v>205</v>
      </c>
      <c r="DI210" s="14" t="s">
        <v>179</v>
      </c>
      <c r="DJ210" s="14" t="s">
        <v>6873</v>
      </c>
      <c r="DK210" s="14" t="s">
        <v>179</v>
      </c>
      <c r="DL210" s="14" t="s">
        <v>6874</v>
      </c>
      <c r="DM210" s="14" t="s">
        <v>179</v>
      </c>
      <c r="DN210" s="14" t="s">
        <v>6874</v>
      </c>
      <c r="DO210" s="14" t="s">
        <v>179</v>
      </c>
      <c r="DP210" s="14" t="s">
        <v>6875</v>
      </c>
      <c r="DQ210" s="15"/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6" t="s">
        <v>197</v>
      </c>
      <c r="ED210" s="17" t="s">
        <v>198</v>
      </c>
      <c r="EE210" s="18">
        <v>45723.355162037034</v>
      </c>
      <c r="EF210" s="13" t="s">
        <v>209</v>
      </c>
      <c r="EG210" s="14" t="s">
        <v>179</v>
      </c>
      <c r="EH210" s="14" t="s">
        <v>6876</v>
      </c>
      <c r="EI210" s="14" t="s">
        <v>179</v>
      </c>
      <c r="EJ210" s="14" t="s">
        <v>6876</v>
      </c>
      <c r="EK210" s="14" t="s">
        <v>179</v>
      </c>
      <c r="EL210" s="14" t="s">
        <v>6877</v>
      </c>
      <c r="EM210" s="14" t="s">
        <v>179</v>
      </c>
      <c r="EN210" s="14" t="s">
        <v>6878</v>
      </c>
      <c r="EO210" s="15"/>
      <c r="EP210" s="15"/>
      <c r="EQ210" s="15"/>
      <c r="ER210" s="15"/>
      <c r="ES210" s="15"/>
      <c r="ET210" s="15"/>
      <c r="EU210" s="15"/>
      <c r="EV210" s="15"/>
      <c r="EW210" s="15"/>
      <c r="EX210" s="15"/>
      <c r="EY210" s="15"/>
      <c r="EZ210" s="15"/>
      <c r="FA210" s="15"/>
      <c r="FB210" s="15"/>
      <c r="FC210" s="16" t="s">
        <v>197</v>
      </c>
      <c r="FD210" s="17" t="s">
        <v>198</v>
      </c>
      <c r="FE210" s="18">
        <v>45723.355219907404</v>
      </c>
      <c r="FF210" s="19"/>
      <c r="FG210" s="19"/>
      <c r="FH210" s="21" t="s">
        <v>197</v>
      </c>
      <c r="FI210" s="17" t="s">
        <v>214</v>
      </c>
      <c r="FJ210" s="18">
        <v>45723.355219907404</v>
      </c>
      <c r="FK210" s="14" t="s">
        <v>6878</v>
      </c>
      <c r="FL210" s="19"/>
      <c r="FM210" s="19"/>
      <c r="FN210" s="19"/>
      <c r="FO210" s="19"/>
      <c r="FP210" s="19" t="str">
        <f t="shared" si="1"/>
        <v/>
      </c>
      <c r="FQ210" s="14" t="s">
        <v>215</v>
      </c>
      <c r="FR210" s="14" t="s">
        <v>6879</v>
      </c>
    </row>
    <row r="211" ht="15.75" customHeight="1">
      <c r="A211" s="12" t="s">
        <v>217</v>
      </c>
      <c r="B211" s="12" t="s">
        <v>6880</v>
      </c>
      <c r="C211" s="24" t="s">
        <v>512</v>
      </c>
      <c r="D211" s="22" t="s">
        <v>6881</v>
      </c>
      <c r="E211" s="22" t="s">
        <v>6882</v>
      </c>
      <c r="F211" s="13" t="s">
        <v>178</v>
      </c>
      <c r="G211" s="14" t="s">
        <v>179</v>
      </c>
      <c r="H211" s="14" t="s">
        <v>6883</v>
      </c>
      <c r="I211" s="14" t="s">
        <v>179</v>
      </c>
      <c r="J211" s="14" t="s">
        <v>6884</v>
      </c>
      <c r="K211" s="14" t="s">
        <v>179</v>
      </c>
      <c r="L211" s="14" t="s">
        <v>6885</v>
      </c>
      <c r="M211" s="14" t="s">
        <v>179</v>
      </c>
      <c r="N211" s="14" t="s">
        <v>6886</v>
      </c>
      <c r="O211" s="14" t="s">
        <v>179</v>
      </c>
      <c r="P211" s="14" t="s">
        <v>6887</v>
      </c>
      <c r="Q211" s="14" t="s">
        <v>179</v>
      </c>
      <c r="R211" s="14" t="s">
        <v>6888</v>
      </c>
      <c r="S211" s="14" t="s">
        <v>179</v>
      </c>
      <c r="T211" s="14" t="s">
        <v>6889</v>
      </c>
      <c r="U211" s="14" t="s">
        <v>179</v>
      </c>
      <c r="V211" s="14" t="s">
        <v>6890</v>
      </c>
      <c r="W211" s="14" t="s">
        <v>179</v>
      </c>
      <c r="X211" s="14" t="s">
        <v>6891</v>
      </c>
      <c r="Y211" s="14" t="s">
        <v>188</v>
      </c>
      <c r="Z211" s="14" t="s">
        <v>6892</v>
      </c>
      <c r="AA211" s="14" t="s">
        <v>179</v>
      </c>
      <c r="AB211" s="14" t="s">
        <v>6893</v>
      </c>
      <c r="AC211" s="14" t="s">
        <v>179</v>
      </c>
      <c r="AD211" s="14" t="s">
        <v>6894</v>
      </c>
      <c r="AE211" s="14" t="s">
        <v>179</v>
      </c>
      <c r="AF211" s="14" t="s">
        <v>6895</v>
      </c>
      <c r="AG211" s="14" t="s">
        <v>179</v>
      </c>
      <c r="AH211" s="14" t="s">
        <v>6896</v>
      </c>
      <c r="AI211" s="14" t="s">
        <v>179</v>
      </c>
      <c r="AJ211" s="14" t="s">
        <v>6897</v>
      </c>
      <c r="AK211" s="14" t="s">
        <v>179</v>
      </c>
      <c r="AL211" s="14" t="s">
        <v>6898</v>
      </c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6" t="s">
        <v>197</v>
      </c>
      <c r="BP211" s="17" t="s">
        <v>198</v>
      </c>
      <c r="BQ211" s="18">
        <v>45684.42505787037</v>
      </c>
      <c r="BR211" s="17" t="s">
        <v>198</v>
      </c>
      <c r="BS211" s="18">
        <v>45684.425671296296</v>
      </c>
      <c r="BT211" s="17" t="s">
        <v>198</v>
      </c>
      <c r="BU211" s="18">
        <v>45684.425671296296</v>
      </c>
      <c r="BV211" s="13" t="s">
        <v>199</v>
      </c>
      <c r="BW211" s="14" t="s">
        <v>179</v>
      </c>
      <c r="BX211" s="14" t="s">
        <v>6899</v>
      </c>
      <c r="BY211" s="14" t="s">
        <v>179</v>
      </c>
      <c r="BZ211" s="14" t="s">
        <v>6900</v>
      </c>
      <c r="CA211" s="14" t="s">
        <v>179</v>
      </c>
      <c r="CB211" s="14" t="s">
        <v>6901</v>
      </c>
      <c r="CC211" s="14" t="s">
        <v>179</v>
      </c>
      <c r="CD211" s="14" t="s">
        <v>6902</v>
      </c>
      <c r="CE211" s="14" t="s">
        <v>179</v>
      </c>
      <c r="CF211" s="14" t="s">
        <v>6903</v>
      </c>
      <c r="CG211" s="14" t="s">
        <v>179</v>
      </c>
      <c r="CH211" s="14" t="s">
        <v>6904</v>
      </c>
      <c r="CI211" s="19"/>
      <c r="CJ211" s="15"/>
      <c r="CK211" s="19"/>
      <c r="CL211" s="15"/>
      <c r="CM211" s="19"/>
      <c r="CN211" s="15"/>
      <c r="CO211" s="19"/>
      <c r="CP211" s="15"/>
      <c r="CQ211" s="15"/>
      <c r="CR211" s="15"/>
      <c r="CS211" s="19"/>
      <c r="CT211" s="15"/>
      <c r="CU211" s="19"/>
      <c r="CV211" s="15"/>
      <c r="CW211" s="19"/>
      <c r="CX211" s="15"/>
      <c r="CY211" s="19"/>
      <c r="CZ211" s="15"/>
      <c r="DA211" s="16" t="s">
        <v>197</v>
      </c>
      <c r="DB211" s="17" t="s">
        <v>198</v>
      </c>
      <c r="DC211" s="20">
        <v>45692.606770833336</v>
      </c>
      <c r="DD211" s="17" t="s">
        <v>198</v>
      </c>
      <c r="DE211" s="18">
        <v>45692.606828703705</v>
      </c>
      <c r="DF211" s="17" t="s">
        <v>198</v>
      </c>
      <c r="DG211" s="18">
        <v>45692.606828703705</v>
      </c>
      <c r="DH211" s="13" t="s">
        <v>205</v>
      </c>
      <c r="DI211" s="14" t="s">
        <v>179</v>
      </c>
      <c r="DJ211" s="14" t="s">
        <v>6905</v>
      </c>
      <c r="DK211" s="14" t="s">
        <v>179</v>
      </c>
      <c r="DL211" s="14" t="s">
        <v>6905</v>
      </c>
      <c r="DM211" s="14" t="s">
        <v>179</v>
      </c>
      <c r="DN211" s="14" t="s">
        <v>6906</v>
      </c>
      <c r="DO211" s="14" t="s">
        <v>179</v>
      </c>
      <c r="DP211" s="14" t="s">
        <v>6907</v>
      </c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6" t="s">
        <v>197</v>
      </c>
      <c r="ED211" s="17" t="s">
        <v>198</v>
      </c>
      <c r="EE211" s="18">
        <v>45723.35173611111</v>
      </c>
      <c r="EF211" s="13" t="s">
        <v>209</v>
      </c>
      <c r="EG211" s="14" t="s">
        <v>179</v>
      </c>
      <c r="EH211" s="14" t="s">
        <v>6908</v>
      </c>
      <c r="EI211" s="14" t="s">
        <v>179</v>
      </c>
      <c r="EJ211" s="14" t="s">
        <v>6908</v>
      </c>
      <c r="EK211" s="14" t="s">
        <v>179</v>
      </c>
      <c r="EL211" s="14" t="s">
        <v>6909</v>
      </c>
      <c r="EM211" s="14" t="s">
        <v>179</v>
      </c>
      <c r="EN211" s="14" t="s">
        <v>6910</v>
      </c>
      <c r="EO211" s="15"/>
      <c r="EP211" s="15"/>
      <c r="EQ211" s="15"/>
      <c r="ER211" s="15"/>
      <c r="ES211" s="15"/>
      <c r="ET211" s="15"/>
      <c r="EU211" s="15"/>
      <c r="EV211" s="15"/>
      <c r="EW211" s="15"/>
      <c r="EX211" s="15"/>
      <c r="EY211" s="15"/>
      <c r="EZ211" s="15"/>
      <c r="FA211" s="15"/>
      <c r="FB211" s="15"/>
      <c r="FC211" s="16" t="s">
        <v>197</v>
      </c>
      <c r="FD211" s="17" t="s">
        <v>198</v>
      </c>
      <c r="FE211" s="18">
        <v>45723.351805555554</v>
      </c>
      <c r="FF211" s="19"/>
      <c r="FG211" s="19"/>
      <c r="FH211" s="21" t="s">
        <v>197</v>
      </c>
      <c r="FI211" s="17" t="s">
        <v>214</v>
      </c>
      <c r="FJ211" s="18">
        <v>45723.351805555554</v>
      </c>
      <c r="FK211" s="14" t="s">
        <v>6909</v>
      </c>
      <c r="FL211" s="14" t="s">
        <v>6911</v>
      </c>
      <c r="FM211" s="14" t="s">
        <v>6912</v>
      </c>
      <c r="FN211" s="14" t="s">
        <v>6913</v>
      </c>
      <c r="FO211" s="14" t="s">
        <v>6914</v>
      </c>
      <c r="FP211" s="19" t="str">
        <f t="shared" si="1"/>
        <v>Base de Dados_Images/BD4006.Imagem do Equipamento-.143113.jpg</v>
      </c>
      <c r="FQ211" s="19"/>
      <c r="FR211" s="19"/>
    </row>
    <row r="212" ht="15.75" customHeight="1">
      <c r="A212" s="12" t="s">
        <v>217</v>
      </c>
      <c r="B212" s="12" t="s">
        <v>6880</v>
      </c>
      <c r="C212" s="24" t="s">
        <v>512</v>
      </c>
      <c r="D212" s="22" t="s">
        <v>6915</v>
      </c>
      <c r="E212" s="22" t="s">
        <v>6916</v>
      </c>
      <c r="F212" s="13" t="s">
        <v>178</v>
      </c>
      <c r="G212" s="14" t="s">
        <v>179</v>
      </c>
      <c r="H212" s="14" t="s">
        <v>6917</v>
      </c>
      <c r="I212" s="14" t="s">
        <v>179</v>
      </c>
      <c r="J212" s="14" t="s">
        <v>6918</v>
      </c>
      <c r="K212" s="14" t="s">
        <v>179</v>
      </c>
      <c r="L212" s="14" t="s">
        <v>6919</v>
      </c>
      <c r="M212" s="14" t="s">
        <v>179</v>
      </c>
      <c r="N212" s="14" t="s">
        <v>6920</v>
      </c>
      <c r="O212" s="14" t="s">
        <v>179</v>
      </c>
      <c r="P212" s="14" t="s">
        <v>6921</v>
      </c>
      <c r="Q212" s="14" t="s">
        <v>179</v>
      </c>
      <c r="R212" s="14" t="s">
        <v>6922</v>
      </c>
      <c r="S212" s="14" t="s">
        <v>179</v>
      </c>
      <c r="T212" s="14" t="s">
        <v>6923</v>
      </c>
      <c r="U212" s="14" t="s">
        <v>179</v>
      </c>
      <c r="V212" s="14" t="s">
        <v>6924</v>
      </c>
      <c r="W212" s="14" t="s">
        <v>179</v>
      </c>
      <c r="X212" s="14" t="s">
        <v>6925</v>
      </c>
      <c r="Y212" s="14" t="s">
        <v>188</v>
      </c>
      <c r="Z212" s="14" t="s">
        <v>6926</v>
      </c>
      <c r="AA212" s="14" t="s">
        <v>179</v>
      </c>
      <c r="AB212" s="14" t="s">
        <v>6927</v>
      </c>
      <c r="AC212" s="14" t="s">
        <v>179</v>
      </c>
      <c r="AD212" s="14" t="s">
        <v>6928</v>
      </c>
      <c r="AE212" s="14" t="s">
        <v>179</v>
      </c>
      <c r="AF212" s="14" t="s">
        <v>6929</v>
      </c>
      <c r="AG212" s="14" t="s">
        <v>179</v>
      </c>
      <c r="AH212" s="14" t="s">
        <v>6930</v>
      </c>
      <c r="AI212" s="14" t="s">
        <v>179</v>
      </c>
      <c r="AJ212" s="14" t="s">
        <v>6931</v>
      </c>
      <c r="AK212" s="14" t="s">
        <v>179</v>
      </c>
      <c r="AL212" s="14" t="s">
        <v>6932</v>
      </c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6" t="s">
        <v>197</v>
      </c>
      <c r="BP212" s="17" t="s">
        <v>198</v>
      </c>
      <c r="BQ212" s="18">
        <v>45684.42798611111</v>
      </c>
      <c r="BR212" s="17" t="s">
        <v>198</v>
      </c>
      <c r="BS212" s="18">
        <v>45684.42826388889</v>
      </c>
      <c r="BT212" s="17" t="s">
        <v>198</v>
      </c>
      <c r="BU212" s="18">
        <v>45684.42826388889</v>
      </c>
      <c r="BV212" s="13" t="s">
        <v>199</v>
      </c>
      <c r="BW212" s="14" t="s">
        <v>179</v>
      </c>
      <c r="BX212" s="14" t="s">
        <v>6933</v>
      </c>
      <c r="BY212" s="14" t="s">
        <v>179</v>
      </c>
      <c r="BZ212" s="14" t="s">
        <v>6934</v>
      </c>
      <c r="CA212" s="14" t="s">
        <v>179</v>
      </c>
      <c r="CB212" s="14" t="s">
        <v>6935</v>
      </c>
      <c r="CC212" s="14" t="s">
        <v>179</v>
      </c>
      <c r="CD212" s="14" t="s">
        <v>6936</v>
      </c>
      <c r="CE212" s="14" t="s">
        <v>179</v>
      </c>
      <c r="CF212" s="14" t="s">
        <v>6937</v>
      </c>
      <c r="CG212" s="14" t="s">
        <v>179</v>
      </c>
      <c r="CH212" s="14" t="s">
        <v>6938</v>
      </c>
      <c r="CI212" s="19"/>
      <c r="CJ212" s="15"/>
      <c r="CK212" s="19"/>
      <c r="CL212" s="15"/>
      <c r="CM212" s="19"/>
      <c r="CN212" s="15"/>
      <c r="CO212" s="19"/>
      <c r="CP212" s="15"/>
      <c r="CQ212" s="15"/>
      <c r="CR212" s="15"/>
      <c r="CS212" s="19"/>
      <c r="CT212" s="15"/>
      <c r="CU212" s="19"/>
      <c r="CV212" s="15"/>
      <c r="CW212" s="19"/>
      <c r="CX212" s="15"/>
      <c r="CY212" s="19"/>
      <c r="CZ212" s="15"/>
      <c r="DA212" s="16" t="s">
        <v>197</v>
      </c>
      <c r="DB212" s="17" t="s">
        <v>198</v>
      </c>
      <c r="DC212" s="20">
        <v>45692.6062962963</v>
      </c>
      <c r="DD212" s="17" t="s">
        <v>198</v>
      </c>
      <c r="DE212" s="18">
        <v>45692.606354166666</v>
      </c>
      <c r="DF212" s="17" t="s">
        <v>198</v>
      </c>
      <c r="DG212" s="18">
        <v>45692.606354166666</v>
      </c>
      <c r="DH212" s="13" t="s">
        <v>205</v>
      </c>
      <c r="DI212" s="14" t="s">
        <v>179</v>
      </c>
      <c r="DJ212" s="14" t="s">
        <v>6939</v>
      </c>
      <c r="DK212" s="14" t="s">
        <v>179</v>
      </c>
      <c r="DL212" s="14" t="s">
        <v>6940</v>
      </c>
      <c r="DM212" s="14" t="s">
        <v>179</v>
      </c>
      <c r="DN212" s="14" t="s">
        <v>6941</v>
      </c>
      <c r="DO212" s="14" t="s">
        <v>179</v>
      </c>
      <c r="DP212" s="14" t="s">
        <v>6942</v>
      </c>
      <c r="DQ212" s="15"/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6" t="s">
        <v>197</v>
      </c>
      <c r="ED212" s="17" t="s">
        <v>198</v>
      </c>
      <c r="EE212" s="18">
        <v>45723.35190972222</v>
      </c>
      <c r="EF212" s="13" t="s">
        <v>209</v>
      </c>
      <c r="EG212" s="14" t="s">
        <v>179</v>
      </c>
      <c r="EH212" s="14" t="s">
        <v>6943</v>
      </c>
      <c r="EI212" s="14" t="s">
        <v>179</v>
      </c>
      <c r="EJ212" s="14" t="s">
        <v>6943</v>
      </c>
      <c r="EK212" s="14" t="s">
        <v>179</v>
      </c>
      <c r="EL212" s="14" t="s">
        <v>6944</v>
      </c>
      <c r="EM212" s="14" t="s">
        <v>179</v>
      </c>
      <c r="EN212" s="14" t="s">
        <v>6945</v>
      </c>
      <c r="EO212" s="15"/>
      <c r="EP212" s="15"/>
      <c r="EQ212" s="15"/>
      <c r="ER212" s="15"/>
      <c r="ES212" s="15"/>
      <c r="ET212" s="15"/>
      <c r="EU212" s="15"/>
      <c r="EV212" s="15"/>
      <c r="EW212" s="15"/>
      <c r="EX212" s="15"/>
      <c r="EY212" s="15"/>
      <c r="EZ212" s="15"/>
      <c r="FA212" s="15"/>
      <c r="FB212" s="15"/>
      <c r="FC212" s="16" t="s">
        <v>197</v>
      </c>
      <c r="FD212" s="17" t="s">
        <v>198</v>
      </c>
      <c r="FE212" s="18">
        <v>45723.35202546296</v>
      </c>
      <c r="FF212" s="19"/>
      <c r="FG212" s="19"/>
      <c r="FH212" s="21" t="s">
        <v>197</v>
      </c>
      <c r="FI212" s="17" t="s">
        <v>214</v>
      </c>
      <c r="FJ212" s="18">
        <v>45723.35202546296</v>
      </c>
      <c r="FK212" s="14" t="s">
        <v>6945</v>
      </c>
      <c r="FL212" s="14" t="s">
        <v>6946</v>
      </c>
      <c r="FM212" s="14" t="s">
        <v>6947</v>
      </c>
      <c r="FN212" s="14" t="s">
        <v>6948</v>
      </c>
      <c r="FO212" s="14" t="s">
        <v>6949</v>
      </c>
      <c r="FP212" s="19" t="str">
        <f t="shared" si="1"/>
        <v>Base de Dados_Images/BD4007.Imagem do Equipamento-.143234.jpg</v>
      </c>
      <c r="FQ212" s="19"/>
      <c r="FR212" s="19"/>
    </row>
    <row r="213" ht="15.75" customHeight="1">
      <c r="A213" s="12" t="s">
        <v>217</v>
      </c>
      <c r="B213" s="12" t="s">
        <v>2449</v>
      </c>
      <c r="C213" s="24" t="s">
        <v>512</v>
      </c>
      <c r="D213" s="22" t="s">
        <v>6950</v>
      </c>
      <c r="E213" s="22" t="s">
        <v>6951</v>
      </c>
      <c r="F213" s="13" t="s">
        <v>178</v>
      </c>
      <c r="G213" s="14" t="s">
        <v>179</v>
      </c>
      <c r="H213" s="14" t="s">
        <v>6952</v>
      </c>
      <c r="I213" s="14" t="s">
        <v>179</v>
      </c>
      <c r="J213" s="14" t="s">
        <v>6953</v>
      </c>
      <c r="K213" s="14" t="s">
        <v>179</v>
      </c>
      <c r="L213" s="14" t="s">
        <v>6954</v>
      </c>
      <c r="M213" s="14" t="s">
        <v>179</v>
      </c>
      <c r="N213" s="14" t="s">
        <v>6955</v>
      </c>
      <c r="O213" s="14" t="s">
        <v>179</v>
      </c>
      <c r="P213" s="14" t="s">
        <v>6956</v>
      </c>
      <c r="Q213" s="14" t="s">
        <v>179</v>
      </c>
      <c r="R213" s="14" t="s">
        <v>6957</v>
      </c>
      <c r="S213" s="14" t="s">
        <v>179</v>
      </c>
      <c r="T213" s="14" t="s">
        <v>6958</v>
      </c>
      <c r="U213" s="14" t="s">
        <v>179</v>
      </c>
      <c r="V213" s="14" t="s">
        <v>6959</v>
      </c>
      <c r="W213" s="14" t="s">
        <v>179</v>
      </c>
      <c r="X213" s="14" t="s">
        <v>6960</v>
      </c>
      <c r="Y213" s="14" t="s">
        <v>188</v>
      </c>
      <c r="Z213" s="14" t="s">
        <v>6961</v>
      </c>
      <c r="AA213" s="14" t="s">
        <v>179</v>
      </c>
      <c r="AB213" s="14" t="s">
        <v>6962</v>
      </c>
      <c r="AC213" s="14" t="s">
        <v>179</v>
      </c>
      <c r="AD213" s="14" t="s">
        <v>6963</v>
      </c>
      <c r="AE213" s="14" t="s">
        <v>179</v>
      </c>
      <c r="AF213" s="14" t="s">
        <v>6964</v>
      </c>
      <c r="AG213" s="14" t="s">
        <v>179</v>
      </c>
      <c r="AH213" s="14" t="s">
        <v>6965</v>
      </c>
      <c r="AI213" s="14" t="s">
        <v>179</v>
      </c>
      <c r="AJ213" s="14" t="s">
        <v>6966</v>
      </c>
      <c r="AK213" s="14" t="s">
        <v>179</v>
      </c>
      <c r="AL213" s="14" t="s">
        <v>6967</v>
      </c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6" t="s">
        <v>197</v>
      </c>
      <c r="BP213" s="17" t="s">
        <v>198</v>
      </c>
      <c r="BQ213" s="18">
        <v>45691.47319444444</v>
      </c>
      <c r="BR213" s="17" t="s">
        <v>198</v>
      </c>
      <c r="BS213" s="18">
        <v>45691.47331018518</v>
      </c>
      <c r="BT213" s="17" t="s">
        <v>198</v>
      </c>
      <c r="BU213" s="18">
        <v>45691.47331018518</v>
      </c>
      <c r="BV213" s="13" t="s">
        <v>199</v>
      </c>
      <c r="BW213" s="14" t="s">
        <v>179</v>
      </c>
      <c r="BX213" s="14" t="s">
        <v>6968</v>
      </c>
      <c r="BY213" s="14" t="s">
        <v>179</v>
      </c>
      <c r="BZ213" s="14" t="s">
        <v>6969</v>
      </c>
      <c r="CA213" s="14" t="s">
        <v>179</v>
      </c>
      <c r="CB213" s="14" t="s">
        <v>6970</v>
      </c>
      <c r="CC213" s="14" t="s">
        <v>179</v>
      </c>
      <c r="CD213" s="14" t="s">
        <v>6971</v>
      </c>
      <c r="CE213" s="14" t="s">
        <v>179</v>
      </c>
      <c r="CF213" s="14" t="s">
        <v>6972</v>
      </c>
      <c r="CG213" s="14" t="s">
        <v>179</v>
      </c>
      <c r="CH213" s="14" t="s">
        <v>6973</v>
      </c>
      <c r="CI213" s="19"/>
      <c r="CJ213" s="15"/>
      <c r="CK213" s="19"/>
      <c r="CL213" s="15"/>
      <c r="CM213" s="19"/>
      <c r="CN213" s="15"/>
      <c r="CO213" s="19"/>
      <c r="CP213" s="15"/>
      <c r="CQ213" s="15"/>
      <c r="CR213" s="15"/>
      <c r="CS213" s="19"/>
      <c r="CT213" s="15"/>
      <c r="CU213" s="19"/>
      <c r="CV213" s="15"/>
      <c r="CW213" s="19"/>
      <c r="CX213" s="15"/>
      <c r="CY213" s="19"/>
      <c r="CZ213" s="15"/>
      <c r="DA213" s="16" t="s">
        <v>197</v>
      </c>
      <c r="DB213" s="17" t="s">
        <v>198</v>
      </c>
      <c r="DC213" s="20">
        <v>45715.55478009259</v>
      </c>
      <c r="DD213" s="17" t="s">
        <v>198</v>
      </c>
      <c r="DE213" s="18">
        <v>45715.554918981485</v>
      </c>
      <c r="DF213" s="17" t="s">
        <v>198</v>
      </c>
      <c r="DG213" s="18">
        <v>45715.554918981485</v>
      </c>
      <c r="DH213" s="13" t="s">
        <v>205</v>
      </c>
      <c r="DI213" s="14" t="s">
        <v>179</v>
      </c>
      <c r="DJ213" s="14" t="s">
        <v>6974</v>
      </c>
      <c r="DK213" s="14" t="s">
        <v>179</v>
      </c>
      <c r="DL213" s="14" t="s">
        <v>6975</v>
      </c>
      <c r="DM213" s="14" t="s">
        <v>179</v>
      </c>
      <c r="DN213" s="14" t="s">
        <v>6976</v>
      </c>
      <c r="DO213" s="14" t="s">
        <v>179</v>
      </c>
      <c r="DP213" s="14" t="s">
        <v>6977</v>
      </c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6" t="s">
        <v>197</v>
      </c>
      <c r="ED213" s="17" t="s">
        <v>198</v>
      </c>
      <c r="EE213" s="18">
        <v>45715.555231481485</v>
      </c>
      <c r="EF213" s="13" t="s">
        <v>209</v>
      </c>
      <c r="EG213" s="14" t="s">
        <v>179</v>
      </c>
      <c r="EH213" s="14" t="s">
        <v>6978</v>
      </c>
      <c r="EI213" s="14" t="s">
        <v>179</v>
      </c>
      <c r="EJ213" s="14" t="s">
        <v>6978</v>
      </c>
      <c r="EK213" s="14" t="s">
        <v>179</v>
      </c>
      <c r="EL213" s="14" t="s">
        <v>6979</v>
      </c>
      <c r="EM213" s="14" t="s">
        <v>179</v>
      </c>
      <c r="EN213" s="14" t="s">
        <v>6980</v>
      </c>
      <c r="EO213" s="15"/>
      <c r="EP213" s="15"/>
      <c r="EQ213" s="15"/>
      <c r="ER213" s="15"/>
      <c r="ES213" s="15"/>
      <c r="ET213" s="15"/>
      <c r="EU213" s="15"/>
      <c r="EV213" s="15"/>
      <c r="EW213" s="15"/>
      <c r="EX213" s="15"/>
      <c r="EY213" s="15"/>
      <c r="EZ213" s="15"/>
      <c r="FA213" s="15"/>
      <c r="FB213" s="15"/>
      <c r="FC213" s="16" t="s">
        <v>197</v>
      </c>
      <c r="FD213" s="17" t="s">
        <v>198</v>
      </c>
      <c r="FE213" s="18">
        <v>45723.35653935185</v>
      </c>
      <c r="FF213" s="19"/>
      <c r="FG213" s="19"/>
      <c r="FH213" s="21" t="s">
        <v>197</v>
      </c>
      <c r="FI213" s="17" t="s">
        <v>214</v>
      </c>
      <c r="FJ213" s="18">
        <v>45723.35653935185</v>
      </c>
      <c r="FK213" s="14" t="s">
        <v>6980</v>
      </c>
      <c r="FL213" s="14" t="s">
        <v>6981</v>
      </c>
      <c r="FM213" s="14" t="s">
        <v>6982</v>
      </c>
      <c r="FN213" s="14" t="s">
        <v>6983</v>
      </c>
      <c r="FO213" s="14" t="s">
        <v>6984</v>
      </c>
      <c r="FP213" s="19" t="str">
        <f t="shared" si="1"/>
        <v>Base de Dados_Images/BD4008.Imagem do Equipamento-.144055.jpg</v>
      </c>
      <c r="FQ213" s="19"/>
      <c r="FR213" s="19"/>
    </row>
    <row r="214" ht="15.75" customHeight="1">
      <c r="A214" s="12" t="s">
        <v>217</v>
      </c>
      <c r="B214" s="12" t="s">
        <v>2449</v>
      </c>
      <c r="C214" s="24" t="s">
        <v>512</v>
      </c>
      <c r="D214" s="22" t="s">
        <v>6985</v>
      </c>
      <c r="E214" s="22" t="s">
        <v>6986</v>
      </c>
      <c r="F214" s="13" t="s">
        <v>178</v>
      </c>
      <c r="G214" s="14" t="s">
        <v>179</v>
      </c>
      <c r="H214" s="14" t="s">
        <v>6987</v>
      </c>
      <c r="I214" s="14" t="s">
        <v>179</v>
      </c>
      <c r="J214" s="14" t="s">
        <v>6988</v>
      </c>
      <c r="K214" s="14" t="s">
        <v>179</v>
      </c>
      <c r="L214" s="14" t="s">
        <v>6988</v>
      </c>
      <c r="M214" s="14" t="s">
        <v>179</v>
      </c>
      <c r="N214" s="14" t="s">
        <v>6989</v>
      </c>
      <c r="O214" s="14" t="s">
        <v>179</v>
      </c>
      <c r="P214" s="14" t="s">
        <v>6990</v>
      </c>
      <c r="Q214" s="14" t="s">
        <v>179</v>
      </c>
      <c r="R214" s="14" t="s">
        <v>6991</v>
      </c>
      <c r="S214" s="14" t="s">
        <v>179</v>
      </c>
      <c r="T214" s="14" t="s">
        <v>6992</v>
      </c>
      <c r="U214" s="14" t="s">
        <v>179</v>
      </c>
      <c r="V214" s="14" t="s">
        <v>6993</v>
      </c>
      <c r="W214" s="14" t="s">
        <v>179</v>
      </c>
      <c r="X214" s="14" t="s">
        <v>6994</v>
      </c>
      <c r="Y214" s="14" t="s">
        <v>188</v>
      </c>
      <c r="Z214" s="14" t="s">
        <v>6995</v>
      </c>
      <c r="AA214" s="14" t="s">
        <v>179</v>
      </c>
      <c r="AB214" s="14" t="s">
        <v>6996</v>
      </c>
      <c r="AC214" s="14" t="s">
        <v>179</v>
      </c>
      <c r="AD214" s="14" t="s">
        <v>6997</v>
      </c>
      <c r="AE214" s="14" t="s">
        <v>179</v>
      </c>
      <c r="AF214" s="14" t="s">
        <v>6998</v>
      </c>
      <c r="AG214" s="14" t="s">
        <v>179</v>
      </c>
      <c r="AH214" s="14" t="s">
        <v>6999</v>
      </c>
      <c r="AI214" s="14" t="s">
        <v>179</v>
      </c>
      <c r="AJ214" s="14" t="s">
        <v>7000</v>
      </c>
      <c r="AK214" s="14" t="s">
        <v>179</v>
      </c>
      <c r="AL214" s="14" t="s">
        <v>7001</v>
      </c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6" t="s">
        <v>197</v>
      </c>
      <c r="BP214" s="17" t="s">
        <v>198</v>
      </c>
      <c r="BQ214" s="18">
        <v>45685.36369212963</v>
      </c>
      <c r="BR214" s="17" t="s">
        <v>198</v>
      </c>
      <c r="BS214" s="18">
        <v>45685.364120370374</v>
      </c>
      <c r="BT214" s="17" t="s">
        <v>198</v>
      </c>
      <c r="BU214" s="18">
        <v>45685.364120370374</v>
      </c>
      <c r="BV214" s="13" t="s">
        <v>199</v>
      </c>
      <c r="BW214" s="14" t="s">
        <v>179</v>
      </c>
      <c r="BX214" s="14" t="s">
        <v>7002</v>
      </c>
      <c r="BY214" s="14" t="s">
        <v>179</v>
      </c>
      <c r="BZ214" s="14" t="s">
        <v>7003</v>
      </c>
      <c r="CA214" s="14" t="s">
        <v>179</v>
      </c>
      <c r="CB214" s="14" t="s">
        <v>7004</v>
      </c>
      <c r="CC214" s="14" t="s">
        <v>179</v>
      </c>
      <c r="CD214" s="14" t="s">
        <v>7005</v>
      </c>
      <c r="CE214" s="14" t="s">
        <v>179</v>
      </c>
      <c r="CF214" s="14" t="s">
        <v>7006</v>
      </c>
      <c r="CG214" s="14" t="s">
        <v>179</v>
      </c>
      <c r="CH214" s="14" t="s">
        <v>7006</v>
      </c>
      <c r="CI214" s="19"/>
      <c r="CJ214" s="15"/>
      <c r="CK214" s="19"/>
      <c r="CL214" s="15"/>
      <c r="CM214" s="19"/>
      <c r="CN214" s="15"/>
      <c r="CO214" s="19"/>
      <c r="CP214" s="15"/>
      <c r="CQ214" s="15"/>
      <c r="CR214" s="15"/>
      <c r="CS214" s="19"/>
      <c r="CT214" s="15"/>
      <c r="CU214" s="19"/>
      <c r="CV214" s="15"/>
      <c r="CW214" s="19"/>
      <c r="CX214" s="15"/>
      <c r="CY214" s="19"/>
      <c r="CZ214" s="15"/>
      <c r="DA214" s="16" t="s">
        <v>197</v>
      </c>
      <c r="DB214" s="17" t="s">
        <v>198</v>
      </c>
      <c r="DC214" s="20">
        <v>45715.557754629626</v>
      </c>
      <c r="DD214" s="17" t="s">
        <v>198</v>
      </c>
      <c r="DE214" s="18">
        <v>45715.55778935185</v>
      </c>
      <c r="DF214" s="17" t="s">
        <v>198</v>
      </c>
      <c r="DG214" s="18">
        <v>45715.55778935185</v>
      </c>
      <c r="DH214" s="13" t="s">
        <v>205</v>
      </c>
      <c r="DI214" s="14" t="s">
        <v>179</v>
      </c>
      <c r="DJ214" s="14" t="s">
        <v>7007</v>
      </c>
      <c r="DK214" s="14" t="s">
        <v>179</v>
      </c>
      <c r="DL214" s="14" t="s">
        <v>7008</v>
      </c>
      <c r="DM214" s="14" t="s">
        <v>179</v>
      </c>
      <c r="DN214" s="14" t="s">
        <v>7009</v>
      </c>
      <c r="DO214" s="14" t="s">
        <v>179</v>
      </c>
      <c r="DP214" s="14" t="s">
        <v>7010</v>
      </c>
      <c r="DQ214" s="15"/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6" t="s">
        <v>197</v>
      </c>
      <c r="ED214" s="17" t="s">
        <v>198</v>
      </c>
      <c r="EE214" s="18">
        <v>45715.559479166666</v>
      </c>
      <c r="EF214" s="13" t="s">
        <v>209</v>
      </c>
      <c r="EG214" s="14" t="s">
        <v>179</v>
      </c>
      <c r="EH214" s="14" t="s">
        <v>7011</v>
      </c>
      <c r="EI214" s="14" t="s">
        <v>179</v>
      </c>
      <c r="EJ214" s="14" t="s">
        <v>7012</v>
      </c>
      <c r="EK214" s="14" t="s">
        <v>179</v>
      </c>
      <c r="EL214" s="14" t="s">
        <v>7013</v>
      </c>
      <c r="EM214" s="14" t="s">
        <v>179</v>
      </c>
      <c r="EN214" s="14" t="s">
        <v>7014</v>
      </c>
      <c r="EO214" s="15"/>
      <c r="EP214" s="15"/>
      <c r="EQ214" s="15"/>
      <c r="ER214" s="15"/>
      <c r="ES214" s="15"/>
      <c r="ET214" s="15"/>
      <c r="EU214" s="15"/>
      <c r="EV214" s="15"/>
      <c r="EW214" s="15"/>
      <c r="EX214" s="15"/>
      <c r="EY214" s="15"/>
      <c r="EZ214" s="15"/>
      <c r="FA214" s="15"/>
      <c r="FB214" s="15"/>
      <c r="FC214" s="16" t="s">
        <v>197</v>
      </c>
      <c r="FD214" s="17" t="s">
        <v>198</v>
      </c>
      <c r="FE214" s="18">
        <v>45723.35666666667</v>
      </c>
      <c r="FF214" s="19"/>
      <c r="FG214" s="19"/>
      <c r="FH214" s="21" t="s">
        <v>197</v>
      </c>
      <c r="FI214" s="17" t="s">
        <v>214</v>
      </c>
      <c r="FJ214" s="18">
        <v>45723.35666666667</v>
      </c>
      <c r="FK214" s="14" t="s">
        <v>7014</v>
      </c>
      <c r="FL214" s="14" t="s">
        <v>7015</v>
      </c>
      <c r="FM214" s="14" t="s">
        <v>7016</v>
      </c>
      <c r="FN214" s="19"/>
      <c r="FO214" s="19"/>
      <c r="FP214" s="19" t="str">
        <f t="shared" si="1"/>
        <v>Base de Dados_Images/BD4009.Imagem do Equipamento-.152557.jpg</v>
      </c>
      <c r="FQ214" s="19"/>
      <c r="FR214" s="19"/>
    </row>
    <row r="215" ht="15.75" customHeight="1">
      <c r="A215" s="12" t="s">
        <v>217</v>
      </c>
      <c r="B215" s="12" t="s">
        <v>2449</v>
      </c>
      <c r="C215" s="24" t="s">
        <v>512</v>
      </c>
      <c r="D215" s="22" t="s">
        <v>7017</v>
      </c>
      <c r="E215" s="22" t="s">
        <v>7018</v>
      </c>
      <c r="F215" s="13" t="s">
        <v>178</v>
      </c>
      <c r="G215" s="14" t="s">
        <v>179</v>
      </c>
      <c r="H215" s="14" t="s">
        <v>7019</v>
      </c>
      <c r="I215" s="14" t="s">
        <v>179</v>
      </c>
      <c r="J215" s="14" t="s">
        <v>7020</v>
      </c>
      <c r="K215" s="14" t="s">
        <v>179</v>
      </c>
      <c r="L215" s="14" t="s">
        <v>7021</v>
      </c>
      <c r="M215" s="14" t="s">
        <v>179</v>
      </c>
      <c r="N215" s="14" t="s">
        <v>7022</v>
      </c>
      <c r="O215" s="14" t="s">
        <v>179</v>
      </c>
      <c r="P215" s="14" t="s">
        <v>7023</v>
      </c>
      <c r="Q215" s="14" t="s">
        <v>179</v>
      </c>
      <c r="R215" s="14" t="s">
        <v>7024</v>
      </c>
      <c r="S215" s="14" t="s">
        <v>179</v>
      </c>
      <c r="T215" s="14" t="s">
        <v>7025</v>
      </c>
      <c r="U215" s="14" t="s">
        <v>179</v>
      </c>
      <c r="V215" s="14" t="s">
        <v>7026</v>
      </c>
      <c r="W215" s="14" t="s">
        <v>188</v>
      </c>
      <c r="X215" s="14" t="s">
        <v>7027</v>
      </c>
      <c r="Y215" s="14" t="s">
        <v>188</v>
      </c>
      <c r="Z215" s="14" t="s">
        <v>7028</v>
      </c>
      <c r="AA215" s="14" t="s">
        <v>179</v>
      </c>
      <c r="AB215" s="14" t="s">
        <v>7029</v>
      </c>
      <c r="AC215" s="14" t="s">
        <v>179</v>
      </c>
      <c r="AD215" s="14" t="s">
        <v>7030</v>
      </c>
      <c r="AE215" s="14" t="s">
        <v>179</v>
      </c>
      <c r="AF215" s="14" t="s">
        <v>7031</v>
      </c>
      <c r="AG215" s="14" t="s">
        <v>179</v>
      </c>
      <c r="AH215" s="14" t="s">
        <v>7032</v>
      </c>
      <c r="AI215" s="14" t="s">
        <v>179</v>
      </c>
      <c r="AJ215" s="14" t="s">
        <v>7033</v>
      </c>
      <c r="AK215" s="14" t="s">
        <v>179</v>
      </c>
      <c r="AL215" s="14" t="s">
        <v>7034</v>
      </c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6" t="s">
        <v>197</v>
      </c>
      <c r="BP215" s="17" t="s">
        <v>198</v>
      </c>
      <c r="BQ215" s="18">
        <v>45685.354212962964</v>
      </c>
      <c r="BR215" s="17" t="s">
        <v>198</v>
      </c>
      <c r="BS215" s="18">
        <v>45685.3546412037</v>
      </c>
      <c r="BT215" s="17" t="s">
        <v>198</v>
      </c>
      <c r="BU215" s="18">
        <v>45685.3546412037</v>
      </c>
      <c r="BV215" s="13" t="s">
        <v>199</v>
      </c>
      <c r="BW215" s="14" t="s">
        <v>179</v>
      </c>
      <c r="BX215" s="14" t="s">
        <v>7035</v>
      </c>
      <c r="BY215" s="14" t="s">
        <v>179</v>
      </c>
      <c r="BZ215" s="14" t="s">
        <v>7036</v>
      </c>
      <c r="CA215" s="14" t="s">
        <v>179</v>
      </c>
      <c r="CB215" s="14" t="s">
        <v>7036</v>
      </c>
      <c r="CC215" s="14" t="s">
        <v>179</v>
      </c>
      <c r="CD215" s="14" t="s">
        <v>7037</v>
      </c>
      <c r="CE215" s="14" t="s">
        <v>179</v>
      </c>
      <c r="CF215" s="14" t="s">
        <v>7038</v>
      </c>
      <c r="CG215" s="14" t="s">
        <v>179</v>
      </c>
      <c r="CH215" s="14" t="s">
        <v>7039</v>
      </c>
      <c r="CI215" s="19"/>
      <c r="CJ215" s="15"/>
      <c r="CK215" s="19"/>
      <c r="CL215" s="15"/>
      <c r="CM215" s="19"/>
      <c r="CN215" s="15"/>
      <c r="CO215" s="19"/>
      <c r="CP215" s="15"/>
      <c r="CQ215" s="15"/>
      <c r="CR215" s="15"/>
      <c r="CS215" s="19"/>
      <c r="CT215" s="15"/>
      <c r="CU215" s="19"/>
      <c r="CV215" s="15"/>
      <c r="CW215" s="19"/>
      <c r="CX215" s="15"/>
      <c r="CY215" s="19"/>
      <c r="CZ215" s="15"/>
      <c r="DA215" s="16" t="s">
        <v>197</v>
      </c>
      <c r="DB215" s="17" t="s">
        <v>198</v>
      </c>
      <c r="DC215" s="20">
        <v>45715.559953703705</v>
      </c>
      <c r="DD215" s="17" t="s">
        <v>198</v>
      </c>
      <c r="DE215" s="18">
        <v>45715.560011574074</v>
      </c>
      <c r="DF215" s="17" t="s">
        <v>198</v>
      </c>
      <c r="DG215" s="18">
        <v>45715.560011574074</v>
      </c>
      <c r="DH215" s="13" t="s">
        <v>205</v>
      </c>
      <c r="DI215" s="14" t="s">
        <v>179</v>
      </c>
      <c r="DJ215" s="14" t="s">
        <v>7040</v>
      </c>
      <c r="DK215" s="14" t="s">
        <v>179</v>
      </c>
      <c r="DL215" s="14" t="s">
        <v>7041</v>
      </c>
      <c r="DM215" s="14" t="s">
        <v>179</v>
      </c>
      <c r="DN215" s="14" t="s">
        <v>7042</v>
      </c>
      <c r="DO215" s="14" t="s">
        <v>179</v>
      </c>
      <c r="DP215" s="14" t="s">
        <v>7043</v>
      </c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6" t="s">
        <v>197</v>
      </c>
      <c r="ED215" s="17" t="s">
        <v>198</v>
      </c>
      <c r="EE215" s="18">
        <v>45723.35679398148</v>
      </c>
      <c r="EF215" s="13" t="s">
        <v>209</v>
      </c>
      <c r="EG215" s="14" t="s">
        <v>179</v>
      </c>
      <c r="EH215" s="14" t="s">
        <v>7044</v>
      </c>
      <c r="EI215" s="14" t="s">
        <v>179</v>
      </c>
      <c r="EJ215" s="14" t="s">
        <v>7045</v>
      </c>
      <c r="EK215" s="14" t="s">
        <v>179</v>
      </c>
      <c r="EL215" s="14" t="s">
        <v>7046</v>
      </c>
      <c r="EM215" s="14" t="s">
        <v>179</v>
      </c>
      <c r="EN215" s="14" t="s">
        <v>7047</v>
      </c>
      <c r="EO215" s="15"/>
      <c r="EP215" s="15"/>
      <c r="EQ215" s="15"/>
      <c r="ER215" s="15"/>
      <c r="ES215" s="15"/>
      <c r="ET215" s="15"/>
      <c r="EU215" s="15"/>
      <c r="EV215" s="15"/>
      <c r="EW215" s="15"/>
      <c r="EX215" s="15"/>
      <c r="EY215" s="15"/>
      <c r="EZ215" s="15"/>
      <c r="FA215" s="15"/>
      <c r="FB215" s="15"/>
      <c r="FC215" s="16" t="s">
        <v>197</v>
      </c>
      <c r="FD215" s="17" t="s">
        <v>198</v>
      </c>
      <c r="FE215" s="18">
        <v>45723.35690972222</v>
      </c>
      <c r="FF215" s="19"/>
      <c r="FG215" s="19"/>
      <c r="FH215" s="21" t="s">
        <v>197</v>
      </c>
      <c r="FI215" s="17" t="s">
        <v>214</v>
      </c>
      <c r="FJ215" s="18">
        <v>45723.35690972222</v>
      </c>
      <c r="FK215" s="14" t="s">
        <v>7047</v>
      </c>
      <c r="FL215" s="14" t="s">
        <v>7048</v>
      </c>
      <c r="FM215" s="14" t="s">
        <v>7049</v>
      </c>
      <c r="FN215" s="19"/>
      <c r="FO215" s="19"/>
      <c r="FP215" s="19" t="str">
        <f t="shared" si="1"/>
        <v>Base de Dados_Images/BD4010.Imagem do Equipamento-.131428.jpg</v>
      </c>
      <c r="FQ215" s="19"/>
      <c r="FR215" s="19"/>
    </row>
    <row r="216" ht="15.75" customHeight="1">
      <c r="A216" s="12" t="s">
        <v>217</v>
      </c>
      <c r="B216" s="12" t="s">
        <v>6880</v>
      </c>
      <c r="C216" s="24" t="s">
        <v>512</v>
      </c>
      <c r="D216" s="22" t="s">
        <v>7050</v>
      </c>
      <c r="E216" s="22" t="s">
        <v>7051</v>
      </c>
      <c r="F216" s="13" t="s">
        <v>178</v>
      </c>
      <c r="G216" s="14" t="s">
        <v>179</v>
      </c>
      <c r="H216" s="14" t="s">
        <v>7052</v>
      </c>
      <c r="I216" s="14" t="s">
        <v>179</v>
      </c>
      <c r="J216" s="14" t="s">
        <v>7053</v>
      </c>
      <c r="K216" s="14" t="s">
        <v>179</v>
      </c>
      <c r="L216" s="14" t="s">
        <v>7054</v>
      </c>
      <c r="M216" s="14" t="s">
        <v>179</v>
      </c>
      <c r="N216" s="14" t="s">
        <v>7055</v>
      </c>
      <c r="O216" s="14" t="s">
        <v>179</v>
      </c>
      <c r="P216" s="14" t="s">
        <v>7056</v>
      </c>
      <c r="Q216" s="14" t="s">
        <v>179</v>
      </c>
      <c r="R216" s="14" t="s">
        <v>7057</v>
      </c>
      <c r="S216" s="14" t="s">
        <v>179</v>
      </c>
      <c r="T216" s="14" t="s">
        <v>7058</v>
      </c>
      <c r="U216" s="14" t="s">
        <v>179</v>
      </c>
      <c r="V216" s="14" t="s">
        <v>7059</v>
      </c>
      <c r="W216" s="14" t="s">
        <v>179</v>
      </c>
      <c r="X216" s="14" t="s">
        <v>7060</v>
      </c>
      <c r="Y216" s="14" t="s">
        <v>179</v>
      </c>
      <c r="Z216" s="14" t="s">
        <v>7061</v>
      </c>
      <c r="AA216" s="14" t="s">
        <v>179</v>
      </c>
      <c r="AB216" s="14" t="s">
        <v>7062</v>
      </c>
      <c r="AC216" s="14" t="s">
        <v>179</v>
      </c>
      <c r="AD216" s="14" t="s">
        <v>7063</v>
      </c>
      <c r="AE216" s="14" t="s">
        <v>179</v>
      </c>
      <c r="AF216" s="14" t="s">
        <v>7064</v>
      </c>
      <c r="AG216" s="14" t="s">
        <v>188</v>
      </c>
      <c r="AH216" s="14" t="s">
        <v>7065</v>
      </c>
      <c r="AI216" s="14" t="s">
        <v>179</v>
      </c>
      <c r="AJ216" s="14" t="s">
        <v>7066</v>
      </c>
      <c r="AK216" s="14" t="s">
        <v>179</v>
      </c>
      <c r="AL216" s="14" t="s">
        <v>7067</v>
      </c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6" t="s">
        <v>197</v>
      </c>
      <c r="BP216" s="17" t="s">
        <v>198</v>
      </c>
      <c r="BQ216" s="18">
        <v>45692.60554398148</v>
      </c>
      <c r="BR216" s="17" t="s">
        <v>198</v>
      </c>
      <c r="BS216" s="18">
        <v>45692.60576388889</v>
      </c>
      <c r="BT216" s="17" t="s">
        <v>198</v>
      </c>
      <c r="BU216" s="18">
        <v>45692.60576388889</v>
      </c>
      <c r="BV216" s="13" t="s">
        <v>199</v>
      </c>
      <c r="BW216" s="14" t="s">
        <v>179</v>
      </c>
      <c r="BX216" s="14" t="s">
        <v>7068</v>
      </c>
      <c r="BY216" s="14" t="s">
        <v>179</v>
      </c>
      <c r="BZ216" s="14" t="s">
        <v>7069</v>
      </c>
      <c r="CA216" s="14" t="s">
        <v>179</v>
      </c>
      <c r="CB216" s="14" t="s">
        <v>7070</v>
      </c>
      <c r="CC216" s="14" t="s">
        <v>179</v>
      </c>
      <c r="CD216" s="14" t="s">
        <v>7071</v>
      </c>
      <c r="CE216" s="14" t="s">
        <v>179</v>
      </c>
      <c r="CF216" s="14" t="s">
        <v>7072</v>
      </c>
      <c r="CG216" s="14" t="s">
        <v>179</v>
      </c>
      <c r="CH216" s="14" t="s">
        <v>7073</v>
      </c>
      <c r="CI216" s="19"/>
      <c r="CJ216" s="15"/>
      <c r="CK216" s="19"/>
      <c r="CL216" s="15"/>
      <c r="CM216" s="19"/>
      <c r="CN216" s="15"/>
      <c r="CO216" s="19"/>
      <c r="CP216" s="15"/>
      <c r="CQ216" s="15"/>
      <c r="CR216" s="15"/>
      <c r="CS216" s="19"/>
      <c r="CT216" s="15"/>
      <c r="CU216" s="19"/>
      <c r="CV216" s="15"/>
      <c r="CW216" s="19"/>
      <c r="CX216" s="15"/>
      <c r="CY216" s="19"/>
      <c r="CZ216" s="15"/>
      <c r="DA216" s="16" t="s">
        <v>197</v>
      </c>
      <c r="DB216" s="17" t="s">
        <v>198</v>
      </c>
      <c r="DC216" s="20">
        <v>45692.60587962963</v>
      </c>
      <c r="DD216" s="17" t="s">
        <v>198</v>
      </c>
      <c r="DE216" s="18">
        <v>45692.60596064815</v>
      </c>
      <c r="DF216" s="17" t="s">
        <v>198</v>
      </c>
      <c r="DG216" s="18">
        <v>45692.60596064815</v>
      </c>
      <c r="DH216" s="13" t="s">
        <v>205</v>
      </c>
      <c r="DI216" s="14" t="s">
        <v>179</v>
      </c>
      <c r="DJ216" s="14" t="s">
        <v>7074</v>
      </c>
      <c r="DK216" s="14" t="s">
        <v>179</v>
      </c>
      <c r="DL216" s="14" t="s">
        <v>7075</v>
      </c>
      <c r="DM216" s="14" t="s">
        <v>179</v>
      </c>
      <c r="DN216" s="14" t="s">
        <v>7076</v>
      </c>
      <c r="DO216" s="14" t="s">
        <v>179</v>
      </c>
      <c r="DP216" s="14" t="s">
        <v>7076</v>
      </c>
      <c r="DQ216" s="15"/>
      <c r="DR216" s="15"/>
      <c r="DS216" s="15"/>
      <c r="DT216" s="15"/>
      <c r="DU216" s="15"/>
      <c r="DV216" s="15"/>
      <c r="DW216" s="15"/>
      <c r="DX216" s="15"/>
      <c r="DY216" s="15"/>
      <c r="DZ216" s="15"/>
      <c r="EA216" s="15"/>
      <c r="EB216" s="15"/>
      <c r="EC216" s="16" t="s">
        <v>197</v>
      </c>
      <c r="ED216" s="17" t="s">
        <v>198</v>
      </c>
      <c r="EE216" s="18">
        <v>45723.352118055554</v>
      </c>
      <c r="EF216" s="13" t="s">
        <v>209</v>
      </c>
      <c r="EG216" s="14" t="s">
        <v>179</v>
      </c>
      <c r="EH216" s="14" t="s">
        <v>7077</v>
      </c>
      <c r="EI216" s="14" t="s">
        <v>179</v>
      </c>
      <c r="EJ216" s="14" t="s">
        <v>7077</v>
      </c>
      <c r="EK216" s="14" t="s">
        <v>179</v>
      </c>
      <c r="EL216" s="14" t="s">
        <v>7078</v>
      </c>
      <c r="EM216" s="14" t="s">
        <v>179</v>
      </c>
      <c r="EN216" s="14" t="s">
        <v>7079</v>
      </c>
      <c r="EO216" s="15"/>
      <c r="EP216" s="15"/>
      <c r="EQ216" s="15"/>
      <c r="ER216" s="15"/>
      <c r="ES216" s="15"/>
      <c r="ET216" s="15"/>
      <c r="EU216" s="15"/>
      <c r="EV216" s="15"/>
      <c r="EW216" s="15"/>
      <c r="EX216" s="15"/>
      <c r="EY216" s="15"/>
      <c r="EZ216" s="15"/>
      <c r="FA216" s="15"/>
      <c r="FB216" s="15"/>
      <c r="FC216" s="16" t="s">
        <v>197</v>
      </c>
      <c r="FD216" s="17" t="s">
        <v>198</v>
      </c>
      <c r="FE216" s="18">
        <v>45723.35221064815</v>
      </c>
      <c r="FF216" s="19"/>
      <c r="FG216" s="19"/>
      <c r="FH216" s="21" t="s">
        <v>197</v>
      </c>
      <c r="FI216" s="17" t="s">
        <v>214</v>
      </c>
      <c r="FJ216" s="18">
        <v>45723.35221064815</v>
      </c>
      <c r="FK216" s="14" t="s">
        <v>7079</v>
      </c>
      <c r="FL216" s="19"/>
      <c r="FM216" s="19"/>
      <c r="FN216" s="19"/>
      <c r="FO216" s="19"/>
      <c r="FP216" s="19" t="str">
        <f t="shared" si="1"/>
        <v/>
      </c>
      <c r="FQ216" s="14" t="s">
        <v>215</v>
      </c>
      <c r="FR216" s="14" t="s">
        <v>7080</v>
      </c>
    </row>
    <row r="217" ht="15.75" customHeight="1">
      <c r="A217" s="12" t="s">
        <v>217</v>
      </c>
      <c r="B217" s="12" t="s">
        <v>2449</v>
      </c>
      <c r="C217" s="24" t="s">
        <v>512</v>
      </c>
      <c r="D217" s="22" t="s">
        <v>7081</v>
      </c>
      <c r="E217" s="22" t="s">
        <v>7082</v>
      </c>
      <c r="F217" s="13" t="s">
        <v>178</v>
      </c>
      <c r="G217" s="14" t="s">
        <v>179</v>
      </c>
      <c r="H217" s="14" t="s">
        <v>7083</v>
      </c>
      <c r="I217" s="14" t="s">
        <v>179</v>
      </c>
      <c r="J217" s="14" t="s">
        <v>7084</v>
      </c>
      <c r="K217" s="14" t="s">
        <v>179</v>
      </c>
      <c r="L217" s="14" t="s">
        <v>7085</v>
      </c>
      <c r="M217" s="14" t="s">
        <v>179</v>
      </c>
      <c r="N217" s="14" t="s">
        <v>7086</v>
      </c>
      <c r="O217" s="14" t="s">
        <v>179</v>
      </c>
      <c r="P217" s="14" t="s">
        <v>7087</v>
      </c>
      <c r="Q217" s="14" t="s">
        <v>179</v>
      </c>
      <c r="R217" s="14" t="s">
        <v>7088</v>
      </c>
      <c r="S217" s="14" t="s">
        <v>179</v>
      </c>
      <c r="T217" s="14" t="s">
        <v>7089</v>
      </c>
      <c r="U217" s="14" t="s">
        <v>179</v>
      </c>
      <c r="V217" s="14" t="s">
        <v>7090</v>
      </c>
      <c r="W217" s="14" t="s">
        <v>188</v>
      </c>
      <c r="X217" s="14" t="s">
        <v>7091</v>
      </c>
      <c r="Y217" s="14" t="s">
        <v>188</v>
      </c>
      <c r="Z217" s="14" t="s">
        <v>7092</v>
      </c>
      <c r="AA217" s="14" t="s">
        <v>179</v>
      </c>
      <c r="AB217" s="14" t="s">
        <v>7093</v>
      </c>
      <c r="AC217" s="14" t="s">
        <v>179</v>
      </c>
      <c r="AD217" s="14" t="s">
        <v>7094</v>
      </c>
      <c r="AE217" s="14" t="s">
        <v>179</v>
      </c>
      <c r="AF217" s="14" t="s">
        <v>7095</v>
      </c>
      <c r="AG217" s="14" t="s">
        <v>188</v>
      </c>
      <c r="AH217" s="14" t="s">
        <v>7096</v>
      </c>
      <c r="AI217" s="14" t="s">
        <v>179</v>
      </c>
      <c r="AJ217" s="14" t="s">
        <v>7097</v>
      </c>
      <c r="AK217" s="14" t="s">
        <v>179</v>
      </c>
      <c r="AL217" s="14" t="s">
        <v>7098</v>
      </c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6" t="s">
        <v>197</v>
      </c>
      <c r="BP217" s="17" t="s">
        <v>198</v>
      </c>
      <c r="BQ217" s="18">
        <v>45685.352847222224</v>
      </c>
      <c r="BR217" s="17" t="s">
        <v>198</v>
      </c>
      <c r="BS217" s="18">
        <v>45685.3530787037</v>
      </c>
      <c r="BT217" s="17" t="s">
        <v>198</v>
      </c>
      <c r="BU217" s="18">
        <v>45685.3530787037</v>
      </c>
      <c r="BV217" s="13" t="s">
        <v>199</v>
      </c>
      <c r="BW217" s="14" t="s">
        <v>179</v>
      </c>
      <c r="BX217" s="14" t="s">
        <v>7099</v>
      </c>
      <c r="BY217" s="14" t="s">
        <v>179</v>
      </c>
      <c r="BZ217" s="14" t="s">
        <v>7100</v>
      </c>
      <c r="CA217" s="14" t="s">
        <v>179</v>
      </c>
      <c r="CB217" s="14" t="s">
        <v>7101</v>
      </c>
      <c r="CC217" s="14" t="s">
        <v>179</v>
      </c>
      <c r="CD217" s="14" t="s">
        <v>7102</v>
      </c>
      <c r="CE217" s="14" t="s">
        <v>179</v>
      </c>
      <c r="CF217" s="14" t="s">
        <v>7103</v>
      </c>
      <c r="CG217" s="14" t="s">
        <v>179</v>
      </c>
      <c r="CH217" s="14" t="s">
        <v>7103</v>
      </c>
      <c r="CI217" s="19"/>
      <c r="CJ217" s="15"/>
      <c r="CK217" s="19"/>
      <c r="CL217" s="15"/>
      <c r="CM217" s="19"/>
      <c r="CN217" s="15"/>
      <c r="CO217" s="19"/>
      <c r="CP217" s="15"/>
      <c r="CQ217" s="15"/>
      <c r="CR217" s="15"/>
      <c r="CS217" s="19"/>
      <c r="CT217" s="15"/>
      <c r="CU217" s="19"/>
      <c r="CV217" s="15"/>
      <c r="CW217" s="19"/>
      <c r="CX217" s="15"/>
      <c r="CY217" s="19"/>
      <c r="CZ217" s="15"/>
      <c r="DA217" s="16" t="s">
        <v>197</v>
      </c>
      <c r="DB217" s="17" t="s">
        <v>198</v>
      </c>
      <c r="DC217" s="20">
        <v>45715.560740740744</v>
      </c>
      <c r="DD217" s="17" t="s">
        <v>198</v>
      </c>
      <c r="DE217" s="18">
        <v>45715.56077546296</v>
      </c>
      <c r="DF217" s="17" t="s">
        <v>198</v>
      </c>
      <c r="DG217" s="18">
        <v>45715.56077546296</v>
      </c>
      <c r="DH217" s="13" t="s">
        <v>205</v>
      </c>
      <c r="DI217" s="14" t="s">
        <v>179</v>
      </c>
      <c r="DJ217" s="14" t="s">
        <v>7104</v>
      </c>
      <c r="DK217" s="14" t="s">
        <v>179</v>
      </c>
      <c r="DL217" s="14" t="s">
        <v>7104</v>
      </c>
      <c r="DM217" s="14" t="s">
        <v>179</v>
      </c>
      <c r="DN217" s="14" t="s">
        <v>7105</v>
      </c>
      <c r="DO217" s="14" t="s">
        <v>179</v>
      </c>
      <c r="DP217" s="14" t="s">
        <v>7106</v>
      </c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6" t="s">
        <v>197</v>
      </c>
      <c r="ED217" s="17" t="s">
        <v>198</v>
      </c>
      <c r="EE217" s="18">
        <v>45723.35701388889</v>
      </c>
      <c r="EF217" s="13" t="s">
        <v>209</v>
      </c>
      <c r="EG217" s="14" t="s">
        <v>179</v>
      </c>
      <c r="EH217" s="14" t="s">
        <v>7107</v>
      </c>
      <c r="EI217" s="14" t="s">
        <v>179</v>
      </c>
      <c r="EJ217" s="14" t="s">
        <v>7108</v>
      </c>
      <c r="EK217" s="14" t="s">
        <v>179</v>
      </c>
      <c r="EL217" s="14" t="s">
        <v>7109</v>
      </c>
      <c r="EM217" s="14" t="s">
        <v>179</v>
      </c>
      <c r="EN217" s="14" t="s">
        <v>7110</v>
      </c>
      <c r="EO217" s="15"/>
      <c r="EP217" s="15"/>
      <c r="EQ217" s="15"/>
      <c r="ER217" s="15"/>
      <c r="ES217" s="15"/>
      <c r="ET217" s="15"/>
      <c r="EU217" s="15"/>
      <c r="EV217" s="15"/>
      <c r="EW217" s="15"/>
      <c r="EX217" s="15"/>
      <c r="EY217" s="15"/>
      <c r="EZ217" s="15"/>
      <c r="FA217" s="15"/>
      <c r="FB217" s="15"/>
      <c r="FC217" s="16" t="s">
        <v>197</v>
      </c>
      <c r="FD217" s="17" t="s">
        <v>198</v>
      </c>
      <c r="FE217" s="18">
        <v>45723.35712962963</v>
      </c>
      <c r="FF217" s="19"/>
      <c r="FG217" s="19"/>
      <c r="FH217" s="21" t="s">
        <v>197</v>
      </c>
      <c r="FI217" s="17" t="s">
        <v>214</v>
      </c>
      <c r="FJ217" s="18">
        <v>45723.35712962963</v>
      </c>
      <c r="FK217" s="14" t="s">
        <v>7110</v>
      </c>
      <c r="FL217" s="14" t="s">
        <v>7111</v>
      </c>
      <c r="FM217" s="14" t="s">
        <v>7112</v>
      </c>
      <c r="FN217" s="19"/>
      <c r="FO217" s="19"/>
      <c r="FP217" s="19" t="str">
        <f t="shared" si="1"/>
        <v>Base de Dados_Images/BD4012.Imagem do Equipamento-.131305.jpg</v>
      </c>
      <c r="FQ217" s="19"/>
      <c r="FR217" s="19"/>
    </row>
    <row r="218" ht="15.75" customHeight="1">
      <c r="A218" s="12" t="s">
        <v>234</v>
      </c>
      <c r="B218" s="12" t="s">
        <v>7113</v>
      </c>
      <c r="C218" s="24" t="s">
        <v>512</v>
      </c>
      <c r="D218" s="22" t="s">
        <v>7114</v>
      </c>
      <c r="E218" s="22" t="s">
        <v>7115</v>
      </c>
      <c r="F218" s="13" t="s">
        <v>178</v>
      </c>
      <c r="G218" s="14" t="s">
        <v>179</v>
      </c>
      <c r="H218" s="14" t="s">
        <v>7116</v>
      </c>
      <c r="I218" s="14" t="s">
        <v>179</v>
      </c>
      <c r="J218" s="14" t="s">
        <v>7117</v>
      </c>
      <c r="K218" s="14" t="s">
        <v>179</v>
      </c>
      <c r="L218" s="14" t="s">
        <v>7118</v>
      </c>
      <c r="M218" s="14" t="s">
        <v>179</v>
      </c>
      <c r="N218" s="14" t="s">
        <v>7119</v>
      </c>
      <c r="O218" s="14" t="s">
        <v>179</v>
      </c>
      <c r="P218" s="14" t="s">
        <v>7120</v>
      </c>
      <c r="Q218" s="14" t="s">
        <v>179</v>
      </c>
      <c r="R218" s="14" t="s">
        <v>7121</v>
      </c>
      <c r="S218" s="14" t="s">
        <v>179</v>
      </c>
      <c r="T218" s="14" t="s">
        <v>7122</v>
      </c>
      <c r="U218" s="14" t="s">
        <v>179</v>
      </c>
      <c r="V218" s="14" t="s">
        <v>7123</v>
      </c>
      <c r="W218" s="14" t="s">
        <v>179</v>
      </c>
      <c r="X218" s="14" t="s">
        <v>7124</v>
      </c>
      <c r="Y218" s="14" t="s">
        <v>188</v>
      </c>
      <c r="Z218" s="14" t="s">
        <v>7125</v>
      </c>
      <c r="AA218" s="14" t="s">
        <v>179</v>
      </c>
      <c r="AB218" s="14" t="s">
        <v>7126</v>
      </c>
      <c r="AC218" s="14" t="s">
        <v>179</v>
      </c>
      <c r="AD218" s="14" t="s">
        <v>7127</v>
      </c>
      <c r="AE218" s="14" t="s">
        <v>179</v>
      </c>
      <c r="AF218" s="14" t="s">
        <v>7128</v>
      </c>
      <c r="AG218" s="14" t="s">
        <v>179</v>
      </c>
      <c r="AH218" s="14" t="s">
        <v>7129</v>
      </c>
      <c r="AI218" s="14" t="s">
        <v>179</v>
      </c>
      <c r="AJ218" s="14" t="s">
        <v>7130</v>
      </c>
      <c r="AK218" s="14" t="s">
        <v>179</v>
      </c>
      <c r="AL218" s="14" t="s">
        <v>7131</v>
      </c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6" t="s">
        <v>197</v>
      </c>
      <c r="BP218" s="17" t="s">
        <v>198</v>
      </c>
      <c r="BQ218" s="18">
        <v>45686.615752314814</v>
      </c>
      <c r="BR218" s="17" t="s">
        <v>198</v>
      </c>
      <c r="BS218" s="18">
        <v>45686.615694444445</v>
      </c>
      <c r="BT218" s="17" t="s">
        <v>198</v>
      </c>
      <c r="BU218" s="18">
        <v>45686.615752314814</v>
      </c>
      <c r="BV218" s="13" t="s">
        <v>199</v>
      </c>
      <c r="BW218" s="14" t="s">
        <v>179</v>
      </c>
      <c r="BX218" s="14" t="s">
        <v>7132</v>
      </c>
      <c r="BY218" s="14" t="s">
        <v>179</v>
      </c>
      <c r="BZ218" s="14" t="s">
        <v>7133</v>
      </c>
      <c r="CA218" s="14" t="s">
        <v>179</v>
      </c>
      <c r="CB218" s="14" t="s">
        <v>7134</v>
      </c>
      <c r="CC218" s="14" t="s">
        <v>179</v>
      </c>
      <c r="CD218" s="14" t="s">
        <v>7135</v>
      </c>
      <c r="CE218" s="14" t="s">
        <v>179</v>
      </c>
      <c r="CF218" s="14" t="s">
        <v>7136</v>
      </c>
      <c r="CG218" s="14" t="s">
        <v>179</v>
      </c>
      <c r="CH218" s="14" t="s">
        <v>7137</v>
      </c>
      <c r="CI218" s="19"/>
      <c r="CJ218" s="15"/>
      <c r="CK218" s="19"/>
      <c r="CL218" s="15"/>
      <c r="CM218" s="19"/>
      <c r="CN218" s="15"/>
      <c r="CO218" s="19"/>
      <c r="CP218" s="15"/>
      <c r="CQ218" s="15"/>
      <c r="CR218" s="15"/>
      <c r="CS218" s="19"/>
      <c r="CT218" s="15"/>
      <c r="CU218" s="19"/>
      <c r="CV218" s="15"/>
      <c r="CW218" s="19"/>
      <c r="CX218" s="15"/>
      <c r="CY218" s="19"/>
      <c r="CZ218" s="15"/>
      <c r="DA218" s="16" t="s">
        <v>197</v>
      </c>
      <c r="DB218" s="17" t="s">
        <v>198</v>
      </c>
      <c r="DC218" s="20">
        <v>45688.51724537037</v>
      </c>
      <c r="DD218" s="17" t="s">
        <v>198</v>
      </c>
      <c r="DE218" s="18">
        <v>45688.51729166666</v>
      </c>
      <c r="DF218" s="17" t="s">
        <v>198</v>
      </c>
      <c r="DG218" s="18">
        <v>45688.51729166666</v>
      </c>
      <c r="DH218" s="13" t="s">
        <v>205</v>
      </c>
      <c r="DI218" s="14" t="s">
        <v>179</v>
      </c>
      <c r="DJ218" s="14" t="s">
        <v>7138</v>
      </c>
      <c r="DK218" s="14" t="s">
        <v>179</v>
      </c>
      <c r="DL218" s="14" t="s">
        <v>7139</v>
      </c>
      <c r="DM218" s="14" t="s">
        <v>179</v>
      </c>
      <c r="DN218" s="14" t="s">
        <v>7140</v>
      </c>
      <c r="DO218" s="14" t="s">
        <v>179</v>
      </c>
      <c r="DP218" s="14" t="s">
        <v>7141</v>
      </c>
      <c r="DQ218" s="15"/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/>
      <c r="EC218" s="16" t="s">
        <v>197</v>
      </c>
      <c r="ED218" s="17" t="s">
        <v>198</v>
      </c>
      <c r="EE218" s="18">
        <v>45689.37133101852</v>
      </c>
      <c r="EF218" s="13" t="s">
        <v>209</v>
      </c>
      <c r="EG218" s="14" t="s">
        <v>179</v>
      </c>
      <c r="EH218" s="14" t="s">
        <v>7142</v>
      </c>
      <c r="EI218" s="14" t="s">
        <v>179</v>
      </c>
      <c r="EJ218" s="14" t="s">
        <v>7142</v>
      </c>
      <c r="EK218" s="14" t="s">
        <v>179</v>
      </c>
      <c r="EL218" s="14" t="s">
        <v>7143</v>
      </c>
      <c r="EM218" s="14" t="s">
        <v>179</v>
      </c>
      <c r="EN218" s="14" t="s">
        <v>7144</v>
      </c>
      <c r="EO218" s="15"/>
      <c r="EP218" s="15"/>
      <c r="EQ218" s="15"/>
      <c r="ER218" s="15"/>
      <c r="ES218" s="15"/>
      <c r="ET218" s="15"/>
      <c r="EU218" s="15"/>
      <c r="EV218" s="15"/>
      <c r="EW218" s="15"/>
      <c r="EX218" s="15"/>
      <c r="EY218" s="15"/>
      <c r="EZ218" s="15"/>
      <c r="FA218" s="15"/>
      <c r="FB218" s="15"/>
      <c r="FC218" s="16" t="s">
        <v>197</v>
      </c>
      <c r="FD218" s="17" t="s">
        <v>198</v>
      </c>
      <c r="FE218" s="18">
        <v>45720.37755787037</v>
      </c>
      <c r="FF218" s="19"/>
      <c r="FG218" s="19"/>
      <c r="FH218" s="21" t="s">
        <v>197</v>
      </c>
      <c r="FI218" s="17" t="s">
        <v>214</v>
      </c>
      <c r="FJ218" s="18">
        <v>45720.37755787037</v>
      </c>
      <c r="FK218" s="14" t="s">
        <v>7144</v>
      </c>
      <c r="FL218" s="14" t="s">
        <v>7145</v>
      </c>
      <c r="FM218" s="14" t="s">
        <v>7146</v>
      </c>
      <c r="FN218" s="14" t="s">
        <v>7147</v>
      </c>
      <c r="FO218" s="14" t="s">
        <v>7148</v>
      </c>
      <c r="FP218" s="19" t="str">
        <f t="shared" si="1"/>
        <v>Base de Dados_Images/BD6501.Imagem do Equipamento-.175822.jpg</v>
      </c>
      <c r="FQ218" s="19"/>
      <c r="FR218" s="19"/>
    </row>
    <row r="219" ht="15.75" customHeight="1">
      <c r="A219" s="12" t="s">
        <v>234</v>
      </c>
      <c r="B219" s="12" t="s">
        <v>7149</v>
      </c>
      <c r="C219" s="24" t="s">
        <v>512</v>
      </c>
      <c r="D219" s="22" t="s">
        <v>7150</v>
      </c>
      <c r="E219" s="22" t="s">
        <v>7151</v>
      </c>
      <c r="F219" s="13" t="s">
        <v>178</v>
      </c>
      <c r="G219" s="14" t="s">
        <v>188</v>
      </c>
      <c r="H219" s="14" t="s">
        <v>7152</v>
      </c>
      <c r="I219" s="14" t="s">
        <v>188</v>
      </c>
      <c r="J219" s="14" t="s">
        <v>7153</v>
      </c>
      <c r="K219" s="14" t="s">
        <v>188</v>
      </c>
      <c r="L219" s="14" t="s">
        <v>7154</v>
      </c>
      <c r="M219" s="14" t="s">
        <v>188</v>
      </c>
      <c r="N219" s="14" t="s">
        <v>7155</v>
      </c>
      <c r="O219" s="14" t="s">
        <v>179</v>
      </c>
      <c r="P219" s="14" t="s">
        <v>7156</v>
      </c>
      <c r="Q219" s="14" t="s">
        <v>179</v>
      </c>
      <c r="R219" s="14" t="s">
        <v>7157</v>
      </c>
      <c r="S219" s="14" t="s">
        <v>179</v>
      </c>
      <c r="T219" s="14" t="s">
        <v>7158</v>
      </c>
      <c r="U219" s="14" t="s">
        <v>179</v>
      </c>
      <c r="V219" s="14" t="s">
        <v>7159</v>
      </c>
      <c r="W219" s="14" t="s">
        <v>188</v>
      </c>
      <c r="X219" s="14" t="s">
        <v>7160</v>
      </c>
      <c r="Y219" s="14" t="s">
        <v>188</v>
      </c>
      <c r="Z219" s="14" t="s">
        <v>7161</v>
      </c>
      <c r="AA219" s="14" t="s">
        <v>188</v>
      </c>
      <c r="AB219" s="14" t="s">
        <v>7162</v>
      </c>
      <c r="AC219" s="14" t="s">
        <v>188</v>
      </c>
      <c r="AD219" s="14" t="s">
        <v>7163</v>
      </c>
      <c r="AE219" s="14" t="s">
        <v>188</v>
      </c>
      <c r="AF219" s="14" t="s">
        <v>7164</v>
      </c>
      <c r="AG219" s="14" t="s">
        <v>188</v>
      </c>
      <c r="AH219" s="14" t="s">
        <v>7165</v>
      </c>
      <c r="AI219" s="14" t="s">
        <v>188</v>
      </c>
      <c r="AJ219" s="14" t="s">
        <v>7166</v>
      </c>
      <c r="AK219" s="14" t="s">
        <v>188</v>
      </c>
      <c r="AL219" s="14" t="s">
        <v>7167</v>
      </c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6" t="s">
        <v>197</v>
      </c>
      <c r="BP219" s="17" t="s">
        <v>198</v>
      </c>
      <c r="BQ219" s="18">
        <v>45689.362858796296</v>
      </c>
      <c r="BR219" s="17" t="s">
        <v>198</v>
      </c>
      <c r="BS219" s="18">
        <v>45689.363032407404</v>
      </c>
      <c r="BT219" s="17" t="s">
        <v>198</v>
      </c>
      <c r="BU219" s="18">
        <v>45689.363032407404</v>
      </c>
      <c r="BV219" s="13" t="s">
        <v>199</v>
      </c>
      <c r="BW219" s="14" t="s">
        <v>179</v>
      </c>
      <c r="BX219" s="14" t="s">
        <v>7168</v>
      </c>
      <c r="BY219" s="14" t="s">
        <v>179</v>
      </c>
      <c r="BZ219" s="14" t="s">
        <v>7169</v>
      </c>
      <c r="CA219" s="14" t="s">
        <v>179</v>
      </c>
      <c r="CB219" s="14" t="s">
        <v>7170</v>
      </c>
      <c r="CC219" s="14" t="s">
        <v>188</v>
      </c>
      <c r="CD219" s="14" t="s">
        <v>7171</v>
      </c>
      <c r="CE219" s="14" t="s">
        <v>188</v>
      </c>
      <c r="CF219" s="14" t="s">
        <v>7172</v>
      </c>
      <c r="CG219" s="14" t="s">
        <v>188</v>
      </c>
      <c r="CH219" s="14" t="s">
        <v>7173</v>
      </c>
      <c r="CI219" s="19"/>
      <c r="CJ219" s="15"/>
      <c r="CK219" s="19"/>
      <c r="CL219" s="15"/>
      <c r="CM219" s="19"/>
      <c r="CN219" s="15"/>
      <c r="CO219" s="19"/>
      <c r="CP219" s="15"/>
      <c r="CQ219" s="15"/>
      <c r="CR219" s="15"/>
      <c r="CS219" s="19"/>
      <c r="CT219" s="15"/>
      <c r="CU219" s="19"/>
      <c r="CV219" s="15"/>
      <c r="CW219" s="19"/>
      <c r="CX219" s="15"/>
      <c r="CY219" s="19"/>
      <c r="CZ219" s="15"/>
      <c r="DA219" s="16" t="s">
        <v>197</v>
      </c>
      <c r="DB219" s="17" t="s">
        <v>198</v>
      </c>
      <c r="DC219" s="20">
        <v>45696.614166666666</v>
      </c>
      <c r="DD219" s="17" t="s">
        <v>198</v>
      </c>
      <c r="DE219" s="18">
        <v>45696.61423611111</v>
      </c>
      <c r="DF219" s="17" t="s">
        <v>198</v>
      </c>
      <c r="DG219" s="18">
        <v>45696.61423611111</v>
      </c>
      <c r="DH219" s="13" t="s">
        <v>205</v>
      </c>
      <c r="DI219" s="14" t="s">
        <v>179</v>
      </c>
      <c r="DJ219" s="14" t="s">
        <v>7174</v>
      </c>
      <c r="DK219" s="14" t="s">
        <v>179</v>
      </c>
      <c r="DL219" s="14" t="s">
        <v>7175</v>
      </c>
      <c r="DM219" s="14" t="s">
        <v>179</v>
      </c>
      <c r="DN219" s="14" t="s">
        <v>7176</v>
      </c>
      <c r="DO219" s="14" t="s">
        <v>179</v>
      </c>
      <c r="DP219" s="14" t="s">
        <v>7177</v>
      </c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6" t="s">
        <v>197</v>
      </c>
      <c r="ED219" s="17" t="s">
        <v>198</v>
      </c>
      <c r="EE219" s="18">
        <v>45726.47704861111</v>
      </c>
      <c r="EF219" s="13" t="s">
        <v>209</v>
      </c>
      <c r="EG219" s="14" t="s">
        <v>179</v>
      </c>
      <c r="EH219" s="14" t="s">
        <v>7178</v>
      </c>
      <c r="EI219" s="14" t="s">
        <v>179</v>
      </c>
      <c r="EJ219" s="14" t="s">
        <v>7179</v>
      </c>
      <c r="EK219" s="14" t="s">
        <v>179</v>
      </c>
      <c r="EL219" s="14" t="s">
        <v>7180</v>
      </c>
      <c r="EM219" s="14" t="s">
        <v>188</v>
      </c>
      <c r="EN219" s="14" t="s">
        <v>7181</v>
      </c>
      <c r="EO219" s="15"/>
      <c r="EP219" s="15"/>
      <c r="EQ219" s="15"/>
      <c r="ER219" s="15"/>
      <c r="ES219" s="15"/>
      <c r="ET219" s="15"/>
      <c r="EU219" s="15"/>
      <c r="EV219" s="15"/>
      <c r="EW219" s="15"/>
      <c r="EX219" s="15"/>
      <c r="EY219" s="15"/>
      <c r="EZ219" s="15"/>
      <c r="FA219" s="15"/>
      <c r="FB219" s="15"/>
      <c r="FC219" s="16" t="s">
        <v>197</v>
      </c>
      <c r="FD219" s="17" t="s">
        <v>198</v>
      </c>
      <c r="FE219" s="18">
        <v>45726.47724537037</v>
      </c>
      <c r="FF219" s="19"/>
      <c r="FG219" s="19"/>
      <c r="FH219" s="21" t="s">
        <v>197</v>
      </c>
      <c r="FI219" s="17" t="s">
        <v>214</v>
      </c>
      <c r="FJ219" s="18">
        <v>45726.47724537037</v>
      </c>
      <c r="FK219" s="14" t="s">
        <v>7180</v>
      </c>
      <c r="FL219" s="14" t="s">
        <v>7182</v>
      </c>
      <c r="FM219" s="14" t="s">
        <v>7183</v>
      </c>
      <c r="FN219" s="14" t="s">
        <v>7184</v>
      </c>
      <c r="FO219" s="14" t="s">
        <v>7185</v>
      </c>
      <c r="FP219" s="19" t="str">
        <f t="shared" si="1"/>
        <v>Base de Dados_Images/BD7001.Imagem do Equipamento-.114148.jpg</v>
      </c>
      <c r="FQ219" s="19"/>
      <c r="FR219" s="19"/>
    </row>
    <row r="220" ht="15.75" customHeight="1">
      <c r="A220" s="12" t="s">
        <v>547</v>
      </c>
      <c r="B220" s="12" t="s">
        <v>3195</v>
      </c>
      <c r="C220" s="24" t="s">
        <v>512</v>
      </c>
      <c r="D220" s="22" t="s">
        <v>7186</v>
      </c>
      <c r="E220" s="22" t="s">
        <v>7187</v>
      </c>
      <c r="F220" s="13" t="s">
        <v>178</v>
      </c>
      <c r="G220" s="14" t="s">
        <v>179</v>
      </c>
      <c r="H220" s="14" t="s">
        <v>7188</v>
      </c>
      <c r="I220" s="14" t="s">
        <v>179</v>
      </c>
      <c r="J220" s="14" t="s">
        <v>7189</v>
      </c>
      <c r="K220" s="14" t="s">
        <v>179</v>
      </c>
      <c r="L220" s="14" t="s">
        <v>7190</v>
      </c>
      <c r="M220" s="14" t="s">
        <v>179</v>
      </c>
      <c r="N220" s="14" t="s">
        <v>7191</v>
      </c>
      <c r="O220" s="14" t="s">
        <v>179</v>
      </c>
      <c r="P220" s="14" t="s">
        <v>7192</v>
      </c>
      <c r="Q220" s="14" t="s">
        <v>179</v>
      </c>
      <c r="R220" s="14" t="s">
        <v>7193</v>
      </c>
      <c r="S220" s="14" t="s">
        <v>179</v>
      </c>
      <c r="T220" s="14" t="s">
        <v>7194</v>
      </c>
      <c r="U220" s="14" t="s">
        <v>179</v>
      </c>
      <c r="V220" s="14" t="s">
        <v>7195</v>
      </c>
      <c r="W220" s="14" t="s">
        <v>179</v>
      </c>
      <c r="X220" s="14" t="s">
        <v>7196</v>
      </c>
      <c r="Y220" s="14" t="s">
        <v>188</v>
      </c>
      <c r="Z220" s="14" t="s">
        <v>7197</v>
      </c>
      <c r="AA220" s="14" t="s">
        <v>179</v>
      </c>
      <c r="AB220" s="14" t="s">
        <v>7198</v>
      </c>
      <c r="AC220" s="14" t="s">
        <v>179</v>
      </c>
      <c r="AD220" s="14" t="s">
        <v>7199</v>
      </c>
      <c r="AE220" s="14" t="s">
        <v>179</v>
      </c>
      <c r="AF220" s="14" t="s">
        <v>7200</v>
      </c>
      <c r="AG220" s="14" t="s">
        <v>179</v>
      </c>
      <c r="AH220" s="14" t="s">
        <v>7201</v>
      </c>
      <c r="AI220" s="14" t="s">
        <v>179</v>
      </c>
      <c r="AJ220" s="14" t="s">
        <v>7202</v>
      </c>
      <c r="AK220" s="14" t="s">
        <v>179</v>
      </c>
      <c r="AL220" s="14" t="s">
        <v>7203</v>
      </c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6" t="s">
        <v>197</v>
      </c>
      <c r="BP220" s="17" t="s">
        <v>198</v>
      </c>
      <c r="BQ220" s="18">
        <v>45689.59359953704</v>
      </c>
      <c r="BR220" s="17" t="s">
        <v>198</v>
      </c>
      <c r="BS220" s="18">
        <v>45689.593726851854</v>
      </c>
      <c r="BT220" s="17" t="s">
        <v>198</v>
      </c>
      <c r="BU220" s="18">
        <v>45689.593726851854</v>
      </c>
      <c r="BV220" s="13" t="s">
        <v>199</v>
      </c>
      <c r="BW220" s="14" t="s">
        <v>179</v>
      </c>
      <c r="BX220" s="14" t="s">
        <v>7204</v>
      </c>
      <c r="BY220" s="14" t="s">
        <v>179</v>
      </c>
      <c r="BZ220" s="14" t="s">
        <v>7205</v>
      </c>
      <c r="CA220" s="14" t="s">
        <v>179</v>
      </c>
      <c r="CB220" s="14" t="s">
        <v>7206</v>
      </c>
      <c r="CC220" s="14" t="s">
        <v>179</v>
      </c>
      <c r="CD220" s="14" t="s">
        <v>7207</v>
      </c>
      <c r="CE220" s="14" t="s">
        <v>179</v>
      </c>
      <c r="CF220" s="14" t="s">
        <v>7208</v>
      </c>
      <c r="CG220" s="14" t="s">
        <v>188</v>
      </c>
      <c r="CH220" s="14" t="s">
        <v>7209</v>
      </c>
      <c r="CI220" s="19"/>
      <c r="CJ220" s="15"/>
      <c r="CK220" s="19"/>
      <c r="CL220" s="15"/>
      <c r="CM220" s="19"/>
      <c r="CN220" s="15"/>
      <c r="CO220" s="19"/>
      <c r="CP220" s="15"/>
      <c r="CQ220" s="15"/>
      <c r="CR220" s="15"/>
      <c r="CS220" s="19"/>
      <c r="CT220" s="15"/>
      <c r="CU220" s="19"/>
      <c r="CV220" s="15"/>
      <c r="CW220" s="19"/>
      <c r="CX220" s="15"/>
      <c r="CY220" s="19"/>
      <c r="CZ220" s="15"/>
      <c r="DA220" s="16" t="s">
        <v>197</v>
      </c>
      <c r="DB220" s="17" t="s">
        <v>198</v>
      </c>
      <c r="DC220" s="20">
        <v>45692.645787037036</v>
      </c>
      <c r="DD220" s="17" t="s">
        <v>198</v>
      </c>
      <c r="DE220" s="18">
        <v>45692.64585648148</v>
      </c>
      <c r="DF220" s="17" t="s">
        <v>198</v>
      </c>
      <c r="DG220" s="18">
        <v>45692.64585648148</v>
      </c>
      <c r="DH220" s="13" t="s">
        <v>205</v>
      </c>
      <c r="DI220" s="14" t="s">
        <v>179</v>
      </c>
      <c r="DJ220" s="14" t="s">
        <v>7210</v>
      </c>
      <c r="DK220" s="14" t="s">
        <v>179</v>
      </c>
      <c r="DL220" s="14" t="s">
        <v>7211</v>
      </c>
      <c r="DM220" s="14" t="s">
        <v>179</v>
      </c>
      <c r="DN220" s="14" t="s">
        <v>7212</v>
      </c>
      <c r="DO220" s="14" t="s">
        <v>179</v>
      </c>
      <c r="DP220" s="14" t="s">
        <v>7213</v>
      </c>
      <c r="DQ220" s="15"/>
      <c r="DR220" s="15"/>
      <c r="DS220" s="15"/>
      <c r="DT220" s="15"/>
      <c r="DU220" s="15"/>
      <c r="DV220" s="15"/>
      <c r="DW220" s="15"/>
      <c r="DX220" s="15"/>
      <c r="DY220" s="15"/>
      <c r="DZ220" s="15"/>
      <c r="EA220" s="15"/>
      <c r="EB220" s="15"/>
      <c r="EC220" s="16" t="s">
        <v>197</v>
      </c>
      <c r="ED220" s="17" t="s">
        <v>198</v>
      </c>
      <c r="EE220" s="18">
        <v>45692.64606481481</v>
      </c>
      <c r="EF220" s="13" t="s">
        <v>209</v>
      </c>
      <c r="EG220" s="14" t="s">
        <v>179</v>
      </c>
      <c r="EH220" s="14" t="s">
        <v>7214</v>
      </c>
      <c r="EI220" s="14" t="s">
        <v>179</v>
      </c>
      <c r="EJ220" s="14" t="s">
        <v>7214</v>
      </c>
      <c r="EK220" s="14" t="s">
        <v>179</v>
      </c>
      <c r="EL220" s="14" t="s">
        <v>7215</v>
      </c>
      <c r="EM220" s="14" t="s">
        <v>179</v>
      </c>
      <c r="EN220" s="14" t="s">
        <v>7216</v>
      </c>
      <c r="EO220" s="15"/>
      <c r="EP220" s="15"/>
      <c r="EQ220" s="15"/>
      <c r="ER220" s="15"/>
      <c r="ES220" s="15"/>
      <c r="ET220" s="15"/>
      <c r="EU220" s="15"/>
      <c r="EV220" s="15"/>
      <c r="EW220" s="15"/>
      <c r="EX220" s="15"/>
      <c r="EY220" s="15"/>
      <c r="EZ220" s="15"/>
      <c r="FA220" s="15"/>
      <c r="FB220" s="15"/>
      <c r="FC220" s="16" t="s">
        <v>197</v>
      </c>
      <c r="FD220" s="17" t="s">
        <v>198</v>
      </c>
      <c r="FE220" s="18">
        <v>45721.49532407407</v>
      </c>
      <c r="FF220" s="19"/>
      <c r="FG220" s="19"/>
      <c r="FH220" s="21" t="s">
        <v>197</v>
      </c>
      <c r="FI220" s="17" t="s">
        <v>214</v>
      </c>
      <c r="FJ220" s="18">
        <v>45721.49532407407</v>
      </c>
      <c r="FK220" s="14" t="s">
        <v>7216</v>
      </c>
      <c r="FL220" s="14" t="s">
        <v>7217</v>
      </c>
      <c r="FM220" s="14" t="s">
        <v>7218</v>
      </c>
      <c r="FN220" s="14" t="s">
        <v>7219</v>
      </c>
      <c r="FO220" s="14" t="s">
        <v>7220</v>
      </c>
      <c r="FP220" s="19" t="str">
        <f t="shared" si="1"/>
        <v>Base de Dados_Images/BD7002.Imagem do Equipamento-.171050.jpg</v>
      </c>
      <c r="FQ220" s="19"/>
      <c r="FR220" s="19"/>
    </row>
    <row r="221" ht="15.75" customHeight="1">
      <c r="A221" s="12" t="s">
        <v>234</v>
      </c>
      <c r="B221" s="12" t="s">
        <v>3230</v>
      </c>
      <c r="C221" s="24" t="s">
        <v>512</v>
      </c>
      <c r="D221" s="22" t="s">
        <v>7221</v>
      </c>
      <c r="E221" s="22" t="s">
        <v>7222</v>
      </c>
      <c r="F221" s="13" t="s">
        <v>178</v>
      </c>
      <c r="G221" s="14" t="s">
        <v>179</v>
      </c>
      <c r="H221" s="14" t="s">
        <v>7223</v>
      </c>
      <c r="I221" s="14" t="s">
        <v>179</v>
      </c>
      <c r="J221" s="14" t="s">
        <v>7224</v>
      </c>
      <c r="K221" s="14" t="s">
        <v>179</v>
      </c>
      <c r="L221" s="14" t="s">
        <v>7225</v>
      </c>
      <c r="M221" s="14" t="s">
        <v>179</v>
      </c>
      <c r="N221" s="14" t="s">
        <v>7226</v>
      </c>
      <c r="O221" s="14" t="s">
        <v>179</v>
      </c>
      <c r="P221" s="14" t="s">
        <v>7227</v>
      </c>
      <c r="Q221" s="14" t="s">
        <v>179</v>
      </c>
      <c r="R221" s="14" t="s">
        <v>7228</v>
      </c>
      <c r="S221" s="14" t="s">
        <v>179</v>
      </c>
      <c r="T221" s="14" t="s">
        <v>7229</v>
      </c>
      <c r="U221" s="14" t="s">
        <v>179</v>
      </c>
      <c r="V221" s="14" t="s">
        <v>7230</v>
      </c>
      <c r="W221" s="14" t="s">
        <v>179</v>
      </c>
      <c r="X221" s="14" t="s">
        <v>7231</v>
      </c>
      <c r="Y221" s="14" t="s">
        <v>188</v>
      </c>
      <c r="Z221" s="14" t="s">
        <v>7232</v>
      </c>
      <c r="AA221" s="14" t="s">
        <v>179</v>
      </c>
      <c r="AB221" s="14" t="s">
        <v>7233</v>
      </c>
      <c r="AC221" s="14" t="s">
        <v>179</v>
      </c>
      <c r="AD221" s="14" t="s">
        <v>7234</v>
      </c>
      <c r="AE221" s="14" t="s">
        <v>179</v>
      </c>
      <c r="AF221" s="14" t="s">
        <v>7235</v>
      </c>
      <c r="AG221" s="14" t="s">
        <v>179</v>
      </c>
      <c r="AH221" s="14" t="s">
        <v>7236</v>
      </c>
      <c r="AI221" s="14" t="s">
        <v>179</v>
      </c>
      <c r="AJ221" s="14" t="s">
        <v>7237</v>
      </c>
      <c r="AK221" s="14" t="s">
        <v>179</v>
      </c>
      <c r="AL221" s="14" t="s">
        <v>7238</v>
      </c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6" t="s">
        <v>197</v>
      </c>
      <c r="BP221" s="17" t="s">
        <v>198</v>
      </c>
      <c r="BQ221" s="18">
        <v>45689.50113425926</v>
      </c>
      <c r="BR221" s="17" t="s">
        <v>198</v>
      </c>
      <c r="BS221" s="18">
        <v>45689.38543981482</v>
      </c>
      <c r="BT221" s="17" t="s">
        <v>198</v>
      </c>
      <c r="BU221" s="18">
        <v>45689.50113425926</v>
      </c>
      <c r="BV221" s="13" t="s">
        <v>199</v>
      </c>
      <c r="BW221" s="14" t="s">
        <v>179</v>
      </c>
      <c r="BX221" s="14" t="s">
        <v>7239</v>
      </c>
      <c r="BY221" s="14" t="s">
        <v>179</v>
      </c>
      <c r="BZ221" s="14" t="s">
        <v>7240</v>
      </c>
      <c r="CA221" s="14" t="s">
        <v>179</v>
      </c>
      <c r="CB221" s="14" t="s">
        <v>7240</v>
      </c>
      <c r="CC221" s="14" t="s">
        <v>179</v>
      </c>
      <c r="CD221" s="14" t="s">
        <v>7241</v>
      </c>
      <c r="CE221" s="14" t="s">
        <v>179</v>
      </c>
      <c r="CF221" s="14" t="s">
        <v>7242</v>
      </c>
      <c r="CG221" s="14" t="s">
        <v>188</v>
      </c>
      <c r="CH221" s="14" t="s">
        <v>7243</v>
      </c>
      <c r="CI221" s="19"/>
      <c r="CJ221" s="15"/>
      <c r="CK221" s="19"/>
      <c r="CL221" s="15"/>
      <c r="CM221" s="19"/>
      <c r="CN221" s="15"/>
      <c r="CO221" s="19"/>
      <c r="CP221" s="15"/>
      <c r="CQ221" s="15"/>
      <c r="CR221" s="15"/>
      <c r="CS221" s="19"/>
      <c r="CT221" s="15"/>
      <c r="CU221" s="19"/>
      <c r="CV221" s="15"/>
      <c r="CW221" s="19"/>
      <c r="CX221" s="15"/>
      <c r="CY221" s="19"/>
      <c r="CZ221" s="15"/>
      <c r="DA221" s="16" t="s">
        <v>197</v>
      </c>
      <c r="DB221" s="17" t="s">
        <v>198</v>
      </c>
      <c r="DC221" s="20">
        <v>45689.5008912037</v>
      </c>
      <c r="DD221" s="17" t="s">
        <v>198</v>
      </c>
      <c r="DE221" s="18">
        <v>45689.50098379629</v>
      </c>
      <c r="DF221" s="17" t="s">
        <v>198</v>
      </c>
      <c r="DG221" s="18">
        <v>45689.50098379629</v>
      </c>
      <c r="DH221" s="13" t="s">
        <v>205</v>
      </c>
      <c r="DI221" s="14" t="s">
        <v>179</v>
      </c>
      <c r="DJ221" s="14" t="s">
        <v>7244</v>
      </c>
      <c r="DK221" s="14" t="s">
        <v>179</v>
      </c>
      <c r="DL221" s="14" t="s">
        <v>7244</v>
      </c>
      <c r="DM221" s="14" t="s">
        <v>179</v>
      </c>
      <c r="DN221" s="14" t="s">
        <v>7245</v>
      </c>
      <c r="DO221" s="14" t="s">
        <v>179</v>
      </c>
      <c r="DP221" s="14" t="s">
        <v>7246</v>
      </c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6" t="s">
        <v>197</v>
      </c>
      <c r="ED221" s="17" t="s">
        <v>198</v>
      </c>
      <c r="EE221" s="18">
        <v>45720.37664351852</v>
      </c>
      <c r="EF221" s="13" t="s">
        <v>209</v>
      </c>
      <c r="EG221" s="14" t="s">
        <v>179</v>
      </c>
      <c r="EH221" s="14" t="s">
        <v>7247</v>
      </c>
      <c r="EI221" s="14" t="s">
        <v>179</v>
      </c>
      <c r="EJ221" s="14" t="s">
        <v>7248</v>
      </c>
      <c r="EK221" s="14" t="s">
        <v>179</v>
      </c>
      <c r="EL221" s="14" t="s">
        <v>7249</v>
      </c>
      <c r="EM221" s="14" t="s">
        <v>179</v>
      </c>
      <c r="EN221" s="14" t="s">
        <v>7250</v>
      </c>
      <c r="EO221" s="15"/>
      <c r="EP221" s="15"/>
      <c r="EQ221" s="15"/>
      <c r="ER221" s="15"/>
      <c r="ES221" s="15"/>
      <c r="ET221" s="15"/>
      <c r="EU221" s="15"/>
      <c r="EV221" s="15"/>
      <c r="EW221" s="15"/>
      <c r="EX221" s="15"/>
      <c r="EY221" s="15"/>
      <c r="EZ221" s="15"/>
      <c r="FA221" s="15"/>
      <c r="FB221" s="15"/>
      <c r="FC221" s="16" t="s">
        <v>197</v>
      </c>
      <c r="FD221" s="17" t="s">
        <v>198</v>
      </c>
      <c r="FE221" s="18">
        <v>45723.31332175926</v>
      </c>
      <c r="FF221" s="19"/>
      <c r="FG221" s="19"/>
      <c r="FH221" s="21" t="s">
        <v>197</v>
      </c>
      <c r="FI221" s="17" t="s">
        <v>214</v>
      </c>
      <c r="FJ221" s="18">
        <v>45723.31332175926</v>
      </c>
      <c r="FK221" s="14" t="s">
        <v>7250</v>
      </c>
      <c r="FL221" s="14" t="s">
        <v>7251</v>
      </c>
      <c r="FM221" s="14" t="s">
        <v>7252</v>
      </c>
      <c r="FN221" s="14" t="s">
        <v>7253</v>
      </c>
      <c r="FO221" s="14" t="s">
        <v>7254</v>
      </c>
      <c r="FP221" s="19" t="str">
        <f t="shared" si="1"/>
        <v>Base de Dados_Images/BD7101.Imagem do Equipamento-.172102.jpg</v>
      </c>
      <c r="FQ221" s="19"/>
      <c r="FR221" s="19"/>
    </row>
    <row r="222" ht="15.75" customHeight="1">
      <c r="A222" s="12" t="s">
        <v>234</v>
      </c>
      <c r="B222" s="12" t="s">
        <v>3230</v>
      </c>
      <c r="C222" s="24" t="s">
        <v>512</v>
      </c>
      <c r="D222" s="22" t="s">
        <v>7255</v>
      </c>
      <c r="E222" s="22" t="s">
        <v>7256</v>
      </c>
      <c r="F222" s="13" t="s">
        <v>178</v>
      </c>
      <c r="G222" s="14" t="s">
        <v>179</v>
      </c>
      <c r="H222" s="14" t="s">
        <v>7257</v>
      </c>
      <c r="I222" s="14" t="s">
        <v>179</v>
      </c>
      <c r="J222" s="14" t="s">
        <v>7258</v>
      </c>
      <c r="K222" s="14" t="s">
        <v>179</v>
      </c>
      <c r="L222" s="14" t="s">
        <v>7259</v>
      </c>
      <c r="M222" s="14" t="s">
        <v>179</v>
      </c>
      <c r="N222" s="14" t="s">
        <v>7260</v>
      </c>
      <c r="O222" s="14" t="s">
        <v>179</v>
      </c>
      <c r="P222" s="14" t="s">
        <v>7261</v>
      </c>
      <c r="Q222" s="14" t="s">
        <v>179</v>
      </c>
      <c r="R222" s="14" t="s">
        <v>7262</v>
      </c>
      <c r="S222" s="14" t="s">
        <v>179</v>
      </c>
      <c r="T222" s="14" t="s">
        <v>7263</v>
      </c>
      <c r="U222" s="14" t="s">
        <v>179</v>
      </c>
      <c r="V222" s="14" t="s">
        <v>7264</v>
      </c>
      <c r="W222" s="14" t="s">
        <v>179</v>
      </c>
      <c r="X222" s="14" t="s">
        <v>7265</v>
      </c>
      <c r="Y222" s="14" t="s">
        <v>188</v>
      </c>
      <c r="Z222" s="14" t="s">
        <v>7266</v>
      </c>
      <c r="AA222" s="14" t="s">
        <v>179</v>
      </c>
      <c r="AB222" s="14" t="s">
        <v>7267</v>
      </c>
      <c r="AC222" s="14" t="s">
        <v>179</v>
      </c>
      <c r="AD222" s="14" t="s">
        <v>7268</v>
      </c>
      <c r="AE222" s="14" t="s">
        <v>179</v>
      </c>
      <c r="AF222" s="14" t="s">
        <v>7269</v>
      </c>
      <c r="AG222" s="14" t="s">
        <v>179</v>
      </c>
      <c r="AH222" s="14" t="s">
        <v>7270</v>
      </c>
      <c r="AI222" s="14" t="s">
        <v>179</v>
      </c>
      <c r="AJ222" s="14" t="s">
        <v>7271</v>
      </c>
      <c r="AK222" s="14" t="s">
        <v>179</v>
      </c>
      <c r="AL222" s="14" t="s">
        <v>7272</v>
      </c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6" t="s">
        <v>197</v>
      </c>
      <c r="BP222" s="17" t="s">
        <v>198</v>
      </c>
      <c r="BQ222" s="18">
        <v>45689.38612268519</v>
      </c>
      <c r="BR222" s="17" t="s">
        <v>198</v>
      </c>
      <c r="BS222" s="18">
        <v>45689.38628472222</v>
      </c>
      <c r="BT222" s="17" t="s">
        <v>198</v>
      </c>
      <c r="BU222" s="18">
        <v>45689.38628472222</v>
      </c>
      <c r="BV222" s="13" t="s">
        <v>199</v>
      </c>
      <c r="BW222" s="14" t="s">
        <v>179</v>
      </c>
      <c r="BX222" s="14" t="s">
        <v>7273</v>
      </c>
      <c r="BY222" s="14" t="s">
        <v>179</v>
      </c>
      <c r="BZ222" s="14" t="s">
        <v>7273</v>
      </c>
      <c r="CA222" s="14" t="s">
        <v>179</v>
      </c>
      <c r="CB222" s="14" t="s">
        <v>7274</v>
      </c>
      <c r="CC222" s="14" t="s">
        <v>179</v>
      </c>
      <c r="CD222" s="14" t="s">
        <v>7275</v>
      </c>
      <c r="CE222" s="14" t="s">
        <v>179</v>
      </c>
      <c r="CF222" s="14" t="s">
        <v>7276</v>
      </c>
      <c r="CG222" s="14" t="s">
        <v>188</v>
      </c>
      <c r="CH222" s="14" t="s">
        <v>7277</v>
      </c>
      <c r="CI222" s="19"/>
      <c r="CJ222" s="15"/>
      <c r="CK222" s="19"/>
      <c r="CL222" s="15"/>
      <c r="CM222" s="19"/>
      <c r="CN222" s="15"/>
      <c r="CO222" s="19"/>
      <c r="CP222" s="15"/>
      <c r="CQ222" s="15"/>
      <c r="CR222" s="15"/>
      <c r="CS222" s="19"/>
      <c r="CT222" s="15"/>
      <c r="CU222" s="19"/>
      <c r="CV222" s="15"/>
      <c r="CW222" s="19"/>
      <c r="CX222" s="15"/>
      <c r="CY222" s="19"/>
      <c r="CZ222" s="15"/>
      <c r="DA222" s="16" t="s">
        <v>197</v>
      </c>
      <c r="DB222" s="17" t="s">
        <v>198</v>
      </c>
      <c r="DC222" s="20">
        <v>45689.50135416666</v>
      </c>
      <c r="DD222" s="17" t="s">
        <v>198</v>
      </c>
      <c r="DE222" s="18">
        <v>45689.50142361111</v>
      </c>
      <c r="DF222" s="17" t="s">
        <v>198</v>
      </c>
      <c r="DG222" s="18">
        <v>45689.50142361111</v>
      </c>
      <c r="DH222" s="13" t="s">
        <v>205</v>
      </c>
      <c r="DI222" s="14" t="s">
        <v>179</v>
      </c>
      <c r="DJ222" s="14" t="s">
        <v>7278</v>
      </c>
      <c r="DK222" s="14" t="s">
        <v>179</v>
      </c>
      <c r="DL222" s="14" t="s">
        <v>7278</v>
      </c>
      <c r="DM222" s="14" t="s">
        <v>179</v>
      </c>
      <c r="DN222" s="14" t="s">
        <v>7279</v>
      </c>
      <c r="DO222" s="14" t="s">
        <v>179</v>
      </c>
      <c r="DP222" s="14" t="s">
        <v>7280</v>
      </c>
      <c r="DQ222" s="15"/>
      <c r="DR222" s="15"/>
      <c r="DS222" s="15"/>
      <c r="DT222" s="15"/>
      <c r="DU222" s="15"/>
      <c r="DV222" s="15"/>
      <c r="DW222" s="15"/>
      <c r="DX222" s="15"/>
      <c r="DY222" s="15"/>
      <c r="DZ222" s="15"/>
      <c r="EA222" s="15"/>
      <c r="EB222" s="15"/>
      <c r="EC222" s="16" t="s">
        <v>197</v>
      </c>
      <c r="ED222" s="17" t="s">
        <v>198</v>
      </c>
      <c r="EE222" s="18">
        <v>45720.376747685186</v>
      </c>
      <c r="EF222" s="13" t="s">
        <v>209</v>
      </c>
      <c r="EG222" s="14" t="s">
        <v>179</v>
      </c>
      <c r="EH222" s="14" t="s">
        <v>7281</v>
      </c>
      <c r="EI222" s="14" t="s">
        <v>179</v>
      </c>
      <c r="EJ222" s="14" t="s">
        <v>7282</v>
      </c>
      <c r="EK222" s="14" t="s">
        <v>179</v>
      </c>
      <c r="EL222" s="14" t="s">
        <v>7283</v>
      </c>
      <c r="EM222" s="14" t="s">
        <v>179</v>
      </c>
      <c r="EN222" s="14" t="s">
        <v>7284</v>
      </c>
      <c r="EO222" s="15"/>
      <c r="EP222" s="15"/>
      <c r="EQ222" s="15"/>
      <c r="ER222" s="15"/>
      <c r="ES222" s="15"/>
      <c r="ET222" s="15"/>
      <c r="EU222" s="15"/>
      <c r="EV222" s="15"/>
      <c r="EW222" s="15"/>
      <c r="EX222" s="15"/>
      <c r="EY222" s="15"/>
      <c r="EZ222" s="15"/>
      <c r="FA222" s="15"/>
      <c r="FB222" s="15"/>
      <c r="FC222" s="16" t="s">
        <v>197</v>
      </c>
      <c r="FD222" s="17" t="s">
        <v>198</v>
      </c>
      <c r="FE222" s="18">
        <v>45723.31346064815</v>
      </c>
      <c r="FF222" s="19"/>
      <c r="FG222" s="19"/>
      <c r="FH222" s="21" t="s">
        <v>197</v>
      </c>
      <c r="FI222" s="17" t="s">
        <v>214</v>
      </c>
      <c r="FJ222" s="18">
        <v>45723.31346064815</v>
      </c>
      <c r="FK222" s="14" t="s">
        <v>7284</v>
      </c>
      <c r="FL222" s="14" t="s">
        <v>7285</v>
      </c>
      <c r="FM222" s="14" t="s">
        <v>7286</v>
      </c>
      <c r="FN222" s="14" t="s">
        <v>7287</v>
      </c>
      <c r="FO222" s="14" t="s">
        <v>7288</v>
      </c>
      <c r="FP222" s="19" t="str">
        <f t="shared" si="1"/>
        <v>Base de Dados_Images/BD7102.Imagem do Equipamento-.172134.jpg</v>
      </c>
      <c r="FQ222" s="19"/>
      <c r="FR222" s="19"/>
    </row>
    <row r="223" ht="15.75" customHeight="1">
      <c r="A223" s="12" t="s">
        <v>357</v>
      </c>
      <c r="B223" s="12" t="s">
        <v>7289</v>
      </c>
      <c r="C223" s="24" t="s">
        <v>512</v>
      </c>
      <c r="D223" s="22" t="s">
        <v>7290</v>
      </c>
      <c r="E223" s="22" t="s">
        <v>7291</v>
      </c>
      <c r="F223" s="13" t="s">
        <v>178</v>
      </c>
      <c r="G223" s="14" t="s">
        <v>179</v>
      </c>
      <c r="H223" s="14" t="s">
        <v>7292</v>
      </c>
      <c r="I223" s="14" t="s">
        <v>179</v>
      </c>
      <c r="J223" s="14" t="s">
        <v>7293</v>
      </c>
      <c r="K223" s="14" t="s">
        <v>179</v>
      </c>
      <c r="L223" s="14" t="s">
        <v>7294</v>
      </c>
      <c r="M223" s="14" t="s">
        <v>179</v>
      </c>
      <c r="N223" s="14" t="s">
        <v>7295</v>
      </c>
      <c r="O223" s="14" t="s">
        <v>179</v>
      </c>
      <c r="P223" s="14" t="s">
        <v>7296</v>
      </c>
      <c r="Q223" s="14" t="s">
        <v>179</v>
      </c>
      <c r="R223" s="14" t="s">
        <v>7297</v>
      </c>
      <c r="S223" s="14" t="s">
        <v>179</v>
      </c>
      <c r="T223" s="14" t="s">
        <v>7298</v>
      </c>
      <c r="U223" s="14" t="s">
        <v>179</v>
      </c>
      <c r="V223" s="14" t="s">
        <v>7299</v>
      </c>
      <c r="W223" s="14" t="s">
        <v>179</v>
      </c>
      <c r="X223" s="14" t="s">
        <v>7300</v>
      </c>
      <c r="Y223" s="14" t="s">
        <v>179</v>
      </c>
      <c r="Z223" s="14" t="s">
        <v>7301</v>
      </c>
      <c r="AA223" s="14" t="s">
        <v>179</v>
      </c>
      <c r="AB223" s="14" t="s">
        <v>7302</v>
      </c>
      <c r="AC223" s="14" t="s">
        <v>179</v>
      </c>
      <c r="AD223" s="14" t="s">
        <v>7303</v>
      </c>
      <c r="AE223" s="14" t="s">
        <v>179</v>
      </c>
      <c r="AF223" s="14" t="s">
        <v>7304</v>
      </c>
      <c r="AG223" s="14" t="s">
        <v>179</v>
      </c>
      <c r="AH223" s="14" t="s">
        <v>7305</v>
      </c>
      <c r="AI223" s="14" t="s">
        <v>179</v>
      </c>
      <c r="AJ223" s="14" t="s">
        <v>7306</v>
      </c>
      <c r="AK223" s="14" t="s">
        <v>179</v>
      </c>
      <c r="AL223" s="14" t="s">
        <v>7307</v>
      </c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6" t="s">
        <v>197</v>
      </c>
      <c r="BP223" s="17" t="s">
        <v>198</v>
      </c>
      <c r="BQ223" s="18">
        <v>45686.5328125</v>
      </c>
      <c r="BR223" s="17" t="s">
        <v>198</v>
      </c>
      <c r="BS223" s="18">
        <v>45686.53320601852</v>
      </c>
      <c r="BT223" s="17" t="s">
        <v>198</v>
      </c>
      <c r="BU223" s="18">
        <v>45686.53320601852</v>
      </c>
      <c r="BV223" s="13" t="s">
        <v>199</v>
      </c>
      <c r="BW223" s="14" t="s">
        <v>179</v>
      </c>
      <c r="BX223" s="14" t="s">
        <v>7308</v>
      </c>
      <c r="BY223" s="14" t="s">
        <v>179</v>
      </c>
      <c r="BZ223" s="14" t="s">
        <v>7309</v>
      </c>
      <c r="CA223" s="14" t="s">
        <v>179</v>
      </c>
      <c r="CB223" s="14" t="s">
        <v>7310</v>
      </c>
      <c r="CC223" s="14" t="s">
        <v>179</v>
      </c>
      <c r="CD223" s="14" t="s">
        <v>7311</v>
      </c>
      <c r="CE223" s="14" t="s">
        <v>179</v>
      </c>
      <c r="CF223" s="14" t="s">
        <v>7312</v>
      </c>
      <c r="CG223" s="14" t="s">
        <v>179</v>
      </c>
      <c r="CH223" s="14" t="s">
        <v>7313</v>
      </c>
      <c r="CI223" s="19"/>
      <c r="CJ223" s="15"/>
      <c r="CK223" s="19"/>
      <c r="CL223" s="15"/>
      <c r="CM223" s="19"/>
      <c r="CN223" s="15"/>
      <c r="CO223" s="19"/>
      <c r="CP223" s="15"/>
      <c r="CQ223" s="15"/>
      <c r="CR223" s="15"/>
      <c r="CS223" s="19"/>
      <c r="CT223" s="15"/>
      <c r="CU223" s="19"/>
      <c r="CV223" s="15"/>
      <c r="CW223" s="19"/>
      <c r="CX223" s="15"/>
      <c r="CY223" s="19"/>
      <c r="CZ223" s="15"/>
      <c r="DA223" s="16" t="s">
        <v>197</v>
      </c>
      <c r="DB223" s="17" t="s">
        <v>198</v>
      </c>
      <c r="DC223" s="20">
        <v>45723.64849537037</v>
      </c>
      <c r="DD223" s="17" t="s">
        <v>198</v>
      </c>
      <c r="DE223" s="18">
        <v>45723.64853009259</v>
      </c>
      <c r="DF223" s="17" t="s">
        <v>198</v>
      </c>
      <c r="DG223" s="18">
        <v>45723.64853009259</v>
      </c>
      <c r="DH223" s="13" t="s">
        <v>205</v>
      </c>
      <c r="DI223" s="14" t="s">
        <v>179</v>
      </c>
      <c r="DJ223" s="14" t="s">
        <v>7314</v>
      </c>
      <c r="DK223" s="14" t="s">
        <v>179</v>
      </c>
      <c r="DL223" s="14" t="s">
        <v>7314</v>
      </c>
      <c r="DM223" s="14" t="s">
        <v>179</v>
      </c>
      <c r="DN223" s="14" t="s">
        <v>7315</v>
      </c>
      <c r="DO223" s="14" t="s">
        <v>179</v>
      </c>
      <c r="DP223" s="14" t="s">
        <v>7316</v>
      </c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6" t="s">
        <v>197</v>
      </c>
      <c r="ED223" s="17" t="s">
        <v>198</v>
      </c>
      <c r="EE223" s="18">
        <v>45723.64859953704</v>
      </c>
      <c r="EF223" s="13" t="s">
        <v>209</v>
      </c>
      <c r="EG223" s="14" t="s">
        <v>179</v>
      </c>
      <c r="EH223" s="14" t="s">
        <v>7317</v>
      </c>
      <c r="EI223" s="14" t="s">
        <v>179</v>
      </c>
      <c r="EJ223" s="14" t="s">
        <v>7318</v>
      </c>
      <c r="EK223" s="14" t="s">
        <v>179</v>
      </c>
      <c r="EL223" s="14" t="s">
        <v>7319</v>
      </c>
      <c r="EM223" s="14" t="s">
        <v>179</v>
      </c>
      <c r="EN223" s="14" t="s">
        <v>7319</v>
      </c>
      <c r="EO223" s="15"/>
      <c r="EP223" s="15"/>
      <c r="EQ223" s="15"/>
      <c r="ER223" s="15"/>
      <c r="ES223" s="15"/>
      <c r="ET223" s="15"/>
      <c r="EU223" s="15"/>
      <c r="EV223" s="15"/>
      <c r="EW223" s="15"/>
      <c r="EX223" s="15"/>
      <c r="EY223" s="15"/>
      <c r="EZ223" s="15"/>
      <c r="FA223" s="15"/>
      <c r="FB223" s="15"/>
      <c r="FC223" s="16" t="s">
        <v>197</v>
      </c>
      <c r="FD223" s="17" t="s">
        <v>198</v>
      </c>
      <c r="FE223" s="18">
        <v>45723.64871527778</v>
      </c>
      <c r="FF223" s="19"/>
      <c r="FG223" s="19"/>
      <c r="FH223" s="21" t="s">
        <v>197</v>
      </c>
      <c r="FI223" s="17" t="s">
        <v>214</v>
      </c>
      <c r="FJ223" s="18">
        <v>45723.64871527778</v>
      </c>
      <c r="FK223" s="14" t="s">
        <v>7319</v>
      </c>
      <c r="FL223" s="14" t="s">
        <v>7320</v>
      </c>
      <c r="FM223" s="14" t="s">
        <v>7321</v>
      </c>
      <c r="FN223" s="14" t="s">
        <v>7322</v>
      </c>
      <c r="FO223" s="14" t="s">
        <v>7323</v>
      </c>
      <c r="FP223" s="19" t="str">
        <f t="shared" si="1"/>
        <v>Base de Dados_Images/BD8101.Imagem do Equipamento-.155431.jpg</v>
      </c>
      <c r="FQ223" s="19"/>
      <c r="FR223" s="19"/>
    </row>
    <row r="224" ht="15.75" customHeight="1">
      <c r="A224" s="12" t="s">
        <v>292</v>
      </c>
      <c r="B224" s="12" t="s">
        <v>7324</v>
      </c>
      <c r="C224" s="24" t="s">
        <v>512</v>
      </c>
      <c r="D224" s="22" t="s">
        <v>7325</v>
      </c>
      <c r="E224" s="22" t="s">
        <v>7326</v>
      </c>
      <c r="F224" s="13" t="s">
        <v>178</v>
      </c>
      <c r="G224" s="14" t="s">
        <v>179</v>
      </c>
      <c r="H224" s="14" t="s">
        <v>7327</v>
      </c>
      <c r="I224" s="14" t="s">
        <v>179</v>
      </c>
      <c r="J224" s="14" t="s">
        <v>7328</v>
      </c>
      <c r="K224" s="14" t="s">
        <v>179</v>
      </c>
      <c r="L224" s="14" t="s">
        <v>7329</v>
      </c>
      <c r="M224" s="14" t="s">
        <v>179</v>
      </c>
      <c r="N224" s="14" t="s">
        <v>7330</v>
      </c>
      <c r="O224" s="14" t="s">
        <v>179</v>
      </c>
      <c r="P224" s="14" t="s">
        <v>7331</v>
      </c>
      <c r="Q224" s="14" t="s">
        <v>179</v>
      </c>
      <c r="R224" s="14" t="s">
        <v>7332</v>
      </c>
      <c r="S224" s="14" t="s">
        <v>179</v>
      </c>
      <c r="T224" s="14" t="s">
        <v>7333</v>
      </c>
      <c r="U224" s="14" t="s">
        <v>179</v>
      </c>
      <c r="V224" s="14" t="s">
        <v>7333</v>
      </c>
      <c r="W224" s="14" t="s">
        <v>179</v>
      </c>
      <c r="X224" s="14" t="s">
        <v>7334</v>
      </c>
      <c r="Y224" s="14" t="s">
        <v>179</v>
      </c>
      <c r="Z224" s="14" t="s">
        <v>7335</v>
      </c>
      <c r="AA224" s="14" t="s">
        <v>179</v>
      </c>
      <c r="AB224" s="14" t="s">
        <v>7336</v>
      </c>
      <c r="AC224" s="14" t="s">
        <v>179</v>
      </c>
      <c r="AD224" s="14" t="s">
        <v>7336</v>
      </c>
      <c r="AE224" s="14" t="s">
        <v>179</v>
      </c>
      <c r="AF224" s="14" t="s">
        <v>7337</v>
      </c>
      <c r="AG224" s="14" t="s">
        <v>179</v>
      </c>
      <c r="AH224" s="14" t="s">
        <v>7338</v>
      </c>
      <c r="AI224" s="14" t="s">
        <v>179</v>
      </c>
      <c r="AJ224" s="14" t="s">
        <v>7338</v>
      </c>
      <c r="AK224" s="14" t="s">
        <v>179</v>
      </c>
      <c r="AL224" s="14" t="s">
        <v>7339</v>
      </c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6" t="s">
        <v>197</v>
      </c>
      <c r="BP224" s="17" t="s">
        <v>198</v>
      </c>
      <c r="BQ224" s="18">
        <v>45688.4765162037</v>
      </c>
      <c r="BR224" s="17" t="s">
        <v>198</v>
      </c>
      <c r="BS224" s="18">
        <v>45688.476493055554</v>
      </c>
      <c r="BT224" s="17" t="s">
        <v>198</v>
      </c>
      <c r="BU224" s="18">
        <v>45688.4765162037</v>
      </c>
      <c r="BV224" s="13" t="s">
        <v>199</v>
      </c>
      <c r="BW224" s="14" t="s">
        <v>179</v>
      </c>
      <c r="BX224" s="14" t="s">
        <v>7340</v>
      </c>
      <c r="BY224" s="14" t="s">
        <v>179</v>
      </c>
      <c r="BZ224" s="14" t="s">
        <v>7341</v>
      </c>
      <c r="CA224" s="14" t="s">
        <v>188</v>
      </c>
      <c r="CB224" s="14" t="s">
        <v>7342</v>
      </c>
      <c r="CC224" s="14" t="s">
        <v>188</v>
      </c>
      <c r="CD224" s="14" t="s">
        <v>7343</v>
      </c>
      <c r="CE224" s="14" t="s">
        <v>188</v>
      </c>
      <c r="CF224" s="14" t="s">
        <v>7344</v>
      </c>
      <c r="CG224" s="14" t="s">
        <v>188</v>
      </c>
      <c r="CH224" s="14" t="s">
        <v>7345</v>
      </c>
      <c r="CI224" s="19"/>
      <c r="CJ224" s="15"/>
      <c r="CK224" s="19"/>
      <c r="CL224" s="15"/>
      <c r="CM224" s="19"/>
      <c r="CN224" s="15"/>
      <c r="CO224" s="19"/>
      <c r="CP224" s="15"/>
      <c r="CQ224" s="15"/>
      <c r="CR224" s="15"/>
      <c r="CS224" s="19"/>
      <c r="CT224" s="15"/>
      <c r="CU224" s="19"/>
      <c r="CV224" s="15"/>
      <c r="CW224" s="19"/>
      <c r="CX224" s="15"/>
      <c r="CY224" s="19"/>
      <c r="CZ224" s="15"/>
      <c r="DA224" s="16" t="s">
        <v>197</v>
      </c>
      <c r="DB224" s="17" t="s">
        <v>198</v>
      </c>
      <c r="DC224" s="20">
        <v>45696.33707175926</v>
      </c>
      <c r="DD224" s="17" t="s">
        <v>198</v>
      </c>
      <c r="DE224" s="18">
        <v>45696.33715277778</v>
      </c>
      <c r="DF224" s="17" t="s">
        <v>198</v>
      </c>
      <c r="DG224" s="18">
        <v>45696.33715277778</v>
      </c>
      <c r="DH224" s="13" t="s">
        <v>205</v>
      </c>
      <c r="DI224" s="14" t="s">
        <v>179</v>
      </c>
      <c r="DJ224" s="14" t="s">
        <v>7346</v>
      </c>
      <c r="DK224" s="14" t="s">
        <v>179</v>
      </c>
      <c r="DL224" s="14" t="s">
        <v>7347</v>
      </c>
      <c r="DM224" s="14" t="s">
        <v>179</v>
      </c>
      <c r="DN224" s="14" t="s">
        <v>7348</v>
      </c>
      <c r="DO224" s="14" t="s">
        <v>179</v>
      </c>
      <c r="DP224" s="14" t="s">
        <v>7349</v>
      </c>
      <c r="DQ224" s="15"/>
      <c r="DR224" s="15"/>
      <c r="DS224" s="15"/>
      <c r="DT224" s="15"/>
      <c r="DU224" s="15"/>
      <c r="DV224" s="15"/>
      <c r="DW224" s="15"/>
      <c r="DX224" s="15"/>
      <c r="DY224" s="15"/>
      <c r="DZ224" s="15"/>
      <c r="EA224" s="15"/>
      <c r="EB224" s="15"/>
      <c r="EC224" s="16" t="s">
        <v>197</v>
      </c>
      <c r="ED224" s="17" t="s">
        <v>198</v>
      </c>
      <c r="EE224" s="18">
        <v>45696.33725694445</v>
      </c>
      <c r="EF224" s="13" t="s">
        <v>209</v>
      </c>
      <c r="EG224" s="14" t="s">
        <v>179</v>
      </c>
      <c r="EH224" s="14" t="s">
        <v>7350</v>
      </c>
      <c r="EI224" s="14" t="s">
        <v>179</v>
      </c>
      <c r="EJ224" s="14" t="s">
        <v>7351</v>
      </c>
      <c r="EK224" s="14" t="s">
        <v>179</v>
      </c>
      <c r="EL224" s="14" t="s">
        <v>7352</v>
      </c>
      <c r="EM224" s="14" t="s">
        <v>179</v>
      </c>
      <c r="EN224" s="14" t="s">
        <v>7353</v>
      </c>
      <c r="EO224" s="15"/>
      <c r="EP224" s="15"/>
      <c r="EQ224" s="15"/>
      <c r="ER224" s="15"/>
      <c r="ES224" s="15"/>
      <c r="ET224" s="15"/>
      <c r="EU224" s="15"/>
      <c r="EV224" s="15"/>
      <c r="EW224" s="15"/>
      <c r="EX224" s="15"/>
      <c r="EY224" s="15"/>
      <c r="EZ224" s="15"/>
      <c r="FA224" s="15"/>
      <c r="FB224" s="15"/>
      <c r="FC224" s="16" t="s">
        <v>197</v>
      </c>
      <c r="FD224" s="17" t="s">
        <v>198</v>
      </c>
      <c r="FE224" s="18">
        <v>45722.35847222222</v>
      </c>
      <c r="FF224" s="19"/>
      <c r="FG224" s="19"/>
      <c r="FH224" s="21" t="s">
        <v>197</v>
      </c>
      <c r="FI224" s="17" t="s">
        <v>214</v>
      </c>
      <c r="FJ224" s="18">
        <v>45722.35847222222</v>
      </c>
      <c r="FK224" s="14" t="s">
        <v>7353</v>
      </c>
      <c r="FL224" s="14" t="s">
        <v>7354</v>
      </c>
      <c r="FM224" s="14" t="s">
        <v>7355</v>
      </c>
      <c r="FN224" s="19"/>
      <c r="FO224" s="19"/>
      <c r="FP224" s="19" t="str">
        <f t="shared" si="1"/>
        <v>Base de Dados_Images/BD9501.Imagem do Equipamento-.154514.jpg</v>
      </c>
      <c r="FQ224" s="19"/>
      <c r="FR224" s="19"/>
    </row>
    <row r="225" ht="15.75" customHeight="1">
      <c r="A225" s="12" t="s">
        <v>292</v>
      </c>
      <c r="B225" s="12" t="s">
        <v>7324</v>
      </c>
      <c r="C225" s="24" t="s">
        <v>512</v>
      </c>
      <c r="D225" s="28" t="s">
        <v>7356</v>
      </c>
      <c r="E225" s="22" t="s">
        <v>7357</v>
      </c>
      <c r="F225" s="13" t="s">
        <v>178</v>
      </c>
      <c r="G225" s="14" t="s">
        <v>179</v>
      </c>
      <c r="H225" s="14" t="s">
        <v>7358</v>
      </c>
      <c r="I225" s="14" t="s">
        <v>179</v>
      </c>
      <c r="J225" s="14" t="s">
        <v>7359</v>
      </c>
      <c r="K225" s="14" t="s">
        <v>179</v>
      </c>
      <c r="L225" s="14" t="s">
        <v>7360</v>
      </c>
      <c r="M225" s="14" t="s">
        <v>179</v>
      </c>
      <c r="N225" s="14" t="s">
        <v>7361</v>
      </c>
      <c r="O225" s="14" t="s">
        <v>179</v>
      </c>
      <c r="P225" s="14" t="s">
        <v>7362</v>
      </c>
      <c r="Q225" s="14" t="s">
        <v>179</v>
      </c>
      <c r="R225" s="14" t="s">
        <v>7363</v>
      </c>
      <c r="S225" s="14" t="s">
        <v>179</v>
      </c>
      <c r="T225" s="14" t="s">
        <v>7364</v>
      </c>
      <c r="U225" s="14" t="s">
        <v>179</v>
      </c>
      <c r="V225" s="14" t="s">
        <v>7365</v>
      </c>
      <c r="W225" s="14" t="s">
        <v>179</v>
      </c>
      <c r="X225" s="14" t="s">
        <v>7366</v>
      </c>
      <c r="Y225" s="14" t="s">
        <v>179</v>
      </c>
      <c r="Z225" s="14" t="s">
        <v>7367</v>
      </c>
      <c r="AA225" s="14" t="s">
        <v>179</v>
      </c>
      <c r="AB225" s="14" t="s">
        <v>7368</v>
      </c>
      <c r="AC225" s="14" t="s">
        <v>179</v>
      </c>
      <c r="AD225" s="14" t="s">
        <v>7369</v>
      </c>
      <c r="AE225" s="14" t="s">
        <v>179</v>
      </c>
      <c r="AF225" s="14" t="s">
        <v>7370</v>
      </c>
      <c r="AG225" s="14" t="s">
        <v>179</v>
      </c>
      <c r="AH225" s="14" t="s">
        <v>7371</v>
      </c>
      <c r="AI225" s="14" t="s">
        <v>179</v>
      </c>
      <c r="AJ225" s="14" t="s">
        <v>7372</v>
      </c>
      <c r="AK225" s="14" t="s">
        <v>179</v>
      </c>
      <c r="AL225" s="14" t="s">
        <v>7373</v>
      </c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6" t="s">
        <v>197</v>
      </c>
      <c r="BP225" s="17" t="s">
        <v>198</v>
      </c>
      <c r="BQ225" s="18">
        <v>45685.42107638889</v>
      </c>
      <c r="BR225" s="17" t="s">
        <v>198</v>
      </c>
      <c r="BS225" s="18">
        <v>45685.421215277776</v>
      </c>
      <c r="BT225" s="17" t="s">
        <v>198</v>
      </c>
      <c r="BU225" s="18">
        <v>45685.421215277776</v>
      </c>
      <c r="BV225" s="13" t="s">
        <v>199</v>
      </c>
      <c r="BW225" s="14" t="s">
        <v>179</v>
      </c>
      <c r="BX225" s="14" t="s">
        <v>7374</v>
      </c>
      <c r="BY225" s="14" t="s">
        <v>179</v>
      </c>
      <c r="BZ225" s="14" t="s">
        <v>7374</v>
      </c>
      <c r="CA225" s="14" t="s">
        <v>179</v>
      </c>
      <c r="CB225" s="14" t="s">
        <v>7375</v>
      </c>
      <c r="CC225" s="14" t="s">
        <v>179</v>
      </c>
      <c r="CD225" s="14" t="s">
        <v>7376</v>
      </c>
      <c r="CE225" s="14" t="s">
        <v>179</v>
      </c>
      <c r="CF225" s="14" t="s">
        <v>7377</v>
      </c>
      <c r="CG225" s="14" t="s">
        <v>188</v>
      </c>
      <c r="CH225" s="14" t="s">
        <v>7378</v>
      </c>
      <c r="CI225" s="19"/>
      <c r="CJ225" s="15"/>
      <c r="CK225" s="19"/>
      <c r="CL225" s="15"/>
      <c r="CM225" s="19"/>
      <c r="CN225" s="15"/>
      <c r="CO225" s="19"/>
      <c r="CP225" s="15"/>
      <c r="CQ225" s="15"/>
      <c r="CR225" s="15"/>
      <c r="CS225" s="19"/>
      <c r="CT225" s="15"/>
      <c r="CU225" s="19"/>
      <c r="CV225" s="15"/>
      <c r="CW225" s="19"/>
      <c r="CX225" s="15"/>
      <c r="CY225" s="19"/>
      <c r="CZ225" s="15"/>
      <c r="DA225" s="16" t="s">
        <v>197</v>
      </c>
      <c r="DB225" s="17" t="s">
        <v>198</v>
      </c>
      <c r="DC225" s="20">
        <v>45696.33636574074</v>
      </c>
      <c r="DD225" s="17" t="s">
        <v>198</v>
      </c>
      <c r="DE225" s="18">
        <v>45696.33644675926</v>
      </c>
      <c r="DF225" s="17" t="s">
        <v>198</v>
      </c>
      <c r="DG225" s="18">
        <v>45696.33644675926</v>
      </c>
      <c r="DH225" s="13" t="s">
        <v>205</v>
      </c>
      <c r="DI225" s="14" t="s">
        <v>179</v>
      </c>
      <c r="DJ225" s="14" t="s">
        <v>7379</v>
      </c>
      <c r="DK225" s="14" t="s">
        <v>179</v>
      </c>
      <c r="DL225" s="14" t="s">
        <v>7380</v>
      </c>
      <c r="DM225" s="14" t="s">
        <v>179</v>
      </c>
      <c r="DN225" s="14" t="s">
        <v>7381</v>
      </c>
      <c r="DO225" s="14" t="s">
        <v>179</v>
      </c>
      <c r="DP225" s="14" t="s">
        <v>7382</v>
      </c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6" t="s">
        <v>197</v>
      </c>
      <c r="ED225" s="17" t="s">
        <v>198</v>
      </c>
      <c r="EE225" s="18">
        <v>45696.33660879629</v>
      </c>
      <c r="EF225" s="13" t="s">
        <v>209</v>
      </c>
      <c r="EG225" s="14" t="s">
        <v>179</v>
      </c>
      <c r="EH225" s="14" t="s">
        <v>7383</v>
      </c>
      <c r="EI225" s="14" t="s">
        <v>179</v>
      </c>
      <c r="EJ225" s="14" t="s">
        <v>7384</v>
      </c>
      <c r="EK225" s="14" t="s">
        <v>179</v>
      </c>
      <c r="EL225" s="14" t="s">
        <v>7385</v>
      </c>
      <c r="EM225" s="14" t="s">
        <v>179</v>
      </c>
      <c r="EN225" s="14" t="s">
        <v>7385</v>
      </c>
      <c r="EO225" s="15"/>
      <c r="EP225" s="15"/>
      <c r="EQ225" s="15"/>
      <c r="ER225" s="15"/>
      <c r="ES225" s="15"/>
      <c r="ET225" s="15"/>
      <c r="EU225" s="15"/>
      <c r="EV225" s="15"/>
      <c r="EW225" s="15"/>
      <c r="EX225" s="15"/>
      <c r="EY225" s="15"/>
      <c r="EZ225" s="15"/>
      <c r="FA225" s="15"/>
      <c r="FB225" s="15"/>
      <c r="FC225" s="16" t="s">
        <v>197</v>
      </c>
      <c r="FD225" s="17" t="s">
        <v>198</v>
      </c>
      <c r="FE225" s="18">
        <v>45722.358564814815</v>
      </c>
      <c r="FF225" s="19"/>
      <c r="FG225" s="19"/>
      <c r="FH225" s="21" t="s">
        <v>197</v>
      </c>
      <c r="FI225" s="17" t="s">
        <v>214</v>
      </c>
      <c r="FJ225" s="18">
        <v>45722.358564814815</v>
      </c>
      <c r="FK225" s="14" t="s">
        <v>7385</v>
      </c>
      <c r="FL225" s="14" t="s">
        <v>7386</v>
      </c>
      <c r="FM225" s="14" t="s">
        <v>7387</v>
      </c>
      <c r="FN225" s="14" t="s">
        <v>7388</v>
      </c>
      <c r="FO225" s="14" t="s">
        <v>7389</v>
      </c>
      <c r="FP225" s="19" t="str">
        <f t="shared" si="1"/>
        <v>Base de Dados_Images/BD9502.Imagem do Equipamento-.164237.jpg</v>
      </c>
      <c r="FQ225" s="19"/>
      <c r="FR225" s="19"/>
    </row>
    <row r="226" ht="15.75" customHeight="1">
      <c r="A226" s="12" t="s">
        <v>292</v>
      </c>
      <c r="B226" s="12" t="s">
        <v>7390</v>
      </c>
      <c r="C226" s="24" t="s">
        <v>512</v>
      </c>
      <c r="D226" s="28" t="s">
        <v>7391</v>
      </c>
      <c r="E226" s="22" t="s">
        <v>7392</v>
      </c>
      <c r="F226" s="13" t="s">
        <v>178</v>
      </c>
      <c r="G226" s="14" t="s">
        <v>179</v>
      </c>
      <c r="H226" s="14" t="s">
        <v>7393</v>
      </c>
      <c r="I226" s="14" t="s">
        <v>179</v>
      </c>
      <c r="J226" s="14" t="s">
        <v>7394</v>
      </c>
      <c r="K226" s="14" t="s">
        <v>179</v>
      </c>
      <c r="L226" s="14" t="s">
        <v>7395</v>
      </c>
      <c r="M226" s="14" t="s">
        <v>179</v>
      </c>
      <c r="N226" s="14" t="s">
        <v>7396</v>
      </c>
      <c r="O226" s="14" t="s">
        <v>179</v>
      </c>
      <c r="P226" s="14" t="s">
        <v>7397</v>
      </c>
      <c r="Q226" s="14" t="s">
        <v>179</v>
      </c>
      <c r="R226" s="14" t="s">
        <v>7398</v>
      </c>
      <c r="S226" s="14" t="s">
        <v>179</v>
      </c>
      <c r="T226" s="14" t="s">
        <v>7399</v>
      </c>
      <c r="U226" s="14" t="s">
        <v>179</v>
      </c>
      <c r="V226" s="14" t="s">
        <v>7400</v>
      </c>
      <c r="W226" s="14" t="s">
        <v>179</v>
      </c>
      <c r="X226" s="14" t="s">
        <v>7401</v>
      </c>
      <c r="Y226" s="14" t="s">
        <v>179</v>
      </c>
      <c r="Z226" s="14" t="s">
        <v>7402</v>
      </c>
      <c r="AA226" s="14" t="s">
        <v>179</v>
      </c>
      <c r="AB226" s="14" t="s">
        <v>7403</v>
      </c>
      <c r="AC226" s="14" t="s">
        <v>179</v>
      </c>
      <c r="AD226" s="14" t="s">
        <v>7404</v>
      </c>
      <c r="AE226" s="14" t="s">
        <v>179</v>
      </c>
      <c r="AF226" s="14" t="s">
        <v>7405</v>
      </c>
      <c r="AG226" s="14" t="s">
        <v>179</v>
      </c>
      <c r="AH226" s="14" t="s">
        <v>7406</v>
      </c>
      <c r="AI226" s="14" t="s">
        <v>179</v>
      </c>
      <c r="AJ226" s="14" t="s">
        <v>7407</v>
      </c>
      <c r="AK226" s="14" t="s">
        <v>179</v>
      </c>
      <c r="AL226" s="14" t="s">
        <v>7408</v>
      </c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6" t="s">
        <v>197</v>
      </c>
      <c r="BP226" s="17" t="s">
        <v>198</v>
      </c>
      <c r="BQ226" s="18">
        <v>45715.565046296295</v>
      </c>
      <c r="BR226" s="17" t="s">
        <v>198</v>
      </c>
      <c r="BS226" s="18">
        <v>45715.56517361111</v>
      </c>
      <c r="BT226" s="17" t="s">
        <v>198</v>
      </c>
      <c r="BU226" s="18">
        <v>45715.56517361111</v>
      </c>
      <c r="BV226" s="13" t="s">
        <v>199</v>
      </c>
      <c r="BW226" s="14" t="s">
        <v>179</v>
      </c>
      <c r="BX226" s="14" t="s">
        <v>7409</v>
      </c>
      <c r="BY226" s="14" t="s">
        <v>179</v>
      </c>
      <c r="BZ226" s="14" t="s">
        <v>7410</v>
      </c>
      <c r="CA226" s="14" t="s">
        <v>179</v>
      </c>
      <c r="CB226" s="14" t="s">
        <v>7411</v>
      </c>
      <c r="CC226" s="14" t="s">
        <v>179</v>
      </c>
      <c r="CD226" s="14" t="s">
        <v>7412</v>
      </c>
      <c r="CE226" s="14" t="s">
        <v>179</v>
      </c>
      <c r="CF226" s="14" t="s">
        <v>7413</v>
      </c>
      <c r="CG226" s="14" t="s">
        <v>188</v>
      </c>
      <c r="CH226" s="14" t="s">
        <v>7414</v>
      </c>
      <c r="CI226" s="19"/>
      <c r="CJ226" s="15"/>
      <c r="CK226" s="19"/>
      <c r="CL226" s="15"/>
      <c r="CM226" s="19"/>
      <c r="CN226" s="15"/>
      <c r="CO226" s="19"/>
      <c r="CP226" s="15"/>
      <c r="CQ226" s="15"/>
      <c r="CR226" s="15"/>
      <c r="CS226" s="19"/>
      <c r="CT226" s="15"/>
      <c r="CU226" s="19"/>
      <c r="CV226" s="15"/>
      <c r="CW226" s="19"/>
      <c r="CX226" s="15"/>
      <c r="CY226" s="19"/>
      <c r="CZ226" s="15"/>
      <c r="DA226" s="16" t="s">
        <v>197</v>
      </c>
      <c r="DB226" s="17" t="s">
        <v>198</v>
      </c>
      <c r="DC226" s="20">
        <v>45719.58416666667</v>
      </c>
      <c r="DD226" s="17" t="s">
        <v>198</v>
      </c>
      <c r="DE226" s="18">
        <v>45719.58420138889</v>
      </c>
      <c r="DF226" s="17" t="s">
        <v>198</v>
      </c>
      <c r="DG226" s="18">
        <v>45719.58420138889</v>
      </c>
      <c r="DH226" s="13" t="s">
        <v>205</v>
      </c>
      <c r="DI226" s="14" t="s">
        <v>179</v>
      </c>
      <c r="DJ226" s="14" t="s">
        <v>7415</v>
      </c>
      <c r="DK226" s="14" t="s">
        <v>179</v>
      </c>
      <c r="DL226" s="14" t="s">
        <v>7416</v>
      </c>
      <c r="DM226" s="14" t="s">
        <v>179</v>
      </c>
      <c r="DN226" s="14" t="s">
        <v>7417</v>
      </c>
      <c r="DO226" s="14" t="s">
        <v>179</v>
      </c>
      <c r="DP226" s="14" t="s">
        <v>7418</v>
      </c>
      <c r="DQ226" s="15"/>
      <c r="DR226" s="15"/>
      <c r="DS226" s="15"/>
      <c r="DT226" s="15"/>
      <c r="DU226" s="15"/>
      <c r="DV226" s="15"/>
      <c r="DW226" s="15"/>
      <c r="DX226" s="15"/>
      <c r="DY226" s="15"/>
      <c r="DZ226" s="15"/>
      <c r="EA226" s="15"/>
      <c r="EB226" s="15"/>
      <c r="EC226" s="16" t="s">
        <v>197</v>
      </c>
      <c r="ED226" s="17" t="s">
        <v>198</v>
      </c>
      <c r="EE226" s="18">
        <v>45719.584328703706</v>
      </c>
      <c r="EF226" s="13" t="s">
        <v>209</v>
      </c>
      <c r="EG226" s="14" t="s">
        <v>179</v>
      </c>
      <c r="EH226" s="14" t="s">
        <v>7419</v>
      </c>
      <c r="EI226" s="14" t="s">
        <v>179</v>
      </c>
      <c r="EJ226" s="14" t="s">
        <v>7420</v>
      </c>
      <c r="EK226" s="14" t="s">
        <v>179</v>
      </c>
      <c r="EL226" s="14" t="s">
        <v>7421</v>
      </c>
      <c r="EM226" s="14" t="s">
        <v>179</v>
      </c>
      <c r="EN226" s="14" t="s">
        <v>7422</v>
      </c>
      <c r="EO226" s="15"/>
      <c r="EP226" s="15"/>
      <c r="EQ226" s="15"/>
      <c r="ER226" s="15"/>
      <c r="ES226" s="15"/>
      <c r="ET226" s="15"/>
      <c r="EU226" s="15"/>
      <c r="EV226" s="15"/>
      <c r="EW226" s="15"/>
      <c r="EX226" s="15"/>
      <c r="EY226" s="15"/>
      <c r="EZ226" s="15"/>
      <c r="FA226" s="15"/>
      <c r="FB226" s="15"/>
      <c r="FC226" s="16" t="s">
        <v>197</v>
      </c>
      <c r="FD226" s="17" t="s">
        <v>198</v>
      </c>
      <c r="FE226" s="18">
        <v>45723.294270833336</v>
      </c>
      <c r="FF226" s="19"/>
      <c r="FG226" s="19"/>
      <c r="FH226" s="21" t="s">
        <v>197</v>
      </c>
      <c r="FI226" s="17" t="s">
        <v>214</v>
      </c>
      <c r="FJ226" s="18">
        <v>45723.294270833336</v>
      </c>
      <c r="FK226" s="14" t="s">
        <v>7422</v>
      </c>
      <c r="FL226" s="19"/>
      <c r="FM226" s="19"/>
      <c r="FN226" s="19"/>
      <c r="FO226" s="19"/>
      <c r="FP226" s="19" t="str">
        <f t="shared" si="1"/>
        <v/>
      </c>
      <c r="FQ226" s="14" t="s">
        <v>215</v>
      </c>
      <c r="FR226" s="14" t="s">
        <v>7423</v>
      </c>
    </row>
    <row r="227" ht="15.75" customHeight="1">
      <c r="A227" s="12" t="s">
        <v>292</v>
      </c>
      <c r="B227" s="12" t="s">
        <v>7424</v>
      </c>
      <c r="C227" s="24" t="s">
        <v>512</v>
      </c>
      <c r="D227" s="22" t="s">
        <v>7425</v>
      </c>
      <c r="E227" s="22" t="s">
        <v>7426</v>
      </c>
      <c r="F227" s="13" t="s">
        <v>178</v>
      </c>
      <c r="G227" s="14" t="s">
        <v>179</v>
      </c>
      <c r="H227" s="14" t="s">
        <v>7427</v>
      </c>
      <c r="I227" s="14" t="s">
        <v>179</v>
      </c>
      <c r="J227" s="14" t="s">
        <v>7428</v>
      </c>
      <c r="K227" s="14" t="s">
        <v>179</v>
      </c>
      <c r="L227" s="14" t="s">
        <v>7429</v>
      </c>
      <c r="M227" s="14" t="s">
        <v>179</v>
      </c>
      <c r="N227" s="14" t="s">
        <v>7430</v>
      </c>
      <c r="O227" s="14" t="s">
        <v>179</v>
      </c>
      <c r="P227" s="14" t="s">
        <v>7431</v>
      </c>
      <c r="Q227" s="14" t="s">
        <v>179</v>
      </c>
      <c r="R227" s="14" t="s">
        <v>7432</v>
      </c>
      <c r="S227" s="14" t="s">
        <v>179</v>
      </c>
      <c r="T227" s="14" t="s">
        <v>7433</v>
      </c>
      <c r="U227" s="14" t="s">
        <v>179</v>
      </c>
      <c r="V227" s="14" t="s">
        <v>7434</v>
      </c>
      <c r="W227" s="14" t="s">
        <v>179</v>
      </c>
      <c r="X227" s="14" t="s">
        <v>7435</v>
      </c>
      <c r="Y227" s="14" t="s">
        <v>179</v>
      </c>
      <c r="Z227" s="14" t="s">
        <v>7436</v>
      </c>
      <c r="AA227" s="14" t="s">
        <v>179</v>
      </c>
      <c r="AB227" s="14" t="s">
        <v>7437</v>
      </c>
      <c r="AC227" s="14" t="s">
        <v>179</v>
      </c>
      <c r="AD227" s="14" t="s">
        <v>7438</v>
      </c>
      <c r="AE227" s="14" t="s">
        <v>179</v>
      </c>
      <c r="AF227" s="14" t="s">
        <v>7439</v>
      </c>
      <c r="AG227" s="14" t="s">
        <v>179</v>
      </c>
      <c r="AH227" s="14" t="s">
        <v>7440</v>
      </c>
      <c r="AI227" s="14" t="s">
        <v>179</v>
      </c>
      <c r="AJ227" s="14" t="s">
        <v>7441</v>
      </c>
      <c r="AK227" s="14" t="s">
        <v>179</v>
      </c>
      <c r="AL227" s="14" t="s">
        <v>7442</v>
      </c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6" t="s">
        <v>197</v>
      </c>
      <c r="BP227" s="17" t="s">
        <v>198</v>
      </c>
      <c r="BQ227" s="18">
        <v>45685.41982638889</v>
      </c>
      <c r="BR227" s="17" t="s">
        <v>198</v>
      </c>
      <c r="BS227" s="18">
        <v>45685.41993055555</v>
      </c>
      <c r="BT227" s="17" t="s">
        <v>198</v>
      </c>
      <c r="BU227" s="18">
        <v>45685.41993055555</v>
      </c>
      <c r="BV227" s="13" t="s">
        <v>199</v>
      </c>
      <c r="BW227" s="14" t="s">
        <v>179</v>
      </c>
      <c r="BX227" s="14" t="s">
        <v>7443</v>
      </c>
      <c r="BY227" s="14" t="s">
        <v>179</v>
      </c>
      <c r="BZ227" s="14" t="s">
        <v>7443</v>
      </c>
      <c r="CA227" s="14" t="s">
        <v>179</v>
      </c>
      <c r="CB227" s="14" t="s">
        <v>7444</v>
      </c>
      <c r="CC227" s="14" t="s">
        <v>179</v>
      </c>
      <c r="CD227" s="14" t="s">
        <v>7445</v>
      </c>
      <c r="CE227" s="14" t="s">
        <v>179</v>
      </c>
      <c r="CF227" s="14" t="s">
        <v>7446</v>
      </c>
      <c r="CG227" s="14" t="s">
        <v>188</v>
      </c>
      <c r="CH227" s="14" t="s">
        <v>7447</v>
      </c>
      <c r="CI227" s="19"/>
      <c r="CJ227" s="15"/>
      <c r="CK227" s="19"/>
      <c r="CL227" s="15"/>
      <c r="CM227" s="19"/>
      <c r="CN227" s="15"/>
      <c r="CO227" s="19"/>
      <c r="CP227" s="15"/>
      <c r="CQ227" s="15"/>
      <c r="CR227" s="15"/>
      <c r="CS227" s="19"/>
      <c r="CT227" s="15"/>
      <c r="CU227" s="19"/>
      <c r="CV227" s="15"/>
      <c r="CW227" s="19"/>
      <c r="CX227" s="15"/>
      <c r="CY227" s="19"/>
      <c r="CZ227" s="15"/>
      <c r="DA227" s="16" t="s">
        <v>197</v>
      </c>
      <c r="DB227" s="17" t="s">
        <v>198</v>
      </c>
      <c r="DC227" s="20">
        <v>45696.33557870371</v>
      </c>
      <c r="DD227" s="17" t="s">
        <v>198</v>
      </c>
      <c r="DE227" s="18">
        <v>45696.33565972222</v>
      </c>
      <c r="DF227" s="17" t="s">
        <v>198</v>
      </c>
      <c r="DG227" s="18">
        <v>45696.33565972222</v>
      </c>
      <c r="DH227" s="13" t="s">
        <v>205</v>
      </c>
      <c r="DI227" s="14" t="s">
        <v>179</v>
      </c>
      <c r="DJ227" s="14" t="s">
        <v>7448</v>
      </c>
      <c r="DK227" s="14" t="s">
        <v>179</v>
      </c>
      <c r="DL227" s="14" t="s">
        <v>7449</v>
      </c>
      <c r="DM227" s="14" t="s">
        <v>179</v>
      </c>
      <c r="DN227" s="14" t="s">
        <v>7450</v>
      </c>
      <c r="DO227" s="14" t="s">
        <v>179</v>
      </c>
      <c r="DP227" s="14" t="s">
        <v>7451</v>
      </c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6" t="s">
        <v>197</v>
      </c>
      <c r="ED227" s="17" t="s">
        <v>198</v>
      </c>
      <c r="EE227" s="18">
        <v>45696.33583333333</v>
      </c>
      <c r="EF227" s="13" t="s">
        <v>209</v>
      </c>
      <c r="EG227" s="14" t="s">
        <v>179</v>
      </c>
      <c r="EH227" s="14" t="s">
        <v>7452</v>
      </c>
      <c r="EI227" s="14" t="s">
        <v>179</v>
      </c>
      <c r="EJ227" s="14" t="s">
        <v>7452</v>
      </c>
      <c r="EK227" s="14" t="s">
        <v>179</v>
      </c>
      <c r="EL227" s="14" t="s">
        <v>7453</v>
      </c>
      <c r="EM227" s="14" t="s">
        <v>179</v>
      </c>
      <c r="EN227" s="14" t="s">
        <v>7454</v>
      </c>
      <c r="EO227" s="15"/>
      <c r="EP227" s="15"/>
      <c r="EQ227" s="15"/>
      <c r="ER227" s="15"/>
      <c r="ES227" s="15"/>
      <c r="ET227" s="15"/>
      <c r="EU227" s="15"/>
      <c r="EV227" s="15"/>
      <c r="EW227" s="15"/>
      <c r="EX227" s="15"/>
      <c r="EY227" s="15"/>
      <c r="EZ227" s="15"/>
      <c r="FA227" s="15"/>
      <c r="FB227" s="15"/>
      <c r="FC227" s="16" t="s">
        <v>197</v>
      </c>
      <c r="FD227" s="17" t="s">
        <v>198</v>
      </c>
      <c r="FE227" s="18">
        <v>45723.294027777774</v>
      </c>
      <c r="FF227" s="19"/>
      <c r="FG227" s="19"/>
      <c r="FH227" s="21" t="s">
        <v>197</v>
      </c>
      <c r="FI227" s="17" t="s">
        <v>214</v>
      </c>
      <c r="FJ227" s="18">
        <v>45723.294027777774</v>
      </c>
      <c r="FK227" s="14" t="s">
        <v>7454</v>
      </c>
      <c r="FL227" s="14" t="s">
        <v>7455</v>
      </c>
      <c r="FM227" s="14" t="s">
        <v>7456</v>
      </c>
      <c r="FN227" s="14" t="s">
        <v>7457</v>
      </c>
      <c r="FO227" s="14" t="s">
        <v>7458</v>
      </c>
      <c r="FP227" s="19" t="str">
        <f t="shared" si="1"/>
        <v>Base de Dados_Images/BD9504.Imagem do Equipamento-.164139.jpg</v>
      </c>
      <c r="FQ227" s="19"/>
      <c r="FR227" s="19"/>
    </row>
    <row r="228" ht="15.75" customHeight="1">
      <c r="A228" s="12" t="s">
        <v>7459</v>
      </c>
      <c r="B228" s="12" t="s">
        <v>7460</v>
      </c>
      <c r="C228" s="24" t="s">
        <v>7461</v>
      </c>
      <c r="D228" s="12" t="s">
        <v>7462</v>
      </c>
      <c r="E228" s="12" t="s">
        <v>7463</v>
      </c>
      <c r="F228" s="13" t="s">
        <v>178</v>
      </c>
      <c r="G228" s="14" t="s">
        <v>179</v>
      </c>
      <c r="H228" s="14" t="s">
        <v>7464</v>
      </c>
      <c r="I228" s="14" t="s">
        <v>179</v>
      </c>
      <c r="J228" s="14" t="s">
        <v>7465</v>
      </c>
      <c r="K228" s="14" t="s">
        <v>179</v>
      </c>
      <c r="L228" s="14" t="s">
        <v>7466</v>
      </c>
      <c r="M228" s="14" t="s">
        <v>179</v>
      </c>
      <c r="N228" s="14" t="s">
        <v>7467</v>
      </c>
      <c r="O228" s="14" t="s">
        <v>179</v>
      </c>
      <c r="P228" s="14" t="s">
        <v>7468</v>
      </c>
      <c r="Q228" s="14" t="s">
        <v>179</v>
      </c>
      <c r="R228" s="14" t="s">
        <v>7469</v>
      </c>
      <c r="S228" s="14" t="s">
        <v>179</v>
      </c>
      <c r="T228" s="14" t="s">
        <v>7470</v>
      </c>
      <c r="U228" s="14" t="s">
        <v>179</v>
      </c>
      <c r="V228" s="14" t="s">
        <v>7471</v>
      </c>
      <c r="W228" s="14" t="s">
        <v>179</v>
      </c>
      <c r="X228" s="14" t="s">
        <v>7472</v>
      </c>
      <c r="Y228" s="14" t="s">
        <v>179</v>
      </c>
      <c r="Z228" s="14" t="s">
        <v>7473</v>
      </c>
      <c r="AA228" s="14" t="s">
        <v>179</v>
      </c>
      <c r="AB228" s="14" t="s">
        <v>7474</v>
      </c>
      <c r="AC228" s="14" t="s">
        <v>179</v>
      </c>
      <c r="AD228" s="14" t="s">
        <v>7475</v>
      </c>
      <c r="AE228" s="14" t="s">
        <v>179</v>
      </c>
      <c r="AF228" s="14" t="s">
        <v>7476</v>
      </c>
      <c r="AG228" s="14" t="s">
        <v>179</v>
      </c>
      <c r="AH228" s="14" t="s">
        <v>7477</v>
      </c>
      <c r="AI228" s="14" t="s">
        <v>179</v>
      </c>
      <c r="AJ228" s="14" t="s">
        <v>7478</v>
      </c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6" t="s">
        <v>197</v>
      </c>
      <c r="BP228" s="17" t="s">
        <v>198</v>
      </c>
      <c r="BQ228" s="18">
        <v>45699.36368055556</v>
      </c>
      <c r="BR228" s="17" t="s">
        <v>198</v>
      </c>
      <c r="BS228" s="18">
        <v>45699.36378472222</v>
      </c>
      <c r="BT228" s="17" t="s">
        <v>198</v>
      </c>
      <c r="BU228" s="18">
        <v>45699.36378472222</v>
      </c>
      <c r="BV228" s="13" t="s">
        <v>199</v>
      </c>
      <c r="BW228" s="14" t="s">
        <v>179</v>
      </c>
      <c r="BX228" s="14" t="s">
        <v>7479</v>
      </c>
      <c r="BY228" s="14" t="s">
        <v>179</v>
      </c>
      <c r="BZ228" s="14" t="s">
        <v>7480</v>
      </c>
      <c r="CA228" s="14" t="s">
        <v>179</v>
      </c>
      <c r="CB228" s="14" t="s">
        <v>7481</v>
      </c>
      <c r="CC228" s="14" t="s">
        <v>179</v>
      </c>
      <c r="CD228" s="14" t="s">
        <v>7482</v>
      </c>
      <c r="CE228" s="14" t="s">
        <v>179</v>
      </c>
      <c r="CF228" s="14" t="s">
        <v>7483</v>
      </c>
      <c r="CG228" s="14" t="s">
        <v>188</v>
      </c>
      <c r="CH228" s="14" t="s">
        <v>7484</v>
      </c>
      <c r="CI228" s="14" t="s">
        <v>179</v>
      </c>
      <c r="CJ228" s="14" t="s">
        <v>7485</v>
      </c>
      <c r="CK228" s="19"/>
      <c r="CL228" s="15"/>
      <c r="CM228" s="19"/>
      <c r="CN228" s="15"/>
      <c r="CO228" s="19"/>
      <c r="CP228" s="15"/>
      <c r="CQ228" s="15"/>
      <c r="CR228" s="15"/>
      <c r="CS228" s="19"/>
      <c r="CT228" s="15"/>
      <c r="CU228" s="19"/>
      <c r="CV228" s="15"/>
      <c r="CW228" s="19"/>
      <c r="CX228" s="15"/>
      <c r="CY228" s="19"/>
      <c r="CZ228" s="15"/>
      <c r="DA228" s="16" t="s">
        <v>197</v>
      </c>
      <c r="DB228" s="17" t="s">
        <v>198</v>
      </c>
      <c r="DC228" s="20">
        <v>45713.45667824074</v>
      </c>
      <c r="DD228" s="17" t="s">
        <v>198</v>
      </c>
      <c r="DE228" s="18">
        <v>45713.460694444446</v>
      </c>
      <c r="DF228" s="17" t="s">
        <v>198</v>
      </c>
      <c r="DG228" s="18">
        <v>45713.460694444446</v>
      </c>
      <c r="DH228" s="13" t="s">
        <v>205</v>
      </c>
      <c r="DI228" s="14" t="s">
        <v>179</v>
      </c>
      <c r="DJ228" s="14" t="s">
        <v>7486</v>
      </c>
      <c r="DK228" s="14" t="s">
        <v>179</v>
      </c>
      <c r="DL228" s="14" t="s">
        <v>7487</v>
      </c>
      <c r="DM228" s="14" t="s">
        <v>179</v>
      </c>
      <c r="DN228" s="14" t="s">
        <v>7488</v>
      </c>
      <c r="DO228" s="14" t="s">
        <v>179</v>
      </c>
      <c r="DP228" s="14" t="s">
        <v>7489</v>
      </c>
      <c r="DQ228" s="15"/>
      <c r="DR228" s="15"/>
      <c r="DS228" s="15"/>
      <c r="DT228" s="15"/>
      <c r="DU228" s="15"/>
      <c r="DV228" s="15"/>
      <c r="DW228" s="15"/>
      <c r="DX228" s="15"/>
      <c r="DY228" s="15"/>
      <c r="DZ228" s="15"/>
      <c r="EA228" s="15"/>
      <c r="EB228" s="15"/>
      <c r="EC228" s="16" t="s">
        <v>197</v>
      </c>
      <c r="ED228" s="17" t="s">
        <v>198</v>
      </c>
      <c r="EE228" s="18">
        <v>45714.29644675926</v>
      </c>
      <c r="EF228" s="13" t="s">
        <v>209</v>
      </c>
      <c r="EG228" s="14" t="s">
        <v>179</v>
      </c>
      <c r="EH228" s="14" t="s">
        <v>7490</v>
      </c>
      <c r="EI228" s="14" t="s">
        <v>179</v>
      </c>
      <c r="EJ228" s="14" t="s">
        <v>7491</v>
      </c>
      <c r="EK228" s="14" t="s">
        <v>179</v>
      </c>
      <c r="EL228" s="14" t="s">
        <v>7492</v>
      </c>
      <c r="EM228" s="14" t="s">
        <v>179</v>
      </c>
      <c r="EN228" s="14" t="s">
        <v>7493</v>
      </c>
      <c r="EO228" s="14" t="s">
        <v>179</v>
      </c>
      <c r="EP228" s="14" t="s">
        <v>7494</v>
      </c>
      <c r="EQ228" s="14" t="s">
        <v>179</v>
      </c>
      <c r="ER228" s="14" t="s">
        <v>7495</v>
      </c>
      <c r="ES228" s="14" t="s">
        <v>179</v>
      </c>
      <c r="ET228" s="14" t="s">
        <v>7496</v>
      </c>
      <c r="EU228" s="15"/>
      <c r="EV228" s="15"/>
      <c r="EW228" s="15"/>
      <c r="EX228" s="15"/>
      <c r="EY228" s="15"/>
      <c r="EZ228" s="15"/>
      <c r="FA228" s="15"/>
      <c r="FB228" s="15"/>
      <c r="FC228" s="16" t="s">
        <v>197</v>
      </c>
      <c r="FD228" s="17" t="s">
        <v>198</v>
      </c>
      <c r="FE228" s="18">
        <v>45723.54917824074</v>
      </c>
      <c r="FF228" s="19"/>
      <c r="FG228" s="19"/>
      <c r="FH228" s="21" t="s">
        <v>197</v>
      </c>
      <c r="FI228" s="17" t="s">
        <v>214</v>
      </c>
      <c r="FJ228" s="18">
        <v>45723.54917824074</v>
      </c>
      <c r="FK228" s="14" t="s">
        <v>7496</v>
      </c>
      <c r="FL228" s="14" t="s">
        <v>7497</v>
      </c>
      <c r="FM228" s="14" t="s">
        <v>7498</v>
      </c>
      <c r="FN228" s="19"/>
      <c r="FO228" s="19"/>
      <c r="FP228" s="19" t="str">
        <f t="shared" si="1"/>
        <v>Base de Dados_Images/BETONEIRA_PCTS.Imagem do Equipamento-.141229.jpg</v>
      </c>
      <c r="FQ228" s="14"/>
      <c r="FR228" s="14"/>
    </row>
    <row r="229" ht="15.75" customHeight="1">
      <c r="A229" s="12" t="s">
        <v>292</v>
      </c>
      <c r="B229" s="12" t="s">
        <v>1777</v>
      </c>
      <c r="C229" s="24" t="s">
        <v>512</v>
      </c>
      <c r="D229" s="22" t="s">
        <v>7499</v>
      </c>
      <c r="E229" s="22" t="s">
        <v>7500</v>
      </c>
      <c r="F229" s="13" t="s">
        <v>178</v>
      </c>
      <c r="G229" s="14" t="s">
        <v>179</v>
      </c>
      <c r="H229" s="14" t="s">
        <v>7501</v>
      </c>
      <c r="I229" s="14" t="s">
        <v>179</v>
      </c>
      <c r="J229" s="14" t="s">
        <v>7502</v>
      </c>
      <c r="K229" s="14" t="s">
        <v>179</v>
      </c>
      <c r="L229" s="14" t="s">
        <v>7503</v>
      </c>
      <c r="M229" s="14" t="s">
        <v>179</v>
      </c>
      <c r="N229" s="14" t="s">
        <v>7504</v>
      </c>
      <c r="O229" s="14" t="s">
        <v>179</v>
      </c>
      <c r="P229" s="14" t="s">
        <v>7505</v>
      </c>
      <c r="Q229" s="14" t="s">
        <v>179</v>
      </c>
      <c r="R229" s="14" t="s">
        <v>7506</v>
      </c>
      <c r="S229" s="14" t="s">
        <v>179</v>
      </c>
      <c r="T229" s="14" t="s">
        <v>7507</v>
      </c>
      <c r="U229" s="14" t="s">
        <v>179</v>
      </c>
      <c r="V229" s="14" t="s">
        <v>7508</v>
      </c>
      <c r="W229" s="14" t="s">
        <v>179</v>
      </c>
      <c r="X229" s="14" t="s">
        <v>7509</v>
      </c>
      <c r="Y229" s="14" t="s">
        <v>179</v>
      </c>
      <c r="Z229" s="14" t="s">
        <v>7510</v>
      </c>
      <c r="AA229" s="14" t="s">
        <v>179</v>
      </c>
      <c r="AB229" s="14" t="s">
        <v>7511</v>
      </c>
      <c r="AC229" s="14" t="s">
        <v>179</v>
      </c>
      <c r="AD229" s="14" t="s">
        <v>7512</v>
      </c>
      <c r="AE229" s="14" t="s">
        <v>179</v>
      </c>
      <c r="AF229" s="14" t="s">
        <v>7513</v>
      </c>
      <c r="AG229" s="14" t="s">
        <v>179</v>
      </c>
      <c r="AH229" s="14" t="s">
        <v>7514</v>
      </c>
      <c r="AI229" s="14" t="s">
        <v>179</v>
      </c>
      <c r="AJ229" s="14" t="s">
        <v>7515</v>
      </c>
      <c r="AK229" s="14" t="s">
        <v>179</v>
      </c>
      <c r="AL229" s="14" t="s">
        <v>7516</v>
      </c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6" t="s">
        <v>197</v>
      </c>
      <c r="BP229" s="17" t="s">
        <v>198</v>
      </c>
      <c r="BQ229" s="18">
        <v>45685.40896990741</v>
      </c>
      <c r="BR229" s="17" t="s">
        <v>198</v>
      </c>
      <c r="BS229" s="18">
        <v>45685.40913194444</v>
      </c>
      <c r="BT229" s="17" t="s">
        <v>198</v>
      </c>
      <c r="BU229" s="18">
        <v>45685.40913194444</v>
      </c>
      <c r="BV229" s="13" t="s">
        <v>199</v>
      </c>
      <c r="BW229" s="14" t="s">
        <v>179</v>
      </c>
      <c r="BX229" s="14" t="s">
        <v>7517</v>
      </c>
      <c r="BY229" s="14" t="s">
        <v>179</v>
      </c>
      <c r="BZ229" s="14" t="s">
        <v>7517</v>
      </c>
      <c r="CA229" s="14" t="s">
        <v>179</v>
      </c>
      <c r="CB229" s="14" t="s">
        <v>7518</v>
      </c>
      <c r="CC229" s="14" t="s">
        <v>179</v>
      </c>
      <c r="CD229" s="14" t="s">
        <v>7519</v>
      </c>
      <c r="CE229" s="14" t="s">
        <v>179</v>
      </c>
      <c r="CF229" s="14" t="s">
        <v>7520</v>
      </c>
      <c r="CG229" s="14" t="s">
        <v>179</v>
      </c>
      <c r="CH229" s="14" t="s">
        <v>7521</v>
      </c>
      <c r="CI229" s="19"/>
      <c r="CJ229" s="15"/>
      <c r="CK229" s="19"/>
      <c r="CL229" s="15"/>
      <c r="CM229" s="19"/>
      <c r="CN229" s="15"/>
      <c r="CO229" s="19"/>
      <c r="CP229" s="15"/>
      <c r="CQ229" s="15"/>
      <c r="CR229" s="15"/>
      <c r="CS229" s="19"/>
      <c r="CT229" s="15"/>
      <c r="CU229" s="19"/>
      <c r="CV229" s="15"/>
      <c r="CW229" s="19"/>
      <c r="CX229" s="15"/>
      <c r="CY229" s="19"/>
      <c r="CZ229" s="15"/>
      <c r="DA229" s="16" t="s">
        <v>197</v>
      </c>
      <c r="DB229" s="17" t="s">
        <v>198</v>
      </c>
      <c r="DC229" s="20">
        <v>45719.588483796295</v>
      </c>
      <c r="DD229" s="17" t="s">
        <v>198</v>
      </c>
      <c r="DE229" s="18">
        <v>45719.58851851852</v>
      </c>
      <c r="DF229" s="17" t="s">
        <v>198</v>
      </c>
      <c r="DG229" s="18">
        <v>45719.58851851852</v>
      </c>
      <c r="DH229" s="13" t="s">
        <v>205</v>
      </c>
      <c r="DI229" s="14" t="s">
        <v>179</v>
      </c>
      <c r="DJ229" s="14" t="s">
        <v>7522</v>
      </c>
      <c r="DK229" s="14" t="s">
        <v>179</v>
      </c>
      <c r="DL229" s="14" t="s">
        <v>7522</v>
      </c>
      <c r="DM229" s="14" t="s">
        <v>179</v>
      </c>
      <c r="DN229" s="14" t="s">
        <v>7523</v>
      </c>
      <c r="DO229" s="14" t="s">
        <v>179</v>
      </c>
      <c r="DP229" s="14" t="s">
        <v>7524</v>
      </c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6" t="s">
        <v>197</v>
      </c>
      <c r="ED229" s="17" t="s">
        <v>198</v>
      </c>
      <c r="EE229" s="18">
        <v>45719.67652777778</v>
      </c>
      <c r="EF229" s="13" t="s">
        <v>209</v>
      </c>
      <c r="EG229" s="14" t="s">
        <v>179</v>
      </c>
      <c r="EH229" s="14" t="s">
        <v>7525</v>
      </c>
      <c r="EI229" s="14" t="s">
        <v>179</v>
      </c>
      <c r="EJ229" s="14" t="s">
        <v>7525</v>
      </c>
      <c r="EK229" s="14" t="s">
        <v>179</v>
      </c>
      <c r="EL229" s="14" t="s">
        <v>7526</v>
      </c>
      <c r="EM229" s="14" t="s">
        <v>179</v>
      </c>
      <c r="EN229" s="14" t="s">
        <v>7527</v>
      </c>
      <c r="EO229" s="15"/>
      <c r="EP229" s="15"/>
      <c r="EQ229" s="15"/>
      <c r="ER229" s="15"/>
      <c r="ES229" s="15"/>
      <c r="ET229" s="15"/>
      <c r="EU229" s="15"/>
      <c r="EV229" s="15"/>
      <c r="EW229" s="15"/>
      <c r="EX229" s="15"/>
      <c r="EY229" s="15"/>
      <c r="EZ229" s="15"/>
      <c r="FA229" s="15"/>
      <c r="FB229" s="15"/>
      <c r="FC229" s="16" t="s">
        <v>197</v>
      </c>
      <c r="FD229" s="17" t="s">
        <v>198</v>
      </c>
      <c r="FE229" s="18">
        <v>45723.307337962964</v>
      </c>
      <c r="FF229" s="19"/>
      <c r="FG229" s="19"/>
      <c r="FH229" s="21" t="s">
        <v>197</v>
      </c>
      <c r="FI229" s="17" t="s">
        <v>214</v>
      </c>
      <c r="FJ229" s="18">
        <v>45723.307337962964</v>
      </c>
      <c r="FK229" s="14" t="s">
        <v>7527</v>
      </c>
      <c r="FL229" s="14" t="s">
        <v>7528</v>
      </c>
      <c r="FM229" s="14" t="s">
        <v>7529</v>
      </c>
      <c r="FN229" s="14" t="s">
        <v>7530</v>
      </c>
      <c r="FO229" s="14" t="s">
        <v>7531</v>
      </c>
      <c r="FP229" s="19" t="str">
        <f t="shared" si="1"/>
        <v>Base de Dados_Images/BV3001.Imagem do Equipamento-.163633.jpg</v>
      </c>
      <c r="FQ229" s="19"/>
      <c r="FR229" s="19"/>
    </row>
    <row r="230" ht="15.75" customHeight="1">
      <c r="A230" s="12" t="s">
        <v>217</v>
      </c>
      <c r="B230" s="12" t="s">
        <v>7532</v>
      </c>
      <c r="C230" s="24" t="s">
        <v>512</v>
      </c>
      <c r="D230" s="22" t="s">
        <v>7533</v>
      </c>
      <c r="E230" s="22" t="s">
        <v>7534</v>
      </c>
      <c r="F230" s="13" t="s">
        <v>178</v>
      </c>
      <c r="G230" s="14" t="s">
        <v>179</v>
      </c>
      <c r="H230" s="14" t="s">
        <v>7535</v>
      </c>
      <c r="I230" s="14" t="s">
        <v>179</v>
      </c>
      <c r="J230" s="14" t="s">
        <v>7536</v>
      </c>
      <c r="K230" s="14" t="s">
        <v>179</v>
      </c>
      <c r="L230" s="14" t="s">
        <v>7537</v>
      </c>
      <c r="M230" s="14" t="s">
        <v>179</v>
      </c>
      <c r="N230" s="14" t="s">
        <v>7538</v>
      </c>
      <c r="O230" s="14" t="s">
        <v>179</v>
      </c>
      <c r="P230" s="14" t="s">
        <v>7539</v>
      </c>
      <c r="Q230" s="14" t="s">
        <v>179</v>
      </c>
      <c r="R230" s="14" t="s">
        <v>7540</v>
      </c>
      <c r="S230" s="14" t="s">
        <v>179</v>
      </c>
      <c r="T230" s="14" t="s">
        <v>7541</v>
      </c>
      <c r="U230" s="14" t="s">
        <v>179</v>
      </c>
      <c r="V230" s="14" t="s">
        <v>7542</v>
      </c>
      <c r="W230" s="14" t="s">
        <v>179</v>
      </c>
      <c r="X230" s="14" t="s">
        <v>7543</v>
      </c>
      <c r="Y230" s="14" t="s">
        <v>188</v>
      </c>
      <c r="Z230" s="14" t="s">
        <v>7544</v>
      </c>
      <c r="AA230" s="14" t="s">
        <v>179</v>
      </c>
      <c r="AB230" s="14" t="s">
        <v>7545</v>
      </c>
      <c r="AC230" s="14" t="s">
        <v>179</v>
      </c>
      <c r="AD230" s="14" t="s">
        <v>7546</v>
      </c>
      <c r="AE230" s="14" t="s">
        <v>179</v>
      </c>
      <c r="AF230" s="14" t="s">
        <v>7547</v>
      </c>
      <c r="AG230" s="14" t="s">
        <v>179</v>
      </c>
      <c r="AH230" s="14" t="s">
        <v>7548</v>
      </c>
      <c r="AI230" s="14" t="s">
        <v>179</v>
      </c>
      <c r="AJ230" s="14" t="s">
        <v>7549</v>
      </c>
      <c r="AK230" s="14" t="s">
        <v>179</v>
      </c>
      <c r="AL230" s="14" t="s">
        <v>7550</v>
      </c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6" t="s">
        <v>197</v>
      </c>
      <c r="BP230" s="17" t="s">
        <v>198</v>
      </c>
      <c r="BQ230" s="18">
        <v>45685.371782407405</v>
      </c>
      <c r="BR230" s="17" t="s">
        <v>198</v>
      </c>
      <c r="BS230" s="18">
        <v>45685.37199074074</v>
      </c>
      <c r="BT230" s="17" t="s">
        <v>198</v>
      </c>
      <c r="BU230" s="18">
        <v>45685.37199074074</v>
      </c>
      <c r="BV230" s="13" t="s">
        <v>199</v>
      </c>
      <c r="BW230" s="14" t="s">
        <v>179</v>
      </c>
      <c r="BX230" s="14" t="s">
        <v>7551</v>
      </c>
      <c r="BY230" s="14" t="s">
        <v>179</v>
      </c>
      <c r="BZ230" s="14" t="s">
        <v>7552</v>
      </c>
      <c r="CA230" s="14" t="s">
        <v>179</v>
      </c>
      <c r="CB230" s="14" t="s">
        <v>7553</v>
      </c>
      <c r="CC230" s="14" t="s">
        <v>179</v>
      </c>
      <c r="CD230" s="14" t="s">
        <v>7554</v>
      </c>
      <c r="CE230" s="14" t="s">
        <v>179</v>
      </c>
      <c r="CF230" s="14" t="s">
        <v>7555</v>
      </c>
      <c r="CG230" s="14" t="s">
        <v>179</v>
      </c>
      <c r="CH230" s="14" t="s">
        <v>7556</v>
      </c>
      <c r="CI230" s="19"/>
      <c r="CJ230" s="15"/>
      <c r="CK230" s="19"/>
      <c r="CL230" s="15"/>
      <c r="CM230" s="19"/>
      <c r="CN230" s="15"/>
      <c r="CO230" s="19"/>
      <c r="CP230" s="15"/>
      <c r="CQ230" s="15"/>
      <c r="CR230" s="15"/>
      <c r="CS230" s="19"/>
      <c r="CT230" s="15"/>
      <c r="CU230" s="19"/>
      <c r="CV230" s="15"/>
      <c r="CW230" s="19"/>
      <c r="CX230" s="15"/>
      <c r="CY230" s="19"/>
      <c r="CZ230" s="15"/>
      <c r="DA230" s="16" t="s">
        <v>197</v>
      </c>
      <c r="DB230" s="17" t="s">
        <v>198</v>
      </c>
      <c r="DC230" s="20">
        <v>45686.608194444445</v>
      </c>
      <c r="DD230" s="17" t="s">
        <v>198</v>
      </c>
      <c r="DE230" s="18">
        <v>45686.60828703704</v>
      </c>
      <c r="DF230" s="17" t="s">
        <v>198</v>
      </c>
      <c r="DG230" s="18">
        <v>45686.60828703704</v>
      </c>
      <c r="DH230" s="13" t="s">
        <v>205</v>
      </c>
      <c r="DI230" s="14" t="s">
        <v>179</v>
      </c>
      <c r="DJ230" s="14" t="s">
        <v>7557</v>
      </c>
      <c r="DK230" s="14" t="s">
        <v>179</v>
      </c>
      <c r="DL230" s="14" t="s">
        <v>7558</v>
      </c>
      <c r="DM230" s="14" t="s">
        <v>179</v>
      </c>
      <c r="DN230" s="14" t="s">
        <v>7559</v>
      </c>
      <c r="DO230" s="14" t="s">
        <v>179</v>
      </c>
      <c r="DP230" s="14" t="s">
        <v>7560</v>
      </c>
      <c r="DQ230" s="15"/>
      <c r="DR230" s="15"/>
      <c r="DS230" s="15"/>
      <c r="DT230" s="15"/>
      <c r="DU230" s="15"/>
      <c r="DV230" s="15"/>
      <c r="DW230" s="15"/>
      <c r="DX230" s="15"/>
      <c r="DY230" s="15"/>
      <c r="DZ230" s="15"/>
      <c r="EA230" s="15"/>
      <c r="EB230" s="15"/>
      <c r="EC230" s="16" t="s">
        <v>197</v>
      </c>
      <c r="ED230" s="17" t="s">
        <v>198</v>
      </c>
      <c r="EE230" s="18">
        <v>45715.534479166665</v>
      </c>
      <c r="EF230" s="13" t="s">
        <v>209</v>
      </c>
      <c r="EG230" s="14" t="s">
        <v>179</v>
      </c>
      <c r="EH230" s="14" t="s">
        <v>7561</v>
      </c>
      <c r="EI230" s="14" t="s">
        <v>179</v>
      </c>
      <c r="EJ230" s="14" t="s">
        <v>7562</v>
      </c>
      <c r="EK230" s="14" t="s">
        <v>179</v>
      </c>
      <c r="EL230" s="14" t="s">
        <v>7563</v>
      </c>
      <c r="EM230" s="14" t="s">
        <v>179</v>
      </c>
      <c r="EN230" s="14" t="s">
        <v>7564</v>
      </c>
      <c r="EO230" s="15"/>
      <c r="EP230" s="15"/>
      <c r="EQ230" s="15"/>
      <c r="ER230" s="15"/>
      <c r="ES230" s="15"/>
      <c r="ET230" s="15"/>
      <c r="EU230" s="15"/>
      <c r="EV230" s="15"/>
      <c r="EW230" s="15"/>
      <c r="EX230" s="15"/>
      <c r="EY230" s="15"/>
      <c r="EZ230" s="15"/>
      <c r="FA230" s="15"/>
      <c r="FB230" s="15"/>
      <c r="FC230" s="16" t="s">
        <v>197</v>
      </c>
      <c r="FD230" s="17" t="s">
        <v>198</v>
      </c>
      <c r="FE230" s="18">
        <v>45723.32949074074</v>
      </c>
      <c r="FF230" s="19"/>
      <c r="FG230" s="19"/>
      <c r="FH230" s="21" t="s">
        <v>197</v>
      </c>
      <c r="FI230" s="17" t="s">
        <v>214</v>
      </c>
      <c r="FJ230" s="18">
        <v>45723.32949074074</v>
      </c>
      <c r="FK230" s="14" t="s">
        <v>7564</v>
      </c>
      <c r="FL230" s="19"/>
      <c r="FM230" s="19"/>
      <c r="FN230" s="19"/>
      <c r="FO230" s="19"/>
      <c r="FP230" s="19" t="str">
        <f t="shared" si="1"/>
        <v/>
      </c>
      <c r="FQ230" s="14" t="s">
        <v>215</v>
      </c>
      <c r="FR230" s="14" t="s">
        <v>7565</v>
      </c>
    </row>
    <row r="231" ht="15.75" customHeight="1">
      <c r="A231" s="12" t="s">
        <v>217</v>
      </c>
      <c r="B231" s="12" t="s">
        <v>7566</v>
      </c>
      <c r="C231" s="24" t="s">
        <v>512</v>
      </c>
      <c r="D231" s="22" t="s">
        <v>7567</v>
      </c>
      <c r="E231" s="22" t="s">
        <v>7568</v>
      </c>
      <c r="F231" s="13" t="s">
        <v>178</v>
      </c>
      <c r="G231" s="14" t="s">
        <v>179</v>
      </c>
      <c r="H231" s="14" t="s">
        <v>7569</v>
      </c>
      <c r="I231" s="14" t="s">
        <v>179</v>
      </c>
      <c r="J231" s="14" t="s">
        <v>7570</v>
      </c>
      <c r="K231" s="14" t="s">
        <v>179</v>
      </c>
      <c r="L231" s="14" t="s">
        <v>7571</v>
      </c>
      <c r="M231" s="14" t="s">
        <v>179</v>
      </c>
      <c r="N231" s="14" t="s">
        <v>7572</v>
      </c>
      <c r="O231" s="14" t="s">
        <v>179</v>
      </c>
      <c r="P231" s="14" t="s">
        <v>7573</v>
      </c>
      <c r="Q231" s="14" t="s">
        <v>179</v>
      </c>
      <c r="R231" s="14" t="s">
        <v>7573</v>
      </c>
      <c r="S231" s="14" t="s">
        <v>179</v>
      </c>
      <c r="T231" s="14" t="s">
        <v>7574</v>
      </c>
      <c r="U231" s="14" t="s">
        <v>179</v>
      </c>
      <c r="V231" s="14" t="s">
        <v>7574</v>
      </c>
      <c r="W231" s="14" t="s">
        <v>179</v>
      </c>
      <c r="X231" s="14" t="s">
        <v>7575</v>
      </c>
      <c r="Y231" s="14" t="s">
        <v>179</v>
      </c>
      <c r="Z231" s="14" t="s">
        <v>7576</v>
      </c>
      <c r="AA231" s="14" t="s">
        <v>179</v>
      </c>
      <c r="AB231" s="14" t="s">
        <v>7577</v>
      </c>
      <c r="AC231" s="14" t="s">
        <v>179</v>
      </c>
      <c r="AD231" s="14" t="s">
        <v>7578</v>
      </c>
      <c r="AE231" s="14" t="s">
        <v>179</v>
      </c>
      <c r="AF231" s="14" t="s">
        <v>7579</v>
      </c>
      <c r="AG231" s="14" t="s">
        <v>188</v>
      </c>
      <c r="AH231" s="14" t="s">
        <v>7580</v>
      </c>
      <c r="AI231" s="14" t="s">
        <v>179</v>
      </c>
      <c r="AJ231" s="14" t="s">
        <v>7581</v>
      </c>
      <c r="AK231" s="14" t="s">
        <v>179</v>
      </c>
      <c r="AL231" s="14" t="s">
        <v>7582</v>
      </c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6" t="s">
        <v>197</v>
      </c>
      <c r="BP231" s="17" t="s">
        <v>198</v>
      </c>
      <c r="BQ231" s="18">
        <v>45686.365902777776</v>
      </c>
      <c r="BR231" s="17" t="s">
        <v>198</v>
      </c>
      <c r="BS231" s="18">
        <v>45686.36605324074</v>
      </c>
      <c r="BT231" s="17" t="s">
        <v>198</v>
      </c>
      <c r="BU231" s="18">
        <v>45686.36605324074</v>
      </c>
      <c r="BV231" s="13" t="s">
        <v>199</v>
      </c>
      <c r="BW231" s="14" t="s">
        <v>179</v>
      </c>
      <c r="BX231" s="14" t="s">
        <v>7583</v>
      </c>
      <c r="BY231" s="14" t="s">
        <v>179</v>
      </c>
      <c r="BZ231" s="14" t="s">
        <v>7584</v>
      </c>
      <c r="CA231" s="14" t="s">
        <v>179</v>
      </c>
      <c r="CB231" s="14" t="s">
        <v>7585</v>
      </c>
      <c r="CC231" s="14" t="s">
        <v>179</v>
      </c>
      <c r="CD231" s="14" t="s">
        <v>7586</v>
      </c>
      <c r="CE231" s="14" t="s">
        <v>179</v>
      </c>
      <c r="CF231" s="14" t="s">
        <v>7587</v>
      </c>
      <c r="CG231" s="14" t="s">
        <v>179</v>
      </c>
      <c r="CH231" s="14" t="s">
        <v>7588</v>
      </c>
      <c r="CI231" s="19"/>
      <c r="CJ231" s="15"/>
      <c r="CK231" s="19"/>
      <c r="CL231" s="15"/>
      <c r="CM231" s="19"/>
      <c r="CN231" s="15"/>
      <c r="CO231" s="19"/>
      <c r="CP231" s="15"/>
      <c r="CQ231" s="15"/>
      <c r="CR231" s="15"/>
      <c r="CS231" s="19"/>
      <c r="CT231" s="15"/>
      <c r="CU231" s="19"/>
      <c r="CV231" s="15"/>
      <c r="CW231" s="19"/>
      <c r="CX231" s="15"/>
      <c r="CY231" s="19"/>
      <c r="CZ231" s="15"/>
      <c r="DA231" s="16" t="s">
        <v>197</v>
      </c>
      <c r="DB231" s="17" t="s">
        <v>198</v>
      </c>
      <c r="DC231" s="20">
        <v>45686.3662962963</v>
      </c>
      <c r="DD231" s="17" t="s">
        <v>198</v>
      </c>
      <c r="DE231" s="18">
        <v>45686.36638888889</v>
      </c>
      <c r="DF231" s="17" t="s">
        <v>198</v>
      </c>
      <c r="DG231" s="18">
        <v>45686.36638888889</v>
      </c>
      <c r="DH231" s="13" t="s">
        <v>205</v>
      </c>
      <c r="DI231" s="14" t="s">
        <v>179</v>
      </c>
      <c r="DJ231" s="14" t="s">
        <v>7589</v>
      </c>
      <c r="DK231" s="14" t="s">
        <v>179</v>
      </c>
      <c r="DL231" s="14" t="s">
        <v>7589</v>
      </c>
      <c r="DM231" s="14" t="s">
        <v>179</v>
      </c>
      <c r="DN231" s="14" t="s">
        <v>7590</v>
      </c>
      <c r="DO231" s="14" t="s">
        <v>179</v>
      </c>
      <c r="DP231" s="14" t="s">
        <v>7590</v>
      </c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6" t="s">
        <v>197</v>
      </c>
      <c r="ED231" s="17" t="s">
        <v>198</v>
      </c>
      <c r="EE231" s="18">
        <v>45722.37395833333</v>
      </c>
      <c r="EF231" s="13" t="s">
        <v>209</v>
      </c>
      <c r="EG231" s="14" t="s">
        <v>179</v>
      </c>
      <c r="EH231" s="14" t="s">
        <v>7591</v>
      </c>
      <c r="EI231" s="14" t="s">
        <v>179</v>
      </c>
      <c r="EJ231" s="14" t="s">
        <v>7591</v>
      </c>
      <c r="EK231" s="14" t="s">
        <v>179</v>
      </c>
      <c r="EL231" s="14" t="s">
        <v>7592</v>
      </c>
      <c r="EM231" s="14" t="s">
        <v>179</v>
      </c>
      <c r="EN231" s="14" t="s">
        <v>7593</v>
      </c>
      <c r="EO231" s="15"/>
      <c r="EP231" s="15"/>
      <c r="EQ231" s="15"/>
      <c r="ER231" s="15"/>
      <c r="ES231" s="15"/>
      <c r="ET231" s="15"/>
      <c r="EU231" s="15"/>
      <c r="EV231" s="15"/>
      <c r="EW231" s="15"/>
      <c r="EX231" s="15"/>
      <c r="EY231" s="15"/>
      <c r="EZ231" s="15"/>
      <c r="FA231" s="15"/>
      <c r="FB231" s="15"/>
      <c r="FC231" s="16" t="s">
        <v>197</v>
      </c>
      <c r="FD231" s="17" t="s">
        <v>198</v>
      </c>
      <c r="FE231" s="18">
        <v>45723.342361111114</v>
      </c>
      <c r="FF231" s="19"/>
      <c r="FG231" s="19"/>
      <c r="FH231" s="21" t="s">
        <v>197</v>
      </c>
      <c r="FI231" s="17" t="s">
        <v>214</v>
      </c>
      <c r="FJ231" s="18">
        <v>45723.342361111114</v>
      </c>
      <c r="FK231" s="14" t="s">
        <v>7593</v>
      </c>
      <c r="FL231" s="14" t="s">
        <v>7594</v>
      </c>
      <c r="FM231" s="14" t="s">
        <v>7595</v>
      </c>
      <c r="FN231" s="19"/>
      <c r="FO231" s="19"/>
      <c r="FP231" s="19" t="str">
        <f t="shared" si="1"/>
        <v>Base de Dados_Images/BV4002.Imagem do Equipamento-.140317.jpg</v>
      </c>
      <c r="FQ231" s="19"/>
      <c r="FR231" s="19"/>
    </row>
    <row r="232" ht="15.75" customHeight="1">
      <c r="A232" s="12" t="s">
        <v>217</v>
      </c>
      <c r="B232" s="12" t="s">
        <v>7566</v>
      </c>
      <c r="C232" s="24" t="s">
        <v>512</v>
      </c>
      <c r="D232" s="22" t="s">
        <v>7596</v>
      </c>
      <c r="E232" s="22" t="s">
        <v>7597</v>
      </c>
      <c r="F232" s="13" t="s">
        <v>178</v>
      </c>
      <c r="G232" s="14" t="s">
        <v>179</v>
      </c>
      <c r="H232" s="14" t="s">
        <v>7598</v>
      </c>
      <c r="I232" s="14" t="s">
        <v>179</v>
      </c>
      <c r="J232" s="14" t="s">
        <v>7599</v>
      </c>
      <c r="K232" s="14" t="s">
        <v>179</v>
      </c>
      <c r="L232" s="14" t="s">
        <v>7600</v>
      </c>
      <c r="M232" s="14" t="s">
        <v>179</v>
      </c>
      <c r="N232" s="14" t="s">
        <v>7601</v>
      </c>
      <c r="O232" s="14" t="s">
        <v>179</v>
      </c>
      <c r="P232" s="14" t="s">
        <v>7602</v>
      </c>
      <c r="Q232" s="14" t="s">
        <v>179</v>
      </c>
      <c r="R232" s="14" t="s">
        <v>7603</v>
      </c>
      <c r="S232" s="14" t="s">
        <v>179</v>
      </c>
      <c r="T232" s="14" t="s">
        <v>7604</v>
      </c>
      <c r="U232" s="14" t="s">
        <v>179</v>
      </c>
      <c r="V232" s="14" t="s">
        <v>7605</v>
      </c>
      <c r="W232" s="14" t="s">
        <v>179</v>
      </c>
      <c r="X232" s="14" t="s">
        <v>7606</v>
      </c>
      <c r="Y232" s="14" t="s">
        <v>188</v>
      </c>
      <c r="Z232" s="14" t="s">
        <v>7607</v>
      </c>
      <c r="AA232" s="14" t="s">
        <v>179</v>
      </c>
      <c r="AB232" s="14" t="s">
        <v>7608</v>
      </c>
      <c r="AC232" s="14" t="s">
        <v>179</v>
      </c>
      <c r="AD232" s="14" t="s">
        <v>7609</v>
      </c>
      <c r="AE232" s="14" t="s">
        <v>179</v>
      </c>
      <c r="AF232" s="14" t="s">
        <v>7610</v>
      </c>
      <c r="AG232" s="14" t="s">
        <v>179</v>
      </c>
      <c r="AH232" s="14" t="s">
        <v>7611</v>
      </c>
      <c r="AI232" s="14" t="s">
        <v>179</v>
      </c>
      <c r="AJ232" s="14" t="s">
        <v>7612</v>
      </c>
      <c r="AK232" s="14" t="s">
        <v>179</v>
      </c>
      <c r="AL232" s="14" t="s">
        <v>7613</v>
      </c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6" t="s">
        <v>197</v>
      </c>
      <c r="BP232" s="17" t="s">
        <v>198</v>
      </c>
      <c r="BQ232" s="18">
        <v>45685.37005787037</v>
      </c>
      <c r="BR232" s="17" t="s">
        <v>198</v>
      </c>
      <c r="BS232" s="18">
        <v>45685.37024305556</v>
      </c>
      <c r="BT232" s="17" t="s">
        <v>198</v>
      </c>
      <c r="BU232" s="18">
        <v>45685.37024305556</v>
      </c>
      <c r="BV232" s="13" t="s">
        <v>199</v>
      </c>
      <c r="BW232" s="14" t="s">
        <v>179</v>
      </c>
      <c r="BX232" s="14" t="s">
        <v>7614</v>
      </c>
      <c r="BY232" s="14" t="s">
        <v>179</v>
      </c>
      <c r="BZ232" s="14" t="s">
        <v>7614</v>
      </c>
      <c r="CA232" s="14" t="s">
        <v>179</v>
      </c>
      <c r="CB232" s="14" t="s">
        <v>7615</v>
      </c>
      <c r="CC232" s="14" t="s">
        <v>179</v>
      </c>
      <c r="CD232" s="14" t="s">
        <v>7616</v>
      </c>
      <c r="CE232" s="14" t="s">
        <v>179</v>
      </c>
      <c r="CF232" s="14" t="s">
        <v>7616</v>
      </c>
      <c r="CG232" s="14" t="s">
        <v>179</v>
      </c>
      <c r="CH232" s="14" t="s">
        <v>7617</v>
      </c>
      <c r="CI232" s="19"/>
      <c r="CJ232" s="15"/>
      <c r="CK232" s="19"/>
      <c r="CL232" s="15"/>
      <c r="CM232" s="19"/>
      <c r="CN232" s="15"/>
      <c r="CO232" s="19"/>
      <c r="CP232" s="15"/>
      <c r="CQ232" s="15"/>
      <c r="CR232" s="15"/>
      <c r="CS232" s="19"/>
      <c r="CT232" s="15"/>
      <c r="CU232" s="19"/>
      <c r="CV232" s="15"/>
      <c r="CW232" s="19"/>
      <c r="CX232" s="15"/>
      <c r="CY232" s="19"/>
      <c r="CZ232" s="15"/>
      <c r="DA232" s="16" t="s">
        <v>197</v>
      </c>
      <c r="DB232" s="17" t="s">
        <v>198</v>
      </c>
      <c r="DC232" s="20">
        <v>45686.374930555554</v>
      </c>
      <c r="DD232" s="17" t="s">
        <v>198</v>
      </c>
      <c r="DE232" s="18">
        <v>45686.37488425926</v>
      </c>
      <c r="DF232" s="17" t="s">
        <v>198</v>
      </c>
      <c r="DG232" s="18">
        <v>45686.374930555554</v>
      </c>
      <c r="DH232" s="13" t="s">
        <v>205</v>
      </c>
      <c r="DI232" s="14" t="s">
        <v>179</v>
      </c>
      <c r="DJ232" s="14" t="s">
        <v>7618</v>
      </c>
      <c r="DK232" s="14" t="s">
        <v>179</v>
      </c>
      <c r="DL232" s="14" t="s">
        <v>7618</v>
      </c>
      <c r="DM232" s="14" t="s">
        <v>179</v>
      </c>
      <c r="DN232" s="14" t="s">
        <v>7619</v>
      </c>
      <c r="DO232" s="14" t="s">
        <v>179</v>
      </c>
      <c r="DP232" s="14" t="s">
        <v>7619</v>
      </c>
      <c r="DQ232" s="15"/>
      <c r="DR232" s="15"/>
      <c r="DS232" s="15"/>
      <c r="DT232" s="15"/>
      <c r="DU232" s="15"/>
      <c r="DV232" s="15"/>
      <c r="DW232" s="15"/>
      <c r="DX232" s="15"/>
      <c r="DY232" s="15"/>
      <c r="DZ232" s="15"/>
      <c r="EA232" s="15"/>
      <c r="EB232" s="15"/>
      <c r="EC232" s="16" t="s">
        <v>197</v>
      </c>
      <c r="ED232" s="17" t="s">
        <v>198</v>
      </c>
      <c r="EE232" s="18">
        <v>45722.3740625</v>
      </c>
      <c r="EF232" s="13" t="s">
        <v>209</v>
      </c>
      <c r="EG232" s="14" t="s">
        <v>179</v>
      </c>
      <c r="EH232" s="14" t="s">
        <v>7620</v>
      </c>
      <c r="EI232" s="14" t="s">
        <v>179</v>
      </c>
      <c r="EJ232" s="14" t="s">
        <v>7621</v>
      </c>
      <c r="EK232" s="14" t="s">
        <v>179</v>
      </c>
      <c r="EL232" s="14" t="s">
        <v>7622</v>
      </c>
      <c r="EM232" s="14" t="s">
        <v>179</v>
      </c>
      <c r="EN232" s="14" t="s">
        <v>7623</v>
      </c>
      <c r="EO232" s="15"/>
      <c r="EP232" s="15"/>
      <c r="EQ232" s="15"/>
      <c r="ER232" s="15"/>
      <c r="ES232" s="15"/>
      <c r="ET232" s="15"/>
      <c r="EU232" s="15"/>
      <c r="EV232" s="15"/>
      <c r="EW232" s="15"/>
      <c r="EX232" s="15"/>
      <c r="EY232" s="15"/>
      <c r="EZ232" s="15"/>
      <c r="FA232" s="15"/>
      <c r="FB232" s="15"/>
      <c r="FC232" s="16" t="s">
        <v>197</v>
      </c>
      <c r="FD232" s="17" t="s">
        <v>198</v>
      </c>
      <c r="FE232" s="18">
        <v>45723.342465277776</v>
      </c>
      <c r="FF232" s="19"/>
      <c r="FG232" s="19"/>
      <c r="FH232" s="21" t="s">
        <v>197</v>
      </c>
      <c r="FI232" s="17" t="s">
        <v>214</v>
      </c>
      <c r="FJ232" s="18">
        <v>45723.342465277776</v>
      </c>
      <c r="FK232" s="14" t="s">
        <v>7623</v>
      </c>
      <c r="FL232" s="14" t="s">
        <v>7624</v>
      </c>
      <c r="FM232" s="14" t="s">
        <v>7625</v>
      </c>
      <c r="FN232" s="14" t="s">
        <v>7626</v>
      </c>
      <c r="FO232" s="14" t="s">
        <v>7627</v>
      </c>
      <c r="FP232" s="19" t="str">
        <f t="shared" si="1"/>
        <v>Base de Dados_Images/BV4003.Imagem do Equipamento-.153036.jpg</v>
      </c>
      <c r="FQ232" s="14"/>
      <c r="FR232" s="14"/>
    </row>
    <row r="233" ht="15.75" customHeight="1">
      <c r="A233" s="12" t="s">
        <v>217</v>
      </c>
      <c r="B233" s="12" t="s">
        <v>7566</v>
      </c>
      <c r="C233" s="24" t="s">
        <v>512</v>
      </c>
      <c r="D233" s="22" t="s">
        <v>7628</v>
      </c>
      <c r="E233" s="22" t="s">
        <v>7629</v>
      </c>
      <c r="F233" s="13" t="s">
        <v>178</v>
      </c>
      <c r="G233" s="14" t="s">
        <v>179</v>
      </c>
      <c r="H233" s="14" t="s">
        <v>7630</v>
      </c>
      <c r="I233" s="14" t="s">
        <v>179</v>
      </c>
      <c r="J233" s="14" t="s">
        <v>7631</v>
      </c>
      <c r="K233" s="14" t="s">
        <v>179</v>
      </c>
      <c r="L233" s="14" t="s">
        <v>7632</v>
      </c>
      <c r="M233" s="14" t="s">
        <v>179</v>
      </c>
      <c r="N233" s="14" t="s">
        <v>7633</v>
      </c>
      <c r="O233" s="14" t="s">
        <v>179</v>
      </c>
      <c r="P233" s="14" t="s">
        <v>7634</v>
      </c>
      <c r="Q233" s="14" t="s">
        <v>179</v>
      </c>
      <c r="R233" s="14" t="s">
        <v>7635</v>
      </c>
      <c r="S233" s="14" t="s">
        <v>179</v>
      </c>
      <c r="T233" s="14" t="s">
        <v>7636</v>
      </c>
      <c r="U233" s="14" t="s">
        <v>179</v>
      </c>
      <c r="V233" s="14" t="s">
        <v>7637</v>
      </c>
      <c r="W233" s="14" t="s">
        <v>179</v>
      </c>
      <c r="X233" s="14" t="s">
        <v>7638</v>
      </c>
      <c r="Y233" s="14" t="s">
        <v>179</v>
      </c>
      <c r="Z233" s="14" t="s">
        <v>7639</v>
      </c>
      <c r="AA233" s="14" t="s">
        <v>179</v>
      </c>
      <c r="AB233" s="14" t="s">
        <v>7640</v>
      </c>
      <c r="AC233" s="14" t="s">
        <v>179</v>
      </c>
      <c r="AD233" s="14" t="s">
        <v>7641</v>
      </c>
      <c r="AE233" s="14" t="s">
        <v>179</v>
      </c>
      <c r="AF233" s="14" t="s">
        <v>7642</v>
      </c>
      <c r="AG233" s="14" t="s">
        <v>179</v>
      </c>
      <c r="AH233" s="14" t="s">
        <v>7643</v>
      </c>
      <c r="AI233" s="14" t="s">
        <v>179</v>
      </c>
      <c r="AJ233" s="14" t="s">
        <v>7644</v>
      </c>
      <c r="AK233" s="14" t="s">
        <v>179</v>
      </c>
      <c r="AL233" s="14" t="s">
        <v>7645</v>
      </c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6" t="s">
        <v>197</v>
      </c>
      <c r="BP233" s="17" t="s">
        <v>198</v>
      </c>
      <c r="BQ233" s="18">
        <v>45685.373402777775</v>
      </c>
      <c r="BR233" s="17" t="s">
        <v>198</v>
      </c>
      <c r="BS233" s="18">
        <v>45685.37364583334</v>
      </c>
      <c r="BT233" s="17" t="s">
        <v>198</v>
      </c>
      <c r="BU233" s="18">
        <v>45685.37364583334</v>
      </c>
      <c r="BV233" s="13" t="s">
        <v>199</v>
      </c>
      <c r="BW233" s="14" t="s">
        <v>179</v>
      </c>
      <c r="BX233" s="14" t="s">
        <v>7646</v>
      </c>
      <c r="BY233" s="14" t="s">
        <v>179</v>
      </c>
      <c r="BZ233" s="14" t="s">
        <v>7647</v>
      </c>
      <c r="CA233" s="14" t="s">
        <v>179</v>
      </c>
      <c r="CB233" s="14" t="s">
        <v>7648</v>
      </c>
      <c r="CC233" s="14" t="s">
        <v>179</v>
      </c>
      <c r="CD233" s="14" t="s">
        <v>7649</v>
      </c>
      <c r="CE233" s="14" t="s">
        <v>179</v>
      </c>
      <c r="CF233" s="14" t="s">
        <v>7650</v>
      </c>
      <c r="CG233" s="14" t="s">
        <v>179</v>
      </c>
      <c r="CH233" s="14" t="s">
        <v>7651</v>
      </c>
      <c r="CI233" s="19"/>
      <c r="CJ233" s="15"/>
      <c r="CK233" s="19"/>
      <c r="CL233" s="15"/>
      <c r="CM233" s="19"/>
      <c r="CN233" s="15"/>
      <c r="CO233" s="19"/>
      <c r="CP233" s="15"/>
      <c r="CQ233" s="15"/>
      <c r="CR233" s="15"/>
      <c r="CS233" s="19"/>
      <c r="CT233" s="15"/>
      <c r="CU233" s="19"/>
      <c r="CV233" s="15"/>
      <c r="CW233" s="19"/>
      <c r="CX233" s="15"/>
      <c r="CY233" s="19"/>
      <c r="CZ233" s="15"/>
      <c r="DA233" s="16" t="s">
        <v>197</v>
      </c>
      <c r="DB233" s="17" t="s">
        <v>198</v>
      </c>
      <c r="DC233" s="20">
        <v>45686.59731481481</v>
      </c>
      <c r="DD233" s="17" t="s">
        <v>198</v>
      </c>
      <c r="DE233" s="18">
        <v>45686.59738425926</v>
      </c>
      <c r="DF233" s="17" t="s">
        <v>198</v>
      </c>
      <c r="DG233" s="18">
        <v>45686.59738425926</v>
      </c>
      <c r="DH233" s="13" t="s">
        <v>205</v>
      </c>
      <c r="DI233" s="14" t="s">
        <v>179</v>
      </c>
      <c r="DJ233" s="14" t="s">
        <v>7652</v>
      </c>
      <c r="DK233" s="14" t="s">
        <v>179</v>
      </c>
      <c r="DL233" s="14" t="s">
        <v>7653</v>
      </c>
      <c r="DM233" s="14" t="s">
        <v>179</v>
      </c>
      <c r="DN233" s="14" t="s">
        <v>7654</v>
      </c>
      <c r="DO233" s="14" t="s">
        <v>179</v>
      </c>
      <c r="DP233" s="14" t="s">
        <v>7654</v>
      </c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6" t="s">
        <v>197</v>
      </c>
      <c r="ED233" s="17" t="s">
        <v>198</v>
      </c>
      <c r="EE233" s="18">
        <v>45723.34255787037</v>
      </c>
      <c r="EF233" s="13" t="s">
        <v>209</v>
      </c>
      <c r="EG233" s="14" t="s">
        <v>179</v>
      </c>
      <c r="EH233" s="14" t="s">
        <v>7655</v>
      </c>
      <c r="EI233" s="14" t="s">
        <v>179</v>
      </c>
      <c r="EJ233" s="14" t="s">
        <v>7656</v>
      </c>
      <c r="EK233" s="14" t="s">
        <v>179</v>
      </c>
      <c r="EL233" s="14" t="s">
        <v>7656</v>
      </c>
      <c r="EM233" s="14" t="s">
        <v>179</v>
      </c>
      <c r="EN233" s="14" t="s">
        <v>7657</v>
      </c>
      <c r="EO233" s="15"/>
      <c r="EP233" s="15"/>
      <c r="EQ233" s="15"/>
      <c r="ER233" s="15"/>
      <c r="ES233" s="15"/>
      <c r="ET233" s="15"/>
      <c r="EU233" s="15"/>
      <c r="EV233" s="15"/>
      <c r="EW233" s="15"/>
      <c r="EX233" s="15"/>
      <c r="EY233" s="15"/>
      <c r="EZ233" s="15"/>
      <c r="FA233" s="15"/>
      <c r="FB233" s="15"/>
      <c r="FC233" s="16" t="s">
        <v>197</v>
      </c>
      <c r="FD233" s="17" t="s">
        <v>198</v>
      </c>
      <c r="FE233" s="18">
        <v>45723.342824074076</v>
      </c>
      <c r="FF233" s="19"/>
      <c r="FG233" s="19"/>
      <c r="FH233" s="21" t="s">
        <v>197</v>
      </c>
      <c r="FI233" s="17" t="s">
        <v>214</v>
      </c>
      <c r="FJ233" s="18">
        <v>45723.342824074076</v>
      </c>
      <c r="FK233" s="14" t="s">
        <v>7657</v>
      </c>
      <c r="FL233" s="19"/>
      <c r="FM233" s="19"/>
      <c r="FN233" s="19"/>
      <c r="FO233" s="19"/>
      <c r="FP233" s="19" t="str">
        <f t="shared" si="1"/>
        <v/>
      </c>
      <c r="FQ233" s="14" t="s">
        <v>215</v>
      </c>
      <c r="FR233" s="14" t="s">
        <v>7658</v>
      </c>
    </row>
    <row r="234" ht="15.75" customHeight="1">
      <c r="A234" s="12" t="s">
        <v>357</v>
      </c>
      <c r="B234" s="12" t="s">
        <v>4344</v>
      </c>
      <c r="C234" s="24" t="s">
        <v>512</v>
      </c>
      <c r="D234" s="22" t="s">
        <v>7659</v>
      </c>
      <c r="E234" s="22" t="s">
        <v>7660</v>
      </c>
      <c r="F234" s="13" t="s">
        <v>178</v>
      </c>
      <c r="G234" s="14" t="s">
        <v>179</v>
      </c>
      <c r="H234" s="14" t="s">
        <v>7661</v>
      </c>
      <c r="I234" s="14" t="s">
        <v>179</v>
      </c>
      <c r="J234" s="14" t="s">
        <v>7662</v>
      </c>
      <c r="K234" s="14" t="s">
        <v>179</v>
      </c>
      <c r="L234" s="14" t="s">
        <v>7663</v>
      </c>
      <c r="M234" s="14" t="s">
        <v>179</v>
      </c>
      <c r="N234" s="14" t="s">
        <v>7664</v>
      </c>
      <c r="O234" s="14" t="s">
        <v>179</v>
      </c>
      <c r="P234" s="14" t="s">
        <v>7665</v>
      </c>
      <c r="Q234" s="14" t="s">
        <v>179</v>
      </c>
      <c r="R234" s="14" t="s">
        <v>7666</v>
      </c>
      <c r="S234" s="14" t="s">
        <v>179</v>
      </c>
      <c r="T234" s="14" t="s">
        <v>7667</v>
      </c>
      <c r="U234" s="14" t="s">
        <v>179</v>
      </c>
      <c r="V234" s="14" t="s">
        <v>7668</v>
      </c>
      <c r="W234" s="14" t="s">
        <v>179</v>
      </c>
      <c r="X234" s="14" t="s">
        <v>7669</v>
      </c>
      <c r="Y234" s="14" t="s">
        <v>179</v>
      </c>
      <c r="Z234" s="14" t="s">
        <v>7670</v>
      </c>
      <c r="AA234" s="14" t="s">
        <v>179</v>
      </c>
      <c r="AB234" s="14" t="s">
        <v>7671</v>
      </c>
      <c r="AC234" s="14" t="s">
        <v>179</v>
      </c>
      <c r="AD234" s="14" t="s">
        <v>7672</v>
      </c>
      <c r="AE234" s="14" t="s">
        <v>179</v>
      </c>
      <c r="AF234" s="14" t="s">
        <v>7673</v>
      </c>
      <c r="AG234" s="14" t="s">
        <v>179</v>
      </c>
      <c r="AH234" s="14" t="s">
        <v>7674</v>
      </c>
      <c r="AI234" s="14" t="s">
        <v>179</v>
      </c>
      <c r="AJ234" s="14" t="s">
        <v>7675</v>
      </c>
      <c r="AK234" s="14" t="s">
        <v>179</v>
      </c>
      <c r="AL234" s="14" t="s">
        <v>7676</v>
      </c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6" t="s">
        <v>197</v>
      </c>
      <c r="BP234" s="17" t="s">
        <v>198</v>
      </c>
      <c r="BQ234" s="18">
        <v>45686.536770833336</v>
      </c>
      <c r="BR234" s="17" t="s">
        <v>198</v>
      </c>
      <c r="BS234" s="18">
        <v>45686.53697916667</v>
      </c>
      <c r="BT234" s="17" t="s">
        <v>198</v>
      </c>
      <c r="BU234" s="18">
        <v>45686.53697916667</v>
      </c>
      <c r="BV234" s="13" t="s">
        <v>199</v>
      </c>
      <c r="BW234" s="14" t="s">
        <v>179</v>
      </c>
      <c r="BX234" s="14" t="s">
        <v>7677</v>
      </c>
      <c r="BY234" s="14" t="s">
        <v>179</v>
      </c>
      <c r="BZ234" s="14" t="s">
        <v>7678</v>
      </c>
      <c r="CA234" s="14" t="s">
        <v>179</v>
      </c>
      <c r="CB234" s="14" t="s">
        <v>7679</v>
      </c>
      <c r="CC234" s="14" t="s">
        <v>179</v>
      </c>
      <c r="CD234" s="14" t="s">
        <v>7680</v>
      </c>
      <c r="CE234" s="14" t="s">
        <v>179</v>
      </c>
      <c r="CF234" s="14" t="s">
        <v>7681</v>
      </c>
      <c r="CG234" s="14" t="s">
        <v>179</v>
      </c>
      <c r="CH234" s="14" t="s">
        <v>7681</v>
      </c>
      <c r="CI234" s="19"/>
      <c r="CJ234" s="15"/>
      <c r="CK234" s="19"/>
      <c r="CL234" s="15"/>
      <c r="CM234" s="19"/>
      <c r="CN234" s="15"/>
      <c r="CO234" s="19"/>
      <c r="CP234" s="15"/>
      <c r="CQ234" s="15"/>
      <c r="CR234" s="15"/>
      <c r="CS234" s="19"/>
      <c r="CT234" s="15"/>
      <c r="CU234" s="19"/>
      <c r="CV234" s="15"/>
      <c r="CW234" s="19"/>
      <c r="CX234" s="15"/>
      <c r="CY234" s="19"/>
      <c r="CZ234" s="15"/>
      <c r="DA234" s="16" t="s">
        <v>197</v>
      </c>
      <c r="DB234" s="17" t="s">
        <v>198</v>
      </c>
      <c r="DC234" s="20">
        <v>45723.646365740744</v>
      </c>
      <c r="DD234" s="17" t="s">
        <v>198</v>
      </c>
      <c r="DE234" s="18">
        <v>45723.64630787037</v>
      </c>
      <c r="DF234" s="17" t="s">
        <v>198</v>
      </c>
      <c r="DG234" s="18">
        <v>45723.646365740744</v>
      </c>
      <c r="DH234" s="13" t="s">
        <v>205</v>
      </c>
      <c r="DI234" s="14" t="s">
        <v>179</v>
      </c>
      <c r="DJ234" s="14" t="s">
        <v>7682</v>
      </c>
      <c r="DK234" s="14" t="s">
        <v>179</v>
      </c>
      <c r="DL234" s="14" t="s">
        <v>7683</v>
      </c>
      <c r="DM234" s="14" t="s">
        <v>179</v>
      </c>
      <c r="DN234" s="14" t="s">
        <v>7684</v>
      </c>
      <c r="DO234" s="14" t="s">
        <v>179</v>
      </c>
      <c r="DP234" s="14" t="s">
        <v>7685</v>
      </c>
      <c r="DQ234" s="15"/>
      <c r="DR234" s="15"/>
      <c r="DS234" s="15"/>
      <c r="DT234" s="15"/>
      <c r="DU234" s="15"/>
      <c r="DV234" s="15"/>
      <c r="DW234" s="15"/>
      <c r="DX234" s="15"/>
      <c r="DY234" s="15"/>
      <c r="DZ234" s="15"/>
      <c r="EA234" s="15"/>
      <c r="EB234" s="15"/>
      <c r="EC234" s="16" t="s">
        <v>197</v>
      </c>
      <c r="ED234" s="17" t="s">
        <v>198</v>
      </c>
      <c r="EE234" s="18">
        <v>45723.64643518518</v>
      </c>
      <c r="EF234" s="13" t="s">
        <v>209</v>
      </c>
      <c r="EG234" s="14" t="s">
        <v>179</v>
      </c>
      <c r="EH234" s="14" t="s">
        <v>7686</v>
      </c>
      <c r="EI234" s="14" t="s">
        <v>179</v>
      </c>
      <c r="EJ234" s="14" t="s">
        <v>7687</v>
      </c>
      <c r="EK234" s="14" t="s">
        <v>179</v>
      </c>
      <c r="EL234" s="14" t="s">
        <v>7688</v>
      </c>
      <c r="EM234" s="14" t="s">
        <v>179</v>
      </c>
      <c r="EN234" s="14" t="s">
        <v>7689</v>
      </c>
      <c r="EO234" s="15"/>
      <c r="EP234" s="15"/>
      <c r="EQ234" s="15"/>
      <c r="ER234" s="15"/>
      <c r="ES234" s="15"/>
      <c r="ET234" s="15"/>
      <c r="EU234" s="15"/>
      <c r="EV234" s="15"/>
      <c r="EW234" s="15"/>
      <c r="EX234" s="15"/>
      <c r="EY234" s="15"/>
      <c r="EZ234" s="15"/>
      <c r="FA234" s="15"/>
      <c r="FB234" s="15"/>
      <c r="FC234" s="16" t="s">
        <v>197</v>
      </c>
      <c r="FD234" s="17" t="s">
        <v>198</v>
      </c>
      <c r="FE234" s="18">
        <v>45723.646516203706</v>
      </c>
      <c r="FF234" s="19"/>
      <c r="FG234" s="19"/>
      <c r="FH234" s="21" t="s">
        <v>197</v>
      </c>
      <c r="FI234" s="17" t="s">
        <v>214</v>
      </c>
      <c r="FJ234" s="18">
        <v>45723.646516203706</v>
      </c>
      <c r="FK234" s="14" t="s">
        <v>7689</v>
      </c>
      <c r="FL234" s="14" t="s">
        <v>7690</v>
      </c>
      <c r="FM234" s="14" t="s">
        <v>7691</v>
      </c>
      <c r="FN234" s="14" t="s">
        <v>7692</v>
      </c>
      <c r="FO234" s="14" t="s">
        <v>7693</v>
      </c>
      <c r="FP234" s="19" t="str">
        <f t="shared" si="1"/>
        <v>Base de Dados_Images/BV8101.Imagem do Equipamento-.155620.jpg</v>
      </c>
      <c r="FQ234" s="19"/>
      <c r="FR234" s="19"/>
    </row>
    <row r="235" ht="15.75" customHeight="1">
      <c r="A235" s="12" t="s">
        <v>357</v>
      </c>
      <c r="B235" s="12" t="s">
        <v>7694</v>
      </c>
      <c r="C235" s="24" t="s">
        <v>7695</v>
      </c>
      <c r="D235" s="12" t="s">
        <v>7696</v>
      </c>
      <c r="E235" s="12" t="s">
        <v>7697</v>
      </c>
      <c r="F235" s="13" t="s">
        <v>178</v>
      </c>
      <c r="G235" s="14" t="s">
        <v>179</v>
      </c>
      <c r="H235" s="14" t="s">
        <v>7698</v>
      </c>
      <c r="I235" s="14" t="s">
        <v>179</v>
      </c>
      <c r="J235" s="14" t="s">
        <v>7699</v>
      </c>
      <c r="K235" s="14" t="s">
        <v>179</v>
      </c>
      <c r="L235" s="14" t="s">
        <v>7700</v>
      </c>
      <c r="M235" s="14" t="s">
        <v>179</v>
      </c>
      <c r="N235" s="14" t="s">
        <v>7701</v>
      </c>
      <c r="O235" s="14" t="s">
        <v>179</v>
      </c>
      <c r="P235" s="14" t="s">
        <v>7702</v>
      </c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6" t="s">
        <v>197</v>
      </c>
      <c r="BP235" s="17" t="s">
        <v>228</v>
      </c>
      <c r="BQ235" s="23"/>
      <c r="BR235" s="17" t="s">
        <v>198</v>
      </c>
      <c r="BS235" s="18">
        <v>45689.61452546297</v>
      </c>
      <c r="BT235" s="17" t="s">
        <v>198</v>
      </c>
      <c r="BU235" s="18">
        <v>45689.61452546297</v>
      </c>
      <c r="BV235" s="13" t="s">
        <v>199</v>
      </c>
      <c r="BW235" s="14" t="s">
        <v>179</v>
      </c>
      <c r="BX235" s="14" t="s">
        <v>7703</v>
      </c>
      <c r="BY235" s="14" t="s">
        <v>179</v>
      </c>
      <c r="BZ235" s="14" t="s">
        <v>7704</v>
      </c>
      <c r="CA235" s="14" t="s">
        <v>179</v>
      </c>
      <c r="CB235" s="14" t="s">
        <v>7705</v>
      </c>
      <c r="CC235" s="15"/>
      <c r="CD235" s="15"/>
      <c r="CE235" s="15"/>
      <c r="CF235" s="15"/>
      <c r="CG235" s="19"/>
      <c r="CH235" s="15"/>
      <c r="CI235" s="19"/>
      <c r="CJ235" s="15"/>
      <c r="CK235" s="19"/>
      <c r="CL235" s="15"/>
      <c r="CM235" s="19"/>
      <c r="CN235" s="15"/>
      <c r="CO235" s="19"/>
      <c r="CP235" s="15"/>
      <c r="CQ235" s="15"/>
      <c r="CR235" s="15"/>
      <c r="CS235" s="19"/>
      <c r="CT235" s="15"/>
      <c r="CU235" s="19"/>
      <c r="CV235" s="15"/>
      <c r="CW235" s="19"/>
      <c r="CX235" s="15"/>
      <c r="CY235" s="19"/>
      <c r="CZ235" s="15"/>
      <c r="DA235" s="16" t="s">
        <v>197</v>
      </c>
      <c r="DB235" s="17" t="s">
        <v>228</v>
      </c>
      <c r="DC235" s="16"/>
      <c r="DD235" s="17" t="s">
        <v>198</v>
      </c>
      <c r="DE235" s="18">
        <v>45719.367372685185</v>
      </c>
      <c r="DF235" s="17" t="s">
        <v>198</v>
      </c>
      <c r="DG235" s="18">
        <v>45719.367372685185</v>
      </c>
      <c r="DH235" s="13" t="s">
        <v>205</v>
      </c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6" t="s">
        <v>197</v>
      </c>
      <c r="ED235" s="17" t="s">
        <v>228</v>
      </c>
      <c r="EE235" s="23"/>
      <c r="EF235" s="13" t="s">
        <v>209</v>
      </c>
      <c r="EG235" s="14" t="s">
        <v>179</v>
      </c>
      <c r="EH235" s="14" t="s">
        <v>7706</v>
      </c>
      <c r="EI235" s="14" t="s">
        <v>179</v>
      </c>
      <c r="EJ235" s="14" t="s">
        <v>7706</v>
      </c>
      <c r="EK235" s="15"/>
      <c r="EL235" s="15"/>
      <c r="EM235" s="15"/>
      <c r="EN235" s="15"/>
      <c r="EO235" s="15"/>
      <c r="EP235" s="15"/>
      <c r="EQ235" s="15"/>
      <c r="ER235" s="15"/>
      <c r="ES235" s="15"/>
      <c r="ET235" s="15"/>
      <c r="EU235" s="15"/>
      <c r="EV235" s="15"/>
      <c r="EW235" s="15"/>
      <c r="EX235" s="15"/>
      <c r="EY235" s="15"/>
      <c r="EZ235" s="15"/>
      <c r="FA235" s="15"/>
      <c r="FB235" s="15"/>
      <c r="FC235" s="16" t="s">
        <v>197</v>
      </c>
      <c r="FD235" s="17" t="s">
        <v>198</v>
      </c>
      <c r="FE235" s="18">
        <v>45723.38097222222</v>
      </c>
      <c r="FF235" s="19"/>
      <c r="FG235" s="19"/>
      <c r="FH235" s="21" t="s">
        <v>197</v>
      </c>
      <c r="FI235" s="17" t="s">
        <v>214</v>
      </c>
      <c r="FJ235" s="18">
        <v>45723.38097222222</v>
      </c>
      <c r="FK235" s="14" t="s">
        <v>7706</v>
      </c>
      <c r="FL235" s="14" t="s">
        <v>7707</v>
      </c>
      <c r="FM235" s="14" t="s">
        <v>7708</v>
      </c>
      <c r="FN235" s="19"/>
      <c r="FO235" s="19"/>
      <c r="FP235" s="19" t="str">
        <f t="shared" si="1"/>
        <v>Base de Dados_Images/CAM - 12.Imagem do Equipamento-.180117.jpg</v>
      </c>
      <c r="FQ235" s="14"/>
      <c r="FR235" s="14"/>
    </row>
    <row r="236" ht="15.75" customHeight="1">
      <c r="A236" s="12" t="s">
        <v>357</v>
      </c>
      <c r="B236" s="12" t="s">
        <v>7709</v>
      </c>
      <c r="C236" s="24" t="s">
        <v>7695</v>
      </c>
      <c r="D236" s="12" t="s">
        <v>7710</v>
      </c>
      <c r="E236" s="12" t="s">
        <v>7711</v>
      </c>
      <c r="F236" s="13" t="s">
        <v>178</v>
      </c>
      <c r="G236" s="14" t="s">
        <v>179</v>
      </c>
      <c r="H236" s="14" t="s">
        <v>7712</v>
      </c>
      <c r="I236" s="14" t="s">
        <v>179</v>
      </c>
      <c r="J236" s="14" t="s">
        <v>7713</v>
      </c>
      <c r="K236" s="14" t="s">
        <v>179</v>
      </c>
      <c r="L236" s="14" t="s">
        <v>7714</v>
      </c>
      <c r="M236" s="14" t="s">
        <v>179</v>
      </c>
      <c r="N236" s="14" t="s">
        <v>7715</v>
      </c>
      <c r="O236" s="14" t="s">
        <v>179</v>
      </c>
      <c r="P236" s="14" t="s">
        <v>7716</v>
      </c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6" t="s">
        <v>197</v>
      </c>
      <c r="BP236" s="17" t="s">
        <v>228</v>
      </c>
      <c r="BQ236" s="23"/>
      <c r="BR236" s="17" t="s">
        <v>198</v>
      </c>
      <c r="BS236" s="18">
        <v>45686.61087962963</v>
      </c>
      <c r="BT236" s="17" t="s">
        <v>198</v>
      </c>
      <c r="BU236" s="18">
        <v>45686.61087962963</v>
      </c>
      <c r="BV236" s="13" t="s">
        <v>199</v>
      </c>
      <c r="BW236" s="14" t="s">
        <v>179</v>
      </c>
      <c r="BX236" s="14" t="s">
        <v>7717</v>
      </c>
      <c r="BY236" s="14" t="s">
        <v>179</v>
      </c>
      <c r="BZ236" s="14" t="s">
        <v>7718</v>
      </c>
      <c r="CA236" s="14" t="s">
        <v>179</v>
      </c>
      <c r="CB236" s="14" t="s">
        <v>7719</v>
      </c>
      <c r="CC236" s="15"/>
      <c r="CD236" s="15"/>
      <c r="CE236" s="15"/>
      <c r="CF236" s="15"/>
      <c r="CG236" s="19"/>
      <c r="CH236" s="15"/>
      <c r="CI236" s="19"/>
      <c r="CJ236" s="15"/>
      <c r="CK236" s="19"/>
      <c r="CL236" s="15"/>
      <c r="CM236" s="19"/>
      <c r="CN236" s="15"/>
      <c r="CO236" s="19"/>
      <c r="CP236" s="15"/>
      <c r="CQ236" s="15"/>
      <c r="CR236" s="15"/>
      <c r="CS236" s="19"/>
      <c r="CT236" s="15"/>
      <c r="CU236" s="19"/>
      <c r="CV236" s="15"/>
      <c r="CW236" s="19"/>
      <c r="CX236" s="15"/>
      <c r="CY236" s="19"/>
      <c r="CZ236" s="15"/>
      <c r="DA236" s="16" t="s">
        <v>197</v>
      </c>
      <c r="DB236" s="17" t="s">
        <v>228</v>
      </c>
      <c r="DC236" s="16"/>
      <c r="DD236" s="17" t="s">
        <v>198</v>
      </c>
      <c r="DE236" s="18">
        <v>45699.454780092594</v>
      </c>
      <c r="DF236" s="17" t="s">
        <v>198</v>
      </c>
      <c r="DG236" s="18">
        <v>45699.454780092594</v>
      </c>
      <c r="DH236" s="13" t="s">
        <v>205</v>
      </c>
      <c r="DI236" s="15"/>
      <c r="DJ236" s="15"/>
      <c r="DK236" s="15"/>
      <c r="DL236" s="15"/>
      <c r="DM236" s="15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5"/>
      <c r="DY236" s="15"/>
      <c r="DZ236" s="15"/>
      <c r="EA236" s="15"/>
      <c r="EB236" s="15"/>
      <c r="EC236" s="16" t="s">
        <v>197</v>
      </c>
      <c r="ED236" s="17" t="s">
        <v>228</v>
      </c>
      <c r="EE236" s="23"/>
      <c r="EF236" s="13" t="s">
        <v>209</v>
      </c>
      <c r="EG236" s="14" t="s">
        <v>179</v>
      </c>
      <c r="EH236" s="14" t="s">
        <v>7720</v>
      </c>
      <c r="EI236" s="14" t="s">
        <v>179</v>
      </c>
      <c r="EJ236" s="14" t="s">
        <v>7721</v>
      </c>
      <c r="EK236" s="15"/>
      <c r="EL236" s="15"/>
      <c r="EM236" s="15"/>
      <c r="EN236" s="15"/>
      <c r="EO236" s="15"/>
      <c r="EP236" s="15"/>
      <c r="EQ236" s="15"/>
      <c r="ER236" s="15"/>
      <c r="ES236" s="15"/>
      <c r="ET236" s="15"/>
      <c r="EU236" s="15"/>
      <c r="EV236" s="15"/>
      <c r="EW236" s="15"/>
      <c r="EX236" s="15"/>
      <c r="EY236" s="15"/>
      <c r="EZ236" s="15"/>
      <c r="FA236" s="15"/>
      <c r="FB236" s="15"/>
      <c r="FC236" s="16" t="s">
        <v>197</v>
      </c>
      <c r="FD236" s="17" t="s">
        <v>198</v>
      </c>
      <c r="FE236" s="18">
        <v>45723.38884259259</v>
      </c>
      <c r="FF236" s="19"/>
      <c r="FG236" s="19"/>
      <c r="FH236" s="21" t="s">
        <v>197</v>
      </c>
      <c r="FI236" s="17" t="s">
        <v>214</v>
      </c>
      <c r="FJ236" s="18">
        <v>45723.38884259259</v>
      </c>
      <c r="FK236" s="14" t="s">
        <v>7721</v>
      </c>
      <c r="FL236" s="14" t="s">
        <v>7722</v>
      </c>
      <c r="FM236" s="14" t="s">
        <v>7723</v>
      </c>
      <c r="FN236" s="19"/>
      <c r="FO236" s="19"/>
      <c r="FP236" s="19" t="str">
        <f t="shared" si="1"/>
        <v>Base de Dados_Images/CAM - 4.Imagem do Equipamento-.182453.jpg</v>
      </c>
      <c r="FQ236" s="19"/>
      <c r="FR236" s="19"/>
    </row>
    <row r="237" ht="15.75" customHeight="1">
      <c r="A237" s="12" t="s">
        <v>357</v>
      </c>
      <c r="B237" s="12" t="s">
        <v>7724</v>
      </c>
      <c r="C237" s="24" t="s">
        <v>7695</v>
      </c>
      <c r="D237" s="12" t="s">
        <v>7725</v>
      </c>
      <c r="E237" s="12" t="s">
        <v>7726</v>
      </c>
      <c r="F237" s="13" t="s">
        <v>178</v>
      </c>
      <c r="G237" s="14" t="s">
        <v>179</v>
      </c>
      <c r="H237" s="14" t="s">
        <v>7727</v>
      </c>
      <c r="I237" s="14" t="s">
        <v>179</v>
      </c>
      <c r="J237" s="14" t="s">
        <v>7728</v>
      </c>
      <c r="K237" s="14" t="s">
        <v>179</v>
      </c>
      <c r="L237" s="14" t="s">
        <v>7729</v>
      </c>
      <c r="M237" s="14" t="s">
        <v>179</v>
      </c>
      <c r="N237" s="14" t="s">
        <v>7730</v>
      </c>
      <c r="O237" s="14" t="s">
        <v>179</v>
      </c>
      <c r="P237" s="14" t="s">
        <v>7731</v>
      </c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6" t="s">
        <v>197</v>
      </c>
      <c r="BP237" s="17" t="s">
        <v>228</v>
      </c>
      <c r="BQ237" s="23"/>
      <c r="BR237" s="17" t="s">
        <v>198</v>
      </c>
      <c r="BS237" s="18">
        <v>45689.61817129629</v>
      </c>
      <c r="BT237" s="17" t="s">
        <v>198</v>
      </c>
      <c r="BU237" s="18">
        <v>45689.61817129629</v>
      </c>
      <c r="BV237" s="13" t="s">
        <v>199</v>
      </c>
      <c r="BW237" s="14" t="s">
        <v>179</v>
      </c>
      <c r="BX237" s="14" t="s">
        <v>7732</v>
      </c>
      <c r="BY237" s="14" t="s">
        <v>179</v>
      </c>
      <c r="BZ237" s="14" t="s">
        <v>7733</v>
      </c>
      <c r="CA237" s="14" t="s">
        <v>179</v>
      </c>
      <c r="CB237" s="14" t="s">
        <v>7734</v>
      </c>
      <c r="CC237" s="15"/>
      <c r="CD237" s="15"/>
      <c r="CE237" s="15"/>
      <c r="CF237" s="15"/>
      <c r="CG237" s="19"/>
      <c r="CH237" s="15"/>
      <c r="CI237" s="19"/>
      <c r="CJ237" s="15"/>
      <c r="CK237" s="19"/>
      <c r="CL237" s="15"/>
      <c r="CM237" s="19"/>
      <c r="CN237" s="15"/>
      <c r="CO237" s="19"/>
      <c r="CP237" s="15"/>
      <c r="CQ237" s="15"/>
      <c r="CR237" s="15"/>
      <c r="CS237" s="19"/>
      <c r="CT237" s="15"/>
      <c r="CU237" s="19"/>
      <c r="CV237" s="15"/>
      <c r="CW237" s="19"/>
      <c r="CX237" s="15"/>
      <c r="CY237" s="19"/>
      <c r="CZ237" s="15"/>
      <c r="DA237" s="16" t="s">
        <v>197</v>
      </c>
      <c r="DB237" s="17" t="s">
        <v>228</v>
      </c>
      <c r="DC237" s="16"/>
      <c r="DD237" s="17" t="s">
        <v>198</v>
      </c>
      <c r="DE237" s="18">
        <v>45699.450891203705</v>
      </c>
      <c r="DF237" s="17" t="s">
        <v>198</v>
      </c>
      <c r="DG237" s="18">
        <v>45699.450891203705</v>
      </c>
      <c r="DH237" s="13" t="s">
        <v>205</v>
      </c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6" t="s">
        <v>197</v>
      </c>
      <c r="ED237" s="17" t="s">
        <v>228</v>
      </c>
      <c r="EE237" s="23"/>
      <c r="EF237" s="13" t="s">
        <v>209</v>
      </c>
      <c r="EG237" s="14" t="s">
        <v>179</v>
      </c>
      <c r="EH237" s="14" t="s">
        <v>7735</v>
      </c>
      <c r="EI237" s="14" t="s">
        <v>179</v>
      </c>
      <c r="EJ237" s="14" t="s">
        <v>7736</v>
      </c>
      <c r="EK237" s="15"/>
      <c r="EL237" s="15"/>
      <c r="EM237" s="15"/>
      <c r="EN237" s="15"/>
      <c r="EO237" s="15"/>
      <c r="EP237" s="15"/>
      <c r="EQ237" s="15"/>
      <c r="ER237" s="15"/>
      <c r="ES237" s="15"/>
      <c r="ET237" s="15"/>
      <c r="EU237" s="15"/>
      <c r="EV237" s="15"/>
      <c r="EW237" s="15"/>
      <c r="EX237" s="15"/>
      <c r="EY237" s="15"/>
      <c r="EZ237" s="15"/>
      <c r="FA237" s="15"/>
      <c r="FB237" s="15"/>
      <c r="FC237" s="16" t="s">
        <v>197</v>
      </c>
      <c r="FD237" s="17" t="s">
        <v>198</v>
      </c>
      <c r="FE237" s="18">
        <v>45713.40012731482</v>
      </c>
      <c r="FF237" s="19"/>
      <c r="FG237" s="19"/>
      <c r="FH237" s="21" t="s">
        <v>197</v>
      </c>
      <c r="FI237" s="17" t="s">
        <v>214</v>
      </c>
      <c r="FJ237" s="18">
        <v>45713.40012731482</v>
      </c>
      <c r="FK237" s="14" t="s">
        <v>7736</v>
      </c>
      <c r="FL237" s="14" t="s">
        <v>7737</v>
      </c>
      <c r="FM237" s="14" t="s">
        <v>7738</v>
      </c>
      <c r="FN237" s="19"/>
      <c r="FO237" s="19"/>
      <c r="FP237" s="19" t="str">
        <f t="shared" si="1"/>
        <v>Base de Dados_Images/CAM - 7.Imagem do Equipamento-.124744.jpg</v>
      </c>
      <c r="FQ237" s="14"/>
      <c r="FR237" s="14"/>
    </row>
    <row r="238" ht="15.75" customHeight="1">
      <c r="A238" s="12" t="s">
        <v>357</v>
      </c>
      <c r="B238" s="12" t="s">
        <v>7724</v>
      </c>
      <c r="C238" s="24" t="s">
        <v>7695</v>
      </c>
      <c r="D238" s="25" t="s">
        <v>7739</v>
      </c>
      <c r="E238" s="12" t="s">
        <v>7740</v>
      </c>
      <c r="F238" s="13" t="s">
        <v>178</v>
      </c>
      <c r="G238" s="14" t="s">
        <v>179</v>
      </c>
      <c r="H238" s="14" t="s">
        <v>7741</v>
      </c>
      <c r="I238" s="14" t="s">
        <v>179</v>
      </c>
      <c r="J238" s="14" t="s">
        <v>7742</v>
      </c>
      <c r="K238" s="14" t="s">
        <v>179</v>
      </c>
      <c r="L238" s="14" t="s">
        <v>7743</v>
      </c>
      <c r="M238" s="14" t="s">
        <v>179</v>
      </c>
      <c r="N238" s="14" t="s">
        <v>7744</v>
      </c>
      <c r="O238" s="14" t="s">
        <v>179</v>
      </c>
      <c r="P238" s="14" t="s">
        <v>7745</v>
      </c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6" t="s">
        <v>197</v>
      </c>
      <c r="BP238" s="17" t="s">
        <v>228</v>
      </c>
      <c r="BQ238" s="23"/>
      <c r="BR238" s="17" t="s">
        <v>198</v>
      </c>
      <c r="BS238" s="18">
        <v>45686.62498842592</v>
      </c>
      <c r="BT238" s="17" t="s">
        <v>198</v>
      </c>
      <c r="BU238" s="18">
        <v>45686.62498842592</v>
      </c>
      <c r="BV238" s="13" t="s">
        <v>199</v>
      </c>
      <c r="BW238" s="14" t="s">
        <v>179</v>
      </c>
      <c r="BX238" s="14" t="s">
        <v>7746</v>
      </c>
      <c r="BY238" s="14" t="s">
        <v>179</v>
      </c>
      <c r="BZ238" s="14" t="s">
        <v>7747</v>
      </c>
      <c r="CA238" s="14" t="s">
        <v>179</v>
      </c>
      <c r="CB238" s="14" t="s">
        <v>7748</v>
      </c>
      <c r="CC238" s="15"/>
      <c r="CD238" s="15"/>
      <c r="CE238" s="15"/>
      <c r="CF238" s="15"/>
      <c r="CG238" s="19"/>
      <c r="CH238" s="15"/>
      <c r="CI238" s="19"/>
      <c r="CJ238" s="15"/>
      <c r="CK238" s="19"/>
      <c r="CL238" s="15"/>
      <c r="CM238" s="19"/>
      <c r="CN238" s="15"/>
      <c r="CO238" s="19"/>
      <c r="CP238" s="15"/>
      <c r="CQ238" s="15"/>
      <c r="CR238" s="15"/>
      <c r="CS238" s="19"/>
      <c r="CT238" s="15"/>
      <c r="CU238" s="19"/>
      <c r="CV238" s="15"/>
      <c r="CW238" s="19"/>
      <c r="CX238" s="15"/>
      <c r="CY238" s="19"/>
      <c r="CZ238" s="15"/>
      <c r="DA238" s="16" t="s">
        <v>197</v>
      </c>
      <c r="DB238" s="17" t="s">
        <v>228</v>
      </c>
      <c r="DC238" s="16"/>
      <c r="DD238" s="17" t="s">
        <v>198</v>
      </c>
      <c r="DE238" s="18">
        <v>45699.45202546296</v>
      </c>
      <c r="DF238" s="17" t="s">
        <v>198</v>
      </c>
      <c r="DG238" s="18">
        <v>45699.45202546296</v>
      </c>
      <c r="DH238" s="13" t="s">
        <v>205</v>
      </c>
      <c r="DI238" s="15"/>
      <c r="DJ238" s="15"/>
      <c r="DK238" s="15"/>
      <c r="DL238" s="15"/>
      <c r="DM238" s="15"/>
      <c r="DN238" s="15"/>
      <c r="DO238" s="15"/>
      <c r="DP238" s="15"/>
      <c r="DQ238" s="15"/>
      <c r="DR238" s="15"/>
      <c r="DS238" s="15"/>
      <c r="DT238" s="15"/>
      <c r="DU238" s="15"/>
      <c r="DV238" s="15"/>
      <c r="DW238" s="15"/>
      <c r="DX238" s="15"/>
      <c r="DY238" s="15"/>
      <c r="DZ238" s="15"/>
      <c r="EA238" s="15"/>
      <c r="EB238" s="15"/>
      <c r="EC238" s="16" t="s">
        <v>197</v>
      </c>
      <c r="ED238" s="17" t="s">
        <v>228</v>
      </c>
      <c r="EE238" s="23"/>
      <c r="EF238" s="13" t="s">
        <v>209</v>
      </c>
      <c r="EG238" s="14" t="s">
        <v>179</v>
      </c>
      <c r="EH238" s="14" t="s">
        <v>7749</v>
      </c>
      <c r="EI238" s="14" t="s">
        <v>179</v>
      </c>
      <c r="EJ238" s="14" t="s">
        <v>7750</v>
      </c>
      <c r="EK238" s="15"/>
      <c r="EL238" s="15"/>
      <c r="EM238" s="15"/>
      <c r="EN238" s="15"/>
      <c r="EO238" s="15"/>
      <c r="EP238" s="15"/>
      <c r="EQ238" s="15"/>
      <c r="ER238" s="15"/>
      <c r="ES238" s="15"/>
      <c r="ET238" s="15"/>
      <c r="EU238" s="15"/>
      <c r="EV238" s="15"/>
      <c r="EW238" s="15"/>
      <c r="EX238" s="15"/>
      <c r="EY238" s="15"/>
      <c r="EZ238" s="15"/>
      <c r="FA238" s="15"/>
      <c r="FB238" s="15"/>
      <c r="FC238" s="16" t="s">
        <v>197</v>
      </c>
      <c r="FD238" s="17" t="s">
        <v>198</v>
      </c>
      <c r="FE238" s="18">
        <v>45713.40020833333</v>
      </c>
      <c r="FF238" s="19"/>
      <c r="FG238" s="19"/>
      <c r="FH238" s="21" t="s">
        <v>197</v>
      </c>
      <c r="FI238" s="17" t="s">
        <v>214</v>
      </c>
      <c r="FJ238" s="18">
        <v>45713.40020833333</v>
      </c>
      <c r="FK238" s="14" t="s">
        <v>7750</v>
      </c>
      <c r="FL238" s="14" t="s">
        <v>7751</v>
      </c>
      <c r="FM238" s="14" t="s">
        <v>7752</v>
      </c>
      <c r="FN238" s="19"/>
      <c r="FO238" s="19"/>
      <c r="FP238" s="19" t="str">
        <f t="shared" si="1"/>
        <v>Base de Dados_Images/CAM - 8.Imagem do Equipamento-.182733.jpg</v>
      </c>
      <c r="FQ238" s="19"/>
      <c r="FR238" s="19"/>
    </row>
    <row r="239" ht="15.75" customHeight="1">
      <c r="A239" s="12" t="s">
        <v>357</v>
      </c>
      <c r="B239" s="12" t="s">
        <v>7753</v>
      </c>
      <c r="C239" s="24" t="s">
        <v>7695</v>
      </c>
      <c r="D239" s="25" t="s">
        <v>7754</v>
      </c>
      <c r="E239" s="12" t="s">
        <v>7755</v>
      </c>
      <c r="F239" s="13" t="s">
        <v>178</v>
      </c>
      <c r="G239" s="14" t="s">
        <v>179</v>
      </c>
      <c r="H239" s="14" t="s">
        <v>7756</v>
      </c>
      <c r="I239" s="14" t="s">
        <v>179</v>
      </c>
      <c r="J239" s="14" t="s">
        <v>7757</v>
      </c>
      <c r="K239" s="14" t="s">
        <v>179</v>
      </c>
      <c r="L239" s="14" t="s">
        <v>7758</v>
      </c>
      <c r="M239" s="14" t="s">
        <v>179</v>
      </c>
      <c r="N239" s="14" t="s">
        <v>7759</v>
      </c>
      <c r="O239" s="14" t="s">
        <v>179</v>
      </c>
      <c r="P239" s="14" t="s">
        <v>7760</v>
      </c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6" t="s">
        <v>197</v>
      </c>
      <c r="BP239" s="17" t="s">
        <v>228</v>
      </c>
      <c r="BQ239" s="23"/>
      <c r="BR239" s="17" t="s">
        <v>198</v>
      </c>
      <c r="BS239" s="18">
        <v>45714.505625</v>
      </c>
      <c r="BT239" s="17" t="s">
        <v>198</v>
      </c>
      <c r="BU239" s="18">
        <v>45714.505625</v>
      </c>
      <c r="BV239" s="13" t="s">
        <v>199</v>
      </c>
      <c r="BW239" s="14" t="s">
        <v>179</v>
      </c>
      <c r="BX239" s="14" t="s">
        <v>7761</v>
      </c>
      <c r="BY239" s="14" t="s">
        <v>179</v>
      </c>
      <c r="BZ239" s="14" t="s">
        <v>7761</v>
      </c>
      <c r="CA239" s="14" t="s">
        <v>179</v>
      </c>
      <c r="CB239" s="14" t="s">
        <v>7762</v>
      </c>
      <c r="CC239" s="15"/>
      <c r="CD239" s="15"/>
      <c r="CE239" s="15"/>
      <c r="CF239" s="15"/>
      <c r="CG239" s="19"/>
      <c r="CH239" s="15"/>
      <c r="CI239" s="19"/>
      <c r="CJ239" s="15"/>
      <c r="CK239" s="19"/>
      <c r="CL239" s="15"/>
      <c r="CM239" s="19"/>
      <c r="CN239" s="15"/>
      <c r="CO239" s="19"/>
      <c r="CP239" s="15"/>
      <c r="CQ239" s="15"/>
      <c r="CR239" s="15"/>
      <c r="CS239" s="19"/>
      <c r="CT239" s="15"/>
      <c r="CU239" s="19"/>
      <c r="CV239" s="15"/>
      <c r="CW239" s="19"/>
      <c r="CX239" s="15"/>
      <c r="CY239" s="19"/>
      <c r="CZ239" s="15"/>
      <c r="DA239" s="16" t="s">
        <v>197</v>
      </c>
      <c r="DB239" s="17" t="s">
        <v>228</v>
      </c>
      <c r="DC239" s="16"/>
      <c r="DD239" s="17" t="s">
        <v>198</v>
      </c>
      <c r="DE239" s="18">
        <v>45714.50571759259</v>
      </c>
      <c r="DF239" s="17" t="s">
        <v>198</v>
      </c>
      <c r="DG239" s="18">
        <v>45714.50571759259</v>
      </c>
      <c r="DH239" s="13" t="s">
        <v>205</v>
      </c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6" t="s">
        <v>197</v>
      </c>
      <c r="ED239" s="17" t="s">
        <v>228</v>
      </c>
      <c r="EE239" s="23"/>
      <c r="EF239" s="13" t="s">
        <v>209</v>
      </c>
      <c r="EG239" s="14" t="s">
        <v>179</v>
      </c>
      <c r="EH239" s="14" t="s">
        <v>7763</v>
      </c>
      <c r="EI239" s="14" t="s">
        <v>179</v>
      </c>
      <c r="EJ239" s="14" t="s">
        <v>7764</v>
      </c>
      <c r="EK239" s="15"/>
      <c r="EL239" s="15"/>
      <c r="EM239" s="15"/>
      <c r="EN239" s="15"/>
      <c r="EO239" s="15"/>
      <c r="EP239" s="15"/>
      <c r="EQ239" s="15"/>
      <c r="ER239" s="15"/>
      <c r="ES239" s="15"/>
      <c r="ET239" s="15"/>
      <c r="EU239" s="15"/>
      <c r="EV239" s="15"/>
      <c r="EW239" s="15"/>
      <c r="EX239" s="15"/>
      <c r="EY239" s="15"/>
      <c r="EZ239" s="15"/>
      <c r="FA239" s="15"/>
      <c r="FB239" s="15"/>
      <c r="FC239" s="16" t="s">
        <v>197</v>
      </c>
      <c r="FD239" s="17" t="s">
        <v>198</v>
      </c>
      <c r="FE239" s="18">
        <v>45714.50578703704</v>
      </c>
      <c r="FF239" s="19"/>
      <c r="FG239" s="19"/>
      <c r="FH239" s="21" t="s">
        <v>197</v>
      </c>
      <c r="FI239" s="17" t="s">
        <v>214</v>
      </c>
      <c r="FJ239" s="18">
        <v>45714.50578703704</v>
      </c>
      <c r="FK239" s="14" t="s">
        <v>7764</v>
      </c>
      <c r="FL239" s="19"/>
      <c r="FM239" s="19"/>
      <c r="FN239" s="19"/>
      <c r="FO239" s="19"/>
      <c r="FP239" s="19" t="str">
        <f t="shared" si="1"/>
        <v/>
      </c>
      <c r="FQ239" s="14" t="s">
        <v>215</v>
      </c>
      <c r="FR239" s="14" t="s">
        <v>7765</v>
      </c>
    </row>
    <row r="240" ht="15.75" customHeight="1">
      <c r="A240" s="12" t="s">
        <v>357</v>
      </c>
      <c r="B240" s="12" t="s">
        <v>358</v>
      </c>
      <c r="C240" s="24" t="s">
        <v>7695</v>
      </c>
      <c r="D240" s="12" t="s">
        <v>7766</v>
      </c>
      <c r="E240" s="12" t="s">
        <v>7767</v>
      </c>
      <c r="F240" s="13" t="s">
        <v>178</v>
      </c>
      <c r="G240" s="14" t="s">
        <v>179</v>
      </c>
      <c r="H240" s="14" t="s">
        <v>7768</v>
      </c>
      <c r="I240" s="14" t="s">
        <v>179</v>
      </c>
      <c r="J240" s="14" t="s">
        <v>7769</v>
      </c>
      <c r="K240" s="14" t="s">
        <v>179</v>
      </c>
      <c r="L240" s="14" t="s">
        <v>7770</v>
      </c>
      <c r="M240" s="14" t="s">
        <v>179</v>
      </c>
      <c r="N240" s="14" t="s">
        <v>7771</v>
      </c>
      <c r="O240" s="14" t="s">
        <v>179</v>
      </c>
      <c r="P240" s="14" t="s">
        <v>7772</v>
      </c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6" t="s">
        <v>197</v>
      </c>
      <c r="BP240" s="17" t="s">
        <v>228</v>
      </c>
      <c r="BQ240" s="23"/>
      <c r="BR240" s="17" t="s">
        <v>198</v>
      </c>
      <c r="BS240" s="18">
        <v>45686.62262731481</v>
      </c>
      <c r="BT240" s="17" t="s">
        <v>198</v>
      </c>
      <c r="BU240" s="18">
        <v>45686.62262731481</v>
      </c>
      <c r="BV240" s="13" t="s">
        <v>199</v>
      </c>
      <c r="BW240" s="14" t="s">
        <v>179</v>
      </c>
      <c r="BX240" s="14" t="s">
        <v>7773</v>
      </c>
      <c r="BY240" s="14" t="s">
        <v>179</v>
      </c>
      <c r="BZ240" s="14" t="s">
        <v>7774</v>
      </c>
      <c r="CA240" s="14" t="s">
        <v>179</v>
      </c>
      <c r="CB240" s="14" t="s">
        <v>7775</v>
      </c>
      <c r="CC240" s="15"/>
      <c r="CD240" s="15"/>
      <c r="CE240" s="15"/>
      <c r="CF240" s="15"/>
      <c r="CG240" s="19"/>
      <c r="CH240" s="15"/>
      <c r="CI240" s="19"/>
      <c r="CJ240" s="15"/>
      <c r="CK240" s="19"/>
      <c r="CL240" s="15"/>
      <c r="CM240" s="19"/>
      <c r="CN240" s="15"/>
      <c r="CO240" s="19"/>
      <c r="CP240" s="15"/>
      <c r="CQ240" s="15"/>
      <c r="CR240" s="15"/>
      <c r="CS240" s="19"/>
      <c r="CT240" s="15"/>
      <c r="CU240" s="19"/>
      <c r="CV240" s="15"/>
      <c r="CW240" s="19"/>
      <c r="CX240" s="15"/>
      <c r="CY240" s="19"/>
      <c r="CZ240" s="15"/>
      <c r="DA240" s="16" t="s">
        <v>197</v>
      </c>
      <c r="DB240" s="17" t="s">
        <v>228</v>
      </c>
      <c r="DC240" s="16"/>
      <c r="DD240" s="17" t="s">
        <v>198</v>
      </c>
      <c r="DE240" s="18">
        <v>45708.52657407407</v>
      </c>
      <c r="DF240" s="17" t="s">
        <v>198</v>
      </c>
      <c r="DG240" s="18">
        <v>45708.52657407407</v>
      </c>
      <c r="DH240" s="13" t="s">
        <v>205</v>
      </c>
      <c r="DI240" s="15"/>
      <c r="DJ240" s="15"/>
      <c r="DK240" s="15"/>
      <c r="DL240" s="15"/>
      <c r="DM240" s="15"/>
      <c r="DN240" s="15"/>
      <c r="DO240" s="15"/>
      <c r="DP240" s="15"/>
      <c r="DQ240" s="15"/>
      <c r="DR240" s="15"/>
      <c r="DS240" s="15"/>
      <c r="DT240" s="15"/>
      <c r="DU240" s="15"/>
      <c r="DV240" s="15"/>
      <c r="DW240" s="15"/>
      <c r="DX240" s="15"/>
      <c r="DY240" s="15"/>
      <c r="DZ240" s="15"/>
      <c r="EA240" s="15"/>
      <c r="EB240" s="15"/>
      <c r="EC240" s="16" t="s">
        <v>197</v>
      </c>
      <c r="ED240" s="17" t="s">
        <v>228</v>
      </c>
      <c r="EE240" s="23"/>
      <c r="EF240" s="13" t="s">
        <v>209</v>
      </c>
      <c r="EG240" s="14" t="s">
        <v>179</v>
      </c>
      <c r="EH240" s="14" t="s">
        <v>7776</v>
      </c>
      <c r="EI240" s="14" t="s">
        <v>179</v>
      </c>
      <c r="EJ240" s="14" t="s">
        <v>7777</v>
      </c>
      <c r="EK240" s="15"/>
      <c r="EL240" s="15"/>
      <c r="EM240" s="15"/>
      <c r="EN240" s="15"/>
      <c r="EO240" s="15"/>
      <c r="EP240" s="15"/>
      <c r="EQ240" s="15"/>
      <c r="ER240" s="15"/>
      <c r="ES240" s="15"/>
      <c r="ET240" s="15"/>
      <c r="EU240" s="15"/>
      <c r="EV240" s="15"/>
      <c r="EW240" s="15"/>
      <c r="EX240" s="15"/>
      <c r="EY240" s="15"/>
      <c r="EZ240" s="15"/>
      <c r="FA240" s="15"/>
      <c r="FB240" s="15"/>
      <c r="FC240" s="16" t="s">
        <v>197</v>
      </c>
      <c r="FD240" s="17" t="s">
        <v>198</v>
      </c>
      <c r="FE240" s="18">
        <v>45713.3783912037</v>
      </c>
      <c r="FF240" s="19"/>
      <c r="FG240" s="19"/>
      <c r="FH240" s="21" t="s">
        <v>197</v>
      </c>
      <c r="FI240" s="17" t="s">
        <v>214</v>
      </c>
      <c r="FJ240" s="18">
        <v>45713.3783912037</v>
      </c>
      <c r="FK240" s="14" t="s">
        <v>7777</v>
      </c>
      <c r="FL240" s="14" t="s">
        <v>7778</v>
      </c>
      <c r="FM240" s="14" t="s">
        <v>7779</v>
      </c>
      <c r="FN240" s="19"/>
      <c r="FO240" s="19"/>
      <c r="FP240" s="19" t="str">
        <f t="shared" si="1"/>
        <v>Base de Dados_Images/CAM -9.Imagem do Equipamento-.182806.jpg</v>
      </c>
      <c r="FQ240" s="19"/>
      <c r="FR240" s="19"/>
    </row>
    <row r="241" ht="15.75" customHeight="1">
      <c r="A241" s="12" t="s">
        <v>357</v>
      </c>
      <c r="B241" s="12" t="s">
        <v>7780</v>
      </c>
      <c r="C241" s="24" t="s">
        <v>7695</v>
      </c>
      <c r="D241" s="12" t="s">
        <v>7781</v>
      </c>
      <c r="E241" s="12" t="s">
        <v>7782</v>
      </c>
      <c r="F241" s="13" t="s">
        <v>178</v>
      </c>
      <c r="G241" s="14" t="s">
        <v>179</v>
      </c>
      <c r="H241" s="14" t="s">
        <v>7783</v>
      </c>
      <c r="I241" s="14" t="s">
        <v>179</v>
      </c>
      <c r="J241" s="14" t="s">
        <v>7784</v>
      </c>
      <c r="K241" s="14" t="s">
        <v>179</v>
      </c>
      <c r="L241" s="14" t="s">
        <v>7785</v>
      </c>
      <c r="M241" s="14" t="s">
        <v>179</v>
      </c>
      <c r="N241" s="14" t="s">
        <v>7786</v>
      </c>
      <c r="O241" s="14" t="s">
        <v>179</v>
      </c>
      <c r="P241" s="14" t="s">
        <v>7787</v>
      </c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6" t="s">
        <v>197</v>
      </c>
      <c r="BP241" s="17" t="s">
        <v>228</v>
      </c>
      <c r="BQ241" s="23"/>
      <c r="BR241" s="17" t="s">
        <v>198</v>
      </c>
      <c r="BS241" s="18">
        <v>45687.45068287037</v>
      </c>
      <c r="BT241" s="17" t="s">
        <v>198</v>
      </c>
      <c r="BU241" s="18">
        <v>45687.45068287037</v>
      </c>
      <c r="BV241" s="13" t="s">
        <v>199</v>
      </c>
      <c r="BW241" s="14" t="s">
        <v>179</v>
      </c>
      <c r="BX241" s="14" t="s">
        <v>7788</v>
      </c>
      <c r="BY241" s="14" t="s">
        <v>179</v>
      </c>
      <c r="BZ241" s="14" t="s">
        <v>7789</v>
      </c>
      <c r="CA241" s="14" t="s">
        <v>179</v>
      </c>
      <c r="CB241" s="14" t="s">
        <v>7790</v>
      </c>
      <c r="CC241" s="15"/>
      <c r="CD241" s="15"/>
      <c r="CE241" s="15"/>
      <c r="CF241" s="15"/>
      <c r="CG241" s="19"/>
      <c r="CH241" s="15"/>
      <c r="CI241" s="19"/>
      <c r="CJ241" s="15"/>
      <c r="CK241" s="19"/>
      <c r="CL241" s="15"/>
      <c r="CM241" s="19"/>
      <c r="CN241" s="15"/>
      <c r="CO241" s="19"/>
      <c r="CP241" s="15"/>
      <c r="CQ241" s="15"/>
      <c r="CR241" s="15"/>
      <c r="CS241" s="19"/>
      <c r="CT241" s="15"/>
      <c r="CU241" s="19"/>
      <c r="CV241" s="15"/>
      <c r="CW241" s="19"/>
      <c r="CX241" s="15"/>
      <c r="CY241" s="19"/>
      <c r="CZ241" s="15"/>
      <c r="DA241" s="16" t="s">
        <v>197</v>
      </c>
      <c r="DB241" s="17" t="s">
        <v>228</v>
      </c>
      <c r="DC241" s="16"/>
      <c r="DD241" s="17" t="s">
        <v>198</v>
      </c>
      <c r="DE241" s="18">
        <v>45711.68174768519</v>
      </c>
      <c r="DF241" s="17" t="s">
        <v>198</v>
      </c>
      <c r="DG241" s="18">
        <v>45711.68174768519</v>
      </c>
      <c r="DH241" s="13" t="s">
        <v>205</v>
      </c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6" t="s">
        <v>197</v>
      </c>
      <c r="ED241" s="17" t="s">
        <v>228</v>
      </c>
      <c r="EE241" s="23"/>
      <c r="EF241" s="13" t="s">
        <v>209</v>
      </c>
      <c r="EG241" s="14" t="s">
        <v>179</v>
      </c>
      <c r="EH241" s="14" t="s">
        <v>7791</v>
      </c>
      <c r="EI241" s="14" t="s">
        <v>179</v>
      </c>
      <c r="EJ241" s="14" t="s">
        <v>7792</v>
      </c>
      <c r="EK241" s="15"/>
      <c r="EL241" s="15"/>
      <c r="EM241" s="15"/>
      <c r="EN241" s="15"/>
      <c r="EO241" s="15"/>
      <c r="EP241" s="15"/>
      <c r="EQ241" s="15"/>
      <c r="ER241" s="15"/>
      <c r="ES241" s="15"/>
      <c r="ET241" s="15"/>
      <c r="EU241" s="15"/>
      <c r="EV241" s="15"/>
      <c r="EW241" s="15"/>
      <c r="EX241" s="15"/>
      <c r="EY241" s="15"/>
      <c r="EZ241" s="15"/>
      <c r="FA241" s="15"/>
      <c r="FB241" s="15"/>
      <c r="FC241" s="16" t="s">
        <v>197</v>
      </c>
      <c r="FD241" s="17" t="s">
        <v>198</v>
      </c>
      <c r="FE241" s="18">
        <v>45711.68194444444</v>
      </c>
      <c r="FF241" s="14"/>
      <c r="FG241" s="19"/>
      <c r="FH241" s="17" t="s">
        <v>197</v>
      </c>
      <c r="FI241" s="17" t="s">
        <v>214</v>
      </c>
      <c r="FJ241" s="18">
        <v>45711.68194444444</v>
      </c>
      <c r="FK241" s="14" t="s">
        <v>7792</v>
      </c>
      <c r="FL241" s="14" t="s">
        <v>7793</v>
      </c>
      <c r="FM241" s="14" t="s">
        <v>7794</v>
      </c>
      <c r="FN241" s="19"/>
      <c r="FO241" s="19"/>
      <c r="FP241" s="19" t="str">
        <f t="shared" si="1"/>
        <v>Base de Dados_Images/CAM- 5.Imagem do Equipamento-.145808.jpg</v>
      </c>
      <c r="FQ241" s="19"/>
      <c r="FR241" s="19"/>
    </row>
    <row r="242" ht="15.75" customHeight="1">
      <c r="A242" s="12" t="s">
        <v>357</v>
      </c>
      <c r="B242" s="12" t="s">
        <v>7795</v>
      </c>
      <c r="C242" s="24" t="s">
        <v>7695</v>
      </c>
      <c r="D242" s="12" t="s">
        <v>7796</v>
      </c>
      <c r="E242" s="12" t="s">
        <v>7797</v>
      </c>
      <c r="F242" s="13" t="s">
        <v>178</v>
      </c>
      <c r="G242" s="14" t="s">
        <v>179</v>
      </c>
      <c r="H242" s="14" t="s">
        <v>7798</v>
      </c>
      <c r="I242" s="14" t="s">
        <v>179</v>
      </c>
      <c r="J242" s="14" t="s">
        <v>7799</v>
      </c>
      <c r="K242" s="14" t="s">
        <v>179</v>
      </c>
      <c r="L242" s="14" t="s">
        <v>7800</v>
      </c>
      <c r="M242" s="14" t="s">
        <v>179</v>
      </c>
      <c r="N242" s="14" t="s">
        <v>7801</v>
      </c>
      <c r="O242" s="14" t="s">
        <v>179</v>
      </c>
      <c r="P242" s="14" t="s">
        <v>7802</v>
      </c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6" t="s">
        <v>197</v>
      </c>
      <c r="BP242" s="17" t="s">
        <v>228</v>
      </c>
      <c r="BQ242" s="23"/>
      <c r="BR242" s="17" t="s">
        <v>198</v>
      </c>
      <c r="BS242" s="18">
        <v>45686.5466087963</v>
      </c>
      <c r="BT242" s="17" t="s">
        <v>198</v>
      </c>
      <c r="BU242" s="18">
        <v>45686.5466087963</v>
      </c>
      <c r="BV242" s="13" t="s">
        <v>199</v>
      </c>
      <c r="BW242" s="14" t="s">
        <v>179</v>
      </c>
      <c r="BX242" s="14" t="s">
        <v>7803</v>
      </c>
      <c r="BY242" s="14" t="s">
        <v>179</v>
      </c>
      <c r="BZ242" s="14" t="s">
        <v>7804</v>
      </c>
      <c r="CA242" s="14" t="s">
        <v>179</v>
      </c>
      <c r="CB242" s="14" t="s">
        <v>7805</v>
      </c>
      <c r="CC242" s="15"/>
      <c r="CD242" s="15"/>
      <c r="CE242" s="15"/>
      <c r="CF242" s="15"/>
      <c r="CG242" s="19"/>
      <c r="CH242" s="15"/>
      <c r="CI242" s="19"/>
      <c r="CJ242" s="15"/>
      <c r="CK242" s="19"/>
      <c r="CL242" s="15"/>
      <c r="CM242" s="19"/>
      <c r="CN242" s="15"/>
      <c r="CO242" s="19"/>
      <c r="CP242" s="15"/>
      <c r="CQ242" s="15"/>
      <c r="CR242" s="15"/>
      <c r="CS242" s="19"/>
      <c r="CT242" s="15"/>
      <c r="CU242" s="19"/>
      <c r="CV242" s="15"/>
      <c r="CW242" s="19"/>
      <c r="CX242" s="15"/>
      <c r="CY242" s="19"/>
      <c r="CZ242" s="15"/>
      <c r="DA242" s="16" t="s">
        <v>197</v>
      </c>
      <c r="DB242" s="17" t="s">
        <v>228</v>
      </c>
      <c r="DC242" s="16"/>
      <c r="DD242" s="17" t="s">
        <v>198</v>
      </c>
      <c r="DE242" s="18">
        <v>45699.4543287037</v>
      </c>
      <c r="DF242" s="17" t="s">
        <v>198</v>
      </c>
      <c r="DG242" s="18">
        <v>45699.4543287037</v>
      </c>
      <c r="DH242" s="13" t="s">
        <v>205</v>
      </c>
      <c r="DI242" s="15"/>
      <c r="DJ242" s="15"/>
      <c r="DK242" s="15"/>
      <c r="DL242" s="15"/>
      <c r="DM242" s="15"/>
      <c r="DN242" s="15"/>
      <c r="DO242" s="15"/>
      <c r="DP242" s="15"/>
      <c r="DQ242" s="15"/>
      <c r="DR242" s="15"/>
      <c r="DS242" s="15"/>
      <c r="DT242" s="15"/>
      <c r="DU242" s="15"/>
      <c r="DV242" s="15"/>
      <c r="DW242" s="15"/>
      <c r="DX242" s="15"/>
      <c r="DY242" s="15"/>
      <c r="DZ242" s="15"/>
      <c r="EA242" s="15"/>
      <c r="EB242" s="15"/>
      <c r="EC242" s="16" t="s">
        <v>197</v>
      </c>
      <c r="ED242" s="17" t="s">
        <v>228</v>
      </c>
      <c r="EE242" s="23"/>
      <c r="EF242" s="13" t="s">
        <v>209</v>
      </c>
      <c r="EG242" s="14" t="s">
        <v>179</v>
      </c>
      <c r="EH242" s="14" t="s">
        <v>7806</v>
      </c>
      <c r="EI242" s="14" t="s">
        <v>179</v>
      </c>
      <c r="EJ242" s="14" t="s">
        <v>7807</v>
      </c>
      <c r="EK242" s="15"/>
      <c r="EL242" s="15"/>
      <c r="EM242" s="15"/>
      <c r="EN242" s="15"/>
      <c r="EO242" s="15"/>
      <c r="EP242" s="15"/>
      <c r="EQ242" s="15"/>
      <c r="ER242" s="15"/>
      <c r="ES242" s="15"/>
      <c r="ET242" s="15"/>
      <c r="EU242" s="15"/>
      <c r="EV242" s="15"/>
      <c r="EW242" s="15"/>
      <c r="EX242" s="15"/>
      <c r="EY242" s="15"/>
      <c r="EZ242" s="15"/>
      <c r="FA242" s="15"/>
      <c r="FB242" s="15"/>
      <c r="FC242" s="16" t="s">
        <v>197</v>
      </c>
      <c r="FD242" s="17" t="s">
        <v>198</v>
      </c>
      <c r="FE242" s="18">
        <v>45723.42517361111</v>
      </c>
      <c r="FF242" s="19"/>
      <c r="FG242" s="19"/>
      <c r="FH242" s="21" t="s">
        <v>197</v>
      </c>
      <c r="FI242" s="17" t="s">
        <v>214</v>
      </c>
      <c r="FJ242" s="18">
        <v>45723.42517361111</v>
      </c>
      <c r="FK242" s="14" t="s">
        <v>7807</v>
      </c>
      <c r="FL242" s="14" t="s">
        <v>7808</v>
      </c>
      <c r="FM242" s="14" t="s">
        <v>7809</v>
      </c>
      <c r="FN242" s="19"/>
      <c r="FO242" s="19"/>
      <c r="FP242" s="19" t="str">
        <f t="shared" si="1"/>
        <v>Base de Dados_Images/CAM-1.Imagem do Equipamento-.160650.jpg</v>
      </c>
      <c r="FQ242" s="19"/>
      <c r="FR242" s="19"/>
    </row>
    <row r="243" ht="15.75" customHeight="1">
      <c r="A243" s="12" t="s">
        <v>357</v>
      </c>
      <c r="B243" s="12" t="s">
        <v>7753</v>
      </c>
      <c r="C243" s="24" t="s">
        <v>7695</v>
      </c>
      <c r="D243" s="12" t="s">
        <v>7810</v>
      </c>
      <c r="E243" s="12" t="s">
        <v>7811</v>
      </c>
      <c r="F243" s="13" t="s">
        <v>178</v>
      </c>
      <c r="G243" s="14" t="s">
        <v>179</v>
      </c>
      <c r="H243" s="14" t="s">
        <v>7812</v>
      </c>
      <c r="I243" s="14" t="s">
        <v>179</v>
      </c>
      <c r="J243" s="14" t="s">
        <v>7813</v>
      </c>
      <c r="K243" s="14" t="s">
        <v>179</v>
      </c>
      <c r="L243" s="14" t="s">
        <v>7814</v>
      </c>
      <c r="M243" s="14" t="s">
        <v>179</v>
      </c>
      <c r="N243" s="14" t="s">
        <v>7815</v>
      </c>
      <c r="O243" s="14" t="s">
        <v>179</v>
      </c>
      <c r="P243" s="14" t="s">
        <v>7816</v>
      </c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6" t="s">
        <v>197</v>
      </c>
      <c r="BP243" s="17" t="s">
        <v>228</v>
      </c>
      <c r="BQ243" s="23"/>
      <c r="BR243" s="17" t="s">
        <v>198</v>
      </c>
      <c r="BS243" s="18">
        <v>45711.68971064815</v>
      </c>
      <c r="BT243" s="17" t="s">
        <v>198</v>
      </c>
      <c r="BU243" s="18">
        <v>45711.68971064815</v>
      </c>
      <c r="BV243" s="13" t="s">
        <v>199</v>
      </c>
      <c r="BW243" s="14" t="s">
        <v>179</v>
      </c>
      <c r="BX243" s="14" t="s">
        <v>7817</v>
      </c>
      <c r="BY243" s="14" t="s">
        <v>179</v>
      </c>
      <c r="BZ243" s="14" t="s">
        <v>7818</v>
      </c>
      <c r="CA243" s="14" t="s">
        <v>179</v>
      </c>
      <c r="CB243" s="14" t="s">
        <v>7819</v>
      </c>
      <c r="CC243" s="15"/>
      <c r="CD243" s="15"/>
      <c r="CE243" s="15"/>
      <c r="CF243" s="15"/>
      <c r="CG243" s="19"/>
      <c r="CH243" s="15"/>
      <c r="CI243" s="19"/>
      <c r="CJ243" s="15"/>
      <c r="CK243" s="19"/>
      <c r="CL243" s="15"/>
      <c r="CM243" s="19"/>
      <c r="CN243" s="15"/>
      <c r="CO243" s="19"/>
      <c r="CP243" s="15"/>
      <c r="CQ243" s="15"/>
      <c r="CR243" s="15"/>
      <c r="CS243" s="19"/>
      <c r="CT243" s="15"/>
      <c r="CU243" s="19"/>
      <c r="CV243" s="15"/>
      <c r="CW243" s="19"/>
      <c r="CX243" s="15"/>
      <c r="CY243" s="19"/>
      <c r="CZ243" s="15"/>
      <c r="DA243" s="16" t="s">
        <v>197</v>
      </c>
      <c r="DB243" s="17" t="s">
        <v>228</v>
      </c>
      <c r="DC243" s="16"/>
      <c r="DD243" s="17" t="s">
        <v>198</v>
      </c>
      <c r="DE243" s="18">
        <v>45711.689791666664</v>
      </c>
      <c r="DF243" s="17" t="s">
        <v>198</v>
      </c>
      <c r="DG243" s="18">
        <v>45711.689791666664</v>
      </c>
      <c r="DH243" s="13" t="s">
        <v>205</v>
      </c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6" t="s">
        <v>197</v>
      </c>
      <c r="ED243" s="17" t="s">
        <v>228</v>
      </c>
      <c r="EE243" s="23"/>
      <c r="EF243" s="13" t="s">
        <v>209</v>
      </c>
      <c r="EG243" s="14" t="s">
        <v>179</v>
      </c>
      <c r="EH243" s="14" t="s">
        <v>7820</v>
      </c>
      <c r="EI243" s="14" t="s">
        <v>179</v>
      </c>
      <c r="EJ243" s="14" t="s">
        <v>7821</v>
      </c>
      <c r="EK243" s="15"/>
      <c r="EL243" s="15"/>
      <c r="EM243" s="15"/>
      <c r="EN243" s="15"/>
      <c r="EO243" s="15"/>
      <c r="EP243" s="15"/>
      <c r="EQ243" s="15"/>
      <c r="ER243" s="15"/>
      <c r="ES243" s="15"/>
      <c r="ET243" s="15"/>
      <c r="EU243" s="15"/>
      <c r="EV243" s="15"/>
      <c r="EW243" s="15"/>
      <c r="EX243" s="15"/>
      <c r="EY243" s="15"/>
      <c r="EZ243" s="15"/>
      <c r="FA243" s="15"/>
      <c r="FB243" s="15"/>
      <c r="FC243" s="16" t="s">
        <v>197</v>
      </c>
      <c r="FD243" s="17" t="s">
        <v>198</v>
      </c>
      <c r="FE243" s="18">
        <v>45711.68989583333</v>
      </c>
      <c r="FF243" s="19"/>
      <c r="FG243" s="19"/>
      <c r="FH243" s="21" t="s">
        <v>197</v>
      </c>
      <c r="FI243" s="17" t="s">
        <v>214</v>
      </c>
      <c r="FJ243" s="18">
        <v>45711.68989583333</v>
      </c>
      <c r="FK243" s="14" t="s">
        <v>7821</v>
      </c>
      <c r="FL243" s="19"/>
      <c r="FM243" s="19"/>
      <c r="FN243" s="19"/>
      <c r="FO243" s="19"/>
      <c r="FP243" s="19" t="str">
        <f t="shared" si="1"/>
        <v/>
      </c>
      <c r="FQ243" s="14" t="s">
        <v>215</v>
      </c>
      <c r="FR243" s="14" t="s">
        <v>7822</v>
      </c>
    </row>
    <row r="244" ht="15.75" customHeight="1">
      <c r="A244" s="12" t="s">
        <v>357</v>
      </c>
      <c r="B244" s="12" t="s">
        <v>7823</v>
      </c>
      <c r="C244" s="24" t="s">
        <v>7695</v>
      </c>
      <c r="D244" s="12" t="s">
        <v>7824</v>
      </c>
      <c r="E244" s="12" t="s">
        <v>7825</v>
      </c>
      <c r="F244" s="13" t="s">
        <v>178</v>
      </c>
      <c r="G244" s="14" t="s">
        <v>179</v>
      </c>
      <c r="H244" s="14" t="s">
        <v>7826</v>
      </c>
      <c r="I244" s="14" t="s">
        <v>179</v>
      </c>
      <c r="J244" s="14" t="s">
        <v>7827</v>
      </c>
      <c r="K244" s="14" t="s">
        <v>179</v>
      </c>
      <c r="L244" s="14" t="s">
        <v>7828</v>
      </c>
      <c r="M244" s="14" t="s">
        <v>179</v>
      </c>
      <c r="N244" s="14" t="s">
        <v>7829</v>
      </c>
      <c r="O244" s="14" t="s">
        <v>179</v>
      </c>
      <c r="P244" s="14" t="s">
        <v>7830</v>
      </c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6" t="s">
        <v>197</v>
      </c>
      <c r="BP244" s="17" t="s">
        <v>228</v>
      </c>
      <c r="BQ244" s="23"/>
      <c r="BR244" s="17" t="s">
        <v>198</v>
      </c>
      <c r="BS244" s="18">
        <v>45686.62771990741</v>
      </c>
      <c r="BT244" s="17" t="s">
        <v>198</v>
      </c>
      <c r="BU244" s="18">
        <v>45686.62771990741</v>
      </c>
      <c r="BV244" s="13" t="s">
        <v>199</v>
      </c>
      <c r="BW244" s="14" t="s">
        <v>179</v>
      </c>
      <c r="BX244" s="14" t="s">
        <v>7831</v>
      </c>
      <c r="BY244" s="14" t="s">
        <v>179</v>
      </c>
      <c r="BZ244" s="14" t="s">
        <v>7832</v>
      </c>
      <c r="CA244" s="14" t="s">
        <v>179</v>
      </c>
      <c r="CB244" s="14" t="s">
        <v>7833</v>
      </c>
      <c r="CC244" s="15"/>
      <c r="CD244" s="15"/>
      <c r="CE244" s="15"/>
      <c r="CF244" s="15"/>
      <c r="CG244" s="19"/>
      <c r="CH244" s="15"/>
      <c r="CI244" s="19"/>
      <c r="CJ244" s="15"/>
      <c r="CK244" s="19"/>
      <c r="CL244" s="15"/>
      <c r="CM244" s="19"/>
      <c r="CN244" s="15"/>
      <c r="CO244" s="19"/>
      <c r="CP244" s="15"/>
      <c r="CQ244" s="15"/>
      <c r="CR244" s="15"/>
      <c r="CS244" s="19"/>
      <c r="CT244" s="15"/>
      <c r="CU244" s="19"/>
      <c r="CV244" s="15"/>
      <c r="CW244" s="19"/>
      <c r="CX244" s="15"/>
      <c r="CY244" s="19"/>
      <c r="CZ244" s="15"/>
      <c r="DA244" s="16" t="s">
        <v>197</v>
      </c>
      <c r="DB244" s="17" t="s">
        <v>228</v>
      </c>
      <c r="DC244" s="16"/>
      <c r="DD244" s="17" t="s">
        <v>198</v>
      </c>
      <c r="DE244" s="18">
        <v>45711.690416666665</v>
      </c>
      <c r="DF244" s="17" t="s">
        <v>198</v>
      </c>
      <c r="DG244" s="18">
        <v>45711.690416666665</v>
      </c>
      <c r="DH244" s="13" t="s">
        <v>205</v>
      </c>
      <c r="DI244" s="15"/>
      <c r="DJ244" s="15"/>
      <c r="DK244" s="15"/>
      <c r="DL244" s="15"/>
      <c r="DM244" s="15"/>
      <c r="DN244" s="15"/>
      <c r="DO244" s="15"/>
      <c r="DP244" s="15"/>
      <c r="DQ244" s="15"/>
      <c r="DR244" s="15"/>
      <c r="DS244" s="15"/>
      <c r="DT244" s="15"/>
      <c r="DU244" s="15"/>
      <c r="DV244" s="15"/>
      <c r="DW244" s="15"/>
      <c r="DX244" s="15"/>
      <c r="DY244" s="15"/>
      <c r="DZ244" s="15"/>
      <c r="EA244" s="15"/>
      <c r="EB244" s="15"/>
      <c r="EC244" s="16" t="s">
        <v>197</v>
      </c>
      <c r="ED244" s="17" t="s">
        <v>228</v>
      </c>
      <c r="EE244" s="23"/>
      <c r="EF244" s="13" t="s">
        <v>209</v>
      </c>
      <c r="EG244" s="14" t="s">
        <v>179</v>
      </c>
      <c r="EH244" s="14" t="s">
        <v>7834</v>
      </c>
      <c r="EI244" s="14" t="s">
        <v>179</v>
      </c>
      <c r="EJ244" s="14" t="s">
        <v>7835</v>
      </c>
      <c r="EK244" s="15"/>
      <c r="EL244" s="15"/>
      <c r="EM244" s="15"/>
      <c r="EN244" s="15"/>
      <c r="EO244" s="15"/>
      <c r="EP244" s="15"/>
      <c r="EQ244" s="15"/>
      <c r="ER244" s="15"/>
      <c r="ES244" s="15"/>
      <c r="ET244" s="15"/>
      <c r="EU244" s="15"/>
      <c r="EV244" s="15"/>
      <c r="EW244" s="15"/>
      <c r="EX244" s="15"/>
      <c r="EY244" s="15"/>
      <c r="EZ244" s="15"/>
      <c r="FA244" s="15"/>
      <c r="FB244" s="15"/>
      <c r="FC244" s="16" t="s">
        <v>197</v>
      </c>
      <c r="FD244" s="17" t="s">
        <v>198</v>
      </c>
      <c r="FE244" s="18">
        <v>45711.69048611111</v>
      </c>
      <c r="FF244" s="19"/>
      <c r="FG244" s="19"/>
      <c r="FH244" s="21" t="s">
        <v>197</v>
      </c>
      <c r="FI244" s="17" t="s">
        <v>214</v>
      </c>
      <c r="FJ244" s="18">
        <v>45711.69048611111</v>
      </c>
      <c r="FK244" s="14" t="s">
        <v>7835</v>
      </c>
      <c r="FL244" s="14" t="s">
        <v>7836</v>
      </c>
      <c r="FM244" s="14" t="s">
        <v>7837</v>
      </c>
      <c r="FN244" s="19"/>
      <c r="FO244" s="19"/>
      <c r="FP244" s="19" t="str">
        <f t="shared" si="1"/>
        <v>Base de Dados_Images/CAM-11.Imagem do Equipamento-.182815.jpg</v>
      </c>
      <c r="FQ244" s="19"/>
      <c r="FR244" s="19"/>
    </row>
    <row r="245" ht="15.75" customHeight="1">
      <c r="A245" s="12" t="s">
        <v>357</v>
      </c>
      <c r="B245" s="12" t="s">
        <v>7838</v>
      </c>
      <c r="C245" s="24" t="s">
        <v>7695</v>
      </c>
      <c r="D245" s="12" t="s">
        <v>7839</v>
      </c>
      <c r="E245" s="12" t="s">
        <v>7840</v>
      </c>
      <c r="F245" s="13" t="s">
        <v>178</v>
      </c>
      <c r="G245" s="14" t="s">
        <v>179</v>
      </c>
      <c r="H245" s="14" t="s">
        <v>7841</v>
      </c>
      <c r="I245" s="14" t="s">
        <v>179</v>
      </c>
      <c r="J245" s="14" t="s">
        <v>7842</v>
      </c>
      <c r="K245" s="14" t="s">
        <v>179</v>
      </c>
      <c r="L245" s="14" t="s">
        <v>7843</v>
      </c>
      <c r="M245" s="14" t="s">
        <v>179</v>
      </c>
      <c r="N245" s="14" t="s">
        <v>7844</v>
      </c>
      <c r="O245" s="14" t="s">
        <v>179</v>
      </c>
      <c r="P245" s="14" t="s">
        <v>7845</v>
      </c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6" t="s">
        <v>197</v>
      </c>
      <c r="BP245" s="17" t="s">
        <v>228</v>
      </c>
      <c r="BQ245" s="23"/>
      <c r="BR245" s="17" t="s">
        <v>198</v>
      </c>
      <c r="BS245" s="18">
        <v>45687.46810185185</v>
      </c>
      <c r="BT245" s="17" t="s">
        <v>198</v>
      </c>
      <c r="BU245" s="18">
        <v>45687.46810185185</v>
      </c>
      <c r="BV245" s="13" t="s">
        <v>199</v>
      </c>
      <c r="BW245" s="14" t="s">
        <v>179</v>
      </c>
      <c r="BX245" s="14" t="s">
        <v>7846</v>
      </c>
      <c r="BY245" s="14" t="s">
        <v>179</v>
      </c>
      <c r="BZ245" s="14" t="s">
        <v>7847</v>
      </c>
      <c r="CA245" s="14" t="s">
        <v>179</v>
      </c>
      <c r="CB245" s="14" t="s">
        <v>7848</v>
      </c>
      <c r="CC245" s="15"/>
      <c r="CD245" s="15"/>
      <c r="CE245" s="15"/>
      <c r="CF245" s="15"/>
      <c r="CG245" s="19"/>
      <c r="CH245" s="15"/>
      <c r="CI245" s="19"/>
      <c r="CJ245" s="15"/>
      <c r="CK245" s="19"/>
      <c r="CL245" s="15"/>
      <c r="CM245" s="19"/>
      <c r="CN245" s="15"/>
      <c r="CO245" s="19"/>
      <c r="CP245" s="15"/>
      <c r="CQ245" s="15"/>
      <c r="CR245" s="15"/>
      <c r="CS245" s="19"/>
      <c r="CT245" s="15"/>
      <c r="CU245" s="19"/>
      <c r="CV245" s="15"/>
      <c r="CW245" s="19"/>
      <c r="CX245" s="15"/>
      <c r="CY245" s="19"/>
      <c r="CZ245" s="15"/>
      <c r="DA245" s="16" t="s">
        <v>197</v>
      </c>
      <c r="DB245" s="17" t="s">
        <v>228</v>
      </c>
      <c r="DC245" s="16"/>
      <c r="DD245" s="17" t="s">
        <v>198</v>
      </c>
      <c r="DE245" s="18">
        <v>45711.6866087963</v>
      </c>
      <c r="DF245" s="17" t="s">
        <v>198</v>
      </c>
      <c r="DG245" s="18">
        <v>45711.6866087963</v>
      </c>
      <c r="DH245" s="13" t="s">
        <v>205</v>
      </c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6" t="s">
        <v>197</v>
      </c>
      <c r="ED245" s="17" t="s">
        <v>228</v>
      </c>
      <c r="EE245" s="23"/>
      <c r="EF245" s="13" t="s">
        <v>209</v>
      </c>
      <c r="EG245" s="14" t="s">
        <v>179</v>
      </c>
      <c r="EH245" s="14" t="s">
        <v>7849</v>
      </c>
      <c r="EI245" s="14" t="s">
        <v>179</v>
      </c>
      <c r="EJ245" s="14" t="s">
        <v>7850</v>
      </c>
      <c r="EK245" s="15"/>
      <c r="EL245" s="15"/>
      <c r="EM245" s="15"/>
      <c r="EN245" s="15"/>
      <c r="EO245" s="15"/>
      <c r="EP245" s="15"/>
      <c r="EQ245" s="15"/>
      <c r="ER245" s="15"/>
      <c r="ES245" s="15"/>
      <c r="ET245" s="15"/>
      <c r="EU245" s="15"/>
      <c r="EV245" s="15"/>
      <c r="EW245" s="15"/>
      <c r="EX245" s="15"/>
      <c r="EY245" s="15"/>
      <c r="EZ245" s="15"/>
      <c r="FA245" s="15"/>
      <c r="FB245" s="15"/>
      <c r="FC245" s="16" t="s">
        <v>197</v>
      </c>
      <c r="FD245" s="17" t="s">
        <v>198</v>
      </c>
      <c r="FE245" s="18">
        <v>45711.686689814815</v>
      </c>
      <c r="FF245" s="19"/>
      <c r="FG245" s="19"/>
      <c r="FH245" s="21" t="s">
        <v>197</v>
      </c>
      <c r="FI245" s="17" t="s">
        <v>214</v>
      </c>
      <c r="FJ245" s="18">
        <v>45711.686689814815</v>
      </c>
      <c r="FK245" s="14" t="s">
        <v>7850</v>
      </c>
      <c r="FL245" s="14" t="s">
        <v>7851</v>
      </c>
      <c r="FM245" s="14" t="s">
        <v>7852</v>
      </c>
      <c r="FN245" s="19"/>
      <c r="FO245" s="19"/>
      <c r="FP245" s="19" t="str">
        <f t="shared" si="1"/>
        <v>Base de Dados_Images/CAM-12.Imagem do Equipamento-.150137.jpg</v>
      </c>
      <c r="FQ245" s="19"/>
      <c r="FR245" s="19"/>
    </row>
    <row r="246" ht="15.75" customHeight="1">
      <c r="A246" s="12" t="s">
        <v>357</v>
      </c>
      <c r="B246" s="12" t="s">
        <v>7853</v>
      </c>
      <c r="C246" s="24" t="s">
        <v>7695</v>
      </c>
      <c r="D246" s="12" t="s">
        <v>7854</v>
      </c>
      <c r="E246" s="12" t="s">
        <v>7855</v>
      </c>
      <c r="F246" s="13" t="s">
        <v>178</v>
      </c>
      <c r="G246" s="14" t="s">
        <v>179</v>
      </c>
      <c r="H246" s="14" t="s">
        <v>7856</v>
      </c>
      <c r="I246" s="14" t="s">
        <v>179</v>
      </c>
      <c r="J246" s="14" t="s">
        <v>7857</v>
      </c>
      <c r="K246" s="14" t="s">
        <v>179</v>
      </c>
      <c r="L246" s="14" t="s">
        <v>7858</v>
      </c>
      <c r="M246" s="14" t="s">
        <v>179</v>
      </c>
      <c r="N246" s="14" t="s">
        <v>7859</v>
      </c>
      <c r="O246" s="14" t="s">
        <v>179</v>
      </c>
      <c r="P246" s="14" t="s">
        <v>7860</v>
      </c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6" t="s">
        <v>197</v>
      </c>
      <c r="BP246" s="17" t="s">
        <v>228</v>
      </c>
      <c r="BQ246" s="23"/>
      <c r="BR246" s="17" t="s">
        <v>198</v>
      </c>
      <c r="BS246" s="18">
        <v>45689.61923611111</v>
      </c>
      <c r="BT246" s="17" t="s">
        <v>198</v>
      </c>
      <c r="BU246" s="18">
        <v>45689.61923611111</v>
      </c>
      <c r="BV246" s="13" t="s">
        <v>199</v>
      </c>
      <c r="BW246" s="14" t="s">
        <v>179</v>
      </c>
      <c r="BX246" s="14" t="s">
        <v>7861</v>
      </c>
      <c r="BY246" s="14" t="s">
        <v>179</v>
      </c>
      <c r="BZ246" s="14" t="s">
        <v>7862</v>
      </c>
      <c r="CA246" s="14" t="s">
        <v>179</v>
      </c>
      <c r="CB246" s="14" t="s">
        <v>7863</v>
      </c>
      <c r="CC246" s="15"/>
      <c r="CD246" s="15"/>
      <c r="CE246" s="15"/>
      <c r="CF246" s="15"/>
      <c r="CG246" s="19"/>
      <c r="CH246" s="15"/>
      <c r="CI246" s="19"/>
      <c r="CJ246" s="15"/>
      <c r="CK246" s="19"/>
      <c r="CL246" s="15"/>
      <c r="CM246" s="19"/>
      <c r="CN246" s="15"/>
      <c r="CO246" s="19"/>
      <c r="CP246" s="15"/>
      <c r="CQ246" s="15"/>
      <c r="CR246" s="15"/>
      <c r="CS246" s="19"/>
      <c r="CT246" s="15"/>
      <c r="CU246" s="19"/>
      <c r="CV246" s="15"/>
      <c r="CW246" s="19"/>
      <c r="CX246" s="15"/>
      <c r="CY246" s="19"/>
      <c r="CZ246" s="15"/>
      <c r="DA246" s="16" t="s">
        <v>197</v>
      </c>
      <c r="DB246" s="17" t="s">
        <v>228</v>
      </c>
      <c r="DC246" s="16"/>
      <c r="DD246" s="17" t="s">
        <v>198</v>
      </c>
      <c r="DE246" s="18">
        <v>45711.69013888889</v>
      </c>
      <c r="DF246" s="17" t="s">
        <v>198</v>
      </c>
      <c r="DG246" s="18">
        <v>45711.69013888889</v>
      </c>
      <c r="DH246" s="13" t="s">
        <v>205</v>
      </c>
      <c r="DI246" s="15"/>
      <c r="DJ246" s="15"/>
      <c r="DK246" s="15"/>
      <c r="DL246" s="15"/>
      <c r="DM246" s="15"/>
      <c r="DN246" s="15"/>
      <c r="DO246" s="15"/>
      <c r="DP246" s="15"/>
      <c r="DQ246" s="15"/>
      <c r="DR246" s="15"/>
      <c r="DS246" s="15"/>
      <c r="DT246" s="15"/>
      <c r="DU246" s="15"/>
      <c r="DV246" s="15"/>
      <c r="DW246" s="15"/>
      <c r="DX246" s="15"/>
      <c r="DY246" s="15"/>
      <c r="DZ246" s="15"/>
      <c r="EA246" s="15"/>
      <c r="EB246" s="15"/>
      <c r="EC246" s="16" t="s">
        <v>197</v>
      </c>
      <c r="ED246" s="17" t="s">
        <v>228</v>
      </c>
      <c r="EE246" s="23"/>
      <c r="EF246" s="13" t="s">
        <v>209</v>
      </c>
      <c r="EG246" s="14" t="s">
        <v>179</v>
      </c>
      <c r="EH246" s="14" t="s">
        <v>7864</v>
      </c>
      <c r="EI246" s="14" t="s">
        <v>179</v>
      </c>
      <c r="EJ246" s="14" t="s">
        <v>7865</v>
      </c>
      <c r="EK246" s="15"/>
      <c r="EL246" s="15"/>
      <c r="EM246" s="15"/>
      <c r="EN246" s="15"/>
      <c r="EO246" s="15"/>
      <c r="EP246" s="15"/>
      <c r="EQ246" s="15"/>
      <c r="ER246" s="15"/>
      <c r="ES246" s="15"/>
      <c r="ET246" s="15"/>
      <c r="EU246" s="15"/>
      <c r="EV246" s="15"/>
      <c r="EW246" s="15"/>
      <c r="EX246" s="15"/>
      <c r="EY246" s="15"/>
      <c r="EZ246" s="15"/>
      <c r="FA246" s="15"/>
      <c r="FB246" s="15"/>
      <c r="FC246" s="16" t="s">
        <v>197</v>
      </c>
      <c r="FD246" s="17" t="s">
        <v>198</v>
      </c>
      <c r="FE246" s="18">
        <v>45711.69019675926</v>
      </c>
      <c r="FF246" s="19"/>
      <c r="FG246" s="19"/>
      <c r="FH246" s="21" t="s">
        <v>197</v>
      </c>
      <c r="FI246" s="17" t="s">
        <v>214</v>
      </c>
      <c r="FJ246" s="18">
        <v>45711.69019675926</v>
      </c>
      <c r="FK246" s="14" t="s">
        <v>7865</v>
      </c>
      <c r="FL246" s="14" t="s">
        <v>7866</v>
      </c>
      <c r="FM246" s="14" t="s">
        <v>7867</v>
      </c>
      <c r="FN246" s="19"/>
      <c r="FO246" s="19"/>
      <c r="FP246" s="19" t="str">
        <f t="shared" si="1"/>
        <v>Base de Dados_Images/CAM-14.Imagem do Equipamento-.124812.jpg</v>
      </c>
      <c r="FQ246" s="14"/>
      <c r="FR246" s="14"/>
    </row>
    <row r="247" ht="15.75" customHeight="1">
      <c r="A247" s="12" t="s">
        <v>357</v>
      </c>
      <c r="B247" s="12" t="s">
        <v>7868</v>
      </c>
      <c r="C247" s="24" t="s">
        <v>7695</v>
      </c>
      <c r="D247" s="12" t="s">
        <v>7869</v>
      </c>
      <c r="E247" s="12" t="s">
        <v>7870</v>
      </c>
      <c r="F247" s="13" t="s">
        <v>178</v>
      </c>
      <c r="G247" s="14" t="s">
        <v>179</v>
      </c>
      <c r="H247" s="14" t="s">
        <v>7871</v>
      </c>
      <c r="I247" s="14" t="s">
        <v>179</v>
      </c>
      <c r="J247" s="14" t="s">
        <v>7872</v>
      </c>
      <c r="K247" s="14" t="s">
        <v>179</v>
      </c>
      <c r="L247" s="14" t="s">
        <v>7873</v>
      </c>
      <c r="M247" s="14" t="s">
        <v>179</v>
      </c>
      <c r="N247" s="14" t="s">
        <v>7874</v>
      </c>
      <c r="O247" s="14" t="s">
        <v>179</v>
      </c>
      <c r="P247" s="14" t="s">
        <v>7875</v>
      </c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6" t="s">
        <v>197</v>
      </c>
      <c r="BP247" s="17" t="s">
        <v>228</v>
      </c>
      <c r="BQ247" s="23"/>
      <c r="BR247" s="17" t="s">
        <v>198</v>
      </c>
      <c r="BS247" s="18">
        <v>45687.38783564815</v>
      </c>
      <c r="BT247" s="17" t="s">
        <v>198</v>
      </c>
      <c r="BU247" s="18">
        <v>45687.38783564815</v>
      </c>
      <c r="BV247" s="13" t="s">
        <v>199</v>
      </c>
      <c r="BW247" s="14" t="s">
        <v>179</v>
      </c>
      <c r="BX247" s="14" t="s">
        <v>7876</v>
      </c>
      <c r="BY247" s="14" t="s">
        <v>179</v>
      </c>
      <c r="BZ247" s="14" t="s">
        <v>7877</v>
      </c>
      <c r="CA247" s="14" t="s">
        <v>179</v>
      </c>
      <c r="CB247" s="14" t="s">
        <v>7878</v>
      </c>
      <c r="CC247" s="15"/>
      <c r="CD247" s="15"/>
      <c r="CE247" s="15"/>
      <c r="CF247" s="15"/>
      <c r="CG247" s="19"/>
      <c r="CH247" s="15"/>
      <c r="CI247" s="19"/>
      <c r="CJ247" s="15"/>
      <c r="CK247" s="19"/>
      <c r="CL247" s="15"/>
      <c r="CM247" s="19"/>
      <c r="CN247" s="15"/>
      <c r="CO247" s="19"/>
      <c r="CP247" s="15"/>
      <c r="CQ247" s="15"/>
      <c r="CR247" s="15"/>
      <c r="CS247" s="19"/>
      <c r="CT247" s="15"/>
      <c r="CU247" s="19"/>
      <c r="CV247" s="15"/>
      <c r="CW247" s="19"/>
      <c r="CX247" s="15"/>
      <c r="CY247" s="19"/>
      <c r="CZ247" s="15"/>
      <c r="DA247" s="16" t="s">
        <v>197</v>
      </c>
      <c r="DB247" s="17" t="s">
        <v>228</v>
      </c>
      <c r="DC247" s="16"/>
      <c r="DD247" s="17" t="s">
        <v>198</v>
      </c>
      <c r="DE247" s="18">
        <v>45709.39465277778</v>
      </c>
      <c r="DF247" s="17" t="s">
        <v>198</v>
      </c>
      <c r="DG247" s="18">
        <v>45709.39465277778</v>
      </c>
      <c r="DH247" s="13" t="s">
        <v>205</v>
      </c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6" t="s">
        <v>197</v>
      </c>
      <c r="ED247" s="17" t="s">
        <v>228</v>
      </c>
      <c r="EE247" s="23"/>
      <c r="EF247" s="13" t="s">
        <v>209</v>
      </c>
      <c r="EG247" s="14" t="s">
        <v>179</v>
      </c>
      <c r="EH247" s="14" t="s">
        <v>7879</v>
      </c>
      <c r="EI247" s="14" t="s">
        <v>179</v>
      </c>
      <c r="EJ247" s="14" t="s">
        <v>7880</v>
      </c>
      <c r="EK247" s="15"/>
      <c r="EL247" s="15"/>
      <c r="EM247" s="15"/>
      <c r="EN247" s="15"/>
      <c r="EO247" s="15"/>
      <c r="EP247" s="15"/>
      <c r="EQ247" s="15"/>
      <c r="ER247" s="15"/>
      <c r="ES247" s="15"/>
      <c r="ET247" s="15"/>
      <c r="EU247" s="15"/>
      <c r="EV247" s="15"/>
      <c r="EW247" s="15"/>
      <c r="EX247" s="15"/>
      <c r="EY247" s="15"/>
      <c r="EZ247" s="15"/>
      <c r="FA247" s="15"/>
      <c r="FB247" s="15"/>
      <c r="FC247" s="16" t="s">
        <v>197</v>
      </c>
      <c r="FD247" s="17" t="s">
        <v>198</v>
      </c>
      <c r="FE247" s="18">
        <v>45709.48810185185</v>
      </c>
      <c r="FF247" s="19"/>
      <c r="FG247" s="19"/>
      <c r="FH247" s="21" t="s">
        <v>197</v>
      </c>
      <c r="FI247" s="17" t="s">
        <v>214</v>
      </c>
      <c r="FJ247" s="18">
        <v>45709.48810185185</v>
      </c>
      <c r="FK247" s="14" t="s">
        <v>7879</v>
      </c>
      <c r="FL247" s="14" t="s">
        <v>7881</v>
      </c>
      <c r="FM247" s="14" t="s">
        <v>7882</v>
      </c>
      <c r="FN247" s="19"/>
      <c r="FO247" s="19"/>
      <c r="FP247" s="19" t="str">
        <f t="shared" si="1"/>
        <v>Base de Dados_Images/CAM-15.Imagem do Equipamento-.124524.jpg</v>
      </c>
      <c r="FQ247" s="19"/>
      <c r="FR247" s="19"/>
    </row>
    <row r="248" ht="15.75" customHeight="1">
      <c r="A248" s="12" t="s">
        <v>174</v>
      </c>
      <c r="B248" s="12" t="s">
        <v>7883</v>
      </c>
      <c r="C248" s="24" t="s">
        <v>7695</v>
      </c>
      <c r="D248" s="12" t="s">
        <v>7884</v>
      </c>
      <c r="E248" s="12" t="s">
        <v>7885</v>
      </c>
      <c r="F248" s="13" t="s">
        <v>178</v>
      </c>
      <c r="G248" s="14" t="s">
        <v>179</v>
      </c>
      <c r="H248" s="14" t="s">
        <v>7886</v>
      </c>
      <c r="I248" s="14" t="s">
        <v>179</v>
      </c>
      <c r="J248" s="14" t="s">
        <v>7887</v>
      </c>
      <c r="K248" s="14" t="s">
        <v>179</v>
      </c>
      <c r="L248" s="14" t="s">
        <v>7888</v>
      </c>
      <c r="M248" s="14" t="s">
        <v>179</v>
      </c>
      <c r="N248" s="14" t="s">
        <v>7889</v>
      </c>
      <c r="O248" s="14" t="s">
        <v>179</v>
      </c>
      <c r="P248" s="14" t="s">
        <v>7890</v>
      </c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6" t="s">
        <v>197</v>
      </c>
      <c r="BP248" s="17" t="s">
        <v>228</v>
      </c>
      <c r="BQ248" s="23"/>
      <c r="BR248" s="17" t="s">
        <v>198</v>
      </c>
      <c r="BS248" s="18">
        <v>45722.37945601852</v>
      </c>
      <c r="BT248" s="17" t="s">
        <v>198</v>
      </c>
      <c r="BU248" s="18">
        <v>45722.37945601852</v>
      </c>
      <c r="BV248" s="13" t="s">
        <v>199</v>
      </c>
      <c r="BW248" s="14" t="s">
        <v>179</v>
      </c>
      <c r="BX248" s="14" t="s">
        <v>7891</v>
      </c>
      <c r="BY248" s="14" t="s">
        <v>179</v>
      </c>
      <c r="BZ248" s="14" t="s">
        <v>7891</v>
      </c>
      <c r="CA248" s="14" t="s">
        <v>179</v>
      </c>
      <c r="CB248" s="14" t="s">
        <v>7892</v>
      </c>
      <c r="CC248" s="15"/>
      <c r="CD248" s="15"/>
      <c r="CE248" s="15"/>
      <c r="CF248" s="15"/>
      <c r="CG248" s="19"/>
      <c r="CH248" s="15"/>
      <c r="CI248" s="19"/>
      <c r="CJ248" s="15"/>
      <c r="CK248" s="19"/>
      <c r="CL248" s="15"/>
      <c r="CM248" s="19"/>
      <c r="CN248" s="15"/>
      <c r="CO248" s="19"/>
      <c r="CP248" s="15"/>
      <c r="CQ248" s="15"/>
      <c r="CR248" s="15"/>
      <c r="CS248" s="19"/>
      <c r="CT248" s="15"/>
      <c r="CU248" s="19"/>
      <c r="CV248" s="15"/>
      <c r="CW248" s="19"/>
      <c r="CX248" s="15"/>
      <c r="CY248" s="19"/>
      <c r="CZ248" s="15"/>
      <c r="DA248" s="16" t="s">
        <v>197</v>
      </c>
      <c r="DB248" s="17" t="s">
        <v>228</v>
      </c>
      <c r="DC248" s="16"/>
      <c r="DD248" s="17" t="s">
        <v>198</v>
      </c>
      <c r="DE248" s="18">
        <v>45722.37950231481</v>
      </c>
      <c r="DF248" s="17" t="s">
        <v>198</v>
      </c>
      <c r="DG248" s="18">
        <v>45722.37950231481</v>
      </c>
      <c r="DH248" s="13" t="s">
        <v>205</v>
      </c>
      <c r="DI248" s="15"/>
      <c r="DJ248" s="15"/>
      <c r="DK248" s="15"/>
      <c r="DL248" s="15"/>
      <c r="DM248" s="15"/>
      <c r="DN248" s="15"/>
      <c r="DO248" s="15"/>
      <c r="DP248" s="15"/>
      <c r="DQ248" s="15"/>
      <c r="DR248" s="15"/>
      <c r="DS248" s="15"/>
      <c r="DT248" s="15"/>
      <c r="DU248" s="15"/>
      <c r="DV248" s="15"/>
      <c r="DW248" s="15"/>
      <c r="DX248" s="15"/>
      <c r="DY248" s="15"/>
      <c r="DZ248" s="15"/>
      <c r="EA248" s="15"/>
      <c r="EB248" s="15"/>
      <c r="EC248" s="16" t="s">
        <v>197</v>
      </c>
      <c r="ED248" s="17" t="s">
        <v>228</v>
      </c>
      <c r="EE248" s="23"/>
      <c r="EF248" s="13" t="s">
        <v>209</v>
      </c>
      <c r="EG248" s="14" t="s">
        <v>179</v>
      </c>
      <c r="EH248" s="14" t="s">
        <v>7893</v>
      </c>
      <c r="EI248" s="14" t="s">
        <v>179</v>
      </c>
      <c r="EJ248" s="14" t="s">
        <v>7893</v>
      </c>
      <c r="EK248" s="15"/>
      <c r="EL248" s="15"/>
      <c r="EM248" s="15"/>
      <c r="EN248" s="15"/>
      <c r="EO248" s="15"/>
      <c r="EP248" s="15"/>
      <c r="EQ248" s="15"/>
      <c r="ER248" s="15"/>
      <c r="ES248" s="15"/>
      <c r="ET248" s="15"/>
      <c r="EU248" s="15"/>
      <c r="EV248" s="15"/>
      <c r="EW248" s="15"/>
      <c r="EX248" s="15"/>
      <c r="EY248" s="15"/>
      <c r="EZ248" s="15"/>
      <c r="FA248" s="15"/>
      <c r="FB248" s="15"/>
      <c r="FC248" s="16" t="s">
        <v>197</v>
      </c>
      <c r="FD248" s="17" t="s">
        <v>198</v>
      </c>
      <c r="FE248" s="18">
        <v>45723.28424768519</v>
      </c>
      <c r="FF248" s="19"/>
      <c r="FG248" s="19"/>
      <c r="FH248" s="21" t="s">
        <v>197</v>
      </c>
      <c r="FI248" s="17" t="s">
        <v>214</v>
      </c>
      <c r="FJ248" s="18">
        <v>45723.28424768519</v>
      </c>
      <c r="FK248" s="14" t="s">
        <v>7893</v>
      </c>
      <c r="FL248" s="19"/>
      <c r="FM248" s="19"/>
      <c r="FN248" s="19"/>
      <c r="FO248" s="19"/>
      <c r="FP248" s="19" t="str">
        <f t="shared" si="1"/>
        <v/>
      </c>
      <c r="FQ248" s="14" t="s">
        <v>215</v>
      </c>
      <c r="FR248" s="14" t="s">
        <v>7894</v>
      </c>
    </row>
    <row r="249" ht="15.75" customHeight="1">
      <c r="A249" s="12" t="s">
        <v>174</v>
      </c>
      <c r="B249" s="12" t="s">
        <v>7895</v>
      </c>
      <c r="C249" s="24" t="s">
        <v>7695</v>
      </c>
      <c r="D249" s="12" t="s">
        <v>7896</v>
      </c>
      <c r="E249" s="12" t="s">
        <v>7897</v>
      </c>
      <c r="F249" s="13" t="s">
        <v>178</v>
      </c>
      <c r="G249" s="14" t="s">
        <v>179</v>
      </c>
      <c r="H249" s="14" t="s">
        <v>7898</v>
      </c>
      <c r="I249" s="14" t="s">
        <v>179</v>
      </c>
      <c r="J249" s="14" t="s">
        <v>7899</v>
      </c>
      <c r="K249" s="14" t="s">
        <v>179</v>
      </c>
      <c r="L249" s="14" t="s">
        <v>7900</v>
      </c>
      <c r="M249" s="14" t="s">
        <v>179</v>
      </c>
      <c r="N249" s="14" t="s">
        <v>7901</v>
      </c>
      <c r="O249" s="14" t="s">
        <v>179</v>
      </c>
      <c r="P249" s="14" t="s">
        <v>7902</v>
      </c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6" t="s">
        <v>197</v>
      </c>
      <c r="BP249" s="17" t="s">
        <v>228</v>
      </c>
      <c r="BQ249" s="23"/>
      <c r="BR249" s="17" t="s">
        <v>198</v>
      </c>
      <c r="BS249" s="18">
        <v>45699.40940972222</v>
      </c>
      <c r="BT249" s="17" t="s">
        <v>198</v>
      </c>
      <c r="BU249" s="18">
        <v>45699.40940972222</v>
      </c>
      <c r="BV249" s="13" t="s">
        <v>199</v>
      </c>
      <c r="BW249" s="14" t="s">
        <v>179</v>
      </c>
      <c r="BX249" s="14" t="s">
        <v>7903</v>
      </c>
      <c r="BY249" s="14" t="s">
        <v>179</v>
      </c>
      <c r="BZ249" s="14" t="s">
        <v>7904</v>
      </c>
      <c r="CA249" s="14" t="s">
        <v>179</v>
      </c>
      <c r="CB249" s="14" t="s">
        <v>7905</v>
      </c>
      <c r="CC249" s="15"/>
      <c r="CD249" s="15"/>
      <c r="CE249" s="15"/>
      <c r="CF249" s="15"/>
      <c r="CG249" s="19"/>
      <c r="CH249" s="15"/>
      <c r="CI249" s="19"/>
      <c r="CJ249" s="15"/>
      <c r="CK249" s="19"/>
      <c r="CL249" s="15"/>
      <c r="CM249" s="19"/>
      <c r="CN249" s="15"/>
      <c r="CO249" s="19"/>
      <c r="CP249" s="15"/>
      <c r="CQ249" s="15"/>
      <c r="CR249" s="15"/>
      <c r="CS249" s="19"/>
      <c r="CT249" s="15"/>
      <c r="CU249" s="19"/>
      <c r="CV249" s="15"/>
      <c r="CW249" s="19"/>
      <c r="CX249" s="15"/>
      <c r="CY249" s="19"/>
      <c r="CZ249" s="15"/>
      <c r="DA249" s="16" t="s">
        <v>197</v>
      </c>
      <c r="DB249" s="17" t="s">
        <v>228</v>
      </c>
      <c r="DC249" s="16"/>
      <c r="DD249" s="17" t="s">
        <v>198</v>
      </c>
      <c r="DE249" s="18">
        <v>45719.48428240741</v>
      </c>
      <c r="DF249" s="17" t="s">
        <v>198</v>
      </c>
      <c r="DG249" s="18">
        <v>45719.48428240741</v>
      </c>
      <c r="DH249" s="13" t="s">
        <v>205</v>
      </c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6" t="s">
        <v>197</v>
      </c>
      <c r="ED249" s="17" t="s">
        <v>228</v>
      </c>
      <c r="EE249" s="23"/>
      <c r="EF249" s="13" t="s">
        <v>209</v>
      </c>
      <c r="EG249" s="14" t="s">
        <v>179</v>
      </c>
      <c r="EH249" s="14" t="s">
        <v>7906</v>
      </c>
      <c r="EI249" s="14" t="s">
        <v>179</v>
      </c>
      <c r="EJ249" s="14" t="s">
        <v>7906</v>
      </c>
      <c r="EK249" s="15"/>
      <c r="EL249" s="15"/>
      <c r="EM249" s="15"/>
      <c r="EN249" s="15"/>
      <c r="EO249" s="15"/>
      <c r="EP249" s="15"/>
      <c r="EQ249" s="15"/>
      <c r="ER249" s="15"/>
      <c r="ES249" s="15"/>
      <c r="ET249" s="15"/>
      <c r="EU249" s="15"/>
      <c r="EV249" s="15"/>
      <c r="EW249" s="15"/>
      <c r="EX249" s="15"/>
      <c r="EY249" s="15"/>
      <c r="EZ249" s="15"/>
      <c r="FA249" s="15"/>
      <c r="FB249" s="15"/>
      <c r="FC249" s="16" t="s">
        <v>197</v>
      </c>
      <c r="FD249" s="17" t="s">
        <v>198</v>
      </c>
      <c r="FE249" s="18">
        <v>45723.272685185184</v>
      </c>
      <c r="FF249" s="19"/>
      <c r="FG249" s="19"/>
      <c r="FH249" s="21" t="s">
        <v>197</v>
      </c>
      <c r="FI249" s="17" t="s">
        <v>214</v>
      </c>
      <c r="FJ249" s="18">
        <v>45723.272685185184</v>
      </c>
      <c r="FK249" s="14" t="s">
        <v>7906</v>
      </c>
      <c r="FL249" s="14" t="s">
        <v>7907</v>
      </c>
      <c r="FM249" s="14" t="s">
        <v>7908</v>
      </c>
      <c r="FN249" s="19"/>
      <c r="FO249" s="19"/>
      <c r="FP249" s="19" t="str">
        <f t="shared" si="1"/>
        <v>Base de Dados_Images/CAM-17.Imagem do Equipamento-.130020.jpg</v>
      </c>
      <c r="FQ249" s="19"/>
      <c r="FR249" s="19"/>
    </row>
    <row r="250" ht="15.75" customHeight="1">
      <c r="A250" s="12" t="s">
        <v>174</v>
      </c>
      <c r="B250" s="12" t="s">
        <v>7724</v>
      </c>
      <c r="C250" s="24" t="s">
        <v>7695</v>
      </c>
      <c r="D250" s="12" t="s">
        <v>7909</v>
      </c>
      <c r="E250" s="12" t="s">
        <v>7910</v>
      </c>
      <c r="F250" s="13" t="s">
        <v>178</v>
      </c>
      <c r="G250" s="14" t="s">
        <v>179</v>
      </c>
      <c r="H250" s="14" t="s">
        <v>7911</v>
      </c>
      <c r="I250" s="14" t="s">
        <v>179</v>
      </c>
      <c r="J250" s="14" t="s">
        <v>7912</v>
      </c>
      <c r="K250" s="14" t="s">
        <v>179</v>
      </c>
      <c r="L250" s="14" t="s">
        <v>7913</v>
      </c>
      <c r="M250" s="14" t="s">
        <v>179</v>
      </c>
      <c r="N250" s="14" t="s">
        <v>7914</v>
      </c>
      <c r="O250" s="14" t="s">
        <v>179</v>
      </c>
      <c r="P250" s="14" t="s">
        <v>7915</v>
      </c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6" t="s">
        <v>197</v>
      </c>
      <c r="BP250" s="17" t="s">
        <v>228</v>
      </c>
      <c r="BQ250" s="23"/>
      <c r="BR250" s="17" t="s">
        <v>198</v>
      </c>
      <c r="BS250" s="18">
        <v>45722.37914351852</v>
      </c>
      <c r="BT250" s="17" t="s">
        <v>198</v>
      </c>
      <c r="BU250" s="18">
        <v>45722.37914351852</v>
      </c>
      <c r="BV250" s="13" t="s">
        <v>199</v>
      </c>
      <c r="BW250" s="14" t="s">
        <v>179</v>
      </c>
      <c r="BX250" s="14" t="s">
        <v>7916</v>
      </c>
      <c r="BY250" s="14" t="s">
        <v>179</v>
      </c>
      <c r="BZ250" s="14" t="s">
        <v>7916</v>
      </c>
      <c r="CA250" s="14" t="s">
        <v>179</v>
      </c>
      <c r="CB250" s="14" t="s">
        <v>7917</v>
      </c>
      <c r="CC250" s="15"/>
      <c r="CD250" s="15"/>
      <c r="CE250" s="15"/>
      <c r="CF250" s="15"/>
      <c r="CG250" s="19"/>
      <c r="CH250" s="15"/>
      <c r="CI250" s="19"/>
      <c r="CJ250" s="15"/>
      <c r="CK250" s="19"/>
      <c r="CL250" s="15"/>
      <c r="CM250" s="19"/>
      <c r="CN250" s="15"/>
      <c r="CO250" s="19"/>
      <c r="CP250" s="15"/>
      <c r="CQ250" s="15"/>
      <c r="CR250" s="15"/>
      <c r="CS250" s="19"/>
      <c r="CT250" s="15"/>
      <c r="CU250" s="19"/>
      <c r="CV250" s="15"/>
      <c r="CW250" s="19"/>
      <c r="CX250" s="15"/>
      <c r="CY250" s="19"/>
      <c r="CZ250" s="15"/>
      <c r="DA250" s="16" t="s">
        <v>197</v>
      </c>
      <c r="DB250" s="17" t="s">
        <v>228</v>
      </c>
      <c r="DC250" s="16"/>
      <c r="DD250" s="17" t="s">
        <v>198</v>
      </c>
      <c r="DE250" s="18">
        <v>45722.379212962966</v>
      </c>
      <c r="DF250" s="17" t="s">
        <v>198</v>
      </c>
      <c r="DG250" s="18">
        <v>45722.379212962966</v>
      </c>
      <c r="DH250" s="13" t="s">
        <v>205</v>
      </c>
      <c r="DI250" s="15"/>
      <c r="DJ250" s="15"/>
      <c r="DK250" s="15"/>
      <c r="DL250" s="15"/>
      <c r="DM250" s="15"/>
      <c r="DN250" s="15"/>
      <c r="DO250" s="15"/>
      <c r="DP250" s="15"/>
      <c r="DQ250" s="15"/>
      <c r="DR250" s="15"/>
      <c r="DS250" s="15"/>
      <c r="DT250" s="15"/>
      <c r="DU250" s="15"/>
      <c r="DV250" s="15"/>
      <c r="DW250" s="15"/>
      <c r="DX250" s="15"/>
      <c r="DY250" s="15"/>
      <c r="DZ250" s="15"/>
      <c r="EA250" s="15"/>
      <c r="EB250" s="15"/>
      <c r="EC250" s="16" t="s">
        <v>197</v>
      </c>
      <c r="ED250" s="17" t="s">
        <v>228</v>
      </c>
      <c r="EE250" s="23"/>
      <c r="EF250" s="13" t="s">
        <v>209</v>
      </c>
      <c r="EG250" s="14" t="s">
        <v>179</v>
      </c>
      <c r="EH250" s="14" t="s">
        <v>7918</v>
      </c>
      <c r="EI250" s="14" t="s">
        <v>179</v>
      </c>
      <c r="EJ250" s="14" t="s">
        <v>7919</v>
      </c>
      <c r="EK250" s="15"/>
      <c r="EL250" s="15"/>
      <c r="EM250" s="15"/>
      <c r="EN250" s="15"/>
      <c r="EO250" s="15"/>
      <c r="EP250" s="15"/>
      <c r="EQ250" s="15"/>
      <c r="ER250" s="15"/>
      <c r="ES250" s="15"/>
      <c r="ET250" s="15"/>
      <c r="EU250" s="15"/>
      <c r="EV250" s="15"/>
      <c r="EW250" s="15"/>
      <c r="EX250" s="15"/>
      <c r="EY250" s="15"/>
      <c r="EZ250" s="15"/>
      <c r="FA250" s="15"/>
      <c r="FB250" s="15"/>
      <c r="FC250" s="16" t="s">
        <v>197</v>
      </c>
      <c r="FD250" s="17" t="s">
        <v>198</v>
      </c>
      <c r="FE250" s="18">
        <v>45723.2821875</v>
      </c>
      <c r="FF250" s="19"/>
      <c r="FG250" s="19"/>
      <c r="FH250" s="21" t="s">
        <v>197</v>
      </c>
      <c r="FI250" s="17" t="s">
        <v>214</v>
      </c>
      <c r="FJ250" s="18">
        <v>45723.2821875</v>
      </c>
      <c r="FK250" s="14" t="s">
        <v>7918</v>
      </c>
      <c r="FL250" s="19"/>
      <c r="FM250" s="19"/>
      <c r="FN250" s="19"/>
      <c r="FO250" s="19"/>
      <c r="FP250" s="19" t="str">
        <f t="shared" si="1"/>
        <v/>
      </c>
      <c r="FQ250" s="14" t="s">
        <v>215</v>
      </c>
      <c r="FR250" s="14" t="s">
        <v>7920</v>
      </c>
    </row>
    <row r="251" ht="15.75" customHeight="1">
      <c r="A251" s="12" t="s">
        <v>174</v>
      </c>
      <c r="B251" s="12" t="s">
        <v>7921</v>
      </c>
      <c r="C251" s="24" t="s">
        <v>7695</v>
      </c>
      <c r="D251" s="12" t="s">
        <v>7922</v>
      </c>
      <c r="E251" s="12" t="s">
        <v>7923</v>
      </c>
      <c r="F251" s="13" t="s">
        <v>178</v>
      </c>
      <c r="G251" s="14" t="s">
        <v>179</v>
      </c>
      <c r="H251" s="14" t="s">
        <v>7924</v>
      </c>
      <c r="I251" s="14" t="s">
        <v>179</v>
      </c>
      <c r="J251" s="14" t="s">
        <v>7925</v>
      </c>
      <c r="K251" s="14" t="s">
        <v>179</v>
      </c>
      <c r="L251" s="14" t="s">
        <v>7926</v>
      </c>
      <c r="M251" s="14" t="s">
        <v>179</v>
      </c>
      <c r="N251" s="14" t="s">
        <v>7927</v>
      </c>
      <c r="O251" s="14" t="s">
        <v>179</v>
      </c>
      <c r="P251" s="14" t="s">
        <v>7928</v>
      </c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6" t="s">
        <v>197</v>
      </c>
      <c r="BP251" s="17" t="s">
        <v>228</v>
      </c>
      <c r="BQ251" s="23"/>
      <c r="BR251" s="17" t="s">
        <v>198</v>
      </c>
      <c r="BS251" s="18">
        <v>45686.44090277778</v>
      </c>
      <c r="BT251" s="17" t="s">
        <v>198</v>
      </c>
      <c r="BU251" s="18">
        <v>45686.44090277778</v>
      </c>
      <c r="BV251" s="13" t="s">
        <v>199</v>
      </c>
      <c r="BW251" s="14" t="s">
        <v>179</v>
      </c>
      <c r="BX251" s="14" t="s">
        <v>7929</v>
      </c>
      <c r="BY251" s="14" t="s">
        <v>179</v>
      </c>
      <c r="BZ251" s="14" t="s">
        <v>7929</v>
      </c>
      <c r="CA251" s="14" t="s">
        <v>179</v>
      </c>
      <c r="CB251" s="14" t="s">
        <v>7930</v>
      </c>
      <c r="CC251" s="15"/>
      <c r="CD251" s="15"/>
      <c r="CE251" s="15"/>
      <c r="CF251" s="15"/>
      <c r="CG251" s="19"/>
      <c r="CH251" s="15"/>
      <c r="CI251" s="19"/>
      <c r="CJ251" s="15"/>
      <c r="CK251" s="19"/>
      <c r="CL251" s="15"/>
      <c r="CM251" s="19"/>
      <c r="CN251" s="15"/>
      <c r="CO251" s="19"/>
      <c r="CP251" s="15"/>
      <c r="CQ251" s="15"/>
      <c r="CR251" s="15"/>
      <c r="CS251" s="19"/>
      <c r="CT251" s="15"/>
      <c r="CU251" s="19"/>
      <c r="CV251" s="15"/>
      <c r="CW251" s="19"/>
      <c r="CX251" s="15"/>
      <c r="CY251" s="19"/>
      <c r="CZ251" s="15"/>
      <c r="DA251" s="16" t="s">
        <v>197</v>
      </c>
      <c r="DB251" s="17" t="s">
        <v>228</v>
      </c>
      <c r="DC251" s="16"/>
      <c r="DD251" s="17" t="s">
        <v>198</v>
      </c>
      <c r="DE251" s="18">
        <v>45719.48229166667</v>
      </c>
      <c r="DF251" s="17" t="s">
        <v>198</v>
      </c>
      <c r="DG251" s="18">
        <v>45719.48229166667</v>
      </c>
      <c r="DH251" s="13" t="s">
        <v>205</v>
      </c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6" t="s">
        <v>197</v>
      </c>
      <c r="ED251" s="17" t="s">
        <v>228</v>
      </c>
      <c r="EE251" s="23"/>
      <c r="EF251" s="13" t="s">
        <v>209</v>
      </c>
      <c r="EG251" s="14" t="s">
        <v>179</v>
      </c>
      <c r="EH251" s="14" t="s">
        <v>7931</v>
      </c>
      <c r="EI251" s="14" t="s">
        <v>179</v>
      </c>
      <c r="EJ251" s="14" t="s">
        <v>7931</v>
      </c>
      <c r="EK251" s="15"/>
      <c r="EL251" s="15"/>
      <c r="EM251" s="15"/>
      <c r="EN251" s="15"/>
      <c r="EO251" s="15"/>
      <c r="EP251" s="15"/>
      <c r="EQ251" s="15"/>
      <c r="ER251" s="15"/>
      <c r="ES251" s="15"/>
      <c r="ET251" s="15"/>
      <c r="EU251" s="15"/>
      <c r="EV251" s="15"/>
      <c r="EW251" s="15"/>
      <c r="EX251" s="15"/>
      <c r="EY251" s="15"/>
      <c r="EZ251" s="15"/>
      <c r="FA251" s="15"/>
      <c r="FB251" s="15"/>
      <c r="FC251" s="16" t="s">
        <v>197</v>
      </c>
      <c r="FD251" s="17" t="s">
        <v>198</v>
      </c>
      <c r="FE251" s="18">
        <v>45723.28267361111</v>
      </c>
      <c r="FF251" s="19"/>
      <c r="FG251" s="19"/>
      <c r="FH251" s="21" t="s">
        <v>197</v>
      </c>
      <c r="FI251" s="17" t="s">
        <v>214</v>
      </c>
      <c r="FJ251" s="18">
        <v>45723.28267361111</v>
      </c>
      <c r="FK251" s="14" t="s">
        <v>7931</v>
      </c>
      <c r="FL251" s="14" t="s">
        <v>7932</v>
      </c>
      <c r="FM251" s="14" t="s">
        <v>7933</v>
      </c>
      <c r="FN251" s="19"/>
      <c r="FO251" s="19"/>
      <c r="FP251" s="19" t="str">
        <f t="shared" si="1"/>
        <v>Base de Dados_Images/CAM-19.Imagem do Equipamento-.133951.jpg</v>
      </c>
      <c r="FQ251" s="19"/>
      <c r="FR251" s="19"/>
    </row>
    <row r="252" ht="15.75" customHeight="1">
      <c r="A252" s="12" t="s">
        <v>357</v>
      </c>
      <c r="B252" s="12" t="s">
        <v>7795</v>
      </c>
      <c r="C252" s="24" t="s">
        <v>7695</v>
      </c>
      <c r="D252" s="12" t="s">
        <v>7934</v>
      </c>
      <c r="E252" s="12" t="s">
        <v>7935</v>
      </c>
      <c r="F252" s="13" t="s">
        <v>178</v>
      </c>
      <c r="G252" s="14" t="s">
        <v>179</v>
      </c>
      <c r="H252" s="14" t="s">
        <v>7936</v>
      </c>
      <c r="I252" s="14" t="s">
        <v>179</v>
      </c>
      <c r="J252" s="14" t="s">
        <v>7937</v>
      </c>
      <c r="K252" s="14" t="s">
        <v>179</v>
      </c>
      <c r="L252" s="14" t="s">
        <v>7938</v>
      </c>
      <c r="M252" s="14" t="s">
        <v>179</v>
      </c>
      <c r="N252" s="14" t="s">
        <v>7939</v>
      </c>
      <c r="O252" s="14" t="s">
        <v>179</v>
      </c>
      <c r="P252" s="14" t="s">
        <v>7940</v>
      </c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6" t="s">
        <v>197</v>
      </c>
      <c r="BP252" s="17" t="s">
        <v>228</v>
      </c>
      <c r="BQ252" s="23"/>
      <c r="BR252" s="17" t="s">
        <v>198</v>
      </c>
      <c r="BS252" s="18">
        <v>45686.547106481485</v>
      </c>
      <c r="BT252" s="17" t="s">
        <v>198</v>
      </c>
      <c r="BU252" s="18">
        <v>45686.547106481485</v>
      </c>
      <c r="BV252" s="13" t="s">
        <v>199</v>
      </c>
      <c r="BW252" s="14" t="s">
        <v>179</v>
      </c>
      <c r="BX252" s="14" t="s">
        <v>7941</v>
      </c>
      <c r="BY252" s="14" t="s">
        <v>179</v>
      </c>
      <c r="BZ252" s="14" t="s">
        <v>7942</v>
      </c>
      <c r="CA252" s="14" t="s">
        <v>179</v>
      </c>
      <c r="CB252" s="14" t="s">
        <v>7942</v>
      </c>
      <c r="CC252" s="15"/>
      <c r="CD252" s="15"/>
      <c r="CE252" s="15"/>
      <c r="CF252" s="15"/>
      <c r="CG252" s="19"/>
      <c r="CH252" s="15"/>
      <c r="CI252" s="19"/>
      <c r="CJ252" s="15"/>
      <c r="CK252" s="19"/>
      <c r="CL252" s="15"/>
      <c r="CM252" s="19"/>
      <c r="CN252" s="15"/>
      <c r="CO252" s="19"/>
      <c r="CP252" s="15"/>
      <c r="CQ252" s="15"/>
      <c r="CR252" s="15"/>
      <c r="CS252" s="19"/>
      <c r="CT252" s="15"/>
      <c r="CU252" s="19"/>
      <c r="CV252" s="15"/>
      <c r="CW252" s="19"/>
      <c r="CX252" s="15"/>
      <c r="CY252" s="19"/>
      <c r="CZ252" s="15"/>
      <c r="DA252" s="16" t="s">
        <v>197</v>
      </c>
      <c r="DB252" s="17" t="s">
        <v>228</v>
      </c>
      <c r="DC252" s="16"/>
      <c r="DD252" s="17" t="s">
        <v>198</v>
      </c>
      <c r="DE252" s="18">
        <v>45699.45443287037</v>
      </c>
      <c r="DF252" s="17" t="s">
        <v>198</v>
      </c>
      <c r="DG252" s="18">
        <v>45699.45443287037</v>
      </c>
      <c r="DH252" s="13" t="s">
        <v>205</v>
      </c>
      <c r="DI252" s="15"/>
      <c r="DJ252" s="15"/>
      <c r="DK252" s="15"/>
      <c r="DL252" s="15"/>
      <c r="DM252" s="15"/>
      <c r="DN252" s="15"/>
      <c r="DO252" s="15"/>
      <c r="DP252" s="15"/>
      <c r="DQ252" s="15"/>
      <c r="DR252" s="15"/>
      <c r="DS252" s="15"/>
      <c r="DT252" s="15"/>
      <c r="DU252" s="15"/>
      <c r="DV252" s="15"/>
      <c r="DW252" s="15"/>
      <c r="DX252" s="15"/>
      <c r="DY252" s="15"/>
      <c r="DZ252" s="15"/>
      <c r="EA252" s="15"/>
      <c r="EB252" s="15"/>
      <c r="EC252" s="16" t="s">
        <v>197</v>
      </c>
      <c r="ED252" s="17" t="s">
        <v>228</v>
      </c>
      <c r="EE252" s="23"/>
      <c r="EF252" s="13" t="s">
        <v>209</v>
      </c>
      <c r="EG252" s="14" t="s">
        <v>179</v>
      </c>
      <c r="EH252" s="14" t="s">
        <v>7943</v>
      </c>
      <c r="EI252" s="14" t="s">
        <v>179</v>
      </c>
      <c r="EJ252" s="14" t="s">
        <v>7943</v>
      </c>
      <c r="EK252" s="15"/>
      <c r="EL252" s="15"/>
      <c r="EM252" s="15"/>
      <c r="EN252" s="15"/>
      <c r="EO252" s="15"/>
      <c r="EP252" s="15"/>
      <c r="EQ252" s="15"/>
      <c r="ER252" s="15"/>
      <c r="ES252" s="15"/>
      <c r="ET252" s="15"/>
      <c r="EU252" s="15"/>
      <c r="EV252" s="15"/>
      <c r="EW252" s="15"/>
      <c r="EX252" s="15"/>
      <c r="EY252" s="15"/>
      <c r="EZ252" s="15"/>
      <c r="FA252" s="15"/>
      <c r="FB252" s="15"/>
      <c r="FC252" s="16" t="s">
        <v>197</v>
      </c>
      <c r="FD252" s="17" t="s">
        <v>198</v>
      </c>
      <c r="FE252" s="18">
        <v>45723.4252662037</v>
      </c>
      <c r="FF252" s="19"/>
      <c r="FG252" s="19"/>
      <c r="FH252" s="21" t="s">
        <v>197</v>
      </c>
      <c r="FI252" s="17" t="s">
        <v>214</v>
      </c>
      <c r="FJ252" s="18">
        <v>45723.4252662037</v>
      </c>
      <c r="FK252" s="14" t="s">
        <v>7943</v>
      </c>
      <c r="FL252" s="14" t="s">
        <v>7944</v>
      </c>
      <c r="FM252" s="14" t="s">
        <v>7945</v>
      </c>
      <c r="FN252" s="19"/>
      <c r="FO252" s="19"/>
      <c r="FP252" s="19" t="str">
        <f t="shared" si="1"/>
        <v>Base de Dados_Images/CAM-2.Imagem do Equipamento-.160753.jpg</v>
      </c>
      <c r="FQ252" s="19"/>
      <c r="FR252" s="19"/>
    </row>
    <row r="253" ht="15.75" customHeight="1">
      <c r="A253" s="12" t="s">
        <v>174</v>
      </c>
      <c r="B253" s="12" t="s">
        <v>7946</v>
      </c>
      <c r="C253" s="24" t="s">
        <v>7695</v>
      </c>
      <c r="D253" s="12" t="s">
        <v>7947</v>
      </c>
      <c r="E253" s="12" t="s">
        <v>7948</v>
      </c>
      <c r="F253" s="13" t="s">
        <v>178</v>
      </c>
      <c r="G253" s="14" t="s">
        <v>179</v>
      </c>
      <c r="H253" s="14" t="s">
        <v>7949</v>
      </c>
      <c r="I253" s="14" t="s">
        <v>179</v>
      </c>
      <c r="J253" s="14" t="s">
        <v>7950</v>
      </c>
      <c r="K253" s="14" t="s">
        <v>179</v>
      </c>
      <c r="L253" s="14" t="s">
        <v>7951</v>
      </c>
      <c r="M253" s="14" t="s">
        <v>179</v>
      </c>
      <c r="N253" s="14" t="s">
        <v>7951</v>
      </c>
      <c r="O253" s="14" t="s">
        <v>179</v>
      </c>
      <c r="P253" s="14" t="s">
        <v>7952</v>
      </c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6" t="s">
        <v>197</v>
      </c>
      <c r="BP253" s="17" t="s">
        <v>228</v>
      </c>
      <c r="BQ253" s="23"/>
      <c r="BR253" s="17" t="s">
        <v>198</v>
      </c>
      <c r="BS253" s="18">
        <v>45722.43796296296</v>
      </c>
      <c r="BT253" s="17" t="s">
        <v>198</v>
      </c>
      <c r="BU253" s="18">
        <v>45722.43796296296</v>
      </c>
      <c r="BV253" s="13" t="s">
        <v>199</v>
      </c>
      <c r="BW253" s="14" t="s">
        <v>179</v>
      </c>
      <c r="BX253" s="14" t="s">
        <v>7953</v>
      </c>
      <c r="BY253" s="14" t="s">
        <v>179</v>
      </c>
      <c r="BZ253" s="14" t="s">
        <v>7953</v>
      </c>
      <c r="CA253" s="14" t="s">
        <v>179</v>
      </c>
      <c r="CB253" s="14" t="s">
        <v>7954</v>
      </c>
      <c r="CC253" s="15"/>
      <c r="CD253" s="15"/>
      <c r="CE253" s="15"/>
      <c r="CF253" s="15"/>
      <c r="CG253" s="19"/>
      <c r="CH253" s="15"/>
      <c r="CI253" s="19"/>
      <c r="CJ253" s="15"/>
      <c r="CK253" s="19"/>
      <c r="CL253" s="15"/>
      <c r="CM253" s="19"/>
      <c r="CN253" s="15"/>
      <c r="CO253" s="19"/>
      <c r="CP253" s="15"/>
      <c r="CQ253" s="15"/>
      <c r="CR253" s="15"/>
      <c r="CS253" s="19"/>
      <c r="CT253" s="15"/>
      <c r="CU253" s="19"/>
      <c r="CV253" s="15"/>
      <c r="CW253" s="19"/>
      <c r="CX253" s="15"/>
      <c r="CY253" s="19"/>
      <c r="CZ253" s="15"/>
      <c r="DA253" s="16" t="s">
        <v>197</v>
      </c>
      <c r="DB253" s="17" t="s">
        <v>228</v>
      </c>
      <c r="DC253" s="16"/>
      <c r="DD253" s="17" t="s">
        <v>198</v>
      </c>
      <c r="DE253" s="18">
        <v>45723.267858796295</v>
      </c>
      <c r="DF253" s="17" t="s">
        <v>198</v>
      </c>
      <c r="DG253" s="18">
        <v>45723.267858796295</v>
      </c>
      <c r="DH253" s="13" t="s">
        <v>205</v>
      </c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6" t="s">
        <v>197</v>
      </c>
      <c r="ED253" s="17" t="s">
        <v>228</v>
      </c>
      <c r="EE253" s="23"/>
      <c r="EF253" s="13" t="s">
        <v>209</v>
      </c>
      <c r="EG253" s="14" t="s">
        <v>179</v>
      </c>
      <c r="EH253" s="14" t="s">
        <v>7955</v>
      </c>
      <c r="EI253" s="14" t="s">
        <v>179</v>
      </c>
      <c r="EJ253" s="14" t="s">
        <v>7956</v>
      </c>
      <c r="EK253" s="15"/>
      <c r="EL253" s="15"/>
      <c r="EM253" s="15"/>
      <c r="EN253" s="15"/>
      <c r="EO253" s="15"/>
      <c r="EP253" s="15"/>
      <c r="EQ253" s="15"/>
      <c r="ER253" s="15"/>
      <c r="ES253" s="15"/>
      <c r="ET253" s="15"/>
      <c r="EU253" s="15"/>
      <c r="EV253" s="15"/>
      <c r="EW253" s="15"/>
      <c r="EX253" s="15"/>
      <c r="EY253" s="15"/>
      <c r="EZ253" s="15"/>
      <c r="FA253" s="15"/>
      <c r="FB253" s="15"/>
      <c r="FC253" s="16" t="s">
        <v>197</v>
      </c>
      <c r="FD253" s="17" t="s">
        <v>198</v>
      </c>
      <c r="FE253" s="18">
        <v>45723.267905092594</v>
      </c>
      <c r="FF253" s="19"/>
      <c r="FG253" s="19"/>
      <c r="FH253" s="21" t="s">
        <v>197</v>
      </c>
      <c r="FI253" s="17" t="s">
        <v>214</v>
      </c>
      <c r="FJ253" s="18">
        <v>45723.267905092594</v>
      </c>
      <c r="FK253" s="14" t="s">
        <v>7956</v>
      </c>
      <c r="FL253" s="19"/>
      <c r="FM253" s="19"/>
      <c r="FN253" s="19"/>
      <c r="FO253" s="19"/>
      <c r="FP253" s="19" t="str">
        <f t="shared" si="1"/>
        <v/>
      </c>
      <c r="FQ253" s="14" t="s">
        <v>215</v>
      </c>
      <c r="FR253" s="14" t="s">
        <v>7957</v>
      </c>
    </row>
    <row r="254" ht="15.75" customHeight="1">
      <c r="A254" s="12" t="s">
        <v>174</v>
      </c>
      <c r="B254" s="12" t="s">
        <v>7883</v>
      </c>
      <c r="C254" s="24" t="s">
        <v>7695</v>
      </c>
      <c r="D254" s="12" t="s">
        <v>7958</v>
      </c>
      <c r="E254" s="12" t="s">
        <v>7959</v>
      </c>
      <c r="F254" s="13" t="s">
        <v>178</v>
      </c>
      <c r="G254" s="14" t="s">
        <v>179</v>
      </c>
      <c r="H254" s="14" t="s">
        <v>7960</v>
      </c>
      <c r="I254" s="14" t="s">
        <v>179</v>
      </c>
      <c r="J254" s="14" t="s">
        <v>7961</v>
      </c>
      <c r="K254" s="14" t="s">
        <v>179</v>
      </c>
      <c r="L254" s="14" t="s">
        <v>7962</v>
      </c>
      <c r="M254" s="14" t="s">
        <v>179</v>
      </c>
      <c r="N254" s="14" t="s">
        <v>7962</v>
      </c>
      <c r="O254" s="14" t="s">
        <v>179</v>
      </c>
      <c r="P254" s="14" t="s">
        <v>7963</v>
      </c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6" t="s">
        <v>197</v>
      </c>
      <c r="BP254" s="17" t="s">
        <v>228</v>
      </c>
      <c r="BQ254" s="23"/>
      <c r="BR254" s="17" t="s">
        <v>198</v>
      </c>
      <c r="BS254" s="18">
        <v>45720.643645833334</v>
      </c>
      <c r="BT254" s="17" t="s">
        <v>198</v>
      </c>
      <c r="BU254" s="18">
        <v>45720.643645833334</v>
      </c>
      <c r="BV254" s="13" t="s">
        <v>199</v>
      </c>
      <c r="BW254" s="14" t="s">
        <v>179</v>
      </c>
      <c r="BX254" s="14" t="s">
        <v>7964</v>
      </c>
      <c r="BY254" s="14" t="s">
        <v>179</v>
      </c>
      <c r="BZ254" s="14" t="s">
        <v>7965</v>
      </c>
      <c r="CA254" s="14" t="s">
        <v>179</v>
      </c>
      <c r="CB254" s="14" t="s">
        <v>7966</v>
      </c>
      <c r="CC254" s="15"/>
      <c r="CD254" s="15"/>
      <c r="CE254" s="15"/>
      <c r="CF254" s="15"/>
      <c r="CG254" s="19"/>
      <c r="CH254" s="15"/>
      <c r="CI254" s="19"/>
      <c r="CJ254" s="15"/>
      <c r="CK254" s="19"/>
      <c r="CL254" s="15"/>
      <c r="CM254" s="19"/>
      <c r="CN254" s="15"/>
      <c r="CO254" s="19"/>
      <c r="CP254" s="15"/>
      <c r="CQ254" s="15"/>
      <c r="CR254" s="15"/>
      <c r="CS254" s="19"/>
      <c r="CT254" s="15"/>
      <c r="CU254" s="19"/>
      <c r="CV254" s="15"/>
      <c r="CW254" s="19"/>
      <c r="CX254" s="15"/>
      <c r="CY254" s="19"/>
      <c r="CZ254" s="15"/>
      <c r="DA254" s="16" t="s">
        <v>197</v>
      </c>
      <c r="DB254" s="17" t="s">
        <v>228</v>
      </c>
      <c r="DC254" s="16"/>
      <c r="DD254" s="17" t="s">
        <v>198</v>
      </c>
      <c r="DE254" s="18">
        <v>45720.64372685185</v>
      </c>
      <c r="DF254" s="17" t="s">
        <v>198</v>
      </c>
      <c r="DG254" s="18">
        <v>45720.64372685185</v>
      </c>
      <c r="DH254" s="13" t="s">
        <v>205</v>
      </c>
      <c r="DI254" s="15"/>
      <c r="DJ254" s="15"/>
      <c r="DK254" s="15"/>
      <c r="DL254" s="15"/>
      <c r="DM254" s="15"/>
      <c r="DN254" s="15"/>
      <c r="DO254" s="15"/>
      <c r="DP254" s="15"/>
      <c r="DQ254" s="15"/>
      <c r="DR254" s="15"/>
      <c r="DS254" s="15"/>
      <c r="DT254" s="15"/>
      <c r="DU254" s="15"/>
      <c r="DV254" s="15"/>
      <c r="DW254" s="15"/>
      <c r="DX254" s="15"/>
      <c r="DY254" s="15"/>
      <c r="DZ254" s="15"/>
      <c r="EA254" s="15"/>
      <c r="EB254" s="15"/>
      <c r="EC254" s="16" t="s">
        <v>197</v>
      </c>
      <c r="ED254" s="17" t="s">
        <v>228</v>
      </c>
      <c r="EE254" s="23"/>
      <c r="EF254" s="13" t="s">
        <v>209</v>
      </c>
      <c r="EG254" s="14" t="s">
        <v>179</v>
      </c>
      <c r="EH254" s="14" t="s">
        <v>7967</v>
      </c>
      <c r="EI254" s="14" t="s">
        <v>179</v>
      </c>
      <c r="EJ254" s="14" t="s">
        <v>7968</v>
      </c>
      <c r="EK254" s="15"/>
      <c r="EL254" s="15"/>
      <c r="EM254" s="15"/>
      <c r="EN254" s="15"/>
      <c r="EO254" s="15"/>
      <c r="EP254" s="15"/>
      <c r="EQ254" s="15"/>
      <c r="ER254" s="15"/>
      <c r="ES254" s="15"/>
      <c r="ET254" s="15"/>
      <c r="EU254" s="15"/>
      <c r="EV254" s="15"/>
      <c r="EW254" s="15"/>
      <c r="EX254" s="15"/>
      <c r="EY254" s="15"/>
      <c r="EZ254" s="15"/>
      <c r="FA254" s="15"/>
      <c r="FB254" s="15"/>
      <c r="FC254" s="16" t="s">
        <v>197</v>
      </c>
      <c r="FD254" s="17" t="s">
        <v>198</v>
      </c>
      <c r="FE254" s="18">
        <v>45723.284317129626</v>
      </c>
      <c r="FF254" s="19"/>
      <c r="FG254" s="19"/>
      <c r="FH254" s="21" t="s">
        <v>197</v>
      </c>
      <c r="FI254" s="17" t="s">
        <v>214</v>
      </c>
      <c r="FJ254" s="18">
        <v>45723.284317129626</v>
      </c>
      <c r="FK254" s="14" t="s">
        <v>7967</v>
      </c>
      <c r="FL254" s="14" t="s">
        <v>7969</v>
      </c>
      <c r="FM254" s="14" t="s">
        <v>7970</v>
      </c>
      <c r="FN254" s="19"/>
      <c r="FO254" s="19"/>
      <c r="FP254" s="19" t="str">
        <f t="shared" si="1"/>
        <v>Base de Dados_Images/CAM-21.Imagem do Equipamento-.183522.jpg</v>
      </c>
      <c r="FQ254" s="19"/>
      <c r="FR254" s="19"/>
    </row>
    <row r="255" ht="15.75" customHeight="1">
      <c r="A255" s="12" t="s">
        <v>174</v>
      </c>
      <c r="B255" s="12" t="s">
        <v>7883</v>
      </c>
      <c r="C255" s="24" t="s">
        <v>7695</v>
      </c>
      <c r="D255" s="12" t="s">
        <v>7971</v>
      </c>
      <c r="E255" s="12" t="s">
        <v>7972</v>
      </c>
      <c r="F255" s="13" t="s">
        <v>178</v>
      </c>
      <c r="G255" s="14" t="s">
        <v>179</v>
      </c>
      <c r="H255" s="14" t="s">
        <v>7973</v>
      </c>
      <c r="I255" s="14" t="s">
        <v>179</v>
      </c>
      <c r="J255" s="14" t="s">
        <v>7973</v>
      </c>
      <c r="K255" s="14" t="s">
        <v>179</v>
      </c>
      <c r="L255" s="14" t="s">
        <v>7974</v>
      </c>
      <c r="M255" s="14" t="s">
        <v>179</v>
      </c>
      <c r="N255" s="14" t="s">
        <v>7975</v>
      </c>
      <c r="O255" s="14" t="s">
        <v>179</v>
      </c>
      <c r="P255" s="14" t="s">
        <v>7975</v>
      </c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6" t="s">
        <v>197</v>
      </c>
      <c r="BP255" s="17" t="s">
        <v>228</v>
      </c>
      <c r="BQ255" s="23"/>
      <c r="BR255" s="17" t="s">
        <v>198</v>
      </c>
      <c r="BS255" s="18">
        <v>45722.379594907405</v>
      </c>
      <c r="BT255" s="17" t="s">
        <v>198</v>
      </c>
      <c r="BU255" s="18">
        <v>45722.379594907405</v>
      </c>
      <c r="BV255" s="13" t="s">
        <v>199</v>
      </c>
      <c r="BW255" s="14" t="s">
        <v>179</v>
      </c>
      <c r="BX255" s="14" t="s">
        <v>7976</v>
      </c>
      <c r="BY255" s="14" t="s">
        <v>179</v>
      </c>
      <c r="BZ255" s="14" t="s">
        <v>7976</v>
      </c>
      <c r="CA255" s="14" t="s">
        <v>179</v>
      </c>
      <c r="CB255" s="14" t="s">
        <v>7977</v>
      </c>
      <c r="CC255" s="15"/>
      <c r="CD255" s="15"/>
      <c r="CE255" s="15"/>
      <c r="CF255" s="15"/>
      <c r="CG255" s="19"/>
      <c r="CH255" s="15"/>
      <c r="CI255" s="19"/>
      <c r="CJ255" s="15"/>
      <c r="CK255" s="19"/>
      <c r="CL255" s="15"/>
      <c r="CM255" s="19"/>
      <c r="CN255" s="15"/>
      <c r="CO255" s="19"/>
      <c r="CP255" s="15"/>
      <c r="CQ255" s="15"/>
      <c r="CR255" s="15"/>
      <c r="CS255" s="19"/>
      <c r="CT255" s="15"/>
      <c r="CU255" s="19"/>
      <c r="CV255" s="15"/>
      <c r="CW255" s="19"/>
      <c r="CX255" s="15"/>
      <c r="CY255" s="19"/>
      <c r="CZ255" s="15"/>
      <c r="DA255" s="16" t="s">
        <v>197</v>
      </c>
      <c r="DB255" s="17" t="s">
        <v>228</v>
      </c>
      <c r="DC255" s="16"/>
      <c r="DD255" s="17" t="s">
        <v>198</v>
      </c>
      <c r="DE255" s="18">
        <v>45722.37967592593</v>
      </c>
      <c r="DF255" s="17" t="s">
        <v>198</v>
      </c>
      <c r="DG255" s="18">
        <v>45722.37967592593</v>
      </c>
      <c r="DH255" s="13" t="s">
        <v>205</v>
      </c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6" t="s">
        <v>197</v>
      </c>
      <c r="ED255" s="17" t="s">
        <v>228</v>
      </c>
      <c r="EE255" s="23"/>
      <c r="EF255" s="13" t="s">
        <v>209</v>
      </c>
      <c r="EG255" s="14" t="s">
        <v>179</v>
      </c>
      <c r="EH255" s="14" t="s">
        <v>7978</v>
      </c>
      <c r="EI255" s="14" t="s">
        <v>179</v>
      </c>
      <c r="EJ255" s="14" t="s">
        <v>7979</v>
      </c>
      <c r="EK255" s="15"/>
      <c r="EL255" s="15"/>
      <c r="EM255" s="15"/>
      <c r="EN255" s="15"/>
      <c r="EO255" s="15"/>
      <c r="EP255" s="15"/>
      <c r="EQ255" s="15"/>
      <c r="ER255" s="15"/>
      <c r="ES255" s="15"/>
      <c r="ET255" s="15"/>
      <c r="EU255" s="15"/>
      <c r="EV255" s="15"/>
      <c r="EW255" s="15"/>
      <c r="EX255" s="15"/>
      <c r="EY255" s="15"/>
      <c r="EZ255" s="15"/>
      <c r="FA255" s="15"/>
      <c r="FB255" s="15"/>
      <c r="FC255" s="16" t="s">
        <v>197</v>
      </c>
      <c r="FD255" s="17" t="s">
        <v>198</v>
      </c>
      <c r="FE255" s="18">
        <v>45723.284375</v>
      </c>
      <c r="FF255" s="19"/>
      <c r="FG255" s="19"/>
      <c r="FH255" s="21" t="s">
        <v>197</v>
      </c>
      <c r="FI255" s="17" t="s">
        <v>214</v>
      </c>
      <c r="FJ255" s="18">
        <v>45723.284375</v>
      </c>
      <c r="FK255" s="14" t="s">
        <v>7978</v>
      </c>
      <c r="FL255" s="19"/>
      <c r="FM255" s="19"/>
      <c r="FN255" s="19"/>
      <c r="FO255" s="19"/>
      <c r="FP255" s="19" t="str">
        <f t="shared" si="1"/>
        <v/>
      </c>
      <c r="FQ255" s="14" t="s">
        <v>215</v>
      </c>
      <c r="FR255" s="14" t="s">
        <v>7980</v>
      </c>
    </row>
    <row r="256" ht="15.75" customHeight="1">
      <c r="A256" s="12" t="s">
        <v>174</v>
      </c>
      <c r="B256" s="12" t="s">
        <v>7883</v>
      </c>
      <c r="C256" s="24" t="s">
        <v>7695</v>
      </c>
      <c r="D256" s="12" t="s">
        <v>7981</v>
      </c>
      <c r="E256" s="12" t="s">
        <v>7982</v>
      </c>
      <c r="F256" s="13" t="s">
        <v>178</v>
      </c>
      <c r="G256" s="14" t="s">
        <v>179</v>
      </c>
      <c r="H256" s="14" t="s">
        <v>7983</v>
      </c>
      <c r="I256" s="14" t="s">
        <v>179</v>
      </c>
      <c r="J256" s="14" t="s">
        <v>7983</v>
      </c>
      <c r="K256" s="14" t="s">
        <v>179</v>
      </c>
      <c r="L256" s="14" t="s">
        <v>7984</v>
      </c>
      <c r="M256" s="14" t="s">
        <v>179</v>
      </c>
      <c r="N256" s="14" t="s">
        <v>7985</v>
      </c>
      <c r="O256" s="14" t="s">
        <v>179</v>
      </c>
      <c r="P256" s="14" t="s">
        <v>7986</v>
      </c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6" t="s">
        <v>197</v>
      </c>
      <c r="BP256" s="17" t="s">
        <v>228</v>
      </c>
      <c r="BQ256" s="23"/>
      <c r="BR256" s="17" t="s">
        <v>198</v>
      </c>
      <c r="BS256" s="18">
        <v>45722.380162037036</v>
      </c>
      <c r="BT256" s="17" t="s">
        <v>198</v>
      </c>
      <c r="BU256" s="18">
        <v>45722.380162037036</v>
      </c>
      <c r="BV256" s="13" t="s">
        <v>199</v>
      </c>
      <c r="BW256" s="14" t="s">
        <v>179</v>
      </c>
      <c r="BX256" s="14" t="s">
        <v>7987</v>
      </c>
      <c r="BY256" s="14" t="s">
        <v>179</v>
      </c>
      <c r="BZ256" s="14" t="s">
        <v>7988</v>
      </c>
      <c r="CA256" s="14" t="s">
        <v>179</v>
      </c>
      <c r="CB256" s="14" t="s">
        <v>7988</v>
      </c>
      <c r="CC256" s="15"/>
      <c r="CD256" s="15"/>
      <c r="CE256" s="15"/>
      <c r="CF256" s="15"/>
      <c r="CG256" s="19"/>
      <c r="CH256" s="15"/>
      <c r="CI256" s="19"/>
      <c r="CJ256" s="15"/>
      <c r="CK256" s="19"/>
      <c r="CL256" s="15"/>
      <c r="CM256" s="19"/>
      <c r="CN256" s="15"/>
      <c r="CO256" s="19"/>
      <c r="CP256" s="15"/>
      <c r="CQ256" s="15"/>
      <c r="CR256" s="15"/>
      <c r="CS256" s="19"/>
      <c r="CT256" s="15"/>
      <c r="CU256" s="19"/>
      <c r="CV256" s="15"/>
      <c r="CW256" s="19"/>
      <c r="CX256" s="15"/>
      <c r="CY256" s="19"/>
      <c r="CZ256" s="15"/>
      <c r="DA256" s="16" t="s">
        <v>197</v>
      </c>
      <c r="DB256" s="17" t="s">
        <v>228</v>
      </c>
      <c r="DC256" s="16"/>
      <c r="DD256" s="17" t="s">
        <v>198</v>
      </c>
      <c r="DE256" s="18">
        <v>45722.380219907405</v>
      </c>
      <c r="DF256" s="17" t="s">
        <v>198</v>
      </c>
      <c r="DG256" s="18">
        <v>45722.380219907405</v>
      </c>
      <c r="DH256" s="13" t="s">
        <v>205</v>
      </c>
      <c r="DI256" s="15"/>
      <c r="DJ256" s="15"/>
      <c r="DK256" s="15"/>
      <c r="DL256" s="15"/>
      <c r="DM256" s="15"/>
      <c r="DN256" s="15"/>
      <c r="DO256" s="15"/>
      <c r="DP256" s="15"/>
      <c r="DQ256" s="15"/>
      <c r="DR256" s="15"/>
      <c r="DS256" s="15"/>
      <c r="DT256" s="15"/>
      <c r="DU256" s="15"/>
      <c r="DV256" s="15"/>
      <c r="DW256" s="15"/>
      <c r="DX256" s="15"/>
      <c r="DY256" s="15"/>
      <c r="DZ256" s="15"/>
      <c r="EA256" s="15"/>
      <c r="EB256" s="15"/>
      <c r="EC256" s="16" t="s">
        <v>197</v>
      </c>
      <c r="ED256" s="17" t="s">
        <v>228</v>
      </c>
      <c r="EE256" s="23"/>
      <c r="EF256" s="13" t="s">
        <v>209</v>
      </c>
      <c r="EG256" s="14" t="s">
        <v>179</v>
      </c>
      <c r="EH256" s="14" t="s">
        <v>7989</v>
      </c>
      <c r="EI256" s="14" t="s">
        <v>179</v>
      </c>
      <c r="EJ256" s="14" t="s">
        <v>7989</v>
      </c>
      <c r="EK256" s="15"/>
      <c r="EL256" s="15"/>
      <c r="EM256" s="15"/>
      <c r="EN256" s="15"/>
      <c r="EO256" s="15"/>
      <c r="EP256" s="15"/>
      <c r="EQ256" s="15"/>
      <c r="ER256" s="15"/>
      <c r="ES256" s="15"/>
      <c r="ET256" s="15"/>
      <c r="EU256" s="15"/>
      <c r="EV256" s="15"/>
      <c r="EW256" s="15"/>
      <c r="EX256" s="15"/>
      <c r="EY256" s="15"/>
      <c r="EZ256" s="15"/>
      <c r="FA256" s="15"/>
      <c r="FB256" s="15"/>
      <c r="FC256" s="16" t="s">
        <v>197</v>
      </c>
      <c r="FD256" s="17" t="s">
        <v>198</v>
      </c>
      <c r="FE256" s="18">
        <v>45723.28443287037</v>
      </c>
      <c r="FF256" s="19"/>
      <c r="FG256" s="19"/>
      <c r="FH256" s="21" t="s">
        <v>197</v>
      </c>
      <c r="FI256" s="17" t="s">
        <v>214</v>
      </c>
      <c r="FJ256" s="18">
        <v>45723.28443287037</v>
      </c>
      <c r="FK256" s="14" t="s">
        <v>7989</v>
      </c>
      <c r="FL256" s="19"/>
      <c r="FM256" s="19"/>
      <c r="FN256" s="19"/>
      <c r="FO256" s="19"/>
      <c r="FP256" s="19" t="str">
        <f t="shared" si="1"/>
        <v/>
      </c>
      <c r="FQ256" s="14" t="s">
        <v>215</v>
      </c>
      <c r="FR256" s="14" t="s">
        <v>7990</v>
      </c>
    </row>
    <row r="257" ht="15.75" customHeight="1">
      <c r="A257" s="12" t="s">
        <v>174</v>
      </c>
      <c r="B257" s="12" t="s">
        <v>7883</v>
      </c>
      <c r="C257" s="24" t="s">
        <v>7695</v>
      </c>
      <c r="D257" s="12" t="s">
        <v>7991</v>
      </c>
      <c r="E257" s="12" t="s">
        <v>7992</v>
      </c>
      <c r="F257" s="13" t="s">
        <v>178</v>
      </c>
      <c r="G257" s="14" t="s">
        <v>179</v>
      </c>
      <c r="H257" s="14" t="s">
        <v>7993</v>
      </c>
      <c r="I257" s="14" t="s">
        <v>179</v>
      </c>
      <c r="J257" s="14" t="s">
        <v>7993</v>
      </c>
      <c r="K257" s="14" t="s">
        <v>179</v>
      </c>
      <c r="L257" s="14" t="s">
        <v>7994</v>
      </c>
      <c r="M257" s="14" t="s">
        <v>179</v>
      </c>
      <c r="N257" s="14" t="s">
        <v>7995</v>
      </c>
      <c r="O257" s="14" t="s">
        <v>179</v>
      </c>
      <c r="P257" s="14" t="s">
        <v>7995</v>
      </c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6" t="s">
        <v>197</v>
      </c>
      <c r="BP257" s="17" t="s">
        <v>228</v>
      </c>
      <c r="BQ257" s="23"/>
      <c r="BR257" s="17" t="s">
        <v>198</v>
      </c>
      <c r="BS257" s="18">
        <v>45720.6440162037</v>
      </c>
      <c r="BT257" s="17" t="s">
        <v>198</v>
      </c>
      <c r="BU257" s="18">
        <v>45720.6440162037</v>
      </c>
      <c r="BV257" s="13" t="s">
        <v>199</v>
      </c>
      <c r="BW257" s="14" t="s">
        <v>179</v>
      </c>
      <c r="BX257" s="14" t="s">
        <v>7996</v>
      </c>
      <c r="BY257" s="14" t="s">
        <v>179</v>
      </c>
      <c r="BZ257" s="14" t="s">
        <v>7996</v>
      </c>
      <c r="CA257" s="14" t="s">
        <v>179</v>
      </c>
      <c r="CB257" s="14" t="s">
        <v>7997</v>
      </c>
      <c r="CC257" s="15"/>
      <c r="CD257" s="15"/>
      <c r="CE257" s="15"/>
      <c r="CF257" s="15"/>
      <c r="CG257" s="19"/>
      <c r="CH257" s="15"/>
      <c r="CI257" s="19"/>
      <c r="CJ257" s="15"/>
      <c r="CK257" s="19"/>
      <c r="CL257" s="15"/>
      <c r="CM257" s="19"/>
      <c r="CN257" s="15"/>
      <c r="CO257" s="19"/>
      <c r="CP257" s="15"/>
      <c r="CQ257" s="15"/>
      <c r="CR257" s="15"/>
      <c r="CS257" s="19"/>
      <c r="CT257" s="15"/>
      <c r="CU257" s="19"/>
      <c r="CV257" s="15"/>
      <c r="CW257" s="19"/>
      <c r="CX257" s="15"/>
      <c r="CY257" s="19"/>
      <c r="CZ257" s="15"/>
      <c r="DA257" s="16" t="s">
        <v>197</v>
      </c>
      <c r="DB257" s="17" t="s">
        <v>228</v>
      </c>
      <c r="DC257" s="16"/>
      <c r="DD257" s="17" t="s">
        <v>198</v>
      </c>
      <c r="DE257" s="18">
        <v>45720.64409722222</v>
      </c>
      <c r="DF257" s="17" t="s">
        <v>198</v>
      </c>
      <c r="DG257" s="18">
        <v>45720.64409722222</v>
      </c>
      <c r="DH257" s="13" t="s">
        <v>205</v>
      </c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6" t="s">
        <v>197</v>
      </c>
      <c r="ED257" s="17" t="s">
        <v>228</v>
      </c>
      <c r="EE257" s="23"/>
      <c r="EF257" s="13" t="s">
        <v>209</v>
      </c>
      <c r="EG257" s="14" t="s">
        <v>179</v>
      </c>
      <c r="EH257" s="14" t="s">
        <v>7998</v>
      </c>
      <c r="EI257" s="14" t="s">
        <v>179</v>
      </c>
      <c r="EJ257" s="14" t="s">
        <v>7998</v>
      </c>
      <c r="EK257" s="15"/>
      <c r="EL257" s="15"/>
      <c r="EM257" s="15"/>
      <c r="EN257" s="15"/>
      <c r="EO257" s="15"/>
      <c r="EP257" s="15"/>
      <c r="EQ257" s="15"/>
      <c r="ER257" s="15"/>
      <c r="ES257" s="15"/>
      <c r="ET257" s="15"/>
      <c r="EU257" s="15"/>
      <c r="EV257" s="15"/>
      <c r="EW257" s="15"/>
      <c r="EX257" s="15"/>
      <c r="EY257" s="15"/>
      <c r="EZ257" s="15"/>
      <c r="FA257" s="15"/>
      <c r="FB257" s="15"/>
      <c r="FC257" s="16" t="s">
        <v>197</v>
      </c>
      <c r="FD257" s="17" t="s">
        <v>198</v>
      </c>
      <c r="FE257" s="18">
        <v>45723.28450231482</v>
      </c>
      <c r="FF257" s="19"/>
      <c r="FG257" s="19"/>
      <c r="FH257" s="21" t="s">
        <v>197</v>
      </c>
      <c r="FI257" s="17" t="s">
        <v>214</v>
      </c>
      <c r="FJ257" s="18">
        <v>45723.28450231482</v>
      </c>
      <c r="FK257" s="14" t="s">
        <v>7998</v>
      </c>
      <c r="FL257" s="14" t="s">
        <v>7999</v>
      </c>
      <c r="FM257" s="14" t="s">
        <v>8000</v>
      </c>
      <c r="FN257" s="19"/>
      <c r="FO257" s="19"/>
      <c r="FP257" s="19" t="str">
        <f t="shared" si="1"/>
        <v>Base de Dados_Images/CAM-24.Imagem do Equipamento-.183559.jpg</v>
      </c>
      <c r="FQ257" s="19"/>
      <c r="FR257" s="19"/>
    </row>
    <row r="258" ht="15.75" customHeight="1">
      <c r="A258" s="12" t="s">
        <v>174</v>
      </c>
      <c r="B258" s="12" t="s">
        <v>7883</v>
      </c>
      <c r="C258" s="24" t="s">
        <v>7695</v>
      </c>
      <c r="D258" s="12" t="s">
        <v>8001</v>
      </c>
      <c r="E258" s="12" t="s">
        <v>8002</v>
      </c>
      <c r="F258" s="13" t="s">
        <v>178</v>
      </c>
      <c r="G258" s="14" t="s">
        <v>179</v>
      </c>
      <c r="H258" s="14" t="s">
        <v>8003</v>
      </c>
      <c r="I258" s="14" t="s">
        <v>179</v>
      </c>
      <c r="J258" s="14" t="s">
        <v>8004</v>
      </c>
      <c r="K258" s="14" t="s">
        <v>179</v>
      </c>
      <c r="L258" s="14" t="s">
        <v>8005</v>
      </c>
      <c r="M258" s="14" t="s">
        <v>179</v>
      </c>
      <c r="N258" s="14" t="s">
        <v>8006</v>
      </c>
      <c r="O258" s="14" t="s">
        <v>179</v>
      </c>
      <c r="P258" s="14" t="s">
        <v>8007</v>
      </c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6" t="s">
        <v>197</v>
      </c>
      <c r="BP258" s="17" t="s">
        <v>228</v>
      </c>
      <c r="BQ258" s="23"/>
      <c r="BR258" s="17" t="s">
        <v>198</v>
      </c>
      <c r="BS258" s="18">
        <v>45722.38041666667</v>
      </c>
      <c r="BT258" s="17" t="s">
        <v>198</v>
      </c>
      <c r="BU258" s="18">
        <v>45722.38041666667</v>
      </c>
      <c r="BV258" s="13" t="s">
        <v>199</v>
      </c>
      <c r="BW258" s="14" t="s">
        <v>179</v>
      </c>
      <c r="BX258" s="14" t="s">
        <v>8008</v>
      </c>
      <c r="BY258" s="14" t="s">
        <v>179</v>
      </c>
      <c r="BZ258" s="14" t="s">
        <v>8009</v>
      </c>
      <c r="CA258" s="14" t="s">
        <v>179</v>
      </c>
      <c r="CB258" s="14" t="s">
        <v>8010</v>
      </c>
      <c r="CC258" s="15"/>
      <c r="CD258" s="15"/>
      <c r="CE258" s="15"/>
      <c r="CF258" s="15"/>
      <c r="CG258" s="19"/>
      <c r="CH258" s="15"/>
      <c r="CI258" s="19"/>
      <c r="CJ258" s="15"/>
      <c r="CK258" s="19"/>
      <c r="CL258" s="15"/>
      <c r="CM258" s="19"/>
      <c r="CN258" s="15"/>
      <c r="CO258" s="19"/>
      <c r="CP258" s="15"/>
      <c r="CQ258" s="15"/>
      <c r="CR258" s="15"/>
      <c r="CS258" s="19"/>
      <c r="CT258" s="15"/>
      <c r="CU258" s="19"/>
      <c r="CV258" s="15"/>
      <c r="CW258" s="19"/>
      <c r="CX258" s="15"/>
      <c r="CY258" s="19"/>
      <c r="CZ258" s="15"/>
      <c r="DA258" s="16" t="s">
        <v>197</v>
      </c>
      <c r="DB258" s="17" t="s">
        <v>228</v>
      </c>
      <c r="DC258" s="16"/>
      <c r="DD258" s="17" t="s">
        <v>198</v>
      </c>
      <c r="DE258" s="18">
        <v>45722.38048611111</v>
      </c>
      <c r="DF258" s="17" t="s">
        <v>198</v>
      </c>
      <c r="DG258" s="18">
        <v>45722.38048611111</v>
      </c>
      <c r="DH258" s="13" t="s">
        <v>205</v>
      </c>
      <c r="DI258" s="15"/>
      <c r="DJ258" s="15"/>
      <c r="DK258" s="15"/>
      <c r="DL258" s="15"/>
      <c r="DM258" s="15"/>
      <c r="DN258" s="15"/>
      <c r="DO258" s="15"/>
      <c r="DP258" s="15"/>
      <c r="DQ258" s="15"/>
      <c r="DR258" s="15"/>
      <c r="DS258" s="15"/>
      <c r="DT258" s="15"/>
      <c r="DU258" s="15"/>
      <c r="DV258" s="15"/>
      <c r="DW258" s="15"/>
      <c r="DX258" s="15"/>
      <c r="DY258" s="15"/>
      <c r="DZ258" s="15"/>
      <c r="EA258" s="15"/>
      <c r="EB258" s="15"/>
      <c r="EC258" s="16" t="s">
        <v>197</v>
      </c>
      <c r="ED258" s="17" t="s">
        <v>228</v>
      </c>
      <c r="EE258" s="23"/>
      <c r="EF258" s="13" t="s">
        <v>209</v>
      </c>
      <c r="EG258" s="14" t="s">
        <v>179</v>
      </c>
      <c r="EH258" s="14" t="s">
        <v>8011</v>
      </c>
      <c r="EI258" s="14" t="s">
        <v>179</v>
      </c>
      <c r="EJ258" s="14" t="s">
        <v>8012</v>
      </c>
      <c r="EK258" s="15"/>
      <c r="EL258" s="15"/>
      <c r="EM258" s="15"/>
      <c r="EN258" s="15"/>
      <c r="EO258" s="15"/>
      <c r="EP258" s="15"/>
      <c r="EQ258" s="15"/>
      <c r="ER258" s="15"/>
      <c r="ES258" s="15"/>
      <c r="ET258" s="15"/>
      <c r="EU258" s="15"/>
      <c r="EV258" s="15"/>
      <c r="EW258" s="15"/>
      <c r="EX258" s="15"/>
      <c r="EY258" s="15"/>
      <c r="EZ258" s="15"/>
      <c r="FA258" s="15"/>
      <c r="FB258" s="15"/>
      <c r="FC258" s="16" t="s">
        <v>197</v>
      </c>
      <c r="FD258" s="17" t="s">
        <v>198</v>
      </c>
      <c r="FE258" s="18">
        <v>45723.284583333334</v>
      </c>
      <c r="FF258" s="19"/>
      <c r="FG258" s="19"/>
      <c r="FH258" s="21" t="s">
        <v>197</v>
      </c>
      <c r="FI258" s="17" t="s">
        <v>214</v>
      </c>
      <c r="FJ258" s="18">
        <v>45723.284583333334</v>
      </c>
      <c r="FK258" s="14" t="s">
        <v>8011</v>
      </c>
      <c r="FL258" s="19"/>
      <c r="FM258" s="19"/>
      <c r="FN258" s="19"/>
      <c r="FO258" s="19"/>
      <c r="FP258" s="19" t="str">
        <f t="shared" si="1"/>
        <v/>
      </c>
      <c r="FQ258" s="14" t="s">
        <v>215</v>
      </c>
      <c r="FR258" s="14" t="s">
        <v>8013</v>
      </c>
    </row>
    <row r="259" ht="15.75" customHeight="1">
      <c r="A259" s="12" t="s">
        <v>174</v>
      </c>
      <c r="B259" s="12" t="s">
        <v>7883</v>
      </c>
      <c r="C259" s="24" t="s">
        <v>7695</v>
      </c>
      <c r="D259" s="12" t="s">
        <v>8014</v>
      </c>
      <c r="E259" s="12" t="s">
        <v>8015</v>
      </c>
      <c r="F259" s="13" t="s">
        <v>178</v>
      </c>
      <c r="G259" s="14" t="s">
        <v>179</v>
      </c>
      <c r="H259" s="14" t="s">
        <v>8016</v>
      </c>
      <c r="I259" s="14" t="s">
        <v>179</v>
      </c>
      <c r="J259" s="14" t="s">
        <v>8017</v>
      </c>
      <c r="K259" s="14" t="s">
        <v>179</v>
      </c>
      <c r="L259" s="14" t="s">
        <v>8018</v>
      </c>
      <c r="M259" s="14" t="s">
        <v>179</v>
      </c>
      <c r="N259" s="14" t="s">
        <v>8019</v>
      </c>
      <c r="O259" s="14" t="s">
        <v>179</v>
      </c>
      <c r="P259" s="14" t="s">
        <v>8020</v>
      </c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6" t="s">
        <v>197</v>
      </c>
      <c r="BP259" s="17" t="s">
        <v>228</v>
      </c>
      <c r="BQ259" s="23"/>
      <c r="BR259" s="17" t="s">
        <v>198</v>
      </c>
      <c r="BS259" s="18">
        <v>45722.380902777775</v>
      </c>
      <c r="BT259" s="17" t="s">
        <v>198</v>
      </c>
      <c r="BU259" s="18">
        <v>45722.380902777775</v>
      </c>
      <c r="BV259" s="13" t="s">
        <v>199</v>
      </c>
      <c r="BW259" s="14" t="s">
        <v>179</v>
      </c>
      <c r="BX259" s="14" t="s">
        <v>8021</v>
      </c>
      <c r="BY259" s="14" t="s">
        <v>179</v>
      </c>
      <c r="BZ259" s="14" t="s">
        <v>8022</v>
      </c>
      <c r="CA259" s="14" t="s">
        <v>179</v>
      </c>
      <c r="CB259" s="14" t="s">
        <v>8023</v>
      </c>
      <c r="CC259" s="15"/>
      <c r="CD259" s="15"/>
      <c r="CE259" s="15"/>
      <c r="CF259" s="15"/>
      <c r="CG259" s="19"/>
      <c r="CH259" s="15"/>
      <c r="CI259" s="19"/>
      <c r="CJ259" s="15"/>
      <c r="CK259" s="19"/>
      <c r="CL259" s="15"/>
      <c r="CM259" s="19"/>
      <c r="CN259" s="15"/>
      <c r="CO259" s="19"/>
      <c r="CP259" s="15"/>
      <c r="CQ259" s="15"/>
      <c r="CR259" s="15"/>
      <c r="CS259" s="19"/>
      <c r="CT259" s="15"/>
      <c r="CU259" s="19"/>
      <c r="CV259" s="15"/>
      <c r="CW259" s="19"/>
      <c r="CX259" s="15"/>
      <c r="CY259" s="19"/>
      <c r="CZ259" s="15"/>
      <c r="DA259" s="16" t="s">
        <v>197</v>
      </c>
      <c r="DB259" s="17" t="s">
        <v>228</v>
      </c>
      <c r="DC259" s="16"/>
      <c r="DD259" s="17" t="s">
        <v>198</v>
      </c>
      <c r="DE259" s="18">
        <v>45722.380960648145</v>
      </c>
      <c r="DF259" s="17" t="s">
        <v>198</v>
      </c>
      <c r="DG259" s="18">
        <v>45722.380960648145</v>
      </c>
      <c r="DH259" s="13" t="s">
        <v>205</v>
      </c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6" t="s">
        <v>197</v>
      </c>
      <c r="ED259" s="17" t="s">
        <v>228</v>
      </c>
      <c r="EE259" s="23"/>
      <c r="EF259" s="13" t="s">
        <v>209</v>
      </c>
      <c r="EG259" s="14" t="s">
        <v>179</v>
      </c>
      <c r="EH259" s="14" t="s">
        <v>8024</v>
      </c>
      <c r="EI259" s="14" t="s">
        <v>179</v>
      </c>
      <c r="EJ259" s="14" t="s">
        <v>8024</v>
      </c>
      <c r="EK259" s="15"/>
      <c r="EL259" s="15"/>
      <c r="EM259" s="15"/>
      <c r="EN259" s="15"/>
      <c r="EO259" s="15"/>
      <c r="EP259" s="15"/>
      <c r="EQ259" s="15"/>
      <c r="ER259" s="15"/>
      <c r="ES259" s="15"/>
      <c r="ET259" s="15"/>
      <c r="EU259" s="15"/>
      <c r="EV259" s="15"/>
      <c r="EW259" s="15"/>
      <c r="EX259" s="15"/>
      <c r="EY259" s="15"/>
      <c r="EZ259" s="15"/>
      <c r="FA259" s="15"/>
      <c r="FB259" s="15"/>
      <c r="FC259" s="16" t="s">
        <v>197</v>
      </c>
      <c r="FD259" s="17" t="s">
        <v>198</v>
      </c>
      <c r="FE259" s="18">
        <v>45723.28466435185</v>
      </c>
      <c r="FF259" s="19"/>
      <c r="FG259" s="19"/>
      <c r="FH259" s="21" t="s">
        <v>197</v>
      </c>
      <c r="FI259" s="17" t="s">
        <v>214</v>
      </c>
      <c r="FJ259" s="18">
        <v>45723.28466435185</v>
      </c>
      <c r="FK259" s="14" t="s">
        <v>8024</v>
      </c>
      <c r="FL259" s="19"/>
      <c r="FM259" s="19"/>
      <c r="FN259" s="19"/>
      <c r="FO259" s="19"/>
      <c r="FP259" s="19" t="str">
        <f t="shared" si="1"/>
        <v/>
      </c>
      <c r="FQ259" s="14" t="s">
        <v>215</v>
      </c>
      <c r="FR259" s="14" t="s">
        <v>8025</v>
      </c>
    </row>
    <row r="260" ht="15.75" customHeight="1">
      <c r="A260" s="12" t="s">
        <v>217</v>
      </c>
      <c r="B260" s="12" t="s">
        <v>8026</v>
      </c>
      <c r="C260" s="24" t="s">
        <v>7695</v>
      </c>
      <c r="D260" s="12" t="s">
        <v>8027</v>
      </c>
      <c r="E260" s="12" t="s">
        <v>8028</v>
      </c>
      <c r="F260" s="13" t="s">
        <v>178</v>
      </c>
      <c r="G260" s="14" t="s">
        <v>179</v>
      </c>
      <c r="H260" s="14" t="s">
        <v>8029</v>
      </c>
      <c r="I260" s="14" t="s">
        <v>179</v>
      </c>
      <c r="J260" s="14" t="s">
        <v>8030</v>
      </c>
      <c r="K260" s="14" t="s">
        <v>179</v>
      </c>
      <c r="L260" s="14" t="s">
        <v>8031</v>
      </c>
      <c r="M260" s="14" t="s">
        <v>179</v>
      </c>
      <c r="N260" s="14" t="s">
        <v>8032</v>
      </c>
      <c r="O260" s="14" t="s">
        <v>179</v>
      </c>
      <c r="P260" s="14" t="s">
        <v>8033</v>
      </c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6" t="s">
        <v>197</v>
      </c>
      <c r="BP260" s="17" t="s">
        <v>228</v>
      </c>
      <c r="BQ260" s="23"/>
      <c r="BR260" s="17" t="s">
        <v>198</v>
      </c>
      <c r="BS260" s="18">
        <v>45686.608668981484</v>
      </c>
      <c r="BT260" s="17" t="s">
        <v>198</v>
      </c>
      <c r="BU260" s="18">
        <v>45686.608668981484</v>
      </c>
      <c r="BV260" s="13" t="s">
        <v>199</v>
      </c>
      <c r="BW260" s="14" t="s">
        <v>179</v>
      </c>
      <c r="BX260" s="14" t="s">
        <v>8034</v>
      </c>
      <c r="BY260" s="14" t="s">
        <v>179</v>
      </c>
      <c r="BZ260" s="14" t="s">
        <v>8035</v>
      </c>
      <c r="CA260" s="14" t="s">
        <v>179</v>
      </c>
      <c r="CB260" s="14" t="s">
        <v>8036</v>
      </c>
      <c r="CC260" s="15"/>
      <c r="CD260" s="15"/>
      <c r="CE260" s="15"/>
      <c r="CF260" s="15"/>
      <c r="CG260" s="19"/>
      <c r="CH260" s="15"/>
      <c r="CI260" s="19"/>
      <c r="CJ260" s="15"/>
      <c r="CK260" s="19"/>
      <c r="CL260" s="15"/>
      <c r="CM260" s="19"/>
      <c r="CN260" s="15"/>
      <c r="CO260" s="19"/>
      <c r="CP260" s="15"/>
      <c r="CQ260" s="15"/>
      <c r="CR260" s="15"/>
      <c r="CS260" s="19"/>
      <c r="CT260" s="15"/>
      <c r="CU260" s="19"/>
      <c r="CV260" s="15"/>
      <c r="CW260" s="19"/>
      <c r="CX260" s="15"/>
      <c r="CY260" s="19"/>
      <c r="CZ260" s="15"/>
      <c r="DA260" s="16" t="s">
        <v>197</v>
      </c>
      <c r="DB260" s="17" t="s">
        <v>228</v>
      </c>
      <c r="DC260" s="16"/>
      <c r="DD260" s="17" t="s">
        <v>198</v>
      </c>
      <c r="DE260" s="18">
        <v>45685.48701388889</v>
      </c>
      <c r="DF260" s="17" t="s">
        <v>198</v>
      </c>
      <c r="DG260" s="18">
        <v>45685.48701388889</v>
      </c>
      <c r="DH260" s="13" t="s">
        <v>205</v>
      </c>
      <c r="DI260" s="15"/>
      <c r="DJ260" s="15"/>
      <c r="DK260" s="15"/>
      <c r="DL260" s="15"/>
      <c r="DM260" s="15"/>
      <c r="DN260" s="15"/>
      <c r="DO260" s="15"/>
      <c r="DP260" s="15"/>
      <c r="DQ260" s="15"/>
      <c r="DR260" s="15"/>
      <c r="DS260" s="15"/>
      <c r="DT260" s="15"/>
      <c r="DU260" s="15"/>
      <c r="DV260" s="15"/>
      <c r="DW260" s="15"/>
      <c r="DX260" s="15"/>
      <c r="DY260" s="15"/>
      <c r="DZ260" s="15"/>
      <c r="EA260" s="15"/>
      <c r="EB260" s="15"/>
      <c r="EC260" s="16" t="s">
        <v>197</v>
      </c>
      <c r="ED260" s="17" t="s">
        <v>228</v>
      </c>
      <c r="EE260" s="23"/>
      <c r="EF260" s="13" t="s">
        <v>209</v>
      </c>
      <c r="EG260" s="14" t="s">
        <v>179</v>
      </c>
      <c r="EH260" s="14" t="s">
        <v>8037</v>
      </c>
      <c r="EI260" s="14" t="s">
        <v>179</v>
      </c>
      <c r="EJ260" s="14" t="s">
        <v>8038</v>
      </c>
      <c r="EK260" s="15"/>
      <c r="EL260" s="15"/>
      <c r="EM260" s="15"/>
      <c r="EN260" s="15"/>
      <c r="EO260" s="15"/>
      <c r="EP260" s="15"/>
      <c r="EQ260" s="15"/>
      <c r="ER260" s="15"/>
      <c r="ES260" s="15"/>
      <c r="ET260" s="15"/>
      <c r="EU260" s="15"/>
      <c r="EV260" s="15"/>
      <c r="EW260" s="15"/>
      <c r="EX260" s="15"/>
      <c r="EY260" s="15"/>
      <c r="EZ260" s="15"/>
      <c r="FA260" s="15"/>
      <c r="FB260" s="15"/>
      <c r="FC260" s="16" t="s">
        <v>197</v>
      </c>
      <c r="FD260" s="17" t="s">
        <v>198</v>
      </c>
      <c r="FE260" s="18">
        <v>45723.34135416667</v>
      </c>
      <c r="FF260" s="19"/>
      <c r="FG260" s="19"/>
      <c r="FH260" s="21" t="s">
        <v>197</v>
      </c>
      <c r="FI260" s="17" t="s">
        <v>214</v>
      </c>
      <c r="FJ260" s="18">
        <v>45723.34135416667</v>
      </c>
      <c r="FK260" s="14" t="s">
        <v>8038</v>
      </c>
      <c r="FL260" s="14" t="s">
        <v>8039</v>
      </c>
      <c r="FM260" s="14" t="s">
        <v>8040</v>
      </c>
      <c r="FN260" s="19"/>
      <c r="FO260" s="19"/>
      <c r="FP260" s="19" t="str">
        <f t="shared" si="1"/>
        <v>Base de Dados_Images/CAM-27.Imagem do Equipamento-.142851.jpg</v>
      </c>
      <c r="FQ260" s="19"/>
      <c r="FR260" s="19"/>
    </row>
    <row r="261" ht="15.75" customHeight="1">
      <c r="A261" s="12" t="s">
        <v>234</v>
      </c>
      <c r="B261" s="12" t="s">
        <v>8041</v>
      </c>
      <c r="C261" s="24" t="s">
        <v>7695</v>
      </c>
      <c r="D261" s="12" t="s">
        <v>8042</v>
      </c>
      <c r="E261" s="12" t="s">
        <v>8043</v>
      </c>
      <c r="F261" s="13" t="s">
        <v>178</v>
      </c>
      <c r="G261" s="14" t="s">
        <v>179</v>
      </c>
      <c r="H261" s="14" t="s">
        <v>8044</v>
      </c>
      <c r="I261" s="14" t="s">
        <v>179</v>
      </c>
      <c r="J261" s="14" t="s">
        <v>8045</v>
      </c>
      <c r="K261" s="14" t="s">
        <v>179</v>
      </c>
      <c r="L261" s="14" t="s">
        <v>8046</v>
      </c>
      <c r="M261" s="14" t="s">
        <v>179</v>
      </c>
      <c r="N261" s="14" t="s">
        <v>8046</v>
      </c>
      <c r="O261" s="14" t="s">
        <v>179</v>
      </c>
      <c r="P261" s="14" t="s">
        <v>8047</v>
      </c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6" t="s">
        <v>197</v>
      </c>
      <c r="BP261" s="17" t="s">
        <v>228</v>
      </c>
      <c r="BQ261" s="23"/>
      <c r="BR261" s="17" t="s">
        <v>198</v>
      </c>
      <c r="BS261" s="18">
        <v>45687.376967592594</v>
      </c>
      <c r="BT261" s="17" t="s">
        <v>198</v>
      </c>
      <c r="BU261" s="18">
        <v>45687.376967592594</v>
      </c>
      <c r="BV261" s="13" t="s">
        <v>199</v>
      </c>
      <c r="BW261" s="14" t="s">
        <v>179</v>
      </c>
      <c r="BX261" s="14" t="s">
        <v>8048</v>
      </c>
      <c r="BY261" s="14" t="s">
        <v>179</v>
      </c>
      <c r="BZ261" s="14" t="s">
        <v>8049</v>
      </c>
      <c r="CA261" s="14" t="s">
        <v>179</v>
      </c>
      <c r="CB261" s="14" t="s">
        <v>8050</v>
      </c>
      <c r="CC261" s="15"/>
      <c r="CD261" s="15"/>
      <c r="CE261" s="15"/>
      <c r="CF261" s="15"/>
      <c r="CG261" s="19"/>
      <c r="CH261" s="15"/>
      <c r="CI261" s="19"/>
      <c r="CJ261" s="15"/>
      <c r="CK261" s="19"/>
      <c r="CL261" s="15"/>
      <c r="CM261" s="19"/>
      <c r="CN261" s="15"/>
      <c r="CO261" s="19"/>
      <c r="CP261" s="15"/>
      <c r="CQ261" s="15"/>
      <c r="CR261" s="15"/>
      <c r="CS261" s="19"/>
      <c r="CT261" s="15"/>
      <c r="CU261" s="19"/>
      <c r="CV261" s="15"/>
      <c r="CW261" s="19"/>
      <c r="CX261" s="15"/>
      <c r="CY261" s="19"/>
      <c r="CZ261" s="15"/>
      <c r="DA261" s="16" t="s">
        <v>197</v>
      </c>
      <c r="DB261" s="17" t="s">
        <v>228</v>
      </c>
      <c r="DC261" s="16"/>
      <c r="DD261" s="17" t="s">
        <v>198</v>
      </c>
      <c r="DE261" s="18">
        <v>45719.51871527778</v>
      </c>
      <c r="DF261" s="17" t="s">
        <v>198</v>
      </c>
      <c r="DG261" s="18">
        <v>45719.51871527778</v>
      </c>
      <c r="DH261" s="13" t="s">
        <v>205</v>
      </c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6" t="s">
        <v>197</v>
      </c>
      <c r="ED261" s="17" t="s">
        <v>228</v>
      </c>
      <c r="EE261" s="23"/>
      <c r="EF261" s="13" t="s">
        <v>209</v>
      </c>
      <c r="EG261" s="14" t="s">
        <v>179</v>
      </c>
      <c r="EH261" s="14" t="s">
        <v>8051</v>
      </c>
      <c r="EI261" s="14" t="s">
        <v>179</v>
      </c>
      <c r="EJ261" s="14" t="s">
        <v>8051</v>
      </c>
      <c r="EK261" s="15"/>
      <c r="EL261" s="15"/>
      <c r="EM261" s="15"/>
      <c r="EN261" s="15"/>
      <c r="EO261" s="15"/>
      <c r="EP261" s="15"/>
      <c r="EQ261" s="15"/>
      <c r="ER261" s="15"/>
      <c r="ES261" s="15"/>
      <c r="ET261" s="15"/>
      <c r="EU261" s="15"/>
      <c r="EV261" s="15"/>
      <c r="EW261" s="15"/>
      <c r="EX261" s="15"/>
      <c r="EY261" s="15"/>
      <c r="EZ261" s="15"/>
      <c r="FA261" s="15"/>
      <c r="FB261" s="15"/>
      <c r="FC261" s="16" t="s">
        <v>197</v>
      </c>
      <c r="FD261" s="17" t="s">
        <v>198</v>
      </c>
      <c r="FE261" s="18">
        <v>45723.31728009259</v>
      </c>
      <c r="FF261" s="19"/>
      <c r="FG261" s="19"/>
      <c r="FH261" s="21" t="s">
        <v>197</v>
      </c>
      <c r="FI261" s="17" t="s">
        <v>214</v>
      </c>
      <c r="FJ261" s="18">
        <v>45723.31728009259</v>
      </c>
      <c r="FK261" s="14" t="s">
        <v>8051</v>
      </c>
      <c r="FL261" s="14" t="s">
        <v>8052</v>
      </c>
      <c r="FM261" s="14" t="s">
        <v>8053</v>
      </c>
      <c r="FN261" s="19"/>
      <c r="FO261" s="19"/>
      <c r="FP261" s="19" t="str">
        <f t="shared" si="1"/>
        <v>Base de Dados_Images/CAM-28.Imagem do Equipamento-.130530.jpg</v>
      </c>
      <c r="FQ261" s="19"/>
      <c r="FR261" s="19"/>
    </row>
    <row r="262" ht="15.75" customHeight="1">
      <c r="A262" s="12" t="s">
        <v>357</v>
      </c>
      <c r="B262" s="12" t="s">
        <v>7795</v>
      </c>
      <c r="C262" s="24" t="s">
        <v>7695</v>
      </c>
      <c r="D262" s="12" t="s">
        <v>8054</v>
      </c>
      <c r="E262" s="12" t="s">
        <v>8055</v>
      </c>
      <c r="F262" s="13" t="s">
        <v>178</v>
      </c>
      <c r="G262" s="14" t="s">
        <v>179</v>
      </c>
      <c r="H262" s="14" t="s">
        <v>8056</v>
      </c>
      <c r="I262" s="14" t="s">
        <v>179</v>
      </c>
      <c r="J262" s="14" t="s">
        <v>8057</v>
      </c>
      <c r="K262" s="14" t="s">
        <v>179</v>
      </c>
      <c r="L262" s="14" t="s">
        <v>8058</v>
      </c>
      <c r="M262" s="14" t="s">
        <v>179</v>
      </c>
      <c r="N262" s="14" t="s">
        <v>8059</v>
      </c>
      <c r="O262" s="14" t="s">
        <v>179</v>
      </c>
      <c r="P262" s="14" t="s">
        <v>8060</v>
      </c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6" t="s">
        <v>197</v>
      </c>
      <c r="BP262" s="17" t="s">
        <v>228</v>
      </c>
      <c r="BQ262" s="23"/>
      <c r="BR262" s="17" t="s">
        <v>198</v>
      </c>
      <c r="BS262" s="18">
        <v>45686.55298611111</v>
      </c>
      <c r="BT262" s="17" t="s">
        <v>198</v>
      </c>
      <c r="BU262" s="18">
        <v>45686.55298611111</v>
      </c>
      <c r="BV262" s="13" t="s">
        <v>199</v>
      </c>
      <c r="BW262" s="14" t="s">
        <v>179</v>
      </c>
      <c r="BX262" s="14" t="s">
        <v>8061</v>
      </c>
      <c r="BY262" s="14" t="s">
        <v>179</v>
      </c>
      <c r="BZ262" s="14" t="s">
        <v>8062</v>
      </c>
      <c r="CA262" s="14" t="s">
        <v>179</v>
      </c>
      <c r="CB262" s="14" t="s">
        <v>8063</v>
      </c>
      <c r="CC262" s="15"/>
      <c r="CD262" s="15"/>
      <c r="CE262" s="15"/>
      <c r="CF262" s="15"/>
      <c r="CG262" s="19"/>
      <c r="CH262" s="15"/>
      <c r="CI262" s="19"/>
      <c r="CJ262" s="15"/>
      <c r="CK262" s="19"/>
      <c r="CL262" s="15"/>
      <c r="CM262" s="19"/>
      <c r="CN262" s="15"/>
      <c r="CO262" s="19"/>
      <c r="CP262" s="15"/>
      <c r="CQ262" s="15"/>
      <c r="CR262" s="15"/>
      <c r="CS262" s="19"/>
      <c r="CT262" s="15"/>
      <c r="CU262" s="19"/>
      <c r="CV262" s="15"/>
      <c r="CW262" s="19"/>
      <c r="CX262" s="15"/>
      <c r="CY262" s="19"/>
      <c r="CZ262" s="15"/>
      <c r="DA262" s="16" t="s">
        <v>197</v>
      </c>
      <c r="DB262" s="17" t="s">
        <v>228</v>
      </c>
      <c r="DC262" s="16"/>
      <c r="DD262" s="17" t="s">
        <v>198</v>
      </c>
      <c r="DE262" s="18">
        <v>45699.454618055555</v>
      </c>
      <c r="DF262" s="17" t="s">
        <v>198</v>
      </c>
      <c r="DG262" s="18">
        <v>45699.454618055555</v>
      </c>
      <c r="DH262" s="13" t="s">
        <v>205</v>
      </c>
      <c r="DI262" s="15"/>
      <c r="DJ262" s="15"/>
      <c r="DK262" s="15"/>
      <c r="DL262" s="15"/>
      <c r="DM262" s="15"/>
      <c r="DN262" s="15"/>
      <c r="DO262" s="15"/>
      <c r="DP262" s="15"/>
      <c r="DQ262" s="15"/>
      <c r="DR262" s="15"/>
      <c r="DS262" s="15"/>
      <c r="DT262" s="15"/>
      <c r="DU262" s="15"/>
      <c r="DV262" s="15"/>
      <c r="DW262" s="15"/>
      <c r="DX262" s="15"/>
      <c r="DY262" s="15"/>
      <c r="DZ262" s="15"/>
      <c r="EA262" s="15"/>
      <c r="EB262" s="15"/>
      <c r="EC262" s="16" t="s">
        <v>197</v>
      </c>
      <c r="ED262" s="17" t="s">
        <v>228</v>
      </c>
      <c r="EE262" s="23"/>
      <c r="EF262" s="13" t="s">
        <v>209</v>
      </c>
      <c r="EG262" s="14" t="s">
        <v>179</v>
      </c>
      <c r="EH262" s="14" t="s">
        <v>8064</v>
      </c>
      <c r="EI262" s="14" t="s">
        <v>179</v>
      </c>
      <c r="EJ262" s="14" t="s">
        <v>8065</v>
      </c>
      <c r="EK262" s="15"/>
      <c r="EL262" s="15"/>
      <c r="EM262" s="15"/>
      <c r="EN262" s="15"/>
      <c r="EO262" s="15"/>
      <c r="EP262" s="15"/>
      <c r="EQ262" s="15"/>
      <c r="ER262" s="15"/>
      <c r="ES262" s="15"/>
      <c r="ET262" s="15"/>
      <c r="EU262" s="15"/>
      <c r="EV262" s="15"/>
      <c r="EW262" s="15"/>
      <c r="EX262" s="15"/>
      <c r="EY262" s="15"/>
      <c r="EZ262" s="15"/>
      <c r="FA262" s="15"/>
      <c r="FB262" s="15"/>
      <c r="FC262" s="16" t="s">
        <v>197</v>
      </c>
      <c r="FD262" s="17" t="s">
        <v>198</v>
      </c>
      <c r="FE262" s="18">
        <v>45723.42533564815</v>
      </c>
      <c r="FF262" s="19"/>
      <c r="FG262" s="19"/>
      <c r="FH262" s="21" t="s">
        <v>197</v>
      </c>
      <c r="FI262" s="17" t="s">
        <v>214</v>
      </c>
      <c r="FJ262" s="18">
        <v>45723.42533564815</v>
      </c>
      <c r="FK262" s="14" t="s">
        <v>8064</v>
      </c>
      <c r="FL262" s="14" t="s">
        <v>8066</v>
      </c>
      <c r="FM262" s="14" t="s">
        <v>8067</v>
      </c>
      <c r="FN262" s="19"/>
      <c r="FO262" s="19"/>
      <c r="FP262" s="19" t="str">
        <f t="shared" si="1"/>
        <v>Base de Dados_Images/CAM-3.Imagem do Equipamento-.161604.jpg</v>
      </c>
      <c r="FQ262" s="19"/>
      <c r="FR262" s="19"/>
    </row>
    <row r="263" ht="15.75" customHeight="1">
      <c r="A263" s="12" t="s">
        <v>357</v>
      </c>
      <c r="B263" s="12" t="s">
        <v>7724</v>
      </c>
      <c r="C263" s="24" t="s">
        <v>7695</v>
      </c>
      <c r="D263" s="12" t="s">
        <v>8068</v>
      </c>
      <c r="E263" s="12" t="s">
        <v>8069</v>
      </c>
      <c r="F263" s="13" t="s">
        <v>178</v>
      </c>
      <c r="G263" s="14" t="s">
        <v>179</v>
      </c>
      <c r="H263" s="14" t="s">
        <v>8070</v>
      </c>
      <c r="I263" s="14" t="s">
        <v>179</v>
      </c>
      <c r="J263" s="14" t="s">
        <v>8071</v>
      </c>
      <c r="K263" s="14" t="s">
        <v>179</v>
      </c>
      <c r="L263" s="14" t="s">
        <v>8072</v>
      </c>
      <c r="M263" s="14" t="s">
        <v>179</v>
      </c>
      <c r="N263" s="14" t="s">
        <v>8073</v>
      </c>
      <c r="O263" s="14" t="s">
        <v>179</v>
      </c>
      <c r="P263" s="14" t="s">
        <v>8074</v>
      </c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6" t="s">
        <v>197</v>
      </c>
      <c r="BP263" s="17" t="s">
        <v>228</v>
      </c>
      <c r="BQ263" s="23"/>
      <c r="BR263" s="17" t="s">
        <v>198</v>
      </c>
      <c r="BS263" s="18">
        <v>45689.62216435185</v>
      </c>
      <c r="BT263" s="17" t="s">
        <v>198</v>
      </c>
      <c r="BU263" s="18">
        <v>45689.62216435185</v>
      </c>
      <c r="BV263" s="13" t="s">
        <v>199</v>
      </c>
      <c r="BW263" s="14" t="s">
        <v>179</v>
      </c>
      <c r="BX263" s="14" t="s">
        <v>8075</v>
      </c>
      <c r="BY263" s="14" t="s">
        <v>179</v>
      </c>
      <c r="BZ263" s="14" t="s">
        <v>8076</v>
      </c>
      <c r="CA263" s="14" t="s">
        <v>179</v>
      </c>
      <c r="CB263" s="14" t="s">
        <v>8077</v>
      </c>
      <c r="CC263" s="15"/>
      <c r="CD263" s="15"/>
      <c r="CE263" s="15"/>
      <c r="CF263" s="15"/>
      <c r="CG263" s="19"/>
      <c r="CH263" s="15"/>
      <c r="CI263" s="19"/>
      <c r="CJ263" s="15"/>
      <c r="CK263" s="19"/>
      <c r="CL263" s="15"/>
      <c r="CM263" s="19"/>
      <c r="CN263" s="15"/>
      <c r="CO263" s="19"/>
      <c r="CP263" s="15"/>
      <c r="CQ263" s="15"/>
      <c r="CR263" s="15"/>
      <c r="CS263" s="19"/>
      <c r="CT263" s="15"/>
      <c r="CU263" s="19"/>
      <c r="CV263" s="15"/>
      <c r="CW263" s="19"/>
      <c r="CX263" s="15"/>
      <c r="CY263" s="19"/>
      <c r="CZ263" s="15"/>
      <c r="DA263" s="16" t="s">
        <v>197</v>
      </c>
      <c r="DB263" s="17" t="s">
        <v>228</v>
      </c>
      <c r="DC263" s="16"/>
      <c r="DD263" s="17" t="s">
        <v>198</v>
      </c>
      <c r="DE263" s="18">
        <v>45699.45077546296</v>
      </c>
      <c r="DF263" s="17" t="s">
        <v>198</v>
      </c>
      <c r="DG263" s="18">
        <v>45699.45077546296</v>
      </c>
      <c r="DH263" s="13" t="s">
        <v>205</v>
      </c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6" t="s">
        <v>197</v>
      </c>
      <c r="ED263" s="17" t="s">
        <v>228</v>
      </c>
      <c r="EE263" s="23"/>
      <c r="EF263" s="13" t="s">
        <v>209</v>
      </c>
      <c r="EG263" s="14" t="s">
        <v>179</v>
      </c>
      <c r="EH263" s="14" t="s">
        <v>8078</v>
      </c>
      <c r="EI263" s="14" t="s">
        <v>179</v>
      </c>
      <c r="EJ263" s="14" t="s">
        <v>8079</v>
      </c>
      <c r="EK263" s="15"/>
      <c r="EL263" s="15"/>
      <c r="EM263" s="15"/>
      <c r="EN263" s="15"/>
      <c r="EO263" s="15"/>
      <c r="EP263" s="15"/>
      <c r="EQ263" s="15"/>
      <c r="ER263" s="15"/>
      <c r="ES263" s="15"/>
      <c r="ET263" s="15"/>
      <c r="EU263" s="15"/>
      <c r="EV263" s="15"/>
      <c r="EW263" s="15"/>
      <c r="EX263" s="15"/>
      <c r="EY263" s="15"/>
      <c r="EZ263" s="15"/>
      <c r="FA263" s="15"/>
      <c r="FB263" s="15"/>
      <c r="FC263" s="16" t="s">
        <v>197</v>
      </c>
      <c r="FD263" s="17" t="s">
        <v>198</v>
      </c>
      <c r="FE263" s="18">
        <v>45713.400046296294</v>
      </c>
      <c r="FF263" s="19"/>
      <c r="FG263" s="19"/>
      <c r="FH263" s="21" t="s">
        <v>197</v>
      </c>
      <c r="FI263" s="17" t="s">
        <v>214</v>
      </c>
      <c r="FJ263" s="18">
        <v>45713.400046296294</v>
      </c>
      <c r="FK263" s="14" t="s">
        <v>8079</v>
      </c>
      <c r="FL263" s="19"/>
      <c r="FM263" s="19"/>
      <c r="FN263" s="19"/>
      <c r="FO263" s="19"/>
      <c r="FP263" s="19" t="str">
        <f t="shared" si="1"/>
        <v/>
      </c>
      <c r="FQ263" s="14" t="s">
        <v>215</v>
      </c>
      <c r="FR263" s="14" t="s">
        <v>8080</v>
      </c>
    </row>
    <row r="264" ht="15.75" customHeight="1">
      <c r="A264" s="12" t="s">
        <v>547</v>
      </c>
      <c r="B264" s="12" t="s">
        <v>3825</v>
      </c>
      <c r="C264" s="12" t="s">
        <v>8081</v>
      </c>
      <c r="D264" s="12" t="s">
        <v>8082</v>
      </c>
      <c r="E264" s="12" t="s">
        <v>8083</v>
      </c>
      <c r="F264" s="13" t="s">
        <v>178</v>
      </c>
      <c r="G264" s="14" t="s">
        <v>179</v>
      </c>
      <c r="H264" s="14" t="s">
        <v>8084</v>
      </c>
      <c r="I264" s="14" t="s">
        <v>179</v>
      </c>
      <c r="J264" s="14" t="s">
        <v>8085</v>
      </c>
      <c r="K264" s="14" t="s">
        <v>179</v>
      </c>
      <c r="L264" s="14" t="s">
        <v>8086</v>
      </c>
      <c r="M264" s="14" t="s">
        <v>179</v>
      </c>
      <c r="N264" s="14" t="s">
        <v>8087</v>
      </c>
      <c r="O264" s="14" t="s">
        <v>179</v>
      </c>
      <c r="P264" s="14" t="s">
        <v>8088</v>
      </c>
      <c r="Q264" s="14" t="s">
        <v>179</v>
      </c>
      <c r="R264" s="14" t="s">
        <v>8089</v>
      </c>
      <c r="S264" s="14" t="s">
        <v>179</v>
      </c>
      <c r="T264" s="14" t="s">
        <v>8090</v>
      </c>
      <c r="U264" s="14" t="s">
        <v>179</v>
      </c>
      <c r="V264" s="14" t="s">
        <v>8091</v>
      </c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6" t="s">
        <v>197</v>
      </c>
      <c r="BP264" s="17" t="s">
        <v>198</v>
      </c>
      <c r="BQ264" s="18">
        <v>45678.590266203704</v>
      </c>
      <c r="BR264" s="17" t="s">
        <v>198</v>
      </c>
      <c r="BS264" s="18">
        <v>45678.59024305556</v>
      </c>
      <c r="BT264" s="17" t="s">
        <v>198</v>
      </c>
      <c r="BU264" s="18">
        <v>45678.590266203704</v>
      </c>
      <c r="BV264" s="13" t="s">
        <v>199</v>
      </c>
      <c r="BW264" s="14" t="s">
        <v>188</v>
      </c>
      <c r="BX264" s="14" t="s">
        <v>8092</v>
      </c>
      <c r="BY264" s="14" t="s">
        <v>188</v>
      </c>
      <c r="BZ264" s="14" t="s">
        <v>8093</v>
      </c>
      <c r="CA264" s="15"/>
      <c r="CB264" s="15"/>
      <c r="CC264" s="15"/>
      <c r="CD264" s="15"/>
      <c r="CE264" s="15"/>
      <c r="CF264" s="15"/>
      <c r="CG264" s="19"/>
      <c r="CH264" s="15"/>
      <c r="CI264" s="19"/>
      <c r="CJ264" s="15"/>
      <c r="CK264" s="19"/>
      <c r="CL264" s="15"/>
      <c r="CM264" s="19"/>
      <c r="CN264" s="15"/>
      <c r="CO264" s="19"/>
      <c r="CP264" s="15"/>
      <c r="CQ264" s="15"/>
      <c r="CR264" s="15"/>
      <c r="CS264" s="19"/>
      <c r="CT264" s="15"/>
      <c r="CU264" s="19"/>
      <c r="CV264" s="15"/>
      <c r="CW264" s="19"/>
      <c r="CX264" s="15"/>
      <c r="CY264" s="19"/>
      <c r="CZ264" s="15"/>
      <c r="DA264" s="16" t="s">
        <v>197</v>
      </c>
      <c r="DB264" s="17" t="s">
        <v>228</v>
      </c>
      <c r="DC264" s="16"/>
      <c r="DD264" s="17" t="s">
        <v>198</v>
      </c>
      <c r="DE264" s="18">
        <v>45692.59569444445</v>
      </c>
      <c r="DF264" s="17" t="s">
        <v>198</v>
      </c>
      <c r="DG264" s="18">
        <v>45692.59569444445</v>
      </c>
      <c r="DH264" s="13" t="s">
        <v>205</v>
      </c>
      <c r="DI264" s="14" t="s">
        <v>179</v>
      </c>
      <c r="DJ264" s="14" t="s">
        <v>8094</v>
      </c>
      <c r="DK264" s="15"/>
      <c r="DL264" s="15"/>
      <c r="DM264" s="15"/>
      <c r="DN264" s="15"/>
      <c r="DO264" s="15"/>
      <c r="DP264" s="15"/>
      <c r="DQ264" s="15"/>
      <c r="DR264" s="15"/>
      <c r="DS264" s="15"/>
      <c r="DT264" s="15"/>
      <c r="DU264" s="15"/>
      <c r="DV264" s="15"/>
      <c r="DW264" s="15"/>
      <c r="DX264" s="15"/>
      <c r="DY264" s="15"/>
      <c r="DZ264" s="15"/>
      <c r="EA264" s="15"/>
      <c r="EB264" s="15"/>
      <c r="EC264" s="16" t="s">
        <v>197</v>
      </c>
      <c r="ED264" s="17" t="s">
        <v>198</v>
      </c>
      <c r="EE264" s="18">
        <v>45692.6062962963</v>
      </c>
      <c r="EF264" s="13" t="s">
        <v>209</v>
      </c>
      <c r="EG264" s="14" t="s">
        <v>179</v>
      </c>
      <c r="EH264" s="14" t="s">
        <v>8095</v>
      </c>
      <c r="EI264" s="15"/>
      <c r="EJ264" s="15"/>
      <c r="EK264" s="15"/>
      <c r="EL264" s="15"/>
      <c r="EM264" s="15"/>
      <c r="EN264" s="15"/>
      <c r="EO264" s="15"/>
      <c r="EP264" s="15"/>
      <c r="EQ264" s="15"/>
      <c r="ER264" s="15"/>
      <c r="ES264" s="15"/>
      <c r="ET264" s="15"/>
      <c r="EU264" s="15"/>
      <c r="EV264" s="15"/>
      <c r="EW264" s="15"/>
      <c r="EX264" s="15"/>
      <c r="EY264" s="15"/>
      <c r="EZ264" s="15"/>
      <c r="FA264" s="15"/>
      <c r="FB264" s="15"/>
      <c r="FC264" s="16" t="s">
        <v>197</v>
      </c>
      <c r="FD264" s="17" t="s">
        <v>198</v>
      </c>
      <c r="FE264" s="18">
        <v>45707.497395833336</v>
      </c>
      <c r="FF264" s="19"/>
      <c r="FG264" s="19"/>
      <c r="FH264" s="21" t="s">
        <v>197</v>
      </c>
      <c r="FI264" s="17" t="s">
        <v>214</v>
      </c>
      <c r="FJ264" s="18">
        <v>45707.497395833336</v>
      </c>
      <c r="FK264" s="14" t="s">
        <v>8095</v>
      </c>
      <c r="FL264" s="14" t="s">
        <v>8096</v>
      </c>
      <c r="FM264" s="14" t="s">
        <v>8097</v>
      </c>
      <c r="FN264" s="19"/>
      <c r="FO264" s="19"/>
      <c r="FP264" s="19" t="str">
        <f t="shared" si="1"/>
        <v>Base de Dados_Images/CAV001.Imagem do Equipamento-.184344.jpg</v>
      </c>
      <c r="FQ264" s="19"/>
      <c r="FR264" s="19"/>
    </row>
    <row r="265" ht="15.75" customHeight="1">
      <c r="A265" s="12" t="s">
        <v>547</v>
      </c>
      <c r="B265" s="12" t="s">
        <v>3825</v>
      </c>
      <c r="C265" s="12" t="s">
        <v>8081</v>
      </c>
      <c r="D265" s="12" t="s">
        <v>8098</v>
      </c>
      <c r="E265" s="12" t="s">
        <v>8099</v>
      </c>
      <c r="F265" s="13" t="s">
        <v>178</v>
      </c>
      <c r="G265" s="14" t="s">
        <v>179</v>
      </c>
      <c r="H265" s="14" t="s">
        <v>8100</v>
      </c>
      <c r="I265" s="14" t="s">
        <v>179</v>
      </c>
      <c r="J265" s="14" t="s">
        <v>8101</v>
      </c>
      <c r="K265" s="14" t="s">
        <v>179</v>
      </c>
      <c r="L265" s="14" t="s">
        <v>8102</v>
      </c>
      <c r="M265" s="14" t="s">
        <v>179</v>
      </c>
      <c r="N265" s="14" t="s">
        <v>8103</v>
      </c>
      <c r="O265" s="14" t="s">
        <v>179</v>
      </c>
      <c r="P265" s="14" t="s">
        <v>8104</v>
      </c>
      <c r="Q265" s="14" t="s">
        <v>188</v>
      </c>
      <c r="R265" s="14" t="s">
        <v>8105</v>
      </c>
      <c r="S265" s="14" t="s">
        <v>188</v>
      </c>
      <c r="T265" s="14" t="s">
        <v>8106</v>
      </c>
      <c r="U265" s="14" t="s">
        <v>188</v>
      </c>
      <c r="V265" s="14" t="s">
        <v>8107</v>
      </c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6" t="s">
        <v>197</v>
      </c>
      <c r="BP265" s="17" t="s">
        <v>198</v>
      </c>
      <c r="BQ265" s="18">
        <v>45678.57755787037</v>
      </c>
      <c r="BR265" s="17" t="s">
        <v>198</v>
      </c>
      <c r="BS265" s="18">
        <v>45678.577673611115</v>
      </c>
      <c r="BT265" s="17" t="s">
        <v>198</v>
      </c>
      <c r="BU265" s="18">
        <v>45678.577673611115</v>
      </c>
      <c r="BV265" s="13" t="s">
        <v>199</v>
      </c>
      <c r="BW265" s="14" t="s">
        <v>179</v>
      </c>
      <c r="BX265" s="14" t="s">
        <v>8108</v>
      </c>
      <c r="BY265" s="14" t="s">
        <v>188</v>
      </c>
      <c r="BZ265" s="14" t="s">
        <v>8109</v>
      </c>
      <c r="CA265" s="15"/>
      <c r="CB265" s="15"/>
      <c r="CC265" s="15"/>
      <c r="CD265" s="15"/>
      <c r="CE265" s="15"/>
      <c r="CF265" s="15"/>
      <c r="CG265" s="19"/>
      <c r="CH265" s="15"/>
      <c r="CI265" s="19"/>
      <c r="CJ265" s="15"/>
      <c r="CK265" s="19"/>
      <c r="CL265" s="15"/>
      <c r="CM265" s="19"/>
      <c r="CN265" s="15"/>
      <c r="CO265" s="19"/>
      <c r="CP265" s="15"/>
      <c r="CQ265" s="15"/>
      <c r="CR265" s="15"/>
      <c r="CS265" s="19"/>
      <c r="CT265" s="15"/>
      <c r="CU265" s="19"/>
      <c r="CV265" s="15"/>
      <c r="CW265" s="19"/>
      <c r="CX265" s="15"/>
      <c r="CY265" s="19"/>
      <c r="CZ265" s="15"/>
      <c r="DA265" s="17" t="s">
        <v>197</v>
      </c>
      <c r="DB265" s="17" t="s">
        <v>228</v>
      </c>
      <c r="DC265" s="16"/>
      <c r="DD265" s="17" t="s">
        <v>198</v>
      </c>
      <c r="DE265" s="18">
        <v>45692.62951388889</v>
      </c>
      <c r="DF265" s="17" t="s">
        <v>198</v>
      </c>
      <c r="DG265" s="18">
        <v>45692.62951388889</v>
      </c>
      <c r="DH265" s="13" t="s">
        <v>205</v>
      </c>
      <c r="DI265" s="14" t="s">
        <v>179</v>
      </c>
      <c r="DJ265" s="14" t="s">
        <v>8110</v>
      </c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6" t="s">
        <v>197</v>
      </c>
      <c r="ED265" s="17" t="s">
        <v>198</v>
      </c>
      <c r="EE265" s="18">
        <v>45692.67364583333</v>
      </c>
      <c r="EF265" s="13" t="s">
        <v>209</v>
      </c>
      <c r="EG265" s="14" t="s">
        <v>179</v>
      </c>
      <c r="EH265" s="14" t="s">
        <v>8111</v>
      </c>
      <c r="EI265" s="15"/>
      <c r="EJ265" s="15"/>
      <c r="EK265" s="15"/>
      <c r="EL265" s="15"/>
      <c r="EM265" s="15"/>
      <c r="EN265" s="15"/>
      <c r="EO265" s="15"/>
      <c r="EP265" s="15"/>
      <c r="EQ265" s="15"/>
      <c r="ER265" s="15"/>
      <c r="ES265" s="15"/>
      <c r="ET265" s="15"/>
      <c r="EU265" s="15"/>
      <c r="EV265" s="15"/>
      <c r="EW265" s="15"/>
      <c r="EX265" s="15"/>
      <c r="EY265" s="15"/>
      <c r="EZ265" s="15"/>
      <c r="FA265" s="15"/>
      <c r="FB265" s="15"/>
      <c r="FC265" s="16" t="s">
        <v>197</v>
      </c>
      <c r="FD265" s="17" t="s">
        <v>198</v>
      </c>
      <c r="FE265" s="18">
        <v>45707.49744212963</v>
      </c>
      <c r="FF265" s="19"/>
      <c r="FG265" s="19"/>
      <c r="FH265" s="21" t="s">
        <v>197</v>
      </c>
      <c r="FI265" s="17" t="s">
        <v>214</v>
      </c>
      <c r="FJ265" s="18">
        <v>45707.49744212963</v>
      </c>
      <c r="FK265" s="14" t="s">
        <v>8111</v>
      </c>
      <c r="FL265" s="14" t="s">
        <v>8112</v>
      </c>
      <c r="FM265" s="14" t="s">
        <v>8113</v>
      </c>
      <c r="FN265" s="19"/>
      <c r="FO265" s="19"/>
      <c r="FP265" s="19" t="str">
        <f t="shared" si="1"/>
        <v>Base de Dados_Images/CAV002.Imagem do Equipamento-.184438.jpg</v>
      </c>
      <c r="FQ265" s="19"/>
      <c r="FR265" s="19"/>
    </row>
    <row r="266" ht="15.75" customHeight="1">
      <c r="A266" s="12" t="s">
        <v>547</v>
      </c>
      <c r="B266" s="12" t="s">
        <v>3825</v>
      </c>
      <c r="C266" s="12" t="s">
        <v>8081</v>
      </c>
      <c r="D266" s="12" t="s">
        <v>8114</v>
      </c>
      <c r="E266" s="12" t="s">
        <v>8115</v>
      </c>
      <c r="F266" s="13" t="s">
        <v>178</v>
      </c>
      <c r="G266" s="14" t="s">
        <v>179</v>
      </c>
      <c r="H266" s="14" t="s">
        <v>8116</v>
      </c>
      <c r="I266" s="14" t="s">
        <v>179</v>
      </c>
      <c r="J266" s="14" t="s">
        <v>8117</v>
      </c>
      <c r="K266" s="14" t="s">
        <v>179</v>
      </c>
      <c r="L266" s="14" t="s">
        <v>8118</v>
      </c>
      <c r="M266" s="14" t="s">
        <v>179</v>
      </c>
      <c r="N266" s="14" t="s">
        <v>8119</v>
      </c>
      <c r="O266" s="14" t="s">
        <v>179</v>
      </c>
      <c r="P266" s="14" t="s">
        <v>8120</v>
      </c>
      <c r="Q266" s="14" t="s">
        <v>188</v>
      </c>
      <c r="R266" s="14" t="s">
        <v>8121</v>
      </c>
      <c r="S266" s="14" t="s">
        <v>188</v>
      </c>
      <c r="T266" s="14" t="s">
        <v>8122</v>
      </c>
      <c r="U266" s="14" t="s">
        <v>188</v>
      </c>
      <c r="V266" s="14" t="s">
        <v>8123</v>
      </c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6" t="s">
        <v>197</v>
      </c>
      <c r="BP266" s="17" t="s">
        <v>198</v>
      </c>
      <c r="BQ266" s="18">
        <v>45678.578356481485</v>
      </c>
      <c r="BR266" s="17" t="s">
        <v>198</v>
      </c>
      <c r="BS266" s="18">
        <v>45678.5783912037</v>
      </c>
      <c r="BT266" s="17" t="s">
        <v>198</v>
      </c>
      <c r="BU266" s="18">
        <v>45678.5783912037</v>
      </c>
      <c r="BV266" s="13" t="s">
        <v>199</v>
      </c>
      <c r="BW266" s="14" t="s">
        <v>188</v>
      </c>
      <c r="BX266" s="14" t="s">
        <v>8124</v>
      </c>
      <c r="BY266" s="14" t="s">
        <v>188</v>
      </c>
      <c r="BZ266" s="14" t="s">
        <v>8125</v>
      </c>
      <c r="CA266" s="15"/>
      <c r="CB266" s="15"/>
      <c r="CC266" s="15"/>
      <c r="CD266" s="15"/>
      <c r="CE266" s="15"/>
      <c r="CF266" s="15"/>
      <c r="CG266" s="19"/>
      <c r="CH266" s="15"/>
      <c r="CI266" s="19"/>
      <c r="CJ266" s="15"/>
      <c r="CK266" s="19"/>
      <c r="CL266" s="15"/>
      <c r="CM266" s="19"/>
      <c r="CN266" s="15"/>
      <c r="CO266" s="19"/>
      <c r="CP266" s="15"/>
      <c r="CQ266" s="15"/>
      <c r="CR266" s="15"/>
      <c r="CS266" s="19"/>
      <c r="CT266" s="15"/>
      <c r="CU266" s="19"/>
      <c r="CV266" s="15"/>
      <c r="CW266" s="19"/>
      <c r="CX266" s="15"/>
      <c r="CY266" s="19"/>
      <c r="CZ266" s="15"/>
      <c r="DA266" s="16" t="s">
        <v>197</v>
      </c>
      <c r="DB266" s="17" t="s">
        <v>228</v>
      </c>
      <c r="DC266" s="16"/>
      <c r="DD266" s="17" t="s">
        <v>198</v>
      </c>
      <c r="DE266" s="18">
        <v>45692.60298611111</v>
      </c>
      <c r="DF266" s="17" t="s">
        <v>198</v>
      </c>
      <c r="DG266" s="18">
        <v>45692.60298611111</v>
      </c>
      <c r="DH266" s="13" t="s">
        <v>205</v>
      </c>
      <c r="DI266" s="14" t="s">
        <v>179</v>
      </c>
      <c r="DJ266" s="14" t="s">
        <v>8126</v>
      </c>
      <c r="DK266" s="15"/>
      <c r="DL266" s="15"/>
      <c r="DM266" s="15"/>
      <c r="DN266" s="15"/>
      <c r="DO266" s="15"/>
      <c r="DP266" s="15"/>
      <c r="DQ266" s="15"/>
      <c r="DR266" s="15"/>
      <c r="DS266" s="15"/>
      <c r="DT266" s="15"/>
      <c r="DU266" s="15"/>
      <c r="DV266" s="15"/>
      <c r="DW266" s="15"/>
      <c r="DX266" s="15"/>
      <c r="DY266" s="15"/>
      <c r="DZ266" s="15"/>
      <c r="EA266" s="15"/>
      <c r="EB266" s="15"/>
      <c r="EC266" s="16" t="s">
        <v>197</v>
      </c>
      <c r="ED266" s="17" t="s">
        <v>198</v>
      </c>
      <c r="EE266" s="18">
        <v>45692.604421296295</v>
      </c>
      <c r="EF266" s="13" t="s">
        <v>209</v>
      </c>
      <c r="EG266" s="14" t="s">
        <v>179</v>
      </c>
      <c r="EH266" s="14" t="s">
        <v>8127</v>
      </c>
      <c r="EI266" s="15"/>
      <c r="EJ266" s="15"/>
      <c r="EK266" s="15"/>
      <c r="EL266" s="15"/>
      <c r="EM266" s="15"/>
      <c r="EN266" s="15"/>
      <c r="EO266" s="15"/>
      <c r="EP266" s="15"/>
      <c r="EQ266" s="15"/>
      <c r="ER266" s="15"/>
      <c r="ES266" s="15"/>
      <c r="ET266" s="15"/>
      <c r="EU266" s="15"/>
      <c r="EV266" s="15"/>
      <c r="EW266" s="15"/>
      <c r="EX266" s="15"/>
      <c r="EY266" s="15"/>
      <c r="EZ266" s="15"/>
      <c r="FA266" s="15"/>
      <c r="FB266" s="15"/>
      <c r="FC266" s="16" t="s">
        <v>197</v>
      </c>
      <c r="FD266" s="17" t="s">
        <v>198</v>
      </c>
      <c r="FE266" s="18">
        <v>45707.49758101852</v>
      </c>
      <c r="FF266" s="19"/>
      <c r="FG266" s="19"/>
      <c r="FH266" s="21" t="s">
        <v>197</v>
      </c>
      <c r="FI266" s="17" t="s">
        <v>214</v>
      </c>
      <c r="FJ266" s="18">
        <v>45707.49758101852</v>
      </c>
      <c r="FK266" s="14" t="s">
        <v>8127</v>
      </c>
      <c r="FL266" s="14" t="s">
        <v>8128</v>
      </c>
      <c r="FM266" s="14" t="s">
        <v>8129</v>
      </c>
      <c r="FN266" s="19"/>
      <c r="FO266" s="19"/>
      <c r="FP266" s="19" t="str">
        <f t="shared" si="1"/>
        <v>Base de Dados_Images/CAV004.Imagem do Equipamento-.184239.jpg</v>
      </c>
      <c r="FQ266" s="19"/>
      <c r="FR266" s="19"/>
    </row>
    <row r="267" ht="15.75" customHeight="1">
      <c r="A267" s="12" t="s">
        <v>547</v>
      </c>
      <c r="B267" s="12" t="s">
        <v>3825</v>
      </c>
      <c r="C267" s="12" t="s">
        <v>8081</v>
      </c>
      <c r="D267" s="12" t="s">
        <v>8130</v>
      </c>
      <c r="E267" s="12" t="s">
        <v>8131</v>
      </c>
      <c r="F267" s="13" t="s">
        <v>178</v>
      </c>
      <c r="G267" s="14" t="s">
        <v>179</v>
      </c>
      <c r="H267" s="14" t="s">
        <v>8132</v>
      </c>
      <c r="I267" s="14" t="s">
        <v>179</v>
      </c>
      <c r="J267" s="14" t="s">
        <v>8133</v>
      </c>
      <c r="K267" s="14" t="s">
        <v>179</v>
      </c>
      <c r="L267" s="14" t="s">
        <v>8134</v>
      </c>
      <c r="M267" s="14" t="s">
        <v>179</v>
      </c>
      <c r="N267" s="14" t="s">
        <v>8135</v>
      </c>
      <c r="O267" s="14" t="s">
        <v>188</v>
      </c>
      <c r="P267" s="14" t="s">
        <v>8136</v>
      </c>
      <c r="Q267" s="14" t="s">
        <v>188</v>
      </c>
      <c r="R267" s="14" t="s">
        <v>8137</v>
      </c>
      <c r="S267" s="14" t="s">
        <v>188</v>
      </c>
      <c r="T267" s="14" t="s">
        <v>8138</v>
      </c>
      <c r="U267" s="14" t="s">
        <v>188</v>
      </c>
      <c r="V267" s="14" t="s">
        <v>8139</v>
      </c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6" t="s">
        <v>197</v>
      </c>
      <c r="BP267" s="17" t="s">
        <v>198</v>
      </c>
      <c r="BQ267" s="18">
        <v>45688.66133101852</v>
      </c>
      <c r="BR267" s="17" t="s">
        <v>198</v>
      </c>
      <c r="BS267" s="18">
        <v>45688.661087962966</v>
      </c>
      <c r="BT267" s="17" t="s">
        <v>198</v>
      </c>
      <c r="BU267" s="18">
        <v>45688.66133101852</v>
      </c>
      <c r="BV267" s="13" t="s">
        <v>199</v>
      </c>
      <c r="BW267" s="14" t="s">
        <v>188</v>
      </c>
      <c r="BX267" s="14" t="s">
        <v>8140</v>
      </c>
      <c r="BY267" s="14" t="s">
        <v>188</v>
      </c>
      <c r="BZ267" s="14" t="s">
        <v>8141</v>
      </c>
      <c r="CA267" s="15"/>
      <c r="CB267" s="15"/>
      <c r="CC267" s="15"/>
      <c r="CD267" s="15"/>
      <c r="CE267" s="15"/>
      <c r="CF267" s="15"/>
      <c r="CG267" s="19"/>
      <c r="CH267" s="15"/>
      <c r="CI267" s="19"/>
      <c r="CJ267" s="15"/>
      <c r="CK267" s="19"/>
      <c r="CL267" s="15"/>
      <c r="CM267" s="19"/>
      <c r="CN267" s="15"/>
      <c r="CO267" s="19"/>
      <c r="CP267" s="15"/>
      <c r="CQ267" s="15"/>
      <c r="CR267" s="15"/>
      <c r="CS267" s="19"/>
      <c r="CT267" s="15"/>
      <c r="CU267" s="19"/>
      <c r="CV267" s="15"/>
      <c r="CW267" s="19"/>
      <c r="CX267" s="15"/>
      <c r="CY267" s="19"/>
      <c r="CZ267" s="15"/>
      <c r="DA267" s="16" t="s">
        <v>197</v>
      </c>
      <c r="DB267" s="17" t="s">
        <v>228</v>
      </c>
      <c r="DC267" s="16"/>
      <c r="DD267" s="17" t="s">
        <v>198</v>
      </c>
      <c r="DE267" s="18">
        <v>45692.60396990741</v>
      </c>
      <c r="DF267" s="17" t="s">
        <v>198</v>
      </c>
      <c r="DG267" s="18">
        <v>45692.60396990741</v>
      </c>
      <c r="DH267" s="13" t="s">
        <v>205</v>
      </c>
      <c r="DI267" s="14" t="s">
        <v>179</v>
      </c>
      <c r="DJ267" s="14" t="s">
        <v>8142</v>
      </c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6" t="s">
        <v>197</v>
      </c>
      <c r="ED267" s="17" t="s">
        <v>198</v>
      </c>
      <c r="EE267" s="18">
        <v>45692.604097222225</v>
      </c>
      <c r="EF267" s="13" t="s">
        <v>209</v>
      </c>
      <c r="EG267" s="14" t="s">
        <v>179</v>
      </c>
      <c r="EH267" s="14" t="s">
        <v>8143</v>
      </c>
      <c r="EI267" s="15"/>
      <c r="EJ267" s="15"/>
      <c r="EK267" s="15"/>
      <c r="EL267" s="15"/>
      <c r="EM267" s="15"/>
      <c r="EN267" s="15"/>
      <c r="EO267" s="15"/>
      <c r="EP267" s="15"/>
      <c r="EQ267" s="15"/>
      <c r="ER267" s="15"/>
      <c r="ES267" s="15"/>
      <c r="ET267" s="15"/>
      <c r="EU267" s="15"/>
      <c r="EV267" s="15"/>
      <c r="EW267" s="15"/>
      <c r="EX267" s="15"/>
      <c r="EY267" s="15"/>
      <c r="EZ267" s="15"/>
      <c r="FA267" s="15"/>
      <c r="FB267" s="15"/>
      <c r="FC267" s="16" t="s">
        <v>197</v>
      </c>
      <c r="FD267" s="17" t="s">
        <v>198</v>
      </c>
      <c r="FE267" s="18">
        <v>45707.49778935185</v>
      </c>
      <c r="FF267" s="14" t="s">
        <v>8144</v>
      </c>
      <c r="FG267" s="19"/>
      <c r="FH267" s="17" t="s">
        <v>198</v>
      </c>
      <c r="FI267" s="17" t="s">
        <v>214</v>
      </c>
      <c r="FJ267" s="18">
        <v>45707.49778935185</v>
      </c>
      <c r="FK267" s="14" t="s">
        <v>8143</v>
      </c>
      <c r="FL267" s="19"/>
      <c r="FM267" s="19"/>
      <c r="FN267" s="19"/>
      <c r="FO267" s="19"/>
      <c r="FP267" s="19" t="str">
        <f t="shared" si="1"/>
        <v/>
      </c>
      <c r="FQ267" s="14" t="s">
        <v>215</v>
      </c>
      <c r="FR267" s="14" t="s">
        <v>8145</v>
      </c>
    </row>
    <row r="268" ht="15.75" customHeight="1">
      <c r="A268" s="12" t="s">
        <v>547</v>
      </c>
      <c r="B268" s="12" t="s">
        <v>3825</v>
      </c>
      <c r="C268" s="12" t="s">
        <v>8081</v>
      </c>
      <c r="D268" s="12" t="s">
        <v>8146</v>
      </c>
      <c r="E268" s="12" t="s">
        <v>8147</v>
      </c>
      <c r="F268" s="13" t="s">
        <v>178</v>
      </c>
      <c r="G268" s="14" t="s">
        <v>179</v>
      </c>
      <c r="H268" s="14" t="s">
        <v>8148</v>
      </c>
      <c r="I268" s="14" t="s">
        <v>179</v>
      </c>
      <c r="J268" s="14" t="s">
        <v>8149</v>
      </c>
      <c r="K268" s="14" t="s">
        <v>179</v>
      </c>
      <c r="L268" s="14" t="s">
        <v>8150</v>
      </c>
      <c r="M268" s="14" t="s">
        <v>179</v>
      </c>
      <c r="N268" s="14" t="s">
        <v>8151</v>
      </c>
      <c r="O268" s="14" t="s">
        <v>179</v>
      </c>
      <c r="P268" s="14" t="s">
        <v>8152</v>
      </c>
      <c r="Q268" s="14" t="s">
        <v>188</v>
      </c>
      <c r="R268" s="14" t="s">
        <v>8153</v>
      </c>
      <c r="S268" s="14" t="s">
        <v>188</v>
      </c>
      <c r="T268" s="14" t="s">
        <v>8154</v>
      </c>
      <c r="U268" s="14" t="s">
        <v>188</v>
      </c>
      <c r="V268" s="14" t="s">
        <v>8155</v>
      </c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6" t="s">
        <v>197</v>
      </c>
      <c r="BP268" s="17" t="s">
        <v>198</v>
      </c>
      <c r="BQ268" s="18">
        <v>45678.58247685185</v>
      </c>
      <c r="BR268" s="17" t="s">
        <v>198</v>
      </c>
      <c r="BS268" s="18">
        <v>45678.582291666666</v>
      </c>
      <c r="BT268" s="17" t="s">
        <v>198</v>
      </c>
      <c r="BU268" s="18">
        <v>45678.58247685185</v>
      </c>
      <c r="BV268" s="13" t="s">
        <v>199</v>
      </c>
      <c r="BW268" s="14" t="s">
        <v>188</v>
      </c>
      <c r="BX268" s="14" t="s">
        <v>8156</v>
      </c>
      <c r="BY268" s="14" t="s">
        <v>188</v>
      </c>
      <c r="BZ268" s="14" t="s">
        <v>8157</v>
      </c>
      <c r="CA268" s="15"/>
      <c r="CB268" s="15"/>
      <c r="CC268" s="15"/>
      <c r="CD268" s="15"/>
      <c r="CE268" s="15"/>
      <c r="CF268" s="15"/>
      <c r="CG268" s="19"/>
      <c r="CH268" s="15"/>
      <c r="CI268" s="19"/>
      <c r="CJ268" s="15"/>
      <c r="CK268" s="19"/>
      <c r="CL268" s="15"/>
      <c r="CM268" s="19"/>
      <c r="CN268" s="15"/>
      <c r="CO268" s="19"/>
      <c r="CP268" s="15"/>
      <c r="CQ268" s="15"/>
      <c r="CR268" s="15"/>
      <c r="CS268" s="19"/>
      <c r="CT268" s="15"/>
      <c r="CU268" s="19"/>
      <c r="CV268" s="15"/>
      <c r="CW268" s="19"/>
      <c r="CX268" s="15"/>
      <c r="CY268" s="19"/>
      <c r="CZ268" s="15"/>
      <c r="DA268" s="16" t="s">
        <v>197</v>
      </c>
      <c r="DB268" s="17" t="s">
        <v>228</v>
      </c>
      <c r="DC268" s="16"/>
      <c r="DD268" s="17" t="s">
        <v>198</v>
      </c>
      <c r="DE268" s="18">
        <v>45692.60313657407</v>
      </c>
      <c r="DF268" s="17" t="s">
        <v>198</v>
      </c>
      <c r="DG268" s="18">
        <v>45692.60313657407</v>
      </c>
      <c r="DH268" s="13" t="s">
        <v>205</v>
      </c>
      <c r="DI268" s="14" t="s">
        <v>179</v>
      </c>
      <c r="DJ268" s="14" t="s">
        <v>8158</v>
      </c>
      <c r="DK268" s="15"/>
      <c r="DL268" s="15"/>
      <c r="DM268" s="15"/>
      <c r="DN268" s="15"/>
      <c r="DO268" s="15"/>
      <c r="DP268" s="15"/>
      <c r="DQ268" s="15"/>
      <c r="DR268" s="15"/>
      <c r="DS268" s="15"/>
      <c r="DT268" s="15"/>
      <c r="DU268" s="15"/>
      <c r="DV268" s="15"/>
      <c r="DW268" s="15"/>
      <c r="DX268" s="15"/>
      <c r="DY268" s="15"/>
      <c r="DZ268" s="15"/>
      <c r="EA268" s="15"/>
      <c r="EB268" s="15"/>
      <c r="EC268" s="16" t="s">
        <v>197</v>
      </c>
      <c r="ED268" s="17" t="s">
        <v>198</v>
      </c>
      <c r="EE268" s="18">
        <v>45692.60428240741</v>
      </c>
      <c r="EF268" s="13" t="s">
        <v>209</v>
      </c>
      <c r="EG268" s="14" t="s">
        <v>179</v>
      </c>
      <c r="EH268" s="14" t="s">
        <v>8159</v>
      </c>
      <c r="EI268" s="15"/>
      <c r="EJ268" s="15"/>
      <c r="EK268" s="15"/>
      <c r="EL268" s="15"/>
      <c r="EM268" s="15"/>
      <c r="EN268" s="15"/>
      <c r="EO268" s="15"/>
      <c r="EP268" s="15"/>
      <c r="EQ268" s="15"/>
      <c r="ER268" s="15"/>
      <c r="ES268" s="15"/>
      <c r="ET268" s="15"/>
      <c r="EU268" s="15"/>
      <c r="EV268" s="15"/>
      <c r="EW268" s="15"/>
      <c r="EX268" s="15"/>
      <c r="EY268" s="15"/>
      <c r="EZ268" s="15"/>
      <c r="FA268" s="15"/>
      <c r="FB268" s="15"/>
      <c r="FC268" s="16" t="s">
        <v>197</v>
      </c>
      <c r="FD268" s="17" t="s">
        <v>198</v>
      </c>
      <c r="FE268" s="18">
        <v>45707.49767361111</v>
      </c>
      <c r="FF268" s="19"/>
      <c r="FG268" s="19"/>
      <c r="FH268" s="21" t="s">
        <v>197</v>
      </c>
      <c r="FI268" s="17" t="s">
        <v>214</v>
      </c>
      <c r="FJ268" s="18">
        <v>45707.49767361111</v>
      </c>
      <c r="FK268" s="14" t="s">
        <v>8159</v>
      </c>
      <c r="FL268" s="14" t="s">
        <v>8160</v>
      </c>
      <c r="FM268" s="14" t="s">
        <v>8161</v>
      </c>
      <c r="FN268" s="19"/>
      <c r="FO268" s="19"/>
      <c r="FP268" s="19" t="str">
        <f t="shared" si="1"/>
        <v>Base de Dados_Images/CAV006.Imagem do Equipamento-.184151.jpg</v>
      </c>
      <c r="FQ268" s="19"/>
      <c r="FR268" s="19"/>
    </row>
    <row r="269" ht="15.75" customHeight="1">
      <c r="A269" s="25" t="s">
        <v>217</v>
      </c>
      <c r="B269" s="25" t="s">
        <v>2449</v>
      </c>
      <c r="C269" s="26" t="s">
        <v>8162</v>
      </c>
      <c r="D269" s="25" t="s">
        <v>8163</v>
      </c>
      <c r="E269" s="25" t="s">
        <v>8164</v>
      </c>
      <c r="F269" s="27" t="s">
        <v>178</v>
      </c>
      <c r="G269" s="14" t="s">
        <v>179</v>
      </c>
      <c r="H269" s="14" t="s">
        <v>8165</v>
      </c>
      <c r="I269" s="14" t="s">
        <v>179</v>
      </c>
      <c r="J269" s="14" t="s">
        <v>8166</v>
      </c>
      <c r="K269" s="14" t="s">
        <v>179</v>
      </c>
      <c r="L269" s="14" t="s">
        <v>8167</v>
      </c>
      <c r="M269" s="14" t="s">
        <v>179</v>
      </c>
      <c r="N269" s="14" t="s">
        <v>8168</v>
      </c>
      <c r="O269" s="14" t="s">
        <v>179</v>
      </c>
      <c r="P269" s="14" t="s">
        <v>8169</v>
      </c>
      <c r="Q269" s="14" t="s">
        <v>179</v>
      </c>
      <c r="R269" s="14" t="s">
        <v>8170</v>
      </c>
      <c r="S269" s="14" t="s">
        <v>179</v>
      </c>
      <c r="T269" s="14" t="s">
        <v>8171</v>
      </c>
      <c r="U269" s="14" t="s">
        <v>179</v>
      </c>
      <c r="V269" s="14" t="s">
        <v>8172</v>
      </c>
      <c r="W269" s="14" t="s">
        <v>179</v>
      </c>
      <c r="X269" s="14" t="s">
        <v>8173</v>
      </c>
      <c r="Y269" s="14" t="s">
        <v>179</v>
      </c>
      <c r="Z269" s="14" t="s">
        <v>8174</v>
      </c>
      <c r="AA269" s="14" t="s">
        <v>179</v>
      </c>
      <c r="AB269" s="14" t="s">
        <v>8174</v>
      </c>
      <c r="AC269" s="14" t="s">
        <v>179</v>
      </c>
      <c r="AD269" s="14" t="s">
        <v>8175</v>
      </c>
      <c r="AE269" s="14" t="s">
        <v>179</v>
      </c>
      <c r="AF269" s="14" t="s">
        <v>8176</v>
      </c>
      <c r="AG269" s="14"/>
      <c r="AH269" s="14"/>
      <c r="AI269" s="14"/>
      <c r="AJ269" s="14"/>
      <c r="AK269" s="14"/>
      <c r="AL269" s="14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7" t="s">
        <v>197</v>
      </c>
      <c r="BP269" s="17" t="s">
        <v>198</v>
      </c>
      <c r="BQ269" s="18">
        <v>45720.60221064815</v>
      </c>
      <c r="BR269" s="17" t="s">
        <v>198</v>
      </c>
      <c r="BS269" s="18">
        <v>45720.60228009259</v>
      </c>
      <c r="BT269" s="17" t="s">
        <v>198</v>
      </c>
      <c r="BU269" s="18">
        <v>45720.60228009259</v>
      </c>
      <c r="BV269" s="27" t="s">
        <v>199</v>
      </c>
      <c r="BW269" s="14" t="s">
        <v>179</v>
      </c>
      <c r="BX269" s="14" t="s">
        <v>8177</v>
      </c>
      <c r="BY269" s="14" t="s">
        <v>179</v>
      </c>
      <c r="BZ269" s="14" t="s">
        <v>8178</v>
      </c>
      <c r="CA269" s="14" t="s">
        <v>179</v>
      </c>
      <c r="CB269" s="14" t="s">
        <v>8179</v>
      </c>
      <c r="CC269" s="14" t="s">
        <v>179</v>
      </c>
      <c r="CD269" s="14" t="s">
        <v>8180</v>
      </c>
      <c r="CE269" s="14"/>
      <c r="CF269" s="14"/>
      <c r="CG269" s="14"/>
      <c r="CH269" s="14"/>
      <c r="CI269" s="19"/>
      <c r="CJ269" s="15"/>
      <c r="CK269" s="19"/>
      <c r="CL269" s="15"/>
      <c r="CM269" s="19"/>
      <c r="CN269" s="15"/>
      <c r="CO269" s="19"/>
      <c r="CP269" s="15"/>
      <c r="CQ269" s="15"/>
      <c r="CR269" s="15"/>
      <c r="CS269" s="19"/>
      <c r="CT269" s="15"/>
      <c r="CU269" s="19"/>
      <c r="CV269" s="15"/>
      <c r="CW269" s="19"/>
      <c r="CX269" s="15"/>
      <c r="CY269" s="19"/>
      <c r="CZ269" s="15"/>
      <c r="DA269" s="17" t="s">
        <v>197</v>
      </c>
      <c r="DB269" s="17" t="s">
        <v>198</v>
      </c>
      <c r="DC269" s="20">
        <v>45720.60236111111</v>
      </c>
      <c r="DD269" s="17" t="s">
        <v>198</v>
      </c>
      <c r="DE269" s="18">
        <v>45720.60239583333</v>
      </c>
      <c r="DF269" s="17" t="s">
        <v>198</v>
      </c>
      <c r="DG269" s="18">
        <v>45720.60239583333</v>
      </c>
      <c r="DH269" s="27" t="s">
        <v>205</v>
      </c>
      <c r="DI269" s="14" t="s">
        <v>179</v>
      </c>
      <c r="DJ269" s="14" t="s">
        <v>8181</v>
      </c>
      <c r="DK269" s="14" t="s">
        <v>179</v>
      </c>
      <c r="DL269" s="14" t="s">
        <v>8182</v>
      </c>
      <c r="DM269" s="14" t="s">
        <v>179</v>
      </c>
      <c r="DN269" s="14" t="s">
        <v>8183</v>
      </c>
      <c r="DO269" s="14" t="s">
        <v>179</v>
      </c>
      <c r="DP269" s="14" t="s">
        <v>8184</v>
      </c>
      <c r="DQ269" s="14" t="s">
        <v>179</v>
      </c>
      <c r="DR269" s="14" t="s">
        <v>8185</v>
      </c>
      <c r="DS269" s="14" t="s">
        <v>179</v>
      </c>
      <c r="DT269" s="14" t="s">
        <v>8186</v>
      </c>
      <c r="DU269" s="15"/>
      <c r="DV269" s="15"/>
      <c r="DW269" s="15"/>
      <c r="DX269" s="15"/>
      <c r="DY269" s="15"/>
      <c r="DZ269" s="15"/>
      <c r="EA269" s="15"/>
      <c r="EB269" s="15"/>
      <c r="EC269" s="17" t="s">
        <v>197</v>
      </c>
      <c r="ED269" s="17" t="s">
        <v>198</v>
      </c>
      <c r="EE269" s="18">
        <v>45720.60251157408</v>
      </c>
      <c r="EF269" s="27" t="s">
        <v>209</v>
      </c>
      <c r="EG269" s="14" t="s">
        <v>179</v>
      </c>
      <c r="EH269" s="14" t="s">
        <v>8187</v>
      </c>
      <c r="EI269" s="14" t="s">
        <v>179</v>
      </c>
      <c r="EJ269" s="14" t="s">
        <v>8188</v>
      </c>
      <c r="EK269" s="14" t="s">
        <v>179</v>
      </c>
      <c r="EL269" s="14" t="s">
        <v>8189</v>
      </c>
      <c r="EM269" s="14" t="s">
        <v>179</v>
      </c>
      <c r="EN269" s="14" t="s">
        <v>8190</v>
      </c>
      <c r="EO269" s="14" t="s">
        <v>179</v>
      </c>
      <c r="EP269" s="14" t="s">
        <v>8191</v>
      </c>
      <c r="EQ269" s="14" t="s">
        <v>179</v>
      </c>
      <c r="ER269" s="14" t="s">
        <v>8191</v>
      </c>
      <c r="ES269" s="15"/>
      <c r="ET269" s="15"/>
      <c r="EU269" s="15"/>
      <c r="EV269" s="15"/>
      <c r="EW269" s="15"/>
      <c r="EX269" s="15"/>
      <c r="EY269" s="15"/>
      <c r="EZ269" s="15"/>
      <c r="FA269" s="15"/>
      <c r="FB269" s="15"/>
      <c r="FC269" s="17" t="s">
        <v>197</v>
      </c>
      <c r="FD269" s="17" t="s">
        <v>198</v>
      </c>
      <c r="FE269" s="18">
        <v>45726.462800925925</v>
      </c>
      <c r="FF269" s="19"/>
      <c r="FG269" s="19"/>
      <c r="FH269" s="17" t="s">
        <v>197</v>
      </c>
      <c r="FI269" s="17" t="s">
        <v>214</v>
      </c>
      <c r="FJ269" s="18">
        <v>45726.462800925925</v>
      </c>
      <c r="FK269" s="14" t="s">
        <v>8191</v>
      </c>
      <c r="FL269" s="14"/>
      <c r="FM269" s="14"/>
      <c r="FN269" s="19"/>
      <c r="FO269" s="19"/>
      <c r="FP269" s="19" t="str">
        <f t="shared" si="1"/>
        <v/>
      </c>
      <c r="FQ269" s="14" t="s">
        <v>215</v>
      </c>
      <c r="FR269" s="14" t="s">
        <v>8192</v>
      </c>
    </row>
    <row r="270" ht="15.75" customHeight="1">
      <c r="A270" s="12" t="s">
        <v>217</v>
      </c>
      <c r="B270" s="12" t="s">
        <v>218</v>
      </c>
      <c r="C270" s="24" t="s">
        <v>8162</v>
      </c>
      <c r="D270" s="22" t="s">
        <v>8193</v>
      </c>
      <c r="E270" s="22" t="s">
        <v>8194</v>
      </c>
      <c r="F270" s="13" t="s">
        <v>178</v>
      </c>
      <c r="G270" s="14" t="s">
        <v>179</v>
      </c>
      <c r="H270" s="14" t="s">
        <v>8195</v>
      </c>
      <c r="I270" s="14" t="s">
        <v>179</v>
      </c>
      <c r="J270" s="14" t="s">
        <v>8195</v>
      </c>
      <c r="K270" s="14" t="s">
        <v>179</v>
      </c>
      <c r="L270" s="14" t="s">
        <v>8196</v>
      </c>
      <c r="M270" s="14" t="s">
        <v>179</v>
      </c>
      <c r="N270" s="14" t="s">
        <v>8197</v>
      </c>
      <c r="O270" s="14" t="s">
        <v>179</v>
      </c>
      <c r="P270" s="14" t="s">
        <v>8198</v>
      </c>
      <c r="Q270" s="14" t="s">
        <v>179</v>
      </c>
      <c r="R270" s="14" t="s">
        <v>8199</v>
      </c>
      <c r="S270" s="14" t="s">
        <v>179</v>
      </c>
      <c r="T270" s="14" t="s">
        <v>8200</v>
      </c>
      <c r="U270" s="14" t="s">
        <v>179</v>
      </c>
      <c r="V270" s="14" t="s">
        <v>8201</v>
      </c>
      <c r="W270" s="14" t="s">
        <v>179</v>
      </c>
      <c r="X270" s="14" t="s">
        <v>8202</v>
      </c>
      <c r="Y270" s="14" t="s">
        <v>179</v>
      </c>
      <c r="Z270" s="14" t="s">
        <v>8203</v>
      </c>
      <c r="AA270" s="14" t="s">
        <v>179</v>
      </c>
      <c r="AB270" s="14" t="s">
        <v>8204</v>
      </c>
      <c r="AC270" s="14" t="s">
        <v>179</v>
      </c>
      <c r="AD270" s="14" t="s">
        <v>8205</v>
      </c>
      <c r="AE270" s="14" t="s">
        <v>179</v>
      </c>
      <c r="AF270" s="14" t="s">
        <v>8206</v>
      </c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6" t="s">
        <v>197</v>
      </c>
      <c r="BP270" s="17" t="s">
        <v>198</v>
      </c>
      <c r="BQ270" s="18">
        <v>45719.575636574074</v>
      </c>
      <c r="BR270" s="17" t="s">
        <v>198</v>
      </c>
      <c r="BS270" s="18">
        <v>45719.57570601852</v>
      </c>
      <c r="BT270" s="17" t="s">
        <v>198</v>
      </c>
      <c r="BU270" s="18">
        <v>45719.57570601852</v>
      </c>
      <c r="BV270" s="13" t="s">
        <v>199</v>
      </c>
      <c r="BW270" s="14" t="s">
        <v>179</v>
      </c>
      <c r="BX270" s="14" t="s">
        <v>8207</v>
      </c>
      <c r="BY270" s="14" t="s">
        <v>179</v>
      </c>
      <c r="BZ270" s="14" t="s">
        <v>8208</v>
      </c>
      <c r="CA270" s="14" t="s">
        <v>179</v>
      </c>
      <c r="CB270" s="14" t="s">
        <v>8209</v>
      </c>
      <c r="CC270" s="14" t="s">
        <v>179</v>
      </c>
      <c r="CD270" s="14" t="s">
        <v>8210</v>
      </c>
      <c r="CE270" s="15"/>
      <c r="CF270" s="15"/>
      <c r="CG270" s="19"/>
      <c r="CH270" s="15"/>
      <c r="CI270" s="19"/>
      <c r="CJ270" s="15"/>
      <c r="CK270" s="19"/>
      <c r="CL270" s="15"/>
      <c r="CM270" s="19"/>
      <c r="CN270" s="15"/>
      <c r="CO270" s="19"/>
      <c r="CP270" s="15"/>
      <c r="CQ270" s="15"/>
      <c r="CR270" s="15"/>
      <c r="CS270" s="19"/>
      <c r="CT270" s="15"/>
      <c r="CU270" s="19"/>
      <c r="CV270" s="15"/>
      <c r="CW270" s="19"/>
      <c r="CX270" s="15"/>
      <c r="CY270" s="19"/>
      <c r="CZ270" s="15"/>
      <c r="DA270" s="16" t="s">
        <v>197</v>
      </c>
      <c r="DB270" s="17" t="s">
        <v>198</v>
      </c>
      <c r="DC270" s="20">
        <v>45719.57577546296</v>
      </c>
      <c r="DD270" s="17" t="s">
        <v>198</v>
      </c>
      <c r="DE270" s="18">
        <v>45719.57579861111</v>
      </c>
      <c r="DF270" s="17" t="s">
        <v>198</v>
      </c>
      <c r="DG270" s="18">
        <v>45719.57579861111</v>
      </c>
      <c r="DH270" s="13" t="s">
        <v>205</v>
      </c>
      <c r="DI270" s="14" t="s">
        <v>179</v>
      </c>
      <c r="DJ270" s="14" t="s">
        <v>8211</v>
      </c>
      <c r="DK270" s="14" t="s">
        <v>179</v>
      </c>
      <c r="DL270" s="14" t="s">
        <v>8212</v>
      </c>
      <c r="DM270" s="14" t="s">
        <v>179</v>
      </c>
      <c r="DN270" s="14" t="s">
        <v>8212</v>
      </c>
      <c r="DO270" s="14" t="s">
        <v>179</v>
      </c>
      <c r="DP270" s="14" t="s">
        <v>8213</v>
      </c>
      <c r="DQ270" s="14" t="s">
        <v>179</v>
      </c>
      <c r="DR270" s="14" t="s">
        <v>8213</v>
      </c>
      <c r="DS270" s="14" t="s">
        <v>179</v>
      </c>
      <c r="DT270" s="14" t="s">
        <v>8214</v>
      </c>
      <c r="DU270" s="15"/>
      <c r="DV270" s="15"/>
      <c r="DW270" s="15"/>
      <c r="DX270" s="15"/>
      <c r="DY270" s="15"/>
      <c r="DZ270" s="15"/>
      <c r="EA270" s="15"/>
      <c r="EB270" s="15"/>
      <c r="EC270" s="16" t="s">
        <v>197</v>
      </c>
      <c r="ED270" s="17" t="s">
        <v>198</v>
      </c>
      <c r="EE270" s="18">
        <v>45719.57591435185</v>
      </c>
      <c r="EF270" s="13" t="s">
        <v>209</v>
      </c>
      <c r="EG270" s="14" t="s">
        <v>179</v>
      </c>
      <c r="EH270" s="14" t="s">
        <v>8215</v>
      </c>
      <c r="EI270" s="14" t="s">
        <v>179</v>
      </c>
      <c r="EJ270" s="14" t="s">
        <v>8216</v>
      </c>
      <c r="EK270" s="14" t="s">
        <v>179</v>
      </c>
      <c r="EL270" s="14" t="s">
        <v>8217</v>
      </c>
      <c r="EM270" s="14" t="s">
        <v>179</v>
      </c>
      <c r="EN270" s="14" t="s">
        <v>8218</v>
      </c>
      <c r="EO270" s="14" t="s">
        <v>179</v>
      </c>
      <c r="EP270" s="14" t="s">
        <v>8219</v>
      </c>
      <c r="EQ270" s="14" t="s">
        <v>179</v>
      </c>
      <c r="ER270" s="14" t="s">
        <v>8219</v>
      </c>
      <c r="ES270" s="15"/>
      <c r="ET270" s="15"/>
      <c r="EU270" s="15"/>
      <c r="EV270" s="15"/>
      <c r="EW270" s="15"/>
      <c r="EX270" s="15"/>
      <c r="EY270" s="15"/>
      <c r="EZ270" s="15"/>
      <c r="FA270" s="15"/>
      <c r="FB270" s="15"/>
      <c r="FC270" s="16" t="s">
        <v>197</v>
      </c>
      <c r="FD270" s="17" t="s">
        <v>198</v>
      </c>
      <c r="FE270" s="18">
        <v>45726.462488425925</v>
      </c>
      <c r="FF270" s="19"/>
      <c r="FG270" s="19"/>
      <c r="FH270" s="21" t="s">
        <v>197</v>
      </c>
      <c r="FI270" s="17" t="s">
        <v>214</v>
      </c>
      <c r="FJ270" s="18">
        <v>45726.462488425925</v>
      </c>
      <c r="FK270" s="14" t="s">
        <v>8219</v>
      </c>
      <c r="FL270" s="19"/>
      <c r="FM270" s="19"/>
      <c r="FN270" s="19"/>
      <c r="FO270" s="19"/>
      <c r="FP270" s="19" t="str">
        <f t="shared" si="1"/>
        <v/>
      </c>
      <c r="FQ270" s="14" t="s">
        <v>215</v>
      </c>
      <c r="FR270" s="14" t="s">
        <v>8220</v>
      </c>
    </row>
    <row r="271" ht="15.75" customHeight="1">
      <c r="A271" s="25" t="s">
        <v>217</v>
      </c>
      <c r="B271" s="25" t="s">
        <v>2449</v>
      </c>
      <c r="C271" s="26" t="s">
        <v>8162</v>
      </c>
      <c r="D271" s="25" t="s">
        <v>8221</v>
      </c>
      <c r="E271" s="25" t="s">
        <v>8222</v>
      </c>
      <c r="F271" s="27" t="s">
        <v>178</v>
      </c>
      <c r="G271" s="14" t="s">
        <v>179</v>
      </c>
      <c r="H271" s="14" t="s">
        <v>8223</v>
      </c>
      <c r="I271" s="14" t="s">
        <v>179</v>
      </c>
      <c r="J271" s="14" t="s">
        <v>8224</v>
      </c>
      <c r="K271" s="14" t="s">
        <v>179</v>
      </c>
      <c r="L271" s="14" t="s">
        <v>8225</v>
      </c>
      <c r="M271" s="14" t="s">
        <v>179</v>
      </c>
      <c r="N271" s="14" t="s">
        <v>8226</v>
      </c>
      <c r="O271" s="14" t="s">
        <v>179</v>
      </c>
      <c r="P271" s="14" t="s">
        <v>8227</v>
      </c>
      <c r="Q271" s="14" t="s">
        <v>179</v>
      </c>
      <c r="R271" s="14" t="s">
        <v>8228</v>
      </c>
      <c r="S271" s="14" t="s">
        <v>179</v>
      </c>
      <c r="T271" s="14" t="s">
        <v>8228</v>
      </c>
      <c r="U271" s="14" t="s">
        <v>179</v>
      </c>
      <c r="V271" s="14" t="s">
        <v>8229</v>
      </c>
      <c r="W271" s="14" t="s">
        <v>179</v>
      </c>
      <c r="X271" s="14" t="s">
        <v>8230</v>
      </c>
      <c r="Y271" s="14" t="s">
        <v>179</v>
      </c>
      <c r="Z271" s="14" t="s">
        <v>8231</v>
      </c>
      <c r="AA271" s="14" t="s">
        <v>179</v>
      </c>
      <c r="AB271" s="14" t="s">
        <v>8232</v>
      </c>
      <c r="AC271" s="14" t="s">
        <v>179</v>
      </c>
      <c r="AD271" s="14" t="s">
        <v>8233</v>
      </c>
      <c r="AE271" s="14" t="s">
        <v>179</v>
      </c>
      <c r="AF271" s="14" t="s">
        <v>8234</v>
      </c>
      <c r="AG271" s="14"/>
      <c r="AH271" s="14"/>
      <c r="AI271" s="14"/>
      <c r="AJ271" s="14"/>
      <c r="AK271" s="14"/>
      <c r="AL271" s="14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7" t="s">
        <v>197</v>
      </c>
      <c r="BP271" s="17" t="s">
        <v>198</v>
      </c>
      <c r="BQ271" s="18">
        <v>45720.6028125</v>
      </c>
      <c r="BR271" s="17" t="s">
        <v>198</v>
      </c>
      <c r="BS271" s="18">
        <v>45720.60288194445</v>
      </c>
      <c r="BT271" s="17" t="s">
        <v>198</v>
      </c>
      <c r="BU271" s="18">
        <v>45720.60288194445</v>
      </c>
      <c r="BV271" s="27" t="s">
        <v>199</v>
      </c>
      <c r="BW271" s="14" t="s">
        <v>179</v>
      </c>
      <c r="BX271" s="14" t="s">
        <v>8235</v>
      </c>
      <c r="BY271" s="14" t="s">
        <v>179</v>
      </c>
      <c r="BZ271" s="14" t="s">
        <v>8236</v>
      </c>
      <c r="CA271" s="14" t="s">
        <v>179</v>
      </c>
      <c r="CB271" s="14" t="s">
        <v>8237</v>
      </c>
      <c r="CC271" s="14" t="s">
        <v>179</v>
      </c>
      <c r="CD271" s="14" t="s">
        <v>8238</v>
      </c>
      <c r="CE271" s="14"/>
      <c r="CF271" s="14"/>
      <c r="CG271" s="14"/>
      <c r="CH271" s="14"/>
      <c r="CI271" s="19"/>
      <c r="CJ271" s="15"/>
      <c r="CK271" s="19"/>
      <c r="CL271" s="15"/>
      <c r="CM271" s="19"/>
      <c r="CN271" s="15"/>
      <c r="CO271" s="19"/>
      <c r="CP271" s="15"/>
      <c r="CQ271" s="15"/>
      <c r="CR271" s="15"/>
      <c r="CS271" s="19"/>
      <c r="CT271" s="15"/>
      <c r="CU271" s="19"/>
      <c r="CV271" s="15"/>
      <c r="CW271" s="19"/>
      <c r="CX271" s="15"/>
      <c r="CY271" s="19"/>
      <c r="CZ271" s="15"/>
      <c r="DA271" s="17" t="s">
        <v>197</v>
      </c>
      <c r="DB271" s="17" t="s">
        <v>198</v>
      </c>
      <c r="DC271" s="20">
        <v>45720.602951388886</v>
      </c>
      <c r="DD271" s="17" t="s">
        <v>198</v>
      </c>
      <c r="DE271" s="18">
        <v>45720.60297453704</v>
      </c>
      <c r="DF271" s="17" t="s">
        <v>198</v>
      </c>
      <c r="DG271" s="18">
        <v>45720.60297453704</v>
      </c>
      <c r="DH271" s="27" t="s">
        <v>205</v>
      </c>
      <c r="DI271" s="14" t="s">
        <v>179</v>
      </c>
      <c r="DJ271" s="14" t="s">
        <v>8239</v>
      </c>
      <c r="DK271" s="14" t="s">
        <v>179</v>
      </c>
      <c r="DL271" s="14" t="s">
        <v>8240</v>
      </c>
      <c r="DM271" s="14" t="s">
        <v>179</v>
      </c>
      <c r="DN271" s="14" t="s">
        <v>8241</v>
      </c>
      <c r="DO271" s="14" t="s">
        <v>179</v>
      </c>
      <c r="DP271" s="14" t="s">
        <v>8242</v>
      </c>
      <c r="DQ271" s="14" t="s">
        <v>179</v>
      </c>
      <c r="DR271" s="14" t="s">
        <v>8243</v>
      </c>
      <c r="DS271" s="14" t="s">
        <v>179</v>
      </c>
      <c r="DT271" s="14" t="s">
        <v>8244</v>
      </c>
      <c r="DU271" s="15"/>
      <c r="DV271" s="15"/>
      <c r="DW271" s="15"/>
      <c r="DX271" s="15"/>
      <c r="DY271" s="15"/>
      <c r="DZ271" s="15"/>
      <c r="EA271" s="15"/>
      <c r="EB271" s="15"/>
      <c r="EC271" s="17" t="s">
        <v>197</v>
      </c>
      <c r="ED271" s="17" t="s">
        <v>198</v>
      </c>
      <c r="EE271" s="18">
        <v>45720.6033912037</v>
      </c>
      <c r="EF271" s="27" t="s">
        <v>209</v>
      </c>
      <c r="EG271" s="14" t="s">
        <v>179</v>
      </c>
      <c r="EH271" s="14" t="s">
        <v>8245</v>
      </c>
      <c r="EI271" s="14" t="s">
        <v>179</v>
      </c>
      <c r="EJ271" s="14" t="s">
        <v>8245</v>
      </c>
      <c r="EK271" s="14" t="s">
        <v>179</v>
      </c>
      <c r="EL271" s="14" t="s">
        <v>8246</v>
      </c>
      <c r="EM271" s="14" t="s">
        <v>179</v>
      </c>
      <c r="EN271" s="14" t="s">
        <v>8247</v>
      </c>
      <c r="EO271" s="14" t="s">
        <v>179</v>
      </c>
      <c r="EP271" s="14" t="s">
        <v>8248</v>
      </c>
      <c r="EQ271" s="14" t="s">
        <v>179</v>
      </c>
      <c r="ER271" s="14" t="s">
        <v>8249</v>
      </c>
      <c r="ES271" s="15"/>
      <c r="ET271" s="15"/>
      <c r="EU271" s="15"/>
      <c r="EV271" s="15"/>
      <c r="EW271" s="15"/>
      <c r="EX271" s="15"/>
      <c r="EY271" s="15"/>
      <c r="EZ271" s="15"/>
      <c r="FA271" s="15"/>
      <c r="FB271" s="15"/>
      <c r="FC271" s="17" t="s">
        <v>197</v>
      </c>
      <c r="FD271" s="17" t="s">
        <v>198</v>
      </c>
      <c r="FE271" s="18">
        <v>45726.463009259256</v>
      </c>
      <c r="FF271" s="19"/>
      <c r="FG271" s="19"/>
      <c r="FH271" s="17" t="s">
        <v>197</v>
      </c>
      <c r="FI271" s="17" t="s">
        <v>214</v>
      </c>
      <c r="FJ271" s="18">
        <v>45726.463009259256</v>
      </c>
      <c r="FK271" s="14" t="s">
        <v>8249</v>
      </c>
      <c r="FL271" s="14"/>
      <c r="FM271" s="14"/>
      <c r="FN271" s="19"/>
      <c r="FO271" s="19"/>
      <c r="FP271" s="19" t="str">
        <f t="shared" si="1"/>
        <v/>
      </c>
      <c r="FQ271" s="14" t="s">
        <v>215</v>
      </c>
      <c r="FR271" s="14" t="s">
        <v>8250</v>
      </c>
    </row>
    <row r="272" ht="15.75" customHeight="1">
      <c r="A272" s="12" t="s">
        <v>217</v>
      </c>
      <c r="B272" s="12" t="s">
        <v>8251</v>
      </c>
      <c r="C272" s="24" t="s">
        <v>8162</v>
      </c>
      <c r="D272" s="22" t="s">
        <v>8252</v>
      </c>
      <c r="E272" s="22" t="s">
        <v>8253</v>
      </c>
      <c r="F272" s="13" t="s">
        <v>178</v>
      </c>
      <c r="G272" s="14" t="s">
        <v>179</v>
      </c>
      <c r="H272" s="14" t="s">
        <v>8254</v>
      </c>
      <c r="I272" s="14" t="s">
        <v>179</v>
      </c>
      <c r="J272" s="14" t="s">
        <v>8255</v>
      </c>
      <c r="K272" s="14" t="s">
        <v>179</v>
      </c>
      <c r="L272" s="14" t="s">
        <v>8256</v>
      </c>
      <c r="M272" s="14" t="s">
        <v>179</v>
      </c>
      <c r="N272" s="14" t="s">
        <v>8257</v>
      </c>
      <c r="O272" s="14" t="s">
        <v>179</v>
      </c>
      <c r="P272" s="14" t="s">
        <v>8258</v>
      </c>
      <c r="Q272" s="14" t="s">
        <v>179</v>
      </c>
      <c r="R272" s="14" t="s">
        <v>8258</v>
      </c>
      <c r="S272" s="14" t="s">
        <v>179</v>
      </c>
      <c r="T272" s="14" t="s">
        <v>8259</v>
      </c>
      <c r="U272" s="14" t="s">
        <v>179</v>
      </c>
      <c r="V272" s="14" t="s">
        <v>8260</v>
      </c>
      <c r="W272" s="14" t="s">
        <v>179</v>
      </c>
      <c r="X272" s="14" t="s">
        <v>8261</v>
      </c>
      <c r="Y272" s="14" t="s">
        <v>179</v>
      </c>
      <c r="Z272" s="14" t="s">
        <v>8262</v>
      </c>
      <c r="AA272" s="14" t="s">
        <v>179</v>
      </c>
      <c r="AB272" s="14" t="s">
        <v>8263</v>
      </c>
      <c r="AC272" s="14" t="s">
        <v>188</v>
      </c>
      <c r="AD272" s="14" t="s">
        <v>8264</v>
      </c>
      <c r="AE272" s="14" t="s">
        <v>179</v>
      </c>
      <c r="AF272" s="14" t="s">
        <v>8265</v>
      </c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6" t="s">
        <v>197</v>
      </c>
      <c r="BP272" s="17" t="s">
        <v>198</v>
      </c>
      <c r="BQ272" s="18">
        <v>45728.32747685185</v>
      </c>
      <c r="BR272" s="17" t="s">
        <v>198</v>
      </c>
      <c r="BS272" s="18">
        <v>45728.327523148146</v>
      </c>
      <c r="BT272" s="17" t="s">
        <v>198</v>
      </c>
      <c r="BU272" s="18">
        <v>45728.327523148146</v>
      </c>
      <c r="BV272" s="13" t="s">
        <v>199</v>
      </c>
      <c r="BW272" s="14" t="s">
        <v>179</v>
      </c>
      <c r="BX272" s="14" t="s">
        <v>8266</v>
      </c>
      <c r="BY272" s="14" t="s">
        <v>179</v>
      </c>
      <c r="BZ272" s="14" t="s">
        <v>8267</v>
      </c>
      <c r="CA272" s="14" t="s">
        <v>179</v>
      </c>
      <c r="CB272" s="14" t="s">
        <v>8267</v>
      </c>
      <c r="CC272" s="14" t="s">
        <v>179</v>
      </c>
      <c r="CD272" s="14" t="s">
        <v>8268</v>
      </c>
      <c r="CE272" s="15"/>
      <c r="CF272" s="15"/>
      <c r="CG272" s="19"/>
      <c r="CH272" s="15"/>
      <c r="CI272" s="19"/>
      <c r="CJ272" s="15"/>
      <c r="CK272" s="19"/>
      <c r="CL272" s="15"/>
      <c r="CM272" s="19"/>
      <c r="CN272" s="15"/>
      <c r="CO272" s="19"/>
      <c r="CP272" s="15"/>
      <c r="CQ272" s="15"/>
      <c r="CR272" s="15"/>
      <c r="CS272" s="19"/>
      <c r="CT272" s="15"/>
      <c r="CU272" s="19"/>
      <c r="CV272" s="15"/>
      <c r="CW272" s="19"/>
      <c r="CX272" s="15"/>
      <c r="CY272" s="19"/>
      <c r="CZ272" s="15"/>
      <c r="DA272" s="16" t="s">
        <v>197</v>
      </c>
      <c r="DB272" s="17" t="s">
        <v>198</v>
      </c>
      <c r="DC272" s="20">
        <v>45728.327835648146</v>
      </c>
      <c r="DD272" s="17" t="s">
        <v>198</v>
      </c>
      <c r="DE272" s="18">
        <v>45728.32784722222</v>
      </c>
      <c r="DF272" s="17" t="s">
        <v>198</v>
      </c>
      <c r="DG272" s="18">
        <v>45728.32784722222</v>
      </c>
      <c r="DH272" s="13" t="s">
        <v>205</v>
      </c>
      <c r="DI272" s="14" t="s">
        <v>179</v>
      </c>
      <c r="DJ272" s="14" t="s">
        <v>8269</v>
      </c>
      <c r="DK272" s="14" t="s">
        <v>179</v>
      </c>
      <c r="DL272" s="14" t="s">
        <v>8269</v>
      </c>
      <c r="DM272" s="14" t="s">
        <v>179</v>
      </c>
      <c r="DN272" s="14" t="s">
        <v>8270</v>
      </c>
      <c r="DO272" s="14" t="s">
        <v>179</v>
      </c>
      <c r="DP272" s="14" t="s">
        <v>8271</v>
      </c>
      <c r="DQ272" s="14" t="s">
        <v>179</v>
      </c>
      <c r="DR272" s="14" t="s">
        <v>8272</v>
      </c>
      <c r="DS272" s="14" t="s">
        <v>179</v>
      </c>
      <c r="DT272" s="14" t="s">
        <v>8273</v>
      </c>
      <c r="DU272" s="15"/>
      <c r="DV272" s="15"/>
      <c r="DW272" s="15"/>
      <c r="DX272" s="15"/>
      <c r="DY272" s="15"/>
      <c r="DZ272" s="15"/>
      <c r="EA272" s="15"/>
      <c r="EB272" s="15"/>
      <c r="EC272" s="16" t="s">
        <v>197</v>
      </c>
      <c r="ED272" s="17" t="s">
        <v>198</v>
      </c>
      <c r="EE272" s="18">
        <v>45728.32795138889</v>
      </c>
      <c r="EF272" s="13" t="s">
        <v>209</v>
      </c>
      <c r="EG272" s="14" t="s">
        <v>179</v>
      </c>
      <c r="EH272" s="14" t="s">
        <v>8274</v>
      </c>
      <c r="EI272" s="14" t="s">
        <v>179</v>
      </c>
      <c r="EJ272" s="14" t="s">
        <v>8275</v>
      </c>
      <c r="EK272" s="14" t="s">
        <v>179</v>
      </c>
      <c r="EL272" s="14" t="s">
        <v>8275</v>
      </c>
      <c r="EM272" s="14" t="s">
        <v>179</v>
      </c>
      <c r="EN272" s="14" t="s">
        <v>8276</v>
      </c>
      <c r="EO272" s="14" t="s">
        <v>179</v>
      </c>
      <c r="EP272" s="14" t="s">
        <v>8277</v>
      </c>
      <c r="EQ272" s="14" t="s">
        <v>179</v>
      </c>
      <c r="ER272" s="14" t="s">
        <v>8278</v>
      </c>
      <c r="ES272" s="15"/>
      <c r="ET272" s="15"/>
      <c r="EU272" s="15"/>
      <c r="EV272" s="15"/>
      <c r="EW272" s="15"/>
      <c r="EX272" s="15"/>
      <c r="EY272" s="15"/>
      <c r="EZ272" s="15"/>
      <c r="FA272" s="15"/>
      <c r="FB272" s="15"/>
      <c r="FC272" s="16" t="s">
        <v>197</v>
      </c>
      <c r="FD272" s="17" t="s">
        <v>198</v>
      </c>
      <c r="FE272" s="18">
        <v>45734.319872685184</v>
      </c>
      <c r="FF272" s="19"/>
      <c r="FG272" s="19"/>
      <c r="FH272" s="21" t="s">
        <v>197</v>
      </c>
      <c r="FI272" s="17" t="s">
        <v>214</v>
      </c>
      <c r="FJ272" s="18">
        <v>45734.319872685184</v>
      </c>
      <c r="FK272" s="14" t="s">
        <v>8278</v>
      </c>
      <c r="FL272" s="14" t="s">
        <v>8279</v>
      </c>
      <c r="FM272" s="14" t="s">
        <v>8280</v>
      </c>
      <c r="FN272" s="19"/>
      <c r="FO272" s="19"/>
      <c r="FP272" s="19" t="str">
        <f t="shared" si="1"/>
        <v>Base de Dados_Images/CE4002.Imagem do Equipamento-.165024.jpg</v>
      </c>
      <c r="FQ272" s="19"/>
      <c r="FR272" s="19"/>
    </row>
    <row r="273" ht="15.75" customHeight="1">
      <c r="A273" s="12" t="s">
        <v>217</v>
      </c>
      <c r="B273" s="12" t="s">
        <v>8281</v>
      </c>
      <c r="C273" s="24" t="s">
        <v>8162</v>
      </c>
      <c r="D273" s="22" t="s">
        <v>8282</v>
      </c>
      <c r="E273" s="22" t="s">
        <v>8283</v>
      </c>
      <c r="F273" s="13" t="s">
        <v>178</v>
      </c>
      <c r="G273" s="14" t="s">
        <v>179</v>
      </c>
      <c r="H273" s="14" t="s">
        <v>8284</v>
      </c>
      <c r="I273" s="14" t="s">
        <v>179</v>
      </c>
      <c r="J273" s="14" t="s">
        <v>8285</v>
      </c>
      <c r="K273" s="14" t="s">
        <v>179</v>
      </c>
      <c r="L273" s="14" t="s">
        <v>8286</v>
      </c>
      <c r="M273" s="14" t="s">
        <v>179</v>
      </c>
      <c r="N273" s="14" t="s">
        <v>8287</v>
      </c>
      <c r="O273" s="14" t="s">
        <v>179</v>
      </c>
      <c r="P273" s="14" t="s">
        <v>8288</v>
      </c>
      <c r="Q273" s="14" t="s">
        <v>179</v>
      </c>
      <c r="R273" s="14" t="s">
        <v>8289</v>
      </c>
      <c r="S273" s="14" t="s">
        <v>179</v>
      </c>
      <c r="T273" s="14" t="s">
        <v>8290</v>
      </c>
      <c r="U273" s="14" t="s">
        <v>179</v>
      </c>
      <c r="V273" s="14" t="s">
        <v>8291</v>
      </c>
      <c r="W273" s="14" t="s">
        <v>179</v>
      </c>
      <c r="X273" s="14" t="s">
        <v>8292</v>
      </c>
      <c r="Y273" s="14" t="s">
        <v>179</v>
      </c>
      <c r="Z273" s="14" t="s">
        <v>8293</v>
      </c>
      <c r="AA273" s="14" t="s">
        <v>179</v>
      </c>
      <c r="AB273" s="14" t="s">
        <v>8294</v>
      </c>
      <c r="AC273" s="14" t="s">
        <v>179</v>
      </c>
      <c r="AD273" s="14" t="s">
        <v>8295</v>
      </c>
      <c r="AE273" s="14" t="s">
        <v>179</v>
      </c>
      <c r="AF273" s="14" t="s">
        <v>8296</v>
      </c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6" t="s">
        <v>197</v>
      </c>
      <c r="BP273" s="17" t="s">
        <v>198</v>
      </c>
      <c r="BQ273" s="18">
        <v>45720.5991087963</v>
      </c>
      <c r="BR273" s="17" t="s">
        <v>198</v>
      </c>
      <c r="BS273" s="18">
        <v>45720.59921296296</v>
      </c>
      <c r="BT273" s="17" t="s">
        <v>198</v>
      </c>
      <c r="BU273" s="18">
        <v>45720.59921296296</v>
      </c>
      <c r="BV273" s="13" t="s">
        <v>199</v>
      </c>
      <c r="BW273" s="14" t="s">
        <v>179</v>
      </c>
      <c r="BX273" s="14" t="s">
        <v>8297</v>
      </c>
      <c r="BY273" s="14" t="s">
        <v>179</v>
      </c>
      <c r="BZ273" s="14" t="s">
        <v>8298</v>
      </c>
      <c r="CA273" s="14" t="s">
        <v>179</v>
      </c>
      <c r="CB273" s="14" t="s">
        <v>8299</v>
      </c>
      <c r="CC273" s="14" t="s">
        <v>179</v>
      </c>
      <c r="CD273" s="14" t="s">
        <v>8300</v>
      </c>
      <c r="CE273" s="15"/>
      <c r="CF273" s="15"/>
      <c r="CG273" s="19"/>
      <c r="CH273" s="15"/>
      <c r="CI273" s="19"/>
      <c r="CJ273" s="15"/>
      <c r="CK273" s="19"/>
      <c r="CL273" s="15"/>
      <c r="CM273" s="19"/>
      <c r="CN273" s="15"/>
      <c r="CO273" s="19"/>
      <c r="CP273" s="15"/>
      <c r="CQ273" s="15"/>
      <c r="CR273" s="15"/>
      <c r="CS273" s="19"/>
      <c r="CT273" s="15"/>
      <c r="CU273" s="19"/>
      <c r="CV273" s="15"/>
      <c r="CW273" s="19"/>
      <c r="CX273" s="15"/>
      <c r="CY273" s="19"/>
      <c r="CZ273" s="15"/>
      <c r="DA273" s="16" t="s">
        <v>197</v>
      </c>
      <c r="DB273" s="17" t="s">
        <v>198</v>
      </c>
      <c r="DC273" s="20">
        <v>45720.60010416667</v>
      </c>
      <c r="DD273" s="17" t="s">
        <v>198</v>
      </c>
      <c r="DE273" s="18">
        <v>45720.600173611114</v>
      </c>
      <c r="DF273" s="17" t="s">
        <v>198</v>
      </c>
      <c r="DG273" s="18">
        <v>45720.600173611114</v>
      </c>
      <c r="DH273" s="13" t="s">
        <v>205</v>
      </c>
      <c r="DI273" s="14" t="s">
        <v>179</v>
      </c>
      <c r="DJ273" s="14" t="s">
        <v>8301</v>
      </c>
      <c r="DK273" s="14" t="s">
        <v>179</v>
      </c>
      <c r="DL273" s="14" t="s">
        <v>8302</v>
      </c>
      <c r="DM273" s="14" t="s">
        <v>179</v>
      </c>
      <c r="DN273" s="14" t="s">
        <v>8303</v>
      </c>
      <c r="DO273" s="14" t="s">
        <v>179</v>
      </c>
      <c r="DP273" s="14" t="s">
        <v>8304</v>
      </c>
      <c r="DQ273" s="14" t="s">
        <v>179</v>
      </c>
      <c r="DR273" s="14" t="s">
        <v>8305</v>
      </c>
      <c r="DS273" s="14" t="s">
        <v>179</v>
      </c>
      <c r="DT273" s="14" t="s">
        <v>8306</v>
      </c>
      <c r="DU273" s="15"/>
      <c r="DV273" s="15"/>
      <c r="DW273" s="15"/>
      <c r="DX273" s="15"/>
      <c r="DY273" s="15"/>
      <c r="DZ273" s="15"/>
      <c r="EA273" s="15"/>
      <c r="EB273" s="15"/>
      <c r="EC273" s="16" t="s">
        <v>197</v>
      </c>
      <c r="ED273" s="17" t="s">
        <v>198</v>
      </c>
      <c r="EE273" s="18">
        <v>45720.60054398148</v>
      </c>
      <c r="EF273" s="13" t="s">
        <v>209</v>
      </c>
      <c r="EG273" s="14" t="s">
        <v>179</v>
      </c>
      <c r="EH273" s="14" t="s">
        <v>8307</v>
      </c>
      <c r="EI273" s="14" t="s">
        <v>179</v>
      </c>
      <c r="EJ273" s="14" t="s">
        <v>8308</v>
      </c>
      <c r="EK273" s="14" t="s">
        <v>179</v>
      </c>
      <c r="EL273" s="14" t="s">
        <v>8309</v>
      </c>
      <c r="EM273" s="14" t="s">
        <v>179</v>
      </c>
      <c r="EN273" s="14" t="s">
        <v>8310</v>
      </c>
      <c r="EO273" s="14" t="s">
        <v>179</v>
      </c>
      <c r="EP273" s="14" t="s">
        <v>8310</v>
      </c>
      <c r="EQ273" s="14" t="s">
        <v>179</v>
      </c>
      <c r="ER273" s="14" t="s">
        <v>8311</v>
      </c>
      <c r="ES273" s="15"/>
      <c r="ET273" s="15"/>
      <c r="EU273" s="15"/>
      <c r="EV273" s="15"/>
      <c r="EW273" s="15"/>
      <c r="EX273" s="15"/>
      <c r="EY273" s="15"/>
      <c r="EZ273" s="15"/>
      <c r="FA273" s="15"/>
      <c r="FB273" s="15"/>
      <c r="FC273" s="16" t="s">
        <v>197</v>
      </c>
      <c r="FD273" s="17" t="s">
        <v>198</v>
      </c>
      <c r="FE273" s="18">
        <v>45726.475</v>
      </c>
      <c r="FF273" s="19"/>
      <c r="FG273" s="19"/>
      <c r="FH273" s="21" t="s">
        <v>197</v>
      </c>
      <c r="FI273" s="17" t="s">
        <v>214</v>
      </c>
      <c r="FJ273" s="18">
        <v>45726.475</v>
      </c>
      <c r="FK273" s="14" t="s">
        <v>8311</v>
      </c>
      <c r="FL273" s="19"/>
      <c r="FM273" s="19"/>
      <c r="FN273" s="19"/>
      <c r="FO273" s="19"/>
      <c r="FP273" s="19" t="str">
        <f t="shared" si="1"/>
        <v/>
      </c>
      <c r="FQ273" s="14" t="s">
        <v>215</v>
      </c>
      <c r="FR273" s="14" t="s">
        <v>8312</v>
      </c>
    </row>
    <row r="274" ht="15.75" customHeight="1">
      <c r="A274" s="12" t="s">
        <v>234</v>
      </c>
      <c r="B274" s="12" t="s">
        <v>235</v>
      </c>
      <c r="C274" s="24" t="s">
        <v>8313</v>
      </c>
      <c r="D274" s="22" t="s">
        <v>8314</v>
      </c>
      <c r="E274" s="22" t="s">
        <v>8315</v>
      </c>
      <c r="F274" s="13" t="s">
        <v>178</v>
      </c>
      <c r="G274" s="14" t="s">
        <v>179</v>
      </c>
      <c r="H274" s="14" t="s">
        <v>8316</v>
      </c>
      <c r="I274" s="14" t="s">
        <v>179</v>
      </c>
      <c r="J274" s="14" t="s">
        <v>8317</v>
      </c>
      <c r="K274" s="14" t="s">
        <v>179</v>
      </c>
      <c r="L274" s="14" t="s">
        <v>8317</v>
      </c>
      <c r="M274" s="14" t="s">
        <v>179</v>
      </c>
      <c r="N274" s="14" t="s">
        <v>8318</v>
      </c>
      <c r="O274" s="14" t="s">
        <v>179</v>
      </c>
      <c r="P274" s="14" t="s">
        <v>8319</v>
      </c>
      <c r="Q274" s="14" t="s">
        <v>179</v>
      </c>
      <c r="R274" s="14" t="s">
        <v>8320</v>
      </c>
      <c r="S274" s="14" t="s">
        <v>179</v>
      </c>
      <c r="T274" s="14" t="s">
        <v>8320</v>
      </c>
      <c r="U274" s="14" t="s">
        <v>179</v>
      </c>
      <c r="V274" s="14" t="s">
        <v>8321</v>
      </c>
      <c r="W274" s="14" t="s">
        <v>179</v>
      </c>
      <c r="X274" s="14" t="s">
        <v>8321</v>
      </c>
      <c r="Y274" s="14" t="s">
        <v>179</v>
      </c>
      <c r="Z274" s="14" t="s">
        <v>8322</v>
      </c>
      <c r="AA274" s="14" t="s">
        <v>179</v>
      </c>
      <c r="AB274" s="14" t="s">
        <v>8322</v>
      </c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6" t="s">
        <v>197</v>
      </c>
      <c r="BP274" s="17" t="s">
        <v>198</v>
      </c>
      <c r="BQ274" s="18">
        <v>45687.366064814814</v>
      </c>
      <c r="BR274" s="17" t="s">
        <v>198</v>
      </c>
      <c r="BS274" s="18">
        <v>45687.365949074076</v>
      </c>
      <c r="BT274" s="17" t="s">
        <v>198</v>
      </c>
      <c r="BU274" s="18">
        <v>45687.366064814814</v>
      </c>
      <c r="BV274" s="13" t="s">
        <v>199</v>
      </c>
      <c r="BW274" s="14" t="s">
        <v>179</v>
      </c>
      <c r="BX274" s="14" t="s">
        <v>8323</v>
      </c>
      <c r="BY274" s="14" t="s">
        <v>179</v>
      </c>
      <c r="BZ274" s="14" t="s">
        <v>8324</v>
      </c>
      <c r="CA274" s="14" t="s">
        <v>179</v>
      </c>
      <c r="CB274" s="14" t="s">
        <v>8325</v>
      </c>
      <c r="CC274" s="14" t="s">
        <v>179</v>
      </c>
      <c r="CD274" s="14" t="s">
        <v>8326</v>
      </c>
      <c r="CE274" s="14" t="s">
        <v>179</v>
      </c>
      <c r="CF274" s="14" t="s">
        <v>8327</v>
      </c>
      <c r="CG274" s="19"/>
      <c r="CH274" s="15"/>
      <c r="CI274" s="19"/>
      <c r="CJ274" s="15"/>
      <c r="CK274" s="19"/>
      <c r="CL274" s="15"/>
      <c r="CM274" s="19"/>
      <c r="CN274" s="15"/>
      <c r="CO274" s="19"/>
      <c r="CP274" s="15"/>
      <c r="CQ274" s="15"/>
      <c r="CR274" s="15"/>
      <c r="CS274" s="19"/>
      <c r="CT274" s="15"/>
      <c r="CU274" s="19"/>
      <c r="CV274" s="15"/>
      <c r="CW274" s="19"/>
      <c r="CX274" s="15"/>
      <c r="CY274" s="19"/>
      <c r="CZ274" s="15"/>
      <c r="DA274" s="16" t="s">
        <v>197</v>
      </c>
      <c r="DB274" s="17" t="s">
        <v>198</v>
      </c>
      <c r="DC274" s="20">
        <v>45721.60633101852</v>
      </c>
      <c r="DD274" s="17" t="s">
        <v>198</v>
      </c>
      <c r="DE274" s="18">
        <v>45721.60636574074</v>
      </c>
      <c r="DF274" s="17" t="s">
        <v>198</v>
      </c>
      <c r="DG274" s="18">
        <v>45721.60636574074</v>
      </c>
      <c r="DH274" s="13" t="s">
        <v>205</v>
      </c>
      <c r="DI274" s="14" t="s">
        <v>179</v>
      </c>
      <c r="DJ274" s="14" t="s">
        <v>8328</v>
      </c>
      <c r="DK274" s="14" t="s">
        <v>179</v>
      </c>
      <c r="DL274" s="14" t="s">
        <v>8329</v>
      </c>
      <c r="DM274" s="14" t="s">
        <v>179</v>
      </c>
      <c r="DN274" s="14" t="s">
        <v>8330</v>
      </c>
      <c r="DO274" s="14" t="s">
        <v>179</v>
      </c>
      <c r="DP274" s="14" t="s">
        <v>8331</v>
      </c>
      <c r="DQ274" s="14" t="s">
        <v>179</v>
      </c>
      <c r="DR274" s="14" t="s">
        <v>8332</v>
      </c>
      <c r="DS274" s="14" t="s">
        <v>179</v>
      </c>
      <c r="DT274" s="14" t="s">
        <v>8333</v>
      </c>
      <c r="DU274" s="15"/>
      <c r="DV274" s="15"/>
      <c r="DW274" s="15"/>
      <c r="DX274" s="15"/>
      <c r="DY274" s="15"/>
      <c r="DZ274" s="15"/>
      <c r="EA274" s="15"/>
      <c r="EB274" s="15"/>
      <c r="EC274" s="16" t="s">
        <v>197</v>
      </c>
      <c r="ED274" s="17" t="s">
        <v>198</v>
      </c>
      <c r="EE274" s="18">
        <v>45721.606469907405</v>
      </c>
      <c r="EF274" s="13" t="s">
        <v>209</v>
      </c>
      <c r="EG274" s="14" t="s">
        <v>179</v>
      </c>
      <c r="EH274" s="14" t="s">
        <v>8334</v>
      </c>
      <c r="EI274" s="14" t="s">
        <v>179</v>
      </c>
      <c r="EJ274" s="14" t="s">
        <v>8335</v>
      </c>
      <c r="EK274" s="14" t="s">
        <v>179</v>
      </c>
      <c r="EL274" s="14" t="s">
        <v>8336</v>
      </c>
      <c r="EM274" s="14" t="s">
        <v>179</v>
      </c>
      <c r="EN274" s="14" t="s">
        <v>8337</v>
      </c>
      <c r="EO274" s="14" t="s">
        <v>179</v>
      </c>
      <c r="EP274" s="14" t="s">
        <v>8338</v>
      </c>
      <c r="EQ274" s="14" t="s">
        <v>179</v>
      </c>
      <c r="ER274" s="14" t="s">
        <v>8339</v>
      </c>
      <c r="ES274" s="14" t="s">
        <v>179</v>
      </c>
      <c r="ET274" s="14" t="s">
        <v>8340</v>
      </c>
      <c r="EU274" s="15"/>
      <c r="EV274" s="15"/>
      <c r="EW274" s="15"/>
      <c r="EX274" s="15"/>
      <c r="EY274" s="15"/>
      <c r="EZ274" s="15"/>
      <c r="FA274" s="15"/>
      <c r="FB274" s="15"/>
      <c r="FC274" s="16" t="s">
        <v>197</v>
      </c>
      <c r="FD274" s="17" t="s">
        <v>198</v>
      </c>
      <c r="FE274" s="18">
        <v>45721.606620370374</v>
      </c>
      <c r="FF274" s="19"/>
      <c r="FG274" s="19"/>
      <c r="FH274" s="21" t="s">
        <v>197</v>
      </c>
      <c r="FI274" s="17" t="s">
        <v>214</v>
      </c>
      <c r="FJ274" s="18">
        <v>45721.606620370374</v>
      </c>
      <c r="FK274" s="14" t="s">
        <v>8340</v>
      </c>
      <c r="FL274" s="14" t="s">
        <v>8341</v>
      </c>
      <c r="FM274" s="14" t="s">
        <v>8342</v>
      </c>
      <c r="FN274" s="19"/>
      <c r="FO274" s="19"/>
      <c r="FP274" s="19" t="str">
        <f t="shared" si="1"/>
        <v>Base de Dados_Images/CF6501.Imagem do Equipamento-.125301.jpg</v>
      </c>
      <c r="FQ274" s="19"/>
      <c r="FR274" s="19"/>
    </row>
    <row r="275" ht="15.75" customHeight="1">
      <c r="A275" s="12" t="s">
        <v>234</v>
      </c>
      <c r="B275" s="12" t="s">
        <v>249</v>
      </c>
      <c r="C275" s="24" t="s">
        <v>8313</v>
      </c>
      <c r="D275" s="22" t="s">
        <v>8343</v>
      </c>
      <c r="E275" s="22" t="s">
        <v>8344</v>
      </c>
      <c r="F275" s="13" t="s">
        <v>178</v>
      </c>
      <c r="G275" s="14" t="s">
        <v>179</v>
      </c>
      <c r="H275" s="14" t="s">
        <v>8345</v>
      </c>
      <c r="I275" s="14" t="s">
        <v>179</v>
      </c>
      <c r="J275" s="14" t="s">
        <v>8346</v>
      </c>
      <c r="K275" s="14" t="s">
        <v>179</v>
      </c>
      <c r="L275" s="14" t="s">
        <v>8347</v>
      </c>
      <c r="M275" s="14" t="s">
        <v>179</v>
      </c>
      <c r="N275" s="14" t="s">
        <v>8347</v>
      </c>
      <c r="O275" s="14" t="s">
        <v>179</v>
      </c>
      <c r="P275" s="14" t="s">
        <v>8348</v>
      </c>
      <c r="Q275" s="14" t="s">
        <v>179</v>
      </c>
      <c r="R275" s="14" t="s">
        <v>8349</v>
      </c>
      <c r="S275" s="14" t="s">
        <v>179</v>
      </c>
      <c r="T275" s="14" t="s">
        <v>8350</v>
      </c>
      <c r="U275" s="14" t="s">
        <v>179</v>
      </c>
      <c r="V275" s="14" t="s">
        <v>8351</v>
      </c>
      <c r="W275" s="14" t="s">
        <v>179</v>
      </c>
      <c r="X275" s="14" t="s">
        <v>8352</v>
      </c>
      <c r="Y275" s="14" t="s">
        <v>179</v>
      </c>
      <c r="Z275" s="14" t="s">
        <v>8352</v>
      </c>
      <c r="AA275" s="14" t="s">
        <v>179</v>
      </c>
      <c r="AB275" s="14" t="s">
        <v>8353</v>
      </c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6" t="s">
        <v>197</v>
      </c>
      <c r="BP275" s="17" t="s">
        <v>198</v>
      </c>
      <c r="BQ275" s="18">
        <v>45687.369675925926</v>
      </c>
      <c r="BR275" s="17" t="s">
        <v>198</v>
      </c>
      <c r="BS275" s="18">
        <v>45687.36956018519</v>
      </c>
      <c r="BT275" s="17" t="s">
        <v>198</v>
      </c>
      <c r="BU275" s="18">
        <v>45687.369675925926</v>
      </c>
      <c r="BV275" s="13" t="s">
        <v>199</v>
      </c>
      <c r="BW275" s="14" t="s">
        <v>179</v>
      </c>
      <c r="BX275" s="14" t="s">
        <v>8354</v>
      </c>
      <c r="BY275" s="14" t="s">
        <v>179</v>
      </c>
      <c r="BZ275" s="14" t="s">
        <v>8354</v>
      </c>
      <c r="CA275" s="14" t="s">
        <v>179</v>
      </c>
      <c r="CB275" s="14" t="s">
        <v>8355</v>
      </c>
      <c r="CC275" s="14" t="s">
        <v>179</v>
      </c>
      <c r="CD275" s="14" t="s">
        <v>8356</v>
      </c>
      <c r="CE275" s="14" t="s">
        <v>179</v>
      </c>
      <c r="CF275" s="14" t="s">
        <v>8356</v>
      </c>
      <c r="CG275" s="19"/>
      <c r="CH275" s="15"/>
      <c r="CI275" s="19"/>
      <c r="CJ275" s="15"/>
      <c r="CK275" s="19"/>
      <c r="CL275" s="15"/>
      <c r="CM275" s="19"/>
      <c r="CN275" s="15"/>
      <c r="CO275" s="19"/>
      <c r="CP275" s="15"/>
      <c r="CQ275" s="15"/>
      <c r="CR275" s="15"/>
      <c r="CS275" s="19"/>
      <c r="CT275" s="15"/>
      <c r="CU275" s="19"/>
      <c r="CV275" s="15"/>
      <c r="CW275" s="19"/>
      <c r="CX275" s="15"/>
      <c r="CY275" s="19"/>
      <c r="CZ275" s="15"/>
      <c r="DA275" s="16" t="s">
        <v>197</v>
      </c>
      <c r="DB275" s="17" t="s">
        <v>198</v>
      </c>
      <c r="DC275" s="20">
        <v>45726.475752314815</v>
      </c>
      <c r="DD275" s="17" t="s">
        <v>198</v>
      </c>
      <c r="DE275" s="18">
        <v>45726.47577546296</v>
      </c>
      <c r="DF275" s="17" t="s">
        <v>198</v>
      </c>
      <c r="DG275" s="18">
        <v>45726.47577546296</v>
      </c>
      <c r="DH275" s="13" t="s">
        <v>205</v>
      </c>
      <c r="DI275" s="14" t="s">
        <v>179</v>
      </c>
      <c r="DJ275" s="14" t="s">
        <v>8357</v>
      </c>
      <c r="DK275" s="14" t="s">
        <v>179</v>
      </c>
      <c r="DL275" s="14" t="s">
        <v>8358</v>
      </c>
      <c r="DM275" s="14" t="s">
        <v>179</v>
      </c>
      <c r="DN275" s="14" t="s">
        <v>8358</v>
      </c>
      <c r="DO275" s="14" t="s">
        <v>179</v>
      </c>
      <c r="DP275" s="14" t="s">
        <v>8359</v>
      </c>
      <c r="DQ275" s="14" t="s">
        <v>179</v>
      </c>
      <c r="DR275" s="14" t="s">
        <v>8360</v>
      </c>
      <c r="DS275" s="14" t="s">
        <v>179</v>
      </c>
      <c r="DT275" s="14" t="s">
        <v>8361</v>
      </c>
      <c r="DU275" s="15"/>
      <c r="DV275" s="15"/>
      <c r="DW275" s="15"/>
      <c r="DX275" s="15"/>
      <c r="DY275" s="15"/>
      <c r="DZ275" s="15"/>
      <c r="EA275" s="15"/>
      <c r="EB275" s="15"/>
      <c r="EC275" s="16" t="s">
        <v>197</v>
      </c>
      <c r="ED275" s="17" t="s">
        <v>198</v>
      </c>
      <c r="EE275" s="18">
        <v>45726.47586805555</v>
      </c>
      <c r="EF275" s="13" t="s">
        <v>209</v>
      </c>
      <c r="EG275" s="14" t="s">
        <v>179</v>
      </c>
      <c r="EH275" s="14" t="s">
        <v>8362</v>
      </c>
      <c r="EI275" s="14" t="s">
        <v>179</v>
      </c>
      <c r="EJ275" s="14" t="s">
        <v>8362</v>
      </c>
      <c r="EK275" s="14" t="s">
        <v>179</v>
      </c>
      <c r="EL275" s="14" t="s">
        <v>8363</v>
      </c>
      <c r="EM275" s="14" t="s">
        <v>179</v>
      </c>
      <c r="EN275" s="14" t="s">
        <v>8364</v>
      </c>
      <c r="EO275" s="14" t="s">
        <v>179</v>
      </c>
      <c r="EP275" s="14" t="s">
        <v>8365</v>
      </c>
      <c r="EQ275" s="14" t="s">
        <v>179</v>
      </c>
      <c r="ER275" s="14" t="s">
        <v>8366</v>
      </c>
      <c r="ES275" s="14" t="s">
        <v>179</v>
      </c>
      <c r="ET275" s="14" t="s">
        <v>8366</v>
      </c>
      <c r="EU275" s="15"/>
      <c r="EV275" s="15"/>
      <c r="EW275" s="15"/>
      <c r="EX275" s="15"/>
      <c r="EY275" s="15"/>
      <c r="EZ275" s="15"/>
      <c r="FA275" s="15"/>
      <c r="FB275" s="15"/>
      <c r="FC275" s="16" t="s">
        <v>197</v>
      </c>
      <c r="FD275" s="17" t="s">
        <v>198</v>
      </c>
      <c r="FE275" s="18">
        <v>45726.475960648146</v>
      </c>
      <c r="FF275" s="19"/>
      <c r="FG275" s="19"/>
      <c r="FH275" s="21" t="s">
        <v>197</v>
      </c>
      <c r="FI275" s="17" t="s">
        <v>214</v>
      </c>
      <c r="FJ275" s="18">
        <v>45726.475960648146</v>
      </c>
      <c r="FK275" s="14" t="s">
        <v>8366</v>
      </c>
      <c r="FL275" s="14" t="s">
        <v>8367</v>
      </c>
      <c r="FM275" s="14" t="s">
        <v>8368</v>
      </c>
      <c r="FN275" s="19"/>
      <c r="FO275" s="19"/>
      <c r="FP275" s="19" t="str">
        <f t="shared" si="1"/>
        <v>Base de Dados_Images/CF6502.Imagem do Equipamento-.125653.jpg</v>
      </c>
      <c r="FQ275" s="19"/>
      <c r="FR275" s="19"/>
    </row>
    <row r="276" ht="15.75" customHeight="1">
      <c r="A276" s="12" t="s">
        <v>234</v>
      </c>
      <c r="B276" s="12" t="s">
        <v>263</v>
      </c>
      <c r="C276" s="24" t="s">
        <v>8313</v>
      </c>
      <c r="D276" s="22" t="s">
        <v>8369</v>
      </c>
      <c r="E276" s="22" t="s">
        <v>8370</v>
      </c>
      <c r="F276" s="13" t="s">
        <v>178</v>
      </c>
      <c r="G276" s="14" t="s">
        <v>179</v>
      </c>
      <c r="H276" s="14" t="s">
        <v>8371</v>
      </c>
      <c r="I276" s="14" t="s">
        <v>179</v>
      </c>
      <c r="J276" s="14" t="s">
        <v>8372</v>
      </c>
      <c r="K276" s="14" t="s">
        <v>179</v>
      </c>
      <c r="L276" s="14" t="s">
        <v>8373</v>
      </c>
      <c r="M276" s="14" t="s">
        <v>179</v>
      </c>
      <c r="N276" s="14" t="s">
        <v>8374</v>
      </c>
      <c r="O276" s="14" t="s">
        <v>179</v>
      </c>
      <c r="P276" s="14" t="s">
        <v>8374</v>
      </c>
      <c r="Q276" s="14" t="s">
        <v>179</v>
      </c>
      <c r="R276" s="14" t="s">
        <v>8375</v>
      </c>
      <c r="S276" s="14" t="s">
        <v>179</v>
      </c>
      <c r="T276" s="14" t="s">
        <v>8376</v>
      </c>
      <c r="U276" s="14" t="s">
        <v>179</v>
      </c>
      <c r="V276" s="14" t="s">
        <v>8377</v>
      </c>
      <c r="W276" s="14" t="s">
        <v>179</v>
      </c>
      <c r="X276" s="14" t="s">
        <v>8377</v>
      </c>
      <c r="Y276" s="14" t="s">
        <v>179</v>
      </c>
      <c r="Z276" s="14" t="s">
        <v>8378</v>
      </c>
      <c r="AA276" s="14" t="s">
        <v>179</v>
      </c>
      <c r="AB276" s="14" t="s">
        <v>8378</v>
      </c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6" t="s">
        <v>197</v>
      </c>
      <c r="BP276" s="17" t="s">
        <v>198</v>
      </c>
      <c r="BQ276" s="18">
        <v>45687.37284722222</v>
      </c>
      <c r="BR276" s="17" t="s">
        <v>198</v>
      </c>
      <c r="BS276" s="18">
        <v>45687.37278935185</v>
      </c>
      <c r="BT276" s="17" t="s">
        <v>198</v>
      </c>
      <c r="BU276" s="18">
        <v>45687.37284722222</v>
      </c>
      <c r="BV276" s="13" t="s">
        <v>199</v>
      </c>
      <c r="BW276" s="14" t="s">
        <v>179</v>
      </c>
      <c r="BX276" s="14" t="s">
        <v>8379</v>
      </c>
      <c r="BY276" s="14" t="s">
        <v>179</v>
      </c>
      <c r="BZ276" s="14" t="s">
        <v>8380</v>
      </c>
      <c r="CA276" s="14" t="s">
        <v>179</v>
      </c>
      <c r="CB276" s="14" t="s">
        <v>8381</v>
      </c>
      <c r="CC276" s="14" t="s">
        <v>179</v>
      </c>
      <c r="CD276" s="14" t="s">
        <v>8382</v>
      </c>
      <c r="CE276" s="14" t="s">
        <v>179</v>
      </c>
      <c r="CF276" s="14" t="s">
        <v>8383</v>
      </c>
      <c r="CG276" s="19"/>
      <c r="CH276" s="15"/>
      <c r="CI276" s="19"/>
      <c r="CJ276" s="15"/>
      <c r="CK276" s="19"/>
      <c r="CL276" s="15"/>
      <c r="CM276" s="19"/>
      <c r="CN276" s="15"/>
      <c r="CO276" s="19"/>
      <c r="CP276" s="15"/>
      <c r="CQ276" s="15"/>
      <c r="CR276" s="15"/>
      <c r="CS276" s="19"/>
      <c r="CT276" s="15"/>
      <c r="CU276" s="19"/>
      <c r="CV276" s="15"/>
      <c r="CW276" s="19"/>
      <c r="CX276" s="15"/>
      <c r="CY276" s="19"/>
      <c r="CZ276" s="15"/>
      <c r="DA276" s="16" t="s">
        <v>197</v>
      </c>
      <c r="DB276" s="17" t="s">
        <v>198</v>
      </c>
      <c r="DC276" s="20">
        <v>45721.60760416667</v>
      </c>
      <c r="DD276" s="17" t="s">
        <v>198</v>
      </c>
      <c r="DE276" s="18">
        <v>45721.60763888889</v>
      </c>
      <c r="DF276" s="17" t="s">
        <v>198</v>
      </c>
      <c r="DG276" s="18">
        <v>45721.60763888889</v>
      </c>
      <c r="DH276" s="13" t="s">
        <v>205</v>
      </c>
      <c r="DI276" s="14" t="s">
        <v>179</v>
      </c>
      <c r="DJ276" s="14" t="s">
        <v>8384</v>
      </c>
      <c r="DK276" s="14" t="s">
        <v>179</v>
      </c>
      <c r="DL276" s="14" t="s">
        <v>8384</v>
      </c>
      <c r="DM276" s="14" t="s">
        <v>179</v>
      </c>
      <c r="DN276" s="14" t="s">
        <v>8385</v>
      </c>
      <c r="DO276" s="14" t="s">
        <v>179</v>
      </c>
      <c r="DP276" s="14" t="s">
        <v>8385</v>
      </c>
      <c r="DQ276" s="14" t="s">
        <v>179</v>
      </c>
      <c r="DR276" s="14" t="s">
        <v>8386</v>
      </c>
      <c r="DS276" s="14" t="s">
        <v>179</v>
      </c>
      <c r="DT276" s="14" t="s">
        <v>8387</v>
      </c>
      <c r="DU276" s="15"/>
      <c r="DV276" s="15"/>
      <c r="DW276" s="15"/>
      <c r="DX276" s="15"/>
      <c r="DY276" s="15"/>
      <c r="DZ276" s="15"/>
      <c r="EA276" s="15"/>
      <c r="EB276" s="15"/>
      <c r="EC276" s="16" t="s">
        <v>197</v>
      </c>
      <c r="ED276" s="17" t="s">
        <v>198</v>
      </c>
      <c r="EE276" s="18">
        <v>45721.60773148148</v>
      </c>
      <c r="EF276" s="13" t="s">
        <v>209</v>
      </c>
      <c r="EG276" s="14" t="s">
        <v>179</v>
      </c>
      <c r="EH276" s="14" t="s">
        <v>8388</v>
      </c>
      <c r="EI276" s="14" t="s">
        <v>179</v>
      </c>
      <c r="EJ276" s="14" t="s">
        <v>8389</v>
      </c>
      <c r="EK276" s="14" t="s">
        <v>179</v>
      </c>
      <c r="EL276" s="14" t="s">
        <v>8390</v>
      </c>
      <c r="EM276" s="14" t="s">
        <v>179</v>
      </c>
      <c r="EN276" s="14" t="s">
        <v>8391</v>
      </c>
      <c r="EO276" s="14" t="s">
        <v>179</v>
      </c>
      <c r="EP276" s="14" t="s">
        <v>8392</v>
      </c>
      <c r="EQ276" s="14" t="s">
        <v>179</v>
      </c>
      <c r="ER276" s="14" t="s">
        <v>8393</v>
      </c>
      <c r="ES276" s="14" t="s">
        <v>179</v>
      </c>
      <c r="ET276" s="14" t="s">
        <v>8394</v>
      </c>
      <c r="EU276" s="15"/>
      <c r="EV276" s="15"/>
      <c r="EW276" s="15"/>
      <c r="EX276" s="15"/>
      <c r="EY276" s="15"/>
      <c r="EZ276" s="15"/>
      <c r="FA276" s="15"/>
      <c r="FB276" s="15"/>
      <c r="FC276" s="16" t="s">
        <v>197</v>
      </c>
      <c r="FD276" s="17" t="s">
        <v>198</v>
      </c>
      <c r="FE276" s="18">
        <v>45721.60787037037</v>
      </c>
      <c r="FF276" s="19"/>
      <c r="FG276" s="19"/>
      <c r="FH276" s="21" t="s">
        <v>197</v>
      </c>
      <c r="FI276" s="17" t="s">
        <v>214</v>
      </c>
      <c r="FJ276" s="18">
        <v>45721.60787037037</v>
      </c>
      <c r="FK276" s="14" t="s">
        <v>8394</v>
      </c>
      <c r="FL276" s="14" t="s">
        <v>8395</v>
      </c>
      <c r="FM276" s="14" t="s">
        <v>8396</v>
      </c>
      <c r="FN276" s="19"/>
      <c r="FO276" s="19"/>
      <c r="FP276" s="19" t="str">
        <f t="shared" si="1"/>
        <v>Base de Dados_Images/CF6503.Imagem do Equipamento-.130108.jpg</v>
      </c>
      <c r="FQ276" s="19"/>
      <c r="FR276" s="19"/>
    </row>
    <row r="277" ht="15.75" customHeight="1">
      <c r="A277" s="12" t="s">
        <v>234</v>
      </c>
      <c r="B277" s="12" t="s">
        <v>276</v>
      </c>
      <c r="C277" s="24" t="s">
        <v>8313</v>
      </c>
      <c r="D277" s="22" t="s">
        <v>8397</v>
      </c>
      <c r="E277" s="22" t="s">
        <v>8398</v>
      </c>
      <c r="F277" s="13" t="s">
        <v>178</v>
      </c>
      <c r="G277" s="14" t="s">
        <v>179</v>
      </c>
      <c r="H277" s="14" t="s">
        <v>8399</v>
      </c>
      <c r="I277" s="14" t="s">
        <v>179</v>
      </c>
      <c r="J277" s="14" t="s">
        <v>8399</v>
      </c>
      <c r="K277" s="14" t="s">
        <v>179</v>
      </c>
      <c r="L277" s="14" t="s">
        <v>8400</v>
      </c>
      <c r="M277" s="14" t="s">
        <v>179</v>
      </c>
      <c r="N277" s="14" t="s">
        <v>8401</v>
      </c>
      <c r="O277" s="14" t="s">
        <v>179</v>
      </c>
      <c r="P277" s="14" t="s">
        <v>8402</v>
      </c>
      <c r="Q277" s="14" t="s">
        <v>179</v>
      </c>
      <c r="R277" s="14" t="s">
        <v>8403</v>
      </c>
      <c r="S277" s="14" t="s">
        <v>179</v>
      </c>
      <c r="T277" s="14" t="s">
        <v>8404</v>
      </c>
      <c r="U277" s="14" t="s">
        <v>179</v>
      </c>
      <c r="V277" s="14" t="s">
        <v>8405</v>
      </c>
      <c r="W277" s="14" t="s">
        <v>179</v>
      </c>
      <c r="X277" s="14" t="s">
        <v>8406</v>
      </c>
      <c r="Y277" s="14" t="s">
        <v>179</v>
      </c>
      <c r="Z277" s="14" t="s">
        <v>8407</v>
      </c>
      <c r="AA277" s="14" t="s">
        <v>179</v>
      </c>
      <c r="AB277" s="14" t="s">
        <v>8408</v>
      </c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6" t="s">
        <v>197</v>
      </c>
      <c r="BP277" s="17" t="s">
        <v>198</v>
      </c>
      <c r="BQ277" s="18">
        <v>45687.37386574074</v>
      </c>
      <c r="BR277" s="17" t="s">
        <v>198</v>
      </c>
      <c r="BS277" s="18">
        <v>45687.37372685185</v>
      </c>
      <c r="BT277" s="17" t="s">
        <v>198</v>
      </c>
      <c r="BU277" s="18">
        <v>45687.37386574074</v>
      </c>
      <c r="BV277" s="13" t="s">
        <v>199</v>
      </c>
      <c r="BW277" s="14" t="s">
        <v>179</v>
      </c>
      <c r="BX277" s="14" t="s">
        <v>8409</v>
      </c>
      <c r="BY277" s="14" t="s">
        <v>179</v>
      </c>
      <c r="BZ277" s="14" t="s">
        <v>8410</v>
      </c>
      <c r="CA277" s="14" t="s">
        <v>179</v>
      </c>
      <c r="CB277" s="14" t="s">
        <v>8411</v>
      </c>
      <c r="CC277" s="14" t="s">
        <v>179</v>
      </c>
      <c r="CD277" s="14" t="s">
        <v>8411</v>
      </c>
      <c r="CE277" s="14" t="s">
        <v>179</v>
      </c>
      <c r="CF277" s="14" t="s">
        <v>8412</v>
      </c>
      <c r="CG277" s="19"/>
      <c r="CH277" s="15"/>
      <c r="CI277" s="19"/>
      <c r="CJ277" s="15"/>
      <c r="CK277" s="19"/>
      <c r="CL277" s="15"/>
      <c r="CM277" s="19"/>
      <c r="CN277" s="15"/>
      <c r="CO277" s="19"/>
      <c r="CP277" s="15"/>
      <c r="CQ277" s="15"/>
      <c r="CR277" s="15"/>
      <c r="CS277" s="19"/>
      <c r="CT277" s="15"/>
      <c r="CU277" s="19"/>
      <c r="CV277" s="15"/>
      <c r="CW277" s="19"/>
      <c r="CX277" s="15"/>
      <c r="CY277" s="19"/>
      <c r="CZ277" s="15"/>
      <c r="DA277" s="16" t="s">
        <v>197</v>
      </c>
      <c r="DB277" s="17" t="s">
        <v>198</v>
      </c>
      <c r="DC277" s="20">
        <v>45721.60891203704</v>
      </c>
      <c r="DD277" s="17" t="s">
        <v>198</v>
      </c>
      <c r="DE277" s="18">
        <v>45721.60894675926</v>
      </c>
      <c r="DF277" s="17" t="s">
        <v>198</v>
      </c>
      <c r="DG277" s="18">
        <v>45721.60894675926</v>
      </c>
      <c r="DH277" s="13" t="s">
        <v>205</v>
      </c>
      <c r="DI277" s="14" t="s">
        <v>179</v>
      </c>
      <c r="DJ277" s="14" t="s">
        <v>8413</v>
      </c>
      <c r="DK277" s="14" t="s">
        <v>179</v>
      </c>
      <c r="DL277" s="14" t="s">
        <v>8414</v>
      </c>
      <c r="DM277" s="14" t="s">
        <v>179</v>
      </c>
      <c r="DN277" s="14" t="s">
        <v>8415</v>
      </c>
      <c r="DO277" s="14" t="s">
        <v>179</v>
      </c>
      <c r="DP277" s="14" t="s">
        <v>8415</v>
      </c>
      <c r="DQ277" s="14" t="s">
        <v>179</v>
      </c>
      <c r="DR277" s="14" t="s">
        <v>8416</v>
      </c>
      <c r="DS277" s="14" t="s">
        <v>179</v>
      </c>
      <c r="DT277" s="14" t="s">
        <v>8417</v>
      </c>
      <c r="DU277" s="15"/>
      <c r="DV277" s="15"/>
      <c r="DW277" s="15"/>
      <c r="DX277" s="15"/>
      <c r="DY277" s="15"/>
      <c r="DZ277" s="15"/>
      <c r="EA277" s="15"/>
      <c r="EB277" s="15"/>
      <c r="EC277" s="16" t="s">
        <v>197</v>
      </c>
      <c r="ED277" s="17" t="s">
        <v>198</v>
      </c>
      <c r="EE277" s="18">
        <v>45721.60902777778</v>
      </c>
      <c r="EF277" s="13" t="s">
        <v>209</v>
      </c>
      <c r="EG277" s="14" t="s">
        <v>179</v>
      </c>
      <c r="EH277" s="14" t="s">
        <v>8418</v>
      </c>
      <c r="EI277" s="14" t="s">
        <v>179</v>
      </c>
      <c r="EJ277" s="14" t="s">
        <v>8419</v>
      </c>
      <c r="EK277" s="14" t="s">
        <v>179</v>
      </c>
      <c r="EL277" s="14" t="s">
        <v>8420</v>
      </c>
      <c r="EM277" s="14" t="s">
        <v>179</v>
      </c>
      <c r="EN277" s="14" t="s">
        <v>8420</v>
      </c>
      <c r="EO277" s="14" t="s">
        <v>179</v>
      </c>
      <c r="EP277" s="14" t="s">
        <v>8421</v>
      </c>
      <c r="EQ277" s="14" t="s">
        <v>179</v>
      </c>
      <c r="ER277" s="14" t="s">
        <v>8422</v>
      </c>
      <c r="ES277" s="14" t="s">
        <v>179</v>
      </c>
      <c r="ET277" s="14" t="s">
        <v>8423</v>
      </c>
      <c r="EU277" s="15"/>
      <c r="EV277" s="15"/>
      <c r="EW277" s="15"/>
      <c r="EX277" s="15"/>
      <c r="EY277" s="15"/>
      <c r="EZ277" s="15"/>
      <c r="FA277" s="15"/>
      <c r="FB277" s="15"/>
      <c r="FC277" s="16" t="s">
        <v>197</v>
      </c>
      <c r="FD277" s="17" t="s">
        <v>198</v>
      </c>
      <c r="FE277" s="18">
        <v>45721.60915509259</v>
      </c>
      <c r="FF277" s="19"/>
      <c r="FG277" s="19"/>
      <c r="FH277" s="21" t="s">
        <v>197</v>
      </c>
      <c r="FI277" s="17" t="s">
        <v>214</v>
      </c>
      <c r="FJ277" s="18">
        <v>45721.60915509259</v>
      </c>
      <c r="FK277" s="14" t="s">
        <v>8423</v>
      </c>
      <c r="FL277" s="14" t="s">
        <v>8424</v>
      </c>
      <c r="FM277" s="14" t="s">
        <v>8425</v>
      </c>
      <c r="FN277" s="19"/>
      <c r="FO277" s="19"/>
      <c r="FP277" s="19" t="str">
        <f t="shared" si="1"/>
        <v>Base de Dados_Images/CF6504.Imagem do Equipamento-.130249.jpg</v>
      </c>
      <c r="FQ277" s="19"/>
      <c r="FR277" s="19"/>
    </row>
    <row r="278" ht="15.75" customHeight="1">
      <c r="A278" s="12" t="s">
        <v>217</v>
      </c>
      <c r="B278" s="12" t="s">
        <v>8426</v>
      </c>
      <c r="C278" s="24" t="s">
        <v>294</v>
      </c>
      <c r="D278" s="22" t="s">
        <v>8427</v>
      </c>
      <c r="E278" s="22" t="s">
        <v>8428</v>
      </c>
      <c r="F278" s="13" t="s">
        <v>178</v>
      </c>
      <c r="G278" s="14" t="s">
        <v>179</v>
      </c>
      <c r="H278" s="14" t="s">
        <v>8429</v>
      </c>
      <c r="I278" s="14" t="s">
        <v>179</v>
      </c>
      <c r="J278" s="14" t="s">
        <v>8430</v>
      </c>
      <c r="K278" s="14" t="s">
        <v>179</v>
      </c>
      <c r="L278" s="14" t="s">
        <v>8431</v>
      </c>
      <c r="M278" s="14" t="s">
        <v>179</v>
      </c>
      <c r="N278" s="14" t="s">
        <v>8432</v>
      </c>
      <c r="O278" s="14" t="s">
        <v>179</v>
      </c>
      <c r="P278" s="14" t="s">
        <v>8433</v>
      </c>
      <c r="Q278" s="14" t="s">
        <v>179</v>
      </c>
      <c r="R278" s="14" t="s">
        <v>8434</v>
      </c>
      <c r="S278" s="14" t="s">
        <v>179</v>
      </c>
      <c r="T278" s="14" t="s">
        <v>8435</v>
      </c>
      <c r="U278" s="14" t="s">
        <v>179</v>
      </c>
      <c r="V278" s="14" t="s">
        <v>8436</v>
      </c>
      <c r="W278" s="14" t="s">
        <v>179</v>
      </c>
      <c r="X278" s="14" t="s">
        <v>8437</v>
      </c>
      <c r="Y278" s="14" t="s">
        <v>179</v>
      </c>
      <c r="Z278" s="14" t="s">
        <v>8438</v>
      </c>
      <c r="AA278" s="14" t="s">
        <v>188</v>
      </c>
      <c r="AB278" s="14" t="s">
        <v>8439</v>
      </c>
      <c r="AC278" s="14" t="s">
        <v>179</v>
      </c>
      <c r="AD278" s="14" t="s">
        <v>8440</v>
      </c>
      <c r="AE278" s="14" t="s">
        <v>179</v>
      </c>
      <c r="AF278" s="14" t="s">
        <v>8441</v>
      </c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6" t="s">
        <v>197</v>
      </c>
      <c r="BP278" s="17" t="s">
        <v>198</v>
      </c>
      <c r="BQ278" s="18">
        <v>45684.451273148145</v>
      </c>
      <c r="BR278" s="17" t="s">
        <v>198</v>
      </c>
      <c r="BS278" s="18">
        <v>45686.60915509259</v>
      </c>
      <c r="BT278" s="17" t="s">
        <v>198</v>
      </c>
      <c r="BU278" s="18">
        <v>45686.60915509259</v>
      </c>
      <c r="BV278" s="13" t="s">
        <v>199</v>
      </c>
      <c r="BW278" s="14" t="s">
        <v>179</v>
      </c>
      <c r="BX278" s="14" t="s">
        <v>8442</v>
      </c>
      <c r="BY278" s="14" t="s">
        <v>179</v>
      </c>
      <c r="BZ278" s="14" t="s">
        <v>8442</v>
      </c>
      <c r="CA278" s="14" t="s">
        <v>179</v>
      </c>
      <c r="CB278" s="14" t="s">
        <v>8443</v>
      </c>
      <c r="CC278" s="14" t="s">
        <v>179</v>
      </c>
      <c r="CD278" s="14" t="s">
        <v>8443</v>
      </c>
      <c r="CE278" s="15"/>
      <c r="CF278" s="15"/>
      <c r="CG278" s="19"/>
      <c r="CH278" s="15"/>
      <c r="CI278" s="19"/>
      <c r="CJ278" s="15"/>
      <c r="CK278" s="19"/>
      <c r="CL278" s="15"/>
      <c r="CM278" s="19"/>
      <c r="CN278" s="15"/>
      <c r="CO278" s="19"/>
      <c r="CP278" s="15"/>
      <c r="CQ278" s="15"/>
      <c r="CR278" s="15"/>
      <c r="CS278" s="19"/>
      <c r="CT278" s="15"/>
      <c r="CU278" s="19"/>
      <c r="CV278" s="15"/>
      <c r="CW278" s="19"/>
      <c r="CX278" s="15"/>
      <c r="CY278" s="19"/>
      <c r="CZ278" s="15"/>
      <c r="DA278" s="16" t="s">
        <v>197</v>
      </c>
      <c r="DB278" s="17" t="s">
        <v>198</v>
      </c>
      <c r="DC278" s="20">
        <v>45692.544907407406</v>
      </c>
      <c r="DD278" s="17" t="s">
        <v>198</v>
      </c>
      <c r="DE278" s="18">
        <v>45692.544907407406</v>
      </c>
      <c r="DF278" s="17" t="s">
        <v>198</v>
      </c>
      <c r="DG278" s="18">
        <v>45692.544907407406</v>
      </c>
      <c r="DH278" s="13" t="s">
        <v>205</v>
      </c>
      <c r="DI278" s="14" t="s">
        <v>179</v>
      </c>
      <c r="DJ278" s="14" t="s">
        <v>8444</v>
      </c>
      <c r="DK278" s="14" t="s">
        <v>179</v>
      </c>
      <c r="DL278" s="14" t="s">
        <v>8445</v>
      </c>
      <c r="DM278" s="14" t="s">
        <v>179</v>
      </c>
      <c r="DN278" s="14" t="s">
        <v>8446</v>
      </c>
      <c r="DO278" s="14" t="s">
        <v>179</v>
      </c>
      <c r="DP278" s="14" t="s">
        <v>8447</v>
      </c>
      <c r="DQ278" s="14" t="s">
        <v>179</v>
      </c>
      <c r="DR278" s="14" t="s">
        <v>8447</v>
      </c>
      <c r="DS278" s="15"/>
      <c r="DT278" s="15"/>
      <c r="DU278" s="15"/>
      <c r="DV278" s="15"/>
      <c r="DW278" s="15"/>
      <c r="DX278" s="15"/>
      <c r="DY278" s="15"/>
      <c r="DZ278" s="15"/>
      <c r="EA278" s="15"/>
      <c r="EB278" s="15"/>
      <c r="EC278" s="16" t="s">
        <v>197</v>
      </c>
      <c r="ED278" s="17" t="s">
        <v>198</v>
      </c>
      <c r="EE278" s="18">
        <v>45715.537199074075</v>
      </c>
      <c r="EF278" s="13" t="s">
        <v>209</v>
      </c>
      <c r="EG278" s="14" t="s">
        <v>179</v>
      </c>
      <c r="EH278" s="14" t="s">
        <v>8448</v>
      </c>
      <c r="EI278" s="14" t="s">
        <v>179</v>
      </c>
      <c r="EJ278" s="14" t="s">
        <v>8449</v>
      </c>
      <c r="EK278" s="14" t="s">
        <v>179</v>
      </c>
      <c r="EL278" s="14" t="s">
        <v>8449</v>
      </c>
      <c r="EM278" s="14" t="s">
        <v>179</v>
      </c>
      <c r="EN278" s="14" t="s">
        <v>8450</v>
      </c>
      <c r="EO278" s="15"/>
      <c r="EP278" s="15"/>
      <c r="EQ278" s="15"/>
      <c r="ER278" s="15"/>
      <c r="ES278" s="15"/>
      <c r="ET278" s="15"/>
      <c r="EU278" s="15"/>
      <c r="EV278" s="15"/>
      <c r="EW278" s="15"/>
      <c r="EX278" s="15"/>
      <c r="EY278" s="15"/>
      <c r="EZ278" s="15"/>
      <c r="FA278" s="15"/>
      <c r="FB278" s="15"/>
      <c r="FC278" s="16" t="s">
        <v>197</v>
      </c>
      <c r="FD278" s="17" t="s">
        <v>198</v>
      </c>
      <c r="FE278" s="18">
        <v>45722.36586805555</v>
      </c>
      <c r="FF278" s="19"/>
      <c r="FG278" s="19"/>
      <c r="FH278" s="21" t="s">
        <v>197</v>
      </c>
      <c r="FI278" s="17" t="s">
        <v>214</v>
      </c>
      <c r="FJ278" s="18">
        <v>45722.36586805555</v>
      </c>
      <c r="FK278" s="14" t="s">
        <v>8450</v>
      </c>
      <c r="FL278" s="14"/>
      <c r="FM278" s="14"/>
      <c r="FN278" s="14"/>
      <c r="FO278" s="14"/>
      <c r="FP278" s="19" t="str">
        <f t="shared" si="1"/>
        <v/>
      </c>
      <c r="FQ278" s="14" t="s">
        <v>215</v>
      </c>
      <c r="FR278" s="14" t="s">
        <v>8451</v>
      </c>
    </row>
    <row r="279" ht="15.75" customHeight="1">
      <c r="A279" s="12" t="s">
        <v>217</v>
      </c>
      <c r="B279" s="12" t="s">
        <v>8452</v>
      </c>
      <c r="C279" s="24" t="s">
        <v>294</v>
      </c>
      <c r="D279" s="22" t="s">
        <v>8453</v>
      </c>
      <c r="E279" s="22" t="s">
        <v>8454</v>
      </c>
      <c r="F279" s="13" t="s">
        <v>178</v>
      </c>
      <c r="G279" s="14" t="s">
        <v>179</v>
      </c>
      <c r="H279" s="14" t="s">
        <v>8455</v>
      </c>
      <c r="I279" s="14" t="s">
        <v>179</v>
      </c>
      <c r="J279" s="14" t="s">
        <v>8456</v>
      </c>
      <c r="K279" s="14" t="s">
        <v>179</v>
      </c>
      <c r="L279" s="14" t="s">
        <v>8457</v>
      </c>
      <c r="M279" s="14" t="s">
        <v>179</v>
      </c>
      <c r="N279" s="14" t="s">
        <v>8458</v>
      </c>
      <c r="O279" s="14" t="s">
        <v>179</v>
      </c>
      <c r="P279" s="14" t="s">
        <v>8459</v>
      </c>
      <c r="Q279" s="14" t="s">
        <v>179</v>
      </c>
      <c r="R279" s="14" t="s">
        <v>8460</v>
      </c>
      <c r="S279" s="14" t="s">
        <v>179</v>
      </c>
      <c r="T279" s="14" t="s">
        <v>8461</v>
      </c>
      <c r="U279" s="14" t="s">
        <v>179</v>
      </c>
      <c r="V279" s="14" t="s">
        <v>8462</v>
      </c>
      <c r="W279" s="14" t="s">
        <v>179</v>
      </c>
      <c r="X279" s="14" t="s">
        <v>8463</v>
      </c>
      <c r="Y279" s="14" t="s">
        <v>179</v>
      </c>
      <c r="Z279" s="14" t="s">
        <v>8464</v>
      </c>
      <c r="AA279" s="14" t="s">
        <v>188</v>
      </c>
      <c r="AB279" s="14" t="s">
        <v>8465</v>
      </c>
      <c r="AC279" s="14" t="s">
        <v>179</v>
      </c>
      <c r="AD279" s="14" t="s">
        <v>8466</v>
      </c>
      <c r="AE279" s="14" t="s">
        <v>179</v>
      </c>
      <c r="AF279" s="14" t="s">
        <v>8467</v>
      </c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6" t="s">
        <v>197</v>
      </c>
      <c r="BP279" s="17" t="s">
        <v>198</v>
      </c>
      <c r="BQ279" s="18">
        <v>45684.45476851852</v>
      </c>
      <c r="BR279" s="17" t="s">
        <v>198</v>
      </c>
      <c r="BS279" s="18">
        <v>45686.61015046296</v>
      </c>
      <c r="BT279" s="17" t="s">
        <v>198</v>
      </c>
      <c r="BU279" s="18">
        <v>45686.61015046296</v>
      </c>
      <c r="BV279" s="13" t="s">
        <v>199</v>
      </c>
      <c r="BW279" s="14" t="s">
        <v>179</v>
      </c>
      <c r="BX279" s="14" t="s">
        <v>8468</v>
      </c>
      <c r="BY279" s="14" t="s">
        <v>179</v>
      </c>
      <c r="BZ279" s="14" t="s">
        <v>8469</v>
      </c>
      <c r="CA279" s="14" t="s">
        <v>179</v>
      </c>
      <c r="CB279" s="14" t="s">
        <v>8470</v>
      </c>
      <c r="CC279" s="14" t="s">
        <v>179</v>
      </c>
      <c r="CD279" s="14" t="s">
        <v>8471</v>
      </c>
      <c r="CE279" s="15"/>
      <c r="CF279" s="15"/>
      <c r="CG279" s="19"/>
      <c r="CH279" s="15"/>
      <c r="CI279" s="19"/>
      <c r="CJ279" s="15"/>
      <c r="CK279" s="19"/>
      <c r="CL279" s="15"/>
      <c r="CM279" s="19"/>
      <c r="CN279" s="15"/>
      <c r="CO279" s="19"/>
      <c r="CP279" s="15"/>
      <c r="CQ279" s="15"/>
      <c r="CR279" s="15"/>
      <c r="CS279" s="19"/>
      <c r="CT279" s="15"/>
      <c r="CU279" s="19"/>
      <c r="CV279" s="15"/>
      <c r="CW279" s="19"/>
      <c r="CX279" s="15"/>
      <c r="CY279" s="19"/>
      <c r="CZ279" s="15"/>
      <c r="DA279" s="16" t="s">
        <v>197</v>
      </c>
      <c r="DB279" s="17" t="s">
        <v>198</v>
      </c>
      <c r="DC279" s="20">
        <v>45692.54651620371</v>
      </c>
      <c r="DD279" s="17" t="s">
        <v>198</v>
      </c>
      <c r="DE279" s="18">
        <v>45692.54650462963</v>
      </c>
      <c r="DF279" s="17" t="s">
        <v>198</v>
      </c>
      <c r="DG279" s="18">
        <v>45692.54651620371</v>
      </c>
      <c r="DH279" s="13" t="s">
        <v>205</v>
      </c>
      <c r="DI279" s="14" t="s">
        <v>179</v>
      </c>
      <c r="DJ279" s="14" t="s">
        <v>8472</v>
      </c>
      <c r="DK279" s="14" t="s">
        <v>179</v>
      </c>
      <c r="DL279" s="14" t="s">
        <v>8473</v>
      </c>
      <c r="DM279" s="14" t="s">
        <v>179</v>
      </c>
      <c r="DN279" s="14" t="s">
        <v>8474</v>
      </c>
      <c r="DO279" s="14" t="s">
        <v>179</v>
      </c>
      <c r="DP279" s="14" t="s">
        <v>8475</v>
      </c>
      <c r="DQ279" s="14" t="s">
        <v>179</v>
      </c>
      <c r="DR279" s="14" t="s">
        <v>8475</v>
      </c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6" t="s">
        <v>197</v>
      </c>
      <c r="ED279" s="17" t="s">
        <v>198</v>
      </c>
      <c r="EE279" s="18">
        <v>45715.537523148145</v>
      </c>
      <c r="EF279" s="13" t="s">
        <v>209</v>
      </c>
      <c r="EG279" s="14" t="s">
        <v>179</v>
      </c>
      <c r="EH279" s="14" t="s">
        <v>8476</v>
      </c>
      <c r="EI279" s="14" t="s">
        <v>179</v>
      </c>
      <c r="EJ279" s="14" t="s">
        <v>8476</v>
      </c>
      <c r="EK279" s="14" t="s">
        <v>179</v>
      </c>
      <c r="EL279" s="14" t="s">
        <v>8477</v>
      </c>
      <c r="EM279" s="14" t="s">
        <v>179</v>
      </c>
      <c r="EN279" s="14" t="s">
        <v>8478</v>
      </c>
      <c r="EO279" s="15"/>
      <c r="EP279" s="15"/>
      <c r="EQ279" s="15"/>
      <c r="ER279" s="15"/>
      <c r="ES279" s="15"/>
      <c r="ET279" s="15"/>
      <c r="EU279" s="15"/>
      <c r="EV279" s="15"/>
      <c r="EW279" s="15"/>
      <c r="EX279" s="15"/>
      <c r="EY279" s="15"/>
      <c r="EZ279" s="15"/>
      <c r="FA279" s="15"/>
      <c r="FB279" s="15"/>
      <c r="FC279" s="16" t="s">
        <v>197</v>
      </c>
      <c r="FD279" s="17" t="s">
        <v>198</v>
      </c>
      <c r="FE279" s="18">
        <v>45722.36608796296</v>
      </c>
      <c r="FF279" s="19"/>
      <c r="FG279" s="19"/>
      <c r="FH279" s="21" t="s">
        <v>197</v>
      </c>
      <c r="FI279" s="17" t="s">
        <v>214</v>
      </c>
      <c r="FJ279" s="18">
        <v>45722.36608796296</v>
      </c>
      <c r="FK279" s="14" t="s">
        <v>8478</v>
      </c>
      <c r="FL279" s="14" t="s">
        <v>8479</v>
      </c>
      <c r="FM279" s="14" t="s">
        <v>8480</v>
      </c>
      <c r="FN279" s="14" t="s">
        <v>8481</v>
      </c>
      <c r="FO279" s="14" t="s">
        <v>8482</v>
      </c>
      <c r="FP279" s="19" t="str">
        <f t="shared" si="1"/>
        <v>Base de Dados_Images/CR4002.Imagem do Equipamento-.151454.jpg</v>
      </c>
      <c r="FQ279" s="19"/>
      <c r="FR279" s="19"/>
    </row>
    <row r="280" ht="15.75" customHeight="1">
      <c r="A280" s="12" t="s">
        <v>217</v>
      </c>
      <c r="B280" s="12" t="s">
        <v>8483</v>
      </c>
      <c r="C280" s="24" t="s">
        <v>494</v>
      </c>
      <c r="D280" s="22" t="s">
        <v>8484</v>
      </c>
      <c r="E280" s="22" t="s">
        <v>8485</v>
      </c>
      <c r="F280" s="13" t="s">
        <v>178</v>
      </c>
      <c r="G280" s="14" t="s">
        <v>179</v>
      </c>
      <c r="H280" s="14" t="s">
        <v>8486</v>
      </c>
      <c r="I280" s="14" t="s">
        <v>179</v>
      </c>
      <c r="J280" s="14" t="s">
        <v>8487</v>
      </c>
      <c r="K280" s="14" t="s">
        <v>179</v>
      </c>
      <c r="L280" s="14" t="s">
        <v>8488</v>
      </c>
      <c r="M280" s="14" t="s">
        <v>179</v>
      </c>
      <c r="N280" s="14" t="s">
        <v>8489</v>
      </c>
      <c r="O280" s="14" t="s">
        <v>179</v>
      </c>
      <c r="P280" s="14" t="s">
        <v>8490</v>
      </c>
      <c r="Q280" s="14" t="s">
        <v>179</v>
      </c>
      <c r="R280" s="14" t="s">
        <v>8491</v>
      </c>
      <c r="S280" s="14" t="s">
        <v>179</v>
      </c>
      <c r="T280" s="14" t="s">
        <v>8492</v>
      </c>
      <c r="U280" s="14" t="s">
        <v>179</v>
      </c>
      <c r="V280" s="14" t="s">
        <v>8493</v>
      </c>
      <c r="W280" s="14" t="s">
        <v>179</v>
      </c>
      <c r="X280" s="14" t="s">
        <v>8494</v>
      </c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6" t="s">
        <v>197</v>
      </c>
      <c r="BP280" s="17" t="s">
        <v>198</v>
      </c>
      <c r="BQ280" s="18">
        <v>45686.42890046296</v>
      </c>
      <c r="BR280" s="17" t="s">
        <v>198</v>
      </c>
      <c r="BS280" s="18">
        <v>45686.42896990741</v>
      </c>
      <c r="BT280" s="17" t="s">
        <v>198</v>
      </c>
      <c r="BU280" s="18">
        <v>45686.42896990741</v>
      </c>
      <c r="BV280" s="13" t="s">
        <v>199</v>
      </c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9"/>
      <c r="CH280" s="15"/>
      <c r="CI280" s="19"/>
      <c r="CJ280" s="15"/>
      <c r="CK280" s="19"/>
      <c r="CL280" s="15"/>
      <c r="CM280" s="19"/>
      <c r="CN280" s="15"/>
      <c r="CO280" s="19"/>
      <c r="CP280" s="15"/>
      <c r="CQ280" s="15"/>
      <c r="CR280" s="15"/>
      <c r="CS280" s="19"/>
      <c r="CT280" s="15"/>
      <c r="CU280" s="19"/>
      <c r="CV280" s="15"/>
      <c r="CW280" s="19"/>
      <c r="CX280" s="15"/>
      <c r="CY280" s="19"/>
      <c r="CZ280" s="15"/>
      <c r="DA280" s="16" t="s">
        <v>197</v>
      </c>
      <c r="DB280" s="17" t="s">
        <v>228</v>
      </c>
      <c r="DC280" s="16"/>
      <c r="DD280" s="17" t="s">
        <v>228</v>
      </c>
      <c r="DE280" s="23"/>
      <c r="DF280" s="17" t="s">
        <v>228</v>
      </c>
      <c r="DG280" s="23"/>
      <c r="DH280" s="13" t="s">
        <v>205</v>
      </c>
      <c r="DI280" s="14" t="s">
        <v>179</v>
      </c>
      <c r="DJ280" s="14" t="s">
        <v>8495</v>
      </c>
      <c r="DK280" s="14" t="s">
        <v>179</v>
      </c>
      <c r="DL280" s="14" t="s">
        <v>8496</v>
      </c>
      <c r="DM280" s="15"/>
      <c r="DN280" s="15"/>
      <c r="DO280" s="15"/>
      <c r="DP280" s="15"/>
      <c r="DQ280" s="15"/>
      <c r="DR280" s="15"/>
      <c r="DS280" s="15"/>
      <c r="DT280" s="15"/>
      <c r="DU280" s="15"/>
      <c r="DV280" s="15"/>
      <c r="DW280" s="15"/>
      <c r="DX280" s="15"/>
      <c r="DY280" s="15"/>
      <c r="DZ280" s="15"/>
      <c r="EA280" s="15"/>
      <c r="EB280" s="15"/>
      <c r="EC280" s="16" t="s">
        <v>197</v>
      </c>
      <c r="ED280" s="17" t="s">
        <v>198</v>
      </c>
      <c r="EE280" s="18">
        <v>45715.53789351852</v>
      </c>
      <c r="EF280" s="13" t="s">
        <v>209</v>
      </c>
      <c r="EG280" s="14" t="s">
        <v>179</v>
      </c>
      <c r="EH280" s="14" t="s">
        <v>8497</v>
      </c>
      <c r="EI280" s="14" t="s">
        <v>179</v>
      </c>
      <c r="EJ280" s="14" t="s">
        <v>8497</v>
      </c>
      <c r="EK280" s="14" t="s">
        <v>179</v>
      </c>
      <c r="EL280" s="14" t="s">
        <v>8498</v>
      </c>
      <c r="EM280" s="14" t="s">
        <v>179</v>
      </c>
      <c r="EN280" s="14" t="s">
        <v>8498</v>
      </c>
      <c r="EO280" s="15"/>
      <c r="EP280" s="15"/>
      <c r="EQ280" s="15"/>
      <c r="ER280" s="15"/>
      <c r="ES280" s="15"/>
      <c r="ET280" s="15"/>
      <c r="EU280" s="15"/>
      <c r="EV280" s="15"/>
      <c r="EW280" s="15"/>
      <c r="EX280" s="15"/>
      <c r="EY280" s="15"/>
      <c r="EZ280" s="15"/>
      <c r="FA280" s="15"/>
      <c r="FB280" s="15"/>
      <c r="FC280" s="16" t="s">
        <v>197</v>
      </c>
      <c r="FD280" s="17" t="s">
        <v>198</v>
      </c>
      <c r="FE280" s="18">
        <v>45722.366423611114</v>
      </c>
      <c r="FF280" s="19"/>
      <c r="FG280" s="19"/>
      <c r="FH280" s="21" t="s">
        <v>197</v>
      </c>
      <c r="FI280" s="17" t="s">
        <v>214</v>
      </c>
      <c r="FJ280" s="18">
        <v>45722.366423611114</v>
      </c>
      <c r="FK280" s="14" t="s">
        <v>8498</v>
      </c>
      <c r="FL280" s="19"/>
      <c r="FM280" s="19"/>
      <c r="FN280" s="19"/>
      <c r="FO280" s="19"/>
      <c r="FP280" s="19" t="str">
        <f t="shared" si="1"/>
        <v/>
      </c>
      <c r="FQ280" s="14" t="s">
        <v>215</v>
      </c>
      <c r="FR280" s="14" t="s">
        <v>8499</v>
      </c>
    </row>
    <row r="281" ht="15.75" customHeight="1">
      <c r="A281" s="12" t="s">
        <v>547</v>
      </c>
      <c r="B281" s="12" t="s">
        <v>3825</v>
      </c>
      <c r="C281" s="12" t="s">
        <v>8081</v>
      </c>
      <c r="D281" s="12" t="s">
        <v>8500</v>
      </c>
      <c r="E281" s="12" t="s">
        <v>8501</v>
      </c>
      <c r="F281" s="13" t="s">
        <v>178</v>
      </c>
      <c r="G281" s="14" t="s">
        <v>179</v>
      </c>
      <c r="H281" s="14" t="s">
        <v>8502</v>
      </c>
      <c r="I281" s="14" t="s">
        <v>179</v>
      </c>
      <c r="J281" s="14" t="s">
        <v>8503</v>
      </c>
      <c r="K281" s="14" t="s">
        <v>179</v>
      </c>
      <c r="L281" s="14" t="s">
        <v>8504</v>
      </c>
      <c r="M281" s="14" t="s">
        <v>179</v>
      </c>
      <c r="N281" s="14" t="s">
        <v>8505</v>
      </c>
      <c r="O281" s="14" t="s">
        <v>179</v>
      </c>
      <c r="P281" s="14" t="s">
        <v>8506</v>
      </c>
      <c r="Q281" s="14" t="s">
        <v>188</v>
      </c>
      <c r="R281" s="14" t="s">
        <v>8507</v>
      </c>
      <c r="S281" s="14" t="s">
        <v>188</v>
      </c>
      <c r="T281" s="14" t="s">
        <v>8508</v>
      </c>
      <c r="U281" s="14" t="s">
        <v>188</v>
      </c>
      <c r="V281" s="14" t="s">
        <v>8509</v>
      </c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6" t="s">
        <v>197</v>
      </c>
      <c r="BP281" s="17" t="s">
        <v>198</v>
      </c>
      <c r="BQ281" s="18">
        <v>45678.58626157408</v>
      </c>
      <c r="BR281" s="17" t="s">
        <v>198</v>
      </c>
      <c r="BS281" s="18">
        <v>45678.58603009259</v>
      </c>
      <c r="BT281" s="17" t="s">
        <v>198</v>
      </c>
      <c r="BU281" s="18">
        <v>45678.58626157408</v>
      </c>
      <c r="BV281" s="13" t="s">
        <v>199</v>
      </c>
      <c r="BW281" s="14" t="s">
        <v>188</v>
      </c>
      <c r="BX281" s="14" t="s">
        <v>8510</v>
      </c>
      <c r="BY281" s="14" t="s">
        <v>188</v>
      </c>
      <c r="BZ281" s="14" t="s">
        <v>8511</v>
      </c>
      <c r="CA281" s="15"/>
      <c r="CB281" s="15"/>
      <c r="CC281" s="15"/>
      <c r="CD281" s="15"/>
      <c r="CE281" s="15"/>
      <c r="CF281" s="15"/>
      <c r="CG281" s="19"/>
      <c r="CH281" s="15"/>
      <c r="CI281" s="19"/>
      <c r="CJ281" s="15"/>
      <c r="CK281" s="19"/>
      <c r="CL281" s="15"/>
      <c r="CM281" s="19"/>
      <c r="CN281" s="15"/>
      <c r="CO281" s="19"/>
      <c r="CP281" s="15"/>
      <c r="CQ281" s="15"/>
      <c r="CR281" s="15"/>
      <c r="CS281" s="19"/>
      <c r="CT281" s="15"/>
      <c r="CU281" s="19"/>
      <c r="CV281" s="15"/>
      <c r="CW281" s="19"/>
      <c r="CX281" s="15"/>
      <c r="CY281" s="19"/>
      <c r="CZ281" s="15"/>
      <c r="DA281" s="16" t="s">
        <v>197</v>
      </c>
      <c r="DB281" s="17" t="s">
        <v>228</v>
      </c>
      <c r="DC281" s="16"/>
      <c r="DD281" s="17" t="s">
        <v>198</v>
      </c>
      <c r="DE281" s="18">
        <v>45692.60275462963</v>
      </c>
      <c r="DF281" s="17" t="s">
        <v>198</v>
      </c>
      <c r="DG281" s="18">
        <v>45692.60275462963</v>
      </c>
      <c r="DH281" s="13" t="s">
        <v>205</v>
      </c>
      <c r="DI281" s="14" t="s">
        <v>179</v>
      </c>
      <c r="DJ281" s="14" t="s">
        <v>8512</v>
      </c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6" t="s">
        <v>197</v>
      </c>
      <c r="ED281" s="17" t="s">
        <v>198</v>
      </c>
      <c r="EE281" s="18">
        <v>45692.60603009259</v>
      </c>
      <c r="EF281" s="13" t="s">
        <v>209</v>
      </c>
      <c r="EG281" s="14" t="s">
        <v>179</v>
      </c>
      <c r="EH281" s="14" t="s">
        <v>8513</v>
      </c>
      <c r="EI281" s="15"/>
      <c r="EJ281" s="15"/>
      <c r="EK281" s="15"/>
      <c r="EL281" s="15"/>
      <c r="EM281" s="15"/>
      <c r="EN281" s="15"/>
      <c r="EO281" s="15"/>
      <c r="EP281" s="15"/>
      <c r="EQ281" s="15"/>
      <c r="ER281" s="15"/>
      <c r="ES281" s="15"/>
      <c r="ET281" s="15"/>
      <c r="EU281" s="15"/>
      <c r="EV281" s="15"/>
      <c r="EW281" s="15"/>
      <c r="EX281" s="15"/>
      <c r="EY281" s="15"/>
      <c r="EZ281" s="15"/>
      <c r="FA281" s="15"/>
      <c r="FB281" s="15"/>
      <c r="FC281" s="16" t="s">
        <v>197</v>
      </c>
      <c r="FD281" s="17" t="s">
        <v>198</v>
      </c>
      <c r="FE281" s="18">
        <v>45707.49752314815</v>
      </c>
      <c r="FF281" s="19"/>
      <c r="FG281" s="19"/>
      <c r="FH281" s="21" t="s">
        <v>197</v>
      </c>
      <c r="FI281" s="17" t="s">
        <v>214</v>
      </c>
      <c r="FJ281" s="18">
        <v>45707.49752314815</v>
      </c>
      <c r="FK281" s="14" t="s">
        <v>8513</v>
      </c>
      <c r="FL281" s="14" t="s">
        <v>8514</v>
      </c>
      <c r="FM281" s="14" t="s">
        <v>8515</v>
      </c>
      <c r="FN281" s="19"/>
      <c r="FO281" s="19"/>
      <c r="FP281" s="19" t="str">
        <f t="shared" si="1"/>
        <v>Base de Dados_Images/CV003.Imagem do Equipamento-.184247.jpg</v>
      </c>
      <c r="FQ281" s="19"/>
      <c r="FR281" s="19"/>
    </row>
    <row r="282" ht="15.75" customHeight="1">
      <c r="A282" s="12" t="s">
        <v>217</v>
      </c>
      <c r="B282" s="12" t="s">
        <v>8026</v>
      </c>
      <c r="C282" s="24" t="s">
        <v>8516</v>
      </c>
      <c r="D282" s="22" t="s">
        <v>8517</v>
      </c>
      <c r="E282" s="22" t="s">
        <v>8518</v>
      </c>
      <c r="F282" s="13" t="s">
        <v>178</v>
      </c>
      <c r="G282" s="14" t="s">
        <v>179</v>
      </c>
      <c r="H282" s="14" t="s">
        <v>8519</v>
      </c>
      <c r="I282" s="14" t="s">
        <v>179</v>
      </c>
      <c r="J282" s="14" t="s">
        <v>8520</v>
      </c>
      <c r="K282" s="14" t="s">
        <v>179</v>
      </c>
      <c r="L282" s="14" t="s">
        <v>8521</v>
      </c>
      <c r="M282" s="14" t="s">
        <v>179</v>
      </c>
      <c r="N282" s="14" t="s">
        <v>8522</v>
      </c>
      <c r="O282" s="14" t="s">
        <v>179</v>
      </c>
      <c r="P282" s="14" t="s">
        <v>8523</v>
      </c>
      <c r="Q282" s="14" t="s">
        <v>179</v>
      </c>
      <c r="R282" s="14" t="s">
        <v>8524</v>
      </c>
      <c r="S282" s="14" t="s">
        <v>179</v>
      </c>
      <c r="T282" s="14" t="s">
        <v>8525</v>
      </c>
      <c r="U282" s="14" t="s">
        <v>179</v>
      </c>
      <c r="V282" s="14" t="s">
        <v>8526</v>
      </c>
      <c r="W282" s="14" t="s">
        <v>179</v>
      </c>
      <c r="X282" s="14" t="s">
        <v>8527</v>
      </c>
      <c r="Y282" s="14" t="s">
        <v>179</v>
      </c>
      <c r="Z282" s="14" t="s">
        <v>8528</v>
      </c>
      <c r="AA282" s="14" t="s">
        <v>179</v>
      </c>
      <c r="AB282" s="14" t="s">
        <v>8529</v>
      </c>
      <c r="AC282" s="14" t="s">
        <v>179</v>
      </c>
      <c r="AD282" s="14" t="s">
        <v>8530</v>
      </c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6" t="s">
        <v>197</v>
      </c>
      <c r="BP282" s="17" t="s">
        <v>198</v>
      </c>
      <c r="BQ282" s="18">
        <v>45684.416493055556</v>
      </c>
      <c r="BR282" s="17" t="s">
        <v>198</v>
      </c>
      <c r="BS282" s="18">
        <v>45684.41689814815</v>
      </c>
      <c r="BT282" s="17" t="s">
        <v>198</v>
      </c>
      <c r="BU282" s="18">
        <v>45684.41689814815</v>
      </c>
      <c r="BV282" s="13" t="s">
        <v>199</v>
      </c>
      <c r="BW282" s="14" t="s">
        <v>179</v>
      </c>
      <c r="BX282" s="14" t="s">
        <v>8531</v>
      </c>
      <c r="BY282" s="14" t="s">
        <v>179</v>
      </c>
      <c r="BZ282" s="14" t="s">
        <v>8532</v>
      </c>
      <c r="CA282" s="14" t="s">
        <v>179</v>
      </c>
      <c r="CB282" s="14" t="s">
        <v>8533</v>
      </c>
      <c r="CC282" s="14" t="s">
        <v>179</v>
      </c>
      <c r="CD282" s="14" t="s">
        <v>8534</v>
      </c>
      <c r="CE282" s="15"/>
      <c r="CF282" s="15"/>
      <c r="CG282" s="19"/>
      <c r="CH282" s="15"/>
      <c r="CI282" s="19"/>
      <c r="CJ282" s="15"/>
      <c r="CK282" s="19"/>
      <c r="CL282" s="15"/>
      <c r="CM282" s="19"/>
      <c r="CN282" s="15"/>
      <c r="CO282" s="19"/>
      <c r="CP282" s="15"/>
      <c r="CQ282" s="15"/>
      <c r="CR282" s="15"/>
      <c r="CS282" s="19"/>
      <c r="CT282" s="15"/>
      <c r="CU282" s="19"/>
      <c r="CV282" s="15"/>
      <c r="CW282" s="19"/>
      <c r="CX282" s="15"/>
      <c r="CY282" s="19"/>
      <c r="CZ282" s="15"/>
      <c r="DA282" s="16" t="s">
        <v>197</v>
      </c>
      <c r="DB282" s="17" t="s">
        <v>198</v>
      </c>
      <c r="DC282" s="20">
        <v>45688.523993055554</v>
      </c>
      <c r="DD282" s="17" t="s">
        <v>198</v>
      </c>
      <c r="DE282" s="18">
        <v>45688.52407407408</v>
      </c>
      <c r="DF282" s="17" t="s">
        <v>198</v>
      </c>
      <c r="DG282" s="18">
        <v>45688.52407407408</v>
      </c>
      <c r="DH282" s="13" t="s">
        <v>205</v>
      </c>
      <c r="DI282" s="14" t="s">
        <v>179</v>
      </c>
      <c r="DJ282" s="14" t="s">
        <v>8535</v>
      </c>
      <c r="DK282" s="14" t="s">
        <v>179</v>
      </c>
      <c r="DL282" s="14" t="s">
        <v>8535</v>
      </c>
      <c r="DM282" s="14" t="s">
        <v>179</v>
      </c>
      <c r="DN282" s="14" t="s">
        <v>8536</v>
      </c>
      <c r="DO282" s="14" t="s">
        <v>179</v>
      </c>
      <c r="DP282" s="14" t="s">
        <v>8537</v>
      </c>
      <c r="DQ282" s="14" t="s">
        <v>179</v>
      </c>
      <c r="DR282" s="14" t="s">
        <v>8538</v>
      </c>
      <c r="DS282" s="15"/>
      <c r="DT282" s="15"/>
      <c r="DU282" s="15"/>
      <c r="DV282" s="15"/>
      <c r="DW282" s="15"/>
      <c r="DX282" s="15"/>
      <c r="DY282" s="15"/>
      <c r="DZ282" s="15"/>
      <c r="EA282" s="15"/>
      <c r="EB282" s="15"/>
      <c r="EC282" s="16" t="s">
        <v>197</v>
      </c>
      <c r="ED282" s="17" t="s">
        <v>198</v>
      </c>
      <c r="EE282" s="18">
        <v>45715.53383101852</v>
      </c>
      <c r="EF282" s="13" t="s">
        <v>209</v>
      </c>
      <c r="EG282" s="14" t="s">
        <v>188</v>
      </c>
      <c r="EH282" s="14" t="s">
        <v>8539</v>
      </c>
      <c r="EI282" s="14" t="s">
        <v>188</v>
      </c>
      <c r="EJ282" s="14" t="s">
        <v>8540</v>
      </c>
      <c r="EK282" s="14" t="s">
        <v>188</v>
      </c>
      <c r="EL282" s="14" t="s">
        <v>8541</v>
      </c>
      <c r="EM282" s="14" t="s">
        <v>188</v>
      </c>
      <c r="EN282" s="14" t="s">
        <v>8542</v>
      </c>
      <c r="EO282" s="15"/>
      <c r="EP282" s="15"/>
      <c r="EQ282" s="15"/>
      <c r="ER282" s="15"/>
      <c r="ES282" s="15"/>
      <c r="ET282" s="15"/>
      <c r="EU282" s="15"/>
      <c r="EV282" s="15"/>
      <c r="EW282" s="15"/>
      <c r="EX282" s="15"/>
      <c r="EY282" s="15"/>
      <c r="EZ282" s="15"/>
      <c r="FA282" s="15"/>
      <c r="FB282" s="15"/>
      <c r="FC282" s="16" t="s">
        <v>197</v>
      </c>
      <c r="FD282" s="17" t="s">
        <v>198</v>
      </c>
      <c r="FE282" s="18">
        <v>45722.36513888889</v>
      </c>
      <c r="FF282" s="19"/>
      <c r="FG282" s="19"/>
      <c r="FH282" s="21" t="s">
        <v>197</v>
      </c>
      <c r="FI282" s="17" t="s">
        <v>214</v>
      </c>
      <c r="FJ282" s="18">
        <v>45722.36513888889</v>
      </c>
      <c r="FK282" s="14" t="s">
        <v>8541</v>
      </c>
      <c r="FL282" s="14" t="s">
        <v>8543</v>
      </c>
      <c r="FM282" s="14" t="s">
        <v>8544</v>
      </c>
      <c r="FN282" s="14" t="s">
        <v>8545</v>
      </c>
      <c r="FO282" s="14" t="s">
        <v>8546</v>
      </c>
      <c r="FP282" s="19" t="str">
        <f t="shared" si="1"/>
        <v>Base de Dados_Images/CV4001.Imagem do Equipamento-.142927.jpg</v>
      </c>
      <c r="FQ282" s="19"/>
      <c r="FR282" s="19"/>
    </row>
    <row r="283" ht="15.75" customHeight="1">
      <c r="A283" s="12" t="s">
        <v>357</v>
      </c>
      <c r="B283" s="12" t="s">
        <v>8547</v>
      </c>
      <c r="C283" s="24" t="s">
        <v>8548</v>
      </c>
      <c r="D283" s="22" t="s">
        <v>8549</v>
      </c>
      <c r="E283" s="22" t="s">
        <v>8550</v>
      </c>
      <c r="F283" s="13" t="s">
        <v>178</v>
      </c>
      <c r="G283" s="14" t="s">
        <v>179</v>
      </c>
      <c r="H283" s="14" t="s">
        <v>8551</v>
      </c>
      <c r="I283" s="14" t="s">
        <v>179</v>
      </c>
      <c r="J283" s="14" t="s">
        <v>8552</v>
      </c>
      <c r="K283" s="14" t="s">
        <v>179</v>
      </c>
      <c r="L283" s="14" t="s">
        <v>8553</v>
      </c>
      <c r="M283" s="14" t="s">
        <v>179</v>
      </c>
      <c r="N283" s="14" t="s">
        <v>8554</v>
      </c>
      <c r="O283" s="14" t="s">
        <v>179</v>
      </c>
      <c r="P283" s="14" t="s">
        <v>8555</v>
      </c>
      <c r="Q283" s="14" t="s">
        <v>179</v>
      </c>
      <c r="R283" s="14" t="s">
        <v>8556</v>
      </c>
      <c r="S283" s="14" t="s">
        <v>179</v>
      </c>
      <c r="T283" s="14" t="s">
        <v>8556</v>
      </c>
      <c r="U283" s="14" t="s">
        <v>179</v>
      </c>
      <c r="V283" s="14" t="s">
        <v>8557</v>
      </c>
      <c r="W283" s="14" t="s">
        <v>179</v>
      </c>
      <c r="X283" s="14" t="s">
        <v>8558</v>
      </c>
      <c r="Y283" s="14" t="s">
        <v>179</v>
      </c>
      <c r="Z283" s="14" t="s">
        <v>8559</v>
      </c>
      <c r="AA283" s="14" t="s">
        <v>179</v>
      </c>
      <c r="AB283" s="14" t="s">
        <v>8560</v>
      </c>
      <c r="AC283" s="14" t="s">
        <v>179</v>
      </c>
      <c r="AD283" s="14" t="s">
        <v>8561</v>
      </c>
      <c r="AE283" s="14" t="s">
        <v>179</v>
      </c>
      <c r="AF283" s="14" t="s">
        <v>8561</v>
      </c>
      <c r="AG283" s="14" t="s">
        <v>179</v>
      </c>
      <c r="AH283" s="14" t="s">
        <v>8562</v>
      </c>
      <c r="AI283" s="14" t="s">
        <v>179</v>
      </c>
      <c r="AJ283" s="14" t="s">
        <v>8562</v>
      </c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6" t="s">
        <v>197</v>
      </c>
      <c r="BP283" s="17" t="s">
        <v>198</v>
      </c>
      <c r="BQ283" s="18">
        <v>45689.414988425924</v>
      </c>
      <c r="BR283" s="17" t="s">
        <v>198</v>
      </c>
      <c r="BS283" s="18">
        <v>45689.414872685185</v>
      </c>
      <c r="BT283" s="17" t="s">
        <v>198</v>
      </c>
      <c r="BU283" s="18">
        <v>45689.414988425924</v>
      </c>
      <c r="BV283" s="13" t="s">
        <v>199</v>
      </c>
      <c r="BW283" s="14" t="s">
        <v>179</v>
      </c>
      <c r="BX283" s="14" t="s">
        <v>8563</v>
      </c>
      <c r="BY283" s="14" t="s">
        <v>179</v>
      </c>
      <c r="BZ283" s="14" t="s">
        <v>8564</v>
      </c>
      <c r="CA283" s="14" t="s">
        <v>179</v>
      </c>
      <c r="CB283" s="14" t="s">
        <v>8565</v>
      </c>
      <c r="CC283" s="14" t="s">
        <v>179</v>
      </c>
      <c r="CD283" s="14" t="s">
        <v>8566</v>
      </c>
      <c r="CE283" s="15"/>
      <c r="CF283" s="15"/>
      <c r="CG283" s="19"/>
      <c r="CH283" s="15"/>
      <c r="CI283" s="19"/>
      <c r="CJ283" s="15"/>
      <c r="CK283" s="19"/>
      <c r="CL283" s="15"/>
      <c r="CM283" s="19"/>
      <c r="CN283" s="15"/>
      <c r="CO283" s="19"/>
      <c r="CP283" s="15"/>
      <c r="CQ283" s="15"/>
      <c r="CR283" s="15"/>
      <c r="CS283" s="19"/>
      <c r="CT283" s="15"/>
      <c r="CU283" s="19"/>
      <c r="CV283" s="15"/>
      <c r="CW283" s="19"/>
      <c r="CX283" s="15"/>
      <c r="CY283" s="19"/>
      <c r="CZ283" s="15"/>
      <c r="DA283" s="16" t="s">
        <v>197</v>
      </c>
      <c r="DB283" s="17" t="s">
        <v>198</v>
      </c>
      <c r="DC283" s="20">
        <v>45711.69074074074</v>
      </c>
      <c r="DD283" s="17" t="s">
        <v>198</v>
      </c>
      <c r="DE283" s="18">
        <v>45711.690787037034</v>
      </c>
      <c r="DF283" s="17" t="s">
        <v>198</v>
      </c>
      <c r="DG283" s="18">
        <v>45711.690787037034</v>
      </c>
      <c r="DH283" s="13" t="s">
        <v>205</v>
      </c>
      <c r="DI283" s="14" t="s">
        <v>179</v>
      </c>
      <c r="DJ283" s="14" t="s">
        <v>8567</v>
      </c>
      <c r="DK283" s="14" t="s">
        <v>179</v>
      </c>
      <c r="DL283" s="14" t="s">
        <v>8568</v>
      </c>
      <c r="DM283" s="14" t="s">
        <v>179</v>
      </c>
      <c r="DN283" s="14" t="s">
        <v>8569</v>
      </c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6" t="s">
        <v>197</v>
      </c>
      <c r="ED283" s="17" t="s">
        <v>198</v>
      </c>
      <c r="EE283" s="18">
        <v>45711.69086805556</v>
      </c>
      <c r="EF283" s="13" t="s">
        <v>209</v>
      </c>
      <c r="EG283" s="14" t="s">
        <v>179</v>
      </c>
      <c r="EH283" s="14" t="s">
        <v>8570</v>
      </c>
      <c r="EI283" s="14" t="s">
        <v>179</v>
      </c>
      <c r="EJ283" s="14" t="s">
        <v>8571</v>
      </c>
      <c r="EK283" s="14" t="s">
        <v>179</v>
      </c>
      <c r="EL283" s="14" t="s">
        <v>8572</v>
      </c>
      <c r="EM283" s="14" t="s">
        <v>179</v>
      </c>
      <c r="EN283" s="14" t="s">
        <v>8573</v>
      </c>
      <c r="EO283" s="15"/>
      <c r="EP283" s="15"/>
      <c r="EQ283" s="15"/>
      <c r="ER283" s="15"/>
      <c r="ES283" s="15"/>
      <c r="ET283" s="15"/>
      <c r="EU283" s="15"/>
      <c r="EV283" s="15"/>
      <c r="EW283" s="15"/>
      <c r="EX283" s="15"/>
      <c r="EY283" s="15"/>
      <c r="EZ283" s="15"/>
      <c r="FA283" s="15"/>
      <c r="FB283" s="15"/>
      <c r="FC283" s="16" t="s">
        <v>197</v>
      </c>
      <c r="FD283" s="17" t="s">
        <v>198</v>
      </c>
      <c r="FE283" s="18">
        <v>45711.69099537037</v>
      </c>
      <c r="FF283" s="19"/>
      <c r="FG283" s="19"/>
      <c r="FH283" s="21" t="s">
        <v>197</v>
      </c>
      <c r="FI283" s="17" t="s">
        <v>214</v>
      </c>
      <c r="FJ283" s="18">
        <v>45711.69099537037</v>
      </c>
      <c r="FK283" s="14" t="s">
        <v>8573</v>
      </c>
      <c r="FL283" s="14" t="s">
        <v>8574</v>
      </c>
      <c r="FM283" s="14" t="s">
        <v>8575</v>
      </c>
      <c r="FN283" s="19"/>
      <c r="FO283" s="19"/>
      <c r="FP283" s="19" t="str">
        <f t="shared" si="1"/>
        <v>Base de Dados_Images/DB8101.Imagem do Equipamento-.131137.jpg</v>
      </c>
      <c r="FQ283" s="14"/>
      <c r="FR283" s="14"/>
    </row>
    <row r="284" ht="15.75" customHeight="1">
      <c r="A284" s="12" t="s">
        <v>357</v>
      </c>
      <c r="B284" s="12" t="s">
        <v>8547</v>
      </c>
      <c r="C284" s="24" t="s">
        <v>8548</v>
      </c>
      <c r="D284" s="22" t="s">
        <v>8576</v>
      </c>
      <c r="E284" s="22" t="s">
        <v>8577</v>
      </c>
      <c r="F284" s="13" t="s">
        <v>178</v>
      </c>
      <c r="G284" s="14" t="s">
        <v>179</v>
      </c>
      <c r="H284" s="14" t="s">
        <v>8578</v>
      </c>
      <c r="I284" s="14" t="s">
        <v>179</v>
      </c>
      <c r="J284" s="14" t="s">
        <v>8579</v>
      </c>
      <c r="K284" s="14" t="s">
        <v>179</v>
      </c>
      <c r="L284" s="14" t="s">
        <v>8579</v>
      </c>
      <c r="M284" s="14" t="s">
        <v>179</v>
      </c>
      <c r="N284" s="14" t="s">
        <v>8580</v>
      </c>
      <c r="O284" s="14" t="s">
        <v>179</v>
      </c>
      <c r="P284" s="14" t="s">
        <v>8580</v>
      </c>
      <c r="Q284" s="14" t="s">
        <v>179</v>
      </c>
      <c r="R284" s="14" t="s">
        <v>8581</v>
      </c>
      <c r="S284" s="14" t="s">
        <v>179</v>
      </c>
      <c r="T284" s="14" t="s">
        <v>8582</v>
      </c>
      <c r="U284" s="14" t="s">
        <v>179</v>
      </c>
      <c r="V284" s="14" t="s">
        <v>8583</v>
      </c>
      <c r="W284" s="14" t="s">
        <v>179</v>
      </c>
      <c r="X284" s="14" t="s">
        <v>8583</v>
      </c>
      <c r="Y284" s="14" t="s">
        <v>179</v>
      </c>
      <c r="Z284" s="14" t="s">
        <v>8584</v>
      </c>
      <c r="AA284" s="14" t="s">
        <v>179</v>
      </c>
      <c r="AB284" s="14" t="s">
        <v>8585</v>
      </c>
      <c r="AC284" s="14" t="s">
        <v>179</v>
      </c>
      <c r="AD284" s="14" t="s">
        <v>8586</v>
      </c>
      <c r="AE284" s="14" t="s">
        <v>179</v>
      </c>
      <c r="AF284" s="14" t="s">
        <v>8587</v>
      </c>
      <c r="AG284" s="14" t="s">
        <v>179</v>
      </c>
      <c r="AH284" s="14" t="s">
        <v>8587</v>
      </c>
      <c r="AI284" s="14" t="s">
        <v>179</v>
      </c>
      <c r="AJ284" s="14" t="s">
        <v>8588</v>
      </c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6" t="s">
        <v>197</v>
      </c>
      <c r="BP284" s="17" t="s">
        <v>198</v>
      </c>
      <c r="BQ284" s="18">
        <v>45689.415555555555</v>
      </c>
      <c r="BR284" s="17" t="s">
        <v>198</v>
      </c>
      <c r="BS284" s="18">
        <v>45689.41546296296</v>
      </c>
      <c r="BT284" s="17" t="s">
        <v>198</v>
      </c>
      <c r="BU284" s="18">
        <v>45689.415555555555</v>
      </c>
      <c r="BV284" s="13" t="s">
        <v>199</v>
      </c>
      <c r="BW284" s="14" t="s">
        <v>179</v>
      </c>
      <c r="BX284" s="14" t="s">
        <v>8589</v>
      </c>
      <c r="BY284" s="14" t="s">
        <v>179</v>
      </c>
      <c r="BZ284" s="14" t="s">
        <v>8590</v>
      </c>
      <c r="CA284" s="14" t="s">
        <v>179</v>
      </c>
      <c r="CB284" s="14" t="s">
        <v>8591</v>
      </c>
      <c r="CC284" s="14" t="s">
        <v>179</v>
      </c>
      <c r="CD284" s="14" t="s">
        <v>8592</v>
      </c>
      <c r="CE284" s="15"/>
      <c r="CF284" s="15"/>
      <c r="CG284" s="19"/>
      <c r="CH284" s="15"/>
      <c r="CI284" s="19"/>
      <c r="CJ284" s="15"/>
      <c r="CK284" s="19"/>
      <c r="CL284" s="15"/>
      <c r="CM284" s="19"/>
      <c r="CN284" s="15"/>
      <c r="CO284" s="19"/>
      <c r="CP284" s="15"/>
      <c r="CQ284" s="15"/>
      <c r="CR284" s="15"/>
      <c r="CS284" s="19"/>
      <c r="CT284" s="15"/>
      <c r="CU284" s="19"/>
      <c r="CV284" s="15"/>
      <c r="CW284" s="19"/>
      <c r="CX284" s="15"/>
      <c r="CY284" s="19"/>
      <c r="CZ284" s="15"/>
      <c r="DA284" s="16" t="s">
        <v>197</v>
      </c>
      <c r="DB284" s="17" t="s">
        <v>198</v>
      </c>
      <c r="DC284" s="20">
        <v>45711.691087962965</v>
      </c>
      <c r="DD284" s="17" t="s">
        <v>198</v>
      </c>
      <c r="DE284" s="18">
        <v>45711.69113425926</v>
      </c>
      <c r="DF284" s="17" t="s">
        <v>198</v>
      </c>
      <c r="DG284" s="18">
        <v>45711.69113425926</v>
      </c>
      <c r="DH284" s="13" t="s">
        <v>205</v>
      </c>
      <c r="DI284" s="14" t="s">
        <v>179</v>
      </c>
      <c r="DJ284" s="14" t="s">
        <v>8593</v>
      </c>
      <c r="DK284" s="14" t="s">
        <v>179</v>
      </c>
      <c r="DL284" s="14" t="s">
        <v>8594</v>
      </c>
      <c r="DM284" s="14" t="s">
        <v>179</v>
      </c>
      <c r="DN284" s="14" t="s">
        <v>8595</v>
      </c>
      <c r="DO284" s="15"/>
      <c r="DP284" s="15"/>
      <c r="DQ284" s="15"/>
      <c r="DR284" s="15"/>
      <c r="DS284" s="15"/>
      <c r="DT284" s="15"/>
      <c r="DU284" s="15"/>
      <c r="DV284" s="15"/>
      <c r="DW284" s="15"/>
      <c r="DX284" s="15"/>
      <c r="DY284" s="15"/>
      <c r="DZ284" s="15"/>
      <c r="EA284" s="15"/>
      <c r="EB284" s="15"/>
      <c r="EC284" s="16" t="s">
        <v>197</v>
      </c>
      <c r="ED284" s="17" t="s">
        <v>198</v>
      </c>
      <c r="EE284" s="18">
        <v>45711.69121527778</v>
      </c>
      <c r="EF284" s="13" t="s">
        <v>209</v>
      </c>
      <c r="EG284" s="14" t="s">
        <v>179</v>
      </c>
      <c r="EH284" s="14" t="s">
        <v>8596</v>
      </c>
      <c r="EI284" s="14" t="s">
        <v>179</v>
      </c>
      <c r="EJ284" s="14" t="s">
        <v>8597</v>
      </c>
      <c r="EK284" s="14" t="s">
        <v>179</v>
      </c>
      <c r="EL284" s="14" t="s">
        <v>8598</v>
      </c>
      <c r="EM284" s="14" t="s">
        <v>179</v>
      </c>
      <c r="EN284" s="14" t="s">
        <v>8599</v>
      </c>
      <c r="EO284" s="15"/>
      <c r="EP284" s="15"/>
      <c r="EQ284" s="15"/>
      <c r="ER284" s="15"/>
      <c r="ES284" s="15"/>
      <c r="ET284" s="15"/>
      <c r="EU284" s="15"/>
      <c r="EV284" s="15"/>
      <c r="EW284" s="15"/>
      <c r="EX284" s="15"/>
      <c r="EY284" s="15"/>
      <c r="EZ284" s="15"/>
      <c r="FA284" s="15"/>
      <c r="FB284" s="15"/>
      <c r="FC284" s="16" t="s">
        <v>197</v>
      </c>
      <c r="FD284" s="17" t="s">
        <v>198</v>
      </c>
      <c r="FE284" s="18">
        <v>45711.69130787037</v>
      </c>
      <c r="FF284" s="19"/>
      <c r="FG284" s="19"/>
      <c r="FH284" s="21" t="s">
        <v>197</v>
      </c>
      <c r="FI284" s="17" t="s">
        <v>214</v>
      </c>
      <c r="FJ284" s="18">
        <v>45711.69130787037</v>
      </c>
      <c r="FK284" s="14" t="s">
        <v>8599</v>
      </c>
      <c r="FL284" s="14" t="s">
        <v>8600</v>
      </c>
      <c r="FM284" s="14" t="s">
        <v>8601</v>
      </c>
      <c r="FN284" s="19"/>
      <c r="FO284" s="19"/>
      <c r="FP284" s="19" t="str">
        <f t="shared" si="1"/>
        <v>Base de Dados_Images/DB8102.Imagem do Equipamento-.131231.jpg</v>
      </c>
      <c r="FQ284" s="19"/>
      <c r="FR284" s="19"/>
    </row>
    <row r="285" ht="15.75" customHeight="1">
      <c r="A285" s="12" t="s">
        <v>357</v>
      </c>
      <c r="B285" s="12" t="s">
        <v>8547</v>
      </c>
      <c r="C285" s="24" t="s">
        <v>8548</v>
      </c>
      <c r="D285" s="22" t="s">
        <v>8602</v>
      </c>
      <c r="E285" s="22" t="s">
        <v>8603</v>
      </c>
      <c r="F285" s="13" t="s">
        <v>178</v>
      </c>
      <c r="G285" s="14" t="s">
        <v>179</v>
      </c>
      <c r="H285" s="14" t="s">
        <v>8604</v>
      </c>
      <c r="I285" s="14" t="s">
        <v>179</v>
      </c>
      <c r="J285" s="14" t="s">
        <v>8604</v>
      </c>
      <c r="K285" s="14" t="s">
        <v>179</v>
      </c>
      <c r="L285" s="14" t="s">
        <v>8605</v>
      </c>
      <c r="M285" s="14" t="s">
        <v>179</v>
      </c>
      <c r="N285" s="14" t="s">
        <v>8606</v>
      </c>
      <c r="O285" s="14" t="s">
        <v>179</v>
      </c>
      <c r="P285" s="14" t="s">
        <v>8607</v>
      </c>
      <c r="Q285" s="14" t="s">
        <v>179</v>
      </c>
      <c r="R285" s="14" t="s">
        <v>8607</v>
      </c>
      <c r="S285" s="14" t="s">
        <v>179</v>
      </c>
      <c r="T285" s="14" t="s">
        <v>8608</v>
      </c>
      <c r="U285" s="14" t="s">
        <v>179</v>
      </c>
      <c r="V285" s="14" t="s">
        <v>8609</v>
      </c>
      <c r="W285" s="14" t="s">
        <v>179</v>
      </c>
      <c r="X285" s="14" t="s">
        <v>8610</v>
      </c>
      <c r="Y285" s="14" t="s">
        <v>179</v>
      </c>
      <c r="Z285" s="14" t="s">
        <v>8610</v>
      </c>
      <c r="AA285" s="14" t="s">
        <v>179</v>
      </c>
      <c r="AB285" s="14" t="s">
        <v>8611</v>
      </c>
      <c r="AC285" s="14" t="s">
        <v>179</v>
      </c>
      <c r="AD285" s="14" t="s">
        <v>8612</v>
      </c>
      <c r="AE285" s="14" t="s">
        <v>179</v>
      </c>
      <c r="AF285" s="14" t="s">
        <v>8613</v>
      </c>
      <c r="AG285" s="14" t="s">
        <v>179</v>
      </c>
      <c r="AH285" s="14" t="s">
        <v>8613</v>
      </c>
      <c r="AI285" s="14" t="s">
        <v>179</v>
      </c>
      <c r="AJ285" s="14" t="s">
        <v>8614</v>
      </c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6" t="s">
        <v>197</v>
      </c>
      <c r="BP285" s="17" t="s">
        <v>198</v>
      </c>
      <c r="BQ285" s="18">
        <v>45689.41658564815</v>
      </c>
      <c r="BR285" s="17" t="s">
        <v>198</v>
      </c>
      <c r="BS285" s="18">
        <v>45689.416238425925</v>
      </c>
      <c r="BT285" s="17" t="s">
        <v>198</v>
      </c>
      <c r="BU285" s="18">
        <v>45689.41658564815</v>
      </c>
      <c r="BV285" s="13" t="s">
        <v>199</v>
      </c>
      <c r="BW285" s="14" t="s">
        <v>179</v>
      </c>
      <c r="BX285" s="14" t="s">
        <v>8615</v>
      </c>
      <c r="BY285" s="14" t="s">
        <v>179</v>
      </c>
      <c r="BZ285" s="14" t="s">
        <v>8616</v>
      </c>
      <c r="CA285" s="14" t="s">
        <v>179</v>
      </c>
      <c r="CB285" s="14" t="s">
        <v>8617</v>
      </c>
      <c r="CC285" s="14" t="s">
        <v>179</v>
      </c>
      <c r="CD285" s="14" t="s">
        <v>8618</v>
      </c>
      <c r="CE285" s="15"/>
      <c r="CF285" s="15"/>
      <c r="CG285" s="19"/>
      <c r="CH285" s="15"/>
      <c r="CI285" s="19"/>
      <c r="CJ285" s="15"/>
      <c r="CK285" s="19"/>
      <c r="CL285" s="15"/>
      <c r="CM285" s="19"/>
      <c r="CN285" s="15"/>
      <c r="CO285" s="19"/>
      <c r="CP285" s="15"/>
      <c r="CQ285" s="15"/>
      <c r="CR285" s="15"/>
      <c r="CS285" s="19"/>
      <c r="CT285" s="15"/>
      <c r="CU285" s="19"/>
      <c r="CV285" s="15"/>
      <c r="CW285" s="19"/>
      <c r="CX285" s="15"/>
      <c r="CY285" s="19"/>
      <c r="CZ285" s="15"/>
      <c r="DA285" s="16" t="s">
        <v>197</v>
      </c>
      <c r="DB285" s="17" t="s">
        <v>198</v>
      </c>
      <c r="DC285" s="20">
        <v>45711.691412037035</v>
      </c>
      <c r="DD285" s="17" t="s">
        <v>198</v>
      </c>
      <c r="DE285" s="18">
        <v>45711.69144675926</v>
      </c>
      <c r="DF285" s="17" t="s">
        <v>198</v>
      </c>
      <c r="DG285" s="18">
        <v>45711.69144675926</v>
      </c>
      <c r="DH285" s="13" t="s">
        <v>205</v>
      </c>
      <c r="DI285" s="14" t="s">
        <v>179</v>
      </c>
      <c r="DJ285" s="14" t="s">
        <v>8619</v>
      </c>
      <c r="DK285" s="14" t="s">
        <v>179</v>
      </c>
      <c r="DL285" s="14" t="s">
        <v>8620</v>
      </c>
      <c r="DM285" s="14" t="s">
        <v>179</v>
      </c>
      <c r="DN285" s="14" t="s">
        <v>8621</v>
      </c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6" t="s">
        <v>197</v>
      </c>
      <c r="ED285" s="17" t="s">
        <v>198</v>
      </c>
      <c r="EE285" s="18">
        <v>45711.69153935185</v>
      </c>
      <c r="EF285" s="13" t="s">
        <v>209</v>
      </c>
      <c r="EG285" s="14" t="s">
        <v>179</v>
      </c>
      <c r="EH285" s="14" t="s">
        <v>8622</v>
      </c>
      <c r="EI285" s="14" t="s">
        <v>179</v>
      </c>
      <c r="EJ285" s="14" t="s">
        <v>8623</v>
      </c>
      <c r="EK285" s="14" t="s">
        <v>179</v>
      </c>
      <c r="EL285" s="14" t="s">
        <v>8624</v>
      </c>
      <c r="EM285" s="14" t="s">
        <v>179</v>
      </c>
      <c r="EN285" s="14" t="s">
        <v>8625</v>
      </c>
      <c r="EO285" s="15"/>
      <c r="EP285" s="15"/>
      <c r="EQ285" s="15"/>
      <c r="ER285" s="15"/>
      <c r="ES285" s="15"/>
      <c r="ET285" s="15"/>
      <c r="EU285" s="15"/>
      <c r="EV285" s="15"/>
      <c r="EW285" s="15"/>
      <c r="EX285" s="15"/>
      <c r="EY285" s="15"/>
      <c r="EZ285" s="15"/>
      <c r="FA285" s="15"/>
      <c r="FB285" s="15"/>
      <c r="FC285" s="16" t="s">
        <v>197</v>
      </c>
      <c r="FD285" s="17" t="s">
        <v>198</v>
      </c>
      <c r="FE285" s="18">
        <v>45711.69163194444</v>
      </c>
      <c r="FF285" s="19"/>
      <c r="FG285" s="19"/>
      <c r="FH285" s="21" t="s">
        <v>197</v>
      </c>
      <c r="FI285" s="17" t="s">
        <v>214</v>
      </c>
      <c r="FJ285" s="18">
        <v>45711.69163194444</v>
      </c>
      <c r="FK285" s="14" t="s">
        <v>8625</v>
      </c>
      <c r="FL285" s="14" t="s">
        <v>8626</v>
      </c>
      <c r="FM285" s="14" t="s">
        <v>8627</v>
      </c>
      <c r="FN285" s="19"/>
      <c r="FO285" s="19"/>
      <c r="FP285" s="19" t="str">
        <f t="shared" si="1"/>
        <v>Base de Dados_Images/DB8103.Imagem do Equipamento-.131620.jpg</v>
      </c>
      <c r="FQ285" s="19"/>
      <c r="FR285" s="19"/>
    </row>
    <row r="286" ht="15.75" customHeight="1">
      <c r="A286" s="12" t="s">
        <v>357</v>
      </c>
      <c r="B286" s="12" t="s">
        <v>8547</v>
      </c>
      <c r="C286" s="24" t="s">
        <v>8548</v>
      </c>
      <c r="D286" s="22" t="s">
        <v>8628</v>
      </c>
      <c r="E286" s="22" t="s">
        <v>8629</v>
      </c>
      <c r="F286" s="13" t="s">
        <v>178</v>
      </c>
      <c r="G286" s="14" t="s">
        <v>179</v>
      </c>
      <c r="H286" s="14" t="s">
        <v>8630</v>
      </c>
      <c r="I286" s="14" t="s">
        <v>179</v>
      </c>
      <c r="J286" s="14" t="s">
        <v>8631</v>
      </c>
      <c r="K286" s="14" t="s">
        <v>179</v>
      </c>
      <c r="L286" s="14" t="s">
        <v>8632</v>
      </c>
      <c r="M286" s="14" t="s">
        <v>179</v>
      </c>
      <c r="N286" s="14" t="s">
        <v>8632</v>
      </c>
      <c r="O286" s="14" t="s">
        <v>179</v>
      </c>
      <c r="P286" s="14" t="s">
        <v>8633</v>
      </c>
      <c r="Q286" s="14" t="s">
        <v>179</v>
      </c>
      <c r="R286" s="14" t="s">
        <v>8634</v>
      </c>
      <c r="S286" s="14" t="s">
        <v>179</v>
      </c>
      <c r="T286" s="14" t="s">
        <v>8635</v>
      </c>
      <c r="U286" s="14" t="s">
        <v>179</v>
      </c>
      <c r="V286" s="14" t="s">
        <v>8636</v>
      </c>
      <c r="W286" s="14" t="s">
        <v>179</v>
      </c>
      <c r="X286" s="14" t="s">
        <v>8637</v>
      </c>
      <c r="Y286" s="14" t="s">
        <v>179</v>
      </c>
      <c r="Z286" s="14" t="s">
        <v>8637</v>
      </c>
      <c r="AA286" s="14" t="s">
        <v>179</v>
      </c>
      <c r="AB286" s="14" t="s">
        <v>8638</v>
      </c>
      <c r="AC286" s="14" t="s">
        <v>179</v>
      </c>
      <c r="AD286" s="14" t="s">
        <v>8639</v>
      </c>
      <c r="AE286" s="14" t="s">
        <v>179</v>
      </c>
      <c r="AF286" s="14" t="s">
        <v>8640</v>
      </c>
      <c r="AG286" s="14" t="s">
        <v>179</v>
      </c>
      <c r="AH286" s="14" t="s">
        <v>8640</v>
      </c>
      <c r="AI286" s="14" t="s">
        <v>179</v>
      </c>
      <c r="AJ286" s="14" t="s">
        <v>8641</v>
      </c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6" t="s">
        <v>197</v>
      </c>
      <c r="BP286" s="17" t="s">
        <v>198</v>
      </c>
      <c r="BQ286" s="18">
        <v>45689.41753472222</v>
      </c>
      <c r="BR286" s="17" t="s">
        <v>198</v>
      </c>
      <c r="BS286" s="18">
        <v>45689.41743055556</v>
      </c>
      <c r="BT286" s="17" t="s">
        <v>198</v>
      </c>
      <c r="BU286" s="18">
        <v>45689.41753472222</v>
      </c>
      <c r="BV286" s="13" t="s">
        <v>199</v>
      </c>
      <c r="BW286" s="14" t="s">
        <v>179</v>
      </c>
      <c r="BX286" s="14" t="s">
        <v>8642</v>
      </c>
      <c r="BY286" s="14" t="s">
        <v>179</v>
      </c>
      <c r="BZ286" s="14" t="s">
        <v>8643</v>
      </c>
      <c r="CA286" s="14" t="s">
        <v>179</v>
      </c>
      <c r="CB286" s="14" t="s">
        <v>8644</v>
      </c>
      <c r="CC286" s="14" t="s">
        <v>179</v>
      </c>
      <c r="CD286" s="14" t="s">
        <v>8645</v>
      </c>
      <c r="CE286" s="15"/>
      <c r="CF286" s="15"/>
      <c r="CG286" s="19"/>
      <c r="CH286" s="15"/>
      <c r="CI286" s="19"/>
      <c r="CJ286" s="15"/>
      <c r="CK286" s="19"/>
      <c r="CL286" s="15"/>
      <c r="CM286" s="19"/>
      <c r="CN286" s="15"/>
      <c r="CO286" s="19"/>
      <c r="CP286" s="15"/>
      <c r="CQ286" s="15"/>
      <c r="CR286" s="15"/>
      <c r="CS286" s="19"/>
      <c r="CT286" s="15"/>
      <c r="CU286" s="19"/>
      <c r="CV286" s="15"/>
      <c r="CW286" s="19"/>
      <c r="CX286" s="15"/>
      <c r="CY286" s="19"/>
      <c r="CZ286" s="15"/>
      <c r="DA286" s="16" t="s">
        <v>197</v>
      </c>
      <c r="DB286" s="17" t="s">
        <v>198</v>
      </c>
      <c r="DC286" s="20">
        <v>45711.69175925926</v>
      </c>
      <c r="DD286" s="17" t="s">
        <v>198</v>
      </c>
      <c r="DE286" s="18">
        <v>45711.69181712963</v>
      </c>
      <c r="DF286" s="17" t="s">
        <v>198</v>
      </c>
      <c r="DG286" s="18">
        <v>45711.69181712963</v>
      </c>
      <c r="DH286" s="13" t="s">
        <v>205</v>
      </c>
      <c r="DI286" s="14" t="s">
        <v>179</v>
      </c>
      <c r="DJ286" s="14" t="s">
        <v>8646</v>
      </c>
      <c r="DK286" s="14" t="s">
        <v>179</v>
      </c>
      <c r="DL286" s="14" t="s">
        <v>8647</v>
      </c>
      <c r="DM286" s="14" t="s">
        <v>179</v>
      </c>
      <c r="DN286" s="14" t="s">
        <v>8648</v>
      </c>
      <c r="DO286" s="15"/>
      <c r="DP286" s="15"/>
      <c r="DQ286" s="15"/>
      <c r="DR286" s="15"/>
      <c r="DS286" s="15"/>
      <c r="DT286" s="15"/>
      <c r="DU286" s="15"/>
      <c r="DV286" s="15"/>
      <c r="DW286" s="15"/>
      <c r="DX286" s="15"/>
      <c r="DY286" s="15"/>
      <c r="DZ286" s="15"/>
      <c r="EA286" s="15"/>
      <c r="EB286" s="15"/>
      <c r="EC286" s="16" t="s">
        <v>197</v>
      </c>
      <c r="ED286" s="17" t="s">
        <v>198</v>
      </c>
      <c r="EE286" s="18">
        <v>45711.69190972222</v>
      </c>
      <c r="EF286" s="13" t="s">
        <v>209</v>
      </c>
      <c r="EG286" s="14" t="s">
        <v>179</v>
      </c>
      <c r="EH286" s="14" t="s">
        <v>8649</v>
      </c>
      <c r="EI286" s="14" t="s">
        <v>179</v>
      </c>
      <c r="EJ286" s="14" t="s">
        <v>8650</v>
      </c>
      <c r="EK286" s="14" t="s">
        <v>179</v>
      </c>
      <c r="EL286" s="14" t="s">
        <v>8651</v>
      </c>
      <c r="EM286" s="14" t="s">
        <v>179</v>
      </c>
      <c r="EN286" s="14" t="s">
        <v>8652</v>
      </c>
      <c r="EO286" s="15"/>
      <c r="EP286" s="15"/>
      <c r="EQ286" s="15"/>
      <c r="ER286" s="15"/>
      <c r="ES286" s="15"/>
      <c r="ET286" s="15"/>
      <c r="EU286" s="15"/>
      <c r="EV286" s="15"/>
      <c r="EW286" s="15"/>
      <c r="EX286" s="15"/>
      <c r="EY286" s="15"/>
      <c r="EZ286" s="15"/>
      <c r="FA286" s="15"/>
      <c r="FB286" s="15"/>
      <c r="FC286" s="16" t="s">
        <v>197</v>
      </c>
      <c r="FD286" s="17" t="s">
        <v>198</v>
      </c>
      <c r="FE286" s="18">
        <v>45711.692037037035</v>
      </c>
      <c r="FF286" s="19"/>
      <c r="FG286" s="19"/>
      <c r="FH286" s="21" t="s">
        <v>197</v>
      </c>
      <c r="FI286" s="17" t="s">
        <v>214</v>
      </c>
      <c r="FJ286" s="18">
        <v>45711.692037037035</v>
      </c>
      <c r="FK286" s="14" t="s">
        <v>8652</v>
      </c>
      <c r="FL286" s="14" t="s">
        <v>8653</v>
      </c>
      <c r="FM286" s="14" t="s">
        <v>8654</v>
      </c>
      <c r="FN286" s="19"/>
      <c r="FO286" s="19"/>
      <c r="FP286" s="19" t="str">
        <f t="shared" si="1"/>
        <v>Base de Dados_Images/DB8104.Imagem do Equipamento-.131721.jpg</v>
      </c>
      <c r="FQ286" s="19"/>
      <c r="FR286" s="19"/>
    </row>
    <row r="287" ht="15.75" customHeight="1">
      <c r="A287" s="12" t="s">
        <v>357</v>
      </c>
      <c r="B287" s="12" t="s">
        <v>8547</v>
      </c>
      <c r="C287" s="24" t="s">
        <v>8548</v>
      </c>
      <c r="D287" s="22" t="s">
        <v>8655</v>
      </c>
      <c r="E287" s="22" t="s">
        <v>8656</v>
      </c>
      <c r="F287" s="13" t="s">
        <v>178</v>
      </c>
      <c r="G287" s="14" t="s">
        <v>179</v>
      </c>
      <c r="H287" s="14" t="s">
        <v>8657</v>
      </c>
      <c r="I287" s="14" t="s">
        <v>179</v>
      </c>
      <c r="J287" s="14" t="s">
        <v>8658</v>
      </c>
      <c r="K287" s="14" t="s">
        <v>179</v>
      </c>
      <c r="L287" s="14" t="s">
        <v>8658</v>
      </c>
      <c r="M287" s="14" t="s">
        <v>179</v>
      </c>
      <c r="N287" s="14" t="s">
        <v>8659</v>
      </c>
      <c r="O287" s="14" t="s">
        <v>179</v>
      </c>
      <c r="P287" s="14" t="s">
        <v>8659</v>
      </c>
      <c r="Q287" s="14" t="s">
        <v>179</v>
      </c>
      <c r="R287" s="14" t="s">
        <v>8660</v>
      </c>
      <c r="S287" s="14" t="s">
        <v>179</v>
      </c>
      <c r="T287" s="14" t="s">
        <v>8661</v>
      </c>
      <c r="U287" s="14" t="s">
        <v>179</v>
      </c>
      <c r="V287" s="14" t="s">
        <v>8662</v>
      </c>
      <c r="W287" s="14" t="s">
        <v>179</v>
      </c>
      <c r="X287" s="14" t="s">
        <v>8663</v>
      </c>
      <c r="Y287" s="14" t="s">
        <v>179</v>
      </c>
      <c r="Z287" s="14" t="s">
        <v>8664</v>
      </c>
      <c r="AA287" s="14" t="s">
        <v>179</v>
      </c>
      <c r="AB287" s="14" t="s">
        <v>8664</v>
      </c>
      <c r="AC287" s="14" t="s">
        <v>179</v>
      </c>
      <c r="AD287" s="14" t="s">
        <v>8665</v>
      </c>
      <c r="AE287" s="14" t="s">
        <v>179</v>
      </c>
      <c r="AF287" s="14" t="s">
        <v>8665</v>
      </c>
      <c r="AG287" s="14" t="s">
        <v>179</v>
      </c>
      <c r="AH287" s="14" t="s">
        <v>8666</v>
      </c>
      <c r="AI287" s="14" t="s">
        <v>179</v>
      </c>
      <c r="AJ287" s="14" t="s">
        <v>8666</v>
      </c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6" t="s">
        <v>197</v>
      </c>
      <c r="BP287" s="17" t="s">
        <v>198</v>
      </c>
      <c r="BQ287" s="18">
        <v>45689.41829861111</v>
      </c>
      <c r="BR287" s="17" t="s">
        <v>198</v>
      </c>
      <c r="BS287" s="18">
        <v>45689.41815972222</v>
      </c>
      <c r="BT287" s="17" t="s">
        <v>198</v>
      </c>
      <c r="BU287" s="18">
        <v>45689.41829861111</v>
      </c>
      <c r="BV287" s="13" t="s">
        <v>199</v>
      </c>
      <c r="BW287" s="14" t="s">
        <v>179</v>
      </c>
      <c r="BX287" s="14" t="s">
        <v>8667</v>
      </c>
      <c r="BY287" s="14" t="s">
        <v>179</v>
      </c>
      <c r="BZ287" s="14" t="s">
        <v>8668</v>
      </c>
      <c r="CA287" s="14" t="s">
        <v>179</v>
      </c>
      <c r="CB287" s="14" t="s">
        <v>8669</v>
      </c>
      <c r="CC287" s="14" t="s">
        <v>179</v>
      </c>
      <c r="CD287" s="14" t="s">
        <v>8670</v>
      </c>
      <c r="CE287" s="15"/>
      <c r="CF287" s="15"/>
      <c r="CG287" s="19"/>
      <c r="CH287" s="15"/>
      <c r="CI287" s="19"/>
      <c r="CJ287" s="15"/>
      <c r="CK287" s="19"/>
      <c r="CL287" s="15"/>
      <c r="CM287" s="19"/>
      <c r="CN287" s="15"/>
      <c r="CO287" s="19"/>
      <c r="CP287" s="15"/>
      <c r="CQ287" s="15"/>
      <c r="CR287" s="15"/>
      <c r="CS287" s="19"/>
      <c r="CT287" s="15"/>
      <c r="CU287" s="19"/>
      <c r="CV287" s="15"/>
      <c r="CW287" s="19"/>
      <c r="CX287" s="15"/>
      <c r="CY287" s="19"/>
      <c r="CZ287" s="15"/>
      <c r="DA287" s="16" t="s">
        <v>197</v>
      </c>
      <c r="DB287" s="17" t="s">
        <v>198</v>
      </c>
      <c r="DC287" s="20">
        <v>45711.69230324074</v>
      </c>
      <c r="DD287" s="17" t="s">
        <v>198</v>
      </c>
      <c r="DE287" s="18">
        <v>45711.69236111111</v>
      </c>
      <c r="DF287" s="17" t="s">
        <v>198</v>
      </c>
      <c r="DG287" s="18">
        <v>45711.69236111111</v>
      </c>
      <c r="DH287" s="13" t="s">
        <v>205</v>
      </c>
      <c r="DI287" s="14" t="s">
        <v>179</v>
      </c>
      <c r="DJ287" s="14" t="s">
        <v>8671</v>
      </c>
      <c r="DK287" s="14" t="s">
        <v>179</v>
      </c>
      <c r="DL287" s="14" t="s">
        <v>8672</v>
      </c>
      <c r="DM287" s="14" t="s">
        <v>179</v>
      </c>
      <c r="DN287" s="14" t="s">
        <v>8673</v>
      </c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6" t="s">
        <v>197</v>
      </c>
      <c r="ED287" s="17" t="s">
        <v>198</v>
      </c>
      <c r="EE287" s="18">
        <v>45711.69244212963</v>
      </c>
      <c r="EF287" s="13" t="s">
        <v>209</v>
      </c>
      <c r="EG287" s="14" t="s">
        <v>179</v>
      </c>
      <c r="EH287" s="14" t="s">
        <v>8674</v>
      </c>
      <c r="EI287" s="14" t="s">
        <v>179</v>
      </c>
      <c r="EJ287" s="14" t="s">
        <v>8675</v>
      </c>
      <c r="EK287" s="14" t="s">
        <v>179</v>
      </c>
      <c r="EL287" s="14" t="s">
        <v>8676</v>
      </c>
      <c r="EM287" s="14" t="s">
        <v>179</v>
      </c>
      <c r="EN287" s="14" t="s">
        <v>8677</v>
      </c>
      <c r="EO287" s="15"/>
      <c r="EP287" s="15"/>
      <c r="EQ287" s="15"/>
      <c r="ER287" s="15"/>
      <c r="ES287" s="15"/>
      <c r="ET287" s="15"/>
      <c r="EU287" s="15"/>
      <c r="EV287" s="15"/>
      <c r="EW287" s="15"/>
      <c r="EX287" s="15"/>
      <c r="EY287" s="15"/>
      <c r="EZ287" s="15"/>
      <c r="FA287" s="15"/>
      <c r="FB287" s="15"/>
      <c r="FC287" s="16" t="s">
        <v>197</v>
      </c>
      <c r="FD287" s="17" t="s">
        <v>198</v>
      </c>
      <c r="FE287" s="18">
        <v>45711.692557870374</v>
      </c>
      <c r="FF287" s="19"/>
      <c r="FG287" s="19"/>
      <c r="FH287" s="21" t="s">
        <v>197</v>
      </c>
      <c r="FI287" s="17" t="s">
        <v>214</v>
      </c>
      <c r="FJ287" s="18">
        <v>45711.692557870374</v>
      </c>
      <c r="FK287" s="14" t="s">
        <v>8677</v>
      </c>
      <c r="FL287" s="14" t="s">
        <v>8678</v>
      </c>
      <c r="FM287" s="14" t="s">
        <v>8679</v>
      </c>
      <c r="FN287" s="19"/>
      <c r="FO287" s="19"/>
      <c r="FP287" s="19" t="str">
        <f t="shared" si="1"/>
        <v>Base de Dados_Images/DB8105.Imagem do Equipamento-.131824.jpg</v>
      </c>
      <c r="FQ287" s="19"/>
      <c r="FR287" s="19"/>
    </row>
    <row r="288" ht="15.75" customHeight="1">
      <c r="A288" s="12" t="s">
        <v>217</v>
      </c>
      <c r="B288" s="12" t="s">
        <v>7566</v>
      </c>
      <c r="C288" s="12" t="s">
        <v>219</v>
      </c>
      <c r="D288" s="22" t="s">
        <v>8680</v>
      </c>
      <c r="E288" s="22" t="s">
        <v>8681</v>
      </c>
      <c r="F288" s="13" t="s">
        <v>178</v>
      </c>
      <c r="G288" s="14" t="s">
        <v>179</v>
      </c>
      <c r="H288" s="14" t="s">
        <v>8682</v>
      </c>
      <c r="I288" s="14" t="s">
        <v>179</v>
      </c>
      <c r="J288" s="14" t="s">
        <v>8683</v>
      </c>
      <c r="K288" s="14" t="s">
        <v>179</v>
      </c>
      <c r="L288" s="14" t="s">
        <v>8684</v>
      </c>
      <c r="M288" s="14" t="s">
        <v>179</v>
      </c>
      <c r="N288" s="14" t="s">
        <v>8685</v>
      </c>
      <c r="O288" s="14" t="s">
        <v>179</v>
      </c>
      <c r="P288" s="14" t="s">
        <v>8686</v>
      </c>
      <c r="Q288" s="14" t="s">
        <v>179</v>
      </c>
      <c r="R288" s="14" t="s">
        <v>8687</v>
      </c>
      <c r="S288" s="14" t="s">
        <v>179</v>
      </c>
      <c r="T288" s="14" t="s">
        <v>8687</v>
      </c>
      <c r="U288" s="14" t="s">
        <v>179</v>
      </c>
      <c r="V288" s="14" t="s">
        <v>8688</v>
      </c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6" t="s">
        <v>197</v>
      </c>
      <c r="BP288" s="17" t="s">
        <v>228</v>
      </c>
      <c r="BQ288" s="23"/>
      <c r="BR288" s="17" t="s">
        <v>198</v>
      </c>
      <c r="BS288" s="18">
        <v>45705.398125</v>
      </c>
      <c r="BT288" s="17" t="s">
        <v>198</v>
      </c>
      <c r="BU288" s="18">
        <v>45705.398125</v>
      </c>
      <c r="BV288" s="13" t="s">
        <v>199</v>
      </c>
      <c r="BW288" s="14" t="s">
        <v>179</v>
      </c>
      <c r="BX288" s="14" t="s">
        <v>8689</v>
      </c>
      <c r="BY288" s="14" t="s">
        <v>179</v>
      </c>
      <c r="BZ288" s="14" t="s">
        <v>8690</v>
      </c>
      <c r="CA288" s="15"/>
      <c r="CB288" s="15"/>
      <c r="CC288" s="15"/>
      <c r="CD288" s="15"/>
      <c r="CE288" s="15"/>
      <c r="CF288" s="15"/>
      <c r="CG288" s="19"/>
      <c r="CH288" s="15"/>
      <c r="CI288" s="19"/>
      <c r="CJ288" s="15"/>
      <c r="CK288" s="19"/>
      <c r="CL288" s="15"/>
      <c r="CM288" s="19"/>
      <c r="CN288" s="15"/>
      <c r="CO288" s="19"/>
      <c r="CP288" s="15"/>
      <c r="CQ288" s="15"/>
      <c r="CR288" s="15"/>
      <c r="CS288" s="19"/>
      <c r="CT288" s="15"/>
      <c r="CU288" s="19"/>
      <c r="CV288" s="15"/>
      <c r="CW288" s="19"/>
      <c r="CX288" s="15"/>
      <c r="CY288" s="19"/>
      <c r="CZ288" s="15"/>
      <c r="DA288" s="16" t="s">
        <v>197</v>
      </c>
      <c r="DB288" s="17" t="s">
        <v>228</v>
      </c>
      <c r="DC288" s="16"/>
      <c r="DD288" s="17" t="s">
        <v>198</v>
      </c>
      <c r="DE288" s="18">
        <v>45705.398252314815</v>
      </c>
      <c r="DF288" s="17" t="s">
        <v>198</v>
      </c>
      <c r="DG288" s="18">
        <v>45705.398252314815</v>
      </c>
      <c r="DH288" s="13" t="s">
        <v>205</v>
      </c>
      <c r="DI288" s="14" t="s">
        <v>179</v>
      </c>
      <c r="DJ288" s="14" t="s">
        <v>8691</v>
      </c>
      <c r="DK288" s="15"/>
      <c r="DL288" s="15"/>
      <c r="DM288" s="15"/>
      <c r="DN288" s="15"/>
      <c r="DO288" s="15"/>
      <c r="DP288" s="15"/>
      <c r="DQ288" s="15"/>
      <c r="DR288" s="15"/>
      <c r="DS288" s="15"/>
      <c r="DT288" s="15"/>
      <c r="DU288" s="15"/>
      <c r="DV288" s="15"/>
      <c r="DW288" s="15"/>
      <c r="DX288" s="15"/>
      <c r="DY288" s="15"/>
      <c r="DZ288" s="15"/>
      <c r="EA288" s="15"/>
      <c r="EB288" s="15"/>
      <c r="EC288" s="16" t="s">
        <v>197</v>
      </c>
      <c r="ED288" s="17" t="s">
        <v>198</v>
      </c>
      <c r="EE288" s="18">
        <v>45708.43369212963</v>
      </c>
      <c r="EF288" s="13" t="s">
        <v>209</v>
      </c>
      <c r="EG288" s="14" t="s">
        <v>179</v>
      </c>
      <c r="EH288" s="14" t="s">
        <v>8692</v>
      </c>
      <c r="EI288" s="15"/>
      <c r="EJ288" s="15"/>
      <c r="EK288" s="15"/>
      <c r="EL288" s="15"/>
      <c r="EM288" s="15"/>
      <c r="EN288" s="15"/>
      <c r="EO288" s="15"/>
      <c r="EP288" s="15"/>
      <c r="EQ288" s="15"/>
      <c r="ER288" s="15"/>
      <c r="ES288" s="15"/>
      <c r="ET288" s="15"/>
      <c r="EU288" s="15"/>
      <c r="EV288" s="15"/>
      <c r="EW288" s="15"/>
      <c r="EX288" s="15"/>
      <c r="EY288" s="15"/>
      <c r="EZ288" s="15"/>
      <c r="FA288" s="15"/>
      <c r="FB288" s="15"/>
      <c r="FC288" s="16" t="s">
        <v>197</v>
      </c>
      <c r="FD288" s="17" t="s">
        <v>198</v>
      </c>
      <c r="FE288" s="18">
        <v>45723.34290509259</v>
      </c>
      <c r="FF288" s="19"/>
      <c r="FG288" s="19"/>
      <c r="FH288" s="21" t="s">
        <v>197</v>
      </c>
      <c r="FI288" s="17" t="s">
        <v>214</v>
      </c>
      <c r="FJ288" s="18">
        <v>45723.34290509259</v>
      </c>
      <c r="FK288" s="14" t="s">
        <v>8692</v>
      </c>
      <c r="FL288" s="19"/>
      <c r="FM288" s="19"/>
      <c r="FN288" s="19"/>
      <c r="FO288" s="19"/>
      <c r="FP288" s="19" t="str">
        <f t="shared" si="1"/>
        <v/>
      </c>
      <c r="FQ288" s="14" t="s">
        <v>215</v>
      </c>
      <c r="FR288" s="14" t="s">
        <v>8693</v>
      </c>
    </row>
    <row r="289" ht="15.75" customHeight="1">
      <c r="A289" s="12" t="s">
        <v>217</v>
      </c>
      <c r="B289" s="12" t="s">
        <v>7566</v>
      </c>
      <c r="C289" s="12" t="s">
        <v>219</v>
      </c>
      <c r="D289" s="22" t="s">
        <v>8694</v>
      </c>
      <c r="E289" s="22" t="s">
        <v>8695</v>
      </c>
      <c r="F289" s="13" t="s">
        <v>178</v>
      </c>
      <c r="G289" s="14" t="s">
        <v>179</v>
      </c>
      <c r="H289" s="14" t="s">
        <v>8696</v>
      </c>
      <c r="I289" s="14" t="s">
        <v>179</v>
      </c>
      <c r="J289" s="14" t="s">
        <v>8697</v>
      </c>
      <c r="K289" s="14" t="s">
        <v>179</v>
      </c>
      <c r="L289" s="14" t="s">
        <v>8698</v>
      </c>
      <c r="M289" s="14" t="s">
        <v>179</v>
      </c>
      <c r="N289" s="14" t="s">
        <v>8699</v>
      </c>
      <c r="O289" s="14" t="s">
        <v>179</v>
      </c>
      <c r="P289" s="14" t="s">
        <v>8700</v>
      </c>
      <c r="Q289" s="14" t="s">
        <v>179</v>
      </c>
      <c r="R289" s="14" t="s">
        <v>8701</v>
      </c>
      <c r="S289" s="14" t="s">
        <v>179</v>
      </c>
      <c r="T289" s="14" t="s">
        <v>8702</v>
      </c>
      <c r="U289" s="14" t="s">
        <v>179</v>
      </c>
      <c r="V289" s="14" t="s">
        <v>8703</v>
      </c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6" t="s">
        <v>197</v>
      </c>
      <c r="BP289" s="17" t="s">
        <v>228</v>
      </c>
      <c r="BQ289" s="23"/>
      <c r="BR289" s="17" t="s">
        <v>198</v>
      </c>
      <c r="BS289" s="18">
        <v>45699.46780092592</v>
      </c>
      <c r="BT289" s="17" t="s">
        <v>198</v>
      </c>
      <c r="BU289" s="18">
        <v>45699.46780092592</v>
      </c>
      <c r="BV289" s="13" t="s">
        <v>199</v>
      </c>
      <c r="BW289" s="14" t="s">
        <v>179</v>
      </c>
      <c r="BX289" s="14" t="s">
        <v>8704</v>
      </c>
      <c r="BY289" s="14" t="s">
        <v>179</v>
      </c>
      <c r="BZ289" s="14" t="s">
        <v>8705</v>
      </c>
      <c r="CA289" s="15"/>
      <c r="CB289" s="15"/>
      <c r="CC289" s="15"/>
      <c r="CD289" s="15"/>
      <c r="CE289" s="15"/>
      <c r="CF289" s="15"/>
      <c r="CG289" s="19"/>
      <c r="CH289" s="15"/>
      <c r="CI289" s="19"/>
      <c r="CJ289" s="15"/>
      <c r="CK289" s="19"/>
      <c r="CL289" s="15"/>
      <c r="CM289" s="19"/>
      <c r="CN289" s="15"/>
      <c r="CO289" s="19"/>
      <c r="CP289" s="15"/>
      <c r="CQ289" s="15"/>
      <c r="CR289" s="15"/>
      <c r="CS289" s="19"/>
      <c r="CT289" s="15"/>
      <c r="CU289" s="19"/>
      <c r="CV289" s="15"/>
      <c r="CW289" s="19"/>
      <c r="CX289" s="15"/>
      <c r="CY289" s="19"/>
      <c r="CZ289" s="15"/>
      <c r="DA289" s="16" t="s">
        <v>197</v>
      </c>
      <c r="DB289" s="17" t="s">
        <v>228</v>
      </c>
      <c r="DC289" s="16"/>
      <c r="DD289" s="17" t="s">
        <v>198</v>
      </c>
      <c r="DE289" s="18">
        <v>45708.42989583333</v>
      </c>
      <c r="DF289" s="17" t="s">
        <v>198</v>
      </c>
      <c r="DG289" s="18">
        <v>45708.42989583333</v>
      </c>
      <c r="DH289" s="13" t="s">
        <v>205</v>
      </c>
      <c r="DI289" s="14" t="s">
        <v>179</v>
      </c>
      <c r="DJ289" s="14" t="s">
        <v>8706</v>
      </c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6" t="s">
        <v>197</v>
      </c>
      <c r="ED289" s="17" t="s">
        <v>198</v>
      </c>
      <c r="EE289" s="18">
        <v>45708.42994212963</v>
      </c>
      <c r="EF289" s="13" t="s">
        <v>209</v>
      </c>
      <c r="EG289" s="14" t="s">
        <v>179</v>
      </c>
      <c r="EH289" s="14" t="s">
        <v>8707</v>
      </c>
      <c r="EI289" s="15"/>
      <c r="EJ289" s="15"/>
      <c r="EK289" s="15"/>
      <c r="EL289" s="15"/>
      <c r="EM289" s="15"/>
      <c r="EN289" s="15"/>
      <c r="EO289" s="15"/>
      <c r="EP289" s="15"/>
      <c r="EQ289" s="15"/>
      <c r="ER289" s="15"/>
      <c r="ES289" s="15"/>
      <c r="ET289" s="15"/>
      <c r="EU289" s="15"/>
      <c r="EV289" s="15"/>
      <c r="EW289" s="15"/>
      <c r="EX289" s="15"/>
      <c r="EY289" s="15"/>
      <c r="EZ289" s="15"/>
      <c r="FA289" s="15"/>
      <c r="FB289" s="15"/>
      <c r="FC289" s="16" t="s">
        <v>197</v>
      </c>
      <c r="FD289" s="17" t="s">
        <v>198</v>
      </c>
      <c r="FE289" s="18">
        <v>45723.34296296296</v>
      </c>
      <c r="FF289" s="19"/>
      <c r="FG289" s="19"/>
      <c r="FH289" s="21" t="s">
        <v>197</v>
      </c>
      <c r="FI289" s="17" t="s">
        <v>214</v>
      </c>
      <c r="FJ289" s="18">
        <v>45723.34296296296</v>
      </c>
      <c r="FK289" s="14" t="s">
        <v>8707</v>
      </c>
      <c r="FL289" s="19"/>
      <c r="FM289" s="19"/>
      <c r="FN289" s="19"/>
      <c r="FO289" s="19"/>
      <c r="FP289" s="19" t="str">
        <f t="shared" si="1"/>
        <v/>
      </c>
      <c r="FQ289" s="14" t="s">
        <v>215</v>
      </c>
      <c r="FR289" s="14" t="s">
        <v>8708</v>
      </c>
    </row>
    <row r="290" ht="15.75" customHeight="1">
      <c r="A290" s="12" t="s">
        <v>234</v>
      </c>
      <c r="B290" s="12" t="s">
        <v>8709</v>
      </c>
      <c r="C290" s="12" t="s">
        <v>219</v>
      </c>
      <c r="D290" s="22" t="s">
        <v>8710</v>
      </c>
      <c r="E290" s="22" t="s">
        <v>8711</v>
      </c>
      <c r="F290" s="13" t="s">
        <v>178</v>
      </c>
      <c r="G290" s="14" t="s">
        <v>179</v>
      </c>
      <c r="H290" s="14" t="s">
        <v>8712</v>
      </c>
      <c r="I290" s="14" t="s">
        <v>179</v>
      </c>
      <c r="J290" s="14" t="s">
        <v>8713</v>
      </c>
      <c r="K290" s="14" t="s">
        <v>179</v>
      </c>
      <c r="L290" s="14" t="s">
        <v>8714</v>
      </c>
      <c r="M290" s="14" t="s">
        <v>179</v>
      </c>
      <c r="N290" s="14" t="s">
        <v>8715</v>
      </c>
      <c r="O290" s="14" t="s">
        <v>179</v>
      </c>
      <c r="P290" s="14" t="s">
        <v>8716</v>
      </c>
      <c r="Q290" s="14" t="s">
        <v>179</v>
      </c>
      <c r="R290" s="14" t="s">
        <v>8717</v>
      </c>
      <c r="S290" s="14" t="s">
        <v>179</v>
      </c>
      <c r="T290" s="14" t="s">
        <v>8718</v>
      </c>
      <c r="U290" s="14" t="s">
        <v>179</v>
      </c>
      <c r="V290" s="14" t="s">
        <v>8719</v>
      </c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6" t="s">
        <v>197</v>
      </c>
      <c r="BP290" s="17" t="s">
        <v>228</v>
      </c>
      <c r="BQ290" s="23"/>
      <c r="BR290" s="17" t="s">
        <v>198</v>
      </c>
      <c r="BS290" s="18">
        <v>45694.54777777778</v>
      </c>
      <c r="BT290" s="17" t="s">
        <v>198</v>
      </c>
      <c r="BU290" s="18">
        <v>45694.54777777778</v>
      </c>
      <c r="BV290" s="13" t="s">
        <v>199</v>
      </c>
      <c r="BW290" s="14" t="s">
        <v>179</v>
      </c>
      <c r="BX290" s="14" t="s">
        <v>8720</v>
      </c>
      <c r="BY290" s="14" t="s">
        <v>179</v>
      </c>
      <c r="BZ290" s="14" t="s">
        <v>8721</v>
      </c>
      <c r="CA290" s="15"/>
      <c r="CB290" s="15"/>
      <c r="CC290" s="15"/>
      <c r="CD290" s="15"/>
      <c r="CE290" s="15"/>
      <c r="CF290" s="15"/>
      <c r="CG290" s="19"/>
      <c r="CH290" s="15"/>
      <c r="CI290" s="19"/>
      <c r="CJ290" s="15"/>
      <c r="CK290" s="19"/>
      <c r="CL290" s="15"/>
      <c r="CM290" s="19"/>
      <c r="CN290" s="15"/>
      <c r="CO290" s="19"/>
      <c r="CP290" s="15"/>
      <c r="CQ290" s="15"/>
      <c r="CR290" s="15"/>
      <c r="CS290" s="19"/>
      <c r="CT290" s="15"/>
      <c r="CU290" s="19"/>
      <c r="CV290" s="15"/>
      <c r="CW290" s="19"/>
      <c r="CX290" s="15"/>
      <c r="CY290" s="19"/>
      <c r="CZ290" s="15"/>
      <c r="DA290" s="16" t="s">
        <v>197</v>
      </c>
      <c r="DB290" s="17" t="s">
        <v>228</v>
      </c>
      <c r="DC290" s="16"/>
      <c r="DD290" s="17" t="s">
        <v>198</v>
      </c>
      <c r="DE290" s="18">
        <v>45696.44390046296</v>
      </c>
      <c r="DF290" s="17" t="s">
        <v>198</v>
      </c>
      <c r="DG290" s="18">
        <v>45696.44390046296</v>
      </c>
      <c r="DH290" s="13" t="s">
        <v>205</v>
      </c>
      <c r="DI290" s="14" t="s">
        <v>179</v>
      </c>
      <c r="DJ290" s="14" t="s">
        <v>8722</v>
      </c>
      <c r="DK290" s="15"/>
      <c r="DL290" s="15"/>
      <c r="DM290" s="15"/>
      <c r="DN290" s="15"/>
      <c r="DO290" s="15"/>
      <c r="DP290" s="15"/>
      <c r="DQ290" s="15"/>
      <c r="DR290" s="15"/>
      <c r="DS290" s="15"/>
      <c r="DT290" s="15"/>
      <c r="DU290" s="15"/>
      <c r="DV290" s="15"/>
      <c r="DW290" s="15"/>
      <c r="DX290" s="15"/>
      <c r="DY290" s="15"/>
      <c r="DZ290" s="15"/>
      <c r="EA290" s="15"/>
      <c r="EB290" s="15"/>
      <c r="EC290" s="16" t="s">
        <v>197</v>
      </c>
      <c r="ED290" s="17" t="s">
        <v>198</v>
      </c>
      <c r="EE290" s="18">
        <v>45703.609814814816</v>
      </c>
      <c r="EF290" s="13" t="s">
        <v>209</v>
      </c>
      <c r="EG290" s="14" t="s">
        <v>179</v>
      </c>
      <c r="EH290" s="14" t="s">
        <v>8723</v>
      </c>
      <c r="EI290" s="15"/>
      <c r="EJ290" s="15"/>
      <c r="EK290" s="15"/>
      <c r="EL290" s="15"/>
      <c r="EM290" s="15"/>
      <c r="EN290" s="15"/>
      <c r="EO290" s="15"/>
      <c r="EP290" s="15"/>
      <c r="EQ290" s="15"/>
      <c r="ER290" s="15"/>
      <c r="ES290" s="15"/>
      <c r="ET290" s="15"/>
      <c r="EU290" s="15"/>
      <c r="EV290" s="15"/>
      <c r="EW290" s="15"/>
      <c r="EX290" s="15"/>
      <c r="EY290" s="15"/>
      <c r="EZ290" s="15"/>
      <c r="FA290" s="15"/>
      <c r="FB290" s="15"/>
      <c r="FC290" s="16" t="s">
        <v>197</v>
      </c>
      <c r="FD290" s="17" t="s">
        <v>198</v>
      </c>
      <c r="FE290" s="18">
        <v>45720.35659722222</v>
      </c>
      <c r="FF290" s="19"/>
      <c r="FG290" s="19"/>
      <c r="FH290" s="21" t="s">
        <v>197</v>
      </c>
      <c r="FI290" s="17" t="s">
        <v>214</v>
      </c>
      <c r="FJ290" s="18">
        <v>45720.35659722222</v>
      </c>
      <c r="FK290" s="14" t="s">
        <v>8723</v>
      </c>
      <c r="FL290" s="14" t="s">
        <v>8724</v>
      </c>
      <c r="FM290" s="14" t="s">
        <v>8725</v>
      </c>
      <c r="FN290" s="19"/>
      <c r="FO290" s="19"/>
      <c r="FP290" s="19" t="str">
        <f t="shared" si="1"/>
        <v>Base de Dados_Images/DCV65003.Imagem do Equipamento-.180951.jpg</v>
      </c>
      <c r="FQ290" s="19"/>
      <c r="FR290" s="19"/>
    </row>
    <row r="291" ht="15.75" customHeight="1">
      <c r="A291" s="12" t="s">
        <v>547</v>
      </c>
      <c r="B291" s="12" t="s">
        <v>548</v>
      </c>
      <c r="C291" s="12" t="s">
        <v>219</v>
      </c>
      <c r="D291" s="22" t="s">
        <v>8726</v>
      </c>
      <c r="E291" s="22" t="s">
        <v>8727</v>
      </c>
      <c r="F291" s="13" t="s">
        <v>178</v>
      </c>
      <c r="G291" s="14" t="s">
        <v>179</v>
      </c>
      <c r="H291" s="14" t="s">
        <v>8728</v>
      </c>
      <c r="I291" s="14" t="s">
        <v>179</v>
      </c>
      <c r="J291" s="14" t="s">
        <v>8729</v>
      </c>
      <c r="K291" s="14" t="s">
        <v>179</v>
      </c>
      <c r="L291" s="14" t="s">
        <v>8730</v>
      </c>
      <c r="M291" s="14" t="s">
        <v>179</v>
      </c>
      <c r="N291" s="14" t="s">
        <v>8731</v>
      </c>
      <c r="O291" s="14" t="s">
        <v>179</v>
      </c>
      <c r="P291" s="14" t="s">
        <v>8732</v>
      </c>
      <c r="Q291" s="14" t="s">
        <v>179</v>
      </c>
      <c r="R291" s="14" t="s">
        <v>8731</v>
      </c>
      <c r="S291" s="14" t="s">
        <v>179</v>
      </c>
      <c r="T291" s="14" t="s">
        <v>8733</v>
      </c>
      <c r="U291" s="14" t="s">
        <v>179</v>
      </c>
      <c r="V291" s="14" t="s">
        <v>8734</v>
      </c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6" t="s">
        <v>197</v>
      </c>
      <c r="BP291" s="17" t="s">
        <v>228</v>
      </c>
      <c r="BQ291" s="23"/>
      <c r="BR291" s="17" t="s">
        <v>198</v>
      </c>
      <c r="BS291" s="18">
        <v>45686.81150462963</v>
      </c>
      <c r="BT291" s="17" t="s">
        <v>198</v>
      </c>
      <c r="BU291" s="18">
        <v>45686.81150462963</v>
      </c>
      <c r="BV291" s="13" t="s">
        <v>199</v>
      </c>
      <c r="BW291" s="14" t="s">
        <v>179</v>
      </c>
      <c r="BX291" s="14" t="s">
        <v>8735</v>
      </c>
      <c r="BY291" s="14" t="s">
        <v>179</v>
      </c>
      <c r="BZ291" s="14" t="s">
        <v>8736</v>
      </c>
      <c r="CA291" s="15"/>
      <c r="CB291" s="15"/>
      <c r="CC291" s="15"/>
      <c r="CD291" s="15"/>
      <c r="CE291" s="15"/>
      <c r="CF291" s="15"/>
      <c r="CG291" s="19"/>
      <c r="CH291" s="15"/>
      <c r="CI291" s="19"/>
      <c r="CJ291" s="15"/>
      <c r="CK291" s="19"/>
      <c r="CL291" s="15"/>
      <c r="CM291" s="19"/>
      <c r="CN291" s="15"/>
      <c r="CO291" s="19"/>
      <c r="CP291" s="15"/>
      <c r="CQ291" s="15"/>
      <c r="CR291" s="15"/>
      <c r="CS291" s="19"/>
      <c r="CT291" s="15"/>
      <c r="CU291" s="19"/>
      <c r="CV291" s="15"/>
      <c r="CW291" s="19"/>
      <c r="CX291" s="15"/>
      <c r="CY291" s="19"/>
      <c r="CZ291" s="15"/>
      <c r="DA291" s="16" t="s">
        <v>197</v>
      </c>
      <c r="DB291" s="17" t="s">
        <v>228</v>
      </c>
      <c r="DC291" s="16"/>
      <c r="DD291" s="17" t="s">
        <v>198</v>
      </c>
      <c r="DE291" s="18">
        <v>45696.57728009259</v>
      </c>
      <c r="DF291" s="17" t="s">
        <v>198</v>
      </c>
      <c r="DG291" s="18">
        <v>45696.57728009259</v>
      </c>
      <c r="DH291" s="13" t="s">
        <v>205</v>
      </c>
      <c r="DI291" s="14" t="s">
        <v>179</v>
      </c>
      <c r="DJ291" s="14" t="s">
        <v>8737</v>
      </c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6" t="s">
        <v>197</v>
      </c>
      <c r="ED291" s="17" t="s">
        <v>198</v>
      </c>
      <c r="EE291" s="18">
        <v>45720.610185185185</v>
      </c>
      <c r="EF291" s="13" t="s">
        <v>209</v>
      </c>
      <c r="EG291" s="14" t="s">
        <v>179</v>
      </c>
      <c r="EH291" s="14" t="s">
        <v>8738</v>
      </c>
      <c r="EI291" s="15"/>
      <c r="EJ291" s="15"/>
      <c r="EK291" s="15"/>
      <c r="EL291" s="15"/>
      <c r="EM291" s="15"/>
      <c r="EN291" s="15"/>
      <c r="EO291" s="15"/>
      <c r="EP291" s="15"/>
      <c r="EQ291" s="15"/>
      <c r="ER291" s="15"/>
      <c r="ES291" s="15"/>
      <c r="ET291" s="15"/>
      <c r="EU291" s="15"/>
      <c r="EV291" s="15"/>
      <c r="EW291" s="15"/>
      <c r="EX291" s="15"/>
      <c r="EY291" s="15"/>
      <c r="EZ291" s="15"/>
      <c r="FA291" s="15"/>
      <c r="FB291" s="15"/>
      <c r="FC291" s="16" t="s">
        <v>197</v>
      </c>
      <c r="FD291" s="17" t="s">
        <v>198</v>
      </c>
      <c r="FE291" s="18">
        <v>45722.61546296296</v>
      </c>
      <c r="FF291" s="19"/>
      <c r="FG291" s="19"/>
      <c r="FH291" s="21" t="s">
        <v>197</v>
      </c>
      <c r="FI291" s="17" t="s">
        <v>214</v>
      </c>
      <c r="FJ291" s="18">
        <v>45722.61546296296</v>
      </c>
      <c r="FK291" s="14" t="s">
        <v>8738</v>
      </c>
      <c r="FL291" s="14" t="s">
        <v>8739</v>
      </c>
      <c r="FM291" s="14" t="s">
        <v>8740</v>
      </c>
      <c r="FN291" s="19"/>
      <c r="FO291" s="19"/>
      <c r="FP291" s="19" t="str">
        <f t="shared" si="1"/>
        <v>Base de Dados_Images/DCV70015.Imagem do Equipamento-.222819.jpg</v>
      </c>
      <c r="FQ291" s="19"/>
      <c r="FR291" s="19"/>
    </row>
    <row r="292" ht="15.75" customHeight="1">
      <c r="A292" s="12" t="s">
        <v>7459</v>
      </c>
      <c r="B292" s="12" t="s">
        <v>7460</v>
      </c>
      <c r="C292" s="12" t="s">
        <v>8741</v>
      </c>
      <c r="D292" s="12" t="s">
        <v>8742</v>
      </c>
      <c r="E292" s="12" t="s">
        <v>8743</v>
      </c>
      <c r="F292" s="13" t="s">
        <v>178</v>
      </c>
      <c r="G292" s="14" t="s">
        <v>179</v>
      </c>
      <c r="H292" s="14" t="s">
        <v>8744</v>
      </c>
      <c r="I292" s="14" t="s">
        <v>179</v>
      </c>
      <c r="J292" s="14" t="s">
        <v>8745</v>
      </c>
      <c r="K292" s="14" t="s">
        <v>179</v>
      </c>
      <c r="L292" s="14" t="s">
        <v>8746</v>
      </c>
      <c r="M292" s="14" t="s">
        <v>179</v>
      </c>
      <c r="N292" s="14" t="s">
        <v>8747</v>
      </c>
      <c r="O292" s="14" t="s">
        <v>179</v>
      </c>
      <c r="P292" s="14" t="s">
        <v>8748</v>
      </c>
      <c r="Q292" s="14" t="s">
        <v>179</v>
      </c>
      <c r="R292" s="14" t="s">
        <v>8749</v>
      </c>
      <c r="S292" s="14" t="s">
        <v>179</v>
      </c>
      <c r="T292" s="14" t="s">
        <v>8750</v>
      </c>
      <c r="U292" s="14" t="s">
        <v>179</v>
      </c>
      <c r="V292" s="14" t="s">
        <v>8751</v>
      </c>
      <c r="W292" s="14" t="s">
        <v>179</v>
      </c>
      <c r="X292" s="14" t="s">
        <v>8752</v>
      </c>
      <c r="Y292" s="14" t="s">
        <v>179</v>
      </c>
      <c r="Z292" s="14" t="s">
        <v>8753</v>
      </c>
      <c r="AA292" s="14" t="s">
        <v>179</v>
      </c>
      <c r="AB292" s="14" t="s">
        <v>8754</v>
      </c>
      <c r="AC292" s="14" t="s">
        <v>179</v>
      </c>
      <c r="AD292" s="14" t="s">
        <v>8755</v>
      </c>
      <c r="AE292" s="14" t="s">
        <v>179</v>
      </c>
      <c r="AF292" s="14" t="s">
        <v>8756</v>
      </c>
      <c r="AG292" s="14" t="s">
        <v>179</v>
      </c>
      <c r="AH292" s="14" t="s">
        <v>8757</v>
      </c>
      <c r="AI292" s="14" t="s">
        <v>179</v>
      </c>
      <c r="AJ292" s="14" t="s">
        <v>8758</v>
      </c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6" t="s">
        <v>197</v>
      </c>
      <c r="BP292" s="17" t="s">
        <v>198</v>
      </c>
      <c r="BQ292" s="18">
        <v>45699.36592592593</v>
      </c>
      <c r="BR292" s="17" t="s">
        <v>198</v>
      </c>
      <c r="BS292" s="18">
        <v>45699.36614583333</v>
      </c>
      <c r="BT292" s="17" t="s">
        <v>198</v>
      </c>
      <c r="BU292" s="18">
        <v>45699.36614583333</v>
      </c>
      <c r="BV292" s="13" t="s">
        <v>199</v>
      </c>
      <c r="BW292" s="14" t="s">
        <v>188</v>
      </c>
      <c r="BX292" s="14" t="s">
        <v>8759</v>
      </c>
      <c r="BY292" s="14" t="s">
        <v>188</v>
      </c>
      <c r="BZ292" s="14" t="s">
        <v>8760</v>
      </c>
      <c r="CA292" s="14" t="s">
        <v>179</v>
      </c>
      <c r="CB292" s="14" t="s">
        <v>8761</v>
      </c>
      <c r="CC292" s="14" t="s">
        <v>188</v>
      </c>
      <c r="CD292" s="14" t="s">
        <v>8762</v>
      </c>
      <c r="CE292" s="14" t="s">
        <v>179</v>
      </c>
      <c r="CF292" s="14" t="s">
        <v>8763</v>
      </c>
      <c r="CG292" s="14" t="s">
        <v>179</v>
      </c>
      <c r="CH292" s="14" t="s">
        <v>8764</v>
      </c>
      <c r="CI292" s="14" t="s">
        <v>188</v>
      </c>
      <c r="CJ292" s="14" t="s">
        <v>8765</v>
      </c>
      <c r="CK292" s="14" t="s">
        <v>188</v>
      </c>
      <c r="CL292" s="14" t="s">
        <v>8766</v>
      </c>
      <c r="CM292" s="19"/>
      <c r="CN292" s="15"/>
      <c r="CO292" s="19"/>
      <c r="CP292" s="15"/>
      <c r="CQ292" s="15"/>
      <c r="CR292" s="15"/>
      <c r="CS292" s="19"/>
      <c r="CT292" s="15"/>
      <c r="CU292" s="19"/>
      <c r="CV292" s="15"/>
      <c r="CW292" s="19"/>
      <c r="CX292" s="15"/>
      <c r="CY292" s="19"/>
      <c r="CZ292" s="15"/>
      <c r="DA292" s="16" t="s">
        <v>197</v>
      </c>
      <c r="DB292" s="17" t="s">
        <v>198</v>
      </c>
      <c r="DC292" s="20">
        <v>45713.46857638889</v>
      </c>
      <c r="DD292" s="17" t="s">
        <v>198</v>
      </c>
      <c r="DE292" s="18">
        <v>45713.46916666667</v>
      </c>
      <c r="DF292" s="17" t="s">
        <v>198</v>
      </c>
      <c r="DG292" s="18">
        <v>45713.46916666667</v>
      </c>
      <c r="DH292" s="13" t="s">
        <v>205</v>
      </c>
      <c r="DI292" s="14" t="s">
        <v>179</v>
      </c>
      <c r="DJ292" s="14" t="s">
        <v>8767</v>
      </c>
      <c r="DK292" s="14" t="s">
        <v>179</v>
      </c>
      <c r="DL292" s="14" t="s">
        <v>8768</v>
      </c>
      <c r="DM292" s="14" t="s">
        <v>188</v>
      </c>
      <c r="DN292" s="14" t="s">
        <v>8769</v>
      </c>
      <c r="DO292" s="14" t="s">
        <v>188</v>
      </c>
      <c r="DP292" s="14" t="s">
        <v>8770</v>
      </c>
      <c r="DQ292" s="14" t="s">
        <v>179</v>
      </c>
      <c r="DR292" s="14" t="s">
        <v>8771</v>
      </c>
      <c r="DS292" s="14" t="s">
        <v>179</v>
      </c>
      <c r="DT292" s="14" t="s">
        <v>8772</v>
      </c>
      <c r="DU292" s="14" t="s">
        <v>179</v>
      </c>
      <c r="DV292" s="14" t="s">
        <v>8773</v>
      </c>
      <c r="DW292" s="15"/>
      <c r="DX292" s="15"/>
      <c r="DY292" s="15"/>
      <c r="DZ292" s="15"/>
      <c r="EA292" s="15"/>
      <c r="EB292" s="15"/>
      <c r="EC292" s="16" t="s">
        <v>197</v>
      </c>
      <c r="ED292" s="17" t="s">
        <v>198</v>
      </c>
      <c r="EE292" s="18">
        <v>45713.68376157407</v>
      </c>
      <c r="EF292" s="13" t="s">
        <v>209</v>
      </c>
      <c r="EG292" s="15"/>
      <c r="EH292" s="15"/>
      <c r="EI292" s="15"/>
      <c r="EJ292" s="15"/>
      <c r="EK292" s="15"/>
      <c r="EL292" s="15"/>
      <c r="EM292" s="15"/>
      <c r="EN292" s="15"/>
      <c r="EO292" s="15"/>
      <c r="EP292" s="15"/>
      <c r="EQ292" s="15"/>
      <c r="ER292" s="15"/>
      <c r="ES292" s="15"/>
      <c r="ET292" s="15"/>
      <c r="EU292" s="15"/>
      <c r="EV292" s="15"/>
      <c r="EW292" s="15"/>
      <c r="EX292" s="15"/>
      <c r="EY292" s="15"/>
      <c r="EZ292" s="15"/>
      <c r="FA292" s="15"/>
      <c r="FB292" s="15"/>
      <c r="FC292" s="16" t="s">
        <v>197</v>
      </c>
      <c r="FD292" s="17" t="s">
        <v>228</v>
      </c>
      <c r="FE292" s="23"/>
      <c r="FF292" s="14" t="s">
        <v>8774</v>
      </c>
      <c r="FG292" s="19"/>
      <c r="FH292" s="17" t="s">
        <v>198</v>
      </c>
      <c r="FI292" s="17" t="s">
        <v>214</v>
      </c>
      <c r="FJ292" s="18">
        <v>45713.68376157407</v>
      </c>
      <c r="FK292" s="14" t="s">
        <v>8775</v>
      </c>
      <c r="FL292" s="14" t="s">
        <v>8776</v>
      </c>
      <c r="FM292" s="14" t="s">
        <v>8777</v>
      </c>
      <c r="FN292" s="19"/>
      <c r="FO292" s="19"/>
      <c r="FP292" s="19" t="str">
        <f t="shared" si="1"/>
        <v>Base de Dados_Images/DESINTEGRADOR_PCTS.Imagem do Equipamento-.114632.jpg</v>
      </c>
      <c r="FQ292" s="19"/>
      <c r="FR292" s="19"/>
    </row>
    <row r="293" ht="15.75" customHeight="1">
      <c r="A293" s="12" t="s">
        <v>7459</v>
      </c>
      <c r="B293" s="12" t="s">
        <v>7460</v>
      </c>
      <c r="C293" s="12" t="s">
        <v>8741</v>
      </c>
      <c r="D293" s="12" t="s">
        <v>8778</v>
      </c>
      <c r="E293" s="12" t="s">
        <v>8779</v>
      </c>
      <c r="F293" s="13" t="s">
        <v>178</v>
      </c>
      <c r="G293" s="14" t="s">
        <v>179</v>
      </c>
      <c r="H293" s="14" t="s">
        <v>8780</v>
      </c>
      <c r="I293" s="14" t="s">
        <v>179</v>
      </c>
      <c r="J293" s="14" t="s">
        <v>8781</v>
      </c>
      <c r="K293" s="14" t="s">
        <v>179</v>
      </c>
      <c r="L293" s="14" t="s">
        <v>8782</v>
      </c>
      <c r="M293" s="14" t="s">
        <v>179</v>
      </c>
      <c r="N293" s="14" t="s">
        <v>8783</v>
      </c>
      <c r="O293" s="14" t="s">
        <v>179</v>
      </c>
      <c r="P293" s="14" t="s">
        <v>8784</v>
      </c>
      <c r="Q293" s="14" t="s">
        <v>179</v>
      </c>
      <c r="R293" s="14" t="s">
        <v>8785</v>
      </c>
      <c r="S293" s="14" t="s">
        <v>179</v>
      </c>
      <c r="T293" s="14" t="s">
        <v>8786</v>
      </c>
      <c r="U293" s="14" t="s">
        <v>179</v>
      </c>
      <c r="V293" s="14" t="s">
        <v>8787</v>
      </c>
      <c r="W293" s="14" t="s">
        <v>179</v>
      </c>
      <c r="X293" s="14" t="s">
        <v>8788</v>
      </c>
      <c r="Y293" s="14" t="s">
        <v>179</v>
      </c>
      <c r="Z293" s="14" t="s">
        <v>8789</v>
      </c>
      <c r="AA293" s="14" t="s">
        <v>179</v>
      </c>
      <c r="AB293" s="14" t="s">
        <v>8790</v>
      </c>
      <c r="AC293" s="14" t="s">
        <v>179</v>
      </c>
      <c r="AD293" s="14" t="s">
        <v>8791</v>
      </c>
      <c r="AE293" s="14" t="s">
        <v>179</v>
      </c>
      <c r="AF293" s="14" t="s">
        <v>8792</v>
      </c>
      <c r="AG293" s="14" t="s">
        <v>179</v>
      </c>
      <c r="AH293" s="14" t="s">
        <v>8793</v>
      </c>
      <c r="AI293" s="14" t="s">
        <v>179</v>
      </c>
      <c r="AJ293" s="14" t="s">
        <v>8794</v>
      </c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6" t="s">
        <v>197</v>
      </c>
      <c r="BP293" s="17" t="s">
        <v>198</v>
      </c>
      <c r="BQ293" s="18">
        <v>45699.36696759259</v>
      </c>
      <c r="BR293" s="17" t="s">
        <v>198</v>
      </c>
      <c r="BS293" s="18">
        <v>45699.3671412037</v>
      </c>
      <c r="BT293" s="17" t="s">
        <v>198</v>
      </c>
      <c r="BU293" s="18">
        <v>45699.3671412037</v>
      </c>
      <c r="BV293" s="13" t="s">
        <v>199</v>
      </c>
      <c r="BW293" s="14" t="s">
        <v>188</v>
      </c>
      <c r="BX293" s="14" t="s">
        <v>8795</v>
      </c>
      <c r="BY293" s="14" t="s">
        <v>188</v>
      </c>
      <c r="BZ293" s="14" t="s">
        <v>8796</v>
      </c>
      <c r="CA293" s="14" t="s">
        <v>179</v>
      </c>
      <c r="CB293" s="14" t="s">
        <v>8797</v>
      </c>
      <c r="CC293" s="14" t="s">
        <v>188</v>
      </c>
      <c r="CD293" s="14" t="s">
        <v>8798</v>
      </c>
      <c r="CE293" s="14" t="s">
        <v>179</v>
      </c>
      <c r="CF293" s="14" t="s">
        <v>8799</v>
      </c>
      <c r="CG293" s="14" t="s">
        <v>188</v>
      </c>
      <c r="CH293" s="14" t="s">
        <v>8800</v>
      </c>
      <c r="CI293" s="14" t="s">
        <v>188</v>
      </c>
      <c r="CJ293" s="14" t="s">
        <v>8801</v>
      </c>
      <c r="CK293" s="14" t="s">
        <v>188</v>
      </c>
      <c r="CL293" s="14" t="s">
        <v>8802</v>
      </c>
      <c r="CM293" s="19"/>
      <c r="CN293" s="15"/>
      <c r="CO293" s="19"/>
      <c r="CP293" s="15"/>
      <c r="CQ293" s="15"/>
      <c r="CR293" s="15"/>
      <c r="CS293" s="19"/>
      <c r="CT293" s="15"/>
      <c r="CU293" s="19"/>
      <c r="CV293" s="15"/>
      <c r="CW293" s="19"/>
      <c r="CX293" s="15"/>
      <c r="CY293" s="19"/>
      <c r="CZ293" s="15"/>
      <c r="DA293" s="16" t="s">
        <v>197</v>
      </c>
      <c r="DB293" s="17" t="s">
        <v>198</v>
      </c>
      <c r="DC293" s="20">
        <v>45713.47068287037</v>
      </c>
      <c r="DD293" s="17" t="s">
        <v>198</v>
      </c>
      <c r="DE293" s="18">
        <v>45714.2946875</v>
      </c>
      <c r="DF293" s="17" t="s">
        <v>198</v>
      </c>
      <c r="DG293" s="18">
        <v>45714.2946875</v>
      </c>
      <c r="DH293" s="13" t="s">
        <v>205</v>
      </c>
      <c r="DI293" s="14" t="s">
        <v>179</v>
      </c>
      <c r="DJ293" s="14" t="s">
        <v>8803</v>
      </c>
      <c r="DK293" s="14" t="s">
        <v>179</v>
      </c>
      <c r="DL293" s="14" t="s">
        <v>8804</v>
      </c>
      <c r="DM293" s="14" t="s">
        <v>188</v>
      </c>
      <c r="DN293" s="14" t="s">
        <v>8805</v>
      </c>
      <c r="DO293" s="14" t="s">
        <v>188</v>
      </c>
      <c r="DP293" s="14" t="s">
        <v>8806</v>
      </c>
      <c r="DQ293" s="14" t="s">
        <v>179</v>
      </c>
      <c r="DR293" s="14" t="s">
        <v>8807</v>
      </c>
      <c r="DS293" s="14" t="s">
        <v>179</v>
      </c>
      <c r="DT293" s="14" t="s">
        <v>8808</v>
      </c>
      <c r="DU293" s="14" t="s">
        <v>179</v>
      </c>
      <c r="DV293" s="14" t="s">
        <v>8809</v>
      </c>
      <c r="DW293" s="15"/>
      <c r="DX293" s="15"/>
      <c r="DY293" s="15"/>
      <c r="DZ293" s="15"/>
      <c r="EA293" s="15"/>
      <c r="EB293" s="15"/>
      <c r="EC293" s="16" t="s">
        <v>197</v>
      </c>
      <c r="ED293" s="17" t="s">
        <v>198</v>
      </c>
      <c r="EE293" s="18">
        <v>45714.29537037037</v>
      </c>
      <c r="EF293" s="13" t="s">
        <v>209</v>
      </c>
      <c r="EG293" s="15"/>
      <c r="EH293" s="15"/>
      <c r="EI293" s="15"/>
      <c r="EJ293" s="15"/>
      <c r="EK293" s="15"/>
      <c r="EL293" s="15"/>
      <c r="EM293" s="15"/>
      <c r="EN293" s="15"/>
      <c r="EO293" s="15"/>
      <c r="EP293" s="15"/>
      <c r="EQ293" s="15"/>
      <c r="ER293" s="15"/>
      <c r="ES293" s="15"/>
      <c r="ET293" s="15"/>
      <c r="EU293" s="15"/>
      <c r="EV293" s="15"/>
      <c r="EW293" s="15"/>
      <c r="EX293" s="15"/>
      <c r="EY293" s="15"/>
      <c r="EZ293" s="15"/>
      <c r="FA293" s="15"/>
      <c r="FB293" s="15"/>
      <c r="FC293" s="16" t="s">
        <v>197</v>
      </c>
      <c r="FD293" s="17" t="s">
        <v>228</v>
      </c>
      <c r="FE293" s="23"/>
      <c r="FF293" s="14" t="s">
        <v>8810</v>
      </c>
      <c r="FG293" s="19"/>
      <c r="FH293" s="17" t="s">
        <v>198</v>
      </c>
      <c r="FI293" s="17" t="s">
        <v>214</v>
      </c>
      <c r="FJ293" s="18">
        <v>45714.29537037037</v>
      </c>
      <c r="FK293" s="14" t="s">
        <v>8811</v>
      </c>
      <c r="FL293" s="14" t="s">
        <v>8812</v>
      </c>
      <c r="FM293" s="14" t="s">
        <v>8813</v>
      </c>
      <c r="FN293" s="19"/>
      <c r="FO293" s="19"/>
      <c r="FP293" s="19" t="str">
        <f t="shared" si="1"/>
        <v>Base de Dados_Images/DI7902.Imagem do Equipamento-.114903.jpg</v>
      </c>
      <c r="FQ293" s="14"/>
      <c r="FR293" s="14"/>
    </row>
    <row r="294" ht="15.75" customHeight="1">
      <c r="A294" s="12" t="s">
        <v>292</v>
      </c>
      <c r="B294" s="12" t="s">
        <v>6546</v>
      </c>
      <c r="C294" s="24" t="s">
        <v>324</v>
      </c>
      <c r="D294" s="22" t="s">
        <v>8814</v>
      </c>
      <c r="E294" s="22" t="s">
        <v>8815</v>
      </c>
      <c r="F294" s="13" t="s">
        <v>178</v>
      </c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6" t="s">
        <v>197</v>
      </c>
      <c r="BP294" s="17" t="s">
        <v>228</v>
      </c>
      <c r="BQ294" s="23"/>
      <c r="BR294" s="17" t="s">
        <v>228</v>
      </c>
      <c r="BS294" s="23"/>
      <c r="BT294" s="17" t="s">
        <v>228</v>
      </c>
      <c r="BU294" s="23"/>
      <c r="BV294" s="13" t="s">
        <v>199</v>
      </c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9"/>
      <c r="CH294" s="15"/>
      <c r="CI294" s="19"/>
      <c r="CJ294" s="15"/>
      <c r="CK294" s="19"/>
      <c r="CL294" s="15"/>
      <c r="CM294" s="19"/>
      <c r="CN294" s="15"/>
      <c r="CO294" s="19"/>
      <c r="CP294" s="15"/>
      <c r="CQ294" s="15"/>
      <c r="CR294" s="15"/>
      <c r="CS294" s="19"/>
      <c r="CT294" s="15"/>
      <c r="CU294" s="19"/>
      <c r="CV294" s="15"/>
      <c r="CW294" s="19"/>
      <c r="CX294" s="15"/>
      <c r="CY294" s="19"/>
      <c r="CZ294" s="15"/>
      <c r="DA294" s="16" t="s">
        <v>197</v>
      </c>
      <c r="DB294" s="17" t="s">
        <v>228</v>
      </c>
      <c r="DC294" s="16"/>
      <c r="DD294" s="17" t="s">
        <v>228</v>
      </c>
      <c r="DE294" s="23"/>
      <c r="DF294" s="17" t="s">
        <v>228</v>
      </c>
      <c r="DG294" s="23"/>
      <c r="DH294" s="13" t="s">
        <v>205</v>
      </c>
      <c r="DI294" s="14" t="s">
        <v>179</v>
      </c>
      <c r="DJ294" s="14" t="s">
        <v>8816</v>
      </c>
      <c r="DK294" s="14" t="s">
        <v>179</v>
      </c>
      <c r="DL294" s="14" t="s">
        <v>8816</v>
      </c>
      <c r="DM294" s="15"/>
      <c r="DN294" s="15"/>
      <c r="DO294" s="15"/>
      <c r="DP294" s="15"/>
      <c r="DQ294" s="15"/>
      <c r="DR294" s="15"/>
      <c r="DS294" s="15"/>
      <c r="DT294" s="15"/>
      <c r="DU294" s="15"/>
      <c r="DV294" s="15"/>
      <c r="DW294" s="15"/>
      <c r="DX294" s="15"/>
      <c r="DY294" s="15"/>
      <c r="DZ294" s="15"/>
      <c r="EA294" s="15"/>
      <c r="EB294" s="15"/>
      <c r="EC294" s="16" t="s">
        <v>197</v>
      </c>
      <c r="ED294" s="17" t="s">
        <v>198</v>
      </c>
      <c r="EE294" s="18">
        <v>45720.414039351854</v>
      </c>
      <c r="EF294" s="13" t="s">
        <v>209</v>
      </c>
      <c r="EG294" s="14" t="s">
        <v>179</v>
      </c>
      <c r="EH294" s="14" t="s">
        <v>8817</v>
      </c>
      <c r="EI294" s="14" t="s">
        <v>179</v>
      </c>
      <c r="EJ294" s="14" t="s">
        <v>8818</v>
      </c>
      <c r="EK294" s="15"/>
      <c r="EL294" s="15"/>
      <c r="EM294" s="15"/>
      <c r="EN294" s="15"/>
      <c r="EO294" s="15"/>
      <c r="EP294" s="15"/>
      <c r="EQ294" s="15"/>
      <c r="ER294" s="15"/>
      <c r="ES294" s="15"/>
      <c r="ET294" s="15"/>
      <c r="EU294" s="15"/>
      <c r="EV294" s="15"/>
      <c r="EW294" s="15"/>
      <c r="EX294" s="15"/>
      <c r="EY294" s="15"/>
      <c r="EZ294" s="15"/>
      <c r="FA294" s="15"/>
      <c r="FB294" s="15"/>
      <c r="FC294" s="16" t="s">
        <v>197</v>
      </c>
      <c r="FD294" s="17" t="s">
        <v>198</v>
      </c>
      <c r="FE294" s="18">
        <v>45724.39959490741</v>
      </c>
      <c r="FF294" s="19"/>
      <c r="FG294" s="19"/>
      <c r="FH294" s="21" t="s">
        <v>197</v>
      </c>
      <c r="FI294" s="17" t="s">
        <v>214</v>
      </c>
      <c r="FJ294" s="18">
        <v>45724.39959490741</v>
      </c>
      <c r="FK294" s="14" t="s">
        <v>8818</v>
      </c>
      <c r="FL294" s="14" t="s">
        <v>8819</v>
      </c>
      <c r="FM294" s="14" t="s">
        <v>8820</v>
      </c>
      <c r="FN294" s="19"/>
      <c r="FO294" s="19"/>
      <c r="FP294" s="19" t="str">
        <f t="shared" si="1"/>
        <v>Base de Dados_Images/DIC30025.Imagem do Equipamento-.153450.jpg</v>
      </c>
      <c r="FQ294" s="14"/>
      <c r="FR294" s="14"/>
    </row>
    <row r="295" ht="15.75" customHeight="1">
      <c r="A295" s="12" t="s">
        <v>217</v>
      </c>
      <c r="B295" s="12" t="s">
        <v>8821</v>
      </c>
      <c r="C295" s="24" t="s">
        <v>324</v>
      </c>
      <c r="D295" s="22" t="s">
        <v>8822</v>
      </c>
      <c r="E295" s="22" t="s">
        <v>8823</v>
      </c>
      <c r="F295" s="13" t="s">
        <v>178</v>
      </c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6" t="s">
        <v>197</v>
      </c>
      <c r="BP295" s="17" t="s">
        <v>228</v>
      </c>
      <c r="BQ295" s="23"/>
      <c r="BR295" s="17" t="s">
        <v>228</v>
      </c>
      <c r="BS295" s="23"/>
      <c r="BT295" s="17" t="s">
        <v>228</v>
      </c>
      <c r="BU295" s="23"/>
      <c r="BV295" s="13" t="s">
        <v>199</v>
      </c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9"/>
      <c r="CH295" s="15"/>
      <c r="CI295" s="19"/>
      <c r="CJ295" s="15"/>
      <c r="CK295" s="19"/>
      <c r="CL295" s="15"/>
      <c r="CM295" s="19"/>
      <c r="CN295" s="15"/>
      <c r="CO295" s="19"/>
      <c r="CP295" s="15"/>
      <c r="CQ295" s="15"/>
      <c r="CR295" s="15"/>
      <c r="CS295" s="19"/>
      <c r="CT295" s="15"/>
      <c r="CU295" s="19"/>
      <c r="CV295" s="15"/>
      <c r="CW295" s="19"/>
      <c r="CX295" s="15"/>
      <c r="CY295" s="19"/>
      <c r="CZ295" s="15"/>
      <c r="DA295" s="16" t="s">
        <v>197</v>
      </c>
      <c r="DB295" s="17" t="s">
        <v>228</v>
      </c>
      <c r="DC295" s="16"/>
      <c r="DD295" s="17" t="s">
        <v>228</v>
      </c>
      <c r="DE295" s="23"/>
      <c r="DF295" s="17" t="s">
        <v>228</v>
      </c>
      <c r="DG295" s="23"/>
      <c r="DH295" s="13" t="s">
        <v>205</v>
      </c>
      <c r="DI295" s="14" t="s">
        <v>179</v>
      </c>
      <c r="DJ295" s="14" t="s">
        <v>8824</v>
      </c>
      <c r="DK295" s="14" t="s">
        <v>179</v>
      </c>
      <c r="DL295" s="14" t="s">
        <v>8825</v>
      </c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6" t="s">
        <v>197</v>
      </c>
      <c r="ED295" s="17" t="s">
        <v>198</v>
      </c>
      <c r="EE295" s="18">
        <v>45723.35065972222</v>
      </c>
      <c r="EF295" s="13" t="s">
        <v>209</v>
      </c>
      <c r="EG295" s="14" t="s">
        <v>179</v>
      </c>
      <c r="EH295" s="14" t="s">
        <v>8826</v>
      </c>
      <c r="EI295" s="14" t="s">
        <v>179</v>
      </c>
      <c r="EJ295" s="14" t="s">
        <v>8826</v>
      </c>
      <c r="EK295" s="15"/>
      <c r="EL295" s="15"/>
      <c r="EM295" s="15"/>
      <c r="EN295" s="15"/>
      <c r="EO295" s="15"/>
      <c r="EP295" s="15"/>
      <c r="EQ295" s="15"/>
      <c r="ER295" s="15"/>
      <c r="ES295" s="15"/>
      <c r="ET295" s="15"/>
      <c r="EU295" s="15"/>
      <c r="EV295" s="15"/>
      <c r="EW295" s="15"/>
      <c r="EX295" s="15"/>
      <c r="EY295" s="15"/>
      <c r="EZ295" s="15"/>
      <c r="FA295" s="15"/>
      <c r="FB295" s="15"/>
      <c r="FC295" s="16" t="s">
        <v>197</v>
      </c>
      <c r="FD295" s="17" t="s">
        <v>198</v>
      </c>
      <c r="FE295" s="18">
        <v>45723.350694444445</v>
      </c>
      <c r="FF295" s="19"/>
      <c r="FG295" s="19"/>
      <c r="FH295" s="21" t="s">
        <v>197</v>
      </c>
      <c r="FI295" s="17" t="s">
        <v>214</v>
      </c>
      <c r="FJ295" s="18">
        <v>45723.350694444445</v>
      </c>
      <c r="FK295" s="14" t="s">
        <v>8826</v>
      </c>
      <c r="FL295" s="19"/>
      <c r="FM295" s="19"/>
      <c r="FN295" s="19"/>
      <c r="FO295" s="19"/>
      <c r="FP295" s="19" t="str">
        <f t="shared" si="1"/>
        <v/>
      </c>
      <c r="FQ295" s="14" t="s">
        <v>215</v>
      </c>
      <c r="FR295" s="14" t="s">
        <v>8827</v>
      </c>
    </row>
    <row r="296" ht="15.75" customHeight="1">
      <c r="A296" s="12" t="s">
        <v>234</v>
      </c>
      <c r="B296" s="12" t="s">
        <v>8709</v>
      </c>
      <c r="C296" s="24" t="s">
        <v>324</v>
      </c>
      <c r="D296" s="22" t="s">
        <v>8828</v>
      </c>
      <c r="E296" s="22" t="s">
        <v>8829</v>
      </c>
      <c r="F296" s="13" t="s">
        <v>178</v>
      </c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6" t="s">
        <v>197</v>
      </c>
      <c r="BP296" s="17" t="s">
        <v>228</v>
      </c>
      <c r="BQ296" s="23"/>
      <c r="BR296" s="17" t="s">
        <v>228</v>
      </c>
      <c r="BS296" s="23"/>
      <c r="BT296" s="17" t="s">
        <v>228</v>
      </c>
      <c r="BU296" s="23"/>
      <c r="BV296" s="13" t="s">
        <v>199</v>
      </c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9"/>
      <c r="CH296" s="15"/>
      <c r="CI296" s="19"/>
      <c r="CJ296" s="15"/>
      <c r="CK296" s="19"/>
      <c r="CL296" s="15"/>
      <c r="CM296" s="19"/>
      <c r="CN296" s="15"/>
      <c r="CO296" s="19"/>
      <c r="CP296" s="15"/>
      <c r="CQ296" s="15"/>
      <c r="CR296" s="15"/>
      <c r="CS296" s="19"/>
      <c r="CT296" s="15"/>
      <c r="CU296" s="19"/>
      <c r="CV296" s="15"/>
      <c r="CW296" s="19"/>
      <c r="CX296" s="15"/>
      <c r="CY296" s="19"/>
      <c r="CZ296" s="15"/>
      <c r="DA296" s="16" t="s">
        <v>197</v>
      </c>
      <c r="DB296" s="17" t="s">
        <v>228</v>
      </c>
      <c r="DC296" s="16"/>
      <c r="DD296" s="17" t="s">
        <v>228</v>
      </c>
      <c r="DE296" s="23"/>
      <c r="DF296" s="17" t="s">
        <v>228</v>
      </c>
      <c r="DG296" s="23"/>
      <c r="DH296" s="13" t="s">
        <v>205</v>
      </c>
      <c r="DI296" s="14" t="s">
        <v>179</v>
      </c>
      <c r="DJ296" s="14" t="s">
        <v>8830</v>
      </c>
      <c r="DK296" s="14" t="s">
        <v>179</v>
      </c>
      <c r="DL296" s="14" t="s">
        <v>8831</v>
      </c>
      <c r="DM296" s="15"/>
      <c r="DN296" s="15"/>
      <c r="DO296" s="15"/>
      <c r="DP296" s="15"/>
      <c r="DQ296" s="15"/>
      <c r="DR296" s="15"/>
      <c r="DS296" s="15"/>
      <c r="DT296" s="15"/>
      <c r="DU296" s="15"/>
      <c r="DV296" s="15"/>
      <c r="DW296" s="15"/>
      <c r="DX296" s="15"/>
      <c r="DY296" s="15"/>
      <c r="DZ296" s="15"/>
      <c r="EA296" s="15"/>
      <c r="EB296" s="15"/>
      <c r="EC296" s="16" t="s">
        <v>197</v>
      </c>
      <c r="ED296" s="17" t="s">
        <v>198</v>
      </c>
      <c r="EE296" s="18">
        <v>45694.58553240741</v>
      </c>
      <c r="EF296" s="13" t="s">
        <v>209</v>
      </c>
      <c r="EG296" s="14" t="s">
        <v>179</v>
      </c>
      <c r="EH296" s="14" t="s">
        <v>8832</v>
      </c>
      <c r="EI296" s="14" t="s">
        <v>179</v>
      </c>
      <c r="EJ296" s="14" t="s">
        <v>8833</v>
      </c>
      <c r="EK296" s="15"/>
      <c r="EL296" s="15"/>
      <c r="EM296" s="15"/>
      <c r="EN296" s="15"/>
      <c r="EO296" s="15"/>
      <c r="EP296" s="15"/>
      <c r="EQ296" s="15"/>
      <c r="ER296" s="15"/>
      <c r="ES296" s="15"/>
      <c r="ET296" s="15"/>
      <c r="EU296" s="15"/>
      <c r="EV296" s="15"/>
      <c r="EW296" s="15"/>
      <c r="EX296" s="15"/>
      <c r="EY296" s="15"/>
      <c r="EZ296" s="15"/>
      <c r="FA296" s="15"/>
      <c r="FB296" s="15"/>
      <c r="FC296" s="16" t="s">
        <v>197</v>
      </c>
      <c r="FD296" s="17" t="s">
        <v>198</v>
      </c>
      <c r="FE296" s="18">
        <v>45720.35622685185</v>
      </c>
      <c r="FF296" s="19"/>
      <c r="FG296" s="19"/>
      <c r="FH296" s="21" t="s">
        <v>197</v>
      </c>
      <c r="FI296" s="17" t="s">
        <v>214</v>
      </c>
      <c r="FJ296" s="18">
        <v>45720.35622685185</v>
      </c>
      <c r="FK296" s="14" t="s">
        <v>8833</v>
      </c>
      <c r="FL296" s="14" t="s">
        <v>8834</v>
      </c>
      <c r="FM296" s="14" t="s">
        <v>8835</v>
      </c>
      <c r="FN296" s="19"/>
      <c r="FO296" s="19"/>
      <c r="FP296" s="19" t="str">
        <f t="shared" si="1"/>
        <v>Base de Dados_Images/DIC65003.Imagem do Equipamento-.170428.jpg</v>
      </c>
      <c r="FQ296" s="19"/>
      <c r="FR296" s="19"/>
    </row>
    <row r="297" ht="15.75" customHeight="1">
      <c r="A297" s="12" t="s">
        <v>547</v>
      </c>
      <c r="B297" s="12" t="s">
        <v>548</v>
      </c>
      <c r="C297" s="24" t="s">
        <v>324</v>
      </c>
      <c r="D297" s="22" t="s">
        <v>8836</v>
      </c>
      <c r="E297" s="22" t="s">
        <v>8837</v>
      </c>
      <c r="F297" s="13" t="s">
        <v>178</v>
      </c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6" t="s">
        <v>197</v>
      </c>
      <c r="BP297" s="17" t="s">
        <v>228</v>
      </c>
      <c r="BQ297" s="23"/>
      <c r="BR297" s="17" t="s">
        <v>228</v>
      </c>
      <c r="BS297" s="23"/>
      <c r="BT297" s="17" t="s">
        <v>228</v>
      </c>
      <c r="BU297" s="23"/>
      <c r="BV297" s="13" t="s">
        <v>199</v>
      </c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9"/>
      <c r="CH297" s="15"/>
      <c r="CI297" s="19"/>
      <c r="CJ297" s="15"/>
      <c r="CK297" s="19"/>
      <c r="CL297" s="15"/>
      <c r="CM297" s="19"/>
      <c r="CN297" s="15"/>
      <c r="CO297" s="19"/>
      <c r="CP297" s="15"/>
      <c r="CQ297" s="15"/>
      <c r="CR297" s="15"/>
      <c r="CS297" s="19"/>
      <c r="CT297" s="15"/>
      <c r="CU297" s="19"/>
      <c r="CV297" s="15"/>
      <c r="CW297" s="19"/>
      <c r="CX297" s="15"/>
      <c r="CY297" s="19"/>
      <c r="CZ297" s="15"/>
      <c r="DA297" s="16" t="s">
        <v>197</v>
      </c>
      <c r="DB297" s="17" t="s">
        <v>228</v>
      </c>
      <c r="DC297" s="16"/>
      <c r="DD297" s="17" t="s">
        <v>228</v>
      </c>
      <c r="DE297" s="23"/>
      <c r="DF297" s="17" t="s">
        <v>228</v>
      </c>
      <c r="DG297" s="23"/>
      <c r="DH297" s="13" t="s">
        <v>205</v>
      </c>
      <c r="DI297" s="14" t="s">
        <v>179</v>
      </c>
      <c r="DJ297" s="14" t="s">
        <v>8838</v>
      </c>
      <c r="DK297" s="14" t="s">
        <v>179</v>
      </c>
      <c r="DL297" s="14" t="s">
        <v>8839</v>
      </c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6" t="s">
        <v>197</v>
      </c>
      <c r="ED297" s="17" t="s">
        <v>198</v>
      </c>
      <c r="EE297" s="18">
        <v>45694.59918981481</v>
      </c>
      <c r="EF297" s="13" t="s">
        <v>209</v>
      </c>
      <c r="EG297" s="14" t="s">
        <v>179</v>
      </c>
      <c r="EH297" s="14" t="s">
        <v>8840</v>
      </c>
      <c r="EI297" s="14" t="s">
        <v>179</v>
      </c>
      <c r="EJ297" s="14" t="s">
        <v>8841</v>
      </c>
      <c r="EK297" s="15"/>
      <c r="EL297" s="15"/>
      <c r="EM297" s="15"/>
      <c r="EN297" s="15"/>
      <c r="EO297" s="15"/>
      <c r="EP297" s="15"/>
      <c r="EQ297" s="15"/>
      <c r="ER297" s="15"/>
      <c r="ES297" s="15"/>
      <c r="ET297" s="15"/>
      <c r="EU297" s="15"/>
      <c r="EV297" s="15"/>
      <c r="EW297" s="15"/>
      <c r="EX297" s="15"/>
      <c r="EY297" s="15"/>
      <c r="EZ297" s="15"/>
      <c r="FA297" s="15"/>
      <c r="FB297" s="15"/>
      <c r="FC297" s="16" t="s">
        <v>197</v>
      </c>
      <c r="FD297" s="17" t="s">
        <v>198</v>
      </c>
      <c r="FE297" s="18">
        <v>45722.61251157407</v>
      </c>
      <c r="FF297" s="19"/>
      <c r="FG297" s="19"/>
      <c r="FH297" s="21" t="s">
        <v>197</v>
      </c>
      <c r="FI297" s="17" t="s">
        <v>214</v>
      </c>
      <c r="FJ297" s="18">
        <v>45722.61251157407</v>
      </c>
      <c r="FK297" s="14" t="s">
        <v>8841</v>
      </c>
      <c r="FL297" s="14" t="s">
        <v>8842</v>
      </c>
      <c r="FM297" s="14" t="s">
        <v>8843</v>
      </c>
      <c r="FN297" s="19"/>
      <c r="FO297" s="19"/>
      <c r="FP297" s="19" t="str">
        <f t="shared" si="1"/>
        <v>Base de Dados_Images/DIC70015.Imagem do Equipamento-.172249.jpg</v>
      </c>
      <c r="FQ297" s="19"/>
      <c r="FR297" s="19"/>
    </row>
    <row r="298" ht="15.75" customHeight="1">
      <c r="A298" s="12" t="s">
        <v>7459</v>
      </c>
      <c r="B298" s="12" t="s">
        <v>7460</v>
      </c>
      <c r="C298" s="24" t="s">
        <v>8844</v>
      </c>
      <c r="D298" s="12" t="s">
        <v>8845</v>
      </c>
      <c r="E298" s="12" t="s">
        <v>8846</v>
      </c>
      <c r="F298" s="13" t="s">
        <v>178</v>
      </c>
      <c r="G298" s="14" t="s">
        <v>179</v>
      </c>
      <c r="H298" s="14" t="s">
        <v>8847</v>
      </c>
      <c r="I298" s="14" t="s">
        <v>179</v>
      </c>
      <c r="J298" s="14" t="s">
        <v>8847</v>
      </c>
      <c r="K298" s="14" t="s">
        <v>179</v>
      </c>
      <c r="L298" s="14" t="s">
        <v>8848</v>
      </c>
      <c r="M298" s="14" t="s">
        <v>179</v>
      </c>
      <c r="N298" s="14" t="s">
        <v>8849</v>
      </c>
      <c r="O298" s="14" t="s">
        <v>179</v>
      </c>
      <c r="P298" s="14" t="s">
        <v>8849</v>
      </c>
      <c r="Q298" s="14" t="s">
        <v>179</v>
      </c>
      <c r="R298" s="14" t="s">
        <v>8850</v>
      </c>
      <c r="S298" s="14" t="s">
        <v>179</v>
      </c>
      <c r="T298" s="14" t="s">
        <v>8851</v>
      </c>
      <c r="U298" s="14" t="s">
        <v>179</v>
      </c>
      <c r="V298" s="14" t="s">
        <v>8852</v>
      </c>
      <c r="W298" s="14" t="s">
        <v>179</v>
      </c>
      <c r="X298" s="14" t="s">
        <v>8852</v>
      </c>
      <c r="Y298" s="14" t="s">
        <v>179</v>
      </c>
      <c r="Z298" s="14" t="s">
        <v>8853</v>
      </c>
      <c r="AA298" s="14" t="s">
        <v>179</v>
      </c>
      <c r="AB298" s="14" t="s">
        <v>8853</v>
      </c>
      <c r="AC298" s="14" t="s">
        <v>179</v>
      </c>
      <c r="AD298" s="14" t="s">
        <v>8854</v>
      </c>
      <c r="AE298" s="14" t="s">
        <v>179</v>
      </c>
      <c r="AF298" s="14" t="s">
        <v>8855</v>
      </c>
      <c r="AG298" s="14" t="s">
        <v>179</v>
      </c>
      <c r="AH298" s="14" t="s">
        <v>8855</v>
      </c>
      <c r="AI298" s="14" t="s">
        <v>179</v>
      </c>
      <c r="AJ298" s="14" t="s">
        <v>8856</v>
      </c>
      <c r="AK298" s="14" t="s">
        <v>179</v>
      </c>
      <c r="AL298" s="14" t="s">
        <v>8857</v>
      </c>
      <c r="AM298" s="14" t="s">
        <v>179</v>
      </c>
      <c r="AN298" s="14" t="s">
        <v>8858</v>
      </c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6" t="s">
        <v>197</v>
      </c>
      <c r="BP298" s="17" t="s">
        <v>198</v>
      </c>
      <c r="BQ298" s="18">
        <v>45733.62542824074</v>
      </c>
      <c r="BR298" s="17" t="s">
        <v>198</v>
      </c>
      <c r="BS298" s="18">
        <v>45733.625497685185</v>
      </c>
      <c r="BT298" s="17" t="s">
        <v>198</v>
      </c>
      <c r="BU298" s="18">
        <v>45733.625497685185</v>
      </c>
      <c r="BV298" s="13" t="s">
        <v>199</v>
      </c>
      <c r="BW298" s="14" t="s">
        <v>179</v>
      </c>
      <c r="BX298" s="14" t="s">
        <v>8859</v>
      </c>
      <c r="BY298" s="14" t="s">
        <v>179</v>
      </c>
      <c r="BZ298" s="14" t="s">
        <v>8859</v>
      </c>
      <c r="CA298" s="14" t="s">
        <v>179</v>
      </c>
      <c r="CB298" s="14" t="s">
        <v>8860</v>
      </c>
      <c r="CC298" s="14" t="s">
        <v>179</v>
      </c>
      <c r="CD298" s="14" t="s">
        <v>8860</v>
      </c>
      <c r="CE298" s="14" t="s">
        <v>179</v>
      </c>
      <c r="CF298" s="14" t="s">
        <v>8861</v>
      </c>
      <c r="CG298" s="19"/>
      <c r="CH298" s="15"/>
      <c r="CI298" s="19"/>
      <c r="CJ298" s="15"/>
      <c r="CK298" s="19"/>
      <c r="CL298" s="15"/>
      <c r="CM298" s="19"/>
      <c r="CN298" s="15"/>
      <c r="CO298" s="19"/>
      <c r="CP298" s="15"/>
      <c r="CQ298" s="15"/>
      <c r="CR298" s="15"/>
      <c r="CS298" s="19"/>
      <c r="CT298" s="15"/>
      <c r="CU298" s="19"/>
      <c r="CV298" s="15"/>
      <c r="CW298" s="19"/>
      <c r="CX298" s="15"/>
      <c r="CY298" s="19"/>
      <c r="CZ298" s="15"/>
      <c r="DA298" s="16" t="s">
        <v>197</v>
      </c>
      <c r="DB298" s="17" t="s">
        <v>198</v>
      </c>
      <c r="DC298" s="20">
        <v>45733.62600694445</v>
      </c>
      <c r="DD298" s="17" t="s">
        <v>198</v>
      </c>
      <c r="DE298" s="18">
        <v>45733.62604166667</v>
      </c>
      <c r="DF298" s="17" t="s">
        <v>198</v>
      </c>
      <c r="DG298" s="18">
        <v>45733.62604166667</v>
      </c>
      <c r="DH298" s="13" t="s">
        <v>205</v>
      </c>
      <c r="DI298" s="14" t="s">
        <v>179</v>
      </c>
      <c r="DJ298" s="14" t="s">
        <v>8862</v>
      </c>
      <c r="DK298" s="14" t="s">
        <v>179</v>
      </c>
      <c r="DL298" s="14" t="s">
        <v>8862</v>
      </c>
      <c r="DM298" s="14" t="s">
        <v>179</v>
      </c>
      <c r="DN298" s="14" t="s">
        <v>8863</v>
      </c>
      <c r="DO298" s="14" t="s">
        <v>179</v>
      </c>
      <c r="DP298" s="14" t="s">
        <v>8864</v>
      </c>
      <c r="DQ298" s="14" t="s">
        <v>179</v>
      </c>
      <c r="DR298" s="14" t="s">
        <v>8865</v>
      </c>
      <c r="DS298" s="14" t="s">
        <v>179</v>
      </c>
      <c r="DT298" s="14" t="s">
        <v>8865</v>
      </c>
      <c r="DU298" s="15"/>
      <c r="DV298" s="15"/>
      <c r="DW298" s="15"/>
      <c r="DX298" s="15"/>
      <c r="DY298" s="15"/>
      <c r="DZ298" s="15"/>
      <c r="EA298" s="15"/>
      <c r="EB298" s="15"/>
      <c r="EC298" s="16" t="s">
        <v>197</v>
      </c>
      <c r="ED298" s="17" t="s">
        <v>198</v>
      </c>
      <c r="EE298" s="18">
        <v>45733.626122685186</v>
      </c>
      <c r="EF298" s="13" t="s">
        <v>209</v>
      </c>
      <c r="EG298" s="14" t="s">
        <v>179</v>
      </c>
      <c r="EH298" s="14" t="s">
        <v>8866</v>
      </c>
      <c r="EI298" s="14" t="s">
        <v>179</v>
      </c>
      <c r="EJ298" s="14" t="s">
        <v>8866</v>
      </c>
      <c r="EK298" s="14" t="s">
        <v>179</v>
      </c>
      <c r="EL298" s="14" t="s">
        <v>8867</v>
      </c>
      <c r="EM298" s="14" t="s">
        <v>179</v>
      </c>
      <c r="EN298" s="14" t="s">
        <v>8868</v>
      </c>
      <c r="EO298" s="14" t="s">
        <v>179</v>
      </c>
      <c r="EP298" s="14" t="s">
        <v>8869</v>
      </c>
      <c r="EQ298" s="14" t="s">
        <v>179</v>
      </c>
      <c r="ER298" s="14" t="s">
        <v>8870</v>
      </c>
      <c r="ES298" s="14" t="s">
        <v>179</v>
      </c>
      <c r="ET298" s="14" t="s">
        <v>8871</v>
      </c>
      <c r="EU298" s="14" t="s">
        <v>179</v>
      </c>
      <c r="EV298" s="14" t="s">
        <v>8871</v>
      </c>
      <c r="EW298" s="15"/>
      <c r="EX298" s="15"/>
      <c r="EY298" s="15"/>
      <c r="EZ298" s="15"/>
      <c r="FA298" s="15"/>
      <c r="FB298" s="15"/>
      <c r="FC298" s="16" t="s">
        <v>197</v>
      </c>
      <c r="FD298" s="17" t="s">
        <v>198</v>
      </c>
      <c r="FE298" s="18">
        <v>45735.74476851852</v>
      </c>
      <c r="FF298" s="19"/>
      <c r="FG298" s="19"/>
      <c r="FH298" s="21" t="s">
        <v>197</v>
      </c>
      <c r="FI298" s="17" t="s">
        <v>214</v>
      </c>
      <c r="FJ298" s="18">
        <v>45735.74476851852</v>
      </c>
      <c r="FK298" s="14" t="s">
        <v>8871</v>
      </c>
      <c r="FL298" s="19"/>
      <c r="FM298" s="19"/>
      <c r="FN298" s="19"/>
      <c r="FO298" s="19"/>
      <c r="FP298" s="19" t="str">
        <f t="shared" si="1"/>
        <v/>
      </c>
      <c r="FQ298" s="14" t="s">
        <v>215</v>
      </c>
      <c r="FR298" s="14" t="s">
        <v>8872</v>
      </c>
    </row>
    <row r="299" ht="15.75" customHeight="1">
      <c r="A299" s="12" t="s">
        <v>292</v>
      </c>
      <c r="B299" s="12" t="s">
        <v>6546</v>
      </c>
      <c r="C299" s="24" t="s">
        <v>375</v>
      </c>
      <c r="D299" s="22" t="s">
        <v>8873</v>
      </c>
      <c r="E299" s="22" t="s">
        <v>8874</v>
      </c>
      <c r="F299" s="13" t="s">
        <v>178</v>
      </c>
      <c r="G299" s="14" t="s">
        <v>179</v>
      </c>
      <c r="H299" s="14" t="s">
        <v>8875</v>
      </c>
      <c r="I299" s="14" t="s">
        <v>179</v>
      </c>
      <c r="J299" s="14" t="s">
        <v>8876</v>
      </c>
      <c r="K299" s="14" t="s">
        <v>179</v>
      </c>
      <c r="L299" s="14" t="s">
        <v>8876</v>
      </c>
      <c r="M299" s="14" t="s">
        <v>179</v>
      </c>
      <c r="N299" s="14" t="s">
        <v>8877</v>
      </c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6" t="s">
        <v>197</v>
      </c>
      <c r="BP299" s="17" t="s">
        <v>198</v>
      </c>
      <c r="BQ299" s="18">
        <v>45695.62621527778</v>
      </c>
      <c r="BR299" s="17" t="s">
        <v>198</v>
      </c>
      <c r="BS299" s="18">
        <v>45695.62626157407</v>
      </c>
      <c r="BT299" s="17" t="s">
        <v>198</v>
      </c>
      <c r="BU299" s="18">
        <v>45695.62626157407</v>
      </c>
      <c r="BV299" s="13" t="s">
        <v>199</v>
      </c>
      <c r="BW299" s="14" t="s">
        <v>179</v>
      </c>
      <c r="BX299" s="14" t="s">
        <v>8878</v>
      </c>
      <c r="BY299" s="14" t="s">
        <v>179</v>
      </c>
      <c r="BZ299" s="14" t="s">
        <v>8879</v>
      </c>
      <c r="CA299" s="14" t="s">
        <v>179</v>
      </c>
      <c r="CB299" s="14" t="s">
        <v>8879</v>
      </c>
      <c r="CC299" s="15"/>
      <c r="CD299" s="15"/>
      <c r="CE299" s="15"/>
      <c r="CF299" s="15"/>
      <c r="CG299" s="19"/>
      <c r="CH299" s="15"/>
      <c r="CI299" s="19"/>
      <c r="CJ299" s="15"/>
      <c r="CK299" s="19"/>
      <c r="CL299" s="15"/>
      <c r="CM299" s="19"/>
      <c r="CN299" s="15"/>
      <c r="CO299" s="19"/>
      <c r="CP299" s="15"/>
      <c r="CQ299" s="15"/>
      <c r="CR299" s="15"/>
      <c r="CS299" s="19"/>
      <c r="CT299" s="15"/>
      <c r="CU299" s="19"/>
      <c r="CV299" s="15"/>
      <c r="CW299" s="19"/>
      <c r="CX299" s="15"/>
      <c r="CY299" s="19"/>
      <c r="CZ299" s="15"/>
      <c r="DA299" s="16" t="s">
        <v>197</v>
      </c>
      <c r="DB299" s="17" t="s">
        <v>228</v>
      </c>
      <c r="DC299" s="16"/>
      <c r="DD299" s="17" t="s">
        <v>198</v>
      </c>
      <c r="DE299" s="18">
        <v>45695.62634259259</v>
      </c>
      <c r="DF299" s="17" t="s">
        <v>198</v>
      </c>
      <c r="DG299" s="18">
        <v>45695.62634259259</v>
      </c>
      <c r="DH299" s="13" t="s">
        <v>205</v>
      </c>
      <c r="DI299" s="14" t="s">
        <v>179</v>
      </c>
      <c r="DJ299" s="14" t="s">
        <v>8880</v>
      </c>
      <c r="DK299" s="14" t="s">
        <v>179</v>
      </c>
      <c r="DL299" s="14" t="s">
        <v>8881</v>
      </c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6" t="s">
        <v>197</v>
      </c>
      <c r="ED299" s="17" t="s">
        <v>198</v>
      </c>
      <c r="EE299" s="18">
        <v>45720.52439814815</v>
      </c>
      <c r="EF299" s="13" t="s">
        <v>209</v>
      </c>
      <c r="EG299" s="14" t="s">
        <v>179</v>
      </c>
      <c r="EH299" s="14" t="s">
        <v>8882</v>
      </c>
      <c r="EI299" s="14" t="s">
        <v>179</v>
      </c>
      <c r="EJ299" s="14" t="s">
        <v>8883</v>
      </c>
      <c r="EK299" s="15"/>
      <c r="EL299" s="15"/>
      <c r="EM299" s="15"/>
      <c r="EN299" s="15"/>
      <c r="EO299" s="15"/>
      <c r="EP299" s="15"/>
      <c r="EQ299" s="15"/>
      <c r="ER299" s="15"/>
      <c r="ES299" s="15"/>
      <c r="ET299" s="15"/>
      <c r="EU299" s="15"/>
      <c r="EV299" s="15"/>
      <c r="EW299" s="15"/>
      <c r="EX299" s="15"/>
      <c r="EY299" s="15"/>
      <c r="EZ299" s="15"/>
      <c r="FA299" s="15"/>
      <c r="FB299" s="15"/>
      <c r="FC299" s="16" t="s">
        <v>197</v>
      </c>
      <c r="FD299" s="17" t="s">
        <v>198</v>
      </c>
      <c r="FE299" s="18">
        <v>45724.399675925924</v>
      </c>
      <c r="FF299" s="19"/>
      <c r="FG299" s="19"/>
      <c r="FH299" s="21" t="s">
        <v>197</v>
      </c>
      <c r="FI299" s="17" t="s">
        <v>214</v>
      </c>
      <c r="FJ299" s="18">
        <v>45724.399675925924</v>
      </c>
      <c r="FK299" s="14" t="s">
        <v>8883</v>
      </c>
      <c r="FL299" s="19"/>
      <c r="FM299" s="19"/>
      <c r="FN299" s="19"/>
      <c r="FO299" s="19"/>
      <c r="FP299" s="19" t="str">
        <f t="shared" si="1"/>
        <v/>
      </c>
      <c r="FQ299" s="14" t="s">
        <v>215</v>
      </c>
      <c r="FR299" s="14" t="s">
        <v>8884</v>
      </c>
    </row>
    <row r="300" ht="15.75" customHeight="1">
      <c r="A300" s="25" t="s">
        <v>234</v>
      </c>
      <c r="B300" s="25" t="s">
        <v>8709</v>
      </c>
      <c r="C300" s="24" t="s">
        <v>375</v>
      </c>
      <c r="D300" s="22" t="s">
        <v>8885</v>
      </c>
      <c r="E300" s="28" t="s">
        <v>8886</v>
      </c>
      <c r="F300" s="13" t="s">
        <v>178</v>
      </c>
      <c r="G300" s="14" t="s">
        <v>179</v>
      </c>
      <c r="H300" s="14" t="s">
        <v>8887</v>
      </c>
      <c r="I300" s="14" t="s">
        <v>179</v>
      </c>
      <c r="J300" s="14" t="s">
        <v>8888</v>
      </c>
      <c r="K300" s="14" t="s">
        <v>179</v>
      </c>
      <c r="L300" s="14" t="s">
        <v>8889</v>
      </c>
      <c r="M300" s="14" t="s">
        <v>179</v>
      </c>
      <c r="N300" s="14" t="s">
        <v>8890</v>
      </c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6" t="s">
        <v>197</v>
      </c>
      <c r="BP300" s="17" t="s">
        <v>198</v>
      </c>
      <c r="BQ300" s="18">
        <v>45687.39805555555</v>
      </c>
      <c r="BR300" s="17" t="s">
        <v>198</v>
      </c>
      <c r="BS300" s="18">
        <v>45687.398043981484</v>
      </c>
      <c r="BT300" s="17" t="s">
        <v>198</v>
      </c>
      <c r="BU300" s="18">
        <v>45687.39805555555</v>
      </c>
      <c r="BV300" s="13" t="s">
        <v>199</v>
      </c>
      <c r="BW300" s="14" t="s">
        <v>179</v>
      </c>
      <c r="BX300" s="14" t="s">
        <v>8891</v>
      </c>
      <c r="BY300" s="14" t="s">
        <v>179</v>
      </c>
      <c r="BZ300" s="14" t="s">
        <v>8892</v>
      </c>
      <c r="CA300" s="14" t="s">
        <v>179</v>
      </c>
      <c r="CB300" s="14" t="s">
        <v>8892</v>
      </c>
      <c r="CC300" s="15"/>
      <c r="CD300" s="15"/>
      <c r="CE300" s="15"/>
      <c r="CF300" s="15"/>
      <c r="CG300" s="19"/>
      <c r="CH300" s="15"/>
      <c r="CI300" s="19"/>
      <c r="CJ300" s="15"/>
      <c r="CK300" s="19"/>
      <c r="CL300" s="15"/>
      <c r="CM300" s="19"/>
      <c r="CN300" s="15"/>
      <c r="CO300" s="19"/>
      <c r="CP300" s="15"/>
      <c r="CQ300" s="15"/>
      <c r="CR300" s="15"/>
      <c r="CS300" s="19"/>
      <c r="CT300" s="15"/>
      <c r="CU300" s="19"/>
      <c r="CV300" s="15"/>
      <c r="CW300" s="19"/>
      <c r="CX300" s="15"/>
      <c r="CY300" s="19"/>
      <c r="CZ300" s="15"/>
      <c r="DA300" s="16" t="s">
        <v>197</v>
      </c>
      <c r="DB300" s="17" t="s">
        <v>228</v>
      </c>
      <c r="DC300" s="16"/>
      <c r="DD300" s="17" t="s">
        <v>198</v>
      </c>
      <c r="DE300" s="18">
        <v>45696.44451388889</v>
      </c>
      <c r="DF300" s="17" t="s">
        <v>198</v>
      </c>
      <c r="DG300" s="18">
        <v>45696.44451388889</v>
      </c>
      <c r="DH300" s="13" t="s">
        <v>205</v>
      </c>
      <c r="DI300" s="14" t="s">
        <v>179</v>
      </c>
      <c r="DJ300" s="14" t="s">
        <v>8893</v>
      </c>
      <c r="DK300" s="14" t="s">
        <v>179</v>
      </c>
      <c r="DL300" s="14" t="s">
        <v>8894</v>
      </c>
      <c r="DM300" s="15"/>
      <c r="DN300" s="15"/>
      <c r="DO300" s="15"/>
      <c r="DP300" s="15"/>
      <c r="DQ300" s="15"/>
      <c r="DR300" s="15"/>
      <c r="DS300" s="15"/>
      <c r="DT300" s="15"/>
      <c r="DU300" s="15"/>
      <c r="DV300" s="15"/>
      <c r="DW300" s="15"/>
      <c r="DX300" s="15"/>
      <c r="DY300" s="15"/>
      <c r="DZ300" s="15"/>
      <c r="EA300" s="15"/>
      <c r="EB300" s="15"/>
      <c r="EC300" s="16" t="s">
        <v>197</v>
      </c>
      <c r="ED300" s="17" t="s">
        <v>198</v>
      </c>
      <c r="EE300" s="18">
        <v>45703.609189814815</v>
      </c>
      <c r="EF300" s="13" t="s">
        <v>209</v>
      </c>
      <c r="EG300" s="14" t="s">
        <v>179</v>
      </c>
      <c r="EH300" s="14" t="s">
        <v>8895</v>
      </c>
      <c r="EI300" s="14" t="s">
        <v>179</v>
      </c>
      <c r="EJ300" s="14" t="s">
        <v>8896</v>
      </c>
      <c r="EK300" s="15"/>
      <c r="EL300" s="15"/>
      <c r="EM300" s="15"/>
      <c r="EN300" s="15"/>
      <c r="EO300" s="15"/>
      <c r="EP300" s="15"/>
      <c r="EQ300" s="15"/>
      <c r="ER300" s="15"/>
      <c r="ES300" s="15"/>
      <c r="ET300" s="15"/>
      <c r="EU300" s="15"/>
      <c r="EV300" s="15"/>
      <c r="EW300" s="15"/>
      <c r="EX300" s="15"/>
      <c r="EY300" s="15"/>
      <c r="EZ300" s="15"/>
      <c r="FA300" s="15"/>
      <c r="FB300" s="15"/>
      <c r="FC300" s="16" t="s">
        <v>197</v>
      </c>
      <c r="FD300" s="17" t="s">
        <v>198</v>
      </c>
      <c r="FE300" s="18">
        <v>45720.35631944444</v>
      </c>
      <c r="FF300" s="19"/>
      <c r="FG300" s="19"/>
      <c r="FH300" s="21" t="s">
        <v>197</v>
      </c>
      <c r="FI300" s="17" t="s">
        <v>214</v>
      </c>
      <c r="FJ300" s="18">
        <v>45720.35631944444</v>
      </c>
      <c r="FK300" s="14" t="s">
        <v>8896</v>
      </c>
      <c r="FL300" s="14" t="s">
        <v>8897</v>
      </c>
      <c r="FM300" s="14" t="s">
        <v>8898</v>
      </c>
      <c r="FN300" s="19"/>
      <c r="FO300" s="19"/>
      <c r="FP300" s="19" t="str">
        <f t="shared" si="1"/>
        <v>Base de Dados_Images/DIT40030.Imagem do Equipamento-.131706.jpg</v>
      </c>
      <c r="FQ300" s="19"/>
      <c r="FR300" s="19"/>
    </row>
    <row r="301" ht="15.75" customHeight="1">
      <c r="A301" s="12" t="s">
        <v>234</v>
      </c>
      <c r="B301" s="12" t="s">
        <v>8709</v>
      </c>
      <c r="C301" s="24" t="s">
        <v>375</v>
      </c>
      <c r="D301" s="22" t="s">
        <v>8899</v>
      </c>
      <c r="E301" s="22" t="s">
        <v>8900</v>
      </c>
      <c r="F301" s="13" t="s">
        <v>178</v>
      </c>
      <c r="G301" s="14" t="s">
        <v>179</v>
      </c>
      <c r="H301" s="14" t="s">
        <v>8901</v>
      </c>
      <c r="I301" s="14" t="s">
        <v>179</v>
      </c>
      <c r="J301" s="14" t="s">
        <v>8902</v>
      </c>
      <c r="K301" s="14" t="s">
        <v>179</v>
      </c>
      <c r="L301" s="14" t="s">
        <v>8903</v>
      </c>
      <c r="M301" s="14" t="s">
        <v>179</v>
      </c>
      <c r="N301" s="14" t="s">
        <v>8904</v>
      </c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6" t="s">
        <v>197</v>
      </c>
      <c r="BP301" s="17" t="s">
        <v>198</v>
      </c>
      <c r="BQ301" s="18">
        <v>45694.54806712963</v>
      </c>
      <c r="BR301" s="17" t="s">
        <v>198</v>
      </c>
      <c r="BS301" s="18">
        <v>45694.548113425924</v>
      </c>
      <c r="BT301" s="17" t="s">
        <v>198</v>
      </c>
      <c r="BU301" s="18">
        <v>45694.548113425924</v>
      </c>
      <c r="BV301" s="13" t="s">
        <v>199</v>
      </c>
      <c r="BW301" s="14" t="s">
        <v>179</v>
      </c>
      <c r="BX301" s="14" t="s">
        <v>8905</v>
      </c>
      <c r="BY301" s="14" t="s">
        <v>179</v>
      </c>
      <c r="BZ301" s="14" t="s">
        <v>8906</v>
      </c>
      <c r="CA301" s="14" t="s">
        <v>179</v>
      </c>
      <c r="CB301" s="14" t="s">
        <v>8907</v>
      </c>
      <c r="CC301" s="15"/>
      <c r="CD301" s="15"/>
      <c r="CE301" s="15"/>
      <c r="CF301" s="15"/>
      <c r="CG301" s="19"/>
      <c r="CH301" s="15"/>
      <c r="CI301" s="19"/>
      <c r="CJ301" s="15"/>
      <c r="CK301" s="19"/>
      <c r="CL301" s="15"/>
      <c r="CM301" s="19"/>
      <c r="CN301" s="15"/>
      <c r="CO301" s="19"/>
      <c r="CP301" s="15"/>
      <c r="CQ301" s="15"/>
      <c r="CR301" s="15"/>
      <c r="CS301" s="19"/>
      <c r="CT301" s="15"/>
      <c r="CU301" s="19"/>
      <c r="CV301" s="15"/>
      <c r="CW301" s="19"/>
      <c r="CX301" s="15"/>
      <c r="CY301" s="19"/>
      <c r="CZ301" s="15"/>
      <c r="DA301" s="16" t="s">
        <v>197</v>
      </c>
      <c r="DB301" s="17" t="s">
        <v>228</v>
      </c>
      <c r="DC301" s="16"/>
      <c r="DD301" s="17" t="s">
        <v>198</v>
      </c>
      <c r="DE301" s="18">
        <v>45696.35334490741</v>
      </c>
      <c r="DF301" s="17" t="s">
        <v>198</v>
      </c>
      <c r="DG301" s="18">
        <v>45696.35334490741</v>
      </c>
      <c r="DH301" s="13" t="s">
        <v>205</v>
      </c>
      <c r="DI301" s="14" t="s">
        <v>179</v>
      </c>
      <c r="DJ301" s="14" t="s">
        <v>8908</v>
      </c>
      <c r="DK301" s="14" t="s">
        <v>179</v>
      </c>
      <c r="DL301" s="14" t="s">
        <v>8909</v>
      </c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6" t="s">
        <v>197</v>
      </c>
      <c r="ED301" s="17" t="s">
        <v>198</v>
      </c>
      <c r="EE301" s="18">
        <v>45696.353483796294</v>
      </c>
      <c r="EF301" s="13" t="s">
        <v>209</v>
      </c>
      <c r="EG301" s="14" t="s">
        <v>179</v>
      </c>
      <c r="EH301" s="14" t="s">
        <v>8910</v>
      </c>
      <c r="EI301" s="14" t="s">
        <v>179</v>
      </c>
      <c r="EJ301" s="14" t="s">
        <v>8910</v>
      </c>
      <c r="EK301" s="15"/>
      <c r="EL301" s="15"/>
      <c r="EM301" s="15"/>
      <c r="EN301" s="15"/>
      <c r="EO301" s="15"/>
      <c r="EP301" s="15"/>
      <c r="EQ301" s="15"/>
      <c r="ER301" s="15"/>
      <c r="ES301" s="15"/>
      <c r="ET301" s="15"/>
      <c r="EU301" s="15"/>
      <c r="EV301" s="15"/>
      <c r="EW301" s="15"/>
      <c r="EX301" s="15"/>
      <c r="EY301" s="15"/>
      <c r="EZ301" s="15"/>
      <c r="FA301" s="15"/>
      <c r="FB301" s="15"/>
      <c r="FC301" s="16" t="s">
        <v>197</v>
      </c>
      <c r="FD301" s="17" t="s">
        <v>198</v>
      </c>
      <c r="FE301" s="18">
        <v>45720.35643518518</v>
      </c>
      <c r="FF301" s="19"/>
      <c r="FG301" s="19"/>
      <c r="FH301" s="21" t="s">
        <v>197</v>
      </c>
      <c r="FI301" s="17" t="s">
        <v>214</v>
      </c>
      <c r="FJ301" s="18">
        <v>45720.35643518518</v>
      </c>
      <c r="FK301" s="14" t="s">
        <v>8910</v>
      </c>
      <c r="FL301" s="14" t="s">
        <v>8911</v>
      </c>
      <c r="FM301" s="14" t="s">
        <v>8912</v>
      </c>
      <c r="FN301" s="19"/>
      <c r="FO301" s="19"/>
      <c r="FP301" s="19" t="str">
        <f t="shared" si="1"/>
        <v>Base de Dados_Images/DIT65003.Imagem do Equipamento-.180920.jpg</v>
      </c>
      <c r="FQ301" s="19"/>
      <c r="FR301" s="19"/>
    </row>
    <row r="302" ht="15.75" customHeight="1">
      <c r="A302" s="12" t="s">
        <v>547</v>
      </c>
      <c r="B302" s="12" t="s">
        <v>548</v>
      </c>
      <c r="C302" s="24" t="s">
        <v>375</v>
      </c>
      <c r="D302" s="22" t="s">
        <v>8913</v>
      </c>
      <c r="E302" s="22" t="s">
        <v>8914</v>
      </c>
      <c r="F302" s="13" t="s">
        <v>178</v>
      </c>
      <c r="G302" s="14" t="s">
        <v>179</v>
      </c>
      <c r="H302" s="14" t="s">
        <v>8915</v>
      </c>
      <c r="I302" s="14" t="s">
        <v>179</v>
      </c>
      <c r="J302" s="14" t="s">
        <v>8916</v>
      </c>
      <c r="K302" s="14" t="s">
        <v>179</v>
      </c>
      <c r="L302" s="14" t="s">
        <v>8917</v>
      </c>
      <c r="M302" s="14" t="s">
        <v>179</v>
      </c>
      <c r="N302" s="14" t="s">
        <v>8918</v>
      </c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6" t="s">
        <v>197</v>
      </c>
      <c r="BP302" s="17" t="s">
        <v>198</v>
      </c>
      <c r="BQ302" s="18">
        <v>45694.38553240741</v>
      </c>
      <c r="BR302" s="17" t="s">
        <v>198</v>
      </c>
      <c r="BS302" s="18">
        <v>45694.3855787037</v>
      </c>
      <c r="BT302" s="17" t="s">
        <v>198</v>
      </c>
      <c r="BU302" s="18">
        <v>45694.3855787037</v>
      </c>
      <c r="BV302" s="13" t="s">
        <v>199</v>
      </c>
      <c r="BW302" s="14" t="s">
        <v>179</v>
      </c>
      <c r="BX302" s="14" t="s">
        <v>8919</v>
      </c>
      <c r="BY302" s="14" t="s">
        <v>179</v>
      </c>
      <c r="BZ302" s="14" t="s">
        <v>8920</v>
      </c>
      <c r="CA302" s="14" t="s">
        <v>179</v>
      </c>
      <c r="CB302" s="14" t="s">
        <v>8921</v>
      </c>
      <c r="CC302" s="15"/>
      <c r="CD302" s="15"/>
      <c r="CE302" s="15"/>
      <c r="CF302" s="15"/>
      <c r="CG302" s="19"/>
      <c r="CH302" s="15"/>
      <c r="CI302" s="19"/>
      <c r="CJ302" s="15"/>
      <c r="CK302" s="19"/>
      <c r="CL302" s="15"/>
      <c r="CM302" s="19"/>
      <c r="CN302" s="15"/>
      <c r="CO302" s="19"/>
      <c r="CP302" s="15"/>
      <c r="CQ302" s="15"/>
      <c r="CR302" s="15"/>
      <c r="CS302" s="19"/>
      <c r="CT302" s="15"/>
      <c r="CU302" s="19"/>
      <c r="CV302" s="15"/>
      <c r="CW302" s="19"/>
      <c r="CX302" s="15"/>
      <c r="CY302" s="19"/>
      <c r="CZ302" s="15"/>
      <c r="DA302" s="16" t="s">
        <v>197</v>
      </c>
      <c r="DB302" s="17" t="s">
        <v>228</v>
      </c>
      <c r="DC302" s="16"/>
      <c r="DD302" s="17" t="s">
        <v>198</v>
      </c>
      <c r="DE302" s="18">
        <v>45696.57664351852</v>
      </c>
      <c r="DF302" s="17" t="s">
        <v>198</v>
      </c>
      <c r="DG302" s="18">
        <v>45696.57664351852</v>
      </c>
      <c r="DH302" s="13" t="s">
        <v>205</v>
      </c>
      <c r="DI302" s="14" t="s">
        <v>179</v>
      </c>
      <c r="DJ302" s="14" t="s">
        <v>8922</v>
      </c>
      <c r="DK302" s="14" t="s">
        <v>179</v>
      </c>
      <c r="DL302" s="14" t="s">
        <v>8923</v>
      </c>
      <c r="DM302" s="15"/>
      <c r="DN302" s="15"/>
      <c r="DO302" s="15"/>
      <c r="DP302" s="15"/>
      <c r="DQ302" s="15"/>
      <c r="DR302" s="15"/>
      <c r="DS302" s="15"/>
      <c r="DT302" s="15"/>
      <c r="DU302" s="15"/>
      <c r="DV302" s="15"/>
      <c r="DW302" s="15"/>
      <c r="DX302" s="15"/>
      <c r="DY302" s="15"/>
      <c r="DZ302" s="15"/>
      <c r="EA302" s="15"/>
      <c r="EB302" s="15"/>
      <c r="EC302" s="16" t="s">
        <v>197</v>
      </c>
      <c r="ED302" s="17" t="s">
        <v>198</v>
      </c>
      <c r="EE302" s="18">
        <v>45720.609247685185</v>
      </c>
      <c r="EF302" s="13" t="s">
        <v>209</v>
      </c>
      <c r="EG302" s="14" t="s">
        <v>179</v>
      </c>
      <c r="EH302" s="14" t="s">
        <v>8924</v>
      </c>
      <c r="EI302" s="14" t="s">
        <v>179</v>
      </c>
      <c r="EJ302" s="14" t="s">
        <v>8925</v>
      </c>
      <c r="EK302" s="15"/>
      <c r="EL302" s="15"/>
      <c r="EM302" s="15"/>
      <c r="EN302" s="15"/>
      <c r="EO302" s="15"/>
      <c r="EP302" s="15"/>
      <c r="EQ302" s="15"/>
      <c r="ER302" s="15"/>
      <c r="ES302" s="15"/>
      <c r="ET302" s="15"/>
      <c r="EU302" s="15"/>
      <c r="EV302" s="15"/>
      <c r="EW302" s="15"/>
      <c r="EX302" s="15"/>
      <c r="EY302" s="15"/>
      <c r="EZ302" s="15"/>
      <c r="FA302" s="15"/>
      <c r="FB302" s="15"/>
      <c r="FC302" s="16" t="s">
        <v>197</v>
      </c>
      <c r="FD302" s="17" t="s">
        <v>198</v>
      </c>
      <c r="FE302" s="18">
        <v>45722.61331018519</v>
      </c>
      <c r="FF302" s="19"/>
      <c r="FG302" s="19"/>
      <c r="FH302" s="21" t="s">
        <v>197</v>
      </c>
      <c r="FI302" s="17" t="s">
        <v>214</v>
      </c>
      <c r="FJ302" s="18">
        <v>45722.61331018519</v>
      </c>
      <c r="FK302" s="14" t="s">
        <v>8925</v>
      </c>
      <c r="FL302" s="14" t="s">
        <v>8926</v>
      </c>
      <c r="FM302" s="14" t="s">
        <v>8927</v>
      </c>
      <c r="FN302" s="19"/>
      <c r="FO302" s="19"/>
      <c r="FP302" s="19" t="str">
        <f t="shared" si="1"/>
        <v>Base de Dados_Images/DIT70015.Imagem do Equipamento-.121509.jpg</v>
      </c>
      <c r="FQ302" s="19"/>
      <c r="FR302" s="19"/>
    </row>
    <row r="303" ht="15.75" customHeight="1">
      <c r="A303" s="12" t="s">
        <v>174</v>
      </c>
      <c r="B303" s="12" t="s">
        <v>8928</v>
      </c>
      <c r="C303" s="24" t="s">
        <v>8929</v>
      </c>
      <c r="D303" s="22" t="s">
        <v>8930</v>
      </c>
      <c r="E303" s="22" t="s">
        <v>8929</v>
      </c>
      <c r="F303" s="13" t="s">
        <v>178</v>
      </c>
      <c r="G303" s="14" t="s">
        <v>179</v>
      </c>
      <c r="H303" s="14" t="s">
        <v>8931</v>
      </c>
      <c r="I303" s="14" t="s">
        <v>179</v>
      </c>
      <c r="J303" s="14" t="s">
        <v>8932</v>
      </c>
      <c r="K303" s="14" t="s">
        <v>179</v>
      </c>
      <c r="L303" s="14" t="s">
        <v>8932</v>
      </c>
      <c r="M303" s="14" t="s">
        <v>179</v>
      </c>
      <c r="N303" s="14" t="s">
        <v>8933</v>
      </c>
      <c r="O303" s="14" t="s">
        <v>179</v>
      </c>
      <c r="P303" s="14" t="s">
        <v>8933</v>
      </c>
      <c r="Q303" s="14" t="s">
        <v>179</v>
      </c>
      <c r="R303" s="14" t="s">
        <v>8934</v>
      </c>
      <c r="S303" s="14" t="s">
        <v>179</v>
      </c>
      <c r="T303" s="14" t="s">
        <v>8935</v>
      </c>
      <c r="U303" s="14" t="s">
        <v>179</v>
      </c>
      <c r="V303" s="14" t="s">
        <v>8936</v>
      </c>
      <c r="W303" s="14" t="s">
        <v>179</v>
      </c>
      <c r="X303" s="14" t="s">
        <v>8937</v>
      </c>
      <c r="Y303" s="14" t="s">
        <v>179</v>
      </c>
      <c r="Z303" s="14" t="s">
        <v>8938</v>
      </c>
      <c r="AA303" s="14" t="s">
        <v>179</v>
      </c>
      <c r="AB303" s="14" t="s">
        <v>8939</v>
      </c>
      <c r="AC303" s="14" t="s">
        <v>179</v>
      </c>
      <c r="AD303" s="14" t="s">
        <v>8940</v>
      </c>
      <c r="AE303" s="14" t="s">
        <v>179</v>
      </c>
      <c r="AF303" s="14" t="s">
        <v>8941</v>
      </c>
      <c r="AG303" s="14" t="s">
        <v>179</v>
      </c>
      <c r="AH303" s="14" t="s">
        <v>8942</v>
      </c>
      <c r="AI303" s="14" t="s">
        <v>179</v>
      </c>
      <c r="AJ303" s="14" t="s">
        <v>8943</v>
      </c>
      <c r="AK303" s="14" t="s">
        <v>179</v>
      </c>
      <c r="AL303" s="14" t="s">
        <v>8944</v>
      </c>
      <c r="AM303" s="14" t="s">
        <v>179</v>
      </c>
      <c r="AN303" s="14" t="s">
        <v>8945</v>
      </c>
      <c r="AO303" s="14" t="s">
        <v>179</v>
      </c>
      <c r="AP303" s="14" t="s">
        <v>8946</v>
      </c>
      <c r="AQ303" s="14" t="s">
        <v>179</v>
      </c>
      <c r="AR303" s="14" t="s">
        <v>8947</v>
      </c>
      <c r="AS303" s="14" t="s">
        <v>179</v>
      </c>
      <c r="AT303" s="14" t="s">
        <v>8948</v>
      </c>
      <c r="AU303" s="14" t="s">
        <v>179</v>
      </c>
      <c r="AV303" s="14" t="s">
        <v>8949</v>
      </c>
      <c r="AW303" s="14" t="s">
        <v>179</v>
      </c>
      <c r="AX303" s="14" t="s">
        <v>8950</v>
      </c>
      <c r="AY303" s="14" t="s">
        <v>179</v>
      </c>
      <c r="AZ303" s="14" t="s">
        <v>8951</v>
      </c>
      <c r="BA303" s="14" t="s">
        <v>179</v>
      </c>
      <c r="BB303" s="14" t="s">
        <v>8952</v>
      </c>
      <c r="BC303" s="14" t="s">
        <v>179</v>
      </c>
      <c r="BD303" s="14" t="s">
        <v>8952</v>
      </c>
      <c r="BE303" s="14" t="s">
        <v>179</v>
      </c>
      <c r="BF303" s="14" t="s">
        <v>8953</v>
      </c>
      <c r="BG303" s="15"/>
      <c r="BH303" s="15"/>
      <c r="BI303" s="15"/>
      <c r="BJ303" s="15"/>
      <c r="BK303" s="15"/>
      <c r="BL303" s="15"/>
      <c r="BM303" s="15"/>
      <c r="BN303" s="15"/>
      <c r="BO303" s="16" t="s">
        <v>197</v>
      </c>
      <c r="BP303" s="17" t="s">
        <v>198</v>
      </c>
      <c r="BQ303" s="18">
        <v>45720.63899305555</v>
      </c>
      <c r="BR303" s="17" t="s">
        <v>198</v>
      </c>
      <c r="BS303" s="18">
        <v>45720.639085648145</v>
      </c>
      <c r="BT303" s="17" t="s">
        <v>198</v>
      </c>
      <c r="BU303" s="18">
        <v>45720.639085648145</v>
      </c>
      <c r="BV303" s="13" t="s">
        <v>199</v>
      </c>
      <c r="BW303" s="14" t="s">
        <v>179</v>
      </c>
      <c r="BX303" s="14" t="s">
        <v>8954</v>
      </c>
      <c r="BY303" s="14" t="s">
        <v>179</v>
      </c>
      <c r="BZ303" s="14" t="s">
        <v>8954</v>
      </c>
      <c r="CA303" s="14" t="s">
        <v>179</v>
      </c>
      <c r="CB303" s="14" t="s">
        <v>8955</v>
      </c>
      <c r="CC303" s="14" t="s">
        <v>179</v>
      </c>
      <c r="CD303" s="14" t="s">
        <v>8956</v>
      </c>
      <c r="CE303" s="14" t="s">
        <v>179</v>
      </c>
      <c r="CF303" s="14" t="s">
        <v>8957</v>
      </c>
      <c r="CG303" s="19"/>
      <c r="CH303" s="15"/>
      <c r="CI303" s="19"/>
      <c r="CJ303" s="15"/>
      <c r="CK303" s="19"/>
      <c r="CL303" s="15"/>
      <c r="CM303" s="19"/>
      <c r="CN303" s="15"/>
      <c r="CO303" s="19"/>
      <c r="CP303" s="15"/>
      <c r="CQ303" s="15"/>
      <c r="CR303" s="15"/>
      <c r="CS303" s="19"/>
      <c r="CT303" s="15"/>
      <c r="CU303" s="19"/>
      <c r="CV303" s="15"/>
      <c r="CW303" s="19"/>
      <c r="CX303" s="15"/>
      <c r="CY303" s="19"/>
      <c r="CZ303" s="15"/>
      <c r="DA303" s="16" t="s">
        <v>197</v>
      </c>
      <c r="DB303" s="17" t="s">
        <v>198</v>
      </c>
      <c r="DC303" s="20">
        <v>45721.497881944444</v>
      </c>
      <c r="DD303" s="17" t="s">
        <v>198</v>
      </c>
      <c r="DE303" s="18">
        <v>45721.497928240744</v>
      </c>
      <c r="DF303" s="17" t="s">
        <v>198</v>
      </c>
      <c r="DG303" s="18">
        <v>45721.497928240744</v>
      </c>
      <c r="DH303" s="13" t="s">
        <v>205</v>
      </c>
      <c r="DI303" s="14" t="s">
        <v>179</v>
      </c>
      <c r="DJ303" s="14" t="s">
        <v>8958</v>
      </c>
      <c r="DK303" s="14" t="s">
        <v>179</v>
      </c>
      <c r="DL303" s="14" t="s">
        <v>8959</v>
      </c>
      <c r="DM303" s="14" t="s">
        <v>179</v>
      </c>
      <c r="DN303" s="14" t="s">
        <v>8959</v>
      </c>
      <c r="DO303" s="14" t="s">
        <v>179</v>
      </c>
      <c r="DP303" s="14" t="s">
        <v>8960</v>
      </c>
      <c r="DQ303" s="14" t="s">
        <v>179</v>
      </c>
      <c r="DR303" s="14" t="s">
        <v>8960</v>
      </c>
      <c r="DS303" s="14" t="s">
        <v>179</v>
      </c>
      <c r="DT303" s="14" t="s">
        <v>8961</v>
      </c>
      <c r="DU303" s="15"/>
      <c r="DV303" s="15"/>
      <c r="DW303" s="15"/>
      <c r="DX303" s="15"/>
      <c r="DY303" s="15"/>
      <c r="DZ303" s="15"/>
      <c r="EA303" s="15"/>
      <c r="EB303" s="15"/>
      <c r="EC303" s="16" t="s">
        <v>197</v>
      </c>
      <c r="ED303" s="17" t="s">
        <v>198</v>
      </c>
      <c r="EE303" s="18">
        <v>45721.498020833336</v>
      </c>
      <c r="EF303" s="13" t="s">
        <v>209</v>
      </c>
      <c r="EG303" s="14" t="s">
        <v>179</v>
      </c>
      <c r="EH303" s="14" t="s">
        <v>8962</v>
      </c>
      <c r="EI303" s="14" t="s">
        <v>179</v>
      </c>
      <c r="EJ303" s="14" t="s">
        <v>8963</v>
      </c>
      <c r="EK303" s="14" t="s">
        <v>179</v>
      </c>
      <c r="EL303" s="14" t="s">
        <v>8964</v>
      </c>
      <c r="EM303" s="14" t="s">
        <v>179</v>
      </c>
      <c r="EN303" s="14" t="s">
        <v>8965</v>
      </c>
      <c r="EO303" s="14" t="s">
        <v>179</v>
      </c>
      <c r="EP303" s="14" t="s">
        <v>8966</v>
      </c>
      <c r="EQ303" s="14" t="s">
        <v>179</v>
      </c>
      <c r="ER303" s="14" t="s">
        <v>8966</v>
      </c>
      <c r="ES303" s="15"/>
      <c r="ET303" s="15"/>
      <c r="EU303" s="15"/>
      <c r="EV303" s="15"/>
      <c r="EW303" s="15"/>
      <c r="EX303" s="15"/>
      <c r="EY303" s="15"/>
      <c r="EZ303" s="15"/>
      <c r="FA303" s="15"/>
      <c r="FB303" s="15"/>
      <c r="FC303" s="16" t="s">
        <v>197</v>
      </c>
      <c r="FD303" s="17" t="s">
        <v>198</v>
      </c>
      <c r="FE303" s="18">
        <v>45723.28252314815</v>
      </c>
      <c r="FF303" s="19"/>
      <c r="FG303" s="19"/>
      <c r="FH303" s="21" t="s">
        <v>197</v>
      </c>
      <c r="FI303" s="17" t="s">
        <v>214</v>
      </c>
      <c r="FJ303" s="18">
        <v>45723.28252314815</v>
      </c>
      <c r="FK303" s="14" t="s">
        <v>8966</v>
      </c>
      <c r="FL303" s="19"/>
      <c r="FM303" s="19"/>
      <c r="FN303" s="19"/>
      <c r="FO303" s="19"/>
      <c r="FP303" s="19" t="str">
        <f t="shared" si="1"/>
        <v/>
      </c>
      <c r="FQ303" s="14" t="s">
        <v>215</v>
      </c>
      <c r="FR303" s="14" t="s">
        <v>8967</v>
      </c>
    </row>
    <row r="304" ht="15.75" customHeight="1">
      <c r="A304" s="12" t="s">
        <v>217</v>
      </c>
      <c r="B304" s="12" t="s">
        <v>2449</v>
      </c>
      <c r="C304" s="24" t="s">
        <v>8929</v>
      </c>
      <c r="D304" s="22" t="s">
        <v>8968</v>
      </c>
      <c r="E304" s="22" t="s">
        <v>8969</v>
      </c>
      <c r="F304" s="13" t="s">
        <v>178</v>
      </c>
      <c r="G304" s="14" t="s">
        <v>179</v>
      </c>
      <c r="H304" s="14" t="s">
        <v>8970</v>
      </c>
      <c r="I304" s="14" t="s">
        <v>179</v>
      </c>
      <c r="J304" s="14" t="s">
        <v>8971</v>
      </c>
      <c r="K304" s="14" t="s">
        <v>179</v>
      </c>
      <c r="L304" s="14" t="s">
        <v>8972</v>
      </c>
      <c r="M304" s="14" t="s">
        <v>179</v>
      </c>
      <c r="N304" s="14" t="s">
        <v>8973</v>
      </c>
      <c r="O304" s="14" t="s">
        <v>179</v>
      </c>
      <c r="P304" s="14" t="s">
        <v>8974</v>
      </c>
      <c r="Q304" s="14" t="s">
        <v>179</v>
      </c>
      <c r="R304" s="14" t="s">
        <v>8975</v>
      </c>
      <c r="S304" s="14" t="s">
        <v>179</v>
      </c>
      <c r="T304" s="14" t="s">
        <v>8975</v>
      </c>
      <c r="U304" s="14" t="s">
        <v>179</v>
      </c>
      <c r="V304" s="14" t="s">
        <v>8976</v>
      </c>
      <c r="W304" s="14" t="s">
        <v>179</v>
      </c>
      <c r="X304" s="14" t="s">
        <v>8977</v>
      </c>
      <c r="Y304" s="14" t="s">
        <v>179</v>
      </c>
      <c r="Z304" s="14" t="s">
        <v>8978</v>
      </c>
      <c r="AA304" s="14" t="s">
        <v>179</v>
      </c>
      <c r="AB304" s="14" t="s">
        <v>8979</v>
      </c>
      <c r="AC304" s="14" t="s">
        <v>179</v>
      </c>
      <c r="AD304" s="14" t="s">
        <v>8979</v>
      </c>
      <c r="AE304" s="14" t="s">
        <v>179</v>
      </c>
      <c r="AF304" s="14" t="s">
        <v>8980</v>
      </c>
      <c r="AG304" s="14" t="s">
        <v>179</v>
      </c>
      <c r="AH304" s="14" t="s">
        <v>8981</v>
      </c>
      <c r="AI304" s="14" t="s">
        <v>179</v>
      </c>
      <c r="AJ304" s="14" t="s">
        <v>8982</v>
      </c>
      <c r="AK304" s="14" t="s">
        <v>179</v>
      </c>
      <c r="AL304" s="14" t="s">
        <v>8983</v>
      </c>
      <c r="AM304" s="14" t="s">
        <v>179</v>
      </c>
      <c r="AN304" s="14" t="s">
        <v>8984</v>
      </c>
      <c r="AO304" s="14" t="s">
        <v>179</v>
      </c>
      <c r="AP304" s="14" t="s">
        <v>8985</v>
      </c>
      <c r="AQ304" s="14" t="s">
        <v>179</v>
      </c>
      <c r="AR304" s="14" t="s">
        <v>8986</v>
      </c>
      <c r="AS304" s="14" t="s">
        <v>179</v>
      </c>
      <c r="AT304" s="14" t="s">
        <v>8987</v>
      </c>
      <c r="AU304" s="14" t="s">
        <v>179</v>
      </c>
      <c r="AV304" s="14" t="s">
        <v>8988</v>
      </c>
      <c r="AW304" s="14" t="s">
        <v>179</v>
      </c>
      <c r="AX304" s="14" t="s">
        <v>8989</v>
      </c>
      <c r="AY304" s="14" t="s">
        <v>179</v>
      </c>
      <c r="AZ304" s="14" t="s">
        <v>8990</v>
      </c>
      <c r="BA304" s="14" t="s">
        <v>179</v>
      </c>
      <c r="BB304" s="14" t="s">
        <v>8991</v>
      </c>
      <c r="BC304" s="14" t="s">
        <v>179</v>
      </c>
      <c r="BD304" s="14" t="s">
        <v>8992</v>
      </c>
      <c r="BE304" s="14" t="s">
        <v>179</v>
      </c>
      <c r="BF304" s="14" t="s">
        <v>8993</v>
      </c>
      <c r="BG304" s="15"/>
      <c r="BH304" s="15"/>
      <c r="BI304" s="15"/>
      <c r="BJ304" s="15"/>
      <c r="BK304" s="15"/>
      <c r="BL304" s="15"/>
      <c r="BM304" s="15"/>
      <c r="BN304" s="15"/>
      <c r="BO304" s="16" t="s">
        <v>197</v>
      </c>
      <c r="BP304" s="17" t="s">
        <v>198</v>
      </c>
      <c r="BQ304" s="18">
        <v>45691.419375</v>
      </c>
      <c r="BR304" s="17" t="s">
        <v>198</v>
      </c>
      <c r="BS304" s="18">
        <v>45691.419594907406</v>
      </c>
      <c r="BT304" s="17" t="s">
        <v>198</v>
      </c>
      <c r="BU304" s="18">
        <v>45691.419594907406</v>
      </c>
      <c r="BV304" s="13" t="s">
        <v>199</v>
      </c>
      <c r="BW304" s="14" t="s">
        <v>179</v>
      </c>
      <c r="BX304" s="14" t="s">
        <v>8994</v>
      </c>
      <c r="BY304" s="14" t="s">
        <v>179</v>
      </c>
      <c r="BZ304" s="14" t="s">
        <v>8995</v>
      </c>
      <c r="CA304" s="14" t="s">
        <v>179</v>
      </c>
      <c r="CB304" s="14" t="s">
        <v>8996</v>
      </c>
      <c r="CC304" s="14" t="s">
        <v>179</v>
      </c>
      <c r="CD304" s="14" t="s">
        <v>8997</v>
      </c>
      <c r="CE304" s="14" t="s">
        <v>179</v>
      </c>
      <c r="CF304" s="14" t="s">
        <v>8998</v>
      </c>
      <c r="CG304" s="19"/>
      <c r="CH304" s="15"/>
      <c r="CI304" s="19"/>
      <c r="CJ304" s="15"/>
      <c r="CK304" s="19"/>
      <c r="CL304" s="15"/>
      <c r="CM304" s="19"/>
      <c r="CN304" s="15"/>
      <c r="CO304" s="19"/>
      <c r="CP304" s="15"/>
      <c r="CQ304" s="15"/>
      <c r="CR304" s="15"/>
      <c r="CS304" s="19"/>
      <c r="CT304" s="15"/>
      <c r="CU304" s="19"/>
      <c r="CV304" s="15"/>
      <c r="CW304" s="19"/>
      <c r="CX304" s="15"/>
      <c r="CY304" s="19"/>
      <c r="CZ304" s="15"/>
      <c r="DA304" s="16" t="s">
        <v>197</v>
      </c>
      <c r="DB304" s="17" t="s">
        <v>198</v>
      </c>
      <c r="DC304" s="20">
        <v>45692.57675925926</v>
      </c>
      <c r="DD304" s="17" t="s">
        <v>198</v>
      </c>
      <c r="DE304" s="18">
        <v>45692.57690972222</v>
      </c>
      <c r="DF304" s="17" t="s">
        <v>198</v>
      </c>
      <c r="DG304" s="18">
        <v>45692.57690972222</v>
      </c>
      <c r="DH304" s="13" t="s">
        <v>205</v>
      </c>
      <c r="DI304" s="14" t="s">
        <v>179</v>
      </c>
      <c r="DJ304" s="14" t="s">
        <v>8999</v>
      </c>
      <c r="DK304" s="14" t="s">
        <v>179</v>
      </c>
      <c r="DL304" s="14" t="s">
        <v>9000</v>
      </c>
      <c r="DM304" s="14" t="s">
        <v>179</v>
      </c>
      <c r="DN304" s="14" t="s">
        <v>9000</v>
      </c>
      <c r="DO304" s="14" t="s">
        <v>179</v>
      </c>
      <c r="DP304" s="14" t="s">
        <v>9001</v>
      </c>
      <c r="DQ304" s="14" t="s">
        <v>179</v>
      </c>
      <c r="DR304" s="14" t="s">
        <v>9001</v>
      </c>
      <c r="DS304" s="14" t="s">
        <v>179</v>
      </c>
      <c r="DT304" s="14" t="s">
        <v>9002</v>
      </c>
      <c r="DU304" s="15"/>
      <c r="DV304" s="15"/>
      <c r="DW304" s="15"/>
      <c r="DX304" s="15"/>
      <c r="DY304" s="15"/>
      <c r="DZ304" s="15"/>
      <c r="EA304" s="15"/>
      <c r="EB304" s="15"/>
      <c r="EC304" s="16" t="s">
        <v>197</v>
      </c>
      <c r="ED304" s="17" t="s">
        <v>198</v>
      </c>
      <c r="EE304" s="18">
        <v>45715.545381944445</v>
      </c>
      <c r="EF304" s="13" t="s">
        <v>209</v>
      </c>
      <c r="EG304" s="14" t="s">
        <v>179</v>
      </c>
      <c r="EH304" s="14" t="s">
        <v>9003</v>
      </c>
      <c r="EI304" s="14" t="s">
        <v>179</v>
      </c>
      <c r="EJ304" s="14" t="s">
        <v>9004</v>
      </c>
      <c r="EK304" s="14" t="s">
        <v>179</v>
      </c>
      <c r="EL304" s="14" t="s">
        <v>9005</v>
      </c>
      <c r="EM304" s="14" t="s">
        <v>179</v>
      </c>
      <c r="EN304" s="14" t="s">
        <v>9006</v>
      </c>
      <c r="EO304" s="14" t="s">
        <v>179</v>
      </c>
      <c r="EP304" s="14" t="s">
        <v>9007</v>
      </c>
      <c r="EQ304" s="14" t="s">
        <v>179</v>
      </c>
      <c r="ER304" s="14" t="s">
        <v>9007</v>
      </c>
      <c r="ES304" s="15"/>
      <c r="ET304" s="15"/>
      <c r="EU304" s="15"/>
      <c r="EV304" s="15"/>
      <c r="EW304" s="15"/>
      <c r="EX304" s="15"/>
      <c r="EY304" s="15"/>
      <c r="EZ304" s="15"/>
      <c r="FA304" s="15"/>
      <c r="FB304" s="15"/>
      <c r="FC304" s="16" t="s">
        <v>197</v>
      </c>
      <c r="FD304" s="17" t="s">
        <v>198</v>
      </c>
      <c r="FE304" s="18">
        <v>45723.35847222222</v>
      </c>
      <c r="FF304" s="19"/>
      <c r="FG304" s="19"/>
      <c r="FH304" s="21" t="s">
        <v>197</v>
      </c>
      <c r="FI304" s="17" t="s">
        <v>214</v>
      </c>
      <c r="FJ304" s="18">
        <v>45723.35847222222</v>
      </c>
      <c r="FK304" s="14" t="s">
        <v>9007</v>
      </c>
      <c r="FL304" s="19"/>
      <c r="FM304" s="19"/>
      <c r="FN304" s="19"/>
      <c r="FO304" s="19"/>
      <c r="FP304" s="19" t="str">
        <f t="shared" si="1"/>
        <v/>
      </c>
      <c r="FQ304" s="14" t="s">
        <v>215</v>
      </c>
      <c r="FR304" s="14" t="s">
        <v>9008</v>
      </c>
    </row>
    <row r="305" ht="15.75" customHeight="1">
      <c r="A305" s="12" t="s">
        <v>357</v>
      </c>
      <c r="B305" s="12" t="s">
        <v>358</v>
      </c>
      <c r="C305" s="24" t="s">
        <v>8929</v>
      </c>
      <c r="D305" s="22" t="s">
        <v>9009</v>
      </c>
      <c r="E305" s="22" t="s">
        <v>9010</v>
      </c>
      <c r="F305" s="13" t="s">
        <v>178</v>
      </c>
      <c r="G305" s="14" t="s">
        <v>179</v>
      </c>
      <c r="H305" s="14" t="s">
        <v>9011</v>
      </c>
      <c r="I305" s="14" t="s">
        <v>179</v>
      </c>
      <c r="J305" s="14" t="s">
        <v>9012</v>
      </c>
      <c r="K305" s="14" t="s">
        <v>179</v>
      </c>
      <c r="L305" s="14" t="s">
        <v>9013</v>
      </c>
      <c r="M305" s="14" t="s">
        <v>179</v>
      </c>
      <c r="N305" s="14" t="s">
        <v>9014</v>
      </c>
      <c r="O305" s="14" t="s">
        <v>179</v>
      </c>
      <c r="P305" s="14" t="s">
        <v>9015</v>
      </c>
      <c r="Q305" s="14" t="s">
        <v>179</v>
      </c>
      <c r="R305" s="14" t="s">
        <v>9016</v>
      </c>
      <c r="S305" s="14" t="s">
        <v>179</v>
      </c>
      <c r="T305" s="14" t="s">
        <v>9017</v>
      </c>
      <c r="U305" s="14" t="s">
        <v>179</v>
      </c>
      <c r="V305" s="14" t="s">
        <v>9018</v>
      </c>
      <c r="W305" s="14" t="s">
        <v>179</v>
      </c>
      <c r="X305" s="14" t="s">
        <v>9019</v>
      </c>
      <c r="Y305" s="14" t="s">
        <v>179</v>
      </c>
      <c r="Z305" s="14" t="s">
        <v>9020</v>
      </c>
      <c r="AA305" s="14" t="s">
        <v>179</v>
      </c>
      <c r="AB305" s="14" t="s">
        <v>9021</v>
      </c>
      <c r="AC305" s="14" t="s">
        <v>179</v>
      </c>
      <c r="AD305" s="14" t="s">
        <v>9022</v>
      </c>
      <c r="AE305" s="14" t="s">
        <v>179</v>
      </c>
      <c r="AF305" s="14" t="s">
        <v>9023</v>
      </c>
      <c r="AG305" s="14" t="s">
        <v>179</v>
      </c>
      <c r="AH305" s="14" t="s">
        <v>9024</v>
      </c>
      <c r="AI305" s="14" t="s">
        <v>179</v>
      </c>
      <c r="AJ305" s="14" t="s">
        <v>9025</v>
      </c>
      <c r="AK305" s="14" t="s">
        <v>179</v>
      </c>
      <c r="AL305" s="14" t="s">
        <v>9026</v>
      </c>
      <c r="AM305" s="14" t="s">
        <v>179</v>
      </c>
      <c r="AN305" s="14" t="s">
        <v>9027</v>
      </c>
      <c r="AO305" s="14" t="s">
        <v>179</v>
      </c>
      <c r="AP305" s="14" t="s">
        <v>9028</v>
      </c>
      <c r="AQ305" s="14" t="s">
        <v>179</v>
      </c>
      <c r="AR305" s="14" t="s">
        <v>9029</v>
      </c>
      <c r="AS305" s="14" t="s">
        <v>179</v>
      </c>
      <c r="AT305" s="14" t="s">
        <v>9030</v>
      </c>
      <c r="AU305" s="14" t="s">
        <v>179</v>
      </c>
      <c r="AV305" s="14" t="s">
        <v>9031</v>
      </c>
      <c r="AW305" s="14" t="s">
        <v>179</v>
      </c>
      <c r="AX305" s="14" t="s">
        <v>9032</v>
      </c>
      <c r="AY305" s="14" t="s">
        <v>179</v>
      </c>
      <c r="AZ305" s="14" t="s">
        <v>9033</v>
      </c>
      <c r="BA305" s="14" t="s">
        <v>179</v>
      </c>
      <c r="BB305" s="14" t="s">
        <v>9034</v>
      </c>
      <c r="BC305" s="14" t="s">
        <v>179</v>
      </c>
      <c r="BD305" s="14" t="s">
        <v>9035</v>
      </c>
      <c r="BE305" s="14" t="s">
        <v>179</v>
      </c>
      <c r="BF305" s="14" t="s">
        <v>9036</v>
      </c>
      <c r="BG305" s="15"/>
      <c r="BH305" s="15"/>
      <c r="BI305" s="15"/>
      <c r="BJ305" s="15"/>
      <c r="BK305" s="15"/>
      <c r="BL305" s="15"/>
      <c r="BM305" s="15"/>
      <c r="BN305" s="15"/>
      <c r="BO305" s="16" t="s">
        <v>197</v>
      </c>
      <c r="BP305" s="17" t="s">
        <v>198</v>
      </c>
      <c r="BQ305" s="18">
        <v>45708.47414351852</v>
      </c>
      <c r="BR305" s="17" t="s">
        <v>198</v>
      </c>
      <c r="BS305" s="18">
        <v>45687.484085648146</v>
      </c>
      <c r="BT305" s="17" t="s">
        <v>198</v>
      </c>
      <c r="BU305" s="18">
        <v>45708.47414351852</v>
      </c>
      <c r="BV305" s="13" t="s">
        <v>199</v>
      </c>
      <c r="BW305" s="14" t="s">
        <v>179</v>
      </c>
      <c r="BX305" s="14" t="s">
        <v>9037</v>
      </c>
      <c r="BY305" s="14" t="s">
        <v>179</v>
      </c>
      <c r="BZ305" s="14" t="s">
        <v>9038</v>
      </c>
      <c r="CA305" s="14" t="s">
        <v>179</v>
      </c>
      <c r="CB305" s="14" t="s">
        <v>9039</v>
      </c>
      <c r="CC305" s="14" t="s">
        <v>179</v>
      </c>
      <c r="CD305" s="14" t="s">
        <v>9040</v>
      </c>
      <c r="CE305" s="14" t="s">
        <v>179</v>
      </c>
      <c r="CF305" s="14" t="s">
        <v>9041</v>
      </c>
      <c r="CG305" s="19"/>
      <c r="CH305" s="15"/>
      <c r="CI305" s="19"/>
      <c r="CJ305" s="15"/>
      <c r="CK305" s="19"/>
      <c r="CL305" s="15"/>
      <c r="CM305" s="19"/>
      <c r="CN305" s="15"/>
      <c r="CO305" s="19"/>
      <c r="CP305" s="15"/>
      <c r="CQ305" s="15"/>
      <c r="CR305" s="15"/>
      <c r="CS305" s="19"/>
      <c r="CT305" s="15"/>
      <c r="CU305" s="19"/>
      <c r="CV305" s="15"/>
      <c r="CW305" s="19"/>
      <c r="CX305" s="15"/>
      <c r="CY305" s="19"/>
      <c r="CZ305" s="15"/>
      <c r="DA305" s="16" t="s">
        <v>197</v>
      </c>
      <c r="DB305" s="17" t="s">
        <v>198</v>
      </c>
      <c r="DC305" s="20">
        <v>45713.37850694444</v>
      </c>
      <c r="DD305" s="17" t="s">
        <v>198</v>
      </c>
      <c r="DE305" s="18">
        <v>45713.378541666665</v>
      </c>
      <c r="DF305" s="17" t="s">
        <v>198</v>
      </c>
      <c r="DG305" s="18">
        <v>45713.378541666665</v>
      </c>
      <c r="DH305" s="13" t="s">
        <v>205</v>
      </c>
      <c r="DI305" s="14" t="s">
        <v>179</v>
      </c>
      <c r="DJ305" s="14" t="s">
        <v>9042</v>
      </c>
      <c r="DK305" s="14" t="s">
        <v>179</v>
      </c>
      <c r="DL305" s="14" t="s">
        <v>9043</v>
      </c>
      <c r="DM305" s="14" t="s">
        <v>179</v>
      </c>
      <c r="DN305" s="14" t="s">
        <v>9044</v>
      </c>
      <c r="DO305" s="14" t="s">
        <v>179</v>
      </c>
      <c r="DP305" s="14" t="s">
        <v>9045</v>
      </c>
      <c r="DQ305" s="14" t="s">
        <v>179</v>
      </c>
      <c r="DR305" s="14" t="s">
        <v>9046</v>
      </c>
      <c r="DS305" s="14" t="s">
        <v>179</v>
      </c>
      <c r="DT305" s="14" t="s">
        <v>9047</v>
      </c>
      <c r="DU305" s="15"/>
      <c r="DV305" s="15"/>
      <c r="DW305" s="15"/>
      <c r="DX305" s="15"/>
      <c r="DY305" s="15"/>
      <c r="DZ305" s="15"/>
      <c r="EA305" s="15"/>
      <c r="EB305" s="15"/>
      <c r="EC305" s="16" t="s">
        <v>197</v>
      </c>
      <c r="ED305" s="17" t="s">
        <v>198</v>
      </c>
      <c r="EE305" s="18">
        <v>45723.41365740741</v>
      </c>
      <c r="EF305" s="13" t="s">
        <v>209</v>
      </c>
      <c r="EG305" s="14" t="s">
        <v>179</v>
      </c>
      <c r="EH305" s="14" t="s">
        <v>9048</v>
      </c>
      <c r="EI305" s="14" t="s">
        <v>179</v>
      </c>
      <c r="EJ305" s="14" t="s">
        <v>9049</v>
      </c>
      <c r="EK305" s="14" t="s">
        <v>179</v>
      </c>
      <c r="EL305" s="14" t="s">
        <v>9050</v>
      </c>
      <c r="EM305" s="14" t="s">
        <v>179</v>
      </c>
      <c r="EN305" s="14" t="s">
        <v>9051</v>
      </c>
      <c r="EO305" s="14" t="s">
        <v>179</v>
      </c>
      <c r="EP305" s="14" t="s">
        <v>9052</v>
      </c>
      <c r="EQ305" s="14" t="s">
        <v>179</v>
      </c>
      <c r="ER305" s="14" t="s">
        <v>9053</v>
      </c>
      <c r="ES305" s="15"/>
      <c r="ET305" s="15"/>
      <c r="EU305" s="15"/>
      <c r="EV305" s="15"/>
      <c r="EW305" s="15"/>
      <c r="EX305" s="15"/>
      <c r="EY305" s="15"/>
      <c r="EZ305" s="15"/>
      <c r="FA305" s="15"/>
      <c r="FB305" s="15"/>
      <c r="FC305" s="16" t="s">
        <v>197</v>
      </c>
      <c r="FD305" s="17" t="s">
        <v>198</v>
      </c>
      <c r="FE305" s="18">
        <v>45723.413877314815</v>
      </c>
      <c r="FF305" s="19"/>
      <c r="FG305" s="19"/>
      <c r="FH305" s="21" t="s">
        <v>197</v>
      </c>
      <c r="FI305" s="17" t="s">
        <v>214</v>
      </c>
      <c r="FJ305" s="18">
        <v>45723.413877314815</v>
      </c>
      <c r="FK305" s="14" t="s">
        <v>9053</v>
      </c>
      <c r="FL305" s="14" t="s">
        <v>9054</v>
      </c>
      <c r="FM305" s="14" t="s">
        <v>9055</v>
      </c>
      <c r="FN305" s="19"/>
      <c r="FO305" s="19"/>
      <c r="FP305" s="19" t="str">
        <f t="shared" si="1"/>
        <v>Base de Dados_Images/EB8101.Imagem do Equipamento-.150437.jpg</v>
      </c>
      <c r="FQ305" s="14"/>
      <c r="FR305" s="14"/>
    </row>
    <row r="306" ht="15.75" customHeight="1">
      <c r="A306" s="12" t="s">
        <v>357</v>
      </c>
      <c r="B306" s="12" t="s">
        <v>358</v>
      </c>
      <c r="C306" s="24" t="s">
        <v>8929</v>
      </c>
      <c r="D306" s="22" t="s">
        <v>9056</v>
      </c>
      <c r="E306" s="22" t="s">
        <v>9057</v>
      </c>
      <c r="F306" s="13" t="s">
        <v>178</v>
      </c>
      <c r="G306" s="14" t="s">
        <v>179</v>
      </c>
      <c r="H306" s="14" t="s">
        <v>9058</v>
      </c>
      <c r="I306" s="14" t="s">
        <v>179</v>
      </c>
      <c r="J306" s="14" t="s">
        <v>9059</v>
      </c>
      <c r="K306" s="14" t="s">
        <v>179</v>
      </c>
      <c r="L306" s="14" t="s">
        <v>9060</v>
      </c>
      <c r="M306" s="14" t="s">
        <v>179</v>
      </c>
      <c r="N306" s="14" t="s">
        <v>9061</v>
      </c>
      <c r="O306" s="14" t="s">
        <v>179</v>
      </c>
      <c r="P306" s="14" t="s">
        <v>9062</v>
      </c>
      <c r="Q306" s="14" t="s">
        <v>179</v>
      </c>
      <c r="R306" s="14" t="s">
        <v>9063</v>
      </c>
      <c r="S306" s="14" t="s">
        <v>179</v>
      </c>
      <c r="T306" s="14" t="s">
        <v>9064</v>
      </c>
      <c r="U306" s="14" t="s">
        <v>179</v>
      </c>
      <c r="V306" s="14" t="s">
        <v>9065</v>
      </c>
      <c r="W306" s="14" t="s">
        <v>179</v>
      </c>
      <c r="X306" s="14" t="s">
        <v>9066</v>
      </c>
      <c r="Y306" s="14" t="s">
        <v>179</v>
      </c>
      <c r="Z306" s="14" t="s">
        <v>9067</v>
      </c>
      <c r="AA306" s="14" t="s">
        <v>179</v>
      </c>
      <c r="AB306" s="14" t="s">
        <v>9068</v>
      </c>
      <c r="AC306" s="14" t="s">
        <v>179</v>
      </c>
      <c r="AD306" s="14" t="s">
        <v>9069</v>
      </c>
      <c r="AE306" s="14" t="s">
        <v>179</v>
      </c>
      <c r="AF306" s="14" t="s">
        <v>9070</v>
      </c>
      <c r="AG306" s="14" t="s">
        <v>179</v>
      </c>
      <c r="AH306" s="14" t="s">
        <v>9071</v>
      </c>
      <c r="AI306" s="14" t="s">
        <v>179</v>
      </c>
      <c r="AJ306" s="14" t="s">
        <v>9072</v>
      </c>
      <c r="AK306" s="14" t="s">
        <v>179</v>
      </c>
      <c r="AL306" s="14" t="s">
        <v>9073</v>
      </c>
      <c r="AM306" s="14" t="s">
        <v>179</v>
      </c>
      <c r="AN306" s="14" t="s">
        <v>9074</v>
      </c>
      <c r="AO306" s="14" t="s">
        <v>179</v>
      </c>
      <c r="AP306" s="14" t="s">
        <v>9075</v>
      </c>
      <c r="AQ306" s="14" t="s">
        <v>179</v>
      </c>
      <c r="AR306" s="14" t="s">
        <v>9076</v>
      </c>
      <c r="AS306" s="14" t="s">
        <v>179</v>
      </c>
      <c r="AT306" s="14" t="s">
        <v>9077</v>
      </c>
      <c r="AU306" s="14" t="s">
        <v>179</v>
      </c>
      <c r="AV306" s="14" t="s">
        <v>9078</v>
      </c>
      <c r="AW306" s="14" t="s">
        <v>179</v>
      </c>
      <c r="AX306" s="14" t="s">
        <v>9079</v>
      </c>
      <c r="AY306" s="14" t="s">
        <v>179</v>
      </c>
      <c r="AZ306" s="14" t="s">
        <v>9080</v>
      </c>
      <c r="BA306" s="14" t="s">
        <v>179</v>
      </c>
      <c r="BB306" s="14" t="s">
        <v>9081</v>
      </c>
      <c r="BC306" s="14" t="s">
        <v>179</v>
      </c>
      <c r="BD306" s="14" t="s">
        <v>9082</v>
      </c>
      <c r="BE306" s="14" t="s">
        <v>179</v>
      </c>
      <c r="BF306" s="14" t="s">
        <v>9083</v>
      </c>
      <c r="BG306" s="15"/>
      <c r="BH306" s="15"/>
      <c r="BI306" s="15"/>
      <c r="BJ306" s="15"/>
      <c r="BK306" s="15"/>
      <c r="BL306" s="15"/>
      <c r="BM306" s="15"/>
      <c r="BN306" s="15"/>
      <c r="BO306" s="16" t="s">
        <v>197</v>
      </c>
      <c r="BP306" s="17" t="s">
        <v>198</v>
      </c>
      <c r="BQ306" s="18">
        <v>45702.58280092593</v>
      </c>
      <c r="BR306" s="17" t="s">
        <v>198</v>
      </c>
      <c r="BS306" s="18">
        <v>45687.48685185185</v>
      </c>
      <c r="BT306" s="17" t="s">
        <v>198</v>
      </c>
      <c r="BU306" s="18">
        <v>45702.58280092593</v>
      </c>
      <c r="BV306" s="13" t="s">
        <v>199</v>
      </c>
      <c r="BW306" s="14" t="s">
        <v>179</v>
      </c>
      <c r="BX306" s="14" t="s">
        <v>9084</v>
      </c>
      <c r="BY306" s="14" t="s">
        <v>179</v>
      </c>
      <c r="BZ306" s="14" t="s">
        <v>9085</v>
      </c>
      <c r="CA306" s="14" t="s">
        <v>179</v>
      </c>
      <c r="CB306" s="14" t="s">
        <v>9086</v>
      </c>
      <c r="CC306" s="14" t="s">
        <v>179</v>
      </c>
      <c r="CD306" s="14" t="s">
        <v>9087</v>
      </c>
      <c r="CE306" s="14" t="s">
        <v>179</v>
      </c>
      <c r="CF306" s="14" t="s">
        <v>9088</v>
      </c>
      <c r="CG306" s="19"/>
      <c r="CH306" s="15"/>
      <c r="CI306" s="19"/>
      <c r="CJ306" s="15"/>
      <c r="CK306" s="19"/>
      <c r="CL306" s="15"/>
      <c r="CM306" s="19"/>
      <c r="CN306" s="15"/>
      <c r="CO306" s="19"/>
      <c r="CP306" s="15"/>
      <c r="CQ306" s="15"/>
      <c r="CR306" s="15"/>
      <c r="CS306" s="19"/>
      <c r="CT306" s="15"/>
      <c r="CU306" s="19"/>
      <c r="CV306" s="15"/>
      <c r="CW306" s="19"/>
      <c r="CX306" s="15"/>
      <c r="CY306" s="19"/>
      <c r="CZ306" s="15"/>
      <c r="DA306" s="16" t="s">
        <v>197</v>
      </c>
      <c r="DB306" s="17" t="s">
        <v>198</v>
      </c>
      <c r="DC306" s="20">
        <v>45711.6824537037</v>
      </c>
      <c r="DD306" s="17" t="s">
        <v>198</v>
      </c>
      <c r="DE306" s="18">
        <v>45711.682488425926</v>
      </c>
      <c r="DF306" s="17" t="s">
        <v>198</v>
      </c>
      <c r="DG306" s="18">
        <v>45711.682488425926</v>
      </c>
      <c r="DH306" s="13" t="s">
        <v>205</v>
      </c>
      <c r="DI306" s="14" t="s">
        <v>179</v>
      </c>
      <c r="DJ306" s="14" t="s">
        <v>9089</v>
      </c>
      <c r="DK306" s="14" t="s">
        <v>179</v>
      </c>
      <c r="DL306" s="14" t="s">
        <v>9090</v>
      </c>
      <c r="DM306" s="14" t="s">
        <v>179</v>
      </c>
      <c r="DN306" s="14" t="s">
        <v>9091</v>
      </c>
      <c r="DO306" s="14" t="s">
        <v>179</v>
      </c>
      <c r="DP306" s="14" t="s">
        <v>9092</v>
      </c>
      <c r="DQ306" s="14" t="s">
        <v>179</v>
      </c>
      <c r="DR306" s="14" t="s">
        <v>9092</v>
      </c>
      <c r="DS306" s="14" t="s">
        <v>179</v>
      </c>
      <c r="DT306" s="14" t="s">
        <v>9093</v>
      </c>
      <c r="DU306" s="15"/>
      <c r="DV306" s="15"/>
      <c r="DW306" s="15"/>
      <c r="DX306" s="15"/>
      <c r="DY306" s="15"/>
      <c r="DZ306" s="15"/>
      <c r="EA306" s="15"/>
      <c r="EB306" s="15"/>
      <c r="EC306" s="16" t="s">
        <v>197</v>
      </c>
      <c r="ED306" s="17" t="s">
        <v>198</v>
      </c>
      <c r="EE306" s="18">
        <v>45711.68277777778</v>
      </c>
      <c r="EF306" s="13" t="s">
        <v>209</v>
      </c>
      <c r="EG306" s="14" t="s">
        <v>179</v>
      </c>
      <c r="EH306" s="14" t="s">
        <v>9094</v>
      </c>
      <c r="EI306" s="14" t="s">
        <v>179</v>
      </c>
      <c r="EJ306" s="14" t="s">
        <v>9095</v>
      </c>
      <c r="EK306" s="14" t="s">
        <v>179</v>
      </c>
      <c r="EL306" s="14" t="s">
        <v>9096</v>
      </c>
      <c r="EM306" s="14" t="s">
        <v>179</v>
      </c>
      <c r="EN306" s="14" t="s">
        <v>9097</v>
      </c>
      <c r="EO306" s="14" t="s">
        <v>179</v>
      </c>
      <c r="EP306" s="14" t="s">
        <v>9098</v>
      </c>
      <c r="EQ306" s="14" t="s">
        <v>179</v>
      </c>
      <c r="ER306" s="14" t="s">
        <v>9099</v>
      </c>
      <c r="ES306" s="15"/>
      <c r="ET306" s="15"/>
      <c r="EU306" s="15"/>
      <c r="EV306" s="15"/>
      <c r="EW306" s="15"/>
      <c r="EX306" s="15"/>
      <c r="EY306" s="15"/>
      <c r="EZ306" s="15"/>
      <c r="FA306" s="15"/>
      <c r="FB306" s="15"/>
      <c r="FC306" s="16" t="s">
        <v>197</v>
      </c>
      <c r="FD306" s="17" t="s">
        <v>198</v>
      </c>
      <c r="FE306" s="18">
        <v>45713.379224537035</v>
      </c>
      <c r="FF306" s="19"/>
      <c r="FG306" s="19"/>
      <c r="FH306" s="21" t="s">
        <v>197</v>
      </c>
      <c r="FI306" s="17" t="s">
        <v>214</v>
      </c>
      <c r="FJ306" s="18">
        <v>45713.379224537035</v>
      </c>
      <c r="FK306" s="14" t="s">
        <v>9099</v>
      </c>
      <c r="FL306" s="14" t="s">
        <v>9100</v>
      </c>
      <c r="FM306" s="14" t="s">
        <v>9101</v>
      </c>
      <c r="FN306" s="19"/>
      <c r="FO306" s="19"/>
      <c r="FP306" s="19" t="str">
        <f t="shared" si="1"/>
        <v>Base de Dados_Images/EB8102.Imagem do Equipamento-.150916.jpg</v>
      </c>
      <c r="FQ306" s="14"/>
      <c r="FR306" s="14"/>
    </row>
    <row r="307" ht="15.75" customHeight="1">
      <c r="A307" s="12" t="s">
        <v>357</v>
      </c>
      <c r="B307" s="12" t="s">
        <v>358</v>
      </c>
      <c r="C307" s="24" t="s">
        <v>8929</v>
      </c>
      <c r="D307" s="22" t="s">
        <v>9102</v>
      </c>
      <c r="E307" s="22" t="s">
        <v>9103</v>
      </c>
      <c r="F307" s="13" t="s">
        <v>178</v>
      </c>
      <c r="G307" s="14" t="s">
        <v>179</v>
      </c>
      <c r="H307" s="14" t="s">
        <v>9104</v>
      </c>
      <c r="I307" s="14" t="s">
        <v>179</v>
      </c>
      <c r="J307" s="14" t="s">
        <v>9105</v>
      </c>
      <c r="K307" s="14" t="s">
        <v>179</v>
      </c>
      <c r="L307" s="14" t="s">
        <v>9106</v>
      </c>
      <c r="M307" s="14" t="s">
        <v>179</v>
      </c>
      <c r="N307" s="14" t="s">
        <v>9107</v>
      </c>
      <c r="O307" s="14" t="s">
        <v>179</v>
      </c>
      <c r="P307" s="14" t="s">
        <v>9108</v>
      </c>
      <c r="Q307" s="14" t="s">
        <v>179</v>
      </c>
      <c r="R307" s="14" t="s">
        <v>9109</v>
      </c>
      <c r="S307" s="14" t="s">
        <v>179</v>
      </c>
      <c r="T307" s="14" t="s">
        <v>9110</v>
      </c>
      <c r="U307" s="14" t="s">
        <v>179</v>
      </c>
      <c r="V307" s="14" t="s">
        <v>9111</v>
      </c>
      <c r="W307" s="14" t="s">
        <v>179</v>
      </c>
      <c r="X307" s="14" t="s">
        <v>9112</v>
      </c>
      <c r="Y307" s="14" t="s">
        <v>179</v>
      </c>
      <c r="Z307" s="14" t="s">
        <v>9113</v>
      </c>
      <c r="AA307" s="14" t="s">
        <v>179</v>
      </c>
      <c r="AB307" s="14" t="s">
        <v>9112</v>
      </c>
      <c r="AC307" s="14" t="s">
        <v>179</v>
      </c>
      <c r="AD307" s="14" t="s">
        <v>9114</v>
      </c>
      <c r="AE307" s="14" t="s">
        <v>179</v>
      </c>
      <c r="AF307" s="14" t="s">
        <v>9115</v>
      </c>
      <c r="AG307" s="14" t="s">
        <v>179</v>
      </c>
      <c r="AH307" s="14" t="s">
        <v>9116</v>
      </c>
      <c r="AI307" s="14" t="s">
        <v>179</v>
      </c>
      <c r="AJ307" s="14" t="s">
        <v>9117</v>
      </c>
      <c r="AK307" s="14" t="s">
        <v>179</v>
      </c>
      <c r="AL307" s="14" t="s">
        <v>9118</v>
      </c>
      <c r="AM307" s="14" t="s">
        <v>179</v>
      </c>
      <c r="AN307" s="14" t="s">
        <v>9119</v>
      </c>
      <c r="AO307" s="14" t="s">
        <v>179</v>
      </c>
      <c r="AP307" s="14" t="s">
        <v>9119</v>
      </c>
      <c r="AQ307" s="14" t="s">
        <v>179</v>
      </c>
      <c r="AR307" s="14" t="s">
        <v>9120</v>
      </c>
      <c r="AS307" s="14" t="s">
        <v>179</v>
      </c>
      <c r="AT307" s="14" t="s">
        <v>9121</v>
      </c>
      <c r="AU307" s="14" t="s">
        <v>179</v>
      </c>
      <c r="AV307" s="14" t="s">
        <v>9122</v>
      </c>
      <c r="AW307" s="14" t="s">
        <v>179</v>
      </c>
      <c r="AX307" s="14" t="s">
        <v>9123</v>
      </c>
      <c r="AY307" s="14" t="s">
        <v>179</v>
      </c>
      <c r="AZ307" s="14" t="s">
        <v>9124</v>
      </c>
      <c r="BA307" s="14" t="s">
        <v>179</v>
      </c>
      <c r="BB307" s="14" t="s">
        <v>9125</v>
      </c>
      <c r="BC307" s="14" t="s">
        <v>179</v>
      </c>
      <c r="BD307" s="14" t="s">
        <v>9126</v>
      </c>
      <c r="BE307" s="14" t="s">
        <v>179</v>
      </c>
      <c r="BF307" s="14" t="s">
        <v>9127</v>
      </c>
      <c r="BG307" s="15"/>
      <c r="BH307" s="15"/>
      <c r="BI307" s="15"/>
      <c r="BJ307" s="15"/>
      <c r="BK307" s="15"/>
      <c r="BL307" s="15"/>
      <c r="BM307" s="15"/>
      <c r="BN307" s="15"/>
      <c r="BO307" s="16" t="s">
        <v>197</v>
      </c>
      <c r="BP307" s="17" t="s">
        <v>198</v>
      </c>
      <c r="BQ307" s="18">
        <v>45702.581724537034</v>
      </c>
      <c r="BR307" s="17" t="s">
        <v>198</v>
      </c>
      <c r="BS307" s="18">
        <v>45687.48991898148</v>
      </c>
      <c r="BT307" s="17" t="s">
        <v>198</v>
      </c>
      <c r="BU307" s="18">
        <v>45702.581724537034</v>
      </c>
      <c r="BV307" s="13" t="s">
        <v>199</v>
      </c>
      <c r="BW307" s="14" t="s">
        <v>179</v>
      </c>
      <c r="BX307" s="14" t="s">
        <v>9128</v>
      </c>
      <c r="BY307" s="14" t="s">
        <v>179</v>
      </c>
      <c r="BZ307" s="14" t="s">
        <v>9129</v>
      </c>
      <c r="CA307" s="14" t="s">
        <v>179</v>
      </c>
      <c r="CB307" s="14" t="s">
        <v>9130</v>
      </c>
      <c r="CC307" s="14" t="s">
        <v>179</v>
      </c>
      <c r="CD307" s="14" t="s">
        <v>9131</v>
      </c>
      <c r="CE307" s="14" t="s">
        <v>179</v>
      </c>
      <c r="CF307" s="14" t="s">
        <v>9132</v>
      </c>
      <c r="CG307" s="19"/>
      <c r="CH307" s="15"/>
      <c r="CI307" s="19"/>
      <c r="CJ307" s="15"/>
      <c r="CK307" s="19"/>
      <c r="CL307" s="15"/>
      <c r="CM307" s="19"/>
      <c r="CN307" s="15"/>
      <c r="CO307" s="19"/>
      <c r="CP307" s="15"/>
      <c r="CQ307" s="15"/>
      <c r="CR307" s="15"/>
      <c r="CS307" s="19"/>
      <c r="CT307" s="15"/>
      <c r="CU307" s="19"/>
      <c r="CV307" s="15"/>
      <c r="CW307" s="19"/>
      <c r="CX307" s="15"/>
      <c r="CY307" s="19"/>
      <c r="CZ307" s="15"/>
      <c r="DA307" s="16" t="s">
        <v>197</v>
      </c>
      <c r="DB307" s="17" t="s">
        <v>198</v>
      </c>
      <c r="DC307" s="20">
        <v>45711.68300925926</v>
      </c>
      <c r="DD307" s="17" t="s">
        <v>198</v>
      </c>
      <c r="DE307" s="18">
        <v>45711.68306712963</v>
      </c>
      <c r="DF307" s="17" t="s">
        <v>198</v>
      </c>
      <c r="DG307" s="18">
        <v>45711.68306712963</v>
      </c>
      <c r="DH307" s="13" t="s">
        <v>205</v>
      </c>
      <c r="DI307" s="14" t="s">
        <v>179</v>
      </c>
      <c r="DJ307" s="14" t="s">
        <v>9133</v>
      </c>
      <c r="DK307" s="14" t="s">
        <v>179</v>
      </c>
      <c r="DL307" s="14" t="s">
        <v>9134</v>
      </c>
      <c r="DM307" s="14" t="s">
        <v>179</v>
      </c>
      <c r="DN307" s="14" t="s">
        <v>9135</v>
      </c>
      <c r="DO307" s="14" t="s">
        <v>179</v>
      </c>
      <c r="DP307" s="14" t="s">
        <v>9136</v>
      </c>
      <c r="DQ307" s="14" t="s">
        <v>179</v>
      </c>
      <c r="DR307" s="14" t="s">
        <v>9137</v>
      </c>
      <c r="DS307" s="14" t="s">
        <v>179</v>
      </c>
      <c r="DT307" s="14" t="s">
        <v>9138</v>
      </c>
      <c r="DU307" s="15"/>
      <c r="DV307" s="15"/>
      <c r="DW307" s="15"/>
      <c r="DX307" s="15"/>
      <c r="DY307" s="15"/>
      <c r="DZ307" s="15"/>
      <c r="EA307" s="15"/>
      <c r="EB307" s="15"/>
      <c r="EC307" s="16" t="s">
        <v>197</v>
      </c>
      <c r="ED307" s="17" t="s">
        <v>198</v>
      </c>
      <c r="EE307" s="18">
        <v>45711.68325231481</v>
      </c>
      <c r="EF307" s="13" t="s">
        <v>209</v>
      </c>
      <c r="EG307" s="14" t="s">
        <v>179</v>
      </c>
      <c r="EH307" s="14" t="s">
        <v>9139</v>
      </c>
      <c r="EI307" s="14" t="s">
        <v>179</v>
      </c>
      <c r="EJ307" s="14" t="s">
        <v>9140</v>
      </c>
      <c r="EK307" s="14" t="s">
        <v>179</v>
      </c>
      <c r="EL307" s="14" t="s">
        <v>9141</v>
      </c>
      <c r="EM307" s="14" t="s">
        <v>179</v>
      </c>
      <c r="EN307" s="14" t="s">
        <v>9142</v>
      </c>
      <c r="EO307" s="14" t="s">
        <v>179</v>
      </c>
      <c r="EP307" s="14" t="s">
        <v>9143</v>
      </c>
      <c r="EQ307" s="14" t="s">
        <v>179</v>
      </c>
      <c r="ER307" s="14" t="s">
        <v>9144</v>
      </c>
      <c r="ES307" s="15"/>
      <c r="ET307" s="15"/>
      <c r="EU307" s="15"/>
      <c r="EV307" s="15"/>
      <c r="EW307" s="15"/>
      <c r="EX307" s="15"/>
      <c r="EY307" s="15"/>
      <c r="EZ307" s="15"/>
      <c r="FA307" s="15"/>
      <c r="FB307" s="15"/>
      <c r="FC307" s="16" t="s">
        <v>197</v>
      </c>
      <c r="FD307" s="17" t="s">
        <v>198</v>
      </c>
      <c r="FE307" s="18">
        <v>45713.37938657407</v>
      </c>
      <c r="FF307" s="19"/>
      <c r="FG307" s="19"/>
      <c r="FH307" s="21" t="s">
        <v>197</v>
      </c>
      <c r="FI307" s="17" t="s">
        <v>214</v>
      </c>
      <c r="FJ307" s="18">
        <v>45713.37938657407</v>
      </c>
      <c r="FK307" s="14" t="s">
        <v>9144</v>
      </c>
      <c r="FL307" s="14" t="s">
        <v>9145</v>
      </c>
      <c r="FM307" s="14" t="s">
        <v>9146</v>
      </c>
      <c r="FN307" s="19"/>
      <c r="FO307" s="19"/>
      <c r="FP307" s="19" t="str">
        <f t="shared" si="1"/>
        <v>Base de Dados_Images/EB8103.Imagem do Equipamento-.150924.jpg</v>
      </c>
      <c r="FQ307" s="14"/>
      <c r="FR307" s="14"/>
    </row>
    <row r="308" ht="15.75" customHeight="1">
      <c r="A308" s="12" t="s">
        <v>461</v>
      </c>
      <c r="B308" s="12" t="s">
        <v>9147</v>
      </c>
      <c r="C308" s="24" t="s">
        <v>9148</v>
      </c>
      <c r="D308" s="22" t="s">
        <v>9149</v>
      </c>
      <c r="E308" s="22" t="s">
        <v>9150</v>
      </c>
      <c r="F308" s="13" t="s">
        <v>178</v>
      </c>
      <c r="G308" s="14" t="s">
        <v>179</v>
      </c>
      <c r="H308" s="14" t="s">
        <v>9151</v>
      </c>
      <c r="I308" s="14" t="s">
        <v>179</v>
      </c>
      <c r="J308" s="14" t="s">
        <v>9152</v>
      </c>
      <c r="K308" s="14" t="s">
        <v>179</v>
      </c>
      <c r="L308" s="14" t="s">
        <v>9153</v>
      </c>
      <c r="M308" s="14" t="s">
        <v>179</v>
      </c>
      <c r="N308" s="14" t="s">
        <v>9154</v>
      </c>
      <c r="O308" s="14" t="s">
        <v>179</v>
      </c>
      <c r="P308" s="14" t="s">
        <v>9155</v>
      </c>
      <c r="Q308" s="14" t="s">
        <v>179</v>
      </c>
      <c r="R308" s="14" t="s">
        <v>9156</v>
      </c>
      <c r="S308" s="14" t="s">
        <v>179</v>
      </c>
      <c r="T308" s="14" t="s">
        <v>9157</v>
      </c>
      <c r="U308" s="14" t="s">
        <v>179</v>
      </c>
      <c r="V308" s="14" t="s">
        <v>9158</v>
      </c>
      <c r="W308" s="14" t="s">
        <v>179</v>
      </c>
      <c r="X308" s="14" t="s">
        <v>9159</v>
      </c>
      <c r="Y308" s="14" t="s">
        <v>179</v>
      </c>
      <c r="Z308" s="14" t="s">
        <v>9160</v>
      </c>
      <c r="AA308" s="14" t="s">
        <v>179</v>
      </c>
      <c r="AB308" s="14" t="s">
        <v>9161</v>
      </c>
      <c r="AC308" s="14" t="s">
        <v>179</v>
      </c>
      <c r="AD308" s="14" t="s">
        <v>9162</v>
      </c>
      <c r="AE308" s="14" t="s">
        <v>179</v>
      </c>
      <c r="AF308" s="14" t="s">
        <v>9163</v>
      </c>
      <c r="AG308" s="14" t="s">
        <v>179</v>
      </c>
      <c r="AH308" s="14" t="s">
        <v>9164</v>
      </c>
      <c r="AI308" s="14" t="s">
        <v>179</v>
      </c>
      <c r="AJ308" s="14" t="s">
        <v>9165</v>
      </c>
      <c r="AK308" s="14" t="s">
        <v>179</v>
      </c>
      <c r="AL308" s="14" t="s">
        <v>9166</v>
      </c>
      <c r="AM308" s="14" t="s">
        <v>179</v>
      </c>
      <c r="AN308" s="14" t="s">
        <v>9167</v>
      </c>
      <c r="AO308" s="14" t="s">
        <v>179</v>
      </c>
      <c r="AP308" s="14" t="s">
        <v>9168</v>
      </c>
      <c r="AQ308" s="14" t="s">
        <v>179</v>
      </c>
      <c r="AR308" s="14" t="s">
        <v>9169</v>
      </c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7" t="s">
        <v>197</v>
      </c>
      <c r="BP308" s="17" t="s">
        <v>198</v>
      </c>
      <c r="BQ308" s="18">
        <v>45688.491956018515</v>
      </c>
      <c r="BR308" s="17" t="s">
        <v>198</v>
      </c>
      <c r="BS308" s="18">
        <v>45684.41001157407</v>
      </c>
      <c r="BT308" s="17" t="s">
        <v>198</v>
      </c>
      <c r="BU308" s="18">
        <v>45688.491956018515</v>
      </c>
      <c r="BV308" s="13" t="s">
        <v>199</v>
      </c>
      <c r="BW308" s="14" t="s">
        <v>179</v>
      </c>
      <c r="BX308" s="14" t="s">
        <v>9170</v>
      </c>
      <c r="BY308" s="14" t="s">
        <v>179</v>
      </c>
      <c r="BZ308" s="14" t="s">
        <v>9171</v>
      </c>
      <c r="CA308" s="14" t="s">
        <v>179</v>
      </c>
      <c r="CB308" s="14" t="s">
        <v>9172</v>
      </c>
      <c r="CC308" s="14" t="s">
        <v>179</v>
      </c>
      <c r="CD308" s="14" t="s">
        <v>9172</v>
      </c>
      <c r="CE308" s="14" t="s">
        <v>179</v>
      </c>
      <c r="CF308" s="14" t="s">
        <v>9173</v>
      </c>
      <c r="CG308" s="19"/>
      <c r="CH308" s="15"/>
      <c r="CI308" s="19"/>
      <c r="CJ308" s="15"/>
      <c r="CK308" s="19"/>
      <c r="CL308" s="15"/>
      <c r="CM308" s="19"/>
      <c r="CN308" s="15"/>
      <c r="CO308" s="19"/>
      <c r="CP308" s="15"/>
      <c r="CQ308" s="15"/>
      <c r="CR308" s="15"/>
      <c r="CS308" s="19"/>
      <c r="CT308" s="15"/>
      <c r="CU308" s="19"/>
      <c r="CV308" s="15"/>
      <c r="CW308" s="19"/>
      <c r="CX308" s="15"/>
      <c r="CY308" s="19"/>
      <c r="CZ308" s="15"/>
      <c r="DA308" s="16" t="s">
        <v>197</v>
      </c>
      <c r="DB308" s="17" t="s">
        <v>198</v>
      </c>
      <c r="DC308" s="20">
        <v>45691.63234953704</v>
      </c>
      <c r="DD308" s="17" t="s">
        <v>198</v>
      </c>
      <c r="DE308" s="18">
        <v>45691.63240740741</v>
      </c>
      <c r="DF308" s="17" t="s">
        <v>198</v>
      </c>
      <c r="DG308" s="18">
        <v>45691.63240740741</v>
      </c>
      <c r="DH308" s="13" t="s">
        <v>205</v>
      </c>
      <c r="DI308" s="14" t="s">
        <v>179</v>
      </c>
      <c r="DJ308" s="14" t="s">
        <v>9174</v>
      </c>
      <c r="DK308" s="14" t="s">
        <v>179</v>
      </c>
      <c r="DL308" s="14" t="s">
        <v>9175</v>
      </c>
      <c r="DM308" s="14" t="s">
        <v>179</v>
      </c>
      <c r="DN308" s="14" t="s">
        <v>9176</v>
      </c>
      <c r="DO308" s="15"/>
      <c r="DP308" s="15"/>
      <c r="DQ308" s="15"/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6" t="s">
        <v>197</v>
      </c>
      <c r="ED308" s="17" t="s">
        <v>198</v>
      </c>
      <c r="EE308" s="18">
        <v>45691.63255787037</v>
      </c>
      <c r="EF308" s="13" t="s">
        <v>209</v>
      </c>
      <c r="EG308" s="15"/>
      <c r="EH308" s="15"/>
      <c r="EI308" s="15"/>
      <c r="EJ308" s="15"/>
      <c r="EK308" s="15"/>
      <c r="EL308" s="15"/>
      <c r="EM308" s="15"/>
      <c r="EN308" s="15"/>
      <c r="EO308" s="15"/>
      <c r="EP308" s="15"/>
      <c r="EQ308" s="15"/>
      <c r="ER308" s="15"/>
      <c r="ES308" s="15"/>
      <c r="ET308" s="15"/>
      <c r="EU308" s="15"/>
      <c r="EV308" s="15"/>
      <c r="EW308" s="15"/>
      <c r="EX308" s="15"/>
      <c r="EY308" s="15"/>
      <c r="EZ308" s="15"/>
      <c r="FA308" s="15"/>
      <c r="FB308" s="15"/>
      <c r="FC308" s="16" t="s">
        <v>197</v>
      </c>
      <c r="FD308" s="17" t="s">
        <v>228</v>
      </c>
      <c r="FE308" s="23"/>
      <c r="FF308" s="19"/>
      <c r="FG308" s="19"/>
      <c r="FH308" s="21" t="s">
        <v>197</v>
      </c>
      <c r="FI308" s="17" t="s">
        <v>214</v>
      </c>
      <c r="FJ308" s="18">
        <v>45691.63255787037</v>
      </c>
      <c r="FK308" s="14" t="s">
        <v>9176</v>
      </c>
      <c r="FL308" s="19"/>
      <c r="FM308" s="19"/>
      <c r="FN308" s="19"/>
      <c r="FO308" s="19"/>
      <c r="FP308" s="19" t="str">
        <f t="shared" si="1"/>
        <v/>
      </c>
      <c r="FQ308" s="14" t="s">
        <v>215</v>
      </c>
      <c r="FR308" s="14" t="s">
        <v>9177</v>
      </c>
    </row>
    <row r="309" ht="15.75" customHeight="1">
      <c r="A309" s="12" t="s">
        <v>461</v>
      </c>
      <c r="B309" s="12" t="s">
        <v>9178</v>
      </c>
      <c r="C309" s="24" t="s">
        <v>9148</v>
      </c>
      <c r="D309" s="22" t="s">
        <v>9179</v>
      </c>
      <c r="E309" s="22" t="s">
        <v>9180</v>
      </c>
      <c r="F309" s="13" t="s">
        <v>178</v>
      </c>
      <c r="G309" s="14" t="s">
        <v>179</v>
      </c>
      <c r="H309" s="14" t="s">
        <v>9181</v>
      </c>
      <c r="I309" s="14" t="s">
        <v>179</v>
      </c>
      <c r="J309" s="14" t="s">
        <v>9182</v>
      </c>
      <c r="K309" s="14" t="s">
        <v>179</v>
      </c>
      <c r="L309" s="14" t="s">
        <v>9183</v>
      </c>
      <c r="M309" s="14" t="s">
        <v>179</v>
      </c>
      <c r="N309" s="14" t="s">
        <v>9184</v>
      </c>
      <c r="O309" s="14" t="s">
        <v>179</v>
      </c>
      <c r="P309" s="14" t="s">
        <v>9185</v>
      </c>
      <c r="Q309" s="14" t="s">
        <v>179</v>
      </c>
      <c r="R309" s="14" t="s">
        <v>9186</v>
      </c>
      <c r="S309" s="14" t="s">
        <v>179</v>
      </c>
      <c r="T309" s="14" t="s">
        <v>9187</v>
      </c>
      <c r="U309" s="14" t="s">
        <v>179</v>
      </c>
      <c r="V309" s="14" t="s">
        <v>9188</v>
      </c>
      <c r="W309" s="14" t="s">
        <v>179</v>
      </c>
      <c r="X309" s="14" t="s">
        <v>9189</v>
      </c>
      <c r="Y309" s="14" t="s">
        <v>179</v>
      </c>
      <c r="Z309" s="14" t="s">
        <v>9190</v>
      </c>
      <c r="AA309" s="14" t="s">
        <v>179</v>
      </c>
      <c r="AB309" s="14" t="s">
        <v>9191</v>
      </c>
      <c r="AC309" s="14" t="s">
        <v>179</v>
      </c>
      <c r="AD309" s="14" t="s">
        <v>9192</v>
      </c>
      <c r="AE309" s="14" t="s">
        <v>179</v>
      </c>
      <c r="AF309" s="14" t="s">
        <v>9193</v>
      </c>
      <c r="AG309" s="14" t="s">
        <v>179</v>
      </c>
      <c r="AH309" s="14" t="s">
        <v>9194</v>
      </c>
      <c r="AI309" s="14" t="s">
        <v>179</v>
      </c>
      <c r="AJ309" s="14" t="s">
        <v>9195</v>
      </c>
      <c r="AK309" s="14" t="s">
        <v>179</v>
      </c>
      <c r="AL309" s="14" t="s">
        <v>9196</v>
      </c>
      <c r="AM309" s="14" t="s">
        <v>179</v>
      </c>
      <c r="AN309" s="14" t="s">
        <v>9197</v>
      </c>
      <c r="AO309" s="14" t="s">
        <v>179</v>
      </c>
      <c r="AP309" s="14" t="s">
        <v>9198</v>
      </c>
      <c r="AQ309" s="14" t="s">
        <v>179</v>
      </c>
      <c r="AR309" s="14" t="s">
        <v>9199</v>
      </c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6" t="s">
        <v>197</v>
      </c>
      <c r="BP309" s="17" t="s">
        <v>198</v>
      </c>
      <c r="BQ309" s="18">
        <v>45686.4178125</v>
      </c>
      <c r="BR309" s="17" t="s">
        <v>198</v>
      </c>
      <c r="BS309" s="18">
        <v>45686.418020833335</v>
      </c>
      <c r="BT309" s="17" t="s">
        <v>198</v>
      </c>
      <c r="BU309" s="18">
        <v>45686.418020833335</v>
      </c>
      <c r="BV309" s="13" t="s">
        <v>199</v>
      </c>
      <c r="BW309" s="14" t="s">
        <v>179</v>
      </c>
      <c r="BX309" s="14" t="s">
        <v>9200</v>
      </c>
      <c r="BY309" s="14" t="s">
        <v>179</v>
      </c>
      <c r="BZ309" s="14" t="s">
        <v>9200</v>
      </c>
      <c r="CA309" s="14" t="s">
        <v>179</v>
      </c>
      <c r="CB309" s="14" t="s">
        <v>9201</v>
      </c>
      <c r="CC309" s="14" t="s">
        <v>179</v>
      </c>
      <c r="CD309" s="14" t="s">
        <v>9202</v>
      </c>
      <c r="CE309" s="14" t="s">
        <v>179</v>
      </c>
      <c r="CF309" s="14" t="s">
        <v>9203</v>
      </c>
      <c r="CG309" s="19"/>
      <c r="CH309" s="15"/>
      <c r="CI309" s="19"/>
      <c r="CJ309" s="15"/>
      <c r="CK309" s="19"/>
      <c r="CL309" s="15"/>
      <c r="CM309" s="19"/>
      <c r="CN309" s="15"/>
      <c r="CO309" s="19"/>
      <c r="CP309" s="15"/>
      <c r="CQ309" s="15"/>
      <c r="CR309" s="15"/>
      <c r="CS309" s="19"/>
      <c r="CT309" s="15"/>
      <c r="CU309" s="19"/>
      <c r="CV309" s="15"/>
      <c r="CW309" s="19"/>
      <c r="CX309" s="15"/>
      <c r="CY309" s="19"/>
      <c r="CZ309" s="15"/>
      <c r="DA309" s="16" t="s">
        <v>197</v>
      </c>
      <c r="DB309" s="17" t="s">
        <v>198</v>
      </c>
      <c r="DC309" s="20">
        <v>45691.63266203704</v>
      </c>
      <c r="DD309" s="17" t="s">
        <v>198</v>
      </c>
      <c r="DE309" s="18">
        <v>45691.63275462963</v>
      </c>
      <c r="DF309" s="17" t="s">
        <v>198</v>
      </c>
      <c r="DG309" s="18">
        <v>45691.63275462963</v>
      </c>
      <c r="DH309" s="13" t="s">
        <v>205</v>
      </c>
      <c r="DI309" s="14" t="s">
        <v>179</v>
      </c>
      <c r="DJ309" s="14" t="s">
        <v>9204</v>
      </c>
      <c r="DK309" s="14" t="s">
        <v>179</v>
      </c>
      <c r="DL309" s="14" t="s">
        <v>9205</v>
      </c>
      <c r="DM309" s="14" t="s">
        <v>179</v>
      </c>
      <c r="DN309" s="14" t="s">
        <v>9206</v>
      </c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6" t="s">
        <v>197</v>
      </c>
      <c r="ED309" s="17" t="s">
        <v>198</v>
      </c>
      <c r="EE309" s="18">
        <v>45691.63284722222</v>
      </c>
      <c r="EF309" s="13" t="s">
        <v>209</v>
      </c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/>
      <c r="ER309" s="15"/>
      <c r="ES309" s="15"/>
      <c r="ET309" s="15"/>
      <c r="EU309" s="15"/>
      <c r="EV309" s="15"/>
      <c r="EW309" s="15"/>
      <c r="EX309" s="15"/>
      <c r="EY309" s="15"/>
      <c r="EZ309" s="15"/>
      <c r="FA309" s="15"/>
      <c r="FB309" s="15"/>
      <c r="FC309" s="16" t="s">
        <v>197</v>
      </c>
      <c r="FD309" s="17" t="s">
        <v>228</v>
      </c>
      <c r="FE309" s="23"/>
      <c r="FF309" s="19"/>
      <c r="FG309" s="19"/>
      <c r="FH309" s="21" t="s">
        <v>197</v>
      </c>
      <c r="FI309" s="17" t="s">
        <v>214</v>
      </c>
      <c r="FJ309" s="18">
        <v>45691.63284722222</v>
      </c>
      <c r="FK309" s="14" t="s">
        <v>9206</v>
      </c>
      <c r="FL309" s="19"/>
      <c r="FM309" s="19"/>
      <c r="FN309" s="19"/>
      <c r="FO309" s="19"/>
      <c r="FP309" s="19" t="str">
        <f t="shared" si="1"/>
        <v/>
      </c>
      <c r="FQ309" s="14" t="s">
        <v>215</v>
      </c>
      <c r="FR309" s="14" t="s">
        <v>9207</v>
      </c>
    </row>
    <row r="310" ht="15.75" customHeight="1">
      <c r="A310" s="12" t="s">
        <v>174</v>
      </c>
      <c r="B310" s="12" t="s">
        <v>8928</v>
      </c>
      <c r="C310" s="24" t="s">
        <v>9208</v>
      </c>
      <c r="D310" s="22" t="s">
        <v>9209</v>
      </c>
      <c r="E310" s="22" t="s">
        <v>9210</v>
      </c>
      <c r="F310" s="13" t="s">
        <v>178</v>
      </c>
      <c r="G310" s="14" t="s">
        <v>179</v>
      </c>
      <c r="H310" s="14" t="s">
        <v>9211</v>
      </c>
      <c r="I310" s="14" t="s">
        <v>179</v>
      </c>
      <c r="J310" s="14" t="s">
        <v>9212</v>
      </c>
      <c r="K310" s="14" t="s">
        <v>179</v>
      </c>
      <c r="L310" s="14" t="s">
        <v>9213</v>
      </c>
      <c r="M310" s="14" t="s">
        <v>179</v>
      </c>
      <c r="N310" s="14" t="s">
        <v>9214</v>
      </c>
      <c r="O310" s="14" t="s">
        <v>179</v>
      </c>
      <c r="P310" s="14" t="s">
        <v>9215</v>
      </c>
      <c r="Q310" s="14" t="s">
        <v>179</v>
      </c>
      <c r="R310" s="14" t="s">
        <v>9216</v>
      </c>
      <c r="S310" s="14" t="s">
        <v>179</v>
      </c>
      <c r="T310" s="14" t="s">
        <v>9217</v>
      </c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6" t="s">
        <v>197</v>
      </c>
      <c r="BP310" s="17" t="s">
        <v>198</v>
      </c>
      <c r="BQ310" s="18">
        <v>45686.44609953704</v>
      </c>
      <c r="BR310" s="17" t="s">
        <v>198</v>
      </c>
      <c r="BS310" s="18">
        <v>45686.44616898148</v>
      </c>
      <c r="BT310" s="17" t="s">
        <v>198</v>
      </c>
      <c r="BU310" s="18">
        <v>45686.44616898148</v>
      </c>
      <c r="BV310" s="13" t="s">
        <v>199</v>
      </c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9"/>
      <c r="CH310" s="15"/>
      <c r="CI310" s="19"/>
      <c r="CJ310" s="15"/>
      <c r="CK310" s="19"/>
      <c r="CL310" s="15"/>
      <c r="CM310" s="19"/>
      <c r="CN310" s="15"/>
      <c r="CO310" s="19"/>
      <c r="CP310" s="15"/>
      <c r="CQ310" s="15"/>
      <c r="CR310" s="15"/>
      <c r="CS310" s="19"/>
      <c r="CT310" s="15"/>
      <c r="CU310" s="19"/>
      <c r="CV310" s="15"/>
      <c r="CW310" s="19"/>
      <c r="CX310" s="15"/>
      <c r="CY310" s="19"/>
      <c r="CZ310" s="15"/>
      <c r="DA310" s="16" t="s">
        <v>197</v>
      </c>
      <c r="DB310" s="17" t="s">
        <v>228</v>
      </c>
      <c r="DC310" s="16"/>
      <c r="DD310" s="17" t="s">
        <v>228</v>
      </c>
      <c r="DE310" s="23"/>
      <c r="DF310" s="17" t="s">
        <v>228</v>
      </c>
      <c r="DG310" s="23"/>
      <c r="DH310" s="13" t="s">
        <v>205</v>
      </c>
      <c r="DI310" s="14" t="s">
        <v>179</v>
      </c>
      <c r="DJ310" s="14" t="s">
        <v>9218</v>
      </c>
      <c r="DK310" s="14" t="s">
        <v>179</v>
      </c>
      <c r="DL310" s="14" t="s">
        <v>9218</v>
      </c>
      <c r="DM310" s="14" t="s">
        <v>179</v>
      </c>
      <c r="DN310" s="14" t="s">
        <v>9219</v>
      </c>
      <c r="DO310" s="15"/>
      <c r="DP310" s="15"/>
      <c r="DQ310" s="15"/>
      <c r="DR310" s="15"/>
      <c r="DS310" s="15"/>
      <c r="DT310" s="15"/>
      <c r="DU310" s="15"/>
      <c r="DV310" s="15"/>
      <c r="DW310" s="15"/>
      <c r="DX310" s="15"/>
      <c r="DY310" s="15"/>
      <c r="DZ310" s="15"/>
      <c r="EA310" s="15"/>
      <c r="EB310" s="15"/>
      <c r="EC310" s="16" t="s">
        <v>197</v>
      </c>
      <c r="ED310" s="17" t="s">
        <v>198</v>
      </c>
      <c r="EE310" s="18">
        <v>45722.35197916667</v>
      </c>
      <c r="EF310" s="13" t="s">
        <v>209</v>
      </c>
      <c r="EG310" s="14" t="s">
        <v>179</v>
      </c>
      <c r="EH310" s="14" t="s">
        <v>9220</v>
      </c>
      <c r="EI310" s="14" t="s">
        <v>179</v>
      </c>
      <c r="EJ310" s="14" t="s">
        <v>9221</v>
      </c>
      <c r="EK310" s="14" t="s">
        <v>179</v>
      </c>
      <c r="EL310" s="14" t="s">
        <v>9221</v>
      </c>
      <c r="EM310" s="15"/>
      <c r="EN310" s="15"/>
      <c r="EO310" s="15"/>
      <c r="EP310" s="15"/>
      <c r="EQ310" s="15"/>
      <c r="ER310" s="15"/>
      <c r="ES310" s="15"/>
      <c r="ET310" s="15"/>
      <c r="EU310" s="15"/>
      <c r="EV310" s="15"/>
      <c r="EW310" s="15"/>
      <c r="EX310" s="15"/>
      <c r="EY310" s="15"/>
      <c r="EZ310" s="15"/>
      <c r="FA310" s="15"/>
      <c r="FB310" s="15"/>
      <c r="FC310" s="16" t="s">
        <v>197</v>
      </c>
      <c r="FD310" s="17" t="s">
        <v>198</v>
      </c>
      <c r="FE310" s="18">
        <v>45723.28240740741</v>
      </c>
      <c r="FF310" s="19"/>
      <c r="FG310" s="19"/>
      <c r="FH310" s="21" t="s">
        <v>197</v>
      </c>
      <c r="FI310" s="17" t="s">
        <v>214</v>
      </c>
      <c r="FJ310" s="18">
        <v>45723.28240740741</v>
      </c>
      <c r="FK310" s="14" t="s">
        <v>9220</v>
      </c>
      <c r="FL310" s="14" t="s">
        <v>9222</v>
      </c>
      <c r="FM310" s="14" t="s">
        <v>9223</v>
      </c>
      <c r="FN310" s="19"/>
      <c r="FO310" s="19"/>
      <c r="FP310" s="19" t="str">
        <f t="shared" si="1"/>
        <v>Base de Dados_Images/EL2001.Imagem do Equipamento-.134220.jpg</v>
      </c>
      <c r="FQ310" s="19"/>
      <c r="FR310" s="19"/>
    </row>
    <row r="311" ht="15.75" customHeight="1">
      <c r="A311" s="12" t="s">
        <v>174</v>
      </c>
      <c r="B311" s="12" t="s">
        <v>9224</v>
      </c>
      <c r="C311" s="30" t="s">
        <v>9225</v>
      </c>
      <c r="D311" s="22" t="s">
        <v>9226</v>
      </c>
      <c r="E311" s="22" t="s">
        <v>9224</v>
      </c>
      <c r="F311" s="13" t="s">
        <v>178</v>
      </c>
      <c r="G311" s="14" t="s">
        <v>179</v>
      </c>
      <c r="H311" s="14" t="s">
        <v>9227</v>
      </c>
      <c r="I311" s="14" t="s">
        <v>179</v>
      </c>
      <c r="J311" s="14" t="s">
        <v>9228</v>
      </c>
      <c r="K311" s="14" t="s">
        <v>179</v>
      </c>
      <c r="L311" s="14" t="s">
        <v>9229</v>
      </c>
      <c r="M311" s="14" t="s">
        <v>179</v>
      </c>
      <c r="N311" s="14" t="s">
        <v>9230</v>
      </c>
      <c r="O311" s="14" t="s">
        <v>179</v>
      </c>
      <c r="P311" s="14" t="s">
        <v>9231</v>
      </c>
      <c r="Q311" s="14" t="s">
        <v>179</v>
      </c>
      <c r="R311" s="14" t="s">
        <v>9232</v>
      </c>
      <c r="S311" s="14" t="s">
        <v>179</v>
      </c>
      <c r="T311" s="14" t="s">
        <v>9233</v>
      </c>
      <c r="U311" s="14" t="s">
        <v>179</v>
      </c>
      <c r="V311" s="14" t="s">
        <v>9234</v>
      </c>
      <c r="W311" s="14" t="s">
        <v>179</v>
      </c>
      <c r="X311" s="14" t="s">
        <v>9235</v>
      </c>
      <c r="Y311" s="14" t="s">
        <v>179</v>
      </c>
      <c r="Z311" s="14" t="s">
        <v>9236</v>
      </c>
      <c r="AA311" s="14" t="s">
        <v>179</v>
      </c>
      <c r="AB311" s="14" t="s">
        <v>9237</v>
      </c>
      <c r="AC311" s="14" t="s">
        <v>179</v>
      </c>
      <c r="AD311" s="14" t="s">
        <v>9238</v>
      </c>
      <c r="AE311" s="14" t="s">
        <v>179</v>
      </c>
      <c r="AF311" s="14" t="s">
        <v>9239</v>
      </c>
      <c r="AG311" s="14" t="s">
        <v>179</v>
      </c>
      <c r="AH311" s="14" t="s">
        <v>9240</v>
      </c>
      <c r="AI311" s="14" t="s">
        <v>179</v>
      </c>
      <c r="AJ311" s="14" t="s">
        <v>9241</v>
      </c>
      <c r="AK311" s="14" t="s">
        <v>179</v>
      </c>
      <c r="AL311" s="14" t="s">
        <v>9242</v>
      </c>
      <c r="AM311" s="14" t="s">
        <v>179</v>
      </c>
      <c r="AN311" s="14" t="s">
        <v>9243</v>
      </c>
      <c r="AO311" s="14" t="s">
        <v>179</v>
      </c>
      <c r="AP311" s="14" t="s">
        <v>9244</v>
      </c>
      <c r="AQ311" s="14" t="s">
        <v>179</v>
      </c>
      <c r="AR311" s="14" t="s">
        <v>9245</v>
      </c>
      <c r="AS311" s="14" t="s">
        <v>179</v>
      </c>
      <c r="AT311" s="14" t="s">
        <v>9246</v>
      </c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6" t="s">
        <v>197</v>
      </c>
      <c r="BP311" s="17" t="s">
        <v>198</v>
      </c>
      <c r="BQ311" s="18">
        <v>45719.530185185184</v>
      </c>
      <c r="BR311" s="17" t="s">
        <v>198</v>
      </c>
      <c r="BS311" s="18">
        <v>45706.44824074074</v>
      </c>
      <c r="BT311" s="17" t="s">
        <v>198</v>
      </c>
      <c r="BU311" s="18">
        <v>45719.530185185184</v>
      </c>
      <c r="BV311" s="13" t="s">
        <v>199</v>
      </c>
      <c r="BW311" s="14" t="s">
        <v>179</v>
      </c>
      <c r="BX311" s="14" t="s">
        <v>9247</v>
      </c>
      <c r="BY311" s="14" t="s">
        <v>179</v>
      </c>
      <c r="BZ311" s="14" t="s">
        <v>9248</v>
      </c>
      <c r="CA311" s="14" t="s">
        <v>179</v>
      </c>
      <c r="CB311" s="14" t="s">
        <v>9249</v>
      </c>
      <c r="CC311" s="14" t="s">
        <v>179</v>
      </c>
      <c r="CD311" s="14" t="s">
        <v>9250</v>
      </c>
      <c r="CE311" s="15"/>
      <c r="CF311" s="15"/>
      <c r="CG311" s="19"/>
      <c r="CH311" s="15"/>
      <c r="CI311" s="19"/>
      <c r="CJ311" s="15"/>
      <c r="CK311" s="19"/>
      <c r="CL311" s="15"/>
      <c r="CM311" s="19"/>
      <c r="CN311" s="15"/>
      <c r="CO311" s="19"/>
      <c r="CP311" s="15"/>
      <c r="CQ311" s="15"/>
      <c r="CR311" s="15"/>
      <c r="CS311" s="19"/>
      <c r="CT311" s="15"/>
      <c r="CU311" s="19"/>
      <c r="CV311" s="15"/>
      <c r="CW311" s="19"/>
      <c r="CX311" s="15"/>
      <c r="CY311" s="19"/>
      <c r="CZ311" s="15"/>
      <c r="DA311" s="16" t="s">
        <v>197</v>
      </c>
      <c r="DB311" s="17" t="s">
        <v>198</v>
      </c>
      <c r="DC311" s="20">
        <v>45721.49159722222</v>
      </c>
      <c r="DD311" s="17" t="s">
        <v>198</v>
      </c>
      <c r="DE311" s="18">
        <v>45721.491736111115</v>
      </c>
      <c r="DF311" s="17" t="s">
        <v>198</v>
      </c>
      <c r="DG311" s="18">
        <v>45721.491736111115</v>
      </c>
      <c r="DH311" s="13" t="s">
        <v>205</v>
      </c>
      <c r="DI311" s="14" t="s">
        <v>179</v>
      </c>
      <c r="DJ311" s="14" t="s">
        <v>9251</v>
      </c>
      <c r="DK311" s="14" t="s">
        <v>179</v>
      </c>
      <c r="DL311" s="14" t="s">
        <v>9252</v>
      </c>
      <c r="DM311" s="14" t="s">
        <v>179</v>
      </c>
      <c r="DN311" s="14" t="s">
        <v>9253</v>
      </c>
      <c r="DO311" s="14" t="s">
        <v>179</v>
      </c>
      <c r="DP311" s="14" t="s">
        <v>9254</v>
      </c>
      <c r="DQ311" s="14" t="s">
        <v>179</v>
      </c>
      <c r="DR311" s="14" t="s">
        <v>9255</v>
      </c>
      <c r="DS311" s="14" t="s">
        <v>179</v>
      </c>
      <c r="DT311" s="14" t="s">
        <v>9256</v>
      </c>
      <c r="DU311" s="15"/>
      <c r="DV311" s="15"/>
      <c r="DW311" s="15"/>
      <c r="DX311" s="15"/>
      <c r="DY311" s="15"/>
      <c r="DZ311" s="15"/>
      <c r="EA311" s="15"/>
      <c r="EB311" s="15"/>
      <c r="EC311" s="16" t="s">
        <v>197</v>
      </c>
      <c r="ED311" s="17" t="s">
        <v>198</v>
      </c>
      <c r="EE311" s="18">
        <v>45721.491875</v>
      </c>
      <c r="EF311" s="13" t="s">
        <v>209</v>
      </c>
      <c r="EG311" s="14" t="s">
        <v>179</v>
      </c>
      <c r="EH311" s="14" t="s">
        <v>9257</v>
      </c>
      <c r="EI311" s="14" t="s">
        <v>179</v>
      </c>
      <c r="EJ311" s="14" t="s">
        <v>9257</v>
      </c>
      <c r="EK311" s="15"/>
      <c r="EL311" s="15"/>
      <c r="EM311" s="15"/>
      <c r="EN311" s="15"/>
      <c r="EO311" s="15"/>
      <c r="EP311" s="15"/>
      <c r="EQ311" s="15"/>
      <c r="ER311" s="15"/>
      <c r="ES311" s="15"/>
      <c r="ET311" s="15"/>
      <c r="EU311" s="15"/>
      <c r="EV311" s="15"/>
      <c r="EW311" s="15"/>
      <c r="EX311" s="15"/>
      <c r="EY311" s="15"/>
      <c r="EZ311" s="15"/>
      <c r="FA311" s="15"/>
      <c r="FB311" s="15"/>
      <c r="FC311" s="16" t="s">
        <v>197</v>
      </c>
      <c r="FD311" s="17" t="s">
        <v>198</v>
      </c>
      <c r="FE311" s="18">
        <v>45723.27153935185</v>
      </c>
      <c r="FF311" s="19"/>
      <c r="FG311" s="19"/>
      <c r="FH311" s="21" t="s">
        <v>197</v>
      </c>
      <c r="FI311" s="17" t="s">
        <v>214</v>
      </c>
      <c r="FJ311" s="18">
        <v>45723.27153935185</v>
      </c>
      <c r="FK311" s="14" t="s">
        <v>9257</v>
      </c>
      <c r="FL311" s="14" t="s">
        <v>9258</v>
      </c>
      <c r="FM311" s="14" t="s">
        <v>9259</v>
      </c>
      <c r="FN311" s="19"/>
      <c r="FO311" s="19"/>
      <c r="FP311" s="19" t="str">
        <f t="shared" si="1"/>
        <v>Base de Dados_Images/EM2001.Imagem do Equipamento-.142540.jpg</v>
      </c>
      <c r="FQ311" s="19"/>
      <c r="FR311" s="19"/>
    </row>
    <row r="312" ht="15.75" customHeight="1">
      <c r="A312" s="12" t="s">
        <v>174</v>
      </c>
      <c r="B312" s="12" t="s">
        <v>9224</v>
      </c>
      <c r="C312" s="24" t="s">
        <v>9260</v>
      </c>
      <c r="D312" s="22" t="s">
        <v>9261</v>
      </c>
      <c r="E312" s="22" t="s">
        <v>9262</v>
      </c>
      <c r="F312" s="13" t="s">
        <v>178</v>
      </c>
      <c r="G312" s="14" t="s">
        <v>179</v>
      </c>
      <c r="H312" s="14" t="s">
        <v>9263</v>
      </c>
      <c r="I312" s="14" t="s">
        <v>179</v>
      </c>
      <c r="J312" s="14" t="s">
        <v>9264</v>
      </c>
      <c r="K312" s="14" t="s">
        <v>179</v>
      </c>
      <c r="L312" s="14" t="s">
        <v>9265</v>
      </c>
      <c r="M312" s="14" t="s">
        <v>179</v>
      </c>
      <c r="N312" s="14" t="s">
        <v>9266</v>
      </c>
      <c r="O312" s="14" t="s">
        <v>179</v>
      </c>
      <c r="P312" s="14" t="s">
        <v>9267</v>
      </c>
      <c r="Q312" s="14" t="s">
        <v>179</v>
      </c>
      <c r="R312" s="14" t="s">
        <v>9268</v>
      </c>
      <c r="S312" s="14" t="s">
        <v>179</v>
      </c>
      <c r="T312" s="14" t="s">
        <v>9269</v>
      </c>
      <c r="U312" s="14" t="s">
        <v>179</v>
      </c>
      <c r="V312" s="14" t="s">
        <v>9270</v>
      </c>
      <c r="W312" s="14" t="s">
        <v>179</v>
      </c>
      <c r="X312" s="14" t="s">
        <v>9271</v>
      </c>
      <c r="Y312" s="14" t="s">
        <v>179</v>
      </c>
      <c r="Z312" s="14" t="s">
        <v>9272</v>
      </c>
      <c r="AA312" s="14" t="s">
        <v>179</v>
      </c>
      <c r="AB312" s="14" t="s">
        <v>9273</v>
      </c>
      <c r="AC312" s="14" t="s">
        <v>179</v>
      </c>
      <c r="AD312" s="14" t="s">
        <v>9274</v>
      </c>
      <c r="AE312" s="14" t="s">
        <v>179</v>
      </c>
      <c r="AF312" s="14" t="s">
        <v>9275</v>
      </c>
      <c r="AG312" s="14" t="s">
        <v>179</v>
      </c>
      <c r="AH312" s="14" t="s">
        <v>9276</v>
      </c>
      <c r="AI312" s="14" t="s">
        <v>179</v>
      </c>
      <c r="AJ312" s="14" t="s">
        <v>9277</v>
      </c>
      <c r="AK312" s="14" t="s">
        <v>179</v>
      </c>
      <c r="AL312" s="14" t="s">
        <v>9278</v>
      </c>
      <c r="AM312" s="14" t="s">
        <v>179</v>
      </c>
      <c r="AN312" s="14" t="s">
        <v>9279</v>
      </c>
      <c r="AO312" s="14" t="s">
        <v>179</v>
      </c>
      <c r="AP312" s="14" t="s">
        <v>9280</v>
      </c>
      <c r="AQ312" s="14" t="s">
        <v>179</v>
      </c>
      <c r="AR312" s="14" t="s">
        <v>9281</v>
      </c>
      <c r="AS312" s="14" t="s">
        <v>179</v>
      </c>
      <c r="AT312" s="14" t="s">
        <v>9282</v>
      </c>
      <c r="AU312" s="14" t="s">
        <v>179</v>
      </c>
      <c r="AV312" s="14" t="s">
        <v>9283</v>
      </c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6" t="s">
        <v>197</v>
      </c>
      <c r="BP312" s="17" t="s">
        <v>198</v>
      </c>
      <c r="BQ312" s="18">
        <v>45721.49219907408</v>
      </c>
      <c r="BR312" s="17" t="s">
        <v>198</v>
      </c>
      <c r="BS312" s="18">
        <v>45708.379525462966</v>
      </c>
      <c r="BT312" s="17" t="s">
        <v>198</v>
      </c>
      <c r="BU312" s="18">
        <v>45721.49219907408</v>
      </c>
      <c r="BV312" s="13" t="s">
        <v>199</v>
      </c>
      <c r="BW312" s="14" t="s">
        <v>179</v>
      </c>
      <c r="BX312" s="14" t="s">
        <v>9284</v>
      </c>
      <c r="BY312" s="14" t="s">
        <v>179</v>
      </c>
      <c r="BZ312" s="14" t="s">
        <v>9284</v>
      </c>
      <c r="CA312" s="14" t="s">
        <v>179</v>
      </c>
      <c r="CB312" s="14" t="s">
        <v>9285</v>
      </c>
      <c r="CC312" s="14" t="s">
        <v>179</v>
      </c>
      <c r="CD312" s="14" t="s">
        <v>9286</v>
      </c>
      <c r="CE312" s="14" t="s">
        <v>179</v>
      </c>
      <c r="CF312" s="14" t="s">
        <v>9287</v>
      </c>
      <c r="CG312" s="14" t="s">
        <v>179</v>
      </c>
      <c r="CH312" s="14" t="s">
        <v>9287</v>
      </c>
      <c r="CI312" s="14" t="s">
        <v>179</v>
      </c>
      <c r="CJ312" s="14" t="s">
        <v>9288</v>
      </c>
      <c r="CK312" s="19"/>
      <c r="CL312" s="15"/>
      <c r="CM312" s="19"/>
      <c r="CN312" s="15"/>
      <c r="CO312" s="19"/>
      <c r="CP312" s="15"/>
      <c r="CQ312" s="15"/>
      <c r="CR312" s="15"/>
      <c r="CS312" s="19"/>
      <c r="CT312" s="15"/>
      <c r="CU312" s="19"/>
      <c r="CV312" s="15"/>
      <c r="CW312" s="19"/>
      <c r="CX312" s="15"/>
      <c r="CY312" s="19"/>
      <c r="CZ312" s="15"/>
      <c r="DA312" s="16" t="s">
        <v>197</v>
      </c>
      <c r="DB312" s="17" t="s">
        <v>198</v>
      </c>
      <c r="DC312" s="20">
        <v>45723.27190972222</v>
      </c>
      <c r="DD312" s="17" t="s">
        <v>198</v>
      </c>
      <c r="DE312" s="18">
        <v>45723.27197916667</v>
      </c>
      <c r="DF312" s="17" t="s">
        <v>198</v>
      </c>
      <c r="DG312" s="18">
        <v>45723.27197916667</v>
      </c>
      <c r="DH312" s="13" t="s">
        <v>205</v>
      </c>
      <c r="DI312" s="14" t="s">
        <v>179</v>
      </c>
      <c r="DJ312" s="14" t="s">
        <v>9289</v>
      </c>
      <c r="DK312" s="14" t="s">
        <v>179</v>
      </c>
      <c r="DL312" s="14" t="s">
        <v>9289</v>
      </c>
      <c r="DM312" s="14" t="s">
        <v>179</v>
      </c>
      <c r="DN312" s="14" t="s">
        <v>9290</v>
      </c>
      <c r="DO312" s="15"/>
      <c r="DP312" s="15"/>
      <c r="DQ312" s="15"/>
      <c r="DR312" s="15"/>
      <c r="DS312" s="15"/>
      <c r="DT312" s="15"/>
      <c r="DU312" s="15"/>
      <c r="DV312" s="15"/>
      <c r="DW312" s="15"/>
      <c r="DX312" s="15"/>
      <c r="DY312" s="15"/>
      <c r="DZ312" s="15"/>
      <c r="EA312" s="15"/>
      <c r="EB312" s="15"/>
      <c r="EC312" s="16" t="s">
        <v>197</v>
      </c>
      <c r="ED312" s="17" t="s">
        <v>198</v>
      </c>
      <c r="EE312" s="18">
        <v>45723.27203703704</v>
      </c>
      <c r="EF312" s="13" t="s">
        <v>209</v>
      </c>
      <c r="EG312" s="14" t="s">
        <v>179</v>
      </c>
      <c r="EH312" s="14" t="s">
        <v>9291</v>
      </c>
      <c r="EI312" s="14" t="s">
        <v>179</v>
      </c>
      <c r="EJ312" s="14" t="s">
        <v>9292</v>
      </c>
      <c r="EK312" s="14" t="s">
        <v>179</v>
      </c>
      <c r="EL312" s="14" t="s">
        <v>9292</v>
      </c>
      <c r="EM312" s="15"/>
      <c r="EN312" s="15"/>
      <c r="EO312" s="15"/>
      <c r="EP312" s="15"/>
      <c r="EQ312" s="15"/>
      <c r="ER312" s="15"/>
      <c r="ES312" s="15"/>
      <c r="ET312" s="15"/>
      <c r="EU312" s="15"/>
      <c r="EV312" s="15"/>
      <c r="EW312" s="15"/>
      <c r="EX312" s="15"/>
      <c r="EY312" s="15"/>
      <c r="EZ312" s="15"/>
      <c r="FA312" s="15"/>
      <c r="FB312" s="15"/>
      <c r="FC312" s="16" t="s">
        <v>197</v>
      </c>
      <c r="FD312" s="17" t="s">
        <v>198</v>
      </c>
      <c r="FE312" s="18">
        <v>45723.27208333334</v>
      </c>
      <c r="FF312" s="19"/>
      <c r="FG312" s="19"/>
      <c r="FH312" s="21" t="s">
        <v>197</v>
      </c>
      <c r="FI312" s="17" t="s">
        <v>214</v>
      </c>
      <c r="FJ312" s="18">
        <v>45723.27208333334</v>
      </c>
      <c r="FK312" s="14" t="s">
        <v>9292</v>
      </c>
      <c r="FL312" s="19"/>
      <c r="FM312" s="19"/>
      <c r="FN312" s="19"/>
      <c r="FO312" s="19"/>
      <c r="FP312" s="19" t="str">
        <f t="shared" si="1"/>
        <v/>
      </c>
      <c r="FQ312" s="14" t="s">
        <v>215</v>
      </c>
      <c r="FR312" s="14" t="s">
        <v>9293</v>
      </c>
    </row>
    <row r="313" ht="15.75" customHeight="1">
      <c r="A313" s="12" t="s">
        <v>357</v>
      </c>
      <c r="B313" s="12" t="s">
        <v>8547</v>
      </c>
      <c r="C313" s="24" t="s">
        <v>9260</v>
      </c>
      <c r="D313" s="22" t="s">
        <v>9294</v>
      </c>
      <c r="E313" s="22" t="s">
        <v>9295</v>
      </c>
      <c r="F313" s="13" t="s">
        <v>178</v>
      </c>
      <c r="G313" s="14" t="s">
        <v>179</v>
      </c>
      <c r="H313" s="14" t="s">
        <v>9296</v>
      </c>
      <c r="I313" s="14" t="s">
        <v>179</v>
      </c>
      <c r="J313" s="14" t="s">
        <v>9297</v>
      </c>
      <c r="K313" s="14" t="s">
        <v>179</v>
      </c>
      <c r="L313" s="14" t="s">
        <v>9298</v>
      </c>
      <c r="M313" s="14" t="s">
        <v>179</v>
      </c>
      <c r="N313" s="14" t="s">
        <v>9299</v>
      </c>
      <c r="O313" s="14" t="s">
        <v>179</v>
      </c>
      <c r="P313" s="14" t="s">
        <v>9300</v>
      </c>
      <c r="Q313" s="14" t="s">
        <v>179</v>
      </c>
      <c r="R313" s="14" t="s">
        <v>9301</v>
      </c>
      <c r="S313" s="14" t="s">
        <v>179</v>
      </c>
      <c r="T313" s="14" t="s">
        <v>9302</v>
      </c>
      <c r="U313" s="14" t="s">
        <v>179</v>
      </c>
      <c r="V313" s="14" t="s">
        <v>9303</v>
      </c>
      <c r="W313" s="14" t="s">
        <v>179</v>
      </c>
      <c r="X313" s="14" t="s">
        <v>9304</v>
      </c>
      <c r="Y313" s="14" t="s">
        <v>179</v>
      </c>
      <c r="Z313" s="14" t="s">
        <v>9305</v>
      </c>
      <c r="AA313" s="14" t="s">
        <v>179</v>
      </c>
      <c r="AB313" s="14" t="s">
        <v>9306</v>
      </c>
      <c r="AC313" s="14" t="s">
        <v>179</v>
      </c>
      <c r="AD313" s="14" t="s">
        <v>9307</v>
      </c>
      <c r="AE313" s="14" t="s">
        <v>179</v>
      </c>
      <c r="AF313" s="14" t="s">
        <v>9308</v>
      </c>
      <c r="AG313" s="14" t="s">
        <v>179</v>
      </c>
      <c r="AH313" s="14" t="s">
        <v>9309</v>
      </c>
      <c r="AI313" s="14" t="s">
        <v>179</v>
      </c>
      <c r="AJ313" s="14" t="s">
        <v>9310</v>
      </c>
      <c r="AK313" s="14" t="s">
        <v>179</v>
      </c>
      <c r="AL313" s="14" t="s">
        <v>9311</v>
      </c>
      <c r="AM313" s="14" t="s">
        <v>179</v>
      </c>
      <c r="AN313" s="14" t="s">
        <v>9312</v>
      </c>
      <c r="AO313" s="14" t="s">
        <v>179</v>
      </c>
      <c r="AP313" s="14" t="s">
        <v>9313</v>
      </c>
      <c r="AQ313" s="14" t="s">
        <v>179</v>
      </c>
      <c r="AR313" s="14" t="s">
        <v>9314</v>
      </c>
      <c r="AS313" s="14" t="s">
        <v>179</v>
      </c>
      <c r="AT313" s="14" t="s">
        <v>9315</v>
      </c>
      <c r="AU313" s="14" t="s">
        <v>179</v>
      </c>
      <c r="AV313" s="14" t="s">
        <v>9316</v>
      </c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6" t="s">
        <v>197</v>
      </c>
      <c r="BP313" s="17" t="s">
        <v>198</v>
      </c>
      <c r="BQ313" s="18">
        <v>45685.63475694445</v>
      </c>
      <c r="BR313" s="17" t="s">
        <v>198</v>
      </c>
      <c r="BS313" s="18">
        <v>45685.635150462964</v>
      </c>
      <c r="BT313" s="17" t="s">
        <v>198</v>
      </c>
      <c r="BU313" s="18">
        <v>45685.635150462964</v>
      </c>
      <c r="BV313" s="13" t="s">
        <v>199</v>
      </c>
      <c r="BW313" s="14" t="s">
        <v>179</v>
      </c>
      <c r="BX313" s="14" t="s">
        <v>9317</v>
      </c>
      <c r="BY313" s="14" t="s">
        <v>179</v>
      </c>
      <c r="BZ313" s="14" t="s">
        <v>9318</v>
      </c>
      <c r="CA313" s="14" t="s">
        <v>179</v>
      </c>
      <c r="CB313" s="14" t="s">
        <v>9319</v>
      </c>
      <c r="CC313" s="14" t="s">
        <v>179</v>
      </c>
      <c r="CD313" s="14" t="s">
        <v>9320</v>
      </c>
      <c r="CE313" s="14" t="s">
        <v>179</v>
      </c>
      <c r="CF313" s="14" t="s">
        <v>9321</v>
      </c>
      <c r="CG313" s="14" t="s">
        <v>179</v>
      </c>
      <c r="CH313" s="14" t="s">
        <v>9322</v>
      </c>
      <c r="CI313" s="14" t="s">
        <v>179</v>
      </c>
      <c r="CJ313" s="14" t="s">
        <v>9323</v>
      </c>
      <c r="CK313" s="19"/>
      <c r="CL313" s="15"/>
      <c r="CM313" s="19"/>
      <c r="CN313" s="15"/>
      <c r="CO313" s="19"/>
      <c r="CP313" s="15"/>
      <c r="CQ313" s="15"/>
      <c r="CR313" s="15"/>
      <c r="CS313" s="19"/>
      <c r="CT313" s="15"/>
      <c r="CU313" s="19"/>
      <c r="CV313" s="15"/>
      <c r="CW313" s="19"/>
      <c r="CX313" s="15"/>
      <c r="CY313" s="19"/>
      <c r="CZ313" s="15"/>
      <c r="DA313" s="16" t="s">
        <v>197</v>
      </c>
      <c r="DB313" s="17" t="s">
        <v>198</v>
      </c>
      <c r="DC313" s="20">
        <v>45711.693553240744</v>
      </c>
      <c r="DD313" s="17" t="s">
        <v>198</v>
      </c>
      <c r="DE313" s="18">
        <v>45711.69361111111</v>
      </c>
      <c r="DF313" s="17" t="s">
        <v>198</v>
      </c>
      <c r="DG313" s="18">
        <v>45711.69361111111</v>
      </c>
      <c r="DH313" s="13" t="s">
        <v>205</v>
      </c>
      <c r="DI313" s="14" t="s">
        <v>179</v>
      </c>
      <c r="DJ313" s="14" t="s">
        <v>9324</v>
      </c>
      <c r="DK313" s="14" t="s">
        <v>179</v>
      </c>
      <c r="DL313" s="14" t="s">
        <v>9325</v>
      </c>
      <c r="DM313" s="14" t="s">
        <v>179</v>
      </c>
      <c r="DN313" s="14" t="s">
        <v>9326</v>
      </c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6" t="s">
        <v>197</v>
      </c>
      <c r="ED313" s="17" t="s">
        <v>198</v>
      </c>
      <c r="EE313" s="18">
        <v>45711.69373842593</v>
      </c>
      <c r="EF313" s="13" t="s">
        <v>209</v>
      </c>
      <c r="EG313" s="14" t="s">
        <v>179</v>
      </c>
      <c r="EH313" s="14" t="s">
        <v>9327</v>
      </c>
      <c r="EI313" s="14" t="s">
        <v>179</v>
      </c>
      <c r="EJ313" s="14" t="s">
        <v>9328</v>
      </c>
      <c r="EK313" s="14" t="s">
        <v>179</v>
      </c>
      <c r="EL313" s="14" t="s">
        <v>9329</v>
      </c>
      <c r="EM313" s="15"/>
      <c r="EN313" s="15"/>
      <c r="EO313" s="15"/>
      <c r="EP313" s="15"/>
      <c r="EQ313" s="15"/>
      <c r="ER313" s="15"/>
      <c r="ES313" s="15"/>
      <c r="ET313" s="15"/>
      <c r="EU313" s="15"/>
      <c r="EV313" s="15"/>
      <c r="EW313" s="15"/>
      <c r="EX313" s="15"/>
      <c r="EY313" s="15"/>
      <c r="EZ313" s="15"/>
      <c r="FA313" s="15"/>
      <c r="FB313" s="15"/>
      <c r="FC313" s="16" t="s">
        <v>197</v>
      </c>
      <c r="FD313" s="17" t="s">
        <v>198</v>
      </c>
      <c r="FE313" s="18">
        <v>45711.693819444445</v>
      </c>
      <c r="FF313" s="19"/>
      <c r="FG313" s="19"/>
      <c r="FH313" s="21" t="s">
        <v>197</v>
      </c>
      <c r="FI313" s="17" t="s">
        <v>214</v>
      </c>
      <c r="FJ313" s="18">
        <v>45711.693819444445</v>
      </c>
      <c r="FK313" s="14" t="s">
        <v>9329</v>
      </c>
      <c r="FL313" s="14" t="s">
        <v>9330</v>
      </c>
      <c r="FM313" s="14" t="s">
        <v>9331</v>
      </c>
      <c r="FN313" s="19"/>
      <c r="FO313" s="19"/>
      <c r="FP313" s="19" t="str">
        <f t="shared" si="1"/>
        <v>Base de Dados_Images/EP8101.Imagem do Equipamento-.183525.jpg</v>
      </c>
      <c r="FQ313" s="19"/>
      <c r="FR313" s="19"/>
    </row>
    <row r="314" ht="15.75" customHeight="1">
      <c r="A314" s="12" t="s">
        <v>174</v>
      </c>
      <c r="B314" s="22" t="s">
        <v>9332</v>
      </c>
      <c r="C314" s="24" t="s">
        <v>9333</v>
      </c>
      <c r="D314" s="22" t="s">
        <v>9334</v>
      </c>
      <c r="E314" s="22" t="s">
        <v>9335</v>
      </c>
      <c r="F314" s="13" t="s">
        <v>178</v>
      </c>
      <c r="G314" s="14" t="s">
        <v>179</v>
      </c>
      <c r="H314" s="14" t="s">
        <v>9336</v>
      </c>
      <c r="I314" s="14" t="s">
        <v>179</v>
      </c>
      <c r="J314" s="14" t="s">
        <v>9337</v>
      </c>
      <c r="K314" s="14" t="s">
        <v>179</v>
      </c>
      <c r="L314" s="14" t="s">
        <v>9338</v>
      </c>
      <c r="M314" s="14" t="s">
        <v>179</v>
      </c>
      <c r="N314" s="14" t="s">
        <v>9339</v>
      </c>
      <c r="O314" s="14" t="s">
        <v>179</v>
      </c>
      <c r="P314" s="14" t="s">
        <v>9340</v>
      </c>
      <c r="Q314" s="14" t="s">
        <v>179</v>
      </c>
      <c r="R314" s="14" t="s">
        <v>9341</v>
      </c>
      <c r="S314" s="14" t="s">
        <v>179</v>
      </c>
      <c r="T314" s="14" t="s">
        <v>9342</v>
      </c>
      <c r="U314" s="14" t="s">
        <v>179</v>
      </c>
      <c r="V314" s="14" t="s">
        <v>9343</v>
      </c>
      <c r="W314" s="14" t="s">
        <v>179</v>
      </c>
      <c r="X314" s="14" t="s">
        <v>9344</v>
      </c>
      <c r="Y314" s="14" t="s">
        <v>179</v>
      </c>
      <c r="Z314" s="14" t="s">
        <v>9344</v>
      </c>
      <c r="AA314" s="14" t="s">
        <v>179</v>
      </c>
      <c r="AB314" s="14" t="s">
        <v>9345</v>
      </c>
      <c r="AC314" s="14" t="s">
        <v>179</v>
      </c>
      <c r="AD314" s="14" t="s">
        <v>9346</v>
      </c>
      <c r="AE314" s="14" t="s">
        <v>179</v>
      </c>
      <c r="AF314" s="14" t="s">
        <v>9347</v>
      </c>
      <c r="AG314" s="14" t="s">
        <v>179</v>
      </c>
      <c r="AH314" s="14" t="s">
        <v>9348</v>
      </c>
      <c r="AI314" s="14" t="s">
        <v>179</v>
      </c>
      <c r="AJ314" s="14" t="s">
        <v>9349</v>
      </c>
      <c r="AK314" s="14" t="s">
        <v>179</v>
      </c>
      <c r="AL314" s="14" t="s">
        <v>9350</v>
      </c>
      <c r="AM314" s="14" t="s">
        <v>179</v>
      </c>
      <c r="AN314" s="14" t="s">
        <v>9351</v>
      </c>
      <c r="AO314" s="14" t="s">
        <v>179</v>
      </c>
      <c r="AP314" s="14" t="s">
        <v>9352</v>
      </c>
      <c r="AQ314" s="14" t="s">
        <v>179</v>
      </c>
      <c r="AR314" s="14" t="s">
        <v>9353</v>
      </c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6" t="s">
        <v>197</v>
      </c>
      <c r="BP314" s="17" t="s">
        <v>198</v>
      </c>
      <c r="BQ314" s="18">
        <v>45693.49965277778</v>
      </c>
      <c r="BR314" s="17" t="s">
        <v>198</v>
      </c>
      <c r="BS314" s="18">
        <v>45686.437997685185</v>
      </c>
      <c r="BT314" s="17" t="s">
        <v>198</v>
      </c>
      <c r="BU314" s="18">
        <v>45693.49965277778</v>
      </c>
      <c r="BV314" s="13" t="s">
        <v>199</v>
      </c>
      <c r="BW314" s="14" t="s">
        <v>179</v>
      </c>
      <c r="BX314" s="14" t="s">
        <v>9354</v>
      </c>
      <c r="BY314" s="14" t="s">
        <v>179</v>
      </c>
      <c r="BZ314" s="14" t="s">
        <v>9354</v>
      </c>
      <c r="CA314" s="14" t="s">
        <v>179</v>
      </c>
      <c r="CB314" s="14" t="s">
        <v>9355</v>
      </c>
      <c r="CC314" s="14" t="s">
        <v>179</v>
      </c>
      <c r="CD314" s="14" t="s">
        <v>9355</v>
      </c>
      <c r="CE314" s="15"/>
      <c r="CF314" s="15"/>
      <c r="CG314" s="19"/>
      <c r="CH314" s="15"/>
      <c r="CI314" s="19"/>
      <c r="CJ314" s="15"/>
      <c r="CK314" s="19"/>
      <c r="CL314" s="15"/>
      <c r="CM314" s="19"/>
      <c r="CN314" s="15"/>
      <c r="CO314" s="19"/>
      <c r="CP314" s="15"/>
      <c r="CQ314" s="15"/>
      <c r="CR314" s="15"/>
      <c r="CS314" s="19"/>
      <c r="CT314" s="15"/>
      <c r="CU314" s="19"/>
      <c r="CV314" s="15"/>
      <c r="CW314" s="19"/>
      <c r="CX314" s="15"/>
      <c r="CY314" s="19"/>
      <c r="CZ314" s="15"/>
      <c r="DA314" s="16" t="s">
        <v>197</v>
      </c>
      <c r="DB314" s="17" t="s">
        <v>198</v>
      </c>
      <c r="DC314" s="20">
        <v>45722.35145833333</v>
      </c>
      <c r="DD314" s="17" t="s">
        <v>198</v>
      </c>
      <c r="DE314" s="18">
        <v>45722.351481481484</v>
      </c>
      <c r="DF314" s="17" t="s">
        <v>198</v>
      </c>
      <c r="DG314" s="18">
        <v>45722.351481481484</v>
      </c>
      <c r="DH314" s="13" t="s">
        <v>205</v>
      </c>
      <c r="DI314" s="14" t="s">
        <v>179</v>
      </c>
      <c r="DJ314" s="14" t="s">
        <v>9356</v>
      </c>
      <c r="DK314" s="14" t="s">
        <v>179</v>
      </c>
      <c r="DL314" s="14" t="s">
        <v>9357</v>
      </c>
      <c r="DM314" s="14" t="s">
        <v>179</v>
      </c>
      <c r="DN314" s="14" t="s">
        <v>9358</v>
      </c>
      <c r="DO314" s="14" t="s">
        <v>179</v>
      </c>
      <c r="DP314" s="14" t="s">
        <v>9359</v>
      </c>
      <c r="DQ314" s="15"/>
      <c r="DR314" s="15"/>
      <c r="DS314" s="15"/>
      <c r="DT314" s="15"/>
      <c r="DU314" s="15"/>
      <c r="DV314" s="15"/>
      <c r="DW314" s="15"/>
      <c r="DX314" s="15"/>
      <c r="DY314" s="15"/>
      <c r="DZ314" s="15"/>
      <c r="EA314" s="15"/>
      <c r="EB314" s="15"/>
      <c r="EC314" s="16" t="s">
        <v>197</v>
      </c>
      <c r="ED314" s="17" t="s">
        <v>198</v>
      </c>
      <c r="EE314" s="18">
        <v>45722.3515625</v>
      </c>
      <c r="EF314" s="13" t="s">
        <v>209</v>
      </c>
      <c r="EG314" s="15"/>
      <c r="EH314" s="15"/>
      <c r="EI314" s="15"/>
      <c r="EJ314" s="15"/>
      <c r="EK314" s="15"/>
      <c r="EL314" s="15"/>
      <c r="EM314" s="15"/>
      <c r="EN314" s="15"/>
      <c r="EO314" s="15"/>
      <c r="EP314" s="15"/>
      <c r="EQ314" s="15"/>
      <c r="ER314" s="15"/>
      <c r="ES314" s="15"/>
      <c r="ET314" s="15"/>
      <c r="EU314" s="15"/>
      <c r="EV314" s="15"/>
      <c r="EW314" s="15"/>
      <c r="EX314" s="15"/>
      <c r="EY314" s="15"/>
      <c r="EZ314" s="15"/>
      <c r="FA314" s="15"/>
      <c r="FB314" s="15"/>
      <c r="FC314" s="16" t="s">
        <v>197</v>
      </c>
      <c r="FD314" s="17" t="s">
        <v>228</v>
      </c>
      <c r="FE314" s="23"/>
      <c r="FF314" s="19"/>
      <c r="FG314" s="19"/>
      <c r="FH314" s="21" t="s">
        <v>197</v>
      </c>
      <c r="FI314" s="17" t="s">
        <v>214</v>
      </c>
      <c r="FJ314" s="18">
        <v>45722.3515625</v>
      </c>
      <c r="FK314" s="14" t="s">
        <v>9359</v>
      </c>
      <c r="FL314" s="14" t="s">
        <v>9360</v>
      </c>
      <c r="FM314" s="14" t="s">
        <v>9361</v>
      </c>
      <c r="FN314" s="19"/>
      <c r="FO314" s="19"/>
      <c r="FP314" s="19" t="str">
        <f t="shared" si="1"/>
        <v>Base de Dados_Images/ER2001.Imagem do Equipamento-.133740.jpg</v>
      </c>
      <c r="FQ314" s="19"/>
      <c r="FR314" s="19"/>
    </row>
    <row r="315" ht="15.75" customHeight="1">
      <c r="A315" s="12" t="s">
        <v>7459</v>
      </c>
      <c r="B315" s="12" t="s">
        <v>7460</v>
      </c>
      <c r="C315" s="24" t="s">
        <v>7724</v>
      </c>
      <c r="D315" s="12" t="s">
        <v>9362</v>
      </c>
      <c r="E315" s="12" t="s">
        <v>9363</v>
      </c>
      <c r="F315" s="13" t="s">
        <v>178</v>
      </c>
      <c r="G315" s="14" t="s">
        <v>179</v>
      </c>
      <c r="H315" s="14" t="s">
        <v>9364</v>
      </c>
      <c r="I315" s="14" t="s">
        <v>179</v>
      </c>
      <c r="J315" s="14" t="s">
        <v>9365</v>
      </c>
      <c r="K315" s="14" t="s">
        <v>179</v>
      </c>
      <c r="L315" s="14" t="s">
        <v>9366</v>
      </c>
      <c r="M315" s="14" t="s">
        <v>179</v>
      </c>
      <c r="N315" s="14" t="s">
        <v>9367</v>
      </c>
      <c r="O315" s="14" t="s">
        <v>179</v>
      </c>
      <c r="P315" s="14" t="s">
        <v>9368</v>
      </c>
      <c r="Q315" s="14" t="s">
        <v>179</v>
      </c>
      <c r="R315" s="14" t="s">
        <v>9369</v>
      </c>
      <c r="S315" s="14" t="s">
        <v>179</v>
      </c>
      <c r="T315" s="14" t="s">
        <v>9370</v>
      </c>
      <c r="U315" s="14" t="s">
        <v>179</v>
      </c>
      <c r="V315" s="14" t="s">
        <v>9371</v>
      </c>
      <c r="W315" s="14" t="s">
        <v>179</v>
      </c>
      <c r="X315" s="14" t="s">
        <v>9372</v>
      </c>
      <c r="Y315" s="14" t="s">
        <v>179</v>
      </c>
      <c r="Z315" s="14" t="s">
        <v>9373</v>
      </c>
      <c r="AA315" s="14" t="s">
        <v>179</v>
      </c>
      <c r="AB315" s="14" t="s">
        <v>9374</v>
      </c>
      <c r="AC315" s="14" t="s">
        <v>179</v>
      </c>
      <c r="AD315" s="14" t="s">
        <v>9375</v>
      </c>
      <c r="AE315" s="14" t="s">
        <v>179</v>
      </c>
      <c r="AF315" s="14" t="s">
        <v>9376</v>
      </c>
      <c r="AG315" s="14" t="s">
        <v>179</v>
      </c>
      <c r="AH315" s="14" t="s">
        <v>9377</v>
      </c>
      <c r="AI315" s="14" t="s">
        <v>179</v>
      </c>
      <c r="AJ315" s="14" t="s">
        <v>9378</v>
      </c>
      <c r="AK315" s="14" t="s">
        <v>179</v>
      </c>
      <c r="AL315" s="14" t="s">
        <v>9379</v>
      </c>
      <c r="AM315" s="14" t="s">
        <v>179</v>
      </c>
      <c r="AN315" s="14" t="s">
        <v>9380</v>
      </c>
      <c r="AO315" s="14" t="s">
        <v>179</v>
      </c>
      <c r="AP315" s="14" t="s">
        <v>9381</v>
      </c>
      <c r="AQ315" s="14" t="s">
        <v>179</v>
      </c>
      <c r="AR315" s="14" t="s">
        <v>9382</v>
      </c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6" t="s">
        <v>197</v>
      </c>
      <c r="BP315" s="17" t="s">
        <v>198</v>
      </c>
      <c r="BQ315" s="18">
        <v>45699.36498842593</v>
      </c>
      <c r="BR315" s="17" t="s">
        <v>198</v>
      </c>
      <c r="BS315" s="18">
        <v>45699.36512731481</v>
      </c>
      <c r="BT315" s="17" t="s">
        <v>198</v>
      </c>
      <c r="BU315" s="18">
        <v>45699.36512731481</v>
      </c>
      <c r="BV315" s="13" t="s">
        <v>199</v>
      </c>
      <c r="BW315" s="14" t="s">
        <v>179</v>
      </c>
      <c r="BX315" s="14" t="s">
        <v>9383</v>
      </c>
      <c r="BY315" s="14" t="s">
        <v>188</v>
      </c>
      <c r="BZ315" s="14" t="s">
        <v>9384</v>
      </c>
      <c r="CA315" s="14" t="s">
        <v>179</v>
      </c>
      <c r="CB315" s="14" t="s">
        <v>9385</v>
      </c>
      <c r="CC315" s="14" t="s">
        <v>179</v>
      </c>
      <c r="CD315" s="14" t="s">
        <v>9386</v>
      </c>
      <c r="CE315" s="15"/>
      <c r="CF315" s="15"/>
      <c r="CG315" s="19"/>
      <c r="CH315" s="15"/>
      <c r="CI315" s="19"/>
      <c r="CJ315" s="15"/>
      <c r="CK315" s="19"/>
      <c r="CL315" s="15"/>
      <c r="CM315" s="19"/>
      <c r="CN315" s="15"/>
      <c r="CO315" s="19"/>
      <c r="CP315" s="15"/>
      <c r="CQ315" s="15"/>
      <c r="CR315" s="15"/>
      <c r="CS315" s="19"/>
      <c r="CT315" s="15"/>
      <c r="CU315" s="19"/>
      <c r="CV315" s="15"/>
      <c r="CW315" s="19"/>
      <c r="CX315" s="15"/>
      <c r="CY315" s="19"/>
      <c r="CZ315" s="15"/>
      <c r="DA315" s="16" t="s">
        <v>197</v>
      </c>
      <c r="DB315" s="17" t="s">
        <v>198</v>
      </c>
      <c r="DC315" s="20">
        <v>45713.47131944444</v>
      </c>
      <c r="DD315" s="17" t="s">
        <v>198</v>
      </c>
      <c r="DE315" s="18">
        <v>45722.44268518518</v>
      </c>
      <c r="DF315" s="17" t="s">
        <v>198</v>
      </c>
      <c r="DG315" s="18">
        <v>45722.44268518518</v>
      </c>
      <c r="DH315" s="13" t="s">
        <v>205</v>
      </c>
      <c r="DI315" s="14" t="s">
        <v>179</v>
      </c>
      <c r="DJ315" s="14" t="s">
        <v>9387</v>
      </c>
      <c r="DK315" s="14" t="s">
        <v>179</v>
      </c>
      <c r="DL315" s="14" t="s">
        <v>9387</v>
      </c>
      <c r="DM315" s="14" t="s">
        <v>179</v>
      </c>
      <c r="DN315" s="14" t="s">
        <v>9388</v>
      </c>
      <c r="DO315" s="14" t="s">
        <v>179</v>
      </c>
      <c r="DP315" s="14" t="s">
        <v>9389</v>
      </c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6" t="s">
        <v>197</v>
      </c>
      <c r="ED315" s="17" t="s">
        <v>198</v>
      </c>
      <c r="EE315" s="18">
        <v>45723.54996527778</v>
      </c>
      <c r="EF315" s="13" t="s">
        <v>209</v>
      </c>
      <c r="EG315" s="15"/>
      <c r="EH315" s="15"/>
      <c r="EI315" s="15"/>
      <c r="EJ315" s="15"/>
      <c r="EK315" s="15"/>
      <c r="EL315" s="15"/>
      <c r="EM315" s="15"/>
      <c r="EN315" s="15"/>
      <c r="EO315" s="15"/>
      <c r="EP315" s="15"/>
      <c r="EQ315" s="15"/>
      <c r="ER315" s="15"/>
      <c r="ES315" s="15"/>
      <c r="ET315" s="15"/>
      <c r="EU315" s="15"/>
      <c r="EV315" s="15"/>
      <c r="EW315" s="15"/>
      <c r="EX315" s="15"/>
      <c r="EY315" s="15"/>
      <c r="EZ315" s="15"/>
      <c r="FA315" s="15"/>
      <c r="FB315" s="15"/>
      <c r="FC315" s="16" t="s">
        <v>197</v>
      </c>
      <c r="FD315" s="17" t="s">
        <v>228</v>
      </c>
      <c r="FE315" s="23"/>
      <c r="FF315" s="19"/>
      <c r="FG315" s="19"/>
      <c r="FH315" s="21" t="s">
        <v>197</v>
      </c>
      <c r="FI315" s="17" t="s">
        <v>214</v>
      </c>
      <c r="FJ315" s="18">
        <v>45723.54996527778</v>
      </c>
      <c r="FK315" s="14" t="s">
        <v>9389</v>
      </c>
      <c r="FL315" s="14" t="s">
        <v>9390</v>
      </c>
      <c r="FM315" s="14" t="s">
        <v>9391</v>
      </c>
      <c r="FN315" s="19"/>
      <c r="FO315" s="19"/>
      <c r="FP315" s="19" t="str">
        <f t="shared" si="1"/>
        <v>Base de Dados_Images/ESTEIRA_PCTS.Imagem do Equipamento-.114455.jpg</v>
      </c>
      <c r="FQ315" s="19"/>
      <c r="FR315" s="19"/>
    </row>
    <row r="316" ht="15.75" customHeight="1">
      <c r="A316" s="12" t="s">
        <v>174</v>
      </c>
      <c r="B316" s="12" t="s">
        <v>1132</v>
      </c>
      <c r="C316" s="30" t="s">
        <v>9225</v>
      </c>
      <c r="D316" s="22" t="s">
        <v>9392</v>
      </c>
      <c r="E316" s="22" t="s">
        <v>9393</v>
      </c>
      <c r="F316" s="13" t="s">
        <v>178</v>
      </c>
      <c r="G316" s="14" t="s">
        <v>179</v>
      </c>
      <c r="H316" s="14" t="s">
        <v>9394</v>
      </c>
      <c r="I316" s="14" t="s">
        <v>179</v>
      </c>
      <c r="J316" s="14" t="s">
        <v>9395</v>
      </c>
      <c r="K316" s="14" t="s">
        <v>179</v>
      </c>
      <c r="L316" s="14" t="s">
        <v>9396</v>
      </c>
      <c r="M316" s="14" t="s">
        <v>179</v>
      </c>
      <c r="N316" s="14" t="s">
        <v>9397</v>
      </c>
      <c r="O316" s="14" t="s">
        <v>179</v>
      </c>
      <c r="P316" s="14" t="s">
        <v>9398</v>
      </c>
      <c r="Q316" s="14" t="s">
        <v>179</v>
      </c>
      <c r="R316" s="14" t="s">
        <v>9399</v>
      </c>
      <c r="S316" s="14" t="s">
        <v>179</v>
      </c>
      <c r="T316" s="14" t="s">
        <v>9400</v>
      </c>
      <c r="U316" s="14" t="s">
        <v>179</v>
      </c>
      <c r="V316" s="14" t="s">
        <v>9401</v>
      </c>
      <c r="W316" s="14" t="s">
        <v>179</v>
      </c>
      <c r="X316" s="14" t="s">
        <v>9402</v>
      </c>
      <c r="Y316" s="14" t="s">
        <v>179</v>
      </c>
      <c r="Z316" s="14" t="s">
        <v>9403</v>
      </c>
      <c r="AA316" s="14" t="s">
        <v>179</v>
      </c>
      <c r="AB316" s="14" t="s">
        <v>9404</v>
      </c>
      <c r="AC316" s="14" t="s">
        <v>179</v>
      </c>
      <c r="AD316" s="14" t="s">
        <v>9405</v>
      </c>
      <c r="AE316" s="14" t="s">
        <v>179</v>
      </c>
      <c r="AF316" s="14" t="s">
        <v>9406</v>
      </c>
      <c r="AG316" s="14" t="s">
        <v>179</v>
      </c>
      <c r="AH316" s="14" t="s">
        <v>9407</v>
      </c>
      <c r="AI316" s="14" t="s">
        <v>179</v>
      </c>
      <c r="AJ316" s="14" t="s">
        <v>9408</v>
      </c>
      <c r="AK316" s="14" t="s">
        <v>179</v>
      </c>
      <c r="AL316" s="14" t="s">
        <v>9409</v>
      </c>
      <c r="AM316" s="14" t="s">
        <v>179</v>
      </c>
      <c r="AN316" s="14" t="s">
        <v>9410</v>
      </c>
      <c r="AO316" s="14" t="s">
        <v>179</v>
      </c>
      <c r="AP316" s="14" t="s">
        <v>9411</v>
      </c>
      <c r="AQ316" s="14" t="s">
        <v>179</v>
      </c>
      <c r="AR316" s="14" t="s">
        <v>9412</v>
      </c>
      <c r="AS316" s="14" t="s">
        <v>179</v>
      </c>
      <c r="AT316" s="14" t="s">
        <v>9413</v>
      </c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6" t="s">
        <v>197</v>
      </c>
      <c r="BP316" s="17" t="s">
        <v>198</v>
      </c>
      <c r="BQ316" s="18">
        <v>45708.357141203705</v>
      </c>
      <c r="BR316" s="17" t="s">
        <v>198</v>
      </c>
      <c r="BS316" s="18">
        <v>45692.58813657407</v>
      </c>
      <c r="BT316" s="17" t="s">
        <v>198</v>
      </c>
      <c r="BU316" s="18">
        <v>45708.357141203705</v>
      </c>
      <c r="BV316" s="13" t="s">
        <v>199</v>
      </c>
      <c r="BW316" s="14" t="s">
        <v>179</v>
      </c>
      <c r="BX316" s="14" t="s">
        <v>9414</v>
      </c>
      <c r="BY316" s="14" t="s">
        <v>179</v>
      </c>
      <c r="BZ316" s="14" t="s">
        <v>9414</v>
      </c>
      <c r="CA316" s="14" t="s">
        <v>179</v>
      </c>
      <c r="CB316" s="14" t="s">
        <v>9415</v>
      </c>
      <c r="CC316" s="14" t="s">
        <v>179</v>
      </c>
      <c r="CD316" s="14" t="s">
        <v>9416</v>
      </c>
      <c r="CE316" s="15"/>
      <c r="CF316" s="15"/>
      <c r="CG316" s="19"/>
      <c r="CH316" s="15"/>
      <c r="CI316" s="19"/>
      <c r="CJ316" s="15"/>
      <c r="CK316" s="19"/>
      <c r="CL316" s="15"/>
      <c r="CM316" s="19"/>
      <c r="CN316" s="15"/>
      <c r="CO316" s="19"/>
      <c r="CP316" s="15"/>
      <c r="CQ316" s="15"/>
      <c r="CR316" s="15"/>
      <c r="CS316" s="19"/>
      <c r="CT316" s="15"/>
      <c r="CU316" s="19"/>
      <c r="CV316" s="15"/>
      <c r="CW316" s="19"/>
      <c r="CX316" s="15"/>
      <c r="CY316" s="19"/>
      <c r="CZ316" s="15"/>
      <c r="DA316" s="16" t="s">
        <v>197</v>
      </c>
      <c r="DB316" s="17" t="s">
        <v>198</v>
      </c>
      <c r="DC316" s="20">
        <v>45721.44541666667</v>
      </c>
      <c r="DD316" s="17" t="s">
        <v>198</v>
      </c>
      <c r="DE316" s="18">
        <v>45721.44545138889</v>
      </c>
      <c r="DF316" s="17" t="s">
        <v>198</v>
      </c>
      <c r="DG316" s="18">
        <v>45721.44545138889</v>
      </c>
      <c r="DH316" s="13" t="s">
        <v>205</v>
      </c>
      <c r="DI316" s="14" t="s">
        <v>179</v>
      </c>
      <c r="DJ316" s="14" t="s">
        <v>9417</v>
      </c>
      <c r="DK316" s="14" t="s">
        <v>179</v>
      </c>
      <c r="DL316" s="14" t="s">
        <v>9418</v>
      </c>
      <c r="DM316" s="14" t="s">
        <v>179</v>
      </c>
      <c r="DN316" s="14" t="s">
        <v>9419</v>
      </c>
      <c r="DO316" s="14" t="s">
        <v>179</v>
      </c>
      <c r="DP316" s="14" t="s">
        <v>9420</v>
      </c>
      <c r="DQ316" s="14" t="s">
        <v>179</v>
      </c>
      <c r="DR316" s="14" t="s">
        <v>9421</v>
      </c>
      <c r="DS316" s="14" t="s">
        <v>179</v>
      </c>
      <c r="DT316" s="14" t="s">
        <v>9422</v>
      </c>
      <c r="DU316" s="15"/>
      <c r="DV316" s="15"/>
      <c r="DW316" s="15"/>
      <c r="DX316" s="15"/>
      <c r="DY316" s="15"/>
      <c r="DZ316" s="15"/>
      <c r="EA316" s="15"/>
      <c r="EB316" s="15"/>
      <c r="EC316" s="16" t="s">
        <v>197</v>
      </c>
      <c r="ED316" s="17" t="s">
        <v>198</v>
      </c>
      <c r="EE316" s="18">
        <v>45721.4455787037</v>
      </c>
      <c r="EF316" s="13" t="s">
        <v>209</v>
      </c>
      <c r="EG316" s="14" t="s">
        <v>179</v>
      </c>
      <c r="EH316" s="14" t="s">
        <v>9423</v>
      </c>
      <c r="EI316" s="14" t="s">
        <v>179</v>
      </c>
      <c r="EJ316" s="14" t="s">
        <v>9424</v>
      </c>
      <c r="EK316" s="15"/>
      <c r="EL316" s="15"/>
      <c r="EM316" s="15"/>
      <c r="EN316" s="15"/>
      <c r="EO316" s="15"/>
      <c r="EP316" s="15"/>
      <c r="EQ316" s="15"/>
      <c r="ER316" s="15"/>
      <c r="ES316" s="15"/>
      <c r="ET316" s="15"/>
      <c r="EU316" s="15"/>
      <c r="EV316" s="15"/>
      <c r="EW316" s="15"/>
      <c r="EX316" s="15"/>
      <c r="EY316" s="15"/>
      <c r="EZ316" s="15"/>
      <c r="FA316" s="15"/>
      <c r="FB316" s="15"/>
      <c r="FC316" s="16" t="s">
        <v>197</v>
      </c>
      <c r="FD316" s="17" t="s">
        <v>198</v>
      </c>
      <c r="FE316" s="18">
        <v>45723.26761574074</v>
      </c>
      <c r="FF316" s="19"/>
      <c r="FG316" s="19"/>
      <c r="FH316" s="21" t="s">
        <v>197</v>
      </c>
      <c r="FI316" s="17" t="s">
        <v>214</v>
      </c>
      <c r="FJ316" s="18">
        <v>45723.26761574074</v>
      </c>
      <c r="FK316" s="14" t="s">
        <v>9424</v>
      </c>
      <c r="FL316" s="14" t="s">
        <v>9425</v>
      </c>
      <c r="FM316" s="14" t="s">
        <v>9426</v>
      </c>
      <c r="FN316" s="19"/>
      <c r="FO316" s="19"/>
      <c r="FP316" s="19" t="str">
        <f t="shared" si="1"/>
        <v>Base de Dados_Images/ET2101.Imagem do Equipamento-.114859.jpg</v>
      </c>
      <c r="FQ316" s="14"/>
      <c r="FR316" s="14"/>
    </row>
    <row r="317" ht="15.75" customHeight="1">
      <c r="A317" s="12" t="s">
        <v>174</v>
      </c>
      <c r="B317" s="22" t="s">
        <v>1192</v>
      </c>
      <c r="C317" s="30" t="s">
        <v>9225</v>
      </c>
      <c r="D317" s="22" t="s">
        <v>9427</v>
      </c>
      <c r="E317" s="22" t="s">
        <v>9428</v>
      </c>
      <c r="F317" s="13" t="s">
        <v>178</v>
      </c>
      <c r="G317" s="14" t="s">
        <v>179</v>
      </c>
      <c r="H317" s="14" t="s">
        <v>9429</v>
      </c>
      <c r="I317" s="14" t="s">
        <v>179</v>
      </c>
      <c r="J317" s="14" t="s">
        <v>9430</v>
      </c>
      <c r="K317" s="14" t="s">
        <v>179</v>
      </c>
      <c r="L317" s="14" t="s">
        <v>9431</v>
      </c>
      <c r="M317" s="14" t="s">
        <v>179</v>
      </c>
      <c r="N317" s="14" t="s">
        <v>9432</v>
      </c>
      <c r="O317" s="14" t="s">
        <v>179</v>
      </c>
      <c r="P317" s="14" t="s">
        <v>9433</v>
      </c>
      <c r="Q317" s="14" t="s">
        <v>179</v>
      </c>
      <c r="R317" s="14" t="s">
        <v>9434</v>
      </c>
      <c r="S317" s="14" t="s">
        <v>179</v>
      </c>
      <c r="T317" s="14" t="s">
        <v>9435</v>
      </c>
      <c r="U317" s="14" t="s">
        <v>179</v>
      </c>
      <c r="V317" s="14" t="s">
        <v>9436</v>
      </c>
      <c r="W317" s="14" t="s">
        <v>179</v>
      </c>
      <c r="X317" s="14" t="s">
        <v>9437</v>
      </c>
      <c r="Y317" s="14" t="s">
        <v>179</v>
      </c>
      <c r="Z317" s="14" t="s">
        <v>9438</v>
      </c>
      <c r="AA317" s="14" t="s">
        <v>179</v>
      </c>
      <c r="AB317" s="14" t="s">
        <v>9439</v>
      </c>
      <c r="AC317" s="14" t="s">
        <v>179</v>
      </c>
      <c r="AD317" s="14" t="s">
        <v>9440</v>
      </c>
      <c r="AE317" s="14" t="s">
        <v>179</v>
      </c>
      <c r="AF317" s="14" t="s">
        <v>9441</v>
      </c>
      <c r="AG317" s="14" t="s">
        <v>179</v>
      </c>
      <c r="AH317" s="14" t="s">
        <v>9442</v>
      </c>
      <c r="AI317" s="14" t="s">
        <v>179</v>
      </c>
      <c r="AJ317" s="14" t="s">
        <v>9443</v>
      </c>
      <c r="AK317" s="14" t="s">
        <v>179</v>
      </c>
      <c r="AL317" s="14" t="s">
        <v>9444</v>
      </c>
      <c r="AM317" s="14" t="s">
        <v>179</v>
      </c>
      <c r="AN317" s="14" t="s">
        <v>9445</v>
      </c>
      <c r="AO317" s="14" t="s">
        <v>179</v>
      </c>
      <c r="AP317" s="14" t="s">
        <v>9446</v>
      </c>
      <c r="AQ317" s="14" t="s">
        <v>179</v>
      </c>
      <c r="AR317" s="14" t="s">
        <v>9447</v>
      </c>
      <c r="AS317" s="14" t="s">
        <v>179</v>
      </c>
      <c r="AT317" s="14" t="s">
        <v>9448</v>
      </c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6" t="s">
        <v>197</v>
      </c>
      <c r="BP317" s="17" t="s">
        <v>198</v>
      </c>
      <c r="BQ317" s="18">
        <v>45705.66699074074</v>
      </c>
      <c r="BR317" s="17" t="s">
        <v>198</v>
      </c>
      <c r="BS317" s="18">
        <v>45705.66724537037</v>
      </c>
      <c r="BT317" s="17" t="s">
        <v>198</v>
      </c>
      <c r="BU317" s="18">
        <v>45705.66724537037</v>
      </c>
      <c r="BV317" s="13" t="s">
        <v>199</v>
      </c>
      <c r="BW317" s="14" t="s">
        <v>179</v>
      </c>
      <c r="BX317" s="14" t="s">
        <v>9449</v>
      </c>
      <c r="BY317" s="14" t="s">
        <v>179</v>
      </c>
      <c r="BZ317" s="14" t="s">
        <v>9449</v>
      </c>
      <c r="CA317" s="14" t="s">
        <v>179</v>
      </c>
      <c r="CB317" s="14" t="s">
        <v>9450</v>
      </c>
      <c r="CC317" s="14" t="s">
        <v>179</v>
      </c>
      <c r="CD317" s="14" t="s">
        <v>9451</v>
      </c>
      <c r="CE317" s="15"/>
      <c r="CF317" s="15"/>
      <c r="CG317" s="19"/>
      <c r="CH317" s="15"/>
      <c r="CI317" s="19"/>
      <c r="CJ317" s="15"/>
      <c r="CK317" s="19"/>
      <c r="CL317" s="15"/>
      <c r="CM317" s="19"/>
      <c r="CN317" s="15"/>
      <c r="CO317" s="19"/>
      <c r="CP317" s="15"/>
      <c r="CQ317" s="15"/>
      <c r="CR317" s="15"/>
      <c r="CS317" s="19"/>
      <c r="CT317" s="15"/>
      <c r="CU317" s="19"/>
      <c r="CV317" s="15"/>
      <c r="CW317" s="19"/>
      <c r="CX317" s="15"/>
      <c r="CY317" s="19"/>
      <c r="CZ317" s="15"/>
      <c r="DA317" s="16" t="s">
        <v>197</v>
      </c>
      <c r="DB317" s="17" t="s">
        <v>198</v>
      </c>
      <c r="DC317" s="20">
        <v>45723.28060185185</v>
      </c>
      <c r="DD317" s="17" t="s">
        <v>198</v>
      </c>
      <c r="DE317" s="18">
        <v>45723.280636574076</v>
      </c>
      <c r="DF317" s="17" t="s">
        <v>198</v>
      </c>
      <c r="DG317" s="18">
        <v>45723.280636574076</v>
      </c>
      <c r="DH317" s="13" t="s">
        <v>205</v>
      </c>
      <c r="DI317" s="14" t="s">
        <v>179</v>
      </c>
      <c r="DJ317" s="14" t="s">
        <v>9452</v>
      </c>
      <c r="DK317" s="14" t="s">
        <v>179</v>
      </c>
      <c r="DL317" s="14" t="s">
        <v>9452</v>
      </c>
      <c r="DM317" s="14" t="s">
        <v>179</v>
      </c>
      <c r="DN317" s="14" t="s">
        <v>9453</v>
      </c>
      <c r="DO317" s="14" t="s">
        <v>179</v>
      </c>
      <c r="DP317" s="14" t="s">
        <v>9453</v>
      </c>
      <c r="DQ317" s="14" t="s">
        <v>179</v>
      </c>
      <c r="DR317" s="14" t="s">
        <v>9454</v>
      </c>
      <c r="DS317" s="14" t="s">
        <v>179</v>
      </c>
      <c r="DT317" s="14" t="s">
        <v>9455</v>
      </c>
      <c r="DU317" s="15"/>
      <c r="DV317" s="15"/>
      <c r="DW317" s="15"/>
      <c r="DX317" s="15"/>
      <c r="DY317" s="15"/>
      <c r="DZ317" s="15"/>
      <c r="EA317" s="15"/>
      <c r="EB317" s="15"/>
      <c r="EC317" s="16" t="s">
        <v>197</v>
      </c>
      <c r="ED317" s="17" t="s">
        <v>198</v>
      </c>
      <c r="EE317" s="18">
        <v>45723.28072916667</v>
      </c>
      <c r="EF317" s="13" t="s">
        <v>209</v>
      </c>
      <c r="EG317" s="14" t="s">
        <v>179</v>
      </c>
      <c r="EH317" s="14" t="s">
        <v>9456</v>
      </c>
      <c r="EI317" s="14" t="s">
        <v>179</v>
      </c>
      <c r="EJ317" s="14" t="s">
        <v>9457</v>
      </c>
      <c r="EK317" s="15"/>
      <c r="EL317" s="15"/>
      <c r="EM317" s="15"/>
      <c r="EN317" s="15"/>
      <c r="EO317" s="15"/>
      <c r="EP317" s="15"/>
      <c r="EQ317" s="15"/>
      <c r="ER317" s="15"/>
      <c r="ES317" s="15"/>
      <c r="ET317" s="15"/>
      <c r="EU317" s="15"/>
      <c r="EV317" s="15"/>
      <c r="EW317" s="15"/>
      <c r="EX317" s="15"/>
      <c r="EY317" s="15"/>
      <c r="EZ317" s="15"/>
      <c r="FA317" s="15"/>
      <c r="FB317" s="15"/>
      <c r="FC317" s="16" t="s">
        <v>197</v>
      </c>
      <c r="FD317" s="17" t="s">
        <v>198</v>
      </c>
      <c r="FE317" s="18">
        <v>45723.28077546296</v>
      </c>
      <c r="FF317" s="19"/>
      <c r="FG317" s="19"/>
      <c r="FH317" s="21" t="s">
        <v>197</v>
      </c>
      <c r="FI317" s="17" t="s">
        <v>214</v>
      </c>
      <c r="FJ317" s="18">
        <v>45723.28077546296</v>
      </c>
      <c r="FK317" s="14" t="s">
        <v>9457</v>
      </c>
      <c r="FL317" s="14" t="s">
        <v>9458</v>
      </c>
      <c r="FM317" s="14" t="s">
        <v>9459</v>
      </c>
      <c r="FN317" s="19"/>
      <c r="FO317" s="19"/>
      <c r="FP317" s="19" t="str">
        <f t="shared" si="1"/>
        <v>Base de Dados_Images/ET2102.Imagem do Equipamento-.185942.jpg</v>
      </c>
      <c r="FQ317" s="14"/>
      <c r="FR317" s="14"/>
    </row>
    <row r="318" ht="15.75" customHeight="1">
      <c r="A318" s="12" t="s">
        <v>174</v>
      </c>
      <c r="B318" s="22" t="s">
        <v>581</v>
      </c>
      <c r="C318" s="30" t="s">
        <v>9225</v>
      </c>
      <c r="D318" s="22" t="s">
        <v>9460</v>
      </c>
      <c r="E318" s="22" t="s">
        <v>9461</v>
      </c>
      <c r="F318" s="13" t="s">
        <v>178</v>
      </c>
      <c r="G318" s="14" t="s">
        <v>179</v>
      </c>
      <c r="H318" s="14" t="s">
        <v>9462</v>
      </c>
      <c r="I318" s="14" t="s">
        <v>179</v>
      </c>
      <c r="J318" s="14" t="s">
        <v>9463</v>
      </c>
      <c r="K318" s="14" t="s">
        <v>179</v>
      </c>
      <c r="L318" s="14" t="s">
        <v>9464</v>
      </c>
      <c r="M318" s="14" t="s">
        <v>179</v>
      </c>
      <c r="N318" s="14" t="s">
        <v>9465</v>
      </c>
      <c r="O318" s="14" t="s">
        <v>179</v>
      </c>
      <c r="P318" s="14" t="s">
        <v>9465</v>
      </c>
      <c r="Q318" s="14" t="s">
        <v>179</v>
      </c>
      <c r="R318" s="14" t="s">
        <v>9466</v>
      </c>
      <c r="S318" s="14" t="s">
        <v>179</v>
      </c>
      <c r="T318" s="14" t="s">
        <v>9467</v>
      </c>
      <c r="U318" s="14" t="s">
        <v>179</v>
      </c>
      <c r="V318" s="14" t="s">
        <v>9468</v>
      </c>
      <c r="W318" s="14" t="s">
        <v>179</v>
      </c>
      <c r="X318" s="14" t="s">
        <v>9469</v>
      </c>
      <c r="Y318" s="14" t="s">
        <v>179</v>
      </c>
      <c r="Z318" s="14" t="s">
        <v>9470</v>
      </c>
      <c r="AA318" s="14" t="s">
        <v>179</v>
      </c>
      <c r="AB318" s="14" t="s">
        <v>9471</v>
      </c>
      <c r="AC318" s="14" t="s">
        <v>179</v>
      </c>
      <c r="AD318" s="14" t="s">
        <v>9472</v>
      </c>
      <c r="AE318" s="14" t="s">
        <v>179</v>
      </c>
      <c r="AF318" s="14" t="s">
        <v>9473</v>
      </c>
      <c r="AG318" s="14" t="s">
        <v>179</v>
      </c>
      <c r="AH318" s="14" t="s">
        <v>9474</v>
      </c>
      <c r="AI318" s="14" t="s">
        <v>179</v>
      </c>
      <c r="AJ318" s="14" t="s">
        <v>9474</v>
      </c>
      <c r="AK318" s="14" t="s">
        <v>179</v>
      </c>
      <c r="AL318" s="14" t="s">
        <v>9475</v>
      </c>
      <c r="AM318" s="14" t="s">
        <v>179</v>
      </c>
      <c r="AN318" s="14" t="s">
        <v>9476</v>
      </c>
      <c r="AO318" s="14" t="s">
        <v>179</v>
      </c>
      <c r="AP318" s="14" t="s">
        <v>9477</v>
      </c>
      <c r="AQ318" s="14" t="s">
        <v>179</v>
      </c>
      <c r="AR318" s="14" t="s">
        <v>9478</v>
      </c>
      <c r="AS318" s="14" t="s">
        <v>179</v>
      </c>
      <c r="AT318" s="14" t="s">
        <v>9479</v>
      </c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6" t="s">
        <v>197</v>
      </c>
      <c r="BP318" s="17" t="s">
        <v>198</v>
      </c>
      <c r="BQ318" s="18">
        <v>45719.528865740744</v>
      </c>
      <c r="BR318" s="17" t="s">
        <v>198</v>
      </c>
      <c r="BS318" s="18">
        <v>45719.52893518518</v>
      </c>
      <c r="BT318" s="17" t="s">
        <v>198</v>
      </c>
      <c r="BU318" s="18">
        <v>45719.52893518518</v>
      </c>
      <c r="BV318" s="13" t="s">
        <v>199</v>
      </c>
      <c r="BW318" s="14" t="s">
        <v>179</v>
      </c>
      <c r="BX318" s="14" t="s">
        <v>9480</v>
      </c>
      <c r="BY318" s="14" t="s">
        <v>179</v>
      </c>
      <c r="BZ318" s="14" t="s">
        <v>9481</v>
      </c>
      <c r="CA318" s="14" t="s">
        <v>179</v>
      </c>
      <c r="CB318" s="14" t="s">
        <v>9482</v>
      </c>
      <c r="CC318" s="14" t="s">
        <v>179</v>
      </c>
      <c r="CD318" s="14" t="s">
        <v>9483</v>
      </c>
      <c r="CE318" s="15"/>
      <c r="CF318" s="15"/>
      <c r="CG318" s="19"/>
      <c r="CH318" s="15"/>
      <c r="CI318" s="19"/>
      <c r="CJ318" s="15"/>
      <c r="CK318" s="19"/>
      <c r="CL318" s="15"/>
      <c r="CM318" s="19"/>
      <c r="CN318" s="15"/>
      <c r="CO318" s="19"/>
      <c r="CP318" s="15"/>
      <c r="CQ318" s="15"/>
      <c r="CR318" s="15"/>
      <c r="CS318" s="19"/>
      <c r="CT318" s="15"/>
      <c r="CU318" s="19"/>
      <c r="CV318" s="15"/>
      <c r="CW318" s="19"/>
      <c r="CX318" s="15"/>
      <c r="CY318" s="19"/>
      <c r="CZ318" s="15"/>
      <c r="DA318" s="16" t="s">
        <v>197</v>
      </c>
      <c r="DB318" s="17" t="s">
        <v>198</v>
      </c>
      <c r="DC318" s="20">
        <v>45723.27569444444</v>
      </c>
      <c r="DD318" s="17" t="s">
        <v>198</v>
      </c>
      <c r="DE318" s="18">
        <v>45723.275775462964</v>
      </c>
      <c r="DF318" s="17" t="s">
        <v>198</v>
      </c>
      <c r="DG318" s="18">
        <v>45723.275775462964</v>
      </c>
      <c r="DH318" s="13" t="s">
        <v>205</v>
      </c>
      <c r="DI318" s="14" t="s">
        <v>179</v>
      </c>
      <c r="DJ318" s="14" t="s">
        <v>9484</v>
      </c>
      <c r="DK318" s="14" t="s">
        <v>179</v>
      </c>
      <c r="DL318" s="14" t="s">
        <v>9484</v>
      </c>
      <c r="DM318" s="14" t="s">
        <v>179</v>
      </c>
      <c r="DN318" s="14" t="s">
        <v>9485</v>
      </c>
      <c r="DO318" s="14" t="s">
        <v>179</v>
      </c>
      <c r="DP318" s="14" t="s">
        <v>9486</v>
      </c>
      <c r="DQ318" s="14" t="s">
        <v>179</v>
      </c>
      <c r="DR318" s="14" t="s">
        <v>9487</v>
      </c>
      <c r="DS318" s="14" t="s">
        <v>179</v>
      </c>
      <c r="DT318" s="14" t="s">
        <v>9488</v>
      </c>
      <c r="DU318" s="15"/>
      <c r="DV318" s="15"/>
      <c r="DW318" s="15"/>
      <c r="DX318" s="15"/>
      <c r="DY318" s="15"/>
      <c r="DZ318" s="15"/>
      <c r="EA318" s="15"/>
      <c r="EB318" s="15"/>
      <c r="EC318" s="16" t="s">
        <v>197</v>
      </c>
      <c r="ED318" s="17" t="s">
        <v>198</v>
      </c>
      <c r="EE318" s="18">
        <v>45723.27590277778</v>
      </c>
      <c r="EF318" s="13" t="s">
        <v>209</v>
      </c>
      <c r="EG318" s="14" t="s">
        <v>179</v>
      </c>
      <c r="EH318" s="14" t="s">
        <v>9489</v>
      </c>
      <c r="EI318" s="14" t="s">
        <v>179</v>
      </c>
      <c r="EJ318" s="14" t="s">
        <v>9489</v>
      </c>
      <c r="EK318" s="15"/>
      <c r="EL318" s="15"/>
      <c r="EM318" s="15"/>
      <c r="EN318" s="15"/>
      <c r="EO318" s="15"/>
      <c r="EP318" s="15"/>
      <c r="EQ318" s="15"/>
      <c r="ER318" s="15"/>
      <c r="ES318" s="15"/>
      <c r="ET318" s="15"/>
      <c r="EU318" s="15"/>
      <c r="EV318" s="15"/>
      <c r="EW318" s="15"/>
      <c r="EX318" s="15"/>
      <c r="EY318" s="15"/>
      <c r="EZ318" s="15"/>
      <c r="FA318" s="15"/>
      <c r="FB318" s="15"/>
      <c r="FC318" s="16" t="s">
        <v>197</v>
      </c>
      <c r="FD318" s="17" t="s">
        <v>198</v>
      </c>
      <c r="FE318" s="18">
        <v>45723.2759375</v>
      </c>
      <c r="FF318" s="19"/>
      <c r="FG318" s="19"/>
      <c r="FH318" s="21" t="s">
        <v>197</v>
      </c>
      <c r="FI318" s="17" t="s">
        <v>214</v>
      </c>
      <c r="FJ318" s="18">
        <v>45723.2759375</v>
      </c>
      <c r="FK318" s="14" t="s">
        <v>9489</v>
      </c>
      <c r="FL318" s="14" t="s">
        <v>9490</v>
      </c>
      <c r="FM318" s="14" t="s">
        <v>9491</v>
      </c>
      <c r="FN318" s="19"/>
      <c r="FO318" s="19"/>
      <c r="FP318" s="19" t="str">
        <f t="shared" si="1"/>
        <v>Base de Dados_Images/ET2103.Imagem do Equipamento-.115013.jpg</v>
      </c>
      <c r="FQ318" s="14"/>
      <c r="FR318" s="14"/>
    </row>
    <row r="319" ht="15.75" customHeight="1">
      <c r="A319" s="12" t="s">
        <v>174</v>
      </c>
      <c r="B319" s="22" t="s">
        <v>617</v>
      </c>
      <c r="C319" s="30" t="s">
        <v>9225</v>
      </c>
      <c r="D319" s="22" t="s">
        <v>9492</v>
      </c>
      <c r="E319" s="22" t="s">
        <v>9493</v>
      </c>
      <c r="F319" s="13" t="s">
        <v>178</v>
      </c>
      <c r="G319" s="14" t="s">
        <v>179</v>
      </c>
      <c r="H319" s="14" t="s">
        <v>9494</v>
      </c>
      <c r="I319" s="14" t="s">
        <v>179</v>
      </c>
      <c r="J319" s="14" t="s">
        <v>9495</v>
      </c>
      <c r="K319" s="14" t="s">
        <v>179</v>
      </c>
      <c r="L319" s="14" t="s">
        <v>9496</v>
      </c>
      <c r="M319" s="14" t="s">
        <v>179</v>
      </c>
      <c r="N319" s="14" t="s">
        <v>9497</v>
      </c>
      <c r="O319" s="14" t="s">
        <v>179</v>
      </c>
      <c r="P319" s="14" t="s">
        <v>9498</v>
      </c>
      <c r="Q319" s="14" t="s">
        <v>179</v>
      </c>
      <c r="R319" s="14" t="s">
        <v>9499</v>
      </c>
      <c r="S319" s="14" t="s">
        <v>179</v>
      </c>
      <c r="T319" s="14" t="s">
        <v>9500</v>
      </c>
      <c r="U319" s="14" t="s">
        <v>179</v>
      </c>
      <c r="V319" s="14" t="s">
        <v>9501</v>
      </c>
      <c r="W319" s="14" t="s">
        <v>179</v>
      </c>
      <c r="X319" s="14" t="s">
        <v>9502</v>
      </c>
      <c r="Y319" s="14" t="s">
        <v>179</v>
      </c>
      <c r="Z319" s="14" t="s">
        <v>9503</v>
      </c>
      <c r="AA319" s="14" t="s">
        <v>179</v>
      </c>
      <c r="AB319" s="14" t="s">
        <v>9504</v>
      </c>
      <c r="AC319" s="14" t="s">
        <v>179</v>
      </c>
      <c r="AD319" s="14" t="s">
        <v>9505</v>
      </c>
      <c r="AE319" s="14" t="s">
        <v>179</v>
      </c>
      <c r="AF319" s="14" t="s">
        <v>9506</v>
      </c>
      <c r="AG319" s="14" t="s">
        <v>179</v>
      </c>
      <c r="AH319" s="14" t="s">
        <v>9507</v>
      </c>
      <c r="AI319" s="14" t="s">
        <v>179</v>
      </c>
      <c r="AJ319" s="14" t="s">
        <v>9508</v>
      </c>
      <c r="AK319" s="14" t="s">
        <v>179</v>
      </c>
      <c r="AL319" s="14" t="s">
        <v>9509</v>
      </c>
      <c r="AM319" s="14" t="s">
        <v>179</v>
      </c>
      <c r="AN319" s="14" t="s">
        <v>9510</v>
      </c>
      <c r="AO319" s="14" t="s">
        <v>179</v>
      </c>
      <c r="AP319" s="14" t="s">
        <v>9511</v>
      </c>
      <c r="AQ319" s="14" t="s">
        <v>179</v>
      </c>
      <c r="AR319" s="14" t="s">
        <v>9512</v>
      </c>
      <c r="AS319" s="14" t="s">
        <v>179</v>
      </c>
      <c r="AT319" s="14" t="s">
        <v>9513</v>
      </c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6" t="s">
        <v>197</v>
      </c>
      <c r="BP319" s="17" t="s">
        <v>198</v>
      </c>
      <c r="BQ319" s="18">
        <v>45705.66856481481</v>
      </c>
      <c r="BR319" s="17" t="s">
        <v>198</v>
      </c>
      <c r="BS319" s="18">
        <v>45705.668657407405</v>
      </c>
      <c r="BT319" s="17" t="s">
        <v>198</v>
      </c>
      <c r="BU319" s="18">
        <v>45705.668657407405</v>
      </c>
      <c r="BV319" s="13" t="s">
        <v>199</v>
      </c>
      <c r="BW319" s="14" t="s">
        <v>179</v>
      </c>
      <c r="BX319" s="14" t="s">
        <v>9514</v>
      </c>
      <c r="BY319" s="14" t="s">
        <v>179</v>
      </c>
      <c r="BZ319" s="14" t="s">
        <v>9514</v>
      </c>
      <c r="CA319" s="14" t="s">
        <v>179</v>
      </c>
      <c r="CB319" s="14" t="s">
        <v>9515</v>
      </c>
      <c r="CC319" s="14" t="s">
        <v>179</v>
      </c>
      <c r="CD319" s="14" t="s">
        <v>9516</v>
      </c>
      <c r="CE319" s="15"/>
      <c r="CF319" s="15"/>
      <c r="CG319" s="19"/>
      <c r="CH319" s="15"/>
      <c r="CI319" s="19"/>
      <c r="CJ319" s="15"/>
      <c r="CK319" s="19"/>
      <c r="CL319" s="15"/>
      <c r="CM319" s="19"/>
      <c r="CN319" s="15"/>
      <c r="CO319" s="19"/>
      <c r="CP319" s="15"/>
      <c r="CQ319" s="15"/>
      <c r="CR319" s="15"/>
      <c r="CS319" s="19"/>
      <c r="CT319" s="15"/>
      <c r="CU319" s="19"/>
      <c r="CV319" s="15"/>
      <c r="CW319" s="19"/>
      <c r="CX319" s="15"/>
      <c r="CY319" s="19"/>
      <c r="CZ319" s="15"/>
      <c r="DA319" s="16" t="s">
        <v>197</v>
      </c>
      <c r="DB319" s="17" t="s">
        <v>198</v>
      </c>
      <c r="DC319" s="20">
        <v>45723.27605324074</v>
      </c>
      <c r="DD319" s="17" t="s">
        <v>198</v>
      </c>
      <c r="DE319" s="18">
        <v>45723.27607638889</v>
      </c>
      <c r="DF319" s="17" t="s">
        <v>198</v>
      </c>
      <c r="DG319" s="18">
        <v>45723.27607638889</v>
      </c>
      <c r="DH319" s="13" t="s">
        <v>205</v>
      </c>
      <c r="DI319" s="14" t="s">
        <v>179</v>
      </c>
      <c r="DJ319" s="14" t="s">
        <v>9517</v>
      </c>
      <c r="DK319" s="14" t="s">
        <v>179</v>
      </c>
      <c r="DL319" s="14" t="s">
        <v>9518</v>
      </c>
      <c r="DM319" s="14" t="s">
        <v>179</v>
      </c>
      <c r="DN319" s="14" t="s">
        <v>9519</v>
      </c>
      <c r="DO319" s="14" t="s">
        <v>179</v>
      </c>
      <c r="DP319" s="14" t="s">
        <v>9520</v>
      </c>
      <c r="DQ319" s="14" t="s">
        <v>179</v>
      </c>
      <c r="DR319" s="14" t="s">
        <v>9521</v>
      </c>
      <c r="DS319" s="14" t="s">
        <v>179</v>
      </c>
      <c r="DT319" s="14" t="s">
        <v>9522</v>
      </c>
      <c r="DU319" s="15"/>
      <c r="DV319" s="15"/>
      <c r="DW319" s="15"/>
      <c r="DX319" s="15"/>
      <c r="DY319" s="15"/>
      <c r="DZ319" s="15"/>
      <c r="EA319" s="15"/>
      <c r="EB319" s="15"/>
      <c r="EC319" s="16" t="s">
        <v>197</v>
      </c>
      <c r="ED319" s="17" t="s">
        <v>198</v>
      </c>
      <c r="EE319" s="18">
        <v>45723.27618055556</v>
      </c>
      <c r="EF319" s="13" t="s">
        <v>209</v>
      </c>
      <c r="EG319" s="14" t="s">
        <v>179</v>
      </c>
      <c r="EH319" s="14" t="s">
        <v>9523</v>
      </c>
      <c r="EI319" s="14" t="s">
        <v>179</v>
      </c>
      <c r="EJ319" s="14" t="s">
        <v>9523</v>
      </c>
      <c r="EK319" s="15"/>
      <c r="EL319" s="15"/>
      <c r="EM319" s="15"/>
      <c r="EN319" s="15"/>
      <c r="EO319" s="15"/>
      <c r="EP319" s="15"/>
      <c r="EQ319" s="15"/>
      <c r="ER319" s="15"/>
      <c r="ES319" s="15"/>
      <c r="ET319" s="15"/>
      <c r="EU319" s="15"/>
      <c r="EV319" s="15"/>
      <c r="EW319" s="15"/>
      <c r="EX319" s="15"/>
      <c r="EY319" s="15"/>
      <c r="EZ319" s="15"/>
      <c r="FA319" s="15"/>
      <c r="FB319" s="15"/>
      <c r="FC319" s="16" t="s">
        <v>197</v>
      </c>
      <c r="FD319" s="17" t="s">
        <v>198</v>
      </c>
      <c r="FE319" s="18">
        <v>45723.27622685185</v>
      </c>
      <c r="FF319" s="19"/>
      <c r="FG319" s="19"/>
      <c r="FH319" s="21" t="s">
        <v>197</v>
      </c>
      <c r="FI319" s="17" t="s">
        <v>214</v>
      </c>
      <c r="FJ319" s="18">
        <v>45723.27622685185</v>
      </c>
      <c r="FK319" s="14" t="s">
        <v>9523</v>
      </c>
      <c r="FL319" s="14" t="s">
        <v>9524</v>
      </c>
      <c r="FM319" s="14" t="s">
        <v>9525</v>
      </c>
      <c r="FN319" s="19"/>
      <c r="FO319" s="19"/>
      <c r="FP319" s="19" t="str">
        <f t="shared" si="1"/>
        <v>Base de Dados_Images/ET2104.Imagem do Equipamento-.190939.jpg</v>
      </c>
      <c r="FQ319" s="19"/>
      <c r="FR319" s="19"/>
    </row>
    <row r="320" ht="15.75" customHeight="1">
      <c r="A320" s="12" t="s">
        <v>174</v>
      </c>
      <c r="B320" s="22" t="s">
        <v>682</v>
      </c>
      <c r="C320" s="30" t="s">
        <v>9225</v>
      </c>
      <c r="D320" s="22" t="s">
        <v>9526</v>
      </c>
      <c r="E320" s="22" t="s">
        <v>9527</v>
      </c>
      <c r="F320" s="13" t="s">
        <v>178</v>
      </c>
      <c r="G320" s="14" t="s">
        <v>179</v>
      </c>
      <c r="H320" s="14" t="s">
        <v>9528</v>
      </c>
      <c r="I320" s="14" t="s">
        <v>179</v>
      </c>
      <c r="J320" s="14" t="s">
        <v>9529</v>
      </c>
      <c r="K320" s="14" t="s">
        <v>179</v>
      </c>
      <c r="L320" s="14" t="s">
        <v>9530</v>
      </c>
      <c r="M320" s="14" t="s">
        <v>179</v>
      </c>
      <c r="N320" s="14" t="s">
        <v>9531</v>
      </c>
      <c r="O320" s="14" t="s">
        <v>179</v>
      </c>
      <c r="P320" s="14" t="s">
        <v>9532</v>
      </c>
      <c r="Q320" s="14" t="s">
        <v>179</v>
      </c>
      <c r="R320" s="14" t="s">
        <v>9533</v>
      </c>
      <c r="S320" s="14" t="s">
        <v>179</v>
      </c>
      <c r="T320" s="14" t="s">
        <v>9534</v>
      </c>
      <c r="U320" s="14" t="s">
        <v>179</v>
      </c>
      <c r="V320" s="14" t="s">
        <v>9535</v>
      </c>
      <c r="W320" s="14" t="s">
        <v>179</v>
      </c>
      <c r="X320" s="14" t="s">
        <v>9536</v>
      </c>
      <c r="Y320" s="14" t="s">
        <v>179</v>
      </c>
      <c r="Z320" s="14" t="s">
        <v>9537</v>
      </c>
      <c r="AA320" s="14" t="s">
        <v>179</v>
      </c>
      <c r="AB320" s="14" t="s">
        <v>9538</v>
      </c>
      <c r="AC320" s="14" t="s">
        <v>179</v>
      </c>
      <c r="AD320" s="14" t="s">
        <v>9539</v>
      </c>
      <c r="AE320" s="14" t="s">
        <v>179</v>
      </c>
      <c r="AF320" s="14" t="s">
        <v>9540</v>
      </c>
      <c r="AG320" s="14" t="s">
        <v>179</v>
      </c>
      <c r="AH320" s="14" t="s">
        <v>9541</v>
      </c>
      <c r="AI320" s="14" t="s">
        <v>179</v>
      </c>
      <c r="AJ320" s="14" t="s">
        <v>9542</v>
      </c>
      <c r="AK320" s="14" t="s">
        <v>179</v>
      </c>
      <c r="AL320" s="14" t="s">
        <v>9543</v>
      </c>
      <c r="AM320" s="14" t="s">
        <v>179</v>
      </c>
      <c r="AN320" s="14" t="s">
        <v>9544</v>
      </c>
      <c r="AO320" s="14" t="s">
        <v>179</v>
      </c>
      <c r="AP320" s="14" t="s">
        <v>9545</v>
      </c>
      <c r="AQ320" s="14" t="s">
        <v>179</v>
      </c>
      <c r="AR320" s="14" t="s">
        <v>9546</v>
      </c>
      <c r="AS320" s="14" t="s">
        <v>179</v>
      </c>
      <c r="AT320" s="14" t="s">
        <v>9547</v>
      </c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6" t="s">
        <v>197</v>
      </c>
      <c r="BP320" s="17" t="s">
        <v>198</v>
      </c>
      <c r="BQ320" s="18">
        <v>45708.361122685186</v>
      </c>
      <c r="BR320" s="17" t="s">
        <v>198</v>
      </c>
      <c r="BS320" s="18">
        <v>45708.36136574074</v>
      </c>
      <c r="BT320" s="17" t="s">
        <v>198</v>
      </c>
      <c r="BU320" s="18">
        <v>45708.36136574074</v>
      </c>
      <c r="BV320" s="13" t="s">
        <v>199</v>
      </c>
      <c r="BW320" s="14" t="s">
        <v>179</v>
      </c>
      <c r="BX320" s="14" t="s">
        <v>9548</v>
      </c>
      <c r="BY320" s="14" t="s">
        <v>179</v>
      </c>
      <c r="BZ320" s="14" t="s">
        <v>9549</v>
      </c>
      <c r="CA320" s="14" t="s">
        <v>179</v>
      </c>
      <c r="CB320" s="14" t="s">
        <v>9550</v>
      </c>
      <c r="CC320" s="14" t="s">
        <v>179</v>
      </c>
      <c r="CD320" s="14" t="s">
        <v>9551</v>
      </c>
      <c r="CE320" s="15"/>
      <c r="CF320" s="15"/>
      <c r="CG320" s="19"/>
      <c r="CH320" s="15"/>
      <c r="CI320" s="19"/>
      <c r="CJ320" s="15"/>
      <c r="CK320" s="19"/>
      <c r="CL320" s="15"/>
      <c r="CM320" s="19"/>
      <c r="CN320" s="15"/>
      <c r="CO320" s="19"/>
      <c r="CP320" s="15"/>
      <c r="CQ320" s="15"/>
      <c r="CR320" s="15"/>
      <c r="CS320" s="19"/>
      <c r="CT320" s="15"/>
      <c r="CU320" s="19"/>
      <c r="CV320" s="15"/>
      <c r="CW320" s="19"/>
      <c r="CX320" s="15"/>
      <c r="CY320" s="19"/>
      <c r="CZ320" s="15"/>
      <c r="DA320" s="16" t="s">
        <v>197</v>
      </c>
      <c r="DB320" s="17" t="s">
        <v>198</v>
      </c>
      <c r="DC320" s="20">
        <v>45723.276770833334</v>
      </c>
      <c r="DD320" s="17" t="s">
        <v>198</v>
      </c>
      <c r="DE320" s="18">
        <v>45723.27681712963</v>
      </c>
      <c r="DF320" s="17" t="s">
        <v>198</v>
      </c>
      <c r="DG320" s="18">
        <v>45723.27681712963</v>
      </c>
      <c r="DH320" s="13" t="s">
        <v>205</v>
      </c>
      <c r="DI320" s="14" t="s">
        <v>179</v>
      </c>
      <c r="DJ320" s="14" t="s">
        <v>9552</v>
      </c>
      <c r="DK320" s="14" t="s">
        <v>179</v>
      </c>
      <c r="DL320" s="14" t="s">
        <v>9553</v>
      </c>
      <c r="DM320" s="14" t="s">
        <v>179</v>
      </c>
      <c r="DN320" s="14" t="s">
        <v>9554</v>
      </c>
      <c r="DO320" s="14" t="s">
        <v>179</v>
      </c>
      <c r="DP320" s="14" t="s">
        <v>9554</v>
      </c>
      <c r="DQ320" s="14" t="s">
        <v>179</v>
      </c>
      <c r="DR320" s="14" t="s">
        <v>9555</v>
      </c>
      <c r="DS320" s="14" t="s">
        <v>179</v>
      </c>
      <c r="DT320" s="14" t="s">
        <v>9556</v>
      </c>
      <c r="DU320" s="15"/>
      <c r="DV320" s="15"/>
      <c r="DW320" s="15"/>
      <c r="DX320" s="15"/>
      <c r="DY320" s="15"/>
      <c r="DZ320" s="15"/>
      <c r="EA320" s="15"/>
      <c r="EB320" s="15"/>
      <c r="EC320" s="16" t="s">
        <v>197</v>
      </c>
      <c r="ED320" s="17" t="s">
        <v>198</v>
      </c>
      <c r="EE320" s="18">
        <v>45723.27690972222</v>
      </c>
      <c r="EF320" s="13" t="s">
        <v>209</v>
      </c>
      <c r="EG320" s="14" t="s">
        <v>179</v>
      </c>
      <c r="EH320" s="14" t="s">
        <v>9557</v>
      </c>
      <c r="EI320" s="14" t="s">
        <v>179</v>
      </c>
      <c r="EJ320" s="14" t="s">
        <v>9557</v>
      </c>
      <c r="EK320" s="15"/>
      <c r="EL320" s="15"/>
      <c r="EM320" s="15"/>
      <c r="EN320" s="15"/>
      <c r="EO320" s="15"/>
      <c r="EP320" s="15"/>
      <c r="EQ320" s="15"/>
      <c r="ER320" s="15"/>
      <c r="ES320" s="15"/>
      <c r="ET320" s="15"/>
      <c r="EU320" s="15"/>
      <c r="EV320" s="15"/>
      <c r="EW320" s="15"/>
      <c r="EX320" s="15"/>
      <c r="EY320" s="15"/>
      <c r="EZ320" s="15"/>
      <c r="FA320" s="15"/>
      <c r="FB320" s="15"/>
      <c r="FC320" s="16" t="s">
        <v>197</v>
      </c>
      <c r="FD320" s="17" t="s">
        <v>198</v>
      </c>
      <c r="FE320" s="18">
        <v>45723.27694444444</v>
      </c>
      <c r="FF320" s="19"/>
      <c r="FG320" s="19"/>
      <c r="FH320" s="21" t="s">
        <v>197</v>
      </c>
      <c r="FI320" s="17" t="s">
        <v>214</v>
      </c>
      <c r="FJ320" s="18">
        <v>45723.27694444444</v>
      </c>
      <c r="FK320" s="14" t="s">
        <v>9557</v>
      </c>
      <c r="FL320" s="19"/>
      <c r="FM320" s="19"/>
      <c r="FN320" s="19"/>
      <c r="FO320" s="19"/>
      <c r="FP320" s="19" t="str">
        <f t="shared" si="1"/>
        <v/>
      </c>
      <c r="FQ320" s="14" t="s">
        <v>215</v>
      </c>
      <c r="FR320" s="14" t="s">
        <v>9558</v>
      </c>
    </row>
    <row r="321" ht="15.75" customHeight="1">
      <c r="A321" s="12" t="s">
        <v>357</v>
      </c>
      <c r="B321" s="12" t="s">
        <v>358</v>
      </c>
      <c r="C321" s="30" t="s">
        <v>9225</v>
      </c>
      <c r="D321" s="22" t="s">
        <v>9559</v>
      </c>
      <c r="E321" s="22" t="s">
        <v>9560</v>
      </c>
      <c r="F321" s="13" t="s">
        <v>178</v>
      </c>
      <c r="G321" s="14" t="s">
        <v>179</v>
      </c>
      <c r="H321" s="14" t="s">
        <v>9561</v>
      </c>
      <c r="I321" s="14" t="s">
        <v>179</v>
      </c>
      <c r="J321" s="14" t="s">
        <v>9562</v>
      </c>
      <c r="K321" s="14" t="s">
        <v>179</v>
      </c>
      <c r="L321" s="14" t="s">
        <v>9563</v>
      </c>
      <c r="M321" s="14" t="s">
        <v>179</v>
      </c>
      <c r="N321" s="14" t="s">
        <v>9564</v>
      </c>
      <c r="O321" s="14" t="s">
        <v>179</v>
      </c>
      <c r="P321" s="14" t="s">
        <v>9565</v>
      </c>
      <c r="Q321" s="14" t="s">
        <v>179</v>
      </c>
      <c r="R321" s="14" t="s">
        <v>9566</v>
      </c>
      <c r="S321" s="14" t="s">
        <v>179</v>
      </c>
      <c r="T321" s="14" t="s">
        <v>9567</v>
      </c>
      <c r="U321" s="14" t="s">
        <v>179</v>
      </c>
      <c r="V321" s="14" t="s">
        <v>9568</v>
      </c>
      <c r="W321" s="14" t="s">
        <v>179</v>
      </c>
      <c r="X321" s="14" t="s">
        <v>9569</v>
      </c>
      <c r="Y321" s="14" t="s">
        <v>179</v>
      </c>
      <c r="Z321" s="14" t="s">
        <v>9570</v>
      </c>
      <c r="AA321" s="14" t="s">
        <v>179</v>
      </c>
      <c r="AB321" s="14" t="s">
        <v>9571</v>
      </c>
      <c r="AC321" s="14" t="s">
        <v>179</v>
      </c>
      <c r="AD321" s="14" t="s">
        <v>9572</v>
      </c>
      <c r="AE321" s="14" t="s">
        <v>179</v>
      </c>
      <c r="AF321" s="14" t="s">
        <v>9573</v>
      </c>
      <c r="AG321" s="14" t="s">
        <v>179</v>
      </c>
      <c r="AH321" s="14" t="s">
        <v>9574</v>
      </c>
      <c r="AI321" s="14" t="s">
        <v>179</v>
      </c>
      <c r="AJ321" s="14" t="s">
        <v>9575</v>
      </c>
      <c r="AK321" s="14" t="s">
        <v>179</v>
      </c>
      <c r="AL321" s="14" t="s">
        <v>9576</v>
      </c>
      <c r="AM321" s="14" t="s">
        <v>179</v>
      </c>
      <c r="AN321" s="14" t="s">
        <v>9577</v>
      </c>
      <c r="AO321" s="14" t="s">
        <v>179</v>
      </c>
      <c r="AP321" s="14" t="s">
        <v>9578</v>
      </c>
      <c r="AQ321" s="14" t="s">
        <v>179</v>
      </c>
      <c r="AR321" s="14" t="s">
        <v>9579</v>
      </c>
      <c r="AS321" s="14" t="s">
        <v>179</v>
      </c>
      <c r="AT321" s="14" t="s">
        <v>9580</v>
      </c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6" t="s">
        <v>197</v>
      </c>
      <c r="BP321" s="17" t="s">
        <v>198</v>
      </c>
      <c r="BQ321" s="18">
        <v>45709.350798611114</v>
      </c>
      <c r="BR321" s="17" t="s">
        <v>198</v>
      </c>
      <c r="BS321" s="18">
        <v>45709.350856481484</v>
      </c>
      <c r="BT321" s="17" t="s">
        <v>198</v>
      </c>
      <c r="BU321" s="18">
        <v>45709.350856481484</v>
      </c>
      <c r="BV321" s="13" t="s">
        <v>199</v>
      </c>
      <c r="BW321" s="14" t="s">
        <v>179</v>
      </c>
      <c r="BX321" s="14" t="s">
        <v>9581</v>
      </c>
      <c r="BY321" s="14" t="s">
        <v>179</v>
      </c>
      <c r="BZ321" s="14" t="s">
        <v>9582</v>
      </c>
      <c r="CA321" s="14" t="s">
        <v>179</v>
      </c>
      <c r="CB321" s="14" t="s">
        <v>9583</v>
      </c>
      <c r="CC321" s="14" t="s">
        <v>179</v>
      </c>
      <c r="CD321" s="14" t="s">
        <v>9584</v>
      </c>
      <c r="CE321" s="15"/>
      <c r="CF321" s="15"/>
      <c r="CG321" s="19"/>
      <c r="CH321" s="15"/>
      <c r="CI321" s="19"/>
      <c r="CJ321" s="15"/>
      <c r="CK321" s="19"/>
      <c r="CL321" s="15"/>
      <c r="CM321" s="19"/>
      <c r="CN321" s="15"/>
      <c r="CO321" s="19"/>
      <c r="CP321" s="15"/>
      <c r="CQ321" s="15"/>
      <c r="CR321" s="15"/>
      <c r="CS321" s="19"/>
      <c r="CT321" s="15"/>
      <c r="CU321" s="19"/>
      <c r="CV321" s="15"/>
      <c r="CW321" s="19"/>
      <c r="CX321" s="15"/>
      <c r="CY321" s="19"/>
      <c r="CZ321" s="15"/>
      <c r="DA321" s="16" t="s">
        <v>197</v>
      </c>
      <c r="DB321" s="17" t="s">
        <v>198</v>
      </c>
      <c r="DC321" s="20">
        <v>45709.37619212963</v>
      </c>
      <c r="DD321" s="17" t="s">
        <v>198</v>
      </c>
      <c r="DE321" s="18">
        <v>45709.376238425924</v>
      </c>
      <c r="DF321" s="17" t="s">
        <v>198</v>
      </c>
      <c r="DG321" s="18">
        <v>45709.376238425924</v>
      </c>
      <c r="DH321" s="13" t="s">
        <v>205</v>
      </c>
      <c r="DI321" s="14" t="s">
        <v>179</v>
      </c>
      <c r="DJ321" s="14" t="s">
        <v>9585</v>
      </c>
      <c r="DK321" s="14" t="s">
        <v>179</v>
      </c>
      <c r="DL321" s="14" t="s">
        <v>9586</v>
      </c>
      <c r="DM321" s="14" t="s">
        <v>179</v>
      </c>
      <c r="DN321" s="14" t="s">
        <v>9587</v>
      </c>
      <c r="DO321" s="14" t="s">
        <v>179</v>
      </c>
      <c r="DP321" s="14" t="s">
        <v>9588</v>
      </c>
      <c r="DQ321" s="14" t="s">
        <v>179</v>
      </c>
      <c r="DR321" s="14" t="s">
        <v>9589</v>
      </c>
      <c r="DS321" s="14" t="s">
        <v>179</v>
      </c>
      <c r="DT321" s="14" t="s">
        <v>9590</v>
      </c>
      <c r="DU321" s="15"/>
      <c r="DV321" s="15"/>
      <c r="DW321" s="15"/>
      <c r="DX321" s="15"/>
      <c r="DY321" s="15"/>
      <c r="DZ321" s="15"/>
      <c r="EA321" s="15"/>
      <c r="EB321" s="15"/>
      <c r="EC321" s="16" t="s">
        <v>197</v>
      </c>
      <c r="ED321" s="17" t="s">
        <v>198</v>
      </c>
      <c r="EE321" s="18">
        <v>45709.37636574074</v>
      </c>
      <c r="EF321" s="13" t="s">
        <v>209</v>
      </c>
      <c r="EG321" s="14" t="s">
        <v>179</v>
      </c>
      <c r="EH321" s="14" t="s">
        <v>9591</v>
      </c>
      <c r="EI321" s="14" t="s">
        <v>179</v>
      </c>
      <c r="EJ321" s="14" t="s">
        <v>9592</v>
      </c>
      <c r="EK321" s="15"/>
      <c r="EL321" s="15"/>
      <c r="EM321" s="15"/>
      <c r="EN321" s="15"/>
      <c r="EO321" s="15"/>
      <c r="EP321" s="15"/>
      <c r="EQ321" s="15"/>
      <c r="ER321" s="15"/>
      <c r="ES321" s="15"/>
      <c r="ET321" s="15"/>
      <c r="EU321" s="15"/>
      <c r="EV321" s="15"/>
      <c r="EW321" s="15"/>
      <c r="EX321" s="15"/>
      <c r="EY321" s="15"/>
      <c r="EZ321" s="15"/>
      <c r="FA321" s="15"/>
      <c r="FB321" s="15"/>
      <c r="FC321" s="16" t="s">
        <v>197</v>
      </c>
      <c r="FD321" s="17" t="s">
        <v>198</v>
      </c>
      <c r="FE321" s="18">
        <v>45713.37962962963</v>
      </c>
      <c r="FF321" s="19"/>
      <c r="FG321" s="19"/>
      <c r="FH321" s="21" t="s">
        <v>197</v>
      </c>
      <c r="FI321" s="17" t="s">
        <v>214</v>
      </c>
      <c r="FJ321" s="18">
        <v>45713.37962962963</v>
      </c>
      <c r="FK321" s="14" t="s">
        <v>9592</v>
      </c>
      <c r="FL321" s="14" t="s">
        <v>9593</v>
      </c>
      <c r="FM321" s="14" t="s">
        <v>9594</v>
      </c>
      <c r="FN321" s="19"/>
      <c r="FO321" s="19"/>
      <c r="FP321" s="19" t="str">
        <f t="shared" si="1"/>
        <v>Base de Dados_Images/ET8101.Imagem do Equipamento-.135737.jpg</v>
      </c>
      <c r="FQ321" s="14"/>
      <c r="FR321" s="14"/>
    </row>
    <row r="322" ht="15.75" customHeight="1">
      <c r="A322" s="12" t="s">
        <v>461</v>
      </c>
      <c r="B322" s="12" t="s">
        <v>462</v>
      </c>
      <c r="C322" s="24" t="s">
        <v>9595</v>
      </c>
      <c r="D322" s="22" t="s">
        <v>9596</v>
      </c>
      <c r="E322" s="22" t="s">
        <v>9597</v>
      </c>
      <c r="F322" s="13" t="s">
        <v>178</v>
      </c>
      <c r="G322" s="14" t="s">
        <v>179</v>
      </c>
      <c r="H322" s="14" t="s">
        <v>9598</v>
      </c>
      <c r="I322" s="14" t="s">
        <v>179</v>
      </c>
      <c r="J322" s="14" t="s">
        <v>9599</v>
      </c>
      <c r="K322" s="14" t="s">
        <v>179</v>
      </c>
      <c r="L322" s="14" t="s">
        <v>9600</v>
      </c>
      <c r="M322" s="14" t="s">
        <v>179</v>
      </c>
      <c r="N322" s="14" t="s">
        <v>9601</v>
      </c>
      <c r="O322" s="14" t="s">
        <v>179</v>
      </c>
      <c r="P322" s="14" t="s">
        <v>9602</v>
      </c>
      <c r="Q322" s="14" t="s">
        <v>179</v>
      </c>
      <c r="R322" s="14" t="s">
        <v>9603</v>
      </c>
      <c r="S322" s="14" t="s">
        <v>179</v>
      </c>
      <c r="T322" s="14" t="s">
        <v>9604</v>
      </c>
      <c r="U322" s="14" t="s">
        <v>179</v>
      </c>
      <c r="V322" s="14" t="s">
        <v>9605</v>
      </c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6" t="s">
        <v>197</v>
      </c>
      <c r="BP322" s="17" t="s">
        <v>198</v>
      </c>
      <c r="BQ322" s="18">
        <v>45685.37689814815</v>
      </c>
      <c r="BR322" s="17" t="s">
        <v>198</v>
      </c>
      <c r="BS322" s="18">
        <v>45685.37693287037</v>
      </c>
      <c r="BT322" s="17" t="s">
        <v>198</v>
      </c>
      <c r="BU322" s="18">
        <v>45685.37693287037</v>
      </c>
      <c r="BV322" s="13" t="s">
        <v>199</v>
      </c>
      <c r="BW322" s="14" t="s">
        <v>179</v>
      </c>
      <c r="BX322" s="14" t="s">
        <v>9606</v>
      </c>
      <c r="BY322" s="14" t="s">
        <v>179</v>
      </c>
      <c r="BZ322" s="14" t="s">
        <v>9607</v>
      </c>
      <c r="CA322" s="14" t="s">
        <v>179</v>
      </c>
      <c r="CB322" s="14" t="s">
        <v>9608</v>
      </c>
      <c r="CC322" s="14" t="s">
        <v>179</v>
      </c>
      <c r="CD322" s="14" t="s">
        <v>9609</v>
      </c>
      <c r="CE322" s="15"/>
      <c r="CF322" s="15"/>
      <c r="CG322" s="19"/>
      <c r="CH322" s="15"/>
      <c r="CI322" s="19"/>
      <c r="CJ322" s="15"/>
      <c r="CK322" s="19"/>
      <c r="CL322" s="15"/>
      <c r="CM322" s="19"/>
      <c r="CN322" s="15"/>
      <c r="CO322" s="19"/>
      <c r="CP322" s="15"/>
      <c r="CQ322" s="15"/>
      <c r="CR322" s="15"/>
      <c r="CS322" s="19"/>
      <c r="CT322" s="15"/>
      <c r="CU322" s="19"/>
      <c r="CV322" s="15"/>
      <c r="CW322" s="19"/>
      <c r="CX322" s="15"/>
      <c r="CY322" s="19"/>
      <c r="CZ322" s="15"/>
      <c r="DA322" s="16" t="s">
        <v>197</v>
      </c>
      <c r="DB322" s="17" t="s">
        <v>228</v>
      </c>
      <c r="DC322" s="16"/>
      <c r="DD322" s="17" t="s">
        <v>198</v>
      </c>
      <c r="DE322" s="18">
        <v>45691.63355324074</v>
      </c>
      <c r="DF322" s="17" t="s">
        <v>198</v>
      </c>
      <c r="DG322" s="18">
        <v>45691.63355324074</v>
      </c>
      <c r="DH322" s="13" t="s">
        <v>205</v>
      </c>
      <c r="DI322" s="14" t="s">
        <v>179</v>
      </c>
      <c r="DJ322" s="14" t="s">
        <v>9610</v>
      </c>
      <c r="DK322" s="14" t="s">
        <v>179</v>
      </c>
      <c r="DL322" s="14" t="s">
        <v>9611</v>
      </c>
      <c r="DM322" s="14" t="s">
        <v>179</v>
      </c>
      <c r="DN322" s="14" t="s">
        <v>9612</v>
      </c>
      <c r="DO322" s="14" t="s">
        <v>179</v>
      </c>
      <c r="DP322" s="14" t="s">
        <v>9612</v>
      </c>
      <c r="DQ322" s="15"/>
      <c r="DR322" s="15"/>
      <c r="DS322" s="15"/>
      <c r="DT322" s="15"/>
      <c r="DU322" s="15"/>
      <c r="DV322" s="15"/>
      <c r="DW322" s="15"/>
      <c r="DX322" s="15"/>
      <c r="DY322" s="15"/>
      <c r="DZ322" s="15"/>
      <c r="EA322" s="15"/>
      <c r="EB322" s="15"/>
      <c r="EC322" s="16" t="s">
        <v>197</v>
      </c>
      <c r="ED322" s="17" t="s">
        <v>198</v>
      </c>
      <c r="EE322" s="18">
        <v>45691.63376157408</v>
      </c>
      <c r="EF322" s="13" t="s">
        <v>209</v>
      </c>
      <c r="EG322" s="14" t="s">
        <v>179</v>
      </c>
      <c r="EH322" s="14" t="s">
        <v>9613</v>
      </c>
      <c r="EI322" s="14" t="s">
        <v>179</v>
      </c>
      <c r="EJ322" s="14" t="s">
        <v>9613</v>
      </c>
      <c r="EK322" s="14" t="s">
        <v>179</v>
      </c>
      <c r="EL322" s="14" t="s">
        <v>9614</v>
      </c>
      <c r="EM322" s="15"/>
      <c r="EN322" s="15"/>
      <c r="EO322" s="15"/>
      <c r="EP322" s="15"/>
      <c r="EQ322" s="15"/>
      <c r="ER322" s="15"/>
      <c r="ES322" s="15"/>
      <c r="ET322" s="15"/>
      <c r="EU322" s="15"/>
      <c r="EV322" s="15"/>
      <c r="EW322" s="15"/>
      <c r="EX322" s="15"/>
      <c r="EY322" s="15"/>
      <c r="EZ322" s="15"/>
      <c r="FA322" s="15"/>
      <c r="FB322" s="15"/>
      <c r="FC322" s="16" t="s">
        <v>197</v>
      </c>
      <c r="FD322" s="17" t="s">
        <v>198</v>
      </c>
      <c r="FE322" s="18">
        <v>45723.359398148146</v>
      </c>
      <c r="FF322" s="19"/>
      <c r="FG322" s="19"/>
      <c r="FH322" s="21" t="s">
        <v>197</v>
      </c>
      <c r="FI322" s="17" t="s">
        <v>214</v>
      </c>
      <c r="FJ322" s="18">
        <v>45723.359398148146</v>
      </c>
      <c r="FK322" s="14" t="s">
        <v>9614</v>
      </c>
      <c r="FL322" s="14" t="s">
        <v>9615</v>
      </c>
      <c r="FM322" s="14" t="s">
        <v>9616</v>
      </c>
      <c r="FN322" s="19"/>
      <c r="FO322" s="19"/>
      <c r="FP322" s="19" t="str">
        <f t="shared" si="1"/>
        <v>Base de Dados_Images/EX4001.Imagem do Equipamento-.153440.jpg</v>
      </c>
      <c r="FQ322" s="19"/>
      <c r="FR322" s="19"/>
    </row>
    <row r="323" ht="15.75" customHeight="1">
      <c r="A323" s="12" t="s">
        <v>217</v>
      </c>
      <c r="B323" s="12" t="s">
        <v>2449</v>
      </c>
      <c r="C323" s="24" t="s">
        <v>9595</v>
      </c>
      <c r="D323" s="22" t="s">
        <v>9617</v>
      </c>
      <c r="E323" s="22" t="s">
        <v>9618</v>
      </c>
      <c r="F323" s="13" t="s">
        <v>178</v>
      </c>
      <c r="G323" s="14" t="s">
        <v>179</v>
      </c>
      <c r="H323" s="14" t="s">
        <v>9619</v>
      </c>
      <c r="I323" s="14" t="s">
        <v>179</v>
      </c>
      <c r="J323" s="14" t="s">
        <v>9620</v>
      </c>
      <c r="K323" s="14" t="s">
        <v>179</v>
      </c>
      <c r="L323" s="14" t="s">
        <v>9621</v>
      </c>
      <c r="M323" s="14" t="s">
        <v>179</v>
      </c>
      <c r="N323" s="14" t="s">
        <v>9622</v>
      </c>
      <c r="O323" s="14" t="s">
        <v>179</v>
      </c>
      <c r="P323" s="14" t="s">
        <v>9623</v>
      </c>
      <c r="Q323" s="14" t="s">
        <v>179</v>
      </c>
      <c r="R323" s="14" t="s">
        <v>9624</v>
      </c>
      <c r="S323" s="14" t="s">
        <v>179</v>
      </c>
      <c r="T323" s="14" t="s">
        <v>9625</v>
      </c>
      <c r="U323" s="14" t="s">
        <v>179</v>
      </c>
      <c r="V323" s="14" t="s">
        <v>9626</v>
      </c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6" t="s">
        <v>197</v>
      </c>
      <c r="BP323" s="17" t="s">
        <v>198</v>
      </c>
      <c r="BQ323" s="18">
        <v>45691.45599537037</v>
      </c>
      <c r="BR323" s="17" t="s">
        <v>198</v>
      </c>
      <c r="BS323" s="18">
        <v>45691.45601851852</v>
      </c>
      <c r="BT323" s="17" t="s">
        <v>198</v>
      </c>
      <c r="BU323" s="18">
        <v>45691.45601851852</v>
      </c>
      <c r="BV323" s="13" t="s">
        <v>199</v>
      </c>
      <c r="BW323" s="14" t="s">
        <v>179</v>
      </c>
      <c r="BX323" s="14" t="s">
        <v>9627</v>
      </c>
      <c r="BY323" s="14" t="s">
        <v>179</v>
      </c>
      <c r="BZ323" s="14" t="s">
        <v>9628</v>
      </c>
      <c r="CA323" s="14" t="s">
        <v>179</v>
      </c>
      <c r="CB323" s="14" t="s">
        <v>9629</v>
      </c>
      <c r="CC323" s="14" t="s">
        <v>179</v>
      </c>
      <c r="CD323" s="14" t="s">
        <v>9630</v>
      </c>
      <c r="CE323" s="15"/>
      <c r="CF323" s="15"/>
      <c r="CG323" s="19"/>
      <c r="CH323" s="15"/>
      <c r="CI323" s="19"/>
      <c r="CJ323" s="15"/>
      <c r="CK323" s="19"/>
      <c r="CL323" s="15"/>
      <c r="CM323" s="19"/>
      <c r="CN323" s="15"/>
      <c r="CO323" s="19"/>
      <c r="CP323" s="15"/>
      <c r="CQ323" s="15"/>
      <c r="CR323" s="15"/>
      <c r="CS323" s="19"/>
      <c r="CT323" s="15"/>
      <c r="CU323" s="19"/>
      <c r="CV323" s="15"/>
      <c r="CW323" s="19"/>
      <c r="CX323" s="15"/>
      <c r="CY323" s="19"/>
      <c r="CZ323" s="15"/>
      <c r="DA323" s="16" t="s">
        <v>197</v>
      </c>
      <c r="DB323" s="17" t="s">
        <v>228</v>
      </c>
      <c r="DC323" s="16"/>
      <c r="DD323" s="17" t="s">
        <v>198</v>
      </c>
      <c r="DE323" s="18">
        <v>45692.57732638889</v>
      </c>
      <c r="DF323" s="17" t="s">
        <v>198</v>
      </c>
      <c r="DG323" s="18">
        <v>45692.57732638889</v>
      </c>
      <c r="DH323" s="13" t="s">
        <v>205</v>
      </c>
      <c r="DI323" s="14" t="s">
        <v>179</v>
      </c>
      <c r="DJ323" s="14" t="s">
        <v>9631</v>
      </c>
      <c r="DK323" s="14" t="s">
        <v>179</v>
      </c>
      <c r="DL323" s="14" t="s">
        <v>9632</v>
      </c>
      <c r="DM323" s="14" t="s">
        <v>179</v>
      </c>
      <c r="DN323" s="14" t="s">
        <v>9633</v>
      </c>
      <c r="DO323" s="14" t="s">
        <v>179</v>
      </c>
      <c r="DP323" s="14" t="s">
        <v>9633</v>
      </c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6" t="s">
        <v>197</v>
      </c>
      <c r="ED323" s="17" t="s">
        <v>198</v>
      </c>
      <c r="EE323" s="18">
        <v>45715.54630787037</v>
      </c>
      <c r="EF323" s="13" t="s">
        <v>209</v>
      </c>
      <c r="EG323" s="14" t="s">
        <v>179</v>
      </c>
      <c r="EH323" s="14" t="s">
        <v>9634</v>
      </c>
      <c r="EI323" s="14" t="s">
        <v>179</v>
      </c>
      <c r="EJ323" s="14" t="s">
        <v>9635</v>
      </c>
      <c r="EK323" s="14" t="s">
        <v>179</v>
      </c>
      <c r="EL323" s="14" t="s">
        <v>9635</v>
      </c>
      <c r="EM323" s="15"/>
      <c r="EN323" s="15"/>
      <c r="EO323" s="15"/>
      <c r="EP323" s="15"/>
      <c r="EQ323" s="15"/>
      <c r="ER323" s="15"/>
      <c r="ES323" s="15"/>
      <c r="ET323" s="15"/>
      <c r="EU323" s="15"/>
      <c r="EV323" s="15"/>
      <c r="EW323" s="15"/>
      <c r="EX323" s="15"/>
      <c r="EY323" s="15"/>
      <c r="EZ323" s="15"/>
      <c r="FA323" s="15"/>
      <c r="FB323" s="15"/>
      <c r="FC323" s="16" t="s">
        <v>197</v>
      </c>
      <c r="FD323" s="17" t="s">
        <v>198</v>
      </c>
      <c r="FE323" s="18">
        <v>45723.35859953704</v>
      </c>
      <c r="FF323" s="19"/>
      <c r="FG323" s="19"/>
      <c r="FH323" s="21" t="s">
        <v>197</v>
      </c>
      <c r="FI323" s="17" t="s">
        <v>214</v>
      </c>
      <c r="FJ323" s="18">
        <v>45723.35859953704</v>
      </c>
      <c r="FK323" s="14" t="s">
        <v>9635</v>
      </c>
      <c r="FL323" s="14" t="s">
        <v>9636</v>
      </c>
      <c r="FM323" s="14" t="s">
        <v>9637</v>
      </c>
      <c r="FN323" s="19"/>
      <c r="FO323" s="19"/>
      <c r="FP323" s="19" t="str">
        <f t="shared" si="1"/>
        <v>Base de Dados_Images/EX5001.Imagem do Equipamento-.144017.jpg</v>
      </c>
      <c r="FQ323" s="19"/>
      <c r="FR323" s="19"/>
    </row>
    <row r="324" ht="15.75" customHeight="1">
      <c r="A324" s="25" t="s">
        <v>357</v>
      </c>
      <c r="B324" s="25" t="s">
        <v>358</v>
      </c>
      <c r="C324" s="26" t="s">
        <v>9595</v>
      </c>
      <c r="D324" s="25" t="s">
        <v>9638</v>
      </c>
      <c r="E324" s="25" t="s">
        <v>9639</v>
      </c>
      <c r="F324" s="27" t="s">
        <v>178</v>
      </c>
      <c r="G324" s="14" t="s">
        <v>179</v>
      </c>
      <c r="H324" s="14" t="s">
        <v>9640</v>
      </c>
      <c r="I324" s="14" t="s">
        <v>179</v>
      </c>
      <c r="J324" s="14" t="s">
        <v>9641</v>
      </c>
      <c r="K324" s="14" t="s">
        <v>179</v>
      </c>
      <c r="L324" s="14" t="s">
        <v>9642</v>
      </c>
      <c r="M324" s="14" t="s">
        <v>179</v>
      </c>
      <c r="N324" s="14" t="s">
        <v>9643</v>
      </c>
      <c r="O324" s="14" t="s">
        <v>179</v>
      </c>
      <c r="P324" s="14" t="s">
        <v>9644</v>
      </c>
      <c r="Q324" s="14" t="s">
        <v>179</v>
      </c>
      <c r="R324" s="14" t="s">
        <v>9645</v>
      </c>
      <c r="S324" s="14" t="s">
        <v>179</v>
      </c>
      <c r="T324" s="14" t="s">
        <v>9646</v>
      </c>
      <c r="U324" s="14" t="s">
        <v>179</v>
      </c>
      <c r="V324" s="14" t="s">
        <v>9647</v>
      </c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7" t="s">
        <v>197</v>
      </c>
      <c r="BP324" s="17" t="s">
        <v>198</v>
      </c>
      <c r="BQ324" s="18">
        <v>45705.40733796296</v>
      </c>
      <c r="BR324" s="17" t="s">
        <v>198</v>
      </c>
      <c r="BS324" s="18">
        <v>45705.40734953704</v>
      </c>
      <c r="BT324" s="17" t="s">
        <v>198</v>
      </c>
      <c r="BU324" s="18">
        <v>45705.40734953704</v>
      </c>
      <c r="BV324" s="27" t="s">
        <v>199</v>
      </c>
      <c r="BW324" s="14" t="s">
        <v>179</v>
      </c>
      <c r="BX324" s="14" t="s">
        <v>9648</v>
      </c>
      <c r="BY324" s="14" t="s">
        <v>179</v>
      </c>
      <c r="BZ324" s="14" t="s">
        <v>9649</v>
      </c>
      <c r="CA324" s="14" t="s">
        <v>179</v>
      </c>
      <c r="CB324" s="14" t="s">
        <v>9650</v>
      </c>
      <c r="CC324" s="14" t="s">
        <v>179</v>
      </c>
      <c r="CD324" s="14" t="s">
        <v>9651</v>
      </c>
      <c r="CE324" s="15"/>
      <c r="CF324" s="15"/>
      <c r="CG324" s="19"/>
      <c r="CH324" s="15"/>
      <c r="CI324" s="19"/>
      <c r="CJ324" s="15"/>
      <c r="CK324" s="19"/>
      <c r="CL324" s="15"/>
      <c r="CM324" s="19"/>
      <c r="CN324" s="15"/>
      <c r="CO324" s="19"/>
      <c r="CP324" s="15"/>
      <c r="CQ324" s="15"/>
      <c r="CR324" s="15"/>
      <c r="CS324" s="19"/>
      <c r="CT324" s="15"/>
      <c r="CU324" s="19"/>
      <c r="CV324" s="15"/>
      <c r="CW324" s="19"/>
      <c r="CX324" s="15"/>
      <c r="CY324" s="19"/>
      <c r="CZ324" s="15"/>
      <c r="DA324" s="17" t="s">
        <v>197</v>
      </c>
      <c r="DB324" s="17" t="s">
        <v>228</v>
      </c>
      <c r="DC324" s="16"/>
      <c r="DD324" s="17" t="s">
        <v>198</v>
      </c>
      <c r="DE324" s="18">
        <v>45708.329201388886</v>
      </c>
      <c r="DF324" s="17" t="s">
        <v>198</v>
      </c>
      <c r="DG324" s="18">
        <v>45708.329201388886</v>
      </c>
      <c r="DH324" s="27" t="s">
        <v>205</v>
      </c>
      <c r="DI324" s="14" t="s">
        <v>179</v>
      </c>
      <c r="DJ324" s="14" t="s">
        <v>9652</v>
      </c>
      <c r="DK324" s="14" t="s">
        <v>179</v>
      </c>
      <c r="DL324" s="14" t="s">
        <v>9653</v>
      </c>
      <c r="DM324" s="14" t="s">
        <v>179</v>
      </c>
      <c r="DN324" s="14" t="s">
        <v>9654</v>
      </c>
      <c r="DO324" s="14" t="s">
        <v>179</v>
      </c>
      <c r="DP324" s="14" t="s">
        <v>9655</v>
      </c>
      <c r="DQ324" s="15"/>
      <c r="DR324" s="15"/>
      <c r="DS324" s="15"/>
      <c r="DT324" s="15"/>
      <c r="DU324" s="15"/>
      <c r="DV324" s="15"/>
      <c r="DW324" s="15"/>
      <c r="DX324" s="15"/>
      <c r="DY324" s="15"/>
      <c r="DZ324" s="15"/>
      <c r="EA324" s="15"/>
      <c r="EB324" s="15"/>
      <c r="EC324" s="17" t="s">
        <v>197</v>
      </c>
      <c r="ED324" s="17" t="s">
        <v>198</v>
      </c>
      <c r="EE324" s="18">
        <v>45708.32929398148</v>
      </c>
      <c r="EF324" s="27" t="s">
        <v>209</v>
      </c>
      <c r="EG324" s="14" t="s">
        <v>179</v>
      </c>
      <c r="EH324" s="14" t="s">
        <v>9656</v>
      </c>
      <c r="EI324" s="14" t="s">
        <v>179</v>
      </c>
      <c r="EJ324" s="14" t="s">
        <v>9657</v>
      </c>
      <c r="EK324" s="14" t="s">
        <v>179</v>
      </c>
      <c r="EL324" s="14" t="s">
        <v>9658</v>
      </c>
      <c r="EM324" s="15"/>
      <c r="EN324" s="15"/>
      <c r="EO324" s="15"/>
      <c r="EP324" s="15"/>
      <c r="EQ324" s="15"/>
      <c r="ER324" s="15"/>
      <c r="ES324" s="15"/>
      <c r="ET324" s="15"/>
      <c r="EU324" s="15"/>
      <c r="EV324" s="15"/>
      <c r="EW324" s="15"/>
      <c r="EX324" s="15"/>
      <c r="EY324" s="15"/>
      <c r="EZ324" s="15"/>
      <c r="FA324" s="15"/>
      <c r="FB324" s="15"/>
      <c r="FC324" s="17" t="s">
        <v>197</v>
      </c>
      <c r="FD324" s="17" t="s">
        <v>198</v>
      </c>
      <c r="FE324" s="18">
        <v>45708.33021990741</v>
      </c>
      <c r="FF324" s="19"/>
      <c r="FG324" s="19"/>
      <c r="FH324" s="17" t="s">
        <v>197</v>
      </c>
      <c r="FI324" s="17" t="s">
        <v>214</v>
      </c>
      <c r="FJ324" s="18">
        <v>45708.33021990741</v>
      </c>
      <c r="FK324" s="14" t="s">
        <v>9658</v>
      </c>
      <c r="FL324" s="14" t="s">
        <v>9659</v>
      </c>
      <c r="FM324" s="14" t="s">
        <v>9660</v>
      </c>
      <c r="FN324" s="19"/>
      <c r="FO324" s="19"/>
      <c r="FP324" s="19" t="str">
        <f t="shared" si="1"/>
        <v>Base de Dados_Images/EX8101.Imagem do Equipamento-.135523.jpg</v>
      </c>
      <c r="FQ324" s="14"/>
      <c r="FR324" s="14"/>
    </row>
    <row r="325" ht="15.75" customHeight="1">
      <c r="A325" s="12" t="s">
        <v>357</v>
      </c>
      <c r="B325" s="12" t="s">
        <v>358</v>
      </c>
      <c r="C325" s="24" t="s">
        <v>512</v>
      </c>
      <c r="D325" s="12" t="s">
        <v>9661</v>
      </c>
      <c r="E325" s="12" t="s">
        <v>9662</v>
      </c>
      <c r="F325" s="13" t="s">
        <v>178</v>
      </c>
      <c r="G325" s="14" t="s">
        <v>179</v>
      </c>
      <c r="H325" s="14" t="s">
        <v>9663</v>
      </c>
      <c r="I325" s="14" t="s">
        <v>179</v>
      </c>
      <c r="J325" s="14" t="s">
        <v>9664</v>
      </c>
      <c r="K325" s="14" t="s">
        <v>179</v>
      </c>
      <c r="L325" s="14" t="s">
        <v>9665</v>
      </c>
      <c r="M325" s="14" t="s">
        <v>179</v>
      </c>
      <c r="N325" s="14" t="s">
        <v>9666</v>
      </c>
      <c r="O325" s="14" t="s">
        <v>179</v>
      </c>
      <c r="P325" s="14" t="s">
        <v>9667</v>
      </c>
      <c r="Q325" s="14" t="s">
        <v>179</v>
      </c>
      <c r="R325" s="14" t="s">
        <v>9668</v>
      </c>
      <c r="S325" s="14" t="s">
        <v>179</v>
      </c>
      <c r="T325" s="14" t="s">
        <v>9669</v>
      </c>
      <c r="U325" s="14" t="s">
        <v>179</v>
      </c>
      <c r="V325" s="14" t="s">
        <v>9670</v>
      </c>
      <c r="W325" s="14" t="s">
        <v>179</v>
      </c>
      <c r="X325" s="14" t="s">
        <v>9670</v>
      </c>
      <c r="Y325" s="14" t="s">
        <v>179</v>
      </c>
      <c r="Z325" s="14" t="s">
        <v>9671</v>
      </c>
      <c r="AA325" s="14" t="s">
        <v>179</v>
      </c>
      <c r="AB325" s="14" t="s">
        <v>9672</v>
      </c>
      <c r="AC325" s="14" t="s">
        <v>179</v>
      </c>
      <c r="AD325" s="14" t="s">
        <v>9673</v>
      </c>
      <c r="AE325" s="14" t="s">
        <v>179</v>
      </c>
      <c r="AF325" s="14" t="s">
        <v>9674</v>
      </c>
      <c r="AG325" s="14" t="s">
        <v>179</v>
      </c>
      <c r="AH325" s="14" t="s">
        <v>9674</v>
      </c>
      <c r="AI325" s="14" t="s">
        <v>179</v>
      </c>
      <c r="AJ325" s="14" t="s">
        <v>9675</v>
      </c>
      <c r="AK325" s="14" t="s">
        <v>179</v>
      </c>
      <c r="AL325" s="14" t="s">
        <v>9676</v>
      </c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7" t="s">
        <v>197</v>
      </c>
      <c r="BP325" s="17" t="s">
        <v>198</v>
      </c>
      <c r="BQ325" s="18">
        <v>45708.425520833334</v>
      </c>
      <c r="BR325" s="17" t="s">
        <v>198</v>
      </c>
      <c r="BS325" s="18">
        <v>45689.394791666666</v>
      </c>
      <c r="BT325" s="17" t="s">
        <v>198</v>
      </c>
      <c r="BU325" s="18">
        <v>45708.425520833334</v>
      </c>
      <c r="BV325" s="13" t="s">
        <v>199</v>
      </c>
      <c r="BW325" s="14" t="s">
        <v>179</v>
      </c>
      <c r="BX325" s="14" t="s">
        <v>9677</v>
      </c>
      <c r="BY325" s="14" t="s">
        <v>179</v>
      </c>
      <c r="BZ325" s="14" t="s">
        <v>9678</v>
      </c>
      <c r="CA325" s="14" t="s">
        <v>179</v>
      </c>
      <c r="CB325" s="14" t="s">
        <v>9679</v>
      </c>
      <c r="CC325" s="14" t="s">
        <v>179</v>
      </c>
      <c r="CD325" s="14" t="s">
        <v>9680</v>
      </c>
      <c r="CE325" s="14" t="s">
        <v>179</v>
      </c>
      <c r="CF325" s="14" t="s">
        <v>9681</v>
      </c>
      <c r="CG325" s="14" t="s">
        <v>179</v>
      </c>
      <c r="CH325" s="14" t="s">
        <v>9682</v>
      </c>
      <c r="CI325" s="19"/>
      <c r="CJ325" s="15"/>
      <c r="CK325" s="19"/>
      <c r="CL325" s="15"/>
      <c r="CM325" s="19"/>
      <c r="CN325" s="15"/>
      <c r="CO325" s="19"/>
      <c r="CP325" s="15"/>
      <c r="CQ325" s="15"/>
      <c r="CR325" s="15"/>
      <c r="CS325" s="19"/>
      <c r="CT325" s="15"/>
      <c r="CU325" s="19"/>
      <c r="CV325" s="15"/>
      <c r="CW325" s="19"/>
      <c r="CX325" s="15"/>
      <c r="CY325" s="19"/>
      <c r="CZ325" s="15"/>
      <c r="DA325" s="16" t="s">
        <v>197</v>
      </c>
      <c r="DB325" s="17" t="s">
        <v>198</v>
      </c>
      <c r="DC325" s="20">
        <v>45709.35118055555</v>
      </c>
      <c r="DD325" s="17" t="s">
        <v>198</v>
      </c>
      <c r="DE325" s="18">
        <v>45709.35125</v>
      </c>
      <c r="DF325" s="17" t="s">
        <v>198</v>
      </c>
      <c r="DG325" s="18">
        <v>45709.35125</v>
      </c>
      <c r="DH325" s="13" t="s">
        <v>205</v>
      </c>
      <c r="DI325" s="14" t="s">
        <v>179</v>
      </c>
      <c r="DJ325" s="14" t="s">
        <v>9683</v>
      </c>
      <c r="DK325" s="14" t="s">
        <v>179</v>
      </c>
      <c r="DL325" s="14" t="s">
        <v>9684</v>
      </c>
      <c r="DM325" s="14" t="s">
        <v>179</v>
      </c>
      <c r="DN325" s="14" t="s">
        <v>9685</v>
      </c>
      <c r="DO325" s="14" t="s">
        <v>179</v>
      </c>
      <c r="DP325" s="14" t="s">
        <v>9686</v>
      </c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6" t="s">
        <v>197</v>
      </c>
      <c r="ED325" s="17" t="s">
        <v>198</v>
      </c>
      <c r="EE325" s="18">
        <v>45709.35144675926</v>
      </c>
      <c r="EF325" s="13" t="s">
        <v>209</v>
      </c>
      <c r="EG325" s="14" t="s">
        <v>179</v>
      </c>
      <c r="EH325" s="14" t="s">
        <v>9687</v>
      </c>
      <c r="EI325" s="14" t="s">
        <v>179</v>
      </c>
      <c r="EJ325" s="14" t="s">
        <v>9688</v>
      </c>
      <c r="EK325" s="14" t="s">
        <v>179</v>
      </c>
      <c r="EL325" s="14" t="s">
        <v>9689</v>
      </c>
      <c r="EM325" s="14" t="s">
        <v>179</v>
      </c>
      <c r="EN325" s="14" t="s">
        <v>9690</v>
      </c>
      <c r="EO325" s="15"/>
      <c r="EP325" s="15"/>
      <c r="EQ325" s="15"/>
      <c r="ER325" s="15"/>
      <c r="ES325" s="15"/>
      <c r="ET325" s="15"/>
      <c r="EU325" s="15"/>
      <c r="EV325" s="15"/>
      <c r="EW325" s="15"/>
      <c r="EX325" s="15"/>
      <c r="EY325" s="15"/>
      <c r="EZ325" s="15"/>
      <c r="FA325" s="15"/>
      <c r="FB325" s="15"/>
      <c r="FC325" s="16" t="s">
        <v>197</v>
      </c>
      <c r="FD325" s="17" t="s">
        <v>198</v>
      </c>
      <c r="FE325" s="18">
        <v>45713.38133101852</v>
      </c>
      <c r="FF325" s="19"/>
      <c r="FG325" s="19"/>
      <c r="FH325" s="21" t="s">
        <v>197</v>
      </c>
      <c r="FI325" s="17" t="s">
        <v>214</v>
      </c>
      <c r="FJ325" s="18">
        <v>45713.38133101852</v>
      </c>
      <c r="FK325" s="14" t="s">
        <v>9690</v>
      </c>
      <c r="FL325" s="14" t="s">
        <v>9691</v>
      </c>
      <c r="FM325" s="14" t="s">
        <v>9692</v>
      </c>
      <c r="FN325" s="19"/>
      <c r="FO325" s="19"/>
      <c r="FP325" s="19" t="str">
        <f t="shared" si="1"/>
        <v>Base de Dados_Images/EX8102.Imagem do Equipamento-.130957.jpg</v>
      </c>
      <c r="FQ325" s="14"/>
      <c r="FR325" s="14"/>
    </row>
    <row r="326" ht="15.75" customHeight="1">
      <c r="A326" s="12" t="s">
        <v>174</v>
      </c>
      <c r="B326" s="22" t="s">
        <v>2226</v>
      </c>
      <c r="C326" s="12" t="s">
        <v>219</v>
      </c>
      <c r="D326" s="22" t="s">
        <v>9693</v>
      </c>
      <c r="E326" s="22" t="s">
        <v>9694</v>
      </c>
      <c r="F326" s="13" t="s">
        <v>178</v>
      </c>
      <c r="G326" s="14" t="s">
        <v>179</v>
      </c>
      <c r="H326" s="14" t="s">
        <v>9695</v>
      </c>
      <c r="I326" s="14" t="s">
        <v>179</v>
      </c>
      <c r="J326" s="14" t="s">
        <v>9696</v>
      </c>
      <c r="K326" s="14" t="s">
        <v>179</v>
      </c>
      <c r="L326" s="14" t="s">
        <v>9697</v>
      </c>
      <c r="M326" s="14" t="s">
        <v>179</v>
      </c>
      <c r="N326" s="14" t="s">
        <v>9698</v>
      </c>
      <c r="O326" s="14" t="s">
        <v>179</v>
      </c>
      <c r="P326" s="14" t="s">
        <v>9699</v>
      </c>
      <c r="Q326" s="14" t="s">
        <v>179</v>
      </c>
      <c r="R326" s="14" t="s">
        <v>9700</v>
      </c>
      <c r="S326" s="14" t="s">
        <v>179</v>
      </c>
      <c r="T326" s="14" t="s">
        <v>9701</v>
      </c>
      <c r="U326" s="14" t="s">
        <v>179</v>
      </c>
      <c r="V326" s="14" t="s">
        <v>9702</v>
      </c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6" t="s">
        <v>197</v>
      </c>
      <c r="BP326" s="17" t="s">
        <v>228</v>
      </c>
      <c r="BQ326" s="23"/>
      <c r="BR326" s="17" t="s">
        <v>198</v>
      </c>
      <c r="BS326" s="18">
        <v>45701.597407407404</v>
      </c>
      <c r="BT326" s="17" t="s">
        <v>198</v>
      </c>
      <c r="BU326" s="18">
        <v>45701.597407407404</v>
      </c>
      <c r="BV326" s="13" t="s">
        <v>199</v>
      </c>
      <c r="BW326" s="14" t="s">
        <v>179</v>
      </c>
      <c r="BX326" s="14" t="s">
        <v>9703</v>
      </c>
      <c r="BY326" s="14" t="s">
        <v>179</v>
      </c>
      <c r="BZ326" s="14" t="s">
        <v>9704</v>
      </c>
      <c r="CA326" s="15"/>
      <c r="CB326" s="15"/>
      <c r="CC326" s="15"/>
      <c r="CD326" s="15"/>
      <c r="CE326" s="15"/>
      <c r="CF326" s="15"/>
      <c r="CG326" s="19"/>
      <c r="CH326" s="15"/>
      <c r="CI326" s="19"/>
      <c r="CJ326" s="15"/>
      <c r="CK326" s="19"/>
      <c r="CL326" s="15"/>
      <c r="CM326" s="19"/>
      <c r="CN326" s="15"/>
      <c r="CO326" s="19"/>
      <c r="CP326" s="15"/>
      <c r="CQ326" s="15"/>
      <c r="CR326" s="15"/>
      <c r="CS326" s="19"/>
      <c r="CT326" s="15"/>
      <c r="CU326" s="19"/>
      <c r="CV326" s="15"/>
      <c r="CW326" s="19"/>
      <c r="CX326" s="15"/>
      <c r="CY326" s="19"/>
      <c r="CZ326" s="15"/>
      <c r="DA326" s="16" t="s">
        <v>197</v>
      </c>
      <c r="DB326" s="17" t="s">
        <v>228</v>
      </c>
      <c r="DC326" s="16"/>
      <c r="DD326" s="17" t="s">
        <v>198</v>
      </c>
      <c r="DE326" s="18">
        <v>45719.489016203705</v>
      </c>
      <c r="DF326" s="17" t="s">
        <v>198</v>
      </c>
      <c r="DG326" s="18">
        <v>45719.489016203705</v>
      </c>
      <c r="DH326" s="13" t="s">
        <v>205</v>
      </c>
      <c r="DI326" s="14" t="s">
        <v>179</v>
      </c>
      <c r="DJ326" s="14" t="s">
        <v>9705</v>
      </c>
      <c r="DK326" s="15"/>
      <c r="DL326" s="15"/>
      <c r="DM326" s="15"/>
      <c r="DN326" s="15"/>
      <c r="DO326" s="15"/>
      <c r="DP326" s="15"/>
      <c r="DQ326" s="15"/>
      <c r="DR326" s="15"/>
      <c r="DS326" s="15"/>
      <c r="DT326" s="15"/>
      <c r="DU326" s="15"/>
      <c r="DV326" s="15"/>
      <c r="DW326" s="15"/>
      <c r="DX326" s="15"/>
      <c r="DY326" s="15"/>
      <c r="DZ326" s="15"/>
      <c r="EA326" s="15"/>
      <c r="EB326" s="15"/>
      <c r="EC326" s="16" t="s">
        <v>197</v>
      </c>
      <c r="ED326" s="17" t="s">
        <v>198</v>
      </c>
      <c r="EE326" s="18">
        <v>45719.4890625</v>
      </c>
      <c r="EF326" s="13" t="s">
        <v>209</v>
      </c>
      <c r="EG326" s="14" t="s">
        <v>179</v>
      </c>
      <c r="EH326" s="14" t="s">
        <v>9706</v>
      </c>
      <c r="EI326" s="15"/>
      <c r="EJ326" s="15"/>
      <c r="EK326" s="15"/>
      <c r="EL326" s="15"/>
      <c r="EM326" s="15"/>
      <c r="EN326" s="15"/>
      <c r="EO326" s="15"/>
      <c r="EP326" s="15"/>
      <c r="EQ326" s="15"/>
      <c r="ER326" s="15"/>
      <c r="ES326" s="15"/>
      <c r="ET326" s="15"/>
      <c r="EU326" s="15"/>
      <c r="EV326" s="15"/>
      <c r="EW326" s="15"/>
      <c r="EX326" s="15"/>
      <c r="EY326" s="15"/>
      <c r="EZ326" s="15"/>
      <c r="FA326" s="15"/>
      <c r="FB326" s="15"/>
      <c r="FC326" s="16" t="s">
        <v>197</v>
      </c>
      <c r="FD326" s="17" t="s">
        <v>198</v>
      </c>
      <c r="FE326" s="18">
        <v>45723.28408564815</v>
      </c>
      <c r="FF326" s="19"/>
      <c r="FG326" s="19"/>
      <c r="FH326" s="21" t="s">
        <v>197</v>
      </c>
      <c r="FI326" s="17" t="s">
        <v>214</v>
      </c>
      <c r="FJ326" s="18">
        <v>45723.28408564815</v>
      </c>
      <c r="FK326" s="14" t="s">
        <v>9706</v>
      </c>
      <c r="FL326" s="14" t="s">
        <v>9707</v>
      </c>
      <c r="FM326" s="14" t="s">
        <v>9708</v>
      </c>
      <c r="FN326" s="19"/>
      <c r="FO326" s="19"/>
      <c r="FP326" s="19" t="str">
        <f t="shared" si="1"/>
        <v>Base de Dados_Images/FCV20099.Imagem do Equipamento-.192802.jpg</v>
      </c>
      <c r="FQ326" s="14"/>
      <c r="FR326" s="14"/>
    </row>
    <row r="327" ht="15.75" customHeight="1">
      <c r="A327" s="12" t="s">
        <v>217</v>
      </c>
      <c r="B327" s="12" t="s">
        <v>9709</v>
      </c>
      <c r="C327" s="12" t="s">
        <v>219</v>
      </c>
      <c r="D327" s="22" t="s">
        <v>9710</v>
      </c>
      <c r="E327" s="22" t="s">
        <v>9711</v>
      </c>
      <c r="F327" s="13" t="s">
        <v>178</v>
      </c>
      <c r="G327" s="14" t="s">
        <v>179</v>
      </c>
      <c r="H327" s="14" t="s">
        <v>9712</v>
      </c>
      <c r="I327" s="14" t="s">
        <v>179</v>
      </c>
      <c r="J327" s="14" t="s">
        <v>9713</v>
      </c>
      <c r="K327" s="14" t="s">
        <v>179</v>
      </c>
      <c r="L327" s="14" t="s">
        <v>9714</v>
      </c>
      <c r="M327" s="14" t="s">
        <v>179</v>
      </c>
      <c r="N327" s="14" t="s">
        <v>9715</v>
      </c>
      <c r="O327" s="14" t="s">
        <v>179</v>
      </c>
      <c r="P327" s="14" t="s">
        <v>9716</v>
      </c>
      <c r="Q327" s="14" t="s">
        <v>179</v>
      </c>
      <c r="R327" s="14" t="s">
        <v>9716</v>
      </c>
      <c r="S327" s="14" t="s">
        <v>179</v>
      </c>
      <c r="T327" s="14" t="s">
        <v>9717</v>
      </c>
      <c r="U327" s="14" t="s">
        <v>179</v>
      </c>
      <c r="V327" s="14" t="s">
        <v>9718</v>
      </c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6" t="s">
        <v>197</v>
      </c>
      <c r="BP327" s="17" t="s">
        <v>228</v>
      </c>
      <c r="BQ327" s="23"/>
      <c r="BR327" s="17" t="s">
        <v>198</v>
      </c>
      <c r="BS327" s="18">
        <v>45687.49049768518</v>
      </c>
      <c r="BT327" s="17" t="s">
        <v>198</v>
      </c>
      <c r="BU327" s="18">
        <v>45687.49049768518</v>
      </c>
      <c r="BV327" s="13" t="s">
        <v>199</v>
      </c>
      <c r="BW327" s="14" t="s">
        <v>179</v>
      </c>
      <c r="BX327" s="14" t="s">
        <v>9719</v>
      </c>
      <c r="BY327" s="14" t="s">
        <v>179</v>
      </c>
      <c r="BZ327" s="14" t="s">
        <v>9720</v>
      </c>
      <c r="CA327" s="15"/>
      <c r="CB327" s="15"/>
      <c r="CC327" s="15"/>
      <c r="CD327" s="15"/>
      <c r="CE327" s="15"/>
      <c r="CF327" s="15"/>
      <c r="CG327" s="19"/>
      <c r="CH327" s="15"/>
      <c r="CI327" s="19"/>
      <c r="CJ327" s="15"/>
      <c r="CK327" s="19"/>
      <c r="CL327" s="15"/>
      <c r="CM327" s="19"/>
      <c r="CN327" s="15"/>
      <c r="CO327" s="19"/>
      <c r="CP327" s="15"/>
      <c r="CQ327" s="15"/>
      <c r="CR327" s="15"/>
      <c r="CS327" s="19"/>
      <c r="CT327" s="15"/>
      <c r="CU327" s="19"/>
      <c r="CV327" s="15"/>
      <c r="CW327" s="19"/>
      <c r="CX327" s="15"/>
      <c r="CY327" s="19"/>
      <c r="CZ327" s="15"/>
      <c r="DA327" s="16" t="s">
        <v>197</v>
      </c>
      <c r="DB327" s="17" t="s">
        <v>228</v>
      </c>
      <c r="DC327" s="16"/>
      <c r="DD327" s="17" t="s">
        <v>198</v>
      </c>
      <c r="DE327" s="18">
        <v>45720.60523148148</v>
      </c>
      <c r="DF327" s="17" t="s">
        <v>198</v>
      </c>
      <c r="DG327" s="18">
        <v>45720.60523148148</v>
      </c>
      <c r="DH327" s="13" t="s">
        <v>205</v>
      </c>
      <c r="DI327" s="14" t="s">
        <v>179</v>
      </c>
      <c r="DJ327" s="14" t="s">
        <v>9721</v>
      </c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6" t="s">
        <v>197</v>
      </c>
      <c r="ED327" s="17" t="s">
        <v>198</v>
      </c>
      <c r="EE327" s="18">
        <v>45720.605266203704</v>
      </c>
      <c r="EF327" s="13" t="s">
        <v>209</v>
      </c>
      <c r="EG327" s="14" t="s">
        <v>179</v>
      </c>
      <c r="EH327" s="14" t="s">
        <v>9722</v>
      </c>
      <c r="EI327" s="15"/>
      <c r="EJ327" s="15"/>
      <c r="EK327" s="15"/>
      <c r="EL327" s="15"/>
      <c r="EM327" s="15"/>
      <c r="EN327" s="15"/>
      <c r="EO327" s="15"/>
      <c r="EP327" s="15"/>
      <c r="EQ327" s="15"/>
      <c r="ER327" s="15"/>
      <c r="ES327" s="15"/>
      <c r="ET327" s="15"/>
      <c r="EU327" s="15"/>
      <c r="EV327" s="15"/>
      <c r="EW327" s="15"/>
      <c r="EX327" s="15"/>
      <c r="EY327" s="15"/>
      <c r="EZ327" s="15"/>
      <c r="FA327" s="15"/>
      <c r="FB327" s="15"/>
      <c r="FC327" s="16" t="s">
        <v>197</v>
      </c>
      <c r="FD327" s="17" t="s">
        <v>198</v>
      </c>
      <c r="FE327" s="18">
        <v>45723.35030092593</v>
      </c>
      <c r="FF327" s="19"/>
      <c r="FG327" s="19"/>
      <c r="FH327" s="21" t="s">
        <v>197</v>
      </c>
      <c r="FI327" s="17" t="s">
        <v>214</v>
      </c>
      <c r="FJ327" s="18">
        <v>45723.35030092593</v>
      </c>
      <c r="FK327" s="14" t="s">
        <v>9722</v>
      </c>
      <c r="FL327" s="14" t="s">
        <v>9723</v>
      </c>
      <c r="FM327" s="14" t="s">
        <v>9724</v>
      </c>
      <c r="FN327" s="19"/>
      <c r="FO327" s="19"/>
      <c r="FP327" s="19" t="str">
        <f t="shared" si="1"/>
        <v>Base de Dados_Images/FCV40026.Imagem do Equipamento-.150741.jpg</v>
      </c>
      <c r="FQ327" s="19"/>
      <c r="FR327" s="19"/>
    </row>
    <row r="328" ht="15.75" customHeight="1">
      <c r="A328" s="12" t="s">
        <v>217</v>
      </c>
      <c r="B328" s="12" t="s">
        <v>9709</v>
      </c>
      <c r="C328" s="12" t="s">
        <v>219</v>
      </c>
      <c r="D328" s="22" t="s">
        <v>9725</v>
      </c>
      <c r="E328" s="22" t="s">
        <v>9726</v>
      </c>
      <c r="F328" s="13" t="s">
        <v>178</v>
      </c>
      <c r="G328" s="14" t="s">
        <v>179</v>
      </c>
      <c r="H328" s="14" t="s">
        <v>9727</v>
      </c>
      <c r="I328" s="14" t="s">
        <v>179</v>
      </c>
      <c r="J328" s="14" t="s">
        <v>9728</v>
      </c>
      <c r="K328" s="14" t="s">
        <v>179</v>
      </c>
      <c r="L328" s="14" t="s">
        <v>9729</v>
      </c>
      <c r="M328" s="14" t="s">
        <v>179</v>
      </c>
      <c r="N328" s="14" t="s">
        <v>9730</v>
      </c>
      <c r="O328" s="14" t="s">
        <v>179</v>
      </c>
      <c r="P328" s="14" t="s">
        <v>9731</v>
      </c>
      <c r="Q328" s="14" t="s">
        <v>179</v>
      </c>
      <c r="R328" s="14" t="s">
        <v>9732</v>
      </c>
      <c r="S328" s="14" t="s">
        <v>179</v>
      </c>
      <c r="T328" s="14" t="s">
        <v>9733</v>
      </c>
      <c r="U328" s="14" t="s">
        <v>179</v>
      </c>
      <c r="V328" s="14" t="s">
        <v>9734</v>
      </c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6" t="s">
        <v>197</v>
      </c>
      <c r="BP328" s="17" t="s">
        <v>228</v>
      </c>
      <c r="BQ328" s="23"/>
      <c r="BR328" s="17" t="s">
        <v>198</v>
      </c>
      <c r="BS328" s="18">
        <v>45687.49145833333</v>
      </c>
      <c r="BT328" s="17" t="s">
        <v>198</v>
      </c>
      <c r="BU328" s="18">
        <v>45687.49145833333</v>
      </c>
      <c r="BV328" s="13" t="s">
        <v>199</v>
      </c>
      <c r="BW328" s="14" t="s">
        <v>179</v>
      </c>
      <c r="BX328" s="14" t="s">
        <v>9735</v>
      </c>
      <c r="BY328" s="14" t="s">
        <v>179</v>
      </c>
      <c r="BZ328" s="14" t="s">
        <v>9736</v>
      </c>
      <c r="CA328" s="15"/>
      <c r="CB328" s="15"/>
      <c r="CC328" s="15"/>
      <c r="CD328" s="15"/>
      <c r="CE328" s="15"/>
      <c r="CF328" s="15"/>
      <c r="CG328" s="19"/>
      <c r="CH328" s="15"/>
      <c r="CI328" s="19"/>
      <c r="CJ328" s="15"/>
      <c r="CK328" s="19"/>
      <c r="CL328" s="15"/>
      <c r="CM328" s="19"/>
      <c r="CN328" s="15"/>
      <c r="CO328" s="19"/>
      <c r="CP328" s="15"/>
      <c r="CQ328" s="15"/>
      <c r="CR328" s="15"/>
      <c r="CS328" s="19"/>
      <c r="CT328" s="15"/>
      <c r="CU328" s="19"/>
      <c r="CV328" s="15"/>
      <c r="CW328" s="19"/>
      <c r="CX328" s="15"/>
      <c r="CY328" s="19"/>
      <c r="CZ328" s="15"/>
      <c r="DA328" s="16" t="s">
        <v>197</v>
      </c>
      <c r="DB328" s="17" t="s">
        <v>228</v>
      </c>
      <c r="DC328" s="16"/>
      <c r="DD328" s="17" t="s">
        <v>198</v>
      </c>
      <c r="DE328" s="18">
        <v>45720.60538194444</v>
      </c>
      <c r="DF328" s="17" t="s">
        <v>198</v>
      </c>
      <c r="DG328" s="18">
        <v>45720.60538194444</v>
      </c>
      <c r="DH328" s="13" t="s">
        <v>205</v>
      </c>
      <c r="DI328" s="14" t="s">
        <v>179</v>
      </c>
      <c r="DJ328" s="14" t="s">
        <v>9737</v>
      </c>
      <c r="DK328" s="15"/>
      <c r="DL328" s="15"/>
      <c r="DM328" s="15"/>
      <c r="DN328" s="15"/>
      <c r="DO328" s="15"/>
      <c r="DP328" s="15"/>
      <c r="DQ328" s="15"/>
      <c r="DR328" s="15"/>
      <c r="DS328" s="15"/>
      <c r="DT328" s="15"/>
      <c r="DU328" s="15"/>
      <c r="DV328" s="15"/>
      <c r="DW328" s="15"/>
      <c r="DX328" s="15"/>
      <c r="DY328" s="15"/>
      <c r="DZ328" s="15"/>
      <c r="EA328" s="15"/>
      <c r="EB328" s="15"/>
      <c r="EC328" s="16" t="s">
        <v>197</v>
      </c>
      <c r="ED328" s="17" t="s">
        <v>198</v>
      </c>
      <c r="EE328" s="18">
        <v>45720.605416666665</v>
      </c>
      <c r="EF328" s="13" t="s">
        <v>209</v>
      </c>
      <c r="EG328" s="14" t="s">
        <v>179</v>
      </c>
      <c r="EH328" s="14" t="s">
        <v>9738</v>
      </c>
      <c r="EI328" s="15"/>
      <c r="EJ328" s="15"/>
      <c r="EK328" s="15"/>
      <c r="EL328" s="15"/>
      <c r="EM328" s="15"/>
      <c r="EN328" s="15"/>
      <c r="EO328" s="15"/>
      <c r="EP328" s="15"/>
      <c r="EQ328" s="15"/>
      <c r="ER328" s="15"/>
      <c r="ES328" s="15"/>
      <c r="ET328" s="15"/>
      <c r="EU328" s="15"/>
      <c r="EV328" s="15"/>
      <c r="EW328" s="15"/>
      <c r="EX328" s="15"/>
      <c r="EY328" s="15"/>
      <c r="EZ328" s="15"/>
      <c r="FA328" s="15"/>
      <c r="FB328" s="15"/>
      <c r="FC328" s="16" t="s">
        <v>197</v>
      </c>
      <c r="FD328" s="17" t="s">
        <v>198</v>
      </c>
      <c r="FE328" s="18">
        <v>45723.35037037037</v>
      </c>
      <c r="FF328" s="19"/>
      <c r="FG328" s="19"/>
      <c r="FH328" s="21" t="s">
        <v>197</v>
      </c>
      <c r="FI328" s="17" t="s">
        <v>214</v>
      </c>
      <c r="FJ328" s="18">
        <v>45723.35037037037</v>
      </c>
      <c r="FK328" s="14" t="s">
        <v>9738</v>
      </c>
      <c r="FL328" s="14" t="s">
        <v>9739</v>
      </c>
      <c r="FM328" s="14" t="s">
        <v>9740</v>
      </c>
      <c r="FN328" s="19"/>
      <c r="FO328" s="19"/>
      <c r="FP328" s="19" t="str">
        <f t="shared" si="1"/>
        <v>Base de Dados_Images/FCV40027.Imagem do Equipamento-.150822.jpg</v>
      </c>
      <c r="FQ328" s="19"/>
      <c r="FR328" s="19"/>
    </row>
    <row r="329" ht="15.75" customHeight="1">
      <c r="A329" s="12" t="s">
        <v>217</v>
      </c>
      <c r="B329" s="12" t="s">
        <v>8821</v>
      </c>
      <c r="C329" s="12" t="s">
        <v>219</v>
      </c>
      <c r="D329" s="22" t="s">
        <v>9741</v>
      </c>
      <c r="E329" s="22" t="s">
        <v>9742</v>
      </c>
      <c r="F329" s="13" t="s">
        <v>178</v>
      </c>
      <c r="G329" s="14" t="s">
        <v>179</v>
      </c>
      <c r="H329" s="14" t="s">
        <v>9743</v>
      </c>
      <c r="I329" s="14" t="s">
        <v>179</v>
      </c>
      <c r="J329" s="14" t="s">
        <v>9743</v>
      </c>
      <c r="K329" s="14" t="s">
        <v>179</v>
      </c>
      <c r="L329" s="14" t="s">
        <v>9744</v>
      </c>
      <c r="M329" s="14" t="s">
        <v>179</v>
      </c>
      <c r="N329" s="14" t="s">
        <v>9745</v>
      </c>
      <c r="O329" s="14" t="s">
        <v>179</v>
      </c>
      <c r="P329" s="14" t="s">
        <v>9746</v>
      </c>
      <c r="Q329" s="14" t="s">
        <v>179</v>
      </c>
      <c r="R329" s="14" t="s">
        <v>9747</v>
      </c>
      <c r="S329" s="14" t="s">
        <v>179</v>
      </c>
      <c r="T329" s="14" t="s">
        <v>9748</v>
      </c>
      <c r="U329" s="14" t="s">
        <v>179</v>
      </c>
      <c r="V329" s="14" t="s">
        <v>9749</v>
      </c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6" t="s">
        <v>197</v>
      </c>
      <c r="BP329" s="17" t="s">
        <v>228</v>
      </c>
      <c r="BQ329" s="23"/>
      <c r="BR329" s="17" t="s">
        <v>198</v>
      </c>
      <c r="BS329" s="18">
        <v>45687.49900462963</v>
      </c>
      <c r="BT329" s="17" t="s">
        <v>198</v>
      </c>
      <c r="BU329" s="18">
        <v>45687.49900462963</v>
      </c>
      <c r="BV329" s="13" t="s">
        <v>199</v>
      </c>
      <c r="BW329" s="14" t="s">
        <v>179</v>
      </c>
      <c r="BX329" s="14" t="s">
        <v>9750</v>
      </c>
      <c r="BY329" s="14" t="s">
        <v>179</v>
      </c>
      <c r="BZ329" s="14" t="s">
        <v>9751</v>
      </c>
      <c r="CA329" s="15"/>
      <c r="CB329" s="15"/>
      <c r="CC329" s="15"/>
      <c r="CD329" s="15"/>
      <c r="CE329" s="15"/>
      <c r="CF329" s="15"/>
      <c r="CG329" s="19"/>
      <c r="CH329" s="15"/>
      <c r="CI329" s="19"/>
      <c r="CJ329" s="15"/>
      <c r="CK329" s="19"/>
      <c r="CL329" s="15"/>
      <c r="CM329" s="19"/>
      <c r="CN329" s="15"/>
      <c r="CO329" s="19"/>
      <c r="CP329" s="15"/>
      <c r="CQ329" s="15"/>
      <c r="CR329" s="15"/>
      <c r="CS329" s="19"/>
      <c r="CT329" s="15"/>
      <c r="CU329" s="19"/>
      <c r="CV329" s="15"/>
      <c r="CW329" s="19"/>
      <c r="CX329" s="15"/>
      <c r="CY329" s="19"/>
      <c r="CZ329" s="15"/>
      <c r="DA329" s="16" t="s">
        <v>197</v>
      </c>
      <c r="DB329" s="17" t="s">
        <v>228</v>
      </c>
      <c r="DC329" s="16"/>
      <c r="DD329" s="17" t="s">
        <v>198</v>
      </c>
      <c r="DE329" s="18">
        <v>45723.35150462963</v>
      </c>
      <c r="DF329" s="17" t="s">
        <v>198</v>
      </c>
      <c r="DG329" s="18">
        <v>45723.35150462963</v>
      </c>
      <c r="DH329" s="13" t="s">
        <v>205</v>
      </c>
      <c r="DI329" s="14" t="s">
        <v>179</v>
      </c>
      <c r="DJ329" s="14" t="s">
        <v>9752</v>
      </c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6" t="s">
        <v>197</v>
      </c>
      <c r="ED329" s="17" t="s">
        <v>198</v>
      </c>
      <c r="EE329" s="18">
        <v>45723.35155092592</v>
      </c>
      <c r="EF329" s="13" t="s">
        <v>209</v>
      </c>
      <c r="EG329" s="14" t="s">
        <v>179</v>
      </c>
      <c r="EH329" s="14" t="s">
        <v>9753</v>
      </c>
      <c r="EI329" s="15"/>
      <c r="EJ329" s="15"/>
      <c r="EK329" s="15"/>
      <c r="EL329" s="15"/>
      <c r="EM329" s="15"/>
      <c r="EN329" s="15"/>
      <c r="EO329" s="15"/>
      <c r="EP329" s="15"/>
      <c r="EQ329" s="15"/>
      <c r="ER329" s="15"/>
      <c r="ES329" s="15"/>
      <c r="ET329" s="15"/>
      <c r="EU329" s="15"/>
      <c r="EV329" s="15"/>
      <c r="EW329" s="15"/>
      <c r="EX329" s="15"/>
      <c r="EY329" s="15"/>
      <c r="EZ329" s="15"/>
      <c r="FA329" s="15"/>
      <c r="FB329" s="15"/>
      <c r="FC329" s="16" t="s">
        <v>197</v>
      </c>
      <c r="FD329" s="17" t="s">
        <v>198</v>
      </c>
      <c r="FE329" s="18">
        <v>45723.351585648146</v>
      </c>
      <c r="FF329" s="19"/>
      <c r="FG329" s="19"/>
      <c r="FH329" s="21" t="s">
        <v>197</v>
      </c>
      <c r="FI329" s="17" t="s">
        <v>214</v>
      </c>
      <c r="FJ329" s="18">
        <v>45723.351585648146</v>
      </c>
      <c r="FK329" s="14" t="s">
        <v>9753</v>
      </c>
      <c r="FL329" s="14" t="s">
        <v>9754</v>
      </c>
      <c r="FM329" s="14" t="s">
        <v>9755</v>
      </c>
      <c r="FN329" s="19"/>
      <c r="FO329" s="19"/>
      <c r="FP329" s="19" t="str">
        <f t="shared" si="1"/>
        <v>Base de Dados_Images/FCV40029.Imagem do Equipamento-.150906.jpg</v>
      </c>
      <c r="FQ329" s="19"/>
      <c r="FR329" s="19"/>
    </row>
    <row r="330" ht="15.75" customHeight="1">
      <c r="A330" s="12" t="s">
        <v>547</v>
      </c>
      <c r="B330" s="12" t="s">
        <v>3584</v>
      </c>
      <c r="C330" s="12" t="s">
        <v>219</v>
      </c>
      <c r="D330" s="22" t="s">
        <v>9756</v>
      </c>
      <c r="E330" s="22" t="s">
        <v>9757</v>
      </c>
      <c r="F330" s="13" t="s">
        <v>178</v>
      </c>
      <c r="G330" s="14" t="s">
        <v>179</v>
      </c>
      <c r="H330" s="14" t="s">
        <v>9758</v>
      </c>
      <c r="I330" s="14" t="s">
        <v>179</v>
      </c>
      <c r="J330" s="14" t="s">
        <v>9759</v>
      </c>
      <c r="K330" s="14" t="s">
        <v>179</v>
      </c>
      <c r="L330" s="14" t="s">
        <v>9760</v>
      </c>
      <c r="M330" s="14" t="s">
        <v>179</v>
      </c>
      <c r="N330" s="14" t="s">
        <v>9761</v>
      </c>
      <c r="O330" s="14" t="s">
        <v>179</v>
      </c>
      <c r="P330" s="14" t="s">
        <v>9761</v>
      </c>
      <c r="Q330" s="14" t="s">
        <v>179</v>
      </c>
      <c r="R330" s="14" t="s">
        <v>9762</v>
      </c>
      <c r="S330" s="14" t="s">
        <v>179</v>
      </c>
      <c r="T330" s="14" t="s">
        <v>9763</v>
      </c>
      <c r="U330" s="14" t="s">
        <v>179</v>
      </c>
      <c r="V330" s="14" t="s">
        <v>9764</v>
      </c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6" t="s">
        <v>197</v>
      </c>
      <c r="BP330" s="17" t="s">
        <v>228</v>
      </c>
      <c r="BQ330" s="23"/>
      <c r="BR330" s="17" t="s">
        <v>198</v>
      </c>
      <c r="BS330" s="18">
        <v>45694.3825462963</v>
      </c>
      <c r="BT330" s="17" t="s">
        <v>198</v>
      </c>
      <c r="BU330" s="18">
        <v>45694.3825462963</v>
      </c>
      <c r="BV330" s="13" t="s">
        <v>199</v>
      </c>
      <c r="BW330" s="14" t="s">
        <v>179</v>
      </c>
      <c r="BX330" s="14" t="s">
        <v>9765</v>
      </c>
      <c r="BY330" s="14" t="s">
        <v>179</v>
      </c>
      <c r="BZ330" s="14" t="s">
        <v>9766</v>
      </c>
      <c r="CA330" s="15"/>
      <c r="CB330" s="15"/>
      <c r="CC330" s="15"/>
      <c r="CD330" s="15"/>
      <c r="CE330" s="15"/>
      <c r="CF330" s="15"/>
      <c r="CG330" s="19"/>
      <c r="CH330" s="15"/>
      <c r="CI330" s="19"/>
      <c r="CJ330" s="15"/>
      <c r="CK330" s="19"/>
      <c r="CL330" s="15"/>
      <c r="CM330" s="19"/>
      <c r="CN330" s="15"/>
      <c r="CO330" s="19"/>
      <c r="CP330" s="15"/>
      <c r="CQ330" s="15"/>
      <c r="CR330" s="15"/>
      <c r="CS330" s="19"/>
      <c r="CT330" s="15"/>
      <c r="CU330" s="19"/>
      <c r="CV330" s="15"/>
      <c r="CW330" s="19"/>
      <c r="CX330" s="15"/>
      <c r="CY330" s="19"/>
      <c r="CZ330" s="15"/>
      <c r="DA330" s="16" t="s">
        <v>197</v>
      </c>
      <c r="DB330" s="17" t="s">
        <v>228</v>
      </c>
      <c r="DC330" s="16"/>
      <c r="DD330" s="17" t="s">
        <v>198</v>
      </c>
      <c r="DE330" s="18">
        <v>45696.57481481481</v>
      </c>
      <c r="DF330" s="17" t="s">
        <v>198</v>
      </c>
      <c r="DG330" s="18">
        <v>45696.57481481481</v>
      </c>
      <c r="DH330" s="13" t="s">
        <v>205</v>
      </c>
      <c r="DI330" s="14" t="s">
        <v>179</v>
      </c>
      <c r="DJ330" s="14" t="s">
        <v>9767</v>
      </c>
      <c r="DK330" s="15"/>
      <c r="DL330" s="15"/>
      <c r="DM330" s="15"/>
      <c r="DN330" s="15"/>
      <c r="DO330" s="15"/>
      <c r="DP330" s="15"/>
      <c r="DQ330" s="15"/>
      <c r="DR330" s="15"/>
      <c r="DS330" s="15"/>
      <c r="DT330" s="15"/>
      <c r="DU330" s="15"/>
      <c r="DV330" s="15"/>
      <c r="DW330" s="15"/>
      <c r="DX330" s="15"/>
      <c r="DY330" s="15"/>
      <c r="DZ330" s="15"/>
      <c r="EA330" s="15"/>
      <c r="EB330" s="15"/>
      <c r="EC330" s="16" t="s">
        <v>197</v>
      </c>
      <c r="ED330" s="17" t="s">
        <v>198</v>
      </c>
      <c r="EE330" s="18">
        <v>45720.60851851852</v>
      </c>
      <c r="EF330" s="13" t="s">
        <v>209</v>
      </c>
      <c r="EG330" s="14" t="s">
        <v>179</v>
      </c>
      <c r="EH330" s="14" t="s">
        <v>9768</v>
      </c>
      <c r="EI330" s="15"/>
      <c r="EJ330" s="15"/>
      <c r="EK330" s="15"/>
      <c r="EL330" s="15"/>
      <c r="EM330" s="15"/>
      <c r="EN330" s="15"/>
      <c r="EO330" s="15"/>
      <c r="EP330" s="15"/>
      <c r="EQ330" s="15"/>
      <c r="ER330" s="15"/>
      <c r="ES330" s="15"/>
      <c r="ET330" s="15"/>
      <c r="EU330" s="15"/>
      <c r="EV330" s="15"/>
      <c r="EW330" s="15"/>
      <c r="EX330" s="15"/>
      <c r="EY330" s="15"/>
      <c r="EZ330" s="15"/>
      <c r="FA330" s="15"/>
      <c r="FB330" s="15"/>
      <c r="FC330" s="16" t="s">
        <v>197</v>
      </c>
      <c r="FD330" s="17" t="s">
        <v>198</v>
      </c>
      <c r="FE330" s="18">
        <v>45722.6121875</v>
      </c>
      <c r="FF330" s="19"/>
      <c r="FG330" s="19"/>
      <c r="FH330" s="21" t="s">
        <v>197</v>
      </c>
      <c r="FI330" s="17" t="s">
        <v>214</v>
      </c>
      <c r="FJ330" s="18">
        <v>45722.6121875</v>
      </c>
      <c r="FK330" s="14" t="s">
        <v>9768</v>
      </c>
      <c r="FL330" s="14" t="s">
        <v>9769</v>
      </c>
      <c r="FM330" s="14" t="s">
        <v>9770</v>
      </c>
      <c r="FN330" s="19"/>
      <c r="FO330" s="19"/>
      <c r="FP330" s="19" t="str">
        <f t="shared" si="1"/>
        <v>Base de Dados_Images/FCV70001.Imagem do Equipamento-.121024.jpg</v>
      </c>
      <c r="FQ330" s="14"/>
      <c r="FR330" s="14"/>
    </row>
    <row r="331" ht="15.75" customHeight="1">
      <c r="A331" s="12" t="s">
        <v>357</v>
      </c>
      <c r="B331" s="12" t="s">
        <v>366</v>
      </c>
      <c r="C331" s="12" t="s">
        <v>219</v>
      </c>
      <c r="D331" s="22" t="s">
        <v>9771</v>
      </c>
      <c r="E331" s="22" t="s">
        <v>9772</v>
      </c>
      <c r="F331" s="13" t="s">
        <v>178</v>
      </c>
      <c r="G331" s="14" t="s">
        <v>179</v>
      </c>
      <c r="H331" s="14" t="s">
        <v>9773</v>
      </c>
      <c r="I331" s="14" t="s">
        <v>179</v>
      </c>
      <c r="J331" s="14" t="s">
        <v>9774</v>
      </c>
      <c r="K331" s="14" t="s">
        <v>179</v>
      </c>
      <c r="L331" s="14" t="s">
        <v>9775</v>
      </c>
      <c r="M331" s="14" t="s">
        <v>179</v>
      </c>
      <c r="N331" s="14" t="s">
        <v>9776</v>
      </c>
      <c r="O331" s="14" t="s">
        <v>179</v>
      </c>
      <c r="P331" s="14" t="s">
        <v>9777</v>
      </c>
      <c r="Q331" s="14" t="s">
        <v>179</v>
      </c>
      <c r="R331" s="14" t="s">
        <v>9778</v>
      </c>
      <c r="S331" s="14" t="s">
        <v>179</v>
      </c>
      <c r="T331" s="14" t="s">
        <v>9779</v>
      </c>
      <c r="U331" s="14" t="s">
        <v>179</v>
      </c>
      <c r="V331" s="14" t="s">
        <v>9780</v>
      </c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6" t="s">
        <v>197</v>
      </c>
      <c r="BP331" s="17" t="s">
        <v>228</v>
      </c>
      <c r="BQ331" s="23"/>
      <c r="BR331" s="17" t="s">
        <v>198</v>
      </c>
      <c r="BS331" s="18">
        <v>45701.59247685185</v>
      </c>
      <c r="BT331" s="17" t="s">
        <v>198</v>
      </c>
      <c r="BU331" s="18">
        <v>45701.59247685185</v>
      </c>
      <c r="BV331" s="13" t="s">
        <v>199</v>
      </c>
      <c r="BW331" s="14" t="s">
        <v>179</v>
      </c>
      <c r="BX331" s="14" t="s">
        <v>9781</v>
      </c>
      <c r="BY331" s="14" t="s">
        <v>179</v>
      </c>
      <c r="BZ331" s="14" t="s">
        <v>9782</v>
      </c>
      <c r="CA331" s="15"/>
      <c r="CB331" s="15"/>
      <c r="CC331" s="15"/>
      <c r="CD331" s="15"/>
      <c r="CE331" s="15"/>
      <c r="CF331" s="15"/>
      <c r="CG331" s="19"/>
      <c r="CH331" s="15"/>
      <c r="CI331" s="19"/>
      <c r="CJ331" s="15"/>
      <c r="CK331" s="19"/>
      <c r="CL331" s="15"/>
      <c r="CM331" s="19"/>
      <c r="CN331" s="15"/>
      <c r="CO331" s="19"/>
      <c r="CP331" s="15"/>
      <c r="CQ331" s="15"/>
      <c r="CR331" s="15"/>
      <c r="CS331" s="19"/>
      <c r="CT331" s="15"/>
      <c r="CU331" s="19"/>
      <c r="CV331" s="15"/>
      <c r="CW331" s="19"/>
      <c r="CX331" s="15"/>
      <c r="CY331" s="19"/>
      <c r="CZ331" s="15"/>
      <c r="DA331" s="16" t="s">
        <v>197</v>
      </c>
      <c r="DB331" s="17" t="s">
        <v>228</v>
      </c>
      <c r="DC331" s="16"/>
      <c r="DD331" s="17" t="s">
        <v>198</v>
      </c>
      <c r="DE331" s="18">
        <v>45705.35428240741</v>
      </c>
      <c r="DF331" s="17" t="s">
        <v>198</v>
      </c>
      <c r="DG331" s="18">
        <v>45705.35428240741</v>
      </c>
      <c r="DH331" s="13" t="s">
        <v>205</v>
      </c>
      <c r="DI331" s="14" t="s">
        <v>179</v>
      </c>
      <c r="DJ331" s="14" t="s">
        <v>9783</v>
      </c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6" t="s">
        <v>197</v>
      </c>
      <c r="ED331" s="17" t="s">
        <v>198</v>
      </c>
      <c r="EE331" s="18">
        <v>45705.3543287037</v>
      </c>
      <c r="EF331" s="13" t="s">
        <v>209</v>
      </c>
      <c r="EG331" s="14" t="s">
        <v>179</v>
      </c>
      <c r="EH331" s="14" t="s">
        <v>9784</v>
      </c>
      <c r="EI331" s="15"/>
      <c r="EJ331" s="15"/>
      <c r="EK331" s="15"/>
      <c r="EL331" s="15"/>
      <c r="EM331" s="15"/>
      <c r="EN331" s="15"/>
      <c r="EO331" s="15"/>
      <c r="EP331" s="15"/>
      <c r="EQ331" s="15"/>
      <c r="ER331" s="15"/>
      <c r="ES331" s="15"/>
      <c r="ET331" s="15"/>
      <c r="EU331" s="15"/>
      <c r="EV331" s="15"/>
      <c r="EW331" s="15"/>
      <c r="EX331" s="15"/>
      <c r="EY331" s="15"/>
      <c r="EZ331" s="15"/>
      <c r="FA331" s="15"/>
      <c r="FB331" s="15"/>
      <c r="FC331" s="16" t="s">
        <v>197</v>
      </c>
      <c r="FD331" s="17" t="s">
        <v>198</v>
      </c>
      <c r="FE331" s="18">
        <v>45705.354409722226</v>
      </c>
      <c r="FF331" s="19"/>
      <c r="FG331" s="19"/>
      <c r="FH331" s="21" t="s">
        <v>197</v>
      </c>
      <c r="FI331" s="17" t="s">
        <v>214</v>
      </c>
      <c r="FJ331" s="18">
        <v>45705.354409722226</v>
      </c>
      <c r="FK331" s="14" t="s">
        <v>9784</v>
      </c>
      <c r="FL331" s="19"/>
      <c r="FM331" s="19"/>
      <c r="FN331" s="19"/>
      <c r="FO331" s="19"/>
      <c r="FP331" s="19" t="str">
        <f t="shared" si="1"/>
        <v/>
      </c>
      <c r="FQ331" s="14" t="s">
        <v>215</v>
      </c>
      <c r="FR331" s="14" t="s">
        <v>9785</v>
      </c>
    </row>
    <row r="332" ht="15.75" customHeight="1">
      <c r="A332" s="12" t="s">
        <v>357</v>
      </c>
      <c r="B332" s="12" t="s">
        <v>358</v>
      </c>
      <c r="C332" s="12" t="s">
        <v>219</v>
      </c>
      <c r="D332" s="22" t="s">
        <v>9786</v>
      </c>
      <c r="E332" s="22" t="s">
        <v>9787</v>
      </c>
      <c r="F332" s="13" t="s">
        <v>178</v>
      </c>
      <c r="G332" s="14" t="s">
        <v>179</v>
      </c>
      <c r="H332" s="14" t="s">
        <v>9788</v>
      </c>
      <c r="I332" s="14" t="s">
        <v>179</v>
      </c>
      <c r="J332" s="14" t="s">
        <v>9789</v>
      </c>
      <c r="K332" s="14" t="s">
        <v>179</v>
      </c>
      <c r="L332" s="14" t="s">
        <v>9789</v>
      </c>
      <c r="M332" s="14" t="s">
        <v>179</v>
      </c>
      <c r="N332" s="14" t="s">
        <v>9790</v>
      </c>
      <c r="O332" s="14" t="s">
        <v>179</v>
      </c>
      <c r="P332" s="14" t="s">
        <v>9791</v>
      </c>
      <c r="Q332" s="14" t="s">
        <v>179</v>
      </c>
      <c r="R332" s="14" t="s">
        <v>9791</v>
      </c>
      <c r="S332" s="14" t="s">
        <v>179</v>
      </c>
      <c r="T332" s="14" t="s">
        <v>9792</v>
      </c>
      <c r="U332" s="14" t="s">
        <v>179</v>
      </c>
      <c r="V332" s="14" t="s">
        <v>9793</v>
      </c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6" t="s">
        <v>197</v>
      </c>
      <c r="BP332" s="17" t="s">
        <v>228</v>
      </c>
      <c r="BQ332" s="23"/>
      <c r="BR332" s="17" t="s">
        <v>198</v>
      </c>
      <c r="BS332" s="18">
        <v>45693.68717592592</v>
      </c>
      <c r="BT332" s="17" t="s">
        <v>198</v>
      </c>
      <c r="BU332" s="18">
        <v>45693.68717592592</v>
      </c>
      <c r="BV332" s="13" t="s">
        <v>199</v>
      </c>
      <c r="BW332" s="14" t="s">
        <v>179</v>
      </c>
      <c r="BX332" s="14" t="s">
        <v>9794</v>
      </c>
      <c r="BY332" s="14" t="s">
        <v>179</v>
      </c>
      <c r="BZ332" s="14" t="s">
        <v>9795</v>
      </c>
      <c r="CA332" s="15"/>
      <c r="CB332" s="15"/>
      <c r="CC332" s="15"/>
      <c r="CD332" s="15"/>
      <c r="CE332" s="15"/>
      <c r="CF332" s="15"/>
      <c r="CG332" s="19"/>
      <c r="CH332" s="15"/>
      <c r="CI332" s="19"/>
      <c r="CJ332" s="15"/>
      <c r="CK332" s="19"/>
      <c r="CL332" s="15"/>
      <c r="CM332" s="19"/>
      <c r="CN332" s="15"/>
      <c r="CO332" s="19"/>
      <c r="CP332" s="15"/>
      <c r="CQ332" s="15"/>
      <c r="CR332" s="15"/>
      <c r="CS332" s="19"/>
      <c r="CT332" s="15"/>
      <c r="CU332" s="19"/>
      <c r="CV332" s="15"/>
      <c r="CW332" s="19"/>
      <c r="CX332" s="15"/>
      <c r="CY332" s="19"/>
      <c r="CZ332" s="15"/>
      <c r="DA332" s="16" t="s">
        <v>197</v>
      </c>
      <c r="DB332" s="17" t="s">
        <v>228</v>
      </c>
      <c r="DC332" s="16"/>
      <c r="DD332" s="17" t="s">
        <v>198</v>
      </c>
      <c r="DE332" s="18">
        <v>45705.38099537037</v>
      </c>
      <c r="DF332" s="17" t="s">
        <v>198</v>
      </c>
      <c r="DG332" s="18">
        <v>45705.38099537037</v>
      </c>
      <c r="DH332" s="13" t="s">
        <v>205</v>
      </c>
      <c r="DI332" s="14" t="s">
        <v>179</v>
      </c>
      <c r="DJ332" s="14" t="s">
        <v>9796</v>
      </c>
      <c r="DK332" s="15"/>
      <c r="DL332" s="15"/>
      <c r="DM332" s="15"/>
      <c r="DN332" s="15"/>
      <c r="DO332" s="15"/>
      <c r="DP332" s="15"/>
      <c r="DQ332" s="15"/>
      <c r="DR332" s="15"/>
      <c r="DS332" s="15"/>
      <c r="DT332" s="15"/>
      <c r="DU332" s="15"/>
      <c r="DV332" s="15"/>
      <c r="DW332" s="15"/>
      <c r="DX332" s="15"/>
      <c r="DY332" s="15"/>
      <c r="DZ332" s="15"/>
      <c r="EA332" s="15"/>
      <c r="EB332" s="15"/>
      <c r="EC332" s="16" t="s">
        <v>197</v>
      </c>
      <c r="ED332" s="17" t="s">
        <v>198</v>
      </c>
      <c r="EE332" s="18">
        <v>45705.38104166667</v>
      </c>
      <c r="EF332" s="13" t="s">
        <v>209</v>
      </c>
      <c r="EG332" s="14" t="s">
        <v>179</v>
      </c>
      <c r="EH332" s="14" t="s">
        <v>9797</v>
      </c>
      <c r="EI332" s="15"/>
      <c r="EJ332" s="15"/>
      <c r="EK332" s="15"/>
      <c r="EL332" s="15"/>
      <c r="EM332" s="15"/>
      <c r="EN332" s="15"/>
      <c r="EO332" s="15"/>
      <c r="EP332" s="15"/>
      <c r="EQ332" s="15"/>
      <c r="ER332" s="15"/>
      <c r="ES332" s="15"/>
      <c r="ET332" s="15"/>
      <c r="EU332" s="15"/>
      <c r="EV332" s="15"/>
      <c r="EW332" s="15"/>
      <c r="EX332" s="15"/>
      <c r="EY332" s="15"/>
      <c r="EZ332" s="15"/>
      <c r="FA332" s="15"/>
      <c r="FB332" s="15"/>
      <c r="FC332" s="16" t="s">
        <v>197</v>
      </c>
      <c r="FD332" s="17" t="s">
        <v>198</v>
      </c>
      <c r="FE332" s="18">
        <v>45705.38113425926</v>
      </c>
      <c r="FF332" s="19"/>
      <c r="FG332" s="19"/>
      <c r="FH332" s="21" t="s">
        <v>197</v>
      </c>
      <c r="FI332" s="17" t="s">
        <v>214</v>
      </c>
      <c r="FJ332" s="18">
        <v>45705.38113425926</v>
      </c>
      <c r="FK332" s="14" t="s">
        <v>9797</v>
      </c>
      <c r="FL332" s="14" t="s">
        <v>9798</v>
      </c>
      <c r="FM332" s="14" t="s">
        <v>9799</v>
      </c>
      <c r="FN332" s="19"/>
      <c r="FO332" s="19"/>
      <c r="FP332" s="19" t="str">
        <f t="shared" si="1"/>
        <v>Base de Dados_Images/FCV81020.Imagem do Equipamento-.142611.jpg</v>
      </c>
      <c r="FQ332" s="14"/>
      <c r="FR332" s="14"/>
    </row>
    <row r="333" ht="15.75" customHeight="1">
      <c r="A333" s="12" t="s">
        <v>217</v>
      </c>
      <c r="B333" s="12" t="s">
        <v>9709</v>
      </c>
      <c r="C333" s="24" t="s">
        <v>324</v>
      </c>
      <c r="D333" s="22" t="s">
        <v>9800</v>
      </c>
      <c r="E333" s="22" t="s">
        <v>9801</v>
      </c>
      <c r="F333" s="13" t="s">
        <v>178</v>
      </c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6" t="s">
        <v>197</v>
      </c>
      <c r="BP333" s="17" t="s">
        <v>228</v>
      </c>
      <c r="BQ333" s="23"/>
      <c r="BR333" s="17" t="s">
        <v>228</v>
      </c>
      <c r="BS333" s="23"/>
      <c r="BT333" s="17" t="s">
        <v>228</v>
      </c>
      <c r="BU333" s="23"/>
      <c r="BV333" s="13" t="s">
        <v>199</v>
      </c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9"/>
      <c r="CH333" s="15"/>
      <c r="CI333" s="19"/>
      <c r="CJ333" s="15"/>
      <c r="CK333" s="19"/>
      <c r="CL333" s="15"/>
      <c r="CM333" s="19"/>
      <c r="CN333" s="15"/>
      <c r="CO333" s="19"/>
      <c r="CP333" s="15"/>
      <c r="CQ333" s="15"/>
      <c r="CR333" s="15"/>
      <c r="CS333" s="19"/>
      <c r="CT333" s="15"/>
      <c r="CU333" s="19"/>
      <c r="CV333" s="15"/>
      <c r="CW333" s="19"/>
      <c r="CX333" s="15"/>
      <c r="CY333" s="19"/>
      <c r="CZ333" s="15"/>
      <c r="DA333" s="16" t="s">
        <v>197</v>
      </c>
      <c r="DB333" s="17" t="s">
        <v>228</v>
      </c>
      <c r="DC333" s="16"/>
      <c r="DD333" s="17" t="s">
        <v>228</v>
      </c>
      <c r="DE333" s="23"/>
      <c r="DF333" s="17" t="s">
        <v>228</v>
      </c>
      <c r="DG333" s="23"/>
      <c r="DH333" s="13" t="s">
        <v>205</v>
      </c>
      <c r="DI333" s="14" t="s">
        <v>179</v>
      </c>
      <c r="DJ333" s="14" t="s">
        <v>9802</v>
      </c>
      <c r="DK333" s="14" t="s">
        <v>179</v>
      </c>
      <c r="DL333" s="14" t="s">
        <v>9802</v>
      </c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6" t="s">
        <v>197</v>
      </c>
      <c r="ED333" s="17" t="s">
        <v>198</v>
      </c>
      <c r="EE333" s="18">
        <v>45723.34994212963</v>
      </c>
      <c r="EF333" s="13" t="s">
        <v>209</v>
      </c>
      <c r="EG333" s="14" t="s">
        <v>179</v>
      </c>
      <c r="EH333" s="14" t="s">
        <v>9803</v>
      </c>
      <c r="EI333" s="14" t="s">
        <v>179</v>
      </c>
      <c r="EJ333" s="14" t="s">
        <v>9804</v>
      </c>
      <c r="EK333" s="15"/>
      <c r="EL333" s="15"/>
      <c r="EM333" s="15"/>
      <c r="EN333" s="15"/>
      <c r="EO333" s="15"/>
      <c r="EP333" s="15"/>
      <c r="EQ333" s="15"/>
      <c r="ER333" s="15"/>
      <c r="ES333" s="15"/>
      <c r="ET333" s="15"/>
      <c r="EU333" s="15"/>
      <c r="EV333" s="15"/>
      <c r="EW333" s="15"/>
      <c r="EX333" s="15"/>
      <c r="EY333" s="15"/>
      <c r="EZ333" s="15"/>
      <c r="FA333" s="15"/>
      <c r="FB333" s="15"/>
      <c r="FC333" s="16" t="s">
        <v>197</v>
      </c>
      <c r="FD333" s="17" t="s">
        <v>198</v>
      </c>
      <c r="FE333" s="18">
        <v>45723.34998842593</v>
      </c>
      <c r="FF333" s="19"/>
      <c r="FG333" s="19"/>
      <c r="FH333" s="21" t="s">
        <v>197</v>
      </c>
      <c r="FI333" s="17" t="s">
        <v>214</v>
      </c>
      <c r="FJ333" s="18">
        <v>45723.34998842593</v>
      </c>
      <c r="FK333" s="14" t="s">
        <v>9804</v>
      </c>
      <c r="FL333" s="19"/>
      <c r="FM333" s="19"/>
      <c r="FN333" s="19"/>
      <c r="FO333" s="19"/>
      <c r="FP333" s="19" t="str">
        <f t="shared" si="1"/>
        <v/>
      </c>
      <c r="FQ333" s="14" t="s">
        <v>215</v>
      </c>
      <c r="FR333" s="14" t="s">
        <v>9805</v>
      </c>
    </row>
    <row r="334" ht="15.75" customHeight="1">
      <c r="A334" s="12" t="s">
        <v>217</v>
      </c>
      <c r="B334" s="12" t="s">
        <v>8821</v>
      </c>
      <c r="C334" s="24" t="s">
        <v>324</v>
      </c>
      <c r="D334" s="22" t="s">
        <v>9806</v>
      </c>
      <c r="E334" s="22" t="s">
        <v>9807</v>
      </c>
      <c r="F334" s="13" t="s">
        <v>178</v>
      </c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6" t="s">
        <v>197</v>
      </c>
      <c r="BP334" s="17" t="s">
        <v>228</v>
      </c>
      <c r="BQ334" s="23"/>
      <c r="BR334" s="17" t="s">
        <v>228</v>
      </c>
      <c r="BS334" s="23"/>
      <c r="BT334" s="17" t="s">
        <v>228</v>
      </c>
      <c r="BU334" s="23"/>
      <c r="BV334" s="13" t="s">
        <v>199</v>
      </c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9"/>
      <c r="CH334" s="15"/>
      <c r="CI334" s="19"/>
      <c r="CJ334" s="15"/>
      <c r="CK334" s="19"/>
      <c r="CL334" s="15"/>
      <c r="CM334" s="19"/>
      <c r="CN334" s="15"/>
      <c r="CO334" s="19"/>
      <c r="CP334" s="15"/>
      <c r="CQ334" s="15"/>
      <c r="CR334" s="15"/>
      <c r="CS334" s="19"/>
      <c r="CT334" s="15"/>
      <c r="CU334" s="19"/>
      <c r="CV334" s="15"/>
      <c r="CW334" s="19"/>
      <c r="CX334" s="15"/>
      <c r="CY334" s="19"/>
      <c r="CZ334" s="15"/>
      <c r="DA334" s="16" t="s">
        <v>197</v>
      </c>
      <c r="DB334" s="17" t="s">
        <v>228</v>
      </c>
      <c r="DC334" s="16"/>
      <c r="DD334" s="17" t="s">
        <v>228</v>
      </c>
      <c r="DE334" s="23"/>
      <c r="DF334" s="17" t="s">
        <v>228</v>
      </c>
      <c r="DG334" s="23"/>
      <c r="DH334" s="13" t="s">
        <v>205</v>
      </c>
      <c r="DI334" s="14" t="s">
        <v>179</v>
      </c>
      <c r="DJ334" s="14" t="s">
        <v>9808</v>
      </c>
      <c r="DK334" s="14" t="s">
        <v>179</v>
      </c>
      <c r="DL334" s="14" t="s">
        <v>9809</v>
      </c>
      <c r="DM334" s="15"/>
      <c r="DN334" s="15"/>
      <c r="DO334" s="15"/>
      <c r="DP334" s="15"/>
      <c r="DQ334" s="15"/>
      <c r="DR334" s="15"/>
      <c r="DS334" s="15"/>
      <c r="DT334" s="15"/>
      <c r="DU334" s="15"/>
      <c r="DV334" s="15"/>
      <c r="DW334" s="15"/>
      <c r="DX334" s="15"/>
      <c r="DY334" s="15"/>
      <c r="DZ334" s="15"/>
      <c r="EA334" s="15"/>
      <c r="EB334" s="15"/>
      <c r="EC334" s="16" t="s">
        <v>197</v>
      </c>
      <c r="ED334" s="17" t="s">
        <v>198</v>
      </c>
      <c r="EE334" s="18">
        <v>45723.35082175926</v>
      </c>
      <c r="EF334" s="13" t="s">
        <v>209</v>
      </c>
      <c r="EG334" s="14" t="s">
        <v>179</v>
      </c>
      <c r="EH334" s="14" t="s">
        <v>9810</v>
      </c>
      <c r="EI334" s="14" t="s">
        <v>179</v>
      </c>
      <c r="EJ334" s="14" t="s">
        <v>9811</v>
      </c>
      <c r="EK334" s="15"/>
      <c r="EL334" s="15"/>
      <c r="EM334" s="15"/>
      <c r="EN334" s="15"/>
      <c r="EO334" s="15"/>
      <c r="EP334" s="15"/>
      <c r="EQ334" s="15"/>
      <c r="ER334" s="15"/>
      <c r="ES334" s="15"/>
      <c r="ET334" s="15"/>
      <c r="EU334" s="15"/>
      <c r="EV334" s="15"/>
      <c r="EW334" s="15"/>
      <c r="EX334" s="15"/>
      <c r="EY334" s="15"/>
      <c r="EZ334" s="15"/>
      <c r="FA334" s="15"/>
      <c r="FB334" s="15"/>
      <c r="FC334" s="16" t="s">
        <v>197</v>
      </c>
      <c r="FD334" s="17" t="s">
        <v>198</v>
      </c>
      <c r="FE334" s="18">
        <v>45723.35086805555</v>
      </c>
      <c r="FF334" s="19"/>
      <c r="FG334" s="19"/>
      <c r="FH334" s="21" t="s">
        <v>197</v>
      </c>
      <c r="FI334" s="17" t="s">
        <v>214</v>
      </c>
      <c r="FJ334" s="18">
        <v>45723.35086805555</v>
      </c>
      <c r="FK334" s="14" t="s">
        <v>9811</v>
      </c>
      <c r="FL334" s="19"/>
      <c r="FM334" s="19"/>
      <c r="FN334" s="19"/>
      <c r="FO334" s="19"/>
      <c r="FP334" s="19" t="str">
        <f t="shared" si="1"/>
        <v/>
      </c>
      <c r="FQ334" s="14" t="s">
        <v>215</v>
      </c>
      <c r="FR334" s="14" t="s">
        <v>9812</v>
      </c>
    </row>
    <row r="335" ht="15.75" customHeight="1">
      <c r="A335" s="12" t="s">
        <v>234</v>
      </c>
      <c r="B335" s="12" t="s">
        <v>2706</v>
      </c>
      <c r="C335" s="24" t="s">
        <v>324</v>
      </c>
      <c r="D335" s="22" t="s">
        <v>9813</v>
      </c>
      <c r="E335" s="22" t="s">
        <v>9814</v>
      </c>
      <c r="F335" s="13" t="s">
        <v>178</v>
      </c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6" t="s">
        <v>197</v>
      </c>
      <c r="BP335" s="17" t="s">
        <v>228</v>
      </c>
      <c r="BQ335" s="23"/>
      <c r="BR335" s="17" t="s">
        <v>228</v>
      </c>
      <c r="BS335" s="23"/>
      <c r="BT335" s="17" t="s">
        <v>228</v>
      </c>
      <c r="BU335" s="23"/>
      <c r="BV335" s="13" t="s">
        <v>199</v>
      </c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9"/>
      <c r="CH335" s="15"/>
      <c r="CI335" s="19"/>
      <c r="CJ335" s="15"/>
      <c r="CK335" s="19"/>
      <c r="CL335" s="15"/>
      <c r="CM335" s="19"/>
      <c r="CN335" s="15"/>
      <c r="CO335" s="19"/>
      <c r="CP335" s="15"/>
      <c r="CQ335" s="15"/>
      <c r="CR335" s="15"/>
      <c r="CS335" s="19"/>
      <c r="CT335" s="15"/>
      <c r="CU335" s="19"/>
      <c r="CV335" s="15"/>
      <c r="CW335" s="19"/>
      <c r="CX335" s="15"/>
      <c r="CY335" s="19"/>
      <c r="CZ335" s="15"/>
      <c r="DA335" s="16" t="s">
        <v>197</v>
      </c>
      <c r="DB335" s="17" t="s">
        <v>228</v>
      </c>
      <c r="DC335" s="16"/>
      <c r="DD335" s="17" t="s">
        <v>228</v>
      </c>
      <c r="DE335" s="23"/>
      <c r="DF335" s="17" t="s">
        <v>228</v>
      </c>
      <c r="DG335" s="23"/>
      <c r="DH335" s="13" t="s">
        <v>205</v>
      </c>
      <c r="DI335" s="14" t="s">
        <v>179</v>
      </c>
      <c r="DJ335" s="14" t="s">
        <v>9815</v>
      </c>
      <c r="DK335" s="14" t="s">
        <v>179</v>
      </c>
      <c r="DL335" s="14" t="s">
        <v>9816</v>
      </c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6" t="s">
        <v>197</v>
      </c>
      <c r="ED335" s="17" t="s">
        <v>198</v>
      </c>
      <c r="EE335" s="18">
        <v>45713.368576388886</v>
      </c>
      <c r="EF335" s="13" t="s">
        <v>209</v>
      </c>
      <c r="EG335" s="14" t="s">
        <v>179</v>
      </c>
      <c r="EH335" s="14" t="s">
        <v>9817</v>
      </c>
      <c r="EI335" s="14" t="s">
        <v>179</v>
      </c>
      <c r="EJ335" s="14" t="s">
        <v>9818</v>
      </c>
      <c r="EK335" s="15"/>
      <c r="EL335" s="15"/>
      <c r="EM335" s="15"/>
      <c r="EN335" s="15"/>
      <c r="EO335" s="15"/>
      <c r="EP335" s="15"/>
      <c r="EQ335" s="15"/>
      <c r="ER335" s="15"/>
      <c r="ES335" s="15"/>
      <c r="ET335" s="15"/>
      <c r="EU335" s="15"/>
      <c r="EV335" s="15"/>
      <c r="EW335" s="15"/>
      <c r="EX335" s="15"/>
      <c r="EY335" s="15"/>
      <c r="EZ335" s="15"/>
      <c r="FA335" s="15"/>
      <c r="FB335" s="15"/>
      <c r="FC335" s="16" t="s">
        <v>197</v>
      </c>
      <c r="FD335" s="17" t="s">
        <v>198</v>
      </c>
      <c r="FE335" s="18">
        <v>45720.3303125</v>
      </c>
      <c r="FF335" s="19"/>
      <c r="FG335" s="19"/>
      <c r="FH335" s="21" t="s">
        <v>197</v>
      </c>
      <c r="FI335" s="17" t="s">
        <v>214</v>
      </c>
      <c r="FJ335" s="18">
        <v>45720.3303125</v>
      </c>
      <c r="FK335" s="14" t="s">
        <v>9818</v>
      </c>
      <c r="FL335" s="14" t="s">
        <v>9819</v>
      </c>
      <c r="FM335" s="14" t="s">
        <v>9820</v>
      </c>
      <c r="FN335" s="19"/>
      <c r="FO335" s="19"/>
      <c r="FP335" s="19" t="str">
        <f t="shared" si="1"/>
        <v>Base de Dados_Images/FIC65017.Imagem do Equipamento-.162953.jpg</v>
      </c>
      <c r="FQ335" s="19"/>
      <c r="FR335" s="19"/>
    </row>
    <row r="336" ht="15.75" customHeight="1">
      <c r="A336" s="12" t="s">
        <v>234</v>
      </c>
      <c r="B336" s="12" t="s">
        <v>2706</v>
      </c>
      <c r="C336" s="24" t="s">
        <v>324</v>
      </c>
      <c r="D336" s="22" t="s">
        <v>9821</v>
      </c>
      <c r="E336" s="22" t="s">
        <v>9822</v>
      </c>
      <c r="F336" s="13" t="s">
        <v>178</v>
      </c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6" t="s">
        <v>197</v>
      </c>
      <c r="BP336" s="17" t="s">
        <v>228</v>
      </c>
      <c r="BQ336" s="23"/>
      <c r="BR336" s="17" t="s">
        <v>228</v>
      </c>
      <c r="BS336" s="23"/>
      <c r="BT336" s="17" t="s">
        <v>228</v>
      </c>
      <c r="BU336" s="23"/>
      <c r="BV336" s="13" t="s">
        <v>199</v>
      </c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9"/>
      <c r="CH336" s="15"/>
      <c r="CI336" s="19"/>
      <c r="CJ336" s="15"/>
      <c r="CK336" s="19"/>
      <c r="CL336" s="15"/>
      <c r="CM336" s="19"/>
      <c r="CN336" s="15"/>
      <c r="CO336" s="19"/>
      <c r="CP336" s="15"/>
      <c r="CQ336" s="15"/>
      <c r="CR336" s="15"/>
      <c r="CS336" s="19"/>
      <c r="CT336" s="15"/>
      <c r="CU336" s="19"/>
      <c r="CV336" s="15"/>
      <c r="CW336" s="19"/>
      <c r="CX336" s="15"/>
      <c r="CY336" s="19"/>
      <c r="CZ336" s="15"/>
      <c r="DA336" s="16" t="s">
        <v>197</v>
      </c>
      <c r="DB336" s="17" t="s">
        <v>228</v>
      </c>
      <c r="DC336" s="16"/>
      <c r="DD336" s="17" t="s">
        <v>228</v>
      </c>
      <c r="DE336" s="23"/>
      <c r="DF336" s="17" t="s">
        <v>228</v>
      </c>
      <c r="DG336" s="23"/>
      <c r="DH336" s="13" t="s">
        <v>205</v>
      </c>
      <c r="DI336" s="14" t="s">
        <v>179</v>
      </c>
      <c r="DJ336" s="14" t="s">
        <v>9823</v>
      </c>
      <c r="DK336" s="14" t="s">
        <v>179</v>
      </c>
      <c r="DL336" s="14" t="s">
        <v>9824</v>
      </c>
      <c r="DM336" s="15"/>
      <c r="DN336" s="15"/>
      <c r="DO336" s="15"/>
      <c r="DP336" s="15"/>
      <c r="DQ336" s="15"/>
      <c r="DR336" s="15"/>
      <c r="DS336" s="15"/>
      <c r="DT336" s="15"/>
      <c r="DU336" s="15"/>
      <c r="DV336" s="15"/>
      <c r="DW336" s="15"/>
      <c r="DX336" s="15"/>
      <c r="DY336" s="15"/>
      <c r="DZ336" s="15"/>
      <c r="EA336" s="15"/>
      <c r="EB336" s="15"/>
      <c r="EC336" s="16" t="s">
        <v>197</v>
      </c>
      <c r="ED336" s="17" t="s">
        <v>198</v>
      </c>
      <c r="EE336" s="18">
        <v>45713.37068287037</v>
      </c>
      <c r="EF336" s="13" t="s">
        <v>209</v>
      </c>
      <c r="EG336" s="14" t="s">
        <v>179</v>
      </c>
      <c r="EH336" s="14" t="s">
        <v>9825</v>
      </c>
      <c r="EI336" s="14" t="s">
        <v>179</v>
      </c>
      <c r="EJ336" s="14" t="s">
        <v>9825</v>
      </c>
      <c r="EK336" s="15"/>
      <c r="EL336" s="15"/>
      <c r="EM336" s="15"/>
      <c r="EN336" s="15"/>
      <c r="EO336" s="15"/>
      <c r="EP336" s="15"/>
      <c r="EQ336" s="15"/>
      <c r="ER336" s="15"/>
      <c r="ES336" s="15"/>
      <c r="ET336" s="15"/>
      <c r="EU336" s="15"/>
      <c r="EV336" s="15"/>
      <c r="EW336" s="15"/>
      <c r="EX336" s="15"/>
      <c r="EY336" s="15"/>
      <c r="EZ336" s="15"/>
      <c r="FA336" s="15"/>
      <c r="FB336" s="15"/>
      <c r="FC336" s="16" t="s">
        <v>197</v>
      </c>
      <c r="FD336" s="17" t="s">
        <v>198</v>
      </c>
      <c r="FE336" s="18">
        <v>45720.33038194444</v>
      </c>
      <c r="FF336" s="19"/>
      <c r="FG336" s="19"/>
      <c r="FH336" s="21" t="s">
        <v>197</v>
      </c>
      <c r="FI336" s="17" t="s">
        <v>214</v>
      </c>
      <c r="FJ336" s="18">
        <v>45720.33038194444</v>
      </c>
      <c r="FK336" s="14" t="s">
        <v>9825</v>
      </c>
      <c r="FL336" s="14" t="s">
        <v>9826</v>
      </c>
      <c r="FM336" s="14" t="s">
        <v>9827</v>
      </c>
      <c r="FN336" s="19"/>
      <c r="FO336" s="19"/>
      <c r="FP336" s="19" t="str">
        <f t="shared" si="1"/>
        <v>Base de Dados_Images/FIC65017A.Imagem do Equipamento-.163355.jpg</v>
      </c>
      <c r="FQ336" s="19"/>
      <c r="FR336" s="19"/>
    </row>
    <row r="337" ht="15.75" customHeight="1">
      <c r="A337" s="12" t="s">
        <v>234</v>
      </c>
      <c r="B337" s="12" t="s">
        <v>2706</v>
      </c>
      <c r="C337" s="24" t="s">
        <v>324</v>
      </c>
      <c r="D337" s="22" t="s">
        <v>9828</v>
      </c>
      <c r="E337" s="22" t="s">
        <v>9829</v>
      </c>
      <c r="F337" s="13" t="s">
        <v>178</v>
      </c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6" t="s">
        <v>197</v>
      </c>
      <c r="BP337" s="17" t="s">
        <v>228</v>
      </c>
      <c r="BQ337" s="23"/>
      <c r="BR337" s="17" t="s">
        <v>228</v>
      </c>
      <c r="BS337" s="23"/>
      <c r="BT337" s="17" t="s">
        <v>228</v>
      </c>
      <c r="BU337" s="23"/>
      <c r="BV337" s="13" t="s">
        <v>199</v>
      </c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9"/>
      <c r="CH337" s="15"/>
      <c r="CI337" s="19"/>
      <c r="CJ337" s="15"/>
      <c r="CK337" s="19"/>
      <c r="CL337" s="15"/>
      <c r="CM337" s="19"/>
      <c r="CN337" s="15"/>
      <c r="CO337" s="19"/>
      <c r="CP337" s="15"/>
      <c r="CQ337" s="15"/>
      <c r="CR337" s="15"/>
      <c r="CS337" s="19"/>
      <c r="CT337" s="15"/>
      <c r="CU337" s="19"/>
      <c r="CV337" s="15"/>
      <c r="CW337" s="19"/>
      <c r="CX337" s="15"/>
      <c r="CY337" s="19"/>
      <c r="CZ337" s="15"/>
      <c r="DA337" s="16" t="s">
        <v>197</v>
      </c>
      <c r="DB337" s="17" t="s">
        <v>228</v>
      </c>
      <c r="DC337" s="16"/>
      <c r="DD337" s="17" t="s">
        <v>228</v>
      </c>
      <c r="DE337" s="23"/>
      <c r="DF337" s="17" t="s">
        <v>228</v>
      </c>
      <c r="DG337" s="23"/>
      <c r="DH337" s="13" t="s">
        <v>205</v>
      </c>
      <c r="DI337" s="14" t="s">
        <v>179</v>
      </c>
      <c r="DJ337" s="14" t="s">
        <v>9830</v>
      </c>
      <c r="DK337" s="14" t="s">
        <v>179</v>
      </c>
      <c r="DL337" s="14" t="s">
        <v>9831</v>
      </c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6" t="s">
        <v>197</v>
      </c>
      <c r="ED337" s="17" t="s">
        <v>198</v>
      </c>
      <c r="EE337" s="18">
        <v>45713.41585648148</v>
      </c>
      <c r="EF337" s="13" t="s">
        <v>209</v>
      </c>
      <c r="EG337" s="14" t="s">
        <v>179</v>
      </c>
      <c r="EH337" s="14" t="s">
        <v>9832</v>
      </c>
      <c r="EI337" s="14" t="s">
        <v>179</v>
      </c>
      <c r="EJ337" s="14" t="s">
        <v>9832</v>
      </c>
      <c r="EK337" s="15"/>
      <c r="EL337" s="15"/>
      <c r="EM337" s="15"/>
      <c r="EN337" s="15"/>
      <c r="EO337" s="15"/>
      <c r="EP337" s="15"/>
      <c r="EQ337" s="15"/>
      <c r="ER337" s="15"/>
      <c r="ES337" s="15"/>
      <c r="ET337" s="15"/>
      <c r="EU337" s="15"/>
      <c r="EV337" s="15"/>
      <c r="EW337" s="15"/>
      <c r="EX337" s="15"/>
      <c r="EY337" s="15"/>
      <c r="EZ337" s="15"/>
      <c r="FA337" s="15"/>
      <c r="FB337" s="15"/>
      <c r="FC337" s="16" t="s">
        <v>197</v>
      </c>
      <c r="FD337" s="17" t="s">
        <v>198</v>
      </c>
      <c r="FE337" s="18">
        <v>45720.33045138889</v>
      </c>
      <c r="FF337" s="14" t="s">
        <v>9833</v>
      </c>
      <c r="FG337" s="19"/>
      <c r="FH337" s="17" t="s">
        <v>198</v>
      </c>
      <c r="FI337" s="17" t="s">
        <v>214</v>
      </c>
      <c r="FJ337" s="18">
        <v>45720.33045138889</v>
      </c>
      <c r="FK337" s="14" t="s">
        <v>9832</v>
      </c>
      <c r="FL337" s="14" t="s">
        <v>9834</v>
      </c>
      <c r="FM337" s="14" t="s">
        <v>9835</v>
      </c>
      <c r="FN337" s="19"/>
      <c r="FO337" s="19"/>
      <c r="FP337" s="19" t="str">
        <f t="shared" si="1"/>
        <v>Base de Dados_Images/FIC65017B.Imagem do Equipamento-.164009.jpg</v>
      </c>
      <c r="FQ337" s="19"/>
      <c r="FR337" s="19"/>
    </row>
    <row r="338" ht="15.75" customHeight="1">
      <c r="A338" s="12" t="s">
        <v>234</v>
      </c>
      <c r="B338" s="12" t="s">
        <v>2743</v>
      </c>
      <c r="C338" s="24" t="s">
        <v>324</v>
      </c>
      <c r="D338" s="22" t="s">
        <v>9836</v>
      </c>
      <c r="E338" s="22" t="s">
        <v>9837</v>
      </c>
      <c r="F338" s="13" t="s">
        <v>178</v>
      </c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6" t="s">
        <v>197</v>
      </c>
      <c r="BP338" s="17" t="s">
        <v>228</v>
      </c>
      <c r="BQ338" s="23"/>
      <c r="BR338" s="17" t="s">
        <v>228</v>
      </c>
      <c r="BS338" s="23"/>
      <c r="BT338" s="17" t="s">
        <v>228</v>
      </c>
      <c r="BU338" s="23"/>
      <c r="BV338" s="13" t="s">
        <v>199</v>
      </c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9"/>
      <c r="CH338" s="15"/>
      <c r="CI338" s="19"/>
      <c r="CJ338" s="15"/>
      <c r="CK338" s="19"/>
      <c r="CL338" s="15"/>
      <c r="CM338" s="19"/>
      <c r="CN338" s="15"/>
      <c r="CO338" s="19"/>
      <c r="CP338" s="15"/>
      <c r="CQ338" s="15"/>
      <c r="CR338" s="15"/>
      <c r="CS338" s="19"/>
      <c r="CT338" s="15"/>
      <c r="CU338" s="19"/>
      <c r="CV338" s="15"/>
      <c r="CW338" s="19"/>
      <c r="CX338" s="15"/>
      <c r="CY338" s="19"/>
      <c r="CZ338" s="15"/>
      <c r="DA338" s="16" t="s">
        <v>197</v>
      </c>
      <c r="DB338" s="17" t="s">
        <v>228</v>
      </c>
      <c r="DC338" s="16"/>
      <c r="DD338" s="17" t="s">
        <v>228</v>
      </c>
      <c r="DE338" s="23"/>
      <c r="DF338" s="17" t="s">
        <v>228</v>
      </c>
      <c r="DG338" s="23"/>
      <c r="DH338" s="13" t="s">
        <v>205</v>
      </c>
      <c r="DI338" s="14" t="s">
        <v>179</v>
      </c>
      <c r="DJ338" s="14" t="s">
        <v>9838</v>
      </c>
      <c r="DK338" s="14" t="s">
        <v>179</v>
      </c>
      <c r="DL338" s="14" t="s">
        <v>9839</v>
      </c>
      <c r="DM338" s="15"/>
      <c r="DN338" s="15"/>
      <c r="DO338" s="15"/>
      <c r="DP338" s="15"/>
      <c r="DQ338" s="15"/>
      <c r="DR338" s="15"/>
      <c r="DS338" s="15"/>
      <c r="DT338" s="15"/>
      <c r="DU338" s="15"/>
      <c r="DV338" s="15"/>
      <c r="DW338" s="15"/>
      <c r="DX338" s="15"/>
      <c r="DY338" s="15"/>
      <c r="DZ338" s="15"/>
      <c r="EA338" s="15"/>
      <c r="EB338" s="15"/>
      <c r="EC338" s="16" t="s">
        <v>197</v>
      </c>
      <c r="ED338" s="17" t="s">
        <v>198</v>
      </c>
      <c r="EE338" s="18">
        <v>45695.57013888889</v>
      </c>
      <c r="EF338" s="13" t="s">
        <v>209</v>
      </c>
      <c r="EG338" s="14" t="s">
        <v>179</v>
      </c>
      <c r="EH338" s="14" t="s">
        <v>9840</v>
      </c>
      <c r="EI338" s="14" t="s">
        <v>179</v>
      </c>
      <c r="EJ338" s="14" t="s">
        <v>9840</v>
      </c>
      <c r="EK338" s="15"/>
      <c r="EL338" s="15"/>
      <c r="EM338" s="15"/>
      <c r="EN338" s="15"/>
      <c r="EO338" s="15"/>
      <c r="EP338" s="15"/>
      <c r="EQ338" s="15"/>
      <c r="ER338" s="15"/>
      <c r="ES338" s="15"/>
      <c r="ET338" s="15"/>
      <c r="EU338" s="15"/>
      <c r="EV338" s="15"/>
      <c r="EW338" s="15"/>
      <c r="EX338" s="15"/>
      <c r="EY338" s="15"/>
      <c r="EZ338" s="15"/>
      <c r="FA338" s="15"/>
      <c r="FB338" s="15"/>
      <c r="FC338" s="16" t="s">
        <v>197</v>
      </c>
      <c r="FD338" s="17" t="s">
        <v>198</v>
      </c>
      <c r="FE338" s="18">
        <v>45720.341898148145</v>
      </c>
      <c r="FF338" s="14" t="s">
        <v>9833</v>
      </c>
      <c r="FG338" s="19"/>
      <c r="FH338" s="17" t="s">
        <v>198</v>
      </c>
      <c r="FI338" s="17" t="s">
        <v>214</v>
      </c>
      <c r="FJ338" s="18">
        <v>45720.341898148145</v>
      </c>
      <c r="FK338" s="14" t="s">
        <v>9840</v>
      </c>
      <c r="FL338" s="14" t="s">
        <v>9841</v>
      </c>
      <c r="FM338" s="14" t="s">
        <v>9842</v>
      </c>
      <c r="FN338" s="19"/>
      <c r="FO338" s="19"/>
      <c r="FP338" s="19" t="str">
        <f t="shared" si="1"/>
        <v>Base de Dados_Images/FIC65018.Imagem do Equipamento-.164157.jpg</v>
      </c>
      <c r="FQ338" s="19"/>
      <c r="FR338" s="19"/>
    </row>
    <row r="339" ht="15.75" customHeight="1">
      <c r="A339" s="12" t="s">
        <v>234</v>
      </c>
      <c r="B339" s="12" t="s">
        <v>2743</v>
      </c>
      <c r="C339" s="24" t="s">
        <v>324</v>
      </c>
      <c r="D339" s="22" t="s">
        <v>9843</v>
      </c>
      <c r="E339" s="22" t="s">
        <v>9844</v>
      </c>
      <c r="F339" s="13" t="s">
        <v>178</v>
      </c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6" t="s">
        <v>197</v>
      </c>
      <c r="BP339" s="17" t="s">
        <v>228</v>
      </c>
      <c r="BQ339" s="23"/>
      <c r="BR339" s="17" t="s">
        <v>228</v>
      </c>
      <c r="BS339" s="23"/>
      <c r="BT339" s="17" t="s">
        <v>228</v>
      </c>
      <c r="BU339" s="23"/>
      <c r="BV339" s="13" t="s">
        <v>199</v>
      </c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9"/>
      <c r="CH339" s="15"/>
      <c r="CI339" s="19"/>
      <c r="CJ339" s="15"/>
      <c r="CK339" s="19"/>
      <c r="CL339" s="15"/>
      <c r="CM339" s="19"/>
      <c r="CN339" s="15"/>
      <c r="CO339" s="19"/>
      <c r="CP339" s="15"/>
      <c r="CQ339" s="15"/>
      <c r="CR339" s="15"/>
      <c r="CS339" s="19"/>
      <c r="CT339" s="15"/>
      <c r="CU339" s="19"/>
      <c r="CV339" s="15"/>
      <c r="CW339" s="19"/>
      <c r="CX339" s="15"/>
      <c r="CY339" s="19"/>
      <c r="CZ339" s="15"/>
      <c r="DA339" s="16" t="s">
        <v>197</v>
      </c>
      <c r="DB339" s="17" t="s">
        <v>228</v>
      </c>
      <c r="DC339" s="16"/>
      <c r="DD339" s="17" t="s">
        <v>228</v>
      </c>
      <c r="DE339" s="23"/>
      <c r="DF339" s="17" t="s">
        <v>228</v>
      </c>
      <c r="DG339" s="23"/>
      <c r="DH339" s="13" t="s">
        <v>205</v>
      </c>
      <c r="DI339" s="14" t="s">
        <v>179</v>
      </c>
      <c r="DJ339" s="14" t="s">
        <v>9845</v>
      </c>
      <c r="DK339" s="14" t="s">
        <v>179</v>
      </c>
      <c r="DL339" s="14" t="s">
        <v>9845</v>
      </c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6" t="s">
        <v>197</v>
      </c>
      <c r="ED339" s="17" t="s">
        <v>198</v>
      </c>
      <c r="EE339" s="18">
        <v>45713.420011574075</v>
      </c>
      <c r="EF339" s="13" t="s">
        <v>209</v>
      </c>
      <c r="EG339" s="14" t="s">
        <v>179</v>
      </c>
      <c r="EH339" s="14" t="s">
        <v>9846</v>
      </c>
      <c r="EI339" s="14" t="s">
        <v>179</v>
      </c>
      <c r="EJ339" s="14" t="s">
        <v>9846</v>
      </c>
      <c r="EK339" s="15"/>
      <c r="EL339" s="15"/>
      <c r="EM339" s="15"/>
      <c r="EN339" s="15"/>
      <c r="EO339" s="15"/>
      <c r="EP339" s="15"/>
      <c r="EQ339" s="15"/>
      <c r="ER339" s="15"/>
      <c r="ES339" s="15"/>
      <c r="ET339" s="15"/>
      <c r="EU339" s="15"/>
      <c r="EV339" s="15"/>
      <c r="EW339" s="15"/>
      <c r="EX339" s="15"/>
      <c r="EY339" s="15"/>
      <c r="EZ339" s="15"/>
      <c r="FA339" s="15"/>
      <c r="FB339" s="15"/>
      <c r="FC339" s="16" t="s">
        <v>197</v>
      </c>
      <c r="FD339" s="17" t="s">
        <v>198</v>
      </c>
      <c r="FE339" s="18">
        <v>45720.34195601852</v>
      </c>
      <c r="FF339" s="14" t="s">
        <v>9833</v>
      </c>
      <c r="FG339" s="19"/>
      <c r="FH339" s="17" t="s">
        <v>198</v>
      </c>
      <c r="FI339" s="17" t="s">
        <v>214</v>
      </c>
      <c r="FJ339" s="18">
        <v>45720.34195601852</v>
      </c>
      <c r="FK339" s="14" t="s">
        <v>9846</v>
      </c>
      <c r="FL339" s="14" t="s">
        <v>9847</v>
      </c>
      <c r="FM339" s="14" t="s">
        <v>9848</v>
      </c>
      <c r="FN339" s="19"/>
      <c r="FO339" s="19"/>
      <c r="FP339" s="19" t="str">
        <f t="shared" si="1"/>
        <v>Base de Dados_Images/FIC65018A.Imagem do Equipamento-.164415.jpg</v>
      </c>
      <c r="FQ339" s="19"/>
      <c r="FR339" s="19"/>
    </row>
    <row r="340" ht="15.75" customHeight="1">
      <c r="A340" s="12" t="s">
        <v>234</v>
      </c>
      <c r="B340" s="12" t="s">
        <v>2743</v>
      </c>
      <c r="C340" s="24" t="s">
        <v>324</v>
      </c>
      <c r="D340" s="22" t="s">
        <v>9849</v>
      </c>
      <c r="E340" s="22" t="s">
        <v>9850</v>
      </c>
      <c r="F340" s="13" t="s">
        <v>178</v>
      </c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6" t="s">
        <v>197</v>
      </c>
      <c r="BP340" s="17" t="s">
        <v>228</v>
      </c>
      <c r="BQ340" s="23"/>
      <c r="BR340" s="17" t="s">
        <v>228</v>
      </c>
      <c r="BS340" s="23"/>
      <c r="BT340" s="17" t="s">
        <v>228</v>
      </c>
      <c r="BU340" s="23"/>
      <c r="BV340" s="13" t="s">
        <v>199</v>
      </c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9"/>
      <c r="CH340" s="15"/>
      <c r="CI340" s="19"/>
      <c r="CJ340" s="15"/>
      <c r="CK340" s="19"/>
      <c r="CL340" s="15"/>
      <c r="CM340" s="19"/>
      <c r="CN340" s="15"/>
      <c r="CO340" s="19"/>
      <c r="CP340" s="15"/>
      <c r="CQ340" s="15"/>
      <c r="CR340" s="15"/>
      <c r="CS340" s="19"/>
      <c r="CT340" s="15"/>
      <c r="CU340" s="19"/>
      <c r="CV340" s="15"/>
      <c r="CW340" s="19"/>
      <c r="CX340" s="15"/>
      <c r="CY340" s="19"/>
      <c r="CZ340" s="15"/>
      <c r="DA340" s="16" t="s">
        <v>197</v>
      </c>
      <c r="DB340" s="17" t="s">
        <v>228</v>
      </c>
      <c r="DC340" s="16"/>
      <c r="DD340" s="17" t="s">
        <v>228</v>
      </c>
      <c r="DE340" s="23"/>
      <c r="DF340" s="17" t="s">
        <v>228</v>
      </c>
      <c r="DG340" s="23"/>
      <c r="DH340" s="13" t="s">
        <v>205</v>
      </c>
      <c r="DI340" s="14" t="s">
        <v>179</v>
      </c>
      <c r="DJ340" s="14" t="s">
        <v>9851</v>
      </c>
      <c r="DK340" s="14" t="s">
        <v>179</v>
      </c>
      <c r="DL340" s="14" t="s">
        <v>9852</v>
      </c>
      <c r="DM340" s="15"/>
      <c r="DN340" s="15"/>
      <c r="DO340" s="15"/>
      <c r="DP340" s="15"/>
      <c r="DQ340" s="15"/>
      <c r="DR340" s="15"/>
      <c r="DS340" s="15"/>
      <c r="DT340" s="15"/>
      <c r="DU340" s="15"/>
      <c r="DV340" s="15"/>
      <c r="DW340" s="15"/>
      <c r="DX340" s="15"/>
      <c r="DY340" s="15"/>
      <c r="DZ340" s="15"/>
      <c r="EA340" s="15"/>
      <c r="EB340" s="15"/>
      <c r="EC340" s="16" t="s">
        <v>197</v>
      </c>
      <c r="ED340" s="17" t="s">
        <v>198</v>
      </c>
      <c r="EE340" s="18">
        <v>45713.42008101852</v>
      </c>
      <c r="EF340" s="13" t="s">
        <v>209</v>
      </c>
      <c r="EG340" s="14" t="s">
        <v>179</v>
      </c>
      <c r="EH340" s="14" t="s">
        <v>9853</v>
      </c>
      <c r="EI340" s="14" t="s">
        <v>179</v>
      </c>
      <c r="EJ340" s="14" t="s">
        <v>9854</v>
      </c>
      <c r="EK340" s="15"/>
      <c r="EL340" s="15"/>
      <c r="EM340" s="15"/>
      <c r="EN340" s="15"/>
      <c r="EO340" s="15"/>
      <c r="EP340" s="15"/>
      <c r="EQ340" s="15"/>
      <c r="ER340" s="15"/>
      <c r="ES340" s="15"/>
      <c r="ET340" s="15"/>
      <c r="EU340" s="15"/>
      <c r="EV340" s="15"/>
      <c r="EW340" s="15"/>
      <c r="EX340" s="15"/>
      <c r="EY340" s="15"/>
      <c r="EZ340" s="15"/>
      <c r="FA340" s="15"/>
      <c r="FB340" s="15"/>
      <c r="FC340" s="16" t="s">
        <v>197</v>
      </c>
      <c r="FD340" s="17" t="s">
        <v>198</v>
      </c>
      <c r="FE340" s="18">
        <v>45720.34217592593</v>
      </c>
      <c r="FF340" s="14" t="s">
        <v>9833</v>
      </c>
      <c r="FG340" s="19"/>
      <c r="FH340" s="17" t="s">
        <v>198</v>
      </c>
      <c r="FI340" s="17" t="s">
        <v>214</v>
      </c>
      <c r="FJ340" s="18">
        <v>45720.34217592593</v>
      </c>
      <c r="FK340" s="14" t="s">
        <v>9854</v>
      </c>
      <c r="FL340" s="14" t="s">
        <v>9855</v>
      </c>
      <c r="FM340" s="14" t="s">
        <v>9856</v>
      </c>
      <c r="FN340" s="19"/>
      <c r="FO340" s="19"/>
      <c r="FP340" s="19" t="str">
        <f t="shared" si="1"/>
        <v>Base de Dados_Images/FIC65018B.Imagem do Equipamento-.164515.jpg</v>
      </c>
      <c r="FQ340" s="19"/>
      <c r="FR340" s="19"/>
    </row>
    <row r="341" ht="15.75" customHeight="1">
      <c r="A341" s="12" t="s">
        <v>234</v>
      </c>
      <c r="B341" s="12" t="s">
        <v>2779</v>
      </c>
      <c r="C341" s="24" t="s">
        <v>324</v>
      </c>
      <c r="D341" s="22" t="s">
        <v>9857</v>
      </c>
      <c r="E341" s="22" t="s">
        <v>9858</v>
      </c>
      <c r="F341" s="13" t="s">
        <v>178</v>
      </c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6" t="s">
        <v>197</v>
      </c>
      <c r="BP341" s="17" t="s">
        <v>228</v>
      </c>
      <c r="BQ341" s="23"/>
      <c r="BR341" s="17" t="s">
        <v>228</v>
      </c>
      <c r="BS341" s="23"/>
      <c r="BT341" s="17" t="s">
        <v>228</v>
      </c>
      <c r="BU341" s="23"/>
      <c r="BV341" s="13" t="s">
        <v>199</v>
      </c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9"/>
      <c r="CH341" s="15"/>
      <c r="CI341" s="19"/>
      <c r="CJ341" s="15"/>
      <c r="CK341" s="19"/>
      <c r="CL341" s="15"/>
      <c r="CM341" s="19"/>
      <c r="CN341" s="15"/>
      <c r="CO341" s="19"/>
      <c r="CP341" s="15"/>
      <c r="CQ341" s="15"/>
      <c r="CR341" s="15"/>
      <c r="CS341" s="19"/>
      <c r="CT341" s="15"/>
      <c r="CU341" s="19"/>
      <c r="CV341" s="15"/>
      <c r="CW341" s="19"/>
      <c r="CX341" s="15"/>
      <c r="CY341" s="19"/>
      <c r="CZ341" s="15"/>
      <c r="DA341" s="16" t="s">
        <v>197</v>
      </c>
      <c r="DB341" s="17" t="s">
        <v>228</v>
      </c>
      <c r="DC341" s="16"/>
      <c r="DD341" s="17" t="s">
        <v>228</v>
      </c>
      <c r="DE341" s="23"/>
      <c r="DF341" s="17" t="s">
        <v>228</v>
      </c>
      <c r="DG341" s="23"/>
      <c r="DH341" s="13" t="s">
        <v>205</v>
      </c>
      <c r="DI341" s="14" t="s">
        <v>179</v>
      </c>
      <c r="DJ341" s="14" t="s">
        <v>9859</v>
      </c>
      <c r="DK341" s="14" t="s">
        <v>179</v>
      </c>
      <c r="DL341" s="14" t="s">
        <v>9860</v>
      </c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6" t="s">
        <v>197</v>
      </c>
      <c r="ED341" s="17" t="s">
        <v>198</v>
      </c>
      <c r="EE341" s="18">
        <v>45713.422789351855</v>
      </c>
      <c r="EF341" s="13" t="s">
        <v>209</v>
      </c>
      <c r="EG341" s="14" t="s">
        <v>179</v>
      </c>
      <c r="EH341" s="14" t="s">
        <v>9861</v>
      </c>
      <c r="EI341" s="14" t="s">
        <v>179</v>
      </c>
      <c r="EJ341" s="14" t="s">
        <v>9861</v>
      </c>
      <c r="EK341" s="15"/>
      <c r="EL341" s="15"/>
      <c r="EM341" s="15"/>
      <c r="EN341" s="15"/>
      <c r="EO341" s="15"/>
      <c r="EP341" s="15"/>
      <c r="EQ341" s="15"/>
      <c r="ER341" s="15"/>
      <c r="ES341" s="15"/>
      <c r="ET341" s="15"/>
      <c r="EU341" s="15"/>
      <c r="EV341" s="15"/>
      <c r="EW341" s="15"/>
      <c r="EX341" s="15"/>
      <c r="EY341" s="15"/>
      <c r="EZ341" s="15"/>
      <c r="FA341" s="15"/>
      <c r="FB341" s="15"/>
      <c r="FC341" s="16" t="s">
        <v>197</v>
      </c>
      <c r="FD341" s="17" t="s">
        <v>198</v>
      </c>
      <c r="FE341" s="18">
        <v>45720.33289351852</v>
      </c>
      <c r="FF341" s="14" t="s">
        <v>9833</v>
      </c>
      <c r="FG341" s="19"/>
      <c r="FH341" s="17" t="s">
        <v>198</v>
      </c>
      <c r="FI341" s="17" t="s">
        <v>214</v>
      </c>
      <c r="FJ341" s="18">
        <v>45720.33289351852</v>
      </c>
      <c r="FK341" s="14" t="s">
        <v>9861</v>
      </c>
      <c r="FL341" s="14" t="s">
        <v>9862</v>
      </c>
      <c r="FM341" s="14" t="s">
        <v>9863</v>
      </c>
      <c r="FN341" s="19"/>
      <c r="FO341" s="19"/>
      <c r="FP341" s="19" t="str">
        <f t="shared" si="1"/>
        <v>Base de Dados_Images/FIC65019.Imagem do Equipamento-.164628.jpg</v>
      </c>
      <c r="FQ341" s="19"/>
      <c r="FR341" s="19"/>
    </row>
    <row r="342" ht="15.75" customHeight="1">
      <c r="A342" s="12" t="s">
        <v>234</v>
      </c>
      <c r="B342" s="12" t="s">
        <v>2779</v>
      </c>
      <c r="C342" s="24" t="s">
        <v>324</v>
      </c>
      <c r="D342" s="22" t="s">
        <v>9864</v>
      </c>
      <c r="E342" s="22" t="s">
        <v>9865</v>
      </c>
      <c r="F342" s="13" t="s">
        <v>178</v>
      </c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6" t="s">
        <v>197</v>
      </c>
      <c r="BP342" s="17" t="s">
        <v>228</v>
      </c>
      <c r="BQ342" s="23"/>
      <c r="BR342" s="17" t="s">
        <v>228</v>
      </c>
      <c r="BS342" s="23"/>
      <c r="BT342" s="17" t="s">
        <v>228</v>
      </c>
      <c r="BU342" s="23"/>
      <c r="BV342" s="13" t="s">
        <v>199</v>
      </c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9"/>
      <c r="CH342" s="15"/>
      <c r="CI342" s="19"/>
      <c r="CJ342" s="15"/>
      <c r="CK342" s="19"/>
      <c r="CL342" s="15"/>
      <c r="CM342" s="19"/>
      <c r="CN342" s="15"/>
      <c r="CO342" s="19"/>
      <c r="CP342" s="15"/>
      <c r="CQ342" s="15"/>
      <c r="CR342" s="15"/>
      <c r="CS342" s="19"/>
      <c r="CT342" s="15"/>
      <c r="CU342" s="19"/>
      <c r="CV342" s="15"/>
      <c r="CW342" s="19"/>
      <c r="CX342" s="15"/>
      <c r="CY342" s="19"/>
      <c r="CZ342" s="15"/>
      <c r="DA342" s="16" t="s">
        <v>197</v>
      </c>
      <c r="DB342" s="17" t="s">
        <v>228</v>
      </c>
      <c r="DC342" s="16"/>
      <c r="DD342" s="17" t="s">
        <v>228</v>
      </c>
      <c r="DE342" s="23"/>
      <c r="DF342" s="17" t="s">
        <v>228</v>
      </c>
      <c r="DG342" s="23"/>
      <c r="DH342" s="13" t="s">
        <v>205</v>
      </c>
      <c r="DI342" s="14" t="s">
        <v>179</v>
      </c>
      <c r="DJ342" s="14" t="s">
        <v>9866</v>
      </c>
      <c r="DK342" s="14" t="s">
        <v>179</v>
      </c>
      <c r="DL342" s="14" t="s">
        <v>9867</v>
      </c>
      <c r="DM342" s="15"/>
      <c r="DN342" s="15"/>
      <c r="DO342" s="15"/>
      <c r="DP342" s="15"/>
      <c r="DQ342" s="15"/>
      <c r="DR342" s="15"/>
      <c r="DS342" s="15"/>
      <c r="DT342" s="15"/>
      <c r="DU342" s="15"/>
      <c r="DV342" s="15"/>
      <c r="DW342" s="15"/>
      <c r="DX342" s="15"/>
      <c r="DY342" s="15"/>
      <c r="DZ342" s="15"/>
      <c r="EA342" s="15"/>
      <c r="EB342" s="15"/>
      <c r="EC342" s="16" t="s">
        <v>197</v>
      </c>
      <c r="ED342" s="17" t="s">
        <v>198</v>
      </c>
      <c r="EE342" s="18">
        <v>45713.42302083333</v>
      </c>
      <c r="EF342" s="13" t="s">
        <v>209</v>
      </c>
      <c r="EG342" s="14" t="s">
        <v>179</v>
      </c>
      <c r="EH342" s="14" t="s">
        <v>9868</v>
      </c>
      <c r="EI342" s="14" t="s">
        <v>179</v>
      </c>
      <c r="EJ342" s="14" t="s">
        <v>9869</v>
      </c>
      <c r="EK342" s="15"/>
      <c r="EL342" s="15"/>
      <c r="EM342" s="15"/>
      <c r="EN342" s="15"/>
      <c r="EO342" s="15"/>
      <c r="EP342" s="15"/>
      <c r="EQ342" s="15"/>
      <c r="ER342" s="15"/>
      <c r="ES342" s="15"/>
      <c r="ET342" s="15"/>
      <c r="EU342" s="15"/>
      <c r="EV342" s="15"/>
      <c r="EW342" s="15"/>
      <c r="EX342" s="15"/>
      <c r="EY342" s="15"/>
      <c r="EZ342" s="15"/>
      <c r="FA342" s="15"/>
      <c r="FB342" s="15"/>
      <c r="FC342" s="16" t="s">
        <v>197</v>
      </c>
      <c r="FD342" s="17" t="s">
        <v>198</v>
      </c>
      <c r="FE342" s="18">
        <v>45720.332974537036</v>
      </c>
      <c r="FF342" s="14" t="s">
        <v>9833</v>
      </c>
      <c r="FG342" s="19"/>
      <c r="FH342" s="17" t="s">
        <v>198</v>
      </c>
      <c r="FI342" s="17" t="s">
        <v>214</v>
      </c>
      <c r="FJ342" s="18">
        <v>45720.332974537036</v>
      </c>
      <c r="FK342" s="14" t="s">
        <v>9869</v>
      </c>
      <c r="FL342" s="14" t="s">
        <v>9870</v>
      </c>
      <c r="FM342" s="14" t="s">
        <v>9871</v>
      </c>
      <c r="FN342" s="19"/>
      <c r="FO342" s="19"/>
      <c r="FP342" s="19" t="str">
        <f t="shared" si="1"/>
        <v>Base de Dados_Images/FIC65019A.Imagem do Equipamento-.164949.jpg</v>
      </c>
      <c r="FQ342" s="19"/>
      <c r="FR342" s="19"/>
    </row>
    <row r="343" ht="15.75" customHeight="1">
      <c r="A343" s="12" t="s">
        <v>234</v>
      </c>
      <c r="B343" s="12" t="s">
        <v>2779</v>
      </c>
      <c r="C343" s="24" t="s">
        <v>324</v>
      </c>
      <c r="D343" s="22" t="s">
        <v>9872</v>
      </c>
      <c r="E343" s="22" t="s">
        <v>9873</v>
      </c>
      <c r="F343" s="13" t="s">
        <v>178</v>
      </c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6" t="s">
        <v>197</v>
      </c>
      <c r="BP343" s="17" t="s">
        <v>228</v>
      </c>
      <c r="BQ343" s="23"/>
      <c r="BR343" s="17" t="s">
        <v>228</v>
      </c>
      <c r="BS343" s="23"/>
      <c r="BT343" s="17" t="s">
        <v>228</v>
      </c>
      <c r="BU343" s="23"/>
      <c r="BV343" s="13" t="s">
        <v>199</v>
      </c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9"/>
      <c r="CH343" s="15"/>
      <c r="CI343" s="19"/>
      <c r="CJ343" s="15"/>
      <c r="CK343" s="19"/>
      <c r="CL343" s="15"/>
      <c r="CM343" s="19"/>
      <c r="CN343" s="15"/>
      <c r="CO343" s="19"/>
      <c r="CP343" s="15"/>
      <c r="CQ343" s="15"/>
      <c r="CR343" s="15"/>
      <c r="CS343" s="19"/>
      <c r="CT343" s="15"/>
      <c r="CU343" s="19"/>
      <c r="CV343" s="15"/>
      <c r="CW343" s="19"/>
      <c r="CX343" s="15"/>
      <c r="CY343" s="19"/>
      <c r="CZ343" s="15"/>
      <c r="DA343" s="16" t="s">
        <v>197</v>
      </c>
      <c r="DB343" s="17" t="s">
        <v>228</v>
      </c>
      <c r="DC343" s="16"/>
      <c r="DD343" s="17" t="s">
        <v>228</v>
      </c>
      <c r="DE343" s="23"/>
      <c r="DF343" s="17" t="s">
        <v>228</v>
      </c>
      <c r="DG343" s="23"/>
      <c r="DH343" s="13" t="s">
        <v>205</v>
      </c>
      <c r="DI343" s="14" t="s">
        <v>179</v>
      </c>
      <c r="DJ343" s="14" t="s">
        <v>9874</v>
      </c>
      <c r="DK343" s="14" t="s">
        <v>179</v>
      </c>
      <c r="DL343" s="14" t="s">
        <v>9874</v>
      </c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6" t="s">
        <v>197</v>
      </c>
      <c r="ED343" s="17" t="s">
        <v>198</v>
      </c>
      <c r="EE343" s="18">
        <v>45713.4230787037</v>
      </c>
      <c r="EF343" s="13" t="s">
        <v>209</v>
      </c>
      <c r="EG343" s="14" t="s">
        <v>179</v>
      </c>
      <c r="EH343" s="14" t="s">
        <v>9875</v>
      </c>
      <c r="EI343" s="14" t="s">
        <v>179</v>
      </c>
      <c r="EJ343" s="14" t="s">
        <v>9876</v>
      </c>
      <c r="EK343" s="15"/>
      <c r="EL343" s="15"/>
      <c r="EM343" s="15"/>
      <c r="EN343" s="15"/>
      <c r="EO343" s="15"/>
      <c r="EP343" s="15"/>
      <c r="EQ343" s="15"/>
      <c r="ER343" s="15"/>
      <c r="ES343" s="15"/>
      <c r="ET343" s="15"/>
      <c r="EU343" s="15"/>
      <c r="EV343" s="15"/>
      <c r="EW343" s="15"/>
      <c r="EX343" s="15"/>
      <c r="EY343" s="15"/>
      <c r="EZ343" s="15"/>
      <c r="FA343" s="15"/>
      <c r="FB343" s="15"/>
      <c r="FC343" s="16" t="s">
        <v>197</v>
      </c>
      <c r="FD343" s="17" t="s">
        <v>198</v>
      </c>
      <c r="FE343" s="18">
        <v>45720.33304398148</v>
      </c>
      <c r="FF343" s="14" t="s">
        <v>9833</v>
      </c>
      <c r="FG343" s="19"/>
      <c r="FH343" s="17" t="s">
        <v>198</v>
      </c>
      <c r="FI343" s="17" t="s">
        <v>214</v>
      </c>
      <c r="FJ343" s="18">
        <v>45720.33304398148</v>
      </c>
      <c r="FK343" s="14" t="s">
        <v>9876</v>
      </c>
      <c r="FL343" s="14" t="s">
        <v>9877</v>
      </c>
      <c r="FM343" s="14" t="s">
        <v>9878</v>
      </c>
      <c r="FN343" s="19"/>
      <c r="FO343" s="19"/>
      <c r="FP343" s="19" t="str">
        <f t="shared" si="1"/>
        <v>Base de Dados_Images/FIC65019B.Imagem do Equipamento-.165020.jpg</v>
      </c>
      <c r="FQ343" s="19"/>
      <c r="FR343" s="19"/>
    </row>
    <row r="344" ht="15.75" customHeight="1">
      <c r="A344" s="12" t="s">
        <v>234</v>
      </c>
      <c r="B344" s="12" t="s">
        <v>2816</v>
      </c>
      <c r="C344" s="24" t="s">
        <v>324</v>
      </c>
      <c r="D344" s="22" t="s">
        <v>9879</v>
      </c>
      <c r="E344" s="22" t="s">
        <v>9880</v>
      </c>
      <c r="F344" s="13" t="s">
        <v>178</v>
      </c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6" t="s">
        <v>197</v>
      </c>
      <c r="BP344" s="17" t="s">
        <v>228</v>
      </c>
      <c r="BQ344" s="23"/>
      <c r="BR344" s="17" t="s">
        <v>228</v>
      </c>
      <c r="BS344" s="23"/>
      <c r="BT344" s="17" t="s">
        <v>228</v>
      </c>
      <c r="BU344" s="23"/>
      <c r="BV344" s="13" t="s">
        <v>199</v>
      </c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9"/>
      <c r="CH344" s="15"/>
      <c r="CI344" s="19"/>
      <c r="CJ344" s="15"/>
      <c r="CK344" s="19"/>
      <c r="CL344" s="15"/>
      <c r="CM344" s="19"/>
      <c r="CN344" s="15"/>
      <c r="CO344" s="19"/>
      <c r="CP344" s="15"/>
      <c r="CQ344" s="15"/>
      <c r="CR344" s="15"/>
      <c r="CS344" s="19"/>
      <c r="CT344" s="15"/>
      <c r="CU344" s="19"/>
      <c r="CV344" s="15"/>
      <c r="CW344" s="19"/>
      <c r="CX344" s="15"/>
      <c r="CY344" s="19"/>
      <c r="CZ344" s="15"/>
      <c r="DA344" s="16" t="s">
        <v>197</v>
      </c>
      <c r="DB344" s="17" t="s">
        <v>228</v>
      </c>
      <c r="DC344" s="16"/>
      <c r="DD344" s="17" t="s">
        <v>228</v>
      </c>
      <c r="DE344" s="23"/>
      <c r="DF344" s="17" t="s">
        <v>228</v>
      </c>
      <c r="DG344" s="23"/>
      <c r="DH344" s="13" t="s">
        <v>205</v>
      </c>
      <c r="DI344" s="14" t="s">
        <v>179</v>
      </c>
      <c r="DJ344" s="14" t="s">
        <v>9881</v>
      </c>
      <c r="DK344" s="14" t="s">
        <v>179</v>
      </c>
      <c r="DL344" s="14" t="s">
        <v>9881</v>
      </c>
      <c r="DM344" s="15"/>
      <c r="DN344" s="15"/>
      <c r="DO344" s="15"/>
      <c r="DP344" s="15"/>
      <c r="DQ344" s="15"/>
      <c r="DR344" s="15"/>
      <c r="DS344" s="15"/>
      <c r="DT344" s="15"/>
      <c r="DU344" s="15"/>
      <c r="DV344" s="15"/>
      <c r="DW344" s="15"/>
      <c r="DX344" s="15"/>
      <c r="DY344" s="15"/>
      <c r="DZ344" s="15"/>
      <c r="EA344" s="15"/>
      <c r="EB344" s="15"/>
      <c r="EC344" s="16" t="s">
        <v>197</v>
      </c>
      <c r="ED344" s="17" t="s">
        <v>198</v>
      </c>
      <c r="EE344" s="18">
        <v>45713.41831018519</v>
      </c>
      <c r="EF344" s="13" t="s">
        <v>209</v>
      </c>
      <c r="EG344" s="14" t="s">
        <v>179</v>
      </c>
      <c r="EH344" s="14" t="s">
        <v>9882</v>
      </c>
      <c r="EI344" s="14" t="s">
        <v>179</v>
      </c>
      <c r="EJ344" s="14" t="s">
        <v>9882</v>
      </c>
      <c r="EK344" s="15"/>
      <c r="EL344" s="15"/>
      <c r="EM344" s="15"/>
      <c r="EN344" s="15"/>
      <c r="EO344" s="15"/>
      <c r="EP344" s="15"/>
      <c r="EQ344" s="15"/>
      <c r="ER344" s="15"/>
      <c r="ES344" s="15"/>
      <c r="ET344" s="15"/>
      <c r="EU344" s="15"/>
      <c r="EV344" s="15"/>
      <c r="EW344" s="15"/>
      <c r="EX344" s="15"/>
      <c r="EY344" s="15"/>
      <c r="EZ344" s="15"/>
      <c r="FA344" s="15"/>
      <c r="FB344" s="15"/>
      <c r="FC344" s="16" t="s">
        <v>197</v>
      </c>
      <c r="FD344" s="17" t="s">
        <v>198</v>
      </c>
      <c r="FE344" s="18">
        <v>45720.3434837963</v>
      </c>
      <c r="FF344" s="14" t="s">
        <v>9833</v>
      </c>
      <c r="FG344" s="19"/>
      <c r="FH344" s="17" t="s">
        <v>198</v>
      </c>
      <c r="FI344" s="17" t="s">
        <v>214</v>
      </c>
      <c r="FJ344" s="18">
        <v>45720.3434837963</v>
      </c>
      <c r="FK344" s="14" t="s">
        <v>9882</v>
      </c>
      <c r="FL344" s="14" t="s">
        <v>9883</v>
      </c>
      <c r="FM344" s="14" t="s">
        <v>9884</v>
      </c>
      <c r="FN344" s="19"/>
      <c r="FO344" s="19"/>
      <c r="FP344" s="19" t="str">
        <f t="shared" si="1"/>
        <v>Base de Dados_Images/FIC65020.Imagem do Equipamento-.165119.jpg</v>
      </c>
      <c r="FQ344" s="19"/>
      <c r="FR344" s="19"/>
    </row>
    <row r="345" ht="15.75" customHeight="1">
      <c r="A345" s="12" t="s">
        <v>234</v>
      </c>
      <c r="B345" s="12" t="s">
        <v>2816</v>
      </c>
      <c r="C345" s="24" t="s">
        <v>324</v>
      </c>
      <c r="D345" s="22" t="s">
        <v>9885</v>
      </c>
      <c r="E345" s="22" t="s">
        <v>9886</v>
      </c>
      <c r="F345" s="13" t="s">
        <v>178</v>
      </c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6" t="s">
        <v>197</v>
      </c>
      <c r="BP345" s="17" t="s">
        <v>228</v>
      </c>
      <c r="BQ345" s="23"/>
      <c r="BR345" s="17" t="s">
        <v>228</v>
      </c>
      <c r="BS345" s="23"/>
      <c r="BT345" s="17" t="s">
        <v>228</v>
      </c>
      <c r="BU345" s="23"/>
      <c r="BV345" s="13" t="s">
        <v>199</v>
      </c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9"/>
      <c r="CH345" s="15"/>
      <c r="CI345" s="19"/>
      <c r="CJ345" s="15"/>
      <c r="CK345" s="19"/>
      <c r="CL345" s="15"/>
      <c r="CM345" s="19"/>
      <c r="CN345" s="15"/>
      <c r="CO345" s="19"/>
      <c r="CP345" s="15"/>
      <c r="CQ345" s="15"/>
      <c r="CR345" s="15"/>
      <c r="CS345" s="19"/>
      <c r="CT345" s="15"/>
      <c r="CU345" s="19"/>
      <c r="CV345" s="15"/>
      <c r="CW345" s="19"/>
      <c r="CX345" s="15"/>
      <c r="CY345" s="19"/>
      <c r="CZ345" s="15"/>
      <c r="DA345" s="16" t="s">
        <v>197</v>
      </c>
      <c r="DB345" s="17" t="s">
        <v>228</v>
      </c>
      <c r="DC345" s="16"/>
      <c r="DD345" s="17" t="s">
        <v>228</v>
      </c>
      <c r="DE345" s="23"/>
      <c r="DF345" s="17" t="s">
        <v>228</v>
      </c>
      <c r="DG345" s="23"/>
      <c r="DH345" s="13" t="s">
        <v>205</v>
      </c>
      <c r="DI345" s="14" t="s">
        <v>179</v>
      </c>
      <c r="DJ345" s="14" t="s">
        <v>9887</v>
      </c>
      <c r="DK345" s="14" t="s">
        <v>179</v>
      </c>
      <c r="DL345" s="14" t="s">
        <v>9888</v>
      </c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6" t="s">
        <v>197</v>
      </c>
      <c r="ED345" s="17" t="s">
        <v>198</v>
      </c>
      <c r="EE345" s="18">
        <v>45713.418078703704</v>
      </c>
      <c r="EF345" s="13" t="s">
        <v>209</v>
      </c>
      <c r="EG345" s="14" t="s">
        <v>179</v>
      </c>
      <c r="EH345" s="14" t="s">
        <v>9889</v>
      </c>
      <c r="EI345" s="14" t="s">
        <v>179</v>
      </c>
      <c r="EJ345" s="14" t="s">
        <v>9890</v>
      </c>
      <c r="EK345" s="15"/>
      <c r="EL345" s="15"/>
      <c r="EM345" s="15"/>
      <c r="EN345" s="15"/>
      <c r="EO345" s="15"/>
      <c r="EP345" s="15"/>
      <c r="EQ345" s="15"/>
      <c r="ER345" s="15"/>
      <c r="ES345" s="15"/>
      <c r="ET345" s="15"/>
      <c r="EU345" s="15"/>
      <c r="EV345" s="15"/>
      <c r="EW345" s="15"/>
      <c r="EX345" s="15"/>
      <c r="EY345" s="15"/>
      <c r="EZ345" s="15"/>
      <c r="FA345" s="15"/>
      <c r="FB345" s="15"/>
      <c r="FC345" s="16" t="s">
        <v>197</v>
      </c>
      <c r="FD345" s="17" t="s">
        <v>198</v>
      </c>
      <c r="FE345" s="18">
        <v>45720.34357638889</v>
      </c>
      <c r="FF345" s="14" t="s">
        <v>9833</v>
      </c>
      <c r="FG345" s="19"/>
      <c r="FH345" s="17" t="s">
        <v>198</v>
      </c>
      <c r="FI345" s="17" t="s">
        <v>214</v>
      </c>
      <c r="FJ345" s="18">
        <v>45720.34357638889</v>
      </c>
      <c r="FK345" s="14" t="s">
        <v>9890</v>
      </c>
      <c r="FL345" s="14" t="s">
        <v>9891</v>
      </c>
      <c r="FM345" s="14" t="s">
        <v>9892</v>
      </c>
      <c r="FN345" s="19"/>
      <c r="FO345" s="19"/>
      <c r="FP345" s="19" t="str">
        <f t="shared" si="1"/>
        <v>Base de Dados_Images/FIC65020A.Imagem do Equipamento-.165237.jpg</v>
      </c>
      <c r="FQ345" s="19"/>
      <c r="FR345" s="19"/>
    </row>
    <row r="346" ht="15.75" customHeight="1">
      <c r="A346" s="12" t="s">
        <v>234</v>
      </c>
      <c r="B346" s="12" t="s">
        <v>2816</v>
      </c>
      <c r="C346" s="24" t="s">
        <v>324</v>
      </c>
      <c r="D346" s="22" t="s">
        <v>9893</v>
      </c>
      <c r="E346" s="22" t="s">
        <v>9894</v>
      </c>
      <c r="F346" s="13" t="s">
        <v>178</v>
      </c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6" t="s">
        <v>197</v>
      </c>
      <c r="BP346" s="17" t="s">
        <v>228</v>
      </c>
      <c r="BQ346" s="23"/>
      <c r="BR346" s="17" t="s">
        <v>228</v>
      </c>
      <c r="BS346" s="23"/>
      <c r="BT346" s="17" t="s">
        <v>228</v>
      </c>
      <c r="BU346" s="23"/>
      <c r="BV346" s="13" t="s">
        <v>199</v>
      </c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9"/>
      <c r="CH346" s="15"/>
      <c r="CI346" s="19"/>
      <c r="CJ346" s="15"/>
      <c r="CK346" s="19"/>
      <c r="CL346" s="15"/>
      <c r="CM346" s="19"/>
      <c r="CN346" s="15"/>
      <c r="CO346" s="19"/>
      <c r="CP346" s="15"/>
      <c r="CQ346" s="15"/>
      <c r="CR346" s="15"/>
      <c r="CS346" s="19"/>
      <c r="CT346" s="15"/>
      <c r="CU346" s="19"/>
      <c r="CV346" s="15"/>
      <c r="CW346" s="19"/>
      <c r="CX346" s="15"/>
      <c r="CY346" s="19"/>
      <c r="CZ346" s="15"/>
      <c r="DA346" s="16" t="s">
        <v>197</v>
      </c>
      <c r="DB346" s="17" t="s">
        <v>228</v>
      </c>
      <c r="DC346" s="16"/>
      <c r="DD346" s="17" t="s">
        <v>228</v>
      </c>
      <c r="DE346" s="23"/>
      <c r="DF346" s="17" t="s">
        <v>228</v>
      </c>
      <c r="DG346" s="23"/>
      <c r="DH346" s="13" t="s">
        <v>205</v>
      </c>
      <c r="DI346" s="14" t="s">
        <v>179</v>
      </c>
      <c r="DJ346" s="14" t="s">
        <v>9895</v>
      </c>
      <c r="DK346" s="14" t="s">
        <v>179</v>
      </c>
      <c r="DL346" s="14" t="s">
        <v>9896</v>
      </c>
      <c r="DM346" s="15"/>
      <c r="DN346" s="15"/>
      <c r="DO346" s="15"/>
      <c r="DP346" s="15"/>
      <c r="DQ346" s="15"/>
      <c r="DR346" s="15"/>
      <c r="DS346" s="15"/>
      <c r="DT346" s="15"/>
      <c r="DU346" s="15"/>
      <c r="DV346" s="15"/>
      <c r="DW346" s="15"/>
      <c r="DX346" s="15"/>
      <c r="DY346" s="15"/>
      <c r="DZ346" s="15"/>
      <c r="EA346" s="15"/>
      <c r="EB346" s="15"/>
      <c r="EC346" s="16" t="s">
        <v>197</v>
      </c>
      <c r="ED346" s="17" t="s">
        <v>198</v>
      </c>
      <c r="EE346" s="18">
        <v>45713.41815972222</v>
      </c>
      <c r="EF346" s="13" t="s">
        <v>209</v>
      </c>
      <c r="EG346" s="14" t="s">
        <v>179</v>
      </c>
      <c r="EH346" s="14" t="s">
        <v>9897</v>
      </c>
      <c r="EI346" s="14" t="s">
        <v>179</v>
      </c>
      <c r="EJ346" s="14" t="s">
        <v>9898</v>
      </c>
      <c r="EK346" s="15"/>
      <c r="EL346" s="15"/>
      <c r="EM346" s="15"/>
      <c r="EN346" s="15"/>
      <c r="EO346" s="15"/>
      <c r="EP346" s="15"/>
      <c r="EQ346" s="15"/>
      <c r="ER346" s="15"/>
      <c r="ES346" s="15"/>
      <c r="ET346" s="15"/>
      <c r="EU346" s="15"/>
      <c r="EV346" s="15"/>
      <c r="EW346" s="15"/>
      <c r="EX346" s="15"/>
      <c r="EY346" s="15"/>
      <c r="EZ346" s="15"/>
      <c r="FA346" s="15"/>
      <c r="FB346" s="15"/>
      <c r="FC346" s="16" t="s">
        <v>197</v>
      </c>
      <c r="FD346" s="17" t="s">
        <v>198</v>
      </c>
      <c r="FE346" s="18">
        <v>45720.343726851854</v>
      </c>
      <c r="FF346" s="14" t="s">
        <v>9833</v>
      </c>
      <c r="FG346" s="19"/>
      <c r="FH346" s="17" t="s">
        <v>198</v>
      </c>
      <c r="FI346" s="17" t="s">
        <v>214</v>
      </c>
      <c r="FJ346" s="18">
        <v>45720.343726851854</v>
      </c>
      <c r="FK346" s="14" t="s">
        <v>9898</v>
      </c>
      <c r="FL346" s="14" t="s">
        <v>9899</v>
      </c>
      <c r="FM346" s="14" t="s">
        <v>9900</v>
      </c>
      <c r="FN346" s="19"/>
      <c r="FO346" s="19"/>
      <c r="FP346" s="19" t="str">
        <f t="shared" si="1"/>
        <v>Base de Dados_Images/FIC65020B.Imagem do Equipamento-.165258.jpg</v>
      </c>
      <c r="FQ346" s="19"/>
      <c r="FR346" s="19"/>
    </row>
    <row r="347" ht="15.75" customHeight="1">
      <c r="A347" s="12" t="s">
        <v>234</v>
      </c>
      <c r="B347" s="12" t="s">
        <v>2850</v>
      </c>
      <c r="C347" s="24" t="s">
        <v>324</v>
      </c>
      <c r="D347" s="22" t="s">
        <v>9901</v>
      </c>
      <c r="E347" s="22" t="s">
        <v>9902</v>
      </c>
      <c r="F347" s="13" t="s">
        <v>178</v>
      </c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6" t="s">
        <v>197</v>
      </c>
      <c r="BP347" s="17" t="s">
        <v>228</v>
      </c>
      <c r="BQ347" s="23"/>
      <c r="BR347" s="17" t="s">
        <v>228</v>
      </c>
      <c r="BS347" s="23"/>
      <c r="BT347" s="17" t="s">
        <v>228</v>
      </c>
      <c r="BU347" s="23"/>
      <c r="BV347" s="13" t="s">
        <v>199</v>
      </c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9"/>
      <c r="CH347" s="15"/>
      <c r="CI347" s="19"/>
      <c r="CJ347" s="15"/>
      <c r="CK347" s="19"/>
      <c r="CL347" s="15"/>
      <c r="CM347" s="19"/>
      <c r="CN347" s="15"/>
      <c r="CO347" s="19"/>
      <c r="CP347" s="15"/>
      <c r="CQ347" s="15"/>
      <c r="CR347" s="15"/>
      <c r="CS347" s="19"/>
      <c r="CT347" s="15"/>
      <c r="CU347" s="19"/>
      <c r="CV347" s="15"/>
      <c r="CW347" s="19"/>
      <c r="CX347" s="15"/>
      <c r="CY347" s="19"/>
      <c r="CZ347" s="15"/>
      <c r="DA347" s="16" t="s">
        <v>197</v>
      </c>
      <c r="DB347" s="17" t="s">
        <v>228</v>
      </c>
      <c r="DC347" s="16"/>
      <c r="DD347" s="17" t="s">
        <v>228</v>
      </c>
      <c r="DE347" s="23"/>
      <c r="DF347" s="17" t="s">
        <v>228</v>
      </c>
      <c r="DG347" s="23"/>
      <c r="DH347" s="13" t="s">
        <v>205</v>
      </c>
      <c r="DI347" s="14" t="s">
        <v>179</v>
      </c>
      <c r="DJ347" s="14" t="s">
        <v>9903</v>
      </c>
      <c r="DK347" s="14" t="s">
        <v>179</v>
      </c>
      <c r="DL347" s="14" t="s">
        <v>9903</v>
      </c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6" t="s">
        <v>197</v>
      </c>
      <c r="ED347" s="17" t="s">
        <v>198</v>
      </c>
      <c r="EE347" s="18">
        <v>45713.41637731482</v>
      </c>
      <c r="EF347" s="13" t="s">
        <v>209</v>
      </c>
      <c r="EG347" s="14" t="s">
        <v>179</v>
      </c>
      <c r="EH347" s="14" t="s">
        <v>9904</v>
      </c>
      <c r="EI347" s="14" t="s">
        <v>179</v>
      </c>
      <c r="EJ347" s="14" t="s">
        <v>9905</v>
      </c>
      <c r="EK347" s="15"/>
      <c r="EL347" s="15"/>
      <c r="EM347" s="15"/>
      <c r="EN347" s="15"/>
      <c r="EO347" s="15"/>
      <c r="EP347" s="15"/>
      <c r="EQ347" s="15"/>
      <c r="ER347" s="15"/>
      <c r="ES347" s="15"/>
      <c r="ET347" s="15"/>
      <c r="EU347" s="15"/>
      <c r="EV347" s="15"/>
      <c r="EW347" s="15"/>
      <c r="EX347" s="15"/>
      <c r="EY347" s="15"/>
      <c r="EZ347" s="15"/>
      <c r="FA347" s="15"/>
      <c r="FB347" s="15"/>
      <c r="FC347" s="16" t="s">
        <v>197</v>
      </c>
      <c r="FD347" s="17" t="s">
        <v>198</v>
      </c>
      <c r="FE347" s="18">
        <v>45720.34579861111</v>
      </c>
      <c r="FF347" s="14" t="s">
        <v>9906</v>
      </c>
      <c r="FG347" s="19"/>
      <c r="FH347" s="17" t="s">
        <v>198</v>
      </c>
      <c r="FI347" s="17" t="s">
        <v>214</v>
      </c>
      <c r="FJ347" s="18">
        <v>45720.34579861111</v>
      </c>
      <c r="FK347" s="14" t="s">
        <v>9905</v>
      </c>
      <c r="FL347" s="14" t="s">
        <v>9907</v>
      </c>
      <c r="FM347" s="14" t="s">
        <v>9908</v>
      </c>
      <c r="FN347" s="19"/>
      <c r="FO347" s="19"/>
      <c r="FP347" s="19" t="str">
        <f t="shared" si="1"/>
        <v>Base de Dados_Images/FIC65021.Imagem do Equipamento-.165348.jpg</v>
      </c>
      <c r="FQ347" s="19"/>
      <c r="FR347" s="19"/>
    </row>
    <row r="348" ht="15.75" customHeight="1">
      <c r="A348" s="12" t="s">
        <v>234</v>
      </c>
      <c r="B348" s="12" t="s">
        <v>2850</v>
      </c>
      <c r="C348" s="24" t="s">
        <v>324</v>
      </c>
      <c r="D348" s="22" t="s">
        <v>9909</v>
      </c>
      <c r="E348" s="22" t="s">
        <v>9910</v>
      </c>
      <c r="F348" s="13" t="s">
        <v>178</v>
      </c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6" t="s">
        <v>197</v>
      </c>
      <c r="BP348" s="17" t="s">
        <v>228</v>
      </c>
      <c r="BQ348" s="23"/>
      <c r="BR348" s="17" t="s">
        <v>228</v>
      </c>
      <c r="BS348" s="23"/>
      <c r="BT348" s="17" t="s">
        <v>228</v>
      </c>
      <c r="BU348" s="23"/>
      <c r="BV348" s="13" t="s">
        <v>199</v>
      </c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9"/>
      <c r="CH348" s="15"/>
      <c r="CI348" s="19"/>
      <c r="CJ348" s="15"/>
      <c r="CK348" s="19"/>
      <c r="CL348" s="15"/>
      <c r="CM348" s="19"/>
      <c r="CN348" s="15"/>
      <c r="CO348" s="19"/>
      <c r="CP348" s="15"/>
      <c r="CQ348" s="15"/>
      <c r="CR348" s="15"/>
      <c r="CS348" s="19"/>
      <c r="CT348" s="15"/>
      <c r="CU348" s="19"/>
      <c r="CV348" s="15"/>
      <c r="CW348" s="19"/>
      <c r="CX348" s="15"/>
      <c r="CY348" s="19"/>
      <c r="CZ348" s="15"/>
      <c r="DA348" s="16" t="s">
        <v>197</v>
      </c>
      <c r="DB348" s="17" t="s">
        <v>228</v>
      </c>
      <c r="DC348" s="16"/>
      <c r="DD348" s="17" t="s">
        <v>228</v>
      </c>
      <c r="DE348" s="23"/>
      <c r="DF348" s="17" t="s">
        <v>228</v>
      </c>
      <c r="DG348" s="23"/>
      <c r="DH348" s="13" t="s">
        <v>205</v>
      </c>
      <c r="DI348" s="14" t="s">
        <v>179</v>
      </c>
      <c r="DJ348" s="14" t="s">
        <v>9911</v>
      </c>
      <c r="DK348" s="14" t="s">
        <v>179</v>
      </c>
      <c r="DL348" s="14" t="s">
        <v>9911</v>
      </c>
      <c r="DM348" s="15"/>
      <c r="DN348" s="15"/>
      <c r="DO348" s="15"/>
      <c r="DP348" s="15"/>
      <c r="DQ348" s="15"/>
      <c r="DR348" s="15"/>
      <c r="DS348" s="15"/>
      <c r="DT348" s="15"/>
      <c r="DU348" s="15"/>
      <c r="DV348" s="15"/>
      <c r="DW348" s="15"/>
      <c r="DX348" s="15"/>
      <c r="DY348" s="15"/>
      <c r="DZ348" s="15"/>
      <c r="EA348" s="15"/>
      <c r="EB348" s="15"/>
      <c r="EC348" s="16" t="s">
        <v>197</v>
      </c>
      <c r="ED348" s="17" t="s">
        <v>198</v>
      </c>
      <c r="EE348" s="18">
        <v>45713.416446759256</v>
      </c>
      <c r="EF348" s="13" t="s">
        <v>209</v>
      </c>
      <c r="EG348" s="14" t="s">
        <v>179</v>
      </c>
      <c r="EH348" s="14" t="s">
        <v>9912</v>
      </c>
      <c r="EI348" s="14" t="s">
        <v>179</v>
      </c>
      <c r="EJ348" s="14" t="s">
        <v>9913</v>
      </c>
      <c r="EK348" s="15"/>
      <c r="EL348" s="15"/>
      <c r="EM348" s="15"/>
      <c r="EN348" s="15"/>
      <c r="EO348" s="15"/>
      <c r="EP348" s="15"/>
      <c r="EQ348" s="15"/>
      <c r="ER348" s="15"/>
      <c r="ES348" s="15"/>
      <c r="ET348" s="15"/>
      <c r="EU348" s="15"/>
      <c r="EV348" s="15"/>
      <c r="EW348" s="15"/>
      <c r="EX348" s="15"/>
      <c r="EY348" s="15"/>
      <c r="EZ348" s="15"/>
      <c r="FA348" s="15"/>
      <c r="FB348" s="15"/>
      <c r="FC348" s="16" t="s">
        <v>197</v>
      </c>
      <c r="FD348" s="17" t="s">
        <v>198</v>
      </c>
      <c r="FE348" s="18">
        <v>45720.34587962963</v>
      </c>
      <c r="FF348" s="14" t="s">
        <v>9833</v>
      </c>
      <c r="FG348" s="19"/>
      <c r="FH348" s="17" t="s">
        <v>198</v>
      </c>
      <c r="FI348" s="17" t="s">
        <v>214</v>
      </c>
      <c r="FJ348" s="18">
        <v>45720.34587962963</v>
      </c>
      <c r="FK348" s="14" t="s">
        <v>9913</v>
      </c>
      <c r="FL348" s="14" t="s">
        <v>9914</v>
      </c>
      <c r="FM348" s="14" t="s">
        <v>9915</v>
      </c>
      <c r="FN348" s="19"/>
      <c r="FO348" s="19"/>
      <c r="FP348" s="19" t="str">
        <f t="shared" si="1"/>
        <v>Base de Dados_Images/FIC65021A.Imagem do Equipamento-.165514.jpg</v>
      </c>
      <c r="FQ348" s="19"/>
      <c r="FR348" s="19"/>
    </row>
    <row r="349" ht="15.75" customHeight="1">
      <c r="A349" s="12" t="s">
        <v>234</v>
      </c>
      <c r="B349" s="12" t="s">
        <v>2850</v>
      </c>
      <c r="C349" s="24" t="s">
        <v>324</v>
      </c>
      <c r="D349" s="22" t="s">
        <v>9916</v>
      </c>
      <c r="E349" s="22" t="s">
        <v>9917</v>
      </c>
      <c r="F349" s="13" t="s">
        <v>178</v>
      </c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6" t="s">
        <v>197</v>
      </c>
      <c r="BP349" s="17" t="s">
        <v>228</v>
      </c>
      <c r="BQ349" s="23"/>
      <c r="BR349" s="17" t="s">
        <v>228</v>
      </c>
      <c r="BS349" s="23"/>
      <c r="BT349" s="17" t="s">
        <v>228</v>
      </c>
      <c r="BU349" s="23"/>
      <c r="BV349" s="13" t="s">
        <v>199</v>
      </c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9"/>
      <c r="CH349" s="15"/>
      <c r="CI349" s="19"/>
      <c r="CJ349" s="15"/>
      <c r="CK349" s="19"/>
      <c r="CL349" s="15"/>
      <c r="CM349" s="19"/>
      <c r="CN349" s="15"/>
      <c r="CO349" s="19"/>
      <c r="CP349" s="15"/>
      <c r="CQ349" s="15"/>
      <c r="CR349" s="15"/>
      <c r="CS349" s="19"/>
      <c r="CT349" s="15"/>
      <c r="CU349" s="19"/>
      <c r="CV349" s="15"/>
      <c r="CW349" s="19"/>
      <c r="CX349" s="15"/>
      <c r="CY349" s="19"/>
      <c r="CZ349" s="15"/>
      <c r="DA349" s="16" t="s">
        <v>197</v>
      </c>
      <c r="DB349" s="17" t="s">
        <v>228</v>
      </c>
      <c r="DC349" s="16"/>
      <c r="DD349" s="17" t="s">
        <v>228</v>
      </c>
      <c r="DE349" s="23"/>
      <c r="DF349" s="17" t="s">
        <v>228</v>
      </c>
      <c r="DG349" s="23"/>
      <c r="DH349" s="13" t="s">
        <v>205</v>
      </c>
      <c r="DI349" s="14" t="s">
        <v>179</v>
      </c>
      <c r="DJ349" s="14" t="s">
        <v>9918</v>
      </c>
      <c r="DK349" s="14" t="s">
        <v>179</v>
      </c>
      <c r="DL349" s="14" t="s">
        <v>9918</v>
      </c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6" t="s">
        <v>197</v>
      </c>
      <c r="ED349" s="17" t="s">
        <v>198</v>
      </c>
      <c r="EE349" s="18">
        <v>45713.4165162037</v>
      </c>
      <c r="EF349" s="13" t="s">
        <v>209</v>
      </c>
      <c r="EG349" s="14" t="s">
        <v>179</v>
      </c>
      <c r="EH349" s="14" t="s">
        <v>9919</v>
      </c>
      <c r="EI349" s="14" t="s">
        <v>179</v>
      </c>
      <c r="EJ349" s="14" t="s">
        <v>9919</v>
      </c>
      <c r="EK349" s="15"/>
      <c r="EL349" s="15"/>
      <c r="EM349" s="15"/>
      <c r="EN349" s="15"/>
      <c r="EO349" s="15"/>
      <c r="EP349" s="15"/>
      <c r="EQ349" s="15"/>
      <c r="ER349" s="15"/>
      <c r="ES349" s="15"/>
      <c r="ET349" s="15"/>
      <c r="EU349" s="15"/>
      <c r="EV349" s="15"/>
      <c r="EW349" s="15"/>
      <c r="EX349" s="15"/>
      <c r="EY349" s="15"/>
      <c r="EZ349" s="15"/>
      <c r="FA349" s="15"/>
      <c r="FB349" s="15"/>
      <c r="FC349" s="16" t="s">
        <v>197</v>
      </c>
      <c r="FD349" s="17" t="s">
        <v>198</v>
      </c>
      <c r="FE349" s="18">
        <v>45720.3459375</v>
      </c>
      <c r="FF349" s="14" t="s">
        <v>9833</v>
      </c>
      <c r="FG349" s="19"/>
      <c r="FH349" s="17" t="s">
        <v>198</v>
      </c>
      <c r="FI349" s="17" t="s">
        <v>214</v>
      </c>
      <c r="FJ349" s="18">
        <v>45720.3459375</v>
      </c>
      <c r="FK349" s="14" t="s">
        <v>9919</v>
      </c>
      <c r="FL349" s="14" t="s">
        <v>9920</v>
      </c>
      <c r="FM349" s="14" t="s">
        <v>9921</v>
      </c>
      <c r="FN349" s="19"/>
      <c r="FO349" s="19"/>
      <c r="FP349" s="19" t="str">
        <f t="shared" si="1"/>
        <v>Base de Dados_Images/FIC65021B.Imagem do Equipamento-.165550.jpg</v>
      </c>
      <c r="FQ349" s="19"/>
      <c r="FR349" s="19"/>
    </row>
    <row r="350" ht="15.75" customHeight="1">
      <c r="A350" s="12" t="s">
        <v>234</v>
      </c>
      <c r="B350" s="12" t="s">
        <v>2885</v>
      </c>
      <c r="C350" s="24" t="s">
        <v>324</v>
      </c>
      <c r="D350" s="22" t="s">
        <v>9922</v>
      </c>
      <c r="E350" s="22" t="s">
        <v>9923</v>
      </c>
      <c r="F350" s="13" t="s">
        <v>178</v>
      </c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6" t="s">
        <v>197</v>
      </c>
      <c r="BP350" s="17" t="s">
        <v>228</v>
      </c>
      <c r="BQ350" s="23"/>
      <c r="BR350" s="17" t="s">
        <v>228</v>
      </c>
      <c r="BS350" s="23"/>
      <c r="BT350" s="17" t="s">
        <v>228</v>
      </c>
      <c r="BU350" s="23"/>
      <c r="BV350" s="13" t="s">
        <v>199</v>
      </c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9"/>
      <c r="CH350" s="15"/>
      <c r="CI350" s="19"/>
      <c r="CJ350" s="15"/>
      <c r="CK350" s="19"/>
      <c r="CL350" s="15"/>
      <c r="CM350" s="19"/>
      <c r="CN350" s="15"/>
      <c r="CO350" s="19"/>
      <c r="CP350" s="15"/>
      <c r="CQ350" s="15"/>
      <c r="CR350" s="15"/>
      <c r="CS350" s="19"/>
      <c r="CT350" s="15"/>
      <c r="CU350" s="19"/>
      <c r="CV350" s="15"/>
      <c r="CW350" s="19"/>
      <c r="CX350" s="15"/>
      <c r="CY350" s="19"/>
      <c r="CZ350" s="15"/>
      <c r="DA350" s="16" t="s">
        <v>197</v>
      </c>
      <c r="DB350" s="17" t="s">
        <v>228</v>
      </c>
      <c r="DC350" s="16"/>
      <c r="DD350" s="17" t="s">
        <v>228</v>
      </c>
      <c r="DE350" s="23"/>
      <c r="DF350" s="17" t="s">
        <v>228</v>
      </c>
      <c r="DG350" s="23"/>
      <c r="DH350" s="13" t="s">
        <v>205</v>
      </c>
      <c r="DI350" s="14" t="s">
        <v>179</v>
      </c>
      <c r="DJ350" s="14" t="s">
        <v>9924</v>
      </c>
      <c r="DK350" s="14" t="s">
        <v>179</v>
      </c>
      <c r="DL350" s="14" t="s">
        <v>9924</v>
      </c>
      <c r="DM350" s="15"/>
      <c r="DN350" s="15"/>
      <c r="DO350" s="15"/>
      <c r="DP350" s="15"/>
      <c r="DQ350" s="15"/>
      <c r="DR350" s="15"/>
      <c r="DS350" s="15"/>
      <c r="DT350" s="15"/>
      <c r="DU350" s="15"/>
      <c r="DV350" s="15"/>
      <c r="DW350" s="15"/>
      <c r="DX350" s="15"/>
      <c r="DY350" s="15"/>
      <c r="DZ350" s="15"/>
      <c r="EA350" s="15"/>
      <c r="EB350" s="15"/>
      <c r="EC350" s="16" t="s">
        <v>197</v>
      </c>
      <c r="ED350" s="17" t="s">
        <v>198</v>
      </c>
      <c r="EE350" s="18">
        <v>45713.41622685185</v>
      </c>
      <c r="EF350" s="13" t="s">
        <v>209</v>
      </c>
      <c r="EG350" s="14" t="s">
        <v>179</v>
      </c>
      <c r="EH350" s="14" t="s">
        <v>9925</v>
      </c>
      <c r="EI350" s="14" t="s">
        <v>179</v>
      </c>
      <c r="EJ350" s="14" t="s">
        <v>9926</v>
      </c>
      <c r="EK350" s="15"/>
      <c r="EL350" s="15"/>
      <c r="EM350" s="15"/>
      <c r="EN350" s="15"/>
      <c r="EO350" s="15"/>
      <c r="EP350" s="15"/>
      <c r="EQ350" s="15"/>
      <c r="ER350" s="15"/>
      <c r="ES350" s="15"/>
      <c r="ET350" s="15"/>
      <c r="EU350" s="15"/>
      <c r="EV350" s="15"/>
      <c r="EW350" s="15"/>
      <c r="EX350" s="15"/>
      <c r="EY350" s="15"/>
      <c r="EZ350" s="15"/>
      <c r="FA350" s="15"/>
      <c r="FB350" s="15"/>
      <c r="FC350" s="16" t="s">
        <v>197</v>
      </c>
      <c r="FD350" s="17" t="s">
        <v>198</v>
      </c>
      <c r="FE350" s="18">
        <v>45720.35333333333</v>
      </c>
      <c r="FF350" s="14" t="s">
        <v>9927</v>
      </c>
      <c r="FG350" s="19"/>
      <c r="FH350" s="17" t="s">
        <v>198</v>
      </c>
      <c r="FI350" s="17" t="s">
        <v>214</v>
      </c>
      <c r="FJ350" s="18">
        <v>45720.35333333333</v>
      </c>
      <c r="FK350" s="14" t="s">
        <v>9926</v>
      </c>
      <c r="FL350" s="14" t="s">
        <v>9928</v>
      </c>
      <c r="FM350" s="14" t="s">
        <v>9929</v>
      </c>
      <c r="FN350" s="19"/>
      <c r="FO350" s="19"/>
      <c r="FP350" s="19" t="str">
        <f t="shared" si="1"/>
        <v>Base de Dados_Images/FIC65022.Imagem do Equipamento-.165748.jpg</v>
      </c>
      <c r="FQ350" s="19"/>
      <c r="FR350" s="19"/>
    </row>
    <row r="351" ht="15.75" customHeight="1">
      <c r="A351" s="12" t="s">
        <v>234</v>
      </c>
      <c r="B351" s="12" t="s">
        <v>2885</v>
      </c>
      <c r="C351" s="24" t="s">
        <v>324</v>
      </c>
      <c r="D351" s="22" t="s">
        <v>9930</v>
      </c>
      <c r="E351" s="22" t="s">
        <v>9931</v>
      </c>
      <c r="F351" s="13" t="s">
        <v>178</v>
      </c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6" t="s">
        <v>197</v>
      </c>
      <c r="BP351" s="17" t="s">
        <v>228</v>
      </c>
      <c r="BQ351" s="23"/>
      <c r="BR351" s="17" t="s">
        <v>228</v>
      </c>
      <c r="BS351" s="23"/>
      <c r="BT351" s="17" t="s">
        <v>228</v>
      </c>
      <c r="BU351" s="23"/>
      <c r="BV351" s="13" t="s">
        <v>199</v>
      </c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9"/>
      <c r="CH351" s="15"/>
      <c r="CI351" s="19"/>
      <c r="CJ351" s="15"/>
      <c r="CK351" s="19"/>
      <c r="CL351" s="15"/>
      <c r="CM351" s="19"/>
      <c r="CN351" s="15"/>
      <c r="CO351" s="19"/>
      <c r="CP351" s="15"/>
      <c r="CQ351" s="15"/>
      <c r="CR351" s="15"/>
      <c r="CS351" s="19"/>
      <c r="CT351" s="15"/>
      <c r="CU351" s="19"/>
      <c r="CV351" s="15"/>
      <c r="CW351" s="19"/>
      <c r="CX351" s="15"/>
      <c r="CY351" s="19"/>
      <c r="CZ351" s="15"/>
      <c r="DA351" s="16" t="s">
        <v>197</v>
      </c>
      <c r="DB351" s="17" t="s">
        <v>228</v>
      </c>
      <c r="DC351" s="16"/>
      <c r="DD351" s="17" t="s">
        <v>228</v>
      </c>
      <c r="DE351" s="23"/>
      <c r="DF351" s="17" t="s">
        <v>228</v>
      </c>
      <c r="DG351" s="23"/>
      <c r="DH351" s="13" t="s">
        <v>205</v>
      </c>
      <c r="DI351" s="14" t="s">
        <v>179</v>
      </c>
      <c r="DJ351" s="14" t="s">
        <v>9932</v>
      </c>
      <c r="DK351" s="14" t="s">
        <v>179</v>
      </c>
      <c r="DL351" s="14" t="s">
        <v>9933</v>
      </c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6" t="s">
        <v>197</v>
      </c>
      <c r="ED351" s="17" t="s">
        <v>198</v>
      </c>
      <c r="EE351" s="18">
        <v>45713.41608796296</v>
      </c>
      <c r="EF351" s="13" t="s">
        <v>209</v>
      </c>
      <c r="EG351" s="14" t="s">
        <v>179</v>
      </c>
      <c r="EH351" s="14" t="s">
        <v>9934</v>
      </c>
      <c r="EI351" s="14" t="s">
        <v>179</v>
      </c>
      <c r="EJ351" s="14" t="s">
        <v>9935</v>
      </c>
      <c r="EK351" s="15"/>
      <c r="EL351" s="15"/>
      <c r="EM351" s="15"/>
      <c r="EN351" s="15"/>
      <c r="EO351" s="15"/>
      <c r="EP351" s="15"/>
      <c r="EQ351" s="15"/>
      <c r="ER351" s="15"/>
      <c r="ES351" s="15"/>
      <c r="ET351" s="15"/>
      <c r="EU351" s="15"/>
      <c r="EV351" s="15"/>
      <c r="EW351" s="15"/>
      <c r="EX351" s="15"/>
      <c r="EY351" s="15"/>
      <c r="EZ351" s="15"/>
      <c r="FA351" s="15"/>
      <c r="FB351" s="15"/>
      <c r="FC351" s="16" t="s">
        <v>197</v>
      </c>
      <c r="FD351" s="17" t="s">
        <v>198</v>
      </c>
      <c r="FE351" s="18">
        <v>45720.353425925925</v>
      </c>
      <c r="FF351" s="14" t="s">
        <v>9833</v>
      </c>
      <c r="FG351" s="19"/>
      <c r="FH351" s="17" t="s">
        <v>198</v>
      </c>
      <c r="FI351" s="17" t="s">
        <v>214</v>
      </c>
      <c r="FJ351" s="18">
        <v>45720.353425925925</v>
      </c>
      <c r="FK351" s="14" t="s">
        <v>9935</v>
      </c>
      <c r="FL351" s="14" t="s">
        <v>9936</v>
      </c>
      <c r="FM351" s="14" t="s">
        <v>9937</v>
      </c>
      <c r="FN351" s="19"/>
      <c r="FO351" s="19"/>
      <c r="FP351" s="19" t="str">
        <f t="shared" si="1"/>
        <v>Base de Dados_Images/FIC65022A.Imagem do Equipamento-.165645.jpg</v>
      </c>
      <c r="FQ351" s="19"/>
      <c r="FR351" s="19"/>
    </row>
    <row r="352" ht="15.75" customHeight="1">
      <c r="A352" s="12" t="s">
        <v>234</v>
      </c>
      <c r="B352" s="12" t="s">
        <v>2885</v>
      </c>
      <c r="C352" s="24" t="s">
        <v>324</v>
      </c>
      <c r="D352" s="22" t="s">
        <v>9938</v>
      </c>
      <c r="E352" s="22" t="s">
        <v>9939</v>
      </c>
      <c r="F352" s="13" t="s">
        <v>178</v>
      </c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6" t="s">
        <v>197</v>
      </c>
      <c r="BP352" s="17" t="s">
        <v>228</v>
      </c>
      <c r="BQ352" s="23"/>
      <c r="BR352" s="17" t="s">
        <v>228</v>
      </c>
      <c r="BS352" s="23"/>
      <c r="BT352" s="17" t="s">
        <v>228</v>
      </c>
      <c r="BU352" s="23"/>
      <c r="BV352" s="13" t="s">
        <v>199</v>
      </c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9"/>
      <c r="CH352" s="15"/>
      <c r="CI352" s="19"/>
      <c r="CJ352" s="15"/>
      <c r="CK352" s="19"/>
      <c r="CL352" s="15"/>
      <c r="CM352" s="19"/>
      <c r="CN352" s="15"/>
      <c r="CO352" s="19"/>
      <c r="CP352" s="15"/>
      <c r="CQ352" s="15"/>
      <c r="CR352" s="15"/>
      <c r="CS352" s="19"/>
      <c r="CT352" s="15"/>
      <c r="CU352" s="19"/>
      <c r="CV352" s="15"/>
      <c r="CW352" s="19"/>
      <c r="CX352" s="15"/>
      <c r="CY352" s="19"/>
      <c r="CZ352" s="15"/>
      <c r="DA352" s="16" t="s">
        <v>197</v>
      </c>
      <c r="DB352" s="17" t="s">
        <v>228</v>
      </c>
      <c r="DC352" s="16"/>
      <c r="DD352" s="17" t="s">
        <v>228</v>
      </c>
      <c r="DE352" s="23"/>
      <c r="DF352" s="17" t="s">
        <v>228</v>
      </c>
      <c r="DG352" s="23"/>
      <c r="DH352" s="13" t="s">
        <v>205</v>
      </c>
      <c r="DI352" s="14" t="s">
        <v>179</v>
      </c>
      <c r="DJ352" s="14" t="s">
        <v>9940</v>
      </c>
      <c r="DK352" s="14" t="s">
        <v>179</v>
      </c>
      <c r="DL352" s="14" t="s">
        <v>9941</v>
      </c>
      <c r="DM352" s="15"/>
      <c r="DN352" s="15"/>
      <c r="DO352" s="15"/>
      <c r="DP352" s="15"/>
      <c r="DQ352" s="15"/>
      <c r="DR352" s="15"/>
      <c r="DS352" s="15"/>
      <c r="DT352" s="15"/>
      <c r="DU352" s="15"/>
      <c r="DV352" s="15"/>
      <c r="DW352" s="15"/>
      <c r="DX352" s="15"/>
      <c r="DY352" s="15"/>
      <c r="DZ352" s="15"/>
      <c r="EA352" s="15"/>
      <c r="EB352" s="15"/>
      <c r="EC352" s="16" t="s">
        <v>197</v>
      </c>
      <c r="ED352" s="17" t="s">
        <v>198</v>
      </c>
      <c r="EE352" s="18">
        <v>45713.41615740741</v>
      </c>
      <c r="EF352" s="13" t="s">
        <v>209</v>
      </c>
      <c r="EG352" s="14" t="s">
        <v>179</v>
      </c>
      <c r="EH352" s="14" t="s">
        <v>9942</v>
      </c>
      <c r="EI352" s="14" t="s">
        <v>179</v>
      </c>
      <c r="EJ352" s="14" t="s">
        <v>9943</v>
      </c>
      <c r="EK352" s="15"/>
      <c r="EL352" s="15"/>
      <c r="EM352" s="15"/>
      <c r="EN352" s="15"/>
      <c r="EO352" s="15"/>
      <c r="EP352" s="15"/>
      <c r="EQ352" s="15"/>
      <c r="ER352" s="15"/>
      <c r="ES352" s="15"/>
      <c r="ET352" s="15"/>
      <c r="EU352" s="15"/>
      <c r="EV352" s="15"/>
      <c r="EW352" s="15"/>
      <c r="EX352" s="15"/>
      <c r="EY352" s="15"/>
      <c r="EZ352" s="15"/>
      <c r="FA352" s="15"/>
      <c r="FB352" s="15"/>
      <c r="FC352" s="16" t="s">
        <v>197</v>
      </c>
      <c r="FD352" s="17" t="s">
        <v>198</v>
      </c>
      <c r="FE352" s="18">
        <v>45720.35356481482</v>
      </c>
      <c r="FF352" s="19"/>
      <c r="FG352" s="19"/>
      <c r="FH352" s="21" t="s">
        <v>197</v>
      </c>
      <c r="FI352" s="17" t="s">
        <v>214</v>
      </c>
      <c r="FJ352" s="18">
        <v>45720.35356481482</v>
      </c>
      <c r="FK352" s="14" t="s">
        <v>9943</v>
      </c>
      <c r="FL352" s="14" t="s">
        <v>9944</v>
      </c>
      <c r="FM352" s="14" t="s">
        <v>9945</v>
      </c>
      <c r="FN352" s="19"/>
      <c r="FO352" s="19"/>
      <c r="FP352" s="19" t="str">
        <f t="shared" si="1"/>
        <v>Base de Dados_Images/FIC65022B.Imagem do Equipamento-.165709.jpg</v>
      </c>
      <c r="FQ352" s="19"/>
      <c r="FR352" s="19"/>
    </row>
    <row r="353" ht="15.75" customHeight="1">
      <c r="A353" s="12" t="s">
        <v>234</v>
      </c>
      <c r="B353" s="12" t="s">
        <v>2921</v>
      </c>
      <c r="C353" s="24" t="s">
        <v>324</v>
      </c>
      <c r="D353" s="22" t="s">
        <v>9946</v>
      </c>
      <c r="E353" s="22" t="s">
        <v>9947</v>
      </c>
      <c r="F353" s="13" t="s">
        <v>178</v>
      </c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6" t="s">
        <v>197</v>
      </c>
      <c r="BP353" s="17" t="s">
        <v>228</v>
      </c>
      <c r="BQ353" s="23"/>
      <c r="BR353" s="17" t="s">
        <v>228</v>
      </c>
      <c r="BS353" s="23"/>
      <c r="BT353" s="17" t="s">
        <v>228</v>
      </c>
      <c r="BU353" s="23"/>
      <c r="BV353" s="13" t="s">
        <v>199</v>
      </c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9"/>
      <c r="CH353" s="15"/>
      <c r="CI353" s="19"/>
      <c r="CJ353" s="15"/>
      <c r="CK353" s="19"/>
      <c r="CL353" s="15"/>
      <c r="CM353" s="19"/>
      <c r="CN353" s="15"/>
      <c r="CO353" s="19"/>
      <c r="CP353" s="15"/>
      <c r="CQ353" s="15"/>
      <c r="CR353" s="15"/>
      <c r="CS353" s="19"/>
      <c r="CT353" s="15"/>
      <c r="CU353" s="19"/>
      <c r="CV353" s="15"/>
      <c r="CW353" s="19"/>
      <c r="CX353" s="15"/>
      <c r="CY353" s="19"/>
      <c r="CZ353" s="15"/>
      <c r="DA353" s="16" t="s">
        <v>197</v>
      </c>
      <c r="DB353" s="17" t="s">
        <v>228</v>
      </c>
      <c r="DC353" s="16"/>
      <c r="DD353" s="17" t="s">
        <v>228</v>
      </c>
      <c r="DE353" s="23"/>
      <c r="DF353" s="17" t="s">
        <v>228</v>
      </c>
      <c r="DG353" s="23"/>
      <c r="DH353" s="13" t="s">
        <v>205</v>
      </c>
      <c r="DI353" s="14" t="s">
        <v>179</v>
      </c>
      <c r="DJ353" s="14" t="s">
        <v>9948</v>
      </c>
      <c r="DK353" s="14" t="s">
        <v>179</v>
      </c>
      <c r="DL353" s="14" t="s">
        <v>9949</v>
      </c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6" t="s">
        <v>197</v>
      </c>
      <c r="ED353" s="17" t="s">
        <v>198</v>
      </c>
      <c r="EE353" s="18">
        <v>45713.418657407405</v>
      </c>
      <c r="EF353" s="13" t="s">
        <v>209</v>
      </c>
      <c r="EG353" s="14" t="s">
        <v>179</v>
      </c>
      <c r="EH353" s="14" t="s">
        <v>9950</v>
      </c>
      <c r="EI353" s="14" t="s">
        <v>179</v>
      </c>
      <c r="EJ353" s="14" t="s">
        <v>9951</v>
      </c>
      <c r="EK353" s="15"/>
      <c r="EL353" s="15"/>
      <c r="EM353" s="15"/>
      <c r="EN353" s="15"/>
      <c r="EO353" s="15"/>
      <c r="EP353" s="15"/>
      <c r="EQ353" s="15"/>
      <c r="ER353" s="15"/>
      <c r="ES353" s="15"/>
      <c r="ET353" s="15"/>
      <c r="EU353" s="15"/>
      <c r="EV353" s="15"/>
      <c r="EW353" s="15"/>
      <c r="EX353" s="15"/>
      <c r="EY353" s="15"/>
      <c r="EZ353" s="15"/>
      <c r="FA353" s="15"/>
      <c r="FB353" s="15"/>
      <c r="FC353" s="16" t="s">
        <v>197</v>
      </c>
      <c r="FD353" s="17" t="s">
        <v>198</v>
      </c>
      <c r="FE353" s="18">
        <v>45720.35103009259</v>
      </c>
      <c r="FF353" s="14" t="s">
        <v>9927</v>
      </c>
      <c r="FG353" s="19"/>
      <c r="FH353" s="17" t="s">
        <v>198</v>
      </c>
      <c r="FI353" s="17" t="s">
        <v>214</v>
      </c>
      <c r="FJ353" s="18">
        <v>45720.35103009259</v>
      </c>
      <c r="FK353" s="14" t="s">
        <v>9951</v>
      </c>
      <c r="FL353" s="14" t="s">
        <v>9952</v>
      </c>
      <c r="FM353" s="14" t="s">
        <v>9953</v>
      </c>
      <c r="FN353" s="19"/>
      <c r="FO353" s="19"/>
      <c r="FP353" s="19" t="str">
        <f t="shared" si="1"/>
        <v>Base de Dados_Images/FIC65023.Imagem do Equipamento-.170150.jpg</v>
      </c>
      <c r="FQ353" s="19"/>
      <c r="FR353" s="19"/>
    </row>
    <row r="354" ht="15.75" customHeight="1">
      <c r="A354" s="12" t="s">
        <v>234</v>
      </c>
      <c r="B354" s="12" t="s">
        <v>2921</v>
      </c>
      <c r="C354" s="24" t="s">
        <v>324</v>
      </c>
      <c r="D354" s="22" t="s">
        <v>9954</v>
      </c>
      <c r="E354" s="22" t="s">
        <v>9955</v>
      </c>
      <c r="F354" s="13" t="s">
        <v>178</v>
      </c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6" t="s">
        <v>197</v>
      </c>
      <c r="BP354" s="17" t="s">
        <v>228</v>
      </c>
      <c r="BQ354" s="23"/>
      <c r="BR354" s="17" t="s">
        <v>228</v>
      </c>
      <c r="BS354" s="23"/>
      <c r="BT354" s="17" t="s">
        <v>228</v>
      </c>
      <c r="BU354" s="23"/>
      <c r="BV354" s="13" t="s">
        <v>199</v>
      </c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9"/>
      <c r="CH354" s="15"/>
      <c r="CI354" s="19"/>
      <c r="CJ354" s="15"/>
      <c r="CK354" s="19"/>
      <c r="CL354" s="15"/>
      <c r="CM354" s="19"/>
      <c r="CN354" s="15"/>
      <c r="CO354" s="19"/>
      <c r="CP354" s="15"/>
      <c r="CQ354" s="15"/>
      <c r="CR354" s="15"/>
      <c r="CS354" s="19"/>
      <c r="CT354" s="15"/>
      <c r="CU354" s="19"/>
      <c r="CV354" s="15"/>
      <c r="CW354" s="19"/>
      <c r="CX354" s="15"/>
      <c r="CY354" s="19"/>
      <c r="CZ354" s="15"/>
      <c r="DA354" s="16" t="s">
        <v>197</v>
      </c>
      <c r="DB354" s="17" t="s">
        <v>228</v>
      </c>
      <c r="DC354" s="16"/>
      <c r="DD354" s="17" t="s">
        <v>228</v>
      </c>
      <c r="DE354" s="23"/>
      <c r="DF354" s="17" t="s">
        <v>228</v>
      </c>
      <c r="DG354" s="23"/>
      <c r="DH354" s="13" t="s">
        <v>205</v>
      </c>
      <c r="DI354" s="14" t="s">
        <v>179</v>
      </c>
      <c r="DJ354" s="14" t="s">
        <v>9956</v>
      </c>
      <c r="DK354" s="14" t="s">
        <v>179</v>
      </c>
      <c r="DL354" s="14" t="s">
        <v>9956</v>
      </c>
      <c r="DM354" s="15"/>
      <c r="DN354" s="15"/>
      <c r="DO354" s="15"/>
      <c r="DP354" s="15"/>
      <c r="DQ354" s="15"/>
      <c r="DR354" s="15"/>
      <c r="DS354" s="15"/>
      <c r="DT354" s="15"/>
      <c r="DU354" s="15"/>
      <c r="DV354" s="15"/>
      <c r="DW354" s="15"/>
      <c r="DX354" s="15"/>
      <c r="DY354" s="15"/>
      <c r="DZ354" s="15"/>
      <c r="EA354" s="15"/>
      <c r="EB354" s="15"/>
      <c r="EC354" s="16" t="s">
        <v>197</v>
      </c>
      <c r="ED354" s="17" t="s">
        <v>198</v>
      </c>
      <c r="EE354" s="18">
        <v>45713.418958333335</v>
      </c>
      <c r="EF354" s="13" t="s">
        <v>209</v>
      </c>
      <c r="EG354" s="14" t="s">
        <v>179</v>
      </c>
      <c r="EH354" s="14" t="s">
        <v>9957</v>
      </c>
      <c r="EI354" s="14" t="s">
        <v>179</v>
      </c>
      <c r="EJ354" s="14" t="s">
        <v>9957</v>
      </c>
      <c r="EK354" s="15"/>
      <c r="EL354" s="15"/>
      <c r="EM354" s="15"/>
      <c r="EN354" s="15"/>
      <c r="EO354" s="15"/>
      <c r="EP354" s="15"/>
      <c r="EQ354" s="15"/>
      <c r="ER354" s="15"/>
      <c r="ES354" s="15"/>
      <c r="ET354" s="15"/>
      <c r="EU354" s="15"/>
      <c r="EV354" s="15"/>
      <c r="EW354" s="15"/>
      <c r="EX354" s="15"/>
      <c r="EY354" s="15"/>
      <c r="EZ354" s="15"/>
      <c r="FA354" s="15"/>
      <c r="FB354" s="15"/>
      <c r="FC354" s="16" t="s">
        <v>197</v>
      </c>
      <c r="FD354" s="17" t="s">
        <v>198</v>
      </c>
      <c r="FE354" s="18">
        <v>45720.351111111115</v>
      </c>
      <c r="FF354" s="14" t="s">
        <v>9833</v>
      </c>
      <c r="FG354" s="19"/>
      <c r="FH354" s="17" t="s">
        <v>198</v>
      </c>
      <c r="FI354" s="17" t="s">
        <v>214</v>
      </c>
      <c r="FJ354" s="18">
        <v>45720.351111111115</v>
      </c>
      <c r="FK354" s="14" t="s">
        <v>9957</v>
      </c>
      <c r="FL354" s="14" t="s">
        <v>9958</v>
      </c>
      <c r="FM354" s="14" t="s">
        <v>9959</v>
      </c>
      <c r="FN354" s="19"/>
      <c r="FO354" s="19"/>
      <c r="FP354" s="19" t="str">
        <f t="shared" si="1"/>
        <v>Base de Dados_Images/FIC65023A.Imagem do Equipamento-.165959.jpg</v>
      </c>
      <c r="FQ354" s="19"/>
      <c r="FR354" s="19"/>
    </row>
    <row r="355" ht="15.75" customHeight="1">
      <c r="A355" s="12" t="s">
        <v>234</v>
      </c>
      <c r="B355" s="12" t="s">
        <v>2921</v>
      </c>
      <c r="C355" s="24" t="s">
        <v>324</v>
      </c>
      <c r="D355" s="22" t="s">
        <v>9960</v>
      </c>
      <c r="E355" s="22" t="s">
        <v>9961</v>
      </c>
      <c r="F355" s="13" t="s">
        <v>178</v>
      </c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6" t="s">
        <v>197</v>
      </c>
      <c r="BP355" s="17" t="s">
        <v>228</v>
      </c>
      <c r="BQ355" s="23"/>
      <c r="BR355" s="17" t="s">
        <v>228</v>
      </c>
      <c r="BS355" s="23"/>
      <c r="BT355" s="17" t="s">
        <v>228</v>
      </c>
      <c r="BU355" s="23"/>
      <c r="BV355" s="13" t="s">
        <v>199</v>
      </c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9"/>
      <c r="CH355" s="15"/>
      <c r="CI355" s="19"/>
      <c r="CJ355" s="15"/>
      <c r="CK355" s="19"/>
      <c r="CL355" s="15"/>
      <c r="CM355" s="19"/>
      <c r="CN355" s="15"/>
      <c r="CO355" s="19"/>
      <c r="CP355" s="15"/>
      <c r="CQ355" s="15"/>
      <c r="CR355" s="15"/>
      <c r="CS355" s="19"/>
      <c r="CT355" s="15"/>
      <c r="CU355" s="19"/>
      <c r="CV355" s="15"/>
      <c r="CW355" s="19"/>
      <c r="CX355" s="15"/>
      <c r="CY355" s="19"/>
      <c r="CZ355" s="15"/>
      <c r="DA355" s="16" t="s">
        <v>197</v>
      </c>
      <c r="DB355" s="17" t="s">
        <v>228</v>
      </c>
      <c r="DC355" s="16"/>
      <c r="DD355" s="17" t="s">
        <v>228</v>
      </c>
      <c r="DE355" s="23"/>
      <c r="DF355" s="17" t="s">
        <v>228</v>
      </c>
      <c r="DG355" s="23"/>
      <c r="DH355" s="13" t="s">
        <v>205</v>
      </c>
      <c r="DI355" s="14" t="s">
        <v>179</v>
      </c>
      <c r="DJ355" s="14" t="s">
        <v>9962</v>
      </c>
      <c r="DK355" s="14" t="s">
        <v>179</v>
      </c>
      <c r="DL355" s="14" t="s">
        <v>9963</v>
      </c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6" t="s">
        <v>197</v>
      </c>
      <c r="ED355" s="17" t="s">
        <v>198</v>
      </c>
      <c r="EE355" s="18">
        <v>45713.41903935185</v>
      </c>
      <c r="EF355" s="13" t="s">
        <v>209</v>
      </c>
      <c r="EG355" s="14" t="s">
        <v>179</v>
      </c>
      <c r="EH355" s="14" t="s">
        <v>9964</v>
      </c>
      <c r="EI355" s="14" t="s">
        <v>179</v>
      </c>
      <c r="EJ355" s="14" t="s">
        <v>9965</v>
      </c>
      <c r="EK355" s="15"/>
      <c r="EL355" s="15"/>
      <c r="EM355" s="15"/>
      <c r="EN355" s="15"/>
      <c r="EO355" s="15"/>
      <c r="EP355" s="15"/>
      <c r="EQ355" s="15"/>
      <c r="ER355" s="15"/>
      <c r="ES355" s="15"/>
      <c r="ET355" s="15"/>
      <c r="EU355" s="15"/>
      <c r="EV355" s="15"/>
      <c r="EW355" s="15"/>
      <c r="EX355" s="15"/>
      <c r="EY355" s="15"/>
      <c r="EZ355" s="15"/>
      <c r="FA355" s="15"/>
      <c r="FB355" s="15"/>
      <c r="FC355" s="16" t="s">
        <v>197</v>
      </c>
      <c r="FD355" s="17" t="s">
        <v>198</v>
      </c>
      <c r="FE355" s="18">
        <v>45720.35122685185</v>
      </c>
      <c r="FF355" s="14" t="s">
        <v>9833</v>
      </c>
      <c r="FG355" s="19"/>
      <c r="FH355" s="17" t="s">
        <v>198</v>
      </c>
      <c r="FI355" s="17" t="s">
        <v>214</v>
      </c>
      <c r="FJ355" s="18">
        <v>45720.35122685185</v>
      </c>
      <c r="FK355" s="14" t="s">
        <v>9965</v>
      </c>
      <c r="FL355" s="14" t="s">
        <v>9966</v>
      </c>
      <c r="FM355" s="14" t="s">
        <v>9967</v>
      </c>
      <c r="FN355" s="19"/>
      <c r="FO355" s="19"/>
      <c r="FP355" s="19" t="str">
        <f t="shared" si="1"/>
        <v>Base de Dados_Images/FIC65023B.Imagem do Equipamento-.170032.jpg</v>
      </c>
      <c r="FQ355" s="19"/>
      <c r="FR355" s="19"/>
    </row>
    <row r="356" ht="15.75" customHeight="1">
      <c r="A356" s="12" t="s">
        <v>357</v>
      </c>
      <c r="B356" s="12" t="s">
        <v>419</v>
      </c>
      <c r="C356" s="24" t="s">
        <v>324</v>
      </c>
      <c r="D356" s="22" t="s">
        <v>9968</v>
      </c>
      <c r="E356" s="22" t="s">
        <v>9969</v>
      </c>
      <c r="F356" s="13" t="s">
        <v>178</v>
      </c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6" t="s">
        <v>197</v>
      </c>
      <c r="BP356" s="17" t="s">
        <v>228</v>
      </c>
      <c r="BQ356" s="23"/>
      <c r="BR356" s="17" t="s">
        <v>228</v>
      </c>
      <c r="BS356" s="23"/>
      <c r="BT356" s="17" t="s">
        <v>228</v>
      </c>
      <c r="BU356" s="23"/>
      <c r="BV356" s="13" t="s">
        <v>199</v>
      </c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9"/>
      <c r="CH356" s="15"/>
      <c r="CI356" s="19"/>
      <c r="CJ356" s="15"/>
      <c r="CK356" s="19"/>
      <c r="CL356" s="15"/>
      <c r="CM356" s="19"/>
      <c r="CN356" s="15"/>
      <c r="CO356" s="19"/>
      <c r="CP356" s="15"/>
      <c r="CQ356" s="15"/>
      <c r="CR356" s="15"/>
      <c r="CS356" s="19"/>
      <c r="CT356" s="15"/>
      <c r="CU356" s="19"/>
      <c r="CV356" s="15"/>
      <c r="CW356" s="19"/>
      <c r="CX356" s="15"/>
      <c r="CY356" s="19"/>
      <c r="CZ356" s="15"/>
      <c r="DA356" s="16" t="s">
        <v>197</v>
      </c>
      <c r="DB356" s="17" t="s">
        <v>228</v>
      </c>
      <c r="DC356" s="16"/>
      <c r="DD356" s="17" t="s">
        <v>228</v>
      </c>
      <c r="DE356" s="23"/>
      <c r="DF356" s="17" t="s">
        <v>228</v>
      </c>
      <c r="DG356" s="23"/>
      <c r="DH356" s="13" t="s">
        <v>205</v>
      </c>
      <c r="DI356" s="14" t="s">
        <v>179</v>
      </c>
      <c r="DJ356" s="14" t="s">
        <v>9970</v>
      </c>
      <c r="DK356" s="14" t="s">
        <v>179</v>
      </c>
      <c r="DL356" s="14" t="s">
        <v>9971</v>
      </c>
      <c r="DM356" s="15"/>
      <c r="DN356" s="15"/>
      <c r="DO356" s="15"/>
      <c r="DP356" s="15"/>
      <c r="DQ356" s="15"/>
      <c r="DR356" s="15"/>
      <c r="DS356" s="15"/>
      <c r="DT356" s="15"/>
      <c r="DU356" s="15"/>
      <c r="DV356" s="15"/>
      <c r="DW356" s="15"/>
      <c r="DX356" s="15"/>
      <c r="DY356" s="15"/>
      <c r="DZ356" s="15"/>
      <c r="EA356" s="15"/>
      <c r="EB356" s="15"/>
      <c r="EC356" s="16" t="s">
        <v>197</v>
      </c>
      <c r="ED356" s="17" t="s">
        <v>198</v>
      </c>
      <c r="EE356" s="18">
        <v>45705.55819444444</v>
      </c>
      <c r="EF356" s="13" t="s">
        <v>209</v>
      </c>
      <c r="EG356" s="14" t="s">
        <v>179</v>
      </c>
      <c r="EH356" s="14" t="s">
        <v>9972</v>
      </c>
      <c r="EI356" s="14" t="s">
        <v>179</v>
      </c>
      <c r="EJ356" s="14" t="s">
        <v>9973</v>
      </c>
      <c r="EK356" s="15"/>
      <c r="EL356" s="15"/>
      <c r="EM356" s="15"/>
      <c r="EN356" s="15"/>
      <c r="EO356" s="15"/>
      <c r="EP356" s="15"/>
      <c r="EQ356" s="15"/>
      <c r="ER356" s="15"/>
      <c r="ES356" s="15"/>
      <c r="ET356" s="15"/>
      <c r="EU356" s="15"/>
      <c r="EV356" s="15"/>
      <c r="EW356" s="15"/>
      <c r="EX356" s="15"/>
      <c r="EY356" s="15"/>
      <c r="EZ356" s="15"/>
      <c r="FA356" s="15"/>
      <c r="FB356" s="15"/>
      <c r="FC356" s="16" t="s">
        <v>197</v>
      </c>
      <c r="FD356" s="17" t="s">
        <v>198</v>
      </c>
      <c r="FE356" s="18">
        <v>45705.55831018519</v>
      </c>
      <c r="FF356" s="19"/>
      <c r="FG356" s="19"/>
      <c r="FH356" s="21" t="s">
        <v>197</v>
      </c>
      <c r="FI356" s="17" t="s">
        <v>214</v>
      </c>
      <c r="FJ356" s="18">
        <v>45705.55831018519</v>
      </c>
      <c r="FK356" s="14" t="s">
        <v>9974</v>
      </c>
      <c r="FL356" s="14" t="s">
        <v>9975</v>
      </c>
      <c r="FM356" s="14" t="s">
        <v>9974</v>
      </c>
      <c r="FN356" s="19"/>
      <c r="FO356" s="19"/>
      <c r="FP356" s="19" t="str">
        <f t="shared" si="1"/>
        <v>Base de Dados_Images/FIC81001.Imagem do Equipamento-.162414.jpg</v>
      </c>
      <c r="FQ356" s="14"/>
      <c r="FR356" s="14"/>
    </row>
    <row r="357" ht="15.75" customHeight="1">
      <c r="A357" s="12" t="s">
        <v>357</v>
      </c>
      <c r="B357" s="12" t="s">
        <v>358</v>
      </c>
      <c r="C357" s="24" t="s">
        <v>324</v>
      </c>
      <c r="D357" s="22" t="s">
        <v>9976</v>
      </c>
      <c r="E357" s="22" t="s">
        <v>9977</v>
      </c>
      <c r="F357" s="13" t="s">
        <v>178</v>
      </c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6" t="s">
        <v>197</v>
      </c>
      <c r="BP357" s="17" t="s">
        <v>228</v>
      </c>
      <c r="BQ357" s="23"/>
      <c r="BR357" s="17" t="s">
        <v>228</v>
      </c>
      <c r="BS357" s="23"/>
      <c r="BT357" s="17" t="s">
        <v>228</v>
      </c>
      <c r="BU357" s="23"/>
      <c r="BV357" s="13" t="s">
        <v>199</v>
      </c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9"/>
      <c r="CH357" s="15"/>
      <c r="CI357" s="19"/>
      <c r="CJ357" s="15"/>
      <c r="CK357" s="19"/>
      <c r="CL357" s="15"/>
      <c r="CM357" s="19"/>
      <c r="CN357" s="15"/>
      <c r="CO357" s="19"/>
      <c r="CP357" s="15"/>
      <c r="CQ357" s="15"/>
      <c r="CR357" s="15"/>
      <c r="CS357" s="19"/>
      <c r="CT357" s="15"/>
      <c r="CU357" s="19"/>
      <c r="CV357" s="15"/>
      <c r="CW357" s="19"/>
      <c r="CX357" s="15"/>
      <c r="CY357" s="19"/>
      <c r="CZ357" s="15"/>
      <c r="DA357" s="16" t="s">
        <v>197</v>
      </c>
      <c r="DB357" s="17" t="s">
        <v>228</v>
      </c>
      <c r="DC357" s="16"/>
      <c r="DD357" s="17" t="s">
        <v>228</v>
      </c>
      <c r="DE357" s="23"/>
      <c r="DF357" s="17" t="s">
        <v>228</v>
      </c>
      <c r="DG357" s="23"/>
      <c r="DH357" s="13" t="s">
        <v>205</v>
      </c>
      <c r="DI357" s="14" t="s">
        <v>179</v>
      </c>
      <c r="DJ357" s="14" t="s">
        <v>9978</v>
      </c>
      <c r="DK357" s="14" t="s">
        <v>179</v>
      </c>
      <c r="DL357" s="14" t="s">
        <v>9979</v>
      </c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6" t="s">
        <v>197</v>
      </c>
      <c r="ED357" s="17" t="s">
        <v>198</v>
      </c>
      <c r="EE357" s="18">
        <v>45705.39690972222</v>
      </c>
      <c r="EF357" s="13" t="s">
        <v>209</v>
      </c>
      <c r="EG357" s="14" t="s">
        <v>179</v>
      </c>
      <c r="EH357" s="14" t="s">
        <v>9980</v>
      </c>
      <c r="EI357" s="14" t="s">
        <v>179</v>
      </c>
      <c r="EJ357" s="14" t="s">
        <v>9981</v>
      </c>
      <c r="EK357" s="15"/>
      <c r="EL357" s="15"/>
      <c r="EM357" s="15"/>
      <c r="EN357" s="15"/>
      <c r="EO357" s="15"/>
      <c r="EP357" s="15"/>
      <c r="EQ357" s="15"/>
      <c r="ER357" s="15"/>
      <c r="ES357" s="15"/>
      <c r="ET357" s="15"/>
      <c r="EU357" s="15"/>
      <c r="EV357" s="15"/>
      <c r="EW357" s="15"/>
      <c r="EX357" s="15"/>
      <c r="EY357" s="15"/>
      <c r="EZ357" s="15"/>
      <c r="FA357" s="15"/>
      <c r="FB357" s="15"/>
      <c r="FC357" s="16" t="s">
        <v>197</v>
      </c>
      <c r="FD357" s="17" t="s">
        <v>198</v>
      </c>
      <c r="FE357" s="18">
        <v>45705.39697916667</v>
      </c>
      <c r="FF357" s="19"/>
      <c r="FG357" s="19"/>
      <c r="FH357" s="21" t="s">
        <v>197</v>
      </c>
      <c r="FI357" s="17" t="s">
        <v>214</v>
      </c>
      <c r="FJ357" s="18">
        <v>45705.39697916667</v>
      </c>
      <c r="FK357" s="14" t="s">
        <v>9981</v>
      </c>
      <c r="FL357" s="14" t="s">
        <v>9982</v>
      </c>
      <c r="FM357" s="14" t="s">
        <v>9983</v>
      </c>
      <c r="FN357" s="19"/>
      <c r="FO357" s="19"/>
      <c r="FP357" s="19" t="str">
        <f t="shared" si="1"/>
        <v>Base de Dados_Images/FIC81020.Imagem do Equipamento-.123133.jpg</v>
      </c>
      <c r="FQ357" s="19"/>
      <c r="FR357" s="19"/>
    </row>
    <row r="358" ht="15.75" customHeight="1">
      <c r="A358" s="12" t="s">
        <v>174</v>
      </c>
      <c r="B358" s="22" t="s">
        <v>2226</v>
      </c>
      <c r="C358" s="24" t="s">
        <v>375</v>
      </c>
      <c r="D358" s="22" t="s">
        <v>9984</v>
      </c>
      <c r="E358" s="22" t="s">
        <v>9985</v>
      </c>
      <c r="F358" s="13" t="s">
        <v>178</v>
      </c>
      <c r="G358" s="14" t="s">
        <v>179</v>
      </c>
      <c r="H358" s="14" t="s">
        <v>9986</v>
      </c>
      <c r="I358" s="14" t="s">
        <v>179</v>
      </c>
      <c r="J358" s="14" t="s">
        <v>9987</v>
      </c>
      <c r="K358" s="14" t="s">
        <v>179</v>
      </c>
      <c r="L358" s="14" t="s">
        <v>9988</v>
      </c>
      <c r="M358" s="14" t="s">
        <v>179</v>
      </c>
      <c r="N358" s="14" t="s">
        <v>9989</v>
      </c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6" t="s">
        <v>197</v>
      </c>
      <c r="BP358" s="17" t="s">
        <v>198</v>
      </c>
      <c r="BQ358" s="18">
        <v>45699.38619212963</v>
      </c>
      <c r="BR358" s="17" t="s">
        <v>198</v>
      </c>
      <c r="BS358" s="18">
        <v>45699.386296296296</v>
      </c>
      <c r="BT358" s="17" t="s">
        <v>198</v>
      </c>
      <c r="BU358" s="18">
        <v>45699.386296296296</v>
      </c>
      <c r="BV358" s="13" t="s">
        <v>199</v>
      </c>
      <c r="BW358" s="14" t="s">
        <v>179</v>
      </c>
      <c r="BX358" s="14" t="s">
        <v>9990</v>
      </c>
      <c r="BY358" s="14" t="s">
        <v>179</v>
      </c>
      <c r="BZ358" s="14" t="s">
        <v>9991</v>
      </c>
      <c r="CA358" s="14" t="s">
        <v>179</v>
      </c>
      <c r="CB358" s="14" t="s">
        <v>9992</v>
      </c>
      <c r="CC358" s="15"/>
      <c r="CD358" s="15"/>
      <c r="CE358" s="15"/>
      <c r="CF358" s="15"/>
      <c r="CG358" s="19"/>
      <c r="CH358" s="15"/>
      <c r="CI358" s="19"/>
      <c r="CJ358" s="15"/>
      <c r="CK358" s="19"/>
      <c r="CL358" s="15"/>
      <c r="CM358" s="19"/>
      <c r="CN358" s="15"/>
      <c r="CO358" s="19"/>
      <c r="CP358" s="15"/>
      <c r="CQ358" s="15"/>
      <c r="CR358" s="15"/>
      <c r="CS358" s="19"/>
      <c r="CT358" s="15"/>
      <c r="CU358" s="19"/>
      <c r="CV358" s="15"/>
      <c r="CW358" s="19"/>
      <c r="CX358" s="15"/>
      <c r="CY358" s="19"/>
      <c r="CZ358" s="15"/>
      <c r="DA358" s="16" t="s">
        <v>197</v>
      </c>
      <c r="DB358" s="17" t="s">
        <v>228</v>
      </c>
      <c r="DC358" s="16"/>
      <c r="DD358" s="17" t="s">
        <v>198</v>
      </c>
      <c r="DE358" s="18">
        <v>45719.488657407404</v>
      </c>
      <c r="DF358" s="17" t="s">
        <v>198</v>
      </c>
      <c r="DG358" s="18">
        <v>45719.488657407404</v>
      </c>
      <c r="DH358" s="13" t="s">
        <v>205</v>
      </c>
      <c r="DI358" s="14" t="s">
        <v>179</v>
      </c>
      <c r="DJ358" s="14" t="s">
        <v>9993</v>
      </c>
      <c r="DK358" s="14" t="s">
        <v>179</v>
      </c>
      <c r="DL358" s="14" t="s">
        <v>9994</v>
      </c>
      <c r="DM358" s="15"/>
      <c r="DN358" s="15"/>
      <c r="DO358" s="15"/>
      <c r="DP358" s="15"/>
      <c r="DQ358" s="15"/>
      <c r="DR358" s="15"/>
      <c r="DS358" s="15"/>
      <c r="DT358" s="15"/>
      <c r="DU358" s="15"/>
      <c r="DV358" s="15"/>
      <c r="DW358" s="15"/>
      <c r="DX358" s="15"/>
      <c r="DY358" s="15"/>
      <c r="DZ358" s="15"/>
      <c r="EA358" s="15"/>
      <c r="EB358" s="15"/>
      <c r="EC358" s="16" t="s">
        <v>197</v>
      </c>
      <c r="ED358" s="17" t="s">
        <v>198</v>
      </c>
      <c r="EE358" s="18">
        <v>45719.48871527778</v>
      </c>
      <c r="EF358" s="13" t="s">
        <v>209</v>
      </c>
      <c r="EG358" s="14" t="s">
        <v>179</v>
      </c>
      <c r="EH358" s="14" t="s">
        <v>9995</v>
      </c>
      <c r="EI358" s="14" t="s">
        <v>179</v>
      </c>
      <c r="EJ358" s="14" t="s">
        <v>9995</v>
      </c>
      <c r="EK358" s="15"/>
      <c r="EL358" s="15"/>
      <c r="EM358" s="15"/>
      <c r="EN358" s="15"/>
      <c r="EO358" s="15"/>
      <c r="EP358" s="15"/>
      <c r="EQ358" s="15"/>
      <c r="ER358" s="15"/>
      <c r="ES358" s="15"/>
      <c r="ET358" s="15"/>
      <c r="EU358" s="15"/>
      <c r="EV358" s="15"/>
      <c r="EW358" s="15"/>
      <c r="EX358" s="15"/>
      <c r="EY358" s="15"/>
      <c r="EZ358" s="15"/>
      <c r="FA358" s="15"/>
      <c r="FB358" s="15"/>
      <c r="FC358" s="16" t="s">
        <v>197</v>
      </c>
      <c r="FD358" s="17" t="s">
        <v>198</v>
      </c>
      <c r="FE358" s="18">
        <v>45723.28395833333</v>
      </c>
      <c r="FF358" s="19"/>
      <c r="FG358" s="19"/>
      <c r="FH358" s="21" t="s">
        <v>197</v>
      </c>
      <c r="FI358" s="17" t="s">
        <v>214</v>
      </c>
      <c r="FJ358" s="18">
        <v>45723.28395833333</v>
      </c>
      <c r="FK358" s="14" t="s">
        <v>9995</v>
      </c>
      <c r="FL358" s="19"/>
      <c r="FM358" s="19"/>
      <c r="FN358" s="19"/>
      <c r="FO358" s="19"/>
      <c r="FP358" s="19" t="str">
        <f t="shared" si="1"/>
        <v/>
      </c>
      <c r="FQ358" s="14" t="s">
        <v>215</v>
      </c>
      <c r="FR358" s="14" t="s">
        <v>9996</v>
      </c>
    </row>
    <row r="359" ht="15.75" customHeight="1">
      <c r="A359" s="12" t="s">
        <v>174</v>
      </c>
      <c r="B359" s="22" t="s">
        <v>753</v>
      </c>
      <c r="C359" s="24" t="s">
        <v>375</v>
      </c>
      <c r="D359" s="22" t="s">
        <v>9997</v>
      </c>
      <c r="E359" s="22" t="s">
        <v>9998</v>
      </c>
      <c r="F359" s="13" t="s">
        <v>178</v>
      </c>
      <c r="G359" s="14" t="s">
        <v>179</v>
      </c>
      <c r="H359" s="14" t="s">
        <v>9999</v>
      </c>
      <c r="I359" s="14" t="s">
        <v>179</v>
      </c>
      <c r="J359" s="14" t="s">
        <v>10000</v>
      </c>
      <c r="K359" s="14" t="s">
        <v>179</v>
      </c>
      <c r="L359" s="14" t="s">
        <v>10001</v>
      </c>
      <c r="M359" s="14" t="s">
        <v>179</v>
      </c>
      <c r="N359" s="14" t="s">
        <v>10002</v>
      </c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6" t="s">
        <v>197</v>
      </c>
      <c r="BP359" s="17" t="s">
        <v>198</v>
      </c>
      <c r="BQ359" s="18">
        <v>45693.38800925926</v>
      </c>
      <c r="BR359" s="17" t="s">
        <v>198</v>
      </c>
      <c r="BS359" s="18">
        <v>45693.38810185185</v>
      </c>
      <c r="BT359" s="17" t="s">
        <v>198</v>
      </c>
      <c r="BU359" s="18">
        <v>45693.38810185185</v>
      </c>
      <c r="BV359" s="13" t="s">
        <v>199</v>
      </c>
      <c r="BW359" s="14" t="s">
        <v>179</v>
      </c>
      <c r="BX359" s="14" t="s">
        <v>10003</v>
      </c>
      <c r="BY359" s="14" t="s">
        <v>179</v>
      </c>
      <c r="BZ359" s="14" t="s">
        <v>10004</v>
      </c>
      <c r="CA359" s="14" t="s">
        <v>179</v>
      </c>
      <c r="CB359" s="14" t="s">
        <v>10005</v>
      </c>
      <c r="CC359" s="15"/>
      <c r="CD359" s="15"/>
      <c r="CE359" s="15"/>
      <c r="CF359" s="15"/>
      <c r="CG359" s="19"/>
      <c r="CH359" s="15"/>
      <c r="CI359" s="19"/>
      <c r="CJ359" s="15"/>
      <c r="CK359" s="19"/>
      <c r="CL359" s="15"/>
      <c r="CM359" s="19"/>
      <c r="CN359" s="15"/>
      <c r="CO359" s="19"/>
      <c r="CP359" s="15"/>
      <c r="CQ359" s="15"/>
      <c r="CR359" s="15"/>
      <c r="CS359" s="19"/>
      <c r="CT359" s="15"/>
      <c r="CU359" s="19"/>
      <c r="CV359" s="15"/>
      <c r="CW359" s="19"/>
      <c r="CX359" s="15"/>
      <c r="CY359" s="19"/>
      <c r="CZ359" s="15"/>
      <c r="DA359" s="16" t="s">
        <v>197</v>
      </c>
      <c r="DB359" s="17" t="s">
        <v>228</v>
      </c>
      <c r="DC359" s="16"/>
      <c r="DD359" s="17" t="s">
        <v>198</v>
      </c>
      <c r="DE359" s="18">
        <v>45719.48719907407</v>
      </c>
      <c r="DF359" s="17" t="s">
        <v>198</v>
      </c>
      <c r="DG359" s="18">
        <v>45719.48719907407</v>
      </c>
      <c r="DH359" s="13" t="s">
        <v>205</v>
      </c>
      <c r="DI359" s="14" t="s">
        <v>179</v>
      </c>
      <c r="DJ359" s="14" t="s">
        <v>10006</v>
      </c>
      <c r="DK359" s="14" t="s">
        <v>179</v>
      </c>
      <c r="DL359" s="14" t="s">
        <v>10007</v>
      </c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6" t="s">
        <v>197</v>
      </c>
      <c r="ED359" s="17" t="s">
        <v>198</v>
      </c>
      <c r="EE359" s="18">
        <v>45719.48724537037</v>
      </c>
      <c r="EF359" s="13" t="s">
        <v>209</v>
      </c>
      <c r="EG359" s="14" t="s">
        <v>179</v>
      </c>
      <c r="EH359" s="14" t="s">
        <v>10008</v>
      </c>
      <c r="EI359" s="14" t="s">
        <v>179</v>
      </c>
      <c r="EJ359" s="14" t="s">
        <v>10009</v>
      </c>
      <c r="EK359" s="15"/>
      <c r="EL359" s="15"/>
      <c r="EM359" s="15"/>
      <c r="EN359" s="15"/>
      <c r="EO359" s="15"/>
      <c r="EP359" s="15"/>
      <c r="EQ359" s="15"/>
      <c r="ER359" s="15"/>
      <c r="ES359" s="15"/>
      <c r="ET359" s="15"/>
      <c r="EU359" s="15"/>
      <c r="EV359" s="15"/>
      <c r="EW359" s="15"/>
      <c r="EX359" s="15"/>
      <c r="EY359" s="15"/>
      <c r="EZ359" s="15"/>
      <c r="FA359" s="15"/>
      <c r="FB359" s="15"/>
      <c r="FC359" s="16" t="s">
        <v>197</v>
      </c>
      <c r="FD359" s="17" t="s">
        <v>198</v>
      </c>
      <c r="FE359" s="18">
        <v>45723.27054398148</v>
      </c>
      <c r="FF359" s="19"/>
      <c r="FG359" s="19"/>
      <c r="FH359" s="21" t="s">
        <v>197</v>
      </c>
      <c r="FI359" s="17" t="s">
        <v>214</v>
      </c>
      <c r="FJ359" s="18">
        <v>45723.27054398148</v>
      </c>
      <c r="FK359" s="14" t="s">
        <v>10008</v>
      </c>
      <c r="FL359" s="14" t="s">
        <v>10010</v>
      </c>
      <c r="FM359" s="14" t="s">
        <v>10011</v>
      </c>
      <c r="FN359" s="19"/>
      <c r="FO359" s="19"/>
      <c r="FP359" s="19" t="str">
        <f t="shared" si="1"/>
        <v>Base de Dados_Images/FIT20103.Imagem do Equipamento-.131345.jpg</v>
      </c>
      <c r="FQ359" s="19"/>
      <c r="FR359" s="19"/>
    </row>
    <row r="360" ht="15.75" customHeight="1">
      <c r="A360" s="12" t="s">
        <v>174</v>
      </c>
      <c r="B360" s="22" t="s">
        <v>824</v>
      </c>
      <c r="C360" s="24" t="s">
        <v>375</v>
      </c>
      <c r="D360" s="22" t="s">
        <v>10012</v>
      </c>
      <c r="E360" s="22" t="s">
        <v>10013</v>
      </c>
      <c r="F360" s="13" t="s">
        <v>178</v>
      </c>
      <c r="G360" s="14" t="s">
        <v>179</v>
      </c>
      <c r="H360" s="14" t="s">
        <v>10014</v>
      </c>
      <c r="I360" s="14" t="s">
        <v>179</v>
      </c>
      <c r="J360" s="14" t="s">
        <v>10015</v>
      </c>
      <c r="K360" s="14" t="s">
        <v>179</v>
      </c>
      <c r="L360" s="14" t="s">
        <v>10016</v>
      </c>
      <c r="M360" s="14" t="s">
        <v>179</v>
      </c>
      <c r="N360" s="14" t="s">
        <v>10017</v>
      </c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6" t="s">
        <v>197</v>
      </c>
      <c r="BP360" s="17" t="s">
        <v>198</v>
      </c>
      <c r="BQ360" s="18">
        <v>45693.38726851852</v>
      </c>
      <c r="BR360" s="17" t="s">
        <v>198</v>
      </c>
      <c r="BS360" s="18">
        <v>45693.387337962966</v>
      </c>
      <c r="BT360" s="17" t="s">
        <v>198</v>
      </c>
      <c r="BU360" s="18">
        <v>45693.387337962966</v>
      </c>
      <c r="BV360" s="13" t="s">
        <v>199</v>
      </c>
      <c r="BW360" s="14" t="s">
        <v>179</v>
      </c>
      <c r="BX360" s="14" t="s">
        <v>10018</v>
      </c>
      <c r="BY360" s="14" t="s">
        <v>179</v>
      </c>
      <c r="BZ360" s="14" t="s">
        <v>10019</v>
      </c>
      <c r="CA360" s="14" t="s">
        <v>179</v>
      </c>
      <c r="CB360" s="14" t="s">
        <v>10020</v>
      </c>
      <c r="CC360" s="15"/>
      <c r="CD360" s="15"/>
      <c r="CE360" s="15"/>
      <c r="CF360" s="15"/>
      <c r="CG360" s="19"/>
      <c r="CH360" s="15"/>
      <c r="CI360" s="19"/>
      <c r="CJ360" s="15"/>
      <c r="CK360" s="19"/>
      <c r="CL360" s="15"/>
      <c r="CM360" s="19"/>
      <c r="CN360" s="15"/>
      <c r="CO360" s="19"/>
      <c r="CP360" s="15"/>
      <c r="CQ360" s="15"/>
      <c r="CR360" s="15"/>
      <c r="CS360" s="19"/>
      <c r="CT360" s="15"/>
      <c r="CU360" s="19"/>
      <c r="CV360" s="15"/>
      <c r="CW360" s="19"/>
      <c r="CX360" s="15"/>
      <c r="CY360" s="19"/>
      <c r="CZ360" s="15"/>
      <c r="DA360" s="16" t="s">
        <v>197</v>
      </c>
      <c r="DB360" s="17" t="s">
        <v>228</v>
      </c>
      <c r="DC360" s="16"/>
      <c r="DD360" s="17" t="s">
        <v>198</v>
      </c>
      <c r="DE360" s="18">
        <v>45719.488078703704</v>
      </c>
      <c r="DF360" s="17" t="s">
        <v>198</v>
      </c>
      <c r="DG360" s="18">
        <v>45719.488078703704</v>
      </c>
      <c r="DH360" s="13" t="s">
        <v>205</v>
      </c>
      <c r="DI360" s="14" t="s">
        <v>179</v>
      </c>
      <c r="DJ360" s="14" t="s">
        <v>10021</v>
      </c>
      <c r="DK360" s="14" t="s">
        <v>179</v>
      </c>
      <c r="DL360" s="14" t="s">
        <v>10022</v>
      </c>
      <c r="DM360" s="15"/>
      <c r="DN360" s="15"/>
      <c r="DO360" s="15"/>
      <c r="DP360" s="15"/>
      <c r="DQ360" s="15"/>
      <c r="DR360" s="15"/>
      <c r="DS360" s="15"/>
      <c r="DT360" s="15"/>
      <c r="DU360" s="15"/>
      <c r="DV360" s="15"/>
      <c r="DW360" s="15"/>
      <c r="DX360" s="15"/>
      <c r="DY360" s="15"/>
      <c r="DZ360" s="15"/>
      <c r="EA360" s="15"/>
      <c r="EB360" s="15"/>
      <c r="EC360" s="16" t="s">
        <v>197</v>
      </c>
      <c r="ED360" s="17" t="s">
        <v>198</v>
      </c>
      <c r="EE360" s="18">
        <v>45719.48813657407</v>
      </c>
      <c r="EF360" s="13" t="s">
        <v>209</v>
      </c>
      <c r="EG360" s="14" t="s">
        <v>179</v>
      </c>
      <c r="EH360" s="14" t="s">
        <v>10023</v>
      </c>
      <c r="EI360" s="14" t="s">
        <v>179</v>
      </c>
      <c r="EJ360" s="14" t="s">
        <v>10023</v>
      </c>
      <c r="EK360" s="15"/>
      <c r="EL360" s="15"/>
      <c r="EM360" s="15"/>
      <c r="EN360" s="15"/>
      <c r="EO360" s="15"/>
      <c r="EP360" s="15"/>
      <c r="EQ360" s="15"/>
      <c r="ER360" s="15"/>
      <c r="ES360" s="15"/>
      <c r="ET360" s="15"/>
      <c r="EU360" s="15"/>
      <c r="EV360" s="15"/>
      <c r="EW360" s="15"/>
      <c r="EX360" s="15"/>
      <c r="EY360" s="15"/>
      <c r="EZ360" s="15"/>
      <c r="FA360" s="15"/>
      <c r="FB360" s="15"/>
      <c r="FC360" s="16" t="s">
        <v>197</v>
      </c>
      <c r="FD360" s="17" t="s">
        <v>198</v>
      </c>
      <c r="FE360" s="18">
        <v>45723.283530092594</v>
      </c>
      <c r="FF360" s="19"/>
      <c r="FG360" s="19"/>
      <c r="FH360" s="21" t="s">
        <v>197</v>
      </c>
      <c r="FI360" s="17" t="s">
        <v>214</v>
      </c>
      <c r="FJ360" s="18">
        <v>45723.283530092594</v>
      </c>
      <c r="FK360" s="14" t="s">
        <v>10023</v>
      </c>
      <c r="FL360" s="14" t="s">
        <v>10024</v>
      </c>
      <c r="FM360" s="14" t="s">
        <v>10025</v>
      </c>
      <c r="FN360" s="19"/>
      <c r="FO360" s="19"/>
      <c r="FP360" s="19" t="str">
        <f t="shared" si="1"/>
        <v>Base de Dados_Images/FIT20105.Imagem do Equipamento-.131316.jpg</v>
      </c>
      <c r="FQ360" s="19"/>
      <c r="FR360" s="19"/>
    </row>
    <row r="361" ht="15.75" customHeight="1">
      <c r="A361" s="12" t="s">
        <v>292</v>
      </c>
      <c r="B361" s="12" t="s">
        <v>6546</v>
      </c>
      <c r="C361" s="24" t="s">
        <v>375</v>
      </c>
      <c r="D361" s="22" t="s">
        <v>10026</v>
      </c>
      <c r="E361" s="22" t="s">
        <v>10027</v>
      </c>
      <c r="F361" s="13" t="s">
        <v>178</v>
      </c>
      <c r="G361" s="14" t="s">
        <v>179</v>
      </c>
      <c r="H361" s="14" t="s">
        <v>10028</v>
      </c>
      <c r="I361" s="14" t="s">
        <v>179</v>
      </c>
      <c r="J361" s="14" t="s">
        <v>10029</v>
      </c>
      <c r="K361" s="14" t="s">
        <v>179</v>
      </c>
      <c r="L361" s="14" t="s">
        <v>10030</v>
      </c>
      <c r="M361" s="14" t="s">
        <v>179</v>
      </c>
      <c r="N361" s="14" t="s">
        <v>10031</v>
      </c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6" t="s">
        <v>197</v>
      </c>
      <c r="BP361" s="17" t="s">
        <v>198</v>
      </c>
      <c r="BQ361" s="18">
        <v>45695.62666666666</v>
      </c>
      <c r="BR361" s="17" t="s">
        <v>198</v>
      </c>
      <c r="BS361" s="18">
        <v>45695.62671296296</v>
      </c>
      <c r="BT361" s="17" t="s">
        <v>198</v>
      </c>
      <c r="BU361" s="18">
        <v>45695.62671296296</v>
      </c>
      <c r="BV361" s="13" t="s">
        <v>199</v>
      </c>
      <c r="BW361" s="14" t="s">
        <v>179</v>
      </c>
      <c r="BX361" s="14" t="s">
        <v>10032</v>
      </c>
      <c r="BY361" s="14" t="s">
        <v>179</v>
      </c>
      <c r="BZ361" s="14" t="s">
        <v>10033</v>
      </c>
      <c r="CA361" s="14" t="s">
        <v>179</v>
      </c>
      <c r="CB361" s="14" t="s">
        <v>10034</v>
      </c>
      <c r="CC361" s="15"/>
      <c r="CD361" s="15"/>
      <c r="CE361" s="15"/>
      <c r="CF361" s="15"/>
      <c r="CG361" s="19"/>
      <c r="CH361" s="15"/>
      <c r="CI361" s="19"/>
      <c r="CJ361" s="15"/>
      <c r="CK361" s="19"/>
      <c r="CL361" s="15"/>
      <c r="CM361" s="19"/>
      <c r="CN361" s="15"/>
      <c r="CO361" s="19"/>
      <c r="CP361" s="15"/>
      <c r="CQ361" s="15"/>
      <c r="CR361" s="15"/>
      <c r="CS361" s="19"/>
      <c r="CT361" s="15"/>
      <c r="CU361" s="19"/>
      <c r="CV361" s="15"/>
      <c r="CW361" s="19"/>
      <c r="CX361" s="15"/>
      <c r="CY361" s="19"/>
      <c r="CZ361" s="15"/>
      <c r="DA361" s="16" t="s">
        <v>197</v>
      </c>
      <c r="DB361" s="17" t="s">
        <v>228</v>
      </c>
      <c r="DC361" s="16"/>
      <c r="DD361" s="17" t="s">
        <v>198</v>
      </c>
      <c r="DE361" s="18">
        <v>45695.62679398148</v>
      </c>
      <c r="DF361" s="17" t="s">
        <v>198</v>
      </c>
      <c r="DG361" s="18">
        <v>45695.62679398148</v>
      </c>
      <c r="DH361" s="13" t="s">
        <v>205</v>
      </c>
      <c r="DI361" s="14" t="s">
        <v>179</v>
      </c>
      <c r="DJ361" s="14" t="s">
        <v>10035</v>
      </c>
      <c r="DK361" s="14" t="s">
        <v>179</v>
      </c>
      <c r="DL361" s="14" t="s">
        <v>10036</v>
      </c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6" t="s">
        <v>197</v>
      </c>
      <c r="ED361" s="17" t="s">
        <v>198</v>
      </c>
      <c r="EE361" s="18">
        <v>45695.62684027778</v>
      </c>
      <c r="EF361" s="13" t="s">
        <v>209</v>
      </c>
      <c r="EG361" s="14" t="s">
        <v>179</v>
      </c>
      <c r="EH361" s="14" t="s">
        <v>10037</v>
      </c>
      <c r="EI361" s="14" t="s">
        <v>179</v>
      </c>
      <c r="EJ361" s="14" t="s">
        <v>10038</v>
      </c>
      <c r="EK361" s="15"/>
      <c r="EL361" s="15"/>
      <c r="EM361" s="15"/>
      <c r="EN361" s="15"/>
      <c r="EO361" s="15"/>
      <c r="EP361" s="15"/>
      <c r="EQ361" s="15"/>
      <c r="ER361" s="15"/>
      <c r="ES361" s="15"/>
      <c r="ET361" s="15"/>
      <c r="EU361" s="15"/>
      <c r="EV361" s="15"/>
      <c r="EW361" s="15"/>
      <c r="EX361" s="15"/>
      <c r="EY361" s="15"/>
      <c r="EZ361" s="15"/>
      <c r="FA361" s="15"/>
      <c r="FB361" s="15"/>
      <c r="FC361" s="16" t="s">
        <v>197</v>
      </c>
      <c r="FD361" s="17" t="s">
        <v>198</v>
      </c>
      <c r="FE361" s="18">
        <v>45724.39975694445</v>
      </c>
      <c r="FF361" s="19"/>
      <c r="FG361" s="19"/>
      <c r="FH361" s="21" t="s">
        <v>197</v>
      </c>
      <c r="FI361" s="17" t="s">
        <v>214</v>
      </c>
      <c r="FJ361" s="18">
        <v>45724.39975694445</v>
      </c>
      <c r="FK361" s="14" t="s">
        <v>10038</v>
      </c>
      <c r="FL361" s="19"/>
      <c r="FM361" s="19"/>
      <c r="FN361" s="19"/>
      <c r="FO361" s="19"/>
      <c r="FP361" s="19" t="str">
        <f t="shared" si="1"/>
        <v/>
      </c>
      <c r="FQ361" s="14" t="s">
        <v>215</v>
      </c>
      <c r="FR361" s="14" t="s">
        <v>10039</v>
      </c>
    </row>
    <row r="362" ht="15.75" customHeight="1">
      <c r="A362" s="12" t="s">
        <v>217</v>
      </c>
      <c r="B362" s="12" t="s">
        <v>9709</v>
      </c>
      <c r="C362" s="24" t="s">
        <v>375</v>
      </c>
      <c r="D362" s="22" t="s">
        <v>10040</v>
      </c>
      <c r="E362" s="22" t="s">
        <v>10041</v>
      </c>
      <c r="F362" s="13" t="s">
        <v>178</v>
      </c>
      <c r="G362" s="14" t="s">
        <v>179</v>
      </c>
      <c r="H362" s="14" t="s">
        <v>10042</v>
      </c>
      <c r="I362" s="14" t="s">
        <v>179</v>
      </c>
      <c r="J362" s="14" t="s">
        <v>10043</v>
      </c>
      <c r="K362" s="14" t="s">
        <v>179</v>
      </c>
      <c r="L362" s="14" t="s">
        <v>10043</v>
      </c>
      <c r="M362" s="14" t="s">
        <v>179</v>
      </c>
      <c r="N362" s="14" t="s">
        <v>10044</v>
      </c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6" t="s">
        <v>197</v>
      </c>
      <c r="BP362" s="17" t="s">
        <v>198</v>
      </c>
      <c r="BQ362" s="18">
        <v>45701.465266203704</v>
      </c>
      <c r="BR362" s="17" t="s">
        <v>198</v>
      </c>
      <c r="BS362" s="18">
        <v>45701.46530092593</v>
      </c>
      <c r="BT362" s="17" t="s">
        <v>198</v>
      </c>
      <c r="BU362" s="18">
        <v>45701.46530092593</v>
      </c>
      <c r="BV362" s="13" t="s">
        <v>199</v>
      </c>
      <c r="BW362" s="14" t="s">
        <v>179</v>
      </c>
      <c r="BX362" s="14" t="s">
        <v>10045</v>
      </c>
      <c r="BY362" s="14" t="s">
        <v>179</v>
      </c>
      <c r="BZ362" s="14" t="s">
        <v>10045</v>
      </c>
      <c r="CA362" s="14" t="s">
        <v>179</v>
      </c>
      <c r="CB362" s="14" t="s">
        <v>10046</v>
      </c>
      <c r="CC362" s="15"/>
      <c r="CD362" s="15"/>
      <c r="CE362" s="15"/>
      <c r="CF362" s="15"/>
      <c r="CG362" s="19"/>
      <c r="CH362" s="15"/>
      <c r="CI362" s="19"/>
      <c r="CJ362" s="15"/>
      <c r="CK362" s="19"/>
      <c r="CL362" s="15"/>
      <c r="CM362" s="19"/>
      <c r="CN362" s="15"/>
      <c r="CO362" s="19"/>
      <c r="CP362" s="15"/>
      <c r="CQ362" s="15"/>
      <c r="CR362" s="15"/>
      <c r="CS362" s="19"/>
      <c r="CT362" s="15"/>
      <c r="CU362" s="19"/>
      <c r="CV362" s="15"/>
      <c r="CW362" s="19"/>
      <c r="CX362" s="15"/>
      <c r="CY362" s="19"/>
      <c r="CZ362" s="15"/>
      <c r="DA362" s="16" t="s">
        <v>197</v>
      </c>
      <c r="DB362" s="17" t="s">
        <v>228</v>
      </c>
      <c r="DC362" s="16"/>
      <c r="DD362" s="17" t="s">
        <v>198</v>
      </c>
      <c r="DE362" s="18">
        <v>45701.46537037037</v>
      </c>
      <c r="DF362" s="17" t="s">
        <v>198</v>
      </c>
      <c r="DG362" s="18">
        <v>45701.46537037037</v>
      </c>
      <c r="DH362" s="13" t="s">
        <v>205</v>
      </c>
      <c r="DI362" s="14" t="s">
        <v>179</v>
      </c>
      <c r="DJ362" s="14" t="s">
        <v>10047</v>
      </c>
      <c r="DK362" s="14" t="s">
        <v>179</v>
      </c>
      <c r="DL362" s="14" t="s">
        <v>10048</v>
      </c>
      <c r="DM362" s="15"/>
      <c r="DN362" s="15"/>
      <c r="DO362" s="15"/>
      <c r="DP362" s="15"/>
      <c r="DQ362" s="15"/>
      <c r="DR362" s="15"/>
      <c r="DS362" s="15"/>
      <c r="DT362" s="15"/>
      <c r="DU362" s="15"/>
      <c r="DV362" s="15"/>
      <c r="DW362" s="15"/>
      <c r="DX362" s="15"/>
      <c r="DY362" s="15"/>
      <c r="DZ362" s="15"/>
      <c r="EA362" s="15"/>
      <c r="EB362" s="15"/>
      <c r="EC362" s="16" t="s">
        <v>197</v>
      </c>
      <c r="ED362" s="17" t="s">
        <v>198</v>
      </c>
      <c r="EE362" s="18">
        <v>45701.46587962963</v>
      </c>
      <c r="EF362" s="13" t="s">
        <v>209</v>
      </c>
      <c r="EG362" s="14" t="s">
        <v>179</v>
      </c>
      <c r="EH362" s="14" t="s">
        <v>10049</v>
      </c>
      <c r="EI362" s="14" t="s">
        <v>179</v>
      </c>
      <c r="EJ362" s="14" t="s">
        <v>10050</v>
      </c>
      <c r="EK362" s="15"/>
      <c r="EL362" s="15"/>
      <c r="EM362" s="15"/>
      <c r="EN362" s="15"/>
      <c r="EO362" s="15"/>
      <c r="EP362" s="15"/>
      <c r="EQ362" s="15"/>
      <c r="ER362" s="15"/>
      <c r="ES362" s="15"/>
      <c r="ET362" s="15"/>
      <c r="EU362" s="15"/>
      <c r="EV362" s="15"/>
      <c r="EW362" s="15"/>
      <c r="EX362" s="15"/>
      <c r="EY362" s="15"/>
      <c r="EZ362" s="15"/>
      <c r="FA362" s="15"/>
      <c r="FB362" s="15"/>
      <c r="FC362" s="16" t="s">
        <v>197</v>
      </c>
      <c r="FD362" s="17" t="s">
        <v>198</v>
      </c>
      <c r="FE362" s="18">
        <v>45723.35005787037</v>
      </c>
      <c r="FF362" s="19"/>
      <c r="FG362" s="19"/>
      <c r="FH362" s="21" t="s">
        <v>197</v>
      </c>
      <c r="FI362" s="17" t="s">
        <v>214</v>
      </c>
      <c r="FJ362" s="18">
        <v>45723.35005787037</v>
      </c>
      <c r="FK362" s="14" t="s">
        <v>10050</v>
      </c>
      <c r="FL362" s="19"/>
      <c r="FM362" s="19"/>
      <c r="FN362" s="19"/>
      <c r="FO362" s="19"/>
      <c r="FP362" s="19" t="str">
        <f t="shared" si="1"/>
        <v/>
      </c>
      <c r="FQ362" s="14" t="s">
        <v>215</v>
      </c>
      <c r="FR362" s="14" t="s">
        <v>10051</v>
      </c>
    </row>
    <row r="363" ht="15.75" customHeight="1">
      <c r="A363" s="12" t="s">
        <v>217</v>
      </c>
      <c r="B363" s="12" t="s">
        <v>9709</v>
      </c>
      <c r="C363" s="24" t="s">
        <v>375</v>
      </c>
      <c r="D363" s="22" t="s">
        <v>10052</v>
      </c>
      <c r="E363" s="22" t="s">
        <v>10053</v>
      </c>
      <c r="F363" s="13" t="s">
        <v>178</v>
      </c>
      <c r="G363" s="14" t="s">
        <v>179</v>
      </c>
      <c r="H363" s="14" t="s">
        <v>10054</v>
      </c>
      <c r="I363" s="14" t="s">
        <v>179</v>
      </c>
      <c r="J363" s="14" t="s">
        <v>10055</v>
      </c>
      <c r="K363" s="14" t="s">
        <v>179</v>
      </c>
      <c r="L363" s="14" t="s">
        <v>10056</v>
      </c>
      <c r="M363" s="14" t="s">
        <v>179</v>
      </c>
      <c r="N363" s="14" t="s">
        <v>10057</v>
      </c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6" t="s">
        <v>197</v>
      </c>
      <c r="BP363" s="17" t="s">
        <v>198</v>
      </c>
      <c r="BQ363" s="18">
        <v>45701.44480324074</v>
      </c>
      <c r="BR363" s="17" t="s">
        <v>198</v>
      </c>
      <c r="BS363" s="18">
        <v>45701.44495370371</v>
      </c>
      <c r="BT363" s="17" t="s">
        <v>198</v>
      </c>
      <c r="BU363" s="18">
        <v>45701.44495370371</v>
      </c>
      <c r="BV363" s="13" t="s">
        <v>199</v>
      </c>
      <c r="BW363" s="14" t="s">
        <v>179</v>
      </c>
      <c r="BX363" s="14" t="s">
        <v>10058</v>
      </c>
      <c r="BY363" s="14" t="s">
        <v>179</v>
      </c>
      <c r="BZ363" s="14" t="s">
        <v>10059</v>
      </c>
      <c r="CA363" s="14" t="s">
        <v>179</v>
      </c>
      <c r="CB363" s="14" t="s">
        <v>10060</v>
      </c>
      <c r="CC363" s="15"/>
      <c r="CD363" s="15"/>
      <c r="CE363" s="15"/>
      <c r="CF363" s="15"/>
      <c r="CG363" s="19"/>
      <c r="CH363" s="15"/>
      <c r="CI363" s="19"/>
      <c r="CJ363" s="15"/>
      <c r="CK363" s="19"/>
      <c r="CL363" s="15"/>
      <c r="CM363" s="19"/>
      <c r="CN363" s="15"/>
      <c r="CO363" s="19"/>
      <c r="CP363" s="15"/>
      <c r="CQ363" s="15"/>
      <c r="CR363" s="15"/>
      <c r="CS363" s="19"/>
      <c r="CT363" s="15"/>
      <c r="CU363" s="19"/>
      <c r="CV363" s="15"/>
      <c r="CW363" s="19"/>
      <c r="CX363" s="15"/>
      <c r="CY363" s="19"/>
      <c r="CZ363" s="15"/>
      <c r="DA363" s="16" t="s">
        <v>197</v>
      </c>
      <c r="DB363" s="17" t="s">
        <v>228</v>
      </c>
      <c r="DC363" s="16"/>
      <c r="DD363" s="17" t="s">
        <v>198</v>
      </c>
      <c r="DE363" s="18">
        <v>45701.44546296296</v>
      </c>
      <c r="DF363" s="17" t="s">
        <v>198</v>
      </c>
      <c r="DG363" s="18">
        <v>45701.44546296296</v>
      </c>
      <c r="DH363" s="13" t="s">
        <v>205</v>
      </c>
      <c r="DI363" s="14" t="s">
        <v>179</v>
      </c>
      <c r="DJ363" s="14" t="s">
        <v>10061</v>
      </c>
      <c r="DK363" s="14" t="s">
        <v>179</v>
      </c>
      <c r="DL363" s="14" t="s">
        <v>10062</v>
      </c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6" t="s">
        <v>197</v>
      </c>
      <c r="ED363" s="17" t="s">
        <v>198</v>
      </c>
      <c r="EE363" s="18">
        <v>45701.44582175926</v>
      </c>
      <c r="EF363" s="13" t="s">
        <v>209</v>
      </c>
      <c r="EG363" s="14" t="s">
        <v>179</v>
      </c>
      <c r="EH363" s="14" t="s">
        <v>10063</v>
      </c>
      <c r="EI363" s="14" t="s">
        <v>179</v>
      </c>
      <c r="EJ363" s="14" t="s">
        <v>10063</v>
      </c>
      <c r="EK363" s="15"/>
      <c r="EL363" s="15"/>
      <c r="EM363" s="15"/>
      <c r="EN363" s="15"/>
      <c r="EO363" s="15"/>
      <c r="EP363" s="15"/>
      <c r="EQ363" s="15"/>
      <c r="ER363" s="15"/>
      <c r="ES363" s="15"/>
      <c r="ET363" s="15"/>
      <c r="EU363" s="15"/>
      <c r="EV363" s="15"/>
      <c r="EW363" s="15"/>
      <c r="EX363" s="15"/>
      <c r="EY363" s="15"/>
      <c r="EZ363" s="15"/>
      <c r="FA363" s="15"/>
      <c r="FB363" s="15"/>
      <c r="FC363" s="16" t="s">
        <v>197</v>
      </c>
      <c r="FD363" s="17" t="s">
        <v>198</v>
      </c>
      <c r="FE363" s="18">
        <v>45723.35018518518</v>
      </c>
      <c r="FF363" s="19"/>
      <c r="FG363" s="19"/>
      <c r="FH363" s="21" t="s">
        <v>197</v>
      </c>
      <c r="FI363" s="17" t="s">
        <v>214</v>
      </c>
      <c r="FJ363" s="18">
        <v>45723.35018518518</v>
      </c>
      <c r="FK363" s="14" t="s">
        <v>10063</v>
      </c>
      <c r="FL363" s="19"/>
      <c r="FM363" s="19"/>
      <c r="FN363" s="19"/>
      <c r="FO363" s="19"/>
      <c r="FP363" s="19" t="str">
        <f t="shared" si="1"/>
        <v/>
      </c>
      <c r="FQ363" s="14" t="s">
        <v>215</v>
      </c>
      <c r="FR363" s="14" t="s">
        <v>10064</v>
      </c>
    </row>
    <row r="364" ht="15.75" customHeight="1">
      <c r="A364" s="12" t="s">
        <v>217</v>
      </c>
      <c r="B364" s="12" t="s">
        <v>8821</v>
      </c>
      <c r="C364" s="24" t="s">
        <v>375</v>
      </c>
      <c r="D364" s="22" t="s">
        <v>10065</v>
      </c>
      <c r="E364" s="22" t="s">
        <v>10066</v>
      </c>
      <c r="F364" s="13" t="s">
        <v>178</v>
      </c>
      <c r="G364" s="14" t="s">
        <v>179</v>
      </c>
      <c r="H364" s="14" t="s">
        <v>10067</v>
      </c>
      <c r="I364" s="14" t="s">
        <v>179</v>
      </c>
      <c r="J364" s="14" t="s">
        <v>10068</v>
      </c>
      <c r="K364" s="14" t="s">
        <v>179</v>
      </c>
      <c r="L364" s="14" t="s">
        <v>10069</v>
      </c>
      <c r="M364" s="14" t="s">
        <v>179</v>
      </c>
      <c r="N364" s="14" t="s">
        <v>10070</v>
      </c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6" t="s">
        <v>197</v>
      </c>
      <c r="BP364" s="17" t="s">
        <v>198</v>
      </c>
      <c r="BQ364" s="18">
        <v>45701.54958333333</v>
      </c>
      <c r="BR364" s="17" t="s">
        <v>198</v>
      </c>
      <c r="BS364" s="18">
        <v>45701.54966435185</v>
      </c>
      <c r="BT364" s="17" t="s">
        <v>198</v>
      </c>
      <c r="BU364" s="18">
        <v>45701.54966435185</v>
      </c>
      <c r="BV364" s="13" t="s">
        <v>199</v>
      </c>
      <c r="BW364" s="14" t="s">
        <v>179</v>
      </c>
      <c r="BX364" s="14" t="s">
        <v>10071</v>
      </c>
      <c r="BY364" s="14" t="s">
        <v>179</v>
      </c>
      <c r="BZ364" s="14" t="s">
        <v>10072</v>
      </c>
      <c r="CA364" s="14" t="s">
        <v>179</v>
      </c>
      <c r="CB364" s="14" t="s">
        <v>10073</v>
      </c>
      <c r="CC364" s="15"/>
      <c r="CD364" s="15"/>
      <c r="CE364" s="15"/>
      <c r="CF364" s="15"/>
      <c r="CG364" s="19"/>
      <c r="CH364" s="15"/>
      <c r="CI364" s="19"/>
      <c r="CJ364" s="15"/>
      <c r="CK364" s="19"/>
      <c r="CL364" s="15"/>
      <c r="CM364" s="19"/>
      <c r="CN364" s="15"/>
      <c r="CO364" s="19"/>
      <c r="CP364" s="15"/>
      <c r="CQ364" s="15"/>
      <c r="CR364" s="15"/>
      <c r="CS364" s="19"/>
      <c r="CT364" s="15"/>
      <c r="CU364" s="19"/>
      <c r="CV364" s="15"/>
      <c r="CW364" s="19"/>
      <c r="CX364" s="15"/>
      <c r="CY364" s="19"/>
      <c r="CZ364" s="15"/>
      <c r="DA364" s="16" t="s">
        <v>197</v>
      </c>
      <c r="DB364" s="17" t="s">
        <v>228</v>
      </c>
      <c r="DC364" s="16"/>
      <c r="DD364" s="17" t="s">
        <v>198</v>
      </c>
      <c r="DE364" s="18">
        <v>45701.54988425926</v>
      </c>
      <c r="DF364" s="17" t="s">
        <v>198</v>
      </c>
      <c r="DG364" s="18">
        <v>45701.54988425926</v>
      </c>
      <c r="DH364" s="13" t="s">
        <v>205</v>
      </c>
      <c r="DI364" s="14" t="s">
        <v>179</v>
      </c>
      <c r="DJ364" s="14" t="s">
        <v>10074</v>
      </c>
      <c r="DK364" s="14" t="s">
        <v>179</v>
      </c>
      <c r="DL364" s="14" t="s">
        <v>10075</v>
      </c>
      <c r="DM364" s="15"/>
      <c r="DN364" s="15"/>
      <c r="DO364" s="15"/>
      <c r="DP364" s="15"/>
      <c r="DQ364" s="15"/>
      <c r="DR364" s="15"/>
      <c r="DS364" s="15"/>
      <c r="DT364" s="15"/>
      <c r="DU364" s="15"/>
      <c r="DV364" s="15"/>
      <c r="DW364" s="15"/>
      <c r="DX364" s="15"/>
      <c r="DY364" s="15"/>
      <c r="DZ364" s="15"/>
      <c r="EA364" s="15"/>
      <c r="EB364" s="15"/>
      <c r="EC364" s="16" t="s">
        <v>197</v>
      </c>
      <c r="ED364" s="17" t="s">
        <v>198</v>
      </c>
      <c r="EE364" s="18">
        <v>45701.55021990741</v>
      </c>
      <c r="EF364" s="13" t="s">
        <v>209</v>
      </c>
      <c r="EG364" s="14" t="s">
        <v>179</v>
      </c>
      <c r="EH364" s="14" t="s">
        <v>10076</v>
      </c>
      <c r="EI364" s="14" t="s">
        <v>179</v>
      </c>
      <c r="EJ364" s="14" t="s">
        <v>10077</v>
      </c>
      <c r="EK364" s="15"/>
      <c r="EL364" s="15"/>
      <c r="EM364" s="15"/>
      <c r="EN364" s="15"/>
      <c r="EO364" s="15"/>
      <c r="EP364" s="15"/>
      <c r="EQ364" s="15"/>
      <c r="ER364" s="15"/>
      <c r="ES364" s="15"/>
      <c r="ET364" s="15"/>
      <c r="EU364" s="15"/>
      <c r="EV364" s="15"/>
      <c r="EW364" s="15"/>
      <c r="EX364" s="15"/>
      <c r="EY364" s="15"/>
      <c r="EZ364" s="15"/>
      <c r="FA364" s="15"/>
      <c r="FB364" s="15"/>
      <c r="FC364" s="16" t="s">
        <v>197</v>
      </c>
      <c r="FD364" s="17" t="s">
        <v>198</v>
      </c>
      <c r="FE364" s="18">
        <v>45723.351111111115</v>
      </c>
      <c r="FF364" s="19"/>
      <c r="FG364" s="19"/>
      <c r="FH364" s="21" t="s">
        <v>197</v>
      </c>
      <c r="FI364" s="17" t="s">
        <v>214</v>
      </c>
      <c r="FJ364" s="18">
        <v>45723.351111111115</v>
      </c>
      <c r="FK364" s="14" t="s">
        <v>10077</v>
      </c>
      <c r="FL364" s="19"/>
      <c r="FM364" s="19"/>
      <c r="FN364" s="19"/>
      <c r="FO364" s="19"/>
      <c r="FP364" s="19" t="str">
        <f t="shared" si="1"/>
        <v/>
      </c>
      <c r="FQ364" s="14" t="s">
        <v>215</v>
      </c>
      <c r="FR364" s="14" t="s">
        <v>10078</v>
      </c>
    </row>
    <row r="365" ht="15.75" customHeight="1">
      <c r="A365" s="12" t="s">
        <v>217</v>
      </c>
      <c r="B365" s="12" t="s">
        <v>8821</v>
      </c>
      <c r="C365" s="24" t="s">
        <v>375</v>
      </c>
      <c r="D365" s="22" t="s">
        <v>10079</v>
      </c>
      <c r="E365" s="22" t="s">
        <v>10080</v>
      </c>
      <c r="F365" s="13" t="s">
        <v>178</v>
      </c>
      <c r="G365" s="14" t="s">
        <v>179</v>
      </c>
      <c r="H365" s="14" t="s">
        <v>10081</v>
      </c>
      <c r="I365" s="14" t="s">
        <v>179</v>
      </c>
      <c r="J365" s="14" t="s">
        <v>10082</v>
      </c>
      <c r="K365" s="14" t="s">
        <v>179</v>
      </c>
      <c r="L365" s="14" t="s">
        <v>10083</v>
      </c>
      <c r="M365" s="14" t="s">
        <v>179</v>
      </c>
      <c r="N365" s="14" t="s">
        <v>10084</v>
      </c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6" t="s">
        <v>197</v>
      </c>
      <c r="BP365" s="17" t="s">
        <v>198</v>
      </c>
      <c r="BQ365" s="18">
        <v>45701.55085648148</v>
      </c>
      <c r="BR365" s="17" t="s">
        <v>198</v>
      </c>
      <c r="BS365" s="18">
        <v>45701.55111111111</v>
      </c>
      <c r="BT365" s="17" t="s">
        <v>198</v>
      </c>
      <c r="BU365" s="18">
        <v>45701.55111111111</v>
      </c>
      <c r="BV365" s="13" t="s">
        <v>199</v>
      </c>
      <c r="BW365" s="14" t="s">
        <v>179</v>
      </c>
      <c r="BX365" s="14" t="s">
        <v>10085</v>
      </c>
      <c r="BY365" s="14" t="s">
        <v>179</v>
      </c>
      <c r="BZ365" s="14" t="s">
        <v>10086</v>
      </c>
      <c r="CA365" s="14" t="s">
        <v>179</v>
      </c>
      <c r="CB365" s="14" t="s">
        <v>10087</v>
      </c>
      <c r="CC365" s="15"/>
      <c r="CD365" s="15"/>
      <c r="CE365" s="15"/>
      <c r="CF365" s="15"/>
      <c r="CG365" s="19"/>
      <c r="CH365" s="15"/>
      <c r="CI365" s="19"/>
      <c r="CJ365" s="15"/>
      <c r="CK365" s="19"/>
      <c r="CL365" s="15"/>
      <c r="CM365" s="19"/>
      <c r="CN365" s="15"/>
      <c r="CO365" s="19"/>
      <c r="CP365" s="15"/>
      <c r="CQ365" s="15"/>
      <c r="CR365" s="15"/>
      <c r="CS365" s="19"/>
      <c r="CT365" s="15"/>
      <c r="CU365" s="19"/>
      <c r="CV365" s="15"/>
      <c r="CW365" s="19"/>
      <c r="CX365" s="15"/>
      <c r="CY365" s="19"/>
      <c r="CZ365" s="15"/>
      <c r="DA365" s="16" t="s">
        <v>197</v>
      </c>
      <c r="DB365" s="17" t="s">
        <v>228</v>
      </c>
      <c r="DC365" s="16"/>
      <c r="DD365" s="17" t="s">
        <v>198</v>
      </c>
      <c r="DE365" s="18">
        <v>45701.55119212963</v>
      </c>
      <c r="DF365" s="17" t="s">
        <v>198</v>
      </c>
      <c r="DG365" s="18">
        <v>45701.55119212963</v>
      </c>
      <c r="DH365" s="13" t="s">
        <v>205</v>
      </c>
      <c r="DI365" s="14" t="s">
        <v>179</v>
      </c>
      <c r="DJ365" s="14" t="s">
        <v>10088</v>
      </c>
      <c r="DK365" s="14" t="s">
        <v>179</v>
      </c>
      <c r="DL365" s="14" t="s">
        <v>10089</v>
      </c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6" t="s">
        <v>197</v>
      </c>
      <c r="ED365" s="17" t="s">
        <v>198</v>
      </c>
      <c r="EE365" s="18">
        <v>45701.55128472222</v>
      </c>
      <c r="EF365" s="13" t="s">
        <v>209</v>
      </c>
      <c r="EG365" s="14" t="s">
        <v>179</v>
      </c>
      <c r="EH365" s="14" t="s">
        <v>10090</v>
      </c>
      <c r="EI365" s="14" t="s">
        <v>179</v>
      </c>
      <c r="EJ365" s="14" t="s">
        <v>10091</v>
      </c>
      <c r="EK365" s="15"/>
      <c r="EL365" s="15"/>
      <c r="EM365" s="15"/>
      <c r="EN365" s="15"/>
      <c r="EO365" s="15"/>
      <c r="EP365" s="15"/>
      <c r="EQ365" s="15"/>
      <c r="ER365" s="15"/>
      <c r="ES365" s="15"/>
      <c r="ET365" s="15"/>
      <c r="EU365" s="15"/>
      <c r="EV365" s="15"/>
      <c r="EW365" s="15"/>
      <c r="EX365" s="15"/>
      <c r="EY365" s="15"/>
      <c r="EZ365" s="15"/>
      <c r="FA365" s="15"/>
      <c r="FB365" s="15"/>
      <c r="FC365" s="16" t="s">
        <v>197</v>
      </c>
      <c r="FD365" s="17" t="s">
        <v>198</v>
      </c>
      <c r="FE365" s="18">
        <v>45723.35119212963</v>
      </c>
      <c r="FF365" s="19"/>
      <c r="FG365" s="19"/>
      <c r="FH365" s="21" t="s">
        <v>197</v>
      </c>
      <c r="FI365" s="17" t="s">
        <v>214</v>
      </c>
      <c r="FJ365" s="18">
        <v>45723.35119212963</v>
      </c>
      <c r="FK365" s="14" t="s">
        <v>10091</v>
      </c>
      <c r="FL365" s="19"/>
      <c r="FM365" s="19"/>
      <c r="FN365" s="19"/>
      <c r="FO365" s="19"/>
      <c r="FP365" s="19" t="str">
        <f t="shared" si="1"/>
        <v/>
      </c>
      <c r="FQ365" s="14" t="s">
        <v>215</v>
      </c>
      <c r="FR365" s="14" t="s">
        <v>10092</v>
      </c>
    </row>
    <row r="366" ht="15.75" customHeight="1">
      <c r="A366" s="12" t="s">
        <v>234</v>
      </c>
      <c r="B366" s="12" t="s">
        <v>8709</v>
      </c>
      <c r="C366" s="24" t="s">
        <v>375</v>
      </c>
      <c r="D366" s="22" t="s">
        <v>10093</v>
      </c>
      <c r="E366" s="22" t="s">
        <v>10094</v>
      </c>
      <c r="F366" s="13" t="s">
        <v>178</v>
      </c>
      <c r="G366" s="14" t="s">
        <v>179</v>
      </c>
      <c r="H366" s="14" t="s">
        <v>10095</v>
      </c>
      <c r="I366" s="14" t="s">
        <v>179</v>
      </c>
      <c r="J366" s="14" t="s">
        <v>10096</v>
      </c>
      <c r="K366" s="14" t="s">
        <v>179</v>
      </c>
      <c r="L366" s="14" t="s">
        <v>10097</v>
      </c>
      <c r="M366" s="14" t="s">
        <v>179</v>
      </c>
      <c r="N366" s="14" t="s">
        <v>10098</v>
      </c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6" t="s">
        <v>197</v>
      </c>
      <c r="BP366" s="17" t="s">
        <v>198</v>
      </c>
      <c r="BQ366" s="18">
        <v>45694.54856481482</v>
      </c>
      <c r="BR366" s="17" t="s">
        <v>198</v>
      </c>
      <c r="BS366" s="18">
        <v>45694.54861111111</v>
      </c>
      <c r="BT366" s="17" t="s">
        <v>198</v>
      </c>
      <c r="BU366" s="18">
        <v>45694.54861111111</v>
      </c>
      <c r="BV366" s="13" t="s">
        <v>199</v>
      </c>
      <c r="BW366" s="14" t="s">
        <v>179</v>
      </c>
      <c r="BX366" s="14" t="s">
        <v>10099</v>
      </c>
      <c r="BY366" s="14" t="s">
        <v>179</v>
      </c>
      <c r="BZ366" s="14" t="s">
        <v>10100</v>
      </c>
      <c r="CA366" s="14" t="s">
        <v>179</v>
      </c>
      <c r="CB366" s="14" t="s">
        <v>10101</v>
      </c>
      <c r="CC366" s="15"/>
      <c r="CD366" s="15"/>
      <c r="CE366" s="15"/>
      <c r="CF366" s="15"/>
      <c r="CG366" s="19"/>
      <c r="CH366" s="15"/>
      <c r="CI366" s="19"/>
      <c r="CJ366" s="15"/>
      <c r="CK366" s="19"/>
      <c r="CL366" s="15"/>
      <c r="CM366" s="19"/>
      <c r="CN366" s="15"/>
      <c r="CO366" s="19"/>
      <c r="CP366" s="15"/>
      <c r="CQ366" s="15"/>
      <c r="CR366" s="15"/>
      <c r="CS366" s="19"/>
      <c r="CT366" s="15"/>
      <c r="CU366" s="19"/>
      <c r="CV366" s="15"/>
      <c r="CW366" s="19"/>
      <c r="CX366" s="15"/>
      <c r="CY366" s="19"/>
      <c r="CZ366" s="15"/>
      <c r="DA366" s="16" t="s">
        <v>197</v>
      </c>
      <c r="DB366" s="17" t="s">
        <v>228</v>
      </c>
      <c r="DC366" s="16"/>
      <c r="DD366" s="17" t="s">
        <v>198</v>
      </c>
      <c r="DE366" s="18">
        <v>45696.35300925926</v>
      </c>
      <c r="DF366" s="17" t="s">
        <v>198</v>
      </c>
      <c r="DG366" s="18">
        <v>45696.35300925926</v>
      </c>
      <c r="DH366" s="13" t="s">
        <v>205</v>
      </c>
      <c r="DI366" s="14" t="s">
        <v>179</v>
      </c>
      <c r="DJ366" s="14" t="s">
        <v>10102</v>
      </c>
      <c r="DK366" s="14" t="s">
        <v>179</v>
      </c>
      <c r="DL366" s="14" t="s">
        <v>10103</v>
      </c>
      <c r="DM366" s="15"/>
      <c r="DN366" s="15"/>
      <c r="DO366" s="15"/>
      <c r="DP366" s="15"/>
      <c r="DQ366" s="15"/>
      <c r="DR366" s="15"/>
      <c r="DS366" s="15"/>
      <c r="DT366" s="15"/>
      <c r="DU366" s="15"/>
      <c r="DV366" s="15"/>
      <c r="DW366" s="15"/>
      <c r="DX366" s="15"/>
      <c r="DY366" s="15"/>
      <c r="DZ366" s="15"/>
      <c r="EA366" s="15"/>
      <c r="EB366" s="15"/>
      <c r="EC366" s="16" t="s">
        <v>197</v>
      </c>
      <c r="ED366" s="17" t="s">
        <v>198</v>
      </c>
      <c r="EE366" s="18">
        <v>45696.3530787037</v>
      </c>
      <c r="EF366" s="13" t="s">
        <v>209</v>
      </c>
      <c r="EG366" s="14" t="s">
        <v>179</v>
      </c>
      <c r="EH366" s="14" t="s">
        <v>10104</v>
      </c>
      <c r="EI366" s="14" t="s">
        <v>179</v>
      </c>
      <c r="EJ366" s="14" t="s">
        <v>10105</v>
      </c>
      <c r="EK366" s="15"/>
      <c r="EL366" s="15"/>
      <c r="EM366" s="15"/>
      <c r="EN366" s="15"/>
      <c r="EO366" s="15"/>
      <c r="EP366" s="15"/>
      <c r="EQ366" s="15"/>
      <c r="ER366" s="15"/>
      <c r="ES366" s="15"/>
      <c r="ET366" s="15"/>
      <c r="EU366" s="15"/>
      <c r="EV366" s="15"/>
      <c r="EW366" s="15"/>
      <c r="EX366" s="15"/>
      <c r="EY366" s="15"/>
      <c r="EZ366" s="15"/>
      <c r="FA366" s="15"/>
      <c r="FB366" s="15"/>
      <c r="FC366" s="16" t="s">
        <v>197</v>
      </c>
      <c r="FD366" s="17" t="s">
        <v>198</v>
      </c>
      <c r="FE366" s="18">
        <v>45720.356516203705</v>
      </c>
      <c r="FF366" s="19"/>
      <c r="FG366" s="19"/>
      <c r="FH366" s="21" t="s">
        <v>197</v>
      </c>
      <c r="FI366" s="17" t="s">
        <v>214</v>
      </c>
      <c r="FJ366" s="18">
        <v>45720.356516203705</v>
      </c>
      <c r="FK366" s="14" t="s">
        <v>10105</v>
      </c>
      <c r="FL366" s="14" t="s">
        <v>10106</v>
      </c>
      <c r="FM366" s="14" t="s">
        <v>10107</v>
      </c>
      <c r="FN366" s="19"/>
      <c r="FO366" s="19"/>
      <c r="FP366" s="19" t="str">
        <f t="shared" si="1"/>
        <v>Base de Dados_Images/FIT65001.Imagem do Equipamento-.170538.jpg</v>
      </c>
      <c r="FQ366" s="19"/>
      <c r="FR366" s="19"/>
    </row>
    <row r="367" ht="15.75" customHeight="1">
      <c r="A367" s="12" t="s">
        <v>234</v>
      </c>
      <c r="B367" s="12" t="s">
        <v>7149</v>
      </c>
      <c r="C367" s="24" t="s">
        <v>375</v>
      </c>
      <c r="D367" s="22" t="s">
        <v>10108</v>
      </c>
      <c r="E367" s="22" t="s">
        <v>10109</v>
      </c>
      <c r="F367" s="13" t="s">
        <v>178</v>
      </c>
      <c r="G367" s="14" t="s">
        <v>179</v>
      </c>
      <c r="H367" s="14" t="s">
        <v>10110</v>
      </c>
      <c r="I367" s="14" t="s">
        <v>179</v>
      </c>
      <c r="J367" s="14" t="s">
        <v>10111</v>
      </c>
      <c r="K367" s="14" t="s">
        <v>179</v>
      </c>
      <c r="L367" s="14" t="s">
        <v>10112</v>
      </c>
      <c r="M367" s="14" t="s">
        <v>179</v>
      </c>
      <c r="N367" s="14" t="s">
        <v>10113</v>
      </c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6" t="s">
        <v>197</v>
      </c>
      <c r="BP367" s="17" t="s">
        <v>198</v>
      </c>
      <c r="BQ367" s="18">
        <v>45694.58938657407</v>
      </c>
      <c r="BR367" s="17" t="s">
        <v>198</v>
      </c>
      <c r="BS367" s="18">
        <v>45694.58943287037</v>
      </c>
      <c r="BT367" s="17" t="s">
        <v>198</v>
      </c>
      <c r="BU367" s="18">
        <v>45694.58943287037</v>
      </c>
      <c r="BV367" s="13" t="s">
        <v>199</v>
      </c>
      <c r="BW367" s="14" t="s">
        <v>179</v>
      </c>
      <c r="BX367" s="14" t="s">
        <v>10114</v>
      </c>
      <c r="BY367" s="14" t="s">
        <v>179</v>
      </c>
      <c r="BZ367" s="14" t="s">
        <v>10115</v>
      </c>
      <c r="CA367" s="14" t="s">
        <v>179</v>
      </c>
      <c r="CB367" s="14" t="s">
        <v>10116</v>
      </c>
      <c r="CC367" s="15"/>
      <c r="CD367" s="15"/>
      <c r="CE367" s="15"/>
      <c r="CF367" s="15"/>
      <c r="CG367" s="19"/>
      <c r="CH367" s="15"/>
      <c r="CI367" s="19"/>
      <c r="CJ367" s="15"/>
      <c r="CK367" s="19"/>
      <c r="CL367" s="15"/>
      <c r="CM367" s="19"/>
      <c r="CN367" s="15"/>
      <c r="CO367" s="19"/>
      <c r="CP367" s="15"/>
      <c r="CQ367" s="15"/>
      <c r="CR367" s="15"/>
      <c r="CS367" s="19"/>
      <c r="CT367" s="15"/>
      <c r="CU367" s="19"/>
      <c r="CV367" s="15"/>
      <c r="CW367" s="19"/>
      <c r="CX367" s="15"/>
      <c r="CY367" s="19"/>
      <c r="CZ367" s="15"/>
      <c r="DA367" s="16" t="s">
        <v>197</v>
      </c>
      <c r="DB367" s="17" t="s">
        <v>228</v>
      </c>
      <c r="DC367" s="16"/>
      <c r="DD367" s="17" t="s">
        <v>198</v>
      </c>
      <c r="DE367" s="18">
        <v>45696.61449074074</v>
      </c>
      <c r="DF367" s="17" t="s">
        <v>198</v>
      </c>
      <c r="DG367" s="18">
        <v>45696.61449074074</v>
      </c>
      <c r="DH367" s="13" t="s">
        <v>205</v>
      </c>
      <c r="DI367" s="14" t="s">
        <v>179</v>
      </c>
      <c r="DJ367" s="14" t="s">
        <v>10117</v>
      </c>
      <c r="DK367" s="14" t="s">
        <v>179</v>
      </c>
      <c r="DL367" s="14" t="s">
        <v>10118</v>
      </c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6" t="s">
        <v>197</v>
      </c>
      <c r="ED367" s="17" t="s">
        <v>198</v>
      </c>
      <c r="EE367" s="18">
        <v>45726.477372685185</v>
      </c>
      <c r="EF367" s="13" t="s">
        <v>209</v>
      </c>
      <c r="EG367" s="14" t="s">
        <v>179</v>
      </c>
      <c r="EH367" s="14" t="s">
        <v>10119</v>
      </c>
      <c r="EI367" s="14" t="s">
        <v>179</v>
      </c>
      <c r="EJ367" s="14" t="s">
        <v>10120</v>
      </c>
      <c r="EK367" s="15"/>
      <c r="EL367" s="15"/>
      <c r="EM367" s="15"/>
      <c r="EN367" s="15"/>
      <c r="EO367" s="15"/>
      <c r="EP367" s="15"/>
      <c r="EQ367" s="15"/>
      <c r="ER367" s="15"/>
      <c r="ES367" s="15"/>
      <c r="ET367" s="15"/>
      <c r="EU367" s="15"/>
      <c r="EV367" s="15"/>
      <c r="EW367" s="15"/>
      <c r="EX367" s="15"/>
      <c r="EY367" s="15"/>
      <c r="EZ367" s="15"/>
      <c r="FA367" s="15"/>
      <c r="FB367" s="15"/>
      <c r="FC367" s="16" t="s">
        <v>197</v>
      </c>
      <c r="FD367" s="17" t="s">
        <v>198</v>
      </c>
      <c r="FE367" s="18">
        <v>45726.477430555555</v>
      </c>
      <c r="FF367" s="19"/>
      <c r="FG367" s="19"/>
      <c r="FH367" s="21" t="s">
        <v>197</v>
      </c>
      <c r="FI367" s="17" t="s">
        <v>214</v>
      </c>
      <c r="FJ367" s="18">
        <v>45726.477430555555</v>
      </c>
      <c r="FK367" s="14" t="s">
        <v>10120</v>
      </c>
      <c r="FL367" s="14" t="s">
        <v>10121</v>
      </c>
      <c r="FM367" s="14" t="s">
        <v>10122</v>
      </c>
      <c r="FN367" s="19"/>
      <c r="FO367" s="19"/>
      <c r="FP367" s="19" t="str">
        <f t="shared" si="1"/>
        <v>Base de Dados_Images/FIT65016.Imagem do Equipamento-.170545.jpg</v>
      </c>
      <c r="FQ367" s="19"/>
      <c r="FR367" s="19"/>
    </row>
    <row r="368" ht="15.75" customHeight="1">
      <c r="A368" s="12" t="s">
        <v>234</v>
      </c>
      <c r="B368" s="12" t="s">
        <v>2706</v>
      </c>
      <c r="C368" s="24" t="s">
        <v>375</v>
      </c>
      <c r="D368" s="22" t="s">
        <v>10123</v>
      </c>
      <c r="E368" s="22" t="s">
        <v>10124</v>
      </c>
      <c r="F368" s="13" t="s">
        <v>178</v>
      </c>
      <c r="G368" s="14" t="s">
        <v>179</v>
      </c>
      <c r="H368" s="14" t="s">
        <v>10125</v>
      </c>
      <c r="I368" s="14" t="s">
        <v>179</v>
      </c>
      <c r="J368" s="14" t="s">
        <v>10126</v>
      </c>
      <c r="K368" s="14" t="s">
        <v>179</v>
      </c>
      <c r="L368" s="14" t="s">
        <v>10127</v>
      </c>
      <c r="M368" s="14" t="s">
        <v>179</v>
      </c>
      <c r="N368" s="14" t="s">
        <v>10128</v>
      </c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6" t="s">
        <v>197</v>
      </c>
      <c r="BP368" s="17" t="s">
        <v>198</v>
      </c>
      <c r="BQ368" s="18">
        <v>45699.51076388889</v>
      </c>
      <c r="BR368" s="17" t="s">
        <v>198</v>
      </c>
      <c r="BS368" s="18">
        <v>45699.51079861111</v>
      </c>
      <c r="BT368" s="17" t="s">
        <v>198</v>
      </c>
      <c r="BU368" s="18">
        <v>45699.51079861111</v>
      </c>
      <c r="BV368" s="13" t="s">
        <v>199</v>
      </c>
      <c r="BW368" s="14" t="s">
        <v>179</v>
      </c>
      <c r="BX368" s="14" t="s">
        <v>10129</v>
      </c>
      <c r="BY368" s="14" t="s">
        <v>179</v>
      </c>
      <c r="BZ368" s="14" t="s">
        <v>10130</v>
      </c>
      <c r="CA368" s="14" t="s">
        <v>179</v>
      </c>
      <c r="CB368" s="14" t="s">
        <v>10131</v>
      </c>
      <c r="CC368" s="15"/>
      <c r="CD368" s="15"/>
      <c r="CE368" s="15"/>
      <c r="CF368" s="15"/>
      <c r="CG368" s="19"/>
      <c r="CH368" s="15"/>
      <c r="CI368" s="19"/>
      <c r="CJ368" s="15"/>
      <c r="CK368" s="19"/>
      <c r="CL368" s="15"/>
      <c r="CM368" s="19"/>
      <c r="CN368" s="15"/>
      <c r="CO368" s="19"/>
      <c r="CP368" s="15"/>
      <c r="CQ368" s="15"/>
      <c r="CR368" s="15"/>
      <c r="CS368" s="19"/>
      <c r="CT368" s="15"/>
      <c r="CU368" s="19"/>
      <c r="CV368" s="15"/>
      <c r="CW368" s="19"/>
      <c r="CX368" s="15"/>
      <c r="CY368" s="19"/>
      <c r="CZ368" s="15"/>
      <c r="DA368" s="16" t="s">
        <v>197</v>
      </c>
      <c r="DB368" s="17" t="s">
        <v>228</v>
      </c>
      <c r="DC368" s="16"/>
      <c r="DD368" s="17" t="s">
        <v>198</v>
      </c>
      <c r="DE368" s="18">
        <v>45702.34409722222</v>
      </c>
      <c r="DF368" s="17" t="s">
        <v>198</v>
      </c>
      <c r="DG368" s="18">
        <v>45702.34409722222</v>
      </c>
      <c r="DH368" s="13" t="s">
        <v>205</v>
      </c>
      <c r="DI368" s="14" t="s">
        <v>179</v>
      </c>
      <c r="DJ368" s="14" t="s">
        <v>10132</v>
      </c>
      <c r="DK368" s="14" t="s">
        <v>179</v>
      </c>
      <c r="DL368" s="14" t="s">
        <v>10133</v>
      </c>
      <c r="DM368" s="15"/>
      <c r="DN368" s="15"/>
      <c r="DO368" s="15"/>
      <c r="DP368" s="15"/>
      <c r="DQ368" s="15"/>
      <c r="DR368" s="15"/>
      <c r="DS368" s="15"/>
      <c r="DT368" s="15"/>
      <c r="DU368" s="15"/>
      <c r="DV368" s="15"/>
      <c r="DW368" s="15"/>
      <c r="DX368" s="15"/>
      <c r="DY368" s="15"/>
      <c r="DZ368" s="15"/>
      <c r="EA368" s="15"/>
      <c r="EB368" s="15"/>
      <c r="EC368" s="16" t="s">
        <v>197</v>
      </c>
      <c r="ED368" s="17" t="s">
        <v>198</v>
      </c>
      <c r="EE368" s="18">
        <v>45713.371099537035</v>
      </c>
      <c r="EF368" s="13" t="s">
        <v>209</v>
      </c>
      <c r="EG368" s="14" t="s">
        <v>179</v>
      </c>
      <c r="EH368" s="14" t="s">
        <v>10134</v>
      </c>
      <c r="EI368" s="14" t="s">
        <v>179</v>
      </c>
      <c r="EJ368" s="14" t="s">
        <v>10135</v>
      </c>
      <c r="EK368" s="15"/>
      <c r="EL368" s="15"/>
      <c r="EM368" s="15"/>
      <c r="EN368" s="15"/>
      <c r="EO368" s="15"/>
      <c r="EP368" s="15"/>
      <c r="EQ368" s="15"/>
      <c r="ER368" s="15"/>
      <c r="ES368" s="15"/>
      <c r="ET368" s="15"/>
      <c r="EU368" s="15"/>
      <c r="EV368" s="15"/>
      <c r="EW368" s="15"/>
      <c r="EX368" s="15"/>
      <c r="EY368" s="15"/>
      <c r="EZ368" s="15"/>
      <c r="FA368" s="15"/>
      <c r="FB368" s="15"/>
      <c r="FC368" s="16" t="s">
        <v>197</v>
      </c>
      <c r="FD368" s="17" t="s">
        <v>198</v>
      </c>
      <c r="FE368" s="18">
        <v>45720.33082175926</v>
      </c>
      <c r="FF368" s="14" t="s">
        <v>10136</v>
      </c>
      <c r="FG368" s="19"/>
      <c r="FH368" s="17" t="s">
        <v>198</v>
      </c>
      <c r="FI368" s="17" t="s">
        <v>214</v>
      </c>
      <c r="FJ368" s="18">
        <v>45720.33082175926</v>
      </c>
      <c r="FK368" s="14" t="s">
        <v>10135</v>
      </c>
      <c r="FL368" s="14" t="s">
        <v>10137</v>
      </c>
      <c r="FM368" s="14" t="s">
        <v>10138</v>
      </c>
      <c r="FN368" s="19"/>
      <c r="FO368" s="19"/>
      <c r="FP368" s="19" t="str">
        <f t="shared" si="1"/>
        <v>Base de Dados_Images/FIT65017.Imagem do Equipamento-.175211.jpg</v>
      </c>
      <c r="FQ368" s="14"/>
      <c r="FR368" s="14"/>
    </row>
    <row r="369" ht="15.75" customHeight="1">
      <c r="A369" s="12" t="s">
        <v>234</v>
      </c>
      <c r="B369" s="12" t="s">
        <v>2743</v>
      </c>
      <c r="C369" s="24" t="s">
        <v>375</v>
      </c>
      <c r="D369" s="22" t="s">
        <v>10139</v>
      </c>
      <c r="E369" s="22" t="s">
        <v>10140</v>
      </c>
      <c r="F369" s="13" t="s">
        <v>178</v>
      </c>
      <c r="G369" s="14" t="s">
        <v>179</v>
      </c>
      <c r="H369" s="14" t="s">
        <v>10141</v>
      </c>
      <c r="I369" s="14" t="s">
        <v>179</v>
      </c>
      <c r="J369" s="14" t="s">
        <v>10142</v>
      </c>
      <c r="K369" s="14" t="s">
        <v>179</v>
      </c>
      <c r="L369" s="14" t="s">
        <v>10143</v>
      </c>
      <c r="M369" s="14" t="s">
        <v>179</v>
      </c>
      <c r="N369" s="14" t="s">
        <v>10144</v>
      </c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6" t="s">
        <v>197</v>
      </c>
      <c r="BP369" s="17" t="s">
        <v>198</v>
      </c>
      <c r="BQ369" s="18">
        <v>45699.51100694444</v>
      </c>
      <c r="BR369" s="17" t="s">
        <v>198</v>
      </c>
      <c r="BS369" s="18">
        <v>45699.51105324074</v>
      </c>
      <c r="BT369" s="17" t="s">
        <v>198</v>
      </c>
      <c r="BU369" s="18">
        <v>45699.51105324074</v>
      </c>
      <c r="BV369" s="13" t="s">
        <v>199</v>
      </c>
      <c r="BW369" s="14" t="s">
        <v>179</v>
      </c>
      <c r="BX369" s="14" t="s">
        <v>10145</v>
      </c>
      <c r="BY369" s="14" t="s">
        <v>179</v>
      </c>
      <c r="BZ369" s="14" t="s">
        <v>10146</v>
      </c>
      <c r="CA369" s="14" t="s">
        <v>179</v>
      </c>
      <c r="CB369" s="14" t="s">
        <v>10147</v>
      </c>
      <c r="CC369" s="15"/>
      <c r="CD369" s="15"/>
      <c r="CE369" s="15"/>
      <c r="CF369" s="15"/>
      <c r="CG369" s="19"/>
      <c r="CH369" s="15"/>
      <c r="CI369" s="19"/>
      <c r="CJ369" s="15"/>
      <c r="CK369" s="19"/>
      <c r="CL369" s="15"/>
      <c r="CM369" s="19"/>
      <c r="CN369" s="15"/>
      <c r="CO369" s="19"/>
      <c r="CP369" s="15"/>
      <c r="CQ369" s="15"/>
      <c r="CR369" s="15"/>
      <c r="CS369" s="19"/>
      <c r="CT369" s="15"/>
      <c r="CU369" s="19"/>
      <c r="CV369" s="15"/>
      <c r="CW369" s="19"/>
      <c r="CX369" s="15"/>
      <c r="CY369" s="19"/>
      <c r="CZ369" s="15"/>
      <c r="DA369" s="16" t="s">
        <v>197</v>
      </c>
      <c r="DB369" s="17" t="s">
        <v>228</v>
      </c>
      <c r="DC369" s="16"/>
      <c r="DD369" s="17" t="s">
        <v>198</v>
      </c>
      <c r="DE369" s="18">
        <v>45702.325266203705</v>
      </c>
      <c r="DF369" s="17" t="s">
        <v>198</v>
      </c>
      <c r="DG369" s="18">
        <v>45702.325266203705</v>
      </c>
      <c r="DH369" s="13" t="s">
        <v>205</v>
      </c>
      <c r="DI369" s="14" t="s">
        <v>179</v>
      </c>
      <c r="DJ369" s="14" t="s">
        <v>10148</v>
      </c>
      <c r="DK369" s="14" t="s">
        <v>179</v>
      </c>
      <c r="DL369" s="14" t="s">
        <v>10149</v>
      </c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6" t="s">
        <v>197</v>
      </c>
      <c r="ED369" s="17" t="s">
        <v>198</v>
      </c>
      <c r="EE369" s="18">
        <v>45713.4203125</v>
      </c>
      <c r="EF369" s="13" t="s">
        <v>209</v>
      </c>
      <c r="EG369" s="14" t="s">
        <v>179</v>
      </c>
      <c r="EH369" s="14" t="s">
        <v>10150</v>
      </c>
      <c r="EI369" s="14" t="s">
        <v>179</v>
      </c>
      <c r="EJ369" s="14" t="s">
        <v>10150</v>
      </c>
      <c r="EK369" s="15"/>
      <c r="EL369" s="15"/>
      <c r="EM369" s="15"/>
      <c r="EN369" s="15"/>
      <c r="EO369" s="15"/>
      <c r="EP369" s="15"/>
      <c r="EQ369" s="15"/>
      <c r="ER369" s="15"/>
      <c r="ES369" s="15"/>
      <c r="ET369" s="15"/>
      <c r="EU369" s="15"/>
      <c r="EV369" s="15"/>
      <c r="EW369" s="15"/>
      <c r="EX369" s="15"/>
      <c r="EY369" s="15"/>
      <c r="EZ369" s="15"/>
      <c r="FA369" s="15"/>
      <c r="FB369" s="15"/>
      <c r="FC369" s="16" t="s">
        <v>197</v>
      </c>
      <c r="FD369" s="17" t="s">
        <v>198</v>
      </c>
      <c r="FE369" s="18">
        <v>45720.34239583334</v>
      </c>
      <c r="FF369" s="14" t="s">
        <v>10136</v>
      </c>
      <c r="FG369" s="19"/>
      <c r="FH369" s="17" t="s">
        <v>198</v>
      </c>
      <c r="FI369" s="17" t="s">
        <v>214</v>
      </c>
      <c r="FJ369" s="18">
        <v>45720.34239583334</v>
      </c>
      <c r="FK369" s="14" t="s">
        <v>10150</v>
      </c>
      <c r="FL369" s="14" t="s">
        <v>10151</v>
      </c>
      <c r="FM369" s="14" t="s">
        <v>10152</v>
      </c>
      <c r="FN369" s="19"/>
      <c r="FO369" s="19"/>
      <c r="FP369" s="19" t="str">
        <f t="shared" si="1"/>
        <v>Base de Dados_Images/FIT65018.Imagem do Equipamento-.175906.jpg</v>
      </c>
      <c r="FQ369" s="19"/>
      <c r="FR369" s="19"/>
    </row>
    <row r="370" ht="15.75" customHeight="1">
      <c r="A370" s="12" t="s">
        <v>234</v>
      </c>
      <c r="B370" s="12" t="s">
        <v>2779</v>
      </c>
      <c r="C370" s="24" t="s">
        <v>375</v>
      </c>
      <c r="D370" s="22" t="s">
        <v>10153</v>
      </c>
      <c r="E370" s="22" t="s">
        <v>10154</v>
      </c>
      <c r="F370" s="13" t="s">
        <v>178</v>
      </c>
      <c r="G370" s="14" t="s">
        <v>179</v>
      </c>
      <c r="H370" s="14" t="s">
        <v>10155</v>
      </c>
      <c r="I370" s="14" t="s">
        <v>179</v>
      </c>
      <c r="J370" s="14" t="s">
        <v>10156</v>
      </c>
      <c r="K370" s="14" t="s">
        <v>179</v>
      </c>
      <c r="L370" s="14" t="s">
        <v>10157</v>
      </c>
      <c r="M370" s="14" t="s">
        <v>179</v>
      </c>
      <c r="N370" s="14" t="s">
        <v>10158</v>
      </c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6" t="s">
        <v>197</v>
      </c>
      <c r="BP370" s="17" t="s">
        <v>198</v>
      </c>
      <c r="BQ370" s="18">
        <v>45699.5112037037</v>
      </c>
      <c r="BR370" s="17" t="s">
        <v>198</v>
      </c>
      <c r="BS370" s="18">
        <v>45699.51125</v>
      </c>
      <c r="BT370" s="17" t="s">
        <v>198</v>
      </c>
      <c r="BU370" s="18">
        <v>45699.51125</v>
      </c>
      <c r="BV370" s="13" t="s">
        <v>199</v>
      </c>
      <c r="BW370" s="14" t="s">
        <v>179</v>
      </c>
      <c r="BX370" s="14" t="s">
        <v>10159</v>
      </c>
      <c r="BY370" s="14" t="s">
        <v>179</v>
      </c>
      <c r="BZ370" s="14" t="s">
        <v>10159</v>
      </c>
      <c r="CA370" s="14" t="s">
        <v>179</v>
      </c>
      <c r="CB370" s="14" t="s">
        <v>10160</v>
      </c>
      <c r="CC370" s="15"/>
      <c r="CD370" s="15"/>
      <c r="CE370" s="15"/>
      <c r="CF370" s="15"/>
      <c r="CG370" s="19"/>
      <c r="CH370" s="15"/>
      <c r="CI370" s="19"/>
      <c r="CJ370" s="15"/>
      <c r="CK370" s="19"/>
      <c r="CL370" s="15"/>
      <c r="CM370" s="19"/>
      <c r="CN370" s="15"/>
      <c r="CO370" s="19"/>
      <c r="CP370" s="15"/>
      <c r="CQ370" s="15"/>
      <c r="CR370" s="15"/>
      <c r="CS370" s="19"/>
      <c r="CT370" s="15"/>
      <c r="CU370" s="19"/>
      <c r="CV370" s="15"/>
      <c r="CW370" s="19"/>
      <c r="CX370" s="15"/>
      <c r="CY370" s="19"/>
      <c r="CZ370" s="15"/>
      <c r="DA370" s="16" t="s">
        <v>197</v>
      </c>
      <c r="DB370" s="17" t="s">
        <v>228</v>
      </c>
      <c r="DC370" s="16"/>
      <c r="DD370" s="17" t="s">
        <v>198</v>
      </c>
      <c r="DE370" s="18">
        <v>45702.32398148148</v>
      </c>
      <c r="DF370" s="17" t="s">
        <v>198</v>
      </c>
      <c r="DG370" s="18">
        <v>45702.32398148148</v>
      </c>
      <c r="DH370" s="13" t="s">
        <v>205</v>
      </c>
      <c r="DI370" s="14" t="s">
        <v>179</v>
      </c>
      <c r="DJ370" s="14" t="s">
        <v>10161</v>
      </c>
      <c r="DK370" s="14" t="s">
        <v>179</v>
      </c>
      <c r="DL370" s="14" t="s">
        <v>10161</v>
      </c>
      <c r="DM370" s="15"/>
      <c r="DN370" s="15"/>
      <c r="DO370" s="15"/>
      <c r="DP370" s="15"/>
      <c r="DQ370" s="15"/>
      <c r="DR370" s="15"/>
      <c r="DS370" s="15"/>
      <c r="DT370" s="15"/>
      <c r="DU370" s="15"/>
      <c r="DV370" s="15"/>
      <c r="DW370" s="15"/>
      <c r="DX370" s="15"/>
      <c r="DY370" s="15"/>
      <c r="DZ370" s="15"/>
      <c r="EA370" s="15"/>
      <c r="EB370" s="15"/>
      <c r="EC370" s="16" t="s">
        <v>197</v>
      </c>
      <c r="ED370" s="17" t="s">
        <v>198</v>
      </c>
      <c r="EE370" s="18">
        <v>45713.42321759259</v>
      </c>
      <c r="EF370" s="13" t="s">
        <v>209</v>
      </c>
      <c r="EG370" s="14" t="s">
        <v>179</v>
      </c>
      <c r="EH370" s="14" t="s">
        <v>10162</v>
      </c>
      <c r="EI370" s="14" t="s">
        <v>179</v>
      </c>
      <c r="EJ370" s="14" t="s">
        <v>10163</v>
      </c>
      <c r="EK370" s="15"/>
      <c r="EL370" s="15"/>
      <c r="EM370" s="15"/>
      <c r="EN370" s="15"/>
      <c r="EO370" s="15"/>
      <c r="EP370" s="15"/>
      <c r="EQ370" s="15"/>
      <c r="ER370" s="15"/>
      <c r="ES370" s="15"/>
      <c r="ET370" s="15"/>
      <c r="EU370" s="15"/>
      <c r="EV370" s="15"/>
      <c r="EW370" s="15"/>
      <c r="EX370" s="15"/>
      <c r="EY370" s="15"/>
      <c r="EZ370" s="15"/>
      <c r="FA370" s="15"/>
      <c r="FB370" s="15"/>
      <c r="FC370" s="16" t="s">
        <v>197</v>
      </c>
      <c r="FD370" s="17" t="s">
        <v>198</v>
      </c>
      <c r="FE370" s="18">
        <v>45720.333333333336</v>
      </c>
      <c r="FF370" s="14" t="s">
        <v>10136</v>
      </c>
      <c r="FG370" s="19"/>
      <c r="FH370" s="17" t="s">
        <v>198</v>
      </c>
      <c r="FI370" s="17" t="s">
        <v>214</v>
      </c>
      <c r="FJ370" s="18">
        <v>45720.333333333336</v>
      </c>
      <c r="FK370" s="14" t="s">
        <v>10163</v>
      </c>
      <c r="FL370" s="14" t="s">
        <v>10164</v>
      </c>
      <c r="FM370" s="14" t="s">
        <v>10165</v>
      </c>
      <c r="FN370" s="19"/>
      <c r="FO370" s="19"/>
      <c r="FP370" s="19" t="str">
        <f t="shared" si="1"/>
        <v>Base de Dados_Images/FIT65019.Imagem do Equipamento-.155409.jpg</v>
      </c>
      <c r="FQ370" s="14"/>
      <c r="FR370" s="14"/>
    </row>
    <row r="371" ht="15.75" customHeight="1">
      <c r="A371" s="12" t="s">
        <v>234</v>
      </c>
      <c r="B371" s="12" t="s">
        <v>2816</v>
      </c>
      <c r="C371" s="24" t="s">
        <v>375</v>
      </c>
      <c r="D371" s="22" t="s">
        <v>10166</v>
      </c>
      <c r="E371" s="22" t="s">
        <v>10167</v>
      </c>
      <c r="F371" s="13" t="s">
        <v>178</v>
      </c>
      <c r="G371" s="14" t="s">
        <v>179</v>
      </c>
      <c r="H371" s="14" t="s">
        <v>10168</v>
      </c>
      <c r="I371" s="14" t="s">
        <v>179</v>
      </c>
      <c r="J371" s="14" t="s">
        <v>10169</v>
      </c>
      <c r="K371" s="14" t="s">
        <v>179</v>
      </c>
      <c r="L371" s="14" t="s">
        <v>10170</v>
      </c>
      <c r="M371" s="14" t="s">
        <v>179</v>
      </c>
      <c r="N371" s="14" t="s">
        <v>10171</v>
      </c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6" t="s">
        <v>197</v>
      </c>
      <c r="BP371" s="17" t="s">
        <v>198</v>
      </c>
      <c r="BQ371" s="18">
        <v>45699.51142361111</v>
      </c>
      <c r="BR371" s="17" t="s">
        <v>198</v>
      </c>
      <c r="BS371" s="18">
        <v>45699.511469907404</v>
      </c>
      <c r="BT371" s="17" t="s">
        <v>198</v>
      </c>
      <c r="BU371" s="18">
        <v>45699.511469907404</v>
      </c>
      <c r="BV371" s="13" t="s">
        <v>199</v>
      </c>
      <c r="BW371" s="14" t="s">
        <v>179</v>
      </c>
      <c r="BX371" s="14" t="s">
        <v>10172</v>
      </c>
      <c r="BY371" s="14" t="s">
        <v>179</v>
      </c>
      <c r="BZ371" s="14" t="s">
        <v>10173</v>
      </c>
      <c r="CA371" s="14" t="s">
        <v>179</v>
      </c>
      <c r="CB371" s="14" t="s">
        <v>10174</v>
      </c>
      <c r="CC371" s="15"/>
      <c r="CD371" s="15"/>
      <c r="CE371" s="15"/>
      <c r="CF371" s="15"/>
      <c r="CG371" s="19"/>
      <c r="CH371" s="15"/>
      <c r="CI371" s="19"/>
      <c r="CJ371" s="15"/>
      <c r="CK371" s="19"/>
      <c r="CL371" s="15"/>
      <c r="CM371" s="19"/>
      <c r="CN371" s="15"/>
      <c r="CO371" s="19"/>
      <c r="CP371" s="15"/>
      <c r="CQ371" s="15"/>
      <c r="CR371" s="15"/>
      <c r="CS371" s="19"/>
      <c r="CT371" s="15"/>
      <c r="CU371" s="19"/>
      <c r="CV371" s="15"/>
      <c r="CW371" s="19"/>
      <c r="CX371" s="15"/>
      <c r="CY371" s="19"/>
      <c r="CZ371" s="15"/>
      <c r="DA371" s="16" t="s">
        <v>197</v>
      </c>
      <c r="DB371" s="17" t="s">
        <v>228</v>
      </c>
      <c r="DC371" s="16"/>
      <c r="DD371" s="17" t="s">
        <v>198</v>
      </c>
      <c r="DE371" s="18">
        <v>45713.41030092593</v>
      </c>
      <c r="DF371" s="17" t="s">
        <v>198</v>
      </c>
      <c r="DG371" s="18">
        <v>45713.41030092593</v>
      </c>
      <c r="DH371" s="13" t="s">
        <v>205</v>
      </c>
      <c r="DI371" s="14" t="s">
        <v>179</v>
      </c>
      <c r="DJ371" s="14" t="s">
        <v>10175</v>
      </c>
      <c r="DK371" s="14" t="s">
        <v>179</v>
      </c>
      <c r="DL371" s="14" t="s">
        <v>10176</v>
      </c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6" t="s">
        <v>197</v>
      </c>
      <c r="ED371" s="17" t="s">
        <v>198</v>
      </c>
      <c r="EE371" s="18">
        <v>45713.41034722222</v>
      </c>
      <c r="EF371" s="13" t="s">
        <v>209</v>
      </c>
      <c r="EG371" s="14" t="s">
        <v>179</v>
      </c>
      <c r="EH371" s="14" t="s">
        <v>10177</v>
      </c>
      <c r="EI371" s="14" t="s">
        <v>179</v>
      </c>
      <c r="EJ371" s="14" t="s">
        <v>10178</v>
      </c>
      <c r="EK371" s="15"/>
      <c r="EL371" s="15"/>
      <c r="EM371" s="15"/>
      <c r="EN371" s="15"/>
      <c r="EO371" s="15"/>
      <c r="EP371" s="15"/>
      <c r="EQ371" s="15"/>
      <c r="ER371" s="15"/>
      <c r="ES371" s="15"/>
      <c r="ET371" s="15"/>
      <c r="EU371" s="15"/>
      <c r="EV371" s="15"/>
      <c r="EW371" s="15"/>
      <c r="EX371" s="15"/>
      <c r="EY371" s="15"/>
      <c r="EZ371" s="15"/>
      <c r="FA371" s="15"/>
      <c r="FB371" s="15"/>
      <c r="FC371" s="16" t="s">
        <v>197</v>
      </c>
      <c r="FD371" s="17" t="s">
        <v>198</v>
      </c>
      <c r="FE371" s="18">
        <v>45720.343993055554</v>
      </c>
      <c r="FF371" s="14" t="s">
        <v>10136</v>
      </c>
      <c r="FG371" s="19"/>
      <c r="FH371" s="17" t="s">
        <v>198</v>
      </c>
      <c r="FI371" s="17" t="s">
        <v>214</v>
      </c>
      <c r="FJ371" s="18">
        <v>45720.343993055554</v>
      </c>
      <c r="FK371" s="14" t="s">
        <v>10178</v>
      </c>
      <c r="FL371" s="14" t="s">
        <v>10179</v>
      </c>
      <c r="FM371" s="14" t="s">
        <v>10180</v>
      </c>
      <c r="FN371" s="19"/>
      <c r="FO371" s="19"/>
      <c r="FP371" s="19" t="str">
        <f t="shared" si="1"/>
        <v>Base de Dados_Images/FIT65020.Imagem do Equipamento-.174420.jpg</v>
      </c>
      <c r="FQ371" s="19"/>
      <c r="FR371" s="19"/>
    </row>
    <row r="372" ht="15.75" customHeight="1">
      <c r="A372" s="12" t="s">
        <v>234</v>
      </c>
      <c r="B372" s="12" t="s">
        <v>2850</v>
      </c>
      <c r="C372" s="24" t="s">
        <v>375</v>
      </c>
      <c r="D372" s="22" t="s">
        <v>10181</v>
      </c>
      <c r="E372" s="22" t="s">
        <v>10182</v>
      </c>
      <c r="F372" s="13" t="s">
        <v>178</v>
      </c>
      <c r="G372" s="14" t="s">
        <v>179</v>
      </c>
      <c r="H372" s="14" t="s">
        <v>10183</v>
      </c>
      <c r="I372" s="14" t="s">
        <v>179</v>
      </c>
      <c r="J372" s="14" t="s">
        <v>10184</v>
      </c>
      <c r="K372" s="14" t="s">
        <v>179</v>
      </c>
      <c r="L372" s="14" t="s">
        <v>10185</v>
      </c>
      <c r="M372" s="14" t="s">
        <v>179</v>
      </c>
      <c r="N372" s="14" t="s">
        <v>10186</v>
      </c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6" t="s">
        <v>197</v>
      </c>
      <c r="BP372" s="17" t="s">
        <v>198</v>
      </c>
      <c r="BQ372" s="18">
        <v>45699.51162037037</v>
      </c>
      <c r="BR372" s="17" t="s">
        <v>198</v>
      </c>
      <c r="BS372" s="18">
        <v>45699.51167824074</v>
      </c>
      <c r="BT372" s="17" t="s">
        <v>198</v>
      </c>
      <c r="BU372" s="18">
        <v>45699.51167824074</v>
      </c>
      <c r="BV372" s="13" t="s">
        <v>199</v>
      </c>
      <c r="BW372" s="14" t="s">
        <v>179</v>
      </c>
      <c r="BX372" s="14" t="s">
        <v>10187</v>
      </c>
      <c r="BY372" s="14" t="s">
        <v>179</v>
      </c>
      <c r="BZ372" s="14" t="s">
        <v>10187</v>
      </c>
      <c r="CA372" s="14" t="s">
        <v>179</v>
      </c>
      <c r="CB372" s="14" t="s">
        <v>10188</v>
      </c>
      <c r="CC372" s="15"/>
      <c r="CD372" s="15"/>
      <c r="CE372" s="15"/>
      <c r="CF372" s="15"/>
      <c r="CG372" s="19"/>
      <c r="CH372" s="15"/>
      <c r="CI372" s="19"/>
      <c r="CJ372" s="15"/>
      <c r="CK372" s="19"/>
      <c r="CL372" s="15"/>
      <c r="CM372" s="19"/>
      <c r="CN372" s="15"/>
      <c r="CO372" s="19"/>
      <c r="CP372" s="15"/>
      <c r="CQ372" s="15"/>
      <c r="CR372" s="15"/>
      <c r="CS372" s="19"/>
      <c r="CT372" s="15"/>
      <c r="CU372" s="19"/>
      <c r="CV372" s="15"/>
      <c r="CW372" s="19"/>
      <c r="CX372" s="15"/>
      <c r="CY372" s="19"/>
      <c r="CZ372" s="15"/>
      <c r="DA372" s="16" t="s">
        <v>197</v>
      </c>
      <c r="DB372" s="17" t="s">
        <v>228</v>
      </c>
      <c r="DC372" s="16"/>
      <c r="DD372" s="17" t="s">
        <v>198</v>
      </c>
      <c r="DE372" s="18">
        <v>45702.32591435185</v>
      </c>
      <c r="DF372" s="17" t="s">
        <v>198</v>
      </c>
      <c r="DG372" s="18">
        <v>45702.32591435185</v>
      </c>
      <c r="DH372" s="13" t="s">
        <v>205</v>
      </c>
      <c r="DI372" s="14" t="s">
        <v>179</v>
      </c>
      <c r="DJ372" s="14" t="s">
        <v>10189</v>
      </c>
      <c r="DK372" s="14" t="s">
        <v>179</v>
      </c>
      <c r="DL372" s="14" t="s">
        <v>10189</v>
      </c>
      <c r="DM372" s="15"/>
      <c r="DN372" s="15"/>
      <c r="DO372" s="15"/>
      <c r="DP372" s="15"/>
      <c r="DQ372" s="15"/>
      <c r="DR372" s="15"/>
      <c r="DS372" s="15"/>
      <c r="DT372" s="15"/>
      <c r="DU372" s="15"/>
      <c r="DV372" s="15"/>
      <c r="DW372" s="15"/>
      <c r="DX372" s="15"/>
      <c r="DY372" s="15"/>
      <c r="DZ372" s="15"/>
      <c r="EA372" s="15"/>
      <c r="EB372" s="15"/>
      <c r="EC372" s="16" t="s">
        <v>197</v>
      </c>
      <c r="ED372" s="17" t="s">
        <v>198</v>
      </c>
      <c r="EE372" s="18">
        <v>45713.41677083333</v>
      </c>
      <c r="EF372" s="13" t="s">
        <v>209</v>
      </c>
      <c r="EG372" s="14" t="s">
        <v>179</v>
      </c>
      <c r="EH372" s="14" t="s">
        <v>10190</v>
      </c>
      <c r="EI372" s="14" t="s">
        <v>179</v>
      </c>
      <c r="EJ372" s="14" t="s">
        <v>10191</v>
      </c>
      <c r="EK372" s="15"/>
      <c r="EL372" s="15"/>
      <c r="EM372" s="15"/>
      <c r="EN372" s="15"/>
      <c r="EO372" s="15"/>
      <c r="EP372" s="15"/>
      <c r="EQ372" s="15"/>
      <c r="ER372" s="15"/>
      <c r="ES372" s="15"/>
      <c r="ET372" s="15"/>
      <c r="EU372" s="15"/>
      <c r="EV372" s="15"/>
      <c r="EW372" s="15"/>
      <c r="EX372" s="15"/>
      <c r="EY372" s="15"/>
      <c r="EZ372" s="15"/>
      <c r="FA372" s="15"/>
      <c r="FB372" s="15"/>
      <c r="FC372" s="16" t="s">
        <v>197</v>
      </c>
      <c r="FD372" s="17" t="s">
        <v>198</v>
      </c>
      <c r="FE372" s="18">
        <v>45720.34947916667</v>
      </c>
      <c r="FF372" s="14" t="s">
        <v>10136</v>
      </c>
      <c r="FG372" s="19"/>
      <c r="FH372" s="17" t="s">
        <v>198</v>
      </c>
      <c r="FI372" s="17" t="s">
        <v>214</v>
      </c>
      <c r="FJ372" s="18">
        <v>45720.34947916667</v>
      </c>
      <c r="FK372" s="14" t="s">
        <v>10191</v>
      </c>
      <c r="FL372" s="14" t="s">
        <v>10192</v>
      </c>
      <c r="FM372" s="14" t="s">
        <v>10193</v>
      </c>
      <c r="FN372" s="19"/>
      <c r="FO372" s="19"/>
      <c r="FP372" s="19" t="str">
        <f t="shared" si="1"/>
        <v>Base de Dados_Images/FIT65021.Imagem do Equipamento-.174935.jpg</v>
      </c>
      <c r="FQ372" s="19"/>
      <c r="FR372" s="19"/>
    </row>
    <row r="373" ht="15.75" customHeight="1">
      <c r="A373" s="12" t="s">
        <v>234</v>
      </c>
      <c r="B373" s="12" t="s">
        <v>2885</v>
      </c>
      <c r="C373" s="24" t="s">
        <v>375</v>
      </c>
      <c r="D373" s="22" t="s">
        <v>10194</v>
      </c>
      <c r="E373" s="22" t="s">
        <v>10195</v>
      </c>
      <c r="F373" s="13" t="s">
        <v>178</v>
      </c>
      <c r="G373" s="14" t="s">
        <v>179</v>
      </c>
      <c r="H373" s="14" t="s">
        <v>10196</v>
      </c>
      <c r="I373" s="14" t="s">
        <v>179</v>
      </c>
      <c r="J373" s="14" t="s">
        <v>10197</v>
      </c>
      <c r="K373" s="14" t="s">
        <v>179</v>
      </c>
      <c r="L373" s="14" t="s">
        <v>10198</v>
      </c>
      <c r="M373" s="14" t="s">
        <v>179</v>
      </c>
      <c r="N373" s="14" t="s">
        <v>10199</v>
      </c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6" t="s">
        <v>197</v>
      </c>
      <c r="BP373" s="17" t="s">
        <v>198</v>
      </c>
      <c r="BQ373" s="18">
        <v>45699.51181712963</v>
      </c>
      <c r="BR373" s="17" t="s">
        <v>198</v>
      </c>
      <c r="BS373" s="18">
        <v>45699.51186342593</v>
      </c>
      <c r="BT373" s="17" t="s">
        <v>198</v>
      </c>
      <c r="BU373" s="18">
        <v>45699.51186342593</v>
      </c>
      <c r="BV373" s="13" t="s">
        <v>199</v>
      </c>
      <c r="BW373" s="14" t="s">
        <v>179</v>
      </c>
      <c r="BX373" s="14" t="s">
        <v>10200</v>
      </c>
      <c r="BY373" s="14" t="s">
        <v>179</v>
      </c>
      <c r="BZ373" s="14" t="s">
        <v>10200</v>
      </c>
      <c r="CA373" s="14" t="s">
        <v>179</v>
      </c>
      <c r="CB373" s="14" t="s">
        <v>10201</v>
      </c>
      <c r="CC373" s="15"/>
      <c r="CD373" s="15"/>
      <c r="CE373" s="15"/>
      <c r="CF373" s="15"/>
      <c r="CG373" s="19"/>
      <c r="CH373" s="15"/>
      <c r="CI373" s="19"/>
      <c r="CJ373" s="15"/>
      <c r="CK373" s="19"/>
      <c r="CL373" s="15"/>
      <c r="CM373" s="19"/>
      <c r="CN373" s="15"/>
      <c r="CO373" s="19"/>
      <c r="CP373" s="15"/>
      <c r="CQ373" s="15"/>
      <c r="CR373" s="15"/>
      <c r="CS373" s="19"/>
      <c r="CT373" s="15"/>
      <c r="CU373" s="19"/>
      <c r="CV373" s="15"/>
      <c r="CW373" s="19"/>
      <c r="CX373" s="15"/>
      <c r="CY373" s="19"/>
      <c r="CZ373" s="15"/>
      <c r="DA373" s="16" t="s">
        <v>197</v>
      </c>
      <c r="DB373" s="17" t="s">
        <v>228</v>
      </c>
      <c r="DC373" s="16"/>
      <c r="DD373" s="17" t="s">
        <v>198</v>
      </c>
      <c r="DE373" s="18">
        <v>45713.4121875</v>
      </c>
      <c r="DF373" s="17" t="s">
        <v>198</v>
      </c>
      <c r="DG373" s="18">
        <v>45713.4121875</v>
      </c>
      <c r="DH373" s="13" t="s">
        <v>205</v>
      </c>
      <c r="DI373" s="14" t="s">
        <v>179</v>
      </c>
      <c r="DJ373" s="14" t="s">
        <v>10202</v>
      </c>
      <c r="DK373" s="14" t="s">
        <v>179</v>
      </c>
      <c r="DL373" s="14" t="s">
        <v>10203</v>
      </c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6" t="s">
        <v>197</v>
      </c>
      <c r="ED373" s="17" t="s">
        <v>198</v>
      </c>
      <c r="EE373" s="18">
        <v>45713.4122337963</v>
      </c>
      <c r="EF373" s="13" t="s">
        <v>209</v>
      </c>
      <c r="EG373" s="14" t="s">
        <v>179</v>
      </c>
      <c r="EH373" s="14" t="s">
        <v>10204</v>
      </c>
      <c r="EI373" s="14" t="s">
        <v>179</v>
      </c>
      <c r="EJ373" s="14" t="s">
        <v>10205</v>
      </c>
      <c r="EK373" s="15"/>
      <c r="EL373" s="15"/>
      <c r="EM373" s="15"/>
      <c r="EN373" s="15"/>
      <c r="EO373" s="15"/>
      <c r="EP373" s="15"/>
      <c r="EQ373" s="15"/>
      <c r="ER373" s="15"/>
      <c r="ES373" s="15"/>
      <c r="ET373" s="15"/>
      <c r="EU373" s="15"/>
      <c r="EV373" s="15"/>
      <c r="EW373" s="15"/>
      <c r="EX373" s="15"/>
      <c r="EY373" s="15"/>
      <c r="EZ373" s="15"/>
      <c r="FA373" s="15"/>
      <c r="FB373" s="15"/>
      <c r="FC373" s="16" t="s">
        <v>197</v>
      </c>
      <c r="FD373" s="17" t="s">
        <v>198</v>
      </c>
      <c r="FE373" s="18">
        <v>45720.35387731482</v>
      </c>
      <c r="FF373" s="14" t="s">
        <v>10136</v>
      </c>
      <c r="FG373" s="19"/>
      <c r="FH373" s="17" t="s">
        <v>198</v>
      </c>
      <c r="FI373" s="17" t="s">
        <v>214</v>
      </c>
      <c r="FJ373" s="18">
        <v>45720.35387731482</v>
      </c>
      <c r="FK373" s="14" t="s">
        <v>10205</v>
      </c>
      <c r="FL373" s="14" t="s">
        <v>10206</v>
      </c>
      <c r="FM373" s="14" t="s">
        <v>10207</v>
      </c>
      <c r="FN373" s="19"/>
      <c r="FO373" s="19"/>
      <c r="FP373" s="19" t="str">
        <f t="shared" si="1"/>
        <v>Base de Dados_Images/FIT65022.Imagem do Equipamento-.174648.jpg</v>
      </c>
      <c r="FQ373" s="19"/>
      <c r="FR373" s="19"/>
    </row>
    <row r="374" ht="15.75" customHeight="1">
      <c r="A374" s="12" t="s">
        <v>234</v>
      </c>
      <c r="B374" s="12" t="s">
        <v>2921</v>
      </c>
      <c r="C374" s="24" t="s">
        <v>375</v>
      </c>
      <c r="D374" s="22" t="s">
        <v>10208</v>
      </c>
      <c r="E374" s="22" t="s">
        <v>10209</v>
      </c>
      <c r="F374" s="13" t="s">
        <v>178</v>
      </c>
      <c r="G374" s="14" t="s">
        <v>179</v>
      </c>
      <c r="H374" s="14" t="s">
        <v>10210</v>
      </c>
      <c r="I374" s="14" t="s">
        <v>179</v>
      </c>
      <c r="J374" s="14" t="s">
        <v>10211</v>
      </c>
      <c r="K374" s="14" t="s">
        <v>179</v>
      </c>
      <c r="L374" s="14" t="s">
        <v>10212</v>
      </c>
      <c r="M374" s="14" t="s">
        <v>179</v>
      </c>
      <c r="N374" s="14" t="s">
        <v>10213</v>
      </c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6" t="s">
        <v>197</v>
      </c>
      <c r="BP374" s="17" t="s">
        <v>198</v>
      </c>
      <c r="BQ374" s="18">
        <v>45699.51212962963</v>
      </c>
      <c r="BR374" s="17" t="s">
        <v>198</v>
      </c>
      <c r="BS374" s="18">
        <v>45699.51217592593</v>
      </c>
      <c r="BT374" s="17" t="s">
        <v>198</v>
      </c>
      <c r="BU374" s="18">
        <v>45699.51217592593</v>
      </c>
      <c r="BV374" s="13" t="s">
        <v>199</v>
      </c>
      <c r="BW374" s="14" t="s">
        <v>179</v>
      </c>
      <c r="BX374" s="14" t="s">
        <v>10214</v>
      </c>
      <c r="BY374" s="14" t="s">
        <v>179</v>
      </c>
      <c r="BZ374" s="14" t="s">
        <v>10214</v>
      </c>
      <c r="CA374" s="14" t="s">
        <v>179</v>
      </c>
      <c r="CB374" s="14" t="s">
        <v>10215</v>
      </c>
      <c r="CC374" s="15"/>
      <c r="CD374" s="15"/>
      <c r="CE374" s="15"/>
      <c r="CF374" s="15"/>
      <c r="CG374" s="19"/>
      <c r="CH374" s="15"/>
      <c r="CI374" s="19"/>
      <c r="CJ374" s="15"/>
      <c r="CK374" s="19"/>
      <c r="CL374" s="15"/>
      <c r="CM374" s="19"/>
      <c r="CN374" s="15"/>
      <c r="CO374" s="19"/>
      <c r="CP374" s="15"/>
      <c r="CQ374" s="15"/>
      <c r="CR374" s="15"/>
      <c r="CS374" s="19"/>
      <c r="CT374" s="15"/>
      <c r="CU374" s="19"/>
      <c r="CV374" s="15"/>
      <c r="CW374" s="19"/>
      <c r="CX374" s="15"/>
      <c r="CY374" s="19"/>
      <c r="CZ374" s="15"/>
      <c r="DA374" s="16" t="s">
        <v>197</v>
      </c>
      <c r="DB374" s="17" t="s">
        <v>228</v>
      </c>
      <c r="DC374" s="16"/>
      <c r="DD374" s="17" t="s">
        <v>198</v>
      </c>
      <c r="DE374" s="18">
        <v>45702.32644675926</v>
      </c>
      <c r="DF374" s="17" t="s">
        <v>198</v>
      </c>
      <c r="DG374" s="18">
        <v>45702.32644675926</v>
      </c>
      <c r="DH374" s="13" t="s">
        <v>205</v>
      </c>
      <c r="DI374" s="14" t="s">
        <v>179</v>
      </c>
      <c r="DJ374" s="14" t="s">
        <v>10216</v>
      </c>
      <c r="DK374" s="14" t="s">
        <v>179</v>
      </c>
      <c r="DL374" s="14" t="s">
        <v>10217</v>
      </c>
      <c r="DM374" s="15"/>
      <c r="DN374" s="15"/>
      <c r="DO374" s="15"/>
      <c r="DP374" s="15"/>
      <c r="DQ374" s="15"/>
      <c r="DR374" s="15"/>
      <c r="DS374" s="15"/>
      <c r="DT374" s="15"/>
      <c r="DU374" s="15"/>
      <c r="DV374" s="15"/>
      <c r="DW374" s="15"/>
      <c r="DX374" s="15"/>
      <c r="DY374" s="15"/>
      <c r="DZ374" s="15"/>
      <c r="EA374" s="15"/>
      <c r="EB374" s="15"/>
      <c r="EC374" s="16" t="s">
        <v>197</v>
      </c>
      <c r="ED374" s="17" t="s">
        <v>198</v>
      </c>
      <c r="EE374" s="18">
        <v>45713.41939814815</v>
      </c>
      <c r="EF374" s="13" t="s">
        <v>209</v>
      </c>
      <c r="EG374" s="14" t="s">
        <v>179</v>
      </c>
      <c r="EH374" s="14" t="s">
        <v>10218</v>
      </c>
      <c r="EI374" s="14" t="s">
        <v>179</v>
      </c>
      <c r="EJ374" s="14" t="s">
        <v>10219</v>
      </c>
      <c r="EK374" s="15"/>
      <c r="EL374" s="15"/>
      <c r="EM374" s="15"/>
      <c r="EN374" s="15"/>
      <c r="EO374" s="15"/>
      <c r="EP374" s="15"/>
      <c r="EQ374" s="15"/>
      <c r="ER374" s="15"/>
      <c r="ES374" s="15"/>
      <c r="ET374" s="15"/>
      <c r="EU374" s="15"/>
      <c r="EV374" s="15"/>
      <c r="EW374" s="15"/>
      <c r="EX374" s="15"/>
      <c r="EY374" s="15"/>
      <c r="EZ374" s="15"/>
      <c r="FA374" s="15"/>
      <c r="FB374" s="15"/>
      <c r="FC374" s="16" t="s">
        <v>197</v>
      </c>
      <c r="FD374" s="17" t="s">
        <v>198</v>
      </c>
      <c r="FE374" s="18">
        <v>45720.3516087963</v>
      </c>
      <c r="FF374" s="14" t="s">
        <v>10136</v>
      </c>
      <c r="FG374" s="19"/>
      <c r="FH374" s="17" t="s">
        <v>198</v>
      </c>
      <c r="FI374" s="17" t="s">
        <v>214</v>
      </c>
      <c r="FJ374" s="18">
        <v>45720.3516087963</v>
      </c>
      <c r="FK374" s="14" t="s">
        <v>10219</v>
      </c>
      <c r="FL374" s="14" t="s">
        <v>10220</v>
      </c>
      <c r="FM374" s="14" t="s">
        <v>10221</v>
      </c>
      <c r="FN374" s="19"/>
      <c r="FO374" s="19"/>
      <c r="FP374" s="19" t="str">
        <f t="shared" si="1"/>
        <v>Base de Dados_Images/FIT65023.Imagem do Equipamento-.174913.jpg</v>
      </c>
      <c r="FQ374" s="19"/>
      <c r="FR374" s="19"/>
    </row>
    <row r="375" ht="15.75" customHeight="1">
      <c r="A375" s="12" t="s">
        <v>234</v>
      </c>
      <c r="B375" s="12" t="s">
        <v>10222</v>
      </c>
      <c r="C375" s="24" t="s">
        <v>375</v>
      </c>
      <c r="D375" s="22" t="s">
        <v>10223</v>
      </c>
      <c r="E375" s="22" t="s">
        <v>10224</v>
      </c>
      <c r="F375" s="13" t="s">
        <v>178</v>
      </c>
      <c r="G375" s="14" t="s">
        <v>179</v>
      </c>
      <c r="H375" s="14" t="s">
        <v>10225</v>
      </c>
      <c r="I375" s="14" t="s">
        <v>179</v>
      </c>
      <c r="J375" s="14" t="s">
        <v>10226</v>
      </c>
      <c r="K375" s="14" t="s">
        <v>179</v>
      </c>
      <c r="L375" s="14" t="s">
        <v>10227</v>
      </c>
      <c r="M375" s="14" t="s">
        <v>179</v>
      </c>
      <c r="N375" s="14" t="s">
        <v>10228</v>
      </c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6" t="s">
        <v>197</v>
      </c>
      <c r="BP375" s="17" t="s">
        <v>198</v>
      </c>
      <c r="BQ375" s="18">
        <v>45694.622465277775</v>
      </c>
      <c r="BR375" s="17" t="s">
        <v>198</v>
      </c>
      <c r="BS375" s="18">
        <v>45694.62252314815</v>
      </c>
      <c r="BT375" s="17" t="s">
        <v>198</v>
      </c>
      <c r="BU375" s="18">
        <v>45694.62252314815</v>
      </c>
      <c r="BV375" s="13" t="s">
        <v>199</v>
      </c>
      <c r="BW375" s="14" t="s">
        <v>179</v>
      </c>
      <c r="BX375" s="14" t="s">
        <v>10229</v>
      </c>
      <c r="BY375" s="14" t="s">
        <v>179</v>
      </c>
      <c r="BZ375" s="14" t="s">
        <v>10230</v>
      </c>
      <c r="CA375" s="14" t="s">
        <v>179</v>
      </c>
      <c r="CB375" s="14" t="s">
        <v>10230</v>
      </c>
      <c r="CC375" s="15"/>
      <c r="CD375" s="15"/>
      <c r="CE375" s="15"/>
      <c r="CF375" s="15"/>
      <c r="CG375" s="19"/>
      <c r="CH375" s="15"/>
      <c r="CI375" s="19"/>
      <c r="CJ375" s="15"/>
      <c r="CK375" s="19"/>
      <c r="CL375" s="15"/>
      <c r="CM375" s="19"/>
      <c r="CN375" s="15"/>
      <c r="CO375" s="19"/>
      <c r="CP375" s="15"/>
      <c r="CQ375" s="15"/>
      <c r="CR375" s="15"/>
      <c r="CS375" s="19"/>
      <c r="CT375" s="15"/>
      <c r="CU375" s="19"/>
      <c r="CV375" s="15"/>
      <c r="CW375" s="19"/>
      <c r="CX375" s="15"/>
      <c r="CY375" s="19"/>
      <c r="CZ375" s="15"/>
      <c r="DA375" s="16" t="s">
        <v>197</v>
      </c>
      <c r="DB375" s="17" t="s">
        <v>228</v>
      </c>
      <c r="DC375" s="16"/>
      <c r="DD375" s="17" t="s">
        <v>198</v>
      </c>
      <c r="DE375" s="18">
        <v>45696.61497685185</v>
      </c>
      <c r="DF375" s="17" t="s">
        <v>198</v>
      </c>
      <c r="DG375" s="18">
        <v>45696.61497685185</v>
      </c>
      <c r="DH375" s="13" t="s">
        <v>205</v>
      </c>
      <c r="DI375" s="14" t="s">
        <v>179</v>
      </c>
      <c r="DJ375" s="14" t="s">
        <v>10231</v>
      </c>
      <c r="DK375" s="14" t="s">
        <v>179</v>
      </c>
      <c r="DL375" s="14" t="s">
        <v>10232</v>
      </c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6" t="s">
        <v>197</v>
      </c>
      <c r="ED375" s="17" t="s">
        <v>198</v>
      </c>
      <c r="EE375" s="18">
        <v>45719.52990740741</v>
      </c>
      <c r="EF375" s="13" t="s">
        <v>209</v>
      </c>
      <c r="EG375" s="14" t="s">
        <v>179</v>
      </c>
      <c r="EH375" s="14" t="s">
        <v>10233</v>
      </c>
      <c r="EI375" s="14" t="s">
        <v>179</v>
      </c>
      <c r="EJ375" s="14" t="s">
        <v>10233</v>
      </c>
      <c r="EK375" s="15"/>
      <c r="EL375" s="15"/>
      <c r="EM375" s="15"/>
      <c r="EN375" s="15"/>
      <c r="EO375" s="15"/>
      <c r="EP375" s="15"/>
      <c r="EQ375" s="15"/>
      <c r="ER375" s="15"/>
      <c r="ES375" s="15"/>
      <c r="ET375" s="15"/>
      <c r="EU375" s="15"/>
      <c r="EV375" s="15"/>
      <c r="EW375" s="15"/>
      <c r="EX375" s="15"/>
      <c r="EY375" s="15"/>
      <c r="EZ375" s="15"/>
      <c r="FA375" s="15"/>
      <c r="FB375" s="15"/>
      <c r="FC375" s="16" t="s">
        <v>197</v>
      </c>
      <c r="FD375" s="17" t="s">
        <v>198</v>
      </c>
      <c r="FE375" s="18">
        <v>45722.38940972222</v>
      </c>
      <c r="FF375" s="19"/>
      <c r="FG375" s="19"/>
      <c r="FH375" s="21" t="s">
        <v>197</v>
      </c>
      <c r="FI375" s="17" t="s">
        <v>214</v>
      </c>
      <c r="FJ375" s="18">
        <v>45722.38940972222</v>
      </c>
      <c r="FK375" s="14" t="s">
        <v>10233</v>
      </c>
      <c r="FL375" s="14" t="s">
        <v>10234</v>
      </c>
      <c r="FM375" s="14" t="s">
        <v>10235</v>
      </c>
      <c r="FN375" s="19"/>
      <c r="FO375" s="19"/>
      <c r="FP375" s="19" t="str">
        <f t="shared" si="1"/>
        <v>Base de Dados_Images/FIT65026.Imagem do Equipamento-.172322.jpg</v>
      </c>
      <c r="FQ375" s="14"/>
      <c r="FR375" s="14"/>
    </row>
    <row r="376" ht="15.75" customHeight="1">
      <c r="A376" s="12" t="s">
        <v>234</v>
      </c>
      <c r="B376" s="12" t="s">
        <v>3230</v>
      </c>
      <c r="C376" s="24" t="s">
        <v>375</v>
      </c>
      <c r="D376" s="22" t="s">
        <v>10236</v>
      </c>
      <c r="E376" s="22" t="s">
        <v>10237</v>
      </c>
      <c r="F376" s="13" t="s">
        <v>178</v>
      </c>
      <c r="G376" s="14" t="s">
        <v>179</v>
      </c>
      <c r="H376" s="14" t="s">
        <v>10238</v>
      </c>
      <c r="I376" s="14" t="s">
        <v>179</v>
      </c>
      <c r="J376" s="14" t="s">
        <v>10239</v>
      </c>
      <c r="K376" s="14" t="s">
        <v>179</v>
      </c>
      <c r="L376" s="14" t="s">
        <v>10240</v>
      </c>
      <c r="M376" s="14" t="s">
        <v>179</v>
      </c>
      <c r="N376" s="14" t="s">
        <v>10241</v>
      </c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6" t="s">
        <v>197</v>
      </c>
      <c r="BP376" s="17" t="s">
        <v>198</v>
      </c>
      <c r="BQ376" s="18">
        <v>45694.58975694444</v>
      </c>
      <c r="BR376" s="17" t="s">
        <v>198</v>
      </c>
      <c r="BS376" s="18">
        <v>45694.58980324074</v>
      </c>
      <c r="BT376" s="17" t="s">
        <v>198</v>
      </c>
      <c r="BU376" s="18">
        <v>45694.58980324074</v>
      </c>
      <c r="BV376" s="13" t="s">
        <v>199</v>
      </c>
      <c r="BW376" s="14" t="s">
        <v>179</v>
      </c>
      <c r="BX376" s="14" t="s">
        <v>10242</v>
      </c>
      <c r="BY376" s="14" t="s">
        <v>179</v>
      </c>
      <c r="BZ376" s="14" t="s">
        <v>10243</v>
      </c>
      <c r="CA376" s="14" t="s">
        <v>179</v>
      </c>
      <c r="CB376" s="14" t="s">
        <v>10244</v>
      </c>
      <c r="CC376" s="15"/>
      <c r="CD376" s="15"/>
      <c r="CE376" s="15"/>
      <c r="CF376" s="15"/>
      <c r="CG376" s="19"/>
      <c r="CH376" s="15"/>
      <c r="CI376" s="19"/>
      <c r="CJ376" s="15"/>
      <c r="CK376" s="19"/>
      <c r="CL376" s="15"/>
      <c r="CM376" s="19"/>
      <c r="CN376" s="15"/>
      <c r="CO376" s="19"/>
      <c r="CP376" s="15"/>
      <c r="CQ376" s="15"/>
      <c r="CR376" s="15"/>
      <c r="CS376" s="19"/>
      <c r="CT376" s="15"/>
      <c r="CU376" s="19"/>
      <c r="CV376" s="15"/>
      <c r="CW376" s="19"/>
      <c r="CX376" s="15"/>
      <c r="CY376" s="19"/>
      <c r="CZ376" s="15"/>
      <c r="DA376" s="16" t="s">
        <v>197</v>
      </c>
      <c r="DB376" s="17" t="s">
        <v>228</v>
      </c>
      <c r="DC376" s="16"/>
      <c r="DD376" s="17" t="s">
        <v>198</v>
      </c>
      <c r="DE376" s="18">
        <v>45696.5959375</v>
      </c>
      <c r="DF376" s="17" t="s">
        <v>198</v>
      </c>
      <c r="DG376" s="18">
        <v>45696.5959375</v>
      </c>
      <c r="DH376" s="13" t="s">
        <v>205</v>
      </c>
      <c r="DI376" s="14" t="s">
        <v>179</v>
      </c>
      <c r="DJ376" s="14" t="s">
        <v>10245</v>
      </c>
      <c r="DK376" s="14" t="s">
        <v>179</v>
      </c>
      <c r="DL376" s="14" t="s">
        <v>10246</v>
      </c>
      <c r="DM376" s="15"/>
      <c r="DN376" s="15"/>
      <c r="DO376" s="15"/>
      <c r="DP376" s="15"/>
      <c r="DQ376" s="15"/>
      <c r="DR376" s="15"/>
      <c r="DS376" s="15"/>
      <c r="DT376" s="15"/>
      <c r="DU376" s="15"/>
      <c r="DV376" s="15"/>
      <c r="DW376" s="15"/>
      <c r="DX376" s="15"/>
      <c r="DY376" s="15"/>
      <c r="DZ376" s="15"/>
      <c r="EA376" s="15"/>
      <c r="EB376" s="15"/>
      <c r="EC376" s="16" t="s">
        <v>197</v>
      </c>
      <c r="ED376" s="17" t="s">
        <v>198</v>
      </c>
      <c r="EE376" s="18">
        <v>45719.528078703705</v>
      </c>
      <c r="EF376" s="13" t="s">
        <v>209</v>
      </c>
      <c r="EG376" s="14" t="s">
        <v>179</v>
      </c>
      <c r="EH376" s="14" t="s">
        <v>10247</v>
      </c>
      <c r="EI376" s="14" t="s">
        <v>179</v>
      </c>
      <c r="EJ376" s="14" t="s">
        <v>10248</v>
      </c>
      <c r="EK376" s="15"/>
      <c r="EL376" s="15"/>
      <c r="EM376" s="15"/>
      <c r="EN376" s="15"/>
      <c r="EO376" s="15"/>
      <c r="EP376" s="15"/>
      <c r="EQ376" s="15"/>
      <c r="ER376" s="15"/>
      <c r="ES376" s="15"/>
      <c r="ET376" s="15"/>
      <c r="EU376" s="15"/>
      <c r="EV376" s="15"/>
      <c r="EW376" s="15"/>
      <c r="EX376" s="15"/>
      <c r="EY376" s="15"/>
      <c r="EZ376" s="15"/>
      <c r="FA376" s="15"/>
      <c r="FB376" s="15"/>
      <c r="FC376" s="16" t="s">
        <v>197</v>
      </c>
      <c r="FD376" s="17" t="s">
        <v>198</v>
      </c>
      <c r="FE376" s="18">
        <v>45723.313564814816</v>
      </c>
      <c r="FF376" s="19"/>
      <c r="FG376" s="19"/>
      <c r="FH376" s="21" t="s">
        <v>197</v>
      </c>
      <c r="FI376" s="17" t="s">
        <v>214</v>
      </c>
      <c r="FJ376" s="18">
        <v>45723.313564814816</v>
      </c>
      <c r="FK376" s="14" t="s">
        <v>10248</v>
      </c>
      <c r="FL376" s="14" t="s">
        <v>10249</v>
      </c>
      <c r="FM376" s="14" t="s">
        <v>10250</v>
      </c>
      <c r="FN376" s="19"/>
      <c r="FO376" s="19"/>
      <c r="FP376" s="19" t="str">
        <f t="shared" si="1"/>
        <v>Base de Dados_Images/FIT65034.Imagem do Equipamento-.172623.jpg</v>
      </c>
      <c r="FQ376" s="19"/>
      <c r="FR376" s="19"/>
    </row>
    <row r="377" ht="15.75" customHeight="1">
      <c r="A377" s="12" t="s">
        <v>547</v>
      </c>
      <c r="B377" s="12" t="s">
        <v>548</v>
      </c>
      <c r="C377" s="24" t="s">
        <v>375</v>
      </c>
      <c r="D377" s="22" t="s">
        <v>10251</v>
      </c>
      <c r="E377" s="22" t="s">
        <v>10252</v>
      </c>
      <c r="F377" s="13" t="s">
        <v>178</v>
      </c>
      <c r="G377" s="14" t="s">
        <v>179</v>
      </c>
      <c r="H377" s="14" t="s">
        <v>10253</v>
      </c>
      <c r="I377" s="14" t="s">
        <v>179</v>
      </c>
      <c r="J377" s="14" t="s">
        <v>10254</v>
      </c>
      <c r="K377" s="14" t="s">
        <v>179</v>
      </c>
      <c r="L377" s="14" t="s">
        <v>10254</v>
      </c>
      <c r="M377" s="14" t="s">
        <v>179</v>
      </c>
      <c r="N377" s="14" t="s">
        <v>10255</v>
      </c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6" t="s">
        <v>197</v>
      </c>
      <c r="BP377" s="17" t="s">
        <v>198</v>
      </c>
      <c r="BQ377" s="18">
        <v>45694.386724537035</v>
      </c>
      <c r="BR377" s="17" t="s">
        <v>198</v>
      </c>
      <c r="BS377" s="18">
        <v>45694.38674768519</v>
      </c>
      <c r="BT377" s="17" t="s">
        <v>198</v>
      </c>
      <c r="BU377" s="18">
        <v>45694.38674768519</v>
      </c>
      <c r="BV377" s="13" t="s">
        <v>199</v>
      </c>
      <c r="BW377" s="14" t="s">
        <v>179</v>
      </c>
      <c r="BX377" s="14" t="s">
        <v>10256</v>
      </c>
      <c r="BY377" s="14" t="s">
        <v>179</v>
      </c>
      <c r="BZ377" s="14" t="s">
        <v>10257</v>
      </c>
      <c r="CA377" s="14" t="s">
        <v>179</v>
      </c>
      <c r="CB377" s="14" t="s">
        <v>10258</v>
      </c>
      <c r="CC377" s="15"/>
      <c r="CD377" s="15"/>
      <c r="CE377" s="15"/>
      <c r="CF377" s="15"/>
      <c r="CG377" s="19"/>
      <c r="CH377" s="15"/>
      <c r="CI377" s="19"/>
      <c r="CJ377" s="15"/>
      <c r="CK377" s="19"/>
      <c r="CL377" s="15"/>
      <c r="CM377" s="19"/>
      <c r="CN377" s="15"/>
      <c r="CO377" s="19"/>
      <c r="CP377" s="15"/>
      <c r="CQ377" s="15"/>
      <c r="CR377" s="15"/>
      <c r="CS377" s="19"/>
      <c r="CT377" s="15"/>
      <c r="CU377" s="19"/>
      <c r="CV377" s="15"/>
      <c r="CW377" s="19"/>
      <c r="CX377" s="15"/>
      <c r="CY377" s="19"/>
      <c r="CZ377" s="15"/>
      <c r="DA377" s="16" t="s">
        <v>197</v>
      </c>
      <c r="DB377" s="17" t="s">
        <v>228</v>
      </c>
      <c r="DC377" s="16"/>
      <c r="DD377" s="17" t="s">
        <v>198</v>
      </c>
      <c r="DE377" s="18">
        <v>45696.57711805555</v>
      </c>
      <c r="DF377" s="17" t="s">
        <v>198</v>
      </c>
      <c r="DG377" s="18">
        <v>45696.57711805555</v>
      </c>
      <c r="DH377" s="13" t="s">
        <v>205</v>
      </c>
      <c r="DI377" s="14" t="s">
        <v>179</v>
      </c>
      <c r="DJ377" s="14" t="s">
        <v>10259</v>
      </c>
      <c r="DK377" s="14" t="s">
        <v>179</v>
      </c>
      <c r="DL377" s="14" t="s">
        <v>10260</v>
      </c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6" t="s">
        <v>197</v>
      </c>
      <c r="ED377" s="17" t="s">
        <v>198</v>
      </c>
      <c r="EE377" s="18">
        <v>45720.609351851854</v>
      </c>
      <c r="EF377" s="13" t="s">
        <v>209</v>
      </c>
      <c r="EG377" s="14" t="s">
        <v>179</v>
      </c>
      <c r="EH377" s="14" t="s">
        <v>10261</v>
      </c>
      <c r="EI377" s="14" t="s">
        <v>179</v>
      </c>
      <c r="EJ377" s="14" t="s">
        <v>10262</v>
      </c>
      <c r="EK377" s="15"/>
      <c r="EL377" s="15"/>
      <c r="EM377" s="15"/>
      <c r="EN377" s="15"/>
      <c r="EO377" s="15"/>
      <c r="EP377" s="15"/>
      <c r="EQ377" s="15"/>
      <c r="ER377" s="15"/>
      <c r="ES377" s="15"/>
      <c r="ET377" s="15"/>
      <c r="EU377" s="15"/>
      <c r="EV377" s="15"/>
      <c r="EW377" s="15"/>
      <c r="EX377" s="15"/>
      <c r="EY377" s="15"/>
      <c r="EZ377" s="15"/>
      <c r="FA377" s="15"/>
      <c r="FB377" s="15"/>
      <c r="FC377" s="16" t="s">
        <v>197</v>
      </c>
      <c r="FD377" s="17" t="s">
        <v>198</v>
      </c>
      <c r="FE377" s="18">
        <v>45722.61337962963</v>
      </c>
      <c r="FF377" s="19"/>
      <c r="FG377" s="19"/>
      <c r="FH377" s="21" t="s">
        <v>197</v>
      </c>
      <c r="FI377" s="17" t="s">
        <v>214</v>
      </c>
      <c r="FJ377" s="18">
        <v>45722.61337962963</v>
      </c>
      <c r="FK377" s="14" t="s">
        <v>10262</v>
      </c>
      <c r="FL377" s="14" t="s">
        <v>10263</v>
      </c>
      <c r="FM377" s="14" t="s">
        <v>10264</v>
      </c>
      <c r="FN377" s="19"/>
      <c r="FO377" s="19"/>
      <c r="FP377" s="19" t="str">
        <f t="shared" si="1"/>
        <v>Base de Dados_Images/FIT70015.Imagem do Equipamento-.121754.jpg</v>
      </c>
      <c r="FQ377" s="19"/>
      <c r="FR377" s="19"/>
    </row>
    <row r="378" ht="15.75" customHeight="1">
      <c r="A378" s="12" t="s">
        <v>357</v>
      </c>
      <c r="B378" s="12" t="s">
        <v>358</v>
      </c>
      <c r="C378" s="24" t="s">
        <v>375</v>
      </c>
      <c r="D378" s="22" t="s">
        <v>10265</v>
      </c>
      <c r="E378" s="22" t="s">
        <v>10266</v>
      </c>
      <c r="F378" s="13" t="s">
        <v>178</v>
      </c>
      <c r="G378" s="14" t="s">
        <v>179</v>
      </c>
      <c r="H378" s="14" t="s">
        <v>10267</v>
      </c>
      <c r="I378" s="14" t="s">
        <v>179</v>
      </c>
      <c r="J378" s="14" t="s">
        <v>10267</v>
      </c>
      <c r="K378" s="14" t="s">
        <v>179</v>
      </c>
      <c r="L378" s="14" t="s">
        <v>10268</v>
      </c>
      <c r="M378" s="14" t="s">
        <v>179</v>
      </c>
      <c r="N378" s="14" t="s">
        <v>10269</v>
      </c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6" t="s">
        <v>197</v>
      </c>
      <c r="BP378" s="17" t="s">
        <v>198</v>
      </c>
      <c r="BQ378" s="18">
        <v>45685.58377314815</v>
      </c>
      <c r="BR378" s="17" t="s">
        <v>198</v>
      </c>
      <c r="BS378" s="18">
        <v>45685.58380787037</v>
      </c>
      <c r="BT378" s="17" t="s">
        <v>198</v>
      </c>
      <c r="BU378" s="18">
        <v>45685.58380787037</v>
      </c>
      <c r="BV378" s="13" t="s">
        <v>199</v>
      </c>
      <c r="BW378" s="14" t="s">
        <v>179</v>
      </c>
      <c r="BX378" s="14" t="s">
        <v>10270</v>
      </c>
      <c r="BY378" s="14" t="s">
        <v>179</v>
      </c>
      <c r="BZ378" s="14" t="s">
        <v>10270</v>
      </c>
      <c r="CA378" s="14" t="s">
        <v>179</v>
      </c>
      <c r="CB378" s="14" t="s">
        <v>10271</v>
      </c>
      <c r="CC378" s="15"/>
      <c r="CD378" s="15"/>
      <c r="CE378" s="15"/>
      <c r="CF378" s="15"/>
      <c r="CG378" s="19"/>
      <c r="CH378" s="15"/>
      <c r="CI378" s="19"/>
      <c r="CJ378" s="15"/>
      <c r="CK378" s="19"/>
      <c r="CL378" s="15"/>
      <c r="CM378" s="19"/>
      <c r="CN378" s="15"/>
      <c r="CO378" s="19"/>
      <c r="CP378" s="15"/>
      <c r="CQ378" s="15"/>
      <c r="CR378" s="15"/>
      <c r="CS378" s="19"/>
      <c r="CT378" s="15"/>
      <c r="CU378" s="19"/>
      <c r="CV378" s="15"/>
      <c r="CW378" s="19"/>
      <c r="CX378" s="15"/>
      <c r="CY378" s="19"/>
      <c r="CZ378" s="15"/>
      <c r="DA378" s="16" t="s">
        <v>197</v>
      </c>
      <c r="DB378" s="17" t="s">
        <v>228</v>
      </c>
      <c r="DC378" s="16"/>
      <c r="DD378" s="17" t="s">
        <v>198</v>
      </c>
      <c r="DE378" s="18">
        <v>45693.65497685185</v>
      </c>
      <c r="DF378" s="17" t="s">
        <v>198</v>
      </c>
      <c r="DG378" s="18">
        <v>45693.65497685185</v>
      </c>
      <c r="DH378" s="13" t="s">
        <v>205</v>
      </c>
      <c r="DI378" s="14" t="s">
        <v>179</v>
      </c>
      <c r="DJ378" s="14" t="s">
        <v>10272</v>
      </c>
      <c r="DK378" s="14" t="s">
        <v>179</v>
      </c>
      <c r="DL378" s="14" t="s">
        <v>10273</v>
      </c>
      <c r="DM378" s="15"/>
      <c r="DN378" s="15"/>
      <c r="DO378" s="15"/>
      <c r="DP378" s="15"/>
      <c r="DQ378" s="15"/>
      <c r="DR378" s="15"/>
      <c r="DS378" s="15"/>
      <c r="DT378" s="15"/>
      <c r="DU378" s="15"/>
      <c r="DV378" s="15"/>
      <c r="DW378" s="15"/>
      <c r="DX378" s="15"/>
      <c r="DY378" s="15"/>
      <c r="DZ378" s="15"/>
      <c r="EA378" s="15"/>
      <c r="EB378" s="15"/>
      <c r="EC378" s="16" t="s">
        <v>197</v>
      </c>
      <c r="ED378" s="17" t="s">
        <v>198</v>
      </c>
      <c r="EE378" s="18">
        <v>45693.65545138889</v>
      </c>
      <c r="EF378" s="13" t="s">
        <v>209</v>
      </c>
      <c r="EG378" s="14" t="s">
        <v>179</v>
      </c>
      <c r="EH378" s="14" t="s">
        <v>10274</v>
      </c>
      <c r="EI378" s="14" t="s">
        <v>179</v>
      </c>
      <c r="EJ378" s="14" t="s">
        <v>10275</v>
      </c>
      <c r="EK378" s="15"/>
      <c r="EL378" s="15"/>
      <c r="EM378" s="15"/>
      <c r="EN378" s="15"/>
      <c r="EO378" s="15"/>
      <c r="EP378" s="15"/>
      <c r="EQ378" s="15"/>
      <c r="ER378" s="15"/>
      <c r="ES378" s="15"/>
      <c r="ET378" s="15"/>
      <c r="EU378" s="15"/>
      <c r="EV378" s="15"/>
      <c r="EW378" s="15"/>
      <c r="EX378" s="15"/>
      <c r="EY378" s="15"/>
      <c r="EZ378" s="15"/>
      <c r="FA378" s="15"/>
      <c r="FB378" s="15"/>
      <c r="FC378" s="16" t="s">
        <v>197</v>
      </c>
      <c r="FD378" s="17" t="s">
        <v>198</v>
      </c>
      <c r="FE378" s="18">
        <v>45705.45961805555</v>
      </c>
      <c r="FF378" s="19"/>
      <c r="FG378" s="19"/>
      <c r="FH378" s="21" t="s">
        <v>197</v>
      </c>
      <c r="FI378" s="17" t="s">
        <v>214</v>
      </c>
      <c r="FJ378" s="18">
        <v>45705.45961805555</v>
      </c>
      <c r="FK378" s="14" t="s">
        <v>10275</v>
      </c>
      <c r="FL378" s="14" t="s">
        <v>10276</v>
      </c>
      <c r="FM378" s="14" t="s">
        <v>10277</v>
      </c>
      <c r="FN378" s="19"/>
      <c r="FO378" s="19"/>
      <c r="FP378" s="19" t="str">
        <f t="shared" si="1"/>
        <v>Base de Dados_Images/FIT81001.Imagem do Equipamento-.174039.jpg</v>
      </c>
      <c r="FQ378" s="19"/>
      <c r="FR378" s="19"/>
    </row>
    <row r="379" ht="15.75" customHeight="1">
      <c r="A379" s="12" t="s">
        <v>357</v>
      </c>
      <c r="B379" s="12" t="s">
        <v>358</v>
      </c>
      <c r="C379" s="24" t="s">
        <v>375</v>
      </c>
      <c r="D379" s="22" t="s">
        <v>10278</v>
      </c>
      <c r="E379" s="22" t="s">
        <v>10279</v>
      </c>
      <c r="F379" s="13" t="s">
        <v>178</v>
      </c>
      <c r="G379" s="14" t="s">
        <v>179</v>
      </c>
      <c r="H379" s="14" t="s">
        <v>10280</v>
      </c>
      <c r="I379" s="14" t="s">
        <v>179</v>
      </c>
      <c r="J379" s="14" t="s">
        <v>10281</v>
      </c>
      <c r="K379" s="14" t="s">
        <v>179</v>
      </c>
      <c r="L379" s="14" t="s">
        <v>10282</v>
      </c>
      <c r="M379" s="14" t="s">
        <v>179</v>
      </c>
      <c r="N379" s="14" t="s">
        <v>10283</v>
      </c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6" t="s">
        <v>197</v>
      </c>
      <c r="BP379" s="17" t="s">
        <v>198</v>
      </c>
      <c r="BQ379" s="18">
        <v>45685.58545138889</v>
      </c>
      <c r="BR379" s="17" t="s">
        <v>198</v>
      </c>
      <c r="BS379" s="18">
        <v>45685.58552083333</v>
      </c>
      <c r="BT379" s="17" t="s">
        <v>198</v>
      </c>
      <c r="BU379" s="18">
        <v>45685.58552083333</v>
      </c>
      <c r="BV379" s="13" t="s">
        <v>199</v>
      </c>
      <c r="BW379" s="14" t="s">
        <v>179</v>
      </c>
      <c r="BX379" s="14" t="s">
        <v>10284</v>
      </c>
      <c r="BY379" s="14" t="s">
        <v>179</v>
      </c>
      <c r="BZ379" s="14" t="s">
        <v>10285</v>
      </c>
      <c r="CA379" s="14" t="s">
        <v>179</v>
      </c>
      <c r="CB379" s="14" t="s">
        <v>10285</v>
      </c>
      <c r="CC379" s="15"/>
      <c r="CD379" s="15"/>
      <c r="CE379" s="15"/>
      <c r="CF379" s="15"/>
      <c r="CG379" s="19"/>
      <c r="CH379" s="15"/>
      <c r="CI379" s="19"/>
      <c r="CJ379" s="15"/>
      <c r="CK379" s="19"/>
      <c r="CL379" s="15"/>
      <c r="CM379" s="19"/>
      <c r="CN379" s="15"/>
      <c r="CO379" s="19"/>
      <c r="CP379" s="15"/>
      <c r="CQ379" s="15"/>
      <c r="CR379" s="15"/>
      <c r="CS379" s="19"/>
      <c r="CT379" s="15"/>
      <c r="CU379" s="19"/>
      <c r="CV379" s="15"/>
      <c r="CW379" s="19"/>
      <c r="CX379" s="15"/>
      <c r="CY379" s="19"/>
      <c r="CZ379" s="15"/>
      <c r="DA379" s="16" t="s">
        <v>197</v>
      </c>
      <c r="DB379" s="17" t="s">
        <v>228</v>
      </c>
      <c r="DC379" s="16"/>
      <c r="DD379" s="17" t="s">
        <v>198</v>
      </c>
      <c r="DE379" s="18">
        <v>45693.65638888889</v>
      </c>
      <c r="DF379" s="17" t="s">
        <v>198</v>
      </c>
      <c r="DG379" s="18">
        <v>45693.65638888889</v>
      </c>
      <c r="DH379" s="13" t="s">
        <v>205</v>
      </c>
      <c r="DI379" s="14" t="s">
        <v>179</v>
      </c>
      <c r="DJ379" s="14" t="s">
        <v>10286</v>
      </c>
      <c r="DK379" s="14" t="s">
        <v>179</v>
      </c>
      <c r="DL379" s="14" t="s">
        <v>10287</v>
      </c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6" t="s">
        <v>197</v>
      </c>
      <c r="ED379" s="17" t="s">
        <v>198</v>
      </c>
      <c r="EE379" s="18">
        <v>45693.65644675926</v>
      </c>
      <c r="EF379" s="13" t="s">
        <v>209</v>
      </c>
      <c r="EG379" s="14" t="s">
        <v>179</v>
      </c>
      <c r="EH379" s="14" t="s">
        <v>10288</v>
      </c>
      <c r="EI379" s="14" t="s">
        <v>179</v>
      </c>
      <c r="EJ379" s="14" t="s">
        <v>10289</v>
      </c>
      <c r="EK379" s="15"/>
      <c r="EL379" s="15"/>
      <c r="EM379" s="15"/>
      <c r="EN379" s="15"/>
      <c r="EO379" s="15"/>
      <c r="EP379" s="15"/>
      <c r="EQ379" s="15"/>
      <c r="ER379" s="15"/>
      <c r="ES379" s="15"/>
      <c r="ET379" s="15"/>
      <c r="EU379" s="15"/>
      <c r="EV379" s="15"/>
      <c r="EW379" s="15"/>
      <c r="EX379" s="15"/>
      <c r="EY379" s="15"/>
      <c r="EZ379" s="15"/>
      <c r="FA379" s="15"/>
      <c r="FB379" s="15"/>
      <c r="FC379" s="16" t="s">
        <v>197</v>
      </c>
      <c r="FD379" s="17" t="s">
        <v>198</v>
      </c>
      <c r="FE379" s="18">
        <v>45705.459074074075</v>
      </c>
      <c r="FF379" s="19"/>
      <c r="FG379" s="19"/>
      <c r="FH379" s="21" t="s">
        <v>197</v>
      </c>
      <c r="FI379" s="17" t="s">
        <v>214</v>
      </c>
      <c r="FJ379" s="18">
        <v>45705.459074074075</v>
      </c>
      <c r="FK379" s="14" t="s">
        <v>10289</v>
      </c>
      <c r="FL379" s="14" t="s">
        <v>10290</v>
      </c>
      <c r="FM379" s="14" t="s">
        <v>10291</v>
      </c>
      <c r="FN379" s="19"/>
      <c r="FO379" s="19"/>
      <c r="FP379" s="19" t="str">
        <f t="shared" si="1"/>
        <v>Base de Dados_Images/FIT81007.Imagem do Equipamento-.174122.jpg</v>
      </c>
      <c r="FQ379" s="19"/>
      <c r="FR379" s="19"/>
    </row>
    <row r="380" ht="15.75" customHeight="1">
      <c r="A380" s="12" t="s">
        <v>357</v>
      </c>
      <c r="B380" s="12" t="s">
        <v>358</v>
      </c>
      <c r="C380" s="24" t="s">
        <v>375</v>
      </c>
      <c r="D380" s="22" t="s">
        <v>10292</v>
      </c>
      <c r="E380" s="22" t="s">
        <v>10293</v>
      </c>
      <c r="F380" s="13" t="s">
        <v>178</v>
      </c>
      <c r="G380" s="14" t="s">
        <v>179</v>
      </c>
      <c r="H380" s="14" t="s">
        <v>10294</v>
      </c>
      <c r="I380" s="14" t="s">
        <v>179</v>
      </c>
      <c r="J380" s="14" t="s">
        <v>10295</v>
      </c>
      <c r="K380" s="14" t="s">
        <v>179</v>
      </c>
      <c r="L380" s="14" t="s">
        <v>10296</v>
      </c>
      <c r="M380" s="14" t="s">
        <v>179</v>
      </c>
      <c r="N380" s="14" t="s">
        <v>10297</v>
      </c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6" t="s">
        <v>197</v>
      </c>
      <c r="BP380" s="17" t="s">
        <v>198</v>
      </c>
      <c r="BQ380" s="18">
        <v>45679.461539351854</v>
      </c>
      <c r="BR380" s="17" t="s">
        <v>198</v>
      </c>
      <c r="BS380" s="18">
        <v>45679.461643518516</v>
      </c>
      <c r="BT380" s="17" t="s">
        <v>198</v>
      </c>
      <c r="BU380" s="18">
        <v>45679.461643518516</v>
      </c>
      <c r="BV380" s="13" t="s">
        <v>199</v>
      </c>
      <c r="BW380" s="14" t="s">
        <v>179</v>
      </c>
      <c r="BX380" s="14" t="s">
        <v>10298</v>
      </c>
      <c r="BY380" s="14" t="s">
        <v>179</v>
      </c>
      <c r="BZ380" s="14" t="s">
        <v>10299</v>
      </c>
      <c r="CA380" s="14" t="s">
        <v>179</v>
      </c>
      <c r="CB380" s="14" t="s">
        <v>10299</v>
      </c>
      <c r="CC380" s="15"/>
      <c r="CD380" s="15"/>
      <c r="CE380" s="15"/>
      <c r="CF380" s="15"/>
      <c r="CG380" s="19"/>
      <c r="CH380" s="15"/>
      <c r="CI380" s="19"/>
      <c r="CJ380" s="15"/>
      <c r="CK380" s="19"/>
      <c r="CL380" s="15"/>
      <c r="CM380" s="19"/>
      <c r="CN380" s="15"/>
      <c r="CO380" s="19"/>
      <c r="CP380" s="15"/>
      <c r="CQ380" s="15"/>
      <c r="CR380" s="15"/>
      <c r="CS380" s="19"/>
      <c r="CT380" s="15"/>
      <c r="CU380" s="19"/>
      <c r="CV380" s="15"/>
      <c r="CW380" s="19"/>
      <c r="CX380" s="15"/>
      <c r="CY380" s="19"/>
      <c r="CZ380" s="15"/>
      <c r="DA380" s="16" t="s">
        <v>197</v>
      </c>
      <c r="DB380" s="17" t="s">
        <v>228</v>
      </c>
      <c r="DC380" s="16"/>
      <c r="DD380" s="17" t="s">
        <v>198</v>
      </c>
      <c r="DE380" s="18">
        <v>45693.66310185185</v>
      </c>
      <c r="DF380" s="17" t="s">
        <v>198</v>
      </c>
      <c r="DG380" s="18">
        <v>45693.66310185185</v>
      </c>
      <c r="DH380" s="13" t="s">
        <v>205</v>
      </c>
      <c r="DI380" s="14" t="s">
        <v>179</v>
      </c>
      <c r="DJ380" s="14" t="s">
        <v>10300</v>
      </c>
      <c r="DK380" s="14" t="s">
        <v>179</v>
      </c>
      <c r="DL380" s="14" t="s">
        <v>10301</v>
      </c>
      <c r="DM380" s="15"/>
      <c r="DN380" s="15"/>
      <c r="DO380" s="15"/>
      <c r="DP380" s="15"/>
      <c r="DQ380" s="15"/>
      <c r="DR380" s="15"/>
      <c r="DS380" s="15"/>
      <c r="DT380" s="15"/>
      <c r="DU380" s="15"/>
      <c r="DV380" s="15"/>
      <c r="DW380" s="15"/>
      <c r="DX380" s="15"/>
      <c r="DY380" s="15"/>
      <c r="DZ380" s="15"/>
      <c r="EA380" s="15"/>
      <c r="EB380" s="15"/>
      <c r="EC380" s="16" t="s">
        <v>197</v>
      </c>
      <c r="ED380" s="17" t="s">
        <v>198</v>
      </c>
      <c r="EE380" s="18">
        <v>45693.663136574076</v>
      </c>
      <c r="EF380" s="13" t="s">
        <v>209</v>
      </c>
      <c r="EG380" s="14" t="s">
        <v>179</v>
      </c>
      <c r="EH380" s="14" t="s">
        <v>10302</v>
      </c>
      <c r="EI380" s="14" t="s">
        <v>179</v>
      </c>
      <c r="EJ380" s="14" t="s">
        <v>10303</v>
      </c>
      <c r="EK380" s="15"/>
      <c r="EL380" s="15"/>
      <c r="EM380" s="15"/>
      <c r="EN380" s="15"/>
      <c r="EO380" s="15"/>
      <c r="EP380" s="15"/>
      <c r="EQ380" s="15"/>
      <c r="ER380" s="15"/>
      <c r="ES380" s="15"/>
      <c r="ET380" s="15"/>
      <c r="EU380" s="15"/>
      <c r="EV380" s="15"/>
      <c r="EW380" s="15"/>
      <c r="EX380" s="15"/>
      <c r="EY380" s="15"/>
      <c r="EZ380" s="15"/>
      <c r="FA380" s="15"/>
      <c r="FB380" s="15"/>
      <c r="FC380" s="16" t="s">
        <v>197</v>
      </c>
      <c r="FD380" s="17" t="s">
        <v>198</v>
      </c>
      <c r="FE380" s="18">
        <v>45705.39644675926</v>
      </c>
      <c r="FF380" s="19"/>
      <c r="FG380" s="19"/>
      <c r="FH380" s="21" t="s">
        <v>197</v>
      </c>
      <c r="FI380" s="17" t="s">
        <v>214</v>
      </c>
      <c r="FJ380" s="18">
        <v>45705.39644675926</v>
      </c>
      <c r="FK380" s="14" t="s">
        <v>10303</v>
      </c>
      <c r="FL380" s="14" t="s">
        <v>10304</v>
      </c>
      <c r="FM380" s="14" t="s">
        <v>10305</v>
      </c>
      <c r="FN380" s="19"/>
      <c r="FO380" s="19"/>
      <c r="FP380" s="19" t="str">
        <f t="shared" si="1"/>
        <v>Base de Dados_Images/FIT81020.Imagem do Equipamento-.190109.jpg</v>
      </c>
      <c r="FQ380" s="19"/>
      <c r="FR380" s="19"/>
    </row>
    <row r="381" ht="15.75" customHeight="1">
      <c r="A381" s="12" t="s">
        <v>357</v>
      </c>
      <c r="B381" s="12" t="s">
        <v>4413</v>
      </c>
      <c r="C381" s="24" t="s">
        <v>375</v>
      </c>
      <c r="D381" s="22" t="s">
        <v>10306</v>
      </c>
      <c r="E381" s="22" t="s">
        <v>10307</v>
      </c>
      <c r="F381" s="13" t="s">
        <v>178</v>
      </c>
      <c r="G381" s="14" t="s">
        <v>179</v>
      </c>
      <c r="H381" s="14" t="s">
        <v>10308</v>
      </c>
      <c r="I381" s="14" t="s">
        <v>179</v>
      </c>
      <c r="J381" s="14" t="s">
        <v>10309</v>
      </c>
      <c r="K381" s="14" t="s">
        <v>179</v>
      </c>
      <c r="L381" s="14" t="s">
        <v>10310</v>
      </c>
      <c r="M381" s="14" t="s">
        <v>179</v>
      </c>
      <c r="N381" s="14" t="s">
        <v>10311</v>
      </c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6" t="s">
        <v>197</v>
      </c>
      <c r="BP381" s="17" t="s">
        <v>198</v>
      </c>
      <c r="BQ381" s="18">
        <v>45687.58950231481</v>
      </c>
      <c r="BR381" s="17" t="s">
        <v>198</v>
      </c>
      <c r="BS381" s="18">
        <v>45687.58957175926</v>
      </c>
      <c r="BT381" s="17" t="s">
        <v>198</v>
      </c>
      <c r="BU381" s="18">
        <v>45687.58957175926</v>
      </c>
      <c r="BV381" s="13" t="s">
        <v>199</v>
      </c>
      <c r="BW381" s="14" t="s">
        <v>179</v>
      </c>
      <c r="BX381" s="14" t="s">
        <v>10312</v>
      </c>
      <c r="BY381" s="14" t="s">
        <v>179</v>
      </c>
      <c r="BZ381" s="14" t="s">
        <v>10313</v>
      </c>
      <c r="CA381" s="14" t="s">
        <v>179</v>
      </c>
      <c r="CB381" s="14" t="s">
        <v>10314</v>
      </c>
      <c r="CC381" s="15"/>
      <c r="CD381" s="15"/>
      <c r="CE381" s="15"/>
      <c r="CF381" s="15"/>
      <c r="CG381" s="19"/>
      <c r="CH381" s="15"/>
      <c r="CI381" s="19"/>
      <c r="CJ381" s="15"/>
      <c r="CK381" s="19"/>
      <c r="CL381" s="15"/>
      <c r="CM381" s="19"/>
      <c r="CN381" s="15"/>
      <c r="CO381" s="19"/>
      <c r="CP381" s="15"/>
      <c r="CQ381" s="15"/>
      <c r="CR381" s="15"/>
      <c r="CS381" s="19"/>
      <c r="CT381" s="15"/>
      <c r="CU381" s="19"/>
      <c r="CV381" s="15"/>
      <c r="CW381" s="19"/>
      <c r="CX381" s="15"/>
      <c r="CY381" s="19"/>
      <c r="CZ381" s="15"/>
      <c r="DA381" s="16" t="s">
        <v>197</v>
      </c>
      <c r="DB381" s="17" t="s">
        <v>228</v>
      </c>
      <c r="DC381" s="16"/>
      <c r="DD381" s="17" t="s">
        <v>198</v>
      </c>
      <c r="DE381" s="18">
        <v>45688.359131944446</v>
      </c>
      <c r="DF381" s="17" t="s">
        <v>198</v>
      </c>
      <c r="DG381" s="18">
        <v>45688.359131944446</v>
      </c>
      <c r="DH381" s="13" t="s">
        <v>205</v>
      </c>
      <c r="DI381" s="14" t="s">
        <v>179</v>
      </c>
      <c r="DJ381" s="14" t="s">
        <v>10315</v>
      </c>
      <c r="DK381" s="14" t="s">
        <v>179</v>
      </c>
      <c r="DL381" s="14" t="s">
        <v>10316</v>
      </c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6" t="s">
        <v>197</v>
      </c>
      <c r="ED381" s="17" t="s">
        <v>198</v>
      </c>
      <c r="EE381" s="18">
        <v>45699.50094907408</v>
      </c>
      <c r="EF381" s="13" t="s">
        <v>209</v>
      </c>
      <c r="EG381" s="14" t="s">
        <v>179</v>
      </c>
      <c r="EH381" s="14" t="s">
        <v>10317</v>
      </c>
      <c r="EI381" s="14" t="s">
        <v>179</v>
      </c>
      <c r="EJ381" s="14" t="s">
        <v>10318</v>
      </c>
      <c r="EK381" s="15"/>
      <c r="EL381" s="15"/>
      <c r="EM381" s="15"/>
      <c r="EN381" s="15"/>
      <c r="EO381" s="15"/>
      <c r="EP381" s="15"/>
      <c r="EQ381" s="15"/>
      <c r="ER381" s="15"/>
      <c r="ES381" s="15"/>
      <c r="ET381" s="15"/>
      <c r="EU381" s="15"/>
      <c r="EV381" s="15"/>
      <c r="EW381" s="15"/>
      <c r="EX381" s="15"/>
      <c r="EY381" s="15"/>
      <c r="EZ381" s="15"/>
      <c r="FA381" s="15"/>
      <c r="FB381" s="15"/>
      <c r="FC381" s="16" t="s">
        <v>197</v>
      </c>
      <c r="FD381" s="17" t="s">
        <v>198</v>
      </c>
      <c r="FE381" s="18">
        <v>45699.50101851852</v>
      </c>
      <c r="FF381" s="19"/>
      <c r="FG381" s="19"/>
      <c r="FH381" s="21" t="s">
        <v>197</v>
      </c>
      <c r="FI381" s="17" t="s">
        <v>214</v>
      </c>
      <c r="FJ381" s="18">
        <v>45699.50101851852</v>
      </c>
      <c r="FK381" s="14" t="s">
        <v>10318</v>
      </c>
      <c r="FL381" s="14" t="s">
        <v>10319</v>
      </c>
      <c r="FM381" s="14" t="s">
        <v>10320</v>
      </c>
      <c r="FN381" s="19"/>
      <c r="FO381" s="19"/>
      <c r="FP381" s="19" t="str">
        <f t="shared" si="1"/>
        <v>Base de Dados_Images/FIT92001.Imagem do Equipamento-.113702.jpg</v>
      </c>
      <c r="FQ381" s="14"/>
      <c r="FR381" s="14"/>
    </row>
    <row r="382" ht="15.75" customHeight="1">
      <c r="A382" s="12" t="s">
        <v>292</v>
      </c>
      <c r="B382" s="12" t="s">
        <v>1777</v>
      </c>
      <c r="C382" s="24" t="s">
        <v>10321</v>
      </c>
      <c r="D382" s="22" t="s">
        <v>10322</v>
      </c>
      <c r="E382" s="22" t="s">
        <v>1777</v>
      </c>
      <c r="F382" s="13" t="s">
        <v>178</v>
      </c>
      <c r="G382" s="14" t="s">
        <v>179</v>
      </c>
      <c r="H382" s="14" t="s">
        <v>10323</v>
      </c>
      <c r="I382" s="14" t="s">
        <v>179</v>
      </c>
      <c r="J382" s="14" t="s">
        <v>10323</v>
      </c>
      <c r="K382" s="14" t="s">
        <v>179</v>
      </c>
      <c r="L382" s="14" t="s">
        <v>10324</v>
      </c>
      <c r="M382" s="14" t="s">
        <v>179</v>
      </c>
      <c r="N382" s="14" t="s">
        <v>10325</v>
      </c>
      <c r="O382" s="14" t="s">
        <v>179</v>
      </c>
      <c r="P382" s="14" t="s">
        <v>10325</v>
      </c>
      <c r="Q382" s="14" t="s">
        <v>179</v>
      </c>
      <c r="R382" s="14" t="s">
        <v>10326</v>
      </c>
      <c r="S382" s="14" t="s">
        <v>179</v>
      </c>
      <c r="T382" s="14" t="s">
        <v>10327</v>
      </c>
      <c r="U382" s="14" t="s">
        <v>179</v>
      </c>
      <c r="V382" s="14" t="s">
        <v>10328</v>
      </c>
      <c r="W382" s="14" t="s">
        <v>179</v>
      </c>
      <c r="X382" s="14" t="s">
        <v>10329</v>
      </c>
      <c r="Y382" s="14" t="s">
        <v>179</v>
      </c>
      <c r="Z382" s="14" t="s">
        <v>10330</v>
      </c>
      <c r="AA382" s="14" t="s">
        <v>179</v>
      </c>
      <c r="AB382" s="14" t="s">
        <v>10331</v>
      </c>
      <c r="AC382" s="14" t="s">
        <v>179</v>
      </c>
      <c r="AD382" s="14" t="s">
        <v>10332</v>
      </c>
      <c r="AE382" s="14" t="s">
        <v>188</v>
      </c>
      <c r="AF382" s="14" t="s">
        <v>10333</v>
      </c>
      <c r="AG382" s="14" t="s">
        <v>179</v>
      </c>
      <c r="AH382" s="14" t="s">
        <v>10334</v>
      </c>
      <c r="AI382" s="14" t="s">
        <v>179</v>
      </c>
      <c r="AJ382" s="14" t="s">
        <v>10335</v>
      </c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6" t="s">
        <v>197</v>
      </c>
      <c r="BP382" s="17" t="s">
        <v>198</v>
      </c>
      <c r="BQ382" s="18">
        <v>45719.59064814815</v>
      </c>
      <c r="BR382" s="17" t="s">
        <v>198</v>
      </c>
      <c r="BS382" s="18">
        <v>45719.59097222222</v>
      </c>
      <c r="BT382" s="17" t="s">
        <v>198</v>
      </c>
      <c r="BU382" s="18">
        <v>45719.59097222222</v>
      </c>
      <c r="BV382" s="13" t="s">
        <v>199</v>
      </c>
      <c r="BW382" s="14" t="s">
        <v>179</v>
      </c>
      <c r="BX382" s="14" t="s">
        <v>10336</v>
      </c>
      <c r="BY382" s="14" t="s">
        <v>179</v>
      </c>
      <c r="BZ382" s="14" t="s">
        <v>10337</v>
      </c>
      <c r="CA382" s="14" t="s">
        <v>179</v>
      </c>
      <c r="CB382" s="14" t="s">
        <v>10338</v>
      </c>
      <c r="CC382" s="14" t="s">
        <v>179</v>
      </c>
      <c r="CD382" s="14" t="s">
        <v>10338</v>
      </c>
      <c r="CE382" s="15"/>
      <c r="CF382" s="15"/>
      <c r="CG382" s="19"/>
      <c r="CH382" s="15"/>
      <c r="CI382" s="19"/>
      <c r="CJ382" s="15"/>
      <c r="CK382" s="19"/>
      <c r="CL382" s="15"/>
      <c r="CM382" s="19"/>
      <c r="CN382" s="15"/>
      <c r="CO382" s="19"/>
      <c r="CP382" s="15"/>
      <c r="CQ382" s="15"/>
      <c r="CR382" s="15"/>
      <c r="CS382" s="19"/>
      <c r="CT382" s="15"/>
      <c r="CU382" s="19"/>
      <c r="CV382" s="15"/>
      <c r="CW382" s="19"/>
      <c r="CX382" s="15"/>
      <c r="CY382" s="19"/>
      <c r="CZ382" s="15"/>
      <c r="DA382" s="16" t="s">
        <v>197</v>
      </c>
      <c r="DB382" s="17" t="s">
        <v>198</v>
      </c>
      <c r="DC382" s="20">
        <v>45719.59106481481</v>
      </c>
      <c r="DD382" s="17" t="s">
        <v>198</v>
      </c>
      <c r="DE382" s="18">
        <v>45719.59108796297</v>
      </c>
      <c r="DF382" s="17" t="s">
        <v>198</v>
      </c>
      <c r="DG382" s="18">
        <v>45719.59108796297</v>
      </c>
      <c r="DH382" s="13" t="s">
        <v>205</v>
      </c>
      <c r="DI382" s="14" t="s">
        <v>179</v>
      </c>
      <c r="DJ382" s="14" t="s">
        <v>10339</v>
      </c>
      <c r="DK382" s="14" t="s">
        <v>179</v>
      </c>
      <c r="DL382" s="14" t="s">
        <v>10340</v>
      </c>
      <c r="DM382" s="14" t="s">
        <v>179</v>
      </c>
      <c r="DN382" s="14" t="s">
        <v>10341</v>
      </c>
      <c r="DO382" s="14" t="s">
        <v>179</v>
      </c>
      <c r="DP382" s="14" t="s">
        <v>10342</v>
      </c>
      <c r="DQ382" s="14" t="s">
        <v>179</v>
      </c>
      <c r="DR382" s="14" t="s">
        <v>10342</v>
      </c>
      <c r="DS382" s="14" t="s">
        <v>179</v>
      </c>
      <c r="DT382" s="14" t="s">
        <v>10343</v>
      </c>
      <c r="DU382" s="14" t="s">
        <v>179</v>
      </c>
      <c r="DV382" s="14" t="s">
        <v>10344</v>
      </c>
      <c r="DW382" s="15"/>
      <c r="DX382" s="15"/>
      <c r="DY382" s="15"/>
      <c r="DZ382" s="15"/>
      <c r="EA382" s="15"/>
      <c r="EB382" s="15"/>
      <c r="EC382" s="16" t="s">
        <v>197</v>
      </c>
      <c r="ED382" s="17" t="s">
        <v>198</v>
      </c>
      <c r="EE382" s="18">
        <v>45719.59125</v>
      </c>
      <c r="EF382" s="13" t="s">
        <v>209</v>
      </c>
      <c r="EG382" s="14" t="s">
        <v>179</v>
      </c>
      <c r="EH382" s="14" t="s">
        <v>10345</v>
      </c>
      <c r="EI382" s="15"/>
      <c r="EJ382" s="15"/>
      <c r="EK382" s="15"/>
      <c r="EL382" s="15"/>
      <c r="EM382" s="15"/>
      <c r="EN382" s="15"/>
      <c r="EO382" s="15"/>
      <c r="EP382" s="15"/>
      <c r="EQ382" s="15"/>
      <c r="ER382" s="15"/>
      <c r="ES382" s="15"/>
      <c r="ET382" s="15"/>
      <c r="EU382" s="15"/>
      <c r="EV382" s="15"/>
      <c r="EW382" s="15"/>
      <c r="EX382" s="15"/>
      <c r="EY382" s="15"/>
      <c r="EZ382" s="15"/>
      <c r="FA382" s="15"/>
      <c r="FB382" s="15"/>
      <c r="FC382" s="16" t="s">
        <v>197</v>
      </c>
      <c r="FD382" s="17" t="s">
        <v>198</v>
      </c>
      <c r="FE382" s="18">
        <v>45723.30716435185</v>
      </c>
      <c r="FF382" s="19"/>
      <c r="FG382" s="19"/>
      <c r="FH382" s="21" t="s">
        <v>197</v>
      </c>
      <c r="FI382" s="17" t="s">
        <v>214</v>
      </c>
      <c r="FJ382" s="18">
        <v>45723.30716435185</v>
      </c>
      <c r="FK382" s="14" t="s">
        <v>10345</v>
      </c>
      <c r="FL382" s="14" t="s">
        <v>10346</v>
      </c>
      <c r="FM382" s="14" t="s">
        <v>10347</v>
      </c>
      <c r="FN382" s="19"/>
      <c r="FO382" s="19"/>
      <c r="FP382" s="19" t="str">
        <f t="shared" si="1"/>
        <v>Base de Dados_Images/FT3001.Imagem do Equipamento-.155304.jpg</v>
      </c>
      <c r="FQ382" s="14"/>
      <c r="FR382" s="14"/>
    </row>
    <row r="383" ht="15.75" customHeight="1">
      <c r="A383" s="12" t="s">
        <v>357</v>
      </c>
      <c r="B383" s="12" t="s">
        <v>10348</v>
      </c>
      <c r="C383" s="24" t="s">
        <v>8516</v>
      </c>
      <c r="D383" s="22" t="s">
        <v>10349</v>
      </c>
      <c r="E383" s="22" t="s">
        <v>10350</v>
      </c>
      <c r="F383" s="13" t="s">
        <v>178</v>
      </c>
      <c r="G383" s="14" t="s">
        <v>179</v>
      </c>
      <c r="H383" s="14" t="s">
        <v>10351</v>
      </c>
      <c r="I383" s="14" t="s">
        <v>179</v>
      </c>
      <c r="J383" s="14" t="s">
        <v>10352</v>
      </c>
      <c r="K383" s="14" t="s">
        <v>179</v>
      </c>
      <c r="L383" s="14" t="s">
        <v>10353</v>
      </c>
      <c r="M383" s="14" t="s">
        <v>179</v>
      </c>
      <c r="N383" s="14" t="s">
        <v>10354</v>
      </c>
      <c r="O383" s="14" t="s">
        <v>179</v>
      </c>
      <c r="P383" s="14" t="s">
        <v>10355</v>
      </c>
      <c r="Q383" s="14" t="s">
        <v>179</v>
      </c>
      <c r="R383" s="14" t="s">
        <v>10356</v>
      </c>
      <c r="S383" s="14" t="s">
        <v>179</v>
      </c>
      <c r="T383" s="14" t="s">
        <v>10357</v>
      </c>
      <c r="U383" s="14" t="s">
        <v>179</v>
      </c>
      <c r="V383" s="14" t="s">
        <v>10358</v>
      </c>
      <c r="W383" s="14" t="s">
        <v>179</v>
      </c>
      <c r="X383" s="14" t="s">
        <v>10359</v>
      </c>
      <c r="Y383" s="14" t="s">
        <v>179</v>
      </c>
      <c r="Z383" s="14" t="s">
        <v>10360</v>
      </c>
      <c r="AA383" s="14" t="s">
        <v>179</v>
      </c>
      <c r="AB383" s="14" t="s">
        <v>10361</v>
      </c>
      <c r="AC383" s="14" t="s">
        <v>179</v>
      </c>
      <c r="AD383" s="14" t="s">
        <v>10362</v>
      </c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6" t="s">
        <v>197</v>
      </c>
      <c r="BP383" s="17" t="s">
        <v>198</v>
      </c>
      <c r="BQ383" s="18">
        <v>45687.639699074076</v>
      </c>
      <c r="BR383" s="17" t="s">
        <v>198</v>
      </c>
      <c r="BS383" s="18">
        <v>45687.63984953704</v>
      </c>
      <c r="BT383" s="17" t="s">
        <v>198</v>
      </c>
      <c r="BU383" s="18">
        <v>45687.63984953704</v>
      </c>
      <c r="BV383" s="13" t="s">
        <v>199</v>
      </c>
      <c r="BW383" s="14" t="s">
        <v>179</v>
      </c>
      <c r="BX383" s="14" t="s">
        <v>10363</v>
      </c>
      <c r="BY383" s="14" t="s">
        <v>179</v>
      </c>
      <c r="BZ383" s="14" t="s">
        <v>10364</v>
      </c>
      <c r="CA383" s="14" t="s">
        <v>179</v>
      </c>
      <c r="CB383" s="14" t="s">
        <v>10365</v>
      </c>
      <c r="CC383" s="14" t="s">
        <v>179</v>
      </c>
      <c r="CD383" s="14" t="s">
        <v>10366</v>
      </c>
      <c r="CE383" s="15"/>
      <c r="CF383" s="15"/>
      <c r="CG383" s="19"/>
      <c r="CH383" s="15"/>
      <c r="CI383" s="19"/>
      <c r="CJ383" s="15"/>
      <c r="CK383" s="19"/>
      <c r="CL383" s="15"/>
      <c r="CM383" s="19"/>
      <c r="CN383" s="15"/>
      <c r="CO383" s="19"/>
      <c r="CP383" s="15"/>
      <c r="CQ383" s="15"/>
      <c r="CR383" s="15"/>
      <c r="CS383" s="19"/>
      <c r="CT383" s="15"/>
      <c r="CU383" s="19"/>
      <c r="CV383" s="15"/>
      <c r="CW383" s="19"/>
      <c r="CX383" s="15"/>
      <c r="CY383" s="19"/>
      <c r="CZ383" s="15"/>
      <c r="DA383" s="16" t="s">
        <v>197</v>
      </c>
      <c r="DB383" s="17" t="s">
        <v>198</v>
      </c>
      <c r="DC383" s="20">
        <v>45723.55290509259</v>
      </c>
      <c r="DD383" s="17" t="s">
        <v>198</v>
      </c>
      <c r="DE383" s="18">
        <v>45723.552939814814</v>
      </c>
      <c r="DF383" s="17" t="s">
        <v>198</v>
      </c>
      <c r="DG383" s="18">
        <v>45723.552939814814</v>
      </c>
      <c r="DH383" s="13" t="s">
        <v>205</v>
      </c>
      <c r="DI383" s="14" t="s">
        <v>179</v>
      </c>
      <c r="DJ383" s="14" t="s">
        <v>10367</v>
      </c>
      <c r="DK383" s="14" t="s">
        <v>179</v>
      </c>
      <c r="DL383" s="14" t="s">
        <v>10367</v>
      </c>
      <c r="DM383" s="14" t="s">
        <v>179</v>
      </c>
      <c r="DN383" s="14" t="s">
        <v>10368</v>
      </c>
      <c r="DO383" s="14" t="s">
        <v>179</v>
      </c>
      <c r="DP383" s="14" t="s">
        <v>10369</v>
      </c>
      <c r="DQ383" s="14" t="s">
        <v>179</v>
      </c>
      <c r="DR383" s="14" t="s">
        <v>10370</v>
      </c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6" t="s">
        <v>197</v>
      </c>
      <c r="ED383" s="17" t="s">
        <v>198</v>
      </c>
      <c r="EE383" s="18">
        <v>45723.553090277775</v>
      </c>
      <c r="EF383" s="13" t="s">
        <v>209</v>
      </c>
      <c r="EG383" s="14" t="s">
        <v>179</v>
      </c>
      <c r="EH383" s="14" t="s">
        <v>10371</v>
      </c>
      <c r="EI383" s="14" t="s">
        <v>179</v>
      </c>
      <c r="EJ383" s="14" t="s">
        <v>10371</v>
      </c>
      <c r="EK383" s="14" t="s">
        <v>179</v>
      </c>
      <c r="EL383" s="14" t="s">
        <v>10372</v>
      </c>
      <c r="EM383" s="14" t="s">
        <v>179</v>
      </c>
      <c r="EN383" s="14" t="s">
        <v>10372</v>
      </c>
      <c r="EO383" s="15"/>
      <c r="EP383" s="15"/>
      <c r="EQ383" s="15"/>
      <c r="ER383" s="15"/>
      <c r="ES383" s="15"/>
      <c r="ET383" s="15"/>
      <c r="EU383" s="15"/>
      <c r="EV383" s="15"/>
      <c r="EW383" s="15"/>
      <c r="EX383" s="15"/>
      <c r="EY383" s="15"/>
      <c r="EZ383" s="15"/>
      <c r="FA383" s="15"/>
      <c r="FB383" s="15"/>
      <c r="FC383" s="16" t="s">
        <v>197</v>
      </c>
      <c r="FD383" s="17" t="s">
        <v>198</v>
      </c>
      <c r="FE383" s="18">
        <v>45723.55315972222</v>
      </c>
      <c r="FF383" s="19"/>
      <c r="FG383" s="19"/>
      <c r="FH383" s="21" t="s">
        <v>197</v>
      </c>
      <c r="FI383" s="17" t="s">
        <v>214</v>
      </c>
      <c r="FJ383" s="18">
        <v>45723.55315972222</v>
      </c>
      <c r="FK383" s="14" t="s">
        <v>10372</v>
      </c>
      <c r="FL383" s="14" t="s">
        <v>10373</v>
      </c>
      <c r="FM383" s="14" t="s">
        <v>10374</v>
      </c>
      <c r="FN383" s="14" t="s">
        <v>10375</v>
      </c>
      <c r="FO383" s="14" t="s">
        <v>10376</v>
      </c>
      <c r="FP383" s="19" t="str">
        <f t="shared" si="1"/>
        <v>Base de Dados_Images/FT8101.Imagem do Equipamento-.182350.jpg</v>
      </c>
      <c r="FQ383" s="14"/>
      <c r="FR383" s="14"/>
    </row>
    <row r="384" ht="15.75" customHeight="1">
      <c r="A384" s="12" t="s">
        <v>357</v>
      </c>
      <c r="B384" s="12" t="s">
        <v>10377</v>
      </c>
      <c r="C384" s="24" t="s">
        <v>512</v>
      </c>
      <c r="D384" s="22" t="s">
        <v>10378</v>
      </c>
      <c r="E384" s="22" t="s">
        <v>10379</v>
      </c>
      <c r="F384" s="13" t="s">
        <v>178</v>
      </c>
      <c r="G384" s="14" t="s">
        <v>179</v>
      </c>
      <c r="H384" s="14" t="s">
        <v>10380</v>
      </c>
      <c r="I384" s="14" t="s">
        <v>179</v>
      </c>
      <c r="J384" s="14" t="s">
        <v>10381</v>
      </c>
      <c r="K384" s="14" t="s">
        <v>179</v>
      </c>
      <c r="L384" s="14" t="s">
        <v>10382</v>
      </c>
      <c r="M384" s="14" t="s">
        <v>179</v>
      </c>
      <c r="N384" s="14" t="s">
        <v>10383</v>
      </c>
      <c r="O384" s="14" t="s">
        <v>179</v>
      </c>
      <c r="P384" s="14" t="s">
        <v>10384</v>
      </c>
      <c r="Q384" s="14" t="s">
        <v>179</v>
      </c>
      <c r="R384" s="14" t="s">
        <v>10385</v>
      </c>
      <c r="S384" s="14" t="s">
        <v>179</v>
      </c>
      <c r="T384" s="14" t="s">
        <v>10386</v>
      </c>
      <c r="U384" s="14" t="s">
        <v>179</v>
      </c>
      <c r="V384" s="14" t="s">
        <v>10387</v>
      </c>
      <c r="W384" s="14" t="s">
        <v>179</v>
      </c>
      <c r="X384" s="14" t="s">
        <v>10388</v>
      </c>
      <c r="Y384" s="14" t="s">
        <v>179</v>
      </c>
      <c r="Z384" s="14" t="s">
        <v>10389</v>
      </c>
      <c r="AA384" s="14" t="s">
        <v>179</v>
      </c>
      <c r="AB384" s="14" t="s">
        <v>10390</v>
      </c>
      <c r="AC384" s="14" t="s">
        <v>179</v>
      </c>
      <c r="AD384" s="14" t="s">
        <v>10391</v>
      </c>
      <c r="AE384" s="14" t="s">
        <v>179</v>
      </c>
      <c r="AF384" s="14" t="s">
        <v>10392</v>
      </c>
      <c r="AG384" s="14" t="s">
        <v>179</v>
      </c>
      <c r="AH384" s="14" t="s">
        <v>10393</v>
      </c>
      <c r="AI384" s="14" t="s">
        <v>179</v>
      </c>
      <c r="AJ384" s="14" t="s">
        <v>10394</v>
      </c>
      <c r="AK384" s="14" t="s">
        <v>179</v>
      </c>
      <c r="AL384" s="14" t="s">
        <v>10395</v>
      </c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6" t="s">
        <v>197</v>
      </c>
      <c r="BP384" s="17" t="s">
        <v>198</v>
      </c>
      <c r="BQ384" s="18">
        <v>45693.690092592595</v>
      </c>
      <c r="BR384" s="17" t="s">
        <v>198</v>
      </c>
      <c r="BS384" s="18">
        <v>45687.644953703704</v>
      </c>
      <c r="BT384" s="17" t="s">
        <v>198</v>
      </c>
      <c r="BU384" s="18">
        <v>45693.690092592595</v>
      </c>
      <c r="BV384" s="13" t="s">
        <v>199</v>
      </c>
      <c r="BW384" s="14" t="s">
        <v>179</v>
      </c>
      <c r="BX384" s="14" t="s">
        <v>10396</v>
      </c>
      <c r="BY384" s="14" t="s">
        <v>179</v>
      </c>
      <c r="BZ384" s="14" t="s">
        <v>10397</v>
      </c>
      <c r="CA384" s="14" t="s">
        <v>179</v>
      </c>
      <c r="CB384" s="14" t="s">
        <v>10398</v>
      </c>
      <c r="CC384" s="14" t="s">
        <v>179</v>
      </c>
      <c r="CD384" s="14" t="s">
        <v>10399</v>
      </c>
      <c r="CE384" s="14" t="s">
        <v>179</v>
      </c>
      <c r="CF384" s="14" t="s">
        <v>10400</v>
      </c>
      <c r="CG384" s="14" t="s">
        <v>179</v>
      </c>
      <c r="CH384" s="14" t="s">
        <v>10401</v>
      </c>
      <c r="CI384" s="19"/>
      <c r="CJ384" s="15"/>
      <c r="CK384" s="19"/>
      <c r="CL384" s="15"/>
      <c r="CM384" s="19"/>
      <c r="CN384" s="15"/>
      <c r="CO384" s="19"/>
      <c r="CP384" s="15"/>
      <c r="CQ384" s="15"/>
      <c r="CR384" s="15"/>
      <c r="CS384" s="19"/>
      <c r="CT384" s="15"/>
      <c r="CU384" s="19"/>
      <c r="CV384" s="15"/>
      <c r="CW384" s="19"/>
      <c r="CX384" s="15"/>
      <c r="CY384" s="19"/>
      <c r="CZ384" s="15"/>
      <c r="DA384" s="16" t="s">
        <v>197</v>
      </c>
      <c r="DB384" s="17" t="s">
        <v>198</v>
      </c>
      <c r="DC384" s="20">
        <v>45709.393738425926</v>
      </c>
      <c r="DD384" s="17" t="s">
        <v>198</v>
      </c>
      <c r="DE384" s="18">
        <v>45709.393796296295</v>
      </c>
      <c r="DF384" s="17" t="s">
        <v>198</v>
      </c>
      <c r="DG384" s="18">
        <v>45709.393796296295</v>
      </c>
      <c r="DH384" s="13" t="s">
        <v>205</v>
      </c>
      <c r="DI384" s="14" t="s">
        <v>179</v>
      </c>
      <c r="DJ384" s="14" t="s">
        <v>10402</v>
      </c>
      <c r="DK384" s="14" t="s">
        <v>179</v>
      </c>
      <c r="DL384" s="14" t="s">
        <v>10403</v>
      </c>
      <c r="DM384" s="14" t="s">
        <v>179</v>
      </c>
      <c r="DN384" s="14" t="s">
        <v>10403</v>
      </c>
      <c r="DO384" s="14" t="s">
        <v>179</v>
      </c>
      <c r="DP384" s="14" t="s">
        <v>10404</v>
      </c>
      <c r="DQ384" s="15"/>
      <c r="DR384" s="15"/>
      <c r="DS384" s="15"/>
      <c r="DT384" s="15"/>
      <c r="DU384" s="15"/>
      <c r="DV384" s="15"/>
      <c r="DW384" s="15"/>
      <c r="DX384" s="15"/>
      <c r="DY384" s="15"/>
      <c r="DZ384" s="15"/>
      <c r="EA384" s="15"/>
      <c r="EB384" s="15"/>
      <c r="EC384" s="16" t="s">
        <v>197</v>
      </c>
      <c r="ED384" s="17" t="s">
        <v>198</v>
      </c>
      <c r="EE384" s="18">
        <v>45723.531122685185</v>
      </c>
      <c r="EF384" s="13" t="s">
        <v>209</v>
      </c>
      <c r="EG384" s="14" t="s">
        <v>179</v>
      </c>
      <c r="EH384" s="14" t="s">
        <v>10405</v>
      </c>
      <c r="EI384" s="14" t="s">
        <v>179</v>
      </c>
      <c r="EJ384" s="14" t="s">
        <v>10405</v>
      </c>
      <c r="EK384" s="14" t="s">
        <v>179</v>
      </c>
      <c r="EL384" s="14" t="s">
        <v>10406</v>
      </c>
      <c r="EM384" s="14" t="s">
        <v>179</v>
      </c>
      <c r="EN384" s="14" t="s">
        <v>10407</v>
      </c>
      <c r="EO384" s="15"/>
      <c r="EP384" s="15"/>
      <c r="EQ384" s="15"/>
      <c r="ER384" s="15"/>
      <c r="ES384" s="15"/>
      <c r="ET384" s="15"/>
      <c r="EU384" s="15"/>
      <c r="EV384" s="15"/>
      <c r="EW384" s="15"/>
      <c r="EX384" s="15"/>
      <c r="EY384" s="15"/>
      <c r="EZ384" s="15"/>
      <c r="FA384" s="15"/>
      <c r="FB384" s="15"/>
      <c r="FC384" s="16" t="s">
        <v>197</v>
      </c>
      <c r="FD384" s="17" t="s">
        <v>198</v>
      </c>
      <c r="FE384" s="18">
        <v>45723.53123842592</v>
      </c>
      <c r="FF384" s="19"/>
      <c r="FG384" s="19"/>
      <c r="FH384" s="21" t="s">
        <v>197</v>
      </c>
      <c r="FI384" s="17" t="s">
        <v>214</v>
      </c>
      <c r="FJ384" s="18">
        <v>45723.53123842592</v>
      </c>
      <c r="FK384" s="14" t="s">
        <v>10407</v>
      </c>
      <c r="FL384" s="14" t="s">
        <v>10408</v>
      </c>
      <c r="FM384" s="14" t="s">
        <v>10409</v>
      </c>
      <c r="FN384" s="14" t="s">
        <v>10410</v>
      </c>
      <c r="FO384" s="14" t="s">
        <v>10411</v>
      </c>
      <c r="FP384" s="19" t="str">
        <f t="shared" si="1"/>
        <v>Base de Dados_Images/FT8102.Imagem do Equipamento-.182702.jpg</v>
      </c>
      <c r="FQ384" s="19"/>
      <c r="FR384" s="19"/>
    </row>
    <row r="385" ht="15.75" customHeight="1">
      <c r="A385" s="12" t="s">
        <v>10412</v>
      </c>
      <c r="B385" s="12" t="s">
        <v>10413</v>
      </c>
      <c r="C385" s="24" t="s">
        <v>512</v>
      </c>
      <c r="D385" s="22" t="s">
        <v>10414</v>
      </c>
      <c r="E385" s="22" t="s">
        <v>10415</v>
      </c>
      <c r="F385" s="13" t="s">
        <v>178</v>
      </c>
      <c r="G385" s="14" t="s">
        <v>179</v>
      </c>
      <c r="H385" s="14" t="s">
        <v>10416</v>
      </c>
      <c r="I385" s="14" t="s">
        <v>179</v>
      </c>
      <c r="J385" s="14" t="s">
        <v>10417</v>
      </c>
      <c r="K385" s="14" t="s">
        <v>179</v>
      </c>
      <c r="L385" s="14" t="s">
        <v>10418</v>
      </c>
      <c r="M385" s="14" t="s">
        <v>179</v>
      </c>
      <c r="N385" s="14" t="s">
        <v>10419</v>
      </c>
      <c r="O385" s="14" t="s">
        <v>179</v>
      </c>
      <c r="P385" s="14" t="s">
        <v>10420</v>
      </c>
      <c r="Q385" s="14" t="s">
        <v>179</v>
      </c>
      <c r="R385" s="14" t="s">
        <v>10421</v>
      </c>
      <c r="S385" s="14" t="s">
        <v>179</v>
      </c>
      <c r="T385" s="14" t="s">
        <v>10422</v>
      </c>
      <c r="U385" s="14" t="s">
        <v>179</v>
      </c>
      <c r="V385" s="14" t="s">
        <v>10423</v>
      </c>
      <c r="W385" s="14" t="s">
        <v>179</v>
      </c>
      <c r="X385" s="14" t="s">
        <v>10424</v>
      </c>
      <c r="Y385" s="14" t="s">
        <v>188</v>
      </c>
      <c r="Z385" s="14" t="s">
        <v>10425</v>
      </c>
      <c r="AA385" s="14" t="s">
        <v>179</v>
      </c>
      <c r="AB385" s="14" t="s">
        <v>10426</v>
      </c>
      <c r="AC385" s="14" t="s">
        <v>179</v>
      </c>
      <c r="AD385" s="14" t="s">
        <v>10427</v>
      </c>
      <c r="AE385" s="14" t="s">
        <v>179</v>
      </c>
      <c r="AF385" s="14" t="s">
        <v>10428</v>
      </c>
      <c r="AG385" s="14" t="s">
        <v>179</v>
      </c>
      <c r="AH385" s="14" t="s">
        <v>10429</v>
      </c>
      <c r="AI385" s="14" t="s">
        <v>179</v>
      </c>
      <c r="AJ385" s="14" t="s">
        <v>10430</v>
      </c>
      <c r="AK385" s="14" t="s">
        <v>179</v>
      </c>
      <c r="AL385" s="14" t="s">
        <v>10431</v>
      </c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6" t="s">
        <v>197</v>
      </c>
      <c r="BP385" s="17" t="s">
        <v>198</v>
      </c>
      <c r="BQ385" s="18">
        <v>45686.62868055556</v>
      </c>
      <c r="BR385" s="17" t="s">
        <v>198</v>
      </c>
      <c r="BS385" s="18">
        <v>45686.62869212963</v>
      </c>
      <c r="BT385" s="17" t="s">
        <v>198</v>
      </c>
      <c r="BU385" s="18">
        <v>45686.62869212963</v>
      </c>
      <c r="BV385" s="13" t="s">
        <v>199</v>
      </c>
      <c r="BW385" s="14" t="s">
        <v>179</v>
      </c>
      <c r="BX385" s="14" t="s">
        <v>10432</v>
      </c>
      <c r="BY385" s="14" t="s">
        <v>179</v>
      </c>
      <c r="BZ385" s="14" t="s">
        <v>10433</v>
      </c>
      <c r="CA385" s="14" t="s">
        <v>179</v>
      </c>
      <c r="CB385" s="14" t="s">
        <v>10434</v>
      </c>
      <c r="CC385" s="14" t="s">
        <v>179</v>
      </c>
      <c r="CD385" s="14" t="s">
        <v>10435</v>
      </c>
      <c r="CE385" s="14" t="s">
        <v>179</v>
      </c>
      <c r="CF385" s="14" t="s">
        <v>10436</v>
      </c>
      <c r="CG385" s="14" t="s">
        <v>179</v>
      </c>
      <c r="CH385" s="14" t="s">
        <v>10437</v>
      </c>
      <c r="CI385" s="19"/>
      <c r="CJ385" s="15"/>
      <c r="CK385" s="19"/>
      <c r="CL385" s="15"/>
      <c r="CM385" s="19"/>
      <c r="CN385" s="15"/>
      <c r="CO385" s="19"/>
      <c r="CP385" s="15"/>
      <c r="CQ385" s="15"/>
      <c r="CR385" s="15"/>
      <c r="CS385" s="19"/>
      <c r="CT385" s="15"/>
      <c r="CU385" s="19"/>
      <c r="CV385" s="15"/>
      <c r="CW385" s="19"/>
      <c r="CX385" s="15"/>
      <c r="CY385" s="19"/>
      <c r="CZ385" s="15"/>
      <c r="DA385" s="16" t="s">
        <v>197</v>
      </c>
      <c r="DB385" s="17" t="s">
        <v>198</v>
      </c>
      <c r="DC385" s="20">
        <v>45719.458645833336</v>
      </c>
      <c r="DD385" s="17" t="s">
        <v>198</v>
      </c>
      <c r="DE385" s="18">
        <v>45719.45873842593</v>
      </c>
      <c r="DF385" s="17" t="s">
        <v>198</v>
      </c>
      <c r="DG385" s="18">
        <v>45719.45873842593</v>
      </c>
      <c r="DH385" s="13" t="s">
        <v>205</v>
      </c>
      <c r="DI385" s="14" t="s">
        <v>179</v>
      </c>
      <c r="DJ385" s="14" t="s">
        <v>10438</v>
      </c>
      <c r="DK385" s="14" t="s">
        <v>179</v>
      </c>
      <c r="DL385" s="14" t="s">
        <v>10439</v>
      </c>
      <c r="DM385" s="14" t="s">
        <v>179</v>
      </c>
      <c r="DN385" s="14" t="s">
        <v>10439</v>
      </c>
      <c r="DO385" s="14" t="s">
        <v>179</v>
      </c>
      <c r="DP385" s="14" t="s">
        <v>10440</v>
      </c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6" t="s">
        <v>197</v>
      </c>
      <c r="ED385" s="17" t="s">
        <v>198</v>
      </c>
      <c r="EE385" s="18">
        <v>45719.459027777775</v>
      </c>
      <c r="EF385" s="13" t="s">
        <v>209</v>
      </c>
      <c r="EG385" s="14" t="s">
        <v>179</v>
      </c>
      <c r="EH385" s="14" t="s">
        <v>10441</v>
      </c>
      <c r="EI385" s="14" t="s">
        <v>179</v>
      </c>
      <c r="EJ385" s="14" t="s">
        <v>10442</v>
      </c>
      <c r="EK385" s="14" t="s">
        <v>179</v>
      </c>
      <c r="EL385" s="14" t="s">
        <v>10443</v>
      </c>
      <c r="EM385" s="14" t="s">
        <v>179</v>
      </c>
      <c r="EN385" s="14" t="s">
        <v>10444</v>
      </c>
      <c r="EO385" s="15"/>
      <c r="EP385" s="15"/>
      <c r="EQ385" s="15"/>
      <c r="ER385" s="15"/>
      <c r="ES385" s="15"/>
      <c r="ET385" s="15"/>
      <c r="EU385" s="15"/>
      <c r="EV385" s="15"/>
      <c r="EW385" s="15"/>
      <c r="EX385" s="15"/>
      <c r="EY385" s="15"/>
      <c r="EZ385" s="15"/>
      <c r="FA385" s="15"/>
      <c r="FB385" s="15"/>
      <c r="FC385" s="16" t="s">
        <v>197</v>
      </c>
      <c r="FD385" s="17" t="s">
        <v>198</v>
      </c>
      <c r="FE385" s="18">
        <v>45719.67265046296</v>
      </c>
      <c r="FF385" s="19"/>
      <c r="FG385" s="19"/>
      <c r="FH385" s="21" t="s">
        <v>197</v>
      </c>
      <c r="FI385" s="17" t="s">
        <v>214</v>
      </c>
      <c r="FJ385" s="18">
        <v>45719.67265046296</v>
      </c>
      <c r="FK385" s="14" t="s">
        <v>10444</v>
      </c>
      <c r="FL385" s="14" t="s">
        <v>10445</v>
      </c>
      <c r="FM385" s="14" t="s">
        <v>10446</v>
      </c>
      <c r="FN385" s="19"/>
      <c r="FO385" s="19"/>
      <c r="FP385" s="19" t="str">
        <f t="shared" si="1"/>
        <v>Base de Dados_Images/GR8801.Imagem do Equipamento-.140147.jpg</v>
      </c>
      <c r="FQ385" s="19"/>
      <c r="FR385" s="19"/>
    </row>
    <row r="386" ht="15.75" customHeight="1">
      <c r="A386" s="12" t="s">
        <v>174</v>
      </c>
      <c r="B386" s="12" t="s">
        <v>175</v>
      </c>
      <c r="C386" s="12" t="s">
        <v>10447</v>
      </c>
      <c r="D386" s="12" t="s">
        <v>10448</v>
      </c>
      <c r="E386" s="12" t="s">
        <v>10449</v>
      </c>
      <c r="F386" s="13" t="s">
        <v>178</v>
      </c>
      <c r="G386" s="14" t="s">
        <v>179</v>
      </c>
      <c r="H386" s="14" t="s">
        <v>10450</v>
      </c>
      <c r="I386" s="14" t="s">
        <v>179</v>
      </c>
      <c r="J386" s="14" t="s">
        <v>10451</v>
      </c>
      <c r="K386" s="14" t="s">
        <v>179</v>
      </c>
      <c r="L386" s="14" t="s">
        <v>10452</v>
      </c>
      <c r="M386" s="14" t="s">
        <v>179</v>
      </c>
      <c r="N386" s="14" t="s">
        <v>10453</v>
      </c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6" t="s">
        <v>197</v>
      </c>
      <c r="BP386" s="17" t="s">
        <v>198</v>
      </c>
      <c r="BQ386" s="18">
        <v>45693.49251157408</v>
      </c>
      <c r="BR386" s="17" t="s">
        <v>198</v>
      </c>
      <c r="BS386" s="18">
        <v>45693.49254629629</v>
      </c>
      <c r="BT386" s="17" t="s">
        <v>198</v>
      </c>
      <c r="BU386" s="18">
        <v>45693.49254629629</v>
      </c>
      <c r="BV386" s="13" t="s">
        <v>199</v>
      </c>
      <c r="BW386" s="14" t="s">
        <v>188</v>
      </c>
      <c r="BX386" s="14" t="s">
        <v>10454</v>
      </c>
      <c r="BY386" s="14" t="s">
        <v>188</v>
      </c>
      <c r="BZ386" s="14" t="s">
        <v>10455</v>
      </c>
      <c r="CA386" s="14" t="s">
        <v>188</v>
      </c>
      <c r="CB386" s="14" t="s">
        <v>10456</v>
      </c>
      <c r="CC386" s="15"/>
      <c r="CD386" s="15"/>
      <c r="CE386" s="15"/>
      <c r="CF386" s="15"/>
      <c r="CG386" s="19"/>
      <c r="CH386" s="15"/>
      <c r="CI386" s="19"/>
      <c r="CJ386" s="15"/>
      <c r="CK386" s="19"/>
      <c r="CL386" s="15"/>
      <c r="CM386" s="19"/>
      <c r="CN386" s="15"/>
      <c r="CO386" s="19"/>
      <c r="CP386" s="15"/>
      <c r="CQ386" s="15"/>
      <c r="CR386" s="15"/>
      <c r="CS386" s="19"/>
      <c r="CT386" s="15"/>
      <c r="CU386" s="19"/>
      <c r="CV386" s="15"/>
      <c r="CW386" s="19"/>
      <c r="CX386" s="15"/>
      <c r="CY386" s="19"/>
      <c r="CZ386" s="15"/>
      <c r="DA386" s="16" t="s">
        <v>197</v>
      </c>
      <c r="DB386" s="17" t="s">
        <v>228</v>
      </c>
      <c r="DC386" s="16"/>
      <c r="DD386" s="17" t="s">
        <v>198</v>
      </c>
      <c r="DE386" s="18">
        <v>45719.4837962963</v>
      </c>
      <c r="DF386" s="17" t="s">
        <v>198</v>
      </c>
      <c r="DG386" s="18">
        <v>45719.4837962963</v>
      </c>
      <c r="DH386" s="13" t="s">
        <v>205</v>
      </c>
      <c r="DI386" s="14" t="s">
        <v>188</v>
      </c>
      <c r="DJ386" s="14" t="s">
        <v>10457</v>
      </c>
      <c r="DK386" s="14" t="s">
        <v>188</v>
      </c>
      <c r="DL386" s="14" t="s">
        <v>10458</v>
      </c>
      <c r="DM386" s="15"/>
      <c r="DN386" s="15"/>
      <c r="DO386" s="15"/>
      <c r="DP386" s="15"/>
      <c r="DQ386" s="15"/>
      <c r="DR386" s="15"/>
      <c r="DS386" s="15"/>
      <c r="DT386" s="15"/>
      <c r="DU386" s="15"/>
      <c r="DV386" s="15"/>
      <c r="DW386" s="15"/>
      <c r="DX386" s="15"/>
      <c r="DY386" s="15"/>
      <c r="DZ386" s="15"/>
      <c r="EA386" s="15"/>
      <c r="EB386" s="15"/>
      <c r="EC386" s="16" t="s">
        <v>197</v>
      </c>
      <c r="ED386" s="17" t="s">
        <v>198</v>
      </c>
      <c r="EE386" s="18">
        <v>45719.48396990741</v>
      </c>
      <c r="EF386" s="13" t="s">
        <v>209</v>
      </c>
      <c r="EG386" s="14" t="s">
        <v>179</v>
      </c>
      <c r="EH386" s="14" t="s">
        <v>10459</v>
      </c>
      <c r="EI386" s="14" t="s">
        <v>179</v>
      </c>
      <c r="EJ386" s="14" t="s">
        <v>10460</v>
      </c>
      <c r="EK386" s="15"/>
      <c r="EL386" s="15"/>
      <c r="EM386" s="15"/>
      <c r="EN386" s="15"/>
      <c r="EO386" s="15"/>
      <c r="EP386" s="15"/>
      <c r="EQ386" s="15"/>
      <c r="ER386" s="15"/>
      <c r="ES386" s="15"/>
      <c r="ET386" s="15"/>
      <c r="EU386" s="15"/>
      <c r="EV386" s="15"/>
      <c r="EW386" s="15"/>
      <c r="EX386" s="15"/>
      <c r="EY386" s="15"/>
      <c r="EZ386" s="15"/>
      <c r="FA386" s="15"/>
      <c r="FB386" s="15"/>
      <c r="FC386" s="16" t="s">
        <v>197</v>
      </c>
      <c r="FD386" s="17" t="s">
        <v>198</v>
      </c>
      <c r="FE386" s="18">
        <v>45723.26642361111</v>
      </c>
      <c r="FF386" s="19"/>
      <c r="FG386" s="19"/>
      <c r="FH386" s="21" t="s">
        <v>197</v>
      </c>
      <c r="FI386" s="17" t="s">
        <v>214</v>
      </c>
      <c r="FJ386" s="18">
        <v>45723.26642361111</v>
      </c>
      <c r="FK386" s="14" t="s">
        <v>10459</v>
      </c>
      <c r="FL386" s="14" t="s">
        <v>10461</v>
      </c>
      <c r="FM386" s="14" t="s">
        <v>10462</v>
      </c>
      <c r="FN386" s="19"/>
      <c r="FO386" s="19"/>
      <c r="FP386" s="19" t="str">
        <f t="shared" si="1"/>
        <v>Base de Dados_Images/HL0101.Imagem do Equipamento-.145657.jpg</v>
      </c>
      <c r="FQ386" s="14"/>
      <c r="FR386" s="14"/>
    </row>
    <row r="387" ht="15.75" customHeight="1">
      <c r="A387" s="12" t="s">
        <v>174</v>
      </c>
      <c r="B387" s="12" t="s">
        <v>175</v>
      </c>
      <c r="C387" s="24" t="s">
        <v>10463</v>
      </c>
      <c r="D387" s="22" t="s">
        <v>10464</v>
      </c>
      <c r="E387" s="22" t="s">
        <v>10465</v>
      </c>
      <c r="F387" s="13" t="s">
        <v>178</v>
      </c>
      <c r="G387" s="14" t="s">
        <v>179</v>
      </c>
      <c r="H387" s="14" t="s">
        <v>10466</v>
      </c>
      <c r="I387" s="14" t="s">
        <v>179</v>
      </c>
      <c r="J387" s="14" t="s">
        <v>10467</v>
      </c>
      <c r="K387" s="14" t="s">
        <v>179</v>
      </c>
      <c r="L387" s="14" t="s">
        <v>10468</v>
      </c>
      <c r="M387" s="14" t="s">
        <v>179</v>
      </c>
      <c r="N387" s="14" t="s">
        <v>10469</v>
      </c>
      <c r="O387" s="14" t="s">
        <v>179</v>
      </c>
      <c r="P387" s="14" t="s">
        <v>10470</v>
      </c>
      <c r="Q387" s="14" t="s">
        <v>179</v>
      </c>
      <c r="R387" s="14" t="s">
        <v>10471</v>
      </c>
      <c r="S387" s="14" t="s">
        <v>179</v>
      </c>
      <c r="T387" s="14" t="s">
        <v>10472</v>
      </c>
      <c r="U387" s="14" t="s">
        <v>179</v>
      </c>
      <c r="V387" s="14" t="s">
        <v>10473</v>
      </c>
      <c r="W387" s="14" t="s">
        <v>179</v>
      </c>
      <c r="X387" s="14" t="s">
        <v>10474</v>
      </c>
      <c r="Y387" s="14" t="s">
        <v>179</v>
      </c>
      <c r="Z387" s="14" t="s">
        <v>10475</v>
      </c>
      <c r="AA387" s="14" t="s">
        <v>179</v>
      </c>
      <c r="AB387" s="14" t="s">
        <v>10476</v>
      </c>
      <c r="AC387" s="14" t="s">
        <v>179</v>
      </c>
      <c r="AD387" s="14" t="s">
        <v>10476</v>
      </c>
      <c r="AE387" s="14" t="s">
        <v>179</v>
      </c>
      <c r="AF387" s="14" t="s">
        <v>10477</v>
      </c>
      <c r="AG387" s="14" t="s">
        <v>179</v>
      </c>
      <c r="AH387" s="14" t="s">
        <v>10478</v>
      </c>
      <c r="AI387" s="14" t="s">
        <v>179</v>
      </c>
      <c r="AJ387" s="14" t="s">
        <v>10479</v>
      </c>
      <c r="AK387" s="14" t="s">
        <v>179</v>
      </c>
      <c r="AL387" s="14" t="s">
        <v>10479</v>
      </c>
      <c r="AM387" s="14" t="s">
        <v>179</v>
      </c>
      <c r="AN387" s="14" t="s">
        <v>10480</v>
      </c>
      <c r="AO387" s="14" t="s">
        <v>179</v>
      </c>
      <c r="AP387" s="14" t="s">
        <v>10481</v>
      </c>
      <c r="AQ387" s="14" t="s">
        <v>179</v>
      </c>
      <c r="AR387" s="14" t="s">
        <v>10482</v>
      </c>
      <c r="AS387" s="14" t="s">
        <v>179</v>
      </c>
      <c r="AT387" s="14" t="s">
        <v>10483</v>
      </c>
      <c r="AU387" s="14" t="s">
        <v>179</v>
      </c>
      <c r="AV387" s="14" t="s">
        <v>10484</v>
      </c>
      <c r="AW387" s="14" t="s">
        <v>179</v>
      </c>
      <c r="AX387" s="14" t="s">
        <v>10485</v>
      </c>
      <c r="AY387" s="14" t="s">
        <v>179</v>
      </c>
      <c r="AZ387" s="14" t="s">
        <v>10486</v>
      </c>
      <c r="BA387" s="14" t="s">
        <v>179</v>
      </c>
      <c r="BB387" s="14" t="s">
        <v>10487</v>
      </c>
      <c r="BC387" s="14" t="s">
        <v>179</v>
      </c>
      <c r="BD387" s="14" t="s">
        <v>10488</v>
      </c>
      <c r="BE387" s="14" t="s">
        <v>179</v>
      </c>
      <c r="BF387" s="14" t="s">
        <v>10489</v>
      </c>
      <c r="BG387" s="14" t="s">
        <v>179</v>
      </c>
      <c r="BH387" s="14" t="s">
        <v>10490</v>
      </c>
      <c r="BI387" s="14" t="s">
        <v>179</v>
      </c>
      <c r="BJ387" s="14" t="s">
        <v>10491</v>
      </c>
      <c r="BK387" s="15"/>
      <c r="BL387" s="15"/>
      <c r="BM387" s="15"/>
      <c r="BN387" s="15"/>
      <c r="BO387" s="16" t="s">
        <v>197</v>
      </c>
      <c r="BP387" s="17" t="s">
        <v>198</v>
      </c>
      <c r="BQ387" s="18">
        <v>45699.58730324074</v>
      </c>
      <c r="BR387" s="17" t="s">
        <v>198</v>
      </c>
      <c r="BS387" s="18">
        <v>45693.49559027778</v>
      </c>
      <c r="BT387" s="17" t="s">
        <v>198</v>
      </c>
      <c r="BU387" s="18">
        <v>45699.58730324074</v>
      </c>
      <c r="BV387" s="13" t="s">
        <v>199</v>
      </c>
      <c r="BW387" s="14" t="s">
        <v>179</v>
      </c>
      <c r="BX387" s="14" t="s">
        <v>10492</v>
      </c>
      <c r="BY387" s="14" t="s">
        <v>179</v>
      </c>
      <c r="BZ387" s="14" t="s">
        <v>10492</v>
      </c>
      <c r="CA387" s="14" t="s">
        <v>179</v>
      </c>
      <c r="CB387" s="14" t="s">
        <v>10493</v>
      </c>
      <c r="CC387" s="14" t="s">
        <v>179</v>
      </c>
      <c r="CD387" s="14" t="s">
        <v>10494</v>
      </c>
      <c r="CE387" s="14" t="s">
        <v>179</v>
      </c>
      <c r="CF387" s="14" t="s">
        <v>10495</v>
      </c>
      <c r="CG387" s="14" t="s">
        <v>179</v>
      </c>
      <c r="CH387" s="14" t="s">
        <v>10496</v>
      </c>
      <c r="CI387" s="14" t="s">
        <v>179</v>
      </c>
      <c r="CJ387" s="14" t="s">
        <v>10497</v>
      </c>
      <c r="CK387" s="14" t="s">
        <v>179</v>
      </c>
      <c r="CL387" s="14" t="s">
        <v>10498</v>
      </c>
      <c r="CM387" s="19"/>
      <c r="CN387" s="15"/>
      <c r="CO387" s="19"/>
      <c r="CP387" s="15"/>
      <c r="CQ387" s="15"/>
      <c r="CR387" s="15"/>
      <c r="CS387" s="19"/>
      <c r="CT387" s="15"/>
      <c r="CU387" s="19"/>
      <c r="CV387" s="15"/>
      <c r="CW387" s="19"/>
      <c r="CX387" s="15"/>
      <c r="CY387" s="19"/>
      <c r="CZ387" s="15"/>
      <c r="DA387" s="16" t="s">
        <v>197</v>
      </c>
      <c r="DB387" s="17" t="s">
        <v>198</v>
      </c>
      <c r="DC387" s="20">
        <v>45723.26611111111</v>
      </c>
      <c r="DD387" s="17" t="s">
        <v>198</v>
      </c>
      <c r="DE387" s="18">
        <v>45723.266238425924</v>
      </c>
      <c r="DF387" s="17" t="s">
        <v>198</v>
      </c>
      <c r="DG387" s="18">
        <v>45723.266238425924</v>
      </c>
      <c r="DH387" s="13" t="s">
        <v>205</v>
      </c>
      <c r="DI387" s="14" t="s">
        <v>179</v>
      </c>
      <c r="DJ387" s="14" t="s">
        <v>10499</v>
      </c>
      <c r="DK387" s="14" t="s">
        <v>179</v>
      </c>
      <c r="DL387" s="14" t="s">
        <v>10499</v>
      </c>
      <c r="DM387" s="14" t="s">
        <v>179</v>
      </c>
      <c r="DN387" s="14" t="s">
        <v>10500</v>
      </c>
      <c r="DO387" s="14" t="s">
        <v>179</v>
      </c>
      <c r="DP387" s="14" t="s">
        <v>10501</v>
      </c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6" t="s">
        <v>197</v>
      </c>
      <c r="ED387" s="17" t="s">
        <v>198</v>
      </c>
      <c r="EE387" s="18">
        <v>45723.26631944445</v>
      </c>
      <c r="EF387" s="13" t="s">
        <v>209</v>
      </c>
      <c r="EG387" s="15"/>
      <c r="EH387" s="15"/>
      <c r="EI387" s="15"/>
      <c r="EJ387" s="15"/>
      <c r="EK387" s="15"/>
      <c r="EL387" s="15"/>
      <c r="EM387" s="15"/>
      <c r="EN387" s="15"/>
      <c r="EO387" s="15"/>
      <c r="EP387" s="15"/>
      <c r="EQ387" s="15"/>
      <c r="ER387" s="15"/>
      <c r="ES387" s="15"/>
      <c r="ET387" s="15"/>
      <c r="EU387" s="15"/>
      <c r="EV387" s="15"/>
      <c r="EW387" s="15"/>
      <c r="EX387" s="15"/>
      <c r="EY387" s="15"/>
      <c r="EZ387" s="15"/>
      <c r="FA387" s="15"/>
      <c r="FB387" s="15"/>
      <c r="FC387" s="16" t="s">
        <v>197</v>
      </c>
      <c r="FD387" s="17" t="s">
        <v>228</v>
      </c>
      <c r="FE387" s="23"/>
      <c r="FF387" s="19"/>
      <c r="FG387" s="19"/>
      <c r="FH387" s="21" t="s">
        <v>197</v>
      </c>
      <c r="FI387" s="17" t="s">
        <v>214</v>
      </c>
      <c r="FJ387" s="18">
        <v>45723.26631944445</v>
      </c>
      <c r="FK387" s="14" t="s">
        <v>10501</v>
      </c>
      <c r="FL387" s="14" t="s">
        <v>10502</v>
      </c>
      <c r="FM387" s="14" t="s">
        <v>10503</v>
      </c>
      <c r="FN387" s="19"/>
      <c r="FO387" s="19"/>
      <c r="FP387" s="19" t="str">
        <f t="shared" si="1"/>
        <v>Base de Dados_Images/HL1001.Imagem do Equipamento-.154408.jpg</v>
      </c>
      <c r="FQ387" s="14"/>
      <c r="FR387" s="14"/>
    </row>
    <row r="388" ht="15.75" customHeight="1">
      <c r="A388" s="12" t="s">
        <v>547</v>
      </c>
      <c r="B388" s="12" t="s">
        <v>3825</v>
      </c>
      <c r="C388" s="24" t="s">
        <v>10447</v>
      </c>
      <c r="D388" s="12" t="s">
        <v>10504</v>
      </c>
      <c r="E388" s="12" t="s">
        <v>10505</v>
      </c>
      <c r="F388" s="13" t="s">
        <v>178</v>
      </c>
      <c r="G388" s="14" t="s">
        <v>179</v>
      </c>
      <c r="H388" s="14" t="s">
        <v>10506</v>
      </c>
      <c r="I388" s="14" t="s">
        <v>179</v>
      </c>
      <c r="J388" s="14" t="s">
        <v>10507</v>
      </c>
      <c r="K388" s="14" t="s">
        <v>179</v>
      </c>
      <c r="L388" s="14" t="s">
        <v>10507</v>
      </c>
      <c r="M388" s="14" t="s">
        <v>179</v>
      </c>
      <c r="N388" s="14" t="s">
        <v>10508</v>
      </c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6" t="s">
        <v>197</v>
      </c>
      <c r="BP388" s="17" t="s">
        <v>198</v>
      </c>
      <c r="BQ388" s="18">
        <v>45688.65939814815</v>
      </c>
      <c r="BR388" s="17" t="s">
        <v>198</v>
      </c>
      <c r="BS388" s="18">
        <v>45688.65938657407</v>
      </c>
      <c r="BT388" s="17" t="s">
        <v>198</v>
      </c>
      <c r="BU388" s="18">
        <v>45688.65939814815</v>
      </c>
      <c r="BV388" s="13" t="s">
        <v>199</v>
      </c>
      <c r="BW388" s="14" t="s">
        <v>179</v>
      </c>
      <c r="BX388" s="14" t="s">
        <v>10509</v>
      </c>
      <c r="BY388" s="14" t="s">
        <v>179</v>
      </c>
      <c r="BZ388" s="14" t="s">
        <v>10510</v>
      </c>
      <c r="CA388" s="14" t="s">
        <v>179</v>
      </c>
      <c r="CB388" s="14" t="s">
        <v>10511</v>
      </c>
      <c r="CC388" s="15"/>
      <c r="CD388" s="15"/>
      <c r="CE388" s="15"/>
      <c r="CF388" s="15"/>
      <c r="CG388" s="19"/>
      <c r="CH388" s="15"/>
      <c r="CI388" s="19"/>
      <c r="CJ388" s="15"/>
      <c r="CK388" s="19"/>
      <c r="CL388" s="15"/>
      <c r="CM388" s="19"/>
      <c r="CN388" s="15"/>
      <c r="CO388" s="19"/>
      <c r="CP388" s="15"/>
      <c r="CQ388" s="15"/>
      <c r="CR388" s="15"/>
      <c r="CS388" s="19"/>
      <c r="CT388" s="15"/>
      <c r="CU388" s="19"/>
      <c r="CV388" s="15"/>
      <c r="CW388" s="19"/>
      <c r="CX388" s="15"/>
      <c r="CY388" s="19"/>
      <c r="CZ388" s="15"/>
      <c r="DA388" s="16" t="s">
        <v>197</v>
      </c>
      <c r="DB388" s="17" t="s">
        <v>228</v>
      </c>
      <c r="DC388" s="16"/>
      <c r="DD388" s="17" t="s">
        <v>198</v>
      </c>
      <c r="DE388" s="18">
        <v>45692.631886574076</v>
      </c>
      <c r="DF388" s="17" t="s">
        <v>198</v>
      </c>
      <c r="DG388" s="18">
        <v>45692.631886574076</v>
      </c>
      <c r="DH388" s="13" t="s">
        <v>205</v>
      </c>
      <c r="DI388" s="14" t="s">
        <v>179</v>
      </c>
      <c r="DJ388" s="14" t="s">
        <v>10512</v>
      </c>
      <c r="DK388" s="14" t="s">
        <v>179</v>
      </c>
      <c r="DL388" s="14" t="s">
        <v>10513</v>
      </c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  <c r="DY388" s="15"/>
      <c r="DZ388" s="15"/>
      <c r="EA388" s="15"/>
      <c r="EB388" s="15"/>
      <c r="EC388" s="16" t="s">
        <v>197</v>
      </c>
      <c r="ED388" s="17" t="s">
        <v>198</v>
      </c>
      <c r="EE388" s="18">
        <v>45692.63197916667</v>
      </c>
      <c r="EF388" s="13" t="s">
        <v>209</v>
      </c>
      <c r="EG388" s="14" t="s">
        <v>179</v>
      </c>
      <c r="EH388" s="14" t="s">
        <v>10514</v>
      </c>
      <c r="EI388" s="14" t="s">
        <v>179</v>
      </c>
      <c r="EJ388" s="14" t="s">
        <v>10515</v>
      </c>
      <c r="EK388" s="15"/>
      <c r="EL388" s="15"/>
      <c r="EM388" s="15"/>
      <c r="EN388" s="15"/>
      <c r="EO388" s="15"/>
      <c r="EP388" s="15"/>
      <c r="EQ388" s="15"/>
      <c r="ER388" s="15"/>
      <c r="ES388" s="15"/>
      <c r="ET388" s="15"/>
      <c r="EU388" s="15"/>
      <c r="EV388" s="15"/>
      <c r="EW388" s="15"/>
      <c r="EX388" s="15"/>
      <c r="EY388" s="15"/>
      <c r="EZ388" s="15"/>
      <c r="FA388" s="15"/>
      <c r="FB388" s="15"/>
      <c r="FC388" s="16" t="s">
        <v>197</v>
      </c>
      <c r="FD388" s="17" t="s">
        <v>198</v>
      </c>
      <c r="FE388" s="18">
        <v>45707.49679398148</v>
      </c>
      <c r="FF388" s="19"/>
      <c r="FG388" s="19"/>
      <c r="FH388" s="21" t="s">
        <v>197</v>
      </c>
      <c r="FI388" s="17" t="s">
        <v>214</v>
      </c>
      <c r="FJ388" s="18">
        <v>45707.49679398148</v>
      </c>
      <c r="FK388" s="14" t="s">
        <v>10515</v>
      </c>
      <c r="FL388" s="19"/>
      <c r="FM388" s="19"/>
      <c r="FN388" s="19"/>
      <c r="FO388" s="19"/>
      <c r="FP388" s="19" t="str">
        <f t="shared" si="1"/>
        <v/>
      </c>
      <c r="FQ388" s="14" t="s">
        <v>215</v>
      </c>
      <c r="FR388" s="14" t="s">
        <v>10516</v>
      </c>
    </row>
    <row r="389" ht="15.75" customHeight="1">
      <c r="A389" s="12" t="s">
        <v>547</v>
      </c>
      <c r="B389" s="12" t="s">
        <v>3825</v>
      </c>
      <c r="C389" s="24" t="s">
        <v>324</v>
      </c>
      <c r="D389" s="12" t="s">
        <v>10517</v>
      </c>
      <c r="E389" s="12" t="s">
        <v>10518</v>
      </c>
      <c r="F389" s="13" t="s">
        <v>178</v>
      </c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6" t="s">
        <v>197</v>
      </c>
      <c r="BP389" s="17" t="s">
        <v>228</v>
      </c>
      <c r="BQ389" s="23"/>
      <c r="BR389" s="17" t="s">
        <v>228</v>
      </c>
      <c r="BS389" s="23"/>
      <c r="BT389" s="17" t="s">
        <v>228</v>
      </c>
      <c r="BU389" s="23"/>
      <c r="BV389" s="13" t="s">
        <v>199</v>
      </c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9"/>
      <c r="CH389" s="15"/>
      <c r="CI389" s="19"/>
      <c r="CJ389" s="15"/>
      <c r="CK389" s="19"/>
      <c r="CL389" s="15"/>
      <c r="CM389" s="19"/>
      <c r="CN389" s="15"/>
      <c r="CO389" s="19"/>
      <c r="CP389" s="15"/>
      <c r="CQ389" s="15"/>
      <c r="CR389" s="15"/>
      <c r="CS389" s="19"/>
      <c r="CT389" s="15"/>
      <c r="CU389" s="19"/>
      <c r="CV389" s="15"/>
      <c r="CW389" s="19"/>
      <c r="CX389" s="15"/>
      <c r="CY389" s="19"/>
      <c r="CZ389" s="15"/>
      <c r="DA389" s="16" t="s">
        <v>197</v>
      </c>
      <c r="DB389" s="17" t="s">
        <v>228</v>
      </c>
      <c r="DC389" s="16"/>
      <c r="DD389" s="17" t="s">
        <v>228</v>
      </c>
      <c r="DE389" s="23"/>
      <c r="DF389" s="17" t="s">
        <v>228</v>
      </c>
      <c r="DG389" s="23"/>
      <c r="DH389" s="13" t="s">
        <v>205</v>
      </c>
      <c r="DI389" s="14" t="s">
        <v>179</v>
      </c>
      <c r="DJ389" s="14" t="s">
        <v>10519</v>
      </c>
      <c r="DK389" s="14" t="s">
        <v>179</v>
      </c>
      <c r="DL389" s="14" t="s">
        <v>10519</v>
      </c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6" t="s">
        <v>197</v>
      </c>
      <c r="ED389" s="17" t="s">
        <v>198</v>
      </c>
      <c r="EE389" s="18">
        <v>45722.38207175926</v>
      </c>
      <c r="EF389" s="13" t="s">
        <v>209</v>
      </c>
      <c r="EG389" s="14" t="s">
        <v>179</v>
      </c>
      <c r="EH389" s="14" t="s">
        <v>10520</v>
      </c>
      <c r="EI389" s="14" t="s">
        <v>179</v>
      </c>
      <c r="EJ389" s="14" t="s">
        <v>10520</v>
      </c>
      <c r="EK389" s="15"/>
      <c r="EL389" s="15"/>
      <c r="EM389" s="15"/>
      <c r="EN389" s="15"/>
      <c r="EO389" s="15"/>
      <c r="EP389" s="15"/>
      <c r="EQ389" s="15"/>
      <c r="ER389" s="15"/>
      <c r="ES389" s="15"/>
      <c r="ET389" s="15"/>
      <c r="EU389" s="15"/>
      <c r="EV389" s="15"/>
      <c r="EW389" s="15"/>
      <c r="EX389" s="15"/>
      <c r="EY389" s="15"/>
      <c r="EZ389" s="15"/>
      <c r="FA389" s="15"/>
      <c r="FB389" s="15"/>
      <c r="FC389" s="16" t="s">
        <v>197</v>
      </c>
      <c r="FD389" s="17" t="s">
        <v>198</v>
      </c>
      <c r="FE389" s="18">
        <v>45722.38216435185</v>
      </c>
      <c r="FF389" s="19"/>
      <c r="FG389" s="19"/>
      <c r="FH389" s="21" t="s">
        <v>197</v>
      </c>
      <c r="FI389" s="17" t="s">
        <v>214</v>
      </c>
      <c r="FJ389" s="18">
        <v>45722.38216435185</v>
      </c>
      <c r="FK389" s="14" t="s">
        <v>10520</v>
      </c>
      <c r="FL389" s="19"/>
      <c r="FM389" s="19"/>
      <c r="FN389" s="19"/>
      <c r="FO389" s="19"/>
      <c r="FP389" s="19" t="str">
        <f t="shared" si="1"/>
        <v/>
      </c>
      <c r="FQ389" s="14" t="s">
        <v>215</v>
      </c>
      <c r="FR389" s="14" t="s">
        <v>10521</v>
      </c>
    </row>
    <row r="390" ht="15.75" customHeight="1">
      <c r="A390" s="12" t="s">
        <v>10412</v>
      </c>
      <c r="B390" s="12" t="s">
        <v>10522</v>
      </c>
      <c r="C390" s="12" t="s">
        <v>10523</v>
      </c>
      <c r="D390" s="12" t="s">
        <v>10524</v>
      </c>
      <c r="E390" s="12" t="s">
        <v>10525</v>
      </c>
      <c r="F390" s="13" t="s">
        <v>178</v>
      </c>
      <c r="G390" s="14" t="s">
        <v>179</v>
      </c>
      <c r="H390" s="14" t="s">
        <v>10526</v>
      </c>
      <c r="I390" s="14" t="s">
        <v>179</v>
      </c>
      <c r="J390" s="14" t="s">
        <v>10527</v>
      </c>
      <c r="K390" s="14" t="s">
        <v>179</v>
      </c>
      <c r="L390" s="14" t="s">
        <v>10528</v>
      </c>
      <c r="M390" s="14" t="s">
        <v>188</v>
      </c>
      <c r="N390" s="14" t="s">
        <v>10529</v>
      </c>
      <c r="O390" s="14" t="s">
        <v>188</v>
      </c>
      <c r="P390" s="14" t="s">
        <v>10530</v>
      </c>
      <c r="Q390" s="14" t="s">
        <v>179</v>
      </c>
      <c r="R390" s="14" t="s">
        <v>10531</v>
      </c>
      <c r="S390" s="14" t="s">
        <v>179</v>
      </c>
      <c r="T390" s="14" t="s">
        <v>10532</v>
      </c>
      <c r="U390" s="14" t="s">
        <v>179</v>
      </c>
      <c r="V390" s="14" t="s">
        <v>10533</v>
      </c>
      <c r="W390" s="14" t="s">
        <v>188</v>
      </c>
      <c r="X390" s="14" t="s">
        <v>10534</v>
      </c>
      <c r="Y390" s="14" t="s">
        <v>188</v>
      </c>
      <c r="Z390" s="14" t="s">
        <v>10535</v>
      </c>
      <c r="AA390" s="14" t="s">
        <v>188</v>
      </c>
      <c r="AB390" s="14" t="s">
        <v>10536</v>
      </c>
      <c r="AC390" s="14" t="s">
        <v>179</v>
      </c>
      <c r="AD390" s="14" t="s">
        <v>10537</v>
      </c>
      <c r="AE390" s="14" t="s">
        <v>179</v>
      </c>
      <c r="AF390" s="14" t="s">
        <v>10538</v>
      </c>
      <c r="AG390" s="14" t="s">
        <v>179</v>
      </c>
      <c r="AH390" s="14" t="s">
        <v>10539</v>
      </c>
      <c r="AI390" s="14" t="s">
        <v>179</v>
      </c>
      <c r="AJ390" s="14" t="s">
        <v>10540</v>
      </c>
      <c r="AK390" s="14" t="s">
        <v>179</v>
      </c>
      <c r="AL390" s="14" t="s">
        <v>10541</v>
      </c>
      <c r="AM390" s="14" t="s">
        <v>179</v>
      </c>
      <c r="AN390" s="14" t="s">
        <v>10542</v>
      </c>
      <c r="AO390" s="14" t="s">
        <v>179</v>
      </c>
      <c r="AP390" s="14" t="s">
        <v>10543</v>
      </c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6" t="s">
        <v>197</v>
      </c>
      <c r="BP390" s="17" t="s">
        <v>198</v>
      </c>
      <c r="BQ390" s="18">
        <v>45714.525196759256</v>
      </c>
      <c r="BR390" s="17" t="s">
        <v>198</v>
      </c>
      <c r="BS390" s="18">
        <v>45714.52537037037</v>
      </c>
      <c r="BT390" s="17" t="s">
        <v>198</v>
      </c>
      <c r="BU390" s="18">
        <v>45714.52537037037</v>
      </c>
      <c r="BV390" s="13" t="s">
        <v>199</v>
      </c>
      <c r="BW390" s="14" t="s">
        <v>188</v>
      </c>
      <c r="BX390" s="14" t="s">
        <v>10544</v>
      </c>
      <c r="BY390" s="14" t="s">
        <v>188</v>
      </c>
      <c r="BZ390" s="14" t="s">
        <v>10545</v>
      </c>
      <c r="CA390" s="14" t="s">
        <v>179</v>
      </c>
      <c r="CB390" s="14" t="s">
        <v>10546</v>
      </c>
      <c r="CC390" s="14" t="s">
        <v>179</v>
      </c>
      <c r="CD390" s="14" t="s">
        <v>10547</v>
      </c>
      <c r="CE390" s="14" t="s">
        <v>179</v>
      </c>
      <c r="CF390" s="14" t="s">
        <v>10548</v>
      </c>
      <c r="CG390" s="19"/>
      <c r="CH390" s="15"/>
      <c r="CI390" s="19"/>
      <c r="CJ390" s="15"/>
      <c r="CK390" s="19"/>
      <c r="CL390" s="15"/>
      <c r="CM390" s="19"/>
      <c r="CN390" s="15"/>
      <c r="CO390" s="19"/>
      <c r="CP390" s="15"/>
      <c r="CQ390" s="15"/>
      <c r="CR390" s="15"/>
      <c r="CS390" s="19"/>
      <c r="CT390" s="15"/>
      <c r="CU390" s="19"/>
      <c r="CV390" s="15"/>
      <c r="CW390" s="19"/>
      <c r="CX390" s="15"/>
      <c r="CY390" s="19"/>
      <c r="CZ390" s="15"/>
      <c r="DA390" s="16" t="s">
        <v>197</v>
      </c>
      <c r="DB390" s="17" t="s">
        <v>198</v>
      </c>
      <c r="DC390" s="20">
        <v>45714.52547453704</v>
      </c>
      <c r="DD390" s="17" t="s">
        <v>198</v>
      </c>
      <c r="DE390" s="18">
        <v>45714.52560185185</v>
      </c>
      <c r="DF390" s="17" t="s">
        <v>198</v>
      </c>
      <c r="DG390" s="18">
        <v>45714.52560185185</v>
      </c>
      <c r="DH390" s="13" t="s">
        <v>205</v>
      </c>
      <c r="DI390" s="14" t="s">
        <v>179</v>
      </c>
      <c r="DJ390" s="14" t="s">
        <v>10549</v>
      </c>
      <c r="DK390" s="14" t="s">
        <v>179</v>
      </c>
      <c r="DL390" s="14" t="s">
        <v>10550</v>
      </c>
      <c r="DM390" s="14" t="s">
        <v>179</v>
      </c>
      <c r="DN390" s="14" t="s">
        <v>10551</v>
      </c>
      <c r="DO390" s="14" t="s">
        <v>179</v>
      </c>
      <c r="DP390" s="14" t="s">
        <v>10551</v>
      </c>
      <c r="DQ390" s="15"/>
      <c r="DR390" s="15"/>
      <c r="DS390" s="15"/>
      <c r="DT390" s="15"/>
      <c r="DU390" s="15"/>
      <c r="DV390" s="15"/>
      <c r="DW390" s="15"/>
      <c r="DX390" s="15"/>
      <c r="DY390" s="15"/>
      <c r="DZ390" s="15"/>
      <c r="EA390" s="15"/>
      <c r="EB390" s="15"/>
      <c r="EC390" s="16" t="s">
        <v>197</v>
      </c>
      <c r="ED390" s="17" t="s">
        <v>198</v>
      </c>
      <c r="EE390" s="18">
        <v>45719.46414351852</v>
      </c>
      <c r="EF390" s="13" t="s">
        <v>209</v>
      </c>
      <c r="EG390" s="14" t="s">
        <v>179</v>
      </c>
      <c r="EH390" s="14" t="s">
        <v>10552</v>
      </c>
      <c r="EI390" s="14" t="s">
        <v>179</v>
      </c>
      <c r="EJ390" s="14" t="s">
        <v>10553</v>
      </c>
      <c r="EK390" s="14" t="s">
        <v>179</v>
      </c>
      <c r="EL390" s="14" t="s">
        <v>10554</v>
      </c>
      <c r="EM390" s="14" t="s">
        <v>179</v>
      </c>
      <c r="EN390" s="14" t="s">
        <v>10555</v>
      </c>
      <c r="EO390" s="15"/>
      <c r="EP390" s="15"/>
      <c r="EQ390" s="15"/>
      <c r="ER390" s="15"/>
      <c r="ES390" s="15"/>
      <c r="ET390" s="15"/>
      <c r="EU390" s="15"/>
      <c r="EV390" s="15"/>
      <c r="EW390" s="15"/>
      <c r="EX390" s="15"/>
      <c r="EY390" s="15"/>
      <c r="EZ390" s="15"/>
      <c r="FA390" s="15"/>
      <c r="FB390" s="15"/>
      <c r="FC390" s="16" t="s">
        <v>197</v>
      </c>
      <c r="FD390" s="17" t="s">
        <v>198</v>
      </c>
      <c r="FE390" s="18">
        <v>45719.67225694445</v>
      </c>
      <c r="FF390" s="19"/>
      <c r="FG390" s="19"/>
      <c r="FH390" s="21" t="s">
        <v>197</v>
      </c>
      <c r="FI390" s="17" t="s">
        <v>214</v>
      </c>
      <c r="FJ390" s="18">
        <v>45719.67225694445</v>
      </c>
      <c r="FK390" s="14" t="s">
        <v>10555</v>
      </c>
      <c r="FL390" s="19"/>
      <c r="FM390" s="19"/>
      <c r="FN390" s="19"/>
      <c r="FO390" s="19"/>
      <c r="FP390" s="19" t="str">
        <f t="shared" si="1"/>
        <v/>
      </c>
      <c r="FQ390" s="14" t="s">
        <v>215</v>
      </c>
      <c r="FR390" s="14" t="s">
        <v>10556</v>
      </c>
    </row>
    <row r="391" ht="15.75" customHeight="1">
      <c r="A391" s="12" t="s">
        <v>217</v>
      </c>
      <c r="B391" s="12" t="s">
        <v>10557</v>
      </c>
      <c r="C391" s="12" t="s">
        <v>10558</v>
      </c>
      <c r="D391" s="12" t="s">
        <v>10559</v>
      </c>
      <c r="E391" s="12" t="s">
        <v>10560</v>
      </c>
      <c r="F391" s="13" t="s">
        <v>178</v>
      </c>
      <c r="G391" s="14" t="s">
        <v>179</v>
      </c>
      <c r="H391" s="14" t="s">
        <v>10561</v>
      </c>
      <c r="I391" s="14" t="s">
        <v>179</v>
      </c>
      <c r="J391" s="14" t="s">
        <v>10562</v>
      </c>
      <c r="K391" s="14" t="s">
        <v>179</v>
      </c>
      <c r="L391" s="14" t="s">
        <v>10563</v>
      </c>
      <c r="M391" s="14" t="s">
        <v>179</v>
      </c>
      <c r="N391" s="14" t="s">
        <v>10564</v>
      </c>
      <c r="O391" s="14" t="s">
        <v>179</v>
      </c>
      <c r="P391" s="14" t="s">
        <v>10565</v>
      </c>
      <c r="Q391" s="14" t="s">
        <v>179</v>
      </c>
      <c r="R391" s="14" t="s">
        <v>10566</v>
      </c>
      <c r="S391" s="14" t="s">
        <v>179</v>
      </c>
      <c r="T391" s="14" t="s">
        <v>10567</v>
      </c>
      <c r="U391" s="14" t="s">
        <v>179</v>
      </c>
      <c r="V391" s="14" t="s">
        <v>10568</v>
      </c>
      <c r="W391" s="14" t="s">
        <v>179</v>
      </c>
      <c r="X391" s="14" t="s">
        <v>10569</v>
      </c>
      <c r="Y391" s="14" t="s">
        <v>179</v>
      </c>
      <c r="Z391" s="14" t="s">
        <v>10570</v>
      </c>
      <c r="AA391" s="14" t="s">
        <v>179</v>
      </c>
      <c r="AB391" s="14" t="s">
        <v>10571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6" t="s">
        <v>197</v>
      </c>
      <c r="BP391" s="17" t="s">
        <v>198</v>
      </c>
      <c r="BQ391" s="18">
        <v>45694.49065972222</v>
      </c>
      <c r="BR391" s="17" t="s">
        <v>198</v>
      </c>
      <c r="BS391" s="18">
        <v>45694.490694444445</v>
      </c>
      <c r="BT391" s="17" t="s">
        <v>198</v>
      </c>
      <c r="BU391" s="18">
        <v>45694.490694444445</v>
      </c>
      <c r="BV391" s="13" t="s">
        <v>199</v>
      </c>
      <c r="BW391" s="14" t="s">
        <v>179</v>
      </c>
      <c r="BX391" s="14" t="s">
        <v>10572</v>
      </c>
      <c r="BY391" s="14" t="s">
        <v>179</v>
      </c>
      <c r="BZ391" s="14" t="s">
        <v>10573</v>
      </c>
      <c r="CA391" s="14" t="s">
        <v>179</v>
      </c>
      <c r="CB391" s="14" t="s">
        <v>10574</v>
      </c>
      <c r="CC391" s="15"/>
      <c r="CD391" s="15"/>
      <c r="CE391" s="15"/>
      <c r="CF391" s="15"/>
      <c r="CG391" s="19"/>
      <c r="CH391" s="15"/>
      <c r="CI391" s="19"/>
      <c r="CJ391" s="15"/>
      <c r="CK391" s="19"/>
      <c r="CL391" s="15"/>
      <c r="CM391" s="19"/>
      <c r="CN391" s="15"/>
      <c r="CO391" s="19"/>
      <c r="CP391" s="15"/>
      <c r="CQ391" s="15"/>
      <c r="CR391" s="15"/>
      <c r="CS391" s="19"/>
      <c r="CT391" s="15"/>
      <c r="CU391" s="19"/>
      <c r="CV391" s="15"/>
      <c r="CW391" s="19"/>
      <c r="CX391" s="15"/>
      <c r="CY391" s="19"/>
      <c r="CZ391" s="15"/>
      <c r="DA391" s="16" t="s">
        <v>197</v>
      </c>
      <c r="DB391" s="17" t="s">
        <v>228</v>
      </c>
      <c r="DC391" s="16"/>
      <c r="DD391" s="17" t="s">
        <v>198</v>
      </c>
      <c r="DE391" s="18">
        <v>45694.49321759259</v>
      </c>
      <c r="DF391" s="17" t="s">
        <v>198</v>
      </c>
      <c r="DG391" s="18">
        <v>45694.49321759259</v>
      </c>
      <c r="DH391" s="13" t="s">
        <v>205</v>
      </c>
      <c r="DI391" s="14" t="s">
        <v>179</v>
      </c>
      <c r="DJ391" s="14" t="s">
        <v>10575</v>
      </c>
      <c r="DK391" s="14" t="s">
        <v>179</v>
      </c>
      <c r="DL391" s="14" t="s">
        <v>10576</v>
      </c>
      <c r="DM391" s="14" t="s">
        <v>179</v>
      </c>
      <c r="DN391" s="14" t="s">
        <v>10575</v>
      </c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6" t="s">
        <v>197</v>
      </c>
      <c r="ED391" s="17" t="s">
        <v>198</v>
      </c>
      <c r="EE391" s="18">
        <v>45694.49334490741</v>
      </c>
      <c r="EF391" s="13" t="s">
        <v>209</v>
      </c>
      <c r="EG391" s="14" t="s">
        <v>179</v>
      </c>
      <c r="EH391" s="14" t="s">
        <v>10577</v>
      </c>
      <c r="EI391" s="14" t="s">
        <v>179</v>
      </c>
      <c r="EJ391" s="14" t="s">
        <v>10577</v>
      </c>
      <c r="EK391" s="14" t="s">
        <v>179</v>
      </c>
      <c r="EL391" s="14" t="s">
        <v>10578</v>
      </c>
      <c r="EM391" s="14" t="s">
        <v>179</v>
      </c>
      <c r="EN391" s="14" t="s">
        <v>10579</v>
      </c>
      <c r="EO391" s="15"/>
      <c r="EP391" s="15"/>
      <c r="EQ391" s="15"/>
      <c r="ER391" s="15"/>
      <c r="ES391" s="15"/>
      <c r="ET391" s="15"/>
      <c r="EU391" s="15"/>
      <c r="EV391" s="15"/>
      <c r="EW391" s="15"/>
      <c r="EX391" s="15"/>
      <c r="EY391" s="15"/>
      <c r="EZ391" s="15"/>
      <c r="FA391" s="15"/>
      <c r="FB391" s="15"/>
      <c r="FC391" s="16" t="s">
        <v>197</v>
      </c>
      <c r="FD391" s="17" t="s">
        <v>198</v>
      </c>
      <c r="FE391" s="18">
        <v>45722.365578703706</v>
      </c>
      <c r="FF391" s="19"/>
      <c r="FG391" s="19"/>
      <c r="FH391" s="21" t="s">
        <v>197</v>
      </c>
      <c r="FI391" s="17" t="s">
        <v>214</v>
      </c>
      <c r="FJ391" s="18">
        <v>45722.365578703706</v>
      </c>
      <c r="FK391" s="14" t="s">
        <v>10579</v>
      </c>
      <c r="FL391" s="14" t="s">
        <v>10580</v>
      </c>
      <c r="FM391" s="14" t="s">
        <v>10581</v>
      </c>
      <c r="FN391" s="19"/>
      <c r="FO391" s="19"/>
      <c r="FP391" s="19" t="str">
        <f t="shared" si="1"/>
        <v>Base de Dados_Images/ITI-70A-086A-049-CP9701.Imagem do Equipamento-.151107.jpg</v>
      </c>
      <c r="FQ391" s="19"/>
      <c r="FR391" s="19"/>
    </row>
    <row r="392" ht="15.75" customHeight="1">
      <c r="A392" s="12" t="s">
        <v>217</v>
      </c>
      <c r="B392" s="12" t="s">
        <v>10557</v>
      </c>
      <c r="C392" s="12" t="s">
        <v>10558</v>
      </c>
      <c r="D392" s="12" t="s">
        <v>10582</v>
      </c>
      <c r="E392" s="12" t="s">
        <v>10583</v>
      </c>
      <c r="F392" s="13" t="s">
        <v>178</v>
      </c>
      <c r="G392" s="14" t="s">
        <v>179</v>
      </c>
      <c r="H392" s="14" t="s">
        <v>10584</v>
      </c>
      <c r="I392" s="14" t="s">
        <v>179</v>
      </c>
      <c r="J392" s="14" t="s">
        <v>10585</v>
      </c>
      <c r="K392" s="14" t="s">
        <v>179</v>
      </c>
      <c r="L392" s="14" t="s">
        <v>10586</v>
      </c>
      <c r="M392" s="14" t="s">
        <v>179</v>
      </c>
      <c r="N392" s="14" t="s">
        <v>10587</v>
      </c>
      <c r="O392" s="14" t="s">
        <v>179</v>
      </c>
      <c r="P392" s="14" t="s">
        <v>10588</v>
      </c>
      <c r="Q392" s="14" t="s">
        <v>179</v>
      </c>
      <c r="R392" s="14" t="s">
        <v>10589</v>
      </c>
      <c r="S392" s="14" t="s">
        <v>179</v>
      </c>
      <c r="T392" s="14" t="s">
        <v>10590</v>
      </c>
      <c r="U392" s="14" t="s">
        <v>179</v>
      </c>
      <c r="V392" s="14" t="s">
        <v>10591</v>
      </c>
      <c r="W392" s="14" t="s">
        <v>179</v>
      </c>
      <c r="X392" s="14" t="s">
        <v>10592</v>
      </c>
      <c r="Y392" s="14" t="s">
        <v>179</v>
      </c>
      <c r="Z392" s="14" t="s">
        <v>10593</v>
      </c>
      <c r="AA392" s="14" t="s">
        <v>179</v>
      </c>
      <c r="AB392" s="14" t="s">
        <v>10594</v>
      </c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6" t="s">
        <v>197</v>
      </c>
      <c r="BP392" s="17" t="s">
        <v>198</v>
      </c>
      <c r="BQ392" s="18">
        <v>45694.49358796296</v>
      </c>
      <c r="BR392" s="17" t="s">
        <v>198</v>
      </c>
      <c r="BS392" s="18">
        <v>45694.49365740741</v>
      </c>
      <c r="BT392" s="17" t="s">
        <v>198</v>
      </c>
      <c r="BU392" s="18">
        <v>45694.49365740741</v>
      </c>
      <c r="BV392" s="13" t="s">
        <v>199</v>
      </c>
      <c r="BW392" s="14" t="s">
        <v>179</v>
      </c>
      <c r="BX392" s="14" t="s">
        <v>10595</v>
      </c>
      <c r="BY392" s="14" t="s">
        <v>179</v>
      </c>
      <c r="BZ392" s="14" t="s">
        <v>10595</v>
      </c>
      <c r="CA392" s="14" t="s">
        <v>179</v>
      </c>
      <c r="CB392" s="14" t="s">
        <v>10596</v>
      </c>
      <c r="CC392" s="15"/>
      <c r="CD392" s="15"/>
      <c r="CE392" s="15"/>
      <c r="CF392" s="15"/>
      <c r="CG392" s="19"/>
      <c r="CH392" s="15"/>
      <c r="CI392" s="19"/>
      <c r="CJ392" s="15"/>
      <c r="CK392" s="19"/>
      <c r="CL392" s="15"/>
      <c r="CM392" s="19"/>
      <c r="CN392" s="15"/>
      <c r="CO392" s="19"/>
      <c r="CP392" s="15"/>
      <c r="CQ392" s="15"/>
      <c r="CR392" s="15"/>
      <c r="CS392" s="19"/>
      <c r="CT392" s="15"/>
      <c r="CU392" s="19"/>
      <c r="CV392" s="15"/>
      <c r="CW392" s="19"/>
      <c r="CX392" s="15"/>
      <c r="CY392" s="19"/>
      <c r="CZ392" s="15"/>
      <c r="DA392" s="16" t="s">
        <v>197</v>
      </c>
      <c r="DB392" s="17" t="s">
        <v>228</v>
      </c>
      <c r="DC392" s="16"/>
      <c r="DD392" s="17" t="s">
        <v>198</v>
      </c>
      <c r="DE392" s="18">
        <v>45694.49376157407</v>
      </c>
      <c r="DF392" s="17" t="s">
        <v>198</v>
      </c>
      <c r="DG392" s="18">
        <v>45694.49376157407</v>
      </c>
      <c r="DH392" s="13" t="s">
        <v>205</v>
      </c>
      <c r="DI392" s="14" t="s">
        <v>179</v>
      </c>
      <c r="DJ392" s="14" t="s">
        <v>10597</v>
      </c>
      <c r="DK392" s="14" t="s">
        <v>179</v>
      </c>
      <c r="DL392" s="14" t="s">
        <v>10598</v>
      </c>
      <c r="DM392" s="14" t="s">
        <v>179</v>
      </c>
      <c r="DN392" s="14" t="s">
        <v>10599</v>
      </c>
      <c r="DO392" s="15"/>
      <c r="DP392" s="15"/>
      <c r="DQ392" s="15"/>
      <c r="DR392" s="15"/>
      <c r="DS392" s="15"/>
      <c r="DT392" s="15"/>
      <c r="DU392" s="15"/>
      <c r="DV392" s="15"/>
      <c r="DW392" s="15"/>
      <c r="DX392" s="15"/>
      <c r="DY392" s="15"/>
      <c r="DZ392" s="15"/>
      <c r="EA392" s="15"/>
      <c r="EB392" s="15"/>
      <c r="EC392" s="16" t="s">
        <v>197</v>
      </c>
      <c r="ED392" s="17" t="s">
        <v>198</v>
      </c>
      <c r="EE392" s="18">
        <v>45694.49387731482</v>
      </c>
      <c r="EF392" s="13" t="s">
        <v>209</v>
      </c>
      <c r="EG392" s="14" t="s">
        <v>179</v>
      </c>
      <c r="EH392" s="14" t="s">
        <v>10600</v>
      </c>
      <c r="EI392" s="14" t="s">
        <v>179</v>
      </c>
      <c r="EJ392" s="14" t="s">
        <v>10601</v>
      </c>
      <c r="EK392" s="14" t="s">
        <v>179</v>
      </c>
      <c r="EL392" s="14" t="s">
        <v>10602</v>
      </c>
      <c r="EM392" s="14" t="s">
        <v>179</v>
      </c>
      <c r="EN392" s="14" t="s">
        <v>10602</v>
      </c>
      <c r="EO392" s="15"/>
      <c r="EP392" s="15"/>
      <c r="EQ392" s="15"/>
      <c r="ER392" s="15"/>
      <c r="ES392" s="15"/>
      <c r="ET392" s="15"/>
      <c r="EU392" s="15"/>
      <c r="EV392" s="15"/>
      <c r="EW392" s="15"/>
      <c r="EX392" s="15"/>
      <c r="EY392" s="15"/>
      <c r="EZ392" s="15"/>
      <c r="FA392" s="15"/>
      <c r="FB392" s="15"/>
      <c r="FC392" s="16" t="s">
        <v>197</v>
      </c>
      <c r="FD392" s="17" t="s">
        <v>198</v>
      </c>
      <c r="FE392" s="18">
        <v>45722.36565972222</v>
      </c>
      <c r="FF392" s="19"/>
      <c r="FG392" s="19"/>
      <c r="FH392" s="21" t="s">
        <v>197</v>
      </c>
      <c r="FI392" s="17" t="s">
        <v>214</v>
      </c>
      <c r="FJ392" s="18">
        <v>45722.36565972222</v>
      </c>
      <c r="FK392" s="14" t="s">
        <v>10602</v>
      </c>
      <c r="FL392" s="14" t="s">
        <v>10603</v>
      </c>
      <c r="FM392" s="14" t="s">
        <v>10604</v>
      </c>
      <c r="FN392" s="19"/>
      <c r="FO392" s="19"/>
      <c r="FP392" s="19" t="str">
        <f t="shared" si="1"/>
        <v>Base de Dados_Images/ITI-70A-086A-049-CP9702.Imagem do Equipamento-.151201.jpg</v>
      </c>
      <c r="FQ392" s="19"/>
      <c r="FR392" s="19"/>
    </row>
    <row r="393" ht="15.75" customHeight="1">
      <c r="A393" s="12" t="s">
        <v>7459</v>
      </c>
      <c r="B393" s="12" t="s">
        <v>10605</v>
      </c>
      <c r="C393" s="12" t="s">
        <v>10558</v>
      </c>
      <c r="D393" s="12" t="s">
        <v>10606</v>
      </c>
      <c r="E393" s="12" t="s">
        <v>10607</v>
      </c>
      <c r="F393" s="13" t="s">
        <v>178</v>
      </c>
      <c r="G393" s="14" t="s">
        <v>179</v>
      </c>
      <c r="H393" s="14" t="s">
        <v>10608</v>
      </c>
      <c r="I393" s="14" t="s">
        <v>179</v>
      </c>
      <c r="J393" s="14" t="s">
        <v>10609</v>
      </c>
      <c r="K393" s="14" t="s">
        <v>179</v>
      </c>
      <c r="L393" s="14" t="s">
        <v>10610</v>
      </c>
      <c r="M393" s="14" t="s">
        <v>179</v>
      </c>
      <c r="N393" s="14" t="s">
        <v>10610</v>
      </c>
      <c r="O393" s="14" t="s">
        <v>179</v>
      </c>
      <c r="P393" s="14" t="s">
        <v>10611</v>
      </c>
      <c r="Q393" s="14" t="s">
        <v>179</v>
      </c>
      <c r="R393" s="14" t="s">
        <v>10612</v>
      </c>
      <c r="S393" s="14" t="s">
        <v>179</v>
      </c>
      <c r="T393" s="14" t="s">
        <v>10613</v>
      </c>
      <c r="U393" s="14" t="s">
        <v>179</v>
      </c>
      <c r="V393" s="14" t="s">
        <v>10614</v>
      </c>
      <c r="W393" s="14" t="s">
        <v>179</v>
      </c>
      <c r="X393" s="14" t="s">
        <v>10615</v>
      </c>
      <c r="Y393" s="14" t="s">
        <v>179</v>
      </c>
      <c r="Z393" s="14" t="s">
        <v>10616</v>
      </c>
      <c r="AA393" s="14" t="s">
        <v>179</v>
      </c>
      <c r="AB393" s="14" t="s">
        <v>10617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6" t="s">
        <v>197</v>
      </c>
      <c r="BP393" s="17" t="s">
        <v>198</v>
      </c>
      <c r="BQ393" s="18">
        <v>45699.356516203705</v>
      </c>
      <c r="BR393" s="17" t="s">
        <v>198</v>
      </c>
      <c r="BS393" s="18">
        <v>45699.356574074074</v>
      </c>
      <c r="BT393" s="17" t="s">
        <v>198</v>
      </c>
      <c r="BU393" s="18">
        <v>45699.356574074074</v>
      </c>
      <c r="BV393" s="13" t="s">
        <v>199</v>
      </c>
      <c r="BW393" s="14" t="s">
        <v>188</v>
      </c>
      <c r="BX393" s="14" t="s">
        <v>10618</v>
      </c>
      <c r="BY393" s="14" t="s">
        <v>179</v>
      </c>
      <c r="BZ393" s="14" t="s">
        <v>10619</v>
      </c>
      <c r="CA393" s="14" t="s">
        <v>179</v>
      </c>
      <c r="CB393" s="14" t="s">
        <v>10620</v>
      </c>
      <c r="CC393" s="15"/>
      <c r="CD393" s="15"/>
      <c r="CE393" s="15"/>
      <c r="CF393" s="15"/>
      <c r="CG393" s="19"/>
      <c r="CH393" s="15"/>
      <c r="CI393" s="19"/>
      <c r="CJ393" s="15"/>
      <c r="CK393" s="19"/>
      <c r="CL393" s="15"/>
      <c r="CM393" s="19"/>
      <c r="CN393" s="15"/>
      <c r="CO393" s="19"/>
      <c r="CP393" s="15"/>
      <c r="CQ393" s="15"/>
      <c r="CR393" s="15"/>
      <c r="CS393" s="19"/>
      <c r="CT393" s="15"/>
      <c r="CU393" s="19"/>
      <c r="CV393" s="15"/>
      <c r="CW393" s="19"/>
      <c r="CX393" s="15"/>
      <c r="CY393" s="19"/>
      <c r="CZ393" s="15"/>
      <c r="DA393" s="16" t="s">
        <v>197</v>
      </c>
      <c r="DB393" s="17" t="s">
        <v>228</v>
      </c>
      <c r="DC393" s="16"/>
      <c r="DD393" s="17" t="s">
        <v>198</v>
      </c>
      <c r="DE393" s="18">
        <v>45714.523506944446</v>
      </c>
      <c r="DF393" s="17" t="s">
        <v>198</v>
      </c>
      <c r="DG393" s="18">
        <v>45714.523506944446</v>
      </c>
      <c r="DH393" s="13" t="s">
        <v>205</v>
      </c>
      <c r="DI393" s="14" t="s">
        <v>179</v>
      </c>
      <c r="DJ393" s="14" t="s">
        <v>10621</v>
      </c>
      <c r="DK393" s="14" t="s">
        <v>179</v>
      </c>
      <c r="DL393" s="14" t="s">
        <v>10622</v>
      </c>
      <c r="DM393" s="14" t="s">
        <v>179</v>
      </c>
      <c r="DN393" s="14" t="s">
        <v>10623</v>
      </c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6" t="s">
        <v>197</v>
      </c>
      <c r="ED393" s="17" t="s">
        <v>198</v>
      </c>
      <c r="EE393" s="18">
        <v>45719.9855787037</v>
      </c>
      <c r="EF393" s="13" t="s">
        <v>209</v>
      </c>
      <c r="EG393" s="14" t="s">
        <v>179</v>
      </c>
      <c r="EH393" s="14" t="s">
        <v>10624</v>
      </c>
      <c r="EI393" s="14" t="s">
        <v>179</v>
      </c>
      <c r="EJ393" s="14" t="s">
        <v>10625</v>
      </c>
      <c r="EK393" s="14" t="s">
        <v>179</v>
      </c>
      <c r="EL393" s="14" t="s">
        <v>10626</v>
      </c>
      <c r="EM393" s="14" t="s">
        <v>179</v>
      </c>
      <c r="EN393" s="14" t="s">
        <v>10626</v>
      </c>
      <c r="EO393" s="15"/>
      <c r="EP393" s="15"/>
      <c r="EQ393" s="15"/>
      <c r="ER393" s="15"/>
      <c r="ES393" s="15"/>
      <c r="ET393" s="15"/>
      <c r="EU393" s="15"/>
      <c r="EV393" s="15"/>
      <c r="EW393" s="15"/>
      <c r="EX393" s="15"/>
      <c r="EY393" s="15"/>
      <c r="EZ393" s="15"/>
      <c r="FA393" s="15"/>
      <c r="FB393" s="15"/>
      <c r="FC393" s="16" t="s">
        <v>197</v>
      </c>
      <c r="FD393" s="17" t="s">
        <v>198</v>
      </c>
      <c r="FE393" s="18">
        <v>45723.549733796295</v>
      </c>
      <c r="FF393" s="19"/>
      <c r="FG393" s="19"/>
      <c r="FH393" s="21" t="s">
        <v>197</v>
      </c>
      <c r="FI393" s="17" t="s">
        <v>214</v>
      </c>
      <c r="FJ393" s="18">
        <v>45723.549733796295</v>
      </c>
      <c r="FK393" s="14" t="s">
        <v>10626</v>
      </c>
      <c r="FL393" s="14" t="s">
        <v>10627</v>
      </c>
      <c r="FM393" s="14" t="s">
        <v>10628</v>
      </c>
      <c r="FN393" s="19"/>
      <c r="FO393" s="19"/>
      <c r="FP393" s="19" t="str">
        <f t="shared" si="1"/>
        <v>Base de Dados_Images/ITI-70A-086A-049-CP9705.Imagem do Equipamento-.114237.jpg</v>
      </c>
      <c r="FQ393" s="14"/>
      <c r="FR393" s="14"/>
    </row>
    <row r="394" ht="15.75" customHeight="1">
      <c r="A394" s="12" t="s">
        <v>357</v>
      </c>
      <c r="B394" s="12" t="s">
        <v>10629</v>
      </c>
      <c r="C394" s="12" t="s">
        <v>10558</v>
      </c>
      <c r="D394" s="12" t="s">
        <v>10630</v>
      </c>
      <c r="E394" s="12" t="s">
        <v>10631</v>
      </c>
      <c r="F394" s="13" t="s">
        <v>178</v>
      </c>
      <c r="G394" s="14" t="s">
        <v>179</v>
      </c>
      <c r="H394" s="14" t="s">
        <v>10632</v>
      </c>
      <c r="I394" s="14" t="s">
        <v>179</v>
      </c>
      <c r="J394" s="14" t="s">
        <v>10632</v>
      </c>
      <c r="K394" s="14" t="s">
        <v>179</v>
      </c>
      <c r="L394" s="14" t="s">
        <v>10633</v>
      </c>
      <c r="M394" s="14" t="s">
        <v>179</v>
      </c>
      <c r="N394" s="14" t="s">
        <v>10634</v>
      </c>
      <c r="O394" s="14" t="s">
        <v>179</v>
      </c>
      <c r="P394" s="14" t="s">
        <v>10635</v>
      </c>
      <c r="Q394" s="14" t="s">
        <v>179</v>
      </c>
      <c r="R394" s="14" t="s">
        <v>10636</v>
      </c>
      <c r="S394" s="14" t="s">
        <v>179</v>
      </c>
      <c r="T394" s="14" t="s">
        <v>10636</v>
      </c>
      <c r="U394" s="14" t="s">
        <v>179</v>
      </c>
      <c r="V394" s="14" t="s">
        <v>10637</v>
      </c>
      <c r="W394" s="14" t="s">
        <v>179</v>
      </c>
      <c r="X394" s="14" t="s">
        <v>10638</v>
      </c>
      <c r="Y394" s="14" t="s">
        <v>179</v>
      </c>
      <c r="Z394" s="14" t="s">
        <v>10639</v>
      </c>
      <c r="AA394" s="14" t="s">
        <v>179</v>
      </c>
      <c r="AB394" s="14" t="s">
        <v>10640</v>
      </c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6" t="s">
        <v>197</v>
      </c>
      <c r="BP394" s="17" t="s">
        <v>198</v>
      </c>
      <c r="BQ394" s="18">
        <v>45691.49912037037</v>
      </c>
      <c r="BR394" s="17" t="s">
        <v>198</v>
      </c>
      <c r="BS394" s="18">
        <v>45691.499131944445</v>
      </c>
      <c r="BT394" s="17" t="s">
        <v>198</v>
      </c>
      <c r="BU394" s="18">
        <v>45691.499131944445</v>
      </c>
      <c r="BV394" s="13" t="s">
        <v>199</v>
      </c>
      <c r="BW394" s="14" t="s">
        <v>179</v>
      </c>
      <c r="BX394" s="14" t="s">
        <v>10641</v>
      </c>
      <c r="BY394" s="14" t="s">
        <v>179</v>
      </c>
      <c r="BZ394" s="14" t="s">
        <v>10642</v>
      </c>
      <c r="CA394" s="14" t="s">
        <v>179</v>
      </c>
      <c r="CB394" s="14" t="s">
        <v>10643</v>
      </c>
      <c r="CC394" s="15"/>
      <c r="CD394" s="15"/>
      <c r="CE394" s="15"/>
      <c r="CF394" s="15"/>
      <c r="CG394" s="19"/>
      <c r="CH394" s="15"/>
      <c r="CI394" s="19"/>
      <c r="CJ394" s="15"/>
      <c r="CK394" s="19"/>
      <c r="CL394" s="15"/>
      <c r="CM394" s="19"/>
      <c r="CN394" s="15"/>
      <c r="CO394" s="19"/>
      <c r="CP394" s="15"/>
      <c r="CQ394" s="15"/>
      <c r="CR394" s="15"/>
      <c r="CS394" s="19"/>
      <c r="CT394" s="15"/>
      <c r="CU394" s="19"/>
      <c r="CV394" s="15"/>
      <c r="CW394" s="19"/>
      <c r="CX394" s="15"/>
      <c r="CY394" s="19"/>
      <c r="CZ394" s="15"/>
      <c r="DA394" s="16" t="s">
        <v>197</v>
      </c>
      <c r="DB394" s="17" t="s">
        <v>228</v>
      </c>
      <c r="DC394" s="16"/>
      <c r="DD394" s="17" t="s">
        <v>198</v>
      </c>
      <c r="DE394" s="18">
        <v>45709.50140046296</v>
      </c>
      <c r="DF394" s="17" t="s">
        <v>198</v>
      </c>
      <c r="DG394" s="18">
        <v>45709.50140046296</v>
      </c>
      <c r="DH394" s="13" t="s">
        <v>205</v>
      </c>
      <c r="DI394" s="14" t="s">
        <v>179</v>
      </c>
      <c r="DJ394" s="14" t="s">
        <v>10644</v>
      </c>
      <c r="DK394" s="14" t="s">
        <v>179</v>
      </c>
      <c r="DL394" s="14" t="s">
        <v>10645</v>
      </c>
      <c r="DM394" s="14" t="s">
        <v>179</v>
      </c>
      <c r="DN394" s="14" t="s">
        <v>10646</v>
      </c>
      <c r="DO394" s="15"/>
      <c r="DP394" s="15"/>
      <c r="DQ394" s="15"/>
      <c r="DR394" s="15"/>
      <c r="DS394" s="15"/>
      <c r="DT394" s="15"/>
      <c r="DU394" s="15"/>
      <c r="DV394" s="15"/>
      <c r="DW394" s="15"/>
      <c r="DX394" s="15"/>
      <c r="DY394" s="15"/>
      <c r="DZ394" s="15"/>
      <c r="EA394" s="15"/>
      <c r="EB394" s="15"/>
      <c r="EC394" s="16" t="s">
        <v>197</v>
      </c>
      <c r="ED394" s="17" t="s">
        <v>198</v>
      </c>
      <c r="EE394" s="18">
        <v>45709.50146990741</v>
      </c>
      <c r="EF394" s="13" t="s">
        <v>209</v>
      </c>
      <c r="EG394" s="14" t="s">
        <v>179</v>
      </c>
      <c r="EH394" s="14" t="s">
        <v>10647</v>
      </c>
      <c r="EI394" s="14" t="s">
        <v>179</v>
      </c>
      <c r="EJ394" s="14" t="s">
        <v>10648</v>
      </c>
      <c r="EK394" s="14" t="s">
        <v>179</v>
      </c>
      <c r="EL394" s="14" t="s">
        <v>10649</v>
      </c>
      <c r="EM394" s="14" t="s">
        <v>179</v>
      </c>
      <c r="EN394" s="14" t="s">
        <v>10650</v>
      </c>
      <c r="EO394" s="15"/>
      <c r="EP394" s="15"/>
      <c r="EQ394" s="15"/>
      <c r="ER394" s="15"/>
      <c r="ES394" s="15"/>
      <c r="ET394" s="15"/>
      <c r="EU394" s="15"/>
      <c r="EV394" s="15"/>
      <c r="EW394" s="15"/>
      <c r="EX394" s="15"/>
      <c r="EY394" s="15"/>
      <c r="EZ394" s="15"/>
      <c r="FA394" s="15"/>
      <c r="FB394" s="15"/>
      <c r="FC394" s="16" t="s">
        <v>197</v>
      </c>
      <c r="FD394" s="17" t="s">
        <v>198</v>
      </c>
      <c r="FE394" s="18">
        <v>45709.501550925925</v>
      </c>
      <c r="FF394" s="19"/>
      <c r="FG394" s="19"/>
      <c r="FH394" s="21" t="s">
        <v>197</v>
      </c>
      <c r="FI394" s="17" t="s">
        <v>214</v>
      </c>
      <c r="FJ394" s="18">
        <v>45709.501550925925</v>
      </c>
      <c r="FK394" s="14" t="s">
        <v>10650</v>
      </c>
      <c r="FL394" s="19"/>
      <c r="FM394" s="19"/>
      <c r="FN394" s="19"/>
      <c r="FO394" s="19"/>
      <c r="FP394" s="19" t="str">
        <f t="shared" si="1"/>
        <v/>
      </c>
      <c r="FQ394" s="14" t="s">
        <v>215</v>
      </c>
      <c r="FR394" s="14" t="s">
        <v>10651</v>
      </c>
    </row>
    <row r="395" ht="15.75" customHeight="1">
      <c r="A395" s="12" t="s">
        <v>357</v>
      </c>
      <c r="B395" s="12" t="s">
        <v>10652</v>
      </c>
      <c r="C395" s="12" t="s">
        <v>10558</v>
      </c>
      <c r="D395" s="12" t="s">
        <v>10653</v>
      </c>
      <c r="E395" s="12" t="s">
        <v>10654</v>
      </c>
      <c r="F395" s="13" t="s">
        <v>178</v>
      </c>
      <c r="G395" s="14" t="s">
        <v>179</v>
      </c>
      <c r="H395" s="14" t="s">
        <v>10655</v>
      </c>
      <c r="I395" s="14" t="s">
        <v>179</v>
      </c>
      <c r="J395" s="14" t="s">
        <v>10656</v>
      </c>
      <c r="K395" s="14" t="s">
        <v>179</v>
      </c>
      <c r="L395" s="14" t="s">
        <v>10657</v>
      </c>
      <c r="M395" s="14" t="s">
        <v>179</v>
      </c>
      <c r="N395" s="14" t="s">
        <v>10658</v>
      </c>
      <c r="O395" s="14" t="s">
        <v>179</v>
      </c>
      <c r="P395" s="14" t="s">
        <v>10659</v>
      </c>
      <c r="Q395" s="14" t="s">
        <v>179</v>
      </c>
      <c r="R395" s="14" t="s">
        <v>10660</v>
      </c>
      <c r="S395" s="14" t="s">
        <v>179</v>
      </c>
      <c r="T395" s="14" t="s">
        <v>10661</v>
      </c>
      <c r="U395" s="14" t="s">
        <v>179</v>
      </c>
      <c r="V395" s="14" t="s">
        <v>10662</v>
      </c>
      <c r="W395" s="14" t="s">
        <v>179</v>
      </c>
      <c r="X395" s="14" t="s">
        <v>10663</v>
      </c>
      <c r="Y395" s="14" t="s">
        <v>179</v>
      </c>
      <c r="Z395" s="14" t="s">
        <v>10664</v>
      </c>
      <c r="AA395" s="14" t="s">
        <v>179</v>
      </c>
      <c r="AB395" s="14" t="s">
        <v>10665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6" t="s">
        <v>197</v>
      </c>
      <c r="BP395" s="17" t="s">
        <v>198</v>
      </c>
      <c r="BQ395" s="18">
        <v>45689.39706018518</v>
      </c>
      <c r="BR395" s="17" t="s">
        <v>198</v>
      </c>
      <c r="BS395" s="18">
        <v>45689.397141203706</v>
      </c>
      <c r="BT395" s="17" t="s">
        <v>198</v>
      </c>
      <c r="BU395" s="18">
        <v>45689.397141203706</v>
      </c>
      <c r="BV395" s="13" t="s">
        <v>199</v>
      </c>
      <c r="BW395" s="14" t="s">
        <v>179</v>
      </c>
      <c r="BX395" s="14" t="s">
        <v>10666</v>
      </c>
      <c r="BY395" s="14" t="s">
        <v>179</v>
      </c>
      <c r="BZ395" s="14" t="s">
        <v>10667</v>
      </c>
      <c r="CA395" s="14" t="s">
        <v>179</v>
      </c>
      <c r="CB395" s="14" t="s">
        <v>10668</v>
      </c>
      <c r="CC395" s="15"/>
      <c r="CD395" s="15"/>
      <c r="CE395" s="15"/>
      <c r="CF395" s="15"/>
      <c r="CG395" s="19"/>
      <c r="CH395" s="15"/>
      <c r="CI395" s="19"/>
      <c r="CJ395" s="15"/>
      <c r="CK395" s="19"/>
      <c r="CL395" s="15"/>
      <c r="CM395" s="19"/>
      <c r="CN395" s="15"/>
      <c r="CO395" s="19"/>
      <c r="CP395" s="15"/>
      <c r="CQ395" s="15"/>
      <c r="CR395" s="15"/>
      <c r="CS395" s="19"/>
      <c r="CT395" s="15"/>
      <c r="CU395" s="19"/>
      <c r="CV395" s="15"/>
      <c r="CW395" s="19"/>
      <c r="CX395" s="15"/>
      <c r="CY395" s="19"/>
      <c r="CZ395" s="15"/>
      <c r="DA395" s="16" t="s">
        <v>197</v>
      </c>
      <c r="DB395" s="17" t="s">
        <v>228</v>
      </c>
      <c r="DC395" s="16"/>
      <c r="DD395" s="17" t="s">
        <v>198</v>
      </c>
      <c r="DE395" s="18">
        <v>45691.644155092596</v>
      </c>
      <c r="DF395" s="17" t="s">
        <v>198</v>
      </c>
      <c r="DG395" s="18">
        <v>45691.644155092596</v>
      </c>
      <c r="DH395" s="13" t="s">
        <v>205</v>
      </c>
      <c r="DI395" s="14" t="s">
        <v>179</v>
      </c>
      <c r="DJ395" s="14" t="s">
        <v>10669</v>
      </c>
      <c r="DK395" s="14" t="s">
        <v>179</v>
      </c>
      <c r="DL395" s="14" t="s">
        <v>10670</v>
      </c>
      <c r="DM395" s="14" t="s">
        <v>179</v>
      </c>
      <c r="DN395" s="14" t="s">
        <v>10671</v>
      </c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6" t="s">
        <v>197</v>
      </c>
      <c r="ED395" s="17" t="s">
        <v>198</v>
      </c>
      <c r="EE395" s="18">
        <v>45699.374768518515</v>
      </c>
      <c r="EF395" s="13" t="s">
        <v>209</v>
      </c>
      <c r="EG395" s="14" t="s">
        <v>179</v>
      </c>
      <c r="EH395" s="14" t="s">
        <v>10672</v>
      </c>
      <c r="EI395" s="14" t="s">
        <v>179</v>
      </c>
      <c r="EJ395" s="14" t="s">
        <v>10672</v>
      </c>
      <c r="EK395" s="14" t="s">
        <v>179</v>
      </c>
      <c r="EL395" s="14" t="s">
        <v>10673</v>
      </c>
      <c r="EM395" s="14" t="s">
        <v>179</v>
      </c>
      <c r="EN395" s="14" t="s">
        <v>10674</v>
      </c>
      <c r="EO395" s="15"/>
      <c r="EP395" s="15"/>
      <c r="EQ395" s="15"/>
      <c r="ER395" s="15"/>
      <c r="ES395" s="15"/>
      <c r="ET395" s="15"/>
      <c r="EU395" s="15"/>
      <c r="EV395" s="15"/>
      <c r="EW395" s="15"/>
      <c r="EX395" s="15"/>
      <c r="EY395" s="15"/>
      <c r="EZ395" s="15"/>
      <c r="FA395" s="15"/>
      <c r="FB395" s="15"/>
      <c r="FC395" s="16" t="s">
        <v>197</v>
      </c>
      <c r="FD395" s="17" t="s">
        <v>198</v>
      </c>
      <c r="FE395" s="18">
        <v>45700.403182870374</v>
      </c>
      <c r="FF395" s="19"/>
      <c r="FG395" s="19"/>
      <c r="FH395" s="21" t="s">
        <v>197</v>
      </c>
      <c r="FI395" s="17" t="s">
        <v>214</v>
      </c>
      <c r="FJ395" s="18">
        <v>45700.403182870374</v>
      </c>
      <c r="FK395" s="14" t="s">
        <v>10674</v>
      </c>
      <c r="FL395" s="14" t="s">
        <v>10675</v>
      </c>
      <c r="FM395" s="14" t="s">
        <v>10676</v>
      </c>
      <c r="FN395" s="19"/>
      <c r="FO395" s="19"/>
      <c r="FP395" s="19" t="str">
        <f t="shared" si="1"/>
        <v>Base de Dados_Images/ITI-70A-086A-196-BL9705.Imagem do Equipamento-.120052.jpg</v>
      </c>
      <c r="FQ395" s="14"/>
      <c r="FR395" s="14"/>
    </row>
    <row r="396" ht="15.75" customHeight="1">
      <c r="A396" s="12" t="s">
        <v>217</v>
      </c>
      <c r="B396" s="12" t="s">
        <v>10557</v>
      </c>
      <c r="C396" s="12" t="s">
        <v>10523</v>
      </c>
      <c r="D396" s="12" t="s">
        <v>10677</v>
      </c>
      <c r="E396" s="12" t="s">
        <v>10678</v>
      </c>
      <c r="F396" s="13" t="s">
        <v>178</v>
      </c>
      <c r="G396" s="14" t="s">
        <v>179</v>
      </c>
      <c r="H396" s="14" t="s">
        <v>10679</v>
      </c>
      <c r="I396" s="14" t="s">
        <v>179</v>
      </c>
      <c r="J396" s="14" t="s">
        <v>10680</v>
      </c>
      <c r="K396" s="14" t="s">
        <v>179</v>
      </c>
      <c r="L396" s="14" t="s">
        <v>10681</v>
      </c>
      <c r="M396" s="14" t="s">
        <v>179</v>
      </c>
      <c r="N396" s="14" t="s">
        <v>10682</v>
      </c>
      <c r="O396" s="14" t="s">
        <v>179</v>
      </c>
      <c r="P396" s="14" t="s">
        <v>10683</v>
      </c>
      <c r="Q396" s="14" t="s">
        <v>179</v>
      </c>
      <c r="R396" s="14" t="s">
        <v>10684</v>
      </c>
      <c r="S396" s="14" t="s">
        <v>179</v>
      </c>
      <c r="T396" s="14" t="s">
        <v>10685</v>
      </c>
      <c r="U396" s="14" t="s">
        <v>179</v>
      </c>
      <c r="V396" s="14" t="s">
        <v>10686</v>
      </c>
      <c r="W396" s="14" t="s">
        <v>179</v>
      </c>
      <c r="X396" s="14" t="s">
        <v>10687</v>
      </c>
      <c r="Y396" s="14" t="s">
        <v>179</v>
      </c>
      <c r="Z396" s="14" t="s">
        <v>10688</v>
      </c>
      <c r="AA396" s="14" t="s">
        <v>179</v>
      </c>
      <c r="AB396" s="14" t="s">
        <v>10689</v>
      </c>
      <c r="AC396" s="14" t="s">
        <v>179</v>
      </c>
      <c r="AD396" s="14" t="s">
        <v>10690</v>
      </c>
      <c r="AE396" s="14" t="s">
        <v>179</v>
      </c>
      <c r="AF396" s="14" t="s">
        <v>10691</v>
      </c>
      <c r="AG396" s="14" t="s">
        <v>179</v>
      </c>
      <c r="AH396" s="14" t="s">
        <v>10691</v>
      </c>
      <c r="AI396" s="14" t="s">
        <v>179</v>
      </c>
      <c r="AJ396" s="14" t="s">
        <v>10692</v>
      </c>
      <c r="AK396" s="14" t="s">
        <v>179</v>
      </c>
      <c r="AL396" s="14" t="s">
        <v>10693</v>
      </c>
      <c r="AM396" s="14" t="s">
        <v>179</v>
      </c>
      <c r="AN396" s="14" t="s">
        <v>10694</v>
      </c>
      <c r="AO396" s="14" t="s">
        <v>179</v>
      </c>
      <c r="AP396" s="14" t="s">
        <v>10695</v>
      </c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6" t="s">
        <v>197</v>
      </c>
      <c r="BP396" s="17" t="s">
        <v>198</v>
      </c>
      <c r="BQ396" s="18">
        <v>45694.51693287037</v>
      </c>
      <c r="BR396" s="17" t="s">
        <v>198</v>
      </c>
      <c r="BS396" s="18">
        <v>45694.51703703704</v>
      </c>
      <c r="BT396" s="17" t="s">
        <v>198</v>
      </c>
      <c r="BU396" s="18">
        <v>45694.51703703704</v>
      </c>
      <c r="BV396" s="13" t="s">
        <v>199</v>
      </c>
      <c r="BW396" s="14" t="s">
        <v>179</v>
      </c>
      <c r="BX396" s="14" t="s">
        <v>10696</v>
      </c>
      <c r="BY396" s="14" t="s">
        <v>179</v>
      </c>
      <c r="BZ396" s="14" t="s">
        <v>10697</v>
      </c>
      <c r="CA396" s="14" t="s">
        <v>179</v>
      </c>
      <c r="CB396" s="14" t="s">
        <v>10698</v>
      </c>
      <c r="CC396" s="14" t="s">
        <v>179</v>
      </c>
      <c r="CD396" s="14" t="s">
        <v>10699</v>
      </c>
      <c r="CE396" s="14" t="s">
        <v>179</v>
      </c>
      <c r="CF396" s="14" t="s">
        <v>10700</v>
      </c>
      <c r="CG396" s="19"/>
      <c r="CH396" s="15"/>
      <c r="CI396" s="19"/>
      <c r="CJ396" s="15"/>
      <c r="CK396" s="19"/>
      <c r="CL396" s="15"/>
      <c r="CM396" s="19"/>
      <c r="CN396" s="15"/>
      <c r="CO396" s="19"/>
      <c r="CP396" s="15"/>
      <c r="CQ396" s="15"/>
      <c r="CR396" s="15"/>
      <c r="CS396" s="19"/>
      <c r="CT396" s="15"/>
      <c r="CU396" s="19"/>
      <c r="CV396" s="15"/>
      <c r="CW396" s="19"/>
      <c r="CX396" s="15"/>
      <c r="CY396" s="19"/>
      <c r="CZ396" s="15"/>
      <c r="DA396" s="16" t="s">
        <v>197</v>
      </c>
      <c r="DB396" s="17" t="s">
        <v>198</v>
      </c>
      <c r="DC396" s="20">
        <v>45694.517175925925</v>
      </c>
      <c r="DD396" s="17" t="s">
        <v>198</v>
      </c>
      <c r="DE396" s="18">
        <v>45694.51725694445</v>
      </c>
      <c r="DF396" s="17" t="s">
        <v>198</v>
      </c>
      <c r="DG396" s="18">
        <v>45694.51725694445</v>
      </c>
      <c r="DH396" s="13" t="s">
        <v>205</v>
      </c>
      <c r="DI396" s="14" t="s">
        <v>179</v>
      </c>
      <c r="DJ396" s="14" t="s">
        <v>10701</v>
      </c>
      <c r="DK396" s="14" t="s">
        <v>179</v>
      </c>
      <c r="DL396" s="14" t="s">
        <v>10702</v>
      </c>
      <c r="DM396" s="14" t="s">
        <v>179</v>
      </c>
      <c r="DN396" s="14" t="s">
        <v>10703</v>
      </c>
      <c r="DO396" s="14" t="s">
        <v>179</v>
      </c>
      <c r="DP396" s="14" t="s">
        <v>10704</v>
      </c>
      <c r="DQ396" s="15"/>
      <c r="DR396" s="15"/>
      <c r="DS396" s="15"/>
      <c r="DT396" s="15"/>
      <c r="DU396" s="15"/>
      <c r="DV396" s="15"/>
      <c r="DW396" s="15"/>
      <c r="DX396" s="15"/>
      <c r="DY396" s="15"/>
      <c r="DZ396" s="15"/>
      <c r="EA396" s="15"/>
      <c r="EB396" s="15"/>
      <c r="EC396" s="16" t="s">
        <v>197</v>
      </c>
      <c r="ED396" s="17" t="s">
        <v>198</v>
      </c>
      <c r="EE396" s="18">
        <v>45720.597233796296</v>
      </c>
      <c r="EF396" s="13" t="s">
        <v>209</v>
      </c>
      <c r="EG396" s="14" t="s">
        <v>179</v>
      </c>
      <c r="EH396" s="14" t="s">
        <v>10705</v>
      </c>
      <c r="EI396" s="14" t="s">
        <v>179</v>
      </c>
      <c r="EJ396" s="14" t="s">
        <v>10706</v>
      </c>
      <c r="EK396" s="14" t="s">
        <v>179</v>
      </c>
      <c r="EL396" s="14" t="s">
        <v>10707</v>
      </c>
      <c r="EM396" s="14" t="s">
        <v>179</v>
      </c>
      <c r="EN396" s="14" t="s">
        <v>10708</v>
      </c>
      <c r="EO396" s="15"/>
      <c r="EP396" s="15"/>
      <c r="EQ396" s="15"/>
      <c r="ER396" s="15"/>
      <c r="ES396" s="15"/>
      <c r="ET396" s="15"/>
      <c r="EU396" s="15"/>
      <c r="EV396" s="15"/>
      <c r="EW396" s="15"/>
      <c r="EX396" s="15"/>
      <c r="EY396" s="15"/>
      <c r="EZ396" s="15"/>
      <c r="FA396" s="15"/>
      <c r="FB396" s="15"/>
      <c r="FC396" s="16" t="s">
        <v>197</v>
      </c>
      <c r="FD396" s="17" t="s">
        <v>198</v>
      </c>
      <c r="FE396" s="18">
        <v>45722.365752314814</v>
      </c>
      <c r="FF396" s="19"/>
      <c r="FG396" s="19"/>
      <c r="FH396" s="21" t="s">
        <v>197</v>
      </c>
      <c r="FI396" s="17" t="s">
        <v>214</v>
      </c>
      <c r="FJ396" s="18">
        <v>45722.365752314814</v>
      </c>
      <c r="FK396" s="14" t="s">
        <v>10708</v>
      </c>
      <c r="FL396" s="19"/>
      <c r="FM396" s="19"/>
      <c r="FN396" s="19"/>
      <c r="FO396" s="19"/>
      <c r="FP396" s="19" t="str">
        <f t="shared" si="1"/>
        <v/>
      </c>
      <c r="FQ396" s="14" t="s">
        <v>215</v>
      </c>
      <c r="FR396" s="14" t="s">
        <v>10709</v>
      </c>
    </row>
    <row r="397" ht="15.75" customHeight="1">
      <c r="A397" s="12" t="s">
        <v>292</v>
      </c>
      <c r="B397" s="12" t="s">
        <v>1809</v>
      </c>
      <c r="C397" s="12" t="s">
        <v>219</v>
      </c>
      <c r="D397" s="22" t="s">
        <v>10710</v>
      </c>
      <c r="E397" s="22" t="s">
        <v>10711</v>
      </c>
      <c r="F397" s="13" t="s">
        <v>178</v>
      </c>
      <c r="G397" s="14" t="s">
        <v>179</v>
      </c>
      <c r="H397" s="14" t="s">
        <v>10712</v>
      </c>
      <c r="I397" s="14" t="s">
        <v>179</v>
      </c>
      <c r="J397" s="14" t="s">
        <v>10713</v>
      </c>
      <c r="K397" s="14" t="s">
        <v>179</v>
      </c>
      <c r="L397" s="14" t="s">
        <v>10713</v>
      </c>
      <c r="M397" s="14" t="s">
        <v>179</v>
      </c>
      <c r="N397" s="14" t="s">
        <v>10714</v>
      </c>
      <c r="O397" s="14" t="s">
        <v>179</v>
      </c>
      <c r="P397" s="14" t="s">
        <v>10715</v>
      </c>
      <c r="Q397" s="14" t="s">
        <v>179</v>
      </c>
      <c r="R397" s="14" t="s">
        <v>10716</v>
      </c>
      <c r="S397" s="14" t="s">
        <v>179</v>
      </c>
      <c r="T397" s="14" t="s">
        <v>10717</v>
      </c>
      <c r="U397" s="14" t="s">
        <v>179</v>
      </c>
      <c r="V397" s="14" t="s">
        <v>10717</v>
      </c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6" t="s">
        <v>197</v>
      </c>
      <c r="BP397" s="17" t="s">
        <v>228</v>
      </c>
      <c r="BQ397" s="23"/>
      <c r="BR397" s="17" t="s">
        <v>198</v>
      </c>
      <c r="BS397" s="18">
        <v>45688.4978587963</v>
      </c>
      <c r="BT397" s="17" t="s">
        <v>198</v>
      </c>
      <c r="BU397" s="18">
        <v>45688.4978587963</v>
      </c>
      <c r="BV397" s="13" t="s">
        <v>199</v>
      </c>
      <c r="BW397" s="14" t="s">
        <v>179</v>
      </c>
      <c r="BX397" s="14" t="s">
        <v>10718</v>
      </c>
      <c r="BY397" s="14" t="s">
        <v>179</v>
      </c>
      <c r="BZ397" s="14" t="s">
        <v>10719</v>
      </c>
      <c r="CA397" s="15"/>
      <c r="CB397" s="15"/>
      <c r="CC397" s="15"/>
      <c r="CD397" s="15"/>
      <c r="CE397" s="15"/>
      <c r="CF397" s="15"/>
      <c r="CG397" s="19"/>
      <c r="CH397" s="15"/>
      <c r="CI397" s="19"/>
      <c r="CJ397" s="15"/>
      <c r="CK397" s="19"/>
      <c r="CL397" s="15"/>
      <c r="CM397" s="19"/>
      <c r="CN397" s="15"/>
      <c r="CO397" s="19"/>
      <c r="CP397" s="15"/>
      <c r="CQ397" s="15"/>
      <c r="CR397" s="15"/>
      <c r="CS397" s="19"/>
      <c r="CT397" s="15"/>
      <c r="CU397" s="19"/>
      <c r="CV397" s="15"/>
      <c r="CW397" s="19"/>
      <c r="CX397" s="15"/>
      <c r="CY397" s="19"/>
      <c r="CZ397" s="15"/>
      <c r="DA397" s="16" t="s">
        <v>197</v>
      </c>
      <c r="DB397" s="17" t="s">
        <v>228</v>
      </c>
      <c r="DC397" s="16"/>
      <c r="DD397" s="17" t="s">
        <v>198</v>
      </c>
      <c r="DE397" s="18">
        <v>45699.48643518519</v>
      </c>
      <c r="DF397" s="17" t="s">
        <v>198</v>
      </c>
      <c r="DG397" s="18">
        <v>45699.48643518519</v>
      </c>
      <c r="DH397" s="13" t="s">
        <v>205</v>
      </c>
      <c r="DI397" s="14" t="s">
        <v>179</v>
      </c>
      <c r="DJ397" s="14" t="s">
        <v>10720</v>
      </c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6" t="s">
        <v>197</v>
      </c>
      <c r="ED397" s="17" t="s">
        <v>198</v>
      </c>
      <c r="EE397" s="18">
        <v>45719.51280092593</v>
      </c>
      <c r="EF397" s="13" t="s">
        <v>209</v>
      </c>
      <c r="EG397" s="14" t="s">
        <v>179</v>
      </c>
      <c r="EH397" s="14" t="s">
        <v>10721</v>
      </c>
      <c r="EI397" s="15"/>
      <c r="EJ397" s="15"/>
      <c r="EK397" s="15"/>
      <c r="EL397" s="15"/>
      <c r="EM397" s="15"/>
      <c r="EN397" s="15"/>
      <c r="EO397" s="15"/>
      <c r="EP397" s="15"/>
      <c r="EQ397" s="15"/>
      <c r="ER397" s="15"/>
      <c r="ES397" s="15"/>
      <c r="ET397" s="15"/>
      <c r="EU397" s="15"/>
      <c r="EV397" s="15"/>
      <c r="EW397" s="15"/>
      <c r="EX397" s="15"/>
      <c r="EY397" s="15"/>
      <c r="EZ397" s="15"/>
      <c r="FA397" s="15"/>
      <c r="FB397" s="15"/>
      <c r="FC397" s="16" t="s">
        <v>197</v>
      </c>
      <c r="FD397" s="17" t="s">
        <v>198</v>
      </c>
      <c r="FE397" s="18">
        <v>45723.29523148148</v>
      </c>
      <c r="FF397" s="19"/>
      <c r="FG397" s="19"/>
      <c r="FH397" s="21" t="s">
        <v>197</v>
      </c>
      <c r="FI397" s="17" t="s">
        <v>214</v>
      </c>
      <c r="FJ397" s="18">
        <v>45723.29523148148</v>
      </c>
      <c r="FK397" s="14" t="s">
        <v>10721</v>
      </c>
      <c r="FL397" s="14" t="s">
        <v>10722</v>
      </c>
      <c r="FM397" s="14" t="s">
        <v>10723</v>
      </c>
      <c r="FN397" s="19"/>
      <c r="FO397" s="19"/>
      <c r="FP397" s="19" t="str">
        <f t="shared" si="1"/>
        <v>Base de Dados_Images/LCV30018.Imagem do Equipamento-.141858.jpg</v>
      </c>
      <c r="FQ397" s="19"/>
      <c r="FR397" s="19"/>
    </row>
    <row r="398" ht="15.75" customHeight="1">
      <c r="A398" s="12" t="s">
        <v>292</v>
      </c>
      <c r="B398" s="12" t="s">
        <v>493</v>
      </c>
      <c r="C398" s="12" t="s">
        <v>219</v>
      </c>
      <c r="D398" s="22" t="s">
        <v>10724</v>
      </c>
      <c r="E398" s="22" t="s">
        <v>10725</v>
      </c>
      <c r="F398" s="13" t="s">
        <v>178</v>
      </c>
      <c r="G398" s="14" t="s">
        <v>179</v>
      </c>
      <c r="H398" s="14" t="s">
        <v>10726</v>
      </c>
      <c r="I398" s="14" t="s">
        <v>179</v>
      </c>
      <c r="J398" s="14" t="s">
        <v>10727</v>
      </c>
      <c r="K398" s="14" t="s">
        <v>179</v>
      </c>
      <c r="L398" s="14" t="s">
        <v>10728</v>
      </c>
      <c r="M398" s="14" t="s">
        <v>179</v>
      </c>
      <c r="N398" s="14" t="s">
        <v>10729</v>
      </c>
      <c r="O398" s="14" t="s">
        <v>179</v>
      </c>
      <c r="P398" s="14" t="s">
        <v>10729</v>
      </c>
      <c r="Q398" s="14" t="s">
        <v>179</v>
      </c>
      <c r="R398" s="14" t="s">
        <v>10730</v>
      </c>
      <c r="S398" s="14" t="s">
        <v>179</v>
      </c>
      <c r="T398" s="14" t="s">
        <v>10731</v>
      </c>
      <c r="U398" s="14" t="s">
        <v>179</v>
      </c>
      <c r="V398" s="14" t="s">
        <v>10732</v>
      </c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6" t="s">
        <v>197</v>
      </c>
      <c r="BP398" s="17" t="s">
        <v>228</v>
      </c>
      <c r="BQ398" s="23"/>
      <c r="BR398" s="17" t="s">
        <v>198</v>
      </c>
      <c r="BS398" s="18">
        <v>45692.40528935185</v>
      </c>
      <c r="BT398" s="17" t="s">
        <v>198</v>
      </c>
      <c r="BU398" s="18">
        <v>45692.40528935185</v>
      </c>
      <c r="BV398" s="13" t="s">
        <v>199</v>
      </c>
      <c r="BW398" s="14" t="s">
        <v>179</v>
      </c>
      <c r="BX398" s="14" t="s">
        <v>10733</v>
      </c>
      <c r="BY398" s="14" t="s">
        <v>179</v>
      </c>
      <c r="BZ398" s="14" t="s">
        <v>10734</v>
      </c>
      <c r="CA398" s="15"/>
      <c r="CB398" s="15"/>
      <c r="CC398" s="15"/>
      <c r="CD398" s="15"/>
      <c r="CE398" s="15"/>
      <c r="CF398" s="15"/>
      <c r="CG398" s="19"/>
      <c r="CH398" s="15"/>
      <c r="CI398" s="19"/>
      <c r="CJ398" s="15"/>
      <c r="CK398" s="19"/>
      <c r="CL398" s="15"/>
      <c r="CM398" s="19"/>
      <c r="CN398" s="15"/>
      <c r="CO398" s="19"/>
      <c r="CP398" s="15"/>
      <c r="CQ398" s="15"/>
      <c r="CR398" s="15"/>
      <c r="CS398" s="19"/>
      <c r="CT398" s="15"/>
      <c r="CU398" s="19"/>
      <c r="CV398" s="15"/>
      <c r="CW398" s="19"/>
      <c r="CX398" s="15"/>
      <c r="CY398" s="19"/>
      <c r="CZ398" s="15"/>
      <c r="DA398" s="16" t="s">
        <v>197</v>
      </c>
      <c r="DB398" s="17" t="s">
        <v>228</v>
      </c>
      <c r="DC398" s="16"/>
      <c r="DD398" s="17" t="s">
        <v>198</v>
      </c>
      <c r="DE398" s="18">
        <v>45692.40539351852</v>
      </c>
      <c r="DF398" s="17" t="s">
        <v>198</v>
      </c>
      <c r="DG398" s="18">
        <v>45692.40539351852</v>
      </c>
      <c r="DH398" s="13" t="s">
        <v>205</v>
      </c>
      <c r="DI398" s="14" t="s">
        <v>179</v>
      </c>
      <c r="DJ398" s="14" t="s">
        <v>10735</v>
      </c>
      <c r="DK398" s="15"/>
      <c r="DL398" s="15"/>
      <c r="DM398" s="15"/>
      <c r="DN398" s="15"/>
      <c r="DO398" s="15"/>
      <c r="DP398" s="15"/>
      <c r="DQ398" s="15"/>
      <c r="DR398" s="15"/>
      <c r="DS398" s="15"/>
      <c r="DT398" s="15"/>
      <c r="DU398" s="15"/>
      <c r="DV398" s="15"/>
      <c r="DW398" s="15"/>
      <c r="DX398" s="15"/>
      <c r="DY398" s="15"/>
      <c r="DZ398" s="15"/>
      <c r="EA398" s="15"/>
      <c r="EB398" s="15"/>
      <c r="EC398" s="16" t="s">
        <v>197</v>
      </c>
      <c r="ED398" s="17" t="s">
        <v>198</v>
      </c>
      <c r="EE398" s="18">
        <v>45719.51565972222</v>
      </c>
      <c r="EF398" s="13" t="s">
        <v>209</v>
      </c>
      <c r="EG398" s="14" t="s">
        <v>179</v>
      </c>
      <c r="EH398" s="14" t="s">
        <v>10736</v>
      </c>
      <c r="EI398" s="15"/>
      <c r="EJ398" s="15"/>
      <c r="EK398" s="15"/>
      <c r="EL398" s="15"/>
      <c r="EM398" s="15"/>
      <c r="EN398" s="15"/>
      <c r="EO398" s="15"/>
      <c r="EP398" s="15"/>
      <c r="EQ398" s="15"/>
      <c r="ER398" s="15"/>
      <c r="ES398" s="15"/>
      <c r="ET398" s="15"/>
      <c r="EU398" s="15"/>
      <c r="EV398" s="15"/>
      <c r="EW398" s="15"/>
      <c r="EX398" s="15"/>
      <c r="EY398" s="15"/>
      <c r="EZ398" s="15"/>
      <c r="FA398" s="15"/>
      <c r="FB398" s="15"/>
      <c r="FC398" s="16" t="s">
        <v>197</v>
      </c>
      <c r="FD398" s="17" t="s">
        <v>198</v>
      </c>
      <c r="FE398" s="18">
        <v>45723.29701388889</v>
      </c>
      <c r="FF398" s="19"/>
      <c r="FG398" s="19"/>
      <c r="FH398" s="21" t="s">
        <v>197</v>
      </c>
      <c r="FI398" s="17" t="s">
        <v>214</v>
      </c>
      <c r="FJ398" s="18">
        <v>45723.29701388889</v>
      </c>
      <c r="FK398" s="14" t="s">
        <v>10736</v>
      </c>
      <c r="FL398" s="19"/>
      <c r="FM398" s="19"/>
      <c r="FN398" s="19"/>
      <c r="FO398" s="19"/>
      <c r="FP398" s="19" t="str">
        <f t="shared" si="1"/>
        <v/>
      </c>
      <c r="FQ398" s="14" t="s">
        <v>215</v>
      </c>
      <c r="FR398" s="14" t="s">
        <v>10737</v>
      </c>
    </row>
    <row r="399" ht="15.75" customHeight="1">
      <c r="A399" s="12" t="s">
        <v>292</v>
      </c>
      <c r="B399" s="12" t="s">
        <v>1877</v>
      </c>
      <c r="C399" s="12" t="s">
        <v>219</v>
      </c>
      <c r="D399" s="22" t="s">
        <v>10738</v>
      </c>
      <c r="E399" s="22" t="s">
        <v>10739</v>
      </c>
      <c r="F399" s="13" t="s">
        <v>178</v>
      </c>
      <c r="G399" s="14" t="s">
        <v>179</v>
      </c>
      <c r="H399" s="14" t="s">
        <v>10740</v>
      </c>
      <c r="I399" s="14" t="s">
        <v>179</v>
      </c>
      <c r="J399" s="14" t="s">
        <v>10741</v>
      </c>
      <c r="K399" s="14" t="s">
        <v>179</v>
      </c>
      <c r="L399" s="14" t="s">
        <v>10742</v>
      </c>
      <c r="M399" s="14" t="s">
        <v>179</v>
      </c>
      <c r="N399" s="14" t="s">
        <v>10743</v>
      </c>
      <c r="O399" s="14" t="s">
        <v>179</v>
      </c>
      <c r="P399" s="14" t="s">
        <v>10744</v>
      </c>
      <c r="Q399" s="14" t="s">
        <v>179</v>
      </c>
      <c r="R399" s="14" t="s">
        <v>10745</v>
      </c>
      <c r="S399" s="14" t="s">
        <v>179</v>
      </c>
      <c r="T399" s="14" t="s">
        <v>10746</v>
      </c>
      <c r="U399" s="14" t="s">
        <v>179</v>
      </c>
      <c r="V399" s="14" t="s">
        <v>10747</v>
      </c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6" t="s">
        <v>197</v>
      </c>
      <c r="BP399" s="17" t="s">
        <v>228</v>
      </c>
      <c r="BQ399" s="23"/>
      <c r="BR399" s="17" t="s">
        <v>198</v>
      </c>
      <c r="BS399" s="18">
        <v>45695.62737268519</v>
      </c>
      <c r="BT399" s="17" t="s">
        <v>198</v>
      </c>
      <c r="BU399" s="18">
        <v>45695.62737268519</v>
      </c>
      <c r="BV399" s="13" t="s">
        <v>199</v>
      </c>
      <c r="BW399" s="14" t="s">
        <v>179</v>
      </c>
      <c r="BX399" s="14" t="s">
        <v>10748</v>
      </c>
      <c r="BY399" s="14" t="s">
        <v>179</v>
      </c>
      <c r="BZ399" s="14" t="s">
        <v>10749</v>
      </c>
      <c r="CA399" s="15"/>
      <c r="CB399" s="15"/>
      <c r="CC399" s="15"/>
      <c r="CD399" s="15"/>
      <c r="CE399" s="15"/>
      <c r="CF399" s="15"/>
      <c r="CG399" s="19"/>
      <c r="CH399" s="15"/>
      <c r="CI399" s="19"/>
      <c r="CJ399" s="15"/>
      <c r="CK399" s="19"/>
      <c r="CL399" s="15"/>
      <c r="CM399" s="19"/>
      <c r="CN399" s="15"/>
      <c r="CO399" s="19"/>
      <c r="CP399" s="15"/>
      <c r="CQ399" s="15"/>
      <c r="CR399" s="15"/>
      <c r="CS399" s="19"/>
      <c r="CT399" s="15"/>
      <c r="CU399" s="19"/>
      <c r="CV399" s="15"/>
      <c r="CW399" s="19"/>
      <c r="CX399" s="15"/>
      <c r="CY399" s="19"/>
      <c r="CZ399" s="15"/>
      <c r="DA399" s="16" t="s">
        <v>197</v>
      </c>
      <c r="DB399" s="17" t="s">
        <v>228</v>
      </c>
      <c r="DC399" s="16"/>
      <c r="DD399" s="17" t="s">
        <v>198</v>
      </c>
      <c r="DE399" s="18">
        <v>45695.6274537037</v>
      </c>
      <c r="DF399" s="17" t="s">
        <v>198</v>
      </c>
      <c r="DG399" s="18">
        <v>45695.6274537037</v>
      </c>
      <c r="DH399" s="13" t="s">
        <v>205</v>
      </c>
      <c r="DI399" s="14" t="s">
        <v>179</v>
      </c>
      <c r="DJ399" s="14" t="s">
        <v>10750</v>
      </c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6" t="s">
        <v>197</v>
      </c>
      <c r="ED399" s="17" t="s">
        <v>198</v>
      </c>
      <c r="EE399" s="18">
        <v>45695.627546296295</v>
      </c>
      <c r="EF399" s="13" t="s">
        <v>209</v>
      </c>
      <c r="EG399" s="14" t="s">
        <v>179</v>
      </c>
      <c r="EH399" s="14" t="s">
        <v>10751</v>
      </c>
      <c r="EI399" s="15"/>
      <c r="EJ399" s="15"/>
      <c r="EK399" s="15"/>
      <c r="EL399" s="15"/>
      <c r="EM399" s="15"/>
      <c r="EN399" s="15"/>
      <c r="EO399" s="15"/>
      <c r="EP399" s="15"/>
      <c r="EQ399" s="15"/>
      <c r="ER399" s="15"/>
      <c r="ES399" s="15"/>
      <c r="ET399" s="15"/>
      <c r="EU399" s="15"/>
      <c r="EV399" s="15"/>
      <c r="EW399" s="15"/>
      <c r="EX399" s="15"/>
      <c r="EY399" s="15"/>
      <c r="EZ399" s="15"/>
      <c r="FA399" s="15"/>
      <c r="FB399" s="15"/>
      <c r="FC399" s="16" t="s">
        <v>197</v>
      </c>
      <c r="FD399" s="17" t="s">
        <v>198</v>
      </c>
      <c r="FE399" s="18">
        <v>45723.304502314815</v>
      </c>
      <c r="FF399" s="19"/>
      <c r="FG399" s="19"/>
      <c r="FH399" s="21" t="s">
        <v>197</v>
      </c>
      <c r="FI399" s="17" t="s">
        <v>214</v>
      </c>
      <c r="FJ399" s="18">
        <v>45723.304502314815</v>
      </c>
      <c r="FK399" s="14" t="s">
        <v>10751</v>
      </c>
      <c r="FL399" s="19"/>
      <c r="FM399" s="19"/>
      <c r="FN399" s="19"/>
      <c r="FO399" s="19"/>
      <c r="FP399" s="19" t="str">
        <f t="shared" si="1"/>
        <v/>
      </c>
      <c r="FQ399" s="14" t="s">
        <v>215</v>
      </c>
      <c r="FR399" s="14" t="s">
        <v>10752</v>
      </c>
    </row>
    <row r="400" ht="15.75" customHeight="1">
      <c r="A400" s="12" t="s">
        <v>292</v>
      </c>
      <c r="B400" s="12" t="s">
        <v>10753</v>
      </c>
      <c r="C400" s="12" t="s">
        <v>219</v>
      </c>
      <c r="D400" s="22" t="s">
        <v>10754</v>
      </c>
      <c r="E400" s="22" t="s">
        <v>10755</v>
      </c>
      <c r="F400" s="13" t="s">
        <v>178</v>
      </c>
      <c r="G400" s="14" t="s">
        <v>179</v>
      </c>
      <c r="H400" s="14" t="s">
        <v>10756</v>
      </c>
      <c r="I400" s="14" t="s">
        <v>179</v>
      </c>
      <c r="J400" s="14" t="s">
        <v>10756</v>
      </c>
      <c r="K400" s="14" t="s">
        <v>179</v>
      </c>
      <c r="L400" s="14" t="s">
        <v>10757</v>
      </c>
      <c r="M400" s="14" t="s">
        <v>179</v>
      </c>
      <c r="N400" s="14" t="s">
        <v>10758</v>
      </c>
      <c r="O400" s="14" t="s">
        <v>179</v>
      </c>
      <c r="P400" s="14" t="s">
        <v>10759</v>
      </c>
      <c r="Q400" s="14" t="s">
        <v>179</v>
      </c>
      <c r="R400" s="14" t="s">
        <v>10760</v>
      </c>
      <c r="S400" s="14" t="s">
        <v>179</v>
      </c>
      <c r="T400" s="14" t="s">
        <v>10761</v>
      </c>
      <c r="U400" s="14" t="s">
        <v>179</v>
      </c>
      <c r="V400" s="14" t="s">
        <v>10761</v>
      </c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6" t="s">
        <v>197</v>
      </c>
      <c r="BP400" s="17" t="s">
        <v>228</v>
      </c>
      <c r="BQ400" s="23"/>
      <c r="BR400" s="17" t="s">
        <v>198</v>
      </c>
      <c r="BS400" s="18">
        <v>45692.45055555556</v>
      </c>
      <c r="BT400" s="17" t="s">
        <v>198</v>
      </c>
      <c r="BU400" s="18">
        <v>45692.45055555556</v>
      </c>
      <c r="BV400" s="13" t="s">
        <v>199</v>
      </c>
      <c r="BW400" s="14" t="s">
        <v>179</v>
      </c>
      <c r="BX400" s="14" t="s">
        <v>10762</v>
      </c>
      <c r="BY400" s="14" t="s">
        <v>179</v>
      </c>
      <c r="BZ400" s="14" t="s">
        <v>10763</v>
      </c>
      <c r="CA400" s="15"/>
      <c r="CB400" s="15"/>
      <c r="CC400" s="15"/>
      <c r="CD400" s="15"/>
      <c r="CE400" s="15"/>
      <c r="CF400" s="15"/>
      <c r="CG400" s="19"/>
      <c r="CH400" s="15"/>
      <c r="CI400" s="19"/>
      <c r="CJ400" s="15"/>
      <c r="CK400" s="19"/>
      <c r="CL400" s="15"/>
      <c r="CM400" s="19"/>
      <c r="CN400" s="15"/>
      <c r="CO400" s="19"/>
      <c r="CP400" s="15"/>
      <c r="CQ400" s="15"/>
      <c r="CR400" s="15"/>
      <c r="CS400" s="19"/>
      <c r="CT400" s="15"/>
      <c r="CU400" s="19"/>
      <c r="CV400" s="15"/>
      <c r="CW400" s="19"/>
      <c r="CX400" s="15"/>
      <c r="CY400" s="19"/>
      <c r="CZ400" s="15"/>
      <c r="DA400" s="16" t="s">
        <v>197</v>
      </c>
      <c r="DB400" s="17" t="s">
        <v>228</v>
      </c>
      <c r="DC400" s="16"/>
      <c r="DD400" s="17" t="s">
        <v>198</v>
      </c>
      <c r="DE400" s="18">
        <v>45723.29730324074</v>
      </c>
      <c r="DF400" s="17" t="s">
        <v>198</v>
      </c>
      <c r="DG400" s="18">
        <v>45723.29730324074</v>
      </c>
      <c r="DH400" s="13" t="s">
        <v>205</v>
      </c>
      <c r="DI400" s="14" t="s">
        <v>179</v>
      </c>
      <c r="DJ400" s="14" t="s">
        <v>10764</v>
      </c>
      <c r="DK400" s="15"/>
      <c r="DL400" s="15"/>
      <c r="DM400" s="15"/>
      <c r="DN400" s="15"/>
      <c r="DO400" s="15"/>
      <c r="DP400" s="15"/>
      <c r="DQ400" s="15"/>
      <c r="DR400" s="15"/>
      <c r="DS400" s="15"/>
      <c r="DT400" s="15"/>
      <c r="DU400" s="15"/>
      <c r="DV400" s="15"/>
      <c r="DW400" s="15"/>
      <c r="DX400" s="15"/>
      <c r="DY400" s="15"/>
      <c r="DZ400" s="15"/>
      <c r="EA400" s="15"/>
      <c r="EB400" s="15"/>
      <c r="EC400" s="16" t="s">
        <v>197</v>
      </c>
      <c r="ED400" s="17" t="s">
        <v>198</v>
      </c>
      <c r="EE400" s="18">
        <v>45723.29734953704</v>
      </c>
      <c r="EF400" s="13" t="s">
        <v>209</v>
      </c>
      <c r="EG400" s="14" t="s">
        <v>179</v>
      </c>
      <c r="EH400" s="14" t="s">
        <v>10765</v>
      </c>
      <c r="EI400" s="15"/>
      <c r="EJ400" s="15"/>
      <c r="EK400" s="15"/>
      <c r="EL400" s="15"/>
      <c r="EM400" s="15"/>
      <c r="EN400" s="15"/>
      <c r="EO400" s="15"/>
      <c r="EP400" s="15"/>
      <c r="EQ400" s="15"/>
      <c r="ER400" s="15"/>
      <c r="ES400" s="15"/>
      <c r="ET400" s="15"/>
      <c r="EU400" s="15"/>
      <c r="EV400" s="15"/>
      <c r="EW400" s="15"/>
      <c r="EX400" s="15"/>
      <c r="EY400" s="15"/>
      <c r="EZ400" s="15"/>
      <c r="FA400" s="15"/>
      <c r="FB400" s="15"/>
      <c r="FC400" s="16" t="s">
        <v>197</v>
      </c>
      <c r="FD400" s="17" t="s">
        <v>198</v>
      </c>
      <c r="FE400" s="18">
        <v>45723.297418981485</v>
      </c>
      <c r="FF400" s="19"/>
      <c r="FG400" s="19"/>
      <c r="FH400" s="21" t="s">
        <v>197</v>
      </c>
      <c r="FI400" s="17" t="s">
        <v>214</v>
      </c>
      <c r="FJ400" s="18">
        <v>45723.297418981485</v>
      </c>
      <c r="FK400" s="14" t="s">
        <v>10765</v>
      </c>
      <c r="FL400" s="19"/>
      <c r="FM400" s="19"/>
      <c r="FN400" s="19"/>
      <c r="FO400" s="19"/>
      <c r="FP400" s="19" t="str">
        <f t="shared" si="1"/>
        <v/>
      </c>
      <c r="FQ400" s="14" t="s">
        <v>215</v>
      </c>
      <c r="FR400" s="14" t="s">
        <v>10766</v>
      </c>
    </row>
    <row r="401" ht="15.75" customHeight="1">
      <c r="A401" s="12" t="s">
        <v>292</v>
      </c>
      <c r="B401" s="12" t="s">
        <v>1452</v>
      </c>
      <c r="C401" s="12" t="s">
        <v>219</v>
      </c>
      <c r="D401" s="22" t="s">
        <v>10767</v>
      </c>
      <c r="E401" s="22" t="s">
        <v>10768</v>
      </c>
      <c r="F401" s="13" t="s">
        <v>178</v>
      </c>
      <c r="G401" s="14" t="s">
        <v>188</v>
      </c>
      <c r="H401" s="14" t="s">
        <v>10769</v>
      </c>
      <c r="I401" s="14" t="s">
        <v>179</v>
      </c>
      <c r="J401" s="14" t="s">
        <v>10770</v>
      </c>
      <c r="K401" s="14" t="s">
        <v>179</v>
      </c>
      <c r="L401" s="14" t="s">
        <v>10771</v>
      </c>
      <c r="M401" s="14" t="s">
        <v>179</v>
      </c>
      <c r="N401" s="14" t="s">
        <v>10772</v>
      </c>
      <c r="O401" s="14" t="s">
        <v>179</v>
      </c>
      <c r="P401" s="14" t="s">
        <v>10773</v>
      </c>
      <c r="Q401" s="14" t="s">
        <v>179</v>
      </c>
      <c r="R401" s="14" t="s">
        <v>10774</v>
      </c>
      <c r="S401" s="14" t="s">
        <v>179</v>
      </c>
      <c r="T401" s="14" t="s">
        <v>10775</v>
      </c>
      <c r="U401" s="14" t="s">
        <v>179</v>
      </c>
      <c r="V401" s="14" t="s">
        <v>10776</v>
      </c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6" t="s">
        <v>197</v>
      </c>
      <c r="BP401" s="17" t="s">
        <v>228</v>
      </c>
      <c r="BQ401" s="23"/>
      <c r="BR401" s="17" t="s">
        <v>198</v>
      </c>
      <c r="BS401" s="18">
        <v>45700.55547453704</v>
      </c>
      <c r="BT401" s="17" t="s">
        <v>198</v>
      </c>
      <c r="BU401" s="18">
        <v>45700.55547453704</v>
      </c>
      <c r="BV401" s="13" t="s">
        <v>199</v>
      </c>
      <c r="BW401" s="14" t="s">
        <v>179</v>
      </c>
      <c r="BX401" s="14" t="s">
        <v>10777</v>
      </c>
      <c r="BY401" s="14" t="s">
        <v>179</v>
      </c>
      <c r="BZ401" s="14" t="s">
        <v>10778</v>
      </c>
      <c r="CA401" s="15"/>
      <c r="CB401" s="15"/>
      <c r="CC401" s="15"/>
      <c r="CD401" s="15"/>
      <c r="CE401" s="15"/>
      <c r="CF401" s="15"/>
      <c r="CG401" s="19"/>
      <c r="CH401" s="15"/>
      <c r="CI401" s="19"/>
      <c r="CJ401" s="15"/>
      <c r="CK401" s="19"/>
      <c r="CL401" s="15"/>
      <c r="CM401" s="19"/>
      <c r="CN401" s="15"/>
      <c r="CO401" s="19"/>
      <c r="CP401" s="15"/>
      <c r="CQ401" s="15"/>
      <c r="CR401" s="15"/>
      <c r="CS401" s="19"/>
      <c r="CT401" s="15"/>
      <c r="CU401" s="19"/>
      <c r="CV401" s="15"/>
      <c r="CW401" s="19"/>
      <c r="CX401" s="15"/>
      <c r="CY401" s="19"/>
      <c r="CZ401" s="15"/>
      <c r="DA401" s="16" t="s">
        <v>197</v>
      </c>
      <c r="DB401" s="17" t="s">
        <v>228</v>
      </c>
      <c r="DC401" s="16"/>
      <c r="DD401" s="17" t="s">
        <v>198</v>
      </c>
      <c r="DE401" s="18">
        <v>45722.65965277778</v>
      </c>
      <c r="DF401" s="17" t="s">
        <v>198</v>
      </c>
      <c r="DG401" s="18">
        <v>45722.65965277778</v>
      </c>
      <c r="DH401" s="13" t="s">
        <v>205</v>
      </c>
      <c r="DI401" s="14" t="s">
        <v>179</v>
      </c>
      <c r="DJ401" s="14" t="s">
        <v>10779</v>
      </c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6" t="s">
        <v>197</v>
      </c>
      <c r="ED401" s="17" t="s">
        <v>198</v>
      </c>
      <c r="EE401" s="18">
        <v>45722.65969907407</v>
      </c>
      <c r="EF401" s="13" t="s">
        <v>209</v>
      </c>
      <c r="EG401" s="14" t="s">
        <v>179</v>
      </c>
      <c r="EH401" s="14" t="s">
        <v>10780</v>
      </c>
      <c r="EI401" s="15"/>
      <c r="EJ401" s="15"/>
      <c r="EK401" s="15"/>
      <c r="EL401" s="15"/>
      <c r="EM401" s="15"/>
      <c r="EN401" s="15"/>
      <c r="EO401" s="15"/>
      <c r="EP401" s="15"/>
      <c r="EQ401" s="15"/>
      <c r="ER401" s="15"/>
      <c r="ES401" s="15"/>
      <c r="ET401" s="15"/>
      <c r="EU401" s="15"/>
      <c r="EV401" s="15"/>
      <c r="EW401" s="15"/>
      <c r="EX401" s="15"/>
      <c r="EY401" s="15"/>
      <c r="EZ401" s="15"/>
      <c r="FA401" s="15"/>
      <c r="FB401" s="15"/>
      <c r="FC401" s="16" t="s">
        <v>197</v>
      </c>
      <c r="FD401" s="17" t="s">
        <v>198</v>
      </c>
      <c r="FE401" s="18">
        <v>45722.65974537037</v>
      </c>
      <c r="FF401" s="19"/>
      <c r="FG401" s="19"/>
      <c r="FH401" s="21" t="s">
        <v>197</v>
      </c>
      <c r="FI401" s="17" t="s">
        <v>214</v>
      </c>
      <c r="FJ401" s="18">
        <v>45722.65974537037</v>
      </c>
      <c r="FK401" s="14" t="s">
        <v>10780</v>
      </c>
      <c r="FL401" s="19"/>
      <c r="FM401" s="19"/>
      <c r="FN401" s="19"/>
      <c r="FO401" s="19"/>
      <c r="FP401" s="19" t="str">
        <f t="shared" si="1"/>
        <v/>
      </c>
      <c r="FQ401" s="14" t="s">
        <v>215</v>
      </c>
      <c r="FR401" s="14" t="s">
        <v>10781</v>
      </c>
    </row>
    <row r="402" ht="15.75" customHeight="1">
      <c r="A402" s="12" t="s">
        <v>292</v>
      </c>
      <c r="B402" s="12" t="s">
        <v>1975</v>
      </c>
      <c r="C402" s="12" t="s">
        <v>219</v>
      </c>
      <c r="D402" s="22" t="s">
        <v>10782</v>
      </c>
      <c r="E402" s="22" t="s">
        <v>10783</v>
      </c>
      <c r="F402" s="13" t="s">
        <v>178</v>
      </c>
      <c r="G402" s="14" t="s">
        <v>179</v>
      </c>
      <c r="H402" s="14" t="s">
        <v>10784</v>
      </c>
      <c r="I402" s="14" t="s">
        <v>179</v>
      </c>
      <c r="J402" s="14" t="s">
        <v>10785</v>
      </c>
      <c r="K402" s="14" t="s">
        <v>179</v>
      </c>
      <c r="L402" s="14" t="s">
        <v>10786</v>
      </c>
      <c r="M402" s="14" t="s">
        <v>179</v>
      </c>
      <c r="N402" s="14" t="s">
        <v>10787</v>
      </c>
      <c r="O402" s="14" t="s">
        <v>179</v>
      </c>
      <c r="P402" s="14" t="s">
        <v>10787</v>
      </c>
      <c r="Q402" s="14" t="s">
        <v>179</v>
      </c>
      <c r="R402" s="14" t="s">
        <v>10788</v>
      </c>
      <c r="S402" s="14" t="s">
        <v>179</v>
      </c>
      <c r="T402" s="14" t="s">
        <v>10789</v>
      </c>
      <c r="U402" s="14" t="s">
        <v>179</v>
      </c>
      <c r="V402" s="14" t="s">
        <v>10790</v>
      </c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6" t="s">
        <v>197</v>
      </c>
      <c r="BP402" s="17" t="s">
        <v>228</v>
      </c>
      <c r="BQ402" s="23"/>
      <c r="BR402" s="17" t="s">
        <v>198</v>
      </c>
      <c r="BS402" s="18">
        <v>45702.456238425926</v>
      </c>
      <c r="BT402" s="17" t="s">
        <v>198</v>
      </c>
      <c r="BU402" s="18">
        <v>45702.456238425926</v>
      </c>
      <c r="BV402" s="13" t="s">
        <v>199</v>
      </c>
      <c r="BW402" s="14" t="s">
        <v>179</v>
      </c>
      <c r="BX402" s="14" t="s">
        <v>10791</v>
      </c>
      <c r="BY402" s="14" t="s">
        <v>179</v>
      </c>
      <c r="BZ402" s="14" t="s">
        <v>10792</v>
      </c>
      <c r="CA402" s="15"/>
      <c r="CB402" s="15"/>
      <c r="CC402" s="15"/>
      <c r="CD402" s="15"/>
      <c r="CE402" s="15"/>
      <c r="CF402" s="15"/>
      <c r="CG402" s="19"/>
      <c r="CH402" s="15"/>
      <c r="CI402" s="19"/>
      <c r="CJ402" s="15"/>
      <c r="CK402" s="19"/>
      <c r="CL402" s="15"/>
      <c r="CM402" s="19"/>
      <c r="CN402" s="15"/>
      <c r="CO402" s="19"/>
      <c r="CP402" s="15"/>
      <c r="CQ402" s="15"/>
      <c r="CR402" s="15"/>
      <c r="CS402" s="19"/>
      <c r="CT402" s="15"/>
      <c r="CU402" s="19"/>
      <c r="CV402" s="15"/>
      <c r="CW402" s="19"/>
      <c r="CX402" s="15"/>
      <c r="CY402" s="19"/>
      <c r="CZ402" s="15"/>
      <c r="DA402" s="16" t="s">
        <v>197</v>
      </c>
      <c r="DB402" s="17" t="s">
        <v>228</v>
      </c>
      <c r="DC402" s="16"/>
      <c r="DD402" s="17" t="s">
        <v>198</v>
      </c>
      <c r="DE402" s="18">
        <v>45702.45805555556</v>
      </c>
      <c r="DF402" s="17" t="s">
        <v>198</v>
      </c>
      <c r="DG402" s="18">
        <v>45702.45805555556</v>
      </c>
      <c r="DH402" s="13" t="s">
        <v>205</v>
      </c>
      <c r="DI402" s="14" t="s">
        <v>179</v>
      </c>
      <c r="DJ402" s="14" t="s">
        <v>10793</v>
      </c>
      <c r="DK402" s="15"/>
      <c r="DL402" s="15"/>
      <c r="DM402" s="15"/>
      <c r="DN402" s="15"/>
      <c r="DO402" s="15"/>
      <c r="DP402" s="15"/>
      <c r="DQ402" s="15"/>
      <c r="DR402" s="15"/>
      <c r="DS402" s="15"/>
      <c r="DT402" s="15"/>
      <c r="DU402" s="15"/>
      <c r="DV402" s="15"/>
      <c r="DW402" s="15"/>
      <c r="DX402" s="15"/>
      <c r="DY402" s="15"/>
      <c r="DZ402" s="15"/>
      <c r="EA402" s="15"/>
      <c r="EB402" s="15"/>
      <c r="EC402" s="16" t="s">
        <v>197</v>
      </c>
      <c r="ED402" s="17" t="s">
        <v>198</v>
      </c>
      <c r="EE402" s="18">
        <v>45719.50443287037</v>
      </c>
      <c r="EF402" s="13" t="s">
        <v>209</v>
      </c>
      <c r="EG402" s="14" t="s">
        <v>179</v>
      </c>
      <c r="EH402" s="14" t="s">
        <v>10794</v>
      </c>
      <c r="EI402" s="15"/>
      <c r="EJ402" s="15"/>
      <c r="EK402" s="15"/>
      <c r="EL402" s="15"/>
      <c r="EM402" s="15"/>
      <c r="EN402" s="15"/>
      <c r="EO402" s="15"/>
      <c r="EP402" s="15"/>
      <c r="EQ402" s="15"/>
      <c r="ER402" s="15"/>
      <c r="ES402" s="15"/>
      <c r="ET402" s="15"/>
      <c r="EU402" s="15"/>
      <c r="EV402" s="15"/>
      <c r="EW402" s="15"/>
      <c r="EX402" s="15"/>
      <c r="EY402" s="15"/>
      <c r="EZ402" s="15"/>
      <c r="FA402" s="15"/>
      <c r="FB402" s="15"/>
      <c r="FC402" s="16" t="s">
        <v>197</v>
      </c>
      <c r="FD402" s="17" t="s">
        <v>198</v>
      </c>
      <c r="FE402" s="18">
        <v>45722.509247685186</v>
      </c>
      <c r="FF402" s="19"/>
      <c r="FG402" s="19"/>
      <c r="FH402" s="21" t="s">
        <v>197</v>
      </c>
      <c r="FI402" s="17" t="s">
        <v>214</v>
      </c>
      <c r="FJ402" s="18">
        <v>45722.509247685186</v>
      </c>
      <c r="FK402" s="14" t="s">
        <v>10794</v>
      </c>
      <c r="FL402" s="19"/>
      <c r="FM402" s="19"/>
      <c r="FN402" s="19"/>
      <c r="FO402" s="19"/>
      <c r="FP402" s="19" t="str">
        <f t="shared" si="1"/>
        <v/>
      </c>
      <c r="FQ402" s="14" t="s">
        <v>215</v>
      </c>
      <c r="FR402" s="14" t="s">
        <v>10795</v>
      </c>
    </row>
    <row r="403" ht="15.75" customHeight="1">
      <c r="A403" s="12" t="s">
        <v>292</v>
      </c>
      <c r="B403" s="12" t="s">
        <v>1610</v>
      </c>
      <c r="C403" s="12" t="s">
        <v>219</v>
      </c>
      <c r="D403" s="22" t="s">
        <v>10796</v>
      </c>
      <c r="E403" s="22" t="s">
        <v>10797</v>
      </c>
      <c r="F403" s="13" t="s">
        <v>178</v>
      </c>
      <c r="G403" s="14" t="s">
        <v>179</v>
      </c>
      <c r="H403" s="14" t="s">
        <v>10798</v>
      </c>
      <c r="I403" s="14" t="s">
        <v>179</v>
      </c>
      <c r="J403" s="14" t="s">
        <v>10799</v>
      </c>
      <c r="K403" s="14" t="s">
        <v>179</v>
      </c>
      <c r="L403" s="14" t="s">
        <v>10800</v>
      </c>
      <c r="M403" s="14" t="s">
        <v>179</v>
      </c>
      <c r="N403" s="14" t="s">
        <v>10801</v>
      </c>
      <c r="O403" s="14" t="s">
        <v>179</v>
      </c>
      <c r="P403" s="14" t="s">
        <v>10802</v>
      </c>
      <c r="Q403" s="14" t="s">
        <v>179</v>
      </c>
      <c r="R403" s="14" t="s">
        <v>10802</v>
      </c>
      <c r="S403" s="14" t="s">
        <v>179</v>
      </c>
      <c r="T403" s="14" t="s">
        <v>10803</v>
      </c>
      <c r="U403" s="14" t="s">
        <v>179</v>
      </c>
      <c r="V403" s="14" t="s">
        <v>10804</v>
      </c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6" t="s">
        <v>197</v>
      </c>
      <c r="BP403" s="17" t="s">
        <v>228</v>
      </c>
      <c r="BQ403" s="23"/>
      <c r="BR403" s="17" t="s">
        <v>198</v>
      </c>
      <c r="BS403" s="18">
        <v>45687.49568287037</v>
      </c>
      <c r="BT403" s="17" t="s">
        <v>198</v>
      </c>
      <c r="BU403" s="18">
        <v>45687.49568287037</v>
      </c>
      <c r="BV403" s="13" t="s">
        <v>199</v>
      </c>
      <c r="BW403" s="14" t="s">
        <v>179</v>
      </c>
      <c r="BX403" s="14" t="s">
        <v>10805</v>
      </c>
      <c r="BY403" s="14" t="s">
        <v>179</v>
      </c>
      <c r="BZ403" s="14" t="s">
        <v>10806</v>
      </c>
      <c r="CA403" s="15"/>
      <c r="CB403" s="15"/>
      <c r="CC403" s="15"/>
      <c r="CD403" s="15"/>
      <c r="CE403" s="15"/>
      <c r="CF403" s="15"/>
      <c r="CG403" s="19"/>
      <c r="CH403" s="15"/>
      <c r="CI403" s="19"/>
      <c r="CJ403" s="15"/>
      <c r="CK403" s="19"/>
      <c r="CL403" s="15"/>
      <c r="CM403" s="19"/>
      <c r="CN403" s="15"/>
      <c r="CO403" s="19"/>
      <c r="CP403" s="15"/>
      <c r="CQ403" s="15"/>
      <c r="CR403" s="15"/>
      <c r="CS403" s="19"/>
      <c r="CT403" s="15"/>
      <c r="CU403" s="19"/>
      <c r="CV403" s="15"/>
      <c r="CW403" s="19"/>
      <c r="CX403" s="15"/>
      <c r="CY403" s="19"/>
      <c r="CZ403" s="15"/>
      <c r="DA403" s="16" t="s">
        <v>197</v>
      </c>
      <c r="DB403" s="17" t="s">
        <v>228</v>
      </c>
      <c r="DC403" s="16"/>
      <c r="DD403" s="17" t="s">
        <v>198</v>
      </c>
      <c r="DE403" s="18">
        <v>45693.44119212963</v>
      </c>
      <c r="DF403" s="17" t="s">
        <v>198</v>
      </c>
      <c r="DG403" s="18">
        <v>45693.44119212963</v>
      </c>
      <c r="DH403" s="13" t="s">
        <v>205</v>
      </c>
      <c r="DI403" s="14" t="s">
        <v>179</v>
      </c>
      <c r="DJ403" s="14" t="s">
        <v>10807</v>
      </c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6" t="s">
        <v>197</v>
      </c>
      <c r="ED403" s="17" t="s">
        <v>198</v>
      </c>
      <c r="EE403" s="18">
        <v>45719.51820601852</v>
      </c>
      <c r="EF403" s="13" t="s">
        <v>209</v>
      </c>
      <c r="EG403" s="14" t="s">
        <v>179</v>
      </c>
      <c r="EH403" s="14" t="s">
        <v>10808</v>
      </c>
      <c r="EI403" s="15"/>
      <c r="EJ403" s="15"/>
      <c r="EK403" s="15"/>
      <c r="EL403" s="15"/>
      <c r="EM403" s="15"/>
      <c r="EN403" s="15"/>
      <c r="EO403" s="15"/>
      <c r="EP403" s="15"/>
      <c r="EQ403" s="15"/>
      <c r="ER403" s="15"/>
      <c r="ES403" s="15"/>
      <c r="ET403" s="15"/>
      <c r="EU403" s="15"/>
      <c r="EV403" s="15"/>
      <c r="EW403" s="15"/>
      <c r="EX403" s="15"/>
      <c r="EY403" s="15"/>
      <c r="EZ403" s="15"/>
      <c r="FA403" s="15"/>
      <c r="FB403" s="15"/>
      <c r="FC403" s="16" t="s">
        <v>197</v>
      </c>
      <c r="FD403" s="17" t="s">
        <v>198</v>
      </c>
      <c r="FE403" s="18">
        <v>45723.306446759256</v>
      </c>
      <c r="FF403" s="19"/>
      <c r="FG403" s="19"/>
      <c r="FH403" s="21" t="s">
        <v>197</v>
      </c>
      <c r="FI403" s="17" t="s">
        <v>214</v>
      </c>
      <c r="FJ403" s="18">
        <v>45723.306446759256</v>
      </c>
      <c r="FK403" s="14" t="s">
        <v>10808</v>
      </c>
      <c r="FL403" s="14" t="s">
        <v>10809</v>
      </c>
      <c r="FM403" s="14" t="s">
        <v>10810</v>
      </c>
      <c r="FN403" s="19"/>
      <c r="FO403" s="19"/>
      <c r="FP403" s="19" t="str">
        <f t="shared" si="1"/>
        <v>Base de Dados_Images/LCV30048.Imagem do Equipamento-.134258.jpg</v>
      </c>
      <c r="FQ403" s="19"/>
      <c r="FR403" s="19"/>
    </row>
    <row r="404" ht="15.75" customHeight="1">
      <c r="A404" s="12" t="s">
        <v>292</v>
      </c>
      <c r="B404" s="12" t="s">
        <v>10811</v>
      </c>
      <c r="C404" s="12" t="s">
        <v>219</v>
      </c>
      <c r="D404" s="22" t="s">
        <v>10812</v>
      </c>
      <c r="E404" s="22" t="s">
        <v>10813</v>
      </c>
      <c r="F404" s="13" t="s">
        <v>178</v>
      </c>
      <c r="G404" s="14" t="s">
        <v>179</v>
      </c>
      <c r="H404" s="14" t="s">
        <v>10814</v>
      </c>
      <c r="I404" s="14" t="s">
        <v>179</v>
      </c>
      <c r="J404" s="14" t="s">
        <v>10814</v>
      </c>
      <c r="K404" s="14" t="s">
        <v>179</v>
      </c>
      <c r="L404" s="14" t="s">
        <v>10815</v>
      </c>
      <c r="M404" s="14" t="s">
        <v>179</v>
      </c>
      <c r="N404" s="14" t="s">
        <v>10816</v>
      </c>
      <c r="O404" s="14" t="s">
        <v>179</v>
      </c>
      <c r="P404" s="14" t="s">
        <v>10817</v>
      </c>
      <c r="Q404" s="14" t="s">
        <v>179</v>
      </c>
      <c r="R404" s="14" t="s">
        <v>10818</v>
      </c>
      <c r="S404" s="14" t="s">
        <v>179</v>
      </c>
      <c r="T404" s="14" t="s">
        <v>10818</v>
      </c>
      <c r="U404" s="14" t="s">
        <v>179</v>
      </c>
      <c r="V404" s="14" t="s">
        <v>10819</v>
      </c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6" t="s">
        <v>197</v>
      </c>
      <c r="BP404" s="17" t="s">
        <v>228</v>
      </c>
      <c r="BQ404" s="23"/>
      <c r="BR404" s="17" t="s">
        <v>198</v>
      </c>
      <c r="BS404" s="18">
        <v>45687.46976851852</v>
      </c>
      <c r="BT404" s="17" t="s">
        <v>198</v>
      </c>
      <c r="BU404" s="18">
        <v>45687.46976851852</v>
      </c>
      <c r="BV404" s="13" t="s">
        <v>199</v>
      </c>
      <c r="BW404" s="14" t="s">
        <v>179</v>
      </c>
      <c r="BX404" s="14" t="s">
        <v>10820</v>
      </c>
      <c r="BY404" s="14" t="s">
        <v>179</v>
      </c>
      <c r="BZ404" s="14" t="s">
        <v>10820</v>
      </c>
      <c r="CA404" s="15"/>
      <c r="CB404" s="15"/>
      <c r="CC404" s="15"/>
      <c r="CD404" s="15"/>
      <c r="CE404" s="15"/>
      <c r="CF404" s="15"/>
      <c r="CG404" s="19"/>
      <c r="CH404" s="15"/>
      <c r="CI404" s="19"/>
      <c r="CJ404" s="15"/>
      <c r="CK404" s="19"/>
      <c r="CL404" s="15"/>
      <c r="CM404" s="19"/>
      <c r="CN404" s="15"/>
      <c r="CO404" s="19"/>
      <c r="CP404" s="15"/>
      <c r="CQ404" s="15"/>
      <c r="CR404" s="15"/>
      <c r="CS404" s="19"/>
      <c r="CT404" s="15"/>
      <c r="CU404" s="19"/>
      <c r="CV404" s="15"/>
      <c r="CW404" s="19"/>
      <c r="CX404" s="15"/>
      <c r="CY404" s="19"/>
      <c r="CZ404" s="15"/>
      <c r="DA404" s="16" t="s">
        <v>197</v>
      </c>
      <c r="DB404" s="17" t="s">
        <v>228</v>
      </c>
      <c r="DC404" s="16"/>
      <c r="DD404" s="17" t="s">
        <v>198</v>
      </c>
      <c r="DE404" s="18">
        <v>45719.42753472222</v>
      </c>
      <c r="DF404" s="17" t="s">
        <v>198</v>
      </c>
      <c r="DG404" s="18">
        <v>45719.42753472222</v>
      </c>
      <c r="DH404" s="13" t="s">
        <v>205</v>
      </c>
      <c r="DI404" s="14" t="s">
        <v>179</v>
      </c>
      <c r="DJ404" s="14" t="s">
        <v>10821</v>
      </c>
      <c r="DK404" s="15"/>
      <c r="DL404" s="15"/>
      <c r="DM404" s="15"/>
      <c r="DN404" s="15"/>
      <c r="DO404" s="15"/>
      <c r="DP404" s="15"/>
      <c r="DQ404" s="15"/>
      <c r="DR404" s="15"/>
      <c r="DS404" s="15"/>
      <c r="DT404" s="15"/>
      <c r="DU404" s="15"/>
      <c r="DV404" s="15"/>
      <c r="DW404" s="15"/>
      <c r="DX404" s="15"/>
      <c r="DY404" s="15"/>
      <c r="DZ404" s="15"/>
      <c r="EA404" s="15"/>
      <c r="EB404" s="15"/>
      <c r="EC404" s="16" t="s">
        <v>197</v>
      </c>
      <c r="ED404" s="17" t="s">
        <v>198</v>
      </c>
      <c r="EE404" s="18">
        <v>45719.42820601852</v>
      </c>
      <c r="EF404" s="13" t="s">
        <v>209</v>
      </c>
      <c r="EG404" s="14" t="s">
        <v>179</v>
      </c>
      <c r="EH404" s="14" t="s">
        <v>10822</v>
      </c>
      <c r="EI404" s="15"/>
      <c r="EJ404" s="15"/>
      <c r="EK404" s="15"/>
      <c r="EL404" s="15"/>
      <c r="EM404" s="15"/>
      <c r="EN404" s="15"/>
      <c r="EO404" s="15"/>
      <c r="EP404" s="15"/>
      <c r="EQ404" s="15"/>
      <c r="ER404" s="15"/>
      <c r="ES404" s="15"/>
      <c r="ET404" s="15"/>
      <c r="EU404" s="15"/>
      <c r="EV404" s="15"/>
      <c r="EW404" s="15"/>
      <c r="EX404" s="15"/>
      <c r="EY404" s="15"/>
      <c r="EZ404" s="15"/>
      <c r="FA404" s="15"/>
      <c r="FB404" s="15"/>
      <c r="FC404" s="16" t="s">
        <v>197</v>
      </c>
      <c r="FD404" s="17" t="s">
        <v>198</v>
      </c>
      <c r="FE404" s="18">
        <v>45722.36048611111</v>
      </c>
      <c r="FF404" s="19"/>
      <c r="FG404" s="19"/>
      <c r="FH404" s="21" t="s">
        <v>197</v>
      </c>
      <c r="FI404" s="17" t="s">
        <v>214</v>
      </c>
      <c r="FJ404" s="18">
        <v>45722.36048611111</v>
      </c>
      <c r="FK404" s="14" t="s">
        <v>10822</v>
      </c>
      <c r="FL404" s="14" t="s">
        <v>10823</v>
      </c>
      <c r="FM404" s="14" t="s">
        <v>10824</v>
      </c>
      <c r="FN404" s="19"/>
      <c r="FO404" s="19"/>
      <c r="FP404" s="19" t="str">
        <f t="shared" si="1"/>
        <v>Base de Dados_Images/LCV35001.Imagem do Equipamento-.145309.jpg</v>
      </c>
      <c r="FQ404" s="19"/>
      <c r="FR404" s="19"/>
    </row>
    <row r="405" ht="15.75" customHeight="1">
      <c r="A405" s="12" t="s">
        <v>292</v>
      </c>
      <c r="B405" s="12" t="s">
        <v>1740</v>
      </c>
      <c r="C405" s="12" t="s">
        <v>219</v>
      </c>
      <c r="D405" s="22" t="s">
        <v>10825</v>
      </c>
      <c r="E405" s="22" t="s">
        <v>10826</v>
      </c>
      <c r="F405" s="13" t="s">
        <v>178</v>
      </c>
      <c r="G405" s="14" t="s">
        <v>179</v>
      </c>
      <c r="H405" s="14" t="s">
        <v>10827</v>
      </c>
      <c r="I405" s="14" t="s">
        <v>179</v>
      </c>
      <c r="J405" s="14" t="s">
        <v>10828</v>
      </c>
      <c r="K405" s="14" t="s">
        <v>179</v>
      </c>
      <c r="L405" s="14" t="s">
        <v>10829</v>
      </c>
      <c r="M405" s="14" t="s">
        <v>179</v>
      </c>
      <c r="N405" s="14" t="s">
        <v>10830</v>
      </c>
      <c r="O405" s="14" t="s">
        <v>179</v>
      </c>
      <c r="P405" s="14" t="s">
        <v>10831</v>
      </c>
      <c r="Q405" s="14" t="s">
        <v>179</v>
      </c>
      <c r="R405" s="14" t="s">
        <v>10832</v>
      </c>
      <c r="S405" s="14" t="s">
        <v>179</v>
      </c>
      <c r="T405" s="14" t="s">
        <v>10833</v>
      </c>
      <c r="U405" s="14" t="s">
        <v>179</v>
      </c>
      <c r="V405" s="14" t="s">
        <v>10834</v>
      </c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6" t="s">
        <v>197</v>
      </c>
      <c r="BP405" s="17" t="s">
        <v>228</v>
      </c>
      <c r="BQ405" s="23"/>
      <c r="BR405" s="17" t="s">
        <v>198</v>
      </c>
      <c r="BS405" s="18">
        <v>45689.456458333334</v>
      </c>
      <c r="BT405" s="17" t="s">
        <v>198</v>
      </c>
      <c r="BU405" s="18">
        <v>45689.456458333334</v>
      </c>
      <c r="BV405" s="13" t="s">
        <v>199</v>
      </c>
      <c r="BW405" s="14" t="s">
        <v>179</v>
      </c>
      <c r="BX405" s="14" t="s">
        <v>10835</v>
      </c>
      <c r="BY405" s="14" t="s">
        <v>179</v>
      </c>
      <c r="BZ405" s="14" t="s">
        <v>10836</v>
      </c>
      <c r="CA405" s="15"/>
      <c r="CB405" s="15"/>
      <c r="CC405" s="15"/>
      <c r="CD405" s="15"/>
      <c r="CE405" s="15"/>
      <c r="CF405" s="15"/>
      <c r="CG405" s="19"/>
      <c r="CH405" s="15"/>
      <c r="CI405" s="19"/>
      <c r="CJ405" s="15"/>
      <c r="CK405" s="19"/>
      <c r="CL405" s="15"/>
      <c r="CM405" s="19"/>
      <c r="CN405" s="15"/>
      <c r="CO405" s="19"/>
      <c r="CP405" s="15"/>
      <c r="CQ405" s="15"/>
      <c r="CR405" s="15"/>
      <c r="CS405" s="19"/>
      <c r="CT405" s="15"/>
      <c r="CU405" s="19"/>
      <c r="CV405" s="15"/>
      <c r="CW405" s="19"/>
      <c r="CX405" s="15"/>
      <c r="CY405" s="19"/>
      <c r="CZ405" s="15"/>
      <c r="DA405" s="16" t="s">
        <v>197</v>
      </c>
      <c r="DB405" s="17" t="s">
        <v>228</v>
      </c>
      <c r="DC405" s="16"/>
      <c r="DD405" s="17" t="s">
        <v>198</v>
      </c>
      <c r="DE405" s="18">
        <v>45719.450694444444</v>
      </c>
      <c r="DF405" s="17" t="s">
        <v>198</v>
      </c>
      <c r="DG405" s="18">
        <v>45719.450694444444</v>
      </c>
      <c r="DH405" s="13" t="s">
        <v>205</v>
      </c>
      <c r="DI405" s="14" t="s">
        <v>179</v>
      </c>
      <c r="DJ405" s="14" t="s">
        <v>10837</v>
      </c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6" t="s">
        <v>197</v>
      </c>
      <c r="ED405" s="17" t="s">
        <v>198</v>
      </c>
      <c r="EE405" s="18">
        <v>45719.45075231481</v>
      </c>
      <c r="EF405" s="13" t="s">
        <v>209</v>
      </c>
      <c r="EG405" s="14" t="s">
        <v>179</v>
      </c>
      <c r="EH405" s="14" t="s">
        <v>10838</v>
      </c>
      <c r="EI405" s="15"/>
      <c r="EJ405" s="15"/>
      <c r="EK405" s="15"/>
      <c r="EL405" s="15"/>
      <c r="EM405" s="15"/>
      <c r="EN405" s="15"/>
      <c r="EO405" s="15"/>
      <c r="EP405" s="15"/>
      <c r="EQ405" s="15"/>
      <c r="ER405" s="15"/>
      <c r="ES405" s="15"/>
      <c r="ET405" s="15"/>
      <c r="EU405" s="15"/>
      <c r="EV405" s="15"/>
      <c r="EW405" s="15"/>
      <c r="EX405" s="15"/>
      <c r="EY405" s="15"/>
      <c r="EZ405" s="15"/>
      <c r="FA405" s="15"/>
      <c r="FB405" s="15"/>
      <c r="FC405" s="16" t="s">
        <v>197</v>
      </c>
      <c r="FD405" s="17" t="s">
        <v>198</v>
      </c>
      <c r="FE405" s="18">
        <v>45722.36240740741</v>
      </c>
      <c r="FF405" s="19"/>
      <c r="FG405" s="19"/>
      <c r="FH405" s="21" t="s">
        <v>197</v>
      </c>
      <c r="FI405" s="17" t="s">
        <v>214</v>
      </c>
      <c r="FJ405" s="18">
        <v>45722.36240740741</v>
      </c>
      <c r="FK405" s="14" t="s">
        <v>10838</v>
      </c>
      <c r="FL405" s="14" t="s">
        <v>10839</v>
      </c>
      <c r="FM405" s="14" t="s">
        <v>10840</v>
      </c>
      <c r="FN405" s="19"/>
      <c r="FO405" s="19"/>
      <c r="FP405" s="19" t="str">
        <f t="shared" si="1"/>
        <v>Base de Dados_Images/LCV35003.Imagem do Equipamento-.135751.jpg</v>
      </c>
      <c r="FQ405" s="14"/>
      <c r="FR405" s="14"/>
    </row>
    <row r="406" ht="15.75" customHeight="1">
      <c r="A406" s="12" t="s">
        <v>292</v>
      </c>
      <c r="B406" s="12" t="s">
        <v>10841</v>
      </c>
      <c r="C406" s="12" t="s">
        <v>219</v>
      </c>
      <c r="D406" s="22" t="s">
        <v>10842</v>
      </c>
      <c r="E406" s="22" t="s">
        <v>10843</v>
      </c>
      <c r="F406" s="13" t="s">
        <v>178</v>
      </c>
      <c r="G406" s="14" t="s">
        <v>179</v>
      </c>
      <c r="H406" s="14" t="s">
        <v>10844</v>
      </c>
      <c r="I406" s="14" t="s">
        <v>179</v>
      </c>
      <c r="J406" s="14" t="s">
        <v>10844</v>
      </c>
      <c r="K406" s="14" t="s">
        <v>179</v>
      </c>
      <c r="L406" s="14" t="s">
        <v>10845</v>
      </c>
      <c r="M406" s="14" t="s">
        <v>179</v>
      </c>
      <c r="N406" s="14" t="s">
        <v>10846</v>
      </c>
      <c r="O406" s="14" t="s">
        <v>179</v>
      </c>
      <c r="P406" s="14" t="s">
        <v>10847</v>
      </c>
      <c r="Q406" s="14" t="s">
        <v>179</v>
      </c>
      <c r="R406" s="14" t="s">
        <v>10848</v>
      </c>
      <c r="S406" s="14" t="s">
        <v>179</v>
      </c>
      <c r="T406" s="14" t="s">
        <v>10848</v>
      </c>
      <c r="U406" s="14" t="s">
        <v>179</v>
      </c>
      <c r="V406" s="14" t="s">
        <v>10849</v>
      </c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6" t="s">
        <v>197</v>
      </c>
      <c r="BP406" s="17" t="s">
        <v>228</v>
      </c>
      <c r="BQ406" s="23"/>
      <c r="BR406" s="17" t="s">
        <v>198</v>
      </c>
      <c r="BS406" s="18">
        <v>45687.49681712963</v>
      </c>
      <c r="BT406" s="17" t="s">
        <v>198</v>
      </c>
      <c r="BU406" s="18">
        <v>45687.49681712963</v>
      </c>
      <c r="BV406" s="13" t="s">
        <v>199</v>
      </c>
      <c r="BW406" s="14" t="s">
        <v>179</v>
      </c>
      <c r="BX406" s="14" t="s">
        <v>10850</v>
      </c>
      <c r="BY406" s="14" t="s">
        <v>179</v>
      </c>
      <c r="BZ406" s="14" t="s">
        <v>10851</v>
      </c>
      <c r="CA406" s="15"/>
      <c r="CB406" s="15"/>
      <c r="CC406" s="15"/>
      <c r="CD406" s="15"/>
      <c r="CE406" s="15"/>
      <c r="CF406" s="15"/>
      <c r="CG406" s="19"/>
      <c r="CH406" s="15"/>
      <c r="CI406" s="19"/>
      <c r="CJ406" s="15"/>
      <c r="CK406" s="19"/>
      <c r="CL406" s="15"/>
      <c r="CM406" s="19"/>
      <c r="CN406" s="15"/>
      <c r="CO406" s="19"/>
      <c r="CP406" s="15"/>
      <c r="CQ406" s="15"/>
      <c r="CR406" s="15"/>
      <c r="CS406" s="19"/>
      <c r="CT406" s="15"/>
      <c r="CU406" s="19"/>
      <c r="CV406" s="15"/>
      <c r="CW406" s="19"/>
      <c r="CX406" s="15"/>
      <c r="CY406" s="19"/>
      <c r="CZ406" s="15"/>
      <c r="DA406" s="16" t="s">
        <v>197</v>
      </c>
      <c r="DB406" s="17" t="s">
        <v>228</v>
      </c>
      <c r="DC406" s="16"/>
      <c r="DD406" s="17" t="s">
        <v>198</v>
      </c>
      <c r="DE406" s="18">
        <v>45719.4721875</v>
      </c>
      <c r="DF406" s="17" t="s">
        <v>198</v>
      </c>
      <c r="DG406" s="18">
        <v>45719.4721875</v>
      </c>
      <c r="DH406" s="13" t="s">
        <v>205</v>
      </c>
      <c r="DI406" s="14" t="s">
        <v>179</v>
      </c>
      <c r="DJ406" s="14" t="s">
        <v>10852</v>
      </c>
      <c r="DK406" s="15"/>
      <c r="DL406" s="15"/>
      <c r="DM406" s="15"/>
      <c r="DN406" s="15"/>
      <c r="DO406" s="15"/>
      <c r="DP406" s="15"/>
      <c r="DQ406" s="15"/>
      <c r="DR406" s="15"/>
      <c r="DS406" s="15"/>
      <c r="DT406" s="15"/>
      <c r="DU406" s="15"/>
      <c r="DV406" s="15"/>
      <c r="DW406" s="15"/>
      <c r="DX406" s="15"/>
      <c r="DY406" s="15"/>
      <c r="DZ406" s="15"/>
      <c r="EA406" s="15"/>
      <c r="EB406" s="15"/>
      <c r="EC406" s="16" t="s">
        <v>197</v>
      </c>
      <c r="ED406" s="17" t="s">
        <v>198</v>
      </c>
      <c r="EE406" s="18">
        <v>45719.472233796296</v>
      </c>
      <c r="EF406" s="13" t="s">
        <v>209</v>
      </c>
      <c r="EG406" s="14" t="s">
        <v>179</v>
      </c>
      <c r="EH406" s="14" t="s">
        <v>10853</v>
      </c>
      <c r="EI406" s="15"/>
      <c r="EJ406" s="15"/>
      <c r="EK406" s="15"/>
      <c r="EL406" s="15"/>
      <c r="EM406" s="15"/>
      <c r="EN406" s="15"/>
      <c r="EO406" s="15"/>
      <c r="EP406" s="15"/>
      <c r="EQ406" s="15"/>
      <c r="ER406" s="15"/>
      <c r="ES406" s="15"/>
      <c r="ET406" s="15"/>
      <c r="EU406" s="15"/>
      <c r="EV406" s="15"/>
      <c r="EW406" s="15"/>
      <c r="EX406" s="15"/>
      <c r="EY406" s="15"/>
      <c r="EZ406" s="15"/>
      <c r="FA406" s="15"/>
      <c r="FB406" s="15"/>
      <c r="FC406" s="16" t="s">
        <v>197</v>
      </c>
      <c r="FD406" s="17" t="s">
        <v>198</v>
      </c>
      <c r="FE406" s="18">
        <v>45722.36111111111</v>
      </c>
      <c r="FF406" s="19"/>
      <c r="FG406" s="19"/>
      <c r="FH406" s="21" t="s">
        <v>197</v>
      </c>
      <c r="FI406" s="17" t="s">
        <v>214</v>
      </c>
      <c r="FJ406" s="18">
        <v>45722.36111111111</v>
      </c>
      <c r="FK406" s="14" t="s">
        <v>10853</v>
      </c>
      <c r="FL406" s="14" t="s">
        <v>10854</v>
      </c>
      <c r="FM406" s="14" t="s">
        <v>10855</v>
      </c>
      <c r="FN406" s="19"/>
      <c r="FO406" s="19"/>
      <c r="FP406" s="19" t="str">
        <f t="shared" si="1"/>
        <v>Base de Dados_Images/LCV35004.Imagem do Equipamento-.145643.jpg</v>
      </c>
      <c r="FQ406" s="19"/>
      <c r="FR406" s="19"/>
    </row>
    <row r="407" ht="15.75" customHeight="1">
      <c r="A407" s="12" t="s">
        <v>292</v>
      </c>
      <c r="B407" s="12" t="s">
        <v>374</v>
      </c>
      <c r="C407" s="12" t="s">
        <v>219</v>
      </c>
      <c r="D407" s="22" t="s">
        <v>10856</v>
      </c>
      <c r="E407" s="22" t="s">
        <v>10857</v>
      </c>
      <c r="F407" s="13" t="s">
        <v>178</v>
      </c>
      <c r="G407" s="14" t="s">
        <v>179</v>
      </c>
      <c r="H407" s="14" t="s">
        <v>10858</v>
      </c>
      <c r="I407" s="14" t="s">
        <v>179</v>
      </c>
      <c r="J407" s="14" t="s">
        <v>10859</v>
      </c>
      <c r="K407" s="14" t="s">
        <v>179</v>
      </c>
      <c r="L407" s="14" t="s">
        <v>10860</v>
      </c>
      <c r="M407" s="14" t="s">
        <v>179</v>
      </c>
      <c r="N407" s="14" t="s">
        <v>10861</v>
      </c>
      <c r="O407" s="14" t="s">
        <v>179</v>
      </c>
      <c r="P407" s="14" t="s">
        <v>10862</v>
      </c>
      <c r="Q407" s="14" t="s">
        <v>179</v>
      </c>
      <c r="R407" s="14" t="s">
        <v>10863</v>
      </c>
      <c r="S407" s="14" t="s">
        <v>179</v>
      </c>
      <c r="T407" s="14" t="s">
        <v>10864</v>
      </c>
      <c r="U407" s="14" t="s">
        <v>179</v>
      </c>
      <c r="V407" s="14" t="s">
        <v>10865</v>
      </c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6" t="s">
        <v>197</v>
      </c>
      <c r="BP407" s="17" t="s">
        <v>228</v>
      </c>
      <c r="BQ407" s="23"/>
      <c r="BR407" s="17" t="s">
        <v>198</v>
      </c>
      <c r="BS407" s="18">
        <v>45689.5102662037</v>
      </c>
      <c r="BT407" s="17" t="s">
        <v>198</v>
      </c>
      <c r="BU407" s="18">
        <v>45689.5102662037</v>
      </c>
      <c r="BV407" s="13" t="s">
        <v>199</v>
      </c>
      <c r="BW407" s="14" t="s">
        <v>179</v>
      </c>
      <c r="BX407" s="14" t="s">
        <v>10866</v>
      </c>
      <c r="BY407" s="14" t="s">
        <v>179</v>
      </c>
      <c r="BZ407" s="14" t="s">
        <v>10867</v>
      </c>
      <c r="CA407" s="15"/>
      <c r="CB407" s="15"/>
      <c r="CC407" s="15"/>
      <c r="CD407" s="15"/>
      <c r="CE407" s="15"/>
      <c r="CF407" s="15"/>
      <c r="CG407" s="19"/>
      <c r="CH407" s="15"/>
      <c r="CI407" s="19"/>
      <c r="CJ407" s="15"/>
      <c r="CK407" s="19"/>
      <c r="CL407" s="15"/>
      <c r="CM407" s="19"/>
      <c r="CN407" s="15"/>
      <c r="CO407" s="19"/>
      <c r="CP407" s="15"/>
      <c r="CQ407" s="15"/>
      <c r="CR407" s="15"/>
      <c r="CS407" s="19"/>
      <c r="CT407" s="15"/>
      <c r="CU407" s="19"/>
      <c r="CV407" s="15"/>
      <c r="CW407" s="19"/>
      <c r="CX407" s="15"/>
      <c r="CY407" s="19"/>
      <c r="CZ407" s="15"/>
      <c r="DA407" s="16" t="s">
        <v>197</v>
      </c>
      <c r="DB407" s="17" t="s">
        <v>228</v>
      </c>
      <c r="DC407" s="16"/>
      <c r="DD407" s="17" t="s">
        <v>198</v>
      </c>
      <c r="DE407" s="18">
        <v>45719.45730324074</v>
      </c>
      <c r="DF407" s="17" t="s">
        <v>198</v>
      </c>
      <c r="DG407" s="18">
        <v>45719.45730324074</v>
      </c>
      <c r="DH407" s="13" t="s">
        <v>205</v>
      </c>
      <c r="DI407" s="14" t="s">
        <v>179</v>
      </c>
      <c r="DJ407" s="14" t="s">
        <v>10868</v>
      </c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6" t="s">
        <v>197</v>
      </c>
      <c r="ED407" s="17" t="s">
        <v>198</v>
      </c>
      <c r="EE407" s="18">
        <v>45719.457337962966</v>
      </c>
      <c r="EF407" s="13" t="s">
        <v>209</v>
      </c>
      <c r="EG407" s="14" t="s">
        <v>179</v>
      </c>
      <c r="EH407" s="14" t="s">
        <v>10869</v>
      </c>
      <c r="EI407" s="15"/>
      <c r="EJ407" s="15"/>
      <c r="EK407" s="15"/>
      <c r="EL407" s="15"/>
      <c r="EM407" s="15"/>
      <c r="EN407" s="15"/>
      <c r="EO407" s="15"/>
      <c r="EP407" s="15"/>
      <c r="EQ407" s="15"/>
      <c r="ER407" s="15"/>
      <c r="ES407" s="15"/>
      <c r="ET407" s="15"/>
      <c r="EU407" s="15"/>
      <c r="EV407" s="15"/>
      <c r="EW407" s="15"/>
      <c r="EX407" s="15"/>
      <c r="EY407" s="15"/>
      <c r="EZ407" s="15"/>
      <c r="FA407" s="15"/>
      <c r="FB407" s="15"/>
      <c r="FC407" s="16" t="s">
        <v>197</v>
      </c>
      <c r="FD407" s="17" t="s">
        <v>198</v>
      </c>
      <c r="FE407" s="18">
        <v>45723.37912037037</v>
      </c>
      <c r="FF407" s="19"/>
      <c r="FG407" s="19"/>
      <c r="FH407" s="21" t="s">
        <v>197</v>
      </c>
      <c r="FI407" s="17" t="s">
        <v>214</v>
      </c>
      <c r="FJ407" s="18">
        <v>45723.37912037037</v>
      </c>
      <c r="FK407" s="14" t="s">
        <v>10869</v>
      </c>
      <c r="FL407" s="14" t="s">
        <v>10870</v>
      </c>
      <c r="FM407" s="14" t="s">
        <v>10871</v>
      </c>
      <c r="FN407" s="19"/>
      <c r="FO407" s="19"/>
      <c r="FP407" s="19" t="str">
        <f t="shared" si="1"/>
        <v>Base de Dados_Images/LCV35005.Imagem do Equipamento-.152039.jpg</v>
      </c>
      <c r="FQ407" s="14"/>
      <c r="FR407" s="14"/>
    </row>
    <row r="408" ht="15.75" customHeight="1">
      <c r="A408" s="12" t="s">
        <v>217</v>
      </c>
      <c r="B408" s="12" t="s">
        <v>1420</v>
      </c>
      <c r="C408" s="12" t="s">
        <v>219</v>
      </c>
      <c r="D408" s="22" t="s">
        <v>10872</v>
      </c>
      <c r="E408" s="22" t="s">
        <v>10873</v>
      </c>
      <c r="F408" s="13" t="s">
        <v>178</v>
      </c>
      <c r="G408" s="14" t="s">
        <v>179</v>
      </c>
      <c r="H408" s="14" t="s">
        <v>10874</v>
      </c>
      <c r="I408" s="14" t="s">
        <v>179</v>
      </c>
      <c r="J408" s="14" t="s">
        <v>10875</v>
      </c>
      <c r="K408" s="14" t="s">
        <v>179</v>
      </c>
      <c r="L408" s="14" t="s">
        <v>10876</v>
      </c>
      <c r="M408" s="14" t="s">
        <v>179</v>
      </c>
      <c r="N408" s="14" t="s">
        <v>10877</v>
      </c>
      <c r="O408" s="14" t="s">
        <v>179</v>
      </c>
      <c r="P408" s="14" t="s">
        <v>10878</v>
      </c>
      <c r="Q408" s="14" t="s">
        <v>179</v>
      </c>
      <c r="R408" s="14" t="s">
        <v>10879</v>
      </c>
      <c r="S408" s="14" t="s">
        <v>179</v>
      </c>
      <c r="T408" s="14" t="s">
        <v>10880</v>
      </c>
      <c r="U408" s="14" t="s">
        <v>179</v>
      </c>
      <c r="V408" s="14" t="s">
        <v>10881</v>
      </c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6" t="s">
        <v>197</v>
      </c>
      <c r="BP408" s="17" t="s">
        <v>228</v>
      </c>
      <c r="BQ408" s="23"/>
      <c r="BR408" s="17" t="s">
        <v>198</v>
      </c>
      <c r="BS408" s="18">
        <v>45705.349131944444</v>
      </c>
      <c r="BT408" s="17" t="s">
        <v>198</v>
      </c>
      <c r="BU408" s="18">
        <v>45705.349131944444</v>
      </c>
      <c r="BV408" s="13" t="s">
        <v>199</v>
      </c>
      <c r="BW408" s="14" t="s">
        <v>179</v>
      </c>
      <c r="BX408" s="14" t="s">
        <v>10882</v>
      </c>
      <c r="BY408" s="14" t="s">
        <v>179</v>
      </c>
      <c r="BZ408" s="14" t="s">
        <v>10883</v>
      </c>
      <c r="CA408" s="15"/>
      <c r="CB408" s="15"/>
      <c r="CC408" s="15"/>
      <c r="CD408" s="15"/>
      <c r="CE408" s="15"/>
      <c r="CF408" s="15"/>
      <c r="CG408" s="19"/>
      <c r="CH408" s="15"/>
      <c r="CI408" s="19"/>
      <c r="CJ408" s="15"/>
      <c r="CK408" s="19"/>
      <c r="CL408" s="15"/>
      <c r="CM408" s="19"/>
      <c r="CN408" s="15"/>
      <c r="CO408" s="19"/>
      <c r="CP408" s="15"/>
      <c r="CQ408" s="15"/>
      <c r="CR408" s="15"/>
      <c r="CS408" s="19"/>
      <c r="CT408" s="15"/>
      <c r="CU408" s="19"/>
      <c r="CV408" s="15"/>
      <c r="CW408" s="19"/>
      <c r="CX408" s="15"/>
      <c r="CY408" s="19"/>
      <c r="CZ408" s="15"/>
      <c r="DA408" s="16" t="s">
        <v>197</v>
      </c>
      <c r="DB408" s="17" t="s">
        <v>228</v>
      </c>
      <c r="DC408" s="16"/>
      <c r="DD408" s="17" t="s">
        <v>198</v>
      </c>
      <c r="DE408" s="18">
        <v>45705.34947916667</v>
      </c>
      <c r="DF408" s="17" t="s">
        <v>198</v>
      </c>
      <c r="DG408" s="18">
        <v>45705.34947916667</v>
      </c>
      <c r="DH408" s="13" t="s">
        <v>205</v>
      </c>
      <c r="DI408" s="14" t="s">
        <v>179</v>
      </c>
      <c r="DJ408" s="14" t="s">
        <v>10884</v>
      </c>
      <c r="DK408" s="15"/>
      <c r="DL408" s="15"/>
      <c r="DM408" s="15"/>
      <c r="DN408" s="15"/>
      <c r="DO408" s="15"/>
      <c r="DP408" s="15"/>
      <c r="DQ408" s="15"/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6" t="s">
        <v>197</v>
      </c>
      <c r="ED408" s="17" t="s">
        <v>198</v>
      </c>
      <c r="EE408" s="18">
        <v>45708.53429398148</v>
      </c>
      <c r="EF408" s="13" t="s">
        <v>209</v>
      </c>
      <c r="EG408" s="14" t="s">
        <v>179</v>
      </c>
      <c r="EH408" s="14" t="s">
        <v>10885</v>
      </c>
      <c r="EI408" s="15"/>
      <c r="EJ408" s="15"/>
      <c r="EK408" s="15"/>
      <c r="EL408" s="15"/>
      <c r="EM408" s="15"/>
      <c r="EN408" s="15"/>
      <c r="EO408" s="15"/>
      <c r="EP408" s="15"/>
      <c r="EQ408" s="15"/>
      <c r="ER408" s="15"/>
      <c r="ES408" s="15"/>
      <c r="ET408" s="15"/>
      <c r="EU408" s="15"/>
      <c r="EV408" s="15"/>
      <c r="EW408" s="15"/>
      <c r="EX408" s="15"/>
      <c r="EY408" s="15"/>
      <c r="EZ408" s="15"/>
      <c r="FA408" s="15"/>
      <c r="FB408" s="15"/>
      <c r="FC408" s="16" t="s">
        <v>197</v>
      </c>
      <c r="FD408" s="17" t="s">
        <v>198</v>
      </c>
      <c r="FE408" s="18">
        <v>45723.34972222222</v>
      </c>
      <c r="FF408" s="19"/>
      <c r="FG408" s="19"/>
      <c r="FH408" s="21" t="s">
        <v>197</v>
      </c>
      <c r="FI408" s="17" t="s">
        <v>214</v>
      </c>
      <c r="FJ408" s="18">
        <v>45723.34972222222</v>
      </c>
      <c r="FK408" s="14" t="s">
        <v>10885</v>
      </c>
      <c r="FL408" s="19"/>
      <c r="FM408" s="19"/>
      <c r="FN408" s="19"/>
      <c r="FO408" s="19"/>
      <c r="FP408" s="19" t="str">
        <f t="shared" si="1"/>
        <v/>
      </c>
      <c r="FQ408" s="14" t="s">
        <v>215</v>
      </c>
      <c r="FR408" s="14" t="s">
        <v>10886</v>
      </c>
    </row>
    <row r="409" ht="15.75" customHeight="1">
      <c r="A409" s="12" t="s">
        <v>234</v>
      </c>
      <c r="B409" s="12" t="s">
        <v>2956</v>
      </c>
      <c r="C409" s="12" t="s">
        <v>219</v>
      </c>
      <c r="D409" s="22" t="s">
        <v>10887</v>
      </c>
      <c r="E409" s="22" t="s">
        <v>10888</v>
      </c>
      <c r="F409" s="13" t="s">
        <v>178</v>
      </c>
      <c r="G409" s="14" t="s">
        <v>179</v>
      </c>
      <c r="H409" s="14" t="s">
        <v>10889</v>
      </c>
      <c r="I409" s="14" t="s">
        <v>179</v>
      </c>
      <c r="J409" s="14" t="s">
        <v>10890</v>
      </c>
      <c r="K409" s="14" t="s">
        <v>179</v>
      </c>
      <c r="L409" s="14" t="s">
        <v>10891</v>
      </c>
      <c r="M409" s="14" t="s">
        <v>179</v>
      </c>
      <c r="N409" s="14" t="s">
        <v>10892</v>
      </c>
      <c r="O409" s="14" t="s">
        <v>179</v>
      </c>
      <c r="P409" s="14" t="s">
        <v>10893</v>
      </c>
      <c r="Q409" s="14" t="s">
        <v>179</v>
      </c>
      <c r="R409" s="14" t="s">
        <v>10894</v>
      </c>
      <c r="S409" s="14" t="s">
        <v>179</v>
      </c>
      <c r="T409" s="14" t="s">
        <v>10895</v>
      </c>
      <c r="U409" s="14" t="s">
        <v>179</v>
      </c>
      <c r="V409" s="14" t="s">
        <v>10896</v>
      </c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6" t="s">
        <v>197</v>
      </c>
      <c r="BP409" s="17" t="s">
        <v>228</v>
      </c>
      <c r="BQ409" s="23"/>
      <c r="BR409" s="17" t="s">
        <v>198</v>
      </c>
      <c r="BS409" s="18">
        <v>45686.618310185186</v>
      </c>
      <c r="BT409" s="17" t="s">
        <v>198</v>
      </c>
      <c r="BU409" s="18">
        <v>45686.618310185186</v>
      </c>
      <c r="BV409" s="13" t="s">
        <v>199</v>
      </c>
      <c r="BW409" s="14" t="s">
        <v>179</v>
      </c>
      <c r="BX409" s="14" t="s">
        <v>10897</v>
      </c>
      <c r="BY409" s="14" t="s">
        <v>179</v>
      </c>
      <c r="BZ409" s="14" t="s">
        <v>10898</v>
      </c>
      <c r="CA409" s="15"/>
      <c r="CB409" s="15"/>
      <c r="CC409" s="15"/>
      <c r="CD409" s="15"/>
      <c r="CE409" s="15"/>
      <c r="CF409" s="15"/>
      <c r="CG409" s="19"/>
      <c r="CH409" s="15"/>
      <c r="CI409" s="19"/>
      <c r="CJ409" s="15"/>
      <c r="CK409" s="19"/>
      <c r="CL409" s="15"/>
      <c r="CM409" s="19"/>
      <c r="CN409" s="15"/>
      <c r="CO409" s="19"/>
      <c r="CP409" s="15"/>
      <c r="CQ409" s="15"/>
      <c r="CR409" s="15"/>
      <c r="CS409" s="19"/>
      <c r="CT409" s="15"/>
      <c r="CU409" s="19"/>
      <c r="CV409" s="15"/>
      <c r="CW409" s="19"/>
      <c r="CX409" s="15"/>
      <c r="CY409" s="19"/>
      <c r="CZ409" s="15"/>
      <c r="DA409" s="16" t="s">
        <v>197</v>
      </c>
      <c r="DB409" s="17" t="s">
        <v>228</v>
      </c>
      <c r="DC409" s="16"/>
      <c r="DD409" s="17" t="s">
        <v>198</v>
      </c>
      <c r="DE409" s="18">
        <v>45713.409780092596</v>
      </c>
      <c r="DF409" s="17" t="s">
        <v>198</v>
      </c>
      <c r="DG409" s="18">
        <v>45713.409780092596</v>
      </c>
      <c r="DH409" s="13" t="s">
        <v>205</v>
      </c>
      <c r="DI409" s="14" t="s">
        <v>179</v>
      </c>
      <c r="DJ409" s="14" t="s">
        <v>10899</v>
      </c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6" t="s">
        <v>197</v>
      </c>
      <c r="ED409" s="17" t="s">
        <v>198</v>
      </c>
      <c r="EE409" s="18">
        <v>45713.40988425926</v>
      </c>
      <c r="EF409" s="13" t="s">
        <v>209</v>
      </c>
      <c r="EG409" s="14" t="s">
        <v>179</v>
      </c>
      <c r="EH409" s="14" t="s">
        <v>10900</v>
      </c>
      <c r="EI409" s="15"/>
      <c r="EJ409" s="15"/>
      <c r="EK409" s="15"/>
      <c r="EL409" s="15"/>
      <c r="EM409" s="15"/>
      <c r="EN409" s="15"/>
      <c r="EO409" s="15"/>
      <c r="EP409" s="15"/>
      <c r="EQ409" s="15"/>
      <c r="ER409" s="15"/>
      <c r="ES409" s="15"/>
      <c r="ET409" s="15"/>
      <c r="EU409" s="15"/>
      <c r="EV409" s="15"/>
      <c r="EW409" s="15"/>
      <c r="EX409" s="15"/>
      <c r="EY409" s="15"/>
      <c r="EZ409" s="15"/>
      <c r="FA409" s="15"/>
      <c r="FB409" s="15"/>
      <c r="FC409" s="16" t="s">
        <v>197</v>
      </c>
      <c r="FD409" s="17" t="s">
        <v>198</v>
      </c>
      <c r="FE409" s="18">
        <v>45720.378287037034</v>
      </c>
      <c r="FF409" s="19"/>
      <c r="FG409" s="19"/>
      <c r="FH409" s="21" t="s">
        <v>197</v>
      </c>
      <c r="FI409" s="17" t="s">
        <v>214</v>
      </c>
      <c r="FJ409" s="18">
        <v>45720.378287037034</v>
      </c>
      <c r="FK409" s="14" t="s">
        <v>10900</v>
      </c>
      <c r="FL409" s="14" t="s">
        <v>10901</v>
      </c>
      <c r="FM409" s="14" t="s">
        <v>10902</v>
      </c>
      <c r="FN409" s="19"/>
      <c r="FO409" s="19"/>
      <c r="FP409" s="19" t="str">
        <f t="shared" si="1"/>
        <v>Base de Dados_Images/LCV65005.Imagem do Equipamento-.170554.jpg</v>
      </c>
      <c r="FQ409" s="14"/>
      <c r="FR409" s="14"/>
    </row>
    <row r="410" ht="15.75" customHeight="1">
      <c r="A410" s="12" t="s">
        <v>234</v>
      </c>
      <c r="B410" s="12" t="s">
        <v>10222</v>
      </c>
      <c r="C410" s="12" t="s">
        <v>219</v>
      </c>
      <c r="D410" s="22" t="s">
        <v>10903</v>
      </c>
      <c r="E410" s="22" t="s">
        <v>10904</v>
      </c>
      <c r="F410" s="13" t="s">
        <v>178</v>
      </c>
      <c r="G410" s="14" t="s">
        <v>179</v>
      </c>
      <c r="H410" s="14" t="s">
        <v>10905</v>
      </c>
      <c r="I410" s="14" t="s">
        <v>179</v>
      </c>
      <c r="J410" s="14" t="s">
        <v>10906</v>
      </c>
      <c r="K410" s="14" t="s">
        <v>179</v>
      </c>
      <c r="L410" s="14" t="s">
        <v>10907</v>
      </c>
      <c r="M410" s="14" t="s">
        <v>179</v>
      </c>
      <c r="N410" s="14" t="s">
        <v>10908</v>
      </c>
      <c r="O410" s="14" t="s">
        <v>179</v>
      </c>
      <c r="P410" s="14" t="s">
        <v>10909</v>
      </c>
      <c r="Q410" s="14" t="s">
        <v>179</v>
      </c>
      <c r="R410" s="14" t="s">
        <v>10910</v>
      </c>
      <c r="S410" s="14" t="s">
        <v>179</v>
      </c>
      <c r="T410" s="14" t="s">
        <v>10911</v>
      </c>
      <c r="U410" s="14" t="s">
        <v>179</v>
      </c>
      <c r="V410" s="14" t="s">
        <v>10912</v>
      </c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6" t="s">
        <v>197</v>
      </c>
      <c r="BP410" s="17" t="s">
        <v>228</v>
      </c>
      <c r="BQ410" s="23"/>
      <c r="BR410" s="17" t="s">
        <v>198</v>
      </c>
      <c r="BS410" s="18">
        <v>45694.62287037037</v>
      </c>
      <c r="BT410" s="17" t="s">
        <v>198</v>
      </c>
      <c r="BU410" s="18">
        <v>45694.62287037037</v>
      </c>
      <c r="BV410" s="13" t="s">
        <v>199</v>
      </c>
      <c r="BW410" s="14" t="s">
        <v>179</v>
      </c>
      <c r="BX410" s="14" t="s">
        <v>10913</v>
      </c>
      <c r="BY410" s="14" t="s">
        <v>179</v>
      </c>
      <c r="BZ410" s="14" t="s">
        <v>10914</v>
      </c>
      <c r="CA410" s="15"/>
      <c r="CB410" s="15"/>
      <c r="CC410" s="15"/>
      <c r="CD410" s="15"/>
      <c r="CE410" s="15"/>
      <c r="CF410" s="15"/>
      <c r="CG410" s="19"/>
      <c r="CH410" s="15"/>
      <c r="CI410" s="19"/>
      <c r="CJ410" s="15"/>
      <c r="CK410" s="19"/>
      <c r="CL410" s="15"/>
      <c r="CM410" s="19"/>
      <c r="CN410" s="15"/>
      <c r="CO410" s="19"/>
      <c r="CP410" s="15"/>
      <c r="CQ410" s="15"/>
      <c r="CR410" s="15"/>
      <c r="CS410" s="19"/>
      <c r="CT410" s="15"/>
      <c r="CU410" s="19"/>
      <c r="CV410" s="15"/>
      <c r="CW410" s="19"/>
      <c r="CX410" s="15"/>
      <c r="CY410" s="19"/>
      <c r="CZ410" s="15"/>
      <c r="DA410" s="16" t="s">
        <v>197</v>
      </c>
      <c r="DB410" s="17" t="s">
        <v>228</v>
      </c>
      <c r="DC410" s="16"/>
      <c r="DD410" s="17" t="s">
        <v>198</v>
      </c>
      <c r="DE410" s="18">
        <v>45696.45172453704</v>
      </c>
      <c r="DF410" s="17" t="s">
        <v>198</v>
      </c>
      <c r="DG410" s="18">
        <v>45696.45172453704</v>
      </c>
      <c r="DH410" s="13" t="s">
        <v>205</v>
      </c>
      <c r="DI410" s="14" t="s">
        <v>179</v>
      </c>
      <c r="DJ410" s="14" t="s">
        <v>10915</v>
      </c>
      <c r="DK410" s="15"/>
      <c r="DL410" s="15"/>
      <c r="DM410" s="15"/>
      <c r="DN410" s="15"/>
      <c r="DO410" s="15"/>
      <c r="DP410" s="15"/>
      <c r="DQ410" s="15"/>
      <c r="DR410" s="15"/>
      <c r="DS410" s="15"/>
      <c r="DT410" s="15"/>
      <c r="DU410" s="15"/>
      <c r="DV410" s="15"/>
      <c r="DW410" s="15"/>
      <c r="DX410" s="15"/>
      <c r="DY410" s="15"/>
      <c r="DZ410" s="15"/>
      <c r="EA410" s="15"/>
      <c r="EB410" s="15"/>
      <c r="EC410" s="16" t="s">
        <v>197</v>
      </c>
      <c r="ED410" s="17" t="s">
        <v>198</v>
      </c>
      <c r="EE410" s="18">
        <v>45722.389652777776</v>
      </c>
      <c r="EF410" s="13" t="s">
        <v>209</v>
      </c>
      <c r="EG410" s="14" t="s">
        <v>179</v>
      </c>
      <c r="EH410" s="14" t="s">
        <v>10916</v>
      </c>
      <c r="EI410" s="15"/>
      <c r="EJ410" s="15"/>
      <c r="EK410" s="15"/>
      <c r="EL410" s="15"/>
      <c r="EM410" s="15"/>
      <c r="EN410" s="15"/>
      <c r="EO410" s="15"/>
      <c r="EP410" s="15"/>
      <c r="EQ410" s="15"/>
      <c r="ER410" s="15"/>
      <c r="ES410" s="15"/>
      <c r="ET410" s="15"/>
      <c r="EU410" s="15"/>
      <c r="EV410" s="15"/>
      <c r="EW410" s="15"/>
      <c r="EX410" s="15"/>
      <c r="EY410" s="15"/>
      <c r="EZ410" s="15"/>
      <c r="FA410" s="15"/>
      <c r="FB410" s="15"/>
      <c r="FC410" s="16" t="s">
        <v>197</v>
      </c>
      <c r="FD410" s="17" t="s">
        <v>198</v>
      </c>
      <c r="FE410" s="18">
        <v>45722.3896875</v>
      </c>
      <c r="FF410" s="19"/>
      <c r="FG410" s="19"/>
      <c r="FH410" s="21" t="s">
        <v>197</v>
      </c>
      <c r="FI410" s="17" t="s">
        <v>214</v>
      </c>
      <c r="FJ410" s="18">
        <v>45722.3896875</v>
      </c>
      <c r="FK410" s="14" t="s">
        <v>10916</v>
      </c>
      <c r="FL410" s="14" t="s">
        <v>10917</v>
      </c>
      <c r="FM410" s="14" t="s">
        <v>10918</v>
      </c>
      <c r="FN410" s="19"/>
      <c r="FO410" s="19"/>
      <c r="FP410" s="19" t="str">
        <f t="shared" si="1"/>
        <v>Base de Dados_Images/LCV65027.Imagem do Equipamento-.171813.jpg</v>
      </c>
      <c r="FQ410" s="19"/>
      <c r="FR410" s="19"/>
    </row>
    <row r="411" ht="15.75" customHeight="1">
      <c r="A411" s="12" t="s">
        <v>547</v>
      </c>
      <c r="B411" s="12" t="s">
        <v>3165</v>
      </c>
      <c r="C411" s="12" t="s">
        <v>219</v>
      </c>
      <c r="D411" s="22" t="s">
        <v>10919</v>
      </c>
      <c r="E411" s="22" t="s">
        <v>10920</v>
      </c>
      <c r="F411" s="13" t="s">
        <v>178</v>
      </c>
      <c r="G411" s="14" t="s">
        <v>179</v>
      </c>
      <c r="H411" s="14" t="s">
        <v>10921</v>
      </c>
      <c r="I411" s="14" t="s">
        <v>179</v>
      </c>
      <c r="J411" s="14" t="s">
        <v>10922</v>
      </c>
      <c r="K411" s="14" t="s">
        <v>179</v>
      </c>
      <c r="L411" s="14" t="s">
        <v>10923</v>
      </c>
      <c r="M411" s="14" t="s">
        <v>179</v>
      </c>
      <c r="N411" s="14" t="s">
        <v>10924</v>
      </c>
      <c r="O411" s="14" t="s">
        <v>179</v>
      </c>
      <c r="P411" s="14" t="s">
        <v>10925</v>
      </c>
      <c r="Q411" s="14" t="s">
        <v>179</v>
      </c>
      <c r="R411" s="14" t="s">
        <v>10926</v>
      </c>
      <c r="S411" s="14" t="s">
        <v>179</v>
      </c>
      <c r="T411" s="14" t="s">
        <v>10927</v>
      </c>
      <c r="U411" s="14" t="s">
        <v>179</v>
      </c>
      <c r="V411" s="14" t="s">
        <v>10928</v>
      </c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6" t="s">
        <v>197</v>
      </c>
      <c r="BP411" s="17" t="s">
        <v>228</v>
      </c>
      <c r="BQ411" s="23"/>
      <c r="BR411" s="17" t="s">
        <v>198</v>
      </c>
      <c r="BS411" s="18">
        <v>45686.79997685185</v>
      </c>
      <c r="BT411" s="17" t="s">
        <v>198</v>
      </c>
      <c r="BU411" s="18">
        <v>45686.79997685185</v>
      </c>
      <c r="BV411" s="13" t="s">
        <v>199</v>
      </c>
      <c r="BW411" s="14" t="s">
        <v>179</v>
      </c>
      <c r="BX411" s="14" t="s">
        <v>10929</v>
      </c>
      <c r="BY411" s="14" t="s">
        <v>179</v>
      </c>
      <c r="BZ411" s="14" t="s">
        <v>10930</v>
      </c>
      <c r="CA411" s="15"/>
      <c r="CB411" s="15"/>
      <c r="CC411" s="15"/>
      <c r="CD411" s="15"/>
      <c r="CE411" s="15"/>
      <c r="CF411" s="15"/>
      <c r="CG411" s="19"/>
      <c r="CH411" s="15"/>
      <c r="CI411" s="19"/>
      <c r="CJ411" s="15"/>
      <c r="CK411" s="19"/>
      <c r="CL411" s="15"/>
      <c r="CM411" s="19"/>
      <c r="CN411" s="15"/>
      <c r="CO411" s="19"/>
      <c r="CP411" s="15"/>
      <c r="CQ411" s="15"/>
      <c r="CR411" s="15"/>
      <c r="CS411" s="19"/>
      <c r="CT411" s="15"/>
      <c r="CU411" s="19"/>
      <c r="CV411" s="15"/>
      <c r="CW411" s="19"/>
      <c r="CX411" s="15"/>
      <c r="CY411" s="19"/>
      <c r="CZ411" s="15"/>
      <c r="DA411" s="16" t="s">
        <v>197</v>
      </c>
      <c r="DB411" s="17" t="s">
        <v>228</v>
      </c>
      <c r="DC411" s="16"/>
      <c r="DD411" s="17" t="s">
        <v>198</v>
      </c>
      <c r="DE411" s="18">
        <v>45694.603842592594</v>
      </c>
      <c r="DF411" s="17" t="s">
        <v>198</v>
      </c>
      <c r="DG411" s="18">
        <v>45694.603842592594</v>
      </c>
      <c r="DH411" s="13" t="s">
        <v>205</v>
      </c>
      <c r="DI411" s="14" t="s">
        <v>179</v>
      </c>
      <c r="DJ411" s="14" t="s">
        <v>10931</v>
      </c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6" t="s">
        <v>197</v>
      </c>
      <c r="ED411" s="17" t="s">
        <v>198</v>
      </c>
      <c r="EE411" s="18">
        <v>45720.61517361111</v>
      </c>
      <c r="EF411" s="13" t="s">
        <v>209</v>
      </c>
      <c r="EG411" s="14" t="s">
        <v>179</v>
      </c>
      <c r="EH411" s="14" t="s">
        <v>10932</v>
      </c>
      <c r="EI411" s="15"/>
      <c r="EJ411" s="15"/>
      <c r="EK411" s="15"/>
      <c r="EL411" s="15"/>
      <c r="EM411" s="15"/>
      <c r="EN411" s="15"/>
      <c r="EO411" s="15"/>
      <c r="EP411" s="15"/>
      <c r="EQ411" s="15"/>
      <c r="ER411" s="15"/>
      <c r="ES411" s="15"/>
      <c r="ET411" s="15"/>
      <c r="EU411" s="15"/>
      <c r="EV411" s="15"/>
      <c r="EW411" s="15"/>
      <c r="EX411" s="15"/>
      <c r="EY411" s="15"/>
      <c r="EZ411" s="15"/>
      <c r="FA411" s="15"/>
      <c r="FB411" s="15"/>
      <c r="FC411" s="16" t="s">
        <v>197</v>
      </c>
      <c r="FD411" s="17" t="s">
        <v>198</v>
      </c>
      <c r="FE411" s="18">
        <v>45723.337696759256</v>
      </c>
      <c r="FF411" s="19"/>
      <c r="FG411" s="19"/>
      <c r="FH411" s="21" t="s">
        <v>197</v>
      </c>
      <c r="FI411" s="17" t="s">
        <v>214</v>
      </c>
      <c r="FJ411" s="18">
        <v>45723.337696759256</v>
      </c>
      <c r="FK411" s="14" t="s">
        <v>10932</v>
      </c>
      <c r="FL411" s="14" t="s">
        <v>10933</v>
      </c>
      <c r="FM411" s="14" t="s">
        <v>10934</v>
      </c>
      <c r="FN411" s="19"/>
      <c r="FO411" s="19"/>
      <c r="FP411" s="19" t="str">
        <f t="shared" si="1"/>
        <v>Base de Dados_Images/LCV70028.Imagem do Equipamento-.221232.jpg</v>
      </c>
      <c r="FQ411" s="19"/>
      <c r="FR411" s="19"/>
    </row>
    <row r="412" ht="15.75" customHeight="1">
      <c r="A412" s="12" t="s">
        <v>357</v>
      </c>
      <c r="B412" s="12" t="s">
        <v>358</v>
      </c>
      <c r="C412" s="12" t="s">
        <v>219</v>
      </c>
      <c r="D412" s="22" t="s">
        <v>10935</v>
      </c>
      <c r="E412" s="22" t="s">
        <v>10936</v>
      </c>
      <c r="F412" s="13" t="s">
        <v>178</v>
      </c>
      <c r="G412" s="14" t="s">
        <v>179</v>
      </c>
      <c r="H412" s="14" t="s">
        <v>10937</v>
      </c>
      <c r="I412" s="14" t="s">
        <v>179</v>
      </c>
      <c r="J412" s="14" t="s">
        <v>10938</v>
      </c>
      <c r="K412" s="14" t="s">
        <v>179</v>
      </c>
      <c r="L412" s="14" t="s">
        <v>10939</v>
      </c>
      <c r="M412" s="14" t="s">
        <v>179</v>
      </c>
      <c r="N412" s="14" t="s">
        <v>10940</v>
      </c>
      <c r="O412" s="14" t="s">
        <v>179</v>
      </c>
      <c r="P412" s="14" t="s">
        <v>10941</v>
      </c>
      <c r="Q412" s="14" t="s">
        <v>179</v>
      </c>
      <c r="R412" s="14" t="s">
        <v>10942</v>
      </c>
      <c r="S412" s="14" t="s">
        <v>179</v>
      </c>
      <c r="T412" s="14" t="s">
        <v>10943</v>
      </c>
      <c r="U412" s="14" t="s">
        <v>179</v>
      </c>
      <c r="V412" s="14" t="s">
        <v>10944</v>
      </c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6" t="s">
        <v>197</v>
      </c>
      <c r="BP412" s="17" t="s">
        <v>228</v>
      </c>
      <c r="BQ412" s="23"/>
      <c r="BR412" s="17" t="s">
        <v>198</v>
      </c>
      <c r="BS412" s="18">
        <v>45679.4690162037</v>
      </c>
      <c r="BT412" s="17" t="s">
        <v>198</v>
      </c>
      <c r="BU412" s="18">
        <v>45679.4690162037</v>
      </c>
      <c r="BV412" s="13" t="s">
        <v>199</v>
      </c>
      <c r="BW412" s="14" t="s">
        <v>179</v>
      </c>
      <c r="BX412" s="14" t="s">
        <v>10945</v>
      </c>
      <c r="BY412" s="14" t="s">
        <v>179</v>
      </c>
      <c r="BZ412" s="14" t="s">
        <v>10946</v>
      </c>
      <c r="CA412" s="15"/>
      <c r="CB412" s="15"/>
      <c r="CC412" s="15"/>
      <c r="CD412" s="15"/>
      <c r="CE412" s="15"/>
      <c r="CF412" s="15"/>
      <c r="CG412" s="19"/>
      <c r="CH412" s="15"/>
      <c r="CI412" s="19"/>
      <c r="CJ412" s="15"/>
      <c r="CK412" s="19"/>
      <c r="CL412" s="15"/>
      <c r="CM412" s="19"/>
      <c r="CN412" s="15"/>
      <c r="CO412" s="19"/>
      <c r="CP412" s="15"/>
      <c r="CQ412" s="15"/>
      <c r="CR412" s="15"/>
      <c r="CS412" s="19"/>
      <c r="CT412" s="15"/>
      <c r="CU412" s="19"/>
      <c r="CV412" s="15"/>
      <c r="CW412" s="19"/>
      <c r="CX412" s="15"/>
      <c r="CY412" s="19"/>
      <c r="CZ412" s="15"/>
      <c r="DA412" s="16" t="s">
        <v>197</v>
      </c>
      <c r="DB412" s="17" t="s">
        <v>228</v>
      </c>
      <c r="DC412" s="16"/>
      <c r="DD412" s="17" t="s">
        <v>198</v>
      </c>
      <c r="DE412" s="18">
        <v>45705.35582175926</v>
      </c>
      <c r="DF412" s="17" t="s">
        <v>198</v>
      </c>
      <c r="DG412" s="18">
        <v>45705.35582175926</v>
      </c>
      <c r="DH412" s="13" t="s">
        <v>205</v>
      </c>
      <c r="DI412" s="14" t="s">
        <v>179</v>
      </c>
      <c r="DJ412" s="14" t="s">
        <v>10947</v>
      </c>
      <c r="DK412" s="15"/>
      <c r="DL412" s="15"/>
      <c r="DM412" s="15"/>
      <c r="DN412" s="15"/>
      <c r="DO412" s="15"/>
      <c r="DP412" s="15"/>
      <c r="DQ412" s="15"/>
      <c r="DR412" s="15"/>
      <c r="DS412" s="15"/>
      <c r="DT412" s="15"/>
      <c r="DU412" s="15"/>
      <c r="DV412" s="15"/>
      <c r="DW412" s="15"/>
      <c r="DX412" s="15"/>
      <c r="DY412" s="15"/>
      <c r="DZ412" s="15"/>
      <c r="EA412" s="15"/>
      <c r="EB412" s="15"/>
      <c r="EC412" s="16" t="s">
        <v>197</v>
      </c>
      <c r="ED412" s="17" t="s">
        <v>198</v>
      </c>
      <c r="EE412" s="18">
        <v>45705.35586805556</v>
      </c>
      <c r="EF412" s="13" t="s">
        <v>209</v>
      </c>
      <c r="EG412" s="14" t="s">
        <v>179</v>
      </c>
      <c r="EH412" s="14" t="s">
        <v>10948</v>
      </c>
      <c r="EI412" s="15"/>
      <c r="EJ412" s="15"/>
      <c r="EK412" s="15"/>
      <c r="EL412" s="15"/>
      <c r="EM412" s="15"/>
      <c r="EN412" s="15"/>
      <c r="EO412" s="15"/>
      <c r="EP412" s="15"/>
      <c r="EQ412" s="15"/>
      <c r="ER412" s="15"/>
      <c r="ES412" s="15"/>
      <c r="ET412" s="15"/>
      <c r="EU412" s="15"/>
      <c r="EV412" s="15"/>
      <c r="EW412" s="15"/>
      <c r="EX412" s="15"/>
      <c r="EY412" s="15"/>
      <c r="EZ412" s="15"/>
      <c r="FA412" s="15"/>
      <c r="FB412" s="15"/>
      <c r="FC412" s="16" t="s">
        <v>197</v>
      </c>
      <c r="FD412" s="17" t="s">
        <v>198</v>
      </c>
      <c r="FE412" s="18">
        <v>45705.35590277778</v>
      </c>
      <c r="FF412" s="19"/>
      <c r="FG412" s="19"/>
      <c r="FH412" s="21" t="s">
        <v>197</v>
      </c>
      <c r="FI412" s="17" t="s">
        <v>214</v>
      </c>
      <c r="FJ412" s="18">
        <v>45705.35590277778</v>
      </c>
      <c r="FK412" s="14" t="s">
        <v>10948</v>
      </c>
      <c r="FL412" s="14" t="s">
        <v>10949</v>
      </c>
      <c r="FM412" s="14" t="s">
        <v>10950</v>
      </c>
      <c r="FN412" s="19"/>
      <c r="FO412" s="19"/>
      <c r="FP412" s="19" t="str">
        <f t="shared" si="1"/>
        <v>Base de Dados_Images/LCV81014A.Imagem do Equipamento-.190405.jpg</v>
      </c>
      <c r="FQ412" s="19"/>
      <c r="FR412" s="19"/>
    </row>
    <row r="413" ht="15.75" customHeight="1">
      <c r="A413" s="12" t="s">
        <v>357</v>
      </c>
      <c r="B413" s="12" t="s">
        <v>358</v>
      </c>
      <c r="C413" s="12" t="s">
        <v>219</v>
      </c>
      <c r="D413" s="22" t="s">
        <v>10951</v>
      </c>
      <c r="E413" s="22" t="s">
        <v>10952</v>
      </c>
      <c r="F413" s="13" t="s">
        <v>178</v>
      </c>
      <c r="G413" s="14" t="s">
        <v>179</v>
      </c>
      <c r="H413" s="14" t="s">
        <v>10953</v>
      </c>
      <c r="I413" s="14" t="s">
        <v>179</v>
      </c>
      <c r="J413" s="14" t="s">
        <v>10954</v>
      </c>
      <c r="K413" s="14" t="s">
        <v>179</v>
      </c>
      <c r="L413" s="14" t="s">
        <v>10955</v>
      </c>
      <c r="M413" s="14" t="s">
        <v>179</v>
      </c>
      <c r="N413" s="14" t="s">
        <v>10956</v>
      </c>
      <c r="O413" s="14" t="s">
        <v>179</v>
      </c>
      <c r="P413" s="14" t="s">
        <v>10957</v>
      </c>
      <c r="Q413" s="14" t="s">
        <v>179</v>
      </c>
      <c r="R413" s="14" t="s">
        <v>10958</v>
      </c>
      <c r="S413" s="14" t="s">
        <v>179</v>
      </c>
      <c r="T413" s="14" t="s">
        <v>10959</v>
      </c>
      <c r="U413" s="14" t="s">
        <v>179</v>
      </c>
      <c r="V413" s="14" t="s">
        <v>10960</v>
      </c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6" t="s">
        <v>197</v>
      </c>
      <c r="BP413" s="17" t="s">
        <v>228</v>
      </c>
      <c r="BQ413" s="23"/>
      <c r="BR413" s="17" t="s">
        <v>198</v>
      </c>
      <c r="BS413" s="18">
        <v>45679.468125</v>
      </c>
      <c r="BT413" s="17" t="s">
        <v>198</v>
      </c>
      <c r="BU413" s="18">
        <v>45679.468125</v>
      </c>
      <c r="BV413" s="13" t="s">
        <v>199</v>
      </c>
      <c r="BW413" s="14" t="s">
        <v>179</v>
      </c>
      <c r="BX413" s="14" t="s">
        <v>10961</v>
      </c>
      <c r="BY413" s="14" t="s">
        <v>179</v>
      </c>
      <c r="BZ413" s="14" t="s">
        <v>10962</v>
      </c>
      <c r="CA413" s="15"/>
      <c r="CB413" s="15"/>
      <c r="CC413" s="15"/>
      <c r="CD413" s="15"/>
      <c r="CE413" s="15"/>
      <c r="CF413" s="15"/>
      <c r="CG413" s="19"/>
      <c r="CH413" s="15"/>
      <c r="CI413" s="19"/>
      <c r="CJ413" s="15"/>
      <c r="CK413" s="19"/>
      <c r="CL413" s="15"/>
      <c r="CM413" s="19"/>
      <c r="CN413" s="15"/>
      <c r="CO413" s="19"/>
      <c r="CP413" s="15"/>
      <c r="CQ413" s="15"/>
      <c r="CR413" s="15"/>
      <c r="CS413" s="19"/>
      <c r="CT413" s="15"/>
      <c r="CU413" s="19"/>
      <c r="CV413" s="15"/>
      <c r="CW413" s="19"/>
      <c r="CX413" s="15"/>
      <c r="CY413" s="19"/>
      <c r="CZ413" s="15"/>
      <c r="DA413" s="16" t="s">
        <v>197</v>
      </c>
      <c r="DB413" s="17" t="s">
        <v>228</v>
      </c>
      <c r="DC413" s="16"/>
      <c r="DD413" s="17" t="s">
        <v>198</v>
      </c>
      <c r="DE413" s="18">
        <v>45705.379745370374</v>
      </c>
      <c r="DF413" s="17" t="s">
        <v>198</v>
      </c>
      <c r="DG413" s="18">
        <v>45705.379745370374</v>
      </c>
      <c r="DH413" s="13" t="s">
        <v>205</v>
      </c>
      <c r="DI413" s="14" t="s">
        <v>179</v>
      </c>
      <c r="DJ413" s="14" t="s">
        <v>10963</v>
      </c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6" t="s">
        <v>197</v>
      </c>
      <c r="ED413" s="17" t="s">
        <v>198</v>
      </c>
      <c r="EE413" s="18">
        <v>45705.379791666666</v>
      </c>
      <c r="EF413" s="13" t="s">
        <v>209</v>
      </c>
      <c r="EG413" s="14" t="s">
        <v>179</v>
      </c>
      <c r="EH413" s="14" t="s">
        <v>10964</v>
      </c>
      <c r="EI413" s="15"/>
      <c r="EJ413" s="15"/>
      <c r="EK413" s="15"/>
      <c r="EL413" s="15"/>
      <c r="EM413" s="15"/>
      <c r="EN413" s="15"/>
      <c r="EO413" s="15"/>
      <c r="EP413" s="15"/>
      <c r="EQ413" s="15"/>
      <c r="ER413" s="15"/>
      <c r="ES413" s="15"/>
      <c r="ET413" s="15"/>
      <c r="EU413" s="15"/>
      <c r="EV413" s="15"/>
      <c r="EW413" s="15"/>
      <c r="EX413" s="15"/>
      <c r="EY413" s="15"/>
      <c r="EZ413" s="15"/>
      <c r="FA413" s="15"/>
      <c r="FB413" s="15"/>
      <c r="FC413" s="16" t="s">
        <v>197</v>
      </c>
      <c r="FD413" s="17" t="s">
        <v>198</v>
      </c>
      <c r="FE413" s="18">
        <v>45705.37986111111</v>
      </c>
      <c r="FF413" s="19"/>
      <c r="FG413" s="19"/>
      <c r="FH413" s="21" t="s">
        <v>197</v>
      </c>
      <c r="FI413" s="17" t="s">
        <v>214</v>
      </c>
      <c r="FJ413" s="18">
        <v>45705.37986111111</v>
      </c>
      <c r="FK413" s="14" t="s">
        <v>10964</v>
      </c>
      <c r="FL413" s="14" t="s">
        <v>10965</v>
      </c>
      <c r="FM413" s="14" t="s">
        <v>10966</v>
      </c>
      <c r="FN413" s="19"/>
      <c r="FO413" s="19"/>
      <c r="FP413" s="19" t="str">
        <f t="shared" si="1"/>
        <v>Base de Dados_Images/LCV81014B.Imagem do Equipamento-.190323.jpg</v>
      </c>
      <c r="FQ413" s="19"/>
      <c r="FR413" s="19"/>
    </row>
    <row r="414" ht="15.75" customHeight="1">
      <c r="A414" s="12" t="s">
        <v>357</v>
      </c>
      <c r="B414" s="12" t="s">
        <v>4276</v>
      </c>
      <c r="C414" s="12" t="s">
        <v>219</v>
      </c>
      <c r="D414" s="22" t="s">
        <v>10967</v>
      </c>
      <c r="E414" s="22" t="s">
        <v>10968</v>
      </c>
      <c r="F414" s="13" t="s">
        <v>178</v>
      </c>
      <c r="G414" s="14" t="s">
        <v>179</v>
      </c>
      <c r="H414" s="14" t="s">
        <v>10969</v>
      </c>
      <c r="I414" s="14" t="s">
        <v>179</v>
      </c>
      <c r="J414" s="14" t="s">
        <v>10970</v>
      </c>
      <c r="K414" s="14" t="s">
        <v>179</v>
      </c>
      <c r="L414" s="14" t="s">
        <v>10971</v>
      </c>
      <c r="M414" s="14" t="s">
        <v>179</v>
      </c>
      <c r="N414" s="14" t="s">
        <v>10972</v>
      </c>
      <c r="O414" s="14" t="s">
        <v>179</v>
      </c>
      <c r="P414" s="14" t="s">
        <v>10973</v>
      </c>
      <c r="Q414" s="14" t="s">
        <v>179</v>
      </c>
      <c r="R414" s="14" t="s">
        <v>10974</v>
      </c>
      <c r="S414" s="14" t="s">
        <v>179</v>
      </c>
      <c r="T414" s="14" t="s">
        <v>10975</v>
      </c>
      <c r="U414" s="14" t="s">
        <v>179</v>
      </c>
      <c r="V414" s="14" t="s">
        <v>10976</v>
      </c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6" t="s">
        <v>197</v>
      </c>
      <c r="BP414" s="17" t="s">
        <v>228</v>
      </c>
      <c r="BQ414" s="23"/>
      <c r="BR414" s="17" t="s">
        <v>198</v>
      </c>
      <c r="BS414" s="18">
        <v>45687.62542824074</v>
      </c>
      <c r="BT414" s="17" t="s">
        <v>198</v>
      </c>
      <c r="BU414" s="18">
        <v>45687.62542824074</v>
      </c>
      <c r="BV414" s="13" t="s">
        <v>199</v>
      </c>
      <c r="BW414" s="14" t="s">
        <v>179</v>
      </c>
      <c r="BX414" s="14" t="s">
        <v>10977</v>
      </c>
      <c r="BY414" s="14" t="s">
        <v>179</v>
      </c>
      <c r="BZ414" s="14" t="s">
        <v>10978</v>
      </c>
      <c r="CA414" s="15"/>
      <c r="CB414" s="15"/>
      <c r="CC414" s="15"/>
      <c r="CD414" s="15"/>
      <c r="CE414" s="15"/>
      <c r="CF414" s="15"/>
      <c r="CG414" s="19"/>
      <c r="CH414" s="15"/>
      <c r="CI414" s="19"/>
      <c r="CJ414" s="15"/>
      <c r="CK414" s="19"/>
      <c r="CL414" s="15"/>
      <c r="CM414" s="19"/>
      <c r="CN414" s="15"/>
      <c r="CO414" s="19"/>
      <c r="CP414" s="15"/>
      <c r="CQ414" s="15"/>
      <c r="CR414" s="15"/>
      <c r="CS414" s="19"/>
      <c r="CT414" s="15"/>
      <c r="CU414" s="19"/>
      <c r="CV414" s="15"/>
      <c r="CW414" s="19"/>
      <c r="CX414" s="15"/>
      <c r="CY414" s="19"/>
      <c r="CZ414" s="15"/>
      <c r="DA414" s="16" t="s">
        <v>197</v>
      </c>
      <c r="DB414" s="17" t="s">
        <v>228</v>
      </c>
      <c r="DC414" s="16"/>
      <c r="DD414" s="17" t="s">
        <v>198</v>
      </c>
      <c r="DE414" s="18">
        <v>45723.645266203705</v>
      </c>
      <c r="DF414" s="17" t="s">
        <v>198</v>
      </c>
      <c r="DG414" s="18">
        <v>45723.645266203705</v>
      </c>
      <c r="DH414" s="13" t="s">
        <v>205</v>
      </c>
      <c r="DI414" s="14" t="s">
        <v>179</v>
      </c>
      <c r="DJ414" s="14" t="s">
        <v>10979</v>
      </c>
      <c r="DK414" s="15"/>
      <c r="DL414" s="15"/>
      <c r="DM414" s="15"/>
      <c r="DN414" s="15"/>
      <c r="DO414" s="15"/>
      <c r="DP414" s="15"/>
      <c r="DQ414" s="15"/>
      <c r="DR414" s="15"/>
      <c r="DS414" s="15"/>
      <c r="DT414" s="15"/>
      <c r="DU414" s="15"/>
      <c r="DV414" s="15"/>
      <c r="DW414" s="15"/>
      <c r="DX414" s="15"/>
      <c r="DY414" s="15"/>
      <c r="DZ414" s="15"/>
      <c r="EA414" s="15"/>
      <c r="EB414" s="15"/>
      <c r="EC414" s="16" t="s">
        <v>197</v>
      </c>
      <c r="ED414" s="17" t="s">
        <v>198</v>
      </c>
      <c r="EE414" s="18">
        <v>45723.64533564815</v>
      </c>
      <c r="EF414" s="13" t="s">
        <v>209</v>
      </c>
      <c r="EG414" s="14" t="s">
        <v>179</v>
      </c>
      <c r="EH414" s="14" t="s">
        <v>10980</v>
      </c>
      <c r="EI414" s="15"/>
      <c r="EJ414" s="15"/>
      <c r="EK414" s="15"/>
      <c r="EL414" s="15"/>
      <c r="EM414" s="15"/>
      <c r="EN414" s="15"/>
      <c r="EO414" s="15"/>
      <c r="EP414" s="15"/>
      <c r="EQ414" s="15"/>
      <c r="ER414" s="15"/>
      <c r="ES414" s="15"/>
      <c r="ET414" s="15"/>
      <c r="EU414" s="15"/>
      <c r="EV414" s="15"/>
      <c r="EW414" s="15"/>
      <c r="EX414" s="15"/>
      <c r="EY414" s="15"/>
      <c r="EZ414" s="15"/>
      <c r="FA414" s="15"/>
      <c r="FB414" s="15"/>
      <c r="FC414" s="16" t="s">
        <v>197</v>
      </c>
      <c r="FD414" s="17" t="s">
        <v>198</v>
      </c>
      <c r="FE414" s="18">
        <v>45723.645370370374</v>
      </c>
      <c r="FF414" s="19"/>
      <c r="FG414" s="19"/>
      <c r="FH414" s="21" t="s">
        <v>197</v>
      </c>
      <c r="FI414" s="17" t="s">
        <v>214</v>
      </c>
      <c r="FJ414" s="18">
        <v>45723.645370370374</v>
      </c>
      <c r="FK414" s="14" t="s">
        <v>10980</v>
      </c>
      <c r="FL414" s="14" t="s">
        <v>10981</v>
      </c>
      <c r="FM414" s="14" t="s">
        <v>10982</v>
      </c>
      <c r="FN414" s="19"/>
      <c r="FO414" s="19"/>
      <c r="FP414" s="19" t="str">
        <f t="shared" si="1"/>
        <v>Base de Dados_Images/LCV81027.Imagem do Equipamento-.180018.jpg</v>
      </c>
      <c r="FQ414" s="19"/>
      <c r="FR414" s="19"/>
    </row>
    <row r="415" ht="15.75" customHeight="1">
      <c r="A415" s="12" t="s">
        <v>292</v>
      </c>
      <c r="B415" s="12" t="s">
        <v>1809</v>
      </c>
      <c r="C415" s="24" t="s">
        <v>324</v>
      </c>
      <c r="D415" s="22" t="s">
        <v>10983</v>
      </c>
      <c r="E415" s="22" t="s">
        <v>10984</v>
      </c>
      <c r="F415" s="13" t="s">
        <v>178</v>
      </c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6" t="s">
        <v>197</v>
      </c>
      <c r="BP415" s="17" t="s">
        <v>228</v>
      </c>
      <c r="BQ415" s="23"/>
      <c r="BR415" s="17" t="s">
        <v>228</v>
      </c>
      <c r="BS415" s="23"/>
      <c r="BT415" s="17" t="s">
        <v>228</v>
      </c>
      <c r="BU415" s="23"/>
      <c r="BV415" s="13" t="s">
        <v>199</v>
      </c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9"/>
      <c r="CH415" s="15"/>
      <c r="CI415" s="19"/>
      <c r="CJ415" s="15"/>
      <c r="CK415" s="19"/>
      <c r="CL415" s="15"/>
      <c r="CM415" s="19"/>
      <c r="CN415" s="15"/>
      <c r="CO415" s="19"/>
      <c r="CP415" s="15"/>
      <c r="CQ415" s="15"/>
      <c r="CR415" s="15"/>
      <c r="CS415" s="19"/>
      <c r="CT415" s="15"/>
      <c r="CU415" s="19"/>
      <c r="CV415" s="15"/>
      <c r="CW415" s="19"/>
      <c r="CX415" s="15"/>
      <c r="CY415" s="19"/>
      <c r="CZ415" s="15"/>
      <c r="DA415" s="16" t="s">
        <v>197</v>
      </c>
      <c r="DB415" s="17" t="s">
        <v>228</v>
      </c>
      <c r="DC415" s="16"/>
      <c r="DD415" s="17" t="s">
        <v>228</v>
      </c>
      <c r="DE415" s="23"/>
      <c r="DF415" s="17" t="s">
        <v>228</v>
      </c>
      <c r="DG415" s="23"/>
      <c r="DH415" s="13" t="s">
        <v>205</v>
      </c>
      <c r="DI415" s="14" t="s">
        <v>179</v>
      </c>
      <c r="DJ415" s="14" t="s">
        <v>10985</v>
      </c>
      <c r="DK415" s="14" t="s">
        <v>179</v>
      </c>
      <c r="DL415" s="14" t="s">
        <v>10986</v>
      </c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6" t="s">
        <v>197</v>
      </c>
      <c r="ED415" s="17" t="s">
        <v>198</v>
      </c>
      <c r="EE415" s="18">
        <v>45723.294699074075</v>
      </c>
      <c r="EF415" s="13" t="s">
        <v>209</v>
      </c>
      <c r="EG415" s="14" t="s">
        <v>179</v>
      </c>
      <c r="EH415" s="14" t="s">
        <v>10987</v>
      </c>
      <c r="EI415" s="14" t="s">
        <v>179</v>
      </c>
      <c r="EJ415" s="14" t="s">
        <v>10987</v>
      </c>
      <c r="EK415" s="15"/>
      <c r="EL415" s="15"/>
      <c r="EM415" s="15"/>
      <c r="EN415" s="15"/>
      <c r="EO415" s="15"/>
      <c r="EP415" s="15"/>
      <c r="EQ415" s="15"/>
      <c r="ER415" s="15"/>
      <c r="ES415" s="15"/>
      <c r="ET415" s="15"/>
      <c r="EU415" s="15"/>
      <c r="EV415" s="15"/>
      <c r="EW415" s="15"/>
      <c r="EX415" s="15"/>
      <c r="EY415" s="15"/>
      <c r="EZ415" s="15"/>
      <c r="FA415" s="15"/>
      <c r="FB415" s="15"/>
      <c r="FC415" s="16" t="s">
        <v>197</v>
      </c>
      <c r="FD415" s="17" t="s">
        <v>198</v>
      </c>
      <c r="FE415" s="18">
        <v>45723.294756944444</v>
      </c>
      <c r="FF415" s="19"/>
      <c r="FG415" s="19"/>
      <c r="FH415" s="21" t="s">
        <v>197</v>
      </c>
      <c r="FI415" s="17" t="s">
        <v>214</v>
      </c>
      <c r="FJ415" s="18">
        <v>45723.294756944444</v>
      </c>
      <c r="FK415" s="14" t="s">
        <v>10987</v>
      </c>
      <c r="FL415" s="14" t="s">
        <v>10988</v>
      </c>
      <c r="FM415" s="14" t="s">
        <v>10989</v>
      </c>
      <c r="FN415" s="19"/>
      <c r="FO415" s="19"/>
      <c r="FP415" s="19" t="str">
        <f t="shared" si="1"/>
        <v>Base de Dados_Images/LIC30018.Imagem do Equipamento-.111509.jpg</v>
      </c>
      <c r="FQ415" s="19"/>
      <c r="FR415" s="19"/>
    </row>
    <row r="416" ht="15.75" customHeight="1">
      <c r="A416" s="12" t="s">
        <v>292</v>
      </c>
      <c r="B416" s="12" t="s">
        <v>493</v>
      </c>
      <c r="C416" s="24" t="s">
        <v>324</v>
      </c>
      <c r="D416" s="22" t="s">
        <v>10990</v>
      </c>
      <c r="E416" s="22" t="s">
        <v>10991</v>
      </c>
      <c r="F416" s="13" t="s">
        <v>178</v>
      </c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6" t="s">
        <v>197</v>
      </c>
      <c r="BP416" s="17" t="s">
        <v>228</v>
      </c>
      <c r="BQ416" s="23"/>
      <c r="BR416" s="17" t="s">
        <v>228</v>
      </c>
      <c r="BS416" s="23"/>
      <c r="BT416" s="17" t="s">
        <v>228</v>
      </c>
      <c r="BU416" s="23"/>
      <c r="BV416" s="13" t="s">
        <v>199</v>
      </c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9"/>
      <c r="CH416" s="15"/>
      <c r="CI416" s="19"/>
      <c r="CJ416" s="15"/>
      <c r="CK416" s="19"/>
      <c r="CL416" s="15"/>
      <c r="CM416" s="19"/>
      <c r="CN416" s="15"/>
      <c r="CO416" s="19"/>
      <c r="CP416" s="15"/>
      <c r="CQ416" s="15"/>
      <c r="CR416" s="15"/>
      <c r="CS416" s="19"/>
      <c r="CT416" s="15"/>
      <c r="CU416" s="19"/>
      <c r="CV416" s="15"/>
      <c r="CW416" s="19"/>
      <c r="CX416" s="15"/>
      <c r="CY416" s="19"/>
      <c r="CZ416" s="15"/>
      <c r="DA416" s="16" t="s">
        <v>197</v>
      </c>
      <c r="DB416" s="17" t="s">
        <v>228</v>
      </c>
      <c r="DC416" s="16"/>
      <c r="DD416" s="17" t="s">
        <v>228</v>
      </c>
      <c r="DE416" s="23"/>
      <c r="DF416" s="17" t="s">
        <v>228</v>
      </c>
      <c r="DG416" s="23"/>
      <c r="DH416" s="13" t="s">
        <v>205</v>
      </c>
      <c r="DI416" s="14" t="s">
        <v>179</v>
      </c>
      <c r="DJ416" s="14" t="s">
        <v>10992</v>
      </c>
      <c r="DK416" s="14" t="s">
        <v>179</v>
      </c>
      <c r="DL416" s="14" t="s">
        <v>10993</v>
      </c>
      <c r="DM416" s="15"/>
      <c r="DN416" s="15"/>
      <c r="DO416" s="15"/>
      <c r="DP416" s="15"/>
      <c r="DQ416" s="15"/>
      <c r="DR416" s="15"/>
      <c r="DS416" s="15"/>
      <c r="DT416" s="15"/>
      <c r="DU416" s="15"/>
      <c r="DV416" s="15"/>
      <c r="DW416" s="15"/>
      <c r="DX416" s="15"/>
      <c r="DY416" s="15"/>
      <c r="DZ416" s="15"/>
      <c r="EA416" s="15"/>
      <c r="EB416" s="15"/>
      <c r="EC416" s="16" t="s">
        <v>197</v>
      </c>
      <c r="ED416" s="17" t="s">
        <v>198</v>
      </c>
      <c r="EE416" s="18">
        <v>45722.35951388889</v>
      </c>
      <c r="EF416" s="13" t="s">
        <v>209</v>
      </c>
      <c r="EG416" s="14" t="s">
        <v>179</v>
      </c>
      <c r="EH416" s="14" t="s">
        <v>10994</v>
      </c>
      <c r="EI416" s="14" t="s">
        <v>179</v>
      </c>
      <c r="EJ416" s="14" t="s">
        <v>10994</v>
      </c>
      <c r="EK416" s="15"/>
      <c r="EL416" s="15"/>
      <c r="EM416" s="15"/>
      <c r="EN416" s="15"/>
      <c r="EO416" s="15"/>
      <c r="EP416" s="15"/>
      <c r="EQ416" s="15"/>
      <c r="ER416" s="15"/>
      <c r="ES416" s="15"/>
      <c r="ET416" s="15"/>
      <c r="EU416" s="15"/>
      <c r="EV416" s="15"/>
      <c r="EW416" s="15"/>
      <c r="EX416" s="15"/>
      <c r="EY416" s="15"/>
      <c r="EZ416" s="15"/>
      <c r="FA416" s="15"/>
      <c r="FB416" s="15"/>
      <c r="FC416" s="16" t="s">
        <v>197</v>
      </c>
      <c r="FD416" s="17" t="s">
        <v>198</v>
      </c>
      <c r="FE416" s="18">
        <v>45723.296747685185</v>
      </c>
      <c r="FF416" s="19"/>
      <c r="FG416" s="19"/>
      <c r="FH416" s="21" t="s">
        <v>197</v>
      </c>
      <c r="FI416" s="17" t="s">
        <v>214</v>
      </c>
      <c r="FJ416" s="18">
        <v>45723.296747685185</v>
      </c>
      <c r="FK416" s="14" t="s">
        <v>10994</v>
      </c>
      <c r="FL416" s="19"/>
      <c r="FM416" s="19"/>
      <c r="FN416" s="19"/>
      <c r="FO416" s="19"/>
      <c r="FP416" s="19" t="str">
        <f t="shared" si="1"/>
        <v/>
      </c>
      <c r="FQ416" s="14" t="s">
        <v>215</v>
      </c>
      <c r="FR416" s="14" t="s">
        <v>10995</v>
      </c>
    </row>
    <row r="417" ht="15.75" customHeight="1">
      <c r="A417" s="12" t="s">
        <v>292</v>
      </c>
      <c r="B417" s="12" t="s">
        <v>1877</v>
      </c>
      <c r="C417" s="24" t="s">
        <v>324</v>
      </c>
      <c r="D417" s="22" t="s">
        <v>10996</v>
      </c>
      <c r="E417" s="22" t="s">
        <v>10997</v>
      </c>
      <c r="F417" s="13" t="s">
        <v>178</v>
      </c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6" t="s">
        <v>197</v>
      </c>
      <c r="BP417" s="17" t="s">
        <v>228</v>
      </c>
      <c r="BQ417" s="23"/>
      <c r="BR417" s="17" t="s">
        <v>228</v>
      </c>
      <c r="BS417" s="23"/>
      <c r="BT417" s="17" t="s">
        <v>228</v>
      </c>
      <c r="BU417" s="23"/>
      <c r="BV417" s="13" t="s">
        <v>199</v>
      </c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9"/>
      <c r="CH417" s="15"/>
      <c r="CI417" s="19"/>
      <c r="CJ417" s="15"/>
      <c r="CK417" s="19"/>
      <c r="CL417" s="15"/>
      <c r="CM417" s="19"/>
      <c r="CN417" s="15"/>
      <c r="CO417" s="19"/>
      <c r="CP417" s="15"/>
      <c r="CQ417" s="15"/>
      <c r="CR417" s="15"/>
      <c r="CS417" s="19"/>
      <c r="CT417" s="15"/>
      <c r="CU417" s="19"/>
      <c r="CV417" s="15"/>
      <c r="CW417" s="19"/>
      <c r="CX417" s="15"/>
      <c r="CY417" s="19"/>
      <c r="CZ417" s="15"/>
      <c r="DA417" s="16" t="s">
        <v>197</v>
      </c>
      <c r="DB417" s="17" t="s">
        <v>228</v>
      </c>
      <c r="DC417" s="16"/>
      <c r="DD417" s="17" t="s">
        <v>228</v>
      </c>
      <c r="DE417" s="23"/>
      <c r="DF417" s="17" t="s">
        <v>228</v>
      </c>
      <c r="DG417" s="23"/>
      <c r="DH417" s="13" t="s">
        <v>205</v>
      </c>
      <c r="DI417" s="14" t="s">
        <v>179</v>
      </c>
      <c r="DJ417" s="14" t="s">
        <v>10998</v>
      </c>
      <c r="DK417" s="14" t="s">
        <v>179</v>
      </c>
      <c r="DL417" s="14" t="s">
        <v>10998</v>
      </c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6" t="s">
        <v>197</v>
      </c>
      <c r="ED417" s="17" t="s">
        <v>198</v>
      </c>
      <c r="EE417" s="18">
        <v>45723.303981481484</v>
      </c>
      <c r="EF417" s="13" t="s">
        <v>209</v>
      </c>
      <c r="EG417" s="14" t="s">
        <v>179</v>
      </c>
      <c r="EH417" s="14" t="s">
        <v>10999</v>
      </c>
      <c r="EI417" s="14" t="s">
        <v>179</v>
      </c>
      <c r="EJ417" s="14" t="s">
        <v>10999</v>
      </c>
      <c r="EK417" s="15"/>
      <c r="EL417" s="15"/>
      <c r="EM417" s="15"/>
      <c r="EN417" s="15"/>
      <c r="EO417" s="15"/>
      <c r="EP417" s="15"/>
      <c r="EQ417" s="15"/>
      <c r="ER417" s="15"/>
      <c r="ES417" s="15"/>
      <c r="ET417" s="15"/>
      <c r="EU417" s="15"/>
      <c r="EV417" s="15"/>
      <c r="EW417" s="15"/>
      <c r="EX417" s="15"/>
      <c r="EY417" s="15"/>
      <c r="EZ417" s="15"/>
      <c r="FA417" s="15"/>
      <c r="FB417" s="15"/>
      <c r="FC417" s="16" t="s">
        <v>197</v>
      </c>
      <c r="FD417" s="17" t="s">
        <v>198</v>
      </c>
      <c r="FE417" s="18">
        <v>45723.304027777776</v>
      </c>
      <c r="FF417" s="19"/>
      <c r="FG417" s="19"/>
      <c r="FH417" s="21" t="s">
        <v>197</v>
      </c>
      <c r="FI417" s="17" t="s">
        <v>214</v>
      </c>
      <c r="FJ417" s="18">
        <v>45723.304027777776</v>
      </c>
      <c r="FK417" s="14" t="s">
        <v>10999</v>
      </c>
      <c r="FL417" s="19"/>
      <c r="FM417" s="19"/>
      <c r="FN417" s="19"/>
      <c r="FO417" s="19"/>
      <c r="FP417" s="19" t="str">
        <f t="shared" si="1"/>
        <v/>
      </c>
      <c r="FQ417" s="14" t="s">
        <v>215</v>
      </c>
      <c r="FR417" s="14" t="s">
        <v>11000</v>
      </c>
    </row>
    <row r="418" ht="15.75" customHeight="1">
      <c r="A418" s="12" t="s">
        <v>292</v>
      </c>
      <c r="B418" s="12" t="s">
        <v>293</v>
      </c>
      <c r="C418" s="24" t="s">
        <v>324</v>
      </c>
      <c r="D418" s="22" t="s">
        <v>11001</v>
      </c>
      <c r="E418" s="22" t="s">
        <v>11002</v>
      </c>
      <c r="F418" s="13" t="s">
        <v>178</v>
      </c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6" t="s">
        <v>197</v>
      </c>
      <c r="BP418" s="17" t="s">
        <v>228</v>
      </c>
      <c r="BQ418" s="23"/>
      <c r="BR418" s="17" t="s">
        <v>228</v>
      </c>
      <c r="BS418" s="23"/>
      <c r="BT418" s="17" t="s">
        <v>228</v>
      </c>
      <c r="BU418" s="23"/>
      <c r="BV418" s="13" t="s">
        <v>199</v>
      </c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9"/>
      <c r="CH418" s="15"/>
      <c r="CI418" s="19"/>
      <c r="CJ418" s="15"/>
      <c r="CK418" s="19"/>
      <c r="CL418" s="15"/>
      <c r="CM418" s="19"/>
      <c r="CN418" s="15"/>
      <c r="CO418" s="19"/>
      <c r="CP418" s="15"/>
      <c r="CQ418" s="15"/>
      <c r="CR418" s="15"/>
      <c r="CS418" s="19"/>
      <c r="CT418" s="15"/>
      <c r="CU418" s="19"/>
      <c r="CV418" s="15"/>
      <c r="CW418" s="19"/>
      <c r="CX418" s="15"/>
      <c r="CY418" s="19"/>
      <c r="CZ418" s="15"/>
      <c r="DA418" s="16" t="s">
        <v>197</v>
      </c>
      <c r="DB418" s="17" t="s">
        <v>228</v>
      </c>
      <c r="DC418" s="16"/>
      <c r="DD418" s="17" t="s">
        <v>228</v>
      </c>
      <c r="DE418" s="23"/>
      <c r="DF418" s="17" t="s">
        <v>228</v>
      </c>
      <c r="DG418" s="23"/>
      <c r="DH418" s="13" t="s">
        <v>205</v>
      </c>
      <c r="DI418" s="14" t="s">
        <v>179</v>
      </c>
      <c r="DJ418" s="14" t="s">
        <v>11003</v>
      </c>
      <c r="DK418" s="14" t="s">
        <v>179</v>
      </c>
      <c r="DL418" s="14" t="s">
        <v>11004</v>
      </c>
      <c r="DM418" s="15"/>
      <c r="DN418" s="15"/>
      <c r="DO418" s="15"/>
      <c r="DP418" s="15"/>
      <c r="DQ418" s="15"/>
      <c r="DR418" s="15"/>
      <c r="DS418" s="15"/>
      <c r="DT418" s="15"/>
      <c r="DU418" s="15"/>
      <c r="DV418" s="15"/>
      <c r="DW418" s="15"/>
      <c r="DX418" s="15"/>
      <c r="DY418" s="15"/>
      <c r="DZ418" s="15"/>
      <c r="EA418" s="15"/>
      <c r="EB418" s="15"/>
      <c r="EC418" s="16" t="s">
        <v>197</v>
      </c>
      <c r="ED418" s="17" t="s">
        <v>198</v>
      </c>
      <c r="EE418" s="18">
        <v>45720.55949074074</v>
      </c>
      <c r="EF418" s="13" t="s">
        <v>209</v>
      </c>
      <c r="EG418" s="14" t="s">
        <v>179</v>
      </c>
      <c r="EH418" s="14" t="s">
        <v>11005</v>
      </c>
      <c r="EI418" s="14" t="s">
        <v>179</v>
      </c>
      <c r="EJ418" s="14" t="s">
        <v>11005</v>
      </c>
      <c r="EK418" s="15"/>
      <c r="EL418" s="15"/>
      <c r="EM418" s="15"/>
      <c r="EN418" s="15"/>
      <c r="EO418" s="15"/>
      <c r="EP418" s="15"/>
      <c r="EQ418" s="15"/>
      <c r="ER418" s="15"/>
      <c r="ES418" s="15"/>
      <c r="ET418" s="15"/>
      <c r="EU418" s="15"/>
      <c r="EV418" s="15"/>
      <c r="EW418" s="15"/>
      <c r="EX418" s="15"/>
      <c r="EY418" s="15"/>
      <c r="EZ418" s="15"/>
      <c r="FA418" s="15"/>
      <c r="FB418" s="15"/>
      <c r="FC418" s="16" t="s">
        <v>197</v>
      </c>
      <c r="FD418" s="17" t="s">
        <v>198</v>
      </c>
      <c r="FE418" s="18">
        <v>45723.305439814816</v>
      </c>
      <c r="FF418" s="19"/>
      <c r="FG418" s="19"/>
      <c r="FH418" s="21" t="s">
        <v>197</v>
      </c>
      <c r="FI418" s="17" t="s">
        <v>214</v>
      </c>
      <c r="FJ418" s="18">
        <v>45723.305439814816</v>
      </c>
      <c r="FK418" s="14" t="s">
        <v>11005</v>
      </c>
      <c r="FL418" s="19"/>
      <c r="FM418" s="19"/>
      <c r="FN418" s="19"/>
      <c r="FO418" s="19"/>
      <c r="FP418" s="19" t="str">
        <f t="shared" si="1"/>
        <v/>
      </c>
      <c r="FQ418" s="14" t="s">
        <v>215</v>
      </c>
      <c r="FR418" s="14" t="s">
        <v>11006</v>
      </c>
    </row>
    <row r="419" ht="15.75" customHeight="1">
      <c r="A419" s="12" t="s">
        <v>292</v>
      </c>
      <c r="B419" s="12" t="s">
        <v>10753</v>
      </c>
      <c r="C419" s="24" t="s">
        <v>324</v>
      </c>
      <c r="D419" s="22" t="s">
        <v>11007</v>
      </c>
      <c r="E419" s="22" t="s">
        <v>11008</v>
      </c>
      <c r="F419" s="13" t="s">
        <v>178</v>
      </c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6" t="s">
        <v>197</v>
      </c>
      <c r="BP419" s="17" t="s">
        <v>228</v>
      </c>
      <c r="BQ419" s="23"/>
      <c r="BR419" s="17" t="s">
        <v>228</v>
      </c>
      <c r="BS419" s="23"/>
      <c r="BT419" s="17" t="s">
        <v>228</v>
      </c>
      <c r="BU419" s="23"/>
      <c r="BV419" s="13" t="s">
        <v>199</v>
      </c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9"/>
      <c r="CH419" s="15"/>
      <c r="CI419" s="19"/>
      <c r="CJ419" s="15"/>
      <c r="CK419" s="19"/>
      <c r="CL419" s="15"/>
      <c r="CM419" s="19"/>
      <c r="CN419" s="15"/>
      <c r="CO419" s="19"/>
      <c r="CP419" s="15"/>
      <c r="CQ419" s="15"/>
      <c r="CR419" s="15"/>
      <c r="CS419" s="19"/>
      <c r="CT419" s="15"/>
      <c r="CU419" s="19"/>
      <c r="CV419" s="15"/>
      <c r="CW419" s="19"/>
      <c r="CX419" s="15"/>
      <c r="CY419" s="19"/>
      <c r="CZ419" s="15"/>
      <c r="DA419" s="16" t="s">
        <v>197</v>
      </c>
      <c r="DB419" s="17" t="s">
        <v>228</v>
      </c>
      <c r="DC419" s="16"/>
      <c r="DD419" s="17" t="s">
        <v>228</v>
      </c>
      <c r="DE419" s="23"/>
      <c r="DF419" s="17" t="s">
        <v>228</v>
      </c>
      <c r="DG419" s="23"/>
      <c r="DH419" s="13" t="s">
        <v>205</v>
      </c>
      <c r="DI419" s="14" t="s">
        <v>179</v>
      </c>
      <c r="DJ419" s="14" t="s">
        <v>11009</v>
      </c>
      <c r="DK419" s="14" t="s">
        <v>179</v>
      </c>
      <c r="DL419" s="14" t="s">
        <v>11010</v>
      </c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6" t="s">
        <v>197</v>
      </c>
      <c r="ED419" s="17" t="s">
        <v>198</v>
      </c>
      <c r="EE419" s="18">
        <v>45719.47761574074</v>
      </c>
      <c r="EF419" s="13" t="s">
        <v>209</v>
      </c>
      <c r="EG419" s="14" t="s">
        <v>179</v>
      </c>
      <c r="EH419" s="14" t="s">
        <v>11011</v>
      </c>
      <c r="EI419" s="14" t="s">
        <v>179</v>
      </c>
      <c r="EJ419" s="14" t="s">
        <v>11011</v>
      </c>
      <c r="EK419" s="15"/>
      <c r="EL419" s="15"/>
      <c r="EM419" s="15"/>
      <c r="EN419" s="15"/>
      <c r="EO419" s="15"/>
      <c r="EP419" s="15"/>
      <c r="EQ419" s="15"/>
      <c r="ER419" s="15"/>
      <c r="ES419" s="15"/>
      <c r="ET419" s="15"/>
      <c r="EU419" s="15"/>
      <c r="EV419" s="15"/>
      <c r="EW419" s="15"/>
      <c r="EX419" s="15"/>
      <c r="EY419" s="15"/>
      <c r="EZ419" s="15"/>
      <c r="FA419" s="15"/>
      <c r="FB419" s="15"/>
      <c r="FC419" s="16" t="s">
        <v>197</v>
      </c>
      <c r="FD419" s="17" t="s">
        <v>198</v>
      </c>
      <c r="FE419" s="18">
        <v>45723.30840277778</v>
      </c>
      <c r="FF419" s="19"/>
      <c r="FG419" s="19"/>
      <c r="FH419" s="21" t="s">
        <v>197</v>
      </c>
      <c r="FI419" s="17" t="s">
        <v>214</v>
      </c>
      <c r="FJ419" s="18">
        <v>45723.30840277778</v>
      </c>
      <c r="FK419" s="14" t="s">
        <v>11011</v>
      </c>
      <c r="FL419" s="19"/>
      <c r="FM419" s="19"/>
      <c r="FN419" s="19"/>
      <c r="FO419" s="19"/>
      <c r="FP419" s="19" t="str">
        <f t="shared" si="1"/>
        <v/>
      </c>
      <c r="FQ419" s="14" t="s">
        <v>215</v>
      </c>
      <c r="FR419" s="14" t="s">
        <v>11012</v>
      </c>
    </row>
    <row r="420" ht="15.75" customHeight="1">
      <c r="A420" s="12" t="s">
        <v>292</v>
      </c>
      <c r="B420" s="12" t="s">
        <v>1452</v>
      </c>
      <c r="C420" s="24" t="s">
        <v>324</v>
      </c>
      <c r="D420" s="22" t="s">
        <v>11013</v>
      </c>
      <c r="E420" s="22" t="s">
        <v>11014</v>
      </c>
      <c r="F420" s="13" t="s">
        <v>178</v>
      </c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6" t="s">
        <v>197</v>
      </c>
      <c r="BP420" s="17" t="s">
        <v>228</v>
      </c>
      <c r="BQ420" s="23"/>
      <c r="BR420" s="17" t="s">
        <v>228</v>
      </c>
      <c r="BS420" s="23"/>
      <c r="BT420" s="17" t="s">
        <v>228</v>
      </c>
      <c r="BU420" s="23"/>
      <c r="BV420" s="13" t="s">
        <v>199</v>
      </c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9"/>
      <c r="CH420" s="15"/>
      <c r="CI420" s="19"/>
      <c r="CJ420" s="15"/>
      <c r="CK420" s="19"/>
      <c r="CL420" s="15"/>
      <c r="CM420" s="19"/>
      <c r="CN420" s="15"/>
      <c r="CO420" s="19"/>
      <c r="CP420" s="15"/>
      <c r="CQ420" s="15"/>
      <c r="CR420" s="15"/>
      <c r="CS420" s="19"/>
      <c r="CT420" s="15"/>
      <c r="CU420" s="19"/>
      <c r="CV420" s="15"/>
      <c r="CW420" s="19"/>
      <c r="CX420" s="15"/>
      <c r="CY420" s="19"/>
      <c r="CZ420" s="15"/>
      <c r="DA420" s="16" t="s">
        <v>197</v>
      </c>
      <c r="DB420" s="17" t="s">
        <v>228</v>
      </c>
      <c r="DC420" s="16"/>
      <c r="DD420" s="17" t="s">
        <v>228</v>
      </c>
      <c r="DE420" s="23"/>
      <c r="DF420" s="17" t="s">
        <v>228</v>
      </c>
      <c r="DG420" s="23"/>
      <c r="DH420" s="13" t="s">
        <v>205</v>
      </c>
      <c r="DI420" s="14" t="s">
        <v>179</v>
      </c>
      <c r="DJ420" s="14" t="s">
        <v>11015</v>
      </c>
      <c r="DK420" s="14" t="s">
        <v>179</v>
      </c>
      <c r="DL420" s="14" t="s">
        <v>11016</v>
      </c>
      <c r="DM420" s="15"/>
      <c r="DN420" s="15"/>
      <c r="DO420" s="15"/>
      <c r="DP420" s="15"/>
      <c r="DQ420" s="15"/>
      <c r="DR420" s="15"/>
      <c r="DS420" s="15"/>
      <c r="DT420" s="15"/>
      <c r="DU420" s="15"/>
      <c r="DV420" s="15"/>
      <c r="DW420" s="15"/>
      <c r="DX420" s="15"/>
      <c r="DY420" s="15"/>
      <c r="DZ420" s="15"/>
      <c r="EA420" s="15"/>
      <c r="EB420" s="15"/>
      <c r="EC420" s="16" t="s">
        <v>197</v>
      </c>
      <c r="ED420" s="17" t="s">
        <v>198</v>
      </c>
      <c r="EE420" s="18">
        <v>45723.30847222222</v>
      </c>
      <c r="EF420" s="13" t="s">
        <v>209</v>
      </c>
      <c r="EG420" s="14" t="s">
        <v>179</v>
      </c>
      <c r="EH420" s="14" t="s">
        <v>11017</v>
      </c>
      <c r="EI420" s="14" t="s">
        <v>179</v>
      </c>
      <c r="EJ420" s="14" t="s">
        <v>11018</v>
      </c>
      <c r="EK420" s="15"/>
      <c r="EL420" s="15"/>
      <c r="EM420" s="15"/>
      <c r="EN420" s="15"/>
      <c r="EO420" s="15"/>
      <c r="EP420" s="15"/>
      <c r="EQ420" s="15"/>
      <c r="ER420" s="15"/>
      <c r="ES420" s="15"/>
      <c r="ET420" s="15"/>
      <c r="EU420" s="15"/>
      <c r="EV420" s="15"/>
      <c r="EW420" s="15"/>
      <c r="EX420" s="15"/>
      <c r="EY420" s="15"/>
      <c r="EZ420" s="15"/>
      <c r="FA420" s="15"/>
      <c r="FB420" s="15"/>
      <c r="FC420" s="16" t="s">
        <v>197</v>
      </c>
      <c r="FD420" s="17" t="s">
        <v>198</v>
      </c>
      <c r="FE420" s="18">
        <v>45723.30850694444</v>
      </c>
      <c r="FF420" s="19"/>
      <c r="FG420" s="19"/>
      <c r="FH420" s="21" t="s">
        <v>197</v>
      </c>
      <c r="FI420" s="17" t="s">
        <v>214</v>
      </c>
      <c r="FJ420" s="18">
        <v>45723.30850694444</v>
      </c>
      <c r="FK420" s="14" t="s">
        <v>11018</v>
      </c>
      <c r="FL420" s="19"/>
      <c r="FM420" s="19"/>
      <c r="FN420" s="19"/>
      <c r="FO420" s="19"/>
      <c r="FP420" s="19" t="str">
        <f t="shared" si="1"/>
        <v/>
      </c>
      <c r="FQ420" s="14" t="s">
        <v>215</v>
      </c>
      <c r="FR420" s="14" t="s">
        <v>11019</v>
      </c>
    </row>
    <row r="421" ht="15.75" customHeight="1">
      <c r="A421" s="12" t="s">
        <v>292</v>
      </c>
      <c r="B421" s="12" t="s">
        <v>11020</v>
      </c>
      <c r="C421" s="24" t="s">
        <v>324</v>
      </c>
      <c r="D421" s="22" t="s">
        <v>11021</v>
      </c>
      <c r="E421" s="22" t="s">
        <v>11022</v>
      </c>
      <c r="F421" s="13" t="s">
        <v>178</v>
      </c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6" t="s">
        <v>197</v>
      </c>
      <c r="BP421" s="17" t="s">
        <v>228</v>
      </c>
      <c r="BQ421" s="23"/>
      <c r="BR421" s="17" t="s">
        <v>228</v>
      </c>
      <c r="BS421" s="23"/>
      <c r="BT421" s="17" t="s">
        <v>228</v>
      </c>
      <c r="BU421" s="23"/>
      <c r="BV421" s="13" t="s">
        <v>199</v>
      </c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9"/>
      <c r="CH421" s="15"/>
      <c r="CI421" s="19"/>
      <c r="CJ421" s="15"/>
      <c r="CK421" s="19"/>
      <c r="CL421" s="15"/>
      <c r="CM421" s="19"/>
      <c r="CN421" s="15"/>
      <c r="CO421" s="19"/>
      <c r="CP421" s="15"/>
      <c r="CQ421" s="15"/>
      <c r="CR421" s="15"/>
      <c r="CS421" s="19"/>
      <c r="CT421" s="15"/>
      <c r="CU421" s="19"/>
      <c r="CV421" s="15"/>
      <c r="CW421" s="19"/>
      <c r="CX421" s="15"/>
      <c r="CY421" s="19"/>
      <c r="CZ421" s="15"/>
      <c r="DA421" s="16" t="s">
        <v>197</v>
      </c>
      <c r="DB421" s="17" t="s">
        <v>228</v>
      </c>
      <c r="DC421" s="16"/>
      <c r="DD421" s="17" t="s">
        <v>228</v>
      </c>
      <c r="DE421" s="23"/>
      <c r="DF421" s="17" t="s">
        <v>228</v>
      </c>
      <c r="DG421" s="23"/>
      <c r="DH421" s="13" t="s">
        <v>205</v>
      </c>
      <c r="DI421" s="14" t="s">
        <v>179</v>
      </c>
      <c r="DJ421" s="14" t="s">
        <v>11023</v>
      </c>
      <c r="DK421" s="14" t="s">
        <v>179</v>
      </c>
      <c r="DL421" s="14" t="s">
        <v>11023</v>
      </c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6" t="s">
        <v>197</v>
      </c>
      <c r="ED421" s="17" t="s">
        <v>198</v>
      </c>
      <c r="EE421" s="18">
        <v>45719.47519675926</v>
      </c>
      <c r="EF421" s="13" t="s">
        <v>209</v>
      </c>
      <c r="EG421" s="14" t="s">
        <v>179</v>
      </c>
      <c r="EH421" s="14" t="s">
        <v>11024</v>
      </c>
      <c r="EI421" s="14" t="s">
        <v>179</v>
      </c>
      <c r="EJ421" s="14" t="s">
        <v>11024</v>
      </c>
      <c r="EK421" s="15"/>
      <c r="EL421" s="15"/>
      <c r="EM421" s="15"/>
      <c r="EN421" s="15"/>
      <c r="EO421" s="15"/>
      <c r="EP421" s="15"/>
      <c r="EQ421" s="15"/>
      <c r="ER421" s="15"/>
      <c r="ES421" s="15"/>
      <c r="ET421" s="15"/>
      <c r="EU421" s="15"/>
      <c r="EV421" s="15"/>
      <c r="EW421" s="15"/>
      <c r="EX421" s="15"/>
      <c r="EY421" s="15"/>
      <c r="EZ421" s="15"/>
      <c r="FA421" s="15"/>
      <c r="FB421" s="15"/>
      <c r="FC421" s="16" t="s">
        <v>197</v>
      </c>
      <c r="FD421" s="17" t="s">
        <v>198</v>
      </c>
      <c r="FE421" s="18">
        <v>45723.29349537037</v>
      </c>
      <c r="FF421" s="19"/>
      <c r="FG421" s="19"/>
      <c r="FH421" s="21" t="s">
        <v>197</v>
      </c>
      <c r="FI421" s="17" t="s">
        <v>214</v>
      </c>
      <c r="FJ421" s="18">
        <v>45723.29349537037</v>
      </c>
      <c r="FK421" s="14" t="s">
        <v>11024</v>
      </c>
      <c r="FL421" s="14" t="s">
        <v>11025</v>
      </c>
      <c r="FM421" s="14" t="s">
        <v>11026</v>
      </c>
      <c r="FN421" s="19"/>
      <c r="FO421" s="19"/>
      <c r="FP421" s="19" t="str">
        <f t="shared" si="1"/>
        <v>Base de Dados_Images/LIC30041.Imagem do Equipamento-.153919.jpg</v>
      </c>
      <c r="FQ421" s="14"/>
      <c r="FR421" s="14"/>
    </row>
    <row r="422" ht="15.75" customHeight="1">
      <c r="A422" s="12" t="s">
        <v>292</v>
      </c>
      <c r="B422" s="12" t="s">
        <v>11027</v>
      </c>
      <c r="C422" s="24" t="s">
        <v>324</v>
      </c>
      <c r="D422" s="22" t="s">
        <v>11028</v>
      </c>
      <c r="E422" s="22" t="s">
        <v>11029</v>
      </c>
      <c r="F422" s="13" t="s">
        <v>178</v>
      </c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6" t="s">
        <v>197</v>
      </c>
      <c r="BP422" s="17" t="s">
        <v>228</v>
      </c>
      <c r="BQ422" s="23"/>
      <c r="BR422" s="17" t="s">
        <v>228</v>
      </c>
      <c r="BS422" s="23"/>
      <c r="BT422" s="17" t="s">
        <v>228</v>
      </c>
      <c r="BU422" s="23"/>
      <c r="BV422" s="13" t="s">
        <v>199</v>
      </c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9"/>
      <c r="CH422" s="15"/>
      <c r="CI422" s="19"/>
      <c r="CJ422" s="15"/>
      <c r="CK422" s="19"/>
      <c r="CL422" s="15"/>
      <c r="CM422" s="19"/>
      <c r="CN422" s="15"/>
      <c r="CO422" s="19"/>
      <c r="CP422" s="15"/>
      <c r="CQ422" s="15"/>
      <c r="CR422" s="15"/>
      <c r="CS422" s="19"/>
      <c r="CT422" s="15"/>
      <c r="CU422" s="19"/>
      <c r="CV422" s="15"/>
      <c r="CW422" s="19"/>
      <c r="CX422" s="15"/>
      <c r="CY422" s="19"/>
      <c r="CZ422" s="15"/>
      <c r="DA422" s="16" t="s">
        <v>197</v>
      </c>
      <c r="DB422" s="17" t="s">
        <v>228</v>
      </c>
      <c r="DC422" s="16"/>
      <c r="DD422" s="17" t="s">
        <v>228</v>
      </c>
      <c r="DE422" s="23"/>
      <c r="DF422" s="17" t="s">
        <v>228</v>
      </c>
      <c r="DG422" s="23"/>
      <c r="DH422" s="13" t="s">
        <v>205</v>
      </c>
      <c r="DI422" s="14" t="s">
        <v>179</v>
      </c>
      <c r="DJ422" s="14" t="s">
        <v>11030</v>
      </c>
      <c r="DK422" s="14" t="s">
        <v>179</v>
      </c>
      <c r="DL422" s="14" t="s">
        <v>11031</v>
      </c>
      <c r="DM422" s="15"/>
      <c r="DN422" s="15"/>
      <c r="DO422" s="15"/>
      <c r="DP422" s="15"/>
      <c r="DQ422" s="15"/>
      <c r="DR422" s="15"/>
      <c r="DS422" s="15"/>
      <c r="DT422" s="15"/>
      <c r="DU422" s="15"/>
      <c r="DV422" s="15"/>
      <c r="DW422" s="15"/>
      <c r="DX422" s="15"/>
      <c r="DY422" s="15"/>
      <c r="DZ422" s="15"/>
      <c r="EA422" s="15"/>
      <c r="EB422" s="15"/>
      <c r="EC422" s="16" t="s">
        <v>197</v>
      </c>
      <c r="ED422" s="17" t="s">
        <v>198</v>
      </c>
      <c r="EE422" s="18">
        <v>45719.46726851852</v>
      </c>
      <c r="EF422" s="13" t="s">
        <v>209</v>
      </c>
      <c r="EG422" s="14" t="s">
        <v>179</v>
      </c>
      <c r="EH422" s="14" t="s">
        <v>11032</v>
      </c>
      <c r="EI422" s="14" t="s">
        <v>179</v>
      </c>
      <c r="EJ422" s="14" t="s">
        <v>11033</v>
      </c>
      <c r="EK422" s="15"/>
      <c r="EL422" s="15"/>
      <c r="EM422" s="15"/>
      <c r="EN422" s="15"/>
      <c r="EO422" s="15"/>
      <c r="EP422" s="15"/>
      <c r="EQ422" s="15"/>
      <c r="ER422" s="15"/>
      <c r="ES422" s="15"/>
      <c r="ET422" s="15"/>
      <c r="EU422" s="15"/>
      <c r="EV422" s="15"/>
      <c r="EW422" s="15"/>
      <c r="EX422" s="15"/>
      <c r="EY422" s="15"/>
      <c r="EZ422" s="15"/>
      <c r="FA422" s="15"/>
      <c r="FB422" s="15"/>
      <c r="FC422" s="16" t="s">
        <v>197</v>
      </c>
      <c r="FD422" s="17" t="s">
        <v>198</v>
      </c>
      <c r="FE422" s="18">
        <v>45722.50765046296</v>
      </c>
      <c r="FF422" s="19"/>
      <c r="FG422" s="19"/>
      <c r="FH422" s="21" t="s">
        <v>197</v>
      </c>
      <c r="FI422" s="17" t="s">
        <v>214</v>
      </c>
      <c r="FJ422" s="18">
        <v>45722.50765046296</v>
      </c>
      <c r="FK422" s="14" t="s">
        <v>11033</v>
      </c>
      <c r="FL422" s="19"/>
      <c r="FM422" s="19"/>
      <c r="FN422" s="19"/>
      <c r="FO422" s="19"/>
      <c r="FP422" s="19" t="str">
        <f t="shared" si="1"/>
        <v/>
      </c>
      <c r="FQ422" s="14" t="s">
        <v>215</v>
      </c>
      <c r="FR422" s="14" t="s">
        <v>11034</v>
      </c>
    </row>
    <row r="423" ht="15.75" customHeight="1">
      <c r="A423" s="12" t="s">
        <v>292</v>
      </c>
      <c r="B423" s="12" t="s">
        <v>11035</v>
      </c>
      <c r="C423" s="24" t="s">
        <v>324</v>
      </c>
      <c r="D423" s="22" t="s">
        <v>11036</v>
      </c>
      <c r="E423" s="22" t="s">
        <v>11037</v>
      </c>
      <c r="F423" s="13" t="s">
        <v>178</v>
      </c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6" t="s">
        <v>197</v>
      </c>
      <c r="BP423" s="17" t="s">
        <v>228</v>
      </c>
      <c r="BQ423" s="23"/>
      <c r="BR423" s="17" t="s">
        <v>228</v>
      </c>
      <c r="BS423" s="23"/>
      <c r="BT423" s="17" t="s">
        <v>228</v>
      </c>
      <c r="BU423" s="23"/>
      <c r="BV423" s="13" t="s">
        <v>199</v>
      </c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9"/>
      <c r="CH423" s="15"/>
      <c r="CI423" s="19"/>
      <c r="CJ423" s="15"/>
      <c r="CK423" s="19"/>
      <c r="CL423" s="15"/>
      <c r="CM423" s="19"/>
      <c r="CN423" s="15"/>
      <c r="CO423" s="19"/>
      <c r="CP423" s="15"/>
      <c r="CQ423" s="15"/>
      <c r="CR423" s="15"/>
      <c r="CS423" s="19"/>
      <c r="CT423" s="15"/>
      <c r="CU423" s="19"/>
      <c r="CV423" s="15"/>
      <c r="CW423" s="19"/>
      <c r="CX423" s="15"/>
      <c r="CY423" s="19"/>
      <c r="CZ423" s="15"/>
      <c r="DA423" s="16" t="s">
        <v>197</v>
      </c>
      <c r="DB423" s="17" t="s">
        <v>228</v>
      </c>
      <c r="DC423" s="16"/>
      <c r="DD423" s="17" t="s">
        <v>228</v>
      </c>
      <c r="DE423" s="23"/>
      <c r="DF423" s="17" t="s">
        <v>228</v>
      </c>
      <c r="DG423" s="23"/>
      <c r="DH423" s="13" t="s">
        <v>205</v>
      </c>
      <c r="DI423" s="14" t="s">
        <v>188</v>
      </c>
      <c r="DJ423" s="14" t="s">
        <v>11038</v>
      </c>
      <c r="DK423" s="14" t="s">
        <v>188</v>
      </c>
      <c r="DL423" s="14" t="s">
        <v>11038</v>
      </c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6" t="s">
        <v>197</v>
      </c>
      <c r="ED423" s="17" t="s">
        <v>198</v>
      </c>
      <c r="EE423" s="18">
        <v>45719.46824074074</v>
      </c>
      <c r="EF423" s="13" t="s">
        <v>209</v>
      </c>
      <c r="EG423" s="14" t="s">
        <v>179</v>
      </c>
      <c r="EH423" s="14" t="s">
        <v>11039</v>
      </c>
      <c r="EI423" s="14" t="s">
        <v>179</v>
      </c>
      <c r="EJ423" s="14" t="s">
        <v>11039</v>
      </c>
      <c r="EK423" s="15"/>
      <c r="EL423" s="15"/>
      <c r="EM423" s="15"/>
      <c r="EN423" s="15"/>
      <c r="EO423" s="15"/>
      <c r="EP423" s="15"/>
      <c r="EQ423" s="15"/>
      <c r="ER423" s="15"/>
      <c r="ES423" s="15"/>
      <c r="ET423" s="15"/>
      <c r="EU423" s="15"/>
      <c r="EV423" s="15"/>
      <c r="EW423" s="15"/>
      <c r="EX423" s="15"/>
      <c r="EY423" s="15"/>
      <c r="EZ423" s="15"/>
      <c r="FA423" s="15"/>
      <c r="FB423" s="15"/>
      <c r="FC423" s="16" t="s">
        <v>197</v>
      </c>
      <c r="FD423" s="17" t="s">
        <v>198</v>
      </c>
      <c r="FE423" s="18">
        <v>45722.509618055556</v>
      </c>
      <c r="FF423" s="19"/>
      <c r="FG423" s="19"/>
      <c r="FH423" s="21" t="s">
        <v>197</v>
      </c>
      <c r="FI423" s="17" t="s">
        <v>214</v>
      </c>
      <c r="FJ423" s="18">
        <v>45722.509618055556</v>
      </c>
      <c r="FK423" s="14" t="s">
        <v>11039</v>
      </c>
      <c r="FL423" s="19"/>
      <c r="FM423" s="19"/>
      <c r="FN423" s="19"/>
      <c r="FO423" s="19"/>
      <c r="FP423" s="19" t="str">
        <f t="shared" si="1"/>
        <v/>
      </c>
      <c r="FQ423" s="14" t="s">
        <v>215</v>
      </c>
      <c r="FR423" s="14" t="s">
        <v>11040</v>
      </c>
    </row>
    <row r="424" ht="15.75" customHeight="1">
      <c r="A424" s="12" t="s">
        <v>292</v>
      </c>
      <c r="B424" s="12" t="s">
        <v>11041</v>
      </c>
      <c r="C424" s="24" t="s">
        <v>324</v>
      </c>
      <c r="D424" s="22" t="s">
        <v>11042</v>
      </c>
      <c r="E424" s="22" t="s">
        <v>11043</v>
      </c>
      <c r="F424" s="13" t="s">
        <v>178</v>
      </c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6" t="s">
        <v>197</v>
      </c>
      <c r="BP424" s="17" t="s">
        <v>228</v>
      </c>
      <c r="BQ424" s="23"/>
      <c r="BR424" s="17" t="s">
        <v>228</v>
      </c>
      <c r="BS424" s="23"/>
      <c r="BT424" s="17" t="s">
        <v>228</v>
      </c>
      <c r="BU424" s="23"/>
      <c r="BV424" s="13" t="s">
        <v>199</v>
      </c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9"/>
      <c r="CH424" s="15"/>
      <c r="CI424" s="19"/>
      <c r="CJ424" s="15"/>
      <c r="CK424" s="19"/>
      <c r="CL424" s="15"/>
      <c r="CM424" s="19"/>
      <c r="CN424" s="15"/>
      <c r="CO424" s="19"/>
      <c r="CP424" s="15"/>
      <c r="CQ424" s="15"/>
      <c r="CR424" s="15"/>
      <c r="CS424" s="19"/>
      <c r="CT424" s="15"/>
      <c r="CU424" s="19"/>
      <c r="CV424" s="15"/>
      <c r="CW424" s="19"/>
      <c r="CX424" s="15"/>
      <c r="CY424" s="19"/>
      <c r="CZ424" s="15"/>
      <c r="DA424" s="16" t="s">
        <v>197</v>
      </c>
      <c r="DB424" s="17" t="s">
        <v>228</v>
      </c>
      <c r="DC424" s="16"/>
      <c r="DD424" s="17" t="s">
        <v>228</v>
      </c>
      <c r="DE424" s="23"/>
      <c r="DF424" s="17" t="s">
        <v>228</v>
      </c>
      <c r="DG424" s="23"/>
      <c r="DH424" s="13" t="s">
        <v>205</v>
      </c>
      <c r="DI424" s="14" t="s">
        <v>179</v>
      </c>
      <c r="DJ424" s="14" t="s">
        <v>11044</v>
      </c>
      <c r="DK424" s="14" t="s">
        <v>179</v>
      </c>
      <c r="DL424" s="14" t="s">
        <v>11044</v>
      </c>
      <c r="DM424" s="15"/>
      <c r="DN424" s="15"/>
      <c r="DO424" s="15"/>
      <c r="DP424" s="15"/>
      <c r="DQ424" s="15"/>
      <c r="DR424" s="15"/>
      <c r="DS424" s="15"/>
      <c r="DT424" s="15"/>
      <c r="DU424" s="15"/>
      <c r="DV424" s="15"/>
      <c r="DW424" s="15"/>
      <c r="DX424" s="15"/>
      <c r="DY424" s="15"/>
      <c r="DZ424" s="15"/>
      <c r="EA424" s="15"/>
      <c r="EB424" s="15"/>
      <c r="EC424" s="16" t="s">
        <v>197</v>
      </c>
      <c r="ED424" s="17" t="s">
        <v>198</v>
      </c>
      <c r="EE424" s="18">
        <v>45722.50164351852</v>
      </c>
      <c r="EF424" s="13" t="s">
        <v>209</v>
      </c>
      <c r="EG424" s="14" t="s">
        <v>179</v>
      </c>
      <c r="EH424" s="14" t="s">
        <v>11045</v>
      </c>
      <c r="EI424" s="14" t="s">
        <v>179</v>
      </c>
      <c r="EJ424" s="14" t="s">
        <v>11046</v>
      </c>
      <c r="EK424" s="15"/>
      <c r="EL424" s="15"/>
      <c r="EM424" s="15"/>
      <c r="EN424" s="15"/>
      <c r="EO424" s="15"/>
      <c r="EP424" s="15"/>
      <c r="EQ424" s="15"/>
      <c r="ER424" s="15"/>
      <c r="ES424" s="15"/>
      <c r="ET424" s="15"/>
      <c r="EU424" s="15"/>
      <c r="EV424" s="15"/>
      <c r="EW424" s="15"/>
      <c r="EX424" s="15"/>
      <c r="EY424" s="15"/>
      <c r="EZ424" s="15"/>
      <c r="FA424" s="15"/>
      <c r="FB424" s="15"/>
      <c r="FC424" s="16" t="s">
        <v>197</v>
      </c>
      <c r="FD424" s="17" t="s">
        <v>198</v>
      </c>
      <c r="FE424" s="18">
        <v>45722.5080787037</v>
      </c>
      <c r="FF424" s="19"/>
      <c r="FG424" s="19"/>
      <c r="FH424" s="21" t="s">
        <v>197</v>
      </c>
      <c r="FI424" s="17" t="s">
        <v>214</v>
      </c>
      <c r="FJ424" s="18">
        <v>45722.5080787037</v>
      </c>
      <c r="FK424" s="14" t="s">
        <v>11046</v>
      </c>
      <c r="FL424" s="19"/>
      <c r="FM424" s="19"/>
      <c r="FN424" s="19"/>
      <c r="FO424" s="19"/>
      <c r="FP424" s="19" t="str">
        <f t="shared" si="1"/>
        <v/>
      </c>
      <c r="FQ424" s="14" t="s">
        <v>215</v>
      </c>
      <c r="FR424" s="14" t="s">
        <v>11047</v>
      </c>
    </row>
    <row r="425" ht="15.75" customHeight="1">
      <c r="A425" s="12" t="s">
        <v>292</v>
      </c>
      <c r="B425" s="12" t="s">
        <v>1975</v>
      </c>
      <c r="C425" s="24" t="s">
        <v>324</v>
      </c>
      <c r="D425" s="22" t="s">
        <v>11048</v>
      </c>
      <c r="E425" s="22" t="s">
        <v>11049</v>
      </c>
      <c r="F425" s="13" t="s">
        <v>178</v>
      </c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6" t="s">
        <v>197</v>
      </c>
      <c r="BP425" s="17" t="s">
        <v>228</v>
      </c>
      <c r="BQ425" s="23"/>
      <c r="BR425" s="17" t="s">
        <v>228</v>
      </c>
      <c r="BS425" s="23"/>
      <c r="BT425" s="17" t="s">
        <v>228</v>
      </c>
      <c r="BU425" s="23"/>
      <c r="BV425" s="13" t="s">
        <v>199</v>
      </c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9"/>
      <c r="CH425" s="15"/>
      <c r="CI425" s="19"/>
      <c r="CJ425" s="15"/>
      <c r="CK425" s="19"/>
      <c r="CL425" s="15"/>
      <c r="CM425" s="19"/>
      <c r="CN425" s="15"/>
      <c r="CO425" s="19"/>
      <c r="CP425" s="15"/>
      <c r="CQ425" s="15"/>
      <c r="CR425" s="15"/>
      <c r="CS425" s="19"/>
      <c r="CT425" s="15"/>
      <c r="CU425" s="19"/>
      <c r="CV425" s="15"/>
      <c r="CW425" s="19"/>
      <c r="CX425" s="15"/>
      <c r="CY425" s="19"/>
      <c r="CZ425" s="15"/>
      <c r="DA425" s="16" t="s">
        <v>197</v>
      </c>
      <c r="DB425" s="17" t="s">
        <v>228</v>
      </c>
      <c r="DC425" s="16"/>
      <c r="DD425" s="17" t="s">
        <v>228</v>
      </c>
      <c r="DE425" s="23"/>
      <c r="DF425" s="17" t="s">
        <v>228</v>
      </c>
      <c r="DG425" s="23"/>
      <c r="DH425" s="13" t="s">
        <v>205</v>
      </c>
      <c r="DI425" s="14" t="s">
        <v>179</v>
      </c>
      <c r="DJ425" s="14" t="s">
        <v>11050</v>
      </c>
      <c r="DK425" s="14" t="s">
        <v>179</v>
      </c>
      <c r="DL425" s="14" t="s">
        <v>11050</v>
      </c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6" t="s">
        <v>197</v>
      </c>
      <c r="ED425" s="17" t="s">
        <v>198</v>
      </c>
      <c r="EE425" s="18">
        <v>45722.497719907406</v>
      </c>
      <c r="EF425" s="13" t="s">
        <v>209</v>
      </c>
      <c r="EG425" s="14" t="s">
        <v>179</v>
      </c>
      <c r="EH425" s="14" t="s">
        <v>11051</v>
      </c>
      <c r="EI425" s="14" t="s">
        <v>179</v>
      </c>
      <c r="EJ425" s="14" t="s">
        <v>11051</v>
      </c>
      <c r="EK425" s="15"/>
      <c r="EL425" s="15"/>
      <c r="EM425" s="15"/>
      <c r="EN425" s="15"/>
      <c r="EO425" s="15"/>
      <c r="EP425" s="15"/>
      <c r="EQ425" s="15"/>
      <c r="ER425" s="15"/>
      <c r="ES425" s="15"/>
      <c r="ET425" s="15"/>
      <c r="EU425" s="15"/>
      <c r="EV425" s="15"/>
      <c r="EW425" s="15"/>
      <c r="EX425" s="15"/>
      <c r="EY425" s="15"/>
      <c r="EZ425" s="15"/>
      <c r="FA425" s="15"/>
      <c r="FB425" s="15"/>
      <c r="FC425" s="16" t="s">
        <v>197</v>
      </c>
      <c r="FD425" s="17" t="s">
        <v>198</v>
      </c>
      <c r="FE425" s="18">
        <v>45722.50854166667</v>
      </c>
      <c r="FF425" s="19"/>
      <c r="FG425" s="19"/>
      <c r="FH425" s="21" t="s">
        <v>197</v>
      </c>
      <c r="FI425" s="17" t="s">
        <v>214</v>
      </c>
      <c r="FJ425" s="18">
        <v>45722.50854166667</v>
      </c>
      <c r="FK425" s="14" t="s">
        <v>11051</v>
      </c>
      <c r="FL425" s="19"/>
      <c r="FM425" s="19"/>
      <c r="FN425" s="19"/>
      <c r="FO425" s="19"/>
      <c r="FP425" s="19" t="str">
        <f t="shared" si="1"/>
        <v/>
      </c>
      <c r="FQ425" s="14" t="s">
        <v>215</v>
      </c>
      <c r="FR425" s="14" t="s">
        <v>11052</v>
      </c>
    </row>
    <row r="426" ht="15.75" customHeight="1">
      <c r="A426" s="12" t="s">
        <v>292</v>
      </c>
      <c r="B426" s="12" t="s">
        <v>1393</v>
      </c>
      <c r="C426" s="24" t="s">
        <v>324</v>
      </c>
      <c r="D426" s="22" t="s">
        <v>11053</v>
      </c>
      <c r="E426" s="22" t="s">
        <v>11054</v>
      </c>
      <c r="F426" s="13" t="s">
        <v>178</v>
      </c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6" t="s">
        <v>197</v>
      </c>
      <c r="BP426" s="17" t="s">
        <v>228</v>
      </c>
      <c r="BQ426" s="23"/>
      <c r="BR426" s="17" t="s">
        <v>228</v>
      </c>
      <c r="BS426" s="23"/>
      <c r="BT426" s="17" t="s">
        <v>228</v>
      </c>
      <c r="BU426" s="23"/>
      <c r="BV426" s="13" t="s">
        <v>199</v>
      </c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9"/>
      <c r="CH426" s="15"/>
      <c r="CI426" s="19"/>
      <c r="CJ426" s="15"/>
      <c r="CK426" s="19"/>
      <c r="CL426" s="15"/>
      <c r="CM426" s="19"/>
      <c r="CN426" s="15"/>
      <c r="CO426" s="19"/>
      <c r="CP426" s="15"/>
      <c r="CQ426" s="15"/>
      <c r="CR426" s="15"/>
      <c r="CS426" s="19"/>
      <c r="CT426" s="15"/>
      <c r="CU426" s="19"/>
      <c r="CV426" s="15"/>
      <c r="CW426" s="19"/>
      <c r="CX426" s="15"/>
      <c r="CY426" s="19"/>
      <c r="CZ426" s="15"/>
      <c r="DA426" s="16" t="s">
        <v>197</v>
      </c>
      <c r="DB426" s="17" t="s">
        <v>228</v>
      </c>
      <c r="DC426" s="16"/>
      <c r="DD426" s="17" t="s">
        <v>228</v>
      </c>
      <c r="DE426" s="23"/>
      <c r="DF426" s="17" t="s">
        <v>228</v>
      </c>
      <c r="DG426" s="23"/>
      <c r="DH426" s="13" t="s">
        <v>205</v>
      </c>
      <c r="DI426" s="14" t="s">
        <v>179</v>
      </c>
      <c r="DJ426" s="14" t="s">
        <v>11055</v>
      </c>
      <c r="DK426" s="14" t="s">
        <v>179</v>
      </c>
      <c r="DL426" s="14" t="s">
        <v>11055</v>
      </c>
      <c r="DM426" s="15"/>
      <c r="DN426" s="15"/>
      <c r="DO426" s="15"/>
      <c r="DP426" s="15"/>
      <c r="DQ426" s="15"/>
      <c r="DR426" s="15"/>
      <c r="DS426" s="15"/>
      <c r="DT426" s="15"/>
      <c r="DU426" s="15"/>
      <c r="DV426" s="15"/>
      <c r="DW426" s="15"/>
      <c r="DX426" s="15"/>
      <c r="DY426" s="15"/>
      <c r="DZ426" s="15"/>
      <c r="EA426" s="15"/>
      <c r="EB426" s="15"/>
      <c r="EC426" s="16" t="s">
        <v>197</v>
      </c>
      <c r="ED426" s="17" t="s">
        <v>198</v>
      </c>
      <c r="EE426" s="18">
        <v>45722.362650462965</v>
      </c>
      <c r="EF426" s="13" t="s">
        <v>209</v>
      </c>
      <c r="EG426" s="14" t="s">
        <v>179</v>
      </c>
      <c r="EH426" s="14" t="s">
        <v>11056</v>
      </c>
      <c r="EI426" s="14" t="s">
        <v>179</v>
      </c>
      <c r="EJ426" s="14" t="s">
        <v>11057</v>
      </c>
      <c r="EK426" s="15"/>
      <c r="EL426" s="15"/>
      <c r="EM426" s="15"/>
      <c r="EN426" s="15"/>
      <c r="EO426" s="15"/>
      <c r="EP426" s="15"/>
      <c r="EQ426" s="15"/>
      <c r="ER426" s="15"/>
      <c r="ES426" s="15"/>
      <c r="ET426" s="15"/>
      <c r="EU426" s="15"/>
      <c r="EV426" s="15"/>
      <c r="EW426" s="15"/>
      <c r="EX426" s="15"/>
      <c r="EY426" s="15"/>
      <c r="EZ426" s="15"/>
      <c r="FA426" s="15"/>
      <c r="FB426" s="15"/>
      <c r="FC426" s="16" t="s">
        <v>197</v>
      </c>
      <c r="FD426" s="17" t="s">
        <v>198</v>
      </c>
      <c r="FE426" s="18">
        <v>45722.36273148148</v>
      </c>
      <c r="FF426" s="19"/>
      <c r="FG426" s="19"/>
      <c r="FH426" s="21" t="s">
        <v>197</v>
      </c>
      <c r="FI426" s="17" t="s">
        <v>214</v>
      </c>
      <c r="FJ426" s="18">
        <v>45722.36273148148</v>
      </c>
      <c r="FK426" s="14" t="s">
        <v>11057</v>
      </c>
      <c r="FL426" s="19"/>
      <c r="FM426" s="19"/>
      <c r="FN426" s="19"/>
      <c r="FO426" s="19"/>
      <c r="FP426" s="19" t="str">
        <f t="shared" si="1"/>
        <v/>
      </c>
      <c r="FQ426" s="14" t="s">
        <v>215</v>
      </c>
      <c r="FR426" s="14" t="s">
        <v>11058</v>
      </c>
    </row>
    <row r="427" ht="15.75" customHeight="1">
      <c r="A427" s="12" t="s">
        <v>292</v>
      </c>
      <c r="B427" s="12" t="s">
        <v>10811</v>
      </c>
      <c r="C427" s="24" t="s">
        <v>324</v>
      </c>
      <c r="D427" s="22" t="s">
        <v>11059</v>
      </c>
      <c r="E427" s="22" t="s">
        <v>11060</v>
      </c>
      <c r="F427" s="13" t="s">
        <v>178</v>
      </c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6" t="s">
        <v>197</v>
      </c>
      <c r="BP427" s="17" t="s">
        <v>228</v>
      </c>
      <c r="BQ427" s="23"/>
      <c r="BR427" s="17" t="s">
        <v>228</v>
      </c>
      <c r="BS427" s="23"/>
      <c r="BT427" s="17" t="s">
        <v>228</v>
      </c>
      <c r="BU427" s="23"/>
      <c r="BV427" s="13" t="s">
        <v>199</v>
      </c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9"/>
      <c r="CH427" s="15"/>
      <c r="CI427" s="19"/>
      <c r="CJ427" s="15"/>
      <c r="CK427" s="19"/>
      <c r="CL427" s="15"/>
      <c r="CM427" s="19"/>
      <c r="CN427" s="15"/>
      <c r="CO427" s="19"/>
      <c r="CP427" s="15"/>
      <c r="CQ427" s="15"/>
      <c r="CR427" s="15"/>
      <c r="CS427" s="19"/>
      <c r="CT427" s="15"/>
      <c r="CU427" s="19"/>
      <c r="CV427" s="15"/>
      <c r="CW427" s="19"/>
      <c r="CX427" s="15"/>
      <c r="CY427" s="19"/>
      <c r="CZ427" s="15"/>
      <c r="DA427" s="16" t="s">
        <v>197</v>
      </c>
      <c r="DB427" s="17" t="s">
        <v>228</v>
      </c>
      <c r="DC427" s="16"/>
      <c r="DD427" s="17" t="s">
        <v>228</v>
      </c>
      <c r="DE427" s="23"/>
      <c r="DF427" s="17" t="s">
        <v>228</v>
      </c>
      <c r="DG427" s="23"/>
      <c r="DH427" s="13" t="s">
        <v>205</v>
      </c>
      <c r="DI427" s="14" t="s">
        <v>179</v>
      </c>
      <c r="DJ427" s="14" t="s">
        <v>11061</v>
      </c>
      <c r="DK427" s="14" t="s">
        <v>179</v>
      </c>
      <c r="DL427" s="14" t="s">
        <v>11062</v>
      </c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6" t="s">
        <v>197</v>
      </c>
      <c r="ED427" s="17" t="s">
        <v>198</v>
      </c>
      <c r="EE427" s="18">
        <v>45719.47268518519</v>
      </c>
      <c r="EF427" s="13" t="s">
        <v>209</v>
      </c>
      <c r="EG427" s="14" t="s">
        <v>179</v>
      </c>
      <c r="EH427" s="14" t="s">
        <v>11063</v>
      </c>
      <c r="EI427" s="14" t="s">
        <v>179</v>
      </c>
      <c r="EJ427" s="14" t="s">
        <v>11063</v>
      </c>
      <c r="EK427" s="15"/>
      <c r="EL427" s="15"/>
      <c r="EM427" s="15"/>
      <c r="EN427" s="15"/>
      <c r="EO427" s="15"/>
      <c r="EP427" s="15"/>
      <c r="EQ427" s="15"/>
      <c r="ER427" s="15"/>
      <c r="ES427" s="15"/>
      <c r="ET427" s="15"/>
      <c r="EU427" s="15"/>
      <c r="EV427" s="15"/>
      <c r="EW427" s="15"/>
      <c r="EX427" s="15"/>
      <c r="EY427" s="15"/>
      <c r="EZ427" s="15"/>
      <c r="FA427" s="15"/>
      <c r="FB427" s="15"/>
      <c r="FC427" s="16" t="s">
        <v>197</v>
      </c>
      <c r="FD427" s="17" t="s">
        <v>198</v>
      </c>
      <c r="FE427" s="18">
        <v>45722.36033564815</v>
      </c>
      <c r="FF427" s="19"/>
      <c r="FG427" s="19"/>
      <c r="FH427" s="21" t="s">
        <v>197</v>
      </c>
      <c r="FI427" s="17" t="s">
        <v>214</v>
      </c>
      <c r="FJ427" s="18">
        <v>45722.36033564815</v>
      </c>
      <c r="FK427" s="14" t="s">
        <v>11063</v>
      </c>
      <c r="FL427" s="19"/>
      <c r="FM427" s="19"/>
      <c r="FN427" s="19"/>
      <c r="FO427" s="19"/>
      <c r="FP427" s="19" t="str">
        <f t="shared" si="1"/>
        <v/>
      </c>
      <c r="FQ427" s="14" t="s">
        <v>215</v>
      </c>
      <c r="FR427" s="14" t="s">
        <v>11064</v>
      </c>
    </row>
    <row r="428" ht="15.75" customHeight="1">
      <c r="A428" s="12" t="s">
        <v>292</v>
      </c>
      <c r="B428" s="12" t="s">
        <v>10841</v>
      </c>
      <c r="C428" s="24" t="s">
        <v>324</v>
      </c>
      <c r="D428" s="22" t="s">
        <v>11065</v>
      </c>
      <c r="E428" s="22" t="s">
        <v>11066</v>
      </c>
      <c r="F428" s="13" t="s">
        <v>178</v>
      </c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6" t="s">
        <v>197</v>
      </c>
      <c r="BP428" s="17" t="s">
        <v>228</v>
      </c>
      <c r="BQ428" s="23"/>
      <c r="BR428" s="17" t="s">
        <v>228</v>
      </c>
      <c r="BS428" s="23"/>
      <c r="BT428" s="17" t="s">
        <v>228</v>
      </c>
      <c r="BU428" s="23"/>
      <c r="BV428" s="13" t="s">
        <v>199</v>
      </c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9"/>
      <c r="CH428" s="15"/>
      <c r="CI428" s="19"/>
      <c r="CJ428" s="15"/>
      <c r="CK428" s="19"/>
      <c r="CL428" s="15"/>
      <c r="CM428" s="19"/>
      <c r="CN428" s="15"/>
      <c r="CO428" s="19"/>
      <c r="CP428" s="15"/>
      <c r="CQ428" s="15"/>
      <c r="CR428" s="15"/>
      <c r="CS428" s="19"/>
      <c r="CT428" s="15"/>
      <c r="CU428" s="19"/>
      <c r="CV428" s="15"/>
      <c r="CW428" s="19"/>
      <c r="CX428" s="15"/>
      <c r="CY428" s="19"/>
      <c r="CZ428" s="15"/>
      <c r="DA428" s="16" t="s">
        <v>197</v>
      </c>
      <c r="DB428" s="17" t="s">
        <v>228</v>
      </c>
      <c r="DC428" s="16"/>
      <c r="DD428" s="17" t="s">
        <v>228</v>
      </c>
      <c r="DE428" s="23"/>
      <c r="DF428" s="17" t="s">
        <v>228</v>
      </c>
      <c r="DG428" s="23"/>
      <c r="DH428" s="13" t="s">
        <v>205</v>
      </c>
      <c r="DI428" s="14" t="s">
        <v>179</v>
      </c>
      <c r="DJ428" s="14" t="s">
        <v>11067</v>
      </c>
      <c r="DK428" s="14" t="s">
        <v>179</v>
      </c>
      <c r="DL428" s="14" t="s">
        <v>11067</v>
      </c>
      <c r="DM428" s="15"/>
      <c r="DN428" s="15"/>
      <c r="DO428" s="15"/>
      <c r="DP428" s="15"/>
      <c r="DQ428" s="15"/>
      <c r="DR428" s="15"/>
      <c r="DS428" s="15"/>
      <c r="DT428" s="15"/>
      <c r="DU428" s="15"/>
      <c r="DV428" s="15"/>
      <c r="DW428" s="15"/>
      <c r="DX428" s="15"/>
      <c r="DY428" s="15"/>
      <c r="DZ428" s="15"/>
      <c r="EA428" s="15"/>
      <c r="EB428" s="15"/>
      <c r="EC428" s="16" t="s">
        <v>197</v>
      </c>
      <c r="ED428" s="17" t="s">
        <v>198</v>
      </c>
      <c r="EE428" s="18">
        <v>45722.360868055555</v>
      </c>
      <c r="EF428" s="13" t="s">
        <v>209</v>
      </c>
      <c r="EG428" s="14" t="s">
        <v>179</v>
      </c>
      <c r="EH428" s="14" t="s">
        <v>11068</v>
      </c>
      <c r="EI428" s="14" t="s">
        <v>179</v>
      </c>
      <c r="EJ428" s="14" t="s">
        <v>11068</v>
      </c>
      <c r="EK428" s="15"/>
      <c r="EL428" s="15"/>
      <c r="EM428" s="15"/>
      <c r="EN428" s="15"/>
      <c r="EO428" s="15"/>
      <c r="EP428" s="15"/>
      <c r="EQ428" s="15"/>
      <c r="ER428" s="15"/>
      <c r="ES428" s="15"/>
      <c r="ET428" s="15"/>
      <c r="EU428" s="15"/>
      <c r="EV428" s="15"/>
      <c r="EW428" s="15"/>
      <c r="EX428" s="15"/>
      <c r="EY428" s="15"/>
      <c r="EZ428" s="15"/>
      <c r="FA428" s="15"/>
      <c r="FB428" s="15"/>
      <c r="FC428" s="16" t="s">
        <v>197</v>
      </c>
      <c r="FD428" s="17" t="s">
        <v>198</v>
      </c>
      <c r="FE428" s="18">
        <v>45722.3609375</v>
      </c>
      <c r="FF428" s="19"/>
      <c r="FG428" s="19"/>
      <c r="FH428" s="21" t="s">
        <v>197</v>
      </c>
      <c r="FI428" s="17" t="s">
        <v>214</v>
      </c>
      <c r="FJ428" s="18">
        <v>45722.3609375</v>
      </c>
      <c r="FK428" s="14" t="s">
        <v>11068</v>
      </c>
      <c r="FL428" s="19"/>
      <c r="FM428" s="19"/>
      <c r="FN428" s="19"/>
      <c r="FO428" s="19"/>
      <c r="FP428" s="19" t="str">
        <f t="shared" si="1"/>
        <v/>
      </c>
      <c r="FQ428" s="14" t="s">
        <v>215</v>
      </c>
      <c r="FR428" s="14" t="s">
        <v>11069</v>
      </c>
    </row>
    <row r="429" ht="15.75" customHeight="1">
      <c r="A429" s="12" t="s">
        <v>292</v>
      </c>
      <c r="B429" s="12" t="s">
        <v>374</v>
      </c>
      <c r="C429" s="24" t="s">
        <v>324</v>
      </c>
      <c r="D429" s="22" t="s">
        <v>11070</v>
      </c>
      <c r="E429" s="22" t="s">
        <v>11071</v>
      </c>
      <c r="F429" s="13" t="s">
        <v>178</v>
      </c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6" t="s">
        <v>197</v>
      </c>
      <c r="BP429" s="17" t="s">
        <v>228</v>
      </c>
      <c r="BQ429" s="23"/>
      <c r="BR429" s="17" t="s">
        <v>228</v>
      </c>
      <c r="BS429" s="23"/>
      <c r="BT429" s="17" t="s">
        <v>228</v>
      </c>
      <c r="BU429" s="23"/>
      <c r="BV429" s="13" t="s">
        <v>199</v>
      </c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9"/>
      <c r="CH429" s="15"/>
      <c r="CI429" s="19"/>
      <c r="CJ429" s="15"/>
      <c r="CK429" s="19"/>
      <c r="CL429" s="15"/>
      <c r="CM429" s="19"/>
      <c r="CN429" s="15"/>
      <c r="CO429" s="19"/>
      <c r="CP429" s="15"/>
      <c r="CQ429" s="15"/>
      <c r="CR429" s="15"/>
      <c r="CS429" s="19"/>
      <c r="CT429" s="15"/>
      <c r="CU429" s="19"/>
      <c r="CV429" s="15"/>
      <c r="CW429" s="19"/>
      <c r="CX429" s="15"/>
      <c r="CY429" s="19"/>
      <c r="CZ429" s="15"/>
      <c r="DA429" s="16" t="s">
        <v>197</v>
      </c>
      <c r="DB429" s="17" t="s">
        <v>228</v>
      </c>
      <c r="DC429" s="16"/>
      <c r="DD429" s="17" t="s">
        <v>228</v>
      </c>
      <c r="DE429" s="23"/>
      <c r="DF429" s="17" t="s">
        <v>228</v>
      </c>
      <c r="DG429" s="23"/>
      <c r="DH429" s="13" t="s">
        <v>205</v>
      </c>
      <c r="DI429" s="14" t="s">
        <v>179</v>
      </c>
      <c r="DJ429" s="14" t="s">
        <v>11072</v>
      </c>
      <c r="DK429" s="14" t="s">
        <v>179</v>
      </c>
      <c r="DL429" s="14" t="s">
        <v>11073</v>
      </c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6" t="s">
        <v>197</v>
      </c>
      <c r="ED429" s="17" t="s">
        <v>198</v>
      </c>
      <c r="EE429" s="18">
        <v>45723.37938657407</v>
      </c>
      <c r="EF429" s="13" t="s">
        <v>209</v>
      </c>
      <c r="EG429" s="14" t="s">
        <v>179</v>
      </c>
      <c r="EH429" s="14" t="s">
        <v>11074</v>
      </c>
      <c r="EI429" s="14" t="s">
        <v>179</v>
      </c>
      <c r="EJ429" s="14" t="s">
        <v>11075</v>
      </c>
      <c r="EK429" s="15"/>
      <c r="EL429" s="15"/>
      <c r="EM429" s="15"/>
      <c r="EN429" s="15"/>
      <c r="EO429" s="15"/>
      <c r="EP429" s="15"/>
      <c r="EQ429" s="15"/>
      <c r="ER429" s="15"/>
      <c r="ES429" s="15"/>
      <c r="ET429" s="15"/>
      <c r="EU429" s="15"/>
      <c r="EV429" s="15"/>
      <c r="EW429" s="15"/>
      <c r="EX429" s="15"/>
      <c r="EY429" s="15"/>
      <c r="EZ429" s="15"/>
      <c r="FA429" s="15"/>
      <c r="FB429" s="15"/>
      <c r="FC429" s="16" t="s">
        <v>197</v>
      </c>
      <c r="FD429" s="17" t="s">
        <v>198</v>
      </c>
      <c r="FE429" s="18">
        <v>45723.37934027778</v>
      </c>
      <c r="FF429" s="19"/>
      <c r="FG429" s="19"/>
      <c r="FH429" s="21" t="s">
        <v>197</v>
      </c>
      <c r="FI429" s="17" t="s">
        <v>214</v>
      </c>
      <c r="FJ429" s="18">
        <v>45723.37938657407</v>
      </c>
      <c r="FK429" s="14" t="s">
        <v>11073</v>
      </c>
      <c r="FL429" s="19"/>
      <c r="FM429" s="19"/>
      <c r="FN429" s="19"/>
      <c r="FO429" s="19"/>
      <c r="FP429" s="19" t="str">
        <f t="shared" si="1"/>
        <v/>
      </c>
      <c r="FQ429" s="14" t="s">
        <v>215</v>
      </c>
      <c r="FR429" s="14" t="s">
        <v>11076</v>
      </c>
    </row>
    <row r="430" ht="15.75" customHeight="1">
      <c r="A430" s="12" t="s">
        <v>217</v>
      </c>
      <c r="B430" s="12" t="s">
        <v>11077</v>
      </c>
      <c r="C430" s="24" t="s">
        <v>324</v>
      </c>
      <c r="D430" s="22" t="s">
        <v>11078</v>
      </c>
      <c r="E430" s="22" t="s">
        <v>11079</v>
      </c>
      <c r="F430" s="13" t="s">
        <v>178</v>
      </c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6" t="s">
        <v>197</v>
      </c>
      <c r="BP430" s="17" t="s">
        <v>228</v>
      </c>
      <c r="BQ430" s="23"/>
      <c r="BR430" s="17" t="s">
        <v>228</v>
      </c>
      <c r="BS430" s="23"/>
      <c r="BT430" s="17" t="s">
        <v>228</v>
      </c>
      <c r="BU430" s="23"/>
      <c r="BV430" s="13" t="s">
        <v>199</v>
      </c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9"/>
      <c r="CH430" s="15"/>
      <c r="CI430" s="19"/>
      <c r="CJ430" s="15"/>
      <c r="CK430" s="19"/>
      <c r="CL430" s="15"/>
      <c r="CM430" s="19"/>
      <c r="CN430" s="15"/>
      <c r="CO430" s="19"/>
      <c r="CP430" s="15"/>
      <c r="CQ430" s="15"/>
      <c r="CR430" s="15"/>
      <c r="CS430" s="19"/>
      <c r="CT430" s="15"/>
      <c r="CU430" s="19"/>
      <c r="CV430" s="15"/>
      <c r="CW430" s="19"/>
      <c r="CX430" s="15"/>
      <c r="CY430" s="19"/>
      <c r="CZ430" s="15"/>
      <c r="DA430" s="16" t="s">
        <v>197</v>
      </c>
      <c r="DB430" s="17" t="s">
        <v>228</v>
      </c>
      <c r="DC430" s="16"/>
      <c r="DD430" s="17" t="s">
        <v>228</v>
      </c>
      <c r="DE430" s="23"/>
      <c r="DF430" s="17" t="s">
        <v>228</v>
      </c>
      <c r="DG430" s="23"/>
      <c r="DH430" s="13" t="s">
        <v>205</v>
      </c>
      <c r="DI430" s="14" t="s">
        <v>179</v>
      </c>
      <c r="DJ430" s="14" t="s">
        <v>11080</v>
      </c>
      <c r="DK430" s="14" t="s">
        <v>179</v>
      </c>
      <c r="DL430" s="14" t="s">
        <v>11081</v>
      </c>
      <c r="DM430" s="15"/>
      <c r="DN430" s="15"/>
      <c r="DO430" s="15"/>
      <c r="DP430" s="15"/>
      <c r="DQ430" s="15"/>
      <c r="DR430" s="15"/>
      <c r="DS430" s="15"/>
      <c r="DT430" s="15"/>
      <c r="DU430" s="15"/>
      <c r="DV430" s="15"/>
      <c r="DW430" s="15"/>
      <c r="DX430" s="15"/>
      <c r="DY430" s="15"/>
      <c r="DZ430" s="15"/>
      <c r="EA430" s="15"/>
      <c r="EB430" s="15"/>
      <c r="EC430" s="16" t="s">
        <v>197</v>
      </c>
      <c r="ED430" s="17" t="s">
        <v>198</v>
      </c>
      <c r="EE430" s="18">
        <v>45699.586226851854</v>
      </c>
      <c r="EF430" s="13" t="s">
        <v>209</v>
      </c>
      <c r="EG430" s="14" t="s">
        <v>179</v>
      </c>
      <c r="EH430" s="14" t="s">
        <v>11082</v>
      </c>
      <c r="EI430" s="14" t="s">
        <v>179</v>
      </c>
      <c r="EJ430" s="14" t="s">
        <v>11083</v>
      </c>
      <c r="EK430" s="15"/>
      <c r="EL430" s="15"/>
      <c r="EM430" s="15"/>
      <c r="EN430" s="15"/>
      <c r="EO430" s="15"/>
      <c r="EP430" s="15"/>
      <c r="EQ430" s="15"/>
      <c r="ER430" s="15"/>
      <c r="ES430" s="15"/>
      <c r="ET430" s="15"/>
      <c r="EU430" s="15"/>
      <c r="EV430" s="15"/>
      <c r="EW430" s="15"/>
      <c r="EX430" s="15"/>
      <c r="EY430" s="15"/>
      <c r="EZ430" s="15"/>
      <c r="FA430" s="15"/>
      <c r="FB430" s="15"/>
      <c r="FC430" s="16" t="s">
        <v>197</v>
      </c>
      <c r="FD430" s="17" t="s">
        <v>198</v>
      </c>
      <c r="FE430" s="18">
        <v>45723.4696412037</v>
      </c>
      <c r="FF430" s="19"/>
      <c r="FG430" s="19"/>
      <c r="FH430" s="21" t="s">
        <v>197</v>
      </c>
      <c r="FI430" s="17" t="s">
        <v>214</v>
      </c>
      <c r="FJ430" s="18">
        <v>45723.4696412037</v>
      </c>
      <c r="FK430" s="14" t="s">
        <v>11082</v>
      </c>
      <c r="FL430" s="14" t="s">
        <v>11084</v>
      </c>
      <c r="FM430" s="14" t="s">
        <v>11085</v>
      </c>
      <c r="FN430" s="19"/>
      <c r="FO430" s="19"/>
      <c r="FP430" s="19" t="str">
        <f t="shared" si="1"/>
        <v>Base de Dados_Images/LIC40014.Imagem do Equipamento-.150857.jpg</v>
      </c>
      <c r="FQ430" s="19"/>
      <c r="FR430" s="19"/>
    </row>
    <row r="431" ht="15.75" customHeight="1">
      <c r="A431" s="12" t="s">
        <v>217</v>
      </c>
      <c r="B431" s="12" t="s">
        <v>11086</v>
      </c>
      <c r="C431" s="24" t="s">
        <v>324</v>
      </c>
      <c r="D431" s="22" t="s">
        <v>11087</v>
      </c>
      <c r="E431" s="22" t="s">
        <v>11088</v>
      </c>
      <c r="F431" s="13" t="s">
        <v>178</v>
      </c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6" t="s">
        <v>197</v>
      </c>
      <c r="BP431" s="17" t="s">
        <v>228</v>
      </c>
      <c r="BQ431" s="23"/>
      <c r="BR431" s="17" t="s">
        <v>228</v>
      </c>
      <c r="BS431" s="23"/>
      <c r="BT431" s="17" t="s">
        <v>228</v>
      </c>
      <c r="BU431" s="23"/>
      <c r="BV431" s="13" t="s">
        <v>199</v>
      </c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9"/>
      <c r="CH431" s="15"/>
      <c r="CI431" s="19"/>
      <c r="CJ431" s="15"/>
      <c r="CK431" s="19"/>
      <c r="CL431" s="15"/>
      <c r="CM431" s="19"/>
      <c r="CN431" s="15"/>
      <c r="CO431" s="19"/>
      <c r="CP431" s="15"/>
      <c r="CQ431" s="15"/>
      <c r="CR431" s="15"/>
      <c r="CS431" s="19"/>
      <c r="CT431" s="15"/>
      <c r="CU431" s="19"/>
      <c r="CV431" s="15"/>
      <c r="CW431" s="19"/>
      <c r="CX431" s="15"/>
      <c r="CY431" s="19"/>
      <c r="CZ431" s="15"/>
      <c r="DA431" s="16" t="s">
        <v>197</v>
      </c>
      <c r="DB431" s="17" t="s">
        <v>228</v>
      </c>
      <c r="DC431" s="16"/>
      <c r="DD431" s="17" t="s">
        <v>228</v>
      </c>
      <c r="DE431" s="23"/>
      <c r="DF431" s="17" t="s">
        <v>228</v>
      </c>
      <c r="DG431" s="23"/>
      <c r="DH431" s="13" t="s">
        <v>205</v>
      </c>
      <c r="DI431" s="14" t="s">
        <v>179</v>
      </c>
      <c r="DJ431" s="14" t="s">
        <v>11089</v>
      </c>
      <c r="DK431" s="14" t="s">
        <v>179</v>
      </c>
      <c r="DL431" s="14" t="s">
        <v>11090</v>
      </c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6" t="s">
        <v>197</v>
      </c>
      <c r="ED431" s="17" t="s">
        <v>198</v>
      </c>
      <c r="EE431" s="18">
        <v>45699.58663194445</v>
      </c>
      <c r="EF431" s="13" t="s">
        <v>209</v>
      </c>
      <c r="EG431" s="14" t="s">
        <v>179</v>
      </c>
      <c r="EH431" s="14" t="s">
        <v>11091</v>
      </c>
      <c r="EI431" s="14" t="s">
        <v>179</v>
      </c>
      <c r="EJ431" s="14" t="s">
        <v>11091</v>
      </c>
      <c r="EK431" s="15"/>
      <c r="EL431" s="15"/>
      <c r="EM431" s="15"/>
      <c r="EN431" s="15"/>
      <c r="EO431" s="15"/>
      <c r="EP431" s="15"/>
      <c r="EQ431" s="15"/>
      <c r="ER431" s="15"/>
      <c r="ES431" s="15"/>
      <c r="ET431" s="15"/>
      <c r="EU431" s="15"/>
      <c r="EV431" s="15"/>
      <c r="EW431" s="15"/>
      <c r="EX431" s="15"/>
      <c r="EY431" s="15"/>
      <c r="EZ431" s="15"/>
      <c r="FA431" s="15"/>
      <c r="FB431" s="15"/>
      <c r="FC431" s="16" t="s">
        <v>197</v>
      </c>
      <c r="FD431" s="17" t="s">
        <v>198</v>
      </c>
      <c r="FE431" s="18">
        <v>45723.469513888886</v>
      </c>
      <c r="FF431" s="19"/>
      <c r="FG431" s="19"/>
      <c r="FH431" s="21" t="s">
        <v>197</v>
      </c>
      <c r="FI431" s="17" t="s">
        <v>214</v>
      </c>
      <c r="FJ431" s="18">
        <v>45723.469513888886</v>
      </c>
      <c r="FK431" s="14" t="s">
        <v>11091</v>
      </c>
      <c r="FL431" s="14" t="s">
        <v>11092</v>
      </c>
      <c r="FM431" s="14" t="s">
        <v>11093</v>
      </c>
      <c r="FN431" s="19"/>
      <c r="FO431" s="19"/>
      <c r="FP431" s="19" t="str">
        <f t="shared" si="1"/>
        <v>Base de Dados_Images/LIC40015.Imagem do Equipamento-.143509.jpg</v>
      </c>
      <c r="FQ431" s="19"/>
      <c r="FR431" s="19"/>
    </row>
    <row r="432" ht="15.75" customHeight="1">
      <c r="A432" s="12" t="s">
        <v>217</v>
      </c>
      <c r="B432" s="12" t="s">
        <v>8821</v>
      </c>
      <c r="C432" s="24" t="s">
        <v>324</v>
      </c>
      <c r="D432" s="22" t="s">
        <v>11094</v>
      </c>
      <c r="E432" s="22" t="s">
        <v>11095</v>
      </c>
      <c r="F432" s="13" t="s">
        <v>178</v>
      </c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6" t="s">
        <v>197</v>
      </c>
      <c r="BP432" s="17" t="s">
        <v>228</v>
      </c>
      <c r="BQ432" s="23"/>
      <c r="BR432" s="17" t="s">
        <v>228</v>
      </c>
      <c r="BS432" s="23"/>
      <c r="BT432" s="17" t="s">
        <v>228</v>
      </c>
      <c r="BU432" s="23"/>
      <c r="BV432" s="13" t="s">
        <v>199</v>
      </c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9"/>
      <c r="CH432" s="15"/>
      <c r="CI432" s="19"/>
      <c r="CJ432" s="15"/>
      <c r="CK432" s="19"/>
      <c r="CL432" s="15"/>
      <c r="CM432" s="19"/>
      <c r="CN432" s="15"/>
      <c r="CO432" s="19"/>
      <c r="CP432" s="15"/>
      <c r="CQ432" s="15"/>
      <c r="CR432" s="15"/>
      <c r="CS432" s="19"/>
      <c r="CT432" s="15"/>
      <c r="CU432" s="19"/>
      <c r="CV432" s="15"/>
      <c r="CW432" s="19"/>
      <c r="CX432" s="15"/>
      <c r="CY432" s="19"/>
      <c r="CZ432" s="15"/>
      <c r="DA432" s="16" t="s">
        <v>197</v>
      </c>
      <c r="DB432" s="17" t="s">
        <v>228</v>
      </c>
      <c r="DC432" s="16"/>
      <c r="DD432" s="17" t="s">
        <v>228</v>
      </c>
      <c r="DE432" s="23"/>
      <c r="DF432" s="17" t="s">
        <v>228</v>
      </c>
      <c r="DG432" s="23"/>
      <c r="DH432" s="13" t="s">
        <v>205</v>
      </c>
      <c r="DI432" s="14" t="s">
        <v>179</v>
      </c>
      <c r="DJ432" s="14" t="s">
        <v>11096</v>
      </c>
      <c r="DK432" s="14" t="s">
        <v>179</v>
      </c>
      <c r="DL432" s="14" t="s">
        <v>11096</v>
      </c>
      <c r="DM432" s="15"/>
      <c r="DN432" s="15"/>
      <c r="DO432" s="15"/>
      <c r="DP432" s="15"/>
      <c r="DQ432" s="15"/>
      <c r="DR432" s="15"/>
      <c r="DS432" s="15"/>
      <c r="DT432" s="15"/>
      <c r="DU432" s="15"/>
      <c r="DV432" s="15"/>
      <c r="DW432" s="15"/>
      <c r="DX432" s="15"/>
      <c r="DY432" s="15"/>
      <c r="DZ432" s="15"/>
      <c r="EA432" s="15"/>
      <c r="EB432" s="15"/>
      <c r="EC432" s="16" t="s">
        <v>197</v>
      </c>
      <c r="ED432" s="17" t="s">
        <v>198</v>
      </c>
      <c r="EE432" s="18">
        <v>45723.3509375</v>
      </c>
      <c r="EF432" s="13" t="s">
        <v>209</v>
      </c>
      <c r="EG432" s="14" t="s">
        <v>179</v>
      </c>
      <c r="EH432" s="14" t="s">
        <v>11097</v>
      </c>
      <c r="EI432" s="14" t="s">
        <v>179</v>
      </c>
      <c r="EJ432" s="14" t="s">
        <v>11098</v>
      </c>
      <c r="EK432" s="15"/>
      <c r="EL432" s="15"/>
      <c r="EM432" s="15"/>
      <c r="EN432" s="15"/>
      <c r="EO432" s="15"/>
      <c r="EP432" s="15"/>
      <c r="EQ432" s="15"/>
      <c r="ER432" s="15"/>
      <c r="ES432" s="15"/>
      <c r="ET432" s="15"/>
      <c r="EU432" s="15"/>
      <c r="EV432" s="15"/>
      <c r="EW432" s="15"/>
      <c r="EX432" s="15"/>
      <c r="EY432" s="15"/>
      <c r="EZ432" s="15"/>
      <c r="FA432" s="15"/>
      <c r="FB432" s="15"/>
      <c r="FC432" s="16" t="s">
        <v>197</v>
      </c>
      <c r="FD432" s="17" t="s">
        <v>198</v>
      </c>
      <c r="FE432" s="18">
        <v>45723.351006944446</v>
      </c>
      <c r="FF432" s="19"/>
      <c r="FG432" s="19"/>
      <c r="FH432" s="21" t="s">
        <v>197</v>
      </c>
      <c r="FI432" s="17" t="s">
        <v>214</v>
      </c>
      <c r="FJ432" s="18">
        <v>45723.351006944446</v>
      </c>
      <c r="FK432" s="14" t="s">
        <v>11098</v>
      </c>
      <c r="FL432" s="19"/>
      <c r="FM432" s="19"/>
      <c r="FN432" s="19"/>
      <c r="FO432" s="19"/>
      <c r="FP432" s="19" t="str">
        <f t="shared" si="1"/>
        <v/>
      </c>
      <c r="FQ432" s="14" t="s">
        <v>215</v>
      </c>
      <c r="FR432" s="14" t="s">
        <v>11099</v>
      </c>
    </row>
    <row r="433" ht="15.75" customHeight="1">
      <c r="A433" s="12" t="s">
        <v>217</v>
      </c>
      <c r="B433" s="12" t="s">
        <v>9709</v>
      </c>
      <c r="C433" s="24" t="s">
        <v>324</v>
      </c>
      <c r="D433" s="22" t="s">
        <v>11100</v>
      </c>
      <c r="E433" s="22" t="s">
        <v>11101</v>
      </c>
      <c r="F433" s="13" t="s">
        <v>178</v>
      </c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6" t="s">
        <v>197</v>
      </c>
      <c r="BP433" s="17" t="s">
        <v>228</v>
      </c>
      <c r="BQ433" s="23"/>
      <c r="BR433" s="17" t="s">
        <v>228</v>
      </c>
      <c r="BS433" s="23"/>
      <c r="BT433" s="17" t="s">
        <v>228</v>
      </c>
      <c r="BU433" s="23"/>
      <c r="BV433" s="13" t="s">
        <v>199</v>
      </c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9"/>
      <c r="CH433" s="15"/>
      <c r="CI433" s="19"/>
      <c r="CJ433" s="15"/>
      <c r="CK433" s="19"/>
      <c r="CL433" s="15"/>
      <c r="CM433" s="19"/>
      <c r="CN433" s="15"/>
      <c r="CO433" s="19"/>
      <c r="CP433" s="15"/>
      <c r="CQ433" s="15"/>
      <c r="CR433" s="15"/>
      <c r="CS433" s="19"/>
      <c r="CT433" s="15"/>
      <c r="CU433" s="19"/>
      <c r="CV433" s="15"/>
      <c r="CW433" s="19"/>
      <c r="CX433" s="15"/>
      <c r="CY433" s="19"/>
      <c r="CZ433" s="15"/>
      <c r="DA433" s="16" t="s">
        <v>197</v>
      </c>
      <c r="DB433" s="17" t="s">
        <v>228</v>
      </c>
      <c r="DC433" s="16"/>
      <c r="DD433" s="17" t="s">
        <v>228</v>
      </c>
      <c r="DE433" s="23"/>
      <c r="DF433" s="17" t="s">
        <v>228</v>
      </c>
      <c r="DG433" s="23"/>
      <c r="DH433" s="13" t="s">
        <v>205</v>
      </c>
      <c r="DI433" s="14" t="s">
        <v>179</v>
      </c>
      <c r="DJ433" s="14" t="s">
        <v>11102</v>
      </c>
      <c r="DK433" s="14" t="s">
        <v>179</v>
      </c>
      <c r="DL433" s="14" t="s">
        <v>11102</v>
      </c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6" t="s">
        <v>197</v>
      </c>
      <c r="ED433" s="17" t="s">
        <v>198</v>
      </c>
      <c r="EE433" s="18">
        <v>45720.604837962965</v>
      </c>
      <c r="EF433" s="13" t="s">
        <v>209</v>
      </c>
      <c r="EG433" s="14" t="s">
        <v>179</v>
      </c>
      <c r="EH433" s="14" t="s">
        <v>11103</v>
      </c>
      <c r="EI433" s="14" t="s">
        <v>179</v>
      </c>
      <c r="EJ433" s="14" t="s">
        <v>11104</v>
      </c>
      <c r="EK433" s="15"/>
      <c r="EL433" s="15"/>
      <c r="EM433" s="15"/>
      <c r="EN433" s="15"/>
      <c r="EO433" s="15"/>
      <c r="EP433" s="15"/>
      <c r="EQ433" s="15"/>
      <c r="ER433" s="15"/>
      <c r="ES433" s="15"/>
      <c r="ET433" s="15"/>
      <c r="EU433" s="15"/>
      <c r="EV433" s="15"/>
      <c r="EW433" s="15"/>
      <c r="EX433" s="15"/>
      <c r="EY433" s="15"/>
      <c r="EZ433" s="15"/>
      <c r="FA433" s="15"/>
      <c r="FB433" s="15"/>
      <c r="FC433" s="16" t="s">
        <v>197</v>
      </c>
      <c r="FD433" s="17" t="s">
        <v>198</v>
      </c>
      <c r="FE433" s="18">
        <v>45723.350127314814</v>
      </c>
      <c r="FF433" s="19"/>
      <c r="FG433" s="19"/>
      <c r="FH433" s="21" t="s">
        <v>197</v>
      </c>
      <c r="FI433" s="17" t="s">
        <v>214</v>
      </c>
      <c r="FJ433" s="18">
        <v>45723.350127314814</v>
      </c>
      <c r="FK433" s="14" t="s">
        <v>11104</v>
      </c>
      <c r="FL433" s="14" t="s">
        <v>11105</v>
      </c>
      <c r="FM433" s="14" t="s">
        <v>11106</v>
      </c>
      <c r="FN433" s="19"/>
      <c r="FO433" s="19"/>
      <c r="FP433" s="19" t="str">
        <f t="shared" si="1"/>
        <v>Base de Dados_Images/LIC40025.Imagem do Equipamento-.150725.jpg</v>
      </c>
      <c r="FQ433" s="19"/>
      <c r="FR433" s="19"/>
    </row>
    <row r="434" ht="15.75" customHeight="1">
      <c r="A434" s="12" t="s">
        <v>234</v>
      </c>
      <c r="B434" s="12" t="s">
        <v>11107</v>
      </c>
      <c r="C434" s="24" t="s">
        <v>324</v>
      </c>
      <c r="D434" s="22" t="s">
        <v>11108</v>
      </c>
      <c r="E434" s="22" t="s">
        <v>11109</v>
      </c>
      <c r="F434" s="13" t="s">
        <v>178</v>
      </c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6" t="s">
        <v>197</v>
      </c>
      <c r="BP434" s="17" t="s">
        <v>228</v>
      </c>
      <c r="BQ434" s="23"/>
      <c r="BR434" s="17" t="s">
        <v>228</v>
      </c>
      <c r="BS434" s="23"/>
      <c r="BT434" s="17" t="s">
        <v>228</v>
      </c>
      <c r="BU434" s="23"/>
      <c r="BV434" s="13" t="s">
        <v>199</v>
      </c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9"/>
      <c r="CH434" s="15"/>
      <c r="CI434" s="19"/>
      <c r="CJ434" s="15"/>
      <c r="CK434" s="19"/>
      <c r="CL434" s="15"/>
      <c r="CM434" s="19"/>
      <c r="CN434" s="15"/>
      <c r="CO434" s="19"/>
      <c r="CP434" s="15"/>
      <c r="CQ434" s="15"/>
      <c r="CR434" s="15"/>
      <c r="CS434" s="19"/>
      <c r="CT434" s="15"/>
      <c r="CU434" s="19"/>
      <c r="CV434" s="15"/>
      <c r="CW434" s="19"/>
      <c r="CX434" s="15"/>
      <c r="CY434" s="19"/>
      <c r="CZ434" s="15"/>
      <c r="DA434" s="16" t="s">
        <v>197</v>
      </c>
      <c r="DB434" s="17" t="s">
        <v>228</v>
      </c>
      <c r="DC434" s="16"/>
      <c r="DD434" s="17" t="s">
        <v>228</v>
      </c>
      <c r="DE434" s="23"/>
      <c r="DF434" s="17" t="s">
        <v>228</v>
      </c>
      <c r="DG434" s="23"/>
      <c r="DH434" s="13" t="s">
        <v>205</v>
      </c>
      <c r="DI434" s="14" t="s">
        <v>179</v>
      </c>
      <c r="DJ434" s="14" t="s">
        <v>11110</v>
      </c>
      <c r="DK434" s="14" t="s">
        <v>179</v>
      </c>
      <c r="DL434" s="14" t="s">
        <v>11111</v>
      </c>
      <c r="DM434" s="15"/>
      <c r="DN434" s="15"/>
      <c r="DO434" s="15"/>
      <c r="DP434" s="15"/>
      <c r="DQ434" s="15"/>
      <c r="DR434" s="15"/>
      <c r="DS434" s="15"/>
      <c r="DT434" s="15"/>
      <c r="DU434" s="15"/>
      <c r="DV434" s="15"/>
      <c r="DW434" s="15"/>
      <c r="DX434" s="15"/>
      <c r="DY434" s="15"/>
      <c r="DZ434" s="15"/>
      <c r="EA434" s="15"/>
      <c r="EB434" s="15"/>
      <c r="EC434" s="16" t="s">
        <v>197</v>
      </c>
      <c r="ED434" s="17" t="s">
        <v>198</v>
      </c>
      <c r="EE434" s="18">
        <v>45722.39037037037</v>
      </c>
      <c r="EF434" s="13" t="s">
        <v>209</v>
      </c>
      <c r="EG434" s="14" t="s">
        <v>179</v>
      </c>
      <c r="EH434" s="14" t="s">
        <v>11112</v>
      </c>
      <c r="EI434" s="14" t="s">
        <v>179</v>
      </c>
      <c r="EJ434" s="14" t="s">
        <v>11113</v>
      </c>
      <c r="EK434" s="15"/>
      <c r="EL434" s="15"/>
      <c r="EM434" s="15"/>
      <c r="EN434" s="15"/>
      <c r="EO434" s="15"/>
      <c r="EP434" s="15"/>
      <c r="EQ434" s="15"/>
      <c r="ER434" s="15"/>
      <c r="ES434" s="15"/>
      <c r="ET434" s="15"/>
      <c r="EU434" s="15"/>
      <c r="EV434" s="15"/>
      <c r="EW434" s="15"/>
      <c r="EX434" s="15"/>
      <c r="EY434" s="15"/>
      <c r="EZ434" s="15"/>
      <c r="FA434" s="15"/>
      <c r="FB434" s="15"/>
      <c r="FC434" s="16" t="s">
        <v>197</v>
      </c>
      <c r="FD434" s="17" t="s">
        <v>198</v>
      </c>
      <c r="FE434" s="18">
        <v>45722.39042824074</v>
      </c>
      <c r="FF434" s="19"/>
      <c r="FG434" s="19"/>
      <c r="FH434" s="21" t="s">
        <v>197</v>
      </c>
      <c r="FI434" s="17" t="s">
        <v>214</v>
      </c>
      <c r="FJ434" s="18">
        <v>45722.39042824074</v>
      </c>
      <c r="FK434" s="14" t="s">
        <v>11113</v>
      </c>
      <c r="FL434" s="14" t="s">
        <v>11114</v>
      </c>
      <c r="FM434" s="14" t="s">
        <v>11115</v>
      </c>
      <c r="FN434" s="19"/>
      <c r="FO434" s="19"/>
      <c r="FP434" s="19" t="str">
        <f t="shared" si="1"/>
        <v>Base de Dados_Images/LIC65025.Imagem do Equipamento-.172512.jpg</v>
      </c>
      <c r="FQ434" s="19"/>
      <c r="FR434" s="19"/>
    </row>
    <row r="435" ht="15.75" customHeight="1">
      <c r="A435" s="12" t="s">
        <v>234</v>
      </c>
      <c r="B435" s="12" t="s">
        <v>10222</v>
      </c>
      <c r="C435" s="24" t="s">
        <v>324</v>
      </c>
      <c r="D435" s="22" t="s">
        <v>11116</v>
      </c>
      <c r="E435" s="22" t="s">
        <v>11117</v>
      </c>
      <c r="F435" s="13" t="s">
        <v>178</v>
      </c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6" t="s">
        <v>197</v>
      </c>
      <c r="BP435" s="17" t="s">
        <v>228</v>
      </c>
      <c r="BQ435" s="23"/>
      <c r="BR435" s="17" t="s">
        <v>228</v>
      </c>
      <c r="BS435" s="23"/>
      <c r="BT435" s="17" t="s">
        <v>228</v>
      </c>
      <c r="BU435" s="23"/>
      <c r="BV435" s="13" t="s">
        <v>199</v>
      </c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9"/>
      <c r="CH435" s="15"/>
      <c r="CI435" s="19"/>
      <c r="CJ435" s="15"/>
      <c r="CK435" s="19"/>
      <c r="CL435" s="15"/>
      <c r="CM435" s="19"/>
      <c r="CN435" s="15"/>
      <c r="CO435" s="19"/>
      <c r="CP435" s="15"/>
      <c r="CQ435" s="15"/>
      <c r="CR435" s="15"/>
      <c r="CS435" s="19"/>
      <c r="CT435" s="15"/>
      <c r="CU435" s="19"/>
      <c r="CV435" s="15"/>
      <c r="CW435" s="19"/>
      <c r="CX435" s="15"/>
      <c r="CY435" s="19"/>
      <c r="CZ435" s="15"/>
      <c r="DA435" s="16" t="s">
        <v>197</v>
      </c>
      <c r="DB435" s="17" t="s">
        <v>228</v>
      </c>
      <c r="DC435" s="16"/>
      <c r="DD435" s="17" t="s">
        <v>228</v>
      </c>
      <c r="DE435" s="23"/>
      <c r="DF435" s="17" t="s">
        <v>228</v>
      </c>
      <c r="DG435" s="23"/>
      <c r="DH435" s="13" t="s">
        <v>205</v>
      </c>
      <c r="DI435" s="14" t="s">
        <v>179</v>
      </c>
      <c r="DJ435" s="14" t="s">
        <v>11118</v>
      </c>
      <c r="DK435" s="14" t="s">
        <v>179</v>
      </c>
      <c r="DL435" s="14" t="s">
        <v>11119</v>
      </c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6" t="s">
        <v>197</v>
      </c>
      <c r="ED435" s="17" t="s">
        <v>198</v>
      </c>
      <c r="EE435" s="18">
        <v>45694.59144675926</v>
      </c>
      <c r="EF435" s="13" t="s">
        <v>209</v>
      </c>
      <c r="EG435" s="14" t="s">
        <v>179</v>
      </c>
      <c r="EH435" s="14" t="s">
        <v>11120</v>
      </c>
      <c r="EI435" s="14" t="s">
        <v>179</v>
      </c>
      <c r="EJ435" s="14" t="s">
        <v>11121</v>
      </c>
      <c r="EK435" s="15"/>
      <c r="EL435" s="15"/>
      <c r="EM435" s="15"/>
      <c r="EN435" s="15"/>
      <c r="EO435" s="15"/>
      <c r="EP435" s="15"/>
      <c r="EQ435" s="15"/>
      <c r="ER435" s="15"/>
      <c r="ES435" s="15"/>
      <c r="ET435" s="15"/>
      <c r="EU435" s="15"/>
      <c r="EV435" s="15"/>
      <c r="EW435" s="15"/>
      <c r="EX435" s="15"/>
      <c r="EY435" s="15"/>
      <c r="EZ435" s="15"/>
      <c r="FA435" s="15"/>
      <c r="FB435" s="15"/>
      <c r="FC435" s="16" t="s">
        <v>197</v>
      </c>
      <c r="FD435" s="17" t="s">
        <v>198</v>
      </c>
      <c r="FE435" s="18">
        <v>45722.38894675926</v>
      </c>
      <c r="FF435" s="19"/>
      <c r="FG435" s="19"/>
      <c r="FH435" s="21" t="s">
        <v>197</v>
      </c>
      <c r="FI435" s="17" t="s">
        <v>214</v>
      </c>
      <c r="FJ435" s="18">
        <v>45722.38894675926</v>
      </c>
      <c r="FK435" s="14" t="s">
        <v>11121</v>
      </c>
      <c r="FL435" s="14" t="s">
        <v>11122</v>
      </c>
      <c r="FM435" s="14" t="s">
        <v>11123</v>
      </c>
      <c r="FN435" s="19"/>
      <c r="FO435" s="19"/>
      <c r="FP435" s="19" t="str">
        <f t="shared" si="1"/>
        <v>Base de Dados_Images/LIC65027.Imagem do Equipamento-.171136.jpg</v>
      </c>
      <c r="FQ435" s="19"/>
      <c r="FR435" s="19"/>
    </row>
    <row r="436" ht="15.75" customHeight="1">
      <c r="A436" s="12" t="s">
        <v>547</v>
      </c>
      <c r="B436" s="12" t="s">
        <v>3165</v>
      </c>
      <c r="C436" s="24" t="s">
        <v>324</v>
      </c>
      <c r="D436" s="22" t="s">
        <v>11124</v>
      </c>
      <c r="E436" s="22" t="s">
        <v>11125</v>
      </c>
      <c r="F436" s="13" t="s">
        <v>178</v>
      </c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6" t="s">
        <v>197</v>
      </c>
      <c r="BP436" s="17" t="s">
        <v>228</v>
      </c>
      <c r="BQ436" s="23"/>
      <c r="BR436" s="17" t="s">
        <v>228</v>
      </c>
      <c r="BS436" s="23"/>
      <c r="BT436" s="17" t="s">
        <v>228</v>
      </c>
      <c r="BU436" s="23"/>
      <c r="BV436" s="13" t="s">
        <v>199</v>
      </c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9"/>
      <c r="CH436" s="15"/>
      <c r="CI436" s="19"/>
      <c r="CJ436" s="15"/>
      <c r="CK436" s="19"/>
      <c r="CL436" s="15"/>
      <c r="CM436" s="19"/>
      <c r="CN436" s="15"/>
      <c r="CO436" s="19"/>
      <c r="CP436" s="15"/>
      <c r="CQ436" s="15"/>
      <c r="CR436" s="15"/>
      <c r="CS436" s="19"/>
      <c r="CT436" s="15"/>
      <c r="CU436" s="19"/>
      <c r="CV436" s="15"/>
      <c r="CW436" s="19"/>
      <c r="CX436" s="15"/>
      <c r="CY436" s="19"/>
      <c r="CZ436" s="15"/>
      <c r="DA436" s="16" t="s">
        <v>197</v>
      </c>
      <c r="DB436" s="17" t="s">
        <v>228</v>
      </c>
      <c r="DC436" s="16"/>
      <c r="DD436" s="17" t="s">
        <v>228</v>
      </c>
      <c r="DE436" s="23"/>
      <c r="DF436" s="17" t="s">
        <v>228</v>
      </c>
      <c r="DG436" s="23"/>
      <c r="DH436" s="13" t="s">
        <v>205</v>
      </c>
      <c r="DI436" s="14" t="s">
        <v>179</v>
      </c>
      <c r="DJ436" s="14" t="s">
        <v>11126</v>
      </c>
      <c r="DK436" s="14" t="s">
        <v>179</v>
      </c>
      <c r="DL436" s="14" t="s">
        <v>11127</v>
      </c>
      <c r="DM436" s="15"/>
      <c r="DN436" s="15"/>
      <c r="DO436" s="15"/>
      <c r="DP436" s="15"/>
      <c r="DQ436" s="15"/>
      <c r="DR436" s="15"/>
      <c r="DS436" s="15"/>
      <c r="DT436" s="15"/>
      <c r="DU436" s="15"/>
      <c r="DV436" s="15"/>
      <c r="DW436" s="15"/>
      <c r="DX436" s="15"/>
      <c r="DY436" s="15"/>
      <c r="DZ436" s="15"/>
      <c r="EA436" s="15"/>
      <c r="EB436" s="15"/>
      <c r="EC436" s="16" t="s">
        <v>197</v>
      </c>
      <c r="ED436" s="17" t="s">
        <v>198</v>
      </c>
      <c r="EE436" s="18">
        <v>45694.60357638889</v>
      </c>
      <c r="EF436" s="13" t="s">
        <v>209</v>
      </c>
      <c r="EG436" s="14" t="s">
        <v>179</v>
      </c>
      <c r="EH436" s="14" t="s">
        <v>11128</v>
      </c>
      <c r="EI436" s="14" t="s">
        <v>179</v>
      </c>
      <c r="EJ436" s="14" t="s">
        <v>11129</v>
      </c>
      <c r="EK436" s="15"/>
      <c r="EL436" s="15"/>
      <c r="EM436" s="15"/>
      <c r="EN436" s="15"/>
      <c r="EO436" s="15"/>
      <c r="EP436" s="15"/>
      <c r="EQ436" s="15"/>
      <c r="ER436" s="15"/>
      <c r="ES436" s="15"/>
      <c r="ET436" s="15"/>
      <c r="EU436" s="15"/>
      <c r="EV436" s="15"/>
      <c r="EW436" s="15"/>
      <c r="EX436" s="15"/>
      <c r="EY436" s="15"/>
      <c r="EZ436" s="15"/>
      <c r="FA436" s="15"/>
      <c r="FB436" s="15"/>
      <c r="FC436" s="16" t="s">
        <v>197</v>
      </c>
      <c r="FD436" s="17" t="s">
        <v>198</v>
      </c>
      <c r="FE436" s="18">
        <v>45722.61980324074</v>
      </c>
      <c r="FF436" s="19"/>
      <c r="FG436" s="19"/>
      <c r="FH436" s="21" t="s">
        <v>197</v>
      </c>
      <c r="FI436" s="17" t="s">
        <v>214</v>
      </c>
      <c r="FJ436" s="18">
        <v>45722.61980324074</v>
      </c>
      <c r="FK436" s="14" t="s">
        <v>11129</v>
      </c>
      <c r="FL436" s="14" t="s">
        <v>11130</v>
      </c>
      <c r="FM436" s="14" t="s">
        <v>11131</v>
      </c>
      <c r="FN436" s="19"/>
      <c r="FO436" s="19"/>
      <c r="FP436" s="19" t="str">
        <f t="shared" si="1"/>
        <v>Base de Dados_Images/LIC70028.Imagem do Equipamento-.172908.jpg</v>
      </c>
      <c r="FQ436" s="19"/>
      <c r="FR436" s="19"/>
    </row>
    <row r="437" ht="15.75" customHeight="1">
      <c r="A437" s="12" t="s">
        <v>357</v>
      </c>
      <c r="B437" s="12" t="s">
        <v>419</v>
      </c>
      <c r="C437" s="24" t="s">
        <v>324</v>
      </c>
      <c r="D437" s="22" t="s">
        <v>11132</v>
      </c>
      <c r="E437" s="22" t="s">
        <v>11133</v>
      </c>
      <c r="F437" s="13" t="s">
        <v>178</v>
      </c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6" t="s">
        <v>197</v>
      </c>
      <c r="BP437" s="17" t="s">
        <v>228</v>
      </c>
      <c r="BQ437" s="23"/>
      <c r="BR437" s="17" t="s">
        <v>228</v>
      </c>
      <c r="BS437" s="23"/>
      <c r="BT437" s="17" t="s">
        <v>228</v>
      </c>
      <c r="BU437" s="23"/>
      <c r="BV437" s="13" t="s">
        <v>199</v>
      </c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9"/>
      <c r="CH437" s="15"/>
      <c r="CI437" s="19"/>
      <c r="CJ437" s="15"/>
      <c r="CK437" s="19"/>
      <c r="CL437" s="15"/>
      <c r="CM437" s="19"/>
      <c r="CN437" s="15"/>
      <c r="CO437" s="19"/>
      <c r="CP437" s="15"/>
      <c r="CQ437" s="15"/>
      <c r="CR437" s="15"/>
      <c r="CS437" s="19"/>
      <c r="CT437" s="15"/>
      <c r="CU437" s="19"/>
      <c r="CV437" s="15"/>
      <c r="CW437" s="19"/>
      <c r="CX437" s="15"/>
      <c r="CY437" s="19"/>
      <c r="CZ437" s="15"/>
      <c r="DA437" s="16" t="s">
        <v>197</v>
      </c>
      <c r="DB437" s="17" t="s">
        <v>228</v>
      </c>
      <c r="DC437" s="16"/>
      <c r="DD437" s="17" t="s">
        <v>228</v>
      </c>
      <c r="DE437" s="23"/>
      <c r="DF437" s="17" t="s">
        <v>228</v>
      </c>
      <c r="DG437" s="23"/>
      <c r="DH437" s="13" t="s">
        <v>205</v>
      </c>
      <c r="DI437" s="14" t="s">
        <v>179</v>
      </c>
      <c r="DJ437" s="14" t="s">
        <v>11134</v>
      </c>
      <c r="DK437" s="14" t="s">
        <v>179</v>
      </c>
      <c r="DL437" s="14" t="s">
        <v>11134</v>
      </c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6" t="s">
        <v>197</v>
      </c>
      <c r="ED437" s="17" t="s">
        <v>198</v>
      </c>
      <c r="EE437" s="18">
        <v>45705.54180555556</v>
      </c>
      <c r="EF437" s="13" t="s">
        <v>209</v>
      </c>
      <c r="EG437" s="14" t="s">
        <v>179</v>
      </c>
      <c r="EH437" s="14" t="s">
        <v>11135</v>
      </c>
      <c r="EI437" s="14" t="s">
        <v>179</v>
      </c>
      <c r="EJ437" s="14" t="s">
        <v>11136</v>
      </c>
      <c r="EK437" s="15"/>
      <c r="EL437" s="15"/>
      <c r="EM437" s="15"/>
      <c r="EN437" s="15"/>
      <c r="EO437" s="15"/>
      <c r="EP437" s="15"/>
      <c r="EQ437" s="15"/>
      <c r="ER437" s="15"/>
      <c r="ES437" s="15"/>
      <c r="ET437" s="15"/>
      <c r="EU437" s="15"/>
      <c r="EV437" s="15"/>
      <c r="EW437" s="15"/>
      <c r="EX437" s="15"/>
      <c r="EY437" s="15"/>
      <c r="EZ437" s="15"/>
      <c r="FA437" s="15"/>
      <c r="FB437" s="15"/>
      <c r="FC437" s="16" t="s">
        <v>197</v>
      </c>
      <c r="FD437" s="17" t="s">
        <v>198</v>
      </c>
      <c r="FE437" s="18">
        <v>45705.541863425926</v>
      </c>
      <c r="FF437" s="19"/>
      <c r="FG437" s="19"/>
      <c r="FH437" s="21" t="s">
        <v>197</v>
      </c>
      <c r="FI437" s="17" t="s">
        <v>214</v>
      </c>
      <c r="FJ437" s="18">
        <v>45705.541863425926</v>
      </c>
      <c r="FK437" s="14" t="s">
        <v>11136</v>
      </c>
      <c r="FL437" s="14" t="s">
        <v>11137</v>
      </c>
      <c r="FM437" s="14" t="s">
        <v>11138</v>
      </c>
      <c r="FN437" s="19"/>
      <c r="FO437" s="19"/>
      <c r="FP437" s="19" t="str">
        <f t="shared" si="1"/>
        <v>Base de Dados_Images/LIC81002.Imagem do Equipamento-.160012.jpg</v>
      </c>
      <c r="FQ437" s="19"/>
      <c r="FR437" s="19"/>
    </row>
    <row r="438" ht="15.75" customHeight="1">
      <c r="A438" s="12" t="s">
        <v>357</v>
      </c>
      <c r="B438" s="12" t="s">
        <v>358</v>
      </c>
      <c r="C438" s="24" t="s">
        <v>324</v>
      </c>
      <c r="D438" s="22" t="s">
        <v>11139</v>
      </c>
      <c r="E438" s="22" t="s">
        <v>11140</v>
      </c>
      <c r="F438" s="13" t="s">
        <v>178</v>
      </c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6" t="s">
        <v>197</v>
      </c>
      <c r="BP438" s="17" t="s">
        <v>228</v>
      </c>
      <c r="BQ438" s="23"/>
      <c r="BR438" s="17" t="s">
        <v>228</v>
      </c>
      <c r="BS438" s="23"/>
      <c r="BT438" s="17" t="s">
        <v>228</v>
      </c>
      <c r="BU438" s="23"/>
      <c r="BV438" s="13" t="s">
        <v>199</v>
      </c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9"/>
      <c r="CH438" s="15"/>
      <c r="CI438" s="19"/>
      <c r="CJ438" s="15"/>
      <c r="CK438" s="19"/>
      <c r="CL438" s="15"/>
      <c r="CM438" s="19"/>
      <c r="CN438" s="15"/>
      <c r="CO438" s="19"/>
      <c r="CP438" s="15"/>
      <c r="CQ438" s="15"/>
      <c r="CR438" s="15"/>
      <c r="CS438" s="19"/>
      <c r="CT438" s="15"/>
      <c r="CU438" s="19"/>
      <c r="CV438" s="15"/>
      <c r="CW438" s="19"/>
      <c r="CX438" s="15"/>
      <c r="CY438" s="19"/>
      <c r="CZ438" s="15"/>
      <c r="DA438" s="16" t="s">
        <v>197</v>
      </c>
      <c r="DB438" s="17" t="s">
        <v>228</v>
      </c>
      <c r="DC438" s="16"/>
      <c r="DD438" s="17" t="s">
        <v>228</v>
      </c>
      <c r="DE438" s="23"/>
      <c r="DF438" s="17" t="s">
        <v>228</v>
      </c>
      <c r="DG438" s="23"/>
      <c r="DH438" s="13" t="s">
        <v>205</v>
      </c>
      <c r="DI438" s="14" t="s">
        <v>179</v>
      </c>
      <c r="DJ438" s="14" t="s">
        <v>11141</v>
      </c>
      <c r="DK438" s="14" t="s">
        <v>179</v>
      </c>
      <c r="DL438" s="14" t="s">
        <v>11142</v>
      </c>
      <c r="DM438" s="15"/>
      <c r="DN438" s="15"/>
      <c r="DO438" s="15"/>
      <c r="DP438" s="15"/>
      <c r="DQ438" s="15"/>
      <c r="DR438" s="15"/>
      <c r="DS438" s="15"/>
      <c r="DT438" s="15"/>
      <c r="DU438" s="15"/>
      <c r="DV438" s="15"/>
      <c r="DW438" s="15"/>
      <c r="DX438" s="15"/>
      <c r="DY438" s="15"/>
      <c r="DZ438" s="15"/>
      <c r="EA438" s="15"/>
      <c r="EB438" s="15"/>
      <c r="EC438" s="16" t="s">
        <v>197</v>
      </c>
      <c r="ED438" s="17" t="s">
        <v>198</v>
      </c>
      <c r="EE438" s="18">
        <v>45705.395462962966</v>
      </c>
      <c r="EF438" s="13" t="s">
        <v>209</v>
      </c>
      <c r="EG438" s="14" t="s">
        <v>179</v>
      </c>
      <c r="EH438" s="14" t="s">
        <v>11143</v>
      </c>
      <c r="EI438" s="14" t="s">
        <v>179</v>
      </c>
      <c r="EJ438" s="14" t="s">
        <v>11144</v>
      </c>
      <c r="EK438" s="15"/>
      <c r="EL438" s="15"/>
      <c r="EM438" s="15"/>
      <c r="EN438" s="15"/>
      <c r="EO438" s="15"/>
      <c r="EP438" s="15"/>
      <c r="EQ438" s="15"/>
      <c r="ER438" s="15"/>
      <c r="ES438" s="15"/>
      <c r="ET438" s="15"/>
      <c r="EU438" s="15"/>
      <c r="EV438" s="15"/>
      <c r="EW438" s="15"/>
      <c r="EX438" s="15"/>
      <c r="EY438" s="15"/>
      <c r="EZ438" s="15"/>
      <c r="FA438" s="15"/>
      <c r="FB438" s="15"/>
      <c r="FC438" s="16" t="s">
        <v>197</v>
      </c>
      <c r="FD438" s="17" t="s">
        <v>198</v>
      </c>
      <c r="FE438" s="18">
        <v>45705.395532407405</v>
      </c>
      <c r="FF438" s="19"/>
      <c r="FG438" s="19"/>
      <c r="FH438" s="21" t="s">
        <v>197</v>
      </c>
      <c r="FI438" s="17" t="s">
        <v>214</v>
      </c>
      <c r="FJ438" s="18">
        <v>45705.395532407405</v>
      </c>
      <c r="FK438" s="14" t="s">
        <v>11144</v>
      </c>
      <c r="FL438" s="19"/>
      <c r="FM438" s="19"/>
      <c r="FN438" s="19"/>
      <c r="FO438" s="19"/>
      <c r="FP438" s="19" t="str">
        <f t="shared" si="1"/>
        <v/>
      </c>
      <c r="FQ438" s="14" t="s">
        <v>215</v>
      </c>
      <c r="FR438" s="14" t="s">
        <v>11145</v>
      </c>
    </row>
    <row r="439" ht="15.75" customHeight="1">
      <c r="A439" s="12" t="s">
        <v>357</v>
      </c>
      <c r="B439" s="12" t="s">
        <v>358</v>
      </c>
      <c r="C439" s="24" t="s">
        <v>324</v>
      </c>
      <c r="D439" s="22" t="s">
        <v>11146</v>
      </c>
      <c r="E439" s="22" t="s">
        <v>11147</v>
      </c>
      <c r="F439" s="13" t="s">
        <v>178</v>
      </c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6" t="s">
        <v>197</v>
      </c>
      <c r="BP439" s="17" t="s">
        <v>228</v>
      </c>
      <c r="BQ439" s="23"/>
      <c r="BR439" s="17" t="s">
        <v>228</v>
      </c>
      <c r="BS439" s="23"/>
      <c r="BT439" s="17" t="s">
        <v>228</v>
      </c>
      <c r="BU439" s="23"/>
      <c r="BV439" s="13" t="s">
        <v>199</v>
      </c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9"/>
      <c r="CH439" s="15"/>
      <c r="CI439" s="19"/>
      <c r="CJ439" s="15"/>
      <c r="CK439" s="19"/>
      <c r="CL439" s="15"/>
      <c r="CM439" s="19"/>
      <c r="CN439" s="15"/>
      <c r="CO439" s="19"/>
      <c r="CP439" s="15"/>
      <c r="CQ439" s="15"/>
      <c r="CR439" s="15"/>
      <c r="CS439" s="19"/>
      <c r="CT439" s="15"/>
      <c r="CU439" s="19"/>
      <c r="CV439" s="15"/>
      <c r="CW439" s="19"/>
      <c r="CX439" s="15"/>
      <c r="CY439" s="19"/>
      <c r="CZ439" s="15"/>
      <c r="DA439" s="16" t="s">
        <v>197</v>
      </c>
      <c r="DB439" s="17" t="s">
        <v>228</v>
      </c>
      <c r="DC439" s="16"/>
      <c r="DD439" s="17" t="s">
        <v>228</v>
      </c>
      <c r="DE439" s="23"/>
      <c r="DF439" s="17" t="s">
        <v>228</v>
      </c>
      <c r="DG439" s="23"/>
      <c r="DH439" s="13" t="s">
        <v>205</v>
      </c>
      <c r="DI439" s="14" t="s">
        <v>179</v>
      </c>
      <c r="DJ439" s="14" t="s">
        <v>11148</v>
      </c>
      <c r="DK439" s="14" t="s">
        <v>179</v>
      </c>
      <c r="DL439" s="14" t="s">
        <v>11149</v>
      </c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6" t="s">
        <v>197</v>
      </c>
      <c r="ED439" s="17" t="s">
        <v>198</v>
      </c>
      <c r="EE439" s="18">
        <v>45705.39579861111</v>
      </c>
      <c r="EF439" s="13" t="s">
        <v>209</v>
      </c>
      <c r="EG439" s="14" t="s">
        <v>179</v>
      </c>
      <c r="EH439" s="14" t="s">
        <v>11150</v>
      </c>
      <c r="EI439" s="14" t="s">
        <v>179</v>
      </c>
      <c r="EJ439" s="14" t="s">
        <v>11151</v>
      </c>
      <c r="EK439" s="15"/>
      <c r="EL439" s="15"/>
      <c r="EM439" s="15"/>
      <c r="EN439" s="15"/>
      <c r="EO439" s="15"/>
      <c r="EP439" s="15"/>
      <c r="EQ439" s="15"/>
      <c r="ER439" s="15"/>
      <c r="ES439" s="15"/>
      <c r="ET439" s="15"/>
      <c r="EU439" s="15"/>
      <c r="EV439" s="15"/>
      <c r="EW439" s="15"/>
      <c r="EX439" s="15"/>
      <c r="EY439" s="15"/>
      <c r="EZ439" s="15"/>
      <c r="FA439" s="15"/>
      <c r="FB439" s="15"/>
      <c r="FC439" s="16" t="s">
        <v>197</v>
      </c>
      <c r="FD439" s="17" t="s">
        <v>198</v>
      </c>
      <c r="FE439" s="18">
        <v>45705.395844907405</v>
      </c>
      <c r="FF439" s="19"/>
      <c r="FG439" s="19"/>
      <c r="FH439" s="21" t="s">
        <v>197</v>
      </c>
      <c r="FI439" s="17" t="s">
        <v>214</v>
      </c>
      <c r="FJ439" s="18">
        <v>45705.395844907405</v>
      </c>
      <c r="FK439" s="14" t="s">
        <v>11151</v>
      </c>
      <c r="FL439" s="19"/>
      <c r="FM439" s="19"/>
      <c r="FN439" s="19"/>
      <c r="FO439" s="19"/>
      <c r="FP439" s="19" t="str">
        <f t="shared" si="1"/>
        <v/>
      </c>
      <c r="FQ439" s="14" t="s">
        <v>215</v>
      </c>
      <c r="FR439" s="14" t="s">
        <v>11152</v>
      </c>
    </row>
    <row r="440" ht="15.75" customHeight="1">
      <c r="A440" s="12" t="s">
        <v>357</v>
      </c>
      <c r="B440" s="12" t="s">
        <v>4276</v>
      </c>
      <c r="C440" s="24" t="s">
        <v>324</v>
      </c>
      <c r="D440" s="22" t="s">
        <v>11153</v>
      </c>
      <c r="E440" s="22" t="s">
        <v>11154</v>
      </c>
      <c r="F440" s="13" t="s">
        <v>178</v>
      </c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6" t="s">
        <v>197</v>
      </c>
      <c r="BP440" s="17" t="s">
        <v>228</v>
      </c>
      <c r="BQ440" s="23"/>
      <c r="BR440" s="17" t="s">
        <v>228</v>
      </c>
      <c r="BS440" s="23"/>
      <c r="BT440" s="17" t="s">
        <v>228</v>
      </c>
      <c r="BU440" s="23"/>
      <c r="BV440" s="13" t="s">
        <v>199</v>
      </c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9"/>
      <c r="CH440" s="15"/>
      <c r="CI440" s="19"/>
      <c r="CJ440" s="15"/>
      <c r="CK440" s="19"/>
      <c r="CL440" s="15"/>
      <c r="CM440" s="19"/>
      <c r="CN440" s="15"/>
      <c r="CO440" s="19"/>
      <c r="CP440" s="15"/>
      <c r="CQ440" s="15"/>
      <c r="CR440" s="15"/>
      <c r="CS440" s="19"/>
      <c r="CT440" s="15"/>
      <c r="CU440" s="19"/>
      <c r="CV440" s="15"/>
      <c r="CW440" s="19"/>
      <c r="CX440" s="15"/>
      <c r="CY440" s="19"/>
      <c r="CZ440" s="15"/>
      <c r="DA440" s="16" t="s">
        <v>197</v>
      </c>
      <c r="DB440" s="17" t="s">
        <v>228</v>
      </c>
      <c r="DC440" s="16"/>
      <c r="DD440" s="17" t="s">
        <v>228</v>
      </c>
      <c r="DE440" s="23"/>
      <c r="DF440" s="17" t="s">
        <v>228</v>
      </c>
      <c r="DG440" s="23"/>
      <c r="DH440" s="13" t="s">
        <v>205</v>
      </c>
      <c r="DI440" s="14" t="s">
        <v>179</v>
      </c>
      <c r="DJ440" s="14" t="s">
        <v>11155</v>
      </c>
      <c r="DK440" s="14" t="s">
        <v>179</v>
      </c>
      <c r="DL440" s="14" t="s">
        <v>11156</v>
      </c>
      <c r="DM440" s="15"/>
      <c r="DN440" s="15"/>
      <c r="DO440" s="15"/>
      <c r="DP440" s="15"/>
      <c r="DQ440" s="15"/>
      <c r="DR440" s="15"/>
      <c r="DS440" s="15"/>
      <c r="DT440" s="15"/>
      <c r="DU440" s="15"/>
      <c r="DV440" s="15"/>
      <c r="DW440" s="15"/>
      <c r="DX440" s="15"/>
      <c r="DY440" s="15"/>
      <c r="DZ440" s="15"/>
      <c r="EA440" s="15"/>
      <c r="EB440" s="15"/>
      <c r="EC440" s="16" t="s">
        <v>197</v>
      </c>
      <c r="ED440" s="17" t="s">
        <v>198</v>
      </c>
      <c r="EE440" s="18">
        <v>45723.64444444444</v>
      </c>
      <c r="EF440" s="13" t="s">
        <v>209</v>
      </c>
      <c r="EG440" s="14" t="s">
        <v>179</v>
      </c>
      <c r="EH440" s="14" t="s">
        <v>11157</v>
      </c>
      <c r="EI440" s="14" t="s">
        <v>179</v>
      </c>
      <c r="EJ440" s="14" t="s">
        <v>11158</v>
      </c>
      <c r="EK440" s="15"/>
      <c r="EL440" s="15"/>
      <c r="EM440" s="15"/>
      <c r="EN440" s="15"/>
      <c r="EO440" s="15"/>
      <c r="EP440" s="15"/>
      <c r="EQ440" s="15"/>
      <c r="ER440" s="15"/>
      <c r="ES440" s="15"/>
      <c r="ET440" s="15"/>
      <c r="EU440" s="15"/>
      <c r="EV440" s="15"/>
      <c r="EW440" s="15"/>
      <c r="EX440" s="15"/>
      <c r="EY440" s="15"/>
      <c r="EZ440" s="15"/>
      <c r="FA440" s="15"/>
      <c r="FB440" s="15"/>
      <c r="FC440" s="16" t="s">
        <v>197</v>
      </c>
      <c r="FD440" s="17" t="s">
        <v>198</v>
      </c>
      <c r="FE440" s="18">
        <v>45723.64450231481</v>
      </c>
      <c r="FF440" s="19"/>
      <c r="FG440" s="19"/>
      <c r="FH440" s="21" t="s">
        <v>197</v>
      </c>
      <c r="FI440" s="17" t="s">
        <v>214</v>
      </c>
      <c r="FJ440" s="18">
        <v>45723.64450231481</v>
      </c>
      <c r="FK440" s="14" t="s">
        <v>11158</v>
      </c>
      <c r="FL440" s="14" t="s">
        <v>11159</v>
      </c>
      <c r="FM440" s="14" t="s">
        <v>11160</v>
      </c>
      <c r="FN440" s="19"/>
      <c r="FO440" s="19"/>
      <c r="FP440" s="19" t="str">
        <f t="shared" si="1"/>
        <v>Base de Dados_Images/LIC81028.Imagem do Equipamento-.175919.jpg</v>
      </c>
      <c r="FQ440" s="19"/>
      <c r="FR440" s="19"/>
    </row>
    <row r="441" ht="15.75" customHeight="1">
      <c r="A441" s="12" t="s">
        <v>234</v>
      </c>
      <c r="B441" s="12" t="s">
        <v>511</v>
      </c>
      <c r="C441" s="24" t="s">
        <v>375</v>
      </c>
      <c r="D441" s="12" t="s">
        <v>11161</v>
      </c>
      <c r="E441" s="12" t="s">
        <v>11162</v>
      </c>
      <c r="F441" s="13" t="s">
        <v>178</v>
      </c>
      <c r="G441" s="14" t="s">
        <v>179</v>
      </c>
      <c r="H441" s="14" t="s">
        <v>11163</v>
      </c>
      <c r="I441" s="14" t="s">
        <v>179</v>
      </c>
      <c r="J441" s="14" t="s">
        <v>11163</v>
      </c>
      <c r="K441" s="14" t="s">
        <v>179</v>
      </c>
      <c r="L441" s="14" t="s">
        <v>11164</v>
      </c>
      <c r="M441" s="14" t="s">
        <v>179</v>
      </c>
      <c r="N441" s="14" t="s">
        <v>11164</v>
      </c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6" t="s">
        <v>197</v>
      </c>
      <c r="BP441" s="17" t="s">
        <v>198</v>
      </c>
      <c r="BQ441" s="18">
        <v>45694.37732638889</v>
      </c>
      <c r="BR441" s="17" t="s">
        <v>198</v>
      </c>
      <c r="BS441" s="18">
        <v>45694.37734953704</v>
      </c>
      <c r="BT441" s="17" t="s">
        <v>198</v>
      </c>
      <c r="BU441" s="18">
        <v>45694.37734953704</v>
      </c>
      <c r="BV441" s="13" t="s">
        <v>199</v>
      </c>
      <c r="BW441" s="14" t="s">
        <v>179</v>
      </c>
      <c r="BX441" s="14" t="s">
        <v>11165</v>
      </c>
      <c r="BY441" s="14" t="s">
        <v>179</v>
      </c>
      <c r="BZ441" s="14" t="s">
        <v>11166</v>
      </c>
      <c r="CA441" s="14" t="s">
        <v>179</v>
      </c>
      <c r="CB441" s="14" t="s">
        <v>11167</v>
      </c>
      <c r="CC441" s="15"/>
      <c r="CD441" s="15"/>
      <c r="CE441" s="15"/>
      <c r="CF441" s="15"/>
      <c r="CG441" s="19"/>
      <c r="CH441" s="15"/>
      <c r="CI441" s="19"/>
      <c r="CJ441" s="15"/>
      <c r="CK441" s="19"/>
      <c r="CL441" s="15"/>
      <c r="CM441" s="19"/>
      <c r="CN441" s="15"/>
      <c r="CO441" s="19"/>
      <c r="CP441" s="15"/>
      <c r="CQ441" s="15"/>
      <c r="CR441" s="15"/>
      <c r="CS441" s="19"/>
      <c r="CT441" s="15"/>
      <c r="CU441" s="19"/>
      <c r="CV441" s="15"/>
      <c r="CW441" s="19"/>
      <c r="CX441" s="15"/>
      <c r="CY441" s="19"/>
      <c r="CZ441" s="15"/>
      <c r="DA441" s="16" t="s">
        <v>197</v>
      </c>
      <c r="DB441" s="17" t="s">
        <v>228</v>
      </c>
      <c r="DC441" s="16"/>
      <c r="DD441" s="17" t="s">
        <v>198</v>
      </c>
      <c r="DE441" s="18">
        <v>45702.46233796296</v>
      </c>
      <c r="DF441" s="17" t="s">
        <v>198</v>
      </c>
      <c r="DG441" s="18">
        <v>45702.46233796296</v>
      </c>
      <c r="DH441" s="13" t="s">
        <v>205</v>
      </c>
      <c r="DI441" s="14" t="s">
        <v>179</v>
      </c>
      <c r="DJ441" s="14" t="s">
        <v>11168</v>
      </c>
      <c r="DK441" s="14" t="s">
        <v>179</v>
      </c>
      <c r="DL441" s="14" t="s">
        <v>11168</v>
      </c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6" t="s">
        <v>197</v>
      </c>
      <c r="ED441" s="17" t="s">
        <v>198</v>
      </c>
      <c r="EE441" s="18">
        <v>45713.42710648148</v>
      </c>
      <c r="EF441" s="13" t="s">
        <v>209</v>
      </c>
      <c r="EG441" s="14" t="s">
        <v>179</v>
      </c>
      <c r="EH441" s="14" t="s">
        <v>11169</v>
      </c>
      <c r="EI441" s="14" t="s">
        <v>179</v>
      </c>
      <c r="EJ441" s="14" t="s">
        <v>11170</v>
      </c>
      <c r="EK441" s="15"/>
      <c r="EL441" s="15"/>
      <c r="EM441" s="15"/>
      <c r="EN441" s="15"/>
      <c r="EO441" s="15"/>
      <c r="EP441" s="15"/>
      <c r="EQ441" s="15"/>
      <c r="ER441" s="15"/>
      <c r="ES441" s="15"/>
      <c r="ET441" s="15"/>
      <c r="EU441" s="15"/>
      <c r="EV441" s="15"/>
      <c r="EW441" s="15"/>
      <c r="EX441" s="15"/>
      <c r="EY441" s="15"/>
      <c r="EZ441" s="15"/>
      <c r="FA441" s="15"/>
      <c r="FB441" s="15"/>
      <c r="FC441" s="16" t="s">
        <v>197</v>
      </c>
      <c r="FD441" s="17" t="s">
        <v>198</v>
      </c>
      <c r="FE441" s="18">
        <v>45720.355844907404</v>
      </c>
      <c r="FF441" s="19"/>
      <c r="FG441" s="19"/>
      <c r="FH441" s="21" t="s">
        <v>197</v>
      </c>
      <c r="FI441" s="17" t="s">
        <v>214</v>
      </c>
      <c r="FJ441" s="18">
        <v>45720.355844907404</v>
      </c>
      <c r="FK441" s="14" t="s">
        <v>11170</v>
      </c>
      <c r="FL441" s="14" t="s">
        <v>11171</v>
      </c>
      <c r="FM441" s="14" t="s">
        <v>11172</v>
      </c>
      <c r="FN441" s="19"/>
      <c r="FO441" s="19"/>
      <c r="FP441" s="19" t="str">
        <f t="shared" si="1"/>
        <v>Base de Dados_Images/LIT 65119_.Imagem do Equipamento-.181217.jpg</v>
      </c>
      <c r="FQ441" s="19"/>
      <c r="FR441" s="19"/>
    </row>
    <row r="442" ht="15.75" customHeight="1">
      <c r="A442" s="12" t="s">
        <v>174</v>
      </c>
      <c r="B442" s="22" t="s">
        <v>753</v>
      </c>
      <c r="C442" s="24" t="s">
        <v>375</v>
      </c>
      <c r="D442" s="22" t="s">
        <v>11173</v>
      </c>
      <c r="E442" s="22" t="s">
        <v>11174</v>
      </c>
      <c r="F442" s="13" t="s">
        <v>178</v>
      </c>
      <c r="G442" s="14" t="s">
        <v>179</v>
      </c>
      <c r="H442" s="14" t="s">
        <v>11175</v>
      </c>
      <c r="I442" s="14" t="s">
        <v>179</v>
      </c>
      <c r="J442" s="14" t="s">
        <v>11176</v>
      </c>
      <c r="K442" s="14" t="s">
        <v>179</v>
      </c>
      <c r="L442" s="14" t="s">
        <v>11177</v>
      </c>
      <c r="M442" s="14" t="s">
        <v>179</v>
      </c>
      <c r="N442" s="14" t="s">
        <v>11178</v>
      </c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6" t="s">
        <v>197</v>
      </c>
      <c r="BP442" s="17" t="s">
        <v>198</v>
      </c>
      <c r="BQ442" s="18">
        <v>45699.38364583333</v>
      </c>
      <c r="BR442" s="17" t="s">
        <v>198</v>
      </c>
      <c r="BS442" s="18">
        <v>45699.38380787037</v>
      </c>
      <c r="BT442" s="17" t="s">
        <v>198</v>
      </c>
      <c r="BU442" s="18">
        <v>45699.38380787037</v>
      </c>
      <c r="BV442" s="13" t="s">
        <v>199</v>
      </c>
      <c r="BW442" s="14" t="s">
        <v>179</v>
      </c>
      <c r="BX442" s="14" t="s">
        <v>11179</v>
      </c>
      <c r="BY442" s="14" t="s">
        <v>179</v>
      </c>
      <c r="BZ442" s="14" t="s">
        <v>11180</v>
      </c>
      <c r="CA442" s="14" t="s">
        <v>179</v>
      </c>
      <c r="CB442" s="14" t="s">
        <v>11181</v>
      </c>
      <c r="CC442" s="15"/>
      <c r="CD442" s="15"/>
      <c r="CE442" s="15"/>
      <c r="CF442" s="15"/>
      <c r="CG442" s="19"/>
      <c r="CH442" s="15"/>
      <c r="CI442" s="19"/>
      <c r="CJ442" s="15"/>
      <c r="CK442" s="19"/>
      <c r="CL442" s="15"/>
      <c r="CM442" s="19"/>
      <c r="CN442" s="15"/>
      <c r="CO442" s="19"/>
      <c r="CP442" s="15"/>
      <c r="CQ442" s="15"/>
      <c r="CR442" s="15"/>
      <c r="CS442" s="19"/>
      <c r="CT442" s="15"/>
      <c r="CU442" s="19"/>
      <c r="CV442" s="15"/>
      <c r="CW442" s="19"/>
      <c r="CX442" s="15"/>
      <c r="CY442" s="19"/>
      <c r="CZ442" s="15"/>
      <c r="DA442" s="16" t="s">
        <v>197</v>
      </c>
      <c r="DB442" s="17" t="s">
        <v>228</v>
      </c>
      <c r="DC442" s="16"/>
      <c r="DD442" s="17" t="s">
        <v>198</v>
      </c>
      <c r="DE442" s="18">
        <v>45699.384247685186</v>
      </c>
      <c r="DF442" s="17" t="s">
        <v>198</v>
      </c>
      <c r="DG442" s="18">
        <v>45699.384247685186</v>
      </c>
      <c r="DH442" s="13" t="s">
        <v>205</v>
      </c>
      <c r="DI442" s="14" t="s">
        <v>179</v>
      </c>
      <c r="DJ442" s="14" t="s">
        <v>11182</v>
      </c>
      <c r="DK442" s="14" t="s">
        <v>179</v>
      </c>
      <c r="DL442" s="14" t="s">
        <v>11183</v>
      </c>
      <c r="DM442" s="15"/>
      <c r="DN442" s="15"/>
      <c r="DO442" s="15"/>
      <c r="DP442" s="15"/>
      <c r="DQ442" s="15"/>
      <c r="DR442" s="15"/>
      <c r="DS442" s="15"/>
      <c r="DT442" s="15"/>
      <c r="DU442" s="15"/>
      <c r="DV442" s="15"/>
      <c r="DW442" s="15"/>
      <c r="DX442" s="15"/>
      <c r="DY442" s="15"/>
      <c r="DZ442" s="15"/>
      <c r="EA442" s="15"/>
      <c r="EB442" s="15"/>
      <c r="EC442" s="16" t="s">
        <v>197</v>
      </c>
      <c r="ED442" s="17" t="s">
        <v>198</v>
      </c>
      <c r="EE442" s="18">
        <v>45719.487337962964</v>
      </c>
      <c r="EF442" s="13" t="s">
        <v>209</v>
      </c>
      <c r="EG442" s="14" t="s">
        <v>179</v>
      </c>
      <c r="EH442" s="14" t="s">
        <v>11184</v>
      </c>
      <c r="EI442" s="14" t="s">
        <v>179</v>
      </c>
      <c r="EJ442" s="14" t="s">
        <v>11185</v>
      </c>
      <c r="EK442" s="15"/>
      <c r="EL442" s="15"/>
      <c r="EM442" s="15"/>
      <c r="EN442" s="15"/>
      <c r="EO442" s="15"/>
      <c r="EP442" s="15"/>
      <c r="EQ442" s="15"/>
      <c r="ER442" s="15"/>
      <c r="ES442" s="15"/>
      <c r="ET442" s="15"/>
      <c r="EU442" s="15"/>
      <c r="EV442" s="15"/>
      <c r="EW442" s="15"/>
      <c r="EX442" s="15"/>
      <c r="EY442" s="15"/>
      <c r="EZ442" s="15"/>
      <c r="FA442" s="15"/>
      <c r="FB442" s="15"/>
      <c r="FC442" s="16" t="s">
        <v>197</v>
      </c>
      <c r="FD442" s="17" t="s">
        <v>198</v>
      </c>
      <c r="FE442" s="18">
        <v>45723.27061342593</v>
      </c>
      <c r="FF442" s="19"/>
      <c r="FG442" s="19"/>
      <c r="FH442" s="21" t="s">
        <v>197</v>
      </c>
      <c r="FI442" s="17" t="s">
        <v>214</v>
      </c>
      <c r="FJ442" s="18">
        <v>45723.27061342593</v>
      </c>
      <c r="FK442" s="14" t="s">
        <v>11185</v>
      </c>
      <c r="FL442" s="19"/>
      <c r="FM442" s="19"/>
      <c r="FN442" s="19"/>
      <c r="FO442" s="19"/>
      <c r="FP442" s="19" t="str">
        <f t="shared" si="1"/>
        <v/>
      </c>
      <c r="FQ442" s="14" t="s">
        <v>215</v>
      </c>
      <c r="FR442" s="14" t="s">
        <v>11186</v>
      </c>
    </row>
    <row r="443" ht="15.75" customHeight="1">
      <c r="A443" s="12" t="s">
        <v>174</v>
      </c>
      <c r="B443" s="22" t="s">
        <v>824</v>
      </c>
      <c r="C443" s="24" t="s">
        <v>375</v>
      </c>
      <c r="D443" s="22" t="s">
        <v>11187</v>
      </c>
      <c r="E443" s="22" t="s">
        <v>11188</v>
      </c>
      <c r="F443" s="13" t="s">
        <v>178</v>
      </c>
      <c r="G443" s="14" t="s">
        <v>179</v>
      </c>
      <c r="H443" s="14" t="s">
        <v>11189</v>
      </c>
      <c r="I443" s="14" t="s">
        <v>179</v>
      </c>
      <c r="J443" s="14" t="s">
        <v>11190</v>
      </c>
      <c r="K443" s="14" t="s">
        <v>179</v>
      </c>
      <c r="L443" s="14" t="s">
        <v>11191</v>
      </c>
      <c r="M443" s="14" t="s">
        <v>179</v>
      </c>
      <c r="N443" s="14" t="s">
        <v>11192</v>
      </c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6" t="s">
        <v>197</v>
      </c>
      <c r="BP443" s="17" t="s">
        <v>198</v>
      </c>
      <c r="BQ443" s="18">
        <v>45692.64539351852</v>
      </c>
      <c r="BR443" s="17" t="s">
        <v>198</v>
      </c>
      <c r="BS443" s="18">
        <v>45692.64545138889</v>
      </c>
      <c r="BT443" s="17" t="s">
        <v>198</v>
      </c>
      <c r="BU443" s="18">
        <v>45692.64545138889</v>
      </c>
      <c r="BV443" s="13" t="s">
        <v>199</v>
      </c>
      <c r="BW443" s="14" t="s">
        <v>179</v>
      </c>
      <c r="BX443" s="14" t="s">
        <v>11193</v>
      </c>
      <c r="BY443" s="14" t="s">
        <v>179</v>
      </c>
      <c r="BZ443" s="14" t="s">
        <v>11194</v>
      </c>
      <c r="CA443" s="14" t="s">
        <v>179</v>
      </c>
      <c r="CB443" s="14" t="s">
        <v>11195</v>
      </c>
      <c r="CC443" s="15"/>
      <c r="CD443" s="15"/>
      <c r="CE443" s="15"/>
      <c r="CF443" s="15"/>
      <c r="CG443" s="19"/>
      <c r="CH443" s="15"/>
      <c r="CI443" s="19"/>
      <c r="CJ443" s="15"/>
      <c r="CK443" s="19"/>
      <c r="CL443" s="15"/>
      <c r="CM443" s="19"/>
      <c r="CN443" s="15"/>
      <c r="CO443" s="19"/>
      <c r="CP443" s="15"/>
      <c r="CQ443" s="15"/>
      <c r="CR443" s="15"/>
      <c r="CS443" s="19"/>
      <c r="CT443" s="15"/>
      <c r="CU443" s="19"/>
      <c r="CV443" s="15"/>
      <c r="CW443" s="19"/>
      <c r="CX443" s="15"/>
      <c r="CY443" s="19"/>
      <c r="CZ443" s="15"/>
      <c r="DA443" s="16" t="s">
        <v>197</v>
      </c>
      <c r="DB443" s="17" t="s">
        <v>228</v>
      </c>
      <c r="DC443" s="16"/>
      <c r="DD443" s="17" t="s">
        <v>198</v>
      </c>
      <c r="DE443" s="18">
        <v>45699.384930555556</v>
      </c>
      <c r="DF443" s="17" t="s">
        <v>198</v>
      </c>
      <c r="DG443" s="18">
        <v>45699.384930555556</v>
      </c>
      <c r="DH443" s="13" t="s">
        <v>205</v>
      </c>
      <c r="DI443" s="14" t="s">
        <v>179</v>
      </c>
      <c r="DJ443" s="14" t="s">
        <v>11196</v>
      </c>
      <c r="DK443" s="14" t="s">
        <v>179</v>
      </c>
      <c r="DL443" s="14" t="s">
        <v>11197</v>
      </c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6" t="s">
        <v>197</v>
      </c>
      <c r="ED443" s="17" t="s">
        <v>198</v>
      </c>
      <c r="EE443" s="18">
        <v>45719.488229166665</v>
      </c>
      <c r="EF443" s="13" t="s">
        <v>209</v>
      </c>
      <c r="EG443" s="14" t="s">
        <v>179</v>
      </c>
      <c r="EH443" s="14" t="s">
        <v>11198</v>
      </c>
      <c r="EI443" s="14" t="s">
        <v>179</v>
      </c>
      <c r="EJ443" s="14" t="s">
        <v>11198</v>
      </c>
      <c r="EK443" s="15"/>
      <c r="EL443" s="15"/>
      <c r="EM443" s="15"/>
      <c r="EN443" s="15"/>
      <c r="EO443" s="15"/>
      <c r="EP443" s="15"/>
      <c r="EQ443" s="15"/>
      <c r="ER443" s="15"/>
      <c r="ES443" s="15"/>
      <c r="ET443" s="15"/>
      <c r="EU443" s="15"/>
      <c r="EV443" s="15"/>
      <c r="EW443" s="15"/>
      <c r="EX443" s="15"/>
      <c r="EY443" s="15"/>
      <c r="EZ443" s="15"/>
      <c r="FA443" s="15"/>
      <c r="FB443" s="15"/>
      <c r="FC443" s="16" t="s">
        <v>197</v>
      </c>
      <c r="FD443" s="17" t="s">
        <v>198</v>
      </c>
      <c r="FE443" s="18">
        <v>45723.28359953704</v>
      </c>
      <c r="FF443" s="19"/>
      <c r="FG443" s="19"/>
      <c r="FH443" s="21" t="s">
        <v>197</v>
      </c>
      <c r="FI443" s="17" t="s">
        <v>214</v>
      </c>
      <c r="FJ443" s="18">
        <v>45723.28359953704</v>
      </c>
      <c r="FK443" s="14" t="s">
        <v>11198</v>
      </c>
      <c r="FL443" s="14" t="s">
        <v>11199</v>
      </c>
      <c r="FM443" s="14" t="s">
        <v>11200</v>
      </c>
      <c r="FN443" s="19"/>
      <c r="FO443" s="19"/>
      <c r="FP443" s="19" t="str">
        <f t="shared" si="1"/>
        <v>Base de Dados_Images/LIT20104.Imagem do Equipamento-.185516.jpg</v>
      </c>
      <c r="FQ443" s="19"/>
      <c r="FR443" s="19"/>
    </row>
    <row r="444" ht="15.75" customHeight="1">
      <c r="A444" s="12" t="s">
        <v>174</v>
      </c>
      <c r="B444" s="22" t="s">
        <v>1062</v>
      </c>
      <c r="C444" s="24" t="s">
        <v>375</v>
      </c>
      <c r="D444" s="22" t="s">
        <v>11201</v>
      </c>
      <c r="E444" s="22" t="s">
        <v>11202</v>
      </c>
      <c r="F444" s="13" t="s">
        <v>178</v>
      </c>
      <c r="G444" s="14" t="s">
        <v>179</v>
      </c>
      <c r="H444" s="14" t="s">
        <v>11203</v>
      </c>
      <c r="I444" s="14" t="s">
        <v>179</v>
      </c>
      <c r="J444" s="14" t="s">
        <v>11204</v>
      </c>
      <c r="K444" s="14" t="s">
        <v>179</v>
      </c>
      <c r="L444" s="14" t="s">
        <v>11205</v>
      </c>
      <c r="M444" s="14" t="s">
        <v>179</v>
      </c>
      <c r="N444" s="14" t="s">
        <v>11206</v>
      </c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6" t="s">
        <v>197</v>
      </c>
      <c r="BP444" s="17" t="s">
        <v>198</v>
      </c>
      <c r="BQ444" s="18">
        <v>45701.6028125</v>
      </c>
      <c r="BR444" s="17" t="s">
        <v>198</v>
      </c>
      <c r="BS444" s="18">
        <v>45701.60288194445</v>
      </c>
      <c r="BT444" s="17" t="s">
        <v>198</v>
      </c>
      <c r="BU444" s="18">
        <v>45701.60288194445</v>
      </c>
      <c r="BV444" s="13" t="s">
        <v>199</v>
      </c>
      <c r="BW444" s="14" t="s">
        <v>179</v>
      </c>
      <c r="BX444" s="14" t="s">
        <v>11207</v>
      </c>
      <c r="BY444" s="14" t="s">
        <v>179</v>
      </c>
      <c r="BZ444" s="14" t="s">
        <v>11207</v>
      </c>
      <c r="CA444" s="14" t="s">
        <v>179</v>
      </c>
      <c r="CB444" s="14" t="s">
        <v>11208</v>
      </c>
      <c r="CC444" s="15"/>
      <c r="CD444" s="15"/>
      <c r="CE444" s="15"/>
      <c r="CF444" s="15"/>
      <c r="CG444" s="19"/>
      <c r="CH444" s="15"/>
      <c r="CI444" s="19"/>
      <c r="CJ444" s="15"/>
      <c r="CK444" s="19"/>
      <c r="CL444" s="15"/>
      <c r="CM444" s="19"/>
      <c r="CN444" s="15"/>
      <c r="CO444" s="19"/>
      <c r="CP444" s="15"/>
      <c r="CQ444" s="15"/>
      <c r="CR444" s="15"/>
      <c r="CS444" s="19"/>
      <c r="CT444" s="15"/>
      <c r="CU444" s="19"/>
      <c r="CV444" s="15"/>
      <c r="CW444" s="19"/>
      <c r="CX444" s="15"/>
      <c r="CY444" s="19"/>
      <c r="CZ444" s="15"/>
      <c r="DA444" s="16" t="s">
        <v>197</v>
      </c>
      <c r="DB444" s="17" t="s">
        <v>228</v>
      </c>
      <c r="DC444" s="16"/>
      <c r="DD444" s="17" t="s">
        <v>198</v>
      </c>
      <c r="DE444" s="18">
        <v>45719.48693287037</v>
      </c>
      <c r="DF444" s="17" t="s">
        <v>198</v>
      </c>
      <c r="DG444" s="18">
        <v>45719.48693287037</v>
      </c>
      <c r="DH444" s="13" t="s">
        <v>205</v>
      </c>
      <c r="DI444" s="14" t="s">
        <v>179</v>
      </c>
      <c r="DJ444" s="14" t="s">
        <v>11209</v>
      </c>
      <c r="DK444" s="14" t="s">
        <v>179</v>
      </c>
      <c r="DL444" s="14" t="s">
        <v>11210</v>
      </c>
      <c r="DM444" s="15"/>
      <c r="DN444" s="15"/>
      <c r="DO444" s="15"/>
      <c r="DP444" s="15"/>
      <c r="DQ444" s="15"/>
      <c r="DR444" s="15"/>
      <c r="DS444" s="15"/>
      <c r="DT444" s="15"/>
      <c r="DU444" s="15"/>
      <c r="DV444" s="15"/>
      <c r="DW444" s="15"/>
      <c r="DX444" s="15"/>
      <c r="DY444" s="15"/>
      <c r="DZ444" s="15"/>
      <c r="EA444" s="15"/>
      <c r="EB444" s="15"/>
      <c r="EC444" s="16" t="s">
        <v>197</v>
      </c>
      <c r="ED444" s="17" t="s">
        <v>198</v>
      </c>
      <c r="EE444" s="18">
        <v>45719.48699074074</v>
      </c>
      <c r="EF444" s="13" t="s">
        <v>209</v>
      </c>
      <c r="EG444" s="14" t="s">
        <v>179</v>
      </c>
      <c r="EH444" s="14" t="s">
        <v>11211</v>
      </c>
      <c r="EI444" s="14" t="s">
        <v>179</v>
      </c>
      <c r="EJ444" s="14" t="s">
        <v>11211</v>
      </c>
      <c r="EK444" s="15"/>
      <c r="EL444" s="15"/>
      <c r="EM444" s="15"/>
      <c r="EN444" s="15"/>
      <c r="EO444" s="15"/>
      <c r="EP444" s="15"/>
      <c r="EQ444" s="15"/>
      <c r="ER444" s="15"/>
      <c r="ES444" s="15"/>
      <c r="ET444" s="15"/>
      <c r="EU444" s="15"/>
      <c r="EV444" s="15"/>
      <c r="EW444" s="15"/>
      <c r="EX444" s="15"/>
      <c r="EY444" s="15"/>
      <c r="EZ444" s="15"/>
      <c r="FA444" s="15"/>
      <c r="FB444" s="15"/>
      <c r="FC444" s="16" t="s">
        <v>197</v>
      </c>
      <c r="FD444" s="17" t="s">
        <v>198</v>
      </c>
      <c r="FE444" s="18">
        <v>45723.28295138889</v>
      </c>
      <c r="FF444" s="19"/>
      <c r="FG444" s="19"/>
      <c r="FH444" s="21" t="s">
        <v>197</v>
      </c>
      <c r="FI444" s="17" t="s">
        <v>214</v>
      </c>
      <c r="FJ444" s="18">
        <v>45723.28295138889</v>
      </c>
      <c r="FK444" s="14" t="s">
        <v>11211</v>
      </c>
      <c r="FL444" s="14" t="s">
        <v>11212</v>
      </c>
      <c r="FM444" s="14" t="s">
        <v>11213</v>
      </c>
      <c r="FN444" s="19"/>
      <c r="FO444" s="19"/>
      <c r="FP444" s="19" t="str">
        <f t="shared" si="1"/>
        <v>Base de Dados_Images/LIT20106.Imagem do Equipamento-.192839.jpg</v>
      </c>
      <c r="FQ444" s="14"/>
      <c r="FR444" s="14"/>
    </row>
    <row r="445" ht="15.75" customHeight="1">
      <c r="A445" s="12" t="s">
        <v>292</v>
      </c>
      <c r="B445" s="12" t="s">
        <v>493</v>
      </c>
      <c r="C445" s="24" t="s">
        <v>375</v>
      </c>
      <c r="D445" s="22" t="s">
        <v>11214</v>
      </c>
      <c r="E445" s="22" t="s">
        <v>11215</v>
      </c>
      <c r="F445" s="13" t="s">
        <v>178</v>
      </c>
      <c r="G445" s="14" t="s">
        <v>179</v>
      </c>
      <c r="H445" s="14" t="s">
        <v>11216</v>
      </c>
      <c r="I445" s="14" t="s">
        <v>179</v>
      </c>
      <c r="J445" s="14" t="s">
        <v>11217</v>
      </c>
      <c r="K445" s="14" t="s">
        <v>179</v>
      </c>
      <c r="L445" s="14" t="s">
        <v>11218</v>
      </c>
      <c r="M445" s="14" t="s">
        <v>179</v>
      </c>
      <c r="N445" s="14" t="s">
        <v>11218</v>
      </c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6" t="s">
        <v>197</v>
      </c>
      <c r="BP445" s="17" t="s">
        <v>198</v>
      </c>
      <c r="BQ445" s="18">
        <v>45692.37609953704</v>
      </c>
      <c r="BR445" s="17" t="s">
        <v>198</v>
      </c>
      <c r="BS445" s="18">
        <v>45692.376122685186</v>
      </c>
      <c r="BT445" s="17" t="s">
        <v>198</v>
      </c>
      <c r="BU445" s="18">
        <v>45692.376122685186</v>
      </c>
      <c r="BV445" s="13" t="s">
        <v>199</v>
      </c>
      <c r="BW445" s="14" t="s">
        <v>179</v>
      </c>
      <c r="BX445" s="14" t="s">
        <v>11219</v>
      </c>
      <c r="BY445" s="14" t="s">
        <v>179</v>
      </c>
      <c r="BZ445" s="14" t="s">
        <v>11220</v>
      </c>
      <c r="CA445" s="14" t="s">
        <v>179</v>
      </c>
      <c r="CB445" s="14" t="s">
        <v>11221</v>
      </c>
      <c r="CC445" s="15"/>
      <c r="CD445" s="15"/>
      <c r="CE445" s="15"/>
      <c r="CF445" s="15"/>
      <c r="CG445" s="19"/>
      <c r="CH445" s="15"/>
      <c r="CI445" s="19"/>
      <c r="CJ445" s="15"/>
      <c r="CK445" s="19"/>
      <c r="CL445" s="15"/>
      <c r="CM445" s="19"/>
      <c r="CN445" s="15"/>
      <c r="CO445" s="19"/>
      <c r="CP445" s="15"/>
      <c r="CQ445" s="15"/>
      <c r="CR445" s="15"/>
      <c r="CS445" s="19"/>
      <c r="CT445" s="15"/>
      <c r="CU445" s="19"/>
      <c r="CV445" s="15"/>
      <c r="CW445" s="19"/>
      <c r="CX445" s="15"/>
      <c r="CY445" s="19"/>
      <c r="CZ445" s="15"/>
      <c r="DA445" s="16" t="s">
        <v>197</v>
      </c>
      <c r="DB445" s="17" t="s">
        <v>228</v>
      </c>
      <c r="DC445" s="16"/>
      <c r="DD445" s="17" t="s">
        <v>198</v>
      </c>
      <c r="DE445" s="18">
        <v>45692.406747685185</v>
      </c>
      <c r="DF445" s="17" t="s">
        <v>198</v>
      </c>
      <c r="DG445" s="18">
        <v>45692.406747685185</v>
      </c>
      <c r="DH445" s="13" t="s">
        <v>205</v>
      </c>
      <c r="DI445" s="14" t="s">
        <v>179</v>
      </c>
      <c r="DJ445" s="14" t="s">
        <v>11222</v>
      </c>
      <c r="DK445" s="14" t="s">
        <v>179</v>
      </c>
      <c r="DL445" s="14" t="s">
        <v>11223</v>
      </c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6" t="s">
        <v>197</v>
      </c>
      <c r="ED445" s="17" t="s">
        <v>198</v>
      </c>
      <c r="EE445" s="18">
        <v>45719.515185185184</v>
      </c>
      <c r="EF445" s="13" t="s">
        <v>209</v>
      </c>
      <c r="EG445" s="14" t="s">
        <v>179</v>
      </c>
      <c r="EH445" s="14" t="s">
        <v>11224</v>
      </c>
      <c r="EI445" s="14" t="s">
        <v>179</v>
      </c>
      <c r="EJ445" s="14" t="s">
        <v>11224</v>
      </c>
      <c r="EK445" s="15"/>
      <c r="EL445" s="15"/>
      <c r="EM445" s="15"/>
      <c r="EN445" s="15"/>
      <c r="EO445" s="15"/>
      <c r="EP445" s="15"/>
      <c r="EQ445" s="15"/>
      <c r="ER445" s="15"/>
      <c r="ES445" s="15"/>
      <c r="ET445" s="15"/>
      <c r="EU445" s="15"/>
      <c r="EV445" s="15"/>
      <c r="EW445" s="15"/>
      <c r="EX445" s="15"/>
      <c r="EY445" s="15"/>
      <c r="EZ445" s="15"/>
      <c r="FA445" s="15"/>
      <c r="FB445" s="15"/>
      <c r="FC445" s="16" t="s">
        <v>197</v>
      </c>
      <c r="FD445" s="17" t="s">
        <v>198</v>
      </c>
      <c r="FE445" s="18">
        <v>45723.29693287037</v>
      </c>
      <c r="FF445" s="19"/>
      <c r="FG445" s="19"/>
      <c r="FH445" s="21" t="s">
        <v>197</v>
      </c>
      <c r="FI445" s="17" t="s">
        <v>214</v>
      </c>
      <c r="FJ445" s="18">
        <v>45723.29693287037</v>
      </c>
      <c r="FK445" s="14" t="s">
        <v>11224</v>
      </c>
      <c r="FL445" s="14" t="s">
        <v>11225</v>
      </c>
      <c r="FM445" s="14" t="s">
        <v>11226</v>
      </c>
      <c r="FN445" s="19"/>
      <c r="FO445" s="19"/>
      <c r="FP445" s="19" t="str">
        <f t="shared" si="1"/>
        <v>Base de Dados_Images/LIT30020.Imagem do Equipamento-.122428.jpg</v>
      </c>
      <c r="FQ445" s="19"/>
      <c r="FR445" s="19"/>
    </row>
    <row r="446" ht="15.75" customHeight="1">
      <c r="A446" s="12" t="s">
        <v>292</v>
      </c>
      <c r="B446" s="12" t="s">
        <v>1877</v>
      </c>
      <c r="C446" s="24" t="s">
        <v>375</v>
      </c>
      <c r="D446" s="22" t="s">
        <v>11227</v>
      </c>
      <c r="E446" s="22" t="s">
        <v>11228</v>
      </c>
      <c r="F446" s="13" t="s">
        <v>178</v>
      </c>
      <c r="G446" s="14" t="s">
        <v>179</v>
      </c>
      <c r="H446" s="14" t="s">
        <v>11229</v>
      </c>
      <c r="I446" s="14" t="s">
        <v>179</v>
      </c>
      <c r="J446" s="14" t="s">
        <v>11230</v>
      </c>
      <c r="K446" s="14" t="s">
        <v>179</v>
      </c>
      <c r="L446" s="14" t="s">
        <v>11231</v>
      </c>
      <c r="M446" s="14" t="s">
        <v>179</v>
      </c>
      <c r="N446" s="14" t="s">
        <v>11232</v>
      </c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6" t="s">
        <v>197</v>
      </c>
      <c r="BP446" s="17" t="s">
        <v>198</v>
      </c>
      <c r="BQ446" s="18">
        <v>45684.619675925926</v>
      </c>
      <c r="BR446" s="17" t="s">
        <v>198</v>
      </c>
      <c r="BS446" s="18">
        <v>45684.619722222225</v>
      </c>
      <c r="BT446" s="17" t="s">
        <v>198</v>
      </c>
      <c r="BU446" s="18">
        <v>45684.619722222225</v>
      </c>
      <c r="BV446" s="13" t="s">
        <v>199</v>
      </c>
      <c r="BW446" s="14" t="s">
        <v>179</v>
      </c>
      <c r="BX446" s="14" t="s">
        <v>11233</v>
      </c>
      <c r="BY446" s="14" t="s">
        <v>179</v>
      </c>
      <c r="BZ446" s="14" t="s">
        <v>11234</v>
      </c>
      <c r="CA446" s="14" t="s">
        <v>179</v>
      </c>
      <c r="CB446" s="14" t="s">
        <v>11235</v>
      </c>
      <c r="CC446" s="15"/>
      <c r="CD446" s="15"/>
      <c r="CE446" s="15"/>
      <c r="CF446" s="15"/>
      <c r="CG446" s="19"/>
      <c r="CH446" s="15"/>
      <c r="CI446" s="19"/>
      <c r="CJ446" s="15"/>
      <c r="CK446" s="19"/>
      <c r="CL446" s="15"/>
      <c r="CM446" s="19"/>
      <c r="CN446" s="15"/>
      <c r="CO446" s="19"/>
      <c r="CP446" s="15"/>
      <c r="CQ446" s="15"/>
      <c r="CR446" s="15"/>
      <c r="CS446" s="19"/>
      <c r="CT446" s="15"/>
      <c r="CU446" s="19"/>
      <c r="CV446" s="15"/>
      <c r="CW446" s="19"/>
      <c r="CX446" s="15"/>
      <c r="CY446" s="19"/>
      <c r="CZ446" s="15"/>
      <c r="DA446" s="16" t="s">
        <v>197</v>
      </c>
      <c r="DB446" s="17" t="s">
        <v>228</v>
      </c>
      <c r="DC446" s="16"/>
      <c r="DD446" s="17" t="s">
        <v>198</v>
      </c>
      <c r="DE446" s="18">
        <v>45719.444699074076</v>
      </c>
      <c r="DF446" s="17" t="s">
        <v>198</v>
      </c>
      <c r="DG446" s="18">
        <v>45719.444699074076</v>
      </c>
      <c r="DH446" s="13" t="s">
        <v>205</v>
      </c>
      <c r="DI446" s="14" t="s">
        <v>179</v>
      </c>
      <c r="DJ446" s="14" t="s">
        <v>11236</v>
      </c>
      <c r="DK446" s="14" t="s">
        <v>179</v>
      </c>
      <c r="DL446" s="14" t="s">
        <v>11237</v>
      </c>
      <c r="DM446" s="15"/>
      <c r="DN446" s="15"/>
      <c r="DO446" s="15"/>
      <c r="DP446" s="15"/>
      <c r="DQ446" s="15"/>
      <c r="DR446" s="15"/>
      <c r="DS446" s="15"/>
      <c r="DT446" s="15"/>
      <c r="DU446" s="15"/>
      <c r="DV446" s="15"/>
      <c r="DW446" s="15"/>
      <c r="DX446" s="15"/>
      <c r="DY446" s="15"/>
      <c r="DZ446" s="15"/>
      <c r="EA446" s="15"/>
      <c r="EB446" s="15"/>
      <c r="EC446" s="16" t="s">
        <v>197</v>
      </c>
      <c r="ED446" s="17" t="s">
        <v>198</v>
      </c>
      <c r="EE446" s="18">
        <v>45719.4447337963</v>
      </c>
      <c r="EF446" s="13" t="s">
        <v>209</v>
      </c>
      <c r="EG446" s="14" t="s">
        <v>179</v>
      </c>
      <c r="EH446" s="14" t="s">
        <v>11238</v>
      </c>
      <c r="EI446" s="14" t="s">
        <v>179</v>
      </c>
      <c r="EJ446" s="14" t="s">
        <v>11238</v>
      </c>
      <c r="EK446" s="15"/>
      <c r="EL446" s="15"/>
      <c r="EM446" s="15"/>
      <c r="EN446" s="15"/>
      <c r="EO446" s="15"/>
      <c r="EP446" s="15"/>
      <c r="EQ446" s="15"/>
      <c r="ER446" s="15"/>
      <c r="ES446" s="15"/>
      <c r="ET446" s="15"/>
      <c r="EU446" s="15"/>
      <c r="EV446" s="15"/>
      <c r="EW446" s="15"/>
      <c r="EX446" s="15"/>
      <c r="EY446" s="15"/>
      <c r="EZ446" s="15"/>
      <c r="FA446" s="15"/>
      <c r="FB446" s="15"/>
      <c r="FC446" s="16" t="s">
        <v>197</v>
      </c>
      <c r="FD446" s="17" t="s">
        <v>198</v>
      </c>
      <c r="FE446" s="18">
        <v>45723.304444444446</v>
      </c>
      <c r="FF446" s="19"/>
      <c r="FG446" s="19"/>
      <c r="FH446" s="21" t="s">
        <v>197</v>
      </c>
      <c r="FI446" s="17" t="s">
        <v>214</v>
      </c>
      <c r="FJ446" s="18">
        <v>45723.304444444446</v>
      </c>
      <c r="FK446" s="14" t="s">
        <v>11238</v>
      </c>
      <c r="FL446" s="14" t="s">
        <v>11239</v>
      </c>
      <c r="FM446" s="14" t="s">
        <v>11240</v>
      </c>
      <c r="FN446" s="19"/>
      <c r="FO446" s="19"/>
      <c r="FP446" s="19" t="str">
        <f t="shared" si="1"/>
        <v>Base de Dados_Images/LIT30027.Imagem do Equipamento-.175923.jpg</v>
      </c>
      <c r="FQ446" s="19"/>
      <c r="FR446" s="19"/>
    </row>
    <row r="447" ht="15.75" customHeight="1">
      <c r="A447" s="12" t="s">
        <v>292</v>
      </c>
      <c r="B447" s="12" t="s">
        <v>293</v>
      </c>
      <c r="C447" s="24" t="s">
        <v>375</v>
      </c>
      <c r="D447" s="22" t="s">
        <v>11241</v>
      </c>
      <c r="E447" s="22" t="s">
        <v>11242</v>
      </c>
      <c r="F447" s="13" t="s">
        <v>178</v>
      </c>
      <c r="G447" s="14" t="s">
        <v>179</v>
      </c>
      <c r="H447" s="14" t="s">
        <v>11243</v>
      </c>
      <c r="I447" s="14" t="s">
        <v>179</v>
      </c>
      <c r="J447" s="14" t="s">
        <v>11244</v>
      </c>
      <c r="K447" s="14" t="s">
        <v>179</v>
      </c>
      <c r="L447" s="14" t="s">
        <v>11245</v>
      </c>
      <c r="M447" s="14" t="s">
        <v>179</v>
      </c>
      <c r="N447" s="14" t="s">
        <v>11246</v>
      </c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6" t="s">
        <v>197</v>
      </c>
      <c r="BP447" s="17" t="s">
        <v>198</v>
      </c>
      <c r="BQ447" s="18">
        <v>45685.445601851854</v>
      </c>
      <c r="BR447" s="17" t="s">
        <v>198</v>
      </c>
      <c r="BS447" s="18">
        <v>45687.48032407407</v>
      </c>
      <c r="BT447" s="17" t="s">
        <v>198</v>
      </c>
      <c r="BU447" s="18">
        <v>45687.48032407407</v>
      </c>
      <c r="BV447" s="13" t="s">
        <v>199</v>
      </c>
      <c r="BW447" s="14" t="s">
        <v>179</v>
      </c>
      <c r="BX447" s="14" t="s">
        <v>11247</v>
      </c>
      <c r="BY447" s="14" t="s">
        <v>179</v>
      </c>
      <c r="BZ447" s="14" t="s">
        <v>11247</v>
      </c>
      <c r="CA447" s="14" t="s">
        <v>179</v>
      </c>
      <c r="CB447" s="14" t="s">
        <v>11248</v>
      </c>
      <c r="CC447" s="15"/>
      <c r="CD447" s="15"/>
      <c r="CE447" s="15"/>
      <c r="CF447" s="15"/>
      <c r="CG447" s="19"/>
      <c r="CH447" s="15"/>
      <c r="CI447" s="19"/>
      <c r="CJ447" s="15"/>
      <c r="CK447" s="19"/>
      <c r="CL447" s="15"/>
      <c r="CM447" s="19"/>
      <c r="CN447" s="15"/>
      <c r="CO447" s="19"/>
      <c r="CP447" s="15"/>
      <c r="CQ447" s="15"/>
      <c r="CR447" s="15"/>
      <c r="CS447" s="19"/>
      <c r="CT447" s="15"/>
      <c r="CU447" s="19"/>
      <c r="CV447" s="15"/>
      <c r="CW447" s="19"/>
      <c r="CX447" s="15"/>
      <c r="CY447" s="19"/>
      <c r="CZ447" s="15"/>
      <c r="DA447" s="16" t="s">
        <v>197</v>
      </c>
      <c r="DB447" s="17" t="s">
        <v>228</v>
      </c>
      <c r="DC447" s="16"/>
      <c r="DD447" s="17" t="s">
        <v>198</v>
      </c>
      <c r="DE447" s="18">
        <v>45695.63914351852</v>
      </c>
      <c r="DF447" s="17" t="s">
        <v>198</v>
      </c>
      <c r="DG447" s="18">
        <v>45695.63914351852</v>
      </c>
      <c r="DH447" s="13" t="s">
        <v>205</v>
      </c>
      <c r="DI447" s="14" t="s">
        <v>179</v>
      </c>
      <c r="DJ447" s="14" t="s">
        <v>11249</v>
      </c>
      <c r="DK447" s="14" t="s">
        <v>179</v>
      </c>
      <c r="DL447" s="14" t="s">
        <v>11250</v>
      </c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6" t="s">
        <v>197</v>
      </c>
      <c r="ED447" s="17" t="s">
        <v>198</v>
      </c>
      <c r="EE447" s="18">
        <v>45719.517546296294</v>
      </c>
      <c r="EF447" s="13" t="s">
        <v>209</v>
      </c>
      <c r="EG447" s="14" t="s">
        <v>179</v>
      </c>
      <c r="EH447" s="14" t="s">
        <v>11251</v>
      </c>
      <c r="EI447" s="14" t="s">
        <v>179</v>
      </c>
      <c r="EJ447" s="14" t="s">
        <v>11251</v>
      </c>
      <c r="EK447" s="15"/>
      <c r="EL447" s="15"/>
      <c r="EM447" s="15"/>
      <c r="EN447" s="15"/>
      <c r="EO447" s="15"/>
      <c r="EP447" s="15"/>
      <c r="EQ447" s="15"/>
      <c r="ER447" s="15"/>
      <c r="ES447" s="15"/>
      <c r="ET447" s="15"/>
      <c r="EU447" s="15"/>
      <c r="EV447" s="15"/>
      <c r="EW447" s="15"/>
      <c r="EX447" s="15"/>
      <c r="EY447" s="15"/>
      <c r="EZ447" s="15"/>
      <c r="FA447" s="15"/>
      <c r="FB447" s="15"/>
      <c r="FC447" s="16" t="s">
        <v>197</v>
      </c>
      <c r="FD447" s="17" t="s">
        <v>198</v>
      </c>
      <c r="FE447" s="18">
        <v>45723.30584490741</v>
      </c>
      <c r="FF447" s="19"/>
      <c r="FG447" s="19"/>
      <c r="FH447" s="21" t="s">
        <v>197</v>
      </c>
      <c r="FI447" s="17" t="s">
        <v>214</v>
      </c>
      <c r="FJ447" s="18">
        <v>45723.30584490741</v>
      </c>
      <c r="FK447" s="14" t="s">
        <v>11251</v>
      </c>
      <c r="FL447" s="14" t="s">
        <v>11252</v>
      </c>
      <c r="FM447" s="14" t="s">
        <v>11253</v>
      </c>
      <c r="FN447" s="19"/>
      <c r="FO447" s="19"/>
      <c r="FP447" s="19" t="str">
        <f t="shared" si="1"/>
        <v>Base de Dados_Images/LIT30028.Imagem do Equipamento-.122456.jpg</v>
      </c>
      <c r="FQ447" s="19"/>
      <c r="FR447" s="19"/>
    </row>
    <row r="448" ht="15.75" customHeight="1">
      <c r="A448" s="12" t="s">
        <v>292</v>
      </c>
      <c r="B448" s="12" t="s">
        <v>10753</v>
      </c>
      <c r="C448" s="24" t="s">
        <v>375</v>
      </c>
      <c r="D448" s="22" t="s">
        <v>11254</v>
      </c>
      <c r="E448" s="22" t="s">
        <v>11255</v>
      </c>
      <c r="F448" s="13" t="s">
        <v>178</v>
      </c>
      <c r="G448" s="14" t="s">
        <v>179</v>
      </c>
      <c r="H448" s="14" t="s">
        <v>11256</v>
      </c>
      <c r="I448" s="14" t="s">
        <v>179</v>
      </c>
      <c r="J448" s="14" t="s">
        <v>11257</v>
      </c>
      <c r="K448" s="14" t="s">
        <v>179</v>
      </c>
      <c r="L448" s="14" t="s">
        <v>11257</v>
      </c>
      <c r="M448" s="14" t="s">
        <v>179</v>
      </c>
      <c r="N448" s="14" t="s">
        <v>11258</v>
      </c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6" t="s">
        <v>197</v>
      </c>
      <c r="BP448" s="17" t="s">
        <v>198</v>
      </c>
      <c r="BQ448" s="18">
        <v>45695.63935185185</v>
      </c>
      <c r="BR448" s="17" t="s">
        <v>198</v>
      </c>
      <c r="BS448" s="18">
        <v>45695.639398148145</v>
      </c>
      <c r="BT448" s="17" t="s">
        <v>198</v>
      </c>
      <c r="BU448" s="18">
        <v>45695.639398148145</v>
      </c>
      <c r="BV448" s="13" t="s">
        <v>199</v>
      </c>
      <c r="BW448" s="14" t="s">
        <v>179</v>
      </c>
      <c r="BX448" s="14" t="s">
        <v>11259</v>
      </c>
      <c r="BY448" s="14" t="s">
        <v>179</v>
      </c>
      <c r="BZ448" s="14" t="s">
        <v>11260</v>
      </c>
      <c r="CA448" s="14" t="s">
        <v>179</v>
      </c>
      <c r="CB448" s="14" t="s">
        <v>11260</v>
      </c>
      <c r="CC448" s="15"/>
      <c r="CD448" s="15"/>
      <c r="CE448" s="15"/>
      <c r="CF448" s="15"/>
      <c r="CG448" s="19"/>
      <c r="CH448" s="15"/>
      <c r="CI448" s="19"/>
      <c r="CJ448" s="15"/>
      <c r="CK448" s="19"/>
      <c r="CL448" s="15"/>
      <c r="CM448" s="19"/>
      <c r="CN448" s="15"/>
      <c r="CO448" s="19"/>
      <c r="CP448" s="15"/>
      <c r="CQ448" s="15"/>
      <c r="CR448" s="15"/>
      <c r="CS448" s="19"/>
      <c r="CT448" s="15"/>
      <c r="CU448" s="19"/>
      <c r="CV448" s="15"/>
      <c r="CW448" s="19"/>
      <c r="CX448" s="15"/>
      <c r="CY448" s="19"/>
      <c r="CZ448" s="15"/>
      <c r="DA448" s="16" t="s">
        <v>197</v>
      </c>
      <c r="DB448" s="17" t="s">
        <v>228</v>
      </c>
      <c r="DC448" s="16"/>
      <c r="DD448" s="17" t="s">
        <v>198</v>
      </c>
      <c r="DE448" s="18">
        <v>45695.63946759259</v>
      </c>
      <c r="DF448" s="17" t="s">
        <v>198</v>
      </c>
      <c r="DG448" s="18">
        <v>45695.63946759259</v>
      </c>
      <c r="DH448" s="13" t="s">
        <v>205</v>
      </c>
      <c r="DI448" s="14" t="s">
        <v>179</v>
      </c>
      <c r="DJ448" s="14" t="s">
        <v>11261</v>
      </c>
      <c r="DK448" s="14" t="s">
        <v>179</v>
      </c>
      <c r="DL448" s="14" t="s">
        <v>11262</v>
      </c>
      <c r="DM448" s="15"/>
      <c r="DN448" s="15"/>
      <c r="DO448" s="15"/>
      <c r="DP448" s="15"/>
      <c r="DQ448" s="15"/>
      <c r="DR448" s="15"/>
      <c r="DS448" s="15"/>
      <c r="DT448" s="15"/>
      <c r="DU448" s="15"/>
      <c r="DV448" s="15"/>
      <c r="DW448" s="15"/>
      <c r="DX448" s="15"/>
      <c r="DY448" s="15"/>
      <c r="DZ448" s="15"/>
      <c r="EA448" s="15"/>
      <c r="EB448" s="15"/>
      <c r="EC448" s="16" t="s">
        <v>197</v>
      </c>
      <c r="ED448" s="17" t="s">
        <v>198</v>
      </c>
      <c r="EE448" s="18">
        <v>45719.51598379629</v>
      </c>
      <c r="EF448" s="13" t="s">
        <v>209</v>
      </c>
      <c r="EG448" s="14" t="s">
        <v>179</v>
      </c>
      <c r="EH448" s="14" t="s">
        <v>11263</v>
      </c>
      <c r="EI448" s="14" t="s">
        <v>179</v>
      </c>
      <c r="EJ448" s="14" t="s">
        <v>11263</v>
      </c>
      <c r="EK448" s="15"/>
      <c r="EL448" s="15"/>
      <c r="EM448" s="15"/>
      <c r="EN448" s="15"/>
      <c r="EO448" s="15"/>
      <c r="EP448" s="15"/>
      <c r="EQ448" s="15"/>
      <c r="ER448" s="15"/>
      <c r="ES448" s="15"/>
      <c r="ET448" s="15"/>
      <c r="EU448" s="15"/>
      <c r="EV448" s="15"/>
      <c r="EW448" s="15"/>
      <c r="EX448" s="15"/>
      <c r="EY448" s="15"/>
      <c r="EZ448" s="15"/>
      <c r="FA448" s="15"/>
      <c r="FB448" s="15"/>
      <c r="FC448" s="16" t="s">
        <v>197</v>
      </c>
      <c r="FD448" s="17" t="s">
        <v>198</v>
      </c>
      <c r="FE448" s="18">
        <v>45723.29721064815</v>
      </c>
      <c r="FF448" s="19"/>
      <c r="FG448" s="19"/>
      <c r="FH448" s="21" t="s">
        <v>197</v>
      </c>
      <c r="FI448" s="17" t="s">
        <v>214</v>
      </c>
      <c r="FJ448" s="18">
        <v>45723.29721064815</v>
      </c>
      <c r="FK448" s="14" t="s">
        <v>11263</v>
      </c>
      <c r="FL448" s="19"/>
      <c r="FM448" s="19"/>
      <c r="FN448" s="19"/>
      <c r="FO448" s="19"/>
      <c r="FP448" s="19" t="str">
        <f t="shared" si="1"/>
        <v/>
      </c>
      <c r="FQ448" s="14" t="s">
        <v>215</v>
      </c>
      <c r="FR448" s="14" t="s">
        <v>11264</v>
      </c>
    </row>
    <row r="449" ht="15.75" customHeight="1">
      <c r="A449" s="12" t="s">
        <v>292</v>
      </c>
      <c r="B449" s="12" t="s">
        <v>1452</v>
      </c>
      <c r="C449" s="24" t="s">
        <v>375</v>
      </c>
      <c r="D449" s="22" t="s">
        <v>11265</v>
      </c>
      <c r="E449" s="22" t="s">
        <v>11266</v>
      </c>
      <c r="F449" s="13" t="s">
        <v>178</v>
      </c>
      <c r="G449" s="14" t="s">
        <v>179</v>
      </c>
      <c r="H449" s="14" t="s">
        <v>11267</v>
      </c>
      <c r="I449" s="14" t="s">
        <v>179</v>
      </c>
      <c r="J449" s="14" t="s">
        <v>11268</v>
      </c>
      <c r="K449" s="14" t="s">
        <v>179</v>
      </c>
      <c r="L449" s="14" t="s">
        <v>11269</v>
      </c>
      <c r="M449" s="14" t="s">
        <v>179</v>
      </c>
      <c r="N449" s="14" t="s">
        <v>11270</v>
      </c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6" t="s">
        <v>197</v>
      </c>
      <c r="BP449" s="17" t="s">
        <v>198</v>
      </c>
      <c r="BQ449" s="18">
        <v>45692.64295138889</v>
      </c>
      <c r="BR449" s="17" t="s">
        <v>198</v>
      </c>
      <c r="BS449" s="18">
        <v>45692.643009259256</v>
      </c>
      <c r="BT449" s="17" t="s">
        <v>198</v>
      </c>
      <c r="BU449" s="18">
        <v>45692.643009259256</v>
      </c>
      <c r="BV449" s="13" t="s">
        <v>199</v>
      </c>
      <c r="BW449" s="14" t="s">
        <v>179</v>
      </c>
      <c r="BX449" s="14" t="s">
        <v>11271</v>
      </c>
      <c r="BY449" s="14" t="s">
        <v>179</v>
      </c>
      <c r="BZ449" s="14" t="s">
        <v>11271</v>
      </c>
      <c r="CA449" s="14" t="s">
        <v>179</v>
      </c>
      <c r="CB449" s="14" t="s">
        <v>11272</v>
      </c>
      <c r="CC449" s="15"/>
      <c r="CD449" s="15"/>
      <c r="CE449" s="15"/>
      <c r="CF449" s="15"/>
      <c r="CG449" s="19"/>
      <c r="CH449" s="15"/>
      <c r="CI449" s="19"/>
      <c r="CJ449" s="15"/>
      <c r="CK449" s="19"/>
      <c r="CL449" s="15"/>
      <c r="CM449" s="19"/>
      <c r="CN449" s="15"/>
      <c r="CO449" s="19"/>
      <c r="CP449" s="15"/>
      <c r="CQ449" s="15"/>
      <c r="CR449" s="15"/>
      <c r="CS449" s="19"/>
      <c r="CT449" s="15"/>
      <c r="CU449" s="19"/>
      <c r="CV449" s="15"/>
      <c r="CW449" s="19"/>
      <c r="CX449" s="15"/>
      <c r="CY449" s="19"/>
      <c r="CZ449" s="15"/>
      <c r="DA449" s="16" t="s">
        <v>197</v>
      </c>
      <c r="DB449" s="17" t="s">
        <v>228</v>
      </c>
      <c r="DC449" s="16"/>
      <c r="DD449" s="17" t="s">
        <v>198</v>
      </c>
      <c r="DE449" s="18">
        <v>45695.64026620371</v>
      </c>
      <c r="DF449" s="17" t="s">
        <v>198</v>
      </c>
      <c r="DG449" s="18">
        <v>45695.64026620371</v>
      </c>
      <c r="DH449" s="13" t="s">
        <v>205</v>
      </c>
      <c r="DI449" s="14" t="s">
        <v>179</v>
      </c>
      <c r="DJ449" s="14" t="s">
        <v>11273</v>
      </c>
      <c r="DK449" s="14" t="s">
        <v>179</v>
      </c>
      <c r="DL449" s="14" t="s">
        <v>11273</v>
      </c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6" t="s">
        <v>197</v>
      </c>
      <c r="ED449" s="17" t="s">
        <v>198</v>
      </c>
      <c r="EE449" s="18">
        <v>45719.513333333336</v>
      </c>
      <c r="EF449" s="13" t="s">
        <v>209</v>
      </c>
      <c r="EG449" s="14" t="s">
        <v>179</v>
      </c>
      <c r="EH449" s="14" t="s">
        <v>11274</v>
      </c>
      <c r="EI449" s="14" t="s">
        <v>179</v>
      </c>
      <c r="EJ449" s="14" t="s">
        <v>11275</v>
      </c>
      <c r="EK449" s="15"/>
      <c r="EL449" s="15"/>
      <c r="EM449" s="15"/>
      <c r="EN449" s="15"/>
      <c r="EO449" s="15"/>
      <c r="EP449" s="15"/>
      <c r="EQ449" s="15"/>
      <c r="ER449" s="15"/>
      <c r="ES449" s="15"/>
      <c r="ET449" s="15"/>
      <c r="EU449" s="15"/>
      <c r="EV449" s="15"/>
      <c r="EW449" s="15"/>
      <c r="EX449" s="15"/>
      <c r="EY449" s="15"/>
      <c r="EZ449" s="15"/>
      <c r="FA449" s="15"/>
      <c r="FB449" s="15"/>
      <c r="FC449" s="16" t="s">
        <v>197</v>
      </c>
      <c r="FD449" s="17" t="s">
        <v>198</v>
      </c>
      <c r="FE449" s="18">
        <v>45723.29649305555</v>
      </c>
      <c r="FF449" s="19"/>
      <c r="FG449" s="19"/>
      <c r="FH449" s="21" t="s">
        <v>197</v>
      </c>
      <c r="FI449" s="17" t="s">
        <v>214</v>
      </c>
      <c r="FJ449" s="18">
        <v>45723.29649305555</v>
      </c>
      <c r="FK449" s="14" t="s">
        <v>11275</v>
      </c>
      <c r="FL449" s="14" t="s">
        <v>11276</v>
      </c>
      <c r="FM449" s="14" t="s">
        <v>11277</v>
      </c>
      <c r="FN449" s="19"/>
      <c r="FO449" s="19"/>
      <c r="FP449" s="19" t="str">
        <f t="shared" si="1"/>
        <v>Base de Dados_Images/LIT30030.Imagem do Equipamento-.182649.jpg</v>
      </c>
      <c r="FQ449" s="19"/>
      <c r="FR449" s="19"/>
    </row>
    <row r="450" ht="15.75" customHeight="1">
      <c r="A450" s="12" t="s">
        <v>292</v>
      </c>
      <c r="B450" s="12" t="s">
        <v>1393</v>
      </c>
      <c r="C450" s="24" t="s">
        <v>375</v>
      </c>
      <c r="D450" s="22" t="s">
        <v>11278</v>
      </c>
      <c r="E450" s="22" t="s">
        <v>11279</v>
      </c>
      <c r="F450" s="13" t="s">
        <v>178</v>
      </c>
      <c r="G450" s="14" t="s">
        <v>179</v>
      </c>
      <c r="H450" s="14" t="s">
        <v>11280</v>
      </c>
      <c r="I450" s="14" t="s">
        <v>179</v>
      </c>
      <c r="J450" s="14" t="s">
        <v>11281</v>
      </c>
      <c r="K450" s="14" t="s">
        <v>179</v>
      </c>
      <c r="L450" s="14" t="s">
        <v>11282</v>
      </c>
      <c r="M450" s="14" t="s">
        <v>179</v>
      </c>
      <c r="N450" s="14" t="s">
        <v>11283</v>
      </c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6" t="s">
        <v>197</v>
      </c>
      <c r="BP450" s="17" t="s">
        <v>198</v>
      </c>
      <c r="BQ450" s="18">
        <v>45692.37247685185</v>
      </c>
      <c r="BR450" s="17" t="s">
        <v>198</v>
      </c>
      <c r="BS450" s="18">
        <v>45692.3725462963</v>
      </c>
      <c r="BT450" s="17" t="s">
        <v>198</v>
      </c>
      <c r="BU450" s="18">
        <v>45692.3725462963</v>
      </c>
      <c r="BV450" s="13" t="s">
        <v>199</v>
      </c>
      <c r="BW450" s="14" t="s">
        <v>179</v>
      </c>
      <c r="BX450" s="14" t="s">
        <v>11284</v>
      </c>
      <c r="BY450" s="14" t="s">
        <v>179</v>
      </c>
      <c r="BZ450" s="14" t="s">
        <v>11285</v>
      </c>
      <c r="CA450" s="14" t="s">
        <v>179</v>
      </c>
      <c r="CB450" s="14" t="s">
        <v>11286</v>
      </c>
      <c r="CC450" s="15"/>
      <c r="CD450" s="15"/>
      <c r="CE450" s="15"/>
      <c r="CF450" s="15"/>
      <c r="CG450" s="19"/>
      <c r="CH450" s="15"/>
      <c r="CI450" s="19"/>
      <c r="CJ450" s="15"/>
      <c r="CK450" s="19"/>
      <c r="CL450" s="15"/>
      <c r="CM450" s="19"/>
      <c r="CN450" s="15"/>
      <c r="CO450" s="19"/>
      <c r="CP450" s="15"/>
      <c r="CQ450" s="15"/>
      <c r="CR450" s="15"/>
      <c r="CS450" s="19"/>
      <c r="CT450" s="15"/>
      <c r="CU450" s="19"/>
      <c r="CV450" s="15"/>
      <c r="CW450" s="19"/>
      <c r="CX450" s="15"/>
      <c r="CY450" s="19"/>
      <c r="CZ450" s="15"/>
      <c r="DA450" s="16" t="s">
        <v>197</v>
      </c>
      <c r="DB450" s="17" t="s">
        <v>228</v>
      </c>
      <c r="DC450" s="16"/>
      <c r="DD450" s="17" t="s">
        <v>198</v>
      </c>
      <c r="DE450" s="18">
        <v>45702.486875</v>
      </c>
      <c r="DF450" s="17" t="s">
        <v>198</v>
      </c>
      <c r="DG450" s="18">
        <v>45702.486875</v>
      </c>
      <c r="DH450" s="13" t="s">
        <v>205</v>
      </c>
      <c r="DI450" s="14" t="s">
        <v>179</v>
      </c>
      <c r="DJ450" s="14" t="s">
        <v>11287</v>
      </c>
      <c r="DK450" s="14" t="s">
        <v>179</v>
      </c>
      <c r="DL450" s="14" t="s">
        <v>11288</v>
      </c>
      <c r="DM450" s="15"/>
      <c r="DN450" s="15"/>
      <c r="DO450" s="15"/>
      <c r="DP450" s="15"/>
      <c r="DQ450" s="15"/>
      <c r="DR450" s="15"/>
      <c r="DS450" s="15"/>
      <c r="DT450" s="15"/>
      <c r="DU450" s="15"/>
      <c r="DV450" s="15"/>
      <c r="DW450" s="15"/>
      <c r="DX450" s="15"/>
      <c r="DY450" s="15"/>
      <c r="DZ450" s="15"/>
      <c r="EA450" s="15"/>
      <c r="EB450" s="15"/>
      <c r="EC450" s="16" t="s">
        <v>197</v>
      </c>
      <c r="ED450" s="17" t="s">
        <v>198</v>
      </c>
      <c r="EE450" s="18">
        <v>45719.51712962963</v>
      </c>
      <c r="EF450" s="13" t="s">
        <v>209</v>
      </c>
      <c r="EG450" s="14" t="s">
        <v>179</v>
      </c>
      <c r="EH450" s="14" t="s">
        <v>11289</v>
      </c>
      <c r="EI450" s="14" t="s">
        <v>179</v>
      </c>
      <c r="EJ450" s="14" t="s">
        <v>11290</v>
      </c>
      <c r="EK450" s="15"/>
      <c r="EL450" s="15"/>
      <c r="EM450" s="15"/>
      <c r="EN450" s="15"/>
      <c r="EO450" s="15"/>
      <c r="EP450" s="15"/>
      <c r="EQ450" s="15"/>
      <c r="ER450" s="15"/>
      <c r="ES450" s="15"/>
      <c r="ET450" s="15"/>
      <c r="EU450" s="15"/>
      <c r="EV450" s="15"/>
      <c r="EW450" s="15"/>
      <c r="EX450" s="15"/>
      <c r="EY450" s="15"/>
      <c r="EZ450" s="15"/>
      <c r="FA450" s="15"/>
      <c r="FB450" s="15"/>
      <c r="FC450" s="16" t="s">
        <v>197</v>
      </c>
      <c r="FD450" s="17" t="s">
        <v>198</v>
      </c>
      <c r="FE450" s="18">
        <v>45722.36304398148</v>
      </c>
      <c r="FF450" s="19"/>
      <c r="FG450" s="19"/>
      <c r="FH450" s="21" t="s">
        <v>197</v>
      </c>
      <c r="FI450" s="17" t="s">
        <v>214</v>
      </c>
      <c r="FJ450" s="18">
        <v>45722.36304398148</v>
      </c>
      <c r="FK450" s="14" t="s">
        <v>11290</v>
      </c>
      <c r="FL450" s="14" t="s">
        <v>11291</v>
      </c>
      <c r="FM450" s="14" t="s">
        <v>11292</v>
      </c>
      <c r="FN450" s="19"/>
      <c r="FO450" s="19"/>
      <c r="FP450" s="19" t="str">
        <f t="shared" si="1"/>
        <v>Base de Dados_Images/LIT30049.Imagem do Equipamento-.193432.jpg</v>
      </c>
      <c r="FQ450" s="19"/>
      <c r="FR450" s="19"/>
    </row>
    <row r="451" ht="15.75" customHeight="1">
      <c r="A451" s="12" t="s">
        <v>292</v>
      </c>
      <c r="B451" s="12" t="s">
        <v>1610</v>
      </c>
      <c r="C451" s="24" t="s">
        <v>375</v>
      </c>
      <c r="D451" s="22" t="s">
        <v>11293</v>
      </c>
      <c r="E451" s="22" t="s">
        <v>11294</v>
      </c>
      <c r="F451" s="13" t="s">
        <v>178</v>
      </c>
      <c r="G451" s="14" t="s">
        <v>179</v>
      </c>
      <c r="H451" s="14" t="s">
        <v>11295</v>
      </c>
      <c r="I451" s="14" t="s">
        <v>179</v>
      </c>
      <c r="J451" s="14" t="s">
        <v>11296</v>
      </c>
      <c r="K451" s="14" t="s">
        <v>179</v>
      </c>
      <c r="L451" s="14" t="s">
        <v>11297</v>
      </c>
      <c r="M451" s="14" t="s">
        <v>179</v>
      </c>
      <c r="N451" s="14" t="s">
        <v>11298</v>
      </c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6" t="s">
        <v>197</v>
      </c>
      <c r="BP451" s="17" t="s">
        <v>198</v>
      </c>
      <c r="BQ451" s="18">
        <v>45689.46430555556</v>
      </c>
      <c r="BR451" s="17" t="s">
        <v>198</v>
      </c>
      <c r="BS451" s="18">
        <v>45689.46429398148</v>
      </c>
      <c r="BT451" s="17" t="s">
        <v>198</v>
      </c>
      <c r="BU451" s="18">
        <v>45689.46430555556</v>
      </c>
      <c r="BV451" s="13" t="s">
        <v>199</v>
      </c>
      <c r="BW451" s="14" t="s">
        <v>179</v>
      </c>
      <c r="BX451" s="14" t="s">
        <v>11299</v>
      </c>
      <c r="BY451" s="14" t="s">
        <v>179</v>
      </c>
      <c r="BZ451" s="14" t="s">
        <v>11300</v>
      </c>
      <c r="CA451" s="14" t="s">
        <v>179</v>
      </c>
      <c r="CB451" s="14" t="s">
        <v>11301</v>
      </c>
      <c r="CC451" s="15"/>
      <c r="CD451" s="15"/>
      <c r="CE451" s="15"/>
      <c r="CF451" s="15"/>
      <c r="CG451" s="19"/>
      <c r="CH451" s="15"/>
      <c r="CI451" s="19"/>
      <c r="CJ451" s="15"/>
      <c r="CK451" s="19"/>
      <c r="CL451" s="15"/>
      <c r="CM451" s="19"/>
      <c r="CN451" s="15"/>
      <c r="CO451" s="19"/>
      <c r="CP451" s="15"/>
      <c r="CQ451" s="15"/>
      <c r="CR451" s="15"/>
      <c r="CS451" s="19"/>
      <c r="CT451" s="15"/>
      <c r="CU451" s="19"/>
      <c r="CV451" s="15"/>
      <c r="CW451" s="19"/>
      <c r="CX451" s="15"/>
      <c r="CY451" s="19"/>
      <c r="CZ451" s="15"/>
      <c r="DA451" s="16" t="s">
        <v>197</v>
      </c>
      <c r="DB451" s="17" t="s">
        <v>228</v>
      </c>
      <c r="DC451" s="16"/>
      <c r="DD451" s="17" t="s">
        <v>198</v>
      </c>
      <c r="DE451" s="18">
        <v>45693.440983796296</v>
      </c>
      <c r="DF451" s="17" t="s">
        <v>198</v>
      </c>
      <c r="DG451" s="18">
        <v>45693.440983796296</v>
      </c>
      <c r="DH451" s="13" t="s">
        <v>205</v>
      </c>
      <c r="DI451" s="14" t="s">
        <v>179</v>
      </c>
      <c r="DJ451" s="14" t="s">
        <v>11302</v>
      </c>
      <c r="DK451" s="14" t="s">
        <v>179</v>
      </c>
      <c r="DL451" s="14" t="s">
        <v>11303</v>
      </c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6" t="s">
        <v>197</v>
      </c>
      <c r="ED451" s="17" t="s">
        <v>198</v>
      </c>
      <c r="EE451" s="18">
        <v>45719.51809027778</v>
      </c>
      <c r="EF451" s="13" t="s">
        <v>209</v>
      </c>
      <c r="EG451" s="14" t="s">
        <v>179</v>
      </c>
      <c r="EH451" s="14" t="s">
        <v>11304</v>
      </c>
      <c r="EI451" s="14" t="s">
        <v>179</v>
      </c>
      <c r="EJ451" s="14" t="s">
        <v>11305</v>
      </c>
      <c r="EK451" s="15"/>
      <c r="EL451" s="15"/>
      <c r="EM451" s="15"/>
      <c r="EN451" s="15"/>
      <c r="EO451" s="15"/>
      <c r="EP451" s="15"/>
      <c r="EQ451" s="15"/>
      <c r="ER451" s="15"/>
      <c r="ES451" s="15"/>
      <c r="ET451" s="15"/>
      <c r="EU451" s="15"/>
      <c r="EV451" s="15"/>
      <c r="EW451" s="15"/>
      <c r="EX451" s="15"/>
      <c r="EY451" s="15"/>
      <c r="EZ451" s="15"/>
      <c r="FA451" s="15"/>
      <c r="FB451" s="15"/>
      <c r="FC451" s="16" t="s">
        <v>197</v>
      </c>
      <c r="FD451" s="17" t="s">
        <v>198</v>
      </c>
      <c r="FE451" s="18">
        <v>45723.30638888889</v>
      </c>
      <c r="FF451" s="19"/>
      <c r="FG451" s="19"/>
      <c r="FH451" s="21" t="s">
        <v>197</v>
      </c>
      <c r="FI451" s="17" t="s">
        <v>214</v>
      </c>
      <c r="FJ451" s="18">
        <v>45723.30638888889</v>
      </c>
      <c r="FK451" s="14" t="s">
        <v>11305</v>
      </c>
      <c r="FL451" s="14" t="s">
        <v>11306</v>
      </c>
      <c r="FM451" s="14" t="s">
        <v>11307</v>
      </c>
      <c r="FN451" s="19"/>
      <c r="FO451" s="19"/>
      <c r="FP451" s="19" t="str">
        <f t="shared" si="1"/>
        <v>Base de Dados_Images/LIT30050.Imagem do Equipamento-.140836.jpg</v>
      </c>
      <c r="FQ451" s="19"/>
      <c r="FR451" s="19"/>
    </row>
    <row r="452" ht="15.75" customHeight="1">
      <c r="A452" s="12" t="s">
        <v>292</v>
      </c>
      <c r="B452" s="12" t="s">
        <v>10811</v>
      </c>
      <c r="C452" s="24" t="s">
        <v>375</v>
      </c>
      <c r="D452" s="22" t="s">
        <v>11308</v>
      </c>
      <c r="E452" s="22" t="s">
        <v>11309</v>
      </c>
      <c r="F452" s="13" t="s">
        <v>178</v>
      </c>
      <c r="G452" s="14" t="s">
        <v>179</v>
      </c>
      <c r="H452" s="14" t="s">
        <v>11310</v>
      </c>
      <c r="I452" s="14" t="s">
        <v>179</v>
      </c>
      <c r="J452" s="14" t="s">
        <v>11311</v>
      </c>
      <c r="K452" s="14" t="s">
        <v>179</v>
      </c>
      <c r="L452" s="14" t="s">
        <v>11312</v>
      </c>
      <c r="M452" s="14" t="s">
        <v>179</v>
      </c>
      <c r="N452" s="14" t="s">
        <v>11313</v>
      </c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6" t="s">
        <v>197</v>
      </c>
      <c r="BP452" s="17" t="s">
        <v>198</v>
      </c>
      <c r="BQ452" s="18">
        <v>45687.491631944446</v>
      </c>
      <c r="BR452" s="17" t="s">
        <v>198</v>
      </c>
      <c r="BS452" s="18">
        <v>45687.4916087963</v>
      </c>
      <c r="BT452" s="17" t="s">
        <v>198</v>
      </c>
      <c r="BU452" s="18">
        <v>45687.491631944446</v>
      </c>
      <c r="BV452" s="13" t="s">
        <v>199</v>
      </c>
      <c r="BW452" s="14" t="s">
        <v>179</v>
      </c>
      <c r="BX452" s="14" t="s">
        <v>11314</v>
      </c>
      <c r="BY452" s="14" t="s">
        <v>179</v>
      </c>
      <c r="BZ452" s="14" t="s">
        <v>11314</v>
      </c>
      <c r="CA452" s="14" t="s">
        <v>179</v>
      </c>
      <c r="CB452" s="14" t="s">
        <v>11315</v>
      </c>
      <c r="CC452" s="15"/>
      <c r="CD452" s="15"/>
      <c r="CE452" s="15"/>
      <c r="CF452" s="15"/>
      <c r="CG452" s="19"/>
      <c r="CH452" s="15"/>
      <c r="CI452" s="19"/>
      <c r="CJ452" s="15"/>
      <c r="CK452" s="19"/>
      <c r="CL452" s="15"/>
      <c r="CM452" s="19"/>
      <c r="CN452" s="15"/>
      <c r="CO452" s="19"/>
      <c r="CP452" s="15"/>
      <c r="CQ452" s="15"/>
      <c r="CR452" s="15"/>
      <c r="CS452" s="19"/>
      <c r="CT452" s="15"/>
      <c r="CU452" s="19"/>
      <c r="CV452" s="15"/>
      <c r="CW452" s="19"/>
      <c r="CX452" s="15"/>
      <c r="CY452" s="19"/>
      <c r="CZ452" s="15"/>
      <c r="DA452" s="16" t="s">
        <v>197</v>
      </c>
      <c r="DB452" s="17" t="s">
        <v>228</v>
      </c>
      <c r="DC452" s="16"/>
      <c r="DD452" s="17" t="s">
        <v>198</v>
      </c>
      <c r="DE452" s="18">
        <v>45702.48767361111</v>
      </c>
      <c r="DF452" s="17" t="s">
        <v>198</v>
      </c>
      <c r="DG452" s="18">
        <v>45702.48767361111</v>
      </c>
      <c r="DH452" s="13" t="s">
        <v>205</v>
      </c>
      <c r="DI452" s="14" t="s">
        <v>179</v>
      </c>
      <c r="DJ452" s="14" t="s">
        <v>11316</v>
      </c>
      <c r="DK452" s="14" t="s">
        <v>179</v>
      </c>
      <c r="DL452" s="14" t="s">
        <v>11317</v>
      </c>
      <c r="DM452" s="15"/>
      <c r="DN452" s="15"/>
      <c r="DO452" s="15"/>
      <c r="DP452" s="15"/>
      <c r="DQ452" s="15"/>
      <c r="DR452" s="15"/>
      <c r="DS452" s="15"/>
      <c r="DT452" s="15"/>
      <c r="DU452" s="15"/>
      <c r="DV452" s="15"/>
      <c r="DW452" s="15"/>
      <c r="DX452" s="15"/>
      <c r="DY452" s="15"/>
      <c r="DZ452" s="15"/>
      <c r="EA452" s="15"/>
      <c r="EB452" s="15"/>
      <c r="EC452" s="16" t="s">
        <v>197</v>
      </c>
      <c r="ED452" s="17" t="s">
        <v>198</v>
      </c>
      <c r="EE452" s="18">
        <v>45719.47282407407</v>
      </c>
      <c r="EF452" s="13" t="s">
        <v>209</v>
      </c>
      <c r="EG452" s="14" t="s">
        <v>179</v>
      </c>
      <c r="EH452" s="14" t="s">
        <v>11318</v>
      </c>
      <c r="EI452" s="14" t="s">
        <v>179</v>
      </c>
      <c r="EJ452" s="14" t="s">
        <v>11319</v>
      </c>
      <c r="EK452" s="15"/>
      <c r="EL452" s="15"/>
      <c r="EM452" s="15"/>
      <c r="EN452" s="15"/>
      <c r="EO452" s="15"/>
      <c r="EP452" s="15"/>
      <c r="EQ452" s="15"/>
      <c r="ER452" s="15"/>
      <c r="ES452" s="15"/>
      <c r="ET452" s="15"/>
      <c r="EU452" s="15"/>
      <c r="EV452" s="15"/>
      <c r="EW452" s="15"/>
      <c r="EX452" s="15"/>
      <c r="EY452" s="15"/>
      <c r="EZ452" s="15"/>
      <c r="FA452" s="15"/>
      <c r="FB452" s="15"/>
      <c r="FC452" s="16" t="s">
        <v>197</v>
      </c>
      <c r="FD452" s="17" t="s">
        <v>198</v>
      </c>
      <c r="FE452" s="18">
        <v>45722.36041666667</v>
      </c>
      <c r="FF452" s="19"/>
      <c r="FG452" s="19"/>
      <c r="FH452" s="21" t="s">
        <v>197</v>
      </c>
      <c r="FI452" s="17" t="s">
        <v>214</v>
      </c>
      <c r="FJ452" s="18">
        <v>45722.36041666667</v>
      </c>
      <c r="FK452" s="14" t="s">
        <v>11319</v>
      </c>
      <c r="FL452" s="14" t="s">
        <v>11320</v>
      </c>
      <c r="FM452" s="14" t="s">
        <v>11321</v>
      </c>
      <c r="FN452" s="19"/>
      <c r="FO452" s="19"/>
      <c r="FP452" s="19" t="str">
        <f t="shared" si="1"/>
        <v>Base de Dados_Images/LIT35001.Imagem do Equipamento-.175912.jpg</v>
      </c>
      <c r="FQ452" s="19"/>
      <c r="FR452" s="19"/>
    </row>
    <row r="453" ht="15.75" customHeight="1">
      <c r="A453" s="12" t="s">
        <v>292</v>
      </c>
      <c r="B453" s="12" t="s">
        <v>1740</v>
      </c>
      <c r="C453" s="24" t="s">
        <v>375</v>
      </c>
      <c r="D453" s="22" t="s">
        <v>11322</v>
      </c>
      <c r="E453" s="22" t="s">
        <v>11323</v>
      </c>
      <c r="F453" s="13" t="s">
        <v>178</v>
      </c>
      <c r="G453" s="14" t="s">
        <v>179</v>
      </c>
      <c r="H453" s="14" t="s">
        <v>11324</v>
      </c>
      <c r="I453" s="14" t="s">
        <v>179</v>
      </c>
      <c r="J453" s="14" t="s">
        <v>11325</v>
      </c>
      <c r="K453" s="14" t="s">
        <v>179</v>
      </c>
      <c r="L453" s="14" t="s">
        <v>11325</v>
      </c>
      <c r="M453" s="14" t="s">
        <v>179</v>
      </c>
      <c r="N453" s="14" t="s">
        <v>11326</v>
      </c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6" t="s">
        <v>197</v>
      </c>
      <c r="BP453" s="17" t="s">
        <v>198</v>
      </c>
      <c r="BQ453" s="18">
        <v>45703.35194444445</v>
      </c>
      <c r="BR453" s="17" t="s">
        <v>198</v>
      </c>
      <c r="BS453" s="18">
        <v>45703.35197916667</v>
      </c>
      <c r="BT453" s="17" t="s">
        <v>198</v>
      </c>
      <c r="BU453" s="18">
        <v>45703.35197916667</v>
      </c>
      <c r="BV453" s="13" t="s">
        <v>199</v>
      </c>
      <c r="BW453" s="14" t="s">
        <v>179</v>
      </c>
      <c r="BX453" s="14" t="s">
        <v>11327</v>
      </c>
      <c r="BY453" s="14" t="s">
        <v>179</v>
      </c>
      <c r="BZ453" s="14" t="s">
        <v>11328</v>
      </c>
      <c r="CA453" s="14" t="s">
        <v>179</v>
      </c>
      <c r="CB453" s="14" t="s">
        <v>11329</v>
      </c>
      <c r="CC453" s="15"/>
      <c r="CD453" s="15"/>
      <c r="CE453" s="15"/>
      <c r="CF453" s="15"/>
      <c r="CG453" s="19"/>
      <c r="CH453" s="15"/>
      <c r="CI453" s="19"/>
      <c r="CJ453" s="15"/>
      <c r="CK453" s="19"/>
      <c r="CL453" s="15"/>
      <c r="CM453" s="19"/>
      <c r="CN453" s="15"/>
      <c r="CO453" s="19"/>
      <c r="CP453" s="15"/>
      <c r="CQ453" s="15"/>
      <c r="CR453" s="15"/>
      <c r="CS453" s="19"/>
      <c r="CT453" s="15"/>
      <c r="CU453" s="19"/>
      <c r="CV453" s="15"/>
      <c r="CW453" s="19"/>
      <c r="CX453" s="15"/>
      <c r="CY453" s="19"/>
      <c r="CZ453" s="15"/>
      <c r="DA453" s="16" t="s">
        <v>197</v>
      </c>
      <c r="DB453" s="17" t="s">
        <v>228</v>
      </c>
      <c r="DC453" s="16"/>
      <c r="DD453" s="17" t="s">
        <v>198</v>
      </c>
      <c r="DE453" s="18">
        <v>45719.45042824074</v>
      </c>
      <c r="DF453" s="17" t="s">
        <v>198</v>
      </c>
      <c r="DG453" s="18">
        <v>45719.45042824074</v>
      </c>
      <c r="DH453" s="13" t="s">
        <v>205</v>
      </c>
      <c r="DI453" s="14" t="s">
        <v>179</v>
      </c>
      <c r="DJ453" s="14" t="s">
        <v>11330</v>
      </c>
      <c r="DK453" s="14" t="s">
        <v>179</v>
      </c>
      <c r="DL453" s="14" t="s">
        <v>11331</v>
      </c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6" t="s">
        <v>197</v>
      </c>
      <c r="ED453" s="17" t="s">
        <v>198</v>
      </c>
      <c r="EE453" s="18">
        <v>45719.45046296297</v>
      </c>
      <c r="EF453" s="13" t="s">
        <v>209</v>
      </c>
      <c r="EG453" s="14" t="s">
        <v>179</v>
      </c>
      <c r="EH453" s="14" t="s">
        <v>11332</v>
      </c>
      <c r="EI453" s="14" t="s">
        <v>179</v>
      </c>
      <c r="EJ453" s="14" t="s">
        <v>11332</v>
      </c>
      <c r="EK453" s="15"/>
      <c r="EL453" s="15"/>
      <c r="EM453" s="15"/>
      <c r="EN453" s="15"/>
      <c r="EO453" s="15"/>
      <c r="EP453" s="15"/>
      <c r="EQ453" s="15"/>
      <c r="ER453" s="15"/>
      <c r="ES453" s="15"/>
      <c r="ET453" s="15"/>
      <c r="EU453" s="15"/>
      <c r="EV453" s="15"/>
      <c r="EW453" s="15"/>
      <c r="EX453" s="15"/>
      <c r="EY453" s="15"/>
      <c r="EZ453" s="15"/>
      <c r="FA453" s="15"/>
      <c r="FB453" s="15"/>
      <c r="FC453" s="16" t="s">
        <v>197</v>
      </c>
      <c r="FD453" s="17" t="s">
        <v>198</v>
      </c>
      <c r="FE453" s="18">
        <v>45722.36219907407</v>
      </c>
      <c r="FF453" s="19"/>
      <c r="FG453" s="19"/>
      <c r="FH453" s="21" t="s">
        <v>197</v>
      </c>
      <c r="FI453" s="17" t="s">
        <v>214</v>
      </c>
      <c r="FJ453" s="18">
        <v>45722.36219907407</v>
      </c>
      <c r="FK453" s="14" t="s">
        <v>11332</v>
      </c>
      <c r="FL453" s="14"/>
      <c r="FM453" s="14"/>
      <c r="FN453" s="19"/>
      <c r="FO453" s="19"/>
      <c r="FP453" s="19" t="str">
        <f t="shared" si="1"/>
        <v/>
      </c>
      <c r="FQ453" s="14" t="s">
        <v>215</v>
      </c>
      <c r="FR453" s="14" t="s">
        <v>11333</v>
      </c>
    </row>
    <row r="454" ht="15.75" customHeight="1">
      <c r="A454" s="12" t="s">
        <v>292</v>
      </c>
      <c r="B454" s="12" t="s">
        <v>10841</v>
      </c>
      <c r="C454" s="24" t="s">
        <v>375</v>
      </c>
      <c r="D454" s="22" t="s">
        <v>11334</v>
      </c>
      <c r="E454" s="22" t="s">
        <v>11335</v>
      </c>
      <c r="F454" s="13" t="s">
        <v>178</v>
      </c>
      <c r="G454" s="14" t="s">
        <v>179</v>
      </c>
      <c r="H454" s="14" t="s">
        <v>11336</v>
      </c>
      <c r="I454" s="14" t="s">
        <v>179</v>
      </c>
      <c r="J454" s="14" t="s">
        <v>11337</v>
      </c>
      <c r="K454" s="14" t="s">
        <v>179</v>
      </c>
      <c r="L454" s="14" t="s">
        <v>11338</v>
      </c>
      <c r="M454" s="14" t="s">
        <v>179</v>
      </c>
      <c r="N454" s="14" t="s">
        <v>11339</v>
      </c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6" t="s">
        <v>197</v>
      </c>
      <c r="BP454" s="17" t="s">
        <v>198</v>
      </c>
      <c r="BQ454" s="18">
        <v>45692.68415509259</v>
      </c>
      <c r="BR454" s="17" t="s">
        <v>198</v>
      </c>
      <c r="BS454" s="18">
        <v>45692.68414351852</v>
      </c>
      <c r="BT454" s="17" t="s">
        <v>198</v>
      </c>
      <c r="BU454" s="18">
        <v>45692.68415509259</v>
      </c>
      <c r="BV454" s="13" t="s">
        <v>199</v>
      </c>
      <c r="BW454" s="14" t="s">
        <v>179</v>
      </c>
      <c r="BX454" s="14" t="s">
        <v>11340</v>
      </c>
      <c r="BY454" s="14" t="s">
        <v>179</v>
      </c>
      <c r="BZ454" s="14" t="s">
        <v>11340</v>
      </c>
      <c r="CA454" s="14" t="s">
        <v>179</v>
      </c>
      <c r="CB454" s="14" t="s">
        <v>11341</v>
      </c>
      <c r="CC454" s="15"/>
      <c r="CD454" s="15"/>
      <c r="CE454" s="15"/>
      <c r="CF454" s="15"/>
      <c r="CG454" s="19"/>
      <c r="CH454" s="15"/>
      <c r="CI454" s="19"/>
      <c r="CJ454" s="15"/>
      <c r="CK454" s="19"/>
      <c r="CL454" s="15"/>
      <c r="CM454" s="19"/>
      <c r="CN454" s="15"/>
      <c r="CO454" s="19"/>
      <c r="CP454" s="15"/>
      <c r="CQ454" s="15"/>
      <c r="CR454" s="15"/>
      <c r="CS454" s="19"/>
      <c r="CT454" s="15"/>
      <c r="CU454" s="19"/>
      <c r="CV454" s="15"/>
      <c r="CW454" s="19"/>
      <c r="CX454" s="15"/>
      <c r="CY454" s="19"/>
      <c r="CZ454" s="15"/>
      <c r="DA454" s="16" t="s">
        <v>197</v>
      </c>
      <c r="DB454" s="17" t="s">
        <v>228</v>
      </c>
      <c r="DC454" s="16"/>
      <c r="DD454" s="17" t="s">
        <v>198</v>
      </c>
      <c r="DE454" s="18">
        <v>45719.45605324074</v>
      </c>
      <c r="DF454" s="17" t="s">
        <v>198</v>
      </c>
      <c r="DG454" s="18">
        <v>45719.45605324074</v>
      </c>
      <c r="DH454" s="13" t="s">
        <v>205</v>
      </c>
      <c r="DI454" s="14" t="s">
        <v>179</v>
      </c>
      <c r="DJ454" s="14" t="s">
        <v>11342</v>
      </c>
      <c r="DK454" s="14" t="s">
        <v>179</v>
      </c>
      <c r="DL454" s="14" t="s">
        <v>11342</v>
      </c>
      <c r="DM454" s="15"/>
      <c r="DN454" s="15"/>
      <c r="DO454" s="15"/>
      <c r="DP454" s="15"/>
      <c r="DQ454" s="15"/>
      <c r="DR454" s="15"/>
      <c r="DS454" s="15"/>
      <c r="DT454" s="15"/>
      <c r="DU454" s="15"/>
      <c r="DV454" s="15"/>
      <c r="DW454" s="15"/>
      <c r="DX454" s="15"/>
      <c r="DY454" s="15"/>
      <c r="DZ454" s="15"/>
      <c r="EA454" s="15"/>
      <c r="EB454" s="15"/>
      <c r="EC454" s="16" t="s">
        <v>197</v>
      </c>
      <c r="ED454" s="17" t="s">
        <v>198</v>
      </c>
      <c r="EE454" s="18">
        <v>45719.456099537034</v>
      </c>
      <c r="EF454" s="13" t="s">
        <v>209</v>
      </c>
      <c r="EG454" s="14" t="s">
        <v>179</v>
      </c>
      <c r="EH454" s="14" t="s">
        <v>11343</v>
      </c>
      <c r="EI454" s="14" t="s">
        <v>179</v>
      </c>
      <c r="EJ454" s="14" t="s">
        <v>11343</v>
      </c>
      <c r="EK454" s="15"/>
      <c r="EL454" s="15"/>
      <c r="EM454" s="15"/>
      <c r="EN454" s="15"/>
      <c r="EO454" s="15"/>
      <c r="EP454" s="15"/>
      <c r="EQ454" s="15"/>
      <c r="ER454" s="15"/>
      <c r="ES454" s="15"/>
      <c r="ET454" s="15"/>
      <c r="EU454" s="15"/>
      <c r="EV454" s="15"/>
      <c r="EW454" s="15"/>
      <c r="EX454" s="15"/>
      <c r="EY454" s="15"/>
      <c r="EZ454" s="15"/>
      <c r="FA454" s="15"/>
      <c r="FB454" s="15"/>
      <c r="FC454" s="16" t="s">
        <v>197</v>
      </c>
      <c r="FD454" s="17" t="s">
        <v>198</v>
      </c>
      <c r="FE454" s="18">
        <v>45722.36104166666</v>
      </c>
      <c r="FF454" s="19"/>
      <c r="FG454" s="19"/>
      <c r="FH454" s="21" t="s">
        <v>197</v>
      </c>
      <c r="FI454" s="17" t="s">
        <v>214</v>
      </c>
      <c r="FJ454" s="18">
        <v>45722.36104166666</v>
      </c>
      <c r="FK454" s="14" t="s">
        <v>11343</v>
      </c>
      <c r="FL454" s="14" t="s">
        <v>11344</v>
      </c>
      <c r="FM454" s="14" t="s">
        <v>11345</v>
      </c>
      <c r="FN454" s="19"/>
      <c r="FO454" s="19"/>
      <c r="FP454" s="19" t="str">
        <f t="shared" si="1"/>
        <v>Base de Dados_Images/LIT35004.Imagem do Equipamento-.193339.jpg</v>
      </c>
      <c r="FQ454" s="14"/>
      <c r="FR454" s="14"/>
    </row>
    <row r="455" ht="15.75" customHeight="1">
      <c r="A455" s="12" t="s">
        <v>292</v>
      </c>
      <c r="B455" s="12" t="s">
        <v>374</v>
      </c>
      <c r="C455" s="24" t="s">
        <v>375</v>
      </c>
      <c r="D455" s="22" t="s">
        <v>11346</v>
      </c>
      <c r="E455" s="22" t="s">
        <v>11347</v>
      </c>
      <c r="F455" s="13" t="s">
        <v>178</v>
      </c>
      <c r="G455" s="14" t="s">
        <v>179</v>
      </c>
      <c r="H455" s="14" t="s">
        <v>11348</v>
      </c>
      <c r="I455" s="14" t="s">
        <v>179</v>
      </c>
      <c r="J455" s="14" t="s">
        <v>11349</v>
      </c>
      <c r="K455" s="14" t="s">
        <v>179</v>
      </c>
      <c r="L455" s="14" t="s">
        <v>11350</v>
      </c>
      <c r="M455" s="14" t="s">
        <v>179</v>
      </c>
      <c r="N455" s="14" t="s">
        <v>11351</v>
      </c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6" t="s">
        <v>197</v>
      </c>
      <c r="BP455" s="17" t="s">
        <v>198</v>
      </c>
      <c r="BQ455" s="18">
        <v>45692.65476851852</v>
      </c>
      <c r="BR455" s="17" t="s">
        <v>198</v>
      </c>
      <c r="BS455" s="18">
        <v>45692.654756944445</v>
      </c>
      <c r="BT455" s="17" t="s">
        <v>198</v>
      </c>
      <c r="BU455" s="18">
        <v>45692.65476851852</v>
      </c>
      <c r="BV455" s="13" t="s">
        <v>199</v>
      </c>
      <c r="BW455" s="14" t="s">
        <v>179</v>
      </c>
      <c r="BX455" s="14" t="s">
        <v>11352</v>
      </c>
      <c r="BY455" s="14" t="s">
        <v>179</v>
      </c>
      <c r="BZ455" s="14" t="s">
        <v>11353</v>
      </c>
      <c r="CA455" s="14" t="s">
        <v>179</v>
      </c>
      <c r="CB455" s="14" t="s">
        <v>11354</v>
      </c>
      <c r="CC455" s="15"/>
      <c r="CD455" s="15"/>
      <c r="CE455" s="15"/>
      <c r="CF455" s="15"/>
      <c r="CG455" s="19"/>
      <c r="CH455" s="15"/>
      <c r="CI455" s="19"/>
      <c r="CJ455" s="15"/>
      <c r="CK455" s="19"/>
      <c r="CL455" s="15"/>
      <c r="CM455" s="19"/>
      <c r="CN455" s="15"/>
      <c r="CO455" s="19"/>
      <c r="CP455" s="15"/>
      <c r="CQ455" s="15"/>
      <c r="CR455" s="15"/>
      <c r="CS455" s="19"/>
      <c r="CT455" s="15"/>
      <c r="CU455" s="19"/>
      <c r="CV455" s="15"/>
      <c r="CW455" s="19"/>
      <c r="CX455" s="15"/>
      <c r="CY455" s="19"/>
      <c r="CZ455" s="15"/>
      <c r="DA455" s="16" t="s">
        <v>197</v>
      </c>
      <c r="DB455" s="17" t="s">
        <v>228</v>
      </c>
      <c r="DC455" s="16"/>
      <c r="DD455" s="17" t="s">
        <v>198</v>
      </c>
      <c r="DE455" s="18">
        <v>45719.45707175926</v>
      </c>
      <c r="DF455" s="17" t="s">
        <v>198</v>
      </c>
      <c r="DG455" s="18">
        <v>45719.45707175926</v>
      </c>
      <c r="DH455" s="13" t="s">
        <v>205</v>
      </c>
      <c r="DI455" s="14" t="s">
        <v>179</v>
      </c>
      <c r="DJ455" s="14" t="s">
        <v>11355</v>
      </c>
      <c r="DK455" s="14" t="s">
        <v>179</v>
      </c>
      <c r="DL455" s="14" t="s">
        <v>11356</v>
      </c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6" t="s">
        <v>197</v>
      </c>
      <c r="ED455" s="17" t="s">
        <v>198</v>
      </c>
      <c r="EE455" s="18">
        <v>45719.457233796296</v>
      </c>
      <c r="EF455" s="13" t="s">
        <v>209</v>
      </c>
      <c r="EG455" s="14" t="s">
        <v>179</v>
      </c>
      <c r="EH455" s="14" t="s">
        <v>11357</v>
      </c>
      <c r="EI455" s="14" t="s">
        <v>179</v>
      </c>
      <c r="EJ455" s="14" t="s">
        <v>11357</v>
      </c>
      <c r="EK455" s="15"/>
      <c r="EL455" s="15"/>
      <c r="EM455" s="15"/>
      <c r="EN455" s="15"/>
      <c r="EO455" s="15"/>
      <c r="EP455" s="15"/>
      <c r="EQ455" s="15"/>
      <c r="ER455" s="15"/>
      <c r="ES455" s="15"/>
      <c r="ET455" s="15"/>
      <c r="EU455" s="15"/>
      <c r="EV455" s="15"/>
      <c r="EW455" s="15"/>
      <c r="EX455" s="15"/>
      <c r="EY455" s="15"/>
      <c r="EZ455" s="15"/>
      <c r="FA455" s="15"/>
      <c r="FB455" s="15"/>
      <c r="FC455" s="16" t="s">
        <v>197</v>
      </c>
      <c r="FD455" s="17" t="s">
        <v>198</v>
      </c>
      <c r="FE455" s="18">
        <v>45723.37903935185</v>
      </c>
      <c r="FF455" s="19"/>
      <c r="FG455" s="19"/>
      <c r="FH455" s="21" t="s">
        <v>197</v>
      </c>
      <c r="FI455" s="17" t="s">
        <v>214</v>
      </c>
      <c r="FJ455" s="18">
        <v>45723.37903935185</v>
      </c>
      <c r="FK455" s="14" t="s">
        <v>11357</v>
      </c>
      <c r="FL455" s="14" t="s">
        <v>11358</v>
      </c>
      <c r="FM455" s="14" t="s">
        <v>11359</v>
      </c>
      <c r="FN455" s="19"/>
      <c r="FO455" s="19"/>
      <c r="FP455" s="19" t="str">
        <f t="shared" si="1"/>
        <v>Base de Dados_Images/LIT35005.Imagem do Equipamento-.185540.jpg</v>
      </c>
      <c r="FQ455" s="19"/>
      <c r="FR455" s="19"/>
    </row>
    <row r="456" ht="15.75" customHeight="1">
      <c r="A456" s="12" t="s">
        <v>217</v>
      </c>
      <c r="B456" s="12" t="s">
        <v>1420</v>
      </c>
      <c r="C456" s="24" t="s">
        <v>375</v>
      </c>
      <c r="D456" s="22" t="s">
        <v>11360</v>
      </c>
      <c r="E456" s="22" t="s">
        <v>11361</v>
      </c>
      <c r="F456" s="13" t="s">
        <v>178</v>
      </c>
      <c r="G456" s="14" t="s">
        <v>179</v>
      </c>
      <c r="H456" s="14" t="s">
        <v>11362</v>
      </c>
      <c r="I456" s="14" t="s">
        <v>179</v>
      </c>
      <c r="J456" s="14" t="s">
        <v>11363</v>
      </c>
      <c r="K456" s="14" t="s">
        <v>179</v>
      </c>
      <c r="L456" s="14" t="s">
        <v>11364</v>
      </c>
      <c r="M456" s="14" t="s">
        <v>179</v>
      </c>
      <c r="N456" s="14" t="s">
        <v>11365</v>
      </c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6" t="s">
        <v>197</v>
      </c>
      <c r="BP456" s="17" t="s">
        <v>198</v>
      </c>
      <c r="BQ456" s="18">
        <v>45687.42921296296</v>
      </c>
      <c r="BR456" s="17" t="s">
        <v>198</v>
      </c>
      <c r="BS456" s="18">
        <v>45687.42928240741</v>
      </c>
      <c r="BT456" s="17" t="s">
        <v>198</v>
      </c>
      <c r="BU456" s="18">
        <v>45687.42928240741</v>
      </c>
      <c r="BV456" s="13" t="s">
        <v>199</v>
      </c>
      <c r="BW456" s="14" t="s">
        <v>179</v>
      </c>
      <c r="BX456" s="14" t="s">
        <v>11366</v>
      </c>
      <c r="BY456" s="14" t="s">
        <v>179</v>
      </c>
      <c r="BZ456" s="14" t="s">
        <v>11367</v>
      </c>
      <c r="CA456" s="14" t="s">
        <v>179</v>
      </c>
      <c r="CB456" s="14" t="s">
        <v>11368</v>
      </c>
      <c r="CC456" s="15"/>
      <c r="CD456" s="15"/>
      <c r="CE456" s="15"/>
      <c r="CF456" s="15"/>
      <c r="CG456" s="19"/>
      <c r="CH456" s="15"/>
      <c r="CI456" s="19"/>
      <c r="CJ456" s="15"/>
      <c r="CK456" s="19"/>
      <c r="CL456" s="15"/>
      <c r="CM456" s="19"/>
      <c r="CN456" s="15"/>
      <c r="CO456" s="19"/>
      <c r="CP456" s="15"/>
      <c r="CQ456" s="15"/>
      <c r="CR456" s="15"/>
      <c r="CS456" s="19"/>
      <c r="CT456" s="15"/>
      <c r="CU456" s="19"/>
      <c r="CV456" s="15"/>
      <c r="CW456" s="19"/>
      <c r="CX456" s="15"/>
      <c r="CY456" s="19"/>
      <c r="CZ456" s="15"/>
      <c r="DA456" s="16" t="s">
        <v>197</v>
      </c>
      <c r="DB456" s="17" t="s">
        <v>228</v>
      </c>
      <c r="DC456" s="16"/>
      <c r="DD456" s="17" t="s">
        <v>198</v>
      </c>
      <c r="DE456" s="18">
        <v>45705.348715277774</v>
      </c>
      <c r="DF456" s="17" t="s">
        <v>198</v>
      </c>
      <c r="DG456" s="18">
        <v>45705.348715277774</v>
      </c>
      <c r="DH456" s="13" t="s">
        <v>205</v>
      </c>
      <c r="DI456" s="14" t="s">
        <v>179</v>
      </c>
      <c r="DJ456" s="14" t="s">
        <v>11369</v>
      </c>
      <c r="DK456" s="14" t="s">
        <v>179</v>
      </c>
      <c r="DL456" s="14" t="s">
        <v>11370</v>
      </c>
      <c r="DM456" s="15"/>
      <c r="DN456" s="15"/>
      <c r="DO456" s="15"/>
      <c r="DP456" s="15"/>
      <c r="DQ456" s="15"/>
      <c r="DR456" s="15"/>
      <c r="DS456" s="15"/>
      <c r="DT456" s="15"/>
      <c r="DU456" s="15"/>
      <c r="DV456" s="15"/>
      <c r="DW456" s="15"/>
      <c r="DX456" s="15"/>
      <c r="DY456" s="15"/>
      <c r="DZ456" s="15"/>
      <c r="EA456" s="15"/>
      <c r="EB456" s="15"/>
      <c r="EC456" s="16" t="s">
        <v>197</v>
      </c>
      <c r="ED456" s="17" t="s">
        <v>198</v>
      </c>
      <c r="EE456" s="18">
        <v>45708.53376157407</v>
      </c>
      <c r="EF456" s="13" t="s">
        <v>209</v>
      </c>
      <c r="EG456" s="14" t="s">
        <v>179</v>
      </c>
      <c r="EH456" s="14" t="s">
        <v>11371</v>
      </c>
      <c r="EI456" s="14" t="s">
        <v>179</v>
      </c>
      <c r="EJ456" s="14" t="s">
        <v>11371</v>
      </c>
      <c r="EK456" s="15"/>
      <c r="EL456" s="15"/>
      <c r="EM456" s="15"/>
      <c r="EN456" s="15"/>
      <c r="EO456" s="15"/>
      <c r="EP456" s="15"/>
      <c r="EQ456" s="15"/>
      <c r="ER456" s="15"/>
      <c r="ES456" s="15"/>
      <c r="ET456" s="15"/>
      <c r="EU456" s="15"/>
      <c r="EV456" s="15"/>
      <c r="EW456" s="15"/>
      <c r="EX456" s="15"/>
      <c r="EY456" s="15"/>
      <c r="EZ456" s="15"/>
      <c r="FA456" s="15"/>
      <c r="FB456" s="15"/>
      <c r="FC456" s="16" t="s">
        <v>197</v>
      </c>
      <c r="FD456" s="17" t="s">
        <v>198</v>
      </c>
      <c r="FE456" s="18">
        <v>45723.349641203706</v>
      </c>
      <c r="FF456" s="19"/>
      <c r="FG456" s="19"/>
      <c r="FH456" s="21" t="s">
        <v>197</v>
      </c>
      <c r="FI456" s="17" t="s">
        <v>214</v>
      </c>
      <c r="FJ456" s="18">
        <v>45723.349641203706</v>
      </c>
      <c r="FK456" s="14" t="s">
        <v>11371</v>
      </c>
      <c r="FL456" s="19"/>
      <c r="FM456" s="19"/>
      <c r="FN456" s="19"/>
      <c r="FO456" s="19"/>
      <c r="FP456" s="19" t="str">
        <f t="shared" si="1"/>
        <v/>
      </c>
      <c r="FQ456" s="14" t="s">
        <v>215</v>
      </c>
      <c r="FR456" s="14" t="s">
        <v>11372</v>
      </c>
    </row>
    <row r="457" ht="15.75" customHeight="1">
      <c r="A457" s="12" t="s">
        <v>217</v>
      </c>
      <c r="B457" s="12" t="s">
        <v>8483</v>
      </c>
      <c r="C457" s="24" t="s">
        <v>375</v>
      </c>
      <c r="D457" s="22" t="s">
        <v>11373</v>
      </c>
      <c r="E457" s="22" t="s">
        <v>11374</v>
      </c>
      <c r="F457" s="13" t="s">
        <v>178</v>
      </c>
      <c r="G457" s="14" t="s">
        <v>179</v>
      </c>
      <c r="H457" s="14" t="s">
        <v>11375</v>
      </c>
      <c r="I457" s="14" t="s">
        <v>179</v>
      </c>
      <c r="J457" s="14" t="s">
        <v>11376</v>
      </c>
      <c r="K457" s="14" t="s">
        <v>179</v>
      </c>
      <c r="L457" s="14" t="s">
        <v>11377</v>
      </c>
      <c r="M457" s="14" t="s">
        <v>179</v>
      </c>
      <c r="N457" s="14" t="s">
        <v>11378</v>
      </c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6" t="s">
        <v>197</v>
      </c>
      <c r="BP457" s="17" t="s">
        <v>198</v>
      </c>
      <c r="BQ457" s="18">
        <v>45686.4294212963</v>
      </c>
      <c r="BR457" s="17" t="s">
        <v>198</v>
      </c>
      <c r="BS457" s="18">
        <v>45686.429502314815</v>
      </c>
      <c r="BT457" s="17" t="s">
        <v>198</v>
      </c>
      <c r="BU457" s="18">
        <v>45686.429502314815</v>
      </c>
      <c r="BV457" s="13" t="s">
        <v>199</v>
      </c>
      <c r="BW457" s="14" t="s">
        <v>179</v>
      </c>
      <c r="BX457" s="14" t="s">
        <v>11379</v>
      </c>
      <c r="BY457" s="14" t="s">
        <v>179</v>
      </c>
      <c r="BZ457" s="14" t="s">
        <v>11380</v>
      </c>
      <c r="CA457" s="14" t="s">
        <v>179</v>
      </c>
      <c r="CB457" s="14" t="s">
        <v>11381</v>
      </c>
      <c r="CC457" s="15"/>
      <c r="CD457" s="15"/>
      <c r="CE457" s="15"/>
      <c r="CF457" s="15"/>
      <c r="CG457" s="19"/>
      <c r="CH457" s="15"/>
      <c r="CI457" s="19"/>
      <c r="CJ457" s="15"/>
      <c r="CK457" s="19"/>
      <c r="CL457" s="15"/>
      <c r="CM457" s="19"/>
      <c r="CN457" s="15"/>
      <c r="CO457" s="19"/>
      <c r="CP457" s="15"/>
      <c r="CQ457" s="15"/>
      <c r="CR457" s="15"/>
      <c r="CS457" s="19"/>
      <c r="CT457" s="15"/>
      <c r="CU457" s="19"/>
      <c r="CV457" s="15"/>
      <c r="CW457" s="19"/>
      <c r="CX457" s="15"/>
      <c r="CY457" s="19"/>
      <c r="CZ457" s="15"/>
      <c r="DA457" s="16" t="s">
        <v>197</v>
      </c>
      <c r="DB457" s="17" t="s">
        <v>228</v>
      </c>
      <c r="DC457" s="16"/>
      <c r="DD457" s="17" t="s">
        <v>198</v>
      </c>
      <c r="DE457" s="18">
        <v>45699.60199074074</v>
      </c>
      <c r="DF457" s="17" t="s">
        <v>198</v>
      </c>
      <c r="DG457" s="18">
        <v>45699.60199074074</v>
      </c>
      <c r="DH457" s="13" t="s">
        <v>205</v>
      </c>
      <c r="DI457" s="14" t="s">
        <v>179</v>
      </c>
      <c r="DJ457" s="14" t="s">
        <v>11382</v>
      </c>
      <c r="DK457" s="14" t="s">
        <v>179</v>
      </c>
      <c r="DL457" s="14" t="s">
        <v>11382</v>
      </c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6" t="s">
        <v>197</v>
      </c>
      <c r="ED457" s="17" t="s">
        <v>198</v>
      </c>
      <c r="EE457" s="18">
        <v>45708.525358796294</v>
      </c>
      <c r="EF457" s="13" t="s">
        <v>209</v>
      </c>
      <c r="EG457" s="14" t="s">
        <v>179</v>
      </c>
      <c r="EH457" s="14" t="s">
        <v>11383</v>
      </c>
      <c r="EI457" s="14" t="s">
        <v>179</v>
      </c>
      <c r="EJ457" s="14" t="s">
        <v>11383</v>
      </c>
      <c r="EK457" s="15"/>
      <c r="EL457" s="15"/>
      <c r="EM457" s="15"/>
      <c r="EN457" s="15"/>
      <c r="EO457" s="15"/>
      <c r="EP457" s="15"/>
      <c r="EQ457" s="15"/>
      <c r="ER457" s="15"/>
      <c r="ES457" s="15"/>
      <c r="ET457" s="15"/>
      <c r="EU457" s="15"/>
      <c r="EV457" s="15"/>
      <c r="EW457" s="15"/>
      <c r="EX457" s="15"/>
      <c r="EY457" s="15"/>
      <c r="EZ457" s="15"/>
      <c r="FA457" s="15"/>
      <c r="FB457" s="15"/>
      <c r="FC457" s="16" t="s">
        <v>197</v>
      </c>
      <c r="FD457" s="17" t="s">
        <v>198</v>
      </c>
      <c r="FE457" s="18">
        <v>45722.36650462963</v>
      </c>
      <c r="FF457" s="19"/>
      <c r="FG457" s="19"/>
      <c r="FH457" s="21" t="s">
        <v>197</v>
      </c>
      <c r="FI457" s="17" t="s">
        <v>214</v>
      </c>
      <c r="FJ457" s="18">
        <v>45722.36650462963</v>
      </c>
      <c r="FK457" s="14" t="s">
        <v>11383</v>
      </c>
      <c r="FL457" s="19"/>
      <c r="FM457" s="19"/>
      <c r="FN457" s="19"/>
      <c r="FO457" s="19"/>
      <c r="FP457" s="19" t="str">
        <f t="shared" si="1"/>
        <v/>
      </c>
      <c r="FQ457" s="14" t="s">
        <v>215</v>
      </c>
      <c r="FR457" s="14" t="s">
        <v>11384</v>
      </c>
    </row>
    <row r="458" ht="15.75" customHeight="1">
      <c r="A458" s="12" t="s">
        <v>217</v>
      </c>
      <c r="B458" s="12" t="s">
        <v>8426</v>
      </c>
      <c r="C458" s="24" t="s">
        <v>375</v>
      </c>
      <c r="D458" s="22" t="s">
        <v>11385</v>
      </c>
      <c r="E458" s="22" t="s">
        <v>11386</v>
      </c>
      <c r="F458" s="13" t="s">
        <v>178</v>
      </c>
      <c r="G458" s="14" t="s">
        <v>179</v>
      </c>
      <c r="H458" s="14" t="s">
        <v>11387</v>
      </c>
      <c r="I458" s="14" t="s">
        <v>179</v>
      </c>
      <c r="J458" s="14" t="s">
        <v>11388</v>
      </c>
      <c r="K458" s="14" t="s">
        <v>179</v>
      </c>
      <c r="L458" s="14" t="s">
        <v>11389</v>
      </c>
      <c r="M458" s="14" t="s">
        <v>179</v>
      </c>
      <c r="N458" s="14" t="s">
        <v>11390</v>
      </c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6" t="s">
        <v>197</v>
      </c>
      <c r="BP458" s="17" t="s">
        <v>198</v>
      </c>
      <c r="BQ458" s="18">
        <v>45686.6096412037</v>
      </c>
      <c r="BR458" s="17" t="s">
        <v>198</v>
      </c>
      <c r="BS458" s="18">
        <v>45686.60971064815</v>
      </c>
      <c r="BT458" s="17" t="s">
        <v>198</v>
      </c>
      <c r="BU458" s="18">
        <v>45686.60971064815</v>
      </c>
      <c r="BV458" s="13" t="s">
        <v>199</v>
      </c>
      <c r="BW458" s="14" t="s">
        <v>179</v>
      </c>
      <c r="BX458" s="14" t="s">
        <v>11391</v>
      </c>
      <c r="BY458" s="14" t="s">
        <v>179</v>
      </c>
      <c r="BZ458" s="14" t="s">
        <v>11392</v>
      </c>
      <c r="CA458" s="14" t="s">
        <v>179</v>
      </c>
      <c r="CB458" s="14" t="s">
        <v>11392</v>
      </c>
      <c r="CC458" s="15"/>
      <c r="CD458" s="15"/>
      <c r="CE458" s="15"/>
      <c r="CF458" s="15"/>
      <c r="CG458" s="19"/>
      <c r="CH458" s="15"/>
      <c r="CI458" s="19"/>
      <c r="CJ458" s="15"/>
      <c r="CK458" s="19"/>
      <c r="CL458" s="15"/>
      <c r="CM458" s="19"/>
      <c r="CN458" s="15"/>
      <c r="CO458" s="19"/>
      <c r="CP458" s="15"/>
      <c r="CQ458" s="15"/>
      <c r="CR458" s="15"/>
      <c r="CS458" s="19"/>
      <c r="CT458" s="15"/>
      <c r="CU458" s="19"/>
      <c r="CV458" s="15"/>
      <c r="CW458" s="19"/>
      <c r="CX458" s="15"/>
      <c r="CY458" s="19"/>
      <c r="CZ458" s="15"/>
      <c r="DA458" s="16" t="s">
        <v>197</v>
      </c>
      <c r="DB458" s="17" t="s">
        <v>228</v>
      </c>
      <c r="DC458" s="16"/>
      <c r="DD458" s="17" t="s">
        <v>198</v>
      </c>
      <c r="DE458" s="18">
        <v>45692.53524305556</v>
      </c>
      <c r="DF458" s="17" t="s">
        <v>198</v>
      </c>
      <c r="DG458" s="18">
        <v>45692.53524305556</v>
      </c>
      <c r="DH458" s="13" t="s">
        <v>205</v>
      </c>
      <c r="DI458" s="14" t="s">
        <v>179</v>
      </c>
      <c r="DJ458" s="14" t="s">
        <v>11393</v>
      </c>
      <c r="DK458" s="14" t="s">
        <v>179</v>
      </c>
      <c r="DL458" s="14" t="s">
        <v>11394</v>
      </c>
      <c r="DM458" s="15"/>
      <c r="DN458" s="15"/>
      <c r="DO458" s="15"/>
      <c r="DP458" s="15"/>
      <c r="DQ458" s="15"/>
      <c r="DR458" s="15"/>
      <c r="DS458" s="15"/>
      <c r="DT458" s="15"/>
      <c r="DU458" s="15"/>
      <c r="DV458" s="15"/>
      <c r="DW458" s="15"/>
      <c r="DX458" s="15"/>
      <c r="DY458" s="15"/>
      <c r="DZ458" s="15"/>
      <c r="EA458" s="15"/>
      <c r="EB458" s="15"/>
      <c r="EC458" s="16" t="s">
        <v>197</v>
      </c>
      <c r="ED458" s="17" t="s">
        <v>198</v>
      </c>
      <c r="EE458" s="18">
        <v>45708.524363425924</v>
      </c>
      <c r="EF458" s="13" t="s">
        <v>209</v>
      </c>
      <c r="EG458" s="14" t="s">
        <v>179</v>
      </c>
      <c r="EH458" s="14" t="s">
        <v>11395</v>
      </c>
      <c r="EI458" s="14" t="s">
        <v>179</v>
      </c>
      <c r="EJ458" s="14" t="s">
        <v>11396</v>
      </c>
      <c r="EK458" s="15"/>
      <c r="EL458" s="15"/>
      <c r="EM458" s="15"/>
      <c r="EN458" s="15"/>
      <c r="EO458" s="15"/>
      <c r="EP458" s="15"/>
      <c r="EQ458" s="15"/>
      <c r="ER458" s="15"/>
      <c r="ES458" s="15"/>
      <c r="ET458" s="15"/>
      <c r="EU458" s="15"/>
      <c r="EV458" s="15"/>
      <c r="EW458" s="15"/>
      <c r="EX458" s="15"/>
      <c r="EY458" s="15"/>
      <c r="EZ458" s="15"/>
      <c r="FA458" s="15"/>
      <c r="FB458" s="15"/>
      <c r="FC458" s="16" t="s">
        <v>197</v>
      </c>
      <c r="FD458" s="17" t="s">
        <v>198</v>
      </c>
      <c r="FE458" s="18">
        <v>45722.365960648145</v>
      </c>
      <c r="FF458" s="19"/>
      <c r="FG458" s="19"/>
      <c r="FH458" s="21" t="s">
        <v>197</v>
      </c>
      <c r="FI458" s="17" t="s">
        <v>214</v>
      </c>
      <c r="FJ458" s="18">
        <v>45722.365960648145</v>
      </c>
      <c r="FK458" s="14" t="s">
        <v>11396</v>
      </c>
      <c r="FL458" s="19"/>
      <c r="FM458" s="19"/>
      <c r="FN458" s="19"/>
      <c r="FO458" s="19"/>
      <c r="FP458" s="19" t="str">
        <f t="shared" si="1"/>
        <v/>
      </c>
      <c r="FQ458" s="14" t="s">
        <v>215</v>
      </c>
      <c r="FR458" s="14" t="s">
        <v>11397</v>
      </c>
    </row>
    <row r="459" ht="15.75" customHeight="1">
      <c r="A459" s="12" t="s">
        <v>217</v>
      </c>
      <c r="B459" s="12" t="s">
        <v>11077</v>
      </c>
      <c r="C459" s="24" t="s">
        <v>375</v>
      </c>
      <c r="D459" s="22" t="s">
        <v>11398</v>
      </c>
      <c r="E459" s="22" t="s">
        <v>11399</v>
      </c>
      <c r="F459" s="13" t="s">
        <v>178</v>
      </c>
      <c r="G459" s="14" t="s">
        <v>179</v>
      </c>
      <c r="H459" s="14" t="s">
        <v>11400</v>
      </c>
      <c r="I459" s="14" t="s">
        <v>179</v>
      </c>
      <c r="J459" s="14" t="s">
        <v>11401</v>
      </c>
      <c r="K459" s="14" t="s">
        <v>179</v>
      </c>
      <c r="L459" s="14" t="s">
        <v>11402</v>
      </c>
      <c r="M459" s="14" t="s">
        <v>179</v>
      </c>
      <c r="N459" s="14" t="s">
        <v>11403</v>
      </c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6" t="s">
        <v>197</v>
      </c>
      <c r="BP459" s="17" t="s">
        <v>198</v>
      </c>
      <c r="BQ459" s="18">
        <v>45684.43753472222</v>
      </c>
      <c r="BR459" s="17" t="s">
        <v>198</v>
      </c>
      <c r="BS459" s="18">
        <v>45684.437731481485</v>
      </c>
      <c r="BT459" s="17" t="s">
        <v>198</v>
      </c>
      <c r="BU459" s="18">
        <v>45684.437731481485</v>
      </c>
      <c r="BV459" s="13" t="s">
        <v>199</v>
      </c>
      <c r="BW459" s="14" t="s">
        <v>179</v>
      </c>
      <c r="BX459" s="14" t="s">
        <v>11404</v>
      </c>
      <c r="BY459" s="14" t="s">
        <v>179</v>
      </c>
      <c r="BZ459" s="14" t="s">
        <v>11405</v>
      </c>
      <c r="CA459" s="14" t="s">
        <v>179</v>
      </c>
      <c r="CB459" s="14" t="s">
        <v>11406</v>
      </c>
      <c r="CC459" s="15"/>
      <c r="CD459" s="15"/>
      <c r="CE459" s="15"/>
      <c r="CF459" s="15"/>
      <c r="CG459" s="19"/>
      <c r="CH459" s="15"/>
      <c r="CI459" s="19"/>
      <c r="CJ459" s="15"/>
      <c r="CK459" s="19"/>
      <c r="CL459" s="15"/>
      <c r="CM459" s="19"/>
      <c r="CN459" s="15"/>
      <c r="CO459" s="19"/>
      <c r="CP459" s="15"/>
      <c r="CQ459" s="15"/>
      <c r="CR459" s="15"/>
      <c r="CS459" s="19"/>
      <c r="CT459" s="15"/>
      <c r="CU459" s="19"/>
      <c r="CV459" s="15"/>
      <c r="CW459" s="19"/>
      <c r="CX459" s="15"/>
      <c r="CY459" s="19"/>
      <c r="CZ459" s="15"/>
      <c r="DA459" s="16" t="s">
        <v>197</v>
      </c>
      <c r="DB459" s="17" t="s">
        <v>228</v>
      </c>
      <c r="DC459" s="16"/>
      <c r="DD459" s="17" t="s">
        <v>198</v>
      </c>
      <c r="DE459" s="18">
        <v>45692.588217592594</v>
      </c>
      <c r="DF459" s="17" t="s">
        <v>198</v>
      </c>
      <c r="DG459" s="18">
        <v>45692.588217592594</v>
      </c>
      <c r="DH459" s="13" t="s">
        <v>205</v>
      </c>
      <c r="DI459" s="14" t="s">
        <v>179</v>
      </c>
      <c r="DJ459" s="14" t="s">
        <v>11407</v>
      </c>
      <c r="DK459" s="14" t="s">
        <v>179</v>
      </c>
      <c r="DL459" s="14" t="s">
        <v>11407</v>
      </c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6" t="s">
        <v>197</v>
      </c>
      <c r="ED459" s="17" t="s">
        <v>198</v>
      </c>
      <c r="EE459" s="18">
        <v>45715.53884259259</v>
      </c>
      <c r="EF459" s="13" t="s">
        <v>209</v>
      </c>
      <c r="EG459" s="14" t="s">
        <v>179</v>
      </c>
      <c r="EH459" s="14" t="s">
        <v>11408</v>
      </c>
      <c r="EI459" s="14" t="s">
        <v>179</v>
      </c>
      <c r="EJ459" s="14" t="s">
        <v>11408</v>
      </c>
      <c r="EK459" s="15"/>
      <c r="EL459" s="15"/>
      <c r="EM459" s="15"/>
      <c r="EN459" s="15"/>
      <c r="EO459" s="15"/>
      <c r="EP459" s="15"/>
      <c r="EQ459" s="15"/>
      <c r="ER459" s="15"/>
      <c r="ES459" s="15"/>
      <c r="ET459" s="15"/>
      <c r="EU459" s="15"/>
      <c r="EV459" s="15"/>
      <c r="EW459" s="15"/>
      <c r="EX459" s="15"/>
      <c r="EY459" s="15"/>
      <c r="EZ459" s="15"/>
      <c r="FA459" s="15"/>
      <c r="FB459" s="15"/>
      <c r="FC459" s="16" t="s">
        <v>197</v>
      </c>
      <c r="FD459" s="17" t="s">
        <v>198</v>
      </c>
      <c r="FE459" s="18">
        <v>45723.45826388889</v>
      </c>
      <c r="FF459" s="19"/>
      <c r="FG459" s="19"/>
      <c r="FH459" s="21" t="s">
        <v>197</v>
      </c>
      <c r="FI459" s="17" t="s">
        <v>214</v>
      </c>
      <c r="FJ459" s="18">
        <v>45723.45826388889</v>
      </c>
      <c r="FK459" s="14" t="s">
        <v>11408</v>
      </c>
      <c r="FL459" s="14" t="s">
        <v>11409</v>
      </c>
      <c r="FM459" s="14" t="s">
        <v>11410</v>
      </c>
      <c r="FN459" s="19"/>
      <c r="FO459" s="19"/>
      <c r="FP459" s="19" t="str">
        <f t="shared" si="1"/>
        <v>Base de Dados_Images/LIT40014.Imagem do Equipamento-.143446.jpg</v>
      </c>
      <c r="FQ459" s="19"/>
      <c r="FR459" s="19"/>
    </row>
    <row r="460" ht="15.75" customHeight="1">
      <c r="A460" s="12" t="s">
        <v>217</v>
      </c>
      <c r="B460" s="12" t="s">
        <v>11086</v>
      </c>
      <c r="C460" s="24" t="s">
        <v>375</v>
      </c>
      <c r="D460" s="22" t="s">
        <v>11411</v>
      </c>
      <c r="E460" s="22" t="s">
        <v>11412</v>
      </c>
      <c r="F460" s="13" t="s">
        <v>178</v>
      </c>
      <c r="G460" s="14" t="s">
        <v>179</v>
      </c>
      <c r="H460" s="14" t="s">
        <v>11413</v>
      </c>
      <c r="I460" s="14" t="s">
        <v>179</v>
      </c>
      <c r="J460" s="14" t="s">
        <v>11414</v>
      </c>
      <c r="K460" s="14" t="s">
        <v>179</v>
      </c>
      <c r="L460" s="14" t="s">
        <v>11415</v>
      </c>
      <c r="M460" s="14" t="s">
        <v>179</v>
      </c>
      <c r="N460" s="14" t="s">
        <v>11416</v>
      </c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6" t="s">
        <v>197</v>
      </c>
      <c r="BP460" s="17" t="s">
        <v>198</v>
      </c>
      <c r="BQ460" s="18">
        <v>45692.58855324074</v>
      </c>
      <c r="BR460" s="17" t="s">
        <v>198</v>
      </c>
      <c r="BS460" s="18">
        <v>45692.58861111111</v>
      </c>
      <c r="BT460" s="17" t="s">
        <v>198</v>
      </c>
      <c r="BU460" s="18">
        <v>45692.58861111111</v>
      </c>
      <c r="BV460" s="13" t="s">
        <v>199</v>
      </c>
      <c r="BW460" s="14" t="s">
        <v>179</v>
      </c>
      <c r="BX460" s="14" t="s">
        <v>11417</v>
      </c>
      <c r="BY460" s="14" t="s">
        <v>179</v>
      </c>
      <c r="BZ460" s="14" t="s">
        <v>11418</v>
      </c>
      <c r="CA460" s="14" t="s">
        <v>179</v>
      </c>
      <c r="CB460" s="14" t="s">
        <v>11419</v>
      </c>
      <c r="CC460" s="15"/>
      <c r="CD460" s="15"/>
      <c r="CE460" s="15"/>
      <c r="CF460" s="15"/>
      <c r="CG460" s="19"/>
      <c r="CH460" s="15"/>
      <c r="CI460" s="19"/>
      <c r="CJ460" s="15"/>
      <c r="CK460" s="19"/>
      <c r="CL460" s="15"/>
      <c r="CM460" s="19"/>
      <c r="CN460" s="15"/>
      <c r="CO460" s="19"/>
      <c r="CP460" s="15"/>
      <c r="CQ460" s="15"/>
      <c r="CR460" s="15"/>
      <c r="CS460" s="19"/>
      <c r="CT460" s="15"/>
      <c r="CU460" s="19"/>
      <c r="CV460" s="15"/>
      <c r="CW460" s="19"/>
      <c r="CX460" s="15"/>
      <c r="CY460" s="19"/>
      <c r="CZ460" s="15"/>
      <c r="DA460" s="16" t="s">
        <v>197</v>
      </c>
      <c r="DB460" s="17" t="s">
        <v>228</v>
      </c>
      <c r="DC460" s="16"/>
      <c r="DD460" s="17" t="s">
        <v>198</v>
      </c>
      <c r="DE460" s="18">
        <v>45699.58699074074</v>
      </c>
      <c r="DF460" s="17" t="s">
        <v>198</v>
      </c>
      <c r="DG460" s="18">
        <v>45699.58699074074</v>
      </c>
      <c r="DH460" s="13" t="s">
        <v>205</v>
      </c>
      <c r="DI460" s="14" t="s">
        <v>179</v>
      </c>
      <c r="DJ460" s="14" t="s">
        <v>11420</v>
      </c>
      <c r="DK460" s="14" t="s">
        <v>179</v>
      </c>
      <c r="DL460" s="14" t="s">
        <v>11421</v>
      </c>
      <c r="DM460" s="15"/>
      <c r="DN460" s="15"/>
      <c r="DO460" s="15"/>
      <c r="DP460" s="15"/>
      <c r="DQ460" s="15"/>
      <c r="DR460" s="15"/>
      <c r="DS460" s="15"/>
      <c r="DT460" s="15"/>
      <c r="DU460" s="15"/>
      <c r="DV460" s="15"/>
      <c r="DW460" s="15"/>
      <c r="DX460" s="15"/>
      <c r="DY460" s="15"/>
      <c r="DZ460" s="15"/>
      <c r="EA460" s="15"/>
      <c r="EB460" s="15"/>
      <c r="EC460" s="16" t="s">
        <v>197</v>
      </c>
      <c r="ED460" s="17" t="s">
        <v>198</v>
      </c>
      <c r="EE460" s="18">
        <v>45715.561319444445</v>
      </c>
      <c r="EF460" s="13" t="s">
        <v>209</v>
      </c>
      <c r="EG460" s="14" t="s">
        <v>179</v>
      </c>
      <c r="EH460" s="14" t="s">
        <v>11422</v>
      </c>
      <c r="EI460" s="14" t="s">
        <v>179</v>
      </c>
      <c r="EJ460" s="14" t="s">
        <v>11422</v>
      </c>
      <c r="EK460" s="15"/>
      <c r="EL460" s="15"/>
      <c r="EM460" s="15"/>
      <c r="EN460" s="15"/>
      <c r="EO460" s="15"/>
      <c r="EP460" s="15"/>
      <c r="EQ460" s="15"/>
      <c r="ER460" s="15"/>
      <c r="ES460" s="15"/>
      <c r="ET460" s="15"/>
      <c r="EU460" s="15"/>
      <c r="EV460" s="15"/>
      <c r="EW460" s="15"/>
      <c r="EX460" s="15"/>
      <c r="EY460" s="15"/>
      <c r="EZ460" s="15"/>
      <c r="FA460" s="15"/>
      <c r="FB460" s="15"/>
      <c r="FC460" s="16" t="s">
        <v>197</v>
      </c>
      <c r="FD460" s="17" t="s">
        <v>198</v>
      </c>
      <c r="FE460" s="18">
        <v>45723.45835648148</v>
      </c>
      <c r="FF460" s="19"/>
      <c r="FG460" s="19"/>
      <c r="FH460" s="21" t="s">
        <v>197</v>
      </c>
      <c r="FI460" s="17" t="s">
        <v>214</v>
      </c>
      <c r="FJ460" s="18">
        <v>45723.45835648148</v>
      </c>
      <c r="FK460" s="14" t="s">
        <v>11422</v>
      </c>
      <c r="FL460" s="19"/>
      <c r="FM460" s="19"/>
      <c r="FN460" s="19"/>
      <c r="FO460" s="19"/>
      <c r="FP460" s="19" t="str">
        <f t="shared" si="1"/>
        <v/>
      </c>
      <c r="FQ460" s="14" t="s">
        <v>215</v>
      </c>
      <c r="FR460" s="14" t="s">
        <v>11423</v>
      </c>
    </row>
    <row r="461" ht="15.75" customHeight="1">
      <c r="A461" s="12" t="s">
        <v>217</v>
      </c>
      <c r="B461" s="12" t="s">
        <v>11424</v>
      </c>
      <c r="C461" s="24" t="s">
        <v>375</v>
      </c>
      <c r="D461" s="22" t="s">
        <v>11425</v>
      </c>
      <c r="E461" s="22" t="s">
        <v>11426</v>
      </c>
      <c r="F461" s="13" t="s">
        <v>178</v>
      </c>
      <c r="G461" s="14" t="s">
        <v>179</v>
      </c>
      <c r="H461" s="14" t="s">
        <v>11427</v>
      </c>
      <c r="I461" s="14" t="s">
        <v>179</v>
      </c>
      <c r="J461" s="14" t="s">
        <v>11428</v>
      </c>
      <c r="K461" s="14" t="s">
        <v>179</v>
      </c>
      <c r="L461" s="14" t="s">
        <v>11429</v>
      </c>
      <c r="M461" s="14" t="s">
        <v>179</v>
      </c>
      <c r="N461" s="14" t="s">
        <v>11430</v>
      </c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6" t="s">
        <v>197</v>
      </c>
      <c r="BP461" s="17" t="s">
        <v>198</v>
      </c>
      <c r="BQ461" s="18">
        <v>45686.558854166666</v>
      </c>
      <c r="BR461" s="17" t="s">
        <v>198</v>
      </c>
      <c r="BS461" s="18">
        <v>45686.55894675926</v>
      </c>
      <c r="BT461" s="17" t="s">
        <v>198</v>
      </c>
      <c r="BU461" s="18">
        <v>45686.55894675926</v>
      </c>
      <c r="BV461" s="13" t="s">
        <v>199</v>
      </c>
      <c r="BW461" s="14" t="s">
        <v>179</v>
      </c>
      <c r="BX461" s="14" t="s">
        <v>11431</v>
      </c>
      <c r="BY461" s="14" t="s">
        <v>179</v>
      </c>
      <c r="BZ461" s="14" t="s">
        <v>11432</v>
      </c>
      <c r="CA461" s="14" t="s">
        <v>179</v>
      </c>
      <c r="CB461" s="14" t="s">
        <v>11433</v>
      </c>
      <c r="CC461" s="15"/>
      <c r="CD461" s="15"/>
      <c r="CE461" s="15"/>
      <c r="CF461" s="15"/>
      <c r="CG461" s="19"/>
      <c r="CH461" s="15"/>
      <c r="CI461" s="19"/>
      <c r="CJ461" s="15"/>
      <c r="CK461" s="19"/>
      <c r="CL461" s="15"/>
      <c r="CM461" s="19"/>
      <c r="CN461" s="15"/>
      <c r="CO461" s="19"/>
      <c r="CP461" s="15"/>
      <c r="CQ461" s="15"/>
      <c r="CR461" s="15"/>
      <c r="CS461" s="19"/>
      <c r="CT461" s="15"/>
      <c r="CU461" s="19"/>
      <c r="CV461" s="15"/>
      <c r="CW461" s="19"/>
      <c r="CX461" s="15"/>
      <c r="CY461" s="19"/>
      <c r="CZ461" s="15"/>
      <c r="DA461" s="16" t="s">
        <v>197</v>
      </c>
      <c r="DB461" s="17" t="s">
        <v>228</v>
      </c>
      <c r="DC461" s="16"/>
      <c r="DD461" s="17" t="s">
        <v>198</v>
      </c>
      <c r="DE461" s="18">
        <v>45692.59104166667</v>
      </c>
      <c r="DF461" s="17" t="s">
        <v>198</v>
      </c>
      <c r="DG461" s="18">
        <v>45692.59104166667</v>
      </c>
      <c r="DH461" s="13" t="s">
        <v>205</v>
      </c>
      <c r="DI461" s="14" t="s">
        <v>179</v>
      </c>
      <c r="DJ461" s="14" t="s">
        <v>11434</v>
      </c>
      <c r="DK461" s="14" t="s">
        <v>179</v>
      </c>
      <c r="DL461" s="14" t="s">
        <v>11435</v>
      </c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6" t="s">
        <v>197</v>
      </c>
      <c r="ED461" s="17" t="s">
        <v>198</v>
      </c>
      <c r="EE461" s="18">
        <v>45708.52306712963</v>
      </c>
      <c r="EF461" s="13" t="s">
        <v>209</v>
      </c>
      <c r="EG461" s="14" t="s">
        <v>179</v>
      </c>
      <c r="EH461" s="14" t="s">
        <v>11436</v>
      </c>
      <c r="EI461" s="14" t="s">
        <v>179</v>
      </c>
      <c r="EJ461" s="14" t="s">
        <v>11437</v>
      </c>
      <c r="EK461" s="15"/>
      <c r="EL461" s="15"/>
      <c r="EM461" s="15"/>
      <c r="EN461" s="15"/>
      <c r="EO461" s="15"/>
      <c r="EP461" s="15"/>
      <c r="EQ461" s="15"/>
      <c r="ER461" s="15"/>
      <c r="ES461" s="15"/>
      <c r="ET461" s="15"/>
      <c r="EU461" s="15"/>
      <c r="EV461" s="15"/>
      <c r="EW461" s="15"/>
      <c r="EX461" s="15"/>
      <c r="EY461" s="15"/>
      <c r="EZ461" s="15"/>
      <c r="FA461" s="15"/>
      <c r="FB461" s="15"/>
      <c r="FC461" s="16" t="s">
        <v>197</v>
      </c>
      <c r="FD461" s="17" t="s">
        <v>198</v>
      </c>
      <c r="FE461" s="18">
        <v>45723.34763888889</v>
      </c>
      <c r="FF461" s="19"/>
      <c r="FG461" s="19"/>
      <c r="FH461" s="21" t="s">
        <v>197</v>
      </c>
      <c r="FI461" s="17" t="s">
        <v>214</v>
      </c>
      <c r="FJ461" s="18">
        <v>45723.34763888889</v>
      </c>
      <c r="FK461" s="14" t="s">
        <v>11437</v>
      </c>
      <c r="FL461" s="19"/>
      <c r="FM461" s="19"/>
      <c r="FN461" s="19"/>
      <c r="FO461" s="19"/>
      <c r="FP461" s="19" t="str">
        <f t="shared" si="1"/>
        <v/>
      </c>
      <c r="FQ461" s="14" t="s">
        <v>215</v>
      </c>
      <c r="FR461" s="14" t="s">
        <v>11438</v>
      </c>
    </row>
    <row r="462" ht="15.75" customHeight="1">
      <c r="A462" s="12" t="s">
        <v>217</v>
      </c>
      <c r="B462" s="12" t="s">
        <v>11439</v>
      </c>
      <c r="C462" s="24" t="s">
        <v>375</v>
      </c>
      <c r="D462" s="22" t="s">
        <v>11440</v>
      </c>
      <c r="E462" s="22" t="s">
        <v>11441</v>
      </c>
      <c r="F462" s="13" t="s">
        <v>178</v>
      </c>
      <c r="G462" s="14" t="s">
        <v>179</v>
      </c>
      <c r="H462" s="14" t="s">
        <v>11442</v>
      </c>
      <c r="I462" s="14" t="s">
        <v>179</v>
      </c>
      <c r="J462" s="14" t="s">
        <v>11443</v>
      </c>
      <c r="K462" s="14" t="s">
        <v>179</v>
      </c>
      <c r="L462" s="14" t="s">
        <v>11444</v>
      </c>
      <c r="M462" s="14" t="s">
        <v>179</v>
      </c>
      <c r="N462" s="14" t="s">
        <v>11445</v>
      </c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6" t="s">
        <v>197</v>
      </c>
      <c r="BP462" s="17" t="s">
        <v>198</v>
      </c>
      <c r="BQ462" s="18">
        <v>45686.56480324074</v>
      </c>
      <c r="BR462" s="17" t="s">
        <v>198</v>
      </c>
      <c r="BS462" s="18">
        <v>45686.56486111111</v>
      </c>
      <c r="BT462" s="17" t="s">
        <v>198</v>
      </c>
      <c r="BU462" s="18">
        <v>45686.56486111111</v>
      </c>
      <c r="BV462" s="13" t="s">
        <v>199</v>
      </c>
      <c r="BW462" s="14" t="s">
        <v>179</v>
      </c>
      <c r="BX462" s="14" t="s">
        <v>11446</v>
      </c>
      <c r="BY462" s="14" t="s">
        <v>179</v>
      </c>
      <c r="BZ462" s="14" t="s">
        <v>11447</v>
      </c>
      <c r="CA462" s="14" t="s">
        <v>179</v>
      </c>
      <c r="CB462" s="14" t="s">
        <v>11448</v>
      </c>
      <c r="CC462" s="15"/>
      <c r="CD462" s="15"/>
      <c r="CE462" s="15"/>
      <c r="CF462" s="15"/>
      <c r="CG462" s="19"/>
      <c r="CH462" s="15"/>
      <c r="CI462" s="19"/>
      <c r="CJ462" s="15"/>
      <c r="CK462" s="19"/>
      <c r="CL462" s="15"/>
      <c r="CM462" s="19"/>
      <c r="CN462" s="15"/>
      <c r="CO462" s="19"/>
      <c r="CP462" s="15"/>
      <c r="CQ462" s="15"/>
      <c r="CR462" s="15"/>
      <c r="CS462" s="19"/>
      <c r="CT462" s="15"/>
      <c r="CU462" s="19"/>
      <c r="CV462" s="15"/>
      <c r="CW462" s="19"/>
      <c r="CX462" s="15"/>
      <c r="CY462" s="19"/>
      <c r="CZ462" s="15"/>
      <c r="DA462" s="16" t="s">
        <v>197</v>
      </c>
      <c r="DB462" s="17" t="s">
        <v>228</v>
      </c>
      <c r="DC462" s="16"/>
      <c r="DD462" s="17" t="s">
        <v>198</v>
      </c>
      <c r="DE462" s="18">
        <v>45705.33121527778</v>
      </c>
      <c r="DF462" s="17" t="s">
        <v>198</v>
      </c>
      <c r="DG462" s="18">
        <v>45705.33121527778</v>
      </c>
      <c r="DH462" s="13" t="s">
        <v>205</v>
      </c>
      <c r="DI462" s="14" t="s">
        <v>179</v>
      </c>
      <c r="DJ462" s="14" t="s">
        <v>11449</v>
      </c>
      <c r="DK462" s="14" t="s">
        <v>179</v>
      </c>
      <c r="DL462" s="14" t="s">
        <v>11449</v>
      </c>
      <c r="DM462" s="15"/>
      <c r="DN462" s="15"/>
      <c r="DO462" s="15"/>
      <c r="DP462" s="15"/>
      <c r="DQ462" s="15"/>
      <c r="DR462" s="15"/>
      <c r="DS462" s="15"/>
      <c r="DT462" s="15"/>
      <c r="DU462" s="15"/>
      <c r="DV462" s="15"/>
      <c r="DW462" s="15"/>
      <c r="DX462" s="15"/>
      <c r="DY462" s="15"/>
      <c r="DZ462" s="15"/>
      <c r="EA462" s="15"/>
      <c r="EB462" s="15"/>
      <c r="EC462" s="16" t="s">
        <v>197</v>
      </c>
      <c r="ED462" s="17" t="s">
        <v>198</v>
      </c>
      <c r="EE462" s="18">
        <v>45708.530277777776</v>
      </c>
      <c r="EF462" s="13" t="s">
        <v>209</v>
      </c>
      <c r="EG462" s="14" t="s">
        <v>179</v>
      </c>
      <c r="EH462" s="14" t="s">
        <v>11450</v>
      </c>
      <c r="EI462" s="14" t="s">
        <v>179</v>
      </c>
      <c r="EJ462" s="14" t="s">
        <v>11451</v>
      </c>
      <c r="EK462" s="15"/>
      <c r="EL462" s="15"/>
      <c r="EM462" s="15"/>
      <c r="EN462" s="15"/>
      <c r="EO462" s="15"/>
      <c r="EP462" s="15"/>
      <c r="EQ462" s="15"/>
      <c r="ER462" s="15"/>
      <c r="ES462" s="15"/>
      <c r="ET462" s="15"/>
      <c r="EU462" s="15"/>
      <c r="EV462" s="15"/>
      <c r="EW462" s="15"/>
      <c r="EX462" s="15"/>
      <c r="EY462" s="15"/>
      <c r="EZ462" s="15"/>
      <c r="FA462" s="15"/>
      <c r="FB462" s="15"/>
      <c r="FC462" s="16" t="s">
        <v>197</v>
      </c>
      <c r="FD462" s="17" t="s">
        <v>198</v>
      </c>
      <c r="FE462" s="18">
        <v>45723.3484837963</v>
      </c>
      <c r="FF462" s="19"/>
      <c r="FG462" s="19"/>
      <c r="FH462" s="21" t="s">
        <v>197</v>
      </c>
      <c r="FI462" s="17" t="s">
        <v>214</v>
      </c>
      <c r="FJ462" s="18">
        <v>45723.3484837963</v>
      </c>
      <c r="FK462" s="14" t="s">
        <v>11451</v>
      </c>
      <c r="FL462" s="19"/>
      <c r="FM462" s="19"/>
      <c r="FN462" s="19"/>
      <c r="FO462" s="19"/>
      <c r="FP462" s="19" t="str">
        <f t="shared" si="1"/>
        <v/>
      </c>
      <c r="FQ462" s="14" t="s">
        <v>215</v>
      </c>
      <c r="FR462" s="14" t="s">
        <v>11452</v>
      </c>
    </row>
    <row r="463" ht="15.75" customHeight="1">
      <c r="A463" s="12" t="s">
        <v>217</v>
      </c>
      <c r="B463" s="12" t="s">
        <v>11453</v>
      </c>
      <c r="C463" s="24" t="s">
        <v>375</v>
      </c>
      <c r="D463" s="22" t="s">
        <v>11454</v>
      </c>
      <c r="E463" s="22" t="s">
        <v>11455</v>
      </c>
      <c r="F463" s="13" t="s">
        <v>178</v>
      </c>
      <c r="G463" s="14" t="s">
        <v>179</v>
      </c>
      <c r="H463" s="14" t="s">
        <v>11456</v>
      </c>
      <c r="I463" s="14" t="s">
        <v>179</v>
      </c>
      <c r="J463" s="14" t="s">
        <v>11457</v>
      </c>
      <c r="K463" s="14" t="s">
        <v>179</v>
      </c>
      <c r="L463" s="14" t="s">
        <v>11458</v>
      </c>
      <c r="M463" s="14" t="s">
        <v>179</v>
      </c>
      <c r="N463" s="14" t="s">
        <v>11459</v>
      </c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6" t="s">
        <v>197</v>
      </c>
      <c r="BP463" s="17" t="s">
        <v>198</v>
      </c>
      <c r="BQ463" s="18">
        <v>45684.468877314815</v>
      </c>
      <c r="BR463" s="17" t="s">
        <v>198</v>
      </c>
      <c r="BS463" s="18">
        <v>45684.469143518516</v>
      </c>
      <c r="BT463" s="17" t="s">
        <v>198</v>
      </c>
      <c r="BU463" s="18">
        <v>45684.469143518516</v>
      </c>
      <c r="BV463" s="13" t="s">
        <v>199</v>
      </c>
      <c r="BW463" s="14" t="s">
        <v>179</v>
      </c>
      <c r="BX463" s="14" t="s">
        <v>11460</v>
      </c>
      <c r="BY463" s="14" t="s">
        <v>179</v>
      </c>
      <c r="BZ463" s="14" t="s">
        <v>11460</v>
      </c>
      <c r="CA463" s="14" t="s">
        <v>179</v>
      </c>
      <c r="CB463" s="14" t="s">
        <v>11461</v>
      </c>
      <c r="CC463" s="15"/>
      <c r="CD463" s="15"/>
      <c r="CE463" s="15"/>
      <c r="CF463" s="15"/>
      <c r="CG463" s="19"/>
      <c r="CH463" s="15"/>
      <c r="CI463" s="19"/>
      <c r="CJ463" s="15"/>
      <c r="CK463" s="19"/>
      <c r="CL463" s="15"/>
      <c r="CM463" s="19"/>
      <c r="CN463" s="15"/>
      <c r="CO463" s="19"/>
      <c r="CP463" s="15"/>
      <c r="CQ463" s="15"/>
      <c r="CR463" s="15"/>
      <c r="CS463" s="19"/>
      <c r="CT463" s="15"/>
      <c r="CU463" s="19"/>
      <c r="CV463" s="15"/>
      <c r="CW463" s="19"/>
      <c r="CX463" s="15"/>
      <c r="CY463" s="19"/>
      <c r="CZ463" s="15"/>
      <c r="DA463" s="16" t="s">
        <v>197</v>
      </c>
      <c r="DB463" s="17" t="s">
        <v>228</v>
      </c>
      <c r="DC463" s="16"/>
      <c r="DD463" s="17" t="s">
        <v>198</v>
      </c>
      <c r="DE463" s="18">
        <v>45686.4408912037</v>
      </c>
      <c r="DF463" s="17" t="s">
        <v>198</v>
      </c>
      <c r="DG463" s="18">
        <v>45686.4408912037</v>
      </c>
      <c r="DH463" s="13" t="s">
        <v>205</v>
      </c>
      <c r="DI463" s="14" t="s">
        <v>179</v>
      </c>
      <c r="DJ463" s="14" t="s">
        <v>11462</v>
      </c>
      <c r="DK463" s="14" t="s">
        <v>179</v>
      </c>
      <c r="DL463" s="14" t="s">
        <v>11463</v>
      </c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6" t="s">
        <v>197</v>
      </c>
      <c r="ED463" s="17" t="s">
        <v>198</v>
      </c>
      <c r="EE463" s="18">
        <v>45699.594722222224</v>
      </c>
      <c r="EF463" s="13" t="s">
        <v>209</v>
      </c>
      <c r="EG463" s="14" t="s">
        <v>179</v>
      </c>
      <c r="EH463" s="14" t="s">
        <v>11464</v>
      </c>
      <c r="EI463" s="14" t="s">
        <v>179</v>
      </c>
      <c r="EJ463" s="14" t="s">
        <v>11465</v>
      </c>
      <c r="EK463" s="15"/>
      <c r="EL463" s="15"/>
      <c r="EM463" s="15"/>
      <c r="EN463" s="15"/>
      <c r="EO463" s="15"/>
      <c r="EP463" s="15"/>
      <c r="EQ463" s="15"/>
      <c r="ER463" s="15"/>
      <c r="ES463" s="15"/>
      <c r="ET463" s="15"/>
      <c r="EU463" s="15"/>
      <c r="EV463" s="15"/>
      <c r="EW463" s="15"/>
      <c r="EX463" s="15"/>
      <c r="EY463" s="15"/>
      <c r="EZ463" s="15"/>
      <c r="FA463" s="15"/>
      <c r="FB463" s="15"/>
      <c r="FC463" s="16" t="s">
        <v>197</v>
      </c>
      <c r="FD463" s="17" t="s">
        <v>198</v>
      </c>
      <c r="FE463" s="18">
        <v>45723.374548611115</v>
      </c>
      <c r="FF463" s="19"/>
      <c r="FG463" s="19"/>
      <c r="FH463" s="21" t="s">
        <v>197</v>
      </c>
      <c r="FI463" s="17" t="s">
        <v>214</v>
      </c>
      <c r="FJ463" s="18">
        <v>45723.374548611115</v>
      </c>
      <c r="FK463" s="14" t="s">
        <v>11465</v>
      </c>
      <c r="FL463" s="14" t="s">
        <v>11466</v>
      </c>
      <c r="FM463" s="14" t="s">
        <v>11467</v>
      </c>
      <c r="FN463" s="19"/>
      <c r="FO463" s="19"/>
      <c r="FP463" s="19" t="str">
        <f t="shared" si="1"/>
        <v>Base de Dados_Images/LIT40018.Imagem do Equipamento-.151713.jpg</v>
      </c>
      <c r="FQ463" s="19"/>
      <c r="FR463" s="19"/>
    </row>
    <row r="464" ht="15.75" customHeight="1">
      <c r="A464" s="12" t="s">
        <v>217</v>
      </c>
      <c r="B464" s="12" t="s">
        <v>11468</v>
      </c>
      <c r="C464" s="24" t="s">
        <v>375</v>
      </c>
      <c r="D464" s="22" t="s">
        <v>11469</v>
      </c>
      <c r="E464" s="22" t="s">
        <v>11470</v>
      </c>
      <c r="F464" s="13" t="s">
        <v>178</v>
      </c>
      <c r="G464" s="14" t="s">
        <v>179</v>
      </c>
      <c r="H464" s="14" t="s">
        <v>11471</v>
      </c>
      <c r="I464" s="14" t="s">
        <v>179</v>
      </c>
      <c r="J464" s="14" t="s">
        <v>11472</v>
      </c>
      <c r="K464" s="14" t="s">
        <v>179</v>
      </c>
      <c r="L464" s="14" t="s">
        <v>11473</v>
      </c>
      <c r="M464" s="14" t="s">
        <v>179</v>
      </c>
      <c r="N464" s="14" t="s">
        <v>11474</v>
      </c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6" t="s">
        <v>197</v>
      </c>
      <c r="BP464" s="17" t="s">
        <v>198</v>
      </c>
      <c r="BQ464" s="18">
        <v>45686.47106481482</v>
      </c>
      <c r="BR464" s="17" t="s">
        <v>198</v>
      </c>
      <c r="BS464" s="18">
        <v>45686.47115740741</v>
      </c>
      <c r="BT464" s="17" t="s">
        <v>198</v>
      </c>
      <c r="BU464" s="18">
        <v>45686.47115740741</v>
      </c>
      <c r="BV464" s="13" t="s">
        <v>199</v>
      </c>
      <c r="BW464" s="14" t="s">
        <v>179</v>
      </c>
      <c r="BX464" s="14" t="s">
        <v>11475</v>
      </c>
      <c r="BY464" s="14" t="s">
        <v>179</v>
      </c>
      <c r="BZ464" s="14" t="s">
        <v>11476</v>
      </c>
      <c r="CA464" s="14" t="s">
        <v>179</v>
      </c>
      <c r="CB464" s="14" t="s">
        <v>11477</v>
      </c>
      <c r="CC464" s="15"/>
      <c r="CD464" s="15"/>
      <c r="CE464" s="15"/>
      <c r="CF464" s="15"/>
      <c r="CG464" s="19"/>
      <c r="CH464" s="15"/>
      <c r="CI464" s="19"/>
      <c r="CJ464" s="15"/>
      <c r="CK464" s="19"/>
      <c r="CL464" s="15"/>
      <c r="CM464" s="19"/>
      <c r="CN464" s="15"/>
      <c r="CO464" s="19"/>
      <c r="CP464" s="15"/>
      <c r="CQ464" s="15"/>
      <c r="CR464" s="15"/>
      <c r="CS464" s="19"/>
      <c r="CT464" s="15"/>
      <c r="CU464" s="19"/>
      <c r="CV464" s="15"/>
      <c r="CW464" s="19"/>
      <c r="CX464" s="15"/>
      <c r="CY464" s="19"/>
      <c r="CZ464" s="15"/>
      <c r="DA464" s="16" t="s">
        <v>197</v>
      </c>
      <c r="DB464" s="17" t="s">
        <v>228</v>
      </c>
      <c r="DC464" s="16"/>
      <c r="DD464" s="17" t="s">
        <v>198</v>
      </c>
      <c r="DE464" s="18">
        <v>45700.62364583334</v>
      </c>
      <c r="DF464" s="17" t="s">
        <v>198</v>
      </c>
      <c r="DG464" s="18">
        <v>45700.62364583334</v>
      </c>
      <c r="DH464" s="13" t="s">
        <v>205</v>
      </c>
      <c r="DI464" s="14" t="s">
        <v>179</v>
      </c>
      <c r="DJ464" s="14" t="s">
        <v>11478</v>
      </c>
      <c r="DK464" s="14" t="s">
        <v>179</v>
      </c>
      <c r="DL464" s="14" t="s">
        <v>11478</v>
      </c>
      <c r="DM464" s="15"/>
      <c r="DN464" s="15"/>
      <c r="DO464" s="15"/>
      <c r="DP464" s="15"/>
      <c r="DQ464" s="15"/>
      <c r="DR464" s="15"/>
      <c r="DS464" s="15"/>
      <c r="DT464" s="15"/>
      <c r="DU464" s="15"/>
      <c r="DV464" s="15"/>
      <c r="DW464" s="15"/>
      <c r="DX464" s="15"/>
      <c r="DY464" s="15"/>
      <c r="DZ464" s="15"/>
      <c r="EA464" s="15"/>
      <c r="EB464" s="15"/>
      <c r="EC464" s="16" t="s">
        <v>197</v>
      </c>
      <c r="ED464" s="17" t="s">
        <v>198</v>
      </c>
      <c r="EE464" s="18">
        <v>45700.623773148145</v>
      </c>
      <c r="EF464" s="13" t="s">
        <v>209</v>
      </c>
      <c r="EG464" s="14" t="s">
        <v>179</v>
      </c>
      <c r="EH464" s="14" t="s">
        <v>11479</v>
      </c>
      <c r="EI464" s="14" t="s">
        <v>179</v>
      </c>
      <c r="EJ464" s="14" t="s">
        <v>11479</v>
      </c>
      <c r="EK464" s="15"/>
      <c r="EL464" s="15"/>
      <c r="EM464" s="15"/>
      <c r="EN464" s="15"/>
      <c r="EO464" s="15"/>
      <c r="EP464" s="15"/>
      <c r="EQ464" s="15"/>
      <c r="ER464" s="15"/>
      <c r="ES464" s="15"/>
      <c r="ET464" s="15"/>
      <c r="EU464" s="15"/>
      <c r="EV464" s="15"/>
      <c r="EW464" s="15"/>
      <c r="EX464" s="15"/>
      <c r="EY464" s="15"/>
      <c r="EZ464" s="15"/>
      <c r="FA464" s="15"/>
      <c r="FB464" s="15"/>
      <c r="FC464" s="16" t="s">
        <v>197</v>
      </c>
      <c r="FD464" s="17" t="s">
        <v>198</v>
      </c>
      <c r="FE464" s="18">
        <v>45723.34894675926</v>
      </c>
      <c r="FF464" s="19"/>
      <c r="FG464" s="19"/>
      <c r="FH464" s="21" t="s">
        <v>197</v>
      </c>
      <c r="FI464" s="17" t="s">
        <v>214</v>
      </c>
      <c r="FJ464" s="18">
        <v>45723.34894675926</v>
      </c>
      <c r="FK464" s="14" t="s">
        <v>11479</v>
      </c>
      <c r="FL464" s="19"/>
      <c r="FM464" s="19"/>
      <c r="FN464" s="19"/>
      <c r="FO464" s="19"/>
      <c r="FP464" s="19" t="str">
        <f t="shared" si="1"/>
        <v/>
      </c>
      <c r="FQ464" s="14" t="s">
        <v>215</v>
      </c>
      <c r="FR464" s="14" t="s">
        <v>11480</v>
      </c>
    </row>
    <row r="465" ht="15.75" customHeight="1">
      <c r="A465" s="12" t="s">
        <v>217</v>
      </c>
      <c r="B465" s="12" t="s">
        <v>6785</v>
      </c>
      <c r="C465" s="24" t="s">
        <v>375</v>
      </c>
      <c r="D465" s="22" t="s">
        <v>11481</v>
      </c>
      <c r="E465" s="22" t="s">
        <v>11482</v>
      </c>
      <c r="F465" s="13" t="s">
        <v>178</v>
      </c>
      <c r="G465" s="14" t="s">
        <v>179</v>
      </c>
      <c r="H465" s="14" t="s">
        <v>11483</v>
      </c>
      <c r="I465" s="14" t="s">
        <v>179</v>
      </c>
      <c r="J465" s="14" t="s">
        <v>11484</v>
      </c>
      <c r="K465" s="14" t="s">
        <v>179</v>
      </c>
      <c r="L465" s="14" t="s">
        <v>11485</v>
      </c>
      <c r="M465" s="14" t="s">
        <v>179</v>
      </c>
      <c r="N465" s="14" t="s">
        <v>11486</v>
      </c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6" t="s">
        <v>197</v>
      </c>
      <c r="BP465" s="17" t="s">
        <v>198</v>
      </c>
      <c r="BQ465" s="18">
        <v>45685.35109953704</v>
      </c>
      <c r="BR465" s="17" t="s">
        <v>198</v>
      </c>
      <c r="BS465" s="18">
        <v>45685.351168981484</v>
      </c>
      <c r="BT465" s="17" t="s">
        <v>198</v>
      </c>
      <c r="BU465" s="18">
        <v>45685.351168981484</v>
      </c>
      <c r="BV465" s="13" t="s">
        <v>199</v>
      </c>
      <c r="BW465" s="14" t="s">
        <v>179</v>
      </c>
      <c r="BX465" s="14" t="s">
        <v>11487</v>
      </c>
      <c r="BY465" s="14" t="s">
        <v>179</v>
      </c>
      <c r="BZ465" s="14" t="s">
        <v>11488</v>
      </c>
      <c r="CA465" s="14" t="s">
        <v>179</v>
      </c>
      <c r="CB465" s="14" t="s">
        <v>11489</v>
      </c>
      <c r="CC465" s="15"/>
      <c r="CD465" s="15"/>
      <c r="CE465" s="15"/>
      <c r="CF465" s="15"/>
      <c r="CG465" s="19"/>
      <c r="CH465" s="15"/>
      <c r="CI465" s="19"/>
      <c r="CJ465" s="15"/>
      <c r="CK465" s="19"/>
      <c r="CL465" s="15"/>
      <c r="CM465" s="19"/>
      <c r="CN465" s="15"/>
      <c r="CO465" s="19"/>
      <c r="CP465" s="15"/>
      <c r="CQ465" s="15"/>
      <c r="CR465" s="15"/>
      <c r="CS465" s="19"/>
      <c r="CT465" s="15"/>
      <c r="CU465" s="19"/>
      <c r="CV465" s="15"/>
      <c r="CW465" s="19"/>
      <c r="CX465" s="15"/>
      <c r="CY465" s="19"/>
      <c r="CZ465" s="15"/>
      <c r="DA465" s="16" t="s">
        <v>197</v>
      </c>
      <c r="DB465" s="17" t="s">
        <v>228</v>
      </c>
      <c r="DC465" s="16"/>
      <c r="DD465" s="17" t="s">
        <v>198</v>
      </c>
      <c r="DE465" s="18">
        <v>45700.627604166664</v>
      </c>
      <c r="DF465" s="17" t="s">
        <v>198</v>
      </c>
      <c r="DG465" s="18">
        <v>45700.627604166664</v>
      </c>
      <c r="DH465" s="13" t="s">
        <v>205</v>
      </c>
      <c r="DI465" s="14" t="s">
        <v>179</v>
      </c>
      <c r="DJ465" s="14" t="s">
        <v>11490</v>
      </c>
      <c r="DK465" s="14" t="s">
        <v>179</v>
      </c>
      <c r="DL465" s="14" t="s">
        <v>11490</v>
      </c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6" t="s">
        <v>197</v>
      </c>
      <c r="ED465" s="17" t="s">
        <v>198</v>
      </c>
      <c r="EE465" s="18">
        <v>45700.62766203703</v>
      </c>
      <c r="EF465" s="13" t="s">
        <v>209</v>
      </c>
      <c r="EG465" s="14" t="s">
        <v>179</v>
      </c>
      <c r="EH465" s="14" t="s">
        <v>11491</v>
      </c>
      <c r="EI465" s="14" t="s">
        <v>179</v>
      </c>
      <c r="EJ465" s="14" t="s">
        <v>11492</v>
      </c>
      <c r="EK465" s="15"/>
      <c r="EL465" s="15"/>
      <c r="EM465" s="15"/>
      <c r="EN465" s="15"/>
      <c r="EO465" s="15"/>
      <c r="EP465" s="15"/>
      <c r="EQ465" s="15"/>
      <c r="ER465" s="15"/>
      <c r="ES465" s="15"/>
      <c r="ET465" s="15"/>
      <c r="EU465" s="15"/>
      <c r="EV465" s="15"/>
      <c r="EW465" s="15"/>
      <c r="EX465" s="15"/>
      <c r="EY465" s="15"/>
      <c r="EZ465" s="15"/>
      <c r="FA465" s="15"/>
      <c r="FB465" s="15"/>
      <c r="FC465" s="16" t="s">
        <v>197</v>
      </c>
      <c r="FD465" s="17" t="s">
        <v>198</v>
      </c>
      <c r="FE465" s="18">
        <v>45723.35298611111</v>
      </c>
      <c r="FF465" s="19"/>
      <c r="FG465" s="19"/>
      <c r="FH465" s="21" t="s">
        <v>197</v>
      </c>
      <c r="FI465" s="17" t="s">
        <v>214</v>
      </c>
      <c r="FJ465" s="18">
        <v>45723.35298611111</v>
      </c>
      <c r="FK465" s="14" t="s">
        <v>11492</v>
      </c>
      <c r="FL465" s="14" t="s">
        <v>11493</v>
      </c>
      <c r="FM465" s="14" t="s">
        <v>11494</v>
      </c>
      <c r="FN465" s="19"/>
      <c r="FO465" s="19"/>
      <c r="FP465" s="19" t="str">
        <f t="shared" si="1"/>
        <v>Base de Dados_Images/LIT40020.Imagem do Equipamento-.131232.jpg</v>
      </c>
      <c r="FQ465" s="19"/>
      <c r="FR465" s="19"/>
    </row>
    <row r="466" ht="15.75" customHeight="1">
      <c r="A466" s="12" t="s">
        <v>217</v>
      </c>
      <c r="B466" s="12" t="s">
        <v>6715</v>
      </c>
      <c r="C466" s="24" t="s">
        <v>375</v>
      </c>
      <c r="D466" s="22" t="s">
        <v>11495</v>
      </c>
      <c r="E466" s="22" t="s">
        <v>11496</v>
      </c>
      <c r="F466" s="13" t="s">
        <v>178</v>
      </c>
      <c r="G466" s="14" t="s">
        <v>179</v>
      </c>
      <c r="H466" s="14" t="s">
        <v>11497</v>
      </c>
      <c r="I466" s="14" t="s">
        <v>179</v>
      </c>
      <c r="J466" s="14" t="s">
        <v>11497</v>
      </c>
      <c r="K466" s="14" t="s">
        <v>179</v>
      </c>
      <c r="L466" s="14" t="s">
        <v>11498</v>
      </c>
      <c r="M466" s="14" t="s">
        <v>179</v>
      </c>
      <c r="N466" s="14" t="s">
        <v>11499</v>
      </c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6" t="s">
        <v>197</v>
      </c>
      <c r="BP466" s="17" t="s">
        <v>198</v>
      </c>
      <c r="BQ466" s="18">
        <v>45685.359560185185</v>
      </c>
      <c r="BR466" s="17" t="s">
        <v>198</v>
      </c>
      <c r="BS466" s="18">
        <v>45685.359618055554</v>
      </c>
      <c r="BT466" s="17" t="s">
        <v>198</v>
      </c>
      <c r="BU466" s="18">
        <v>45685.359618055554</v>
      </c>
      <c r="BV466" s="13" t="s">
        <v>199</v>
      </c>
      <c r="BW466" s="14" t="s">
        <v>179</v>
      </c>
      <c r="BX466" s="14" t="s">
        <v>11500</v>
      </c>
      <c r="BY466" s="14" t="s">
        <v>179</v>
      </c>
      <c r="BZ466" s="14" t="s">
        <v>11501</v>
      </c>
      <c r="CA466" s="14" t="s">
        <v>179</v>
      </c>
      <c r="CB466" s="14" t="s">
        <v>11502</v>
      </c>
      <c r="CC466" s="15"/>
      <c r="CD466" s="15"/>
      <c r="CE466" s="15"/>
      <c r="CF466" s="15"/>
      <c r="CG466" s="19"/>
      <c r="CH466" s="15"/>
      <c r="CI466" s="19"/>
      <c r="CJ466" s="15"/>
      <c r="CK466" s="19"/>
      <c r="CL466" s="15"/>
      <c r="CM466" s="19"/>
      <c r="CN466" s="15"/>
      <c r="CO466" s="19"/>
      <c r="CP466" s="15"/>
      <c r="CQ466" s="15"/>
      <c r="CR466" s="15"/>
      <c r="CS466" s="19"/>
      <c r="CT466" s="15"/>
      <c r="CU466" s="19"/>
      <c r="CV466" s="15"/>
      <c r="CW466" s="19"/>
      <c r="CX466" s="15"/>
      <c r="CY466" s="19"/>
      <c r="CZ466" s="15"/>
      <c r="DA466" s="16" t="s">
        <v>197</v>
      </c>
      <c r="DB466" s="17" t="s">
        <v>228</v>
      </c>
      <c r="DC466" s="16"/>
      <c r="DD466" s="17" t="s">
        <v>198</v>
      </c>
      <c r="DE466" s="18">
        <v>45700.6297337963</v>
      </c>
      <c r="DF466" s="17" t="s">
        <v>198</v>
      </c>
      <c r="DG466" s="18">
        <v>45700.6297337963</v>
      </c>
      <c r="DH466" s="13" t="s">
        <v>205</v>
      </c>
      <c r="DI466" s="14" t="s">
        <v>179</v>
      </c>
      <c r="DJ466" s="14" t="s">
        <v>11503</v>
      </c>
      <c r="DK466" s="14" t="s">
        <v>179</v>
      </c>
      <c r="DL466" s="14" t="s">
        <v>11504</v>
      </c>
      <c r="DM466" s="15"/>
      <c r="DN466" s="15"/>
      <c r="DO466" s="15"/>
      <c r="DP466" s="15"/>
      <c r="DQ466" s="15"/>
      <c r="DR466" s="15"/>
      <c r="DS466" s="15"/>
      <c r="DT466" s="15"/>
      <c r="DU466" s="15"/>
      <c r="DV466" s="15"/>
      <c r="DW466" s="15"/>
      <c r="DX466" s="15"/>
      <c r="DY466" s="15"/>
      <c r="DZ466" s="15"/>
      <c r="EA466" s="15"/>
      <c r="EB466" s="15"/>
      <c r="EC466" s="16" t="s">
        <v>197</v>
      </c>
      <c r="ED466" s="17" t="s">
        <v>198</v>
      </c>
      <c r="EE466" s="18">
        <v>45700.62987268518</v>
      </c>
      <c r="EF466" s="13" t="s">
        <v>209</v>
      </c>
      <c r="EG466" s="14" t="s">
        <v>179</v>
      </c>
      <c r="EH466" s="14" t="s">
        <v>11505</v>
      </c>
      <c r="EI466" s="14" t="s">
        <v>179</v>
      </c>
      <c r="EJ466" s="14" t="s">
        <v>11505</v>
      </c>
      <c r="EK466" s="15"/>
      <c r="EL466" s="15"/>
      <c r="EM466" s="15"/>
      <c r="EN466" s="15"/>
      <c r="EO466" s="15"/>
      <c r="EP466" s="15"/>
      <c r="EQ466" s="15"/>
      <c r="ER466" s="15"/>
      <c r="ES466" s="15"/>
      <c r="ET466" s="15"/>
      <c r="EU466" s="15"/>
      <c r="EV466" s="15"/>
      <c r="EW466" s="15"/>
      <c r="EX466" s="15"/>
      <c r="EY466" s="15"/>
      <c r="EZ466" s="15"/>
      <c r="FA466" s="15"/>
      <c r="FB466" s="15"/>
      <c r="FC466" s="16" t="s">
        <v>197</v>
      </c>
      <c r="FD466" s="17" t="s">
        <v>198</v>
      </c>
      <c r="FE466" s="18">
        <v>45723.35482638889</v>
      </c>
      <c r="FF466" s="19"/>
      <c r="FG466" s="19"/>
      <c r="FH466" s="21" t="s">
        <v>197</v>
      </c>
      <c r="FI466" s="17" t="s">
        <v>214</v>
      </c>
      <c r="FJ466" s="18">
        <v>45723.35482638889</v>
      </c>
      <c r="FK466" s="14" t="s">
        <v>11505</v>
      </c>
      <c r="FL466" s="19"/>
      <c r="FM466" s="19"/>
      <c r="FN466" s="19"/>
      <c r="FO466" s="19"/>
      <c r="FP466" s="19" t="str">
        <f t="shared" si="1"/>
        <v/>
      </c>
      <c r="FQ466" s="14" t="s">
        <v>215</v>
      </c>
      <c r="FR466" s="14" t="s">
        <v>11506</v>
      </c>
    </row>
    <row r="467" ht="15.75" customHeight="1">
      <c r="A467" s="12" t="s">
        <v>217</v>
      </c>
      <c r="B467" s="12" t="s">
        <v>6880</v>
      </c>
      <c r="C467" s="24" t="s">
        <v>375</v>
      </c>
      <c r="D467" s="22" t="s">
        <v>11507</v>
      </c>
      <c r="E467" s="22" t="s">
        <v>11508</v>
      </c>
      <c r="F467" s="13" t="s">
        <v>178</v>
      </c>
      <c r="G467" s="14" t="s">
        <v>179</v>
      </c>
      <c r="H467" s="14" t="s">
        <v>11509</v>
      </c>
      <c r="I467" s="14" t="s">
        <v>179</v>
      </c>
      <c r="J467" s="14" t="s">
        <v>11510</v>
      </c>
      <c r="K467" s="14" t="s">
        <v>179</v>
      </c>
      <c r="L467" s="14" t="s">
        <v>11511</v>
      </c>
      <c r="M467" s="14" t="s">
        <v>179</v>
      </c>
      <c r="N467" s="14" t="s">
        <v>11510</v>
      </c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6" t="s">
        <v>197</v>
      </c>
      <c r="BP467" s="17" t="s">
        <v>198</v>
      </c>
      <c r="BQ467" s="18">
        <v>45685.36042824074</v>
      </c>
      <c r="BR467" s="17" t="s">
        <v>198</v>
      </c>
      <c r="BS467" s="18">
        <v>45685.36046296296</v>
      </c>
      <c r="BT467" s="17" t="s">
        <v>198</v>
      </c>
      <c r="BU467" s="18">
        <v>45685.36046296296</v>
      </c>
      <c r="BV467" s="13" t="s">
        <v>199</v>
      </c>
      <c r="BW467" s="14" t="s">
        <v>179</v>
      </c>
      <c r="BX467" s="14" t="s">
        <v>11512</v>
      </c>
      <c r="BY467" s="14" t="s">
        <v>179</v>
      </c>
      <c r="BZ467" s="14" t="s">
        <v>11512</v>
      </c>
      <c r="CA467" s="14" t="s">
        <v>179</v>
      </c>
      <c r="CB467" s="14" t="s">
        <v>11513</v>
      </c>
      <c r="CC467" s="15"/>
      <c r="CD467" s="15"/>
      <c r="CE467" s="15"/>
      <c r="CF467" s="15"/>
      <c r="CG467" s="19"/>
      <c r="CH467" s="15"/>
      <c r="CI467" s="19"/>
      <c r="CJ467" s="15"/>
      <c r="CK467" s="19"/>
      <c r="CL467" s="15"/>
      <c r="CM467" s="19"/>
      <c r="CN467" s="15"/>
      <c r="CO467" s="19"/>
      <c r="CP467" s="15"/>
      <c r="CQ467" s="15"/>
      <c r="CR467" s="15"/>
      <c r="CS467" s="19"/>
      <c r="CT467" s="15"/>
      <c r="CU467" s="19"/>
      <c r="CV467" s="15"/>
      <c r="CW467" s="19"/>
      <c r="CX467" s="15"/>
      <c r="CY467" s="19"/>
      <c r="CZ467" s="15"/>
      <c r="DA467" s="16" t="s">
        <v>197</v>
      </c>
      <c r="DB467" s="17" t="s">
        <v>228</v>
      </c>
      <c r="DC467" s="16"/>
      <c r="DD467" s="17" t="s">
        <v>198</v>
      </c>
      <c r="DE467" s="18">
        <v>45700.63017361111</v>
      </c>
      <c r="DF467" s="17" t="s">
        <v>198</v>
      </c>
      <c r="DG467" s="18">
        <v>45700.63017361111</v>
      </c>
      <c r="DH467" s="13" t="s">
        <v>205</v>
      </c>
      <c r="DI467" s="14" t="s">
        <v>179</v>
      </c>
      <c r="DJ467" s="14" t="s">
        <v>11514</v>
      </c>
      <c r="DK467" s="14" t="s">
        <v>179</v>
      </c>
      <c r="DL467" s="14" t="s">
        <v>11514</v>
      </c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6" t="s">
        <v>197</v>
      </c>
      <c r="ED467" s="17" t="s">
        <v>198</v>
      </c>
      <c r="EE467" s="18">
        <v>45700.63025462963</v>
      </c>
      <c r="EF467" s="13" t="s">
        <v>209</v>
      </c>
      <c r="EG467" s="14" t="s">
        <v>179</v>
      </c>
      <c r="EH467" s="14" t="s">
        <v>11515</v>
      </c>
      <c r="EI467" s="14" t="s">
        <v>179</v>
      </c>
      <c r="EJ467" s="14" t="s">
        <v>11515</v>
      </c>
      <c r="EK467" s="15"/>
      <c r="EL467" s="15"/>
      <c r="EM467" s="15"/>
      <c r="EN467" s="15"/>
      <c r="EO467" s="15"/>
      <c r="EP467" s="15"/>
      <c r="EQ467" s="15"/>
      <c r="ER467" s="15"/>
      <c r="ES467" s="15"/>
      <c r="ET467" s="15"/>
      <c r="EU467" s="15"/>
      <c r="EV467" s="15"/>
      <c r="EW467" s="15"/>
      <c r="EX467" s="15"/>
      <c r="EY467" s="15"/>
      <c r="EZ467" s="15"/>
      <c r="FA467" s="15"/>
      <c r="FB467" s="15"/>
      <c r="FC467" s="16" t="s">
        <v>197</v>
      </c>
      <c r="FD467" s="17" t="s">
        <v>198</v>
      </c>
      <c r="FE467" s="18">
        <v>45723.352268518516</v>
      </c>
      <c r="FF467" s="19"/>
      <c r="FG467" s="19"/>
      <c r="FH467" s="21" t="s">
        <v>197</v>
      </c>
      <c r="FI467" s="17" t="s">
        <v>214</v>
      </c>
      <c r="FJ467" s="18">
        <v>45723.352268518516</v>
      </c>
      <c r="FK467" s="14" t="s">
        <v>11515</v>
      </c>
      <c r="FL467" s="14" t="s">
        <v>11516</v>
      </c>
      <c r="FM467" s="14" t="s">
        <v>11517</v>
      </c>
      <c r="FN467" s="19"/>
      <c r="FO467" s="19"/>
      <c r="FP467" s="19" t="str">
        <f t="shared" si="1"/>
        <v>Base de Dados_Images/LIT40022.Imagem do Equipamento-.131900.jpg</v>
      </c>
      <c r="FQ467" s="19"/>
      <c r="FR467" s="19"/>
    </row>
    <row r="468" ht="15.75" customHeight="1">
      <c r="A468" s="12" t="s">
        <v>217</v>
      </c>
      <c r="B468" s="12" t="s">
        <v>8821</v>
      </c>
      <c r="C468" s="24" t="s">
        <v>375</v>
      </c>
      <c r="D468" s="22" t="s">
        <v>11518</v>
      </c>
      <c r="E468" s="22" t="s">
        <v>11519</v>
      </c>
      <c r="F468" s="13" t="s">
        <v>178</v>
      </c>
      <c r="G468" s="14" t="s">
        <v>179</v>
      </c>
      <c r="H468" s="14" t="s">
        <v>11520</v>
      </c>
      <c r="I468" s="14" t="s">
        <v>179</v>
      </c>
      <c r="J468" s="14" t="s">
        <v>11521</v>
      </c>
      <c r="K468" s="14" t="s">
        <v>179</v>
      </c>
      <c r="L468" s="14" t="s">
        <v>11521</v>
      </c>
      <c r="M468" s="14" t="s">
        <v>179</v>
      </c>
      <c r="N468" s="14" t="s">
        <v>11522</v>
      </c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6" t="s">
        <v>197</v>
      </c>
      <c r="BP468" s="17" t="s">
        <v>198</v>
      </c>
      <c r="BQ468" s="18">
        <v>45687.42978009259</v>
      </c>
      <c r="BR468" s="17" t="s">
        <v>198</v>
      </c>
      <c r="BS468" s="18">
        <v>45687.429814814815</v>
      </c>
      <c r="BT468" s="17" t="s">
        <v>198</v>
      </c>
      <c r="BU468" s="18">
        <v>45687.429814814815</v>
      </c>
      <c r="BV468" s="13" t="s">
        <v>199</v>
      </c>
      <c r="BW468" s="14" t="s">
        <v>179</v>
      </c>
      <c r="BX468" s="14" t="s">
        <v>11523</v>
      </c>
      <c r="BY468" s="14" t="s">
        <v>179</v>
      </c>
      <c r="BZ468" s="14" t="s">
        <v>11523</v>
      </c>
      <c r="CA468" s="14" t="s">
        <v>179</v>
      </c>
      <c r="CB468" s="14" t="s">
        <v>11524</v>
      </c>
      <c r="CC468" s="15"/>
      <c r="CD468" s="15"/>
      <c r="CE468" s="15"/>
      <c r="CF468" s="15"/>
      <c r="CG468" s="19"/>
      <c r="CH468" s="15"/>
      <c r="CI468" s="19"/>
      <c r="CJ468" s="15"/>
      <c r="CK468" s="19"/>
      <c r="CL468" s="15"/>
      <c r="CM468" s="19"/>
      <c r="CN468" s="15"/>
      <c r="CO468" s="19"/>
      <c r="CP468" s="15"/>
      <c r="CQ468" s="15"/>
      <c r="CR468" s="15"/>
      <c r="CS468" s="19"/>
      <c r="CT468" s="15"/>
      <c r="CU468" s="19"/>
      <c r="CV468" s="15"/>
      <c r="CW468" s="19"/>
      <c r="CX468" s="15"/>
      <c r="CY468" s="19"/>
      <c r="CZ468" s="15"/>
      <c r="DA468" s="16" t="s">
        <v>197</v>
      </c>
      <c r="DB468" s="17" t="s">
        <v>228</v>
      </c>
      <c r="DC468" s="16"/>
      <c r="DD468" s="17" t="s">
        <v>198</v>
      </c>
      <c r="DE468" s="18">
        <v>45694.585497685184</v>
      </c>
      <c r="DF468" s="17" t="s">
        <v>198</v>
      </c>
      <c r="DG468" s="18">
        <v>45694.585497685184</v>
      </c>
      <c r="DH468" s="13" t="s">
        <v>205</v>
      </c>
      <c r="DI468" s="14" t="s">
        <v>179</v>
      </c>
      <c r="DJ468" s="14" t="s">
        <v>11525</v>
      </c>
      <c r="DK468" s="14" t="s">
        <v>179</v>
      </c>
      <c r="DL468" s="14" t="s">
        <v>11526</v>
      </c>
      <c r="DM468" s="15"/>
      <c r="DN468" s="15"/>
      <c r="DO468" s="15"/>
      <c r="DP468" s="15"/>
      <c r="DQ468" s="15"/>
      <c r="DR468" s="15"/>
      <c r="DS468" s="15"/>
      <c r="DT468" s="15"/>
      <c r="DU468" s="15"/>
      <c r="DV468" s="15"/>
      <c r="DW468" s="15"/>
      <c r="DX468" s="15"/>
      <c r="DY468" s="15"/>
      <c r="DZ468" s="15"/>
      <c r="EA468" s="15"/>
      <c r="EB468" s="15"/>
      <c r="EC468" s="16" t="s">
        <v>197</v>
      </c>
      <c r="ED468" s="17" t="s">
        <v>198</v>
      </c>
      <c r="EE468" s="18">
        <v>45708.54146990741</v>
      </c>
      <c r="EF468" s="13" t="s">
        <v>209</v>
      </c>
      <c r="EG468" s="14" t="s">
        <v>179</v>
      </c>
      <c r="EH468" s="14" t="s">
        <v>11527</v>
      </c>
      <c r="EI468" s="14" t="s">
        <v>179</v>
      </c>
      <c r="EJ468" s="14" t="s">
        <v>11527</v>
      </c>
      <c r="EK468" s="15"/>
      <c r="EL468" s="15"/>
      <c r="EM468" s="15"/>
      <c r="EN468" s="15"/>
      <c r="EO468" s="15"/>
      <c r="EP468" s="15"/>
      <c r="EQ468" s="15"/>
      <c r="ER468" s="15"/>
      <c r="ES468" s="15"/>
      <c r="ET468" s="15"/>
      <c r="EU468" s="15"/>
      <c r="EV468" s="15"/>
      <c r="EW468" s="15"/>
      <c r="EX468" s="15"/>
      <c r="EY468" s="15"/>
      <c r="EZ468" s="15"/>
      <c r="FA468" s="15"/>
      <c r="FB468" s="15"/>
      <c r="FC468" s="16" t="s">
        <v>197</v>
      </c>
      <c r="FD468" s="17" t="s">
        <v>198</v>
      </c>
      <c r="FE468" s="18">
        <v>45723.35134259259</v>
      </c>
      <c r="FF468" s="19"/>
      <c r="FG468" s="19"/>
      <c r="FH468" s="21" t="s">
        <v>197</v>
      </c>
      <c r="FI468" s="17" t="s">
        <v>214</v>
      </c>
      <c r="FJ468" s="18">
        <v>45723.35134259259</v>
      </c>
      <c r="FK468" s="14" t="s">
        <v>11527</v>
      </c>
      <c r="FL468" s="19"/>
      <c r="FM468" s="19"/>
      <c r="FN468" s="19"/>
      <c r="FO468" s="19"/>
      <c r="FP468" s="19" t="str">
        <f t="shared" si="1"/>
        <v/>
      </c>
      <c r="FQ468" s="14" t="s">
        <v>215</v>
      </c>
      <c r="FR468" s="14" t="s">
        <v>11528</v>
      </c>
    </row>
    <row r="469" ht="15.75" customHeight="1">
      <c r="A469" s="12" t="s">
        <v>217</v>
      </c>
      <c r="B469" s="12" t="s">
        <v>11529</v>
      </c>
      <c r="C469" s="24" t="s">
        <v>375</v>
      </c>
      <c r="D469" s="22" t="s">
        <v>11530</v>
      </c>
      <c r="E469" s="22" t="s">
        <v>11531</v>
      </c>
      <c r="F469" s="13" t="s">
        <v>178</v>
      </c>
      <c r="G469" s="14" t="s">
        <v>179</v>
      </c>
      <c r="H469" s="14" t="s">
        <v>11532</v>
      </c>
      <c r="I469" s="14" t="s">
        <v>179</v>
      </c>
      <c r="J469" s="14" t="s">
        <v>11533</v>
      </c>
      <c r="K469" s="14" t="s">
        <v>179</v>
      </c>
      <c r="L469" s="14" t="s">
        <v>11534</v>
      </c>
      <c r="M469" s="14" t="s">
        <v>179</v>
      </c>
      <c r="N469" s="14" t="s">
        <v>11534</v>
      </c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6" t="s">
        <v>197</v>
      </c>
      <c r="BP469" s="17" t="s">
        <v>198</v>
      </c>
      <c r="BQ469" s="18">
        <v>45687.408900462964</v>
      </c>
      <c r="BR469" s="17" t="s">
        <v>198</v>
      </c>
      <c r="BS469" s="18">
        <v>45687.40893518519</v>
      </c>
      <c r="BT469" s="17" t="s">
        <v>198</v>
      </c>
      <c r="BU469" s="18">
        <v>45687.40893518519</v>
      </c>
      <c r="BV469" s="13" t="s">
        <v>199</v>
      </c>
      <c r="BW469" s="14" t="s">
        <v>179</v>
      </c>
      <c r="BX469" s="14" t="s">
        <v>11535</v>
      </c>
      <c r="BY469" s="14" t="s">
        <v>179</v>
      </c>
      <c r="BZ469" s="14" t="s">
        <v>11535</v>
      </c>
      <c r="CA469" s="14" t="s">
        <v>179</v>
      </c>
      <c r="CB469" s="14" t="s">
        <v>11536</v>
      </c>
      <c r="CC469" s="15"/>
      <c r="CD469" s="15"/>
      <c r="CE469" s="15"/>
      <c r="CF469" s="15"/>
      <c r="CG469" s="19"/>
      <c r="CH469" s="15"/>
      <c r="CI469" s="19"/>
      <c r="CJ469" s="15"/>
      <c r="CK469" s="19"/>
      <c r="CL469" s="15"/>
      <c r="CM469" s="19"/>
      <c r="CN469" s="15"/>
      <c r="CO469" s="19"/>
      <c r="CP469" s="15"/>
      <c r="CQ469" s="15"/>
      <c r="CR469" s="15"/>
      <c r="CS469" s="19"/>
      <c r="CT469" s="15"/>
      <c r="CU469" s="19"/>
      <c r="CV469" s="15"/>
      <c r="CW469" s="19"/>
      <c r="CX469" s="15"/>
      <c r="CY469" s="19"/>
      <c r="CZ469" s="15"/>
      <c r="DA469" s="16" t="s">
        <v>197</v>
      </c>
      <c r="DB469" s="17" t="s">
        <v>228</v>
      </c>
      <c r="DC469" s="16"/>
      <c r="DD469" s="17" t="s">
        <v>198</v>
      </c>
      <c r="DE469" s="18">
        <v>45694.58378472222</v>
      </c>
      <c r="DF469" s="17" t="s">
        <v>198</v>
      </c>
      <c r="DG469" s="18">
        <v>45694.58378472222</v>
      </c>
      <c r="DH469" s="13" t="s">
        <v>205</v>
      </c>
      <c r="DI469" s="14" t="s">
        <v>179</v>
      </c>
      <c r="DJ469" s="14" t="s">
        <v>11537</v>
      </c>
      <c r="DK469" s="14" t="s">
        <v>179</v>
      </c>
      <c r="DL469" s="14" t="s">
        <v>11538</v>
      </c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6" t="s">
        <v>197</v>
      </c>
      <c r="ED469" s="17" t="s">
        <v>198</v>
      </c>
      <c r="EE469" s="18">
        <v>45708.534583333334</v>
      </c>
      <c r="EF469" s="13" t="s">
        <v>209</v>
      </c>
      <c r="EG469" s="14" t="s">
        <v>179</v>
      </c>
      <c r="EH469" s="14" t="s">
        <v>11539</v>
      </c>
      <c r="EI469" s="14" t="s">
        <v>179</v>
      </c>
      <c r="EJ469" s="14" t="s">
        <v>11539</v>
      </c>
      <c r="EK469" s="15"/>
      <c r="EL469" s="15"/>
      <c r="EM469" s="15"/>
      <c r="EN469" s="15"/>
      <c r="EO469" s="15"/>
      <c r="EP469" s="15"/>
      <c r="EQ469" s="15"/>
      <c r="ER469" s="15"/>
      <c r="ES469" s="15"/>
      <c r="ET469" s="15"/>
      <c r="EU469" s="15"/>
      <c r="EV469" s="15"/>
      <c r="EW469" s="15"/>
      <c r="EX469" s="15"/>
      <c r="EY469" s="15"/>
      <c r="EZ469" s="15"/>
      <c r="FA469" s="15"/>
      <c r="FB469" s="15"/>
      <c r="FC469" s="16" t="s">
        <v>197</v>
      </c>
      <c r="FD469" s="17" t="s">
        <v>198</v>
      </c>
      <c r="FE469" s="18">
        <v>45723.352476851855</v>
      </c>
      <c r="FF469" s="19"/>
      <c r="FG469" s="19"/>
      <c r="FH469" s="21" t="s">
        <v>197</v>
      </c>
      <c r="FI469" s="17" t="s">
        <v>214</v>
      </c>
      <c r="FJ469" s="18">
        <v>45723.352476851855</v>
      </c>
      <c r="FK469" s="14" t="s">
        <v>11539</v>
      </c>
      <c r="FL469" s="14" t="s">
        <v>11540</v>
      </c>
      <c r="FM469" s="14" t="s">
        <v>11541</v>
      </c>
      <c r="FN469" s="19"/>
      <c r="FO469" s="19"/>
      <c r="FP469" s="19" t="str">
        <f t="shared" si="1"/>
        <v>Base de Dados_Images/LIT40024.Imagem do Equipamento-.141639.jpg</v>
      </c>
      <c r="FQ469" s="19"/>
      <c r="FR469" s="19"/>
    </row>
    <row r="470" ht="15.75" customHeight="1">
      <c r="A470" s="12" t="s">
        <v>217</v>
      </c>
      <c r="B470" s="12" t="s">
        <v>9709</v>
      </c>
      <c r="C470" s="24" t="s">
        <v>375</v>
      </c>
      <c r="D470" s="22" t="s">
        <v>11542</v>
      </c>
      <c r="E470" s="22" t="s">
        <v>11543</v>
      </c>
      <c r="F470" s="13" t="s">
        <v>178</v>
      </c>
      <c r="G470" s="14" t="s">
        <v>179</v>
      </c>
      <c r="H470" s="14" t="s">
        <v>11544</v>
      </c>
      <c r="I470" s="14" t="s">
        <v>179</v>
      </c>
      <c r="J470" s="14" t="s">
        <v>11545</v>
      </c>
      <c r="K470" s="14" t="s">
        <v>179</v>
      </c>
      <c r="L470" s="14" t="s">
        <v>11546</v>
      </c>
      <c r="M470" s="14" t="s">
        <v>179</v>
      </c>
      <c r="N470" s="14" t="s">
        <v>11547</v>
      </c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6" t="s">
        <v>197</v>
      </c>
      <c r="BP470" s="17" t="s">
        <v>198</v>
      </c>
      <c r="BQ470" s="18">
        <v>45687.486979166664</v>
      </c>
      <c r="BR470" s="17" t="s">
        <v>198</v>
      </c>
      <c r="BS470" s="18">
        <v>45687.487025462964</v>
      </c>
      <c r="BT470" s="17" t="s">
        <v>198</v>
      </c>
      <c r="BU470" s="18">
        <v>45687.487025462964</v>
      </c>
      <c r="BV470" s="13" t="s">
        <v>199</v>
      </c>
      <c r="BW470" s="14" t="s">
        <v>179</v>
      </c>
      <c r="BX470" s="14" t="s">
        <v>11548</v>
      </c>
      <c r="BY470" s="14" t="s">
        <v>179</v>
      </c>
      <c r="BZ470" s="14" t="s">
        <v>11548</v>
      </c>
      <c r="CA470" s="14" t="s">
        <v>179</v>
      </c>
      <c r="CB470" s="14" t="s">
        <v>11549</v>
      </c>
      <c r="CC470" s="15"/>
      <c r="CD470" s="15"/>
      <c r="CE470" s="15"/>
      <c r="CF470" s="15"/>
      <c r="CG470" s="19"/>
      <c r="CH470" s="15"/>
      <c r="CI470" s="19"/>
      <c r="CJ470" s="15"/>
      <c r="CK470" s="19"/>
      <c r="CL470" s="15"/>
      <c r="CM470" s="19"/>
      <c r="CN470" s="15"/>
      <c r="CO470" s="19"/>
      <c r="CP470" s="15"/>
      <c r="CQ470" s="15"/>
      <c r="CR470" s="15"/>
      <c r="CS470" s="19"/>
      <c r="CT470" s="15"/>
      <c r="CU470" s="19"/>
      <c r="CV470" s="15"/>
      <c r="CW470" s="19"/>
      <c r="CX470" s="15"/>
      <c r="CY470" s="19"/>
      <c r="CZ470" s="15"/>
      <c r="DA470" s="16" t="s">
        <v>197</v>
      </c>
      <c r="DB470" s="17" t="s">
        <v>228</v>
      </c>
      <c r="DC470" s="16"/>
      <c r="DD470" s="17" t="s">
        <v>198</v>
      </c>
      <c r="DE470" s="18">
        <v>45720.605092592596</v>
      </c>
      <c r="DF470" s="17" t="s">
        <v>198</v>
      </c>
      <c r="DG470" s="18">
        <v>45720.605092592596</v>
      </c>
      <c r="DH470" s="13" t="s">
        <v>205</v>
      </c>
      <c r="DI470" s="14" t="s">
        <v>179</v>
      </c>
      <c r="DJ470" s="14" t="s">
        <v>11550</v>
      </c>
      <c r="DK470" s="14" t="s">
        <v>179</v>
      </c>
      <c r="DL470" s="14" t="s">
        <v>11551</v>
      </c>
      <c r="DM470" s="15"/>
      <c r="DN470" s="15"/>
      <c r="DO470" s="15"/>
      <c r="DP470" s="15"/>
      <c r="DQ470" s="15"/>
      <c r="DR470" s="15"/>
      <c r="DS470" s="15"/>
      <c r="DT470" s="15"/>
      <c r="DU470" s="15"/>
      <c r="DV470" s="15"/>
      <c r="DW470" s="15"/>
      <c r="DX470" s="15"/>
      <c r="DY470" s="15"/>
      <c r="DZ470" s="15"/>
      <c r="EA470" s="15"/>
      <c r="EB470" s="15"/>
      <c r="EC470" s="16" t="s">
        <v>197</v>
      </c>
      <c r="ED470" s="17" t="s">
        <v>198</v>
      </c>
      <c r="EE470" s="18">
        <v>45720.60513888889</v>
      </c>
      <c r="EF470" s="13" t="s">
        <v>209</v>
      </c>
      <c r="EG470" s="14" t="s">
        <v>179</v>
      </c>
      <c r="EH470" s="14" t="s">
        <v>11552</v>
      </c>
      <c r="EI470" s="14" t="s">
        <v>179</v>
      </c>
      <c r="EJ470" s="14" t="s">
        <v>11553</v>
      </c>
      <c r="EK470" s="15"/>
      <c r="EL470" s="15"/>
      <c r="EM470" s="15"/>
      <c r="EN470" s="15"/>
      <c r="EO470" s="15"/>
      <c r="EP470" s="15"/>
      <c r="EQ470" s="15"/>
      <c r="ER470" s="15"/>
      <c r="ES470" s="15"/>
      <c r="ET470" s="15"/>
      <c r="EU470" s="15"/>
      <c r="EV470" s="15"/>
      <c r="EW470" s="15"/>
      <c r="EX470" s="15"/>
      <c r="EY470" s="15"/>
      <c r="EZ470" s="15"/>
      <c r="FA470" s="15"/>
      <c r="FB470" s="15"/>
      <c r="FC470" s="16" t="s">
        <v>197</v>
      </c>
      <c r="FD470" s="17" t="s">
        <v>198</v>
      </c>
      <c r="FE470" s="18">
        <v>45723.35025462963</v>
      </c>
      <c r="FF470" s="19"/>
      <c r="FG470" s="19"/>
      <c r="FH470" s="21" t="s">
        <v>197</v>
      </c>
      <c r="FI470" s="17" t="s">
        <v>214</v>
      </c>
      <c r="FJ470" s="18">
        <v>45723.35025462963</v>
      </c>
      <c r="FK470" s="14" t="s">
        <v>11553</v>
      </c>
      <c r="FL470" s="14" t="s">
        <v>11554</v>
      </c>
      <c r="FM470" s="14" t="s">
        <v>11555</v>
      </c>
      <c r="FN470" s="19"/>
      <c r="FO470" s="19"/>
      <c r="FP470" s="19" t="str">
        <f t="shared" si="1"/>
        <v>Base de Dados_Images/LIT40025.Imagem do Equipamento-.150651.jpg</v>
      </c>
      <c r="FQ470" s="19"/>
      <c r="FR470" s="19"/>
    </row>
    <row r="471" ht="15.75" customHeight="1">
      <c r="A471" s="12" t="s">
        <v>217</v>
      </c>
      <c r="B471" s="12" t="s">
        <v>11556</v>
      </c>
      <c r="C471" s="24" t="s">
        <v>375</v>
      </c>
      <c r="D471" s="22" t="s">
        <v>11557</v>
      </c>
      <c r="E471" s="22" t="s">
        <v>11558</v>
      </c>
      <c r="F471" s="13" t="s">
        <v>178</v>
      </c>
      <c r="G471" s="14" t="s">
        <v>179</v>
      </c>
      <c r="H471" s="14" t="s">
        <v>11559</v>
      </c>
      <c r="I471" s="14" t="s">
        <v>179</v>
      </c>
      <c r="J471" s="14" t="s">
        <v>11560</v>
      </c>
      <c r="K471" s="14" t="s">
        <v>179</v>
      </c>
      <c r="L471" s="14" t="s">
        <v>11561</v>
      </c>
      <c r="M471" s="14" t="s">
        <v>179</v>
      </c>
      <c r="N471" s="14" t="s">
        <v>11562</v>
      </c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6" t="s">
        <v>197</v>
      </c>
      <c r="BP471" s="17" t="s">
        <v>198</v>
      </c>
      <c r="BQ471" s="18">
        <v>45687.40008101852</v>
      </c>
      <c r="BR471" s="17" t="s">
        <v>198</v>
      </c>
      <c r="BS471" s="18">
        <v>45687.40015046296</v>
      </c>
      <c r="BT471" s="17" t="s">
        <v>198</v>
      </c>
      <c r="BU471" s="18">
        <v>45687.40015046296</v>
      </c>
      <c r="BV471" s="13" t="s">
        <v>199</v>
      </c>
      <c r="BW471" s="14" t="s">
        <v>179</v>
      </c>
      <c r="BX471" s="14" t="s">
        <v>11563</v>
      </c>
      <c r="BY471" s="14" t="s">
        <v>179</v>
      </c>
      <c r="BZ471" s="14" t="s">
        <v>11564</v>
      </c>
      <c r="CA471" s="14" t="s">
        <v>179</v>
      </c>
      <c r="CB471" s="14" t="s">
        <v>11565</v>
      </c>
      <c r="CC471" s="15"/>
      <c r="CD471" s="15"/>
      <c r="CE471" s="15"/>
      <c r="CF471" s="15"/>
      <c r="CG471" s="19"/>
      <c r="CH471" s="15"/>
      <c r="CI471" s="19"/>
      <c r="CJ471" s="15"/>
      <c r="CK471" s="19"/>
      <c r="CL471" s="15"/>
      <c r="CM471" s="19"/>
      <c r="CN471" s="15"/>
      <c r="CO471" s="19"/>
      <c r="CP471" s="15"/>
      <c r="CQ471" s="15"/>
      <c r="CR471" s="15"/>
      <c r="CS471" s="19"/>
      <c r="CT471" s="15"/>
      <c r="CU471" s="19"/>
      <c r="CV471" s="15"/>
      <c r="CW471" s="19"/>
      <c r="CX471" s="15"/>
      <c r="CY471" s="19"/>
      <c r="CZ471" s="15"/>
      <c r="DA471" s="16" t="s">
        <v>197</v>
      </c>
      <c r="DB471" s="17" t="s">
        <v>228</v>
      </c>
      <c r="DC471" s="16"/>
      <c r="DD471" s="17" t="s">
        <v>198</v>
      </c>
      <c r="DE471" s="18">
        <v>45700.62684027778</v>
      </c>
      <c r="DF471" s="17" t="s">
        <v>198</v>
      </c>
      <c r="DG471" s="18">
        <v>45700.62684027778</v>
      </c>
      <c r="DH471" s="13" t="s">
        <v>205</v>
      </c>
      <c r="DI471" s="14" t="s">
        <v>179</v>
      </c>
      <c r="DJ471" s="14" t="s">
        <v>11566</v>
      </c>
      <c r="DK471" s="14" t="s">
        <v>179</v>
      </c>
      <c r="DL471" s="14" t="s">
        <v>11567</v>
      </c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6" t="s">
        <v>197</v>
      </c>
      <c r="ED471" s="17" t="s">
        <v>198</v>
      </c>
      <c r="EE471" s="18">
        <v>45700.627118055556</v>
      </c>
      <c r="EF471" s="13" t="s">
        <v>209</v>
      </c>
      <c r="EG471" s="14" t="s">
        <v>179</v>
      </c>
      <c r="EH471" s="14" t="s">
        <v>11568</v>
      </c>
      <c r="EI471" s="14" t="s">
        <v>179</v>
      </c>
      <c r="EJ471" s="14" t="s">
        <v>11568</v>
      </c>
      <c r="EK471" s="15"/>
      <c r="EL471" s="15"/>
      <c r="EM471" s="15"/>
      <c r="EN471" s="15"/>
      <c r="EO471" s="15"/>
      <c r="EP471" s="15"/>
      <c r="EQ471" s="15"/>
      <c r="ER471" s="15"/>
      <c r="ES471" s="15"/>
      <c r="ET471" s="15"/>
      <c r="EU471" s="15"/>
      <c r="EV471" s="15"/>
      <c r="EW471" s="15"/>
      <c r="EX471" s="15"/>
      <c r="EY471" s="15"/>
      <c r="EZ471" s="15"/>
      <c r="FA471" s="15"/>
      <c r="FB471" s="15"/>
      <c r="FC471" s="16" t="s">
        <v>197</v>
      </c>
      <c r="FD471" s="17" t="s">
        <v>198</v>
      </c>
      <c r="FE471" s="18">
        <v>45723.353101851855</v>
      </c>
      <c r="FF471" s="19"/>
      <c r="FG471" s="19"/>
      <c r="FH471" s="21" t="s">
        <v>197</v>
      </c>
      <c r="FI471" s="17" t="s">
        <v>214</v>
      </c>
      <c r="FJ471" s="18">
        <v>45723.353101851855</v>
      </c>
      <c r="FK471" s="14" t="s">
        <v>11568</v>
      </c>
      <c r="FL471" s="14" t="s">
        <v>11569</v>
      </c>
      <c r="FM471" s="14" t="s">
        <v>11570</v>
      </c>
      <c r="FN471" s="19"/>
      <c r="FO471" s="19"/>
      <c r="FP471" s="19" t="str">
        <f t="shared" si="1"/>
        <v>Base de Dados_Images/LIT40032.Imagem do Equipamento-.141454.jpg</v>
      </c>
      <c r="FQ471" s="19"/>
      <c r="FR471" s="19"/>
    </row>
    <row r="472" ht="15.75" customHeight="1">
      <c r="A472" s="12" t="s">
        <v>217</v>
      </c>
      <c r="B472" s="12" t="s">
        <v>2352</v>
      </c>
      <c r="C472" s="24" t="s">
        <v>375</v>
      </c>
      <c r="D472" s="22" t="s">
        <v>11571</v>
      </c>
      <c r="E472" s="22" t="s">
        <v>11572</v>
      </c>
      <c r="F472" s="13" t="s">
        <v>178</v>
      </c>
      <c r="G472" s="14" t="s">
        <v>179</v>
      </c>
      <c r="H472" s="14" t="s">
        <v>11573</v>
      </c>
      <c r="I472" s="14" t="s">
        <v>179</v>
      </c>
      <c r="J472" s="14" t="s">
        <v>11574</v>
      </c>
      <c r="K472" s="14" t="s">
        <v>179</v>
      </c>
      <c r="L472" s="14" t="s">
        <v>11575</v>
      </c>
      <c r="M472" s="14" t="s">
        <v>179</v>
      </c>
      <c r="N472" s="14" t="s">
        <v>11575</v>
      </c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6" t="s">
        <v>197</v>
      </c>
      <c r="BP472" s="17" t="s">
        <v>198</v>
      </c>
      <c r="BQ472" s="18">
        <v>45687.3491087963</v>
      </c>
      <c r="BR472" s="17" t="s">
        <v>198</v>
      </c>
      <c r="BS472" s="18">
        <v>45687.34914351852</v>
      </c>
      <c r="BT472" s="17" t="s">
        <v>198</v>
      </c>
      <c r="BU472" s="18">
        <v>45687.34914351852</v>
      </c>
      <c r="BV472" s="13" t="s">
        <v>199</v>
      </c>
      <c r="BW472" s="14" t="s">
        <v>179</v>
      </c>
      <c r="BX472" s="14" t="s">
        <v>11576</v>
      </c>
      <c r="BY472" s="14" t="s">
        <v>179</v>
      </c>
      <c r="BZ472" s="14" t="s">
        <v>11577</v>
      </c>
      <c r="CA472" s="14" t="s">
        <v>179</v>
      </c>
      <c r="CB472" s="14" t="s">
        <v>11578</v>
      </c>
      <c r="CC472" s="15"/>
      <c r="CD472" s="15"/>
      <c r="CE472" s="15"/>
      <c r="CF472" s="15"/>
      <c r="CG472" s="19"/>
      <c r="CH472" s="15"/>
      <c r="CI472" s="19"/>
      <c r="CJ472" s="15"/>
      <c r="CK472" s="19"/>
      <c r="CL472" s="15"/>
      <c r="CM472" s="19"/>
      <c r="CN472" s="15"/>
      <c r="CO472" s="19"/>
      <c r="CP472" s="15"/>
      <c r="CQ472" s="15"/>
      <c r="CR472" s="15"/>
      <c r="CS472" s="19"/>
      <c r="CT472" s="15"/>
      <c r="CU472" s="19"/>
      <c r="CV472" s="15"/>
      <c r="CW472" s="19"/>
      <c r="CX472" s="15"/>
      <c r="CY472" s="19"/>
      <c r="CZ472" s="15"/>
      <c r="DA472" s="16" t="s">
        <v>197</v>
      </c>
      <c r="DB472" s="17" t="s">
        <v>228</v>
      </c>
      <c r="DC472" s="16"/>
      <c r="DD472" s="17" t="s">
        <v>198</v>
      </c>
      <c r="DE472" s="18">
        <v>45692.60136574074</v>
      </c>
      <c r="DF472" s="17" t="s">
        <v>198</v>
      </c>
      <c r="DG472" s="18">
        <v>45692.60136574074</v>
      </c>
      <c r="DH472" s="13" t="s">
        <v>205</v>
      </c>
      <c r="DI472" s="14" t="s">
        <v>179</v>
      </c>
      <c r="DJ472" s="14" t="s">
        <v>11579</v>
      </c>
      <c r="DK472" s="14" t="s">
        <v>179</v>
      </c>
      <c r="DL472" s="14" t="s">
        <v>11580</v>
      </c>
      <c r="DM472" s="15"/>
      <c r="DN472" s="15"/>
      <c r="DO472" s="15"/>
      <c r="DP472" s="15"/>
      <c r="DQ472" s="15"/>
      <c r="DR472" s="15"/>
      <c r="DS472" s="15"/>
      <c r="DT472" s="15"/>
      <c r="DU472" s="15"/>
      <c r="DV472" s="15"/>
      <c r="DW472" s="15"/>
      <c r="DX472" s="15"/>
      <c r="DY472" s="15"/>
      <c r="DZ472" s="15"/>
      <c r="EA472" s="15"/>
      <c r="EB472" s="15"/>
      <c r="EC472" s="16" t="s">
        <v>197</v>
      </c>
      <c r="ED472" s="17" t="s">
        <v>198</v>
      </c>
      <c r="EE472" s="18">
        <v>45720.60599537037</v>
      </c>
      <c r="EF472" s="13" t="s">
        <v>209</v>
      </c>
      <c r="EG472" s="14" t="s">
        <v>179</v>
      </c>
      <c r="EH472" s="14" t="s">
        <v>11581</v>
      </c>
      <c r="EI472" s="14" t="s">
        <v>179</v>
      </c>
      <c r="EJ472" s="14" t="s">
        <v>11581</v>
      </c>
      <c r="EK472" s="15"/>
      <c r="EL472" s="15"/>
      <c r="EM472" s="15"/>
      <c r="EN472" s="15"/>
      <c r="EO472" s="15"/>
      <c r="EP472" s="15"/>
      <c r="EQ472" s="15"/>
      <c r="ER472" s="15"/>
      <c r="ES472" s="15"/>
      <c r="ET472" s="15"/>
      <c r="EU472" s="15"/>
      <c r="EV472" s="15"/>
      <c r="EW472" s="15"/>
      <c r="EX472" s="15"/>
      <c r="EY472" s="15"/>
      <c r="EZ472" s="15"/>
      <c r="FA472" s="15"/>
      <c r="FB472" s="15"/>
      <c r="FC472" s="16" t="s">
        <v>197</v>
      </c>
      <c r="FD472" s="17" t="s">
        <v>198</v>
      </c>
      <c r="FE472" s="18">
        <v>45721.321863425925</v>
      </c>
      <c r="FF472" s="19"/>
      <c r="FG472" s="19"/>
      <c r="FH472" s="21" t="s">
        <v>197</v>
      </c>
      <c r="FI472" s="17" t="s">
        <v>214</v>
      </c>
      <c r="FJ472" s="18">
        <v>45721.321863425925</v>
      </c>
      <c r="FK472" s="14" t="s">
        <v>11581</v>
      </c>
      <c r="FL472" s="19"/>
      <c r="FM472" s="19"/>
      <c r="FN472" s="19"/>
      <c r="FO472" s="19"/>
      <c r="FP472" s="19" t="str">
        <f t="shared" si="1"/>
        <v/>
      </c>
      <c r="FQ472" s="14" t="s">
        <v>215</v>
      </c>
      <c r="FR472" s="14" t="s">
        <v>11582</v>
      </c>
    </row>
    <row r="473" ht="15.75" customHeight="1">
      <c r="A473" s="12" t="s">
        <v>234</v>
      </c>
      <c r="B473" s="12" t="s">
        <v>7113</v>
      </c>
      <c r="C473" s="24" t="s">
        <v>375</v>
      </c>
      <c r="D473" s="22" t="s">
        <v>11583</v>
      </c>
      <c r="E473" s="22" t="s">
        <v>11584</v>
      </c>
      <c r="F473" s="13" t="s">
        <v>178</v>
      </c>
      <c r="G473" s="14" t="s">
        <v>179</v>
      </c>
      <c r="H473" s="14" t="s">
        <v>11585</v>
      </c>
      <c r="I473" s="14" t="s">
        <v>179</v>
      </c>
      <c r="J473" s="14" t="s">
        <v>11585</v>
      </c>
      <c r="K473" s="14" t="s">
        <v>179</v>
      </c>
      <c r="L473" s="14" t="s">
        <v>11586</v>
      </c>
      <c r="M473" s="14" t="s">
        <v>179</v>
      </c>
      <c r="N473" s="14" t="s">
        <v>11587</v>
      </c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6" t="s">
        <v>197</v>
      </c>
      <c r="BP473" s="17" t="s">
        <v>198</v>
      </c>
      <c r="BQ473" s="18">
        <v>45686.61378472222</v>
      </c>
      <c r="BR473" s="17" t="s">
        <v>198</v>
      </c>
      <c r="BS473" s="18">
        <v>45686.61378472222</v>
      </c>
      <c r="BT473" s="17" t="s">
        <v>198</v>
      </c>
      <c r="BU473" s="18">
        <v>45686.61378472222</v>
      </c>
      <c r="BV473" s="13" t="s">
        <v>199</v>
      </c>
      <c r="BW473" s="14" t="s">
        <v>179</v>
      </c>
      <c r="BX473" s="14" t="s">
        <v>11588</v>
      </c>
      <c r="BY473" s="14" t="s">
        <v>179</v>
      </c>
      <c r="BZ473" s="14" t="s">
        <v>11589</v>
      </c>
      <c r="CA473" s="14" t="s">
        <v>179</v>
      </c>
      <c r="CB473" s="14" t="s">
        <v>11590</v>
      </c>
      <c r="CC473" s="15"/>
      <c r="CD473" s="15"/>
      <c r="CE473" s="15"/>
      <c r="CF473" s="15"/>
      <c r="CG473" s="19"/>
      <c r="CH473" s="15"/>
      <c r="CI473" s="19"/>
      <c r="CJ473" s="15"/>
      <c r="CK473" s="19"/>
      <c r="CL473" s="15"/>
      <c r="CM473" s="19"/>
      <c r="CN473" s="15"/>
      <c r="CO473" s="19"/>
      <c r="CP473" s="15"/>
      <c r="CQ473" s="15"/>
      <c r="CR473" s="15"/>
      <c r="CS473" s="19"/>
      <c r="CT473" s="15"/>
      <c r="CU473" s="19"/>
      <c r="CV473" s="15"/>
      <c r="CW473" s="19"/>
      <c r="CX473" s="15"/>
      <c r="CY473" s="19"/>
      <c r="CZ473" s="15"/>
      <c r="DA473" s="16" t="s">
        <v>197</v>
      </c>
      <c r="DB473" s="17" t="s">
        <v>228</v>
      </c>
      <c r="DC473" s="16"/>
      <c r="DD473" s="17" t="s">
        <v>198</v>
      </c>
      <c r="DE473" s="18">
        <v>45720.37763888889</v>
      </c>
      <c r="DF473" s="17" t="s">
        <v>198</v>
      </c>
      <c r="DG473" s="18">
        <v>45720.37763888889</v>
      </c>
      <c r="DH473" s="13" t="s">
        <v>205</v>
      </c>
      <c r="DI473" s="14" t="s">
        <v>179</v>
      </c>
      <c r="DJ473" s="14" t="s">
        <v>11591</v>
      </c>
      <c r="DK473" s="14" t="s">
        <v>179</v>
      </c>
      <c r="DL473" s="14" t="s">
        <v>11591</v>
      </c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6" t="s">
        <v>197</v>
      </c>
      <c r="ED473" s="17" t="s">
        <v>198</v>
      </c>
      <c r="EE473" s="18">
        <v>45720.37769675926</v>
      </c>
      <c r="EF473" s="13" t="s">
        <v>209</v>
      </c>
      <c r="EG473" s="14" t="s">
        <v>179</v>
      </c>
      <c r="EH473" s="14" t="s">
        <v>11592</v>
      </c>
      <c r="EI473" s="14" t="s">
        <v>179</v>
      </c>
      <c r="EJ473" s="14" t="s">
        <v>11593</v>
      </c>
      <c r="EK473" s="15"/>
      <c r="EL473" s="15"/>
      <c r="EM473" s="15"/>
      <c r="EN473" s="15"/>
      <c r="EO473" s="15"/>
      <c r="EP473" s="15"/>
      <c r="EQ473" s="15"/>
      <c r="ER473" s="15"/>
      <c r="ES473" s="15"/>
      <c r="ET473" s="15"/>
      <c r="EU473" s="15"/>
      <c r="EV473" s="15"/>
      <c r="EW473" s="15"/>
      <c r="EX473" s="15"/>
      <c r="EY473" s="15"/>
      <c r="EZ473" s="15"/>
      <c r="FA473" s="15"/>
      <c r="FB473" s="15"/>
      <c r="FC473" s="16" t="s">
        <v>197</v>
      </c>
      <c r="FD473" s="17" t="s">
        <v>198</v>
      </c>
      <c r="FE473" s="18">
        <v>45720.377754629626</v>
      </c>
      <c r="FF473" s="19"/>
      <c r="FG473" s="19"/>
      <c r="FH473" s="21" t="s">
        <v>197</v>
      </c>
      <c r="FI473" s="17" t="s">
        <v>214</v>
      </c>
      <c r="FJ473" s="18">
        <v>45720.377754629626</v>
      </c>
      <c r="FK473" s="14" t="s">
        <v>11593</v>
      </c>
      <c r="FL473" s="14" t="s">
        <v>11594</v>
      </c>
      <c r="FM473" s="14" t="s">
        <v>11595</v>
      </c>
      <c r="FN473" s="19"/>
      <c r="FO473" s="19"/>
      <c r="FP473" s="19" t="str">
        <f t="shared" si="1"/>
        <v>Base de Dados_Images/LIT65004.Imagem do Equipamento-.175653.jpg</v>
      </c>
      <c r="FQ473" s="19"/>
      <c r="FR473" s="19"/>
    </row>
    <row r="474" ht="15.75" customHeight="1">
      <c r="A474" s="12" t="s">
        <v>234</v>
      </c>
      <c r="B474" s="12" t="s">
        <v>2956</v>
      </c>
      <c r="C474" s="24" t="s">
        <v>375</v>
      </c>
      <c r="D474" s="22" t="s">
        <v>11596</v>
      </c>
      <c r="E474" s="22" t="s">
        <v>11597</v>
      </c>
      <c r="F474" s="13" t="s">
        <v>178</v>
      </c>
      <c r="G474" s="14" t="s">
        <v>179</v>
      </c>
      <c r="H474" s="14" t="s">
        <v>11598</v>
      </c>
      <c r="I474" s="14" t="s">
        <v>179</v>
      </c>
      <c r="J474" s="14" t="s">
        <v>11599</v>
      </c>
      <c r="K474" s="14" t="s">
        <v>179</v>
      </c>
      <c r="L474" s="14" t="s">
        <v>11600</v>
      </c>
      <c r="M474" s="14" t="s">
        <v>179</v>
      </c>
      <c r="N474" s="14" t="s">
        <v>11601</v>
      </c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6" t="s">
        <v>197</v>
      </c>
      <c r="BP474" s="17" t="s">
        <v>198</v>
      </c>
      <c r="BQ474" s="18">
        <v>45686.6166087963</v>
      </c>
      <c r="BR474" s="17" t="s">
        <v>198</v>
      </c>
      <c r="BS474" s="18">
        <v>45686.61659722222</v>
      </c>
      <c r="BT474" s="17" t="s">
        <v>198</v>
      </c>
      <c r="BU474" s="18">
        <v>45686.6166087963</v>
      </c>
      <c r="BV474" s="13" t="s">
        <v>199</v>
      </c>
      <c r="BW474" s="14" t="s">
        <v>179</v>
      </c>
      <c r="BX474" s="14" t="s">
        <v>11602</v>
      </c>
      <c r="BY474" s="14" t="s">
        <v>179</v>
      </c>
      <c r="BZ474" s="14" t="s">
        <v>11603</v>
      </c>
      <c r="CA474" s="14" t="s">
        <v>179</v>
      </c>
      <c r="CB474" s="14" t="s">
        <v>11604</v>
      </c>
      <c r="CC474" s="15"/>
      <c r="CD474" s="15"/>
      <c r="CE474" s="15"/>
      <c r="CF474" s="15"/>
      <c r="CG474" s="19"/>
      <c r="CH474" s="15"/>
      <c r="CI474" s="19"/>
      <c r="CJ474" s="15"/>
      <c r="CK474" s="19"/>
      <c r="CL474" s="15"/>
      <c r="CM474" s="19"/>
      <c r="CN474" s="15"/>
      <c r="CO474" s="19"/>
      <c r="CP474" s="15"/>
      <c r="CQ474" s="15"/>
      <c r="CR474" s="15"/>
      <c r="CS474" s="19"/>
      <c r="CT474" s="15"/>
      <c r="CU474" s="19"/>
      <c r="CV474" s="15"/>
      <c r="CW474" s="19"/>
      <c r="CX474" s="15"/>
      <c r="CY474" s="19"/>
      <c r="CZ474" s="15"/>
      <c r="DA474" s="16" t="s">
        <v>197</v>
      </c>
      <c r="DB474" s="17" t="s">
        <v>228</v>
      </c>
      <c r="DC474" s="16"/>
      <c r="DD474" s="17" t="s">
        <v>198</v>
      </c>
      <c r="DE474" s="18">
        <v>45696.60853009259</v>
      </c>
      <c r="DF474" s="17" t="s">
        <v>198</v>
      </c>
      <c r="DG474" s="18">
        <v>45696.60853009259</v>
      </c>
      <c r="DH474" s="13" t="s">
        <v>205</v>
      </c>
      <c r="DI474" s="14" t="s">
        <v>179</v>
      </c>
      <c r="DJ474" s="14" t="s">
        <v>11605</v>
      </c>
      <c r="DK474" s="14" t="s">
        <v>179</v>
      </c>
      <c r="DL474" s="14" t="s">
        <v>11606</v>
      </c>
      <c r="DM474" s="15"/>
      <c r="DN474" s="15"/>
      <c r="DO474" s="15"/>
      <c r="DP474" s="15"/>
      <c r="DQ474" s="15"/>
      <c r="DR474" s="15"/>
      <c r="DS474" s="15"/>
      <c r="DT474" s="15"/>
      <c r="DU474" s="15"/>
      <c r="DV474" s="15"/>
      <c r="DW474" s="15"/>
      <c r="DX474" s="15"/>
      <c r="DY474" s="15"/>
      <c r="DZ474" s="15"/>
      <c r="EA474" s="15"/>
      <c r="EB474" s="15"/>
      <c r="EC474" s="16" t="s">
        <v>197</v>
      </c>
      <c r="ED474" s="17" t="s">
        <v>198</v>
      </c>
      <c r="EE474" s="18">
        <v>45719.532060185185</v>
      </c>
      <c r="EF474" s="13" t="s">
        <v>209</v>
      </c>
      <c r="EG474" s="14" t="s">
        <v>179</v>
      </c>
      <c r="EH474" s="14" t="s">
        <v>11607</v>
      </c>
      <c r="EI474" s="14" t="s">
        <v>179</v>
      </c>
      <c r="EJ474" s="14" t="s">
        <v>11608</v>
      </c>
      <c r="EK474" s="15"/>
      <c r="EL474" s="15"/>
      <c r="EM474" s="15"/>
      <c r="EN474" s="15"/>
      <c r="EO474" s="15"/>
      <c r="EP474" s="15"/>
      <c r="EQ474" s="15"/>
      <c r="ER474" s="15"/>
      <c r="ES474" s="15"/>
      <c r="ET474" s="15"/>
      <c r="EU474" s="15"/>
      <c r="EV474" s="15"/>
      <c r="EW474" s="15"/>
      <c r="EX474" s="15"/>
      <c r="EY474" s="15"/>
      <c r="EZ474" s="15"/>
      <c r="FA474" s="15"/>
      <c r="FB474" s="15"/>
      <c r="FC474" s="16" t="s">
        <v>197</v>
      </c>
      <c r="FD474" s="17" t="s">
        <v>198</v>
      </c>
      <c r="FE474" s="18">
        <v>45720.378229166665</v>
      </c>
      <c r="FF474" s="19"/>
      <c r="FG474" s="19"/>
      <c r="FH474" s="21" t="s">
        <v>197</v>
      </c>
      <c r="FI474" s="17" t="s">
        <v>214</v>
      </c>
      <c r="FJ474" s="18">
        <v>45720.378229166665</v>
      </c>
      <c r="FK474" s="14" t="s">
        <v>11608</v>
      </c>
      <c r="FL474" s="14" t="s">
        <v>11609</v>
      </c>
      <c r="FM474" s="14" t="s">
        <v>11610</v>
      </c>
      <c r="FN474" s="19"/>
      <c r="FO474" s="19"/>
      <c r="FP474" s="19" t="str">
        <f t="shared" si="1"/>
        <v>Base de Dados_Images/LIT65005.Imagem do Equipamento-.175829.jpg</v>
      </c>
      <c r="FQ474" s="19"/>
      <c r="FR474" s="19"/>
    </row>
    <row r="475" ht="15.75" customHeight="1">
      <c r="A475" s="12" t="s">
        <v>234</v>
      </c>
      <c r="B475" s="12" t="s">
        <v>2671</v>
      </c>
      <c r="C475" s="24" t="s">
        <v>375</v>
      </c>
      <c r="D475" s="22" t="s">
        <v>11611</v>
      </c>
      <c r="E475" s="22" t="s">
        <v>11612</v>
      </c>
      <c r="F475" s="13" t="s">
        <v>178</v>
      </c>
      <c r="G475" s="14" t="s">
        <v>179</v>
      </c>
      <c r="H475" s="14" t="s">
        <v>11613</v>
      </c>
      <c r="I475" s="14" t="s">
        <v>179</v>
      </c>
      <c r="J475" s="14" t="s">
        <v>11613</v>
      </c>
      <c r="K475" s="14" t="s">
        <v>179</v>
      </c>
      <c r="L475" s="14" t="s">
        <v>11614</v>
      </c>
      <c r="M475" s="14" t="s">
        <v>179</v>
      </c>
      <c r="N475" s="14" t="s">
        <v>11614</v>
      </c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6" t="s">
        <v>197</v>
      </c>
      <c r="BP475" s="17" t="s">
        <v>198</v>
      </c>
      <c r="BQ475" s="18">
        <v>45719.36835648148</v>
      </c>
      <c r="BR475" s="17" t="s">
        <v>198</v>
      </c>
      <c r="BS475" s="18">
        <v>45719.36837962963</v>
      </c>
      <c r="BT475" s="17" t="s">
        <v>198</v>
      </c>
      <c r="BU475" s="18">
        <v>45719.36837962963</v>
      </c>
      <c r="BV475" s="13" t="s">
        <v>199</v>
      </c>
      <c r="BW475" s="14" t="s">
        <v>179</v>
      </c>
      <c r="BX475" s="14" t="s">
        <v>11615</v>
      </c>
      <c r="BY475" s="14" t="s">
        <v>179</v>
      </c>
      <c r="BZ475" s="14" t="s">
        <v>11616</v>
      </c>
      <c r="CA475" s="14" t="s">
        <v>179</v>
      </c>
      <c r="CB475" s="14" t="s">
        <v>11617</v>
      </c>
      <c r="CC475" s="15"/>
      <c r="CD475" s="15"/>
      <c r="CE475" s="15"/>
      <c r="CF475" s="15"/>
      <c r="CG475" s="19"/>
      <c r="CH475" s="15"/>
      <c r="CI475" s="19"/>
      <c r="CJ475" s="15"/>
      <c r="CK475" s="19"/>
      <c r="CL475" s="15"/>
      <c r="CM475" s="19"/>
      <c r="CN475" s="15"/>
      <c r="CO475" s="19"/>
      <c r="CP475" s="15"/>
      <c r="CQ475" s="15"/>
      <c r="CR475" s="15"/>
      <c r="CS475" s="19"/>
      <c r="CT475" s="15"/>
      <c r="CU475" s="19"/>
      <c r="CV475" s="15"/>
      <c r="CW475" s="19"/>
      <c r="CX475" s="15"/>
      <c r="CY475" s="19"/>
      <c r="CZ475" s="15"/>
      <c r="DA475" s="16" t="s">
        <v>197</v>
      </c>
      <c r="DB475" s="17" t="s">
        <v>228</v>
      </c>
      <c r="DC475" s="16"/>
      <c r="DD475" s="17" t="s">
        <v>198</v>
      </c>
      <c r="DE475" s="18">
        <v>45719.3684375</v>
      </c>
      <c r="DF475" s="17" t="s">
        <v>198</v>
      </c>
      <c r="DG475" s="18">
        <v>45719.3684375</v>
      </c>
      <c r="DH475" s="13" t="s">
        <v>205</v>
      </c>
      <c r="DI475" s="14" t="s">
        <v>179</v>
      </c>
      <c r="DJ475" s="14" t="s">
        <v>11618</v>
      </c>
      <c r="DK475" s="14" t="s">
        <v>179</v>
      </c>
      <c r="DL475" s="14" t="s">
        <v>11618</v>
      </c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6" t="s">
        <v>197</v>
      </c>
      <c r="ED475" s="17" t="s">
        <v>198</v>
      </c>
      <c r="EE475" s="18">
        <v>45720.32910879629</v>
      </c>
      <c r="EF475" s="13" t="s">
        <v>209</v>
      </c>
      <c r="EG475" s="14" t="s">
        <v>179</v>
      </c>
      <c r="EH475" s="14" t="s">
        <v>11619</v>
      </c>
      <c r="EI475" s="14" t="s">
        <v>179</v>
      </c>
      <c r="EJ475" s="14" t="s">
        <v>11620</v>
      </c>
      <c r="EK475" s="15"/>
      <c r="EL475" s="15"/>
      <c r="EM475" s="15"/>
      <c r="EN475" s="15"/>
      <c r="EO475" s="15"/>
      <c r="EP475" s="15"/>
      <c r="EQ475" s="15"/>
      <c r="ER475" s="15"/>
      <c r="ES475" s="15"/>
      <c r="ET475" s="15"/>
      <c r="EU475" s="15"/>
      <c r="EV475" s="15"/>
      <c r="EW475" s="15"/>
      <c r="EX475" s="15"/>
      <c r="EY475" s="15"/>
      <c r="EZ475" s="15"/>
      <c r="FA475" s="15"/>
      <c r="FB475" s="15"/>
      <c r="FC475" s="16" t="s">
        <v>197</v>
      </c>
      <c r="FD475" s="17" t="s">
        <v>198</v>
      </c>
      <c r="FE475" s="18">
        <v>45720.32915509259</v>
      </c>
      <c r="FF475" s="14" t="s">
        <v>11621</v>
      </c>
      <c r="FG475" s="19"/>
      <c r="FH475" s="17" t="s">
        <v>198</v>
      </c>
      <c r="FI475" s="17" t="s">
        <v>214</v>
      </c>
      <c r="FJ475" s="18">
        <v>45720.32915509259</v>
      </c>
      <c r="FK475" s="14" t="s">
        <v>11620</v>
      </c>
      <c r="FL475" s="14" t="s">
        <v>11622</v>
      </c>
      <c r="FM475" s="14" t="s">
        <v>11623</v>
      </c>
      <c r="FN475" s="19"/>
      <c r="FO475" s="19"/>
      <c r="FP475" s="19" t="str">
        <f t="shared" si="1"/>
        <v>Base de Dados_Images/LIT65013.Imagem do Equipamento-.155012.jpg</v>
      </c>
      <c r="FQ475" s="19"/>
      <c r="FR475" s="19"/>
    </row>
    <row r="476" ht="15.75" customHeight="1">
      <c r="A476" s="12" t="s">
        <v>234</v>
      </c>
      <c r="B476" s="12" t="s">
        <v>11624</v>
      </c>
      <c r="C476" s="24" t="s">
        <v>375</v>
      </c>
      <c r="D476" s="22" t="s">
        <v>11625</v>
      </c>
      <c r="E476" s="22" t="s">
        <v>11626</v>
      </c>
      <c r="F476" s="13" t="s">
        <v>178</v>
      </c>
      <c r="G476" s="14" t="s">
        <v>179</v>
      </c>
      <c r="H476" s="14" t="s">
        <v>11627</v>
      </c>
      <c r="I476" s="14" t="s">
        <v>179</v>
      </c>
      <c r="J476" s="14" t="s">
        <v>11628</v>
      </c>
      <c r="K476" s="14" t="s">
        <v>179</v>
      </c>
      <c r="L476" s="14" t="s">
        <v>11629</v>
      </c>
      <c r="M476" s="14" t="s">
        <v>179</v>
      </c>
      <c r="N476" s="14" t="s">
        <v>11630</v>
      </c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6" t="s">
        <v>197</v>
      </c>
      <c r="BP476" s="17" t="s">
        <v>198</v>
      </c>
      <c r="BQ476" s="18">
        <v>45719.375</v>
      </c>
      <c r="BR476" s="17" t="s">
        <v>198</v>
      </c>
      <c r="BS476" s="18">
        <v>45719.3750462963</v>
      </c>
      <c r="BT476" s="17" t="s">
        <v>198</v>
      </c>
      <c r="BU476" s="18">
        <v>45719.3750462963</v>
      </c>
      <c r="BV476" s="13" t="s">
        <v>199</v>
      </c>
      <c r="BW476" s="14" t="s">
        <v>179</v>
      </c>
      <c r="BX476" s="14" t="s">
        <v>11631</v>
      </c>
      <c r="BY476" s="14" t="s">
        <v>179</v>
      </c>
      <c r="BZ476" s="14" t="s">
        <v>11632</v>
      </c>
      <c r="CA476" s="14" t="s">
        <v>179</v>
      </c>
      <c r="CB476" s="14" t="s">
        <v>11633</v>
      </c>
      <c r="CC476" s="15"/>
      <c r="CD476" s="15"/>
      <c r="CE476" s="15"/>
      <c r="CF476" s="15"/>
      <c r="CG476" s="19"/>
      <c r="CH476" s="15"/>
      <c r="CI476" s="19"/>
      <c r="CJ476" s="15"/>
      <c r="CK476" s="19"/>
      <c r="CL476" s="15"/>
      <c r="CM476" s="19"/>
      <c r="CN476" s="15"/>
      <c r="CO476" s="19"/>
      <c r="CP476" s="15"/>
      <c r="CQ476" s="15"/>
      <c r="CR476" s="15"/>
      <c r="CS476" s="19"/>
      <c r="CT476" s="15"/>
      <c r="CU476" s="19"/>
      <c r="CV476" s="15"/>
      <c r="CW476" s="19"/>
      <c r="CX476" s="15"/>
      <c r="CY476" s="19"/>
      <c r="CZ476" s="15"/>
      <c r="DA476" s="16" t="s">
        <v>197</v>
      </c>
      <c r="DB476" s="17" t="s">
        <v>228</v>
      </c>
      <c r="DC476" s="16"/>
      <c r="DD476" s="17" t="s">
        <v>198</v>
      </c>
      <c r="DE476" s="18">
        <v>45719.37509259259</v>
      </c>
      <c r="DF476" s="17" t="s">
        <v>198</v>
      </c>
      <c r="DG476" s="18">
        <v>45719.37509259259</v>
      </c>
      <c r="DH476" s="13" t="s">
        <v>205</v>
      </c>
      <c r="DI476" s="14" t="s">
        <v>179</v>
      </c>
      <c r="DJ476" s="14" t="s">
        <v>11634</v>
      </c>
      <c r="DK476" s="14" t="s">
        <v>179</v>
      </c>
      <c r="DL476" s="14" t="s">
        <v>11635</v>
      </c>
      <c r="DM476" s="15"/>
      <c r="DN476" s="15"/>
      <c r="DO476" s="15"/>
      <c r="DP476" s="15"/>
      <c r="DQ476" s="15"/>
      <c r="DR476" s="15"/>
      <c r="DS476" s="15"/>
      <c r="DT476" s="15"/>
      <c r="DU476" s="15"/>
      <c r="DV476" s="15"/>
      <c r="DW476" s="15"/>
      <c r="DX476" s="15"/>
      <c r="DY476" s="15"/>
      <c r="DZ476" s="15"/>
      <c r="EA476" s="15"/>
      <c r="EB476" s="15"/>
      <c r="EC476" s="16" t="s">
        <v>197</v>
      </c>
      <c r="ED476" s="17" t="s">
        <v>198</v>
      </c>
      <c r="EE476" s="18">
        <v>45719.37519675926</v>
      </c>
      <c r="EF476" s="13" t="s">
        <v>209</v>
      </c>
      <c r="EG476" s="14" t="s">
        <v>179</v>
      </c>
      <c r="EH476" s="14" t="s">
        <v>11636</v>
      </c>
      <c r="EI476" s="14" t="s">
        <v>179</v>
      </c>
      <c r="EJ476" s="14" t="s">
        <v>11636</v>
      </c>
      <c r="EK476" s="15"/>
      <c r="EL476" s="15"/>
      <c r="EM476" s="15"/>
      <c r="EN476" s="15"/>
      <c r="EO476" s="15"/>
      <c r="EP476" s="15"/>
      <c r="EQ476" s="15"/>
      <c r="ER476" s="15"/>
      <c r="ES476" s="15"/>
      <c r="ET476" s="15"/>
      <c r="EU476" s="15"/>
      <c r="EV476" s="15"/>
      <c r="EW476" s="15"/>
      <c r="EX476" s="15"/>
      <c r="EY476" s="15"/>
      <c r="EZ476" s="15"/>
      <c r="FA476" s="15"/>
      <c r="FB476" s="15"/>
      <c r="FC476" s="16" t="s">
        <v>197</v>
      </c>
      <c r="FD476" s="17" t="s">
        <v>198</v>
      </c>
      <c r="FE476" s="18">
        <v>45720.329722222225</v>
      </c>
      <c r="FF476" s="14" t="s">
        <v>11637</v>
      </c>
      <c r="FG476" s="19"/>
      <c r="FH476" s="17" t="s">
        <v>198</v>
      </c>
      <c r="FI476" s="17" t="s">
        <v>214</v>
      </c>
      <c r="FJ476" s="18">
        <v>45720.329722222225</v>
      </c>
      <c r="FK476" s="14" t="s">
        <v>11636</v>
      </c>
      <c r="FL476" s="14" t="s">
        <v>11638</v>
      </c>
      <c r="FM476" s="14" t="s">
        <v>11639</v>
      </c>
      <c r="FN476" s="19"/>
      <c r="FO476" s="19"/>
      <c r="FP476" s="19" t="str">
        <f t="shared" si="1"/>
        <v>Base de Dados_Images/LIT65014.Imagem do Equipamento-.155157.jpg</v>
      </c>
      <c r="FQ476" s="14"/>
      <c r="FR476" s="14"/>
    </row>
    <row r="477" ht="15.75" customHeight="1">
      <c r="A477" s="12" t="s">
        <v>234</v>
      </c>
      <c r="B477" s="12" t="s">
        <v>11640</v>
      </c>
      <c r="C477" s="24" t="s">
        <v>375</v>
      </c>
      <c r="D477" s="22" t="s">
        <v>11641</v>
      </c>
      <c r="E477" s="22" t="s">
        <v>11642</v>
      </c>
      <c r="F477" s="13" t="s">
        <v>178</v>
      </c>
      <c r="G477" s="14" t="s">
        <v>179</v>
      </c>
      <c r="H477" s="14" t="s">
        <v>11643</v>
      </c>
      <c r="I477" s="14" t="s">
        <v>179</v>
      </c>
      <c r="J477" s="14" t="s">
        <v>11644</v>
      </c>
      <c r="K477" s="14" t="s">
        <v>179</v>
      </c>
      <c r="L477" s="14" t="s">
        <v>11645</v>
      </c>
      <c r="M477" s="14" t="s">
        <v>179</v>
      </c>
      <c r="N477" s="14" t="s">
        <v>11646</v>
      </c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6" t="s">
        <v>197</v>
      </c>
      <c r="BP477" s="17" t="s">
        <v>198</v>
      </c>
      <c r="BQ477" s="18">
        <v>45719.37534722222</v>
      </c>
      <c r="BR477" s="17" t="s">
        <v>198</v>
      </c>
      <c r="BS477" s="18">
        <v>45719.37538194445</v>
      </c>
      <c r="BT477" s="17" t="s">
        <v>198</v>
      </c>
      <c r="BU477" s="18">
        <v>45719.37538194445</v>
      </c>
      <c r="BV477" s="13" t="s">
        <v>199</v>
      </c>
      <c r="BW477" s="14" t="s">
        <v>179</v>
      </c>
      <c r="BX477" s="14" t="s">
        <v>11647</v>
      </c>
      <c r="BY477" s="14" t="s">
        <v>179</v>
      </c>
      <c r="BZ477" s="14" t="s">
        <v>11648</v>
      </c>
      <c r="CA477" s="14" t="s">
        <v>179</v>
      </c>
      <c r="CB477" s="14" t="s">
        <v>11649</v>
      </c>
      <c r="CC477" s="15"/>
      <c r="CD477" s="15"/>
      <c r="CE477" s="15"/>
      <c r="CF477" s="15"/>
      <c r="CG477" s="19"/>
      <c r="CH477" s="15"/>
      <c r="CI477" s="19"/>
      <c r="CJ477" s="15"/>
      <c r="CK477" s="19"/>
      <c r="CL477" s="15"/>
      <c r="CM477" s="19"/>
      <c r="CN477" s="15"/>
      <c r="CO477" s="19"/>
      <c r="CP477" s="15"/>
      <c r="CQ477" s="15"/>
      <c r="CR477" s="15"/>
      <c r="CS477" s="19"/>
      <c r="CT477" s="15"/>
      <c r="CU477" s="19"/>
      <c r="CV477" s="15"/>
      <c r="CW477" s="19"/>
      <c r="CX477" s="15"/>
      <c r="CY477" s="19"/>
      <c r="CZ477" s="15"/>
      <c r="DA477" s="16" t="s">
        <v>197</v>
      </c>
      <c r="DB477" s="17" t="s">
        <v>228</v>
      </c>
      <c r="DC477" s="16"/>
      <c r="DD477" s="17" t="s">
        <v>198</v>
      </c>
      <c r="DE477" s="18">
        <v>45719.375439814816</v>
      </c>
      <c r="DF477" s="17" t="s">
        <v>198</v>
      </c>
      <c r="DG477" s="18">
        <v>45719.375439814816</v>
      </c>
      <c r="DH477" s="13" t="s">
        <v>205</v>
      </c>
      <c r="DI477" s="14" t="s">
        <v>179</v>
      </c>
      <c r="DJ477" s="14" t="s">
        <v>11650</v>
      </c>
      <c r="DK477" s="14" t="s">
        <v>179</v>
      </c>
      <c r="DL477" s="14" t="s">
        <v>11651</v>
      </c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6" t="s">
        <v>197</v>
      </c>
      <c r="ED477" s="17" t="s">
        <v>198</v>
      </c>
      <c r="EE477" s="18">
        <v>45719.37548611111</v>
      </c>
      <c r="EF477" s="13" t="s">
        <v>209</v>
      </c>
      <c r="EG477" s="14" t="s">
        <v>179</v>
      </c>
      <c r="EH477" s="14" t="s">
        <v>11652</v>
      </c>
      <c r="EI477" s="14" t="s">
        <v>179</v>
      </c>
      <c r="EJ477" s="14" t="s">
        <v>11653</v>
      </c>
      <c r="EK477" s="15"/>
      <c r="EL477" s="15"/>
      <c r="EM477" s="15"/>
      <c r="EN477" s="15"/>
      <c r="EO477" s="15"/>
      <c r="EP477" s="15"/>
      <c r="EQ477" s="15"/>
      <c r="ER477" s="15"/>
      <c r="ES477" s="15"/>
      <c r="ET477" s="15"/>
      <c r="EU477" s="15"/>
      <c r="EV477" s="15"/>
      <c r="EW477" s="15"/>
      <c r="EX477" s="15"/>
      <c r="EY477" s="15"/>
      <c r="EZ477" s="15"/>
      <c r="FA477" s="15"/>
      <c r="FB477" s="15"/>
      <c r="FC477" s="16" t="s">
        <v>197</v>
      </c>
      <c r="FD477" s="17" t="s">
        <v>198</v>
      </c>
      <c r="FE477" s="18">
        <v>45722.388194444444</v>
      </c>
      <c r="FF477" s="14" t="s">
        <v>11637</v>
      </c>
      <c r="FG477" s="19"/>
      <c r="FH477" s="17" t="s">
        <v>198</v>
      </c>
      <c r="FI477" s="17" t="s">
        <v>214</v>
      </c>
      <c r="FJ477" s="18">
        <v>45722.388194444444</v>
      </c>
      <c r="FK477" s="14" t="s">
        <v>11653</v>
      </c>
      <c r="FL477" s="14" t="s">
        <v>11654</v>
      </c>
      <c r="FM477" s="14" t="s">
        <v>11655</v>
      </c>
      <c r="FN477" s="19"/>
      <c r="FO477" s="19"/>
      <c r="FP477" s="19" t="str">
        <f t="shared" si="1"/>
        <v>Base de Dados_Images/LIT65015.Imagem do Equipamento-.155232.jpg</v>
      </c>
      <c r="FQ477" s="19"/>
      <c r="FR477" s="19"/>
    </row>
    <row r="478" ht="15.75" customHeight="1">
      <c r="A478" s="12" t="s">
        <v>234</v>
      </c>
      <c r="B478" s="12" t="s">
        <v>2706</v>
      </c>
      <c r="C478" s="24" t="s">
        <v>375</v>
      </c>
      <c r="D478" s="22" t="s">
        <v>11656</v>
      </c>
      <c r="E478" s="22" t="s">
        <v>11657</v>
      </c>
      <c r="F478" s="13" t="s">
        <v>178</v>
      </c>
      <c r="G478" s="14" t="s">
        <v>179</v>
      </c>
      <c r="H478" s="14" t="s">
        <v>11658</v>
      </c>
      <c r="I478" s="14" t="s">
        <v>179</v>
      </c>
      <c r="J478" s="14" t="s">
        <v>11659</v>
      </c>
      <c r="K478" s="14" t="s">
        <v>179</v>
      </c>
      <c r="L478" s="14" t="s">
        <v>11660</v>
      </c>
      <c r="M478" s="14" t="s">
        <v>179</v>
      </c>
      <c r="N478" s="14" t="s">
        <v>11661</v>
      </c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6" t="s">
        <v>197</v>
      </c>
      <c r="BP478" s="17" t="s">
        <v>198</v>
      </c>
      <c r="BQ478" s="18">
        <v>45674.632152777776</v>
      </c>
      <c r="BR478" s="17" t="s">
        <v>198</v>
      </c>
      <c r="BS478" s="18">
        <v>45674.632199074076</v>
      </c>
      <c r="BT478" s="17" t="s">
        <v>198</v>
      </c>
      <c r="BU478" s="18">
        <v>45674.632199074076</v>
      </c>
      <c r="BV478" s="13" t="s">
        <v>199</v>
      </c>
      <c r="BW478" s="14" t="s">
        <v>179</v>
      </c>
      <c r="BX478" s="14" t="s">
        <v>11662</v>
      </c>
      <c r="BY478" s="14" t="s">
        <v>179</v>
      </c>
      <c r="BZ478" s="14" t="s">
        <v>11663</v>
      </c>
      <c r="CA478" s="14" t="s">
        <v>179</v>
      </c>
      <c r="CB478" s="14" t="s">
        <v>11664</v>
      </c>
      <c r="CC478" s="15"/>
      <c r="CD478" s="15"/>
      <c r="CE478" s="15"/>
      <c r="CF478" s="15"/>
      <c r="CG478" s="19"/>
      <c r="CH478" s="15"/>
      <c r="CI478" s="19"/>
      <c r="CJ478" s="15"/>
      <c r="CK478" s="19"/>
      <c r="CL478" s="15"/>
      <c r="CM478" s="19"/>
      <c r="CN478" s="15"/>
      <c r="CO478" s="19"/>
      <c r="CP478" s="15"/>
      <c r="CQ478" s="15"/>
      <c r="CR478" s="15"/>
      <c r="CS478" s="19"/>
      <c r="CT478" s="15"/>
      <c r="CU478" s="19"/>
      <c r="CV478" s="15"/>
      <c r="CW478" s="19"/>
      <c r="CX478" s="15"/>
      <c r="CY478" s="19"/>
      <c r="CZ478" s="15"/>
      <c r="DA478" s="16" t="s">
        <v>197</v>
      </c>
      <c r="DB478" s="17" t="s">
        <v>228</v>
      </c>
      <c r="DC478" s="16"/>
      <c r="DD478" s="17" t="s">
        <v>198</v>
      </c>
      <c r="DE478" s="18">
        <v>45702.343981481485</v>
      </c>
      <c r="DF478" s="17" t="s">
        <v>198</v>
      </c>
      <c r="DG478" s="18">
        <v>45702.343981481485</v>
      </c>
      <c r="DH478" s="13" t="s">
        <v>205</v>
      </c>
      <c r="DI478" s="14" t="s">
        <v>179</v>
      </c>
      <c r="DJ478" s="14" t="s">
        <v>11665</v>
      </c>
      <c r="DK478" s="14" t="s">
        <v>179</v>
      </c>
      <c r="DL478" s="14" t="s">
        <v>11666</v>
      </c>
      <c r="DM478" s="15"/>
      <c r="DN478" s="15"/>
      <c r="DO478" s="15"/>
      <c r="DP478" s="15"/>
      <c r="DQ478" s="15"/>
      <c r="DR478" s="15"/>
      <c r="DS478" s="15"/>
      <c r="DT478" s="15"/>
      <c r="DU478" s="15"/>
      <c r="DV478" s="15"/>
      <c r="DW478" s="15"/>
      <c r="DX478" s="15"/>
      <c r="DY478" s="15"/>
      <c r="DZ478" s="15"/>
      <c r="EA478" s="15"/>
      <c r="EB478" s="15"/>
      <c r="EC478" s="16" t="s">
        <v>197</v>
      </c>
      <c r="ED478" s="17" t="s">
        <v>198</v>
      </c>
      <c r="EE478" s="18">
        <v>45713.370787037034</v>
      </c>
      <c r="EF478" s="13" t="s">
        <v>209</v>
      </c>
      <c r="EG478" s="14" t="s">
        <v>179</v>
      </c>
      <c r="EH478" s="14" t="s">
        <v>11667</v>
      </c>
      <c r="EI478" s="14" t="s">
        <v>179</v>
      </c>
      <c r="EJ478" s="14" t="s">
        <v>11667</v>
      </c>
      <c r="EK478" s="15"/>
      <c r="EL478" s="15"/>
      <c r="EM478" s="15"/>
      <c r="EN478" s="15"/>
      <c r="EO478" s="15"/>
      <c r="EP478" s="15"/>
      <c r="EQ478" s="15"/>
      <c r="ER478" s="15"/>
      <c r="ES478" s="15"/>
      <c r="ET478" s="15"/>
      <c r="EU478" s="15"/>
      <c r="EV478" s="15"/>
      <c r="EW478" s="15"/>
      <c r="EX478" s="15"/>
      <c r="EY478" s="15"/>
      <c r="EZ478" s="15"/>
      <c r="FA478" s="15"/>
      <c r="FB478" s="15"/>
      <c r="FC478" s="16" t="s">
        <v>197</v>
      </c>
      <c r="FD478" s="17" t="s">
        <v>198</v>
      </c>
      <c r="FE478" s="18">
        <v>45720.330879629626</v>
      </c>
      <c r="FF478" s="19"/>
      <c r="FG478" s="19"/>
      <c r="FH478" s="21" t="s">
        <v>197</v>
      </c>
      <c r="FI478" s="17" t="s">
        <v>214</v>
      </c>
      <c r="FJ478" s="18">
        <v>45720.330879629626</v>
      </c>
      <c r="FK478" s="14" t="s">
        <v>11667</v>
      </c>
      <c r="FL478" s="14" t="s">
        <v>11668</v>
      </c>
      <c r="FM478" s="14" t="s">
        <v>11669</v>
      </c>
      <c r="FN478" s="19"/>
      <c r="FO478" s="19"/>
      <c r="FP478" s="19" t="str">
        <f t="shared" si="1"/>
        <v>Base de Dados_Images/LIT65017.Imagem do Equipamento-.213952.jpg</v>
      </c>
      <c r="FQ478" s="19"/>
      <c r="FR478" s="19"/>
    </row>
    <row r="479" ht="15.75" customHeight="1">
      <c r="A479" s="12" t="s">
        <v>234</v>
      </c>
      <c r="B479" s="12" t="s">
        <v>2743</v>
      </c>
      <c r="C479" s="24" t="s">
        <v>375</v>
      </c>
      <c r="D479" s="22" t="s">
        <v>11670</v>
      </c>
      <c r="E479" s="22" t="s">
        <v>11671</v>
      </c>
      <c r="F479" s="13" t="s">
        <v>178</v>
      </c>
      <c r="G479" s="14" t="s">
        <v>179</v>
      </c>
      <c r="H479" s="14" t="s">
        <v>11672</v>
      </c>
      <c r="I479" s="14" t="s">
        <v>179</v>
      </c>
      <c r="J479" s="14" t="s">
        <v>11673</v>
      </c>
      <c r="K479" s="14" t="s">
        <v>179</v>
      </c>
      <c r="L479" s="14" t="s">
        <v>11674</v>
      </c>
      <c r="M479" s="14" t="s">
        <v>179</v>
      </c>
      <c r="N479" s="14" t="s">
        <v>11675</v>
      </c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6" t="s">
        <v>197</v>
      </c>
      <c r="BP479" s="17" t="s">
        <v>198</v>
      </c>
      <c r="BQ479" s="18">
        <v>45685.77210648148</v>
      </c>
      <c r="BR479" s="17" t="s">
        <v>198</v>
      </c>
      <c r="BS479" s="18">
        <v>45685.77216435185</v>
      </c>
      <c r="BT479" s="17" t="s">
        <v>198</v>
      </c>
      <c r="BU479" s="18">
        <v>45685.77216435185</v>
      </c>
      <c r="BV479" s="13" t="s">
        <v>199</v>
      </c>
      <c r="BW479" s="14" t="s">
        <v>179</v>
      </c>
      <c r="BX479" s="14" t="s">
        <v>11676</v>
      </c>
      <c r="BY479" s="14" t="s">
        <v>179</v>
      </c>
      <c r="BZ479" s="14" t="s">
        <v>11677</v>
      </c>
      <c r="CA479" s="14" t="s">
        <v>179</v>
      </c>
      <c r="CB479" s="14" t="s">
        <v>11677</v>
      </c>
      <c r="CC479" s="15"/>
      <c r="CD479" s="15"/>
      <c r="CE479" s="15"/>
      <c r="CF479" s="15"/>
      <c r="CG479" s="19"/>
      <c r="CH479" s="15"/>
      <c r="CI479" s="19"/>
      <c r="CJ479" s="15"/>
      <c r="CK479" s="19"/>
      <c r="CL479" s="15"/>
      <c r="CM479" s="19"/>
      <c r="CN479" s="15"/>
      <c r="CO479" s="19"/>
      <c r="CP479" s="15"/>
      <c r="CQ479" s="15"/>
      <c r="CR479" s="15"/>
      <c r="CS479" s="19"/>
      <c r="CT479" s="15"/>
      <c r="CU479" s="19"/>
      <c r="CV479" s="15"/>
      <c r="CW479" s="19"/>
      <c r="CX479" s="15"/>
      <c r="CY479" s="19"/>
      <c r="CZ479" s="15"/>
      <c r="DA479" s="16" t="s">
        <v>197</v>
      </c>
      <c r="DB479" s="17" t="s">
        <v>228</v>
      </c>
      <c r="DC479" s="16"/>
      <c r="DD479" s="17" t="s">
        <v>198</v>
      </c>
      <c r="DE479" s="18">
        <v>45702.325057870374</v>
      </c>
      <c r="DF479" s="17" t="s">
        <v>198</v>
      </c>
      <c r="DG479" s="18">
        <v>45702.325057870374</v>
      </c>
      <c r="DH479" s="13" t="s">
        <v>205</v>
      </c>
      <c r="DI479" s="14" t="s">
        <v>179</v>
      </c>
      <c r="DJ479" s="14" t="s">
        <v>11678</v>
      </c>
      <c r="DK479" s="14" t="s">
        <v>179</v>
      </c>
      <c r="DL479" s="14" t="s">
        <v>11679</v>
      </c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6" t="s">
        <v>197</v>
      </c>
      <c r="ED479" s="17" t="s">
        <v>198</v>
      </c>
      <c r="EE479" s="18">
        <v>45713.42015046296</v>
      </c>
      <c r="EF479" s="13" t="s">
        <v>209</v>
      </c>
      <c r="EG479" s="14" t="s">
        <v>179</v>
      </c>
      <c r="EH479" s="14" t="s">
        <v>11680</v>
      </c>
      <c r="EI479" s="14" t="s">
        <v>179</v>
      </c>
      <c r="EJ479" s="14" t="s">
        <v>11681</v>
      </c>
      <c r="EK479" s="15"/>
      <c r="EL479" s="15"/>
      <c r="EM479" s="15"/>
      <c r="EN479" s="15"/>
      <c r="EO479" s="15"/>
      <c r="EP479" s="15"/>
      <c r="EQ479" s="15"/>
      <c r="ER479" s="15"/>
      <c r="ES479" s="15"/>
      <c r="ET479" s="15"/>
      <c r="EU479" s="15"/>
      <c r="EV479" s="15"/>
      <c r="EW479" s="15"/>
      <c r="EX479" s="15"/>
      <c r="EY479" s="15"/>
      <c r="EZ479" s="15"/>
      <c r="FA479" s="15"/>
      <c r="FB479" s="15"/>
      <c r="FC479" s="16" t="s">
        <v>197</v>
      </c>
      <c r="FD479" s="17" t="s">
        <v>198</v>
      </c>
      <c r="FE479" s="18">
        <v>45720.342523148145</v>
      </c>
      <c r="FF479" s="19"/>
      <c r="FG479" s="19"/>
      <c r="FH479" s="21" t="s">
        <v>197</v>
      </c>
      <c r="FI479" s="17" t="s">
        <v>214</v>
      </c>
      <c r="FJ479" s="18">
        <v>45720.342523148145</v>
      </c>
      <c r="FK479" s="14" t="s">
        <v>11681</v>
      </c>
      <c r="FL479" s="14" t="s">
        <v>11682</v>
      </c>
      <c r="FM479" s="14" t="s">
        <v>11683</v>
      </c>
      <c r="FN479" s="19"/>
      <c r="FO479" s="19"/>
      <c r="FP479" s="19" t="str">
        <f t="shared" si="1"/>
        <v>Base de Dados_Images/LIT65018.Imagem do Equipamento-.213932.jpg</v>
      </c>
      <c r="FQ479" s="19"/>
      <c r="FR479" s="19"/>
    </row>
    <row r="480" ht="15.75" customHeight="1">
      <c r="A480" s="12" t="s">
        <v>234</v>
      </c>
      <c r="B480" s="12" t="s">
        <v>2779</v>
      </c>
      <c r="C480" s="24" t="s">
        <v>375</v>
      </c>
      <c r="D480" s="22" t="s">
        <v>11684</v>
      </c>
      <c r="E480" s="22" t="s">
        <v>11685</v>
      </c>
      <c r="F480" s="13" t="s">
        <v>178</v>
      </c>
      <c r="G480" s="14" t="s">
        <v>179</v>
      </c>
      <c r="H480" s="14" t="s">
        <v>11686</v>
      </c>
      <c r="I480" s="14" t="s">
        <v>179</v>
      </c>
      <c r="J480" s="14" t="s">
        <v>11687</v>
      </c>
      <c r="K480" s="14" t="s">
        <v>179</v>
      </c>
      <c r="L480" s="14" t="s">
        <v>11688</v>
      </c>
      <c r="M480" s="14" t="s">
        <v>179</v>
      </c>
      <c r="N480" s="14" t="s">
        <v>11689</v>
      </c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6" t="s">
        <v>197</v>
      </c>
      <c r="BP480" s="17" t="s">
        <v>198</v>
      </c>
      <c r="BQ480" s="18">
        <v>45685.77525462963</v>
      </c>
      <c r="BR480" s="17" t="s">
        <v>198</v>
      </c>
      <c r="BS480" s="18">
        <v>45685.775289351855</v>
      </c>
      <c r="BT480" s="17" t="s">
        <v>198</v>
      </c>
      <c r="BU480" s="18">
        <v>45685.775289351855</v>
      </c>
      <c r="BV480" s="13" t="s">
        <v>199</v>
      </c>
      <c r="BW480" s="14" t="s">
        <v>179</v>
      </c>
      <c r="BX480" s="14" t="s">
        <v>11690</v>
      </c>
      <c r="BY480" s="14" t="s">
        <v>179</v>
      </c>
      <c r="BZ480" s="14" t="s">
        <v>11691</v>
      </c>
      <c r="CA480" s="14" t="s">
        <v>179</v>
      </c>
      <c r="CB480" s="14" t="s">
        <v>11692</v>
      </c>
      <c r="CC480" s="15"/>
      <c r="CD480" s="15"/>
      <c r="CE480" s="15"/>
      <c r="CF480" s="15"/>
      <c r="CG480" s="19"/>
      <c r="CH480" s="15"/>
      <c r="CI480" s="19"/>
      <c r="CJ480" s="15"/>
      <c r="CK480" s="19"/>
      <c r="CL480" s="15"/>
      <c r="CM480" s="19"/>
      <c r="CN480" s="15"/>
      <c r="CO480" s="19"/>
      <c r="CP480" s="15"/>
      <c r="CQ480" s="15"/>
      <c r="CR480" s="15"/>
      <c r="CS480" s="19"/>
      <c r="CT480" s="15"/>
      <c r="CU480" s="19"/>
      <c r="CV480" s="15"/>
      <c r="CW480" s="19"/>
      <c r="CX480" s="15"/>
      <c r="CY480" s="19"/>
      <c r="CZ480" s="15"/>
      <c r="DA480" s="16" t="s">
        <v>197</v>
      </c>
      <c r="DB480" s="17" t="s">
        <v>228</v>
      </c>
      <c r="DC480" s="16"/>
      <c r="DD480" s="17" t="s">
        <v>198</v>
      </c>
      <c r="DE480" s="18">
        <v>45713.40760416666</v>
      </c>
      <c r="DF480" s="17" t="s">
        <v>198</v>
      </c>
      <c r="DG480" s="18">
        <v>45713.40760416666</v>
      </c>
      <c r="DH480" s="13" t="s">
        <v>205</v>
      </c>
      <c r="DI480" s="14" t="s">
        <v>179</v>
      </c>
      <c r="DJ480" s="14" t="s">
        <v>11693</v>
      </c>
      <c r="DK480" s="14" t="s">
        <v>179</v>
      </c>
      <c r="DL480" s="14" t="s">
        <v>11693</v>
      </c>
      <c r="DM480" s="15"/>
      <c r="DN480" s="15"/>
      <c r="DO480" s="15"/>
      <c r="DP480" s="15"/>
      <c r="DQ480" s="15"/>
      <c r="DR480" s="15"/>
      <c r="DS480" s="15"/>
      <c r="DT480" s="15"/>
      <c r="DU480" s="15"/>
      <c r="DV480" s="15"/>
      <c r="DW480" s="15"/>
      <c r="DX480" s="15"/>
      <c r="DY480" s="15"/>
      <c r="DZ480" s="15"/>
      <c r="EA480" s="15"/>
      <c r="EB480" s="15"/>
      <c r="EC480" s="16" t="s">
        <v>197</v>
      </c>
      <c r="ED480" s="17" t="s">
        <v>198</v>
      </c>
      <c r="EE480" s="18">
        <v>45713.407638888886</v>
      </c>
      <c r="EF480" s="13" t="s">
        <v>209</v>
      </c>
      <c r="EG480" s="14" t="s">
        <v>179</v>
      </c>
      <c r="EH480" s="14" t="s">
        <v>11694</v>
      </c>
      <c r="EI480" s="14" t="s">
        <v>179</v>
      </c>
      <c r="EJ480" s="14" t="s">
        <v>11694</v>
      </c>
      <c r="EK480" s="15"/>
      <c r="EL480" s="15"/>
      <c r="EM480" s="15"/>
      <c r="EN480" s="15"/>
      <c r="EO480" s="15"/>
      <c r="EP480" s="15"/>
      <c r="EQ480" s="15"/>
      <c r="ER480" s="15"/>
      <c r="ES480" s="15"/>
      <c r="ET480" s="15"/>
      <c r="EU480" s="15"/>
      <c r="EV480" s="15"/>
      <c r="EW480" s="15"/>
      <c r="EX480" s="15"/>
      <c r="EY480" s="15"/>
      <c r="EZ480" s="15"/>
      <c r="FA480" s="15"/>
      <c r="FB480" s="15"/>
      <c r="FC480" s="16" t="s">
        <v>197</v>
      </c>
      <c r="FD480" s="17" t="s">
        <v>198</v>
      </c>
      <c r="FE480" s="18">
        <v>45720.333391203705</v>
      </c>
      <c r="FF480" s="19"/>
      <c r="FG480" s="19"/>
      <c r="FH480" s="21" t="s">
        <v>197</v>
      </c>
      <c r="FI480" s="17" t="s">
        <v>214</v>
      </c>
      <c r="FJ480" s="18">
        <v>45720.333391203705</v>
      </c>
      <c r="FK480" s="14" t="s">
        <v>11694</v>
      </c>
      <c r="FL480" s="14" t="s">
        <v>11695</v>
      </c>
      <c r="FM480" s="14" t="s">
        <v>11696</v>
      </c>
      <c r="FN480" s="19"/>
      <c r="FO480" s="19"/>
      <c r="FP480" s="19" t="str">
        <f t="shared" si="1"/>
        <v>Base de Dados_Images/LIT65019.Imagem do Equipamento-.213958.jpg</v>
      </c>
      <c r="FQ480" s="19"/>
      <c r="FR480" s="19"/>
    </row>
    <row r="481" ht="15.75" customHeight="1">
      <c r="A481" s="12" t="s">
        <v>234</v>
      </c>
      <c r="B481" s="12" t="s">
        <v>2816</v>
      </c>
      <c r="C481" s="24" t="s">
        <v>375</v>
      </c>
      <c r="D481" s="22" t="s">
        <v>11697</v>
      </c>
      <c r="E481" s="22" t="s">
        <v>11698</v>
      </c>
      <c r="F481" s="13" t="s">
        <v>178</v>
      </c>
      <c r="G481" s="14" t="s">
        <v>179</v>
      </c>
      <c r="H481" s="14" t="s">
        <v>11699</v>
      </c>
      <c r="I481" s="14" t="s">
        <v>179</v>
      </c>
      <c r="J481" s="14" t="s">
        <v>11700</v>
      </c>
      <c r="K481" s="14" t="s">
        <v>179</v>
      </c>
      <c r="L481" s="14" t="s">
        <v>11701</v>
      </c>
      <c r="M481" s="14" t="s">
        <v>179</v>
      </c>
      <c r="N481" s="14" t="s">
        <v>11700</v>
      </c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6" t="s">
        <v>197</v>
      </c>
      <c r="BP481" s="17" t="s">
        <v>198</v>
      </c>
      <c r="BQ481" s="18">
        <v>45687.82114583333</v>
      </c>
      <c r="BR481" s="17" t="s">
        <v>198</v>
      </c>
      <c r="BS481" s="18">
        <v>45687.82116898148</v>
      </c>
      <c r="BT481" s="17" t="s">
        <v>198</v>
      </c>
      <c r="BU481" s="18">
        <v>45687.82116898148</v>
      </c>
      <c r="BV481" s="13" t="s">
        <v>199</v>
      </c>
      <c r="BW481" s="14" t="s">
        <v>179</v>
      </c>
      <c r="BX481" s="14" t="s">
        <v>11702</v>
      </c>
      <c r="BY481" s="14" t="s">
        <v>179</v>
      </c>
      <c r="BZ481" s="14" t="s">
        <v>11702</v>
      </c>
      <c r="CA481" s="14" t="s">
        <v>179</v>
      </c>
      <c r="CB481" s="14" t="s">
        <v>11703</v>
      </c>
      <c r="CC481" s="15"/>
      <c r="CD481" s="15"/>
      <c r="CE481" s="15"/>
      <c r="CF481" s="15"/>
      <c r="CG481" s="19"/>
      <c r="CH481" s="15"/>
      <c r="CI481" s="19"/>
      <c r="CJ481" s="15"/>
      <c r="CK481" s="19"/>
      <c r="CL481" s="15"/>
      <c r="CM481" s="19"/>
      <c r="CN481" s="15"/>
      <c r="CO481" s="19"/>
      <c r="CP481" s="15"/>
      <c r="CQ481" s="15"/>
      <c r="CR481" s="15"/>
      <c r="CS481" s="19"/>
      <c r="CT481" s="15"/>
      <c r="CU481" s="19"/>
      <c r="CV481" s="15"/>
      <c r="CW481" s="19"/>
      <c r="CX481" s="15"/>
      <c r="CY481" s="19"/>
      <c r="CZ481" s="15"/>
      <c r="DA481" s="16" t="s">
        <v>197</v>
      </c>
      <c r="DB481" s="17" t="s">
        <v>228</v>
      </c>
      <c r="DC481" s="16"/>
      <c r="DD481" s="17" t="s">
        <v>198</v>
      </c>
      <c r="DE481" s="18">
        <v>45713.41003472222</v>
      </c>
      <c r="DF481" s="17" t="s">
        <v>198</v>
      </c>
      <c r="DG481" s="18">
        <v>45713.41003472222</v>
      </c>
      <c r="DH481" s="13" t="s">
        <v>205</v>
      </c>
      <c r="DI481" s="14" t="s">
        <v>179</v>
      </c>
      <c r="DJ481" s="14" t="s">
        <v>11704</v>
      </c>
      <c r="DK481" s="14" t="s">
        <v>179</v>
      </c>
      <c r="DL481" s="14" t="s">
        <v>11705</v>
      </c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6" t="s">
        <v>197</v>
      </c>
      <c r="ED481" s="17" t="s">
        <v>198</v>
      </c>
      <c r="EE481" s="18">
        <v>45713.41008101852</v>
      </c>
      <c r="EF481" s="13" t="s">
        <v>209</v>
      </c>
      <c r="EG481" s="14" t="s">
        <v>179</v>
      </c>
      <c r="EH481" s="14" t="s">
        <v>11706</v>
      </c>
      <c r="EI481" s="14" t="s">
        <v>179</v>
      </c>
      <c r="EJ481" s="14" t="s">
        <v>11707</v>
      </c>
      <c r="EK481" s="15"/>
      <c r="EL481" s="15"/>
      <c r="EM481" s="15"/>
      <c r="EN481" s="15"/>
      <c r="EO481" s="15"/>
      <c r="EP481" s="15"/>
      <c r="EQ481" s="15"/>
      <c r="ER481" s="15"/>
      <c r="ES481" s="15"/>
      <c r="ET481" s="15"/>
      <c r="EU481" s="15"/>
      <c r="EV481" s="15"/>
      <c r="EW481" s="15"/>
      <c r="EX481" s="15"/>
      <c r="EY481" s="15"/>
      <c r="EZ481" s="15"/>
      <c r="FA481" s="15"/>
      <c r="FB481" s="15"/>
      <c r="FC481" s="16" t="s">
        <v>197</v>
      </c>
      <c r="FD481" s="17" t="s">
        <v>198</v>
      </c>
      <c r="FE481" s="18">
        <v>45720.34410879629</v>
      </c>
      <c r="FF481" s="19"/>
      <c r="FG481" s="19"/>
      <c r="FH481" s="21" t="s">
        <v>197</v>
      </c>
      <c r="FI481" s="17" t="s">
        <v>214</v>
      </c>
      <c r="FJ481" s="18">
        <v>45720.34410879629</v>
      </c>
      <c r="FK481" s="14" t="s">
        <v>11707</v>
      </c>
      <c r="FL481" s="14" t="s">
        <v>11708</v>
      </c>
      <c r="FM481" s="14" t="s">
        <v>11709</v>
      </c>
      <c r="FN481" s="19"/>
      <c r="FO481" s="19"/>
      <c r="FP481" s="19" t="str">
        <f t="shared" si="1"/>
        <v>Base de Dados_Images/LIT65020.Imagem do Equipamento-.224230.jpg</v>
      </c>
      <c r="FQ481" s="19"/>
      <c r="FR481" s="19"/>
    </row>
    <row r="482" ht="15.75" customHeight="1">
      <c r="A482" s="12" t="s">
        <v>234</v>
      </c>
      <c r="B482" s="12" t="s">
        <v>2850</v>
      </c>
      <c r="C482" s="24" t="s">
        <v>375</v>
      </c>
      <c r="D482" s="22" t="s">
        <v>11710</v>
      </c>
      <c r="E482" s="22" t="s">
        <v>11711</v>
      </c>
      <c r="F482" s="13" t="s">
        <v>178</v>
      </c>
      <c r="G482" s="14" t="s">
        <v>179</v>
      </c>
      <c r="H482" s="14" t="s">
        <v>11712</v>
      </c>
      <c r="I482" s="14" t="s">
        <v>179</v>
      </c>
      <c r="J482" s="14" t="s">
        <v>11713</v>
      </c>
      <c r="K482" s="14" t="s">
        <v>179</v>
      </c>
      <c r="L482" s="14" t="s">
        <v>11712</v>
      </c>
      <c r="M482" s="14" t="s">
        <v>179</v>
      </c>
      <c r="N482" s="14" t="s">
        <v>11714</v>
      </c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6" t="s">
        <v>197</v>
      </c>
      <c r="BP482" s="17" t="s">
        <v>198</v>
      </c>
      <c r="BQ482" s="18">
        <v>45687.820127314815</v>
      </c>
      <c r="BR482" s="17" t="s">
        <v>198</v>
      </c>
      <c r="BS482" s="18">
        <v>45687.82016203704</v>
      </c>
      <c r="BT482" s="17" t="s">
        <v>198</v>
      </c>
      <c r="BU482" s="18">
        <v>45687.82016203704</v>
      </c>
      <c r="BV482" s="13" t="s">
        <v>199</v>
      </c>
      <c r="BW482" s="14" t="s">
        <v>179</v>
      </c>
      <c r="BX482" s="14" t="s">
        <v>11715</v>
      </c>
      <c r="BY482" s="14" t="s">
        <v>179</v>
      </c>
      <c r="BZ482" s="14" t="s">
        <v>11716</v>
      </c>
      <c r="CA482" s="14" t="s">
        <v>179</v>
      </c>
      <c r="CB482" s="14" t="s">
        <v>11717</v>
      </c>
      <c r="CC482" s="15"/>
      <c r="CD482" s="15"/>
      <c r="CE482" s="15"/>
      <c r="CF482" s="15"/>
      <c r="CG482" s="19"/>
      <c r="CH482" s="15"/>
      <c r="CI482" s="19"/>
      <c r="CJ482" s="15"/>
      <c r="CK482" s="19"/>
      <c r="CL482" s="15"/>
      <c r="CM482" s="19"/>
      <c r="CN482" s="15"/>
      <c r="CO482" s="19"/>
      <c r="CP482" s="15"/>
      <c r="CQ482" s="15"/>
      <c r="CR482" s="15"/>
      <c r="CS482" s="19"/>
      <c r="CT482" s="15"/>
      <c r="CU482" s="19"/>
      <c r="CV482" s="15"/>
      <c r="CW482" s="19"/>
      <c r="CX482" s="15"/>
      <c r="CY482" s="19"/>
      <c r="CZ482" s="15"/>
      <c r="DA482" s="16" t="s">
        <v>197</v>
      </c>
      <c r="DB482" s="17" t="s">
        <v>228</v>
      </c>
      <c r="DC482" s="16"/>
      <c r="DD482" s="17" t="s">
        <v>198</v>
      </c>
      <c r="DE482" s="18">
        <v>45702.32570601852</v>
      </c>
      <c r="DF482" s="17" t="s">
        <v>198</v>
      </c>
      <c r="DG482" s="18">
        <v>45702.32570601852</v>
      </c>
      <c r="DH482" s="13" t="s">
        <v>205</v>
      </c>
      <c r="DI482" s="14" t="s">
        <v>179</v>
      </c>
      <c r="DJ482" s="14" t="s">
        <v>11718</v>
      </c>
      <c r="DK482" s="14" t="s">
        <v>179</v>
      </c>
      <c r="DL482" s="14" t="s">
        <v>11719</v>
      </c>
      <c r="DM482" s="15"/>
      <c r="DN482" s="15"/>
      <c r="DO482" s="15"/>
      <c r="DP482" s="15"/>
      <c r="DQ482" s="15"/>
      <c r="DR482" s="15"/>
      <c r="DS482" s="15"/>
      <c r="DT482" s="15"/>
      <c r="DU482" s="15"/>
      <c r="DV482" s="15"/>
      <c r="DW482" s="15"/>
      <c r="DX482" s="15"/>
      <c r="DY482" s="15"/>
      <c r="DZ482" s="15"/>
      <c r="EA482" s="15"/>
      <c r="EB482" s="15"/>
      <c r="EC482" s="16" t="s">
        <v>197</v>
      </c>
      <c r="ED482" s="17" t="s">
        <v>198</v>
      </c>
      <c r="EE482" s="18">
        <v>45713.416608796295</v>
      </c>
      <c r="EF482" s="13" t="s">
        <v>209</v>
      </c>
      <c r="EG482" s="14" t="s">
        <v>179</v>
      </c>
      <c r="EH482" s="14" t="s">
        <v>11720</v>
      </c>
      <c r="EI482" s="14" t="s">
        <v>179</v>
      </c>
      <c r="EJ482" s="14" t="s">
        <v>11721</v>
      </c>
      <c r="EK482" s="15"/>
      <c r="EL482" s="15"/>
      <c r="EM482" s="15"/>
      <c r="EN482" s="15"/>
      <c r="EO482" s="15"/>
      <c r="EP482" s="15"/>
      <c r="EQ482" s="15"/>
      <c r="ER482" s="15"/>
      <c r="ES482" s="15"/>
      <c r="ET482" s="15"/>
      <c r="EU482" s="15"/>
      <c r="EV482" s="15"/>
      <c r="EW482" s="15"/>
      <c r="EX482" s="15"/>
      <c r="EY482" s="15"/>
      <c r="EZ482" s="15"/>
      <c r="FA482" s="15"/>
      <c r="FB482" s="15"/>
      <c r="FC482" s="16" t="s">
        <v>197</v>
      </c>
      <c r="FD482" s="17" t="s">
        <v>198</v>
      </c>
      <c r="FE482" s="18">
        <v>45720.349583333336</v>
      </c>
      <c r="FF482" s="19"/>
      <c r="FG482" s="19"/>
      <c r="FH482" s="21" t="s">
        <v>197</v>
      </c>
      <c r="FI482" s="17" t="s">
        <v>214</v>
      </c>
      <c r="FJ482" s="18">
        <v>45720.349583333336</v>
      </c>
      <c r="FK482" s="14" t="s">
        <v>11721</v>
      </c>
      <c r="FL482" s="14" t="s">
        <v>11722</v>
      </c>
      <c r="FM482" s="14" t="s">
        <v>11723</v>
      </c>
      <c r="FN482" s="19"/>
      <c r="FO482" s="19"/>
      <c r="FP482" s="19" t="str">
        <f t="shared" si="1"/>
        <v>Base de Dados_Images/LIT65021.Imagem do Equipamento-.224123.jpg</v>
      </c>
      <c r="FQ482" s="19"/>
      <c r="FR482" s="19"/>
    </row>
    <row r="483" ht="15.75" customHeight="1">
      <c r="A483" s="12" t="s">
        <v>234</v>
      </c>
      <c r="B483" s="12" t="s">
        <v>2885</v>
      </c>
      <c r="C483" s="24" t="s">
        <v>375</v>
      </c>
      <c r="D483" s="22" t="s">
        <v>11724</v>
      </c>
      <c r="E483" s="22" t="s">
        <v>11725</v>
      </c>
      <c r="F483" s="13" t="s">
        <v>178</v>
      </c>
      <c r="G483" s="14" t="s">
        <v>179</v>
      </c>
      <c r="H483" s="14" t="s">
        <v>11726</v>
      </c>
      <c r="I483" s="14" t="s">
        <v>179</v>
      </c>
      <c r="J483" s="14" t="s">
        <v>11727</v>
      </c>
      <c r="K483" s="14" t="s">
        <v>179</v>
      </c>
      <c r="L483" s="14" t="s">
        <v>11728</v>
      </c>
      <c r="M483" s="14" t="s">
        <v>179</v>
      </c>
      <c r="N483" s="14" t="s">
        <v>11729</v>
      </c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6" t="s">
        <v>197</v>
      </c>
      <c r="BP483" s="17" t="s">
        <v>198</v>
      </c>
      <c r="BQ483" s="18">
        <v>45687.81909722222</v>
      </c>
      <c r="BR483" s="17" t="s">
        <v>198</v>
      </c>
      <c r="BS483" s="18">
        <v>45687.81914351852</v>
      </c>
      <c r="BT483" s="17" t="s">
        <v>198</v>
      </c>
      <c r="BU483" s="18">
        <v>45687.81914351852</v>
      </c>
      <c r="BV483" s="13" t="s">
        <v>199</v>
      </c>
      <c r="BW483" s="14" t="s">
        <v>179</v>
      </c>
      <c r="BX483" s="14" t="s">
        <v>11730</v>
      </c>
      <c r="BY483" s="14" t="s">
        <v>179</v>
      </c>
      <c r="BZ483" s="14" t="s">
        <v>11731</v>
      </c>
      <c r="CA483" s="14" t="s">
        <v>179</v>
      </c>
      <c r="CB483" s="14" t="s">
        <v>11732</v>
      </c>
      <c r="CC483" s="15"/>
      <c r="CD483" s="15"/>
      <c r="CE483" s="15"/>
      <c r="CF483" s="15"/>
      <c r="CG483" s="19"/>
      <c r="CH483" s="15"/>
      <c r="CI483" s="19"/>
      <c r="CJ483" s="15"/>
      <c r="CK483" s="19"/>
      <c r="CL483" s="15"/>
      <c r="CM483" s="19"/>
      <c r="CN483" s="15"/>
      <c r="CO483" s="19"/>
      <c r="CP483" s="15"/>
      <c r="CQ483" s="15"/>
      <c r="CR483" s="15"/>
      <c r="CS483" s="19"/>
      <c r="CT483" s="15"/>
      <c r="CU483" s="19"/>
      <c r="CV483" s="15"/>
      <c r="CW483" s="19"/>
      <c r="CX483" s="15"/>
      <c r="CY483" s="19"/>
      <c r="CZ483" s="15"/>
      <c r="DA483" s="16" t="s">
        <v>197</v>
      </c>
      <c r="DB483" s="17" t="s">
        <v>228</v>
      </c>
      <c r="DC483" s="16"/>
      <c r="DD483" s="17" t="s">
        <v>198</v>
      </c>
      <c r="DE483" s="18">
        <v>45713.41064814815</v>
      </c>
      <c r="DF483" s="17" t="s">
        <v>198</v>
      </c>
      <c r="DG483" s="18">
        <v>45713.41064814815</v>
      </c>
      <c r="DH483" s="13" t="s">
        <v>205</v>
      </c>
      <c r="DI483" s="14" t="s">
        <v>179</v>
      </c>
      <c r="DJ483" s="14" t="s">
        <v>11733</v>
      </c>
      <c r="DK483" s="14" t="s">
        <v>179</v>
      </c>
      <c r="DL483" s="14" t="s">
        <v>11734</v>
      </c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6" t="s">
        <v>197</v>
      </c>
      <c r="ED483" s="17" t="s">
        <v>198</v>
      </c>
      <c r="EE483" s="18">
        <v>45713.41069444444</v>
      </c>
      <c r="EF483" s="13" t="s">
        <v>209</v>
      </c>
      <c r="EG483" s="14" t="s">
        <v>179</v>
      </c>
      <c r="EH483" s="14" t="s">
        <v>11735</v>
      </c>
      <c r="EI483" s="14" t="s">
        <v>179</v>
      </c>
      <c r="EJ483" s="14" t="s">
        <v>11736</v>
      </c>
      <c r="EK483" s="15"/>
      <c r="EL483" s="15"/>
      <c r="EM483" s="15"/>
      <c r="EN483" s="15"/>
      <c r="EO483" s="15"/>
      <c r="EP483" s="15"/>
      <c r="EQ483" s="15"/>
      <c r="ER483" s="15"/>
      <c r="ES483" s="15"/>
      <c r="ET483" s="15"/>
      <c r="EU483" s="15"/>
      <c r="EV483" s="15"/>
      <c r="EW483" s="15"/>
      <c r="EX483" s="15"/>
      <c r="EY483" s="15"/>
      <c r="EZ483" s="15"/>
      <c r="FA483" s="15"/>
      <c r="FB483" s="15"/>
      <c r="FC483" s="16" t="s">
        <v>197</v>
      </c>
      <c r="FD483" s="17" t="s">
        <v>198</v>
      </c>
      <c r="FE483" s="18">
        <v>45720.3540162037</v>
      </c>
      <c r="FF483" s="19"/>
      <c r="FG483" s="19"/>
      <c r="FH483" s="21" t="s">
        <v>197</v>
      </c>
      <c r="FI483" s="17" t="s">
        <v>214</v>
      </c>
      <c r="FJ483" s="18">
        <v>45720.3540162037</v>
      </c>
      <c r="FK483" s="14" t="s">
        <v>11736</v>
      </c>
      <c r="FL483" s="14" t="s">
        <v>11737</v>
      </c>
      <c r="FM483" s="14" t="s">
        <v>11738</v>
      </c>
      <c r="FN483" s="19"/>
      <c r="FO483" s="19"/>
      <c r="FP483" s="19" t="str">
        <f t="shared" si="1"/>
        <v>Base de Dados_Images/LIT65022.Imagem do Equipamento-.224013.jpg</v>
      </c>
      <c r="FQ483" s="19"/>
      <c r="FR483" s="19"/>
    </row>
    <row r="484" ht="15.75" customHeight="1">
      <c r="A484" s="12" t="s">
        <v>234</v>
      </c>
      <c r="B484" s="12" t="s">
        <v>2921</v>
      </c>
      <c r="C484" s="24" t="s">
        <v>375</v>
      </c>
      <c r="D484" s="22" t="s">
        <v>11739</v>
      </c>
      <c r="E484" s="22" t="s">
        <v>11740</v>
      </c>
      <c r="F484" s="13" t="s">
        <v>178</v>
      </c>
      <c r="G484" s="14" t="s">
        <v>179</v>
      </c>
      <c r="H484" s="14" t="s">
        <v>11741</v>
      </c>
      <c r="I484" s="14" t="s">
        <v>179</v>
      </c>
      <c r="J484" s="14" t="s">
        <v>11742</v>
      </c>
      <c r="K484" s="14" t="s">
        <v>179</v>
      </c>
      <c r="L484" s="14" t="s">
        <v>11742</v>
      </c>
      <c r="M484" s="14" t="s">
        <v>179</v>
      </c>
      <c r="N484" s="14" t="s">
        <v>11743</v>
      </c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6" t="s">
        <v>197</v>
      </c>
      <c r="BP484" s="17" t="s">
        <v>198</v>
      </c>
      <c r="BQ484" s="18">
        <v>45687.81780092593</v>
      </c>
      <c r="BR484" s="17" t="s">
        <v>198</v>
      </c>
      <c r="BS484" s="18">
        <v>45687.81784722222</v>
      </c>
      <c r="BT484" s="17" t="s">
        <v>198</v>
      </c>
      <c r="BU484" s="18">
        <v>45687.81784722222</v>
      </c>
      <c r="BV484" s="13" t="s">
        <v>199</v>
      </c>
      <c r="BW484" s="14" t="s">
        <v>179</v>
      </c>
      <c r="BX484" s="14" t="s">
        <v>11744</v>
      </c>
      <c r="BY484" s="14" t="s">
        <v>179</v>
      </c>
      <c r="BZ484" s="14" t="s">
        <v>11745</v>
      </c>
      <c r="CA484" s="14" t="s">
        <v>179</v>
      </c>
      <c r="CB484" s="14" t="s">
        <v>11746</v>
      </c>
      <c r="CC484" s="15"/>
      <c r="CD484" s="15"/>
      <c r="CE484" s="15"/>
      <c r="CF484" s="15"/>
      <c r="CG484" s="19"/>
      <c r="CH484" s="15"/>
      <c r="CI484" s="19"/>
      <c r="CJ484" s="15"/>
      <c r="CK484" s="19"/>
      <c r="CL484" s="15"/>
      <c r="CM484" s="19"/>
      <c r="CN484" s="15"/>
      <c r="CO484" s="19"/>
      <c r="CP484" s="15"/>
      <c r="CQ484" s="15"/>
      <c r="CR484" s="15"/>
      <c r="CS484" s="19"/>
      <c r="CT484" s="15"/>
      <c r="CU484" s="19"/>
      <c r="CV484" s="15"/>
      <c r="CW484" s="19"/>
      <c r="CX484" s="15"/>
      <c r="CY484" s="19"/>
      <c r="CZ484" s="15"/>
      <c r="DA484" s="16" t="s">
        <v>197</v>
      </c>
      <c r="DB484" s="17" t="s">
        <v>228</v>
      </c>
      <c r="DC484" s="16"/>
      <c r="DD484" s="17" t="s">
        <v>198</v>
      </c>
      <c r="DE484" s="18">
        <v>45702.326273148145</v>
      </c>
      <c r="DF484" s="17" t="s">
        <v>198</v>
      </c>
      <c r="DG484" s="18">
        <v>45702.326273148145</v>
      </c>
      <c r="DH484" s="13" t="s">
        <v>205</v>
      </c>
      <c r="DI484" s="14" t="s">
        <v>179</v>
      </c>
      <c r="DJ484" s="14" t="s">
        <v>11747</v>
      </c>
      <c r="DK484" s="14" t="s">
        <v>179</v>
      </c>
      <c r="DL484" s="14" t="s">
        <v>11747</v>
      </c>
      <c r="DM484" s="15"/>
      <c r="DN484" s="15"/>
      <c r="DO484" s="15"/>
      <c r="DP484" s="15"/>
      <c r="DQ484" s="15"/>
      <c r="DR484" s="15"/>
      <c r="DS484" s="15"/>
      <c r="DT484" s="15"/>
      <c r="DU484" s="15"/>
      <c r="DV484" s="15"/>
      <c r="DW484" s="15"/>
      <c r="DX484" s="15"/>
      <c r="DY484" s="15"/>
      <c r="DZ484" s="15"/>
      <c r="EA484" s="15"/>
      <c r="EB484" s="15"/>
      <c r="EC484" s="16" t="s">
        <v>197</v>
      </c>
      <c r="ED484" s="17" t="s">
        <v>198</v>
      </c>
      <c r="EE484" s="18">
        <v>45713.4191087963</v>
      </c>
      <c r="EF484" s="13" t="s">
        <v>209</v>
      </c>
      <c r="EG484" s="14" t="s">
        <v>179</v>
      </c>
      <c r="EH484" s="14" t="s">
        <v>11748</v>
      </c>
      <c r="EI484" s="14" t="s">
        <v>179</v>
      </c>
      <c r="EJ484" s="14" t="s">
        <v>11749</v>
      </c>
      <c r="EK484" s="15"/>
      <c r="EL484" s="15"/>
      <c r="EM484" s="15"/>
      <c r="EN484" s="15"/>
      <c r="EO484" s="15"/>
      <c r="EP484" s="15"/>
      <c r="EQ484" s="15"/>
      <c r="ER484" s="15"/>
      <c r="ES484" s="15"/>
      <c r="ET484" s="15"/>
      <c r="EU484" s="15"/>
      <c r="EV484" s="15"/>
      <c r="EW484" s="15"/>
      <c r="EX484" s="15"/>
      <c r="EY484" s="15"/>
      <c r="EZ484" s="15"/>
      <c r="FA484" s="15"/>
      <c r="FB484" s="15"/>
      <c r="FC484" s="16" t="s">
        <v>197</v>
      </c>
      <c r="FD484" s="17" t="s">
        <v>198</v>
      </c>
      <c r="FE484" s="18">
        <v>45720.35172453704</v>
      </c>
      <c r="FF484" s="19"/>
      <c r="FG484" s="19"/>
      <c r="FH484" s="21" t="s">
        <v>197</v>
      </c>
      <c r="FI484" s="17" t="s">
        <v>214</v>
      </c>
      <c r="FJ484" s="18">
        <v>45720.35172453704</v>
      </c>
      <c r="FK484" s="14" t="s">
        <v>11749</v>
      </c>
      <c r="FL484" s="14" t="s">
        <v>11750</v>
      </c>
      <c r="FM484" s="14" t="s">
        <v>11751</v>
      </c>
      <c r="FN484" s="19"/>
      <c r="FO484" s="19"/>
      <c r="FP484" s="19" t="str">
        <f t="shared" si="1"/>
        <v>Base de Dados_Images/LIT65023.Imagem do Equipamento-.223906.jpg</v>
      </c>
      <c r="FQ484" s="19"/>
      <c r="FR484" s="19"/>
    </row>
    <row r="485" ht="15.75" customHeight="1">
      <c r="A485" s="12" t="s">
        <v>234</v>
      </c>
      <c r="B485" s="12" t="s">
        <v>11107</v>
      </c>
      <c r="C485" s="24" t="s">
        <v>375</v>
      </c>
      <c r="D485" s="22" t="s">
        <v>11752</v>
      </c>
      <c r="E485" s="22" t="s">
        <v>11753</v>
      </c>
      <c r="F485" s="13" t="s">
        <v>178</v>
      </c>
      <c r="G485" s="14" t="s">
        <v>179</v>
      </c>
      <c r="H485" s="14" t="s">
        <v>11754</v>
      </c>
      <c r="I485" s="14" t="s">
        <v>179</v>
      </c>
      <c r="J485" s="14" t="s">
        <v>11755</v>
      </c>
      <c r="K485" s="14" t="s">
        <v>179</v>
      </c>
      <c r="L485" s="14" t="s">
        <v>11756</v>
      </c>
      <c r="M485" s="14" t="s">
        <v>179</v>
      </c>
      <c r="N485" s="14" t="s">
        <v>11757</v>
      </c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6" t="s">
        <v>197</v>
      </c>
      <c r="BP485" s="17" t="s">
        <v>198</v>
      </c>
      <c r="BQ485" s="18">
        <v>45694.62850694444</v>
      </c>
      <c r="BR485" s="17" t="s">
        <v>198</v>
      </c>
      <c r="BS485" s="18">
        <v>45694.62887731481</v>
      </c>
      <c r="BT485" s="17" t="s">
        <v>198</v>
      </c>
      <c r="BU485" s="18">
        <v>45694.62887731481</v>
      </c>
      <c r="BV485" s="13" t="s">
        <v>199</v>
      </c>
      <c r="BW485" s="14" t="s">
        <v>179</v>
      </c>
      <c r="BX485" s="14" t="s">
        <v>11758</v>
      </c>
      <c r="BY485" s="14" t="s">
        <v>179</v>
      </c>
      <c r="BZ485" s="14" t="s">
        <v>11759</v>
      </c>
      <c r="CA485" s="14" t="s">
        <v>179</v>
      </c>
      <c r="CB485" s="14" t="s">
        <v>11760</v>
      </c>
      <c r="CC485" s="15"/>
      <c r="CD485" s="15"/>
      <c r="CE485" s="15"/>
      <c r="CF485" s="15"/>
      <c r="CG485" s="19"/>
      <c r="CH485" s="15"/>
      <c r="CI485" s="19"/>
      <c r="CJ485" s="15"/>
      <c r="CK485" s="19"/>
      <c r="CL485" s="15"/>
      <c r="CM485" s="19"/>
      <c r="CN485" s="15"/>
      <c r="CO485" s="19"/>
      <c r="CP485" s="15"/>
      <c r="CQ485" s="15"/>
      <c r="CR485" s="15"/>
      <c r="CS485" s="19"/>
      <c r="CT485" s="15"/>
      <c r="CU485" s="19"/>
      <c r="CV485" s="15"/>
      <c r="CW485" s="19"/>
      <c r="CX485" s="15"/>
      <c r="CY485" s="19"/>
      <c r="CZ485" s="15"/>
      <c r="DA485" s="16" t="s">
        <v>197</v>
      </c>
      <c r="DB485" s="17" t="s">
        <v>228</v>
      </c>
      <c r="DC485" s="16"/>
      <c r="DD485" s="17" t="s">
        <v>198</v>
      </c>
      <c r="DE485" s="18">
        <v>45696.5965162037</v>
      </c>
      <c r="DF485" s="17" t="s">
        <v>198</v>
      </c>
      <c r="DG485" s="18">
        <v>45696.5965162037</v>
      </c>
      <c r="DH485" s="13" t="s">
        <v>205</v>
      </c>
      <c r="DI485" s="14" t="s">
        <v>179</v>
      </c>
      <c r="DJ485" s="14" t="s">
        <v>11761</v>
      </c>
      <c r="DK485" s="14" t="s">
        <v>179</v>
      </c>
      <c r="DL485" s="14" t="s">
        <v>11762</v>
      </c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6" t="s">
        <v>197</v>
      </c>
      <c r="ED485" s="17" t="s">
        <v>198</v>
      </c>
      <c r="EE485" s="18">
        <v>45719.530706018515</v>
      </c>
      <c r="EF485" s="13" t="s">
        <v>209</v>
      </c>
      <c r="EG485" s="14" t="s">
        <v>179</v>
      </c>
      <c r="EH485" s="14" t="s">
        <v>11763</v>
      </c>
      <c r="EI485" s="14" t="s">
        <v>179</v>
      </c>
      <c r="EJ485" s="14" t="s">
        <v>11764</v>
      </c>
      <c r="EK485" s="15"/>
      <c r="EL485" s="15"/>
      <c r="EM485" s="15"/>
      <c r="EN485" s="15"/>
      <c r="EO485" s="15"/>
      <c r="EP485" s="15"/>
      <c r="EQ485" s="15"/>
      <c r="ER485" s="15"/>
      <c r="ES485" s="15"/>
      <c r="ET485" s="15"/>
      <c r="EU485" s="15"/>
      <c r="EV485" s="15"/>
      <c r="EW485" s="15"/>
      <c r="EX485" s="15"/>
      <c r="EY485" s="15"/>
      <c r="EZ485" s="15"/>
      <c r="FA485" s="15"/>
      <c r="FB485" s="15"/>
      <c r="FC485" s="16" t="s">
        <v>197</v>
      </c>
      <c r="FD485" s="17" t="s">
        <v>198</v>
      </c>
      <c r="FE485" s="18">
        <v>45722.39053240741</v>
      </c>
      <c r="FF485" s="19"/>
      <c r="FG485" s="19"/>
      <c r="FH485" s="21" t="s">
        <v>197</v>
      </c>
      <c r="FI485" s="17" t="s">
        <v>214</v>
      </c>
      <c r="FJ485" s="18">
        <v>45722.39053240741</v>
      </c>
      <c r="FK485" s="14" t="s">
        <v>11764</v>
      </c>
      <c r="FL485" s="14" t="s">
        <v>11765</v>
      </c>
      <c r="FM485" s="14" t="s">
        <v>11766</v>
      </c>
      <c r="FN485" s="19"/>
      <c r="FO485" s="19"/>
      <c r="FP485" s="19" t="str">
        <f t="shared" si="1"/>
        <v>Base de Dados_Images/LIT65025.Imagem do Equipamento-.172443.jpg</v>
      </c>
      <c r="FQ485" s="19"/>
      <c r="FR485" s="19"/>
    </row>
    <row r="486" ht="15.75" customHeight="1">
      <c r="A486" s="12" t="s">
        <v>234</v>
      </c>
      <c r="B486" s="12" t="s">
        <v>10222</v>
      </c>
      <c r="C486" s="24" t="s">
        <v>375</v>
      </c>
      <c r="D486" s="22" t="s">
        <v>11767</v>
      </c>
      <c r="E486" s="22" t="s">
        <v>11768</v>
      </c>
      <c r="F486" s="13" t="s">
        <v>178</v>
      </c>
      <c r="G486" s="14" t="s">
        <v>179</v>
      </c>
      <c r="H486" s="14" t="s">
        <v>11769</v>
      </c>
      <c r="I486" s="14" t="s">
        <v>179</v>
      </c>
      <c r="J486" s="14" t="s">
        <v>11770</v>
      </c>
      <c r="K486" s="14" t="s">
        <v>179</v>
      </c>
      <c r="L486" s="14" t="s">
        <v>11771</v>
      </c>
      <c r="M486" s="14" t="s">
        <v>179</v>
      </c>
      <c r="N486" s="14" t="s">
        <v>11772</v>
      </c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6" t="s">
        <v>197</v>
      </c>
      <c r="BP486" s="17" t="s">
        <v>198</v>
      </c>
      <c r="BQ486" s="18">
        <v>45686.61993055556</v>
      </c>
      <c r="BR486" s="17" t="s">
        <v>198</v>
      </c>
      <c r="BS486" s="18">
        <v>45686.61991898148</v>
      </c>
      <c r="BT486" s="17" t="s">
        <v>198</v>
      </c>
      <c r="BU486" s="18">
        <v>45686.61993055556</v>
      </c>
      <c r="BV486" s="13" t="s">
        <v>199</v>
      </c>
      <c r="BW486" s="14" t="s">
        <v>179</v>
      </c>
      <c r="BX486" s="14" t="s">
        <v>11773</v>
      </c>
      <c r="BY486" s="14" t="s">
        <v>179</v>
      </c>
      <c r="BZ486" s="14" t="s">
        <v>11774</v>
      </c>
      <c r="CA486" s="14" t="s">
        <v>179</v>
      </c>
      <c r="CB486" s="14" t="s">
        <v>11775</v>
      </c>
      <c r="CC486" s="15"/>
      <c r="CD486" s="15"/>
      <c r="CE486" s="15"/>
      <c r="CF486" s="15"/>
      <c r="CG486" s="19"/>
      <c r="CH486" s="15"/>
      <c r="CI486" s="19"/>
      <c r="CJ486" s="15"/>
      <c r="CK486" s="19"/>
      <c r="CL486" s="15"/>
      <c r="CM486" s="19"/>
      <c r="CN486" s="15"/>
      <c r="CO486" s="19"/>
      <c r="CP486" s="15"/>
      <c r="CQ486" s="15"/>
      <c r="CR486" s="15"/>
      <c r="CS486" s="19"/>
      <c r="CT486" s="15"/>
      <c r="CU486" s="19"/>
      <c r="CV486" s="15"/>
      <c r="CW486" s="19"/>
      <c r="CX486" s="15"/>
      <c r="CY486" s="19"/>
      <c r="CZ486" s="15"/>
      <c r="DA486" s="16" t="s">
        <v>197</v>
      </c>
      <c r="DB486" s="17" t="s">
        <v>228</v>
      </c>
      <c r="DC486" s="16"/>
      <c r="DD486" s="17" t="s">
        <v>198</v>
      </c>
      <c r="DE486" s="18">
        <v>45696.60894675926</v>
      </c>
      <c r="DF486" s="17" t="s">
        <v>198</v>
      </c>
      <c r="DG486" s="18">
        <v>45696.60894675926</v>
      </c>
      <c r="DH486" s="13" t="s">
        <v>205</v>
      </c>
      <c r="DI486" s="14" t="s">
        <v>179</v>
      </c>
      <c r="DJ486" s="14" t="s">
        <v>11776</v>
      </c>
      <c r="DK486" s="14" t="s">
        <v>179</v>
      </c>
      <c r="DL486" s="14" t="s">
        <v>11777</v>
      </c>
      <c r="DM486" s="15"/>
      <c r="DN486" s="15"/>
      <c r="DO486" s="15"/>
      <c r="DP486" s="15"/>
      <c r="DQ486" s="15"/>
      <c r="DR486" s="15"/>
      <c r="DS486" s="15"/>
      <c r="DT486" s="15"/>
      <c r="DU486" s="15"/>
      <c r="DV486" s="15"/>
      <c r="DW486" s="15"/>
      <c r="DX486" s="15"/>
      <c r="DY486" s="15"/>
      <c r="DZ486" s="15"/>
      <c r="EA486" s="15"/>
      <c r="EB486" s="15"/>
      <c r="EC486" s="16" t="s">
        <v>197</v>
      </c>
      <c r="ED486" s="17" t="s">
        <v>198</v>
      </c>
      <c r="EE486" s="18">
        <v>45719.530011574076</v>
      </c>
      <c r="EF486" s="13" t="s">
        <v>209</v>
      </c>
      <c r="EG486" s="14" t="s">
        <v>179</v>
      </c>
      <c r="EH486" s="14" t="s">
        <v>11778</v>
      </c>
      <c r="EI486" s="14" t="s">
        <v>179</v>
      </c>
      <c r="EJ486" s="14" t="s">
        <v>11778</v>
      </c>
      <c r="EK486" s="15"/>
      <c r="EL486" s="15"/>
      <c r="EM486" s="15"/>
      <c r="EN486" s="15"/>
      <c r="EO486" s="15"/>
      <c r="EP486" s="15"/>
      <c r="EQ486" s="15"/>
      <c r="ER486" s="15"/>
      <c r="ES486" s="15"/>
      <c r="ET486" s="15"/>
      <c r="EU486" s="15"/>
      <c r="EV486" s="15"/>
      <c r="EW486" s="15"/>
      <c r="EX486" s="15"/>
      <c r="EY486" s="15"/>
      <c r="EZ486" s="15"/>
      <c r="FA486" s="15"/>
      <c r="FB486" s="15"/>
      <c r="FC486" s="16" t="s">
        <v>197</v>
      </c>
      <c r="FD486" s="17" t="s">
        <v>198</v>
      </c>
      <c r="FE486" s="18">
        <v>45722.389502314814</v>
      </c>
      <c r="FF486" s="19"/>
      <c r="FG486" s="19"/>
      <c r="FH486" s="21" t="s">
        <v>197</v>
      </c>
      <c r="FI486" s="17" t="s">
        <v>214</v>
      </c>
      <c r="FJ486" s="18">
        <v>45722.389502314814</v>
      </c>
      <c r="FK486" s="14" t="s">
        <v>11778</v>
      </c>
      <c r="FL486" s="14" t="s">
        <v>11779</v>
      </c>
      <c r="FM486" s="14" t="s">
        <v>11780</v>
      </c>
      <c r="FN486" s="19"/>
      <c r="FO486" s="19"/>
      <c r="FP486" s="19" t="str">
        <f t="shared" si="1"/>
        <v>Base de Dados_Images/LIT65027.Imagem do Equipamento-.180140.jpg</v>
      </c>
      <c r="FQ486" s="19"/>
      <c r="FR486" s="19"/>
    </row>
    <row r="487" ht="15.75" customHeight="1">
      <c r="A487" s="12" t="s">
        <v>234</v>
      </c>
      <c r="B487" s="12" t="s">
        <v>2991</v>
      </c>
      <c r="C487" s="24" t="s">
        <v>375</v>
      </c>
      <c r="D487" s="22" t="s">
        <v>11781</v>
      </c>
      <c r="E487" s="22" t="s">
        <v>11782</v>
      </c>
      <c r="F487" s="13" t="s">
        <v>178</v>
      </c>
      <c r="G487" s="14" t="s">
        <v>179</v>
      </c>
      <c r="H487" s="14" t="s">
        <v>11783</v>
      </c>
      <c r="I487" s="14" t="s">
        <v>179</v>
      </c>
      <c r="J487" s="14" t="s">
        <v>11784</v>
      </c>
      <c r="K487" s="14" t="s">
        <v>179</v>
      </c>
      <c r="L487" s="14" t="s">
        <v>11785</v>
      </c>
      <c r="M487" s="14" t="s">
        <v>179</v>
      </c>
      <c r="N487" s="14" t="s">
        <v>11786</v>
      </c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6" t="s">
        <v>197</v>
      </c>
      <c r="BP487" s="17" t="s">
        <v>198</v>
      </c>
      <c r="BQ487" s="18">
        <v>45659.45700231481</v>
      </c>
      <c r="BR487" s="17" t="s">
        <v>198</v>
      </c>
      <c r="BS487" s="18">
        <v>45659.45706018519</v>
      </c>
      <c r="BT487" s="17" t="s">
        <v>198</v>
      </c>
      <c r="BU487" s="18">
        <v>45659.45706018519</v>
      </c>
      <c r="BV487" s="13" t="s">
        <v>199</v>
      </c>
      <c r="BW487" s="14" t="s">
        <v>179</v>
      </c>
      <c r="BX487" s="14" t="s">
        <v>11787</v>
      </c>
      <c r="BY487" s="14" t="s">
        <v>179</v>
      </c>
      <c r="BZ487" s="14" t="s">
        <v>11787</v>
      </c>
      <c r="CA487" s="14" t="s">
        <v>179</v>
      </c>
      <c r="CB487" s="14" t="s">
        <v>11788</v>
      </c>
      <c r="CC487" s="15"/>
      <c r="CD487" s="15"/>
      <c r="CE487" s="15"/>
      <c r="CF487" s="15"/>
      <c r="CG487" s="19"/>
      <c r="CH487" s="15"/>
      <c r="CI487" s="19"/>
      <c r="CJ487" s="15"/>
      <c r="CK487" s="19"/>
      <c r="CL487" s="15"/>
      <c r="CM487" s="19"/>
      <c r="CN487" s="15"/>
      <c r="CO487" s="19"/>
      <c r="CP487" s="15"/>
      <c r="CQ487" s="15"/>
      <c r="CR487" s="15"/>
      <c r="CS487" s="19"/>
      <c r="CT487" s="15"/>
      <c r="CU487" s="19"/>
      <c r="CV487" s="15"/>
      <c r="CW487" s="19"/>
      <c r="CX487" s="15"/>
      <c r="CY487" s="19"/>
      <c r="CZ487" s="15"/>
      <c r="DA487" s="16" t="s">
        <v>197</v>
      </c>
      <c r="DB487" s="17" t="s">
        <v>228</v>
      </c>
      <c r="DC487" s="16"/>
      <c r="DD487" s="17" t="s">
        <v>198</v>
      </c>
      <c r="DE487" s="18">
        <v>45713.41407407408</v>
      </c>
      <c r="DF487" s="17" t="s">
        <v>198</v>
      </c>
      <c r="DG487" s="18">
        <v>45713.41407407408</v>
      </c>
      <c r="DH487" s="13" t="s">
        <v>205</v>
      </c>
      <c r="DI487" s="14" t="s">
        <v>179</v>
      </c>
      <c r="DJ487" s="14" t="s">
        <v>11789</v>
      </c>
      <c r="DK487" s="14" t="s">
        <v>179</v>
      </c>
      <c r="DL487" s="14" t="s">
        <v>11789</v>
      </c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6" t="s">
        <v>197</v>
      </c>
      <c r="ED487" s="17" t="s">
        <v>198</v>
      </c>
      <c r="EE487" s="18">
        <v>45713.41412037037</v>
      </c>
      <c r="EF487" s="13" t="s">
        <v>209</v>
      </c>
      <c r="EG487" s="14" t="s">
        <v>179</v>
      </c>
      <c r="EH487" s="14" t="s">
        <v>11790</v>
      </c>
      <c r="EI487" s="14" t="s">
        <v>179</v>
      </c>
      <c r="EJ487" s="14" t="s">
        <v>11790</v>
      </c>
      <c r="EK487" s="15"/>
      <c r="EL487" s="15"/>
      <c r="EM487" s="15"/>
      <c r="EN487" s="15"/>
      <c r="EO487" s="15"/>
      <c r="EP487" s="15"/>
      <c r="EQ487" s="15"/>
      <c r="ER487" s="15"/>
      <c r="ES487" s="15"/>
      <c r="ET487" s="15"/>
      <c r="EU487" s="15"/>
      <c r="EV487" s="15"/>
      <c r="EW487" s="15"/>
      <c r="EX487" s="15"/>
      <c r="EY487" s="15"/>
      <c r="EZ487" s="15"/>
      <c r="FA487" s="15"/>
      <c r="FB487" s="15"/>
      <c r="FC487" s="16" t="s">
        <v>197</v>
      </c>
      <c r="FD487" s="17" t="s">
        <v>198</v>
      </c>
      <c r="FE487" s="18">
        <v>45722.390231481484</v>
      </c>
      <c r="FF487" s="19"/>
      <c r="FG487" s="19"/>
      <c r="FH487" s="21" t="s">
        <v>197</v>
      </c>
      <c r="FI487" s="17" t="s">
        <v>214</v>
      </c>
      <c r="FJ487" s="18">
        <v>45722.390231481484</v>
      </c>
      <c r="FK487" s="14" t="s">
        <v>11790</v>
      </c>
      <c r="FL487" s="14" t="s">
        <v>11791</v>
      </c>
      <c r="FM487" s="14" t="s">
        <v>11792</v>
      </c>
      <c r="FN487" s="19"/>
      <c r="FO487" s="19"/>
      <c r="FP487" s="19" t="str">
        <f t="shared" si="1"/>
        <v>Base de Dados_Images/LIT65028.Imagem do Equipamento-.135801.jpg</v>
      </c>
      <c r="FQ487" s="19"/>
      <c r="FR487" s="19"/>
    </row>
    <row r="488" ht="15.75" customHeight="1">
      <c r="A488" s="12" t="s">
        <v>547</v>
      </c>
      <c r="B488" s="12" t="s">
        <v>3584</v>
      </c>
      <c r="C488" s="24" t="s">
        <v>375</v>
      </c>
      <c r="D488" s="22" t="s">
        <v>11793</v>
      </c>
      <c r="E488" s="22" t="s">
        <v>11794</v>
      </c>
      <c r="F488" s="13" t="s">
        <v>178</v>
      </c>
      <c r="G488" s="14" t="s">
        <v>179</v>
      </c>
      <c r="H488" s="14" t="s">
        <v>11795</v>
      </c>
      <c r="I488" s="14" t="s">
        <v>179</v>
      </c>
      <c r="J488" s="14" t="s">
        <v>11796</v>
      </c>
      <c r="K488" s="14" t="s">
        <v>179</v>
      </c>
      <c r="L488" s="14" t="s">
        <v>11797</v>
      </c>
      <c r="M488" s="14" t="s">
        <v>179</v>
      </c>
      <c r="N488" s="14" t="s">
        <v>11798</v>
      </c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6" t="s">
        <v>197</v>
      </c>
      <c r="BP488" s="17" t="s">
        <v>198</v>
      </c>
      <c r="BQ488" s="18">
        <v>45678.45778935185</v>
      </c>
      <c r="BR488" s="17" t="s">
        <v>198</v>
      </c>
      <c r="BS488" s="18">
        <v>45678.45784722222</v>
      </c>
      <c r="BT488" s="17" t="s">
        <v>198</v>
      </c>
      <c r="BU488" s="18">
        <v>45678.45784722222</v>
      </c>
      <c r="BV488" s="13" t="s">
        <v>199</v>
      </c>
      <c r="BW488" s="14" t="s">
        <v>179</v>
      </c>
      <c r="BX488" s="14" t="s">
        <v>11799</v>
      </c>
      <c r="BY488" s="14" t="s">
        <v>179</v>
      </c>
      <c r="BZ488" s="14" t="s">
        <v>11800</v>
      </c>
      <c r="CA488" s="14" t="s">
        <v>179</v>
      </c>
      <c r="CB488" s="14" t="s">
        <v>11800</v>
      </c>
      <c r="CC488" s="15"/>
      <c r="CD488" s="15"/>
      <c r="CE488" s="15"/>
      <c r="CF488" s="15"/>
      <c r="CG488" s="19"/>
      <c r="CH488" s="15"/>
      <c r="CI488" s="19"/>
      <c r="CJ488" s="15"/>
      <c r="CK488" s="19"/>
      <c r="CL488" s="15"/>
      <c r="CM488" s="19"/>
      <c r="CN488" s="15"/>
      <c r="CO488" s="19"/>
      <c r="CP488" s="15"/>
      <c r="CQ488" s="15"/>
      <c r="CR488" s="15"/>
      <c r="CS488" s="19"/>
      <c r="CT488" s="15"/>
      <c r="CU488" s="19"/>
      <c r="CV488" s="15"/>
      <c r="CW488" s="19"/>
      <c r="CX488" s="15"/>
      <c r="CY488" s="19"/>
      <c r="CZ488" s="15"/>
      <c r="DA488" s="16" t="s">
        <v>197</v>
      </c>
      <c r="DB488" s="17" t="s">
        <v>228</v>
      </c>
      <c r="DC488" s="16"/>
      <c r="DD488" s="17" t="s">
        <v>198</v>
      </c>
      <c r="DE488" s="18">
        <v>45696.57255787037</v>
      </c>
      <c r="DF488" s="17" t="s">
        <v>198</v>
      </c>
      <c r="DG488" s="18">
        <v>45696.57255787037</v>
      </c>
      <c r="DH488" s="13" t="s">
        <v>205</v>
      </c>
      <c r="DI488" s="14" t="s">
        <v>179</v>
      </c>
      <c r="DJ488" s="14" t="s">
        <v>11801</v>
      </c>
      <c r="DK488" s="14" t="s">
        <v>179</v>
      </c>
      <c r="DL488" s="14" t="s">
        <v>11802</v>
      </c>
      <c r="DM488" s="15"/>
      <c r="DN488" s="15"/>
      <c r="DO488" s="15"/>
      <c r="DP488" s="15"/>
      <c r="DQ488" s="15"/>
      <c r="DR488" s="15"/>
      <c r="DS488" s="15"/>
      <c r="DT488" s="15"/>
      <c r="DU488" s="15"/>
      <c r="DV488" s="15"/>
      <c r="DW488" s="15"/>
      <c r="DX488" s="15"/>
      <c r="DY488" s="15"/>
      <c r="DZ488" s="15"/>
      <c r="EA488" s="15"/>
      <c r="EB488" s="15"/>
      <c r="EC488" s="16" t="s">
        <v>197</v>
      </c>
      <c r="ED488" s="17" t="s">
        <v>198</v>
      </c>
      <c r="EE488" s="18">
        <v>45720.60775462963</v>
      </c>
      <c r="EF488" s="13" t="s">
        <v>209</v>
      </c>
      <c r="EG488" s="14" t="s">
        <v>179</v>
      </c>
      <c r="EH488" s="14" t="s">
        <v>11803</v>
      </c>
      <c r="EI488" s="14" t="s">
        <v>179</v>
      </c>
      <c r="EJ488" s="14" t="s">
        <v>11804</v>
      </c>
      <c r="EK488" s="15"/>
      <c r="EL488" s="15"/>
      <c r="EM488" s="15"/>
      <c r="EN488" s="15"/>
      <c r="EO488" s="15"/>
      <c r="EP488" s="15"/>
      <c r="EQ488" s="15"/>
      <c r="ER488" s="15"/>
      <c r="ES488" s="15"/>
      <c r="ET488" s="15"/>
      <c r="EU488" s="15"/>
      <c r="EV488" s="15"/>
      <c r="EW488" s="15"/>
      <c r="EX488" s="15"/>
      <c r="EY488" s="15"/>
      <c r="EZ488" s="15"/>
      <c r="FA488" s="15"/>
      <c r="FB488" s="15"/>
      <c r="FC488" s="16" t="s">
        <v>197</v>
      </c>
      <c r="FD488" s="17" t="s">
        <v>198</v>
      </c>
      <c r="FE488" s="18">
        <v>45722.61108796296</v>
      </c>
      <c r="FF488" s="19"/>
      <c r="FG488" s="19"/>
      <c r="FH488" s="21" t="s">
        <v>197</v>
      </c>
      <c r="FI488" s="17" t="s">
        <v>214</v>
      </c>
      <c r="FJ488" s="18">
        <v>45722.61108796296</v>
      </c>
      <c r="FK488" s="14" t="s">
        <v>11804</v>
      </c>
      <c r="FL488" s="14" t="s">
        <v>11805</v>
      </c>
      <c r="FM488" s="14" t="s">
        <v>11806</v>
      </c>
      <c r="FN488" s="19"/>
      <c r="FO488" s="19"/>
      <c r="FP488" s="19" t="str">
        <f t="shared" si="1"/>
        <v>Base de Dados_Images/LIT70004.Imagem do Equipamento-.144239.jpg</v>
      </c>
      <c r="FQ488" s="19"/>
      <c r="FR488" s="19"/>
    </row>
    <row r="489" ht="15.75" customHeight="1">
      <c r="A489" s="12" t="s">
        <v>547</v>
      </c>
      <c r="B489" s="12" t="s">
        <v>548</v>
      </c>
      <c r="C489" s="24" t="s">
        <v>375</v>
      </c>
      <c r="D489" s="22" t="s">
        <v>11807</v>
      </c>
      <c r="E489" s="22" t="s">
        <v>11808</v>
      </c>
      <c r="F489" s="13" t="s">
        <v>178</v>
      </c>
      <c r="G489" s="14" t="s">
        <v>179</v>
      </c>
      <c r="H489" s="14" t="s">
        <v>11809</v>
      </c>
      <c r="I489" s="14" t="s">
        <v>179</v>
      </c>
      <c r="J489" s="14" t="s">
        <v>11810</v>
      </c>
      <c r="K489" s="14" t="s">
        <v>179</v>
      </c>
      <c r="L489" s="14" t="s">
        <v>11811</v>
      </c>
      <c r="M489" s="14" t="s">
        <v>179</v>
      </c>
      <c r="N489" s="14" t="s">
        <v>11812</v>
      </c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6" t="s">
        <v>197</v>
      </c>
      <c r="BP489" s="17" t="s">
        <v>198</v>
      </c>
      <c r="BQ489" s="18">
        <v>45678.458865740744</v>
      </c>
      <c r="BR489" s="17" t="s">
        <v>198</v>
      </c>
      <c r="BS489" s="18">
        <v>45678.45892361111</v>
      </c>
      <c r="BT489" s="17" t="s">
        <v>198</v>
      </c>
      <c r="BU489" s="18">
        <v>45678.45892361111</v>
      </c>
      <c r="BV489" s="13" t="s">
        <v>199</v>
      </c>
      <c r="BW489" s="14" t="s">
        <v>179</v>
      </c>
      <c r="BX489" s="14" t="s">
        <v>11813</v>
      </c>
      <c r="BY489" s="14" t="s">
        <v>179</v>
      </c>
      <c r="BZ489" s="14" t="s">
        <v>11814</v>
      </c>
      <c r="CA489" s="14" t="s">
        <v>179</v>
      </c>
      <c r="CB489" s="14" t="s">
        <v>11815</v>
      </c>
      <c r="CC489" s="15"/>
      <c r="CD489" s="15"/>
      <c r="CE489" s="15"/>
      <c r="CF489" s="15"/>
      <c r="CG489" s="19"/>
      <c r="CH489" s="15"/>
      <c r="CI489" s="19"/>
      <c r="CJ489" s="15"/>
      <c r="CK489" s="19"/>
      <c r="CL489" s="15"/>
      <c r="CM489" s="19"/>
      <c r="CN489" s="15"/>
      <c r="CO489" s="19"/>
      <c r="CP489" s="15"/>
      <c r="CQ489" s="15"/>
      <c r="CR489" s="15"/>
      <c r="CS489" s="19"/>
      <c r="CT489" s="15"/>
      <c r="CU489" s="19"/>
      <c r="CV489" s="15"/>
      <c r="CW489" s="19"/>
      <c r="CX489" s="15"/>
      <c r="CY489" s="19"/>
      <c r="CZ489" s="15"/>
      <c r="DA489" s="16" t="s">
        <v>197</v>
      </c>
      <c r="DB489" s="17" t="s">
        <v>228</v>
      </c>
      <c r="DC489" s="16"/>
      <c r="DD489" s="17" t="s">
        <v>198</v>
      </c>
      <c r="DE489" s="18">
        <v>45696.57530092593</v>
      </c>
      <c r="DF489" s="17" t="s">
        <v>198</v>
      </c>
      <c r="DG489" s="18">
        <v>45696.57530092593</v>
      </c>
      <c r="DH489" s="13" t="s">
        <v>205</v>
      </c>
      <c r="DI489" s="14" t="s">
        <v>179</v>
      </c>
      <c r="DJ489" s="14" t="s">
        <v>11816</v>
      </c>
      <c r="DK489" s="14" t="s">
        <v>179</v>
      </c>
      <c r="DL489" s="14" t="s">
        <v>11816</v>
      </c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6" t="s">
        <v>197</v>
      </c>
      <c r="ED489" s="17" t="s">
        <v>198</v>
      </c>
      <c r="EE489" s="18">
        <v>45720.60943287037</v>
      </c>
      <c r="EF489" s="13" t="s">
        <v>209</v>
      </c>
      <c r="EG489" s="14" t="s">
        <v>179</v>
      </c>
      <c r="EH489" s="14" t="s">
        <v>11817</v>
      </c>
      <c r="EI489" s="14" t="s">
        <v>179</v>
      </c>
      <c r="EJ489" s="14" t="s">
        <v>11817</v>
      </c>
      <c r="EK489" s="15"/>
      <c r="EL489" s="15"/>
      <c r="EM489" s="15"/>
      <c r="EN489" s="15"/>
      <c r="EO489" s="15"/>
      <c r="EP489" s="15"/>
      <c r="EQ489" s="15"/>
      <c r="ER489" s="15"/>
      <c r="ES489" s="15"/>
      <c r="ET489" s="15"/>
      <c r="EU489" s="15"/>
      <c r="EV489" s="15"/>
      <c r="EW489" s="15"/>
      <c r="EX489" s="15"/>
      <c r="EY489" s="15"/>
      <c r="EZ489" s="15"/>
      <c r="FA489" s="15"/>
      <c r="FB489" s="15"/>
      <c r="FC489" s="16" t="s">
        <v>197</v>
      </c>
      <c r="FD489" s="17" t="s">
        <v>198</v>
      </c>
      <c r="FE489" s="18">
        <v>45722.613483796296</v>
      </c>
      <c r="FF489" s="19"/>
      <c r="FG489" s="19"/>
      <c r="FH489" s="21" t="s">
        <v>197</v>
      </c>
      <c r="FI489" s="17" t="s">
        <v>214</v>
      </c>
      <c r="FJ489" s="18">
        <v>45722.613483796296</v>
      </c>
      <c r="FK489" s="14" t="s">
        <v>11817</v>
      </c>
      <c r="FL489" s="14" t="s">
        <v>11818</v>
      </c>
      <c r="FM489" s="14" t="s">
        <v>11819</v>
      </c>
      <c r="FN489" s="19"/>
      <c r="FO489" s="19"/>
      <c r="FP489" s="19" t="str">
        <f t="shared" si="1"/>
        <v>Base de Dados_Images/LIT70009.Imagem do Equipamento-.144314.jpg</v>
      </c>
      <c r="FQ489" s="19"/>
      <c r="FR489" s="19"/>
    </row>
    <row r="490" ht="15.75" customHeight="1">
      <c r="A490" s="12" t="s">
        <v>547</v>
      </c>
      <c r="B490" s="12" t="s">
        <v>3373</v>
      </c>
      <c r="C490" s="24" t="s">
        <v>375</v>
      </c>
      <c r="D490" s="22" t="s">
        <v>11820</v>
      </c>
      <c r="E490" s="22" t="s">
        <v>11821</v>
      </c>
      <c r="F490" s="13" t="s">
        <v>178</v>
      </c>
      <c r="G490" s="14" t="s">
        <v>179</v>
      </c>
      <c r="H490" s="14" t="s">
        <v>11822</v>
      </c>
      <c r="I490" s="14" t="s">
        <v>179</v>
      </c>
      <c r="J490" s="14" t="s">
        <v>11822</v>
      </c>
      <c r="K490" s="14" t="s">
        <v>179</v>
      </c>
      <c r="L490" s="14" t="s">
        <v>11823</v>
      </c>
      <c r="M490" s="14" t="s">
        <v>179</v>
      </c>
      <c r="N490" s="14" t="s">
        <v>11824</v>
      </c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6" t="s">
        <v>197</v>
      </c>
      <c r="BP490" s="17" t="s">
        <v>198</v>
      </c>
      <c r="BQ490" s="18">
        <v>45686.80515046296</v>
      </c>
      <c r="BR490" s="17" t="s">
        <v>198</v>
      </c>
      <c r="BS490" s="18">
        <v>45686.805185185185</v>
      </c>
      <c r="BT490" s="17" t="s">
        <v>198</v>
      </c>
      <c r="BU490" s="18">
        <v>45686.805185185185</v>
      </c>
      <c r="BV490" s="13" t="s">
        <v>199</v>
      </c>
      <c r="BW490" s="14" t="s">
        <v>179</v>
      </c>
      <c r="BX490" s="14" t="s">
        <v>11825</v>
      </c>
      <c r="BY490" s="14" t="s">
        <v>179</v>
      </c>
      <c r="BZ490" s="14" t="s">
        <v>11826</v>
      </c>
      <c r="CA490" s="14" t="s">
        <v>179</v>
      </c>
      <c r="CB490" s="14" t="s">
        <v>11827</v>
      </c>
      <c r="CC490" s="15"/>
      <c r="CD490" s="15"/>
      <c r="CE490" s="15"/>
      <c r="CF490" s="15"/>
      <c r="CG490" s="19"/>
      <c r="CH490" s="15"/>
      <c r="CI490" s="19"/>
      <c r="CJ490" s="15"/>
      <c r="CK490" s="19"/>
      <c r="CL490" s="15"/>
      <c r="CM490" s="19"/>
      <c r="CN490" s="15"/>
      <c r="CO490" s="19"/>
      <c r="CP490" s="15"/>
      <c r="CQ490" s="15"/>
      <c r="CR490" s="15"/>
      <c r="CS490" s="19"/>
      <c r="CT490" s="15"/>
      <c r="CU490" s="19"/>
      <c r="CV490" s="15"/>
      <c r="CW490" s="19"/>
      <c r="CX490" s="15"/>
      <c r="CY490" s="19"/>
      <c r="CZ490" s="15"/>
      <c r="DA490" s="16" t="s">
        <v>197</v>
      </c>
      <c r="DB490" s="17" t="s">
        <v>228</v>
      </c>
      <c r="DC490" s="16"/>
      <c r="DD490" s="17" t="s">
        <v>198</v>
      </c>
      <c r="DE490" s="18">
        <v>45694.60166666667</v>
      </c>
      <c r="DF490" s="17" t="s">
        <v>198</v>
      </c>
      <c r="DG490" s="18">
        <v>45694.60166666667</v>
      </c>
      <c r="DH490" s="13" t="s">
        <v>205</v>
      </c>
      <c r="DI490" s="14" t="s">
        <v>179</v>
      </c>
      <c r="DJ490" s="14" t="s">
        <v>11828</v>
      </c>
      <c r="DK490" s="14" t="s">
        <v>179</v>
      </c>
      <c r="DL490" s="14" t="s">
        <v>11829</v>
      </c>
      <c r="DM490" s="15"/>
      <c r="DN490" s="15"/>
      <c r="DO490" s="15"/>
      <c r="DP490" s="15"/>
      <c r="DQ490" s="15"/>
      <c r="DR490" s="15"/>
      <c r="DS490" s="15"/>
      <c r="DT490" s="15"/>
      <c r="DU490" s="15"/>
      <c r="DV490" s="15"/>
      <c r="DW490" s="15"/>
      <c r="DX490" s="15"/>
      <c r="DY490" s="15"/>
      <c r="DZ490" s="15"/>
      <c r="EA490" s="15"/>
      <c r="EB490" s="15"/>
      <c r="EC490" s="16" t="s">
        <v>197</v>
      </c>
      <c r="ED490" s="17" t="s">
        <v>198</v>
      </c>
      <c r="EE490" s="18">
        <v>45707.6965625</v>
      </c>
      <c r="EF490" s="13" t="s">
        <v>209</v>
      </c>
      <c r="EG490" s="14" t="s">
        <v>179</v>
      </c>
      <c r="EH490" s="14" t="s">
        <v>11830</v>
      </c>
      <c r="EI490" s="14" t="s">
        <v>179</v>
      </c>
      <c r="EJ490" s="14" t="s">
        <v>11830</v>
      </c>
      <c r="EK490" s="15"/>
      <c r="EL490" s="15"/>
      <c r="EM490" s="15"/>
      <c r="EN490" s="15"/>
      <c r="EO490" s="15"/>
      <c r="EP490" s="15"/>
      <c r="EQ490" s="15"/>
      <c r="ER490" s="15"/>
      <c r="ES490" s="15"/>
      <c r="ET490" s="15"/>
      <c r="EU490" s="15"/>
      <c r="EV490" s="15"/>
      <c r="EW490" s="15"/>
      <c r="EX490" s="15"/>
      <c r="EY490" s="15"/>
      <c r="EZ490" s="15"/>
      <c r="FA490" s="15"/>
      <c r="FB490" s="15"/>
      <c r="FC490" s="16" t="s">
        <v>197</v>
      </c>
      <c r="FD490" s="17" t="s">
        <v>198</v>
      </c>
      <c r="FE490" s="18">
        <v>45723.339166666665</v>
      </c>
      <c r="FF490" s="19"/>
      <c r="FG490" s="19"/>
      <c r="FH490" s="21" t="s">
        <v>197</v>
      </c>
      <c r="FI490" s="17" t="s">
        <v>214</v>
      </c>
      <c r="FJ490" s="18">
        <v>45723.339166666665</v>
      </c>
      <c r="FK490" s="14" t="s">
        <v>11830</v>
      </c>
      <c r="FL490" s="14" t="s">
        <v>11831</v>
      </c>
      <c r="FM490" s="14" t="s">
        <v>11832</v>
      </c>
      <c r="FN490" s="19"/>
      <c r="FO490" s="19"/>
      <c r="FP490" s="19" t="str">
        <f t="shared" si="1"/>
        <v>Base de Dados_Images/LIT70023.Imagem do Equipamento-.221927.jpg</v>
      </c>
      <c r="FQ490" s="19"/>
      <c r="FR490" s="19"/>
    </row>
    <row r="491" ht="15.75" customHeight="1">
      <c r="A491" s="12" t="s">
        <v>547</v>
      </c>
      <c r="B491" s="12" t="s">
        <v>3410</v>
      </c>
      <c r="C491" s="24" t="s">
        <v>375</v>
      </c>
      <c r="D491" s="22" t="s">
        <v>11833</v>
      </c>
      <c r="E491" s="22" t="s">
        <v>11834</v>
      </c>
      <c r="F491" s="13" t="s">
        <v>178</v>
      </c>
      <c r="G491" s="14" t="s">
        <v>179</v>
      </c>
      <c r="H491" s="14" t="s">
        <v>11835</v>
      </c>
      <c r="I491" s="14" t="s">
        <v>179</v>
      </c>
      <c r="J491" s="14" t="s">
        <v>11835</v>
      </c>
      <c r="K491" s="14" t="s">
        <v>179</v>
      </c>
      <c r="L491" s="14" t="s">
        <v>11836</v>
      </c>
      <c r="M491" s="14" t="s">
        <v>179</v>
      </c>
      <c r="N491" s="14" t="s">
        <v>11836</v>
      </c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6" t="s">
        <v>197</v>
      </c>
      <c r="BP491" s="17" t="s">
        <v>198</v>
      </c>
      <c r="BQ491" s="18">
        <v>45686.80608796296</v>
      </c>
      <c r="BR491" s="17" t="s">
        <v>198</v>
      </c>
      <c r="BS491" s="18">
        <v>45686.80611111111</v>
      </c>
      <c r="BT491" s="17" t="s">
        <v>198</v>
      </c>
      <c r="BU491" s="18">
        <v>45686.80611111111</v>
      </c>
      <c r="BV491" s="13" t="s">
        <v>199</v>
      </c>
      <c r="BW491" s="14" t="s">
        <v>179</v>
      </c>
      <c r="BX491" s="14" t="s">
        <v>11837</v>
      </c>
      <c r="BY491" s="14" t="s">
        <v>179</v>
      </c>
      <c r="BZ491" s="14" t="s">
        <v>11838</v>
      </c>
      <c r="CA491" s="14" t="s">
        <v>179</v>
      </c>
      <c r="CB491" s="14" t="s">
        <v>11839</v>
      </c>
      <c r="CC491" s="15"/>
      <c r="CD491" s="15"/>
      <c r="CE491" s="15"/>
      <c r="CF491" s="15"/>
      <c r="CG491" s="19"/>
      <c r="CH491" s="15"/>
      <c r="CI491" s="19"/>
      <c r="CJ491" s="15"/>
      <c r="CK491" s="19"/>
      <c r="CL491" s="15"/>
      <c r="CM491" s="19"/>
      <c r="CN491" s="15"/>
      <c r="CO491" s="19"/>
      <c r="CP491" s="15"/>
      <c r="CQ491" s="15"/>
      <c r="CR491" s="15"/>
      <c r="CS491" s="19"/>
      <c r="CT491" s="15"/>
      <c r="CU491" s="19"/>
      <c r="CV491" s="15"/>
      <c r="CW491" s="19"/>
      <c r="CX491" s="15"/>
      <c r="CY491" s="19"/>
      <c r="CZ491" s="15"/>
      <c r="DA491" s="16" t="s">
        <v>197</v>
      </c>
      <c r="DB491" s="17" t="s">
        <v>228</v>
      </c>
      <c r="DC491" s="16"/>
      <c r="DD491" s="17" t="s">
        <v>198</v>
      </c>
      <c r="DE491" s="18">
        <v>45694.602789351855</v>
      </c>
      <c r="DF491" s="17" t="s">
        <v>198</v>
      </c>
      <c r="DG491" s="18">
        <v>45694.602789351855</v>
      </c>
      <c r="DH491" s="13" t="s">
        <v>205</v>
      </c>
      <c r="DI491" s="14" t="s">
        <v>179</v>
      </c>
      <c r="DJ491" s="14" t="s">
        <v>11840</v>
      </c>
      <c r="DK491" s="14" t="s">
        <v>179</v>
      </c>
      <c r="DL491" s="14" t="s">
        <v>11841</v>
      </c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6" t="s">
        <v>197</v>
      </c>
      <c r="ED491" s="17" t="s">
        <v>198</v>
      </c>
      <c r="EE491" s="18">
        <v>45707.69782407407</v>
      </c>
      <c r="EF491" s="13" t="s">
        <v>209</v>
      </c>
      <c r="EG491" s="14" t="s">
        <v>179</v>
      </c>
      <c r="EH491" s="14" t="s">
        <v>11842</v>
      </c>
      <c r="EI491" s="14" t="s">
        <v>179</v>
      </c>
      <c r="EJ491" s="14" t="s">
        <v>11842</v>
      </c>
      <c r="EK491" s="15"/>
      <c r="EL491" s="15"/>
      <c r="EM491" s="15"/>
      <c r="EN491" s="15"/>
      <c r="EO491" s="15"/>
      <c r="EP491" s="15"/>
      <c r="EQ491" s="15"/>
      <c r="ER491" s="15"/>
      <c r="ES491" s="15"/>
      <c r="ET491" s="15"/>
      <c r="EU491" s="15"/>
      <c r="EV491" s="15"/>
      <c r="EW491" s="15"/>
      <c r="EX491" s="15"/>
      <c r="EY491" s="15"/>
      <c r="EZ491" s="15"/>
      <c r="FA491" s="15"/>
      <c r="FB491" s="15"/>
      <c r="FC491" s="16" t="s">
        <v>197</v>
      </c>
      <c r="FD491" s="17" t="s">
        <v>198</v>
      </c>
      <c r="FE491" s="18">
        <v>45723.33980324074</v>
      </c>
      <c r="FF491" s="19"/>
      <c r="FG491" s="19"/>
      <c r="FH491" s="21" t="s">
        <v>197</v>
      </c>
      <c r="FI491" s="17" t="s">
        <v>214</v>
      </c>
      <c r="FJ491" s="18">
        <v>45723.33980324074</v>
      </c>
      <c r="FK491" s="14" t="s">
        <v>11842</v>
      </c>
      <c r="FL491" s="14" t="s">
        <v>11843</v>
      </c>
      <c r="FM491" s="14" t="s">
        <v>11844</v>
      </c>
      <c r="FN491" s="19"/>
      <c r="FO491" s="19"/>
      <c r="FP491" s="19" t="str">
        <f t="shared" si="1"/>
        <v>Base de Dados_Images/LIT70024.Imagem do Equipamento-.222051.jpg</v>
      </c>
      <c r="FQ491" s="19"/>
      <c r="FR491" s="19"/>
    </row>
    <row r="492" ht="15.75" customHeight="1">
      <c r="A492" s="12" t="s">
        <v>547</v>
      </c>
      <c r="B492" s="12" t="s">
        <v>11845</v>
      </c>
      <c r="C492" s="24" t="s">
        <v>375</v>
      </c>
      <c r="D492" s="22" t="s">
        <v>11846</v>
      </c>
      <c r="E492" s="22" t="s">
        <v>11847</v>
      </c>
      <c r="F492" s="13" t="s">
        <v>178</v>
      </c>
      <c r="G492" s="14" t="s">
        <v>179</v>
      </c>
      <c r="H492" s="14" t="s">
        <v>11848</v>
      </c>
      <c r="I492" s="14" t="s">
        <v>179</v>
      </c>
      <c r="J492" s="14" t="s">
        <v>11848</v>
      </c>
      <c r="K492" s="14" t="s">
        <v>179</v>
      </c>
      <c r="L492" s="14" t="s">
        <v>11849</v>
      </c>
      <c r="M492" s="14" t="s">
        <v>179</v>
      </c>
      <c r="N492" s="14" t="s">
        <v>11850</v>
      </c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6" t="s">
        <v>197</v>
      </c>
      <c r="BP492" s="17" t="s">
        <v>198</v>
      </c>
      <c r="BQ492" s="18">
        <v>45707.49607638889</v>
      </c>
      <c r="BR492" s="17" t="s">
        <v>198</v>
      </c>
      <c r="BS492" s="18">
        <v>45707.496099537035</v>
      </c>
      <c r="BT492" s="17" t="s">
        <v>198</v>
      </c>
      <c r="BU492" s="18">
        <v>45707.496099537035</v>
      </c>
      <c r="BV492" s="13" t="s">
        <v>199</v>
      </c>
      <c r="BW492" s="14" t="s">
        <v>179</v>
      </c>
      <c r="BX492" s="14" t="s">
        <v>11851</v>
      </c>
      <c r="BY492" s="14" t="s">
        <v>179</v>
      </c>
      <c r="BZ492" s="14" t="s">
        <v>11852</v>
      </c>
      <c r="CA492" s="14" t="s">
        <v>179</v>
      </c>
      <c r="CB492" s="14" t="s">
        <v>11853</v>
      </c>
      <c r="CC492" s="15"/>
      <c r="CD492" s="15"/>
      <c r="CE492" s="15"/>
      <c r="CF492" s="15"/>
      <c r="CG492" s="19"/>
      <c r="CH492" s="15"/>
      <c r="CI492" s="19"/>
      <c r="CJ492" s="15"/>
      <c r="CK492" s="19"/>
      <c r="CL492" s="15"/>
      <c r="CM492" s="19"/>
      <c r="CN492" s="15"/>
      <c r="CO492" s="19"/>
      <c r="CP492" s="15"/>
      <c r="CQ492" s="15"/>
      <c r="CR492" s="15"/>
      <c r="CS492" s="19"/>
      <c r="CT492" s="15"/>
      <c r="CU492" s="19"/>
      <c r="CV492" s="15"/>
      <c r="CW492" s="19"/>
      <c r="CX492" s="15"/>
      <c r="CY492" s="19"/>
      <c r="CZ492" s="15"/>
      <c r="DA492" s="16" t="s">
        <v>197</v>
      </c>
      <c r="DB492" s="17" t="s">
        <v>228</v>
      </c>
      <c r="DC492" s="16"/>
      <c r="DD492" s="17" t="s">
        <v>198</v>
      </c>
      <c r="DE492" s="18">
        <v>45707.49618055556</v>
      </c>
      <c r="DF492" s="17" t="s">
        <v>198</v>
      </c>
      <c r="DG492" s="18">
        <v>45707.49618055556</v>
      </c>
      <c r="DH492" s="13" t="s">
        <v>205</v>
      </c>
      <c r="DI492" s="14" t="s">
        <v>179</v>
      </c>
      <c r="DJ492" s="14" t="s">
        <v>11854</v>
      </c>
      <c r="DK492" s="14" t="s">
        <v>179</v>
      </c>
      <c r="DL492" s="14" t="s">
        <v>11855</v>
      </c>
      <c r="DM492" s="15"/>
      <c r="DN492" s="15"/>
      <c r="DO492" s="15"/>
      <c r="DP492" s="15"/>
      <c r="DQ492" s="15"/>
      <c r="DR492" s="15"/>
      <c r="DS492" s="15"/>
      <c r="DT492" s="15"/>
      <c r="DU492" s="15"/>
      <c r="DV492" s="15"/>
      <c r="DW492" s="15"/>
      <c r="DX492" s="15"/>
      <c r="DY492" s="15"/>
      <c r="DZ492" s="15"/>
      <c r="EA492" s="15"/>
      <c r="EB492" s="15"/>
      <c r="EC492" s="16" t="s">
        <v>197</v>
      </c>
      <c r="ED492" s="17" t="s">
        <v>198</v>
      </c>
      <c r="EE492" s="18">
        <v>45707.69695601852</v>
      </c>
      <c r="EF492" s="13" t="s">
        <v>209</v>
      </c>
      <c r="EG492" s="14" t="s">
        <v>179</v>
      </c>
      <c r="EH492" s="14" t="s">
        <v>11856</v>
      </c>
      <c r="EI492" s="14" t="s">
        <v>179</v>
      </c>
      <c r="EJ492" s="14" t="s">
        <v>11856</v>
      </c>
      <c r="EK492" s="15"/>
      <c r="EL492" s="15"/>
      <c r="EM492" s="15"/>
      <c r="EN492" s="15"/>
      <c r="EO492" s="15"/>
      <c r="EP492" s="15"/>
      <c r="EQ492" s="15"/>
      <c r="ER492" s="15"/>
      <c r="ES492" s="15"/>
      <c r="ET492" s="15"/>
      <c r="EU492" s="15"/>
      <c r="EV492" s="15"/>
      <c r="EW492" s="15"/>
      <c r="EX492" s="15"/>
      <c r="EY492" s="15"/>
      <c r="EZ492" s="15"/>
      <c r="FA492" s="15"/>
      <c r="FB492" s="15"/>
      <c r="FC492" s="16" t="s">
        <v>197</v>
      </c>
      <c r="FD492" s="17" t="s">
        <v>198</v>
      </c>
      <c r="FE492" s="18">
        <v>45723.43703703704</v>
      </c>
      <c r="FF492" s="19"/>
      <c r="FG492" s="19"/>
      <c r="FH492" s="21" t="s">
        <v>197</v>
      </c>
      <c r="FI492" s="17" t="s">
        <v>214</v>
      </c>
      <c r="FJ492" s="18">
        <v>45723.43703703704</v>
      </c>
      <c r="FK492" s="14" t="s">
        <v>11856</v>
      </c>
      <c r="FL492" s="19"/>
      <c r="FM492" s="19"/>
      <c r="FN492" s="19"/>
      <c r="FO492" s="19"/>
      <c r="FP492" s="19" t="str">
        <f t="shared" si="1"/>
        <v/>
      </c>
      <c r="FQ492" s="14" t="s">
        <v>215</v>
      </c>
      <c r="FR492" s="14" t="s">
        <v>11857</v>
      </c>
    </row>
    <row r="493" ht="15.75" customHeight="1">
      <c r="A493" s="12" t="s">
        <v>547</v>
      </c>
      <c r="B493" s="12" t="s">
        <v>11858</v>
      </c>
      <c r="C493" s="24" t="s">
        <v>375</v>
      </c>
      <c r="D493" s="22" t="s">
        <v>11859</v>
      </c>
      <c r="E493" s="22" t="s">
        <v>11860</v>
      </c>
      <c r="F493" s="13" t="s">
        <v>178</v>
      </c>
      <c r="G493" s="14" t="s">
        <v>179</v>
      </c>
      <c r="H493" s="14" t="s">
        <v>11861</v>
      </c>
      <c r="I493" s="14" t="s">
        <v>179</v>
      </c>
      <c r="J493" s="14" t="s">
        <v>11861</v>
      </c>
      <c r="K493" s="14" t="s">
        <v>179</v>
      </c>
      <c r="L493" s="14" t="s">
        <v>11862</v>
      </c>
      <c r="M493" s="14" t="s">
        <v>179</v>
      </c>
      <c r="N493" s="14" t="s">
        <v>11863</v>
      </c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6" t="s">
        <v>197</v>
      </c>
      <c r="BP493" s="17" t="s">
        <v>198</v>
      </c>
      <c r="BQ493" s="18">
        <v>45707.49875</v>
      </c>
      <c r="BR493" s="17" t="s">
        <v>198</v>
      </c>
      <c r="BS493" s="18">
        <v>45707.498773148145</v>
      </c>
      <c r="BT493" s="17" t="s">
        <v>198</v>
      </c>
      <c r="BU493" s="18">
        <v>45707.498773148145</v>
      </c>
      <c r="BV493" s="13" t="s">
        <v>199</v>
      </c>
      <c r="BW493" s="14" t="s">
        <v>179</v>
      </c>
      <c r="BX493" s="14" t="s">
        <v>11864</v>
      </c>
      <c r="BY493" s="14" t="s">
        <v>179</v>
      </c>
      <c r="BZ493" s="14" t="s">
        <v>11864</v>
      </c>
      <c r="CA493" s="14" t="s">
        <v>179</v>
      </c>
      <c r="CB493" s="14" t="s">
        <v>11865</v>
      </c>
      <c r="CC493" s="15"/>
      <c r="CD493" s="15"/>
      <c r="CE493" s="15"/>
      <c r="CF493" s="15"/>
      <c r="CG493" s="19"/>
      <c r="CH493" s="15"/>
      <c r="CI493" s="19"/>
      <c r="CJ493" s="15"/>
      <c r="CK493" s="19"/>
      <c r="CL493" s="15"/>
      <c r="CM493" s="19"/>
      <c r="CN493" s="15"/>
      <c r="CO493" s="19"/>
      <c r="CP493" s="15"/>
      <c r="CQ493" s="15"/>
      <c r="CR493" s="15"/>
      <c r="CS493" s="19"/>
      <c r="CT493" s="15"/>
      <c r="CU493" s="19"/>
      <c r="CV493" s="15"/>
      <c r="CW493" s="19"/>
      <c r="CX493" s="15"/>
      <c r="CY493" s="19"/>
      <c r="CZ493" s="15"/>
      <c r="DA493" s="16" t="s">
        <v>197</v>
      </c>
      <c r="DB493" s="17" t="s">
        <v>228</v>
      </c>
      <c r="DC493" s="16"/>
      <c r="DD493" s="17" t="s">
        <v>198</v>
      </c>
      <c r="DE493" s="18">
        <v>45707.49884259259</v>
      </c>
      <c r="DF493" s="17" t="s">
        <v>198</v>
      </c>
      <c r="DG493" s="18">
        <v>45707.49884259259</v>
      </c>
      <c r="DH493" s="13" t="s">
        <v>205</v>
      </c>
      <c r="DI493" s="14" t="s">
        <v>179</v>
      </c>
      <c r="DJ493" s="14" t="s">
        <v>11866</v>
      </c>
      <c r="DK493" s="14" t="s">
        <v>179</v>
      </c>
      <c r="DL493" s="14" t="s">
        <v>11866</v>
      </c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6" t="s">
        <v>197</v>
      </c>
      <c r="ED493" s="17" t="s">
        <v>198</v>
      </c>
      <c r="EE493" s="18">
        <v>45707.69818287037</v>
      </c>
      <c r="EF493" s="13" t="s">
        <v>209</v>
      </c>
      <c r="EG493" s="14" t="s">
        <v>179</v>
      </c>
      <c r="EH493" s="14" t="s">
        <v>11867</v>
      </c>
      <c r="EI493" s="14" t="s">
        <v>179</v>
      </c>
      <c r="EJ493" s="14" t="s">
        <v>11867</v>
      </c>
      <c r="EK493" s="15"/>
      <c r="EL493" s="15"/>
      <c r="EM493" s="15"/>
      <c r="EN493" s="15"/>
      <c r="EO493" s="15"/>
      <c r="EP493" s="15"/>
      <c r="EQ493" s="15"/>
      <c r="ER493" s="15"/>
      <c r="ES493" s="15"/>
      <c r="ET493" s="15"/>
      <c r="EU493" s="15"/>
      <c r="EV493" s="15"/>
      <c r="EW493" s="15"/>
      <c r="EX493" s="15"/>
      <c r="EY493" s="15"/>
      <c r="EZ493" s="15"/>
      <c r="FA493" s="15"/>
      <c r="FB493" s="15"/>
      <c r="FC493" s="16" t="s">
        <v>197</v>
      </c>
      <c r="FD493" s="17" t="s">
        <v>198</v>
      </c>
      <c r="FE493" s="18">
        <v>45723.59633101852</v>
      </c>
      <c r="FF493" s="19"/>
      <c r="FG493" s="19"/>
      <c r="FH493" s="21" t="s">
        <v>197</v>
      </c>
      <c r="FI493" s="17" t="s">
        <v>214</v>
      </c>
      <c r="FJ493" s="18">
        <v>45723.59633101852</v>
      </c>
      <c r="FK493" s="14" t="s">
        <v>11867</v>
      </c>
      <c r="FL493" s="19"/>
      <c r="FM493" s="19"/>
      <c r="FN493" s="19"/>
      <c r="FO493" s="19"/>
      <c r="FP493" s="19" t="str">
        <f t="shared" si="1"/>
        <v/>
      </c>
      <c r="FQ493" s="14" t="s">
        <v>215</v>
      </c>
      <c r="FR493" s="14" t="s">
        <v>11868</v>
      </c>
    </row>
    <row r="494" ht="15.75" customHeight="1">
      <c r="A494" s="12" t="s">
        <v>547</v>
      </c>
      <c r="B494" s="12" t="s">
        <v>11869</v>
      </c>
      <c r="C494" s="24" t="s">
        <v>375</v>
      </c>
      <c r="D494" s="22" t="s">
        <v>11870</v>
      </c>
      <c r="E494" s="22" t="s">
        <v>11871</v>
      </c>
      <c r="F494" s="13" t="s">
        <v>178</v>
      </c>
      <c r="G494" s="14" t="s">
        <v>179</v>
      </c>
      <c r="H494" s="14" t="s">
        <v>11872</v>
      </c>
      <c r="I494" s="14" t="s">
        <v>179</v>
      </c>
      <c r="J494" s="14" t="s">
        <v>11872</v>
      </c>
      <c r="K494" s="14" t="s">
        <v>179</v>
      </c>
      <c r="L494" s="14" t="s">
        <v>11873</v>
      </c>
      <c r="M494" s="14" t="s">
        <v>179</v>
      </c>
      <c r="N494" s="14" t="s">
        <v>11873</v>
      </c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6" t="s">
        <v>197</v>
      </c>
      <c r="BP494" s="17" t="s">
        <v>198</v>
      </c>
      <c r="BQ494" s="18">
        <v>45707.49851851852</v>
      </c>
      <c r="BR494" s="17" t="s">
        <v>198</v>
      </c>
      <c r="BS494" s="18">
        <v>45707.49854166667</v>
      </c>
      <c r="BT494" s="17" t="s">
        <v>198</v>
      </c>
      <c r="BU494" s="18">
        <v>45707.49854166667</v>
      </c>
      <c r="BV494" s="13" t="s">
        <v>199</v>
      </c>
      <c r="BW494" s="14" t="s">
        <v>179</v>
      </c>
      <c r="BX494" s="14" t="s">
        <v>11874</v>
      </c>
      <c r="BY494" s="14" t="s">
        <v>179</v>
      </c>
      <c r="BZ494" s="14" t="s">
        <v>11874</v>
      </c>
      <c r="CA494" s="14" t="s">
        <v>179</v>
      </c>
      <c r="CB494" s="14" t="s">
        <v>11875</v>
      </c>
      <c r="CC494" s="15"/>
      <c r="CD494" s="15"/>
      <c r="CE494" s="15"/>
      <c r="CF494" s="15"/>
      <c r="CG494" s="19"/>
      <c r="CH494" s="15"/>
      <c r="CI494" s="19"/>
      <c r="CJ494" s="15"/>
      <c r="CK494" s="19"/>
      <c r="CL494" s="15"/>
      <c r="CM494" s="19"/>
      <c r="CN494" s="15"/>
      <c r="CO494" s="19"/>
      <c r="CP494" s="15"/>
      <c r="CQ494" s="15"/>
      <c r="CR494" s="15"/>
      <c r="CS494" s="19"/>
      <c r="CT494" s="15"/>
      <c r="CU494" s="19"/>
      <c r="CV494" s="15"/>
      <c r="CW494" s="19"/>
      <c r="CX494" s="15"/>
      <c r="CY494" s="19"/>
      <c r="CZ494" s="15"/>
      <c r="DA494" s="16" t="s">
        <v>197</v>
      </c>
      <c r="DB494" s="17" t="s">
        <v>228</v>
      </c>
      <c r="DC494" s="16"/>
      <c r="DD494" s="17" t="s">
        <v>198</v>
      </c>
      <c r="DE494" s="18">
        <v>45707.498611111114</v>
      </c>
      <c r="DF494" s="17" t="s">
        <v>198</v>
      </c>
      <c r="DG494" s="18">
        <v>45707.498611111114</v>
      </c>
      <c r="DH494" s="13" t="s">
        <v>205</v>
      </c>
      <c r="DI494" s="14" t="s">
        <v>179</v>
      </c>
      <c r="DJ494" s="14" t="s">
        <v>11876</v>
      </c>
      <c r="DK494" s="14" t="s">
        <v>179</v>
      </c>
      <c r="DL494" s="14" t="s">
        <v>11877</v>
      </c>
      <c r="DM494" s="15"/>
      <c r="DN494" s="15"/>
      <c r="DO494" s="15"/>
      <c r="DP494" s="15"/>
      <c r="DQ494" s="15"/>
      <c r="DR494" s="15"/>
      <c r="DS494" s="15"/>
      <c r="DT494" s="15"/>
      <c r="DU494" s="15"/>
      <c r="DV494" s="15"/>
      <c r="DW494" s="15"/>
      <c r="DX494" s="15"/>
      <c r="DY494" s="15"/>
      <c r="DZ494" s="15"/>
      <c r="EA494" s="15"/>
      <c r="EB494" s="15"/>
      <c r="EC494" s="16" t="s">
        <v>197</v>
      </c>
      <c r="ED494" s="17" t="s">
        <v>198</v>
      </c>
      <c r="EE494" s="18">
        <v>45707.6984375</v>
      </c>
      <c r="EF494" s="13" t="s">
        <v>209</v>
      </c>
      <c r="EG494" s="14" t="s">
        <v>179</v>
      </c>
      <c r="EH494" s="14" t="s">
        <v>11878</v>
      </c>
      <c r="EI494" s="14" t="s">
        <v>179</v>
      </c>
      <c r="EJ494" s="14" t="s">
        <v>11879</v>
      </c>
      <c r="EK494" s="15"/>
      <c r="EL494" s="15"/>
      <c r="EM494" s="15"/>
      <c r="EN494" s="15"/>
      <c r="EO494" s="15"/>
      <c r="EP494" s="15"/>
      <c r="EQ494" s="15"/>
      <c r="ER494" s="15"/>
      <c r="ES494" s="15"/>
      <c r="ET494" s="15"/>
      <c r="EU494" s="15"/>
      <c r="EV494" s="15"/>
      <c r="EW494" s="15"/>
      <c r="EX494" s="15"/>
      <c r="EY494" s="15"/>
      <c r="EZ494" s="15"/>
      <c r="FA494" s="15"/>
      <c r="FB494" s="15"/>
      <c r="FC494" s="16" t="s">
        <v>197</v>
      </c>
      <c r="FD494" s="17" t="s">
        <v>198</v>
      </c>
      <c r="FE494" s="18">
        <v>45723.59642361111</v>
      </c>
      <c r="FF494" s="19"/>
      <c r="FG494" s="19"/>
      <c r="FH494" s="21" t="s">
        <v>197</v>
      </c>
      <c r="FI494" s="17" t="s">
        <v>214</v>
      </c>
      <c r="FJ494" s="18">
        <v>45723.59642361111</v>
      </c>
      <c r="FK494" s="14" t="s">
        <v>11879</v>
      </c>
      <c r="FL494" s="19"/>
      <c r="FM494" s="19"/>
      <c r="FN494" s="19"/>
      <c r="FO494" s="19"/>
      <c r="FP494" s="19" t="str">
        <f t="shared" si="1"/>
        <v/>
      </c>
      <c r="FQ494" s="14" t="s">
        <v>215</v>
      </c>
      <c r="FR494" s="14" t="s">
        <v>11880</v>
      </c>
    </row>
    <row r="495" ht="15.75" customHeight="1">
      <c r="A495" s="12" t="s">
        <v>547</v>
      </c>
      <c r="B495" s="12" t="s">
        <v>3165</v>
      </c>
      <c r="C495" s="24" t="s">
        <v>375</v>
      </c>
      <c r="D495" s="22" t="s">
        <v>11881</v>
      </c>
      <c r="E495" s="22" t="s">
        <v>11882</v>
      </c>
      <c r="F495" s="13" t="s">
        <v>178</v>
      </c>
      <c r="G495" s="14" t="s">
        <v>179</v>
      </c>
      <c r="H495" s="14" t="s">
        <v>11883</v>
      </c>
      <c r="I495" s="14" t="s">
        <v>179</v>
      </c>
      <c r="J495" s="14" t="s">
        <v>11884</v>
      </c>
      <c r="K495" s="14" t="s">
        <v>179</v>
      </c>
      <c r="L495" s="14" t="s">
        <v>11885</v>
      </c>
      <c r="M495" s="14" t="s">
        <v>179</v>
      </c>
      <c r="N495" s="14" t="s">
        <v>11886</v>
      </c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6" t="s">
        <v>197</v>
      </c>
      <c r="BP495" s="17" t="s">
        <v>198</v>
      </c>
      <c r="BQ495" s="18">
        <v>45688.64806712963</v>
      </c>
      <c r="BR495" s="17" t="s">
        <v>198</v>
      </c>
      <c r="BS495" s="18">
        <v>45688.64805555555</v>
      </c>
      <c r="BT495" s="17" t="s">
        <v>198</v>
      </c>
      <c r="BU495" s="18">
        <v>45688.64806712963</v>
      </c>
      <c r="BV495" s="13" t="s">
        <v>199</v>
      </c>
      <c r="BW495" s="14" t="s">
        <v>179</v>
      </c>
      <c r="BX495" s="14" t="s">
        <v>11887</v>
      </c>
      <c r="BY495" s="14" t="s">
        <v>179</v>
      </c>
      <c r="BZ495" s="14" t="s">
        <v>11888</v>
      </c>
      <c r="CA495" s="14" t="s">
        <v>179</v>
      </c>
      <c r="CB495" s="14" t="s">
        <v>11889</v>
      </c>
      <c r="CC495" s="15"/>
      <c r="CD495" s="15"/>
      <c r="CE495" s="15"/>
      <c r="CF495" s="15"/>
      <c r="CG495" s="19"/>
      <c r="CH495" s="15"/>
      <c r="CI495" s="19"/>
      <c r="CJ495" s="15"/>
      <c r="CK495" s="19"/>
      <c r="CL495" s="15"/>
      <c r="CM495" s="19"/>
      <c r="CN495" s="15"/>
      <c r="CO495" s="19"/>
      <c r="CP495" s="15"/>
      <c r="CQ495" s="15"/>
      <c r="CR495" s="15"/>
      <c r="CS495" s="19"/>
      <c r="CT495" s="15"/>
      <c r="CU495" s="19"/>
      <c r="CV495" s="15"/>
      <c r="CW495" s="19"/>
      <c r="CX495" s="15"/>
      <c r="CY495" s="19"/>
      <c r="CZ495" s="15"/>
      <c r="DA495" s="16" t="s">
        <v>197</v>
      </c>
      <c r="DB495" s="17" t="s">
        <v>228</v>
      </c>
      <c r="DC495" s="16"/>
      <c r="DD495" s="17" t="s">
        <v>198</v>
      </c>
      <c r="DE495" s="18">
        <v>45694.603738425925</v>
      </c>
      <c r="DF495" s="17" t="s">
        <v>198</v>
      </c>
      <c r="DG495" s="18">
        <v>45694.603738425925</v>
      </c>
      <c r="DH495" s="13" t="s">
        <v>205</v>
      </c>
      <c r="DI495" s="14" t="s">
        <v>179</v>
      </c>
      <c r="DJ495" s="14" t="s">
        <v>11890</v>
      </c>
      <c r="DK495" s="14" t="s">
        <v>179</v>
      </c>
      <c r="DL495" s="14" t="s">
        <v>11891</v>
      </c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6" t="s">
        <v>197</v>
      </c>
      <c r="ED495" s="17" t="s">
        <v>198</v>
      </c>
      <c r="EE495" s="18">
        <v>45720.61510416667</v>
      </c>
      <c r="EF495" s="13" t="s">
        <v>209</v>
      </c>
      <c r="EG495" s="14" t="s">
        <v>179</v>
      </c>
      <c r="EH495" s="14" t="s">
        <v>11892</v>
      </c>
      <c r="EI495" s="14" t="s">
        <v>179</v>
      </c>
      <c r="EJ495" s="14" t="s">
        <v>11893</v>
      </c>
      <c r="EK495" s="15"/>
      <c r="EL495" s="15"/>
      <c r="EM495" s="15"/>
      <c r="EN495" s="15"/>
      <c r="EO495" s="15"/>
      <c r="EP495" s="15"/>
      <c r="EQ495" s="15"/>
      <c r="ER495" s="15"/>
      <c r="ES495" s="15"/>
      <c r="ET495" s="15"/>
      <c r="EU495" s="15"/>
      <c r="EV495" s="15"/>
      <c r="EW495" s="15"/>
      <c r="EX495" s="15"/>
      <c r="EY495" s="15"/>
      <c r="EZ495" s="15"/>
      <c r="FA495" s="15"/>
      <c r="FB495" s="15"/>
      <c r="FC495" s="16" t="s">
        <v>197</v>
      </c>
      <c r="FD495" s="17" t="s">
        <v>198</v>
      </c>
      <c r="FE495" s="18">
        <v>45722.62039351852</v>
      </c>
      <c r="FF495" s="19"/>
      <c r="FG495" s="19"/>
      <c r="FH495" s="21" t="s">
        <v>197</v>
      </c>
      <c r="FI495" s="17" t="s">
        <v>214</v>
      </c>
      <c r="FJ495" s="18">
        <v>45722.62039351852</v>
      </c>
      <c r="FK495" s="14" t="s">
        <v>11893</v>
      </c>
      <c r="FL495" s="14" t="s">
        <v>11894</v>
      </c>
      <c r="FM495" s="14" t="s">
        <v>11895</v>
      </c>
      <c r="FN495" s="19"/>
      <c r="FO495" s="19"/>
      <c r="FP495" s="19" t="str">
        <f t="shared" si="1"/>
        <v>Base de Dados_Images/LIT70028.Imagem do Equipamento-.183318.jpg</v>
      </c>
      <c r="FQ495" s="14"/>
      <c r="FR495" s="14"/>
    </row>
    <row r="496" ht="15.75" customHeight="1">
      <c r="A496" s="12" t="s">
        <v>357</v>
      </c>
      <c r="B496" s="12" t="s">
        <v>358</v>
      </c>
      <c r="C496" s="24" t="s">
        <v>375</v>
      </c>
      <c r="D496" s="22" t="s">
        <v>11896</v>
      </c>
      <c r="E496" s="22" t="s">
        <v>11897</v>
      </c>
      <c r="F496" s="13" t="s">
        <v>178</v>
      </c>
      <c r="G496" s="14" t="s">
        <v>179</v>
      </c>
      <c r="H496" s="14" t="s">
        <v>11898</v>
      </c>
      <c r="I496" s="14" t="s">
        <v>179</v>
      </c>
      <c r="J496" s="14" t="s">
        <v>11899</v>
      </c>
      <c r="K496" s="14" t="s">
        <v>179</v>
      </c>
      <c r="L496" s="14" t="s">
        <v>11900</v>
      </c>
      <c r="M496" s="14" t="s">
        <v>179</v>
      </c>
      <c r="N496" s="14" t="s">
        <v>11900</v>
      </c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6" t="s">
        <v>197</v>
      </c>
      <c r="BP496" s="17" t="s">
        <v>198</v>
      </c>
      <c r="BQ496" s="18">
        <v>45691.495162037034</v>
      </c>
      <c r="BR496" s="17" t="s">
        <v>198</v>
      </c>
      <c r="BS496" s="18">
        <v>45691.495254629626</v>
      </c>
      <c r="BT496" s="17" t="s">
        <v>198</v>
      </c>
      <c r="BU496" s="18">
        <v>45691.495254629626</v>
      </c>
      <c r="BV496" s="13" t="s">
        <v>199</v>
      </c>
      <c r="BW496" s="14" t="s">
        <v>179</v>
      </c>
      <c r="BX496" s="14" t="s">
        <v>11901</v>
      </c>
      <c r="BY496" s="14" t="s">
        <v>179</v>
      </c>
      <c r="BZ496" s="14" t="s">
        <v>11901</v>
      </c>
      <c r="CA496" s="14" t="s">
        <v>179</v>
      </c>
      <c r="CB496" s="14" t="s">
        <v>11902</v>
      </c>
      <c r="CC496" s="15"/>
      <c r="CD496" s="15"/>
      <c r="CE496" s="15"/>
      <c r="CF496" s="15"/>
      <c r="CG496" s="19"/>
      <c r="CH496" s="15"/>
      <c r="CI496" s="19"/>
      <c r="CJ496" s="15"/>
      <c r="CK496" s="19"/>
      <c r="CL496" s="15"/>
      <c r="CM496" s="19"/>
      <c r="CN496" s="15"/>
      <c r="CO496" s="19"/>
      <c r="CP496" s="15"/>
      <c r="CQ496" s="15"/>
      <c r="CR496" s="15"/>
      <c r="CS496" s="19"/>
      <c r="CT496" s="15"/>
      <c r="CU496" s="19"/>
      <c r="CV496" s="15"/>
      <c r="CW496" s="19"/>
      <c r="CX496" s="15"/>
      <c r="CY496" s="19"/>
      <c r="CZ496" s="15"/>
      <c r="DA496" s="16" t="s">
        <v>197</v>
      </c>
      <c r="DB496" s="17" t="s">
        <v>228</v>
      </c>
      <c r="DC496" s="16"/>
      <c r="DD496" s="17" t="s">
        <v>198</v>
      </c>
      <c r="DE496" s="18">
        <v>45705.53304398148</v>
      </c>
      <c r="DF496" s="17" t="s">
        <v>198</v>
      </c>
      <c r="DG496" s="18">
        <v>45705.53304398148</v>
      </c>
      <c r="DH496" s="13" t="s">
        <v>205</v>
      </c>
      <c r="DI496" s="14" t="s">
        <v>179</v>
      </c>
      <c r="DJ496" s="14" t="s">
        <v>11903</v>
      </c>
      <c r="DK496" s="14" t="s">
        <v>179</v>
      </c>
      <c r="DL496" s="14" t="s">
        <v>11904</v>
      </c>
      <c r="DM496" s="15"/>
      <c r="DN496" s="15"/>
      <c r="DO496" s="15"/>
      <c r="DP496" s="15"/>
      <c r="DQ496" s="15"/>
      <c r="DR496" s="15"/>
      <c r="DS496" s="15"/>
      <c r="DT496" s="15"/>
      <c r="DU496" s="15"/>
      <c r="DV496" s="15"/>
      <c r="DW496" s="15"/>
      <c r="DX496" s="15"/>
      <c r="DY496" s="15"/>
      <c r="DZ496" s="15"/>
      <c r="EA496" s="15"/>
      <c r="EB496" s="15"/>
      <c r="EC496" s="16" t="s">
        <v>197</v>
      </c>
      <c r="ED496" s="17" t="s">
        <v>198</v>
      </c>
      <c r="EE496" s="18">
        <v>45705.53313657407</v>
      </c>
      <c r="EF496" s="13" t="s">
        <v>209</v>
      </c>
      <c r="EG496" s="14" t="s">
        <v>179</v>
      </c>
      <c r="EH496" s="14" t="s">
        <v>11905</v>
      </c>
      <c r="EI496" s="14" t="s">
        <v>179</v>
      </c>
      <c r="EJ496" s="14" t="s">
        <v>11906</v>
      </c>
      <c r="EK496" s="15"/>
      <c r="EL496" s="15"/>
      <c r="EM496" s="15"/>
      <c r="EN496" s="15"/>
      <c r="EO496" s="15"/>
      <c r="EP496" s="15"/>
      <c r="EQ496" s="15"/>
      <c r="ER496" s="15"/>
      <c r="ES496" s="15"/>
      <c r="ET496" s="15"/>
      <c r="EU496" s="15"/>
      <c r="EV496" s="15"/>
      <c r="EW496" s="15"/>
      <c r="EX496" s="15"/>
      <c r="EY496" s="15"/>
      <c r="EZ496" s="15"/>
      <c r="FA496" s="15"/>
      <c r="FB496" s="15"/>
      <c r="FC496" s="16" t="s">
        <v>197</v>
      </c>
      <c r="FD496" s="17" t="s">
        <v>198</v>
      </c>
      <c r="FE496" s="18">
        <v>45705.53318287037</v>
      </c>
      <c r="FF496" s="19"/>
      <c r="FG496" s="19"/>
      <c r="FH496" s="21" t="s">
        <v>197</v>
      </c>
      <c r="FI496" s="17" t="s">
        <v>214</v>
      </c>
      <c r="FJ496" s="18">
        <v>45705.53318287037</v>
      </c>
      <c r="FK496" s="14" t="s">
        <v>11906</v>
      </c>
      <c r="FL496" s="14" t="s">
        <v>11907</v>
      </c>
      <c r="FM496" s="14" t="s">
        <v>11908</v>
      </c>
      <c r="FN496" s="19"/>
      <c r="FO496" s="19"/>
      <c r="FP496" s="19" t="str">
        <f t="shared" si="1"/>
        <v>Base de Dados_Images/LIT81002A.Imagem do Equipamento-.150653.jpg</v>
      </c>
      <c r="FQ496" s="14"/>
      <c r="FR496" s="14"/>
    </row>
    <row r="497" ht="15.75" customHeight="1">
      <c r="A497" s="12" t="s">
        <v>357</v>
      </c>
      <c r="B497" s="12" t="s">
        <v>358</v>
      </c>
      <c r="C497" s="24" t="s">
        <v>375</v>
      </c>
      <c r="D497" s="22" t="s">
        <v>11909</v>
      </c>
      <c r="E497" s="22" t="s">
        <v>11910</v>
      </c>
      <c r="F497" s="13" t="s">
        <v>178</v>
      </c>
      <c r="G497" s="14" t="s">
        <v>179</v>
      </c>
      <c r="H497" s="14" t="s">
        <v>11911</v>
      </c>
      <c r="I497" s="14" t="s">
        <v>179</v>
      </c>
      <c r="J497" s="14" t="s">
        <v>11912</v>
      </c>
      <c r="K497" s="14" t="s">
        <v>179</v>
      </c>
      <c r="L497" s="14" t="s">
        <v>11911</v>
      </c>
      <c r="M497" s="14" t="s">
        <v>179</v>
      </c>
      <c r="N497" s="14" t="s">
        <v>11913</v>
      </c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6" t="s">
        <v>197</v>
      </c>
      <c r="BP497" s="17" t="s">
        <v>198</v>
      </c>
      <c r="BQ497" s="18">
        <v>45689.379641203705</v>
      </c>
      <c r="BR497" s="17" t="s">
        <v>198</v>
      </c>
      <c r="BS497" s="18">
        <v>45689.37966435185</v>
      </c>
      <c r="BT497" s="17" t="s">
        <v>198</v>
      </c>
      <c r="BU497" s="18">
        <v>45689.37966435185</v>
      </c>
      <c r="BV497" s="13" t="s">
        <v>199</v>
      </c>
      <c r="BW497" s="14" t="s">
        <v>179</v>
      </c>
      <c r="BX497" s="14" t="s">
        <v>11914</v>
      </c>
      <c r="BY497" s="14" t="s">
        <v>179</v>
      </c>
      <c r="BZ497" s="14" t="s">
        <v>11915</v>
      </c>
      <c r="CA497" s="14" t="s">
        <v>179</v>
      </c>
      <c r="CB497" s="14" t="s">
        <v>11916</v>
      </c>
      <c r="CC497" s="15"/>
      <c r="CD497" s="15"/>
      <c r="CE497" s="15"/>
      <c r="CF497" s="15"/>
      <c r="CG497" s="19"/>
      <c r="CH497" s="15"/>
      <c r="CI497" s="19"/>
      <c r="CJ497" s="15"/>
      <c r="CK497" s="19"/>
      <c r="CL497" s="15"/>
      <c r="CM497" s="19"/>
      <c r="CN497" s="15"/>
      <c r="CO497" s="19"/>
      <c r="CP497" s="15"/>
      <c r="CQ497" s="15"/>
      <c r="CR497" s="15"/>
      <c r="CS497" s="19"/>
      <c r="CT497" s="15"/>
      <c r="CU497" s="19"/>
      <c r="CV497" s="15"/>
      <c r="CW497" s="19"/>
      <c r="CX497" s="15"/>
      <c r="CY497" s="19"/>
      <c r="CZ497" s="15"/>
      <c r="DA497" s="16" t="s">
        <v>197</v>
      </c>
      <c r="DB497" s="17" t="s">
        <v>228</v>
      </c>
      <c r="DC497" s="16"/>
      <c r="DD497" s="17" t="s">
        <v>198</v>
      </c>
      <c r="DE497" s="18">
        <v>45705.53329861111</v>
      </c>
      <c r="DF497" s="17" t="s">
        <v>198</v>
      </c>
      <c r="DG497" s="18">
        <v>45705.53329861111</v>
      </c>
      <c r="DH497" s="13" t="s">
        <v>205</v>
      </c>
      <c r="DI497" s="14" t="s">
        <v>179</v>
      </c>
      <c r="DJ497" s="14" t="s">
        <v>11917</v>
      </c>
      <c r="DK497" s="14" t="s">
        <v>179</v>
      </c>
      <c r="DL497" s="14" t="s">
        <v>11918</v>
      </c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6" t="s">
        <v>197</v>
      </c>
      <c r="ED497" s="17" t="s">
        <v>198</v>
      </c>
      <c r="EE497" s="18">
        <v>45705.533483796295</v>
      </c>
      <c r="EF497" s="13" t="s">
        <v>209</v>
      </c>
      <c r="EG497" s="14" t="s">
        <v>179</v>
      </c>
      <c r="EH497" s="14" t="s">
        <v>11919</v>
      </c>
      <c r="EI497" s="14" t="s">
        <v>179</v>
      </c>
      <c r="EJ497" s="14" t="s">
        <v>11920</v>
      </c>
      <c r="EK497" s="15"/>
      <c r="EL497" s="15"/>
      <c r="EM497" s="15"/>
      <c r="EN497" s="15"/>
      <c r="EO497" s="15"/>
      <c r="EP497" s="15"/>
      <c r="EQ497" s="15"/>
      <c r="ER497" s="15"/>
      <c r="ES497" s="15"/>
      <c r="ET497" s="15"/>
      <c r="EU497" s="15"/>
      <c r="EV497" s="15"/>
      <c r="EW497" s="15"/>
      <c r="EX497" s="15"/>
      <c r="EY497" s="15"/>
      <c r="EZ497" s="15"/>
      <c r="FA497" s="15"/>
      <c r="FB497" s="15"/>
      <c r="FC497" s="16" t="s">
        <v>197</v>
      </c>
      <c r="FD497" s="17" t="s">
        <v>198</v>
      </c>
      <c r="FE497" s="18">
        <v>45705.53355324074</v>
      </c>
      <c r="FF497" s="19"/>
      <c r="FG497" s="19"/>
      <c r="FH497" s="21" t="s">
        <v>197</v>
      </c>
      <c r="FI497" s="17" t="s">
        <v>214</v>
      </c>
      <c r="FJ497" s="18">
        <v>45705.53355324074</v>
      </c>
      <c r="FK497" s="14" t="s">
        <v>11920</v>
      </c>
      <c r="FL497" s="14" t="s">
        <v>11921</v>
      </c>
      <c r="FM497" s="14" t="s">
        <v>11922</v>
      </c>
      <c r="FN497" s="19"/>
      <c r="FO497" s="19"/>
      <c r="FP497" s="19" t="str">
        <f t="shared" si="1"/>
        <v>Base de Dados_Images/LIT81002B.Imagem do Equipamento-.150703.jpg</v>
      </c>
      <c r="FQ497" s="14"/>
      <c r="FR497" s="14"/>
    </row>
    <row r="498" ht="15.75" customHeight="1">
      <c r="A498" s="12" t="s">
        <v>357</v>
      </c>
      <c r="B498" s="12" t="s">
        <v>358</v>
      </c>
      <c r="C498" s="24" t="s">
        <v>375</v>
      </c>
      <c r="D498" s="22" t="s">
        <v>11923</v>
      </c>
      <c r="E498" s="22" t="s">
        <v>11924</v>
      </c>
      <c r="F498" s="13" t="s">
        <v>178</v>
      </c>
      <c r="G498" s="14" t="s">
        <v>179</v>
      </c>
      <c r="H498" s="14" t="s">
        <v>11925</v>
      </c>
      <c r="I498" s="14" t="s">
        <v>179</v>
      </c>
      <c r="J498" s="14" t="s">
        <v>11926</v>
      </c>
      <c r="K498" s="14" t="s">
        <v>179</v>
      </c>
      <c r="L498" s="14" t="s">
        <v>11927</v>
      </c>
      <c r="M498" s="14" t="s">
        <v>179</v>
      </c>
      <c r="N498" s="14" t="s">
        <v>11928</v>
      </c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6" t="s">
        <v>197</v>
      </c>
      <c r="BP498" s="17" t="s">
        <v>198</v>
      </c>
      <c r="BQ498" s="18">
        <v>45679.46642361111</v>
      </c>
      <c r="BR498" s="17" t="s">
        <v>198</v>
      </c>
      <c r="BS498" s="18">
        <v>45679.46649305556</v>
      </c>
      <c r="BT498" s="17" t="s">
        <v>198</v>
      </c>
      <c r="BU498" s="18">
        <v>45679.46649305556</v>
      </c>
      <c r="BV498" s="13" t="s">
        <v>199</v>
      </c>
      <c r="BW498" s="14" t="s">
        <v>179</v>
      </c>
      <c r="BX498" s="14" t="s">
        <v>11929</v>
      </c>
      <c r="BY498" s="14" t="s">
        <v>179</v>
      </c>
      <c r="BZ498" s="14" t="s">
        <v>11929</v>
      </c>
      <c r="CA498" s="14" t="s">
        <v>179</v>
      </c>
      <c r="CB498" s="14" t="s">
        <v>11930</v>
      </c>
      <c r="CC498" s="15"/>
      <c r="CD498" s="15"/>
      <c r="CE498" s="15"/>
      <c r="CF498" s="15"/>
      <c r="CG498" s="19"/>
      <c r="CH498" s="15"/>
      <c r="CI498" s="19"/>
      <c r="CJ498" s="15"/>
      <c r="CK498" s="19"/>
      <c r="CL498" s="15"/>
      <c r="CM498" s="19"/>
      <c r="CN498" s="15"/>
      <c r="CO498" s="19"/>
      <c r="CP498" s="15"/>
      <c r="CQ498" s="15"/>
      <c r="CR498" s="15"/>
      <c r="CS498" s="19"/>
      <c r="CT498" s="15"/>
      <c r="CU498" s="19"/>
      <c r="CV498" s="15"/>
      <c r="CW498" s="19"/>
      <c r="CX498" s="15"/>
      <c r="CY498" s="19"/>
      <c r="CZ498" s="15"/>
      <c r="DA498" s="16" t="s">
        <v>197</v>
      </c>
      <c r="DB498" s="17" t="s">
        <v>228</v>
      </c>
      <c r="DC498" s="16"/>
      <c r="DD498" s="17" t="s">
        <v>198</v>
      </c>
      <c r="DE498" s="18">
        <v>45693.665451388886</v>
      </c>
      <c r="DF498" s="17" t="s">
        <v>198</v>
      </c>
      <c r="DG498" s="18">
        <v>45693.665451388886</v>
      </c>
      <c r="DH498" s="13" t="s">
        <v>205</v>
      </c>
      <c r="DI498" s="14" t="s">
        <v>179</v>
      </c>
      <c r="DJ498" s="14" t="s">
        <v>11931</v>
      </c>
      <c r="DK498" s="14" t="s">
        <v>179</v>
      </c>
      <c r="DL498" s="14" t="s">
        <v>11931</v>
      </c>
      <c r="DM498" s="15"/>
      <c r="DN498" s="15"/>
      <c r="DO498" s="15"/>
      <c r="DP498" s="15"/>
      <c r="DQ498" s="15"/>
      <c r="DR498" s="15"/>
      <c r="DS498" s="15"/>
      <c r="DT498" s="15"/>
      <c r="DU498" s="15"/>
      <c r="DV498" s="15"/>
      <c r="DW498" s="15"/>
      <c r="DX498" s="15"/>
      <c r="DY498" s="15"/>
      <c r="DZ498" s="15"/>
      <c r="EA498" s="15"/>
      <c r="EB498" s="15"/>
      <c r="EC498" s="16" t="s">
        <v>197</v>
      </c>
      <c r="ED498" s="17" t="s">
        <v>198</v>
      </c>
      <c r="EE498" s="18">
        <v>45693.665497685186</v>
      </c>
      <c r="EF498" s="13" t="s">
        <v>209</v>
      </c>
      <c r="EG498" s="14" t="s">
        <v>179</v>
      </c>
      <c r="EH498" s="14" t="s">
        <v>11932</v>
      </c>
      <c r="EI498" s="14" t="s">
        <v>179</v>
      </c>
      <c r="EJ498" s="14" t="s">
        <v>11933</v>
      </c>
      <c r="EK498" s="15"/>
      <c r="EL498" s="15"/>
      <c r="EM498" s="15"/>
      <c r="EN498" s="15"/>
      <c r="EO498" s="15"/>
      <c r="EP498" s="15"/>
      <c r="EQ498" s="15"/>
      <c r="ER498" s="15"/>
      <c r="ES498" s="15"/>
      <c r="ET498" s="15"/>
      <c r="EU498" s="15"/>
      <c r="EV498" s="15"/>
      <c r="EW498" s="15"/>
      <c r="EX498" s="15"/>
      <c r="EY498" s="15"/>
      <c r="EZ498" s="15"/>
      <c r="FA498" s="15"/>
      <c r="FB498" s="15"/>
      <c r="FC498" s="16" t="s">
        <v>197</v>
      </c>
      <c r="FD498" s="17" t="s">
        <v>198</v>
      </c>
      <c r="FE498" s="18">
        <v>45705.39444444444</v>
      </c>
      <c r="FF498" s="19"/>
      <c r="FG498" s="19"/>
      <c r="FH498" s="21" t="s">
        <v>197</v>
      </c>
      <c r="FI498" s="17" t="s">
        <v>214</v>
      </c>
      <c r="FJ498" s="18">
        <v>45705.39444444444</v>
      </c>
      <c r="FK498" s="14" t="s">
        <v>11932</v>
      </c>
      <c r="FL498" s="14" t="s">
        <v>11934</v>
      </c>
      <c r="FM498" s="14" t="s">
        <v>11935</v>
      </c>
      <c r="FN498" s="19"/>
      <c r="FO498" s="19"/>
      <c r="FP498" s="19" t="str">
        <f t="shared" si="1"/>
        <v>Base de Dados_Images/LIT81014A.Imagem do Equipamento-.190227.jpg</v>
      </c>
      <c r="FQ498" s="19"/>
      <c r="FR498" s="19"/>
    </row>
    <row r="499" ht="15.75" customHeight="1">
      <c r="A499" s="12" t="s">
        <v>357</v>
      </c>
      <c r="B499" s="12" t="s">
        <v>358</v>
      </c>
      <c r="C499" s="24" t="s">
        <v>375</v>
      </c>
      <c r="D499" s="22" t="s">
        <v>11936</v>
      </c>
      <c r="E499" s="22" t="s">
        <v>11937</v>
      </c>
      <c r="F499" s="13" t="s">
        <v>178</v>
      </c>
      <c r="G499" s="14" t="s">
        <v>179</v>
      </c>
      <c r="H499" s="14" t="s">
        <v>11938</v>
      </c>
      <c r="I499" s="14" t="s">
        <v>179</v>
      </c>
      <c r="J499" s="14" t="s">
        <v>11939</v>
      </c>
      <c r="K499" s="14" t="s">
        <v>179</v>
      </c>
      <c r="L499" s="14" t="s">
        <v>11940</v>
      </c>
      <c r="M499" s="14" t="s">
        <v>179</v>
      </c>
      <c r="N499" s="14" t="s">
        <v>11941</v>
      </c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6" t="s">
        <v>197</v>
      </c>
      <c r="BP499" s="17" t="s">
        <v>198</v>
      </c>
      <c r="BQ499" s="18">
        <v>45679.467210648145</v>
      </c>
      <c r="BR499" s="17" t="s">
        <v>198</v>
      </c>
      <c r="BS499" s="18">
        <v>45679.46729166667</v>
      </c>
      <c r="BT499" s="17" t="s">
        <v>198</v>
      </c>
      <c r="BU499" s="18">
        <v>45679.46729166667</v>
      </c>
      <c r="BV499" s="13" t="s">
        <v>199</v>
      </c>
      <c r="BW499" s="14" t="s">
        <v>179</v>
      </c>
      <c r="BX499" s="14" t="s">
        <v>11942</v>
      </c>
      <c r="BY499" s="14" t="s">
        <v>179</v>
      </c>
      <c r="BZ499" s="14" t="s">
        <v>11943</v>
      </c>
      <c r="CA499" s="14" t="s">
        <v>179</v>
      </c>
      <c r="CB499" s="14" t="s">
        <v>11944</v>
      </c>
      <c r="CC499" s="15"/>
      <c r="CD499" s="15"/>
      <c r="CE499" s="15"/>
      <c r="CF499" s="15"/>
      <c r="CG499" s="19"/>
      <c r="CH499" s="15"/>
      <c r="CI499" s="19"/>
      <c r="CJ499" s="15"/>
      <c r="CK499" s="19"/>
      <c r="CL499" s="15"/>
      <c r="CM499" s="19"/>
      <c r="CN499" s="15"/>
      <c r="CO499" s="19"/>
      <c r="CP499" s="15"/>
      <c r="CQ499" s="15"/>
      <c r="CR499" s="15"/>
      <c r="CS499" s="19"/>
      <c r="CT499" s="15"/>
      <c r="CU499" s="19"/>
      <c r="CV499" s="15"/>
      <c r="CW499" s="19"/>
      <c r="CX499" s="15"/>
      <c r="CY499" s="19"/>
      <c r="CZ499" s="15"/>
      <c r="DA499" s="16" t="s">
        <v>197</v>
      </c>
      <c r="DB499" s="17" t="s">
        <v>228</v>
      </c>
      <c r="DC499" s="16"/>
      <c r="DD499" s="17" t="s">
        <v>198</v>
      </c>
      <c r="DE499" s="18">
        <v>45693.66725694444</v>
      </c>
      <c r="DF499" s="17" t="s">
        <v>198</v>
      </c>
      <c r="DG499" s="18">
        <v>45693.66725694444</v>
      </c>
      <c r="DH499" s="13" t="s">
        <v>205</v>
      </c>
      <c r="DI499" s="14" t="s">
        <v>179</v>
      </c>
      <c r="DJ499" s="14" t="s">
        <v>11945</v>
      </c>
      <c r="DK499" s="14" t="s">
        <v>179</v>
      </c>
      <c r="DL499" s="14" t="s">
        <v>11946</v>
      </c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6" t="s">
        <v>197</v>
      </c>
      <c r="ED499" s="17" t="s">
        <v>198</v>
      </c>
      <c r="EE499" s="18">
        <v>45693.66732638889</v>
      </c>
      <c r="EF499" s="13" t="s">
        <v>209</v>
      </c>
      <c r="EG499" s="14" t="s">
        <v>179</v>
      </c>
      <c r="EH499" s="14" t="s">
        <v>11947</v>
      </c>
      <c r="EI499" s="14" t="s">
        <v>179</v>
      </c>
      <c r="EJ499" s="14" t="s">
        <v>11948</v>
      </c>
      <c r="EK499" s="15"/>
      <c r="EL499" s="15"/>
      <c r="EM499" s="15"/>
      <c r="EN499" s="15"/>
      <c r="EO499" s="15"/>
      <c r="EP499" s="15"/>
      <c r="EQ499" s="15"/>
      <c r="ER499" s="15"/>
      <c r="ES499" s="15"/>
      <c r="ET499" s="15"/>
      <c r="EU499" s="15"/>
      <c r="EV499" s="15"/>
      <c r="EW499" s="15"/>
      <c r="EX499" s="15"/>
      <c r="EY499" s="15"/>
      <c r="EZ499" s="15"/>
      <c r="FA499" s="15"/>
      <c r="FB499" s="15"/>
      <c r="FC499" s="16" t="s">
        <v>197</v>
      </c>
      <c r="FD499" s="17" t="s">
        <v>198</v>
      </c>
      <c r="FE499" s="18">
        <v>45705.39512731481</v>
      </c>
      <c r="FF499" s="19"/>
      <c r="FG499" s="19"/>
      <c r="FH499" s="21" t="s">
        <v>197</v>
      </c>
      <c r="FI499" s="17" t="s">
        <v>214</v>
      </c>
      <c r="FJ499" s="18">
        <v>45705.39512731481</v>
      </c>
      <c r="FK499" s="14" t="s">
        <v>11948</v>
      </c>
      <c r="FL499" s="14" t="s">
        <v>11949</v>
      </c>
      <c r="FM499" s="14" t="s">
        <v>11950</v>
      </c>
      <c r="FN499" s="19"/>
      <c r="FO499" s="19"/>
      <c r="FP499" s="19" t="str">
        <f t="shared" si="1"/>
        <v>Base de Dados_Images/LIT81014B.Imagem do Equipamento-.190258.jpg</v>
      </c>
      <c r="FQ499" s="19"/>
      <c r="FR499" s="19"/>
    </row>
    <row r="500" ht="15.75" customHeight="1">
      <c r="A500" s="12" t="s">
        <v>357</v>
      </c>
      <c r="B500" s="12" t="s">
        <v>3998</v>
      </c>
      <c r="C500" s="24" t="s">
        <v>375</v>
      </c>
      <c r="D500" s="22" t="s">
        <v>11951</v>
      </c>
      <c r="E500" s="22" t="s">
        <v>11952</v>
      </c>
      <c r="F500" s="13" t="s">
        <v>178</v>
      </c>
      <c r="G500" s="14" t="s">
        <v>179</v>
      </c>
      <c r="H500" s="14" t="s">
        <v>11953</v>
      </c>
      <c r="I500" s="14" t="s">
        <v>179</v>
      </c>
      <c r="J500" s="14" t="s">
        <v>11954</v>
      </c>
      <c r="K500" s="14" t="s">
        <v>179</v>
      </c>
      <c r="L500" s="14" t="s">
        <v>11955</v>
      </c>
      <c r="M500" s="14" t="s">
        <v>179</v>
      </c>
      <c r="N500" s="14" t="s">
        <v>11956</v>
      </c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6" t="s">
        <v>197</v>
      </c>
      <c r="BP500" s="17" t="s">
        <v>198</v>
      </c>
      <c r="BQ500" s="18">
        <v>45679.4734375</v>
      </c>
      <c r="BR500" s="17" t="s">
        <v>198</v>
      </c>
      <c r="BS500" s="18">
        <v>45679.47355324074</v>
      </c>
      <c r="BT500" s="17" t="s">
        <v>198</v>
      </c>
      <c r="BU500" s="18">
        <v>45679.47355324074</v>
      </c>
      <c r="BV500" s="13" t="s">
        <v>199</v>
      </c>
      <c r="BW500" s="14" t="s">
        <v>179</v>
      </c>
      <c r="BX500" s="14" t="s">
        <v>11957</v>
      </c>
      <c r="BY500" s="14" t="s">
        <v>179</v>
      </c>
      <c r="BZ500" s="14" t="s">
        <v>11958</v>
      </c>
      <c r="CA500" s="14" t="s">
        <v>179</v>
      </c>
      <c r="CB500" s="14" t="s">
        <v>11959</v>
      </c>
      <c r="CC500" s="15"/>
      <c r="CD500" s="15"/>
      <c r="CE500" s="15"/>
      <c r="CF500" s="15"/>
      <c r="CG500" s="19"/>
      <c r="CH500" s="15"/>
      <c r="CI500" s="19"/>
      <c r="CJ500" s="15"/>
      <c r="CK500" s="19"/>
      <c r="CL500" s="15"/>
      <c r="CM500" s="19"/>
      <c r="CN500" s="15"/>
      <c r="CO500" s="19"/>
      <c r="CP500" s="15"/>
      <c r="CQ500" s="15"/>
      <c r="CR500" s="15"/>
      <c r="CS500" s="19"/>
      <c r="CT500" s="15"/>
      <c r="CU500" s="19"/>
      <c r="CV500" s="15"/>
      <c r="CW500" s="19"/>
      <c r="CX500" s="15"/>
      <c r="CY500" s="19"/>
      <c r="CZ500" s="15"/>
      <c r="DA500" s="16" t="s">
        <v>197</v>
      </c>
      <c r="DB500" s="17" t="s">
        <v>228</v>
      </c>
      <c r="DC500" s="16"/>
      <c r="DD500" s="17" t="s">
        <v>198</v>
      </c>
      <c r="DE500" s="18">
        <v>45699.49563657407</v>
      </c>
      <c r="DF500" s="17" t="s">
        <v>198</v>
      </c>
      <c r="DG500" s="18">
        <v>45699.49563657407</v>
      </c>
      <c r="DH500" s="13" t="s">
        <v>205</v>
      </c>
      <c r="DI500" s="14" t="s">
        <v>179</v>
      </c>
      <c r="DJ500" s="14" t="s">
        <v>11960</v>
      </c>
      <c r="DK500" s="14" t="s">
        <v>179</v>
      </c>
      <c r="DL500" s="14" t="s">
        <v>11961</v>
      </c>
      <c r="DM500" s="15"/>
      <c r="DN500" s="15"/>
      <c r="DO500" s="15"/>
      <c r="DP500" s="15"/>
      <c r="DQ500" s="15"/>
      <c r="DR500" s="15"/>
      <c r="DS500" s="15"/>
      <c r="DT500" s="15"/>
      <c r="DU500" s="15"/>
      <c r="DV500" s="15"/>
      <c r="DW500" s="15"/>
      <c r="DX500" s="15"/>
      <c r="DY500" s="15"/>
      <c r="DZ500" s="15"/>
      <c r="EA500" s="15"/>
      <c r="EB500" s="15"/>
      <c r="EC500" s="16" t="s">
        <v>197</v>
      </c>
      <c r="ED500" s="17" t="s">
        <v>198</v>
      </c>
      <c r="EE500" s="18">
        <v>45699.49574074074</v>
      </c>
      <c r="EF500" s="13" t="s">
        <v>209</v>
      </c>
      <c r="EG500" s="14" t="s">
        <v>179</v>
      </c>
      <c r="EH500" s="14" t="s">
        <v>11962</v>
      </c>
      <c r="EI500" s="14" t="s">
        <v>179</v>
      </c>
      <c r="EJ500" s="14" t="s">
        <v>11963</v>
      </c>
      <c r="EK500" s="15"/>
      <c r="EL500" s="15"/>
      <c r="EM500" s="15"/>
      <c r="EN500" s="15"/>
      <c r="EO500" s="15"/>
      <c r="EP500" s="15"/>
      <c r="EQ500" s="15"/>
      <c r="ER500" s="15"/>
      <c r="ES500" s="15"/>
      <c r="ET500" s="15"/>
      <c r="EU500" s="15"/>
      <c r="EV500" s="15"/>
      <c r="EW500" s="15"/>
      <c r="EX500" s="15"/>
      <c r="EY500" s="15"/>
      <c r="EZ500" s="15"/>
      <c r="FA500" s="15"/>
      <c r="FB500" s="15"/>
      <c r="FC500" s="16" t="s">
        <v>197</v>
      </c>
      <c r="FD500" s="17" t="s">
        <v>198</v>
      </c>
      <c r="FE500" s="18">
        <v>45699.495844907404</v>
      </c>
      <c r="FF500" s="19"/>
      <c r="FG500" s="19"/>
      <c r="FH500" s="21" t="s">
        <v>197</v>
      </c>
      <c r="FI500" s="17" t="s">
        <v>214</v>
      </c>
      <c r="FJ500" s="18">
        <v>45699.495844907404</v>
      </c>
      <c r="FK500" s="14" t="s">
        <v>11963</v>
      </c>
      <c r="FL500" s="14" t="s">
        <v>11964</v>
      </c>
      <c r="FM500" s="14" t="s">
        <v>11965</v>
      </c>
      <c r="FN500" s="19"/>
      <c r="FO500" s="19"/>
      <c r="FP500" s="19" t="str">
        <f t="shared" si="1"/>
        <v>Base de Dados_Images/LIT81015.Imagem do Equipamento-.190520.jpg</v>
      </c>
      <c r="FQ500" s="19"/>
      <c r="FR500" s="19"/>
    </row>
    <row r="501" ht="15.75" customHeight="1">
      <c r="A501" s="12" t="s">
        <v>357</v>
      </c>
      <c r="B501" s="12" t="s">
        <v>4108</v>
      </c>
      <c r="C501" s="24" t="s">
        <v>375</v>
      </c>
      <c r="D501" s="22" t="s">
        <v>11966</v>
      </c>
      <c r="E501" s="22" t="s">
        <v>11967</v>
      </c>
      <c r="F501" s="13" t="s">
        <v>178</v>
      </c>
      <c r="G501" s="14" t="s">
        <v>179</v>
      </c>
      <c r="H501" s="14" t="s">
        <v>11968</v>
      </c>
      <c r="I501" s="14" t="s">
        <v>179</v>
      </c>
      <c r="J501" s="14" t="s">
        <v>11969</v>
      </c>
      <c r="K501" s="14" t="s">
        <v>179</v>
      </c>
      <c r="L501" s="14" t="s">
        <v>11970</v>
      </c>
      <c r="M501" s="14" t="s">
        <v>179</v>
      </c>
      <c r="N501" s="14" t="s">
        <v>11971</v>
      </c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6" t="s">
        <v>197</v>
      </c>
      <c r="BP501" s="17" t="s">
        <v>198</v>
      </c>
      <c r="BQ501" s="18">
        <v>45686.543287037035</v>
      </c>
      <c r="BR501" s="17" t="s">
        <v>198</v>
      </c>
      <c r="BS501" s="18">
        <v>45686.54335648148</v>
      </c>
      <c r="BT501" s="17" t="s">
        <v>198</v>
      </c>
      <c r="BU501" s="18">
        <v>45686.54335648148</v>
      </c>
      <c r="BV501" s="13" t="s">
        <v>199</v>
      </c>
      <c r="BW501" s="14" t="s">
        <v>179</v>
      </c>
      <c r="BX501" s="14" t="s">
        <v>11972</v>
      </c>
      <c r="BY501" s="14" t="s">
        <v>179</v>
      </c>
      <c r="BZ501" s="14" t="s">
        <v>11972</v>
      </c>
      <c r="CA501" s="14" t="s">
        <v>179</v>
      </c>
      <c r="CB501" s="14" t="s">
        <v>11973</v>
      </c>
      <c r="CC501" s="15"/>
      <c r="CD501" s="15"/>
      <c r="CE501" s="15"/>
      <c r="CF501" s="15"/>
      <c r="CG501" s="19"/>
      <c r="CH501" s="15"/>
      <c r="CI501" s="19"/>
      <c r="CJ501" s="15"/>
      <c r="CK501" s="19"/>
      <c r="CL501" s="15"/>
      <c r="CM501" s="19"/>
      <c r="CN501" s="15"/>
      <c r="CO501" s="19"/>
      <c r="CP501" s="15"/>
      <c r="CQ501" s="15"/>
      <c r="CR501" s="15"/>
      <c r="CS501" s="19"/>
      <c r="CT501" s="15"/>
      <c r="CU501" s="19"/>
      <c r="CV501" s="15"/>
      <c r="CW501" s="19"/>
      <c r="CX501" s="15"/>
      <c r="CY501" s="19"/>
      <c r="CZ501" s="15"/>
      <c r="DA501" s="16" t="s">
        <v>197</v>
      </c>
      <c r="DB501" s="17" t="s">
        <v>228</v>
      </c>
      <c r="DC501" s="16"/>
      <c r="DD501" s="17" t="s">
        <v>198</v>
      </c>
      <c r="DE501" s="18">
        <v>45719.50010416667</v>
      </c>
      <c r="DF501" s="17" t="s">
        <v>198</v>
      </c>
      <c r="DG501" s="18">
        <v>45719.50010416667</v>
      </c>
      <c r="DH501" s="13" t="s">
        <v>205</v>
      </c>
      <c r="DI501" s="14" t="s">
        <v>179</v>
      </c>
      <c r="DJ501" s="14" t="s">
        <v>11974</v>
      </c>
      <c r="DK501" s="14" t="s">
        <v>179</v>
      </c>
      <c r="DL501" s="14" t="s">
        <v>11975</v>
      </c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6" t="s">
        <v>197</v>
      </c>
      <c r="ED501" s="17" t="s">
        <v>198</v>
      </c>
      <c r="EE501" s="18">
        <v>45719.50019675926</v>
      </c>
      <c r="EF501" s="13" t="s">
        <v>209</v>
      </c>
      <c r="EG501" s="14" t="s">
        <v>179</v>
      </c>
      <c r="EH501" s="14" t="s">
        <v>11976</v>
      </c>
      <c r="EI501" s="14" t="s">
        <v>179</v>
      </c>
      <c r="EJ501" s="14" t="s">
        <v>11976</v>
      </c>
      <c r="EK501" s="15"/>
      <c r="EL501" s="15"/>
      <c r="EM501" s="15"/>
      <c r="EN501" s="15"/>
      <c r="EO501" s="15"/>
      <c r="EP501" s="15"/>
      <c r="EQ501" s="15"/>
      <c r="ER501" s="15"/>
      <c r="ES501" s="15"/>
      <c r="ET501" s="15"/>
      <c r="EU501" s="15"/>
      <c r="EV501" s="15"/>
      <c r="EW501" s="15"/>
      <c r="EX501" s="15"/>
      <c r="EY501" s="15"/>
      <c r="EZ501" s="15"/>
      <c r="FA501" s="15"/>
      <c r="FB501" s="15"/>
      <c r="FC501" s="16" t="s">
        <v>197</v>
      </c>
      <c r="FD501" s="17" t="s">
        <v>198</v>
      </c>
      <c r="FE501" s="18">
        <v>45723.39611111111</v>
      </c>
      <c r="FF501" s="19"/>
      <c r="FG501" s="19"/>
      <c r="FH501" s="21" t="s">
        <v>197</v>
      </c>
      <c r="FI501" s="17" t="s">
        <v>214</v>
      </c>
      <c r="FJ501" s="18">
        <v>45723.39611111111</v>
      </c>
      <c r="FK501" s="14" t="s">
        <v>11976</v>
      </c>
      <c r="FL501" s="14" t="s">
        <v>11977</v>
      </c>
      <c r="FM501" s="14" t="s">
        <v>11978</v>
      </c>
      <c r="FN501" s="19"/>
      <c r="FO501" s="19"/>
      <c r="FP501" s="19" t="str">
        <f t="shared" si="1"/>
        <v>Base de Dados_Images/LIT81027.Imagem do Equipamento-.160217.jpg</v>
      </c>
      <c r="FQ501" s="19"/>
      <c r="FR501" s="19"/>
    </row>
    <row r="502" ht="15.75" customHeight="1">
      <c r="A502" s="12" t="s">
        <v>357</v>
      </c>
      <c r="B502" s="12" t="s">
        <v>4276</v>
      </c>
      <c r="C502" s="24" t="s">
        <v>375</v>
      </c>
      <c r="D502" s="22" t="s">
        <v>11979</v>
      </c>
      <c r="E502" s="22" t="s">
        <v>11980</v>
      </c>
      <c r="F502" s="13" t="s">
        <v>178</v>
      </c>
      <c r="G502" s="14" t="s">
        <v>179</v>
      </c>
      <c r="H502" s="14" t="s">
        <v>11981</v>
      </c>
      <c r="I502" s="14" t="s">
        <v>179</v>
      </c>
      <c r="J502" s="14" t="s">
        <v>11982</v>
      </c>
      <c r="K502" s="14" t="s">
        <v>179</v>
      </c>
      <c r="L502" s="14" t="s">
        <v>11983</v>
      </c>
      <c r="M502" s="14" t="s">
        <v>179</v>
      </c>
      <c r="N502" s="14" t="s">
        <v>11984</v>
      </c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6" t="s">
        <v>197</v>
      </c>
      <c r="BP502" s="17" t="s">
        <v>198</v>
      </c>
      <c r="BQ502" s="18">
        <v>45687.624027777776</v>
      </c>
      <c r="BR502" s="17" t="s">
        <v>198</v>
      </c>
      <c r="BS502" s="18">
        <v>45687.624085648145</v>
      </c>
      <c r="BT502" s="17" t="s">
        <v>198</v>
      </c>
      <c r="BU502" s="18">
        <v>45687.624085648145</v>
      </c>
      <c r="BV502" s="13" t="s">
        <v>199</v>
      </c>
      <c r="BW502" s="14" t="s">
        <v>179</v>
      </c>
      <c r="BX502" s="14" t="s">
        <v>11985</v>
      </c>
      <c r="BY502" s="14" t="s">
        <v>179</v>
      </c>
      <c r="BZ502" s="14" t="s">
        <v>11986</v>
      </c>
      <c r="CA502" s="14" t="s">
        <v>179</v>
      </c>
      <c r="CB502" s="14" t="s">
        <v>11987</v>
      </c>
      <c r="CC502" s="15"/>
      <c r="CD502" s="15"/>
      <c r="CE502" s="15"/>
      <c r="CF502" s="15"/>
      <c r="CG502" s="19"/>
      <c r="CH502" s="15"/>
      <c r="CI502" s="19"/>
      <c r="CJ502" s="15"/>
      <c r="CK502" s="19"/>
      <c r="CL502" s="15"/>
      <c r="CM502" s="19"/>
      <c r="CN502" s="15"/>
      <c r="CO502" s="19"/>
      <c r="CP502" s="15"/>
      <c r="CQ502" s="15"/>
      <c r="CR502" s="15"/>
      <c r="CS502" s="19"/>
      <c r="CT502" s="15"/>
      <c r="CU502" s="19"/>
      <c r="CV502" s="15"/>
      <c r="CW502" s="19"/>
      <c r="CX502" s="15"/>
      <c r="CY502" s="19"/>
      <c r="CZ502" s="15"/>
      <c r="DA502" s="16" t="s">
        <v>197</v>
      </c>
      <c r="DB502" s="17" t="s">
        <v>228</v>
      </c>
      <c r="DC502" s="16"/>
      <c r="DD502" s="17" t="s">
        <v>198</v>
      </c>
      <c r="DE502" s="18">
        <v>45723.6450462963</v>
      </c>
      <c r="DF502" s="17" t="s">
        <v>198</v>
      </c>
      <c r="DG502" s="18">
        <v>45723.6450462963</v>
      </c>
      <c r="DH502" s="13" t="s">
        <v>205</v>
      </c>
      <c r="DI502" s="14" t="s">
        <v>179</v>
      </c>
      <c r="DJ502" s="14" t="s">
        <v>11988</v>
      </c>
      <c r="DK502" s="14" t="s">
        <v>179</v>
      </c>
      <c r="DL502" s="14" t="s">
        <v>11989</v>
      </c>
      <c r="DM502" s="15"/>
      <c r="DN502" s="15"/>
      <c r="DO502" s="15"/>
      <c r="DP502" s="15"/>
      <c r="DQ502" s="15"/>
      <c r="DR502" s="15"/>
      <c r="DS502" s="15"/>
      <c r="DT502" s="15"/>
      <c r="DU502" s="15"/>
      <c r="DV502" s="15"/>
      <c r="DW502" s="15"/>
      <c r="DX502" s="15"/>
      <c r="DY502" s="15"/>
      <c r="DZ502" s="15"/>
      <c r="EA502" s="15"/>
      <c r="EB502" s="15"/>
      <c r="EC502" s="16" t="s">
        <v>197</v>
      </c>
      <c r="ED502" s="17" t="s">
        <v>198</v>
      </c>
      <c r="EE502" s="18">
        <v>45723.645104166666</v>
      </c>
      <c r="EF502" s="13" t="s">
        <v>209</v>
      </c>
      <c r="EG502" s="14" t="s">
        <v>179</v>
      </c>
      <c r="EH502" s="14" t="s">
        <v>11990</v>
      </c>
      <c r="EI502" s="14" t="s">
        <v>179</v>
      </c>
      <c r="EJ502" s="14" t="s">
        <v>11990</v>
      </c>
      <c r="EK502" s="15"/>
      <c r="EL502" s="15"/>
      <c r="EM502" s="15"/>
      <c r="EN502" s="15"/>
      <c r="EO502" s="15"/>
      <c r="EP502" s="15"/>
      <c r="EQ502" s="15"/>
      <c r="ER502" s="15"/>
      <c r="ES502" s="15"/>
      <c r="ET502" s="15"/>
      <c r="EU502" s="15"/>
      <c r="EV502" s="15"/>
      <c r="EW502" s="15"/>
      <c r="EX502" s="15"/>
      <c r="EY502" s="15"/>
      <c r="EZ502" s="15"/>
      <c r="FA502" s="15"/>
      <c r="FB502" s="15"/>
      <c r="FC502" s="16" t="s">
        <v>197</v>
      </c>
      <c r="FD502" s="17" t="s">
        <v>198</v>
      </c>
      <c r="FE502" s="18">
        <v>45723.64517361111</v>
      </c>
      <c r="FF502" s="19"/>
      <c r="FG502" s="19"/>
      <c r="FH502" s="21" t="s">
        <v>197</v>
      </c>
      <c r="FI502" s="17" t="s">
        <v>214</v>
      </c>
      <c r="FJ502" s="18">
        <v>45723.64517361111</v>
      </c>
      <c r="FK502" s="14" t="s">
        <v>11990</v>
      </c>
      <c r="FL502" s="14" t="s">
        <v>11991</v>
      </c>
      <c r="FM502" s="14" t="s">
        <v>11992</v>
      </c>
      <c r="FN502" s="19"/>
      <c r="FO502" s="19"/>
      <c r="FP502" s="19" t="str">
        <f t="shared" si="1"/>
        <v>Base de Dados_Images/LIT81028.Imagem do Equipamento-.175928.jpg</v>
      </c>
      <c r="FQ502" s="19"/>
      <c r="FR502" s="19"/>
    </row>
    <row r="503" ht="15.75" customHeight="1">
      <c r="A503" s="12" t="s">
        <v>357</v>
      </c>
      <c r="B503" s="12" t="s">
        <v>4240</v>
      </c>
      <c r="C503" s="24" t="s">
        <v>375</v>
      </c>
      <c r="D503" s="22" t="s">
        <v>11993</v>
      </c>
      <c r="E503" s="22" t="s">
        <v>11994</v>
      </c>
      <c r="F503" s="13" t="s">
        <v>178</v>
      </c>
      <c r="G503" s="14" t="s">
        <v>179</v>
      </c>
      <c r="H503" s="14" t="s">
        <v>11995</v>
      </c>
      <c r="I503" s="14" t="s">
        <v>179</v>
      </c>
      <c r="J503" s="14" t="s">
        <v>11996</v>
      </c>
      <c r="K503" s="14" t="s">
        <v>179</v>
      </c>
      <c r="L503" s="14" t="s">
        <v>11997</v>
      </c>
      <c r="M503" s="14" t="s">
        <v>179</v>
      </c>
      <c r="N503" s="14" t="s">
        <v>11998</v>
      </c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6" t="s">
        <v>197</v>
      </c>
      <c r="BP503" s="17" t="s">
        <v>198</v>
      </c>
      <c r="BQ503" s="18">
        <v>45687.62824074074</v>
      </c>
      <c r="BR503" s="17" t="s">
        <v>198</v>
      </c>
      <c r="BS503" s="18">
        <v>45687.62831018519</v>
      </c>
      <c r="BT503" s="17" t="s">
        <v>198</v>
      </c>
      <c r="BU503" s="18">
        <v>45687.62831018519</v>
      </c>
      <c r="BV503" s="13" t="s">
        <v>199</v>
      </c>
      <c r="BW503" s="14" t="s">
        <v>179</v>
      </c>
      <c r="BX503" s="14" t="s">
        <v>11999</v>
      </c>
      <c r="BY503" s="14" t="s">
        <v>179</v>
      </c>
      <c r="BZ503" s="14" t="s">
        <v>11999</v>
      </c>
      <c r="CA503" s="14" t="s">
        <v>179</v>
      </c>
      <c r="CB503" s="14" t="s">
        <v>12000</v>
      </c>
      <c r="CC503" s="15"/>
      <c r="CD503" s="15"/>
      <c r="CE503" s="15"/>
      <c r="CF503" s="15"/>
      <c r="CG503" s="19"/>
      <c r="CH503" s="15"/>
      <c r="CI503" s="19"/>
      <c r="CJ503" s="15"/>
      <c r="CK503" s="19"/>
      <c r="CL503" s="15"/>
      <c r="CM503" s="19"/>
      <c r="CN503" s="15"/>
      <c r="CO503" s="19"/>
      <c r="CP503" s="15"/>
      <c r="CQ503" s="15"/>
      <c r="CR503" s="15"/>
      <c r="CS503" s="19"/>
      <c r="CT503" s="15"/>
      <c r="CU503" s="19"/>
      <c r="CV503" s="15"/>
      <c r="CW503" s="19"/>
      <c r="CX503" s="15"/>
      <c r="CY503" s="19"/>
      <c r="CZ503" s="15"/>
      <c r="DA503" s="16" t="s">
        <v>197</v>
      </c>
      <c r="DB503" s="17" t="s">
        <v>228</v>
      </c>
      <c r="DC503" s="16"/>
      <c r="DD503" s="17" t="s">
        <v>198</v>
      </c>
      <c r="DE503" s="18">
        <v>45719.499768518515</v>
      </c>
      <c r="DF503" s="17" t="s">
        <v>198</v>
      </c>
      <c r="DG503" s="18">
        <v>45719.499768518515</v>
      </c>
      <c r="DH503" s="13" t="s">
        <v>205</v>
      </c>
      <c r="DI503" s="14" t="s">
        <v>179</v>
      </c>
      <c r="DJ503" s="14" t="s">
        <v>12001</v>
      </c>
      <c r="DK503" s="14" t="s">
        <v>179</v>
      </c>
      <c r="DL503" s="14" t="s">
        <v>12001</v>
      </c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6" t="s">
        <v>197</v>
      </c>
      <c r="ED503" s="17" t="s">
        <v>198</v>
      </c>
      <c r="EE503" s="18">
        <v>45719.49982638889</v>
      </c>
      <c r="EF503" s="13" t="s">
        <v>209</v>
      </c>
      <c r="EG503" s="14" t="s">
        <v>179</v>
      </c>
      <c r="EH503" s="14" t="s">
        <v>12002</v>
      </c>
      <c r="EI503" s="14" t="s">
        <v>179</v>
      </c>
      <c r="EJ503" s="14" t="s">
        <v>12003</v>
      </c>
      <c r="EK503" s="15"/>
      <c r="EL503" s="15"/>
      <c r="EM503" s="15"/>
      <c r="EN503" s="15"/>
      <c r="EO503" s="15"/>
      <c r="EP503" s="15"/>
      <c r="EQ503" s="15"/>
      <c r="ER503" s="15"/>
      <c r="ES503" s="15"/>
      <c r="ET503" s="15"/>
      <c r="EU503" s="15"/>
      <c r="EV503" s="15"/>
      <c r="EW503" s="15"/>
      <c r="EX503" s="15"/>
      <c r="EY503" s="15"/>
      <c r="EZ503" s="15"/>
      <c r="FA503" s="15"/>
      <c r="FB503" s="15"/>
      <c r="FC503" s="16" t="s">
        <v>197</v>
      </c>
      <c r="FD503" s="17" t="s">
        <v>198</v>
      </c>
      <c r="FE503" s="18">
        <v>45723.64738425926</v>
      </c>
      <c r="FF503" s="19"/>
      <c r="FG503" s="19"/>
      <c r="FH503" s="21" t="s">
        <v>197</v>
      </c>
      <c r="FI503" s="17" t="s">
        <v>214</v>
      </c>
      <c r="FJ503" s="18">
        <v>45723.64738425926</v>
      </c>
      <c r="FK503" s="14" t="s">
        <v>12003</v>
      </c>
      <c r="FL503" s="14" t="s">
        <v>12004</v>
      </c>
      <c r="FM503" s="14" t="s">
        <v>12005</v>
      </c>
      <c r="FN503" s="19"/>
      <c r="FO503" s="19"/>
      <c r="FP503" s="19" t="str">
        <f t="shared" si="1"/>
        <v>Base de Dados_Images/LIT81031.Imagem do Equipamento-.180605.jpg</v>
      </c>
      <c r="FQ503" s="19"/>
      <c r="FR503" s="19"/>
    </row>
    <row r="504" ht="15.75" customHeight="1">
      <c r="A504" s="12" t="s">
        <v>174</v>
      </c>
      <c r="B504" s="12" t="s">
        <v>9224</v>
      </c>
      <c r="C504" s="24" t="s">
        <v>375</v>
      </c>
      <c r="D504" s="22" t="s">
        <v>12006</v>
      </c>
      <c r="E504" s="22" t="s">
        <v>12007</v>
      </c>
      <c r="F504" s="13" t="s">
        <v>178</v>
      </c>
      <c r="G504" s="14" t="s">
        <v>179</v>
      </c>
      <c r="H504" s="14" t="s">
        <v>12008</v>
      </c>
      <c r="I504" s="14" t="s">
        <v>179</v>
      </c>
      <c r="J504" s="14" t="s">
        <v>12009</v>
      </c>
      <c r="K504" s="14" t="s">
        <v>179</v>
      </c>
      <c r="L504" s="14" t="s">
        <v>12010</v>
      </c>
      <c r="M504" s="14" t="s">
        <v>179</v>
      </c>
      <c r="N504" s="14" t="s">
        <v>12011</v>
      </c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6" t="s">
        <v>197</v>
      </c>
      <c r="BP504" s="17" t="s">
        <v>198</v>
      </c>
      <c r="BQ504" s="18">
        <v>45706.44918981481</v>
      </c>
      <c r="BR504" s="17" t="s">
        <v>198</v>
      </c>
      <c r="BS504" s="18">
        <v>45706.44929398148</v>
      </c>
      <c r="BT504" s="17" t="s">
        <v>198</v>
      </c>
      <c r="BU504" s="18">
        <v>45706.44929398148</v>
      </c>
      <c r="BV504" s="13" t="s">
        <v>199</v>
      </c>
      <c r="BW504" s="14" t="s">
        <v>179</v>
      </c>
      <c r="BX504" s="14" t="s">
        <v>12012</v>
      </c>
      <c r="BY504" s="14" t="s">
        <v>179</v>
      </c>
      <c r="BZ504" s="14" t="s">
        <v>12013</v>
      </c>
      <c r="CA504" s="14" t="s">
        <v>179</v>
      </c>
      <c r="CB504" s="14" t="s">
        <v>12014</v>
      </c>
      <c r="CC504" s="15"/>
      <c r="CD504" s="15"/>
      <c r="CE504" s="15"/>
      <c r="CF504" s="15"/>
      <c r="CG504" s="19"/>
      <c r="CH504" s="15"/>
      <c r="CI504" s="19"/>
      <c r="CJ504" s="15"/>
      <c r="CK504" s="19"/>
      <c r="CL504" s="15"/>
      <c r="CM504" s="19"/>
      <c r="CN504" s="15"/>
      <c r="CO504" s="19"/>
      <c r="CP504" s="15"/>
      <c r="CQ504" s="15"/>
      <c r="CR504" s="15"/>
      <c r="CS504" s="19"/>
      <c r="CT504" s="15"/>
      <c r="CU504" s="19"/>
      <c r="CV504" s="15"/>
      <c r="CW504" s="19"/>
      <c r="CX504" s="15"/>
      <c r="CY504" s="19"/>
      <c r="CZ504" s="15"/>
      <c r="DA504" s="16" t="s">
        <v>197</v>
      </c>
      <c r="DB504" s="17" t="s">
        <v>228</v>
      </c>
      <c r="DC504" s="16"/>
      <c r="DD504" s="17" t="s">
        <v>198</v>
      </c>
      <c r="DE504" s="18">
        <v>45719.48125</v>
      </c>
      <c r="DF504" s="17" t="s">
        <v>198</v>
      </c>
      <c r="DG504" s="18">
        <v>45719.48125</v>
      </c>
      <c r="DH504" s="13" t="s">
        <v>205</v>
      </c>
      <c r="DI504" s="14" t="s">
        <v>179</v>
      </c>
      <c r="DJ504" s="14" t="s">
        <v>12015</v>
      </c>
      <c r="DK504" s="14" t="s">
        <v>179</v>
      </c>
      <c r="DL504" s="14" t="s">
        <v>12016</v>
      </c>
      <c r="DM504" s="15"/>
      <c r="DN504" s="15"/>
      <c r="DO504" s="15"/>
      <c r="DP504" s="15"/>
      <c r="DQ504" s="15"/>
      <c r="DR504" s="15"/>
      <c r="DS504" s="15"/>
      <c r="DT504" s="15"/>
      <c r="DU504" s="15"/>
      <c r="DV504" s="15"/>
      <c r="DW504" s="15"/>
      <c r="DX504" s="15"/>
      <c r="DY504" s="15"/>
      <c r="DZ504" s="15"/>
      <c r="EA504" s="15"/>
      <c r="EB504" s="15"/>
      <c r="EC504" s="16" t="s">
        <v>197</v>
      </c>
      <c r="ED504" s="17" t="s">
        <v>198</v>
      </c>
      <c r="EE504" s="18">
        <v>45719.4812962963</v>
      </c>
      <c r="EF504" s="13" t="s">
        <v>209</v>
      </c>
      <c r="EG504" s="14" t="s">
        <v>179</v>
      </c>
      <c r="EH504" s="14" t="s">
        <v>12017</v>
      </c>
      <c r="EI504" s="14" t="s">
        <v>179</v>
      </c>
      <c r="EJ504" s="14" t="s">
        <v>12018</v>
      </c>
      <c r="EK504" s="15"/>
      <c r="EL504" s="15"/>
      <c r="EM504" s="15"/>
      <c r="EN504" s="15"/>
      <c r="EO504" s="15"/>
      <c r="EP504" s="15"/>
      <c r="EQ504" s="15"/>
      <c r="ER504" s="15"/>
      <c r="ES504" s="15"/>
      <c r="ET504" s="15"/>
      <c r="EU504" s="15"/>
      <c r="EV504" s="15"/>
      <c r="EW504" s="15"/>
      <c r="EX504" s="15"/>
      <c r="EY504" s="15"/>
      <c r="EZ504" s="15"/>
      <c r="FA504" s="15"/>
      <c r="FB504" s="15"/>
      <c r="FC504" s="16" t="s">
        <v>197</v>
      </c>
      <c r="FD504" s="17" t="s">
        <v>198</v>
      </c>
      <c r="FE504" s="18">
        <v>45723.2716087963</v>
      </c>
      <c r="FF504" s="19"/>
      <c r="FG504" s="19"/>
      <c r="FH504" s="21" t="s">
        <v>197</v>
      </c>
      <c r="FI504" s="17" t="s">
        <v>214</v>
      </c>
      <c r="FJ504" s="18">
        <v>45723.2716087963</v>
      </c>
      <c r="FK504" s="14" t="s">
        <v>12018</v>
      </c>
      <c r="FL504" s="14" t="s">
        <v>12019</v>
      </c>
      <c r="FM504" s="14" t="s">
        <v>12020</v>
      </c>
      <c r="FN504" s="19"/>
      <c r="FO504" s="19"/>
      <c r="FP504" s="19" t="str">
        <f t="shared" si="1"/>
        <v>Base de Dados_Images/LSH20001.Imagem do Equipamento-.135916.jpg</v>
      </c>
      <c r="FQ504" s="14"/>
      <c r="FR504" s="14"/>
    </row>
    <row r="505" ht="15.75" customHeight="1">
      <c r="A505" s="12" t="s">
        <v>547</v>
      </c>
      <c r="B505" s="12" t="s">
        <v>3825</v>
      </c>
      <c r="C505" s="24" t="s">
        <v>10447</v>
      </c>
      <c r="D505" s="12" t="s">
        <v>12021</v>
      </c>
      <c r="E505" s="12" t="s">
        <v>12022</v>
      </c>
      <c r="F505" s="13" t="s">
        <v>178</v>
      </c>
      <c r="G505" s="14" t="s">
        <v>179</v>
      </c>
      <c r="H505" s="14" t="s">
        <v>12023</v>
      </c>
      <c r="I505" s="14" t="s">
        <v>179</v>
      </c>
      <c r="J505" s="14" t="s">
        <v>12024</v>
      </c>
      <c r="K505" s="14" t="s">
        <v>179</v>
      </c>
      <c r="L505" s="14" t="s">
        <v>12025</v>
      </c>
      <c r="M505" s="14" t="s">
        <v>179</v>
      </c>
      <c r="N505" s="14" t="s">
        <v>12026</v>
      </c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6" t="s">
        <v>197</v>
      </c>
      <c r="BP505" s="17" t="s">
        <v>198</v>
      </c>
      <c r="BQ505" s="18">
        <v>45688.659166666665</v>
      </c>
      <c r="BR505" s="17" t="s">
        <v>198</v>
      </c>
      <c r="BS505" s="18">
        <v>45688.659155092595</v>
      </c>
      <c r="BT505" s="17" t="s">
        <v>198</v>
      </c>
      <c r="BU505" s="18">
        <v>45688.659166666665</v>
      </c>
      <c r="BV505" s="13" t="s">
        <v>199</v>
      </c>
      <c r="BW505" s="14" t="s">
        <v>179</v>
      </c>
      <c r="BX505" s="14" t="s">
        <v>12027</v>
      </c>
      <c r="BY505" s="14" t="s">
        <v>179</v>
      </c>
      <c r="BZ505" s="14" t="s">
        <v>12028</v>
      </c>
      <c r="CA505" s="14" t="s">
        <v>179</v>
      </c>
      <c r="CB505" s="14" t="s">
        <v>12029</v>
      </c>
      <c r="CC505" s="15"/>
      <c r="CD505" s="15"/>
      <c r="CE505" s="15"/>
      <c r="CF505" s="15"/>
      <c r="CG505" s="19"/>
      <c r="CH505" s="15"/>
      <c r="CI505" s="19"/>
      <c r="CJ505" s="15"/>
      <c r="CK505" s="19"/>
      <c r="CL505" s="15"/>
      <c r="CM505" s="19"/>
      <c r="CN505" s="15"/>
      <c r="CO505" s="19"/>
      <c r="CP505" s="15"/>
      <c r="CQ505" s="15"/>
      <c r="CR505" s="15"/>
      <c r="CS505" s="19"/>
      <c r="CT505" s="15"/>
      <c r="CU505" s="19"/>
      <c r="CV505" s="15"/>
      <c r="CW505" s="19"/>
      <c r="CX505" s="15"/>
      <c r="CY505" s="19"/>
      <c r="CZ505" s="15"/>
      <c r="DA505" s="16" t="s">
        <v>197</v>
      </c>
      <c r="DB505" s="17" t="s">
        <v>228</v>
      </c>
      <c r="DC505" s="16"/>
      <c r="DD505" s="17" t="s">
        <v>198</v>
      </c>
      <c r="DE505" s="18">
        <v>45692.6316087963</v>
      </c>
      <c r="DF505" s="17" t="s">
        <v>198</v>
      </c>
      <c r="DG505" s="18">
        <v>45692.6316087963</v>
      </c>
      <c r="DH505" s="13" t="s">
        <v>205</v>
      </c>
      <c r="DI505" s="14" t="s">
        <v>179</v>
      </c>
      <c r="DJ505" s="14" t="s">
        <v>12030</v>
      </c>
      <c r="DK505" s="14" t="s">
        <v>179</v>
      </c>
      <c r="DL505" s="14" t="s">
        <v>12031</v>
      </c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6" t="s">
        <v>197</v>
      </c>
      <c r="ED505" s="17" t="s">
        <v>198</v>
      </c>
      <c r="EE505" s="18">
        <v>45692.63171296296</v>
      </c>
      <c r="EF505" s="13" t="s">
        <v>209</v>
      </c>
      <c r="EG505" s="14" t="s">
        <v>179</v>
      </c>
      <c r="EH505" s="14" t="s">
        <v>12032</v>
      </c>
      <c r="EI505" s="14" t="s">
        <v>179</v>
      </c>
      <c r="EJ505" s="14" t="s">
        <v>12033</v>
      </c>
      <c r="EK505" s="15"/>
      <c r="EL505" s="15"/>
      <c r="EM505" s="15"/>
      <c r="EN505" s="15"/>
      <c r="EO505" s="15"/>
      <c r="EP505" s="15"/>
      <c r="EQ505" s="15"/>
      <c r="ER505" s="15"/>
      <c r="ES505" s="15"/>
      <c r="ET505" s="15"/>
      <c r="EU505" s="15"/>
      <c r="EV505" s="15"/>
      <c r="EW505" s="15"/>
      <c r="EX505" s="15"/>
      <c r="EY505" s="15"/>
      <c r="EZ505" s="15"/>
      <c r="FA505" s="15"/>
      <c r="FB505" s="15"/>
      <c r="FC505" s="16" t="s">
        <v>197</v>
      </c>
      <c r="FD505" s="17" t="s">
        <v>198</v>
      </c>
      <c r="FE505" s="18">
        <v>45707.49670138889</v>
      </c>
      <c r="FF505" s="19"/>
      <c r="FG505" s="19"/>
      <c r="FH505" s="21" t="s">
        <v>197</v>
      </c>
      <c r="FI505" s="17" t="s">
        <v>214</v>
      </c>
      <c r="FJ505" s="18">
        <v>45707.49670138889</v>
      </c>
      <c r="FK505" s="14" t="s">
        <v>12033</v>
      </c>
      <c r="FL505" s="19"/>
      <c r="FM505" s="19"/>
      <c r="FN505" s="19"/>
      <c r="FO505" s="19"/>
      <c r="FP505" s="19" t="str">
        <f t="shared" si="1"/>
        <v/>
      </c>
      <c r="FQ505" s="14" t="s">
        <v>215</v>
      </c>
      <c r="FR505" s="14" t="s">
        <v>12034</v>
      </c>
    </row>
    <row r="506" ht="15.75" customHeight="1">
      <c r="A506" s="12" t="s">
        <v>174</v>
      </c>
      <c r="B506" s="12" t="s">
        <v>9224</v>
      </c>
      <c r="C506" s="24" t="s">
        <v>375</v>
      </c>
      <c r="D506" s="22" t="s">
        <v>12035</v>
      </c>
      <c r="E506" s="22" t="s">
        <v>12036</v>
      </c>
      <c r="F506" s="13" t="s">
        <v>178</v>
      </c>
      <c r="G506" s="14" t="s">
        <v>179</v>
      </c>
      <c r="H506" s="14" t="s">
        <v>12037</v>
      </c>
      <c r="I506" s="14" t="s">
        <v>179</v>
      </c>
      <c r="J506" s="14" t="s">
        <v>12038</v>
      </c>
      <c r="K506" s="14" t="s">
        <v>179</v>
      </c>
      <c r="L506" s="14" t="s">
        <v>12039</v>
      </c>
      <c r="M506" s="14" t="s">
        <v>179</v>
      </c>
      <c r="N506" s="14" t="s">
        <v>12040</v>
      </c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6" t="s">
        <v>197</v>
      </c>
      <c r="BP506" s="17" t="s">
        <v>198</v>
      </c>
      <c r="BQ506" s="18">
        <v>45706.44966435185</v>
      </c>
      <c r="BR506" s="17" t="s">
        <v>198</v>
      </c>
      <c r="BS506" s="18">
        <v>45706.44971064815</v>
      </c>
      <c r="BT506" s="17" t="s">
        <v>198</v>
      </c>
      <c r="BU506" s="18">
        <v>45706.44971064815</v>
      </c>
      <c r="BV506" s="13" t="s">
        <v>199</v>
      </c>
      <c r="BW506" s="14" t="s">
        <v>179</v>
      </c>
      <c r="BX506" s="14" t="s">
        <v>12041</v>
      </c>
      <c r="BY506" s="14" t="s">
        <v>179</v>
      </c>
      <c r="BZ506" s="14" t="s">
        <v>12042</v>
      </c>
      <c r="CA506" s="14" t="s">
        <v>179</v>
      </c>
      <c r="CB506" s="14" t="s">
        <v>12043</v>
      </c>
      <c r="CC506" s="15"/>
      <c r="CD506" s="15"/>
      <c r="CE506" s="15"/>
      <c r="CF506" s="15"/>
      <c r="CG506" s="19"/>
      <c r="CH506" s="15"/>
      <c r="CI506" s="19"/>
      <c r="CJ506" s="15"/>
      <c r="CK506" s="19"/>
      <c r="CL506" s="15"/>
      <c r="CM506" s="19"/>
      <c r="CN506" s="15"/>
      <c r="CO506" s="19"/>
      <c r="CP506" s="15"/>
      <c r="CQ506" s="15"/>
      <c r="CR506" s="15"/>
      <c r="CS506" s="19"/>
      <c r="CT506" s="15"/>
      <c r="CU506" s="19"/>
      <c r="CV506" s="15"/>
      <c r="CW506" s="19"/>
      <c r="CX506" s="15"/>
      <c r="CY506" s="19"/>
      <c r="CZ506" s="15"/>
      <c r="DA506" s="16" t="s">
        <v>197</v>
      </c>
      <c r="DB506" s="17" t="s">
        <v>228</v>
      </c>
      <c r="DC506" s="16"/>
      <c r="DD506" s="17" t="s">
        <v>198</v>
      </c>
      <c r="DE506" s="18">
        <v>45719.481400462966</v>
      </c>
      <c r="DF506" s="17" t="s">
        <v>198</v>
      </c>
      <c r="DG506" s="18">
        <v>45719.481400462966</v>
      </c>
      <c r="DH506" s="13" t="s">
        <v>205</v>
      </c>
      <c r="DI506" s="14" t="s">
        <v>179</v>
      </c>
      <c r="DJ506" s="14" t="s">
        <v>12044</v>
      </c>
      <c r="DK506" s="14" t="s">
        <v>179</v>
      </c>
      <c r="DL506" s="14" t="s">
        <v>12045</v>
      </c>
      <c r="DM506" s="15"/>
      <c r="DN506" s="15"/>
      <c r="DO506" s="15"/>
      <c r="DP506" s="15"/>
      <c r="DQ506" s="15"/>
      <c r="DR506" s="15"/>
      <c r="DS506" s="15"/>
      <c r="DT506" s="15"/>
      <c r="DU506" s="15"/>
      <c r="DV506" s="15"/>
      <c r="DW506" s="15"/>
      <c r="DX506" s="15"/>
      <c r="DY506" s="15"/>
      <c r="DZ506" s="15"/>
      <c r="EA506" s="15"/>
      <c r="EB506" s="15"/>
      <c r="EC506" s="16" t="s">
        <v>197</v>
      </c>
      <c r="ED506" s="17" t="s">
        <v>198</v>
      </c>
      <c r="EE506" s="18">
        <v>45719.48149305556</v>
      </c>
      <c r="EF506" s="13" t="s">
        <v>209</v>
      </c>
      <c r="EG506" s="14" t="s">
        <v>179</v>
      </c>
      <c r="EH506" s="14" t="s">
        <v>12046</v>
      </c>
      <c r="EI506" s="14" t="s">
        <v>179</v>
      </c>
      <c r="EJ506" s="14" t="s">
        <v>12046</v>
      </c>
      <c r="EK506" s="15"/>
      <c r="EL506" s="15"/>
      <c r="EM506" s="15"/>
      <c r="EN506" s="15"/>
      <c r="EO506" s="15"/>
      <c r="EP506" s="15"/>
      <c r="EQ506" s="15"/>
      <c r="ER506" s="15"/>
      <c r="ES506" s="15"/>
      <c r="ET506" s="15"/>
      <c r="EU506" s="15"/>
      <c r="EV506" s="15"/>
      <c r="EW506" s="15"/>
      <c r="EX506" s="15"/>
      <c r="EY506" s="15"/>
      <c r="EZ506" s="15"/>
      <c r="FA506" s="15"/>
      <c r="FB506" s="15"/>
      <c r="FC506" s="16" t="s">
        <v>197</v>
      </c>
      <c r="FD506" s="17" t="s">
        <v>198</v>
      </c>
      <c r="FE506" s="18">
        <v>45723.27171296296</v>
      </c>
      <c r="FF506" s="19"/>
      <c r="FG506" s="19"/>
      <c r="FH506" s="21" t="s">
        <v>197</v>
      </c>
      <c r="FI506" s="17" t="s">
        <v>214</v>
      </c>
      <c r="FJ506" s="18">
        <v>45723.27171296296</v>
      </c>
      <c r="FK506" s="14" t="s">
        <v>12046</v>
      </c>
      <c r="FL506" s="14" t="s">
        <v>12047</v>
      </c>
      <c r="FM506" s="14" t="s">
        <v>12048</v>
      </c>
      <c r="FN506" s="19"/>
      <c r="FO506" s="19"/>
      <c r="FP506" s="19" t="str">
        <f t="shared" si="1"/>
        <v>Base de Dados_Images/LSHH20001.Imagem do Equipamento-.142521.jpg</v>
      </c>
      <c r="FQ506" s="19"/>
      <c r="FR506" s="19"/>
    </row>
    <row r="507" ht="15.75" customHeight="1">
      <c r="A507" s="12" t="s">
        <v>174</v>
      </c>
      <c r="B507" s="22" t="s">
        <v>7895</v>
      </c>
      <c r="C507" s="24" t="s">
        <v>7895</v>
      </c>
      <c r="D507" s="22" t="s">
        <v>12049</v>
      </c>
      <c r="E507" s="22" t="s">
        <v>12050</v>
      </c>
      <c r="F507" s="13" t="s">
        <v>178</v>
      </c>
      <c r="G507" s="14" t="s">
        <v>179</v>
      </c>
      <c r="H507" s="14" t="s">
        <v>12051</v>
      </c>
      <c r="I507" s="14" t="s">
        <v>179</v>
      </c>
      <c r="J507" s="14" t="s">
        <v>12052</v>
      </c>
      <c r="K507" s="14" t="s">
        <v>179</v>
      </c>
      <c r="L507" s="14" t="s">
        <v>12053</v>
      </c>
      <c r="M507" s="14" t="s">
        <v>179</v>
      </c>
      <c r="N507" s="14" t="s">
        <v>12054</v>
      </c>
      <c r="O507" s="14" t="s">
        <v>179</v>
      </c>
      <c r="P507" s="14" t="s">
        <v>12055</v>
      </c>
      <c r="Q507" s="14" t="s">
        <v>179</v>
      </c>
      <c r="R507" s="14" t="s">
        <v>12056</v>
      </c>
      <c r="S507" s="14" t="s">
        <v>179</v>
      </c>
      <c r="T507" s="14" t="s">
        <v>12057</v>
      </c>
      <c r="U507" s="14" t="s">
        <v>179</v>
      </c>
      <c r="V507" s="14" t="s">
        <v>12058</v>
      </c>
      <c r="W507" s="14" t="s">
        <v>179</v>
      </c>
      <c r="X507" s="14" t="s">
        <v>12059</v>
      </c>
      <c r="Y507" s="14" t="s">
        <v>179</v>
      </c>
      <c r="Z507" s="14" t="s">
        <v>12060</v>
      </c>
      <c r="AA507" s="14" t="s">
        <v>179</v>
      </c>
      <c r="AB507" s="14" t="s">
        <v>12061</v>
      </c>
      <c r="AC507" s="14" t="s">
        <v>179</v>
      </c>
      <c r="AD507" s="14" t="s">
        <v>12062</v>
      </c>
      <c r="AE507" s="14" t="s">
        <v>179</v>
      </c>
      <c r="AF507" s="14" t="s">
        <v>12063</v>
      </c>
      <c r="AG507" s="14" t="s">
        <v>179</v>
      </c>
      <c r="AH507" s="14" t="s">
        <v>12064</v>
      </c>
      <c r="AI507" s="14" t="s">
        <v>179</v>
      </c>
      <c r="AJ507" s="14" t="s">
        <v>12064</v>
      </c>
      <c r="AK507" s="14" t="s">
        <v>179</v>
      </c>
      <c r="AL507" s="14" t="s">
        <v>12065</v>
      </c>
      <c r="AM507" s="14" t="s">
        <v>179</v>
      </c>
      <c r="AN507" s="14" t="s">
        <v>12066</v>
      </c>
      <c r="AO507" s="14" t="s">
        <v>179</v>
      </c>
      <c r="AP507" s="14" t="s">
        <v>12067</v>
      </c>
      <c r="AQ507" s="14" t="s">
        <v>179</v>
      </c>
      <c r="AR507" s="14" t="s">
        <v>12068</v>
      </c>
      <c r="AS507" s="14" t="s">
        <v>179</v>
      </c>
      <c r="AT507" s="14" t="s">
        <v>12069</v>
      </c>
      <c r="AU507" s="14" t="s">
        <v>179</v>
      </c>
      <c r="AV507" s="14" t="s">
        <v>12070</v>
      </c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6" t="s">
        <v>197</v>
      </c>
      <c r="BP507" s="17" t="s">
        <v>198</v>
      </c>
      <c r="BQ507" s="18">
        <v>45721.699953703705</v>
      </c>
      <c r="BR507" s="17" t="s">
        <v>198</v>
      </c>
      <c r="BS507" s="18">
        <v>45708.4371875</v>
      </c>
      <c r="BT507" s="17" t="s">
        <v>198</v>
      </c>
      <c r="BU507" s="18">
        <v>45721.699953703705</v>
      </c>
      <c r="BV507" s="13" t="s">
        <v>199</v>
      </c>
      <c r="BW507" s="14" t="s">
        <v>179</v>
      </c>
      <c r="BX507" s="14" t="s">
        <v>12071</v>
      </c>
      <c r="BY507" s="14" t="s">
        <v>179</v>
      </c>
      <c r="BZ507" s="14" t="s">
        <v>12072</v>
      </c>
      <c r="CA507" s="14" t="s">
        <v>179</v>
      </c>
      <c r="CB507" s="14" t="s">
        <v>12073</v>
      </c>
      <c r="CC507" s="14" t="s">
        <v>179</v>
      </c>
      <c r="CD507" s="14" t="s">
        <v>12074</v>
      </c>
      <c r="CE507" s="15"/>
      <c r="CF507" s="15"/>
      <c r="CG507" s="19"/>
      <c r="CH507" s="15"/>
      <c r="CI507" s="19"/>
      <c r="CJ507" s="15"/>
      <c r="CK507" s="19"/>
      <c r="CL507" s="15"/>
      <c r="CM507" s="19"/>
      <c r="CN507" s="15"/>
      <c r="CO507" s="19"/>
      <c r="CP507" s="15"/>
      <c r="CQ507" s="15"/>
      <c r="CR507" s="15"/>
      <c r="CS507" s="19"/>
      <c r="CT507" s="15"/>
      <c r="CU507" s="19"/>
      <c r="CV507" s="15"/>
      <c r="CW507" s="19"/>
      <c r="CX507" s="15"/>
      <c r="CY507" s="19"/>
      <c r="CZ507" s="15"/>
      <c r="DA507" s="16" t="s">
        <v>197</v>
      </c>
      <c r="DB507" s="17" t="s">
        <v>198</v>
      </c>
      <c r="DC507" s="20">
        <v>45721.70011574074</v>
      </c>
      <c r="DD507" s="17" t="s">
        <v>198</v>
      </c>
      <c r="DE507" s="18">
        <v>45721.70018518518</v>
      </c>
      <c r="DF507" s="17" t="s">
        <v>198</v>
      </c>
      <c r="DG507" s="18">
        <v>45721.70018518518</v>
      </c>
      <c r="DH507" s="13" t="s">
        <v>205</v>
      </c>
      <c r="DI507" s="14" t="s">
        <v>179</v>
      </c>
      <c r="DJ507" s="14" t="s">
        <v>12075</v>
      </c>
      <c r="DK507" s="14" t="s">
        <v>179</v>
      </c>
      <c r="DL507" s="14" t="s">
        <v>12076</v>
      </c>
      <c r="DM507" s="14" t="s">
        <v>179</v>
      </c>
      <c r="DN507" s="14" t="s">
        <v>12077</v>
      </c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6" t="s">
        <v>197</v>
      </c>
      <c r="ED507" s="17" t="s">
        <v>198</v>
      </c>
      <c r="EE507" s="18">
        <v>45721.70025462963</v>
      </c>
      <c r="EF507" s="13" t="s">
        <v>209</v>
      </c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/>
      <c r="ER507" s="15"/>
      <c r="ES507" s="15"/>
      <c r="ET507" s="15"/>
      <c r="EU507" s="15"/>
      <c r="EV507" s="15"/>
      <c r="EW507" s="15"/>
      <c r="EX507" s="15"/>
      <c r="EY507" s="15"/>
      <c r="EZ507" s="15"/>
      <c r="FA507" s="15"/>
      <c r="FB507" s="15"/>
      <c r="FC507" s="16" t="s">
        <v>197</v>
      </c>
      <c r="FD507" s="17" t="s">
        <v>228</v>
      </c>
      <c r="FE507" s="23"/>
      <c r="FF507" s="19"/>
      <c r="FG507" s="19"/>
      <c r="FH507" s="21" t="s">
        <v>197</v>
      </c>
      <c r="FI507" s="17" t="s">
        <v>214</v>
      </c>
      <c r="FJ507" s="18">
        <v>45721.70025462963</v>
      </c>
      <c r="FK507" s="14" t="s">
        <v>12076</v>
      </c>
      <c r="FL507" s="19"/>
      <c r="FM507" s="19"/>
      <c r="FN507" s="19"/>
      <c r="FO507" s="19"/>
      <c r="FP507" s="19" t="str">
        <f t="shared" si="1"/>
        <v/>
      </c>
      <c r="FQ507" s="14" t="s">
        <v>215</v>
      </c>
      <c r="FR507" s="14" t="s">
        <v>12078</v>
      </c>
    </row>
    <row r="508" ht="15.75" customHeight="1">
      <c r="A508" s="12" t="s">
        <v>174</v>
      </c>
      <c r="B508" s="22" t="s">
        <v>7895</v>
      </c>
      <c r="C508" s="24" t="s">
        <v>7895</v>
      </c>
      <c r="D508" s="22" t="s">
        <v>12079</v>
      </c>
      <c r="E508" s="22" t="s">
        <v>12080</v>
      </c>
      <c r="F508" s="13" t="s">
        <v>178</v>
      </c>
      <c r="G508" s="14" t="s">
        <v>179</v>
      </c>
      <c r="H508" s="14" t="s">
        <v>12081</v>
      </c>
      <c r="I508" s="14" t="s">
        <v>179</v>
      </c>
      <c r="J508" s="14" t="s">
        <v>12082</v>
      </c>
      <c r="K508" s="14" t="s">
        <v>179</v>
      </c>
      <c r="L508" s="14" t="s">
        <v>12083</v>
      </c>
      <c r="M508" s="14" t="s">
        <v>179</v>
      </c>
      <c r="N508" s="14" t="s">
        <v>12084</v>
      </c>
      <c r="O508" s="14" t="s">
        <v>179</v>
      </c>
      <c r="P508" s="14" t="s">
        <v>12085</v>
      </c>
      <c r="Q508" s="14" t="s">
        <v>179</v>
      </c>
      <c r="R508" s="14" t="s">
        <v>12086</v>
      </c>
      <c r="S508" s="14" t="s">
        <v>179</v>
      </c>
      <c r="T508" s="14" t="s">
        <v>12087</v>
      </c>
      <c r="U508" s="14" t="s">
        <v>179</v>
      </c>
      <c r="V508" s="14" t="s">
        <v>12088</v>
      </c>
      <c r="W508" s="14" t="s">
        <v>179</v>
      </c>
      <c r="X508" s="14" t="s">
        <v>12089</v>
      </c>
      <c r="Y508" s="14" t="s">
        <v>179</v>
      </c>
      <c r="Z508" s="14" t="s">
        <v>12090</v>
      </c>
      <c r="AA508" s="14" t="s">
        <v>179</v>
      </c>
      <c r="AB508" s="14" t="s">
        <v>12091</v>
      </c>
      <c r="AC508" s="14" t="s">
        <v>179</v>
      </c>
      <c r="AD508" s="14" t="s">
        <v>12092</v>
      </c>
      <c r="AE508" s="14" t="s">
        <v>179</v>
      </c>
      <c r="AF508" s="14" t="s">
        <v>12093</v>
      </c>
      <c r="AG508" s="14" t="s">
        <v>179</v>
      </c>
      <c r="AH508" s="14" t="s">
        <v>12094</v>
      </c>
      <c r="AI508" s="14" t="s">
        <v>179</v>
      </c>
      <c r="AJ508" s="14" t="s">
        <v>12094</v>
      </c>
      <c r="AK508" s="14" t="s">
        <v>179</v>
      </c>
      <c r="AL508" s="14" t="s">
        <v>12095</v>
      </c>
      <c r="AM508" s="14" t="s">
        <v>179</v>
      </c>
      <c r="AN508" s="14" t="s">
        <v>12096</v>
      </c>
      <c r="AO508" s="14" t="s">
        <v>179</v>
      </c>
      <c r="AP508" s="14" t="s">
        <v>12097</v>
      </c>
      <c r="AQ508" s="14" t="s">
        <v>179</v>
      </c>
      <c r="AR508" s="14" t="s">
        <v>12098</v>
      </c>
      <c r="AS508" s="14" t="s">
        <v>179</v>
      </c>
      <c r="AT508" s="14" t="s">
        <v>12099</v>
      </c>
      <c r="AU508" s="14" t="s">
        <v>179</v>
      </c>
      <c r="AV508" s="14" t="s">
        <v>12100</v>
      </c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6" t="s">
        <v>197</v>
      </c>
      <c r="BP508" s="17" t="s">
        <v>198</v>
      </c>
      <c r="BQ508" s="18">
        <v>45721.70049768518</v>
      </c>
      <c r="BR508" s="17" t="s">
        <v>198</v>
      </c>
      <c r="BS508" s="18">
        <v>45708.4377662037</v>
      </c>
      <c r="BT508" s="17" t="s">
        <v>198</v>
      </c>
      <c r="BU508" s="18">
        <v>45721.70049768518</v>
      </c>
      <c r="BV508" s="13" t="s">
        <v>199</v>
      </c>
      <c r="BW508" s="14" t="s">
        <v>179</v>
      </c>
      <c r="BX508" s="14" t="s">
        <v>12101</v>
      </c>
      <c r="BY508" s="14" t="s">
        <v>179</v>
      </c>
      <c r="BZ508" s="14" t="s">
        <v>12102</v>
      </c>
      <c r="CA508" s="14" t="s">
        <v>179</v>
      </c>
      <c r="CB508" s="14" t="s">
        <v>12103</v>
      </c>
      <c r="CC508" s="14" t="s">
        <v>179</v>
      </c>
      <c r="CD508" s="14" t="s">
        <v>12104</v>
      </c>
      <c r="CE508" s="15"/>
      <c r="CF508" s="15"/>
      <c r="CG508" s="19"/>
      <c r="CH508" s="15"/>
      <c r="CI508" s="19"/>
      <c r="CJ508" s="15"/>
      <c r="CK508" s="19"/>
      <c r="CL508" s="15"/>
      <c r="CM508" s="19"/>
      <c r="CN508" s="15"/>
      <c r="CO508" s="19"/>
      <c r="CP508" s="15"/>
      <c r="CQ508" s="15"/>
      <c r="CR508" s="15"/>
      <c r="CS508" s="19"/>
      <c r="CT508" s="15"/>
      <c r="CU508" s="19"/>
      <c r="CV508" s="15"/>
      <c r="CW508" s="19"/>
      <c r="CX508" s="15"/>
      <c r="CY508" s="19"/>
      <c r="CZ508" s="15"/>
      <c r="DA508" s="16" t="s">
        <v>197</v>
      </c>
      <c r="DB508" s="17" t="s">
        <v>198</v>
      </c>
      <c r="DC508" s="20">
        <v>45721.700636574074</v>
      </c>
      <c r="DD508" s="17" t="s">
        <v>198</v>
      </c>
      <c r="DE508" s="18">
        <v>45721.70106481481</v>
      </c>
      <c r="DF508" s="17" t="s">
        <v>198</v>
      </c>
      <c r="DG508" s="18">
        <v>45721.70106481481</v>
      </c>
      <c r="DH508" s="13" t="s">
        <v>205</v>
      </c>
      <c r="DI508" s="14" t="s">
        <v>179</v>
      </c>
      <c r="DJ508" s="14" t="s">
        <v>12105</v>
      </c>
      <c r="DK508" s="14" t="s">
        <v>179</v>
      </c>
      <c r="DL508" s="14" t="s">
        <v>12106</v>
      </c>
      <c r="DM508" s="14" t="s">
        <v>179</v>
      </c>
      <c r="DN508" s="14" t="s">
        <v>12107</v>
      </c>
      <c r="DO508" s="15"/>
      <c r="DP508" s="15"/>
      <c r="DQ508" s="15"/>
      <c r="DR508" s="15"/>
      <c r="DS508" s="15"/>
      <c r="DT508" s="15"/>
      <c r="DU508" s="15"/>
      <c r="DV508" s="15"/>
      <c r="DW508" s="15"/>
      <c r="DX508" s="15"/>
      <c r="DY508" s="15"/>
      <c r="DZ508" s="15"/>
      <c r="EA508" s="15"/>
      <c r="EB508" s="15"/>
      <c r="EC508" s="16" t="s">
        <v>197</v>
      </c>
      <c r="ED508" s="17" t="s">
        <v>198</v>
      </c>
      <c r="EE508" s="18">
        <v>45723.27276620371</v>
      </c>
      <c r="EF508" s="13" t="s">
        <v>209</v>
      </c>
      <c r="EG508" s="15"/>
      <c r="EH508" s="15"/>
      <c r="EI508" s="15"/>
      <c r="EJ508" s="15"/>
      <c r="EK508" s="15"/>
      <c r="EL508" s="15"/>
      <c r="EM508" s="15"/>
      <c r="EN508" s="15"/>
      <c r="EO508" s="15"/>
      <c r="EP508" s="15"/>
      <c r="EQ508" s="15"/>
      <c r="ER508" s="15"/>
      <c r="ES508" s="15"/>
      <c r="ET508" s="15"/>
      <c r="EU508" s="15"/>
      <c r="EV508" s="15"/>
      <c r="EW508" s="15"/>
      <c r="EX508" s="15"/>
      <c r="EY508" s="15"/>
      <c r="EZ508" s="15"/>
      <c r="FA508" s="15"/>
      <c r="FB508" s="15"/>
      <c r="FC508" s="16" t="s">
        <v>197</v>
      </c>
      <c r="FD508" s="17" t="s">
        <v>228</v>
      </c>
      <c r="FE508" s="23"/>
      <c r="FF508" s="19"/>
      <c r="FG508" s="19"/>
      <c r="FH508" s="21" t="s">
        <v>197</v>
      </c>
      <c r="FI508" s="17" t="s">
        <v>214</v>
      </c>
      <c r="FJ508" s="18">
        <v>45723.27276620371</v>
      </c>
      <c r="FK508" s="14" t="s">
        <v>12107</v>
      </c>
      <c r="FL508" s="19"/>
      <c r="FM508" s="19"/>
      <c r="FN508" s="19"/>
      <c r="FO508" s="19"/>
      <c r="FP508" s="19" t="str">
        <f t="shared" si="1"/>
        <v/>
      </c>
      <c r="FQ508" s="14" t="s">
        <v>215</v>
      </c>
      <c r="FR508" s="14" t="s">
        <v>12108</v>
      </c>
    </row>
    <row r="509" ht="15.75" customHeight="1">
      <c r="A509" s="25" t="s">
        <v>461</v>
      </c>
      <c r="B509" s="25" t="s">
        <v>462</v>
      </c>
      <c r="C509" s="26" t="s">
        <v>176</v>
      </c>
      <c r="D509" s="25" t="s">
        <v>12109</v>
      </c>
      <c r="E509" s="25" t="s">
        <v>12110</v>
      </c>
      <c r="F509" s="27" t="s">
        <v>178</v>
      </c>
      <c r="G509" s="14" t="s">
        <v>179</v>
      </c>
      <c r="H509" s="14" t="s">
        <v>12111</v>
      </c>
      <c r="I509" s="14" t="s">
        <v>179</v>
      </c>
      <c r="J509" s="14" t="s">
        <v>12112</v>
      </c>
      <c r="K509" s="14" t="s">
        <v>179</v>
      </c>
      <c r="L509" s="14" t="s">
        <v>12113</v>
      </c>
      <c r="M509" s="14" t="s">
        <v>179</v>
      </c>
      <c r="N509" s="14" t="s">
        <v>12114</v>
      </c>
      <c r="O509" s="14" t="s">
        <v>179</v>
      </c>
      <c r="P509" s="14" t="s">
        <v>12115</v>
      </c>
      <c r="Q509" s="14" t="s">
        <v>179</v>
      </c>
      <c r="R509" s="14" t="s">
        <v>12116</v>
      </c>
      <c r="S509" s="14" t="s">
        <v>179</v>
      </c>
      <c r="T509" s="14" t="s">
        <v>12117</v>
      </c>
      <c r="U509" s="14" t="s">
        <v>179</v>
      </c>
      <c r="V509" s="14" t="s">
        <v>12118</v>
      </c>
      <c r="W509" s="14" t="s">
        <v>179</v>
      </c>
      <c r="X509" s="14" t="s">
        <v>12119</v>
      </c>
      <c r="Y509" s="14" t="s">
        <v>188</v>
      </c>
      <c r="Z509" s="14" t="s">
        <v>12120</v>
      </c>
      <c r="AA509" s="14" t="s">
        <v>179</v>
      </c>
      <c r="AB509" s="14" t="s">
        <v>12121</v>
      </c>
      <c r="AC509" s="14" t="s">
        <v>179</v>
      </c>
      <c r="AD509" s="14" t="s">
        <v>12122</v>
      </c>
      <c r="AE509" s="14" t="s">
        <v>179</v>
      </c>
      <c r="AF509" s="14" t="s">
        <v>12123</v>
      </c>
      <c r="AG509" s="14" t="s">
        <v>179</v>
      </c>
      <c r="AH509" s="14" t="s">
        <v>12124</v>
      </c>
      <c r="AI509" s="14" t="s">
        <v>179</v>
      </c>
      <c r="AJ509" s="14" t="s">
        <v>12125</v>
      </c>
      <c r="AK509" s="14" t="s">
        <v>179</v>
      </c>
      <c r="AL509" s="14" t="s">
        <v>12126</v>
      </c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7" t="s">
        <v>197</v>
      </c>
      <c r="BP509" s="17" t="s">
        <v>198</v>
      </c>
      <c r="BQ509" s="18">
        <v>45691.63659722222</v>
      </c>
      <c r="BR509" s="17" t="s">
        <v>198</v>
      </c>
      <c r="BS509" s="18">
        <v>45691.63684027778</v>
      </c>
      <c r="BT509" s="17" t="s">
        <v>198</v>
      </c>
      <c r="BU509" s="18">
        <v>45691.63684027778</v>
      </c>
      <c r="BV509" s="27" t="s">
        <v>199</v>
      </c>
      <c r="BW509" s="14" t="s">
        <v>179</v>
      </c>
      <c r="BX509" s="14" t="s">
        <v>12127</v>
      </c>
      <c r="BY509" s="14" t="s">
        <v>179</v>
      </c>
      <c r="BZ509" s="14" t="s">
        <v>12128</v>
      </c>
      <c r="CA509" s="14" t="s">
        <v>188</v>
      </c>
      <c r="CB509" s="14" t="s">
        <v>12129</v>
      </c>
      <c r="CC509" s="14" t="s">
        <v>188</v>
      </c>
      <c r="CD509" s="14" t="s">
        <v>12130</v>
      </c>
      <c r="CE509" s="14" t="s">
        <v>179</v>
      </c>
      <c r="CF509" s="14" t="s">
        <v>12131</v>
      </c>
      <c r="CG509" s="14" t="s">
        <v>179</v>
      </c>
      <c r="CH509" s="14" t="s">
        <v>12132</v>
      </c>
      <c r="CI509" s="19"/>
      <c r="CJ509" s="15"/>
      <c r="CK509" s="19"/>
      <c r="CL509" s="15"/>
      <c r="CM509" s="19"/>
      <c r="CN509" s="15"/>
      <c r="CO509" s="19"/>
      <c r="CP509" s="15"/>
      <c r="CQ509" s="15"/>
      <c r="CR509" s="15"/>
      <c r="CS509" s="19"/>
      <c r="CT509" s="15"/>
      <c r="CU509" s="19"/>
      <c r="CV509" s="15"/>
      <c r="CW509" s="19"/>
      <c r="CX509" s="15"/>
      <c r="CY509" s="19"/>
      <c r="CZ509" s="15"/>
      <c r="DA509" s="17" t="s">
        <v>197</v>
      </c>
      <c r="DB509" s="17" t="s">
        <v>198</v>
      </c>
      <c r="DC509" s="20">
        <v>45691.63704861111</v>
      </c>
      <c r="DD509" s="17" t="s">
        <v>198</v>
      </c>
      <c r="DE509" s="18">
        <v>45714.52265046296</v>
      </c>
      <c r="DF509" s="17" t="s">
        <v>198</v>
      </c>
      <c r="DG509" s="18">
        <v>45714.52265046296</v>
      </c>
      <c r="DH509" s="27" t="s">
        <v>205</v>
      </c>
      <c r="DI509" s="14" t="s">
        <v>179</v>
      </c>
      <c r="DJ509" s="14" t="s">
        <v>12133</v>
      </c>
      <c r="DK509" s="14" t="s">
        <v>179</v>
      </c>
      <c r="DL509" s="14" t="s">
        <v>12134</v>
      </c>
      <c r="DM509" s="14" t="s">
        <v>179</v>
      </c>
      <c r="DN509" s="14" t="s">
        <v>12135</v>
      </c>
      <c r="DO509" s="14" t="s">
        <v>179</v>
      </c>
      <c r="DP509" s="14" t="s">
        <v>12136</v>
      </c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7" t="s">
        <v>197</v>
      </c>
      <c r="ED509" s="17" t="s">
        <v>198</v>
      </c>
      <c r="EE509" s="18">
        <v>45722.37721064815</v>
      </c>
      <c r="EF509" s="27" t="s">
        <v>209</v>
      </c>
      <c r="EG509" s="14" t="s">
        <v>179</v>
      </c>
      <c r="EH509" s="14" t="s">
        <v>12137</v>
      </c>
      <c r="EI509" s="14" t="s">
        <v>179</v>
      </c>
      <c r="EJ509" s="14" t="s">
        <v>12137</v>
      </c>
      <c r="EK509" s="14" t="s">
        <v>179</v>
      </c>
      <c r="EL509" s="14" t="s">
        <v>12138</v>
      </c>
      <c r="EM509" s="14" t="s">
        <v>179</v>
      </c>
      <c r="EN509" s="14" t="s">
        <v>12139</v>
      </c>
      <c r="EO509" s="15"/>
      <c r="EP509" s="15"/>
      <c r="EQ509" s="15"/>
      <c r="ER509" s="15"/>
      <c r="ES509" s="15"/>
      <c r="ET509" s="15"/>
      <c r="EU509" s="15"/>
      <c r="EV509" s="15"/>
      <c r="EW509" s="15"/>
      <c r="EX509" s="15"/>
      <c r="EY509" s="15"/>
      <c r="EZ509" s="15"/>
      <c r="FA509" s="15"/>
      <c r="FB509" s="15"/>
      <c r="FC509" s="17" t="s">
        <v>197</v>
      </c>
      <c r="FD509" s="17" t="s">
        <v>198</v>
      </c>
      <c r="FE509" s="18">
        <v>45723.35949074074</v>
      </c>
      <c r="FF509" s="19"/>
      <c r="FG509" s="19"/>
      <c r="FH509" s="17" t="s">
        <v>197</v>
      </c>
      <c r="FI509" s="17" t="s">
        <v>214</v>
      </c>
      <c r="FJ509" s="18">
        <v>45723.35949074074</v>
      </c>
      <c r="FK509" s="14" t="s">
        <v>12139</v>
      </c>
      <c r="FL509" s="14"/>
      <c r="FM509" s="14"/>
      <c r="FN509" s="19"/>
      <c r="FO509" s="19"/>
      <c r="FP509" s="19" t="str">
        <f t="shared" si="1"/>
        <v/>
      </c>
      <c r="FQ509" s="14" t="s">
        <v>215</v>
      </c>
      <c r="FR509" s="14" t="s">
        <v>12140</v>
      </c>
    </row>
    <row r="510" ht="15.75" customHeight="1">
      <c r="A510" s="12" t="s">
        <v>292</v>
      </c>
      <c r="B510" s="12" t="s">
        <v>1777</v>
      </c>
      <c r="C510" s="24" t="s">
        <v>294</v>
      </c>
      <c r="D510" s="22" t="s">
        <v>12141</v>
      </c>
      <c r="E510" s="22" t="s">
        <v>12142</v>
      </c>
      <c r="F510" s="13" t="s">
        <v>178</v>
      </c>
      <c r="G510" s="14" t="s">
        <v>179</v>
      </c>
      <c r="H510" s="14" t="s">
        <v>12143</v>
      </c>
      <c r="I510" s="14" t="s">
        <v>179</v>
      </c>
      <c r="J510" s="14" t="s">
        <v>12144</v>
      </c>
      <c r="K510" s="14" t="s">
        <v>179</v>
      </c>
      <c r="L510" s="14" t="s">
        <v>12145</v>
      </c>
      <c r="M510" s="14" t="s">
        <v>179</v>
      </c>
      <c r="N510" s="14" t="s">
        <v>12145</v>
      </c>
      <c r="O510" s="14" t="s">
        <v>179</v>
      </c>
      <c r="P510" s="14" t="s">
        <v>12146</v>
      </c>
      <c r="Q510" s="14" t="s">
        <v>179</v>
      </c>
      <c r="R510" s="14" t="s">
        <v>12147</v>
      </c>
      <c r="S510" s="14" t="s">
        <v>179</v>
      </c>
      <c r="T510" s="14" t="s">
        <v>12147</v>
      </c>
      <c r="U510" s="14" t="s">
        <v>179</v>
      </c>
      <c r="V510" s="14" t="s">
        <v>12148</v>
      </c>
      <c r="W510" s="14" t="s">
        <v>179</v>
      </c>
      <c r="X510" s="14" t="s">
        <v>12149</v>
      </c>
      <c r="Y510" s="14" t="s">
        <v>179</v>
      </c>
      <c r="Z510" s="14" t="s">
        <v>12150</v>
      </c>
      <c r="AA510" s="14" t="s">
        <v>188</v>
      </c>
      <c r="AB510" s="14" t="s">
        <v>12151</v>
      </c>
      <c r="AC510" s="14" t="s">
        <v>179</v>
      </c>
      <c r="AD510" s="14" t="s">
        <v>12152</v>
      </c>
      <c r="AE510" s="14" t="s">
        <v>179</v>
      </c>
      <c r="AF510" s="14" t="s">
        <v>12152</v>
      </c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6" t="s">
        <v>197</v>
      </c>
      <c r="BP510" s="17" t="s">
        <v>198</v>
      </c>
      <c r="BQ510" s="18">
        <v>45719.59471064815</v>
      </c>
      <c r="BR510" s="17" t="s">
        <v>198</v>
      </c>
      <c r="BS510" s="18">
        <v>45719.59483796296</v>
      </c>
      <c r="BT510" s="17" t="s">
        <v>198</v>
      </c>
      <c r="BU510" s="18">
        <v>45719.59483796296</v>
      </c>
      <c r="BV510" s="13" t="s">
        <v>199</v>
      </c>
      <c r="BW510" s="14" t="s">
        <v>179</v>
      </c>
      <c r="BX510" s="14" t="s">
        <v>12153</v>
      </c>
      <c r="BY510" s="14" t="s">
        <v>179</v>
      </c>
      <c r="BZ510" s="14" t="s">
        <v>12154</v>
      </c>
      <c r="CA510" s="14" t="s">
        <v>179</v>
      </c>
      <c r="CB510" s="14" t="s">
        <v>12155</v>
      </c>
      <c r="CC510" s="14" t="s">
        <v>179</v>
      </c>
      <c r="CD510" s="14" t="s">
        <v>12156</v>
      </c>
      <c r="CE510" s="15"/>
      <c r="CF510" s="15"/>
      <c r="CG510" s="19"/>
      <c r="CH510" s="15"/>
      <c r="CI510" s="19"/>
      <c r="CJ510" s="15"/>
      <c r="CK510" s="19"/>
      <c r="CL510" s="15"/>
      <c r="CM510" s="19"/>
      <c r="CN510" s="15"/>
      <c r="CO510" s="19"/>
      <c r="CP510" s="15"/>
      <c r="CQ510" s="15"/>
      <c r="CR510" s="15"/>
      <c r="CS510" s="19"/>
      <c r="CT510" s="15"/>
      <c r="CU510" s="19"/>
      <c r="CV510" s="15"/>
      <c r="CW510" s="19"/>
      <c r="CX510" s="15"/>
      <c r="CY510" s="19"/>
      <c r="CZ510" s="15"/>
      <c r="DA510" s="16" t="s">
        <v>197</v>
      </c>
      <c r="DB510" s="17" t="s">
        <v>198</v>
      </c>
      <c r="DC510" s="20">
        <v>45719.59494212963</v>
      </c>
      <c r="DD510" s="17" t="s">
        <v>198</v>
      </c>
      <c r="DE510" s="18">
        <v>45719.59506944445</v>
      </c>
      <c r="DF510" s="17" t="s">
        <v>198</v>
      </c>
      <c r="DG510" s="18">
        <v>45719.59506944445</v>
      </c>
      <c r="DH510" s="13" t="s">
        <v>205</v>
      </c>
      <c r="DI510" s="14" t="s">
        <v>179</v>
      </c>
      <c r="DJ510" s="14" t="s">
        <v>12157</v>
      </c>
      <c r="DK510" s="14" t="s">
        <v>179</v>
      </c>
      <c r="DL510" s="14" t="s">
        <v>12158</v>
      </c>
      <c r="DM510" s="14" t="s">
        <v>179</v>
      </c>
      <c r="DN510" s="14" t="s">
        <v>12159</v>
      </c>
      <c r="DO510" s="14" t="s">
        <v>179</v>
      </c>
      <c r="DP510" s="14" t="s">
        <v>12160</v>
      </c>
      <c r="DQ510" s="14" t="s">
        <v>179</v>
      </c>
      <c r="DR510" s="14" t="s">
        <v>12161</v>
      </c>
      <c r="DS510" s="15"/>
      <c r="DT510" s="15"/>
      <c r="DU510" s="15"/>
      <c r="DV510" s="15"/>
      <c r="DW510" s="15"/>
      <c r="DX510" s="15"/>
      <c r="DY510" s="15"/>
      <c r="DZ510" s="15"/>
      <c r="EA510" s="15"/>
      <c r="EB510" s="15"/>
      <c r="EC510" s="16" t="s">
        <v>197</v>
      </c>
      <c r="ED510" s="17" t="s">
        <v>198</v>
      </c>
      <c r="EE510" s="18">
        <v>45719.595185185186</v>
      </c>
      <c r="EF510" s="13" t="s">
        <v>209</v>
      </c>
      <c r="EG510" s="14" t="s">
        <v>179</v>
      </c>
      <c r="EH510" s="14" t="s">
        <v>12162</v>
      </c>
      <c r="EI510" s="14" t="s">
        <v>179</v>
      </c>
      <c r="EJ510" s="14" t="s">
        <v>12162</v>
      </c>
      <c r="EK510" s="14" t="s">
        <v>179</v>
      </c>
      <c r="EL510" s="14" t="s">
        <v>12163</v>
      </c>
      <c r="EM510" s="14" t="s">
        <v>179</v>
      </c>
      <c r="EN510" s="14" t="s">
        <v>12164</v>
      </c>
      <c r="EO510" s="15"/>
      <c r="EP510" s="15"/>
      <c r="EQ510" s="15"/>
      <c r="ER510" s="15"/>
      <c r="ES510" s="15"/>
      <c r="ET510" s="15"/>
      <c r="EU510" s="15"/>
      <c r="EV510" s="15"/>
      <c r="EW510" s="15"/>
      <c r="EX510" s="15"/>
      <c r="EY510" s="15"/>
      <c r="EZ510" s="15"/>
      <c r="FA510" s="15"/>
      <c r="FB510" s="15"/>
      <c r="FC510" s="16" t="s">
        <v>197</v>
      </c>
      <c r="FD510" s="17" t="s">
        <v>198</v>
      </c>
      <c r="FE510" s="18">
        <v>45723.307118055556</v>
      </c>
      <c r="FF510" s="19"/>
      <c r="FG510" s="19"/>
      <c r="FH510" s="21" t="s">
        <v>197</v>
      </c>
      <c r="FI510" s="17" t="s">
        <v>214</v>
      </c>
      <c r="FJ510" s="18">
        <v>45723.307118055556</v>
      </c>
      <c r="FK510" s="14" t="s">
        <v>12164</v>
      </c>
      <c r="FL510" s="19"/>
      <c r="FM510" s="19"/>
      <c r="FN510" s="19"/>
      <c r="FO510" s="19"/>
      <c r="FP510" s="19" t="str">
        <f t="shared" si="1"/>
        <v/>
      </c>
      <c r="FQ510" s="14" t="s">
        <v>215</v>
      </c>
      <c r="FR510" s="14" t="s">
        <v>12165</v>
      </c>
    </row>
    <row r="511" ht="15.75" customHeight="1">
      <c r="A511" s="12" t="s">
        <v>357</v>
      </c>
      <c r="B511" s="12" t="s">
        <v>358</v>
      </c>
      <c r="C511" s="30" t="s">
        <v>9225</v>
      </c>
      <c r="D511" s="22" t="s">
        <v>12166</v>
      </c>
      <c r="E511" s="22" t="s">
        <v>12167</v>
      </c>
      <c r="F511" s="13" t="s">
        <v>178</v>
      </c>
      <c r="G511" s="14" t="s">
        <v>179</v>
      </c>
      <c r="H511" s="14" t="s">
        <v>12168</v>
      </c>
      <c r="I511" s="14" t="s">
        <v>179</v>
      </c>
      <c r="J511" s="14" t="s">
        <v>12169</v>
      </c>
      <c r="K511" s="14" t="s">
        <v>179</v>
      </c>
      <c r="L511" s="14" t="s">
        <v>12170</v>
      </c>
      <c r="M511" s="14" t="s">
        <v>179</v>
      </c>
      <c r="N511" s="14" t="s">
        <v>12171</v>
      </c>
      <c r="O511" s="14" t="s">
        <v>179</v>
      </c>
      <c r="P511" s="14" t="s">
        <v>12172</v>
      </c>
      <c r="Q511" s="14" t="s">
        <v>179</v>
      </c>
      <c r="R511" s="14" t="s">
        <v>12173</v>
      </c>
      <c r="S511" s="14" t="s">
        <v>179</v>
      </c>
      <c r="T511" s="14" t="s">
        <v>12174</v>
      </c>
      <c r="U511" s="14" t="s">
        <v>179</v>
      </c>
      <c r="V511" s="14" t="s">
        <v>12175</v>
      </c>
      <c r="W511" s="14" t="s">
        <v>179</v>
      </c>
      <c r="X511" s="14" t="s">
        <v>12176</v>
      </c>
      <c r="Y511" s="14" t="s">
        <v>179</v>
      </c>
      <c r="Z511" s="14" t="s">
        <v>12176</v>
      </c>
      <c r="AA511" s="14" t="s">
        <v>179</v>
      </c>
      <c r="AB511" s="14" t="s">
        <v>12177</v>
      </c>
      <c r="AC511" s="14" t="s">
        <v>179</v>
      </c>
      <c r="AD511" s="14" t="s">
        <v>12178</v>
      </c>
      <c r="AE511" s="14" t="s">
        <v>179</v>
      </c>
      <c r="AF511" s="14" t="s">
        <v>12179</v>
      </c>
      <c r="AG511" s="14" t="s">
        <v>179</v>
      </c>
      <c r="AH511" s="14" t="s">
        <v>12180</v>
      </c>
      <c r="AI511" s="14" t="s">
        <v>179</v>
      </c>
      <c r="AJ511" s="14" t="s">
        <v>12181</v>
      </c>
      <c r="AK511" s="14" t="s">
        <v>179</v>
      </c>
      <c r="AL511" s="14" t="s">
        <v>12182</v>
      </c>
      <c r="AM511" s="14" t="s">
        <v>179</v>
      </c>
      <c r="AN511" s="14" t="s">
        <v>12183</v>
      </c>
      <c r="AO511" s="14" t="s">
        <v>179</v>
      </c>
      <c r="AP511" s="14" t="s">
        <v>12184</v>
      </c>
      <c r="AQ511" s="14" t="s">
        <v>179</v>
      </c>
      <c r="AR511" s="14" t="s">
        <v>12185</v>
      </c>
      <c r="AS511" s="14" t="s">
        <v>179</v>
      </c>
      <c r="AT511" s="14" t="s">
        <v>12186</v>
      </c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6" t="s">
        <v>197</v>
      </c>
      <c r="BP511" s="17" t="s">
        <v>198</v>
      </c>
      <c r="BQ511" s="18">
        <v>45698.6325462963</v>
      </c>
      <c r="BR511" s="17" t="s">
        <v>198</v>
      </c>
      <c r="BS511" s="18">
        <v>45687.461180555554</v>
      </c>
      <c r="BT511" s="17" t="s">
        <v>198</v>
      </c>
      <c r="BU511" s="18">
        <v>45698.6325462963</v>
      </c>
      <c r="BV511" s="13" t="s">
        <v>199</v>
      </c>
      <c r="BW511" s="14" t="s">
        <v>179</v>
      </c>
      <c r="BX511" s="14" t="s">
        <v>12187</v>
      </c>
      <c r="BY511" s="14" t="s">
        <v>179</v>
      </c>
      <c r="BZ511" s="14" t="s">
        <v>12188</v>
      </c>
      <c r="CA511" s="14" t="s">
        <v>179</v>
      </c>
      <c r="CB511" s="14" t="s">
        <v>12189</v>
      </c>
      <c r="CC511" s="14" t="s">
        <v>179</v>
      </c>
      <c r="CD511" s="14" t="s">
        <v>12190</v>
      </c>
      <c r="CE511" s="15"/>
      <c r="CF511" s="15"/>
      <c r="CG511" s="19"/>
      <c r="CH511" s="15"/>
      <c r="CI511" s="19"/>
      <c r="CJ511" s="15"/>
      <c r="CK511" s="19"/>
      <c r="CL511" s="15"/>
      <c r="CM511" s="19"/>
      <c r="CN511" s="15"/>
      <c r="CO511" s="19"/>
      <c r="CP511" s="15"/>
      <c r="CQ511" s="15"/>
      <c r="CR511" s="15"/>
      <c r="CS511" s="19"/>
      <c r="CT511" s="15"/>
      <c r="CU511" s="19"/>
      <c r="CV511" s="15"/>
      <c r="CW511" s="19"/>
      <c r="CX511" s="15"/>
      <c r="CY511" s="19"/>
      <c r="CZ511" s="15"/>
      <c r="DA511" s="16" t="s">
        <v>197</v>
      </c>
      <c r="DB511" s="17" t="s">
        <v>198</v>
      </c>
      <c r="DC511" s="20">
        <v>45709.38945601852</v>
      </c>
      <c r="DD511" s="17" t="s">
        <v>198</v>
      </c>
      <c r="DE511" s="18">
        <v>45709.389502314814</v>
      </c>
      <c r="DF511" s="17" t="s">
        <v>198</v>
      </c>
      <c r="DG511" s="18">
        <v>45709.389502314814</v>
      </c>
      <c r="DH511" s="13" t="s">
        <v>205</v>
      </c>
      <c r="DI511" s="14" t="s">
        <v>179</v>
      </c>
      <c r="DJ511" s="14" t="s">
        <v>12191</v>
      </c>
      <c r="DK511" s="14" t="s">
        <v>179</v>
      </c>
      <c r="DL511" s="14" t="s">
        <v>12192</v>
      </c>
      <c r="DM511" s="14" t="s">
        <v>179</v>
      </c>
      <c r="DN511" s="14" t="s">
        <v>12193</v>
      </c>
      <c r="DO511" s="14" t="s">
        <v>179</v>
      </c>
      <c r="DP511" s="14" t="s">
        <v>12194</v>
      </c>
      <c r="DQ511" s="14" t="s">
        <v>179</v>
      </c>
      <c r="DR511" s="14" t="s">
        <v>12195</v>
      </c>
      <c r="DS511" s="14" t="s">
        <v>179</v>
      </c>
      <c r="DT511" s="14" t="s">
        <v>12196</v>
      </c>
      <c r="DU511" s="15"/>
      <c r="DV511" s="15"/>
      <c r="DW511" s="15"/>
      <c r="DX511" s="15"/>
      <c r="DY511" s="15"/>
      <c r="DZ511" s="15"/>
      <c r="EA511" s="15"/>
      <c r="EB511" s="15"/>
      <c r="EC511" s="16" t="s">
        <v>197</v>
      </c>
      <c r="ED511" s="17" t="s">
        <v>198</v>
      </c>
      <c r="EE511" s="18">
        <v>45709.38962962963</v>
      </c>
      <c r="EF511" s="13" t="s">
        <v>209</v>
      </c>
      <c r="EG511" s="14" t="s">
        <v>179</v>
      </c>
      <c r="EH511" s="14" t="s">
        <v>12197</v>
      </c>
      <c r="EI511" s="14" t="s">
        <v>179</v>
      </c>
      <c r="EJ511" s="14" t="s">
        <v>12198</v>
      </c>
      <c r="EK511" s="15"/>
      <c r="EL511" s="15"/>
      <c r="EM511" s="15"/>
      <c r="EN511" s="15"/>
      <c r="EO511" s="15"/>
      <c r="EP511" s="15"/>
      <c r="EQ511" s="15"/>
      <c r="ER511" s="15"/>
      <c r="ES511" s="15"/>
      <c r="ET511" s="15"/>
      <c r="EU511" s="15"/>
      <c r="EV511" s="15"/>
      <c r="EW511" s="15"/>
      <c r="EX511" s="15"/>
      <c r="EY511" s="15"/>
      <c r="EZ511" s="15"/>
      <c r="FA511" s="15"/>
      <c r="FB511" s="15"/>
      <c r="FC511" s="16" t="s">
        <v>197</v>
      </c>
      <c r="FD511" s="17" t="s">
        <v>198</v>
      </c>
      <c r="FE511" s="18">
        <v>45713.37972222222</v>
      </c>
      <c r="FF511" s="19"/>
      <c r="FG511" s="19"/>
      <c r="FH511" s="21" t="s">
        <v>197</v>
      </c>
      <c r="FI511" s="17" t="s">
        <v>214</v>
      </c>
      <c r="FJ511" s="18">
        <v>45713.37972222222</v>
      </c>
      <c r="FK511" s="14" t="s">
        <v>12198</v>
      </c>
      <c r="FL511" s="14" t="s">
        <v>12199</v>
      </c>
      <c r="FM511" s="14" t="s">
        <v>12200</v>
      </c>
      <c r="FN511" s="19"/>
      <c r="FO511" s="19"/>
      <c r="FP511" s="19" t="str">
        <f t="shared" si="1"/>
        <v>Base de Dados_Images/MG8101.Imagem do Equipamento-.145958.jpg</v>
      </c>
      <c r="FQ511" s="19"/>
      <c r="FR511" s="19"/>
    </row>
    <row r="512" ht="15.75" customHeight="1">
      <c r="A512" s="12" t="s">
        <v>357</v>
      </c>
      <c r="B512" s="12" t="s">
        <v>358</v>
      </c>
      <c r="C512" s="30" t="s">
        <v>9225</v>
      </c>
      <c r="D512" s="22" t="s">
        <v>12201</v>
      </c>
      <c r="E512" s="22" t="s">
        <v>12202</v>
      </c>
      <c r="F512" s="13" t="s">
        <v>178</v>
      </c>
      <c r="G512" s="14" t="s">
        <v>179</v>
      </c>
      <c r="H512" s="14" t="s">
        <v>12203</v>
      </c>
      <c r="I512" s="14" t="s">
        <v>179</v>
      </c>
      <c r="J512" s="14" t="s">
        <v>12204</v>
      </c>
      <c r="K512" s="14" t="s">
        <v>179</v>
      </c>
      <c r="L512" s="14" t="s">
        <v>12205</v>
      </c>
      <c r="M512" s="14" t="s">
        <v>179</v>
      </c>
      <c r="N512" s="14" t="s">
        <v>12206</v>
      </c>
      <c r="O512" s="14" t="s">
        <v>179</v>
      </c>
      <c r="P512" s="14" t="s">
        <v>12207</v>
      </c>
      <c r="Q512" s="14" t="s">
        <v>179</v>
      </c>
      <c r="R512" s="14" t="s">
        <v>12208</v>
      </c>
      <c r="S512" s="14" t="s">
        <v>179</v>
      </c>
      <c r="T512" s="14" t="s">
        <v>12209</v>
      </c>
      <c r="U512" s="14" t="s">
        <v>179</v>
      </c>
      <c r="V512" s="14" t="s">
        <v>12210</v>
      </c>
      <c r="W512" s="14" t="s">
        <v>179</v>
      </c>
      <c r="X512" s="14" t="s">
        <v>12211</v>
      </c>
      <c r="Y512" s="14" t="s">
        <v>179</v>
      </c>
      <c r="Z512" s="14" t="s">
        <v>12212</v>
      </c>
      <c r="AA512" s="14" t="s">
        <v>179</v>
      </c>
      <c r="AB512" s="14" t="s">
        <v>12213</v>
      </c>
      <c r="AC512" s="14" t="s">
        <v>179</v>
      </c>
      <c r="AD512" s="14" t="s">
        <v>12214</v>
      </c>
      <c r="AE512" s="14" t="s">
        <v>179</v>
      </c>
      <c r="AF512" s="14" t="s">
        <v>12215</v>
      </c>
      <c r="AG512" s="14" t="s">
        <v>179</v>
      </c>
      <c r="AH512" s="14" t="s">
        <v>12216</v>
      </c>
      <c r="AI512" s="14" t="s">
        <v>179</v>
      </c>
      <c r="AJ512" s="14" t="s">
        <v>12217</v>
      </c>
      <c r="AK512" s="14" t="s">
        <v>179</v>
      </c>
      <c r="AL512" s="14" t="s">
        <v>12218</v>
      </c>
      <c r="AM512" s="14" t="s">
        <v>179</v>
      </c>
      <c r="AN512" s="14" t="s">
        <v>12219</v>
      </c>
      <c r="AO512" s="14" t="s">
        <v>179</v>
      </c>
      <c r="AP512" s="14" t="s">
        <v>12220</v>
      </c>
      <c r="AQ512" s="14" t="s">
        <v>179</v>
      </c>
      <c r="AR512" s="14" t="s">
        <v>12221</v>
      </c>
      <c r="AS512" s="14" t="s">
        <v>179</v>
      </c>
      <c r="AT512" s="14" t="s">
        <v>12222</v>
      </c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6" t="s">
        <v>197</v>
      </c>
      <c r="BP512" s="17" t="s">
        <v>198</v>
      </c>
      <c r="BQ512" s="18">
        <v>45698.63315972222</v>
      </c>
      <c r="BR512" s="17" t="s">
        <v>198</v>
      </c>
      <c r="BS512" s="18">
        <v>45688.40032407407</v>
      </c>
      <c r="BT512" s="17" t="s">
        <v>198</v>
      </c>
      <c r="BU512" s="18">
        <v>45698.63315972222</v>
      </c>
      <c r="BV512" s="13" t="s">
        <v>199</v>
      </c>
      <c r="BW512" s="14" t="s">
        <v>179</v>
      </c>
      <c r="BX512" s="14" t="s">
        <v>12223</v>
      </c>
      <c r="BY512" s="14" t="s">
        <v>179</v>
      </c>
      <c r="BZ512" s="14" t="s">
        <v>12224</v>
      </c>
      <c r="CA512" s="14" t="s">
        <v>179</v>
      </c>
      <c r="CB512" s="14" t="s">
        <v>12225</v>
      </c>
      <c r="CC512" s="14" t="s">
        <v>179</v>
      </c>
      <c r="CD512" s="14" t="s">
        <v>12226</v>
      </c>
      <c r="CE512" s="15"/>
      <c r="CF512" s="15"/>
      <c r="CG512" s="19"/>
      <c r="CH512" s="15"/>
      <c r="CI512" s="19"/>
      <c r="CJ512" s="15"/>
      <c r="CK512" s="19"/>
      <c r="CL512" s="15"/>
      <c r="CM512" s="19"/>
      <c r="CN512" s="15"/>
      <c r="CO512" s="19"/>
      <c r="CP512" s="15"/>
      <c r="CQ512" s="15"/>
      <c r="CR512" s="15"/>
      <c r="CS512" s="19"/>
      <c r="CT512" s="15"/>
      <c r="CU512" s="19"/>
      <c r="CV512" s="15"/>
      <c r="CW512" s="19"/>
      <c r="CX512" s="15"/>
      <c r="CY512" s="19"/>
      <c r="CZ512" s="15"/>
      <c r="DA512" s="16" t="s">
        <v>197</v>
      </c>
      <c r="DB512" s="17" t="s">
        <v>198</v>
      </c>
      <c r="DC512" s="20">
        <v>45706.38804398148</v>
      </c>
      <c r="DD512" s="17" t="s">
        <v>198</v>
      </c>
      <c r="DE512" s="18">
        <v>45706.388078703705</v>
      </c>
      <c r="DF512" s="17" t="s">
        <v>198</v>
      </c>
      <c r="DG512" s="18">
        <v>45706.388078703705</v>
      </c>
      <c r="DH512" s="13" t="s">
        <v>205</v>
      </c>
      <c r="DI512" s="14" t="s">
        <v>179</v>
      </c>
      <c r="DJ512" s="14" t="s">
        <v>12227</v>
      </c>
      <c r="DK512" s="14" t="s">
        <v>179</v>
      </c>
      <c r="DL512" s="14" t="s">
        <v>12228</v>
      </c>
      <c r="DM512" s="14" t="s">
        <v>179</v>
      </c>
      <c r="DN512" s="14" t="s">
        <v>12229</v>
      </c>
      <c r="DO512" s="14" t="s">
        <v>179</v>
      </c>
      <c r="DP512" s="14" t="s">
        <v>12230</v>
      </c>
      <c r="DQ512" s="14" t="s">
        <v>179</v>
      </c>
      <c r="DR512" s="14" t="s">
        <v>12231</v>
      </c>
      <c r="DS512" s="14" t="s">
        <v>179</v>
      </c>
      <c r="DT512" s="14" t="s">
        <v>12232</v>
      </c>
      <c r="DU512" s="15"/>
      <c r="DV512" s="15"/>
      <c r="DW512" s="15"/>
      <c r="DX512" s="15"/>
      <c r="DY512" s="15"/>
      <c r="DZ512" s="15"/>
      <c r="EA512" s="15"/>
      <c r="EB512" s="15"/>
      <c r="EC512" s="16" t="s">
        <v>197</v>
      </c>
      <c r="ED512" s="17" t="s">
        <v>198</v>
      </c>
      <c r="EE512" s="18">
        <v>45706.38825231481</v>
      </c>
      <c r="EF512" s="13" t="s">
        <v>209</v>
      </c>
      <c r="EG512" s="14" t="s">
        <v>179</v>
      </c>
      <c r="EH512" s="14" t="s">
        <v>12233</v>
      </c>
      <c r="EI512" s="14" t="s">
        <v>179</v>
      </c>
      <c r="EJ512" s="14" t="s">
        <v>12234</v>
      </c>
      <c r="EK512" s="15"/>
      <c r="EL512" s="15"/>
      <c r="EM512" s="15"/>
      <c r="EN512" s="15"/>
      <c r="EO512" s="15"/>
      <c r="EP512" s="15"/>
      <c r="EQ512" s="15"/>
      <c r="ER512" s="15"/>
      <c r="ES512" s="15"/>
      <c r="ET512" s="15"/>
      <c r="EU512" s="15"/>
      <c r="EV512" s="15"/>
      <c r="EW512" s="15"/>
      <c r="EX512" s="15"/>
      <c r="EY512" s="15"/>
      <c r="EZ512" s="15"/>
      <c r="FA512" s="15"/>
      <c r="FB512" s="15"/>
      <c r="FC512" s="16" t="s">
        <v>197</v>
      </c>
      <c r="FD512" s="17" t="s">
        <v>198</v>
      </c>
      <c r="FE512" s="18">
        <v>45706.38832175926</v>
      </c>
      <c r="FF512" s="19"/>
      <c r="FG512" s="19"/>
      <c r="FH512" s="21" t="s">
        <v>197</v>
      </c>
      <c r="FI512" s="17" t="s">
        <v>214</v>
      </c>
      <c r="FJ512" s="18">
        <v>45706.38832175926</v>
      </c>
      <c r="FK512" s="14" t="s">
        <v>12234</v>
      </c>
      <c r="FL512" s="14" t="s">
        <v>12235</v>
      </c>
      <c r="FM512" s="14" t="s">
        <v>12236</v>
      </c>
      <c r="FN512" s="19"/>
      <c r="FO512" s="19"/>
      <c r="FP512" s="19" t="str">
        <f t="shared" si="1"/>
        <v>Base de Dados_Images/MG8101B.Imagem do Equipamento-.134012.jpg</v>
      </c>
      <c r="FQ512" s="14"/>
      <c r="FR512" s="14"/>
    </row>
    <row r="513" ht="15.75" customHeight="1">
      <c r="A513" s="12" t="s">
        <v>292</v>
      </c>
      <c r="B513" s="12" t="s">
        <v>6546</v>
      </c>
      <c r="C513" s="24" t="s">
        <v>294</v>
      </c>
      <c r="D513" s="22" t="s">
        <v>12237</v>
      </c>
      <c r="E513" s="22" t="s">
        <v>12238</v>
      </c>
      <c r="F513" s="13" t="s">
        <v>178</v>
      </c>
      <c r="G513" s="14" t="s">
        <v>179</v>
      </c>
      <c r="H513" s="14" t="s">
        <v>12239</v>
      </c>
      <c r="I513" s="14" t="s">
        <v>179</v>
      </c>
      <c r="J513" s="14" t="s">
        <v>12240</v>
      </c>
      <c r="K513" s="14" t="s">
        <v>179</v>
      </c>
      <c r="L513" s="14" t="s">
        <v>12241</v>
      </c>
      <c r="M513" s="14" t="s">
        <v>179</v>
      </c>
      <c r="N513" s="14" t="s">
        <v>12242</v>
      </c>
      <c r="O513" s="14" t="s">
        <v>179</v>
      </c>
      <c r="P513" s="14" t="s">
        <v>12243</v>
      </c>
      <c r="Q513" s="14" t="s">
        <v>179</v>
      </c>
      <c r="R513" s="14" t="s">
        <v>12244</v>
      </c>
      <c r="S513" s="14" t="s">
        <v>179</v>
      </c>
      <c r="T513" s="14" t="s">
        <v>12245</v>
      </c>
      <c r="U513" s="14" t="s">
        <v>179</v>
      </c>
      <c r="V513" s="14" t="s">
        <v>12246</v>
      </c>
      <c r="W513" s="14" t="s">
        <v>179</v>
      </c>
      <c r="X513" s="14" t="s">
        <v>12247</v>
      </c>
      <c r="Y513" s="14" t="s">
        <v>179</v>
      </c>
      <c r="Z513" s="14" t="s">
        <v>12248</v>
      </c>
      <c r="AA513" s="14" t="s">
        <v>179</v>
      </c>
      <c r="AB513" s="14" t="s">
        <v>12249</v>
      </c>
      <c r="AC513" s="14" t="s">
        <v>179</v>
      </c>
      <c r="AD513" s="14" t="s">
        <v>12250</v>
      </c>
      <c r="AE513" s="14" t="s">
        <v>179</v>
      </c>
      <c r="AF513" s="14" t="s">
        <v>12251</v>
      </c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6" t="s">
        <v>197</v>
      </c>
      <c r="BP513" s="17" t="s">
        <v>198</v>
      </c>
      <c r="BQ513" s="18">
        <v>45686.54864583333</v>
      </c>
      <c r="BR513" s="17" t="s">
        <v>198</v>
      </c>
      <c r="BS513" s="18">
        <v>45686.54849537037</v>
      </c>
      <c r="BT513" s="17" t="s">
        <v>198</v>
      </c>
      <c r="BU513" s="18">
        <v>45686.54864583333</v>
      </c>
      <c r="BV513" s="13" t="s">
        <v>199</v>
      </c>
      <c r="BW513" s="14" t="s">
        <v>179</v>
      </c>
      <c r="BX513" s="14" t="s">
        <v>12252</v>
      </c>
      <c r="BY513" s="14" t="s">
        <v>179</v>
      </c>
      <c r="BZ513" s="14" t="s">
        <v>12253</v>
      </c>
      <c r="CA513" s="14" t="s">
        <v>179</v>
      </c>
      <c r="CB513" s="14" t="s">
        <v>12254</v>
      </c>
      <c r="CC513" s="14" t="s">
        <v>179</v>
      </c>
      <c r="CD513" s="14" t="s">
        <v>12255</v>
      </c>
      <c r="CE513" s="15"/>
      <c r="CF513" s="15"/>
      <c r="CG513" s="19"/>
      <c r="CH513" s="15"/>
      <c r="CI513" s="19"/>
      <c r="CJ513" s="15"/>
      <c r="CK513" s="19"/>
      <c r="CL513" s="15"/>
      <c r="CM513" s="19"/>
      <c r="CN513" s="15"/>
      <c r="CO513" s="19"/>
      <c r="CP513" s="15"/>
      <c r="CQ513" s="15"/>
      <c r="CR513" s="15"/>
      <c r="CS513" s="19"/>
      <c r="CT513" s="15"/>
      <c r="CU513" s="19"/>
      <c r="CV513" s="15"/>
      <c r="CW513" s="19"/>
      <c r="CX513" s="15"/>
      <c r="CY513" s="19"/>
      <c r="CZ513" s="15"/>
      <c r="DA513" s="16" t="s">
        <v>197</v>
      </c>
      <c r="DB513" s="17" t="s">
        <v>198</v>
      </c>
      <c r="DC513" s="20">
        <v>45719.55784722222</v>
      </c>
      <c r="DD513" s="17" t="s">
        <v>198</v>
      </c>
      <c r="DE513" s="18">
        <v>45719.55787037037</v>
      </c>
      <c r="DF513" s="17" t="s">
        <v>198</v>
      </c>
      <c r="DG513" s="18">
        <v>45719.55787037037</v>
      </c>
      <c r="DH513" s="13" t="s">
        <v>205</v>
      </c>
      <c r="DI513" s="14" t="s">
        <v>179</v>
      </c>
      <c r="DJ513" s="14" t="s">
        <v>12256</v>
      </c>
      <c r="DK513" s="14" t="s">
        <v>179</v>
      </c>
      <c r="DL513" s="14" t="s">
        <v>12257</v>
      </c>
      <c r="DM513" s="14" t="s">
        <v>179</v>
      </c>
      <c r="DN513" s="14" t="s">
        <v>12258</v>
      </c>
      <c r="DO513" s="14" t="s">
        <v>179</v>
      </c>
      <c r="DP513" s="14" t="s">
        <v>12259</v>
      </c>
      <c r="DQ513" s="14" t="s">
        <v>179</v>
      </c>
      <c r="DR513" s="14" t="s">
        <v>12260</v>
      </c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6" t="s">
        <v>197</v>
      </c>
      <c r="ED513" s="17" t="s">
        <v>198</v>
      </c>
      <c r="EE513" s="18">
        <v>45722.49167824074</v>
      </c>
      <c r="EF513" s="13" t="s">
        <v>209</v>
      </c>
      <c r="EG513" s="14" t="s">
        <v>179</v>
      </c>
      <c r="EH513" s="14" t="s">
        <v>12261</v>
      </c>
      <c r="EI513" s="14" t="s">
        <v>179</v>
      </c>
      <c r="EJ513" s="14" t="s">
        <v>12262</v>
      </c>
      <c r="EK513" s="14" t="s">
        <v>179</v>
      </c>
      <c r="EL513" s="14" t="s">
        <v>12263</v>
      </c>
      <c r="EM513" s="14" t="s">
        <v>179</v>
      </c>
      <c r="EN513" s="14" t="s">
        <v>12264</v>
      </c>
      <c r="EO513" s="15"/>
      <c r="EP513" s="15"/>
      <c r="EQ513" s="15"/>
      <c r="ER513" s="15"/>
      <c r="ES513" s="15"/>
      <c r="ET513" s="15"/>
      <c r="EU513" s="15"/>
      <c r="EV513" s="15"/>
      <c r="EW513" s="15"/>
      <c r="EX513" s="15"/>
      <c r="EY513" s="15"/>
      <c r="EZ513" s="15"/>
      <c r="FA513" s="15"/>
      <c r="FB513" s="15"/>
      <c r="FC513" s="16" t="s">
        <v>197</v>
      </c>
      <c r="FD513" s="17" t="s">
        <v>198</v>
      </c>
      <c r="FE513" s="18">
        <v>45724.399930555555</v>
      </c>
      <c r="FF513" s="19"/>
      <c r="FG513" s="19"/>
      <c r="FH513" s="21" t="s">
        <v>197</v>
      </c>
      <c r="FI513" s="17" t="s">
        <v>214</v>
      </c>
      <c r="FJ513" s="18">
        <v>45724.399930555555</v>
      </c>
      <c r="FK513" s="14" t="s">
        <v>12264</v>
      </c>
      <c r="FL513" s="14" t="s">
        <v>12265</v>
      </c>
      <c r="FM513" s="14" t="s">
        <v>12266</v>
      </c>
      <c r="FN513" s="19"/>
      <c r="FO513" s="19"/>
      <c r="FP513" s="19" t="str">
        <f t="shared" si="1"/>
        <v>Base de Dados_Images/MX3002.Imagem do Equipamento-.172700.jpg</v>
      </c>
      <c r="FQ513" s="19"/>
      <c r="FR513" s="19"/>
    </row>
    <row r="514" ht="15.75" customHeight="1">
      <c r="A514" s="12" t="s">
        <v>292</v>
      </c>
      <c r="B514" s="12" t="s">
        <v>1942</v>
      </c>
      <c r="C514" s="24" t="s">
        <v>294</v>
      </c>
      <c r="D514" s="22" t="s">
        <v>12267</v>
      </c>
      <c r="E514" s="22" t="s">
        <v>12268</v>
      </c>
      <c r="F514" s="13" t="s">
        <v>178</v>
      </c>
      <c r="G514" s="14" t="s">
        <v>179</v>
      </c>
      <c r="H514" s="14" t="s">
        <v>12269</v>
      </c>
      <c r="I514" s="14" t="s">
        <v>179</v>
      </c>
      <c r="J514" s="14" t="s">
        <v>12270</v>
      </c>
      <c r="K514" s="14" t="s">
        <v>179</v>
      </c>
      <c r="L514" s="14" t="s">
        <v>12271</v>
      </c>
      <c r="M514" s="14" t="s">
        <v>179</v>
      </c>
      <c r="N514" s="14" t="s">
        <v>12272</v>
      </c>
      <c r="O514" s="14" t="s">
        <v>179</v>
      </c>
      <c r="P514" s="14" t="s">
        <v>12273</v>
      </c>
      <c r="Q514" s="14" t="s">
        <v>179</v>
      </c>
      <c r="R514" s="14" t="s">
        <v>12274</v>
      </c>
      <c r="S514" s="14" t="s">
        <v>179</v>
      </c>
      <c r="T514" s="14" t="s">
        <v>12275</v>
      </c>
      <c r="U514" s="14" t="s">
        <v>179</v>
      </c>
      <c r="V514" s="14" t="s">
        <v>12276</v>
      </c>
      <c r="W514" s="14" t="s">
        <v>179</v>
      </c>
      <c r="X514" s="14" t="s">
        <v>12277</v>
      </c>
      <c r="Y514" s="14" t="s">
        <v>179</v>
      </c>
      <c r="Z514" s="14" t="s">
        <v>12278</v>
      </c>
      <c r="AA514" s="14" t="s">
        <v>179</v>
      </c>
      <c r="AB514" s="14" t="s">
        <v>12279</v>
      </c>
      <c r="AC514" s="14" t="s">
        <v>179</v>
      </c>
      <c r="AD514" s="14" t="s">
        <v>12280</v>
      </c>
      <c r="AE514" s="14" t="s">
        <v>179</v>
      </c>
      <c r="AF514" s="14" t="s">
        <v>12281</v>
      </c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6" t="s">
        <v>197</v>
      </c>
      <c r="BP514" s="17" t="s">
        <v>198</v>
      </c>
      <c r="BQ514" s="18">
        <v>45688.484872685185</v>
      </c>
      <c r="BR514" s="17" t="s">
        <v>198</v>
      </c>
      <c r="BS514" s="18">
        <v>45688.48475694445</v>
      </c>
      <c r="BT514" s="17" t="s">
        <v>198</v>
      </c>
      <c r="BU514" s="18">
        <v>45688.484872685185</v>
      </c>
      <c r="BV514" s="13" t="s">
        <v>199</v>
      </c>
      <c r="BW514" s="14" t="s">
        <v>179</v>
      </c>
      <c r="BX514" s="14" t="s">
        <v>12282</v>
      </c>
      <c r="BY514" s="14" t="s">
        <v>179</v>
      </c>
      <c r="BZ514" s="14" t="s">
        <v>12283</v>
      </c>
      <c r="CA514" s="14" t="s">
        <v>179</v>
      </c>
      <c r="CB514" s="14" t="s">
        <v>12284</v>
      </c>
      <c r="CC514" s="14" t="s">
        <v>179</v>
      </c>
      <c r="CD514" s="14" t="s">
        <v>12285</v>
      </c>
      <c r="CE514" s="15"/>
      <c r="CF514" s="15"/>
      <c r="CG514" s="19"/>
      <c r="CH514" s="15"/>
      <c r="CI514" s="19"/>
      <c r="CJ514" s="15"/>
      <c r="CK514" s="19"/>
      <c r="CL514" s="15"/>
      <c r="CM514" s="19"/>
      <c r="CN514" s="15"/>
      <c r="CO514" s="19"/>
      <c r="CP514" s="15"/>
      <c r="CQ514" s="15"/>
      <c r="CR514" s="15"/>
      <c r="CS514" s="19"/>
      <c r="CT514" s="15"/>
      <c r="CU514" s="19"/>
      <c r="CV514" s="15"/>
      <c r="CW514" s="19"/>
      <c r="CX514" s="15"/>
      <c r="CY514" s="19"/>
      <c r="CZ514" s="15"/>
      <c r="DA514" s="16" t="s">
        <v>197</v>
      </c>
      <c r="DB514" s="17" t="s">
        <v>198</v>
      </c>
      <c r="DC514" s="20">
        <v>45694.43770833333</v>
      </c>
      <c r="DD514" s="17" t="s">
        <v>198</v>
      </c>
      <c r="DE514" s="18">
        <v>45703.35527777778</v>
      </c>
      <c r="DF514" s="17" t="s">
        <v>198</v>
      </c>
      <c r="DG514" s="18">
        <v>45703.35527777778</v>
      </c>
      <c r="DH514" s="13" t="s">
        <v>205</v>
      </c>
      <c r="DI514" s="14" t="s">
        <v>179</v>
      </c>
      <c r="DJ514" s="14" t="s">
        <v>12286</v>
      </c>
      <c r="DK514" s="14" t="s">
        <v>179</v>
      </c>
      <c r="DL514" s="14" t="s">
        <v>12287</v>
      </c>
      <c r="DM514" s="14" t="s">
        <v>179</v>
      </c>
      <c r="DN514" s="14" t="s">
        <v>12288</v>
      </c>
      <c r="DO514" s="14" t="s">
        <v>179</v>
      </c>
      <c r="DP514" s="14" t="s">
        <v>12289</v>
      </c>
      <c r="DQ514" s="14" t="s">
        <v>179</v>
      </c>
      <c r="DR514" s="14" t="s">
        <v>12290</v>
      </c>
      <c r="DS514" s="15"/>
      <c r="DT514" s="15"/>
      <c r="DU514" s="15"/>
      <c r="DV514" s="15"/>
      <c r="DW514" s="15"/>
      <c r="DX514" s="15"/>
      <c r="DY514" s="15"/>
      <c r="DZ514" s="15"/>
      <c r="EA514" s="15"/>
      <c r="EB514" s="15"/>
      <c r="EC514" s="16" t="s">
        <v>197</v>
      </c>
      <c r="ED514" s="17" t="s">
        <v>198</v>
      </c>
      <c r="EE514" s="18">
        <v>45722.37253472222</v>
      </c>
      <c r="EF514" s="13" t="s">
        <v>209</v>
      </c>
      <c r="EG514" s="14" t="s">
        <v>179</v>
      </c>
      <c r="EH514" s="14" t="s">
        <v>12291</v>
      </c>
      <c r="EI514" s="14" t="s">
        <v>179</v>
      </c>
      <c r="EJ514" s="14" t="s">
        <v>12291</v>
      </c>
      <c r="EK514" s="14" t="s">
        <v>179</v>
      </c>
      <c r="EL514" s="14" t="s">
        <v>12292</v>
      </c>
      <c r="EM514" s="14" t="s">
        <v>179</v>
      </c>
      <c r="EN514" s="14" t="s">
        <v>12293</v>
      </c>
      <c r="EO514" s="15"/>
      <c r="EP514" s="15"/>
      <c r="EQ514" s="15"/>
      <c r="ER514" s="15"/>
      <c r="ES514" s="15"/>
      <c r="ET514" s="15"/>
      <c r="EU514" s="15"/>
      <c r="EV514" s="15"/>
      <c r="EW514" s="15"/>
      <c r="EX514" s="15"/>
      <c r="EY514" s="15"/>
      <c r="EZ514" s="15"/>
      <c r="FA514" s="15"/>
      <c r="FB514" s="15"/>
      <c r="FC514" s="16" t="s">
        <v>197</v>
      </c>
      <c r="FD514" s="17" t="s">
        <v>198</v>
      </c>
      <c r="FE514" s="18">
        <v>45723.30667824074</v>
      </c>
      <c r="FF514" s="19"/>
      <c r="FG514" s="19"/>
      <c r="FH514" s="21" t="s">
        <v>197</v>
      </c>
      <c r="FI514" s="17" t="s">
        <v>214</v>
      </c>
      <c r="FJ514" s="18">
        <v>45723.30667824074</v>
      </c>
      <c r="FK514" s="14" t="s">
        <v>12293</v>
      </c>
      <c r="FL514" s="14" t="s">
        <v>12294</v>
      </c>
      <c r="FM514" s="14" t="s">
        <v>12295</v>
      </c>
      <c r="FN514" s="14" t="s">
        <v>12296</v>
      </c>
      <c r="FO514" s="14" t="s">
        <v>12297</v>
      </c>
      <c r="FP514" s="19" t="str">
        <f t="shared" si="1"/>
        <v>Base de Dados_Images/MX3201.Imagem do Equipamento-.155328.jpg</v>
      </c>
      <c r="FQ514" s="19"/>
      <c r="FR514" s="19"/>
    </row>
    <row r="515" ht="15.75" customHeight="1">
      <c r="A515" s="12" t="s">
        <v>292</v>
      </c>
      <c r="B515" s="12" t="s">
        <v>6678</v>
      </c>
      <c r="C515" s="24" t="s">
        <v>294</v>
      </c>
      <c r="D515" s="22" t="s">
        <v>12298</v>
      </c>
      <c r="E515" s="22" t="s">
        <v>12299</v>
      </c>
      <c r="F515" s="13" t="s">
        <v>178</v>
      </c>
      <c r="G515" s="14" t="s">
        <v>179</v>
      </c>
      <c r="H515" s="14" t="s">
        <v>12300</v>
      </c>
      <c r="I515" s="14" t="s">
        <v>179</v>
      </c>
      <c r="J515" s="14" t="s">
        <v>12301</v>
      </c>
      <c r="K515" s="14" t="s">
        <v>179</v>
      </c>
      <c r="L515" s="14" t="s">
        <v>12302</v>
      </c>
      <c r="M515" s="14" t="s">
        <v>179</v>
      </c>
      <c r="N515" s="14" t="s">
        <v>12303</v>
      </c>
      <c r="O515" s="14" t="s">
        <v>179</v>
      </c>
      <c r="P515" s="14" t="s">
        <v>12304</v>
      </c>
      <c r="Q515" s="14" t="s">
        <v>179</v>
      </c>
      <c r="R515" s="14" t="s">
        <v>12305</v>
      </c>
      <c r="S515" s="14" t="s">
        <v>179</v>
      </c>
      <c r="T515" s="14" t="s">
        <v>12306</v>
      </c>
      <c r="U515" s="14" t="s">
        <v>179</v>
      </c>
      <c r="V515" s="14" t="s">
        <v>12307</v>
      </c>
      <c r="W515" s="14" t="s">
        <v>179</v>
      </c>
      <c r="X515" s="14" t="s">
        <v>12308</v>
      </c>
      <c r="Y515" s="14" t="s">
        <v>179</v>
      </c>
      <c r="Z515" s="14" t="s">
        <v>12309</v>
      </c>
      <c r="AA515" s="14" t="s">
        <v>179</v>
      </c>
      <c r="AB515" s="14" t="s">
        <v>12310</v>
      </c>
      <c r="AC515" s="14" t="s">
        <v>179</v>
      </c>
      <c r="AD515" s="14" t="s">
        <v>12311</v>
      </c>
      <c r="AE515" s="14" t="s">
        <v>179</v>
      </c>
      <c r="AF515" s="14" t="s">
        <v>12312</v>
      </c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6" t="s">
        <v>197</v>
      </c>
      <c r="BP515" s="17" t="s">
        <v>198</v>
      </c>
      <c r="BQ515" s="18">
        <v>45688.48292824074</v>
      </c>
      <c r="BR515" s="17" t="s">
        <v>198</v>
      </c>
      <c r="BS515" s="18">
        <v>45688.48275462963</v>
      </c>
      <c r="BT515" s="17" t="s">
        <v>198</v>
      </c>
      <c r="BU515" s="18">
        <v>45688.48292824074</v>
      </c>
      <c r="BV515" s="13" t="s">
        <v>199</v>
      </c>
      <c r="BW515" s="14" t="s">
        <v>179</v>
      </c>
      <c r="BX515" s="14" t="s">
        <v>12313</v>
      </c>
      <c r="BY515" s="14" t="s">
        <v>179</v>
      </c>
      <c r="BZ515" s="14" t="s">
        <v>12314</v>
      </c>
      <c r="CA515" s="14" t="s">
        <v>179</v>
      </c>
      <c r="CB515" s="14" t="s">
        <v>12314</v>
      </c>
      <c r="CC515" s="14" t="s">
        <v>179</v>
      </c>
      <c r="CD515" s="14" t="s">
        <v>12315</v>
      </c>
      <c r="CE515" s="15"/>
      <c r="CF515" s="15"/>
      <c r="CG515" s="19"/>
      <c r="CH515" s="15"/>
      <c r="CI515" s="19"/>
      <c r="CJ515" s="15"/>
      <c r="CK515" s="19"/>
      <c r="CL515" s="15"/>
      <c r="CM515" s="19"/>
      <c r="CN515" s="15"/>
      <c r="CO515" s="19"/>
      <c r="CP515" s="15"/>
      <c r="CQ515" s="15"/>
      <c r="CR515" s="15"/>
      <c r="CS515" s="19"/>
      <c r="CT515" s="15"/>
      <c r="CU515" s="19"/>
      <c r="CV515" s="15"/>
      <c r="CW515" s="19"/>
      <c r="CX515" s="15"/>
      <c r="CY515" s="19"/>
      <c r="CZ515" s="15"/>
      <c r="DA515" s="16" t="s">
        <v>197</v>
      </c>
      <c r="DB515" s="17" t="s">
        <v>198</v>
      </c>
      <c r="DC515" s="20">
        <v>45705.65375</v>
      </c>
      <c r="DD515" s="17" t="s">
        <v>198</v>
      </c>
      <c r="DE515" s="18">
        <v>45705.65378472222</v>
      </c>
      <c r="DF515" s="17" t="s">
        <v>198</v>
      </c>
      <c r="DG515" s="18">
        <v>45705.65378472222</v>
      </c>
      <c r="DH515" s="13" t="s">
        <v>205</v>
      </c>
      <c r="DI515" s="14" t="s">
        <v>179</v>
      </c>
      <c r="DJ515" s="14" t="s">
        <v>12316</v>
      </c>
      <c r="DK515" s="14" t="s">
        <v>179</v>
      </c>
      <c r="DL515" s="14" t="s">
        <v>12317</v>
      </c>
      <c r="DM515" s="14" t="s">
        <v>179</v>
      </c>
      <c r="DN515" s="14" t="s">
        <v>12317</v>
      </c>
      <c r="DO515" s="14" t="s">
        <v>179</v>
      </c>
      <c r="DP515" s="14" t="s">
        <v>12318</v>
      </c>
      <c r="DQ515" s="14" t="s">
        <v>179</v>
      </c>
      <c r="DR515" s="14" t="s">
        <v>12318</v>
      </c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6" t="s">
        <v>197</v>
      </c>
      <c r="ED515" s="17" t="s">
        <v>198</v>
      </c>
      <c r="EE515" s="18">
        <v>45722.37357638889</v>
      </c>
      <c r="EF515" s="13" t="s">
        <v>209</v>
      </c>
      <c r="EG515" s="14" t="s">
        <v>179</v>
      </c>
      <c r="EH515" s="14" t="s">
        <v>12319</v>
      </c>
      <c r="EI515" s="14" t="s">
        <v>179</v>
      </c>
      <c r="EJ515" s="14" t="s">
        <v>12320</v>
      </c>
      <c r="EK515" s="14" t="s">
        <v>179</v>
      </c>
      <c r="EL515" s="14" t="s">
        <v>12320</v>
      </c>
      <c r="EM515" s="14" t="s">
        <v>179</v>
      </c>
      <c r="EN515" s="14" t="s">
        <v>12321</v>
      </c>
      <c r="EO515" s="15"/>
      <c r="EP515" s="15"/>
      <c r="EQ515" s="15"/>
      <c r="ER515" s="15"/>
      <c r="ES515" s="15"/>
      <c r="ET515" s="15"/>
      <c r="EU515" s="15"/>
      <c r="EV515" s="15"/>
      <c r="EW515" s="15"/>
      <c r="EX515" s="15"/>
      <c r="EY515" s="15"/>
      <c r="EZ515" s="15"/>
      <c r="FA515" s="15"/>
      <c r="FB515" s="15"/>
      <c r="FC515" s="16" t="s">
        <v>197</v>
      </c>
      <c r="FD515" s="17" t="s">
        <v>198</v>
      </c>
      <c r="FE515" s="18">
        <v>45723.33458333334</v>
      </c>
      <c r="FF515" s="19"/>
      <c r="FG515" s="19"/>
      <c r="FH515" s="21" t="s">
        <v>197</v>
      </c>
      <c r="FI515" s="17" t="s">
        <v>214</v>
      </c>
      <c r="FJ515" s="18">
        <v>45723.33458333334</v>
      </c>
      <c r="FK515" s="14" t="s">
        <v>12321</v>
      </c>
      <c r="FL515" s="14" t="s">
        <v>12322</v>
      </c>
      <c r="FM515" s="14" t="s">
        <v>12323</v>
      </c>
      <c r="FN515" s="19"/>
      <c r="FO515" s="19"/>
      <c r="FP515" s="19" t="str">
        <f t="shared" si="1"/>
        <v>Base de Dados_Images/MX3202.Imagem do Equipamento-.154930.jpg</v>
      </c>
      <c r="FQ515" s="19"/>
      <c r="FR515" s="19"/>
    </row>
    <row r="516" ht="15.75" customHeight="1">
      <c r="A516" s="12" t="s">
        <v>292</v>
      </c>
      <c r="B516" s="12" t="s">
        <v>6644</v>
      </c>
      <c r="C516" s="24" t="s">
        <v>294</v>
      </c>
      <c r="D516" s="22" t="s">
        <v>12324</v>
      </c>
      <c r="E516" s="22" t="s">
        <v>12325</v>
      </c>
      <c r="F516" s="13" t="s">
        <v>178</v>
      </c>
      <c r="G516" s="14" t="s">
        <v>179</v>
      </c>
      <c r="H516" s="14" t="s">
        <v>12326</v>
      </c>
      <c r="I516" s="14" t="s">
        <v>179</v>
      </c>
      <c r="J516" s="14" t="s">
        <v>12327</v>
      </c>
      <c r="K516" s="14" t="s">
        <v>179</v>
      </c>
      <c r="L516" s="14" t="s">
        <v>12328</v>
      </c>
      <c r="M516" s="14" t="s">
        <v>179</v>
      </c>
      <c r="N516" s="14" t="s">
        <v>12329</v>
      </c>
      <c r="O516" s="14" t="s">
        <v>179</v>
      </c>
      <c r="P516" s="14" t="s">
        <v>12330</v>
      </c>
      <c r="Q516" s="14" t="s">
        <v>179</v>
      </c>
      <c r="R516" s="14" t="s">
        <v>12331</v>
      </c>
      <c r="S516" s="14" t="s">
        <v>179</v>
      </c>
      <c r="T516" s="14" t="s">
        <v>12332</v>
      </c>
      <c r="U516" s="14" t="s">
        <v>179</v>
      </c>
      <c r="V516" s="14" t="s">
        <v>12333</v>
      </c>
      <c r="W516" s="14" t="s">
        <v>179</v>
      </c>
      <c r="X516" s="14" t="s">
        <v>12334</v>
      </c>
      <c r="Y516" s="14" t="s">
        <v>179</v>
      </c>
      <c r="Z516" s="14" t="s">
        <v>12335</v>
      </c>
      <c r="AA516" s="14" t="s">
        <v>179</v>
      </c>
      <c r="AB516" s="14" t="s">
        <v>12336</v>
      </c>
      <c r="AC516" s="14" t="s">
        <v>179</v>
      </c>
      <c r="AD516" s="14" t="s">
        <v>12337</v>
      </c>
      <c r="AE516" s="14" t="s">
        <v>179</v>
      </c>
      <c r="AF516" s="14" t="s">
        <v>12338</v>
      </c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6" t="s">
        <v>197</v>
      </c>
      <c r="BP516" s="17" t="s">
        <v>198</v>
      </c>
      <c r="BQ516" s="18">
        <v>45688.482083333336</v>
      </c>
      <c r="BR516" s="17" t="s">
        <v>198</v>
      </c>
      <c r="BS516" s="18">
        <v>45688.48197916667</v>
      </c>
      <c r="BT516" s="17" t="s">
        <v>198</v>
      </c>
      <c r="BU516" s="18">
        <v>45688.482083333336</v>
      </c>
      <c r="BV516" s="13" t="s">
        <v>199</v>
      </c>
      <c r="BW516" s="14" t="s">
        <v>179</v>
      </c>
      <c r="BX516" s="14" t="s">
        <v>12339</v>
      </c>
      <c r="BY516" s="14" t="s">
        <v>179</v>
      </c>
      <c r="BZ516" s="14" t="s">
        <v>12340</v>
      </c>
      <c r="CA516" s="14" t="s">
        <v>179</v>
      </c>
      <c r="CB516" s="14" t="s">
        <v>12341</v>
      </c>
      <c r="CC516" s="14" t="s">
        <v>188</v>
      </c>
      <c r="CD516" s="14" t="s">
        <v>12342</v>
      </c>
      <c r="CE516" s="15"/>
      <c r="CF516" s="15"/>
      <c r="CG516" s="19"/>
      <c r="CH516" s="15"/>
      <c r="CI516" s="19"/>
      <c r="CJ516" s="15"/>
      <c r="CK516" s="19"/>
      <c r="CL516" s="15"/>
      <c r="CM516" s="19"/>
      <c r="CN516" s="15"/>
      <c r="CO516" s="19"/>
      <c r="CP516" s="15"/>
      <c r="CQ516" s="15"/>
      <c r="CR516" s="15"/>
      <c r="CS516" s="19"/>
      <c r="CT516" s="15"/>
      <c r="CU516" s="19"/>
      <c r="CV516" s="15"/>
      <c r="CW516" s="19"/>
      <c r="CX516" s="15"/>
      <c r="CY516" s="19"/>
      <c r="CZ516" s="15"/>
      <c r="DA516" s="16" t="s">
        <v>197</v>
      </c>
      <c r="DB516" s="17" t="s">
        <v>198</v>
      </c>
      <c r="DC516" s="20">
        <v>45696.34204861111</v>
      </c>
      <c r="DD516" s="17" t="s">
        <v>198</v>
      </c>
      <c r="DE516" s="18">
        <v>45696.34211805555</v>
      </c>
      <c r="DF516" s="17" t="s">
        <v>198</v>
      </c>
      <c r="DG516" s="18">
        <v>45696.34211805555</v>
      </c>
      <c r="DH516" s="13" t="s">
        <v>205</v>
      </c>
      <c r="DI516" s="14" t="s">
        <v>179</v>
      </c>
      <c r="DJ516" s="14" t="s">
        <v>12343</v>
      </c>
      <c r="DK516" s="14" t="s">
        <v>179</v>
      </c>
      <c r="DL516" s="14" t="s">
        <v>12344</v>
      </c>
      <c r="DM516" s="14" t="s">
        <v>179</v>
      </c>
      <c r="DN516" s="14" t="s">
        <v>12345</v>
      </c>
      <c r="DO516" s="14" t="s">
        <v>179</v>
      </c>
      <c r="DP516" s="14" t="s">
        <v>12346</v>
      </c>
      <c r="DQ516" s="14" t="s">
        <v>179</v>
      </c>
      <c r="DR516" s="14" t="s">
        <v>12347</v>
      </c>
      <c r="DS516" s="15"/>
      <c r="DT516" s="15"/>
      <c r="DU516" s="15"/>
      <c r="DV516" s="15"/>
      <c r="DW516" s="15"/>
      <c r="DX516" s="15"/>
      <c r="DY516" s="15"/>
      <c r="DZ516" s="15"/>
      <c r="EA516" s="15"/>
      <c r="EB516" s="15"/>
      <c r="EC516" s="16" t="s">
        <v>197</v>
      </c>
      <c r="ED516" s="17" t="s">
        <v>198</v>
      </c>
      <c r="EE516" s="18">
        <v>45696.34229166667</v>
      </c>
      <c r="EF516" s="13" t="s">
        <v>209</v>
      </c>
      <c r="EG516" s="14" t="s">
        <v>179</v>
      </c>
      <c r="EH516" s="14" t="s">
        <v>12348</v>
      </c>
      <c r="EI516" s="14" t="s">
        <v>179</v>
      </c>
      <c r="EJ516" s="14" t="s">
        <v>12349</v>
      </c>
      <c r="EK516" s="14" t="s">
        <v>179</v>
      </c>
      <c r="EL516" s="14" t="s">
        <v>12350</v>
      </c>
      <c r="EM516" s="14" t="s">
        <v>179</v>
      </c>
      <c r="EN516" s="14" t="s">
        <v>12351</v>
      </c>
      <c r="EO516" s="15"/>
      <c r="EP516" s="15"/>
      <c r="EQ516" s="15"/>
      <c r="ER516" s="15"/>
      <c r="ES516" s="15"/>
      <c r="ET516" s="15"/>
      <c r="EU516" s="15"/>
      <c r="EV516" s="15"/>
      <c r="EW516" s="15"/>
      <c r="EX516" s="15"/>
      <c r="EY516" s="15"/>
      <c r="EZ516" s="15"/>
      <c r="FA516" s="15"/>
      <c r="FB516" s="15"/>
      <c r="FC516" s="16" t="s">
        <v>197</v>
      </c>
      <c r="FD516" s="17" t="s">
        <v>198</v>
      </c>
      <c r="FE516" s="18">
        <v>45723.30320601852</v>
      </c>
      <c r="FF516" s="19"/>
      <c r="FG516" s="19"/>
      <c r="FH516" s="21" t="s">
        <v>197</v>
      </c>
      <c r="FI516" s="17" t="s">
        <v>214</v>
      </c>
      <c r="FJ516" s="18">
        <v>45723.30320601852</v>
      </c>
      <c r="FK516" s="14" t="s">
        <v>12352</v>
      </c>
      <c r="FL516" s="14" t="s">
        <v>12353</v>
      </c>
      <c r="FM516" s="14" t="s">
        <v>12354</v>
      </c>
      <c r="FN516" s="19"/>
      <c r="FO516" s="19"/>
      <c r="FP516" s="19" t="str">
        <f t="shared" si="1"/>
        <v>Base de Dados_Images/MX3204.Imagem do Equipamento-.154917.jpg</v>
      </c>
      <c r="FQ516" s="19"/>
      <c r="FR516" s="19"/>
    </row>
    <row r="517" ht="15.75" customHeight="1">
      <c r="A517" s="12" t="s">
        <v>217</v>
      </c>
      <c r="B517" s="12" t="s">
        <v>11453</v>
      </c>
      <c r="C517" s="24" t="s">
        <v>294</v>
      </c>
      <c r="D517" s="22" t="s">
        <v>12355</v>
      </c>
      <c r="E517" s="22" t="s">
        <v>12356</v>
      </c>
      <c r="F517" s="13" t="s">
        <v>178</v>
      </c>
      <c r="G517" s="14" t="s">
        <v>179</v>
      </c>
      <c r="H517" s="14" t="s">
        <v>12357</v>
      </c>
      <c r="I517" s="14" t="s">
        <v>179</v>
      </c>
      <c r="J517" s="14" t="s">
        <v>12358</v>
      </c>
      <c r="K517" s="14" t="s">
        <v>179</v>
      </c>
      <c r="L517" s="14" t="s">
        <v>12359</v>
      </c>
      <c r="M517" s="14" t="s">
        <v>179</v>
      </c>
      <c r="N517" s="14" t="s">
        <v>12360</v>
      </c>
      <c r="O517" s="14" t="s">
        <v>179</v>
      </c>
      <c r="P517" s="14" t="s">
        <v>12361</v>
      </c>
      <c r="Q517" s="14" t="s">
        <v>179</v>
      </c>
      <c r="R517" s="14" t="s">
        <v>12362</v>
      </c>
      <c r="S517" s="14" t="s">
        <v>179</v>
      </c>
      <c r="T517" s="14" t="s">
        <v>12363</v>
      </c>
      <c r="U517" s="14" t="s">
        <v>179</v>
      </c>
      <c r="V517" s="14" t="s">
        <v>12364</v>
      </c>
      <c r="W517" s="14" t="s">
        <v>179</v>
      </c>
      <c r="X517" s="14" t="s">
        <v>12365</v>
      </c>
      <c r="Y517" s="14" t="s">
        <v>179</v>
      </c>
      <c r="Z517" s="14" t="s">
        <v>12366</v>
      </c>
      <c r="AA517" s="14" t="s">
        <v>188</v>
      </c>
      <c r="AB517" s="14" t="s">
        <v>12367</v>
      </c>
      <c r="AC517" s="14" t="s">
        <v>179</v>
      </c>
      <c r="AD517" s="14" t="s">
        <v>12368</v>
      </c>
      <c r="AE517" s="14" t="s">
        <v>179</v>
      </c>
      <c r="AF517" s="14" t="s">
        <v>12369</v>
      </c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6" t="s">
        <v>197</v>
      </c>
      <c r="BP517" s="17" t="s">
        <v>198</v>
      </c>
      <c r="BQ517" s="18">
        <v>45684.467673611114</v>
      </c>
      <c r="BR517" s="17" t="s">
        <v>198</v>
      </c>
      <c r="BS517" s="18">
        <v>45687.36934027778</v>
      </c>
      <c r="BT517" s="17" t="s">
        <v>198</v>
      </c>
      <c r="BU517" s="18">
        <v>45687.36934027778</v>
      </c>
      <c r="BV517" s="13" t="s">
        <v>199</v>
      </c>
      <c r="BW517" s="14" t="s">
        <v>179</v>
      </c>
      <c r="BX517" s="14" t="s">
        <v>12370</v>
      </c>
      <c r="BY517" s="14" t="s">
        <v>179</v>
      </c>
      <c r="BZ517" s="14" t="s">
        <v>12371</v>
      </c>
      <c r="CA517" s="14" t="s">
        <v>179</v>
      </c>
      <c r="CB517" s="14" t="s">
        <v>12372</v>
      </c>
      <c r="CC517" s="14" t="s">
        <v>179</v>
      </c>
      <c r="CD517" s="14" t="s">
        <v>12373</v>
      </c>
      <c r="CE517" s="15"/>
      <c r="CF517" s="15"/>
      <c r="CG517" s="19"/>
      <c r="CH517" s="15"/>
      <c r="CI517" s="19"/>
      <c r="CJ517" s="15"/>
      <c r="CK517" s="19"/>
      <c r="CL517" s="15"/>
      <c r="CM517" s="19"/>
      <c r="CN517" s="15"/>
      <c r="CO517" s="19"/>
      <c r="CP517" s="15"/>
      <c r="CQ517" s="15"/>
      <c r="CR517" s="15"/>
      <c r="CS517" s="19"/>
      <c r="CT517" s="15"/>
      <c r="CU517" s="19"/>
      <c r="CV517" s="15"/>
      <c r="CW517" s="19"/>
      <c r="CX517" s="15"/>
      <c r="CY517" s="19"/>
      <c r="CZ517" s="15"/>
      <c r="DA517" s="16" t="s">
        <v>197</v>
      </c>
      <c r="DB517" s="17" t="s">
        <v>198</v>
      </c>
      <c r="DC517" s="20">
        <v>45686.60690972222</v>
      </c>
      <c r="DD517" s="17" t="s">
        <v>198</v>
      </c>
      <c r="DE517" s="18">
        <v>45686.60696759259</v>
      </c>
      <c r="DF517" s="17" t="s">
        <v>198</v>
      </c>
      <c r="DG517" s="18">
        <v>45686.60696759259</v>
      </c>
      <c r="DH517" s="13" t="s">
        <v>205</v>
      </c>
      <c r="DI517" s="14" t="s">
        <v>179</v>
      </c>
      <c r="DJ517" s="14" t="s">
        <v>12374</v>
      </c>
      <c r="DK517" s="14" t="s">
        <v>179</v>
      </c>
      <c r="DL517" s="14" t="s">
        <v>12374</v>
      </c>
      <c r="DM517" s="14" t="s">
        <v>179</v>
      </c>
      <c r="DN517" s="14" t="s">
        <v>12375</v>
      </c>
      <c r="DO517" s="14" t="s">
        <v>179</v>
      </c>
      <c r="DP517" s="14" t="s">
        <v>12376</v>
      </c>
      <c r="DQ517" s="14" t="s">
        <v>179</v>
      </c>
      <c r="DR517" s="14" t="s">
        <v>12377</v>
      </c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6" t="s">
        <v>197</v>
      </c>
      <c r="ED517" s="17" t="s">
        <v>198</v>
      </c>
      <c r="EE517" s="18">
        <v>45723.3746875</v>
      </c>
      <c r="EF517" s="13" t="s">
        <v>209</v>
      </c>
      <c r="EG517" s="14" t="s">
        <v>179</v>
      </c>
      <c r="EH517" s="14" t="s">
        <v>12378</v>
      </c>
      <c r="EI517" s="14" t="s">
        <v>179</v>
      </c>
      <c r="EJ517" s="14" t="s">
        <v>12379</v>
      </c>
      <c r="EK517" s="14" t="s">
        <v>179</v>
      </c>
      <c r="EL517" s="14" t="s">
        <v>12380</v>
      </c>
      <c r="EM517" s="14" t="s">
        <v>179</v>
      </c>
      <c r="EN517" s="14" t="s">
        <v>12381</v>
      </c>
      <c r="EO517" s="15"/>
      <c r="EP517" s="15"/>
      <c r="EQ517" s="15"/>
      <c r="ER517" s="15"/>
      <c r="ES517" s="15"/>
      <c r="ET517" s="15"/>
      <c r="EU517" s="15"/>
      <c r="EV517" s="15"/>
      <c r="EW517" s="15"/>
      <c r="EX517" s="15"/>
      <c r="EY517" s="15"/>
      <c r="EZ517" s="15"/>
      <c r="FA517" s="15"/>
      <c r="FB517" s="15"/>
      <c r="FC517" s="16" t="s">
        <v>197</v>
      </c>
      <c r="FD517" s="17" t="s">
        <v>198</v>
      </c>
      <c r="FE517" s="18">
        <v>45723.374756944446</v>
      </c>
      <c r="FF517" s="19"/>
      <c r="FG517" s="19"/>
      <c r="FH517" s="21" t="s">
        <v>197</v>
      </c>
      <c r="FI517" s="17" t="s">
        <v>214</v>
      </c>
      <c r="FJ517" s="18">
        <v>45723.374756944446</v>
      </c>
      <c r="FK517" s="14" t="s">
        <v>12381</v>
      </c>
      <c r="FL517" s="14" t="s">
        <v>12382</v>
      </c>
      <c r="FM517" s="14" t="s">
        <v>12383</v>
      </c>
      <c r="FN517" s="14" t="s">
        <v>12384</v>
      </c>
      <c r="FO517" s="14" t="s">
        <v>12385</v>
      </c>
      <c r="FP517" s="19" t="str">
        <f t="shared" si="1"/>
        <v>Base de Dados_Images/MX4001.Imagem do Equipamento-.151626.jpg</v>
      </c>
      <c r="FQ517" s="19"/>
      <c r="FR517" s="19"/>
    </row>
    <row r="518" ht="15.75" customHeight="1">
      <c r="A518" s="12" t="s">
        <v>217</v>
      </c>
      <c r="B518" s="12" t="s">
        <v>2449</v>
      </c>
      <c r="C518" s="24" t="s">
        <v>294</v>
      </c>
      <c r="D518" s="22" t="s">
        <v>12386</v>
      </c>
      <c r="E518" s="22" t="s">
        <v>12387</v>
      </c>
      <c r="F518" s="13" t="s">
        <v>178</v>
      </c>
      <c r="G518" s="14" t="s">
        <v>179</v>
      </c>
      <c r="H518" s="14" t="s">
        <v>12388</v>
      </c>
      <c r="I518" s="14" t="s">
        <v>179</v>
      </c>
      <c r="J518" s="14" t="s">
        <v>12389</v>
      </c>
      <c r="K518" s="14" t="s">
        <v>179</v>
      </c>
      <c r="L518" s="14" t="s">
        <v>12390</v>
      </c>
      <c r="M518" s="14" t="s">
        <v>179</v>
      </c>
      <c r="N518" s="14" t="s">
        <v>12391</v>
      </c>
      <c r="O518" s="14" t="s">
        <v>179</v>
      </c>
      <c r="P518" s="14" t="s">
        <v>12392</v>
      </c>
      <c r="Q518" s="14" t="s">
        <v>179</v>
      </c>
      <c r="R518" s="14" t="s">
        <v>12393</v>
      </c>
      <c r="S518" s="14" t="s">
        <v>179</v>
      </c>
      <c r="T518" s="14" t="s">
        <v>12394</v>
      </c>
      <c r="U518" s="14" t="s">
        <v>179</v>
      </c>
      <c r="V518" s="14" t="s">
        <v>12395</v>
      </c>
      <c r="W518" s="14" t="s">
        <v>179</v>
      </c>
      <c r="X518" s="14" t="s">
        <v>12396</v>
      </c>
      <c r="Y518" s="14" t="s">
        <v>179</v>
      </c>
      <c r="Z518" s="14" t="s">
        <v>12397</v>
      </c>
      <c r="AA518" s="14" t="s">
        <v>188</v>
      </c>
      <c r="AB518" s="14" t="s">
        <v>12398</v>
      </c>
      <c r="AC518" s="14" t="s">
        <v>179</v>
      </c>
      <c r="AD518" s="14" t="s">
        <v>12399</v>
      </c>
      <c r="AE518" s="14" t="s">
        <v>179</v>
      </c>
      <c r="AF518" s="14" t="s">
        <v>12400</v>
      </c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6" t="s">
        <v>197</v>
      </c>
      <c r="BP518" s="17" t="s">
        <v>198</v>
      </c>
      <c r="BQ518" s="18">
        <v>45688.58377314815</v>
      </c>
      <c r="BR518" s="17" t="s">
        <v>198</v>
      </c>
      <c r="BS518" s="18">
        <v>45688.58409722222</v>
      </c>
      <c r="BT518" s="17" t="s">
        <v>198</v>
      </c>
      <c r="BU518" s="18">
        <v>45688.58409722222</v>
      </c>
      <c r="BV518" s="13" t="s">
        <v>199</v>
      </c>
      <c r="BW518" s="14" t="s">
        <v>179</v>
      </c>
      <c r="BX518" s="14" t="s">
        <v>12401</v>
      </c>
      <c r="BY518" s="14" t="s">
        <v>179</v>
      </c>
      <c r="BZ518" s="14" t="s">
        <v>12401</v>
      </c>
      <c r="CA518" s="14" t="s">
        <v>179</v>
      </c>
      <c r="CB518" s="14" t="s">
        <v>12402</v>
      </c>
      <c r="CC518" s="14" t="s">
        <v>179</v>
      </c>
      <c r="CD518" s="14" t="s">
        <v>12403</v>
      </c>
      <c r="CE518" s="15"/>
      <c r="CF518" s="15"/>
      <c r="CG518" s="19"/>
      <c r="CH518" s="15"/>
      <c r="CI518" s="19"/>
      <c r="CJ518" s="15"/>
      <c r="CK518" s="19"/>
      <c r="CL518" s="15"/>
      <c r="CM518" s="19"/>
      <c r="CN518" s="15"/>
      <c r="CO518" s="19"/>
      <c r="CP518" s="15"/>
      <c r="CQ518" s="15"/>
      <c r="CR518" s="15"/>
      <c r="CS518" s="19"/>
      <c r="CT518" s="15"/>
      <c r="CU518" s="19"/>
      <c r="CV518" s="15"/>
      <c r="CW518" s="19"/>
      <c r="CX518" s="15"/>
      <c r="CY518" s="19"/>
      <c r="CZ518" s="15"/>
      <c r="DA518" s="16" t="s">
        <v>197</v>
      </c>
      <c r="DB518" s="17" t="s">
        <v>198</v>
      </c>
      <c r="DC518" s="20">
        <v>45715.54335648148</v>
      </c>
      <c r="DD518" s="17" t="s">
        <v>198</v>
      </c>
      <c r="DE518" s="18">
        <v>45715.543391203704</v>
      </c>
      <c r="DF518" s="17" t="s">
        <v>198</v>
      </c>
      <c r="DG518" s="18">
        <v>45715.543391203704</v>
      </c>
      <c r="DH518" s="13" t="s">
        <v>205</v>
      </c>
      <c r="DI518" s="14" t="s">
        <v>179</v>
      </c>
      <c r="DJ518" s="14" t="s">
        <v>12404</v>
      </c>
      <c r="DK518" s="14" t="s">
        <v>179</v>
      </c>
      <c r="DL518" s="14" t="s">
        <v>12405</v>
      </c>
      <c r="DM518" s="14" t="s">
        <v>179</v>
      </c>
      <c r="DN518" s="14" t="s">
        <v>12405</v>
      </c>
      <c r="DO518" s="14" t="s">
        <v>179</v>
      </c>
      <c r="DP518" s="14" t="s">
        <v>12406</v>
      </c>
      <c r="DQ518" s="14" t="s">
        <v>179</v>
      </c>
      <c r="DR518" s="14" t="s">
        <v>12407</v>
      </c>
      <c r="DS518" s="15"/>
      <c r="DT518" s="15"/>
      <c r="DU518" s="15"/>
      <c r="DV518" s="15"/>
      <c r="DW518" s="15"/>
      <c r="DX518" s="15"/>
      <c r="DY518" s="15"/>
      <c r="DZ518" s="15"/>
      <c r="EA518" s="15"/>
      <c r="EB518" s="15"/>
      <c r="EC518" s="16" t="s">
        <v>197</v>
      </c>
      <c r="ED518" s="17" t="s">
        <v>198</v>
      </c>
      <c r="EE518" s="18">
        <v>45715.543854166666</v>
      </c>
      <c r="EF518" s="13" t="s">
        <v>209</v>
      </c>
      <c r="EG518" s="14" t="s">
        <v>179</v>
      </c>
      <c r="EH518" s="14" t="s">
        <v>12408</v>
      </c>
      <c r="EI518" s="14" t="s">
        <v>179</v>
      </c>
      <c r="EJ518" s="14" t="s">
        <v>12409</v>
      </c>
      <c r="EK518" s="14" t="s">
        <v>179</v>
      </c>
      <c r="EL518" s="14" t="s">
        <v>12410</v>
      </c>
      <c r="EM518" s="14" t="s">
        <v>179</v>
      </c>
      <c r="EN518" s="14" t="s">
        <v>12411</v>
      </c>
      <c r="EO518" s="15"/>
      <c r="EP518" s="15"/>
      <c r="EQ518" s="15"/>
      <c r="ER518" s="15"/>
      <c r="ES518" s="15"/>
      <c r="ET518" s="15"/>
      <c r="EU518" s="15"/>
      <c r="EV518" s="15"/>
      <c r="EW518" s="15"/>
      <c r="EX518" s="15"/>
      <c r="EY518" s="15"/>
      <c r="EZ518" s="15"/>
      <c r="FA518" s="15"/>
      <c r="FB518" s="15"/>
      <c r="FC518" s="16" t="s">
        <v>197</v>
      </c>
      <c r="FD518" s="17" t="s">
        <v>198</v>
      </c>
      <c r="FE518" s="18">
        <v>45723.3587962963</v>
      </c>
      <c r="FF518" s="19"/>
      <c r="FG518" s="19"/>
      <c r="FH518" s="21" t="s">
        <v>197</v>
      </c>
      <c r="FI518" s="17" t="s">
        <v>214</v>
      </c>
      <c r="FJ518" s="18">
        <v>45723.3587962963</v>
      </c>
      <c r="FK518" s="14" t="s">
        <v>12411</v>
      </c>
      <c r="FL518" s="14" t="s">
        <v>12412</v>
      </c>
      <c r="FM518" s="14" t="s">
        <v>12413</v>
      </c>
      <c r="FN518" s="19"/>
      <c r="FO518" s="19"/>
      <c r="FP518" s="19" t="str">
        <f t="shared" si="1"/>
        <v>Base de Dados_Images/MX4002.Imagem do Equipamento-.181338.jpg</v>
      </c>
      <c r="FQ518" s="19"/>
      <c r="FR518" s="19"/>
    </row>
    <row r="519" ht="15.75" customHeight="1">
      <c r="A519" s="12" t="s">
        <v>217</v>
      </c>
      <c r="B519" s="12" t="s">
        <v>11529</v>
      </c>
      <c r="C519" s="24" t="s">
        <v>294</v>
      </c>
      <c r="D519" s="22" t="s">
        <v>12414</v>
      </c>
      <c r="E519" s="22" t="s">
        <v>12415</v>
      </c>
      <c r="F519" s="13" t="s">
        <v>178</v>
      </c>
      <c r="G519" s="14" t="s">
        <v>179</v>
      </c>
      <c r="H519" s="14" t="s">
        <v>12416</v>
      </c>
      <c r="I519" s="14" t="s">
        <v>179</v>
      </c>
      <c r="J519" s="14" t="s">
        <v>12417</v>
      </c>
      <c r="K519" s="14" t="s">
        <v>179</v>
      </c>
      <c r="L519" s="14" t="s">
        <v>12418</v>
      </c>
      <c r="M519" s="14" t="s">
        <v>179</v>
      </c>
      <c r="N519" s="14" t="s">
        <v>12419</v>
      </c>
      <c r="O519" s="14" t="s">
        <v>179</v>
      </c>
      <c r="P519" s="14" t="s">
        <v>12419</v>
      </c>
      <c r="Q519" s="14" t="s">
        <v>179</v>
      </c>
      <c r="R519" s="14" t="s">
        <v>12420</v>
      </c>
      <c r="S519" s="14" t="s">
        <v>179</v>
      </c>
      <c r="T519" s="14" t="s">
        <v>12421</v>
      </c>
      <c r="U519" s="14" t="s">
        <v>179</v>
      </c>
      <c r="V519" s="14" t="s">
        <v>12422</v>
      </c>
      <c r="W519" s="14" t="s">
        <v>179</v>
      </c>
      <c r="X519" s="14" t="s">
        <v>12423</v>
      </c>
      <c r="Y519" s="14" t="s">
        <v>179</v>
      </c>
      <c r="Z519" s="14" t="s">
        <v>12424</v>
      </c>
      <c r="AA519" s="14" t="s">
        <v>188</v>
      </c>
      <c r="AB519" s="14" t="s">
        <v>12425</v>
      </c>
      <c r="AC519" s="14" t="s">
        <v>179</v>
      </c>
      <c r="AD519" s="14" t="s">
        <v>12426</v>
      </c>
      <c r="AE519" s="14" t="s">
        <v>179</v>
      </c>
      <c r="AF519" s="14" t="s">
        <v>12427</v>
      </c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6" t="s">
        <v>197</v>
      </c>
      <c r="BP519" s="17" t="s">
        <v>198</v>
      </c>
      <c r="BQ519" s="18">
        <v>45688.581608796296</v>
      </c>
      <c r="BR519" s="17" t="s">
        <v>198</v>
      </c>
      <c r="BS519" s="18">
        <v>45688.581724537034</v>
      </c>
      <c r="BT519" s="17" t="s">
        <v>198</v>
      </c>
      <c r="BU519" s="18">
        <v>45688.581724537034</v>
      </c>
      <c r="BV519" s="13" t="s">
        <v>199</v>
      </c>
      <c r="BW519" s="14" t="s">
        <v>179</v>
      </c>
      <c r="BX519" s="14" t="s">
        <v>12428</v>
      </c>
      <c r="BY519" s="14" t="s">
        <v>179</v>
      </c>
      <c r="BZ519" s="14" t="s">
        <v>12428</v>
      </c>
      <c r="CA519" s="14" t="s">
        <v>179</v>
      </c>
      <c r="CB519" s="14" t="s">
        <v>12429</v>
      </c>
      <c r="CC519" s="14" t="s">
        <v>179</v>
      </c>
      <c r="CD519" s="14" t="s">
        <v>12430</v>
      </c>
      <c r="CE519" s="15"/>
      <c r="CF519" s="15"/>
      <c r="CG519" s="19"/>
      <c r="CH519" s="15"/>
      <c r="CI519" s="19"/>
      <c r="CJ519" s="15"/>
      <c r="CK519" s="19"/>
      <c r="CL519" s="15"/>
      <c r="CM519" s="19"/>
      <c r="CN519" s="15"/>
      <c r="CO519" s="19"/>
      <c r="CP519" s="15"/>
      <c r="CQ519" s="15"/>
      <c r="CR519" s="15"/>
      <c r="CS519" s="19"/>
      <c r="CT519" s="15"/>
      <c r="CU519" s="19"/>
      <c r="CV519" s="15"/>
      <c r="CW519" s="19"/>
      <c r="CX519" s="15"/>
      <c r="CY519" s="19"/>
      <c r="CZ519" s="15"/>
      <c r="DA519" s="16" t="s">
        <v>197</v>
      </c>
      <c r="DB519" s="17" t="s">
        <v>198</v>
      </c>
      <c r="DC519" s="20">
        <v>45722.40159722222</v>
      </c>
      <c r="DD519" s="17" t="s">
        <v>198</v>
      </c>
      <c r="DE519" s="18">
        <v>45722.40159722222</v>
      </c>
      <c r="DF519" s="17" t="s">
        <v>198</v>
      </c>
      <c r="DG519" s="18">
        <v>45722.40159722222</v>
      </c>
      <c r="DH519" s="13" t="s">
        <v>205</v>
      </c>
      <c r="DI519" s="14" t="s">
        <v>179</v>
      </c>
      <c r="DJ519" s="14" t="s">
        <v>12431</v>
      </c>
      <c r="DK519" s="14" t="s">
        <v>179</v>
      </c>
      <c r="DL519" s="14" t="s">
        <v>12432</v>
      </c>
      <c r="DM519" s="14" t="s">
        <v>179</v>
      </c>
      <c r="DN519" s="14" t="s">
        <v>12433</v>
      </c>
      <c r="DO519" s="14" t="s">
        <v>179</v>
      </c>
      <c r="DP519" s="14" t="s">
        <v>12432</v>
      </c>
      <c r="DQ519" s="14" t="s">
        <v>179</v>
      </c>
      <c r="DR519" s="14" t="s">
        <v>12434</v>
      </c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6" t="s">
        <v>197</v>
      </c>
      <c r="ED519" s="17" t="s">
        <v>198</v>
      </c>
      <c r="EE519" s="18">
        <v>45722.40170138889</v>
      </c>
      <c r="EF519" s="13" t="s">
        <v>209</v>
      </c>
      <c r="EG519" s="14" t="s">
        <v>179</v>
      </c>
      <c r="EH519" s="14" t="s">
        <v>12435</v>
      </c>
      <c r="EI519" s="14" t="s">
        <v>179</v>
      </c>
      <c r="EJ519" s="14" t="s">
        <v>12436</v>
      </c>
      <c r="EK519" s="14" t="s">
        <v>179</v>
      </c>
      <c r="EL519" s="14" t="s">
        <v>12437</v>
      </c>
      <c r="EM519" s="14" t="s">
        <v>179</v>
      </c>
      <c r="EN519" s="14" t="s">
        <v>12437</v>
      </c>
      <c r="EO519" s="15"/>
      <c r="EP519" s="15"/>
      <c r="EQ519" s="15"/>
      <c r="ER519" s="15"/>
      <c r="ES519" s="15"/>
      <c r="ET519" s="15"/>
      <c r="EU519" s="15"/>
      <c r="EV519" s="15"/>
      <c r="EW519" s="15"/>
      <c r="EX519" s="15"/>
      <c r="EY519" s="15"/>
      <c r="EZ519" s="15"/>
      <c r="FA519" s="15"/>
      <c r="FB519" s="15"/>
      <c r="FC519" s="16" t="s">
        <v>197</v>
      </c>
      <c r="FD519" s="17" t="s">
        <v>198</v>
      </c>
      <c r="FE519" s="18">
        <v>45723.35240740741</v>
      </c>
      <c r="FF519" s="19"/>
      <c r="FG519" s="19"/>
      <c r="FH519" s="21" t="s">
        <v>197</v>
      </c>
      <c r="FI519" s="17" t="s">
        <v>214</v>
      </c>
      <c r="FJ519" s="18">
        <v>45723.35240740741</v>
      </c>
      <c r="FK519" s="14" t="s">
        <v>12437</v>
      </c>
      <c r="FL519" s="14" t="s">
        <v>12438</v>
      </c>
      <c r="FM519" s="14" t="s">
        <v>12439</v>
      </c>
      <c r="FN519" s="19"/>
      <c r="FO519" s="19"/>
      <c r="FP519" s="19" t="str">
        <f t="shared" si="1"/>
        <v>Base de Dados_Images/MX4003.Imagem do Equipamento-.181233.jpg</v>
      </c>
      <c r="FQ519" s="19"/>
      <c r="FR519" s="19"/>
    </row>
    <row r="520" ht="15.75" customHeight="1">
      <c r="A520" s="12" t="s">
        <v>217</v>
      </c>
      <c r="B520" s="12" t="s">
        <v>8821</v>
      </c>
      <c r="C520" s="24" t="s">
        <v>294</v>
      </c>
      <c r="D520" s="22" t="s">
        <v>12440</v>
      </c>
      <c r="E520" s="22" t="s">
        <v>12441</v>
      </c>
      <c r="F520" s="13" t="s">
        <v>178</v>
      </c>
      <c r="G520" s="14" t="s">
        <v>179</v>
      </c>
      <c r="H520" s="14" t="s">
        <v>12442</v>
      </c>
      <c r="I520" s="14" t="s">
        <v>179</v>
      </c>
      <c r="J520" s="14" t="s">
        <v>12443</v>
      </c>
      <c r="K520" s="14" t="s">
        <v>179</v>
      </c>
      <c r="L520" s="14" t="s">
        <v>12444</v>
      </c>
      <c r="M520" s="14" t="s">
        <v>179</v>
      </c>
      <c r="N520" s="14" t="s">
        <v>12445</v>
      </c>
      <c r="O520" s="14" t="s">
        <v>179</v>
      </c>
      <c r="P520" s="14" t="s">
        <v>12446</v>
      </c>
      <c r="Q520" s="14" t="s">
        <v>179</v>
      </c>
      <c r="R520" s="14" t="s">
        <v>12447</v>
      </c>
      <c r="S520" s="14" t="s">
        <v>179</v>
      </c>
      <c r="T520" s="14" t="s">
        <v>12448</v>
      </c>
      <c r="U520" s="14" t="s">
        <v>179</v>
      </c>
      <c r="V520" s="14" t="s">
        <v>12449</v>
      </c>
      <c r="W520" s="14" t="s">
        <v>179</v>
      </c>
      <c r="X520" s="14" t="s">
        <v>12450</v>
      </c>
      <c r="Y520" s="14" t="s">
        <v>179</v>
      </c>
      <c r="Z520" s="14" t="s">
        <v>12451</v>
      </c>
      <c r="AA520" s="14" t="s">
        <v>188</v>
      </c>
      <c r="AB520" s="14" t="s">
        <v>12452</v>
      </c>
      <c r="AC520" s="14" t="s">
        <v>179</v>
      </c>
      <c r="AD520" s="14" t="s">
        <v>12453</v>
      </c>
      <c r="AE520" s="14" t="s">
        <v>179</v>
      </c>
      <c r="AF520" s="14" t="s">
        <v>12454</v>
      </c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6" t="s">
        <v>197</v>
      </c>
      <c r="BP520" s="17" t="s">
        <v>198</v>
      </c>
      <c r="BQ520" s="18">
        <v>45688.580717592595</v>
      </c>
      <c r="BR520" s="17" t="s">
        <v>198</v>
      </c>
      <c r="BS520" s="18">
        <v>45688.58096064815</v>
      </c>
      <c r="BT520" s="17" t="s">
        <v>198</v>
      </c>
      <c r="BU520" s="18">
        <v>45688.58096064815</v>
      </c>
      <c r="BV520" s="13" t="s">
        <v>199</v>
      </c>
      <c r="BW520" s="14" t="s">
        <v>179</v>
      </c>
      <c r="BX520" s="14" t="s">
        <v>12455</v>
      </c>
      <c r="BY520" s="14" t="s">
        <v>179</v>
      </c>
      <c r="BZ520" s="14" t="s">
        <v>12456</v>
      </c>
      <c r="CA520" s="14" t="s">
        <v>179</v>
      </c>
      <c r="CB520" s="14" t="s">
        <v>12456</v>
      </c>
      <c r="CC520" s="14" t="s">
        <v>179</v>
      </c>
      <c r="CD520" s="14" t="s">
        <v>12457</v>
      </c>
      <c r="CE520" s="15"/>
      <c r="CF520" s="15"/>
      <c r="CG520" s="19"/>
      <c r="CH520" s="15"/>
      <c r="CI520" s="19"/>
      <c r="CJ520" s="15"/>
      <c r="CK520" s="19"/>
      <c r="CL520" s="15"/>
      <c r="CM520" s="19"/>
      <c r="CN520" s="15"/>
      <c r="CO520" s="19"/>
      <c r="CP520" s="15"/>
      <c r="CQ520" s="15"/>
      <c r="CR520" s="15"/>
      <c r="CS520" s="19"/>
      <c r="CT520" s="15"/>
      <c r="CU520" s="19"/>
      <c r="CV520" s="15"/>
      <c r="CW520" s="19"/>
      <c r="CX520" s="15"/>
      <c r="CY520" s="19"/>
      <c r="CZ520" s="15"/>
      <c r="DA520" s="16" t="s">
        <v>197</v>
      </c>
      <c r="DB520" s="17" t="s">
        <v>198</v>
      </c>
      <c r="DC520" s="20">
        <v>45722.400925925926</v>
      </c>
      <c r="DD520" s="17" t="s">
        <v>198</v>
      </c>
      <c r="DE520" s="18">
        <v>45722.400983796295</v>
      </c>
      <c r="DF520" s="17" t="s">
        <v>198</v>
      </c>
      <c r="DG520" s="18">
        <v>45722.400983796295</v>
      </c>
      <c r="DH520" s="13" t="s">
        <v>205</v>
      </c>
      <c r="DI520" s="14" t="s">
        <v>179</v>
      </c>
      <c r="DJ520" s="14" t="s">
        <v>12458</v>
      </c>
      <c r="DK520" s="14" t="s">
        <v>179</v>
      </c>
      <c r="DL520" s="14" t="s">
        <v>12458</v>
      </c>
      <c r="DM520" s="14" t="s">
        <v>179</v>
      </c>
      <c r="DN520" s="14" t="s">
        <v>12459</v>
      </c>
      <c r="DO520" s="14" t="s">
        <v>179</v>
      </c>
      <c r="DP520" s="14" t="s">
        <v>12460</v>
      </c>
      <c r="DQ520" s="14" t="s">
        <v>179</v>
      </c>
      <c r="DR520" s="14" t="s">
        <v>12461</v>
      </c>
      <c r="DS520" s="15"/>
      <c r="DT520" s="15"/>
      <c r="DU520" s="15"/>
      <c r="DV520" s="15"/>
      <c r="DW520" s="15"/>
      <c r="DX520" s="15"/>
      <c r="DY520" s="15"/>
      <c r="DZ520" s="15"/>
      <c r="EA520" s="15"/>
      <c r="EB520" s="15"/>
      <c r="EC520" s="16" t="s">
        <v>197</v>
      </c>
      <c r="ED520" s="17" t="s">
        <v>198</v>
      </c>
      <c r="EE520" s="18">
        <v>45722.40113425926</v>
      </c>
      <c r="EF520" s="13" t="s">
        <v>209</v>
      </c>
      <c r="EG520" s="14" t="s">
        <v>179</v>
      </c>
      <c r="EH520" s="14" t="s">
        <v>12462</v>
      </c>
      <c r="EI520" s="14" t="s">
        <v>179</v>
      </c>
      <c r="EJ520" s="14" t="s">
        <v>12462</v>
      </c>
      <c r="EK520" s="14" t="s">
        <v>179</v>
      </c>
      <c r="EL520" s="14" t="s">
        <v>12463</v>
      </c>
      <c r="EM520" s="14" t="s">
        <v>179</v>
      </c>
      <c r="EN520" s="14" t="s">
        <v>12464</v>
      </c>
      <c r="EO520" s="15"/>
      <c r="EP520" s="15"/>
      <c r="EQ520" s="15"/>
      <c r="ER520" s="15"/>
      <c r="ES520" s="15"/>
      <c r="ET520" s="15"/>
      <c r="EU520" s="15"/>
      <c r="EV520" s="15"/>
      <c r="EW520" s="15"/>
      <c r="EX520" s="15"/>
      <c r="EY520" s="15"/>
      <c r="EZ520" s="15"/>
      <c r="FA520" s="15"/>
      <c r="FB520" s="15"/>
      <c r="FC520" s="16" t="s">
        <v>197</v>
      </c>
      <c r="FD520" s="17" t="s">
        <v>198</v>
      </c>
      <c r="FE520" s="18">
        <v>45723.35054398148</v>
      </c>
      <c r="FF520" s="19"/>
      <c r="FG520" s="19"/>
      <c r="FH520" s="21" t="s">
        <v>197</v>
      </c>
      <c r="FI520" s="17" t="s">
        <v>214</v>
      </c>
      <c r="FJ520" s="18">
        <v>45723.35054398148</v>
      </c>
      <c r="FK520" s="14" t="s">
        <v>12464</v>
      </c>
      <c r="FL520" s="14" t="s">
        <v>12465</v>
      </c>
      <c r="FM520" s="14" t="s">
        <v>12466</v>
      </c>
      <c r="FN520" s="19"/>
      <c r="FO520" s="19"/>
      <c r="FP520" s="19" t="str">
        <f t="shared" si="1"/>
        <v>Base de Dados_Images/MX4004.Imagem do Equipamento-.181026.jpg</v>
      </c>
      <c r="FQ520" s="19"/>
      <c r="FR520" s="19"/>
    </row>
    <row r="521" ht="15.75" customHeight="1">
      <c r="A521" s="12" t="s">
        <v>217</v>
      </c>
      <c r="B521" s="12" t="s">
        <v>2449</v>
      </c>
      <c r="C521" s="24" t="s">
        <v>294</v>
      </c>
      <c r="D521" s="22" t="s">
        <v>12467</v>
      </c>
      <c r="E521" s="22" t="s">
        <v>12468</v>
      </c>
      <c r="F521" s="13" t="s">
        <v>178</v>
      </c>
      <c r="G521" s="14" t="s">
        <v>179</v>
      </c>
      <c r="H521" s="14" t="s">
        <v>12469</v>
      </c>
      <c r="I521" s="14" t="s">
        <v>179</v>
      </c>
      <c r="J521" s="14" t="s">
        <v>12470</v>
      </c>
      <c r="K521" s="14" t="s">
        <v>179</v>
      </c>
      <c r="L521" s="14" t="s">
        <v>12471</v>
      </c>
      <c r="M521" s="14" t="s">
        <v>179</v>
      </c>
      <c r="N521" s="14" t="s">
        <v>12472</v>
      </c>
      <c r="O521" s="14" t="s">
        <v>179</v>
      </c>
      <c r="P521" s="14" t="s">
        <v>12473</v>
      </c>
      <c r="Q521" s="14" t="s">
        <v>179</v>
      </c>
      <c r="R521" s="14" t="s">
        <v>12474</v>
      </c>
      <c r="S521" s="14" t="s">
        <v>179</v>
      </c>
      <c r="T521" s="14" t="s">
        <v>12475</v>
      </c>
      <c r="U521" s="14" t="s">
        <v>179</v>
      </c>
      <c r="V521" s="14" t="s">
        <v>12476</v>
      </c>
      <c r="W521" s="14" t="s">
        <v>179</v>
      </c>
      <c r="X521" s="14" t="s">
        <v>12477</v>
      </c>
      <c r="Y521" s="14" t="s">
        <v>179</v>
      </c>
      <c r="Z521" s="14" t="s">
        <v>12478</v>
      </c>
      <c r="AA521" s="14" t="s">
        <v>188</v>
      </c>
      <c r="AB521" s="14" t="s">
        <v>12479</v>
      </c>
      <c r="AC521" s="14" t="s">
        <v>179</v>
      </c>
      <c r="AD521" s="14" t="s">
        <v>12480</v>
      </c>
      <c r="AE521" s="14" t="s">
        <v>179</v>
      </c>
      <c r="AF521" s="14" t="s">
        <v>12480</v>
      </c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6" t="s">
        <v>197</v>
      </c>
      <c r="BP521" s="17" t="s">
        <v>198</v>
      </c>
      <c r="BQ521" s="18">
        <v>45687.55708333333</v>
      </c>
      <c r="BR521" s="17" t="s">
        <v>198</v>
      </c>
      <c r="BS521" s="18">
        <v>45687.55741898148</v>
      </c>
      <c r="BT521" s="17" t="s">
        <v>198</v>
      </c>
      <c r="BU521" s="18">
        <v>45687.55741898148</v>
      </c>
      <c r="BV521" s="13" t="s">
        <v>199</v>
      </c>
      <c r="BW521" s="14" t="s">
        <v>179</v>
      </c>
      <c r="BX521" s="14" t="s">
        <v>12481</v>
      </c>
      <c r="BY521" s="14" t="s">
        <v>179</v>
      </c>
      <c r="BZ521" s="14" t="s">
        <v>12481</v>
      </c>
      <c r="CA521" s="14" t="s">
        <v>179</v>
      </c>
      <c r="CB521" s="14" t="s">
        <v>12482</v>
      </c>
      <c r="CC521" s="14" t="s">
        <v>179</v>
      </c>
      <c r="CD521" s="14" t="s">
        <v>12483</v>
      </c>
      <c r="CE521" s="15"/>
      <c r="CF521" s="15"/>
      <c r="CG521" s="19"/>
      <c r="CH521" s="15"/>
      <c r="CI521" s="19"/>
      <c r="CJ521" s="15"/>
      <c r="CK521" s="19"/>
      <c r="CL521" s="15"/>
      <c r="CM521" s="19"/>
      <c r="CN521" s="15"/>
      <c r="CO521" s="19"/>
      <c r="CP521" s="15"/>
      <c r="CQ521" s="15"/>
      <c r="CR521" s="15"/>
      <c r="CS521" s="19"/>
      <c r="CT521" s="15"/>
      <c r="CU521" s="19"/>
      <c r="CV521" s="15"/>
      <c r="CW521" s="19"/>
      <c r="CX521" s="15"/>
      <c r="CY521" s="19"/>
      <c r="CZ521" s="15"/>
      <c r="DA521" s="16" t="s">
        <v>197</v>
      </c>
      <c r="DB521" s="17" t="s">
        <v>198</v>
      </c>
      <c r="DC521" s="20">
        <v>45691.628645833334</v>
      </c>
      <c r="DD521" s="17" t="s">
        <v>198</v>
      </c>
      <c r="DE521" s="18">
        <v>45691.62873842593</v>
      </c>
      <c r="DF521" s="17" t="s">
        <v>198</v>
      </c>
      <c r="DG521" s="18">
        <v>45691.62873842593</v>
      </c>
      <c r="DH521" s="13" t="s">
        <v>205</v>
      </c>
      <c r="DI521" s="14" t="s">
        <v>179</v>
      </c>
      <c r="DJ521" s="14" t="s">
        <v>12484</v>
      </c>
      <c r="DK521" s="14" t="s">
        <v>179</v>
      </c>
      <c r="DL521" s="14" t="s">
        <v>12484</v>
      </c>
      <c r="DM521" s="14" t="s">
        <v>179</v>
      </c>
      <c r="DN521" s="14" t="s">
        <v>12485</v>
      </c>
      <c r="DO521" s="14" t="s">
        <v>179</v>
      </c>
      <c r="DP521" s="14" t="s">
        <v>12486</v>
      </c>
      <c r="DQ521" s="14" t="s">
        <v>179</v>
      </c>
      <c r="DR521" s="14" t="s">
        <v>12487</v>
      </c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6" t="s">
        <v>197</v>
      </c>
      <c r="ED521" s="17" t="s">
        <v>198</v>
      </c>
      <c r="EE521" s="18">
        <v>45715.5440625</v>
      </c>
      <c r="EF521" s="13" t="s">
        <v>209</v>
      </c>
      <c r="EG521" s="14" t="s">
        <v>179</v>
      </c>
      <c r="EH521" s="14" t="s">
        <v>12488</v>
      </c>
      <c r="EI521" s="14" t="s">
        <v>179</v>
      </c>
      <c r="EJ521" s="14" t="s">
        <v>12488</v>
      </c>
      <c r="EK521" s="14" t="s">
        <v>179</v>
      </c>
      <c r="EL521" s="14" t="s">
        <v>12489</v>
      </c>
      <c r="EM521" s="14" t="s">
        <v>179</v>
      </c>
      <c r="EN521" s="14" t="s">
        <v>12490</v>
      </c>
      <c r="EO521" s="15"/>
      <c r="EP521" s="15"/>
      <c r="EQ521" s="15"/>
      <c r="ER521" s="15"/>
      <c r="ES521" s="15"/>
      <c r="ET521" s="15"/>
      <c r="EU521" s="15"/>
      <c r="EV521" s="15"/>
      <c r="EW521" s="15"/>
      <c r="EX521" s="15"/>
      <c r="EY521" s="15"/>
      <c r="EZ521" s="15"/>
      <c r="FA521" s="15"/>
      <c r="FB521" s="15"/>
      <c r="FC521" s="16" t="s">
        <v>197</v>
      </c>
      <c r="FD521" s="17" t="s">
        <v>198</v>
      </c>
      <c r="FE521" s="18">
        <v>45723.55724537037</v>
      </c>
      <c r="FF521" s="19"/>
      <c r="FG521" s="19"/>
      <c r="FH521" s="21" t="s">
        <v>197</v>
      </c>
      <c r="FI521" s="17" t="s">
        <v>214</v>
      </c>
      <c r="FJ521" s="18">
        <v>45723.55724537037</v>
      </c>
      <c r="FK521" s="14" t="s">
        <v>12490</v>
      </c>
      <c r="FL521" s="14" t="s">
        <v>12491</v>
      </c>
      <c r="FM521" s="14" t="s">
        <v>12492</v>
      </c>
      <c r="FN521" s="19"/>
      <c r="FO521" s="19"/>
      <c r="FP521" s="19" t="str">
        <f t="shared" si="1"/>
        <v>Base de Dados_Images/MX4005.Imagem do Equipamento-.193450.jpg</v>
      </c>
      <c r="FQ521" s="19"/>
      <c r="FR521" s="19"/>
    </row>
    <row r="522" ht="15.75" customHeight="1">
      <c r="A522" s="12" t="s">
        <v>217</v>
      </c>
      <c r="B522" s="12" t="s">
        <v>2449</v>
      </c>
      <c r="C522" s="24" t="s">
        <v>294</v>
      </c>
      <c r="D522" s="22" t="s">
        <v>12493</v>
      </c>
      <c r="E522" s="22" t="s">
        <v>12494</v>
      </c>
      <c r="F522" s="13" t="s">
        <v>178</v>
      </c>
      <c r="G522" s="14" t="s">
        <v>179</v>
      </c>
      <c r="H522" s="14" t="s">
        <v>12495</v>
      </c>
      <c r="I522" s="14" t="s">
        <v>179</v>
      </c>
      <c r="J522" s="14" t="s">
        <v>12496</v>
      </c>
      <c r="K522" s="14" t="s">
        <v>179</v>
      </c>
      <c r="L522" s="14" t="s">
        <v>12497</v>
      </c>
      <c r="M522" s="14" t="s">
        <v>179</v>
      </c>
      <c r="N522" s="14" t="s">
        <v>12498</v>
      </c>
      <c r="O522" s="14" t="s">
        <v>179</v>
      </c>
      <c r="P522" s="14" t="s">
        <v>12499</v>
      </c>
      <c r="Q522" s="14" t="s">
        <v>179</v>
      </c>
      <c r="R522" s="14" t="s">
        <v>12500</v>
      </c>
      <c r="S522" s="14" t="s">
        <v>179</v>
      </c>
      <c r="T522" s="14" t="s">
        <v>12501</v>
      </c>
      <c r="U522" s="14" t="s">
        <v>179</v>
      </c>
      <c r="V522" s="14" t="s">
        <v>12502</v>
      </c>
      <c r="W522" s="14" t="s">
        <v>179</v>
      </c>
      <c r="X522" s="14" t="s">
        <v>12503</v>
      </c>
      <c r="Y522" s="14" t="s">
        <v>179</v>
      </c>
      <c r="Z522" s="14" t="s">
        <v>12504</v>
      </c>
      <c r="AA522" s="14" t="s">
        <v>179</v>
      </c>
      <c r="AB522" s="14" t="s">
        <v>12505</v>
      </c>
      <c r="AC522" s="14" t="s">
        <v>179</v>
      </c>
      <c r="AD522" s="14" t="s">
        <v>12506</v>
      </c>
      <c r="AE522" s="14" t="s">
        <v>179</v>
      </c>
      <c r="AF522" s="14" t="s">
        <v>12507</v>
      </c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6" t="s">
        <v>197</v>
      </c>
      <c r="BP522" s="17" t="s">
        <v>198</v>
      </c>
      <c r="BQ522" s="18">
        <v>45688.584756944445</v>
      </c>
      <c r="BR522" s="17" t="s">
        <v>198</v>
      </c>
      <c r="BS522" s="18">
        <v>45688.58491898148</v>
      </c>
      <c r="BT522" s="17" t="s">
        <v>198</v>
      </c>
      <c r="BU522" s="18">
        <v>45688.58491898148</v>
      </c>
      <c r="BV522" s="13" t="s">
        <v>199</v>
      </c>
      <c r="BW522" s="14" t="s">
        <v>179</v>
      </c>
      <c r="BX522" s="14" t="s">
        <v>12508</v>
      </c>
      <c r="BY522" s="14" t="s">
        <v>179</v>
      </c>
      <c r="BZ522" s="14" t="s">
        <v>12509</v>
      </c>
      <c r="CA522" s="14" t="s">
        <v>179</v>
      </c>
      <c r="CB522" s="14" t="s">
        <v>12510</v>
      </c>
      <c r="CC522" s="14" t="s">
        <v>179</v>
      </c>
      <c r="CD522" s="14" t="s">
        <v>12511</v>
      </c>
      <c r="CE522" s="15"/>
      <c r="CF522" s="15"/>
      <c r="CG522" s="19"/>
      <c r="CH522" s="15"/>
      <c r="CI522" s="19"/>
      <c r="CJ522" s="15"/>
      <c r="CK522" s="19"/>
      <c r="CL522" s="15"/>
      <c r="CM522" s="19"/>
      <c r="CN522" s="15"/>
      <c r="CO522" s="19"/>
      <c r="CP522" s="15"/>
      <c r="CQ522" s="15"/>
      <c r="CR522" s="15"/>
      <c r="CS522" s="19"/>
      <c r="CT522" s="15"/>
      <c r="CU522" s="19"/>
      <c r="CV522" s="15"/>
      <c r="CW522" s="19"/>
      <c r="CX522" s="15"/>
      <c r="CY522" s="19"/>
      <c r="CZ522" s="15"/>
      <c r="DA522" s="16" t="s">
        <v>197</v>
      </c>
      <c r="DB522" s="17" t="s">
        <v>198</v>
      </c>
      <c r="DC522" s="20">
        <v>45715.544282407405</v>
      </c>
      <c r="DD522" s="17" t="s">
        <v>198</v>
      </c>
      <c r="DE522" s="18">
        <v>45715.544652777775</v>
      </c>
      <c r="DF522" s="17" t="s">
        <v>198</v>
      </c>
      <c r="DG522" s="18">
        <v>45715.544652777775</v>
      </c>
      <c r="DH522" s="13" t="s">
        <v>205</v>
      </c>
      <c r="DI522" s="14" t="s">
        <v>179</v>
      </c>
      <c r="DJ522" s="14" t="s">
        <v>12512</v>
      </c>
      <c r="DK522" s="14" t="s">
        <v>179</v>
      </c>
      <c r="DL522" s="14" t="s">
        <v>12513</v>
      </c>
      <c r="DM522" s="14" t="s">
        <v>179</v>
      </c>
      <c r="DN522" s="14" t="s">
        <v>12514</v>
      </c>
      <c r="DO522" s="14" t="s">
        <v>179</v>
      </c>
      <c r="DP522" s="14" t="s">
        <v>12515</v>
      </c>
      <c r="DQ522" s="14" t="s">
        <v>179</v>
      </c>
      <c r="DR522" s="14" t="s">
        <v>12516</v>
      </c>
      <c r="DS522" s="15"/>
      <c r="DT522" s="15"/>
      <c r="DU522" s="15"/>
      <c r="DV522" s="15"/>
      <c r="DW522" s="15"/>
      <c r="DX522" s="15"/>
      <c r="DY522" s="15"/>
      <c r="DZ522" s="15"/>
      <c r="EA522" s="15"/>
      <c r="EB522" s="15"/>
      <c r="EC522" s="16" t="s">
        <v>197</v>
      </c>
      <c r="ED522" s="17" t="s">
        <v>198</v>
      </c>
      <c r="EE522" s="18">
        <v>45715.544803240744</v>
      </c>
      <c r="EF522" s="13" t="s">
        <v>209</v>
      </c>
      <c r="EG522" s="14" t="s">
        <v>179</v>
      </c>
      <c r="EH522" s="14" t="s">
        <v>12517</v>
      </c>
      <c r="EI522" s="14" t="s">
        <v>179</v>
      </c>
      <c r="EJ522" s="14" t="s">
        <v>12517</v>
      </c>
      <c r="EK522" s="14" t="s">
        <v>179</v>
      </c>
      <c r="EL522" s="14" t="s">
        <v>12518</v>
      </c>
      <c r="EM522" s="14" t="s">
        <v>179</v>
      </c>
      <c r="EN522" s="14" t="s">
        <v>12519</v>
      </c>
      <c r="EO522" s="15"/>
      <c r="EP522" s="15"/>
      <c r="EQ522" s="15"/>
      <c r="ER522" s="15"/>
      <c r="ES522" s="15"/>
      <c r="ET522" s="15"/>
      <c r="EU522" s="15"/>
      <c r="EV522" s="15"/>
      <c r="EW522" s="15"/>
      <c r="EX522" s="15"/>
      <c r="EY522" s="15"/>
      <c r="EZ522" s="15"/>
      <c r="FA522" s="15"/>
      <c r="FB522" s="15"/>
      <c r="FC522" s="16" t="s">
        <v>197</v>
      </c>
      <c r="FD522" s="17" t="s">
        <v>198</v>
      </c>
      <c r="FE522" s="18">
        <v>45723.35890046296</v>
      </c>
      <c r="FF522" s="19"/>
      <c r="FG522" s="19"/>
      <c r="FH522" s="21" t="s">
        <v>197</v>
      </c>
      <c r="FI522" s="17" t="s">
        <v>214</v>
      </c>
      <c r="FJ522" s="18">
        <v>45723.35890046296</v>
      </c>
      <c r="FK522" s="14" t="s">
        <v>12519</v>
      </c>
      <c r="FL522" s="14" t="s">
        <v>12520</v>
      </c>
      <c r="FM522" s="14" t="s">
        <v>12521</v>
      </c>
      <c r="FN522" s="14" t="s">
        <v>12522</v>
      </c>
      <c r="FO522" s="14" t="s">
        <v>12523</v>
      </c>
      <c r="FP522" s="19" t="str">
        <f t="shared" si="1"/>
        <v>Base de Dados_Images/MX4006.Imagem do Equipamento-.181435.jpg</v>
      </c>
      <c r="FQ522" s="19"/>
      <c r="FR522" s="19"/>
    </row>
    <row r="523" ht="15.75" customHeight="1">
      <c r="A523" s="12" t="s">
        <v>234</v>
      </c>
      <c r="B523" s="12" t="s">
        <v>2671</v>
      </c>
      <c r="C523" s="24" t="s">
        <v>294</v>
      </c>
      <c r="D523" s="22" t="s">
        <v>12524</v>
      </c>
      <c r="E523" s="22" t="s">
        <v>8428</v>
      </c>
      <c r="F523" s="13" t="s">
        <v>178</v>
      </c>
      <c r="G523" s="14" t="s">
        <v>179</v>
      </c>
      <c r="H523" s="14" t="s">
        <v>12525</v>
      </c>
      <c r="I523" s="14" t="s">
        <v>179</v>
      </c>
      <c r="J523" s="14" t="s">
        <v>12526</v>
      </c>
      <c r="K523" s="14" t="s">
        <v>179</v>
      </c>
      <c r="L523" s="14" t="s">
        <v>12527</v>
      </c>
      <c r="M523" s="14" t="s">
        <v>179</v>
      </c>
      <c r="N523" s="14" t="s">
        <v>12528</v>
      </c>
      <c r="O523" s="14" t="s">
        <v>179</v>
      </c>
      <c r="P523" s="14" t="s">
        <v>12529</v>
      </c>
      <c r="Q523" s="14" t="s">
        <v>179</v>
      </c>
      <c r="R523" s="14" t="s">
        <v>12530</v>
      </c>
      <c r="S523" s="14" t="s">
        <v>179</v>
      </c>
      <c r="T523" s="14" t="s">
        <v>12531</v>
      </c>
      <c r="U523" s="14" t="s">
        <v>179</v>
      </c>
      <c r="V523" s="14" t="s">
        <v>12532</v>
      </c>
      <c r="W523" s="14" t="s">
        <v>179</v>
      </c>
      <c r="X523" s="14" t="s">
        <v>12533</v>
      </c>
      <c r="Y523" s="14" t="s">
        <v>179</v>
      </c>
      <c r="Z523" s="14" t="s">
        <v>12534</v>
      </c>
      <c r="AA523" s="14" t="s">
        <v>179</v>
      </c>
      <c r="AB523" s="14" t="s">
        <v>12535</v>
      </c>
      <c r="AC523" s="14" t="s">
        <v>179</v>
      </c>
      <c r="AD523" s="14" t="s">
        <v>12536</v>
      </c>
      <c r="AE523" s="14" t="s">
        <v>179</v>
      </c>
      <c r="AF523" s="14" t="s">
        <v>12537</v>
      </c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6" t="s">
        <v>197</v>
      </c>
      <c r="BP523" s="17" t="s">
        <v>198</v>
      </c>
      <c r="BQ523" s="18">
        <v>45686.83244212963</v>
      </c>
      <c r="BR523" s="17" t="s">
        <v>198</v>
      </c>
      <c r="BS523" s="18">
        <v>45686.83275462963</v>
      </c>
      <c r="BT523" s="17" t="s">
        <v>198</v>
      </c>
      <c r="BU523" s="18">
        <v>45686.83275462963</v>
      </c>
      <c r="BV523" s="13" t="s">
        <v>199</v>
      </c>
      <c r="BW523" s="14" t="s">
        <v>179</v>
      </c>
      <c r="BX523" s="14" t="s">
        <v>12538</v>
      </c>
      <c r="BY523" s="14" t="s">
        <v>179</v>
      </c>
      <c r="BZ523" s="14" t="s">
        <v>12539</v>
      </c>
      <c r="CA523" s="14" t="s">
        <v>179</v>
      </c>
      <c r="CB523" s="14" t="s">
        <v>12539</v>
      </c>
      <c r="CC523" s="14" t="s">
        <v>188</v>
      </c>
      <c r="CD523" s="14" t="s">
        <v>12540</v>
      </c>
      <c r="CE523" s="15"/>
      <c r="CF523" s="15"/>
      <c r="CG523" s="19"/>
      <c r="CH523" s="15"/>
      <c r="CI523" s="19"/>
      <c r="CJ523" s="15"/>
      <c r="CK523" s="19"/>
      <c r="CL523" s="15"/>
      <c r="CM523" s="19"/>
      <c r="CN523" s="15"/>
      <c r="CO523" s="19"/>
      <c r="CP523" s="15"/>
      <c r="CQ523" s="15"/>
      <c r="CR523" s="15"/>
      <c r="CS523" s="19"/>
      <c r="CT523" s="15"/>
      <c r="CU523" s="19"/>
      <c r="CV523" s="15"/>
      <c r="CW523" s="19"/>
      <c r="CX523" s="15"/>
      <c r="CY523" s="19"/>
      <c r="CZ523" s="15"/>
      <c r="DA523" s="16" t="s">
        <v>197</v>
      </c>
      <c r="DB523" s="17" t="s">
        <v>198</v>
      </c>
      <c r="DC523" s="20">
        <v>45689.41575231482</v>
      </c>
      <c r="DD523" s="17" t="s">
        <v>198</v>
      </c>
      <c r="DE523" s="18">
        <v>45689.41572916666</v>
      </c>
      <c r="DF523" s="17" t="s">
        <v>198</v>
      </c>
      <c r="DG523" s="18">
        <v>45689.41575231482</v>
      </c>
      <c r="DH523" s="13" t="s">
        <v>205</v>
      </c>
      <c r="DI523" s="14" t="s">
        <v>179</v>
      </c>
      <c r="DJ523" s="14" t="s">
        <v>12541</v>
      </c>
      <c r="DK523" s="14" t="s">
        <v>179</v>
      </c>
      <c r="DL523" s="14" t="s">
        <v>12542</v>
      </c>
      <c r="DM523" s="14" t="s">
        <v>179</v>
      </c>
      <c r="DN523" s="14" t="s">
        <v>12543</v>
      </c>
      <c r="DO523" s="14" t="s">
        <v>179</v>
      </c>
      <c r="DP523" s="14" t="s">
        <v>12544</v>
      </c>
      <c r="DQ523" s="14" t="s">
        <v>179</v>
      </c>
      <c r="DR523" s="14" t="s">
        <v>12545</v>
      </c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6" t="s">
        <v>197</v>
      </c>
      <c r="ED523" s="17" t="s">
        <v>198</v>
      </c>
      <c r="EE523" s="18">
        <v>45696.35003472222</v>
      </c>
      <c r="EF523" s="13" t="s">
        <v>209</v>
      </c>
      <c r="EG523" s="14" t="s">
        <v>179</v>
      </c>
      <c r="EH523" s="14" t="s">
        <v>12546</v>
      </c>
      <c r="EI523" s="14" t="s">
        <v>179</v>
      </c>
      <c r="EJ523" s="14" t="s">
        <v>12547</v>
      </c>
      <c r="EK523" s="14" t="s">
        <v>179</v>
      </c>
      <c r="EL523" s="14" t="s">
        <v>12548</v>
      </c>
      <c r="EM523" s="14" t="s">
        <v>179</v>
      </c>
      <c r="EN523" s="14" t="s">
        <v>12549</v>
      </c>
      <c r="EO523" s="15"/>
      <c r="EP523" s="15"/>
      <c r="EQ523" s="15"/>
      <c r="ER523" s="15"/>
      <c r="ES523" s="15"/>
      <c r="ET523" s="15"/>
      <c r="EU523" s="15"/>
      <c r="EV523" s="15"/>
      <c r="EW523" s="15"/>
      <c r="EX523" s="15"/>
      <c r="EY523" s="15"/>
      <c r="EZ523" s="15"/>
      <c r="FA523" s="15"/>
      <c r="FB523" s="15"/>
      <c r="FC523" s="16" t="s">
        <v>197</v>
      </c>
      <c r="FD523" s="17" t="s">
        <v>198</v>
      </c>
      <c r="FE523" s="18">
        <v>45720.32885416667</v>
      </c>
      <c r="FF523" s="19"/>
      <c r="FG523" s="19"/>
      <c r="FH523" s="21" t="s">
        <v>197</v>
      </c>
      <c r="FI523" s="17" t="s">
        <v>214</v>
      </c>
      <c r="FJ523" s="18">
        <v>45720.32885416667</v>
      </c>
      <c r="FK523" s="14" t="s">
        <v>12549</v>
      </c>
      <c r="FL523" s="14" t="s">
        <v>12550</v>
      </c>
      <c r="FM523" s="14" t="s">
        <v>12551</v>
      </c>
      <c r="FN523" s="14" t="s">
        <v>12552</v>
      </c>
      <c r="FO523" s="14" t="s">
        <v>12553</v>
      </c>
      <c r="FP523" s="19" t="str">
        <f t="shared" si="1"/>
        <v>Base de Dados_Images/MX6501.Imagem do Equipamento-.225831.jpg</v>
      </c>
      <c r="FQ523" s="19"/>
      <c r="FR523" s="19"/>
    </row>
    <row r="524" ht="15.75" customHeight="1">
      <c r="A524" s="12" t="s">
        <v>234</v>
      </c>
      <c r="B524" s="12" t="s">
        <v>11624</v>
      </c>
      <c r="C524" s="24" t="s">
        <v>294</v>
      </c>
      <c r="D524" s="22" t="s">
        <v>12554</v>
      </c>
      <c r="E524" s="22" t="s">
        <v>12555</v>
      </c>
      <c r="F524" s="13" t="s">
        <v>178</v>
      </c>
      <c r="G524" s="14" t="s">
        <v>179</v>
      </c>
      <c r="H524" s="14" t="s">
        <v>12556</v>
      </c>
      <c r="I524" s="14" t="s">
        <v>179</v>
      </c>
      <c r="J524" s="14" t="s">
        <v>12557</v>
      </c>
      <c r="K524" s="14" t="s">
        <v>179</v>
      </c>
      <c r="L524" s="14" t="s">
        <v>12558</v>
      </c>
      <c r="M524" s="14" t="s">
        <v>179</v>
      </c>
      <c r="N524" s="14" t="s">
        <v>12559</v>
      </c>
      <c r="O524" s="14" t="s">
        <v>179</v>
      </c>
      <c r="P524" s="14" t="s">
        <v>12560</v>
      </c>
      <c r="Q524" s="14" t="s">
        <v>179</v>
      </c>
      <c r="R524" s="14" t="s">
        <v>12561</v>
      </c>
      <c r="S524" s="14" t="s">
        <v>179</v>
      </c>
      <c r="T524" s="14" t="s">
        <v>12562</v>
      </c>
      <c r="U524" s="14" t="s">
        <v>179</v>
      </c>
      <c r="V524" s="14" t="s">
        <v>12563</v>
      </c>
      <c r="W524" s="14" t="s">
        <v>179</v>
      </c>
      <c r="X524" s="14" t="s">
        <v>12564</v>
      </c>
      <c r="Y524" s="14" t="s">
        <v>179</v>
      </c>
      <c r="Z524" s="14" t="s">
        <v>12565</v>
      </c>
      <c r="AA524" s="14" t="s">
        <v>179</v>
      </c>
      <c r="AB524" s="14" t="s">
        <v>12566</v>
      </c>
      <c r="AC524" s="14" t="s">
        <v>179</v>
      </c>
      <c r="AD524" s="14" t="s">
        <v>12567</v>
      </c>
      <c r="AE524" s="14" t="s">
        <v>179</v>
      </c>
      <c r="AF524" s="14" t="s">
        <v>12568</v>
      </c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7" t="s">
        <v>197</v>
      </c>
      <c r="BP524" s="17" t="s">
        <v>198</v>
      </c>
      <c r="BQ524" s="18">
        <v>45686.83738425926</v>
      </c>
      <c r="BR524" s="17" t="s">
        <v>198</v>
      </c>
      <c r="BS524" s="18">
        <v>45688.48972222222</v>
      </c>
      <c r="BT524" s="17" t="s">
        <v>198</v>
      </c>
      <c r="BU524" s="18">
        <v>45688.48972222222</v>
      </c>
      <c r="BV524" s="13" t="s">
        <v>199</v>
      </c>
      <c r="BW524" s="14" t="s">
        <v>179</v>
      </c>
      <c r="BX524" s="14" t="s">
        <v>12569</v>
      </c>
      <c r="BY524" s="14" t="s">
        <v>179</v>
      </c>
      <c r="BZ524" s="14" t="s">
        <v>12570</v>
      </c>
      <c r="CA524" s="14" t="s">
        <v>179</v>
      </c>
      <c r="CB524" s="14" t="s">
        <v>12571</v>
      </c>
      <c r="CC524" s="14" t="s">
        <v>188</v>
      </c>
      <c r="CD524" s="14" t="s">
        <v>12572</v>
      </c>
      <c r="CE524" s="15"/>
      <c r="CF524" s="15"/>
      <c r="CG524" s="19"/>
      <c r="CH524" s="15"/>
      <c r="CI524" s="19"/>
      <c r="CJ524" s="15"/>
      <c r="CK524" s="19"/>
      <c r="CL524" s="15"/>
      <c r="CM524" s="19"/>
      <c r="CN524" s="15"/>
      <c r="CO524" s="19"/>
      <c r="CP524" s="15"/>
      <c r="CQ524" s="15"/>
      <c r="CR524" s="15"/>
      <c r="CS524" s="19"/>
      <c r="CT524" s="15"/>
      <c r="CU524" s="19"/>
      <c r="CV524" s="15"/>
      <c r="CW524" s="19"/>
      <c r="CX524" s="15"/>
      <c r="CY524" s="19"/>
      <c r="CZ524" s="15"/>
      <c r="DA524" s="16" t="s">
        <v>197</v>
      </c>
      <c r="DB524" s="17" t="s">
        <v>198</v>
      </c>
      <c r="DC524" s="20">
        <v>45689.416041666664</v>
      </c>
      <c r="DD524" s="17" t="s">
        <v>198</v>
      </c>
      <c r="DE524" s="18">
        <v>45689.41612268519</v>
      </c>
      <c r="DF524" s="17" t="s">
        <v>198</v>
      </c>
      <c r="DG524" s="18">
        <v>45689.41612268519</v>
      </c>
      <c r="DH524" s="13" t="s">
        <v>205</v>
      </c>
      <c r="DI524" s="14" t="s">
        <v>179</v>
      </c>
      <c r="DJ524" s="14" t="s">
        <v>12573</v>
      </c>
      <c r="DK524" s="14" t="s">
        <v>179</v>
      </c>
      <c r="DL524" s="14" t="s">
        <v>12574</v>
      </c>
      <c r="DM524" s="14" t="s">
        <v>179</v>
      </c>
      <c r="DN524" s="14" t="s">
        <v>12575</v>
      </c>
      <c r="DO524" s="14" t="s">
        <v>179</v>
      </c>
      <c r="DP524" s="14" t="s">
        <v>12576</v>
      </c>
      <c r="DQ524" s="14" t="s">
        <v>179</v>
      </c>
      <c r="DR524" s="14" t="s">
        <v>12576</v>
      </c>
      <c r="DS524" s="15"/>
      <c r="DT524" s="15"/>
      <c r="DU524" s="15"/>
      <c r="DV524" s="15"/>
      <c r="DW524" s="15"/>
      <c r="DX524" s="15"/>
      <c r="DY524" s="15"/>
      <c r="DZ524" s="15"/>
      <c r="EA524" s="15"/>
      <c r="EB524" s="15"/>
      <c r="EC524" s="16" t="s">
        <v>197</v>
      </c>
      <c r="ED524" s="17" t="s">
        <v>198</v>
      </c>
      <c r="EE524" s="18">
        <v>45720.329560185186</v>
      </c>
      <c r="EF524" s="13" t="s">
        <v>209</v>
      </c>
      <c r="EG524" s="14" t="s">
        <v>179</v>
      </c>
      <c r="EH524" s="14" t="s">
        <v>12577</v>
      </c>
      <c r="EI524" s="14" t="s">
        <v>179</v>
      </c>
      <c r="EJ524" s="14" t="s">
        <v>12577</v>
      </c>
      <c r="EK524" s="14" t="s">
        <v>179</v>
      </c>
      <c r="EL524" s="14" t="s">
        <v>12578</v>
      </c>
      <c r="EM524" s="14" t="s">
        <v>179</v>
      </c>
      <c r="EN524" s="14" t="s">
        <v>12579</v>
      </c>
      <c r="EO524" s="15"/>
      <c r="EP524" s="15"/>
      <c r="EQ524" s="15"/>
      <c r="ER524" s="15"/>
      <c r="ES524" s="15"/>
      <c r="ET524" s="15"/>
      <c r="EU524" s="15"/>
      <c r="EV524" s="15"/>
      <c r="EW524" s="15"/>
      <c r="EX524" s="15"/>
      <c r="EY524" s="15"/>
      <c r="EZ524" s="15"/>
      <c r="FA524" s="15"/>
      <c r="FB524" s="15"/>
      <c r="FC524" s="16" t="s">
        <v>197</v>
      </c>
      <c r="FD524" s="17" t="s">
        <v>198</v>
      </c>
      <c r="FE524" s="18">
        <v>45720.32962962963</v>
      </c>
      <c r="FF524" s="19"/>
      <c r="FG524" s="19"/>
      <c r="FH524" s="21" t="s">
        <v>197</v>
      </c>
      <c r="FI524" s="17" t="s">
        <v>214</v>
      </c>
      <c r="FJ524" s="18">
        <v>45720.32962962963</v>
      </c>
      <c r="FK524" s="14" t="s">
        <v>12579</v>
      </c>
      <c r="FL524" s="14" t="s">
        <v>12580</v>
      </c>
      <c r="FM524" s="14" t="s">
        <v>12581</v>
      </c>
      <c r="FN524" s="14" t="s">
        <v>12582</v>
      </c>
      <c r="FO524" s="14" t="s">
        <v>12583</v>
      </c>
      <c r="FP524" s="19" t="str">
        <f t="shared" si="1"/>
        <v>Base de Dados_Images/MX6502.Imagem do Equipamento-.230620.jpg</v>
      </c>
      <c r="FQ524" s="19"/>
      <c r="FR524" s="19"/>
    </row>
    <row r="525" ht="15.75" customHeight="1">
      <c r="A525" s="12" t="s">
        <v>234</v>
      </c>
      <c r="B525" s="12" t="s">
        <v>11640</v>
      </c>
      <c r="C525" s="24" t="s">
        <v>294</v>
      </c>
      <c r="D525" s="22" t="s">
        <v>12584</v>
      </c>
      <c r="E525" s="22" t="s">
        <v>12585</v>
      </c>
      <c r="F525" s="13" t="s">
        <v>178</v>
      </c>
      <c r="G525" s="14" t="s">
        <v>179</v>
      </c>
      <c r="H525" s="14" t="s">
        <v>12586</v>
      </c>
      <c r="I525" s="14" t="s">
        <v>179</v>
      </c>
      <c r="J525" s="14" t="s">
        <v>12586</v>
      </c>
      <c r="K525" s="14" t="s">
        <v>179</v>
      </c>
      <c r="L525" s="14" t="s">
        <v>12587</v>
      </c>
      <c r="M525" s="14" t="s">
        <v>179</v>
      </c>
      <c r="N525" s="14" t="s">
        <v>12588</v>
      </c>
      <c r="O525" s="14" t="s">
        <v>179</v>
      </c>
      <c r="P525" s="14" t="s">
        <v>12589</v>
      </c>
      <c r="Q525" s="14" t="s">
        <v>179</v>
      </c>
      <c r="R525" s="14" t="s">
        <v>12590</v>
      </c>
      <c r="S525" s="14" t="s">
        <v>179</v>
      </c>
      <c r="T525" s="14" t="s">
        <v>12591</v>
      </c>
      <c r="U525" s="14" t="s">
        <v>179</v>
      </c>
      <c r="V525" s="14" t="s">
        <v>12592</v>
      </c>
      <c r="W525" s="14" t="s">
        <v>179</v>
      </c>
      <c r="X525" s="14" t="s">
        <v>12592</v>
      </c>
      <c r="Y525" s="14" t="s">
        <v>179</v>
      </c>
      <c r="Z525" s="14" t="s">
        <v>12593</v>
      </c>
      <c r="AA525" s="14" t="s">
        <v>179</v>
      </c>
      <c r="AB525" s="14" t="s">
        <v>12594</v>
      </c>
      <c r="AC525" s="14" t="s">
        <v>179</v>
      </c>
      <c r="AD525" s="14" t="s">
        <v>12595</v>
      </c>
      <c r="AE525" s="14" t="s">
        <v>179</v>
      </c>
      <c r="AF525" s="14" t="s">
        <v>12596</v>
      </c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6" t="s">
        <v>197</v>
      </c>
      <c r="BP525" s="17" t="s">
        <v>198</v>
      </c>
      <c r="BQ525" s="18">
        <v>45686.83831018519</v>
      </c>
      <c r="BR525" s="17" t="s">
        <v>198</v>
      </c>
      <c r="BS525" s="18">
        <v>45686.8383912037</v>
      </c>
      <c r="BT525" s="17" t="s">
        <v>198</v>
      </c>
      <c r="BU525" s="18">
        <v>45686.8383912037</v>
      </c>
      <c r="BV525" s="13" t="s">
        <v>199</v>
      </c>
      <c r="BW525" s="14" t="s">
        <v>179</v>
      </c>
      <c r="BX525" s="14" t="s">
        <v>12597</v>
      </c>
      <c r="BY525" s="14" t="s">
        <v>179</v>
      </c>
      <c r="BZ525" s="14" t="s">
        <v>12597</v>
      </c>
      <c r="CA525" s="14" t="s">
        <v>179</v>
      </c>
      <c r="CB525" s="14" t="s">
        <v>12598</v>
      </c>
      <c r="CC525" s="14" t="s">
        <v>188</v>
      </c>
      <c r="CD525" s="14" t="s">
        <v>12599</v>
      </c>
      <c r="CE525" s="15"/>
      <c r="CF525" s="15"/>
      <c r="CG525" s="19"/>
      <c r="CH525" s="15"/>
      <c r="CI525" s="19"/>
      <c r="CJ525" s="15"/>
      <c r="CK525" s="19"/>
      <c r="CL525" s="15"/>
      <c r="CM525" s="19"/>
      <c r="CN525" s="15"/>
      <c r="CO525" s="19"/>
      <c r="CP525" s="15"/>
      <c r="CQ525" s="15"/>
      <c r="CR525" s="15"/>
      <c r="CS525" s="19"/>
      <c r="CT525" s="15"/>
      <c r="CU525" s="19"/>
      <c r="CV525" s="15"/>
      <c r="CW525" s="19"/>
      <c r="CX525" s="15"/>
      <c r="CY525" s="19"/>
      <c r="CZ525" s="15"/>
      <c r="DA525" s="16" t="s">
        <v>197</v>
      </c>
      <c r="DB525" s="17" t="s">
        <v>198</v>
      </c>
      <c r="DC525" s="20">
        <v>45689.41642361111</v>
      </c>
      <c r="DD525" s="17" t="s">
        <v>198</v>
      </c>
      <c r="DE525" s="18">
        <v>45689.41652777778</v>
      </c>
      <c r="DF525" s="17" t="s">
        <v>198</v>
      </c>
      <c r="DG525" s="18">
        <v>45689.41652777778</v>
      </c>
      <c r="DH525" s="13" t="s">
        <v>205</v>
      </c>
      <c r="DI525" s="14" t="s">
        <v>179</v>
      </c>
      <c r="DJ525" s="14" t="s">
        <v>12600</v>
      </c>
      <c r="DK525" s="14" t="s">
        <v>179</v>
      </c>
      <c r="DL525" s="14" t="s">
        <v>12600</v>
      </c>
      <c r="DM525" s="14" t="s">
        <v>179</v>
      </c>
      <c r="DN525" s="14" t="s">
        <v>12601</v>
      </c>
      <c r="DO525" s="14" t="s">
        <v>179</v>
      </c>
      <c r="DP525" s="14" t="s">
        <v>12602</v>
      </c>
      <c r="DQ525" s="14" t="s">
        <v>179</v>
      </c>
      <c r="DR525" s="14" t="s">
        <v>12603</v>
      </c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6" t="s">
        <v>197</v>
      </c>
      <c r="ED525" s="17" t="s">
        <v>198</v>
      </c>
      <c r="EE525" s="18">
        <v>45722.388020833336</v>
      </c>
      <c r="EF525" s="13" t="s">
        <v>209</v>
      </c>
      <c r="EG525" s="14" t="s">
        <v>179</v>
      </c>
      <c r="EH525" s="14" t="s">
        <v>12604</v>
      </c>
      <c r="EI525" s="14" t="s">
        <v>179</v>
      </c>
      <c r="EJ525" s="14" t="s">
        <v>12605</v>
      </c>
      <c r="EK525" s="14" t="s">
        <v>179</v>
      </c>
      <c r="EL525" s="14" t="s">
        <v>12606</v>
      </c>
      <c r="EM525" s="14" t="s">
        <v>179</v>
      </c>
      <c r="EN525" s="14" t="s">
        <v>12607</v>
      </c>
      <c r="EO525" s="15"/>
      <c r="EP525" s="15"/>
      <c r="EQ525" s="15"/>
      <c r="ER525" s="15"/>
      <c r="ES525" s="15"/>
      <c r="ET525" s="15"/>
      <c r="EU525" s="15"/>
      <c r="EV525" s="15"/>
      <c r="EW525" s="15"/>
      <c r="EX525" s="15"/>
      <c r="EY525" s="15"/>
      <c r="EZ525" s="15"/>
      <c r="FA525" s="15"/>
      <c r="FB525" s="15"/>
      <c r="FC525" s="16" t="s">
        <v>197</v>
      </c>
      <c r="FD525" s="17" t="s">
        <v>198</v>
      </c>
      <c r="FE525" s="18">
        <v>45722.388090277775</v>
      </c>
      <c r="FF525" s="19"/>
      <c r="FG525" s="19"/>
      <c r="FH525" s="21" t="s">
        <v>197</v>
      </c>
      <c r="FI525" s="17" t="s">
        <v>214</v>
      </c>
      <c r="FJ525" s="18">
        <v>45722.388090277775</v>
      </c>
      <c r="FK525" s="14" t="s">
        <v>12607</v>
      </c>
      <c r="FL525" s="14" t="s">
        <v>12608</v>
      </c>
      <c r="FM525" s="14" t="s">
        <v>12609</v>
      </c>
      <c r="FN525" s="14" t="s">
        <v>12610</v>
      </c>
      <c r="FO525" s="14" t="s">
        <v>12611</v>
      </c>
      <c r="FP525" s="19" t="str">
        <f t="shared" si="1"/>
        <v>Base de Dados_Images/MX6503.Imagem do Equipamento-.230734.jpg</v>
      </c>
      <c r="FQ525" s="19"/>
      <c r="FR525" s="19"/>
    </row>
    <row r="526" ht="15.75" customHeight="1">
      <c r="A526" s="12" t="s">
        <v>234</v>
      </c>
      <c r="B526" s="12" t="s">
        <v>3230</v>
      </c>
      <c r="C526" s="24" t="s">
        <v>294</v>
      </c>
      <c r="D526" s="22" t="s">
        <v>12612</v>
      </c>
      <c r="E526" s="22" t="s">
        <v>12613</v>
      </c>
      <c r="F526" s="13" t="s">
        <v>178</v>
      </c>
      <c r="G526" s="14" t="s">
        <v>179</v>
      </c>
      <c r="H526" s="14" t="s">
        <v>12614</v>
      </c>
      <c r="I526" s="14" t="s">
        <v>179</v>
      </c>
      <c r="J526" s="14" t="s">
        <v>12615</v>
      </c>
      <c r="K526" s="14" t="s">
        <v>179</v>
      </c>
      <c r="L526" s="14" t="s">
        <v>12616</v>
      </c>
      <c r="M526" s="14" t="s">
        <v>179</v>
      </c>
      <c r="N526" s="14" t="s">
        <v>12617</v>
      </c>
      <c r="O526" s="14" t="s">
        <v>188</v>
      </c>
      <c r="P526" s="14" t="s">
        <v>12618</v>
      </c>
      <c r="Q526" s="14" t="s">
        <v>188</v>
      </c>
      <c r="R526" s="14" t="s">
        <v>12619</v>
      </c>
      <c r="S526" s="14" t="s">
        <v>179</v>
      </c>
      <c r="T526" s="14" t="s">
        <v>12620</v>
      </c>
      <c r="U526" s="14" t="s">
        <v>179</v>
      </c>
      <c r="V526" s="14" t="s">
        <v>12621</v>
      </c>
      <c r="W526" s="14" t="s">
        <v>179</v>
      </c>
      <c r="X526" s="14" t="s">
        <v>12622</v>
      </c>
      <c r="Y526" s="14" t="s">
        <v>179</v>
      </c>
      <c r="Z526" s="14" t="s">
        <v>12623</v>
      </c>
      <c r="AA526" s="14" t="s">
        <v>179</v>
      </c>
      <c r="AB526" s="14" t="s">
        <v>12624</v>
      </c>
      <c r="AC526" s="14" t="s">
        <v>179</v>
      </c>
      <c r="AD526" s="14" t="s">
        <v>12625</v>
      </c>
      <c r="AE526" s="14" t="s">
        <v>179</v>
      </c>
      <c r="AF526" s="14" t="s">
        <v>12626</v>
      </c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6" t="s">
        <v>197</v>
      </c>
      <c r="BP526" s="17" t="s">
        <v>198</v>
      </c>
      <c r="BQ526" s="18">
        <v>45689.38413194445</v>
      </c>
      <c r="BR526" s="17" t="s">
        <v>198</v>
      </c>
      <c r="BS526" s="18">
        <v>45689.384351851855</v>
      </c>
      <c r="BT526" s="17" t="s">
        <v>198</v>
      </c>
      <c r="BU526" s="18">
        <v>45689.384351851855</v>
      </c>
      <c r="BV526" s="13" t="s">
        <v>199</v>
      </c>
      <c r="BW526" s="14" t="s">
        <v>179</v>
      </c>
      <c r="BX526" s="14" t="s">
        <v>12627</v>
      </c>
      <c r="BY526" s="14" t="s">
        <v>179</v>
      </c>
      <c r="BZ526" s="14" t="s">
        <v>12628</v>
      </c>
      <c r="CA526" s="14" t="s">
        <v>179</v>
      </c>
      <c r="CB526" s="14" t="s">
        <v>12629</v>
      </c>
      <c r="CC526" s="14" t="s">
        <v>188</v>
      </c>
      <c r="CD526" s="14" t="s">
        <v>12630</v>
      </c>
      <c r="CE526" s="15"/>
      <c r="CF526" s="15"/>
      <c r="CG526" s="19"/>
      <c r="CH526" s="15"/>
      <c r="CI526" s="19"/>
      <c r="CJ526" s="15"/>
      <c r="CK526" s="19"/>
      <c r="CL526" s="15"/>
      <c r="CM526" s="19"/>
      <c r="CN526" s="15"/>
      <c r="CO526" s="19"/>
      <c r="CP526" s="15"/>
      <c r="CQ526" s="15"/>
      <c r="CR526" s="15"/>
      <c r="CS526" s="19"/>
      <c r="CT526" s="15"/>
      <c r="CU526" s="19"/>
      <c r="CV526" s="15"/>
      <c r="CW526" s="19"/>
      <c r="CX526" s="15"/>
      <c r="CY526" s="19"/>
      <c r="CZ526" s="15"/>
      <c r="DA526" s="16" t="s">
        <v>197</v>
      </c>
      <c r="DB526" s="17" t="s">
        <v>198</v>
      </c>
      <c r="DC526" s="20">
        <v>45689.50163194445</v>
      </c>
      <c r="DD526" s="17" t="s">
        <v>198</v>
      </c>
      <c r="DE526" s="18">
        <v>45689.50171296296</v>
      </c>
      <c r="DF526" s="17" t="s">
        <v>198</v>
      </c>
      <c r="DG526" s="18">
        <v>45689.50171296296</v>
      </c>
      <c r="DH526" s="13" t="s">
        <v>205</v>
      </c>
      <c r="DI526" s="14" t="s">
        <v>179</v>
      </c>
      <c r="DJ526" s="14" t="s">
        <v>12631</v>
      </c>
      <c r="DK526" s="14" t="s">
        <v>179</v>
      </c>
      <c r="DL526" s="14" t="s">
        <v>12632</v>
      </c>
      <c r="DM526" s="14" t="s">
        <v>179</v>
      </c>
      <c r="DN526" s="14" t="s">
        <v>12633</v>
      </c>
      <c r="DO526" s="14" t="s">
        <v>179</v>
      </c>
      <c r="DP526" s="14" t="s">
        <v>12634</v>
      </c>
      <c r="DQ526" s="14" t="s">
        <v>179</v>
      </c>
      <c r="DR526" s="14" t="s">
        <v>12635</v>
      </c>
      <c r="DS526" s="15"/>
      <c r="DT526" s="15"/>
      <c r="DU526" s="15"/>
      <c r="DV526" s="15"/>
      <c r="DW526" s="15"/>
      <c r="DX526" s="15"/>
      <c r="DY526" s="15"/>
      <c r="DZ526" s="15"/>
      <c r="EA526" s="15"/>
      <c r="EB526" s="15"/>
      <c r="EC526" s="16" t="s">
        <v>197</v>
      </c>
      <c r="ED526" s="17" t="s">
        <v>198</v>
      </c>
      <c r="EE526" s="18">
        <v>45692.63481481482</v>
      </c>
      <c r="EF526" s="13" t="s">
        <v>209</v>
      </c>
      <c r="EG526" s="14" t="s">
        <v>179</v>
      </c>
      <c r="EH526" s="14" t="s">
        <v>12636</v>
      </c>
      <c r="EI526" s="14" t="s">
        <v>179</v>
      </c>
      <c r="EJ526" s="14" t="s">
        <v>12637</v>
      </c>
      <c r="EK526" s="14" t="s">
        <v>179</v>
      </c>
      <c r="EL526" s="14" t="s">
        <v>12637</v>
      </c>
      <c r="EM526" s="14" t="s">
        <v>179</v>
      </c>
      <c r="EN526" s="14" t="s">
        <v>12638</v>
      </c>
      <c r="EO526" s="15"/>
      <c r="EP526" s="15"/>
      <c r="EQ526" s="15"/>
      <c r="ER526" s="15"/>
      <c r="ES526" s="15"/>
      <c r="ET526" s="15"/>
      <c r="EU526" s="15"/>
      <c r="EV526" s="15"/>
      <c r="EW526" s="15"/>
      <c r="EX526" s="15"/>
      <c r="EY526" s="15"/>
      <c r="EZ526" s="15"/>
      <c r="FA526" s="15"/>
      <c r="FB526" s="15"/>
      <c r="FC526" s="16" t="s">
        <v>197</v>
      </c>
      <c r="FD526" s="17" t="s">
        <v>198</v>
      </c>
      <c r="FE526" s="18">
        <v>45723.31300925926</v>
      </c>
      <c r="FF526" s="19"/>
      <c r="FG526" s="19"/>
      <c r="FH526" s="21" t="s">
        <v>197</v>
      </c>
      <c r="FI526" s="17" t="s">
        <v>214</v>
      </c>
      <c r="FJ526" s="18">
        <v>45723.31300925926</v>
      </c>
      <c r="FK526" s="14" t="s">
        <v>12638</v>
      </c>
      <c r="FL526" s="14" t="s">
        <v>12639</v>
      </c>
      <c r="FM526" s="14" t="s">
        <v>12640</v>
      </c>
      <c r="FN526" s="19"/>
      <c r="FO526" s="19"/>
      <c r="FP526" s="19" t="str">
        <f t="shared" si="1"/>
        <v>Base de Dados_Images/MX7101.Imagem do Equipamento-.121224.jpg</v>
      </c>
      <c r="FQ526" s="19"/>
      <c r="FR526" s="19"/>
    </row>
    <row r="527" ht="15.75" customHeight="1">
      <c r="A527" s="12" t="s">
        <v>357</v>
      </c>
      <c r="B527" s="12" t="s">
        <v>4173</v>
      </c>
      <c r="C527" s="24" t="s">
        <v>294</v>
      </c>
      <c r="D527" s="22" t="s">
        <v>12641</v>
      </c>
      <c r="E527" s="22" t="s">
        <v>12642</v>
      </c>
      <c r="F527" s="13" t="s">
        <v>178</v>
      </c>
      <c r="G527" s="14" t="s">
        <v>179</v>
      </c>
      <c r="H527" s="14" t="s">
        <v>12643</v>
      </c>
      <c r="I527" s="14" t="s">
        <v>179</v>
      </c>
      <c r="J527" s="14" t="s">
        <v>12644</v>
      </c>
      <c r="K527" s="14" t="s">
        <v>179</v>
      </c>
      <c r="L527" s="14" t="s">
        <v>12645</v>
      </c>
      <c r="M527" s="14" t="s">
        <v>179</v>
      </c>
      <c r="N527" s="14" t="s">
        <v>12646</v>
      </c>
      <c r="O527" s="14" t="s">
        <v>179</v>
      </c>
      <c r="P527" s="14" t="s">
        <v>12647</v>
      </c>
      <c r="Q527" s="14" t="s">
        <v>179</v>
      </c>
      <c r="R527" s="14" t="s">
        <v>12648</v>
      </c>
      <c r="S527" s="14" t="s">
        <v>179</v>
      </c>
      <c r="T527" s="14" t="s">
        <v>12649</v>
      </c>
      <c r="U527" s="14" t="s">
        <v>179</v>
      </c>
      <c r="V527" s="14" t="s">
        <v>12650</v>
      </c>
      <c r="W527" s="14" t="s">
        <v>179</v>
      </c>
      <c r="X527" s="14" t="s">
        <v>12651</v>
      </c>
      <c r="Y527" s="14" t="s">
        <v>179</v>
      </c>
      <c r="Z527" s="14" t="s">
        <v>12652</v>
      </c>
      <c r="AA527" s="14" t="s">
        <v>179</v>
      </c>
      <c r="AB527" s="14" t="s">
        <v>12653</v>
      </c>
      <c r="AC527" s="14" t="s">
        <v>179</v>
      </c>
      <c r="AD527" s="14" t="s">
        <v>12654</v>
      </c>
      <c r="AE527" s="14" t="s">
        <v>179</v>
      </c>
      <c r="AF527" s="14" t="s">
        <v>12655</v>
      </c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6" t="s">
        <v>197</v>
      </c>
      <c r="BP527" s="17" t="s">
        <v>198</v>
      </c>
      <c r="BQ527" s="18">
        <v>45686.5480787037</v>
      </c>
      <c r="BR527" s="17" t="s">
        <v>198</v>
      </c>
      <c r="BS527" s="18">
        <v>45686.54827546296</v>
      </c>
      <c r="BT527" s="17" t="s">
        <v>198</v>
      </c>
      <c r="BU527" s="18">
        <v>45686.54827546296</v>
      </c>
      <c r="BV527" s="13" t="s">
        <v>199</v>
      </c>
      <c r="BW527" s="14" t="s">
        <v>179</v>
      </c>
      <c r="BX527" s="14" t="s">
        <v>12656</v>
      </c>
      <c r="BY527" s="14" t="s">
        <v>179</v>
      </c>
      <c r="BZ527" s="14" t="s">
        <v>12656</v>
      </c>
      <c r="CA527" s="14" t="s">
        <v>179</v>
      </c>
      <c r="CB527" s="14" t="s">
        <v>12657</v>
      </c>
      <c r="CC527" s="14" t="s">
        <v>179</v>
      </c>
      <c r="CD527" s="14" t="s">
        <v>12658</v>
      </c>
      <c r="CE527" s="15"/>
      <c r="CF527" s="15"/>
      <c r="CG527" s="19"/>
      <c r="CH527" s="15"/>
      <c r="CI527" s="19"/>
      <c r="CJ527" s="15"/>
      <c r="CK527" s="19"/>
      <c r="CL527" s="15"/>
      <c r="CM527" s="19"/>
      <c r="CN527" s="15"/>
      <c r="CO527" s="19"/>
      <c r="CP527" s="15"/>
      <c r="CQ527" s="15"/>
      <c r="CR527" s="15"/>
      <c r="CS527" s="19"/>
      <c r="CT527" s="15"/>
      <c r="CU527" s="19"/>
      <c r="CV527" s="15"/>
      <c r="CW527" s="19"/>
      <c r="CX527" s="15"/>
      <c r="CY527" s="19"/>
      <c r="CZ527" s="15"/>
      <c r="DA527" s="16" t="s">
        <v>197</v>
      </c>
      <c r="DB527" s="17" t="s">
        <v>198</v>
      </c>
      <c r="DC527" s="20">
        <v>45723.540671296294</v>
      </c>
      <c r="DD527" s="17" t="s">
        <v>198</v>
      </c>
      <c r="DE527" s="18">
        <v>45723.54076388889</v>
      </c>
      <c r="DF527" s="17" t="s">
        <v>198</v>
      </c>
      <c r="DG527" s="18">
        <v>45723.54076388889</v>
      </c>
      <c r="DH527" s="13" t="s">
        <v>205</v>
      </c>
      <c r="DI527" s="14" t="s">
        <v>179</v>
      </c>
      <c r="DJ527" s="14" t="s">
        <v>12659</v>
      </c>
      <c r="DK527" s="14" t="s">
        <v>179</v>
      </c>
      <c r="DL527" s="14" t="s">
        <v>12659</v>
      </c>
      <c r="DM527" s="14" t="s">
        <v>179</v>
      </c>
      <c r="DN527" s="14" t="s">
        <v>12660</v>
      </c>
      <c r="DO527" s="14" t="s">
        <v>179</v>
      </c>
      <c r="DP527" s="14" t="s">
        <v>12660</v>
      </c>
      <c r="DQ527" s="14" t="s">
        <v>179</v>
      </c>
      <c r="DR527" s="14" t="s">
        <v>12661</v>
      </c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6" t="s">
        <v>197</v>
      </c>
      <c r="ED527" s="17" t="s">
        <v>198</v>
      </c>
      <c r="EE527" s="18">
        <v>45723.54087962963</v>
      </c>
      <c r="EF527" s="13" t="s">
        <v>209</v>
      </c>
      <c r="EG527" s="14" t="s">
        <v>179</v>
      </c>
      <c r="EH527" s="14" t="s">
        <v>12662</v>
      </c>
      <c r="EI527" s="14" t="s">
        <v>179</v>
      </c>
      <c r="EJ527" s="14" t="s">
        <v>12663</v>
      </c>
      <c r="EK527" s="14" t="s">
        <v>179</v>
      </c>
      <c r="EL527" s="14" t="s">
        <v>12664</v>
      </c>
      <c r="EM527" s="14" t="s">
        <v>179</v>
      </c>
      <c r="EN527" s="14" t="s">
        <v>12664</v>
      </c>
      <c r="EO527" s="15"/>
      <c r="EP527" s="15"/>
      <c r="EQ527" s="15"/>
      <c r="ER527" s="15"/>
      <c r="ES527" s="15"/>
      <c r="ET527" s="15"/>
      <c r="EU527" s="15"/>
      <c r="EV527" s="15"/>
      <c r="EW527" s="15"/>
      <c r="EX527" s="15"/>
      <c r="EY527" s="15"/>
      <c r="EZ527" s="15"/>
      <c r="FA527" s="15"/>
      <c r="FB527" s="15"/>
      <c r="FC527" s="16" t="s">
        <v>197</v>
      </c>
      <c r="FD527" s="17" t="s">
        <v>198</v>
      </c>
      <c r="FE527" s="18">
        <v>45723.54096064815</v>
      </c>
      <c r="FF527" s="19"/>
      <c r="FG527" s="19"/>
      <c r="FH527" s="21" t="s">
        <v>197</v>
      </c>
      <c r="FI527" s="17" t="s">
        <v>214</v>
      </c>
      <c r="FJ527" s="18">
        <v>45723.54096064815</v>
      </c>
      <c r="FK527" s="14" t="s">
        <v>12664</v>
      </c>
      <c r="FL527" s="14" t="s">
        <v>12665</v>
      </c>
      <c r="FM527" s="14" t="s">
        <v>12666</v>
      </c>
      <c r="FN527" s="14" t="s">
        <v>12667</v>
      </c>
      <c r="FO527" s="14" t="s">
        <v>12668</v>
      </c>
      <c r="FP527" s="19" t="str">
        <f t="shared" si="1"/>
        <v>Base de Dados_Images/MX8101.Imagem do Equipamento-.160904.jpg</v>
      </c>
      <c r="FQ527" s="19"/>
      <c r="FR527" s="19"/>
    </row>
    <row r="528" ht="15.75" customHeight="1">
      <c r="A528" s="12" t="s">
        <v>292</v>
      </c>
      <c r="B528" s="12" t="s">
        <v>7390</v>
      </c>
      <c r="C528" s="24" t="s">
        <v>294</v>
      </c>
      <c r="D528" s="22" t="s">
        <v>12669</v>
      </c>
      <c r="E528" s="22" t="s">
        <v>12670</v>
      </c>
      <c r="F528" s="13" t="s">
        <v>178</v>
      </c>
      <c r="G528" s="14" t="s">
        <v>179</v>
      </c>
      <c r="H528" s="14" t="s">
        <v>12671</v>
      </c>
      <c r="I528" s="14" t="s">
        <v>179</v>
      </c>
      <c r="J528" s="14" t="s">
        <v>12672</v>
      </c>
      <c r="K528" s="14" t="s">
        <v>179</v>
      </c>
      <c r="L528" s="14" t="s">
        <v>12673</v>
      </c>
      <c r="M528" s="14" t="s">
        <v>179</v>
      </c>
      <c r="N528" s="14" t="s">
        <v>12674</v>
      </c>
      <c r="O528" s="14" t="s">
        <v>179</v>
      </c>
      <c r="P528" s="14" t="s">
        <v>12675</v>
      </c>
      <c r="Q528" s="14" t="s">
        <v>179</v>
      </c>
      <c r="R528" s="14" t="s">
        <v>12676</v>
      </c>
      <c r="S528" s="14" t="s">
        <v>179</v>
      </c>
      <c r="T528" s="14" t="s">
        <v>12677</v>
      </c>
      <c r="U528" s="14" t="s">
        <v>179</v>
      </c>
      <c r="V528" s="14" t="s">
        <v>12678</v>
      </c>
      <c r="W528" s="14" t="s">
        <v>179</v>
      </c>
      <c r="X528" s="14" t="s">
        <v>12679</v>
      </c>
      <c r="Y528" s="14" t="s">
        <v>179</v>
      </c>
      <c r="Z528" s="14" t="s">
        <v>12680</v>
      </c>
      <c r="AA528" s="14" t="s">
        <v>179</v>
      </c>
      <c r="AB528" s="14" t="s">
        <v>12681</v>
      </c>
      <c r="AC528" s="14" t="s">
        <v>179</v>
      </c>
      <c r="AD528" s="14" t="s">
        <v>12682</v>
      </c>
      <c r="AE528" s="14" t="s">
        <v>179</v>
      </c>
      <c r="AF528" s="14" t="s">
        <v>12683</v>
      </c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6" t="s">
        <v>197</v>
      </c>
      <c r="BP528" s="17" t="s">
        <v>198</v>
      </c>
      <c r="BQ528" s="18">
        <v>45685.41673611111</v>
      </c>
      <c r="BR528" s="17" t="s">
        <v>198</v>
      </c>
      <c r="BS528" s="18">
        <v>45685.416921296295</v>
      </c>
      <c r="BT528" s="17" t="s">
        <v>198</v>
      </c>
      <c r="BU528" s="18">
        <v>45685.416921296295</v>
      </c>
      <c r="BV528" s="13" t="s">
        <v>199</v>
      </c>
      <c r="BW528" s="14" t="s">
        <v>179</v>
      </c>
      <c r="BX528" s="14" t="s">
        <v>12684</v>
      </c>
      <c r="BY528" s="14" t="s">
        <v>188</v>
      </c>
      <c r="BZ528" s="14" t="s">
        <v>12685</v>
      </c>
      <c r="CA528" s="14" t="s">
        <v>179</v>
      </c>
      <c r="CB528" s="14" t="s">
        <v>12686</v>
      </c>
      <c r="CC528" s="14" t="s">
        <v>188</v>
      </c>
      <c r="CD528" s="14" t="s">
        <v>12687</v>
      </c>
      <c r="CE528" s="15"/>
      <c r="CF528" s="15"/>
      <c r="CG528" s="19"/>
      <c r="CH528" s="15"/>
      <c r="CI528" s="19"/>
      <c r="CJ528" s="15"/>
      <c r="CK528" s="19"/>
      <c r="CL528" s="15"/>
      <c r="CM528" s="19"/>
      <c r="CN528" s="15"/>
      <c r="CO528" s="19"/>
      <c r="CP528" s="15"/>
      <c r="CQ528" s="15"/>
      <c r="CR528" s="15"/>
      <c r="CS528" s="19"/>
      <c r="CT528" s="15"/>
      <c r="CU528" s="19"/>
      <c r="CV528" s="15"/>
      <c r="CW528" s="19"/>
      <c r="CX528" s="15"/>
      <c r="CY528" s="19"/>
      <c r="CZ528" s="15"/>
      <c r="DA528" s="16" t="s">
        <v>197</v>
      </c>
      <c r="DB528" s="17" t="s">
        <v>198</v>
      </c>
      <c r="DC528" s="20">
        <v>45696.336018518516</v>
      </c>
      <c r="DD528" s="17" t="s">
        <v>198</v>
      </c>
      <c r="DE528" s="18">
        <v>45696.33608796296</v>
      </c>
      <c r="DF528" s="17" t="s">
        <v>198</v>
      </c>
      <c r="DG528" s="18">
        <v>45696.33608796296</v>
      </c>
      <c r="DH528" s="13" t="s">
        <v>205</v>
      </c>
      <c r="DI528" s="14" t="s">
        <v>179</v>
      </c>
      <c r="DJ528" s="14" t="s">
        <v>12688</v>
      </c>
      <c r="DK528" s="14" t="s">
        <v>179</v>
      </c>
      <c r="DL528" s="14" t="s">
        <v>12688</v>
      </c>
      <c r="DM528" s="14" t="s">
        <v>179</v>
      </c>
      <c r="DN528" s="14" t="s">
        <v>12689</v>
      </c>
      <c r="DO528" s="14" t="s">
        <v>179</v>
      </c>
      <c r="DP528" s="14" t="s">
        <v>12690</v>
      </c>
      <c r="DQ528" s="14" t="s">
        <v>179</v>
      </c>
      <c r="DR528" s="14" t="s">
        <v>12691</v>
      </c>
      <c r="DS528" s="15"/>
      <c r="DT528" s="15"/>
      <c r="DU528" s="15"/>
      <c r="DV528" s="15"/>
      <c r="DW528" s="15"/>
      <c r="DX528" s="15"/>
      <c r="DY528" s="15"/>
      <c r="DZ528" s="15"/>
      <c r="EA528" s="15"/>
      <c r="EB528" s="15"/>
      <c r="EC528" s="16" t="s">
        <v>197</v>
      </c>
      <c r="ED528" s="17" t="s">
        <v>198</v>
      </c>
      <c r="EE528" s="18">
        <v>45722.49865740741</v>
      </c>
      <c r="EF528" s="13" t="s">
        <v>209</v>
      </c>
      <c r="EG528" s="14" t="s">
        <v>179</v>
      </c>
      <c r="EH528" s="14" t="s">
        <v>12692</v>
      </c>
      <c r="EI528" s="14" t="s">
        <v>179</v>
      </c>
      <c r="EJ528" s="14" t="s">
        <v>12692</v>
      </c>
      <c r="EK528" s="14" t="s">
        <v>179</v>
      </c>
      <c r="EL528" s="14" t="s">
        <v>12693</v>
      </c>
      <c r="EM528" s="14" t="s">
        <v>179</v>
      </c>
      <c r="EN528" s="14" t="s">
        <v>12694</v>
      </c>
      <c r="EO528" s="15"/>
      <c r="EP528" s="15"/>
      <c r="EQ528" s="15"/>
      <c r="ER528" s="15"/>
      <c r="ES528" s="15"/>
      <c r="ET528" s="15"/>
      <c r="EU528" s="15"/>
      <c r="EV528" s="15"/>
      <c r="EW528" s="15"/>
      <c r="EX528" s="15"/>
      <c r="EY528" s="15"/>
      <c r="EZ528" s="15"/>
      <c r="FA528" s="15"/>
      <c r="FB528" s="15"/>
      <c r="FC528" s="16" t="s">
        <v>197</v>
      </c>
      <c r="FD528" s="17" t="s">
        <v>198</v>
      </c>
      <c r="FE528" s="18">
        <v>45723.29417824074</v>
      </c>
      <c r="FF528" s="19"/>
      <c r="FG528" s="19"/>
      <c r="FH528" s="21" t="s">
        <v>197</v>
      </c>
      <c r="FI528" s="17" t="s">
        <v>214</v>
      </c>
      <c r="FJ528" s="18">
        <v>45723.29417824074</v>
      </c>
      <c r="FK528" s="14" t="s">
        <v>12694</v>
      </c>
      <c r="FL528" s="14" t="s">
        <v>12695</v>
      </c>
      <c r="FM528" s="14" t="s">
        <v>12696</v>
      </c>
      <c r="FN528" s="14" t="s">
        <v>12697</v>
      </c>
      <c r="FO528" s="14" t="s">
        <v>12698</v>
      </c>
      <c r="FP528" s="19" t="str">
        <f t="shared" si="1"/>
        <v>Base de Dados_Images/MX9501.Imagem do Equipamento-.163953.jpg</v>
      </c>
      <c r="FQ528" s="19"/>
      <c r="FR528" s="19"/>
    </row>
    <row r="529" ht="15.75" customHeight="1">
      <c r="A529" s="12" t="s">
        <v>292</v>
      </c>
      <c r="B529" s="12" t="s">
        <v>12699</v>
      </c>
      <c r="C529" s="24" t="s">
        <v>294</v>
      </c>
      <c r="D529" s="22" t="s">
        <v>12700</v>
      </c>
      <c r="E529" s="22" t="s">
        <v>12701</v>
      </c>
      <c r="F529" s="13" t="s">
        <v>178</v>
      </c>
      <c r="G529" s="14" t="s">
        <v>179</v>
      </c>
      <c r="H529" s="14" t="s">
        <v>12702</v>
      </c>
      <c r="I529" s="14" t="s">
        <v>179</v>
      </c>
      <c r="J529" s="14" t="s">
        <v>12703</v>
      </c>
      <c r="K529" s="14" t="s">
        <v>179</v>
      </c>
      <c r="L529" s="14" t="s">
        <v>12704</v>
      </c>
      <c r="M529" s="14" t="s">
        <v>179</v>
      </c>
      <c r="N529" s="14" t="s">
        <v>12705</v>
      </c>
      <c r="O529" s="14" t="s">
        <v>179</v>
      </c>
      <c r="P529" s="14" t="s">
        <v>12706</v>
      </c>
      <c r="Q529" s="14" t="s">
        <v>179</v>
      </c>
      <c r="R529" s="14" t="s">
        <v>12707</v>
      </c>
      <c r="S529" s="14" t="s">
        <v>179</v>
      </c>
      <c r="T529" s="14" t="s">
        <v>12708</v>
      </c>
      <c r="U529" s="14" t="s">
        <v>179</v>
      </c>
      <c r="V529" s="14" t="s">
        <v>12709</v>
      </c>
      <c r="W529" s="14" t="s">
        <v>179</v>
      </c>
      <c r="X529" s="14" t="s">
        <v>12710</v>
      </c>
      <c r="Y529" s="14" t="s">
        <v>179</v>
      </c>
      <c r="Z529" s="14" t="s">
        <v>12711</v>
      </c>
      <c r="AA529" s="14" t="s">
        <v>179</v>
      </c>
      <c r="AB529" s="14" t="s">
        <v>12711</v>
      </c>
      <c r="AC529" s="14" t="s">
        <v>179</v>
      </c>
      <c r="AD529" s="14" t="s">
        <v>12712</v>
      </c>
      <c r="AE529" s="14" t="s">
        <v>179</v>
      </c>
      <c r="AF529" s="14" t="s">
        <v>12713</v>
      </c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6" t="s">
        <v>197</v>
      </c>
      <c r="BP529" s="17" t="s">
        <v>198</v>
      </c>
      <c r="BQ529" s="18">
        <v>45685.41832175926</v>
      </c>
      <c r="BR529" s="17" t="s">
        <v>198</v>
      </c>
      <c r="BS529" s="18">
        <v>45685.41841435185</v>
      </c>
      <c r="BT529" s="17" t="s">
        <v>198</v>
      </c>
      <c r="BU529" s="18">
        <v>45685.41841435185</v>
      </c>
      <c r="BV529" s="13" t="s">
        <v>199</v>
      </c>
      <c r="BW529" s="14" t="s">
        <v>179</v>
      </c>
      <c r="BX529" s="14" t="s">
        <v>12714</v>
      </c>
      <c r="BY529" s="14" t="s">
        <v>179</v>
      </c>
      <c r="BZ529" s="14" t="s">
        <v>12715</v>
      </c>
      <c r="CA529" s="14" t="s">
        <v>179</v>
      </c>
      <c r="CB529" s="14" t="s">
        <v>12716</v>
      </c>
      <c r="CC529" s="14" t="s">
        <v>179</v>
      </c>
      <c r="CD529" s="14" t="s">
        <v>12717</v>
      </c>
      <c r="CE529" s="15"/>
      <c r="CF529" s="15"/>
      <c r="CG529" s="19"/>
      <c r="CH529" s="15"/>
      <c r="CI529" s="19"/>
      <c r="CJ529" s="15"/>
      <c r="CK529" s="19"/>
      <c r="CL529" s="15"/>
      <c r="CM529" s="19"/>
      <c r="CN529" s="15"/>
      <c r="CO529" s="19"/>
      <c r="CP529" s="15"/>
      <c r="CQ529" s="15"/>
      <c r="CR529" s="15"/>
      <c r="CS529" s="19"/>
      <c r="CT529" s="15"/>
      <c r="CU529" s="19"/>
      <c r="CV529" s="15"/>
      <c r="CW529" s="19"/>
      <c r="CX529" s="15"/>
      <c r="CY529" s="19"/>
      <c r="CZ529" s="15"/>
      <c r="DA529" s="16" t="s">
        <v>197</v>
      </c>
      <c r="DB529" s="17" t="s">
        <v>198</v>
      </c>
      <c r="DC529" s="20">
        <v>45720.5421875</v>
      </c>
      <c r="DD529" s="17" t="s">
        <v>198</v>
      </c>
      <c r="DE529" s="18">
        <v>45720.542233796295</v>
      </c>
      <c r="DF529" s="17" t="s">
        <v>198</v>
      </c>
      <c r="DG529" s="18">
        <v>45720.542233796295</v>
      </c>
      <c r="DH529" s="13" t="s">
        <v>205</v>
      </c>
      <c r="DI529" s="14" t="s">
        <v>179</v>
      </c>
      <c r="DJ529" s="14" t="s">
        <v>12718</v>
      </c>
      <c r="DK529" s="14" t="s">
        <v>179</v>
      </c>
      <c r="DL529" s="14" t="s">
        <v>12718</v>
      </c>
      <c r="DM529" s="14" t="s">
        <v>179</v>
      </c>
      <c r="DN529" s="14" t="s">
        <v>12719</v>
      </c>
      <c r="DO529" s="14" t="s">
        <v>179</v>
      </c>
      <c r="DP529" s="14" t="s">
        <v>12720</v>
      </c>
      <c r="DQ529" s="14" t="s">
        <v>179</v>
      </c>
      <c r="DR529" s="14" t="s">
        <v>12721</v>
      </c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6" t="s">
        <v>197</v>
      </c>
      <c r="ED529" s="17" t="s">
        <v>198</v>
      </c>
      <c r="EE529" s="18">
        <v>45720.54231481482</v>
      </c>
      <c r="EF529" s="13" t="s">
        <v>209</v>
      </c>
      <c r="EG529" s="14" t="s">
        <v>179</v>
      </c>
      <c r="EH529" s="14" t="s">
        <v>12722</v>
      </c>
      <c r="EI529" s="14" t="s">
        <v>179</v>
      </c>
      <c r="EJ529" s="14" t="s">
        <v>12723</v>
      </c>
      <c r="EK529" s="14" t="s">
        <v>179</v>
      </c>
      <c r="EL529" s="14" t="s">
        <v>12724</v>
      </c>
      <c r="EM529" s="14" t="s">
        <v>179</v>
      </c>
      <c r="EN529" s="14" t="s">
        <v>12725</v>
      </c>
      <c r="EO529" s="15"/>
      <c r="EP529" s="15"/>
      <c r="EQ529" s="15"/>
      <c r="ER529" s="15"/>
      <c r="ES529" s="15"/>
      <c r="ET529" s="15"/>
      <c r="EU529" s="15"/>
      <c r="EV529" s="15"/>
      <c r="EW529" s="15"/>
      <c r="EX529" s="15"/>
      <c r="EY529" s="15"/>
      <c r="EZ529" s="15"/>
      <c r="FA529" s="15"/>
      <c r="FB529" s="15"/>
      <c r="FC529" s="16" t="s">
        <v>197</v>
      </c>
      <c r="FD529" s="17" t="s">
        <v>198</v>
      </c>
      <c r="FE529" s="18">
        <v>45723.29454861111</v>
      </c>
      <c r="FF529" s="19"/>
      <c r="FG529" s="19"/>
      <c r="FH529" s="21" t="s">
        <v>197</v>
      </c>
      <c r="FI529" s="17" t="s">
        <v>214</v>
      </c>
      <c r="FJ529" s="18">
        <v>45723.29454861111</v>
      </c>
      <c r="FK529" s="14" t="s">
        <v>12725</v>
      </c>
      <c r="FL529" s="14" t="s">
        <v>12726</v>
      </c>
      <c r="FM529" s="14" t="s">
        <v>12727</v>
      </c>
      <c r="FN529" s="19"/>
      <c r="FO529" s="19"/>
      <c r="FP529" s="19" t="str">
        <f t="shared" si="1"/>
        <v>Base de Dados_Images/MX9502.Imagem do Equipamento-.164048.jpg</v>
      </c>
      <c r="FQ529" s="19"/>
      <c r="FR529" s="19"/>
    </row>
    <row r="530" ht="15.75" customHeight="1">
      <c r="A530" s="12" t="s">
        <v>292</v>
      </c>
      <c r="B530" s="12" t="s">
        <v>7424</v>
      </c>
      <c r="C530" s="24" t="s">
        <v>294</v>
      </c>
      <c r="D530" s="22" t="s">
        <v>12728</v>
      </c>
      <c r="E530" s="22" t="s">
        <v>12729</v>
      </c>
      <c r="F530" s="13" t="s">
        <v>178</v>
      </c>
      <c r="G530" s="14" t="s">
        <v>179</v>
      </c>
      <c r="H530" s="14" t="s">
        <v>12730</v>
      </c>
      <c r="I530" s="14" t="s">
        <v>179</v>
      </c>
      <c r="J530" s="14" t="s">
        <v>12731</v>
      </c>
      <c r="K530" s="14" t="s">
        <v>179</v>
      </c>
      <c r="L530" s="14" t="s">
        <v>12732</v>
      </c>
      <c r="M530" s="14" t="s">
        <v>179</v>
      </c>
      <c r="N530" s="14" t="s">
        <v>12733</v>
      </c>
      <c r="O530" s="14" t="s">
        <v>179</v>
      </c>
      <c r="P530" s="14" t="s">
        <v>12734</v>
      </c>
      <c r="Q530" s="14" t="s">
        <v>179</v>
      </c>
      <c r="R530" s="14" t="s">
        <v>12735</v>
      </c>
      <c r="S530" s="14" t="s">
        <v>179</v>
      </c>
      <c r="T530" s="14" t="s">
        <v>12736</v>
      </c>
      <c r="U530" s="14" t="s">
        <v>179</v>
      </c>
      <c r="V530" s="14" t="s">
        <v>12737</v>
      </c>
      <c r="W530" s="14" t="s">
        <v>179</v>
      </c>
      <c r="X530" s="14" t="s">
        <v>12738</v>
      </c>
      <c r="Y530" s="14" t="s">
        <v>179</v>
      </c>
      <c r="Z530" s="14" t="s">
        <v>12739</v>
      </c>
      <c r="AA530" s="14" t="s">
        <v>179</v>
      </c>
      <c r="AB530" s="14" t="s">
        <v>12739</v>
      </c>
      <c r="AC530" s="14" t="s">
        <v>179</v>
      </c>
      <c r="AD530" s="14" t="s">
        <v>12740</v>
      </c>
      <c r="AE530" s="14" t="s">
        <v>179</v>
      </c>
      <c r="AF530" s="14" t="s">
        <v>12741</v>
      </c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6" t="s">
        <v>197</v>
      </c>
      <c r="BP530" s="17" t="s">
        <v>198</v>
      </c>
      <c r="BQ530" s="18">
        <v>45685.41353009259</v>
      </c>
      <c r="BR530" s="17" t="s">
        <v>198</v>
      </c>
      <c r="BS530" s="18">
        <v>45685.41369212963</v>
      </c>
      <c r="BT530" s="17" t="s">
        <v>198</v>
      </c>
      <c r="BU530" s="18">
        <v>45685.41369212963</v>
      </c>
      <c r="BV530" s="13" t="s">
        <v>199</v>
      </c>
      <c r="BW530" s="14" t="s">
        <v>179</v>
      </c>
      <c r="BX530" s="14" t="s">
        <v>12742</v>
      </c>
      <c r="BY530" s="14" t="s">
        <v>179</v>
      </c>
      <c r="BZ530" s="14" t="s">
        <v>12743</v>
      </c>
      <c r="CA530" s="14" t="s">
        <v>179</v>
      </c>
      <c r="CB530" s="14" t="s">
        <v>12744</v>
      </c>
      <c r="CC530" s="14" t="s">
        <v>179</v>
      </c>
      <c r="CD530" s="14" t="s">
        <v>12745</v>
      </c>
      <c r="CE530" s="15"/>
      <c r="CF530" s="15"/>
      <c r="CG530" s="19"/>
      <c r="CH530" s="15"/>
      <c r="CI530" s="19"/>
      <c r="CJ530" s="15"/>
      <c r="CK530" s="19"/>
      <c r="CL530" s="15"/>
      <c r="CM530" s="19"/>
      <c r="CN530" s="15"/>
      <c r="CO530" s="19"/>
      <c r="CP530" s="15"/>
      <c r="CQ530" s="15"/>
      <c r="CR530" s="15"/>
      <c r="CS530" s="19"/>
      <c r="CT530" s="15"/>
      <c r="CU530" s="19"/>
      <c r="CV530" s="15"/>
      <c r="CW530" s="19"/>
      <c r="CX530" s="15"/>
      <c r="CY530" s="19"/>
      <c r="CZ530" s="15"/>
      <c r="DA530" s="16" t="s">
        <v>197</v>
      </c>
      <c r="DB530" s="17" t="s">
        <v>198</v>
      </c>
      <c r="DC530" s="20">
        <v>45696.33474537037</v>
      </c>
      <c r="DD530" s="17" t="s">
        <v>198</v>
      </c>
      <c r="DE530" s="18">
        <v>45696.33478009259</v>
      </c>
      <c r="DF530" s="17" t="s">
        <v>198</v>
      </c>
      <c r="DG530" s="18">
        <v>45696.33478009259</v>
      </c>
      <c r="DH530" s="13" t="s">
        <v>205</v>
      </c>
      <c r="DI530" s="14" t="s">
        <v>188</v>
      </c>
      <c r="DJ530" s="14" t="s">
        <v>12746</v>
      </c>
      <c r="DK530" s="14" t="s">
        <v>179</v>
      </c>
      <c r="DL530" s="14" t="s">
        <v>12747</v>
      </c>
      <c r="DM530" s="14" t="s">
        <v>179</v>
      </c>
      <c r="DN530" s="14" t="s">
        <v>12748</v>
      </c>
      <c r="DO530" s="14" t="s">
        <v>179</v>
      </c>
      <c r="DP530" s="14" t="s">
        <v>12749</v>
      </c>
      <c r="DQ530" s="14" t="s">
        <v>179</v>
      </c>
      <c r="DR530" s="14" t="s">
        <v>12750</v>
      </c>
      <c r="DS530" s="15"/>
      <c r="DT530" s="15"/>
      <c r="DU530" s="15"/>
      <c r="DV530" s="15"/>
      <c r="DW530" s="15"/>
      <c r="DX530" s="15"/>
      <c r="DY530" s="15"/>
      <c r="DZ530" s="15"/>
      <c r="EA530" s="15"/>
      <c r="EB530" s="15"/>
      <c r="EC530" s="16" t="s">
        <v>197</v>
      </c>
      <c r="ED530" s="17" t="s">
        <v>198</v>
      </c>
      <c r="EE530" s="18">
        <v>45696.335127314815</v>
      </c>
      <c r="EF530" s="13" t="s">
        <v>209</v>
      </c>
      <c r="EG530" s="14" t="s">
        <v>179</v>
      </c>
      <c r="EH530" s="14" t="s">
        <v>12751</v>
      </c>
      <c r="EI530" s="14" t="s">
        <v>179</v>
      </c>
      <c r="EJ530" s="14" t="s">
        <v>12751</v>
      </c>
      <c r="EK530" s="14" t="s">
        <v>179</v>
      </c>
      <c r="EL530" s="14" t="s">
        <v>12752</v>
      </c>
      <c r="EM530" s="14" t="s">
        <v>179</v>
      </c>
      <c r="EN530" s="14" t="s">
        <v>12753</v>
      </c>
      <c r="EO530" s="15"/>
      <c r="EP530" s="15"/>
      <c r="EQ530" s="15"/>
      <c r="ER530" s="15"/>
      <c r="ES530" s="15"/>
      <c r="ET530" s="15"/>
      <c r="EU530" s="15"/>
      <c r="EV530" s="15"/>
      <c r="EW530" s="15"/>
      <c r="EX530" s="15"/>
      <c r="EY530" s="15"/>
      <c r="EZ530" s="15"/>
      <c r="FA530" s="15"/>
      <c r="FB530" s="15"/>
      <c r="FC530" s="16" t="s">
        <v>197</v>
      </c>
      <c r="FD530" s="17" t="s">
        <v>198</v>
      </c>
      <c r="FE530" s="18">
        <v>45723.293900462966</v>
      </c>
      <c r="FF530" s="19"/>
      <c r="FG530" s="19"/>
      <c r="FH530" s="21" t="s">
        <v>197</v>
      </c>
      <c r="FI530" s="17" t="s">
        <v>214</v>
      </c>
      <c r="FJ530" s="18">
        <v>45723.293900462966</v>
      </c>
      <c r="FK530" s="14" t="s">
        <v>12753</v>
      </c>
      <c r="FL530" s="14" t="s">
        <v>12754</v>
      </c>
      <c r="FM530" s="14" t="s">
        <v>12755</v>
      </c>
      <c r="FN530" s="14" t="s">
        <v>12756</v>
      </c>
      <c r="FO530" s="14" t="s">
        <v>12757</v>
      </c>
      <c r="FP530" s="19" t="str">
        <f t="shared" si="1"/>
        <v>Base de Dados_Images/MX9505.Imagem do Equipamento-.163737.jpg</v>
      </c>
      <c r="FQ530" s="19"/>
      <c r="FR530" s="19"/>
    </row>
    <row r="531" ht="15.75" customHeight="1">
      <c r="A531" s="12" t="s">
        <v>292</v>
      </c>
      <c r="B531" s="12" t="s">
        <v>12758</v>
      </c>
      <c r="C531" s="24" t="s">
        <v>294</v>
      </c>
      <c r="D531" s="22" t="s">
        <v>12759</v>
      </c>
      <c r="E531" s="22" t="s">
        <v>12760</v>
      </c>
      <c r="F531" s="13" t="s">
        <v>178</v>
      </c>
      <c r="G531" s="14" t="s">
        <v>179</v>
      </c>
      <c r="H531" s="14" t="s">
        <v>12761</v>
      </c>
      <c r="I531" s="14" t="s">
        <v>179</v>
      </c>
      <c r="J531" s="14" t="s">
        <v>12762</v>
      </c>
      <c r="K531" s="14" t="s">
        <v>179</v>
      </c>
      <c r="L531" s="14" t="s">
        <v>12763</v>
      </c>
      <c r="M531" s="14" t="s">
        <v>179</v>
      </c>
      <c r="N531" s="14" t="s">
        <v>12764</v>
      </c>
      <c r="O531" s="14" t="s">
        <v>179</v>
      </c>
      <c r="P531" s="14" t="s">
        <v>12765</v>
      </c>
      <c r="Q531" s="14" t="s">
        <v>179</v>
      </c>
      <c r="R531" s="14" t="s">
        <v>12766</v>
      </c>
      <c r="S531" s="14" t="s">
        <v>179</v>
      </c>
      <c r="T531" s="14" t="s">
        <v>12767</v>
      </c>
      <c r="U531" s="14" t="s">
        <v>179</v>
      </c>
      <c r="V531" s="14" t="s">
        <v>12768</v>
      </c>
      <c r="W531" s="14" t="s">
        <v>179</v>
      </c>
      <c r="X531" s="14" t="s">
        <v>12769</v>
      </c>
      <c r="Y531" s="14" t="s">
        <v>179</v>
      </c>
      <c r="Z531" s="14" t="s">
        <v>12770</v>
      </c>
      <c r="AA531" s="14" t="s">
        <v>188</v>
      </c>
      <c r="AB531" s="14" t="s">
        <v>12771</v>
      </c>
      <c r="AC531" s="14" t="s">
        <v>179</v>
      </c>
      <c r="AD531" s="14" t="s">
        <v>12772</v>
      </c>
      <c r="AE531" s="14" t="s">
        <v>179</v>
      </c>
      <c r="AF531" s="14" t="s">
        <v>12773</v>
      </c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6" t="s">
        <v>197</v>
      </c>
      <c r="BP531" s="17" t="s">
        <v>198</v>
      </c>
      <c r="BQ531" s="18">
        <v>45685.41502314815</v>
      </c>
      <c r="BR531" s="17" t="s">
        <v>198</v>
      </c>
      <c r="BS531" s="18">
        <v>45685.415243055555</v>
      </c>
      <c r="BT531" s="17" t="s">
        <v>198</v>
      </c>
      <c r="BU531" s="18">
        <v>45685.415243055555</v>
      </c>
      <c r="BV531" s="13" t="s">
        <v>199</v>
      </c>
      <c r="BW531" s="14" t="s">
        <v>179</v>
      </c>
      <c r="BX531" s="14" t="s">
        <v>12774</v>
      </c>
      <c r="BY531" s="14" t="s">
        <v>179</v>
      </c>
      <c r="BZ531" s="14" t="s">
        <v>12775</v>
      </c>
      <c r="CA531" s="14" t="s">
        <v>179</v>
      </c>
      <c r="CB531" s="14" t="s">
        <v>12776</v>
      </c>
      <c r="CC531" s="14" t="s">
        <v>179</v>
      </c>
      <c r="CD531" s="14" t="s">
        <v>12777</v>
      </c>
      <c r="CE531" s="15"/>
      <c r="CF531" s="15"/>
      <c r="CG531" s="19"/>
      <c r="CH531" s="15"/>
      <c r="CI531" s="19"/>
      <c r="CJ531" s="15"/>
      <c r="CK531" s="19"/>
      <c r="CL531" s="15"/>
      <c r="CM531" s="19"/>
      <c r="CN531" s="15"/>
      <c r="CO531" s="19"/>
      <c r="CP531" s="15"/>
      <c r="CQ531" s="15"/>
      <c r="CR531" s="15"/>
      <c r="CS531" s="19"/>
      <c r="CT531" s="15"/>
      <c r="CU531" s="19"/>
      <c r="CV531" s="15"/>
      <c r="CW531" s="19"/>
      <c r="CX531" s="15"/>
      <c r="CY531" s="19"/>
      <c r="CZ531" s="15"/>
      <c r="DA531" s="16" t="s">
        <v>197</v>
      </c>
      <c r="DB531" s="17" t="s">
        <v>198</v>
      </c>
      <c r="DC531" s="20">
        <v>45720.54172453703</v>
      </c>
      <c r="DD531" s="17" t="s">
        <v>198</v>
      </c>
      <c r="DE531" s="18">
        <v>45720.54179398148</v>
      </c>
      <c r="DF531" s="17" t="s">
        <v>198</v>
      </c>
      <c r="DG531" s="18">
        <v>45720.54179398148</v>
      </c>
      <c r="DH531" s="13" t="s">
        <v>205</v>
      </c>
      <c r="DI531" s="14" t="s">
        <v>179</v>
      </c>
      <c r="DJ531" s="14" t="s">
        <v>12778</v>
      </c>
      <c r="DK531" s="14" t="s">
        <v>179</v>
      </c>
      <c r="DL531" s="14" t="s">
        <v>12779</v>
      </c>
      <c r="DM531" s="14" t="s">
        <v>179</v>
      </c>
      <c r="DN531" s="14" t="s">
        <v>12780</v>
      </c>
      <c r="DO531" s="14" t="s">
        <v>179</v>
      </c>
      <c r="DP531" s="14" t="s">
        <v>12781</v>
      </c>
      <c r="DQ531" s="14" t="s">
        <v>179</v>
      </c>
      <c r="DR531" s="14" t="s">
        <v>12782</v>
      </c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6" t="s">
        <v>197</v>
      </c>
      <c r="ED531" s="17" t="s">
        <v>198</v>
      </c>
      <c r="EE531" s="18">
        <v>45720.541875</v>
      </c>
      <c r="EF531" s="13" t="s">
        <v>209</v>
      </c>
      <c r="EG531" s="14" t="s">
        <v>179</v>
      </c>
      <c r="EH531" s="14" t="s">
        <v>12783</v>
      </c>
      <c r="EI531" s="14" t="s">
        <v>179</v>
      </c>
      <c r="EJ531" s="14" t="s">
        <v>12783</v>
      </c>
      <c r="EK531" s="14" t="s">
        <v>179</v>
      </c>
      <c r="EL531" s="14" t="s">
        <v>12784</v>
      </c>
      <c r="EM531" s="14" t="s">
        <v>179</v>
      </c>
      <c r="EN531" s="14" t="s">
        <v>12785</v>
      </c>
      <c r="EO531" s="15"/>
      <c r="EP531" s="15"/>
      <c r="EQ531" s="15"/>
      <c r="ER531" s="15"/>
      <c r="ES531" s="15"/>
      <c r="ET531" s="15"/>
      <c r="EU531" s="15"/>
      <c r="EV531" s="15"/>
      <c r="EW531" s="15"/>
      <c r="EX531" s="15"/>
      <c r="EY531" s="15"/>
      <c r="EZ531" s="15"/>
      <c r="FA531" s="15"/>
      <c r="FB531" s="15"/>
      <c r="FC531" s="16" t="s">
        <v>197</v>
      </c>
      <c r="FD531" s="17" t="s">
        <v>198</v>
      </c>
      <c r="FE531" s="18">
        <v>45723.2944212963</v>
      </c>
      <c r="FF531" s="19"/>
      <c r="FG531" s="19"/>
      <c r="FH531" s="21" t="s">
        <v>197</v>
      </c>
      <c r="FI531" s="17" t="s">
        <v>214</v>
      </c>
      <c r="FJ531" s="18">
        <v>45723.2944212963</v>
      </c>
      <c r="FK531" s="14" t="s">
        <v>12785</v>
      </c>
      <c r="FL531" s="14" t="s">
        <v>12786</v>
      </c>
      <c r="FM531" s="14" t="s">
        <v>12787</v>
      </c>
      <c r="FN531" s="19"/>
      <c r="FO531" s="19"/>
      <c r="FP531" s="19" t="str">
        <f t="shared" si="1"/>
        <v>Base de Dados_Images/MX9506.Imagem do Equipamento-.163843.jpg</v>
      </c>
      <c r="FQ531" s="19"/>
      <c r="FR531" s="19"/>
    </row>
    <row r="532" ht="15.75" customHeight="1">
      <c r="A532" s="12" t="s">
        <v>217</v>
      </c>
      <c r="B532" s="12" t="s">
        <v>12788</v>
      </c>
      <c r="C532" s="24" t="s">
        <v>494</v>
      </c>
      <c r="D532" s="12" t="s">
        <v>12789</v>
      </c>
      <c r="E532" s="12" t="s">
        <v>12790</v>
      </c>
      <c r="F532" s="13" t="s">
        <v>178</v>
      </c>
      <c r="G532" s="14" t="s">
        <v>179</v>
      </c>
      <c r="H532" s="14" t="s">
        <v>12791</v>
      </c>
      <c r="I532" s="14" t="s">
        <v>179</v>
      </c>
      <c r="J532" s="14" t="s">
        <v>12792</v>
      </c>
      <c r="K532" s="14" t="s">
        <v>179</v>
      </c>
      <c r="L532" s="14" t="s">
        <v>12793</v>
      </c>
      <c r="M532" s="14" t="s">
        <v>179</v>
      </c>
      <c r="N532" s="14" t="s">
        <v>12794</v>
      </c>
      <c r="O532" s="14" t="s">
        <v>179</v>
      </c>
      <c r="P532" s="14" t="s">
        <v>12795</v>
      </c>
      <c r="Q532" s="14" t="s">
        <v>179</v>
      </c>
      <c r="R532" s="14" t="s">
        <v>12796</v>
      </c>
      <c r="S532" s="14" t="s">
        <v>179</v>
      </c>
      <c r="T532" s="14" t="s">
        <v>12797</v>
      </c>
      <c r="U532" s="14" t="s">
        <v>179</v>
      </c>
      <c r="V532" s="14" t="s">
        <v>12798</v>
      </c>
      <c r="W532" s="14" t="s">
        <v>179</v>
      </c>
      <c r="X532" s="14" t="s">
        <v>12799</v>
      </c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6" t="s">
        <v>197</v>
      </c>
      <c r="BP532" s="17" t="s">
        <v>198</v>
      </c>
      <c r="BQ532" s="18">
        <v>45694.49949074074</v>
      </c>
      <c r="BR532" s="17" t="s">
        <v>198</v>
      </c>
      <c r="BS532" s="18">
        <v>45694.499560185184</v>
      </c>
      <c r="BT532" s="17" t="s">
        <v>198</v>
      </c>
      <c r="BU532" s="18">
        <v>45694.499560185184</v>
      </c>
      <c r="BV532" s="13" t="s">
        <v>199</v>
      </c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9"/>
      <c r="CH532" s="15"/>
      <c r="CI532" s="19"/>
      <c r="CJ532" s="15"/>
      <c r="CK532" s="19"/>
      <c r="CL532" s="15"/>
      <c r="CM532" s="19"/>
      <c r="CN532" s="15"/>
      <c r="CO532" s="19"/>
      <c r="CP532" s="15"/>
      <c r="CQ532" s="15"/>
      <c r="CR532" s="15"/>
      <c r="CS532" s="19"/>
      <c r="CT532" s="15"/>
      <c r="CU532" s="19"/>
      <c r="CV532" s="15"/>
      <c r="CW532" s="19"/>
      <c r="CX532" s="15"/>
      <c r="CY532" s="19"/>
      <c r="CZ532" s="15"/>
      <c r="DA532" s="16" t="s">
        <v>197</v>
      </c>
      <c r="DB532" s="17" t="s">
        <v>228</v>
      </c>
      <c r="DC532" s="16"/>
      <c r="DD532" s="17" t="s">
        <v>228</v>
      </c>
      <c r="DE532" s="23"/>
      <c r="DF532" s="17" t="s">
        <v>228</v>
      </c>
      <c r="DG532" s="23"/>
      <c r="DH532" s="13" t="s">
        <v>205</v>
      </c>
      <c r="DI532" s="14" t="s">
        <v>179</v>
      </c>
      <c r="DJ532" s="14" t="s">
        <v>12800</v>
      </c>
      <c r="DK532" s="14" t="s">
        <v>179</v>
      </c>
      <c r="DL532" s="14" t="s">
        <v>12801</v>
      </c>
      <c r="DM532" s="15"/>
      <c r="DN532" s="15"/>
      <c r="DO532" s="15"/>
      <c r="DP532" s="15"/>
      <c r="DQ532" s="15"/>
      <c r="DR532" s="15"/>
      <c r="DS532" s="15"/>
      <c r="DT532" s="15"/>
      <c r="DU532" s="15"/>
      <c r="DV532" s="15"/>
      <c r="DW532" s="15"/>
      <c r="DX532" s="15"/>
      <c r="DY532" s="15"/>
      <c r="DZ532" s="15"/>
      <c r="EA532" s="15"/>
      <c r="EB532" s="15"/>
      <c r="EC532" s="16" t="s">
        <v>197</v>
      </c>
      <c r="ED532" s="17" t="s">
        <v>198</v>
      </c>
      <c r="EE532" s="18">
        <v>45695.63643518519</v>
      </c>
      <c r="EF532" s="13" t="s">
        <v>209</v>
      </c>
      <c r="EG532" s="14" t="s">
        <v>179</v>
      </c>
      <c r="EH532" s="14" t="s">
        <v>12802</v>
      </c>
      <c r="EI532" s="14" t="s">
        <v>179</v>
      </c>
      <c r="EJ532" s="14" t="s">
        <v>12803</v>
      </c>
      <c r="EK532" s="14" t="s">
        <v>179</v>
      </c>
      <c r="EL532" s="14" t="s">
        <v>12804</v>
      </c>
      <c r="EM532" s="14" t="s">
        <v>179</v>
      </c>
      <c r="EN532" s="14" t="s">
        <v>12805</v>
      </c>
      <c r="EO532" s="15"/>
      <c r="EP532" s="15"/>
      <c r="EQ532" s="15"/>
      <c r="ER532" s="15"/>
      <c r="ES532" s="15"/>
      <c r="ET532" s="15"/>
      <c r="EU532" s="15"/>
      <c r="EV532" s="15"/>
      <c r="EW532" s="15"/>
      <c r="EX532" s="15"/>
      <c r="EY532" s="15"/>
      <c r="EZ532" s="15"/>
      <c r="FA532" s="15"/>
      <c r="FB532" s="15"/>
      <c r="FC532" s="16" t="s">
        <v>197</v>
      </c>
      <c r="FD532" s="17" t="s">
        <v>198</v>
      </c>
      <c r="FE532" s="18">
        <v>45708.52875</v>
      </c>
      <c r="FF532" s="19"/>
      <c r="FG532" s="19"/>
      <c r="FH532" s="21" t="s">
        <v>197</v>
      </c>
      <c r="FI532" s="17" t="s">
        <v>214</v>
      </c>
      <c r="FJ532" s="18">
        <v>45708.52875</v>
      </c>
      <c r="FK532" s="14" t="s">
        <v>12805</v>
      </c>
      <c r="FL532" s="19"/>
      <c r="FM532" s="19"/>
      <c r="FN532" s="19"/>
      <c r="FO532" s="19"/>
      <c r="FP532" s="19" t="str">
        <f t="shared" si="1"/>
        <v/>
      </c>
      <c r="FQ532" s="14" t="s">
        <v>215</v>
      </c>
      <c r="FR532" s="14" t="s">
        <v>12806</v>
      </c>
    </row>
    <row r="533" ht="15.75" customHeight="1">
      <c r="A533" s="12" t="s">
        <v>292</v>
      </c>
      <c r="B533" s="12" t="s">
        <v>1975</v>
      </c>
      <c r="C533" s="12" t="s">
        <v>219</v>
      </c>
      <c r="D533" s="22" t="s">
        <v>12807</v>
      </c>
      <c r="E533" s="22" t="s">
        <v>12808</v>
      </c>
      <c r="F533" s="13" t="s">
        <v>178</v>
      </c>
      <c r="G533" s="14" t="s">
        <v>179</v>
      </c>
      <c r="H533" s="14" t="s">
        <v>12809</v>
      </c>
      <c r="I533" s="14" t="s">
        <v>179</v>
      </c>
      <c r="J533" s="14" t="s">
        <v>12810</v>
      </c>
      <c r="K533" s="14" t="s">
        <v>179</v>
      </c>
      <c r="L533" s="14" t="s">
        <v>12811</v>
      </c>
      <c r="M533" s="14" t="s">
        <v>179</v>
      </c>
      <c r="N533" s="14" t="s">
        <v>12812</v>
      </c>
      <c r="O533" s="14" t="s">
        <v>179</v>
      </c>
      <c r="P533" s="14" t="s">
        <v>12813</v>
      </c>
      <c r="Q533" s="14" t="s">
        <v>179</v>
      </c>
      <c r="R533" s="14" t="s">
        <v>12814</v>
      </c>
      <c r="S533" s="14" t="s">
        <v>179</v>
      </c>
      <c r="T533" s="14" t="s">
        <v>12815</v>
      </c>
      <c r="U533" s="14" t="s">
        <v>179</v>
      </c>
      <c r="V533" s="14" t="s">
        <v>12816</v>
      </c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6" t="s">
        <v>197</v>
      </c>
      <c r="BP533" s="17" t="s">
        <v>228</v>
      </c>
      <c r="BQ533" s="23"/>
      <c r="BR533" s="17" t="s">
        <v>198</v>
      </c>
      <c r="BS533" s="18">
        <v>45702.48994212963</v>
      </c>
      <c r="BT533" s="17" t="s">
        <v>198</v>
      </c>
      <c r="BU533" s="18">
        <v>45702.48994212963</v>
      </c>
      <c r="BV533" s="13" t="s">
        <v>199</v>
      </c>
      <c r="BW533" s="14" t="s">
        <v>179</v>
      </c>
      <c r="BX533" s="14" t="s">
        <v>12817</v>
      </c>
      <c r="BY533" s="14" t="s">
        <v>179</v>
      </c>
      <c r="BZ533" s="14" t="s">
        <v>12818</v>
      </c>
      <c r="CA533" s="15"/>
      <c r="CB533" s="15"/>
      <c r="CC533" s="15"/>
      <c r="CD533" s="15"/>
      <c r="CE533" s="15"/>
      <c r="CF533" s="15"/>
      <c r="CG533" s="19"/>
      <c r="CH533" s="15"/>
      <c r="CI533" s="19"/>
      <c r="CJ533" s="15"/>
      <c r="CK533" s="19"/>
      <c r="CL533" s="15"/>
      <c r="CM533" s="19"/>
      <c r="CN533" s="15"/>
      <c r="CO533" s="19"/>
      <c r="CP533" s="15"/>
      <c r="CQ533" s="15"/>
      <c r="CR533" s="15"/>
      <c r="CS533" s="19"/>
      <c r="CT533" s="15"/>
      <c r="CU533" s="19"/>
      <c r="CV533" s="15"/>
      <c r="CW533" s="19"/>
      <c r="CX533" s="15"/>
      <c r="CY533" s="19"/>
      <c r="CZ533" s="15"/>
      <c r="DA533" s="16" t="s">
        <v>197</v>
      </c>
      <c r="DB533" s="17" t="s">
        <v>228</v>
      </c>
      <c r="DC533" s="16"/>
      <c r="DD533" s="17" t="s">
        <v>198</v>
      </c>
      <c r="DE533" s="18">
        <v>45719.50355324074</v>
      </c>
      <c r="DF533" s="17" t="s">
        <v>198</v>
      </c>
      <c r="DG533" s="18">
        <v>45719.50355324074</v>
      </c>
      <c r="DH533" s="13" t="s">
        <v>205</v>
      </c>
      <c r="DI533" s="14" t="s">
        <v>179</v>
      </c>
      <c r="DJ533" s="14" t="s">
        <v>12819</v>
      </c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6" t="s">
        <v>197</v>
      </c>
      <c r="ED533" s="17" t="s">
        <v>198</v>
      </c>
      <c r="EE533" s="18">
        <v>45719.50361111111</v>
      </c>
      <c r="EF533" s="13" t="s">
        <v>209</v>
      </c>
      <c r="EG533" s="14" t="s">
        <v>179</v>
      </c>
      <c r="EH533" s="14" t="s">
        <v>12820</v>
      </c>
      <c r="EI533" s="15"/>
      <c r="EJ533" s="15"/>
      <c r="EK533" s="15"/>
      <c r="EL533" s="15"/>
      <c r="EM533" s="15"/>
      <c r="EN533" s="15"/>
      <c r="EO533" s="15"/>
      <c r="EP533" s="15"/>
      <c r="EQ533" s="15"/>
      <c r="ER533" s="15"/>
      <c r="ES533" s="15"/>
      <c r="ET533" s="15"/>
      <c r="EU533" s="15"/>
      <c r="EV533" s="15"/>
      <c r="EW533" s="15"/>
      <c r="EX533" s="15"/>
      <c r="EY533" s="15"/>
      <c r="EZ533" s="15"/>
      <c r="FA533" s="15"/>
      <c r="FB533" s="15"/>
      <c r="FC533" s="16" t="s">
        <v>197</v>
      </c>
      <c r="FD533" s="17" t="s">
        <v>198</v>
      </c>
      <c r="FE533" s="18">
        <v>45722.50931712963</v>
      </c>
      <c r="FF533" s="19"/>
      <c r="FG533" s="19"/>
      <c r="FH533" s="21" t="s">
        <v>197</v>
      </c>
      <c r="FI533" s="17" t="s">
        <v>214</v>
      </c>
      <c r="FJ533" s="18">
        <v>45722.50931712963</v>
      </c>
      <c r="FK533" s="14" t="s">
        <v>12820</v>
      </c>
      <c r="FL533" s="14" t="s">
        <v>12821</v>
      </c>
      <c r="FM533" s="14" t="s">
        <v>12822</v>
      </c>
      <c r="FN533" s="19"/>
      <c r="FO533" s="19"/>
      <c r="FP533" s="19" t="str">
        <f t="shared" si="1"/>
        <v>Base de Dados_Images/PCV30045.Imagem do Equipamento-.145119.jpg</v>
      </c>
      <c r="FQ533" s="14"/>
      <c r="FR533" s="14"/>
    </row>
    <row r="534" ht="15.75" customHeight="1">
      <c r="A534" s="12" t="s">
        <v>217</v>
      </c>
      <c r="B534" s="12" t="s">
        <v>7566</v>
      </c>
      <c r="C534" s="12" t="s">
        <v>219</v>
      </c>
      <c r="D534" s="22" t="s">
        <v>12823</v>
      </c>
      <c r="E534" s="22" t="s">
        <v>12824</v>
      </c>
      <c r="F534" s="13" t="s">
        <v>178</v>
      </c>
      <c r="G534" s="14" t="s">
        <v>179</v>
      </c>
      <c r="H534" s="14" t="s">
        <v>12825</v>
      </c>
      <c r="I534" s="14" t="s">
        <v>179</v>
      </c>
      <c r="J534" s="14" t="s">
        <v>12826</v>
      </c>
      <c r="K534" s="14" t="s">
        <v>179</v>
      </c>
      <c r="L534" s="14" t="s">
        <v>12827</v>
      </c>
      <c r="M534" s="14" t="s">
        <v>179</v>
      </c>
      <c r="N534" s="14" t="s">
        <v>12828</v>
      </c>
      <c r="O534" s="14" t="s">
        <v>179</v>
      </c>
      <c r="P534" s="14" t="s">
        <v>12829</v>
      </c>
      <c r="Q534" s="14" t="s">
        <v>179</v>
      </c>
      <c r="R534" s="14" t="s">
        <v>12830</v>
      </c>
      <c r="S534" s="14" t="s">
        <v>179</v>
      </c>
      <c r="T534" s="14" t="s">
        <v>12831</v>
      </c>
      <c r="U534" s="14" t="s">
        <v>179</v>
      </c>
      <c r="V534" s="14" t="s">
        <v>12832</v>
      </c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6" t="s">
        <v>197</v>
      </c>
      <c r="BP534" s="17" t="s">
        <v>228</v>
      </c>
      <c r="BQ534" s="23"/>
      <c r="BR534" s="17" t="s">
        <v>198</v>
      </c>
      <c r="BS534" s="18">
        <v>45686.57361111111</v>
      </c>
      <c r="BT534" s="17" t="s">
        <v>198</v>
      </c>
      <c r="BU534" s="18">
        <v>45686.57361111111</v>
      </c>
      <c r="BV534" s="13" t="s">
        <v>199</v>
      </c>
      <c r="BW534" s="14" t="s">
        <v>179</v>
      </c>
      <c r="BX534" s="14" t="s">
        <v>12833</v>
      </c>
      <c r="BY534" s="14" t="s">
        <v>179</v>
      </c>
      <c r="BZ534" s="14" t="s">
        <v>12834</v>
      </c>
      <c r="CA534" s="15"/>
      <c r="CB534" s="15"/>
      <c r="CC534" s="15"/>
      <c r="CD534" s="15"/>
      <c r="CE534" s="15"/>
      <c r="CF534" s="15"/>
      <c r="CG534" s="19"/>
      <c r="CH534" s="15"/>
      <c r="CI534" s="19"/>
      <c r="CJ534" s="15"/>
      <c r="CK534" s="19"/>
      <c r="CL534" s="15"/>
      <c r="CM534" s="19"/>
      <c r="CN534" s="15"/>
      <c r="CO534" s="19"/>
      <c r="CP534" s="15"/>
      <c r="CQ534" s="15"/>
      <c r="CR534" s="15"/>
      <c r="CS534" s="19"/>
      <c r="CT534" s="15"/>
      <c r="CU534" s="19"/>
      <c r="CV534" s="15"/>
      <c r="CW534" s="19"/>
      <c r="CX534" s="15"/>
      <c r="CY534" s="19"/>
      <c r="CZ534" s="15"/>
      <c r="DA534" s="16" t="s">
        <v>197</v>
      </c>
      <c r="DB534" s="17" t="s">
        <v>228</v>
      </c>
      <c r="DC534" s="16"/>
      <c r="DD534" s="17" t="s">
        <v>198</v>
      </c>
      <c r="DE534" s="18">
        <v>45686.57375</v>
      </c>
      <c r="DF534" s="17" t="s">
        <v>198</v>
      </c>
      <c r="DG534" s="18">
        <v>45686.57375</v>
      </c>
      <c r="DH534" s="13" t="s">
        <v>205</v>
      </c>
      <c r="DI534" s="14" t="s">
        <v>179</v>
      </c>
      <c r="DJ534" s="14" t="s">
        <v>12835</v>
      </c>
      <c r="DK534" s="15"/>
      <c r="DL534" s="15"/>
      <c r="DM534" s="15"/>
      <c r="DN534" s="15"/>
      <c r="DO534" s="15"/>
      <c r="DP534" s="15"/>
      <c r="DQ534" s="15"/>
      <c r="DR534" s="15"/>
      <c r="DS534" s="15"/>
      <c r="DT534" s="15"/>
      <c r="DU534" s="15"/>
      <c r="DV534" s="15"/>
      <c r="DW534" s="15"/>
      <c r="DX534" s="15"/>
      <c r="DY534" s="15"/>
      <c r="DZ534" s="15"/>
      <c r="EA534" s="15"/>
      <c r="EB534" s="15"/>
      <c r="EC534" s="16" t="s">
        <v>197</v>
      </c>
      <c r="ED534" s="17" t="s">
        <v>198</v>
      </c>
      <c r="EE534" s="18">
        <v>45708.446921296294</v>
      </c>
      <c r="EF534" s="13" t="s">
        <v>209</v>
      </c>
      <c r="EG534" s="14" t="s">
        <v>179</v>
      </c>
      <c r="EH534" s="14" t="s">
        <v>12836</v>
      </c>
      <c r="EI534" s="15"/>
      <c r="EJ534" s="15"/>
      <c r="EK534" s="15"/>
      <c r="EL534" s="15"/>
      <c r="EM534" s="15"/>
      <c r="EN534" s="15"/>
      <c r="EO534" s="15"/>
      <c r="EP534" s="15"/>
      <c r="EQ534" s="15"/>
      <c r="ER534" s="15"/>
      <c r="ES534" s="15"/>
      <c r="ET534" s="15"/>
      <c r="EU534" s="15"/>
      <c r="EV534" s="15"/>
      <c r="EW534" s="15"/>
      <c r="EX534" s="15"/>
      <c r="EY534" s="15"/>
      <c r="EZ534" s="15"/>
      <c r="FA534" s="15"/>
      <c r="FB534" s="15"/>
      <c r="FC534" s="16" t="s">
        <v>197</v>
      </c>
      <c r="FD534" s="17" t="s">
        <v>198</v>
      </c>
      <c r="FE534" s="18">
        <v>45723.34302083333</v>
      </c>
      <c r="FF534" s="19"/>
      <c r="FG534" s="19"/>
      <c r="FH534" s="21" t="s">
        <v>197</v>
      </c>
      <c r="FI534" s="17" t="s">
        <v>214</v>
      </c>
      <c r="FJ534" s="18">
        <v>45723.34302083333</v>
      </c>
      <c r="FK534" s="14" t="s">
        <v>12836</v>
      </c>
      <c r="FL534" s="14" t="s">
        <v>12837</v>
      </c>
      <c r="FM534" s="14" t="s">
        <v>12838</v>
      </c>
      <c r="FN534" s="19"/>
      <c r="FO534" s="19"/>
      <c r="FP534" s="19" t="str">
        <f t="shared" si="1"/>
        <v>Base de Dados_Images/PCV40002A.Imagem do Equipamento-.190541.jpg</v>
      </c>
      <c r="FQ534" s="19"/>
      <c r="FR534" s="19"/>
    </row>
    <row r="535" ht="15.75" customHeight="1">
      <c r="A535" s="12" t="s">
        <v>217</v>
      </c>
      <c r="B535" s="12" t="s">
        <v>7566</v>
      </c>
      <c r="C535" s="12" t="s">
        <v>219</v>
      </c>
      <c r="D535" s="22" t="s">
        <v>12839</v>
      </c>
      <c r="E535" s="22" t="s">
        <v>12840</v>
      </c>
      <c r="F535" s="13" t="s">
        <v>178</v>
      </c>
      <c r="G535" s="14" t="s">
        <v>179</v>
      </c>
      <c r="H535" s="14" t="s">
        <v>12841</v>
      </c>
      <c r="I535" s="14" t="s">
        <v>179</v>
      </c>
      <c r="J535" s="14" t="s">
        <v>12842</v>
      </c>
      <c r="K535" s="14" t="s">
        <v>179</v>
      </c>
      <c r="L535" s="14" t="s">
        <v>12843</v>
      </c>
      <c r="M535" s="14" t="s">
        <v>179</v>
      </c>
      <c r="N535" s="14" t="s">
        <v>12844</v>
      </c>
      <c r="O535" s="14" t="s">
        <v>179</v>
      </c>
      <c r="P535" s="14" t="s">
        <v>12845</v>
      </c>
      <c r="Q535" s="14" t="s">
        <v>179</v>
      </c>
      <c r="R535" s="14" t="s">
        <v>12846</v>
      </c>
      <c r="S535" s="14" t="s">
        <v>179</v>
      </c>
      <c r="T535" s="14" t="s">
        <v>12847</v>
      </c>
      <c r="U535" s="14" t="s">
        <v>179</v>
      </c>
      <c r="V535" s="14" t="s">
        <v>12848</v>
      </c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6" t="s">
        <v>197</v>
      </c>
      <c r="BP535" s="17" t="s">
        <v>228</v>
      </c>
      <c r="BQ535" s="23"/>
      <c r="BR535" s="17" t="s">
        <v>198</v>
      </c>
      <c r="BS535" s="18">
        <v>45686.57103009259</v>
      </c>
      <c r="BT535" s="17" t="s">
        <v>198</v>
      </c>
      <c r="BU535" s="18">
        <v>45686.57103009259</v>
      </c>
      <c r="BV535" s="13" t="s">
        <v>199</v>
      </c>
      <c r="BW535" s="14" t="s">
        <v>179</v>
      </c>
      <c r="BX535" s="14" t="s">
        <v>12849</v>
      </c>
      <c r="BY535" s="14" t="s">
        <v>179</v>
      </c>
      <c r="BZ535" s="14" t="s">
        <v>12850</v>
      </c>
      <c r="CA535" s="15"/>
      <c r="CB535" s="15"/>
      <c r="CC535" s="15"/>
      <c r="CD535" s="15"/>
      <c r="CE535" s="15"/>
      <c r="CF535" s="15"/>
      <c r="CG535" s="19"/>
      <c r="CH535" s="15"/>
      <c r="CI535" s="19"/>
      <c r="CJ535" s="15"/>
      <c r="CK535" s="19"/>
      <c r="CL535" s="15"/>
      <c r="CM535" s="19"/>
      <c r="CN535" s="15"/>
      <c r="CO535" s="19"/>
      <c r="CP535" s="15"/>
      <c r="CQ535" s="15"/>
      <c r="CR535" s="15"/>
      <c r="CS535" s="19"/>
      <c r="CT535" s="15"/>
      <c r="CU535" s="19"/>
      <c r="CV535" s="15"/>
      <c r="CW535" s="19"/>
      <c r="CX535" s="15"/>
      <c r="CY535" s="19"/>
      <c r="CZ535" s="15"/>
      <c r="DA535" s="16" t="s">
        <v>197</v>
      </c>
      <c r="DB535" s="17" t="s">
        <v>228</v>
      </c>
      <c r="DC535" s="16"/>
      <c r="DD535" s="17" t="s">
        <v>198</v>
      </c>
      <c r="DE535" s="18">
        <v>45686.571226851855</v>
      </c>
      <c r="DF535" s="17" t="s">
        <v>198</v>
      </c>
      <c r="DG535" s="18">
        <v>45686.571226851855</v>
      </c>
      <c r="DH535" s="13" t="s">
        <v>205</v>
      </c>
      <c r="DI535" s="14" t="s">
        <v>179</v>
      </c>
      <c r="DJ535" s="14" t="s">
        <v>12851</v>
      </c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6" t="s">
        <v>197</v>
      </c>
      <c r="ED535" s="17" t="s">
        <v>198</v>
      </c>
      <c r="EE535" s="18">
        <v>45699.391851851855</v>
      </c>
      <c r="EF535" s="13" t="s">
        <v>209</v>
      </c>
      <c r="EG535" s="14" t="s">
        <v>179</v>
      </c>
      <c r="EH535" s="14" t="s">
        <v>12852</v>
      </c>
      <c r="EI535" s="15"/>
      <c r="EJ535" s="15"/>
      <c r="EK535" s="15"/>
      <c r="EL535" s="15"/>
      <c r="EM535" s="15"/>
      <c r="EN535" s="15"/>
      <c r="EO535" s="15"/>
      <c r="EP535" s="15"/>
      <c r="EQ535" s="15"/>
      <c r="ER535" s="15"/>
      <c r="ES535" s="15"/>
      <c r="ET535" s="15"/>
      <c r="EU535" s="15"/>
      <c r="EV535" s="15"/>
      <c r="EW535" s="15"/>
      <c r="EX535" s="15"/>
      <c r="EY535" s="15"/>
      <c r="EZ535" s="15"/>
      <c r="FA535" s="15"/>
      <c r="FB535" s="15"/>
      <c r="FC535" s="16" t="s">
        <v>197</v>
      </c>
      <c r="FD535" s="17" t="s">
        <v>198</v>
      </c>
      <c r="FE535" s="18">
        <v>45723.34306712963</v>
      </c>
      <c r="FF535" s="19"/>
      <c r="FG535" s="19"/>
      <c r="FH535" s="21" t="s">
        <v>197</v>
      </c>
      <c r="FI535" s="17" t="s">
        <v>214</v>
      </c>
      <c r="FJ535" s="18">
        <v>45723.34306712963</v>
      </c>
      <c r="FK535" s="14" t="s">
        <v>12852</v>
      </c>
      <c r="FL535" s="14" t="s">
        <v>12853</v>
      </c>
      <c r="FM535" s="14" t="s">
        <v>12854</v>
      </c>
      <c r="FN535" s="19"/>
      <c r="FO535" s="19"/>
      <c r="FP535" s="19" t="str">
        <f t="shared" si="1"/>
        <v>Base de Dados_Images/PCV40002B.Imagem do Equipamento-.190456.jpg</v>
      </c>
      <c r="FQ535" s="19"/>
      <c r="FR535" s="19"/>
    </row>
    <row r="536" ht="15.75" customHeight="1">
      <c r="A536" s="12" t="s">
        <v>217</v>
      </c>
      <c r="B536" s="12" t="s">
        <v>7566</v>
      </c>
      <c r="C536" s="12" t="s">
        <v>219</v>
      </c>
      <c r="D536" s="22" t="s">
        <v>12855</v>
      </c>
      <c r="E536" s="22" t="s">
        <v>12856</v>
      </c>
      <c r="F536" s="13" t="s">
        <v>178</v>
      </c>
      <c r="G536" s="14" t="s">
        <v>179</v>
      </c>
      <c r="H536" s="14" t="s">
        <v>12857</v>
      </c>
      <c r="I536" s="14" t="s">
        <v>179</v>
      </c>
      <c r="J536" s="14" t="s">
        <v>12858</v>
      </c>
      <c r="K536" s="14" t="s">
        <v>179</v>
      </c>
      <c r="L536" s="14" t="s">
        <v>12859</v>
      </c>
      <c r="M536" s="14" t="s">
        <v>179</v>
      </c>
      <c r="N536" s="14" t="s">
        <v>12859</v>
      </c>
      <c r="O536" s="14" t="s">
        <v>179</v>
      </c>
      <c r="P536" s="14" t="s">
        <v>12860</v>
      </c>
      <c r="Q536" s="14" t="s">
        <v>179</v>
      </c>
      <c r="R536" s="14" t="s">
        <v>12861</v>
      </c>
      <c r="S536" s="14" t="s">
        <v>179</v>
      </c>
      <c r="T536" s="14" t="s">
        <v>12862</v>
      </c>
      <c r="U536" s="14" t="s">
        <v>179</v>
      </c>
      <c r="V536" s="14" t="s">
        <v>12863</v>
      </c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6" t="s">
        <v>197</v>
      </c>
      <c r="BP536" s="17" t="s">
        <v>228</v>
      </c>
      <c r="BQ536" s="23"/>
      <c r="BR536" s="17" t="s">
        <v>198</v>
      </c>
      <c r="BS536" s="18">
        <v>45705.39487268519</v>
      </c>
      <c r="BT536" s="17" t="s">
        <v>198</v>
      </c>
      <c r="BU536" s="18">
        <v>45705.39487268519</v>
      </c>
      <c r="BV536" s="13" t="s">
        <v>199</v>
      </c>
      <c r="BW536" s="14" t="s">
        <v>179</v>
      </c>
      <c r="BX536" s="14" t="s">
        <v>12864</v>
      </c>
      <c r="BY536" s="14" t="s">
        <v>179</v>
      </c>
      <c r="BZ536" s="14" t="s">
        <v>12865</v>
      </c>
      <c r="CA536" s="15"/>
      <c r="CB536" s="15"/>
      <c r="CC536" s="15"/>
      <c r="CD536" s="15"/>
      <c r="CE536" s="15"/>
      <c r="CF536" s="15"/>
      <c r="CG536" s="19"/>
      <c r="CH536" s="15"/>
      <c r="CI536" s="19"/>
      <c r="CJ536" s="15"/>
      <c r="CK536" s="19"/>
      <c r="CL536" s="15"/>
      <c r="CM536" s="19"/>
      <c r="CN536" s="15"/>
      <c r="CO536" s="19"/>
      <c r="CP536" s="15"/>
      <c r="CQ536" s="15"/>
      <c r="CR536" s="15"/>
      <c r="CS536" s="19"/>
      <c r="CT536" s="15"/>
      <c r="CU536" s="19"/>
      <c r="CV536" s="15"/>
      <c r="CW536" s="19"/>
      <c r="CX536" s="15"/>
      <c r="CY536" s="19"/>
      <c r="CZ536" s="15"/>
      <c r="DA536" s="16" t="s">
        <v>197</v>
      </c>
      <c r="DB536" s="17" t="s">
        <v>228</v>
      </c>
      <c r="DC536" s="16"/>
      <c r="DD536" s="17" t="s">
        <v>198</v>
      </c>
      <c r="DE536" s="18">
        <v>45708.43418981481</v>
      </c>
      <c r="DF536" s="17" t="s">
        <v>198</v>
      </c>
      <c r="DG536" s="18">
        <v>45708.43418981481</v>
      </c>
      <c r="DH536" s="13" t="s">
        <v>205</v>
      </c>
      <c r="DI536" s="14" t="s">
        <v>179</v>
      </c>
      <c r="DJ536" s="14" t="s">
        <v>12866</v>
      </c>
      <c r="DK536" s="15"/>
      <c r="DL536" s="15"/>
      <c r="DM536" s="15"/>
      <c r="DN536" s="15"/>
      <c r="DO536" s="15"/>
      <c r="DP536" s="15"/>
      <c r="DQ536" s="15"/>
      <c r="DR536" s="15"/>
      <c r="DS536" s="15"/>
      <c r="DT536" s="15"/>
      <c r="DU536" s="15"/>
      <c r="DV536" s="15"/>
      <c r="DW536" s="15"/>
      <c r="DX536" s="15"/>
      <c r="DY536" s="15"/>
      <c r="DZ536" s="15"/>
      <c r="EA536" s="15"/>
      <c r="EB536" s="15"/>
      <c r="EC536" s="16" t="s">
        <v>197</v>
      </c>
      <c r="ED536" s="17" t="s">
        <v>198</v>
      </c>
      <c r="EE536" s="18">
        <v>45708.43423611111</v>
      </c>
      <c r="EF536" s="13" t="s">
        <v>209</v>
      </c>
      <c r="EG536" s="14" t="s">
        <v>179</v>
      </c>
      <c r="EH536" s="14" t="s">
        <v>12867</v>
      </c>
      <c r="EI536" s="15"/>
      <c r="EJ536" s="15"/>
      <c r="EK536" s="15"/>
      <c r="EL536" s="15"/>
      <c r="EM536" s="15"/>
      <c r="EN536" s="15"/>
      <c r="EO536" s="15"/>
      <c r="EP536" s="15"/>
      <c r="EQ536" s="15"/>
      <c r="ER536" s="15"/>
      <c r="ES536" s="15"/>
      <c r="ET536" s="15"/>
      <c r="EU536" s="15"/>
      <c r="EV536" s="15"/>
      <c r="EW536" s="15"/>
      <c r="EX536" s="15"/>
      <c r="EY536" s="15"/>
      <c r="EZ536" s="15"/>
      <c r="FA536" s="15"/>
      <c r="FB536" s="15"/>
      <c r="FC536" s="16" t="s">
        <v>197</v>
      </c>
      <c r="FD536" s="17" t="s">
        <v>198</v>
      </c>
      <c r="FE536" s="18">
        <v>45723.343136574076</v>
      </c>
      <c r="FF536" s="19"/>
      <c r="FG536" s="19"/>
      <c r="FH536" s="21" t="s">
        <v>197</v>
      </c>
      <c r="FI536" s="17" t="s">
        <v>214</v>
      </c>
      <c r="FJ536" s="18">
        <v>45723.343136574076</v>
      </c>
      <c r="FK536" s="14" t="s">
        <v>12867</v>
      </c>
      <c r="FL536" s="19"/>
      <c r="FM536" s="19"/>
      <c r="FN536" s="19"/>
      <c r="FO536" s="19"/>
      <c r="FP536" s="19" t="str">
        <f t="shared" si="1"/>
        <v/>
      </c>
      <c r="FQ536" s="14" t="s">
        <v>215</v>
      </c>
      <c r="FR536" s="14" t="s">
        <v>12868</v>
      </c>
    </row>
    <row r="537" ht="15.75" customHeight="1">
      <c r="A537" s="12" t="s">
        <v>217</v>
      </c>
      <c r="B537" s="12" t="s">
        <v>7566</v>
      </c>
      <c r="C537" s="12" t="s">
        <v>219</v>
      </c>
      <c r="D537" s="22" t="s">
        <v>12869</v>
      </c>
      <c r="E537" s="22" t="s">
        <v>12870</v>
      </c>
      <c r="F537" s="13" t="s">
        <v>178</v>
      </c>
      <c r="G537" s="14" t="s">
        <v>179</v>
      </c>
      <c r="H537" s="14" t="s">
        <v>12871</v>
      </c>
      <c r="I537" s="14" t="s">
        <v>179</v>
      </c>
      <c r="J537" s="14" t="s">
        <v>12872</v>
      </c>
      <c r="K537" s="14" t="s">
        <v>179</v>
      </c>
      <c r="L537" s="14" t="s">
        <v>12873</v>
      </c>
      <c r="M537" s="14" t="s">
        <v>179</v>
      </c>
      <c r="N537" s="14" t="s">
        <v>12874</v>
      </c>
      <c r="O537" s="14" t="s">
        <v>179</v>
      </c>
      <c r="P537" s="14" t="s">
        <v>12875</v>
      </c>
      <c r="Q537" s="14" t="s">
        <v>179</v>
      </c>
      <c r="R537" s="14" t="s">
        <v>12876</v>
      </c>
      <c r="S537" s="14" t="s">
        <v>179</v>
      </c>
      <c r="T537" s="14" t="s">
        <v>12877</v>
      </c>
      <c r="U537" s="14" t="s">
        <v>179</v>
      </c>
      <c r="V537" s="14" t="s">
        <v>12877</v>
      </c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6" t="s">
        <v>197</v>
      </c>
      <c r="BP537" s="17" t="s">
        <v>228</v>
      </c>
      <c r="BQ537" s="23"/>
      <c r="BR537" s="17" t="s">
        <v>198</v>
      </c>
      <c r="BS537" s="18">
        <v>45705.39543981481</v>
      </c>
      <c r="BT537" s="17" t="s">
        <v>198</v>
      </c>
      <c r="BU537" s="18">
        <v>45705.39543981481</v>
      </c>
      <c r="BV537" s="13" t="s">
        <v>199</v>
      </c>
      <c r="BW537" s="14" t="s">
        <v>179</v>
      </c>
      <c r="BX537" s="14" t="s">
        <v>12878</v>
      </c>
      <c r="BY537" s="14" t="s">
        <v>179</v>
      </c>
      <c r="BZ537" s="14" t="s">
        <v>12879</v>
      </c>
      <c r="CA537" s="15"/>
      <c r="CB537" s="15"/>
      <c r="CC537" s="15"/>
      <c r="CD537" s="15"/>
      <c r="CE537" s="15"/>
      <c r="CF537" s="15"/>
      <c r="CG537" s="19"/>
      <c r="CH537" s="15"/>
      <c r="CI537" s="19"/>
      <c r="CJ537" s="15"/>
      <c r="CK537" s="19"/>
      <c r="CL537" s="15"/>
      <c r="CM537" s="19"/>
      <c r="CN537" s="15"/>
      <c r="CO537" s="19"/>
      <c r="CP537" s="15"/>
      <c r="CQ537" s="15"/>
      <c r="CR537" s="15"/>
      <c r="CS537" s="19"/>
      <c r="CT537" s="15"/>
      <c r="CU537" s="19"/>
      <c r="CV537" s="15"/>
      <c r="CW537" s="19"/>
      <c r="CX537" s="15"/>
      <c r="CY537" s="19"/>
      <c r="CZ537" s="15"/>
      <c r="DA537" s="16" t="s">
        <v>197</v>
      </c>
      <c r="DB537" s="17" t="s">
        <v>228</v>
      </c>
      <c r="DC537" s="16"/>
      <c r="DD537" s="17" t="s">
        <v>198</v>
      </c>
      <c r="DE537" s="18">
        <v>45708.43467592593</v>
      </c>
      <c r="DF537" s="17" t="s">
        <v>198</v>
      </c>
      <c r="DG537" s="18">
        <v>45708.43467592593</v>
      </c>
      <c r="DH537" s="13" t="s">
        <v>205</v>
      </c>
      <c r="DI537" s="14" t="s">
        <v>179</v>
      </c>
      <c r="DJ537" s="14" t="s">
        <v>12880</v>
      </c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6" t="s">
        <v>197</v>
      </c>
      <c r="ED537" s="17" t="s">
        <v>198</v>
      </c>
      <c r="EE537" s="18">
        <v>45708.43472222222</v>
      </c>
      <c r="EF537" s="13" t="s">
        <v>209</v>
      </c>
      <c r="EG537" s="14" t="s">
        <v>179</v>
      </c>
      <c r="EH537" s="14" t="s">
        <v>12881</v>
      </c>
      <c r="EI537" s="15"/>
      <c r="EJ537" s="15"/>
      <c r="EK537" s="15"/>
      <c r="EL537" s="15"/>
      <c r="EM537" s="15"/>
      <c r="EN537" s="15"/>
      <c r="EO537" s="15"/>
      <c r="EP537" s="15"/>
      <c r="EQ537" s="15"/>
      <c r="ER537" s="15"/>
      <c r="ES537" s="15"/>
      <c r="ET537" s="15"/>
      <c r="EU537" s="15"/>
      <c r="EV537" s="15"/>
      <c r="EW537" s="15"/>
      <c r="EX537" s="15"/>
      <c r="EY537" s="15"/>
      <c r="EZ537" s="15"/>
      <c r="FA537" s="15"/>
      <c r="FB537" s="15"/>
      <c r="FC537" s="16" t="s">
        <v>197</v>
      </c>
      <c r="FD537" s="17" t="s">
        <v>198</v>
      </c>
      <c r="FE537" s="18">
        <v>45723.343206018515</v>
      </c>
      <c r="FF537" s="19"/>
      <c r="FG537" s="19"/>
      <c r="FH537" s="21" t="s">
        <v>197</v>
      </c>
      <c r="FI537" s="17" t="s">
        <v>214</v>
      </c>
      <c r="FJ537" s="18">
        <v>45723.343206018515</v>
      </c>
      <c r="FK537" s="14" t="s">
        <v>12881</v>
      </c>
      <c r="FL537" s="19"/>
      <c r="FM537" s="19"/>
      <c r="FN537" s="19"/>
      <c r="FO537" s="19"/>
      <c r="FP537" s="19" t="str">
        <f t="shared" si="1"/>
        <v/>
      </c>
      <c r="FQ537" s="14" t="s">
        <v>215</v>
      </c>
      <c r="FR537" s="14" t="s">
        <v>12882</v>
      </c>
    </row>
    <row r="538" ht="15.75" customHeight="1">
      <c r="A538" s="12" t="s">
        <v>217</v>
      </c>
      <c r="B538" s="12" t="s">
        <v>7566</v>
      </c>
      <c r="C538" s="12" t="s">
        <v>219</v>
      </c>
      <c r="D538" s="22" t="s">
        <v>12883</v>
      </c>
      <c r="E538" s="22" t="s">
        <v>12884</v>
      </c>
      <c r="F538" s="13" t="s">
        <v>178</v>
      </c>
      <c r="G538" s="14" t="s">
        <v>179</v>
      </c>
      <c r="H538" s="14" t="s">
        <v>12885</v>
      </c>
      <c r="I538" s="14" t="s">
        <v>179</v>
      </c>
      <c r="J538" s="14" t="s">
        <v>12886</v>
      </c>
      <c r="K538" s="14" t="s">
        <v>179</v>
      </c>
      <c r="L538" s="14" t="s">
        <v>12887</v>
      </c>
      <c r="M538" s="14" t="s">
        <v>179</v>
      </c>
      <c r="N538" s="14" t="s">
        <v>12888</v>
      </c>
      <c r="O538" s="14" t="s">
        <v>179</v>
      </c>
      <c r="P538" s="14" t="s">
        <v>12889</v>
      </c>
      <c r="Q538" s="14" t="s">
        <v>179</v>
      </c>
      <c r="R538" s="14" t="s">
        <v>12890</v>
      </c>
      <c r="S538" s="14" t="s">
        <v>179</v>
      </c>
      <c r="T538" s="14" t="s">
        <v>12891</v>
      </c>
      <c r="U538" s="14" t="s">
        <v>179</v>
      </c>
      <c r="V538" s="14" t="s">
        <v>12892</v>
      </c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6" t="s">
        <v>197</v>
      </c>
      <c r="BP538" s="17" t="s">
        <v>228</v>
      </c>
      <c r="BQ538" s="23"/>
      <c r="BR538" s="17" t="s">
        <v>198</v>
      </c>
      <c r="BS538" s="18">
        <v>45686.58347222222</v>
      </c>
      <c r="BT538" s="17" t="s">
        <v>198</v>
      </c>
      <c r="BU538" s="18">
        <v>45686.58347222222</v>
      </c>
      <c r="BV538" s="13" t="s">
        <v>199</v>
      </c>
      <c r="BW538" s="14" t="s">
        <v>179</v>
      </c>
      <c r="BX538" s="14" t="s">
        <v>12893</v>
      </c>
      <c r="BY538" s="14" t="s">
        <v>179</v>
      </c>
      <c r="BZ538" s="14" t="s">
        <v>12894</v>
      </c>
      <c r="CA538" s="15"/>
      <c r="CB538" s="15"/>
      <c r="CC538" s="15"/>
      <c r="CD538" s="15"/>
      <c r="CE538" s="15"/>
      <c r="CF538" s="15"/>
      <c r="CG538" s="19"/>
      <c r="CH538" s="15"/>
      <c r="CI538" s="19"/>
      <c r="CJ538" s="15"/>
      <c r="CK538" s="19"/>
      <c r="CL538" s="15"/>
      <c r="CM538" s="19"/>
      <c r="CN538" s="15"/>
      <c r="CO538" s="19"/>
      <c r="CP538" s="15"/>
      <c r="CQ538" s="15"/>
      <c r="CR538" s="15"/>
      <c r="CS538" s="19"/>
      <c r="CT538" s="15"/>
      <c r="CU538" s="19"/>
      <c r="CV538" s="15"/>
      <c r="CW538" s="19"/>
      <c r="CX538" s="15"/>
      <c r="CY538" s="19"/>
      <c r="CZ538" s="15"/>
      <c r="DA538" s="16" t="s">
        <v>197</v>
      </c>
      <c r="DB538" s="17" t="s">
        <v>228</v>
      </c>
      <c r="DC538" s="16"/>
      <c r="DD538" s="17" t="s">
        <v>198</v>
      </c>
      <c r="DE538" s="18">
        <v>45686.58357638889</v>
      </c>
      <c r="DF538" s="17" t="s">
        <v>198</v>
      </c>
      <c r="DG538" s="18">
        <v>45686.58357638889</v>
      </c>
      <c r="DH538" s="13" t="s">
        <v>205</v>
      </c>
      <c r="DI538" s="14" t="s">
        <v>179</v>
      </c>
      <c r="DJ538" s="14" t="s">
        <v>12895</v>
      </c>
      <c r="DK538" s="15"/>
      <c r="DL538" s="15"/>
      <c r="DM538" s="15"/>
      <c r="DN538" s="15"/>
      <c r="DO538" s="15"/>
      <c r="DP538" s="15"/>
      <c r="DQ538" s="15"/>
      <c r="DR538" s="15"/>
      <c r="DS538" s="15"/>
      <c r="DT538" s="15"/>
      <c r="DU538" s="15"/>
      <c r="DV538" s="15"/>
      <c r="DW538" s="15"/>
      <c r="DX538" s="15"/>
      <c r="DY538" s="15"/>
      <c r="DZ538" s="15"/>
      <c r="EA538" s="15"/>
      <c r="EB538" s="15"/>
      <c r="EC538" s="16" t="s">
        <v>197</v>
      </c>
      <c r="ED538" s="17" t="s">
        <v>198</v>
      </c>
      <c r="EE538" s="18">
        <v>45708.4272337963</v>
      </c>
      <c r="EF538" s="13" t="s">
        <v>209</v>
      </c>
      <c r="EG538" s="14" t="s">
        <v>179</v>
      </c>
      <c r="EH538" s="14" t="s">
        <v>12896</v>
      </c>
      <c r="EI538" s="15"/>
      <c r="EJ538" s="15"/>
      <c r="EK538" s="15"/>
      <c r="EL538" s="15"/>
      <c r="EM538" s="15"/>
      <c r="EN538" s="15"/>
      <c r="EO538" s="15"/>
      <c r="EP538" s="15"/>
      <c r="EQ538" s="15"/>
      <c r="ER538" s="15"/>
      <c r="ES538" s="15"/>
      <c r="ET538" s="15"/>
      <c r="EU538" s="15"/>
      <c r="EV538" s="15"/>
      <c r="EW538" s="15"/>
      <c r="EX538" s="15"/>
      <c r="EY538" s="15"/>
      <c r="EZ538" s="15"/>
      <c r="FA538" s="15"/>
      <c r="FB538" s="15"/>
      <c r="FC538" s="16" t="s">
        <v>197</v>
      </c>
      <c r="FD538" s="17" t="s">
        <v>198</v>
      </c>
      <c r="FE538" s="18">
        <v>45723.34326388889</v>
      </c>
      <c r="FF538" s="19"/>
      <c r="FG538" s="19"/>
      <c r="FH538" s="21" t="s">
        <v>197</v>
      </c>
      <c r="FI538" s="17" t="s">
        <v>214</v>
      </c>
      <c r="FJ538" s="18">
        <v>45723.34326388889</v>
      </c>
      <c r="FK538" s="14" t="s">
        <v>12896</v>
      </c>
      <c r="FL538" s="14" t="s">
        <v>12897</v>
      </c>
      <c r="FM538" s="14" t="s">
        <v>12898</v>
      </c>
      <c r="FN538" s="19"/>
      <c r="FO538" s="19"/>
      <c r="FP538" s="19" t="str">
        <f t="shared" si="1"/>
        <v>Base de Dados_Images/PCV40008A.Imagem do Equipamento-.190756.jpg</v>
      </c>
      <c r="FQ538" s="19"/>
      <c r="FR538" s="19"/>
    </row>
    <row r="539" ht="15.75" customHeight="1">
      <c r="A539" s="12" t="s">
        <v>217</v>
      </c>
      <c r="B539" s="12" t="s">
        <v>7566</v>
      </c>
      <c r="C539" s="12" t="s">
        <v>219</v>
      </c>
      <c r="D539" s="22" t="s">
        <v>12899</v>
      </c>
      <c r="E539" s="22" t="s">
        <v>12900</v>
      </c>
      <c r="F539" s="13" t="s">
        <v>178</v>
      </c>
      <c r="G539" s="14" t="s">
        <v>179</v>
      </c>
      <c r="H539" s="14" t="s">
        <v>12901</v>
      </c>
      <c r="I539" s="14" t="s">
        <v>179</v>
      </c>
      <c r="J539" s="14" t="s">
        <v>12902</v>
      </c>
      <c r="K539" s="14" t="s">
        <v>179</v>
      </c>
      <c r="L539" s="14" t="s">
        <v>12903</v>
      </c>
      <c r="M539" s="14" t="s">
        <v>179</v>
      </c>
      <c r="N539" s="14" t="s">
        <v>12904</v>
      </c>
      <c r="O539" s="14" t="s">
        <v>179</v>
      </c>
      <c r="P539" s="14" t="s">
        <v>12905</v>
      </c>
      <c r="Q539" s="14" t="s">
        <v>179</v>
      </c>
      <c r="R539" s="14" t="s">
        <v>12906</v>
      </c>
      <c r="S539" s="14" t="s">
        <v>179</v>
      </c>
      <c r="T539" s="14" t="s">
        <v>12907</v>
      </c>
      <c r="U539" s="14" t="s">
        <v>179</v>
      </c>
      <c r="V539" s="14" t="s">
        <v>12908</v>
      </c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6" t="s">
        <v>197</v>
      </c>
      <c r="BP539" s="17" t="s">
        <v>228</v>
      </c>
      <c r="BQ539" s="23"/>
      <c r="BR539" s="17" t="s">
        <v>198</v>
      </c>
      <c r="BS539" s="18">
        <v>45686.57628472222</v>
      </c>
      <c r="BT539" s="17" t="s">
        <v>198</v>
      </c>
      <c r="BU539" s="18">
        <v>45686.57628472222</v>
      </c>
      <c r="BV539" s="13" t="s">
        <v>199</v>
      </c>
      <c r="BW539" s="14" t="s">
        <v>179</v>
      </c>
      <c r="BX539" s="14" t="s">
        <v>12909</v>
      </c>
      <c r="BY539" s="14" t="s">
        <v>179</v>
      </c>
      <c r="BZ539" s="14" t="s">
        <v>12910</v>
      </c>
      <c r="CA539" s="15"/>
      <c r="CB539" s="15"/>
      <c r="CC539" s="15"/>
      <c r="CD539" s="15"/>
      <c r="CE539" s="15"/>
      <c r="CF539" s="15"/>
      <c r="CG539" s="19"/>
      <c r="CH539" s="15"/>
      <c r="CI539" s="19"/>
      <c r="CJ539" s="15"/>
      <c r="CK539" s="19"/>
      <c r="CL539" s="15"/>
      <c r="CM539" s="19"/>
      <c r="CN539" s="15"/>
      <c r="CO539" s="19"/>
      <c r="CP539" s="15"/>
      <c r="CQ539" s="15"/>
      <c r="CR539" s="15"/>
      <c r="CS539" s="19"/>
      <c r="CT539" s="15"/>
      <c r="CU539" s="19"/>
      <c r="CV539" s="15"/>
      <c r="CW539" s="19"/>
      <c r="CX539" s="15"/>
      <c r="CY539" s="19"/>
      <c r="CZ539" s="15"/>
      <c r="DA539" s="16" t="s">
        <v>197</v>
      </c>
      <c r="DB539" s="17" t="s">
        <v>228</v>
      </c>
      <c r="DC539" s="16"/>
      <c r="DD539" s="17" t="s">
        <v>198</v>
      </c>
      <c r="DE539" s="18">
        <v>45686.57638888889</v>
      </c>
      <c r="DF539" s="17" t="s">
        <v>198</v>
      </c>
      <c r="DG539" s="18">
        <v>45686.57638888889</v>
      </c>
      <c r="DH539" s="13" t="s">
        <v>205</v>
      </c>
      <c r="DI539" s="14" t="s">
        <v>179</v>
      </c>
      <c r="DJ539" s="14" t="s">
        <v>12911</v>
      </c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6" t="s">
        <v>197</v>
      </c>
      <c r="ED539" s="17" t="s">
        <v>198</v>
      </c>
      <c r="EE539" s="18">
        <v>45708.521689814814</v>
      </c>
      <c r="EF539" s="13" t="s">
        <v>209</v>
      </c>
      <c r="EG539" s="14" t="s">
        <v>179</v>
      </c>
      <c r="EH539" s="14" t="s">
        <v>12912</v>
      </c>
      <c r="EI539" s="15"/>
      <c r="EJ539" s="15"/>
      <c r="EK539" s="15"/>
      <c r="EL539" s="15"/>
      <c r="EM539" s="15"/>
      <c r="EN539" s="15"/>
      <c r="EO539" s="15"/>
      <c r="EP539" s="15"/>
      <c r="EQ539" s="15"/>
      <c r="ER539" s="15"/>
      <c r="ES539" s="15"/>
      <c r="ET539" s="15"/>
      <c r="EU539" s="15"/>
      <c r="EV539" s="15"/>
      <c r="EW539" s="15"/>
      <c r="EX539" s="15"/>
      <c r="EY539" s="15"/>
      <c r="EZ539" s="15"/>
      <c r="FA539" s="15"/>
      <c r="FB539" s="15"/>
      <c r="FC539" s="16" t="s">
        <v>197</v>
      </c>
      <c r="FD539" s="17" t="s">
        <v>198</v>
      </c>
      <c r="FE539" s="18">
        <v>45723.34332175926</v>
      </c>
      <c r="FF539" s="19"/>
      <c r="FG539" s="19"/>
      <c r="FH539" s="21" t="s">
        <v>197</v>
      </c>
      <c r="FI539" s="17" t="s">
        <v>214</v>
      </c>
      <c r="FJ539" s="18">
        <v>45723.34332175926</v>
      </c>
      <c r="FK539" s="14" t="s">
        <v>12912</v>
      </c>
      <c r="FL539" s="14" t="s">
        <v>12913</v>
      </c>
      <c r="FM539" s="14" t="s">
        <v>12914</v>
      </c>
      <c r="FN539" s="19"/>
      <c r="FO539" s="19"/>
      <c r="FP539" s="19" t="str">
        <f t="shared" si="1"/>
        <v>Base de Dados_Images/PCV40008B.Imagem do Equipamento-.190632.jpg</v>
      </c>
      <c r="FQ539" s="19"/>
      <c r="FR539" s="19"/>
    </row>
    <row r="540" ht="15.75" customHeight="1">
      <c r="A540" s="12" t="s">
        <v>234</v>
      </c>
      <c r="B540" s="12" t="s">
        <v>10222</v>
      </c>
      <c r="C540" s="24" t="s">
        <v>324</v>
      </c>
      <c r="D540" s="12" t="s">
        <v>12915</v>
      </c>
      <c r="E540" s="12" t="s">
        <v>12916</v>
      </c>
      <c r="F540" s="13" t="s">
        <v>178</v>
      </c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6" t="s">
        <v>197</v>
      </c>
      <c r="BP540" s="17" t="s">
        <v>228</v>
      </c>
      <c r="BQ540" s="23"/>
      <c r="BR540" s="17" t="s">
        <v>228</v>
      </c>
      <c r="BS540" s="23"/>
      <c r="BT540" s="17" t="s">
        <v>228</v>
      </c>
      <c r="BU540" s="23"/>
      <c r="BV540" s="13" t="s">
        <v>199</v>
      </c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9"/>
      <c r="CH540" s="15"/>
      <c r="CI540" s="19"/>
      <c r="CJ540" s="15"/>
      <c r="CK540" s="19"/>
      <c r="CL540" s="15"/>
      <c r="CM540" s="19"/>
      <c r="CN540" s="15"/>
      <c r="CO540" s="19"/>
      <c r="CP540" s="15"/>
      <c r="CQ540" s="15"/>
      <c r="CR540" s="15"/>
      <c r="CS540" s="19"/>
      <c r="CT540" s="15"/>
      <c r="CU540" s="19"/>
      <c r="CV540" s="15"/>
      <c r="CW540" s="19"/>
      <c r="CX540" s="15"/>
      <c r="CY540" s="19"/>
      <c r="CZ540" s="15"/>
      <c r="DA540" s="16" t="s">
        <v>197</v>
      </c>
      <c r="DB540" s="17" t="s">
        <v>228</v>
      </c>
      <c r="DC540" s="16"/>
      <c r="DD540" s="17" t="s">
        <v>228</v>
      </c>
      <c r="DE540" s="23"/>
      <c r="DF540" s="17" t="s">
        <v>228</v>
      </c>
      <c r="DG540" s="23"/>
      <c r="DH540" s="13" t="s">
        <v>205</v>
      </c>
      <c r="DI540" s="14" t="s">
        <v>179</v>
      </c>
      <c r="DJ540" s="14" t="s">
        <v>12917</v>
      </c>
      <c r="DK540" s="14" t="s">
        <v>179</v>
      </c>
      <c r="DL540" s="14" t="s">
        <v>12918</v>
      </c>
      <c r="DM540" s="15"/>
      <c r="DN540" s="15"/>
      <c r="DO540" s="15"/>
      <c r="DP540" s="15"/>
      <c r="DQ540" s="15"/>
      <c r="DR540" s="15"/>
      <c r="DS540" s="15"/>
      <c r="DT540" s="15"/>
      <c r="DU540" s="15"/>
      <c r="DV540" s="15"/>
      <c r="DW540" s="15"/>
      <c r="DX540" s="15"/>
      <c r="DY540" s="15"/>
      <c r="DZ540" s="15"/>
      <c r="EA540" s="15"/>
      <c r="EB540" s="15"/>
      <c r="EC540" s="16" t="s">
        <v>197</v>
      </c>
      <c r="ED540" s="17" t="s">
        <v>198</v>
      </c>
      <c r="EE540" s="18">
        <v>45722.38922453704</v>
      </c>
      <c r="EF540" s="13" t="s">
        <v>209</v>
      </c>
      <c r="EG540" s="14" t="s">
        <v>179</v>
      </c>
      <c r="EH540" s="14" t="s">
        <v>12919</v>
      </c>
      <c r="EI540" s="14" t="s">
        <v>179</v>
      </c>
      <c r="EJ540" s="14" t="s">
        <v>12919</v>
      </c>
      <c r="EK540" s="15"/>
      <c r="EL540" s="15"/>
      <c r="EM540" s="15"/>
      <c r="EN540" s="15"/>
      <c r="EO540" s="15"/>
      <c r="EP540" s="15"/>
      <c r="EQ540" s="15"/>
      <c r="ER540" s="15"/>
      <c r="ES540" s="15"/>
      <c r="ET540" s="15"/>
      <c r="EU540" s="15"/>
      <c r="EV540" s="15"/>
      <c r="EW540" s="15"/>
      <c r="EX540" s="15"/>
      <c r="EY540" s="15"/>
      <c r="EZ540" s="15"/>
      <c r="FA540" s="15"/>
      <c r="FB540" s="15"/>
      <c r="FC540" s="16" t="s">
        <v>197</v>
      </c>
      <c r="FD540" s="17" t="s">
        <v>198</v>
      </c>
      <c r="FE540" s="18">
        <v>45722.38927083334</v>
      </c>
      <c r="FF540" s="19"/>
      <c r="FG540" s="19"/>
      <c r="FH540" s="21" t="s">
        <v>197</v>
      </c>
      <c r="FI540" s="17" t="s">
        <v>214</v>
      </c>
      <c r="FJ540" s="18">
        <v>45722.38927083334</v>
      </c>
      <c r="FK540" s="14" t="s">
        <v>12919</v>
      </c>
      <c r="FL540" s="14" t="s">
        <v>12920</v>
      </c>
      <c r="FM540" s="14" t="s">
        <v>12921</v>
      </c>
      <c r="FN540" s="19"/>
      <c r="FO540" s="19"/>
      <c r="FP540" s="19" t="str">
        <f t="shared" si="1"/>
        <v>Base de Dados_Images/PCV65026.Imagem do Equipamento-.171343.jpg</v>
      </c>
      <c r="FQ540" s="19"/>
      <c r="FR540" s="19"/>
    </row>
    <row r="541" ht="15.75" customHeight="1">
      <c r="A541" s="12" t="s">
        <v>547</v>
      </c>
      <c r="B541" s="12" t="s">
        <v>3584</v>
      </c>
      <c r="C541" s="12" t="s">
        <v>219</v>
      </c>
      <c r="D541" s="22" t="s">
        <v>12922</v>
      </c>
      <c r="E541" s="22" t="s">
        <v>12923</v>
      </c>
      <c r="F541" s="13" t="s">
        <v>178</v>
      </c>
      <c r="G541" s="14" t="s">
        <v>179</v>
      </c>
      <c r="H541" s="14" t="s">
        <v>12924</v>
      </c>
      <c r="I541" s="14" t="s">
        <v>179</v>
      </c>
      <c r="J541" s="14" t="s">
        <v>12925</v>
      </c>
      <c r="K541" s="14" t="s">
        <v>179</v>
      </c>
      <c r="L541" s="14" t="s">
        <v>12926</v>
      </c>
      <c r="M541" s="14" t="s">
        <v>179</v>
      </c>
      <c r="N541" s="14" t="s">
        <v>12926</v>
      </c>
      <c r="O541" s="14" t="s">
        <v>179</v>
      </c>
      <c r="P541" s="14" t="s">
        <v>12927</v>
      </c>
      <c r="Q541" s="14" t="s">
        <v>179</v>
      </c>
      <c r="R541" s="14" t="s">
        <v>12928</v>
      </c>
      <c r="S541" s="14" t="s">
        <v>179</v>
      </c>
      <c r="T541" s="14" t="s">
        <v>12929</v>
      </c>
      <c r="U541" s="14" t="s">
        <v>179</v>
      </c>
      <c r="V541" s="14" t="s">
        <v>12930</v>
      </c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6" t="s">
        <v>197</v>
      </c>
      <c r="BP541" s="17" t="s">
        <v>228</v>
      </c>
      <c r="BQ541" s="23"/>
      <c r="BR541" s="17" t="s">
        <v>198</v>
      </c>
      <c r="BS541" s="18">
        <v>45719.36880787037</v>
      </c>
      <c r="BT541" s="17" t="s">
        <v>198</v>
      </c>
      <c r="BU541" s="18">
        <v>45719.36880787037</v>
      </c>
      <c r="BV541" s="13" t="s">
        <v>199</v>
      </c>
      <c r="BW541" s="14" t="s">
        <v>179</v>
      </c>
      <c r="BX541" s="14" t="s">
        <v>12931</v>
      </c>
      <c r="BY541" s="14" t="s">
        <v>179</v>
      </c>
      <c r="BZ541" s="14" t="s">
        <v>12931</v>
      </c>
      <c r="CA541" s="15"/>
      <c r="CB541" s="15"/>
      <c r="CC541" s="15"/>
      <c r="CD541" s="15"/>
      <c r="CE541" s="15"/>
      <c r="CF541" s="15"/>
      <c r="CG541" s="19"/>
      <c r="CH541" s="15"/>
      <c r="CI541" s="19"/>
      <c r="CJ541" s="15"/>
      <c r="CK541" s="19"/>
      <c r="CL541" s="15"/>
      <c r="CM541" s="19"/>
      <c r="CN541" s="15"/>
      <c r="CO541" s="19"/>
      <c r="CP541" s="15"/>
      <c r="CQ541" s="15"/>
      <c r="CR541" s="15"/>
      <c r="CS541" s="19"/>
      <c r="CT541" s="15"/>
      <c r="CU541" s="19"/>
      <c r="CV541" s="15"/>
      <c r="CW541" s="19"/>
      <c r="CX541" s="15"/>
      <c r="CY541" s="19"/>
      <c r="CZ541" s="15"/>
      <c r="DA541" s="16" t="s">
        <v>197</v>
      </c>
      <c r="DB541" s="17" t="s">
        <v>228</v>
      </c>
      <c r="DC541" s="16"/>
      <c r="DD541" s="17" t="s">
        <v>198</v>
      </c>
      <c r="DE541" s="18">
        <v>45721.60564814815</v>
      </c>
      <c r="DF541" s="17" t="s">
        <v>198</v>
      </c>
      <c r="DG541" s="18">
        <v>45721.60564814815</v>
      </c>
      <c r="DH541" s="13" t="s">
        <v>205</v>
      </c>
      <c r="DI541" s="14" t="s">
        <v>179</v>
      </c>
      <c r="DJ541" s="14" t="s">
        <v>12932</v>
      </c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6" t="s">
        <v>197</v>
      </c>
      <c r="ED541" s="17" t="s">
        <v>198</v>
      </c>
      <c r="EE541" s="18">
        <v>45721.605787037035</v>
      </c>
      <c r="EF541" s="13" t="s">
        <v>209</v>
      </c>
      <c r="EG541" s="14" t="s">
        <v>179</v>
      </c>
      <c r="EH541" s="14" t="s">
        <v>12933</v>
      </c>
      <c r="EI541" s="15"/>
      <c r="EJ541" s="15"/>
      <c r="EK541" s="15"/>
      <c r="EL541" s="15"/>
      <c r="EM541" s="15"/>
      <c r="EN541" s="15"/>
      <c r="EO541" s="15"/>
      <c r="EP541" s="15"/>
      <c r="EQ541" s="15"/>
      <c r="ER541" s="15"/>
      <c r="ES541" s="15"/>
      <c r="ET541" s="15"/>
      <c r="EU541" s="15"/>
      <c r="EV541" s="15"/>
      <c r="EW541" s="15"/>
      <c r="EX541" s="15"/>
      <c r="EY541" s="15"/>
      <c r="EZ541" s="15"/>
      <c r="FA541" s="15"/>
      <c r="FB541" s="15"/>
      <c r="FC541" s="16" t="s">
        <v>197</v>
      </c>
      <c r="FD541" s="17" t="s">
        <v>198</v>
      </c>
      <c r="FE541" s="18">
        <v>45721.605833333335</v>
      </c>
      <c r="FF541" s="14" t="s">
        <v>10136</v>
      </c>
      <c r="FG541" s="19"/>
      <c r="FH541" s="17" t="s">
        <v>198</v>
      </c>
      <c r="FI541" s="17" t="s">
        <v>214</v>
      </c>
      <c r="FJ541" s="18">
        <v>45721.605833333335</v>
      </c>
      <c r="FK541" s="14" t="s">
        <v>12933</v>
      </c>
      <c r="FL541" s="14" t="s">
        <v>12934</v>
      </c>
      <c r="FM541" s="14" t="s">
        <v>12935</v>
      </c>
      <c r="FN541" s="19"/>
      <c r="FO541" s="19"/>
      <c r="FP541" s="19" t="str">
        <f t="shared" si="1"/>
        <v>Base de Dados_Images/PCV70003.Imagem do Equipamento-.121230.jpg</v>
      </c>
      <c r="FQ541" s="14"/>
      <c r="FR541" s="14"/>
    </row>
    <row r="542" ht="15.75" customHeight="1">
      <c r="A542" s="12" t="s">
        <v>547</v>
      </c>
      <c r="B542" s="12" t="s">
        <v>12936</v>
      </c>
      <c r="C542" s="12" t="s">
        <v>219</v>
      </c>
      <c r="D542" s="22" t="s">
        <v>12937</v>
      </c>
      <c r="E542" s="22" t="s">
        <v>12938</v>
      </c>
      <c r="F542" s="13" t="s">
        <v>178</v>
      </c>
      <c r="G542" s="14" t="s">
        <v>179</v>
      </c>
      <c r="H542" s="14" t="s">
        <v>12939</v>
      </c>
      <c r="I542" s="14" t="s">
        <v>179</v>
      </c>
      <c r="J542" s="14" t="s">
        <v>12940</v>
      </c>
      <c r="K542" s="14" t="s">
        <v>179</v>
      </c>
      <c r="L542" s="14" t="s">
        <v>12941</v>
      </c>
      <c r="M542" s="14" t="s">
        <v>179</v>
      </c>
      <c r="N542" s="14" t="s">
        <v>12942</v>
      </c>
      <c r="O542" s="14" t="s">
        <v>179</v>
      </c>
      <c r="P542" s="14" t="s">
        <v>12942</v>
      </c>
      <c r="Q542" s="14" t="s">
        <v>179</v>
      </c>
      <c r="R542" s="14" t="s">
        <v>12943</v>
      </c>
      <c r="S542" s="14" t="s">
        <v>179</v>
      </c>
      <c r="T542" s="14" t="s">
        <v>12944</v>
      </c>
      <c r="U542" s="14" t="s">
        <v>179</v>
      </c>
      <c r="V542" s="14" t="s">
        <v>12945</v>
      </c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6" t="s">
        <v>197</v>
      </c>
      <c r="BP542" s="17" t="s">
        <v>228</v>
      </c>
      <c r="BQ542" s="23"/>
      <c r="BR542" s="17" t="s">
        <v>198</v>
      </c>
      <c r="BS542" s="18">
        <v>45686.80893518519</v>
      </c>
      <c r="BT542" s="17" t="s">
        <v>198</v>
      </c>
      <c r="BU542" s="18">
        <v>45686.80893518519</v>
      </c>
      <c r="BV542" s="13" t="s">
        <v>199</v>
      </c>
      <c r="BW542" s="14" t="s">
        <v>179</v>
      </c>
      <c r="BX542" s="14" t="s">
        <v>12946</v>
      </c>
      <c r="BY542" s="14" t="s">
        <v>179</v>
      </c>
      <c r="BZ542" s="14" t="s">
        <v>12946</v>
      </c>
      <c r="CA542" s="15"/>
      <c r="CB542" s="15"/>
      <c r="CC542" s="15"/>
      <c r="CD542" s="15"/>
      <c r="CE542" s="15"/>
      <c r="CF542" s="15"/>
      <c r="CG542" s="19"/>
      <c r="CH542" s="15"/>
      <c r="CI542" s="19"/>
      <c r="CJ542" s="15"/>
      <c r="CK542" s="19"/>
      <c r="CL542" s="15"/>
      <c r="CM542" s="19"/>
      <c r="CN542" s="15"/>
      <c r="CO542" s="19"/>
      <c r="CP542" s="15"/>
      <c r="CQ542" s="15"/>
      <c r="CR542" s="15"/>
      <c r="CS542" s="19"/>
      <c r="CT542" s="15"/>
      <c r="CU542" s="19"/>
      <c r="CV542" s="15"/>
      <c r="CW542" s="19"/>
      <c r="CX542" s="15"/>
      <c r="CY542" s="19"/>
      <c r="CZ542" s="15"/>
      <c r="DA542" s="16" t="s">
        <v>197</v>
      </c>
      <c r="DB542" s="17" t="s">
        <v>228</v>
      </c>
      <c r="DC542" s="16"/>
      <c r="DD542" s="17" t="s">
        <v>198</v>
      </c>
      <c r="DE542" s="18">
        <v>45720.61127314815</v>
      </c>
      <c r="DF542" s="17" t="s">
        <v>198</v>
      </c>
      <c r="DG542" s="18">
        <v>45720.61127314815</v>
      </c>
      <c r="DH542" s="13" t="s">
        <v>205</v>
      </c>
      <c r="DI542" s="14" t="s">
        <v>179</v>
      </c>
      <c r="DJ542" s="14" t="s">
        <v>12947</v>
      </c>
      <c r="DK542" s="15"/>
      <c r="DL542" s="15"/>
      <c r="DM542" s="15"/>
      <c r="DN542" s="15"/>
      <c r="DO542" s="15"/>
      <c r="DP542" s="15"/>
      <c r="DQ542" s="15"/>
      <c r="DR542" s="15"/>
      <c r="DS542" s="15"/>
      <c r="DT542" s="15"/>
      <c r="DU542" s="15"/>
      <c r="DV542" s="15"/>
      <c r="DW542" s="15"/>
      <c r="DX542" s="15"/>
      <c r="DY542" s="15"/>
      <c r="DZ542" s="15"/>
      <c r="EA542" s="15"/>
      <c r="EB542" s="15"/>
      <c r="EC542" s="16" t="s">
        <v>197</v>
      </c>
      <c r="ED542" s="17" t="s">
        <v>198</v>
      </c>
      <c r="EE542" s="18">
        <v>45720.61131944445</v>
      </c>
      <c r="EF542" s="13" t="s">
        <v>209</v>
      </c>
      <c r="EG542" s="14" t="s">
        <v>179</v>
      </c>
      <c r="EH542" s="14" t="s">
        <v>12948</v>
      </c>
      <c r="EI542" s="15"/>
      <c r="EJ542" s="15"/>
      <c r="EK542" s="15"/>
      <c r="EL542" s="15"/>
      <c r="EM542" s="15"/>
      <c r="EN542" s="15"/>
      <c r="EO542" s="15"/>
      <c r="EP542" s="15"/>
      <c r="EQ542" s="15"/>
      <c r="ER542" s="15"/>
      <c r="ES542" s="15"/>
      <c r="ET542" s="15"/>
      <c r="EU542" s="15"/>
      <c r="EV542" s="15"/>
      <c r="EW542" s="15"/>
      <c r="EX542" s="15"/>
      <c r="EY542" s="15"/>
      <c r="EZ542" s="15"/>
      <c r="FA542" s="15"/>
      <c r="FB542" s="15"/>
      <c r="FC542" s="16" t="s">
        <v>197</v>
      </c>
      <c r="FD542" s="17" t="s">
        <v>198</v>
      </c>
      <c r="FE542" s="18">
        <v>45722.61824074074</v>
      </c>
      <c r="FF542" s="19"/>
      <c r="FG542" s="19"/>
      <c r="FH542" s="21" t="s">
        <v>197</v>
      </c>
      <c r="FI542" s="17" t="s">
        <v>214</v>
      </c>
      <c r="FJ542" s="18">
        <v>45722.61824074074</v>
      </c>
      <c r="FK542" s="14" t="s">
        <v>12948</v>
      </c>
      <c r="FL542" s="14" t="s">
        <v>12949</v>
      </c>
      <c r="FM542" s="14" t="s">
        <v>12950</v>
      </c>
      <c r="FN542" s="19"/>
      <c r="FO542" s="19"/>
      <c r="FP542" s="19" t="str">
        <f t="shared" si="1"/>
        <v>Base de Dados_Images/PCV70008.Imagem do Equipamento-.222443.jpg</v>
      </c>
      <c r="FQ542" s="19"/>
      <c r="FR542" s="19"/>
    </row>
    <row r="543" ht="15.75" customHeight="1">
      <c r="A543" s="12" t="s">
        <v>357</v>
      </c>
      <c r="B543" s="12" t="s">
        <v>366</v>
      </c>
      <c r="C543" s="12" t="s">
        <v>219</v>
      </c>
      <c r="D543" s="22" t="s">
        <v>12951</v>
      </c>
      <c r="E543" s="22" t="s">
        <v>12952</v>
      </c>
      <c r="F543" s="13" t="s">
        <v>178</v>
      </c>
      <c r="G543" s="14" t="s">
        <v>179</v>
      </c>
      <c r="H543" s="14" t="s">
        <v>12953</v>
      </c>
      <c r="I543" s="14" t="s">
        <v>179</v>
      </c>
      <c r="J543" s="14" t="s">
        <v>12954</v>
      </c>
      <c r="K543" s="14" t="s">
        <v>179</v>
      </c>
      <c r="L543" s="14" t="s">
        <v>12955</v>
      </c>
      <c r="M543" s="14" t="s">
        <v>179</v>
      </c>
      <c r="N543" s="14" t="s">
        <v>12956</v>
      </c>
      <c r="O543" s="14" t="s">
        <v>179</v>
      </c>
      <c r="P543" s="14" t="s">
        <v>12956</v>
      </c>
      <c r="Q543" s="14" t="s">
        <v>179</v>
      </c>
      <c r="R543" s="14" t="s">
        <v>12957</v>
      </c>
      <c r="S543" s="14" t="s">
        <v>179</v>
      </c>
      <c r="T543" s="14" t="s">
        <v>12958</v>
      </c>
      <c r="U543" s="14" t="s">
        <v>179</v>
      </c>
      <c r="V543" s="14" t="s">
        <v>12959</v>
      </c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6" t="s">
        <v>197</v>
      </c>
      <c r="BP543" s="17" t="s">
        <v>228</v>
      </c>
      <c r="BQ543" s="23"/>
      <c r="BR543" s="17" t="s">
        <v>198</v>
      </c>
      <c r="BS543" s="18">
        <v>45685.62385416667</v>
      </c>
      <c r="BT543" s="17" t="s">
        <v>198</v>
      </c>
      <c r="BU543" s="18">
        <v>45685.62385416667</v>
      </c>
      <c r="BV543" s="13" t="s">
        <v>199</v>
      </c>
      <c r="BW543" s="14" t="s">
        <v>179</v>
      </c>
      <c r="BX543" s="14" t="s">
        <v>12960</v>
      </c>
      <c r="BY543" s="14" t="s">
        <v>179</v>
      </c>
      <c r="BZ543" s="14" t="s">
        <v>12961</v>
      </c>
      <c r="CA543" s="15"/>
      <c r="CB543" s="15"/>
      <c r="CC543" s="15"/>
      <c r="CD543" s="15"/>
      <c r="CE543" s="15"/>
      <c r="CF543" s="15"/>
      <c r="CG543" s="19"/>
      <c r="CH543" s="15"/>
      <c r="CI543" s="19"/>
      <c r="CJ543" s="15"/>
      <c r="CK543" s="19"/>
      <c r="CL543" s="15"/>
      <c r="CM543" s="19"/>
      <c r="CN543" s="15"/>
      <c r="CO543" s="19"/>
      <c r="CP543" s="15"/>
      <c r="CQ543" s="15"/>
      <c r="CR543" s="15"/>
      <c r="CS543" s="19"/>
      <c r="CT543" s="15"/>
      <c r="CU543" s="19"/>
      <c r="CV543" s="15"/>
      <c r="CW543" s="19"/>
      <c r="CX543" s="15"/>
      <c r="CY543" s="19"/>
      <c r="CZ543" s="15"/>
      <c r="DA543" s="16" t="s">
        <v>197</v>
      </c>
      <c r="DB543" s="17" t="s">
        <v>228</v>
      </c>
      <c r="DC543" s="16"/>
      <c r="DD543" s="17" t="s">
        <v>198</v>
      </c>
      <c r="DE543" s="18">
        <v>45706.399305555555</v>
      </c>
      <c r="DF543" s="17" t="s">
        <v>198</v>
      </c>
      <c r="DG543" s="18">
        <v>45706.399305555555</v>
      </c>
      <c r="DH543" s="13" t="s">
        <v>205</v>
      </c>
      <c r="DI543" s="14" t="s">
        <v>179</v>
      </c>
      <c r="DJ543" s="14" t="s">
        <v>12962</v>
      </c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6" t="s">
        <v>197</v>
      </c>
      <c r="ED543" s="17" t="s">
        <v>198</v>
      </c>
      <c r="EE543" s="18">
        <v>45709.35990740741</v>
      </c>
      <c r="EF543" s="13" t="s">
        <v>209</v>
      </c>
      <c r="EG543" s="14" t="s">
        <v>179</v>
      </c>
      <c r="EH543" s="14" t="s">
        <v>12963</v>
      </c>
      <c r="EI543" s="15"/>
      <c r="EJ543" s="15"/>
      <c r="EK543" s="15"/>
      <c r="EL543" s="15"/>
      <c r="EM543" s="15"/>
      <c r="EN543" s="15"/>
      <c r="EO543" s="15"/>
      <c r="EP543" s="15"/>
      <c r="EQ543" s="15"/>
      <c r="ER543" s="15"/>
      <c r="ES543" s="15"/>
      <c r="ET543" s="15"/>
      <c r="EU543" s="15"/>
      <c r="EV543" s="15"/>
      <c r="EW543" s="15"/>
      <c r="EX543" s="15"/>
      <c r="EY543" s="15"/>
      <c r="EZ543" s="15"/>
      <c r="FA543" s="15"/>
      <c r="FB543" s="15"/>
      <c r="FC543" s="16" t="s">
        <v>197</v>
      </c>
      <c r="FD543" s="17" t="s">
        <v>198</v>
      </c>
      <c r="FE543" s="18">
        <v>45713.39171296296</v>
      </c>
      <c r="FF543" s="19"/>
      <c r="FG543" s="19"/>
      <c r="FH543" s="21" t="s">
        <v>197</v>
      </c>
      <c r="FI543" s="17" t="s">
        <v>214</v>
      </c>
      <c r="FJ543" s="18">
        <v>45713.39171296296</v>
      </c>
      <c r="FK543" s="14" t="s">
        <v>12963</v>
      </c>
      <c r="FL543" s="14" t="s">
        <v>12964</v>
      </c>
      <c r="FM543" s="14" t="s">
        <v>12965</v>
      </c>
      <c r="FN543" s="19"/>
      <c r="FO543" s="19"/>
      <c r="FP543" s="19" t="str">
        <f t="shared" si="1"/>
        <v>Base de Dados_Images/PCV81003A.Imagem do Equipamento-.183125.jpg</v>
      </c>
      <c r="FQ543" s="19"/>
      <c r="FR543" s="19"/>
    </row>
    <row r="544" ht="15.75" customHeight="1">
      <c r="A544" s="12" t="s">
        <v>357</v>
      </c>
      <c r="B544" s="12" t="s">
        <v>366</v>
      </c>
      <c r="C544" s="12" t="s">
        <v>219</v>
      </c>
      <c r="D544" s="22" t="s">
        <v>12966</v>
      </c>
      <c r="E544" s="22" t="s">
        <v>12967</v>
      </c>
      <c r="F544" s="13" t="s">
        <v>178</v>
      </c>
      <c r="G544" s="14" t="s">
        <v>179</v>
      </c>
      <c r="H544" s="14" t="s">
        <v>12968</v>
      </c>
      <c r="I544" s="14" t="s">
        <v>179</v>
      </c>
      <c r="J544" s="14" t="s">
        <v>12969</v>
      </c>
      <c r="K544" s="14" t="s">
        <v>179</v>
      </c>
      <c r="L544" s="14" t="s">
        <v>12970</v>
      </c>
      <c r="M544" s="14" t="s">
        <v>179</v>
      </c>
      <c r="N544" s="14" t="s">
        <v>12971</v>
      </c>
      <c r="O544" s="14" t="s">
        <v>179</v>
      </c>
      <c r="P544" s="14" t="s">
        <v>12972</v>
      </c>
      <c r="Q544" s="14" t="s">
        <v>179</v>
      </c>
      <c r="R544" s="14" t="s">
        <v>12973</v>
      </c>
      <c r="S544" s="14" t="s">
        <v>179</v>
      </c>
      <c r="T544" s="14" t="s">
        <v>12974</v>
      </c>
      <c r="U544" s="14" t="s">
        <v>179</v>
      </c>
      <c r="V544" s="14" t="s">
        <v>12975</v>
      </c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6" t="s">
        <v>197</v>
      </c>
      <c r="BP544" s="17" t="s">
        <v>228</v>
      </c>
      <c r="BQ544" s="23"/>
      <c r="BR544" s="17" t="s">
        <v>198</v>
      </c>
      <c r="BS544" s="18">
        <v>45685.625243055554</v>
      </c>
      <c r="BT544" s="17" t="s">
        <v>198</v>
      </c>
      <c r="BU544" s="18">
        <v>45685.625243055554</v>
      </c>
      <c r="BV544" s="13" t="s">
        <v>199</v>
      </c>
      <c r="BW544" s="14" t="s">
        <v>179</v>
      </c>
      <c r="BX544" s="14" t="s">
        <v>12976</v>
      </c>
      <c r="BY544" s="14" t="s">
        <v>179</v>
      </c>
      <c r="BZ544" s="14" t="s">
        <v>12977</v>
      </c>
      <c r="CA544" s="15"/>
      <c r="CB544" s="15"/>
      <c r="CC544" s="15"/>
      <c r="CD544" s="15"/>
      <c r="CE544" s="15"/>
      <c r="CF544" s="15"/>
      <c r="CG544" s="19"/>
      <c r="CH544" s="15"/>
      <c r="CI544" s="19"/>
      <c r="CJ544" s="15"/>
      <c r="CK544" s="19"/>
      <c r="CL544" s="15"/>
      <c r="CM544" s="19"/>
      <c r="CN544" s="15"/>
      <c r="CO544" s="19"/>
      <c r="CP544" s="15"/>
      <c r="CQ544" s="15"/>
      <c r="CR544" s="15"/>
      <c r="CS544" s="19"/>
      <c r="CT544" s="15"/>
      <c r="CU544" s="19"/>
      <c r="CV544" s="15"/>
      <c r="CW544" s="19"/>
      <c r="CX544" s="15"/>
      <c r="CY544" s="19"/>
      <c r="CZ544" s="15"/>
      <c r="DA544" s="16" t="s">
        <v>197</v>
      </c>
      <c r="DB544" s="17" t="s">
        <v>228</v>
      </c>
      <c r="DC544" s="16"/>
      <c r="DD544" s="17" t="s">
        <v>198</v>
      </c>
      <c r="DE544" s="18">
        <v>45708.33630787037</v>
      </c>
      <c r="DF544" s="17" t="s">
        <v>198</v>
      </c>
      <c r="DG544" s="18">
        <v>45708.33630787037</v>
      </c>
      <c r="DH544" s="13" t="s">
        <v>205</v>
      </c>
      <c r="DI544" s="14" t="s">
        <v>179</v>
      </c>
      <c r="DJ544" s="14" t="s">
        <v>12978</v>
      </c>
      <c r="DK544" s="15"/>
      <c r="DL544" s="15"/>
      <c r="DM544" s="15"/>
      <c r="DN544" s="15"/>
      <c r="DO544" s="15"/>
      <c r="DP544" s="15"/>
      <c r="DQ544" s="15"/>
      <c r="DR544" s="15"/>
      <c r="DS544" s="15"/>
      <c r="DT544" s="15"/>
      <c r="DU544" s="15"/>
      <c r="DV544" s="15"/>
      <c r="DW544" s="15"/>
      <c r="DX544" s="15"/>
      <c r="DY544" s="15"/>
      <c r="DZ544" s="15"/>
      <c r="EA544" s="15"/>
      <c r="EB544" s="15"/>
      <c r="EC544" s="16" t="s">
        <v>197</v>
      </c>
      <c r="ED544" s="17" t="s">
        <v>198</v>
      </c>
      <c r="EE544" s="18">
        <v>45708.33634259259</v>
      </c>
      <c r="EF544" s="13" t="s">
        <v>209</v>
      </c>
      <c r="EG544" s="14" t="s">
        <v>179</v>
      </c>
      <c r="EH544" s="14" t="s">
        <v>12979</v>
      </c>
      <c r="EI544" s="15"/>
      <c r="EJ544" s="15"/>
      <c r="EK544" s="15"/>
      <c r="EL544" s="15"/>
      <c r="EM544" s="15"/>
      <c r="EN544" s="15"/>
      <c r="EO544" s="15"/>
      <c r="EP544" s="15"/>
      <c r="EQ544" s="15"/>
      <c r="ER544" s="15"/>
      <c r="ES544" s="15"/>
      <c r="ET544" s="15"/>
      <c r="EU544" s="15"/>
      <c r="EV544" s="15"/>
      <c r="EW544" s="15"/>
      <c r="EX544" s="15"/>
      <c r="EY544" s="15"/>
      <c r="EZ544" s="15"/>
      <c r="FA544" s="15"/>
      <c r="FB544" s="15"/>
      <c r="FC544" s="16" t="s">
        <v>197</v>
      </c>
      <c r="FD544" s="17" t="s">
        <v>198</v>
      </c>
      <c r="FE544" s="18">
        <v>45708.336388888885</v>
      </c>
      <c r="FF544" s="19"/>
      <c r="FG544" s="19"/>
      <c r="FH544" s="21" t="s">
        <v>197</v>
      </c>
      <c r="FI544" s="17" t="s">
        <v>214</v>
      </c>
      <c r="FJ544" s="18">
        <v>45708.336388888885</v>
      </c>
      <c r="FK544" s="14" t="s">
        <v>12979</v>
      </c>
      <c r="FL544" s="14" t="s">
        <v>12980</v>
      </c>
      <c r="FM544" s="14" t="s">
        <v>12981</v>
      </c>
      <c r="FN544" s="19"/>
      <c r="FO544" s="19"/>
      <c r="FP544" s="19" t="str">
        <f t="shared" si="1"/>
        <v>Base de Dados_Images/PCV81003B.Imagem do Equipamento-.183204.jpg</v>
      </c>
      <c r="FQ544" s="19"/>
      <c r="FR544" s="19"/>
    </row>
    <row r="545" ht="15.75" customHeight="1">
      <c r="A545" s="12" t="s">
        <v>357</v>
      </c>
      <c r="B545" s="12" t="s">
        <v>366</v>
      </c>
      <c r="C545" s="12" t="s">
        <v>219</v>
      </c>
      <c r="D545" s="22" t="s">
        <v>12982</v>
      </c>
      <c r="E545" s="22" t="s">
        <v>12983</v>
      </c>
      <c r="F545" s="13" t="s">
        <v>178</v>
      </c>
      <c r="G545" s="14" t="s">
        <v>179</v>
      </c>
      <c r="H545" s="14" t="s">
        <v>12984</v>
      </c>
      <c r="I545" s="14" t="s">
        <v>179</v>
      </c>
      <c r="J545" s="14" t="s">
        <v>12985</v>
      </c>
      <c r="K545" s="14" t="s">
        <v>179</v>
      </c>
      <c r="L545" s="14" t="s">
        <v>12986</v>
      </c>
      <c r="M545" s="14" t="s">
        <v>179</v>
      </c>
      <c r="N545" s="14" t="s">
        <v>12986</v>
      </c>
      <c r="O545" s="14" t="s">
        <v>179</v>
      </c>
      <c r="P545" s="14" t="s">
        <v>12987</v>
      </c>
      <c r="Q545" s="14" t="s">
        <v>179</v>
      </c>
      <c r="R545" s="14" t="s">
        <v>12988</v>
      </c>
      <c r="S545" s="14" t="s">
        <v>179</v>
      </c>
      <c r="T545" s="14" t="s">
        <v>12989</v>
      </c>
      <c r="U545" s="14" t="s">
        <v>179</v>
      </c>
      <c r="V545" s="14" t="s">
        <v>12990</v>
      </c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6" t="s">
        <v>197</v>
      </c>
      <c r="BP545" s="17" t="s">
        <v>228</v>
      </c>
      <c r="BQ545" s="23"/>
      <c r="BR545" s="17" t="s">
        <v>198</v>
      </c>
      <c r="BS545" s="18">
        <v>45685.62320601852</v>
      </c>
      <c r="BT545" s="17" t="s">
        <v>198</v>
      </c>
      <c r="BU545" s="18">
        <v>45685.62320601852</v>
      </c>
      <c r="BV545" s="13" t="s">
        <v>199</v>
      </c>
      <c r="BW545" s="14" t="s">
        <v>179</v>
      </c>
      <c r="BX545" s="14" t="s">
        <v>12991</v>
      </c>
      <c r="BY545" s="14" t="s">
        <v>179</v>
      </c>
      <c r="BZ545" s="14" t="s">
        <v>12992</v>
      </c>
      <c r="CA545" s="15"/>
      <c r="CB545" s="15"/>
      <c r="CC545" s="15"/>
      <c r="CD545" s="15"/>
      <c r="CE545" s="15"/>
      <c r="CF545" s="15"/>
      <c r="CG545" s="19"/>
      <c r="CH545" s="15"/>
      <c r="CI545" s="19"/>
      <c r="CJ545" s="15"/>
      <c r="CK545" s="19"/>
      <c r="CL545" s="15"/>
      <c r="CM545" s="19"/>
      <c r="CN545" s="15"/>
      <c r="CO545" s="19"/>
      <c r="CP545" s="15"/>
      <c r="CQ545" s="15"/>
      <c r="CR545" s="15"/>
      <c r="CS545" s="19"/>
      <c r="CT545" s="15"/>
      <c r="CU545" s="19"/>
      <c r="CV545" s="15"/>
      <c r="CW545" s="19"/>
      <c r="CX545" s="15"/>
      <c r="CY545" s="19"/>
      <c r="CZ545" s="15"/>
      <c r="DA545" s="16" t="s">
        <v>197</v>
      </c>
      <c r="DB545" s="17" t="s">
        <v>228</v>
      </c>
      <c r="DC545" s="16"/>
      <c r="DD545" s="17" t="s">
        <v>198</v>
      </c>
      <c r="DE545" s="18">
        <v>45706.39824074074</v>
      </c>
      <c r="DF545" s="17" t="s">
        <v>198</v>
      </c>
      <c r="DG545" s="18">
        <v>45706.39824074074</v>
      </c>
      <c r="DH545" s="13" t="s">
        <v>205</v>
      </c>
      <c r="DI545" s="14" t="s">
        <v>179</v>
      </c>
      <c r="DJ545" s="14" t="s">
        <v>12993</v>
      </c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6" t="s">
        <v>197</v>
      </c>
      <c r="ED545" s="17" t="s">
        <v>198</v>
      </c>
      <c r="EE545" s="18">
        <v>45711.68633101852</v>
      </c>
      <c r="EF545" s="13" t="s">
        <v>209</v>
      </c>
      <c r="EG545" s="14" t="s">
        <v>179</v>
      </c>
      <c r="EH545" s="14" t="s">
        <v>12994</v>
      </c>
      <c r="EI545" s="15"/>
      <c r="EJ545" s="15"/>
      <c r="EK545" s="15"/>
      <c r="EL545" s="15"/>
      <c r="EM545" s="15"/>
      <c r="EN545" s="15"/>
      <c r="EO545" s="15"/>
      <c r="EP545" s="15"/>
      <c r="EQ545" s="15"/>
      <c r="ER545" s="15"/>
      <c r="ES545" s="15"/>
      <c r="ET545" s="15"/>
      <c r="EU545" s="15"/>
      <c r="EV545" s="15"/>
      <c r="EW545" s="15"/>
      <c r="EX545" s="15"/>
      <c r="EY545" s="15"/>
      <c r="EZ545" s="15"/>
      <c r="FA545" s="15"/>
      <c r="FB545" s="15"/>
      <c r="FC545" s="16" t="s">
        <v>197</v>
      </c>
      <c r="FD545" s="17" t="s">
        <v>198</v>
      </c>
      <c r="FE545" s="18">
        <v>45713.39177083333</v>
      </c>
      <c r="FF545" s="19"/>
      <c r="FG545" s="19"/>
      <c r="FH545" s="21" t="s">
        <v>197</v>
      </c>
      <c r="FI545" s="17" t="s">
        <v>214</v>
      </c>
      <c r="FJ545" s="18">
        <v>45713.39177083333</v>
      </c>
      <c r="FK545" s="14" t="s">
        <v>12994</v>
      </c>
      <c r="FL545" s="14" t="s">
        <v>12995</v>
      </c>
      <c r="FM545" s="14" t="s">
        <v>12996</v>
      </c>
      <c r="FN545" s="19"/>
      <c r="FO545" s="19"/>
      <c r="FP545" s="19" t="str">
        <f t="shared" si="1"/>
        <v>Base de Dados_Images/PCV81006.Imagem do Equipamento-.183040.jpg</v>
      </c>
      <c r="FQ545" s="19"/>
      <c r="FR545" s="19"/>
    </row>
    <row r="546" ht="15.75" customHeight="1">
      <c r="A546" s="25" t="s">
        <v>357</v>
      </c>
      <c r="B546" s="25" t="s">
        <v>358</v>
      </c>
      <c r="C546" s="26" t="s">
        <v>9595</v>
      </c>
      <c r="D546" s="25" t="s">
        <v>12997</v>
      </c>
      <c r="E546" s="25" t="s">
        <v>12998</v>
      </c>
      <c r="F546" s="27" t="s">
        <v>178</v>
      </c>
      <c r="G546" s="14" t="s">
        <v>179</v>
      </c>
      <c r="H546" s="14" t="s">
        <v>12999</v>
      </c>
      <c r="I546" s="14" t="s">
        <v>179</v>
      </c>
      <c r="J546" s="14" t="s">
        <v>12999</v>
      </c>
      <c r="K546" s="14" t="s">
        <v>179</v>
      </c>
      <c r="L546" s="14" t="s">
        <v>13000</v>
      </c>
      <c r="M546" s="14" t="s">
        <v>179</v>
      </c>
      <c r="N546" s="14" t="s">
        <v>13000</v>
      </c>
      <c r="O546" s="14" t="s">
        <v>179</v>
      </c>
      <c r="P546" s="14" t="s">
        <v>13001</v>
      </c>
      <c r="Q546" s="14" t="s">
        <v>179</v>
      </c>
      <c r="R546" s="14" t="s">
        <v>13002</v>
      </c>
      <c r="S546" s="14" t="s">
        <v>179</v>
      </c>
      <c r="T546" s="14" t="s">
        <v>13002</v>
      </c>
      <c r="U546" s="14" t="s">
        <v>179</v>
      </c>
      <c r="V546" s="14" t="s">
        <v>13003</v>
      </c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7" t="s">
        <v>197</v>
      </c>
      <c r="BP546" s="17" t="s">
        <v>198</v>
      </c>
      <c r="BQ546" s="18">
        <v>45689.393530092595</v>
      </c>
      <c r="BR546" s="17" t="s">
        <v>198</v>
      </c>
      <c r="BS546" s="18">
        <v>45689.39357638889</v>
      </c>
      <c r="BT546" s="17" t="s">
        <v>198</v>
      </c>
      <c r="BU546" s="18">
        <v>45689.39357638889</v>
      </c>
      <c r="BV546" s="27" t="s">
        <v>199</v>
      </c>
      <c r="BW546" s="14" t="s">
        <v>179</v>
      </c>
      <c r="BX546" s="14" t="s">
        <v>13004</v>
      </c>
      <c r="BY546" s="14" t="s">
        <v>179</v>
      </c>
      <c r="BZ546" s="14" t="s">
        <v>13005</v>
      </c>
      <c r="CA546" s="14" t="s">
        <v>179</v>
      </c>
      <c r="CB546" s="14" t="s">
        <v>13006</v>
      </c>
      <c r="CC546" s="14" t="s">
        <v>179</v>
      </c>
      <c r="CD546" s="14" t="s">
        <v>13007</v>
      </c>
      <c r="CE546" s="15"/>
      <c r="CF546" s="15"/>
      <c r="CG546" s="19"/>
      <c r="CH546" s="15"/>
      <c r="CI546" s="19"/>
      <c r="CJ546" s="15"/>
      <c r="CK546" s="19"/>
      <c r="CL546" s="15"/>
      <c r="CM546" s="19"/>
      <c r="CN546" s="15"/>
      <c r="CO546" s="19"/>
      <c r="CP546" s="15"/>
      <c r="CQ546" s="15"/>
      <c r="CR546" s="15"/>
      <c r="CS546" s="19"/>
      <c r="CT546" s="15"/>
      <c r="CU546" s="19"/>
      <c r="CV546" s="15"/>
      <c r="CW546" s="19"/>
      <c r="CX546" s="15"/>
      <c r="CY546" s="19"/>
      <c r="CZ546" s="15"/>
      <c r="DA546" s="17" t="s">
        <v>197</v>
      </c>
      <c r="DB546" s="17" t="s">
        <v>228</v>
      </c>
      <c r="DC546" s="16"/>
      <c r="DD546" s="17" t="s">
        <v>198</v>
      </c>
      <c r="DE546" s="18">
        <v>45706.403391203705</v>
      </c>
      <c r="DF546" s="17" t="s">
        <v>198</v>
      </c>
      <c r="DG546" s="18">
        <v>45706.403391203705</v>
      </c>
      <c r="DH546" s="27" t="s">
        <v>205</v>
      </c>
      <c r="DI546" s="14" t="s">
        <v>179</v>
      </c>
      <c r="DJ546" s="14" t="s">
        <v>13008</v>
      </c>
      <c r="DK546" s="14" t="s">
        <v>179</v>
      </c>
      <c r="DL546" s="14" t="s">
        <v>13009</v>
      </c>
      <c r="DM546" s="14" t="s">
        <v>179</v>
      </c>
      <c r="DN546" s="14" t="s">
        <v>13010</v>
      </c>
      <c r="DO546" s="14" t="s">
        <v>179</v>
      </c>
      <c r="DP546" s="14" t="s">
        <v>13011</v>
      </c>
      <c r="DQ546" s="15"/>
      <c r="DR546" s="15"/>
      <c r="DS546" s="15"/>
      <c r="DT546" s="15"/>
      <c r="DU546" s="15"/>
      <c r="DV546" s="15"/>
      <c r="DW546" s="15"/>
      <c r="DX546" s="15"/>
      <c r="DY546" s="15"/>
      <c r="DZ546" s="15"/>
      <c r="EA546" s="15"/>
      <c r="EB546" s="15"/>
      <c r="EC546" s="17" t="s">
        <v>197</v>
      </c>
      <c r="ED546" s="17" t="s">
        <v>198</v>
      </c>
      <c r="EE546" s="18">
        <v>45708.33456018518</v>
      </c>
      <c r="EF546" s="27" t="s">
        <v>209</v>
      </c>
      <c r="EG546" s="14" t="s">
        <v>179</v>
      </c>
      <c r="EH546" s="14" t="s">
        <v>13012</v>
      </c>
      <c r="EI546" s="14" t="s">
        <v>179</v>
      </c>
      <c r="EJ546" s="14" t="s">
        <v>13013</v>
      </c>
      <c r="EK546" s="14" t="s">
        <v>179</v>
      </c>
      <c r="EL546" s="14" t="s">
        <v>13013</v>
      </c>
      <c r="EM546" s="15"/>
      <c r="EN546" s="15"/>
      <c r="EO546" s="15"/>
      <c r="EP546" s="15"/>
      <c r="EQ546" s="15"/>
      <c r="ER546" s="15"/>
      <c r="ES546" s="15"/>
      <c r="ET546" s="15"/>
      <c r="EU546" s="15"/>
      <c r="EV546" s="15"/>
      <c r="EW546" s="15"/>
      <c r="EX546" s="15"/>
      <c r="EY546" s="15"/>
      <c r="EZ546" s="15"/>
      <c r="FA546" s="15"/>
      <c r="FB546" s="15"/>
      <c r="FC546" s="17" t="s">
        <v>197</v>
      </c>
      <c r="FD546" s="17" t="s">
        <v>198</v>
      </c>
      <c r="FE546" s="18">
        <v>45708.334641203706</v>
      </c>
      <c r="FF546" s="19"/>
      <c r="FG546" s="19"/>
      <c r="FH546" s="17" t="s">
        <v>197</v>
      </c>
      <c r="FI546" s="17" t="s">
        <v>214</v>
      </c>
      <c r="FJ546" s="18">
        <v>45708.334641203706</v>
      </c>
      <c r="FK546" s="14" t="s">
        <v>13013</v>
      </c>
      <c r="FL546" s="14" t="s">
        <v>13014</v>
      </c>
      <c r="FM546" s="14" t="s">
        <v>13015</v>
      </c>
      <c r="FN546" s="19"/>
      <c r="FO546" s="19"/>
      <c r="FP546" s="19" t="str">
        <f t="shared" si="1"/>
        <v>Base de Dados_Images/PCV81007.Imagem do Equipamento-.130919.jpg</v>
      </c>
      <c r="FQ546" s="14"/>
      <c r="FR546" s="14"/>
    </row>
    <row r="547" ht="15.75" customHeight="1">
      <c r="A547" s="12" t="s">
        <v>357</v>
      </c>
      <c r="B547" s="12" t="s">
        <v>358</v>
      </c>
      <c r="C547" s="12" t="s">
        <v>219</v>
      </c>
      <c r="D547" s="22" t="s">
        <v>13016</v>
      </c>
      <c r="E547" s="22" t="s">
        <v>13017</v>
      </c>
      <c r="F547" s="13" t="s">
        <v>178</v>
      </c>
      <c r="G547" s="14" t="s">
        <v>179</v>
      </c>
      <c r="H547" s="14" t="s">
        <v>13018</v>
      </c>
      <c r="I547" s="14" t="s">
        <v>179</v>
      </c>
      <c r="J547" s="14" t="s">
        <v>13019</v>
      </c>
      <c r="K547" s="14" t="s">
        <v>179</v>
      </c>
      <c r="L547" s="14" t="s">
        <v>13020</v>
      </c>
      <c r="M547" s="14" t="s">
        <v>179</v>
      </c>
      <c r="N547" s="14" t="s">
        <v>13021</v>
      </c>
      <c r="O547" s="14" t="s">
        <v>179</v>
      </c>
      <c r="P547" s="14" t="s">
        <v>13022</v>
      </c>
      <c r="Q547" s="14" t="s">
        <v>179</v>
      </c>
      <c r="R547" s="14" t="s">
        <v>13023</v>
      </c>
      <c r="S547" s="14" t="s">
        <v>179</v>
      </c>
      <c r="T547" s="14" t="s">
        <v>13024</v>
      </c>
      <c r="U547" s="14" t="s">
        <v>179</v>
      </c>
      <c r="V547" s="14" t="s">
        <v>13025</v>
      </c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6" t="s">
        <v>197</v>
      </c>
      <c r="BP547" s="17" t="s">
        <v>228</v>
      </c>
      <c r="BQ547" s="23"/>
      <c r="BR547" s="17" t="s">
        <v>198</v>
      </c>
      <c r="BS547" s="18">
        <v>45679.47078703704</v>
      </c>
      <c r="BT547" s="17" t="s">
        <v>198</v>
      </c>
      <c r="BU547" s="18">
        <v>45679.47078703704</v>
      </c>
      <c r="BV547" s="13" t="s">
        <v>199</v>
      </c>
      <c r="BW547" s="14" t="s">
        <v>179</v>
      </c>
      <c r="BX547" s="14" t="s">
        <v>13026</v>
      </c>
      <c r="BY547" s="14" t="s">
        <v>179</v>
      </c>
      <c r="BZ547" s="14" t="s">
        <v>13027</v>
      </c>
      <c r="CA547" s="15"/>
      <c r="CB547" s="15"/>
      <c r="CC547" s="15"/>
      <c r="CD547" s="15"/>
      <c r="CE547" s="15"/>
      <c r="CF547" s="15"/>
      <c r="CG547" s="19"/>
      <c r="CH547" s="15"/>
      <c r="CI547" s="19"/>
      <c r="CJ547" s="15"/>
      <c r="CK547" s="19"/>
      <c r="CL547" s="15"/>
      <c r="CM547" s="19"/>
      <c r="CN547" s="15"/>
      <c r="CO547" s="19"/>
      <c r="CP547" s="15"/>
      <c r="CQ547" s="15"/>
      <c r="CR547" s="15"/>
      <c r="CS547" s="19"/>
      <c r="CT547" s="15"/>
      <c r="CU547" s="19"/>
      <c r="CV547" s="15"/>
      <c r="CW547" s="19"/>
      <c r="CX547" s="15"/>
      <c r="CY547" s="19"/>
      <c r="CZ547" s="15"/>
      <c r="DA547" s="16" t="s">
        <v>197</v>
      </c>
      <c r="DB547" s="17" t="s">
        <v>228</v>
      </c>
      <c r="DC547" s="16"/>
      <c r="DD547" s="17" t="s">
        <v>198</v>
      </c>
      <c r="DE547" s="18">
        <v>45705.385</v>
      </c>
      <c r="DF547" s="17" t="s">
        <v>198</v>
      </c>
      <c r="DG547" s="18">
        <v>45705.385</v>
      </c>
      <c r="DH547" s="13" t="s">
        <v>205</v>
      </c>
      <c r="DI547" s="14" t="s">
        <v>179</v>
      </c>
      <c r="DJ547" s="14" t="s">
        <v>13028</v>
      </c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6" t="s">
        <v>197</v>
      </c>
      <c r="ED547" s="17" t="s">
        <v>198</v>
      </c>
      <c r="EE547" s="18">
        <v>45705.385034722225</v>
      </c>
      <c r="EF547" s="13" t="s">
        <v>209</v>
      </c>
      <c r="EG547" s="14" t="s">
        <v>179</v>
      </c>
      <c r="EH547" s="14" t="s">
        <v>13029</v>
      </c>
      <c r="EI547" s="15"/>
      <c r="EJ547" s="15"/>
      <c r="EK547" s="15"/>
      <c r="EL547" s="15"/>
      <c r="EM547" s="15"/>
      <c r="EN547" s="15"/>
      <c r="EO547" s="15"/>
      <c r="EP547" s="15"/>
      <c r="EQ547" s="15"/>
      <c r="ER547" s="15"/>
      <c r="ES547" s="15"/>
      <c r="ET547" s="15"/>
      <c r="EU547" s="15"/>
      <c r="EV547" s="15"/>
      <c r="EW547" s="15"/>
      <c r="EX547" s="15"/>
      <c r="EY547" s="15"/>
      <c r="EZ547" s="15"/>
      <c r="FA547" s="15"/>
      <c r="FB547" s="15"/>
      <c r="FC547" s="16" t="s">
        <v>197</v>
      </c>
      <c r="FD547" s="17" t="s">
        <v>198</v>
      </c>
      <c r="FE547" s="18">
        <v>45705.38516203704</v>
      </c>
      <c r="FF547" s="19"/>
      <c r="FG547" s="19"/>
      <c r="FH547" s="21" t="s">
        <v>197</v>
      </c>
      <c r="FI547" s="17" t="s">
        <v>214</v>
      </c>
      <c r="FJ547" s="18">
        <v>45705.38516203704</v>
      </c>
      <c r="FK547" s="14" t="s">
        <v>13029</v>
      </c>
      <c r="FL547" s="14" t="s">
        <v>13030</v>
      </c>
      <c r="FM547" s="14" t="s">
        <v>13031</v>
      </c>
      <c r="FN547" s="19"/>
      <c r="FO547" s="19"/>
      <c r="FP547" s="19" t="str">
        <f t="shared" si="1"/>
        <v>Base de Dados_Images/PCV81014.Imagem do Equipamento-.190442.jpg</v>
      </c>
      <c r="FQ547" s="19"/>
      <c r="FR547" s="19"/>
    </row>
    <row r="548" ht="15.75" customHeight="1">
      <c r="A548" s="12" t="s">
        <v>357</v>
      </c>
      <c r="B548" s="12" t="s">
        <v>358</v>
      </c>
      <c r="C548" s="12" t="s">
        <v>219</v>
      </c>
      <c r="D548" s="22" t="s">
        <v>13032</v>
      </c>
      <c r="E548" s="22" t="s">
        <v>13033</v>
      </c>
      <c r="F548" s="13" t="s">
        <v>178</v>
      </c>
      <c r="G548" s="14" t="s">
        <v>179</v>
      </c>
      <c r="H548" s="14" t="s">
        <v>13034</v>
      </c>
      <c r="I548" s="14" t="s">
        <v>179</v>
      </c>
      <c r="J548" s="14" t="s">
        <v>13035</v>
      </c>
      <c r="K548" s="14" t="s">
        <v>179</v>
      </c>
      <c r="L548" s="14" t="s">
        <v>13036</v>
      </c>
      <c r="M548" s="14" t="s">
        <v>179</v>
      </c>
      <c r="N548" s="14" t="s">
        <v>13037</v>
      </c>
      <c r="O548" s="14" t="s">
        <v>179</v>
      </c>
      <c r="P548" s="14" t="s">
        <v>13038</v>
      </c>
      <c r="Q548" s="14" t="s">
        <v>179</v>
      </c>
      <c r="R548" s="14" t="s">
        <v>13039</v>
      </c>
      <c r="S548" s="14" t="s">
        <v>179</v>
      </c>
      <c r="T548" s="14" t="s">
        <v>13040</v>
      </c>
      <c r="U548" s="14" t="s">
        <v>179</v>
      </c>
      <c r="V548" s="14" t="s">
        <v>13041</v>
      </c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6" t="s">
        <v>197</v>
      </c>
      <c r="BP548" s="17" t="s">
        <v>228</v>
      </c>
      <c r="BQ548" s="23"/>
      <c r="BR548" s="17" t="s">
        <v>198</v>
      </c>
      <c r="BS548" s="18">
        <v>45693.60318287037</v>
      </c>
      <c r="BT548" s="17" t="s">
        <v>198</v>
      </c>
      <c r="BU548" s="18">
        <v>45693.60318287037</v>
      </c>
      <c r="BV548" s="13" t="s">
        <v>199</v>
      </c>
      <c r="BW548" s="14" t="s">
        <v>179</v>
      </c>
      <c r="BX548" s="14" t="s">
        <v>13042</v>
      </c>
      <c r="BY548" s="14" t="s">
        <v>179</v>
      </c>
      <c r="BZ548" s="14" t="s">
        <v>13043</v>
      </c>
      <c r="CA548" s="15"/>
      <c r="CB548" s="15"/>
      <c r="CC548" s="15"/>
      <c r="CD548" s="15"/>
      <c r="CE548" s="15"/>
      <c r="CF548" s="15"/>
      <c r="CG548" s="19"/>
      <c r="CH548" s="15"/>
      <c r="CI548" s="19"/>
      <c r="CJ548" s="15"/>
      <c r="CK548" s="19"/>
      <c r="CL548" s="15"/>
      <c r="CM548" s="19"/>
      <c r="CN548" s="15"/>
      <c r="CO548" s="19"/>
      <c r="CP548" s="15"/>
      <c r="CQ548" s="15"/>
      <c r="CR548" s="15"/>
      <c r="CS548" s="19"/>
      <c r="CT548" s="15"/>
      <c r="CU548" s="19"/>
      <c r="CV548" s="15"/>
      <c r="CW548" s="19"/>
      <c r="CX548" s="15"/>
      <c r="CY548" s="19"/>
      <c r="CZ548" s="15"/>
      <c r="DA548" s="16" t="s">
        <v>197</v>
      </c>
      <c r="DB548" s="17" t="s">
        <v>228</v>
      </c>
      <c r="DC548" s="16"/>
      <c r="DD548" s="17" t="s">
        <v>198</v>
      </c>
      <c r="DE548" s="18">
        <v>45706.49083333334</v>
      </c>
      <c r="DF548" s="17" t="s">
        <v>198</v>
      </c>
      <c r="DG548" s="18">
        <v>45706.49083333334</v>
      </c>
      <c r="DH548" s="13" t="s">
        <v>205</v>
      </c>
      <c r="DI548" s="14" t="s">
        <v>179</v>
      </c>
      <c r="DJ548" s="14" t="s">
        <v>13044</v>
      </c>
      <c r="DK548" s="15"/>
      <c r="DL548" s="15"/>
      <c r="DM548" s="15"/>
      <c r="DN548" s="15"/>
      <c r="DO548" s="15"/>
      <c r="DP548" s="15"/>
      <c r="DQ548" s="15"/>
      <c r="DR548" s="15"/>
      <c r="DS548" s="15"/>
      <c r="DT548" s="15"/>
      <c r="DU548" s="15"/>
      <c r="DV548" s="15"/>
      <c r="DW548" s="15"/>
      <c r="DX548" s="15"/>
      <c r="DY548" s="15"/>
      <c r="DZ548" s="15"/>
      <c r="EA548" s="15"/>
      <c r="EB548" s="15"/>
      <c r="EC548" s="16" t="s">
        <v>197</v>
      </c>
      <c r="ED548" s="17" t="s">
        <v>198</v>
      </c>
      <c r="EE548" s="18">
        <v>45706.49105324074</v>
      </c>
      <c r="EF548" s="13" t="s">
        <v>209</v>
      </c>
      <c r="EG548" s="14" t="s">
        <v>179</v>
      </c>
      <c r="EH548" s="14" t="s">
        <v>13045</v>
      </c>
      <c r="EI548" s="15"/>
      <c r="EJ548" s="15"/>
      <c r="EK548" s="15"/>
      <c r="EL548" s="15"/>
      <c r="EM548" s="15"/>
      <c r="EN548" s="15"/>
      <c r="EO548" s="15"/>
      <c r="EP548" s="15"/>
      <c r="EQ548" s="15"/>
      <c r="ER548" s="15"/>
      <c r="ES548" s="15"/>
      <c r="ET548" s="15"/>
      <c r="EU548" s="15"/>
      <c r="EV548" s="15"/>
      <c r="EW548" s="15"/>
      <c r="EX548" s="15"/>
      <c r="EY548" s="15"/>
      <c r="EZ548" s="15"/>
      <c r="FA548" s="15"/>
      <c r="FB548" s="15"/>
      <c r="FC548" s="16" t="s">
        <v>197</v>
      </c>
      <c r="FD548" s="17" t="s">
        <v>198</v>
      </c>
      <c r="FE548" s="18">
        <v>45706.49109953704</v>
      </c>
      <c r="FF548" s="19"/>
      <c r="FG548" s="19"/>
      <c r="FH548" s="21" t="s">
        <v>197</v>
      </c>
      <c r="FI548" s="17" t="s">
        <v>214</v>
      </c>
      <c r="FJ548" s="18">
        <v>45706.49109953704</v>
      </c>
      <c r="FK548" s="14" t="s">
        <v>13045</v>
      </c>
      <c r="FL548" s="14" t="s">
        <v>13046</v>
      </c>
      <c r="FM548" s="14" t="s">
        <v>13047</v>
      </c>
      <c r="FN548" s="19"/>
      <c r="FO548" s="19"/>
      <c r="FP548" s="19" t="str">
        <f t="shared" si="1"/>
        <v>Base de Dados_Images/PCV81022A.Imagem do Equipamento-.183550.jpg</v>
      </c>
      <c r="FQ548" s="14"/>
      <c r="FR548" s="14"/>
    </row>
    <row r="549" ht="15.75" customHeight="1">
      <c r="A549" s="12" t="s">
        <v>357</v>
      </c>
      <c r="B549" s="12" t="s">
        <v>13048</v>
      </c>
      <c r="C549" s="12" t="s">
        <v>219</v>
      </c>
      <c r="D549" s="22" t="s">
        <v>13049</v>
      </c>
      <c r="E549" s="22" t="s">
        <v>13050</v>
      </c>
      <c r="F549" s="13" t="s">
        <v>178</v>
      </c>
      <c r="G549" s="14" t="s">
        <v>179</v>
      </c>
      <c r="H549" s="14" t="s">
        <v>13051</v>
      </c>
      <c r="I549" s="14" t="s">
        <v>179</v>
      </c>
      <c r="J549" s="14" t="s">
        <v>13052</v>
      </c>
      <c r="K549" s="14" t="s">
        <v>179</v>
      </c>
      <c r="L549" s="14" t="s">
        <v>13053</v>
      </c>
      <c r="M549" s="14" t="s">
        <v>179</v>
      </c>
      <c r="N549" s="14" t="s">
        <v>13054</v>
      </c>
      <c r="O549" s="14" t="s">
        <v>179</v>
      </c>
      <c r="P549" s="14" t="s">
        <v>13055</v>
      </c>
      <c r="Q549" s="14" t="s">
        <v>179</v>
      </c>
      <c r="R549" s="14" t="s">
        <v>13056</v>
      </c>
      <c r="S549" s="14" t="s">
        <v>179</v>
      </c>
      <c r="T549" s="14" t="s">
        <v>13057</v>
      </c>
      <c r="U549" s="14" t="s">
        <v>179</v>
      </c>
      <c r="V549" s="14" t="s">
        <v>13058</v>
      </c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6" t="s">
        <v>197</v>
      </c>
      <c r="BP549" s="17" t="s">
        <v>228</v>
      </c>
      <c r="BQ549" s="23"/>
      <c r="BR549" s="17" t="s">
        <v>198</v>
      </c>
      <c r="BS549" s="18">
        <v>45693.63006944444</v>
      </c>
      <c r="BT549" s="17" t="s">
        <v>198</v>
      </c>
      <c r="BU549" s="18">
        <v>45693.63006944444</v>
      </c>
      <c r="BV549" s="13" t="s">
        <v>199</v>
      </c>
      <c r="BW549" s="14" t="s">
        <v>179</v>
      </c>
      <c r="BX549" s="14" t="s">
        <v>13059</v>
      </c>
      <c r="BY549" s="14" t="s">
        <v>179</v>
      </c>
      <c r="BZ549" s="14" t="s">
        <v>13060</v>
      </c>
      <c r="CA549" s="15"/>
      <c r="CB549" s="15"/>
      <c r="CC549" s="15"/>
      <c r="CD549" s="15"/>
      <c r="CE549" s="15"/>
      <c r="CF549" s="15"/>
      <c r="CG549" s="19"/>
      <c r="CH549" s="15"/>
      <c r="CI549" s="19"/>
      <c r="CJ549" s="15"/>
      <c r="CK549" s="19"/>
      <c r="CL549" s="15"/>
      <c r="CM549" s="19"/>
      <c r="CN549" s="15"/>
      <c r="CO549" s="19"/>
      <c r="CP549" s="15"/>
      <c r="CQ549" s="15"/>
      <c r="CR549" s="15"/>
      <c r="CS549" s="19"/>
      <c r="CT549" s="15"/>
      <c r="CU549" s="19"/>
      <c r="CV549" s="15"/>
      <c r="CW549" s="19"/>
      <c r="CX549" s="15"/>
      <c r="CY549" s="19"/>
      <c r="CZ549" s="15"/>
      <c r="DA549" s="16" t="s">
        <v>197</v>
      </c>
      <c r="DB549" s="17" t="s">
        <v>228</v>
      </c>
      <c r="DC549" s="16"/>
      <c r="DD549" s="17" t="s">
        <v>198</v>
      </c>
      <c r="DE549" s="18">
        <v>45705.38789351852</v>
      </c>
      <c r="DF549" s="17" t="s">
        <v>198</v>
      </c>
      <c r="DG549" s="18">
        <v>45705.38789351852</v>
      </c>
      <c r="DH549" s="13" t="s">
        <v>205</v>
      </c>
      <c r="DI549" s="14" t="s">
        <v>179</v>
      </c>
      <c r="DJ549" s="14" t="s">
        <v>13061</v>
      </c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6" t="s">
        <v>197</v>
      </c>
      <c r="ED549" s="17" t="s">
        <v>198</v>
      </c>
      <c r="EE549" s="18">
        <v>45705.523506944446</v>
      </c>
      <c r="EF549" s="13" t="s">
        <v>209</v>
      </c>
      <c r="EG549" s="14" t="s">
        <v>179</v>
      </c>
      <c r="EH549" s="14" t="s">
        <v>13062</v>
      </c>
      <c r="EI549" s="15"/>
      <c r="EJ549" s="15"/>
      <c r="EK549" s="15"/>
      <c r="EL549" s="15"/>
      <c r="EM549" s="15"/>
      <c r="EN549" s="15"/>
      <c r="EO549" s="15"/>
      <c r="EP549" s="15"/>
      <c r="EQ549" s="15"/>
      <c r="ER549" s="15"/>
      <c r="ES549" s="15"/>
      <c r="ET549" s="15"/>
      <c r="EU549" s="15"/>
      <c r="EV549" s="15"/>
      <c r="EW549" s="15"/>
      <c r="EX549" s="15"/>
      <c r="EY549" s="15"/>
      <c r="EZ549" s="15"/>
      <c r="FA549" s="15"/>
      <c r="FB549" s="15"/>
      <c r="FC549" s="16" t="s">
        <v>197</v>
      </c>
      <c r="FD549" s="17" t="s">
        <v>198</v>
      </c>
      <c r="FE549" s="18">
        <v>45705.523564814815</v>
      </c>
      <c r="FF549" s="19"/>
      <c r="FG549" s="19"/>
      <c r="FH549" s="21" t="s">
        <v>197</v>
      </c>
      <c r="FI549" s="17" t="s">
        <v>214</v>
      </c>
      <c r="FJ549" s="18">
        <v>45705.523564814815</v>
      </c>
      <c r="FK549" s="14" t="s">
        <v>13062</v>
      </c>
      <c r="FL549" s="14" t="s">
        <v>13063</v>
      </c>
      <c r="FM549" s="14" t="s">
        <v>13064</v>
      </c>
      <c r="FN549" s="19"/>
      <c r="FO549" s="19"/>
      <c r="FP549" s="19" t="str">
        <f t="shared" si="1"/>
        <v>Base de Dados_Images/PCV81022B.Imagem do Equipamento-.180940.jpg</v>
      </c>
      <c r="FQ549" s="14"/>
      <c r="FR549" s="14"/>
    </row>
    <row r="550" ht="15.75" customHeight="1">
      <c r="A550" s="12" t="s">
        <v>357</v>
      </c>
      <c r="B550" s="12" t="s">
        <v>13048</v>
      </c>
      <c r="C550" s="12" t="s">
        <v>219</v>
      </c>
      <c r="D550" s="22" t="s">
        <v>13065</v>
      </c>
      <c r="E550" s="22" t="s">
        <v>13066</v>
      </c>
      <c r="F550" s="13" t="s">
        <v>178</v>
      </c>
      <c r="G550" s="14" t="s">
        <v>179</v>
      </c>
      <c r="H550" s="14" t="s">
        <v>13067</v>
      </c>
      <c r="I550" s="14" t="s">
        <v>179</v>
      </c>
      <c r="J550" s="14" t="s">
        <v>13068</v>
      </c>
      <c r="K550" s="14" t="s">
        <v>179</v>
      </c>
      <c r="L550" s="14" t="s">
        <v>13069</v>
      </c>
      <c r="M550" s="14" t="s">
        <v>179</v>
      </c>
      <c r="N550" s="14" t="s">
        <v>13070</v>
      </c>
      <c r="O550" s="14" t="s">
        <v>179</v>
      </c>
      <c r="P550" s="14" t="s">
        <v>13071</v>
      </c>
      <c r="Q550" s="14" t="s">
        <v>179</v>
      </c>
      <c r="R550" s="14" t="s">
        <v>13072</v>
      </c>
      <c r="S550" s="14" t="s">
        <v>179</v>
      </c>
      <c r="T550" s="14" t="s">
        <v>13073</v>
      </c>
      <c r="U550" s="14" t="s">
        <v>179</v>
      </c>
      <c r="V550" s="14" t="s">
        <v>13074</v>
      </c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6" t="s">
        <v>197</v>
      </c>
      <c r="BP550" s="17" t="s">
        <v>228</v>
      </c>
      <c r="BQ550" s="23"/>
      <c r="BR550" s="17" t="s">
        <v>198</v>
      </c>
      <c r="BS550" s="18">
        <v>45693.630902777775</v>
      </c>
      <c r="BT550" s="17" t="s">
        <v>198</v>
      </c>
      <c r="BU550" s="18">
        <v>45693.630902777775</v>
      </c>
      <c r="BV550" s="13" t="s">
        <v>199</v>
      </c>
      <c r="BW550" s="14" t="s">
        <v>179</v>
      </c>
      <c r="BX550" s="14" t="s">
        <v>13075</v>
      </c>
      <c r="BY550" s="14" t="s">
        <v>179</v>
      </c>
      <c r="BZ550" s="14" t="s">
        <v>13076</v>
      </c>
      <c r="CA550" s="15"/>
      <c r="CB550" s="15"/>
      <c r="CC550" s="15"/>
      <c r="CD550" s="15"/>
      <c r="CE550" s="15"/>
      <c r="CF550" s="15"/>
      <c r="CG550" s="19"/>
      <c r="CH550" s="15"/>
      <c r="CI550" s="19"/>
      <c r="CJ550" s="15"/>
      <c r="CK550" s="19"/>
      <c r="CL550" s="15"/>
      <c r="CM550" s="19"/>
      <c r="CN550" s="15"/>
      <c r="CO550" s="19"/>
      <c r="CP550" s="15"/>
      <c r="CQ550" s="15"/>
      <c r="CR550" s="15"/>
      <c r="CS550" s="19"/>
      <c r="CT550" s="15"/>
      <c r="CU550" s="19"/>
      <c r="CV550" s="15"/>
      <c r="CW550" s="19"/>
      <c r="CX550" s="15"/>
      <c r="CY550" s="19"/>
      <c r="CZ550" s="15"/>
      <c r="DA550" s="16" t="s">
        <v>197</v>
      </c>
      <c r="DB550" s="17" t="s">
        <v>228</v>
      </c>
      <c r="DC550" s="16"/>
      <c r="DD550" s="17" t="s">
        <v>198</v>
      </c>
      <c r="DE550" s="18">
        <v>45705.40185185185</v>
      </c>
      <c r="DF550" s="17" t="s">
        <v>198</v>
      </c>
      <c r="DG550" s="18">
        <v>45705.40185185185</v>
      </c>
      <c r="DH550" s="13" t="s">
        <v>205</v>
      </c>
      <c r="DI550" s="14" t="s">
        <v>179</v>
      </c>
      <c r="DJ550" s="14" t="s">
        <v>13077</v>
      </c>
      <c r="DK550" s="15"/>
      <c r="DL550" s="15"/>
      <c r="DM550" s="15"/>
      <c r="DN550" s="15"/>
      <c r="DO550" s="15"/>
      <c r="DP550" s="15"/>
      <c r="DQ550" s="15"/>
      <c r="DR550" s="15"/>
      <c r="DS550" s="15"/>
      <c r="DT550" s="15"/>
      <c r="DU550" s="15"/>
      <c r="DV550" s="15"/>
      <c r="DW550" s="15"/>
      <c r="DX550" s="15"/>
      <c r="DY550" s="15"/>
      <c r="DZ550" s="15"/>
      <c r="EA550" s="15"/>
      <c r="EB550" s="15"/>
      <c r="EC550" s="16" t="s">
        <v>197</v>
      </c>
      <c r="ED550" s="17" t="s">
        <v>198</v>
      </c>
      <c r="EE550" s="18">
        <v>45705.52371527778</v>
      </c>
      <c r="EF550" s="13" t="s">
        <v>209</v>
      </c>
      <c r="EG550" s="14" t="s">
        <v>179</v>
      </c>
      <c r="EH550" s="14" t="s">
        <v>13078</v>
      </c>
      <c r="EI550" s="15"/>
      <c r="EJ550" s="15"/>
      <c r="EK550" s="15"/>
      <c r="EL550" s="15"/>
      <c r="EM550" s="15"/>
      <c r="EN550" s="15"/>
      <c r="EO550" s="15"/>
      <c r="EP550" s="15"/>
      <c r="EQ550" s="15"/>
      <c r="ER550" s="15"/>
      <c r="ES550" s="15"/>
      <c r="ET550" s="15"/>
      <c r="EU550" s="15"/>
      <c r="EV550" s="15"/>
      <c r="EW550" s="15"/>
      <c r="EX550" s="15"/>
      <c r="EY550" s="15"/>
      <c r="EZ550" s="15"/>
      <c r="FA550" s="15"/>
      <c r="FB550" s="15"/>
      <c r="FC550" s="16" t="s">
        <v>197</v>
      </c>
      <c r="FD550" s="17" t="s">
        <v>198</v>
      </c>
      <c r="FE550" s="18">
        <v>45705.52375</v>
      </c>
      <c r="FF550" s="19"/>
      <c r="FG550" s="19"/>
      <c r="FH550" s="21" t="s">
        <v>197</v>
      </c>
      <c r="FI550" s="17" t="s">
        <v>214</v>
      </c>
      <c r="FJ550" s="18">
        <v>45705.52375</v>
      </c>
      <c r="FK550" s="14" t="s">
        <v>13078</v>
      </c>
      <c r="FL550" s="14" t="s">
        <v>13079</v>
      </c>
      <c r="FM550" s="14" t="s">
        <v>13080</v>
      </c>
      <c r="FN550" s="19"/>
      <c r="FO550" s="19"/>
      <c r="FP550" s="19" t="str">
        <f t="shared" si="1"/>
        <v>Base de Dados_Images/PCV81022C.Imagem do Equipamento-.171553.jpg</v>
      </c>
      <c r="FQ550" s="14"/>
      <c r="FR550" s="14"/>
    </row>
    <row r="551" ht="15.75" customHeight="1">
      <c r="A551" s="12" t="s">
        <v>357</v>
      </c>
      <c r="B551" s="12" t="s">
        <v>13081</v>
      </c>
      <c r="C551" s="12" t="s">
        <v>219</v>
      </c>
      <c r="D551" s="22" t="s">
        <v>13082</v>
      </c>
      <c r="E551" s="22" t="s">
        <v>13083</v>
      </c>
      <c r="F551" s="13" t="s">
        <v>178</v>
      </c>
      <c r="G551" s="14" t="s">
        <v>179</v>
      </c>
      <c r="H551" s="14" t="s">
        <v>13084</v>
      </c>
      <c r="I551" s="14" t="s">
        <v>179</v>
      </c>
      <c r="J551" s="14" t="s">
        <v>13085</v>
      </c>
      <c r="K551" s="14" t="s">
        <v>179</v>
      </c>
      <c r="L551" s="14" t="s">
        <v>13086</v>
      </c>
      <c r="M551" s="14" t="s">
        <v>179</v>
      </c>
      <c r="N551" s="14" t="s">
        <v>13087</v>
      </c>
      <c r="O551" s="14" t="s">
        <v>179</v>
      </c>
      <c r="P551" s="14" t="s">
        <v>13088</v>
      </c>
      <c r="Q551" s="14" t="s">
        <v>179</v>
      </c>
      <c r="R551" s="14" t="s">
        <v>13089</v>
      </c>
      <c r="S551" s="14" t="s">
        <v>179</v>
      </c>
      <c r="T551" s="14" t="s">
        <v>13090</v>
      </c>
      <c r="U551" s="14" t="s">
        <v>179</v>
      </c>
      <c r="V551" s="14" t="s">
        <v>13091</v>
      </c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6" t="s">
        <v>197</v>
      </c>
      <c r="BP551" s="17" t="s">
        <v>228</v>
      </c>
      <c r="BQ551" s="23"/>
      <c r="BR551" s="17" t="s">
        <v>198</v>
      </c>
      <c r="BS551" s="18">
        <v>45693.633877314816</v>
      </c>
      <c r="BT551" s="17" t="s">
        <v>198</v>
      </c>
      <c r="BU551" s="18">
        <v>45693.633877314816</v>
      </c>
      <c r="BV551" s="13" t="s">
        <v>199</v>
      </c>
      <c r="BW551" s="14" t="s">
        <v>179</v>
      </c>
      <c r="BX551" s="14" t="s">
        <v>13092</v>
      </c>
      <c r="BY551" s="14" t="s">
        <v>179</v>
      </c>
      <c r="BZ551" s="14" t="s">
        <v>13093</v>
      </c>
      <c r="CA551" s="15"/>
      <c r="CB551" s="15"/>
      <c r="CC551" s="15"/>
      <c r="CD551" s="15"/>
      <c r="CE551" s="15"/>
      <c r="CF551" s="15"/>
      <c r="CG551" s="19"/>
      <c r="CH551" s="15"/>
      <c r="CI551" s="19"/>
      <c r="CJ551" s="15"/>
      <c r="CK551" s="19"/>
      <c r="CL551" s="15"/>
      <c r="CM551" s="19"/>
      <c r="CN551" s="15"/>
      <c r="CO551" s="19"/>
      <c r="CP551" s="15"/>
      <c r="CQ551" s="15"/>
      <c r="CR551" s="15"/>
      <c r="CS551" s="19"/>
      <c r="CT551" s="15"/>
      <c r="CU551" s="19"/>
      <c r="CV551" s="15"/>
      <c r="CW551" s="19"/>
      <c r="CX551" s="15"/>
      <c r="CY551" s="19"/>
      <c r="CZ551" s="15"/>
      <c r="DA551" s="16" t="s">
        <v>197</v>
      </c>
      <c r="DB551" s="17" t="s">
        <v>228</v>
      </c>
      <c r="DC551" s="16"/>
      <c r="DD551" s="17" t="s">
        <v>198</v>
      </c>
      <c r="DE551" s="18">
        <v>45709.385196759256</v>
      </c>
      <c r="DF551" s="17" t="s">
        <v>198</v>
      </c>
      <c r="DG551" s="18">
        <v>45709.385196759256</v>
      </c>
      <c r="DH551" s="13" t="s">
        <v>205</v>
      </c>
      <c r="DI551" s="14" t="s">
        <v>179</v>
      </c>
      <c r="DJ551" s="14" t="s">
        <v>13094</v>
      </c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6" t="s">
        <v>197</v>
      </c>
      <c r="ED551" s="17" t="s">
        <v>198</v>
      </c>
      <c r="EE551" s="18">
        <v>45709.385243055556</v>
      </c>
      <c r="EF551" s="13" t="s">
        <v>209</v>
      </c>
      <c r="EG551" s="14" t="s">
        <v>179</v>
      </c>
      <c r="EH551" s="14" t="s">
        <v>13095</v>
      </c>
      <c r="EI551" s="15"/>
      <c r="EJ551" s="15"/>
      <c r="EK551" s="15"/>
      <c r="EL551" s="15"/>
      <c r="EM551" s="15"/>
      <c r="EN551" s="15"/>
      <c r="EO551" s="15"/>
      <c r="EP551" s="15"/>
      <c r="EQ551" s="15"/>
      <c r="ER551" s="15"/>
      <c r="ES551" s="15"/>
      <c r="ET551" s="15"/>
      <c r="EU551" s="15"/>
      <c r="EV551" s="15"/>
      <c r="EW551" s="15"/>
      <c r="EX551" s="15"/>
      <c r="EY551" s="15"/>
      <c r="EZ551" s="15"/>
      <c r="FA551" s="15"/>
      <c r="FB551" s="15"/>
      <c r="FC551" s="16" t="s">
        <v>197</v>
      </c>
      <c r="FD551" s="17" t="s">
        <v>198</v>
      </c>
      <c r="FE551" s="18">
        <v>45709.38527777778</v>
      </c>
      <c r="FF551" s="19"/>
      <c r="FG551" s="19"/>
      <c r="FH551" s="21" t="s">
        <v>197</v>
      </c>
      <c r="FI551" s="17" t="s">
        <v>214</v>
      </c>
      <c r="FJ551" s="18">
        <v>45709.38527777778</v>
      </c>
      <c r="FK551" s="14" t="s">
        <v>13095</v>
      </c>
      <c r="FL551" s="14"/>
      <c r="FM551" s="14"/>
      <c r="FN551" s="19"/>
      <c r="FO551" s="19"/>
      <c r="FP551" s="19" t="str">
        <f t="shared" si="1"/>
        <v/>
      </c>
      <c r="FQ551" s="14" t="s">
        <v>215</v>
      </c>
      <c r="FR551" s="14" t="s">
        <v>13096</v>
      </c>
    </row>
    <row r="552" ht="15.75" customHeight="1">
      <c r="A552" s="12" t="s">
        <v>292</v>
      </c>
      <c r="B552" s="12" t="s">
        <v>13097</v>
      </c>
      <c r="C552" s="12" t="s">
        <v>219</v>
      </c>
      <c r="D552" s="22" t="s">
        <v>13098</v>
      </c>
      <c r="E552" s="22" t="s">
        <v>13099</v>
      </c>
      <c r="F552" s="13" t="s">
        <v>178</v>
      </c>
      <c r="G552" s="14" t="s">
        <v>179</v>
      </c>
      <c r="H552" s="14" t="s">
        <v>13100</v>
      </c>
      <c r="I552" s="14" t="s">
        <v>179</v>
      </c>
      <c r="J552" s="14" t="s">
        <v>13101</v>
      </c>
      <c r="K552" s="14" t="s">
        <v>179</v>
      </c>
      <c r="L552" s="14" t="s">
        <v>13102</v>
      </c>
      <c r="M552" s="14" t="s">
        <v>179</v>
      </c>
      <c r="N552" s="14" t="s">
        <v>13103</v>
      </c>
      <c r="O552" s="14" t="s">
        <v>179</v>
      </c>
      <c r="P552" s="14" t="s">
        <v>13104</v>
      </c>
      <c r="Q552" s="14" t="s">
        <v>179</v>
      </c>
      <c r="R552" s="14" t="s">
        <v>13105</v>
      </c>
      <c r="S552" s="14" t="s">
        <v>179</v>
      </c>
      <c r="T552" s="14" t="s">
        <v>13106</v>
      </c>
      <c r="U552" s="14" t="s">
        <v>179</v>
      </c>
      <c r="V552" s="14" t="s">
        <v>13107</v>
      </c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6" t="s">
        <v>197</v>
      </c>
      <c r="BP552" s="17" t="s">
        <v>228</v>
      </c>
      <c r="BQ552" s="23"/>
      <c r="BR552" s="17" t="s">
        <v>198</v>
      </c>
      <c r="BS552" s="18">
        <v>45687.499756944446</v>
      </c>
      <c r="BT552" s="17" t="s">
        <v>198</v>
      </c>
      <c r="BU552" s="18">
        <v>45687.499756944446</v>
      </c>
      <c r="BV552" s="13" t="s">
        <v>199</v>
      </c>
      <c r="BW552" s="14" t="s">
        <v>179</v>
      </c>
      <c r="BX552" s="14" t="s">
        <v>13108</v>
      </c>
      <c r="BY552" s="14" t="s">
        <v>179</v>
      </c>
      <c r="BZ552" s="14" t="s">
        <v>13109</v>
      </c>
      <c r="CA552" s="15"/>
      <c r="CB552" s="15"/>
      <c r="CC552" s="15"/>
      <c r="CD552" s="15"/>
      <c r="CE552" s="15"/>
      <c r="CF552" s="15"/>
      <c r="CG552" s="19"/>
      <c r="CH552" s="15"/>
      <c r="CI552" s="19"/>
      <c r="CJ552" s="15"/>
      <c r="CK552" s="19"/>
      <c r="CL552" s="15"/>
      <c r="CM552" s="19"/>
      <c r="CN552" s="15"/>
      <c r="CO552" s="19"/>
      <c r="CP552" s="15"/>
      <c r="CQ552" s="15"/>
      <c r="CR552" s="15"/>
      <c r="CS552" s="19"/>
      <c r="CT552" s="15"/>
      <c r="CU552" s="19"/>
      <c r="CV552" s="15"/>
      <c r="CW552" s="19"/>
      <c r="CX552" s="15"/>
      <c r="CY552" s="19"/>
      <c r="CZ552" s="15"/>
      <c r="DA552" s="16" t="s">
        <v>197</v>
      </c>
      <c r="DB552" s="17" t="s">
        <v>228</v>
      </c>
      <c r="DC552" s="16"/>
      <c r="DD552" s="17" t="s">
        <v>198</v>
      </c>
      <c r="DE552" s="18">
        <v>45721.318090277775</v>
      </c>
      <c r="DF552" s="17" t="s">
        <v>198</v>
      </c>
      <c r="DG552" s="18">
        <v>45721.318090277775</v>
      </c>
      <c r="DH552" s="13" t="s">
        <v>205</v>
      </c>
      <c r="DI552" s="14" t="s">
        <v>179</v>
      </c>
      <c r="DJ552" s="14" t="s">
        <v>13110</v>
      </c>
      <c r="DK552" s="15"/>
      <c r="DL552" s="15"/>
      <c r="DM552" s="15"/>
      <c r="DN552" s="15"/>
      <c r="DO552" s="15"/>
      <c r="DP552" s="15"/>
      <c r="DQ552" s="15"/>
      <c r="DR552" s="15"/>
      <c r="DS552" s="15"/>
      <c r="DT552" s="15"/>
      <c r="DU552" s="15"/>
      <c r="DV552" s="15"/>
      <c r="DW552" s="15"/>
      <c r="DX552" s="15"/>
      <c r="DY552" s="15"/>
      <c r="DZ552" s="15"/>
      <c r="EA552" s="15"/>
      <c r="EB552" s="15"/>
      <c r="EC552" s="16" t="s">
        <v>197</v>
      </c>
      <c r="ED552" s="17" t="s">
        <v>198</v>
      </c>
      <c r="EE552" s="18">
        <v>45721.31814814815</v>
      </c>
      <c r="EF552" s="13" t="s">
        <v>209</v>
      </c>
      <c r="EG552" s="14" t="s">
        <v>179</v>
      </c>
      <c r="EH552" s="14" t="s">
        <v>13111</v>
      </c>
      <c r="EI552" s="15"/>
      <c r="EJ552" s="15"/>
      <c r="EK552" s="15"/>
      <c r="EL552" s="15"/>
      <c r="EM552" s="15"/>
      <c r="EN552" s="15"/>
      <c r="EO552" s="15"/>
      <c r="EP552" s="15"/>
      <c r="EQ552" s="15"/>
      <c r="ER552" s="15"/>
      <c r="ES552" s="15"/>
      <c r="ET552" s="15"/>
      <c r="EU552" s="15"/>
      <c r="EV552" s="15"/>
      <c r="EW552" s="15"/>
      <c r="EX552" s="15"/>
      <c r="EY552" s="15"/>
      <c r="EZ552" s="15"/>
      <c r="FA552" s="15"/>
      <c r="FB552" s="15"/>
      <c r="FC552" s="16" t="s">
        <v>197</v>
      </c>
      <c r="FD552" s="17" t="s">
        <v>198</v>
      </c>
      <c r="FE552" s="18">
        <v>45721.31822916667</v>
      </c>
      <c r="FF552" s="19"/>
      <c r="FG552" s="19"/>
      <c r="FH552" s="21" t="s">
        <v>197</v>
      </c>
      <c r="FI552" s="17" t="s">
        <v>214</v>
      </c>
      <c r="FJ552" s="18">
        <v>45721.31822916667</v>
      </c>
      <c r="FK552" s="14" t="s">
        <v>13111</v>
      </c>
      <c r="FL552" s="14" t="s">
        <v>13112</v>
      </c>
      <c r="FM552" s="14" t="s">
        <v>13113</v>
      </c>
      <c r="FN552" s="19"/>
      <c r="FO552" s="19"/>
      <c r="FP552" s="19" t="str">
        <f t="shared" si="1"/>
        <v>Base de Dados_Images/PCV81025A.Imagem do Equipamento-.155120.jpg</v>
      </c>
      <c r="FQ552" s="19"/>
      <c r="FR552" s="19"/>
    </row>
    <row r="553" ht="15.75" customHeight="1">
      <c r="A553" s="12" t="s">
        <v>292</v>
      </c>
      <c r="B553" s="12" t="s">
        <v>13097</v>
      </c>
      <c r="C553" s="12" t="s">
        <v>219</v>
      </c>
      <c r="D553" s="22" t="s">
        <v>13114</v>
      </c>
      <c r="E553" s="22" t="s">
        <v>13115</v>
      </c>
      <c r="F553" s="13" t="s">
        <v>178</v>
      </c>
      <c r="G553" s="14" t="s">
        <v>179</v>
      </c>
      <c r="H553" s="14" t="s">
        <v>13116</v>
      </c>
      <c r="I553" s="14" t="s">
        <v>179</v>
      </c>
      <c r="J553" s="14" t="s">
        <v>13117</v>
      </c>
      <c r="K553" s="14" t="s">
        <v>179</v>
      </c>
      <c r="L553" s="14" t="s">
        <v>13118</v>
      </c>
      <c r="M553" s="14" t="s">
        <v>179</v>
      </c>
      <c r="N553" s="14" t="s">
        <v>13119</v>
      </c>
      <c r="O553" s="14" t="s">
        <v>179</v>
      </c>
      <c r="P553" s="14" t="s">
        <v>13120</v>
      </c>
      <c r="Q553" s="14" t="s">
        <v>179</v>
      </c>
      <c r="R553" s="14" t="s">
        <v>13121</v>
      </c>
      <c r="S553" s="14" t="s">
        <v>179</v>
      </c>
      <c r="T553" s="14" t="s">
        <v>13122</v>
      </c>
      <c r="U553" s="14" t="s">
        <v>179</v>
      </c>
      <c r="V553" s="14" t="s">
        <v>13123</v>
      </c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6" t="s">
        <v>197</v>
      </c>
      <c r="BP553" s="17" t="s">
        <v>228</v>
      </c>
      <c r="BQ553" s="23"/>
      <c r="BR553" s="17" t="s">
        <v>198</v>
      </c>
      <c r="BS553" s="18">
        <v>45687.50079861111</v>
      </c>
      <c r="BT553" s="17" t="s">
        <v>198</v>
      </c>
      <c r="BU553" s="18">
        <v>45687.50079861111</v>
      </c>
      <c r="BV553" s="13" t="s">
        <v>199</v>
      </c>
      <c r="BW553" s="14" t="s">
        <v>179</v>
      </c>
      <c r="BX553" s="14" t="s">
        <v>13124</v>
      </c>
      <c r="BY553" s="14" t="s">
        <v>179</v>
      </c>
      <c r="BZ553" s="14" t="s">
        <v>13125</v>
      </c>
      <c r="CA553" s="15"/>
      <c r="CB553" s="15"/>
      <c r="CC553" s="15"/>
      <c r="CD553" s="15"/>
      <c r="CE553" s="15"/>
      <c r="CF553" s="15"/>
      <c r="CG553" s="19"/>
      <c r="CH553" s="15"/>
      <c r="CI553" s="19"/>
      <c r="CJ553" s="15"/>
      <c r="CK553" s="19"/>
      <c r="CL553" s="15"/>
      <c r="CM553" s="19"/>
      <c r="CN553" s="15"/>
      <c r="CO553" s="19"/>
      <c r="CP553" s="15"/>
      <c r="CQ553" s="15"/>
      <c r="CR553" s="15"/>
      <c r="CS553" s="19"/>
      <c r="CT553" s="15"/>
      <c r="CU553" s="19"/>
      <c r="CV553" s="15"/>
      <c r="CW553" s="19"/>
      <c r="CX553" s="15"/>
      <c r="CY553" s="19"/>
      <c r="CZ553" s="15"/>
      <c r="DA553" s="16" t="s">
        <v>197</v>
      </c>
      <c r="DB553" s="17" t="s">
        <v>228</v>
      </c>
      <c r="DC553" s="16"/>
      <c r="DD553" s="17" t="s">
        <v>198</v>
      </c>
      <c r="DE553" s="18">
        <v>45721.318333333336</v>
      </c>
      <c r="DF553" s="17" t="s">
        <v>198</v>
      </c>
      <c r="DG553" s="18">
        <v>45721.318333333336</v>
      </c>
      <c r="DH553" s="13" t="s">
        <v>205</v>
      </c>
      <c r="DI553" s="14" t="s">
        <v>179</v>
      </c>
      <c r="DJ553" s="14" t="s">
        <v>13126</v>
      </c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6" t="s">
        <v>197</v>
      </c>
      <c r="ED553" s="17" t="s">
        <v>198</v>
      </c>
      <c r="EE553" s="18">
        <v>45721.31836805555</v>
      </c>
      <c r="EF553" s="13" t="s">
        <v>209</v>
      </c>
      <c r="EG553" s="14" t="s">
        <v>179</v>
      </c>
      <c r="EH553" s="14" t="s">
        <v>13127</v>
      </c>
      <c r="EI553" s="15"/>
      <c r="EJ553" s="15"/>
      <c r="EK553" s="15"/>
      <c r="EL553" s="15"/>
      <c r="EM553" s="15"/>
      <c r="EN553" s="15"/>
      <c r="EO553" s="15"/>
      <c r="EP553" s="15"/>
      <c r="EQ553" s="15"/>
      <c r="ER553" s="15"/>
      <c r="ES553" s="15"/>
      <c r="ET553" s="15"/>
      <c r="EU553" s="15"/>
      <c r="EV553" s="15"/>
      <c r="EW553" s="15"/>
      <c r="EX553" s="15"/>
      <c r="EY553" s="15"/>
      <c r="EZ553" s="15"/>
      <c r="FA553" s="15"/>
      <c r="FB553" s="15"/>
      <c r="FC553" s="16" t="s">
        <v>197</v>
      </c>
      <c r="FD553" s="17" t="s">
        <v>198</v>
      </c>
      <c r="FE553" s="18">
        <v>45721.31841435185</v>
      </c>
      <c r="FF553" s="19"/>
      <c r="FG553" s="19"/>
      <c r="FH553" s="21" t="s">
        <v>197</v>
      </c>
      <c r="FI553" s="17" t="s">
        <v>214</v>
      </c>
      <c r="FJ553" s="18">
        <v>45721.31841435185</v>
      </c>
      <c r="FK553" s="14" t="s">
        <v>13127</v>
      </c>
      <c r="FL553" s="14" t="s">
        <v>13128</v>
      </c>
      <c r="FM553" s="14" t="s">
        <v>13129</v>
      </c>
      <c r="FN553" s="19"/>
      <c r="FO553" s="19"/>
      <c r="FP553" s="19" t="str">
        <f t="shared" si="1"/>
        <v>Base de Dados_Images/PCV81025B.Imagem do Equipamento-.155129.jpg</v>
      </c>
      <c r="FQ553" s="14"/>
      <c r="FR553" s="14"/>
    </row>
    <row r="554" ht="15.75" customHeight="1">
      <c r="A554" s="12" t="s">
        <v>7459</v>
      </c>
      <c r="B554" s="24" t="s">
        <v>13130</v>
      </c>
      <c r="C554" s="24" t="s">
        <v>13130</v>
      </c>
      <c r="D554" s="12" t="s">
        <v>13131</v>
      </c>
      <c r="E554" s="12" t="s">
        <v>13132</v>
      </c>
      <c r="F554" s="13" t="s">
        <v>178</v>
      </c>
      <c r="G554" s="14" t="s">
        <v>179</v>
      </c>
      <c r="H554" s="14" t="s">
        <v>13133</v>
      </c>
      <c r="I554" s="14" t="s">
        <v>179</v>
      </c>
      <c r="J554" s="14" t="s">
        <v>13134</v>
      </c>
      <c r="K554" s="14" t="s">
        <v>179</v>
      </c>
      <c r="L554" s="14" t="s">
        <v>13135</v>
      </c>
      <c r="M554" s="14" t="s">
        <v>179</v>
      </c>
      <c r="N554" s="14" t="s">
        <v>13136</v>
      </c>
      <c r="O554" s="14" t="s">
        <v>179</v>
      </c>
      <c r="P554" s="14" t="s">
        <v>13137</v>
      </c>
      <c r="Q554" s="14" t="s">
        <v>179</v>
      </c>
      <c r="R554" s="14" t="s">
        <v>13138</v>
      </c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6" t="s">
        <v>197</v>
      </c>
      <c r="BP554" s="17" t="s">
        <v>198</v>
      </c>
      <c r="BQ554" s="18">
        <v>45709.4137962963</v>
      </c>
      <c r="BR554" s="17" t="s">
        <v>198</v>
      </c>
      <c r="BS554" s="18">
        <v>45699.359976851854</v>
      </c>
      <c r="BT554" s="17" t="s">
        <v>198</v>
      </c>
      <c r="BU554" s="18">
        <v>45709.4137962963</v>
      </c>
      <c r="BV554" s="13" t="s">
        <v>199</v>
      </c>
      <c r="BW554" s="14" t="s">
        <v>179</v>
      </c>
      <c r="BX554" s="14" t="s">
        <v>13139</v>
      </c>
      <c r="BY554" s="14" t="s">
        <v>179</v>
      </c>
      <c r="BZ554" s="14" t="s">
        <v>13140</v>
      </c>
      <c r="CA554" s="14" t="s">
        <v>179</v>
      </c>
      <c r="CB554" s="14" t="s">
        <v>13141</v>
      </c>
      <c r="CC554" s="14" t="s">
        <v>179</v>
      </c>
      <c r="CD554" s="14" t="s">
        <v>13142</v>
      </c>
      <c r="CE554" s="14" t="s">
        <v>179</v>
      </c>
      <c r="CF554" s="14" t="s">
        <v>13143</v>
      </c>
      <c r="CG554" s="14" t="s">
        <v>188</v>
      </c>
      <c r="CH554" s="14" t="s">
        <v>13144</v>
      </c>
      <c r="CI554" s="14" t="s">
        <v>179</v>
      </c>
      <c r="CJ554" s="14" t="s">
        <v>13145</v>
      </c>
      <c r="CK554" s="19"/>
      <c r="CL554" s="15"/>
      <c r="CM554" s="19"/>
      <c r="CN554" s="15"/>
      <c r="CO554" s="19"/>
      <c r="CP554" s="15"/>
      <c r="CQ554" s="15"/>
      <c r="CR554" s="15"/>
      <c r="CS554" s="19"/>
      <c r="CT554" s="15"/>
      <c r="CU554" s="19"/>
      <c r="CV554" s="15"/>
      <c r="CW554" s="19"/>
      <c r="CX554" s="15"/>
      <c r="CY554" s="19"/>
      <c r="CZ554" s="15"/>
      <c r="DA554" s="16" t="s">
        <v>197</v>
      </c>
      <c r="DB554" s="17" t="s">
        <v>198</v>
      </c>
      <c r="DC554" s="20">
        <v>45713.45296296296</v>
      </c>
      <c r="DD554" s="17" t="s">
        <v>198</v>
      </c>
      <c r="DE554" s="18">
        <v>45713.454722222225</v>
      </c>
      <c r="DF554" s="17" t="s">
        <v>198</v>
      </c>
      <c r="DG554" s="18">
        <v>45713.454722222225</v>
      </c>
      <c r="DH554" s="13" t="s">
        <v>205</v>
      </c>
      <c r="DI554" s="14" t="s">
        <v>179</v>
      </c>
      <c r="DJ554" s="14" t="s">
        <v>13146</v>
      </c>
      <c r="DK554" s="14" t="s">
        <v>179</v>
      </c>
      <c r="DL554" s="14" t="s">
        <v>13147</v>
      </c>
      <c r="DM554" s="14" t="s">
        <v>179</v>
      </c>
      <c r="DN554" s="14" t="s">
        <v>13148</v>
      </c>
      <c r="DO554" s="14" t="s">
        <v>188</v>
      </c>
      <c r="DP554" s="14" t="s">
        <v>13149</v>
      </c>
      <c r="DQ554" s="14" t="s">
        <v>179</v>
      </c>
      <c r="DR554" s="14" t="s">
        <v>13150</v>
      </c>
      <c r="DS554" s="14" t="s">
        <v>188</v>
      </c>
      <c r="DT554" s="14" t="s">
        <v>13151</v>
      </c>
      <c r="DU554" s="15"/>
      <c r="DV554" s="15"/>
      <c r="DW554" s="15"/>
      <c r="DX554" s="15"/>
      <c r="DY554" s="15"/>
      <c r="DZ554" s="15"/>
      <c r="EA554" s="15"/>
      <c r="EB554" s="15"/>
      <c r="EC554" s="16" t="s">
        <v>197</v>
      </c>
      <c r="ED554" s="17" t="s">
        <v>198</v>
      </c>
      <c r="EE554" s="18">
        <v>45713.685266203705</v>
      </c>
      <c r="EF554" s="13" t="s">
        <v>209</v>
      </c>
      <c r="EG554" s="14" t="s">
        <v>179</v>
      </c>
      <c r="EH554" s="14" t="s">
        <v>13152</v>
      </c>
      <c r="EI554" s="14" t="s">
        <v>179</v>
      </c>
      <c r="EJ554" s="14" t="s">
        <v>13153</v>
      </c>
      <c r="EK554" s="14" t="s">
        <v>179</v>
      </c>
      <c r="EL554" s="14" t="s">
        <v>13154</v>
      </c>
      <c r="EM554" s="14" t="s">
        <v>179</v>
      </c>
      <c r="EN554" s="14" t="s">
        <v>13155</v>
      </c>
      <c r="EO554" s="14" t="s">
        <v>179</v>
      </c>
      <c r="EP554" s="14" t="s">
        <v>13156</v>
      </c>
      <c r="EQ554" s="14" t="s">
        <v>179</v>
      </c>
      <c r="ER554" s="14" t="s">
        <v>13157</v>
      </c>
      <c r="ES554" s="15"/>
      <c r="ET554" s="15"/>
      <c r="EU554" s="15"/>
      <c r="EV554" s="15"/>
      <c r="EW554" s="15"/>
      <c r="EX554" s="15"/>
      <c r="EY554" s="15"/>
      <c r="EZ554" s="15"/>
      <c r="FA554" s="15"/>
      <c r="FB554" s="15"/>
      <c r="FC554" s="16" t="s">
        <v>197</v>
      </c>
      <c r="FD554" s="17" t="s">
        <v>198</v>
      </c>
      <c r="FE554" s="18">
        <v>45724.37069444444</v>
      </c>
      <c r="FF554" s="19"/>
      <c r="FG554" s="19"/>
      <c r="FH554" s="21" t="s">
        <v>197</v>
      </c>
      <c r="FI554" s="17" t="s">
        <v>214</v>
      </c>
      <c r="FJ554" s="18">
        <v>45724.37069444444</v>
      </c>
      <c r="FK554" s="14" t="s">
        <v>13157</v>
      </c>
      <c r="FL554" s="14" t="s">
        <v>13158</v>
      </c>
      <c r="FM554" s="14" t="s">
        <v>13159</v>
      </c>
      <c r="FN554" s="19"/>
      <c r="FO554" s="19"/>
      <c r="FP554" s="19" t="str">
        <f t="shared" si="1"/>
        <v>Base de Dados_Images/PH7901.Imagem do Equipamento-.125505.jpg</v>
      </c>
      <c r="FQ554" s="14"/>
      <c r="FR554" s="14"/>
    </row>
    <row r="555" ht="15.75" customHeight="1">
      <c r="A555" s="12" t="s">
        <v>292</v>
      </c>
      <c r="B555" s="12" t="s">
        <v>1975</v>
      </c>
      <c r="C555" s="24" t="s">
        <v>324</v>
      </c>
      <c r="D555" s="22" t="s">
        <v>13160</v>
      </c>
      <c r="E555" s="22" t="s">
        <v>13161</v>
      </c>
      <c r="F555" s="13" t="s">
        <v>178</v>
      </c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6" t="s">
        <v>197</v>
      </c>
      <c r="BP555" s="17" t="s">
        <v>228</v>
      </c>
      <c r="BQ555" s="23"/>
      <c r="BR555" s="17" t="s">
        <v>228</v>
      </c>
      <c r="BS555" s="23"/>
      <c r="BT555" s="17" t="s">
        <v>228</v>
      </c>
      <c r="BU555" s="23"/>
      <c r="BV555" s="13" t="s">
        <v>199</v>
      </c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9"/>
      <c r="CH555" s="15"/>
      <c r="CI555" s="19"/>
      <c r="CJ555" s="15"/>
      <c r="CK555" s="19"/>
      <c r="CL555" s="15"/>
      <c r="CM555" s="19"/>
      <c r="CN555" s="15"/>
      <c r="CO555" s="19"/>
      <c r="CP555" s="15"/>
      <c r="CQ555" s="15"/>
      <c r="CR555" s="15"/>
      <c r="CS555" s="19"/>
      <c r="CT555" s="15"/>
      <c r="CU555" s="19"/>
      <c r="CV555" s="15"/>
      <c r="CW555" s="19"/>
      <c r="CX555" s="15"/>
      <c r="CY555" s="19"/>
      <c r="CZ555" s="15"/>
      <c r="DA555" s="16" t="s">
        <v>197</v>
      </c>
      <c r="DB555" s="17" t="s">
        <v>228</v>
      </c>
      <c r="DC555" s="16"/>
      <c r="DD555" s="17" t="s">
        <v>228</v>
      </c>
      <c r="DE555" s="23"/>
      <c r="DF555" s="17" t="s">
        <v>228</v>
      </c>
      <c r="DG555" s="23"/>
      <c r="DH555" s="13" t="s">
        <v>205</v>
      </c>
      <c r="DI555" s="14" t="s">
        <v>179</v>
      </c>
      <c r="DJ555" s="14" t="s">
        <v>13162</v>
      </c>
      <c r="DK555" s="14" t="s">
        <v>179</v>
      </c>
      <c r="DL555" s="14" t="s">
        <v>13163</v>
      </c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6" t="s">
        <v>197</v>
      </c>
      <c r="ED555" s="17" t="s">
        <v>198</v>
      </c>
      <c r="EE555" s="18">
        <v>45722.498090277775</v>
      </c>
      <c r="EF555" s="13" t="s">
        <v>209</v>
      </c>
      <c r="EG555" s="14" t="s">
        <v>179</v>
      </c>
      <c r="EH555" s="14" t="s">
        <v>13164</v>
      </c>
      <c r="EI555" s="14" t="s">
        <v>179</v>
      </c>
      <c r="EJ555" s="14" t="s">
        <v>13164</v>
      </c>
      <c r="EK555" s="15"/>
      <c r="EL555" s="15"/>
      <c r="EM555" s="15"/>
      <c r="EN555" s="15"/>
      <c r="EO555" s="15"/>
      <c r="EP555" s="15"/>
      <c r="EQ555" s="15"/>
      <c r="ER555" s="15"/>
      <c r="ES555" s="15"/>
      <c r="ET555" s="15"/>
      <c r="EU555" s="15"/>
      <c r="EV555" s="15"/>
      <c r="EW555" s="15"/>
      <c r="EX555" s="15"/>
      <c r="EY555" s="15"/>
      <c r="EZ555" s="15"/>
      <c r="FA555" s="15"/>
      <c r="FB555" s="15"/>
      <c r="FC555" s="16" t="s">
        <v>197</v>
      </c>
      <c r="FD555" s="17" t="s">
        <v>198</v>
      </c>
      <c r="FE555" s="18">
        <v>45722.50861111111</v>
      </c>
      <c r="FF555" s="19"/>
      <c r="FG555" s="19"/>
      <c r="FH555" s="21" t="s">
        <v>197</v>
      </c>
      <c r="FI555" s="17" t="s">
        <v>214</v>
      </c>
      <c r="FJ555" s="18">
        <v>45722.50861111111</v>
      </c>
      <c r="FK555" s="14" t="s">
        <v>13164</v>
      </c>
      <c r="FL555" s="19"/>
      <c r="FM555" s="19"/>
      <c r="FN555" s="19"/>
      <c r="FO555" s="19"/>
      <c r="FP555" s="19" t="str">
        <f t="shared" si="1"/>
        <v/>
      </c>
      <c r="FQ555" s="14" t="s">
        <v>215</v>
      </c>
      <c r="FR555" s="14" t="s">
        <v>13165</v>
      </c>
    </row>
    <row r="556" ht="15.75" customHeight="1">
      <c r="A556" s="12" t="s">
        <v>234</v>
      </c>
      <c r="B556" s="12" t="s">
        <v>10222</v>
      </c>
      <c r="C556" s="24" t="s">
        <v>324</v>
      </c>
      <c r="D556" s="22" t="s">
        <v>13166</v>
      </c>
      <c r="E556" s="22" t="s">
        <v>13167</v>
      </c>
      <c r="F556" s="13" t="s">
        <v>178</v>
      </c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6" t="s">
        <v>197</v>
      </c>
      <c r="BP556" s="17" t="s">
        <v>228</v>
      </c>
      <c r="BQ556" s="23"/>
      <c r="BR556" s="17" t="s">
        <v>228</v>
      </c>
      <c r="BS556" s="23"/>
      <c r="BT556" s="17" t="s">
        <v>228</v>
      </c>
      <c r="BU556" s="23"/>
      <c r="BV556" s="13" t="s">
        <v>199</v>
      </c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9"/>
      <c r="CH556" s="15"/>
      <c r="CI556" s="19"/>
      <c r="CJ556" s="15"/>
      <c r="CK556" s="19"/>
      <c r="CL556" s="15"/>
      <c r="CM556" s="19"/>
      <c r="CN556" s="15"/>
      <c r="CO556" s="19"/>
      <c r="CP556" s="15"/>
      <c r="CQ556" s="15"/>
      <c r="CR556" s="15"/>
      <c r="CS556" s="19"/>
      <c r="CT556" s="15"/>
      <c r="CU556" s="19"/>
      <c r="CV556" s="15"/>
      <c r="CW556" s="19"/>
      <c r="CX556" s="15"/>
      <c r="CY556" s="19"/>
      <c r="CZ556" s="15"/>
      <c r="DA556" s="16" t="s">
        <v>197</v>
      </c>
      <c r="DB556" s="17" t="s">
        <v>228</v>
      </c>
      <c r="DC556" s="16"/>
      <c r="DD556" s="17" t="s">
        <v>228</v>
      </c>
      <c r="DE556" s="23"/>
      <c r="DF556" s="17" t="s">
        <v>228</v>
      </c>
      <c r="DG556" s="23"/>
      <c r="DH556" s="13" t="s">
        <v>205</v>
      </c>
      <c r="DI556" s="14" t="s">
        <v>179</v>
      </c>
      <c r="DJ556" s="14" t="s">
        <v>13168</v>
      </c>
      <c r="DK556" s="14" t="s">
        <v>179</v>
      </c>
      <c r="DL556" s="14" t="s">
        <v>13169</v>
      </c>
      <c r="DM556" s="15"/>
      <c r="DN556" s="15"/>
      <c r="DO556" s="15"/>
      <c r="DP556" s="15"/>
      <c r="DQ556" s="15"/>
      <c r="DR556" s="15"/>
      <c r="DS556" s="15"/>
      <c r="DT556" s="15"/>
      <c r="DU556" s="15"/>
      <c r="DV556" s="15"/>
      <c r="DW556" s="15"/>
      <c r="DX556" s="15"/>
      <c r="DY556" s="15"/>
      <c r="DZ556" s="15"/>
      <c r="EA556" s="15"/>
      <c r="EB556" s="15"/>
      <c r="EC556" s="16" t="s">
        <v>197</v>
      </c>
      <c r="ED556" s="17" t="s">
        <v>198</v>
      </c>
      <c r="EE556" s="18">
        <v>45694.59230324074</v>
      </c>
      <c r="EF556" s="13" t="s">
        <v>209</v>
      </c>
      <c r="EG556" s="14" t="s">
        <v>179</v>
      </c>
      <c r="EH556" s="14" t="s">
        <v>13170</v>
      </c>
      <c r="EI556" s="14" t="s">
        <v>179</v>
      </c>
      <c r="EJ556" s="14" t="s">
        <v>13170</v>
      </c>
      <c r="EK556" s="15"/>
      <c r="EL556" s="15"/>
      <c r="EM556" s="15"/>
      <c r="EN556" s="15"/>
      <c r="EO556" s="15"/>
      <c r="EP556" s="15"/>
      <c r="EQ556" s="15"/>
      <c r="ER556" s="15"/>
      <c r="ES556" s="15"/>
      <c r="ET556" s="15"/>
      <c r="EU556" s="15"/>
      <c r="EV556" s="15"/>
      <c r="EW556" s="15"/>
      <c r="EX556" s="15"/>
      <c r="EY556" s="15"/>
      <c r="EZ556" s="15"/>
      <c r="FA556" s="15"/>
      <c r="FB556" s="15"/>
      <c r="FC556" s="16" t="s">
        <v>197</v>
      </c>
      <c r="FD556" s="17" t="s">
        <v>198</v>
      </c>
      <c r="FE556" s="18">
        <v>45722.389340277776</v>
      </c>
      <c r="FF556" s="19"/>
      <c r="FG556" s="19"/>
      <c r="FH556" s="21" t="s">
        <v>197</v>
      </c>
      <c r="FI556" s="17" t="s">
        <v>214</v>
      </c>
      <c r="FJ556" s="18">
        <v>45722.389340277776</v>
      </c>
      <c r="FK556" s="14" t="s">
        <v>13170</v>
      </c>
      <c r="FL556" s="14" t="s">
        <v>13171</v>
      </c>
      <c r="FM556" s="14" t="s">
        <v>13172</v>
      </c>
      <c r="FN556" s="19"/>
      <c r="FO556" s="19"/>
      <c r="FP556" s="19" t="str">
        <f t="shared" si="1"/>
        <v>Base de Dados_Images/PIC65026.Imagem do Equipamento-.171252.jpg</v>
      </c>
      <c r="FQ556" s="19"/>
      <c r="FR556" s="19"/>
    </row>
    <row r="557" ht="15.75" customHeight="1">
      <c r="A557" s="12" t="s">
        <v>547</v>
      </c>
      <c r="B557" s="12" t="s">
        <v>3584</v>
      </c>
      <c r="C557" s="24" t="s">
        <v>324</v>
      </c>
      <c r="D557" s="22" t="s">
        <v>13173</v>
      </c>
      <c r="E557" s="22" t="s">
        <v>13174</v>
      </c>
      <c r="F557" s="13" t="s">
        <v>178</v>
      </c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6" t="s">
        <v>197</v>
      </c>
      <c r="BP557" s="17" t="s">
        <v>228</v>
      </c>
      <c r="BQ557" s="23"/>
      <c r="BR557" s="17" t="s">
        <v>228</v>
      </c>
      <c r="BS557" s="23"/>
      <c r="BT557" s="17" t="s">
        <v>228</v>
      </c>
      <c r="BU557" s="23"/>
      <c r="BV557" s="13" t="s">
        <v>199</v>
      </c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9"/>
      <c r="CH557" s="15"/>
      <c r="CI557" s="19"/>
      <c r="CJ557" s="15"/>
      <c r="CK557" s="19"/>
      <c r="CL557" s="15"/>
      <c r="CM557" s="19"/>
      <c r="CN557" s="15"/>
      <c r="CO557" s="19"/>
      <c r="CP557" s="15"/>
      <c r="CQ557" s="15"/>
      <c r="CR557" s="15"/>
      <c r="CS557" s="19"/>
      <c r="CT557" s="15"/>
      <c r="CU557" s="19"/>
      <c r="CV557" s="15"/>
      <c r="CW557" s="19"/>
      <c r="CX557" s="15"/>
      <c r="CY557" s="19"/>
      <c r="CZ557" s="15"/>
      <c r="DA557" s="16" t="s">
        <v>197</v>
      </c>
      <c r="DB557" s="17" t="s">
        <v>228</v>
      </c>
      <c r="DC557" s="16"/>
      <c r="DD557" s="17" t="s">
        <v>228</v>
      </c>
      <c r="DE557" s="23"/>
      <c r="DF557" s="17" t="s">
        <v>228</v>
      </c>
      <c r="DG557" s="23"/>
      <c r="DH557" s="13" t="s">
        <v>205</v>
      </c>
      <c r="DI557" s="14" t="s">
        <v>179</v>
      </c>
      <c r="DJ557" s="14" t="s">
        <v>13175</v>
      </c>
      <c r="DK557" s="14" t="s">
        <v>179</v>
      </c>
      <c r="DL557" s="14" t="s">
        <v>13175</v>
      </c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6" t="s">
        <v>197</v>
      </c>
      <c r="ED557" s="17" t="s">
        <v>198</v>
      </c>
      <c r="EE557" s="18">
        <v>45722.60931712963</v>
      </c>
      <c r="EF557" s="13" t="s">
        <v>209</v>
      </c>
      <c r="EG557" s="14" t="s">
        <v>179</v>
      </c>
      <c r="EH557" s="14" t="s">
        <v>13176</v>
      </c>
      <c r="EI557" s="14" t="s">
        <v>179</v>
      </c>
      <c r="EJ557" s="14" t="s">
        <v>13176</v>
      </c>
      <c r="EK557" s="15"/>
      <c r="EL557" s="15"/>
      <c r="EM557" s="15"/>
      <c r="EN557" s="15"/>
      <c r="EO557" s="15"/>
      <c r="EP557" s="15"/>
      <c r="EQ557" s="15"/>
      <c r="ER557" s="15"/>
      <c r="ES557" s="15"/>
      <c r="ET557" s="15"/>
      <c r="EU557" s="15"/>
      <c r="EV557" s="15"/>
      <c r="EW557" s="15"/>
      <c r="EX557" s="15"/>
      <c r="EY557" s="15"/>
      <c r="EZ557" s="15"/>
      <c r="FA557" s="15"/>
      <c r="FB557" s="15"/>
      <c r="FC557" s="16" t="s">
        <v>197</v>
      </c>
      <c r="FD557" s="17" t="s">
        <v>198</v>
      </c>
      <c r="FE557" s="18">
        <v>45722.609375</v>
      </c>
      <c r="FF557" s="19"/>
      <c r="FG557" s="19"/>
      <c r="FH557" s="21" t="s">
        <v>197</v>
      </c>
      <c r="FI557" s="17" t="s">
        <v>214</v>
      </c>
      <c r="FJ557" s="18">
        <v>45722.609375</v>
      </c>
      <c r="FK557" s="14" t="s">
        <v>13176</v>
      </c>
      <c r="FL557" s="14" t="s">
        <v>13177</v>
      </c>
      <c r="FM557" s="14" t="s">
        <v>13178</v>
      </c>
      <c r="FN557" s="19"/>
      <c r="FO557" s="19"/>
      <c r="FP557" s="19" t="str">
        <f t="shared" si="1"/>
        <v>Base de Dados_Images/PIC70003.Imagem do Equipamento-.184509.jpg</v>
      </c>
      <c r="FQ557" s="19"/>
      <c r="FR557" s="19"/>
    </row>
    <row r="558" ht="15.75" customHeight="1">
      <c r="A558" s="12" t="s">
        <v>547</v>
      </c>
      <c r="B558" s="12" t="s">
        <v>12936</v>
      </c>
      <c r="C558" s="24" t="s">
        <v>324</v>
      </c>
      <c r="D558" s="22" t="s">
        <v>13179</v>
      </c>
      <c r="E558" s="22" t="s">
        <v>13180</v>
      </c>
      <c r="F558" s="13" t="s">
        <v>178</v>
      </c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6" t="s">
        <v>197</v>
      </c>
      <c r="BP558" s="17" t="s">
        <v>228</v>
      </c>
      <c r="BQ558" s="23"/>
      <c r="BR558" s="17" t="s">
        <v>228</v>
      </c>
      <c r="BS558" s="23"/>
      <c r="BT558" s="17" t="s">
        <v>228</v>
      </c>
      <c r="BU558" s="23"/>
      <c r="BV558" s="13" t="s">
        <v>199</v>
      </c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9"/>
      <c r="CH558" s="15"/>
      <c r="CI558" s="19"/>
      <c r="CJ558" s="15"/>
      <c r="CK558" s="19"/>
      <c r="CL558" s="15"/>
      <c r="CM558" s="19"/>
      <c r="CN558" s="15"/>
      <c r="CO558" s="19"/>
      <c r="CP558" s="15"/>
      <c r="CQ558" s="15"/>
      <c r="CR558" s="15"/>
      <c r="CS558" s="19"/>
      <c r="CT558" s="15"/>
      <c r="CU558" s="19"/>
      <c r="CV558" s="15"/>
      <c r="CW558" s="19"/>
      <c r="CX558" s="15"/>
      <c r="CY558" s="19"/>
      <c r="CZ558" s="15"/>
      <c r="DA558" s="16" t="s">
        <v>197</v>
      </c>
      <c r="DB558" s="17" t="s">
        <v>228</v>
      </c>
      <c r="DC558" s="16"/>
      <c r="DD558" s="17" t="s">
        <v>228</v>
      </c>
      <c r="DE558" s="23"/>
      <c r="DF558" s="17" t="s">
        <v>228</v>
      </c>
      <c r="DG558" s="23"/>
      <c r="DH558" s="13" t="s">
        <v>205</v>
      </c>
      <c r="DI558" s="14" t="s">
        <v>179</v>
      </c>
      <c r="DJ558" s="14" t="s">
        <v>13181</v>
      </c>
      <c r="DK558" s="14" t="s">
        <v>179</v>
      </c>
      <c r="DL558" s="14" t="s">
        <v>13182</v>
      </c>
      <c r="DM558" s="15"/>
      <c r="DN558" s="15"/>
      <c r="DO558" s="15"/>
      <c r="DP558" s="15"/>
      <c r="DQ558" s="15"/>
      <c r="DR558" s="15"/>
      <c r="DS558" s="15"/>
      <c r="DT558" s="15"/>
      <c r="DU558" s="15"/>
      <c r="DV558" s="15"/>
      <c r="DW558" s="15"/>
      <c r="DX558" s="15"/>
      <c r="DY558" s="15"/>
      <c r="DZ558" s="15"/>
      <c r="EA558" s="15"/>
      <c r="EB558" s="15"/>
      <c r="EC558" s="16" t="s">
        <v>197</v>
      </c>
      <c r="ED558" s="17" t="s">
        <v>198</v>
      </c>
      <c r="EE558" s="18">
        <v>45694.59988425926</v>
      </c>
      <c r="EF558" s="13" t="s">
        <v>209</v>
      </c>
      <c r="EG558" s="14" t="s">
        <v>179</v>
      </c>
      <c r="EH558" s="14" t="s">
        <v>13183</v>
      </c>
      <c r="EI558" s="14" t="s">
        <v>179</v>
      </c>
      <c r="EJ558" s="14" t="s">
        <v>13183</v>
      </c>
      <c r="EK558" s="15"/>
      <c r="EL558" s="15"/>
      <c r="EM558" s="15"/>
      <c r="EN558" s="15"/>
      <c r="EO558" s="15"/>
      <c r="EP558" s="15"/>
      <c r="EQ558" s="15"/>
      <c r="ER558" s="15"/>
      <c r="ES558" s="15"/>
      <c r="ET558" s="15"/>
      <c r="EU558" s="15"/>
      <c r="EV558" s="15"/>
      <c r="EW558" s="15"/>
      <c r="EX558" s="15"/>
      <c r="EY558" s="15"/>
      <c r="EZ558" s="15"/>
      <c r="FA558" s="15"/>
      <c r="FB558" s="15"/>
      <c r="FC558" s="16" t="s">
        <v>197</v>
      </c>
      <c r="FD558" s="17" t="s">
        <v>198</v>
      </c>
      <c r="FE558" s="18">
        <v>45722.618159722224</v>
      </c>
      <c r="FF558" s="19"/>
      <c r="FG558" s="19"/>
      <c r="FH558" s="21" t="s">
        <v>197</v>
      </c>
      <c r="FI558" s="17" t="s">
        <v>214</v>
      </c>
      <c r="FJ558" s="18">
        <v>45722.618159722224</v>
      </c>
      <c r="FK558" s="14" t="s">
        <v>13183</v>
      </c>
      <c r="FL558" s="14" t="s">
        <v>13184</v>
      </c>
      <c r="FM558" s="14" t="s">
        <v>13185</v>
      </c>
      <c r="FN558" s="19"/>
      <c r="FO558" s="19"/>
      <c r="FP558" s="19" t="str">
        <f t="shared" si="1"/>
        <v>Base de Dados_Images/PIC70008.Imagem do Equipamento-.172343.jpg</v>
      </c>
      <c r="FQ558" s="19"/>
      <c r="FR558" s="19"/>
    </row>
    <row r="559" ht="15.75" customHeight="1">
      <c r="A559" s="12" t="s">
        <v>357</v>
      </c>
      <c r="B559" s="12" t="s">
        <v>419</v>
      </c>
      <c r="C559" s="24" t="s">
        <v>324</v>
      </c>
      <c r="D559" s="22" t="s">
        <v>13186</v>
      </c>
      <c r="E559" s="22" t="s">
        <v>13187</v>
      </c>
      <c r="F559" s="13" t="s">
        <v>178</v>
      </c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6" t="s">
        <v>197</v>
      </c>
      <c r="BP559" s="17" t="s">
        <v>228</v>
      </c>
      <c r="BQ559" s="23"/>
      <c r="BR559" s="17" t="s">
        <v>228</v>
      </c>
      <c r="BS559" s="23"/>
      <c r="BT559" s="17" t="s">
        <v>228</v>
      </c>
      <c r="BU559" s="23"/>
      <c r="BV559" s="13" t="s">
        <v>199</v>
      </c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9"/>
      <c r="CH559" s="15"/>
      <c r="CI559" s="19"/>
      <c r="CJ559" s="15"/>
      <c r="CK559" s="19"/>
      <c r="CL559" s="15"/>
      <c r="CM559" s="19"/>
      <c r="CN559" s="15"/>
      <c r="CO559" s="19"/>
      <c r="CP559" s="15"/>
      <c r="CQ559" s="15"/>
      <c r="CR559" s="15"/>
      <c r="CS559" s="19"/>
      <c r="CT559" s="15"/>
      <c r="CU559" s="19"/>
      <c r="CV559" s="15"/>
      <c r="CW559" s="19"/>
      <c r="CX559" s="15"/>
      <c r="CY559" s="19"/>
      <c r="CZ559" s="15"/>
      <c r="DA559" s="16" t="s">
        <v>197</v>
      </c>
      <c r="DB559" s="17" t="s">
        <v>228</v>
      </c>
      <c r="DC559" s="16"/>
      <c r="DD559" s="17" t="s">
        <v>228</v>
      </c>
      <c r="DE559" s="23"/>
      <c r="DF559" s="17" t="s">
        <v>228</v>
      </c>
      <c r="DG559" s="23"/>
      <c r="DH559" s="13" t="s">
        <v>205</v>
      </c>
      <c r="DI559" s="14" t="s">
        <v>179</v>
      </c>
      <c r="DJ559" s="14" t="s">
        <v>13188</v>
      </c>
      <c r="DK559" s="14" t="s">
        <v>179</v>
      </c>
      <c r="DL559" s="14" t="s">
        <v>13189</v>
      </c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6" t="s">
        <v>197</v>
      </c>
      <c r="ED559" s="17" t="s">
        <v>198</v>
      </c>
      <c r="EE559" s="18">
        <v>45705.537835648145</v>
      </c>
      <c r="EF559" s="13" t="s">
        <v>209</v>
      </c>
      <c r="EG559" s="14" t="s">
        <v>179</v>
      </c>
      <c r="EH559" s="14" t="s">
        <v>13190</v>
      </c>
      <c r="EI559" s="14" t="s">
        <v>179</v>
      </c>
      <c r="EJ559" s="14" t="s">
        <v>13191</v>
      </c>
      <c r="EK559" s="15"/>
      <c r="EL559" s="15"/>
      <c r="EM559" s="15"/>
      <c r="EN559" s="15"/>
      <c r="EO559" s="15"/>
      <c r="EP559" s="15"/>
      <c r="EQ559" s="15"/>
      <c r="ER559" s="15"/>
      <c r="ES559" s="15"/>
      <c r="ET559" s="15"/>
      <c r="EU559" s="15"/>
      <c r="EV559" s="15"/>
      <c r="EW559" s="15"/>
      <c r="EX559" s="15"/>
      <c r="EY559" s="15"/>
      <c r="EZ559" s="15"/>
      <c r="FA559" s="15"/>
      <c r="FB559" s="15"/>
      <c r="FC559" s="16" t="s">
        <v>197</v>
      </c>
      <c r="FD559" s="17" t="s">
        <v>198</v>
      </c>
      <c r="FE559" s="18">
        <v>45705.53811342592</v>
      </c>
      <c r="FF559" s="19"/>
      <c r="FG559" s="19"/>
      <c r="FH559" s="21" t="s">
        <v>197</v>
      </c>
      <c r="FI559" s="17" t="s">
        <v>214</v>
      </c>
      <c r="FJ559" s="18">
        <v>45705.53811342592</v>
      </c>
      <c r="FK559" s="14" t="s">
        <v>13191</v>
      </c>
      <c r="FL559" s="19"/>
      <c r="FM559" s="19"/>
      <c r="FN559" s="19"/>
      <c r="FO559" s="19"/>
      <c r="FP559" s="19" t="str">
        <f t="shared" si="1"/>
        <v/>
      </c>
      <c r="FQ559" s="14" t="s">
        <v>215</v>
      </c>
      <c r="FR559" s="14" t="s">
        <v>13192</v>
      </c>
    </row>
    <row r="560" ht="15.75" customHeight="1">
      <c r="A560" s="12" t="s">
        <v>357</v>
      </c>
      <c r="B560" s="12" t="s">
        <v>419</v>
      </c>
      <c r="C560" s="24" t="s">
        <v>324</v>
      </c>
      <c r="D560" s="22" t="s">
        <v>13193</v>
      </c>
      <c r="E560" s="22" t="s">
        <v>13194</v>
      </c>
      <c r="F560" s="13" t="s">
        <v>178</v>
      </c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6" t="s">
        <v>197</v>
      </c>
      <c r="BP560" s="17" t="s">
        <v>228</v>
      </c>
      <c r="BQ560" s="23"/>
      <c r="BR560" s="17" t="s">
        <v>228</v>
      </c>
      <c r="BS560" s="23"/>
      <c r="BT560" s="17" t="s">
        <v>228</v>
      </c>
      <c r="BU560" s="23"/>
      <c r="BV560" s="13" t="s">
        <v>199</v>
      </c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9"/>
      <c r="CH560" s="15"/>
      <c r="CI560" s="19"/>
      <c r="CJ560" s="15"/>
      <c r="CK560" s="19"/>
      <c r="CL560" s="15"/>
      <c r="CM560" s="19"/>
      <c r="CN560" s="15"/>
      <c r="CO560" s="19"/>
      <c r="CP560" s="15"/>
      <c r="CQ560" s="15"/>
      <c r="CR560" s="15"/>
      <c r="CS560" s="19"/>
      <c r="CT560" s="15"/>
      <c r="CU560" s="19"/>
      <c r="CV560" s="15"/>
      <c r="CW560" s="19"/>
      <c r="CX560" s="15"/>
      <c r="CY560" s="19"/>
      <c r="CZ560" s="15"/>
      <c r="DA560" s="16" t="s">
        <v>197</v>
      </c>
      <c r="DB560" s="17" t="s">
        <v>228</v>
      </c>
      <c r="DC560" s="16"/>
      <c r="DD560" s="17" t="s">
        <v>228</v>
      </c>
      <c r="DE560" s="23"/>
      <c r="DF560" s="17" t="s">
        <v>228</v>
      </c>
      <c r="DG560" s="23"/>
      <c r="DH560" s="13" t="s">
        <v>205</v>
      </c>
      <c r="DI560" s="14" t="s">
        <v>179</v>
      </c>
      <c r="DJ560" s="14" t="s">
        <v>13195</v>
      </c>
      <c r="DK560" s="14" t="s">
        <v>179</v>
      </c>
      <c r="DL560" s="14" t="s">
        <v>13196</v>
      </c>
      <c r="DM560" s="15"/>
      <c r="DN560" s="15"/>
      <c r="DO560" s="15"/>
      <c r="DP560" s="15"/>
      <c r="DQ560" s="15"/>
      <c r="DR560" s="15"/>
      <c r="DS560" s="15"/>
      <c r="DT560" s="15"/>
      <c r="DU560" s="15"/>
      <c r="DV560" s="15"/>
      <c r="DW560" s="15"/>
      <c r="DX560" s="15"/>
      <c r="DY560" s="15"/>
      <c r="DZ560" s="15"/>
      <c r="EA560" s="15"/>
      <c r="EB560" s="15"/>
      <c r="EC560" s="16" t="s">
        <v>197</v>
      </c>
      <c r="ED560" s="17" t="s">
        <v>198</v>
      </c>
      <c r="EE560" s="18">
        <v>45706.489386574074</v>
      </c>
      <c r="EF560" s="13" t="s">
        <v>209</v>
      </c>
      <c r="EG560" s="14" t="s">
        <v>179</v>
      </c>
      <c r="EH560" s="14" t="s">
        <v>13197</v>
      </c>
      <c r="EI560" s="14" t="s">
        <v>179</v>
      </c>
      <c r="EJ560" s="14" t="s">
        <v>13198</v>
      </c>
      <c r="EK560" s="15"/>
      <c r="EL560" s="15"/>
      <c r="EM560" s="15"/>
      <c r="EN560" s="15"/>
      <c r="EO560" s="15"/>
      <c r="EP560" s="15"/>
      <c r="EQ560" s="15"/>
      <c r="ER560" s="15"/>
      <c r="ES560" s="15"/>
      <c r="ET560" s="15"/>
      <c r="EU560" s="15"/>
      <c r="EV560" s="15"/>
      <c r="EW560" s="15"/>
      <c r="EX560" s="15"/>
      <c r="EY560" s="15"/>
      <c r="EZ560" s="15"/>
      <c r="FA560" s="15"/>
      <c r="FB560" s="15"/>
      <c r="FC560" s="16" t="s">
        <v>197</v>
      </c>
      <c r="FD560" s="17" t="s">
        <v>198</v>
      </c>
      <c r="FE560" s="18">
        <v>45706.48944444444</v>
      </c>
      <c r="FF560" s="19"/>
      <c r="FG560" s="19"/>
      <c r="FH560" s="21" t="s">
        <v>197</v>
      </c>
      <c r="FI560" s="17" t="s">
        <v>214</v>
      </c>
      <c r="FJ560" s="18">
        <v>45706.48944444444</v>
      </c>
      <c r="FK560" s="14" t="s">
        <v>13199</v>
      </c>
      <c r="FL560" s="14" t="s">
        <v>13200</v>
      </c>
      <c r="FM560" s="14" t="s">
        <v>13199</v>
      </c>
      <c r="FN560" s="19"/>
      <c r="FO560" s="19"/>
      <c r="FP560" s="19" t="str">
        <f t="shared" si="1"/>
        <v>Base de Dados_Images/PIC81003.Imagem do Equipamento-.145146.jpg</v>
      </c>
      <c r="FQ560" s="14"/>
      <c r="FR560" s="14"/>
    </row>
    <row r="561" ht="15.75" customHeight="1">
      <c r="A561" s="12" t="s">
        <v>357</v>
      </c>
      <c r="B561" s="12" t="s">
        <v>419</v>
      </c>
      <c r="C561" s="24" t="s">
        <v>324</v>
      </c>
      <c r="D561" s="22" t="s">
        <v>13201</v>
      </c>
      <c r="E561" s="22" t="s">
        <v>13202</v>
      </c>
      <c r="F561" s="13" t="s">
        <v>178</v>
      </c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6" t="s">
        <v>197</v>
      </c>
      <c r="BP561" s="17" t="s">
        <v>228</v>
      </c>
      <c r="BQ561" s="23"/>
      <c r="BR561" s="17" t="s">
        <v>228</v>
      </c>
      <c r="BS561" s="23"/>
      <c r="BT561" s="17" t="s">
        <v>228</v>
      </c>
      <c r="BU561" s="23"/>
      <c r="BV561" s="13" t="s">
        <v>199</v>
      </c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9"/>
      <c r="CH561" s="15"/>
      <c r="CI561" s="19"/>
      <c r="CJ561" s="15"/>
      <c r="CK561" s="19"/>
      <c r="CL561" s="15"/>
      <c r="CM561" s="19"/>
      <c r="CN561" s="15"/>
      <c r="CO561" s="19"/>
      <c r="CP561" s="15"/>
      <c r="CQ561" s="15"/>
      <c r="CR561" s="15"/>
      <c r="CS561" s="19"/>
      <c r="CT561" s="15"/>
      <c r="CU561" s="19"/>
      <c r="CV561" s="15"/>
      <c r="CW561" s="19"/>
      <c r="CX561" s="15"/>
      <c r="CY561" s="19"/>
      <c r="CZ561" s="15"/>
      <c r="DA561" s="16" t="s">
        <v>197</v>
      </c>
      <c r="DB561" s="17" t="s">
        <v>228</v>
      </c>
      <c r="DC561" s="16"/>
      <c r="DD561" s="17" t="s">
        <v>228</v>
      </c>
      <c r="DE561" s="23"/>
      <c r="DF561" s="17" t="s">
        <v>228</v>
      </c>
      <c r="DG561" s="23"/>
      <c r="DH561" s="13" t="s">
        <v>205</v>
      </c>
      <c r="DI561" s="14" t="s">
        <v>179</v>
      </c>
      <c r="DJ561" s="14" t="s">
        <v>13203</v>
      </c>
      <c r="DK561" s="14" t="s">
        <v>179</v>
      </c>
      <c r="DL561" s="14" t="s">
        <v>13204</v>
      </c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6" t="s">
        <v>197</v>
      </c>
      <c r="ED561" s="17" t="s">
        <v>198</v>
      </c>
      <c r="EE561" s="18">
        <v>45705.53616898148</v>
      </c>
      <c r="EF561" s="13" t="s">
        <v>209</v>
      </c>
      <c r="EG561" s="14" t="s">
        <v>179</v>
      </c>
      <c r="EH561" s="14" t="s">
        <v>13205</v>
      </c>
      <c r="EI561" s="14" t="s">
        <v>179</v>
      </c>
      <c r="EJ561" s="14" t="s">
        <v>13205</v>
      </c>
      <c r="EK561" s="15"/>
      <c r="EL561" s="15"/>
      <c r="EM561" s="15"/>
      <c r="EN561" s="15"/>
      <c r="EO561" s="15"/>
      <c r="EP561" s="15"/>
      <c r="EQ561" s="15"/>
      <c r="ER561" s="15"/>
      <c r="ES561" s="15"/>
      <c r="ET561" s="15"/>
      <c r="EU561" s="15"/>
      <c r="EV561" s="15"/>
      <c r="EW561" s="15"/>
      <c r="EX561" s="15"/>
      <c r="EY561" s="15"/>
      <c r="EZ561" s="15"/>
      <c r="FA561" s="15"/>
      <c r="FB561" s="15"/>
      <c r="FC561" s="16" t="s">
        <v>197</v>
      </c>
      <c r="FD561" s="17" t="s">
        <v>198</v>
      </c>
      <c r="FE561" s="18">
        <v>45705.56041666667</v>
      </c>
      <c r="FF561" s="19"/>
      <c r="FG561" s="19"/>
      <c r="FH561" s="21" t="s">
        <v>197</v>
      </c>
      <c r="FI561" s="17" t="s">
        <v>214</v>
      </c>
      <c r="FJ561" s="18">
        <v>45705.56041666667</v>
      </c>
      <c r="FK561" s="14" t="s">
        <v>13205</v>
      </c>
      <c r="FL561" s="19"/>
      <c r="FM561" s="19"/>
      <c r="FN561" s="19"/>
      <c r="FO561" s="19"/>
      <c r="FP561" s="19" t="str">
        <f t="shared" si="1"/>
        <v/>
      </c>
      <c r="FQ561" s="14" t="s">
        <v>215</v>
      </c>
      <c r="FR561" s="14" t="s">
        <v>13206</v>
      </c>
    </row>
    <row r="562" ht="15.75" customHeight="1">
      <c r="A562" s="12" t="s">
        <v>357</v>
      </c>
      <c r="B562" s="12" t="s">
        <v>358</v>
      </c>
      <c r="C562" s="24" t="s">
        <v>324</v>
      </c>
      <c r="D562" s="22" t="s">
        <v>13207</v>
      </c>
      <c r="E562" s="22" t="s">
        <v>13208</v>
      </c>
      <c r="F562" s="13" t="s">
        <v>178</v>
      </c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6" t="s">
        <v>197</v>
      </c>
      <c r="BP562" s="17" t="s">
        <v>228</v>
      </c>
      <c r="BQ562" s="23"/>
      <c r="BR562" s="17" t="s">
        <v>228</v>
      </c>
      <c r="BS562" s="23"/>
      <c r="BT562" s="17" t="s">
        <v>228</v>
      </c>
      <c r="BU562" s="23"/>
      <c r="BV562" s="13" t="s">
        <v>199</v>
      </c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9"/>
      <c r="CH562" s="15"/>
      <c r="CI562" s="19"/>
      <c r="CJ562" s="15"/>
      <c r="CK562" s="19"/>
      <c r="CL562" s="15"/>
      <c r="CM562" s="19"/>
      <c r="CN562" s="15"/>
      <c r="CO562" s="19"/>
      <c r="CP562" s="15"/>
      <c r="CQ562" s="15"/>
      <c r="CR562" s="15"/>
      <c r="CS562" s="19"/>
      <c r="CT562" s="15"/>
      <c r="CU562" s="19"/>
      <c r="CV562" s="15"/>
      <c r="CW562" s="19"/>
      <c r="CX562" s="15"/>
      <c r="CY562" s="19"/>
      <c r="CZ562" s="15"/>
      <c r="DA562" s="16" t="s">
        <v>197</v>
      </c>
      <c r="DB562" s="17" t="s">
        <v>228</v>
      </c>
      <c r="DC562" s="16"/>
      <c r="DD562" s="17" t="s">
        <v>228</v>
      </c>
      <c r="DE562" s="23"/>
      <c r="DF562" s="17" t="s">
        <v>228</v>
      </c>
      <c r="DG562" s="23"/>
      <c r="DH562" s="13" t="s">
        <v>205</v>
      </c>
      <c r="DI562" s="14" t="s">
        <v>179</v>
      </c>
      <c r="DJ562" s="14" t="s">
        <v>13209</v>
      </c>
      <c r="DK562" s="14" t="s">
        <v>179</v>
      </c>
      <c r="DL562" s="14" t="s">
        <v>13210</v>
      </c>
      <c r="DM562" s="15"/>
      <c r="DN562" s="15"/>
      <c r="DO562" s="15"/>
      <c r="DP562" s="15"/>
      <c r="DQ562" s="15"/>
      <c r="DR562" s="15"/>
      <c r="DS562" s="15"/>
      <c r="DT562" s="15"/>
      <c r="DU562" s="15"/>
      <c r="DV562" s="15"/>
      <c r="DW562" s="15"/>
      <c r="DX562" s="15"/>
      <c r="DY562" s="15"/>
      <c r="DZ562" s="15"/>
      <c r="EA562" s="15"/>
      <c r="EB562" s="15"/>
      <c r="EC562" s="16" t="s">
        <v>197</v>
      </c>
      <c r="ED562" s="17" t="s">
        <v>198</v>
      </c>
      <c r="EE562" s="18">
        <v>45705.404398148145</v>
      </c>
      <c r="EF562" s="13" t="s">
        <v>209</v>
      </c>
      <c r="EG562" s="14" t="s">
        <v>179</v>
      </c>
      <c r="EH562" s="14" t="s">
        <v>13211</v>
      </c>
      <c r="EI562" s="14" t="s">
        <v>179</v>
      </c>
      <c r="EJ562" s="14" t="s">
        <v>13212</v>
      </c>
      <c r="EK562" s="15"/>
      <c r="EL562" s="15"/>
      <c r="EM562" s="15"/>
      <c r="EN562" s="15"/>
      <c r="EO562" s="15"/>
      <c r="EP562" s="15"/>
      <c r="EQ562" s="15"/>
      <c r="ER562" s="15"/>
      <c r="ES562" s="15"/>
      <c r="ET562" s="15"/>
      <c r="EU562" s="15"/>
      <c r="EV562" s="15"/>
      <c r="EW562" s="15"/>
      <c r="EX562" s="15"/>
      <c r="EY562" s="15"/>
      <c r="EZ562" s="15"/>
      <c r="FA562" s="15"/>
      <c r="FB562" s="15"/>
      <c r="FC562" s="16" t="s">
        <v>197</v>
      </c>
      <c r="FD562" s="17" t="s">
        <v>198</v>
      </c>
      <c r="FE562" s="18">
        <v>45705.40453703704</v>
      </c>
      <c r="FF562" s="19"/>
      <c r="FG562" s="19"/>
      <c r="FH562" s="21" t="s">
        <v>197</v>
      </c>
      <c r="FI562" s="17" t="s">
        <v>214</v>
      </c>
      <c r="FJ562" s="18">
        <v>45705.40453703704</v>
      </c>
      <c r="FK562" s="14" t="s">
        <v>13212</v>
      </c>
      <c r="FL562" s="14" t="s">
        <v>13213</v>
      </c>
      <c r="FM562" s="14" t="s">
        <v>13214</v>
      </c>
      <c r="FN562" s="19"/>
      <c r="FO562" s="19"/>
      <c r="FP562" s="19" t="str">
        <f t="shared" si="1"/>
        <v>Base de Dados_Images/PIC81014.Imagem do Equipamento-.124219.jpg</v>
      </c>
      <c r="FQ562" s="19"/>
      <c r="FR562" s="19"/>
    </row>
    <row r="563" ht="15.75" customHeight="1">
      <c r="A563" s="12" t="s">
        <v>357</v>
      </c>
      <c r="B563" s="12" t="s">
        <v>358</v>
      </c>
      <c r="C563" s="24" t="s">
        <v>324</v>
      </c>
      <c r="D563" s="22" t="s">
        <v>13215</v>
      </c>
      <c r="E563" s="22" t="s">
        <v>13216</v>
      </c>
      <c r="F563" s="13" t="s">
        <v>178</v>
      </c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6" t="s">
        <v>197</v>
      </c>
      <c r="BP563" s="17" t="s">
        <v>228</v>
      </c>
      <c r="BQ563" s="23"/>
      <c r="BR563" s="17" t="s">
        <v>228</v>
      </c>
      <c r="BS563" s="23"/>
      <c r="BT563" s="17" t="s">
        <v>228</v>
      </c>
      <c r="BU563" s="23"/>
      <c r="BV563" s="13" t="s">
        <v>199</v>
      </c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9"/>
      <c r="CH563" s="15"/>
      <c r="CI563" s="19"/>
      <c r="CJ563" s="15"/>
      <c r="CK563" s="19"/>
      <c r="CL563" s="15"/>
      <c r="CM563" s="19"/>
      <c r="CN563" s="15"/>
      <c r="CO563" s="19"/>
      <c r="CP563" s="15"/>
      <c r="CQ563" s="15"/>
      <c r="CR563" s="15"/>
      <c r="CS563" s="19"/>
      <c r="CT563" s="15"/>
      <c r="CU563" s="19"/>
      <c r="CV563" s="15"/>
      <c r="CW563" s="19"/>
      <c r="CX563" s="15"/>
      <c r="CY563" s="19"/>
      <c r="CZ563" s="15"/>
      <c r="DA563" s="16" t="s">
        <v>197</v>
      </c>
      <c r="DB563" s="17" t="s">
        <v>228</v>
      </c>
      <c r="DC563" s="16"/>
      <c r="DD563" s="17" t="s">
        <v>228</v>
      </c>
      <c r="DE563" s="23"/>
      <c r="DF563" s="17" t="s">
        <v>228</v>
      </c>
      <c r="DG563" s="23"/>
      <c r="DH563" s="13" t="s">
        <v>205</v>
      </c>
      <c r="DI563" s="14" t="s">
        <v>179</v>
      </c>
      <c r="DJ563" s="14" t="s">
        <v>13217</v>
      </c>
      <c r="DK563" s="14" t="s">
        <v>179</v>
      </c>
      <c r="DL563" s="14" t="s">
        <v>13218</v>
      </c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6" t="s">
        <v>197</v>
      </c>
      <c r="ED563" s="17" t="s">
        <v>198</v>
      </c>
      <c r="EE563" s="18">
        <v>45705.46839120371</v>
      </c>
      <c r="EF563" s="13" t="s">
        <v>209</v>
      </c>
      <c r="EG563" s="14" t="s">
        <v>179</v>
      </c>
      <c r="EH563" s="14" t="s">
        <v>13219</v>
      </c>
      <c r="EI563" s="14" t="s">
        <v>179</v>
      </c>
      <c r="EJ563" s="14" t="s">
        <v>13220</v>
      </c>
      <c r="EK563" s="15"/>
      <c r="EL563" s="15"/>
      <c r="EM563" s="15"/>
      <c r="EN563" s="15"/>
      <c r="EO563" s="15"/>
      <c r="EP563" s="15"/>
      <c r="EQ563" s="15"/>
      <c r="ER563" s="15"/>
      <c r="ES563" s="15"/>
      <c r="ET563" s="15"/>
      <c r="EU563" s="15"/>
      <c r="EV563" s="15"/>
      <c r="EW563" s="15"/>
      <c r="EX563" s="15"/>
      <c r="EY563" s="15"/>
      <c r="EZ563" s="15"/>
      <c r="FA563" s="15"/>
      <c r="FB563" s="15"/>
      <c r="FC563" s="16" t="s">
        <v>197</v>
      </c>
      <c r="FD563" s="17" t="s">
        <v>198</v>
      </c>
      <c r="FE563" s="18">
        <v>45705.4684837963</v>
      </c>
      <c r="FF563" s="19"/>
      <c r="FG563" s="19"/>
      <c r="FH563" s="21" t="s">
        <v>197</v>
      </c>
      <c r="FI563" s="17" t="s">
        <v>214</v>
      </c>
      <c r="FJ563" s="18">
        <v>45705.4684837963</v>
      </c>
      <c r="FK563" s="14" t="s">
        <v>13220</v>
      </c>
      <c r="FL563" s="19"/>
      <c r="FM563" s="19"/>
      <c r="FN563" s="19"/>
      <c r="FO563" s="19"/>
      <c r="FP563" s="19" t="str">
        <f t="shared" si="1"/>
        <v/>
      </c>
      <c r="FQ563" s="14" t="s">
        <v>215</v>
      </c>
      <c r="FR563" s="14" t="s">
        <v>13221</v>
      </c>
    </row>
    <row r="564" ht="15.75" customHeight="1">
      <c r="A564" s="12" t="s">
        <v>357</v>
      </c>
      <c r="B564" s="12" t="s">
        <v>358</v>
      </c>
      <c r="C564" s="24" t="s">
        <v>324</v>
      </c>
      <c r="D564" s="22" t="s">
        <v>13222</v>
      </c>
      <c r="E564" s="22" t="s">
        <v>13223</v>
      </c>
      <c r="F564" s="13" t="s">
        <v>178</v>
      </c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6" t="s">
        <v>197</v>
      </c>
      <c r="BP564" s="17" t="s">
        <v>228</v>
      </c>
      <c r="BQ564" s="23"/>
      <c r="BR564" s="17" t="s">
        <v>228</v>
      </c>
      <c r="BS564" s="23"/>
      <c r="BT564" s="17" t="s">
        <v>228</v>
      </c>
      <c r="BU564" s="23"/>
      <c r="BV564" s="13" t="s">
        <v>199</v>
      </c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9"/>
      <c r="CH564" s="15"/>
      <c r="CI564" s="19"/>
      <c r="CJ564" s="15"/>
      <c r="CK564" s="19"/>
      <c r="CL564" s="15"/>
      <c r="CM564" s="19"/>
      <c r="CN564" s="15"/>
      <c r="CO564" s="19"/>
      <c r="CP564" s="15"/>
      <c r="CQ564" s="15"/>
      <c r="CR564" s="15"/>
      <c r="CS564" s="19"/>
      <c r="CT564" s="15"/>
      <c r="CU564" s="19"/>
      <c r="CV564" s="15"/>
      <c r="CW564" s="19"/>
      <c r="CX564" s="15"/>
      <c r="CY564" s="19"/>
      <c r="CZ564" s="15"/>
      <c r="DA564" s="16" t="s">
        <v>197</v>
      </c>
      <c r="DB564" s="17" t="s">
        <v>228</v>
      </c>
      <c r="DC564" s="16"/>
      <c r="DD564" s="17" t="s">
        <v>228</v>
      </c>
      <c r="DE564" s="23"/>
      <c r="DF564" s="17" t="s">
        <v>228</v>
      </c>
      <c r="DG564" s="23"/>
      <c r="DH564" s="13" t="s">
        <v>205</v>
      </c>
      <c r="DI564" s="14" t="s">
        <v>179</v>
      </c>
      <c r="DJ564" s="14" t="s">
        <v>13224</v>
      </c>
      <c r="DK564" s="14" t="s">
        <v>179</v>
      </c>
      <c r="DL564" s="14" t="s">
        <v>13225</v>
      </c>
      <c r="DM564" s="15"/>
      <c r="DN564" s="15"/>
      <c r="DO564" s="15"/>
      <c r="DP564" s="15"/>
      <c r="DQ564" s="15"/>
      <c r="DR564" s="15"/>
      <c r="DS564" s="15"/>
      <c r="DT564" s="15"/>
      <c r="DU564" s="15"/>
      <c r="DV564" s="15"/>
      <c r="DW564" s="15"/>
      <c r="DX564" s="15"/>
      <c r="DY564" s="15"/>
      <c r="DZ564" s="15"/>
      <c r="EA564" s="15"/>
      <c r="EB564" s="15"/>
      <c r="EC564" s="16" t="s">
        <v>197</v>
      </c>
      <c r="ED564" s="17" t="s">
        <v>198</v>
      </c>
      <c r="EE564" s="18">
        <v>45693.64340277778</v>
      </c>
      <c r="EF564" s="13" t="s">
        <v>209</v>
      </c>
      <c r="EG564" s="14" t="s">
        <v>179</v>
      </c>
      <c r="EH564" s="14" t="s">
        <v>13226</v>
      </c>
      <c r="EI564" s="14" t="s">
        <v>179</v>
      </c>
      <c r="EJ564" s="14" t="s">
        <v>13227</v>
      </c>
      <c r="EK564" s="15"/>
      <c r="EL564" s="15"/>
      <c r="EM564" s="15"/>
      <c r="EN564" s="15"/>
      <c r="EO564" s="15"/>
      <c r="EP564" s="15"/>
      <c r="EQ564" s="15"/>
      <c r="ER564" s="15"/>
      <c r="ES564" s="15"/>
      <c r="ET564" s="15"/>
      <c r="EU564" s="15"/>
      <c r="EV564" s="15"/>
      <c r="EW564" s="15"/>
      <c r="EX564" s="15"/>
      <c r="EY564" s="15"/>
      <c r="EZ564" s="15"/>
      <c r="FA564" s="15"/>
      <c r="FB564" s="15"/>
      <c r="FC564" s="16" t="s">
        <v>197</v>
      </c>
      <c r="FD564" s="17" t="s">
        <v>198</v>
      </c>
      <c r="FE564" s="18">
        <v>45705.468090277776</v>
      </c>
      <c r="FF564" s="19"/>
      <c r="FG564" s="19"/>
      <c r="FH564" s="21" t="s">
        <v>197</v>
      </c>
      <c r="FI564" s="17" t="s">
        <v>214</v>
      </c>
      <c r="FJ564" s="18">
        <v>45705.468090277776</v>
      </c>
      <c r="FK564" s="14" t="s">
        <v>13227</v>
      </c>
      <c r="FL564" s="19"/>
      <c r="FM564" s="19"/>
      <c r="FN564" s="19"/>
      <c r="FO564" s="19"/>
      <c r="FP564" s="19" t="str">
        <f t="shared" si="1"/>
        <v/>
      </c>
      <c r="FQ564" s="14" t="s">
        <v>215</v>
      </c>
      <c r="FR564" s="14" t="s">
        <v>13228</v>
      </c>
    </row>
    <row r="565" ht="15.75" customHeight="1">
      <c r="A565" s="12" t="s">
        <v>292</v>
      </c>
      <c r="B565" s="12" t="s">
        <v>13097</v>
      </c>
      <c r="C565" s="24" t="s">
        <v>324</v>
      </c>
      <c r="D565" s="22" t="s">
        <v>13229</v>
      </c>
      <c r="E565" s="22" t="s">
        <v>13230</v>
      </c>
      <c r="F565" s="13" t="s">
        <v>178</v>
      </c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6" t="s">
        <v>197</v>
      </c>
      <c r="BP565" s="17" t="s">
        <v>228</v>
      </c>
      <c r="BQ565" s="23"/>
      <c r="BR565" s="17" t="s">
        <v>228</v>
      </c>
      <c r="BS565" s="23"/>
      <c r="BT565" s="17" t="s">
        <v>228</v>
      </c>
      <c r="BU565" s="23"/>
      <c r="BV565" s="13" t="s">
        <v>199</v>
      </c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9"/>
      <c r="CH565" s="15"/>
      <c r="CI565" s="19"/>
      <c r="CJ565" s="15"/>
      <c r="CK565" s="19"/>
      <c r="CL565" s="15"/>
      <c r="CM565" s="19"/>
      <c r="CN565" s="15"/>
      <c r="CO565" s="19"/>
      <c r="CP565" s="15"/>
      <c r="CQ565" s="15"/>
      <c r="CR565" s="15"/>
      <c r="CS565" s="19"/>
      <c r="CT565" s="15"/>
      <c r="CU565" s="19"/>
      <c r="CV565" s="15"/>
      <c r="CW565" s="19"/>
      <c r="CX565" s="15"/>
      <c r="CY565" s="19"/>
      <c r="CZ565" s="15"/>
      <c r="DA565" s="16" t="s">
        <v>197</v>
      </c>
      <c r="DB565" s="17" t="s">
        <v>228</v>
      </c>
      <c r="DC565" s="16"/>
      <c r="DD565" s="17" t="s">
        <v>228</v>
      </c>
      <c r="DE565" s="23"/>
      <c r="DF565" s="17" t="s">
        <v>228</v>
      </c>
      <c r="DG565" s="23"/>
      <c r="DH565" s="13" t="s">
        <v>205</v>
      </c>
      <c r="DI565" s="14" t="s">
        <v>179</v>
      </c>
      <c r="DJ565" s="14" t="s">
        <v>13231</v>
      </c>
      <c r="DK565" s="14" t="s">
        <v>179</v>
      </c>
      <c r="DL565" s="14" t="s">
        <v>13232</v>
      </c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6" t="s">
        <v>197</v>
      </c>
      <c r="ED565" s="17" t="s">
        <v>198</v>
      </c>
      <c r="EE565" s="18">
        <v>45721.3172337963</v>
      </c>
      <c r="EF565" s="13" t="s">
        <v>209</v>
      </c>
      <c r="EG565" s="14" t="s">
        <v>179</v>
      </c>
      <c r="EH565" s="14" t="s">
        <v>13233</v>
      </c>
      <c r="EI565" s="14" t="s">
        <v>179</v>
      </c>
      <c r="EJ565" s="14" t="s">
        <v>13233</v>
      </c>
      <c r="EK565" s="15"/>
      <c r="EL565" s="15"/>
      <c r="EM565" s="15"/>
      <c r="EN565" s="15"/>
      <c r="EO565" s="15"/>
      <c r="EP565" s="15"/>
      <c r="EQ565" s="15"/>
      <c r="ER565" s="15"/>
      <c r="ES565" s="15"/>
      <c r="ET565" s="15"/>
      <c r="EU565" s="15"/>
      <c r="EV565" s="15"/>
      <c r="EW565" s="15"/>
      <c r="EX565" s="15"/>
      <c r="EY565" s="15"/>
      <c r="EZ565" s="15"/>
      <c r="FA565" s="15"/>
      <c r="FB565" s="15"/>
      <c r="FC565" s="16" t="s">
        <v>197</v>
      </c>
      <c r="FD565" s="17" t="s">
        <v>198</v>
      </c>
      <c r="FE565" s="18">
        <v>45721.31726851852</v>
      </c>
      <c r="FF565" s="19"/>
      <c r="FG565" s="19"/>
      <c r="FH565" s="21" t="s">
        <v>197</v>
      </c>
      <c r="FI565" s="17" t="s">
        <v>214</v>
      </c>
      <c r="FJ565" s="18">
        <v>45721.31726851852</v>
      </c>
      <c r="FK565" s="14" t="s">
        <v>13233</v>
      </c>
      <c r="FL565" s="19"/>
      <c r="FM565" s="19"/>
      <c r="FN565" s="19"/>
      <c r="FO565" s="19"/>
      <c r="FP565" s="19" t="str">
        <f t="shared" si="1"/>
        <v/>
      </c>
      <c r="FQ565" s="14" t="s">
        <v>215</v>
      </c>
      <c r="FR565" s="14" t="s">
        <v>13234</v>
      </c>
    </row>
    <row r="566" ht="15.75" customHeight="1">
      <c r="A566" s="12" t="s">
        <v>292</v>
      </c>
      <c r="B566" s="12" t="s">
        <v>13097</v>
      </c>
      <c r="C566" s="24" t="s">
        <v>324</v>
      </c>
      <c r="D566" s="22" t="s">
        <v>13235</v>
      </c>
      <c r="E566" s="22" t="s">
        <v>13236</v>
      </c>
      <c r="F566" s="13" t="s">
        <v>178</v>
      </c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6" t="s">
        <v>197</v>
      </c>
      <c r="BP566" s="17" t="s">
        <v>228</v>
      </c>
      <c r="BQ566" s="23"/>
      <c r="BR566" s="17" t="s">
        <v>228</v>
      </c>
      <c r="BS566" s="23"/>
      <c r="BT566" s="17" t="s">
        <v>228</v>
      </c>
      <c r="BU566" s="23"/>
      <c r="BV566" s="13" t="s">
        <v>199</v>
      </c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9"/>
      <c r="CH566" s="15"/>
      <c r="CI566" s="19"/>
      <c r="CJ566" s="15"/>
      <c r="CK566" s="19"/>
      <c r="CL566" s="15"/>
      <c r="CM566" s="19"/>
      <c r="CN566" s="15"/>
      <c r="CO566" s="19"/>
      <c r="CP566" s="15"/>
      <c r="CQ566" s="15"/>
      <c r="CR566" s="15"/>
      <c r="CS566" s="19"/>
      <c r="CT566" s="15"/>
      <c r="CU566" s="19"/>
      <c r="CV566" s="15"/>
      <c r="CW566" s="19"/>
      <c r="CX566" s="15"/>
      <c r="CY566" s="19"/>
      <c r="CZ566" s="15"/>
      <c r="DA566" s="16" t="s">
        <v>197</v>
      </c>
      <c r="DB566" s="17" t="s">
        <v>228</v>
      </c>
      <c r="DC566" s="16"/>
      <c r="DD566" s="17" t="s">
        <v>228</v>
      </c>
      <c r="DE566" s="23"/>
      <c r="DF566" s="17" t="s">
        <v>228</v>
      </c>
      <c r="DG566" s="23"/>
      <c r="DH566" s="13" t="s">
        <v>205</v>
      </c>
      <c r="DI566" s="14" t="s">
        <v>179</v>
      </c>
      <c r="DJ566" s="14" t="s">
        <v>13237</v>
      </c>
      <c r="DK566" s="14" t="s">
        <v>179</v>
      </c>
      <c r="DL566" s="14" t="s">
        <v>13238</v>
      </c>
      <c r="DM566" s="15"/>
      <c r="DN566" s="15"/>
      <c r="DO566" s="15"/>
      <c r="DP566" s="15"/>
      <c r="DQ566" s="15"/>
      <c r="DR566" s="15"/>
      <c r="DS566" s="15"/>
      <c r="DT566" s="15"/>
      <c r="DU566" s="15"/>
      <c r="DV566" s="15"/>
      <c r="DW566" s="15"/>
      <c r="DX566" s="15"/>
      <c r="DY566" s="15"/>
      <c r="DZ566" s="15"/>
      <c r="EA566" s="15"/>
      <c r="EB566" s="15"/>
      <c r="EC566" s="16" t="s">
        <v>197</v>
      </c>
      <c r="ED566" s="17" t="s">
        <v>198</v>
      </c>
      <c r="EE566" s="18">
        <v>45721.31736111111</v>
      </c>
      <c r="EF566" s="13" t="s">
        <v>209</v>
      </c>
      <c r="EG566" s="14" t="s">
        <v>179</v>
      </c>
      <c r="EH566" s="14" t="s">
        <v>13239</v>
      </c>
      <c r="EI566" s="14" t="s">
        <v>179</v>
      </c>
      <c r="EJ566" s="14" t="s">
        <v>13239</v>
      </c>
      <c r="EK566" s="15"/>
      <c r="EL566" s="15"/>
      <c r="EM566" s="15"/>
      <c r="EN566" s="15"/>
      <c r="EO566" s="15"/>
      <c r="EP566" s="15"/>
      <c r="EQ566" s="15"/>
      <c r="ER566" s="15"/>
      <c r="ES566" s="15"/>
      <c r="ET566" s="15"/>
      <c r="EU566" s="15"/>
      <c r="EV566" s="15"/>
      <c r="EW566" s="15"/>
      <c r="EX566" s="15"/>
      <c r="EY566" s="15"/>
      <c r="EZ566" s="15"/>
      <c r="FA566" s="15"/>
      <c r="FB566" s="15"/>
      <c r="FC566" s="16" t="s">
        <v>197</v>
      </c>
      <c r="FD566" s="17" t="s">
        <v>198</v>
      </c>
      <c r="FE566" s="18">
        <v>45721.317407407405</v>
      </c>
      <c r="FF566" s="19"/>
      <c r="FG566" s="19"/>
      <c r="FH566" s="21" t="s">
        <v>197</v>
      </c>
      <c r="FI566" s="17" t="s">
        <v>214</v>
      </c>
      <c r="FJ566" s="18">
        <v>45721.317407407405</v>
      </c>
      <c r="FK566" s="14" t="s">
        <v>13239</v>
      </c>
      <c r="FL566" s="19"/>
      <c r="FM566" s="19"/>
      <c r="FN566" s="19"/>
      <c r="FO566" s="19"/>
      <c r="FP566" s="19" t="str">
        <f t="shared" si="1"/>
        <v/>
      </c>
      <c r="FQ566" s="14" t="s">
        <v>215</v>
      </c>
      <c r="FR566" s="14" t="s">
        <v>13240</v>
      </c>
    </row>
    <row r="567" ht="15.75" customHeight="1">
      <c r="A567" s="12" t="s">
        <v>174</v>
      </c>
      <c r="B567" s="22" t="s">
        <v>1359</v>
      </c>
      <c r="C567" s="24" t="s">
        <v>375</v>
      </c>
      <c r="D567" s="22" t="s">
        <v>13241</v>
      </c>
      <c r="E567" s="22" t="s">
        <v>13242</v>
      </c>
      <c r="F567" s="13" t="s">
        <v>178</v>
      </c>
      <c r="G567" s="14" t="s">
        <v>179</v>
      </c>
      <c r="H567" s="14" t="s">
        <v>13243</v>
      </c>
      <c r="I567" s="14" t="s">
        <v>179</v>
      </c>
      <c r="J567" s="14" t="s">
        <v>13244</v>
      </c>
      <c r="K567" s="14" t="s">
        <v>179</v>
      </c>
      <c r="L567" s="14" t="s">
        <v>13245</v>
      </c>
      <c r="M567" s="14" t="s">
        <v>179</v>
      </c>
      <c r="N567" s="14" t="s">
        <v>13246</v>
      </c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6" t="s">
        <v>197</v>
      </c>
      <c r="BP567" s="17" t="s">
        <v>198</v>
      </c>
      <c r="BQ567" s="18">
        <v>45686.44185185185</v>
      </c>
      <c r="BR567" s="17" t="s">
        <v>198</v>
      </c>
      <c r="BS567" s="18">
        <v>45686.44193287037</v>
      </c>
      <c r="BT567" s="17" t="s">
        <v>198</v>
      </c>
      <c r="BU567" s="18">
        <v>45686.44193287037</v>
      </c>
      <c r="BV567" s="13" t="s">
        <v>199</v>
      </c>
      <c r="BW567" s="14" t="s">
        <v>179</v>
      </c>
      <c r="BX567" s="14" t="s">
        <v>13247</v>
      </c>
      <c r="BY567" s="14" t="s">
        <v>179</v>
      </c>
      <c r="BZ567" s="14" t="s">
        <v>13248</v>
      </c>
      <c r="CA567" s="14" t="s">
        <v>179</v>
      </c>
      <c r="CB567" s="14" t="s">
        <v>13249</v>
      </c>
      <c r="CC567" s="15"/>
      <c r="CD567" s="15"/>
      <c r="CE567" s="15"/>
      <c r="CF567" s="15"/>
      <c r="CG567" s="19"/>
      <c r="CH567" s="15"/>
      <c r="CI567" s="19"/>
      <c r="CJ567" s="15"/>
      <c r="CK567" s="19"/>
      <c r="CL567" s="15"/>
      <c r="CM567" s="19"/>
      <c r="CN567" s="15"/>
      <c r="CO567" s="19"/>
      <c r="CP567" s="15"/>
      <c r="CQ567" s="15"/>
      <c r="CR567" s="15"/>
      <c r="CS567" s="19"/>
      <c r="CT567" s="15"/>
      <c r="CU567" s="19"/>
      <c r="CV567" s="15"/>
      <c r="CW567" s="19"/>
      <c r="CX567" s="15"/>
      <c r="CY567" s="19"/>
      <c r="CZ567" s="15"/>
      <c r="DA567" s="16" t="s">
        <v>197</v>
      </c>
      <c r="DB567" s="17" t="s">
        <v>228</v>
      </c>
      <c r="DC567" s="16"/>
      <c r="DD567" s="17" t="s">
        <v>198</v>
      </c>
      <c r="DE567" s="18">
        <v>45694.40362268518</v>
      </c>
      <c r="DF567" s="17" t="s">
        <v>198</v>
      </c>
      <c r="DG567" s="18">
        <v>45694.40362268518</v>
      </c>
      <c r="DH567" s="13" t="s">
        <v>205</v>
      </c>
      <c r="DI567" s="14" t="s">
        <v>179</v>
      </c>
      <c r="DJ567" s="14" t="s">
        <v>13250</v>
      </c>
      <c r="DK567" s="14" t="s">
        <v>179</v>
      </c>
      <c r="DL567" s="14" t="s">
        <v>13251</v>
      </c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6" t="s">
        <v>197</v>
      </c>
      <c r="ED567" s="17" t="s">
        <v>198</v>
      </c>
      <c r="EE567" s="18">
        <v>45708.444189814814</v>
      </c>
      <c r="EF567" s="13" t="s">
        <v>209</v>
      </c>
      <c r="EG567" s="14" t="s">
        <v>179</v>
      </c>
      <c r="EH567" s="14" t="s">
        <v>13252</v>
      </c>
      <c r="EI567" s="14" t="s">
        <v>179</v>
      </c>
      <c r="EJ567" s="14" t="s">
        <v>13252</v>
      </c>
      <c r="EK567" s="15"/>
      <c r="EL567" s="15"/>
      <c r="EM567" s="15"/>
      <c r="EN567" s="15"/>
      <c r="EO567" s="15"/>
      <c r="EP567" s="15"/>
      <c r="EQ567" s="15"/>
      <c r="ER567" s="15"/>
      <c r="ES567" s="15"/>
      <c r="ET567" s="15"/>
      <c r="EU567" s="15"/>
      <c r="EV567" s="15"/>
      <c r="EW567" s="15"/>
      <c r="EX567" s="15"/>
      <c r="EY567" s="15"/>
      <c r="EZ567" s="15"/>
      <c r="FA567" s="15"/>
      <c r="FB567" s="15"/>
      <c r="FC567" s="16" t="s">
        <v>197</v>
      </c>
      <c r="FD567" s="17" t="s">
        <v>198</v>
      </c>
      <c r="FE567" s="18">
        <v>45723.26435185185</v>
      </c>
      <c r="FF567" s="19"/>
      <c r="FG567" s="19"/>
      <c r="FH567" s="21" t="s">
        <v>197</v>
      </c>
      <c r="FI567" s="17" t="s">
        <v>214</v>
      </c>
      <c r="FJ567" s="18">
        <v>45723.26435185185</v>
      </c>
      <c r="FK567" s="14" t="s">
        <v>13252</v>
      </c>
      <c r="FL567" s="14" t="s">
        <v>13253</v>
      </c>
      <c r="FM567" s="14" t="s">
        <v>13254</v>
      </c>
      <c r="FN567" s="19"/>
      <c r="FO567" s="19"/>
      <c r="FP567" s="19" t="str">
        <f t="shared" si="1"/>
        <v>Base de Dados_Images/PIT20002.Imagem do Equipamento-.133922.jpg</v>
      </c>
      <c r="FQ567" s="19"/>
      <c r="FR567" s="19"/>
    </row>
    <row r="568" ht="15.75" customHeight="1">
      <c r="A568" s="12" t="s">
        <v>174</v>
      </c>
      <c r="B568" s="22" t="s">
        <v>1359</v>
      </c>
      <c r="C568" s="24" t="s">
        <v>375</v>
      </c>
      <c r="D568" s="22" t="s">
        <v>13255</v>
      </c>
      <c r="E568" s="22" t="s">
        <v>13256</v>
      </c>
      <c r="F568" s="13" t="s">
        <v>178</v>
      </c>
      <c r="G568" s="14" t="s">
        <v>179</v>
      </c>
      <c r="H568" s="14" t="s">
        <v>13257</v>
      </c>
      <c r="I568" s="14" t="s">
        <v>179</v>
      </c>
      <c r="J568" s="14" t="s">
        <v>13258</v>
      </c>
      <c r="K568" s="14" t="s">
        <v>179</v>
      </c>
      <c r="L568" s="14" t="s">
        <v>13259</v>
      </c>
      <c r="M568" s="14" t="s">
        <v>179</v>
      </c>
      <c r="N568" s="14" t="s">
        <v>13260</v>
      </c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6" t="s">
        <v>197</v>
      </c>
      <c r="BP568" s="17" t="s">
        <v>198</v>
      </c>
      <c r="BQ568" s="18">
        <v>45679.687430555554</v>
      </c>
      <c r="BR568" s="17" t="s">
        <v>198</v>
      </c>
      <c r="BS568" s="18">
        <v>45679.68748842592</v>
      </c>
      <c r="BT568" s="17" t="s">
        <v>198</v>
      </c>
      <c r="BU568" s="18">
        <v>45679.68748842592</v>
      </c>
      <c r="BV568" s="13" t="s">
        <v>199</v>
      </c>
      <c r="BW568" s="14" t="s">
        <v>179</v>
      </c>
      <c r="BX568" s="14" t="s">
        <v>13261</v>
      </c>
      <c r="BY568" s="14" t="s">
        <v>179</v>
      </c>
      <c r="BZ568" s="14" t="s">
        <v>13261</v>
      </c>
      <c r="CA568" s="14" t="s">
        <v>179</v>
      </c>
      <c r="CB568" s="14" t="s">
        <v>13262</v>
      </c>
      <c r="CC568" s="15"/>
      <c r="CD568" s="15"/>
      <c r="CE568" s="15"/>
      <c r="CF568" s="15"/>
      <c r="CG568" s="19"/>
      <c r="CH568" s="15"/>
      <c r="CI568" s="19"/>
      <c r="CJ568" s="15"/>
      <c r="CK568" s="19"/>
      <c r="CL568" s="15"/>
      <c r="CM568" s="19"/>
      <c r="CN568" s="15"/>
      <c r="CO568" s="19"/>
      <c r="CP568" s="15"/>
      <c r="CQ568" s="15"/>
      <c r="CR568" s="15"/>
      <c r="CS568" s="19"/>
      <c r="CT568" s="15"/>
      <c r="CU568" s="19"/>
      <c r="CV568" s="15"/>
      <c r="CW568" s="19"/>
      <c r="CX568" s="15"/>
      <c r="CY568" s="19"/>
      <c r="CZ568" s="15"/>
      <c r="DA568" s="16" t="s">
        <v>197</v>
      </c>
      <c r="DB568" s="17" t="s">
        <v>228</v>
      </c>
      <c r="DC568" s="16"/>
      <c r="DD568" s="17" t="s">
        <v>198</v>
      </c>
      <c r="DE568" s="18">
        <v>45694.4037962963</v>
      </c>
      <c r="DF568" s="17" t="s">
        <v>198</v>
      </c>
      <c r="DG568" s="18">
        <v>45694.4037962963</v>
      </c>
      <c r="DH568" s="13" t="s">
        <v>205</v>
      </c>
      <c r="DI568" s="14" t="s">
        <v>179</v>
      </c>
      <c r="DJ568" s="14" t="s">
        <v>13263</v>
      </c>
      <c r="DK568" s="14" t="s">
        <v>179</v>
      </c>
      <c r="DL568" s="14" t="s">
        <v>13264</v>
      </c>
      <c r="DM568" s="15"/>
      <c r="DN568" s="15"/>
      <c r="DO568" s="15"/>
      <c r="DP568" s="15"/>
      <c r="DQ568" s="15"/>
      <c r="DR568" s="15"/>
      <c r="DS568" s="15"/>
      <c r="DT568" s="15"/>
      <c r="DU568" s="15"/>
      <c r="DV568" s="15"/>
      <c r="DW568" s="15"/>
      <c r="DX568" s="15"/>
      <c r="DY568" s="15"/>
      <c r="DZ568" s="15"/>
      <c r="EA568" s="15"/>
      <c r="EB568" s="15"/>
      <c r="EC568" s="16" t="s">
        <v>197</v>
      </c>
      <c r="ED568" s="17" t="s">
        <v>198</v>
      </c>
      <c r="EE568" s="18">
        <v>45708.44429398148</v>
      </c>
      <c r="EF568" s="13" t="s">
        <v>209</v>
      </c>
      <c r="EG568" s="14" t="s">
        <v>179</v>
      </c>
      <c r="EH568" s="14" t="s">
        <v>13265</v>
      </c>
      <c r="EI568" s="14" t="s">
        <v>179</v>
      </c>
      <c r="EJ568" s="14" t="s">
        <v>13265</v>
      </c>
      <c r="EK568" s="15"/>
      <c r="EL568" s="15"/>
      <c r="EM568" s="15"/>
      <c r="EN568" s="15"/>
      <c r="EO568" s="15"/>
      <c r="EP568" s="15"/>
      <c r="EQ568" s="15"/>
      <c r="ER568" s="15"/>
      <c r="ES568" s="15"/>
      <c r="ET568" s="15"/>
      <c r="EU568" s="15"/>
      <c r="EV568" s="15"/>
      <c r="EW568" s="15"/>
      <c r="EX568" s="15"/>
      <c r="EY568" s="15"/>
      <c r="EZ568" s="15"/>
      <c r="FA568" s="15"/>
      <c r="FB568" s="15"/>
      <c r="FC568" s="16" t="s">
        <v>197</v>
      </c>
      <c r="FD568" s="17" t="s">
        <v>198</v>
      </c>
      <c r="FE568" s="18">
        <v>45723.26443287037</v>
      </c>
      <c r="FF568" s="19"/>
      <c r="FG568" s="19"/>
      <c r="FH568" s="21" t="s">
        <v>197</v>
      </c>
      <c r="FI568" s="17" t="s">
        <v>214</v>
      </c>
      <c r="FJ568" s="18">
        <v>45723.26443287037</v>
      </c>
      <c r="FK568" s="14" t="s">
        <v>13265</v>
      </c>
      <c r="FL568" s="14" t="s">
        <v>13266</v>
      </c>
      <c r="FM568" s="14" t="s">
        <v>13267</v>
      </c>
      <c r="FN568" s="19"/>
      <c r="FO568" s="19"/>
      <c r="FP568" s="19" t="str">
        <f t="shared" si="1"/>
        <v>Base de Dados_Images/PIT20003.Imagem do Equipamento-.193343.jpg</v>
      </c>
      <c r="FQ568" s="19"/>
      <c r="FR568" s="19"/>
    </row>
    <row r="569" ht="15.75" customHeight="1">
      <c r="A569" s="12" t="s">
        <v>174</v>
      </c>
      <c r="B569" s="22" t="s">
        <v>1359</v>
      </c>
      <c r="C569" s="24" t="s">
        <v>375</v>
      </c>
      <c r="D569" s="22" t="s">
        <v>13268</v>
      </c>
      <c r="E569" s="22" t="s">
        <v>13269</v>
      </c>
      <c r="F569" s="13" t="s">
        <v>178</v>
      </c>
      <c r="G569" s="14" t="s">
        <v>179</v>
      </c>
      <c r="H569" s="14" t="s">
        <v>13270</v>
      </c>
      <c r="I569" s="14" t="s">
        <v>179</v>
      </c>
      <c r="J569" s="14" t="s">
        <v>13271</v>
      </c>
      <c r="K569" s="14" t="s">
        <v>179</v>
      </c>
      <c r="L569" s="14" t="s">
        <v>13272</v>
      </c>
      <c r="M569" s="14" t="s">
        <v>179</v>
      </c>
      <c r="N569" s="14" t="s">
        <v>13273</v>
      </c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6" t="s">
        <v>197</v>
      </c>
      <c r="BP569" s="17" t="s">
        <v>198</v>
      </c>
      <c r="BQ569" s="18">
        <v>45679.6883912037</v>
      </c>
      <c r="BR569" s="17" t="s">
        <v>198</v>
      </c>
      <c r="BS569" s="18">
        <v>45679.68849537037</v>
      </c>
      <c r="BT569" s="17" t="s">
        <v>198</v>
      </c>
      <c r="BU569" s="18">
        <v>45679.68849537037</v>
      </c>
      <c r="BV569" s="13" t="s">
        <v>199</v>
      </c>
      <c r="BW569" s="14" t="s">
        <v>179</v>
      </c>
      <c r="BX569" s="14" t="s">
        <v>13274</v>
      </c>
      <c r="BY569" s="14" t="s">
        <v>179</v>
      </c>
      <c r="BZ569" s="14" t="s">
        <v>13275</v>
      </c>
      <c r="CA569" s="14" t="s">
        <v>179</v>
      </c>
      <c r="CB569" s="14" t="s">
        <v>13276</v>
      </c>
      <c r="CC569" s="15"/>
      <c r="CD569" s="15"/>
      <c r="CE569" s="15"/>
      <c r="CF569" s="15"/>
      <c r="CG569" s="19"/>
      <c r="CH569" s="15"/>
      <c r="CI569" s="19"/>
      <c r="CJ569" s="15"/>
      <c r="CK569" s="19"/>
      <c r="CL569" s="15"/>
      <c r="CM569" s="19"/>
      <c r="CN569" s="15"/>
      <c r="CO569" s="19"/>
      <c r="CP569" s="15"/>
      <c r="CQ569" s="15"/>
      <c r="CR569" s="15"/>
      <c r="CS569" s="19"/>
      <c r="CT569" s="15"/>
      <c r="CU569" s="19"/>
      <c r="CV569" s="15"/>
      <c r="CW569" s="19"/>
      <c r="CX569" s="15"/>
      <c r="CY569" s="19"/>
      <c r="CZ569" s="15"/>
      <c r="DA569" s="16" t="s">
        <v>197</v>
      </c>
      <c r="DB569" s="17" t="s">
        <v>228</v>
      </c>
      <c r="DC569" s="16"/>
      <c r="DD569" s="17" t="s">
        <v>198</v>
      </c>
      <c r="DE569" s="18">
        <v>45694.40409722222</v>
      </c>
      <c r="DF569" s="17" t="s">
        <v>198</v>
      </c>
      <c r="DG569" s="18">
        <v>45694.40409722222</v>
      </c>
      <c r="DH569" s="13" t="s">
        <v>205</v>
      </c>
      <c r="DI569" s="14" t="s">
        <v>179</v>
      </c>
      <c r="DJ569" s="14" t="s">
        <v>13277</v>
      </c>
      <c r="DK569" s="14" t="s">
        <v>179</v>
      </c>
      <c r="DL569" s="14" t="s">
        <v>13278</v>
      </c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6" t="s">
        <v>197</v>
      </c>
      <c r="ED569" s="17" t="s">
        <v>198</v>
      </c>
      <c r="EE569" s="18">
        <v>45708.444398148145</v>
      </c>
      <c r="EF569" s="13" t="s">
        <v>209</v>
      </c>
      <c r="EG569" s="14" t="s">
        <v>179</v>
      </c>
      <c r="EH569" s="14" t="s">
        <v>13279</v>
      </c>
      <c r="EI569" s="14" t="s">
        <v>179</v>
      </c>
      <c r="EJ569" s="14" t="s">
        <v>13279</v>
      </c>
      <c r="EK569" s="15"/>
      <c r="EL569" s="15"/>
      <c r="EM569" s="15"/>
      <c r="EN569" s="15"/>
      <c r="EO569" s="15"/>
      <c r="EP569" s="15"/>
      <c r="EQ569" s="15"/>
      <c r="ER569" s="15"/>
      <c r="ES569" s="15"/>
      <c r="ET569" s="15"/>
      <c r="EU569" s="15"/>
      <c r="EV569" s="15"/>
      <c r="EW569" s="15"/>
      <c r="EX569" s="15"/>
      <c r="EY569" s="15"/>
      <c r="EZ569" s="15"/>
      <c r="FA569" s="15"/>
      <c r="FB569" s="15"/>
      <c r="FC569" s="16" t="s">
        <v>197</v>
      </c>
      <c r="FD569" s="17" t="s">
        <v>198</v>
      </c>
      <c r="FE569" s="18">
        <v>45723.264502314814</v>
      </c>
      <c r="FF569" s="19"/>
      <c r="FG569" s="19"/>
      <c r="FH569" s="21" t="s">
        <v>197</v>
      </c>
      <c r="FI569" s="17" t="s">
        <v>214</v>
      </c>
      <c r="FJ569" s="18">
        <v>45723.264502314814</v>
      </c>
      <c r="FK569" s="14" t="s">
        <v>13279</v>
      </c>
      <c r="FL569" s="14" t="s">
        <v>13280</v>
      </c>
      <c r="FM569" s="14" t="s">
        <v>13281</v>
      </c>
      <c r="FN569" s="19"/>
      <c r="FO569" s="19"/>
      <c r="FP569" s="19" t="str">
        <f t="shared" si="1"/>
        <v>Base de Dados_Images/PIT20004.Imagem do Equipamento-.193403.jpg</v>
      </c>
      <c r="FQ569" s="19"/>
      <c r="FR569" s="19"/>
    </row>
    <row r="570" ht="15.75" customHeight="1">
      <c r="A570" s="12" t="s">
        <v>174</v>
      </c>
      <c r="B570" s="22" t="s">
        <v>1359</v>
      </c>
      <c r="C570" s="24" t="s">
        <v>375</v>
      </c>
      <c r="D570" s="22" t="s">
        <v>13282</v>
      </c>
      <c r="E570" s="22" t="s">
        <v>13283</v>
      </c>
      <c r="F570" s="13" t="s">
        <v>178</v>
      </c>
      <c r="G570" s="14" t="s">
        <v>179</v>
      </c>
      <c r="H570" s="14" t="s">
        <v>13284</v>
      </c>
      <c r="I570" s="14" t="s">
        <v>179</v>
      </c>
      <c r="J570" s="14" t="s">
        <v>13285</v>
      </c>
      <c r="K570" s="14" t="s">
        <v>179</v>
      </c>
      <c r="L570" s="14" t="s">
        <v>13286</v>
      </c>
      <c r="M570" s="14" t="s">
        <v>179</v>
      </c>
      <c r="N570" s="14" t="s">
        <v>13287</v>
      </c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6" t="s">
        <v>197</v>
      </c>
      <c r="BP570" s="17" t="s">
        <v>198</v>
      </c>
      <c r="BQ570" s="18">
        <v>45679.685949074075</v>
      </c>
      <c r="BR570" s="17" t="s">
        <v>198</v>
      </c>
      <c r="BS570" s="18">
        <v>45679.68599537037</v>
      </c>
      <c r="BT570" s="17" t="s">
        <v>198</v>
      </c>
      <c r="BU570" s="18">
        <v>45679.68599537037</v>
      </c>
      <c r="BV570" s="13" t="s">
        <v>199</v>
      </c>
      <c r="BW570" s="14" t="s">
        <v>179</v>
      </c>
      <c r="BX570" s="14" t="s">
        <v>13288</v>
      </c>
      <c r="BY570" s="14" t="s">
        <v>179</v>
      </c>
      <c r="BZ570" s="14" t="s">
        <v>13289</v>
      </c>
      <c r="CA570" s="14" t="s">
        <v>179</v>
      </c>
      <c r="CB570" s="14" t="s">
        <v>13290</v>
      </c>
      <c r="CC570" s="15"/>
      <c r="CD570" s="15"/>
      <c r="CE570" s="15"/>
      <c r="CF570" s="15"/>
      <c r="CG570" s="19"/>
      <c r="CH570" s="15"/>
      <c r="CI570" s="19"/>
      <c r="CJ570" s="15"/>
      <c r="CK570" s="19"/>
      <c r="CL570" s="15"/>
      <c r="CM570" s="19"/>
      <c r="CN570" s="15"/>
      <c r="CO570" s="19"/>
      <c r="CP570" s="15"/>
      <c r="CQ570" s="15"/>
      <c r="CR570" s="15"/>
      <c r="CS570" s="19"/>
      <c r="CT570" s="15"/>
      <c r="CU570" s="19"/>
      <c r="CV570" s="15"/>
      <c r="CW570" s="19"/>
      <c r="CX570" s="15"/>
      <c r="CY570" s="19"/>
      <c r="CZ570" s="15"/>
      <c r="DA570" s="16" t="s">
        <v>197</v>
      </c>
      <c r="DB570" s="17" t="s">
        <v>228</v>
      </c>
      <c r="DC570" s="16"/>
      <c r="DD570" s="17" t="s">
        <v>198</v>
      </c>
      <c r="DE570" s="18">
        <v>45694.40422453704</v>
      </c>
      <c r="DF570" s="17" t="s">
        <v>198</v>
      </c>
      <c r="DG570" s="18">
        <v>45694.40422453704</v>
      </c>
      <c r="DH570" s="13" t="s">
        <v>205</v>
      </c>
      <c r="DI570" s="14" t="s">
        <v>179</v>
      </c>
      <c r="DJ570" s="14" t="s">
        <v>13291</v>
      </c>
      <c r="DK570" s="14" t="s">
        <v>179</v>
      </c>
      <c r="DL570" s="14" t="s">
        <v>13292</v>
      </c>
      <c r="DM570" s="15"/>
      <c r="DN570" s="15"/>
      <c r="DO570" s="15"/>
      <c r="DP570" s="15"/>
      <c r="DQ570" s="15"/>
      <c r="DR570" s="15"/>
      <c r="DS570" s="15"/>
      <c r="DT570" s="15"/>
      <c r="DU570" s="15"/>
      <c r="DV570" s="15"/>
      <c r="DW570" s="15"/>
      <c r="DX570" s="15"/>
      <c r="DY570" s="15"/>
      <c r="DZ570" s="15"/>
      <c r="EA570" s="15"/>
      <c r="EB570" s="15"/>
      <c r="EC570" s="16" t="s">
        <v>197</v>
      </c>
      <c r="ED570" s="17" t="s">
        <v>198</v>
      </c>
      <c r="EE570" s="18">
        <v>45719.46575231481</v>
      </c>
      <c r="EF570" s="13" t="s">
        <v>209</v>
      </c>
      <c r="EG570" s="14" t="s">
        <v>179</v>
      </c>
      <c r="EH570" s="14" t="s">
        <v>13293</v>
      </c>
      <c r="EI570" s="14" t="s">
        <v>179</v>
      </c>
      <c r="EJ570" s="14" t="s">
        <v>13293</v>
      </c>
      <c r="EK570" s="15"/>
      <c r="EL570" s="15"/>
      <c r="EM570" s="15"/>
      <c r="EN570" s="15"/>
      <c r="EO570" s="15"/>
      <c r="EP570" s="15"/>
      <c r="EQ570" s="15"/>
      <c r="ER570" s="15"/>
      <c r="ES570" s="15"/>
      <c r="ET570" s="15"/>
      <c r="EU570" s="15"/>
      <c r="EV570" s="15"/>
      <c r="EW570" s="15"/>
      <c r="EX570" s="15"/>
      <c r="EY570" s="15"/>
      <c r="EZ570" s="15"/>
      <c r="FA570" s="15"/>
      <c r="FB570" s="15"/>
      <c r="FC570" s="16" t="s">
        <v>197</v>
      </c>
      <c r="FD570" s="17" t="s">
        <v>198</v>
      </c>
      <c r="FE570" s="18">
        <v>45723.26458333333</v>
      </c>
      <c r="FF570" s="19"/>
      <c r="FG570" s="19"/>
      <c r="FH570" s="21" t="s">
        <v>197</v>
      </c>
      <c r="FI570" s="17" t="s">
        <v>214</v>
      </c>
      <c r="FJ570" s="18">
        <v>45723.26458333333</v>
      </c>
      <c r="FK570" s="14" t="s">
        <v>13293</v>
      </c>
      <c r="FL570" s="14" t="s">
        <v>13294</v>
      </c>
      <c r="FM570" s="14" t="s">
        <v>13295</v>
      </c>
      <c r="FN570" s="19"/>
      <c r="FO570" s="19"/>
      <c r="FP570" s="19" t="str">
        <f t="shared" si="1"/>
        <v>Base de Dados_Images/PIT20005.Imagem do Equipamento-.192855.jpg</v>
      </c>
      <c r="FQ570" s="19"/>
      <c r="FR570" s="19"/>
    </row>
    <row r="571" ht="15.75" customHeight="1">
      <c r="A571" s="12" t="s">
        <v>174</v>
      </c>
      <c r="B571" s="22" t="s">
        <v>1359</v>
      </c>
      <c r="C571" s="24" t="s">
        <v>375</v>
      </c>
      <c r="D571" s="22" t="s">
        <v>13296</v>
      </c>
      <c r="E571" s="22" t="s">
        <v>13297</v>
      </c>
      <c r="F571" s="13" t="s">
        <v>178</v>
      </c>
      <c r="G571" s="14" t="s">
        <v>179</v>
      </c>
      <c r="H571" s="14" t="s">
        <v>13298</v>
      </c>
      <c r="I571" s="14" t="s">
        <v>179</v>
      </c>
      <c r="J571" s="14" t="s">
        <v>13299</v>
      </c>
      <c r="K571" s="14" t="s">
        <v>179</v>
      </c>
      <c r="L571" s="14" t="s">
        <v>13300</v>
      </c>
      <c r="M571" s="14" t="s">
        <v>179</v>
      </c>
      <c r="N571" s="14" t="s">
        <v>13301</v>
      </c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6" t="s">
        <v>197</v>
      </c>
      <c r="BP571" s="17" t="s">
        <v>198</v>
      </c>
      <c r="BQ571" s="18">
        <v>45679.685115740744</v>
      </c>
      <c r="BR571" s="17" t="s">
        <v>198</v>
      </c>
      <c r="BS571" s="18">
        <v>45679.685162037036</v>
      </c>
      <c r="BT571" s="17" t="s">
        <v>198</v>
      </c>
      <c r="BU571" s="18">
        <v>45679.685162037036</v>
      </c>
      <c r="BV571" s="13" t="s">
        <v>199</v>
      </c>
      <c r="BW571" s="14" t="s">
        <v>179</v>
      </c>
      <c r="BX571" s="14" t="s">
        <v>13302</v>
      </c>
      <c r="BY571" s="14" t="s">
        <v>179</v>
      </c>
      <c r="BZ571" s="14" t="s">
        <v>13303</v>
      </c>
      <c r="CA571" s="14" t="s">
        <v>179</v>
      </c>
      <c r="CB571" s="14" t="s">
        <v>13303</v>
      </c>
      <c r="CC571" s="15"/>
      <c r="CD571" s="15"/>
      <c r="CE571" s="15"/>
      <c r="CF571" s="15"/>
      <c r="CG571" s="19"/>
      <c r="CH571" s="15"/>
      <c r="CI571" s="19"/>
      <c r="CJ571" s="15"/>
      <c r="CK571" s="19"/>
      <c r="CL571" s="15"/>
      <c r="CM571" s="19"/>
      <c r="CN571" s="15"/>
      <c r="CO571" s="19"/>
      <c r="CP571" s="15"/>
      <c r="CQ571" s="15"/>
      <c r="CR571" s="15"/>
      <c r="CS571" s="19"/>
      <c r="CT571" s="15"/>
      <c r="CU571" s="19"/>
      <c r="CV571" s="15"/>
      <c r="CW571" s="19"/>
      <c r="CX571" s="15"/>
      <c r="CY571" s="19"/>
      <c r="CZ571" s="15"/>
      <c r="DA571" s="16" t="s">
        <v>197</v>
      </c>
      <c r="DB571" s="17" t="s">
        <v>228</v>
      </c>
      <c r="DC571" s="16"/>
      <c r="DD571" s="17" t="s">
        <v>198</v>
      </c>
      <c r="DE571" s="18">
        <v>45694.404375</v>
      </c>
      <c r="DF571" s="17" t="s">
        <v>198</v>
      </c>
      <c r="DG571" s="18">
        <v>45694.404375</v>
      </c>
      <c r="DH571" s="13" t="s">
        <v>205</v>
      </c>
      <c r="DI571" s="14" t="s">
        <v>179</v>
      </c>
      <c r="DJ571" s="14" t="s">
        <v>13304</v>
      </c>
      <c r="DK571" s="14" t="s">
        <v>179</v>
      </c>
      <c r="DL571" s="14" t="s">
        <v>13305</v>
      </c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6" t="s">
        <v>197</v>
      </c>
      <c r="ED571" s="17" t="s">
        <v>198</v>
      </c>
      <c r="EE571" s="18">
        <v>45719.46592592593</v>
      </c>
      <c r="EF571" s="13" t="s">
        <v>209</v>
      </c>
      <c r="EG571" s="14" t="s">
        <v>179</v>
      </c>
      <c r="EH571" s="14" t="s">
        <v>13306</v>
      </c>
      <c r="EI571" s="14" t="s">
        <v>179</v>
      </c>
      <c r="EJ571" s="14" t="s">
        <v>13306</v>
      </c>
      <c r="EK571" s="15"/>
      <c r="EL571" s="15"/>
      <c r="EM571" s="15"/>
      <c r="EN571" s="15"/>
      <c r="EO571" s="15"/>
      <c r="EP571" s="15"/>
      <c r="EQ571" s="15"/>
      <c r="ER571" s="15"/>
      <c r="ES571" s="15"/>
      <c r="ET571" s="15"/>
      <c r="EU571" s="15"/>
      <c r="EV571" s="15"/>
      <c r="EW571" s="15"/>
      <c r="EX571" s="15"/>
      <c r="EY571" s="15"/>
      <c r="EZ571" s="15"/>
      <c r="FA571" s="15"/>
      <c r="FB571" s="15"/>
      <c r="FC571" s="16" t="s">
        <v>197</v>
      </c>
      <c r="FD571" s="17" t="s">
        <v>198</v>
      </c>
      <c r="FE571" s="18">
        <v>45723.264652777776</v>
      </c>
      <c r="FF571" s="19"/>
      <c r="FG571" s="19"/>
      <c r="FH571" s="21" t="s">
        <v>197</v>
      </c>
      <c r="FI571" s="17" t="s">
        <v>214</v>
      </c>
      <c r="FJ571" s="18">
        <v>45723.264652777776</v>
      </c>
      <c r="FK571" s="14" t="s">
        <v>13306</v>
      </c>
      <c r="FL571" s="14" t="s">
        <v>13307</v>
      </c>
      <c r="FM571" s="14" t="s">
        <v>13308</v>
      </c>
      <c r="FN571" s="19"/>
      <c r="FO571" s="19"/>
      <c r="FP571" s="19" t="str">
        <f t="shared" si="1"/>
        <v>Base de Dados_Images/PIT20006.Imagem do Equipamento-.192646.jpg</v>
      </c>
      <c r="FQ571" s="19"/>
      <c r="FR571" s="19"/>
    </row>
    <row r="572" ht="15.75" customHeight="1">
      <c r="A572" s="12" t="s">
        <v>174</v>
      </c>
      <c r="B572" s="22" t="s">
        <v>1359</v>
      </c>
      <c r="C572" s="24" t="s">
        <v>375</v>
      </c>
      <c r="D572" s="22" t="s">
        <v>13309</v>
      </c>
      <c r="E572" s="22" t="s">
        <v>13310</v>
      </c>
      <c r="F572" s="13" t="s">
        <v>178</v>
      </c>
      <c r="G572" s="14" t="s">
        <v>179</v>
      </c>
      <c r="H572" s="14" t="s">
        <v>13311</v>
      </c>
      <c r="I572" s="14" t="s">
        <v>179</v>
      </c>
      <c r="J572" s="14" t="s">
        <v>13312</v>
      </c>
      <c r="K572" s="14" t="s">
        <v>179</v>
      </c>
      <c r="L572" s="14" t="s">
        <v>13313</v>
      </c>
      <c r="M572" s="14" t="s">
        <v>179</v>
      </c>
      <c r="N572" s="14" t="s">
        <v>13314</v>
      </c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6" t="s">
        <v>197</v>
      </c>
      <c r="BP572" s="17" t="s">
        <v>198</v>
      </c>
      <c r="BQ572" s="18">
        <v>45686.44105324074</v>
      </c>
      <c r="BR572" s="17" t="s">
        <v>198</v>
      </c>
      <c r="BS572" s="18">
        <v>45686.44113425926</v>
      </c>
      <c r="BT572" s="17" t="s">
        <v>198</v>
      </c>
      <c r="BU572" s="18">
        <v>45686.44113425926</v>
      </c>
      <c r="BV572" s="13" t="s">
        <v>199</v>
      </c>
      <c r="BW572" s="14" t="s">
        <v>179</v>
      </c>
      <c r="BX572" s="14" t="s">
        <v>13315</v>
      </c>
      <c r="BY572" s="14" t="s">
        <v>179</v>
      </c>
      <c r="BZ572" s="14" t="s">
        <v>13315</v>
      </c>
      <c r="CA572" s="14" t="s">
        <v>179</v>
      </c>
      <c r="CB572" s="14" t="s">
        <v>13316</v>
      </c>
      <c r="CC572" s="15"/>
      <c r="CD572" s="15"/>
      <c r="CE572" s="15"/>
      <c r="CF572" s="15"/>
      <c r="CG572" s="19"/>
      <c r="CH572" s="15"/>
      <c r="CI572" s="19"/>
      <c r="CJ572" s="15"/>
      <c r="CK572" s="19"/>
      <c r="CL572" s="15"/>
      <c r="CM572" s="19"/>
      <c r="CN572" s="15"/>
      <c r="CO572" s="19"/>
      <c r="CP572" s="15"/>
      <c r="CQ572" s="15"/>
      <c r="CR572" s="15"/>
      <c r="CS572" s="19"/>
      <c r="CT572" s="15"/>
      <c r="CU572" s="19"/>
      <c r="CV572" s="15"/>
      <c r="CW572" s="19"/>
      <c r="CX572" s="15"/>
      <c r="CY572" s="19"/>
      <c r="CZ572" s="15"/>
      <c r="DA572" s="16" t="s">
        <v>197</v>
      </c>
      <c r="DB572" s="17" t="s">
        <v>228</v>
      </c>
      <c r="DC572" s="16"/>
      <c r="DD572" s="17" t="s">
        <v>198</v>
      </c>
      <c r="DE572" s="18">
        <v>45694.404502314814</v>
      </c>
      <c r="DF572" s="17" t="s">
        <v>198</v>
      </c>
      <c r="DG572" s="18">
        <v>45694.404502314814</v>
      </c>
      <c r="DH572" s="13" t="s">
        <v>205</v>
      </c>
      <c r="DI572" s="14" t="s">
        <v>179</v>
      </c>
      <c r="DJ572" s="14" t="s">
        <v>13317</v>
      </c>
      <c r="DK572" s="14" t="s">
        <v>179</v>
      </c>
      <c r="DL572" s="14" t="s">
        <v>13318</v>
      </c>
      <c r="DM572" s="15"/>
      <c r="DN572" s="15"/>
      <c r="DO572" s="15"/>
      <c r="DP572" s="15"/>
      <c r="DQ572" s="15"/>
      <c r="DR572" s="15"/>
      <c r="DS572" s="15"/>
      <c r="DT572" s="15"/>
      <c r="DU572" s="15"/>
      <c r="DV572" s="15"/>
      <c r="DW572" s="15"/>
      <c r="DX572" s="15"/>
      <c r="DY572" s="15"/>
      <c r="DZ572" s="15"/>
      <c r="EA572" s="15"/>
      <c r="EB572" s="15"/>
      <c r="EC572" s="16" t="s">
        <v>197</v>
      </c>
      <c r="ED572" s="17" t="s">
        <v>198</v>
      </c>
      <c r="EE572" s="18">
        <v>45708.44457175926</v>
      </c>
      <c r="EF572" s="13" t="s">
        <v>209</v>
      </c>
      <c r="EG572" s="14" t="s">
        <v>179</v>
      </c>
      <c r="EH572" s="14" t="s">
        <v>13319</v>
      </c>
      <c r="EI572" s="14" t="s">
        <v>179</v>
      </c>
      <c r="EJ572" s="14" t="s">
        <v>13319</v>
      </c>
      <c r="EK572" s="15"/>
      <c r="EL572" s="15"/>
      <c r="EM572" s="15"/>
      <c r="EN572" s="15"/>
      <c r="EO572" s="15"/>
      <c r="EP572" s="15"/>
      <c r="EQ572" s="15"/>
      <c r="ER572" s="15"/>
      <c r="ES572" s="15"/>
      <c r="ET572" s="15"/>
      <c r="EU572" s="15"/>
      <c r="EV572" s="15"/>
      <c r="EW572" s="15"/>
      <c r="EX572" s="15"/>
      <c r="EY572" s="15"/>
      <c r="EZ572" s="15"/>
      <c r="FA572" s="15"/>
      <c r="FB572" s="15"/>
      <c r="FC572" s="16" t="s">
        <v>197</v>
      </c>
      <c r="FD572" s="17" t="s">
        <v>198</v>
      </c>
      <c r="FE572" s="18">
        <v>45723.2647337963</v>
      </c>
      <c r="FF572" s="19"/>
      <c r="FG572" s="19"/>
      <c r="FH572" s="21" t="s">
        <v>197</v>
      </c>
      <c r="FI572" s="17" t="s">
        <v>214</v>
      </c>
      <c r="FJ572" s="18">
        <v>45723.2647337963</v>
      </c>
      <c r="FK572" s="14" t="s">
        <v>13319</v>
      </c>
      <c r="FL572" s="14" t="s">
        <v>13320</v>
      </c>
      <c r="FM572" s="14" t="s">
        <v>13321</v>
      </c>
      <c r="FN572" s="19"/>
      <c r="FO572" s="19"/>
      <c r="FP572" s="19" t="str">
        <f t="shared" si="1"/>
        <v>Base de Dados_Images/PIT20007.Imagem do Equipamento-.133816.jpg</v>
      </c>
      <c r="FQ572" s="19"/>
      <c r="FR572" s="19"/>
    </row>
    <row r="573" ht="15.75" customHeight="1">
      <c r="A573" s="12" t="s">
        <v>174</v>
      </c>
      <c r="B573" s="12" t="s">
        <v>13322</v>
      </c>
      <c r="C573" s="24" t="s">
        <v>375</v>
      </c>
      <c r="D573" s="22" t="s">
        <v>13323</v>
      </c>
      <c r="E573" s="22" t="s">
        <v>13324</v>
      </c>
      <c r="F573" s="13" t="s">
        <v>178</v>
      </c>
      <c r="G573" s="14" t="s">
        <v>179</v>
      </c>
      <c r="H573" s="14" t="s">
        <v>13325</v>
      </c>
      <c r="I573" s="14" t="s">
        <v>179</v>
      </c>
      <c r="J573" s="14" t="s">
        <v>13326</v>
      </c>
      <c r="K573" s="14" t="s">
        <v>179</v>
      </c>
      <c r="L573" s="14" t="s">
        <v>13327</v>
      </c>
      <c r="M573" s="14" t="s">
        <v>179</v>
      </c>
      <c r="N573" s="14" t="s">
        <v>13328</v>
      </c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6" t="s">
        <v>197</v>
      </c>
      <c r="BP573" s="17" t="s">
        <v>198</v>
      </c>
      <c r="BQ573" s="18">
        <v>45686.44971064815</v>
      </c>
      <c r="BR573" s="17" t="s">
        <v>198</v>
      </c>
      <c r="BS573" s="18">
        <v>45686.44976851852</v>
      </c>
      <c r="BT573" s="17" t="s">
        <v>198</v>
      </c>
      <c r="BU573" s="18">
        <v>45686.44976851852</v>
      </c>
      <c r="BV573" s="13" t="s">
        <v>199</v>
      </c>
      <c r="BW573" s="14" t="s">
        <v>179</v>
      </c>
      <c r="BX573" s="14" t="s">
        <v>13329</v>
      </c>
      <c r="BY573" s="14" t="s">
        <v>179</v>
      </c>
      <c r="BZ573" s="14" t="s">
        <v>13330</v>
      </c>
      <c r="CA573" s="14" t="s">
        <v>179</v>
      </c>
      <c r="CB573" s="14" t="s">
        <v>13330</v>
      </c>
      <c r="CC573" s="15"/>
      <c r="CD573" s="15"/>
      <c r="CE573" s="15"/>
      <c r="CF573" s="15"/>
      <c r="CG573" s="19"/>
      <c r="CH573" s="15"/>
      <c r="CI573" s="19"/>
      <c r="CJ573" s="15"/>
      <c r="CK573" s="19"/>
      <c r="CL573" s="15"/>
      <c r="CM573" s="19"/>
      <c r="CN573" s="15"/>
      <c r="CO573" s="19"/>
      <c r="CP573" s="15"/>
      <c r="CQ573" s="15"/>
      <c r="CR573" s="15"/>
      <c r="CS573" s="19"/>
      <c r="CT573" s="15"/>
      <c r="CU573" s="19"/>
      <c r="CV573" s="15"/>
      <c r="CW573" s="19"/>
      <c r="CX573" s="15"/>
      <c r="CY573" s="19"/>
      <c r="CZ573" s="15"/>
      <c r="DA573" s="16" t="s">
        <v>197</v>
      </c>
      <c r="DB573" s="17" t="s">
        <v>228</v>
      </c>
      <c r="DC573" s="16"/>
      <c r="DD573" s="17" t="s">
        <v>198</v>
      </c>
      <c r="DE573" s="18">
        <v>45693.689467592594</v>
      </c>
      <c r="DF573" s="17" t="s">
        <v>198</v>
      </c>
      <c r="DG573" s="18">
        <v>45693.689467592594</v>
      </c>
      <c r="DH573" s="13" t="s">
        <v>205</v>
      </c>
      <c r="DI573" s="14" t="s">
        <v>179</v>
      </c>
      <c r="DJ573" s="14" t="s">
        <v>13331</v>
      </c>
      <c r="DK573" s="14" t="s">
        <v>179</v>
      </c>
      <c r="DL573" s="14" t="s">
        <v>13332</v>
      </c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6" t="s">
        <v>197</v>
      </c>
      <c r="ED573" s="17" t="s">
        <v>198</v>
      </c>
      <c r="EE573" s="18">
        <v>45707.395891203705</v>
      </c>
      <c r="EF573" s="13" t="s">
        <v>209</v>
      </c>
      <c r="EG573" s="14" t="s">
        <v>179</v>
      </c>
      <c r="EH573" s="14" t="s">
        <v>13333</v>
      </c>
      <c r="EI573" s="14" t="s">
        <v>179</v>
      </c>
      <c r="EJ573" s="14" t="s">
        <v>13334</v>
      </c>
      <c r="EK573" s="15"/>
      <c r="EL573" s="15"/>
      <c r="EM573" s="15"/>
      <c r="EN573" s="15"/>
      <c r="EO573" s="15"/>
      <c r="EP573" s="15"/>
      <c r="EQ573" s="15"/>
      <c r="ER573" s="15"/>
      <c r="ES573" s="15"/>
      <c r="ET573" s="15"/>
      <c r="EU573" s="15"/>
      <c r="EV573" s="15"/>
      <c r="EW573" s="15"/>
      <c r="EX573" s="15"/>
      <c r="EY573" s="15"/>
      <c r="EZ573" s="15"/>
      <c r="FA573" s="15"/>
      <c r="FB573" s="15"/>
      <c r="FC573" s="16" t="s">
        <v>197</v>
      </c>
      <c r="FD573" s="17" t="s">
        <v>198</v>
      </c>
      <c r="FE573" s="18">
        <v>45723.28548611111</v>
      </c>
      <c r="FF573" s="19"/>
      <c r="FG573" s="19"/>
      <c r="FH573" s="21" t="s">
        <v>197</v>
      </c>
      <c r="FI573" s="17" t="s">
        <v>214</v>
      </c>
      <c r="FJ573" s="18">
        <v>45723.28548611111</v>
      </c>
      <c r="FK573" s="14" t="s">
        <v>13334</v>
      </c>
      <c r="FL573" s="14" t="s">
        <v>13335</v>
      </c>
      <c r="FM573" s="14" t="s">
        <v>13336</v>
      </c>
      <c r="FN573" s="19"/>
      <c r="FO573" s="19"/>
      <c r="FP573" s="19" t="str">
        <f t="shared" si="1"/>
        <v>Base de Dados_Images/PIT20020.Imagem do Equipamento-.140752.jpg</v>
      </c>
      <c r="FQ573" s="14"/>
      <c r="FR573" s="14"/>
    </row>
    <row r="574" ht="15.75" customHeight="1">
      <c r="A574" s="12" t="s">
        <v>174</v>
      </c>
      <c r="B574" s="12" t="s">
        <v>13322</v>
      </c>
      <c r="C574" s="24" t="s">
        <v>375</v>
      </c>
      <c r="D574" s="22" t="s">
        <v>13337</v>
      </c>
      <c r="E574" s="22" t="s">
        <v>13338</v>
      </c>
      <c r="F574" s="13" t="s">
        <v>178</v>
      </c>
      <c r="G574" s="14" t="s">
        <v>179</v>
      </c>
      <c r="H574" s="14" t="s">
        <v>13339</v>
      </c>
      <c r="I574" s="14" t="s">
        <v>179</v>
      </c>
      <c r="J574" s="14" t="s">
        <v>13340</v>
      </c>
      <c r="K574" s="14" t="s">
        <v>179</v>
      </c>
      <c r="L574" s="14" t="s">
        <v>13341</v>
      </c>
      <c r="M574" s="14" t="s">
        <v>179</v>
      </c>
      <c r="N574" s="14" t="s">
        <v>13342</v>
      </c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6" t="s">
        <v>197</v>
      </c>
      <c r="BP574" s="17" t="s">
        <v>198</v>
      </c>
      <c r="BQ574" s="18">
        <v>45679.6475</v>
      </c>
      <c r="BR574" s="17" t="s">
        <v>198</v>
      </c>
      <c r="BS574" s="18">
        <v>45679.647569444445</v>
      </c>
      <c r="BT574" s="17" t="s">
        <v>198</v>
      </c>
      <c r="BU574" s="18">
        <v>45679.647569444445</v>
      </c>
      <c r="BV574" s="13" t="s">
        <v>199</v>
      </c>
      <c r="BW574" s="14" t="s">
        <v>179</v>
      </c>
      <c r="BX574" s="14" t="s">
        <v>13343</v>
      </c>
      <c r="BY574" s="14" t="s">
        <v>179</v>
      </c>
      <c r="BZ574" s="14" t="s">
        <v>13344</v>
      </c>
      <c r="CA574" s="14" t="s">
        <v>179</v>
      </c>
      <c r="CB574" s="14" t="s">
        <v>13345</v>
      </c>
      <c r="CC574" s="15"/>
      <c r="CD574" s="15"/>
      <c r="CE574" s="15"/>
      <c r="CF574" s="15"/>
      <c r="CG574" s="19"/>
      <c r="CH574" s="15"/>
      <c r="CI574" s="19"/>
      <c r="CJ574" s="15"/>
      <c r="CK574" s="19"/>
      <c r="CL574" s="15"/>
      <c r="CM574" s="19"/>
      <c r="CN574" s="15"/>
      <c r="CO574" s="19"/>
      <c r="CP574" s="15"/>
      <c r="CQ574" s="15"/>
      <c r="CR574" s="15"/>
      <c r="CS574" s="19"/>
      <c r="CT574" s="15"/>
      <c r="CU574" s="19"/>
      <c r="CV574" s="15"/>
      <c r="CW574" s="19"/>
      <c r="CX574" s="15"/>
      <c r="CY574" s="19"/>
      <c r="CZ574" s="15"/>
      <c r="DA574" s="16" t="s">
        <v>197</v>
      </c>
      <c r="DB574" s="17" t="s">
        <v>228</v>
      </c>
      <c r="DC574" s="16"/>
      <c r="DD574" s="17" t="s">
        <v>198</v>
      </c>
      <c r="DE574" s="18">
        <v>45693.68869212963</v>
      </c>
      <c r="DF574" s="17" t="s">
        <v>198</v>
      </c>
      <c r="DG574" s="18">
        <v>45693.68869212963</v>
      </c>
      <c r="DH574" s="13" t="s">
        <v>205</v>
      </c>
      <c r="DI574" s="14" t="s">
        <v>179</v>
      </c>
      <c r="DJ574" s="14" t="s">
        <v>13346</v>
      </c>
      <c r="DK574" s="14" t="s">
        <v>179</v>
      </c>
      <c r="DL574" s="14" t="s">
        <v>13347</v>
      </c>
      <c r="DM574" s="15"/>
      <c r="DN574" s="15"/>
      <c r="DO574" s="15"/>
      <c r="DP574" s="15"/>
      <c r="DQ574" s="15"/>
      <c r="DR574" s="15"/>
      <c r="DS574" s="15"/>
      <c r="DT574" s="15"/>
      <c r="DU574" s="15"/>
      <c r="DV574" s="15"/>
      <c r="DW574" s="15"/>
      <c r="DX574" s="15"/>
      <c r="DY574" s="15"/>
      <c r="DZ574" s="15"/>
      <c r="EA574" s="15"/>
      <c r="EB574" s="15"/>
      <c r="EC574" s="16" t="s">
        <v>197</v>
      </c>
      <c r="ED574" s="17" t="s">
        <v>198</v>
      </c>
      <c r="EE574" s="18">
        <v>45707.39603009259</v>
      </c>
      <c r="EF574" s="13" t="s">
        <v>209</v>
      </c>
      <c r="EG574" s="14" t="s">
        <v>179</v>
      </c>
      <c r="EH574" s="14" t="s">
        <v>13348</v>
      </c>
      <c r="EI574" s="14" t="s">
        <v>179</v>
      </c>
      <c r="EJ574" s="14" t="s">
        <v>13348</v>
      </c>
      <c r="EK574" s="15"/>
      <c r="EL574" s="15"/>
      <c r="EM574" s="15"/>
      <c r="EN574" s="15"/>
      <c r="EO574" s="15"/>
      <c r="EP574" s="15"/>
      <c r="EQ574" s="15"/>
      <c r="ER574" s="15"/>
      <c r="ES574" s="15"/>
      <c r="ET574" s="15"/>
      <c r="EU574" s="15"/>
      <c r="EV574" s="15"/>
      <c r="EW574" s="15"/>
      <c r="EX574" s="15"/>
      <c r="EY574" s="15"/>
      <c r="EZ574" s="15"/>
      <c r="FA574" s="15"/>
      <c r="FB574" s="15"/>
      <c r="FC574" s="16" t="s">
        <v>197</v>
      </c>
      <c r="FD574" s="17" t="s">
        <v>198</v>
      </c>
      <c r="FE574" s="18">
        <v>45723.28555555556</v>
      </c>
      <c r="FF574" s="19"/>
      <c r="FG574" s="19"/>
      <c r="FH574" s="21" t="s">
        <v>197</v>
      </c>
      <c r="FI574" s="17" t="s">
        <v>214</v>
      </c>
      <c r="FJ574" s="18">
        <v>45723.28555555556</v>
      </c>
      <c r="FK574" s="14" t="s">
        <v>13348</v>
      </c>
      <c r="FL574" s="14" t="s">
        <v>13349</v>
      </c>
      <c r="FM574" s="14" t="s">
        <v>13350</v>
      </c>
      <c r="FN574" s="19"/>
      <c r="FO574" s="19"/>
      <c r="FP574" s="19" t="str">
        <f t="shared" si="1"/>
        <v>Base de Dados_Images/PIT20021.Imagem do Equipamento-.191249.jpg</v>
      </c>
      <c r="FQ574" s="19"/>
      <c r="FR574" s="19"/>
    </row>
    <row r="575" ht="15.75" customHeight="1">
      <c r="A575" s="12" t="s">
        <v>174</v>
      </c>
      <c r="B575" s="12" t="s">
        <v>13322</v>
      </c>
      <c r="C575" s="24" t="s">
        <v>375</v>
      </c>
      <c r="D575" s="22" t="s">
        <v>13351</v>
      </c>
      <c r="E575" s="22" t="s">
        <v>13352</v>
      </c>
      <c r="F575" s="13" t="s">
        <v>178</v>
      </c>
      <c r="G575" s="14" t="s">
        <v>179</v>
      </c>
      <c r="H575" s="14" t="s">
        <v>13353</v>
      </c>
      <c r="I575" s="14" t="s">
        <v>179</v>
      </c>
      <c r="J575" s="14" t="s">
        <v>13354</v>
      </c>
      <c r="K575" s="14" t="s">
        <v>179</v>
      </c>
      <c r="L575" s="14" t="s">
        <v>13355</v>
      </c>
      <c r="M575" s="14" t="s">
        <v>179</v>
      </c>
      <c r="N575" s="14" t="s">
        <v>13356</v>
      </c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6" t="s">
        <v>197</v>
      </c>
      <c r="BP575" s="17" t="s">
        <v>198</v>
      </c>
      <c r="BQ575" s="18">
        <v>45679.64634259259</v>
      </c>
      <c r="BR575" s="17" t="s">
        <v>198</v>
      </c>
      <c r="BS575" s="18">
        <v>45679.64640046296</v>
      </c>
      <c r="BT575" s="17" t="s">
        <v>198</v>
      </c>
      <c r="BU575" s="18">
        <v>45679.64640046296</v>
      </c>
      <c r="BV575" s="13" t="s">
        <v>199</v>
      </c>
      <c r="BW575" s="14" t="s">
        <v>179</v>
      </c>
      <c r="BX575" s="14" t="s">
        <v>13357</v>
      </c>
      <c r="BY575" s="14" t="s">
        <v>179</v>
      </c>
      <c r="BZ575" s="14" t="s">
        <v>13358</v>
      </c>
      <c r="CA575" s="14" t="s">
        <v>179</v>
      </c>
      <c r="CB575" s="14" t="s">
        <v>13358</v>
      </c>
      <c r="CC575" s="15"/>
      <c r="CD575" s="15"/>
      <c r="CE575" s="15"/>
      <c r="CF575" s="15"/>
      <c r="CG575" s="19"/>
      <c r="CH575" s="15"/>
      <c r="CI575" s="19"/>
      <c r="CJ575" s="15"/>
      <c r="CK575" s="19"/>
      <c r="CL575" s="15"/>
      <c r="CM575" s="19"/>
      <c r="CN575" s="15"/>
      <c r="CO575" s="19"/>
      <c r="CP575" s="15"/>
      <c r="CQ575" s="15"/>
      <c r="CR575" s="15"/>
      <c r="CS575" s="19"/>
      <c r="CT575" s="15"/>
      <c r="CU575" s="19"/>
      <c r="CV575" s="15"/>
      <c r="CW575" s="19"/>
      <c r="CX575" s="15"/>
      <c r="CY575" s="19"/>
      <c r="CZ575" s="15"/>
      <c r="DA575" s="16" t="s">
        <v>197</v>
      </c>
      <c r="DB575" s="17" t="s">
        <v>228</v>
      </c>
      <c r="DC575" s="16"/>
      <c r="DD575" s="17" t="s">
        <v>198</v>
      </c>
      <c r="DE575" s="18">
        <v>45693.68854166667</v>
      </c>
      <c r="DF575" s="17" t="s">
        <v>198</v>
      </c>
      <c r="DG575" s="18">
        <v>45693.68854166667</v>
      </c>
      <c r="DH575" s="13" t="s">
        <v>205</v>
      </c>
      <c r="DI575" s="14" t="s">
        <v>179</v>
      </c>
      <c r="DJ575" s="14" t="s">
        <v>13359</v>
      </c>
      <c r="DK575" s="14" t="s">
        <v>179</v>
      </c>
      <c r="DL575" s="14" t="s">
        <v>13360</v>
      </c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6" t="s">
        <v>197</v>
      </c>
      <c r="ED575" s="17" t="s">
        <v>198</v>
      </c>
      <c r="EE575" s="18">
        <v>45707.396145833336</v>
      </c>
      <c r="EF575" s="13" t="s">
        <v>209</v>
      </c>
      <c r="EG575" s="14" t="s">
        <v>179</v>
      </c>
      <c r="EH575" s="14" t="s">
        <v>13361</v>
      </c>
      <c r="EI575" s="14" t="s">
        <v>179</v>
      </c>
      <c r="EJ575" s="14" t="s">
        <v>13362</v>
      </c>
      <c r="EK575" s="15"/>
      <c r="EL575" s="15"/>
      <c r="EM575" s="15"/>
      <c r="EN575" s="15"/>
      <c r="EO575" s="15"/>
      <c r="EP575" s="15"/>
      <c r="EQ575" s="15"/>
      <c r="ER575" s="15"/>
      <c r="ES575" s="15"/>
      <c r="ET575" s="15"/>
      <c r="EU575" s="15"/>
      <c r="EV575" s="15"/>
      <c r="EW575" s="15"/>
      <c r="EX575" s="15"/>
      <c r="EY575" s="15"/>
      <c r="EZ575" s="15"/>
      <c r="FA575" s="15"/>
      <c r="FB575" s="15"/>
      <c r="FC575" s="16" t="s">
        <v>197</v>
      </c>
      <c r="FD575" s="17" t="s">
        <v>198</v>
      </c>
      <c r="FE575" s="18">
        <v>45723.285625</v>
      </c>
      <c r="FF575" s="19"/>
      <c r="FG575" s="19"/>
      <c r="FH575" s="21" t="s">
        <v>197</v>
      </c>
      <c r="FI575" s="17" t="s">
        <v>214</v>
      </c>
      <c r="FJ575" s="18">
        <v>45723.285625</v>
      </c>
      <c r="FK575" s="14" t="s">
        <v>13361</v>
      </c>
      <c r="FL575" s="14" t="s">
        <v>13363</v>
      </c>
      <c r="FM575" s="14" t="s">
        <v>13364</v>
      </c>
      <c r="FN575" s="19"/>
      <c r="FO575" s="19"/>
      <c r="FP575" s="19" t="str">
        <f t="shared" si="1"/>
        <v>Base de Dados_Images/PIT20022.Imagem do Equipamento-.191227.jpg</v>
      </c>
      <c r="FQ575" s="19"/>
      <c r="FR575" s="19"/>
    </row>
    <row r="576" ht="15.75" customHeight="1">
      <c r="A576" s="12" t="s">
        <v>174</v>
      </c>
      <c r="B576" s="12" t="s">
        <v>13322</v>
      </c>
      <c r="C576" s="24" t="s">
        <v>375</v>
      </c>
      <c r="D576" s="22" t="s">
        <v>13365</v>
      </c>
      <c r="E576" s="22" t="s">
        <v>13366</v>
      </c>
      <c r="F576" s="13" t="s">
        <v>178</v>
      </c>
      <c r="G576" s="14" t="s">
        <v>179</v>
      </c>
      <c r="H576" s="14" t="s">
        <v>13367</v>
      </c>
      <c r="I576" s="14" t="s">
        <v>179</v>
      </c>
      <c r="J576" s="14" t="s">
        <v>13368</v>
      </c>
      <c r="K576" s="14" t="s">
        <v>179</v>
      </c>
      <c r="L576" s="14" t="s">
        <v>13369</v>
      </c>
      <c r="M576" s="14" t="s">
        <v>179</v>
      </c>
      <c r="N576" s="14" t="s">
        <v>13370</v>
      </c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6" t="s">
        <v>197</v>
      </c>
      <c r="BP576" s="17" t="s">
        <v>198</v>
      </c>
      <c r="BQ576" s="18">
        <v>45679.64474537037</v>
      </c>
      <c r="BR576" s="17" t="s">
        <v>198</v>
      </c>
      <c r="BS576" s="18">
        <v>45679.64481481481</v>
      </c>
      <c r="BT576" s="17" t="s">
        <v>198</v>
      </c>
      <c r="BU576" s="18">
        <v>45679.64481481481</v>
      </c>
      <c r="BV576" s="13" t="s">
        <v>199</v>
      </c>
      <c r="BW576" s="14" t="s">
        <v>179</v>
      </c>
      <c r="BX576" s="14" t="s">
        <v>13371</v>
      </c>
      <c r="BY576" s="14" t="s">
        <v>179</v>
      </c>
      <c r="BZ576" s="14" t="s">
        <v>13371</v>
      </c>
      <c r="CA576" s="14" t="s">
        <v>179</v>
      </c>
      <c r="CB576" s="14" t="s">
        <v>13372</v>
      </c>
      <c r="CC576" s="15"/>
      <c r="CD576" s="15"/>
      <c r="CE576" s="15"/>
      <c r="CF576" s="15"/>
      <c r="CG576" s="19"/>
      <c r="CH576" s="15"/>
      <c r="CI576" s="19"/>
      <c r="CJ576" s="15"/>
      <c r="CK576" s="19"/>
      <c r="CL576" s="15"/>
      <c r="CM576" s="19"/>
      <c r="CN576" s="15"/>
      <c r="CO576" s="19"/>
      <c r="CP576" s="15"/>
      <c r="CQ576" s="15"/>
      <c r="CR576" s="15"/>
      <c r="CS576" s="19"/>
      <c r="CT576" s="15"/>
      <c r="CU576" s="19"/>
      <c r="CV576" s="15"/>
      <c r="CW576" s="19"/>
      <c r="CX576" s="15"/>
      <c r="CY576" s="19"/>
      <c r="CZ576" s="15"/>
      <c r="DA576" s="16" t="s">
        <v>197</v>
      </c>
      <c r="DB576" s="17" t="s">
        <v>228</v>
      </c>
      <c r="DC576" s="16"/>
      <c r="DD576" s="17" t="s">
        <v>198</v>
      </c>
      <c r="DE576" s="18">
        <v>45693.68813657408</v>
      </c>
      <c r="DF576" s="17" t="s">
        <v>198</v>
      </c>
      <c r="DG576" s="18">
        <v>45693.68813657408</v>
      </c>
      <c r="DH576" s="13" t="s">
        <v>205</v>
      </c>
      <c r="DI576" s="14" t="s">
        <v>179</v>
      </c>
      <c r="DJ576" s="14" t="s">
        <v>13373</v>
      </c>
      <c r="DK576" s="14" t="s">
        <v>179</v>
      </c>
      <c r="DL576" s="14" t="s">
        <v>13374</v>
      </c>
      <c r="DM576" s="15"/>
      <c r="DN576" s="15"/>
      <c r="DO576" s="15"/>
      <c r="DP576" s="15"/>
      <c r="DQ576" s="15"/>
      <c r="DR576" s="15"/>
      <c r="DS576" s="15"/>
      <c r="DT576" s="15"/>
      <c r="DU576" s="15"/>
      <c r="DV576" s="15"/>
      <c r="DW576" s="15"/>
      <c r="DX576" s="15"/>
      <c r="DY576" s="15"/>
      <c r="DZ576" s="15"/>
      <c r="EA576" s="15"/>
      <c r="EB576" s="15"/>
      <c r="EC576" s="16" t="s">
        <v>197</v>
      </c>
      <c r="ED576" s="17" t="s">
        <v>198</v>
      </c>
      <c r="EE576" s="18">
        <v>45708.34840277778</v>
      </c>
      <c r="EF576" s="13" t="s">
        <v>209</v>
      </c>
      <c r="EG576" s="14" t="s">
        <v>179</v>
      </c>
      <c r="EH576" s="14" t="s">
        <v>13375</v>
      </c>
      <c r="EI576" s="14" t="s">
        <v>179</v>
      </c>
      <c r="EJ576" s="14" t="s">
        <v>13375</v>
      </c>
      <c r="EK576" s="15"/>
      <c r="EL576" s="15"/>
      <c r="EM576" s="15"/>
      <c r="EN576" s="15"/>
      <c r="EO576" s="15"/>
      <c r="EP576" s="15"/>
      <c r="EQ576" s="15"/>
      <c r="ER576" s="15"/>
      <c r="ES576" s="15"/>
      <c r="ET576" s="15"/>
      <c r="EU576" s="15"/>
      <c r="EV576" s="15"/>
      <c r="EW576" s="15"/>
      <c r="EX576" s="15"/>
      <c r="EY576" s="15"/>
      <c r="EZ576" s="15"/>
      <c r="FA576" s="15"/>
      <c r="FB576" s="15"/>
      <c r="FC576" s="16" t="s">
        <v>197</v>
      </c>
      <c r="FD576" s="17" t="s">
        <v>198</v>
      </c>
      <c r="FE576" s="18">
        <v>45723.285787037035</v>
      </c>
      <c r="FF576" s="19"/>
      <c r="FG576" s="19"/>
      <c r="FH576" s="21" t="s">
        <v>197</v>
      </c>
      <c r="FI576" s="17" t="s">
        <v>214</v>
      </c>
      <c r="FJ576" s="18">
        <v>45723.285787037035</v>
      </c>
      <c r="FK576" s="14" t="s">
        <v>13375</v>
      </c>
      <c r="FL576" s="14" t="s">
        <v>13376</v>
      </c>
      <c r="FM576" s="14" t="s">
        <v>13377</v>
      </c>
      <c r="FN576" s="19"/>
      <c r="FO576" s="19"/>
      <c r="FP576" s="19" t="str">
        <f t="shared" si="1"/>
        <v>Base de Dados_Images/PIT20023.Imagem do Equipamento-.191142.jpg</v>
      </c>
      <c r="FQ576" s="19"/>
      <c r="FR576" s="19"/>
    </row>
    <row r="577" ht="15.75" customHeight="1">
      <c r="A577" s="12" t="s">
        <v>174</v>
      </c>
      <c r="B577" s="12" t="s">
        <v>13322</v>
      </c>
      <c r="C577" s="24" t="s">
        <v>375</v>
      </c>
      <c r="D577" s="22" t="s">
        <v>13378</v>
      </c>
      <c r="E577" s="22" t="s">
        <v>13379</v>
      </c>
      <c r="F577" s="13" t="s">
        <v>178</v>
      </c>
      <c r="G577" s="14" t="s">
        <v>179</v>
      </c>
      <c r="H577" s="14" t="s">
        <v>13380</v>
      </c>
      <c r="I577" s="14" t="s">
        <v>179</v>
      </c>
      <c r="J577" s="14" t="s">
        <v>13381</v>
      </c>
      <c r="K577" s="14" t="s">
        <v>179</v>
      </c>
      <c r="L577" s="14" t="s">
        <v>13382</v>
      </c>
      <c r="M577" s="14" t="s">
        <v>179</v>
      </c>
      <c r="N577" s="14" t="s">
        <v>13383</v>
      </c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6" t="s">
        <v>197</v>
      </c>
      <c r="BP577" s="17" t="s">
        <v>198</v>
      </c>
      <c r="BQ577" s="18">
        <v>45679.64534722222</v>
      </c>
      <c r="BR577" s="17" t="s">
        <v>198</v>
      </c>
      <c r="BS577" s="18">
        <v>45679.64540509259</v>
      </c>
      <c r="BT577" s="17" t="s">
        <v>198</v>
      </c>
      <c r="BU577" s="18">
        <v>45679.64540509259</v>
      </c>
      <c r="BV577" s="13" t="s">
        <v>199</v>
      </c>
      <c r="BW577" s="14" t="s">
        <v>179</v>
      </c>
      <c r="BX577" s="14" t="s">
        <v>13384</v>
      </c>
      <c r="BY577" s="14" t="s">
        <v>179</v>
      </c>
      <c r="BZ577" s="14" t="s">
        <v>13385</v>
      </c>
      <c r="CA577" s="14" t="s">
        <v>179</v>
      </c>
      <c r="CB577" s="14" t="s">
        <v>13386</v>
      </c>
      <c r="CC577" s="15"/>
      <c r="CD577" s="15"/>
      <c r="CE577" s="15"/>
      <c r="CF577" s="15"/>
      <c r="CG577" s="19"/>
      <c r="CH577" s="15"/>
      <c r="CI577" s="19"/>
      <c r="CJ577" s="15"/>
      <c r="CK577" s="19"/>
      <c r="CL577" s="15"/>
      <c r="CM577" s="19"/>
      <c r="CN577" s="15"/>
      <c r="CO577" s="19"/>
      <c r="CP577" s="15"/>
      <c r="CQ577" s="15"/>
      <c r="CR577" s="15"/>
      <c r="CS577" s="19"/>
      <c r="CT577" s="15"/>
      <c r="CU577" s="19"/>
      <c r="CV577" s="15"/>
      <c r="CW577" s="19"/>
      <c r="CX577" s="15"/>
      <c r="CY577" s="19"/>
      <c r="CZ577" s="15"/>
      <c r="DA577" s="16" t="s">
        <v>197</v>
      </c>
      <c r="DB577" s="17" t="s">
        <v>228</v>
      </c>
      <c r="DC577" s="16"/>
      <c r="DD577" s="17" t="s">
        <v>198</v>
      </c>
      <c r="DE577" s="18">
        <v>45693.68803240741</v>
      </c>
      <c r="DF577" s="17" t="s">
        <v>198</v>
      </c>
      <c r="DG577" s="18">
        <v>45693.68803240741</v>
      </c>
      <c r="DH577" s="13" t="s">
        <v>205</v>
      </c>
      <c r="DI577" s="14" t="s">
        <v>179</v>
      </c>
      <c r="DJ577" s="14" t="s">
        <v>13387</v>
      </c>
      <c r="DK577" s="14" t="s">
        <v>179</v>
      </c>
      <c r="DL577" s="14" t="s">
        <v>13388</v>
      </c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6" t="s">
        <v>197</v>
      </c>
      <c r="ED577" s="17" t="s">
        <v>198</v>
      </c>
      <c r="EE577" s="18">
        <v>45708.34851851852</v>
      </c>
      <c r="EF577" s="13" t="s">
        <v>209</v>
      </c>
      <c r="EG577" s="14" t="s">
        <v>179</v>
      </c>
      <c r="EH577" s="14" t="s">
        <v>13389</v>
      </c>
      <c r="EI577" s="14" t="s">
        <v>179</v>
      </c>
      <c r="EJ577" s="14" t="s">
        <v>13389</v>
      </c>
      <c r="EK577" s="15"/>
      <c r="EL577" s="15"/>
      <c r="EM577" s="15"/>
      <c r="EN577" s="15"/>
      <c r="EO577" s="15"/>
      <c r="EP577" s="15"/>
      <c r="EQ577" s="15"/>
      <c r="ER577" s="15"/>
      <c r="ES577" s="15"/>
      <c r="ET577" s="15"/>
      <c r="EU577" s="15"/>
      <c r="EV577" s="15"/>
      <c r="EW577" s="15"/>
      <c r="EX577" s="15"/>
      <c r="EY577" s="15"/>
      <c r="EZ577" s="15"/>
      <c r="FA577" s="15"/>
      <c r="FB577" s="15"/>
      <c r="FC577" s="16" t="s">
        <v>197</v>
      </c>
      <c r="FD577" s="17" t="s">
        <v>198</v>
      </c>
      <c r="FE577" s="18">
        <v>45723.28571759259</v>
      </c>
      <c r="FF577" s="19"/>
      <c r="FG577" s="19"/>
      <c r="FH577" s="21" t="s">
        <v>197</v>
      </c>
      <c r="FI577" s="17" t="s">
        <v>214</v>
      </c>
      <c r="FJ577" s="18">
        <v>45723.28571759259</v>
      </c>
      <c r="FK577" s="14" t="s">
        <v>13389</v>
      </c>
      <c r="FL577" s="14" t="s">
        <v>13390</v>
      </c>
      <c r="FM577" s="14" t="s">
        <v>13391</v>
      </c>
      <c r="FN577" s="19"/>
      <c r="FO577" s="19"/>
      <c r="FP577" s="19" t="str">
        <f t="shared" si="1"/>
        <v>Base de Dados_Images/PIT20024.Imagem do Equipamento-.191207.jpg</v>
      </c>
      <c r="FQ577" s="19"/>
      <c r="FR577" s="19"/>
    </row>
    <row r="578" ht="15.75" customHeight="1">
      <c r="A578" s="12" t="s">
        <v>174</v>
      </c>
      <c r="B578" s="12" t="s">
        <v>13322</v>
      </c>
      <c r="C578" s="24" t="s">
        <v>375</v>
      </c>
      <c r="D578" s="22" t="s">
        <v>13392</v>
      </c>
      <c r="E578" s="22" t="s">
        <v>13393</v>
      </c>
      <c r="F578" s="13" t="s">
        <v>178</v>
      </c>
      <c r="G578" s="14" t="s">
        <v>179</v>
      </c>
      <c r="H578" s="14" t="s">
        <v>13394</v>
      </c>
      <c r="I578" s="14" t="s">
        <v>179</v>
      </c>
      <c r="J578" s="14" t="s">
        <v>13395</v>
      </c>
      <c r="K578" s="14" t="s">
        <v>179</v>
      </c>
      <c r="L578" s="14" t="s">
        <v>13396</v>
      </c>
      <c r="M578" s="14" t="s">
        <v>179</v>
      </c>
      <c r="N578" s="14" t="s">
        <v>13397</v>
      </c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6" t="s">
        <v>197</v>
      </c>
      <c r="BP578" s="17" t="s">
        <v>198</v>
      </c>
      <c r="BQ578" s="18">
        <v>45686.44863425926</v>
      </c>
      <c r="BR578" s="17" t="s">
        <v>198</v>
      </c>
      <c r="BS578" s="18">
        <v>45686.44872685185</v>
      </c>
      <c r="BT578" s="17" t="s">
        <v>198</v>
      </c>
      <c r="BU578" s="18">
        <v>45686.44872685185</v>
      </c>
      <c r="BV578" s="13" t="s">
        <v>199</v>
      </c>
      <c r="BW578" s="14" t="s">
        <v>179</v>
      </c>
      <c r="BX578" s="14" t="s">
        <v>13398</v>
      </c>
      <c r="BY578" s="14" t="s">
        <v>179</v>
      </c>
      <c r="BZ578" s="14" t="s">
        <v>13399</v>
      </c>
      <c r="CA578" s="14" t="s">
        <v>179</v>
      </c>
      <c r="CB578" s="14" t="s">
        <v>13400</v>
      </c>
      <c r="CC578" s="15"/>
      <c r="CD578" s="15"/>
      <c r="CE578" s="15"/>
      <c r="CF578" s="15"/>
      <c r="CG578" s="19"/>
      <c r="CH578" s="15"/>
      <c r="CI578" s="19"/>
      <c r="CJ578" s="15"/>
      <c r="CK578" s="19"/>
      <c r="CL578" s="15"/>
      <c r="CM578" s="19"/>
      <c r="CN578" s="15"/>
      <c r="CO578" s="19"/>
      <c r="CP578" s="15"/>
      <c r="CQ578" s="15"/>
      <c r="CR578" s="15"/>
      <c r="CS578" s="19"/>
      <c r="CT578" s="15"/>
      <c r="CU578" s="19"/>
      <c r="CV578" s="15"/>
      <c r="CW578" s="19"/>
      <c r="CX578" s="15"/>
      <c r="CY578" s="19"/>
      <c r="CZ578" s="15"/>
      <c r="DA578" s="16" t="s">
        <v>197</v>
      </c>
      <c r="DB578" s="17" t="s">
        <v>228</v>
      </c>
      <c r="DC578" s="16"/>
      <c r="DD578" s="17" t="s">
        <v>198</v>
      </c>
      <c r="DE578" s="18">
        <v>45693.687106481484</v>
      </c>
      <c r="DF578" s="17" t="s">
        <v>198</v>
      </c>
      <c r="DG578" s="18">
        <v>45693.687106481484</v>
      </c>
      <c r="DH578" s="13" t="s">
        <v>205</v>
      </c>
      <c r="DI578" s="14" t="s">
        <v>179</v>
      </c>
      <c r="DJ578" s="14" t="s">
        <v>13401</v>
      </c>
      <c r="DK578" s="14" t="s">
        <v>179</v>
      </c>
      <c r="DL578" s="14" t="s">
        <v>13402</v>
      </c>
      <c r="DM578" s="15"/>
      <c r="DN578" s="15"/>
      <c r="DO578" s="15"/>
      <c r="DP578" s="15"/>
      <c r="DQ578" s="15"/>
      <c r="DR578" s="15"/>
      <c r="DS578" s="15"/>
      <c r="DT578" s="15"/>
      <c r="DU578" s="15"/>
      <c r="DV578" s="15"/>
      <c r="DW578" s="15"/>
      <c r="DX578" s="15"/>
      <c r="DY578" s="15"/>
      <c r="DZ578" s="15"/>
      <c r="EA578" s="15"/>
      <c r="EB578" s="15"/>
      <c r="EC578" s="16" t="s">
        <v>197</v>
      </c>
      <c r="ED578" s="17" t="s">
        <v>198</v>
      </c>
      <c r="EE578" s="18">
        <v>45708.34861111111</v>
      </c>
      <c r="EF578" s="13" t="s">
        <v>209</v>
      </c>
      <c r="EG578" s="14" t="s">
        <v>179</v>
      </c>
      <c r="EH578" s="14" t="s">
        <v>13403</v>
      </c>
      <c r="EI578" s="14" t="s">
        <v>179</v>
      </c>
      <c r="EJ578" s="14" t="s">
        <v>13404</v>
      </c>
      <c r="EK578" s="15"/>
      <c r="EL578" s="15"/>
      <c r="EM578" s="15"/>
      <c r="EN578" s="15"/>
      <c r="EO578" s="15"/>
      <c r="EP578" s="15"/>
      <c r="EQ578" s="15"/>
      <c r="ER578" s="15"/>
      <c r="ES578" s="15"/>
      <c r="ET578" s="15"/>
      <c r="EU578" s="15"/>
      <c r="EV578" s="15"/>
      <c r="EW578" s="15"/>
      <c r="EX578" s="15"/>
      <c r="EY578" s="15"/>
      <c r="EZ578" s="15"/>
      <c r="FA578" s="15"/>
      <c r="FB578" s="15"/>
      <c r="FC578" s="16" t="s">
        <v>197</v>
      </c>
      <c r="FD578" s="17" t="s">
        <v>198</v>
      </c>
      <c r="FE578" s="18">
        <v>45723.28590277778</v>
      </c>
      <c r="FF578" s="19"/>
      <c r="FG578" s="19"/>
      <c r="FH578" s="21" t="s">
        <v>197</v>
      </c>
      <c r="FI578" s="17" t="s">
        <v>214</v>
      </c>
      <c r="FJ578" s="18">
        <v>45723.28590277778</v>
      </c>
      <c r="FK578" s="14" t="s">
        <v>13404</v>
      </c>
      <c r="FL578" s="14" t="s">
        <v>13405</v>
      </c>
      <c r="FM578" s="14" t="s">
        <v>13406</v>
      </c>
      <c r="FN578" s="19"/>
      <c r="FO578" s="19"/>
      <c r="FP578" s="19" t="str">
        <f t="shared" si="1"/>
        <v>Base de Dados_Images/PIT20025.Imagem do Equipamento-.140645.jpg</v>
      </c>
      <c r="FQ578" s="19"/>
      <c r="FR578" s="19"/>
    </row>
    <row r="579" ht="15.75" customHeight="1">
      <c r="A579" s="12" t="s">
        <v>174</v>
      </c>
      <c r="B579" s="12" t="s">
        <v>13322</v>
      </c>
      <c r="C579" s="24" t="s">
        <v>375</v>
      </c>
      <c r="D579" s="22" t="s">
        <v>13407</v>
      </c>
      <c r="E579" s="22" t="s">
        <v>13408</v>
      </c>
      <c r="F579" s="13" t="s">
        <v>178</v>
      </c>
      <c r="G579" s="14" t="s">
        <v>179</v>
      </c>
      <c r="H579" s="14" t="s">
        <v>13409</v>
      </c>
      <c r="I579" s="14" t="s">
        <v>179</v>
      </c>
      <c r="J579" s="14" t="s">
        <v>13410</v>
      </c>
      <c r="K579" s="14" t="s">
        <v>179</v>
      </c>
      <c r="L579" s="14" t="s">
        <v>13411</v>
      </c>
      <c r="M579" s="14" t="s">
        <v>179</v>
      </c>
      <c r="N579" s="14" t="s">
        <v>13412</v>
      </c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6" t="s">
        <v>197</v>
      </c>
      <c r="BP579" s="17" t="s">
        <v>198</v>
      </c>
      <c r="BQ579" s="18">
        <v>45692.591157407405</v>
      </c>
      <c r="BR579" s="17" t="s">
        <v>198</v>
      </c>
      <c r="BS579" s="18">
        <v>45692.591261574074</v>
      </c>
      <c r="BT579" s="17" t="s">
        <v>198</v>
      </c>
      <c r="BU579" s="18">
        <v>45692.591261574074</v>
      </c>
      <c r="BV579" s="13" t="s">
        <v>199</v>
      </c>
      <c r="BW579" s="14" t="s">
        <v>179</v>
      </c>
      <c r="BX579" s="14" t="s">
        <v>13413</v>
      </c>
      <c r="BY579" s="14" t="s">
        <v>179</v>
      </c>
      <c r="BZ579" s="14" t="s">
        <v>13413</v>
      </c>
      <c r="CA579" s="14" t="s">
        <v>179</v>
      </c>
      <c r="CB579" s="14" t="s">
        <v>13413</v>
      </c>
      <c r="CC579" s="15"/>
      <c r="CD579" s="15"/>
      <c r="CE579" s="15"/>
      <c r="CF579" s="15"/>
      <c r="CG579" s="19"/>
      <c r="CH579" s="15"/>
      <c r="CI579" s="19"/>
      <c r="CJ579" s="15"/>
      <c r="CK579" s="19"/>
      <c r="CL579" s="15"/>
      <c r="CM579" s="19"/>
      <c r="CN579" s="15"/>
      <c r="CO579" s="19"/>
      <c r="CP579" s="15"/>
      <c r="CQ579" s="15"/>
      <c r="CR579" s="15"/>
      <c r="CS579" s="19"/>
      <c r="CT579" s="15"/>
      <c r="CU579" s="19"/>
      <c r="CV579" s="15"/>
      <c r="CW579" s="19"/>
      <c r="CX579" s="15"/>
      <c r="CY579" s="19"/>
      <c r="CZ579" s="15"/>
      <c r="DA579" s="16" t="s">
        <v>197</v>
      </c>
      <c r="DB579" s="17" t="s">
        <v>228</v>
      </c>
      <c r="DC579" s="16"/>
      <c r="DD579" s="17" t="s">
        <v>198</v>
      </c>
      <c r="DE579" s="18">
        <v>45693.68733796296</v>
      </c>
      <c r="DF579" s="17" t="s">
        <v>198</v>
      </c>
      <c r="DG579" s="18">
        <v>45693.68733796296</v>
      </c>
      <c r="DH579" s="13" t="s">
        <v>205</v>
      </c>
      <c r="DI579" s="14" t="s">
        <v>179</v>
      </c>
      <c r="DJ579" s="14" t="s">
        <v>13414</v>
      </c>
      <c r="DK579" s="14" t="s">
        <v>179</v>
      </c>
      <c r="DL579" s="14" t="s">
        <v>13415</v>
      </c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6" t="s">
        <v>197</v>
      </c>
      <c r="ED579" s="17" t="s">
        <v>198</v>
      </c>
      <c r="EE579" s="18">
        <v>45708.34877314815</v>
      </c>
      <c r="EF579" s="13" t="s">
        <v>209</v>
      </c>
      <c r="EG579" s="14" t="s">
        <v>179</v>
      </c>
      <c r="EH579" s="14" t="s">
        <v>13416</v>
      </c>
      <c r="EI579" s="14" t="s">
        <v>179</v>
      </c>
      <c r="EJ579" s="14" t="s">
        <v>13417</v>
      </c>
      <c r="EK579" s="15"/>
      <c r="EL579" s="15"/>
      <c r="EM579" s="15"/>
      <c r="EN579" s="15"/>
      <c r="EO579" s="15"/>
      <c r="EP579" s="15"/>
      <c r="EQ579" s="15"/>
      <c r="ER579" s="15"/>
      <c r="ES579" s="15"/>
      <c r="ET579" s="15"/>
      <c r="EU579" s="15"/>
      <c r="EV579" s="15"/>
      <c r="EW579" s="15"/>
      <c r="EX579" s="15"/>
      <c r="EY579" s="15"/>
      <c r="EZ579" s="15"/>
      <c r="FA579" s="15"/>
      <c r="FB579" s="15"/>
      <c r="FC579" s="16" t="s">
        <v>197</v>
      </c>
      <c r="FD579" s="17" t="s">
        <v>198</v>
      </c>
      <c r="FE579" s="18">
        <v>45723.2859837963</v>
      </c>
      <c r="FF579" s="19"/>
      <c r="FG579" s="19"/>
      <c r="FH579" s="21" t="s">
        <v>197</v>
      </c>
      <c r="FI579" s="17" t="s">
        <v>214</v>
      </c>
      <c r="FJ579" s="18">
        <v>45723.2859837963</v>
      </c>
      <c r="FK579" s="14" t="s">
        <v>13416</v>
      </c>
      <c r="FL579" s="14" t="s">
        <v>13418</v>
      </c>
      <c r="FM579" s="14" t="s">
        <v>13419</v>
      </c>
      <c r="FN579" s="19"/>
      <c r="FO579" s="19"/>
      <c r="FP579" s="19" t="str">
        <f t="shared" si="1"/>
        <v>Base de Dados_Images/PIT20026.Imagem do Equipamento-.180041.jpg</v>
      </c>
      <c r="FQ579" s="14"/>
      <c r="FR579" s="14"/>
    </row>
    <row r="580" ht="15.75" customHeight="1">
      <c r="A580" s="12" t="s">
        <v>174</v>
      </c>
      <c r="B580" s="22" t="s">
        <v>1192</v>
      </c>
      <c r="C580" s="24" t="s">
        <v>375</v>
      </c>
      <c r="D580" s="22" t="s">
        <v>13420</v>
      </c>
      <c r="E580" s="22" t="s">
        <v>13421</v>
      </c>
      <c r="F580" s="13" t="s">
        <v>178</v>
      </c>
      <c r="G580" s="14" t="s">
        <v>179</v>
      </c>
      <c r="H580" s="14" t="s">
        <v>13422</v>
      </c>
      <c r="I580" s="14" t="s">
        <v>179</v>
      </c>
      <c r="J580" s="14" t="s">
        <v>13422</v>
      </c>
      <c r="K580" s="14" t="s">
        <v>179</v>
      </c>
      <c r="L580" s="14" t="s">
        <v>13423</v>
      </c>
      <c r="M580" s="14" t="s">
        <v>179</v>
      </c>
      <c r="N580" s="14" t="s">
        <v>13424</v>
      </c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6" t="s">
        <v>197</v>
      </c>
      <c r="BP580" s="17" t="s">
        <v>198</v>
      </c>
      <c r="BQ580" s="18">
        <v>45694.46097222222</v>
      </c>
      <c r="BR580" s="17" t="s">
        <v>198</v>
      </c>
      <c r="BS580" s="18">
        <v>45694.46107638889</v>
      </c>
      <c r="BT580" s="17" t="s">
        <v>198</v>
      </c>
      <c r="BU580" s="18">
        <v>45694.46107638889</v>
      </c>
      <c r="BV580" s="13" t="s">
        <v>199</v>
      </c>
      <c r="BW580" s="14" t="s">
        <v>179</v>
      </c>
      <c r="BX580" s="14" t="s">
        <v>13425</v>
      </c>
      <c r="BY580" s="14" t="s">
        <v>179</v>
      </c>
      <c r="BZ580" s="14" t="s">
        <v>13426</v>
      </c>
      <c r="CA580" s="14" t="s">
        <v>179</v>
      </c>
      <c r="CB580" s="14" t="s">
        <v>13427</v>
      </c>
      <c r="CC580" s="15"/>
      <c r="CD580" s="15"/>
      <c r="CE580" s="15"/>
      <c r="CF580" s="15"/>
      <c r="CG580" s="19"/>
      <c r="CH580" s="15"/>
      <c r="CI580" s="19"/>
      <c r="CJ580" s="15"/>
      <c r="CK580" s="19"/>
      <c r="CL580" s="15"/>
      <c r="CM580" s="19"/>
      <c r="CN580" s="15"/>
      <c r="CO580" s="19"/>
      <c r="CP580" s="15"/>
      <c r="CQ580" s="15"/>
      <c r="CR580" s="15"/>
      <c r="CS580" s="19"/>
      <c r="CT580" s="15"/>
      <c r="CU580" s="19"/>
      <c r="CV580" s="15"/>
      <c r="CW580" s="19"/>
      <c r="CX580" s="15"/>
      <c r="CY580" s="19"/>
      <c r="CZ580" s="15"/>
      <c r="DA580" s="16" t="s">
        <v>197</v>
      </c>
      <c r="DB580" s="17" t="s">
        <v>228</v>
      </c>
      <c r="DC580" s="16"/>
      <c r="DD580" s="17" t="s">
        <v>198</v>
      </c>
      <c r="DE580" s="18">
        <v>45694.461168981485</v>
      </c>
      <c r="DF580" s="17" t="s">
        <v>198</v>
      </c>
      <c r="DG580" s="18">
        <v>45694.461168981485</v>
      </c>
      <c r="DH580" s="13" t="s">
        <v>205</v>
      </c>
      <c r="DI580" s="14" t="s">
        <v>179</v>
      </c>
      <c r="DJ580" s="14" t="s">
        <v>13428</v>
      </c>
      <c r="DK580" s="14" t="s">
        <v>179</v>
      </c>
      <c r="DL580" s="14" t="s">
        <v>13429</v>
      </c>
      <c r="DM580" s="15"/>
      <c r="DN580" s="15"/>
      <c r="DO580" s="15"/>
      <c r="DP580" s="15"/>
      <c r="DQ580" s="15"/>
      <c r="DR580" s="15"/>
      <c r="DS580" s="15"/>
      <c r="DT580" s="15"/>
      <c r="DU580" s="15"/>
      <c r="DV580" s="15"/>
      <c r="DW580" s="15"/>
      <c r="DX580" s="15"/>
      <c r="DY580" s="15"/>
      <c r="DZ580" s="15"/>
      <c r="EA580" s="15"/>
      <c r="EB580" s="15"/>
      <c r="EC580" s="16" t="s">
        <v>197</v>
      </c>
      <c r="ED580" s="17" t="s">
        <v>198</v>
      </c>
      <c r="EE580" s="18">
        <v>45708.351793981485</v>
      </c>
      <c r="EF580" s="13" t="s">
        <v>209</v>
      </c>
      <c r="EG580" s="14" t="s">
        <v>179</v>
      </c>
      <c r="EH580" s="14" t="s">
        <v>13430</v>
      </c>
      <c r="EI580" s="14" t="s">
        <v>179</v>
      </c>
      <c r="EJ580" s="14" t="s">
        <v>13430</v>
      </c>
      <c r="EK580" s="15"/>
      <c r="EL580" s="15"/>
      <c r="EM580" s="15"/>
      <c r="EN580" s="15"/>
      <c r="EO580" s="15"/>
      <c r="EP580" s="15"/>
      <c r="EQ580" s="15"/>
      <c r="ER580" s="15"/>
      <c r="ES580" s="15"/>
      <c r="ET580" s="15"/>
      <c r="EU580" s="15"/>
      <c r="EV580" s="15"/>
      <c r="EW580" s="15"/>
      <c r="EX580" s="15"/>
      <c r="EY580" s="15"/>
      <c r="EZ580" s="15"/>
      <c r="FA580" s="15"/>
      <c r="FB580" s="15"/>
      <c r="FC580" s="16" t="s">
        <v>197</v>
      </c>
      <c r="FD580" s="17" t="s">
        <v>198</v>
      </c>
      <c r="FE580" s="18">
        <v>45723.28089120371</v>
      </c>
      <c r="FF580" s="19"/>
      <c r="FG580" s="19"/>
      <c r="FH580" s="21" t="s">
        <v>197</v>
      </c>
      <c r="FI580" s="17" t="s">
        <v>214</v>
      </c>
      <c r="FJ580" s="18">
        <v>45723.28089120371</v>
      </c>
      <c r="FK580" s="14" t="s">
        <v>13430</v>
      </c>
      <c r="FL580" s="14" t="s">
        <v>13431</v>
      </c>
      <c r="FM580" s="14" t="s">
        <v>13432</v>
      </c>
      <c r="FN580" s="19"/>
      <c r="FO580" s="19"/>
      <c r="FP580" s="19" t="str">
        <f t="shared" si="1"/>
        <v>Base de Dados_Images/PIT20038.Imagem do Equipamento-.140346.jpg</v>
      </c>
      <c r="FQ580" s="19"/>
      <c r="FR580" s="19"/>
    </row>
    <row r="581" ht="15.75" customHeight="1">
      <c r="A581" s="12" t="s">
        <v>174</v>
      </c>
      <c r="B581" s="22" t="s">
        <v>1192</v>
      </c>
      <c r="C581" s="24" t="s">
        <v>375</v>
      </c>
      <c r="D581" s="22" t="s">
        <v>13433</v>
      </c>
      <c r="E581" s="22" t="s">
        <v>13434</v>
      </c>
      <c r="F581" s="13" t="s">
        <v>178</v>
      </c>
      <c r="G581" s="14" t="s">
        <v>179</v>
      </c>
      <c r="H581" s="14" t="s">
        <v>13435</v>
      </c>
      <c r="I581" s="14" t="s">
        <v>179</v>
      </c>
      <c r="J581" s="14" t="s">
        <v>13436</v>
      </c>
      <c r="K581" s="14" t="s">
        <v>179</v>
      </c>
      <c r="L581" s="14" t="s">
        <v>13437</v>
      </c>
      <c r="M581" s="14" t="s">
        <v>179</v>
      </c>
      <c r="N581" s="14" t="s">
        <v>13438</v>
      </c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6" t="s">
        <v>197</v>
      </c>
      <c r="BP581" s="17" t="s">
        <v>198</v>
      </c>
      <c r="BQ581" s="18">
        <v>45679.63738425926</v>
      </c>
      <c r="BR581" s="17" t="s">
        <v>198</v>
      </c>
      <c r="BS581" s="18">
        <v>45679.637453703705</v>
      </c>
      <c r="BT581" s="17" t="s">
        <v>198</v>
      </c>
      <c r="BU581" s="18">
        <v>45679.637453703705</v>
      </c>
      <c r="BV581" s="13" t="s">
        <v>199</v>
      </c>
      <c r="BW581" s="14" t="s">
        <v>179</v>
      </c>
      <c r="BX581" s="14" t="s">
        <v>13439</v>
      </c>
      <c r="BY581" s="14" t="s">
        <v>179</v>
      </c>
      <c r="BZ581" s="14" t="s">
        <v>13440</v>
      </c>
      <c r="CA581" s="14" t="s">
        <v>179</v>
      </c>
      <c r="CB581" s="14" t="s">
        <v>13441</v>
      </c>
      <c r="CC581" s="15"/>
      <c r="CD581" s="15"/>
      <c r="CE581" s="15"/>
      <c r="CF581" s="15"/>
      <c r="CG581" s="19"/>
      <c r="CH581" s="15"/>
      <c r="CI581" s="19"/>
      <c r="CJ581" s="15"/>
      <c r="CK581" s="19"/>
      <c r="CL581" s="15"/>
      <c r="CM581" s="19"/>
      <c r="CN581" s="15"/>
      <c r="CO581" s="19"/>
      <c r="CP581" s="15"/>
      <c r="CQ581" s="15"/>
      <c r="CR581" s="15"/>
      <c r="CS581" s="19"/>
      <c r="CT581" s="15"/>
      <c r="CU581" s="19"/>
      <c r="CV581" s="15"/>
      <c r="CW581" s="19"/>
      <c r="CX581" s="15"/>
      <c r="CY581" s="19"/>
      <c r="CZ581" s="15"/>
      <c r="DA581" s="16" t="s">
        <v>197</v>
      </c>
      <c r="DB581" s="17" t="s">
        <v>228</v>
      </c>
      <c r="DC581" s="16"/>
      <c r="DD581" s="17" t="s">
        <v>198</v>
      </c>
      <c r="DE581" s="18">
        <v>45694.46393518519</v>
      </c>
      <c r="DF581" s="17" t="s">
        <v>198</v>
      </c>
      <c r="DG581" s="18">
        <v>45694.46393518519</v>
      </c>
      <c r="DH581" s="13" t="s">
        <v>205</v>
      </c>
      <c r="DI581" s="14" t="s">
        <v>179</v>
      </c>
      <c r="DJ581" s="14" t="s">
        <v>13442</v>
      </c>
      <c r="DK581" s="14" t="s">
        <v>179</v>
      </c>
      <c r="DL581" s="14" t="s">
        <v>13443</v>
      </c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6" t="s">
        <v>197</v>
      </c>
      <c r="ED581" s="17" t="s">
        <v>198</v>
      </c>
      <c r="EE581" s="18">
        <v>45708.352951388886</v>
      </c>
      <c r="EF581" s="13" t="s">
        <v>209</v>
      </c>
      <c r="EG581" s="14" t="s">
        <v>179</v>
      </c>
      <c r="EH581" s="14" t="s">
        <v>13444</v>
      </c>
      <c r="EI581" s="14" t="s">
        <v>179</v>
      </c>
      <c r="EJ581" s="14" t="s">
        <v>13445</v>
      </c>
      <c r="EK581" s="15"/>
      <c r="EL581" s="15"/>
      <c r="EM581" s="15"/>
      <c r="EN581" s="15"/>
      <c r="EO581" s="15"/>
      <c r="EP581" s="15"/>
      <c r="EQ581" s="15"/>
      <c r="ER581" s="15"/>
      <c r="ES581" s="15"/>
      <c r="ET581" s="15"/>
      <c r="EU581" s="15"/>
      <c r="EV581" s="15"/>
      <c r="EW581" s="15"/>
      <c r="EX581" s="15"/>
      <c r="EY581" s="15"/>
      <c r="EZ581" s="15"/>
      <c r="FA581" s="15"/>
      <c r="FB581" s="15"/>
      <c r="FC581" s="16" t="s">
        <v>197</v>
      </c>
      <c r="FD581" s="17" t="s">
        <v>198</v>
      </c>
      <c r="FE581" s="18">
        <v>45723.2809837963</v>
      </c>
      <c r="FF581" s="19"/>
      <c r="FG581" s="19"/>
      <c r="FH581" s="21" t="s">
        <v>197</v>
      </c>
      <c r="FI581" s="17" t="s">
        <v>214</v>
      </c>
      <c r="FJ581" s="18">
        <v>45723.2809837963</v>
      </c>
      <c r="FK581" s="14" t="s">
        <v>13444</v>
      </c>
      <c r="FL581" s="14" t="s">
        <v>13446</v>
      </c>
      <c r="FM581" s="14" t="s">
        <v>13447</v>
      </c>
      <c r="FN581" s="19"/>
      <c r="FO581" s="19"/>
      <c r="FP581" s="19" t="str">
        <f t="shared" si="1"/>
        <v>Base de Dados_Images/PIT20039.Imagem do Equipamento-.191019.jpg</v>
      </c>
      <c r="FQ581" s="19"/>
      <c r="FR581" s="19"/>
    </row>
    <row r="582" ht="15.75" customHeight="1">
      <c r="A582" s="12" t="s">
        <v>174</v>
      </c>
      <c r="B582" s="22" t="s">
        <v>1192</v>
      </c>
      <c r="C582" s="24" t="s">
        <v>375</v>
      </c>
      <c r="D582" s="22" t="s">
        <v>13448</v>
      </c>
      <c r="E582" s="22" t="s">
        <v>13449</v>
      </c>
      <c r="F582" s="13" t="s">
        <v>178</v>
      </c>
      <c r="G582" s="14" t="s">
        <v>179</v>
      </c>
      <c r="H582" s="14" t="s">
        <v>13450</v>
      </c>
      <c r="I582" s="14" t="s">
        <v>179</v>
      </c>
      <c r="J582" s="14" t="s">
        <v>13451</v>
      </c>
      <c r="K582" s="14" t="s">
        <v>179</v>
      </c>
      <c r="L582" s="14" t="s">
        <v>13452</v>
      </c>
      <c r="M582" s="14" t="s">
        <v>179</v>
      </c>
      <c r="N582" s="14" t="s">
        <v>13453</v>
      </c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6" t="s">
        <v>197</v>
      </c>
      <c r="BP582" s="17" t="s">
        <v>198</v>
      </c>
      <c r="BQ582" s="18">
        <v>45679.638090277775</v>
      </c>
      <c r="BR582" s="17" t="s">
        <v>198</v>
      </c>
      <c r="BS582" s="18">
        <v>45679.6381712963</v>
      </c>
      <c r="BT582" s="17" t="s">
        <v>198</v>
      </c>
      <c r="BU582" s="18">
        <v>45679.6381712963</v>
      </c>
      <c r="BV582" s="13" t="s">
        <v>199</v>
      </c>
      <c r="BW582" s="14" t="s">
        <v>179</v>
      </c>
      <c r="BX582" s="14" t="s">
        <v>13454</v>
      </c>
      <c r="BY582" s="14" t="s">
        <v>179</v>
      </c>
      <c r="BZ582" s="14" t="s">
        <v>13455</v>
      </c>
      <c r="CA582" s="14" t="s">
        <v>179</v>
      </c>
      <c r="CB582" s="14" t="s">
        <v>13456</v>
      </c>
      <c r="CC582" s="15"/>
      <c r="CD582" s="15"/>
      <c r="CE582" s="15"/>
      <c r="CF582" s="15"/>
      <c r="CG582" s="19"/>
      <c r="CH582" s="15"/>
      <c r="CI582" s="19"/>
      <c r="CJ582" s="15"/>
      <c r="CK582" s="19"/>
      <c r="CL582" s="15"/>
      <c r="CM582" s="19"/>
      <c r="CN582" s="15"/>
      <c r="CO582" s="19"/>
      <c r="CP582" s="15"/>
      <c r="CQ582" s="15"/>
      <c r="CR582" s="15"/>
      <c r="CS582" s="19"/>
      <c r="CT582" s="15"/>
      <c r="CU582" s="19"/>
      <c r="CV582" s="15"/>
      <c r="CW582" s="19"/>
      <c r="CX582" s="15"/>
      <c r="CY582" s="19"/>
      <c r="CZ582" s="15"/>
      <c r="DA582" s="16" t="s">
        <v>197</v>
      </c>
      <c r="DB582" s="17" t="s">
        <v>228</v>
      </c>
      <c r="DC582" s="16"/>
      <c r="DD582" s="17" t="s">
        <v>198</v>
      </c>
      <c r="DE582" s="18">
        <v>45694.464421296296</v>
      </c>
      <c r="DF582" s="17" t="s">
        <v>198</v>
      </c>
      <c r="DG582" s="18">
        <v>45694.464421296296</v>
      </c>
      <c r="DH582" s="13" t="s">
        <v>205</v>
      </c>
      <c r="DI582" s="14" t="s">
        <v>179</v>
      </c>
      <c r="DJ582" s="14" t="s">
        <v>13457</v>
      </c>
      <c r="DK582" s="14" t="s">
        <v>179</v>
      </c>
      <c r="DL582" s="14" t="s">
        <v>13458</v>
      </c>
      <c r="DM582" s="15"/>
      <c r="DN582" s="15"/>
      <c r="DO582" s="15"/>
      <c r="DP582" s="15"/>
      <c r="DQ582" s="15"/>
      <c r="DR582" s="15"/>
      <c r="DS582" s="15"/>
      <c r="DT582" s="15"/>
      <c r="DU582" s="15"/>
      <c r="DV582" s="15"/>
      <c r="DW582" s="15"/>
      <c r="DX582" s="15"/>
      <c r="DY582" s="15"/>
      <c r="DZ582" s="15"/>
      <c r="EA582" s="15"/>
      <c r="EB582" s="15"/>
      <c r="EC582" s="16" t="s">
        <v>197</v>
      </c>
      <c r="ED582" s="17" t="s">
        <v>198</v>
      </c>
      <c r="EE582" s="18">
        <v>45708.35275462963</v>
      </c>
      <c r="EF582" s="13" t="s">
        <v>209</v>
      </c>
      <c r="EG582" s="14" t="s">
        <v>179</v>
      </c>
      <c r="EH582" s="14" t="s">
        <v>13459</v>
      </c>
      <c r="EI582" s="14" t="s">
        <v>179</v>
      </c>
      <c r="EJ582" s="14" t="s">
        <v>13460</v>
      </c>
      <c r="EK582" s="15"/>
      <c r="EL582" s="15"/>
      <c r="EM582" s="15"/>
      <c r="EN582" s="15"/>
      <c r="EO582" s="15"/>
      <c r="EP582" s="15"/>
      <c r="EQ582" s="15"/>
      <c r="ER582" s="15"/>
      <c r="ES582" s="15"/>
      <c r="ET582" s="15"/>
      <c r="EU582" s="15"/>
      <c r="EV582" s="15"/>
      <c r="EW582" s="15"/>
      <c r="EX582" s="15"/>
      <c r="EY582" s="15"/>
      <c r="EZ582" s="15"/>
      <c r="FA582" s="15"/>
      <c r="FB582" s="15"/>
      <c r="FC582" s="16" t="s">
        <v>197</v>
      </c>
      <c r="FD582" s="17" t="s">
        <v>198</v>
      </c>
      <c r="FE582" s="18">
        <v>45723.28104166667</v>
      </c>
      <c r="FF582" s="19"/>
      <c r="FG582" s="19"/>
      <c r="FH582" s="21" t="s">
        <v>197</v>
      </c>
      <c r="FI582" s="17" t="s">
        <v>214</v>
      </c>
      <c r="FJ582" s="18">
        <v>45723.28104166667</v>
      </c>
      <c r="FK582" s="14" t="s">
        <v>13459</v>
      </c>
      <c r="FL582" s="14" t="s">
        <v>13461</v>
      </c>
      <c r="FM582" s="14" t="s">
        <v>13462</v>
      </c>
      <c r="FN582" s="19"/>
      <c r="FO582" s="19"/>
      <c r="FP582" s="19" t="str">
        <f t="shared" si="1"/>
        <v>Base de Dados_Images/PIT20040.Imagem do Equipamento-.191044.jpg</v>
      </c>
      <c r="FQ582" s="19"/>
      <c r="FR582" s="19"/>
    </row>
    <row r="583" ht="15.75" customHeight="1">
      <c r="A583" s="12" t="s">
        <v>174</v>
      </c>
      <c r="B583" s="22" t="s">
        <v>1192</v>
      </c>
      <c r="C583" s="24" t="s">
        <v>375</v>
      </c>
      <c r="D583" s="22" t="s">
        <v>13463</v>
      </c>
      <c r="E583" s="22" t="s">
        <v>13464</v>
      </c>
      <c r="F583" s="13" t="s">
        <v>178</v>
      </c>
      <c r="G583" s="14" t="s">
        <v>179</v>
      </c>
      <c r="H583" s="14" t="s">
        <v>13465</v>
      </c>
      <c r="I583" s="14" t="s">
        <v>179</v>
      </c>
      <c r="J583" s="14" t="s">
        <v>13466</v>
      </c>
      <c r="K583" s="14" t="s">
        <v>179</v>
      </c>
      <c r="L583" s="14" t="s">
        <v>13467</v>
      </c>
      <c r="M583" s="14" t="s">
        <v>179</v>
      </c>
      <c r="N583" s="14" t="s">
        <v>13468</v>
      </c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6" t="s">
        <v>197</v>
      </c>
      <c r="BP583" s="17" t="s">
        <v>198</v>
      </c>
      <c r="BQ583" s="18">
        <v>45679.63582175926</v>
      </c>
      <c r="BR583" s="17" t="s">
        <v>198</v>
      </c>
      <c r="BS583" s="18">
        <v>45679.6358912037</v>
      </c>
      <c r="BT583" s="17" t="s">
        <v>198</v>
      </c>
      <c r="BU583" s="18">
        <v>45679.6358912037</v>
      </c>
      <c r="BV583" s="13" t="s">
        <v>199</v>
      </c>
      <c r="BW583" s="14" t="s">
        <v>179</v>
      </c>
      <c r="BX583" s="14" t="s">
        <v>13469</v>
      </c>
      <c r="BY583" s="14" t="s">
        <v>179</v>
      </c>
      <c r="BZ583" s="14" t="s">
        <v>13470</v>
      </c>
      <c r="CA583" s="14" t="s">
        <v>179</v>
      </c>
      <c r="CB583" s="14" t="s">
        <v>13471</v>
      </c>
      <c r="CC583" s="15"/>
      <c r="CD583" s="15"/>
      <c r="CE583" s="15"/>
      <c r="CF583" s="15"/>
      <c r="CG583" s="19"/>
      <c r="CH583" s="15"/>
      <c r="CI583" s="19"/>
      <c r="CJ583" s="15"/>
      <c r="CK583" s="19"/>
      <c r="CL583" s="15"/>
      <c r="CM583" s="19"/>
      <c r="CN583" s="15"/>
      <c r="CO583" s="19"/>
      <c r="CP583" s="15"/>
      <c r="CQ583" s="15"/>
      <c r="CR583" s="15"/>
      <c r="CS583" s="19"/>
      <c r="CT583" s="15"/>
      <c r="CU583" s="19"/>
      <c r="CV583" s="15"/>
      <c r="CW583" s="19"/>
      <c r="CX583" s="15"/>
      <c r="CY583" s="19"/>
      <c r="CZ583" s="15"/>
      <c r="DA583" s="16" t="s">
        <v>197</v>
      </c>
      <c r="DB583" s="17" t="s">
        <v>228</v>
      </c>
      <c r="DC583" s="16"/>
      <c r="DD583" s="17" t="s">
        <v>198</v>
      </c>
      <c r="DE583" s="18">
        <v>45694.46469907407</v>
      </c>
      <c r="DF583" s="17" t="s">
        <v>198</v>
      </c>
      <c r="DG583" s="18">
        <v>45694.46469907407</v>
      </c>
      <c r="DH583" s="13" t="s">
        <v>205</v>
      </c>
      <c r="DI583" s="14" t="s">
        <v>179</v>
      </c>
      <c r="DJ583" s="14" t="s">
        <v>13472</v>
      </c>
      <c r="DK583" s="14" t="s">
        <v>179</v>
      </c>
      <c r="DL583" s="14" t="s">
        <v>13473</v>
      </c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6" t="s">
        <v>197</v>
      </c>
      <c r="ED583" s="17" t="s">
        <v>198</v>
      </c>
      <c r="EE583" s="18">
        <v>45708.35325231482</v>
      </c>
      <c r="EF583" s="13" t="s">
        <v>209</v>
      </c>
      <c r="EG583" s="14" t="s">
        <v>179</v>
      </c>
      <c r="EH583" s="14" t="s">
        <v>13474</v>
      </c>
      <c r="EI583" s="14" t="s">
        <v>179</v>
      </c>
      <c r="EJ583" s="14" t="s">
        <v>13474</v>
      </c>
      <c r="EK583" s="15"/>
      <c r="EL583" s="15"/>
      <c r="EM583" s="15"/>
      <c r="EN583" s="15"/>
      <c r="EO583" s="15"/>
      <c r="EP583" s="15"/>
      <c r="EQ583" s="15"/>
      <c r="ER583" s="15"/>
      <c r="ES583" s="15"/>
      <c r="ET583" s="15"/>
      <c r="EU583" s="15"/>
      <c r="EV583" s="15"/>
      <c r="EW583" s="15"/>
      <c r="EX583" s="15"/>
      <c r="EY583" s="15"/>
      <c r="EZ583" s="15"/>
      <c r="FA583" s="15"/>
      <c r="FB583" s="15"/>
      <c r="FC583" s="16" t="s">
        <v>197</v>
      </c>
      <c r="FD583" s="17" t="s">
        <v>198</v>
      </c>
      <c r="FE583" s="18">
        <v>45723.28109953704</v>
      </c>
      <c r="FF583" s="19"/>
      <c r="FG583" s="19"/>
      <c r="FH583" s="21" t="s">
        <v>197</v>
      </c>
      <c r="FI583" s="17" t="s">
        <v>214</v>
      </c>
      <c r="FJ583" s="18">
        <v>45723.28109953704</v>
      </c>
      <c r="FK583" s="14" t="s">
        <v>13474</v>
      </c>
      <c r="FL583" s="14" t="s">
        <v>13475</v>
      </c>
      <c r="FM583" s="14" t="s">
        <v>13476</v>
      </c>
      <c r="FN583" s="19"/>
      <c r="FO583" s="19"/>
      <c r="FP583" s="19" t="str">
        <f t="shared" si="1"/>
        <v>Base de Dados_Images/PIT20041.Imagem do Equipamento-.190912.jpg</v>
      </c>
      <c r="FQ583" s="19"/>
      <c r="FR583" s="19"/>
    </row>
    <row r="584" ht="15.75" customHeight="1">
      <c r="A584" s="12" t="s">
        <v>174</v>
      </c>
      <c r="B584" s="22" t="s">
        <v>1192</v>
      </c>
      <c r="C584" s="24" t="s">
        <v>375</v>
      </c>
      <c r="D584" s="22" t="s">
        <v>13477</v>
      </c>
      <c r="E584" s="22" t="s">
        <v>13478</v>
      </c>
      <c r="F584" s="13" t="s">
        <v>178</v>
      </c>
      <c r="G584" s="14" t="s">
        <v>179</v>
      </c>
      <c r="H584" s="14" t="s">
        <v>13479</v>
      </c>
      <c r="I584" s="14" t="s">
        <v>179</v>
      </c>
      <c r="J584" s="14" t="s">
        <v>13480</v>
      </c>
      <c r="K584" s="14" t="s">
        <v>179</v>
      </c>
      <c r="L584" s="14" t="s">
        <v>13481</v>
      </c>
      <c r="M584" s="14" t="s">
        <v>179</v>
      </c>
      <c r="N584" s="14" t="s">
        <v>13482</v>
      </c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6" t="s">
        <v>197</v>
      </c>
      <c r="BP584" s="17" t="s">
        <v>198</v>
      </c>
      <c r="BQ584" s="18">
        <v>45679.63484953704</v>
      </c>
      <c r="BR584" s="17" t="s">
        <v>198</v>
      </c>
      <c r="BS584" s="18">
        <v>45679.63489583333</v>
      </c>
      <c r="BT584" s="17" t="s">
        <v>198</v>
      </c>
      <c r="BU584" s="18">
        <v>45679.63489583333</v>
      </c>
      <c r="BV584" s="13" t="s">
        <v>199</v>
      </c>
      <c r="BW584" s="14" t="s">
        <v>179</v>
      </c>
      <c r="BX584" s="14" t="s">
        <v>13483</v>
      </c>
      <c r="BY584" s="14" t="s">
        <v>179</v>
      </c>
      <c r="BZ584" s="14" t="s">
        <v>13484</v>
      </c>
      <c r="CA584" s="14" t="s">
        <v>179</v>
      </c>
      <c r="CB584" s="14" t="s">
        <v>13485</v>
      </c>
      <c r="CC584" s="15"/>
      <c r="CD584" s="15"/>
      <c r="CE584" s="15"/>
      <c r="CF584" s="15"/>
      <c r="CG584" s="19"/>
      <c r="CH584" s="15"/>
      <c r="CI584" s="19"/>
      <c r="CJ584" s="15"/>
      <c r="CK584" s="19"/>
      <c r="CL584" s="15"/>
      <c r="CM584" s="19"/>
      <c r="CN584" s="15"/>
      <c r="CO584" s="19"/>
      <c r="CP584" s="15"/>
      <c r="CQ584" s="15"/>
      <c r="CR584" s="15"/>
      <c r="CS584" s="19"/>
      <c r="CT584" s="15"/>
      <c r="CU584" s="19"/>
      <c r="CV584" s="15"/>
      <c r="CW584" s="19"/>
      <c r="CX584" s="15"/>
      <c r="CY584" s="19"/>
      <c r="CZ584" s="15"/>
      <c r="DA584" s="16" t="s">
        <v>197</v>
      </c>
      <c r="DB584" s="17" t="s">
        <v>228</v>
      </c>
      <c r="DC584" s="16"/>
      <c r="DD584" s="17" t="s">
        <v>198</v>
      </c>
      <c r="DE584" s="18">
        <v>45694.46864583333</v>
      </c>
      <c r="DF584" s="17" t="s">
        <v>198</v>
      </c>
      <c r="DG584" s="18">
        <v>45694.46864583333</v>
      </c>
      <c r="DH584" s="13" t="s">
        <v>205</v>
      </c>
      <c r="DI584" s="14" t="s">
        <v>179</v>
      </c>
      <c r="DJ584" s="14" t="s">
        <v>13486</v>
      </c>
      <c r="DK584" s="14" t="s">
        <v>179</v>
      </c>
      <c r="DL584" s="14" t="s">
        <v>13487</v>
      </c>
      <c r="DM584" s="15"/>
      <c r="DN584" s="15"/>
      <c r="DO584" s="15"/>
      <c r="DP584" s="15"/>
      <c r="DQ584" s="15"/>
      <c r="DR584" s="15"/>
      <c r="DS584" s="15"/>
      <c r="DT584" s="15"/>
      <c r="DU584" s="15"/>
      <c r="DV584" s="15"/>
      <c r="DW584" s="15"/>
      <c r="DX584" s="15"/>
      <c r="DY584" s="15"/>
      <c r="DZ584" s="15"/>
      <c r="EA584" s="15"/>
      <c r="EB584" s="15"/>
      <c r="EC584" s="16" t="s">
        <v>197</v>
      </c>
      <c r="ED584" s="17" t="s">
        <v>198</v>
      </c>
      <c r="EE584" s="18">
        <v>45708.35256944445</v>
      </c>
      <c r="EF584" s="13" t="s">
        <v>209</v>
      </c>
      <c r="EG584" s="14" t="s">
        <v>179</v>
      </c>
      <c r="EH584" s="14" t="s">
        <v>13488</v>
      </c>
      <c r="EI584" s="14" t="s">
        <v>179</v>
      </c>
      <c r="EJ584" s="14" t="s">
        <v>13488</v>
      </c>
      <c r="EK584" s="15"/>
      <c r="EL584" s="15"/>
      <c r="EM584" s="15"/>
      <c r="EN584" s="15"/>
      <c r="EO584" s="15"/>
      <c r="EP584" s="15"/>
      <c r="EQ584" s="15"/>
      <c r="ER584" s="15"/>
      <c r="ES584" s="15"/>
      <c r="ET584" s="15"/>
      <c r="EU584" s="15"/>
      <c r="EV584" s="15"/>
      <c r="EW584" s="15"/>
      <c r="EX584" s="15"/>
      <c r="EY584" s="15"/>
      <c r="EZ584" s="15"/>
      <c r="FA584" s="15"/>
      <c r="FB584" s="15"/>
      <c r="FC584" s="16" t="s">
        <v>197</v>
      </c>
      <c r="FD584" s="17" t="s">
        <v>198</v>
      </c>
      <c r="FE584" s="18">
        <v>45723.281168981484</v>
      </c>
      <c r="FF584" s="19"/>
      <c r="FG584" s="19"/>
      <c r="FH584" s="21" t="s">
        <v>197</v>
      </c>
      <c r="FI584" s="17" t="s">
        <v>214</v>
      </c>
      <c r="FJ584" s="18">
        <v>45723.281168981484</v>
      </c>
      <c r="FK584" s="14" t="s">
        <v>13488</v>
      </c>
      <c r="FL584" s="14" t="s">
        <v>13489</v>
      </c>
      <c r="FM584" s="14" t="s">
        <v>13490</v>
      </c>
      <c r="FN584" s="19"/>
      <c r="FO584" s="19"/>
      <c r="FP584" s="19" t="str">
        <f t="shared" si="1"/>
        <v>Base de Dados_Images/PIT20042.Imagem do Equipamento-.190850.jpg</v>
      </c>
      <c r="FQ584" s="19"/>
      <c r="FR584" s="19"/>
    </row>
    <row r="585" ht="15.75" customHeight="1">
      <c r="A585" s="12" t="s">
        <v>174</v>
      </c>
      <c r="B585" s="22" t="s">
        <v>1192</v>
      </c>
      <c r="C585" s="24" t="s">
        <v>375</v>
      </c>
      <c r="D585" s="22" t="s">
        <v>13491</v>
      </c>
      <c r="E585" s="22" t="s">
        <v>13492</v>
      </c>
      <c r="F585" s="13" t="s">
        <v>178</v>
      </c>
      <c r="G585" s="14" t="s">
        <v>179</v>
      </c>
      <c r="H585" s="14" t="s">
        <v>13493</v>
      </c>
      <c r="I585" s="14" t="s">
        <v>179</v>
      </c>
      <c r="J585" s="14" t="s">
        <v>13493</v>
      </c>
      <c r="K585" s="14" t="s">
        <v>179</v>
      </c>
      <c r="L585" s="14" t="s">
        <v>13494</v>
      </c>
      <c r="M585" s="14" t="s">
        <v>179</v>
      </c>
      <c r="N585" s="14" t="s">
        <v>13495</v>
      </c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6" t="s">
        <v>197</v>
      </c>
      <c r="BP585" s="17" t="s">
        <v>198</v>
      </c>
      <c r="BQ585" s="18">
        <v>45694.4678587963</v>
      </c>
      <c r="BR585" s="17" t="s">
        <v>198</v>
      </c>
      <c r="BS585" s="18">
        <v>45694.46796296296</v>
      </c>
      <c r="BT585" s="17" t="s">
        <v>198</v>
      </c>
      <c r="BU585" s="18">
        <v>45694.46796296296</v>
      </c>
      <c r="BV585" s="13" t="s">
        <v>199</v>
      </c>
      <c r="BW585" s="14" t="s">
        <v>179</v>
      </c>
      <c r="BX585" s="14" t="s">
        <v>13496</v>
      </c>
      <c r="BY585" s="14" t="s">
        <v>179</v>
      </c>
      <c r="BZ585" s="14" t="s">
        <v>13497</v>
      </c>
      <c r="CA585" s="14" t="s">
        <v>179</v>
      </c>
      <c r="CB585" s="14" t="s">
        <v>13498</v>
      </c>
      <c r="CC585" s="15"/>
      <c r="CD585" s="15"/>
      <c r="CE585" s="15"/>
      <c r="CF585" s="15"/>
      <c r="CG585" s="19"/>
      <c r="CH585" s="15"/>
      <c r="CI585" s="19"/>
      <c r="CJ585" s="15"/>
      <c r="CK585" s="19"/>
      <c r="CL585" s="15"/>
      <c r="CM585" s="19"/>
      <c r="CN585" s="15"/>
      <c r="CO585" s="19"/>
      <c r="CP585" s="15"/>
      <c r="CQ585" s="15"/>
      <c r="CR585" s="15"/>
      <c r="CS585" s="19"/>
      <c r="CT585" s="15"/>
      <c r="CU585" s="19"/>
      <c r="CV585" s="15"/>
      <c r="CW585" s="19"/>
      <c r="CX585" s="15"/>
      <c r="CY585" s="19"/>
      <c r="CZ585" s="15"/>
      <c r="DA585" s="16" t="s">
        <v>197</v>
      </c>
      <c r="DB585" s="17" t="s">
        <v>228</v>
      </c>
      <c r="DC585" s="16"/>
      <c r="DD585" s="17" t="s">
        <v>198</v>
      </c>
      <c r="DE585" s="18">
        <v>45694.468148148146</v>
      </c>
      <c r="DF585" s="17" t="s">
        <v>198</v>
      </c>
      <c r="DG585" s="18">
        <v>45694.468148148146</v>
      </c>
      <c r="DH585" s="13" t="s">
        <v>205</v>
      </c>
      <c r="DI585" s="14" t="s">
        <v>179</v>
      </c>
      <c r="DJ585" s="14" t="s">
        <v>13499</v>
      </c>
      <c r="DK585" s="14" t="s">
        <v>179</v>
      </c>
      <c r="DL585" s="14" t="s">
        <v>13500</v>
      </c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6" t="s">
        <v>197</v>
      </c>
      <c r="ED585" s="17" t="s">
        <v>198</v>
      </c>
      <c r="EE585" s="18">
        <v>45708.352164351854</v>
      </c>
      <c r="EF585" s="13" t="s">
        <v>209</v>
      </c>
      <c r="EG585" s="14" t="s">
        <v>179</v>
      </c>
      <c r="EH585" s="14" t="s">
        <v>13501</v>
      </c>
      <c r="EI585" s="14" t="s">
        <v>179</v>
      </c>
      <c r="EJ585" s="14" t="s">
        <v>13501</v>
      </c>
      <c r="EK585" s="15"/>
      <c r="EL585" s="15"/>
      <c r="EM585" s="15"/>
      <c r="EN585" s="15"/>
      <c r="EO585" s="15"/>
      <c r="EP585" s="15"/>
      <c r="EQ585" s="15"/>
      <c r="ER585" s="15"/>
      <c r="ES585" s="15"/>
      <c r="ET585" s="15"/>
      <c r="EU585" s="15"/>
      <c r="EV585" s="15"/>
      <c r="EW585" s="15"/>
      <c r="EX585" s="15"/>
      <c r="EY585" s="15"/>
      <c r="EZ585" s="15"/>
      <c r="FA585" s="15"/>
      <c r="FB585" s="15"/>
      <c r="FC585" s="16" t="s">
        <v>197</v>
      </c>
      <c r="FD585" s="17" t="s">
        <v>198</v>
      </c>
      <c r="FE585" s="18">
        <v>45723.28123842592</v>
      </c>
      <c r="FF585" s="19"/>
      <c r="FG585" s="19"/>
      <c r="FH585" s="21" t="s">
        <v>197</v>
      </c>
      <c r="FI585" s="17" t="s">
        <v>214</v>
      </c>
      <c r="FJ585" s="18">
        <v>45723.28123842592</v>
      </c>
      <c r="FK585" s="14" t="s">
        <v>13501</v>
      </c>
      <c r="FL585" s="14" t="s">
        <v>13502</v>
      </c>
      <c r="FM585" s="14" t="s">
        <v>13503</v>
      </c>
      <c r="FN585" s="19"/>
      <c r="FO585" s="19"/>
      <c r="FP585" s="19" t="str">
        <f t="shared" si="1"/>
        <v>Base de Dados_Images/PIT20043.Imagem do Equipamento-.141333.jpg</v>
      </c>
      <c r="FQ585" s="19"/>
      <c r="FR585" s="19"/>
    </row>
    <row r="586" ht="15.75" customHeight="1">
      <c r="A586" s="12" t="s">
        <v>174</v>
      </c>
      <c r="B586" s="22" t="s">
        <v>1192</v>
      </c>
      <c r="C586" s="24" t="s">
        <v>375</v>
      </c>
      <c r="D586" s="22" t="s">
        <v>13504</v>
      </c>
      <c r="E586" s="22" t="s">
        <v>13505</v>
      </c>
      <c r="F586" s="13" t="s">
        <v>178</v>
      </c>
      <c r="G586" s="14" t="s">
        <v>179</v>
      </c>
      <c r="H586" s="14" t="s">
        <v>13506</v>
      </c>
      <c r="I586" s="14" t="s">
        <v>179</v>
      </c>
      <c r="J586" s="14" t="s">
        <v>13507</v>
      </c>
      <c r="K586" s="14" t="s">
        <v>179</v>
      </c>
      <c r="L586" s="14" t="s">
        <v>13508</v>
      </c>
      <c r="M586" s="14" t="s">
        <v>179</v>
      </c>
      <c r="N586" s="14" t="s">
        <v>13509</v>
      </c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6" t="s">
        <v>197</v>
      </c>
      <c r="BP586" s="17" t="s">
        <v>198</v>
      </c>
      <c r="BQ586" s="18">
        <v>45679.63670138889</v>
      </c>
      <c r="BR586" s="17" t="s">
        <v>198</v>
      </c>
      <c r="BS586" s="18">
        <v>45679.63684027778</v>
      </c>
      <c r="BT586" s="17" t="s">
        <v>198</v>
      </c>
      <c r="BU586" s="18">
        <v>45679.63684027778</v>
      </c>
      <c r="BV586" s="13" t="s">
        <v>199</v>
      </c>
      <c r="BW586" s="14" t="s">
        <v>179</v>
      </c>
      <c r="BX586" s="14" t="s">
        <v>13510</v>
      </c>
      <c r="BY586" s="14" t="s">
        <v>179</v>
      </c>
      <c r="BZ586" s="14" t="s">
        <v>13511</v>
      </c>
      <c r="CA586" s="14" t="s">
        <v>179</v>
      </c>
      <c r="CB586" s="14" t="s">
        <v>13512</v>
      </c>
      <c r="CC586" s="15"/>
      <c r="CD586" s="15"/>
      <c r="CE586" s="15"/>
      <c r="CF586" s="15"/>
      <c r="CG586" s="19"/>
      <c r="CH586" s="15"/>
      <c r="CI586" s="19"/>
      <c r="CJ586" s="15"/>
      <c r="CK586" s="19"/>
      <c r="CL586" s="15"/>
      <c r="CM586" s="19"/>
      <c r="CN586" s="15"/>
      <c r="CO586" s="19"/>
      <c r="CP586" s="15"/>
      <c r="CQ586" s="15"/>
      <c r="CR586" s="15"/>
      <c r="CS586" s="19"/>
      <c r="CT586" s="15"/>
      <c r="CU586" s="19"/>
      <c r="CV586" s="15"/>
      <c r="CW586" s="19"/>
      <c r="CX586" s="15"/>
      <c r="CY586" s="19"/>
      <c r="CZ586" s="15"/>
      <c r="DA586" s="16" t="s">
        <v>197</v>
      </c>
      <c r="DB586" s="17" t="s">
        <v>228</v>
      </c>
      <c r="DC586" s="16"/>
      <c r="DD586" s="17" t="s">
        <v>198</v>
      </c>
      <c r="DE586" s="18">
        <v>45694.46980324074</v>
      </c>
      <c r="DF586" s="17" t="s">
        <v>198</v>
      </c>
      <c r="DG586" s="18">
        <v>45694.46980324074</v>
      </c>
      <c r="DH586" s="13" t="s">
        <v>205</v>
      </c>
      <c r="DI586" s="14" t="s">
        <v>179</v>
      </c>
      <c r="DJ586" s="14" t="s">
        <v>13513</v>
      </c>
      <c r="DK586" s="14" t="s">
        <v>179</v>
      </c>
      <c r="DL586" s="14" t="s">
        <v>13514</v>
      </c>
      <c r="DM586" s="15"/>
      <c r="DN586" s="15"/>
      <c r="DO586" s="15"/>
      <c r="DP586" s="15"/>
      <c r="DQ586" s="15"/>
      <c r="DR586" s="15"/>
      <c r="DS586" s="15"/>
      <c r="DT586" s="15"/>
      <c r="DU586" s="15"/>
      <c r="DV586" s="15"/>
      <c r="DW586" s="15"/>
      <c r="DX586" s="15"/>
      <c r="DY586" s="15"/>
      <c r="DZ586" s="15"/>
      <c r="EA586" s="15"/>
      <c r="EB586" s="15"/>
      <c r="EC586" s="16" t="s">
        <v>197</v>
      </c>
      <c r="ED586" s="17" t="s">
        <v>198</v>
      </c>
      <c r="EE586" s="18">
        <v>45708.35208333333</v>
      </c>
      <c r="EF586" s="13" t="s">
        <v>209</v>
      </c>
      <c r="EG586" s="14" t="s">
        <v>179</v>
      </c>
      <c r="EH586" s="14" t="s">
        <v>13515</v>
      </c>
      <c r="EI586" s="14" t="s">
        <v>179</v>
      </c>
      <c r="EJ586" s="14" t="s">
        <v>13515</v>
      </c>
      <c r="EK586" s="15"/>
      <c r="EL586" s="15"/>
      <c r="EM586" s="15"/>
      <c r="EN586" s="15"/>
      <c r="EO586" s="15"/>
      <c r="EP586" s="15"/>
      <c r="EQ586" s="15"/>
      <c r="ER586" s="15"/>
      <c r="ES586" s="15"/>
      <c r="ET586" s="15"/>
      <c r="EU586" s="15"/>
      <c r="EV586" s="15"/>
      <c r="EW586" s="15"/>
      <c r="EX586" s="15"/>
      <c r="EY586" s="15"/>
      <c r="EZ586" s="15"/>
      <c r="FA586" s="15"/>
      <c r="FB586" s="15"/>
      <c r="FC586" s="16" t="s">
        <v>197</v>
      </c>
      <c r="FD586" s="17" t="s">
        <v>198</v>
      </c>
      <c r="FE586" s="18">
        <v>45723.28134259259</v>
      </c>
      <c r="FF586" s="19"/>
      <c r="FG586" s="19"/>
      <c r="FH586" s="21" t="s">
        <v>197</v>
      </c>
      <c r="FI586" s="17" t="s">
        <v>214</v>
      </c>
      <c r="FJ586" s="18">
        <v>45723.28134259259</v>
      </c>
      <c r="FK586" s="14" t="s">
        <v>13515</v>
      </c>
      <c r="FL586" s="14" t="s">
        <v>13516</v>
      </c>
      <c r="FM586" s="14" t="s">
        <v>13517</v>
      </c>
      <c r="FN586" s="19"/>
      <c r="FO586" s="19"/>
      <c r="FP586" s="19" t="str">
        <f t="shared" si="1"/>
        <v>Base de Dados_Images/PIT20044.Imagem do Equipamento-.190935.jpg</v>
      </c>
      <c r="FQ586" s="19"/>
      <c r="FR586" s="19"/>
    </row>
    <row r="587" ht="15.75" customHeight="1">
      <c r="A587" s="12" t="s">
        <v>174</v>
      </c>
      <c r="B587" s="22" t="s">
        <v>1258</v>
      </c>
      <c r="C587" s="24" t="s">
        <v>375</v>
      </c>
      <c r="D587" s="22" t="s">
        <v>13518</v>
      </c>
      <c r="E587" s="22" t="s">
        <v>13519</v>
      </c>
      <c r="F587" s="13" t="s">
        <v>178</v>
      </c>
      <c r="G587" s="14" t="s">
        <v>179</v>
      </c>
      <c r="H587" s="14" t="s">
        <v>13520</v>
      </c>
      <c r="I587" s="14" t="s">
        <v>179</v>
      </c>
      <c r="J587" s="14" t="s">
        <v>13521</v>
      </c>
      <c r="K587" s="14" t="s">
        <v>179</v>
      </c>
      <c r="L587" s="14" t="s">
        <v>13522</v>
      </c>
      <c r="M587" s="14" t="s">
        <v>179</v>
      </c>
      <c r="N587" s="14" t="s">
        <v>13523</v>
      </c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6" t="s">
        <v>197</v>
      </c>
      <c r="BP587" s="17" t="s">
        <v>198</v>
      </c>
      <c r="BQ587" s="18">
        <v>45688.474224537036</v>
      </c>
      <c r="BR587" s="17" t="s">
        <v>198</v>
      </c>
      <c r="BS587" s="18">
        <v>45688.474282407406</v>
      </c>
      <c r="BT587" s="17" t="s">
        <v>198</v>
      </c>
      <c r="BU587" s="18">
        <v>45688.474282407406</v>
      </c>
      <c r="BV587" s="13" t="s">
        <v>199</v>
      </c>
      <c r="BW587" s="14" t="s">
        <v>179</v>
      </c>
      <c r="BX587" s="14" t="s">
        <v>13524</v>
      </c>
      <c r="BY587" s="14" t="s">
        <v>179</v>
      </c>
      <c r="BZ587" s="14" t="s">
        <v>13525</v>
      </c>
      <c r="CA587" s="14" t="s">
        <v>179</v>
      </c>
      <c r="CB587" s="14" t="s">
        <v>13526</v>
      </c>
      <c r="CC587" s="15"/>
      <c r="CD587" s="15"/>
      <c r="CE587" s="15"/>
      <c r="CF587" s="15"/>
      <c r="CG587" s="19"/>
      <c r="CH587" s="15"/>
      <c r="CI587" s="19"/>
      <c r="CJ587" s="15"/>
      <c r="CK587" s="19"/>
      <c r="CL587" s="15"/>
      <c r="CM587" s="19"/>
      <c r="CN587" s="15"/>
      <c r="CO587" s="19"/>
      <c r="CP587" s="15"/>
      <c r="CQ587" s="15"/>
      <c r="CR587" s="15"/>
      <c r="CS587" s="19"/>
      <c r="CT587" s="15"/>
      <c r="CU587" s="19"/>
      <c r="CV587" s="15"/>
      <c r="CW587" s="19"/>
      <c r="CX587" s="15"/>
      <c r="CY587" s="19"/>
      <c r="CZ587" s="15"/>
      <c r="DA587" s="16" t="s">
        <v>197</v>
      </c>
      <c r="DB587" s="17" t="s">
        <v>228</v>
      </c>
      <c r="DC587" s="16"/>
      <c r="DD587" s="17" t="s">
        <v>198</v>
      </c>
      <c r="DE587" s="18">
        <v>45694.49180555555</v>
      </c>
      <c r="DF587" s="17" t="s">
        <v>198</v>
      </c>
      <c r="DG587" s="18">
        <v>45694.49180555555</v>
      </c>
      <c r="DH587" s="13" t="s">
        <v>205</v>
      </c>
      <c r="DI587" s="14" t="s">
        <v>179</v>
      </c>
      <c r="DJ587" s="14" t="s">
        <v>13527</v>
      </c>
      <c r="DK587" s="14" t="s">
        <v>179</v>
      </c>
      <c r="DL587" s="14" t="s">
        <v>13528</v>
      </c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6" t="s">
        <v>197</v>
      </c>
      <c r="ED587" s="17" t="s">
        <v>198</v>
      </c>
      <c r="EE587" s="18">
        <v>45708.34045138889</v>
      </c>
      <c r="EF587" s="13" t="s">
        <v>209</v>
      </c>
      <c r="EG587" s="14" t="s">
        <v>179</v>
      </c>
      <c r="EH587" s="14" t="s">
        <v>13529</v>
      </c>
      <c r="EI587" s="14" t="s">
        <v>179</v>
      </c>
      <c r="EJ587" s="14" t="s">
        <v>13530</v>
      </c>
      <c r="EK587" s="15"/>
      <c r="EL587" s="15"/>
      <c r="EM587" s="15"/>
      <c r="EN587" s="15"/>
      <c r="EO587" s="15"/>
      <c r="EP587" s="15"/>
      <c r="EQ587" s="15"/>
      <c r="ER587" s="15"/>
      <c r="ES587" s="15"/>
      <c r="ET587" s="15"/>
      <c r="EU587" s="15"/>
      <c r="EV587" s="15"/>
      <c r="EW587" s="15"/>
      <c r="EX587" s="15"/>
      <c r="EY587" s="15"/>
      <c r="EZ587" s="15"/>
      <c r="FA587" s="15"/>
      <c r="FB587" s="15"/>
      <c r="FC587" s="16" t="s">
        <v>197</v>
      </c>
      <c r="FD587" s="17" t="s">
        <v>198</v>
      </c>
      <c r="FE587" s="18">
        <v>45723.28734953704</v>
      </c>
      <c r="FF587" s="19"/>
      <c r="FG587" s="19"/>
      <c r="FH587" s="21" t="s">
        <v>197</v>
      </c>
      <c r="FI587" s="17" t="s">
        <v>214</v>
      </c>
      <c r="FJ587" s="18">
        <v>45723.28734953704</v>
      </c>
      <c r="FK587" s="14" t="s">
        <v>13529</v>
      </c>
      <c r="FL587" s="14" t="s">
        <v>13531</v>
      </c>
      <c r="FM587" s="14" t="s">
        <v>13532</v>
      </c>
      <c r="FN587" s="19"/>
      <c r="FO587" s="19"/>
      <c r="FP587" s="19" t="str">
        <f t="shared" si="1"/>
        <v>Base de Dados_Images/PIT20060.Imagem do Equipamento-.154048.jpg</v>
      </c>
      <c r="FQ587" s="19"/>
      <c r="FR587" s="19"/>
    </row>
    <row r="588" ht="15.75" customHeight="1">
      <c r="A588" s="12" t="s">
        <v>174</v>
      </c>
      <c r="B588" s="22" t="s">
        <v>1258</v>
      </c>
      <c r="C588" s="24" t="s">
        <v>375</v>
      </c>
      <c r="D588" s="22" t="s">
        <v>13533</v>
      </c>
      <c r="E588" s="22" t="s">
        <v>13534</v>
      </c>
      <c r="F588" s="13" t="s">
        <v>178</v>
      </c>
      <c r="G588" s="14" t="s">
        <v>179</v>
      </c>
      <c r="H588" s="14" t="s">
        <v>13535</v>
      </c>
      <c r="I588" s="14" t="s">
        <v>179</v>
      </c>
      <c r="J588" s="14" t="s">
        <v>13536</v>
      </c>
      <c r="K588" s="14" t="s">
        <v>179</v>
      </c>
      <c r="L588" s="14" t="s">
        <v>13537</v>
      </c>
      <c r="M588" s="14" t="s">
        <v>179</v>
      </c>
      <c r="N588" s="14" t="s">
        <v>13538</v>
      </c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6" t="s">
        <v>197</v>
      </c>
      <c r="BP588" s="17" t="s">
        <v>198</v>
      </c>
      <c r="BQ588" s="18">
        <v>45688.47383101852</v>
      </c>
      <c r="BR588" s="17" t="s">
        <v>198</v>
      </c>
      <c r="BS588" s="18">
        <v>45688.47387731481</v>
      </c>
      <c r="BT588" s="17" t="s">
        <v>198</v>
      </c>
      <c r="BU588" s="18">
        <v>45688.47387731481</v>
      </c>
      <c r="BV588" s="13" t="s">
        <v>199</v>
      </c>
      <c r="BW588" s="14" t="s">
        <v>179</v>
      </c>
      <c r="BX588" s="14" t="s">
        <v>13539</v>
      </c>
      <c r="BY588" s="14" t="s">
        <v>179</v>
      </c>
      <c r="BZ588" s="14" t="s">
        <v>13540</v>
      </c>
      <c r="CA588" s="14" t="s">
        <v>179</v>
      </c>
      <c r="CB588" s="14" t="s">
        <v>13541</v>
      </c>
      <c r="CC588" s="15"/>
      <c r="CD588" s="15"/>
      <c r="CE588" s="15"/>
      <c r="CF588" s="15"/>
      <c r="CG588" s="19"/>
      <c r="CH588" s="15"/>
      <c r="CI588" s="19"/>
      <c r="CJ588" s="15"/>
      <c r="CK588" s="19"/>
      <c r="CL588" s="15"/>
      <c r="CM588" s="19"/>
      <c r="CN588" s="15"/>
      <c r="CO588" s="19"/>
      <c r="CP588" s="15"/>
      <c r="CQ588" s="15"/>
      <c r="CR588" s="15"/>
      <c r="CS588" s="19"/>
      <c r="CT588" s="15"/>
      <c r="CU588" s="19"/>
      <c r="CV588" s="15"/>
      <c r="CW588" s="19"/>
      <c r="CX588" s="15"/>
      <c r="CY588" s="19"/>
      <c r="CZ588" s="15"/>
      <c r="DA588" s="16" t="s">
        <v>197</v>
      </c>
      <c r="DB588" s="17" t="s">
        <v>228</v>
      </c>
      <c r="DC588" s="16"/>
      <c r="DD588" s="17" t="s">
        <v>198</v>
      </c>
      <c r="DE588" s="18">
        <v>45698.64996527778</v>
      </c>
      <c r="DF588" s="17" t="s">
        <v>198</v>
      </c>
      <c r="DG588" s="18">
        <v>45698.64996527778</v>
      </c>
      <c r="DH588" s="13" t="s">
        <v>205</v>
      </c>
      <c r="DI588" s="14" t="s">
        <v>179</v>
      </c>
      <c r="DJ588" s="14" t="s">
        <v>13542</v>
      </c>
      <c r="DK588" s="14" t="s">
        <v>179</v>
      </c>
      <c r="DL588" s="14" t="s">
        <v>13543</v>
      </c>
      <c r="DM588" s="15"/>
      <c r="DN588" s="15"/>
      <c r="DO588" s="15"/>
      <c r="DP588" s="15"/>
      <c r="DQ588" s="15"/>
      <c r="DR588" s="15"/>
      <c r="DS588" s="15"/>
      <c r="DT588" s="15"/>
      <c r="DU588" s="15"/>
      <c r="DV588" s="15"/>
      <c r="DW588" s="15"/>
      <c r="DX588" s="15"/>
      <c r="DY588" s="15"/>
      <c r="DZ588" s="15"/>
      <c r="EA588" s="15"/>
      <c r="EB588" s="15"/>
      <c r="EC588" s="16" t="s">
        <v>197</v>
      </c>
      <c r="ED588" s="17" t="s">
        <v>198</v>
      </c>
      <c r="EE588" s="18">
        <v>45708.34278935185</v>
      </c>
      <c r="EF588" s="13" t="s">
        <v>209</v>
      </c>
      <c r="EG588" s="14" t="s">
        <v>179</v>
      </c>
      <c r="EH588" s="14" t="s">
        <v>13544</v>
      </c>
      <c r="EI588" s="14" t="s">
        <v>179</v>
      </c>
      <c r="EJ588" s="14" t="s">
        <v>13544</v>
      </c>
      <c r="EK588" s="15"/>
      <c r="EL588" s="15"/>
      <c r="EM588" s="15"/>
      <c r="EN588" s="15"/>
      <c r="EO588" s="15"/>
      <c r="EP588" s="15"/>
      <c r="EQ588" s="15"/>
      <c r="ER588" s="15"/>
      <c r="ES588" s="15"/>
      <c r="ET588" s="15"/>
      <c r="EU588" s="15"/>
      <c r="EV588" s="15"/>
      <c r="EW588" s="15"/>
      <c r="EX588" s="15"/>
      <c r="EY588" s="15"/>
      <c r="EZ588" s="15"/>
      <c r="FA588" s="15"/>
      <c r="FB588" s="15"/>
      <c r="FC588" s="16" t="s">
        <v>197</v>
      </c>
      <c r="FD588" s="17" t="s">
        <v>198</v>
      </c>
      <c r="FE588" s="18">
        <v>45723.28744212963</v>
      </c>
      <c r="FF588" s="19"/>
      <c r="FG588" s="19"/>
      <c r="FH588" s="21" t="s">
        <v>197</v>
      </c>
      <c r="FI588" s="17" t="s">
        <v>214</v>
      </c>
      <c r="FJ588" s="18">
        <v>45723.28744212963</v>
      </c>
      <c r="FK588" s="14" t="s">
        <v>13544</v>
      </c>
      <c r="FL588" s="14" t="s">
        <v>13545</v>
      </c>
      <c r="FM588" s="14" t="s">
        <v>13546</v>
      </c>
      <c r="FN588" s="19"/>
      <c r="FO588" s="19"/>
      <c r="FP588" s="19" t="str">
        <f t="shared" si="1"/>
        <v>Base de Dados_Images/PIT20061.Imagem do Equipamento-.154024.jpg</v>
      </c>
      <c r="FQ588" s="19"/>
      <c r="FR588" s="19"/>
    </row>
    <row r="589" ht="15.75" customHeight="1">
      <c r="A589" s="12" t="s">
        <v>174</v>
      </c>
      <c r="B589" s="22" t="s">
        <v>1258</v>
      </c>
      <c r="C589" s="24" t="s">
        <v>375</v>
      </c>
      <c r="D589" s="22" t="s">
        <v>13547</v>
      </c>
      <c r="E589" s="22" t="s">
        <v>13548</v>
      </c>
      <c r="F589" s="13" t="s">
        <v>178</v>
      </c>
      <c r="G589" s="14" t="s">
        <v>179</v>
      </c>
      <c r="H589" s="14" t="s">
        <v>13549</v>
      </c>
      <c r="I589" s="14" t="s">
        <v>179</v>
      </c>
      <c r="J589" s="14" t="s">
        <v>13550</v>
      </c>
      <c r="K589" s="14" t="s">
        <v>179</v>
      </c>
      <c r="L589" s="14" t="s">
        <v>13551</v>
      </c>
      <c r="M589" s="14" t="s">
        <v>179</v>
      </c>
      <c r="N589" s="14" t="s">
        <v>13552</v>
      </c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6" t="s">
        <v>197</v>
      </c>
      <c r="BP589" s="17" t="s">
        <v>198</v>
      </c>
      <c r="BQ589" s="18">
        <v>45698.69180555556</v>
      </c>
      <c r="BR589" s="17" t="s">
        <v>198</v>
      </c>
      <c r="BS589" s="18">
        <v>45698.69186342593</v>
      </c>
      <c r="BT589" s="17" t="s">
        <v>198</v>
      </c>
      <c r="BU589" s="18">
        <v>45698.69186342593</v>
      </c>
      <c r="BV589" s="13" t="s">
        <v>199</v>
      </c>
      <c r="BW589" s="14" t="s">
        <v>179</v>
      </c>
      <c r="BX589" s="14" t="s">
        <v>13553</v>
      </c>
      <c r="BY589" s="14" t="s">
        <v>179</v>
      </c>
      <c r="BZ589" s="14" t="s">
        <v>13554</v>
      </c>
      <c r="CA589" s="14" t="s">
        <v>179</v>
      </c>
      <c r="CB589" s="14" t="s">
        <v>13555</v>
      </c>
      <c r="CC589" s="15"/>
      <c r="CD589" s="15"/>
      <c r="CE589" s="15"/>
      <c r="CF589" s="15"/>
      <c r="CG589" s="19"/>
      <c r="CH589" s="15"/>
      <c r="CI589" s="19"/>
      <c r="CJ589" s="15"/>
      <c r="CK589" s="19"/>
      <c r="CL589" s="15"/>
      <c r="CM589" s="19"/>
      <c r="CN589" s="15"/>
      <c r="CO589" s="19"/>
      <c r="CP589" s="15"/>
      <c r="CQ589" s="15"/>
      <c r="CR589" s="15"/>
      <c r="CS589" s="19"/>
      <c r="CT589" s="15"/>
      <c r="CU589" s="19"/>
      <c r="CV589" s="15"/>
      <c r="CW589" s="19"/>
      <c r="CX589" s="15"/>
      <c r="CY589" s="19"/>
      <c r="CZ589" s="15"/>
      <c r="DA589" s="16" t="s">
        <v>197</v>
      </c>
      <c r="DB589" s="17" t="s">
        <v>228</v>
      </c>
      <c r="DC589" s="16"/>
      <c r="DD589" s="17" t="s">
        <v>198</v>
      </c>
      <c r="DE589" s="18">
        <v>45698.69194444444</v>
      </c>
      <c r="DF589" s="17" t="s">
        <v>198</v>
      </c>
      <c r="DG589" s="18">
        <v>45698.69194444444</v>
      </c>
      <c r="DH589" s="13" t="s">
        <v>205</v>
      </c>
      <c r="DI589" s="14" t="s">
        <v>179</v>
      </c>
      <c r="DJ589" s="14" t="s">
        <v>13556</v>
      </c>
      <c r="DK589" s="14" t="s">
        <v>179</v>
      </c>
      <c r="DL589" s="14" t="s">
        <v>13557</v>
      </c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6" t="s">
        <v>197</v>
      </c>
      <c r="ED589" s="17" t="s">
        <v>198</v>
      </c>
      <c r="EE589" s="18">
        <v>45708.34064814815</v>
      </c>
      <c r="EF589" s="13" t="s">
        <v>209</v>
      </c>
      <c r="EG589" s="14" t="s">
        <v>179</v>
      </c>
      <c r="EH589" s="14" t="s">
        <v>13558</v>
      </c>
      <c r="EI589" s="14" t="s">
        <v>179</v>
      </c>
      <c r="EJ589" s="14" t="s">
        <v>13558</v>
      </c>
      <c r="EK589" s="15"/>
      <c r="EL589" s="15"/>
      <c r="EM589" s="15"/>
      <c r="EN589" s="15"/>
      <c r="EO589" s="15"/>
      <c r="EP589" s="15"/>
      <c r="EQ589" s="15"/>
      <c r="ER589" s="15"/>
      <c r="ES589" s="15"/>
      <c r="ET589" s="15"/>
      <c r="EU589" s="15"/>
      <c r="EV589" s="15"/>
      <c r="EW589" s="15"/>
      <c r="EX589" s="15"/>
      <c r="EY589" s="15"/>
      <c r="EZ589" s="15"/>
      <c r="FA589" s="15"/>
      <c r="FB589" s="15"/>
      <c r="FC589" s="16" t="s">
        <v>197</v>
      </c>
      <c r="FD589" s="17" t="s">
        <v>198</v>
      </c>
      <c r="FE589" s="18">
        <v>45723.2875462963</v>
      </c>
      <c r="FF589" s="19"/>
      <c r="FG589" s="19"/>
      <c r="FH589" s="21" t="s">
        <v>197</v>
      </c>
      <c r="FI589" s="17" t="s">
        <v>214</v>
      </c>
      <c r="FJ589" s="18">
        <v>45723.2875462963</v>
      </c>
      <c r="FK589" s="14" t="s">
        <v>13558</v>
      </c>
      <c r="FL589" s="14" t="s">
        <v>13559</v>
      </c>
      <c r="FM589" s="14" t="s">
        <v>13560</v>
      </c>
      <c r="FN589" s="19"/>
      <c r="FO589" s="19"/>
      <c r="FP589" s="19" t="str">
        <f t="shared" si="1"/>
        <v>Base de Dados_Images/PIT20062.Imagem do Equipamento-.111051.jpg</v>
      </c>
      <c r="FQ589" s="14"/>
      <c r="FR589" s="14"/>
    </row>
    <row r="590" ht="15.75" customHeight="1">
      <c r="A590" s="12" t="s">
        <v>174</v>
      </c>
      <c r="B590" s="22" t="s">
        <v>1258</v>
      </c>
      <c r="C590" s="24" t="s">
        <v>375</v>
      </c>
      <c r="D590" s="22" t="s">
        <v>13561</v>
      </c>
      <c r="E590" s="22" t="s">
        <v>13562</v>
      </c>
      <c r="F590" s="13" t="s">
        <v>178</v>
      </c>
      <c r="G590" s="14" t="s">
        <v>179</v>
      </c>
      <c r="H590" s="14" t="s">
        <v>13563</v>
      </c>
      <c r="I590" s="14" t="s">
        <v>179</v>
      </c>
      <c r="J590" s="14" t="s">
        <v>13563</v>
      </c>
      <c r="K590" s="14" t="s">
        <v>179</v>
      </c>
      <c r="L590" s="14" t="s">
        <v>13564</v>
      </c>
      <c r="M590" s="14" t="s">
        <v>179</v>
      </c>
      <c r="N590" s="14" t="s">
        <v>13565</v>
      </c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6" t="s">
        <v>197</v>
      </c>
      <c r="BP590" s="17" t="s">
        <v>198</v>
      </c>
      <c r="BQ590" s="18">
        <v>45688.47335648148</v>
      </c>
      <c r="BR590" s="17" t="s">
        <v>198</v>
      </c>
      <c r="BS590" s="18">
        <v>45688.473391203705</v>
      </c>
      <c r="BT590" s="17" t="s">
        <v>198</v>
      </c>
      <c r="BU590" s="18">
        <v>45688.473391203705</v>
      </c>
      <c r="BV590" s="13" t="s">
        <v>199</v>
      </c>
      <c r="BW590" s="14" t="s">
        <v>179</v>
      </c>
      <c r="BX590" s="14" t="s">
        <v>13566</v>
      </c>
      <c r="BY590" s="14" t="s">
        <v>179</v>
      </c>
      <c r="BZ590" s="14" t="s">
        <v>13567</v>
      </c>
      <c r="CA590" s="14" t="s">
        <v>179</v>
      </c>
      <c r="CB590" s="14" t="s">
        <v>13568</v>
      </c>
      <c r="CC590" s="15"/>
      <c r="CD590" s="15"/>
      <c r="CE590" s="15"/>
      <c r="CF590" s="15"/>
      <c r="CG590" s="19"/>
      <c r="CH590" s="15"/>
      <c r="CI590" s="19"/>
      <c r="CJ590" s="15"/>
      <c r="CK590" s="19"/>
      <c r="CL590" s="15"/>
      <c r="CM590" s="19"/>
      <c r="CN590" s="15"/>
      <c r="CO590" s="19"/>
      <c r="CP590" s="15"/>
      <c r="CQ590" s="15"/>
      <c r="CR590" s="15"/>
      <c r="CS590" s="19"/>
      <c r="CT590" s="15"/>
      <c r="CU590" s="19"/>
      <c r="CV590" s="15"/>
      <c r="CW590" s="19"/>
      <c r="CX590" s="15"/>
      <c r="CY590" s="19"/>
      <c r="CZ590" s="15"/>
      <c r="DA590" s="16" t="s">
        <v>197</v>
      </c>
      <c r="DB590" s="17" t="s">
        <v>228</v>
      </c>
      <c r="DC590" s="16"/>
      <c r="DD590" s="17" t="s">
        <v>198</v>
      </c>
      <c r="DE590" s="18">
        <v>45698.650289351855</v>
      </c>
      <c r="DF590" s="17" t="s">
        <v>198</v>
      </c>
      <c r="DG590" s="18">
        <v>45698.650289351855</v>
      </c>
      <c r="DH590" s="13" t="s">
        <v>205</v>
      </c>
      <c r="DI590" s="14" t="s">
        <v>179</v>
      </c>
      <c r="DJ590" s="14" t="s">
        <v>13569</v>
      </c>
      <c r="DK590" s="14" t="s">
        <v>179</v>
      </c>
      <c r="DL590" s="14" t="s">
        <v>13570</v>
      </c>
      <c r="DM590" s="15"/>
      <c r="DN590" s="15"/>
      <c r="DO590" s="15"/>
      <c r="DP590" s="15"/>
      <c r="DQ590" s="15"/>
      <c r="DR590" s="15"/>
      <c r="DS590" s="15"/>
      <c r="DT590" s="15"/>
      <c r="DU590" s="15"/>
      <c r="DV590" s="15"/>
      <c r="DW590" s="15"/>
      <c r="DX590" s="15"/>
      <c r="DY590" s="15"/>
      <c r="DZ590" s="15"/>
      <c r="EA590" s="15"/>
      <c r="EB590" s="15"/>
      <c r="EC590" s="16" t="s">
        <v>197</v>
      </c>
      <c r="ED590" s="17" t="s">
        <v>198</v>
      </c>
      <c r="EE590" s="18">
        <v>45708.34260416667</v>
      </c>
      <c r="EF590" s="13" t="s">
        <v>209</v>
      </c>
      <c r="EG590" s="14" t="s">
        <v>179</v>
      </c>
      <c r="EH590" s="14" t="s">
        <v>13571</v>
      </c>
      <c r="EI590" s="14" t="s">
        <v>179</v>
      </c>
      <c r="EJ590" s="14" t="s">
        <v>13572</v>
      </c>
      <c r="EK590" s="15"/>
      <c r="EL590" s="15"/>
      <c r="EM590" s="15"/>
      <c r="EN590" s="15"/>
      <c r="EO590" s="15"/>
      <c r="EP590" s="15"/>
      <c r="EQ590" s="15"/>
      <c r="ER590" s="15"/>
      <c r="ES590" s="15"/>
      <c r="ET590" s="15"/>
      <c r="EU590" s="15"/>
      <c r="EV590" s="15"/>
      <c r="EW590" s="15"/>
      <c r="EX590" s="15"/>
      <c r="EY590" s="15"/>
      <c r="EZ590" s="15"/>
      <c r="FA590" s="15"/>
      <c r="FB590" s="15"/>
      <c r="FC590" s="16" t="s">
        <v>197</v>
      </c>
      <c r="FD590" s="17" t="s">
        <v>198</v>
      </c>
      <c r="FE590" s="18">
        <v>45723.287673611114</v>
      </c>
      <c r="FF590" s="19"/>
      <c r="FG590" s="19"/>
      <c r="FH590" s="21" t="s">
        <v>197</v>
      </c>
      <c r="FI590" s="17" t="s">
        <v>214</v>
      </c>
      <c r="FJ590" s="18">
        <v>45723.287673611114</v>
      </c>
      <c r="FK590" s="14" t="s">
        <v>13571</v>
      </c>
      <c r="FL590" s="14" t="s">
        <v>13573</v>
      </c>
      <c r="FM590" s="14" t="s">
        <v>13574</v>
      </c>
      <c r="FN590" s="19"/>
      <c r="FO590" s="19"/>
      <c r="FP590" s="19" t="str">
        <f t="shared" si="1"/>
        <v>Base de Dados_Images/PIT20063.Imagem do Equipamento-.153955.jpg</v>
      </c>
      <c r="FQ590" s="19"/>
      <c r="FR590" s="19"/>
    </row>
    <row r="591" ht="15.75" customHeight="1">
      <c r="A591" s="12" t="s">
        <v>174</v>
      </c>
      <c r="B591" s="22" t="s">
        <v>1258</v>
      </c>
      <c r="C591" s="24" t="s">
        <v>375</v>
      </c>
      <c r="D591" s="22" t="s">
        <v>13575</v>
      </c>
      <c r="E591" s="22" t="s">
        <v>13576</v>
      </c>
      <c r="F591" s="13" t="s">
        <v>178</v>
      </c>
      <c r="G591" s="14" t="s">
        <v>179</v>
      </c>
      <c r="H591" s="14" t="s">
        <v>13577</v>
      </c>
      <c r="I591" s="14" t="s">
        <v>179</v>
      </c>
      <c r="J591" s="14" t="s">
        <v>13578</v>
      </c>
      <c r="K591" s="14" t="s">
        <v>179</v>
      </c>
      <c r="L591" s="14" t="s">
        <v>13579</v>
      </c>
      <c r="M591" s="14" t="s">
        <v>179</v>
      </c>
      <c r="N591" s="14" t="s">
        <v>13580</v>
      </c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6" t="s">
        <v>197</v>
      </c>
      <c r="BP591" s="17" t="s">
        <v>198</v>
      </c>
      <c r="BQ591" s="18">
        <v>45688.472916666666</v>
      </c>
      <c r="BR591" s="17" t="s">
        <v>198</v>
      </c>
      <c r="BS591" s="18">
        <v>45688.47295138889</v>
      </c>
      <c r="BT591" s="17" t="s">
        <v>198</v>
      </c>
      <c r="BU591" s="18">
        <v>45688.47295138889</v>
      </c>
      <c r="BV591" s="13" t="s">
        <v>199</v>
      </c>
      <c r="BW591" s="14" t="s">
        <v>179</v>
      </c>
      <c r="BX591" s="14" t="s">
        <v>13581</v>
      </c>
      <c r="BY591" s="14" t="s">
        <v>179</v>
      </c>
      <c r="BZ591" s="14" t="s">
        <v>13582</v>
      </c>
      <c r="CA591" s="14" t="s">
        <v>179</v>
      </c>
      <c r="CB591" s="14" t="s">
        <v>13583</v>
      </c>
      <c r="CC591" s="15"/>
      <c r="CD591" s="15"/>
      <c r="CE591" s="15"/>
      <c r="CF591" s="15"/>
      <c r="CG591" s="19"/>
      <c r="CH591" s="15"/>
      <c r="CI591" s="19"/>
      <c r="CJ591" s="15"/>
      <c r="CK591" s="19"/>
      <c r="CL591" s="15"/>
      <c r="CM591" s="19"/>
      <c r="CN591" s="15"/>
      <c r="CO591" s="19"/>
      <c r="CP591" s="15"/>
      <c r="CQ591" s="15"/>
      <c r="CR591" s="15"/>
      <c r="CS591" s="19"/>
      <c r="CT591" s="15"/>
      <c r="CU591" s="19"/>
      <c r="CV591" s="15"/>
      <c r="CW591" s="19"/>
      <c r="CX591" s="15"/>
      <c r="CY591" s="19"/>
      <c r="CZ591" s="15"/>
      <c r="DA591" s="16" t="s">
        <v>197</v>
      </c>
      <c r="DB591" s="17" t="s">
        <v>228</v>
      </c>
      <c r="DC591" s="16"/>
      <c r="DD591" s="17" t="s">
        <v>198</v>
      </c>
      <c r="DE591" s="18">
        <v>45698.65043981482</v>
      </c>
      <c r="DF591" s="17" t="s">
        <v>198</v>
      </c>
      <c r="DG591" s="18">
        <v>45698.65043981482</v>
      </c>
      <c r="DH591" s="13" t="s">
        <v>205</v>
      </c>
      <c r="DI591" s="14" t="s">
        <v>179</v>
      </c>
      <c r="DJ591" s="14" t="s">
        <v>13584</v>
      </c>
      <c r="DK591" s="14" t="s">
        <v>179</v>
      </c>
      <c r="DL591" s="14" t="s">
        <v>13585</v>
      </c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6" t="s">
        <v>197</v>
      </c>
      <c r="ED591" s="17" t="s">
        <v>198</v>
      </c>
      <c r="EE591" s="18">
        <v>45708.3425</v>
      </c>
      <c r="EF591" s="13" t="s">
        <v>209</v>
      </c>
      <c r="EG591" s="14" t="s">
        <v>179</v>
      </c>
      <c r="EH591" s="14" t="s">
        <v>13586</v>
      </c>
      <c r="EI591" s="14" t="s">
        <v>179</v>
      </c>
      <c r="EJ591" s="14" t="s">
        <v>13587</v>
      </c>
      <c r="EK591" s="15"/>
      <c r="EL591" s="15"/>
      <c r="EM591" s="15"/>
      <c r="EN591" s="15"/>
      <c r="EO591" s="15"/>
      <c r="EP591" s="15"/>
      <c r="EQ591" s="15"/>
      <c r="ER591" s="15"/>
      <c r="ES591" s="15"/>
      <c r="ET591" s="15"/>
      <c r="EU591" s="15"/>
      <c r="EV591" s="15"/>
      <c r="EW591" s="15"/>
      <c r="EX591" s="15"/>
      <c r="EY591" s="15"/>
      <c r="EZ591" s="15"/>
      <c r="FA591" s="15"/>
      <c r="FB591" s="15"/>
      <c r="FC591" s="16" t="s">
        <v>197</v>
      </c>
      <c r="FD591" s="17" t="s">
        <v>198</v>
      </c>
      <c r="FE591" s="18">
        <v>45723.28774305555</v>
      </c>
      <c r="FF591" s="19"/>
      <c r="FG591" s="19"/>
      <c r="FH591" s="21" t="s">
        <v>197</v>
      </c>
      <c r="FI591" s="17" t="s">
        <v>214</v>
      </c>
      <c r="FJ591" s="18">
        <v>45723.28774305555</v>
      </c>
      <c r="FK591" s="14" t="s">
        <v>13586</v>
      </c>
      <c r="FL591" s="14" t="s">
        <v>13588</v>
      </c>
      <c r="FM591" s="14" t="s">
        <v>13589</v>
      </c>
      <c r="FN591" s="19"/>
      <c r="FO591" s="19"/>
      <c r="FP591" s="19" t="str">
        <f t="shared" si="1"/>
        <v>Base de Dados_Images/PIT20064.Imagem do Equipamento-.153928.jpg</v>
      </c>
      <c r="FQ591" s="19"/>
      <c r="FR591" s="19"/>
    </row>
    <row r="592" ht="15.75" customHeight="1">
      <c r="A592" s="12" t="s">
        <v>174</v>
      </c>
      <c r="B592" s="22" t="s">
        <v>1258</v>
      </c>
      <c r="C592" s="24" t="s">
        <v>375</v>
      </c>
      <c r="D592" s="22" t="s">
        <v>13590</v>
      </c>
      <c r="E592" s="22" t="s">
        <v>13591</v>
      </c>
      <c r="F592" s="13" t="s">
        <v>178</v>
      </c>
      <c r="G592" s="14" t="s">
        <v>179</v>
      </c>
      <c r="H592" s="14" t="s">
        <v>13592</v>
      </c>
      <c r="I592" s="14" t="s">
        <v>179</v>
      </c>
      <c r="J592" s="14" t="s">
        <v>13593</v>
      </c>
      <c r="K592" s="14" t="s">
        <v>179</v>
      </c>
      <c r="L592" s="14" t="s">
        <v>13594</v>
      </c>
      <c r="M592" s="14" t="s">
        <v>179</v>
      </c>
      <c r="N592" s="14" t="s">
        <v>13595</v>
      </c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6" t="s">
        <v>197</v>
      </c>
      <c r="BP592" s="17" t="s">
        <v>198</v>
      </c>
      <c r="BQ592" s="18">
        <v>45686.365266203706</v>
      </c>
      <c r="BR592" s="17" t="s">
        <v>198</v>
      </c>
      <c r="BS592" s="18">
        <v>45686.365439814814</v>
      </c>
      <c r="BT592" s="17" t="s">
        <v>198</v>
      </c>
      <c r="BU592" s="18">
        <v>45686.365439814814</v>
      </c>
      <c r="BV592" s="13" t="s">
        <v>199</v>
      </c>
      <c r="BW592" s="14" t="s">
        <v>179</v>
      </c>
      <c r="BX592" s="14" t="s">
        <v>13596</v>
      </c>
      <c r="BY592" s="14" t="s">
        <v>179</v>
      </c>
      <c r="BZ592" s="14" t="s">
        <v>13596</v>
      </c>
      <c r="CA592" s="14" t="s">
        <v>179</v>
      </c>
      <c r="CB592" s="14" t="s">
        <v>13597</v>
      </c>
      <c r="CC592" s="15"/>
      <c r="CD592" s="15"/>
      <c r="CE592" s="15"/>
      <c r="CF592" s="15"/>
      <c r="CG592" s="19"/>
      <c r="CH592" s="15"/>
      <c r="CI592" s="19"/>
      <c r="CJ592" s="15"/>
      <c r="CK592" s="19"/>
      <c r="CL592" s="15"/>
      <c r="CM592" s="19"/>
      <c r="CN592" s="15"/>
      <c r="CO592" s="19"/>
      <c r="CP592" s="15"/>
      <c r="CQ592" s="15"/>
      <c r="CR592" s="15"/>
      <c r="CS592" s="19"/>
      <c r="CT592" s="15"/>
      <c r="CU592" s="19"/>
      <c r="CV592" s="15"/>
      <c r="CW592" s="19"/>
      <c r="CX592" s="15"/>
      <c r="CY592" s="19"/>
      <c r="CZ592" s="15"/>
      <c r="DA592" s="16" t="s">
        <v>197</v>
      </c>
      <c r="DB592" s="17" t="s">
        <v>228</v>
      </c>
      <c r="DC592" s="16"/>
      <c r="DD592" s="17" t="s">
        <v>198</v>
      </c>
      <c r="DE592" s="18">
        <v>45698.650555555556</v>
      </c>
      <c r="DF592" s="17" t="s">
        <v>198</v>
      </c>
      <c r="DG592" s="18">
        <v>45698.650555555556</v>
      </c>
      <c r="DH592" s="13" t="s">
        <v>205</v>
      </c>
      <c r="DI592" s="14" t="s">
        <v>179</v>
      </c>
      <c r="DJ592" s="14" t="s">
        <v>13598</v>
      </c>
      <c r="DK592" s="14" t="s">
        <v>179</v>
      </c>
      <c r="DL592" s="14" t="s">
        <v>13598</v>
      </c>
      <c r="DM592" s="15"/>
      <c r="DN592" s="15"/>
      <c r="DO592" s="15"/>
      <c r="DP592" s="15"/>
      <c r="DQ592" s="15"/>
      <c r="DR592" s="15"/>
      <c r="DS592" s="15"/>
      <c r="DT592" s="15"/>
      <c r="DU592" s="15"/>
      <c r="DV592" s="15"/>
      <c r="DW592" s="15"/>
      <c r="DX592" s="15"/>
      <c r="DY592" s="15"/>
      <c r="DZ592" s="15"/>
      <c r="EA592" s="15"/>
      <c r="EB592" s="15"/>
      <c r="EC592" s="16" t="s">
        <v>197</v>
      </c>
      <c r="ED592" s="17" t="s">
        <v>198</v>
      </c>
      <c r="EE592" s="18">
        <v>45708.34239583334</v>
      </c>
      <c r="EF592" s="13" t="s">
        <v>209</v>
      </c>
      <c r="EG592" s="14" t="s">
        <v>179</v>
      </c>
      <c r="EH592" s="14" t="s">
        <v>13599</v>
      </c>
      <c r="EI592" s="14" t="s">
        <v>179</v>
      </c>
      <c r="EJ592" s="14" t="s">
        <v>13600</v>
      </c>
      <c r="EK592" s="15"/>
      <c r="EL592" s="15"/>
      <c r="EM592" s="15"/>
      <c r="EN592" s="15"/>
      <c r="EO592" s="15"/>
      <c r="EP592" s="15"/>
      <c r="EQ592" s="15"/>
      <c r="ER592" s="15"/>
      <c r="ES592" s="15"/>
      <c r="ET592" s="15"/>
      <c r="EU592" s="15"/>
      <c r="EV592" s="15"/>
      <c r="EW592" s="15"/>
      <c r="EX592" s="15"/>
      <c r="EY592" s="15"/>
      <c r="EZ592" s="15"/>
      <c r="FA592" s="15"/>
      <c r="FB592" s="15"/>
      <c r="FC592" s="16" t="s">
        <v>197</v>
      </c>
      <c r="FD592" s="17" t="s">
        <v>198</v>
      </c>
      <c r="FE592" s="18">
        <v>45723.287824074076</v>
      </c>
      <c r="FF592" s="19"/>
      <c r="FG592" s="19"/>
      <c r="FH592" s="21" t="s">
        <v>197</v>
      </c>
      <c r="FI592" s="17" t="s">
        <v>214</v>
      </c>
      <c r="FJ592" s="18">
        <v>45723.287824074076</v>
      </c>
      <c r="FK592" s="14" t="s">
        <v>13599</v>
      </c>
      <c r="FL592" s="14" t="s">
        <v>13601</v>
      </c>
      <c r="FM592" s="14" t="s">
        <v>13602</v>
      </c>
      <c r="FN592" s="19"/>
      <c r="FO592" s="19"/>
      <c r="FP592" s="19" t="str">
        <f t="shared" si="1"/>
        <v>Base de Dados_Images/PIT20065.Imagem do Equipamento-.125907.jpg</v>
      </c>
      <c r="FQ592" s="19"/>
      <c r="FR592" s="19"/>
    </row>
    <row r="593" ht="15.75" customHeight="1">
      <c r="A593" s="12" t="s">
        <v>174</v>
      </c>
      <c r="B593" s="22" t="s">
        <v>1258</v>
      </c>
      <c r="C593" s="24" t="s">
        <v>375</v>
      </c>
      <c r="D593" s="22" t="s">
        <v>13603</v>
      </c>
      <c r="E593" s="22" t="s">
        <v>13604</v>
      </c>
      <c r="F593" s="13" t="s">
        <v>178</v>
      </c>
      <c r="G593" s="14" t="s">
        <v>179</v>
      </c>
      <c r="H593" s="14" t="s">
        <v>13605</v>
      </c>
      <c r="I593" s="14" t="s">
        <v>179</v>
      </c>
      <c r="J593" s="14" t="s">
        <v>13605</v>
      </c>
      <c r="K593" s="14" t="s">
        <v>179</v>
      </c>
      <c r="L593" s="14" t="s">
        <v>13606</v>
      </c>
      <c r="M593" s="14" t="s">
        <v>179</v>
      </c>
      <c r="N593" s="14" t="s">
        <v>13607</v>
      </c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6" t="s">
        <v>197</v>
      </c>
      <c r="BP593" s="17" t="s">
        <v>198</v>
      </c>
      <c r="BQ593" s="18">
        <v>45688.4746875</v>
      </c>
      <c r="BR593" s="17" t="s">
        <v>198</v>
      </c>
      <c r="BS593" s="18">
        <v>45688.47472222222</v>
      </c>
      <c r="BT593" s="17" t="s">
        <v>198</v>
      </c>
      <c r="BU593" s="18">
        <v>45688.47472222222</v>
      </c>
      <c r="BV593" s="13" t="s">
        <v>199</v>
      </c>
      <c r="BW593" s="14" t="s">
        <v>179</v>
      </c>
      <c r="BX593" s="14" t="s">
        <v>13608</v>
      </c>
      <c r="BY593" s="14" t="s">
        <v>179</v>
      </c>
      <c r="BZ593" s="14" t="s">
        <v>13609</v>
      </c>
      <c r="CA593" s="14" t="s">
        <v>179</v>
      </c>
      <c r="CB593" s="14" t="s">
        <v>13610</v>
      </c>
      <c r="CC593" s="15"/>
      <c r="CD593" s="15"/>
      <c r="CE593" s="15"/>
      <c r="CF593" s="15"/>
      <c r="CG593" s="19"/>
      <c r="CH593" s="15"/>
      <c r="CI593" s="19"/>
      <c r="CJ593" s="15"/>
      <c r="CK593" s="19"/>
      <c r="CL593" s="15"/>
      <c r="CM593" s="19"/>
      <c r="CN593" s="15"/>
      <c r="CO593" s="19"/>
      <c r="CP593" s="15"/>
      <c r="CQ593" s="15"/>
      <c r="CR593" s="15"/>
      <c r="CS593" s="19"/>
      <c r="CT593" s="15"/>
      <c r="CU593" s="19"/>
      <c r="CV593" s="15"/>
      <c r="CW593" s="19"/>
      <c r="CX593" s="15"/>
      <c r="CY593" s="19"/>
      <c r="CZ593" s="15"/>
      <c r="DA593" s="16" t="s">
        <v>197</v>
      </c>
      <c r="DB593" s="17" t="s">
        <v>228</v>
      </c>
      <c r="DC593" s="16"/>
      <c r="DD593" s="17" t="s">
        <v>198</v>
      </c>
      <c r="DE593" s="18">
        <v>45698.65069444444</v>
      </c>
      <c r="DF593" s="17" t="s">
        <v>198</v>
      </c>
      <c r="DG593" s="18">
        <v>45698.65069444444</v>
      </c>
      <c r="DH593" s="13" t="s">
        <v>205</v>
      </c>
      <c r="DI593" s="14" t="s">
        <v>179</v>
      </c>
      <c r="DJ593" s="14" t="s">
        <v>13611</v>
      </c>
      <c r="DK593" s="14" t="s">
        <v>179</v>
      </c>
      <c r="DL593" s="14" t="s">
        <v>13611</v>
      </c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6" t="s">
        <v>197</v>
      </c>
      <c r="ED593" s="17" t="s">
        <v>198</v>
      </c>
      <c r="EE593" s="18">
        <v>45708.342314814814</v>
      </c>
      <c r="EF593" s="13" t="s">
        <v>209</v>
      </c>
      <c r="EG593" s="14" t="s">
        <v>179</v>
      </c>
      <c r="EH593" s="14" t="s">
        <v>13612</v>
      </c>
      <c r="EI593" s="14" t="s">
        <v>179</v>
      </c>
      <c r="EJ593" s="14" t="s">
        <v>13613</v>
      </c>
      <c r="EK593" s="15"/>
      <c r="EL593" s="15"/>
      <c r="EM593" s="15"/>
      <c r="EN593" s="15"/>
      <c r="EO593" s="15"/>
      <c r="EP593" s="15"/>
      <c r="EQ593" s="15"/>
      <c r="ER593" s="15"/>
      <c r="ES593" s="15"/>
      <c r="ET593" s="15"/>
      <c r="EU593" s="15"/>
      <c r="EV593" s="15"/>
      <c r="EW593" s="15"/>
      <c r="EX593" s="15"/>
      <c r="EY593" s="15"/>
      <c r="EZ593" s="15"/>
      <c r="FA593" s="15"/>
      <c r="FB593" s="15"/>
      <c r="FC593" s="16" t="s">
        <v>197</v>
      </c>
      <c r="FD593" s="17" t="s">
        <v>198</v>
      </c>
      <c r="FE593" s="18">
        <v>45723.28792824074</v>
      </c>
      <c r="FF593" s="19"/>
      <c r="FG593" s="19"/>
      <c r="FH593" s="21" t="s">
        <v>197</v>
      </c>
      <c r="FI593" s="17" t="s">
        <v>214</v>
      </c>
      <c r="FJ593" s="18">
        <v>45723.28792824074</v>
      </c>
      <c r="FK593" s="14" t="s">
        <v>13612</v>
      </c>
      <c r="FL593" s="14" t="s">
        <v>13614</v>
      </c>
      <c r="FM593" s="14" t="s">
        <v>13615</v>
      </c>
      <c r="FN593" s="19"/>
      <c r="FO593" s="19"/>
      <c r="FP593" s="19" t="str">
        <f t="shared" si="1"/>
        <v>Base de Dados_Images/PIT20066.Imagem do Equipamento-.154121.jpg</v>
      </c>
      <c r="FQ593" s="19"/>
      <c r="FR593" s="19"/>
    </row>
    <row r="594" ht="15.75" customHeight="1">
      <c r="A594" s="12" t="s">
        <v>174</v>
      </c>
      <c r="B594" s="22" t="s">
        <v>13616</v>
      </c>
      <c r="C594" s="24" t="s">
        <v>375</v>
      </c>
      <c r="D594" s="22" t="s">
        <v>13617</v>
      </c>
      <c r="E594" s="22" t="s">
        <v>13618</v>
      </c>
      <c r="F594" s="13" t="s">
        <v>178</v>
      </c>
      <c r="G594" s="14" t="s">
        <v>179</v>
      </c>
      <c r="H594" s="14" t="s">
        <v>13619</v>
      </c>
      <c r="I594" s="14" t="s">
        <v>179</v>
      </c>
      <c r="J594" s="14" t="s">
        <v>13620</v>
      </c>
      <c r="K594" s="14" t="s">
        <v>179</v>
      </c>
      <c r="L594" s="14" t="s">
        <v>13621</v>
      </c>
      <c r="M594" s="14" t="s">
        <v>179</v>
      </c>
      <c r="N594" s="14" t="s">
        <v>13622</v>
      </c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6" t="s">
        <v>197</v>
      </c>
      <c r="BP594" s="17" t="s">
        <v>198</v>
      </c>
      <c r="BQ594" s="18">
        <v>45688.47621527778</v>
      </c>
      <c r="BR594" s="17" t="s">
        <v>198</v>
      </c>
      <c r="BS594" s="18">
        <v>45688.476273148146</v>
      </c>
      <c r="BT594" s="17" t="s">
        <v>198</v>
      </c>
      <c r="BU594" s="18">
        <v>45688.476273148146</v>
      </c>
      <c r="BV594" s="13" t="s">
        <v>199</v>
      </c>
      <c r="BW594" s="14" t="s">
        <v>179</v>
      </c>
      <c r="BX594" s="14" t="s">
        <v>13623</v>
      </c>
      <c r="BY594" s="14" t="s">
        <v>179</v>
      </c>
      <c r="BZ594" s="14" t="s">
        <v>13624</v>
      </c>
      <c r="CA594" s="14" t="s">
        <v>179</v>
      </c>
      <c r="CB594" s="14" t="s">
        <v>13625</v>
      </c>
      <c r="CC594" s="15"/>
      <c r="CD594" s="15"/>
      <c r="CE594" s="15"/>
      <c r="CF594" s="15"/>
      <c r="CG594" s="19"/>
      <c r="CH594" s="15"/>
      <c r="CI594" s="19"/>
      <c r="CJ594" s="15"/>
      <c r="CK594" s="19"/>
      <c r="CL594" s="15"/>
      <c r="CM594" s="19"/>
      <c r="CN594" s="15"/>
      <c r="CO594" s="19"/>
      <c r="CP594" s="15"/>
      <c r="CQ594" s="15"/>
      <c r="CR594" s="15"/>
      <c r="CS594" s="19"/>
      <c r="CT594" s="15"/>
      <c r="CU594" s="19"/>
      <c r="CV594" s="15"/>
      <c r="CW594" s="19"/>
      <c r="CX594" s="15"/>
      <c r="CY594" s="19"/>
      <c r="CZ594" s="15"/>
      <c r="DA594" s="16" t="s">
        <v>197</v>
      </c>
      <c r="DB594" s="17" t="s">
        <v>228</v>
      </c>
      <c r="DC594" s="16"/>
      <c r="DD594" s="17" t="s">
        <v>198</v>
      </c>
      <c r="DE594" s="18">
        <v>45698.6890162037</v>
      </c>
      <c r="DF594" s="17" t="s">
        <v>198</v>
      </c>
      <c r="DG594" s="18">
        <v>45698.6890162037</v>
      </c>
      <c r="DH594" s="13" t="s">
        <v>205</v>
      </c>
      <c r="DI594" s="14" t="s">
        <v>179</v>
      </c>
      <c r="DJ594" s="14" t="s">
        <v>13626</v>
      </c>
      <c r="DK594" s="14" t="s">
        <v>179</v>
      </c>
      <c r="DL594" s="14" t="s">
        <v>13626</v>
      </c>
      <c r="DM594" s="15"/>
      <c r="DN594" s="15"/>
      <c r="DO594" s="15"/>
      <c r="DP594" s="15"/>
      <c r="DQ594" s="15"/>
      <c r="DR594" s="15"/>
      <c r="DS594" s="15"/>
      <c r="DT594" s="15"/>
      <c r="DU594" s="15"/>
      <c r="DV594" s="15"/>
      <c r="DW594" s="15"/>
      <c r="DX594" s="15"/>
      <c r="DY594" s="15"/>
      <c r="DZ594" s="15"/>
      <c r="EA594" s="15"/>
      <c r="EB594" s="15"/>
      <c r="EC594" s="16" t="s">
        <v>197</v>
      </c>
      <c r="ED594" s="17" t="s">
        <v>198</v>
      </c>
      <c r="EE594" s="18">
        <v>45719.47787037037</v>
      </c>
      <c r="EF594" s="13" t="s">
        <v>209</v>
      </c>
      <c r="EG594" s="14" t="s">
        <v>179</v>
      </c>
      <c r="EH594" s="14" t="s">
        <v>13627</v>
      </c>
      <c r="EI594" s="14" t="s">
        <v>179</v>
      </c>
      <c r="EJ594" s="14" t="s">
        <v>13628</v>
      </c>
      <c r="EK594" s="15"/>
      <c r="EL594" s="15"/>
      <c r="EM594" s="15"/>
      <c r="EN594" s="15"/>
      <c r="EO594" s="15"/>
      <c r="EP594" s="15"/>
      <c r="EQ594" s="15"/>
      <c r="ER594" s="15"/>
      <c r="ES594" s="15"/>
      <c r="ET594" s="15"/>
      <c r="EU594" s="15"/>
      <c r="EV594" s="15"/>
      <c r="EW594" s="15"/>
      <c r="EX594" s="15"/>
      <c r="EY594" s="15"/>
      <c r="EZ594" s="15"/>
      <c r="FA594" s="15"/>
      <c r="FB594" s="15"/>
      <c r="FC594" s="16" t="s">
        <v>197</v>
      </c>
      <c r="FD594" s="17" t="s">
        <v>198</v>
      </c>
      <c r="FE594" s="18">
        <v>45723.27756944444</v>
      </c>
      <c r="FF594" s="19"/>
      <c r="FG594" s="19"/>
      <c r="FH594" s="21" t="s">
        <v>197</v>
      </c>
      <c r="FI594" s="17" t="s">
        <v>214</v>
      </c>
      <c r="FJ594" s="18">
        <v>45723.27756944444</v>
      </c>
      <c r="FK594" s="14" t="s">
        <v>13628</v>
      </c>
      <c r="FL594" s="14" t="s">
        <v>13629</v>
      </c>
      <c r="FM594" s="14" t="s">
        <v>13630</v>
      </c>
      <c r="FN594" s="19"/>
      <c r="FO594" s="19"/>
      <c r="FP594" s="19" t="str">
        <f t="shared" si="1"/>
        <v>Base de Dados_Images/PIT20082.Imagem do Equipamento-.154145.jpg</v>
      </c>
      <c r="FQ594" s="19"/>
      <c r="FR594" s="19"/>
    </row>
    <row r="595" ht="15.75" customHeight="1">
      <c r="A595" s="12" t="s">
        <v>174</v>
      </c>
      <c r="B595" s="22" t="s">
        <v>13616</v>
      </c>
      <c r="C595" s="24" t="s">
        <v>375</v>
      </c>
      <c r="D595" s="22" t="s">
        <v>13631</v>
      </c>
      <c r="E595" s="22" t="s">
        <v>13632</v>
      </c>
      <c r="F595" s="13" t="s">
        <v>178</v>
      </c>
      <c r="G595" s="14" t="s">
        <v>179</v>
      </c>
      <c r="H595" s="14" t="s">
        <v>13633</v>
      </c>
      <c r="I595" s="14" t="s">
        <v>179</v>
      </c>
      <c r="J595" s="14" t="s">
        <v>13634</v>
      </c>
      <c r="K595" s="14" t="s">
        <v>179</v>
      </c>
      <c r="L595" s="14" t="s">
        <v>13635</v>
      </c>
      <c r="M595" s="14" t="s">
        <v>179</v>
      </c>
      <c r="N595" s="14" t="s">
        <v>13636</v>
      </c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6" t="s">
        <v>197</v>
      </c>
      <c r="BP595" s="17" t="s">
        <v>198</v>
      </c>
      <c r="BQ595" s="18">
        <v>45679.62900462963</v>
      </c>
      <c r="BR595" s="17" t="s">
        <v>198</v>
      </c>
      <c r="BS595" s="18">
        <v>45679.62905092593</v>
      </c>
      <c r="BT595" s="17" t="s">
        <v>198</v>
      </c>
      <c r="BU595" s="18">
        <v>45679.62905092593</v>
      </c>
      <c r="BV595" s="13" t="s">
        <v>199</v>
      </c>
      <c r="BW595" s="14" t="s">
        <v>179</v>
      </c>
      <c r="BX595" s="14" t="s">
        <v>13637</v>
      </c>
      <c r="BY595" s="14" t="s">
        <v>179</v>
      </c>
      <c r="BZ595" s="14" t="s">
        <v>13638</v>
      </c>
      <c r="CA595" s="14" t="s">
        <v>179</v>
      </c>
      <c r="CB595" s="14" t="s">
        <v>13639</v>
      </c>
      <c r="CC595" s="15"/>
      <c r="CD595" s="15"/>
      <c r="CE595" s="15"/>
      <c r="CF595" s="15"/>
      <c r="CG595" s="19"/>
      <c r="CH595" s="15"/>
      <c r="CI595" s="19"/>
      <c r="CJ595" s="15"/>
      <c r="CK595" s="19"/>
      <c r="CL595" s="15"/>
      <c r="CM595" s="19"/>
      <c r="CN595" s="15"/>
      <c r="CO595" s="19"/>
      <c r="CP595" s="15"/>
      <c r="CQ595" s="15"/>
      <c r="CR595" s="15"/>
      <c r="CS595" s="19"/>
      <c r="CT595" s="15"/>
      <c r="CU595" s="19"/>
      <c r="CV595" s="15"/>
      <c r="CW595" s="19"/>
      <c r="CX595" s="15"/>
      <c r="CY595" s="19"/>
      <c r="CZ595" s="15"/>
      <c r="DA595" s="16" t="s">
        <v>197</v>
      </c>
      <c r="DB595" s="17" t="s">
        <v>228</v>
      </c>
      <c r="DC595" s="16"/>
      <c r="DD595" s="17" t="s">
        <v>198</v>
      </c>
      <c r="DE595" s="18">
        <v>45698.68853009259</v>
      </c>
      <c r="DF595" s="17" t="s">
        <v>198</v>
      </c>
      <c r="DG595" s="18">
        <v>45698.68853009259</v>
      </c>
      <c r="DH595" s="13" t="s">
        <v>205</v>
      </c>
      <c r="DI595" s="14" t="s">
        <v>179</v>
      </c>
      <c r="DJ595" s="14" t="s">
        <v>13640</v>
      </c>
      <c r="DK595" s="14" t="s">
        <v>179</v>
      </c>
      <c r="DL595" s="14" t="s">
        <v>13641</v>
      </c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6" t="s">
        <v>197</v>
      </c>
      <c r="ED595" s="17" t="s">
        <v>198</v>
      </c>
      <c r="EE595" s="18">
        <v>45719.47798611111</v>
      </c>
      <c r="EF595" s="13" t="s">
        <v>209</v>
      </c>
      <c r="EG595" s="14" t="s">
        <v>179</v>
      </c>
      <c r="EH595" s="14" t="s">
        <v>13642</v>
      </c>
      <c r="EI595" s="14" t="s">
        <v>179</v>
      </c>
      <c r="EJ595" s="14" t="s">
        <v>13643</v>
      </c>
      <c r="EK595" s="15"/>
      <c r="EL595" s="15"/>
      <c r="EM595" s="15"/>
      <c r="EN595" s="15"/>
      <c r="EO595" s="15"/>
      <c r="EP595" s="15"/>
      <c r="EQ595" s="15"/>
      <c r="ER595" s="15"/>
      <c r="ES595" s="15"/>
      <c r="ET595" s="15"/>
      <c r="EU595" s="15"/>
      <c r="EV595" s="15"/>
      <c r="EW595" s="15"/>
      <c r="EX595" s="15"/>
      <c r="EY595" s="15"/>
      <c r="EZ595" s="15"/>
      <c r="FA595" s="15"/>
      <c r="FB595" s="15"/>
      <c r="FC595" s="16" t="s">
        <v>197</v>
      </c>
      <c r="FD595" s="17" t="s">
        <v>198</v>
      </c>
      <c r="FE595" s="18">
        <v>45723.27767361111</v>
      </c>
      <c r="FF595" s="19"/>
      <c r="FG595" s="19"/>
      <c r="FH595" s="21" t="s">
        <v>197</v>
      </c>
      <c r="FI595" s="17" t="s">
        <v>214</v>
      </c>
      <c r="FJ595" s="18">
        <v>45723.27767361111</v>
      </c>
      <c r="FK595" s="14" t="s">
        <v>13642</v>
      </c>
      <c r="FL595" s="14" t="s">
        <v>13644</v>
      </c>
      <c r="FM595" s="14" t="s">
        <v>13645</v>
      </c>
      <c r="FN595" s="19"/>
      <c r="FO595" s="19"/>
      <c r="FP595" s="19" t="str">
        <f t="shared" si="1"/>
        <v>Base de Dados_Images/PIT20083.Imagem do Equipamento-.190710.jpg</v>
      </c>
      <c r="FQ595" s="19"/>
      <c r="FR595" s="19"/>
    </row>
    <row r="596" ht="15.75" customHeight="1">
      <c r="A596" s="12" t="s">
        <v>174</v>
      </c>
      <c r="B596" s="22" t="s">
        <v>13616</v>
      </c>
      <c r="C596" s="24" t="s">
        <v>375</v>
      </c>
      <c r="D596" s="22" t="s">
        <v>13646</v>
      </c>
      <c r="E596" s="22" t="s">
        <v>13647</v>
      </c>
      <c r="F596" s="13" t="s">
        <v>178</v>
      </c>
      <c r="G596" s="14" t="s">
        <v>179</v>
      </c>
      <c r="H596" s="14" t="s">
        <v>13648</v>
      </c>
      <c r="I596" s="14" t="s">
        <v>179</v>
      </c>
      <c r="J596" s="14" t="s">
        <v>13649</v>
      </c>
      <c r="K596" s="14" t="s">
        <v>179</v>
      </c>
      <c r="L596" s="14" t="s">
        <v>13650</v>
      </c>
      <c r="M596" s="14" t="s">
        <v>179</v>
      </c>
      <c r="N596" s="14" t="s">
        <v>13651</v>
      </c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6" t="s">
        <v>197</v>
      </c>
      <c r="BP596" s="17" t="s">
        <v>198</v>
      </c>
      <c r="BQ596" s="18">
        <v>45679.629479166666</v>
      </c>
      <c r="BR596" s="17" t="s">
        <v>198</v>
      </c>
      <c r="BS596" s="18">
        <v>45679.629525462966</v>
      </c>
      <c r="BT596" s="17" t="s">
        <v>198</v>
      </c>
      <c r="BU596" s="18">
        <v>45679.629525462966</v>
      </c>
      <c r="BV596" s="13" t="s">
        <v>199</v>
      </c>
      <c r="BW596" s="14" t="s">
        <v>179</v>
      </c>
      <c r="BX596" s="14" t="s">
        <v>13652</v>
      </c>
      <c r="BY596" s="14" t="s">
        <v>179</v>
      </c>
      <c r="BZ596" s="14" t="s">
        <v>13653</v>
      </c>
      <c r="CA596" s="14" t="s">
        <v>179</v>
      </c>
      <c r="CB596" s="14" t="s">
        <v>13654</v>
      </c>
      <c r="CC596" s="15"/>
      <c r="CD596" s="15"/>
      <c r="CE596" s="15"/>
      <c r="CF596" s="15"/>
      <c r="CG596" s="19"/>
      <c r="CH596" s="15"/>
      <c r="CI596" s="19"/>
      <c r="CJ596" s="15"/>
      <c r="CK596" s="19"/>
      <c r="CL596" s="15"/>
      <c r="CM596" s="19"/>
      <c r="CN596" s="15"/>
      <c r="CO596" s="19"/>
      <c r="CP596" s="15"/>
      <c r="CQ596" s="15"/>
      <c r="CR596" s="15"/>
      <c r="CS596" s="19"/>
      <c r="CT596" s="15"/>
      <c r="CU596" s="19"/>
      <c r="CV596" s="15"/>
      <c r="CW596" s="19"/>
      <c r="CX596" s="15"/>
      <c r="CY596" s="19"/>
      <c r="CZ596" s="15"/>
      <c r="DA596" s="16" t="s">
        <v>197</v>
      </c>
      <c r="DB596" s="17" t="s">
        <v>228</v>
      </c>
      <c r="DC596" s="16"/>
      <c r="DD596" s="17" t="s">
        <v>198</v>
      </c>
      <c r="DE596" s="18">
        <v>45698.68875</v>
      </c>
      <c r="DF596" s="17" t="s">
        <v>198</v>
      </c>
      <c r="DG596" s="18">
        <v>45698.68875</v>
      </c>
      <c r="DH596" s="13" t="s">
        <v>205</v>
      </c>
      <c r="DI596" s="14" t="s">
        <v>179</v>
      </c>
      <c r="DJ596" s="14" t="s">
        <v>13655</v>
      </c>
      <c r="DK596" s="14" t="s">
        <v>179</v>
      </c>
      <c r="DL596" s="14" t="s">
        <v>13656</v>
      </c>
      <c r="DM596" s="15"/>
      <c r="DN596" s="15"/>
      <c r="DO596" s="15"/>
      <c r="DP596" s="15"/>
      <c r="DQ596" s="15"/>
      <c r="DR596" s="15"/>
      <c r="DS596" s="15"/>
      <c r="DT596" s="15"/>
      <c r="DU596" s="15"/>
      <c r="DV596" s="15"/>
      <c r="DW596" s="15"/>
      <c r="DX596" s="15"/>
      <c r="DY596" s="15"/>
      <c r="DZ596" s="15"/>
      <c r="EA596" s="15"/>
      <c r="EB596" s="15"/>
      <c r="EC596" s="16" t="s">
        <v>197</v>
      </c>
      <c r="ED596" s="17" t="s">
        <v>198</v>
      </c>
      <c r="EE596" s="18">
        <v>45719.4780787037</v>
      </c>
      <c r="EF596" s="13" t="s">
        <v>209</v>
      </c>
      <c r="EG596" s="14" t="s">
        <v>179</v>
      </c>
      <c r="EH596" s="14" t="s">
        <v>13657</v>
      </c>
      <c r="EI596" s="14" t="s">
        <v>179</v>
      </c>
      <c r="EJ596" s="14" t="s">
        <v>13657</v>
      </c>
      <c r="EK596" s="15"/>
      <c r="EL596" s="15"/>
      <c r="EM596" s="15"/>
      <c r="EN596" s="15"/>
      <c r="EO596" s="15"/>
      <c r="EP596" s="15"/>
      <c r="EQ596" s="15"/>
      <c r="ER596" s="15"/>
      <c r="ES596" s="15"/>
      <c r="ET596" s="15"/>
      <c r="EU596" s="15"/>
      <c r="EV596" s="15"/>
      <c r="EW596" s="15"/>
      <c r="EX596" s="15"/>
      <c r="EY596" s="15"/>
      <c r="EZ596" s="15"/>
      <c r="FA596" s="15"/>
      <c r="FB596" s="15"/>
      <c r="FC596" s="16" t="s">
        <v>197</v>
      </c>
      <c r="FD596" s="17" t="s">
        <v>198</v>
      </c>
      <c r="FE596" s="18">
        <v>45723.27774305556</v>
      </c>
      <c r="FF596" s="19"/>
      <c r="FG596" s="19"/>
      <c r="FH596" s="21" t="s">
        <v>197</v>
      </c>
      <c r="FI596" s="17" t="s">
        <v>214</v>
      </c>
      <c r="FJ596" s="18">
        <v>45723.27774305556</v>
      </c>
      <c r="FK596" s="14" t="s">
        <v>13657</v>
      </c>
      <c r="FL596" s="14" t="s">
        <v>13658</v>
      </c>
      <c r="FM596" s="14" t="s">
        <v>13659</v>
      </c>
      <c r="FN596" s="19"/>
      <c r="FO596" s="19"/>
      <c r="FP596" s="19" t="str">
        <f t="shared" si="1"/>
        <v>Base de Dados_Images/PIT20084.Imagem do Equipamento-.190733.jpg</v>
      </c>
      <c r="FQ596" s="19"/>
      <c r="FR596" s="19"/>
    </row>
    <row r="597" ht="15.75" customHeight="1">
      <c r="A597" s="12" t="s">
        <v>174</v>
      </c>
      <c r="B597" s="22" t="s">
        <v>1325</v>
      </c>
      <c r="C597" s="24" t="s">
        <v>375</v>
      </c>
      <c r="D597" s="22" t="s">
        <v>13660</v>
      </c>
      <c r="E597" s="22" t="s">
        <v>13661</v>
      </c>
      <c r="F597" s="13" t="s">
        <v>178</v>
      </c>
      <c r="G597" s="14" t="s">
        <v>179</v>
      </c>
      <c r="H597" s="14" t="s">
        <v>13662</v>
      </c>
      <c r="I597" s="14" t="s">
        <v>179</v>
      </c>
      <c r="J597" s="14" t="s">
        <v>13663</v>
      </c>
      <c r="K597" s="14" t="s">
        <v>179</v>
      </c>
      <c r="L597" s="14" t="s">
        <v>13664</v>
      </c>
      <c r="M597" s="14" t="s">
        <v>179</v>
      </c>
      <c r="N597" s="14" t="s">
        <v>13665</v>
      </c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6" t="s">
        <v>197</v>
      </c>
      <c r="BP597" s="17" t="s">
        <v>198</v>
      </c>
      <c r="BQ597" s="18">
        <v>45679.63172453704</v>
      </c>
      <c r="BR597" s="17" t="s">
        <v>198</v>
      </c>
      <c r="BS597" s="18">
        <v>45679.63175925926</v>
      </c>
      <c r="BT597" s="17" t="s">
        <v>198</v>
      </c>
      <c r="BU597" s="18">
        <v>45679.63175925926</v>
      </c>
      <c r="BV597" s="13" t="s">
        <v>199</v>
      </c>
      <c r="BW597" s="14" t="s">
        <v>179</v>
      </c>
      <c r="BX597" s="14" t="s">
        <v>13666</v>
      </c>
      <c r="BY597" s="14" t="s">
        <v>179</v>
      </c>
      <c r="BZ597" s="14" t="s">
        <v>13667</v>
      </c>
      <c r="CA597" s="14" t="s">
        <v>179</v>
      </c>
      <c r="CB597" s="14" t="s">
        <v>13668</v>
      </c>
      <c r="CC597" s="15"/>
      <c r="CD597" s="15"/>
      <c r="CE597" s="15"/>
      <c r="CF597" s="15"/>
      <c r="CG597" s="19"/>
      <c r="CH597" s="15"/>
      <c r="CI597" s="19"/>
      <c r="CJ597" s="15"/>
      <c r="CK597" s="19"/>
      <c r="CL597" s="15"/>
      <c r="CM597" s="19"/>
      <c r="CN597" s="15"/>
      <c r="CO597" s="19"/>
      <c r="CP597" s="15"/>
      <c r="CQ597" s="15"/>
      <c r="CR597" s="15"/>
      <c r="CS597" s="19"/>
      <c r="CT597" s="15"/>
      <c r="CU597" s="19"/>
      <c r="CV597" s="15"/>
      <c r="CW597" s="19"/>
      <c r="CX597" s="15"/>
      <c r="CY597" s="19"/>
      <c r="CZ597" s="15"/>
      <c r="DA597" s="16" t="s">
        <v>197</v>
      </c>
      <c r="DB597" s="17" t="s">
        <v>228</v>
      </c>
      <c r="DC597" s="16"/>
      <c r="DD597" s="17" t="s">
        <v>198</v>
      </c>
      <c r="DE597" s="18">
        <v>45698.65358796297</v>
      </c>
      <c r="DF597" s="17" t="s">
        <v>198</v>
      </c>
      <c r="DG597" s="18">
        <v>45698.65358796297</v>
      </c>
      <c r="DH597" s="13" t="s">
        <v>205</v>
      </c>
      <c r="DI597" s="14" t="s">
        <v>179</v>
      </c>
      <c r="DJ597" s="14" t="s">
        <v>13669</v>
      </c>
      <c r="DK597" s="14" t="s">
        <v>179</v>
      </c>
      <c r="DL597" s="14" t="s">
        <v>13670</v>
      </c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6" t="s">
        <v>197</v>
      </c>
      <c r="ED597" s="17" t="s">
        <v>198</v>
      </c>
      <c r="EE597" s="18">
        <v>45708.3384375</v>
      </c>
      <c r="EF597" s="13" t="s">
        <v>209</v>
      </c>
      <c r="EG597" s="14" t="s">
        <v>179</v>
      </c>
      <c r="EH597" s="14" t="s">
        <v>13671</v>
      </c>
      <c r="EI597" s="14" t="s">
        <v>179</v>
      </c>
      <c r="EJ597" s="14" t="s">
        <v>13672</v>
      </c>
      <c r="EK597" s="15"/>
      <c r="EL597" s="15"/>
      <c r="EM597" s="15"/>
      <c r="EN597" s="15"/>
      <c r="EO597" s="15"/>
      <c r="EP597" s="15"/>
      <c r="EQ597" s="15"/>
      <c r="ER597" s="15"/>
      <c r="ES597" s="15"/>
      <c r="ET597" s="15"/>
      <c r="EU597" s="15"/>
      <c r="EV597" s="15"/>
      <c r="EW597" s="15"/>
      <c r="EX597" s="15"/>
      <c r="EY597" s="15"/>
      <c r="EZ597" s="15"/>
      <c r="FA597" s="15"/>
      <c r="FB597" s="15"/>
      <c r="FC597" s="16" t="s">
        <v>197</v>
      </c>
      <c r="FD597" s="17" t="s">
        <v>198</v>
      </c>
      <c r="FE597" s="18">
        <v>45723.288935185185</v>
      </c>
      <c r="FF597" s="19"/>
      <c r="FG597" s="19"/>
      <c r="FH597" s="21" t="s">
        <v>197</v>
      </c>
      <c r="FI597" s="17" t="s">
        <v>214</v>
      </c>
      <c r="FJ597" s="18">
        <v>45723.288935185185</v>
      </c>
      <c r="FK597" s="14" t="s">
        <v>13671</v>
      </c>
      <c r="FL597" s="14" t="s">
        <v>13673</v>
      </c>
      <c r="FM597" s="14" t="s">
        <v>13674</v>
      </c>
      <c r="FN597" s="19"/>
      <c r="FO597" s="19"/>
      <c r="FP597" s="19" t="str">
        <f t="shared" si="1"/>
        <v>Base de Dados_Images/PIT20085.Imagem do Equipamento-.190825.jpg</v>
      </c>
      <c r="FQ597" s="19"/>
      <c r="FR597" s="19"/>
    </row>
    <row r="598" ht="15.75" customHeight="1">
      <c r="A598" s="12" t="s">
        <v>174</v>
      </c>
      <c r="B598" s="22" t="s">
        <v>1325</v>
      </c>
      <c r="C598" s="24" t="s">
        <v>375</v>
      </c>
      <c r="D598" s="22" t="s">
        <v>13675</v>
      </c>
      <c r="E598" s="22" t="s">
        <v>13676</v>
      </c>
      <c r="F598" s="13" t="s">
        <v>178</v>
      </c>
      <c r="G598" s="14" t="s">
        <v>179</v>
      </c>
      <c r="H598" s="14" t="s">
        <v>13677</v>
      </c>
      <c r="I598" s="14" t="s">
        <v>179</v>
      </c>
      <c r="J598" s="14" t="s">
        <v>13678</v>
      </c>
      <c r="K598" s="14" t="s">
        <v>179</v>
      </c>
      <c r="L598" s="14" t="s">
        <v>13679</v>
      </c>
      <c r="M598" s="14" t="s">
        <v>179</v>
      </c>
      <c r="N598" s="14" t="s">
        <v>13680</v>
      </c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6" t="s">
        <v>197</v>
      </c>
      <c r="BP598" s="17" t="s">
        <v>198</v>
      </c>
      <c r="BQ598" s="18">
        <v>45679.630578703705</v>
      </c>
      <c r="BR598" s="17" t="s">
        <v>198</v>
      </c>
      <c r="BS598" s="18">
        <v>45679.63065972222</v>
      </c>
      <c r="BT598" s="17" t="s">
        <v>198</v>
      </c>
      <c r="BU598" s="18">
        <v>45679.63065972222</v>
      </c>
      <c r="BV598" s="13" t="s">
        <v>199</v>
      </c>
      <c r="BW598" s="14" t="s">
        <v>179</v>
      </c>
      <c r="BX598" s="14" t="s">
        <v>13681</v>
      </c>
      <c r="BY598" s="14" t="s">
        <v>179</v>
      </c>
      <c r="BZ598" s="14" t="s">
        <v>13682</v>
      </c>
      <c r="CA598" s="14" t="s">
        <v>179</v>
      </c>
      <c r="CB598" s="14" t="s">
        <v>13683</v>
      </c>
      <c r="CC598" s="15"/>
      <c r="CD598" s="15"/>
      <c r="CE598" s="15"/>
      <c r="CF598" s="15"/>
      <c r="CG598" s="19"/>
      <c r="CH598" s="15"/>
      <c r="CI598" s="19"/>
      <c r="CJ598" s="15"/>
      <c r="CK598" s="19"/>
      <c r="CL598" s="15"/>
      <c r="CM598" s="19"/>
      <c r="CN598" s="15"/>
      <c r="CO598" s="19"/>
      <c r="CP598" s="15"/>
      <c r="CQ598" s="15"/>
      <c r="CR598" s="15"/>
      <c r="CS598" s="19"/>
      <c r="CT598" s="15"/>
      <c r="CU598" s="19"/>
      <c r="CV598" s="15"/>
      <c r="CW598" s="19"/>
      <c r="CX598" s="15"/>
      <c r="CY598" s="19"/>
      <c r="CZ598" s="15"/>
      <c r="DA598" s="16" t="s">
        <v>197</v>
      </c>
      <c r="DB598" s="17" t="s">
        <v>228</v>
      </c>
      <c r="DC598" s="16"/>
      <c r="DD598" s="17" t="s">
        <v>198</v>
      </c>
      <c r="DE598" s="18">
        <v>45698.65708333333</v>
      </c>
      <c r="DF598" s="17" t="s">
        <v>198</v>
      </c>
      <c r="DG598" s="18">
        <v>45698.65708333333</v>
      </c>
      <c r="DH598" s="13" t="s">
        <v>205</v>
      </c>
      <c r="DI598" s="14" t="s">
        <v>179</v>
      </c>
      <c r="DJ598" s="14" t="s">
        <v>13684</v>
      </c>
      <c r="DK598" s="14" t="s">
        <v>179</v>
      </c>
      <c r="DL598" s="14" t="s">
        <v>13685</v>
      </c>
      <c r="DM598" s="15"/>
      <c r="DN598" s="15"/>
      <c r="DO598" s="15"/>
      <c r="DP598" s="15"/>
      <c r="DQ598" s="15"/>
      <c r="DR598" s="15"/>
      <c r="DS598" s="15"/>
      <c r="DT598" s="15"/>
      <c r="DU598" s="15"/>
      <c r="DV598" s="15"/>
      <c r="DW598" s="15"/>
      <c r="DX598" s="15"/>
      <c r="DY598" s="15"/>
      <c r="DZ598" s="15"/>
      <c r="EA598" s="15"/>
      <c r="EB598" s="15"/>
      <c r="EC598" s="16" t="s">
        <v>197</v>
      </c>
      <c r="ED598" s="17" t="s">
        <v>198</v>
      </c>
      <c r="EE598" s="18">
        <v>45708.33810185185</v>
      </c>
      <c r="EF598" s="13" t="s">
        <v>209</v>
      </c>
      <c r="EG598" s="14" t="s">
        <v>179</v>
      </c>
      <c r="EH598" s="14" t="s">
        <v>13686</v>
      </c>
      <c r="EI598" s="14" t="s">
        <v>179</v>
      </c>
      <c r="EJ598" s="14" t="s">
        <v>13687</v>
      </c>
      <c r="EK598" s="15"/>
      <c r="EL598" s="15"/>
      <c r="EM598" s="15"/>
      <c r="EN598" s="15"/>
      <c r="EO598" s="15"/>
      <c r="EP598" s="15"/>
      <c r="EQ598" s="15"/>
      <c r="ER598" s="15"/>
      <c r="ES598" s="15"/>
      <c r="ET598" s="15"/>
      <c r="EU598" s="15"/>
      <c r="EV598" s="15"/>
      <c r="EW598" s="15"/>
      <c r="EX598" s="15"/>
      <c r="EY598" s="15"/>
      <c r="EZ598" s="15"/>
      <c r="FA598" s="15"/>
      <c r="FB598" s="15"/>
      <c r="FC598" s="16" t="s">
        <v>197</v>
      </c>
      <c r="FD598" s="17" t="s">
        <v>198</v>
      </c>
      <c r="FE598" s="18">
        <v>45723.2890162037</v>
      </c>
      <c r="FF598" s="19"/>
      <c r="FG598" s="19"/>
      <c r="FH598" s="21" t="s">
        <v>197</v>
      </c>
      <c r="FI598" s="17" t="s">
        <v>214</v>
      </c>
      <c r="FJ598" s="18">
        <v>45723.2890162037</v>
      </c>
      <c r="FK598" s="14" t="s">
        <v>13686</v>
      </c>
      <c r="FL598" s="14" t="s">
        <v>13688</v>
      </c>
      <c r="FM598" s="14" t="s">
        <v>13689</v>
      </c>
      <c r="FN598" s="19"/>
      <c r="FO598" s="19"/>
      <c r="FP598" s="19" t="str">
        <f t="shared" si="1"/>
        <v>Base de Dados_Images/PIT20086.Imagem do Equipamento-.190759.jpg</v>
      </c>
      <c r="FQ598" s="19"/>
      <c r="FR598" s="19"/>
    </row>
    <row r="599" ht="15.75" customHeight="1">
      <c r="A599" s="12" t="s">
        <v>174</v>
      </c>
      <c r="B599" s="22" t="s">
        <v>1325</v>
      </c>
      <c r="C599" s="24" t="s">
        <v>375</v>
      </c>
      <c r="D599" s="22" t="s">
        <v>13690</v>
      </c>
      <c r="E599" s="22" t="s">
        <v>13691</v>
      </c>
      <c r="F599" s="13" t="s">
        <v>178</v>
      </c>
      <c r="G599" s="14" t="s">
        <v>179</v>
      </c>
      <c r="H599" s="14" t="s">
        <v>13692</v>
      </c>
      <c r="I599" s="14" t="s">
        <v>179</v>
      </c>
      <c r="J599" s="14" t="s">
        <v>13693</v>
      </c>
      <c r="K599" s="14" t="s">
        <v>179</v>
      </c>
      <c r="L599" s="14" t="s">
        <v>13694</v>
      </c>
      <c r="M599" s="14" t="s">
        <v>179</v>
      </c>
      <c r="N599" s="14" t="s">
        <v>13695</v>
      </c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6" t="s">
        <v>197</v>
      </c>
      <c r="BP599" s="17" t="s">
        <v>198</v>
      </c>
      <c r="BQ599" s="18">
        <v>45686.49729166667</v>
      </c>
      <c r="BR599" s="17" t="s">
        <v>198</v>
      </c>
      <c r="BS599" s="18">
        <v>45686.49721064815</v>
      </c>
      <c r="BT599" s="17" t="s">
        <v>198</v>
      </c>
      <c r="BU599" s="18">
        <v>45686.49729166667</v>
      </c>
      <c r="BV599" s="13" t="s">
        <v>199</v>
      </c>
      <c r="BW599" s="14" t="s">
        <v>179</v>
      </c>
      <c r="BX599" s="14" t="s">
        <v>13696</v>
      </c>
      <c r="BY599" s="14" t="s">
        <v>179</v>
      </c>
      <c r="BZ599" s="14" t="s">
        <v>13697</v>
      </c>
      <c r="CA599" s="14" t="s">
        <v>179</v>
      </c>
      <c r="CB599" s="14" t="s">
        <v>13698</v>
      </c>
      <c r="CC599" s="15"/>
      <c r="CD599" s="15"/>
      <c r="CE599" s="15"/>
      <c r="CF599" s="15"/>
      <c r="CG599" s="19"/>
      <c r="CH599" s="15"/>
      <c r="CI599" s="19"/>
      <c r="CJ599" s="15"/>
      <c r="CK599" s="19"/>
      <c r="CL599" s="15"/>
      <c r="CM599" s="19"/>
      <c r="CN599" s="15"/>
      <c r="CO599" s="19"/>
      <c r="CP599" s="15"/>
      <c r="CQ599" s="15"/>
      <c r="CR599" s="15"/>
      <c r="CS599" s="19"/>
      <c r="CT599" s="15"/>
      <c r="CU599" s="19"/>
      <c r="CV599" s="15"/>
      <c r="CW599" s="19"/>
      <c r="CX599" s="15"/>
      <c r="CY599" s="19"/>
      <c r="CZ599" s="15"/>
      <c r="DA599" s="16" t="s">
        <v>197</v>
      </c>
      <c r="DB599" s="17" t="s">
        <v>228</v>
      </c>
      <c r="DC599" s="16"/>
      <c r="DD599" s="17" t="s">
        <v>198</v>
      </c>
      <c r="DE599" s="18">
        <v>45698.62679398148</v>
      </c>
      <c r="DF599" s="17" t="s">
        <v>198</v>
      </c>
      <c r="DG599" s="18">
        <v>45698.62679398148</v>
      </c>
      <c r="DH599" s="13" t="s">
        <v>205</v>
      </c>
      <c r="DI599" s="14" t="s">
        <v>179</v>
      </c>
      <c r="DJ599" s="14" t="s">
        <v>13699</v>
      </c>
      <c r="DK599" s="14" t="s">
        <v>179</v>
      </c>
      <c r="DL599" s="14" t="s">
        <v>13700</v>
      </c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6" t="s">
        <v>197</v>
      </c>
      <c r="ED599" s="17" t="s">
        <v>198</v>
      </c>
      <c r="EE599" s="18">
        <v>45708.33797453704</v>
      </c>
      <c r="EF599" s="13" t="s">
        <v>209</v>
      </c>
      <c r="EG599" s="14" t="s">
        <v>179</v>
      </c>
      <c r="EH599" s="14" t="s">
        <v>13701</v>
      </c>
      <c r="EI599" s="14" t="s">
        <v>179</v>
      </c>
      <c r="EJ599" s="14" t="s">
        <v>13702</v>
      </c>
      <c r="EK599" s="15"/>
      <c r="EL599" s="15"/>
      <c r="EM599" s="15"/>
      <c r="EN599" s="15"/>
      <c r="EO599" s="15"/>
      <c r="EP599" s="15"/>
      <c r="EQ599" s="15"/>
      <c r="ER599" s="15"/>
      <c r="ES599" s="15"/>
      <c r="ET599" s="15"/>
      <c r="EU599" s="15"/>
      <c r="EV599" s="15"/>
      <c r="EW599" s="15"/>
      <c r="EX599" s="15"/>
      <c r="EY599" s="15"/>
      <c r="EZ599" s="15"/>
      <c r="FA599" s="15"/>
      <c r="FB599" s="15"/>
      <c r="FC599" s="16" t="s">
        <v>197</v>
      </c>
      <c r="FD599" s="17" t="s">
        <v>198</v>
      </c>
      <c r="FE599" s="18">
        <v>45723.28912037037</v>
      </c>
      <c r="FF599" s="19"/>
      <c r="FG599" s="19"/>
      <c r="FH599" s="21" t="s">
        <v>197</v>
      </c>
      <c r="FI599" s="17" t="s">
        <v>214</v>
      </c>
      <c r="FJ599" s="18">
        <v>45723.28912037037</v>
      </c>
      <c r="FK599" s="14" t="s">
        <v>13701</v>
      </c>
      <c r="FL599" s="14" t="s">
        <v>13703</v>
      </c>
      <c r="FM599" s="14" t="s">
        <v>13704</v>
      </c>
      <c r="FN599" s="19"/>
      <c r="FO599" s="19"/>
      <c r="FP599" s="19" t="str">
        <f t="shared" si="1"/>
        <v>Base de Dados_Images/PIT20087.Imagem do Equipamento-.152036.jpg</v>
      </c>
      <c r="FQ599" s="19"/>
      <c r="FR599" s="19"/>
    </row>
    <row r="600" ht="15.75" customHeight="1">
      <c r="A600" s="12" t="s">
        <v>174</v>
      </c>
      <c r="B600" s="22" t="s">
        <v>1325</v>
      </c>
      <c r="C600" s="24" t="s">
        <v>375</v>
      </c>
      <c r="D600" s="22" t="s">
        <v>13705</v>
      </c>
      <c r="E600" s="22" t="s">
        <v>13706</v>
      </c>
      <c r="F600" s="13" t="s">
        <v>178</v>
      </c>
      <c r="G600" s="14" t="s">
        <v>179</v>
      </c>
      <c r="H600" s="14" t="s">
        <v>13707</v>
      </c>
      <c r="I600" s="14" t="s">
        <v>179</v>
      </c>
      <c r="J600" s="14" t="s">
        <v>13708</v>
      </c>
      <c r="K600" s="14" t="s">
        <v>179</v>
      </c>
      <c r="L600" s="14" t="s">
        <v>13709</v>
      </c>
      <c r="M600" s="14" t="s">
        <v>179</v>
      </c>
      <c r="N600" s="14" t="s">
        <v>13710</v>
      </c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6" t="s">
        <v>197</v>
      </c>
      <c r="BP600" s="17" t="s">
        <v>198</v>
      </c>
      <c r="BQ600" s="18">
        <v>45688.481886574074</v>
      </c>
      <c r="BR600" s="17" t="s">
        <v>198</v>
      </c>
      <c r="BS600" s="18">
        <v>45688.48202546296</v>
      </c>
      <c r="BT600" s="17" t="s">
        <v>198</v>
      </c>
      <c r="BU600" s="18">
        <v>45688.48202546296</v>
      </c>
      <c r="BV600" s="13" t="s">
        <v>199</v>
      </c>
      <c r="BW600" s="14" t="s">
        <v>179</v>
      </c>
      <c r="BX600" s="14" t="s">
        <v>13711</v>
      </c>
      <c r="BY600" s="14" t="s">
        <v>179</v>
      </c>
      <c r="BZ600" s="14" t="s">
        <v>13712</v>
      </c>
      <c r="CA600" s="14" t="s">
        <v>179</v>
      </c>
      <c r="CB600" s="14" t="s">
        <v>13713</v>
      </c>
      <c r="CC600" s="15"/>
      <c r="CD600" s="15"/>
      <c r="CE600" s="15"/>
      <c r="CF600" s="15"/>
      <c r="CG600" s="19"/>
      <c r="CH600" s="15"/>
      <c r="CI600" s="19"/>
      <c r="CJ600" s="15"/>
      <c r="CK600" s="19"/>
      <c r="CL600" s="15"/>
      <c r="CM600" s="19"/>
      <c r="CN600" s="15"/>
      <c r="CO600" s="19"/>
      <c r="CP600" s="15"/>
      <c r="CQ600" s="15"/>
      <c r="CR600" s="15"/>
      <c r="CS600" s="19"/>
      <c r="CT600" s="15"/>
      <c r="CU600" s="19"/>
      <c r="CV600" s="15"/>
      <c r="CW600" s="19"/>
      <c r="CX600" s="15"/>
      <c r="CY600" s="19"/>
      <c r="CZ600" s="15"/>
      <c r="DA600" s="16" t="s">
        <v>197</v>
      </c>
      <c r="DB600" s="17" t="s">
        <v>228</v>
      </c>
      <c r="DC600" s="16"/>
      <c r="DD600" s="17" t="s">
        <v>198</v>
      </c>
      <c r="DE600" s="18">
        <v>45698.62663194445</v>
      </c>
      <c r="DF600" s="17" t="s">
        <v>198</v>
      </c>
      <c r="DG600" s="18">
        <v>45698.62663194445</v>
      </c>
      <c r="DH600" s="13" t="s">
        <v>205</v>
      </c>
      <c r="DI600" s="14" t="s">
        <v>179</v>
      </c>
      <c r="DJ600" s="14" t="s">
        <v>13714</v>
      </c>
      <c r="DK600" s="14" t="s">
        <v>179</v>
      </c>
      <c r="DL600" s="14" t="s">
        <v>13715</v>
      </c>
      <c r="DM600" s="15"/>
      <c r="DN600" s="15"/>
      <c r="DO600" s="15"/>
      <c r="DP600" s="15"/>
      <c r="DQ600" s="15"/>
      <c r="DR600" s="15"/>
      <c r="DS600" s="15"/>
      <c r="DT600" s="15"/>
      <c r="DU600" s="15"/>
      <c r="DV600" s="15"/>
      <c r="DW600" s="15"/>
      <c r="DX600" s="15"/>
      <c r="DY600" s="15"/>
      <c r="DZ600" s="15"/>
      <c r="EA600" s="15"/>
      <c r="EB600" s="15"/>
      <c r="EC600" s="16" t="s">
        <v>197</v>
      </c>
      <c r="ED600" s="17" t="s">
        <v>198</v>
      </c>
      <c r="EE600" s="18">
        <v>45708.33787037037</v>
      </c>
      <c r="EF600" s="13" t="s">
        <v>209</v>
      </c>
      <c r="EG600" s="14" t="s">
        <v>179</v>
      </c>
      <c r="EH600" s="14" t="s">
        <v>13716</v>
      </c>
      <c r="EI600" s="14" t="s">
        <v>179</v>
      </c>
      <c r="EJ600" s="14" t="s">
        <v>13716</v>
      </c>
      <c r="EK600" s="15"/>
      <c r="EL600" s="15"/>
      <c r="EM600" s="15"/>
      <c r="EN600" s="15"/>
      <c r="EO600" s="15"/>
      <c r="EP600" s="15"/>
      <c r="EQ600" s="15"/>
      <c r="ER600" s="15"/>
      <c r="ES600" s="15"/>
      <c r="ET600" s="15"/>
      <c r="EU600" s="15"/>
      <c r="EV600" s="15"/>
      <c r="EW600" s="15"/>
      <c r="EX600" s="15"/>
      <c r="EY600" s="15"/>
      <c r="EZ600" s="15"/>
      <c r="FA600" s="15"/>
      <c r="FB600" s="15"/>
      <c r="FC600" s="16" t="s">
        <v>197</v>
      </c>
      <c r="FD600" s="17" t="s">
        <v>198</v>
      </c>
      <c r="FE600" s="18">
        <v>45723.289189814815</v>
      </c>
      <c r="FF600" s="19"/>
      <c r="FG600" s="19"/>
      <c r="FH600" s="21" t="s">
        <v>197</v>
      </c>
      <c r="FI600" s="17" t="s">
        <v>214</v>
      </c>
      <c r="FJ600" s="18">
        <v>45723.289189814815</v>
      </c>
      <c r="FK600" s="14" t="s">
        <v>13716</v>
      </c>
      <c r="FL600" s="14" t="s">
        <v>13717</v>
      </c>
      <c r="FM600" s="14" t="s">
        <v>13718</v>
      </c>
      <c r="FN600" s="19"/>
      <c r="FO600" s="19"/>
      <c r="FP600" s="19" t="str">
        <f t="shared" si="1"/>
        <v>Base de Dados_Images/PIT20088.Imagem do Equipamento-.154220.jpg</v>
      </c>
      <c r="FQ600" s="19"/>
      <c r="FR600" s="19"/>
    </row>
    <row r="601" ht="15.75" customHeight="1">
      <c r="A601" s="12" t="s">
        <v>174</v>
      </c>
      <c r="B601" s="12" t="s">
        <v>716</v>
      </c>
      <c r="C601" s="24" t="s">
        <v>375</v>
      </c>
      <c r="D601" s="22" t="s">
        <v>13719</v>
      </c>
      <c r="E601" s="22" t="s">
        <v>13720</v>
      </c>
      <c r="F601" s="13" t="s">
        <v>178</v>
      </c>
      <c r="G601" s="14" t="s">
        <v>179</v>
      </c>
      <c r="H601" s="14" t="s">
        <v>13721</v>
      </c>
      <c r="I601" s="14" t="s">
        <v>179</v>
      </c>
      <c r="J601" s="14" t="s">
        <v>13721</v>
      </c>
      <c r="K601" s="14" t="s">
        <v>179</v>
      </c>
      <c r="L601" s="14" t="s">
        <v>13722</v>
      </c>
      <c r="M601" s="14" t="s">
        <v>179</v>
      </c>
      <c r="N601" s="14" t="s">
        <v>13723</v>
      </c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6" t="s">
        <v>197</v>
      </c>
      <c r="BP601" s="17" t="s">
        <v>198</v>
      </c>
      <c r="BQ601" s="18">
        <v>45701.60443287037</v>
      </c>
      <c r="BR601" s="17" t="s">
        <v>198</v>
      </c>
      <c r="BS601" s="18">
        <v>45701.60449074074</v>
      </c>
      <c r="BT601" s="17" t="s">
        <v>198</v>
      </c>
      <c r="BU601" s="18">
        <v>45701.60449074074</v>
      </c>
      <c r="BV601" s="13" t="s">
        <v>199</v>
      </c>
      <c r="BW601" s="14" t="s">
        <v>179</v>
      </c>
      <c r="BX601" s="14" t="s">
        <v>13724</v>
      </c>
      <c r="BY601" s="14" t="s">
        <v>179</v>
      </c>
      <c r="BZ601" s="14" t="s">
        <v>13725</v>
      </c>
      <c r="CA601" s="14" t="s">
        <v>179</v>
      </c>
      <c r="CB601" s="14" t="s">
        <v>13726</v>
      </c>
      <c r="CC601" s="15"/>
      <c r="CD601" s="15"/>
      <c r="CE601" s="15"/>
      <c r="CF601" s="15"/>
      <c r="CG601" s="19"/>
      <c r="CH601" s="15"/>
      <c r="CI601" s="19"/>
      <c r="CJ601" s="15"/>
      <c r="CK601" s="19"/>
      <c r="CL601" s="15"/>
      <c r="CM601" s="19"/>
      <c r="CN601" s="15"/>
      <c r="CO601" s="19"/>
      <c r="CP601" s="15"/>
      <c r="CQ601" s="15"/>
      <c r="CR601" s="15"/>
      <c r="CS601" s="19"/>
      <c r="CT601" s="15"/>
      <c r="CU601" s="19"/>
      <c r="CV601" s="15"/>
      <c r="CW601" s="19"/>
      <c r="CX601" s="15"/>
      <c r="CY601" s="19"/>
      <c r="CZ601" s="15"/>
      <c r="DA601" s="16" t="s">
        <v>197</v>
      </c>
      <c r="DB601" s="17" t="s">
        <v>228</v>
      </c>
      <c r="DC601" s="16"/>
      <c r="DD601" s="17" t="s">
        <v>198</v>
      </c>
      <c r="DE601" s="18">
        <v>45719.48616898148</v>
      </c>
      <c r="DF601" s="17" t="s">
        <v>198</v>
      </c>
      <c r="DG601" s="18">
        <v>45719.48616898148</v>
      </c>
      <c r="DH601" s="13" t="s">
        <v>205</v>
      </c>
      <c r="DI601" s="14" t="s">
        <v>179</v>
      </c>
      <c r="DJ601" s="14" t="s">
        <v>13727</v>
      </c>
      <c r="DK601" s="14" t="s">
        <v>179</v>
      </c>
      <c r="DL601" s="14" t="s">
        <v>13728</v>
      </c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6" t="s">
        <v>197</v>
      </c>
      <c r="ED601" s="17" t="s">
        <v>198</v>
      </c>
      <c r="EE601" s="18">
        <v>45719.48625</v>
      </c>
      <c r="EF601" s="13" t="s">
        <v>209</v>
      </c>
      <c r="EG601" s="14" t="s">
        <v>179</v>
      </c>
      <c r="EH601" s="14" t="s">
        <v>13729</v>
      </c>
      <c r="EI601" s="14" t="s">
        <v>179</v>
      </c>
      <c r="EJ601" s="14" t="s">
        <v>13729</v>
      </c>
      <c r="EK601" s="15"/>
      <c r="EL601" s="15"/>
      <c r="EM601" s="15"/>
      <c r="EN601" s="15"/>
      <c r="EO601" s="15"/>
      <c r="EP601" s="15"/>
      <c r="EQ601" s="15"/>
      <c r="ER601" s="15"/>
      <c r="ES601" s="15"/>
      <c r="ET601" s="15"/>
      <c r="EU601" s="15"/>
      <c r="EV601" s="15"/>
      <c r="EW601" s="15"/>
      <c r="EX601" s="15"/>
      <c r="EY601" s="15"/>
      <c r="EZ601" s="15"/>
      <c r="FA601" s="15"/>
      <c r="FB601" s="15"/>
      <c r="FC601" s="16" t="s">
        <v>197</v>
      </c>
      <c r="FD601" s="17" t="s">
        <v>198</v>
      </c>
      <c r="FE601" s="18">
        <v>45723.280185185184</v>
      </c>
      <c r="FF601" s="19"/>
      <c r="FG601" s="19"/>
      <c r="FH601" s="21" t="s">
        <v>197</v>
      </c>
      <c r="FI601" s="17" t="s">
        <v>214</v>
      </c>
      <c r="FJ601" s="18">
        <v>45723.280185185184</v>
      </c>
      <c r="FK601" s="14" t="s">
        <v>13729</v>
      </c>
      <c r="FL601" s="14" t="s">
        <v>13730</v>
      </c>
      <c r="FM601" s="14" t="s">
        <v>13731</v>
      </c>
      <c r="FN601" s="19"/>
      <c r="FO601" s="19"/>
      <c r="FP601" s="19" t="str">
        <f t="shared" si="1"/>
        <v>Base de Dados_Images/PIT20099.Imagem do Equipamento-.192905.jpg</v>
      </c>
      <c r="FQ601" s="14"/>
      <c r="FR601" s="14"/>
    </row>
    <row r="602" ht="15.75" customHeight="1">
      <c r="A602" s="12" t="s">
        <v>174</v>
      </c>
      <c r="B602" s="12" t="s">
        <v>716</v>
      </c>
      <c r="C602" s="24" t="s">
        <v>375</v>
      </c>
      <c r="D602" s="22" t="s">
        <v>13732</v>
      </c>
      <c r="E602" s="22" t="s">
        <v>13733</v>
      </c>
      <c r="F602" s="13" t="s">
        <v>178</v>
      </c>
      <c r="G602" s="14" t="s">
        <v>179</v>
      </c>
      <c r="H602" s="14" t="s">
        <v>13734</v>
      </c>
      <c r="I602" s="14" t="s">
        <v>179</v>
      </c>
      <c r="J602" s="14" t="s">
        <v>13735</v>
      </c>
      <c r="K602" s="14" t="s">
        <v>179</v>
      </c>
      <c r="L602" s="14" t="s">
        <v>13736</v>
      </c>
      <c r="M602" s="14" t="s">
        <v>179</v>
      </c>
      <c r="N602" s="14" t="s">
        <v>13737</v>
      </c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6" t="s">
        <v>197</v>
      </c>
      <c r="BP602" s="17" t="s">
        <v>198</v>
      </c>
      <c r="BQ602" s="18">
        <v>45701.60493055556</v>
      </c>
      <c r="BR602" s="17" t="s">
        <v>198</v>
      </c>
      <c r="BS602" s="18">
        <v>45701.60497685185</v>
      </c>
      <c r="BT602" s="17" t="s">
        <v>198</v>
      </c>
      <c r="BU602" s="18">
        <v>45701.60497685185</v>
      </c>
      <c r="BV602" s="13" t="s">
        <v>199</v>
      </c>
      <c r="BW602" s="14" t="s">
        <v>179</v>
      </c>
      <c r="BX602" s="14" t="s">
        <v>13738</v>
      </c>
      <c r="BY602" s="14" t="s">
        <v>179</v>
      </c>
      <c r="BZ602" s="14" t="s">
        <v>13739</v>
      </c>
      <c r="CA602" s="14" t="s">
        <v>179</v>
      </c>
      <c r="CB602" s="14" t="s">
        <v>13740</v>
      </c>
      <c r="CC602" s="15"/>
      <c r="CD602" s="15"/>
      <c r="CE602" s="15"/>
      <c r="CF602" s="15"/>
      <c r="CG602" s="19"/>
      <c r="CH602" s="15"/>
      <c r="CI602" s="19"/>
      <c r="CJ602" s="15"/>
      <c r="CK602" s="19"/>
      <c r="CL602" s="15"/>
      <c r="CM602" s="19"/>
      <c r="CN602" s="15"/>
      <c r="CO602" s="19"/>
      <c r="CP602" s="15"/>
      <c r="CQ602" s="15"/>
      <c r="CR602" s="15"/>
      <c r="CS602" s="19"/>
      <c r="CT602" s="15"/>
      <c r="CU602" s="19"/>
      <c r="CV602" s="15"/>
      <c r="CW602" s="19"/>
      <c r="CX602" s="15"/>
      <c r="CY602" s="19"/>
      <c r="CZ602" s="15"/>
      <c r="DA602" s="16" t="s">
        <v>197</v>
      </c>
      <c r="DB602" s="17" t="s">
        <v>228</v>
      </c>
      <c r="DC602" s="16"/>
      <c r="DD602" s="17" t="s">
        <v>198</v>
      </c>
      <c r="DE602" s="18">
        <v>45719.48646990741</v>
      </c>
      <c r="DF602" s="17" t="s">
        <v>198</v>
      </c>
      <c r="DG602" s="18">
        <v>45719.48646990741</v>
      </c>
      <c r="DH602" s="13" t="s">
        <v>205</v>
      </c>
      <c r="DI602" s="14" t="s">
        <v>179</v>
      </c>
      <c r="DJ602" s="14" t="s">
        <v>13741</v>
      </c>
      <c r="DK602" s="14" t="s">
        <v>179</v>
      </c>
      <c r="DL602" s="14" t="s">
        <v>13742</v>
      </c>
      <c r="DM602" s="15"/>
      <c r="DN602" s="15"/>
      <c r="DO602" s="15"/>
      <c r="DP602" s="15"/>
      <c r="DQ602" s="15"/>
      <c r="DR602" s="15"/>
      <c r="DS602" s="15"/>
      <c r="DT602" s="15"/>
      <c r="DU602" s="15"/>
      <c r="DV602" s="15"/>
      <c r="DW602" s="15"/>
      <c r="DX602" s="15"/>
      <c r="DY602" s="15"/>
      <c r="DZ602" s="15"/>
      <c r="EA602" s="15"/>
      <c r="EB602" s="15"/>
      <c r="EC602" s="16" t="s">
        <v>197</v>
      </c>
      <c r="ED602" s="17" t="s">
        <v>198</v>
      </c>
      <c r="EE602" s="18">
        <v>45719.4865162037</v>
      </c>
      <c r="EF602" s="13" t="s">
        <v>209</v>
      </c>
      <c r="EG602" s="14" t="s">
        <v>179</v>
      </c>
      <c r="EH602" s="14" t="s">
        <v>13743</v>
      </c>
      <c r="EI602" s="14" t="s">
        <v>179</v>
      </c>
      <c r="EJ602" s="14" t="s">
        <v>13744</v>
      </c>
      <c r="EK602" s="15"/>
      <c r="EL602" s="15"/>
      <c r="EM602" s="15"/>
      <c r="EN602" s="15"/>
      <c r="EO602" s="15"/>
      <c r="EP602" s="15"/>
      <c r="EQ602" s="15"/>
      <c r="ER602" s="15"/>
      <c r="ES602" s="15"/>
      <c r="ET602" s="15"/>
      <c r="EU602" s="15"/>
      <c r="EV602" s="15"/>
      <c r="EW602" s="15"/>
      <c r="EX602" s="15"/>
      <c r="EY602" s="15"/>
      <c r="EZ602" s="15"/>
      <c r="FA602" s="15"/>
      <c r="FB602" s="15"/>
      <c r="FC602" s="16" t="s">
        <v>197</v>
      </c>
      <c r="FD602" s="17" t="s">
        <v>198</v>
      </c>
      <c r="FE602" s="18">
        <v>45723.28025462963</v>
      </c>
      <c r="FF602" s="19"/>
      <c r="FG602" s="19"/>
      <c r="FH602" s="21" t="s">
        <v>197</v>
      </c>
      <c r="FI602" s="17" t="s">
        <v>214</v>
      </c>
      <c r="FJ602" s="18">
        <v>45723.28025462963</v>
      </c>
      <c r="FK602" s="14" t="s">
        <v>13743</v>
      </c>
      <c r="FL602" s="14" t="s">
        <v>13745</v>
      </c>
      <c r="FM602" s="14" t="s">
        <v>13746</v>
      </c>
      <c r="FN602" s="19"/>
      <c r="FO602" s="19"/>
      <c r="FP602" s="19" t="str">
        <f t="shared" si="1"/>
        <v>Base de Dados_Images/PIT20100.Imagem do Equipamento-.192934.jpg</v>
      </c>
      <c r="FQ602" s="14"/>
      <c r="FR602" s="14"/>
    </row>
    <row r="603" ht="15.75" customHeight="1">
      <c r="A603" s="12" t="s">
        <v>292</v>
      </c>
      <c r="B603" s="12" t="s">
        <v>391</v>
      </c>
      <c r="C603" s="24" t="s">
        <v>375</v>
      </c>
      <c r="D603" s="22" t="s">
        <v>13747</v>
      </c>
      <c r="E603" s="22" t="s">
        <v>13748</v>
      </c>
      <c r="F603" s="13" t="s">
        <v>178</v>
      </c>
      <c r="G603" s="14" t="s">
        <v>179</v>
      </c>
      <c r="H603" s="14" t="s">
        <v>13749</v>
      </c>
      <c r="I603" s="14" t="s">
        <v>179</v>
      </c>
      <c r="J603" s="14" t="s">
        <v>13750</v>
      </c>
      <c r="K603" s="14" t="s">
        <v>179</v>
      </c>
      <c r="L603" s="14" t="s">
        <v>13751</v>
      </c>
      <c r="M603" s="14" t="s">
        <v>179</v>
      </c>
      <c r="N603" s="14" t="s">
        <v>13752</v>
      </c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6" t="s">
        <v>197</v>
      </c>
      <c r="BP603" s="17" t="s">
        <v>198</v>
      </c>
      <c r="BQ603" s="18">
        <v>45687.46958333333</v>
      </c>
      <c r="BR603" s="17" t="s">
        <v>198</v>
      </c>
      <c r="BS603" s="18">
        <v>45687.46954861111</v>
      </c>
      <c r="BT603" s="17" t="s">
        <v>198</v>
      </c>
      <c r="BU603" s="18">
        <v>45687.46958333333</v>
      </c>
      <c r="BV603" s="13" t="s">
        <v>199</v>
      </c>
      <c r="BW603" s="14" t="s">
        <v>179</v>
      </c>
      <c r="BX603" s="14" t="s">
        <v>13753</v>
      </c>
      <c r="BY603" s="14" t="s">
        <v>179</v>
      </c>
      <c r="BZ603" s="14" t="s">
        <v>13754</v>
      </c>
      <c r="CA603" s="14" t="s">
        <v>179</v>
      </c>
      <c r="CB603" s="14" t="s">
        <v>13755</v>
      </c>
      <c r="CC603" s="15"/>
      <c r="CD603" s="15"/>
      <c r="CE603" s="15"/>
      <c r="CF603" s="15"/>
      <c r="CG603" s="19"/>
      <c r="CH603" s="15"/>
      <c r="CI603" s="19"/>
      <c r="CJ603" s="15"/>
      <c r="CK603" s="19"/>
      <c r="CL603" s="15"/>
      <c r="CM603" s="19"/>
      <c r="CN603" s="15"/>
      <c r="CO603" s="19"/>
      <c r="CP603" s="15"/>
      <c r="CQ603" s="15"/>
      <c r="CR603" s="15"/>
      <c r="CS603" s="19"/>
      <c r="CT603" s="15"/>
      <c r="CU603" s="19"/>
      <c r="CV603" s="15"/>
      <c r="CW603" s="19"/>
      <c r="CX603" s="15"/>
      <c r="CY603" s="19"/>
      <c r="CZ603" s="15"/>
      <c r="DA603" s="16" t="s">
        <v>197</v>
      </c>
      <c r="DB603" s="17" t="s">
        <v>228</v>
      </c>
      <c r="DC603" s="16"/>
      <c r="DD603" s="17" t="s">
        <v>198</v>
      </c>
      <c r="DE603" s="18">
        <v>45699.56565972222</v>
      </c>
      <c r="DF603" s="17" t="s">
        <v>198</v>
      </c>
      <c r="DG603" s="18">
        <v>45699.56565972222</v>
      </c>
      <c r="DH603" s="13" t="s">
        <v>205</v>
      </c>
      <c r="DI603" s="14" t="s">
        <v>179</v>
      </c>
      <c r="DJ603" s="14" t="s">
        <v>13756</v>
      </c>
      <c r="DK603" s="14" t="s">
        <v>179</v>
      </c>
      <c r="DL603" s="14" t="s">
        <v>13757</v>
      </c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6" t="s">
        <v>197</v>
      </c>
      <c r="ED603" s="17" t="s">
        <v>198</v>
      </c>
      <c r="EE603" s="18">
        <v>45699.56590277778</v>
      </c>
      <c r="EF603" s="13" t="s">
        <v>209</v>
      </c>
      <c r="EG603" s="14" t="s">
        <v>179</v>
      </c>
      <c r="EH603" s="14" t="s">
        <v>13758</v>
      </c>
      <c r="EI603" s="14" t="s">
        <v>179</v>
      </c>
      <c r="EJ603" s="14" t="s">
        <v>13759</v>
      </c>
      <c r="EK603" s="15"/>
      <c r="EL603" s="15"/>
      <c r="EM603" s="15"/>
      <c r="EN603" s="15"/>
      <c r="EO603" s="15"/>
      <c r="EP603" s="15"/>
      <c r="EQ603" s="15"/>
      <c r="ER603" s="15"/>
      <c r="ES603" s="15"/>
      <c r="ET603" s="15"/>
      <c r="EU603" s="15"/>
      <c r="EV603" s="15"/>
      <c r="EW603" s="15"/>
      <c r="EX603" s="15"/>
      <c r="EY603" s="15"/>
      <c r="EZ603" s="15"/>
      <c r="FA603" s="15"/>
      <c r="FB603" s="15"/>
      <c r="FC603" s="16" t="s">
        <v>197</v>
      </c>
      <c r="FD603" s="17" t="s">
        <v>198</v>
      </c>
      <c r="FE603" s="18">
        <v>45722.37284722222</v>
      </c>
      <c r="FF603" s="19"/>
      <c r="FG603" s="19"/>
      <c r="FH603" s="21" t="s">
        <v>197</v>
      </c>
      <c r="FI603" s="17" t="s">
        <v>214</v>
      </c>
      <c r="FJ603" s="18">
        <v>45722.37284722222</v>
      </c>
      <c r="FK603" s="14" t="s">
        <v>13759</v>
      </c>
      <c r="FL603" s="14" t="s">
        <v>13760</v>
      </c>
      <c r="FM603" s="14" t="s">
        <v>13761</v>
      </c>
      <c r="FN603" s="19"/>
      <c r="FO603" s="19"/>
      <c r="FP603" s="19" t="str">
        <f t="shared" si="1"/>
        <v>Base de Dados_Images/PIT30038.Imagem do Equipamento-.174421.jpg</v>
      </c>
      <c r="FQ603" s="19"/>
      <c r="FR603" s="19"/>
    </row>
    <row r="604" ht="15.75" customHeight="1">
      <c r="A604" s="12" t="s">
        <v>292</v>
      </c>
      <c r="B604" s="12" t="s">
        <v>391</v>
      </c>
      <c r="C604" s="24" t="s">
        <v>375</v>
      </c>
      <c r="D604" s="12" t="s">
        <v>13762</v>
      </c>
      <c r="E604" s="12" t="s">
        <v>13763</v>
      </c>
      <c r="F604" s="13" t="s">
        <v>178</v>
      </c>
      <c r="G604" s="14" t="s">
        <v>179</v>
      </c>
      <c r="H604" s="14" t="s">
        <v>13764</v>
      </c>
      <c r="I604" s="14" t="s">
        <v>179</v>
      </c>
      <c r="J604" s="14" t="s">
        <v>13765</v>
      </c>
      <c r="K604" s="14" t="s">
        <v>179</v>
      </c>
      <c r="L604" s="14" t="s">
        <v>13766</v>
      </c>
      <c r="M604" s="14" t="s">
        <v>179</v>
      </c>
      <c r="N604" s="14" t="s">
        <v>13767</v>
      </c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6" t="s">
        <v>197</v>
      </c>
      <c r="BP604" s="17" t="s">
        <v>198</v>
      </c>
      <c r="BQ604" s="18">
        <v>45687.47056712963</v>
      </c>
      <c r="BR604" s="17" t="s">
        <v>198</v>
      </c>
      <c r="BS604" s="18">
        <v>45687.47054398148</v>
      </c>
      <c r="BT604" s="17" t="s">
        <v>198</v>
      </c>
      <c r="BU604" s="18">
        <v>45687.47056712963</v>
      </c>
      <c r="BV604" s="13" t="s">
        <v>199</v>
      </c>
      <c r="BW604" s="14" t="s">
        <v>179</v>
      </c>
      <c r="BX604" s="14" t="s">
        <v>13768</v>
      </c>
      <c r="BY604" s="14" t="s">
        <v>179</v>
      </c>
      <c r="BZ604" s="14" t="s">
        <v>13769</v>
      </c>
      <c r="CA604" s="14" t="s">
        <v>179</v>
      </c>
      <c r="CB604" s="14" t="s">
        <v>13770</v>
      </c>
      <c r="CC604" s="15"/>
      <c r="CD604" s="15"/>
      <c r="CE604" s="15"/>
      <c r="CF604" s="15"/>
      <c r="CG604" s="19"/>
      <c r="CH604" s="15"/>
      <c r="CI604" s="19"/>
      <c r="CJ604" s="15"/>
      <c r="CK604" s="19"/>
      <c r="CL604" s="15"/>
      <c r="CM604" s="19"/>
      <c r="CN604" s="15"/>
      <c r="CO604" s="19"/>
      <c r="CP604" s="15"/>
      <c r="CQ604" s="15"/>
      <c r="CR604" s="15"/>
      <c r="CS604" s="19"/>
      <c r="CT604" s="15"/>
      <c r="CU604" s="19"/>
      <c r="CV604" s="15"/>
      <c r="CW604" s="19"/>
      <c r="CX604" s="15"/>
      <c r="CY604" s="19"/>
      <c r="CZ604" s="15"/>
      <c r="DA604" s="16" t="s">
        <v>197</v>
      </c>
      <c r="DB604" s="17" t="s">
        <v>228</v>
      </c>
      <c r="DC604" s="16"/>
      <c r="DD604" s="17" t="s">
        <v>198</v>
      </c>
      <c r="DE604" s="18">
        <v>45699.56967592592</v>
      </c>
      <c r="DF604" s="17" t="s">
        <v>198</v>
      </c>
      <c r="DG604" s="18">
        <v>45699.56967592592</v>
      </c>
      <c r="DH604" s="13" t="s">
        <v>205</v>
      </c>
      <c r="DI604" s="14" t="s">
        <v>179</v>
      </c>
      <c r="DJ604" s="14" t="s">
        <v>13771</v>
      </c>
      <c r="DK604" s="14" t="s">
        <v>179</v>
      </c>
      <c r="DL604" s="14" t="s">
        <v>13772</v>
      </c>
      <c r="DM604" s="15"/>
      <c r="DN604" s="15"/>
      <c r="DO604" s="15"/>
      <c r="DP604" s="15"/>
      <c r="DQ604" s="15"/>
      <c r="DR604" s="15"/>
      <c r="DS604" s="15"/>
      <c r="DT604" s="15"/>
      <c r="DU604" s="15"/>
      <c r="DV604" s="15"/>
      <c r="DW604" s="15"/>
      <c r="DX604" s="15"/>
      <c r="DY604" s="15"/>
      <c r="DZ604" s="15"/>
      <c r="EA604" s="15"/>
      <c r="EB604" s="15"/>
      <c r="EC604" s="16" t="s">
        <v>197</v>
      </c>
      <c r="ED604" s="17" t="s">
        <v>198</v>
      </c>
      <c r="EE604" s="18">
        <v>45699.56974537037</v>
      </c>
      <c r="EF604" s="13" t="s">
        <v>209</v>
      </c>
      <c r="EG604" s="14" t="s">
        <v>179</v>
      </c>
      <c r="EH604" s="14" t="s">
        <v>13773</v>
      </c>
      <c r="EI604" s="14" t="s">
        <v>179</v>
      </c>
      <c r="EJ604" s="14" t="s">
        <v>13773</v>
      </c>
      <c r="EK604" s="15"/>
      <c r="EL604" s="15"/>
      <c r="EM604" s="15"/>
      <c r="EN604" s="15"/>
      <c r="EO604" s="15"/>
      <c r="EP604" s="15"/>
      <c r="EQ604" s="15"/>
      <c r="ER604" s="15"/>
      <c r="ES604" s="15"/>
      <c r="ET604" s="15"/>
      <c r="EU604" s="15"/>
      <c r="EV604" s="15"/>
      <c r="EW604" s="15"/>
      <c r="EX604" s="15"/>
      <c r="EY604" s="15"/>
      <c r="EZ604" s="15"/>
      <c r="FA604" s="15"/>
      <c r="FB604" s="15"/>
      <c r="FC604" s="16" t="s">
        <v>197</v>
      </c>
      <c r="FD604" s="17" t="s">
        <v>198</v>
      </c>
      <c r="FE604" s="18">
        <v>45722.37290509259</v>
      </c>
      <c r="FF604" s="19"/>
      <c r="FG604" s="19"/>
      <c r="FH604" s="21" t="s">
        <v>197</v>
      </c>
      <c r="FI604" s="17" t="s">
        <v>214</v>
      </c>
      <c r="FJ604" s="18">
        <v>45722.37290509259</v>
      </c>
      <c r="FK604" s="14" t="s">
        <v>13773</v>
      </c>
      <c r="FL604" s="14" t="s">
        <v>13774</v>
      </c>
      <c r="FM604" s="14" t="s">
        <v>13775</v>
      </c>
      <c r="FN604" s="19"/>
      <c r="FO604" s="19"/>
      <c r="FP604" s="19" t="str">
        <f t="shared" si="1"/>
        <v>Base de Dados_Images/PIT30038A.Imagem do Equipamento-.174403.jpg</v>
      </c>
      <c r="FQ604" s="19"/>
      <c r="FR604" s="19"/>
    </row>
    <row r="605" ht="15.75" customHeight="1">
      <c r="A605" s="12" t="s">
        <v>292</v>
      </c>
      <c r="B605" s="12" t="s">
        <v>391</v>
      </c>
      <c r="C605" s="24" t="s">
        <v>375</v>
      </c>
      <c r="D605" s="22" t="s">
        <v>13776</v>
      </c>
      <c r="E605" s="22" t="s">
        <v>13777</v>
      </c>
      <c r="F605" s="13" t="s">
        <v>178</v>
      </c>
      <c r="G605" s="14" t="s">
        <v>179</v>
      </c>
      <c r="H605" s="14" t="s">
        <v>13778</v>
      </c>
      <c r="I605" s="14" t="s">
        <v>179</v>
      </c>
      <c r="J605" s="14" t="s">
        <v>13779</v>
      </c>
      <c r="K605" s="14" t="s">
        <v>179</v>
      </c>
      <c r="L605" s="14" t="s">
        <v>13779</v>
      </c>
      <c r="M605" s="14" t="s">
        <v>179</v>
      </c>
      <c r="N605" s="14" t="s">
        <v>13780</v>
      </c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6" t="s">
        <v>197</v>
      </c>
      <c r="BP605" s="17" t="s">
        <v>198</v>
      </c>
      <c r="BQ605" s="18">
        <v>45696.36759259259</v>
      </c>
      <c r="BR605" s="17" t="s">
        <v>198</v>
      </c>
      <c r="BS605" s="18">
        <v>45696.367638888885</v>
      </c>
      <c r="BT605" s="17" t="s">
        <v>198</v>
      </c>
      <c r="BU605" s="18">
        <v>45696.367638888885</v>
      </c>
      <c r="BV605" s="13" t="s">
        <v>199</v>
      </c>
      <c r="BW605" s="14" t="s">
        <v>179</v>
      </c>
      <c r="BX605" s="14" t="s">
        <v>13781</v>
      </c>
      <c r="BY605" s="14" t="s">
        <v>179</v>
      </c>
      <c r="BZ605" s="14" t="s">
        <v>13782</v>
      </c>
      <c r="CA605" s="14" t="s">
        <v>179</v>
      </c>
      <c r="CB605" s="14" t="s">
        <v>13783</v>
      </c>
      <c r="CC605" s="15"/>
      <c r="CD605" s="15"/>
      <c r="CE605" s="15"/>
      <c r="CF605" s="15"/>
      <c r="CG605" s="19"/>
      <c r="CH605" s="15"/>
      <c r="CI605" s="19"/>
      <c r="CJ605" s="15"/>
      <c r="CK605" s="19"/>
      <c r="CL605" s="15"/>
      <c r="CM605" s="19"/>
      <c r="CN605" s="15"/>
      <c r="CO605" s="19"/>
      <c r="CP605" s="15"/>
      <c r="CQ605" s="15"/>
      <c r="CR605" s="15"/>
      <c r="CS605" s="19"/>
      <c r="CT605" s="15"/>
      <c r="CU605" s="19"/>
      <c r="CV605" s="15"/>
      <c r="CW605" s="19"/>
      <c r="CX605" s="15"/>
      <c r="CY605" s="19"/>
      <c r="CZ605" s="15"/>
      <c r="DA605" s="16" t="s">
        <v>197</v>
      </c>
      <c r="DB605" s="17" t="s">
        <v>228</v>
      </c>
      <c r="DC605" s="16"/>
      <c r="DD605" s="17" t="s">
        <v>198</v>
      </c>
      <c r="DE605" s="18">
        <v>45696.367731481485</v>
      </c>
      <c r="DF605" s="17" t="s">
        <v>198</v>
      </c>
      <c r="DG605" s="18">
        <v>45696.367731481485</v>
      </c>
      <c r="DH605" s="13" t="s">
        <v>205</v>
      </c>
      <c r="DI605" s="14" t="s">
        <v>179</v>
      </c>
      <c r="DJ605" s="14" t="s">
        <v>13784</v>
      </c>
      <c r="DK605" s="14" t="s">
        <v>179</v>
      </c>
      <c r="DL605" s="14" t="s">
        <v>13785</v>
      </c>
      <c r="DM605" s="15"/>
      <c r="DN605" s="15"/>
      <c r="DO605" s="15"/>
      <c r="DP605" s="15"/>
      <c r="DQ605" s="15"/>
      <c r="DR605" s="15"/>
      <c r="DS605" s="15"/>
      <c r="DT605" s="15"/>
      <c r="DU605" s="15"/>
      <c r="DV605" s="15"/>
      <c r="DW605" s="15"/>
      <c r="DX605" s="15"/>
      <c r="DY605" s="15"/>
      <c r="DZ605" s="15"/>
      <c r="EA605" s="15"/>
      <c r="EB605" s="15"/>
      <c r="EC605" s="16" t="s">
        <v>197</v>
      </c>
      <c r="ED605" s="17" t="s">
        <v>198</v>
      </c>
      <c r="EE605" s="18">
        <v>45719.508738425924</v>
      </c>
      <c r="EF605" s="13" t="s">
        <v>209</v>
      </c>
      <c r="EG605" s="14" t="s">
        <v>179</v>
      </c>
      <c r="EH605" s="14" t="s">
        <v>13786</v>
      </c>
      <c r="EI605" s="14" t="s">
        <v>179</v>
      </c>
      <c r="EJ605" s="14" t="s">
        <v>13787</v>
      </c>
      <c r="EK605" s="15"/>
      <c r="EL605" s="15"/>
      <c r="EM605" s="15"/>
      <c r="EN605" s="15"/>
      <c r="EO605" s="15"/>
      <c r="EP605" s="15"/>
      <c r="EQ605" s="15"/>
      <c r="ER605" s="15"/>
      <c r="ES605" s="15"/>
      <c r="ET605" s="15"/>
      <c r="EU605" s="15"/>
      <c r="EV605" s="15"/>
      <c r="EW605" s="15"/>
      <c r="EX605" s="15"/>
      <c r="EY605" s="15"/>
      <c r="EZ605" s="15"/>
      <c r="FA605" s="15"/>
      <c r="FB605" s="15"/>
      <c r="FC605" s="16" t="s">
        <v>197</v>
      </c>
      <c r="FD605" s="17" t="s">
        <v>198</v>
      </c>
      <c r="FE605" s="18">
        <v>45722.37296296296</v>
      </c>
      <c r="FF605" s="19"/>
      <c r="FG605" s="19"/>
      <c r="FH605" s="21" t="s">
        <v>197</v>
      </c>
      <c r="FI605" s="17" t="s">
        <v>214</v>
      </c>
      <c r="FJ605" s="18">
        <v>45722.37296296296</v>
      </c>
      <c r="FK605" s="14" t="s">
        <v>13786</v>
      </c>
      <c r="FL605" s="19"/>
      <c r="FM605" s="19"/>
      <c r="FN605" s="19"/>
      <c r="FO605" s="19"/>
      <c r="FP605" s="19" t="str">
        <f t="shared" si="1"/>
        <v/>
      </c>
      <c r="FQ605" s="14" t="s">
        <v>215</v>
      </c>
      <c r="FR605" s="14" t="s">
        <v>13788</v>
      </c>
    </row>
    <row r="606" ht="15.75" customHeight="1">
      <c r="A606" s="12" t="s">
        <v>292</v>
      </c>
      <c r="B606" s="12" t="s">
        <v>13789</v>
      </c>
      <c r="C606" s="24" t="s">
        <v>375</v>
      </c>
      <c r="D606" s="22" t="s">
        <v>13790</v>
      </c>
      <c r="E606" s="22" t="s">
        <v>13791</v>
      </c>
      <c r="F606" s="13" t="s">
        <v>178</v>
      </c>
      <c r="G606" s="14" t="s">
        <v>179</v>
      </c>
      <c r="H606" s="14" t="s">
        <v>13792</v>
      </c>
      <c r="I606" s="14" t="s">
        <v>179</v>
      </c>
      <c r="J606" s="14" t="s">
        <v>13793</v>
      </c>
      <c r="K606" s="14" t="s">
        <v>179</v>
      </c>
      <c r="L606" s="14" t="s">
        <v>13794</v>
      </c>
      <c r="M606" s="14" t="s">
        <v>179</v>
      </c>
      <c r="N606" s="14" t="s">
        <v>13795</v>
      </c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6" t="s">
        <v>197</v>
      </c>
      <c r="BP606" s="17" t="s">
        <v>198</v>
      </c>
      <c r="BQ606" s="18">
        <v>45687.4578587963</v>
      </c>
      <c r="BR606" s="17" t="s">
        <v>198</v>
      </c>
      <c r="BS606" s="18">
        <v>45687.457824074074</v>
      </c>
      <c r="BT606" s="17" t="s">
        <v>198</v>
      </c>
      <c r="BU606" s="18">
        <v>45687.4578587963</v>
      </c>
      <c r="BV606" s="13" t="s">
        <v>199</v>
      </c>
      <c r="BW606" s="14" t="s">
        <v>179</v>
      </c>
      <c r="BX606" s="14" t="s">
        <v>13796</v>
      </c>
      <c r="BY606" s="14" t="s">
        <v>179</v>
      </c>
      <c r="BZ606" s="14" t="s">
        <v>13797</v>
      </c>
      <c r="CA606" s="14" t="s">
        <v>179</v>
      </c>
      <c r="CB606" s="14" t="s">
        <v>13796</v>
      </c>
      <c r="CC606" s="15"/>
      <c r="CD606" s="15"/>
      <c r="CE606" s="15"/>
      <c r="CF606" s="15"/>
      <c r="CG606" s="19"/>
      <c r="CH606" s="15"/>
      <c r="CI606" s="19"/>
      <c r="CJ606" s="15"/>
      <c r="CK606" s="19"/>
      <c r="CL606" s="15"/>
      <c r="CM606" s="19"/>
      <c r="CN606" s="15"/>
      <c r="CO606" s="19"/>
      <c r="CP606" s="15"/>
      <c r="CQ606" s="15"/>
      <c r="CR606" s="15"/>
      <c r="CS606" s="19"/>
      <c r="CT606" s="15"/>
      <c r="CU606" s="19"/>
      <c r="CV606" s="15"/>
      <c r="CW606" s="19"/>
      <c r="CX606" s="15"/>
      <c r="CY606" s="19"/>
      <c r="CZ606" s="15"/>
      <c r="DA606" s="16" t="s">
        <v>197</v>
      </c>
      <c r="DB606" s="17" t="s">
        <v>228</v>
      </c>
      <c r="DC606" s="16"/>
      <c r="DD606" s="17" t="s">
        <v>198</v>
      </c>
      <c r="DE606" s="18">
        <v>45691.619259259256</v>
      </c>
      <c r="DF606" s="17" t="s">
        <v>198</v>
      </c>
      <c r="DG606" s="18">
        <v>45691.619259259256</v>
      </c>
      <c r="DH606" s="13" t="s">
        <v>205</v>
      </c>
      <c r="DI606" s="14" t="s">
        <v>179</v>
      </c>
      <c r="DJ606" s="14" t="s">
        <v>13798</v>
      </c>
      <c r="DK606" s="14" t="s">
        <v>179</v>
      </c>
      <c r="DL606" s="14" t="s">
        <v>13799</v>
      </c>
      <c r="DM606" s="15"/>
      <c r="DN606" s="15"/>
      <c r="DO606" s="15"/>
      <c r="DP606" s="15"/>
      <c r="DQ606" s="15"/>
      <c r="DR606" s="15"/>
      <c r="DS606" s="15"/>
      <c r="DT606" s="15"/>
      <c r="DU606" s="15"/>
      <c r="DV606" s="15"/>
      <c r="DW606" s="15"/>
      <c r="DX606" s="15"/>
      <c r="DY606" s="15"/>
      <c r="DZ606" s="15"/>
      <c r="EA606" s="15"/>
      <c r="EB606" s="15"/>
      <c r="EC606" s="16" t="s">
        <v>197</v>
      </c>
      <c r="ED606" s="17" t="s">
        <v>198</v>
      </c>
      <c r="EE606" s="18">
        <v>45695.634108796294</v>
      </c>
      <c r="EF606" s="13" t="s">
        <v>209</v>
      </c>
      <c r="EG606" s="14" t="s">
        <v>179</v>
      </c>
      <c r="EH606" s="14" t="s">
        <v>13800</v>
      </c>
      <c r="EI606" s="14" t="s">
        <v>179</v>
      </c>
      <c r="EJ606" s="14" t="s">
        <v>13801</v>
      </c>
      <c r="EK606" s="15"/>
      <c r="EL606" s="15"/>
      <c r="EM606" s="15"/>
      <c r="EN606" s="15"/>
      <c r="EO606" s="15"/>
      <c r="EP606" s="15"/>
      <c r="EQ606" s="15"/>
      <c r="ER606" s="15"/>
      <c r="ES606" s="15"/>
      <c r="ET606" s="15"/>
      <c r="EU606" s="15"/>
      <c r="EV606" s="15"/>
      <c r="EW606" s="15"/>
      <c r="EX606" s="15"/>
      <c r="EY606" s="15"/>
      <c r="EZ606" s="15"/>
      <c r="FA606" s="15"/>
      <c r="FB606" s="15"/>
      <c r="FC606" s="16" t="s">
        <v>197</v>
      </c>
      <c r="FD606" s="17" t="s">
        <v>198</v>
      </c>
      <c r="FE606" s="18">
        <v>45723.292974537035</v>
      </c>
      <c r="FF606" s="19"/>
      <c r="FG606" s="19"/>
      <c r="FH606" s="21" t="s">
        <v>197</v>
      </c>
      <c r="FI606" s="17" t="s">
        <v>214</v>
      </c>
      <c r="FJ606" s="18">
        <v>45723.292974537035</v>
      </c>
      <c r="FK606" s="14" t="s">
        <v>13801</v>
      </c>
      <c r="FL606" s="14" t="s">
        <v>13802</v>
      </c>
      <c r="FM606" s="14" t="s">
        <v>13803</v>
      </c>
      <c r="FN606" s="19"/>
      <c r="FO606" s="19"/>
      <c r="FP606" s="19" t="str">
        <f t="shared" si="1"/>
        <v>Base de Dados_Images/PIT30040.Imagem do Equipamento-.174602.jpg</v>
      </c>
      <c r="FQ606" s="19"/>
      <c r="FR606" s="19"/>
    </row>
    <row r="607" ht="15.75" customHeight="1">
      <c r="A607" s="12" t="s">
        <v>292</v>
      </c>
      <c r="B607" s="12" t="s">
        <v>11020</v>
      </c>
      <c r="C607" s="24" t="s">
        <v>375</v>
      </c>
      <c r="D607" s="22" t="s">
        <v>13804</v>
      </c>
      <c r="E607" s="22" t="s">
        <v>13805</v>
      </c>
      <c r="F607" s="13" t="s">
        <v>178</v>
      </c>
      <c r="G607" s="14" t="s">
        <v>179</v>
      </c>
      <c r="H607" s="14" t="s">
        <v>13806</v>
      </c>
      <c r="I607" s="14" t="s">
        <v>179</v>
      </c>
      <c r="J607" s="14" t="s">
        <v>13807</v>
      </c>
      <c r="K607" s="14" t="s">
        <v>179</v>
      </c>
      <c r="L607" s="14" t="s">
        <v>13808</v>
      </c>
      <c r="M607" s="14" t="s">
        <v>179</v>
      </c>
      <c r="N607" s="14" t="s">
        <v>13809</v>
      </c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6" t="s">
        <v>197</v>
      </c>
      <c r="BP607" s="17" t="s">
        <v>198</v>
      </c>
      <c r="BQ607" s="18">
        <v>45687.458391203705</v>
      </c>
      <c r="BR607" s="17" t="s">
        <v>198</v>
      </c>
      <c r="BS607" s="18">
        <v>45687.45836805556</v>
      </c>
      <c r="BT607" s="17" t="s">
        <v>198</v>
      </c>
      <c r="BU607" s="18">
        <v>45687.458391203705</v>
      </c>
      <c r="BV607" s="13" t="s">
        <v>199</v>
      </c>
      <c r="BW607" s="14" t="s">
        <v>179</v>
      </c>
      <c r="BX607" s="14" t="s">
        <v>13810</v>
      </c>
      <c r="BY607" s="14" t="s">
        <v>179</v>
      </c>
      <c r="BZ607" s="14" t="s">
        <v>13811</v>
      </c>
      <c r="CA607" s="14" t="s">
        <v>179</v>
      </c>
      <c r="CB607" s="14" t="s">
        <v>13812</v>
      </c>
      <c r="CC607" s="15"/>
      <c r="CD607" s="15"/>
      <c r="CE607" s="15"/>
      <c r="CF607" s="15"/>
      <c r="CG607" s="19"/>
      <c r="CH607" s="15"/>
      <c r="CI607" s="19"/>
      <c r="CJ607" s="15"/>
      <c r="CK607" s="19"/>
      <c r="CL607" s="15"/>
      <c r="CM607" s="19"/>
      <c r="CN607" s="15"/>
      <c r="CO607" s="19"/>
      <c r="CP607" s="15"/>
      <c r="CQ607" s="15"/>
      <c r="CR607" s="15"/>
      <c r="CS607" s="19"/>
      <c r="CT607" s="15"/>
      <c r="CU607" s="19"/>
      <c r="CV607" s="15"/>
      <c r="CW607" s="19"/>
      <c r="CX607" s="15"/>
      <c r="CY607" s="19"/>
      <c r="CZ607" s="15"/>
      <c r="DA607" s="16" t="s">
        <v>197</v>
      </c>
      <c r="DB607" s="17" t="s">
        <v>228</v>
      </c>
      <c r="DC607" s="16"/>
      <c r="DD607" s="17" t="s">
        <v>198</v>
      </c>
      <c r="DE607" s="18">
        <v>45698.70119212963</v>
      </c>
      <c r="DF607" s="17" t="s">
        <v>198</v>
      </c>
      <c r="DG607" s="18">
        <v>45698.70119212963</v>
      </c>
      <c r="DH607" s="13" t="s">
        <v>205</v>
      </c>
      <c r="DI607" s="14" t="s">
        <v>179</v>
      </c>
      <c r="DJ607" s="14" t="s">
        <v>13813</v>
      </c>
      <c r="DK607" s="14" t="s">
        <v>179</v>
      </c>
      <c r="DL607" s="14" t="s">
        <v>13814</v>
      </c>
      <c r="DM607" s="15"/>
      <c r="DN607" s="15"/>
      <c r="DO607" s="15"/>
      <c r="DP607" s="15"/>
      <c r="DQ607" s="15"/>
      <c r="DR607" s="15"/>
      <c r="DS607" s="15"/>
      <c r="DT607" s="15"/>
      <c r="DU607" s="15"/>
      <c r="DV607" s="15"/>
      <c r="DW607" s="15"/>
      <c r="DX607" s="15"/>
      <c r="DY607" s="15"/>
      <c r="DZ607" s="15"/>
      <c r="EA607" s="15"/>
      <c r="EB607" s="15"/>
      <c r="EC607" s="16" t="s">
        <v>197</v>
      </c>
      <c r="ED607" s="17" t="s">
        <v>198</v>
      </c>
      <c r="EE607" s="18">
        <v>45719.47487268518</v>
      </c>
      <c r="EF607" s="13" t="s">
        <v>209</v>
      </c>
      <c r="EG607" s="14" t="s">
        <v>179</v>
      </c>
      <c r="EH607" s="14" t="s">
        <v>13815</v>
      </c>
      <c r="EI607" s="14" t="s">
        <v>179</v>
      </c>
      <c r="EJ607" s="14" t="s">
        <v>13816</v>
      </c>
      <c r="EK607" s="15"/>
      <c r="EL607" s="15"/>
      <c r="EM607" s="15"/>
      <c r="EN607" s="15"/>
      <c r="EO607" s="15"/>
      <c r="EP607" s="15"/>
      <c r="EQ607" s="15"/>
      <c r="ER607" s="15"/>
      <c r="ES607" s="15"/>
      <c r="ET607" s="15"/>
      <c r="EU607" s="15"/>
      <c r="EV607" s="15"/>
      <c r="EW607" s="15"/>
      <c r="EX607" s="15"/>
      <c r="EY607" s="15"/>
      <c r="EZ607" s="15"/>
      <c r="FA607" s="15"/>
      <c r="FB607" s="15"/>
      <c r="FC607" s="16" t="s">
        <v>197</v>
      </c>
      <c r="FD607" s="17" t="s">
        <v>198</v>
      </c>
      <c r="FE607" s="18">
        <v>45723.293587962966</v>
      </c>
      <c r="FF607" s="19"/>
      <c r="FG607" s="19"/>
      <c r="FH607" s="21" t="s">
        <v>197</v>
      </c>
      <c r="FI607" s="17" t="s">
        <v>214</v>
      </c>
      <c r="FJ607" s="18">
        <v>45723.293587962966</v>
      </c>
      <c r="FK607" s="14" t="s">
        <v>13815</v>
      </c>
      <c r="FL607" s="14" t="s">
        <v>13817</v>
      </c>
      <c r="FM607" s="14" t="s">
        <v>13818</v>
      </c>
      <c r="FN607" s="19"/>
      <c r="FO607" s="19"/>
      <c r="FP607" s="19" t="str">
        <f t="shared" si="1"/>
        <v>Base de Dados_Images/PIT30041.Imagem do Equipamento-.175052.jpg</v>
      </c>
      <c r="FQ607" s="19"/>
      <c r="FR607" s="19"/>
    </row>
    <row r="608" ht="15.75" customHeight="1">
      <c r="A608" s="12" t="s">
        <v>292</v>
      </c>
      <c r="B608" s="12" t="s">
        <v>11027</v>
      </c>
      <c r="C608" s="24" t="s">
        <v>375</v>
      </c>
      <c r="D608" s="22" t="s">
        <v>13819</v>
      </c>
      <c r="E608" s="22" t="s">
        <v>13820</v>
      </c>
      <c r="F608" s="13" t="s">
        <v>178</v>
      </c>
      <c r="G608" s="14" t="s">
        <v>179</v>
      </c>
      <c r="H608" s="14" t="s">
        <v>13821</v>
      </c>
      <c r="I608" s="14" t="s">
        <v>179</v>
      </c>
      <c r="J608" s="14" t="s">
        <v>13822</v>
      </c>
      <c r="K608" s="14" t="s">
        <v>179</v>
      </c>
      <c r="L608" s="14" t="s">
        <v>13823</v>
      </c>
      <c r="M608" s="14" t="s">
        <v>179</v>
      </c>
      <c r="N608" s="14" t="s">
        <v>13824</v>
      </c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6" t="s">
        <v>197</v>
      </c>
      <c r="BP608" s="17" t="s">
        <v>198</v>
      </c>
      <c r="BQ608" s="18">
        <v>45686.550833333335</v>
      </c>
      <c r="BR608" s="17" t="s">
        <v>198</v>
      </c>
      <c r="BS608" s="18">
        <v>45686.55082175926</v>
      </c>
      <c r="BT608" s="17" t="s">
        <v>198</v>
      </c>
      <c r="BU608" s="18">
        <v>45686.550833333335</v>
      </c>
      <c r="BV608" s="13" t="s">
        <v>199</v>
      </c>
      <c r="BW608" s="14" t="s">
        <v>179</v>
      </c>
      <c r="BX608" s="14" t="s">
        <v>13825</v>
      </c>
      <c r="BY608" s="14" t="s">
        <v>179</v>
      </c>
      <c r="BZ608" s="14" t="s">
        <v>13826</v>
      </c>
      <c r="CA608" s="14" t="s">
        <v>179</v>
      </c>
      <c r="CB608" s="14" t="s">
        <v>13827</v>
      </c>
      <c r="CC608" s="15"/>
      <c r="CD608" s="15"/>
      <c r="CE608" s="15"/>
      <c r="CF608" s="15"/>
      <c r="CG608" s="19"/>
      <c r="CH608" s="15"/>
      <c r="CI608" s="19"/>
      <c r="CJ608" s="15"/>
      <c r="CK608" s="19"/>
      <c r="CL608" s="15"/>
      <c r="CM608" s="19"/>
      <c r="CN608" s="15"/>
      <c r="CO608" s="19"/>
      <c r="CP608" s="15"/>
      <c r="CQ608" s="15"/>
      <c r="CR608" s="15"/>
      <c r="CS608" s="19"/>
      <c r="CT608" s="15"/>
      <c r="CU608" s="19"/>
      <c r="CV608" s="15"/>
      <c r="CW608" s="19"/>
      <c r="CX608" s="15"/>
      <c r="CY608" s="19"/>
      <c r="CZ608" s="15"/>
      <c r="DA608" s="16" t="s">
        <v>197</v>
      </c>
      <c r="DB608" s="17" t="s">
        <v>228</v>
      </c>
      <c r="DC608" s="16"/>
      <c r="DD608" s="17" t="s">
        <v>198</v>
      </c>
      <c r="DE608" s="18">
        <v>45699.5793287037</v>
      </c>
      <c r="DF608" s="17" t="s">
        <v>198</v>
      </c>
      <c r="DG608" s="18">
        <v>45699.5793287037</v>
      </c>
      <c r="DH608" s="13" t="s">
        <v>205</v>
      </c>
      <c r="DI608" s="14" t="s">
        <v>179</v>
      </c>
      <c r="DJ608" s="14" t="s">
        <v>13828</v>
      </c>
      <c r="DK608" s="14" t="s">
        <v>179</v>
      </c>
      <c r="DL608" s="14" t="s">
        <v>13829</v>
      </c>
      <c r="DM608" s="15"/>
      <c r="DN608" s="15"/>
      <c r="DO608" s="15"/>
      <c r="DP608" s="15"/>
      <c r="DQ608" s="15"/>
      <c r="DR608" s="15"/>
      <c r="DS608" s="15"/>
      <c r="DT608" s="15"/>
      <c r="DU608" s="15"/>
      <c r="DV608" s="15"/>
      <c r="DW608" s="15"/>
      <c r="DX608" s="15"/>
      <c r="DY608" s="15"/>
      <c r="DZ608" s="15"/>
      <c r="EA608" s="15"/>
      <c r="EB608" s="15"/>
      <c r="EC608" s="16" t="s">
        <v>197</v>
      </c>
      <c r="ED608" s="17" t="s">
        <v>198</v>
      </c>
      <c r="EE608" s="18">
        <v>45719.46738425926</v>
      </c>
      <c r="EF608" s="13" t="s">
        <v>209</v>
      </c>
      <c r="EG608" s="14" t="s">
        <v>179</v>
      </c>
      <c r="EH608" s="14" t="s">
        <v>13830</v>
      </c>
      <c r="EI608" s="14" t="s">
        <v>179</v>
      </c>
      <c r="EJ608" s="14" t="s">
        <v>13831</v>
      </c>
      <c r="EK608" s="15"/>
      <c r="EL608" s="15"/>
      <c r="EM608" s="15"/>
      <c r="EN608" s="15"/>
      <c r="EO608" s="15"/>
      <c r="EP608" s="15"/>
      <c r="EQ608" s="15"/>
      <c r="ER608" s="15"/>
      <c r="ES608" s="15"/>
      <c r="ET608" s="15"/>
      <c r="EU608" s="15"/>
      <c r="EV608" s="15"/>
      <c r="EW608" s="15"/>
      <c r="EX608" s="15"/>
      <c r="EY608" s="15"/>
      <c r="EZ608" s="15"/>
      <c r="FA608" s="15"/>
      <c r="FB608" s="15"/>
      <c r="FC608" s="16" t="s">
        <v>197</v>
      </c>
      <c r="FD608" s="17" t="s">
        <v>198</v>
      </c>
      <c r="FE608" s="18">
        <v>45722.50771990741</v>
      </c>
      <c r="FF608" s="19"/>
      <c r="FG608" s="19"/>
      <c r="FH608" s="21" t="s">
        <v>197</v>
      </c>
      <c r="FI608" s="17" t="s">
        <v>214</v>
      </c>
      <c r="FJ608" s="18">
        <v>45722.50771990741</v>
      </c>
      <c r="FK608" s="14" t="s">
        <v>13831</v>
      </c>
      <c r="FL608" s="14" t="s">
        <v>13832</v>
      </c>
      <c r="FM608" s="14" t="s">
        <v>13833</v>
      </c>
      <c r="FN608" s="19"/>
      <c r="FO608" s="19"/>
      <c r="FP608" s="19" t="str">
        <f t="shared" si="1"/>
        <v>Base de Dados_Images/PIT30042.Imagem do Equipamento-.172751.jpg</v>
      </c>
      <c r="FQ608" s="19"/>
      <c r="FR608" s="19"/>
    </row>
    <row r="609" ht="15.75" customHeight="1">
      <c r="A609" s="12" t="s">
        <v>292</v>
      </c>
      <c r="B609" s="12" t="s">
        <v>13834</v>
      </c>
      <c r="C609" s="24" t="s">
        <v>375</v>
      </c>
      <c r="D609" s="22" t="s">
        <v>13835</v>
      </c>
      <c r="E609" s="22" t="s">
        <v>13836</v>
      </c>
      <c r="F609" s="13" t="s">
        <v>178</v>
      </c>
      <c r="G609" s="14" t="s">
        <v>179</v>
      </c>
      <c r="H609" s="14" t="s">
        <v>13837</v>
      </c>
      <c r="I609" s="14" t="s">
        <v>179</v>
      </c>
      <c r="J609" s="14" t="s">
        <v>13838</v>
      </c>
      <c r="K609" s="14" t="s">
        <v>179</v>
      </c>
      <c r="L609" s="14" t="s">
        <v>13838</v>
      </c>
      <c r="M609" s="14" t="s">
        <v>179</v>
      </c>
      <c r="N609" s="14" t="s">
        <v>13839</v>
      </c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6" t="s">
        <v>197</v>
      </c>
      <c r="BP609" s="17" t="s">
        <v>198</v>
      </c>
      <c r="BQ609" s="18">
        <v>45694.48232638889</v>
      </c>
      <c r="BR609" s="17" t="s">
        <v>198</v>
      </c>
      <c r="BS609" s="18">
        <v>45694.48236111111</v>
      </c>
      <c r="BT609" s="17" t="s">
        <v>198</v>
      </c>
      <c r="BU609" s="18">
        <v>45694.48236111111</v>
      </c>
      <c r="BV609" s="13" t="s">
        <v>199</v>
      </c>
      <c r="BW609" s="14" t="s">
        <v>179</v>
      </c>
      <c r="BX609" s="14" t="s">
        <v>13840</v>
      </c>
      <c r="BY609" s="14" t="s">
        <v>179</v>
      </c>
      <c r="BZ609" s="14" t="s">
        <v>13841</v>
      </c>
      <c r="CA609" s="14" t="s">
        <v>179</v>
      </c>
      <c r="CB609" s="14" t="s">
        <v>13842</v>
      </c>
      <c r="CC609" s="15"/>
      <c r="CD609" s="15"/>
      <c r="CE609" s="15"/>
      <c r="CF609" s="15"/>
      <c r="CG609" s="19"/>
      <c r="CH609" s="15"/>
      <c r="CI609" s="19"/>
      <c r="CJ609" s="15"/>
      <c r="CK609" s="19"/>
      <c r="CL609" s="15"/>
      <c r="CM609" s="19"/>
      <c r="CN609" s="15"/>
      <c r="CO609" s="19"/>
      <c r="CP609" s="15"/>
      <c r="CQ609" s="15"/>
      <c r="CR609" s="15"/>
      <c r="CS609" s="19"/>
      <c r="CT609" s="15"/>
      <c r="CU609" s="19"/>
      <c r="CV609" s="15"/>
      <c r="CW609" s="19"/>
      <c r="CX609" s="15"/>
      <c r="CY609" s="19"/>
      <c r="CZ609" s="15"/>
      <c r="DA609" s="16" t="s">
        <v>197</v>
      </c>
      <c r="DB609" s="17" t="s">
        <v>228</v>
      </c>
      <c r="DC609" s="16"/>
      <c r="DD609" s="17" t="s">
        <v>198</v>
      </c>
      <c r="DE609" s="18">
        <v>45719.473333333335</v>
      </c>
      <c r="DF609" s="17" t="s">
        <v>198</v>
      </c>
      <c r="DG609" s="18">
        <v>45719.473333333335</v>
      </c>
      <c r="DH609" s="13" t="s">
        <v>205</v>
      </c>
      <c r="DI609" s="14" t="s">
        <v>179</v>
      </c>
      <c r="DJ609" s="14" t="s">
        <v>13843</v>
      </c>
      <c r="DK609" s="14" t="s">
        <v>179</v>
      </c>
      <c r="DL609" s="14" t="s">
        <v>13843</v>
      </c>
      <c r="DM609" s="15"/>
      <c r="DN609" s="15"/>
      <c r="DO609" s="15"/>
      <c r="DP609" s="15"/>
      <c r="DQ609" s="15"/>
      <c r="DR609" s="15"/>
      <c r="DS609" s="15"/>
      <c r="DT609" s="15"/>
      <c r="DU609" s="15"/>
      <c r="DV609" s="15"/>
      <c r="DW609" s="15"/>
      <c r="DX609" s="15"/>
      <c r="DY609" s="15"/>
      <c r="DZ609" s="15"/>
      <c r="EA609" s="15"/>
      <c r="EB609" s="15"/>
      <c r="EC609" s="16" t="s">
        <v>197</v>
      </c>
      <c r="ED609" s="17" t="s">
        <v>198</v>
      </c>
      <c r="EE609" s="18">
        <v>45719.47337962963</v>
      </c>
      <c r="EF609" s="13" t="s">
        <v>209</v>
      </c>
      <c r="EG609" s="14" t="s">
        <v>179</v>
      </c>
      <c r="EH609" s="14" t="s">
        <v>13844</v>
      </c>
      <c r="EI609" s="14" t="s">
        <v>179</v>
      </c>
      <c r="EJ609" s="14" t="s">
        <v>13844</v>
      </c>
      <c r="EK609" s="15"/>
      <c r="EL609" s="15"/>
      <c r="EM609" s="15"/>
      <c r="EN609" s="15"/>
      <c r="EO609" s="15"/>
      <c r="EP609" s="15"/>
      <c r="EQ609" s="15"/>
      <c r="ER609" s="15"/>
      <c r="ES609" s="15"/>
      <c r="ET609" s="15"/>
      <c r="EU609" s="15"/>
      <c r="EV609" s="15"/>
      <c r="EW609" s="15"/>
      <c r="EX609" s="15"/>
      <c r="EY609" s="15"/>
      <c r="EZ609" s="15"/>
      <c r="FA609" s="15"/>
      <c r="FB609" s="15"/>
      <c r="FC609" s="16" t="s">
        <v>197</v>
      </c>
      <c r="FD609" s="17" t="s">
        <v>198</v>
      </c>
      <c r="FE609" s="18">
        <v>45720.5252662037</v>
      </c>
      <c r="FF609" s="19"/>
      <c r="FG609" s="19"/>
      <c r="FH609" s="21" t="s">
        <v>197</v>
      </c>
      <c r="FI609" s="17" t="s">
        <v>214</v>
      </c>
      <c r="FJ609" s="18">
        <v>45720.5252662037</v>
      </c>
      <c r="FK609" s="14" t="s">
        <v>13844</v>
      </c>
      <c r="FL609" s="14" t="s">
        <v>13845</v>
      </c>
      <c r="FM609" s="14" t="s">
        <v>13846</v>
      </c>
      <c r="FN609" s="19"/>
      <c r="FO609" s="19"/>
      <c r="FP609" s="19" t="str">
        <f t="shared" si="1"/>
        <v>Base de Dados_Images/PIT30043.Imagem do Equipamento-.174922.jpg</v>
      </c>
      <c r="FQ609" s="19"/>
      <c r="FR609" s="19"/>
    </row>
    <row r="610" ht="15.75" customHeight="1">
      <c r="A610" s="12" t="s">
        <v>292</v>
      </c>
      <c r="B610" s="12" t="s">
        <v>13834</v>
      </c>
      <c r="C610" s="24" t="s">
        <v>375</v>
      </c>
      <c r="D610" s="12" t="s">
        <v>13847</v>
      </c>
      <c r="E610" s="12" t="s">
        <v>13848</v>
      </c>
      <c r="F610" s="13" t="s">
        <v>178</v>
      </c>
      <c r="G610" s="14" t="s">
        <v>179</v>
      </c>
      <c r="H610" s="14" t="s">
        <v>13849</v>
      </c>
      <c r="I610" s="14" t="s">
        <v>179</v>
      </c>
      <c r="J610" s="14" t="s">
        <v>13850</v>
      </c>
      <c r="K610" s="14" t="s">
        <v>179</v>
      </c>
      <c r="L610" s="14" t="s">
        <v>13851</v>
      </c>
      <c r="M610" s="14" t="s">
        <v>179</v>
      </c>
      <c r="N610" s="14" t="s">
        <v>13852</v>
      </c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6" t="s">
        <v>197</v>
      </c>
      <c r="BP610" s="17" t="s">
        <v>198</v>
      </c>
      <c r="BQ610" s="18">
        <v>45687.48270833334</v>
      </c>
      <c r="BR610" s="17" t="s">
        <v>198</v>
      </c>
      <c r="BS610" s="18">
        <v>45687.48268518518</v>
      </c>
      <c r="BT610" s="17" t="s">
        <v>198</v>
      </c>
      <c r="BU610" s="18">
        <v>45687.48270833334</v>
      </c>
      <c r="BV610" s="13" t="s">
        <v>199</v>
      </c>
      <c r="BW610" s="14" t="s">
        <v>179</v>
      </c>
      <c r="BX610" s="14" t="s">
        <v>13853</v>
      </c>
      <c r="BY610" s="14" t="s">
        <v>179</v>
      </c>
      <c r="BZ610" s="14" t="s">
        <v>13854</v>
      </c>
      <c r="CA610" s="14" t="s">
        <v>179</v>
      </c>
      <c r="CB610" s="14" t="s">
        <v>13855</v>
      </c>
      <c r="CC610" s="15"/>
      <c r="CD610" s="15"/>
      <c r="CE610" s="15"/>
      <c r="CF610" s="15"/>
      <c r="CG610" s="19"/>
      <c r="CH610" s="15"/>
      <c r="CI610" s="19"/>
      <c r="CJ610" s="15"/>
      <c r="CK610" s="19"/>
      <c r="CL610" s="15"/>
      <c r="CM610" s="19"/>
      <c r="CN610" s="15"/>
      <c r="CO610" s="19"/>
      <c r="CP610" s="15"/>
      <c r="CQ610" s="15"/>
      <c r="CR610" s="15"/>
      <c r="CS610" s="19"/>
      <c r="CT610" s="15"/>
      <c r="CU610" s="19"/>
      <c r="CV610" s="15"/>
      <c r="CW610" s="19"/>
      <c r="CX610" s="15"/>
      <c r="CY610" s="19"/>
      <c r="CZ610" s="15"/>
      <c r="DA610" s="16" t="s">
        <v>197</v>
      </c>
      <c r="DB610" s="17" t="s">
        <v>228</v>
      </c>
      <c r="DC610" s="16"/>
      <c r="DD610" s="17" t="s">
        <v>198</v>
      </c>
      <c r="DE610" s="18">
        <v>45719.473495370374</v>
      </c>
      <c r="DF610" s="17" t="s">
        <v>198</v>
      </c>
      <c r="DG610" s="18">
        <v>45719.473495370374</v>
      </c>
      <c r="DH610" s="13" t="s">
        <v>205</v>
      </c>
      <c r="DI610" s="14" t="s">
        <v>179</v>
      </c>
      <c r="DJ610" s="14" t="s">
        <v>13856</v>
      </c>
      <c r="DK610" s="14" t="s">
        <v>179</v>
      </c>
      <c r="DL610" s="14" t="s">
        <v>13857</v>
      </c>
      <c r="DM610" s="15"/>
      <c r="DN610" s="15"/>
      <c r="DO610" s="15"/>
      <c r="DP610" s="15"/>
      <c r="DQ610" s="15"/>
      <c r="DR610" s="15"/>
      <c r="DS610" s="15"/>
      <c r="DT610" s="15"/>
      <c r="DU610" s="15"/>
      <c r="DV610" s="15"/>
      <c r="DW610" s="15"/>
      <c r="DX610" s="15"/>
      <c r="DY610" s="15"/>
      <c r="DZ610" s="15"/>
      <c r="EA610" s="15"/>
      <c r="EB610" s="15"/>
      <c r="EC610" s="16" t="s">
        <v>197</v>
      </c>
      <c r="ED610" s="17" t="s">
        <v>198</v>
      </c>
      <c r="EE610" s="18">
        <v>45719.47355324074</v>
      </c>
      <c r="EF610" s="13" t="s">
        <v>209</v>
      </c>
      <c r="EG610" s="14" t="s">
        <v>179</v>
      </c>
      <c r="EH610" s="14" t="s">
        <v>13858</v>
      </c>
      <c r="EI610" s="14" t="s">
        <v>179</v>
      </c>
      <c r="EJ610" s="14" t="s">
        <v>13859</v>
      </c>
      <c r="EK610" s="15"/>
      <c r="EL610" s="15"/>
      <c r="EM610" s="15"/>
      <c r="EN610" s="15"/>
      <c r="EO610" s="15"/>
      <c r="EP610" s="15"/>
      <c r="EQ610" s="15"/>
      <c r="ER610" s="15"/>
      <c r="ES610" s="15"/>
      <c r="ET610" s="15"/>
      <c r="EU610" s="15"/>
      <c r="EV610" s="15"/>
      <c r="EW610" s="15"/>
      <c r="EX610" s="15"/>
      <c r="EY610" s="15"/>
      <c r="EZ610" s="15"/>
      <c r="FA610" s="15"/>
      <c r="FB610" s="15"/>
      <c r="FC610" s="16" t="s">
        <v>197</v>
      </c>
      <c r="FD610" s="17" t="s">
        <v>198</v>
      </c>
      <c r="FE610" s="18">
        <v>45720.52537037037</v>
      </c>
      <c r="FF610" s="19"/>
      <c r="FG610" s="19"/>
      <c r="FH610" s="21" t="s">
        <v>197</v>
      </c>
      <c r="FI610" s="17" t="s">
        <v>214</v>
      </c>
      <c r="FJ610" s="18">
        <v>45720.52537037037</v>
      </c>
      <c r="FK610" s="14" t="s">
        <v>13859</v>
      </c>
      <c r="FL610" s="14" t="s">
        <v>13860</v>
      </c>
      <c r="FM610" s="14" t="s">
        <v>13861</v>
      </c>
      <c r="FN610" s="19"/>
      <c r="FO610" s="19"/>
      <c r="FP610" s="19" t="str">
        <f t="shared" si="1"/>
        <v>Base de Dados_Images/PIT30043A.Imagem do Equipamento-.174857.jpg</v>
      </c>
      <c r="FQ610" s="19"/>
      <c r="FR610" s="19"/>
    </row>
    <row r="611" ht="15.75" customHeight="1">
      <c r="A611" s="12" t="s">
        <v>292</v>
      </c>
      <c r="B611" s="12" t="s">
        <v>13834</v>
      </c>
      <c r="C611" s="24" t="s">
        <v>375</v>
      </c>
      <c r="D611" s="22" t="s">
        <v>13862</v>
      </c>
      <c r="E611" s="22" t="s">
        <v>13863</v>
      </c>
      <c r="F611" s="13" t="s">
        <v>178</v>
      </c>
      <c r="G611" s="14" t="s">
        <v>179</v>
      </c>
      <c r="H611" s="14" t="s">
        <v>13864</v>
      </c>
      <c r="I611" s="14" t="s">
        <v>179</v>
      </c>
      <c r="J611" s="14" t="s">
        <v>13865</v>
      </c>
      <c r="K611" s="14" t="s">
        <v>179</v>
      </c>
      <c r="L611" s="14" t="s">
        <v>13866</v>
      </c>
      <c r="M611" s="14" t="s">
        <v>179</v>
      </c>
      <c r="N611" s="14" t="s">
        <v>13867</v>
      </c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6" t="s">
        <v>197</v>
      </c>
      <c r="BP611" s="17" t="s">
        <v>198</v>
      </c>
      <c r="BQ611" s="18">
        <v>45687.48434027778</v>
      </c>
      <c r="BR611" s="17" t="s">
        <v>198</v>
      </c>
      <c r="BS611" s="18">
        <v>45687.48431712963</v>
      </c>
      <c r="BT611" s="17" t="s">
        <v>198</v>
      </c>
      <c r="BU611" s="18">
        <v>45687.48434027778</v>
      </c>
      <c r="BV611" s="13" t="s">
        <v>199</v>
      </c>
      <c r="BW611" s="14" t="s">
        <v>179</v>
      </c>
      <c r="BX611" s="14" t="s">
        <v>13868</v>
      </c>
      <c r="BY611" s="14" t="s">
        <v>179</v>
      </c>
      <c r="BZ611" s="14" t="s">
        <v>13869</v>
      </c>
      <c r="CA611" s="14" t="s">
        <v>179</v>
      </c>
      <c r="CB611" s="14" t="s">
        <v>13868</v>
      </c>
      <c r="CC611" s="15"/>
      <c r="CD611" s="15"/>
      <c r="CE611" s="15"/>
      <c r="CF611" s="15"/>
      <c r="CG611" s="19"/>
      <c r="CH611" s="15"/>
      <c r="CI611" s="19"/>
      <c r="CJ611" s="15"/>
      <c r="CK611" s="19"/>
      <c r="CL611" s="15"/>
      <c r="CM611" s="19"/>
      <c r="CN611" s="15"/>
      <c r="CO611" s="19"/>
      <c r="CP611" s="15"/>
      <c r="CQ611" s="15"/>
      <c r="CR611" s="15"/>
      <c r="CS611" s="19"/>
      <c r="CT611" s="15"/>
      <c r="CU611" s="19"/>
      <c r="CV611" s="15"/>
      <c r="CW611" s="19"/>
      <c r="CX611" s="15"/>
      <c r="CY611" s="19"/>
      <c r="CZ611" s="15"/>
      <c r="DA611" s="16" t="s">
        <v>197</v>
      </c>
      <c r="DB611" s="17" t="s">
        <v>228</v>
      </c>
      <c r="DC611" s="16"/>
      <c r="DD611" s="17" t="s">
        <v>198</v>
      </c>
      <c r="DE611" s="18">
        <v>45719.47369212963</v>
      </c>
      <c r="DF611" s="17" t="s">
        <v>198</v>
      </c>
      <c r="DG611" s="18">
        <v>45719.47369212963</v>
      </c>
      <c r="DH611" s="13" t="s">
        <v>205</v>
      </c>
      <c r="DI611" s="14" t="s">
        <v>179</v>
      </c>
      <c r="DJ611" s="14" t="s">
        <v>13870</v>
      </c>
      <c r="DK611" s="14" t="s">
        <v>179</v>
      </c>
      <c r="DL611" s="14" t="s">
        <v>13871</v>
      </c>
      <c r="DM611" s="15"/>
      <c r="DN611" s="15"/>
      <c r="DO611" s="15"/>
      <c r="DP611" s="15"/>
      <c r="DQ611" s="15"/>
      <c r="DR611" s="15"/>
      <c r="DS611" s="15"/>
      <c r="DT611" s="15"/>
      <c r="DU611" s="15"/>
      <c r="DV611" s="15"/>
      <c r="DW611" s="15"/>
      <c r="DX611" s="15"/>
      <c r="DY611" s="15"/>
      <c r="DZ611" s="15"/>
      <c r="EA611" s="15"/>
      <c r="EB611" s="15"/>
      <c r="EC611" s="16" t="s">
        <v>197</v>
      </c>
      <c r="ED611" s="17" t="s">
        <v>198</v>
      </c>
      <c r="EE611" s="18">
        <v>45719.4737962963</v>
      </c>
      <c r="EF611" s="13" t="s">
        <v>209</v>
      </c>
      <c r="EG611" s="14" t="s">
        <v>179</v>
      </c>
      <c r="EH611" s="14" t="s">
        <v>13872</v>
      </c>
      <c r="EI611" s="14" t="s">
        <v>179</v>
      </c>
      <c r="EJ611" s="14" t="s">
        <v>13873</v>
      </c>
      <c r="EK611" s="15"/>
      <c r="EL611" s="15"/>
      <c r="EM611" s="15"/>
      <c r="EN611" s="15"/>
      <c r="EO611" s="15"/>
      <c r="EP611" s="15"/>
      <c r="EQ611" s="15"/>
      <c r="ER611" s="15"/>
      <c r="ES611" s="15"/>
      <c r="ET611" s="15"/>
      <c r="EU611" s="15"/>
      <c r="EV611" s="15"/>
      <c r="EW611" s="15"/>
      <c r="EX611" s="15"/>
      <c r="EY611" s="15"/>
      <c r="EZ611" s="15"/>
      <c r="FA611" s="15"/>
      <c r="FB611" s="15"/>
      <c r="FC611" s="16" t="s">
        <v>197</v>
      </c>
      <c r="FD611" s="17" t="s">
        <v>198</v>
      </c>
      <c r="FE611" s="18">
        <v>45720.52547453704</v>
      </c>
      <c r="FF611" s="19"/>
      <c r="FG611" s="19"/>
      <c r="FH611" s="21" t="s">
        <v>197</v>
      </c>
      <c r="FI611" s="17" t="s">
        <v>214</v>
      </c>
      <c r="FJ611" s="18">
        <v>45720.52547453704</v>
      </c>
      <c r="FK611" s="14" t="s">
        <v>13873</v>
      </c>
      <c r="FL611" s="14" t="s">
        <v>13874</v>
      </c>
      <c r="FM611" s="14" t="s">
        <v>13875</v>
      </c>
      <c r="FN611" s="19"/>
      <c r="FO611" s="19"/>
      <c r="FP611" s="19" t="str">
        <f t="shared" si="1"/>
        <v>Base de Dados_Images/PIT30044.Imagem do Equipamento-.143908.jpg</v>
      </c>
      <c r="FQ611" s="14"/>
      <c r="FR611" s="14"/>
    </row>
    <row r="612" ht="15.75" customHeight="1">
      <c r="A612" s="12" t="s">
        <v>292</v>
      </c>
      <c r="B612" s="12" t="s">
        <v>11035</v>
      </c>
      <c r="C612" s="24" t="s">
        <v>375</v>
      </c>
      <c r="D612" s="22" t="s">
        <v>13876</v>
      </c>
      <c r="E612" s="22" t="s">
        <v>13877</v>
      </c>
      <c r="F612" s="13" t="s">
        <v>178</v>
      </c>
      <c r="G612" s="14" t="s">
        <v>179</v>
      </c>
      <c r="H612" s="14" t="s">
        <v>13878</v>
      </c>
      <c r="I612" s="14" t="s">
        <v>179</v>
      </c>
      <c r="J612" s="14" t="s">
        <v>13879</v>
      </c>
      <c r="K612" s="14" t="s">
        <v>179</v>
      </c>
      <c r="L612" s="14" t="s">
        <v>13880</v>
      </c>
      <c r="M612" s="14" t="s">
        <v>179</v>
      </c>
      <c r="N612" s="14" t="s">
        <v>13881</v>
      </c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6" t="s">
        <v>197</v>
      </c>
      <c r="BP612" s="17" t="s">
        <v>198</v>
      </c>
      <c r="BQ612" s="18">
        <v>45686.55204861111</v>
      </c>
      <c r="BR612" s="17" t="s">
        <v>198</v>
      </c>
      <c r="BS612" s="18">
        <v>45686.552037037036</v>
      </c>
      <c r="BT612" s="17" t="s">
        <v>198</v>
      </c>
      <c r="BU612" s="18">
        <v>45686.55204861111</v>
      </c>
      <c r="BV612" s="13" t="s">
        <v>199</v>
      </c>
      <c r="BW612" s="14" t="s">
        <v>179</v>
      </c>
      <c r="BX612" s="14" t="s">
        <v>13882</v>
      </c>
      <c r="BY612" s="14" t="s">
        <v>179</v>
      </c>
      <c r="BZ612" s="14" t="s">
        <v>13883</v>
      </c>
      <c r="CA612" s="14" t="s">
        <v>179</v>
      </c>
      <c r="CB612" s="14" t="s">
        <v>13883</v>
      </c>
      <c r="CC612" s="15"/>
      <c r="CD612" s="15"/>
      <c r="CE612" s="15"/>
      <c r="CF612" s="15"/>
      <c r="CG612" s="19"/>
      <c r="CH612" s="15"/>
      <c r="CI612" s="19"/>
      <c r="CJ612" s="15"/>
      <c r="CK612" s="19"/>
      <c r="CL612" s="15"/>
      <c r="CM612" s="19"/>
      <c r="CN612" s="15"/>
      <c r="CO612" s="19"/>
      <c r="CP612" s="15"/>
      <c r="CQ612" s="15"/>
      <c r="CR612" s="15"/>
      <c r="CS612" s="19"/>
      <c r="CT612" s="15"/>
      <c r="CU612" s="19"/>
      <c r="CV612" s="15"/>
      <c r="CW612" s="19"/>
      <c r="CX612" s="15"/>
      <c r="CY612" s="19"/>
      <c r="CZ612" s="15"/>
      <c r="DA612" s="16" t="s">
        <v>197</v>
      </c>
      <c r="DB612" s="17" t="s">
        <v>228</v>
      </c>
      <c r="DC612" s="16"/>
      <c r="DD612" s="17" t="s">
        <v>198</v>
      </c>
      <c r="DE612" s="18">
        <v>45699.58212962963</v>
      </c>
      <c r="DF612" s="17" t="s">
        <v>198</v>
      </c>
      <c r="DG612" s="18">
        <v>45699.58212962963</v>
      </c>
      <c r="DH612" s="13" t="s">
        <v>205</v>
      </c>
      <c r="DI612" s="14" t="s">
        <v>179</v>
      </c>
      <c r="DJ612" s="14" t="s">
        <v>13884</v>
      </c>
      <c r="DK612" s="14" t="s">
        <v>179</v>
      </c>
      <c r="DL612" s="14" t="s">
        <v>13885</v>
      </c>
      <c r="DM612" s="15"/>
      <c r="DN612" s="15"/>
      <c r="DO612" s="15"/>
      <c r="DP612" s="15"/>
      <c r="DQ612" s="15"/>
      <c r="DR612" s="15"/>
      <c r="DS612" s="15"/>
      <c r="DT612" s="15"/>
      <c r="DU612" s="15"/>
      <c r="DV612" s="15"/>
      <c r="DW612" s="15"/>
      <c r="DX612" s="15"/>
      <c r="DY612" s="15"/>
      <c r="DZ612" s="15"/>
      <c r="EA612" s="15"/>
      <c r="EB612" s="15"/>
      <c r="EC612" s="16" t="s">
        <v>197</v>
      </c>
      <c r="ED612" s="17" t="s">
        <v>198</v>
      </c>
      <c r="EE612" s="18">
        <v>45699.58219907407</v>
      </c>
      <c r="EF612" s="13" t="s">
        <v>209</v>
      </c>
      <c r="EG612" s="14" t="s">
        <v>179</v>
      </c>
      <c r="EH612" s="14" t="s">
        <v>13886</v>
      </c>
      <c r="EI612" s="14" t="s">
        <v>179</v>
      </c>
      <c r="EJ612" s="14" t="s">
        <v>13887</v>
      </c>
      <c r="EK612" s="15"/>
      <c r="EL612" s="15"/>
      <c r="EM612" s="15"/>
      <c r="EN612" s="15"/>
      <c r="EO612" s="15"/>
      <c r="EP612" s="15"/>
      <c r="EQ612" s="15"/>
      <c r="ER612" s="15"/>
      <c r="ES612" s="15"/>
      <c r="ET612" s="15"/>
      <c r="EU612" s="15"/>
      <c r="EV612" s="15"/>
      <c r="EW612" s="15"/>
      <c r="EX612" s="15"/>
      <c r="EY612" s="15"/>
      <c r="EZ612" s="15"/>
      <c r="FA612" s="15"/>
      <c r="FB612" s="15"/>
      <c r="FC612" s="16" t="s">
        <v>197</v>
      </c>
      <c r="FD612" s="17" t="s">
        <v>198</v>
      </c>
      <c r="FE612" s="18">
        <v>45722.509733796294</v>
      </c>
      <c r="FF612" s="19"/>
      <c r="FG612" s="19"/>
      <c r="FH612" s="21" t="s">
        <v>197</v>
      </c>
      <c r="FI612" s="17" t="s">
        <v>214</v>
      </c>
      <c r="FJ612" s="18">
        <v>45722.509733796294</v>
      </c>
      <c r="FK612" s="14" t="s">
        <v>13887</v>
      </c>
      <c r="FL612" s="14" t="s">
        <v>13888</v>
      </c>
      <c r="FM612" s="14" t="s">
        <v>13889</v>
      </c>
      <c r="FN612" s="19"/>
      <c r="FO612" s="19"/>
      <c r="FP612" s="19" t="str">
        <f t="shared" si="1"/>
        <v>Base de Dados_Images/PIT30045.Imagem do Equipamento-.172832.jpg</v>
      </c>
      <c r="FQ612" s="19"/>
      <c r="FR612" s="19"/>
    </row>
    <row r="613" ht="15.75" customHeight="1">
      <c r="A613" s="12" t="s">
        <v>292</v>
      </c>
      <c r="B613" s="12" t="s">
        <v>11041</v>
      </c>
      <c r="C613" s="24" t="s">
        <v>375</v>
      </c>
      <c r="D613" s="22" t="s">
        <v>13890</v>
      </c>
      <c r="E613" s="22" t="s">
        <v>13891</v>
      </c>
      <c r="F613" s="13" t="s">
        <v>178</v>
      </c>
      <c r="G613" s="14" t="s">
        <v>179</v>
      </c>
      <c r="H613" s="14" t="s">
        <v>13892</v>
      </c>
      <c r="I613" s="14" t="s">
        <v>179</v>
      </c>
      <c r="J613" s="14" t="s">
        <v>13893</v>
      </c>
      <c r="K613" s="14" t="s">
        <v>179</v>
      </c>
      <c r="L613" s="14" t="s">
        <v>13894</v>
      </c>
      <c r="M613" s="14" t="s">
        <v>179</v>
      </c>
      <c r="N613" s="14" t="s">
        <v>13895</v>
      </c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6" t="s">
        <v>197</v>
      </c>
      <c r="BP613" s="17" t="s">
        <v>198</v>
      </c>
      <c r="BQ613" s="18">
        <v>45686.55300925926</v>
      </c>
      <c r="BR613" s="17" t="s">
        <v>198</v>
      </c>
      <c r="BS613" s="18">
        <v>45686.55299768518</v>
      </c>
      <c r="BT613" s="17" t="s">
        <v>198</v>
      </c>
      <c r="BU613" s="18">
        <v>45686.55300925926</v>
      </c>
      <c r="BV613" s="13" t="s">
        <v>199</v>
      </c>
      <c r="BW613" s="14" t="s">
        <v>179</v>
      </c>
      <c r="BX613" s="14" t="s">
        <v>13896</v>
      </c>
      <c r="BY613" s="14" t="s">
        <v>179</v>
      </c>
      <c r="BZ613" s="14" t="s">
        <v>13897</v>
      </c>
      <c r="CA613" s="14" t="s">
        <v>179</v>
      </c>
      <c r="CB613" s="14" t="s">
        <v>13898</v>
      </c>
      <c r="CC613" s="15"/>
      <c r="CD613" s="15"/>
      <c r="CE613" s="15"/>
      <c r="CF613" s="15"/>
      <c r="CG613" s="19"/>
      <c r="CH613" s="15"/>
      <c r="CI613" s="19"/>
      <c r="CJ613" s="15"/>
      <c r="CK613" s="19"/>
      <c r="CL613" s="15"/>
      <c r="CM613" s="19"/>
      <c r="CN613" s="15"/>
      <c r="CO613" s="19"/>
      <c r="CP613" s="15"/>
      <c r="CQ613" s="15"/>
      <c r="CR613" s="15"/>
      <c r="CS613" s="19"/>
      <c r="CT613" s="15"/>
      <c r="CU613" s="19"/>
      <c r="CV613" s="15"/>
      <c r="CW613" s="19"/>
      <c r="CX613" s="15"/>
      <c r="CY613" s="19"/>
      <c r="CZ613" s="15"/>
      <c r="DA613" s="16" t="s">
        <v>197</v>
      </c>
      <c r="DB613" s="17" t="s">
        <v>228</v>
      </c>
      <c r="DC613" s="16"/>
      <c r="DD613" s="17" t="s">
        <v>198</v>
      </c>
      <c r="DE613" s="18">
        <v>45719.46900462963</v>
      </c>
      <c r="DF613" s="17" t="s">
        <v>198</v>
      </c>
      <c r="DG613" s="18">
        <v>45719.46900462963</v>
      </c>
      <c r="DH613" s="13" t="s">
        <v>205</v>
      </c>
      <c r="DI613" s="14" t="s">
        <v>179</v>
      </c>
      <c r="DJ613" s="14" t="s">
        <v>13899</v>
      </c>
      <c r="DK613" s="14" t="s">
        <v>179</v>
      </c>
      <c r="DL613" s="14" t="s">
        <v>13900</v>
      </c>
      <c r="DM613" s="15"/>
      <c r="DN613" s="15"/>
      <c r="DO613" s="15"/>
      <c r="DP613" s="15"/>
      <c r="DQ613" s="15"/>
      <c r="DR613" s="15"/>
      <c r="DS613" s="15"/>
      <c r="DT613" s="15"/>
      <c r="DU613" s="15"/>
      <c r="DV613" s="15"/>
      <c r="DW613" s="15"/>
      <c r="DX613" s="15"/>
      <c r="DY613" s="15"/>
      <c r="DZ613" s="15"/>
      <c r="EA613" s="15"/>
      <c r="EB613" s="15"/>
      <c r="EC613" s="16" t="s">
        <v>197</v>
      </c>
      <c r="ED613" s="17" t="s">
        <v>198</v>
      </c>
      <c r="EE613" s="18">
        <v>45719.4702662037</v>
      </c>
      <c r="EF613" s="13" t="s">
        <v>209</v>
      </c>
      <c r="EG613" s="14" t="s">
        <v>179</v>
      </c>
      <c r="EH613" s="14" t="s">
        <v>13901</v>
      </c>
      <c r="EI613" s="14" t="s">
        <v>179</v>
      </c>
      <c r="EJ613" s="14" t="s">
        <v>13901</v>
      </c>
      <c r="EK613" s="15"/>
      <c r="EL613" s="15"/>
      <c r="EM613" s="15"/>
      <c r="EN613" s="15"/>
      <c r="EO613" s="15"/>
      <c r="EP613" s="15"/>
      <c r="EQ613" s="15"/>
      <c r="ER613" s="15"/>
      <c r="ES613" s="15"/>
      <c r="ET613" s="15"/>
      <c r="EU613" s="15"/>
      <c r="EV613" s="15"/>
      <c r="EW613" s="15"/>
      <c r="EX613" s="15"/>
      <c r="EY613" s="15"/>
      <c r="EZ613" s="15"/>
      <c r="FA613" s="15"/>
      <c r="FB613" s="15"/>
      <c r="FC613" s="16" t="s">
        <v>197</v>
      </c>
      <c r="FD613" s="17" t="s">
        <v>198</v>
      </c>
      <c r="FE613" s="18">
        <v>45722.50815972222</v>
      </c>
      <c r="FF613" s="19"/>
      <c r="FG613" s="19"/>
      <c r="FH613" s="21" t="s">
        <v>197</v>
      </c>
      <c r="FI613" s="17" t="s">
        <v>214</v>
      </c>
      <c r="FJ613" s="18">
        <v>45722.50815972222</v>
      </c>
      <c r="FK613" s="14" t="s">
        <v>13901</v>
      </c>
      <c r="FL613" s="14" t="s">
        <v>13902</v>
      </c>
      <c r="FM613" s="14" t="s">
        <v>13903</v>
      </c>
      <c r="FN613" s="19"/>
      <c r="FO613" s="19"/>
      <c r="FP613" s="19" t="str">
        <f t="shared" si="1"/>
        <v>Base de Dados_Images/PIT30046.Imagem do Equipamento-.172914.jpg</v>
      </c>
      <c r="FQ613" s="19"/>
      <c r="FR613" s="19"/>
    </row>
    <row r="614" ht="15.75" customHeight="1">
      <c r="A614" s="12" t="s">
        <v>292</v>
      </c>
      <c r="B614" s="12" t="s">
        <v>1975</v>
      </c>
      <c r="C614" s="24" t="s">
        <v>375</v>
      </c>
      <c r="D614" s="22" t="s">
        <v>13904</v>
      </c>
      <c r="E614" s="22" t="s">
        <v>13905</v>
      </c>
      <c r="F614" s="13" t="s">
        <v>178</v>
      </c>
      <c r="G614" s="14" t="s">
        <v>179</v>
      </c>
      <c r="H614" s="14" t="s">
        <v>13906</v>
      </c>
      <c r="I614" s="14" t="s">
        <v>179</v>
      </c>
      <c r="J614" s="14" t="s">
        <v>13907</v>
      </c>
      <c r="K614" s="14" t="s">
        <v>179</v>
      </c>
      <c r="L614" s="14" t="s">
        <v>13908</v>
      </c>
      <c r="M614" s="14" t="s">
        <v>179</v>
      </c>
      <c r="N614" s="14" t="s">
        <v>13909</v>
      </c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6" t="s">
        <v>197</v>
      </c>
      <c r="BP614" s="17" t="s">
        <v>198</v>
      </c>
      <c r="BQ614" s="18">
        <v>45686.55409722222</v>
      </c>
      <c r="BR614" s="17" t="s">
        <v>198</v>
      </c>
      <c r="BS614" s="18">
        <v>45686.554085648146</v>
      </c>
      <c r="BT614" s="17" t="s">
        <v>198</v>
      </c>
      <c r="BU614" s="18">
        <v>45686.55409722222</v>
      </c>
      <c r="BV614" s="13" t="s">
        <v>199</v>
      </c>
      <c r="BW614" s="14" t="s">
        <v>179</v>
      </c>
      <c r="BX614" s="14" t="s">
        <v>13910</v>
      </c>
      <c r="BY614" s="14" t="s">
        <v>179</v>
      </c>
      <c r="BZ614" s="14" t="s">
        <v>13911</v>
      </c>
      <c r="CA614" s="14" t="s">
        <v>179</v>
      </c>
      <c r="CB614" s="14" t="s">
        <v>13912</v>
      </c>
      <c r="CC614" s="15"/>
      <c r="CD614" s="15"/>
      <c r="CE614" s="15"/>
      <c r="CF614" s="15"/>
      <c r="CG614" s="19"/>
      <c r="CH614" s="15"/>
      <c r="CI614" s="19"/>
      <c r="CJ614" s="15"/>
      <c r="CK614" s="19"/>
      <c r="CL614" s="15"/>
      <c r="CM614" s="19"/>
      <c r="CN614" s="15"/>
      <c r="CO614" s="19"/>
      <c r="CP614" s="15"/>
      <c r="CQ614" s="15"/>
      <c r="CR614" s="15"/>
      <c r="CS614" s="19"/>
      <c r="CT614" s="15"/>
      <c r="CU614" s="19"/>
      <c r="CV614" s="15"/>
      <c r="CW614" s="19"/>
      <c r="CX614" s="15"/>
      <c r="CY614" s="19"/>
      <c r="CZ614" s="15"/>
      <c r="DA614" s="16" t="s">
        <v>197</v>
      </c>
      <c r="DB614" s="17" t="s">
        <v>228</v>
      </c>
      <c r="DC614" s="16"/>
      <c r="DD614" s="17" t="s">
        <v>198</v>
      </c>
      <c r="DE614" s="18">
        <v>45719.50375</v>
      </c>
      <c r="DF614" s="17" t="s">
        <v>198</v>
      </c>
      <c r="DG614" s="18">
        <v>45719.50375</v>
      </c>
      <c r="DH614" s="13" t="s">
        <v>205</v>
      </c>
      <c r="DI614" s="14" t="s">
        <v>179</v>
      </c>
      <c r="DJ614" s="14" t="s">
        <v>13913</v>
      </c>
      <c r="DK614" s="14" t="s">
        <v>179</v>
      </c>
      <c r="DL614" s="14" t="s">
        <v>13914</v>
      </c>
      <c r="DM614" s="15"/>
      <c r="DN614" s="15"/>
      <c r="DO614" s="15"/>
      <c r="DP614" s="15"/>
      <c r="DQ614" s="15"/>
      <c r="DR614" s="15"/>
      <c r="DS614" s="15"/>
      <c r="DT614" s="15"/>
      <c r="DU614" s="15"/>
      <c r="DV614" s="15"/>
      <c r="DW614" s="15"/>
      <c r="DX614" s="15"/>
      <c r="DY614" s="15"/>
      <c r="DZ614" s="15"/>
      <c r="EA614" s="15"/>
      <c r="EB614" s="15"/>
      <c r="EC614" s="16" t="s">
        <v>197</v>
      </c>
      <c r="ED614" s="17" t="s">
        <v>198</v>
      </c>
      <c r="EE614" s="18">
        <v>45719.50381944444</v>
      </c>
      <c r="EF614" s="13" t="s">
        <v>209</v>
      </c>
      <c r="EG614" s="14" t="s">
        <v>179</v>
      </c>
      <c r="EH614" s="14" t="s">
        <v>13915</v>
      </c>
      <c r="EI614" s="14" t="s">
        <v>179</v>
      </c>
      <c r="EJ614" s="14" t="s">
        <v>13916</v>
      </c>
      <c r="EK614" s="15"/>
      <c r="EL614" s="15"/>
      <c r="EM614" s="15"/>
      <c r="EN614" s="15"/>
      <c r="EO614" s="15"/>
      <c r="EP614" s="15"/>
      <c r="EQ614" s="15"/>
      <c r="ER614" s="15"/>
      <c r="ES614" s="15"/>
      <c r="ET614" s="15"/>
      <c r="EU614" s="15"/>
      <c r="EV614" s="15"/>
      <c r="EW614" s="15"/>
      <c r="EX614" s="15"/>
      <c r="EY614" s="15"/>
      <c r="EZ614" s="15"/>
      <c r="FA614" s="15"/>
      <c r="FB614" s="15"/>
      <c r="FC614" s="16" t="s">
        <v>197</v>
      </c>
      <c r="FD614" s="17" t="s">
        <v>198</v>
      </c>
      <c r="FE614" s="18">
        <v>45722.509039351855</v>
      </c>
      <c r="FF614" s="19"/>
      <c r="FG614" s="19"/>
      <c r="FH614" s="21" t="s">
        <v>197</v>
      </c>
      <c r="FI614" s="17" t="s">
        <v>214</v>
      </c>
      <c r="FJ614" s="18">
        <v>45722.509039351855</v>
      </c>
      <c r="FK614" s="14" t="s">
        <v>13916</v>
      </c>
      <c r="FL614" s="14" t="s">
        <v>13917</v>
      </c>
      <c r="FM614" s="14" t="s">
        <v>13918</v>
      </c>
      <c r="FN614" s="19"/>
      <c r="FO614" s="19"/>
      <c r="FP614" s="19" t="str">
        <f t="shared" si="1"/>
        <v>Base de Dados_Images/PIT30047.Imagem do Equipamento-.173005.jpg</v>
      </c>
      <c r="FQ614" s="19"/>
      <c r="FR614" s="19"/>
    </row>
    <row r="615" ht="15.75" customHeight="1">
      <c r="A615" s="12" t="s">
        <v>234</v>
      </c>
      <c r="B615" s="12" t="s">
        <v>511</v>
      </c>
      <c r="C615" s="24" t="s">
        <v>375</v>
      </c>
      <c r="D615" s="22" t="s">
        <v>13919</v>
      </c>
      <c r="E615" s="22" t="s">
        <v>13920</v>
      </c>
      <c r="F615" s="13" t="s">
        <v>178</v>
      </c>
      <c r="G615" s="14" t="s">
        <v>179</v>
      </c>
      <c r="H615" s="14" t="s">
        <v>13921</v>
      </c>
      <c r="I615" s="14" t="s">
        <v>179</v>
      </c>
      <c r="J615" s="14" t="s">
        <v>13922</v>
      </c>
      <c r="K615" s="14" t="s">
        <v>179</v>
      </c>
      <c r="L615" s="14" t="s">
        <v>13923</v>
      </c>
      <c r="M615" s="14" t="s">
        <v>179</v>
      </c>
      <c r="N615" s="14" t="s">
        <v>13924</v>
      </c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6" t="s">
        <v>197</v>
      </c>
      <c r="BP615" s="17" t="s">
        <v>198</v>
      </c>
      <c r="BQ615" s="18">
        <v>45687.39202546296</v>
      </c>
      <c r="BR615" s="17" t="s">
        <v>198</v>
      </c>
      <c r="BS615" s="18">
        <v>45687.392013888886</v>
      </c>
      <c r="BT615" s="17" t="s">
        <v>198</v>
      </c>
      <c r="BU615" s="18">
        <v>45687.39202546296</v>
      </c>
      <c r="BV615" s="13" t="s">
        <v>199</v>
      </c>
      <c r="BW615" s="14" t="s">
        <v>179</v>
      </c>
      <c r="BX615" s="14" t="s">
        <v>13925</v>
      </c>
      <c r="BY615" s="14" t="s">
        <v>179</v>
      </c>
      <c r="BZ615" s="14" t="s">
        <v>13926</v>
      </c>
      <c r="CA615" s="14" t="s">
        <v>179</v>
      </c>
      <c r="CB615" s="14" t="s">
        <v>13927</v>
      </c>
      <c r="CC615" s="15"/>
      <c r="CD615" s="15"/>
      <c r="CE615" s="15"/>
      <c r="CF615" s="15"/>
      <c r="CG615" s="19"/>
      <c r="CH615" s="15"/>
      <c r="CI615" s="19"/>
      <c r="CJ615" s="15"/>
      <c r="CK615" s="19"/>
      <c r="CL615" s="15"/>
      <c r="CM615" s="19"/>
      <c r="CN615" s="15"/>
      <c r="CO615" s="19"/>
      <c r="CP615" s="15"/>
      <c r="CQ615" s="15"/>
      <c r="CR615" s="15"/>
      <c r="CS615" s="19"/>
      <c r="CT615" s="15"/>
      <c r="CU615" s="19"/>
      <c r="CV615" s="15"/>
      <c r="CW615" s="19"/>
      <c r="CX615" s="15"/>
      <c r="CY615" s="19"/>
      <c r="CZ615" s="15"/>
      <c r="DA615" s="16" t="s">
        <v>197</v>
      </c>
      <c r="DB615" s="17" t="s">
        <v>228</v>
      </c>
      <c r="DC615" s="16"/>
      <c r="DD615" s="17" t="s">
        <v>198</v>
      </c>
      <c r="DE615" s="18">
        <v>45702.4625</v>
      </c>
      <c r="DF615" s="17" t="s">
        <v>198</v>
      </c>
      <c r="DG615" s="18">
        <v>45702.4625</v>
      </c>
      <c r="DH615" s="13" t="s">
        <v>205</v>
      </c>
      <c r="DI615" s="14" t="s">
        <v>179</v>
      </c>
      <c r="DJ615" s="14" t="s">
        <v>13928</v>
      </c>
      <c r="DK615" s="14" t="s">
        <v>179</v>
      </c>
      <c r="DL615" s="14" t="s">
        <v>13928</v>
      </c>
      <c r="DM615" s="15"/>
      <c r="DN615" s="15"/>
      <c r="DO615" s="15"/>
      <c r="DP615" s="15"/>
      <c r="DQ615" s="15"/>
      <c r="DR615" s="15"/>
      <c r="DS615" s="15"/>
      <c r="DT615" s="15"/>
      <c r="DU615" s="15"/>
      <c r="DV615" s="15"/>
      <c r="DW615" s="15"/>
      <c r="DX615" s="15"/>
      <c r="DY615" s="15"/>
      <c r="DZ615" s="15"/>
      <c r="EA615" s="15"/>
      <c r="EB615" s="15"/>
      <c r="EC615" s="16" t="s">
        <v>197</v>
      </c>
      <c r="ED615" s="17" t="s">
        <v>198</v>
      </c>
      <c r="EE615" s="18">
        <v>45713.427037037036</v>
      </c>
      <c r="EF615" s="13" t="s">
        <v>209</v>
      </c>
      <c r="EG615" s="14" t="s">
        <v>179</v>
      </c>
      <c r="EH615" s="14" t="s">
        <v>13929</v>
      </c>
      <c r="EI615" s="14" t="s">
        <v>179</v>
      </c>
      <c r="EJ615" s="14" t="s">
        <v>13930</v>
      </c>
      <c r="EK615" s="15"/>
      <c r="EL615" s="15"/>
      <c r="EM615" s="15"/>
      <c r="EN615" s="15"/>
      <c r="EO615" s="15"/>
      <c r="EP615" s="15"/>
      <c r="EQ615" s="15"/>
      <c r="ER615" s="15"/>
      <c r="ES615" s="15"/>
      <c r="ET615" s="15"/>
      <c r="EU615" s="15"/>
      <c r="EV615" s="15"/>
      <c r="EW615" s="15"/>
      <c r="EX615" s="15"/>
      <c r="EY615" s="15"/>
      <c r="EZ615" s="15"/>
      <c r="FA615" s="15"/>
      <c r="FB615" s="15"/>
      <c r="FC615" s="16" t="s">
        <v>197</v>
      </c>
      <c r="FD615" s="17" t="s">
        <v>198</v>
      </c>
      <c r="FE615" s="18">
        <v>45720.35592592593</v>
      </c>
      <c r="FF615" s="19"/>
      <c r="FG615" s="19"/>
      <c r="FH615" s="21" t="s">
        <v>197</v>
      </c>
      <c r="FI615" s="17" t="s">
        <v>214</v>
      </c>
      <c r="FJ615" s="18">
        <v>45720.35592592593</v>
      </c>
      <c r="FK615" s="14" t="s">
        <v>13930</v>
      </c>
      <c r="FL615" s="14" t="s">
        <v>13931</v>
      </c>
      <c r="FM615" s="14" t="s">
        <v>13932</v>
      </c>
      <c r="FN615" s="19"/>
      <c r="FO615" s="19"/>
      <c r="FP615" s="19" t="str">
        <f t="shared" si="1"/>
        <v>Base de Dados_Images/PIT65024.Imagem do Equipamento-.131607.jpg</v>
      </c>
      <c r="FQ615" s="14"/>
      <c r="FR615" s="14"/>
    </row>
    <row r="616" ht="15.75" customHeight="1">
      <c r="A616" s="12" t="s">
        <v>234</v>
      </c>
      <c r="B616" s="12" t="s">
        <v>10222</v>
      </c>
      <c r="C616" s="24" t="s">
        <v>375</v>
      </c>
      <c r="D616" s="22" t="s">
        <v>13933</v>
      </c>
      <c r="E616" s="22" t="s">
        <v>13934</v>
      </c>
      <c r="F616" s="13" t="s">
        <v>178</v>
      </c>
      <c r="G616" s="14" t="s">
        <v>179</v>
      </c>
      <c r="H616" s="14" t="s">
        <v>13935</v>
      </c>
      <c r="I616" s="14" t="s">
        <v>179</v>
      </c>
      <c r="J616" s="14" t="s">
        <v>13936</v>
      </c>
      <c r="K616" s="14" t="s">
        <v>179</v>
      </c>
      <c r="L616" s="14" t="s">
        <v>13936</v>
      </c>
      <c r="M616" s="14" t="s">
        <v>179</v>
      </c>
      <c r="N616" s="14" t="s">
        <v>13937</v>
      </c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6" t="s">
        <v>197</v>
      </c>
      <c r="BP616" s="17" t="s">
        <v>198</v>
      </c>
      <c r="BQ616" s="18">
        <v>45694.62222222222</v>
      </c>
      <c r="BR616" s="17" t="s">
        <v>198</v>
      </c>
      <c r="BS616" s="18">
        <v>45694.62228009259</v>
      </c>
      <c r="BT616" s="17" t="s">
        <v>198</v>
      </c>
      <c r="BU616" s="18">
        <v>45694.62228009259</v>
      </c>
      <c r="BV616" s="13" t="s">
        <v>199</v>
      </c>
      <c r="BW616" s="14" t="s">
        <v>179</v>
      </c>
      <c r="BX616" s="14" t="s">
        <v>13938</v>
      </c>
      <c r="BY616" s="14" t="s">
        <v>179</v>
      </c>
      <c r="BZ616" s="14" t="s">
        <v>13938</v>
      </c>
      <c r="CA616" s="14" t="s">
        <v>179</v>
      </c>
      <c r="CB616" s="14" t="s">
        <v>13939</v>
      </c>
      <c r="CC616" s="15"/>
      <c r="CD616" s="15"/>
      <c r="CE616" s="15"/>
      <c r="CF616" s="15"/>
      <c r="CG616" s="19"/>
      <c r="CH616" s="15"/>
      <c r="CI616" s="19"/>
      <c r="CJ616" s="15"/>
      <c r="CK616" s="19"/>
      <c r="CL616" s="15"/>
      <c r="CM616" s="19"/>
      <c r="CN616" s="15"/>
      <c r="CO616" s="19"/>
      <c r="CP616" s="15"/>
      <c r="CQ616" s="15"/>
      <c r="CR616" s="15"/>
      <c r="CS616" s="19"/>
      <c r="CT616" s="15"/>
      <c r="CU616" s="19"/>
      <c r="CV616" s="15"/>
      <c r="CW616" s="19"/>
      <c r="CX616" s="15"/>
      <c r="CY616" s="19"/>
      <c r="CZ616" s="15"/>
      <c r="DA616" s="16" t="s">
        <v>197</v>
      </c>
      <c r="DB616" s="17" t="s">
        <v>228</v>
      </c>
      <c r="DC616" s="16"/>
      <c r="DD616" s="17" t="s">
        <v>198</v>
      </c>
      <c r="DE616" s="18">
        <v>45713.40820601852</v>
      </c>
      <c r="DF616" s="17" t="s">
        <v>198</v>
      </c>
      <c r="DG616" s="18">
        <v>45713.40820601852</v>
      </c>
      <c r="DH616" s="13" t="s">
        <v>205</v>
      </c>
      <c r="DI616" s="14" t="s">
        <v>179</v>
      </c>
      <c r="DJ616" s="14" t="s">
        <v>13940</v>
      </c>
      <c r="DK616" s="14" t="s">
        <v>179</v>
      </c>
      <c r="DL616" s="14" t="s">
        <v>13941</v>
      </c>
      <c r="DM616" s="15"/>
      <c r="DN616" s="15"/>
      <c r="DO616" s="15"/>
      <c r="DP616" s="15"/>
      <c r="DQ616" s="15"/>
      <c r="DR616" s="15"/>
      <c r="DS616" s="15"/>
      <c r="DT616" s="15"/>
      <c r="DU616" s="15"/>
      <c r="DV616" s="15"/>
      <c r="DW616" s="15"/>
      <c r="DX616" s="15"/>
      <c r="DY616" s="15"/>
      <c r="DZ616" s="15"/>
      <c r="EA616" s="15"/>
      <c r="EB616" s="15"/>
      <c r="EC616" s="16" t="s">
        <v>197</v>
      </c>
      <c r="ED616" s="17" t="s">
        <v>198</v>
      </c>
      <c r="EE616" s="18">
        <v>45713.40826388889</v>
      </c>
      <c r="EF616" s="13" t="s">
        <v>209</v>
      </c>
      <c r="EG616" s="14" t="s">
        <v>179</v>
      </c>
      <c r="EH616" s="14" t="s">
        <v>13942</v>
      </c>
      <c r="EI616" s="14" t="s">
        <v>179</v>
      </c>
      <c r="EJ616" s="14" t="s">
        <v>13943</v>
      </c>
      <c r="EK616" s="15"/>
      <c r="EL616" s="15"/>
      <c r="EM616" s="15"/>
      <c r="EN616" s="15"/>
      <c r="EO616" s="15"/>
      <c r="EP616" s="15"/>
      <c r="EQ616" s="15"/>
      <c r="ER616" s="15"/>
      <c r="ES616" s="15"/>
      <c r="ET616" s="15"/>
      <c r="EU616" s="15"/>
      <c r="EV616" s="15"/>
      <c r="EW616" s="15"/>
      <c r="EX616" s="15"/>
      <c r="EY616" s="15"/>
      <c r="EZ616" s="15"/>
      <c r="FA616" s="15"/>
      <c r="FB616" s="15"/>
      <c r="FC616" s="16" t="s">
        <v>197</v>
      </c>
      <c r="FD616" s="17" t="s">
        <v>198</v>
      </c>
      <c r="FE616" s="18">
        <v>45722.38958333333</v>
      </c>
      <c r="FF616" s="19"/>
      <c r="FG616" s="19"/>
      <c r="FH616" s="21" t="s">
        <v>197</v>
      </c>
      <c r="FI616" s="17" t="s">
        <v>214</v>
      </c>
      <c r="FJ616" s="18">
        <v>45722.38958333333</v>
      </c>
      <c r="FK616" s="14" t="s">
        <v>13943</v>
      </c>
      <c r="FL616" s="14" t="s">
        <v>13944</v>
      </c>
      <c r="FM616" s="14" t="s">
        <v>13945</v>
      </c>
      <c r="FN616" s="19"/>
      <c r="FO616" s="19"/>
      <c r="FP616" s="19" t="str">
        <f t="shared" si="1"/>
        <v>Base de Dados_Images/PIT65026.Imagem do Equipamento-.172313.jpg</v>
      </c>
      <c r="FQ616" s="14"/>
      <c r="FR616" s="14"/>
    </row>
    <row r="617" ht="15.75" customHeight="1">
      <c r="A617" s="12" t="s">
        <v>547</v>
      </c>
      <c r="B617" s="12" t="s">
        <v>3584</v>
      </c>
      <c r="C617" s="24" t="s">
        <v>375</v>
      </c>
      <c r="D617" s="22" t="s">
        <v>13946</v>
      </c>
      <c r="E617" s="22" t="s">
        <v>13947</v>
      </c>
      <c r="F617" s="13" t="s">
        <v>178</v>
      </c>
      <c r="G617" s="14" t="s">
        <v>179</v>
      </c>
      <c r="H617" s="14" t="s">
        <v>13948</v>
      </c>
      <c r="I617" s="14" t="s">
        <v>179</v>
      </c>
      <c r="J617" s="14" t="s">
        <v>13949</v>
      </c>
      <c r="K617" s="14" t="s">
        <v>179</v>
      </c>
      <c r="L617" s="14" t="s">
        <v>13950</v>
      </c>
      <c r="M617" s="14" t="s">
        <v>179</v>
      </c>
      <c r="N617" s="14" t="s">
        <v>13951</v>
      </c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6" t="s">
        <v>197</v>
      </c>
      <c r="BP617" s="17" t="s">
        <v>198</v>
      </c>
      <c r="BQ617" s="18">
        <v>45678.60225694445</v>
      </c>
      <c r="BR617" s="17" t="s">
        <v>198</v>
      </c>
      <c r="BS617" s="18">
        <v>45678.60233796296</v>
      </c>
      <c r="BT617" s="17" t="s">
        <v>198</v>
      </c>
      <c r="BU617" s="18">
        <v>45678.60233796296</v>
      </c>
      <c r="BV617" s="13" t="s">
        <v>199</v>
      </c>
      <c r="BW617" s="14" t="s">
        <v>179</v>
      </c>
      <c r="BX617" s="14" t="s">
        <v>13952</v>
      </c>
      <c r="BY617" s="14" t="s">
        <v>179</v>
      </c>
      <c r="BZ617" s="14" t="s">
        <v>13953</v>
      </c>
      <c r="CA617" s="14" t="s">
        <v>179</v>
      </c>
      <c r="CB617" s="14" t="s">
        <v>13954</v>
      </c>
      <c r="CC617" s="15"/>
      <c r="CD617" s="15"/>
      <c r="CE617" s="15"/>
      <c r="CF617" s="15"/>
      <c r="CG617" s="19"/>
      <c r="CH617" s="15"/>
      <c r="CI617" s="19"/>
      <c r="CJ617" s="15"/>
      <c r="CK617" s="19"/>
      <c r="CL617" s="15"/>
      <c r="CM617" s="19"/>
      <c r="CN617" s="15"/>
      <c r="CO617" s="19"/>
      <c r="CP617" s="15"/>
      <c r="CQ617" s="15"/>
      <c r="CR617" s="15"/>
      <c r="CS617" s="19"/>
      <c r="CT617" s="15"/>
      <c r="CU617" s="19"/>
      <c r="CV617" s="15"/>
      <c r="CW617" s="19"/>
      <c r="CX617" s="15"/>
      <c r="CY617" s="19"/>
      <c r="CZ617" s="15"/>
      <c r="DA617" s="16" t="s">
        <v>197</v>
      </c>
      <c r="DB617" s="17" t="s">
        <v>228</v>
      </c>
      <c r="DC617" s="16"/>
      <c r="DD617" s="17" t="s">
        <v>198</v>
      </c>
      <c r="DE617" s="18">
        <v>45696.57241898148</v>
      </c>
      <c r="DF617" s="17" t="s">
        <v>198</v>
      </c>
      <c r="DG617" s="18">
        <v>45696.57241898148</v>
      </c>
      <c r="DH617" s="13" t="s">
        <v>205</v>
      </c>
      <c r="DI617" s="14" t="s">
        <v>179</v>
      </c>
      <c r="DJ617" s="14" t="s">
        <v>13955</v>
      </c>
      <c r="DK617" s="14" t="s">
        <v>179</v>
      </c>
      <c r="DL617" s="14" t="s">
        <v>13956</v>
      </c>
      <c r="DM617" s="15"/>
      <c r="DN617" s="15"/>
      <c r="DO617" s="15"/>
      <c r="DP617" s="15"/>
      <c r="DQ617" s="15"/>
      <c r="DR617" s="15"/>
      <c r="DS617" s="15"/>
      <c r="DT617" s="15"/>
      <c r="DU617" s="15"/>
      <c r="DV617" s="15"/>
      <c r="DW617" s="15"/>
      <c r="DX617" s="15"/>
      <c r="DY617" s="15"/>
      <c r="DZ617" s="15"/>
      <c r="EA617" s="15"/>
      <c r="EB617" s="15"/>
      <c r="EC617" s="16" t="s">
        <v>197</v>
      </c>
      <c r="ED617" s="17" t="s">
        <v>198</v>
      </c>
      <c r="EE617" s="18">
        <v>45720.60790509259</v>
      </c>
      <c r="EF617" s="13" t="s">
        <v>209</v>
      </c>
      <c r="EG617" s="14" t="s">
        <v>179</v>
      </c>
      <c r="EH617" s="14" t="s">
        <v>13957</v>
      </c>
      <c r="EI617" s="14" t="s">
        <v>179</v>
      </c>
      <c r="EJ617" s="14" t="s">
        <v>13958</v>
      </c>
      <c r="EK617" s="15"/>
      <c r="EL617" s="15"/>
      <c r="EM617" s="15"/>
      <c r="EN617" s="15"/>
      <c r="EO617" s="15"/>
      <c r="EP617" s="15"/>
      <c r="EQ617" s="15"/>
      <c r="ER617" s="15"/>
      <c r="ES617" s="15"/>
      <c r="ET617" s="15"/>
      <c r="EU617" s="15"/>
      <c r="EV617" s="15"/>
      <c r="EW617" s="15"/>
      <c r="EX617" s="15"/>
      <c r="EY617" s="15"/>
      <c r="EZ617" s="15"/>
      <c r="FA617" s="15"/>
      <c r="FB617" s="15"/>
      <c r="FC617" s="16" t="s">
        <v>197</v>
      </c>
      <c r="FD617" s="17" t="s">
        <v>198</v>
      </c>
      <c r="FE617" s="18">
        <v>45722.61130787037</v>
      </c>
      <c r="FF617" s="19"/>
      <c r="FG617" s="19"/>
      <c r="FH617" s="21" t="s">
        <v>197</v>
      </c>
      <c r="FI617" s="17" t="s">
        <v>214</v>
      </c>
      <c r="FJ617" s="18">
        <v>45722.61130787037</v>
      </c>
      <c r="FK617" s="14" t="s">
        <v>13958</v>
      </c>
      <c r="FL617" s="14" t="s">
        <v>13959</v>
      </c>
      <c r="FM617" s="14" t="s">
        <v>13960</v>
      </c>
      <c r="FN617" s="19"/>
      <c r="FO617" s="19"/>
      <c r="FP617" s="19" t="str">
        <f t="shared" si="1"/>
        <v>Base de Dados_Images/PIT70003.Imagem do Equipamento-.184519.jpg</v>
      </c>
      <c r="FQ617" s="19"/>
      <c r="FR617" s="19"/>
    </row>
    <row r="618" ht="15.75" customHeight="1">
      <c r="A618" s="12" t="s">
        <v>547</v>
      </c>
      <c r="B618" s="12" t="s">
        <v>12936</v>
      </c>
      <c r="C618" s="24" t="s">
        <v>375</v>
      </c>
      <c r="D618" s="22" t="s">
        <v>13961</v>
      </c>
      <c r="E618" s="22" t="s">
        <v>13962</v>
      </c>
      <c r="F618" s="13" t="s">
        <v>178</v>
      </c>
      <c r="G618" s="14" t="s">
        <v>179</v>
      </c>
      <c r="H618" s="14" t="s">
        <v>13963</v>
      </c>
      <c r="I618" s="14" t="s">
        <v>179</v>
      </c>
      <c r="J618" s="14" t="s">
        <v>13964</v>
      </c>
      <c r="K618" s="14" t="s">
        <v>179</v>
      </c>
      <c r="L618" s="14" t="s">
        <v>13965</v>
      </c>
      <c r="M618" s="14" t="s">
        <v>179</v>
      </c>
      <c r="N618" s="14" t="s">
        <v>13966</v>
      </c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6" t="s">
        <v>197</v>
      </c>
      <c r="BP618" s="17" t="s">
        <v>198</v>
      </c>
      <c r="BQ618" s="18">
        <v>45678.484143518515</v>
      </c>
      <c r="BR618" s="17" t="s">
        <v>198</v>
      </c>
      <c r="BS618" s="18">
        <v>45678.48436342592</v>
      </c>
      <c r="BT618" s="17" t="s">
        <v>198</v>
      </c>
      <c r="BU618" s="18">
        <v>45678.48436342592</v>
      </c>
      <c r="BV618" s="13" t="s">
        <v>199</v>
      </c>
      <c r="BW618" s="14" t="s">
        <v>179</v>
      </c>
      <c r="BX618" s="14" t="s">
        <v>13967</v>
      </c>
      <c r="BY618" s="14" t="s">
        <v>179</v>
      </c>
      <c r="BZ618" s="14" t="s">
        <v>13968</v>
      </c>
      <c r="CA618" s="14" t="s">
        <v>179</v>
      </c>
      <c r="CB618" s="14" t="s">
        <v>13969</v>
      </c>
      <c r="CC618" s="15"/>
      <c r="CD618" s="15"/>
      <c r="CE618" s="15"/>
      <c r="CF618" s="15"/>
      <c r="CG618" s="19"/>
      <c r="CH618" s="15"/>
      <c r="CI618" s="19"/>
      <c r="CJ618" s="15"/>
      <c r="CK618" s="19"/>
      <c r="CL618" s="15"/>
      <c r="CM618" s="19"/>
      <c r="CN618" s="15"/>
      <c r="CO618" s="19"/>
      <c r="CP618" s="15"/>
      <c r="CQ618" s="15"/>
      <c r="CR618" s="15"/>
      <c r="CS618" s="19"/>
      <c r="CT618" s="15"/>
      <c r="CU618" s="19"/>
      <c r="CV618" s="15"/>
      <c r="CW618" s="19"/>
      <c r="CX618" s="15"/>
      <c r="CY618" s="19"/>
      <c r="CZ618" s="15"/>
      <c r="DA618" s="16" t="s">
        <v>197</v>
      </c>
      <c r="DB618" s="17" t="s">
        <v>228</v>
      </c>
      <c r="DC618" s="16"/>
      <c r="DD618" s="17" t="s">
        <v>198</v>
      </c>
      <c r="DE618" s="18">
        <v>45696.61075231482</v>
      </c>
      <c r="DF618" s="17" t="s">
        <v>198</v>
      </c>
      <c r="DG618" s="18">
        <v>45696.61075231482</v>
      </c>
      <c r="DH618" s="13" t="s">
        <v>205</v>
      </c>
      <c r="DI618" s="14" t="s">
        <v>179</v>
      </c>
      <c r="DJ618" s="14" t="s">
        <v>13970</v>
      </c>
      <c r="DK618" s="14" t="s">
        <v>179</v>
      </c>
      <c r="DL618" s="14" t="s">
        <v>13971</v>
      </c>
      <c r="DM618" s="15"/>
      <c r="DN618" s="15"/>
      <c r="DO618" s="15"/>
      <c r="DP618" s="15"/>
      <c r="DQ618" s="15"/>
      <c r="DR618" s="15"/>
      <c r="DS618" s="15"/>
      <c r="DT618" s="15"/>
      <c r="DU618" s="15"/>
      <c r="DV618" s="15"/>
      <c r="DW618" s="15"/>
      <c r="DX618" s="15"/>
      <c r="DY618" s="15"/>
      <c r="DZ618" s="15"/>
      <c r="EA618" s="15"/>
      <c r="EB618" s="15"/>
      <c r="EC618" s="16" t="s">
        <v>197</v>
      </c>
      <c r="ED618" s="17" t="s">
        <v>198</v>
      </c>
      <c r="EE618" s="18">
        <v>45720.61083333333</v>
      </c>
      <c r="EF618" s="13" t="s">
        <v>209</v>
      </c>
      <c r="EG618" s="14" t="s">
        <v>179</v>
      </c>
      <c r="EH618" s="14" t="s">
        <v>13972</v>
      </c>
      <c r="EI618" s="14" t="s">
        <v>179</v>
      </c>
      <c r="EJ618" s="14" t="s">
        <v>13973</v>
      </c>
      <c r="EK618" s="15"/>
      <c r="EL618" s="15"/>
      <c r="EM618" s="15"/>
      <c r="EN618" s="15"/>
      <c r="EO618" s="15"/>
      <c r="EP618" s="15"/>
      <c r="EQ618" s="15"/>
      <c r="ER618" s="15"/>
      <c r="ES618" s="15"/>
      <c r="ET618" s="15"/>
      <c r="EU618" s="15"/>
      <c r="EV618" s="15"/>
      <c r="EW618" s="15"/>
      <c r="EX618" s="15"/>
      <c r="EY618" s="15"/>
      <c r="EZ618" s="15"/>
      <c r="FA618" s="15"/>
      <c r="FB618" s="15"/>
      <c r="FC618" s="16" t="s">
        <v>197</v>
      </c>
      <c r="FD618" s="17" t="s">
        <v>198</v>
      </c>
      <c r="FE618" s="18">
        <v>45720.6108912037</v>
      </c>
      <c r="FF618" s="19"/>
      <c r="FG618" s="19"/>
      <c r="FH618" s="21" t="s">
        <v>197</v>
      </c>
      <c r="FI618" s="17" t="s">
        <v>214</v>
      </c>
      <c r="FJ618" s="18">
        <v>45720.6108912037</v>
      </c>
      <c r="FK618" s="14" t="s">
        <v>13973</v>
      </c>
      <c r="FL618" s="14" t="s">
        <v>13974</v>
      </c>
      <c r="FM618" s="14" t="s">
        <v>13975</v>
      </c>
      <c r="FN618" s="19"/>
      <c r="FO618" s="19"/>
      <c r="FP618" s="19" t="str">
        <f t="shared" si="1"/>
        <v>Base de Dados_Images/PIT70008.Imagem do Equipamento-.150455.jpg</v>
      </c>
      <c r="FQ618" s="19"/>
      <c r="FR618" s="19"/>
    </row>
    <row r="619" ht="15.75" customHeight="1">
      <c r="A619" s="12" t="s">
        <v>357</v>
      </c>
      <c r="B619" s="12" t="s">
        <v>358</v>
      </c>
      <c r="C619" s="24" t="s">
        <v>375</v>
      </c>
      <c r="D619" s="22" t="s">
        <v>13976</v>
      </c>
      <c r="E619" s="22" t="s">
        <v>13977</v>
      </c>
      <c r="F619" s="13" t="s">
        <v>178</v>
      </c>
      <c r="G619" s="14" t="s">
        <v>179</v>
      </c>
      <c r="H619" s="14" t="s">
        <v>13978</v>
      </c>
      <c r="I619" s="14" t="s">
        <v>179</v>
      </c>
      <c r="J619" s="14" t="s">
        <v>13979</v>
      </c>
      <c r="K619" s="14" t="s">
        <v>179</v>
      </c>
      <c r="L619" s="14" t="s">
        <v>13980</v>
      </c>
      <c r="M619" s="14" t="s">
        <v>179</v>
      </c>
      <c r="N619" s="14" t="s">
        <v>13981</v>
      </c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6" t="s">
        <v>197</v>
      </c>
      <c r="BP619" s="17" t="s">
        <v>198</v>
      </c>
      <c r="BQ619" s="18">
        <v>45679.46262731482</v>
      </c>
      <c r="BR619" s="17" t="s">
        <v>198</v>
      </c>
      <c r="BS619" s="18">
        <v>45679.46267361111</v>
      </c>
      <c r="BT619" s="17" t="s">
        <v>198</v>
      </c>
      <c r="BU619" s="18">
        <v>45679.46267361111</v>
      </c>
      <c r="BV619" s="13" t="s">
        <v>199</v>
      </c>
      <c r="BW619" s="14" t="s">
        <v>179</v>
      </c>
      <c r="BX619" s="14" t="s">
        <v>13982</v>
      </c>
      <c r="BY619" s="14" t="s">
        <v>179</v>
      </c>
      <c r="BZ619" s="14" t="s">
        <v>13983</v>
      </c>
      <c r="CA619" s="14" t="s">
        <v>179</v>
      </c>
      <c r="CB619" s="14" t="s">
        <v>13983</v>
      </c>
      <c r="CC619" s="15"/>
      <c r="CD619" s="15"/>
      <c r="CE619" s="15"/>
      <c r="CF619" s="15"/>
      <c r="CG619" s="19"/>
      <c r="CH619" s="15"/>
      <c r="CI619" s="19"/>
      <c r="CJ619" s="15"/>
      <c r="CK619" s="19"/>
      <c r="CL619" s="15"/>
      <c r="CM619" s="19"/>
      <c r="CN619" s="15"/>
      <c r="CO619" s="19"/>
      <c r="CP619" s="15"/>
      <c r="CQ619" s="15"/>
      <c r="CR619" s="15"/>
      <c r="CS619" s="19"/>
      <c r="CT619" s="15"/>
      <c r="CU619" s="19"/>
      <c r="CV619" s="15"/>
      <c r="CW619" s="19"/>
      <c r="CX619" s="15"/>
      <c r="CY619" s="19"/>
      <c r="CZ619" s="15"/>
      <c r="DA619" s="16" t="s">
        <v>197</v>
      </c>
      <c r="DB619" s="17" t="s">
        <v>228</v>
      </c>
      <c r="DC619" s="16"/>
      <c r="DD619" s="17" t="s">
        <v>198</v>
      </c>
      <c r="DE619" s="18">
        <v>45693.663877314815</v>
      </c>
      <c r="DF619" s="17" t="s">
        <v>198</v>
      </c>
      <c r="DG619" s="18">
        <v>45693.663877314815</v>
      </c>
      <c r="DH619" s="13" t="s">
        <v>205</v>
      </c>
      <c r="DI619" s="14" t="s">
        <v>179</v>
      </c>
      <c r="DJ619" s="14" t="s">
        <v>13984</v>
      </c>
      <c r="DK619" s="14" t="s">
        <v>179</v>
      </c>
      <c r="DL619" s="14" t="s">
        <v>13984</v>
      </c>
      <c r="DM619" s="15"/>
      <c r="DN619" s="15"/>
      <c r="DO619" s="15"/>
      <c r="DP619" s="15"/>
      <c r="DQ619" s="15"/>
      <c r="DR619" s="15"/>
      <c r="DS619" s="15"/>
      <c r="DT619" s="15"/>
      <c r="DU619" s="15"/>
      <c r="DV619" s="15"/>
      <c r="DW619" s="15"/>
      <c r="DX619" s="15"/>
      <c r="DY619" s="15"/>
      <c r="DZ619" s="15"/>
      <c r="EA619" s="15"/>
      <c r="EB619" s="15"/>
      <c r="EC619" s="16" t="s">
        <v>197</v>
      </c>
      <c r="ED619" s="17" t="s">
        <v>198</v>
      </c>
      <c r="EE619" s="18">
        <v>45693.66391203704</v>
      </c>
      <c r="EF619" s="13" t="s">
        <v>209</v>
      </c>
      <c r="EG619" s="14" t="s">
        <v>179</v>
      </c>
      <c r="EH619" s="14" t="s">
        <v>13985</v>
      </c>
      <c r="EI619" s="14" t="s">
        <v>179</v>
      </c>
      <c r="EJ619" s="14" t="s">
        <v>13985</v>
      </c>
      <c r="EK619" s="15"/>
      <c r="EL619" s="15"/>
      <c r="EM619" s="15"/>
      <c r="EN619" s="15"/>
      <c r="EO619" s="15"/>
      <c r="EP619" s="15"/>
      <c r="EQ619" s="15"/>
      <c r="ER619" s="15"/>
      <c r="ES619" s="15"/>
      <c r="ET619" s="15"/>
      <c r="EU619" s="15"/>
      <c r="EV619" s="15"/>
      <c r="EW619" s="15"/>
      <c r="EX619" s="15"/>
      <c r="EY619" s="15"/>
      <c r="EZ619" s="15"/>
      <c r="FA619" s="15"/>
      <c r="FB619" s="15"/>
      <c r="FC619" s="16" t="s">
        <v>197</v>
      </c>
      <c r="FD619" s="17" t="s">
        <v>198</v>
      </c>
      <c r="FE619" s="18">
        <v>45705.40380787037</v>
      </c>
      <c r="FF619" s="19"/>
      <c r="FG619" s="19"/>
      <c r="FH619" s="21" t="s">
        <v>197</v>
      </c>
      <c r="FI619" s="17" t="s">
        <v>214</v>
      </c>
      <c r="FJ619" s="18">
        <v>45705.40380787037</v>
      </c>
      <c r="FK619" s="14" t="s">
        <v>13985</v>
      </c>
      <c r="FL619" s="14" t="s">
        <v>13986</v>
      </c>
      <c r="FM619" s="14" t="s">
        <v>13987</v>
      </c>
      <c r="FN619" s="19"/>
      <c r="FO619" s="19"/>
      <c r="FP619" s="19" t="str">
        <f t="shared" si="1"/>
        <v>Base de Dados_Images/PIT81001.Imagem do Equipamento-.190136.jpg</v>
      </c>
      <c r="FQ619" s="19"/>
      <c r="FR619" s="19"/>
    </row>
    <row r="620" ht="15.75" customHeight="1">
      <c r="A620" s="12" t="s">
        <v>357</v>
      </c>
      <c r="B620" s="12" t="s">
        <v>358</v>
      </c>
      <c r="C620" s="24" t="s">
        <v>375</v>
      </c>
      <c r="D620" s="22" t="s">
        <v>13988</v>
      </c>
      <c r="E620" s="22" t="s">
        <v>13989</v>
      </c>
      <c r="F620" s="13" t="s">
        <v>178</v>
      </c>
      <c r="G620" s="14" t="s">
        <v>179</v>
      </c>
      <c r="H620" s="14" t="s">
        <v>13990</v>
      </c>
      <c r="I620" s="14" t="s">
        <v>179</v>
      </c>
      <c r="J620" s="14" t="s">
        <v>13991</v>
      </c>
      <c r="K620" s="14" t="s">
        <v>179</v>
      </c>
      <c r="L620" s="14" t="s">
        <v>13992</v>
      </c>
      <c r="M620" s="14" t="s">
        <v>179</v>
      </c>
      <c r="N620" s="14" t="s">
        <v>13993</v>
      </c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6" t="s">
        <v>197</v>
      </c>
      <c r="BP620" s="17" t="s">
        <v>198</v>
      </c>
      <c r="BQ620" s="18">
        <v>45679.48403935185</v>
      </c>
      <c r="BR620" s="17" t="s">
        <v>198</v>
      </c>
      <c r="BS620" s="18">
        <v>45679.484305555554</v>
      </c>
      <c r="BT620" s="17" t="s">
        <v>198</v>
      </c>
      <c r="BU620" s="18">
        <v>45679.484305555554</v>
      </c>
      <c r="BV620" s="13" t="s">
        <v>199</v>
      </c>
      <c r="BW620" s="14" t="s">
        <v>179</v>
      </c>
      <c r="BX620" s="14" t="s">
        <v>13994</v>
      </c>
      <c r="BY620" s="14" t="s">
        <v>179</v>
      </c>
      <c r="BZ620" s="14" t="s">
        <v>13995</v>
      </c>
      <c r="CA620" s="14" t="s">
        <v>179</v>
      </c>
      <c r="CB620" s="14" t="s">
        <v>13996</v>
      </c>
      <c r="CC620" s="15"/>
      <c r="CD620" s="15"/>
      <c r="CE620" s="15"/>
      <c r="CF620" s="15"/>
      <c r="CG620" s="19"/>
      <c r="CH620" s="15"/>
      <c r="CI620" s="19"/>
      <c r="CJ620" s="15"/>
      <c r="CK620" s="19"/>
      <c r="CL620" s="15"/>
      <c r="CM620" s="19"/>
      <c r="CN620" s="15"/>
      <c r="CO620" s="19"/>
      <c r="CP620" s="15"/>
      <c r="CQ620" s="15"/>
      <c r="CR620" s="15"/>
      <c r="CS620" s="19"/>
      <c r="CT620" s="15"/>
      <c r="CU620" s="19"/>
      <c r="CV620" s="15"/>
      <c r="CW620" s="19"/>
      <c r="CX620" s="15"/>
      <c r="CY620" s="19"/>
      <c r="CZ620" s="15"/>
      <c r="DA620" s="16" t="s">
        <v>197</v>
      </c>
      <c r="DB620" s="17" t="s">
        <v>228</v>
      </c>
      <c r="DC620" s="16"/>
      <c r="DD620" s="17" t="s">
        <v>198</v>
      </c>
      <c r="DE620" s="18">
        <v>45708.47483796296</v>
      </c>
      <c r="DF620" s="17" t="s">
        <v>198</v>
      </c>
      <c r="DG620" s="18">
        <v>45708.47483796296</v>
      </c>
      <c r="DH620" s="13" t="s">
        <v>205</v>
      </c>
      <c r="DI620" s="14" t="s">
        <v>179</v>
      </c>
      <c r="DJ620" s="14" t="s">
        <v>13997</v>
      </c>
      <c r="DK620" s="14" t="s">
        <v>179</v>
      </c>
      <c r="DL620" s="14" t="s">
        <v>13997</v>
      </c>
      <c r="DM620" s="15"/>
      <c r="DN620" s="15"/>
      <c r="DO620" s="15"/>
      <c r="DP620" s="15"/>
      <c r="DQ620" s="15"/>
      <c r="DR620" s="15"/>
      <c r="DS620" s="15"/>
      <c r="DT620" s="15"/>
      <c r="DU620" s="15"/>
      <c r="DV620" s="15"/>
      <c r="DW620" s="15"/>
      <c r="DX620" s="15"/>
      <c r="DY620" s="15"/>
      <c r="DZ620" s="15"/>
      <c r="EA620" s="15"/>
      <c r="EB620" s="15"/>
      <c r="EC620" s="16" t="s">
        <v>197</v>
      </c>
      <c r="ED620" s="17" t="s">
        <v>198</v>
      </c>
      <c r="EE620" s="18">
        <v>45708.47488425926</v>
      </c>
      <c r="EF620" s="13" t="s">
        <v>209</v>
      </c>
      <c r="EG620" s="14" t="s">
        <v>179</v>
      </c>
      <c r="EH620" s="14" t="s">
        <v>13998</v>
      </c>
      <c r="EI620" s="14" t="s">
        <v>179</v>
      </c>
      <c r="EJ620" s="14" t="s">
        <v>13998</v>
      </c>
      <c r="EK620" s="15"/>
      <c r="EL620" s="15"/>
      <c r="EM620" s="15"/>
      <c r="EN620" s="15"/>
      <c r="EO620" s="15"/>
      <c r="EP620" s="15"/>
      <c r="EQ620" s="15"/>
      <c r="ER620" s="15"/>
      <c r="ES620" s="15"/>
      <c r="ET620" s="15"/>
      <c r="EU620" s="15"/>
      <c r="EV620" s="15"/>
      <c r="EW620" s="15"/>
      <c r="EX620" s="15"/>
      <c r="EY620" s="15"/>
      <c r="EZ620" s="15"/>
      <c r="FA620" s="15"/>
      <c r="FB620" s="15"/>
      <c r="FC620" s="16" t="s">
        <v>197</v>
      </c>
      <c r="FD620" s="17" t="s">
        <v>198</v>
      </c>
      <c r="FE620" s="18">
        <v>45713.382361111115</v>
      </c>
      <c r="FF620" s="19"/>
      <c r="FG620" s="19"/>
      <c r="FH620" s="21" t="s">
        <v>197</v>
      </c>
      <c r="FI620" s="17" t="s">
        <v>214</v>
      </c>
      <c r="FJ620" s="18">
        <v>45713.382361111115</v>
      </c>
      <c r="FK620" s="14" t="s">
        <v>13998</v>
      </c>
      <c r="FL620" s="14" t="s">
        <v>13999</v>
      </c>
      <c r="FM620" s="14" t="s">
        <v>14000</v>
      </c>
      <c r="FN620" s="19"/>
      <c r="FO620" s="19"/>
      <c r="FP620" s="19" t="str">
        <f t="shared" si="1"/>
        <v>Base de Dados_Images/PIT81003.Imagem do Equipamento-.190620.jpg</v>
      </c>
      <c r="FQ620" s="19"/>
      <c r="FR620" s="19"/>
    </row>
    <row r="621" ht="15.75" customHeight="1">
      <c r="A621" s="12" t="s">
        <v>357</v>
      </c>
      <c r="B621" s="12" t="s">
        <v>358</v>
      </c>
      <c r="C621" s="24" t="s">
        <v>375</v>
      </c>
      <c r="D621" s="22" t="s">
        <v>14001</v>
      </c>
      <c r="E621" s="22" t="s">
        <v>14002</v>
      </c>
      <c r="F621" s="13" t="s">
        <v>178</v>
      </c>
      <c r="G621" s="14" t="s">
        <v>179</v>
      </c>
      <c r="H621" s="14" t="s">
        <v>14003</v>
      </c>
      <c r="I621" s="14" t="s">
        <v>179</v>
      </c>
      <c r="J621" s="14" t="s">
        <v>14003</v>
      </c>
      <c r="K621" s="14" t="s">
        <v>179</v>
      </c>
      <c r="L621" s="14" t="s">
        <v>14004</v>
      </c>
      <c r="M621" s="14" t="s">
        <v>179</v>
      </c>
      <c r="N621" s="14" t="s">
        <v>14004</v>
      </c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6" t="s">
        <v>197</v>
      </c>
      <c r="BP621" s="17" t="s">
        <v>198</v>
      </c>
      <c r="BQ621" s="18">
        <v>45693.68634259259</v>
      </c>
      <c r="BR621" s="17" t="s">
        <v>198</v>
      </c>
      <c r="BS621" s="18">
        <v>45693.68634259259</v>
      </c>
      <c r="BT621" s="17" t="s">
        <v>198</v>
      </c>
      <c r="BU621" s="18">
        <v>45693.68634259259</v>
      </c>
      <c r="BV621" s="13" t="s">
        <v>199</v>
      </c>
      <c r="BW621" s="14" t="s">
        <v>179</v>
      </c>
      <c r="BX621" s="14" t="s">
        <v>14005</v>
      </c>
      <c r="BY621" s="14" t="s">
        <v>179</v>
      </c>
      <c r="BZ621" s="14" t="s">
        <v>14006</v>
      </c>
      <c r="CA621" s="14" t="s">
        <v>179</v>
      </c>
      <c r="CB621" s="14" t="s">
        <v>14007</v>
      </c>
      <c r="CC621" s="15"/>
      <c r="CD621" s="15"/>
      <c r="CE621" s="15"/>
      <c r="CF621" s="15"/>
      <c r="CG621" s="19"/>
      <c r="CH621" s="15"/>
      <c r="CI621" s="19"/>
      <c r="CJ621" s="15"/>
      <c r="CK621" s="19"/>
      <c r="CL621" s="15"/>
      <c r="CM621" s="19"/>
      <c r="CN621" s="15"/>
      <c r="CO621" s="19"/>
      <c r="CP621" s="15"/>
      <c r="CQ621" s="15"/>
      <c r="CR621" s="15"/>
      <c r="CS621" s="19"/>
      <c r="CT621" s="15"/>
      <c r="CU621" s="19"/>
      <c r="CV621" s="15"/>
      <c r="CW621" s="19"/>
      <c r="CX621" s="15"/>
      <c r="CY621" s="19"/>
      <c r="CZ621" s="15"/>
      <c r="DA621" s="16" t="s">
        <v>197</v>
      </c>
      <c r="DB621" s="17" t="s">
        <v>228</v>
      </c>
      <c r="DC621" s="16"/>
      <c r="DD621" s="17" t="s">
        <v>198</v>
      </c>
      <c r="DE621" s="18">
        <v>45705.52517361111</v>
      </c>
      <c r="DF621" s="17" t="s">
        <v>198</v>
      </c>
      <c r="DG621" s="18">
        <v>45705.52517361111</v>
      </c>
      <c r="DH621" s="13" t="s">
        <v>205</v>
      </c>
      <c r="DI621" s="14" t="s">
        <v>179</v>
      </c>
      <c r="DJ621" s="14" t="s">
        <v>14008</v>
      </c>
      <c r="DK621" s="14" t="s">
        <v>179</v>
      </c>
      <c r="DL621" s="14" t="s">
        <v>14009</v>
      </c>
      <c r="DM621" s="15"/>
      <c r="DN621" s="15"/>
      <c r="DO621" s="15"/>
      <c r="DP621" s="15"/>
      <c r="DQ621" s="15"/>
      <c r="DR621" s="15"/>
      <c r="DS621" s="15"/>
      <c r="DT621" s="15"/>
      <c r="DU621" s="15"/>
      <c r="DV621" s="15"/>
      <c r="DW621" s="15"/>
      <c r="DX621" s="15"/>
      <c r="DY621" s="15"/>
      <c r="DZ621" s="15"/>
      <c r="EA621" s="15"/>
      <c r="EB621" s="15"/>
      <c r="EC621" s="16" t="s">
        <v>197</v>
      </c>
      <c r="ED621" s="17" t="s">
        <v>198</v>
      </c>
      <c r="EE621" s="18">
        <v>45705.525243055556</v>
      </c>
      <c r="EF621" s="13" t="s">
        <v>209</v>
      </c>
      <c r="EG621" s="14" t="s">
        <v>179</v>
      </c>
      <c r="EH621" s="14" t="s">
        <v>14010</v>
      </c>
      <c r="EI621" s="14" t="s">
        <v>179</v>
      </c>
      <c r="EJ621" s="14" t="s">
        <v>14011</v>
      </c>
      <c r="EK621" s="15"/>
      <c r="EL621" s="15"/>
      <c r="EM621" s="15"/>
      <c r="EN621" s="15"/>
      <c r="EO621" s="15"/>
      <c r="EP621" s="15"/>
      <c r="EQ621" s="15"/>
      <c r="ER621" s="15"/>
      <c r="ES621" s="15"/>
      <c r="ET621" s="15"/>
      <c r="EU621" s="15"/>
      <c r="EV621" s="15"/>
      <c r="EW621" s="15"/>
      <c r="EX621" s="15"/>
      <c r="EY621" s="15"/>
      <c r="EZ621" s="15"/>
      <c r="FA621" s="15"/>
      <c r="FB621" s="15"/>
      <c r="FC621" s="16" t="s">
        <v>197</v>
      </c>
      <c r="FD621" s="17" t="s">
        <v>198</v>
      </c>
      <c r="FE621" s="18">
        <v>45705.525300925925</v>
      </c>
      <c r="FF621" s="19"/>
      <c r="FG621" s="19"/>
      <c r="FH621" s="21" t="s">
        <v>197</v>
      </c>
      <c r="FI621" s="17" t="s">
        <v>214</v>
      </c>
      <c r="FJ621" s="18">
        <v>45705.525300925925</v>
      </c>
      <c r="FK621" s="14" t="s">
        <v>14011</v>
      </c>
      <c r="FL621" s="19"/>
      <c r="FM621" s="19"/>
      <c r="FN621" s="19"/>
      <c r="FO621" s="19"/>
      <c r="FP621" s="19" t="str">
        <f t="shared" si="1"/>
        <v/>
      </c>
      <c r="FQ621" s="14" t="s">
        <v>215</v>
      </c>
      <c r="FR621" s="14" t="s">
        <v>14012</v>
      </c>
    </row>
    <row r="622" ht="15.75" customHeight="1">
      <c r="A622" s="12" t="s">
        <v>357</v>
      </c>
      <c r="B622" s="12" t="s">
        <v>358</v>
      </c>
      <c r="C622" s="24" t="s">
        <v>375</v>
      </c>
      <c r="D622" s="22" t="s">
        <v>14013</v>
      </c>
      <c r="E622" s="22" t="s">
        <v>14014</v>
      </c>
      <c r="F622" s="13" t="s">
        <v>178</v>
      </c>
      <c r="G622" s="14" t="s">
        <v>179</v>
      </c>
      <c r="H622" s="14" t="s">
        <v>14015</v>
      </c>
      <c r="I622" s="14" t="s">
        <v>179</v>
      </c>
      <c r="J622" s="14" t="s">
        <v>14016</v>
      </c>
      <c r="K622" s="14" t="s">
        <v>179</v>
      </c>
      <c r="L622" s="14" t="s">
        <v>14017</v>
      </c>
      <c r="M622" s="14" t="s">
        <v>179</v>
      </c>
      <c r="N622" s="14" t="s">
        <v>14018</v>
      </c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6" t="s">
        <v>197</v>
      </c>
      <c r="BP622" s="17" t="s">
        <v>198</v>
      </c>
      <c r="BQ622" s="18">
        <v>45685.584548611114</v>
      </c>
      <c r="BR622" s="17" t="s">
        <v>198</v>
      </c>
      <c r="BS622" s="18">
        <v>45685.584641203706</v>
      </c>
      <c r="BT622" s="17" t="s">
        <v>198</v>
      </c>
      <c r="BU622" s="18">
        <v>45685.584641203706</v>
      </c>
      <c r="BV622" s="13" t="s">
        <v>199</v>
      </c>
      <c r="BW622" s="14" t="s">
        <v>179</v>
      </c>
      <c r="BX622" s="14" t="s">
        <v>14019</v>
      </c>
      <c r="BY622" s="14" t="s">
        <v>179</v>
      </c>
      <c r="BZ622" s="14" t="s">
        <v>14019</v>
      </c>
      <c r="CA622" s="14" t="s">
        <v>179</v>
      </c>
      <c r="CB622" s="14" t="s">
        <v>14020</v>
      </c>
      <c r="CC622" s="15"/>
      <c r="CD622" s="15"/>
      <c r="CE622" s="15"/>
      <c r="CF622" s="15"/>
      <c r="CG622" s="19"/>
      <c r="CH622" s="15"/>
      <c r="CI622" s="19"/>
      <c r="CJ622" s="15"/>
      <c r="CK622" s="19"/>
      <c r="CL622" s="15"/>
      <c r="CM622" s="19"/>
      <c r="CN622" s="15"/>
      <c r="CO622" s="19"/>
      <c r="CP622" s="15"/>
      <c r="CQ622" s="15"/>
      <c r="CR622" s="15"/>
      <c r="CS622" s="19"/>
      <c r="CT622" s="15"/>
      <c r="CU622" s="19"/>
      <c r="CV622" s="15"/>
      <c r="CW622" s="19"/>
      <c r="CX622" s="15"/>
      <c r="CY622" s="19"/>
      <c r="CZ622" s="15"/>
      <c r="DA622" s="16" t="s">
        <v>197</v>
      </c>
      <c r="DB622" s="17" t="s">
        <v>228</v>
      </c>
      <c r="DC622" s="16"/>
      <c r="DD622" s="17" t="s">
        <v>198</v>
      </c>
      <c r="DE622" s="18">
        <v>45709.50429398148</v>
      </c>
      <c r="DF622" s="17" t="s">
        <v>198</v>
      </c>
      <c r="DG622" s="18">
        <v>45709.50429398148</v>
      </c>
      <c r="DH622" s="13" t="s">
        <v>205</v>
      </c>
      <c r="DI622" s="14" t="s">
        <v>179</v>
      </c>
      <c r="DJ622" s="14" t="s">
        <v>14021</v>
      </c>
      <c r="DK622" s="14" t="s">
        <v>179</v>
      </c>
      <c r="DL622" s="14" t="s">
        <v>14022</v>
      </c>
      <c r="DM622" s="15"/>
      <c r="DN622" s="15"/>
      <c r="DO622" s="15"/>
      <c r="DP622" s="15"/>
      <c r="DQ622" s="15"/>
      <c r="DR622" s="15"/>
      <c r="DS622" s="15"/>
      <c r="DT622" s="15"/>
      <c r="DU622" s="15"/>
      <c r="DV622" s="15"/>
      <c r="DW622" s="15"/>
      <c r="DX622" s="15"/>
      <c r="DY622" s="15"/>
      <c r="DZ622" s="15"/>
      <c r="EA622" s="15"/>
      <c r="EB622" s="15"/>
      <c r="EC622" s="16" t="s">
        <v>197</v>
      </c>
      <c r="ED622" s="17" t="s">
        <v>198</v>
      </c>
      <c r="EE622" s="18">
        <v>45709.504375</v>
      </c>
      <c r="EF622" s="13" t="s">
        <v>209</v>
      </c>
      <c r="EG622" s="14" t="s">
        <v>179</v>
      </c>
      <c r="EH622" s="14" t="s">
        <v>14023</v>
      </c>
      <c r="EI622" s="14" t="s">
        <v>179</v>
      </c>
      <c r="EJ622" s="14" t="s">
        <v>14024</v>
      </c>
      <c r="EK622" s="15"/>
      <c r="EL622" s="15"/>
      <c r="EM622" s="15"/>
      <c r="EN622" s="15"/>
      <c r="EO622" s="15"/>
      <c r="EP622" s="15"/>
      <c r="EQ622" s="15"/>
      <c r="ER622" s="15"/>
      <c r="ES622" s="15"/>
      <c r="ET622" s="15"/>
      <c r="EU622" s="15"/>
      <c r="EV622" s="15"/>
      <c r="EW622" s="15"/>
      <c r="EX622" s="15"/>
      <c r="EY622" s="15"/>
      <c r="EZ622" s="15"/>
      <c r="FA622" s="15"/>
      <c r="FB622" s="15"/>
      <c r="FC622" s="16" t="s">
        <v>197</v>
      </c>
      <c r="FD622" s="17" t="s">
        <v>198</v>
      </c>
      <c r="FE622" s="18">
        <v>45713.38296296296</v>
      </c>
      <c r="FF622" s="19"/>
      <c r="FG622" s="19"/>
      <c r="FH622" s="21" t="s">
        <v>197</v>
      </c>
      <c r="FI622" s="17" t="s">
        <v>214</v>
      </c>
      <c r="FJ622" s="18">
        <v>45713.38296296296</v>
      </c>
      <c r="FK622" s="14" t="s">
        <v>14023</v>
      </c>
      <c r="FL622" s="14" t="s">
        <v>14025</v>
      </c>
      <c r="FM622" s="14" t="s">
        <v>14026</v>
      </c>
      <c r="FN622" s="19"/>
      <c r="FO622" s="19"/>
      <c r="FP622" s="19" t="str">
        <f t="shared" si="1"/>
        <v>Base de Dados_Images/PIT81006A.Imagem do Equipamento-.174101.jpg</v>
      </c>
      <c r="FQ622" s="19"/>
      <c r="FR622" s="19"/>
    </row>
    <row r="623" ht="15.75" customHeight="1">
      <c r="A623" s="12" t="s">
        <v>357</v>
      </c>
      <c r="B623" s="12" t="s">
        <v>358</v>
      </c>
      <c r="C623" s="24" t="s">
        <v>375</v>
      </c>
      <c r="D623" s="22" t="s">
        <v>14027</v>
      </c>
      <c r="E623" s="22" t="s">
        <v>14028</v>
      </c>
      <c r="F623" s="13" t="s">
        <v>178</v>
      </c>
      <c r="G623" s="14" t="s">
        <v>179</v>
      </c>
      <c r="H623" s="14" t="s">
        <v>14029</v>
      </c>
      <c r="I623" s="14" t="s">
        <v>179</v>
      </c>
      <c r="J623" s="14" t="s">
        <v>14030</v>
      </c>
      <c r="K623" s="14" t="s">
        <v>179</v>
      </c>
      <c r="L623" s="14" t="s">
        <v>14031</v>
      </c>
      <c r="M623" s="14" t="s">
        <v>179</v>
      </c>
      <c r="N623" s="14" t="s">
        <v>14032</v>
      </c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6" t="s">
        <v>197</v>
      </c>
      <c r="BP623" s="17" t="s">
        <v>198</v>
      </c>
      <c r="BQ623" s="18">
        <v>45686.613020833334</v>
      </c>
      <c r="BR623" s="17" t="s">
        <v>198</v>
      </c>
      <c r="BS623" s="18">
        <v>45686.61320601852</v>
      </c>
      <c r="BT623" s="17" t="s">
        <v>198</v>
      </c>
      <c r="BU623" s="18">
        <v>45686.61320601852</v>
      </c>
      <c r="BV623" s="13" t="s">
        <v>199</v>
      </c>
      <c r="BW623" s="14" t="s">
        <v>179</v>
      </c>
      <c r="BX623" s="14" t="s">
        <v>14033</v>
      </c>
      <c r="BY623" s="14" t="s">
        <v>179</v>
      </c>
      <c r="BZ623" s="14" t="s">
        <v>14034</v>
      </c>
      <c r="CA623" s="14" t="s">
        <v>179</v>
      </c>
      <c r="CB623" s="14" t="s">
        <v>14035</v>
      </c>
      <c r="CC623" s="15"/>
      <c r="CD623" s="15"/>
      <c r="CE623" s="15"/>
      <c r="CF623" s="15"/>
      <c r="CG623" s="19"/>
      <c r="CH623" s="15"/>
      <c r="CI623" s="19"/>
      <c r="CJ623" s="15"/>
      <c r="CK623" s="19"/>
      <c r="CL623" s="15"/>
      <c r="CM623" s="19"/>
      <c r="CN623" s="15"/>
      <c r="CO623" s="19"/>
      <c r="CP623" s="15"/>
      <c r="CQ623" s="15"/>
      <c r="CR623" s="15"/>
      <c r="CS623" s="19"/>
      <c r="CT623" s="15"/>
      <c r="CU623" s="19"/>
      <c r="CV623" s="15"/>
      <c r="CW623" s="19"/>
      <c r="CX623" s="15"/>
      <c r="CY623" s="19"/>
      <c r="CZ623" s="15"/>
      <c r="DA623" s="16" t="s">
        <v>197</v>
      </c>
      <c r="DB623" s="17" t="s">
        <v>228</v>
      </c>
      <c r="DC623" s="16"/>
      <c r="DD623" s="17" t="s">
        <v>198</v>
      </c>
      <c r="DE623" s="18">
        <v>45705.4675</v>
      </c>
      <c r="DF623" s="17" t="s">
        <v>198</v>
      </c>
      <c r="DG623" s="18">
        <v>45705.4675</v>
      </c>
      <c r="DH623" s="13" t="s">
        <v>205</v>
      </c>
      <c r="DI623" s="14" t="s">
        <v>179</v>
      </c>
      <c r="DJ623" s="14" t="s">
        <v>14036</v>
      </c>
      <c r="DK623" s="14" t="s">
        <v>179</v>
      </c>
      <c r="DL623" s="14" t="s">
        <v>14037</v>
      </c>
      <c r="DM623" s="15"/>
      <c r="DN623" s="15"/>
      <c r="DO623" s="15"/>
      <c r="DP623" s="15"/>
      <c r="DQ623" s="15"/>
      <c r="DR623" s="15"/>
      <c r="DS623" s="15"/>
      <c r="DT623" s="15"/>
      <c r="DU623" s="15"/>
      <c r="DV623" s="15"/>
      <c r="DW623" s="15"/>
      <c r="DX623" s="15"/>
      <c r="DY623" s="15"/>
      <c r="DZ623" s="15"/>
      <c r="EA623" s="15"/>
      <c r="EB623" s="15"/>
      <c r="EC623" s="16" t="s">
        <v>197</v>
      </c>
      <c r="ED623" s="17" t="s">
        <v>198</v>
      </c>
      <c r="EE623" s="18">
        <v>45705.46758101852</v>
      </c>
      <c r="EF623" s="13" t="s">
        <v>209</v>
      </c>
      <c r="EG623" s="14" t="s">
        <v>179</v>
      </c>
      <c r="EH623" s="14" t="s">
        <v>14038</v>
      </c>
      <c r="EI623" s="14" t="s">
        <v>179</v>
      </c>
      <c r="EJ623" s="14" t="s">
        <v>14039</v>
      </c>
      <c r="EK623" s="15"/>
      <c r="EL623" s="15"/>
      <c r="EM623" s="15"/>
      <c r="EN623" s="15"/>
      <c r="EO623" s="15"/>
      <c r="EP623" s="15"/>
      <c r="EQ623" s="15"/>
      <c r="ER623" s="15"/>
      <c r="ES623" s="15"/>
      <c r="ET623" s="15"/>
      <c r="EU623" s="15"/>
      <c r="EV623" s="15"/>
      <c r="EW623" s="15"/>
      <c r="EX623" s="15"/>
      <c r="EY623" s="15"/>
      <c r="EZ623" s="15"/>
      <c r="FA623" s="15"/>
      <c r="FB623" s="15"/>
      <c r="FC623" s="16" t="s">
        <v>197</v>
      </c>
      <c r="FD623" s="17" t="s">
        <v>198</v>
      </c>
      <c r="FE623" s="18">
        <v>45705.46765046296</v>
      </c>
      <c r="FF623" s="19"/>
      <c r="FG623" s="19"/>
      <c r="FH623" s="21" t="s">
        <v>197</v>
      </c>
      <c r="FI623" s="17" t="s">
        <v>214</v>
      </c>
      <c r="FJ623" s="18">
        <v>45705.46765046296</v>
      </c>
      <c r="FK623" s="14" t="s">
        <v>14039</v>
      </c>
      <c r="FL623" s="14" t="s">
        <v>14040</v>
      </c>
      <c r="FM623" s="14" t="s">
        <v>14041</v>
      </c>
      <c r="FN623" s="19"/>
      <c r="FO623" s="19"/>
      <c r="FP623" s="19" t="str">
        <f t="shared" si="1"/>
        <v>Base de Dados_Images/PIT81006B.Imagem do Equipamento-.182531.jpg</v>
      </c>
      <c r="FQ623" s="19"/>
      <c r="FR623" s="19"/>
    </row>
    <row r="624" ht="15.75" customHeight="1">
      <c r="A624" s="12" t="s">
        <v>357</v>
      </c>
      <c r="B624" s="12" t="s">
        <v>448</v>
      </c>
      <c r="C624" s="24" t="s">
        <v>375</v>
      </c>
      <c r="D624" s="22" t="s">
        <v>14042</v>
      </c>
      <c r="E624" s="22" t="s">
        <v>14043</v>
      </c>
      <c r="F624" s="13" t="s">
        <v>178</v>
      </c>
      <c r="G624" s="14" t="s">
        <v>179</v>
      </c>
      <c r="H624" s="14" t="s">
        <v>14044</v>
      </c>
      <c r="I624" s="14" t="s">
        <v>179</v>
      </c>
      <c r="J624" s="14" t="s">
        <v>14045</v>
      </c>
      <c r="K624" s="14" t="s">
        <v>179</v>
      </c>
      <c r="L624" s="14" t="s">
        <v>14045</v>
      </c>
      <c r="M624" s="14" t="s">
        <v>179</v>
      </c>
      <c r="N624" s="14" t="s">
        <v>14046</v>
      </c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6" t="s">
        <v>197</v>
      </c>
      <c r="BP624" s="17" t="s">
        <v>198</v>
      </c>
      <c r="BQ624" s="18">
        <v>45693.65903935185</v>
      </c>
      <c r="BR624" s="17" t="s">
        <v>198</v>
      </c>
      <c r="BS624" s="18">
        <v>45693.65902777778</v>
      </c>
      <c r="BT624" s="17" t="s">
        <v>198</v>
      </c>
      <c r="BU624" s="18">
        <v>45693.65903935185</v>
      </c>
      <c r="BV624" s="13" t="s">
        <v>199</v>
      </c>
      <c r="BW624" s="14" t="s">
        <v>179</v>
      </c>
      <c r="BX624" s="14" t="s">
        <v>14047</v>
      </c>
      <c r="BY624" s="14" t="s">
        <v>179</v>
      </c>
      <c r="BZ624" s="14" t="s">
        <v>14048</v>
      </c>
      <c r="CA624" s="14" t="s">
        <v>179</v>
      </c>
      <c r="CB624" s="14" t="s">
        <v>14048</v>
      </c>
      <c r="CC624" s="15"/>
      <c r="CD624" s="15"/>
      <c r="CE624" s="15"/>
      <c r="CF624" s="15"/>
      <c r="CG624" s="19"/>
      <c r="CH624" s="15"/>
      <c r="CI624" s="19"/>
      <c r="CJ624" s="15"/>
      <c r="CK624" s="19"/>
      <c r="CL624" s="15"/>
      <c r="CM624" s="19"/>
      <c r="CN624" s="15"/>
      <c r="CO624" s="19"/>
      <c r="CP624" s="15"/>
      <c r="CQ624" s="15"/>
      <c r="CR624" s="15"/>
      <c r="CS624" s="19"/>
      <c r="CT624" s="15"/>
      <c r="CU624" s="19"/>
      <c r="CV624" s="15"/>
      <c r="CW624" s="19"/>
      <c r="CX624" s="15"/>
      <c r="CY624" s="19"/>
      <c r="CZ624" s="15"/>
      <c r="DA624" s="16" t="s">
        <v>197</v>
      </c>
      <c r="DB624" s="17" t="s">
        <v>228</v>
      </c>
      <c r="DC624" s="16"/>
      <c r="DD624" s="17" t="s">
        <v>198</v>
      </c>
      <c r="DE624" s="18">
        <v>45693.65908564815</v>
      </c>
      <c r="DF624" s="17" t="s">
        <v>198</v>
      </c>
      <c r="DG624" s="18">
        <v>45693.65908564815</v>
      </c>
      <c r="DH624" s="13" t="s">
        <v>205</v>
      </c>
      <c r="DI624" s="14" t="s">
        <v>179</v>
      </c>
      <c r="DJ624" s="14" t="s">
        <v>14049</v>
      </c>
      <c r="DK624" s="14" t="s">
        <v>179</v>
      </c>
      <c r="DL624" s="14" t="s">
        <v>14050</v>
      </c>
      <c r="DM624" s="15"/>
      <c r="DN624" s="15"/>
      <c r="DO624" s="15"/>
      <c r="DP624" s="15"/>
      <c r="DQ624" s="15"/>
      <c r="DR624" s="15"/>
      <c r="DS624" s="15"/>
      <c r="DT624" s="15"/>
      <c r="DU624" s="15"/>
      <c r="DV624" s="15"/>
      <c r="DW624" s="15"/>
      <c r="DX624" s="15"/>
      <c r="DY624" s="15"/>
      <c r="DZ624" s="15"/>
      <c r="EA624" s="15"/>
      <c r="EB624" s="15"/>
      <c r="EC624" s="16" t="s">
        <v>197</v>
      </c>
      <c r="ED624" s="17" t="s">
        <v>198</v>
      </c>
      <c r="EE624" s="18">
        <v>45693.65912037037</v>
      </c>
      <c r="EF624" s="13" t="s">
        <v>209</v>
      </c>
      <c r="EG624" s="14" t="s">
        <v>179</v>
      </c>
      <c r="EH624" s="14" t="s">
        <v>14051</v>
      </c>
      <c r="EI624" s="14" t="s">
        <v>179</v>
      </c>
      <c r="EJ624" s="14" t="s">
        <v>14051</v>
      </c>
      <c r="EK624" s="15"/>
      <c r="EL624" s="15"/>
      <c r="EM624" s="15"/>
      <c r="EN624" s="15"/>
      <c r="EO624" s="15"/>
      <c r="EP624" s="15"/>
      <c r="EQ624" s="15"/>
      <c r="ER624" s="15"/>
      <c r="ES624" s="15"/>
      <c r="ET624" s="15"/>
      <c r="EU624" s="15"/>
      <c r="EV624" s="15"/>
      <c r="EW624" s="15"/>
      <c r="EX624" s="15"/>
      <c r="EY624" s="15"/>
      <c r="EZ624" s="15"/>
      <c r="FA624" s="15"/>
      <c r="FB624" s="15"/>
      <c r="FC624" s="16" t="s">
        <v>197</v>
      </c>
      <c r="FD624" s="17" t="s">
        <v>198</v>
      </c>
      <c r="FE624" s="18">
        <v>45723.397141203706</v>
      </c>
      <c r="FF624" s="19"/>
      <c r="FG624" s="19"/>
      <c r="FH624" s="21" t="s">
        <v>197</v>
      </c>
      <c r="FI624" s="17" t="s">
        <v>214</v>
      </c>
      <c r="FJ624" s="18">
        <v>45723.397141203706</v>
      </c>
      <c r="FK624" s="14" t="s">
        <v>14051</v>
      </c>
      <c r="FL624" s="14" t="s">
        <v>14052</v>
      </c>
      <c r="FM624" s="14" t="s">
        <v>14053</v>
      </c>
      <c r="FN624" s="19"/>
      <c r="FO624" s="19"/>
      <c r="FP624" s="19" t="str">
        <f t="shared" si="1"/>
        <v>Base de Dados_Images/PIT81012.Imagem do Equipamento-.191314.jpg</v>
      </c>
      <c r="FQ624" s="14"/>
      <c r="FR624" s="14"/>
    </row>
    <row r="625" ht="15.75" customHeight="1">
      <c r="A625" s="12" t="s">
        <v>357</v>
      </c>
      <c r="B625" s="12" t="s">
        <v>448</v>
      </c>
      <c r="C625" s="24" t="s">
        <v>375</v>
      </c>
      <c r="D625" s="22" t="s">
        <v>14054</v>
      </c>
      <c r="E625" s="22" t="s">
        <v>14055</v>
      </c>
      <c r="F625" s="13" t="s">
        <v>178</v>
      </c>
      <c r="G625" s="14" t="s">
        <v>179</v>
      </c>
      <c r="H625" s="14" t="s">
        <v>14056</v>
      </c>
      <c r="I625" s="14" t="s">
        <v>179</v>
      </c>
      <c r="J625" s="14" t="s">
        <v>14057</v>
      </c>
      <c r="K625" s="14" t="s">
        <v>179</v>
      </c>
      <c r="L625" s="14" t="s">
        <v>14058</v>
      </c>
      <c r="M625" s="14" t="s">
        <v>179</v>
      </c>
      <c r="N625" s="14" t="s">
        <v>14059</v>
      </c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6" t="s">
        <v>197</v>
      </c>
      <c r="BP625" s="17" t="s">
        <v>198</v>
      </c>
      <c r="BQ625" s="18">
        <v>45685.59559027778</v>
      </c>
      <c r="BR625" s="17" t="s">
        <v>198</v>
      </c>
      <c r="BS625" s="18">
        <v>45685.595671296294</v>
      </c>
      <c r="BT625" s="17" t="s">
        <v>198</v>
      </c>
      <c r="BU625" s="18">
        <v>45685.595671296294</v>
      </c>
      <c r="BV625" s="13" t="s">
        <v>199</v>
      </c>
      <c r="BW625" s="14" t="s">
        <v>179</v>
      </c>
      <c r="BX625" s="14" t="s">
        <v>14060</v>
      </c>
      <c r="BY625" s="14" t="s">
        <v>179</v>
      </c>
      <c r="BZ625" s="14" t="s">
        <v>14061</v>
      </c>
      <c r="CA625" s="14" t="s">
        <v>179</v>
      </c>
      <c r="CB625" s="14" t="s">
        <v>14061</v>
      </c>
      <c r="CC625" s="15"/>
      <c r="CD625" s="15"/>
      <c r="CE625" s="15"/>
      <c r="CF625" s="15"/>
      <c r="CG625" s="19"/>
      <c r="CH625" s="15"/>
      <c r="CI625" s="19"/>
      <c r="CJ625" s="15"/>
      <c r="CK625" s="19"/>
      <c r="CL625" s="15"/>
      <c r="CM625" s="19"/>
      <c r="CN625" s="15"/>
      <c r="CO625" s="19"/>
      <c r="CP625" s="15"/>
      <c r="CQ625" s="15"/>
      <c r="CR625" s="15"/>
      <c r="CS625" s="19"/>
      <c r="CT625" s="15"/>
      <c r="CU625" s="19"/>
      <c r="CV625" s="15"/>
      <c r="CW625" s="19"/>
      <c r="CX625" s="15"/>
      <c r="CY625" s="19"/>
      <c r="CZ625" s="15"/>
      <c r="DA625" s="16" t="s">
        <v>197</v>
      </c>
      <c r="DB625" s="17" t="s">
        <v>228</v>
      </c>
      <c r="DC625" s="16"/>
      <c r="DD625" s="17" t="s">
        <v>198</v>
      </c>
      <c r="DE625" s="18">
        <v>45693.65688657408</v>
      </c>
      <c r="DF625" s="17" t="s">
        <v>198</v>
      </c>
      <c r="DG625" s="18">
        <v>45693.65688657408</v>
      </c>
      <c r="DH625" s="13" t="s">
        <v>205</v>
      </c>
      <c r="DI625" s="14" t="s">
        <v>179</v>
      </c>
      <c r="DJ625" s="14" t="s">
        <v>14062</v>
      </c>
      <c r="DK625" s="14" t="s">
        <v>179</v>
      </c>
      <c r="DL625" s="14" t="s">
        <v>14063</v>
      </c>
      <c r="DM625" s="15"/>
      <c r="DN625" s="15"/>
      <c r="DO625" s="15"/>
      <c r="DP625" s="15"/>
      <c r="DQ625" s="15"/>
      <c r="DR625" s="15"/>
      <c r="DS625" s="15"/>
      <c r="DT625" s="15"/>
      <c r="DU625" s="15"/>
      <c r="DV625" s="15"/>
      <c r="DW625" s="15"/>
      <c r="DX625" s="15"/>
      <c r="DY625" s="15"/>
      <c r="DZ625" s="15"/>
      <c r="EA625" s="15"/>
      <c r="EB625" s="15"/>
      <c r="EC625" s="16" t="s">
        <v>197</v>
      </c>
      <c r="ED625" s="17" t="s">
        <v>198</v>
      </c>
      <c r="EE625" s="18">
        <v>45693.65693287037</v>
      </c>
      <c r="EF625" s="13" t="s">
        <v>209</v>
      </c>
      <c r="EG625" s="14" t="s">
        <v>179</v>
      </c>
      <c r="EH625" s="14" t="s">
        <v>14064</v>
      </c>
      <c r="EI625" s="14" t="s">
        <v>179</v>
      </c>
      <c r="EJ625" s="14" t="s">
        <v>14065</v>
      </c>
      <c r="EK625" s="15"/>
      <c r="EL625" s="15"/>
      <c r="EM625" s="15"/>
      <c r="EN625" s="15"/>
      <c r="EO625" s="15"/>
      <c r="EP625" s="15"/>
      <c r="EQ625" s="15"/>
      <c r="ER625" s="15"/>
      <c r="ES625" s="15"/>
      <c r="ET625" s="15"/>
      <c r="EU625" s="15"/>
      <c r="EV625" s="15"/>
      <c r="EW625" s="15"/>
      <c r="EX625" s="15"/>
      <c r="EY625" s="15"/>
      <c r="EZ625" s="15"/>
      <c r="FA625" s="15"/>
      <c r="FB625" s="15"/>
      <c r="FC625" s="16" t="s">
        <v>197</v>
      </c>
      <c r="FD625" s="17" t="s">
        <v>198</v>
      </c>
      <c r="FE625" s="18">
        <v>45723.39729166667</v>
      </c>
      <c r="FF625" s="19"/>
      <c r="FG625" s="19"/>
      <c r="FH625" s="21" t="s">
        <v>197</v>
      </c>
      <c r="FI625" s="17" t="s">
        <v>214</v>
      </c>
      <c r="FJ625" s="18">
        <v>45723.39729166667</v>
      </c>
      <c r="FK625" s="14" t="s">
        <v>14065</v>
      </c>
      <c r="FL625" s="14" t="s">
        <v>14066</v>
      </c>
      <c r="FM625" s="14" t="s">
        <v>14067</v>
      </c>
      <c r="FN625" s="19"/>
      <c r="FO625" s="19"/>
      <c r="FP625" s="19" t="str">
        <f t="shared" si="1"/>
        <v>Base de Dados_Images/PIT81013.Imagem do Equipamento-.174412.jpg</v>
      </c>
      <c r="FQ625" s="19"/>
      <c r="FR625" s="19"/>
    </row>
    <row r="626" ht="15.75" customHeight="1">
      <c r="A626" s="12" t="s">
        <v>357</v>
      </c>
      <c r="B626" s="12" t="s">
        <v>358</v>
      </c>
      <c r="C626" s="24" t="s">
        <v>375</v>
      </c>
      <c r="D626" s="22" t="s">
        <v>14068</v>
      </c>
      <c r="E626" s="22" t="s">
        <v>14069</v>
      </c>
      <c r="F626" s="13" t="s">
        <v>178</v>
      </c>
      <c r="G626" s="14" t="s">
        <v>179</v>
      </c>
      <c r="H626" s="14" t="s">
        <v>14070</v>
      </c>
      <c r="I626" s="14" t="s">
        <v>179</v>
      </c>
      <c r="J626" s="14" t="s">
        <v>14071</v>
      </c>
      <c r="K626" s="14" t="s">
        <v>179</v>
      </c>
      <c r="L626" s="14" t="s">
        <v>14072</v>
      </c>
      <c r="M626" s="14" t="s">
        <v>179</v>
      </c>
      <c r="N626" s="14" t="s">
        <v>14073</v>
      </c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6" t="s">
        <v>197</v>
      </c>
      <c r="BP626" s="17" t="s">
        <v>198</v>
      </c>
      <c r="BQ626" s="18">
        <v>45679.46534722222</v>
      </c>
      <c r="BR626" s="17" t="s">
        <v>198</v>
      </c>
      <c r="BS626" s="18">
        <v>45679.46538194444</v>
      </c>
      <c r="BT626" s="17" t="s">
        <v>198</v>
      </c>
      <c r="BU626" s="18">
        <v>45679.46538194444</v>
      </c>
      <c r="BV626" s="13" t="s">
        <v>199</v>
      </c>
      <c r="BW626" s="14" t="s">
        <v>179</v>
      </c>
      <c r="BX626" s="14" t="s">
        <v>14074</v>
      </c>
      <c r="BY626" s="14" t="s">
        <v>179</v>
      </c>
      <c r="BZ626" s="14" t="s">
        <v>14074</v>
      </c>
      <c r="CA626" s="14" t="s">
        <v>179</v>
      </c>
      <c r="CB626" s="14" t="s">
        <v>14075</v>
      </c>
      <c r="CC626" s="15"/>
      <c r="CD626" s="15"/>
      <c r="CE626" s="15"/>
      <c r="CF626" s="15"/>
      <c r="CG626" s="19"/>
      <c r="CH626" s="15"/>
      <c r="CI626" s="19"/>
      <c r="CJ626" s="15"/>
      <c r="CK626" s="19"/>
      <c r="CL626" s="15"/>
      <c r="CM626" s="19"/>
      <c r="CN626" s="15"/>
      <c r="CO626" s="19"/>
      <c r="CP626" s="15"/>
      <c r="CQ626" s="15"/>
      <c r="CR626" s="15"/>
      <c r="CS626" s="19"/>
      <c r="CT626" s="15"/>
      <c r="CU626" s="19"/>
      <c r="CV626" s="15"/>
      <c r="CW626" s="19"/>
      <c r="CX626" s="15"/>
      <c r="CY626" s="19"/>
      <c r="CZ626" s="15"/>
      <c r="DA626" s="16" t="s">
        <v>197</v>
      </c>
      <c r="DB626" s="17" t="s">
        <v>228</v>
      </c>
      <c r="DC626" s="16"/>
      <c r="DD626" s="17" t="s">
        <v>198</v>
      </c>
      <c r="DE626" s="18">
        <v>45693.66502314815</v>
      </c>
      <c r="DF626" s="17" t="s">
        <v>198</v>
      </c>
      <c r="DG626" s="18">
        <v>45693.66502314815</v>
      </c>
      <c r="DH626" s="13" t="s">
        <v>205</v>
      </c>
      <c r="DI626" s="14" t="s">
        <v>179</v>
      </c>
      <c r="DJ626" s="14" t="s">
        <v>14076</v>
      </c>
      <c r="DK626" s="14" t="s">
        <v>179</v>
      </c>
      <c r="DL626" s="14" t="s">
        <v>14077</v>
      </c>
      <c r="DM626" s="15"/>
      <c r="DN626" s="15"/>
      <c r="DO626" s="15"/>
      <c r="DP626" s="15"/>
      <c r="DQ626" s="15"/>
      <c r="DR626" s="15"/>
      <c r="DS626" s="15"/>
      <c r="DT626" s="15"/>
      <c r="DU626" s="15"/>
      <c r="DV626" s="15"/>
      <c r="DW626" s="15"/>
      <c r="DX626" s="15"/>
      <c r="DY626" s="15"/>
      <c r="DZ626" s="15"/>
      <c r="EA626" s="15"/>
      <c r="EB626" s="15"/>
      <c r="EC626" s="16" t="s">
        <v>197</v>
      </c>
      <c r="ED626" s="17" t="s">
        <v>198</v>
      </c>
      <c r="EE626" s="18">
        <v>45705.46984953704</v>
      </c>
      <c r="EF626" s="13" t="s">
        <v>209</v>
      </c>
      <c r="EG626" s="14" t="s">
        <v>179</v>
      </c>
      <c r="EH626" s="14" t="s">
        <v>14078</v>
      </c>
      <c r="EI626" s="14" t="s">
        <v>179</v>
      </c>
      <c r="EJ626" s="14" t="s">
        <v>14079</v>
      </c>
      <c r="EK626" s="15"/>
      <c r="EL626" s="15"/>
      <c r="EM626" s="15"/>
      <c r="EN626" s="15"/>
      <c r="EO626" s="15"/>
      <c r="EP626" s="15"/>
      <c r="EQ626" s="15"/>
      <c r="ER626" s="15"/>
      <c r="ES626" s="15"/>
      <c r="ET626" s="15"/>
      <c r="EU626" s="15"/>
      <c r="EV626" s="15"/>
      <c r="EW626" s="15"/>
      <c r="EX626" s="15"/>
      <c r="EY626" s="15"/>
      <c r="EZ626" s="15"/>
      <c r="FA626" s="15"/>
      <c r="FB626" s="15"/>
      <c r="FC626" s="16" t="s">
        <v>197</v>
      </c>
      <c r="FD626" s="17" t="s">
        <v>198</v>
      </c>
      <c r="FE626" s="18">
        <v>45705.4699537037</v>
      </c>
      <c r="FF626" s="19"/>
      <c r="FG626" s="19"/>
      <c r="FH626" s="21" t="s">
        <v>197</v>
      </c>
      <c r="FI626" s="17" t="s">
        <v>214</v>
      </c>
      <c r="FJ626" s="18">
        <v>45705.4699537037</v>
      </c>
      <c r="FK626" s="14" t="s">
        <v>14079</v>
      </c>
      <c r="FL626" s="14" t="s">
        <v>14080</v>
      </c>
      <c r="FM626" s="14" t="s">
        <v>14081</v>
      </c>
      <c r="FN626" s="19"/>
      <c r="FO626" s="19"/>
      <c r="FP626" s="19" t="str">
        <f t="shared" si="1"/>
        <v>Base de Dados_Images/PIT81014.Imagem do Equipamento-.190201.jpg</v>
      </c>
      <c r="FQ626" s="19"/>
      <c r="FR626" s="19"/>
    </row>
    <row r="627" ht="15.75" customHeight="1">
      <c r="A627" s="12" t="s">
        <v>357</v>
      </c>
      <c r="B627" s="12" t="s">
        <v>358</v>
      </c>
      <c r="C627" s="24" t="s">
        <v>375</v>
      </c>
      <c r="D627" s="22" t="s">
        <v>14082</v>
      </c>
      <c r="E627" s="22" t="s">
        <v>14083</v>
      </c>
      <c r="F627" s="13" t="s">
        <v>178</v>
      </c>
      <c r="G627" s="14" t="s">
        <v>179</v>
      </c>
      <c r="H627" s="14" t="s">
        <v>14084</v>
      </c>
      <c r="I627" s="14" t="s">
        <v>179</v>
      </c>
      <c r="J627" s="14" t="s">
        <v>14085</v>
      </c>
      <c r="K627" s="14" t="s">
        <v>179</v>
      </c>
      <c r="L627" s="14" t="s">
        <v>14086</v>
      </c>
      <c r="M627" s="14" t="s">
        <v>179</v>
      </c>
      <c r="N627" s="14" t="s">
        <v>14087</v>
      </c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6" t="s">
        <v>197</v>
      </c>
      <c r="BP627" s="17" t="s">
        <v>198</v>
      </c>
      <c r="BQ627" s="18">
        <v>45679.47614583333</v>
      </c>
      <c r="BR627" s="17" t="s">
        <v>198</v>
      </c>
      <c r="BS627" s="18">
        <v>45679.47621527778</v>
      </c>
      <c r="BT627" s="17" t="s">
        <v>198</v>
      </c>
      <c r="BU627" s="18">
        <v>45679.47621527778</v>
      </c>
      <c r="BV627" s="13" t="s">
        <v>199</v>
      </c>
      <c r="BW627" s="14" t="s">
        <v>179</v>
      </c>
      <c r="BX627" s="14" t="s">
        <v>14088</v>
      </c>
      <c r="BY627" s="14" t="s">
        <v>179</v>
      </c>
      <c r="BZ627" s="14" t="s">
        <v>14089</v>
      </c>
      <c r="CA627" s="14" t="s">
        <v>179</v>
      </c>
      <c r="CB627" s="14" t="s">
        <v>14089</v>
      </c>
      <c r="CC627" s="15"/>
      <c r="CD627" s="15"/>
      <c r="CE627" s="15"/>
      <c r="CF627" s="15"/>
      <c r="CG627" s="19"/>
      <c r="CH627" s="15"/>
      <c r="CI627" s="19"/>
      <c r="CJ627" s="15"/>
      <c r="CK627" s="19"/>
      <c r="CL627" s="15"/>
      <c r="CM627" s="19"/>
      <c r="CN627" s="15"/>
      <c r="CO627" s="19"/>
      <c r="CP627" s="15"/>
      <c r="CQ627" s="15"/>
      <c r="CR627" s="15"/>
      <c r="CS627" s="19"/>
      <c r="CT627" s="15"/>
      <c r="CU627" s="19"/>
      <c r="CV627" s="15"/>
      <c r="CW627" s="19"/>
      <c r="CX627" s="15"/>
      <c r="CY627" s="19"/>
      <c r="CZ627" s="15"/>
      <c r="DA627" s="16" t="s">
        <v>197</v>
      </c>
      <c r="DB627" s="17" t="s">
        <v>228</v>
      </c>
      <c r="DC627" s="16"/>
      <c r="DD627" s="17" t="s">
        <v>198</v>
      </c>
      <c r="DE627" s="18">
        <v>45693.66134259259</v>
      </c>
      <c r="DF627" s="17" t="s">
        <v>198</v>
      </c>
      <c r="DG627" s="18">
        <v>45693.66134259259</v>
      </c>
      <c r="DH627" s="13" t="s">
        <v>205</v>
      </c>
      <c r="DI627" s="14" t="s">
        <v>179</v>
      </c>
      <c r="DJ627" s="14" t="s">
        <v>14090</v>
      </c>
      <c r="DK627" s="14" t="s">
        <v>179</v>
      </c>
      <c r="DL627" s="14" t="s">
        <v>14090</v>
      </c>
      <c r="DM627" s="15"/>
      <c r="DN627" s="15"/>
      <c r="DO627" s="15"/>
      <c r="DP627" s="15"/>
      <c r="DQ627" s="15"/>
      <c r="DR627" s="15"/>
      <c r="DS627" s="15"/>
      <c r="DT627" s="15"/>
      <c r="DU627" s="15"/>
      <c r="DV627" s="15"/>
      <c r="DW627" s="15"/>
      <c r="DX627" s="15"/>
      <c r="DY627" s="15"/>
      <c r="DZ627" s="15"/>
      <c r="EA627" s="15"/>
      <c r="EB627" s="15"/>
      <c r="EC627" s="16" t="s">
        <v>197</v>
      </c>
      <c r="ED627" s="17" t="s">
        <v>198</v>
      </c>
      <c r="EE627" s="18">
        <v>45693.66170138889</v>
      </c>
      <c r="EF627" s="13" t="s">
        <v>209</v>
      </c>
      <c r="EG627" s="14" t="s">
        <v>179</v>
      </c>
      <c r="EH627" s="14" t="s">
        <v>14091</v>
      </c>
      <c r="EI627" s="14" t="s">
        <v>179</v>
      </c>
      <c r="EJ627" s="14" t="s">
        <v>14092</v>
      </c>
      <c r="EK627" s="15"/>
      <c r="EL627" s="15"/>
      <c r="EM627" s="15"/>
      <c r="EN627" s="15"/>
      <c r="EO627" s="15"/>
      <c r="EP627" s="15"/>
      <c r="EQ627" s="15"/>
      <c r="ER627" s="15"/>
      <c r="ES627" s="15"/>
      <c r="ET627" s="15"/>
      <c r="EU627" s="15"/>
      <c r="EV627" s="15"/>
      <c r="EW627" s="15"/>
      <c r="EX627" s="15"/>
      <c r="EY627" s="15"/>
      <c r="EZ627" s="15"/>
      <c r="FA627" s="15"/>
      <c r="FB627" s="15"/>
      <c r="FC627" s="16" t="s">
        <v>197</v>
      </c>
      <c r="FD627" s="17" t="s">
        <v>198</v>
      </c>
      <c r="FE627" s="18">
        <v>45705.40261574074</v>
      </c>
      <c r="FF627" s="19"/>
      <c r="FG627" s="19"/>
      <c r="FH627" s="21" t="s">
        <v>197</v>
      </c>
      <c r="FI627" s="17" t="s">
        <v>214</v>
      </c>
      <c r="FJ627" s="18">
        <v>45705.40261574074</v>
      </c>
      <c r="FK627" s="14" t="s">
        <v>14092</v>
      </c>
      <c r="FL627" s="14" t="s">
        <v>14093</v>
      </c>
      <c r="FM627" s="14" t="s">
        <v>14094</v>
      </c>
      <c r="FN627" s="19"/>
      <c r="FO627" s="19"/>
      <c r="FP627" s="19" t="str">
        <f t="shared" si="1"/>
        <v>Base de Dados_Images/PIT81021.Imagem do Equipamento-.190546.jpg</v>
      </c>
      <c r="FQ627" s="19"/>
      <c r="FR627" s="19"/>
    </row>
    <row r="628" ht="15.75" customHeight="1">
      <c r="A628" s="12" t="s">
        <v>357</v>
      </c>
      <c r="B628" s="12" t="s">
        <v>358</v>
      </c>
      <c r="C628" s="24" t="s">
        <v>375</v>
      </c>
      <c r="D628" s="22" t="s">
        <v>14095</v>
      </c>
      <c r="E628" s="22" t="s">
        <v>14096</v>
      </c>
      <c r="F628" s="13" t="s">
        <v>178</v>
      </c>
      <c r="G628" s="14" t="s">
        <v>179</v>
      </c>
      <c r="H628" s="14" t="s">
        <v>14097</v>
      </c>
      <c r="I628" s="14" t="s">
        <v>179</v>
      </c>
      <c r="J628" s="14" t="s">
        <v>14098</v>
      </c>
      <c r="K628" s="14" t="s">
        <v>179</v>
      </c>
      <c r="L628" s="14" t="s">
        <v>14099</v>
      </c>
      <c r="M628" s="14" t="s">
        <v>179</v>
      </c>
      <c r="N628" s="14" t="s">
        <v>14100</v>
      </c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6" t="s">
        <v>197</v>
      </c>
      <c r="BP628" s="17" t="s">
        <v>198</v>
      </c>
      <c r="BQ628" s="18">
        <v>45679.459548611114</v>
      </c>
      <c r="BR628" s="17" t="s">
        <v>198</v>
      </c>
      <c r="BS628" s="18">
        <v>45679.45959490741</v>
      </c>
      <c r="BT628" s="17" t="s">
        <v>198</v>
      </c>
      <c r="BU628" s="18">
        <v>45679.45959490741</v>
      </c>
      <c r="BV628" s="13" t="s">
        <v>199</v>
      </c>
      <c r="BW628" s="14" t="s">
        <v>179</v>
      </c>
      <c r="BX628" s="14" t="s">
        <v>14101</v>
      </c>
      <c r="BY628" s="14" t="s">
        <v>179</v>
      </c>
      <c r="BZ628" s="14" t="s">
        <v>14102</v>
      </c>
      <c r="CA628" s="14" t="s">
        <v>179</v>
      </c>
      <c r="CB628" s="14" t="s">
        <v>14103</v>
      </c>
      <c r="CC628" s="15"/>
      <c r="CD628" s="15"/>
      <c r="CE628" s="15"/>
      <c r="CF628" s="15"/>
      <c r="CG628" s="19"/>
      <c r="CH628" s="15"/>
      <c r="CI628" s="19"/>
      <c r="CJ628" s="15"/>
      <c r="CK628" s="19"/>
      <c r="CL628" s="15"/>
      <c r="CM628" s="19"/>
      <c r="CN628" s="15"/>
      <c r="CO628" s="19"/>
      <c r="CP628" s="15"/>
      <c r="CQ628" s="15"/>
      <c r="CR628" s="15"/>
      <c r="CS628" s="19"/>
      <c r="CT628" s="15"/>
      <c r="CU628" s="19"/>
      <c r="CV628" s="15"/>
      <c r="CW628" s="19"/>
      <c r="CX628" s="15"/>
      <c r="CY628" s="19"/>
      <c r="CZ628" s="15"/>
      <c r="DA628" s="16" t="s">
        <v>197</v>
      </c>
      <c r="DB628" s="17" t="s">
        <v>228</v>
      </c>
      <c r="DC628" s="16"/>
      <c r="DD628" s="17" t="s">
        <v>198</v>
      </c>
      <c r="DE628" s="18">
        <v>45693.67219907408</v>
      </c>
      <c r="DF628" s="17" t="s">
        <v>198</v>
      </c>
      <c r="DG628" s="18">
        <v>45693.67219907408</v>
      </c>
      <c r="DH628" s="13" t="s">
        <v>205</v>
      </c>
      <c r="DI628" s="14" t="s">
        <v>179</v>
      </c>
      <c r="DJ628" s="14" t="s">
        <v>14104</v>
      </c>
      <c r="DK628" s="14" t="s">
        <v>179</v>
      </c>
      <c r="DL628" s="14" t="s">
        <v>14105</v>
      </c>
      <c r="DM628" s="15"/>
      <c r="DN628" s="15"/>
      <c r="DO628" s="15"/>
      <c r="DP628" s="15"/>
      <c r="DQ628" s="15"/>
      <c r="DR628" s="15"/>
      <c r="DS628" s="15"/>
      <c r="DT628" s="15"/>
      <c r="DU628" s="15"/>
      <c r="DV628" s="15"/>
      <c r="DW628" s="15"/>
      <c r="DX628" s="15"/>
      <c r="DY628" s="15"/>
      <c r="DZ628" s="15"/>
      <c r="EA628" s="15"/>
      <c r="EB628" s="15"/>
      <c r="EC628" s="16" t="s">
        <v>197</v>
      </c>
      <c r="ED628" s="17" t="s">
        <v>198</v>
      </c>
      <c r="EE628" s="18">
        <v>45693.672268518516</v>
      </c>
      <c r="EF628" s="13" t="s">
        <v>209</v>
      </c>
      <c r="EG628" s="14" t="s">
        <v>179</v>
      </c>
      <c r="EH628" s="14" t="s">
        <v>14106</v>
      </c>
      <c r="EI628" s="14" t="s">
        <v>179</v>
      </c>
      <c r="EJ628" s="14" t="s">
        <v>14107</v>
      </c>
      <c r="EK628" s="15"/>
      <c r="EL628" s="15"/>
      <c r="EM628" s="15"/>
      <c r="EN628" s="15"/>
      <c r="EO628" s="15"/>
      <c r="EP628" s="15"/>
      <c r="EQ628" s="15"/>
      <c r="ER628" s="15"/>
      <c r="ES628" s="15"/>
      <c r="ET628" s="15"/>
      <c r="EU628" s="15"/>
      <c r="EV628" s="15"/>
      <c r="EW628" s="15"/>
      <c r="EX628" s="15"/>
      <c r="EY628" s="15"/>
      <c r="EZ628" s="15"/>
      <c r="FA628" s="15"/>
      <c r="FB628" s="15"/>
      <c r="FC628" s="16" t="s">
        <v>197</v>
      </c>
      <c r="FD628" s="17" t="s">
        <v>198</v>
      </c>
      <c r="FE628" s="18">
        <v>45705.46722222222</v>
      </c>
      <c r="FF628" s="19"/>
      <c r="FG628" s="19"/>
      <c r="FH628" s="21" t="s">
        <v>197</v>
      </c>
      <c r="FI628" s="17" t="s">
        <v>214</v>
      </c>
      <c r="FJ628" s="18">
        <v>45705.46722222222</v>
      </c>
      <c r="FK628" s="14" t="s">
        <v>14107</v>
      </c>
      <c r="FL628" s="14" t="s">
        <v>14108</v>
      </c>
      <c r="FM628" s="14" t="s">
        <v>14109</v>
      </c>
      <c r="FN628" s="19"/>
      <c r="FO628" s="19"/>
      <c r="FP628" s="19" t="str">
        <f t="shared" si="1"/>
        <v>Base de Dados_Images/PIT81022.Imagem do Equipamento-.190042.jpg</v>
      </c>
      <c r="FQ628" s="19"/>
      <c r="FR628" s="19"/>
    </row>
    <row r="629" ht="15.75" customHeight="1">
      <c r="A629" s="12" t="s">
        <v>292</v>
      </c>
      <c r="B629" s="12" t="s">
        <v>13097</v>
      </c>
      <c r="C629" s="24" t="s">
        <v>375</v>
      </c>
      <c r="D629" s="22" t="s">
        <v>14110</v>
      </c>
      <c r="E629" s="22" t="s">
        <v>14111</v>
      </c>
      <c r="F629" s="13" t="s">
        <v>178</v>
      </c>
      <c r="G629" s="14" t="s">
        <v>179</v>
      </c>
      <c r="H629" s="14" t="s">
        <v>14112</v>
      </c>
      <c r="I629" s="14" t="s">
        <v>179</v>
      </c>
      <c r="J629" s="14" t="s">
        <v>14112</v>
      </c>
      <c r="K629" s="14" t="s">
        <v>179</v>
      </c>
      <c r="L629" s="14" t="s">
        <v>14113</v>
      </c>
      <c r="M629" s="14" t="s">
        <v>179</v>
      </c>
      <c r="N629" s="14" t="s">
        <v>14114</v>
      </c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6" t="s">
        <v>197</v>
      </c>
      <c r="BP629" s="17" t="s">
        <v>198</v>
      </c>
      <c r="BQ629" s="18">
        <v>45721.31748842593</v>
      </c>
      <c r="BR629" s="17" t="s">
        <v>198</v>
      </c>
      <c r="BS629" s="18">
        <v>45721.317557870374</v>
      </c>
      <c r="BT629" s="17" t="s">
        <v>198</v>
      </c>
      <c r="BU629" s="18">
        <v>45721.317557870374</v>
      </c>
      <c r="BV629" s="13" t="s">
        <v>199</v>
      </c>
      <c r="BW629" s="14" t="s">
        <v>179</v>
      </c>
      <c r="BX629" s="14" t="s">
        <v>14115</v>
      </c>
      <c r="BY629" s="14" t="s">
        <v>179</v>
      </c>
      <c r="BZ629" s="14" t="s">
        <v>14116</v>
      </c>
      <c r="CA629" s="14" t="s">
        <v>179</v>
      </c>
      <c r="CB629" s="14" t="s">
        <v>14116</v>
      </c>
      <c r="CC629" s="15"/>
      <c r="CD629" s="15"/>
      <c r="CE629" s="15"/>
      <c r="CF629" s="15"/>
      <c r="CG629" s="19"/>
      <c r="CH629" s="15"/>
      <c r="CI629" s="19"/>
      <c r="CJ629" s="15"/>
      <c r="CK629" s="19"/>
      <c r="CL629" s="15"/>
      <c r="CM629" s="19"/>
      <c r="CN629" s="15"/>
      <c r="CO629" s="19"/>
      <c r="CP629" s="15"/>
      <c r="CQ629" s="15"/>
      <c r="CR629" s="15"/>
      <c r="CS629" s="19"/>
      <c r="CT629" s="15"/>
      <c r="CU629" s="19"/>
      <c r="CV629" s="15"/>
      <c r="CW629" s="19"/>
      <c r="CX629" s="15"/>
      <c r="CY629" s="19"/>
      <c r="CZ629" s="15"/>
      <c r="DA629" s="16" t="s">
        <v>197</v>
      </c>
      <c r="DB629" s="17" t="s">
        <v>228</v>
      </c>
      <c r="DC629" s="16"/>
      <c r="DD629" s="17" t="s">
        <v>198</v>
      </c>
      <c r="DE629" s="18">
        <v>45721.31761574074</v>
      </c>
      <c r="DF629" s="17" t="s">
        <v>198</v>
      </c>
      <c r="DG629" s="18">
        <v>45721.31761574074</v>
      </c>
      <c r="DH629" s="13" t="s">
        <v>205</v>
      </c>
      <c r="DI629" s="14" t="s">
        <v>179</v>
      </c>
      <c r="DJ629" s="14" t="s">
        <v>14117</v>
      </c>
      <c r="DK629" s="14" t="s">
        <v>179</v>
      </c>
      <c r="DL629" s="14" t="s">
        <v>14118</v>
      </c>
      <c r="DM629" s="15"/>
      <c r="DN629" s="15"/>
      <c r="DO629" s="15"/>
      <c r="DP629" s="15"/>
      <c r="DQ629" s="15"/>
      <c r="DR629" s="15"/>
      <c r="DS629" s="15"/>
      <c r="DT629" s="15"/>
      <c r="DU629" s="15"/>
      <c r="DV629" s="15"/>
      <c r="DW629" s="15"/>
      <c r="DX629" s="15"/>
      <c r="DY629" s="15"/>
      <c r="DZ629" s="15"/>
      <c r="EA629" s="15"/>
      <c r="EB629" s="15"/>
      <c r="EC629" s="16" t="s">
        <v>197</v>
      </c>
      <c r="ED629" s="17" t="s">
        <v>198</v>
      </c>
      <c r="EE629" s="18">
        <v>45721.317708333336</v>
      </c>
      <c r="EF629" s="13" t="s">
        <v>209</v>
      </c>
      <c r="EG629" s="14" t="s">
        <v>179</v>
      </c>
      <c r="EH629" s="14" t="s">
        <v>14119</v>
      </c>
      <c r="EI629" s="14" t="s">
        <v>179</v>
      </c>
      <c r="EJ629" s="14" t="s">
        <v>14119</v>
      </c>
      <c r="EK629" s="15"/>
      <c r="EL629" s="15"/>
      <c r="EM629" s="15"/>
      <c r="EN629" s="15"/>
      <c r="EO629" s="15"/>
      <c r="EP629" s="15"/>
      <c r="EQ629" s="15"/>
      <c r="ER629" s="15"/>
      <c r="ES629" s="15"/>
      <c r="ET629" s="15"/>
      <c r="EU629" s="15"/>
      <c r="EV629" s="15"/>
      <c r="EW629" s="15"/>
      <c r="EX629" s="15"/>
      <c r="EY629" s="15"/>
      <c r="EZ629" s="15"/>
      <c r="FA629" s="15"/>
      <c r="FB629" s="15"/>
      <c r="FC629" s="16" t="s">
        <v>197</v>
      </c>
      <c r="FD629" s="17" t="s">
        <v>198</v>
      </c>
      <c r="FE629" s="18">
        <v>45721.317766203705</v>
      </c>
      <c r="FF629" s="19"/>
      <c r="FG629" s="19"/>
      <c r="FH629" s="21" t="s">
        <v>197</v>
      </c>
      <c r="FI629" s="17" t="s">
        <v>214</v>
      </c>
      <c r="FJ629" s="18">
        <v>45721.317766203705</v>
      </c>
      <c r="FK629" s="14" t="s">
        <v>14119</v>
      </c>
      <c r="FL629" s="19"/>
      <c r="FM629" s="19"/>
      <c r="FN629" s="19"/>
      <c r="FO629" s="19"/>
      <c r="FP629" s="19" t="str">
        <f t="shared" si="1"/>
        <v/>
      </c>
      <c r="FQ629" s="14" t="s">
        <v>215</v>
      </c>
      <c r="FR629" s="14" t="s">
        <v>14120</v>
      </c>
    </row>
    <row r="630" ht="15.75" customHeight="1">
      <c r="A630" s="12" t="s">
        <v>292</v>
      </c>
      <c r="B630" s="12" t="s">
        <v>13097</v>
      </c>
      <c r="C630" s="24" t="s">
        <v>375</v>
      </c>
      <c r="D630" s="22" t="s">
        <v>14121</v>
      </c>
      <c r="E630" s="22" t="s">
        <v>14122</v>
      </c>
      <c r="F630" s="13" t="s">
        <v>178</v>
      </c>
      <c r="G630" s="14" t="s">
        <v>179</v>
      </c>
      <c r="H630" s="14" t="s">
        <v>14123</v>
      </c>
      <c r="I630" s="14" t="s">
        <v>179</v>
      </c>
      <c r="J630" s="14" t="s">
        <v>14124</v>
      </c>
      <c r="K630" s="14" t="s">
        <v>179</v>
      </c>
      <c r="L630" s="14" t="s">
        <v>14125</v>
      </c>
      <c r="M630" s="14" t="s">
        <v>179</v>
      </c>
      <c r="N630" s="14" t="s">
        <v>14126</v>
      </c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6" t="s">
        <v>197</v>
      </c>
      <c r="BP630" s="17" t="s">
        <v>198</v>
      </c>
      <c r="BQ630" s="18">
        <v>45687.50380787037</v>
      </c>
      <c r="BR630" s="17" t="s">
        <v>198</v>
      </c>
      <c r="BS630" s="18">
        <v>45687.50378472222</v>
      </c>
      <c r="BT630" s="17" t="s">
        <v>198</v>
      </c>
      <c r="BU630" s="18">
        <v>45687.50380787037</v>
      </c>
      <c r="BV630" s="13" t="s">
        <v>199</v>
      </c>
      <c r="BW630" s="14" t="s">
        <v>179</v>
      </c>
      <c r="BX630" s="14" t="s">
        <v>14127</v>
      </c>
      <c r="BY630" s="14" t="s">
        <v>179</v>
      </c>
      <c r="BZ630" s="14" t="s">
        <v>14128</v>
      </c>
      <c r="CA630" s="14" t="s">
        <v>179</v>
      </c>
      <c r="CB630" s="14" t="s">
        <v>14129</v>
      </c>
      <c r="CC630" s="15"/>
      <c r="CD630" s="15"/>
      <c r="CE630" s="15"/>
      <c r="CF630" s="15"/>
      <c r="CG630" s="19"/>
      <c r="CH630" s="15"/>
      <c r="CI630" s="19"/>
      <c r="CJ630" s="15"/>
      <c r="CK630" s="19"/>
      <c r="CL630" s="15"/>
      <c r="CM630" s="19"/>
      <c r="CN630" s="15"/>
      <c r="CO630" s="19"/>
      <c r="CP630" s="15"/>
      <c r="CQ630" s="15"/>
      <c r="CR630" s="15"/>
      <c r="CS630" s="19"/>
      <c r="CT630" s="15"/>
      <c r="CU630" s="19"/>
      <c r="CV630" s="15"/>
      <c r="CW630" s="19"/>
      <c r="CX630" s="15"/>
      <c r="CY630" s="19"/>
      <c r="CZ630" s="15"/>
      <c r="DA630" s="16" t="s">
        <v>197</v>
      </c>
      <c r="DB630" s="17" t="s">
        <v>228</v>
      </c>
      <c r="DC630" s="16"/>
      <c r="DD630" s="17" t="s">
        <v>198</v>
      </c>
      <c r="DE630" s="18">
        <v>45721.31789351852</v>
      </c>
      <c r="DF630" s="17" t="s">
        <v>198</v>
      </c>
      <c r="DG630" s="18">
        <v>45721.31789351852</v>
      </c>
      <c r="DH630" s="13" t="s">
        <v>205</v>
      </c>
      <c r="DI630" s="14" t="s">
        <v>179</v>
      </c>
      <c r="DJ630" s="14" t="s">
        <v>14130</v>
      </c>
      <c r="DK630" s="14" t="s">
        <v>179</v>
      </c>
      <c r="DL630" s="14" t="s">
        <v>14131</v>
      </c>
      <c r="DM630" s="15"/>
      <c r="DN630" s="15"/>
      <c r="DO630" s="15"/>
      <c r="DP630" s="15"/>
      <c r="DQ630" s="15"/>
      <c r="DR630" s="15"/>
      <c r="DS630" s="15"/>
      <c r="DT630" s="15"/>
      <c r="DU630" s="15"/>
      <c r="DV630" s="15"/>
      <c r="DW630" s="15"/>
      <c r="DX630" s="15"/>
      <c r="DY630" s="15"/>
      <c r="DZ630" s="15"/>
      <c r="EA630" s="15"/>
      <c r="EB630" s="15"/>
      <c r="EC630" s="16" t="s">
        <v>197</v>
      </c>
      <c r="ED630" s="17" t="s">
        <v>198</v>
      </c>
      <c r="EE630" s="18">
        <v>45721.31793981481</v>
      </c>
      <c r="EF630" s="13" t="s">
        <v>209</v>
      </c>
      <c r="EG630" s="14" t="s">
        <v>179</v>
      </c>
      <c r="EH630" s="14" t="s">
        <v>14132</v>
      </c>
      <c r="EI630" s="14" t="s">
        <v>179</v>
      </c>
      <c r="EJ630" s="14" t="s">
        <v>14132</v>
      </c>
      <c r="EK630" s="15"/>
      <c r="EL630" s="15"/>
      <c r="EM630" s="15"/>
      <c r="EN630" s="15"/>
      <c r="EO630" s="15"/>
      <c r="EP630" s="15"/>
      <c r="EQ630" s="15"/>
      <c r="ER630" s="15"/>
      <c r="ES630" s="15"/>
      <c r="ET630" s="15"/>
      <c r="EU630" s="15"/>
      <c r="EV630" s="15"/>
      <c r="EW630" s="15"/>
      <c r="EX630" s="15"/>
      <c r="EY630" s="15"/>
      <c r="EZ630" s="15"/>
      <c r="FA630" s="15"/>
      <c r="FB630" s="15"/>
      <c r="FC630" s="16" t="s">
        <v>197</v>
      </c>
      <c r="FD630" s="17" t="s">
        <v>198</v>
      </c>
      <c r="FE630" s="18">
        <v>45721.31799768518</v>
      </c>
      <c r="FF630" s="19"/>
      <c r="FG630" s="19"/>
      <c r="FH630" s="21" t="s">
        <v>197</v>
      </c>
      <c r="FI630" s="17" t="s">
        <v>214</v>
      </c>
      <c r="FJ630" s="18">
        <v>45721.31799768518</v>
      </c>
      <c r="FK630" s="14" t="s">
        <v>14132</v>
      </c>
      <c r="FL630" s="14" t="s">
        <v>14133</v>
      </c>
      <c r="FM630" s="14" t="s">
        <v>14134</v>
      </c>
      <c r="FN630" s="19"/>
      <c r="FO630" s="19"/>
      <c r="FP630" s="19" t="str">
        <f t="shared" si="1"/>
        <v>Base de Dados_Images/PIT81025.Imagem do Equipamento-.135011.jpg</v>
      </c>
      <c r="FQ630" s="19"/>
      <c r="FR630" s="19"/>
    </row>
    <row r="631" ht="15.75" customHeight="1">
      <c r="A631" s="12" t="s">
        <v>357</v>
      </c>
      <c r="B631" s="12" t="s">
        <v>358</v>
      </c>
      <c r="C631" s="24" t="s">
        <v>375</v>
      </c>
      <c r="D631" s="22" t="s">
        <v>14135</v>
      </c>
      <c r="E631" s="22" t="s">
        <v>14136</v>
      </c>
      <c r="F631" s="13" t="s">
        <v>178</v>
      </c>
      <c r="G631" s="14" t="s">
        <v>188</v>
      </c>
      <c r="H631" s="14" t="s">
        <v>14137</v>
      </c>
      <c r="I631" s="14" t="s">
        <v>188</v>
      </c>
      <c r="J631" s="14" t="s">
        <v>14138</v>
      </c>
      <c r="K631" s="14" t="s">
        <v>188</v>
      </c>
      <c r="L631" s="14" t="s">
        <v>14139</v>
      </c>
      <c r="M631" s="14" t="s">
        <v>188</v>
      </c>
      <c r="N631" s="14" t="s">
        <v>14140</v>
      </c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6" t="s">
        <v>197</v>
      </c>
      <c r="BP631" s="17" t="s">
        <v>198</v>
      </c>
      <c r="BQ631" s="18">
        <v>45688.437314814815</v>
      </c>
      <c r="BR631" s="17" t="s">
        <v>198</v>
      </c>
      <c r="BS631" s="18">
        <v>45688.43736111111</v>
      </c>
      <c r="BT631" s="17" t="s">
        <v>198</v>
      </c>
      <c r="BU631" s="18">
        <v>45688.43736111111</v>
      </c>
      <c r="BV631" s="13" t="s">
        <v>199</v>
      </c>
      <c r="BW631" s="14" t="s">
        <v>188</v>
      </c>
      <c r="BX631" s="14" t="s">
        <v>14141</v>
      </c>
      <c r="BY631" s="14" t="s">
        <v>188</v>
      </c>
      <c r="BZ631" s="14" t="s">
        <v>14142</v>
      </c>
      <c r="CA631" s="14" t="s">
        <v>188</v>
      </c>
      <c r="CB631" s="14" t="s">
        <v>14143</v>
      </c>
      <c r="CC631" s="15"/>
      <c r="CD631" s="15"/>
      <c r="CE631" s="15"/>
      <c r="CF631" s="15"/>
      <c r="CG631" s="19"/>
      <c r="CH631" s="15"/>
      <c r="CI631" s="19"/>
      <c r="CJ631" s="15"/>
      <c r="CK631" s="19"/>
      <c r="CL631" s="15"/>
      <c r="CM631" s="19"/>
      <c r="CN631" s="15"/>
      <c r="CO631" s="19"/>
      <c r="CP631" s="15"/>
      <c r="CQ631" s="15"/>
      <c r="CR631" s="15"/>
      <c r="CS631" s="19"/>
      <c r="CT631" s="15"/>
      <c r="CU631" s="19"/>
      <c r="CV631" s="15"/>
      <c r="CW631" s="19"/>
      <c r="CX631" s="15"/>
      <c r="CY631" s="19"/>
      <c r="CZ631" s="15"/>
      <c r="DA631" s="16" t="s">
        <v>197</v>
      </c>
      <c r="DB631" s="17" t="s">
        <v>228</v>
      </c>
      <c r="DC631" s="16"/>
      <c r="DD631" s="17" t="s">
        <v>198</v>
      </c>
      <c r="DE631" s="18">
        <v>45688.437476851854</v>
      </c>
      <c r="DF631" s="17" t="s">
        <v>198</v>
      </c>
      <c r="DG631" s="18">
        <v>45688.437476851854</v>
      </c>
      <c r="DH631" s="13" t="s">
        <v>205</v>
      </c>
      <c r="DI631" s="14" t="s">
        <v>179</v>
      </c>
      <c r="DJ631" s="14" t="s">
        <v>14144</v>
      </c>
      <c r="DK631" s="14" t="s">
        <v>179</v>
      </c>
      <c r="DL631" s="14" t="s">
        <v>14145</v>
      </c>
      <c r="DM631" s="15"/>
      <c r="DN631" s="15"/>
      <c r="DO631" s="15"/>
      <c r="DP631" s="15"/>
      <c r="DQ631" s="15"/>
      <c r="DR631" s="15"/>
      <c r="DS631" s="15"/>
      <c r="DT631" s="15"/>
      <c r="DU631" s="15"/>
      <c r="DV631" s="15"/>
      <c r="DW631" s="15"/>
      <c r="DX631" s="15"/>
      <c r="DY631" s="15"/>
      <c r="DZ631" s="15"/>
      <c r="EA631" s="15"/>
      <c r="EB631" s="15"/>
      <c r="EC631" s="16" t="s">
        <v>197</v>
      </c>
      <c r="ED631" s="17" t="s">
        <v>198</v>
      </c>
      <c r="EE631" s="18">
        <v>45693.6725</v>
      </c>
      <c r="EF631" s="13" t="s">
        <v>209</v>
      </c>
      <c r="EG631" s="14" t="s">
        <v>188</v>
      </c>
      <c r="EH631" s="14" t="s">
        <v>14146</v>
      </c>
      <c r="EI631" s="14" t="s">
        <v>188</v>
      </c>
      <c r="EJ631" s="14" t="s">
        <v>14146</v>
      </c>
      <c r="EK631" s="15"/>
      <c r="EL631" s="15"/>
      <c r="EM631" s="15"/>
      <c r="EN631" s="15"/>
      <c r="EO631" s="15"/>
      <c r="EP631" s="15"/>
      <c r="EQ631" s="15"/>
      <c r="ER631" s="15"/>
      <c r="ES631" s="15"/>
      <c r="ET631" s="15"/>
      <c r="EU631" s="15"/>
      <c r="EV631" s="15"/>
      <c r="EW631" s="15"/>
      <c r="EX631" s="15"/>
      <c r="EY631" s="15"/>
      <c r="EZ631" s="15"/>
      <c r="FA631" s="15"/>
      <c r="FB631" s="15"/>
      <c r="FC631" s="16" t="s">
        <v>197</v>
      </c>
      <c r="FD631" s="17" t="s">
        <v>198</v>
      </c>
      <c r="FE631" s="18">
        <v>45705.38953703704</v>
      </c>
      <c r="FF631" s="19"/>
      <c r="FG631" s="19"/>
      <c r="FH631" s="21" t="s">
        <v>197</v>
      </c>
      <c r="FI631" s="17" t="s">
        <v>214</v>
      </c>
      <c r="FJ631" s="18">
        <v>45705.38953703704</v>
      </c>
      <c r="FK631" s="14" t="s">
        <v>14146</v>
      </c>
      <c r="FL631" s="19"/>
      <c r="FM631" s="19"/>
      <c r="FN631" s="19"/>
      <c r="FO631" s="19"/>
      <c r="FP631" s="19" t="str">
        <f t="shared" si="1"/>
        <v/>
      </c>
      <c r="FQ631" s="14" t="s">
        <v>215</v>
      </c>
      <c r="FR631" s="14" t="s">
        <v>14147</v>
      </c>
    </row>
    <row r="632" ht="15.75" customHeight="1">
      <c r="A632" s="12" t="s">
        <v>10412</v>
      </c>
      <c r="B632" s="12" t="s">
        <v>14148</v>
      </c>
      <c r="C632" s="24" t="s">
        <v>375</v>
      </c>
      <c r="D632" s="12" t="s">
        <v>14149</v>
      </c>
      <c r="E632" s="12" t="s">
        <v>14150</v>
      </c>
      <c r="F632" s="13" t="s">
        <v>178</v>
      </c>
      <c r="G632" s="14" t="s">
        <v>179</v>
      </c>
      <c r="H632" s="14" t="s">
        <v>14151</v>
      </c>
      <c r="I632" s="14" t="s">
        <v>179</v>
      </c>
      <c r="J632" s="14" t="s">
        <v>14152</v>
      </c>
      <c r="K632" s="14" t="s">
        <v>179</v>
      </c>
      <c r="L632" s="14" t="s">
        <v>14153</v>
      </c>
      <c r="M632" s="14" t="s">
        <v>179</v>
      </c>
      <c r="N632" s="14" t="s">
        <v>14154</v>
      </c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6" t="s">
        <v>197</v>
      </c>
      <c r="BP632" s="17" t="s">
        <v>198</v>
      </c>
      <c r="BQ632" s="18">
        <v>45686.63516203704</v>
      </c>
      <c r="BR632" s="17" t="s">
        <v>198</v>
      </c>
      <c r="BS632" s="18">
        <v>45686.63513888889</v>
      </c>
      <c r="BT632" s="17" t="s">
        <v>198</v>
      </c>
      <c r="BU632" s="18">
        <v>45686.63516203704</v>
      </c>
      <c r="BV632" s="13" t="s">
        <v>199</v>
      </c>
      <c r="BW632" s="14" t="s">
        <v>188</v>
      </c>
      <c r="BX632" s="14" t="s">
        <v>14155</v>
      </c>
      <c r="BY632" s="14" t="s">
        <v>179</v>
      </c>
      <c r="BZ632" s="14" t="s">
        <v>14156</v>
      </c>
      <c r="CA632" s="14" t="s">
        <v>188</v>
      </c>
      <c r="CB632" s="14" t="s">
        <v>14157</v>
      </c>
      <c r="CC632" s="15"/>
      <c r="CD632" s="15"/>
      <c r="CE632" s="15"/>
      <c r="CF632" s="15"/>
      <c r="CG632" s="19"/>
      <c r="CH632" s="15"/>
      <c r="CI632" s="19"/>
      <c r="CJ632" s="15"/>
      <c r="CK632" s="19"/>
      <c r="CL632" s="15"/>
      <c r="CM632" s="19"/>
      <c r="CN632" s="15"/>
      <c r="CO632" s="19"/>
      <c r="CP632" s="15"/>
      <c r="CQ632" s="15"/>
      <c r="CR632" s="15"/>
      <c r="CS632" s="19"/>
      <c r="CT632" s="15"/>
      <c r="CU632" s="19"/>
      <c r="CV632" s="15"/>
      <c r="CW632" s="19"/>
      <c r="CX632" s="15"/>
      <c r="CY632" s="19"/>
      <c r="CZ632" s="15"/>
      <c r="DA632" s="16" t="s">
        <v>197</v>
      </c>
      <c r="DB632" s="17" t="s">
        <v>228</v>
      </c>
      <c r="DC632" s="16"/>
      <c r="DD632" s="17" t="s">
        <v>198</v>
      </c>
      <c r="DE632" s="18">
        <v>45714.509409722225</v>
      </c>
      <c r="DF632" s="17" t="s">
        <v>198</v>
      </c>
      <c r="DG632" s="18">
        <v>45714.509409722225</v>
      </c>
      <c r="DH632" s="13" t="s">
        <v>205</v>
      </c>
      <c r="DI632" s="14" t="s">
        <v>179</v>
      </c>
      <c r="DJ632" s="14" t="s">
        <v>14158</v>
      </c>
      <c r="DK632" s="14" t="s">
        <v>179</v>
      </c>
      <c r="DL632" s="14" t="s">
        <v>14159</v>
      </c>
      <c r="DM632" s="15"/>
      <c r="DN632" s="15"/>
      <c r="DO632" s="15"/>
      <c r="DP632" s="15"/>
      <c r="DQ632" s="15"/>
      <c r="DR632" s="15"/>
      <c r="DS632" s="15"/>
      <c r="DT632" s="15"/>
      <c r="DU632" s="15"/>
      <c r="DV632" s="15"/>
      <c r="DW632" s="15"/>
      <c r="DX632" s="15"/>
      <c r="DY632" s="15"/>
      <c r="DZ632" s="15"/>
      <c r="EA632" s="15"/>
      <c r="EB632" s="15"/>
      <c r="EC632" s="16" t="s">
        <v>197</v>
      </c>
      <c r="ED632" s="17" t="s">
        <v>198</v>
      </c>
      <c r="EE632" s="18">
        <v>45719.46126157408</v>
      </c>
      <c r="EF632" s="13" t="s">
        <v>209</v>
      </c>
      <c r="EG632" s="14" t="s">
        <v>179</v>
      </c>
      <c r="EH632" s="14" t="s">
        <v>14160</v>
      </c>
      <c r="EI632" s="14" t="s">
        <v>179</v>
      </c>
      <c r="EJ632" s="14" t="s">
        <v>14161</v>
      </c>
      <c r="EK632" s="15"/>
      <c r="EL632" s="15"/>
      <c r="EM632" s="15"/>
      <c r="EN632" s="15"/>
      <c r="EO632" s="15"/>
      <c r="EP632" s="15"/>
      <c r="EQ632" s="15"/>
      <c r="ER632" s="15"/>
      <c r="ES632" s="15"/>
      <c r="ET632" s="15"/>
      <c r="EU632" s="15"/>
      <c r="EV632" s="15"/>
      <c r="EW632" s="15"/>
      <c r="EX632" s="15"/>
      <c r="EY632" s="15"/>
      <c r="EZ632" s="15"/>
      <c r="FA632" s="15"/>
      <c r="FB632" s="15"/>
      <c r="FC632" s="16" t="s">
        <v>197</v>
      </c>
      <c r="FD632" s="17" t="s">
        <v>198</v>
      </c>
      <c r="FE632" s="18">
        <v>45719.6740625</v>
      </c>
      <c r="FF632" s="19"/>
      <c r="FG632" s="19"/>
      <c r="FH632" s="21" t="s">
        <v>197</v>
      </c>
      <c r="FI632" s="17" t="s">
        <v>214</v>
      </c>
      <c r="FJ632" s="18">
        <v>45719.6740625</v>
      </c>
      <c r="FK632" s="14" t="s">
        <v>14161</v>
      </c>
      <c r="FL632" s="14" t="s">
        <v>14162</v>
      </c>
      <c r="FM632" s="14" t="s">
        <v>14163</v>
      </c>
      <c r="FN632" s="19"/>
      <c r="FO632" s="19"/>
      <c r="FP632" s="19" t="str">
        <f t="shared" si="1"/>
        <v>Base de Dados_Images/PIT88001.Imagem do Equipamento-.182457.jpg</v>
      </c>
      <c r="FQ632" s="19"/>
      <c r="FR632" s="19"/>
    </row>
    <row r="633" ht="15.75" customHeight="1">
      <c r="A633" s="12" t="s">
        <v>10412</v>
      </c>
      <c r="B633" s="12" t="s">
        <v>14148</v>
      </c>
      <c r="C633" s="24" t="s">
        <v>375</v>
      </c>
      <c r="D633" s="12" t="s">
        <v>14164</v>
      </c>
      <c r="E633" s="12" t="s">
        <v>14165</v>
      </c>
      <c r="F633" s="13" t="s">
        <v>178</v>
      </c>
      <c r="G633" s="14" t="s">
        <v>179</v>
      </c>
      <c r="H633" s="14" t="s">
        <v>14166</v>
      </c>
      <c r="I633" s="14" t="s">
        <v>179</v>
      </c>
      <c r="J633" s="14" t="s">
        <v>14167</v>
      </c>
      <c r="K633" s="14" t="s">
        <v>179</v>
      </c>
      <c r="L633" s="14" t="s">
        <v>14168</v>
      </c>
      <c r="M633" s="14" t="s">
        <v>179</v>
      </c>
      <c r="N633" s="14" t="s">
        <v>14169</v>
      </c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6" t="s">
        <v>197</v>
      </c>
      <c r="BP633" s="17" t="s">
        <v>198</v>
      </c>
      <c r="BQ633" s="18">
        <v>45686.634884259256</v>
      </c>
      <c r="BR633" s="17" t="s">
        <v>198</v>
      </c>
      <c r="BS633" s="18">
        <v>45686.63486111111</v>
      </c>
      <c r="BT633" s="17" t="s">
        <v>198</v>
      </c>
      <c r="BU633" s="18">
        <v>45686.634884259256</v>
      </c>
      <c r="BV633" s="13" t="s">
        <v>199</v>
      </c>
      <c r="BW633" s="14" t="s">
        <v>188</v>
      </c>
      <c r="BX633" s="14" t="s">
        <v>14170</v>
      </c>
      <c r="BY633" s="14" t="s">
        <v>179</v>
      </c>
      <c r="BZ633" s="14" t="s">
        <v>14171</v>
      </c>
      <c r="CA633" s="14" t="s">
        <v>188</v>
      </c>
      <c r="CB633" s="14" t="s">
        <v>14172</v>
      </c>
      <c r="CC633" s="15"/>
      <c r="CD633" s="15"/>
      <c r="CE633" s="15"/>
      <c r="CF633" s="15"/>
      <c r="CG633" s="19"/>
      <c r="CH633" s="15"/>
      <c r="CI633" s="19"/>
      <c r="CJ633" s="15"/>
      <c r="CK633" s="19"/>
      <c r="CL633" s="15"/>
      <c r="CM633" s="19"/>
      <c r="CN633" s="15"/>
      <c r="CO633" s="19"/>
      <c r="CP633" s="15"/>
      <c r="CQ633" s="15"/>
      <c r="CR633" s="15"/>
      <c r="CS633" s="19"/>
      <c r="CT633" s="15"/>
      <c r="CU633" s="19"/>
      <c r="CV633" s="15"/>
      <c r="CW633" s="19"/>
      <c r="CX633" s="15"/>
      <c r="CY633" s="19"/>
      <c r="CZ633" s="15"/>
      <c r="DA633" s="16" t="s">
        <v>197</v>
      </c>
      <c r="DB633" s="17" t="s">
        <v>228</v>
      </c>
      <c r="DC633" s="16"/>
      <c r="DD633" s="17" t="s">
        <v>198</v>
      </c>
      <c r="DE633" s="18">
        <v>45714.509664351855</v>
      </c>
      <c r="DF633" s="17" t="s">
        <v>198</v>
      </c>
      <c r="DG633" s="18">
        <v>45714.509664351855</v>
      </c>
      <c r="DH633" s="13" t="s">
        <v>205</v>
      </c>
      <c r="DI633" s="14" t="s">
        <v>179</v>
      </c>
      <c r="DJ633" s="14" t="s">
        <v>14173</v>
      </c>
      <c r="DK633" s="14" t="s">
        <v>179</v>
      </c>
      <c r="DL633" s="14" t="s">
        <v>14174</v>
      </c>
      <c r="DM633" s="15"/>
      <c r="DN633" s="15"/>
      <c r="DO633" s="15"/>
      <c r="DP633" s="15"/>
      <c r="DQ633" s="15"/>
      <c r="DR633" s="15"/>
      <c r="DS633" s="15"/>
      <c r="DT633" s="15"/>
      <c r="DU633" s="15"/>
      <c r="DV633" s="15"/>
      <c r="DW633" s="15"/>
      <c r="DX633" s="15"/>
      <c r="DY633" s="15"/>
      <c r="DZ633" s="15"/>
      <c r="EA633" s="15"/>
      <c r="EB633" s="15"/>
      <c r="EC633" s="16" t="s">
        <v>197</v>
      </c>
      <c r="ED633" s="17" t="s">
        <v>198</v>
      </c>
      <c r="EE633" s="18">
        <v>45719.46146990741</v>
      </c>
      <c r="EF633" s="13" t="s">
        <v>209</v>
      </c>
      <c r="EG633" s="14" t="s">
        <v>179</v>
      </c>
      <c r="EH633" s="14" t="s">
        <v>14175</v>
      </c>
      <c r="EI633" s="14" t="s">
        <v>179</v>
      </c>
      <c r="EJ633" s="14" t="s">
        <v>14176</v>
      </c>
      <c r="EK633" s="15"/>
      <c r="EL633" s="15"/>
      <c r="EM633" s="15"/>
      <c r="EN633" s="15"/>
      <c r="EO633" s="15"/>
      <c r="EP633" s="15"/>
      <c r="EQ633" s="15"/>
      <c r="ER633" s="15"/>
      <c r="ES633" s="15"/>
      <c r="ET633" s="15"/>
      <c r="EU633" s="15"/>
      <c r="EV633" s="15"/>
      <c r="EW633" s="15"/>
      <c r="EX633" s="15"/>
      <c r="EY633" s="15"/>
      <c r="EZ633" s="15"/>
      <c r="FA633" s="15"/>
      <c r="FB633" s="15"/>
      <c r="FC633" s="16" t="s">
        <v>197</v>
      </c>
      <c r="FD633" s="17" t="s">
        <v>198</v>
      </c>
      <c r="FE633" s="18">
        <v>45719.67414351852</v>
      </c>
      <c r="FF633" s="19"/>
      <c r="FG633" s="19"/>
      <c r="FH633" s="21" t="s">
        <v>197</v>
      </c>
      <c r="FI633" s="17" t="s">
        <v>214</v>
      </c>
      <c r="FJ633" s="18">
        <v>45719.67414351852</v>
      </c>
      <c r="FK633" s="14" t="s">
        <v>14176</v>
      </c>
      <c r="FL633" s="14" t="s">
        <v>14177</v>
      </c>
      <c r="FM633" s="14" t="s">
        <v>14178</v>
      </c>
      <c r="FN633" s="19"/>
      <c r="FO633" s="19"/>
      <c r="FP633" s="19" t="str">
        <f t="shared" si="1"/>
        <v>Base de Dados_Images/PIT88002.Imagem do Equipamento-.182427.jpg</v>
      </c>
      <c r="FQ633" s="19"/>
      <c r="FR633" s="19"/>
    </row>
    <row r="634" ht="15.75" customHeight="1">
      <c r="A634" s="12" t="s">
        <v>10412</v>
      </c>
      <c r="B634" s="12" t="s">
        <v>14148</v>
      </c>
      <c r="C634" s="24" t="s">
        <v>375</v>
      </c>
      <c r="D634" s="12" t="s">
        <v>14179</v>
      </c>
      <c r="E634" s="12" t="s">
        <v>14180</v>
      </c>
      <c r="F634" s="13" t="s">
        <v>178</v>
      </c>
      <c r="G634" s="14" t="s">
        <v>179</v>
      </c>
      <c r="H634" s="14" t="s">
        <v>14181</v>
      </c>
      <c r="I634" s="14" t="s">
        <v>179</v>
      </c>
      <c r="J634" s="14" t="s">
        <v>14182</v>
      </c>
      <c r="K634" s="14" t="s">
        <v>179</v>
      </c>
      <c r="L634" s="14" t="s">
        <v>14183</v>
      </c>
      <c r="M634" s="14" t="s">
        <v>179</v>
      </c>
      <c r="N634" s="14" t="s">
        <v>14184</v>
      </c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6" t="s">
        <v>197</v>
      </c>
      <c r="BP634" s="17" t="s">
        <v>198</v>
      </c>
      <c r="BQ634" s="18">
        <v>45686.63460648148</v>
      </c>
      <c r="BR634" s="17" t="s">
        <v>198</v>
      </c>
      <c r="BS634" s="18">
        <v>45686.63458333333</v>
      </c>
      <c r="BT634" s="17" t="s">
        <v>198</v>
      </c>
      <c r="BU634" s="18">
        <v>45686.63460648148</v>
      </c>
      <c r="BV634" s="13" t="s">
        <v>199</v>
      </c>
      <c r="BW634" s="14" t="s">
        <v>188</v>
      </c>
      <c r="BX634" s="14" t="s">
        <v>14185</v>
      </c>
      <c r="BY634" s="14" t="s">
        <v>179</v>
      </c>
      <c r="BZ634" s="14" t="s">
        <v>14185</v>
      </c>
      <c r="CA634" s="14" t="s">
        <v>188</v>
      </c>
      <c r="CB634" s="14" t="s">
        <v>14186</v>
      </c>
      <c r="CC634" s="15"/>
      <c r="CD634" s="15"/>
      <c r="CE634" s="15"/>
      <c r="CF634" s="15"/>
      <c r="CG634" s="19"/>
      <c r="CH634" s="15"/>
      <c r="CI634" s="19"/>
      <c r="CJ634" s="15"/>
      <c r="CK634" s="19"/>
      <c r="CL634" s="15"/>
      <c r="CM634" s="19"/>
      <c r="CN634" s="15"/>
      <c r="CO634" s="19"/>
      <c r="CP634" s="15"/>
      <c r="CQ634" s="15"/>
      <c r="CR634" s="15"/>
      <c r="CS634" s="19"/>
      <c r="CT634" s="15"/>
      <c r="CU634" s="19"/>
      <c r="CV634" s="15"/>
      <c r="CW634" s="19"/>
      <c r="CX634" s="15"/>
      <c r="CY634" s="19"/>
      <c r="CZ634" s="15"/>
      <c r="DA634" s="16" t="s">
        <v>197</v>
      </c>
      <c r="DB634" s="17" t="s">
        <v>228</v>
      </c>
      <c r="DC634" s="16"/>
      <c r="DD634" s="17" t="s">
        <v>198</v>
      </c>
      <c r="DE634" s="18">
        <v>45714.50989583333</v>
      </c>
      <c r="DF634" s="17" t="s">
        <v>198</v>
      </c>
      <c r="DG634" s="18">
        <v>45714.50989583333</v>
      </c>
      <c r="DH634" s="13" t="s">
        <v>205</v>
      </c>
      <c r="DI634" s="14" t="s">
        <v>179</v>
      </c>
      <c r="DJ634" s="14" t="s">
        <v>14187</v>
      </c>
      <c r="DK634" s="14" t="s">
        <v>179</v>
      </c>
      <c r="DL634" s="14" t="s">
        <v>14188</v>
      </c>
      <c r="DM634" s="15"/>
      <c r="DN634" s="15"/>
      <c r="DO634" s="15"/>
      <c r="DP634" s="15"/>
      <c r="DQ634" s="15"/>
      <c r="DR634" s="15"/>
      <c r="DS634" s="15"/>
      <c r="DT634" s="15"/>
      <c r="DU634" s="15"/>
      <c r="DV634" s="15"/>
      <c r="DW634" s="15"/>
      <c r="DX634" s="15"/>
      <c r="DY634" s="15"/>
      <c r="DZ634" s="15"/>
      <c r="EA634" s="15"/>
      <c r="EB634" s="15"/>
      <c r="EC634" s="16" t="s">
        <v>197</v>
      </c>
      <c r="ED634" s="17" t="s">
        <v>198</v>
      </c>
      <c r="EE634" s="18">
        <v>45719.46135416667</v>
      </c>
      <c r="EF634" s="13" t="s">
        <v>209</v>
      </c>
      <c r="EG634" s="14" t="s">
        <v>179</v>
      </c>
      <c r="EH634" s="14" t="s">
        <v>14189</v>
      </c>
      <c r="EI634" s="14" t="s">
        <v>179</v>
      </c>
      <c r="EJ634" s="14" t="s">
        <v>14190</v>
      </c>
      <c r="EK634" s="15"/>
      <c r="EL634" s="15"/>
      <c r="EM634" s="15"/>
      <c r="EN634" s="15"/>
      <c r="EO634" s="15"/>
      <c r="EP634" s="15"/>
      <c r="EQ634" s="15"/>
      <c r="ER634" s="15"/>
      <c r="ES634" s="15"/>
      <c r="ET634" s="15"/>
      <c r="EU634" s="15"/>
      <c r="EV634" s="15"/>
      <c r="EW634" s="15"/>
      <c r="EX634" s="15"/>
      <c r="EY634" s="15"/>
      <c r="EZ634" s="15"/>
      <c r="FA634" s="15"/>
      <c r="FB634" s="15"/>
      <c r="FC634" s="16" t="s">
        <v>197</v>
      </c>
      <c r="FD634" s="17" t="s">
        <v>198</v>
      </c>
      <c r="FE634" s="18">
        <v>45719.67422453704</v>
      </c>
      <c r="FF634" s="19"/>
      <c r="FG634" s="19"/>
      <c r="FH634" s="21" t="s">
        <v>197</v>
      </c>
      <c r="FI634" s="17" t="s">
        <v>214</v>
      </c>
      <c r="FJ634" s="18">
        <v>45719.67422453704</v>
      </c>
      <c r="FK634" s="14" t="s">
        <v>14190</v>
      </c>
      <c r="FL634" s="14" t="s">
        <v>14191</v>
      </c>
      <c r="FM634" s="14" t="s">
        <v>14192</v>
      </c>
      <c r="FN634" s="19"/>
      <c r="FO634" s="19"/>
      <c r="FP634" s="19" t="str">
        <f t="shared" si="1"/>
        <v>Base de Dados_Images/PIT88003.Imagem do Equipamento-.182400.jpg</v>
      </c>
      <c r="FQ634" s="19"/>
      <c r="FR634" s="19"/>
    </row>
    <row r="635" ht="15.75" customHeight="1">
      <c r="A635" s="12" t="s">
        <v>10412</v>
      </c>
      <c r="B635" s="12" t="s">
        <v>14148</v>
      </c>
      <c r="C635" s="24" t="s">
        <v>375</v>
      </c>
      <c r="D635" s="12" t="s">
        <v>14193</v>
      </c>
      <c r="E635" s="12" t="s">
        <v>14194</v>
      </c>
      <c r="F635" s="13" t="s">
        <v>178</v>
      </c>
      <c r="G635" s="14" t="s">
        <v>179</v>
      </c>
      <c r="H635" s="14" t="s">
        <v>14195</v>
      </c>
      <c r="I635" s="14" t="s">
        <v>179</v>
      </c>
      <c r="J635" s="14" t="s">
        <v>14196</v>
      </c>
      <c r="K635" s="14" t="s">
        <v>179</v>
      </c>
      <c r="L635" s="14" t="s">
        <v>14197</v>
      </c>
      <c r="M635" s="14" t="s">
        <v>179</v>
      </c>
      <c r="N635" s="14" t="s">
        <v>14198</v>
      </c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6" t="s">
        <v>197</v>
      </c>
      <c r="BP635" s="17" t="s">
        <v>198</v>
      </c>
      <c r="BQ635" s="18">
        <v>45686.633935185186</v>
      </c>
      <c r="BR635" s="17" t="s">
        <v>198</v>
      </c>
      <c r="BS635" s="18">
        <v>45686.63392361111</v>
      </c>
      <c r="BT635" s="17" t="s">
        <v>198</v>
      </c>
      <c r="BU635" s="18">
        <v>45686.633935185186</v>
      </c>
      <c r="BV635" s="13" t="s">
        <v>199</v>
      </c>
      <c r="BW635" s="14" t="s">
        <v>188</v>
      </c>
      <c r="BX635" s="14" t="s">
        <v>14199</v>
      </c>
      <c r="BY635" s="14" t="s">
        <v>179</v>
      </c>
      <c r="BZ635" s="14" t="s">
        <v>14200</v>
      </c>
      <c r="CA635" s="14" t="s">
        <v>188</v>
      </c>
      <c r="CB635" s="14" t="s">
        <v>14201</v>
      </c>
      <c r="CC635" s="15"/>
      <c r="CD635" s="15"/>
      <c r="CE635" s="15"/>
      <c r="CF635" s="15"/>
      <c r="CG635" s="19"/>
      <c r="CH635" s="15"/>
      <c r="CI635" s="19"/>
      <c r="CJ635" s="15"/>
      <c r="CK635" s="19"/>
      <c r="CL635" s="15"/>
      <c r="CM635" s="19"/>
      <c r="CN635" s="15"/>
      <c r="CO635" s="19"/>
      <c r="CP635" s="15"/>
      <c r="CQ635" s="15"/>
      <c r="CR635" s="15"/>
      <c r="CS635" s="19"/>
      <c r="CT635" s="15"/>
      <c r="CU635" s="19"/>
      <c r="CV635" s="15"/>
      <c r="CW635" s="19"/>
      <c r="CX635" s="15"/>
      <c r="CY635" s="19"/>
      <c r="CZ635" s="15"/>
      <c r="DA635" s="16" t="s">
        <v>197</v>
      </c>
      <c r="DB635" s="17" t="s">
        <v>228</v>
      </c>
      <c r="DC635" s="16"/>
      <c r="DD635" s="17" t="s">
        <v>198</v>
      </c>
      <c r="DE635" s="18">
        <v>45714.51012731482</v>
      </c>
      <c r="DF635" s="17" t="s">
        <v>198</v>
      </c>
      <c r="DG635" s="18">
        <v>45714.51012731482</v>
      </c>
      <c r="DH635" s="13" t="s">
        <v>205</v>
      </c>
      <c r="DI635" s="14" t="s">
        <v>179</v>
      </c>
      <c r="DJ635" s="14" t="s">
        <v>14202</v>
      </c>
      <c r="DK635" s="14" t="s">
        <v>179</v>
      </c>
      <c r="DL635" s="14" t="s">
        <v>14203</v>
      </c>
      <c r="DM635" s="15"/>
      <c r="DN635" s="15"/>
      <c r="DO635" s="15"/>
      <c r="DP635" s="15"/>
      <c r="DQ635" s="15"/>
      <c r="DR635" s="15"/>
      <c r="DS635" s="15"/>
      <c r="DT635" s="15"/>
      <c r="DU635" s="15"/>
      <c r="DV635" s="15"/>
      <c r="DW635" s="15"/>
      <c r="DX635" s="15"/>
      <c r="DY635" s="15"/>
      <c r="DZ635" s="15"/>
      <c r="EA635" s="15"/>
      <c r="EB635" s="15"/>
      <c r="EC635" s="16" t="s">
        <v>197</v>
      </c>
      <c r="ED635" s="17" t="s">
        <v>198</v>
      </c>
      <c r="EE635" s="18">
        <v>45719.4615625</v>
      </c>
      <c r="EF635" s="13" t="s">
        <v>209</v>
      </c>
      <c r="EG635" s="14" t="s">
        <v>179</v>
      </c>
      <c r="EH635" s="14" t="s">
        <v>14204</v>
      </c>
      <c r="EI635" s="14" t="s">
        <v>179</v>
      </c>
      <c r="EJ635" s="14" t="s">
        <v>14205</v>
      </c>
      <c r="EK635" s="15"/>
      <c r="EL635" s="15"/>
      <c r="EM635" s="15"/>
      <c r="EN635" s="15"/>
      <c r="EO635" s="15"/>
      <c r="EP635" s="15"/>
      <c r="EQ635" s="15"/>
      <c r="ER635" s="15"/>
      <c r="ES635" s="15"/>
      <c r="ET635" s="15"/>
      <c r="EU635" s="15"/>
      <c r="EV635" s="15"/>
      <c r="EW635" s="15"/>
      <c r="EX635" s="15"/>
      <c r="EY635" s="15"/>
      <c r="EZ635" s="15"/>
      <c r="FA635" s="15"/>
      <c r="FB635" s="15"/>
      <c r="FC635" s="16" t="s">
        <v>197</v>
      </c>
      <c r="FD635" s="17" t="s">
        <v>198</v>
      </c>
      <c r="FE635" s="18">
        <v>45719.674305555556</v>
      </c>
      <c r="FF635" s="19"/>
      <c r="FG635" s="19"/>
      <c r="FH635" s="21" t="s">
        <v>197</v>
      </c>
      <c r="FI635" s="17" t="s">
        <v>214</v>
      </c>
      <c r="FJ635" s="18">
        <v>45719.674305555556</v>
      </c>
      <c r="FK635" s="14" t="s">
        <v>14205</v>
      </c>
      <c r="FL635" s="14" t="s">
        <v>14206</v>
      </c>
      <c r="FM635" s="14" t="s">
        <v>14207</v>
      </c>
      <c r="FN635" s="19"/>
      <c r="FO635" s="19"/>
      <c r="FP635" s="19" t="str">
        <f t="shared" si="1"/>
        <v>Base de Dados_Images/PIT88004.Imagem do Equipamento-.182245.jpg</v>
      </c>
      <c r="FQ635" s="19"/>
      <c r="FR635" s="19"/>
    </row>
    <row r="636" ht="15.75" customHeight="1">
      <c r="A636" s="12" t="s">
        <v>10412</v>
      </c>
      <c r="B636" s="12" t="s">
        <v>14148</v>
      </c>
      <c r="C636" s="24" t="s">
        <v>375</v>
      </c>
      <c r="D636" s="12" t="s">
        <v>14208</v>
      </c>
      <c r="E636" s="12" t="s">
        <v>14209</v>
      </c>
      <c r="F636" s="13" t="s">
        <v>178</v>
      </c>
      <c r="G636" s="14" t="s">
        <v>179</v>
      </c>
      <c r="H636" s="14" t="s">
        <v>14210</v>
      </c>
      <c r="I636" s="14" t="s">
        <v>179</v>
      </c>
      <c r="J636" s="14" t="s">
        <v>14211</v>
      </c>
      <c r="K636" s="14" t="s">
        <v>179</v>
      </c>
      <c r="L636" s="14" t="s">
        <v>14212</v>
      </c>
      <c r="M636" s="14" t="s">
        <v>179</v>
      </c>
      <c r="N636" s="14" t="s">
        <v>14213</v>
      </c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6" t="s">
        <v>197</v>
      </c>
      <c r="BP636" s="17" t="s">
        <v>198</v>
      </c>
      <c r="BQ636" s="18">
        <v>45686.63359953704</v>
      </c>
      <c r="BR636" s="17" t="s">
        <v>198</v>
      </c>
      <c r="BS636" s="18">
        <v>45686.63358796296</v>
      </c>
      <c r="BT636" s="17" t="s">
        <v>198</v>
      </c>
      <c r="BU636" s="18">
        <v>45686.63359953704</v>
      </c>
      <c r="BV636" s="13" t="s">
        <v>199</v>
      </c>
      <c r="BW636" s="14" t="s">
        <v>188</v>
      </c>
      <c r="BX636" s="14" t="s">
        <v>14214</v>
      </c>
      <c r="BY636" s="14" t="s">
        <v>179</v>
      </c>
      <c r="BZ636" s="14" t="s">
        <v>14215</v>
      </c>
      <c r="CA636" s="14" t="s">
        <v>188</v>
      </c>
      <c r="CB636" s="14" t="s">
        <v>14216</v>
      </c>
      <c r="CC636" s="15"/>
      <c r="CD636" s="15"/>
      <c r="CE636" s="15"/>
      <c r="CF636" s="15"/>
      <c r="CG636" s="19"/>
      <c r="CH636" s="15"/>
      <c r="CI636" s="19"/>
      <c r="CJ636" s="15"/>
      <c r="CK636" s="19"/>
      <c r="CL636" s="15"/>
      <c r="CM636" s="19"/>
      <c r="CN636" s="15"/>
      <c r="CO636" s="19"/>
      <c r="CP636" s="15"/>
      <c r="CQ636" s="15"/>
      <c r="CR636" s="15"/>
      <c r="CS636" s="19"/>
      <c r="CT636" s="15"/>
      <c r="CU636" s="19"/>
      <c r="CV636" s="15"/>
      <c r="CW636" s="19"/>
      <c r="CX636" s="15"/>
      <c r="CY636" s="19"/>
      <c r="CZ636" s="15"/>
      <c r="DA636" s="16" t="s">
        <v>197</v>
      </c>
      <c r="DB636" s="17" t="s">
        <v>228</v>
      </c>
      <c r="DC636" s="16"/>
      <c r="DD636" s="17" t="s">
        <v>198</v>
      </c>
      <c r="DE636" s="18">
        <v>45714.510300925926</v>
      </c>
      <c r="DF636" s="17" t="s">
        <v>198</v>
      </c>
      <c r="DG636" s="18">
        <v>45714.510300925926</v>
      </c>
      <c r="DH636" s="13" t="s">
        <v>205</v>
      </c>
      <c r="DI636" s="14" t="s">
        <v>179</v>
      </c>
      <c r="DJ636" s="14" t="s">
        <v>14217</v>
      </c>
      <c r="DK636" s="14" t="s">
        <v>179</v>
      </c>
      <c r="DL636" s="14" t="s">
        <v>14218</v>
      </c>
      <c r="DM636" s="15"/>
      <c r="DN636" s="15"/>
      <c r="DO636" s="15"/>
      <c r="DP636" s="15"/>
      <c r="DQ636" s="15"/>
      <c r="DR636" s="15"/>
      <c r="DS636" s="15"/>
      <c r="DT636" s="15"/>
      <c r="DU636" s="15"/>
      <c r="DV636" s="15"/>
      <c r="DW636" s="15"/>
      <c r="DX636" s="15"/>
      <c r="DY636" s="15"/>
      <c r="DZ636" s="15"/>
      <c r="EA636" s="15"/>
      <c r="EB636" s="15"/>
      <c r="EC636" s="16" t="s">
        <v>197</v>
      </c>
      <c r="ED636" s="17" t="s">
        <v>198</v>
      </c>
      <c r="EE636" s="18">
        <v>45719.46167824074</v>
      </c>
      <c r="EF636" s="13" t="s">
        <v>209</v>
      </c>
      <c r="EG636" s="14" t="s">
        <v>179</v>
      </c>
      <c r="EH636" s="14" t="s">
        <v>14219</v>
      </c>
      <c r="EI636" s="14" t="s">
        <v>179</v>
      </c>
      <c r="EJ636" s="14" t="s">
        <v>14220</v>
      </c>
      <c r="EK636" s="15"/>
      <c r="EL636" s="15"/>
      <c r="EM636" s="15"/>
      <c r="EN636" s="15"/>
      <c r="EO636" s="15"/>
      <c r="EP636" s="15"/>
      <c r="EQ636" s="15"/>
      <c r="ER636" s="15"/>
      <c r="ES636" s="15"/>
      <c r="ET636" s="15"/>
      <c r="EU636" s="15"/>
      <c r="EV636" s="15"/>
      <c r="EW636" s="15"/>
      <c r="EX636" s="15"/>
      <c r="EY636" s="15"/>
      <c r="EZ636" s="15"/>
      <c r="FA636" s="15"/>
      <c r="FB636" s="15"/>
      <c r="FC636" s="16" t="s">
        <v>197</v>
      </c>
      <c r="FD636" s="17" t="s">
        <v>198</v>
      </c>
      <c r="FE636" s="18">
        <v>45719.67438657407</v>
      </c>
      <c r="FF636" s="19"/>
      <c r="FG636" s="19"/>
      <c r="FH636" s="21" t="s">
        <v>197</v>
      </c>
      <c r="FI636" s="17" t="s">
        <v>214</v>
      </c>
      <c r="FJ636" s="18">
        <v>45719.67438657407</v>
      </c>
      <c r="FK636" s="14" t="s">
        <v>14220</v>
      </c>
      <c r="FL636" s="14" t="s">
        <v>14221</v>
      </c>
      <c r="FM636" s="14" t="s">
        <v>14222</v>
      </c>
      <c r="FN636" s="19"/>
      <c r="FO636" s="19"/>
      <c r="FP636" s="19" t="str">
        <f t="shared" si="1"/>
        <v>Base de Dados_Images/PIT88005.Imagem do Equipamento-.182219.jpg</v>
      </c>
      <c r="FQ636" s="19"/>
      <c r="FR636" s="19"/>
    </row>
    <row r="637" ht="15.75" customHeight="1">
      <c r="A637" s="12" t="s">
        <v>10412</v>
      </c>
      <c r="B637" s="12" t="s">
        <v>14148</v>
      </c>
      <c r="C637" s="24" t="s">
        <v>375</v>
      </c>
      <c r="D637" s="12" t="s">
        <v>14223</v>
      </c>
      <c r="E637" s="12" t="s">
        <v>14224</v>
      </c>
      <c r="F637" s="13" t="s">
        <v>178</v>
      </c>
      <c r="G637" s="14" t="s">
        <v>179</v>
      </c>
      <c r="H637" s="14" t="s">
        <v>14225</v>
      </c>
      <c r="I637" s="14" t="s">
        <v>179</v>
      </c>
      <c r="J637" s="14" t="s">
        <v>14226</v>
      </c>
      <c r="K637" s="14" t="s">
        <v>179</v>
      </c>
      <c r="L637" s="14" t="s">
        <v>14227</v>
      </c>
      <c r="M637" s="14" t="s">
        <v>179</v>
      </c>
      <c r="N637" s="14" t="s">
        <v>14228</v>
      </c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6" t="s">
        <v>197</v>
      </c>
      <c r="BP637" s="17" t="s">
        <v>198</v>
      </c>
      <c r="BQ637" s="18">
        <v>45686.63427083333</v>
      </c>
      <c r="BR637" s="17" t="s">
        <v>198</v>
      </c>
      <c r="BS637" s="18">
        <v>45686.634247685186</v>
      </c>
      <c r="BT637" s="17" t="s">
        <v>198</v>
      </c>
      <c r="BU637" s="18">
        <v>45686.63427083333</v>
      </c>
      <c r="BV637" s="13" t="s">
        <v>199</v>
      </c>
      <c r="BW637" s="14" t="s">
        <v>188</v>
      </c>
      <c r="BX637" s="14" t="s">
        <v>14229</v>
      </c>
      <c r="BY637" s="14" t="s">
        <v>179</v>
      </c>
      <c r="BZ637" s="14" t="s">
        <v>14229</v>
      </c>
      <c r="CA637" s="14" t="s">
        <v>188</v>
      </c>
      <c r="CB637" s="14" t="s">
        <v>14230</v>
      </c>
      <c r="CC637" s="15"/>
      <c r="CD637" s="15"/>
      <c r="CE637" s="15"/>
      <c r="CF637" s="15"/>
      <c r="CG637" s="19"/>
      <c r="CH637" s="15"/>
      <c r="CI637" s="19"/>
      <c r="CJ637" s="15"/>
      <c r="CK637" s="19"/>
      <c r="CL637" s="15"/>
      <c r="CM637" s="19"/>
      <c r="CN637" s="15"/>
      <c r="CO637" s="19"/>
      <c r="CP637" s="15"/>
      <c r="CQ637" s="15"/>
      <c r="CR637" s="15"/>
      <c r="CS637" s="19"/>
      <c r="CT637" s="15"/>
      <c r="CU637" s="19"/>
      <c r="CV637" s="15"/>
      <c r="CW637" s="19"/>
      <c r="CX637" s="15"/>
      <c r="CY637" s="19"/>
      <c r="CZ637" s="15"/>
      <c r="DA637" s="16" t="s">
        <v>197</v>
      </c>
      <c r="DB637" s="17" t="s">
        <v>228</v>
      </c>
      <c r="DC637" s="16"/>
      <c r="DD637" s="17" t="s">
        <v>198</v>
      </c>
      <c r="DE637" s="18">
        <v>45714.510416666664</v>
      </c>
      <c r="DF637" s="17" t="s">
        <v>198</v>
      </c>
      <c r="DG637" s="18">
        <v>45714.510416666664</v>
      </c>
      <c r="DH637" s="13" t="s">
        <v>205</v>
      </c>
      <c r="DI637" s="14" t="s">
        <v>179</v>
      </c>
      <c r="DJ637" s="14" t="s">
        <v>14231</v>
      </c>
      <c r="DK637" s="14" t="s">
        <v>179</v>
      </c>
      <c r="DL637" s="14" t="s">
        <v>14232</v>
      </c>
      <c r="DM637" s="15"/>
      <c r="DN637" s="15"/>
      <c r="DO637" s="15"/>
      <c r="DP637" s="15"/>
      <c r="DQ637" s="15"/>
      <c r="DR637" s="15"/>
      <c r="DS637" s="15"/>
      <c r="DT637" s="15"/>
      <c r="DU637" s="15"/>
      <c r="DV637" s="15"/>
      <c r="DW637" s="15"/>
      <c r="DX637" s="15"/>
      <c r="DY637" s="15"/>
      <c r="DZ637" s="15"/>
      <c r="EA637" s="15"/>
      <c r="EB637" s="15"/>
      <c r="EC637" s="16" t="s">
        <v>197</v>
      </c>
      <c r="ED637" s="17" t="s">
        <v>198</v>
      </c>
      <c r="EE637" s="18">
        <v>45719.461805555555</v>
      </c>
      <c r="EF637" s="13" t="s">
        <v>209</v>
      </c>
      <c r="EG637" s="14" t="s">
        <v>179</v>
      </c>
      <c r="EH637" s="14" t="s">
        <v>14233</v>
      </c>
      <c r="EI637" s="14" t="s">
        <v>179</v>
      </c>
      <c r="EJ637" s="14" t="s">
        <v>14234</v>
      </c>
      <c r="EK637" s="15"/>
      <c r="EL637" s="15"/>
      <c r="EM637" s="15"/>
      <c r="EN637" s="15"/>
      <c r="EO637" s="15"/>
      <c r="EP637" s="15"/>
      <c r="EQ637" s="15"/>
      <c r="ER637" s="15"/>
      <c r="ES637" s="15"/>
      <c r="ET637" s="15"/>
      <c r="EU637" s="15"/>
      <c r="EV637" s="15"/>
      <c r="EW637" s="15"/>
      <c r="EX637" s="15"/>
      <c r="EY637" s="15"/>
      <c r="EZ637" s="15"/>
      <c r="FA637" s="15"/>
      <c r="FB637" s="15"/>
      <c r="FC637" s="16" t="s">
        <v>197</v>
      </c>
      <c r="FD637" s="17" t="s">
        <v>198</v>
      </c>
      <c r="FE637" s="18">
        <v>45719.674467592595</v>
      </c>
      <c r="FF637" s="19"/>
      <c r="FG637" s="19"/>
      <c r="FH637" s="21" t="s">
        <v>197</v>
      </c>
      <c r="FI637" s="17" t="s">
        <v>214</v>
      </c>
      <c r="FJ637" s="18">
        <v>45719.674467592595</v>
      </c>
      <c r="FK637" s="14" t="s">
        <v>14234</v>
      </c>
      <c r="FL637" s="14" t="s">
        <v>14235</v>
      </c>
      <c r="FM637" s="14" t="s">
        <v>14236</v>
      </c>
      <c r="FN637" s="19"/>
      <c r="FO637" s="19"/>
      <c r="FP637" s="19" t="str">
        <f t="shared" si="1"/>
        <v>Base de Dados_Images/PIT88006.Imagem do Equipamento-.182319.jpg</v>
      </c>
      <c r="FQ637" s="19"/>
      <c r="FR637" s="19"/>
    </row>
    <row r="638" ht="15.75" customHeight="1">
      <c r="A638" s="12" t="s">
        <v>357</v>
      </c>
      <c r="B638" s="12" t="s">
        <v>4413</v>
      </c>
      <c r="C638" s="24" t="s">
        <v>375</v>
      </c>
      <c r="D638" s="22" t="s">
        <v>14237</v>
      </c>
      <c r="E638" s="22" t="s">
        <v>14238</v>
      </c>
      <c r="F638" s="13" t="s">
        <v>178</v>
      </c>
      <c r="G638" s="14" t="s">
        <v>179</v>
      </c>
      <c r="H638" s="14" t="s">
        <v>14239</v>
      </c>
      <c r="I638" s="14" t="s">
        <v>179</v>
      </c>
      <c r="J638" s="14" t="s">
        <v>14240</v>
      </c>
      <c r="K638" s="14" t="s">
        <v>179</v>
      </c>
      <c r="L638" s="14" t="s">
        <v>14241</v>
      </c>
      <c r="M638" s="14" t="s">
        <v>179</v>
      </c>
      <c r="N638" s="14" t="s">
        <v>14242</v>
      </c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6" t="s">
        <v>197</v>
      </c>
      <c r="BP638" s="17" t="s">
        <v>198</v>
      </c>
      <c r="BQ638" s="18">
        <v>45687.59033564815</v>
      </c>
      <c r="BR638" s="17" t="s">
        <v>198</v>
      </c>
      <c r="BS638" s="18">
        <v>45687.59042824074</v>
      </c>
      <c r="BT638" s="17" t="s">
        <v>198</v>
      </c>
      <c r="BU638" s="18">
        <v>45687.59042824074</v>
      </c>
      <c r="BV638" s="13" t="s">
        <v>199</v>
      </c>
      <c r="BW638" s="14" t="s">
        <v>179</v>
      </c>
      <c r="BX638" s="14" t="s">
        <v>14243</v>
      </c>
      <c r="BY638" s="14" t="s">
        <v>179</v>
      </c>
      <c r="BZ638" s="14" t="s">
        <v>14244</v>
      </c>
      <c r="CA638" s="14" t="s">
        <v>179</v>
      </c>
      <c r="CB638" s="14" t="s">
        <v>14245</v>
      </c>
      <c r="CC638" s="15"/>
      <c r="CD638" s="15"/>
      <c r="CE638" s="15"/>
      <c r="CF638" s="15"/>
      <c r="CG638" s="19"/>
      <c r="CH638" s="15"/>
      <c r="CI638" s="19"/>
      <c r="CJ638" s="15"/>
      <c r="CK638" s="19"/>
      <c r="CL638" s="15"/>
      <c r="CM638" s="19"/>
      <c r="CN638" s="15"/>
      <c r="CO638" s="19"/>
      <c r="CP638" s="15"/>
      <c r="CQ638" s="15"/>
      <c r="CR638" s="15"/>
      <c r="CS638" s="19"/>
      <c r="CT638" s="15"/>
      <c r="CU638" s="19"/>
      <c r="CV638" s="15"/>
      <c r="CW638" s="19"/>
      <c r="CX638" s="15"/>
      <c r="CY638" s="19"/>
      <c r="CZ638" s="15"/>
      <c r="DA638" s="16" t="s">
        <v>197</v>
      </c>
      <c r="DB638" s="17" t="s">
        <v>228</v>
      </c>
      <c r="DC638" s="16"/>
      <c r="DD638" s="17" t="s">
        <v>198</v>
      </c>
      <c r="DE638" s="18">
        <v>45688.35828703704</v>
      </c>
      <c r="DF638" s="17" t="s">
        <v>198</v>
      </c>
      <c r="DG638" s="18">
        <v>45688.35828703704</v>
      </c>
      <c r="DH638" s="13" t="s">
        <v>205</v>
      </c>
      <c r="DI638" s="14" t="s">
        <v>179</v>
      </c>
      <c r="DJ638" s="14" t="s">
        <v>14246</v>
      </c>
      <c r="DK638" s="14" t="s">
        <v>179</v>
      </c>
      <c r="DL638" s="14" t="s">
        <v>14247</v>
      </c>
      <c r="DM638" s="15"/>
      <c r="DN638" s="15"/>
      <c r="DO638" s="15"/>
      <c r="DP638" s="15"/>
      <c r="DQ638" s="15"/>
      <c r="DR638" s="15"/>
      <c r="DS638" s="15"/>
      <c r="DT638" s="15"/>
      <c r="DU638" s="15"/>
      <c r="DV638" s="15"/>
      <c r="DW638" s="15"/>
      <c r="DX638" s="15"/>
      <c r="DY638" s="15"/>
      <c r="DZ638" s="15"/>
      <c r="EA638" s="15"/>
      <c r="EB638" s="15"/>
      <c r="EC638" s="16" t="s">
        <v>197</v>
      </c>
      <c r="ED638" s="17" t="s">
        <v>198</v>
      </c>
      <c r="EE638" s="18">
        <v>45699.50077546296</v>
      </c>
      <c r="EF638" s="13" t="s">
        <v>209</v>
      </c>
      <c r="EG638" s="14" t="s">
        <v>179</v>
      </c>
      <c r="EH638" s="14" t="s">
        <v>14248</v>
      </c>
      <c r="EI638" s="14" t="s">
        <v>179</v>
      </c>
      <c r="EJ638" s="14" t="s">
        <v>14249</v>
      </c>
      <c r="EK638" s="15"/>
      <c r="EL638" s="15"/>
      <c r="EM638" s="15"/>
      <c r="EN638" s="15"/>
      <c r="EO638" s="15"/>
      <c r="EP638" s="15"/>
      <c r="EQ638" s="15"/>
      <c r="ER638" s="15"/>
      <c r="ES638" s="15"/>
      <c r="ET638" s="15"/>
      <c r="EU638" s="15"/>
      <c r="EV638" s="15"/>
      <c r="EW638" s="15"/>
      <c r="EX638" s="15"/>
      <c r="EY638" s="15"/>
      <c r="EZ638" s="15"/>
      <c r="FA638" s="15"/>
      <c r="FB638" s="15"/>
      <c r="FC638" s="16" t="s">
        <v>197</v>
      </c>
      <c r="FD638" s="17" t="s">
        <v>198</v>
      </c>
      <c r="FE638" s="18">
        <v>45699.50082175926</v>
      </c>
      <c r="FF638" s="19"/>
      <c r="FG638" s="19"/>
      <c r="FH638" s="21" t="s">
        <v>197</v>
      </c>
      <c r="FI638" s="17" t="s">
        <v>214</v>
      </c>
      <c r="FJ638" s="18">
        <v>45699.50082175926</v>
      </c>
      <c r="FK638" s="14" t="s">
        <v>14249</v>
      </c>
      <c r="FL638" s="14" t="s">
        <v>14250</v>
      </c>
      <c r="FM638" s="14" t="s">
        <v>14251</v>
      </c>
      <c r="FN638" s="19"/>
      <c r="FO638" s="19"/>
      <c r="FP638" s="19" t="str">
        <f t="shared" si="1"/>
        <v>Base de Dados_Images/PIT92001.Imagem do Equipamento-.113550.jpg</v>
      </c>
      <c r="FQ638" s="14"/>
      <c r="FR638" s="14"/>
    </row>
    <row r="639" ht="15.75" customHeight="1">
      <c r="A639" s="12" t="s">
        <v>174</v>
      </c>
      <c r="B639" s="12" t="s">
        <v>7946</v>
      </c>
      <c r="C639" s="24" t="s">
        <v>14252</v>
      </c>
      <c r="D639" s="22" t="s">
        <v>14253</v>
      </c>
      <c r="E639" s="22" t="s">
        <v>7946</v>
      </c>
      <c r="F639" s="13" t="s">
        <v>178</v>
      </c>
      <c r="G639" s="14" t="s">
        <v>179</v>
      </c>
      <c r="H639" s="14" t="s">
        <v>14254</v>
      </c>
      <c r="I639" s="14" t="s">
        <v>179</v>
      </c>
      <c r="J639" s="14" t="s">
        <v>14255</v>
      </c>
      <c r="K639" s="14" t="s">
        <v>179</v>
      </c>
      <c r="L639" s="14" t="s">
        <v>14256</v>
      </c>
      <c r="M639" s="14" t="s">
        <v>179</v>
      </c>
      <c r="N639" s="14" t="s">
        <v>14257</v>
      </c>
      <c r="O639" s="14" t="s">
        <v>179</v>
      </c>
      <c r="P639" s="14" t="s">
        <v>14258</v>
      </c>
      <c r="Q639" s="14" t="s">
        <v>179</v>
      </c>
      <c r="R639" s="14" t="s">
        <v>14259</v>
      </c>
      <c r="S639" s="14" t="s">
        <v>179</v>
      </c>
      <c r="T639" s="14" t="s">
        <v>14260</v>
      </c>
      <c r="U639" s="14" t="s">
        <v>179</v>
      </c>
      <c r="V639" s="14" t="s">
        <v>14261</v>
      </c>
      <c r="W639" s="14" t="s">
        <v>179</v>
      </c>
      <c r="X639" s="14" t="s">
        <v>14262</v>
      </c>
      <c r="Y639" s="14" t="s">
        <v>179</v>
      </c>
      <c r="Z639" s="14" t="s">
        <v>14263</v>
      </c>
      <c r="AA639" s="14" t="s">
        <v>179</v>
      </c>
      <c r="AB639" s="14" t="s">
        <v>14264</v>
      </c>
      <c r="AC639" s="14" t="s">
        <v>179</v>
      </c>
      <c r="AD639" s="14" t="s">
        <v>14265</v>
      </c>
      <c r="AE639" s="14" t="s">
        <v>179</v>
      </c>
      <c r="AF639" s="14" t="s">
        <v>14266</v>
      </c>
      <c r="AG639" s="14" t="s">
        <v>179</v>
      </c>
      <c r="AH639" s="14" t="s">
        <v>14267</v>
      </c>
      <c r="AI639" s="14" t="s">
        <v>179</v>
      </c>
      <c r="AJ639" s="14" t="s">
        <v>14268</v>
      </c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6" t="s">
        <v>197</v>
      </c>
      <c r="BP639" s="17" t="s">
        <v>198</v>
      </c>
      <c r="BQ639" s="18">
        <v>45722.65684027778</v>
      </c>
      <c r="BR639" s="17" t="s">
        <v>198</v>
      </c>
      <c r="BS639" s="18">
        <v>45722.656909722224</v>
      </c>
      <c r="BT639" s="17" t="s">
        <v>198</v>
      </c>
      <c r="BU639" s="18">
        <v>45722.656909722224</v>
      </c>
      <c r="BV639" s="13" t="s">
        <v>199</v>
      </c>
      <c r="BW639" s="14" t="s">
        <v>179</v>
      </c>
      <c r="BX639" s="14" t="s">
        <v>14269</v>
      </c>
      <c r="BY639" s="14" t="s">
        <v>179</v>
      </c>
      <c r="BZ639" s="14" t="s">
        <v>14270</v>
      </c>
      <c r="CA639" s="14" t="s">
        <v>179</v>
      </c>
      <c r="CB639" s="14" t="s">
        <v>14271</v>
      </c>
      <c r="CC639" s="14" t="s">
        <v>179</v>
      </c>
      <c r="CD639" s="14" t="s">
        <v>14272</v>
      </c>
      <c r="CE639" s="15"/>
      <c r="CF639" s="15"/>
      <c r="CG639" s="19"/>
      <c r="CH639" s="15"/>
      <c r="CI639" s="19"/>
      <c r="CJ639" s="15"/>
      <c r="CK639" s="19"/>
      <c r="CL639" s="15"/>
      <c r="CM639" s="19"/>
      <c r="CN639" s="15"/>
      <c r="CO639" s="19"/>
      <c r="CP639" s="15"/>
      <c r="CQ639" s="15"/>
      <c r="CR639" s="15"/>
      <c r="CS639" s="19"/>
      <c r="CT639" s="15"/>
      <c r="CU639" s="19"/>
      <c r="CV639" s="15"/>
      <c r="CW639" s="19"/>
      <c r="CX639" s="15"/>
      <c r="CY639" s="19"/>
      <c r="CZ639" s="15"/>
      <c r="DA639" s="16" t="s">
        <v>197</v>
      </c>
      <c r="DB639" s="17" t="s">
        <v>198</v>
      </c>
      <c r="DC639" s="20">
        <v>45722.656956018516</v>
      </c>
      <c r="DD639" s="17" t="s">
        <v>198</v>
      </c>
      <c r="DE639" s="18">
        <v>45722.65699074074</v>
      </c>
      <c r="DF639" s="17" t="s">
        <v>198</v>
      </c>
      <c r="DG639" s="18">
        <v>45722.65699074074</v>
      </c>
      <c r="DH639" s="13" t="s">
        <v>205</v>
      </c>
      <c r="DI639" s="14" t="s">
        <v>179</v>
      </c>
      <c r="DJ639" s="14" t="s">
        <v>14273</v>
      </c>
      <c r="DK639" s="14" t="s">
        <v>179</v>
      </c>
      <c r="DL639" s="14" t="s">
        <v>14274</v>
      </c>
      <c r="DM639" s="14" t="s">
        <v>179</v>
      </c>
      <c r="DN639" s="14" t="s">
        <v>14275</v>
      </c>
      <c r="DO639" s="15"/>
      <c r="DP639" s="15"/>
      <c r="DQ639" s="15"/>
      <c r="DR639" s="15"/>
      <c r="DS639" s="15"/>
      <c r="DT639" s="15"/>
      <c r="DU639" s="15"/>
      <c r="DV639" s="15"/>
      <c r="DW639" s="15"/>
      <c r="DX639" s="15"/>
      <c r="DY639" s="15"/>
      <c r="DZ639" s="15"/>
      <c r="EA639" s="15"/>
      <c r="EB639" s="15"/>
      <c r="EC639" s="16" t="s">
        <v>197</v>
      </c>
      <c r="ED639" s="17" t="s">
        <v>198</v>
      </c>
      <c r="EE639" s="18">
        <v>45722.657060185185</v>
      </c>
      <c r="EF639" s="13" t="s">
        <v>209</v>
      </c>
      <c r="EG639" s="14" t="s">
        <v>179</v>
      </c>
      <c r="EH639" s="14" t="s">
        <v>14276</v>
      </c>
      <c r="EI639" s="14" t="s">
        <v>179</v>
      </c>
      <c r="EJ639" s="14" t="s">
        <v>14276</v>
      </c>
      <c r="EK639" s="15"/>
      <c r="EL639" s="15"/>
      <c r="EM639" s="15"/>
      <c r="EN639" s="15"/>
      <c r="EO639" s="15"/>
      <c r="EP639" s="15"/>
      <c r="EQ639" s="15"/>
      <c r="ER639" s="15"/>
      <c r="ES639" s="15"/>
      <c r="ET639" s="15"/>
      <c r="EU639" s="15"/>
      <c r="EV639" s="15"/>
      <c r="EW639" s="15"/>
      <c r="EX639" s="15"/>
      <c r="EY639" s="15"/>
      <c r="EZ639" s="15"/>
      <c r="FA639" s="15"/>
      <c r="FB639" s="15"/>
      <c r="FC639" s="16" t="s">
        <v>197</v>
      </c>
      <c r="FD639" s="17" t="s">
        <v>198</v>
      </c>
      <c r="FE639" s="18">
        <v>45723.26806712963</v>
      </c>
      <c r="FF639" s="19"/>
      <c r="FG639" s="19"/>
      <c r="FH639" s="21" t="s">
        <v>197</v>
      </c>
      <c r="FI639" s="17" t="s">
        <v>214</v>
      </c>
      <c r="FJ639" s="18">
        <v>45723.26806712963</v>
      </c>
      <c r="FK639" s="14" t="s">
        <v>14276</v>
      </c>
      <c r="FL639" s="19"/>
      <c r="FM639" s="19"/>
      <c r="FN639" s="19"/>
      <c r="FO639" s="19"/>
      <c r="FP639" s="19" t="str">
        <f t="shared" si="1"/>
        <v/>
      </c>
      <c r="FQ639" s="14" t="s">
        <v>215</v>
      </c>
      <c r="FR639" s="14" t="s">
        <v>14277</v>
      </c>
    </row>
    <row r="640" ht="15.75" customHeight="1">
      <c r="A640" s="12" t="s">
        <v>174</v>
      </c>
      <c r="B640" s="12" t="s">
        <v>7946</v>
      </c>
      <c r="C640" s="24" t="s">
        <v>8516</v>
      </c>
      <c r="D640" s="22" t="s">
        <v>14278</v>
      </c>
      <c r="E640" s="22" t="s">
        <v>14279</v>
      </c>
      <c r="F640" s="13" t="s">
        <v>178</v>
      </c>
      <c r="G640" s="14" t="s">
        <v>179</v>
      </c>
      <c r="H640" s="14" t="s">
        <v>14280</v>
      </c>
      <c r="I640" s="14" t="s">
        <v>179</v>
      </c>
      <c r="J640" s="14" t="s">
        <v>14281</v>
      </c>
      <c r="K640" s="14" t="s">
        <v>179</v>
      </c>
      <c r="L640" s="14" t="s">
        <v>14282</v>
      </c>
      <c r="M640" s="14" t="s">
        <v>179</v>
      </c>
      <c r="N640" s="14" t="s">
        <v>14283</v>
      </c>
      <c r="O640" s="14" t="s">
        <v>179</v>
      </c>
      <c r="P640" s="14" t="s">
        <v>14284</v>
      </c>
      <c r="Q640" s="14" t="s">
        <v>179</v>
      </c>
      <c r="R640" s="14" t="s">
        <v>14285</v>
      </c>
      <c r="S640" s="14" t="s">
        <v>179</v>
      </c>
      <c r="T640" s="14" t="s">
        <v>14286</v>
      </c>
      <c r="U640" s="14" t="s">
        <v>179</v>
      </c>
      <c r="V640" s="14" t="s">
        <v>14287</v>
      </c>
      <c r="W640" s="14" t="s">
        <v>179</v>
      </c>
      <c r="X640" s="14" t="s">
        <v>14287</v>
      </c>
      <c r="Y640" s="14" t="s">
        <v>179</v>
      </c>
      <c r="Z640" s="14" t="s">
        <v>14288</v>
      </c>
      <c r="AA640" s="14" t="s">
        <v>179</v>
      </c>
      <c r="AB640" s="14" t="s">
        <v>14289</v>
      </c>
      <c r="AC640" s="14" t="s">
        <v>179</v>
      </c>
      <c r="AD640" s="14" t="s">
        <v>14290</v>
      </c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6" t="s">
        <v>197</v>
      </c>
      <c r="BP640" s="17" t="s">
        <v>198</v>
      </c>
      <c r="BQ640" s="18">
        <v>45722.65625</v>
      </c>
      <c r="BR640" s="17" t="s">
        <v>198</v>
      </c>
      <c r="BS640" s="18">
        <v>45722.656319444446</v>
      </c>
      <c r="BT640" s="17" t="s">
        <v>198</v>
      </c>
      <c r="BU640" s="18">
        <v>45722.656319444446</v>
      </c>
      <c r="BV640" s="13" t="s">
        <v>199</v>
      </c>
      <c r="BW640" s="14" t="s">
        <v>179</v>
      </c>
      <c r="BX640" s="14" t="s">
        <v>14291</v>
      </c>
      <c r="BY640" s="14" t="s">
        <v>179</v>
      </c>
      <c r="BZ640" s="14" t="s">
        <v>14292</v>
      </c>
      <c r="CA640" s="14" t="s">
        <v>179</v>
      </c>
      <c r="CB640" s="14" t="s">
        <v>14292</v>
      </c>
      <c r="CC640" s="14" t="s">
        <v>179</v>
      </c>
      <c r="CD640" s="14" t="s">
        <v>14293</v>
      </c>
      <c r="CE640" s="15"/>
      <c r="CF640" s="15"/>
      <c r="CG640" s="19"/>
      <c r="CH640" s="15"/>
      <c r="CI640" s="19"/>
      <c r="CJ640" s="15"/>
      <c r="CK640" s="19"/>
      <c r="CL640" s="15"/>
      <c r="CM640" s="19"/>
      <c r="CN640" s="15"/>
      <c r="CO640" s="19"/>
      <c r="CP640" s="15"/>
      <c r="CQ640" s="15"/>
      <c r="CR640" s="15"/>
      <c r="CS640" s="19"/>
      <c r="CT640" s="15"/>
      <c r="CU640" s="19"/>
      <c r="CV640" s="15"/>
      <c r="CW640" s="19"/>
      <c r="CX640" s="15"/>
      <c r="CY640" s="19"/>
      <c r="CZ640" s="15"/>
      <c r="DA640" s="16" t="s">
        <v>197</v>
      </c>
      <c r="DB640" s="17" t="s">
        <v>198</v>
      </c>
      <c r="DC640" s="20">
        <v>45722.656377314815</v>
      </c>
      <c r="DD640" s="17" t="s">
        <v>198</v>
      </c>
      <c r="DE640" s="18">
        <v>45722.65641203704</v>
      </c>
      <c r="DF640" s="17" t="s">
        <v>198</v>
      </c>
      <c r="DG640" s="18">
        <v>45722.65641203704</v>
      </c>
      <c r="DH640" s="13" t="s">
        <v>205</v>
      </c>
      <c r="DI640" s="14" t="s">
        <v>179</v>
      </c>
      <c r="DJ640" s="14" t="s">
        <v>14294</v>
      </c>
      <c r="DK640" s="14" t="s">
        <v>179</v>
      </c>
      <c r="DL640" s="14" t="s">
        <v>14295</v>
      </c>
      <c r="DM640" s="14" t="s">
        <v>179</v>
      </c>
      <c r="DN640" s="14" t="s">
        <v>14296</v>
      </c>
      <c r="DO640" s="14" t="s">
        <v>179</v>
      </c>
      <c r="DP640" s="14" t="s">
        <v>14297</v>
      </c>
      <c r="DQ640" s="14" t="s">
        <v>179</v>
      </c>
      <c r="DR640" s="14" t="s">
        <v>14298</v>
      </c>
      <c r="DS640" s="15"/>
      <c r="DT640" s="15"/>
      <c r="DU640" s="15"/>
      <c r="DV640" s="15"/>
      <c r="DW640" s="15"/>
      <c r="DX640" s="15"/>
      <c r="DY640" s="15"/>
      <c r="DZ640" s="15"/>
      <c r="EA640" s="15"/>
      <c r="EB640" s="15"/>
      <c r="EC640" s="16" t="s">
        <v>197</v>
      </c>
      <c r="ED640" s="17" t="s">
        <v>198</v>
      </c>
      <c r="EE640" s="18">
        <v>45722.65650462963</v>
      </c>
      <c r="EF640" s="13" t="s">
        <v>209</v>
      </c>
      <c r="EG640" s="14" t="s">
        <v>179</v>
      </c>
      <c r="EH640" s="14" t="s">
        <v>14299</v>
      </c>
      <c r="EI640" s="14" t="s">
        <v>179</v>
      </c>
      <c r="EJ640" s="14" t="s">
        <v>14300</v>
      </c>
      <c r="EK640" s="14" t="s">
        <v>179</v>
      </c>
      <c r="EL640" s="14" t="s">
        <v>14301</v>
      </c>
      <c r="EM640" s="14" t="s">
        <v>179</v>
      </c>
      <c r="EN640" s="14" t="s">
        <v>14302</v>
      </c>
      <c r="EO640" s="15"/>
      <c r="EP640" s="15"/>
      <c r="EQ640" s="15"/>
      <c r="ER640" s="15"/>
      <c r="ES640" s="15"/>
      <c r="ET640" s="15"/>
      <c r="EU640" s="15"/>
      <c r="EV640" s="15"/>
      <c r="EW640" s="15"/>
      <c r="EX640" s="15"/>
      <c r="EY640" s="15"/>
      <c r="EZ640" s="15"/>
      <c r="FA640" s="15"/>
      <c r="FB640" s="15"/>
      <c r="FC640" s="16" t="s">
        <v>197</v>
      </c>
      <c r="FD640" s="17" t="s">
        <v>198</v>
      </c>
      <c r="FE640" s="18">
        <v>45723.26799768519</v>
      </c>
      <c r="FF640" s="19"/>
      <c r="FG640" s="19"/>
      <c r="FH640" s="21" t="s">
        <v>197</v>
      </c>
      <c r="FI640" s="17" t="s">
        <v>214</v>
      </c>
      <c r="FJ640" s="18">
        <v>45723.26799768519</v>
      </c>
      <c r="FK640" s="14" t="s">
        <v>14302</v>
      </c>
      <c r="FL640" s="19"/>
      <c r="FM640" s="19"/>
      <c r="FN640" s="19"/>
      <c r="FO640" s="19"/>
      <c r="FP640" s="19" t="str">
        <f t="shared" si="1"/>
        <v/>
      </c>
      <c r="FQ640" s="14" t="s">
        <v>215</v>
      </c>
      <c r="FR640" s="14" t="s">
        <v>14303</v>
      </c>
    </row>
    <row r="641" ht="15.75" customHeight="1">
      <c r="A641" s="12" t="s">
        <v>174</v>
      </c>
      <c r="B641" s="22" t="s">
        <v>1359</v>
      </c>
      <c r="C641" s="24" t="s">
        <v>10447</v>
      </c>
      <c r="D641" s="22" t="s">
        <v>14304</v>
      </c>
      <c r="E641" s="22" t="s">
        <v>14305</v>
      </c>
      <c r="F641" s="13" t="s">
        <v>178</v>
      </c>
      <c r="G641" s="14" t="s">
        <v>179</v>
      </c>
      <c r="H641" s="14" t="s">
        <v>14306</v>
      </c>
      <c r="I641" s="14" t="s">
        <v>179</v>
      </c>
      <c r="J641" s="14" t="s">
        <v>14307</v>
      </c>
      <c r="K641" s="14" t="s">
        <v>179</v>
      </c>
      <c r="L641" s="14" t="s">
        <v>14308</v>
      </c>
      <c r="M641" s="14" t="s">
        <v>179</v>
      </c>
      <c r="N641" s="14" t="s">
        <v>14309</v>
      </c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6" t="s">
        <v>197</v>
      </c>
      <c r="BP641" s="17" t="s">
        <v>198</v>
      </c>
      <c r="BQ641" s="18">
        <v>45692.616643518515</v>
      </c>
      <c r="BR641" s="17" t="s">
        <v>198</v>
      </c>
      <c r="BS641" s="18">
        <v>45692.61677083333</v>
      </c>
      <c r="BT641" s="17" t="s">
        <v>198</v>
      </c>
      <c r="BU641" s="18">
        <v>45692.61677083333</v>
      </c>
      <c r="BV641" s="13" t="s">
        <v>199</v>
      </c>
      <c r="BW641" s="14" t="s">
        <v>179</v>
      </c>
      <c r="BX641" s="14" t="s">
        <v>14310</v>
      </c>
      <c r="BY641" s="14" t="s">
        <v>179</v>
      </c>
      <c r="BZ641" s="14" t="s">
        <v>14311</v>
      </c>
      <c r="CA641" s="14" t="s">
        <v>179</v>
      </c>
      <c r="CB641" s="14" t="s">
        <v>14312</v>
      </c>
      <c r="CC641" s="15"/>
      <c r="CD641" s="15"/>
      <c r="CE641" s="15"/>
      <c r="CF641" s="15"/>
      <c r="CG641" s="19"/>
      <c r="CH641" s="15"/>
      <c r="CI641" s="19"/>
      <c r="CJ641" s="15"/>
      <c r="CK641" s="19"/>
      <c r="CL641" s="15"/>
      <c r="CM641" s="19"/>
      <c r="CN641" s="15"/>
      <c r="CO641" s="19"/>
      <c r="CP641" s="15"/>
      <c r="CQ641" s="15"/>
      <c r="CR641" s="15"/>
      <c r="CS641" s="19"/>
      <c r="CT641" s="15"/>
      <c r="CU641" s="19"/>
      <c r="CV641" s="15"/>
      <c r="CW641" s="19"/>
      <c r="CX641" s="15"/>
      <c r="CY641" s="19"/>
      <c r="CZ641" s="15"/>
      <c r="DA641" s="16" t="s">
        <v>197</v>
      </c>
      <c r="DB641" s="17" t="s">
        <v>228</v>
      </c>
      <c r="DC641" s="16"/>
      <c r="DD641" s="17" t="s">
        <v>198</v>
      </c>
      <c r="DE641" s="18">
        <v>45694.402708333335</v>
      </c>
      <c r="DF641" s="17" t="s">
        <v>198</v>
      </c>
      <c r="DG641" s="18">
        <v>45694.402708333335</v>
      </c>
      <c r="DH641" s="13" t="s">
        <v>205</v>
      </c>
      <c r="DI641" s="14" t="s">
        <v>179</v>
      </c>
      <c r="DJ641" s="14" t="s">
        <v>14313</v>
      </c>
      <c r="DK641" s="14" t="s">
        <v>179</v>
      </c>
      <c r="DL641" s="14" t="s">
        <v>14314</v>
      </c>
      <c r="DM641" s="15"/>
      <c r="DN641" s="15"/>
      <c r="DO641" s="15"/>
      <c r="DP641" s="15"/>
      <c r="DQ641" s="15"/>
      <c r="DR641" s="15"/>
      <c r="DS641" s="15"/>
      <c r="DT641" s="15"/>
      <c r="DU641" s="15"/>
      <c r="DV641" s="15"/>
      <c r="DW641" s="15"/>
      <c r="DX641" s="15"/>
      <c r="DY641" s="15"/>
      <c r="DZ641" s="15"/>
      <c r="EA641" s="15"/>
      <c r="EB641" s="15"/>
      <c r="EC641" s="16" t="s">
        <v>197</v>
      </c>
      <c r="ED641" s="17" t="s">
        <v>198</v>
      </c>
      <c r="EE641" s="18">
        <v>45708.44347222222</v>
      </c>
      <c r="EF641" s="13" t="s">
        <v>209</v>
      </c>
      <c r="EG641" s="14" t="s">
        <v>179</v>
      </c>
      <c r="EH641" s="14" t="s">
        <v>14315</v>
      </c>
      <c r="EI641" s="14" t="s">
        <v>179</v>
      </c>
      <c r="EJ641" s="14" t="s">
        <v>14315</v>
      </c>
      <c r="EK641" s="15"/>
      <c r="EL641" s="15"/>
      <c r="EM641" s="15"/>
      <c r="EN641" s="15"/>
      <c r="EO641" s="15"/>
      <c r="EP641" s="15"/>
      <c r="EQ641" s="15"/>
      <c r="ER641" s="15"/>
      <c r="ES641" s="15"/>
      <c r="ET641" s="15"/>
      <c r="EU641" s="15"/>
      <c r="EV641" s="15"/>
      <c r="EW641" s="15"/>
      <c r="EX641" s="15"/>
      <c r="EY641" s="15"/>
      <c r="EZ641" s="15"/>
      <c r="FA641" s="15"/>
      <c r="FB641" s="15"/>
      <c r="FC641" s="16" t="s">
        <v>197</v>
      </c>
      <c r="FD641" s="17" t="s">
        <v>198</v>
      </c>
      <c r="FE641" s="18">
        <v>45723.263969907406</v>
      </c>
      <c r="FF641" s="19"/>
      <c r="FG641" s="19"/>
      <c r="FH641" s="21" t="s">
        <v>197</v>
      </c>
      <c r="FI641" s="17" t="s">
        <v>214</v>
      </c>
      <c r="FJ641" s="18">
        <v>45723.263969907406</v>
      </c>
      <c r="FK641" s="14" t="s">
        <v>14315</v>
      </c>
      <c r="FL641" s="14" t="s">
        <v>14316</v>
      </c>
      <c r="FM641" s="14" t="s">
        <v>14317</v>
      </c>
      <c r="FN641" s="19"/>
      <c r="FO641" s="19"/>
      <c r="FP641" s="19" t="str">
        <f t="shared" si="1"/>
        <v>Base de Dados_Images/PSHH20004.Imagem do Equipamento-.180425.jpg</v>
      </c>
      <c r="FQ641" s="14"/>
      <c r="FR641" s="14"/>
    </row>
    <row r="642" ht="15.75" customHeight="1">
      <c r="A642" s="12" t="s">
        <v>10412</v>
      </c>
      <c r="B642" s="12" t="s">
        <v>14148</v>
      </c>
      <c r="C642" s="24" t="s">
        <v>10447</v>
      </c>
      <c r="D642" s="12" t="s">
        <v>14318</v>
      </c>
      <c r="E642" s="12" t="s">
        <v>14319</v>
      </c>
      <c r="F642" s="13" t="s">
        <v>178</v>
      </c>
      <c r="G642" s="14" t="s">
        <v>179</v>
      </c>
      <c r="H642" s="14" t="s">
        <v>14320</v>
      </c>
      <c r="I642" s="14" t="s">
        <v>179</v>
      </c>
      <c r="J642" s="14" t="s">
        <v>14321</v>
      </c>
      <c r="K642" s="14" t="s">
        <v>179</v>
      </c>
      <c r="L642" s="14" t="s">
        <v>14322</v>
      </c>
      <c r="M642" s="14" t="s">
        <v>179</v>
      </c>
      <c r="N642" s="14" t="s">
        <v>14323</v>
      </c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6" t="s">
        <v>197</v>
      </c>
      <c r="BP642" s="17" t="s">
        <v>198</v>
      </c>
      <c r="BQ642" s="18">
        <v>45693.69464120371</v>
      </c>
      <c r="BR642" s="17" t="s">
        <v>198</v>
      </c>
      <c r="BS642" s="18">
        <v>45693.69462962963</v>
      </c>
      <c r="BT642" s="17" t="s">
        <v>198</v>
      </c>
      <c r="BU642" s="18">
        <v>45693.69464120371</v>
      </c>
      <c r="BV642" s="13" t="s">
        <v>199</v>
      </c>
      <c r="BW642" s="14" t="s">
        <v>179</v>
      </c>
      <c r="BX642" s="14" t="s">
        <v>14324</v>
      </c>
      <c r="BY642" s="14" t="s">
        <v>179</v>
      </c>
      <c r="BZ642" s="14" t="s">
        <v>14324</v>
      </c>
      <c r="CA642" s="14" t="s">
        <v>179</v>
      </c>
      <c r="CB642" s="14" t="s">
        <v>14325</v>
      </c>
      <c r="CC642" s="15"/>
      <c r="CD642" s="15"/>
      <c r="CE642" s="15"/>
      <c r="CF642" s="15"/>
      <c r="CG642" s="19"/>
      <c r="CH642" s="15"/>
      <c r="CI642" s="19"/>
      <c r="CJ642" s="15"/>
      <c r="CK642" s="19"/>
      <c r="CL642" s="15"/>
      <c r="CM642" s="19"/>
      <c r="CN642" s="15"/>
      <c r="CO642" s="19"/>
      <c r="CP642" s="15"/>
      <c r="CQ642" s="15"/>
      <c r="CR642" s="15"/>
      <c r="CS642" s="19"/>
      <c r="CT642" s="15"/>
      <c r="CU642" s="19"/>
      <c r="CV642" s="15"/>
      <c r="CW642" s="19"/>
      <c r="CX642" s="15"/>
      <c r="CY642" s="19"/>
      <c r="CZ642" s="15"/>
      <c r="DA642" s="16" t="s">
        <v>197</v>
      </c>
      <c r="DB642" s="17" t="s">
        <v>228</v>
      </c>
      <c r="DC642" s="16"/>
      <c r="DD642" s="17" t="s">
        <v>198</v>
      </c>
      <c r="DE642" s="18">
        <v>45719.464837962965</v>
      </c>
      <c r="DF642" s="17" t="s">
        <v>198</v>
      </c>
      <c r="DG642" s="18">
        <v>45719.464837962965</v>
      </c>
      <c r="DH642" s="13" t="s">
        <v>205</v>
      </c>
      <c r="DI642" s="14" t="s">
        <v>179</v>
      </c>
      <c r="DJ642" s="14" t="s">
        <v>14326</v>
      </c>
      <c r="DK642" s="14" t="s">
        <v>179</v>
      </c>
      <c r="DL642" s="14" t="s">
        <v>14326</v>
      </c>
      <c r="DM642" s="15"/>
      <c r="DN642" s="15"/>
      <c r="DO642" s="15"/>
      <c r="DP642" s="15"/>
      <c r="DQ642" s="15"/>
      <c r="DR642" s="15"/>
      <c r="DS642" s="15"/>
      <c r="DT642" s="15"/>
      <c r="DU642" s="15"/>
      <c r="DV642" s="15"/>
      <c r="DW642" s="15"/>
      <c r="DX642" s="15"/>
      <c r="DY642" s="15"/>
      <c r="DZ642" s="15"/>
      <c r="EA642" s="15"/>
      <c r="EB642" s="15"/>
      <c r="EC642" s="16" t="s">
        <v>197</v>
      </c>
      <c r="ED642" s="17" t="s">
        <v>198</v>
      </c>
      <c r="EE642" s="18">
        <v>45719.46488425926</v>
      </c>
      <c r="EF642" s="13" t="s">
        <v>209</v>
      </c>
      <c r="EG642" s="14" t="s">
        <v>179</v>
      </c>
      <c r="EH642" s="14" t="s">
        <v>14327</v>
      </c>
      <c r="EI642" s="14" t="s">
        <v>179</v>
      </c>
      <c r="EJ642" s="14" t="s">
        <v>14328</v>
      </c>
      <c r="EK642" s="15"/>
      <c r="EL642" s="15"/>
      <c r="EM642" s="15"/>
      <c r="EN642" s="15"/>
      <c r="EO642" s="15"/>
      <c r="EP642" s="15"/>
      <c r="EQ642" s="15"/>
      <c r="ER642" s="15"/>
      <c r="ES642" s="15"/>
      <c r="ET642" s="15"/>
      <c r="EU642" s="15"/>
      <c r="EV642" s="15"/>
      <c r="EW642" s="15"/>
      <c r="EX642" s="15"/>
      <c r="EY642" s="15"/>
      <c r="EZ642" s="15"/>
      <c r="FA642" s="15"/>
      <c r="FB642" s="15"/>
      <c r="FC642" s="16" t="s">
        <v>197</v>
      </c>
      <c r="FD642" s="17" t="s">
        <v>198</v>
      </c>
      <c r="FE642" s="18">
        <v>45719.67396990741</v>
      </c>
      <c r="FF642" s="19"/>
      <c r="FG642" s="19"/>
      <c r="FH642" s="21" t="s">
        <v>197</v>
      </c>
      <c r="FI642" s="17" t="s">
        <v>214</v>
      </c>
      <c r="FJ642" s="18">
        <v>45719.67396990741</v>
      </c>
      <c r="FK642" s="14" t="s">
        <v>14328</v>
      </c>
      <c r="FL642" s="19"/>
      <c r="FM642" s="19"/>
      <c r="FN642" s="19"/>
      <c r="FO642" s="19"/>
      <c r="FP642" s="19" t="str">
        <f t="shared" si="1"/>
        <v/>
      </c>
      <c r="FQ642" s="14" t="s">
        <v>215</v>
      </c>
      <c r="FR642" s="14" t="s">
        <v>14329</v>
      </c>
    </row>
    <row r="643" ht="15.75" customHeight="1">
      <c r="A643" s="12" t="s">
        <v>174</v>
      </c>
      <c r="B643" s="22" t="s">
        <v>1359</v>
      </c>
      <c r="C643" s="24" t="s">
        <v>10447</v>
      </c>
      <c r="D643" s="22" t="s">
        <v>14330</v>
      </c>
      <c r="E643" s="22" t="s">
        <v>14331</v>
      </c>
      <c r="F643" s="13" t="s">
        <v>178</v>
      </c>
      <c r="G643" s="14" t="s">
        <v>179</v>
      </c>
      <c r="H643" s="14" t="s">
        <v>14332</v>
      </c>
      <c r="I643" s="14" t="s">
        <v>179</v>
      </c>
      <c r="J643" s="14" t="s">
        <v>14333</v>
      </c>
      <c r="K643" s="14" t="s">
        <v>179</v>
      </c>
      <c r="L643" s="14" t="s">
        <v>14334</v>
      </c>
      <c r="M643" s="14" t="s">
        <v>179</v>
      </c>
      <c r="N643" s="14" t="s">
        <v>14335</v>
      </c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6" t="s">
        <v>197</v>
      </c>
      <c r="BP643" s="17" t="s">
        <v>198</v>
      </c>
      <c r="BQ643" s="18">
        <v>45692.617118055554</v>
      </c>
      <c r="BR643" s="17" t="s">
        <v>198</v>
      </c>
      <c r="BS643" s="18">
        <v>45692.6171875</v>
      </c>
      <c r="BT643" s="17" t="s">
        <v>198</v>
      </c>
      <c r="BU643" s="18">
        <v>45692.6171875</v>
      </c>
      <c r="BV643" s="13" t="s">
        <v>199</v>
      </c>
      <c r="BW643" s="14" t="s">
        <v>179</v>
      </c>
      <c r="BX643" s="14" t="s">
        <v>14336</v>
      </c>
      <c r="BY643" s="14" t="s">
        <v>179</v>
      </c>
      <c r="BZ643" s="14" t="s">
        <v>14337</v>
      </c>
      <c r="CA643" s="14" t="s">
        <v>179</v>
      </c>
      <c r="CB643" s="14" t="s">
        <v>14338</v>
      </c>
      <c r="CC643" s="15"/>
      <c r="CD643" s="15"/>
      <c r="CE643" s="15"/>
      <c r="CF643" s="15"/>
      <c r="CG643" s="19"/>
      <c r="CH643" s="15"/>
      <c r="CI643" s="19"/>
      <c r="CJ643" s="15"/>
      <c r="CK643" s="19"/>
      <c r="CL643" s="15"/>
      <c r="CM643" s="19"/>
      <c r="CN643" s="15"/>
      <c r="CO643" s="19"/>
      <c r="CP643" s="15"/>
      <c r="CQ643" s="15"/>
      <c r="CR643" s="15"/>
      <c r="CS643" s="19"/>
      <c r="CT643" s="15"/>
      <c r="CU643" s="19"/>
      <c r="CV643" s="15"/>
      <c r="CW643" s="19"/>
      <c r="CX643" s="15"/>
      <c r="CY643" s="19"/>
      <c r="CZ643" s="15"/>
      <c r="DA643" s="16" t="s">
        <v>197</v>
      </c>
      <c r="DB643" s="17" t="s">
        <v>228</v>
      </c>
      <c r="DC643" s="16"/>
      <c r="DD643" s="17" t="s">
        <v>198</v>
      </c>
      <c r="DE643" s="18">
        <v>45694.40310185185</v>
      </c>
      <c r="DF643" s="17" t="s">
        <v>198</v>
      </c>
      <c r="DG643" s="18">
        <v>45694.40310185185</v>
      </c>
      <c r="DH643" s="13" t="s">
        <v>205</v>
      </c>
      <c r="DI643" s="14" t="s">
        <v>179</v>
      </c>
      <c r="DJ643" s="14" t="s">
        <v>14339</v>
      </c>
      <c r="DK643" s="14" t="s">
        <v>179</v>
      </c>
      <c r="DL643" s="14" t="s">
        <v>14340</v>
      </c>
      <c r="DM643" s="15"/>
      <c r="DN643" s="15"/>
      <c r="DO643" s="15"/>
      <c r="DP643" s="15"/>
      <c r="DQ643" s="15"/>
      <c r="DR643" s="15"/>
      <c r="DS643" s="15"/>
      <c r="DT643" s="15"/>
      <c r="DU643" s="15"/>
      <c r="DV643" s="15"/>
      <c r="DW643" s="15"/>
      <c r="DX643" s="15"/>
      <c r="DY643" s="15"/>
      <c r="DZ643" s="15"/>
      <c r="EA643" s="15"/>
      <c r="EB643" s="15"/>
      <c r="EC643" s="16" t="s">
        <v>197</v>
      </c>
      <c r="ED643" s="17" t="s">
        <v>198</v>
      </c>
      <c r="EE643" s="18">
        <v>45708.44354166667</v>
      </c>
      <c r="EF643" s="13" t="s">
        <v>209</v>
      </c>
      <c r="EG643" s="14" t="s">
        <v>179</v>
      </c>
      <c r="EH643" s="14" t="s">
        <v>14341</v>
      </c>
      <c r="EI643" s="14" t="s">
        <v>179</v>
      </c>
      <c r="EJ643" s="14" t="s">
        <v>14342</v>
      </c>
      <c r="EK643" s="15"/>
      <c r="EL643" s="15"/>
      <c r="EM643" s="15"/>
      <c r="EN643" s="15"/>
      <c r="EO643" s="15"/>
      <c r="EP643" s="15"/>
      <c r="EQ643" s="15"/>
      <c r="ER643" s="15"/>
      <c r="ES643" s="15"/>
      <c r="ET643" s="15"/>
      <c r="EU643" s="15"/>
      <c r="EV643" s="15"/>
      <c r="EW643" s="15"/>
      <c r="EX643" s="15"/>
      <c r="EY643" s="15"/>
      <c r="EZ643" s="15"/>
      <c r="FA643" s="15"/>
      <c r="FB643" s="15"/>
      <c r="FC643" s="16" t="s">
        <v>197</v>
      </c>
      <c r="FD643" s="17" t="s">
        <v>198</v>
      </c>
      <c r="FE643" s="18">
        <v>45723.2641087963</v>
      </c>
      <c r="FF643" s="19"/>
      <c r="FG643" s="19"/>
      <c r="FH643" s="21" t="s">
        <v>197</v>
      </c>
      <c r="FI643" s="17" t="s">
        <v>214</v>
      </c>
      <c r="FJ643" s="18">
        <v>45723.2641087963</v>
      </c>
      <c r="FK643" s="14" t="s">
        <v>14342</v>
      </c>
      <c r="FL643" s="14" t="s">
        <v>14343</v>
      </c>
      <c r="FM643" s="14" t="s">
        <v>14344</v>
      </c>
      <c r="FN643" s="19"/>
      <c r="FO643" s="19"/>
      <c r="FP643" s="19" t="str">
        <f t="shared" si="1"/>
        <v>Base de Dados_Images/PSLL20005.Imagem do Equipamento-.180454.jpg</v>
      </c>
      <c r="FQ643" s="14"/>
      <c r="FR643" s="14"/>
    </row>
    <row r="644" ht="15.75" customHeight="1">
      <c r="A644" s="12" t="s">
        <v>174</v>
      </c>
      <c r="B644" s="12" t="s">
        <v>12788</v>
      </c>
      <c r="C644" s="24" t="s">
        <v>14345</v>
      </c>
      <c r="D644" s="12" t="s">
        <v>14346</v>
      </c>
      <c r="E644" s="12" t="s">
        <v>14347</v>
      </c>
      <c r="F644" s="13" t="s">
        <v>178</v>
      </c>
      <c r="G644" s="14" t="s">
        <v>179</v>
      </c>
      <c r="H644" s="14" t="s">
        <v>14348</v>
      </c>
      <c r="I644" s="14" t="s">
        <v>179</v>
      </c>
      <c r="J644" s="14" t="s">
        <v>13609</v>
      </c>
      <c r="K644" s="14" t="s">
        <v>179</v>
      </c>
      <c r="L644" s="14" t="s">
        <v>13610</v>
      </c>
      <c r="M644" s="14" t="s">
        <v>179</v>
      </c>
      <c r="N644" s="14" t="s">
        <v>13608</v>
      </c>
      <c r="O644" s="14" t="s">
        <v>179</v>
      </c>
      <c r="P644" s="14" t="s">
        <v>14349</v>
      </c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6" t="s">
        <v>197</v>
      </c>
      <c r="BP644" s="17" t="s">
        <v>198</v>
      </c>
      <c r="BQ644" s="18">
        <v>45698.65074074074</v>
      </c>
      <c r="BR644" s="17" t="s">
        <v>228</v>
      </c>
      <c r="BS644" s="23"/>
      <c r="BT644" s="17" t="s">
        <v>198</v>
      </c>
      <c r="BU644" s="18">
        <v>45698.65074074074</v>
      </c>
      <c r="BV644" s="13" t="s">
        <v>199</v>
      </c>
      <c r="BW644" s="14" t="s">
        <v>179</v>
      </c>
      <c r="BX644" s="14" t="s">
        <v>14350</v>
      </c>
      <c r="BY644" s="15"/>
      <c r="BZ644" s="15"/>
      <c r="CA644" s="15"/>
      <c r="CB644" s="15"/>
      <c r="CC644" s="15"/>
      <c r="CD644" s="15"/>
      <c r="CE644" s="15"/>
      <c r="CF644" s="15"/>
      <c r="CG644" s="19"/>
      <c r="CH644" s="15"/>
      <c r="CI644" s="19"/>
      <c r="CJ644" s="15"/>
      <c r="CK644" s="19"/>
      <c r="CL644" s="15"/>
      <c r="CM644" s="19"/>
      <c r="CN644" s="15"/>
      <c r="CO644" s="19"/>
      <c r="CP644" s="15"/>
      <c r="CQ644" s="15"/>
      <c r="CR644" s="15"/>
      <c r="CS644" s="19"/>
      <c r="CT644" s="15"/>
      <c r="CU644" s="19"/>
      <c r="CV644" s="15"/>
      <c r="CW644" s="19"/>
      <c r="CX644" s="15"/>
      <c r="CY644" s="19"/>
      <c r="CZ644" s="15"/>
      <c r="DA644" s="16" t="s">
        <v>197</v>
      </c>
      <c r="DB644" s="17" t="s">
        <v>198</v>
      </c>
      <c r="DC644" s="20">
        <v>45698.65163194444</v>
      </c>
      <c r="DD644" s="17" t="s">
        <v>228</v>
      </c>
      <c r="DE644" s="23"/>
      <c r="DF644" s="17" t="s">
        <v>198</v>
      </c>
      <c r="DG644" s="18">
        <v>45698.65163194444</v>
      </c>
      <c r="DH644" s="13" t="s">
        <v>205</v>
      </c>
      <c r="DI644" s="15"/>
      <c r="DJ644" s="15"/>
      <c r="DK644" s="15"/>
      <c r="DL644" s="15"/>
      <c r="DM644" s="15"/>
      <c r="DN644" s="15"/>
      <c r="DO644" s="15"/>
      <c r="DP644" s="15"/>
      <c r="DQ644" s="15"/>
      <c r="DR644" s="15"/>
      <c r="DS644" s="15"/>
      <c r="DT644" s="15"/>
      <c r="DU644" s="15"/>
      <c r="DV644" s="15"/>
      <c r="DW644" s="15"/>
      <c r="DX644" s="15"/>
      <c r="DY644" s="15"/>
      <c r="DZ644" s="15"/>
      <c r="EA644" s="15"/>
      <c r="EB644" s="15"/>
      <c r="EC644" s="16" t="s">
        <v>197</v>
      </c>
      <c r="ED644" s="17" t="s">
        <v>228</v>
      </c>
      <c r="EE644" s="23"/>
      <c r="EF644" s="13" t="s">
        <v>209</v>
      </c>
      <c r="EG644" s="14" t="s">
        <v>179</v>
      </c>
      <c r="EH644" s="14" t="s">
        <v>14351</v>
      </c>
      <c r="EI644" s="15"/>
      <c r="EJ644" s="15"/>
      <c r="EK644" s="15"/>
      <c r="EL644" s="15"/>
      <c r="EM644" s="15"/>
      <c r="EN644" s="15"/>
      <c r="EO644" s="15"/>
      <c r="EP644" s="15"/>
      <c r="EQ644" s="15"/>
      <c r="ER644" s="15"/>
      <c r="ES644" s="15"/>
      <c r="ET644" s="15"/>
      <c r="EU644" s="15"/>
      <c r="EV644" s="15"/>
      <c r="EW644" s="15"/>
      <c r="EX644" s="15"/>
      <c r="EY644" s="15"/>
      <c r="EZ644" s="15"/>
      <c r="FA644" s="15"/>
      <c r="FB644" s="15"/>
      <c r="FC644" s="16" t="s">
        <v>197</v>
      </c>
      <c r="FD644" s="17" t="s">
        <v>198</v>
      </c>
      <c r="FE644" s="18">
        <v>45708.370034722226</v>
      </c>
      <c r="FF644" s="19"/>
      <c r="FG644" s="19"/>
      <c r="FH644" s="21" t="s">
        <v>197</v>
      </c>
      <c r="FI644" s="17" t="s">
        <v>214</v>
      </c>
      <c r="FJ644" s="18">
        <v>45708.370034722226</v>
      </c>
      <c r="FK644" s="14" t="s">
        <v>14351</v>
      </c>
      <c r="FL644" s="14" t="s">
        <v>14352</v>
      </c>
      <c r="FM644" s="14" t="s">
        <v>14353</v>
      </c>
      <c r="FN644" s="19"/>
      <c r="FO644" s="19"/>
      <c r="FP644" s="19" t="str">
        <f t="shared" si="1"/>
        <v>Base de Dados_Images/PSV 001-01.Imagem do Equipamento-.121754.jpg</v>
      </c>
      <c r="FQ644" s="14"/>
      <c r="FR644" s="14"/>
    </row>
    <row r="645" ht="15.75" customHeight="1">
      <c r="A645" s="12" t="s">
        <v>292</v>
      </c>
      <c r="B645" s="12" t="s">
        <v>12788</v>
      </c>
      <c r="C645" s="24" t="s">
        <v>14345</v>
      </c>
      <c r="D645" s="12" t="s">
        <v>14354</v>
      </c>
      <c r="E645" s="12" t="s">
        <v>14355</v>
      </c>
      <c r="F645" s="13" t="s">
        <v>178</v>
      </c>
      <c r="G645" s="14" t="s">
        <v>179</v>
      </c>
      <c r="H645" s="14" t="s">
        <v>14356</v>
      </c>
      <c r="I645" s="14" t="s">
        <v>179</v>
      </c>
      <c r="J645" s="14" t="s">
        <v>14357</v>
      </c>
      <c r="K645" s="14" t="s">
        <v>179</v>
      </c>
      <c r="L645" s="14" t="s">
        <v>14358</v>
      </c>
      <c r="M645" s="14" t="s">
        <v>179</v>
      </c>
      <c r="N645" s="14" t="s">
        <v>14358</v>
      </c>
      <c r="O645" s="14" t="s">
        <v>179</v>
      </c>
      <c r="P645" s="14" t="s">
        <v>14359</v>
      </c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6" t="s">
        <v>197</v>
      </c>
      <c r="BP645" s="17" t="s">
        <v>198</v>
      </c>
      <c r="BQ645" s="18">
        <v>45695.6334375</v>
      </c>
      <c r="BR645" s="17" t="s">
        <v>228</v>
      </c>
      <c r="BS645" s="23"/>
      <c r="BT645" s="17" t="s">
        <v>198</v>
      </c>
      <c r="BU645" s="18">
        <v>45695.6334375</v>
      </c>
      <c r="BV645" s="13" t="s">
        <v>199</v>
      </c>
      <c r="BW645" s="14" t="s">
        <v>179</v>
      </c>
      <c r="BX645" s="14" t="s">
        <v>14360</v>
      </c>
      <c r="BY645" s="15"/>
      <c r="BZ645" s="15"/>
      <c r="CA645" s="15"/>
      <c r="CB645" s="15"/>
      <c r="CC645" s="15"/>
      <c r="CD645" s="15"/>
      <c r="CE645" s="15"/>
      <c r="CF645" s="15"/>
      <c r="CG645" s="19"/>
      <c r="CH645" s="15"/>
      <c r="CI645" s="19"/>
      <c r="CJ645" s="15"/>
      <c r="CK645" s="19"/>
      <c r="CL645" s="15"/>
      <c r="CM645" s="19"/>
      <c r="CN645" s="15"/>
      <c r="CO645" s="19"/>
      <c r="CP645" s="15"/>
      <c r="CQ645" s="15"/>
      <c r="CR645" s="15"/>
      <c r="CS645" s="19"/>
      <c r="CT645" s="15"/>
      <c r="CU645" s="19"/>
      <c r="CV645" s="15"/>
      <c r="CW645" s="19"/>
      <c r="CX645" s="15"/>
      <c r="CY645" s="19"/>
      <c r="CZ645" s="15"/>
      <c r="DA645" s="16" t="s">
        <v>197</v>
      </c>
      <c r="DB645" s="17" t="s">
        <v>198</v>
      </c>
      <c r="DC645" s="20">
        <v>45695.63349537037</v>
      </c>
      <c r="DD645" s="17" t="s">
        <v>228</v>
      </c>
      <c r="DE645" s="23"/>
      <c r="DF645" s="17" t="s">
        <v>198</v>
      </c>
      <c r="DG645" s="18">
        <v>45695.63349537037</v>
      </c>
      <c r="DH645" s="13" t="s">
        <v>205</v>
      </c>
      <c r="DI645" s="15"/>
      <c r="DJ645" s="15"/>
      <c r="DK645" s="15"/>
      <c r="DL645" s="15"/>
      <c r="DM645" s="15"/>
      <c r="DN645" s="15"/>
      <c r="DO645" s="15"/>
      <c r="DP645" s="15"/>
      <c r="DQ645" s="15"/>
      <c r="DR645" s="15"/>
      <c r="DS645" s="15"/>
      <c r="DT645" s="15"/>
      <c r="DU645" s="15"/>
      <c r="DV645" s="15"/>
      <c r="DW645" s="15"/>
      <c r="DX645" s="15"/>
      <c r="DY645" s="15"/>
      <c r="DZ645" s="15"/>
      <c r="EA645" s="15"/>
      <c r="EB645" s="15"/>
      <c r="EC645" s="16" t="s">
        <v>197</v>
      </c>
      <c r="ED645" s="17" t="s">
        <v>228</v>
      </c>
      <c r="EE645" s="23"/>
      <c r="EF645" s="13" t="s">
        <v>209</v>
      </c>
      <c r="EG645" s="14" t="s">
        <v>179</v>
      </c>
      <c r="EH645" s="14" t="s">
        <v>14361</v>
      </c>
      <c r="EI645" s="15"/>
      <c r="EJ645" s="15"/>
      <c r="EK645" s="15"/>
      <c r="EL645" s="15"/>
      <c r="EM645" s="15"/>
      <c r="EN645" s="15"/>
      <c r="EO645" s="15"/>
      <c r="EP645" s="15"/>
      <c r="EQ645" s="15"/>
      <c r="ER645" s="15"/>
      <c r="ES645" s="15"/>
      <c r="ET645" s="15"/>
      <c r="EU645" s="15"/>
      <c r="EV645" s="15"/>
      <c r="EW645" s="15"/>
      <c r="EX645" s="15"/>
      <c r="EY645" s="15"/>
      <c r="EZ645" s="15"/>
      <c r="FA645" s="15"/>
      <c r="FB645" s="15"/>
      <c r="FC645" s="16" t="s">
        <v>197</v>
      </c>
      <c r="FD645" s="17" t="s">
        <v>198</v>
      </c>
      <c r="FE645" s="18">
        <v>45722.35579861111</v>
      </c>
      <c r="FF645" s="19"/>
      <c r="FG645" s="19"/>
      <c r="FH645" s="21" t="s">
        <v>197</v>
      </c>
      <c r="FI645" s="17" t="s">
        <v>214</v>
      </c>
      <c r="FJ645" s="18">
        <v>45722.35579861111</v>
      </c>
      <c r="FK645" s="14" t="s">
        <v>14362</v>
      </c>
      <c r="FL645" s="14" t="s">
        <v>14363</v>
      </c>
      <c r="FM645" s="14" t="s">
        <v>14364</v>
      </c>
      <c r="FN645" s="19"/>
      <c r="FO645" s="19"/>
      <c r="FP645" s="19" t="str">
        <f t="shared" si="1"/>
        <v>Base de Dados_Images/PSV 012-02 E 013-02.Imagem do Equipamento-.143421.jpg</v>
      </c>
      <c r="FQ645" s="14"/>
      <c r="FR645" s="14"/>
    </row>
    <row r="646" ht="15.75" customHeight="1">
      <c r="A646" s="12" t="s">
        <v>292</v>
      </c>
      <c r="B646" s="12" t="s">
        <v>12788</v>
      </c>
      <c r="C646" s="24" t="s">
        <v>14345</v>
      </c>
      <c r="D646" s="12" t="s">
        <v>14365</v>
      </c>
      <c r="E646" s="12" t="s">
        <v>14366</v>
      </c>
      <c r="F646" s="13" t="s">
        <v>178</v>
      </c>
      <c r="G646" s="14" t="s">
        <v>179</v>
      </c>
      <c r="H646" s="14" t="s">
        <v>14367</v>
      </c>
      <c r="I646" s="14" t="s">
        <v>179</v>
      </c>
      <c r="J646" s="14" t="s">
        <v>14368</v>
      </c>
      <c r="K646" s="14" t="s">
        <v>179</v>
      </c>
      <c r="L646" s="14" t="s">
        <v>14369</v>
      </c>
      <c r="M646" s="14" t="s">
        <v>179</v>
      </c>
      <c r="N646" s="14" t="s">
        <v>14370</v>
      </c>
      <c r="O646" s="14" t="s">
        <v>179</v>
      </c>
      <c r="P646" s="14" t="s">
        <v>14370</v>
      </c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6" t="s">
        <v>197</v>
      </c>
      <c r="BP646" s="17" t="s">
        <v>198</v>
      </c>
      <c r="BQ646" s="18">
        <v>45695.630381944444</v>
      </c>
      <c r="BR646" s="17" t="s">
        <v>228</v>
      </c>
      <c r="BS646" s="23"/>
      <c r="BT646" s="17" t="s">
        <v>198</v>
      </c>
      <c r="BU646" s="18">
        <v>45695.630381944444</v>
      </c>
      <c r="BV646" s="13" t="s">
        <v>199</v>
      </c>
      <c r="BW646" s="14" t="s">
        <v>179</v>
      </c>
      <c r="BX646" s="14" t="s">
        <v>14371</v>
      </c>
      <c r="BY646" s="15"/>
      <c r="BZ646" s="15"/>
      <c r="CA646" s="15"/>
      <c r="CB646" s="15"/>
      <c r="CC646" s="15"/>
      <c r="CD646" s="15"/>
      <c r="CE646" s="15"/>
      <c r="CF646" s="15"/>
      <c r="CG646" s="19"/>
      <c r="CH646" s="15"/>
      <c r="CI646" s="19"/>
      <c r="CJ646" s="15"/>
      <c r="CK646" s="19"/>
      <c r="CL646" s="15"/>
      <c r="CM646" s="19"/>
      <c r="CN646" s="15"/>
      <c r="CO646" s="19"/>
      <c r="CP646" s="15"/>
      <c r="CQ646" s="15"/>
      <c r="CR646" s="15"/>
      <c r="CS646" s="19"/>
      <c r="CT646" s="15"/>
      <c r="CU646" s="19"/>
      <c r="CV646" s="15"/>
      <c r="CW646" s="19"/>
      <c r="CX646" s="15"/>
      <c r="CY646" s="19"/>
      <c r="CZ646" s="15"/>
      <c r="DA646" s="16" t="s">
        <v>197</v>
      </c>
      <c r="DB646" s="17" t="s">
        <v>198</v>
      </c>
      <c r="DC646" s="20">
        <v>45695.63045138889</v>
      </c>
      <c r="DD646" s="17" t="s">
        <v>228</v>
      </c>
      <c r="DE646" s="23"/>
      <c r="DF646" s="17" t="s">
        <v>198</v>
      </c>
      <c r="DG646" s="18">
        <v>45695.63045138889</v>
      </c>
      <c r="DH646" s="13" t="s">
        <v>205</v>
      </c>
      <c r="DI646" s="15"/>
      <c r="DJ646" s="15"/>
      <c r="DK646" s="15"/>
      <c r="DL646" s="15"/>
      <c r="DM646" s="15"/>
      <c r="DN646" s="15"/>
      <c r="DO646" s="15"/>
      <c r="DP646" s="15"/>
      <c r="DQ646" s="15"/>
      <c r="DR646" s="15"/>
      <c r="DS646" s="15"/>
      <c r="DT646" s="15"/>
      <c r="DU646" s="15"/>
      <c r="DV646" s="15"/>
      <c r="DW646" s="15"/>
      <c r="DX646" s="15"/>
      <c r="DY646" s="15"/>
      <c r="DZ646" s="15"/>
      <c r="EA646" s="15"/>
      <c r="EB646" s="15"/>
      <c r="EC646" s="16" t="s">
        <v>197</v>
      </c>
      <c r="ED646" s="17" t="s">
        <v>228</v>
      </c>
      <c r="EE646" s="23"/>
      <c r="EF646" s="13" t="s">
        <v>209</v>
      </c>
      <c r="EG646" s="14" t="s">
        <v>179</v>
      </c>
      <c r="EH646" s="14" t="s">
        <v>14372</v>
      </c>
      <c r="EI646" s="15"/>
      <c r="EJ646" s="15"/>
      <c r="EK646" s="15"/>
      <c r="EL646" s="15"/>
      <c r="EM646" s="15"/>
      <c r="EN646" s="15"/>
      <c r="EO646" s="15"/>
      <c r="EP646" s="15"/>
      <c r="EQ646" s="15"/>
      <c r="ER646" s="15"/>
      <c r="ES646" s="15"/>
      <c r="ET646" s="15"/>
      <c r="EU646" s="15"/>
      <c r="EV646" s="15"/>
      <c r="EW646" s="15"/>
      <c r="EX646" s="15"/>
      <c r="EY646" s="15"/>
      <c r="EZ646" s="15"/>
      <c r="FA646" s="15"/>
      <c r="FB646" s="15"/>
      <c r="FC646" s="16" t="s">
        <v>197</v>
      </c>
      <c r="FD646" s="17" t="s">
        <v>198</v>
      </c>
      <c r="FE646" s="18">
        <v>45722.35590277778</v>
      </c>
      <c r="FF646" s="19"/>
      <c r="FG646" s="19"/>
      <c r="FH646" s="21" t="s">
        <v>197</v>
      </c>
      <c r="FI646" s="17" t="s">
        <v>214</v>
      </c>
      <c r="FJ646" s="18">
        <v>45722.35590277778</v>
      </c>
      <c r="FK646" s="14" t="s">
        <v>14372</v>
      </c>
      <c r="FL646" s="14" t="s">
        <v>14373</v>
      </c>
      <c r="FM646" s="14" t="s">
        <v>14374</v>
      </c>
      <c r="FN646" s="19"/>
      <c r="FO646" s="19"/>
      <c r="FP646" s="19" t="str">
        <f t="shared" si="1"/>
        <v>Base de Dados_Images/PSV 014-02, PSV 028-02 E A PSV 021-02.Imagem do Equipamento-.114634.jpg</v>
      </c>
      <c r="FQ646" s="14"/>
      <c r="FR646" s="14"/>
    </row>
    <row r="647" ht="15.75" customHeight="1">
      <c r="A647" s="12" t="s">
        <v>292</v>
      </c>
      <c r="B647" s="12" t="s">
        <v>12788</v>
      </c>
      <c r="C647" s="24" t="s">
        <v>14345</v>
      </c>
      <c r="D647" s="12" t="s">
        <v>14375</v>
      </c>
      <c r="E647" s="12" t="s">
        <v>14376</v>
      </c>
      <c r="F647" s="13" t="s">
        <v>178</v>
      </c>
      <c r="G647" s="14" t="s">
        <v>179</v>
      </c>
      <c r="H647" s="14" t="s">
        <v>14377</v>
      </c>
      <c r="I647" s="14" t="s">
        <v>179</v>
      </c>
      <c r="J647" s="14" t="s">
        <v>14378</v>
      </c>
      <c r="K647" s="14" t="s">
        <v>179</v>
      </c>
      <c r="L647" s="14" t="s">
        <v>14379</v>
      </c>
      <c r="M647" s="14" t="s">
        <v>179</v>
      </c>
      <c r="N647" s="14" t="s">
        <v>14380</v>
      </c>
      <c r="O647" s="14" t="s">
        <v>179</v>
      </c>
      <c r="P647" s="14" t="s">
        <v>14381</v>
      </c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6" t="s">
        <v>197</v>
      </c>
      <c r="BP647" s="17" t="s">
        <v>198</v>
      </c>
      <c r="BQ647" s="18">
        <v>45688.51765046296</v>
      </c>
      <c r="BR647" s="17" t="s">
        <v>228</v>
      </c>
      <c r="BS647" s="23"/>
      <c r="BT647" s="17" t="s">
        <v>198</v>
      </c>
      <c r="BU647" s="18">
        <v>45688.51765046296</v>
      </c>
      <c r="BV647" s="13" t="s">
        <v>199</v>
      </c>
      <c r="BW647" s="14" t="s">
        <v>179</v>
      </c>
      <c r="BX647" s="14" t="s">
        <v>14382</v>
      </c>
      <c r="BY647" s="15"/>
      <c r="BZ647" s="15"/>
      <c r="CA647" s="15"/>
      <c r="CB647" s="15"/>
      <c r="CC647" s="15"/>
      <c r="CD647" s="15"/>
      <c r="CE647" s="15"/>
      <c r="CF647" s="15"/>
      <c r="CG647" s="19"/>
      <c r="CH647" s="15"/>
      <c r="CI647" s="19"/>
      <c r="CJ647" s="15"/>
      <c r="CK647" s="19"/>
      <c r="CL647" s="15"/>
      <c r="CM647" s="19"/>
      <c r="CN647" s="15"/>
      <c r="CO647" s="19"/>
      <c r="CP647" s="15"/>
      <c r="CQ647" s="15"/>
      <c r="CR647" s="15"/>
      <c r="CS647" s="19"/>
      <c r="CT647" s="15"/>
      <c r="CU647" s="19"/>
      <c r="CV647" s="15"/>
      <c r="CW647" s="19"/>
      <c r="CX647" s="15"/>
      <c r="CY647" s="19"/>
      <c r="CZ647" s="15"/>
      <c r="DA647" s="16" t="s">
        <v>197</v>
      </c>
      <c r="DB647" s="17" t="s">
        <v>198</v>
      </c>
      <c r="DC647" s="20">
        <v>45693.43800925926</v>
      </c>
      <c r="DD647" s="17" t="s">
        <v>228</v>
      </c>
      <c r="DE647" s="23"/>
      <c r="DF647" s="17" t="s">
        <v>198</v>
      </c>
      <c r="DG647" s="18">
        <v>45693.43800925926</v>
      </c>
      <c r="DH647" s="13" t="s">
        <v>205</v>
      </c>
      <c r="DI647" s="15"/>
      <c r="DJ647" s="15"/>
      <c r="DK647" s="15"/>
      <c r="DL647" s="15"/>
      <c r="DM647" s="15"/>
      <c r="DN647" s="15"/>
      <c r="DO647" s="15"/>
      <c r="DP647" s="15"/>
      <c r="DQ647" s="15"/>
      <c r="DR647" s="15"/>
      <c r="DS647" s="15"/>
      <c r="DT647" s="15"/>
      <c r="DU647" s="15"/>
      <c r="DV647" s="15"/>
      <c r="DW647" s="15"/>
      <c r="DX647" s="15"/>
      <c r="DY647" s="15"/>
      <c r="DZ647" s="15"/>
      <c r="EA647" s="15"/>
      <c r="EB647" s="15"/>
      <c r="EC647" s="16" t="s">
        <v>197</v>
      </c>
      <c r="ED647" s="17" t="s">
        <v>228</v>
      </c>
      <c r="EE647" s="23"/>
      <c r="EF647" s="13" t="s">
        <v>209</v>
      </c>
      <c r="EG647" s="14" t="s">
        <v>179</v>
      </c>
      <c r="EH647" s="14" t="s">
        <v>14383</v>
      </c>
      <c r="EI647" s="15"/>
      <c r="EJ647" s="15"/>
      <c r="EK647" s="15"/>
      <c r="EL647" s="15"/>
      <c r="EM647" s="15"/>
      <c r="EN647" s="15"/>
      <c r="EO647" s="15"/>
      <c r="EP647" s="15"/>
      <c r="EQ647" s="15"/>
      <c r="ER647" s="15"/>
      <c r="ES647" s="15"/>
      <c r="ET647" s="15"/>
      <c r="EU647" s="15"/>
      <c r="EV647" s="15"/>
      <c r="EW647" s="15"/>
      <c r="EX647" s="15"/>
      <c r="EY647" s="15"/>
      <c r="EZ647" s="15"/>
      <c r="FA647" s="15"/>
      <c r="FB647" s="15"/>
      <c r="FC647" s="16" t="s">
        <v>197</v>
      </c>
      <c r="FD647" s="17" t="s">
        <v>198</v>
      </c>
      <c r="FE647" s="18">
        <v>45722.35596064815</v>
      </c>
      <c r="FF647" s="19"/>
      <c r="FG647" s="19"/>
      <c r="FH647" s="21" t="s">
        <v>197</v>
      </c>
      <c r="FI647" s="17" t="s">
        <v>214</v>
      </c>
      <c r="FJ647" s="18">
        <v>45722.35596064815</v>
      </c>
      <c r="FK647" s="14" t="s">
        <v>14383</v>
      </c>
      <c r="FL647" s="14" t="s">
        <v>14384</v>
      </c>
      <c r="FM647" s="14" t="s">
        <v>14385</v>
      </c>
      <c r="FN647" s="19"/>
      <c r="FO647" s="19"/>
      <c r="FP647" s="19" t="str">
        <f t="shared" si="1"/>
        <v>Base de Dados_Images/PSV 018-02.Imagem do Equipamento-.155906.jpg</v>
      </c>
      <c r="FQ647" s="14"/>
      <c r="FR647" s="14"/>
    </row>
    <row r="648" ht="15.75" customHeight="1">
      <c r="A648" s="12" t="s">
        <v>292</v>
      </c>
      <c r="B648" s="12" t="s">
        <v>12788</v>
      </c>
      <c r="C648" s="24" t="s">
        <v>14345</v>
      </c>
      <c r="D648" s="12" t="s">
        <v>14386</v>
      </c>
      <c r="E648" s="12" t="s">
        <v>14387</v>
      </c>
      <c r="F648" s="13" t="s">
        <v>178</v>
      </c>
      <c r="G648" s="14" t="s">
        <v>179</v>
      </c>
      <c r="H648" s="14" t="s">
        <v>14388</v>
      </c>
      <c r="I648" s="14" t="s">
        <v>179</v>
      </c>
      <c r="J648" s="14" t="s">
        <v>14389</v>
      </c>
      <c r="K648" s="14" t="s">
        <v>179</v>
      </c>
      <c r="L648" s="14" t="s">
        <v>14390</v>
      </c>
      <c r="M648" s="14" t="s">
        <v>179</v>
      </c>
      <c r="N648" s="14" t="s">
        <v>14391</v>
      </c>
      <c r="O648" s="14" t="s">
        <v>179</v>
      </c>
      <c r="P648" s="14" t="s">
        <v>14392</v>
      </c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6" t="s">
        <v>197</v>
      </c>
      <c r="BP648" s="17" t="s">
        <v>198</v>
      </c>
      <c r="BQ648" s="18">
        <v>45688.51542824074</v>
      </c>
      <c r="BR648" s="17" t="s">
        <v>228</v>
      </c>
      <c r="BS648" s="23"/>
      <c r="BT648" s="17" t="s">
        <v>198</v>
      </c>
      <c r="BU648" s="18">
        <v>45688.51542824074</v>
      </c>
      <c r="BV648" s="13" t="s">
        <v>199</v>
      </c>
      <c r="BW648" s="14" t="s">
        <v>179</v>
      </c>
      <c r="BX648" s="14" t="s">
        <v>14393</v>
      </c>
      <c r="BY648" s="15"/>
      <c r="BZ648" s="15"/>
      <c r="CA648" s="15"/>
      <c r="CB648" s="15"/>
      <c r="CC648" s="15"/>
      <c r="CD648" s="15"/>
      <c r="CE648" s="15"/>
      <c r="CF648" s="15"/>
      <c r="CG648" s="19"/>
      <c r="CH648" s="15"/>
      <c r="CI648" s="19"/>
      <c r="CJ648" s="15"/>
      <c r="CK648" s="19"/>
      <c r="CL648" s="15"/>
      <c r="CM648" s="19"/>
      <c r="CN648" s="15"/>
      <c r="CO648" s="19"/>
      <c r="CP648" s="15"/>
      <c r="CQ648" s="15"/>
      <c r="CR648" s="15"/>
      <c r="CS648" s="19"/>
      <c r="CT648" s="15"/>
      <c r="CU648" s="19"/>
      <c r="CV648" s="15"/>
      <c r="CW648" s="19"/>
      <c r="CX648" s="15"/>
      <c r="CY648" s="19"/>
      <c r="CZ648" s="15"/>
      <c r="DA648" s="16" t="s">
        <v>197</v>
      </c>
      <c r="DB648" s="17" t="s">
        <v>198</v>
      </c>
      <c r="DC648" s="20">
        <v>45693.43767361111</v>
      </c>
      <c r="DD648" s="17" t="s">
        <v>228</v>
      </c>
      <c r="DE648" s="23"/>
      <c r="DF648" s="17" t="s">
        <v>198</v>
      </c>
      <c r="DG648" s="18">
        <v>45693.43767361111</v>
      </c>
      <c r="DH648" s="13" t="s">
        <v>205</v>
      </c>
      <c r="DI648" s="15"/>
      <c r="DJ648" s="15"/>
      <c r="DK648" s="15"/>
      <c r="DL648" s="15"/>
      <c r="DM648" s="15"/>
      <c r="DN648" s="15"/>
      <c r="DO648" s="15"/>
      <c r="DP648" s="15"/>
      <c r="DQ648" s="15"/>
      <c r="DR648" s="15"/>
      <c r="DS648" s="15"/>
      <c r="DT648" s="15"/>
      <c r="DU648" s="15"/>
      <c r="DV648" s="15"/>
      <c r="DW648" s="15"/>
      <c r="DX648" s="15"/>
      <c r="DY648" s="15"/>
      <c r="DZ648" s="15"/>
      <c r="EA648" s="15"/>
      <c r="EB648" s="15"/>
      <c r="EC648" s="16" t="s">
        <v>197</v>
      </c>
      <c r="ED648" s="17" t="s">
        <v>228</v>
      </c>
      <c r="EE648" s="23"/>
      <c r="EF648" s="13" t="s">
        <v>209</v>
      </c>
      <c r="EG648" s="14" t="s">
        <v>179</v>
      </c>
      <c r="EH648" s="14" t="s">
        <v>14394</v>
      </c>
      <c r="EI648" s="15"/>
      <c r="EJ648" s="15"/>
      <c r="EK648" s="15"/>
      <c r="EL648" s="15"/>
      <c r="EM648" s="15"/>
      <c r="EN648" s="15"/>
      <c r="EO648" s="15"/>
      <c r="EP648" s="15"/>
      <c r="EQ648" s="15"/>
      <c r="ER648" s="15"/>
      <c r="ES648" s="15"/>
      <c r="ET648" s="15"/>
      <c r="EU648" s="15"/>
      <c r="EV648" s="15"/>
      <c r="EW648" s="15"/>
      <c r="EX648" s="15"/>
      <c r="EY648" s="15"/>
      <c r="EZ648" s="15"/>
      <c r="FA648" s="15"/>
      <c r="FB648" s="15"/>
      <c r="FC648" s="16" t="s">
        <v>197</v>
      </c>
      <c r="FD648" s="17" t="s">
        <v>198</v>
      </c>
      <c r="FE648" s="18">
        <v>45722.35603009259</v>
      </c>
      <c r="FF648" s="19"/>
      <c r="FG648" s="19"/>
      <c r="FH648" s="21" t="s">
        <v>197</v>
      </c>
      <c r="FI648" s="17" t="s">
        <v>214</v>
      </c>
      <c r="FJ648" s="18">
        <v>45722.35603009259</v>
      </c>
      <c r="FK648" s="14" t="s">
        <v>14394</v>
      </c>
      <c r="FL648" s="14" t="s">
        <v>14395</v>
      </c>
      <c r="FM648" s="14" t="s">
        <v>14396</v>
      </c>
      <c r="FN648" s="19"/>
      <c r="FO648" s="19"/>
      <c r="FP648" s="19" t="str">
        <f t="shared" si="1"/>
        <v>Base de Dados_Images/PSV 021-02.Imagem do Equipamento-.155724.jpg</v>
      </c>
      <c r="FQ648" s="14"/>
      <c r="FR648" s="14"/>
    </row>
    <row r="649" ht="15.75" customHeight="1">
      <c r="A649" s="12" t="s">
        <v>292</v>
      </c>
      <c r="B649" s="12" t="s">
        <v>12788</v>
      </c>
      <c r="C649" s="24" t="s">
        <v>14345</v>
      </c>
      <c r="D649" s="22" t="s">
        <v>14397</v>
      </c>
      <c r="E649" s="12" t="s">
        <v>14398</v>
      </c>
      <c r="F649" s="13" t="s">
        <v>178</v>
      </c>
      <c r="G649" s="14" t="s">
        <v>179</v>
      </c>
      <c r="H649" s="14" t="s">
        <v>14399</v>
      </c>
      <c r="I649" s="14" t="s">
        <v>179</v>
      </c>
      <c r="J649" s="14" t="s">
        <v>14400</v>
      </c>
      <c r="K649" s="14" t="s">
        <v>179</v>
      </c>
      <c r="L649" s="14" t="s">
        <v>14401</v>
      </c>
      <c r="M649" s="14" t="s">
        <v>179</v>
      </c>
      <c r="N649" s="14" t="s">
        <v>14402</v>
      </c>
      <c r="O649" s="14" t="s">
        <v>179</v>
      </c>
      <c r="P649" s="14" t="s">
        <v>14402</v>
      </c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6" t="s">
        <v>197</v>
      </c>
      <c r="BP649" s="17" t="s">
        <v>198</v>
      </c>
      <c r="BQ649" s="18">
        <v>45692.45898148148</v>
      </c>
      <c r="BR649" s="17" t="s">
        <v>228</v>
      </c>
      <c r="BS649" s="23"/>
      <c r="BT649" s="17" t="s">
        <v>198</v>
      </c>
      <c r="BU649" s="18">
        <v>45692.45898148148</v>
      </c>
      <c r="BV649" s="13" t="s">
        <v>199</v>
      </c>
      <c r="BW649" s="14" t="s">
        <v>179</v>
      </c>
      <c r="BX649" s="14" t="s">
        <v>14403</v>
      </c>
      <c r="BY649" s="15"/>
      <c r="BZ649" s="15"/>
      <c r="CA649" s="15"/>
      <c r="CB649" s="15"/>
      <c r="CC649" s="15"/>
      <c r="CD649" s="15"/>
      <c r="CE649" s="15"/>
      <c r="CF649" s="15"/>
      <c r="CG649" s="19"/>
      <c r="CH649" s="15"/>
      <c r="CI649" s="19"/>
      <c r="CJ649" s="15"/>
      <c r="CK649" s="19"/>
      <c r="CL649" s="15"/>
      <c r="CM649" s="19"/>
      <c r="CN649" s="15"/>
      <c r="CO649" s="19"/>
      <c r="CP649" s="15"/>
      <c r="CQ649" s="15"/>
      <c r="CR649" s="15"/>
      <c r="CS649" s="19"/>
      <c r="CT649" s="15"/>
      <c r="CU649" s="19"/>
      <c r="CV649" s="15"/>
      <c r="CW649" s="19"/>
      <c r="CX649" s="15"/>
      <c r="CY649" s="19"/>
      <c r="CZ649" s="15"/>
      <c r="DA649" s="16" t="s">
        <v>197</v>
      </c>
      <c r="DB649" s="17" t="s">
        <v>198</v>
      </c>
      <c r="DC649" s="20">
        <v>45693.43759259259</v>
      </c>
      <c r="DD649" s="17" t="s">
        <v>228</v>
      </c>
      <c r="DE649" s="23"/>
      <c r="DF649" s="17" t="s">
        <v>198</v>
      </c>
      <c r="DG649" s="18">
        <v>45693.43759259259</v>
      </c>
      <c r="DH649" s="13" t="s">
        <v>205</v>
      </c>
      <c r="DI649" s="15"/>
      <c r="DJ649" s="15"/>
      <c r="DK649" s="15"/>
      <c r="DL649" s="15"/>
      <c r="DM649" s="15"/>
      <c r="DN649" s="15"/>
      <c r="DO649" s="15"/>
      <c r="DP649" s="15"/>
      <c r="DQ649" s="15"/>
      <c r="DR649" s="15"/>
      <c r="DS649" s="15"/>
      <c r="DT649" s="15"/>
      <c r="DU649" s="15"/>
      <c r="DV649" s="15"/>
      <c r="DW649" s="15"/>
      <c r="DX649" s="15"/>
      <c r="DY649" s="15"/>
      <c r="DZ649" s="15"/>
      <c r="EA649" s="15"/>
      <c r="EB649" s="15"/>
      <c r="EC649" s="16" t="s">
        <v>197</v>
      </c>
      <c r="ED649" s="17" t="s">
        <v>228</v>
      </c>
      <c r="EE649" s="23"/>
      <c r="EF649" s="13" t="s">
        <v>209</v>
      </c>
      <c r="EG649" s="14" t="s">
        <v>179</v>
      </c>
      <c r="EH649" s="14" t="s">
        <v>14404</v>
      </c>
      <c r="EI649" s="15"/>
      <c r="EJ649" s="15"/>
      <c r="EK649" s="15"/>
      <c r="EL649" s="15"/>
      <c r="EM649" s="15"/>
      <c r="EN649" s="15"/>
      <c r="EO649" s="15"/>
      <c r="EP649" s="15"/>
      <c r="EQ649" s="15"/>
      <c r="ER649" s="15"/>
      <c r="ES649" s="15"/>
      <c r="ET649" s="15"/>
      <c r="EU649" s="15"/>
      <c r="EV649" s="15"/>
      <c r="EW649" s="15"/>
      <c r="EX649" s="15"/>
      <c r="EY649" s="15"/>
      <c r="EZ649" s="15"/>
      <c r="FA649" s="15"/>
      <c r="FB649" s="15"/>
      <c r="FC649" s="16" t="s">
        <v>197</v>
      </c>
      <c r="FD649" s="17" t="s">
        <v>198</v>
      </c>
      <c r="FE649" s="18">
        <v>45722.356087962966</v>
      </c>
      <c r="FF649" s="19"/>
      <c r="FG649" s="19"/>
      <c r="FH649" s="21" t="s">
        <v>197</v>
      </c>
      <c r="FI649" s="17" t="s">
        <v>214</v>
      </c>
      <c r="FJ649" s="18">
        <v>45722.356087962966</v>
      </c>
      <c r="FK649" s="14" t="s">
        <v>14404</v>
      </c>
      <c r="FL649" s="14" t="s">
        <v>14405</v>
      </c>
      <c r="FM649" s="14" t="s">
        <v>14406</v>
      </c>
      <c r="FN649" s="19"/>
      <c r="FO649" s="19"/>
      <c r="FP649" s="19" t="str">
        <f t="shared" si="1"/>
        <v>Base de Dados_Images/PSV 022-02- PSV 025-02 E PSV 023-02.Imagem do Equipamento-.193523.jpg</v>
      </c>
      <c r="FQ649" s="14"/>
      <c r="FR649" s="14"/>
    </row>
    <row r="650" ht="15.75" customHeight="1">
      <c r="A650" s="12" t="s">
        <v>292</v>
      </c>
      <c r="B650" s="12" t="s">
        <v>12788</v>
      </c>
      <c r="C650" s="24" t="s">
        <v>14345</v>
      </c>
      <c r="D650" s="12" t="s">
        <v>14407</v>
      </c>
      <c r="E650" s="12" t="s">
        <v>14408</v>
      </c>
      <c r="F650" s="13" t="s">
        <v>178</v>
      </c>
      <c r="G650" s="14" t="s">
        <v>179</v>
      </c>
      <c r="H650" s="14" t="s">
        <v>14409</v>
      </c>
      <c r="I650" s="14" t="s">
        <v>179</v>
      </c>
      <c r="J650" s="14" t="s">
        <v>14410</v>
      </c>
      <c r="K650" s="14" t="s">
        <v>179</v>
      </c>
      <c r="L650" s="14" t="s">
        <v>14411</v>
      </c>
      <c r="M650" s="14" t="s">
        <v>179</v>
      </c>
      <c r="N650" s="14" t="s">
        <v>14412</v>
      </c>
      <c r="O650" s="14" t="s">
        <v>179</v>
      </c>
      <c r="P650" s="14" t="s">
        <v>14413</v>
      </c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6" t="s">
        <v>197</v>
      </c>
      <c r="BP650" s="17" t="s">
        <v>198</v>
      </c>
      <c r="BQ650" s="18">
        <v>45688.52444444445</v>
      </c>
      <c r="BR650" s="17" t="s">
        <v>228</v>
      </c>
      <c r="BS650" s="23"/>
      <c r="BT650" s="17" t="s">
        <v>198</v>
      </c>
      <c r="BU650" s="18">
        <v>45688.52444444445</v>
      </c>
      <c r="BV650" s="13" t="s">
        <v>199</v>
      </c>
      <c r="BW650" s="14" t="s">
        <v>179</v>
      </c>
      <c r="BX650" s="14" t="s">
        <v>14414</v>
      </c>
      <c r="BY650" s="15"/>
      <c r="BZ650" s="15"/>
      <c r="CA650" s="15"/>
      <c r="CB650" s="15"/>
      <c r="CC650" s="15"/>
      <c r="CD650" s="15"/>
      <c r="CE650" s="15"/>
      <c r="CF650" s="15"/>
      <c r="CG650" s="19"/>
      <c r="CH650" s="15"/>
      <c r="CI650" s="19"/>
      <c r="CJ650" s="15"/>
      <c r="CK650" s="19"/>
      <c r="CL650" s="15"/>
      <c r="CM650" s="19"/>
      <c r="CN650" s="15"/>
      <c r="CO650" s="19"/>
      <c r="CP650" s="15"/>
      <c r="CQ650" s="15"/>
      <c r="CR650" s="15"/>
      <c r="CS650" s="19"/>
      <c r="CT650" s="15"/>
      <c r="CU650" s="19"/>
      <c r="CV650" s="15"/>
      <c r="CW650" s="19"/>
      <c r="CX650" s="15"/>
      <c r="CY650" s="19"/>
      <c r="CZ650" s="15"/>
      <c r="DA650" s="16" t="s">
        <v>197</v>
      </c>
      <c r="DB650" s="17" t="s">
        <v>198</v>
      </c>
      <c r="DC650" s="20">
        <v>45693.439305555556</v>
      </c>
      <c r="DD650" s="17" t="s">
        <v>228</v>
      </c>
      <c r="DE650" s="23"/>
      <c r="DF650" s="17" t="s">
        <v>198</v>
      </c>
      <c r="DG650" s="18">
        <v>45693.439305555556</v>
      </c>
      <c r="DH650" s="13" t="s">
        <v>205</v>
      </c>
      <c r="DI650" s="15"/>
      <c r="DJ650" s="15"/>
      <c r="DK650" s="15"/>
      <c r="DL650" s="15"/>
      <c r="DM650" s="15"/>
      <c r="DN650" s="15"/>
      <c r="DO650" s="15"/>
      <c r="DP650" s="15"/>
      <c r="DQ650" s="15"/>
      <c r="DR650" s="15"/>
      <c r="DS650" s="15"/>
      <c r="DT650" s="15"/>
      <c r="DU650" s="15"/>
      <c r="DV650" s="15"/>
      <c r="DW650" s="15"/>
      <c r="DX650" s="15"/>
      <c r="DY650" s="15"/>
      <c r="DZ650" s="15"/>
      <c r="EA650" s="15"/>
      <c r="EB650" s="15"/>
      <c r="EC650" s="16" t="s">
        <v>197</v>
      </c>
      <c r="ED650" s="17" t="s">
        <v>228</v>
      </c>
      <c r="EE650" s="23"/>
      <c r="EF650" s="13" t="s">
        <v>209</v>
      </c>
      <c r="EG650" s="14" t="s">
        <v>179</v>
      </c>
      <c r="EH650" s="14" t="s">
        <v>14415</v>
      </c>
      <c r="EI650" s="15"/>
      <c r="EJ650" s="15"/>
      <c r="EK650" s="15"/>
      <c r="EL650" s="15"/>
      <c r="EM650" s="15"/>
      <c r="EN650" s="15"/>
      <c r="EO650" s="15"/>
      <c r="EP650" s="15"/>
      <c r="EQ650" s="15"/>
      <c r="ER650" s="15"/>
      <c r="ES650" s="15"/>
      <c r="ET650" s="15"/>
      <c r="EU650" s="15"/>
      <c r="EV650" s="15"/>
      <c r="EW650" s="15"/>
      <c r="EX650" s="15"/>
      <c r="EY650" s="15"/>
      <c r="EZ650" s="15"/>
      <c r="FA650" s="15"/>
      <c r="FB650" s="15"/>
      <c r="FC650" s="16" t="s">
        <v>197</v>
      </c>
      <c r="FD650" s="17" t="s">
        <v>198</v>
      </c>
      <c r="FE650" s="18">
        <v>45722.356157407405</v>
      </c>
      <c r="FF650" s="19"/>
      <c r="FG650" s="19"/>
      <c r="FH650" s="21" t="s">
        <v>197</v>
      </c>
      <c r="FI650" s="17" t="s">
        <v>214</v>
      </c>
      <c r="FJ650" s="18">
        <v>45722.356157407405</v>
      </c>
      <c r="FK650" s="14" t="s">
        <v>14415</v>
      </c>
      <c r="FL650" s="14" t="s">
        <v>14416</v>
      </c>
      <c r="FM650" s="14" t="s">
        <v>14417</v>
      </c>
      <c r="FN650" s="19"/>
      <c r="FO650" s="19"/>
      <c r="FP650" s="19" t="str">
        <f t="shared" si="1"/>
        <v>Base de Dados_Images/PSV 02202.Imagem do Equipamento-.160421.jpg</v>
      </c>
      <c r="FQ650" s="14"/>
      <c r="FR650" s="14"/>
    </row>
    <row r="651" ht="15.75" customHeight="1">
      <c r="A651" s="12" t="s">
        <v>292</v>
      </c>
      <c r="B651" s="12" t="s">
        <v>12788</v>
      </c>
      <c r="C651" s="24" t="s">
        <v>14345</v>
      </c>
      <c r="D651" s="12" t="s">
        <v>14418</v>
      </c>
      <c r="E651" s="12" t="s">
        <v>14419</v>
      </c>
      <c r="F651" s="13" t="s">
        <v>178</v>
      </c>
      <c r="G651" s="14" t="s">
        <v>179</v>
      </c>
      <c r="H651" s="14" t="s">
        <v>14420</v>
      </c>
      <c r="I651" s="14" t="s">
        <v>179</v>
      </c>
      <c r="J651" s="14" t="s">
        <v>14421</v>
      </c>
      <c r="K651" s="14" t="s">
        <v>179</v>
      </c>
      <c r="L651" s="14" t="s">
        <v>14422</v>
      </c>
      <c r="M651" s="14" t="s">
        <v>179</v>
      </c>
      <c r="N651" s="14" t="s">
        <v>14423</v>
      </c>
      <c r="O651" s="14" t="s">
        <v>179</v>
      </c>
      <c r="P651" s="14" t="s">
        <v>14424</v>
      </c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6" t="s">
        <v>197</v>
      </c>
      <c r="BP651" s="17" t="s">
        <v>198</v>
      </c>
      <c r="BQ651" s="18">
        <v>45688.52196759259</v>
      </c>
      <c r="BR651" s="17" t="s">
        <v>228</v>
      </c>
      <c r="BS651" s="23"/>
      <c r="BT651" s="17" t="s">
        <v>198</v>
      </c>
      <c r="BU651" s="18">
        <v>45688.52196759259</v>
      </c>
      <c r="BV651" s="13" t="s">
        <v>199</v>
      </c>
      <c r="BW651" s="14" t="s">
        <v>179</v>
      </c>
      <c r="BX651" s="14" t="s">
        <v>14425</v>
      </c>
      <c r="BY651" s="15"/>
      <c r="BZ651" s="15"/>
      <c r="CA651" s="15"/>
      <c r="CB651" s="15"/>
      <c r="CC651" s="15"/>
      <c r="CD651" s="15"/>
      <c r="CE651" s="15"/>
      <c r="CF651" s="15"/>
      <c r="CG651" s="19"/>
      <c r="CH651" s="15"/>
      <c r="CI651" s="19"/>
      <c r="CJ651" s="15"/>
      <c r="CK651" s="19"/>
      <c r="CL651" s="15"/>
      <c r="CM651" s="19"/>
      <c r="CN651" s="15"/>
      <c r="CO651" s="19"/>
      <c r="CP651" s="15"/>
      <c r="CQ651" s="15"/>
      <c r="CR651" s="15"/>
      <c r="CS651" s="19"/>
      <c r="CT651" s="15"/>
      <c r="CU651" s="19"/>
      <c r="CV651" s="15"/>
      <c r="CW651" s="19"/>
      <c r="CX651" s="15"/>
      <c r="CY651" s="19"/>
      <c r="CZ651" s="15"/>
      <c r="DA651" s="16" t="s">
        <v>197</v>
      </c>
      <c r="DB651" s="17" t="s">
        <v>198</v>
      </c>
      <c r="DC651" s="20">
        <v>45693.43891203704</v>
      </c>
      <c r="DD651" s="17" t="s">
        <v>228</v>
      </c>
      <c r="DE651" s="23"/>
      <c r="DF651" s="17" t="s">
        <v>198</v>
      </c>
      <c r="DG651" s="18">
        <v>45693.43891203704</v>
      </c>
      <c r="DH651" s="13" t="s">
        <v>205</v>
      </c>
      <c r="DI651" s="15"/>
      <c r="DJ651" s="15"/>
      <c r="DK651" s="15"/>
      <c r="DL651" s="15"/>
      <c r="DM651" s="15"/>
      <c r="DN651" s="15"/>
      <c r="DO651" s="15"/>
      <c r="DP651" s="15"/>
      <c r="DQ651" s="15"/>
      <c r="DR651" s="15"/>
      <c r="DS651" s="15"/>
      <c r="DT651" s="15"/>
      <c r="DU651" s="15"/>
      <c r="DV651" s="15"/>
      <c r="DW651" s="15"/>
      <c r="DX651" s="15"/>
      <c r="DY651" s="15"/>
      <c r="DZ651" s="15"/>
      <c r="EA651" s="15"/>
      <c r="EB651" s="15"/>
      <c r="EC651" s="16" t="s">
        <v>197</v>
      </c>
      <c r="ED651" s="17" t="s">
        <v>228</v>
      </c>
      <c r="EE651" s="23"/>
      <c r="EF651" s="13" t="s">
        <v>209</v>
      </c>
      <c r="EG651" s="14" t="s">
        <v>179</v>
      </c>
      <c r="EH651" s="14" t="s">
        <v>14426</v>
      </c>
      <c r="EI651" s="15"/>
      <c r="EJ651" s="15"/>
      <c r="EK651" s="15"/>
      <c r="EL651" s="15"/>
      <c r="EM651" s="15"/>
      <c r="EN651" s="15"/>
      <c r="EO651" s="15"/>
      <c r="EP651" s="15"/>
      <c r="EQ651" s="15"/>
      <c r="ER651" s="15"/>
      <c r="ES651" s="15"/>
      <c r="ET651" s="15"/>
      <c r="EU651" s="15"/>
      <c r="EV651" s="15"/>
      <c r="EW651" s="15"/>
      <c r="EX651" s="15"/>
      <c r="EY651" s="15"/>
      <c r="EZ651" s="15"/>
      <c r="FA651" s="15"/>
      <c r="FB651" s="15"/>
      <c r="FC651" s="16" t="s">
        <v>197</v>
      </c>
      <c r="FD651" s="17" t="s">
        <v>198</v>
      </c>
      <c r="FE651" s="18">
        <v>45722.35625</v>
      </c>
      <c r="FF651" s="19"/>
      <c r="FG651" s="19"/>
      <c r="FH651" s="21" t="s">
        <v>197</v>
      </c>
      <c r="FI651" s="17" t="s">
        <v>214</v>
      </c>
      <c r="FJ651" s="18">
        <v>45722.35625</v>
      </c>
      <c r="FK651" s="14" t="s">
        <v>14426</v>
      </c>
      <c r="FL651" s="14" t="s">
        <v>14427</v>
      </c>
      <c r="FM651" s="14" t="s">
        <v>14428</v>
      </c>
      <c r="FN651" s="19"/>
      <c r="FO651" s="19"/>
      <c r="FP651" s="19" t="str">
        <f t="shared" si="1"/>
        <v>Base de Dados_Images/PSV 030-02 - PSV 63485.Imagem do Equipamento-.160314.jpg</v>
      </c>
      <c r="FQ651" s="14"/>
      <c r="FR651" s="14"/>
    </row>
    <row r="652" ht="15.75" customHeight="1">
      <c r="A652" s="12" t="s">
        <v>547</v>
      </c>
      <c r="B652" s="12" t="s">
        <v>12788</v>
      </c>
      <c r="C652" s="24" t="s">
        <v>14345</v>
      </c>
      <c r="D652" s="12" t="s">
        <v>14429</v>
      </c>
      <c r="E652" s="12" t="s">
        <v>14430</v>
      </c>
      <c r="F652" s="13" t="s">
        <v>178</v>
      </c>
      <c r="G652" s="14" t="s">
        <v>179</v>
      </c>
      <c r="H652" s="14" t="s">
        <v>14431</v>
      </c>
      <c r="I652" s="14" t="s">
        <v>179</v>
      </c>
      <c r="J652" s="14" t="s">
        <v>14432</v>
      </c>
      <c r="K652" s="14" t="s">
        <v>179</v>
      </c>
      <c r="L652" s="14" t="s">
        <v>14433</v>
      </c>
      <c r="M652" s="14" t="s">
        <v>179</v>
      </c>
      <c r="N652" s="14" t="s">
        <v>14434</v>
      </c>
      <c r="O652" s="14" t="s">
        <v>179</v>
      </c>
      <c r="P652" s="14" t="s">
        <v>14435</v>
      </c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6" t="s">
        <v>197</v>
      </c>
      <c r="BP652" s="17" t="s">
        <v>198</v>
      </c>
      <c r="BQ652" s="18">
        <v>45692.700057870374</v>
      </c>
      <c r="BR652" s="17" t="s">
        <v>228</v>
      </c>
      <c r="BS652" s="23"/>
      <c r="BT652" s="17" t="s">
        <v>198</v>
      </c>
      <c r="BU652" s="18">
        <v>45692.700057870374</v>
      </c>
      <c r="BV652" s="13" t="s">
        <v>199</v>
      </c>
      <c r="BW652" s="14" t="s">
        <v>179</v>
      </c>
      <c r="BX652" s="14" t="s">
        <v>14436</v>
      </c>
      <c r="BY652" s="15"/>
      <c r="BZ652" s="15"/>
      <c r="CA652" s="15"/>
      <c r="CB652" s="15"/>
      <c r="CC652" s="15"/>
      <c r="CD652" s="15"/>
      <c r="CE652" s="15"/>
      <c r="CF652" s="15"/>
      <c r="CG652" s="19"/>
      <c r="CH652" s="15"/>
      <c r="CI652" s="19"/>
      <c r="CJ652" s="15"/>
      <c r="CK652" s="19"/>
      <c r="CL652" s="15"/>
      <c r="CM652" s="19"/>
      <c r="CN652" s="15"/>
      <c r="CO652" s="19"/>
      <c r="CP652" s="15"/>
      <c r="CQ652" s="15"/>
      <c r="CR652" s="15"/>
      <c r="CS652" s="19"/>
      <c r="CT652" s="15"/>
      <c r="CU652" s="19"/>
      <c r="CV652" s="15"/>
      <c r="CW652" s="19"/>
      <c r="CX652" s="15"/>
      <c r="CY652" s="19"/>
      <c r="CZ652" s="15"/>
      <c r="DA652" s="16" t="s">
        <v>197</v>
      </c>
      <c r="DB652" s="17" t="s">
        <v>198</v>
      </c>
      <c r="DC652" s="20">
        <v>45692.70011574074</v>
      </c>
      <c r="DD652" s="17" t="s">
        <v>228</v>
      </c>
      <c r="DE652" s="23"/>
      <c r="DF652" s="17" t="s">
        <v>198</v>
      </c>
      <c r="DG652" s="18">
        <v>45692.70011574074</v>
      </c>
      <c r="DH652" s="13" t="s">
        <v>205</v>
      </c>
      <c r="DI652" s="15"/>
      <c r="DJ652" s="15"/>
      <c r="DK652" s="15"/>
      <c r="DL652" s="15"/>
      <c r="DM652" s="15"/>
      <c r="DN652" s="15"/>
      <c r="DO652" s="15"/>
      <c r="DP652" s="15"/>
      <c r="DQ652" s="15"/>
      <c r="DR652" s="15"/>
      <c r="DS652" s="15"/>
      <c r="DT652" s="15"/>
      <c r="DU652" s="15"/>
      <c r="DV652" s="15"/>
      <c r="DW652" s="15"/>
      <c r="DX652" s="15"/>
      <c r="DY652" s="15"/>
      <c r="DZ652" s="15"/>
      <c r="EA652" s="15"/>
      <c r="EB652" s="15"/>
      <c r="EC652" s="16" t="s">
        <v>197</v>
      </c>
      <c r="ED652" s="17" t="s">
        <v>228</v>
      </c>
      <c r="EE652" s="23"/>
      <c r="EF652" s="13" t="s">
        <v>209</v>
      </c>
      <c r="EG652" s="14" t="s">
        <v>179</v>
      </c>
      <c r="EH652" s="14" t="s">
        <v>14437</v>
      </c>
      <c r="EI652" s="15"/>
      <c r="EJ652" s="15"/>
      <c r="EK652" s="15"/>
      <c r="EL652" s="15"/>
      <c r="EM652" s="15"/>
      <c r="EN652" s="15"/>
      <c r="EO652" s="15"/>
      <c r="EP652" s="15"/>
      <c r="EQ652" s="15"/>
      <c r="ER652" s="15"/>
      <c r="ES652" s="15"/>
      <c r="ET652" s="15"/>
      <c r="EU652" s="15"/>
      <c r="EV652" s="15"/>
      <c r="EW652" s="15"/>
      <c r="EX652" s="15"/>
      <c r="EY652" s="15"/>
      <c r="EZ652" s="15"/>
      <c r="FA652" s="15"/>
      <c r="FB652" s="15"/>
      <c r="FC652" s="16" t="s">
        <v>197</v>
      </c>
      <c r="FD652" s="17" t="s">
        <v>198</v>
      </c>
      <c r="FE652" s="18">
        <v>45720.612650462965</v>
      </c>
      <c r="FF652" s="14" t="s">
        <v>14438</v>
      </c>
      <c r="FG652" s="19"/>
      <c r="FH652" s="17" t="s">
        <v>198</v>
      </c>
      <c r="FI652" s="17" t="s">
        <v>214</v>
      </c>
      <c r="FJ652" s="18">
        <v>45720.612650462965</v>
      </c>
      <c r="FK652" s="14" t="s">
        <v>14439</v>
      </c>
      <c r="FL652" s="14" t="s">
        <v>14440</v>
      </c>
      <c r="FM652" s="14" t="s">
        <v>14441</v>
      </c>
      <c r="FN652" s="19"/>
      <c r="FO652" s="19"/>
      <c r="FP652" s="19" t="str">
        <f t="shared" si="1"/>
        <v>Base de Dados_Images/PSV 16A &amp; PSV16B.Imagem do Equipamento-.134615.jpg</v>
      </c>
      <c r="FQ652" s="14"/>
      <c r="FR652" s="14"/>
    </row>
    <row r="653" ht="15.75" customHeight="1">
      <c r="A653" s="12" t="s">
        <v>547</v>
      </c>
      <c r="B653" s="12" t="s">
        <v>12788</v>
      </c>
      <c r="C653" s="24" t="s">
        <v>14345</v>
      </c>
      <c r="D653" s="12" t="s">
        <v>14442</v>
      </c>
      <c r="E653" s="12" t="s">
        <v>14443</v>
      </c>
      <c r="F653" s="13" t="s">
        <v>178</v>
      </c>
      <c r="G653" s="14" t="s">
        <v>179</v>
      </c>
      <c r="H653" s="14" t="s">
        <v>14444</v>
      </c>
      <c r="I653" s="14" t="s">
        <v>179</v>
      </c>
      <c r="J653" s="14" t="s">
        <v>14445</v>
      </c>
      <c r="K653" s="14" t="s">
        <v>179</v>
      </c>
      <c r="L653" s="14" t="s">
        <v>14446</v>
      </c>
      <c r="M653" s="14" t="s">
        <v>179</v>
      </c>
      <c r="N653" s="14" t="s">
        <v>14447</v>
      </c>
      <c r="O653" s="14" t="s">
        <v>179</v>
      </c>
      <c r="P653" s="14" t="s">
        <v>14448</v>
      </c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6" t="s">
        <v>197</v>
      </c>
      <c r="BP653" s="17" t="s">
        <v>198</v>
      </c>
      <c r="BQ653" s="18">
        <v>45692.699479166666</v>
      </c>
      <c r="BR653" s="17" t="s">
        <v>228</v>
      </c>
      <c r="BS653" s="23"/>
      <c r="BT653" s="17" t="s">
        <v>198</v>
      </c>
      <c r="BU653" s="18">
        <v>45692.699479166666</v>
      </c>
      <c r="BV653" s="13" t="s">
        <v>199</v>
      </c>
      <c r="BW653" s="14" t="s">
        <v>179</v>
      </c>
      <c r="BX653" s="14" t="s">
        <v>14449</v>
      </c>
      <c r="BY653" s="15"/>
      <c r="BZ653" s="15"/>
      <c r="CA653" s="15"/>
      <c r="CB653" s="15"/>
      <c r="CC653" s="15"/>
      <c r="CD653" s="15"/>
      <c r="CE653" s="15"/>
      <c r="CF653" s="15"/>
      <c r="CG653" s="19"/>
      <c r="CH653" s="15"/>
      <c r="CI653" s="19"/>
      <c r="CJ653" s="15"/>
      <c r="CK653" s="19"/>
      <c r="CL653" s="15"/>
      <c r="CM653" s="19"/>
      <c r="CN653" s="15"/>
      <c r="CO653" s="19"/>
      <c r="CP653" s="15"/>
      <c r="CQ653" s="15"/>
      <c r="CR653" s="15"/>
      <c r="CS653" s="19"/>
      <c r="CT653" s="15"/>
      <c r="CU653" s="19"/>
      <c r="CV653" s="15"/>
      <c r="CW653" s="19"/>
      <c r="CX653" s="15"/>
      <c r="CY653" s="19"/>
      <c r="CZ653" s="15"/>
      <c r="DA653" s="16" t="s">
        <v>197</v>
      </c>
      <c r="DB653" s="17" t="s">
        <v>198</v>
      </c>
      <c r="DC653" s="20">
        <v>45692.699525462966</v>
      </c>
      <c r="DD653" s="17" t="s">
        <v>228</v>
      </c>
      <c r="DE653" s="23"/>
      <c r="DF653" s="17" t="s">
        <v>198</v>
      </c>
      <c r="DG653" s="18">
        <v>45692.699525462966</v>
      </c>
      <c r="DH653" s="13" t="s">
        <v>205</v>
      </c>
      <c r="DI653" s="15"/>
      <c r="DJ653" s="15"/>
      <c r="DK653" s="15"/>
      <c r="DL653" s="15"/>
      <c r="DM653" s="15"/>
      <c r="DN653" s="15"/>
      <c r="DO653" s="15"/>
      <c r="DP653" s="15"/>
      <c r="DQ653" s="15"/>
      <c r="DR653" s="15"/>
      <c r="DS653" s="15"/>
      <c r="DT653" s="15"/>
      <c r="DU653" s="15"/>
      <c r="DV653" s="15"/>
      <c r="DW653" s="15"/>
      <c r="DX653" s="15"/>
      <c r="DY653" s="15"/>
      <c r="DZ653" s="15"/>
      <c r="EA653" s="15"/>
      <c r="EB653" s="15"/>
      <c r="EC653" s="16" t="s">
        <v>197</v>
      </c>
      <c r="ED653" s="17" t="s">
        <v>228</v>
      </c>
      <c r="EE653" s="23"/>
      <c r="EF653" s="13" t="s">
        <v>209</v>
      </c>
      <c r="EG653" s="14" t="s">
        <v>179</v>
      </c>
      <c r="EH653" s="14" t="s">
        <v>14450</v>
      </c>
      <c r="EI653" s="15"/>
      <c r="EJ653" s="15"/>
      <c r="EK653" s="15"/>
      <c r="EL653" s="15"/>
      <c r="EM653" s="15"/>
      <c r="EN653" s="15"/>
      <c r="EO653" s="15"/>
      <c r="EP653" s="15"/>
      <c r="EQ653" s="15"/>
      <c r="ER653" s="15"/>
      <c r="ES653" s="15"/>
      <c r="ET653" s="15"/>
      <c r="EU653" s="15"/>
      <c r="EV653" s="15"/>
      <c r="EW653" s="15"/>
      <c r="EX653" s="15"/>
      <c r="EY653" s="15"/>
      <c r="EZ653" s="15"/>
      <c r="FA653" s="15"/>
      <c r="FB653" s="15"/>
      <c r="FC653" s="16" t="s">
        <v>197</v>
      </c>
      <c r="FD653" s="17" t="s">
        <v>198</v>
      </c>
      <c r="FE653" s="18">
        <v>45720.61273148148</v>
      </c>
      <c r="FF653" s="14" t="s">
        <v>14438</v>
      </c>
      <c r="FG653" s="19"/>
      <c r="FH653" s="17" t="s">
        <v>198</v>
      </c>
      <c r="FI653" s="17" t="s">
        <v>214</v>
      </c>
      <c r="FJ653" s="18">
        <v>45720.61273148148</v>
      </c>
      <c r="FK653" s="14" t="s">
        <v>14450</v>
      </c>
      <c r="FL653" s="14" t="s">
        <v>14451</v>
      </c>
      <c r="FM653" s="14" t="s">
        <v>14452</v>
      </c>
      <c r="FN653" s="19"/>
      <c r="FO653" s="19"/>
      <c r="FP653" s="19" t="str">
        <f t="shared" si="1"/>
        <v>Base de Dados_Images/PSV 627180.Imagem do Equipamento-.134548.jpg</v>
      </c>
      <c r="FQ653" s="14"/>
      <c r="FR653" s="14"/>
    </row>
    <row r="654" ht="15.75" customHeight="1">
      <c r="A654" s="12" t="s">
        <v>547</v>
      </c>
      <c r="B654" s="12" t="s">
        <v>12788</v>
      </c>
      <c r="C654" s="24" t="s">
        <v>14345</v>
      </c>
      <c r="D654" s="12" t="s">
        <v>14453</v>
      </c>
      <c r="E654" s="12" t="s">
        <v>14454</v>
      </c>
      <c r="F654" s="13" t="s">
        <v>178</v>
      </c>
      <c r="G654" s="14" t="s">
        <v>179</v>
      </c>
      <c r="H654" s="14" t="s">
        <v>14455</v>
      </c>
      <c r="I654" s="14" t="s">
        <v>179</v>
      </c>
      <c r="J654" s="14" t="s">
        <v>14456</v>
      </c>
      <c r="K654" s="14" t="s">
        <v>179</v>
      </c>
      <c r="L654" s="14" t="s">
        <v>14457</v>
      </c>
      <c r="M654" s="14" t="s">
        <v>179</v>
      </c>
      <c r="N654" s="14" t="s">
        <v>14458</v>
      </c>
      <c r="O654" s="14" t="s">
        <v>179</v>
      </c>
      <c r="P654" s="14" t="s">
        <v>14459</v>
      </c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6" t="s">
        <v>197</v>
      </c>
      <c r="BP654" s="17" t="s">
        <v>198</v>
      </c>
      <c r="BQ654" s="18">
        <v>45692.699791666666</v>
      </c>
      <c r="BR654" s="17" t="s">
        <v>228</v>
      </c>
      <c r="BS654" s="23"/>
      <c r="BT654" s="17" t="s">
        <v>198</v>
      </c>
      <c r="BU654" s="18">
        <v>45692.699791666666</v>
      </c>
      <c r="BV654" s="13" t="s">
        <v>199</v>
      </c>
      <c r="BW654" s="14" t="s">
        <v>179</v>
      </c>
      <c r="BX654" s="14" t="s">
        <v>14460</v>
      </c>
      <c r="BY654" s="15"/>
      <c r="BZ654" s="15"/>
      <c r="CA654" s="15"/>
      <c r="CB654" s="15"/>
      <c r="CC654" s="15"/>
      <c r="CD654" s="15"/>
      <c r="CE654" s="15"/>
      <c r="CF654" s="15"/>
      <c r="CG654" s="19"/>
      <c r="CH654" s="15"/>
      <c r="CI654" s="19"/>
      <c r="CJ654" s="15"/>
      <c r="CK654" s="19"/>
      <c r="CL654" s="15"/>
      <c r="CM654" s="19"/>
      <c r="CN654" s="15"/>
      <c r="CO654" s="19"/>
      <c r="CP654" s="15"/>
      <c r="CQ654" s="15"/>
      <c r="CR654" s="15"/>
      <c r="CS654" s="19"/>
      <c r="CT654" s="15"/>
      <c r="CU654" s="19"/>
      <c r="CV654" s="15"/>
      <c r="CW654" s="19"/>
      <c r="CX654" s="15"/>
      <c r="CY654" s="19"/>
      <c r="CZ654" s="15"/>
      <c r="DA654" s="16" t="s">
        <v>197</v>
      </c>
      <c r="DB654" s="17" t="s">
        <v>198</v>
      </c>
      <c r="DC654" s="20">
        <v>45692.699837962966</v>
      </c>
      <c r="DD654" s="17" t="s">
        <v>228</v>
      </c>
      <c r="DE654" s="23"/>
      <c r="DF654" s="17" t="s">
        <v>198</v>
      </c>
      <c r="DG654" s="18">
        <v>45692.699837962966</v>
      </c>
      <c r="DH654" s="13" t="s">
        <v>205</v>
      </c>
      <c r="DI654" s="15"/>
      <c r="DJ654" s="15"/>
      <c r="DK654" s="15"/>
      <c r="DL654" s="15"/>
      <c r="DM654" s="15"/>
      <c r="DN654" s="15"/>
      <c r="DO654" s="15"/>
      <c r="DP654" s="15"/>
      <c r="DQ654" s="15"/>
      <c r="DR654" s="15"/>
      <c r="DS654" s="15"/>
      <c r="DT654" s="15"/>
      <c r="DU654" s="15"/>
      <c r="DV654" s="15"/>
      <c r="DW654" s="15"/>
      <c r="DX654" s="15"/>
      <c r="DY654" s="15"/>
      <c r="DZ654" s="15"/>
      <c r="EA654" s="15"/>
      <c r="EB654" s="15"/>
      <c r="EC654" s="16" t="s">
        <v>197</v>
      </c>
      <c r="ED654" s="17" t="s">
        <v>228</v>
      </c>
      <c r="EE654" s="23"/>
      <c r="EF654" s="13" t="s">
        <v>209</v>
      </c>
      <c r="EG654" s="14" t="s">
        <v>179</v>
      </c>
      <c r="EH654" s="14" t="s">
        <v>14461</v>
      </c>
      <c r="EI654" s="15"/>
      <c r="EJ654" s="15"/>
      <c r="EK654" s="15"/>
      <c r="EL654" s="15"/>
      <c r="EM654" s="15"/>
      <c r="EN654" s="15"/>
      <c r="EO654" s="15"/>
      <c r="EP654" s="15"/>
      <c r="EQ654" s="15"/>
      <c r="ER654" s="15"/>
      <c r="ES654" s="15"/>
      <c r="ET654" s="15"/>
      <c r="EU654" s="15"/>
      <c r="EV654" s="15"/>
      <c r="EW654" s="15"/>
      <c r="EX654" s="15"/>
      <c r="EY654" s="15"/>
      <c r="EZ654" s="15"/>
      <c r="FA654" s="15"/>
      <c r="FB654" s="15"/>
      <c r="FC654" s="16" t="s">
        <v>197</v>
      </c>
      <c r="FD654" s="17" t="s">
        <v>198</v>
      </c>
      <c r="FE654" s="18">
        <v>45720.61278935185</v>
      </c>
      <c r="FF654" s="14" t="s">
        <v>14438</v>
      </c>
      <c r="FG654" s="19"/>
      <c r="FH654" s="17" t="s">
        <v>198</v>
      </c>
      <c r="FI654" s="17" t="s">
        <v>214</v>
      </c>
      <c r="FJ654" s="18">
        <v>45720.61278935185</v>
      </c>
      <c r="FK654" s="14" t="s">
        <v>14461</v>
      </c>
      <c r="FL654" s="14" t="s">
        <v>14462</v>
      </c>
      <c r="FM654" s="14" t="s">
        <v>14463</v>
      </c>
      <c r="FN654" s="19"/>
      <c r="FO654" s="19"/>
      <c r="FP654" s="19" t="str">
        <f t="shared" si="1"/>
        <v>Base de Dados_Images/PSV 627877.Imagem do Equipamento-.134602.jpg</v>
      </c>
      <c r="FQ654" s="14"/>
      <c r="FR654" s="14"/>
    </row>
    <row r="655" ht="15.75" customHeight="1">
      <c r="A655" s="12" t="s">
        <v>217</v>
      </c>
      <c r="B655" s="12" t="s">
        <v>12788</v>
      </c>
      <c r="C655" s="12" t="s">
        <v>219</v>
      </c>
      <c r="D655" s="12" t="s">
        <v>14464</v>
      </c>
      <c r="E655" s="12" t="s">
        <v>14465</v>
      </c>
      <c r="F655" s="13" t="s">
        <v>178</v>
      </c>
      <c r="G655" s="14" t="s">
        <v>179</v>
      </c>
      <c r="H655" s="14" t="s">
        <v>14466</v>
      </c>
      <c r="I655" s="14" t="s">
        <v>179</v>
      </c>
      <c r="J655" s="14" t="s">
        <v>14467</v>
      </c>
      <c r="K655" s="14" t="s">
        <v>179</v>
      </c>
      <c r="L655" s="14" t="s">
        <v>14468</v>
      </c>
      <c r="M655" s="14" t="s">
        <v>179</v>
      </c>
      <c r="N655" s="14" t="s">
        <v>14469</v>
      </c>
      <c r="O655" s="14" t="s">
        <v>179</v>
      </c>
      <c r="P655" s="14" t="s">
        <v>14470</v>
      </c>
      <c r="Q655" s="14" t="s">
        <v>179</v>
      </c>
      <c r="R655" s="14" t="s">
        <v>14471</v>
      </c>
      <c r="S655" s="14" t="s">
        <v>179</v>
      </c>
      <c r="T655" s="14" t="s">
        <v>14472</v>
      </c>
      <c r="U655" s="14" t="s">
        <v>179</v>
      </c>
      <c r="V655" s="14" t="s">
        <v>14473</v>
      </c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6" t="s">
        <v>197</v>
      </c>
      <c r="BP655" s="17" t="s">
        <v>228</v>
      </c>
      <c r="BQ655" s="23"/>
      <c r="BR655" s="17" t="s">
        <v>198</v>
      </c>
      <c r="BS655" s="18">
        <v>45692.58378472222</v>
      </c>
      <c r="BT655" s="17" t="s">
        <v>198</v>
      </c>
      <c r="BU655" s="18">
        <v>45692.58378472222</v>
      </c>
      <c r="BV655" s="13" t="s">
        <v>199</v>
      </c>
      <c r="BW655" s="14" t="s">
        <v>179</v>
      </c>
      <c r="BX655" s="14" t="s">
        <v>14474</v>
      </c>
      <c r="BY655" s="14" t="s">
        <v>188</v>
      </c>
      <c r="BZ655" s="14" t="s">
        <v>14475</v>
      </c>
      <c r="CA655" s="15"/>
      <c r="CB655" s="15"/>
      <c r="CC655" s="15"/>
      <c r="CD655" s="15"/>
      <c r="CE655" s="15"/>
      <c r="CF655" s="15"/>
      <c r="CG655" s="19"/>
      <c r="CH655" s="15"/>
      <c r="CI655" s="19"/>
      <c r="CJ655" s="15"/>
      <c r="CK655" s="19"/>
      <c r="CL655" s="15"/>
      <c r="CM655" s="19"/>
      <c r="CN655" s="15"/>
      <c r="CO655" s="19"/>
      <c r="CP655" s="15"/>
      <c r="CQ655" s="15"/>
      <c r="CR655" s="15"/>
      <c r="CS655" s="19"/>
      <c r="CT655" s="15"/>
      <c r="CU655" s="19"/>
      <c r="CV655" s="15"/>
      <c r="CW655" s="19"/>
      <c r="CX655" s="15"/>
      <c r="CY655" s="19"/>
      <c r="CZ655" s="15"/>
      <c r="DA655" s="16" t="s">
        <v>197</v>
      </c>
      <c r="DB655" s="17" t="s">
        <v>228</v>
      </c>
      <c r="DC655" s="16"/>
      <c r="DD655" s="17" t="s">
        <v>198</v>
      </c>
      <c r="DE655" s="18">
        <v>45695.636828703704</v>
      </c>
      <c r="DF655" s="17" t="s">
        <v>198</v>
      </c>
      <c r="DG655" s="18">
        <v>45695.636828703704</v>
      </c>
      <c r="DH655" s="13" t="s">
        <v>205</v>
      </c>
      <c r="DI655" s="14" t="s">
        <v>179</v>
      </c>
      <c r="DJ655" s="14" t="s">
        <v>14476</v>
      </c>
      <c r="DK655" s="15"/>
      <c r="DL655" s="15"/>
      <c r="DM655" s="15"/>
      <c r="DN655" s="15"/>
      <c r="DO655" s="15"/>
      <c r="DP655" s="15"/>
      <c r="DQ655" s="15"/>
      <c r="DR655" s="15"/>
      <c r="DS655" s="15"/>
      <c r="DT655" s="15"/>
      <c r="DU655" s="15"/>
      <c r="DV655" s="15"/>
      <c r="DW655" s="15"/>
      <c r="DX655" s="15"/>
      <c r="DY655" s="15"/>
      <c r="DZ655" s="15"/>
      <c r="EA655" s="15"/>
      <c r="EB655" s="15"/>
      <c r="EC655" s="16" t="s">
        <v>197</v>
      </c>
      <c r="ED655" s="17" t="s">
        <v>198</v>
      </c>
      <c r="EE655" s="18">
        <v>45695.63690972222</v>
      </c>
      <c r="EF655" s="13" t="s">
        <v>209</v>
      </c>
      <c r="EG655" s="14" t="s">
        <v>179</v>
      </c>
      <c r="EH655" s="14" t="s">
        <v>14477</v>
      </c>
      <c r="EI655" s="15"/>
      <c r="EJ655" s="15"/>
      <c r="EK655" s="15"/>
      <c r="EL655" s="15"/>
      <c r="EM655" s="15"/>
      <c r="EN655" s="15"/>
      <c r="EO655" s="15"/>
      <c r="EP655" s="15"/>
      <c r="EQ655" s="15"/>
      <c r="ER655" s="15"/>
      <c r="ES655" s="15"/>
      <c r="ET655" s="15"/>
      <c r="EU655" s="15"/>
      <c r="EV655" s="15"/>
      <c r="EW655" s="15"/>
      <c r="EX655" s="15"/>
      <c r="EY655" s="15"/>
      <c r="EZ655" s="15"/>
      <c r="FA655" s="15"/>
      <c r="FB655" s="15"/>
      <c r="FC655" s="16" t="s">
        <v>197</v>
      </c>
      <c r="FD655" s="17" t="s">
        <v>198</v>
      </c>
      <c r="FE655" s="18">
        <v>45708.52798611111</v>
      </c>
      <c r="FF655" s="19"/>
      <c r="FG655" s="19"/>
      <c r="FH655" s="21" t="s">
        <v>197</v>
      </c>
      <c r="FI655" s="17" t="s">
        <v>214</v>
      </c>
      <c r="FJ655" s="18">
        <v>45708.52798611111</v>
      </c>
      <c r="FK655" s="14" t="s">
        <v>14478</v>
      </c>
      <c r="FL655" s="19"/>
      <c r="FM655" s="19"/>
      <c r="FN655" s="19"/>
      <c r="FO655" s="19"/>
      <c r="FP655" s="19" t="str">
        <f t="shared" si="1"/>
        <v/>
      </c>
      <c r="FQ655" s="14" t="s">
        <v>215</v>
      </c>
      <c r="FR655" s="14" t="s">
        <v>14479</v>
      </c>
    </row>
    <row r="656" ht="15.75" customHeight="1">
      <c r="A656" s="12" t="s">
        <v>217</v>
      </c>
      <c r="B656" s="12" t="s">
        <v>12788</v>
      </c>
      <c r="C656" s="12" t="s">
        <v>219</v>
      </c>
      <c r="D656" s="12" t="s">
        <v>14480</v>
      </c>
      <c r="E656" s="12" t="s">
        <v>14481</v>
      </c>
      <c r="F656" s="13" t="s">
        <v>178</v>
      </c>
      <c r="G656" s="14" t="s">
        <v>179</v>
      </c>
      <c r="H656" s="14" t="s">
        <v>14482</v>
      </c>
      <c r="I656" s="14" t="s">
        <v>179</v>
      </c>
      <c r="J656" s="14" t="s">
        <v>14483</v>
      </c>
      <c r="K656" s="14" t="s">
        <v>179</v>
      </c>
      <c r="L656" s="14" t="s">
        <v>14484</v>
      </c>
      <c r="M656" s="14" t="s">
        <v>179</v>
      </c>
      <c r="N656" s="14" t="s">
        <v>14485</v>
      </c>
      <c r="O656" s="14" t="s">
        <v>179</v>
      </c>
      <c r="P656" s="14" t="s">
        <v>14486</v>
      </c>
      <c r="Q656" s="14" t="s">
        <v>179</v>
      </c>
      <c r="R656" s="14" t="s">
        <v>14487</v>
      </c>
      <c r="S656" s="14" t="s">
        <v>179</v>
      </c>
      <c r="T656" s="14" t="s">
        <v>14488</v>
      </c>
      <c r="U656" s="14" t="s">
        <v>179</v>
      </c>
      <c r="V656" s="14" t="s">
        <v>14489</v>
      </c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6" t="s">
        <v>197</v>
      </c>
      <c r="BP656" s="17" t="s">
        <v>228</v>
      </c>
      <c r="BQ656" s="23"/>
      <c r="BR656" s="17" t="s">
        <v>198</v>
      </c>
      <c r="BS656" s="18">
        <v>45692.584085648145</v>
      </c>
      <c r="BT656" s="17" t="s">
        <v>198</v>
      </c>
      <c r="BU656" s="18">
        <v>45692.584085648145</v>
      </c>
      <c r="BV656" s="13" t="s">
        <v>199</v>
      </c>
      <c r="BW656" s="14" t="s">
        <v>179</v>
      </c>
      <c r="BX656" s="14" t="s">
        <v>14490</v>
      </c>
      <c r="BY656" s="14" t="s">
        <v>188</v>
      </c>
      <c r="BZ656" s="14" t="s">
        <v>14490</v>
      </c>
      <c r="CA656" s="15"/>
      <c r="CB656" s="15"/>
      <c r="CC656" s="15"/>
      <c r="CD656" s="15"/>
      <c r="CE656" s="15"/>
      <c r="CF656" s="15"/>
      <c r="CG656" s="19"/>
      <c r="CH656" s="15"/>
      <c r="CI656" s="19"/>
      <c r="CJ656" s="15"/>
      <c r="CK656" s="19"/>
      <c r="CL656" s="15"/>
      <c r="CM656" s="19"/>
      <c r="CN656" s="15"/>
      <c r="CO656" s="19"/>
      <c r="CP656" s="15"/>
      <c r="CQ656" s="15"/>
      <c r="CR656" s="15"/>
      <c r="CS656" s="19"/>
      <c r="CT656" s="15"/>
      <c r="CU656" s="19"/>
      <c r="CV656" s="15"/>
      <c r="CW656" s="19"/>
      <c r="CX656" s="15"/>
      <c r="CY656" s="19"/>
      <c r="CZ656" s="15"/>
      <c r="DA656" s="16" t="s">
        <v>197</v>
      </c>
      <c r="DB656" s="17" t="s">
        <v>228</v>
      </c>
      <c r="DC656" s="16"/>
      <c r="DD656" s="17" t="s">
        <v>198</v>
      </c>
      <c r="DE656" s="18">
        <v>45695.63699074074</v>
      </c>
      <c r="DF656" s="17" t="s">
        <v>198</v>
      </c>
      <c r="DG656" s="18">
        <v>45695.63699074074</v>
      </c>
      <c r="DH656" s="13" t="s">
        <v>205</v>
      </c>
      <c r="DI656" s="14" t="s">
        <v>179</v>
      </c>
      <c r="DJ656" s="14" t="s">
        <v>14491</v>
      </c>
      <c r="DK656" s="15"/>
      <c r="DL656" s="15"/>
      <c r="DM656" s="15"/>
      <c r="DN656" s="15"/>
      <c r="DO656" s="15"/>
      <c r="DP656" s="15"/>
      <c r="DQ656" s="15"/>
      <c r="DR656" s="15"/>
      <c r="DS656" s="15"/>
      <c r="DT656" s="15"/>
      <c r="DU656" s="15"/>
      <c r="DV656" s="15"/>
      <c r="DW656" s="15"/>
      <c r="DX656" s="15"/>
      <c r="DY656" s="15"/>
      <c r="DZ656" s="15"/>
      <c r="EA656" s="15"/>
      <c r="EB656" s="15"/>
      <c r="EC656" s="16" t="s">
        <v>197</v>
      </c>
      <c r="ED656" s="17" t="s">
        <v>198</v>
      </c>
      <c r="EE656" s="18">
        <v>45708.52835648148</v>
      </c>
      <c r="EF656" s="13" t="s">
        <v>209</v>
      </c>
      <c r="EG656" s="14" t="s">
        <v>179</v>
      </c>
      <c r="EH656" s="14" t="s">
        <v>14492</v>
      </c>
      <c r="EI656" s="15"/>
      <c r="EJ656" s="15"/>
      <c r="EK656" s="15"/>
      <c r="EL656" s="15"/>
      <c r="EM656" s="15"/>
      <c r="EN656" s="15"/>
      <c r="EO656" s="15"/>
      <c r="EP656" s="15"/>
      <c r="EQ656" s="15"/>
      <c r="ER656" s="15"/>
      <c r="ES656" s="15"/>
      <c r="ET656" s="15"/>
      <c r="EU656" s="15"/>
      <c r="EV656" s="15"/>
      <c r="EW656" s="15"/>
      <c r="EX656" s="15"/>
      <c r="EY656" s="15"/>
      <c r="EZ656" s="15"/>
      <c r="FA656" s="15"/>
      <c r="FB656" s="15"/>
      <c r="FC656" s="16" t="s">
        <v>197</v>
      </c>
      <c r="FD656" s="17" t="s">
        <v>198</v>
      </c>
      <c r="FE656" s="18">
        <v>45708.5284837963</v>
      </c>
      <c r="FF656" s="19"/>
      <c r="FG656" s="19"/>
      <c r="FH656" s="21" t="s">
        <v>197</v>
      </c>
      <c r="FI656" s="17" t="s">
        <v>214</v>
      </c>
      <c r="FJ656" s="18">
        <v>45708.5284837963</v>
      </c>
      <c r="FK656" s="14" t="s">
        <v>14492</v>
      </c>
      <c r="FL656" s="19"/>
      <c r="FM656" s="19"/>
      <c r="FN656" s="19"/>
      <c r="FO656" s="19"/>
      <c r="FP656" s="19" t="str">
        <f t="shared" si="1"/>
        <v/>
      </c>
      <c r="FQ656" s="14" t="s">
        <v>215</v>
      </c>
      <c r="FR656" s="14" t="s">
        <v>14493</v>
      </c>
    </row>
    <row r="657" ht="15.75" customHeight="1">
      <c r="A657" s="12" t="s">
        <v>292</v>
      </c>
      <c r="B657" s="12" t="s">
        <v>12788</v>
      </c>
      <c r="C657" s="24" t="s">
        <v>14345</v>
      </c>
      <c r="D657" s="12" t="s">
        <v>14494</v>
      </c>
      <c r="E657" s="12" t="s">
        <v>14495</v>
      </c>
      <c r="F657" s="13" t="s">
        <v>178</v>
      </c>
      <c r="G657" s="14" t="s">
        <v>179</v>
      </c>
      <c r="H657" s="14" t="s">
        <v>14496</v>
      </c>
      <c r="I657" s="14" t="s">
        <v>179</v>
      </c>
      <c r="J657" s="14" t="s">
        <v>14497</v>
      </c>
      <c r="K657" s="14" t="s">
        <v>179</v>
      </c>
      <c r="L657" s="14" t="s">
        <v>14498</v>
      </c>
      <c r="M657" s="14" t="s">
        <v>179</v>
      </c>
      <c r="N657" s="14" t="s">
        <v>14499</v>
      </c>
      <c r="O657" s="14" t="s">
        <v>179</v>
      </c>
      <c r="P657" s="14" t="s">
        <v>14500</v>
      </c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6" t="s">
        <v>197</v>
      </c>
      <c r="BP657" s="17" t="s">
        <v>198</v>
      </c>
      <c r="BQ657" s="18">
        <v>45688.516076388885</v>
      </c>
      <c r="BR657" s="17" t="s">
        <v>228</v>
      </c>
      <c r="BS657" s="23"/>
      <c r="BT657" s="17" t="s">
        <v>198</v>
      </c>
      <c r="BU657" s="18">
        <v>45688.516076388885</v>
      </c>
      <c r="BV657" s="13" t="s">
        <v>199</v>
      </c>
      <c r="BW657" s="14" t="s">
        <v>179</v>
      </c>
      <c r="BX657" s="14" t="s">
        <v>14501</v>
      </c>
      <c r="BY657" s="15"/>
      <c r="BZ657" s="15"/>
      <c r="CA657" s="15"/>
      <c r="CB657" s="15"/>
      <c r="CC657" s="15"/>
      <c r="CD657" s="15"/>
      <c r="CE657" s="15"/>
      <c r="CF657" s="15"/>
      <c r="CG657" s="19"/>
      <c r="CH657" s="15"/>
      <c r="CI657" s="19"/>
      <c r="CJ657" s="15"/>
      <c r="CK657" s="19"/>
      <c r="CL657" s="15"/>
      <c r="CM657" s="19"/>
      <c r="CN657" s="15"/>
      <c r="CO657" s="19"/>
      <c r="CP657" s="15"/>
      <c r="CQ657" s="15"/>
      <c r="CR657" s="15"/>
      <c r="CS657" s="19"/>
      <c r="CT657" s="15"/>
      <c r="CU657" s="19"/>
      <c r="CV657" s="15"/>
      <c r="CW657" s="19"/>
      <c r="CX657" s="15"/>
      <c r="CY657" s="19"/>
      <c r="CZ657" s="15"/>
      <c r="DA657" s="16" t="s">
        <v>197</v>
      </c>
      <c r="DB657" s="17" t="s">
        <v>198</v>
      </c>
      <c r="DC657" s="20">
        <v>45693.437789351854</v>
      </c>
      <c r="DD657" s="17" t="s">
        <v>228</v>
      </c>
      <c r="DE657" s="23"/>
      <c r="DF657" s="17" t="s">
        <v>198</v>
      </c>
      <c r="DG657" s="18">
        <v>45693.437789351854</v>
      </c>
      <c r="DH657" s="13" t="s">
        <v>205</v>
      </c>
      <c r="DI657" s="15"/>
      <c r="DJ657" s="15"/>
      <c r="DK657" s="15"/>
      <c r="DL657" s="15"/>
      <c r="DM657" s="15"/>
      <c r="DN657" s="15"/>
      <c r="DO657" s="15"/>
      <c r="DP657" s="15"/>
      <c r="DQ657" s="15"/>
      <c r="DR657" s="15"/>
      <c r="DS657" s="15"/>
      <c r="DT657" s="15"/>
      <c r="DU657" s="15"/>
      <c r="DV657" s="15"/>
      <c r="DW657" s="15"/>
      <c r="DX657" s="15"/>
      <c r="DY657" s="15"/>
      <c r="DZ657" s="15"/>
      <c r="EA657" s="15"/>
      <c r="EB657" s="15"/>
      <c r="EC657" s="16" t="s">
        <v>197</v>
      </c>
      <c r="ED657" s="17" t="s">
        <v>228</v>
      </c>
      <c r="EE657" s="23"/>
      <c r="EF657" s="13" t="s">
        <v>209</v>
      </c>
      <c r="EG657" s="14" t="s">
        <v>179</v>
      </c>
      <c r="EH657" s="14" t="s">
        <v>14502</v>
      </c>
      <c r="EI657" s="15"/>
      <c r="EJ657" s="15"/>
      <c r="EK657" s="15"/>
      <c r="EL657" s="15"/>
      <c r="EM657" s="15"/>
      <c r="EN657" s="15"/>
      <c r="EO657" s="15"/>
      <c r="EP657" s="15"/>
      <c r="EQ657" s="15"/>
      <c r="ER657" s="15"/>
      <c r="ES657" s="15"/>
      <c r="ET657" s="15"/>
      <c r="EU657" s="15"/>
      <c r="EV657" s="15"/>
      <c r="EW657" s="15"/>
      <c r="EX657" s="15"/>
      <c r="EY657" s="15"/>
      <c r="EZ657" s="15"/>
      <c r="FA657" s="15"/>
      <c r="FB657" s="15"/>
      <c r="FC657" s="16" t="s">
        <v>197</v>
      </c>
      <c r="FD657" s="17" t="s">
        <v>198</v>
      </c>
      <c r="FE657" s="18">
        <v>45722.35636574074</v>
      </c>
      <c r="FF657" s="19"/>
      <c r="FG657" s="19"/>
      <c r="FH657" s="21" t="s">
        <v>197</v>
      </c>
      <c r="FI657" s="17" t="s">
        <v>214</v>
      </c>
      <c r="FJ657" s="18">
        <v>45722.35636574074</v>
      </c>
      <c r="FK657" s="14" t="s">
        <v>14502</v>
      </c>
      <c r="FL657" s="14" t="s">
        <v>14503</v>
      </c>
      <c r="FM657" s="14" t="s">
        <v>14504</v>
      </c>
      <c r="FN657" s="19"/>
      <c r="FO657" s="19"/>
      <c r="FP657" s="19" t="str">
        <f t="shared" si="1"/>
        <v>Base de Dados_Images/PSV-012-02.Imagem do Equipamento-.155801.jpg</v>
      </c>
      <c r="FQ657" s="14"/>
      <c r="FR657" s="14"/>
    </row>
    <row r="658" ht="15.75" customHeight="1">
      <c r="A658" s="12" t="s">
        <v>292</v>
      </c>
      <c r="B658" s="12" t="s">
        <v>12788</v>
      </c>
      <c r="C658" s="24" t="s">
        <v>14345</v>
      </c>
      <c r="D658" s="12" t="s">
        <v>14505</v>
      </c>
      <c r="E658" s="12" t="s">
        <v>14506</v>
      </c>
      <c r="F658" s="13" t="s">
        <v>178</v>
      </c>
      <c r="G658" s="14" t="s">
        <v>179</v>
      </c>
      <c r="H658" s="14" t="s">
        <v>14507</v>
      </c>
      <c r="I658" s="14" t="s">
        <v>179</v>
      </c>
      <c r="J658" s="14" t="s">
        <v>14508</v>
      </c>
      <c r="K658" s="14" t="s">
        <v>179</v>
      </c>
      <c r="L658" s="14" t="s">
        <v>14508</v>
      </c>
      <c r="M658" s="14" t="s">
        <v>179</v>
      </c>
      <c r="N658" s="14" t="s">
        <v>14509</v>
      </c>
      <c r="O658" s="14" t="s">
        <v>179</v>
      </c>
      <c r="P658" s="14" t="s">
        <v>14510</v>
      </c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6" t="s">
        <v>197</v>
      </c>
      <c r="BP658" s="17" t="s">
        <v>198</v>
      </c>
      <c r="BQ658" s="18">
        <v>45695.63071759259</v>
      </c>
      <c r="BR658" s="17" t="s">
        <v>228</v>
      </c>
      <c r="BS658" s="23"/>
      <c r="BT658" s="17" t="s">
        <v>198</v>
      </c>
      <c r="BU658" s="18">
        <v>45695.63071759259</v>
      </c>
      <c r="BV658" s="13" t="s">
        <v>199</v>
      </c>
      <c r="BW658" s="14" t="s">
        <v>179</v>
      </c>
      <c r="BX658" s="14" t="s">
        <v>14511</v>
      </c>
      <c r="BY658" s="15"/>
      <c r="BZ658" s="15"/>
      <c r="CA658" s="15"/>
      <c r="CB658" s="15"/>
      <c r="CC658" s="15"/>
      <c r="CD658" s="15"/>
      <c r="CE658" s="15"/>
      <c r="CF658" s="15"/>
      <c r="CG658" s="19"/>
      <c r="CH658" s="15"/>
      <c r="CI658" s="19"/>
      <c r="CJ658" s="15"/>
      <c r="CK658" s="19"/>
      <c r="CL658" s="15"/>
      <c r="CM658" s="19"/>
      <c r="CN658" s="15"/>
      <c r="CO658" s="19"/>
      <c r="CP658" s="15"/>
      <c r="CQ658" s="15"/>
      <c r="CR658" s="15"/>
      <c r="CS658" s="19"/>
      <c r="CT658" s="15"/>
      <c r="CU658" s="19"/>
      <c r="CV658" s="15"/>
      <c r="CW658" s="19"/>
      <c r="CX658" s="15"/>
      <c r="CY658" s="19"/>
      <c r="CZ658" s="15"/>
      <c r="DA658" s="16" t="s">
        <v>197</v>
      </c>
      <c r="DB658" s="17" t="s">
        <v>198</v>
      </c>
      <c r="DC658" s="20">
        <v>45695.63133101852</v>
      </c>
      <c r="DD658" s="17" t="s">
        <v>228</v>
      </c>
      <c r="DE658" s="23"/>
      <c r="DF658" s="17" t="s">
        <v>198</v>
      </c>
      <c r="DG658" s="18">
        <v>45695.63133101852</v>
      </c>
      <c r="DH658" s="13" t="s">
        <v>205</v>
      </c>
      <c r="DI658" s="15"/>
      <c r="DJ658" s="15"/>
      <c r="DK658" s="15"/>
      <c r="DL658" s="15"/>
      <c r="DM658" s="15"/>
      <c r="DN658" s="15"/>
      <c r="DO658" s="15"/>
      <c r="DP658" s="15"/>
      <c r="DQ658" s="15"/>
      <c r="DR658" s="15"/>
      <c r="DS658" s="15"/>
      <c r="DT658" s="15"/>
      <c r="DU658" s="15"/>
      <c r="DV658" s="15"/>
      <c r="DW658" s="15"/>
      <c r="DX658" s="15"/>
      <c r="DY658" s="15"/>
      <c r="DZ658" s="15"/>
      <c r="EA658" s="15"/>
      <c r="EB658" s="15"/>
      <c r="EC658" s="16" t="s">
        <v>197</v>
      </c>
      <c r="ED658" s="17" t="s">
        <v>228</v>
      </c>
      <c r="EE658" s="23"/>
      <c r="EF658" s="13" t="s">
        <v>209</v>
      </c>
      <c r="EG658" s="14" t="s">
        <v>179</v>
      </c>
      <c r="EH658" s="14" t="s">
        <v>14512</v>
      </c>
      <c r="EI658" s="15"/>
      <c r="EJ658" s="15"/>
      <c r="EK658" s="15"/>
      <c r="EL658" s="15"/>
      <c r="EM658" s="15"/>
      <c r="EN658" s="15"/>
      <c r="EO658" s="15"/>
      <c r="EP658" s="15"/>
      <c r="EQ658" s="15"/>
      <c r="ER658" s="15"/>
      <c r="ES658" s="15"/>
      <c r="ET658" s="15"/>
      <c r="EU658" s="15"/>
      <c r="EV658" s="15"/>
      <c r="EW658" s="15"/>
      <c r="EX658" s="15"/>
      <c r="EY658" s="15"/>
      <c r="EZ658" s="15"/>
      <c r="FA658" s="15"/>
      <c r="FB658" s="15"/>
      <c r="FC658" s="16" t="s">
        <v>197</v>
      </c>
      <c r="FD658" s="17" t="s">
        <v>198</v>
      </c>
      <c r="FE658" s="18">
        <v>45722.356307870374</v>
      </c>
      <c r="FF658" s="19"/>
      <c r="FG658" s="19"/>
      <c r="FH658" s="21" t="s">
        <v>197</v>
      </c>
      <c r="FI658" s="17" t="s">
        <v>214</v>
      </c>
      <c r="FJ658" s="18">
        <v>45722.356307870374</v>
      </c>
      <c r="FK658" s="14" t="s">
        <v>14512</v>
      </c>
      <c r="FL658" s="14" t="s">
        <v>14513</v>
      </c>
      <c r="FM658" s="14" t="s">
        <v>14514</v>
      </c>
      <c r="FN658" s="19"/>
      <c r="FO658" s="19"/>
      <c r="FP658" s="19" t="str">
        <f t="shared" si="1"/>
        <v>Base de Dados_Images/PSV-027-02 E PSV 029-02.Imagem do Equipamento-.143429.jpg</v>
      </c>
      <c r="FQ658" s="14"/>
      <c r="FR658" s="14"/>
    </row>
    <row r="659" ht="15.75" customHeight="1">
      <c r="A659" s="12" t="s">
        <v>547</v>
      </c>
      <c r="B659" s="12" t="s">
        <v>12788</v>
      </c>
      <c r="C659" s="24" t="s">
        <v>14345</v>
      </c>
      <c r="D659" s="12" t="s">
        <v>14515</v>
      </c>
      <c r="E659" s="12" t="s">
        <v>14516</v>
      </c>
      <c r="F659" s="13" t="s">
        <v>178</v>
      </c>
      <c r="G659" s="14" t="s">
        <v>179</v>
      </c>
      <c r="H659" s="14" t="s">
        <v>14517</v>
      </c>
      <c r="I659" s="14" t="s">
        <v>179</v>
      </c>
      <c r="J659" s="14" t="s">
        <v>14518</v>
      </c>
      <c r="K659" s="14" t="s">
        <v>179</v>
      </c>
      <c r="L659" s="14" t="s">
        <v>14519</v>
      </c>
      <c r="M659" s="14" t="s">
        <v>179</v>
      </c>
      <c r="N659" s="14" t="s">
        <v>14520</v>
      </c>
      <c r="O659" s="14" t="s">
        <v>179</v>
      </c>
      <c r="P659" s="14" t="s">
        <v>14521</v>
      </c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6" t="s">
        <v>197</v>
      </c>
      <c r="BP659" s="17" t="s">
        <v>198</v>
      </c>
      <c r="BQ659" s="18">
        <v>45692.69835648148</v>
      </c>
      <c r="BR659" s="17" t="s">
        <v>228</v>
      </c>
      <c r="BS659" s="23"/>
      <c r="BT659" s="17" t="s">
        <v>198</v>
      </c>
      <c r="BU659" s="18">
        <v>45692.69835648148</v>
      </c>
      <c r="BV659" s="13" t="s">
        <v>199</v>
      </c>
      <c r="BW659" s="14" t="s">
        <v>179</v>
      </c>
      <c r="BX659" s="14" t="s">
        <v>14522</v>
      </c>
      <c r="BY659" s="15"/>
      <c r="BZ659" s="15"/>
      <c r="CA659" s="15"/>
      <c r="CB659" s="15"/>
      <c r="CC659" s="15"/>
      <c r="CD659" s="15"/>
      <c r="CE659" s="15"/>
      <c r="CF659" s="15"/>
      <c r="CG659" s="19"/>
      <c r="CH659" s="15"/>
      <c r="CI659" s="19"/>
      <c r="CJ659" s="15"/>
      <c r="CK659" s="19"/>
      <c r="CL659" s="15"/>
      <c r="CM659" s="19"/>
      <c r="CN659" s="15"/>
      <c r="CO659" s="19"/>
      <c r="CP659" s="15"/>
      <c r="CQ659" s="15"/>
      <c r="CR659" s="15"/>
      <c r="CS659" s="19"/>
      <c r="CT659" s="15"/>
      <c r="CU659" s="19"/>
      <c r="CV659" s="15"/>
      <c r="CW659" s="19"/>
      <c r="CX659" s="15"/>
      <c r="CY659" s="19"/>
      <c r="CZ659" s="15"/>
      <c r="DA659" s="16" t="s">
        <v>197</v>
      </c>
      <c r="DB659" s="17" t="s">
        <v>198</v>
      </c>
      <c r="DC659" s="20">
        <v>45692.6984375</v>
      </c>
      <c r="DD659" s="17" t="s">
        <v>228</v>
      </c>
      <c r="DE659" s="23"/>
      <c r="DF659" s="17" t="s">
        <v>198</v>
      </c>
      <c r="DG659" s="18">
        <v>45692.6984375</v>
      </c>
      <c r="DH659" s="13" t="s">
        <v>205</v>
      </c>
      <c r="DI659" s="15"/>
      <c r="DJ659" s="15"/>
      <c r="DK659" s="15"/>
      <c r="DL659" s="15"/>
      <c r="DM659" s="15"/>
      <c r="DN659" s="15"/>
      <c r="DO659" s="15"/>
      <c r="DP659" s="15"/>
      <c r="DQ659" s="15"/>
      <c r="DR659" s="15"/>
      <c r="DS659" s="15"/>
      <c r="DT659" s="15"/>
      <c r="DU659" s="15"/>
      <c r="DV659" s="15"/>
      <c r="DW659" s="15"/>
      <c r="DX659" s="15"/>
      <c r="DY659" s="15"/>
      <c r="DZ659" s="15"/>
      <c r="EA659" s="15"/>
      <c r="EB659" s="15"/>
      <c r="EC659" s="16" t="s">
        <v>197</v>
      </c>
      <c r="ED659" s="17" t="s">
        <v>228</v>
      </c>
      <c r="EE659" s="23"/>
      <c r="EF659" s="13" t="s">
        <v>209</v>
      </c>
      <c r="EG659" s="14" t="s">
        <v>179</v>
      </c>
      <c r="EH659" s="14" t="s">
        <v>14523</v>
      </c>
      <c r="EI659" s="15"/>
      <c r="EJ659" s="15"/>
      <c r="EK659" s="15"/>
      <c r="EL659" s="15"/>
      <c r="EM659" s="15"/>
      <c r="EN659" s="15"/>
      <c r="EO659" s="15"/>
      <c r="EP659" s="15"/>
      <c r="EQ659" s="15"/>
      <c r="ER659" s="15"/>
      <c r="ES659" s="15"/>
      <c r="ET659" s="15"/>
      <c r="EU659" s="15"/>
      <c r="EV659" s="15"/>
      <c r="EW659" s="15"/>
      <c r="EX659" s="15"/>
      <c r="EY659" s="15"/>
      <c r="EZ659" s="15"/>
      <c r="FA659" s="15"/>
      <c r="FB659" s="15"/>
      <c r="FC659" s="16" t="s">
        <v>197</v>
      </c>
      <c r="FD659" s="17" t="s">
        <v>198</v>
      </c>
      <c r="FE659" s="18">
        <v>45720.61283564815</v>
      </c>
      <c r="FF659" s="14" t="s">
        <v>14438</v>
      </c>
      <c r="FG659" s="19"/>
      <c r="FH659" s="17" t="s">
        <v>198</v>
      </c>
      <c r="FI659" s="17" t="s">
        <v>214</v>
      </c>
      <c r="FJ659" s="18">
        <v>45720.61283564815</v>
      </c>
      <c r="FK659" s="14" t="s">
        <v>14523</v>
      </c>
      <c r="FL659" s="14" t="s">
        <v>14524</v>
      </c>
      <c r="FM659" s="14" t="s">
        <v>14525</v>
      </c>
      <c r="FN659" s="19"/>
      <c r="FO659" s="19"/>
      <c r="FP659" s="19" t="str">
        <f t="shared" si="1"/>
        <v>Base de Dados_Images/PSV-627181.Imagem do Equipamento-.105036.jpg</v>
      </c>
      <c r="FQ659" s="14"/>
      <c r="FR659" s="14"/>
    </row>
    <row r="660" ht="15.75" customHeight="1">
      <c r="A660" s="12" t="s">
        <v>292</v>
      </c>
      <c r="B660" s="12" t="s">
        <v>12788</v>
      </c>
      <c r="C660" s="24" t="s">
        <v>14345</v>
      </c>
      <c r="D660" s="12" t="s">
        <v>14526</v>
      </c>
      <c r="E660" s="12" t="s">
        <v>14527</v>
      </c>
      <c r="F660" s="13" t="s">
        <v>178</v>
      </c>
      <c r="G660" s="14" t="s">
        <v>179</v>
      </c>
      <c r="H660" s="14" t="s">
        <v>14528</v>
      </c>
      <c r="I660" s="14" t="s">
        <v>179</v>
      </c>
      <c r="J660" s="14" t="s">
        <v>14529</v>
      </c>
      <c r="K660" s="14" t="s">
        <v>179</v>
      </c>
      <c r="L660" s="14" t="s">
        <v>14530</v>
      </c>
      <c r="M660" s="14" t="s">
        <v>179</v>
      </c>
      <c r="N660" s="14" t="s">
        <v>14531</v>
      </c>
      <c r="O660" s="14" t="s">
        <v>179</v>
      </c>
      <c r="P660" s="14" t="s">
        <v>14532</v>
      </c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6" t="s">
        <v>197</v>
      </c>
      <c r="BP660" s="17" t="s">
        <v>198</v>
      </c>
      <c r="BQ660" s="18">
        <v>45688.51664351852</v>
      </c>
      <c r="BR660" s="17" t="s">
        <v>228</v>
      </c>
      <c r="BS660" s="23"/>
      <c r="BT660" s="17" t="s">
        <v>198</v>
      </c>
      <c r="BU660" s="18">
        <v>45688.51664351852</v>
      </c>
      <c r="BV660" s="13" t="s">
        <v>199</v>
      </c>
      <c r="BW660" s="14" t="s">
        <v>179</v>
      </c>
      <c r="BX660" s="14" t="s">
        <v>14533</v>
      </c>
      <c r="BY660" s="15"/>
      <c r="BZ660" s="15"/>
      <c r="CA660" s="15"/>
      <c r="CB660" s="15"/>
      <c r="CC660" s="15"/>
      <c r="CD660" s="15"/>
      <c r="CE660" s="15"/>
      <c r="CF660" s="15"/>
      <c r="CG660" s="19"/>
      <c r="CH660" s="15"/>
      <c r="CI660" s="19"/>
      <c r="CJ660" s="15"/>
      <c r="CK660" s="19"/>
      <c r="CL660" s="15"/>
      <c r="CM660" s="19"/>
      <c r="CN660" s="15"/>
      <c r="CO660" s="19"/>
      <c r="CP660" s="15"/>
      <c r="CQ660" s="15"/>
      <c r="CR660" s="15"/>
      <c r="CS660" s="19"/>
      <c r="CT660" s="15"/>
      <c r="CU660" s="19"/>
      <c r="CV660" s="15"/>
      <c r="CW660" s="19"/>
      <c r="CX660" s="15"/>
      <c r="CY660" s="19"/>
      <c r="CZ660" s="15"/>
      <c r="DA660" s="16" t="s">
        <v>197</v>
      </c>
      <c r="DB660" s="17" t="s">
        <v>198</v>
      </c>
      <c r="DC660" s="20">
        <v>45693.43791666667</v>
      </c>
      <c r="DD660" s="17" t="s">
        <v>228</v>
      </c>
      <c r="DE660" s="23"/>
      <c r="DF660" s="17" t="s">
        <v>198</v>
      </c>
      <c r="DG660" s="18">
        <v>45693.43791666667</v>
      </c>
      <c r="DH660" s="13" t="s">
        <v>205</v>
      </c>
      <c r="DI660" s="15"/>
      <c r="DJ660" s="15"/>
      <c r="DK660" s="15"/>
      <c r="DL660" s="15"/>
      <c r="DM660" s="15"/>
      <c r="DN660" s="15"/>
      <c r="DO660" s="15"/>
      <c r="DP660" s="15"/>
      <c r="DQ660" s="15"/>
      <c r="DR660" s="15"/>
      <c r="DS660" s="15"/>
      <c r="DT660" s="15"/>
      <c r="DU660" s="15"/>
      <c r="DV660" s="15"/>
      <c r="DW660" s="15"/>
      <c r="DX660" s="15"/>
      <c r="DY660" s="15"/>
      <c r="DZ660" s="15"/>
      <c r="EA660" s="15"/>
      <c r="EB660" s="15"/>
      <c r="EC660" s="16" t="s">
        <v>197</v>
      </c>
      <c r="ED660" s="17" t="s">
        <v>228</v>
      </c>
      <c r="EE660" s="23"/>
      <c r="EF660" s="13" t="s">
        <v>209</v>
      </c>
      <c r="EG660" s="14" t="s">
        <v>179</v>
      </c>
      <c r="EH660" s="14" t="s">
        <v>14534</v>
      </c>
      <c r="EI660" s="15"/>
      <c r="EJ660" s="15"/>
      <c r="EK660" s="15"/>
      <c r="EL660" s="15"/>
      <c r="EM660" s="15"/>
      <c r="EN660" s="15"/>
      <c r="EO660" s="15"/>
      <c r="EP660" s="15"/>
      <c r="EQ660" s="15"/>
      <c r="ER660" s="15"/>
      <c r="ES660" s="15"/>
      <c r="ET660" s="15"/>
      <c r="EU660" s="15"/>
      <c r="EV660" s="15"/>
      <c r="EW660" s="15"/>
      <c r="EX660" s="15"/>
      <c r="EY660" s="15"/>
      <c r="EZ660" s="15"/>
      <c r="FA660" s="15"/>
      <c r="FB660" s="15"/>
      <c r="FC660" s="16" t="s">
        <v>197</v>
      </c>
      <c r="FD660" s="17" t="s">
        <v>198</v>
      </c>
      <c r="FE660" s="18">
        <v>45722.35642361111</v>
      </c>
      <c r="FF660" s="19"/>
      <c r="FG660" s="19"/>
      <c r="FH660" s="21" t="s">
        <v>197</v>
      </c>
      <c r="FI660" s="17" t="s">
        <v>214</v>
      </c>
      <c r="FJ660" s="18">
        <v>45722.35642361111</v>
      </c>
      <c r="FK660" s="14" t="s">
        <v>14534</v>
      </c>
      <c r="FL660" s="14" t="s">
        <v>14535</v>
      </c>
      <c r="FM660" s="14" t="s">
        <v>14536</v>
      </c>
      <c r="FN660" s="19"/>
      <c r="FO660" s="19"/>
      <c r="FP660" s="19" t="str">
        <f t="shared" si="1"/>
        <v>Base de Dados_Images/PSV-627739.Imagem do Equipamento-.155834.jpg</v>
      </c>
      <c r="FQ660" s="14"/>
      <c r="FR660" s="14"/>
    </row>
    <row r="661" ht="15.75" customHeight="1">
      <c r="A661" s="12" t="s">
        <v>547</v>
      </c>
      <c r="B661" s="12" t="s">
        <v>12788</v>
      </c>
      <c r="C661" s="24" t="s">
        <v>14345</v>
      </c>
      <c r="D661" s="12" t="s">
        <v>14537</v>
      </c>
      <c r="E661" s="12" t="s">
        <v>14538</v>
      </c>
      <c r="F661" s="13" t="s">
        <v>178</v>
      </c>
      <c r="G661" s="14" t="s">
        <v>179</v>
      </c>
      <c r="H661" s="14" t="s">
        <v>14539</v>
      </c>
      <c r="I661" s="14" t="s">
        <v>179</v>
      </c>
      <c r="J661" s="14" t="s">
        <v>14540</v>
      </c>
      <c r="K661" s="14" t="s">
        <v>179</v>
      </c>
      <c r="L661" s="14" t="s">
        <v>14541</v>
      </c>
      <c r="M661" s="14" t="s">
        <v>179</v>
      </c>
      <c r="N661" s="14" t="s">
        <v>14542</v>
      </c>
      <c r="O661" s="14" t="s">
        <v>179</v>
      </c>
      <c r="P661" s="14" t="s">
        <v>14543</v>
      </c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6" t="s">
        <v>197</v>
      </c>
      <c r="BP661" s="17" t="s">
        <v>198</v>
      </c>
      <c r="BQ661" s="18">
        <v>45692.69449074074</v>
      </c>
      <c r="BR661" s="17" t="s">
        <v>228</v>
      </c>
      <c r="BS661" s="23"/>
      <c r="BT661" s="17" t="s">
        <v>198</v>
      </c>
      <c r="BU661" s="18">
        <v>45692.69449074074</v>
      </c>
      <c r="BV661" s="13" t="s">
        <v>199</v>
      </c>
      <c r="BW661" s="14" t="s">
        <v>179</v>
      </c>
      <c r="BX661" s="14" t="s">
        <v>14544</v>
      </c>
      <c r="BY661" s="15"/>
      <c r="BZ661" s="15"/>
      <c r="CA661" s="15"/>
      <c r="CB661" s="15"/>
      <c r="CC661" s="15"/>
      <c r="CD661" s="15"/>
      <c r="CE661" s="15"/>
      <c r="CF661" s="15"/>
      <c r="CG661" s="19"/>
      <c r="CH661" s="15"/>
      <c r="CI661" s="19"/>
      <c r="CJ661" s="15"/>
      <c r="CK661" s="19"/>
      <c r="CL661" s="15"/>
      <c r="CM661" s="19"/>
      <c r="CN661" s="15"/>
      <c r="CO661" s="19"/>
      <c r="CP661" s="15"/>
      <c r="CQ661" s="15"/>
      <c r="CR661" s="15"/>
      <c r="CS661" s="19"/>
      <c r="CT661" s="15"/>
      <c r="CU661" s="19"/>
      <c r="CV661" s="15"/>
      <c r="CW661" s="19"/>
      <c r="CX661" s="15"/>
      <c r="CY661" s="19"/>
      <c r="CZ661" s="15"/>
      <c r="DA661" s="16" t="s">
        <v>197</v>
      </c>
      <c r="DB661" s="17" t="s">
        <v>198</v>
      </c>
      <c r="DC661" s="20">
        <v>45692.69569444445</v>
      </c>
      <c r="DD661" s="17" t="s">
        <v>228</v>
      </c>
      <c r="DE661" s="23"/>
      <c r="DF661" s="17" t="s">
        <v>198</v>
      </c>
      <c r="DG661" s="18">
        <v>45692.69569444445</v>
      </c>
      <c r="DH661" s="13" t="s">
        <v>205</v>
      </c>
      <c r="DI661" s="15"/>
      <c r="DJ661" s="15"/>
      <c r="DK661" s="15"/>
      <c r="DL661" s="15"/>
      <c r="DM661" s="15"/>
      <c r="DN661" s="15"/>
      <c r="DO661" s="15"/>
      <c r="DP661" s="15"/>
      <c r="DQ661" s="15"/>
      <c r="DR661" s="15"/>
      <c r="DS661" s="15"/>
      <c r="DT661" s="15"/>
      <c r="DU661" s="15"/>
      <c r="DV661" s="15"/>
      <c r="DW661" s="15"/>
      <c r="DX661" s="15"/>
      <c r="DY661" s="15"/>
      <c r="DZ661" s="15"/>
      <c r="EA661" s="15"/>
      <c r="EB661" s="15"/>
      <c r="EC661" s="16" t="s">
        <v>197</v>
      </c>
      <c r="ED661" s="17" t="s">
        <v>228</v>
      </c>
      <c r="EE661" s="23"/>
      <c r="EF661" s="13" t="s">
        <v>209</v>
      </c>
      <c r="EG661" s="14" t="s">
        <v>179</v>
      </c>
      <c r="EH661" s="14" t="s">
        <v>14545</v>
      </c>
      <c r="EI661" s="15"/>
      <c r="EJ661" s="15"/>
      <c r="EK661" s="15"/>
      <c r="EL661" s="15"/>
      <c r="EM661" s="15"/>
      <c r="EN661" s="15"/>
      <c r="EO661" s="15"/>
      <c r="EP661" s="15"/>
      <c r="EQ661" s="15"/>
      <c r="ER661" s="15"/>
      <c r="ES661" s="15"/>
      <c r="ET661" s="15"/>
      <c r="EU661" s="15"/>
      <c r="EV661" s="15"/>
      <c r="EW661" s="15"/>
      <c r="EX661" s="15"/>
      <c r="EY661" s="15"/>
      <c r="EZ661" s="15"/>
      <c r="FA661" s="15"/>
      <c r="FB661" s="15"/>
      <c r="FC661" s="16" t="s">
        <v>197</v>
      </c>
      <c r="FD661" s="17" t="s">
        <v>198</v>
      </c>
      <c r="FE661" s="18">
        <v>45720.612905092596</v>
      </c>
      <c r="FF661" s="14" t="s">
        <v>14438</v>
      </c>
      <c r="FG661" s="19"/>
      <c r="FH661" s="17" t="s">
        <v>198</v>
      </c>
      <c r="FI661" s="17" t="s">
        <v>214</v>
      </c>
      <c r="FJ661" s="18">
        <v>45720.612905092596</v>
      </c>
      <c r="FK661" s="14" t="s">
        <v>14545</v>
      </c>
      <c r="FL661" s="14" t="s">
        <v>14546</v>
      </c>
      <c r="FM661" s="14" t="s">
        <v>14547</v>
      </c>
      <c r="FN661" s="19"/>
      <c r="FO661" s="19"/>
      <c r="FP661" s="19" t="str">
        <f t="shared" si="1"/>
        <v>Base de Dados_Images/PSV-627867 E PSV-627888.Imagem do Equipamento-.150848.jpg</v>
      </c>
      <c r="FQ661" s="14"/>
      <c r="FR661" s="14"/>
    </row>
    <row r="662" ht="15.75" customHeight="1">
      <c r="A662" s="12" t="s">
        <v>292</v>
      </c>
      <c r="B662" s="12" t="s">
        <v>12788</v>
      </c>
      <c r="C662" s="24" t="s">
        <v>14345</v>
      </c>
      <c r="D662" s="12" t="s">
        <v>14548</v>
      </c>
      <c r="E662" s="12" t="s">
        <v>14549</v>
      </c>
      <c r="F662" s="13" t="s">
        <v>178</v>
      </c>
      <c r="G662" s="14" t="s">
        <v>179</v>
      </c>
      <c r="H662" s="14" t="s">
        <v>14550</v>
      </c>
      <c r="I662" s="14" t="s">
        <v>179</v>
      </c>
      <c r="J662" s="14" t="s">
        <v>14551</v>
      </c>
      <c r="K662" s="14" t="s">
        <v>179</v>
      </c>
      <c r="L662" s="14" t="s">
        <v>14552</v>
      </c>
      <c r="M662" s="14" t="s">
        <v>179</v>
      </c>
      <c r="N662" s="14" t="s">
        <v>14552</v>
      </c>
      <c r="O662" s="14" t="s">
        <v>179</v>
      </c>
      <c r="P662" s="14" t="s">
        <v>14553</v>
      </c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6" t="s">
        <v>197</v>
      </c>
      <c r="BP662" s="17" t="s">
        <v>198</v>
      </c>
      <c r="BQ662" s="18">
        <v>45688.513344907406</v>
      </c>
      <c r="BR662" s="17" t="s">
        <v>228</v>
      </c>
      <c r="BS662" s="23"/>
      <c r="BT662" s="17" t="s">
        <v>198</v>
      </c>
      <c r="BU662" s="18">
        <v>45688.513344907406</v>
      </c>
      <c r="BV662" s="13" t="s">
        <v>199</v>
      </c>
      <c r="BW662" s="14" t="s">
        <v>179</v>
      </c>
      <c r="BX662" s="14" t="s">
        <v>14554</v>
      </c>
      <c r="BY662" s="15"/>
      <c r="BZ662" s="15"/>
      <c r="CA662" s="15"/>
      <c r="CB662" s="15"/>
      <c r="CC662" s="15"/>
      <c r="CD662" s="15"/>
      <c r="CE662" s="15"/>
      <c r="CF662" s="15"/>
      <c r="CG662" s="19"/>
      <c r="CH662" s="15"/>
      <c r="CI662" s="19"/>
      <c r="CJ662" s="15"/>
      <c r="CK662" s="19"/>
      <c r="CL662" s="15"/>
      <c r="CM662" s="19"/>
      <c r="CN662" s="15"/>
      <c r="CO662" s="19"/>
      <c r="CP662" s="15"/>
      <c r="CQ662" s="15"/>
      <c r="CR662" s="15"/>
      <c r="CS662" s="19"/>
      <c r="CT662" s="15"/>
      <c r="CU662" s="19"/>
      <c r="CV662" s="15"/>
      <c r="CW662" s="19"/>
      <c r="CX662" s="15"/>
      <c r="CY662" s="19"/>
      <c r="CZ662" s="15"/>
      <c r="DA662" s="16" t="s">
        <v>197</v>
      </c>
      <c r="DB662" s="17" t="s">
        <v>198</v>
      </c>
      <c r="DC662" s="20">
        <v>45693.43734953704</v>
      </c>
      <c r="DD662" s="17" t="s">
        <v>228</v>
      </c>
      <c r="DE662" s="23"/>
      <c r="DF662" s="17" t="s">
        <v>198</v>
      </c>
      <c r="DG662" s="18">
        <v>45693.43734953704</v>
      </c>
      <c r="DH662" s="13" t="s">
        <v>205</v>
      </c>
      <c r="DI662" s="15"/>
      <c r="DJ662" s="15"/>
      <c r="DK662" s="15"/>
      <c r="DL662" s="15"/>
      <c r="DM662" s="15"/>
      <c r="DN662" s="15"/>
      <c r="DO662" s="15"/>
      <c r="DP662" s="15"/>
      <c r="DQ662" s="15"/>
      <c r="DR662" s="15"/>
      <c r="DS662" s="15"/>
      <c r="DT662" s="15"/>
      <c r="DU662" s="15"/>
      <c r="DV662" s="15"/>
      <c r="DW662" s="15"/>
      <c r="DX662" s="15"/>
      <c r="DY662" s="15"/>
      <c r="DZ662" s="15"/>
      <c r="EA662" s="15"/>
      <c r="EB662" s="15"/>
      <c r="EC662" s="16" t="s">
        <v>197</v>
      </c>
      <c r="ED662" s="17" t="s">
        <v>228</v>
      </c>
      <c r="EE662" s="23"/>
      <c r="EF662" s="13" t="s">
        <v>209</v>
      </c>
      <c r="EG662" s="14" t="s">
        <v>179</v>
      </c>
      <c r="EH662" s="14" t="s">
        <v>14555</v>
      </c>
      <c r="EI662" s="15"/>
      <c r="EJ662" s="15"/>
      <c r="EK662" s="15"/>
      <c r="EL662" s="15"/>
      <c r="EM662" s="15"/>
      <c r="EN662" s="15"/>
      <c r="EO662" s="15"/>
      <c r="EP662" s="15"/>
      <c r="EQ662" s="15"/>
      <c r="ER662" s="15"/>
      <c r="ES662" s="15"/>
      <c r="ET662" s="15"/>
      <c r="EU662" s="15"/>
      <c r="EV662" s="15"/>
      <c r="EW662" s="15"/>
      <c r="EX662" s="15"/>
      <c r="EY662" s="15"/>
      <c r="EZ662" s="15"/>
      <c r="FA662" s="15"/>
      <c r="FB662" s="15"/>
      <c r="FC662" s="16" t="s">
        <v>197</v>
      </c>
      <c r="FD662" s="17" t="s">
        <v>198</v>
      </c>
      <c r="FE662" s="18">
        <v>45722.35649305556</v>
      </c>
      <c r="FF662" s="19"/>
      <c r="FG662" s="19"/>
      <c r="FH662" s="21" t="s">
        <v>197</v>
      </c>
      <c r="FI662" s="17" t="s">
        <v>214</v>
      </c>
      <c r="FJ662" s="18">
        <v>45722.35649305556</v>
      </c>
      <c r="FK662" s="14" t="s">
        <v>14555</v>
      </c>
      <c r="FL662" s="14" t="s">
        <v>14556</v>
      </c>
      <c r="FM662" s="14" t="s">
        <v>14557</v>
      </c>
      <c r="FN662" s="19"/>
      <c r="FO662" s="19"/>
      <c r="FP662" s="19" t="str">
        <f t="shared" si="1"/>
        <v>Base de Dados_Images/PSV-627871.Imagem do Equipamento-.155557.jpg</v>
      </c>
      <c r="FQ662" s="14"/>
      <c r="FR662" s="14"/>
    </row>
    <row r="663" ht="15.75" customHeight="1">
      <c r="A663" s="12" t="s">
        <v>292</v>
      </c>
      <c r="B663" s="12" t="s">
        <v>12788</v>
      </c>
      <c r="C663" s="24" t="s">
        <v>14345</v>
      </c>
      <c r="D663" s="12" t="s">
        <v>14558</v>
      </c>
      <c r="E663" s="12" t="s">
        <v>14559</v>
      </c>
      <c r="F663" s="13" t="s">
        <v>178</v>
      </c>
      <c r="G663" s="14" t="s">
        <v>179</v>
      </c>
      <c r="H663" s="14" t="s">
        <v>14560</v>
      </c>
      <c r="I663" s="14" t="s">
        <v>179</v>
      </c>
      <c r="J663" s="14" t="s">
        <v>14561</v>
      </c>
      <c r="K663" s="14" t="s">
        <v>179</v>
      </c>
      <c r="L663" s="14" t="s">
        <v>14562</v>
      </c>
      <c r="M663" s="14" t="s">
        <v>179</v>
      </c>
      <c r="N663" s="14" t="s">
        <v>14563</v>
      </c>
      <c r="O663" s="14" t="s">
        <v>179</v>
      </c>
      <c r="P663" s="14" t="s">
        <v>14564</v>
      </c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6" t="s">
        <v>197</v>
      </c>
      <c r="BP663" s="17" t="s">
        <v>198</v>
      </c>
      <c r="BQ663" s="18">
        <v>45688.526296296295</v>
      </c>
      <c r="BR663" s="17" t="s">
        <v>228</v>
      </c>
      <c r="BS663" s="23"/>
      <c r="BT663" s="17" t="s">
        <v>198</v>
      </c>
      <c r="BU663" s="18">
        <v>45688.526296296295</v>
      </c>
      <c r="BV663" s="13" t="s">
        <v>199</v>
      </c>
      <c r="BW663" s="14" t="s">
        <v>179</v>
      </c>
      <c r="BX663" s="14" t="s">
        <v>14565</v>
      </c>
      <c r="BY663" s="15"/>
      <c r="BZ663" s="15"/>
      <c r="CA663" s="15"/>
      <c r="CB663" s="15"/>
      <c r="CC663" s="15"/>
      <c r="CD663" s="15"/>
      <c r="CE663" s="15"/>
      <c r="CF663" s="15"/>
      <c r="CG663" s="19"/>
      <c r="CH663" s="15"/>
      <c r="CI663" s="19"/>
      <c r="CJ663" s="15"/>
      <c r="CK663" s="19"/>
      <c r="CL663" s="15"/>
      <c r="CM663" s="19"/>
      <c r="CN663" s="15"/>
      <c r="CO663" s="19"/>
      <c r="CP663" s="15"/>
      <c r="CQ663" s="15"/>
      <c r="CR663" s="15"/>
      <c r="CS663" s="19"/>
      <c r="CT663" s="15"/>
      <c r="CU663" s="19"/>
      <c r="CV663" s="15"/>
      <c r="CW663" s="19"/>
      <c r="CX663" s="15"/>
      <c r="CY663" s="19"/>
      <c r="CZ663" s="15"/>
      <c r="DA663" s="16" t="s">
        <v>197</v>
      </c>
      <c r="DB663" s="17" t="s">
        <v>198</v>
      </c>
      <c r="DC663" s="20">
        <v>45693.43981481482</v>
      </c>
      <c r="DD663" s="17" t="s">
        <v>228</v>
      </c>
      <c r="DE663" s="23"/>
      <c r="DF663" s="17" t="s">
        <v>198</v>
      </c>
      <c r="DG663" s="18">
        <v>45693.43981481482</v>
      </c>
      <c r="DH663" s="13" t="s">
        <v>205</v>
      </c>
      <c r="DI663" s="15"/>
      <c r="DJ663" s="15"/>
      <c r="DK663" s="15"/>
      <c r="DL663" s="15"/>
      <c r="DM663" s="15"/>
      <c r="DN663" s="15"/>
      <c r="DO663" s="15"/>
      <c r="DP663" s="15"/>
      <c r="DQ663" s="15"/>
      <c r="DR663" s="15"/>
      <c r="DS663" s="15"/>
      <c r="DT663" s="15"/>
      <c r="DU663" s="15"/>
      <c r="DV663" s="15"/>
      <c r="DW663" s="15"/>
      <c r="DX663" s="15"/>
      <c r="DY663" s="15"/>
      <c r="DZ663" s="15"/>
      <c r="EA663" s="15"/>
      <c r="EB663" s="15"/>
      <c r="EC663" s="16" t="s">
        <v>197</v>
      </c>
      <c r="ED663" s="17" t="s">
        <v>228</v>
      </c>
      <c r="EE663" s="23"/>
      <c r="EF663" s="13" t="s">
        <v>209</v>
      </c>
      <c r="EG663" s="14" t="s">
        <v>179</v>
      </c>
      <c r="EH663" s="14" t="s">
        <v>14566</v>
      </c>
      <c r="EI663" s="15"/>
      <c r="EJ663" s="15"/>
      <c r="EK663" s="15"/>
      <c r="EL663" s="15"/>
      <c r="EM663" s="15"/>
      <c r="EN663" s="15"/>
      <c r="EO663" s="15"/>
      <c r="EP663" s="15"/>
      <c r="EQ663" s="15"/>
      <c r="ER663" s="15"/>
      <c r="ES663" s="15"/>
      <c r="ET663" s="15"/>
      <c r="EU663" s="15"/>
      <c r="EV663" s="15"/>
      <c r="EW663" s="15"/>
      <c r="EX663" s="15"/>
      <c r="EY663" s="15"/>
      <c r="EZ663" s="15"/>
      <c r="FA663" s="15"/>
      <c r="FB663" s="15"/>
      <c r="FC663" s="16" t="s">
        <v>197</v>
      </c>
      <c r="FD663" s="17" t="s">
        <v>198</v>
      </c>
      <c r="FE663" s="18">
        <v>45722.35653935185</v>
      </c>
      <c r="FF663" s="19"/>
      <c r="FG663" s="19"/>
      <c r="FH663" s="21" t="s">
        <v>197</v>
      </c>
      <c r="FI663" s="17" t="s">
        <v>214</v>
      </c>
      <c r="FJ663" s="18">
        <v>45722.35653935185</v>
      </c>
      <c r="FK663" s="14" t="s">
        <v>14566</v>
      </c>
      <c r="FL663" s="14" t="s">
        <v>14567</v>
      </c>
      <c r="FM663" s="14" t="s">
        <v>14568</v>
      </c>
      <c r="FN663" s="19"/>
      <c r="FO663" s="19"/>
      <c r="FP663" s="19" t="str">
        <f t="shared" si="1"/>
        <v>Base de Dados_Images/PSV-627876-PSV-627908-PSV-627905.Imagem do Equipamento-.160636.jpg</v>
      </c>
      <c r="FQ663" s="14"/>
      <c r="FR663" s="14"/>
    </row>
    <row r="664" ht="15.75" customHeight="1">
      <c r="A664" s="12" t="s">
        <v>547</v>
      </c>
      <c r="B664" s="12" t="s">
        <v>12788</v>
      </c>
      <c r="C664" s="24" t="s">
        <v>14345</v>
      </c>
      <c r="D664" s="12" t="s">
        <v>14569</v>
      </c>
      <c r="E664" s="12" t="s">
        <v>548</v>
      </c>
      <c r="F664" s="13" t="s">
        <v>178</v>
      </c>
      <c r="G664" s="14" t="s">
        <v>179</v>
      </c>
      <c r="H664" s="14" t="s">
        <v>14570</v>
      </c>
      <c r="I664" s="14" t="s">
        <v>179</v>
      </c>
      <c r="J664" s="14" t="s">
        <v>14571</v>
      </c>
      <c r="K664" s="14" t="s">
        <v>179</v>
      </c>
      <c r="L664" s="14" t="s">
        <v>14572</v>
      </c>
      <c r="M664" s="14" t="s">
        <v>179</v>
      </c>
      <c r="N664" s="14" t="s">
        <v>14573</v>
      </c>
      <c r="O664" s="14" t="s">
        <v>179</v>
      </c>
      <c r="P664" s="14" t="s">
        <v>14574</v>
      </c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6" t="s">
        <v>197</v>
      </c>
      <c r="BP664" s="17" t="s">
        <v>198</v>
      </c>
      <c r="BQ664" s="18">
        <v>45692.697384259256</v>
      </c>
      <c r="BR664" s="17" t="s">
        <v>228</v>
      </c>
      <c r="BS664" s="23"/>
      <c r="BT664" s="17" t="s">
        <v>198</v>
      </c>
      <c r="BU664" s="18">
        <v>45692.697384259256</v>
      </c>
      <c r="BV664" s="13" t="s">
        <v>199</v>
      </c>
      <c r="BW664" s="14" t="s">
        <v>179</v>
      </c>
      <c r="BX664" s="14" t="s">
        <v>14575</v>
      </c>
      <c r="BY664" s="15"/>
      <c r="BZ664" s="15"/>
      <c r="CA664" s="15"/>
      <c r="CB664" s="15"/>
      <c r="CC664" s="15"/>
      <c r="CD664" s="15"/>
      <c r="CE664" s="15"/>
      <c r="CF664" s="15"/>
      <c r="CG664" s="19"/>
      <c r="CH664" s="15"/>
      <c r="CI664" s="19"/>
      <c r="CJ664" s="15"/>
      <c r="CK664" s="19"/>
      <c r="CL664" s="15"/>
      <c r="CM664" s="19"/>
      <c r="CN664" s="15"/>
      <c r="CO664" s="19"/>
      <c r="CP664" s="15"/>
      <c r="CQ664" s="15"/>
      <c r="CR664" s="15"/>
      <c r="CS664" s="19"/>
      <c r="CT664" s="15"/>
      <c r="CU664" s="19"/>
      <c r="CV664" s="15"/>
      <c r="CW664" s="19"/>
      <c r="CX664" s="15"/>
      <c r="CY664" s="19"/>
      <c r="CZ664" s="15"/>
      <c r="DA664" s="16" t="s">
        <v>197</v>
      </c>
      <c r="DB664" s="17" t="s">
        <v>198</v>
      </c>
      <c r="DC664" s="20">
        <v>45692.697430555556</v>
      </c>
      <c r="DD664" s="17" t="s">
        <v>228</v>
      </c>
      <c r="DE664" s="23"/>
      <c r="DF664" s="17" t="s">
        <v>198</v>
      </c>
      <c r="DG664" s="18">
        <v>45692.697430555556</v>
      </c>
      <c r="DH664" s="13" t="s">
        <v>205</v>
      </c>
      <c r="DI664" s="15"/>
      <c r="DJ664" s="15"/>
      <c r="DK664" s="15"/>
      <c r="DL664" s="15"/>
      <c r="DM664" s="15"/>
      <c r="DN664" s="15"/>
      <c r="DO664" s="15"/>
      <c r="DP664" s="15"/>
      <c r="DQ664" s="15"/>
      <c r="DR664" s="15"/>
      <c r="DS664" s="15"/>
      <c r="DT664" s="15"/>
      <c r="DU664" s="15"/>
      <c r="DV664" s="15"/>
      <c r="DW664" s="15"/>
      <c r="DX664" s="15"/>
      <c r="DY664" s="15"/>
      <c r="DZ664" s="15"/>
      <c r="EA664" s="15"/>
      <c r="EB664" s="15"/>
      <c r="EC664" s="16" t="s">
        <v>197</v>
      </c>
      <c r="ED664" s="17" t="s">
        <v>228</v>
      </c>
      <c r="EE664" s="23"/>
      <c r="EF664" s="13" t="s">
        <v>209</v>
      </c>
      <c r="EG664" s="14" t="s">
        <v>179</v>
      </c>
      <c r="EH664" s="14" t="s">
        <v>14576</v>
      </c>
      <c r="EI664" s="15"/>
      <c r="EJ664" s="15"/>
      <c r="EK664" s="15"/>
      <c r="EL664" s="15"/>
      <c r="EM664" s="15"/>
      <c r="EN664" s="15"/>
      <c r="EO664" s="15"/>
      <c r="EP664" s="15"/>
      <c r="EQ664" s="15"/>
      <c r="ER664" s="15"/>
      <c r="ES664" s="15"/>
      <c r="ET664" s="15"/>
      <c r="EU664" s="15"/>
      <c r="EV664" s="15"/>
      <c r="EW664" s="15"/>
      <c r="EX664" s="15"/>
      <c r="EY664" s="15"/>
      <c r="EZ664" s="15"/>
      <c r="FA664" s="15"/>
      <c r="FB664" s="15"/>
      <c r="FC664" s="16" t="s">
        <v>197</v>
      </c>
      <c r="FD664" s="17" t="s">
        <v>198</v>
      </c>
      <c r="FE664" s="18">
        <v>45720.612962962965</v>
      </c>
      <c r="FF664" s="14"/>
      <c r="FG664" s="19"/>
      <c r="FH664" s="17" t="s">
        <v>197</v>
      </c>
      <c r="FI664" s="17" t="s">
        <v>214</v>
      </c>
      <c r="FJ664" s="18">
        <v>45720.612962962965</v>
      </c>
      <c r="FK664" s="14" t="s">
        <v>14576</v>
      </c>
      <c r="FL664" s="14" t="s">
        <v>14577</v>
      </c>
      <c r="FM664" s="14" t="s">
        <v>14578</v>
      </c>
      <c r="FN664" s="19"/>
      <c r="FO664" s="19"/>
      <c r="FP664" s="19" t="str">
        <f t="shared" si="1"/>
        <v>Base de Dados_Images/PSV-627881.Imagem do Equipamento-.150921.jpg</v>
      </c>
      <c r="FQ664" s="14"/>
      <c r="FR664" s="14"/>
    </row>
    <row r="665" ht="15.75" customHeight="1">
      <c r="A665" s="12" t="s">
        <v>547</v>
      </c>
      <c r="B665" s="12" t="s">
        <v>12788</v>
      </c>
      <c r="C665" s="24" t="s">
        <v>14345</v>
      </c>
      <c r="D665" s="12" t="s">
        <v>14579</v>
      </c>
      <c r="E665" s="12" t="s">
        <v>14580</v>
      </c>
      <c r="F665" s="13" t="s">
        <v>178</v>
      </c>
      <c r="G665" s="14" t="s">
        <v>179</v>
      </c>
      <c r="H665" s="14" t="s">
        <v>14581</v>
      </c>
      <c r="I665" s="14" t="s">
        <v>179</v>
      </c>
      <c r="J665" s="14" t="s">
        <v>14582</v>
      </c>
      <c r="K665" s="14" t="s">
        <v>179</v>
      </c>
      <c r="L665" s="14" t="s">
        <v>14583</v>
      </c>
      <c r="M665" s="14" t="s">
        <v>179</v>
      </c>
      <c r="N665" s="14" t="s">
        <v>14584</v>
      </c>
      <c r="O665" s="14" t="s">
        <v>179</v>
      </c>
      <c r="P665" s="14" t="s">
        <v>14585</v>
      </c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6" t="s">
        <v>197</v>
      </c>
      <c r="BP665" s="17" t="s">
        <v>198</v>
      </c>
      <c r="BQ665" s="18">
        <v>45692.69880787037</v>
      </c>
      <c r="BR665" s="17" t="s">
        <v>228</v>
      </c>
      <c r="BS665" s="23"/>
      <c r="BT665" s="17" t="s">
        <v>198</v>
      </c>
      <c r="BU665" s="18">
        <v>45692.69880787037</v>
      </c>
      <c r="BV665" s="13" t="s">
        <v>199</v>
      </c>
      <c r="BW665" s="14" t="s">
        <v>179</v>
      </c>
      <c r="BX665" s="14" t="s">
        <v>14586</v>
      </c>
      <c r="BY665" s="15"/>
      <c r="BZ665" s="15"/>
      <c r="CA665" s="15"/>
      <c r="CB665" s="15"/>
      <c r="CC665" s="15"/>
      <c r="CD665" s="15"/>
      <c r="CE665" s="15"/>
      <c r="CF665" s="15"/>
      <c r="CG665" s="19"/>
      <c r="CH665" s="15"/>
      <c r="CI665" s="19"/>
      <c r="CJ665" s="15"/>
      <c r="CK665" s="19"/>
      <c r="CL665" s="15"/>
      <c r="CM665" s="19"/>
      <c r="CN665" s="15"/>
      <c r="CO665" s="19"/>
      <c r="CP665" s="15"/>
      <c r="CQ665" s="15"/>
      <c r="CR665" s="15"/>
      <c r="CS665" s="19"/>
      <c r="CT665" s="15"/>
      <c r="CU665" s="19"/>
      <c r="CV665" s="15"/>
      <c r="CW665" s="19"/>
      <c r="CX665" s="15"/>
      <c r="CY665" s="19"/>
      <c r="CZ665" s="15"/>
      <c r="DA665" s="16" t="s">
        <v>197</v>
      </c>
      <c r="DB665" s="17" t="s">
        <v>198</v>
      </c>
      <c r="DC665" s="20">
        <v>45692.698854166665</v>
      </c>
      <c r="DD665" s="17" t="s">
        <v>228</v>
      </c>
      <c r="DE665" s="23"/>
      <c r="DF665" s="17" t="s">
        <v>198</v>
      </c>
      <c r="DG665" s="18">
        <v>45692.698854166665</v>
      </c>
      <c r="DH665" s="13" t="s">
        <v>205</v>
      </c>
      <c r="DI665" s="15"/>
      <c r="DJ665" s="15"/>
      <c r="DK665" s="15"/>
      <c r="DL665" s="15"/>
      <c r="DM665" s="15"/>
      <c r="DN665" s="15"/>
      <c r="DO665" s="15"/>
      <c r="DP665" s="15"/>
      <c r="DQ665" s="15"/>
      <c r="DR665" s="15"/>
      <c r="DS665" s="15"/>
      <c r="DT665" s="15"/>
      <c r="DU665" s="15"/>
      <c r="DV665" s="15"/>
      <c r="DW665" s="15"/>
      <c r="DX665" s="15"/>
      <c r="DY665" s="15"/>
      <c r="DZ665" s="15"/>
      <c r="EA665" s="15"/>
      <c r="EB665" s="15"/>
      <c r="EC665" s="16" t="s">
        <v>197</v>
      </c>
      <c r="ED665" s="17" t="s">
        <v>228</v>
      </c>
      <c r="EE665" s="23"/>
      <c r="EF665" s="13" t="s">
        <v>209</v>
      </c>
      <c r="EG665" s="14" t="s">
        <v>179</v>
      </c>
      <c r="EH665" s="14" t="s">
        <v>14587</v>
      </c>
      <c r="EI665" s="15"/>
      <c r="EJ665" s="15"/>
      <c r="EK665" s="15"/>
      <c r="EL665" s="15"/>
      <c r="EM665" s="15"/>
      <c r="EN665" s="15"/>
      <c r="EO665" s="15"/>
      <c r="EP665" s="15"/>
      <c r="EQ665" s="15"/>
      <c r="ER665" s="15"/>
      <c r="ES665" s="15"/>
      <c r="ET665" s="15"/>
      <c r="EU665" s="15"/>
      <c r="EV665" s="15"/>
      <c r="EW665" s="15"/>
      <c r="EX665" s="15"/>
      <c r="EY665" s="15"/>
      <c r="EZ665" s="15"/>
      <c r="FA665" s="15"/>
      <c r="FB665" s="15"/>
      <c r="FC665" s="16" t="s">
        <v>197</v>
      </c>
      <c r="FD665" s="17" t="s">
        <v>198</v>
      </c>
      <c r="FE665" s="18">
        <v>45720.61318287037</v>
      </c>
      <c r="FF665" s="14"/>
      <c r="FG665" s="19"/>
      <c r="FH665" s="17" t="s">
        <v>197</v>
      </c>
      <c r="FI665" s="17" t="s">
        <v>214</v>
      </c>
      <c r="FJ665" s="18">
        <v>45720.61318287037</v>
      </c>
      <c r="FK665" s="14" t="s">
        <v>14587</v>
      </c>
      <c r="FL665" s="14" t="s">
        <v>14588</v>
      </c>
      <c r="FM665" s="14" t="s">
        <v>14589</v>
      </c>
      <c r="FN665" s="19"/>
      <c r="FO665" s="19"/>
      <c r="FP665" s="19" t="str">
        <f t="shared" si="1"/>
        <v>Base de Dados_Images/PSV-627888.Imagem do Equipamento-.105029.jpg</v>
      </c>
      <c r="FQ665" s="14"/>
      <c r="FR665" s="14"/>
    </row>
    <row r="666" ht="15.75" customHeight="1">
      <c r="A666" s="12" t="s">
        <v>174</v>
      </c>
      <c r="B666" s="12" t="s">
        <v>1325</v>
      </c>
      <c r="C666" s="24" t="s">
        <v>14345</v>
      </c>
      <c r="D666" s="12" t="s">
        <v>14590</v>
      </c>
      <c r="E666" s="12" t="s">
        <v>14591</v>
      </c>
      <c r="F666" s="13" t="s">
        <v>178</v>
      </c>
      <c r="G666" s="14" t="s">
        <v>179</v>
      </c>
      <c r="H666" s="14" t="s">
        <v>14592</v>
      </c>
      <c r="I666" s="14" t="s">
        <v>179</v>
      </c>
      <c r="J666" s="14" t="s">
        <v>14593</v>
      </c>
      <c r="K666" s="14" t="s">
        <v>179</v>
      </c>
      <c r="L666" s="14" t="s">
        <v>14594</v>
      </c>
      <c r="M666" s="14" t="s">
        <v>179</v>
      </c>
      <c r="N666" s="14" t="s">
        <v>14595</v>
      </c>
      <c r="O666" s="14" t="s">
        <v>179</v>
      </c>
      <c r="P666" s="14" t="s">
        <v>14596</v>
      </c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6" t="s">
        <v>197</v>
      </c>
      <c r="BP666" s="17" t="s">
        <v>198</v>
      </c>
      <c r="BQ666" s="18">
        <v>45686.496782407405</v>
      </c>
      <c r="BR666" s="17" t="s">
        <v>228</v>
      </c>
      <c r="BS666" s="23"/>
      <c r="BT666" s="17" t="s">
        <v>198</v>
      </c>
      <c r="BU666" s="18">
        <v>45686.496782407405</v>
      </c>
      <c r="BV666" s="13" t="s">
        <v>199</v>
      </c>
      <c r="BW666" s="14" t="s">
        <v>179</v>
      </c>
      <c r="BX666" s="14" t="s">
        <v>14597</v>
      </c>
      <c r="BY666" s="15"/>
      <c r="BZ666" s="15"/>
      <c r="CA666" s="15"/>
      <c r="CB666" s="15"/>
      <c r="CC666" s="15"/>
      <c r="CD666" s="15"/>
      <c r="CE666" s="15"/>
      <c r="CF666" s="15"/>
      <c r="CG666" s="19"/>
      <c r="CH666" s="15"/>
      <c r="CI666" s="19"/>
      <c r="CJ666" s="15"/>
      <c r="CK666" s="19"/>
      <c r="CL666" s="15"/>
      <c r="CM666" s="19"/>
      <c r="CN666" s="15"/>
      <c r="CO666" s="19"/>
      <c r="CP666" s="15"/>
      <c r="CQ666" s="15"/>
      <c r="CR666" s="15"/>
      <c r="CS666" s="19"/>
      <c r="CT666" s="15"/>
      <c r="CU666" s="19"/>
      <c r="CV666" s="15"/>
      <c r="CW666" s="19"/>
      <c r="CX666" s="15"/>
      <c r="CY666" s="19"/>
      <c r="CZ666" s="15"/>
      <c r="DA666" s="16" t="s">
        <v>197</v>
      </c>
      <c r="DB666" s="17" t="s">
        <v>198</v>
      </c>
      <c r="DC666" s="20">
        <v>45698.6902662037</v>
      </c>
      <c r="DD666" s="17" t="s">
        <v>228</v>
      </c>
      <c r="DE666" s="23"/>
      <c r="DF666" s="17" t="s">
        <v>198</v>
      </c>
      <c r="DG666" s="18">
        <v>45698.6902662037</v>
      </c>
      <c r="DH666" s="13" t="s">
        <v>205</v>
      </c>
      <c r="DI666" s="15"/>
      <c r="DJ666" s="15"/>
      <c r="DK666" s="15"/>
      <c r="DL666" s="15"/>
      <c r="DM666" s="15"/>
      <c r="DN666" s="15"/>
      <c r="DO666" s="15"/>
      <c r="DP666" s="15"/>
      <c r="DQ666" s="15"/>
      <c r="DR666" s="15"/>
      <c r="DS666" s="15"/>
      <c r="DT666" s="15"/>
      <c r="DU666" s="15"/>
      <c r="DV666" s="15"/>
      <c r="DW666" s="15"/>
      <c r="DX666" s="15"/>
      <c r="DY666" s="15"/>
      <c r="DZ666" s="15"/>
      <c r="EA666" s="15"/>
      <c r="EB666" s="15"/>
      <c r="EC666" s="16" t="s">
        <v>197</v>
      </c>
      <c r="ED666" s="17" t="s">
        <v>228</v>
      </c>
      <c r="EE666" s="23"/>
      <c r="EF666" s="13" t="s">
        <v>209</v>
      </c>
      <c r="EG666" s="14" t="s">
        <v>179</v>
      </c>
      <c r="EH666" s="14" t="s">
        <v>14598</v>
      </c>
      <c r="EI666" s="15"/>
      <c r="EJ666" s="15"/>
      <c r="EK666" s="15"/>
      <c r="EL666" s="15"/>
      <c r="EM666" s="15"/>
      <c r="EN666" s="15"/>
      <c r="EO666" s="15"/>
      <c r="EP666" s="15"/>
      <c r="EQ666" s="15"/>
      <c r="ER666" s="15"/>
      <c r="ES666" s="15"/>
      <c r="ET666" s="15"/>
      <c r="EU666" s="15"/>
      <c r="EV666" s="15"/>
      <c r="EW666" s="15"/>
      <c r="EX666" s="15"/>
      <c r="EY666" s="15"/>
      <c r="EZ666" s="15"/>
      <c r="FA666" s="15"/>
      <c r="FB666" s="15"/>
      <c r="FC666" s="16" t="s">
        <v>197</v>
      </c>
      <c r="FD666" s="17" t="s">
        <v>198</v>
      </c>
      <c r="FE666" s="18">
        <v>45708.344502314816</v>
      </c>
      <c r="FF666" s="19"/>
      <c r="FG666" s="19"/>
      <c r="FH666" s="21" t="s">
        <v>197</v>
      </c>
      <c r="FI666" s="17" t="s">
        <v>214</v>
      </c>
      <c r="FJ666" s="18">
        <v>45708.344502314816</v>
      </c>
      <c r="FK666" s="14" t="s">
        <v>14598</v>
      </c>
      <c r="FL666" s="14" t="s">
        <v>14599</v>
      </c>
      <c r="FM666" s="14" t="s">
        <v>14600</v>
      </c>
      <c r="FN666" s="19"/>
      <c r="FO666" s="19"/>
      <c r="FP666" s="19" t="str">
        <f t="shared" si="1"/>
        <v>Base de Dados_Images/PSV-627890.Imagem do Equipamento-.152011.jpg</v>
      </c>
      <c r="FQ666" s="19"/>
      <c r="FR666" s="19"/>
    </row>
    <row r="667" ht="15.75" customHeight="1">
      <c r="A667" s="12" t="s">
        <v>174</v>
      </c>
      <c r="B667" s="12" t="s">
        <v>1258</v>
      </c>
      <c r="C667" s="24" t="s">
        <v>14345</v>
      </c>
      <c r="D667" s="12" t="s">
        <v>14601</v>
      </c>
      <c r="E667" s="12" t="s">
        <v>14602</v>
      </c>
      <c r="F667" s="13" t="s">
        <v>178</v>
      </c>
      <c r="G667" s="14" t="s">
        <v>179</v>
      </c>
      <c r="H667" s="14" t="s">
        <v>14603</v>
      </c>
      <c r="I667" s="14" t="s">
        <v>179</v>
      </c>
      <c r="J667" s="14" t="s">
        <v>14604</v>
      </c>
      <c r="K667" s="14" t="s">
        <v>179</v>
      </c>
      <c r="L667" s="14" t="s">
        <v>14605</v>
      </c>
      <c r="M667" s="14" t="s">
        <v>179</v>
      </c>
      <c r="N667" s="14" t="s">
        <v>14606</v>
      </c>
      <c r="O667" s="14" t="s">
        <v>179</v>
      </c>
      <c r="P667" s="14" t="s">
        <v>14607</v>
      </c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6" t="s">
        <v>197</v>
      </c>
      <c r="BP667" s="17" t="s">
        <v>198</v>
      </c>
      <c r="BQ667" s="18">
        <v>45698.69226851852</v>
      </c>
      <c r="BR667" s="17" t="s">
        <v>228</v>
      </c>
      <c r="BS667" s="23"/>
      <c r="BT667" s="17" t="s">
        <v>198</v>
      </c>
      <c r="BU667" s="18">
        <v>45698.69226851852</v>
      </c>
      <c r="BV667" s="13" t="s">
        <v>199</v>
      </c>
      <c r="BW667" s="14" t="s">
        <v>179</v>
      </c>
      <c r="BX667" s="14" t="s">
        <v>14608</v>
      </c>
      <c r="BY667" s="15"/>
      <c r="BZ667" s="15"/>
      <c r="CA667" s="15"/>
      <c r="CB667" s="15"/>
      <c r="CC667" s="15"/>
      <c r="CD667" s="15"/>
      <c r="CE667" s="15"/>
      <c r="CF667" s="15"/>
      <c r="CG667" s="19"/>
      <c r="CH667" s="15"/>
      <c r="CI667" s="19"/>
      <c r="CJ667" s="15"/>
      <c r="CK667" s="19"/>
      <c r="CL667" s="15"/>
      <c r="CM667" s="19"/>
      <c r="CN667" s="15"/>
      <c r="CO667" s="19"/>
      <c r="CP667" s="15"/>
      <c r="CQ667" s="15"/>
      <c r="CR667" s="15"/>
      <c r="CS667" s="19"/>
      <c r="CT667" s="15"/>
      <c r="CU667" s="19"/>
      <c r="CV667" s="15"/>
      <c r="CW667" s="19"/>
      <c r="CX667" s="15"/>
      <c r="CY667" s="19"/>
      <c r="CZ667" s="15"/>
      <c r="DA667" s="16" t="s">
        <v>197</v>
      </c>
      <c r="DB667" s="17" t="s">
        <v>198</v>
      </c>
      <c r="DC667" s="20">
        <v>45698.692407407405</v>
      </c>
      <c r="DD667" s="17" t="s">
        <v>228</v>
      </c>
      <c r="DE667" s="23"/>
      <c r="DF667" s="17" t="s">
        <v>198</v>
      </c>
      <c r="DG667" s="18">
        <v>45698.692407407405</v>
      </c>
      <c r="DH667" s="13" t="s">
        <v>205</v>
      </c>
      <c r="DI667" s="15"/>
      <c r="DJ667" s="15"/>
      <c r="DK667" s="15"/>
      <c r="DL667" s="15"/>
      <c r="DM667" s="15"/>
      <c r="DN667" s="15"/>
      <c r="DO667" s="15"/>
      <c r="DP667" s="15"/>
      <c r="DQ667" s="15"/>
      <c r="DR667" s="15"/>
      <c r="DS667" s="15"/>
      <c r="DT667" s="15"/>
      <c r="DU667" s="15"/>
      <c r="DV667" s="15"/>
      <c r="DW667" s="15"/>
      <c r="DX667" s="15"/>
      <c r="DY667" s="15"/>
      <c r="DZ667" s="15"/>
      <c r="EA667" s="15"/>
      <c r="EB667" s="15"/>
      <c r="EC667" s="16" t="s">
        <v>197</v>
      </c>
      <c r="ED667" s="17" t="s">
        <v>228</v>
      </c>
      <c r="EE667" s="23"/>
      <c r="EF667" s="13" t="s">
        <v>209</v>
      </c>
      <c r="EG667" s="14" t="s">
        <v>179</v>
      </c>
      <c r="EH667" s="14" t="s">
        <v>14609</v>
      </c>
      <c r="EI667" s="15"/>
      <c r="EJ667" s="15"/>
      <c r="EK667" s="15"/>
      <c r="EL667" s="15"/>
      <c r="EM667" s="15"/>
      <c r="EN667" s="15"/>
      <c r="EO667" s="15"/>
      <c r="EP667" s="15"/>
      <c r="EQ667" s="15"/>
      <c r="ER667" s="15"/>
      <c r="ES667" s="15"/>
      <c r="ET667" s="15"/>
      <c r="EU667" s="15"/>
      <c r="EV667" s="15"/>
      <c r="EW667" s="15"/>
      <c r="EX667" s="15"/>
      <c r="EY667" s="15"/>
      <c r="EZ667" s="15"/>
      <c r="FA667" s="15"/>
      <c r="FB667" s="15"/>
      <c r="FC667" s="16" t="s">
        <v>197</v>
      </c>
      <c r="FD667" s="17" t="s">
        <v>198</v>
      </c>
      <c r="FE667" s="18">
        <v>45708.34034722222</v>
      </c>
      <c r="FF667" s="19"/>
      <c r="FG667" s="19"/>
      <c r="FH667" s="21" t="s">
        <v>197</v>
      </c>
      <c r="FI667" s="17" t="s">
        <v>214</v>
      </c>
      <c r="FJ667" s="18">
        <v>45708.34034722222</v>
      </c>
      <c r="FK667" s="14" t="s">
        <v>14609</v>
      </c>
      <c r="FL667" s="14" t="s">
        <v>14610</v>
      </c>
      <c r="FM667" s="14" t="s">
        <v>14611</v>
      </c>
      <c r="FN667" s="19"/>
      <c r="FO667" s="19"/>
      <c r="FP667" s="19" t="str">
        <f t="shared" si="1"/>
        <v>Base de Dados_Images/PSV-627891.Imagem do Equipamento-.193941.jpg</v>
      </c>
      <c r="FQ667" s="14"/>
      <c r="FR667" s="14"/>
    </row>
    <row r="668" ht="15.75" customHeight="1">
      <c r="A668" s="12" t="s">
        <v>174</v>
      </c>
      <c r="B668" s="12" t="s">
        <v>13322</v>
      </c>
      <c r="C668" s="24" t="s">
        <v>14345</v>
      </c>
      <c r="D668" s="12" t="s">
        <v>14612</v>
      </c>
      <c r="E668" s="12" t="s">
        <v>14613</v>
      </c>
      <c r="F668" s="13" t="s">
        <v>178</v>
      </c>
      <c r="G668" s="14" t="s">
        <v>179</v>
      </c>
      <c r="H668" s="14" t="s">
        <v>14614</v>
      </c>
      <c r="I668" s="14" t="s">
        <v>179</v>
      </c>
      <c r="J668" s="14" t="s">
        <v>14615</v>
      </c>
      <c r="K668" s="14" t="s">
        <v>179</v>
      </c>
      <c r="L668" s="14" t="s">
        <v>14616</v>
      </c>
      <c r="M668" s="14" t="s">
        <v>179</v>
      </c>
      <c r="N668" s="14" t="s">
        <v>14617</v>
      </c>
      <c r="O668" s="14" t="s">
        <v>179</v>
      </c>
      <c r="P668" s="14" t="s">
        <v>14618</v>
      </c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6" t="s">
        <v>197</v>
      </c>
      <c r="BP668" s="17" t="s">
        <v>198</v>
      </c>
      <c r="BQ668" s="18">
        <v>45694.425787037035</v>
      </c>
      <c r="BR668" s="17" t="s">
        <v>228</v>
      </c>
      <c r="BS668" s="23"/>
      <c r="BT668" s="17" t="s">
        <v>198</v>
      </c>
      <c r="BU668" s="18">
        <v>45694.425787037035</v>
      </c>
      <c r="BV668" s="13" t="s">
        <v>199</v>
      </c>
      <c r="BW668" s="14" t="s">
        <v>179</v>
      </c>
      <c r="BX668" s="14" t="s">
        <v>14619</v>
      </c>
      <c r="BY668" s="15"/>
      <c r="BZ668" s="15"/>
      <c r="CA668" s="15"/>
      <c r="CB668" s="15"/>
      <c r="CC668" s="15"/>
      <c r="CD668" s="15"/>
      <c r="CE668" s="15"/>
      <c r="CF668" s="15"/>
      <c r="CG668" s="19"/>
      <c r="CH668" s="15"/>
      <c r="CI668" s="19"/>
      <c r="CJ668" s="15"/>
      <c r="CK668" s="19"/>
      <c r="CL668" s="15"/>
      <c r="CM668" s="19"/>
      <c r="CN668" s="15"/>
      <c r="CO668" s="19"/>
      <c r="CP668" s="15"/>
      <c r="CQ668" s="15"/>
      <c r="CR668" s="15"/>
      <c r="CS668" s="19"/>
      <c r="CT668" s="15"/>
      <c r="CU668" s="19"/>
      <c r="CV668" s="15"/>
      <c r="CW668" s="19"/>
      <c r="CX668" s="15"/>
      <c r="CY668" s="19"/>
      <c r="CZ668" s="15"/>
      <c r="DA668" s="16" t="s">
        <v>197</v>
      </c>
      <c r="DB668" s="17" t="s">
        <v>198</v>
      </c>
      <c r="DC668" s="20">
        <v>45708.347719907404</v>
      </c>
      <c r="DD668" s="17" t="s">
        <v>228</v>
      </c>
      <c r="DE668" s="23"/>
      <c r="DF668" s="17" t="s">
        <v>198</v>
      </c>
      <c r="DG668" s="18">
        <v>45708.347719907404</v>
      </c>
      <c r="DH668" s="13" t="s">
        <v>205</v>
      </c>
      <c r="DI668" s="15"/>
      <c r="DJ668" s="15"/>
      <c r="DK668" s="15"/>
      <c r="DL668" s="15"/>
      <c r="DM668" s="15"/>
      <c r="DN668" s="15"/>
      <c r="DO668" s="15"/>
      <c r="DP668" s="15"/>
      <c r="DQ668" s="15"/>
      <c r="DR668" s="15"/>
      <c r="DS668" s="15"/>
      <c r="DT668" s="15"/>
      <c r="DU668" s="15"/>
      <c r="DV668" s="15"/>
      <c r="DW668" s="15"/>
      <c r="DX668" s="15"/>
      <c r="DY668" s="15"/>
      <c r="DZ668" s="15"/>
      <c r="EA668" s="15"/>
      <c r="EB668" s="15"/>
      <c r="EC668" s="16" t="s">
        <v>197</v>
      </c>
      <c r="ED668" s="17" t="s">
        <v>228</v>
      </c>
      <c r="EE668" s="23"/>
      <c r="EF668" s="13" t="s">
        <v>209</v>
      </c>
      <c r="EG668" s="14" t="s">
        <v>179</v>
      </c>
      <c r="EH668" s="14" t="s">
        <v>14620</v>
      </c>
      <c r="EI668" s="15"/>
      <c r="EJ668" s="15"/>
      <c r="EK668" s="15"/>
      <c r="EL668" s="15"/>
      <c r="EM668" s="15"/>
      <c r="EN668" s="15"/>
      <c r="EO668" s="15"/>
      <c r="EP668" s="15"/>
      <c r="EQ668" s="15"/>
      <c r="ER668" s="15"/>
      <c r="ES668" s="15"/>
      <c r="ET668" s="15"/>
      <c r="EU668" s="15"/>
      <c r="EV668" s="15"/>
      <c r="EW668" s="15"/>
      <c r="EX668" s="15"/>
      <c r="EY668" s="15"/>
      <c r="EZ668" s="15"/>
      <c r="FA668" s="15"/>
      <c r="FB668" s="15"/>
      <c r="FC668" s="16" t="s">
        <v>197</v>
      </c>
      <c r="FD668" s="17" t="s">
        <v>198</v>
      </c>
      <c r="FE668" s="18">
        <v>45708.34775462963</v>
      </c>
      <c r="FF668" s="19"/>
      <c r="FG668" s="19"/>
      <c r="FH668" s="21" t="s">
        <v>197</v>
      </c>
      <c r="FI668" s="17" t="s">
        <v>214</v>
      </c>
      <c r="FJ668" s="18">
        <v>45708.34775462963</v>
      </c>
      <c r="FK668" s="14" t="s">
        <v>14620</v>
      </c>
      <c r="FL668" s="19"/>
      <c r="FM668" s="19"/>
      <c r="FN668" s="19"/>
      <c r="FO668" s="19"/>
      <c r="FP668" s="19" t="str">
        <f t="shared" si="1"/>
        <v/>
      </c>
      <c r="FQ668" s="14" t="s">
        <v>215</v>
      </c>
      <c r="FR668" s="14" t="s">
        <v>14621</v>
      </c>
    </row>
    <row r="669" ht="15.75" customHeight="1">
      <c r="A669" s="12" t="s">
        <v>174</v>
      </c>
      <c r="B669" s="12" t="s">
        <v>1192</v>
      </c>
      <c r="C669" s="24" t="s">
        <v>14345</v>
      </c>
      <c r="D669" s="12" t="s">
        <v>14622</v>
      </c>
      <c r="E669" s="12" t="s">
        <v>14623</v>
      </c>
      <c r="F669" s="13" t="s">
        <v>178</v>
      </c>
      <c r="G669" s="14" t="s">
        <v>179</v>
      </c>
      <c r="H669" s="14" t="s">
        <v>14624</v>
      </c>
      <c r="I669" s="14" t="s">
        <v>179</v>
      </c>
      <c r="J669" s="14" t="s">
        <v>14625</v>
      </c>
      <c r="K669" s="14" t="s">
        <v>179</v>
      </c>
      <c r="L669" s="14" t="s">
        <v>14626</v>
      </c>
      <c r="M669" s="14" t="s">
        <v>179</v>
      </c>
      <c r="N669" s="14" t="s">
        <v>14627</v>
      </c>
      <c r="O669" s="14" t="s">
        <v>179</v>
      </c>
      <c r="P669" s="14" t="s">
        <v>14628</v>
      </c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6" t="s">
        <v>197</v>
      </c>
      <c r="BP669" s="17" t="s">
        <v>198</v>
      </c>
      <c r="BQ669" s="18">
        <v>45686.458958333336</v>
      </c>
      <c r="BR669" s="17" t="s">
        <v>228</v>
      </c>
      <c r="BS669" s="23"/>
      <c r="BT669" s="17" t="s">
        <v>198</v>
      </c>
      <c r="BU669" s="18">
        <v>45686.458958333336</v>
      </c>
      <c r="BV669" s="13" t="s">
        <v>199</v>
      </c>
      <c r="BW669" s="14" t="s">
        <v>179</v>
      </c>
      <c r="BX669" s="14" t="s">
        <v>14629</v>
      </c>
      <c r="BY669" s="15"/>
      <c r="BZ669" s="15"/>
      <c r="CA669" s="15"/>
      <c r="CB669" s="15"/>
      <c r="CC669" s="15"/>
      <c r="CD669" s="15"/>
      <c r="CE669" s="15"/>
      <c r="CF669" s="15"/>
      <c r="CG669" s="19"/>
      <c r="CH669" s="15"/>
      <c r="CI669" s="19"/>
      <c r="CJ669" s="15"/>
      <c r="CK669" s="19"/>
      <c r="CL669" s="15"/>
      <c r="CM669" s="19"/>
      <c r="CN669" s="15"/>
      <c r="CO669" s="19"/>
      <c r="CP669" s="15"/>
      <c r="CQ669" s="15"/>
      <c r="CR669" s="15"/>
      <c r="CS669" s="19"/>
      <c r="CT669" s="15"/>
      <c r="CU669" s="19"/>
      <c r="CV669" s="15"/>
      <c r="CW669" s="19"/>
      <c r="CX669" s="15"/>
      <c r="CY669" s="19"/>
      <c r="CZ669" s="15"/>
      <c r="DA669" s="16" t="s">
        <v>197</v>
      </c>
      <c r="DB669" s="17" t="s">
        <v>198</v>
      </c>
      <c r="DC669" s="20">
        <v>45694.469560185185</v>
      </c>
      <c r="DD669" s="17" t="s">
        <v>228</v>
      </c>
      <c r="DE669" s="23"/>
      <c r="DF669" s="17" t="s">
        <v>198</v>
      </c>
      <c r="DG669" s="18">
        <v>45694.469560185185</v>
      </c>
      <c r="DH669" s="13" t="s">
        <v>205</v>
      </c>
      <c r="DI669" s="15"/>
      <c r="DJ669" s="15"/>
      <c r="DK669" s="15"/>
      <c r="DL669" s="15"/>
      <c r="DM669" s="15"/>
      <c r="DN669" s="15"/>
      <c r="DO669" s="15"/>
      <c r="DP669" s="15"/>
      <c r="DQ669" s="15"/>
      <c r="DR669" s="15"/>
      <c r="DS669" s="15"/>
      <c r="DT669" s="15"/>
      <c r="DU669" s="15"/>
      <c r="DV669" s="15"/>
      <c r="DW669" s="15"/>
      <c r="DX669" s="15"/>
      <c r="DY669" s="15"/>
      <c r="DZ669" s="15"/>
      <c r="EA669" s="15"/>
      <c r="EB669" s="15"/>
      <c r="EC669" s="16" t="s">
        <v>197</v>
      </c>
      <c r="ED669" s="17" t="s">
        <v>228</v>
      </c>
      <c r="EE669" s="23"/>
      <c r="EF669" s="13" t="s">
        <v>209</v>
      </c>
      <c r="EG669" s="14" t="s">
        <v>179</v>
      </c>
      <c r="EH669" s="14" t="s">
        <v>14630</v>
      </c>
      <c r="EI669" s="15"/>
      <c r="EJ669" s="15"/>
      <c r="EK669" s="15"/>
      <c r="EL669" s="15"/>
      <c r="EM669" s="15"/>
      <c r="EN669" s="15"/>
      <c r="EO669" s="15"/>
      <c r="EP669" s="15"/>
      <c r="EQ669" s="15"/>
      <c r="ER669" s="15"/>
      <c r="ES669" s="15"/>
      <c r="ET669" s="15"/>
      <c r="EU669" s="15"/>
      <c r="EV669" s="15"/>
      <c r="EW669" s="15"/>
      <c r="EX669" s="15"/>
      <c r="EY669" s="15"/>
      <c r="EZ669" s="15"/>
      <c r="FA669" s="15"/>
      <c r="FB669" s="15"/>
      <c r="FC669" s="16" t="s">
        <v>197</v>
      </c>
      <c r="FD669" s="17" t="s">
        <v>198</v>
      </c>
      <c r="FE669" s="18">
        <v>45708.35171296296</v>
      </c>
      <c r="FF669" s="19"/>
      <c r="FG669" s="19"/>
      <c r="FH669" s="21" t="s">
        <v>197</v>
      </c>
      <c r="FI669" s="17" t="s">
        <v>214</v>
      </c>
      <c r="FJ669" s="18">
        <v>45708.35171296296</v>
      </c>
      <c r="FK669" s="14" t="s">
        <v>14630</v>
      </c>
      <c r="FL669" s="14" t="s">
        <v>14631</v>
      </c>
      <c r="FM669" s="14" t="s">
        <v>14632</v>
      </c>
      <c r="FN669" s="19"/>
      <c r="FO669" s="19"/>
      <c r="FP669" s="19" t="str">
        <f t="shared" si="1"/>
        <v>Base de Dados_Images/PSV-627894.Imagem do Equipamento-.141417.jpg</v>
      </c>
      <c r="FQ669" s="19"/>
      <c r="FR669" s="19"/>
    </row>
    <row r="670" ht="15.75" customHeight="1">
      <c r="A670" s="12" t="s">
        <v>292</v>
      </c>
      <c r="B670" s="12" t="s">
        <v>12788</v>
      </c>
      <c r="C670" s="24" t="s">
        <v>14345</v>
      </c>
      <c r="D670" s="12" t="s">
        <v>14633</v>
      </c>
      <c r="E670" s="12" t="s">
        <v>14634</v>
      </c>
      <c r="F670" s="13" t="s">
        <v>178</v>
      </c>
      <c r="G670" s="14" t="s">
        <v>179</v>
      </c>
      <c r="H670" s="14" t="s">
        <v>14635</v>
      </c>
      <c r="I670" s="14" t="s">
        <v>179</v>
      </c>
      <c r="J670" s="14" t="s">
        <v>14636</v>
      </c>
      <c r="K670" s="14" t="s">
        <v>179</v>
      </c>
      <c r="L670" s="14" t="s">
        <v>14637</v>
      </c>
      <c r="M670" s="14" t="s">
        <v>179</v>
      </c>
      <c r="N670" s="14" t="s">
        <v>14638</v>
      </c>
      <c r="O670" s="14" t="s">
        <v>179</v>
      </c>
      <c r="P670" s="14" t="s">
        <v>14639</v>
      </c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6" t="s">
        <v>197</v>
      </c>
      <c r="BP670" s="17" t="s">
        <v>198</v>
      </c>
      <c r="BQ670" s="18">
        <v>45688.518645833334</v>
      </c>
      <c r="BR670" s="17" t="s">
        <v>228</v>
      </c>
      <c r="BS670" s="23"/>
      <c r="BT670" s="17" t="s">
        <v>198</v>
      </c>
      <c r="BU670" s="18">
        <v>45688.518645833334</v>
      </c>
      <c r="BV670" s="13" t="s">
        <v>199</v>
      </c>
      <c r="BW670" s="14" t="s">
        <v>179</v>
      </c>
      <c r="BX670" s="14" t="s">
        <v>14640</v>
      </c>
      <c r="BY670" s="15"/>
      <c r="BZ670" s="15"/>
      <c r="CA670" s="15"/>
      <c r="CB670" s="15"/>
      <c r="CC670" s="15"/>
      <c r="CD670" s="15"/>
      <c r="CE670" s="15"/>
      <c r="CF670" s="15"/>
      <c r="CG670" s="19"/>
      <c r="CH670" s="15"/>
      <c r="CI670" s="19"/>
      <c r="CJ670" s="15"/>
      <c r="CK670" s="19"/>
      <c r="CL670" s="15"/>
      <c r="CM670" s="19"/>
      <c r="CN670" s="15"/>
      <c r="CO670" s="19"/>
      <c r="CP670" s="15"/>
      <c r="CQ670" s="15"/>
      <c r="CR670" s="15"/>
      <c r="CS670" s="19"/>
      <c r="CT670" s="15"/>
      <c r="CU670" s="19"/>
      <c r="CV670" s="15"/>
      <c r="CW670" s="19"/>
      <c r="CX670" s="15"/>
      <c r="CY670" s="19"/>
      <c r="CZ670" s="15"/>
      <c r="DA670" s="16" t="s">
        <v>197</v>
      </c>
      <c r="DB670" s="17" t="s">
        <v>198</v>
      </c>
      <c r="DC670" s="20">
        <v>45693.43835648148</v>
      </c>
      <c r="DD670" s="17" t="s">
        <v>228</v>
      </c>
      <c r="DE670" s="23"/>
      <c r="DF670" s="17" t="s">
        <v>198</v>
      </c>
      <c r="DG670" s="18">
        <v>45693.43835648148</v>
      </c>
      <c r="DH670" s="13" t="s">
        <v>205</v>
      </c>
      <c r="DI670" s="15"/>
      <c r="DJ670" s="15"/>
      <c r="DK670" s="15"/>
      <c r="DL670" s="15"/>
      <c r="DM670" s="15"/>
      <c r="DN670" s="15"/>
      <c r="DO670" s="15"/>
      <c r="DP670" s="15"/>
      <c r="DQ670" s="15"/>
      <c r="DR670" s="15"/>
      <c r="DS670" s="15"/>
      <c r="DT670" s="15"/>
      <c r="DU670" s="15"/>
      <c r="DV670" s="15"/>
      <c r="DW670" s="15"/>
      <c r="DX670" s="15"/>
      <c r="DY670" s="15"/>
      <c r="DZ670" s="15"/>
      <c r="EA670" s="15"/>
      <c r="EB670" s="15"/>
      <c r="EC670" s="16" t="s">
        <v>197</v>
      </c>
      <c r="ED670" s="17" t="s">
        <v>228</v>
      </c>
      <c r="EE670" s="23"/>
      <c r="EF670" s="13" t="s">
        <v>209</v>
      </c>
      <c r="EG670" s="14" t="s">
        <v>179</v>
      </c>
      <c r="EH670" s="14" t="s">
        <v>14641</v>
      </c>
      <c r="EI670" s="15"/>
      <c r="EJ670" s="15"/>
      <c r="EK670" s="15"/>
      <c r="EL670" s="15"/>
      <c r="EM670" s="15"/>
      <c r="EN670" s="15"/>
      <c r="EO670" s="15"/>
      <c r="EP670" s="15"/>
      <c r="EQ670" s="15"/>
      <c r="ER670" s="15"/>
      <c r="ES670" s="15"/>
      <c r="ET670" s="15"/>
      <c r="EU670" s="15"/>
      <c r="EV670" s="15"/>
      <c r="EW670" s="15"/>
      <c r="EX670" s="15"/>
      <c r="EY670" s="15"/>
      <c r="EZ670" s="15"/>
      <c r="FA670" s="15"/>
      <c r="FB670" s="15"/>
      <c r="FC670" s="16" t="s">
        <v>197</v>
      </c>
      <c r="FD670" s="17" t="s">
        <v>198</v>
      </c>
      <c r="FE670" s="18">
        <v>45722.356620370374</v>
      </c>
      <c r="FF670" s="19"/>
      <c r="FG670" s="19"/>
      <c r="FH670" s="21" t="s">
        <v>197</v>
      </c>
      <c r="FI670" s="17" t="s">
        <v>214</v>
      </c>
      <c r="FJ670" s="18">
        <v>45722.356620370374</v>
      </c>
      <c r="FK670" s="14" t="s">
        <v>14641</v>
      </c>
      <c r="FL670" s="14" t="s">
        <v>14642</v>
      </c>
      <c r="FM670" s="14" t="s">
        <v>14643</v>
      </c>
      <c r="FN670" s="19"/>
      <c r="FO670" s="19"/>
      <c r="FP670" s="19" t="str">
        <f t="shared" si="1"/>
        <v>Base de Dados_Images/PSV-627904.Imagem do Equipamento-.160018.jpg</v>
      </c>
      <c r="FQ670" s="14"/>
      <c r="FR670" s="14"/>
    </row>
    <row r="671" ht="15.75" customHeight="1">
      <c r="A671" s="12" t="s">
        <v>292</v>
      </c>
      <c r="B671" s="12" t="s">
        <v>12788</v>
      </c>
      <c r="C671" s="24" t="s">
        <v>14345</v>
      </c>
      <c r="D671" s="12" t="s">
        <v>14644</v>
      </c>
      <c r="E671" s="12" t="s">
        <v>14645</v>
      </c>
      <c r="F671" s="13" t="s">
        <v>178</v>
      </c>
      <c r="G671" s="14" t="s">
        <v>179</v>
      </c>
      <c r="H671" s="14" t="s">
        <v>14646</v>
      </c>
      <c r="I671" s="14" t="s">
        <v>179</v>
      </c>
      <c r="J671" s="14" t="s">
        <v>14647</v>
      </c>
      <c r="K671" s="14" t="s">
        <v>179</v>
      </c>
      <c r="L671" s="14" t="s">
        <v>14648</v>
      </c>
      <c r="M671" s="14" t="s">
        <v>179</v>
      </c>
      <c r="N671" s="14" t="s">
        <v>14649</v>
      </c>
      <c r="O671" s="14" t="s">
        <v>179</v>
      </c>
      <c r="P671" s="14" t="s">
        <v>14650</v>
      </c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6" t="s">
        <v>197</v>
      </c>
      <c r="BP671" s="17" t="s">
        <v>198</v>
      </c>
      <c r="BQ671" s="18">
        <v>45688.525034722225</v>
      </c>
      <c r="BR671" s="17" t="s">
        <v>228</v>
      </c>
      <c r="BS671" s="23"/>
      <c r="BT671" s="17" t="s">
        <v>198</v>
      </c>
      <c r="BU671" s="18">
        <v>45688.525034722225</v>
      </c>
      <c r="BV671" s="13" t="s">
        <v>199</v>
      </c>
      <c r="BW671" s="14" t="s">
        <v>179</v>
      </c>
      <c r="BX671" s="14" t="s">
        <v>14651</v>
      </c>
      <c r="BY671" s="15"/>
      <c r="BZ671" s="15"/>
      <c r="CA671" s="15"/>
      <c r="CB671" s="15"/>
      <c r="CC671" s="15"/>
      <c r="CD671" s="15"/>
      <c r="CE671" s="15"/>
      <c r="CF671" s="15"/>
      <c r="CG671" s="19"/>
      <c r="CH671" s="15"/>
      <c r="CI671" s="19"/>
      <c r="CJ671" s="15"/>
      <c r="CK671" s="19"/>
      <c r="CL671" s="15"/>
      <c r="CM671" s="19"/>
      <c r="CN671" s="15"/>
      <c r="CO671" s="19"/>
      <c r="CP671" s="15"/>
      <c r="CQ671" s="15"/>
      <c r="CR671" s="15"/>
      <c r="CS671" s="19"/>
      <c r="CT671" s="15"/>
      <c r="CU671" s="19"/>
      <c r="CV671" s="15"/>
      <c r="CW671" s="19"/>
      <c r="CX671" s="15"/>
      <c r="CY671" s="19"/>
      <c r="CZ671" s="15"/>
      <c r="DA671" s="16" t="s">
        <v>197</v>
      </c>
      <c r="DB671" s="17" t="s">
        <v>198</v>
      </c>
      <c r="DC671" s="20">
        <v>45693.4396875</v>
      </c>
      <c r="DD671" s="17" t="s">
        <v>228</v>
      </c>
      <c r="DE671" s="23"/>
      <c r="DF671" s="17" t="s">
        <v>198</v>
      </c>
      <c r="DG671" s="18">
        <v>45693.4396875</v>
      </c>
      <c r="DH671" s="13" t="s">
        <v>205</v>
      </c>
      <c r="DI671" s="15"/>
      <c r="DJ671" s="15"/>
      <c r="DK671" s="15"/>
      <c r="DL671" s="15"/>
      <c r="DM671" s="15"/>
      <c r="DN671" s="15"/>
      <c r="DO671" s="15"/>
      <c r="DP671" s="15"/>
      <c r="DQ671" s="15"/>
      <c r="DR671" s="15"/>
      <c r="DS671" s="15"/>
      <c r="DT671" s="15"/>
      <c r="DU671" s="15"/>
      <c r="DV671" s="15"/>
      <c r="DW671" s="15"/>
      <c r="DX671" s="15"/>
      <c r="DY671" s="15"/>
      <c r="DZ671" s="15"/>
      <c r="EA671" s="15"/>
      <c r="EB671" s="15"/>
      <c r="EC671" s="16" t="s">
        <v>197</v>
      </c>
      <c r="ED671" s="17" t="s">
        <v>228</v>
      </c>
      <c r="EE671" s="23"/>
      <c r="EF671" s="13" t="s">
        <v>209</v>
      </c>
      <c r="EG671" s="14" t="s">
        <v>179</v>
      </c>
      <c r="EH671" s="14" t="s">
        <v>14652</v>
      </c>
      <c r="EI671" s="15"/>
      <c r="EJ671" s="15"/>
      <c r="EK671" s="15"/>
      <c r="EL671" s="15"/>
      <c r="EM671" s="15"/>
      <c r="EN671" s="15"/>
      <c r="EO671" s="15"/>
      <c r="EP671" s="15"/>
      <c r="EQ671" s="15"/>
      <c r="ER671" s="15"/>
      <c r="ES671" s="15"/>
      <c r="ET671" s="15"/>
      <c r="EU671" s="15"/>
      <c r="EV671" s="15"/>
      <c r="EW671" s="15"/>
      <c r="EX671" s="15"/>
      <c r="EY671" s="15"/>
      <c r="EZ671" s="15"/>
      <c r="FA671" s="15"/>
      <c r="FB671" s="15"/>
      <c r="FC671" s="16" t="s">
        <v>197</v>
      </c>
      <c r="FD671" s="17" t="s">
        <v>198</v>
      </c>
      <c r="FE671" s="18">
        <v>45722.35670138889</v>
      </c>
      <c r="FF671" s="19"/>
      <c r="FG671" s="19"/>
      <c r="FH671" s="21" t="s">
        <v>197</v>
      </c>
      <c r="FI671" s="17" t="s">
        <v>214</v>
      </c>
      <c r="FJ671" s="18">
        <v>45722.35670138889</v>
      </c>
      <c r="FK671" s="14" t="s">
        <v>14652</v>
      </c>
      <c r="FL671" s="14" t="s">
        <v>14653</v>
      </c>
      <c r="FM671" s="14" t="s">
        <v>14654</v>
      </c>
      <c r="FN671" s="19"/>
      <c r="FO671" s="19"/>
      <c r="FP671" s="19" t="str">
        <f t="shared" si="1"/>
        <v>Base de Dados_Images/PSV-627906.Imagem do Equipamento-.160549.jpg</v>
      </c>
      <c r="FQ671" s="14"/>
      <c r="FR671" s="14"/>
    </row>
    <row r="672" ht="15.75" customHeight="1">
      <c r="A672" s="12" t="s">
        <v>292</v>
      </c>
      <c r="B672" s="12" t="s">
        <v>12788</v>
      </c>
      <c r="C672" s="24" t="s">
        <v>14345</v>
      </c>
      <c r="D672" s="12" t="s">
        <v>14655</v>
      </c>
      <c r="E672" s="12" t="s">
        <v>14656</v>
      </c>
      <c r="F672" s="13" t="s">
        <v>178</v>
      </c>
      <c r="G672" s="14" t="s">
        <v>179</v>
      </c>
      <c r="H672" s="14" t="s">
        <v>14657</v>
      </c>
      <c r="I672" s="14" t="s">
        <v>179</v>
      </c>
      <c r="J672" s="14" t="s">
        <v>14658</v>
      </c>
      <c r="K672" s="14" t="s">
        <v>179</v>
      </c>
      <c r="L672" s="14" t="s">
        <v>14659</v>
      </c>
      <c r="M672" s="14" t="s">
        <v>179</v>
      </c>
      <c r="N672" s="14" t="s">
        <v>14660</v>
      </c>
      <c r="O672" s="14" t="s">
        <v>179</v>
      </c>
      <c r="P672" s="14" t="s">
        <v>14661</v>
      </c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6" t="s">
        <v>197</v>
      </c>
      <c r="BP672" s="17" t="s">
        <v>198</v>
      </c>
      <c r="BQ672" s="18">
        <v>45688.51814814815</v>
      </c>
      <c r="BR672" s="17" t="s">
        <v>228</v>
      </c>
      <c r="BS672" s="23"/>
      <c r="BT672" s="17" t="s">
        <v>198</v>
      </c>
      <c r="BU672" s="18">
        <v>45688.51814814815</v>
      </c>
      <c r="BV672" s="13" t="s">
        <v>199</v>
      </c>
      <c r="BW672" s="14" t="s">
        <v>179</v>
      </c>
      <c r="BX672" s="14" t="s">
        <v>14662</v>
      </c>
      <c r="BY672" s="15"/>
      <c r="BZ672" s="15"/>
      <c r="CA672" s="15"/>
      <c r="CB672" s="15"/>
      <c r="CC672" s="15"/>
      <c r="CD672" s="15"/>
      <c r="CE672" s="15"/>
      <c r="CF672" s="15"/>
      <c r="CG672" s="19"/>
      <c r="CH672" s="15"/>
      <c r="CI672" s="19"/>
      <c r="CJ672" s="15"/>
      <c r="CK672" s="19"/>
      <c r="CL672" s="15"/>
      <c r="CM672" s="19"/>
      <c r="CN672" s="15"/>
      <c r="CO672" s="19"/>
      <c r="CP672" s="15"/>
      <c r="CQ672" s="15"/>
      <c r="CR672" s="15"/>
      <c r="CS672" s="19"/>
      <c r="CT672" s="15"/>
      <c r="CU672" s="19"/>
      <c r="CV672" s="15"/>
      <c r="CW672" s="19"/>
      <c r="CX672" s="15"/>
      <c r="CY672" s="19"/>
      <c r="CZ672" s="15"/>
      <c r="DA672" s="16" t="s">
        <v>197</v>
      </c>
      <c r="DB672" s="17" t="s">
        <v>198</v>
      </c>
      <c r="DC672" s="20">
        <v>45693.43824074074</v>
      </c>
      <c r="DD672" s="17" t="s">
        <v>228</v>
      </c>
      <c r="DE672" s="23"/>
      <c r="DF672" s="17" t="s">
        <v>198</v>
      </c>
      <c r="DG672" s="18">
        <v>45693.43824074074</v>
      </c>
      <c r="DH672" s="13" t="s">
        <v>205</v>
      </c>
      <c r="DI672" s="15"/>
      <c r="DJ672" s="15"/>
      <c r="DK672" s="15"/>
      <c r="DL672" s="15"/>
      <c r="DM672" s="15"/>
      <c r="DN672" s="15"/>
      <c r="DO672" s="15"/>
      <c r="DP672" s="15"/>
      <c r="DQ672" s="15"/>
      <c r="DR672" s="15"/>
      <c r="DS672" s="15"/>
      <c r="DT672" s="15"/>
      <c r="DU672" s="15"/>
      <c r="DV672" s="15"/>
      <c r="DW672" s="15"/>
      <c r="DX672" s="15"/>
      <c r="DY672" s="15"/>
      <c r="DZ672" s="15"/>
      <c r="EA672" s="15"/>
      <c r="EB672" s="15"/>
      <c r="EC672" s="16" t="s">
        <v>197</v>
      </c>
      <c r="ED672" s="17" t="s">
        <v>228</v>
      </c>
      <c r="EE672" s="23"/>
      <c r="EF672" s="13" t="s">
        <v>209</v>
      </c>
      <c r="EG672" s="14" t="s">
        <v>179</v>
      </c>
      <c r="EH672" s="14" t="s">
        <v>14663</v>
      </c>
      <c r="EI672" s="15"/>
      <c r="EJ672" s="15"/>
      <c r="EK672" s="15"/>
      <c r="EL672" s="15"/>
      <c r="EM672" s="15"/>
      <c r="EN672" s="15"/>
      <c r="EO672" s="15"/>
      <c r="EP672" s="15"/>
      <c r="EQ672" s="15"/>
      <c r="ER672" s="15"/>
      <c r="ES672" s="15"/>
      <c r="ET672" s="15"/>
      <c r="EU672" s="15"/>
      <c r="EV672" s="15"/>
      <c r="EW672" s="15"/>
      <c r="EX672" s="15"/>
      <c r="EY672" s="15"/>
      <c r="EZ672" s="15"/>
      <c r="FA672" s="15"/>
      <c r="FB672" s="15"/>
      <c r="FC672" s="16" t="s">
        <v>197</v>
      </c>
      <c r="FD672" s="17" t="s">
        <v>198</v>
      </c>
      <c r="FE672" s="18">
        <v>45722.35675925926</v>
      </c>
      <c r="FF672" s="19"/>
      <c r="FG672" s="19"/>
      <c r="FH672" s="21" t="s">
        <v>197</v>
      </c>
      <c r="FI672" s="17" t="s">
        <v>214</v>
      </c>
      <c r="FJ672" s="18">
        <v>45722.35675925926</v>
      </c>
      <c r="FK672" s="14" t="s">
        <v>14663</v>
      </c>
      <c r="FL672" s="14" t="s">
        <v>14664</v>
      </c>
      <c r="FM672" s="14" t="s">
        <v>14665</v>
      </c>
      <c r="FN672" s="19"/>
      <c r="FO672" s="19"/>
      <c r="FP672" s="19" t="str">
        <f t="shared" si="1"/>
        <v>Base de Dados_Images/PSV-627912.Imagem do Equipamento-.155945.jpg</v>
      </c>
      <c r="FQ672" s="14"/>
      <c r="FR672" s="14"/>
    </row>
    <row r="673" ht="15.75" customHeight="1">
      <c r="A673" s="12" t="s">
        <v>292</v>
      </c>
      <c r="B673" s="12" t="s">
        <v>12788</v>
      </c>
      <c r="C673" s="24" t="s">
        <v>14345</v>
      </c>
      <c r="D673" s="12" t="s">
        <v>14666</v>
      </c>
      <c r="E673" s="12" t="s">
        <v>14667</v>
      </c>
      <c r="F673" s="13" t="s">
        <v>178</v>
      </c>
      <c r="G673" s="14" t="s">
        <v>179</v>
      </c>
      <c r="H673" s="14" t="s">
        <v>14668</v>
      </c>
      <c r="I673" s="14" t="s">
        <v>179</v>
      </c>
      <c r="J673" s="14" t="s">
        <v>14669</v>
      </c>
      <c r="K673" s="14" t="s">
        <v>179</v>
      </c>
      <c r="L673" s="14" t="s">
        <v>14670</v>
      </c>
      <c r="M673" s="14" t="s">
        <v>179</v>
      </c>
      <c r="N673" s="14" t="s">
        <v>14671</v>
      </c>
      <c r="O673" s="14" t="s">
        <v>179</v>
      </c>
      <c r="P673" s="14" t="s">
        <v>14672</v>
      </c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6" t="s">
        <v>197</v>
      </c>
      <c r="BP673" s="17" t="s">
        <v>198</v>
      </c>
      <c r="BQ673" s="18">
        <v>45688.51900462963</v>
      </c>
      <c r="BR673" s="17" t="s">
        <v>228</v>
      </c>
      <c r="BS673" s="23"/>
      <c r="BT673" s="17" t="s">
        <v>198</v>
      </c>
      <c r="BU673" s="18">
        <v>45688.51900462963</v>
      </c>
      <c r="BV673" s="13" t="s">
        <v>199</v>
      </c>
      <c r="BW673" s="14" t="s">
        <v>179</v>
      </c>
      <c r="BX673" s="14" t="s">
        <v>14673</v>
      </c>
      <c r="BY673" s="15"/>
      <c r="BZ673" s="15"/>
      <c r="CA673" s="15"/>
      <c r="CB673" s="15"/>
      <c r="CC673" s="15"/>
      <c r="CD673" s="15"/>
      <c r="CE673" s="15"/>
      <c r="CF673" s="15"/>
      <c r="CG673" s="19"/>
      <c r="CH673" s="15"/>
      <c r="CI673" s="19"/>
      <c r="CJ673" s="15"/>
      <c r="CK673" s="19"/>
      <c r="CL673" s="15"/>
      <c r="CM673" s="19"/>
      <c r="CN673" s="15"/>
      <c r="CO673" s="19"/>
      <c r="CP673" s="15"/>
      <c r="CQ673" s="15"/>
      <c r="CR673" s="15"/>
      <c r="CS673" s="19"/>
      <c r="CT673" s="15"/>
      <c r="CU673" s="19"/>
      <c r="CV673" s="15"/>
      <c r="CW673" s="19"/>
      <c r="CX673" s="15"/>
      <c r="CY673" s="19"/>
      <c r="CZ673" s="15"/>
      <c r="DA673" s="16" t="s">
        <v>197</v>
      </c>
      <c r="DB673" s="17" t="s">
        <v>198</v>
      </c>
      <c r="DC673" s="20">
        <v>45693.43850694445</v>
      </c>
      <c r="DD673" s="17" t="s">
        <v>228</v>
      </c>
      <c r="DE673" s="23"/>
      <c r="DF673" s="17" t="s">
        <v>198</v>
      </c>
      <c r="DG673" s="18">
        <v>45693.43850694445</v>
      </c>
      <c r="DH673" s="13" t="s">
        <v>205</v>
      </c>
      <c r="DI673" s="15"/>
      <c r="DJ673" s="15"/>
      <c r="DK673" s="15"/>
      <c r="DL673" s="15"/>
      <c r="DM673" s="15"/>
      <c r="DN673" s="15"/>
      <c r="DO673" s="15"/>
      <c r="DP673" s="15"/>
      <c r="DQ673" s="15"/>
      <c r="DR673" s="15"/>
      <c r="DS673" s="15"/>
      <c r="DT673" s="15"/>
      <c r="DU673" s="15"/>
      <c r="DV673" s="15"/>
      <c r="DW673" s="15"/>
      <c r="DX673" s="15"/>
      <c r="DY673" s="15"/>
      <c r="DZ673" s="15"/>
      <c r="EA673" s="15"/>
      <c r="EB673" s="15"/>
      <c r="EC673" s="16" t="s">
        <v>197</v>
      </c>
      <c r="ED673" s="17" t="s">
        <v>228</v>
      </c>
      <c r="EE673" s="23"/>
      <c r="EF673" s="13" t="s">
        <v>209</v>
      </c>
      <c r="EG673" s="14" t="s">
        <v>179</v>
      </c>
      <c r="EH673" s="14" t="s">
        <v>14674</v>
      </c>
      <c r="EI673" s="15"/>
      <c r="EJ673" s="15"/>
      <c r="EK673" s="15"/>
      <c r="EL673" s="15"/>
      <c r="EM673" s="15"/>
      <c r="EN673" s="15"/>
      <c r="EO673" s="15"/>
      <c r="EP673" s="15"/>
      <c r="EQ673" s="15"/>
      <c r="ER673" s="15"/>
      <c r="ES673" s="15"/>
      <c r="ET673" s="15"/>
      <c r="EU673" s="15"/>
      <c r="EV673" s="15"/>
      <c r="EW673" s="15"/>
      <c r="EX673" s="15"/>
      <c r="EY673" s="15"/>
      <c r="EZ673" s="15"/>
      <c r="FA673" s="15"/>
      <c r="FB673" s="15"/>
      <c r="FC673" s="16" t="s">
        <v>197</v>
      </c>
      <c r="FD673" s="17" t="s">
        <v>198</v>
      </c>
      <c r="FE673" s="18">
        <v>45722.35681712963</v>
      </c>
      <c r="FF673" s="19"/>
      <c r="FG673" s="19"/>
      <c r="FH673" s="21" t="s">
        <v>197</v>
      </c>
      <c r="FI673" s="17" t="s">
        <v>214</v>
      </c>
      <c r="FJ673" s="18">
        <v>45722.35681712963</v>
      </c>
      <c r="FK673" s="14" t="s">
        <v>14675</v>
      </c>
      <c r="FL673" s="14" t="s">
        <v>14676</v>
      </c>
      <c r="FM673" s="14" t="s">
        <v>14677</v>
      </c>
      <c r="FN673" s="19"/>
      <c r="FO673" s="19"/>
      <c r="FP673" s="19" t="str">
        <f t="shared" si="1"/>
        <v>Base de Dados_Images/PSV-627916.Imagem do Equipamento-.160053.jpg</v>
      </c>
      <c r="FQ673" s="14"/>
      <c r="FR673" s="14"/>
    </row>
    <row r="674" ht="15.75" customHeight="1">
      <c r="A674" s="12" t="s">
        <v>292</v>
      </c>
      <c r="B674" s="12" t="s">
        <v>12788</v>
      </c>
      <c r="C674" s="24" t="s">
        <v>14345</v>
      </c>
      <c r="D674" s="12" t="s">
        <v>14678</v>
      </c>
      <c r="E674" s="12" t="s">
        <v>14679</v>
      </c>
      <c r="F674" s="13" t="s">
        <v>178</v>
      </c>
      <c r="G674" s="14" t="s">
        <v>179</v>
      </c>
      <c r="H674" s="14" t="s">
        <v>14680</v>
      </c>
      <c r="I674" s="14" t="s">
        <v>179</v>
      </c>
      <c r="J674" s="14" t="s">
        <v>14681</v>
      </c>
      <c r="K674" s="14" t="s">
        <v>179</v>
      </c>
      <c r="L674" s="14" t="s">
        <v>14682</v>
      </c>
      <c r="M674" s="14" t="s">
        <v>179</v>
      </c>
      <c r="N674" s="14" t="s">
        <v>14683</v>
      </c>
      <c r="O674" s="14" t="s">
        <v>179</v>
      </c>
      <c r="P674" s="14" t="s">
        <v>14684</v>
      </c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6" t="s">
        <v>197</v>
      </c>
      <c r="BP674" s="17" t="s">
        <v>198</v>
      </c>
      <c r="BQ674" s="18">
        <v>45688.52018518518</v>
      </c>
      <c r="BR674" s="17" t="s">
        <v>228</v>
      </c>
      <c r="BS674" s="23"/>
      <c r="BT674" s="17" t="s">
        <v>198</v>
      </c>
      <c r="BU674" s="18">
        <v>45688.52018518518</v>
      </c>
      <c r="BV674" s="13" t="s">
        <v>199</v>
      </c>
      <c r="BW674" s="14" t="s">
        <v>179</v>
      </c>
      <c r="BX674" s="14" t="s">
        <v>14685</v>
      </c>
      <c r="BY674" s="15"/>
      <c r="BZ674" s="15"/>
      <c r="CA674" s="15"/>
      <c r="CB674" s="15"/>
      <c r="CC674" s="15"/>
      <c r="CD674" s="15"/>
      <c r="CE674" s="15"/>
      <c r="CF674" s="15"/>
      <c r="CG674" s="19"/>
      <c r="CH674" s="15"/>
      <c r="CI674" s="19"/>
      <c r="CJ674" s="15"/>
      <c r="CK674" s="19"/>
      <c r="CL674" s="15"/>
      <c r="CM674" s="19"/>
      <c r="CN674" s="15"/>
      <c r="CO674" s="19"/>
      <c r="CP674" s="15"/>
      <c r="CQ674" s="15"/>
      <c r="CR674" s="15"/>
      <c r="CS674" s="19"/>
      <c r="CT674" s="15"/>
      <c r="CU674" s="19"/>
      <c r="CV674" s="15"/>
      <c r="CW674" s="19"/>
      <c r="CX674" s="15"/>
      <c r="CY674" s="19"/>
      <c r="CZ674" s="15"/>
      <c r="DA674" s="16" t="s">
        <v>197</v>
      </c>
      <c r="DB674" s="17" t="s">
        <v>198</v>
      </c>
      <c r="DC674" s="20">
        <v>45693.43869212963</v>
      </c>
      <c r="DD674" s="17" t="s">
        <v>228</v>
      </c>
      <c r="DE674" s="23"/>
      <c r="DF674" s="17" t="s">
        <v>198</v>
      </c>
      <c r="DG674" s="18">
        <v>45693.43869212963</v>
      </c>
      <c r="DH674" s="13" t="s">
        <v>205</v>
      </c>
      <c r="DI674" s="15"/>
      <c r="DJ674" s="15"/>
      <c r="DK674" s="15"/>
      <c r="DL674" s="15"/>
      <c r="DM674" s="15"/>
      <c r="DN674" s="15"/>
      <c r="DO674" s="15"/>
      <c r="DP674" s="15"/>
      <c r="DQ674" s="15"/>
      <c r="DR674" s="15"/>
      <c r="DS674" s="15"/>
      <c r="DT674" s="15"/>
      <c r="DU674" s="15"/>
      <c r="DV674" s="15"/>
      <c r="DW674" s="15"/>
      <c r="DX674" s="15"/>
      <c r="DY674" s="15"/>
      <c r="DZ674" s="15"/>
      <c r="EA674" s="15"/>
      <c r="EB674" s="15"/>
      <c r="EC674" s="16" t="s">
        <v>197</v>
      </c>
      <c r="ED674" s="17" t="s">
        <v>228</v>
      </c>
      <c r="EE674" s="23"/>
      <c r="EF674" s="13" t="s">
        <v>209</v>
      </c>
      <c r="EG674" s="14" t="s">
        <v>179</v>
      </c>
      <c r="EH674" s="14" t="s">
        <v>14686</v>
      </c>
      <c r="EI674" s="15"/>
      <c r="EJ674" s="15"/>
      <c r="EK674" s="15"/>
      <c r="EL674" s="15"/>
      <c r="EM674" s="15"/>
      <c r="EN674" s="15"/>
      <c r="EO674" s="15"/>
      <c r="EP674" s="15"/>
      <c r="EQ674" s="15"/>
      <c r="ER674" s="15"/>
      <c r="ES674" s="15"/>
      <c r="ET674" s="15"/>
      <c r="EU674" s="15"/>
      <c r="EV674" s="15"/>
      <c r="EW674" s="15"/>
      <c r="EX674" s="15"/>
      <c r="EY674" s="15"/>
      <c r="EZ674" s="15"/>
      <c r="FA674" s="15"/>
      <c r="FB674" s="15"/>
      <c r="FC674" s="16" t="s">
        <v>197</v>
      </c>
      <c r="FD674" s="17" t="s">
        <v>198</v>
      </c>
      <c r="FE674" s="18">
        <v>45722.356886574074</v>
      </c>
      <c r="FF674" s="19"/>
      <c r="FG674" s="19"/>
      <c r="FH674" s="21" t="s">
        <v>197</v>
      </c>
      <c r="FI674" s="17" t="s">
        <v>214</v>
      </c>
      <c r="FJ674" s="18">
        <v>45722.356886574074</v>
      </c>
      <c r="FK674" s="14" t="s">
        <v>14686</v>
      </c>
      <c r="FL674" s="14" t="s">
        <v>14687</v>
      </c>
      <c r="FM674" s="14" t="s">
        <v>14688</v>
      </c>
      <c r="FN674" s="19"/>
      <c r="FO674" s="19"/>
      <c r="FP674" s="19" t="str">
        <f t="shared" si="1"/>
        <v>Base de Dados_Images/PSV-627945.Imagem do Equipamento-.160303.jpg</v>
      </c>
      <c r="FQ674" s="14"/>
      <c r="FR674" s="14"/>
    </row>
    <row r="675" ht="15.75" customHeight="1">
      <c r="A675" s="12" t="s">
        <v>217</v>
      </c>
      <c r="B675" s="12" t="s">
        <v>12788</v>
      </c>
      <c r="C675" s="12" t="s">
        <v>219</v>
      </c>
      <c r="D675" s="12" t="s">
        <v>14689</v>
      </c>
      <c r="E675" s="12" t="s">
        <v>14690</v>
      </c>
      <c r="F675" s="13" t="s">
        <v>178</v>
      </c>
      <c r="G675" s="14" t="s">
        <v>179</v>
      </c>
      <c r="H675" s="14" t="s">
        <v>14691</v>
      </c>
      <c r="I675" s="14" t="s">
        <v>179</v>
      </c>
      <c r="J675" s="14" t="s">
        <v>14692</v>
      </c>
      <c r="K675" s="14" t="s">
        <v>179</v>
      </c>
      <c r="L675" s="14" t="s">
        <v>14693</v>
      </c>
      <c r="M675" s="14" t="s">
        <v>179</v>
      </c>
      <c r="N675" s="14" t="s">
        <v>14694</v>
      </c>
      <c r="O675" s="14" t="s">
        <v>179</v>
      </c>
      <c r="P675" s="14" t="s">
        <v>14695</v>
      </c>
      <c r="Q675" s="14" t="s">
        <v>179</v>
      </c>
      <c r="R675" s="14" t="s">
        <v>14696</v>
      </c>
      <c r="S675" s="14" t="s">
        <v>179</v>
      </c>
      <c r="T675" s="14" t="s">
        <v>14697</v>
      </c>
      <c r="U675" s="14" t="s">
        <v>179</v>
      </c>
      <c r="V675" s="14" t="s">
        <v>14698</v>
      </c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6" t="s">
        <v>197</v>
      </c>
      <c r="BP675" s="17" t="s">
        <v>228</v>
      </c>
      <c r="BQ675" s="23"/>
      <c r="BR675" s="17" t="s">
        <v>198</v>
      </c>
      <c r="BS675" s="18">
        <v>45692.393425925926</v>
      </c>
      <c r="BT675" s="17" t="s">
        <v>198</v>
      </c>
      <c r="BU675" s="18">
        <v>45692.393425925926</v>
      </c>
      <c r="BV675" s="13" t="s">
        <v>199</v>
      </c>
      <c r="BW675" s="14" t="s">
        <v>179</v>
      </c>
      <c r="BX675" s="14" t="s">
        <v>14699</v>
      </c>
      <c r="BY675" s="14" t="s">
        <v>188</v>
      </c>
      <c r="BZ675" s="14" t="s">
        <v>14700</v>
      </c>
      <c r="CA675" s="15"/>
      <c r="CB675" s="15"/>
      <c r="CC675" s="15"/>
      <c r="CD675" s="15"/>
      <c r="CE675" s="15"/>
      <c r="CF675" s="15"/>
      <c r="CG675" s="19"/>
      <c r="CH675" s="15"/>
      <c r="CI675" s="19"/>
      <c r="CJ675" s="15"/>
      <c r="CK675" s="19"/>
      <c r="CL675" s="15"/>
      <c r="CM675" s="19"/>
      <c r="CN675" s="15"/>
      <c r="CO675" s="19"/>
      <c r="CP675" s="15"/>
      <c r="CQ675" s="15"/>
      <c r="CR675" s="15"/>
      <c r="CS675" s="19"/>
      <c r="CT675" s="15"/>
      <c r="CU675" s="19"/>
      <c r="CV675" s="15"/>
      <c r="CW675" s="19"/>
      <c r="CX675" s="15"/>
      <c r="CY675" s="19"/>
      <c r="CZ675" s="15"/>
      <c r="DA675" s="16" t="s">
        <v>197</v>
      </c>
      <c r="DB675" s="17" t="s">
        <v>228</v>
      </c>
      <c r="DC675" s="16"/>
      <c r="DD675" s="17" t="s">
        <v>198</v>
      </c>
      <c r="DE675" s="18">
        <v>45695.63655092593</v>
      </c>
      <c r="DF675" s="17" t="s">
        <v>198</v>
      </c>
      <c r="DG675" s="18">
        <v>45695.63655092593</v>
      </c>
      <c r="DH675" s="13" t="s">
        <v>205</v>
      </c>
      <c r="DI675" s="14" t="s">
        <v>179</v>
      </c>
      <c r="DJ675" s="14" t="s">
        <v>14701</v>
      </c>
      <c r="DK675" s="15"/>
      <c r="DL675" s="15"/>
      <c r="DM675" s="15"/>
      <c r="DN675" s="15"/>
      <c r="DO675" s="15"/>
      <c r="DP675" s="15"/>
      <c r="DQ675" s="15"/>
      <c r="DR675" s="15"/>
      <c r="DS675" s="15"/>
      <c r="DT675" s="15"/>
      <c r="DU675" s="15"/>
      <c r="DV675" s="15"/>
      <c r="DW675" s="15"/>
      <c r="DX675" s="15"/>
      <c r="DY675" s="15"/>
      <c r="DZ675" s="15"/>
      <c r="EA675" s="15"/>
      <c r="EB675" s="15"/>
      <c r="EC675" s="16" t="s">
        <v>197</v>
      </c>
      <c r="ED675" s="17" t="s">
        <v>198</v>
      </c>
      <c r="EE675" s="18">
        <v>45695.63659722222</v>
      </c>
      <c r="EF675" s="13" t="s">
        <v>209</v>
      </c>
      <c r="EG675" s="14" t="s">
        <v>179</v>
      </c>
      <c r="EH675" s="14" t="s">
        <v>14702</v>
      </c>
      <c r="EI675" s="15"/>
      <c r="EJ675" s="15"/>
      <c r="EK675" s="15"/>
      <c r="EL675" s="15"/>
      <c r="EM675" s="15"/>
      <c r="EN675" s="15"/>
      <c r="EO675" s="15"/>
      <c r="EP675" s="15"/>
      <c r="EQ675" s="15"/>
      <c r="ER675" s="15"/>
      <c r="ES675" s="15"/>
      <c r="ET675" s="15"/>
      <c r="EU675" s="15"/>
      <c r="EV675" s="15"/>
      <c r="EW675" s="15"/>
      <c r="EX675" s="15"/>
      <c r="EY675" s="15"/>
      <c r="EZ675" s="15"/>
      <c r="FA675" s="15"/>
      <c r="FB675" s="15"/>
      <c r="FC675" s="16" t="s">
        <v>197</v>
      </c>
      <c r="FD675" s="17" t="s">
        <v>198</v>
      </c>
      <c r="FE675" s="18">
        <v>45708.455555555556</v>
      </c>
      <c r="FF675" s="19"/>
      <c r="FG675" s="19"/>
      <c r="FH675" s="21" t="s">
        <v>197</v>
      </c>
      <c r="FI675" s="17" t="s">
        <v>214</v>
      </c>
      <c r="FJ675" s="18">
        <v>45708.455555555556</v>
      </c>
      <c r="FK675" s="14" t="s">
        <v>14702</v>
      </c>
      <c r="FL675" s="19"/>
      <c r="FM675" s="19"/>
      <c r="FN675" s="19"/>
      <c r="FO675" s="19"/>
      <c r="FP675" s="19" t="str">
        <f t="shared" si="1"/>
        <v/>
      </c>
      <c r="FQ675" s="14" t="s">
        <v>215</v>
      </c>
      <c r="FR675" s="14" t="s">
        <v>14703</v>
      </c>
    </row>
    <row r="676" ht="15.75" customHeight="1">
      <c r="A676" s="12" t="s">
        <v>217</v>
      </c>
      <c r="B676" s="12" t="s">
        <v>12788</v>
      </c>
      <c r="C676" s="12" t="s">
        <v>219</v>
      </c>
      <c r="D676" s="12" t="s">
        <v>14704</v>
      </c>
      <c r="E676" s="12" t="s">
        <v>14705</v>
      </c>
      <c r="F676" s="13" t="s">
        <v>178</v>
      </c>
      <c r="G676" s="14" t="s">
        <v>179</v>
      </c>
      <c r="H676" s="14" t="s">
        <v>14706</v>
      </c>
      <c r="I676" s="14" t="s">
        <v>179</v>
      </c>
      <c r="J676" s="14" t="s">
        <v>14707</v>
      </c>
      <c r="K676" s="14" t="s">
        <v>179</v>
      </c>
      <c r="L676" s="14" t="s">
        <v>14708</v>
      </c>
      <c r="M676" s="14" t="s">
        <v>179</v>
      </c>
      <c r="N676" s="14" t="s">
        <v>14709</v>
      </c>
      <c r="O676" s="14" t="s">
        <v>179</v>
      </c>
      <c r="P676" s="14" t="s">
        <v>14710</v>
      </c>
      <c r="Q676" s="14" t="s">
        <v>179</v>
      </c>
      <c r="R676" s="14" t="s">
        <v>14711</v>
      </c>
      <c r="S676" s="14" t="s">
        <v>179</v>
      </c>
      <c r="T676" s="14" t="s">
        <v>14712</v>
      </c>
      <c r="U676" s="14" t="s">
        <v>179</v>
      </c>
      <c r="V676" s="14" t="s">
        <v>14713</v>
      </c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6" t="s">
        <v>197</v>
      </c>
      <c r="BP676" s="17" t="s">
        <v>228</v>
      </c>
      <c r="BQ676" s="23"/>
      <c r="BR676" s="17" t="s">
        <v>198</v>
      </c>
      <c r="BS676" s="18">
        <v>45692.58006944445</v>
      </c>
      <c r="BT676" s="17" t="s">
        <v>198</v>
      </c>
      <c r="BU676" s="18">
        <v>45692.58006944445</v>
      </c>
      <c r="BV676" s="13" t="s">
        <v>199</v>
      </c>
      <c r="BW676" s="14" t="s">
        <v>179</v>
      </c>
      <c r="BX676" s="14" t="s">
        <v>14714</v>
      </c>
      <c r="BY676" s="14" t="s">
        <v>188</v>
      </c>
      <c r="BZ676" s="14" t="s">
        <v>14715</v>
      </c>
      <c r="CA676" s="15"/>
      <c r="CB676" s="15"/>
      <c r="CC676" s="15"/>
      <c r="CD676" s="15"/>
      <c r="CE676" s="15"/>
      <c r="CF676" s="15"/>
      <c r="CG676" s="19"/>
      <c r="CH676" s="15"/>
      <c r="CI676" s="19"/>
      <c r="CJ676" s="15"/>
      <c r="CK676" s="19"/>
      <c r="CL676" s="15"/>
      <c r="CM676" s="19"/>
      <c r="CN676" s="15"/>
      <c r="CO676" s="19"/>
      <c r="CP676" s="15"/>
      <c r="CQ676" s="15"/>
      <c r="CR676" s="15"/>
      <c r="CS676" s="19"/>
      <c r="CT676" s="15"/>
      <c r="CU676" s="19"/>
      <c r="CV676" s="15"/>
      <c r="CW676" s="19"/>
      <c r="CX676" s="15"/>
      <c r="CY676" s="19"/>
      <c r="CZ676" s="15"/>
      <c r="DA676" s="16" t="s">
        <v>197</v>
      </c>
      <c r="DB676" s="17" t="s">
        <v>228</v>
      </c>
      <c r="DC676" s="16"/>
      <c r="DD676" s="17" t="s">
        <v>198</v>
      </c>
      <c r="DE676" s="18">
        <v>45695.636724537035</v>
      </c>
      <c r="DF676" s="17" t="s">
        <v>198</v>
      </c>
      <c r="DG676" s="18">
        <v>45695.636724537035</v>
      </c>
      <c r="DH676" s="13" t="s">
        <v>205</v>
      </c>
      <c r="DI676" s="14" t="s">
        <v>179</v>
      </c>
      <c r="DJ676" s="14" t="s">
        <v>14716</v>
      </c>
      <c r="DK676" s="15"/>
      <c r="DL676" s="15"/>
      <c r="DM676" s="15"/>
      <c r="DN676" s="15"/>
      <c r="DO676" s="15"/>
      <c r="DP676" s="15"/>
      <c r="DQ676" s="15"/>
      <c r="DR676" s="15"/>
      <c r="DS676" s="15"/>
      <c r="DT676" s="15"/>
      <c r="DU676" s="15"/>
      <c r="DV676" s="15"/>
      <c r="DW676" s="15"/>
      <c r="DX676" s="15"/>
      <c r="DY676" s="15"/>
      <c r="DZ676" s="15"/>
      <c r="EA676" s="15"/>
      <c r="EB676" s="15"/>
      <c r="EC676" s="16" t="s">
        <v>197</v>
      </c>
      <c r="ED676" s="17" t="s">
        <v>198</v>
      </c>
      <c r="EE676" s="18">
        <v>45708.52611111111</v>
      </c>
      <c r="EF676" s="13" t="s">
        <v>209</v>
      </c>
      <c r="EG676" s="14" t="s">
        <v>179</v>
      </c>
      <c r="EH676" s="14" t="s">
        <v>14717</v>
      </c>
      <c r="EI676" s="15"/>
      <c r="EJ676" s="15"/>
      <c r="EK676" s="15"/>
      <c r="EL676" s="15"/>
      <c r="EM676" s="15"/>
      <c r="EN676" s="15"/>
      <c r="EO676" s="15"/>
      <c r="EP676" s="15"/>
      <c r="EQ676" s="15"/>
      <c r="ER676" s="15"/>
      <c r="ES676" s="15"/>
      <c r="ET676" s="15"/>
      <c r="EU676" s="15"/>
      <c r="EV676" s="15"/>
      <c r="EW676" s="15"/>
      <c r="EX676" s="15"/>
      <c r="EY676" s="15"/>
      <c r="EZ676" s="15"/>
      <c r="FA676" s="15"/>
      <c r="FB676" s="15"/>
      <c r="FC676" s="16" t="s">
        <v>197</v>
      </c>
      <c r="FD676" s="17" t="s">
        <v>198</v>
      </c>
      <c r="FE676" s="18">
        <v>45719.670023148145</v>
      </c>
      <c r="FF676" s="19"/>
      <c r="FG676" s="19"/>
      <c r="FH676" s="21" t="s">
        <v>197</v>
      </c>
      <c r="FI676" s="17" t="s">
        <v>214</v>
      </c>
      <c r="FJ676" s="18">
        <v>45719.670023148145</v>
      </c>
      <c r="FK676" s="14" t="s">
        <v>14717</v>
      </c>
      <c r="FL676" s="19"/>
      <c r="FM676" s="19"/>
      <c r="FN676" s="19"/>
      <c r="FO676" s="19"/>
      <c r="FP676" s="19" t="str">
        <f t="shared" si="1"/>
        <v/>
      </c>
      <c r="FQ676" s="14" t="s">
        <v>215</v>
      </c>
      <c r="FR676" s="14" t="s">
        <v>14718</v>
      </c>
    </row>
    <row r="677" ht="15.75" customHeight="1">
      <c r="A677" s="12" t="s">
        <v>292</v>
      </c>
      <c r="B677" s="12" t="s">
        <v>12788</v>
      </c>
      <c r="C677" s="24" t="s">
        <v>14345</v>
      </c>
      <c r="D677" s="12" t="s">
        <v>14719</v>
      </c>
      <c r="E677" s="12" t="s">
        <v>14720</v>
      </c>
      <c r="F677" s="13" t="s">
        <v>178</v>
      </c>
      <c r="G677" s="14" t="s">
        <v>179</v>
      </c>
      <c r="H677" s="14" t="s">
        <v>14721</v>
      </c>
      <c r="I677" s="14" t="s">
        <v>179</v>
      </c>
      <c r="J677" s="14" t="s">
        <v>14722</v>
      </c>
      <c r="K677" s="14" t="s">
        <v>179</v>
      </c>
      <c r="L677" s="14" t="s">
        <v>14723</v>
      </c>
      <c r="M677" s="14" t="s">
        <v>179</v>
      </c>
      <c r="N677" s="14" t="s">
        <v>14724</v>
      </c>
      <c r="O677" s="14" t="s">
        <v>179</v>
      </c>
      <c r="P677" s="14" t="s">
        <v>14725</v>
      </c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6" t="s">
        <v>197</v>
      </c>
      <c r="BP677" s="17" t="s">
        <v>198</v>
      </c>
      <c r="BQ677" s="18">
        <v>45688.52085648148</v>
      </c>
      <c r="BR677" s="17" t="s">
        <v>228</v>
      </c>
      <c r="BS677" s="23"/>
      <c r="BT677" s="17" t="s">
        <v>198</v>
      </c>
      <c r="BU677" s="18">
        <v>45688.52085648148</v>
      </c>
      <c r="BV677" s="13" t="s">
        <v>199</v>
      </c>
      <c r="BW677" s="14" t="s">
        <v>179</v>
      </c>
      <c r="BX677" s="14" t="s">
        <v>14726</v>
      </c>
      <c r="BY677" s="15"/>
      <c r="BZ677" s="15"/>
      <c r="CA677" s="15"/>
      <c r="CB677" s="15"/>
      <c r="CC677" s="15"/>
      <c r="CD677" s="15"/>
      <c r="CE677" s="15"/>
      <c r="CF677" s="15"/>
      <c r="CG677" s="19"/>
      <c r="CH677" s="15"/>
      <c r="CI677" s="19"/>
      <c r="CJ677" s="15"/>
      <c r="CK677" s="19"/>
      <c r="CL677" s="15"/>
      <c r="CM677" s="19"/>
      <c r="CN677" s="15"/>
      <c r="CO677" s="19"/>
      <c r="CP677" s="15"/>
      <c r="CQ677" s="15"/>
      <c r="CR677" s="15"/>
      <c r="CS677" s="19"/>
      <c r="CT677" s="15"/>
      <c r="CU677" s="19"/>
      <c r="CV677" s="15"/>
      <c r="CW677" s="19"/>
      <c r="CX677" s="15"/>
      <c r="CY677" s="19"/>
      <c r="CZ677" s="15"/>
      <c r="DA677" s="16" t="s">
        <v>197</v>
      </c>
      <c r="DB677" s="17" t="s">
        <v>198</v>
      </c>
      <c r="DC677" s="20">
        <v>45693.43880787037</v>
      </c>
      <c r="DD677" s="17" t="s">
        <v>228</v>
      </c>
      <c r="DE677" s="23"/>
      <c r="DF677" s="17" t="s">
        <v>198</v>
      </c>
      <c r="DG677" s="18">
        <v>45693.43880787037</v>
      </c>
      <c r="DH677" s="13" t="s">
        <v>205</v>
      </c>
      <c r="DI677" s="15"/>
      <c r="DJ677" s="15"/>
      <c r="DK677" s="15"/>
      <c r="DL677" s="15"/>
      <c r="DM677" s="15"/>
      <c r="DN677" s="15"/>
      <c r="DO677" s="15"/>
      <c r="DP677" s="15"/>
      <c r="DQ677" s="15"/>
      <c r="DR677" s="15"/>
      <c r="DS677" s="15"/>
      <c r="DT677" s="15"/>
      <c r="DU677" s="15"/>
      <c r="DV677" s="15"/>
      <c r="DW677" s="15"/>
      <c r="DX677" s="15"/>
      <c r="DY677" s="15"/>
      <c r="DZ677" s="15"/>
      <c r="EA677" s="15"/>
      <c r="EB677" s="15"/>
      <c r="EC677" s="16" t="s">
        <v>197</v>
      </c>
      <c r="ED677" s="17" t="s">
        <v>228</v>
      </c>
      <c r="EE677" s="23"/>
      <c r="EF677" s="13" t="s">
        <v>209</v>
      </c>
      <c r="EG677" s="14" t="s">
        <v>179</v>
      </c>
      <c r="EH677" s="14" t="s">
        <v>14727</v>
      </c>
      <c r="EI677" s="15"/>
      <c r="EJ677" s="15"/>
      <c r="EK677" s="15"/>
      <c r="EL677" s="15"/>
      <c r="EM677" s="15"/>
      <c r="EN677" s="15"/>
      <c r="EO677" s="15"/>
      <c r="EP677" s="15"/>
      <c r="EQ677" s="15"/>
      <c r="ER677" s="15"/>
      <c r="ES677" s="15"/>
      <c r="ET677" s="15"/>
      <c r="EU677" s="15"/>
      <c r="EV677" s="15"/>
      <c r="EW677" s="15"/>
      <c r="EX677" s="15"/>
      <c r="EY677" s="15"/>
      <c r="EZ677" s="15"/>
      <c r="FA677" s="15"/>
      <c r="FB677" s="15"/>
      <c r="FC677" s="16" t="s">
        <v>197</v>
      </c>
      <c r="FD677" s="17" t="s">
        <v>198</v>
      </c>
      <c r="FE677" s="18">
        <v>45722.356944444444</v>
      </c>
      <c r="FF677" s="19"/>
      <c r="FG677" s="19"/>
      <c r="FH677" s="21" t="s">
        <v>197</v>
      </c>
      <c r="FI677" s="17" t="s">
        <v>214</v>
      </c>
      <c r="FJ677" s="18">
        <v>45722.356944444444</v>
      </c>
      <c r="FK677" s="14" t="s">
        <v>14727</v>
      </c>
      <c r="FL677" s="14" t="s">
        <v>14728</v>
      </c>
      <c r="FM677" s="14" t="s">
        <v>14729</v>
      </c>
      <c r="FN677" s="19"/>
      <c r="FO677" s="19"/>
      <c r="FP677" s="19" t="str">
        <f t="shared" si="1"/>
        <v>Base de Dados_Images/PSV-627979.Imagem do Equipamento-.160218.jpg</v>
      </c>
      <c r="FQ677" s="14"/>
      <c r="FR677" s="14"/>
    </row>
    <row r="678" ht="15.75" customHeight="1">
      <c r="A678" s="12" t="s">
        <v>547</v>
      </c>
      <c r="B678" s="12" t="s">
        <v>12788</v>
      </c>
      <c r="C678" s="24" t="s">
        <v>14345</v>
      </c>
      <c r="D678" s="12" t="s">
        <v>14730</v>
      </c>
      <c r="E678" s="12" t="s">
        <v>12936</v>
      </c>
      <c r="F678" s="13" t="s">
        <v>178</v>
      </c>
      <c r="G678" s="14" t="s">
        <v>179</v>
      </c>
      <c r="H678" s="14" t="s">
        <v>14731</v>
      </c>
      <c r="I678" s="14" t="s">
        <v>179</v>
      </c>
      <c r="J678" s="14" t="s">
        <v>14732</v>
      </c>
      <c r="K678" s="14" t="s">
        <v>179</v>
      </c>
      <c r="L678" s="14" t="s">
        <v>14733</v>
      </c>
      <c r="M678" s="14" t="s">
        <v>179</v>
      </c>
      <c r="N678" s="14" t="s">
        <v>14734</v>
      </c>
      <c r="O678" s="14" t="s">
        <v>179</v>
      </c>
      <c r="P678" s="14" t="s">
        <v>14735</v>
      </c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6" t="s">
        <v>197</v>
      </c>
      <c r="BP678" s="17" t="s">
        <v>198</v>
      </c>
      <c r="BQ678" s="18">
        <v>45692.69803240741</v>
      </c>
      <c r="BR678" s="17" t="s">
        <v>228</v>
      </c>
      <c r="BS678" s="23"/>
      <c r="BT678" s="17" t="s">
        <v>198</v>
      </c>
      <c r="BU678" s="18">
        <v>45692.69803240741</v>
      </c>
      <c r="BV678" s="13" t="s">
        <v>199</v>
      </c>
      <c r="BW678" s="14" t="s">
        <v>179</v>
      </c>
      <c r="BX678" s="14" t="s">
        <v>14736</v>
      </c>
      <c r="BY678" s="15"/>
      <c r="BZ678" s="15"/>
      <c r="CA678" s="15"/>
      <c r="CB678" s="15"/>
      <c r="CC678" s="15"/>
      <c r="CD678" s="15"/>
      <c r="CE678" s="15"/>
      <c r="CF678" s="15"/>
      <c r="CG678" s="19"/>
      <c r="CH678" s="15"/>
      <c r="CI678" s="19"/>
      <c r="CJ678" s="15"/>
      <c r="CK678" s="19"/>
      <c r="CL678" s="15"/>
      <c r="CM678" s="19"/>
      <c r="CN678" s="15"/>
      <c r="CO678" s="19"/>
      <c r="CP678" s="15"/>
      <c r="CQ678" s="15"/>
      <c r="CR678" s="15"/>
      <c r="CS678" s="19"/>
      <c r="CT678" s="15"/>
      <c r="CU678" s="19"/>
      <c r="CV678" s="15"/>
      <c r="CW678" s="19"/>
      <c r="CX678" s="15"/>
      <c r="CY678" s="19"/>
      <c r="CZ678" s="15"/>
      <c r="DA678" s="16" t="s">
        <v>197</v>
      </c>
      <c r="DB678" s="17" t="s">
        <v>198</v>
      </c>
      <c r="DC678" s="20">
        <v>45692.69809027778</v>
      </c>
      <c r="DD678" s="17" t="s">
        <v>228</v>
      </c>
      <c r="DE678" s="23"/>
      <c r="DF678" s="17" t="s">
        <v>198</v>
      </c>
      <c r="DG678" s="18">
        <v>45692.69809027778</v>
      </c>
      <c r="DH678" s="13" t="s">
        <v>205</v>
      </c>
      <c r="DI678" s="15"/>
      <c r="DJ678" s="15"/>
      <c r="DK678" s="15"/>
      <c r="DL678" s="15"/>
      <c r="DM678" s="15"/>
      <c r="DN678" s="15"/>
      <c r="DO678" s="15"/>
      <c r="DP678" s="15"/>
      <c r="DQ678" s="15"/>
      <c r="DR678" s="15"/>
      <c r="DS678" s="15"/>
      <c r="DT678" s="15"/>
      <c r="DU678" s="15"/>
      <c r="DV678" s="15"/>
      <c r="DW678" s="15"/>
      <c r="DX678" s="15"/>
      <c r="DY678" s="15"/>
      <c r="DZ678" s="15"/>
      <c r="EA678" s="15"/>
      <c r="EB678" s="15"/>
      <c r="EC678" s="16" t="s">
        <v>197</v>
      </c>
      <c r="ED678" s="17" t="s">
        <v>228</v>
      </c>
      <c r="EE678" s="23"/>
      <c r="EF678" s="13" t="s">
        <v>209</v>
      </c>
      <c r="EG678" s="14" t="s">
        <v>179</v>
      </c>
      <c r="EH678" s="14" t="s">
        <v>14737</v>
      </c>
      <c r="EI678" s="15"/>
      <c r="EJ678" s="15"/>
      <c r="EK678" s="15"/>
      <c r="EL678" s="15"/>
      <c r="EM678" s="15"/>
      <c r="EN678" s="15"/>
      <c r="EO678" s="15"/>
      <c r="EP678" s="15"/>
      <c r="EQ678" s="15"/>
      <c r="ER678" s="15"/>
      <c r="ES678" s="15"/>
      <c r="ET678" s="15"/>
      <c r="EU678" s="15"/>
      <c r="EV678" s="15"/>
      <c r="EW678" s="15"/>
      <c r="EX678" s="15"/>
      <c r="EY678" s="15"/>
      <c r="EZ678" s="15"/>
      <c r="FA678" s="15"/>
      <c r="FB678" s="15"/>
      <c r="FC678" s="16" t="s">
        <v>197</v>
      </c>
      <c r="FD678" s="17" t="s">
        <v>198</v>
      </c>
      <c r="FE678" s="18">
        <v>45720.61326388889</v>
      </c>
      <c r="FF678" s="14" t="s">
        <v>14438</v>
      </c>
      <c r="FG678" s="19"/>
      <c r="FH678" s="17" t="s">
        <v>198</v>
      </c>
      <c r="FI678" s="17" t="s">
        <v>214</v>
      </c>
      <c r="FJ678" s="18">
        <v>45720.61326388889</v>
      </c>
      <c r="FK678" s="14" t="s">
        <v>14737</v>
      </c>
      <c r="FL678" s="14" t="s">
        <v>14738</v>
      </c>
      <c r="FM678" s="14" t="s">
        <v>14739</v>
      </c>
      <c r="FN678" s="19"/>
      <c r="FO678" s="19"/>
      <c r="FP678" s="19" t="str">
        <f t="shared" si="1"/>
        <v>Base de Dados_Images/PSV-FLM-01.Imagem do Equipamento-.151020.jpg</v>
      </c>
      <c r="FQ678" s="14"/>
      <c r="FR678" s="14"/>
    </row>
    <row r="679" ht="15.75" customHeight="1">
      <c r="A679" s="12" t="s">
        <v>10412</v>
      </c>
      <c r="B679" s="12" t="s">
        <v>12788</v>
      </c>
      <c r="C679" s="24" t="s">
        <v>14345</v>
      </c>
      <c r="D679" s="12" t="s">
        <v>14740</v>
      </c>
      <c r="E679" s="12" t="s">
        <v>14741</v>
      </c>
      <c r="F679" s="13" t="s">
        <v>178</v>
      </c>
      <c r="G679" s="14" t="s">
        <v>179</v>
      </c>
      <c r="H679" s="14" t="s">
        <v>14742</v>
      </c>
      <c r="I679" s="14" t="s">
        <v>179</v>
      </c>
      <c r="J679" s="14" t="s">
        <v>14743</v>
      </c>
      <c r="K679" s="14" t="s">
        <v>179</v>
      </c>
      <c r="L679" s="14" t="s">
        <v>14743</v>
      </c>
      <c r="M679" s="14" t="s">
        <v>179</v>
      </c>
      <c r="N679" s="14" t="s">
        <v>14744</v>
      </c>
      <c r="O679" s="14" t="s">
        <v>179</v>
      </c>
      <c r="P679" s="14" t="s">
        <v>14745</v>
      </c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6" t="s">
        <v>197</v>
      </c>
      <c r="BP679" s="17" t="s">
        <v>198</v>
      </c>
      <c r="BQ679" s="18">
        <v>45687.358877314815</v>
      </c>
      <c r="BR679" s="17" t="s">
        <v>228</v>
      </c>
      <c r="BS679" s="23"/>
      <c r="BT679" s="17" t="s">
        <v>198</v>
      </c>
      <c r="BU679" s="18">
        <v>45687.358877314815</v>
      </c>
      <c r="BV679" s="13" t="s">
        <v>199</v>
      </c>
      <c r="BW679" s="14" t="s">
        <v>179</v>
      </c>
      <c r="BX679" s="14" t="s">
        <v>14746</v>
      </c>
      <c r="BY679" s="15"/>
      <c r="BZ679" s="15"/>
      <c r="CA679" s="15"/>
      <c r="CB679" s="15"/>
      <c r="CC679" s="15"/>
      <c r="CD679" s="15"/>
      <c r="CE679" s="15"/>
      <c r="CF679" s="15"/>
      <c r="CG679" s="19"/>
      <c r="CH679" s="15"/>
      <c r="CI679" s="19"/>
      <c r="CJ679" s="15"/>
      <c r="CK679" s="19"/>
      <c r="CL679" s="15"/>
      <c r="CM679" s="19"/>
      <c r="CN679" s="15"/>
      <c r="CO679" s="19"/>
      <c r="CP679" s="15"/>
      <c r="CQ679" s="15"/>
      <c r="CR679" s="15"/>
      <c r="CS679" s="19"/>
      <c r="CT679" s="15"/>
      <c r="CU679" s="19"/>
      <c r="CV679" s="15"/>
      <c r="CW679" s="19"/>
      <c r="CX679" s="15"/>
      <c r="CY679" s="19"/>
      <c r="CZ679" s="15"/>
      <c r="DA679" s="16" t="s">
        <v>197</v>
      </c>
      <c r="DB679" s="17" t="s">
        <v>198</v>
      </c>
      <c r="DC679" s="20">
        <v>45696.5922337963</v>
      </c>
      <c r="DD679" s="17" t="s">
        <v>228</v>
      </c>
      <c r="DE679" s="23"/>
      <c r="DF679" s="17" t="s">
        <v>198</v>
      </c>
      <c r="DG679" s="18">
        <v>45696.5922337963</v>
      </c>
      <c r="DH679" s="13" t="s">
        <v>205</v>
      </c>
      <c r="DI679" s="15"/>
      <c r="DJ679" s="15"/>
      <c r="DK679" s="15"/>
      <c r="DL679" s="15"/>
      <c r="DM679" s="15"/>
      <c r="DN679" s="15"/>
      <c r="DO679" s="15"/>
      <c r="DP679" s="15"/>
      <c r="DQ679" s="15"/>
      <c r="DR679" s="15"/>
      <c r="DS679" s="15"/>
      <c r="DT679" s="15"/>
      <c r="DU679" s="15"/>
      <c r="DV679" s="15"/>
      <c r="DW679" s="15"/>
      <c r="DX679" s="15"/>
      <c r="DY679" s="15"/>
      <c r="DZ679" s="15"/>
      <c r="EA679" s="15"/>
      <c r="EB679" s="15"/>
      <c r="EC679" s="16" t="s">
        <v>197</v>
      </c>
      <c r="ED679" s="17" t="s">
        <v>228</v>
      </c>
      <c r="EE679" s="23"/>
      <c r="EF679" s="13" t="s">
        <v>209</v>
      </c>
      <c r="EG679" s="14" t="s">
        <v>179</v>
      </c>
      <c r="EH679" s="14" t="s">
        <v>14747</v>
      </c>
      <c r="EI679" s="15"/>
      <c r="EJ679" s="15"/>
      <c r="EK679" s="15"/>
      <c r="EL679" s="15"/>
      <c r="EM679" s="15"/>
      <c r="EN679" s="15"/>
      <c r="EO679" s="15"/>
      <c r="EP679" s="15"/>
      <c r="EQ679" s="15"/>
      <c r="ER679" s="15"/>
      <c r="ES679" s="15"/>
      <c r="ET679" s="15"/>
      <c r="EU679" s="15"/>
      <c r="EV679" s="15"/>
      <c r="EW679" s="15"/>
      <c r="EX679" s="15"/>
      <c r="EY679" s="15"/>
      <c r="EZ679" s="15"/>
      <c r="FA679" s="15"/>
      <c r="FB679" s="15"/>
      <c r="FC679" s="16" t="s">
        <v>197</v>
      </c>
      <c r="FD679" s="17" t="s">
        <v>198</v>
      </c>
      <c r="FE679" s="18">
        <v>45719.673483796294</v>
      </c>
      <c r="FF679" s="19"/>
      <c r="FG679" s="19"/>
      <c r="FH679" s="21" t="s">
        <v>197</v>
      </c>
      <c r="FI679" s="17" t="s">
        <v>214</v>
      </c>
      <c r="FJ679" s="18">
        <v>45719.673483796294</v>
      </c>
      <c r="FK679" s="14" t="s">
        <v>14747</v>
      </c>
      <c r="FL679" s="14" t="s">
        <v>14748</v>
      </c>
      <c r="FM679" s="14" t="s">
        <v>14749</v>
      </c>
      <c r="FN679" s="19"/>
      <c r="FO679" s="19"/>
      <c r="FP679" s="19" t="str">
        <f t="shared" si="1"/>
        <v>Base de Dados_Images/PSV-TORRE RESFRIAMENTO-GERADOR.Imagem do Equipamento-.125052.jpg</v>
      </c>
      <c r="FQ679" s="19"/>
      <c r="FR679" s="19"/>
    </row>
    <row r="680" ht="15.75" customHeight="1">
      <c r="A680" s="12" t="s">
        <v>174</v>
      </c>
      <c r="B680" s="12" t="s">
        <v>12788</v>
      </c>
      <c r="C680" s="24" t="s">
        <v>14345</v>
      </c>
      <c r="D680" s="12" t="s">
        <v>14750</v>
      </c>
      <c r="E680" s="12" t="s">
        <v>14751</v>
      </c>
      <c r="F680" s="13" t="s">
        <v>178</v>
      </c>
      <c r="G680" s="14" t="s">
        <v>179</v>
      </c>
      <c r="H680" s="14" t="s">
        <v>14752</v>
      </c>
      <c r="I680" s="14" t="s">
        <v>179</v>
      </c>
      <c r="J680" s="14" t="s">
        <v>14753</v>
      </c>
      <c r="K680" s="14" t="s">
        <v>179</v>
      </c>
      <c r="L680" s="14" t="s">
        <v>14754</v>
      </c>
      <c r="M680" s="14" t="s">
        <v>179</v>
      </c>
      <c r="N680" s="14" t="s">
        <v>14755</v>
      </c>
      <c r="O680" s="14" t="s">
        <v>179</v>
      </c>
      <c r="P680" s="14" t="s">
        <v>14756</v>
      </c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6" t="s">
        <v>197</v>
      </c>
      <c r="BP680" s="17" t="s">
        <v>198</v>
      </c>
      <c r="BQ680" s="18">
        <v>45698.6512037037</v>
      </c>
      <c r="BR680" s="17" t="s">
        <v>228</v>
      </c>
      <c r="BS680" s="23"/>
      <c r="BT680" s="17" t="s">
        <v>198</v>
      </c>
      <c r="BU680" s="18">
        <v>45698.6512037037</v>
      </c>
      <c r="BV680" s="13" t="s">
        <v>199</v>
      </c>
      <c r="BW680" s="14" t="s">
        <v>179</v>
      </c>
      <c r="BX680" s="14" t="s">
        <v>14757</v>
      </c>
      <c r="BY680" s="15"/>
      <c r="BZ680" s="15"/>
      <c r="CA680" s="15"/>
      <c r="CB680" s="15"/>
      <c r="CC680" s="15"/>
      <c r="CD680" s="15"/>
      <c r="CE680" s="15"/>
      <c r="CF680" s="15"/>
      <c r="CG680" s="19"/>
      <c r="CH680" s="15"/>
      <c r="CI680" s="19"/>
      <c r="CJ680" s="15"/>
      <c r="CK680" s="19"/>
      <c r="CL680" s="15"/>
      <c r="CM680" s="19"/>
      <c r="CN680" s="15"/>
      <c r="CO680" s="19"/>
      <c r="CP680" s="15"/>
      <c r="CQ680" s="15"/>
      <c r="CR680" s="15"/>
      <c r="CS680" s="19"/>
      <c r="CT680" s="15"/>
      <c r="CU680" s="19"/>
      <c r="CV680" s="15"/>
      <c r="CW680" s="19"/>
      <c r="CX680" s="15"/>
      <c r="CY680" s="19"/>
      <c r="CZ680" s="15"/>
      <c r="DA680" s="16" t="s">
        <v>197</v>
      </c>
      <c r="DB680" s="17" t="s">
        <v>198</v>
      </c>
      <c r="DC680" s="20">
        <v>45698.651875</v>
      </c>
      <c r="DD680" s="17" t="s">
        <v>228</v>
      </c>
      <c r="DE680" s="23"/>
      <c r="DF680" s="17" t="s">
        <v>198</v>
      </c>
      <c r="DG680" s="18">
        <v>45698.651875</v>
      </c>
      <c r="DH680" s="13" t="s">
        <v>205</v>
      </c>
      <c r="DI680" s="15"/>
      <c r="DJ680" s="15"/>
      <c r="DK680" s="15"/>
      <c r="DL680" s="15"/>
      <c r="DM680" s="15"/>
      <c r="DN680" s="15"/>
      <c r="DO680" s="15"/>
      <c r="DP680" s="15"/>
      <c r="DQ680" s="15"/>
      <c r="DR680" s="15"/>
      <c r="DS680" s="15"/>
      <c r="DT680" s="15"/>
      <c r="DU680" s="15"/>
      <c r="DV680" s="15"/>
      <c r="DW680" s="15"/>
      <c r="DX680" s="15"/>
      <c r="DY680" s="15"/>
      <c r="DZ680" s="15"/>
      <c r="EA680" s="15"/>
      <c r="EB680" s="15"/>
      <c r="EC680" s="16" t="s">
        <v>197</v>
      </c>
      <c r="ED680" s="17" t="s">
        <v>228</v>
      </c>
      <c r="EE680" s="23"/>
      <c r="EF680" s="13" t="s">
        <v>209</v>
      </c>
      <c r="EG680" s="14" t="s">
        <v>179</v>
      </c>
      <c r="EH680" s="14" t="s">
        <v>14758</v>
      </c>
      <c r="EI680" s="15"/>
      <c r="EJ680" s="15"/>
      <c r="EK680" s="15"/>
      <c r="EL680" s="15"/>
      <c r="EM680" s="15"/>
      <c r="EN680" s="15"/>
      <c r="EO680" s="15"/>
      <c r="EP680" s="15"/>
      <c r="EQ680" s="15"/>
      <c r="ER680" s="15"/>
      <c r="ES680" s="15"/>
      <c r="ET680" s="15"/>
      <c r="EU680" s="15"/>
      <c r="EV680" s="15"/>
      <c r="EW680" s="15"/>
      <c r="EX680" s="15"/>
      <c r="EY680" s="15"/>
      <c r="EZ680" s="15"/>
      <c r="FA680" s="15"/>
      <c r="FB680" s="15"/>
      <c r="FC680" s="16" t="s">
        <v>197</v>
      </c>
      <c r="FD680" s="17" t="s">
        <v>198</v>
      </c>
      <c r="FE680" s="18">
        <v>45708.37012731482</v>
      </c>
      <c r="FF680" s="19"/>
      <c r="FG680" s="19"/>
      <c r="FH680" s="21" t="s">
        <v>197</v>
      </c>
      <c r="FI680" s="17" t="s">
        <v>214</v>
      </c>
      <c r="FJ680" s="18">
        <v>45708.37012731482</v>
      </c>
      <c r="FK680" s="14" t="s">
        <v>14758</v>
      </c>
      <c r="FL680" s="14" t="s">
        <v>14759</v>
      </c>
      <c r="FM680" s="14" t="s">
        <v>14760</v>
      </c>
      <c r="FN680" s="19"/>
      <c r="FO680" s="19"/>
      <c r="FP680" s="19" t="str">
        <f t="shared" si="1"/>
        <v>Base de Dados_Images/PSV-TORRE RESFRIAMENTO-R.P.E.Imagem do Equipamento-.121802.jpg</v>
      </c>
      <c r="FQ680" s="14"/>
      <c r="FR680" s="14"/>
    </row>
    <row r="681" ht="15.75" customHeight="1">
      <c r="A681" s="12" t="s">
        <v>547</v>
      </c>
      <c r="B681" s="12" t="s">
        <v>12788</v>
      </c>
      <c r="C681" s="24" t="s">
        <v>14345</v>
      </c>
      <c r="D681" s="12" t="s">
        <v>14761</v>
      </c>
      <c r="E681" s="12" t="s">
        <v>14762</v>
      </c>
      <c r="F681" s="13" t="s">
        <v>178</v>
      </c>
      <c r="G681" s="14" t="s">
        <v>179</v>
      </c>
      <c r="H681" s="14" t="s">
        <v>14763</v>
      </c>
      <c r="I681" s="14" t="s">
        <v>179</v>
      </c>
      <c r="J681" s="14" t="s">
        <v>14764</v>
      </c>
      <c r="K681" s="14" t="s">
        <v>179</v>
      </c>
      <c r="L681" s="14" t="s">
        <v>14765</v>
      </c>
      <c r="M681" s="14" t="s">
        <v>179</v>
      </c>
      <c r="N681" s="14" t="s">
        <v>14766</v>
      </c>
      <c r="O681" s="14" t="s">
        <v>179</v>
      </c>
      <c r="P681" s="14" t="s">
        <v>14767</v>
      </c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6" t="s">
        <v>197</v>
      </c>
      <c r="BP681" s="17" t="s">
        <v>198</v>
      </c>
      <c r="BQ681" s="18">
        <v>45692.69917824074</v>
      </c>
      <c r="BR681" s="17" t="s">
        <v>228</v>
      </c>
      <c r="BS681" s="23"/>
      <c r="BT681" s="17" t="s">
        <v>198</v>
      </c>
      <c r="BU681" s="18">
        <v>45692.69917824074</v>
      </c>
      <c r="BV681" s="13" t="s">
        <v>199</v>
      </c>
      <c r="BW681" s="14" t="s">
        <v>179</v>
      </c>
      <c r="BX681" s="14" t="s">
        <v>14768</v>
      </c>
      <c r="BY681" s="15"/>
      <c r="BZ681" s="15"/>
      <c r="CA681" s="15"/>
      <c r="CB681" s="15"/>
      <c r="CC681" s="15"/>
      <c r="CD681" s="15"/>
      <c r="CE681" s="15"/>
      <c r="CF681" s="15"/>
      <c r="CG681" s="19"/>
      <c r="CH681" s="15"/>
      <c r="CI681" s="19"/>
      <c r="CJ681" s="15"/>
      <c r="CK681" s="19"/>
      <c r="CL681" s="15"/>
      <c r="CM681" s="19"/>
      <c r="CN681" s="15"/>
      <c r="CO681" s="19"/>
      <c r="CP681" s="15"/>
      <c r="CQ681" s="15"/>
      <c r="CR681" s="15"/>
      <c r="CS681" s="19"/>
      <c r="CT681" s="15"/>
      <c r="CU681" s="19"/>
      <c r="CV681" s="15"/>
      <c r="CW681" s="19"/>
      <c r="CX681" s="15"/>
      <c r="CY681" s="19"/>
      <c r="CZ681" s="15"/>
      <c r="DA681" s="16" t="s">
        <v>197</v>
      </c>
      <c r="DB681" s="17" t="s">
        <v>198</v>
      </c>
      <c r="DC681" s="20">
        <v>45692.699224537035</v>
      </c>
      <c r="DD681" s="17" t="s">
        <v>228</v>
      </c>
      <c r="DE681" s="23"/>
      <c r="DF681" s="17" t="s">
        <v>198</v>
      </c>
      <c r="DG681" s="18">
        <v>45692.699224537035</v>
      </c>
      <c r="DH681" s="13" t="s">
        <v>205</v>
      </c>
      <c r="DI681" s="15"/>
      <c r="DJ681" s="15"/>
      <c r="DK681" s="15"/>
      <c r="DL681" s="15"/>
      <c r="DM681" s="15"/>
      <c r="DN681" s="15"/>
      <c r="DO681" s="15"/>
      <c r="DP681" s="15"/>
      <c r="DQ681" s="15"/>
      <c r="DR681" s="15"/>
      <c r="DS681" s="15"/>
      <c r="DT681" s="15"/>
      <c r="DU681" s="15"/>
      <c r="DV681" s="15"/>
      <c r="DW681" s="15"/>
      <c r="DX681" s="15"/>
      <c r="DY681" s="15"/>
      <c r="DZ681" s="15"/>
      <c r="EA681" s="15"/>
      <c r="EB681" s="15"/>
      <c r="EC681" s="16" t="s">
        <v>197</v>
      </c>
      <c r="ED681" s="17" t="s">
        <v>228</v>
      </c>
      <c r="EE681" s="23"/>
      <c r="EF681" s="13" t="s">
        <v>209</v>
      </c>
      <c r="EG681" s="14" t="s">
        <v>179</v>
      </c>
      <c r="EH681" s="14" t="s">
        <v>14769</v>
      </c>
      <c r="EI681" s="15"/>
      <c r="EJ681" s="15"/>
      <c r="EK681" s="15"/>
      <c r="EL681" s="15"/>
      <c r="EM681" s="15"/>
      <c r="EN681" s="15"/>
      <c r="EO681" s="15"/>
      <c r="EP681" s="15"/>
      <c r="EQ681" s="15"/>
      <c r="ER681" s="15"/>
      <c r="ES681" s="15"/>
      <c r="ET681" s="15"/>
      <c r="EU681" s="15"/>
      <c r="EV681" s="15"/>
      <c r="EW681" s="15"/>
      <c r="EX681" s="15"/>
      <c r="EY681" s="15"/>
      <c r="EZ681" s="15"/>
      <c r="FA681" s="15"/>
      <c r="FB681" s="15"/>
      <c r="FC681" s="16" t="s">
        <v>197</v>
      </c>
      <c r="FD681" s="17" t="s">
        <v>198</v>
      </c>
      <c r="FE681" s="18">
        <v>45720.613333333335</v>
      </c>
      <c r="FF681" s="14" t="s">
        <v>14438</v>
      </c>
      <c r="FG681" s="19"/>
      <c r="FH681" s="17" t="s">
        <v>198</v>
      </c>
      <c r="FI681" s="17" t="s">
        <v>214</v>
      </c>
      <c r="FJ681" s="18">
        <v>45720.613333333335</v>
      </c>
      <c r="FK681" s="14" t="s">
        <v>14769</v>
      </c>
      <c r="FL681" s="14" t="s">
        <v>14770</v>
      </c>
      <c r="FM681" s="14" t="s">
        <v>14771</v>
      </c>
      <c r="FN681" s="19"/>
      <c r="FO681" s="19"/>
      <c r="FP681" s="19" t="str">
        <f t="shared" si="1"/>
        <v>Base de Dados_Images/PSV-VIN-18.Imagem do Equipamento-.134527.jpg</v>
      </c>
      <c r="FQ681" s="14"/>
      <c r="FR681" s="14"/>
    </row>
    <row r="682" ht="15.75" customHeight="1">
      <c r="A682" s="12" t="s">
        <v>292</v>
      </c>
      <c r="B682" s="12" t="s">
        <v>12788</v>
      </c>
      <c r="C682" s="24" t="s">
        <v>14345</v>
      </c>
      <c r="D682" s="12" t="s">
        <v>14772</v>
      </c>
      <c r="E682" s="12" t="s">
        <v>14773</v>
      </c>
      <c r="F682" s="13" t="s">
        <v>178</v>
      </c>
      <c r="G682" s="14" t="s">
        <v>179</v>
      </c>
      <c r="H682" s="14" t="s">
        <v>14774</v>
      </c>
      <c r="I682" s="14" t="s">
        <v>179</v>
      </c>
      <c r="J682" s="14" t="s">
        <v>14775</v>
      </c>
      <c r="K682" s="14" t="s">
        <v>179</v>
      </c>
      <c r="L682" s="14" t="s">
        <v>14776</v>
      </c>
      <c r="M682" s="14" t="s">
        <v>179</v>
      </c>
      <c r="N682" s="14" t="s">
        <v>14777</v>
      </c>
      <c r="O682" s="14" t="s">
        <v>179</v>
      </c>
      <c r="P682" s="14" t="s">
        <v>14778</v>
      </c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6" t="s">
        <v>197</v>
      </c>
      <c r="BP682" s="17" t="s">
        <v>198</v>
      </c>
      <c r="BQ682" s="18">
        <v>45688.524722222224</v>
      </c>
      <c r="BR682" s="17" t="s">
        <v>228</v>
      </c>
      <c r="BS682" s="23"/>
      <c r="BT682" s="17" t="s">
        <v>198</v>
      </c>
      <c r="BU682" s="18">
        <v>45688.524722222224</v>
      </c>
      <c r="BV682" s="13" t="s">
        <v>199</v>
      </c>
      <c r="BW682" s="14" t="s">
        <v>179</v>
      </c>
      <c r="BX682" s="14" t="s">
        <v>14779</v>
      </c>
      <c r="BY682" s="15"/>
      <c r="BZ682" s="15"/>
      <c r="CA682" s="15"/>
      <c r="CB682" s="15"/>
      <c r="CC682" s="15"/>
      <c r="CD682" s="15"/>
      <c r="CE682" s="15"/>
      <c r="CF682" s="15"/>
      <c r="CG682" s="19"/>
      <c r="CH682" s="15"/>
      <c r="CI682" s="19"/>
      <c r="CJ682" s="15"/>
      <c r="CK682" s="19"/>
      <c r="CL682" s="15"/>
      <c r="CM682" s="19"/>
      <c r="CN682" s="15"/>
      <c r="CO682" s="19"/>
      <c r="CP682" s="15"/>
      <c r="CQ682" s="15"/>
      <c r="CR682" s="15"/>
      <c r="CS682" s="19"/>
      <c r="CT682" s="15"/>
      <c r="CU682" s="19"/>
      <c r="CV682" s="15"/>
      <c r="CW682" s="19"/>
      <c r="CX682" s="15"/>
      <c r="CY682" s="19"/>
      <c r="CZ682" s="15"/>
      <c r="DA682" s="16" t="s">
        <v>197</v>
      </c>
      <c r="DB682" s="17" t="s">
        <v>198</v>
      </c>
      <c r="DC682" s="20">
        <v>45693.43943287037</v>
      </c>
      <c r="DD682" s="17" t="s">
        <v>228</v>
      </c>
      <c r="DE682" s="23"/>
      <c r="DF682" s="17" t="s">
        <v>198</v>
      </c>
      <c r="DG682" s="18">
        <v>45693.43943287037</v>
      </c>
      <c r="DH682" s="13" t="s">
        <v>205</v>
      </c>
      <c r="DI682" s="15"/>
      <c r="DJ682" s="15"/>
      <c r="DK682" s="15"/>
      <c r="DL682" s="15"/>
      <c r="DM682" s="15"/>
      <c r="DN682" s="15"/>
      <c r="DO682" s="15"/>
      <c r="DP682" s="15"/>
      <c r="DQ682" s="15"/>
      <c r="DR682" s="15"/>
      <c r="DS682" s="15"/>
      <c r="DT682" s="15"/>
      <c r="DU682" s="15"/>
      <c r="DV682" s="15"/>
      <c r="DW682" s="15"/>
      <c r="DX682" s="15"/>
      <c r="DY682" s="15"/>
      <c r="DZ682" s="15"/>
      <c r="EA682" s="15"/>
      <c r="EB682" s="15"/>
      <c r="EC682" s="16" t="s">
        <v>197</v>
      </c>
      <c r="ED682" s="17" t="s">
        <v>228</v>
      </c>
      <c r="EE682" s="23"/>
      <c r="EF682" s="13" t="s">
        <v>209</v>
      </c>
      <c r="EG682" s="14" t="s">
        <v>179</v>
      </c>
      <c r="EH682" s="14" t="s">
        <v>14780</v>
      </c>
      <c r="EI682" s="15"/>
      <c r="EJ682" s="15"/>
      <c r="EK682" s="15"/>
      <c r="EL682" s="15"/>
      <c r="EM682" s="15"/>
      <c r="EN682" s="15"/>
      <c r="EO682" s="15"/>
      <c r="EP682" s="15"/>
      <c r="EQ682" s="15"/>
      <c r="ER682" s="15"/>
      <c r="ES682" s="15"/>
      <c r="ET682" s="15"/>
      <c r="EU682" s="15"/>
      <c r="EV682" s="15"/>
      <c r="EW682" s="15"/>
      <c r="EX682" s="15"/>
      <c r="EY682" s="15"/>
      <c r="EZ682" s="15"/>
      <c r="FA682" s="15"/>
      <c r="FB682" s="15"/>
      <c r="FC682" s="16" t="s">
        <v>197</v>
      </c>
      <c r="FD682" s="17" t="s">
        <v>198</v>
      </c>
      <c r="FE682" s="18">
        <v>45722.35700231481</v>
      </c>
      <c r="FF682" s="19"/>
      <c r="FG682" s="19"/>
      <c r="FH682" s="21" t="s">
        <v>197</v>
      </c>
      <c r="FI682" s="17" t="s">
        <v>214</v>
      </c>
      <c r="FJ682" s="18">
        <v>45722.35700231481</v>
      </c>
      <c r="FK682" s="14" t="s">
        <v>14780</v>
      </c>
      <c r="FL682" s="14" t="s">
        <v>14781</v>
      </c>
      <c r="FM682" s="14" t="s">
        <v>14782</v>
      </c>
      <c r="FN682" s="19"/>
      <c r="FO682" s="19"/>
      <c r="FP682" s="19" t="str">
        <f t="shared" si="1"/>
        <v>Base de Dados_Images/PSV-S 014-02.Imagem do Equipamento-.160558.jpg</v>
      </c>
      <c r="FQ682" s="14"/>
      <c r="FR682" s="14"/>
    </row>
    <row r="683" ht="15.75" customHeight="1">
      <c r="A683" s="12" t="s">
        <v>10412</v>
      </c>
      <c r="B683" s="12" t="s">
        <v>12788</v>
      </c>
      <c r="C683" s="24" t="s">
        <v>14345</v>
      </c>
      <c r="D683" s="12" t="s">
        <v>14783</v>
      </c>
      <c r="E683" s="12" t="s">
        <v>14784</v>
      </c>
      <c r="F683" s="13" t="s">
        <v>178</v>
      </c>
      <c r="G683" s="14" t="s">
        <v>179</v>
      </c>
      <c r="H683" s="14" t="s">
        <v>14785</v>
      </c>
      <c r="I683" s="14" t="s">
        <v>179</v>
      </c>
      <c r="J683" s="14" t="s">
        <v>14786</v>
      </c>
      <c r="K683" s="14" t="s">
        <v>179</v>
      </c>
      <c r="L683" s="14" t="s">
        <v>14786</v>
      </c>
      <c r="M683" s="14" t="s">
        <v>179</v>
      </c>
      <c r="N683" s="14" t="s">
        <v>14787</v>
      </c>
      <c r="O683" s="14" t="s">
        <v>179</v>
      </c>
      <c r="P683" s="14" t="s">
        <v>14788</v>
      </c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6" t="s">
        <v>197</v>
      </c>
      <c r="BP683" s="17" t="s">
        <v>198</v>
      </c>
      <c r="BQ683" s="18">
        <v>45687.35915509259</v>
      </c>
      <c r="BR683" s="17" t="s">
        <v>228</v>
      </c>
      <c r="BS683" s="23"/>
      <c r="BT683" s="17" t="s">
        <v>198</v>
      </c>
      <c r="BU683" s="18">
        <v>45687.35915509259</v>
      </c>
      <c r="BV683" s="13" t="s">
        <v>199</v>
      </c>
      <c r="BW683" s="14" t="s">
        <v>179</v>
      </c>
      <c r="BX683" s="14" t="s">
        <v>14789</v>
      </c>
      <c r="BY683" s="15"/>
      <c r="BZ683" s="15"/>
      <c r="CA683" s="15"/>
      <c r="CB683" s="15"/>
      <c r="CC683" s="15"/>
      <c r="CD683" s="15"/>
      <c r="CE683" s="15"/>
      <c r="CF683" s="15"/>
      <c r="CG683" s="19"/>
      <c r="CH683" s="15"/>
      <c r="CI683" s="19"/>
      <c r="CJ683" s="15"/>
      <c r="CK683" s="19"/>
      <c r="CL683" s="15"/>
      <c r="CM683" s="19"/>
      <c r="CN683" s="15"/>
      <c r="CO683" s="19"/>
      <c r="CP683" s="15"/>
      <c r="CQ683" s="15"/>
      <c r="CR683" s="15"/>
      <c r="CS683" s="19"/>
      <c r="CT683" s="15"/>
      <c r="CU683" s="19"/>
      <c r="CV683" s="15"/>
      <c r="CW683" s="19"/>
      <c r="CX683" s="15"/>
      <c r="CY683" s="19"/>
      <c r="CZ683" s="15"/>
      <c r="DA683" s="16" t="s">
        <v>197</v>
      </c>
      <c r="DB683" s="17" t="s">
        <v>198</v>
      </c>
      <c r="DC683" s="20">
        <v>45696.59800925926</v>
      </c>
      <c r="DD683" s="17" t="s">
        <v>228</v>
      </c>
      <c r="DE683" s="23"/>
      <c r="DF683" s="17" t="s">
        <v>198</v>
      </c>
      <c r="DG683" s="18">
        <v>45696.59800925926</v>
      </c>
      <c r="DH683" s="13" t="s">
        <v>205</v>
      </c>
      <c r="DI683" s="15"/>
      <c r="DJ683" s="15"/>
      <c r="DK683" s="15"/>
      <c r="DL683" s="15"/>
      <c r="DM683" s="15"/>
      <c r="DN683" s="15"/>
      <c r="DO683" s="15"/>
      <c r="DP683" s="15"/>
      <c r="DQ683" s="15"/>
      <c r="DR683" s="15"/>
      <c r="DS683" s="15"/>
      <c r="DT683" s="15"/>
      <c r="DU683" s="15"/>
      <c r="DV683" s="15"/>
      <c r="DW683" s="15"/>
      <c r="DX683" s="15"/>
      <c r="DY683" s="15"/>
      <c r="DZ683" s="15"/>
      <c r="EA683" s="15"/>
      <c r="EB683" s="15"/>
      <c r="EC683" s="16" t="s">
        <v>197</v>
      </c>
      <c r="ED683" s="17" t="s">
        <v>228</v>
      </c>
      <c r="EE683" s="23"/>
      <c r="EF683" s="13" t="s">
        <v>209</v>
      </c>
      <c r="EG683" s="14" t="s">
        <v>179</v>
      </c>
      <c r="EH683" s="14" t="s">
        <v>14790</v>
      </c>
      <c r="EI683" s="15"/>
      <c r="EJ683" s="15"/>
      <c r="EK683" s="15"/>
      <c r="EL683" s="15"/>
      <c r="EM683" s="15"/>
      <c r="EN683" s="15"/>
      <c r="EO683" s="15"/>
      <c r="EP683" s="15"/>
      <c r="EQ683" s="15"/>
      <c r="ER683" s="15"/>
      <c r="ES683" s="15"/>
      <c r="ET683" s="15"/>
      <c r="EU683" s="15"/>
      <c r="EV683" s="15"/>
      <c r="EW683" s="15"/>
      <c r="EX683" s="15"/>
      <c r="EY683" s="15"/>
      <c r="EZ683" s="15"/>
      <c r="FA683" s="15"/>
      <c r="FB683" s="15"/>
      <c r="FC683" s="16" t="s">
        <v>197</v>
      </c>
      <c r="FD683" s="17" t="s">
        <v>198</v>
      </c>
      <c r="FE683" s="18">
        <v>45719.67356481482</v>
      </c>
      <c r="FF683" s="19"/>
      <c r="FG683" s="19"/>
      <c r="FH683" s="21" t="s">
        <v>197</v>
      </c>
      <c r="FI683" s="17" t="s">
        <v>214</v>
      </c>
      <c r="FJ683" s="18">
        <v>45719.67356481482</v>
      </c>
      <c r="FK683" s="14" t="s">
        <v>14791</v>
      </c>
      <c r="FL683" s="14" t="s">
        <v>14792</v>
      </c>
      <c r="FM683" s="14" t="s">
        <v>14793</v>
      </c>
      <c r="FN683" s="19"/>
      <c r="FO683" s="19"/>
      <c r="FP683" s="19" t="str">
        <f t="shared" si="1"/>
        <v>Base de Dados_Images/PSV-GERADOR DE ENERGIA.Imagem do Equipamento-.125124.jpg</v>
      </c>
      <c r="FQ683" s="19"/>
      <c r="FR683" s="19"/>
    </row>
    <row r="684" ht="15.75" customHeight="1">
      <c r="A684" s="12" t="s">
        <v>547</v>
      </c>
      <c r="B684" s="12" t="s">
        <v>12788</v>
      </c>
      <c r="C684" s="24" t="s">
        <v>14345</v>
      </c>
      <c r="D684" s="12" t="s">
        <v>14794</v>
      </c>
      <c r="E684" s="12" t="s">
        <v>14795</v>
      </c>
      <c r="F684" s="13" t="s">
        <v>178</v>
      </c>
      <c r="G684" s="14" t="s">
        <v>179</v>
      </c>
      <c r="H684" s="14" t="s">
        <v>14796</v>
      </c>
      <c r="I684" s="14" t="s">
        <v>179</v>
      </c>
      <c r="J684" s="14" t="s">
        <v>14797</v>
      </c>
      <c r="K684" s="14" t="s">
        <v>179</v>
      </c>
      <c r="L684" s="14" t="s">
        <v>14798</v>
      </c>
      <c r="M684" s="14" t="s">
        <v>179</v>
      </c>
      <c r="N684" s="14" t="s">
        <v>14799</v>
      </c>
      <c r="O684" s="14" t="s">
        <v>179</v>
      </c>
      <c r="P684" s="14" t="s">
        <v>14800</v>
      </c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6" t="s">
        <v>197</v>
      </c>
      <c r="BP684" s="17" t="s">
        <v>198</v>
      </c>
      <c r="BQ684" s="18">
        <v>45692.70034722222</v>
      </c>
      <c r="BR684" s="17" t="s">
        <v>228</v>
      </c>
      <c r="BS684" s="23"/>
      <c r="BT684" s="17" t="s">
        <v>198</v>
      </c>
      <c r="BU684" s="18">
        <v>45692.70034722222</v>
      </c>
      <c r="BV684" s="13" t="s">
        <v>199</v>
      </c>
      <c r="BW684" s="14" t="s">
        <v>179</v>
      </c>
      <c r="BX684" s="14" t="s">
        <v>14801</v>
      </c>
      <c r="BY684" s="15"/>
      <c r="BZ684" s="15"/>
      <c r="CA684" s="15"/>
      <c r="CB684" s="15"/>
      <c r="CC684" s="15"/>
      <c r="CD684" s="15"/>
      <c r="CE684" s="15"/>
      <c r="CF684" s="15"/>
      <c r="CG684" s="19"/>
      <c r="CH684" s="15"/>
      <c r="CI684" s="19"/>
      <c r="CJ684" s="15"/>
      <c r="CK684" s="19"/>
      <c r="CL684" s="15"/>
      <c r="CM684" s="19"/>
      <c r="CN684" s="15"/>
      <c r="CO684" s="19"/>
      <c r="CP684" s="15"/>
      <c r="CQ684" s="15"/>
      <c r="CR684" s="15"/>
      <c r="CS684" s="19"/>
      <c r="CT684" s="15"/>
      <c r="CU684" s="19"/>
      <c r="CV684" s="15"/>
      <c r="CW684" s="19"/>
      <c r="CX684" s="15"/>
      <c r="CY684" s="19"/>
      <c r="CZ684" s="15"/>
      <c r="DA684" s="16" t="s">
        <v>197</v>
      </c>
      <c r="DB684" s="17" t="s">
        <v>198</v>
      </c>
      <c r="DC684" s="20">
        <v>45692.70039351852</v>
      </c>
      <c r="DD684" s="17" t="s">
        <v>228</v>
      </c>
      <c r="DE684" s="23"/>
      <c r="DF684" s="17" t="s">
        <v>198</v>
      </c>
      <c r="DG684" s="18">
        <v>45692.70039351852</v>
      </c>
      <c r="DH684" s="13" t="s">
        <v>205</v>
      </c>
      <c r="DI684" s="15"/>
      <c r="DJ684" s="15"/>
      <c r="DK684" s="15"/>
      <c r="DL684" s="15"/>
      <c r="DM684" s="15"/>
      <c r="DN684" s="15"/>
      <c r="DO684" s="15"/>
      <c r="DP684" s="15"/>
      <c r="DQ684" s="15"/>
      <c r="DR684" s="15"/>
      <c r="DS684" s="15"/>
      <c r="DT684" s="15"/>
      <c r="DU684" s="15"/>
      <c r="DV684" s="15"/>
      <c r="DW684" s="15"/>
      <c r="DX684" s="15"/>
      <c r="DY684" s="15"/>
      <c r="DZ684" s="15"/>
      <c r="EA684" s="15"/>
      <c r="EB684" s="15"/>
      <c r="EC684" s="16" t="s">
        <v>197</v>
      </c>
      <c r="ED684" s="17" t="s">
        <v>228</v>
      </c>
      <c r="EE684" s="23"/>
      <c r="EF684" s="13" t="s">
        <v>209</v>
      </c>
      <c r="EG684" s="14" t="s">
        <v>179</v>
      </c>
      <c r="EH684" s="14" t="s">
        <v>14802</v>
      </c>
      <c r="EI684" s="15"/>
      <c r="EJ684" s="15"/>
      <c r="EK684" s="15"/>
      <c r="EL684" s="15"/>
      <c r="EM684" s="15"/>
      <c r="EN684" s="15"/>
      <c r="EO684" s="15"/>
      <c r="EP684" s="15"/>
      <c r="EQ684" s="15"/>
      <c r="ER684" s="15"/>
      <c r="ES684" s="15"/>
      <c r="ET684" s="15"/>
      <c r="EU684" s="15"/>
      <c r="EV684" s="15"/>
      <c r="EW684" s="15"/>
      <c r="EX684" s="15"/>
      <c r="EY684" s="15"/>
      <c r="EZ684" s="15"/>
      <c r="FA684" s="15"/>
      <c r="FB684" s="15"/>
      <c r="FC684" s="16" t="s">
        <v>197</v>
      </c>
      <c r="FD684" s="17" t="s">
        <v>198</v>
      </c>
      <c r="FE684" s="18">
        <v>45720.61340277778</v>
      </c>
      <c r="FF684" s="14" t="s">
        <v>14438</v>
      </c>
      <c r="FG684" s="19"/>
      <c r="FH684" s="17" t="s">
        <v>198</v>
      </c>
      <c r="FI684" s="17" t="s">
        <v>214</v>
      </c>
      <c r="FJ684" s="18">
        <v>45720.61340277778</v>
      </c>
      <c r="FK684" s="14" t="s">
        <v>14802</v>
      </c>
      <c r="FL684" s="14" t="s">
        <v>14803</v>
      </c>
      <c r="FM684" s="14" t="s">
        <v>14804</v>
      </c>
      <c r="FN684" s="19"/>
      <c r="FO684" s="19"/>
      <c r="FP684" s="19" t="str">
        <f t="shared" si="1"/>
        <v>Base de Dados_Images/PSV627181.Imagem do Equipamento-.134644.jpg</v>
      </c>
      <c r="FQ684" s="14"/>
      <c r="FR684" s="14"/>
    </row>
    <row r="685" ht="15.75" customHeight="1">
      <c r="A685" s="12" t="s">
        <v>547</v>
      </c>
      <c r="B685" s="12" t="s">
        <v>3337</v>
      </c>
      <c r="C685" s="24" t="s">
        <v>14345</v>
      </c>
      <c r="D685" s="12" t="s">
        <v>14805</v>
      </c>
      <c r="E685" s="12" t="s">
        <v>14806</v>
      </c>
      <c r="F685" s="13" t="s">
        <v>178</v>
      </c>
      <c r="G685" s="14" t="s">
        <v>179</v>
      </c>
      <c r="H685" s="14" t="s">
        <v>14807</v>
      </c>
      <c r="I685" s="14" t="s">
        <v>179</v>
      </c>
      <c r="J685" s="14" t="s">
        <v>14808</v>
      </c>
      <c r="K685" s="14" t="s">
        <v>179</v>
      </c>
      <c r="L685" s="14" t="s">
        <v>14809</v>
      </c>
      <c r="M685" s="14" t="s">
        <v>179</v>
      </c>
      <c r="N685" s="14" t="s">
        <v>14810</v>
      </c>
      <c r="O685" s="14" t="s">
        <v>179</v>
      </c>
      <c r="P685" s="14" t="s">
        <v>14811</v>
      </c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6" t="s">
        <v>197</v>
      </c>
      <c r="BP685" s="17" t="s">
        <v>198</v>
      </c>
      <c r="BQ685" s="18">
        <v>45687.39313657407</v>
      </c>
      <c r="BR685" s="17" t="s">
        <v>228</v>
      </c>
      <c r="BS685" s="23"/>
      <c r="BT685" s="17" t="s">
        <v>198</v>
      </c>
      <c r="BU685" s="18">
        <v>45687.39313657407</v>
      </c>
      <c r="BV685" s="13" t="s">
        <v>199</v>
      </c>
      <c r="BW685" s="14" t="s">
        <v>179</v>
      </c>
      <c r="BX685" s="14" t="s">
        <v>14812</v>
      </c>
      <c r="BY685" s="15"/>
      <c r="BZ685" s="15"/>
      <c r="CA685" s="15"/>
      <c r="CB685" s="15"/>
      <c r="CC685" s="15"/>
      <c r="CD685" s="15"/>
      <c r="CE685" s="15"/>
      <c r="CF685" s="15"/>
      <c r="CG685" s="19"/>
      <c r="CH685" s="15"/>
      <c r="CI685" s="19"/>
      <c r="CJ685" s="15"/>
      <c r="CK685" s="19"/>
      <c r="CL685" s="15"/>
      <c r="CM685" s="19"/>
      <c r="CN685" s="15"/>
      <c r="CO685" s="19"/>
      <c r="CP685" s="15"/>
      <c r="CQ685" s="15"/>
      <c r="CR685" s="15"/>
      <c r="CS685" s="19"/>
      <c r="CT685" s="15"/>
      <c r="CU685" s="19"/>
      <c r="CV685" s="15"/>
      <c r="CW685" s="19"/>
      <c r="CX685" s="15"/>
      <c r="CY685" s="19"/>
      <c r="CZ685" s="15"/>
      <c r="DA685" s="16" t="s">
        <v>197</v>
      </c>
      <c r="DB685" s="17" t="s">
        <v>198</v>
      </c>
      <c r="DC685" s="20">
        <v>45720.61408564815</v>
      </c>
      <c r="DD685" s="17" t="s">
        <v>228</v>
      </c>
      <c r="DE685" s="23"/>
      <c r="DF685" s="17" t="s">
        <v>198</v>
      </c>
      <c r="DG685" s="18">
        <v>45720.61408564815</v>
      </c>
      <c r="DH685" s="13" t="s">
        <v>205</v>
      </c>
      <c r="DI685" s="15"/>
      <c r="DJ685" s="15"/>
      <c r="DK685" s="15"/>
      <c r="DL685" s="15"/>
      <c r="DM685" s="15"/>
      <c r="DN685" s="15"/>
      <c r="DO685" s="15"/>
      <c r="DP685" s="15"/>
      <c r="DQ685" s="15"/>
      <c r="DR685" s="15"/>
      <c r="DS685" s="15"/>
      <c r="DT685" s="15"/>
      <c r="DU685" s="15"/>
      <c r="DV685" s="15"/>
      <c r="DW685" s="15"/>
      <c r="DX685" s="15"/>
      <c r="DY685" s="15"/>
      <c r="DZ685" s="15"/>
      <c r="EA685" s="15"/>
      <c r="EB685" s="15"/>
      <c r="EC685" s="16" t="s">
        <v>197</v>
      </c>
      <c r="ED685" s="17" t="s">
        <v>228</v>
      </c>
      <c r="EE685" s="23"/>
      <c r="EF685" s="13" t="s">
        <v>209</v>
      </c>
      <c r="EG685" s="14" t="s">
        <v>179</v>
      </c>
      <c r="EH685" s="14" t="s">
        <v>14813</v>
      </c>
      <c r="EI685" s="15"/>
      <c r="EJ685" s="15"/>
      <c r="EK685" s="15"/>
      <c r="EL685" s="15"/>
      <c r="EM685" s="15"/>
      <c r="EN685" s="15"/>
      <c r="EO685" s="15"/>
      <c r="EP685" s="15"/>
      <c r="EQ685" s="15"/>
      <c r="ER685" s="15"/>
      <c r="ES685" s="15"/>
      <c r="ET685" s="15"/>
      <c r="EU685" s="15"/>
      <c r="EV685" s="15"/>
      <c r="EW685" s="15"/>
      <c r="EX685" s="15"/>
      <c r="EY685" s="15"/>
      <c r="EZ685" s="15"/>
      <c r="FA685" s="15"/>
      <c r="FB685" s="15"/>
      <c r="FC685" s="16" t="s">
        <v>197</v>
      </c>
      <c r="FD685" s="17" t="s">
        <v>198</v>
      </c>
      <c r="FE685" s="18">
        <v>45721.3203125</v>
      </c>
      <c r="FF685" s="19"/>
      <c r="FG685" s="19"/>
      <c r="FH685" s="21" t="s">
        <v>197</v>
      </c>
      <c r="FI685" s="17" t="s">
        <v>214</v>
      </c>
      <c r="FJ685" s="18">
        <v>45721.3203125</v>
      </c>
      <c r="FK685" s="14" t="s">
        <v>14813</v>
      </c>
      <c r="FL685" s="14" t="s">
        <v>14814</v>
      </c>
      <c r="FM685" s="14" t="s">
        <v>14815</v>
      </c>
      <c r="FN685" s="19"/>
      <c r="FO685" s="19"/>
      <c r="FP685" s="19" t="str">
        <f t="shared" si="1"/>
        <v>Base de Dados_Images/PSV627863.Imagem do Equipamento-.131632.jpg</v>
      </c>
      <c r="FQ685" s="19"/>
      <c r="FR685" s="19"/>
    </row>
    <row r="686" ht="15.75" customHeight="1">
      <c r="A686" s="12" t="s">
        <v>292</v>
      </c>
      <c r="B686" s="12" t="s">
        <v>12788</v>
      </c>
      <c r="C686" s="24" t="s">
        <v>14345</v>
      </c>
      <c r="D686" s="12" t="s">
        <v>14816</v>
      </c>
      <c r="E686" s="12" t="s">
        <v>14817</v>
      </c>
      <c r="F686" s="13" t="s">
        <v>178</v>
      </c>
      <c r="G686" s="14" t="s">
        <v>179</v>
      </c>
      <c r="H686" s="14" t="s">
        <v>14818</v>
      </c>
      <c r="I686" s="14" t="s">
        <v>179</v>
      </c>
      <c r="J686" s="14" t="s">
        <v>14819</v>
      </c>
      <c r="K686" s="14" t="s">
        <v>179</v>
      </c>
      <c r="L686" s="14" t="s">
        <v>14820</v>
      </c>
      <c r="M686" s="14" t="s">
        <v>179</v>
      </c>
      <c r="N686" s="14" t="s">
        <v>14821</v>
      </c>
      <c r="O686" s="14" t="s">
        <v>179</v>
      </c>
      <c r="P686" s="14" t="s">
        <v>14822</v>
      </c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6" t="s">
        <v>197</v>
      </c>
      <c r="BP686" s="17" t="s">
        <v>198</v>
      </c>
      <c r="BQ686" s="18">
        <v>45695.62818287037</v>
      </c>
      <c r="BR686" s="17" t="s">
        <v>228</v>
      </c>
      <c r="BS686" s="23"/>
      <c r="BT686" s="17" t="s">
        <v>198</v>
      </c>
      <c r="BU686" s="18">
        <v>45695.62818287037</v>
      </c>
      <c r="BV686" s="13" t="s">
        <v>199</v>
      </c>
      <c r="BW686" s="14" t="s">
        <v>179</v>
      </c>
      <c r="BX686" s="14" t="s">
        <v>14823</v>
      </c>
      <c r="BY686" s="15"/>
      <c r="BZ686" s="15"/>
      <c r="CA686" s="15"/>
      <c r="CB686" s="15"/>
      <c r="CC686" s="15"/>
      <c r="CD686" s="15"/>
      <c r="CE686" s="15"/>
      <c r="CF686" s="15"/>
      <c r="CG686" s="19"/>
      <c r="CH686" s="15"/>
      <c r="CI686" s="19"/>
      <c r="CJ686" s="15"/>
      <c r="CK686" s="19"/>
      <c r="CL686" s="15"/>
      <c r="CM686" s="19"/>
      <c r="CN686" s="15"/>
      <c r="CO686" s="19"/>
      <c r="CP686" s="15"/>
      <c r="CQ686" s="15"/>
      <c r="CR686" s="15"/>
      <c r="CS686" s="19"/>
      <c r="CT686" s="15"/>
      <c r="CU686" s="19"/>
      <c r="CV686" s="15"/>
      <c r="CW686" s="19"/>
      <c r="CX686" s="15"/>
      <c r="CY686" s="19"/>
      <c r="CZ686" s="15"/>
      <c r="DA686" s="16" t="s">
        <v>197</v>
      </c>
      <c r="DB686" s="17" t="s">
        <v>198</v>
      </c>
      <c r="DC686" s="20">
        <v>45695.62825231482</v>
      </c>
      <c r="DD686" s="17" t="s">
        <v>228</v>
      </c>
      <c r="DE686" s="23"/>
      <c r="DF686" s="17" t="s">
        <v>198</v>
      </c>
      <c r="DG686" s="18">
        <v>45695.62825231482</v>
      </c>
      <c r="DH686" s="13" t="s">
        <v>205</v>
      </c>
      <c r="DI686" s="15"/>
      <c r="DJ686" s="15"/>
      <c r="DK686" s="15"/>
      <c r="DL686" s="15"/>
      <c r="DM686" s="15"/>
      <c r="DN686" s="15"/>
      <c r="DO686" s="15"/>
      <c r="DP686" s="15"/>
      <c r="DQ686" s="15"/>
      <c r="DR686" s="15"/>
      <c r="DS686" s="15"/>
      <c r="DT686" s="15"/>
      <c r="DU686" s="15"/>
      <c r="DV686" s="15"/>
      <c r="DW686" s="15"/>
      <c r="DX686" s="15"/>
      <c r="DY686" s="15"/>
      <c r="DZ686" s="15"/>
      <c r="EA686" s="15"/>
      <c r="EB686" s="15"/>
      <c r="EC686" s="16" t="s">
        <v>197</v>
      </c>
      <c r="ED686" s="17" t="s">
        <v>228</v>
      </c>
      <c r="EE686" s="23"/>
      <c r="EF686" s="13" t="s">
        <v>209</v>
      </c>
      <c r="EG686" s="14" t="s">
        <v>179</v>
      </c>
      <c r="EH686" s="14" t="s">
        <v>14824</v>
      </c>
      <c r="EI686" s="15"/>
      <c r="EJ686" s="15"/>
      <c r="EK686" s="15"/>
      <c r="EL686" s="15"/>
      <c r="EM686" s="15"/>
      <c r="EN686" s="15"/>
      <c r="EO686" s="15"/>
      <c r="EP686" s="15"/>
      <c r="EQ686" s="15"/>
      <c r="ER686" s="15"/>
      <c r="ES686" s="15"/>
      <c r="ET686" s="15"/>
      <c r="EU686" s="15"/>
      <c r="EV686" s="15"/>
      <c r="EW686" s="15"/>
      <c r="EX686" s="15"/>
      <c r="EY686" s="15"/>
      <c r="EZ686" s="15"/>
      <c r="FA686" s="15"/>
      <c r="FB686" s="15"/>
      <c r="FC686" s="16" t="s">
        <v>197</v>
      </c>
      <c r="FD686" s="17" t="s">
        <v>198</v>
      </c>
      <c r="FE686" s="18">
        <v>45722.35707175926</v>
      </c>
      <c r="FF686" s="19"/>
      <c r="FG686" s="19"/>
      <c r="FH686" s="21" t="s">
        <v>197</v>
      </c>
      <c r="FI686" s="17" t="s">
        <v>214</v>
      </c>
      <c r="FJ686" s="18">
        <v>45722.35707175926</v>
      </c>
      <c r="FK686" s="14" t="s">
        <v>14824</v>
      </c>
      <c r="FL686" s="14" t="s">
        <v>14825</v>
      </c>
      <c r="FM686" s="14" t="s">
        <v>14826</v>
      </c>
      <c r="FN686" s="19"/>
      <c r="FO686" s="19"/>
      <c r="FP686" s="19" t="str">
        <f t="shared" si="1"/>
        <v>Base de Dados_Images/QVQ 63475.Imagem do Equipamento-.114501.jpg</v>
      </c>
      <c r="FQ686" s="14"/>
      <c r="FR686" s="14"/>
    </row>
    <row r="687" ht="15.75" customHeight="1">
      <c r="A687" s="12" t="s">
        <v>292</v>
      </c>
      <c r="B687" s="12" t="s">
        <v>12788</v>
      </c>
      <c r="C687" s="24" t="s">
        <v>14345</v>
      </c>
      <c r="D687" s="12" t="s">
        <v>14827</v>
      </c>
      <c r="E687" s="12" t="s">
        <v>14828</v>
      </c>
      <c r="F687" s="13" t="s">
        <v>178</v>
      </c>
      <c r="G687" s="14" t="s">
        <v>179</v>
      </c>
      <c r="H687" s="14" t="s">
        <v>14829</v>
      </c>
      <c r="I687" s="14" t="s">
        <v>179</v>
      </c>
      <c r="J687" s="14" t="s">
        <v>14830</v>
      </c>
      <c r="K687" s="14" t="s">
        <v>179</v>
      </c>
      <c r="L687" s="14" t="s">
        <v>14831</v>
      </c>
      <c r="M687" s="14" t="s">
        <v>179</v>
      </c>
      <c r="N687" s="14" t="s">
        <v>14831</v>
      </c>
      <c r="O687" s="14" t="s">
        <v>179</v>
      </c>
      <c r="P687" s="14" t="s">
        <v>14832</v>
      </c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6" t="s">
        <v>197</v>
      </c>
      <c r="BP687" s="17" t="s">
        <v>198</v>
      </c>
      <c r="BQ687" s="18">
        <v>45695.63017361111</v>
      </c>
      <c r="BR687" s="17" t="s">
        <v>228</v>
      </c>
      <c r="BS687" s="23"/>
      <c r="BT687" s="17" t="s">
        <v>198</v>
      </c>
      <c r="BU687" s="18">
        <v>45695.63017361111</v>
      </c>
      <c r="BV687" s="13" t="s">
        <v>199</v>
      </c>
      <c r="BW687" s="14" t="s">
        <v>179</v>
      </c>
      <c r="BX687" s="14" t="s">
        <v>14833</v>
      </c>
      <c r="BY687" s="15"/>
      <c r="BZ687" s="15"/>
      <c r="CA687" s="15"/>
      <c r="CB687" s="15"/>
      <c r="CC687" s="15"/>
      <c r="CD687" s="15"/>
      <c r="CE687" s="15"/>
      <c r="CF687" s="15"/>
      <c r="CG687" s="19"/>
      <c r="CH687" s="15"/>
      <c r="CI687" s="19"/>
      <c r="CJ687" s="15"/>
      <c r="CK687" s="19"/>
      <c r="CL687" s="15"/>
      <c r="CM687" s="19"/>
      <c r="CN687" s="15"/>
      <c r="CO687" s="19"/>
      <c r="CP687" s="15"/>
      <c r="CQ687" s="15"/>
      <c r="CR687" s="15"/>
      <c r="CS687" s="19"/>
      <c r="CT687" s="15"/>
      <c r="CU687" s="19"/>
      <c r="CV687" s="15"/>
      <c r="CW687" s="19"/>
      <c r="CX687" s="15"/>
      <c r="CY687" s="19"/>
      <c r="CZ687" s="15"/>
      <c r="DA687" s="16" t="s">
        <v>197</v>
      </c>
      <c r="DB687" s="17" t="s">
        <v>198</v>
      </c>
      <c r="DC687" s="20">
        <v>45695.63024305556</v>
      </c>
      <c r="DD687" s="17" t="s">
        <v>228</v>
      </c>
      <c r="DE687" s="23"/>
      <c r="DF687" s="17" t="s">
        <v>198</v>
      </c>
      <c r="DG687" s="18">
        <v>45695.63024305556</v>
      </c>
      <c r="DH687" s="13" t="s">
        <v>205</v>
      </c>
      <c r="DI687" s="15"/>
      <c r="DJ687" s="15"/>
      <c r="DK687" s="15"/>
      <c r="DL687" s="15"/>
      <c r="DM687" s="15"/>
      <c r="DN687" s="15"/>
      <c r="DO687" s="15"/>
      <c r="DP687" s="15"/>
      <c r="DQ687" s="15"/>
      <c r="DR687" s="15"/>
      <c r="DS687" s="15"/>
      <c r="DT687" s="15"/>
      <c r="DU687" s="15"/>
      <c r="DV687" s="15"/>
      <c r="DW687" s="15"/>
      <c r="DX687" s="15"/>
      <c r="DY687" s="15"/>
      <c r="DZ687" s="15"/>
      <c r="EA687" s="15"/>
      <c r="EB687" s="15"/>
      <c r="EC687" s="16" t="s">
        <v>197</v>
      </c>
      <c r="ED687" s="17" t="s">
        <v>228</v>
      </c>
      <c r="EE687" s="23"/>
      <c r="EF687" s="13" t="s">
        <v>209</v>
      </c>
      <c r="EG687" s="14" t="s">
        <v>179</v>
      </c>
      <c r="EH687" s="14" t="s">
        <v>14834</v>
      </c>
      <c r="EI687" s="15"/>
      <c r="EJ687" s="15"/>
      <c r="EK687" s="15"/>
      <c r="EL687" s="15"/>
      <c r="EM687" s="15"/>
      <c r="EN687" s="15"/>
      <c r="EO687" s="15"/>
      <c r="EP687" s="15"/>
      <c r="EQ687" s="15"/>
      <c r="ER687" s="15"/>
      <c r="ES687" s="15"/>
      <c r="ET687" s="15"/>
      <c r="EU687" s="15"/>
      <c r="EV687" s="15"/>
      <c r="EW687" s="15"/>
      <c r="EX687" s="15"/>
      <c r="EY687" s="15"/>
      <c r="EZ687" s="15"/>
      <c r="FA687" s="15"/>
      <c r="FB687" s="15"/>
      <c r="FC687" s="16" t="s">
        <v>197</v>
      </c>
      <c r="FD687" s="17" t="s">
        <v>198</v>
      </c>
      <c r="FE687" s="18">
        <v>45722.35712962963</v>
      </c>
      <c r="FF687" s="19"/>
      <c r="FG687" s="19"/>
      <c r="FH687" s="21" t="s">
        <v>197</v>
      </c>
      <c r="FI687" s="17" t="s">
        <v>214</v>
      </c>
      <c r="FJ687" s="18">
        <v>45722.35712962963</v>
      </c>
      <c r="FK687" s="14" t="s">
        <v>14834</v>
      </c>
      <c r="FL687" s="14" t="s">
        <v>14835</v>
      </c>
      <c r="FM687" s="14" t="s">
        <v>14836</v>
      </c>
      <c r="FN687" s="19"/>
      <c r="FO687" s="19"/>
      <c r="FP687" s="19" t="str">
        <f t="shared" si="1"/>
        <v>Base de Dados_Images/QVQ 63477.Imagem do Equipamento-.114522.jpg</v>
      </c>
      <c r="FQ687" s="14"/>
      <c r="FR687" s="14"/>
    </row>
    <row r="688" ht="15.75" customHeight="1">
      <c r="A688" s="12" t="s">
        <v>292</v>
      </c>
      <c r="B688" s="12" t="s">
        <v>293</v>
      </c>
      <c r="C688" s="24" t="s">
        <v>14837</v>
      </c>
      <c r="D688" s="22" t="s">
        <v>14838</v>
      </c>
      <c r="E688" s="22" t="s">
        <v>14839</v>
      </c>
      <c r="F688" s="13" t="s">
        <v>178</v>
      </c>
      <c r="G688" s="14" t="s">
        <v>179</v>
      </c>
      <c r="H688" s="14" t="s">
        <v>14840</v>
      </c>
      <c r="I688" s="14" t="s">
        <v>179</v>
      </c>
      <c r="J688" s="14" t="s">
        <v>14841</v>
      </c>
      <c r="K688" s="14" t="s">
        <v>179</v>
      </c>
      <c r="L688" s="14" t="s">
        <v>14842</v>
      </c>
      <c r="M688" s="14" t="s">
        <v>179</v>
      </c>
      <c r="N688" s="14" t="s">
        <v>14843</v>
      </c>
      <c r="O688" s="14" t="s">
        <v>179</v>
      </c>
      <c r="P688" s="14" t="s">
        <v>14844</v>
      </c>
      <c r="Q688" s="14" t="s">
        <v>179</v>
      </c>
      <c r="R688" s="14" t="s">
        <v>14845</v>
      </c>
      <c r="S688" s="14" t="s">
        <v>179</v>
      </c>
      <c r="T688" s="14" t="s">
        <v>14846</v>
      </c>
      <c r="U688" s="14" t="s">
        <v>179</v>
      </c>
      <c r="V688" s="14" t="s">
        <v>14847</v>
      </c>
      <c r="W688" s="14" t="s">
        <v>179</v>
      </c>
      <c r="X688" s="14" t="s">
        <v>14848</v>
      </c>
      <c r="Y688" s="14" t="s">
        <v>179</v>
      </c>
      <c r="Z688" s="14" t="s">
        <v>14849</v>
      </c>
      <c r="AA688" s="14" t="s">
        <v>179</v>
      </c>
      <c r="AB688" s="14" t="s">
        <v>14850</v>
      </c>
      <c r="AC688" s="14" t="s">
        <v>179</v>
      </c>
      <c r="AD688" s="14" t="s">
        <v>14851</v>
      </c>
      <c r="AE688" s="14" t="s">
        <v>179</v>
      </c>
      <c r="AF688" s="14" t="s">
        <v>14852</v>
      </c>
      <c r="AG688" s="14" t="s">
        <v>179</v>
      </c>
      <c r="AH688" s="14" t="s">
        <v>14853</v>
      </c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6" t="s">
        <v>197</v>
      </c>
      <c r="BP688" s="17" t="s">
        <v>198</v>
      </c>
      <c r="BQ688" s="18">
        <v>45685.565474537034</v>
      </c>
      <c r="BR688" s="17" t="s">
        <v>198</v>
      </c>
      <c r="BS688" s="18">
        <v>45685.565729166665</v>
      </c>
      <c r="BT688" s="17" t="s">
        <v>198</v>
      </c>
      <c r="BU688" s="18">
        <v>45685.565729166665</v>
      </c>
      <c r="BV688" s="13" t="s">
        <v>199</v>
      </c>
      <c r="BW688" s="14" t="s">
        <v>179</v>
      </c>
      <c r="BX688" s="14" t="s">
        <v>14854</v>
      </c>
      <c r="BY688" s="14" t="s">
        <v>179</v>
      </c>
      <c r="BZ688" s="14" t="s">
        <v>14855</v>
      </c>
      <c r="CA688" s="14" t="s">
        <v>179</v>
      </c>
      <c r="CB688" s="14" t="s">
        <v>14856</v>
      </c>
      <c r="CC688" s="14" t="s">
        <v>179</v>
      </c>
      <c r="CD688" s="14" t="s">
        <v>14857</v>
      </c>
      <c r="CE688" s="15"/>
      <c r="CF688" s="15"/>
      <c r="CG688" s="19"/>
      <c r="CH688" s="15"/>
      <c r="CI688" s="19"/>
      <c r="CJ688" s="15"/>
      <c r="CK688" s="19"/>
      <c r="CL688" s="15"/>
      <c r="CM688" s="19"/>
      <c r="CN688" s="15"/>
      <c r="CO688" s="19"/>
      <c r="CP688" s="15"/>
      <c r="CQ688" s="15"/>
      <c r="CR688" s="15"/>
      <c r="CS688" s="19"/>
      <c r="CT688" s="15"/>
      <c r="CU688" s="19"/>
      <c r="CV688" s="15"/>
      <c r="CW688" s="19"/>
      <c r="CX688" s="15"/>
      <c r="CY688" s="19"/>
      <c r="CZ688" s="15"/>
      <c r="DA688" s="16" t="s">
        <v>197</v>
      </c>
      <c r="DB688" s="17" t="s">
        <v>198</v>
      </c>
      <c r="DC688" s="20">
        <v>45720.56</v>
      </c>
      <c r="DD688" s="17" t="s">
        <v>198</v>
      </c>
      <c r="DE688" s="18">
        <v>45720.56005787037</v>
      </c>
      <c r="DF688" s="17" t="s">
        <v>198</v>
      </c>
      <c r="DG688" s="18">
        <v>45720.56005787037</v>
      </c>
      <c r="DH688" s="13" t="s">
        <v>205</v>
      </c>
      <c r="DI688" s="14" t="s">
        <v>179</v>
      </c>
      <c r="DJ688" s="14" t="s">
        <v>14858</v>
      </c>
      <c r="DK688" s="14" t="s">
        <v>179</v>
      </c>
      <c r="DL688" s="14" t="s">
        <v>14859</v>
      </c>
      <c r="DM688" s="14" t="s">
        <v>179</v>
      </c>
      <c r="DN688" s="14" t="s">
        <v>14860</v>
      </c>
      <c r="DO688" s="14" t="s">
        <v>179</v>
      </c>
      <c r="DP688" s="14" t="s">
        <v>14861</v>
      </c>
      <c r="DQ688" s="15"/>
      <c r="DR688" s="15"/>
      <c r="DS688" s="15"/>
      <c r="DT688" s="15"/>
      <c r="DU688" s="15"/>
      <c r="DV688" s="15"/>
      <c r="DW688" s="15"/>
      <c r="DX688" s="15"/>
      <c r="DY688" s="15"/>
      <c r="DZ688" s="15"/>
      <c r="EA688" s="15"/>
      <c r="EB688" s="15"/>
      <c r="EC688" s="16" t="s">
        <v>197</v>
      </c>
      <c r="ED688" s="17" t="s">
        <v>198</v>
      </c>
      <c r="EE688" s="18">
        <v>45720.56012731481</v>
      </c>
      <c r="EF688" s="13" t="s">
        <v>209</v>
      </c>
      <c r="EG688" s="14" t="s">
        <v>179</v>
      </c>
      <c r="EH688" s="14" t="s">
        <v>14862</v>
      </c>
      <c r="EI688" s="14" t="s">
        <v>179</v>
      </c>
      <c r="EJ688" s="14" t="s">
        <v>14862</v>
      </c>
      <c r="EK688" s="14" t="s">
        <v>179</v>
      </c>
      <c r="EL688" s="14" t="s">
        <v>14863</v>
      </c>
      <c r="EM688" s="14" t="s">
        <v>179</v>
      </c>
      <c r="EN688" s="14" t="s">
        <v>14864</v>
      </c>
      <c r="EO688" s="14" t="s">
        <v>179</v>
      </c>
      <c r="EP688" s="14" t="s">
        <v>14864</v>
      </c>
      <c r="EQ688" s="15"/>
      <c r="ER688" s="15"/>
      <c r="ES688" s="15"/>
      <c r="ET688" s="15"/>
      <c r="EU688" s="15"/>
      <c r="EV688" s="15"/>
      <c r="EW688" s="15"/>
      <c r="EX688" s="15"/>
      <c r="EY688" s="15"/>
      <c r="EZ688" s="15"/>
      <c r="FA688" s="15"/>
      <c r="FB688" s="15"/>
      <c r="FC688" s="16" t="s">
        <v>197</v>
      </c>
      <c r="FD688" s="17" t="s">
        <v>198</v>
      </c>
      <c r="FE688" s="18">
        <v>45723.30577546296</v>
      </c>
      <c r="FF688" s="19"/>
      <c r="FG688" s="19"/>
      <c r="FH688" s="21" t="s">
        <v>197</v>
      </c>
      <c r="FI688" s="17" t="s">
        <v>214</v>
      </c>
      <c r="FJ688" s="18">
        <v>45723.30577546296</v>
      </c>
      <c r="FK688" s="14" t="s">
        <v>14864</v>
      </c>
      <c r="FL688" s="14" t="s">
        <v>14865</v>
      </c>
      <c r="FM688" s="14" t="s">
        <v>14866</v>
      </c>
      <c r="FN688" s="19"/>
      <c r="FO688" s="19"/>
      <c r="FP688" s="19" t="str">
        <f t="shared" si="1"/>
        <v>Base de Dados_Images/RO3002.Imagem do Equipamento-.180052.jpg</v>
      </c>
      <c r="FQ688" s="19"/>
      <c r="FR688" s="19"/>
    </row>
    <row r="689" ht="15.75" customHeight="1">
      <c r="A689" s="12" t="s">
        <v>174</v>
      </c>
      <c r="B689" s="12" t="s">
        <v>7946</v>
      </c>
      <c r="C689" s="24" t="s">
        <v>14837</v>
      </c>
      <c r="D689" s="22" t="s">
        <v>14867</v>
      </c>
      <c r="E689" s="22" t="s">
        <v>14868</v>
      </c>
      <c r="F689" s="13" t="s">
        <v>178</v>
      </c>
      <c r="G689" s="14" t="s">
        <v>179</v>
      </c>
      <c r="H689" s="14" t="s">
        <v>14869</v>
      </c>
      <c r="I689" s="14" t="s">
        <v>179</v>
      </c>
      <c r="J689" s="14" t="s">
        <v>14869</v>
      </c>
      <c r="K689" s="14" t="s">
        <v>179</v>
      </c>
      <c r="L689" s="14" t="s">
        <v>14870</v>
      </c>
      <c r="M689" s="14" t="s">
        <v>179</v>
      </c>
      <c r="N689" s="14" t="s">
        <v>14871</v>
      </c>
      <c r="O689" s="14" t="s">
        <v>179</v>
      </c>
      <c r="P689" s="14" t="s">
        <v>14872</v>
      </c>
      <c r="Q689" s="14" t="s">
        <v>179</v>
      </c>
      <c r="R689" s="14" t="s">
        <v>14873</v>
      </c>
      <c r="S689" s="14" t="s">
        <v>179</v>
      </c>
      <c r="T689" s="14" t="s">
        <v>14874</v>
      </c>
      <c r="U689" s="14" t="s">
        <v>179</v>
      </c>
      <c r="V689" s="14" t="s">
        <v>14875</v>
      </c>
      <c r="W689" s="14" t="s">
        <v>179</v>
      </c>
      <c r="X689" s="14" t="s">
        <v>14876</v>
      </c>
      <c r="Y689" s="14" t="s">
        <v>179</v>
      </c>
      <c r="Z689" s="14" t="s">
        <v>14877</v>
      </c>
      <c r="AA689" s="14" t="s">
        <v>179</v>
      </c>
      <c r="AB689" s="14" t="s">
        <v>14878</v>
      </c>
      <c r="AC689" s="14" t="s">
        <v>179</v>
      </c>
      <c r="AD689" s="14" t="s">
        <v>14879</v>
      </c>
      <c r="AE689" s="14" t="s">
        <v>179</v>
      </c>
      <c r="AF689" s="14" t="s">
        <v>14880</v>
      </c>
      <c r="AG689" s="14" t="s">
        <v>179</v>
      </c>
      <c r="AH689" s="14" t="s">
        <v>14881</v>
      </c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6" t="s">
        <v>197</v>
      </c>
      <c r="BP689" s="17" t="s">
        <v>198</v>
      </c>
      <c r="BQ689" s="18">
        <v>45723.26826388889</v>
      </c>
      <c r="BR689" s="17" t="s">
        <v>198</v>
      </c>
      <c r="BS689" s="18">
        <v>45723.26834490741</v>
      </c>
      <c r="BT689" s="17" t="s">
        <v>198</v>
      </c>
      <c r="BU689" s="18">
        <v>45723.26834490741</v>
      </c>
      <c r="BV689" s="13" t="s">
        <v>199</v>
      </c>
      <c r="BW689" s="14" t="s">
        <v>179</v>
      </c>
      <c r="BX689" s="14" t="s">
        <v>14882</v>
      </c>
      <c r="BY689" s="14" t="s">
        <v>179</v>
      </c>
      <c r="BZ689" s="14" t="s">
        <v>14883</v>
      </c>
      <c r="CA689" s="14" t="s">
        <v>179</v>
      </c>
      <c r="CB689" s="14" t="s">
        <v>14884</v>
      </c>
      <c r="CC689" s="14" t="s">
        <v>179</v>
      </c>
      <c r="CD689" s="14" t="s">
        <v>14885</v>
      </c>
      <c r="CE689" s="15"/>
      <c r="CF689" s="15"/>
      <c r="CG689" s="19"/>
      <c r="CH689" s="15"/>
      <c r="CI689" s="19"/>
      <c r="CJ689" s="15"/>
      <c r="CK689" s="19"/>
      <c r="CL689" s="15"/>
      <c r="CM689" s="19"/>
      <c r="CN689" s="15"/>
      <c r="CO689" s="19"/>
      <c r="CP689" s="15"/>
      <c r="CQ689" s="15"/>
      <c r="CR689" s="15"/>
      <c r="CS689" s="19"/>
      <c r="CT689" s="15"/>
      <c r="CU689" s="19"/>
      <c r="CV689" s="15"/>
      <c r="CW689" s="19"/>
      <c r="CX689" s="15"/>
      <c r="CY689" s="19"/>
      <c r="CZ689" s="15"/>
      <c r="DA689" s="16" t="s">
        <v>197</v>
      </c>
      <c r="DB689" s="17" t="s">
        <v>198</v>
      </c>
      <c r="DC689" s="20">
        <v>45723.2683912037</v>
      </c>
      <c r="DD689" s="17" t="s">
        <v>198</v>
      </c>
      <c r="DE689" s="18">
        <v>45723.268425925926</v>
      </c>
      <c r="DF689" s="17" t="s">
        <v>198</v>
      </c>
      <c r="DG689" s="18">
        <v>45723.268425925926</v>
      </c>
      <c r="DH689" s="13" t="s">
        <v>205</v>
      </c>
      <c r="DI689" s="14" t="s">
        <v>179</v>
      </c>
      <c r="DJ689" s="14" t="s">
        <v>14886</v>
      </c>
      <c r="DK689" s="14" t="s">
        <v>179</v>
      </c>
      <c r="DL689" s="14" t="s">
        <v>14887</v>
      </c>
      <c r="DM689" s="14" t="s">
        <v>179</v>
      </c>
      <c r="DN689" s="14" t="s">
        <v>14888</v>
      </c>
      <c r="DO689" s="14" t="s">
        <v>179</v>
      </c>
      <c r="DP689" s="14" t="s">
        <v>14889</v>
      </c>
      <c r="DQ689" s="15"/>
      <c r="DR689" s="15"/>
      <c r="DS689" s="15"/>
      <c r="DT689" s="15"/>
      <c r="DU689" s="15"/>
      <c r="DV689" s="15"/>
      <c r="DW689" s="15"/>
      <c r="DX689" s="15"/>
      <c r="DY689" s="15"/>
      <c r="DZ689" s="15"/>
      <c r="EA689" s="15"/>
      <c r="EB689" s="15"/>
      <c r="EC689" s="16" t="s">
        <v>197</v>
      </c>
      <c r="ED689" s="17" t="s">
        <v>198</v>
      </c>
      <c r="EE689" s="18">
        <v>45723.26851851852</v>
      </c>
      <c r="EF689" s="13" t="s">
        <v>209</v>
      </c>
      <c r="EG689" s="14" t="s">
        <v>179</v>
      </c>
      <c r="EH689" s="14" t="s">
        <v>14890</v>
      </c>
      <c r="EI689" s="14" t="s">
        <v>179</v>
      </c>
      <c r="EJ689" s="14" t="s">
        <v>14890</v>
      </c>
      <c r="EK689" s="14" t="s">
        <v>179</v>
      </c>
      <c r="EL689" s="14" t="s">
        <v>14891</v>
      </c>
      <c r="EM689" s="14" t="s">
        <v>179</v>
      </c>
      <c r="EN689" s="14" t="s">
        <v>14891</v>
      </c>
      <c r="EO689" s="14" t="s">
        <v>179</v>
      </c>
      <c r="EP689" s="14" t="s">
        <v>14892</v>
      </c>
      <c r="EQ689" s="15"/>
      <c r="ER689" s="15"/>
      <c r="ES689" s="15"/>
      <c r="ET689" s="15"/>
      <c r="EU689" s="15"/>
      <c r="EV689" s="15"/>
      <c r="EW689" s="15"/>
      <c r="EX689" s="15"/>
      <c r="EY689" s="15"/>
      <c r="EZ689" s="15"/>
      <c r="FA689" s="15"/>
      <c r="FB689" s="15"/>
      <c r="FC689" s="16" t="s">
        <v>197</v>
      </c>
      <c r="FD689" s="17" t="s">
        <v>198</v>
      </c>
      <c r="FE689" s="18">
        <v>45723.268599537034</v>
      </c>
      <c r="FF689" s="19"/>
      <c r="FG689" s="19"/>
      <c r="FH689" s="21" t="s">
        <v>197</v>
      </c>
      <c r="FI689" s="17" t="s">
        <v>214</v>
      </c>
      <c r="FJ689" s="18">
        <v>45723.268599537034</v>
      </c>
      <c r="FK689" s="14" t="s">
        <v>14892</v>
      </c>
      <c r="FL689" s="19"/>
      <c r="FM689" s="19"/>
      <c r="FN689" s="19"/>
      <c r="FO689" s="19"/>
      <c r="FP689" s="19" t="str">
        <f t="shared" si="1"/>
        <v/>
      </c>
      <c r="FQ689" s="14" t="s">
        <v>215</v>
      </c>
      <c r="FR689" s="14" t="s">
        <v>14893</v>
      </c>
    </row>
    <row r="690" ht="15.75" customHeight="1">
      <c r="A690" s="12" t="s">
        <v>461</v>
      </c>
      <c r="B690" s="12" t="s">
        <v>462</v>
      </c>
      <c r="C690" s="24" t="s">
        <v>14837</v>
      </c>
      <c r="D690" s="22" t="s">
        <v>14894</v>
      </c>
      <c r="E690" s="22" t="s">
        <v>14895</v>
      </c>
      <c r="F690" s="13" t="s">
        <v>178</v>
      </c>
      <c r="G690" s="14" t="s">
        <v>179</v>
      </c>
      <c r="H690" s="14" t="s">
        <v>14896</v>
      </c>
      <c r="I690" s="14" t="s">
        <v>179</v>
      </c>
      <c r="J690" s="14" t="s">
        <v>14896</v>
      </c>
      <c r="K690" s="14" t="s">
        <v>179</v>
      </c>
      <c r="L690" s="14" t="s">
        <v>14897</v>
      </c>
      <c r="M690" s="14" t="s">
        <v>179</v>
      </c>
      <c r="N690" s="14" t="s">
        <v>14898</v>
      </c>
      <c r="O690" s="14" t="s">
        <v>179</v>
      </c>
      <c r="P690" s="14" t="s">
        <v>14899</v>
      </c>
      <c r="Q690" s="14" t="s">
        <v>179</v>
      </c>
      <c r="R690" s="14" t="s">
        <v>14900</v>
      </c>
      <c r="S690" s="14" t="s">
        <v>179</v>
      </c>
      <c r="T690" s="14" t="s">
        <v>14900</v>
      </c>
      <c r="U690" s="14" t="s">
        <v>179</v>
      </c>
      <c r="V690" s="14" t="s">
        <v>14901</v>
      </c>
      <c r="W690" s="14" t="s">
        <v>179</v>
      </c>
      <c r="X690" s="14" t="s">
        <v>14902</v>
      </c>
      <c r="Y690" s="14" t="s">
        <v>179</v>
      </c>
      <c r="Z690" s="14" t="s">
        <v>14903</v>
      </c>
      <c r="AA690" s="14" t="s">
        <v>179</v>
      </c>
      <c r="AB690" s="14" t="s">
        <v>14904</v>
      </c>
      <c r="AC690" s="14" t="s">
        <v>179</v>
      </c>
      <c r="AD690" s="14" t="s">
        <v>14905</v>
      </c>
      <c r="AE690" s="14" t="s">
        <v>179</v>
      </c>
      <c r="AF690" s="14" t="s">
        <v>14905</v>
      </c>
      <c r="AG690" s="14" t="s">
        <v>179</v>
      </c>
      <c r="AH690" s="14" t="s">
        <v>14906</v>
      </c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6" t="s">
        <v>197</v>
      </c>
      <c r="BP690" s="17" t="s">
        <v>198</v>
      </c>
      <c r="BQ690" s="18">
        <v>45686.53530092593</v>
      </c>
      <c r="BR690" s="17" t="s">
        <v>198</v>
      </c>
      <c r="BS690" s="18">
        <v>45686.53518518519</v>
      </c>
      <c r="BT690" s="17" t="s">
        <v>198</v>
      </c>
      <c r="BU690" s="18">
        <v>45686.53530092593</v>
      </c>
      <c r="BV690" s="13" t="s">
        <v>199</v>
      </c>
      <c r="BW690" s="14" t="s">
        <v>179</v>
      </c>
      <c r="BX690" s="14" t="s">
        <v>14907</v>
      </c>
      <c r="BY690" s="14" t="s">
        <v>179</v>
      </c>
      <c r="BZ690" s="14" t="s">
        <v>14908</v>
      </c>
      <c r="CA690" s="14" t="s">
        <v>179</v>
      </c>
      <c r="CB690" s="14" t="s">
        <v>14909</v>
      </c>
      <c r="CC690" s="14" t="s">
        <v>179</v>
      </c>
      <c r="CD690" s="14" t="s">
        <v>14909</v>
      </c>
      <c r="CE690" s="15"/>
      <c r="CF690" s="15"/>
      <c r="CG690" s="19"/>
      <c r="CH690" s="15"/>
      <c r="CI690" s="19"/>
      <c r="CJ690" s="15"/>
      <c r="CK690" s="19"/>
      <c r="CL690" s="15"/>
      <c r="CM690" s="19"/>
      <c r="CN690" s="15"/>
      <c r="CO690" s="19"/>
      <c r="CP690" s="15"/>
      <c r="CQ690" s="15"/>
      <c r="CR690" s="15"/>
      <c r="CS690" s="19"/>
      <c r="CT690" s="15"/>
      <c r="CU690" s="19"/>
      <c r="CV690" s="15"/>
      <c r="CW690" s="19"/>
      <c r="CX690" s="15"/>
      <c r="CY690" s="19"/>
      <c r="CZ690" s="15"/>
      <c r="DA690" s="16" t="s">
        <v>197</v>
      </c>
      <c r="DB690" s="17" t="s">
        <v>198</v>
      </c>
      <c r="DC690" s="20">
        <v>45691.63395833333</v>
      </c>
      <c r="DD690" s="17" t="s">
        <v>198</v>
      </c>
      <c r="DE690" s="18">
        <v>45691.634050925924</v>
      </c>
      <c r="DF690" s="17" t="s">
        <v>198</v>
      </c>
      <c r="DG690" s="18">
        <v>45691.634050925924</v>
      </c>
      <c r="DH690" s="13" t="s">
        <v>205</v>
      </c>
      <c r="DI690" s="14" t="s">
        <v>179</v>
      </c>
      <c r="DJ690" s="14" t="s">
        <v>14910</v>
      </c>
      <c r="DK690" s="14" t="s">
        <v>179</v>
      </c>
      <c r="DL690" s="14" t="s">
        <v>14910</v>
      </c>
      <c r="DM690" s="14" t="s">
        <v>179</v>
      </c>
      <c r="DN690" s="14" t="s">
        <v>14911</v>
      </c>
      <c r="DO690" s="14" t="s">
        <v>179</v>
      </c>
      <c r="DP690" s="14" t="s">
        <v>14912</v>
      </c>
      <c r="DQ690" s="15"/>
      <c r="DR690" s="15"/>
      <c r="DS690" s="15"/>
      <c r="DT690" s="15"/>
      <c r="DU690" s="15"/>
      <c r="DV690" s="15"/>
      <c r="DW690" s="15"/>
      <c r="DX690" s="15"/>
      <c r="DY690" s="15"/>
      <c r="DZ690" s="15"/>
      <c r="EA690" s="15"/>
      <c r="EB690" s="15"/>
      <c r="EC690" s="16" t="s">
        <v>197</v>
      </c>
      <c r="ED690" s="17" t="s">
        <v>198</v>
      </c>
      <c r="EE690" s="18">
        <v>45691.63413194445</v>
      </c>
      <c r="EF690" s="13" t="s">
        <v>209</v>
      </c>
      <c r="EG690" s="14" t="s">
        <v>179</v>
      </c>
      <c r="EH690" s="14" t="s">
        <v>14913</v>
      </c>
      <c r="EI690" s="14" t="s">
        <v>179</v>
      </c>
      <c r="EJ690" s="14" t="s">
        <v>14913</v>
      </c>
      <c r="EK690" s="14" t="s">
        <v>179</v>
      </c>
      <c r="EL690" s="14" t="s">
        <v>14914</v>
      </c>
      <c r="EM690" s="14" t="s">
        <v>179</v>
      </c>
      <c r="EN690" s="14" t="s">
        <v>14915</v>
      </c>
      <c r="EO690" s="14" t="s">
        <v>179</v>
      </c>
      <c r="EP690" s="14" t="s">
        <v>14916</v>
      </c>
      <c r="EQ690" s="15"/>
      <c r="ER690" s="15"/>
      <c r="ES690" s="15"/>
      <c r="ET690" s="15"/>
      <c r="EU690" s="15"/>
      <c r="EV690" s="15"/>
      <c r="EW690" s="15"/>
      <c r="EX690" s="15"/>
      <c r="EY690" s="15"/>
      <c r="EZ690" s="15"/>
      <c r="FA690" s="15"/>
      <c r="FB690" s="15"/>
      <c r="FC690" s="16" t="s">
        <v>197</v>
      </c>
      <c r="FD690" s="17" t="s">
        <v>198</v>
      </c>
      <c r="FE690" s="18">
        <v>45723.35962962963</v>
      </c>
      <c r="FF690" s="19"/>
      <c r="FG690" s="19"/>
      <c r="FH690" s="21" t="s">
        <v>197</v>
      </c>
      <c r="FI690" s="17" t="s">
        <v>214</v>
      </c>
      <c r="FJ690" s="18">
        <v>45723.35962962963</v>
      </c>
      <c r="FK690" s="14" t="s">
        <v>14916</v>
      </c>
      <c r="FL690" s="14" t="s">
        <v>14917</v>
      </c>
      <c r="FM690" s="14" t="s">
        <v>14918</v>
      </c>
      <c r="FN690" s="19"/>
      <c r="FO690" s="19"/>
      <c r="FP690" s="19" t="str">
        <f t="shared" si="1"/>
        <v>Base de Dados_Images/RR4001.Imagem do Equipamento-.172228.jpg</v>
      </c>
      <c r="FQ690" s="19"/>
      <c r="FR690" s="19"/>
    </row>
    <row r="691" ht="15.75" customHeight="1">
      <c r="A691" s="12" t="s">
        <v>217</v>
      </c>
      <c r="B691" s="12" t="s">
        <v>11077</v>
      </c>
      <c r="C691" s="24" t="s">
        <v>14837</v>
      </c>
      <c r="D691" s="22" t="s">
        <v>14919</v>
      </c>
      <c r="E691" s="22" t="s">
        <v>14920</v>
      </c>
      <c r="F691" s="13" t="s">
        <v>178</v>
      </c>
      <c r="G691" s="14" t="s">
        <v>179</v>
      </c>
      <c r="H691" s="14" t="s">
        <v>14921</v>
      </c>
      <c r="I691" s="14" t="s">
        <v>179</v>
      </c>
      <c r="J691" s="14" t="s">
        <v>14922</v>
      </c>
      <c r="K691" s="14" t="s">
        <v>179</v>
      </c>
      <c r="L691" s="14" t="s">
        <v>14923</v>
      </c>
      <c r="M691" s="14" t="s">
        <v>179</v>
      </c>
      <c r="N691" s="14" t="s">
        <v>14924</v>
      </c>
      <c r="O691" s="14" t="s">
        <v>179</v>
      </c>
      <c r="P691" s="14" t="s">
        <v>14925</v>
      </c>
      <c r="Q691" s="14" t="s">
        <v>179</v>
      </c>
      <c r="R691" s="14" t="s">
        <v>14926</v>
      </c>
      <c r="S691" s="14" t="s">
        <v>179</v>
      </c>
      <c r="T691" s="14" t="s">
        <v>14927</v>
      </c>
      <c r="U691" s="14" t="s">
        <v>179</v>
      </c>
      <c r="V691" s="14" t="s">
        <v>14928</v>
      </c>
      <c r="W691" s="14" t="s">
        <v>179</v>
      </c>
      <c r="X691" s="14" t="s">
        <v>14929</v>
      </c>
      <c r="Y691" s="14" t="s">
        <v>179</v>
      </c>
      <c r="Z691" s="14" t="s">
        <v>14930</v>
      </c>
      <c r="AA691" s="14" t="s">
        <v>179</v>
      </c>
      <c r="AB691" s="14" t="s">
        <v>14931</v>
      </c>
      <c r="AC691" s="14" t="s">
        <v>179</v>
      </c>
      <c r="AD691" s="14" t="s">
        <v>14932</v>
      </c>
      <c r="AE691" s="14" t="s">
        <v>179</v>
      </c>
      <c r="AF691" s="14" t="s">
        <v>14933</v>
      </c>
      <c r="AG691" s="14" t="s">
        <v>179</v>
      </c>
      <c r="AH691" s="14" t="s">
        <v>14934</v>
      </c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6" t="s">
        <v>197</v>
      </c>
      <c r="BP691" s="17" t="s">
        <v>198</v>
      </c>
      <c r="BQ691" s="18">
        <v>45684.43586805555</v>
      </c>
      <c r="BR691" s="17" t="s">
        <v>198</v>
      </c>
      <c r="BS691" s="18">
        <v>45684.436273148145</v>
      </c>
      <c r="BT691" s="17" t="s">
        <v>198</v>
      </c>
      <c r="BU691" s="18">
        <v>45684.436273148145</v>
      </c>
      <c r="BV691" s="13" t="s">
        <v>199</v>
      </c>
      <c r="BW691" s="14" t="s">
        <v>179</v>
      </c>
      <c r="BX691" s="14" t="s">
        <v>14935</v>
      </c>
      <c r="BY691" s="14" t="s">
        <v>179</v>
      </c>
      <c r="BZ691" s="14" t="s">
        <v>14936</v>
      </c>
      <c r="CA691" s="14" t="s">
        <v>179</v>
      </c>
      <c r="CB691" s="14" t="s">
        <v>14937</v>
      </c>
      <c r="CC691" s="14" t="s">
        <v>179</v>
      </c>
      <c r="CD691" s="14" t="s">
        <v>14938</v>
      </c>
      <c r="CE691" s="15"/>
      <c r="CF691" s="15"/>
      <c r="CG691" s="19"/>
      <c r="CH691" s="15"/>
      <c r="CI691" s="19"/>
      <c r="CJ691" s="15"/>
      <c r="CK691" s="19"/>
      <c r="CL691" s="15"/>
      <c r="CM691" s="19"/>
      <c r="CN691" s="15"/>
      <c r="CO691" s="19"/>
      <c r="CP691" s="15"/>
      <c r="CQ691" s="15"/>
      <c r="CR691" s="15"/>
      <c r="CS691" s="19"/>
      <c r="CT691" s="15"/>
      <c r="CU691" s="19"/>
      <c r="CV691" s="15"/>
      <c r="CW691" s="19"/>
      <c r="CX691" s="15"/>
      <c r="CY691" s="19"/>
      <c r="CZ691" s="15"/>
      <c r="DA691" s="16" t="s">
        <v>197</v>
      </c>
      <c r="DB691" s="17" t="s">
        <v>198</v>
      </c>
      <c r="DC691" s="20">
        <v>45692.58804398148</v>
      </c>
      <c r="DD691" s="17" t="s">
        <v>198</v>
      </c>
      <c r="DE691" s="18">
        <v>45692.58809027778</v>
      </c>
      <c r="DF691" s="17" t="s">
        <v>198</v>
      </c>
      <c r="DG691" s="18">
        <v>45692.58809027778</v>
      </c>
      <c r="DH691" s="13" t="s">
        <v>205</v>
      </c>
      <c r="DI691" s="14" t="s">
        <v>179</v>
      </c>
      <c r="DJ691" s="14" t="s">
        <v>14939</v>
      </c>
      <c r="DK691" s="14" t="s">
        <v>179</v>
      </c>
      <c r="DL691" s="14" t="s">
        <v>14939</v>
      </c>
      <c r="DM691" s="14" t="s">
        <v>179</v>
      </c>
      <c r="DN691" s="14" t="s">
        <v>14940</v>
      </c>
      <c r="DO691" s="14" t="s">
        <v>179</v>
      </c>
      <c r="DP691" s="14" t="s">
        <v>14941</v>
      </c>
      <c r="DQ691" s="15"/>
      <c r="DR691" s="15"/>
      <c r="DS691" s="15"/>
      <c r="DT691" s="15"/>
      <c r="DU691" s="15"/>
      <c r="DV691" s="15"/>
      <c r="DW691" s="15"/>
      <c r="DX691" s="15"/>
      <c r="DY691" s="15"/>
      <c r="DZ691" s="15"/>
      <c r="EA691" s="15"/>
      <c r="EB691" s="15"/>
      <c r="EC691" s="16" t="s">
        <v>197</v>
      </c>
      <c r="ED691" s="17" t="s">
        <v>198</v>
      </c>
      <c r="EE691" s="18">
        <v>45715.53871527778</v>
      </c>
      <c r="EF691" s="13" t="s">
        <v>209</v>
      </c>
      <c r="EG691" s="14" t="s">
        <v>179</v>
      </c>
      <c r="EH691" s="14" t="s">
        <v>14942</v>
      </c>
      <c r="EI691" s="14" t="s">
        <v>179</v>
      </c>
      <c r="EJ691" s="14" t="s">
        <v>14943</v>
      </c>
      <c r="EK691" s="14" t="s">
        <v>179</v>
      </c>
      <c r="EL691" s="14" t="s">
        <v>14944</v>
      </c>
      <c r="EM691" s="14" t="s">
        <v>179</v>
      </c>
      <c r="EN691" s="14" t="s">
        <v>14945</v>
      </c>
      <c r="EO691" s="14" t="s">
        <v>179</v>
      </c>
      <c r="EP691" s="14" t="s">
        <v>14946</v>
      </c>
      <c r="EQ691" s="15"/>
      <c r="ER691" s="15"/>
      <c r="ES691" s="15"/>
      <c r="ET691" s="15"/>
      <c r="EU691" s="15"/>
      <c r="EV691" s="15"/>
      <c r="EW691" s="15"/>
      <c r="EX691" s="15"/>
      <c r="EY691" s="15"/>
      <c r="EZ691" s="15"/>
      <c r="FA691" s="15"/>
      <c r="FB691" s="15"/>
      <c r="FC691" s="16" t="s">
        <v>197</v>
      </c>
      <c r="FD691" s="17" t="s">
        <v>198</v>
      </c>
      <c r="FE691" s="18">
        <v>45723.458078703705</v>
      </c>
      <c r="FF691" s="19"/>
      <c r="FG691" s="19"/>
      <c r="FH691" s="21" t="s">
        <v>197</v>
      </c>
      <c r="FI691" s="17" t="s">
        <v>214</v>
      </c>
      <c r="FJ691" s="18">
        <v>45723.458078703705</v>
      </c>
      <c r="FK691" s="14" t="s">
        <v>14946</v>
      </c>
      <c r="FL691" s="14" t="s">
        <v>14947</v>
      </c>
      <c r="FM691" s="14" t="s">
        <v>14948</v>
      </c>
      <c r="FN691" s="19"/>
      <c r="FO691" s="19"/>
      <c r="FP691" s="19" t="str">
        <f t="shared" si="1"/>
        <v>Base de Dados_Images/RR4002.Imagem do Equipamento-.143341.jpg</v>
      </c>
      <c r="FQ691" s="19"/>
      <c r="FR691" s="19"/>
    </row>
    <row r="692" ht="15.75" customHeight="1">
      <c r="A692" s="12" t="s">
        <v>461</v>
      </c>
      <c r="B692" s="12" t="s">
        <v>14949</v>
      </c>
      <c r="C692" s="24" t="s">
        <v>14837</v>
      </c>
      <c r="D692" s="22" t="s">
        <v>14950</v>
      </c>
      <c r="E692" s="22" t="s">
        <v>14951</v>
      </c>
      <c r="F692" s="13" t="s">
        <v>178</v>
      </c>
      <c r="G692" s="14" t="s">
        <v>179</v>
      </c>
      <c r="H692" s="14" t="s">
        <v>14952</v>
      </c>
      <c r="I692" s="14" t="s">
        <v>179</v>
      </c>
      <c r="J692" s="14" t="s">
        <v>14953</v>
      </c>
      <c r="K692" s="14" t="s">
        <v>179</v>
      </c>
      <c r="L692" s="14" t="s">
        <v>14954</v>
      </c>
      <c r="M692" s="14" t="s">
        <v>179</v>
      </c>
      <c r="N692" s="14" t="s">
        <v>14955</v>
      </c>
      <c r="O692" s="14" t="s">
        <v>179</v>
      </c>
      <c r="P692" s="14" t="s">
        <v>14956</v>
      </c>
      <c r="Q692" s="14" t="s">
        <v>179</v>
      </c>
      <c r="R692" s="14" t="s">
        <v>14957</v>
      </c>
      <c r="S692" s="14" t="s">
        <v>179</v>
      </c>
      <c r="T692" s="14" t="s">
        <v>14958</v>
      </c>
      <c r="U692" s="14" t="s">
        <v>179</v>
      </c>
      <c r="V692" s="14" t="s">
        <v>14959</v>
      </c>
      <c r="W692" s="14" t="s">
        <v>179</v>
      </c>
      <c r="X692" s="14" t="s">
        <v>14960</v>
      </c>
      <c r="Y692" s="14" t="s">
        <v>179</v>
      </c>
      <c r="Z692" s="14" t="s">
        <v>14961</v>
      </c>
      <c r="AA692" s="14" t="s">
        <v>179</v>
      </c>
      <c r="AB692" s="14" t="s">
        <v>14962</v>
      </c>
      <c r="AC692" s="14" t="s">
        <v>179</v>
      </c>
      <c r="AD692" s="14" t="s">
        <v>14963</v>
      </c>
      <c r="AE692" s="14" t="s">
        <v>179</v>
      </c>
      <c r="AF692" s="14" t="s">
        <v>14964</v>
      </c>
      <c r="AG692" s="14" t="s">
        <v>179</v>
      </c>
      <c r="AH692" s="14" t="s">
        <v>14965</v>
      </c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6" t="s">
        <v>197</v>
      </c>
      <c r="BP692" s="17" t="s">
        <v>198</v>
      </c>
      <c r="BQ692" s="18">
        <v>45685.502430555556</v>
      </c>
      <c r="BR692" s="17" t="s">
        <v>198</v>
      </c>
      <c r="BS692" s="18">
        <v>45685.502604166664</v>
      </c>
      <c r="BT692" s="17" t="s">
        <v>198</v>
      </c>
      <c r="BU692" s="18">
        <v>45685.502604166664</v>
      </c>
      <c r="BV692" s="13" t="s">
        <v>199</v>
      </c>
      <c r="BW692" s="14" t="s">
        <v>179</v>
      </c>
      <c r="BX692" s="14" t="s">
        <v>14966</v>
      </c>
      <c r="BY692" s="14" t="s">
        <v>179</v>
      </c>
      <c r="BZ692" s="14" t="s">
        <v>14966</v>
      </c>
      <c r="CA692" s="14" t="s">
        <v>179</v>
      </c>
      <c r="CB692" s="14" t="s">
        <v>14967</v>
      </c>
      <c r="CC692" s="14" t="s">
        <v>179</v>
      </c>
      <c r="CD692" s="14" t="s">
        <v>14967</v>
      </c>
      <c r="CE692" s="15"/>
      <c r="CF692" s="15"/>
      <c r="CG692" s="19"/>
      <c r="CH692" s="15"/>
      <c r="CI692" s="19"/>
      <c r="CJ692" s="15"/>
      <c r="CK692" s="19"/>
      <c r="CL692" s="15"/>
      <c r="CM692" s="19"/>
      <c r="CN692" s="15"/>
      <c r="CO692" s="19"/>
      <c r="CP692" s="15"/>
      <c r="CQ692" s="15"/>
      <c r="CR692" s="15"/>
      <c r="CS692" s="19"/>
      <c r="CT692" s="15"/>
      <c r="CU692" s="19"/>
      <c r="CV692" s="15"/>
      <c r="CW692" s="19"/>
      <c r="CX692" s="15"/>
      <c r="CY692" s="19"/>
      <c r="CZ692" s="15"/>
      <c r="DA692" s="16" t="s">
        <v>197</v>
      </c>
      <c r="DB692" s="17" t="s">
        <v>198</v>
      </c>
      <c r="DC692" s="20">
        <v>45691.63313657408</v>
      </c>
      <c r="DD692" s="17" t="s">
        <v>198</v>
      </c>
      <c r="DE692" s="18">
        <v>45691.63317129629</v>
      </c>
      <c r="DF692" s="17" t="s">
        <v>198</v>
      </c>
      <c r="DG692" s="18">
        <v>45691.63317129629</v>
      </c>
      <c r="DH692" s="13" t="s">
        <v>205</v>
      </c>
      <c r="DI692" s="14" t="s">
        <v>179</v>
      </c>
      <c r="DJ692" s="14" t="s">
        <v>14968</v>
      </c>
      <c r="DK692" s="14" t="s">
        <v>179</v>
      </c>
      <c r="DL692" s="14" t="s">
        <v>14969</v>
      </c>
      <c r="DM692" s="14" t="s">
        <v>179</v>
      </c>
      <c r="DN692" s="14" t="s">
        <v>14970</v>
      </c>
      <c r="DO692" s="14" t="s">
        <v>179</v>
      </c>
      <c r="DP692" s="14" t="s">
        <v>14971</v>
      </c>
      <c r="DQ692" s="15"/>
      <c r="DR692" s="15"/>
      <c r="DS692" s="15"/>
      <c r="DT692" s="15"/>
      <c r="DU692" s="15"/>
      <c r="DV692" s="15"/>
      <c r="DW692" s="15"/>
      <c r="DX692" s="15"/>
      <c r="DY692" s="15"/>
      <c r="DZ692" s="15"/>
      <c r="EA692" s="15"/>
      <c r="EB692" s="15"/>
      <c r="EC692" s="16" t="s">
        <v>197</v>
      </c>
      <c r="ED692" s="17" t="s">
        <v>198</v>
      </c>
      <c r="EE692" s="18">
        <v>45691.633263888885</v>
      </c>
      <c r="EF692" s="13" t="s">
        <v>209</v>
      </c>
      <c r="EG692" s="14" t="s">
        <v>179</v>
      </c>
      <c r="EH692" s="14" t="s">
        <v>14972</v>
      </c>
      <c r="EI692" s="14" t="s">
        <v>179</v>
      </c>
      <c r="EJ692" s="14" t="s">
        <v>14973</v>
      </c>
      <c r="EK692" s="14" t="s">
        <v>179</v>
      </c>
      <c r="EL692" s="14" t="s">
        <v>14974</v>
      </c>
      <c r="EM692" s="14" t="s">
        <v>179</v>
      </c>
      <c r="EN692" s="14" t="s">
        <v>14974</v>
      </c>
      <c r="EO692" s="14" t="s">
        <v>179</v>
      </c>
      <c r="EP692" s="14" t="s">
        <v>14975</v>
      </c>
      <c r="EQ692" s="15"/>
      <c r="ER692" s="15"/>
      <c r="ES692" s="15"/>
      <c r="ET692" s="15"/>
      <c r="EU692" s="15"/>
      <c r="EV692" s="15"/>
      <c r="EW692" s="15"/>
      <c r="EX692" s="15"/>
      <c r="EY692" s="15"/>
      <c r="EZ692" s="15"/>
      <c r="FA692" s="15"/>
      <c r="FB692" s="15"/>
      <c r="FC692" s="16" t="s">
        <v>197</v>
      </c>
      <c r="FD692" s="17" t="s">
        <v>198</v>
      </c>
      <c r="FE692" s="18">
        <v>45723.36004629629</v>
      </c>
      <c r="FF692" s="19"/>
      <c r="FG692" s="19"/>
      <c r="FH692" s="21" t="s">
        <v>197</v>
      </c>
      <c r="FI692" s="17" t="s">
        <v>214</v>
      </c>
      <c r="FJ692" s="18">
        <v>45723.36004629629</v>
      </c>
      <c r="FK692" s="14" t="s">
        <v>14975</v>
      </c>
      <c r="FL692" s="19"/>
      <c r="FM692" s="19"/>
      <c r="FN692" s="19"/>
      <c r="FO692" s="19"/>
      <c r="FP692" s="19" t="str">
        <f t="shared" si="1"/>
        <v/>
      </c>
      <c r="FQ692" s="14" t="s">
        <v>215</v>
      </c>
      <c r="FR692" s="14" t="s">
        <v>14976</v>
      </c>
    </row>
    <row r="693" ht="15.75" customHeight="1">
      <c r="A693" s="12" t="s">
        <v>357</v>
      </c>
      <c r="B693" s="12" t="s">
        <v>358</v>
      </c>
      <c r="C693" s="24" t="s">
        <v>14977</v>
      </c>
      <c r="D693" s="22" t="s">
        <v>14978</v>
      </c>
      <c r="E693" s="22" t="s">
        <v>14979</v>
      </c>
      <c r="F693" s="13" t="s">
        <v>178</v>
      </c>
      <c r="G693" s="14" t="s">
        <v>179</v>
      </c>
      <c r="H693" s="14" t="s">
        <v>14980</v>
      </c>
      <c r="I693" s="14" t="s">
        <v>179</v>
      </c>
      <c r="J693" s="14" t="s">
        <v>14981</v>
      </c>
      <c r="K693" s="14" t="s">
        <v>179</v>
      </c>
      <c r="L693" s="14" t="s">
        <v>14982</v>
      </c>
      <c r="M693" s="14" t="s">
        <v>179</v>
      </c>
      <c r="N693" s="14" t="s">
        <v>14983</v>
      </c>
      <c r="O693" s="14" t="s">
        <v>179</v>
      </c>
      <c r="P693" s="14" t="s">
        <v>14984</v>
      </c>
      <c r="Q693" s="14" t="s">
        <v>179</v>
      </c>
      <c r="R693" s="14" t="s">
        <v>14985</v>
      </c>
      <c r="S693" s="14" t="s">
        <v>179</v>
      </c>
      <c r="T693" s="14" t="s">
        <v>14986</v>
      </c>
      <c r="U693" s="14" t="s">
        <v>179</v>
      </c>
      <c r="V693" s="14" t="s">
        <v>14987</v>
      </c>
      <c r="W693" s="14" t="s">
        <v>179</v>
      </c>
      <c r="X693" s="14" t="s">
        <v>14988</v>
      </c>
      <c r="Y693" s="14" t="s">
        <v>179</v>
      </c>
      <c r="Z693" s="14" t="s">
        <v>14989</v>
      </c>
      <c r="AA693" s="14" t="s">
        <v>179</v>
      </c>
      <c r="AB693" s="14" t="s">
        <v>14990</v>
      </c>
      <c r="AC693" s="14" t="s">
        <v>179</v>
      </c>
      <c r="AD693" s="14" t="s">
        <v>14991</v>
      </c>
      <c r="AE693" s="14" t="s">
        <v>179</v>
      </c>
      <c r="AF693" s="14" t="s">
        <v>14992</v>
      </c>
      <c r="AG693" s="14" t="s">
        <v>179</v>
      </c>
      <c r="AH693" s="14" t="s">
        <v>14993</v>
      </c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6" t="s">
        <v>197</v>
      </c>
      <c r="BP693" s="17" t="s">
        <v>198</v>
      </c>
      <c r="BQ693" s="18">
        <v>45708.52171296296</v>
      </c>
      <c r="BR693" s="17" t="s">
        <v>198</v>
      </c>
      <c r="BS693" s="18">
        <v>45708.521875</v>
      </c>
      <c r="BT693" s="17" t="s">
        <v>198</v>
      </c>
      <c r="BU693" s="18">
        <v>45708.521875</v>
      </c>
      <c r="BV693" s="13" t="s">
        <v>199</v>
      </c>
      <c r="BW693" s="14" t="s">
        <v>179</v>
      </c>
      <c r="BX693" s="14" t="s">
        <v>14994</v>
      </c>
      <c r="BY693" s="14" t="s">
        <v>179</v>
      </c>
      <c r="BZ693" s="14" t="s">
        <v>14995</v>
      </c>
      <c r="CA693" s="14" t="s">
        <v>179</v>
      </c>
      <c r="CB693" s="14" t="s">
        <v>14996</v>
      </c>
      <c r="CC693" s="14" t="s">
        <v>179</v>
      </c>
      <c r="CD693" s="14" t="s">
        <v>14997</v>
      </c>
      <c r="CE693" s="15"/>
      <c r="CF693" s="15"/>
      <c r="CG693" s="19"/>
      <c r="CH693" s="15"/>
      <c r="CI693" s="19"/>
      <c r="CJ693" s="15"/>
      <c r="CK693" s="19"/>
      <c r="CL693" s="15"/>
      <c r="CM693" s="19"/>
      <c r="CN693" s="15"/>
      <c r="CO693" s="19"/>
      <c r="CP693" s="15"/>
      <c r="CQ693" s="15"/>
      <c r="CR693" s="15"/>
      <c r="CS693" s="19"/>
      <c r="CT693" s="15"/>
      <c r="CU693" s="19"/>
      <c r="CV693" s="15"/>
      <c r="CW693" s="19"/>
      <c r="CX693" s="15"/>
      <c r="CY693" s="19"/>
      <c r="CZ693" s="15"/>
      <c r="DA693" s="16" t="s">
        <v>197</v>
      </c>
      <c r="DB693" s="17" t="s">
        <v>198</v>
      </c>
      <c r="DC693" s="20">
        <v>45715.56832175926</v>
      </c>
      <c r="DD693" s="17" t="s">
        <v>198</v>
      </c>
      <c r="DE693" s="18">
        <v>45715.56837962963</v>
      </c>
      <c r="DF693" s="17" t="s">
        <v>198</v>
      </c>
      <c r="DG693" s="18">
        <v>45715.56837962963</v>
      </c>
      <c r="DH693" s="13" t="s">
        <v>205</v>
      </c>
      <c r="DI693" s="14" t="s">
        <v>179</v>
      </c>
      <c r="DJ693" s="14" t="s">
        <v>14998</v>
      </c>
      <c r="DK693" s="14" t="s">
        <v>179</v>
      </c>
      <c r="DL693" s="14" t="s">
        <v>14999</v>
      </c>
      <c r="DM693" s="14" t="s">
        <v>179</v>
      </c>
      <c r="DN693" s="14" t="s">
        <v>15000</v>
      </c>
      <c r="DO693" s="15"/>
      <c r="DP693" s="15"/>
      <c r="DQ693" s="15"/>
      <c r="DR693" s="15"/>
      <c r="DS693" s="15"/>
      <c r="DT693" s="15"/>
      <c r="DU693" s="15"/>
      <c r="DV693" s="15"/>
      <c r="DW693" s="15"/>
      <c r="DX693" s="15"/>
      <c r="DY693" s="15"/>
      <c r="DZ693" s="15"/>
      <c r="EA693" s="15"/>
      <c r="EB693" s="15"/>
      <c r="EC693" s="16" t="s">
        <v>197</v>
      </c>
      <c r="ED693" s="17" t="s">
        <v>198</v>
      </c>
      <c r="EE693" s="18">
        <v>45715.56857638889</v>
      </c>
      <c r="EF693" s="13" t="s">
        <v>209</v>
      </c>
      <c r="EG693" s="14" t="s">
        <v>179</v>
      </c>
      <c r="EH693" s="14" t="s">
        <v>15001</v>
      </c>
      <c r="EI693" s="14" t="s">
        <v>179</v>
      </c>
      <c r="EJ693" s="14" t="s">
        <v>15002</v>
      </c>
      <c r="EK693" s="14" t="s">
        <v>179</v>
      </c>
      <c r="EL693" s="14" t="s">
        <v>15003</v>
      </c>
      <c r="EM693" s="14" t="s">
        <v>179</v>
      </c>
      <c r="EN693" s="14" t="s">
        <v>15004</v>
      </c>
      <c r="EO693" s="15"/>
      <c r="EP693" s="15"/>
      <c r="EQ693" s="15"/>
      <c r="ER693" s="15"/>
      <c r="ES693" s="15"/>
      <c r="ET693" s="15"/>
      <c r="EU693" s="15"/>
      <c r="EV693" s="15"/>
      <c r="EW693" s="15"/>
      <c r="EX693" s="15"/>
      <c r="EY693" s="15"/>
      <c r="EZ693" s="15"/>
      <c r="FA693" s="15"/>
      <c r="FB693" s="15"/>
      <c r="FC693" s="16" t="s">
        <v>197</v>
      </c>
      <c r="FD693" s="17" t="s">
        <v>198</v>
      </c>
      <c r="FE693" s="18">
        <v>45715.568657407406</v>
      </c>
      <c r="FF693" s="19"/>
      <c r="FG693" s="19"/>
      <c r="FH693" s="21" t="s">
        <v>197</v>
      </c>
      <c r="FI693" s="17" t="s">
        <v>214</v>
      </c>
      <c r="FJ693" s="18">
        <v>45715.568657407406</v>
      </c>
      <c r="FK693" s="14" t="s">
        <v>15004</v>
      </c>
      <c r="FL693" s="14" t="s">
        <v>15005</v>
      </c>
      <c r="FM693" s="14" t="s">
        <v>15006</v>
      </c>
      <c r="FN693" s="19"/>
      <c r="FO693" s="19"/>
      <c r="FP693" s="19" t="str">
        <f t="shared" si="1"/>
        <v>Base de Dados_Images/SF8101.Imagem do Equipamento-.153202.jpg</v>
      </c>
      <c r="FQ693" s="14"/>
      <c r="FR693" s="14"/>
    </row>
    <row r="694" ht="15.75" customHeight="1">
      <c r="A694" s="12" t="s">
        <v>357</v>
      </c>
      <c r="B694" s="12" t="s">
        <v>358</v>
      </c>
      <c r="C694" s="24" t="s">
        <v>14977</v>
      </c>
      <c r="D694" s="22" t="s">
        <v>15007</v>
      </c>
      <c r="E694" s="22" t="s">
        <v>15008</v>
      </c>
      <c r="F694" s="13" t="s">
        <v>178</v>
      </c>
      <c r="G694" s="14" t="s">
        <v>179</v>
      </c>
      <c r="H694" s="14" t="s">
        <v>15009</v>
      </c>
      <c r="I694" s="14" t="s">
        <v>179</v>
      </c>
      <c r="J694" s="14" t="s">
        <v>15010</v>
      </c>
      <c r="K694" s="14" t="s">
        <v>179</v>
      </c>
      <c r="L694" s="14" t="s">
        <v>15011</v>
      </c>
      <c r="M694" s="14" t="s">
        <v>179</v>
      </c>
      <c r="N694" s="14" t="s">
        <v>15012</v>
      </c>
      <c r="O694" s="14" t="s">
        <v>179</v>
      </c>
      <c r="P694" s="14" t="s">
        <v>15013</v>
      </c>
      <c r="Q694" s="14" t="s">
        <v>179</v>
      </c>
      <c r="R694" s="14" t="s">
        <v>15014</v>
      </c>
      <c r="S694" s="14" t="s">
        <v>179</v>
      </c>
      <c r="T694" s="14" t="s">
        <v>15015</v>
      </c>
      <c r="U694" s="14" t="s">
        <v>179</v>
      </c>
      <c r="V694" s="14" t="s">
        <v>15016</v>
      </c>
      <c r="W694" s="14" t="s">
        <v>179</v>
      </c>
      <c r="X694" s="14" t="s">
        <v>15017</v>
      </c>
      <c r="Y694" s="14" t="s">
        <v>179</v>
      </c>
      <c r="Z694" s="14" t="s">
        <v>15018</v>
      </c>
      <c r="AA694" s="14" t="s">
        <v>179</v>
      </c>
      <c r="AB694" s="14" t="s">
        <v>15019</v>
      </c>
      <c r="AC694" s="14" t="s">
        <v>179</v>
      </c>
      <c r="AD694" s="14" t="s">
        <v>15020</v>
      </c>
      <c r="AE694" s="14" t="s">
        <v>179</v>
      </c>
      <c r="AF694" s="14" t="s">
        <v>15021</v>
      </c>
      <c r="AG694" s="14" t="s">
        <v>179</v>
      </c>
      <c r="AH694" s="14" t="s">
        <v>15022</v>
      </c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6" t="s">
        <v>197</v>
      </c>
      <c r="BP694" s="17" t="s">
        <v>198</v>
      </c>
      <c r="BQ694" s="18">
        <v>45705.41175925926</v>
      </c>
      <c r="BR694" s="17" t="s">
        <v>198</v>
      </c>
      <c r="BS694" s="18">
        <v>45705.41200231481</v>
      </c>
      <c r="BT694" s="17" t="s">
        <v>198</v>
      </c>
      <c r="BU694" s="18">
        <v>45705.41200231481</v>
      </c>
      <c r="BV694" s="13" t="s">
        <v>199</v>
      </c>
      <c r="BW694" s="14" t="s">
        <v>179</v>
      </c>
      <c r="BX694" s="14" t="s">
        <v>15023</v>
      </c>
      <c r="BY694" s="14" t="s">
        <v>179</v>
      </c>
      <c r="BZ694" s="14" t="s">
        <v>15024</v>
      </c>
      <c r="CA694" s="14" t="s">
        <v>179</v>
      </c>
      <c r="CB694" s="14" t="s">
        <v>15025</v>
      </c>
      <c r="CC694" s="14" t="s">
        <v>179</v>
      </c>
      <c r="CD694" s="14" t="s">
        <v>15026</v>
      </c>
      <c r="CE694" s="15"/>
      <c r="CF694" s="15"/>
      <c r="CG694" s="19"/>
      <c r="CH694" s="15"/>
      <c r="CI694" s="19"/>
      <c r="CJ694" s="15"/>
      <c r="CK694" s="19"/>
      <c r="CL694" s="15"/>
      <c r="CM694" s="19"/>
      <c r="CN694" s="15"/>
      <c r="CO694" s="19"/>
      <c r="CP694" s="15"/>
      <c r="CQ694" s="15"/>
      <c r="CR694" s="15"/>
      <c r="CS694" s="19"/>
      <c r="CT694" s="15"/>
      <c r="CU694" s="19"/>
      <c r="CV694" s="15"/>
      <c r="CW694" s="19"/>
      <c r="CX694" s="15"/>
      <c r="CY694" s="19"/>
      <c r="CZ694" s="15"/>
      <c r="DA694" s="16" t="s">
        <v>197</v>
      </c>
      <c r="DB694" s="17" t="s">
        <v>198</v>
      </c>
      <c r="DC694" s="20">
        <v>45719.36939814815</v>
      </c>
      <c r="DD694" s="17" t="s">
        <v>198</v>
      </c>
      <c r="DE694" s="18">
        <v>45719.369467592594</v>
      </c>
      <c r="DF694" s="17" t="s">
        <v>198</v>
      </c>
      <c r="DG694" s="18">
        <v>45719.369467592594</v>
      </c>
      <c r="DH694" s="13" t="s">
        <v>205</v>
      </c>
      <c r="DI694" s="14" t="s">
        <v>179</v>
      </c>
      <c r="DJ694" s="14" t="s">
        <v>15027</v>
      </c>
      <c r="DK694" s="14" t="s">
        <v>179</v>
      </c>
      <c r="DL694" s="14" t="s">
        <v>15028</v>
      </c>
      <c r="DM694" s="14" t="s">
        <v>179</v>
      </c>
      <c r="DN694" s="14" t="s">
        <v>15029</v>
      </c>
      <c r="DO694" s="15"/>
      <c r="DP694" s="15"/>
      <c r="DQ694" s="15"/>
      <c r="DR694" s="15"/>
      <c r="DS694" s="15"/>
      <c r="DT694" s="15"/>
      <c r="DU694" s="15"/>
      <c r="DV694" s="15"/>
      <c r="DW694" s="15"/>
      <c r="DX694" s="15"/>
      <c r="DY694" s="15"/>
      <c r="DZ694" s="15"/>
      <c r="EA694" s="15"/>
      <c r="EB694" s="15"/>
      <c r="EC694" s="16" t="s">
        <v>197</v>
      </c>
      <c r="ED694" s="17" t="s">
        <v>198</v>
      </c>
      <c r="EE694" s="18">
        <v>45719.36956018519</v>
      </c>
      <c r="EF694" s="13" t="s">
        <v>209</v>
      </c>
      <c r="EG694" s="14" t="s">
        <v>179</v>
      </c>
      <c r="EH694" s="14" t="s">
        <v>15030</v>
      </c>
      <c r="EI694" s="14" t="s">
        <v>179</v>
      </c>
      <c r="EJ694" s="14" t="s">
        <v>15031</v>
      </c>
      <c r="EK694" s="14" t="s">
        <v>179</v>
      </c>
      <c r="EL694" s="14" t="s">
        <v>15032</v>
      </c>
      <c r="EM694" s="14" t="s">
        <v>179</v>
      </c>
      <c r="EN694" s="14" t="s">
        <v>15033</v>
      </c>
      <c r="EO694" s="15"/>
      <c r="EP694" s="15"/>
      <c r="EQ694" s="15"/>
      <c r="ER694" s="15"/>
      <c r="ES694" s="15"/>
      <c r="ET694" s="15"/>
      <c r="EU694" s="15"/>
      <c r="EV694" s="15"/>
      <c r="EW694" s="15"/>
      <c r="EX694" s="15"/>
      <c r="EY694" s="15"/>
      <c r="EZ694" s="15"/>
      <c r="FA694" s="15"/>
      <c r="FB694" s="15"/>
      <c r="FC694" s="16" t="s">
        <v>197</v>
      </c>
      <c r="FD694" s="17" t="s">
        <v>198</v>
      </c>
      <c r="FE694" s="18">
        <v>45719.36966435185</v>
      </c>
      <c r="FF694" s="19"/>
      <c r="FG694" s="19"/>
      <c r="FH694" s="21" t="s">
        <v>197</v>
      </c>
      <c r="FI694" s="17" t="s">
        <v>214</v>
      </c>
      <c r="FJ694" s="18">
        <v>45719.36966435185</v>
      </c>
      <c r="FK694" s="14" t="s">
        <v>15033</v>
      </c>
      <c r="FL694" s="14" t="s">
        <v>15034</v>
      </c>
      <c r="FM694" s="14" t="s">
        <v>15035</v>
      </c>
      <c r="FN694" s="19"/>
      <c r="FO694" s="19"/>
      <c r="FP694" s="19" t="str">
        <f t="shared" si="1"/>
        <v>Base de Dados_Images/SF8102.Imagem do Equipamento-.125244.jpg</v>
      </c>
      <c r="FQ694" s="19"/>
      <c r="FR694" s="19"/>
    </row>
    <row r="695" ht="15.75" customHeight="1">
      <c r="A695" s="12" t="s">
        <v>357</v>
      </c>
      <c r="B695" s="12" t="s">
        <v>358</v>
      </c>
      <c r="C695" s="24" t="s">
        <v>14977</v>
      </c>
      <c r="D695" s="22" t="s">
        <v>15036</v>
      </c>
      <c r="E695" s="22" t="s">
        <v>15037</v>
      </c>
      <c r="F695" s="13" t="s">
        <v>178</v>
      </c>
      <c r="G695" s="14" t="s">
        <v>179</v>
      </c>
      <c r="H695" s="14" t="s">
        <v>15038</v>
      </c>
      <c r="I695" s="14" t="s">
        <v>179</v>
      </c>
      <c r="J695" s="14" t="s">
        <v>15039</v>
      </c>
      <c r="K695" s="14" t="s">
        <v>179</v>
      </c>
      <c r="L695" s="14" t="s">
        <v>15040</v>
      </c>
      <c r="M695" s="14" t="s">
        <v>179</v>
      </c>
      <c r="N695" s="14" t="s">
        <v>15041</v>
      </c>
      <c r="O695" s="14" t="s">
        <v>179</v>
      </c>
      <c r="P695" s="14" t="s">
        <v>15042</v>
      </c>
      <c r="Q695" s="14" t="s">
        <v>179</v>
      </c>
      <c r="R695" s="14" t="s">
        <v>15043</v>
      </c>
      <c r="S695" s="14" t="s">
        <v>179</v>
      </c>
      <c r="T695" s="14" t="s">
        <v>15044</v>
      </c>
      <c r="U695" s="14" t="s">
        <v>179</v>
      </c>
      <c r="V695" s="14" t="s">
        <v>15045</v>
      </c>
      <c r="W695" s="14" t="s">
        <v>179</v>
      </c>
      <c r="X695" s="14" t="s">
        <v>15046</v>
      </c>
      <c r="Y695" s="14" t="s">
        <v>179</v>
      </c>
      <c r="Z695" s="14" t="s">
        <v>15047</v>
      </c>
      <c r="AA695" s="14" t="s">
        <v>179</v>
      </c>
      <c r="AB695" s="14" t="s">
        <v>15048</v>
      </c>
      <c r="AC695" s="14" t="s">
        <v>179</v>
      </c>
      <c r="AD695" s="14" t="s">
        <v>15049</v>
      </c>
      <c r="AE695" s="14" t="s">
        <v>179</v>
      </c>
      <c r="AF695" s="14" t="s">
        <v>15050</v>
      </c>
      <c r="AG695" s="14" t="s">
        <v>179</v>
      </c>
      <c r="AH695" s="14" t="s">
        <v>15051</v>
      </c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6" t="s">
        <v>197</v>
      </c>
      <c r="BP695" s="17" t="s">
        <v>198</v>
      </c>
      <c r="BQ695" s="18">
        <v>45708.52318287037</v>
      </c>
      <c r="BR695" s="17" t="s">
        <v>198</v>
      </c>
      <c r="BS695" s="18">
        <v>45708.52332175926</v>
      </c>
      <c r="BT695" s="17" t="s">
        <v>198</v>
      </c>
      <c r="BU695" s="18">
        <v>45708.52332175926</v>
      </c>
      <c r="BV695" s="13" t="s">
        <v>199</v>
      </c>
      <c r="BW695" s="14" t="s">
        <v>179</v>
      </c>
      <c r="BX695" s="14" t="s">
        <v>15052</v>
      </c>
      <c r="BY695" s="14" t="s">
        <v>179</v>
      </c>
      <c r="BZ695" s="14" t="s">
        <v>15053</v>
      </c>
      <c r="CA695" s="14" t="s">
        <v>179</v>
      </c>
      <c r="CB695" s="14" t="s">
        <v>15054</v>
      </c>
      <c r="CC695" s="14" t="s">
        <v>179</v>
      </c>
      <c r="CD695" s="14" t="s">
        <v>15054</v>
      </c>
      <c r="CE695" s="15"/>
      <c r="CF695" s="15"/>
      <c r="CG695" s="19"/>
      <c r="CH695" s="15"/>
      <c r="CI695" s="19"/>
      <c r="CJ695" s="15"/>
      <c r="CK695" s="19"/>
      <c r="CL695" s="15"/>
      <c r="CM695" s="19"/>
      <c r="CN695" s="15"/>
      <c r="CO695" s="19"/>
      <c r="CP695" s="15"/>
      <c r="CQ695" s="15"/>
      <c r="CR695" s="15"/>
      <c r="CS695" s="19"/>
      <c r="CT695" s="15"/>
      <c r="CU695" s="19"/>
      <c r="CV695" s="15"/>
      <c r="CW695" s="19"/>
      <c r="CX695" s="15"/>
      <c r="CY695" s="19"/>
      <c r="CZ695" s="15"/>
      <c r="DA695" s="16" t="s">
        <v>197</v>
      </c>
      <c r="DB695" s="17" t="s">
        <v>198</v>
      </c>
      <c r="DC695" s="20">
        <v>45715.568761574075</v>
      </c>
      <c r="DD695" s="17" t="s">
        <v>198</v>
      </c>
      <c r="DE695" s="18">
        <v>45715.56883101852</v>
      </c>
      <c r="DF695" s="17" t="s">
        <v>198</v>
      </c>
      <c r="DG695" s="18">
        <v>45715.56883101852</v>
      </c>
      <c r="DH695" s="13" t="s">
        <v>205</v>
      </c>
      <c r="DI695" s="14" t="s">
        <v>179</v>
      </c>
      <c r="DJ695" s="14" t="s">
        <v>15055</v>
      </c>
      <c r="DK695" s="14" t="s">
        <v>179</v>
      </c>
      <c r="DL695" s="14" t="s">
        <v>15055</v>
      </c>
      <c r="DM695" s="14" t="s">
        <v>179</v>
      </c>
      <c r="DN695" s="14" t="s">
        <v>15056</v>
      </c>
      <c r="DO695" s="15"/>
      <c r="DP695" s="15"/>
      <c r="DQ695" s="15"/>
      <c r="DR695" s="15"/>
      <c r="DS695" s="15"/>
      <c r="DT695" s="15"/>
      <c r="DU695" s="15"/>
      <c r="DV695" s="15"/>
      <c r="DW695" s="15"/>
      <c r="DX695" s="15"/>
      <c r="DY695" s="15"/>
      <c r="DZ695" s="15"/>
      <c r="EA695" s="15"/>
      <c r="EB695" s="15"/>
      <c r="EC695" s="16" t="s">
        <v>197</v>
      </c>
      <c r="ED695" s="17" t="s">
        <v>198</v>
      </c>
      <c r="EE695" s="18">
        <v>45715.56893518518</v>
      </c>
      <c r="EF695" s="13" t="s">
        <v>209</v>
      </c>
      <c r="EG695" s="14" t="s">
        <v>179</v>
      </c>
      <c r="EH695" s="14" t="s">
        <v>15057</v>
      </c>
      <c r="EI695" s="14" t="s">
        <v>179</v>
      </c>
      <c r="EJ695" s="14" t="s">
        <v>15058</v>
      </c>
      <c r="EK695" s="14" t="s">
        <v>179</v>
      </c>
      <c r="EL695" s="14" t="s">
        <v>15059</v>
      </c>
      <c r="EM695" s="14" t="s">
        <v>179</v>
      </c>
      <c r="EN695" s="14" t="s">
        <v>15060</v>
      </c>
      <c r="EO695" s="15"/>
      <c r="EP695" s="15"/>
      <c r="EQ695" s="15"/>
      <c r="ER695" s="15"/>
      <c r="ES695" s="15"/>
      <c r="ET695" s="15"/>
      <c r="EU695" s="15"/>
      <c r="EV695" s="15"/>
      <c r="EW695" s="15"/>
      <c r="EX695" s="15"/>
      <c r="EY695" s="15"/>
      <c r="EZ695" s="15"/>
      <c r="FA695" s="15"/>
      <c r="FB695" s="15"/>
      <c r="FC695" s="16" t="s">
        <v>197</v>
      </c>
      <c r="FD695" s="17" t="s">
        <v>198</v>
      </c>
      <c r="FE695" s="18">
        <v>45715.569027777776</v>
      </c>
      <c r="FF695" s="19"/>
      <c r="FG695" s="19"/>
      <c r="FH695" s="21" t="s">
        <v>197</v>
      </c>
      <c r="FI695" s="17" t="s">
        <v>214</v>
      </c>
      <c r="FJ695" s="18">
        <v>45715.569027777776</v>
      </c>
      <c r="FK695" s="14" t="s">
        <v>15060</v>
      </c>
      <c r="FL695" s="14" t="s">
        <v>15061</v>
      </c>
      <c r="FM695" s="14" t="s">
        <v>15062</v>
      </c>
      <c r="FN695" s="19"/>
      <c r="FO695" s="19"/>
      <c r="FP695" s="19" t="str">
        <f t="shared" si="1"/>
        <v>Base de Dados_Images/SF8103.Imagem do Equipamento-.153311.jpg</v>
      </c>
      <c r="FQ695" s="19"/>
      <c r="FR695" s="19"/>
    </row>
    <row r="696" ht="15.75" customHeight="1">
      <c r="A696" s="12" t="s">
        <v>357</v>
      </c>
      <c r="B696" s="12" t="s">
        <v>358</v>
      </c>
      <c r="C696" s="24" t="s">
        <v>14977</v>
      </c>
      <c r="D696" s="22" t="s">
        <v>15063</v>
      </c>
      <c r="E696" s="22" t="s">
        <v>15064</v>
      </c>
      <c r="F696" s="13" t="s">
        <v>178</v>
      </c>
      <c r="G696" s="14" t="s">
        <v>179</v>
      </c>
      <c r="H696" s="14" t="s">
        <v>15065</v>
      </c>
      <c r="I696" s="14" t="s">
        <v>179</v>
      </c>
      <c r="J696" s="14" t="s">
        <v>15066</v>
      </c>
      <c r="K696" s="14" t="s">
        <v>179</v>
      </c>
      <c r="L696" s="14" t="s">
        <v>15067</v>
      </c>
      <c r="M696" s="14" t="s">
        <v>179</v>
      </c>
      <c r="N696" s="14" t="s">
        <v>15068</v>
      </c>
      <c r="O696" s="14" t="s">
        <v>179</v>
      </c>
      <c r="P696" s="14" t="s">
        <v>15069</v>
      </c>
      <c r="Q696" s="14" t="s">
        <v>179</v>
      </c>
      <c r="R696" s="14" t="s">
        <v>15070</v>
      </c>
      <c r="S696" s="14" t="s">
        <v>179</v>
      </c>
      <c r="T696" s="14" t="s">
        <v>15071</v>
      </c>
      <c r="U696" s="14" t="s">
        <v>179</v>
      </c>
      <c r="V696" s="14" t="s">
        <v>15072</v>
      </c>
      <c r="W696" s="14" t="s">
        <v>179</v>
      </c>
      <c r="X696" s="14" t="s">
        <v>15073</v>
      </c>
      <c r="Y696" s="14" t="s">
        <v>179</v>
      </c>
      <c r="Z696" s="14" t="s">
        <v>15074</v>
      </c>
      <c r="AA696" s="14" t="s">
        <v>179</v>
      </c>
      <c r="AB696" s="14" t="s">
        <v>15075</v>
      </c>
      <c r="AC696" s="14" t="s">
        <v>179</v>
      </c>
      <c r="AD696" s="14" t="s">
        <v>15076</v>
      </c>
      <c r="AE696" s="14" t="s">
        <v>179</v>
      </c>
      <c r="AF696" s="14" t="s">
        <v>15077</v>
      </c>
      <c r="AG696" s="14" t="s">
        <v>179</v>
      </c>
      <c r="AH696" s="14" t="s">
        <v>15078</v>
      </c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6" t="s">
        <v>197</v>
      </c>
      <c r="BP696" s="17" t="s">
        <v>198</v>
      </c>
      <c r="BQ696" s="18">
        <v>45705.41065972222</v>
      </c>
      <c r="BR696" s="17" t="s">
        <v>198</v>
      </c>
      <c r="BS696" s="18">
        <v>45705.41081018518</v>
      </c>
      <c r="BT696" s="17" t="s">
        <v>198</v>
      </c>
      <c r="BU696" s="18">
        <v>45705.41081018518</v>
      </c>
      <c r="BV696" s="13" t="s">
        <v>199</v>
      </c>
      <c r="BW696" s="14" t="s">
        <v>179</v>
      </c>
      <c r="BX696" s="14" t="s">
        <v>15079</v>
      </c>
      <c r="BY696" s="14" t="s">
        <v>179</v>
      </c>
      <c r="BZ696" s="14" t="s">
        <v>15080</v>
      </c>
      <c r="CA696" s="14" t="s">
        <v>179</v>
      </c>
      <c r="CB696" s="14" t="s">
        <v>15081</v>
      </c>
      <c r="CC696" s="14" t="s">
        <v>179</v>
      </c>
      <c r="CD696" s="14" t="s">
        <v>15082</v>
      </c>
      <c r="CE696" s="15"/>
      <c r="CF696" s="15"/>
      <c r="CG696" s="19"/>
      <c r="CH696" s="15"/>
      <c r="CI696" s="19"/>
      <c r="CJ696" s="15"/>
      <c r="CK696" s="19"/>
      <c r="CL696" s="15"/>
      <c r="CM696" s="19"/>
      <c r="CN696" s="15"/>
      <c r="CO696" s="19"/>
      <c r="CP696" s="15"/>
      <c r="CQ696" s="15"/>
      <c r="CR696" s="15"/>
      <c r="CS696" s="19"/>
      <c r="CT696" s="15"/>
      <c r="CU696" s="19"/>
      <c r="CV696" s="15"/>
      <c r="CW696" s="19"/>
      <c r="CX696" s="15"/>
      <c r="CY696" s="19"/>
      <c r="CZ696" s="15"/>
      <c r="DA696" s="16" t="s">
        <v>197</v>
      </c>
      <c r="DB696" s="17" t="s">
        <v>198</v>
      </c>
      <c r="DC696" s="20">
        <v>45719.3690162037</v>
      </c>
      <c r="DD696" s="17" t="s">
        <v>198</v>
      </c>
      <c r="DE696" s="18">
        <v>45719.3690625</v>
      </c>
      <c r="DF696" s="17" t="s">
        <v>198</v>
      </c>
      <c r="DG696" s="18">
        <v>45719.3690625</v>
      </c>
      <c r="DH696" s="13" t="s">
        <v>205</v>
      </c>
      <c r="DI696" s="14" t="s">
        <v>179</v>
      </c>
      <c r="DJ696" s="14" t="s">
        <v>15083</v>
      </c>
      <c r="DK696" s="14" t="s">
        <v>179</v>
      </c>
      <c r="DL696" s="14" t="s">
        <v>15084</v>
      </c>
      <c r="DM696" s="14" t="s">
        <v>179</v>
      </c>
      <c r="DN696" s="14" t="s">
        <v>15085</v>
      </c>
      <c r="DO696" s="15"/>
      <c r="DP696" s="15"/>
      <c r="DQ696" s="15"/>
      <c r="DR696" s="15"/>
      <c r="DS696" s="15"/>
      <c r="DT696" s="15"/>
      <c r="DU696" s="15"/>
      <c r="DV696" s="15"/>
      <c r="DW696" s="15"/>
      <c r="DX696" s="15"/>
      <c r="DY696" s="15"/>
      <c r="DZ696" s="15"/>
      <c r="EA696" s="15"/>
      <c r="EB696" s="15"/>
      <c r="EC696" s="16" t="s">
        <v>197</v>
      </c>
      <c r="ED696" s="17" t="s">
        <v>198</v>
      </c>
      <c r="EE696" s="18">
        <v>45719.369155092594</v>
      </c>
      <c r="EF696" s="13" t="s">
        <v>209</v>
      </c>
      <c r="EG696" s="14" t="s">
        <v>179</v>
      </c>
      <c r="EH696" s="14" t="s">
        <v>15086</v>
      </c>
      <c r="EI696" s="14" t="s">
        <v>179</v>
      </c>
      <c r="EJ696" s="14" t="s">
        <v>15087</v>
      </c>
      <c r="EK696" s="14" t="s">
        <v>179</v>
      </c>
      <c r="EL696" s="14" t="s">
        <v>15088</v>
      </c>
      <c r="EM696" s="14" t="s">
        <v>179</v>
      </c>
      <c r="EN696" s="14" t="s">
        <v>15089</v>
      </c>
      <c r="EO696" s="15"/>
      <c r="EP696" s="15"/>
      <c r="EQ696" s="15"/>
      <c r="ER696" s="15"/>
      <c r="ES696" s="15"/>
      <c r="ET696" s="15"/>
      <c r="EU696" s="15"/>
      <c r="EV696" s="15"/>
      <c r="EW696" s="15"/>
      <c r="EX696" s="15"/>
      <c r="EY696" s="15"/>
      <c r="EZ696" s="15"/>
      <c r="FA696" s="15"/>
      <c r="FB696" s="15"/>
      <c r="FC696" s="16" t="s">
        <v>197</v>
      </c>
      <c r="FD696" s="17" t="s">
        <v>198</v>
      </c>
      <c r="FE696" s="18">
        <v>45719.36931712963</v>
      </c>
      <c r="FF696" s="19"/>
      <c r="FG696" s="19"/>
      <c r="FH696" s="21" t="s">
        <v>197</v>
      </c>
      <c r="FI696" s="17" t="s">
        <v>214</v>
      </c>
      <c r="FJ696" s="18">
        <v>45719.36931712963</v>
      </c>
      <c r="FK696" s="14" t="s">
        <v>15089</v>
      </c>
      <c r="FL696" s="14" t="s">
        <v>15090</v>
      </c>
      <c r="FM696" s="14" t="s">
        <v>15091</v>
      </c>
      <c r="FN696" s="19"/>
      <c r="FO696" s="19"/>
      <c r="FP696" s="19" t="str">
        <f t="shared" si="1"/>
        <v>Base de Dados_Images/SF8104.Imagem do Equipamento-.125234.jpg</v>
      </c>
      <c r="FQ696" s="14"/>
      <c r="FR696" s="14"/>
    </row>
    <row r="697" ht="15.75" customHeight="1">
      <c r="A697" s="12" t="s">
        <v>357</v>
      </c>
      <c r="B697" s="12" t="s">
        <v>358</v>
      </c>
      <c r="C697" s="24" t="s">
        <v>375</v>
      </c>
      <c r="D697" s="12" t="s">
        <v>15092</v>
      </c>
      <c r="E697" s="22" t="s">
        <v>15093</v>
      </c>
      <c r="F697" s="13" t="s">
        <v>178</v>
      </c>
      <c r="G697" s="14" t="s">
        <v>179</v>
      </c>
      <c r="H697" s="14" t="s">
        <v>15094</v>
      </c>
      <c r="I697" s="14" t="s">
        <v>179</v>
      </c>
      <c r="J697" s="14" t="s">
        <v>15095</v>
      </c>
      <c r="K697" s="14" t="s">
        <v>179</v>
      </c>
      <c r="L697" s="14" t="s">
        <v>15096</v>
      </c>
      <c r="M697" s="14" t="s">
        <v>179</v>
      </c>
      <c r="N697" s="14" t="s">
        <v>15097</v>
      </c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6" t="s">
        <v>197</v>
      </c>
      <c r="BP697" s="17" t="s">
        <v>198</v>
      </c>
      <c r="BQ697" s="18">
        <v>45688.55231481481</v>
      </c>
      <c r="BR697" s="17" t="s">
        <v>198</v>
      </c>
      <c r="BS697" s="18">
        <v>45688.552303240744</v>
      </c>
      <c r="BT697" s="17" t="s">
        <v>198</v>
      </c>
      <c r="BU697" s="18">
        <v>45688.55231481481</v>
      </c>
      <c r="BV697" s="13" t="s">
        <v>199</v>
      </c>
      <c r="BW697" s="14" t="s">
        <v>179</v>
      </c>
      <c r="BX697" s="14" t="s">
        <v>15098</v>
      </c>
      <c r="BY697" s="14" t="s">
        <v>179</v>
      </c>
      <c r="BZ697" s="14" t="s">
        <v>15098</v>
      </c>
      <c r="CA697" s="14" t="s">
        <v>179</v>
      </c>
      <c r="CB697" s="14" t="s">
        <v>15099</v>
      </c>
      <c r="CC697" s="15"/>
      <c r="CD697" s="15"/>
      <c r="CE697" s="15"/>
      <c r="CF697" s="15"/>
      <c r="CG697" s="19"/>
      <c r="CH697" s="15"/>
      <c r="CI697" s="19"/>
      <c r="CJ697" s="15"/>
      <c r="CK697" s="19"/>
      <c r="CL697" s="15"/>
      <c r="CM697" s="19"/>
      <c r="CN697" s="15"/>
      <c r="CO697" s="19"/>
      <c r="CP697" s="15"/>
      <c r="CQ697" s="15"/>
      <c r="CR697" s="15"/>
      <c r="CS697" s="19"/>
      <c r="CT697" s="15"/>
      <c r="CU697" s="19"/>
      <c r="CV697" s="15"/>
      <c r="CW697" s="19"/>
      <c r="CX697" s="15"/>
      <c r="CY697" s="19"/>
      <c r="CZ697" s="15"/>
      <c r="DA697" s="16" t="s">
        <v>197</v>
      </c>
      <c r="DB697" s="17" t="s">
        <v>228</v>
      </c>
      <c r="DC697" s="16"/>
      <c r="DD697" s="17" t="s">
        <v>198</v>
      </c>
      <c r="DE697" s="18">
        <v>45719.49511574074</v>
      </c>
      <c r="DF697" s="17" t="s">
        <v>198</v>
      </c>
      <c r="DG697" s="18">
        <v>45719.49511574074</v>
      </c>
      <c r="DH697" s="13" t="s">
        <v>205</v>
      </c>
      <c r="DI697" s="14" t="s">
        <v>179</v>
      </c>
      <c r="DJ697" s="14" t="s">
        <v>15100</v>
      </c>
      <c r="DK697" s="14" t="s">
        <v>179</v>
      </c>
      <c r="DL697" s="14" t="s">
        <v>15101</v>
      </c>
      <c r="DM697" s="15"/>
      <c r="DN697" s="15"/>
      <c r="DO697" s="15"/>
      <c r="DP697" s="15"/>
      <c r="DQ697" s="15"/>
      <c r="DR697" s="15"/>
      <c r="DS697" s="15"/>
      <c r="DT697" s="15"/>
      <c r="DU697" s="15"/>
      <c r="DV697" s="15"/>
      <c r="DW697" s="15"/>
      <c r="DX697" s="15"/>
      <c r="DY697" s="15"/>
      <c r="DZ697" s="15"/>
      <c r="EA697" s="15"/>
      <c r="EB697" s="15"/>
      <c r="EC697" s="16" t="s">
        <v>197</v>
      </c>
      <c r="ED697" s="17" t="s">
        <v>198</v>
      </c>
      <c r="EE697" s="18">
        <v>45719.49518518519</v>
      </c>
      <c r="EF697" s="13" t="s">
        <v>209</v>
      </c>
      <c r="EG697" s="14" t="s">
        <v>179</v>
      </c>
      <c r="EH697" s="14" t="s">
        <v>15102</v>
      </c>
      <c r="EI697" s="14" t="s">
        <v>179</v>
      </c>
      <c r="EJ697" s="14" t="s">
        <v>15103</v>
      </c>
      <c r="EK697" s="15"/>
      <c r="EL697" s="15"/>
      <c r="EM697" s="15"/>
      <c r="EN697" s="15"/>
      <c r="EO697" s="15"/>
      <c r="EP697" s="15"/>
      <c r="EQ697" s="15"/>
      <c r="ER697" s="15"/>
      <c r="ES697" s="15"/>
      <c r="ET697" s="15"/>
      <c r="EU697" s="15"/>
      <c r="EV697" s="15"/>
      <c r="EW697" s="15"/>
      <c r="EX697" s="15"/>
      <c r="EY697" s="15"/>
      <c r="EZ697" s="15"/>
      <c r="FA697" s="15"/>
      <c r="FB697" s="15"/>
      <c r="FC697" s="16" t="s">
        <v>197</v>
      </c>
      <c r="FD697" s="17" t="s">
        <v>198</v>
      </c>
      <c r="FE697" s="18">
        <v>45733.671435185184</v>
      </c>
      <c r="FF697" s="19"/>
      <c r="FG697" s="19"/>
      <c r="FH697" s="21" t="s">
        <v>197</v>
      </c>
      <c r="FI697" s="17" t="s">
        <v>214</v>
      </c>
      <c r="FJ697" s="18">
        <v>45733.671435185184</v>
      </c>
      <c r="FK697" s="14" t="s">
        <v>15103</v>
      </c>
      <c r="FL697" s="14" t="s">
        <v>15104</v>
      </c>
      <c r="FM697" s="14" t="s">
        <v>15105</v>
      </c>
      <c r="FN697" s="19"/>
      <c r="FO697" s="19"/>
      <c r="FP697" s="19" t="str">
        <f t="shared" si="1"/>
        <v>Base de Dados_Images/SIT81070.Imagem do Equipamento-.165703.jpg</v>
      </c>
      <c r="FQ697" s="14"/>
      <c r="FR697" s="14"/>
    </row>
    <row r="698" ht="15.75" customHeight="1">
      <c r="A698" s="12" t="s">
        <v>10412</v>
      </c>
      <c r="B698" s="12" t="s">
        <v>14148</v>
      </c>
      <c r="C698" s="24" t="s">
        <v>375</v>
      </c>
      <c r="D698" s="12" t="s">
        <v>15106</v>
      </c>
      <c r="E698" s="12" t="s">
        <v>15107</v>
      </c>
      <c r="F698" s="13" t="s">
        <v>178</v>
      </c>
      <c r="G698" s="14" t="s">
        <v>179</v>
      </c>
      <c r="H698" s="14" t="s">
        <v>15108</v>
      </c>
      <c r="I698" s="14" t="s">
        <v>179</v>
      </c>
      <c r="J698" s="14" t="s">
        <v>15109</v>
      </c>
      <c r="K698" s="14" t="s">
        <v>179</v>
      </c>
      <c r="L698" s="14" t="s">
        <v>15109</v>
      </c>
      <c r="M698" s="14" t="s">
        <v>179</v>
      </c>
      <c r="N698" s="14" t="s">
        <v>15110</v>
      </c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6" t="s">
        <v>197</v>
      </c>
      <c r="BP698" s="17" t="s">
        <v>198</v>
      </c>
      <c r="BQ698" s="18">
        <v>45693.69358796296</v>
      </c>
      <c r="BR698" s="17" t="s">
        <v>198</v>
      </c>
      <c r="BS698" s="18">
        <v>45693.693564814814</v>
      </c>
      <c r="BT698" s="17" t="s">
        <v>198</v>
      </c>
      <c r="BU698" s="18">
        <v>45693.69358796296</v>
      </c>
      <c r="BV698" s="13" t="s">
        <v>199</v>
      </c>
      <c r="BW698" s="14" t="s">
        <v>188</v>
      </c>
      <c r="BX698" s="14" t="s">
        <v>15111</v>
      </c>
      <c r="BY698" s="14" t="s">
        <v>179</v>
      </c>
      <c r="BZ698" s="14" t="s">
        <v>15112</v>
      </c>
      <c r="CA698" s="14" t="s">
        <v>188</v>
      </c>
      <c r="CB698" s="14" t="s">
        <v>15113</v>
      </c>
      <c r="CC698" s="15"/>
      <c r="CD698" s="15"/>
      <c r="CE698" s="15"/>
      <c r="CF698" s="15"/>
      <c r="CG698" s="19"/>
      <c r="CH698" s="15"/>
      <c r="CI698" s="19"/>
      <c r="CJ698" s="15"/>
      <c r="CK698" s="19"/>
      <c r="CL698" s="15"/>
      <c r="CM698" s="19"/>
      <c r="CN698" s="15"/>
      <c r="CO698" s="19"/>
      <c r="CP698" s="15"/>
      <c r="CQ698" s="15"/>
      <c r="CR698" s="15"/>
      <c r="CS698" s="19"/>
      <c r="CT698" s="15"/>
      <c r="CU698" s="19"/>
      <c r="CV698" s="15"/>
      <c r="CW698" s="19"/>
      <c r="CX698" s="15"/>
      <c r="CY698" s="19"/>
      <c r="CZ698" s="15"/>
      <c r="DA698" s="16" t="s">
        <v>197</v>
      </c>
      <c r="DB698" s="17" t="s">
        <v>228</v>
      </c>
      <c r="DC698" s="16"/>
      <c r="DD698" s="17" t="s">
        <v>198</v>
      </c>
      <c r="DE698" s="18">
        <v>45714.51068287037</v>
      </c>
      <c r="DF698" s="17" t="s">
        <v>198</v>
      </c>
      <c r="DG698" s="18">
        <v>45714.51068287037</v>
      </c>
      <c r="DH698" s="13" t="s">
        <v>205</v>
      </c>
      <c r="DI698" s="14" t="s">
        <v>179</v>
      </c>
      <c r="DJ698" s="14" t="s">
        <v>15114</v>
      </c>
      <c r="DK698" s="14" t="s">
        <v>179</v>
      </c>
      <c r="DL698" s="14" t="s">
        <v>15115</v>
      </c>
      <c r="DM698" s="15"/>
      <c r="DN698" s="15"/>
      <c r="DO698" s="15"/>
      <c r="DP698" s="15"/>
      <c r="DQ698" s="15"/>
      <c r="DR698" s="15"/>
      <c r="DS698" s="15"/>
      <c r="DT698" s="15"/>
      <c r="DU698" s="15"/>
      <c r="DV698" s="15"/>
      <c r="DW698" s="15"/>
      <c r="DX698" s="15"/>
      <c r="DY698" s="15"/>
      <c r="DZ698" s="15"/>
      <c r="EA698" s="15"/>
      <c r="EB698" s="15"/>
      <c r="EC698" s="16" t="s">
        <v>197</v>
      </c>
      <c r="ED698" s="17" t="s">
        <v>198</v>
      </c>
      <c r="EE698" s="18">
        <v>45719.46189814815</v>
      </c>
      <c r="EF698" s="13" t="s">
        <v>209</v>
      </c>
      <c r="EG698" s="14" t="s">
        <v>179</v>
      </c>
      <c r="EH698" s="14" t="s">
        <v>15116</v>
      </c>
      <c r="EI698" s="14" t="s">
        <v>179</v>
      </c>
      <c r="EJ698" s="14" t="s">
        <v>15116</v>
      </c>
      <c r="EK698" s="15"/>
      <c r="EL698" s="15"/>
      <c r="EM698" s="15"/>
      <c r="EN698" s="15"/>
      <c r="EO698" s="15"/>
      <c r="EP698" s="15"/>
      <c r="EQ698" s="15"/>
      <c r="ER698" s="15"/>
      <c r="ES698" s="15"/>
      <c r="ET698" s="15"/>
      <c r="EU698" s="15"/>
      <c r="EV698" s="15"/>
      <c r="EW698" s="15"/>
      <c r="EX698" s="15"/>
      <c r="EY698" s="15"/>
      <c r="EZ698" s="15"/>
      <c r="FA698" s="15"/>
      <c r="FB698" s="15"/>
      <c r="FC698" s="16" t="s">
        <v>197</v>
      </c>
      <c r="FD698" s="17" t="s">
        <v>198</v>
      </c>
      <c r="FE698" s="18">
        <v>45719.67454861111</v>
      </c>
      <c r="FF698" s="19"/>
      <c r="FG698" s="19"/>
      <c r="FH698" s="21" t="s">
        <v>197</v>
      </c>
      <c r="FI698" s="17" t="s">
        <v>214</v>
      </c>
      <c r="FJ698" s="18">
        <v>45719.67454861111</v>
      </c>
      <c r="FK698" s="14" t="s">
        <v>15116</v>
      </c>
      <c r="FL698" s="19"/>
      <c r="FM698" s="19"/>
      <c r="FN698" s="19"/>
      <c r="FO698" s="19"/>
      <c r="FP698" s="19" t="str">
        <f t="shared" si="1"/>
        <v/>
      </c>
      <c r="FQ698" s="14" t="s">
        <v>215</v>
      </c>
      <c r="FR698" s="14" t="s">
        <v>15117</v>
      </c>
    </row>
    <row r="699" ht="15.75" customHeight="1">
      <c r="A699" s="12" t="s">
        <v>7459</v>
      </c>
      <c r="B699" s="12" t="s">
        <v>15118</v>
      </c>
      <c r="C699" s="12" t="s">
        <v>15119</v>
      </c>
      <c r="D699" s="29" t="s">
        <v>15120</v>
      </c>
      <c r="E699" s="12" t="s">
        <v>15121</v>
      </c>
      <c r="F699" s="13" t="s">
        <v>178</v>
      </c>
      <c r="G699" s="14" t="s">
        <v>179</v>
      </c>
      <c r="H699" s="14" t="s">
        <v>15122</v>
      </c>
      <c r="I699" s="14" t="s">
        <v>179</v>
      </c>
      <c r="J699" s="14" t="s">
        <v>15123</v>
      </c>
      <c r="K699" s="14" t="s">
        <v>179</v>
      </c>
      <c r="L699" s="14" t="s">
        <v>15124</v>
      </c>
      <c r="M699" s="14" t="s">
        <v>179</v>
      </c>
      <c r="N699" s="14" t="s">
        <v>15125</v>
      </c>
      <c r="O699" s="14" t="s">
        <v>179</v>
      </c>
      <c r="P699" s="14" t="s">
        <v>15125</v>
      </c>
      <c r="Q699" s="14" t="s">
        <v>179</v>
      </c>
      <c r="R699" s="14" t="s">
        <v>15126</v>
      </c>
      <c r="S699" s="14" t="s">
        <v>188</v>
      </c>
      <c r="T699" s="14" t="s">
        <v>15127</v>
      </c>
      <c r="U699" s="14" t="s">
        <v>179</v>
      </c>
      <c r="V699" s="14" t="s">
        <v>15128</v>
      </c>
      <c r="W699" s="14" t="s">
        <v>179</v>
      </c>
      <c r="X699" s="14" t="s">
        <v>15129</v>
      </c>
      <c r="Y699" s="14" t="s">
        <v>179</v>
      </c>
      <c r="Z699" s="14" t="s">
        <v>15130</v>
      </c>
      <c r="AA699" s="14" t="s">
        <v>179</v>
      </c>
      <c r="AB699" s="14" t="s">
        <v>15131</v>
      </c>
      <c r="AC699" s="14" t="s">
        <v>179</v>
      </c>
      <c r="AD699" s="14" t="s">
        <v>15132</v>
      </c>
      <c r="AE699" s="14" t="s">
        <v>179</v>
      </c>
      <c r="AF699" s="14" t="s">
        <v>15133</v>
      </c>
      <c r="AG699" s="14" t="s">
        <v>179</v>
      </c>
      <c r="AH699" s="14" t="s">
        <v>15134</v>
      </c>
      <c r="AI699" s="14" t="s">
        <v>179</v>
      </c>
      <c r="AJ699" s="14" t="s">
        <v>15135</v>
      </c>
      <c r="AK699" s="14" t="s">
        <v>179</v>
      </c>
      <c r="AL699" s="14" t="s">
        <v>15136</v>
      </c>
      <c r="AM699" s="14" t="s">
        <v>179</v>
      </c>
      <c r="AN699" s="14" t="s">
        <v>15137</v>
      </c>
      <c r="AO699" s="14" t="s">
        <v>179</v>
      </c>
      <c r="AP699" s="14" t="s">
        <v>15138</v>
      </c>
      <c r="AQ699" s="14" t="s">
        <v>179</v>
      </c>
      <c r="AR699" s="14" t="s">
        <v>15139</v>
      </c>
      <c r="AS699" s="14" t="s">
        <v>179</v>
      </c>
      <c r="AT699" s="14" t="s">
        <v>15140</v>
      </c>
      <c r="AU699" s="14" t="s">
        <v>179</v>
      </c>
      <c r="AV699" s="14" t="s">
        <v>15141</v>
      </c>
      <c r="AW699" s="14" t="s">
        <v>179</v>
      </c>
      <c r="AX699" s="14" t="s">
        <v>15142</v>
      </c>
      <c r="AY699" s="14" t="s">
        <v>179</v>
      </c>
      <c r="AZ699" s="14" t="s">
        <v>15143</v>
      </c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6" t="s">
        <v>197</v>
      </c>
      <c r="BP699" s="17" t="s">
        <v>198</v>
      </c>
      <c r="BQ699" s="18">
        <v>45693.60233796296</v>
      </c>
      <c r="BR699" s="17" t="s">
        <v>198</v>
      </c>
      <c r="BS699" s="18">
        <v>45693.602175925924</v>
      </c>
      <c r="BT699" s="17" t="s">
        <v>198</v>
      </c>
      <c r="BU699" s="18">
        <v>45693.60233796296</v>
      </c>
      <c r="BV699" s="13" t="s">
        <v>199</v>
      </c>
      <c r="BW699" s="14" t="s">
        <v>179</v>
      </c>
      <c r="BX699" s="14" t="s">
        <v>15144</v>
      </c>
      <c r="BY699" s="14" t="s">
        <v>179</v>
      </c>
      <c r="BZ699" s="14" t="s">
        <v>15145</v>
      </c>
      <c r="CA699" s="14" t="s">
        <v>179</v>
      </c>
      <c r="CB699" s="14" t="s">
        <v>15146</v>
      </c>
      <c r="CC699" s="14" t="s">
        <v>179</v>
      </c>
      <c r="CD699" s="14" t="s">
        <v>15147</v>
      </c>
      <c r="CE699" s="14" t="s">
        <v>179</v>
      </c>
      <c r="CF699" s="14" t="s">
        <v>15148</v>
      </c>
      <c r="CG699" s="19"/>
      <c r="CH699" s="15"/>
      <c r="CI699" s="19"/>
      <c r="CJ699" s="15"/>
      <c r="CK699" s="19"/>
      <c r="CL699" s="15"/>
      <c r="CM699" s="19"/>
      <c r="CN699" s="15"/>
      <c r="CO699" s="19"/>
      <c r="CP699" s="15"/>
      <c r="CQ699" s="15"/>
      <c r="CR699" s="15"/>
      <c r="CS699" s="19"/>
      <c r="CT699" s="15"/>
      <c r="CU699" s="19"/>
      <c r="CV699" s="15"/>
      <c r="CW699" s="19"/>
      <c r="CX699" s="15"/>
      <c r="CY699" s="19"/>
      <c r="CZ699" s="15"/>
      <c r="DA699" s="16" t="s">
        <v>197</v>
      </c>
      <c r="DB699" s="17" t="s">
        <v>228</v>
      </c>
      <c r="DC699" s="16"/>
      <c r="DD699" s="17" t="s">
        <v>198</v>
      </c>
      <c r="DE699" s="18">
        <v>45722.44173611111</v>
      </c>
      <c r="DF699" s="17" t="s">
        <v>198</v>
      </c>
      <c r="DG699" s="18">
        <v>45722.44173611111</v>
      </c>
      <c r="DH699" s="13" t="s">
        <v>205</v>
      </c>
      <c r="DI699" s="14" t="s">
        <v>179</v>
      </c>
      <c r="DJ699" s="14" t="s">
        <v>15149</v>
      </c>
      <c r="DK699" s="14" t="s">
        <v>179</v>
      </c>
      <c r="DL699" s="14" t="s">
        <v>15150</v>
      </c>
      <c r="DM699" s="14" t="s">
        <v>179</v>
      </c>
      <c r="DN699" s="14" t="s">
        <v>15151</v>
      </c>
      <c r="DO699" s="14" t="s">
        <v>179</v>
      </c>
      <c r="DP699" s="14" t="s">
        <v>15152</v>
      </c>
      <c r="DQ699" s="14" t="s">
        <v>179</v>
      </c>
      <c r="DR699" s="14" t="s">
        <v>15153</v>
      </c>
      <c r="DS699" s="14" t="s">
        <v>179</v>
      </c>
      <c r="DT699" s="14" t="s">
        <v>15154</v>
      </c>
      <c r="DU699" s="15"/>
      <c r="DV699" s="15"/>
      <c r="DW699" s="15"/>
      <c r="DX699" s="15"/>
      <c r="DY699" s="15"/>
      <c r="DZ699" s="15"/>
      <c r="EA699" s="15"/>
      <c r="EB699" s="15"/>
      <c r="EC699" s="16" t="s">
        <v>197</v>
      </c>
      <c r="ED699" s="17" t="s">
        <v>198</v>
      </c>
      <c r="EE699" s="18">
        <v>45722.99576388889</v>
      </c>
      <c r="EF699" s="13" t="s">
        <v>209</v>
      </c>
      <c r="EG699" s="15"/>
      <c r="EH699" s="15"/>
      <c r="EI699" s="15"/>
      <c r="EJ699" s="15"/>
      <c r="EK699" s="15"/>
      <c r="EL699" s="15"/>
      <c r="EM699" s="15"/>
      <c r="EN699" s="15"/>
      <c r="EO699" s="15"/>
      <c r="EP699" s="15"/>
      <c r="EQ699" s="15"/>
      <c r="ER699" s="15"/>
      <c r="ES699" s="15"/>
      <c r="ET699" s="15"/>
      <c r="EU699" s="15"/>
      <c r="EV699" s="15"/>
      <c r="EW699" s="15"/>
      <c r="EX699" s="15"/>
      <c r="EY699" s="15"/>
      <c r="EZ699" s="15"/>
      <c r="FA699" s="15"/>
      <c r="FB699" s="15"/>
      <c r="FC699" s="16" t="s">
        <v>197</v>
      </c>
      <c r="FD699" s="17" t="s">
        <v>228</v>
      </c>
      <c r="FE699" s="23"/>
      <c r="FF699" s="19"/>
      <c r="FG699" s="19"/>
      <c r="FH699" s="21" t="s">
        <v>197</v>
      </c>
      <c r="FI699" s="17" t="s">
        <v>214</v>
      </c>
      <c r="FJ699" s="18">
        <v>45722.99576388889</v>
      </c>
      <c r="FK699" s="14" t="s">
        <v>15154</v>
      </c>
      <c r="FL699" s="14" t="s">
        <v>15155</v>
      </c>
      <c r="FM699" s="14" t="s">
        <v>15156</v>
      </c>
      <c r="FN699" s="19"/>
      <c r="FO699" s="19"/>
      <c r="FP699" s="19" t="str">
        <f t="shared" si="1"/>
        <v>Base de Dados_Images/SONDA_PCTS.Imagem do Equipamento-.173339.jpg</v>
      </c>
      <c r="FQ699" s="14"/>
      <c r="FR699" s="14"/>
    </row>
    <row r="700" ht="15.75" customHeight="1">
      <c r="A700" s="25" t="s">
        <v>1099</v>
      </c>
      <c r="B700" s="25" t="s">
        <v>1258</v>
      </c>
      <c r="C700" s="26" t="s">
        <v>176</v>
      </c>
      <c r="D700" s="25" t="s">
        <v>15157</v>
      </c>
      <c r="E700" s="25" t="s">
        <v>15158</v>
      </c>
      <c r="F700" s="27" t="s">
        <v>178</v>
      </c>
      <c r="G700" s="14" t="s">
        <v>179</v>
      </c>
      <c r="H700" s="14" t="s">
        <v>15159</v>
      </c>
      <c r="I700" s="14" t="s">
        <v>179</v>
      </c>
      <c r="J700" s="14" t="s">
        <v>15160</v>
      </c>
      <c r="K700" s="14" t="s">
        <v>179</v>
      </c>
      <c r="L700" s="14" t="s">
        <v>15161</v>
      </c>
      <c r="M700" s="14" t="s">
        <v>179</v>
      </c>
      <c r="N700" s="14" t="s">
        <v>15162</v>
      </c>
      <c r="O700" s="14" t="s">
        <v>179</v>
      </c>
      <c r="P700" s="14" t="s">
        <v>15163</v>
      </c>
      <c r="Q700" s="14" t="s">
        <v>179</v>
      </c>
      <c r="R700" s="14" t="s">
        <v>15164</v>
      </c>
      <c r="S700" s="14" t="s">
        <v>179</v>
      </c>
      <c r="T700" s="14" t="s">
        <v>15165</v>
      </c>
      <c r="U700" s="14" t="s">
        <v>179</v>
      </c>
      <c r="V700" s="14" t="s">
        <v>15165</v>
      </c>
      <c r="W700" s="14" t="s">
        <v>179</v>
      </c>
      <c r="X700" s="14" t="s">
        <v>15166</v>
      </c>
      <c r="Y700" s="14" t="s">
        <v>179</v>
      </c>
      <c r="Z700" s="14" t="s">
        <v>15167</v>
      </c>
      <c r="AA700" s="14" t="s">
        <v>179</v>
      </c>
      <c r="AB700" s="14" t="s">
        <v>15167</v>
      </c>
      <c r="AC700" s="14" t="s">
        <v>179</v>
      </c>
      <c r="AD700" s="14" t="s">
        <v>15168</v>
      </c>
      <c r="AE700" s="14" t="s">
        <v>179</v>
      </c>
      <c r="AF700" s="14" t="s">
        <v>15168</v>
      </c>
      <c r="AG700" s="14" t="s">
        <v>179</v>
      </c>
      <c r="AH700" s="14" t="s">
        <v>15169</v>
      </c>
      <c r="AI700" s="14" t="s">
        <v>179</v>
      </c>
      <c r="AJ700" s="14" t="s">
        <v>15170</v>
      </c>
      <c r="AK700" s="14" t="s">
        <v>179</v>
      </c>
      <c r="AL700" s="14" t="s">
        <v>15171</v>
      </c>
      <c r="AM700" s="14"/>
      <c r="AN700" s="14"/>
      <c r="AO700" s="14"/>
      <c r="AP700" s="14"/>
      <c r="AQ700" s="14"/>
      <c r="AR700" s="14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7" t="s">
        <v>197</v>
      </c>
      <c r="BP700" s="17" t="s">
        <v>198</v>
      </c>
      <c r="BQ700" s="18">
        <v>45705.68803240741</v>
      </c>
      <c r="BR700" s="17" t="s">
        <v>198</v>
      </c>
      <c r="BS700" s="18">
        <v>45705.68809027778</v>
      </c>
      <c r="BT700" s="17" t="s">
        <v>198</v>
      </c>
      <c r="BU700" s="18">
        <v>45705.68809027778</v>
      </c>
      <c r="BV700" s="27" t="s">
        <v>199</v>
      </c>
      <c r="BW700" s="14" t="s">
        <v>179</v>
      </c>
      <c r="BX700" s="14" t="s">
        <v>15172</v>
      </c>
      <c r="BY700" s="14" t="s">
        <v>179</v>
      </c>
      <c r="BZ700" s="14" t="s">
        <v>15173</v>
      </c>
      <c r="CA700" s="14" t="s">
        <v>179</v>
      </c>
      <c r="CB700" s="14" t="s">
        <v>15174</v>
      </c>
      <c r="CC700" s="14" t="s">
        <v>179</v>
      </c>
      <c r="CD700" s="14" t="s">
        <v>15175</v>
      </c>
      <c r="CE700" s="14" t="s">
        <v>179</v>
      </c>
      <c r="CF700" s="14" t="s">
        <v>15176</v>
      </c>
      <c r="CG700" s="14" t="s">
        <v>179</v>
      </c>
      <c r="CH700" s="14" t="s">
        <v>15177</v>
      </c>
      <c r="CI700" s="19"/>
      <c r="CJ700" s="15"/>
      <c r="CK700" s="19"/>
      <c r="CL700" s="15"/>
      <c r="CM700" s="19"/>
      <c r="CN700" s="15"/>
      <c r="CO700" s="19"/>
      <c r="CP700" s="15"/>
      <c r="CQ700" s="15"/>
      <c r="CR700" s="15"/>
      <c r="CS700" s="19"/>
      <c r="CT700" s="15"/>
      <c r="CU700" s="19"/>
      <c r="CV700" s="15"/>
      <c r="CW700" s="19"/>
      <c r="CX700" s="15"/>
      <c r="CY700" s="19"/>
      <c r="CZ700" s="15"/>
      <c r="DA700" s="17" t="s">
        <v>197</v>
      </c>
      <c r="DB700" s="17" t="s">
        <v>198</v>
      </c>
      <c r="DC700" s="20">
        <v>45708.342939814815</v>
      </c>
      <c r="DD700" s="17" t="s">
        <v>198</v>
      </c>
      <c r="DE700" s="18">
        <v>45708.342986111114</v>
      </c>
      <c r="DF700" s="17" t="s">
        <v>198</v>
      </c>
      <c r="DG700" s="18">
        <v>45708.342986111114</v>
      </c>
      <c r="DH700" s="27" t="s">
        <v>205</v>
      </c>
      <c r="DI700" s="14" t="s">
        <v>179</v>
      </c>
      <c r="DJ700" s="14" t="s">
        <v>15178</v>
      </c>
      <c r="DK700" s="14" t="s">
        <v>179</v>
      </c>
      <c r="DL700" s="14" t="s">
        <v>15179</v>
      </c>
      <c r="DM700" s="14" t="s">
        <v>179</v>
      </c>
      <c r="DN700" s="14" t="s">
        <v>15180</v>
      </c>
      <c r="DO700" s="14" t="s">
        <v>179</v>
      </c>
      <c r="DP700" s="14" t="s">
        <v>15181</v>
      </c>
      <c r="DQ700" s="15"/>
      <c r="DR700" s="15"/>
      <c r="DS700" s="15"/>
      <c r="DT700" s="15"/>
      <c r="DU700" s="15"/>
      <c r="DV700" s="15"/>
      <c r="DW700" s="15"/>
      <c r="DX700" s="15"/>
      <c r="DY700" s="15"/>
      <c r="DZ700" s="15"/>
      <c r="EA700" s="15"/>
      <c r="EB700" s="15"/>
      <c r="EC700" s="17" t="s">
        <v>197</v>
      </c>
      <c r="ED700" s="17" t="s">
        <v>198</v>
      </c>
      <c r="EE700" s="18">
        <v>45708.343148148146</v>
      </c>
      <c r="EF700" s="27" t="s">
        <v>209</v>
      </c>
      <c r="EG700" s="14" t="s">
        <v>179</v>
      </c>
      <c r="EH700" s="14" t="s">
        <v>15182</v>
      </c>
      <c r="EI700" s="14" t="s">
        <v>179</v>
      </c>
      <c r="EJ700" s="14" t="s">
        <v>15182</v>
      </c>
      <c r="EK700" s="14" t="s">
        <v>179</v>
      </c>
      <c r="EL700" s="14" t="s">
        <v>15183</v>
      </c>
      <c r="EM700" s="14" t="s">
        <v>179</v>
      </c>
      <c r="EN700" s="14" t="s">
        <v>15184</v>
      </c>
      <c r="EO700" s="15"/>
      <c r="EP700" s="15"/>
      <c r="EQ700" s="15"/>
      <c r="ER700" s="15"/>
      <c r="ES700" s="15"/>
      <c r="ET700" s="15"/>
      <c r="EU700" s="15"/>
      <c r="EV700" s="15"/>
      <c r="EW700" s="15"/>
      <c r="EX700" s="15"/>
      <c r="EY700" s="15"/>
      <c r="EZ700" s="15"/>
      <c r="FA700" s="15"/>
      <c r="FB700" s="15"/>
      <c r="FC700" s="17" t="s">
        <v>197</v>
      </c>
      <c r="FD700" s="17" t="s">
        <v>198</v>
      </c>
      <c r="FE700" s="18">
        <v>45723.322164351855</v>
      </c>
      <c r="FF700" s="19"/>
      <c r="FG700" s="19"/>
      <c r="FH700" s="17" t="s">
        <v>197</v>
      </c>
      <c r="FI700" s="17" t="s">
        <v>214</v>
      </c>
      <c r="FJ700" s="18">
        <v>45723.322164351855</v>
      </c>
      <c r="FK700" s="14" t="s">
        <v>15184</v>
      </c>
      <c r="FL700" s="14" t="s">
        <v>15185</v>
      </c>
      <c r="FM700" s="14" t="s">
        <v>15186</v>
      </c>
      <c r="FN700" s="14" t="s">
        <v>15187</v>
      </c>
      <c r="FO700" s="14" t="s">
        <v>15188</v>
      </c>
      <c r="FP700" s="19" t="str">
        <f t="shared" si="1"/>
        <v>Base de Dados_Images/Sx 2103.Imagem do Equipamento-.193437.jpg</v>
      </c>
      <c r="FQ700" s="14"/>
      <c r="FR700" s="14"/>
    </row>
    <row r="701" ht="15.75" customHeight="1">
      <c r="A701" s="12" t="s">
        <v>174</v>
      </c>
      <c r="B701" s="12" t="s">
        <v>13322</v>
      </c>
      <c r="C701" s="24" t="s">
        <v>512</v>
      </c>
      <c r="D701" s="12" t="s">
        <v>15189</v>
      </c>
      <c r="E701" s="12" t="s">
        <v>15190</v>
      </c>
      <c r="F701" s="13" t="s">
        <v>178</v>
      </c>
      <c r="G701" s="14" t="s">
        <v>179</v>
      </c>
      <c r="H701" s="14" t="s">
        <v>15191</v>
      </c>
      <c r="I701" s="14" t="s">
        <v>179</v>
      </c>
      <c r="J701" s="14" t="s">
        <v>15192</v>
      </c>
      <c r="K701" s="14" t="s">
        <v>179</v>
      </c>
      <c r="L701" s="14" t="s">
        <v>15193</v>
      </c>
      <c r="M701" s="14" t="s">
        <v>179</v>
      </c>
      <c r="N701" s="14" t="s">
        <v>15194</v>
      </c>
      <c r="O701" s="14" t="s">
        <v>179</v>
      </c>
      <c r="P701" s="14" t="s">
        <v>15195</v>
      </c>
      <c r="Q701" s="14" t="s">
        <v>179</v>
      </c>
      <c r="R701" s="14" t="s">
        <v>15196</v>
      </c>
      <c r="S701" s="14" t="s">
        <v>179</v>
      </c>
      <c r="T701" s="14" t="s">
        <v>15197</v>
      </c>
      <c r="U701" s="14" t="s">
        <v>179</v>
      </c>
      <c r="V701" s="14" t="s">
        <v>15198</v>
      </c>
      <c r="W701" s="14" t="s">
        <v>179</v>
      </c>
      <c r="X701" s="14" t="s">
        <v>15199</v>
      </c>
      <c r="Y701" s="14" t="s">
        <v>179</v>
      </c>
      <c r="Z701" s="14" t="s">
        <v>15200</v>
      </c>
      <c r="AA701" s="14" t="s">
        <v>179</v>
      </c>
      <c r="AB701" s="14" t="s">
        <v>15201</v>
      </c>
      <c r="AC701" s="14" t="s">
        <v>179</v>
      </c>
      <c r="AD701" s="14" t="s">
        <v>15202</v>
      </c>
      <c r="AE701" s="14" t="s">
        <v>179</v>
      </c>
      <c r="AF701" s="14" t="s">
        <v>15203</v>
      </c>
      <c r="AG701" s="14" t="s">
        <v>179</v>
      </c>
      <c r="AH701" s="14" t="s">
        <v>15204</v>
      </c>
      <c r="AI701" s="14" t="s">
        <v>179</v>
      </c>
      <c r="AJ701" s="14" t="s">
        <v>15205</v>
      </c>
      <c r="AK701" s="14" t="s">
        <v>179</v>
      </c>
      <c r="AL701" s="14" t="s">
        <v>15206</v>
      </c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6" t="s">
        <v>197</v>
      </c>
      <c r="BP701" s="17" t="s">
        <v>198</v>
      </c>
      <c r="BQ701" s="18">
        <v>45693.428402777776</v>
      </c>
      <c r="BR701" s="17" t="s">
        <v>198</v>
      </c>
      <c r="BS701" s="18">
        <v>45693.42854166667</v>
      </c>
      <c r="BT701" s="17" t="s">
        <v>198</v>
      </c>
      <c r="BU701" s="18">
        <v>45693.42854166667</v>
      </c>
      <c r="BV701" s="13" t="s">
        <v>199</v>
      </c>
      <c r="BW701" s="14" t="s">
        <v>179</v>
      </c>
      <c r="BX701" s="14" t="s">
        <v>15207</v>
      </c>
      <c r="BY701" s="14" t="s">
        <v>179</v>
      </c>
      <c r="BZ701" s="14" t="s">
        <v>15207</v>
      </c>
      <c r="CA701" s="14" t="s">
        <v>179</v>
      </c>
      <c r="CB701" s="14" t="s">
        <v>15208</v>
      </c>
      <c r="CC701" s="14" t="s">
        <v>179</v>
      </c>
      <c r="CD701" s="14" t="s">
        <v>15209</v>
      </c>
      <c r="CE701" s="14" t="s">
        <v>179</v>
      </c>
      <c r="CF701" s="14" t="s">
        <v>15209</v>
      </c>
      <c r="CG701" s="14" t="s">
        <v>179</v>
      </c>
      <c r="CH701" s="14" t="s">
        <v>15210</v>
      </c>
      <c r="CI701" s="19"/>
      <c r="CJ701" s="15"/>
      <c r="CK701" s="19"/>
      <c r="CL701" s="15"/>
      <c r="CM701" s="19"/>
      <c r="CN701" s="15"/>
      <c r="CO701" s="19"/>
      <c r="CP701" s="15"/>
      <c r="CQ701" s="15"/>
      <c r="CR701" s="15"/>
      <c r="CS701" s="19"/>
      <c r="CT701" s="15"/>
      <c r="CU701" s="19"/>
      <c r="CV701" s="15"/>
      <c r="CW701" s="19"/>
      <c r="CX701" s="15"/>
      <c r="CY701" s="19"/>
      <c r="CZ701" s="15"/>
      <c r="DA701" s="16" t="s">
        <v>197</v>
      </c>
      <c r="DB701" s="17" t="s">
        <v>198</v>
      </c>
      <c r="DC701" s="20">
        <v>45693.691030092596</v>
      </c>
      <c r="DD701" s="17" t="s">
        <v>198</v>
      </c>
      <c r="DE701" s="18">
        <v>45693.69107638889</v>
      </c>
      <c r="DF701" s="17" t="s">
        <v>198</v>
      </c>
      <c r="DG701" s="18">
        <v>45693.69107638889</v>
      </c>
      <c r="DH701" s="13" t="s">
        <v>205</v>
      </c>
      <c r="DI701" s="14" t="s">
        <v>179</v>
      </c>
      <c r="DJ701" s="14" t="s">
        <v>15211</v>
      </c>
      <c r="DK701" s="14" t="s">
        <v>179</v>
      </c>
      <c r="DL701" s="14" t="s">
        <v>15212</v>
      </c>
      <c r="DM701" s="14" t="s">
        <v>179</v>
      </c>
      <c r="DN701" s="14" t="s">
        <v>15213</v>
      </c>
      <c r="DO701" s="14" t="s">
        <v>179</v>
      </c>
      <c r="DP701" s="14" t="s">
        <v>15214</v>
      </c>
      <c r="DQ701" s="15"/>
      <c r="DR701" s="15"/>
      <c r="DS701" s="15"/>
      <c r="DT701" s="15"/>
      <c r="DU701" s="15"/>
      <c r="DV701" s="15"/>
      <c r="DW701" s="15"/>
      <c r="DX701" s="15"/>
      <c r="DY701" s="15"/>
      <c r="DZ701" s="15"/>
      <c r="EA701" s="15"/>
      <c r="EB701" s="15"/>
      <c r="EC701" s="16" t="s">
        <v>197</v>
      </c>
      <c r="ED701" s="17" t="s">
        <v>198</v>
      </c>
      <c r="EE701" s="18">
        <v>45708.34761574074</v>
      </c>
      <c r="EF701" s="13" t="s">
        <v>209</v>
      </c>
      <c r="EG701" s="14" t="s">
        <v>179</v>
      </c>
      <c r="EH701" s="14" t="s">
        <v>15215</v>
      </c>
      <c r="EI701" s="14" t="s">
        <v>179</v>
      </c>
      <c r="EJ701" s="14" t="s">
        <v>15216</v>
      </c>
      <c r="EK701" s="14" t="s">
        <v>179</v>
      </c>
      <c r="EL701" s="14" t="s">
        <v>15217</v>
      </c>
      <c r="EM701" s="14" t="s">
        <v>179</v>
      </c>
      <c r="EN701" s="14" t="s">
        <v>15218</v>
      </c>
      <c r="EO701" s="15"/>
      <c r="EP701" s="15"/>
      <c r="EQ701" s="15"/>
      <c r="ER701" s="15"/>
      <c r="ES701" s="15"/>
      <c r="ET701" s="15"/>
      <c r="EU701" s="15"/>
      <c r="EV701" s="15"/>
      <c r="EW701" s="15"/>
      <c r="EX701" s="15"/>
      <c r="EY701" s="15"/>
      <c r="EZ701" s="15"/>
      <c r="FA701" s="15"/>
      <c r="FB701" s="15"/>
      <c r="FC701" s="16" t="s">
        <v>197</v>
      </c>
      <c r="FD701" s="17" t="s">
        <v>198</v>
      </c>
      <c r="FE701" s="18">
        <v>45723.32053240741</v>
      </c>
      <c r="FF701" s="19"/>
      <c r="FG701" s="19"/>
      <c r="FH701" s="21" t="s">
        <v>197</v>
      </c>
      <c r="FI701" s="17" t="s">
        <v>214</v>
      </c>
      <c r="FJ701" s="18">
        <v>45723.32053240741</v>
      </c>
      <c r="FK701" s="14" t="s">
        <v>15218</v>
      </c>
      <c r="FL701" s="19"/>
      <c r="FM701" s="19"/>
      <c r="FN701" s="19"/>
      <c r="FO701" s="19"/>
      <c r="FP701" s="19" t="str">
        <f t="shared" si="1"/>
        <v/>
      </c>
      <c r="FQ701" s="14" t="s">
        <v>215</v>
      </c>
      <c r="FR701" s="14" t="s">
        <v>15219</v>
      </c>
    </row>
    <row r="702" ht="15.75" customHeight="1">
      <c r="A702" s="12" t="s">
        <v>174</v>
      </c>
      <c r="B702" s="12" t="s">
        <v>1192</v>
      </c>
      <c r="C702" s="24" t="s">
        <v>512</v>
      </c>
      <c r="D702" s="12" t="s">
        <v>15220</v>
      </c>
      <c r="E702" s="12" t="s">
        <v>15221</v>
      </c>
      <c r="F702" s="13" t="s">
        <v>178</v>
      </c>
      <c r="G702" s="14" t="s">
        <v>179</v>
      </c>
      <c r="H702" s="14" t="s">
        <v>15222</v>
      </c>
      <c r="I702" s="14" t="s">
        <v>179</v>
      </c>
      <c r="J702" s="14" t="s">
        <v>15223</v>
      </c>
      <c r="K702" s="14" t="s">
        <v>179</v>
      </c>
      <c r="L702" s="14" t="s">
        <v>15224</v>
      </c>
      <c r="M702" s="14" t="s">
        <v>179</v>
      </c>
      <c r="N702" s="14" t="s">
        <v>15225</v>
      </c>
      <c r="O702" s="14" t="s">
        <v>179</v>
      </c>
      <c r="P702" s="14" t="s">
        <v>15226</v>
      </c>
      <c r="Q702" s="14" t="s">
        <v>179</v>
      </c>
      <c r="R702" s="14" t="s">
        <v>15227</v>
      </c>
      <c r="S702" s="14" t="s">
        <v>179</v>
      </c>
      <c r="T702" s="14" t="s">
        <v>15228</v>
      </c>
      <c r="U702" s="14" t="s">
        <v>179</v>
      </c>
      <c r="V702" s="14" t="s">
        <v>15229</v>
      </c>
      <c r="W702" s="14" t="s">
        <v>179</v>
      </c>
      <c r="X702" s="14" t="s">
        <v>15230</v>
      </c>
      <c r="Y702" s="14" t="s">
        <v>188</v>
      </c>
      <c r="Z702" s="14" t="s">
        <v>15231</v>
      </c>
      <c r="AA702" s="14" t="s">
        <v>179</v>
      </c>
      <c r="AB702" s="14" t="s">
        <v>15232</v>
      </c>
      <c r="AC702" s="14" t="s">
        <v>179</v>
      </c>
      <c r="AD702" s="14" t="s">
        <v>15233</v>
      </c>
      <c r="AE702" s="14" t="s">
        <v>179</v>
      </c>
      <c r="AF702" s="14" t="s">
        <v>15234</v>
      </c>
      <c r="AG702" s="14" t="s">
        <v>179</v>
      </c>
      <c r="AH702" s="14" t="s">
        <v>15235</v>
      </c>
      <c r="AI702" s="14" t="s">
        <v>179</v>
      </c>
      <c r="AJ702" s="14" t="s">
        <v>15236</v>
      </c>
      <c r="AK702" s="14" t="s">
        <v>179</v>
      </c>
      <c r="AL702" s="14" t="s">
        <v>15237</v>
      </c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6" t="s">
        <v>197</v>
      </c>
      <c r="BP702" s="17" t="s">
        <v>198</v>
      </c>
      <c r="BQ702" s="18">
        <v>45689.43278935185</v>
      </c>
      <c r="BR702" s="17" t="s">
        <v>198</v>
      </c>
      <c r="BS702" s="18">
        <v>45689.43288194444</v>
      </c>
      <c r="BT702" s="17" t="s">
        <v>198</v>
      </c>
      <c r="BU702" s="18">
        <v>45689.43288194444</v>
      </c>
      <c r="BV702" s="13" t="s">
        <v>199</v>
      </c>
      <c r="BW702" s="14" t="s">
        <v>179</v>
      </c>
      <c r="BX702" s="14" t="s">
        <v>15238</v>
      </c>
      <c r="BY702" s="14" t="s">
        <v>179</v>
      </c>
      <c r="BZ702" s="14" t="s">
        <v>15238</v>
      </c>
      <c r="CA702" s="14" t="s">
        <v>179</v>
      </c>
      <c r="CB702" s="14" t="s">
        <v>15239</v>
      </c>
      <c r="CC702" s="14" t="s">
        <v>179</v>
      </c>
      <c r="CD702" s="14" t="s">
        <v>15240</v>
      </c>
      <c r="CE702" s="14" t="s">
        <v>179</v>
      </c>
      <c r="CF702" s="14" t="s">
        <v>15241</v>
      </c>
      <c r="CG702" s="14" t="s">
        <v>179</v>
      </c>
      <c r="CH702" s="14" t="s">
        <v>15242</v>
      </c>
      <c r="CI702" s="19"/>
      <c r="CJ702" s="15"/>
      <c r="CK702" s="19"/>
      <c r="CL702" s="15"/>
      <c r="CM702" s="19"/>
      <c r="CN702" s="15"/>
      <c r="CO702" s="19"/>
      <c r="CP702" s="15"/>
      <c r="CQ702" s="15"/>
      <c r="CR702" s="15"/>
      <c r="CS702" s="19"/>
      <c r="CT702" s="15"/>
      <c r="CU702" s="19"/>
      <c r="CV702" s="15"/>
      <c r="CW702" s="19"/>
      <c r="CX702" s="15"/>
      <c r="CY702" s="19"/>
      <c r="CZ702" s="15"/>
      <c r="DA702" s="16" t="s">
        <v>197</v>
      </c>
      <c r="DB702" s="17" t="s">
        <v>198</v>
      </c>
      <c r="DC702" s="20">
        <v>45694.468831018516</v>
      </c>
      <c r="DD702" s="17" t="s">
        <v>198</v>
      </c>
      <c r="DE702" s="18">
        <v>45694.46907407408</v>
      </c>
      <c r="DF702" s="17" t="s">
        <v>198</v>
      </c>
      <c r="DG702" s="18">
        <v>45694.46907407408</v>
      </c>
      <c r="DH702" s="13" t="s">
        <v>205</v>
      </c>
      <c r="DI702" s="14" t="s">
        <v>179</v>
      </c>
      <c r="DJ702" s="14" t="s">
        <v>15243</v>
      </c>
      <c r="DK702" s="14" t="s">
        <v>179</v>
      </c>
      <c r="DL702" s="14" t="s">
        <v>15244</v>
      </c>
      <c r="DM702" s="14" t="s">
        <v>179</v>
      </c>
      <c r="DN702" s="14" t="s">
        <v>15245</v>
      </c>
      <c r="DO702" s="14" t="s">
        <v>179</v>
      </c>
      <c r="DP702" s="14" t="s">
        <v>15246</v>
      </c>
      <c r="DQ702" s="15"/>
      <c r="DR702" s="15"/>
      <c r="DS702" s="15"/>
      <c r="DT702" s="15"/>
      <c r="DU702" s="15"/>
      <c r="DV702" s="15"/>
      <c r="DW702" s="15"/>
      <c r="DX702" s="15"/>
      <c r="DY702" s="15"/>
      <c r="DZ702" s="15"/>
      <c r="EA702" s="15"/>
      <c r="EB702" s="15"/>
      <c r="EC702" s="16" t="s">
        <v>197</v>
      </c>
      <c r="ED702" s="17" t="s">
        <v>198</v>
      </c>
      <c r="EE702" s="18">
        <v>45708.35159722222</v>
      </c>
      <c r="EF702" s="13" t="s">
        <v>209</v>
      </c>
      <c r="EG702" s="14" t="s">
        <v>179</v>
      </c>
      <c r="EH702" s="14" t="s">
        <v>15247</v>
      </c>
      <c r="EI702" s="14" t="s">
        <v>179</v>
      </c>
      <c r="EJ702" s="14" t="s">
        <v>15247</v>
      </c>
      <c r="EK702" s="14" t="s">
        <v>179</v>
      </c>
      <c r="EL702" s="14" t="s">
        <v>15248</v>
      </c>
      <c r="EM702" s="14" t="s">
        <v>179</v>
      </c>
      <c r="EN702" s="14" t="s">
        <v>15248</v>
      </c>
      <c r="EO702" s="15"/>
      <c r="EP702" s="15"/>
      <c r="EQ702" s="15"/>
      <c r="ER702" s="15"/>
      <c r="ES702" s="15"/>
      <c r="ET702" s="15"/>
      <c r="EU702" s="15"/>
      <c r="EV702" s="15"/>
      <c r="EW702" s="15"/>
      <c r="EX702" s="15"/>
      <c r="EY702" s="15"/>
      <c r="EZ702" s="15"/>
      <c r="FA702" s="15"/>
      <c r="FB702" s="15"/>
      <c r="FC702" s="16" t="s">
        <v>197</v>
      </c>
      <c r="FD702" s="17" t="s">
        <v>198</v>
      </c>
      <c r="FE702" s="18">
        <v>45723.32094907408</v>
      </c>
      <c r="FF702" s="19"/>
      <c r="FG702" s="19"/>
      <c r="FH702" s="21" t="s">
        <v>197</v>
      </c>
      <c r="FI702" s="17" t="s">
        <v>214</v>
      </c>
      <c r="FJ702" s="18">
        <v>45723.32094907408</v>
      </c>
      <c r="FK702" s="14" t="s">
        <v>15248</v>
      </c>
      <c r="FL702" s="14" t="s">
        <v>15249</v>
      </c>
      <c r="FM702" s="14" t="s">
        <v>15250</v>
      </c>
      <c r="FN702" s="14" t="s">
        <v>15251</v>
      </c>
      <c r="FO702" s="14" t="s">
        <v>15252</v>
      </c>
      <c r="FP702" s="19" t="str">
        <f t="shared" si="1"/>
        <v>Base de Dados_Images/SX2102.Imagem do Equipamento-.135412.jpg</v>
      </c>
      <c r="FQ702" s="19"/>
      <c r="FR702" s="19"/>
    </row>
    <row r="703" ht="15.75" customHeight="1">
      <c r="A703" s="12" t="s">
        <v>174</v>
      </c>
      <c r="B703" s="12" t="s">
        <v>1325</v>
      </c>
      <c r="C703" s="24" t="s">
        <v>512</v>
      </c>
      <c r="D703" s="12" t="s">
        <v>15253</v>
      </c>
      <c r="E703" s="12" t="s">
        <v>15254</v>
      </c>
      <c r="F703" s="13" t="s">
        <v>178</v>
      </c>
      <c r="G703" s="14" t="s">
        <v>179</v>
      </c>
      <c r="H703" s="14" t="s">
        <v>15255</v>
      </c>
      <c r="I703" s="14" t="s">
        <v>179</v>
      </c>
      <c r="J703" s="14" t="s">
        <v>15256</v>
      </c>
      <c r="K703" s="14" t="s">
        <v>179</v>
      </c>
      <c r="L703" s="14" t="s">
        <v>15257</v>
      </c>
      <c r="M703" s="14" t="s">
        <v>179</v>
      </c>
      <c r="N703" s="14" t="s">
        <v>15258</v>
      </c>
      <c r="O703" s="14" t="s">
        <v>179</v>
      </c>
      <c r="P703" s="14" t="s">
        <v>15258</v>
      </c>
      <c r="Q703" s="14" t="s">
        <v>179</v>
      </c>
      <c r="R703" s="14" t="s">
        <v>15259</v>
      </c>
      <c r="S703" s="14" t="s">
        <v>179</v>
      </c>
      <c r="T703" s="14" t="s">
        <v>15260</v>
      </c>
      <c r="U703" s="14" t="s">
        <v>179</v>
      </c>
      <c r="V703" s="14" t="s">
        <v>15260</v>
      </c>
      <c r="W703" s="14" t="s">
        <v>179</v>
      </c>
      <c r="X703" s="14" t="s">
        <v>15261</v>
      </c>
      <c r="Y703" s="14" t="s">
        <v>188</v>
      </c>
      <c r="Z703" s="14" t="s">
        <v>15262</v>
      </c>
      <c r="AA703" s="14" t="s">
        <v>179</v>
      </c>
      <c r="AB703" s="14" t="s">
        <v>15263</v>
      </c>
      <c r="AC703" s="14" t="s">
        <v>179</v>
      </c>
      <c r="AD703" s="14" t="s">
        <v>15264</v>
      </c>
      <c r="AE703" s="14" t="s">
        <v>179</v>
      </c>
      <c r="AF703" s="14" t="s">
        <v>15265</v>
      </c>
      <c r="AG703" s="14" t="s">
        <v>179</v>
      </c>
      <c r="AH703" s="14" t="s">
        <v>15266</v>
      </c>
      <c r="AI703" s="14" t="s">
        <v>179</v>
      </c>
      <c r="AJ703" s="14" t="s">
        <v>15267</v>
      </c>
      <c r="AK703" s="14" t="s">
        <v>179</v>
      </c>
      <c r="AL703" s="14" t="s">
        <v>15267</v>
      </c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6" t="s">
        <v>197</v>
      </c>
      <c r="BP703" s="17" t="s">
        <v>198</v>
      </c>
      <c r="BQ703" s="18">
        <v>45686.495520833334</v>
      </c>
      <c r="BR703" s="17" t="s">
        <v>198</v>
      </c>
      <c r="BS703" s="18">
        <v>45689.43696759259</v>
      </c>
      <c r="BT703" s="17" t="s">
        <v>198</v>
      </c>
      <c r="BU703" s="18">
        <v>45689.43696759259</v>
      </c>
      <c r="BV703" s="13" t="s">
        <v>199</v>
      </c>
      <c r="BW703" s="14" t="s">
        <v>179</v>
      </c>
      <c r="BX703" s="14" t="s">
        <v>15268</v>
      </c>
      <c r="BY703" s="14" t="s">
        <v>179</v>
      </c>
      <c r="BZ703" s="14" t="s">
        <v>15269</v>
      </c>
      <c r="CA703" s="14" t="s">
        <v>179</v>
      </c>
      <c r="CB703" s="14" t="s">
        <v>15270</v>
      </c>
      <c r="CC703" s="14" t="s">
        <v>179</v>
      </c>
      <c r="CD703" s="14" t="s">
        <v>15271</v>
      </c>
      <c r="CE703" s="14" t="s">
        <v>179</v>
      </c>
      <c r="CF703" s="14" t="s">
        <v>15272</v>
      </c>
      <c r="CG703" s="14" t="s">
        <v>179</v>
      </c>
      <c r="CH703" s="14" t="s">
        <v>15273</v>
      </c>
      <c r="CI703" s="19"/>
      <c r="CJ703" s="15"/>
      <c r="CK703" s="19"/>
      <c r="CL703" s="15"/>
      <c r="CM703" s="19"/>
      <c r="CN703" s="15"/>
      <c r="CO703" s="19"/>
      <c r="CP703" s="15"/>
      <c r="CQ703" s="15"/>
      <c r="CR703" s="15"/>
      <c r="CS703" s="19"/>
      <c r="CT703" s="15"/>
      <c r="CU703" s="19"/>
      <c r="CV703" s="15"/>
      <c r="CW703" s="19"/>
      <c r="CX703" s="15"/>
      <c r="CY703" s="19"/>
      <c r="CZ703" s="15"/>
      <c r="DA703" s="16" t="s">
        <v>197</v>
      </c>
      <c r="DB703" s="17" t="s">
        <v>198</v>
      </c>
      <c r="DC703" s="20">
        <v>45708.33865740741</v>
      </c>
      <c r="DD703" s="17" t="s">
        <v>198</v>
      </c>
      <c r="DE703" s="18">
        <v>45708.33871527778</v>
      </c>
      <c r="DF703" s="17" t="s">
        <v>198</v>
      </c>
      <c r="DG703" s="18">
        <v>45708.33871527778</v>
      </c>
      <c r="DH703" s="13" t="s">
        <v>205</v>
      </c>
      <c r="DI703" s="14" t="s">
        <v>179</v>
      </c>
      <c r="DJ703" s="14" t="s">
        <v>15274</v>
      </c>
      <c r="DK703" s="14" t="s">
        <v>179</v>
      </c>
      <c r="DL703" s="14" t="s">
        <v>15275</v>
      </c>
      <c r="DM703" s="14" t="s">
        <v>179</v>
      </c>
      <c r="DN703" s="14" t="s">
        <v>15276</v>
      </c>
      <c r="DO703" s="14" t="s">
        <v>179</v>
      </c>
      <c r="DP703" s="14" t="s">
        <v>15277</v>
      </c>
      <c r="DQ703" s="15"/>
      <c r="DR703" s="15"/>
      <c r="DS703" s="15"/>
      <c r="DT703" s="15"/>
      <c r="DU703" s="15"/>
      <c r="DV703" s="15"/>
      <c r="DW703" s="15"/>
      <c r="DX703" s="15"/>
      <c r="DY703" s="15"/>
      <c r="DZ703" s="15"/>
      <c r="EA703" s="15"/>
      <c r="EB703" s="15"/>
      <c r="EC703" s="16" t="s">
        <v>197</v>
      </c>
      <c r="ED703" s="17" t="s">
        <v>198</v>
      </c>
      <c r="EE703" s="18">
        <v>45708.33883101852</v>
      </c>
      <c r="EF703" s="13" t="s">
        <v>209</v>
      </c>
      <c r="EG703" s="14" t="s">
        <v>179</v>
      </c>
      <c r="EH703" s="14" t="s">
        <v>15278</v>
      </c>
      <c r="EI703" s="14" t="s">
        <v>179</v>
      </c>
      <c r="EJ703" s="14" t="s">
        <v>15279</v>
      </c>
      <c r="EK703" s="14" t="s">
        <v>179</v>
      </c>
      <c r="EL703" s="14" t="s">
        <v>15280</v>
      </c>
      <c r="EM703" s="14" t="s">
        <v>179</v>
      </c>
      <c r="EN703" s="14" t="s">
        <v>15281</v>
      </c>
      <c r="EO703" s="15"/>
      <c r="EP703" s="15"/>
      <c r="EQ703" s="15"/>
      <c r="ER703" s="15"/>
      <c r="ES703" s="15"/>
      <c r="ET703" s="15"/>
      <c r="EU703" s="15"/>
      <c r="EV703" s="15"/>
      <c r="EW703" s="15"/>
      <c r="EX703" s="15"/>
      <c r="EY703" s="15"/>
      <c r="EZ703" s="15"/>
      <c r="FA703" s="15"/>
      <c r="FB703" s="15"/>
      <c r="FC703" s="16" t="s">
        <v>197</v>
      </c>
      <c r="FD703" s="17" t="s">
        <v>198</v>
      </c>
      <c r="FE703" s="18">
        <v>45723.32246527778</v>
      </c>
      <c r="FF703" s="19"/>
      <c r="FG703" s="19"/>
      <c r="FH703" s="21" t="s">
        <v>197</v>
      </c>
      <c r="FI703" s="17" t="s">
        <v>214</v>
      </c>
      <c r="FJ703" s="18">
        <v>45723.32246527778</v>
      </c>
      <c r="FK703" s="14" t="s">
        <v>15281</v>
      </c>
      <c r="FL703" s="14" t="s">
        <v>15282</v>
      </c>
      <c r="FM703" s="14" t="s">
        <v>15283</v>
      </c>
      <c r="FN703" s="14" t="s">
        <v>15284</v>
      </c>
      <c r="FO703" s="14" t="s">
        <v>15285</v>
      </c>
      <c r="FP703" s="19" t="str">
        <f t="shared" si="1"/>
        <v>Base de Dados_Images/SX2104.Imagem do Equipamento-.135537.jpg</v>
      </c>
      <c r="FQ703" s="19"/>
      <c r="FR703" s="19"/>
    </row>
    <row r="704" ht="15.75" customHeight="1">
      <c r="A704" s="12" t="s">
        <v>10412</v>
      </c>
      <c r="B704" s="12" t="s">
        <v>10413</v>
      </c>
      <c r="C704" s="24" t="s">
        <v>512</v>
      </c>
      <c r="D704" s="22" t="s">
        <v>15286</v>
      </c>
      <c r="E704" s="22" t="s">
        <v>15287</v>
      </c>
      <c r="F704" s="13" t="s">
        <v>178</v>
      </c>
      <c r="G704" s="14" t="s">
        <v>179</v>
      </c>
      <c r="H704" s="14" t="s">
        <v>15288</v>
      </c>
      <c r="I704" s="14" t="s">
        <v>179</v>
      </c>
      <c r="J704" s="14" t="s">
        <v>15289</v>
      </c>
      <c r="K704" s="14" t="s">
        <v>179</v>
      </c>
      <c r="L704" s="14" t="s">
        <v>15290</v>
      </c>
      <c r="M704" s="14" t="s">
        <v>179</v>
      </c>
      <c r="N704" s="14" t="s">
        <v>15291</v>
      </c>
      <c r="O704" s="14" t="s">
        <v>179</v>
      </c>
      <c r="P704" s="14" t="s">
        <v>15292</v>
      </c>
      <c r="Q704" s="14" t="s">
        <v>179</v>
      </c>
      <c r="R704" s="14" t="s">
        <v>15293</v>
      </c>
      <c r="S704" s="14" t="s">
        <v>179</v>
      </c>
      <c r="T704" s="14" t="s">
        <v>15294</v>
      </c>
      <c r="U704" s="14" t="s">
        <v>179</v>
      </c>
      <c r="V704" s="14" t="s">
        <v>15295</v>
      </c>
      <c r="W704" s="14" t="s">
        <v>179</v>
      </c>
      <c r="X704" s="14" t="s">
        <v>15296</v>
      </c>
      <c r="Y704" s="14" t="s">
        <v>188</v>
      </c>
      <c r="Z704" s="14" t="s">
        <v>15297</v>
      </c>
      <c r="AA704" s="14" t="s">
        <v>179</v>
      </c>
      <c r="AB704" s="14" t="s">
        <v>15298</v>
      </c>
      <c r="AC704" s="14" t="s">
        <v>179</v>
      </c>
      <c r="AD704" s="14" t="s">
        <v>15299</v>
      </c>
      <c r="AE704" s="14" t="s">
        <v>179</v>
      </c>
      <c r="AF704" s="14" t="s">
        <v>15300</v>
      </c>
      <c r="AG704" s="14" t="s">
        <v>179</v>
      </c>
      <c r="AH704" s="14" t="s">
        <v>15301</v>
      </c>
      <c r="AI704" s="14" t="s">
        <v>179</v>
      </c>
      <c r="AJ704" s="14" t="s">
        <v>15302</v>
      </c>
      <c r="AK704" s="14" t="s">
        <v>179</v>
      </c>
      <c r="AL704" s="14" t="s">
        <v>15303</v>
      </c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6" t="s">
        <v>197</v>
      </c>
      <c r="BP704" s="17" t="s">
        <v>198</v>
      </c>
      <c r="BQ704" s="18">
        <v>45686.62930555556</v>
      </c>
      <c r="BR704" s="17" t="s">
        <v>198</v>
      </c>
      <c r="BS704" s="18">
        <v>45686.62931712963</v>
      </c>
      <c r="BT704" s="17" t="s">
        <v>198</v>
      </c>
      <c r="BU704" s="18">
        <v>45686.62931712963</v>
      </c>
      <c r="BV704" s="13" t="s">
        <v>199</v>
      </c>
      <c r="BW704" s="14" t="s">
        <v>179</v>
      </c>
      <c r="BX704" s="14" t="s">
        <v>15304</v>
      </c>
      <c r="BY704" s="14" t="s">
        <v>179</v>
      </c>
      <c r="BZ704" s="14" t="s">
        <v>15305</v>
      </c>
      <c r="CA704" s="14" t="s">
        <v>179</v>
      </c>
      <c r="CB704" s="14" t="s">
        <v>15306</v>
      </c>
      <c r="CC704" s="14" t="s">
        <v>179</v>
      </c>
      <c r="CD704" s="14" t="s">
        <v>15307</v>
      </c>
      <c r="CE704" s="14" t="s">
        <v>179</v>
      </c>
      <c r="CF704" s="14" t="s">
        <v>15308</v>
      </c>
      <c r="CG704" s="14" t="s">
        <v>179</v>
      </c>
      <c r="CH704" s="14" t="s">
        <v>15309</v>
      </c>
      <c r="CI704" s="19"/>
      <c r="CJ704" s="15"/>
      <c r="CK704" s="19"/>
      <c r="CL704" s="15"/>
      <c r="CM704" s="19"/>
      <c r="CN704" s="15"/>
      <c r="CO704" s="19"/>
      <c r="CP704" s="15"/>
      <c r="CQ704" s="15"/>
      <c r="CR704" s="15"/>
      <c r="CS704" s="19"/>
      <c r="CT704" s="15"/>
      <c r="CU704" s="19"/>
      <c r="CV704" s="15"/>
      <c r="CW704" s="19"/>
      <c r="CX704" s="15"/>
      <c r="CY704" s="19"/>
      <c r="CZ704" s="15"/>
      <c r="DA704" s="16" t="s">
        <v>197</v>
      </c>
      <c r="DB704" s="17" t="s">
        <v>198</v>
      </c>
      <c r="DC704" s="20">
        <v>45719.45920138889</v>
      </c>
      <c r="DD704" s="17" t="s">
        <v>198</v>
      </c>
      <c r="DE704" s="18">
        <v>45719.459282407406</v>
      </c>
      <c r="DF704" s="17" t="s">
        <v>198</v>
      </c>
      <c r="DG704" s="18">
        <v>45719.459282407406</v>
      </c>
      <c r="DH704" s="13" t="s">
        <v>205</v>
      </c>
      <c r="DI704" s="14" t="s">
        <v>179</v>
      </c>
      <c r="DJ704" s="14" t="s">
        <v>15310</v>
      </c>
      <c r="DK704" s="14" t="s">
        <v>179</v>
      </c>
      <c r="DL704" s="14" t="s">
        <v>15311</v>
      </c>
      <c r="DM704" s="14" t="s">
        <v>179</v>
      </c>
      <c r="DN704" s="14" t="s">
        <v>15312</v>
      </c>
      <c r="DO704" s="14" t="s">
        <v>179</v>
      </c>
      <c r="DP704" s="14" t="s">
        <v>15313</v>
      </c>
      <c r="DQ704" s="15"/>
      <c r="DR704" s="15"/>
      <c r="DS704" s="15"/>
      <c r="DT704" s="15"/>
      <c r="DU704" s="15"/>
      <c r="DV704" s="15"/>
      <c r="DW704" s="15"/>
      <c r="DX704" s="15"/>
      <c r="DY704" s="15"/>
      <c r="DZ704" s="15"/>
      <c r="EA704" s="15"/>
      <c r="EB704" s="15"/>
      <c r="EC704" s="16" t="s">
        <v>197</v>
      </c>
      <c r="ED704" s="17" t="s">
        <v>198</v>
      </c>
      <c r="EE704" s="18">
        <v>45719.459386574075</v>
      </c>
      <c r="EF704" s="13" t="s">
        <v>209</v>
      </c>
      <c r="EG704" s="14" t="s">
        <v>179</v>
      </c>
      <c r="EH704" s="14" t="s">
        <v>15314</v>
      </c>
      <c r="EI704" s="14" t="s">
        <v>179</v>
      </c>
      <c r="EJ704" s="14" t="s">
        <v>15315</v>
      </c>
      <c r="EK704" s="14" t="s">
        <v>179</v>
      </c>
      <c r="EL704" s="14" t="s">
        <v>15316</v>
      </c>
      <c r="EM704" s="14" t="s">
        <v>179</v>
      </c>
      <c r="EN704" s="14" t="s">
        <v>15317</v>
      </c>
      <c r="EO704" s="15"/>
      <c r="EP704" s="15"/>
      <c r="EQ704" s="15"/>
      <c r="ER704" s="15"/>
      <c r="ES704" s="15"/>
      <c r="ET704" s="15"/>
      <c r="EU704" s="15"/>
      <c r="EV704" s="15"/>
      <c r="EW704" s="15"/>
      <c r="EX704" s="15"/>
      <c r="EY704" s="15"/>
      <c r="EZ704" s="15"/>
      <c r="FA704" s="15"/>
      <c r="FB704" s="15"/>
      <c r="FC704" s="16" t="s">
        <v>197</v>
      </c>
      <c r="FD704" s="17" t="s">
        <v>198</v>
      </c>
      <c r="FE704" s="18">
        <v>45719.67322916666</v>
      </c>
      <c r="FF704" s="19"/>
      <c r="FG704" s="19"/>
      <c r="FH704" s="21" t="s">
        <v>197</v>
      </c>
      <c r="FI704" s="17" t="s">
        <v>214</v>
      </c>
      <c r="FJ704" s="18">
        <v>45719.67322916666</v>
      </c>
      <c r="FK704" s="14" t="s">
        <v>15317</v>
      </c>
      <c r="FL704" s="19"/>
      <c r="FM704" s="19"/>
      <c r="FN704" s="19"/>
      <c r="FO704" s="19"/>
      <c r="FP704" s="19" t="str">
        <f t="shared" si="1"/>
        <v/>
      </c>
      <c r="FQ704" s="14" t="s">
        <v>215</v>
      </c>
      <c r="FR704" s="14" t="s">
        <v>15318</v>
      </c>
    </row>
    <row r="705" ht="15.75" customHeight="1">
      <c r="A705" s="12" t="s">
        <v>174</v>
      </c>
      <c r="B705" s="22" t="s">
        <v>1359</v>
      </c>
      <c r="C705" s="12" t="s">
        <v>219</v>
      </c>
      <c r="D705" s="22" t="s">
        <v>15319</v>
      </c>
      <c r="E705" s="22" t="s">
        <v>15320</v>
      </c>
      <c r="F705" s="13" t="s">
        <v>178</v>
      </c>
      <c r="G705" s="14" t="s">
        <v>179</v>
      </c>
      <c r="H705" s="14" t="s">
        <v>15321</v>
      </c>
      <c r="I705" s="14" t="s">
        <v>179</v>
      </c>
      <c r="J705" s="14" t="s">
        <v>15322</v>
      </c>
      <c r="K705" s="14" t="s">
        <v>179</v>
      </c>
      <c r="L705" s="14" t="s">
        <v>15323</v>
      </c>
      <c r="M705" s="14" t="s">
        <v>179</v>
      </c>
      <c r="N705" s="14" t="s">
        <v>15324</v>
      </c>
      <c r="O705" s="14" t="s">
        <v>179</v>
      </c>
      <c r="P705" s="14" t="s">
        <v>15325</v>
      </c>
      <c r="Q705" s="14" t="s">
        <v>179</v>
      </c>
      <c r="R705" s="14" t="s">
        <v>15326</v>
      </c>
      <c r="S705" s="14" t="s">
        <v>179</v>
      </c>
      <c r="T705" s="14" t="s">
        <v>15327</v>
      </c>
      <c r="U705" s="14" t="s">
        <v>179</v>
      </c>
      <c r="V705" s="14" t="s">
        <v>15328</v>
      </c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6" t="s">
        <v>197</v>
      </c>
      <c r="BP705" s="17" t="s">
        <v>228</v>
      </c>
      <c r="BQ705" s="23"/>
      <c r="BR705" s="17" t="s">
        <v>198</v>
      </c>
      <c r="BS705" s="18">
        <v>45686.44457175926</v>
      </c>
      <c r="BT705" s="17" t="s">
        <v>198</v>
      </c>
      <c r="BU705" s="18">
        <v>45686.44457175926</v>
      </c>
      <c r="BV705" s="13" t="s">
        <v>199</v>
      </c>
      <c r="BW705" s="14" t="s">
        <v>179</v>
      </c>
      <c r="BX705" s="14" t="s">
        <v>15329</v>
      </c>
      <c r="BY705" s="14" t="s">
        <v>179</v>
      </c>
      <c r="BZ705" s="14" t="s">
        <v>15330</v>
      </c>
      <c r="CA705" s="15"/>
      <c r="CB705" s="15"/>
      <c r="CC705" s="15"/>
      <c r="CD705" s="15"/>
      <c r="CE705" s="15"/>
      <c r="CF705" s="15"/>
      <c r="CG705" s="19"/>
      <c r="CH705" s="15"/>
      <c r="CI705" s="19"/>
      <c r="CJ705" s="15"/>
      <c r="CK705" s="19"/>
      <c r="CL705" s="15"/>
      <c r="CM705" s="19"/>
      <c r="CN705" s="15"/>
      <c r="CO705" s="19"/>
      <c r="CP705" s="15"/>
      <c r="CQ705" s="15"/>
      <c r="CR705" s="15"/>
      <c r="CS705" s="19"/>
      <c r="CT705" s="15"/>
      <c r="CU705" s="19"/>
      <c r="CV705" s="15"/>
      <c r="CW705" s="19"/>
      <c r="CX705" s="15"/>
      <c r="CY705" s="19"/>
      <c r="CZ705" s="15"/>
      <c r="DA705" s="16" t="s">
        <v>197</v>
      </c>
      <c r="DB705" s="17" t="s">
        <v>228</v>
      </c>
      <c r="DC705" s="16"/>
      <c r="DD705" s="17" t="s">
        <v>198</v>
      </c>
      <c r="DE705" s="18">
        <v>45694.41087962963</v>
      </c>
      <c r="DF705" s="17" t="s">
        <v>198</v>
      </c>
      <c r="DG705" s="18">
        <v>45694.41087962963</v>
      </c>
      <c r="DH705" s="13" t="s">
        <v>205</v>
      </c>
      <c r="DI705" s="14" t="s">
        <v>179</v>
      </c>
      <c r="DJ705" s="14" t="s">
        <v>15331</v>
      </c>
      <c r="DK705" s="15"/>
      <c r="DL705" s="15"/>
      <c r="DM705" s="15"/>
      <c r="DN705" s="15"/>
      <c r="DO705" s="15"/>
      <c r="DP705" s="15"/>
      <c r="DQ705" s="15"/>
      <c r="DR705" s="15"/>
      <c r="DS705" s="15"/>
      <c r="DT705" s="15"/>
      <c r="DU705" s="15"/>
      <c r="DV705" s="15"/>
      <c r="DW705" s="15"/>
      <c r="DX705" s="15"/>
      <c r="DY705" s="15"/>
      <c r="DZ705" s="15"/>
      <c r="EA705" s="15"/>
      <c r="EB705" s="15"/>
      <c r="EC705" s="16" t="s">
        <v>197</v>
      </c>
      <c r="ED705" s="17" t="s">
        <v>198</v>
      </c>
      <c r="EE705" s="18">
        <v>45719.46748842593</v>
      </c>
      <c r="EF705" s="13" t="s">
        <v>209</v>
      </c>
      <c r="EG705" s="14" t="s">
        <v>179</v>
      </c>
      <c r="EH705" s="14" t="s">
        <v>15332</v>
      </c>
      <c r="EI705" s="15"/>
      <c r="EJ705" s="15"/>
      <c r="EK705" s="15"/>
      <c r="EL705" s="15"/>
      <c r="EM705" s="15"/>
      <c r="EN705" s="15"/>
      <c r="EO705" s="15"/>
      <c r="EP705" s="15"/>
      <c r="EQ705" s="15"/>
      <c r="ER705" s="15"/>
      <c r="ES705" s="15"/>
      <c r="ET705" s="15"/>
      <c r="EU705" s="15"/>
      <c r="EV705" s="15"/>
      <c r="EW705" s="15"/>
      <c r="EX705" s="15"/>
      <c r="EY705" s="15"/>
      <c r="EZ705" s="15"/>
      <c r="FA705" s="15"/>
      <c r="FB705" s="15"/>
      <c r="FC705" s="16" t="s">
        <v>197</v>
      </c>
      <c r="FD705" s="17" t="s">
        <v>198</v>
      </c>
      <c r="FE705" s="18">
        <v>45723.26574074074</v>
      </c>
      <c r="FF705" s="19"/>
      <c r="FG705" s="19"/>
      <c r="FH705" s="21" t="s">
        <v>197</v>
      </c>
      <c r="FI705" s="17" t="s">
        <v>214</v>
      </c>
      <c r="FJ705" s="18">
        <v>45723.26574074074</v>
      </c>
      <c r="FK705" s="14" t="s">
        <v>15332</v>
      </c>
      <c r="FL705" s="14" t="s">
        <v>15333</v>
      </c>
      <c r="FM705" s="14" t="s">
        <v>15334</v>
      </c>
      <c r="FN705" s="19"/>
      <c r="FO705" s="19"/>
      <c r="FP705" s="19" t="str">
        <f t="shared" si="1"/>
        <v>Base de Dados_Images/TCV20017.Imagem do Equipamento-.134849.jpg</v>
      </c>
      <c r="FQ705" s="19"/>
      <c r="FR705" s="19"/>
    </row>
    <row r="706" ht="15.75" customHeight="1">
      <c r="A706" s="12" t="s">
        <v>174</v>
      </c>
      <c r="B706" s="12" t="s">
        <v>1132</v>
      </c>
      <c r="C706" s="12" t="s">
        <v>219</v>
      </c>
      <c r="D706" s="22" t="s">
        <v>15335</v>
      </c>
      <c r="E706" s="22" t="s">
        <v>15336</v>
      </c>
      <c r="F706" s="13" t="s">
        <v>178</v>
      </c>
      <c r="G706" s="14" t="s">
        <v>179</v>
      </c>
      <c r="H706" s="14" t="s">
        <v>15337</v>
      </c>
      <c r="I706" s="14" t="s">
        <v>179</v>
      </c>
      <c r="J706" s="14" t="s">
        <v>15338</v>
      </c>
      <c r="K706" s="14" t="s">
        <v>179</v>
      </c>
      <c r="L706" s="14" t="s">
        <v>15339</v>
      </c>
      <c r="M706" s="14" t="s">
        <v>179</v>
      </c>
      <c r="N706" s="14" t="s">
        <v>15340</v>
      </c>
      <c r="O706" s="14" t="s">
        <v>179</v>
      </c>
      <c r="P706" s="14" t="s">
        <v>15341</v>
      </c>
      <c r="Q706" s="14" t="s">
        <v>179</v>
      </c>
      <c r="R706" s="14" t="s">
        <v>15342</v>
      </c>
      <c r="S706" s="14" t="s">
        <v>179</v>
      </c>
      <c r="T706" s="14" t="s">
        <v>15343</v>
      </c>
      <c r="U706" s="14" t="s">
        <v>179</v>
      </c>
      <c r="V706" s="14" t="s">
        <v>15344</v>
      </c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6" t="s">
        <v>197</v>
      </c>
      <c r="BP706" s="17" t="s">
        <v>228</v>
      </c>
      <c r="BQ706" s="23"/>
      <c r="BR706" s="17" t="s">
        <v>198</v>
      </c>
      <c r="BS706" s="18">
        <v>45679.64056712963</v>
      </c>
      <c r="BT706" s="17" t="s">
        <v>198</v>
      </c>
      <c r="BU706" s="18">
        <v>45679.64056712963</v>
      </c>
      <c r="BV706" s="13" t="s">
        <v>199</v>
      </c>
      <c r="BW706" s="14" t="s">
        <v>179</v>
      </c>
      <c r="BX706" s="14" t="s">
        <v>15345</v>
      </c>
      <c r="BY706" s="14" t="s">
        <v>179</v>
      </c>
      <c r="BZ706" s="14" t="s">
        <v>15345</v>
      </c>
      <c r="CA706" s="15"/>
      <c r="CB706" s="15"/>
      <c r="CC706" s="15"/>
      <c r="CD706" s="15"/>
      <c r="CE706" s="15"/>
      <c r="CF706" s="15"/>
      <c r="CG706" s="19"/>
      <c r="CH706" s="15"/>
      <c r="CI706" s="19"/>
      <c r="CJ706" s="15"/>
      <c r="CK706" s="19"/>
      <c r="CL706" s="15"/>
      <c r="CM706" s="19"/>
      <c r="CN706" s="15"/>
      <c r="CO706" s="19"/>
      <c r="CP706" s="15"/>
      <c r="CQ706" s="15"/>
      <c r="CR706" s="15"/>
      <c r="CS706" s="19"/>
      <c r="CT706" s="15"/>
      <c r="CU706" s="19"/>
      <c r="CV706" s="15"/>
      <c r="CW706" s="19"/>
      <c r="CX706" s="15"/>
      <c r="CY706" s="19"/>
      <c r="CZ706" s="15"/>
      <c r="DA706" s="16" t="s">
        <v>197</v>
      </c>
      <c r="DB706" s="17" t="s">
        <v>228</v>
      </c>
      <c r="DC706" s="16"/>
      <c r="DD706" s="17" t="s">
        <v>198</v>
      </c>
      <c r="DE706" s="18">
        <v>45698.662210648145</v>
      </c>
      <c r="DF706" s="17" t="s">
        <v>198</v>
      </c>
      <c r="DG706" s="18">
        <v>45698.662210648145</v>
      </c>
      <c r="DH706" s="13" t="s">
        <v>205</v>
      </c>
      <c r="DI706" s="14" t="s">
        <v>179</v>
      </c>
      <c r="DJ706" s="14" t="s">
        <v>15346</v>
      </c>
      <c r="DK706" s="15"/>
      <c r="DL706" s="15"/>
      <c r="DM706" s="15"/>
      <c r="DN706" s="15"/>
      <c r="DO706" s="15"/>
      <c r="DP706" s="15"/>
      <c r="DQ706" s="15"/>
      <c r="DR706" s="15"/>
      <c r="DS706" s="15"/>
      <c r="DT706" s="15"/>
      <c r="DU706" s="15"/>
      <c r="DV706" s="15"/>
      <c r="DW706" s="15"/>
      <c r="DX706" s="15"/>
      <c r="DY706" s="15"/>
      <c r="DZ706" s="15"/>
      <c r="EA706" s="15"/>
      <c r="EB706" s="15"/>
      <c r="EC706" s="16" t="s">
        <v>197</v>
      </c>
      <c r="ED706" s="17" t="s">
        <v>198</v>
      </c>
      <c r="EE706" s="18">
        <v>45719.469826388886</v>
      </c>
      <c r="EF706" s="13" t="s">
        <v>209</v>
      </c>
      <c r="EG706" s="14" t="s">
        <v>179</v>
      </c>
      <c r="EH706" s="14" t="s">
        <v>15347</v>
      </c>
      <c r="EI706" s="15"/>
      <c r="EJ706" s="15"/>
      <c r="EK706" s="15"/>
      <c r="EL706" s="15"/>
      <c r="EM706" s="15"/>
      <c r="EN706" s="15"/>
      <c r="EO706" s="15"/>
      <c r="EP706" s="15"/>
      <c r="EQ706" s="15"/>
      <c r="ER706" s="15"/>
      <c r="ES706" s="15"/>
      <c r="ET706" s="15"/>
      <c r="EU706" s="15"/>
      <c r="EV706" s="15"/>
      <c r="EW706" s="15"/>
      <c r="EX706" s="15"/>
      <c r="EY706" s="15"/>
      <c r="EZ706" s="15"/>
      <c r="FA706" s="15"/>
      <c r="FB706" s="15"/>
      <c r="FC706" s="16" t="s">
        <v>197</v>
      </c>
      <c r="FD706" s="17" t="s">
        <v>198</v>
      </c>
      <c r="FE706" s="18">
        <v>45723.27371527778</v>
      </c>
      <c r="FF706" s="19"/>
      <c r="FG706" s="19"/>
      <c r="FH706" s="21" t="s">
        <v>197</v>
      </c>
      <c r="FI706" s="17" t="s">
        <v>214</v>
      </c>
      <c r="FJ706" s="18">
        <v>45723.27371527778</v>
      </c>
      <c r="FK706" s="14" t="s">
        <v>15347</v>
      </c>
      <c r="FL706" s="14" t="s">
        <v>15348</v>
      </c>
      <c r="FM706" s="14" t="s">
        <v>15349</v>
      </c>
      <c r="FN706" s="19"/>
      <c r="FO706" s="19"/>
      <c r="FP706" s="19" t="str">
        <f t="shared" si="1"/>
        <v>Base de Dados_Images/TCV20036.Imagem do Equipamento-.191106.jpg</v>
      </c>
      <c r="FQ706" s="19"/>
      <c r="FR706" s="19"/>
    </row>
    <row r="707" ht="15.75" customHeight="1">
      <c r="A707" s="12" t="s">
        <v>174</v>
      </c>
      <c r="B707" s="22" t="s">
        <v>1192</v>
      </c>
      <c r="C707" s="12" t="s">
        <v>219</v>
      </c>
      <c r="D707" s="22" t="s">
        <v>15350</v>
      </c>
      <c r="E707" s="22" t="s">
        <v>15351</v>
      </c>
      <c r="F707" s="13" t="s">
        <v>178</v>
      </c>
      <c r="G707" s="14" t="s">
        <v>179</v>
      </c>
      <c r="H707" s="14" t="s">
        <v>15352</v>
      </c>
      <c r="I707" s="14" t="s">
        <v>179</v>
      </c>
      <c r="J707" s="14" t="s">
        <v>15353</v>
      </c>
      <c r="K707" s="14" t="s">
        <v>179</v>
      </c>
      <c r="L707" s="14" t="s">
        <v>15354</v>
      </c>
      <c r="M707" s="14" t="s">
        <v>179</v>
      </c>
      <c r="N707" s="14" t="s">
        <v>15355</v>
      </c>
      <c r="O707" s="14" t="s">
        <v>179</v>
      </c>
      <c r="P707" s="14" t="s">
        <v>15356</v>
      </c>
      <c r="Q707" s="14" t="s">
        <v>179</v>
      </c>
      <c r="R707" s="14" t="s">
        <v>15357</v>
      </c>
      <c r="S707" s="14" t="s">
        <v>179</v>
      </c>
      <c r="T707" s="14" t="s">
        <v>15358</v>
      </c>
      <c r="U707" s="14" t="s">
        <v>179</v>
      </c>
      <c r="V707" s="14" t="s">
        <v>15359</v>
      </c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6" t="s">
        <v>197</v>
      </c>
      <c r="BP707" s="17" t="s">
        <v>228</v>
      </c>
      <c r="BQ707" s="23"/>
      <c r="BR707" s="17" t="s">
        <v>198</v>
      </c>
      <c r="BS707" s="18">
        <v>45686.46258101852</v>
      </c>
      <c r="BT707" s="17" t="s">
        <v>198</v>
      </c>
      <c r="BU707" s="18">
        <v>45686.46258101852</v>
      </c>
      <c r="BV707" s="13" t="s">
        <v>199</v>
      </c>
      <c r="BW707" s="14" t="s">
        <v>179</v>
      </c>
      <c r="BX707" s="14" t="s">
        <v>15360</v>
      </c>
      <c r="BY707" s="14" t="s">
        <v>179</v>
      </c>
      <c r="BZ707" s="14" t="s">
        <v>15361</v>
      </c>
      <c r="CA707" s="15"/>
      <c r="CB707" s="15"/>
      <c r="CC707" s="15"/>
      <c r="CD707" s="15"/>
      <c r="CE707" s="15"/>
      <c r="CF707" s="15"/>
      <c r="CG707" s="19"/>
      <c r="CH707" s="15"/>
      <c r="CI707" s="19"/>
      <c r="CJ707" s="15"/>
      <c r="CK707" s="19"/>
      <c r="CL707" s="15"/>
      <c r="CM707" s="19"/>
      <c r="CN707" s="15"/>
      <c r="CO707" s="19"/>
      <c r="CP707" s="15"/>
      <c r="CQ707" s="15"/>
      <c r="CR707" s="15"/>
      <c r="CS707" s="19"/>
      <c r="CT707" s="15"/>
      <c r="CU707" s="19"/>
      <c r="CV707" s="15"/>
      <c r="CW707" s="19"/>
      <c r="CX707" s="15"/>
      <c r="CY707" s="19"/>
      <c r="CZ707" s="15"/>
      <c r="DA707" s="16" t="s">
        <v>197</v>
      </c>
      <c r="DB707" s="17" t="s">
        <v>228</v>
      </c>
      <c r="DC707" s="16"/>
      <c r="DD707" s="17" t="s">
        <v>198</v>
      </c>
      <c r="DE707" s="18">
        <v>45694.470347222225</v>
      </c>
      <c r="DF707" s="17" t="s">
        <v>198</v>
      </c>
      <c r="DG707" s="18">
        <v>45694.470347222225</v>
      </c>
      <c r="DH707" s="13" t="s">
        <v>205</v>
      </c>
      <c r="DI707" s="14" t="s">
        <v>179</v>
      </c>
      <c r="DJ707" s="14" t="s">
        <v>15362</v>
      </c>
      <c r="DK707" s="15"/>
      <c r="DL707" s="15"/>
      <c r="DM707" s="15"/>
      <c r="DN707" s="15"/>
      <c r="DO707" s="15"/>
      <c r="DP707" s="15"/>
      <c r="DQ707" s="15"/>
      <c r="DR707" s="15"/>
      <c r="DS707" s="15"/>
      <c r="DT707" s="15"/>
      <c r="DU707" s="15"/>
      <c r="DV707" s="15"/>
      <c r="DW707" s="15"/>
      <c r="DX707" s="15"/>
      <c r="DY707" s="15"/>
      <c r="DZ707" s="15"/>
      <c r="EA707" s="15"/>
      <c r="EB707" s="15"/>
      <c r="EC707" s="16" t="s">
        <v>197</v>
      </c>
      <c r="ED707" s="17" t="s">
        <v>198</v>
      </c>
      <c r="EE707" s="18">
        <v>45708.34953703704</v>
      </c>
      <c r="EF707" s="13" t="s">
        <v>209</v>
      </c>
      <c r="EG707" s="14" t="s">
        <v>179</v>
      </c>
      <c r="EH707" s="14" t="s">
        <v>15363</v>
      </c>
      <c r="EI707" s="15"/>
      <c r="EJ707" s="15"/>
      <c r="EK707" s="15"/>
      <c r="EL707" s="15"/>
      <c r="EM707" s="15"/>
      <c r="EN707" s="15"/>
      <c r="EO707" s="15"/>
      <c r="EP707" s="15"/>
      <c r="EQ707" s="15"/>
      <c r="ER707" s="15"/>
      <c r="ES707" s="15"/>
      <c r="ET707" s="15"/>
      <c r="EU707" s="15"/>
      <c r="EV707" s="15"/>
      <c r="EW707" s="15"/>
      <c r="EX707" s="15"/>
      <c r="EY707" s="15"/>
      <c r="EZ707" s="15"/>
      <c r="FA707" s="15"/>
      <c r="FB707" s="15"/>
      <c r="FC707" s="16" t="s">
        <v>197</v>
      </c>
      <c r="FD707" s="17" t="s">
        <v>198</v>
      </c>
      <c r="FE707" s="18">
        <v>45723.28209490741</v>
      </c>
      <c r="FF707" s="19"/>
      <c r="FG707" s="19"/>
      <c r="FH707" s="21" t="s">
        <v>197</v>
      </c>
      <c r="FI707" s="17" t="s">
        <v>214</v>
      </c>
      <c r="FJ707" s="18">
        <v>45723.28209490741</v>
      </c>
      <c r="FK707" s="14" t="s">
        <v>15363</v>
      </c>
      <c r="FL707" s="14" t="s">
        <v>15364</v>
      </c>
      <c r="FM707" s="14" t="s">
        <v>15365</v>
      </c>
      <c r="FN707" s="19"/>
      <c r="FO707" s="19"/>
      <c r="FP707" s="19" t="str">
        <f t="shared" si="1"/>
        <v>Base de Dados_Images/TCV20045.Imagem do Equipamento-.141220.jpg</v>
      </c>
      <c r="FQ707" s="19"/>
      <c r="FR707" s="19"/>
    </row>
    <row r="708" ht="15.75" customHeight="1">
      <c r="A708" s="12" t="s">
        <v>174</v>
      </c>
      <c r="B708" s="22" t="s">
        <v>1258</v>
      </c>
      <c r="C708" s="12" t="s">
        <v>219</v>
      </c>
      <c r="D708" s="22" t="s">
        <v>15366</v>
      </c>
      <c r="E708" s="22" t="s">
        <v>15367</v>
      </c>
      <c r="F708" s="13" t="s">
        <v>178</v>
      </c>
      <c r="G708" s="14" t="s">
        <v>179</v>
      </c>
      <c r="H708" s="14" t="s">
        <v>15368</v>
      </c>
      <c r="I708" s="14" t="s">
        <v>179</v>
      </c>
      <c r="J708" s="14" t="s">
        <v>15369</v>
      </c>
      <c r="K708" s="14" t="s">
        <v>179</v>
      </c>
      <c r="L708" s="14" t="s">
        <v>15370</v>
      </c>
      <c r="M708" s="14" t="s">
        <v>179</v>
      </c>
      <c r="N708" s="14" t="s">
        <v>15371</v>
      </c>
      <c r="O708" s="14" t="s">
        <v>179</v>
      </c>
      <c r="P708" s="14" t="s">
        <v>15372</v>
      </c>
      <c r="Q708" s="14" t="s">
        <v>179</v>
      </c>
      <c r="R708" s="14" t="s">
        <v>14757</v>
      </c>
      <c r="S708" s="14" t="s">
        <v>179</v>
      </c>
      <c r="T708" s="14" t="s">
        <v>15373</v>
      </c>
      <c r="U708" s="14" t="s">
        <v>179</v>
      </c>
      <c r="V708" s="14" t="s">
        <v>15374</v>
      </c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6" t="s">
        <v>197</v>
      </c>
      <c r="BP708" s="17" t="s">
        <v>228</v>
      </c>
      <c r="BQ708" s="23"/>
      <c r="BR708" s="17" t="s">
        <v>198</v>
      </c>
      <c r="BS708" s="18">
        <v>45698.65190972222</v>
      </c>
      <c r="BT708" s="17" t="s">
        <v>198</v>
      </c>
      <c r="BU708" s="18">
        <v>45698.65190972222</v>
      </c>
      <c r="BV708" s="13" t="s">
        <v>199</v>
      </c>
      <c r="BW708" s="14" t="s">
        <v>179</v>
      </c>
      <c r="BX708" s="14" t="s">
        <v>15375</v>
      </c>
      <c r="BY708" s="14" t="s">
        <v>179</v>
      </c>
      <c r="BZ708" s="14" t="s">
        <v>15376</v>
      </c>
      <c r="CA708" s="15"/>
      <c r="CB708" s="15"/>
      <c r="CC708" s="15"/>
      <c r="CD708" s="15"/>
      <c r="CE708" s="15"/>
      <c r="CF708" s="15"/>
      <c r="CG708" s="19"/>
      <c r="CH708" s="15"/>
      <c r="CI708" s="19"/>
      <c r="CJ708" s="15"/>
      <c r="CK708" s="19"/>
      <c r="CL708" s="15"/>
      <c r="CM708" s="19"/>
      <c r="CN708" s="15"/>
      <c r="CO708" s="19"/>
      <c r="CP708" s="15"/>
      <c r="CQ708" s="15"/>
      <c r="CR708" s="15"/>
      <c r="CS708" s="19"/>
      <c r="CT708" s="15"/>
      <c r="CU708" s="19"/>
      <c r="CV708" s="15"/>
      <c r="CW708" s="19"/>
      <c r="CX708" s="15"/>
      <c r="CY708" s="19"/>
      <c r="CZ708" s="15"/>
      <c r="DA708" s="16" t="s">
        <v>197</v>
      </c>
      <c r="DB708" s="17" t="s">
        <v>228</v>
      </c>
      <c r="DC708" s="16"/>
      <c r="DD708" s="17" t="s">
        <v>198</v>
      </c>
      <c r="DE708" s="18">
        <v>45698.651979166665</v>
      </c>
      <c r="DF708" s="17" t="s">
        <v>198</v>
      </c>
      <c r="DG708" s="18">
        <v>45698.651979166665</v>
      </c>
      <c r="DH708" s="13" t="s">
        <v>205</v>
      </c>
      <c r="DI708" s="14" t="s">
        <v>179</v>
      </c>
      <c r="DJ708" s="14" t="s">
        <v>15377</v>
      </c>
      <c r="DK708" s="15"/>
      <c r="DL708" s="15"/>
      <c r="DM708" s="15"/>
      <c r="DN708" s="15"/>
      <c r="DO708" s="15"/>
      <c r="DP708" s="15"/>
      <c r="DQ708" s="15"/>
      <c r="DR708" s="15"/>
      <c r="DS708" s="15"/>
      <c r="DT708" s="15"/>
      <c r="DU708" s="15"/>
      <c r="DV708" s="15"/>
      <c r="DW708" s="15"/>
      <c r="DX708" s="15"/>
      <c r="DY708" s="15"/>
      <c r="DZ708" s="15"/>
      <c r="EA708" s="15"/>
      <c r="EB708" s="15"/>
      <c r="EC708" s="16" t="s">
        <v>197</v>
      </c>
      <c r="ED708" s="17" t="s">
        <v>198</v>
      </c>
      <c r="EE708" s="18">
        <v>45708.341469907406</v>
      </c>
      <c r="EF708" s="13" t="s">
        <v>209</v>
      </c>
      <c r="EG708" s="14" t="s">
        <v>179</v>
      </c>
      <c r="EH708" s="14" t="s">
        <v>15378</v>
      </c>
      <c r="EI708" s="15"/>
      <c r="EJ708" s="15"/>
      <c r="EK708" s="15"/>
      <c r="EL708" s="15"/>
      <c r="EM708" s="15"/>
      <c r="EN708" s="15"/>
      <c r="EO708" s="15"/>
      <c r="EP708" s="15"/>
      <c r="EQ708" s="15"/>
      <c r="ER708" s="15"/>
      <c r="ES708" s="15"/>
      <c r="ET708" s="15"/>
      <c r="EU708" s="15"/>
      <c r="EV708" s="15"/>
      <c r="EW708" s="15"/>
      <c r="EX708" s="15"/>
      <c r="EY708" s="15"/>
      <c r="EZ708" s="15"/>
      <c r="FA708" s="15"/>
      <c r="FB708" s="15"/>
      <c r="FC708" s="16" t="s">
        <v>197</v>
      </c>
      <c r="FD708" s="17" t="s">
        <v>198</v>
      </c>
      <c r="FE708" s="18">
        <v>45723.28870370371</v>
      </c>
      <c r="FF708" s="19"/>
      <c r="FG708" s="19"/>
      <c r="FH708" s="21" t="s">
        <v>197</v>
      </c>
      <c r="FI708" s="17" t="s">
        <v>214</v>
      </c>
      <c r="FJ708" s="18">
        <v>45723.28870370371</v>
      </c>
      <c r="FK708" s="14" t="s">
        <v>15378</v>
      </c>
      <c r="FL708" s="14" t="s">
        <v>15379</v>
      </c>
      <c r="FM708" s="14" t="s">
        <v>15380</v>
      </c>
      <c r="FN708" s="19"/>
      <c r="FO708" s="19"/>
      <c r="FP708" s="19" t="str">
        <f t="shared" si="1"/>
        <v>Base de Dados_Images/TCV20067.Imagem do Equipamento-.111712.jpg</v>
      </c>
      <c r="FQ708" s="14"/>
      <c r="FR708" s="14"/>
    </row>
    <row r="709" ht="15.75" customHeight="1">
      <c r="A709" s="12" t="s">
        <v>174</v>
      </c>
      <c r="B709" s="22" t="s">
        <v>1325</v>
      </c>
      <c r="C709" s="12" t="s">
        <v>219</v>
      </c>
      <c r="D709" s="22" t="s">
        <v>15381</v>
      </c>
      <c r="E709" s="22" t="s">
        <v>15382</v>
      </c>
      <c r="F709" s="13" t="s">
        <v>178</v>
      </c>
      <c r="G709" s="14" t="s">
        <v>179</v>
      </c>
      <c r="H709" s="14" t="s">
        <v>15383</v>
      </c>
      <c r="I709" s="14" t="s">
        <v>179</v>
      </c>
      <c r="J709" s="14" t="s">
        <v>15384</v>
      </c>
      <c r="K709" s="14" t="s">
        <v>179</v>
      </c>
      <c r="L709" s="14" t="s">
        <v>15385</v>
      </c>
      <c r="M709" s="14" t="s">
        <v>179</v>
      </c>
      <c r="N709" s="14" t="s">
        <v>15386</v>
      </c>
      <c r="O709" s="14" t="s">
        <v>179</v>
      </c>
      <c r="P709" s="14" t="s">
        <v>15387</v>
      </c>
      <c r="Q709" s="14" t="s">
        <v>179</v>
      </c>
      <c r="R709" s="14" t="s">
        <v>15388</v>
      </c>
      <c r="S709" s="14" t="s">
        <v>179</v>
      </c>
      <c r="T709" s="14" t="s">
        <v>15389</v>
      </c>
      <c r="U709" s="14" t="s">
        <v>179</v>
      </c>
      <c r="V709" s="14" t="s">
        <v>15390</v>
      </c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6" t="s">
        <v>197</v>
      </c>
      <c r="BP709" s="17" t="s">
        <v>228</v>
      </c>
      <c r="BQ709" s="23"/>
      <c r="BR709" s="17" t="s">
        <v>198</v>
      </c>
      <c r="BS709" s="18">
        <v>45686.498125</v>
      </c>
      <c r="BT709" s="17" t="s">
        <v>198</v>
      </c>
      <c r="BU709" s="18">
        <v>45686.498125</v>
      </c>
      <c r="BV709" s="13" t="s">
        <v>199</v>
      </c>
      <c r="BW709" s="14" t="s">
        <v>179</v>
      </c>
      <c r="BX709" s="14" t="s">
        <v>15391</v>
      </c>
      <c r="BY709" s="14" t="s">
        <v>179</v>
      </c>
      <c r="BZ709" s="14" t="s">
        <v>15392</v>
      </c>
      <c r="CA709" s="15"/>
      <c r="CB709" s="15"/>
      <c r="CC709" s="15"/>
      <c r="CD709" s="15"/>
      <c r="CE709" s="15"/>
      <c r="CF709" s="15"/>
      <c r="CG709" s="19"/>
      <c r="CH709" s="15"/>
      <c r="CI709" s="19"/>
      <c r="CJ709" s="15"/>
      <c r="CK709" s="19"/>
      <c r="CL709" s="15"/>
      <c r="CM709" s="19"/>
      <c r="CN709" s="15"/>
      <c r="CO709" s="19"/>
      <c r="CP709" s="15"/>
      <c r="CQ709" s="15"/>
      <c r="CR709" s="15"/>
      <c r="CS709" s="19"/>
      <c r="CT709" s="15"/>
      <c r="CU709" s="19"/>
      <c r="CV709" s="15"/>
      <c r="CW709" s="19"/>
      <c r="CX709" s="15"/>
      <c r="CY709" s="19"/>
      <c r="CZ709" s="15"/>
      <c r="DA709" s="16" t="s">
        <v>197</v>
      </c>
      <c r="DB709" s="17" t="s">
        <v>228</v>
      </c>
      <c r="DC709" s="16"/>
      <c r="DD709" s="17" t="s">
        <v>198</v>
      </c>
      <c r="DE709" s="18">
        <v>45698.624710648146</v>
      </c>
      <c r="DF709" s="17" t="s">
        <v>198</v>
      </c>
      <c r="DG709" s="18">
        <v>45698.624710648146</v>
      </c>
      <c r="DH709" s="13" t="s">
        <v>205</v>
      </c>
      <c r="DI709" s="14" t="s">
        <v>179</v>
      </c>
      <c r="DJ709" s="14" t="s">
        <v>15393</v>
      </c>
      <c r="DK709" s="15"/>
      <c r="DL709" s="15"/>
      <c r="DM709" s="15"/>
      <c r="DN709" s="15"/>
      <c r="DO709" s="15"/>
      <c r="DP709" s="15"/>
      <c r="DQ709" s="15"/>
      <c r="DR709" s="15"/>
      <c r="DS709" s="15"/>
      <c r="DT709" s="15"/>
      <c r="DU709" s="15"/>
      <c r="DV709" s="15"/>
      <c r="DW709" s="15"/>
      <c r="DX709" s="15"/>
      <c r="DY709" s="15"/>
      <c r="DZ709" s="15"/>
      <c r="EA709" s="15"/>
      <c r="EB709" s="15"/>
      <c r="EC709" s="16" t="s">
        <v>197</v>
      </c>
      <c r="ED709" s="17" t="s">
        <v>198</v>
      </c>
      <c r="EE709" s="18">
        <v>45708.337013888886</v>
      </c>
      <c r="EF709" s="13" t="s">
        <v>209</v>
      </c>
      <c r="EG709" s="14" t="s">
        <v>179</v>
      </c>
      <c r="EH709" s="14" t="s">
        <v>15394</v>
      </c>
      <c r="EI709" s="15"/>
      <c r="EJ709" s="15"/>
      <c r="EK709" s="15"/>
      <c r="EL709" s="15"/>
      <c r="EM709" s="15"/>
      <c r="EN709" s="15"/>
      <c r="EO709" s="15"/>
      <c r="EP709" s="15"/>
      <c r="EQ709" s="15"/>
      <c r="ER709" s="15"/>
      <c r="ES709" s="15"/>
      <c r="ET709" s="15"/>
      <c r="EU709" s="15"/>
      <c r="EV709" s="15"/>
      <c r="EW709" s="15"/>
      <c r="EX709" s="15"/>
      <c r="EY709" s="15"/>
      <c r="EZ709" s="15"/>
      <c r="FA709" s="15"/>
      <c r="FB709" s="15"/>
      <c r="FC709" s="16" t="s">
        <v>197</v>
      </c>
      <c r="FD709" s="17" t="s">
        <v>198</v>
      </c>
      <c r="FE709" s="18">
        <v>45723.28991898148</v>
      </c>
      <c r="FF709" s="19"/>
      <c r="FG709" s="19"/>
      <c r="FH709" s="21" t="s">
        <v>197</v>
      </c>
      <c r="FI709" s="17" t="s">
        <v>214</v>
      </c>
      <c r="FJ709" s="18">
        <v>45723.28991898148</v>
      </c>
      <c r="FK709" s="14" t="s">
        <v>15394</v>
      </c>
      <c r="FL709" s="14" t="s">
        <v>15395</v>
      </c>
      <c r="FM709" s="14" t="s">
        <v>15396</v>
      </c>
      <c r="FN709" s="19"/>
      <c r="FO709" s="19"/>
      <c r="FP709" s="19" t="str">
        <f t="shared" si="1"/>
        <v>Base de Dados_Images/TCV20089.Imagem do Equipamento-.152105.jpg</v>
      </c>
      <c r="FQ709" s="19"/>
      <c r="FR709" s="19"/>
    </row>
    <row r="710" ht="15.75" customHeight="1">
      <c r="A710" s="12" t="s">
        <v>292</v>
      </c>
      <c r="B710" s="12" t="s">
        <v>1740</v>
      </c>
      <c r="C710" s="12" t="s">
        <v>219</v>
      </c>
      <c r="D710" s="22" t="s">
        <v>15397</v>
      </c>
      <c r="E710" s="22" t="s">
        <v>15398</v>
      </c>
      <c r="F710" s="13" t="s">
        <v>178</v>
      </c>
      <c r="G710" s="14" t="s">
        <v>179</v>
      </c>
      <c r="H710" s="14" t="s">
        <v>15399</v>
      </c>
      <c r="I710" s="14" t="s">
        <v>179</v>
      </c>
      <c r="J710" s="14" t="s">
        <v>15400</v>
      </c>
      <c r="K710" s="14" t="s">
        <v>179</v>
      </c>
      <c r="L710" s="14" t="s">
        <v>15401</v>
      </c>
      <c r="M710" s="14" t="s">
        <v>179</v>
      </c>
      <c r="N710" s="14" t="s">
        <v>15402</v>
      </c>
      <c r="O710" s="14" t="s">
        <v>179</v>
      </c>
      <c r="P710" s="14" t="s">
        <v>15403</v>
      </c>
      <c r="Q710" s="14" t="s">
        <v>179</v>
      </c>
      <c r="R710" s="14" t="s">
        <v>15404</v>
      </c>
      <c r="S710" s="14" t="s">
        <v>179</v>
      </c>
      <c r="T710" s="14" t="s">
        <v>15405</v>
      </c>
      <c r="U710" s="14" t="s">
        <v>179</v>
      </c>
      <c r="V710" s="14" t="s">
        <v>15406</v>
      </c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6" t="s">
        <v>197</v>
      </c>
      <c r="BP710" s="17" t="s">
        <v>228</v>
      </c>
      <c r="BQ710" s="23"/>
      <c r="BR710" s="17" t="s">
        <v>198</v>
      </c>
      <c r="BS710" s="18">
        <v>45689.45400462963</v>
      </c>
      <c r="BT710" s="17" t="s">
        <v>198</v>
      </c>
      <c r="BU710" s="18">
        <v>45689.45400462963</v>
      </c>
      <c r="BV710" s="13" t="s">
        <v>199</v>
      </c>
      <c r="BW710" s="14" t="s">
        <v>179</v>
      </c>
      <c r="BX710" s="14" t="s">
        <v>15407</v>
      </c>
      <c r="BY710" s="14" t="s">
        <v>179</v>
      </c>
      <c r="BZ710" s="14" t="s">
        <v>15408</v>
      </c>
      <c r="CA710" s="15"/>
      <c r="CB710" s="15"/>
      <c r="CC710" s="15"/>
      <c r="CD710" s="15"/>
      <c r="CE710" s="15"/>
      <c r="CF710" s="15"/>
      <c r="CG710" s="19"/>
      <c r="CH710" s="15"/>
      <c r="CI710" s="19"/>
      <c r="CJ710" s="15"/>
      <c r="CK710" s="19"/>
      <c r="CL710" s="15"/>
      <c r="CM710" s="19"/>
      <c r="CN710" s="15"/>
      <c r="CO710" s="19"/>
      <c r="CP710" s="15"/>
      <c r="CQ710" s="15"/>
      <c r="CR710" s="15"/>
      <c r="CS710" s="19"/>
      <c r="CT710" s="15"/>
      <c r="CU710" s="19"/>
      <c r="CV710" s="15"/>
      <c r="CW710" s="19"/>
      <c r="CX710" s="15"/>
      <c r="CY710" s="19"/>
      <c r="CZ710" s="15"/>
      <c r="DA710" s="16" t="s">
        <v>197</v>
      </c>
      <c r="DB710" s="17" t="s">
        <v>228</v>
      </c>
      <c r="DC710" s="16"/>
      <c r="DD710" s="17" t="s">
        <v>198</v>
      </c>
      <c r="DE710" s="18">
        <v>45719.45082175926</v>
      </c>
      <c r="DF710" s="17" t="s">
        <v>198</v>
      </c>
      <c r="DG710" s="18">
        <v>45719.45082175926</v>
      </c>
      <c r="DH710" s="13" t="s">
        <v>205</v>
      </c>
      <c r="DI710" s="14" t="s">
        <v>179</v>
      </c>
      <c r="DJ710" s="14" t="s">
        <v>15409</v>
      </c>
      <c r="DK710" s="15"/>
      <c r="DL710" s="15"/>
      <c r="DM710" s="15"/>
      <c r="DN710" s="15"/>
      <c r="DO710" s="15"/>
      <c r="DP710" s="15"/>
      <c r="DQ710" s="15"/>
      <c r="DR710" s="15"/>
      <c r="DS710" s="15"/>
      <c r="DT710" s="15"/>
      <c r="DU710" s="15"/>
      <c r="DV710" s="15"/>
      <c r="DW710" s="15"/>
      <c r="DX710" s="15"/>
      <c r="DY710" s="15"/>
      <c r="DZ710" s="15"/>
      <c r="EA710" s="15"/>
      <c r="EB710" s="15"/>
      <c r="EC710" s="16" t="s">
        <v>197</v>
      </c>
      <c r="ED710" s="17" t="s">
        <v>198</v>
      </c>
      <c r="EE710" s="18">
        <v>45719.45086805556</v>
      </c>
      <c r="EF710" s="13" t="s">
        <v>209</v>
      </c>
      <c r="EG710" s="14" t="s">
        <v>179</v>
      </c>
      <c r="EH710" s="14" t="s">
        <v>15410</v>
      </c>
      <c r="EI710" s="15"/>
      <c r="EJ710" s="15"/>
      <c r="EK710" s="15"/>
      <c r="EL710" s="15"/>
      <c r="EM710" s="15"/>
      <c r="EN710" s="15"/>
      <c r="EO710" s="15"/>
      <c r="EP710" s="15"/>
      <c r="EQ710" s="15"/>
      <c r="ER710" s="15"/>
      <c r="ES710" s="15"/>
      <c r="ET710" s="15"/>
      <c r="EU710" s="15"/>
      <c r="EV710" s="15"/>
      <c r="EW710" s="15"/>
      <c r="EX710" s="15"/>
      <c r="EY710" s="15"/>
      <c r="EZ710" s="15"/>
      <c r="FA710" s="15"/>
      <c r="FB710" s="15"/>
      <c r="FC710" s="16" t="s">
        <v>197</v>
      </c>
      <c r="FD710" s="17" t="s">
        <v>198</v>
      </c>
      <c r="FE710" s="18">
        <v>45722.3625</v>
      </c>
      <c r="FF710" s="19"/>
      <c r="FG710" s="19"/>
      <c r="FH710" s="21" t="s">
        <v>197</v>
      </c>
      <c r="FI710" s="17" t="s">
        <v>214</v>
      </c>
      <c r="FJ710" s="18">
        <v>45722.3625</v>
      </c>
      <c r="FK710" s="14" t="s">
        <v>15410</v>
      </c>
      <c r="FL710" s="14" t="s">
        <v>15411</v>
      </c>
      <c r="FM710" s="14" t="s">
        <v>15412</v>
      </c>
      <c r="FN710" s="19"/>
      <c r="FO710" s="19"/>
      <c r="FP710" s="19" t="str">
        <f t="shared" si="1"/>
        <v>Base de Dados_Images/TCV35008.Imagem do Equipamento-.135307.jpg</v>
      </c>
      <c r="FQ710" s="14"/>
      <c r="FR710" s="14"/>
    </row>
    <row r="711" ht="15.75" customHeight="1">
      <c r="A711" s="12" t="s">
        <v>234</v>
      </c>
      <c r="B711" s="12" t="s">
        <v>15413</v>
      </c>
      <c r="C711" s="12" t="s">
        <v>219</v>
      </c>
      <c r="D711" s="22" t="s">
        <v>15414</v>
      </c>
      <c r="E711" s="22" t="s">
        <v>15415</v>
      </c>
      <c r="F711" s="13" t="s">
        <v>178</v>
      </c>
      <c r="G711" s="14" t="s">
        <v>179</v>
      </c>
      <c r="H711" s="14" t="s">
        <v>15416</v>
      </c>
      <c r="I711" s="14" t="s">
        <v>179</v>
      </c>
      <c r="J711" s="14" t="s">
        <v>15417</v>
      </c>
      <c r="K711" s="14" t="s">
        <v>179</v>
      </c>
      <c r="L711" s="14" t="s">
        <v>15418</v>
      </c>
      <c r="M711" s="14" t="s">
        <v>179</v>
      </c>
      <c r="N711" s="14" t="s">
        <v>15419</v>
      </c>
      <c r="O711" s="14" t="s">
        <v>179</v>
      </c>
      <c r="P711" s="14" t="s">
        <v>15420</v>
      </c>
      <c r="Q711" s="14" t="s">
        <v>179</v>
      </c>
      <c r="R711" s="14" t="s">
        <v>15421</v>
      </c>
      <c r="S711" s="14" t="s">
        <v>179</v>
      </c>
      <c r="T711" s="14" t="s">
        <v>15422</v>
      </c>
      <c r="U711" s="14" t="s">
        <v>179</v>
      </c>
      <c r="V711" s="14" t="s">
        <v>15423</v>
      </c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6" t="s">
        <v>197</v>
      </c>
      <c r="BP711" s="17" t="s">
        <v>228</v>
      </c>
      <c r="BQ711" s="23"/>
      <c r="BR711" s="17" t="s">
        <v>198</v>
      </c>
      <c r="BS711" s="18">
        <v>45696.435162037036</v>
      </c>
      <c r="BT711" s="17" t="s">
        <v>198</v>
      </c>
      <c r="BU711" s="18">
        <v>45696.435162037036</v>
      </c>
      <c r="BV711" s="13" t="s">
        <v>199</v>
      </c>
      <c r="BW711" s="14" t="s">
        <v>179</v>
      </c>
      <c r="BX711" s="14" t="s">
        <v>15424</v>
      </c>
      <c r="BY711" s="14" t="s">
        <v>179</v>
      </c>
      <c r="BZ711" s="14" t="s">
        <v>15425</v>
      </c>
      <c r="CA711" s="15"/>
      <c r="CB711" s="15"/>
      <c r="CC711" s="15"/>
      <c r="CD711" s="15"/>
      <c r="CE711" s="15"/>
      <c r="CF711" s="15"/>
      <c r="CG711" s="19"/>
      <c r="CH711" s="15"/>
      <c r="CI711" s="19"/>
      <c r="CJ711" s="15"/>
      <c r="CK711" s="19"/>
      <c r="CL711" s="15"/>
      <c r="CM711" s="19"/>
      <c r="CN711" s="15"/>
      <c r="CO711" s="19"/>
      <c r="CP711" s="15"/>
      <c r="CQ711" s="15"/>
      <c r="CR711" s="15"/>
      <c r="CS711" s="19"/>
      <c r="CT711" s="15"/>
      <c r="CU711" s="19"/>
      <c r="CV711" s="15"/>
      <c r="CW711" s="19"/>
      <c r="CX711" s="15"/>
      <c r="CY711" s="19"/>
      <c r="CZ711" s="15"/>
      <c r="DA711" s="16" t="s">
        <v>197</v>
      </c>
      <c r="DB711" s="17" t="s">
        <v>228</v>
      </c>
      <c r="DC711" s="16"/>
      <c r="DD711" s="17" t="s">
        <v>198</v>
      </c>
      <c r="DE711" s="18">
        <v>45696.435219907406</v>
      </c>
      <c r="DF711" s="17" t="s">
        <v>198</v>
      </c>
      <c r="DG711" s="18">
        <v>45696.435219907406</v>
      </c>
      <c r="DH711" s="13" t="s">
        <v>205</v>
      </c>
      <c r="DI711" s="14" t="s">
        <v>179</v>
      </c>
      <c r="DJ711" s="14" t="s">
        <v>15426</v>
      </c>
      <c r="DK711" s="15"/>
      <c r="DL711" s="15"/>
      <c r="DM711" s="15"/>
      <c r="DN711" s="15"/>
      <c r="DO711" s="15"/>
      <c r="DP711" s="15"/>
      <c r="DQ711" s="15"/>
      <c r="DR711" s="15"/>
      <c r="DS711" s="15"/>
      <c r="DT711" s="15"/>
      <c r="DU711" s="15"/>
      <c r="DV711" s="15"/>
      <c r="DW711" s="15"/>
      <c r="DX711" s="15"/>
      <c r="DY711" s="15"/>
      <c r="DZ711" s="15"/>
      <c r="EA711" s="15"/>
      <c r="EB711" s="15"/>
      <c r="EC711" s="16" t="s">
        <v>197</v>
      </c>
      <c r="ED711" s="17" t="s">
        <v>198</v>
      </c>
      <c r="EE711" s="18">
        <v>45696.43530092593</v>
      </c>
      <c r="EF711" s="13" t="s">
        <v>209</v>
      </c>
      <c r="EG711" s="14" t="s">
        <v>179</v>
      </c>
      <c r="EH711" s="14" t="s">
        <v>15427</v>
      </c>
      <c r="EI711" s="15"/>
      <c r="EJ711" s="15"/>
      <c r="EK711" s="15"/>
      <c r="EL711" s="15"/>
      <c r="EM711" s="15"/>
      <c r="EN711" s="15"/>
      <c r="EO711" s="15"/>
      <c r="EP711" s="15"/>
      <c r="EQ711" s="15"/>
      <c r="ER711" s="15"/>
      <c r="ES711" s="15"/>
      <c r="ET711" s="15"/>
      <c r="EU711" s="15"/>
      <c r="EV711" s="15"/>
      <c r="EW711" s="15"/>
      <c r="EX711" s="15"/>
      <c r="EY711" s="15"/>
      <c r="EZ711" s="15"/>
      <c r="FA711" s="15"/>
      <c r="FB711" s="15"/>
      <c r="FC711" s="16" t="s">
        <v>197</v>
      </c>
      <c r="FD711" s="17" t="s">
        <v>198</v>
      </c>
      <c r="FE711" s="18">
        <v>45720.357523148145</v>
      </c>
      <c r="FF711" s="14" t="s">
        <v>15428</v>
      </c>
      <c r="FG711" s="19"/>
      <c r="FH711" s="17" t="s">
        <v>198</v>
      </c>
      <c r="FI711" s="17" t="s">
        <v>214</v>
      </c>
      <c r="FJ711" s="18">
        <v>45720.357523148145</v>
      </c>
      <c r="FK711" s="14" t="s">
        <v>15427</v>
      </c>
      <c r="FL711" s="14" t="s">
        <v>15429</v>
      </c>
      <c r="FM711" s="14" t="s">
        <v>15430</v>
      </c>
      <c r="FN711" s="19"/>
      <c r="FO711" s="19"/>
      <c r="FP711" s="19" t="str">
        <f t="shared" si="1"/>
        <v>Base de Dados_Images/TCV65011.Imagem do Equipamento-.170754.jpg</v>
      </c>
      <c r="FQ711" s="19"/>
      <c r="FR711" s="19"/>
    </row>
    <row r="712" ht="15.75" customHeight="1">
      <c r="A712" s="12" t="s">
        <v>234</v>
      </c>
      <c r="B712" s="12" t="s">
        <v>15431</v>
      </c>
      <c r="C712" s="12" t="s">
        <v>219</v>
      </c>
      <c r="D712" s="22" t="s">
        <v>15432</v>
      </c>
      <c r="E712" s="22" t="s">
        <v>15433</v>
      </c>
      <c r="F712" s="13" t="s">
        <v>178</v>
      </c>
      <c r="G712" s="14" t="s">
        <v>179</v>
      </c>
      <c r="H712" s="14" t="s">
        <v>15434</v>
      </c>
      <c r="I712" s="14" t="s">
        <v>179</v>
      </c>
      <c r="J712" s="14" t="s">
        <v>15435</v>
      </c>
      <c r="K712" s="14" t="s">
        <v>179</v>
      </c>
      <c r="L712" s="14" t="s">
        <v>15436</v>
      </c>
      <c r="M712" s="14" t="s">
        <v>179</v>
      </c>
      <c r="N712" s="14" t="s">
        <v>15437</v>
      </c>
      <c r="O712" s="14" t="s">
        <v>179</v>
      </c>
      <c r="P712" s="14" t="s">
        <v>15438</v>
      </c>
      <c r="Q712" s="14" t="s">
        <v>179</v>
      </c>
      <c r="R712" s="14" t="s">
        <v>15439</v>
      </c>
      <c r="S712" s="14" t="s">
        <v>179</v>
      </c>
      <c r="T712" s="14" t="s">
        <v>15440</v>
      </c>
      <c r="U712" s="14" t="s">
        <v>179</v>
      </c>
      <c r="V712" s="14" t="s">
        <v>15441</v>
      </c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6" t="s">
        <v>197</v>
      </c>
      <c r="BP712" s="17" t="s">
        <v>228</v>
      </c>
      <c r="BQ712" s="23"/>
      <c r="BR712" s="17" t="s">
        <v>198</v>
      </c>
      <c r="BS712" s="18">
        <v>45694.624236111114</v>
      </c>
      <c r="BT712" s="17" t="s">
        <v>198</v>
      </c>
      <c r="BU712" s="18">
        <v>45694.624236111114</v>
      </c>
      <c r="BV712" s="13" t="s">
        <v>199</v>
      </c>
      <c r="BW712" s="14" t="s">
        <v>179</v>
      </c>
      <c r="BX712" s="14" t="s">
        <v>15442</v>
      </c>
      <c r="BY712" s="14" t="s">
        <v>179</v>
      </c>
      <c r="BZ712" s="14" t="s">
        <v>15443</v>
      </c>
      <c r="CA712" s="15"/>
      <c r="CB712" s="15"/>
      <c r="CC712" s="15"/>
      <c r="CD712" s="15"/>
      <c r="CE712" s="15"/>
      <c r="CF712" s="15"/>
      <c r="CG712" s="19"/>
      <c r="CH712" s="15"/>
      <c r="CI712" s="19"/>
      <c r="CJ712" s="15"/>
      <c r="CK712" s="19"/>
      <c r="CL712" s="15"/>
      <c r="CM712" s="19"/>
      <c r="CN712" s="15"/>
      <c r="CO712" s="19"/>
      <c r="CP712" s="15"/>
      <c r="CQ712" s="15"/>
      <c r="CR712" s="15"/>
      <c r="CS712" s="19"/>
      <c r="CT712" s="15"/>
      <c r="CU712" s="19"/>
      <c r="CV712" s="15"/>
      <c r="CW712" s="19"/>
      <c r="CX712" s="15"/>
      <c r="CY712" s="19"/>
      <c r="CZ712" s="15"/>
      <c r="DA712" s="16" t="s">
        <v>197</v>
      </c>
      <c r="DB712" s="17" t="s">
        <v>228</v>
      </c>
      <c r="DC712" s="16"/>
      <c r="DD712" s="17" t="s">
        <v>198</v>
      </c>
      <c r="DE712" s="18">
        <v>45696.60456018519</v>
      </c>
      <c r="DF712" s="17" t="s">
        <v>198</v>
      </c>
      <c r="DG712" s="18">
        <v>45696.60456018519</v>
      </c>
      <c r="DH712" s="13" t="s">
        <v>205</v>
      </c>
      <c r="DI712" s="14" t="s">
        <v>179</v>
      </c>
      <c r="DJ712" s="14" t="s">
        <v>15444</v>
      </c>
      <c r="DK712" s="15"/>
      <c r="DL712" s="15"/>
      <c r="DM712" s="15"/>
      <c r="DN712" s="15"/>
      <c r="DO712" s="15"/>
      <c r="DP712" s="15"/>
      <c r="DQ712" s="15"/>
      <c r="DR712" s="15"/>
      <c r="DS712" s="15"/>
      <c r="DT712" s="15"/>
      <c r="DU712" s="15"/>
      <c r="DV712" s="15"/>
      <c r="DW712" s="15"/>
      <c r="DX712" s="15"/>
      <c r="DY712" s="15"/>
      <c r="DZ712" s="15"/>
      <c r="EA712" s="15"/>
      <c r="EB712" s="15"/>
      <c r="EC712" s="16" t="s">
        <v>197</v>
      </c>
      <c r="ED712" s="17" t="s">
        <v>198</v>
      </c>
      <c r="EE712" s="18">
        <v>45720.35724537037</v>
      </c>
      <c r="EF712" s="13" t="s">
        <v>209</v>
      </c>
      <c r="EG712" s="14" t="s">
        <v>179</v>
      </c>
      <c r="EH712" s="14" t="s">
        <v>15445</v>
      </c>
      <c r="EI712" s="15"/>
      <c r="EJ712" s="15"/>
      <c r="EK712" s="15"/>
      <c r="EL712" s="15"/>
      <c r="EM712" s="15"/>
      <c r="EN712" s="15"/>
      <c r="EO712" s="15"/>
      <c r="EP712" s="15"/>
      <c r="EQ712" s="15"/>
      <c r="ER712" s="15"/>
      <c r="ES712" s="15"/>
      <c r="ET712" s="15"/>
      <c r="EU712" s="15"/>
      <c r="EV712" s="15"/>
      <c r="EW712" s="15"/>
      <c r="EX712" s="15"/>
      <c r="EY712" s="15"/>
      <c r="EZ712" s="15"/>
      <c r="FA712" s="15"/>
      <c r="FB712" s="15"/>
      <c r="FC712" s="16" t="s">
        <v>197</v>
      </c>
      <c r="FD712" s="17" t="s">
        <v>198</v>
      </c>
      <c r="FE712" s="18">
        <v>45720.35728009259</v>
      </c>
      <c r="FF712" s="19"/>
      <c r="FG712" s="19"/>
      <c r="FH712" s="21" t="s">
        <v>197</v>
      </c>
      <c r="FI712" s="17" t="s">
        <v>214</v>
      </c>
      <c r="FJ712" s="18">
        <v>45720.35728009259</v>
      </c>
      <c r="FK712" s="14" t="s">
        <v>15445</v>
      </c>
      <c r="FL712" s="14" t="s">
        <v>15446</v>
      </c>
      <c r="FM712" s="14" t="s">
        <v>15447</v>
      </c>
      <c r="FN712" s="19"/>
      <c r="FO712" s="19"/>
      <c r="FP712" s="19" t="str">
        <f t="shared" si="1"/>
        <v>Base de Dados_Images/TCV65012.Imagem do Equipamento-.170408.jpg</v>
      </c>
      <c r="FQ712" s="19"/>
      <c r="FR712" s="19"/>
    </row>
    <row r="713" ht="15.75" customHeight="1">
      <c r="A713" s="12" t="s">
        <v>234</v>
      </c>
      <c r="B713" s="12" t="s">
        <v>2706</v>
      </c>
      <c r="C713" s="12" t="s">
        <v>219</v>
      </c>
      <c r="D713" s="22" t="s">
        <v>15448</v>
      </c>
      <c r="E713" s="22" t="s">
        <v>15449</v>
      </c>
      <c r="F713" s="13" t="s">
        <v>178</v>
      </c>
      <c r="G713" s="14" t="s">
        <v>179</v>
      </c>
      <c r="H713" s="14" t="s">
        <v>15450</v>
      </c>
      <c r="I713" s="14" t="s">
        <v>179</v>
      </c>
      <c r="J713" s="14" t="s">
        <v>15451</v>
      </c>
      <c r="K713" s="14" t="s">
        <v>179</v>
      </c>
      <c r="L713" s="14" t="s">
        <v>15452</v>
      </c>
      <c r="M713" s="14" t="s">
        <v>179</v>
      </c>
      <c r="N713" s="14" t="s">
        <v>15453</v>
      </c>
      <c r="O713" s="14" t="s">
        <v>179</v>
      </c>
      <c r="P713" s="14" t="s">
        <v>15454</v>
      </c>
      <c r="Q713" s="14" t="s">
        <v>179</v>
      </c>
      <c r="R713" s="14" t="s">
        <v>15455</v>
      </c>
      <c r="S713" s="14" t="s">
        <v>179</v>
      </c>
      <c r="T713" s="14" t="s">
        <v>15455</v>
      </c>
      <c r="U713" s="14" t="s">
        <v>179</v>
      </c>
      <c r="V713" s="14" t="s">
        <v>15456</v>
      </c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6" t="s">
        <v>197</v>
      </c>
      <c r="BP713" s="17" t="s">
        <v>228</v>
      </c>
      <c r="BQ713" s="23"/>
      <c r="BR713" s="17" t="s">
        <v>198</v>
      </c>
      <c r="BS713" s="18">
        <v>45685.768159722225</v>
      </c>
      <c r="BT713" s="17" t="s">
        <v>198</v>
      </c>
      <c r="BU713" s="18">
        <v>45685.768159722225</v>
      </c>
      <c r="BV713" s="13" t="s">
        <v>199</v>
      </c>
      <c r="BW713" s="14" t="s">
        <v>179</v>
      </c>
      <c r="BX713" s="14" t="s">
        <v>15457</v>
      </c>
      <c r="BY713" s="14" t="s">
        <v>179</v>
      </c>
      <c r="BZ713" s="14" t="s">
        <v>15458</v>
      </c>
      <c r="CA713" s="15"/>
      <c r="CB713" s="15"/>
      <c r="CC713" s="15"/>
      <c r="CD713" s="15"/>
      <c r="CE713" s="15"/>
      <c r="CF713" s="15"/>
      <c r="CG713" s="19"/>
      <c r="CH713" s="15"/>
      <c r="CI713" s="19"/>
      <c r="CJ713" s="15"/>
      <c r="CK713" s="19"/>
      <c r="CL713" s="15"/>
      <c r="CM713" s="19"/>
      <c r="CN713" s="15"/>
      <c r="CO713" s="19"/>
      <c r="CP713" s="15"/>
      <c r="CQ713" s="15"/>
      <c r="CR713" s="15"/>
      <c r="CS713" s="19"/>
      <c r="CT713" s="15"/>
      <c r="CU713" s="19"/>
      <c r="CV713" s="15"/>
      <c r="CW713" s="19"/>
      <c r="CX713" s="15"/>
      <c r="CY713" s="19"/>
      <c r="CZ713" s="15"/>
      <c r="DA713" s="16" t="s">
        <v>197</v>
      </c>
      <c r="DB713" s="17" t="s">
        <v>228</v>
      </c>
      <c r="DC713" s="16"/>
      <c r="DD713" s="17" t="s">
        <v>198</v>
      </c>
      <c r="DE713" s="18">
        <v>45696.39283564815</v>
      </c>
      <c r="DF713" s="17" t="s">
        <v>198</v>
      </c>
      <c r="DG713" s="18">
        <v>45696.39283564815</v>
      </c>
      <c r="DH713" s="13" t="s">
        <v>205</v>
      </c>
      <c r="DI713" s="14" t="s">
        <v>179</v>
      </c>
      <c r="DJ713" s="14" t="s">
        <v>15459</v>
      </c>
      <c r="DK713" s="15"/>
      <c r="DL713" s="15"/>
      <c r="DM713" s="15"/>
      <c r="DN713" s="15"/>
      <c r="DO713" s="15"/>
      <c r="DP713" s="15"/>
      <c r="DQ713" s="15"/>
      <c r="DR713" s="15"/>
      <c r="DS713" s="15"/>
      <c r="DT713" s="15"/>
      <c r="DU713" s="15"/>
      <c r="DV713" s="15"/>
      <c r="DW713" s="15"/>
      <c r="DX713" s="15"/>
      <c r="DY713" s="15"/>
      <c r="DZ713" s="15"/>
      <c r="EA713" s="15"/>
      <c r="EB713" s="15"/>
      <c r="EC713" s="16" t="s">
        <v>197</v>
      </c>
      <c r="ED713" s="17" t="s">
        <v>198</v>
      </c>
      <c r="EE713" s="18">
        <v>45696.39299768519</v>
      </c>
      <c r="EF713" s="13" t="s">
        <v>209</v>
      </c>
      <c r="EG713" s="14" t="s">
        <v>179</v>
      </c>
      <c r="EH713" s="14" t="s">
        <v>15460</v>
      </c>
      <c r="EI713" s="15"/>
      <c r="EJ713" s="15"/>
      <c r="EK713" s="15"/>
      <c r="EL713" s="15"/>
      <c r="EM713" s="15"/>
      <c r="EN713" s="15"/>
      <c r="EO713" s="15"/>
      <c r="EP713" s="15"/>
      <c r="EQ713" s="15"/>
      <c r="ER713" s="15"/>
      <c r="ES713" s="15"/>
      <c r="ET713" s="15"/>
      <c r="EU713" s="15"/>
      <c r="EV713" s="15"/>
      <c r="EW713" s="15"/>
      <c r="EX713" s="15"/>
      <c r="EY713" s="15"/>
      <c r="EZ713" s="15"/>
      <c r="FA713" s="15"/>
      <c r="FB713" s="15"/>
      <c r="FC713" s="16" t="s">
        <v>197</v>
      </c>
      <c r="FD713" s="17" t="s">
        <v>198</v>
      </c>
      <c r="FE713" s="18">
        <v>45720.33113425926</v>
      </c>
      <c r="FF713" s="19"/>
      <c r="FG713" s="19"/>
      <c r="FH713" s="21" t="s">
        <v>197</v>
      </c>
      <c r="FI713" s="17" t="s">
        <v>214</v>
      </c>
      <c r="FJ713" s="18">
        <v>45720.33113425926</v>
      </c>
      <c r="FK713" s="14" t="s">
        <v>15460</v>
      </c>
      <c r="FL713" s="14" t="s">
        <v>15461</v>
      </c>
      <c r="FM713" s="14" t="s">
        <v>15462</v>
      </c>
      <c r="FN713" s="19"/>
      <c r="FO713" s="19"/>
      <c r="FP713" s="19" t="str">
        <f t="shared" si="1"/>
        <v>Base de Dados_Images/TCV65017.Imagem do Equipamento-.213750.jpg</v>
      </c>
      <c r="FQ713" s="19"/>
      <c r="FR713" s="19"/>
    </row>
    <row r="714" ht="15.75" customHeight="1">
      <c r="A714" s="12" t="s">
        <v>234</v>
      </c>
      <c r="B714" s="12" t="s">
        <v>2743</v>
      </c>
      <c r="C714" s="12" t="s">
        <v>219</v>
      </c>
      <c r="D714" s="22" t="s">
        <v>15463</v>
      </c>
      <c r="E714" s="22" t="s">
        <v>15464</v>
      </c>
      <c r="F714" s="13" t="s">
        <v>178</v>
      </c>
      <c r="G714" s="14" t="s">
        <v>179</v>
      </c>
      <c r="H714" s="14" t="s">
        <v>15465</v>
      </c>
      <c r="I714" s="14" t="s">
        <v>179</v>
      </c>
      <c r="J714" s="14" t="s">
        <v>15466</v>
      </c>
      <c r="K714" s="14" t="s">
        <v>179</v>
      </c>
      <c r="L714" s="14" t="s">
        <v>15467</v>
      </c>
      <c r="M714" s="14" t="s">
        <v>179</v>
      </c>
      <c r="N714" s="14" t="s">
        <v>15468</v>
      </c>
      <c r="O714" s="14" t="s">
        <v>179</v>
      </c>
      <c r="P714" s="14" t="s">
        <v>15469</v>
      </c>
      <c r="Q714" s="14" t="s">
        <v>179</v>
      </c>
      <c r="R714" s="14" t="s">
        <v>15470</v>
      </c>
      <c r="S714" s="14" t="s">
        <v>179</v>
      </c>
      <c r="T714" s="14" t="s">
        <v>15471</v>
      </c>
      <c r="U714" s="14" t="s">
        <v>179</v>
      </c>
      <c r="V714" s="14" t="s">
        <v>15472</v>
      </c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6" t="s">
        <v>197</v>
      </c>
      <c r="BP714" s="17" t="s">
        <v>228</v>
      </c>
      <c r="BQ714" s="23"/>
      <c r="BR714" s="17" t="s">
        <v>198</v>
      </c>
      <c r="BS714" s="18">
        <v>45678.32710648148</v>
      </c>
      <c r="BT714" s="17" t="s">
        <v>198</v>
      </c>
      <c r="BU714" s="18">
        <v>45678.32710648148</v>
      </c>
      <c r="BV714" s="13" t="s">
        <v>199</v>
      </c>
      <c r="BW714" s="14" t="s">
        <v>179</v>
      </c>
      <c r="BX714" s="14" t="s">
        <v>15473</v>
      </c>
      <c r="BY714" s="14" t="s">
        <v>179</v>
      </c>
      <c r="BZ714" s="14" t="s">
        <v>15473</v>
      </c>
      <c r="CA714" s="15"/>
      <c r="CB714" s="15"/>
      <c r="CC714" s="15"/>
      <c r="CD714" s="15"/>
      <c r="CE714" s="15"/>
      <c r="CF714" s="15"/>
      <c r="CG714" s="19"/>
      <c r="CH714" s="15"/>
      <c r="CI714" s="19"/>
      <c r="CJ714" s="15"/>
      <c r="CK714" s="19"/>
      <c r="CL714" s="15"/>
      <c r="CM714" s="19"/>
      <c r="CN714" s="15"/>
      <c r="CO714" s="19"/>
      <c r="CP714" s="15"/>
      <c r="CQ714" s="15"/>
      <c r="CR714" s="15"/>
      <c r="CS714" s="19"/>
      <c r="CT714" s="15"/>
      <c r="CU714" s="19"/>
      <c r="CV714" s="15"/>
      <c r="CW714" s="19"/>
      <c r="CX714" s="15"/>
      <c r="CY714" s="19"/>
      <c r="CZ714" s="15"/>
      <c r="DA714" s="16" t="s">
        <v>197</v>
      </c>
      <c r="DB714" s="17" t="s">
        <v>228</v>
      </c>
      <c r="DC714" s="16"/>
      <c r="DD714" s="17" t="s">
        <v>198</v>
      </c>
      <c r="DE714" s="18">
        <v>45696.398356481484</v>
      </c>
      <c r="DF714" s="17" t="s">
        <v>198</v>
      </c>
      <c r="DG714" s="18">
        <v>45696.398356481484</v>
      </c>
      <c r="DH714" s="13" t="s">
        <v>205</v>
      </c>
      <c r="DI714" s="14" t="s">
        <v>179</v>
      </c>
      <c r="DJ714" s="14" t="s">
        <v>15474</v>
      </c>
      <c r="DK714" s="15"/>
      <c r="DL714" s="15"/>
      <c r="DM714" s="15"/>
      <c r="DN714" s="15"/>
      <c r="DO714" s="15"/>
      <c r="DP714" s="15"/>
      <c r="DQ714" s="15"/>
      <c r="DR714" s="15"/>
      <c r="DS714" s="15"/>
      <c r="DT714" s="15"/>
      <c r="DU714" s="15"/>
      <c r="DV714" s="15"/>
      <c r="DW714" s="15"/>
      <c r="DX714" s="15"/>
      <c r="DY714" s="15"/>
      <c r="DZ714" s="15"/>
      <c r="EA714" s="15"/>
      <c r="EB714" s="15"/>
      <c r="EC714" s="16" t="s">
        <v>197</v>
      </c>
      <c r="ED714" s="17" t="s">
        <v>198</v>
      </c>
      <c r="EE714" s="18">
        <v>45696.39840277778</v>
      </c>
      <c r="EF714" s="13" t="s">
        <v>209</v>
      </c>
      <c r="EG714" s="14" t="s">
        <v>179</v>
      </c>
      <c r="EH714" s="14" t="s">
        <v>15475</v>
      </c>
      <c r="EI714" s="15"/>
      <c r="EJ714" s="15"/>
      <c r="EK714" s="15"/>
      <c r="EL714" s="15"/>
      <c r="EM714" s="15"/>
      <c r="EN714" s="15"/>
      <c r="EO714" s="15"/>
      <c r="EP714" s="15"/>
      <c r="EQ714" s="15"/>
      <c r="ER714" s="15"/>
      <c r="ES714" s="15"/>
      <c r="ET714" s="15"/>
      <c r="EU714" s="15"/>
      <c r="EV714" s="15"/>
      <c r="EW714" s="15"/>
      <c r="EX714" s="15"/>
      <c r="EY714" s="15"/>
      <c r="EZ714" s="15"/>
      <c r="FA714" s="15"/>
      <c r="FB714" s="15"/>
      <c r="FC714" s="16" t="s">
        <v>197</v>
      </c>
      <c r="FD714" s="17" t="s">
        <v>198</v>
      </c>
      <c r="FE714" s="18">
        <v>45720.34276620371</v>
      </c>
      <c r="FF714" s="19"/>
      <c r="FG714" s="19"/>
      <c r="FH714" s="21" t="s">
        <v>197</v>
      </c>
      <c r="FI714" s="17" t="s">
        <v>214</v>
      </c>
      <c r="FJ714" s="18">
        <v>45720.34276620371</v>
      </c>
      <c r="FK714" s="14" t="s">
        <v>15475</v>
      </c>
      <c r="FL714" s="14" t="s">
        <v>15476</v>
      </c>
      <c r="FM714" s="14" t="s">
        <v>15477</v>
      </c>
      <c r="FN714" s="19"/>
      <c r="FO714" s="19"/>
      <c r="FP714" s="19" t="str">
        <f t="shared" si="1"/>
        <v>Base de Dados_Images/TCV65018.Imagem do Equipamento-.133428.jpg</v>
      </c>
      <c r="FQ714" s="19"/>
      <c r="FR714" s="19"/>
    </row>
    <row r="715" ht="15.75" customHeight="1">
      <c r="A715" s="12" t="s">
        <v>234</v>
      </c>
      <c r="B715" s="12" t="s">
        <v>2779</v>
      </c>
      <c r="C715" s="12" t="s">
        <v>219</v>
      </c>
      <c r="D715" s="22" t="s">
        <v>15478</v>
      </c>
      <c r="E715" s="22" t="s">
        <v>15479</v>
      </c>
      <c r="F715" s="13" t="s">
        <v>178</v>
      </c>
      <c r="G715" s="14" t="s">
        <v>179</v>
      </c>
      <c r="H715" s="14" t="s">
        <v>15480</v>
      </c>
      <c r="I715" s="14" t="s">
        <v>179</v>
      </c>
      <c r="J715" s="14" t="s">
        <v>15480</v>
      </c>
      <c r="K715" s="14" t="s">
        <v>179</v>
      </c>
      <c r="L715" s="14" t="s">
        <v>15481</v>
      </c>
      <c r="M715" s="14" t="s">
        <v>179</v>
      </c>
      <c r="N715" s="14" t="s">
        <v>15482</v>
      </c>
      <c r="O715" s="14" t="s">
        <v>179</v>
      </c>
      <c r="P715" s="14" t="s">
        <v>15483</v>
      </c>
      <c r="Q715" s="14" t="s">
        <v>179</v>
      </c>
      <c r="R715" s="14" t="s">
        <v>15484</v>
      </c>
      <c r="S715" s="14" t="s">
        <v>179</v>
      </c>
      <c r="T715" s="14" t="s">
        <v>15485</v>
      </c>
      <c r="U715" s="14" t="s">
        <v>179</v>
      </c>
      <c r="V715" s="14" t="s">
        <v>15486</v>
      </c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6" t="s">
        <v>197</v>
      </c>
      <c r="BP715" s="17" t="s">
        <v>228</v>
      </c>
      <c r="BQ715" s="23"/>
      <c r="BR715" s="17" t="s">
        <v>198</v>
      </c>
      <c r="BS715" s="18">
        <v>45678.33896990741</v>
      </c>
      <c r="BT715" s="17" t="s">
        <v>198</v>
      </c>
      <c r="BU715" s="18">
        <v>45678.33896990741</v>
      </c>
      <c r="BV715" s="13" t="s">
        <v>199</v>
      </c>
      <c r="BW715" s="14" t="s">
        <v>179</v>
      </c>
      <c r="BX715" s="14" t="s">
        <v>15487</v>
      </c>
      <c r="BY715" s="14" t="s">
        <v>179</v>
      </c>
      <c r="BZ715" s="14" t="s">
        <v>15488</v>
      </c>
      <c r="CA715" s="15"/>
      <c r="CB715" s="15"/>
      <c r="CC715" s="15"/>
      <c r="CD715" s="15"/>
      <c r="CE715" s="15"/>
      <c r="CF715" s="15"/>
      <c r="CG715" s="19"/>
      <c r="CH715" s="15"/>
      <c r="CI715" s="19"/>
      <c r="CJ715" s="15"/>
      <c r="CK715" s="19"/>
      <c r="CL715" s="15"/>
      <c r="CM715" s="19"/>
      <c r="CN715" s="15"/>
      <c r="CO715" s="19"/>
      <c r="CP715" s="15"/>
      <c r="CQ715" s="15"/>
      <c r="CR715" s="15"/>
      <c r="CS715" s="19"/>
      <c r="CT715" s="15"/>
      <c r="CU715" s="19"/>
      <c r="CV715" s="15"/>
      <c r="CW715" s="19"/>
      <c r="CX715" s="15"/>
      <c r="CY715" s="19"/>
      <c r="CZ715" s="15"/>
      <c r="DA715" s="16" t="s">
        <v>197</v>
      </c>
      <c r="DB715" s="17" t="s">
        <v>228</v>
      </c>
      <c r="DC715" s="16"/>
      <c r="DD715" s="17" t="s">
        <v>198</v>
      </c>
      <c r="DE715" s="18">
        <v>45696.4031712963</v>
      </c>
      <c r="DF715" s="17" t="s">
        <v>198</v>
      </c>
      <c r="DG715" s="18">
        <v>45696.4031712963</v>
      </c>
      <c r="DH715" s="13" t="s">
        <v>205</v>
      </c>
      <c r="DI715" s="14" t="s">
        <v>179</v>
      </c>
      <c r="DJ715" s="14" t="s">
        <v>15489</v>
      </c>
      <c r="DK715" s="15"/>
      <c r="DL715" s="15"/>
      <c r="DM715" s="15"/>
      <c r="DN715" s="15"/>
      <c r="DO715" s="15"/>
      <c r="DP715" s="15"/>
      <c r="DQ715" s="15"/>
      <c r="DR715" s="15"/>
      <c r="DS715" s="15"/>
      <c r="DT715" s="15"/>
      <c r="DU715" s="15"/>
      <c r="DV715" s="15"/>
      <c r="DW715" s="15"/>
      <c r="DX715" s="15"/>
      <c r="DY715" s="15"/>
      <c r="DZ715" s="15"/>
      <c r="EA715" s="15"/>
      <c r="EB715" s="15"/>
      <c r="EC715" s="16" t="s">
        <v>197</v>
      </c>
      <c r="ED715" s="17" t="s">
        <v>198</v>
      </c>
      <c r="EE715" s="18">
        <v>45703.49296296296</v>
      </c>
      <c r="EF715" s="13" t="s">
        <v>209</v>
      </c>
      <c r="EG715" s="14" t="s">
        <v>179</v>
      </c>
      <c r="EH715" s="14" t="s">
        <v>15490</v>
      </c>
      <c r="EI715" s="15"/>
      <c r="EJ715" s="15"/>
      <c r="EK715" s="15"/>
      <c r="EL715" s="15"/>
      <c r="EM715" s="15"/>
      <c r="EN715" s="15"/>
      <c r="EO715" s="15"/>
      <c r="EP715" s="15"/>
      <c r="EQ715" s="15"/>
      <c r="ER715" s="15"/>
      <c r="ES715" s="15"/>
      <c r="ET715" s="15"/>
      <c r="EU715" s="15"/>
      <c r="EV715" s="15"/>
      <c r="EW715" s="15"/>
      <c r="EX715" s="15"/>
      <c r="EY715" s="15"/>
      <c r="EZ715" s="15"/>
      <c r="FA715" s="15"/>
      <c r="FB715" s="15"/>
      <c r="FC715" s="16" t="s">
        <v>197</v>
      </c>
      <c r="FD715" s="17" t="s">
        <v>198</v>
      </c>
      <c r="FE715" s="18">
        <v>45720.34100694444</v>
      </c>
      <c r="FF715" s="19"/>
      <c r="FG715" s="19"/>
      <c r="FH715" s="21" t="s">
        <v>197</v>
      </c>
      <c r="FI715" s="17" t="s">
        <v>214</v>
      </c>
      <c r="FJ715" s="18">
        <v>45720.34100694444</v>
      </c>
      <c r="FK715" s="14" t="s">
        <v>15490</v>
      </c>
      <c r="FL715" s="14" t="s">
        <v>15491</v>
      </c>
      <c r="FM715" s="14" t="s">
        <v>15492</v>
      </c>
      <c r="FN715" s="19"/>
      <c r="FO715" s="19"/>
      <c r="FP715" s="19" t="str">
        <f t="shared" si="1"/>
        <v>Base de Dados_Images/TCV65019.Imagem do Equipamento-.135045.jpg</v>
      </c>
      <c r="FQ715" s="19"/>
      <c r="FR715" s="19"/>
    </row>
    <row r="716" ht="15.75" customHeight="1">
      <c r="A716" s="12" t="s">
        <v>234</v>
      </c>
      <c r="B716" s="12" t="s">
        <v>2816</v>
      </c>
      <c r="C716" s="12" t="s">
        <v>219</v>
      </c>
      <c r="D716" s="22" t="s">
        <v>15493</v>
      </c>
      <c r="E716" s="22" t="s">
        <v>15494</v>
      </c>
      <c r="F716" s="13" t="s">
        <v>178</v>
      </c>
      <c r="G716" s="14" t="s">
        <v>179</v>
      </c>
      <c r="H716" s="14" t="s">
        <v>15495</v>
      </c>
      <c r="I716" s="14" t="s">
        <v>179</v>
      </c>
      <c r="J716" s="14" t="s">
        <v>15495</v>
      </c>
      <c r="K716" s="14" t="s">
        <v>179</v>
      </c>
      <c r="L716" s="14" t="s">
        <v>15496</v>
      </c>
      <c r="M716" s="14" t="s">
        <v>179</v>
      </c>
      <c r="N716" s="14" t="s">
        <v>15497</v>
      </c>
      <c r="O716" s="14" t="s">
        <v>179</v>
      </c>
      <c r="P716" s="14" t="s">
        <v>15498</v>
      </c>
      <c r="Q716" s="14" t="s">
        <v>179</v>
      </c>
      <c r="R716" s="14" t="s">
        <v>15498</v>
      </c>
      <c r="S716" s="14" t="s">
        <v>179</v>
      </c>
      <c r="T716" s="14" t="s">
        <v>15499</v>
      </c>
      <c r="U716" s="14" t="s">
        <v>179</v>
      </c>
      <c r="V716" s="14" t="s">
        <v>15500</v>
      </c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6" t="s">
        <v>197</v>
      </c>
      <c r="BP716" s="17" t="s">
        <v>228</v>
      </c>
      <c r="BQ716" s="23"/>
      <c r="BR716" s="17" t="s">
        <v>198</v>
      </c>
      <c r="BS716" s="18">
        <v>45678.341215277775</v>
      </c>
      <c r="BT716" s="17" t="s">
        <v>198</v>
      </c>
      <c r="BU716" s="18">
        <v>45678.341215277775</v>
      </c>
      <c r="BV716" s="13" t="s">
        <v>199</v>
      </c>
      <c r="BW716" s="14" t="s">
        <v>179</v>
      </c>
      <c r="BX716" s="14" t="s">
        <v>15501</v>
      </c>
      <c r="BY716" s="14" t="s">
        <v>179</v>
      </c>
      <c r="BZ716" s="14" t="s">
        <v>15501</v>
      </c>
      <c r="CA716" s="15"/>
      <c r="CB716" s="15"/>
      <c r="CC716" s="15"/>
      <c r="CD716" s="15"/>
      <c r="CE716" s="15"/>
      <c r="CF716" s="15"/>
      <c r="CG716" s="19"/>
      <c r="CH716" s="15"/>
      <c r="CI716" s="19"/>
      <c r="CJ716" s="15"/>
      <c r="CK716" s="19"/>
      <c r="CL716" s="15"/>
      <c r="CM716" s="19"/>
      <c r="CN716" s="15"/>
      <c r="CO716" s="19"/>
      <c r="CP716" s="15"/>
      <c r="CQ716" s="15"/>
      <c r="CR716" s="15"/>
      <c r="CS716" s="19"/>
      <c r="CT716" s="15"/>
      <c r="CU716" s="19"/>
      <c r="CV716" s="15"/>
      <c r="CW716" s="19"/>
      <c r="CX716" s="15"/>
      <c r="CY716" s="19"/>
      <c r="CZ716" s="15"/>
      <c r="DA716" s="16" t="s">
        <v>197</v>
      </c>
      <c r="DB716" s="17" t="s">
        <v>228</v>
      </c>
      <c r="DC716" s="16"/>
      <c r="DD716" s="17" t="s">
        <v>198</v>
      </c>
      <c r="DE716" s="18">
        <v>45696.41034722222</v>
      </c>
      <c r="DF716" s="17" t="s">
        <v>198</v>
      </c>
      <c r="DG716" s="18">
        <v>45696.41034722222</v>
      </c>
      <c r="DH716" s="13" t="s">
        <v>205</v>
      </c>
      <c r="DI716" s="14" t="s">
        <v>179</v>
      </c>
      <c r="DJ716" s="14" t="s">
        <v>15502</v>
      </c>
      <c r="DK716" s="15"/>
      <c r="DL716" s="15"/>
      <c r="DM716" s="15"/>
      <c r="DN716" s="15"/>
      <c r="DO716" s="15"/>
      <c r="DP716" s="15"/>
      <c r="DQ716" s="15"/>
      <c r="DR716" s="15"/>
      <c r="DS716" s="15"/>
      <c r="DT716" s="15"/>
      <c r="DU716" s="15"/>
      <c r="DV716" s="15"/>
      <c r="DW716" s="15"/>
      <c r="DX716" s="15"/>
      <c r="DY716" s="15"/>
      <c r="DZ716" s="15"/>
      <c r="EA716" s="15"/>
      <c r="EB716" s="15"/>
      <c r="EC716" s="16" t="s">
        <v>197</v>
      </c>
      <c r="ED716" s="17" t="s">
        <v>198</v>
      </c>
      <c r="EE716" s="18">
        <v>45713.417650462965</v>
      </c>
      <c r="EF716" s="13" t="s">
        <v>209</v>
      </c>
      <c r="EG716" s="14" t="s">
        <v>179</v>
      </c>
      <c r="EH716" s="14" t="s">
        <v>15503</v>
      </c>
      <c r="EI716" s="15"/>
      <c r="EJ716" s="15"/>
      <c r="EK716" s="15"/>
      <c r="EL716" s="15"/>
      <c r="EM716" s="15"/>
      <c r="EN716" s="15"/>
      <c r="EO716" s="15"/>
      <c r="EP716" s="15"/>
      <c r="EQ716" s="15"/>
      <c r="ER716" s="15"/>
      <c r="ES716" s="15"/>
      <c r="ET716" s="15"/>
      <c r="EU716" s="15"/>
      <c r="EV716" s="15"/>
      <c r="EW716" s="15"/>
      <c r="EX716" s="15"/>
      <c r="EY716" s="15"/>
      <c r="EZ716" s="15"/>
      <c r="FA716" s="15"/>
      <c r="FB716" s="15"/>
      <c r="FC716" s="16" t="s">
        <v>197</v>
      </c>
      <c r="FD716" s="17" t="s">
        <v>198</v>
      </c>
      <c r="FE716" s="18">
        <v>45720.34449074074</v>
      </c>
      <c r="FF716" s="19"/>
      <c r="FG716" s="19"/>
      <c r="FH716" s="21" t="s">
        <v>197</v>
      </c>
      <c r="FI716" s="17" t="s">
        <v>214</v>
      </c>
      <c r="FJ716" s="18">
        <v>45720.34449074074</v>
      </c>
      <c r="FK716" s="14" t="s">
        <v>15503</v>
      </c>
      <c r="FL716" s="14" t="s">
        <v>15504</v>
      </c>
      <c r="FM716" s="14" t="s">
        <v>15505</v>
      </c>
      <c r="FN716" s="19"/>
      <c r="FO716" s="19"/>
      <c r="FP716" s="19" t="str">
        <f t="shared" si="1"/>
        <v>Base de Dados_Images/TCV65020.Imagem do Equipamento-.140216.jpg</v>
      </c>
      <c r="FQ716" s="19"/>
      <c r="FR716" s="19"/>
    </row>
    <row r="717" ht="15.75" customHeight="1">
      <c r="A717" s="12" t="s">
        <v>234</v>
      </c>
      <c r="B717" s="12" t="s">
        <v>2850</v>
      </c>
      <c r="C717" s="12" t="s">
        <v>219</v>
      </c>
      <c r="D717" s="22" t="s">
        <v>15506</v>
      </c>
      <c r="E717" s="22" t="s">
        <v>15507</v>
      </c>
      <c r="F717" s="13" t="s">
        <v>178</v>
      </c>
      <c r="G717" s="14" t="s">
        <v>179</v>
      </c>
      <c r="H717" s="14" t="s">
        <v>15508</v>
      </c>
      <c r="I717" s="14" t="s">
        <v>179</v>
      </c>
      <c r="J717" s="14" t="s">
        <v>15509</v>
      </c>
      <c r="K717" s="14" t="s">
        <v>179</v>
      </c>
      <c r="L717" s="14" t="s">
        <v>15510</v>
      </c>
      <c r="M717" s="14" t="s">
        <v>179</v>
      </c>
      <c r="N717" s="14" t="s">
        <v>15511</v>
      </c>
      <c r="O717" s="14" t="s">
        <v>179</v>
      </c>
      <c r="P717" s="14" t="s">
        <v>15512</v>
      </c>
      <c r="Q717" s="14" t="s">
        <v>179</v>
      </c>
      <c r="R717" s="14" t="s">
        <v>15513</v>
      </c>
      <c r="S717" s="14" t="s">
        <v>179</v>
      </c>
      <c r="T717" s="14" t="s">
        <v>15514</v>
      </c>
      <c r="U717" s="14" t="s">
        <v>179</v>
      </c>
      <c r="V717" s="14" t="s">
        <v>15514</v>
      </c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6" t="s">
        <v>197</v>
      </c>
      <c r="BP717" s="17" t="s">
        <v>228</v>
      </c>
      <c r="BQ717" s="23"/>
      <c r="BR717" s="17" t="s">
        <v>198</v>
      </c>
      <c r="BS717" s="18">
        <v>45678.342835648145</v>
      </c>
      <c r="BT717" s="17" t="s">
        <v>198</v>
      </c>
      <c r="BU717" s="18">
        <v>45678.342835648145</v>
      </c>
      <c r="BV717" s="13" t="s">
        <v>199</v>
      </c>
      <c r="BW717" s="14" t="s">
        <v>179</v>
      </c>
      <c r="BX717" s="14" t="s">
        <v>15515</v>
      </c>
      <c r="BY717" s="14" t="s">
        <v>179</v>
      </c>
      <c r="BZ717" s="14" t="s">
        <v>15516</v>
      </c>
      <c r="CA717" s="15"/>
      <c r="CB717" s="15"/>
      <c r="CC717" s="15"/>
      <c r="CD717" s="15"/>
      <c r="CE717" s="15"/>
      <c r="CF717" s="15"/>
      <c r="CG717" s="19"/>
      <c r="CH717" s="15"/>
      <c r="CI717" s="19"/>
      <c r="CJ717" s="15"/>
      <c r="CK717" s="19"/>
      <c r="CL717" s="15"/>
      <c r="CM717" s="19"/>
      <c r="CN717" s="15"/>
      <c r="CO717" s="19"/>
      <c r="CP717" s="15"/>
      <c r="CQ717" s="15"/>
      <c r="CR717" s="15"/>
      <c r="CS717" s="19"/>
      <c r="CT717" s="15"/>
      <c r="CU717" s="19"/>
      <c r="CV717" s="15"/>
      <c r="CW717" s="19"/>
      <c r="CX717" s="15"/>
      <c r="CY717" s="19"/>
      <c r="CZ717" s="15"/>
      <c r="DA717" s="16" t="s">
        <v>197</v>
      </c>
      <c r="DB717" s="17" t="s">
        <v>228</v>
      </c>
      <c r="DC717" s="16"/>
      <c r="DD717" s="17" t="s">
        <v>198</v>
      </c>
      <c r="DE717" s="18">
        <v>45696.41355324074</v>
      </c>
      <c r="DF717" s="17" t="s">
        <v>198</v>
      </c>
      <c r="DG717" s="18">
        <v>45696.41355324074</v>
      </c>
      <c r="DH717" s="13" t="s">
        <v>205</v>
      </c>
      <c r="DI717" s="14" t="s">
        <v>179</v>
      </c>
      <c r="DJ717" s="14" t="s">
        <v>15517</v>
      </c>
      <c r="DK717" s="15"/>
      <c r="DL717" s="15"/>
      <c r="DM717" s="15"/>
      <c r="DN717" s="15"/>
      <c r="DO717" s="15"/>
      <c r="DP717" s="15"/>
      <c r="DQ717" s="15"/>
      <c r="DR717" s="15"/>
      <c r="DS717" s="15"/>
      <c r="DT717" s="15"/>
      <c r="DU717" s="15"/>
      <c r="DV717" s="15"/>
      <c r="DW717" s="15"/>
      <c r="DX717" s="15"/>
      <c r="DY717" s="15"/>
      <c r="DZ717" s="15"/>
      <c r="EA717" s="15"/>
      <c r="EB717" s="15"/>
      <c r="EC717" s="16" t="s">
        <v>197</v>
      </c>
      <c r="ED717" s="17" t="s">
        <v>198</v>
      </c>
      <c r="EE717" s="18">
        <v>45696.419803240744</v>
      </c>
      <c r="EF717" s="13" t="s">
        <v>209</v>
      </c>
      <c r="EG717" s="14" t="s">
        <v>179</v>
      </c>
      <c r="EH717" s="14" t="s">
        <v>15518</v>
      </c>
      <c r="EI717" s="15"/>
      <c r="EJ717" s="15"/>
      <c r="EK717" s="15"/>
      <c r="EL717" s="15"/>
      <c r="EM717" s="15"/>
      <c r="EN717" s="15"/>
      <c r="EO717" s="15"/>
      <c r="EP717" s="15"/>
      <c r="EQ717" s="15"/>
      <c r="ER717" s="15"/>
      <c r="ES717" s="15"/>
      <c r="ET717" s="15"/>
      <c r="EU717" s="15"/>
      <c r="EV717" s="15"/>
      <c r="EW717" s="15"/>
      <c r="EX717" s="15"/>
      <c r="EY717" s="15"/>
      <c r="EZ717" s="15"/>
      <c r="FA717" s="15"/>
      <c r="FB717" s="15"/>
      <c r="FC717" s="16" t="s">
        <v>197</v>
      </c>
      <c r="FD717" s="17" t="s">
        <v>198</v>
      </c>
      <c r="FE717" s="18">
        <v>45720.34982638889</v>
      </c>
      <c r="FF717" s="19"/>
      <c r="FG717" s="19"/>
      <c r="FH717" s="21" t="s">
        <v>197</v>
      </c>
      <c r="FI717" s="17" t="s">
        <v>214</v>
      </c>
      <c r="FJ717" s="18">
        <v>45720.34982638889</v>
      </c>
      <c r="FK717" s="14" t="s">
        <v>15518</v>
      </c>
      <c r="FL717" s="14" t="s">
        <v>15519</v>
      </c>
      <c r="FM717" s="14" t="s">
        <v>15520</v>
      </c>
      <c r="FN717" s="19"/>
      <c r="FO717" s="19"/>
      <c r="FP717" s="19" t="str">
        <f t="shared" si="1"/>
        <v>Base de Dados_Images/TCV65021.Imagem do Equipamento-.140845.jpg</v>
      </c>
      <c r="FQ717" s="19"/>
      <c r="FR717" s="19"/>
    </row>
    <row r="718" ht="15.75" customHeight="1">
      <c r="A718" s="12" t="s">
        <v>234</v>
      </c>
      <c r="B718" s="12" t="s">
        <v>2885</v>
      </c>
      <c r="C718" s="12" t="s">
        <v>219</v>
      </c>
      <c r="D718" s="22" t="s">
        <v>15521</v>
      </c>
      <c r="E718" s="22" t="s">
        <v>15522</v>
      </c>
      <c r="F718" s="13" t="s">
        <v>178</v>
      </c>
      <c r="G718" s="14" t="s">
        <v>179</v>
      </c>
      <c r="H718" s="14" t="s">
        <v>15523</v>
      </c>
      <c r="I718" s="14" t="s">
        <v>179</v>
      </c>
      <c r="J718" s="14" t="s">
        <v>15523</v>
      </c>
      <c r="K718" s="14" t="s">
        <v>179</v>
      </c>
      <c r="L718" s="14" t="s">
        <v>15524</v>
      </c>
      <c r="M718" s="14" t="s">
        <v>179</v>
      </c>
      <c r="N718" s="14" t="s">
        <v>15524</v>
      </c>
      <c r="O718" s="14" t="s">
        <v>179</v>
      </c>
      <c r="P718" s="14" t="s">
        <v>15525</v>
      </c>
      <c r="Q718" s="14" t="s">
        <v>179</v>
      </c>
      <c r="R718" s="14" t="s">
        <v>15526</v>
      </c>
      <c r="S718" s="14" t="s">
        <v>179</v>
      </c>
      <c r="T718" s="14" t="s">
        <v>15527</v>
      </c>
      <c r="U718" s="14" t="s">
        <v>179</v>
      </c>
      <c r="V718" s="14" t="s">
        <v>15528</v>
      </c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6" t="s">
        <v>197</v>
      </c>
      <c r="BP718" s="17" t="s">
        <v>228</v>
      </c>
      <c r="BQ718" s="23"/>
      <c r="BR718" s="17" t="s">
        <v>198</v>
      </c>
      <c r="BS718" s="18">
        <v>45678.344976851855</v>
      </c>
      <c r="BT718" s="17" t="s">
        <v>198</v>
      </c>
      <c r="BU718" s="18">
        <v>45678.344976851855</v>
      </c>
      <c r="BV718" s="13" t="s">
        <v>199</v>
      </c>
      <c r="BW718" s="14" t="s">
        <v>179</v>
      </c>
      <c r="BX718" s="14" t="s">
        <v>15529</v>
      </c>
      <c r="BY718" s="14" t="s">
        <v>179</v>
      </c>
      <c r="BZ718" s="14" t="s">
        <v>15530</v>
      </c>
      <c r="CA718" s="15"/>
      <c r="CB718" s="15"/>
      <c r="CC718" s="15"/>
      <c r="CD718" s="15"/>
      <c r="CE718" s="15"/>
      <c r="CF718" s="15"/>
      <c r="CG718" s="19"/>
      <c r="CH718" s="15"/>
      <c r="CI718" s="19"/>
      <c r="CJ718" s="15"/>
      <c r="CK718" s="19"/>
      <c r="CL718" s="15"/>
      <c r="CM718" s="19"/>
      <c r="CN718" s="15"/>
      <c r="CO718" s="19"/>
      <c r="CP718" s="15"/>
      <c r="CQ718" s="15"/>
      <c r="CR718" s="15"/>
      <c r="CS718" s="19"/>
      <c r="CT718" s="15"/>
      <c r="CU718" s="19"/>
      <c r="CV718" s="15"/>
      <c r="CW718" s="19"/>
      <c r="CX718" s="15"/>
      <c r="CY718" s="19"/>
      <c r="CZ718" s="15"/>
      <c r="DA718" s="16" t="s">
        <v>197</v>
      </c>
      <c r="DB718" s="17" t="s">
        <v>228</v>
      </c>
      <c r="DC718" s="16"/>
      <c r="DD718" s="17" t="s">
        <v>198</v>
      </c>
      <c r="DE718" s="18">
        <v>45696.42423611111</v>
      </c>
      <c r="DF718" s="17" t="s">
        <v>198</v>
      </c>
      <c r="DG718" s="18">
        <v>45696.42423611111</v>
      </c>
      <c r="DH718" s="13" t="s">
        <v>205</v>
      </c>
      <c r="DI718" s="14" t="s">
        <v>179</v>
      </c>
      <c r="DJ718" s="14" t="s">
        <v>15531</v>
      </c>
      <c r="DK718" s="15"/>
      <c r="DL718" s="15"/>
      <c r="DM718" s="15"/>
      <c r="DN718" s="15"/>
      <c r="DO718" s="15"/>
      <c r="DP718" s="15"/>
      <c r="DQ718" s="15"/>
      <c r="DR718" s="15"/>
      <c r="DS718" s="15"/>
      <c r="DT718" s="15"/>
      <c r="DU718" s="15"/>
      <c r="DV718" s="15"/>
      <c r="DW718" s="15"/>
      <c r="DX718" s="15"/>
      <c r="DY718" s="15"/>
      <c r="DZ718" s="15"/>
      <c r="EA718" s="15"/>
      <c r="EB718" s="15"/>
      <c r="EC718" s="16" t="s">
        <v>197</v>
      </c>
      <c r="ED718" s="17" t="s">
        <v>198</v>
      </c>
      <c r="EE718" s="18">
        <v>45703.500231481485</v>
      </c>
      <c r="EF718" s="13" t="s">
        <v>209</v>
      </c>
      <c r="EG718" s="14" t="s">
        <v>179</v>
      </c>
      <c r="EH718" s="14" t="s">
        <v>15532</v>
      </c>
      <c r="EI718" s="15"/>
      <c r="EJ718" s="15"/>
      <c r="EK718" s="15"/>
      <c r="EL718" s="15"/>
      <c r="EM718" s="15"/>
      <c r="EN718" s="15"/>
      <c r="EO718" s="15"/>
      <c r="EP718" s="15"/>
      <c r="EQ718" s="15"/>
      <c r="ER718" s="15"/>
      <c r="ES718" s="15"/>
      <c r="ET718" s="15"/>
      <c r="EU718" s="15"/>
      <c r="EV718" s="15"/>
      <c r="EW718" s="15"/>
      <c r="EX718" s="15"/>
      <c r="EY718" s="15"/>
      <c r="EZ718" s="15"/>
      <c r="FA718" s="15"/>
      <c r="FB718" s="15"/>
      <c r="FC718" s="16" t="s">
        <v>197</v>
      </c>
      <c r="FD718" s="17" t="s">
        <v>198</v>
      </c>
      <c r="FE718" s="18">
        <v>45720.354421296295</v>
      </c>
      <c r="FF718" s="19"/>
      <c r="FG718" s="19"/>
      <c r="FH718" s="21" t="s">
        <v>197</v>
      </c>
      <c r="FI718" s="17" t="s">
        <v>214</v>
      </c>
      <c r="FJ718" s="18">
        <v>45720.354421296295</v>
      </c>
      <c r="FK718" s="14" t="s">
        <v>15532</v>
      </c>
      <c r="FL718" s="14" t="s">
        <v>15533</v>
      </c>
      <c r="FM718" s="14" t="s">
        <v>15534</v>
      </c>
      <c r="FN718" s="19"/>
      <c r="FO718" s="19"/>
      <c r="FP718" s="19" t="str">
        <f t="shared" si="1"/>
        <v>Base de Dados_Images/TCV65022.Imagem do Equipamento-.162701.jpg</v>
      </c>
      <c r="FQ718" s="19"/>
      <c r="FR718" s="19"/>
    </row>
    <row r="719" ht="15.75" customHeight="1">
      <c r="A719" s="12" t="s">
        <v>234</v>
      </c>
      <c r="B719" s="12" t="s">
        <v>2921</v>
      </c>
      <c r="C719" s="12" t="s">
        <v>219</v>
      </c>
      <c r="D719" s="22" t="s">
        <v>15535</v>
      </c>
      <c r="E719" s="22" t="s">
        <v>15536</v>
      </c>
      <c r="F719" s="13" t="s">
        <v>178</v>
      </c>
      <c r="G719" s="14" t="s">
        <v>179</v>
      </c>
      <c r="H719" s="14" t="s">
        <v>15537</v>
      </c>
      <c r="I719" s="14" t="s">
        <v>179</v>
      </c>
      <c r="J719" s="14" t="s">
        <v>15538</v>
      </c>
      <c r="K719" s="14" t="s">
        <v>179</v>
      </c>
      <c r="L719" s="14" t="s">
        <v>15539</v>
      </c>
      <c r="M719" s="14" t="s">
        <v>179</v>
      </c>
      <c r="N719" s="14" t="s">
        <v>15540</v>
      </c>
      <c r="O719" s="14" t="s">
        <v>179</v>
      </c>
      <c r="P719" s="14" t="s">
        <v>15541</v>
      </c>
      <c r="Q719" s="14" t="s">
        <v>179</v>
      </c>
      <c r="R719" s="14" t="s">
        <v>15542</v>
      </c>
      <c r="S719" s="14" t="s">
        <v>179</v>
      </c>
      <c r="T719" s="14" t="s">
        <v>15543</v>
      </c>
      <c r="U719" s="14" t="s">
        <v>179</v>
      </c>
      <c r="V719" s="14" t="s">
        <v>15543</v>
      </c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6" t="s">
        <v>197</v>
      </c>
      <c r="BP719" s="17" t="s">
        <v>228</v>
      </c>
      <c r="BQ719" s="23"/>
      <c r="BR719" s="17" t="s">
        <v>198</v>
      </c>
      <c r="BS719" s="18">
        <v>45678.43755787037</v>
      </c>
      <c r="BT719" s="17" t="s">
        <v>198</v>
      </c>
      <c r="BU719" s="18">
        <v>45678.43755787037</v>
      </c>
      <c r="BV719" s="13" t="s">
        <v>199</v>
      </c>
      <c r="BW719" s="14" t="s">
        <v>179</v>
      </c>
      <c r="BX719" s="14" t="s">
        <v>15544</v>
      </c>
      <c r="BY719" s="14" t="s">
        <v>179</v>
      </c>
      <c r="BZ719" s="14" t="s">
        <v>15545</v>
      </c>
      <c r="CA719" s="15"/>
      <c r="CB719" s="15"/>
      <c r="CC719" s="15"/>
      <c r="CD719" s="15"/>
      <c r="CE719" s="15"/>
      <c r="CF719" s="15"/>
      <c r="CG719" s="19"/>
      <c r="CH719" s="15"/>
      <c r="CI719" s="19"/>
      <c r="CJ719" s="15"/>
      <c r="CK719" s="19"/>
      <c r="CL719" s="15"/>
      <c r="CM719" s="19"/>
      <c r="CN719" s="15"/>
      <c r="CO719" s="19"/>
      <c r="CP719" s="15"/>
      <c r="CQ719" s="15"/>
      <c r="CR719" s="15"/>
      <c r="CS719" s="19"/>
      <c r="CT719" s="15"/>
      <c r="CU719" s="19"/>
      <c r="CV719" s="15"/>
      <c r="CW719" s="19"/>
      <c r="CX719" s="15"/>
      <c r="CY719" s="19"/>
      <c r="CZ719" s="15"/>
      <c r="DA719" s="16" t="s">
        <v>197</v>
      </c>
      <c r="DB719" s="17" t="s">
        <v>228</v>
      </c>
      <c r="DC719" s="16"/>
      <c r="DD719" s="17" t="s">
        <v>198</v>
      </c>
      <c r="DE719" s="18">
        <v>45696.42828703704</v>
      </c>
      <c r="DF719" s="17" t="s">
        <v>198</v>
      </c>
      <c r="DG719" s="18">
        <v>45696.42828703704</v>
      </c>
      <c r="DH719" s="13" t="s">
        <v>205</v>
      </c>
      <c r="DI719" s="14" t="s">
        <v>179</v>
      </c>
      <c r="DJ719" s="14" t="s">
        <v>15546</v>
      </c>
      <c r="DK719" s="15"/>
      <c r="DL719" s="15"/>
      <c r="DM719" s="15"/>
      <c r="DN719" s="15"/>
      <c r="DO719" s="15"/>
      <c r="DP719" s="15"/>
      <c r="DQ719" s="15"/>
      <c r="DR719" s="15"/>
      <c r="DS719" s="15"/>
      <c r="DT719" s="15"/>
      <c r="DU719" s="15"/>
      <c r="DV719" s="15"/>
      <c r="DW719" s="15"/>
      <c r="DX719" s="15"/>
      <c r="DY719" s="15"/>
      <c r="DZ719" s="15"/>
      <c r="EA719" s="15"/>
      <c r="EB719" s="15"/>
      <c r="EC719" s="16" t="s">
        <v>197</v>
      </c>
      <c r="ED719" s="17" t="s">
        <v>198</v>
      </c>
      <c r="EE719" s="18">
        <v>45696.42832175926</v>
      </c>
      <c r="EF719" s="13" t="s">
        <v>209</v>
      </c>
      <c r="EG719" s="14" t="s">
        <v>179</v>
      </c>
      <c r="EH719" s="14" t="s">
        <v>15547</v>
      </c>
      <c r="EI719" s="15"/>
      <c r="EJ719" s="15"/>
      <c r="EK719" s="15"/>
      <c r="EL719" s="15"/>
      <c r="EM719" s="15"/>
      <c r="EN719" s="15"/>
      <c r="EO719" s="15"/>
      <c r="EP719" s="15"/>
      <c r="EQ719" s="15"/>
      <c r="ER719" s="15"/>
      <c r="ES719" s="15"/>
      <c r="ET719" s="15"/>
      <c r="EU719" s="15"/>
      <c r="EV719" s="15"/>
      <c r="EW719" s="15"/>
      <c r="EX719" s="15"/>
      <c r="EY719" s="15"/>
      <c r="EZ719" s="15"/>
      <c r="FA719" s="15"/>
      <c r="FB719" s="15"/>
      <c r="FC719" s="16" t="s">
        <v>197</v>
      </c>
      <c r="FD719" s="17" t="s">
        <v>198</v>
      </c>
      <c r="FE719" s="18">
        <v>45720.352060185185</v>
      </c>
      <c r="FF719" s="19"/>
      <c r="FG719" s="19"/>
      <c r="FH719" s="21" t="s">
        <v>197</v>
      </c>
      <c r="FI719" s="17" t="s">
        <v>214</v>
      </c>
      <c r="FJ719" s="18">
        <v>45720.352060185185</v>
      </c>
      <c r="FK719" s="14" t="s">
        <v>15547</v>
      </c>
      <c r="FL719" s="14" t="s">
        <v>15548</v>
      </c>
      <c r="FM719" s="14" t="s">
        <v>15549</v>
      </c>
      <c r="FN719" s="19"/>
      <c r="FO719" s="19"/>
      <c r="FP719" s="19" t="str">
        <f t="shared" si="1"/>
        <v>Base de Dados_Images/TCV65023.Imagem do Equipamento-.162836.jpg</v>
      </c>
      <c r="FQ719" s="19"/>
      <c r="FR719" s="19"/>
    </row>
    <row r="720" ht="15.75" customHeight="1">
      <c r="A720" s="12" t="s">
        <v>357</v>
      </c>
      <c r="B720" s="12" t="s">
        <v>358</v>
      </c>
      <c r="C720" s="12" t="s">
        <v>219</v>
      </c>
      <c r="D720" s="22" t="s">
        <v>15550</v>
      </c>
      <c r="E720" s="22" t="s">
        <v>15551</v>
      </c>
      <c r="F720" s="13" t="s">
        <v>178</v>
      </c>
      <c r="G720" s="14" t="s">
        <v>179</v>
      </c>
      <c r="H720" s="14" t="s">
        <v>15552</v>
      </c>
      <c r="I720" s="14" t="s">
        <v>179</v>
      </c>
      <c r="J720" s="14" t="s">
        <v>15553</v>
      </c>
      <c r="K720" s="14" t="s">
        <v>179</v>
      </c>
      <c r="L720" s="14" t="s">
        <v>15554</v>
      </c>
      <c r="M720" s="14" t="s">
        <v>179</v>
      </c>
      <c r="N720" s="14" t="s">
        <v>15555</v>
      </c>
      <c r="O720" s="14" t="s">
        <v>179</v>
      </c>
      <c r="P720" s="14" t="s">
        <v>15556</v>
      </c>
      <c r="Q720" s="14" t="s">
        <v>179</v>
      </c>
      <c r="R720" s="14" t="s">
        <v>15557</v>
      </c>
      <c r="S720" s="14" t="s">
        <v>179</v>
      </c>
      <c r="T720" s="14" t="s">
        <v>15558</v>
      </c>
      <c r="U720" s="14" t="s">
        <v>179</v>
      </c>
      <c r="V720" s="14" t="s">
        <v>15559</v>
      </c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6" t="s">
        <v>197</v>
      </c>
      <c r="BP720" s="17" t="s">
        <v>228</v>
      </c>
      <c r="BQ720" s="23"/>
      <c r="BR720" s="17" t="s">
        <v>198</v>
      </c>
      <c r="BS720" s="18">
        <v>45705.45122685185</v>
      </c>
      <c r="BT720" s="17" t="s">
        <v>198</v>
      </c>
      <c r="BU720" s="18">
        <v>45705.45122685185</v>
      </c>
      <c r="BV720" s="13" t="s">
        <v>199</v>
      </c>
      <c r="BW720" s="14" t="s">
        <v>179</v>
      </c>
      <c r="BX720" s="14" t="s">
        <v>15560</v>
      </c>
      <c r="BY720" s="14" t="s">
        <v>179</v>
      </c>
      <c r="BZ720" s="14" t="s">
        <v>15561</v>
      </c>
      <c r="CA720" s="15"/>
      <c r="CB720" s="15"/>
      <c r="CC720" s="15"/>
      <c r="CD720" s="15"/>
      <c r="CE720" s="15"/>
      <c r="CF720" s="15"/>
      <c r="CG720" s="19"/>
      <c r="CH720" s="15"/>
      <c r="CI720" s="19"/>
      <c r="CJ720" s="15"/>
      <c r="CK720" s="19"/>
      <c r="CL720" s="15"/>
      <c r="CM720" s="19"/>
      <c r="CN720" s="15"/>
      <c r="CO720" s="19"/>
      <c r="CP720" s="15"/>
      <c r="CQ720" s="15"/>
      <c r="CR720" s="15"/>
      <c r="CS720" s="19"/>
      <c r="CT720" s="15"/>
      <c r="CU720" s="19"/>
      <c r="CV720" s="15"/>
      <c r="CW720" s="19"/>
      <c r="CX720" s="15"/>
      <c r="CY720" s="19"/>
      <c r="CZ720" s="15"/>
      <c r="DA720" s="16" t="s">
        <v>197</v>
      </c>
      <c r="DB720" s="17" t="s">
        <v>228</v>
      </c>
      <c r="DC720" s="16"/>
      <c r="DD720" s="17" t="s">
        <v>198</v>
      </c>
      <c r="DE720" s="18">
        <v>45706.49017361111</v>
      </c>
      <c r="DF720" s="17" t="s">
        <v>198</v>
      </c>
      <c r="DG720" s="18">
        <v>45706.49017361111</v>
      </c>
      <c r="DH720" s="13" t="s">
        <v>205</v>
      </c>
      <c r="DI720" s="14" t="s">
        <v>179</v>
      </c>
      <c r="DJ720" s="14" t="s">
        <v>15562</v>
      </c>
      <c r="DK720" s="15"/>
      <c r="DL720" s="15"/>
      <c r="DM720" s="15"/>
      <c r="DN720" s="15"/>
      <c r="DO720" s="15"/>
      <c r="DP720" s="15"/>
      <c r="DQ720" s="15"/>
      <c r="DR720" s="15"/>
      <c r="DS720" s="15"/>
      <c r="DT720" s="15"/>
      <c r="DU720" s="15"/>
      <c r="DV720" s="15"/>
      <c r="DW720" s="15"/>
      <c r="DX720" s="15"/>
      <c r="DY720" s="15"/>
      <c r="DZ720" s="15"/>
      <c r="EA720" s="15"/>
      <c r="EB720" s="15"/>
      <c r="EC720" s="16" t="s">
        <v>197</v>
      </c>
      <c r="ED720" s="17" t="s">
        <v>198</v>
      </c>
      <c r="EE720" s="18">
        <v>45706.490219907406</v>
      </c>
      <c r="EF720" s="13" t="s">
        <v>209</v>
      </c>
      <c r="EG720" s="14" t="s">
        <v>179</v>
      </c>
      <c r="EH720" s="14" t="s">
        <v>15563</v>
      </c>
      <c r="EI720" s="15"/>
      <c r="EJ720" s="15"/>
      <c r="EK720" s="15"/>
      <c r="EL720" s="15"/>
      <c r="EM720" s="15"/>
      <c r="EN720" s="15"/>
      <c r="EO720" s="15"/>
      <c r="EP720" s="15"/>
      <c r="EQ720" s="15"/>
      <c r="ER720" s="15"/>
      <c r="ES720" s="15"/>
      <c r="ET720" s="15"/>
      <c r="EU720" s="15"/>
      <c r="EV720" s="15"/>
      <c r="EW720" s="15"/>
      <c r="EX720" s="15"/>
      <c r="EY720" s="15"/>
      <c r="EZ720" s="15"/>
      <c r="FA720" s="15"/>
      <c r="FB720" s="15"/>
      <c r="FC720" s="16" t="s">
        <v>197</v>
      </c>
      <c r="FD720" s="17" t="s">
        <v>198</v>
      </c>
      <c r="FE720" s="18">
        <v>45706.4903587963</v>
      </c>
      <c r="FF720" s="19"/>
      <c r="FG720" s="19"/>
      <c r="FH720" s="21" t="s">
        <v>197</v>
      </c>
      <c r="FI720" s="17" t="s">
        <v>214</v>
      </c>
      <c r="FJ720" s="18">
        <v>45706.4903587963</v>
      </c>
      <c r="FK720" s="14" t="s">
        <v>15563</v>
      </c>
      <c r="FL720" s="14" t="s">
        <v>15564</v>
      </c>
      <c r="FM720" s="14" t="s">
        <v>15565</v>
      </c>
      <c r="FN720" s="19"/>
      <c r="FO720" s="19"/>
      <c r="FP720" s="19" t="str">
        <f t="shared" si="1"/>
        <v>Base de Dados_Images/TCV81022.Imagem do Equipamento-.141143.jpg</v>
      </c>
      <c r="FQ720" s="14"/>
      <c r="FR720" s="14"/>
    </row>
    <row r="721" ht="15.75" customHeight="1">
      <c r="A721" s="12" t="s">
        <v>10412</v>
      </c>
      <c r="B721" s="12" t="s">
        <v>15566</v>
      </c>
      <c r="C721" s="12" t="s">
        <v>10558</v>
      </c>
      <c r="D721" s="12" t="s">
        <v>15567</v>
      </c>
      <c r="E721" s="12" t="s">
        <v>15568</v>
      </c>
      <c r="F721" s="13" t="s">
        <v>178</v>
      </c>
      <c r="G721" s="14" t="s">
        <v>179</v>
      </c>
      <c r="H721" s="14" t="s">
        <v>15569</v>
      </c>
      <c r="I721" s="14" t="s">
        <v>179</v>
      </c>
      <c r="J721" s="14" t="s">
        <v>15570</v>
      </c>
      <c r="K721" s="14" t="s">
        <v>179</v>
      </c>
      <c r="L721" s="14" t="s">
        <v>15570</v>
      </c>
      <c r="M721" s="14" t="s">
        <v>179</v>
      </c>
      <c r="N721" s="14" t="s">
        <v>15571</v>
      </c>
      <c r="O721" s="14" t="s">
        <v>179</v>
      </c>
      <c r="P721" s="14" t="s">
        <v>15572</v>
      </c>
      <c r="Q721" s="14" t="s">
        <v>179</v>
      </c>
      <c r="R721" s="14" t="s">
        <v>15572</v>
      </c>
      <c r="S721" s="14" t="s">
        <v>179</v>
      </c>
      <c r="T721" s="14" t="s">
        <v>15573</v>
      </c>
      <c r="U721" s="14" t="s">
        <v>179</v>
      </c>
      <c r="V721" s="14" t="s">
        <v>15574</v>
      </c>
      <c r="W721" s="14" t="s">
        <v>179</v>
      </c>
      <c r="X721" s="14" t="s">
        <v>15575</v>
      </c>
      <c r="Y721" s="14" t="s">
        <v>179</v>
      </c>
      <c r="Z721" s="14" t="s">
        <v>15575</v>
      </c>
      <c r="AA721" s="14" t="s">
        <v>179</v>
      </c>
      <c r="AB721" s="14" t="s">
        <v>15576</v>
      </c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6" t="s">
        <v>197</v>
      </c>
      <c r="BP721" s="17" t="s">
        <v>198</v>
      </c>
      <c r="BQ721" s="18">
        <v>45687.36005787037</v>
      </c>
      <c r="BR721" s="17" t="s">
        <v>198</v>
      </c>
      <c r="BS721" s="18">
        <v>45687.35996527778</v>
      </c>
      <c r="BT721" s="17" t="s">
        <v>198</v>
      </c>
      <c r="BU721" s="18">
        <v>45687.36005787037</v>
      </c>
      <c r="BV721" s="13" t="s">
        <v>199</v>
      </c>
      <c r="BW721" s="14" t="s">
        <v>179</v>
      </c>
      <c r="BX721" s="14" t="s">
        <v>15577</v>
      </c>
      <c r="BY721" s="14" t="s">
        <v>179</v>
      </c>
      <c r="BZ721" s="14" t="s">
        <v>15577</v>
      </c>
      <c r="CA721" s="14" t="s">
        <v>179</v>
      </c>
      <c r="CB721" s="14" t="s">
        <v>15578</v>
      </c>
      <c r="CC721" s="15"/>
      <c r="CD721" s="15"/>
      <c r="CE721" s="15"/>
      <c r="CF721" s="15"/>
      <c r="CG721" s="19"/>
      <c r="CH721" s="15"/>
      <c r="CI721" s="19"/>
      <c r="CJ721" s="15"/>
      <c r="CK721" s="19"/>
      <c r="CL721" s="15"/>
      <c r="CM721" s="19"/>
      <c r="CN721" s="15"/>
      <c r="CO721" s="19"/>
      <c r="CP721" s="15"/>
      <c r="CQ721" s="15"/>
      <c r="CR721" s="15"/>
      <c r="CS721" s="19"/>
      <c r="CT721" s="15"/>
      <c r="CU721" s="19"/>
      <c r="CV721" s="15"/>
      <c r="CW721" s="19"/>
      <c r="CX721" s="15"/>
      <c r="CY721" s="19"/>
      <c r="CZ721" s="15"/>
      <c r="DA721" s="16" t="s">
        <v>197</v>
      </c>
      <c r="DB721" s="17" t="s">
        <v>228</v>
      </c>
      <c r="DC721" s="16"/>
      <c r="DD721" s="17" t="s">
        <v>198</v>
      </c>
      <c r="DE721" s="18">
        <v>45714.50555555556</v>
      </c>
      <c r="DF721" s="17" t="s">
        <v>198</v>
      </c>
      <c r="DG721" s="18">
        <v>45714.50555555556</v>
      </c>
      <c r="DH721" s="13" t="s">
        <v>205</v>
      </c>
      <c r="DI721" s="14" t="s">
        <v>179</v>
      </c>
      <c r="DJ721" s="14" t="s">
        <v>15579</v>
      </c>
      <c r="DK721" s="14" t="s">
        <v>179</v>
      </c>
      <c r="DL721" s="14" t="s">
        <v>15579</v>
      </c>
      <c r="DM721" s="14" t="s">
        <v>179</v>
      </c>
      <c r="DN721" s="14" t="s">
        <v>15580</v>
      </c>
      <c r="DO721" s="15"/>
      <c r="DP721" s="15"/>
      <c r="DQ721" s="15"/>
      <c r="DR721" s="15"/>
      <c r="DS721" s="15"/>
      <c r="DT721" s="15"/>
      <c r="DU721" s="15"/>
      <c r="DV721" s="15"/>
      <c r="DW721" s="15"/>
      <c r="DX721" s="15"/>
      <c r="DY721" s="15"/>
      <c r="DZ721" s="15"/>
      <c r="EA721" s="15"/>
      <c r="EB721" s="15"/>
      <c r="EC721" s="16" t="s">
        <v>197</v>
      </c>
      <c r="ED721" s="17" t="s">
        <v>198</v>
      </c>
      <c r="EE721" s="18">
        <v>45714.50579861111</v>
      </c>
      <c r="EF721" s="13" t="s">
        <v>209</v>
      </c>
      <c r="EG721" s="14" t="s">
        <v>179</v>
      </c>
      <c r="EH721" s="14" t="s">
        <v>15581</v>
      </c>
      <c r="EI721" s="14" t="s">
        <v>179</v>
      </c>
      <c r="EJ721" s="14" t="s">
        <v>15582</v>
      </c>
      <c r="EK721" s="14" t="s">
        <v>179</v>
      </c>
      <c r="EL721" s="14" t="s">
        <v>15583</v>
      </c>
      <c r="EM721" s="14" t="s">
        <v>179</v>
      </c>
      <c r="EN721" s="14" t="s">
        <v>15584</v>
      </c>
      <c r="EO721" s="15"/>
      <c r="EP721" s="15"/>
      <c r="EQ721" s="15"/>
      <c r="ER721" s="15"/>
      <c r="ES721" s="15"/>
      <c r="ET721" s="15"/>
      <c r="EU721" s="15"/>
      <c r="EV721" s="15"/>
      <c r="EW721" s="15"/>
      <c r="EX721" s="15"/>
      <c r="EY721" s="15"/>
      <c r="EZ721" s="15"/>
      <c r="FA721" s="15"/>
      <c r="FB721" s="15"/>
      <c r="FC721" s="16" t="s">
        <v>197</v>
      </c>
      <c r="FD721" s="17" t="s">
        <v>198</v>
      </c>
      <c r="FE721" s="18">
        <v>45719.67244212963</v>
      </c>
      <c r="FF721" s="19"/>
      <c r="FG721" s="19"/>
      <c r="FH721" s="21" t="s">
        <v>197</v>
      </c>
      <c r="FI721" s="17" t="s">
        <v>214</v>
      </c>
      <c r="FJ721" s="18">
        <v>45719.67244212963</v>
      </c>
      <c r="FK721" s="14" t="s">
        <v>15584</v>
      </c>
      <c r="FL721" s="14" t="s">
        <v>15585</v>
      </c>
      <c r="FM721" s="14" t="s">
        <v>15586</v>
      </c>
      <c r="FN721" s="19"/>
      <c r="FO721" s="19"/>
      <c r="FP721" s="19" t="str">
        <f t="shared" si="1"/>
        <v>Base de Dados_Images/TI-70A-086A-049-CP9703.Imagem do Equipamento-.125153.jpg</v>
      </c>
      <c r="FQ721" s="19"/>
      <c r="FR721" s="19"/>
    </row>
    <row r="722" ht="15.75" customHeight="1">
      <c r="A722" s="12" t="s">
        <v>174</v>
      </c>
      <c r="B722" s="22" t="s">
        <v>1359</v>
      </c>
      <c r="C722" s="24" t="s">
        <v>324</v>
      </c>
      <c r="D722" s="22" t="s">
        <v>15587</v>
      </c>
      <c r="E722" s="22" t="s">
        <v>15588</v>
      </c>
      <c r="F722" s="13" t="s">
        <v>178</v>
      </c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6" t="s">
        <v>197</v>
      </c>
      <c r="BP722" s="17" t="s">
        <v>228</v>
      </c>
      <c r="BQ722" s="23"/>
      <c r="BR722" s="17" t="s">
        <v>228</v>
      </c>
      <c r="BS722" s="23"/>
      <c r="BT722" s="17" t="s">
        <v>228</v>
      </c>
      <c r="BU722" s="23"/>
      <c r="BV722" s="13" t="s">
        <v>199</v>
      </c>
      <c r="BW722" s="15"/>
      <c r="BX722" s="15"/>
      <c r="BY722" s="15"/>
      <c r="BZ722" s="15"/>
      <c r="CA722" s="15"/>
      <c r="CB722" s="15"/>
      <c r="CC722" s="15"/>
      <c r="CD722" s="15"/>
      <c r="CE722" s="15"/>
      <c r="CF722" s="15"/>
      <c r="CG722" s="19"/>
      <c r="CH722" s="15"/>
      <c r="CI722" s="19"/>
      <c r="CJ722" s="15"/>
      <c r="CK722" s="19"/>
      <c r="CL722" s="15"/>
      <c r="CM722" s="19"/>
      <c r="CN722" s="15"/>
      <c r="CO722" s="19"/>
      <c r="CP722" s="15"/>
      <c r="CQ722" s="15"/>
      <c r="CR722" s="15"/>
      <c r="CS722" s="19"/>
      <c r="CT722" s="15"/>
      <c r="CU722" s="19"/>
      <c r="CV722" s="15"/>
      <c r="CW722" s="19"/>
      <c r="CX722" s="15"/>
      <c r="CY722" s="19"/>
      <c r="CZ722" s="15"/>
      <c r="DA722" s="16" t="s">
        <v>197</v>
      </c>
      <c r="DB722" s="17" t="s">
        <v>228</v>
      </c>
      <c r="DC722" s="16"/>
      <c r="DD722" s="17" t="s">
        <v>228</v>
      </c>
      <c r="DE722" s="23"/>
      <c r="DF722" s="17" t="s">
        <v>228</v>
      </c>
      <c r="DG722" s="23"/>
      <c r="DH722" s="13" t="s">
        <v>205</v>
      </c>
      <c r="DI722" s="14" t="s">
        <v>179</v>
      </c>
      <c r="DJ722" s="14" t="s">
        <v>15589</v>
      </c>
      <c r="DK722" s="14" t="s">
        <v>179</v>
      </c>
      <c r="DL722" s="14" t="s">
        <v>15590</v>
      </c>
      <c r="DM722" s="15"/>
      <c r="DN722" s="15"/>
      <c r="DO722" s="15"/>
      <c r="DP722" s="15"/>
      <c r="DQ722" s="15"/>
      <c r="DR722" s="15"/>
      <c r="DS722" s="15"/>
      <c r="DT722" s="15"/>
      <c r="DU722" s="15"/>
      <c r="DV722" s="15"/>
      <c r="DW722" s="15"/>
      <c r="DX722" s="15"/>
      <c r="DY722" s="15"/>
      <c r="DZ722" s="15"/>
      <c r="EA722" s="15"/>
      <c r="EB722" s="15"/>
      <c r="EC722" s="16" t="s">
        <v>197</v>
      </c>
      <c r="ED722" s="17" t="s">
        <v>198</v>
      </c>
      <c r="EE722" s="18">
        <v>45706.480046296296</v>
      </c>
      <c r="EF722" s="13" t="s">
        <v>209</v>
      </c>
      <c r="EG722" s="14" t="s">
        <v>179</v>
      </c>
      <c r="EH722" s="14" t="s">
        <v>15591</v>
      </c>
      <c r="EI722" s="14" t="s">
        <v>179</v>
      </c>
      <c r="EJ722" s="14" t="s">
        <v>15592</v>
      </c>
      <c r="EK722" s="15"/>
      <c r="EL722" s="15"/>
      <c r="EM722" s="15"/>
      <c r="EN722" s="15"/>
      <c r="EO722" s="15"/>
      <c r="EP722" s="15"/>
      <c r="EQ722" s="15"/>
      <c r="ER722" s="15"/>
      <c r="ES722" s="15"/>
      <c r="ET722" s="15"/>
      <c r="EU722" s="15"/>
      <c r="EV722" s="15"/>
      <c r="EW722" s="15"/>
      <c r="EX722" s="15"/>
      <c r="EY722" s="15"/>
      <c r="EZ722" s="15"/>
      <c r="FA722" s="15"/>
      <c r="FB722" s="15"/>
      <c r="FC722" s="16" t="s">
        <v>197</v>
      </c>
      <c r="FD722" s="17" t="s">
        <v>198</v>
      </c>
      <c r="FE722" s="18">
        <v>45706.480104166665</v>
      </c>
      <c r="FF722" s="19"/>
      <c r="FG722" s="19"/>
      <c r="FH722" s="21" t="s">
        <v>197</v>
      </c>
      <c r="FI722" s="17" t="s">
        <v>214</v>
      </c>
      <c r="FJ722" s="18">
        <v>45706.480104166665</v>
      </c>
      <c r="FK722" s="14" t="s">
        <v>15593</v>
      </c>
      <c r="FL722" s="14" t="s">
        <v>15594</v>
      </c>
      <c r="FM722" s="14" t="s">
        <v>15593</v>
      </c>
      <c r="FN722" s="19"/>
      <c r="FO722" s="19"/>
      <c r="FP722" s="19" t="str">
        <f t="shared" si="1"/>
        <v>Base de Dados_Images/TIC20017.Imagem do Equipamento-.143143.jpg</v>
      </c>
      <c r="FQ722" s="14"/>
      <c r="FR722" s="14"/>
    </row>
    <row r="723" ht="15.75" customHeight="1">
      <c r="A723" s="12" t="s">
        <v>174</v>
      </c>
      <c r="B723" s="12" t="s">
        <v>13322</v>
      </c>
      <c r="C723" s="24" t="s">
        <v>375</v>
      </c>
      <c r="D723" s="22" t="s">
        <v>15595</v>
      </c>
      <c r="E723" s="22" t="s">
        <v>15596</v>
      </c>
      <c r="F723" s="13" t="s">
        <v>178</v>
      </c>
      <c r="G723" s="14" t="s">
        <v>179</v>
      </c>
      <c r="H723" s="14" t="s">
        <v>15597</v>
      </c>
      <c r="I723" s="14" t="s">
        <v>179</v>
      </c>
      <c r="J723" s="14" t="s">
        <v>15598</v>
      </c>
      <c r="K723" s="14" t="s">
        <v>179</v>
      </c>
      <c r="L723" s="14" t="s">
        <v>15599</v>
      </c>
      <c r="M723" s="14" t="s">
        <v>179</v>
      </c>
      <c r="N723" s="14" t="s">
        <v>15600</v>
      </c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6" t="s">
        <v>197</v>
      </c>
      <c r="BP723" s="17" t="s">
        <v>198</v>
      </c>
      <c r="BQ723" s="18">
        <v>45694.43246527778</v>
      </c>
      <c r="BR723" s="17" t="s">
        <v>198</v>
      </c>
      <c r="BS723" s="18">
        <v>45694.43252314815</v>
      </c>
      <c r="BT723" s="17" t="s">
        <v>198</v>
      </c>
      <c r="BU723" s="18">
        <v>45694.43252314815</v>
      </c>
      <c r="BV723" s="13" t="s">
        <v>199</v>
      </c>
      <c r="BW723" s="14" t="s">
        <v>179</v>
      </c>
      <c r="BX723" s="14" t="s">
        <v>15601</v>
      </c>
      <c r="BY723" s="14" t="s">
        <v>179</v>
      </c>
      <c r="BZ723" s="14" t="s">
        <v>15602</v>
      </c>
      <c r="CA723" s="14" t="s">
        <v>179</v>
      </c>
      <c r="CB723" s="14" t="s">
        <v>15603</v>
      </c>
      <c r="CC723" s="15"/>
      <c r="CD723" s="15"/>
      <c r="CE723" s="15"/>
      <c r="CF723" s="15"/>
      <c r="CG723" s="19"/>
      <c r="CH723" s="15"/>
      <c r="CI723" s="19"/>
      <c r="CJ723" s="15"/>
      <c r="CK723" s="19"/>
      <c r="CL723" s="15"/>
      <c r="CM723" s="19"/>
      <c r="CN723" s="15"/>
      <c r="CO723" s="19"/>
      <c r="CP723" s="15"/>
      <c r="CQ723" s="15"/>
      <c r="CR723" s="15"/>
      <c r="CS723" s="19"/>
      <c r="CT723" s="15"/>
      <c r="CU723" s="19"/>
      <c r="CV723" s="15"/>
      <c r="CW723" s="19"/>
      <c r="CX723" s="15"/>
      <c r="CY723" s="19"/>
      <c r="CZ723" s="15"/>
      <c r="DA723" s="16" t="s">
        <v>197</v>
      </c>
      <c r="DB723" s="17" t="s">
        <v>228</v>
      </c>
      <c r="DC723" s="16"/>
      <c r="DD723" s="17" t="s">
        <v>198</v>
      </c>
      <c r="DE723" s="18">
        <v>45694.43267361111</v>
      </c>
      <c r="DF723" s="17" t="s">
        <v>198</v>
      </c>
      <c r="DG723" s="18">
        <v>45694.43267361111</v>
      </c>
      <c r="DH723" s="13" t="s">
        <v>205</v>
      </c>
      <c r="DI723" s="14" t="s">
        <v>179</v>
      </c>
      <c r="DJ723" s="14" t="s">
        <v>15604</v>
      </c>
      <c r="DK723" s="14" t="s">
        <v>179</v>
      </c>
      <c r="DL723" s="14" t="s">
        <v>15605</v>
      </c>
      <c r="DM723" s="15"/>
      <c r="DN723" s="15"/>
      <c r="DO723" s="15"/>
      <c r="DP723" s="15"/>
      <c r="DQ723" s="15"/>
      <c r="DR723" s="15"/>
      <c r="DS723" s="15"/>
      <c r="DT723" s="15"/>
      <c r="DU723" s="15"/>
      <c r="DV723" s="15"/>
      <c r="DW723" s="15"/>
      <c r="DX723" s="15"/>
      <c r="DY723" s="15"/>
      <c r="DZ723" s="15"/>
      <c r="EA723" s="15"/>
      <c r="EB723" s="15"/>
      <c r="EC723" s="16" t="s">
        <v>197</v>
      </c>
      <c r="ED723" s="17" t="s">
        <v>198</v>
      </c>
      <c r="EE723" s="18">
        <v>45707.395787037036</v>
      </c>
      <c r="EF723" s="13" t="s">
        <v>209</v>
      </c>
      <c r="EG723" s="14" t="s">
        <v>179</v>
      </c>
      <c r="EH723" s="14" t="s">
        <v>15606</v>
      </c>
      <c r="EI723" s="14" t="s">
        <v>179</v>
      </c>
      <c r="EJ723" s="14" t="s">
        <v>15607</v>
      </c>
      <c r="EK723" s="15"/>
      <c r="EL723" s="15"/>
      <c r="EM723" s="15"/>
      <c r="EN723" s="15"/>
      <c r="EO723" s="15"/>
      <c r="EP723" s="15"/>
      <c r="EQ723" s="15"/>
      <c r="ER723" s="15"/>
      <c r="ES723" s="15"/>
      <c r="ET723" s="15"/>
      <c r="EU723" s="15"/>
      <c r="EV723" s="15"/>
      <c r="EW723" s="15"/>
      <c r="EX723" s="15"/>
      <c r="EY723" s="15"/>
      <c r="EZ723" s="15"/>
      <c r="FA723" s="15"/>
      <c r="FB723" s="15"/>
      <c r="FC723" s="16" t="s">
        <v>197</v>
      </c>
      <c r="FD723" s="17" t="s">
        <v>198</v>
      </c>
      <c r="FE723" s="18">
        <v>45723.28607638889</v>
      </c>
      <c r="FF723" s="19"/>
      <c r="FG723" s="19"/>
      <c r="FH723" s="21" t="s">
        <v>197</v>
      </c>
      <c r="FI723" s="17" t="s">
        <v>214</v>
      </c>
      <c r="FJ723" s="18">
        <v>45723.28607638889</v>
      </c>
      <c r="FK723" s="14" t="s">
        <v>15606</v>
      </c>
      <c r="FL723" s="14" t="s">
        <v>15608</v>
      </c>
      <c r="FM723" s="14" t="s">
        <v>15609</v>
      </c>
      <c r="FN723" s="19"/>
      <c r="FO723" s="19"/>
      <c r="FP723" s="19" t="str">
        <f t="shared" si="1"/>
        <v>Base de Dados_Images/TIC20036.Imagem do Equipamento-.132325.jpg</v>
      </c>
      <c r="FQ723" s="14"/>
      <c r="FR723" s="14"/>
    </row>
    <row r="724" ht="15.75" customHeight="1">
      <c r="A724" s="12" t="s">
        <v>174</v>
      </c>
      <c r="B724" s="22" t="s">
        <v>1192</v>
      </c>
      <c r="C724" s="24" t="s">
        <v>324</v>
      </c>
      <c r="D724" s="22" t="s">
        <v>15610</v>
      </c>
      <c r="E724" s="22" t="s">
        <v>15611</v>
      </c>
      <c r="F724" s="13" t="s">
        <v>178</v>
      </c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6" t="s">
        <v>197</v>
      </c>
      <c r="BP724" s="17" t="s">
        <v>228</v>
      </c>
      <c r="BQ724" s="23"/>
      <c r="BR724" s="17" t="s">
        <v>228</v>
      </c>
      <c r="BS724" s="23"/>
      <c r="BT724" s="17" t="s">
        <v>228</v>
      </c>
      <c r="BU724" s="23"/>
      <c r="BV724" s="13" t="s">
        <v>199</v>
      </c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  <c r="CG724" s="19"/>
      <c r="CH724" s="15"/>
      <c r="CI724" s="19"/>
      <c r="CJ724" s="15"/>
      <c r="CK724" s="19"/>
      <c r="CL724" s="15"/>
      <c r="CM724" s="19"/>
      <c r="CN724" s="15"/>
      <c r="CO724" s="19"/>
      <c r="CP724" s="15"/>
      <c r="CQ724" s="15"/>
      <c r="CR724" s="15"/>
      <c r="CS724" s="19"/>
      <c r="CT724" s="15"/>
      <c r="CU724" s="19"/>
      <c r="CV724" s="15"/>
      <c r="CW724" s="19"/>
      <c r="CX724" s="15"/>
      <c r="CY724" s="19"/>
      <c r="CZ724" s="15"/>
      <c r="DA724" s="16" t="s">
        <v>197</v>
      </c>
      <c r="DB724" s="17" t="s">
        <v>228</v>
      </c>
      <c r="DC724" s="16"/>
      <c r="DD724" s="17" t="s">
        <v>228</v>
      </c>
      <c r="DE724" s="23"/>
      <c r="DF724" s="17" t="s">
        <v>228</v>
      </c>
      <c r="DG724" s="23"/>
      <c r="DH724" s="13" t="s">
        <v>205</v>
      </c>
      <c r="DI724" s="14" t="s">
        <v>179</v>
      </c>
      <c r="DJ724" s="14" t="s">
        <v>15612</v>
      </c>
      <c r="DK724" s="14" t="s">
        <v>179</v>
      </c>
      <c r="DL724" s="14" t="s">
        <v>15613</v>
      </c>
      <c r="DM724" s="15"/>
      <c r="DN724" s="15"/>
      <c r="DO724" s="15"/>
      <c r="DP724" s="15"/>
      <c r="DQ724" s="15"/>
      <c r="DR724" s="15"/>
      <c r="DS724" s="15"/>
      <c r="DT724" s="15"/>
      <c r="DU724" s="15"/>
      <c r="DV724" s="15"/>
      <c r="DW724" s="15"/>
      <c r="DX724" s="15"/>
      <c r="DY724" s="15"/>
      <c r="DZ724" s="15"/>
      <c r="EA724" s="15"/>
      <c r="EB724" s="15"/>
      <c r="EC724" s="16" t="s">
        <v>197</v>
      </c>
      <c r="ED724" s="17" t="s">
        <v>198</v>
      </c>
      <c r="EE724" s="18">
        <v>45708.34663194444</v>
      </c>
      <c r="EF724" s="13" t="s">
        <v>209</v>
      </c>
      <c r="EG724" s="14" t="s">
        <v>179</v>
      </c>
      <c r="EH724" s="14" t="s">
        <v>15614</v>
      </c>
      <c r="EI724" s="14" t="s">
        <v>179</v>
      </c>
      <c r="EJ724" s="14" t="s">
        <v>15614</v>
      </c>
      <c r="EK724" s="15"/>
      <c r="EL724" s="15"/>
      <c r="EM724" s="15"/>
      <c r="EN724" s="15"/>
      <c r="EO724" s="15"/>
      <c r="EP724" s="15"/>
      <c r="EQ724" s="15"/>
      <c r="ER724" s="15"/>
      <c r="ES724" s="15"/>
      <c r="ET724" s="15"/>
      <c r="EU724" s="15"/>
      <c r="EV724" s="15"/>
      <c r="EW724" s="15"/>
      <c r="EX724" s="15"/>
      <c r="EY724" s="15"/>
      <c r="EZ724" s="15"/>
      <c r="FA724" s="15"/>
      <c r="FB724" s="15"/>
      <c r="FC724" s="16" t="s">
        <v>197</v>
      </c>
      <c r="FD724" s="17" t="s">
        <v>198</v>
      </c>
      <c r="FE724" s="18">
        <v>45723.28702546296</v>
      </c>
      <c r="FF724" s="19"/>
      <c r="FG724" s="19"/>
      <c r="FH724" s="21" t="s">
        <v>197</v>
      </c>
      <c r="FI724" s="17" t="s">
        <v>214</v>
      </c>
      <c r="FJ724" s="18">
        <v>45723.28702546296</v>
      </c>
      <c r="FK724" s="14" t="s">
        <v>15614</v>
      </c>
      <c r="FL724" s="14" t="s">
        <v>15615</v>
      </c>
      <c r="FM724" s="14" t="s">
        <v>15616</v>
      </c>
      <c r="FN724" s="19"/>
      <c r="FO724" s="19"/>
      <c r="FP724" s="19" t="str">
        <f t="shared" si="1"/>
        <v>Base de Dados_Images/TIC20045.Imagem do Equipamento-.111904.jpg</v>
      </c>
      <c r="FQ724" s="19"/>
      <c r="FR724" s="19"/>
    </row>
    <row r="725" ht="15.75" customHeight="1">
      <c r="A725" s="12" t="s">
        <v>174</v>
      </c>
      <c r="B725" s="22" t="s">
        <v>1258</v>
      </c>
      <c r="C725" s="24" t="s">
        <v>324</v>
      </c>
      <c r="D725" s="22" t="s">
        <v>15617</v>
      </c>
      <c r="E725" s="22" t="s">
        <v>15618</v>
      </c>
      <c r="F725" s="13" t="s">
        <v>178</v>
      </c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6" t="s">
        <v>197</v>
      </c>
      <c r="BP725" s="17" t="s">
        <v>228</v>
      </c>
      <c r="BQ725" s="23"/>
      <c r="BR725" s="17" t="s">
        <v>228</v>
      </c>
      <c r="BS725" s="23"/>
      <c r="BT725" s="17" t="s">
        <v>228</v>
      </c>
      <c r="BU725" s="23"/>
      <c r="BV725" s="13" t="s">
        <v>199</v>
      </c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9"/>
      <c r="CH725" s="15"/>
      <c r="CI725" s="19"/>
      <c r="CJ725" s="15"/>
      <c r="CK725" s="19"/>
      <c r="CL725" s="15"/>
      <c r="CM725" s="19"/>
      <c r="CN725" s="15"/>
      <c r="CO725" s="19"/>
      <c r="CP725" s="15"/>
      <c r="CQ725" s="15"/>
      <c r="CR725" s="15"/>
      <c r="CS725" s="19"/>
      <c r="CT725" s="15"/>
      <c r="CU725" s="19"/>
      <c r="CV725" s="15"/>
      <c r="CW725" s="19"/>
      <c r="CX725" s="15"/>
      <c r="CY725" s="19"/>
      <c r="CZ725" s="15"/>
      <c r="DA725" s="16" t="s">
        <v>197</v>
      </c>
      <c r="DB725" s="17" t="s">
        <v>228</v>
      </c>
      <c r="DC725" s="16"/>
      <c r="DD725" s="17" t="s">
        <v>228</v>
      </c>
      <c r="DE725" s="23"/>
      <c r="DF725" s="17" t="s">
        <v>228</v>
      </c>
      <c r="DG725" s="23"/>
      <c r="DH725" s="13" t="s">
        <v>205</v>
      </c>
      <c r="DI725" s="14" t="s">
        <v>179</v>
      </c>
      <c r="DJ725" s="14" t="s">
        <v>15619</v>
      </c>
      <c r="DK725" s="14" t="s">
        <v>179</v>
      </c>
      <c r="DL725" s="14" t="s">
        <v>15620</v>
      </c>
      <c r="DM725" s="15"/>
      <c r="DN725" s="15"/>
      <c r="DO725" s="15"/>
      <c r="DP725" s="15"/>
      <c r="DQ725" s="15"/>
      <c r="DR725" s="15"/>
      <c r="DS725" s="15"/>
      <c r="DT725" s="15"/>
      <c r="DU725" s="15"/>
      <c r="DV725" s="15"/>
      <c r="DW725" s="15"/>
      <c r="DX725" s="15"/>
      <c r="DY725" s="15"/>
      <c r="DZ725" s="15"/>
      <c r="EA725" s="15"/>
      <c r="EB725" s="15"/>
      <c r="EC725" s="16" t="s">
        <v>197</v>
      </c>
      <c r="ED725" s="17" t="s">
        <v>198</v>
      </c>
      <c r="EE725" s="18">
        <v>45708.34375</v>
      </c>
      <c r="EF725" s="13" t="s">
        <v>209</v>
      </c>
      <c r="EG725" s="14" t="s">
        <v>179</v>
      </c>
      <c r="EH725" s="14" t="s">
        <v>15621</v>
      </c>
      <c r="EI725" s="14" t="s">
        <v>179</v>
      </c>
      <c r="EJ725" s="14" t="s">
        <v>15622</v>
      </c>
      <c r="EK725" s="15"/>
      <c r="EL725" s="15"/>
      <c r="EM725" s="15"/>
      <c r="EN725" s="15"/>
      <c r="EO725" s="15"/>
      <c r="EP725" s="15"/>
      <c r="EQ725" s="15"/>
      <c r="ER725" s="15"/>
      <c r="ES725" s="15"/>
      <c r="ET725" s="15"/>
      <c r="EU725" s="15"/>
      <c r="EV725" s="15"/>
      <c r="EW725" s="15"/>
      <c r="EX725" s="15"/>
      <c r="EY725" s="15"/>
      <c r="EZ725" s="15"/>
      <c r="FA725" s="15"/>
      <c r="FB725" s="15"/>
      <c r="FC725" s="16" t="s">
        <v>197</v>
      </c>
      <c r="FD725" s="17" t="s">
        <v>198</v>
      </c>
      <c r="FE725" s="18">
        <v>45723.287256944444</v>
      </c>
      <c r="FF725" s="19"/>
      <c r="FG725" s="19"/>
      <c r="FH725" s="21" t="s">
        <v>197</v>
      </c>
      <c r="FI725" s="17" t="s">
        <v>214</v>
      </c>
      <c r="FJ725" s="18">
        <v>45723.287256944444</v>
      </c>
      <c r="FK725" s="14" t="s">
        <v>15622</v>
      </c>
      <c r="FL725" s="14" t="s">
        <v>15623</v>
      </c>
      <c r="FM725" s="14" t="s">
        <v>15624</v>
      </c>
      <c r="FN725" s="19"/>
      <c r="FO725" s="19"/>
      <c r="FP725" s="19" t="str">
        <f t="shared" si="1"/>
        <v>Base de Dados_Images/TIC20067.Imagem do Equipamento-.142545.jpg</v>
      </c>
      <c r="FQ725" s="19"/>
      <c r="FR725" s="19"/>
    </row>
    <row r="726" ht="15.75" customHeight="1">
      <c r="A726" s="12" t="s">
        <v>174</v>
      </c>
      <c r="B726" s="22" t="s">
        <v>1325</v>
      </c>
      <c r="C726" s="24" t="s">
        <v>324</v>
      </c>
      <c r="D726" s="22" t="s">
        <v>15625</v>
      </c>
      <c r="E726" s="22" t="s">
        <v>15626</v>
      </c>
      <c r="F726" s="13" t="s">
        <v>178</v>
      </c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6" t="s">
        <v>197</v>
      </c>
      <c r="BP726" s="17" t="s">
        <v>228</v>
      </c>
      <c r="BQ726" s="23"/>
      <c r="BR726" s="17" t="s">
        <v>228</v>
      </c>
      <c r="BS726" s="23"/>
      <c r="BT726" s="17" t="s">
        <v>228</v>
      </c>
      <c r="BU726" s="23"/>
      <c r="BV726" s="13" t="s">
        <v>199</v>
      </c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  <c r="CG726" s="19"/>
      <c r="CH726" s="15"/>
      <c r="CI726" s="19"/>
      <c r="CJ726" s="15"/>
      <c r="CK726" s="19"/>
      <c r="CL726" s="15"/>
      <c r="CM726" s="19"/>
      <c r="CN726" s="15"/>
      <c r="CO726" s="19"/>
      <c r="CP726" s="15"/>
      <c r="CQ726" s="15"/>
      <c r="CR726" s="15"/>
      <c r="CS726" s="19"/>
      <c r="CT726" s="15"/>
      <c r="CU726" s="19"/>
      <c r="CV726" s="15"/>
      <c r="CW726" s="19"/>
      <c r="CX726" s="15"/>
      <c r="CY726" s="19"/>
      <c r="CZ726" s="15"/>
      <c r="DA726" s="16" t="s">
        <v>197</v>
      </c>
      <c r="DB726" s="17" t="s">
        <v>228</v>
      </c>
      <c r="DC726" s="16"/>
      <c r="DD726" s="17" t="s">
        <v>228</v>
      </c>
      <c r="DE726" s="23"/>
      <c r="DF726" s="17" t="s">
        <v>228</v>
      </c>
      <c r="DG726" s="23"/>
      <c r="DH726" s="13" t="s">
        <v>205</v>
      </c>
      <c r="DI726" s="14" t="s">
        <v>179</v>
      </c>
      <c r="DJ726" s="14" t="s">
        <v>15627</v>
      </c>
      <c r="DK726" s="14" t="s">
        <v>179</v>
      </c>
      <c r="DL726" s="14" t="s">
        <v>15628</v>
      </c>
      <c r="DM726" s="15"/>
      <c r="DN726" s="15"/>
      <c r="DO726" s="15"/>
      <c r="DP726" s="15"/>
      <c r="DQ726" s="15"/>
      <c r="DR726" s="15"/>
      <c r="DS726" s="15"/>
      <c r="DT726" s="15"/>
      <c r="DU726" s="15"/>
      <c r="DV726" s="15"/>
      <c r="DW726" s="15"/>
      <c r="DX726" s="15"/>
      <c r="DY726" s="15"/>
      <c r="DZ726" s="15"/>
      <c r="EA726" s="15"/>
      <c r="EB726" s="15"/>
      <c r="EC726" s="16" t="s">
        <v>197</v>
      </c>
      <c r="ED726" s="17" t="s">
        <v>198</v>
      </c>
      <c r="EE726" s="18">
        <v>45708.33938657407</v>
      </c>
      <c r="EF726" s="13" t="s">
        <v>209</v>
      </c>
      <c r="EG726" s="14" t="s">
        <v>179</v>
      </c>
      <c r="EH726" s="14" t="s">
        <v>15629</v>
      </c>
      <c r="EI726" s="14" t="s">
        <v>179</v>
      </c>
      <c r="EJ726" s="14" t="s">
        <v>15629</v>
      </c>
      <c r="EK726" s="15"/>
      <c r="EL726" s="15"/>
      <c r="EM726" s="15"/>
      <c r="EN726" s="15"/>
      <c r="EO726" s="15"/>
      <c r="EP726" s="15"/>
      <c r="EQ726" s="15"/>
      <c r="ER726" s="15"/>
      <c r="ES726" s="15"/>
      <c r="ET726" s="15"/>
      <c r="EU726" s="15"/>
      <c r="EV726" s="15"/>
      <c r="EW726" s="15"/>
      <c r="EX726" s="15"/>
      <c r="EY726" s="15"/>
      <c r="EZ726" s="15"/>
      <c r="FA726" s="15"/>
      <c r="FB726" s="15"/>
      <c r="FC726" s="16" t="s">
        <v>197</v>
      </c>
      <c r="FD726" s="17" t="s">
        <v>198</v>
      </c>
      <c r="FE726" s="18">
        <v>45723.288819444446</v>
      </c>
      <c r="FF726" s="19"/>
      <c r="FG726" s="19"/>
      <c r="FH726" s="21" t="s">
        <v>197</v>
      </c>
      <c r="FI726" s="17" t="s">
        <v>214</v>
      </c>
      <c r="FJ726" s="18">
        <v>45723.288819444446</v>
      </c>
      <c r="FK726" s="14" t="s">
        <v>15629</v>
      </c>
      <c r="FL726" s="14" t="s">
        <v>15630</v>
      </c>
      <c r="FM726" s="14" t="s">
        <v>15631</v>
      </c>
      <c r="FN726" s="19"/>
      <c r="FO726" s="19"/>
      <c r="FP726" s="19" t="str">
        <f t="shared" si="1"/>
        <v>Base de Dados_Images/TIC20089.Imagem do Equipamento-.110935.jpg</v>
      </c>
      <c r="FQ726" s="14"/>
      <c r="FR726" s="14"/>
    </row>
    <row r="727" ht="15.75" customHeight="1">
      <c r="A727" s="12" t="s">
        <v>292</v>
      </c>
      <c r="B727" s="12" t="s">
        <v>1740</v>
      </c>
      <c r="C727" s="24" t="s">
        <v>324</v>
      </c>
      <c r="D727" s="22" t="s">
        <v>15632</v>
      </c>
      <c r="E727" s="22" t="s">
        <v>15633</v>
      </c>
      <c r="F727" s="13" t="s">
        <v>178</v>
      </c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6" t="s">
        <v>197</v>
      </c>
      <c r="BP727" s="17" t="s">
        <v>228</v>
      </c>
      <c r="BQ727" s="23"/>
      <c r="BR727" s="17" t="s">
        <v>228</v>
      </c>
      <c r="BS727" s="23"/>
      <c r="BT727" s="17" t="s">
        <v>228</v>
      </c>
      <c r="BU727" s="23"/>
      <c r="BV727" s="13" t="s">
        <v>199</v>
      </c>
      <c r="BW727" s="15"/>
      <c r="BX727" s="15"/>
      <c r="BY727" s="15"/>
      <c r="BZ727" s="15"/>
      <c r="CA727" s="15"/>
      <c r="CB727" s="15"/>
      <c r="CC727" s="15"/>
      <c r="CD727" s="15"/>
      <c r="CE727" s="15"/>
      <c r="CF727" s="15"/>
      <c r="CG727" s="19"/>
      <c r="CH727" s="15"/>
      <c r="CI727" s="19"/>
      <c r="CJ727" s="15"/>
      <c r="CK727" s="19"/>
      <c r="CL727" s="15"/>
      <c r="CM727" s="19"/>
      <c r="CN727" s="15"/>
      <c r="CO727" s="19"/>
      <c r="CP727" s="15"/>
      <c r="CQ727" s="15"/>
      <c r="CR727" s="15"/>
      <c r="CS727" s="19"/>
      <c r="CT727" s="15"/>
      <c r="CU727" s="19"/>
      <c r="CV727" s="15"/>
      <c r="CW727" s="19"/>
      <c r="CX727" s="15"/>
      <c r="CY727" s="19"/>
      <c r="CZ727" s="15"/>
      <c r="DA727" s="16" t="s">
        <v>197</v>
      </c>
      <c r="DB727" s="17" t="s">
        <v>228</v>
      </c>
      <c r="DC727" s="16"/>
      <c r="DD727" s="17" t="s">
        <v>228</v>
      </c>
      <c r="DE727" s="23"/>
      <c r="DF727" s="17" t="s">
        <v>228</v>
      </c>
      <c r="DG727" s="23"/>
      <c r="DH727" s="13" t="s">
        <v>205</v>
      </c>
      <c r="DI727" s="14" t="s">
        <v>179</v>
      </c>
      <c r="DJ727" s="14" t="s">
        <v>15634</v>
      </c>
      <c r="DK727" s="14" t="s">
        <v>179</v>
      </c>
      <c r="DL727" s="14" t="s">
        <v>15635</v>
      </c>
      <c r="DM727" s="15"/>
      <c r="DN727" s="15"/>
      <c r="DO727" s="15"/>
      <c r="DP727" s="15"/>
      <c r="DQ727" s="15"/>
      <c r="DR727" s="15"/>
      <c r="DS727" s="15"/>
      <c r="DT727" s="15"/>
      <c r="DU727" s="15"/>
      <c r="DV727" s="15"/>
      <c r="DW727" s="15"/>
      <c r="DX727" s="15"/>
      <c r="DY727" s="15"/>
      <c r="DZ727" s="15"/>
      <c r="EA727" s="15"/>
      <c r="EB727" s="15"/>
      <c r="EC727" s="16" t="s">
        <v>197</v>
      </c>
      <c r="ED727" s="17" t="s">
        <v>198</v>
      </c>
      <c r="EE727" s="18">
        <v>45722.36152777778</v>
      </c>
      <c r="EF727" s="13" t="s">
        <v>209</v>
      </c>
      <c r="EG727" s="14" t="s">
        <v>179</v>
      </c>
      <c r="EH727" s="14" t="s">
        <v>15636</v>
      </c>
      <c r="EI727" s="14" t="s">
        <v>179</v>
      </c>
      <c r="EJ727" s="14" t="s">
        <v>15637</v>
      </c>
      <c r="EK727" s="15"/>
      <c r="EL727" s="15"/>
      <c r="EM727" s="15"/>
      <c r="EN727" s="15"/>
      <c r="EO727" s="15"/>
      <c r="EP727" s="15"/>
      <c r="EQ727" s="15"/>
      <c r="ER727" s="15"/>
      <c r="ES727" s="15"/>
      <c r="ET727" s="15"/>
      <c r="EU727" s="15"/>
      <c r="EV727" s="15"/>
      <c r="EW727" s="15"/>
      <c r="EX727" s="15"/>
      <c r="EY727" s="15"/>
      <c r="EZ727" s="15"/>
      <c r="FA727" s="15"/>
      <c r="FB727" s="15"/>
      <c r="FC727" s="16" t="s">
        <v>197</v>
      </c>
      <c r="FD727" s="17" t="s">
        <v>198</v>
      </c>
      <c r="FE727" s="18">
        <v>45722.36158564815</v>
      </c>
      <c r="FF727" s="19"/>
      <c r="FG727" s="19"/>
      <c r="FH727" s="21" t="s">
        <v>197</v>
      </c>
      <c r="FI727" s="17" t="s">
        <v>214</v>
      </c>
      <c r="FJ727" s="18">
        <v>45722.36158564815</v>
      </c>
      <c r="FK727" s="14" t="s">
        <v>15637</v>
      </c>
      <c r="FL727" s="19"/>
      <c r="FM727" s="19"/>
      <c r="FN727" s="19"/>
      <c r="FO727" s="19"/>
      <c r="FP727" s="19" t="str">
        <f t="shared" si="1"/>
        <v/>
      </c>
      <c r="FQ727" s="14" t="s">
        <v>215</v>
      </c>
      <c r="FR727" s="14" t="s">
        <v>15638</v>
      </c>
    </row>
    <row r="728" ht="15.75" customHeight="1">
      <c r="A728" s="12" t="s">
        <v>234</v>
      </c>
      <c r="B728" s="12" t="s">
        <v>15413</v>
      </c>
      <c r="C728" s="24" t="s">
        <v>324</v>
      </c>
      <c r="D728" s="22" t="s">
        <v>15639</v>
      </c>
      <c r="E728" s="22" t="s">
        <v>15640</v>
      </c>
      <c r="F728" s="13" t="s">
        <v>178</v>
      </c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6" t="s">
        <v>197</v>
      </c>
      <c r="BP728" s="17" t="s">
        <v>228</v>
      </c>
      <c r="BQ728" s="23"/>
      <c r="BR728" s="17" t="s">
        <v>228</v>
      </c>
      <c r="BS728" s="23"/>
      <c r="BT728" s="17" t="s">
        <v>228</v>
      </c>
      <c r="BU728" s="23"/>
      <c r="BV728" s="13" t="s">
        <v>199</v>
      </c>
      <c r="BW728" s="15"/>
      <c r="BX728" s="15"/>
      <c r="BY728" s="15"/>
      <c r="BZ728" s="15"/>
      <c r="CA728" s="15"/>
      <c r="CB728" s="15"/>
      <c r="CC728" s="15"/>
      <c r="CD728" s="15"/>
      <c r="CE728" s="15"/>
      <c r="CF728" s="15"/>
      <c r="CG728" s="19"/>
      <c r="CH728" s="15"/>
      <c r="CI728" s="19"/>
      <c r="CJ728" s="15"/>
      <c r="CK728" s="19"/>
      <c r="CL728" s="15"/>
      <c r="CM728" s="19"/>
      <c r="CN728" s="15"/>
      <c r="CO728" s="19"/>
      <c r="CP728" s="15"/>
      <c r="CQ728" s="15"/>
      <c r="CR728" s="15"/>
      <c r="CS728" s="19"/>
      <c r="CT728" s="15"/>
      <c r="CU728" s="19"/>
      <c r="CV728" s="15"/>
      <c r="CW728" s="19"/>
      <c r="CX728" s="15"/>
      <c r="CY728" s="19"/>
      <c r="CZ728" s="15"/>
      <c r="DA728" s="16" t="s">
        <v>197</v>
      </c>
      <c r="DB728" s="17" t="s">
        <v>228</v>
      </c>
      <c r="DC728" s="16"/>
      <c r="DD728" s="17" t="s">
        <v>228</v>
      </c>
      <c r="DE728" s="23"/>
      <c r="DF728" s="17" t="s">
        <v>228</v>
      </c>
      <c r="DG728" s="23"/>
      <c r="DH728" s="13" t="s">
        <v>205</v>
      </c>
      <c r="DI728" s="14" t="s">
        <v>179</v>
      </c>
      <c r="DJ728" s="14" t="s">
        <v>15641</v>
      </c>
      <c r="DK728" s="14" t="s">
        <v>179</v>
      </c>
      <c r="DL728" s="14" t="s">
        <v>15642</v>
      </c>
      <c r="DM728" s="15"/>
      <c r="DN728" s="15"/>
      <c r="DO728" s="15"/>
      <c r="DP728" s="15"/>
      <c r="DQ728" s="15"/>
      <c r="DR728" s="15"/>
      <c r="DS728" s="15"/>
      <c r="DT728" s="15"/>
      <c r="DU728" s="15"/>
      <c r="DV728" s="15"/>
      <c r="DW728" s="15"/>
      <c r="DX728" s="15"/>
      <c r="DY728" s="15"/>
      <c r="DZ728" s="15"/>
      <c r="EA728" s="15"/>
      <c r="EB728" s="15"/>
      <c r="EC728" s="16" t="s">
        <v>197</v>
      </c>
      <c r="ED728" s="17" t="s">
        <v>198</v>
      </c>
      <c r="EE728" s="18">
        <v>45713.42152777778</v>
      </c>
      <c r="EF728" s="13" t="s">
        <v>209</v>
      </c>
      <c r="EG728" s="14" t="s">
        <v>179</v>
      </c>
      <c r="EH728" s="14" t="s">
        <v>15643</v>
      </c>
      <c r="EI728" s="14" t="s">
        <v>179</v>
      </c>
      <c r="EJ728" s="14" t="s">
        <v>15644</v>
      </c>
      <c r="EK728" s="15"/>
      <c r="EL728" s="15"/>
      <c r="EM728" s="15"/>
      <c r="EN728" s="15"/>
      <c r="EO728" s="15"/>
      <c r="EP728" s="15"/>
      <c r="EQ728" s="15"/>
      <c r="ER728" s="15"/>
      <c r="ES728" s="15"/>
      <c r="ET728" s="15"/>
      <c r="EU728" s="15"/>
      <c r="EV728" s="15"/>
      <c r="EW728" s="15"/>
      <c r="EX728" s="15"/>
      <c r="EY728" s="15"/>
      <c r="EZ728" s="15"/>
      <c r="FA728" s="15"/>
      <c r="FB728" s="15"/>
      <c r="FC728" s="16" t="s">
        <v>197</v>
      </c>
      <c r="FD728" s="17" t="s">
        <v>198</v>
      </c>
      <c r="FE728" s="18">
        <v>45720.35738425926</v>
      </c>
      <c r="FF728" s="19"/>
      <c r="FG728" s="19"/>
      <c r="FH728" s="21" t="s">
        <v>197</v>
      </c>
      <c r="FI728" s="17" t="s">
        <v>214</v>
      </c>
      <c r="FJ728" s="18">
        <v>45720.35738425926</v>
      </c>
      <c r="FK728" s="14" t="s">
        <v>15644</v>
      </c>
      <c r="FL728" s="14" t="s">
        <v>15645</v>
      </c>
      <c r="FM728" s="14" t="s">
        <v>15646</v>
      </c>
      <c r="FN728" s="19"/>
      <c r="FO728" s="19"/>
      <c r="FP728" s="19" t="str">
        <f t="shared" si="1"/>
        <v>Base de Dados_Images/TIC65011.Imagem do Equipamento-.170536.jpg</v>
      </c>
      <c r="FQ728" s="19"/>
      <c r="FR728" s="19"/>
    </row>
    <row r="729" ht="15.75" customHeight="1">
      <c r="A729" s="12" t="s">
        <v>234</v>
      </c>
      <c r="B729" s="12" t="s">
        <v>15431</v>
      </c>
      <c r="C729" s="24" t="s">
        <v>324</v>
      </c>
      <c r="D729" s="22" t="s">
        <v>15647</v>
      </c>
      <c r="E729" s="22" t="s">
        <v>15648</v>
      </c>
      <c r="F729" s="13" t="s">
        <v>178</v>
      </c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6" t="s">
        <v>197</v>
      </c>
      <c r="BP729" s="17" t="s">
        <v>228</v>
      </c>
      <c r="BQ729" s="23"/>
      <c r="BR729" s="17" t="s">
        <v>228</v>
      </c>
      <c r="BS729" s="23"/>
      <c r="BT729" s="17" t="s">
        <v>228</v>
      </c>
      <c r="BU729" s="23"/>
      <c r="BV729" s="13" t="s">
        <v>199</v>
      </c>
      <c r="BW729" s="15"/>
      <c r="BX729" s="15"/>
      <c r="BY729" s="15"/>
      <c r="BZ729" s="15"/>
      <c r="CA729" s="15"/>
      <c r="CB729" s="15"/>
      <c r="CC729" s="15"/>
      <c r="CD729" s="15"/>
      <c r="CE729" s="15"/>
      <c r="CF729" s="15"/>
      <c r="CG729" s="19"/>
      <c r="CH729" s="15"/>
      <c r="CI729" s="19"/>
      <c r="CJ729" s="15"/>
      <c r="CK729" s="19"/>
      <c r="CL729" s="15"/>
      <c r="CM729" s="19"/>
      <c r="CN729" s="15"/>
      <c r="CO729" s="19"/>
      <c r="CP729" s="15"/>
      <c r="CQ729" s="15"/>
      <c r="CR729" s="15"/>
      <c r="CS729" s="19"/>
      <c r="CT729" s="15"/>
      <c r="CU729" s="19"/>
      <c r="CV729" s="15"/>
      <c r="CW729" s="19"/>
      <c r="CX729" s="15"/>
      <c r="CY729" s="19"/>
      <c r="CZ729" s="15"/>
      <c r="DA729" s="16" t="s">
        <v>197</v>
      </c>
      <c r="DB729" s="17" t="s">
        <v>228</v>
      </c>
      <c r="DC729" s="16"/>
      <c r="DD729" s="17" t="s">
        <v>228</v>
      </c>
      <c r="DE729" s="23"/>
      <c r="DF729" s="17" t="s">
        <v>228</v>
      </c>
      <c r="DG729" s="23"/>
      <c r="DH729" s="13" t="s">
        <v>205</v>
      </c>
      <c r="DI729" s="14" t="s">
        <v>179</v>
      </c>
      <c r="DJ729" s="14" t="s">
        <v>15649</v>
      </c>
      <c r="DK729" s="14" t="s">
        <v>179</v>
      </c>
      <c r="DL729" s="14" t="s">
        <v>15649</v>
      </c>
      <c r="DM729" s="15"/>
      <c r="DN729" s="15"/>
      <c r="DO729" s="15"/>
      <c r="DP729" s="15"/>
      <c r="DQ729" s="15"/>
      <c r="DR729" s="15"/>
      <c r="DS729" s="15"/>
      <c r="DT729" s="15"/>
      <c r="DU729" s="15"/>
      <c r="DV729" s="15"/>
      <c r="DW729" s="15"/>
      <c r="DX729" s="15"/>
      <c r="DY729" s="15"/>
      <c r="DZ729" s="15"/>
      <c r="EA729" s="15"/>
      <c r="EB729" s="15"/>
      <c r="EC729" s="16" t="s">
        <v>197</v>
      </c>
      <c r="ED729" s="17" t="s">
        <v>198</v>
      </c>
      <c r="EE729" s="18">
        <v>45720.35706018518</v>
      </c>
      <c r="EF729" s="13" t="s">
        <v>209</v>
      </c>
      <c r="EG729" s="14" t="s">
        <v>179</v>
      </c>
      <c r="EH729" s="14" t="s">
        <v>15650</v>
      </c>
      <c r="EI729" s="14" t="s">
        <v>179</v>
      </c>
      <c r="EJ729" s="14" t="s">
        <v>15651</v>
      </c>
      <c r="EK729" s="15"/>
      <c r="EL729" s="15"/>
      <c r="EM729" s="15"/>
      <c r="EN729" s="15"/>
      <c r="EO729" s="15"/>
      <c r="EP729" s="15"/>
      <c r="EQ729" s="15"/>
      <c r="ER729" s="15"/>
      <c r="ES729" s="15"/>
      <c r="ET729" s="15"/>
      <c r="EU729" s="15"/>
      <c r="EV729" s="15"/>
      <c r="EW729" s="15"/>
      <c r="EX729" s="15"/>
      <c r="EY729" s="15"/>
      <c r="EZ729" s="15"/>
      <c r="FA729" s="15"/>
      <c r="FB729" s="15"/>
      <c r="FC729" s="16" t="s">
        <v>197</v>
      </c>
      <c r="FD729" s="17" t="s">
        <v>198</v>
      </c>
      <c r="FE729" s="18">
        <v>45720.35701388889</v>
      </c>
      <c r="FF729" s="19"/>
      <c r="FG729" s="19"/>
      <c r="FH729" s="21" t="s">
        <v>197</v>
      </c>
      <c r="FI729" s="17" t="s">
        <v>214</v>
      </c>
      <c r="FJ729" s="18">
        <v>45720.35706018518</v>
      </c>
      <c r="FK729" s="14" t="s">
        <v>15649</v>
      </c>
      <c r="FL729" s="14" t="s">
        <v>15652</v>
      </c>
      <c r="FM729" s="14" t="s">
        <v>15653</v>
      </c>
      <c r="FN729" s="19"/>
      <c r="FO729" s="19"/>
      <c r="FP729" s="19" t="str">
        <f t="shared" si="1"/>
        <v>Base de Dados_Images/TIC65012.Imagem do Equipamento-.170425.jpg</v>
      </c>
      <c r="FQ729" s="19"/>
      <c r="FR729" s="19"/>
    </row>
    <row r="730" ht="15.75" customHeight="1">
      <c r="A730" s="12" t="s">
        <v>234</v>
      </c>
      <c r="B730" s="12" t="s">
        <v>2706</v>
      </c>
      <c r="C730" s="24" t="s">
        <v>324</v>
      </c>
      <c r="D730" s="22" t="s">
        <v>15654</v>
      </c>
      <c r="E730" s="22" t="s">
        <v>15655</v>
      </c>
      <c r="F730" s="13" t="s">
        <v>178</v>
      </c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6" t="s">
        <v>197</v>
      </c>
      <c r="BP730" s="17" t="s">
        <v>228</v>
      </c>
      <c r="BQ730" s="23"/>
      <c r="BR730" s="17" t="s">
        <v>228</v>
      </c>
      <c r="BS730" s="23"/>
      <c r="BT730" s="17" t="s">
        <v>228</v>
      </c>
      <c r="BU730" s="23"/>
      <c r="BV730" s="13" t="s">
        <v>199</v>
      </c>
      <c r="BW730" s="15"/>
      <c r="BX730" s="15"/>
      <c r="BY730" s="15"/>
      <c r="BZ730" s="15"/>
      <c r="CA730" s="15"/>
      <c r="CB730" s="15"/>
      <c r="CC730" s="15"/>
      <c r="CD730" s="15"/>
      <c r="CE730" s="15"/>
      <c r="CF730" s="15"/>
      <c r="CG730" s="19"/>
      <c r="CH730" s="15"/>
      <c r="CI730" s="19"/>
      <c r="CJ730" s="15"/>
      <c r="CK730" s="19"/>
      <c r="CL730" s="15"/>
      <c r="CM730" s="19"/>
      <c r="CN730" s="15"/>
      <c r="CO730" s="19"/>
      <c r="CP730" s="15"/>
      <c r="CQ730" s="15"/>
      <c r="CR730" s="15"/>
      <c r="CS730" s="19"/>
      <c r="CT730" s="15"/>
      <c r="CU730" s="19"/>
      <c r="CV730" s="15"/>
      <c r="CW730" s="19"/>
      <c r="CX730" s="15"/>
      <c r="CY730" s="19"/>
      <c r="CZ730" s="15"/>
      <c r="DA730" s="16" t="s">
        <v>197</v>
      </c>
      <c r="DB730" s="17" t="s">
        <v>228</v>
      </c>
      <c r="DC730" s="16"/>
      <c r="DD730" s="17" t="s">
        <v>228</v>
      </c>
      <c r="DE730" s="23"/>
      <c r="DF730" s="17" t="s">
        <v>228</v>
      </c>
      <c r="DG730" s="23"/>
      <c r="DH730" s="13" t="s">
        <v>205</v>
      </c>
      <c r="DI730" s="14" t="s">
        <v>179</v>
      </c>
      <c r="DJ730" s="14" t="s">
        <v>15656</v>
      </c>
      <c r="DK730" s="14" t="s">
        <v>179</v>
      </c>
      <c r="DL730" s="14" t="s">
        <v>15657</v>
      </c>
      <c r="DM730" s="15"/>
      <c r="DN730" s="15"/>
      <c r="DO730" s="15"/>
      <c r="DP730" s="15"/>
      <c r="DQ730" s="15"/>
      <c r="DR730" s="15"/>
      <c r="DS730" s="15"/>
      <c r="DT730" s="15"/>
      <c r="DU730" s="15"/>
      <c r="DV730" s="15"/>
      <c r="DW730" s="15"/>
      <c r="DX730" s="15"/>
      <c r="DY730" s="15"/>
      <c r="DZ730" s="15"/>
      <c r="EA730" s="15"/>
      <c r="EB730" s="15"/>
      <c r="EC730" s="16" t="s">
        <v>197</v>
      </c>
      <c r="ED730" s="17" t="s">
        <v>198</v>
      </c>
      <c r="EE730" s="18">
        <v>45713.3705787037</v>
      </c>
      <c r="EF730" s="13" t="s">
        <v>209</v>
      </c>
      <c r="EG730" s="14" t="s">
        <v>179</v>
      </c>
      <c r="EH730" s="14" t="s">
        <v>15658</v>
      </c>
      <c r="EI730" s="14" t="s">
        <v>179</v>
      </c>
      <c r="EJ730" s="14" t="s">
        <v>15659</v>
      </c>
      <c r="EK730" s="15"/>
      <c r="EL730" s="15"/>
      <c r="EM730" s="15"/>
      <c r="EN730" s="15"/>
      <c r="EO730" s="15"/>
      <c r="EP730" s="15"/>
      <c r="EQ730" s="15"/>
      <c r="ER730" s="15"/>
      <c r="ES730" s="15"/>
      <c r="ET730" s="15"/>
      <c r="EU730" s="15"/>
      <c r="EV730" s="15"/>
      <c r="EW730" s="15"/>
      <c r="EX730" s="15"/>
      <c r="EY730" s="15"/>
      <c r="EZ730" s="15"/>
      <c r="FA730" s="15"/>
      <c r="FB730" s="15"/>
      <c r="FC730" s="16" t="s">
        <v>197</v>
      </c>
      <c r="FD730" s="17" t="s">
        <v>198</v>
      </c>
      <c r="FE730" s="18">
        <v>45720.33052083333</v>
      </c>
      <c r="FF730" s="19"/>
      <c r="FG730" s="19"/>
      <c r="FH730" s="21" t="s">
        <v>197</v>
      </c>
      <c r="FI730" s="17" t="s">
        <v>214</v>
      </c>
      <c r="FJ730" s="18">
        <v>45720.33052083333</v>
      </c>
      <c r="FK730" s="14" t="s">
        <v>15659</v>
      </c>
      <c r="FL730" s="14" t="s">
        <v>15660</v>
      </c>
      <c r="FM730" s="14" t="s">
        <v>15661</v>
      </c>
      <c r="FN730" s="19"/>
      <c r="FO730" s="19"/>
      <c r="FP730" s="19" t="str">
        <f t="shared" si="1"/>
        <v>Base de Dados_Images/TIC65017.Imagem do Equipamento-.163105.jpg</v>
      </c>
      <c r="FQ730" s="19"/>
      <c r="FR730" s="19"/>
    </row>
    <row r="731" ht="15.75" customHeight="1">
      <c r="A731" s="12" t="s">
        <v>234</v>
      </c>
      <c r="B731" s="12" t="s">
        <v>2743</v>
      </c>
      <c r="C731" s="24" t="s">
        <v>324</v>
      </c>
      <c r="D731" s="22" t="s">
        <v>15662</v>
      </c>
      <c r="E731" s="22" t="s">
        <v>15663</v>
      </c>
      <c r="F731" s="13" t="s">
        <v>178</v>
      </c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6" t="s">
        <v>197</v>
      </c>
      <c r="BP731" s="17" t="s">
        <v>228</v>
      </c>
      <c r="BQ731" s="23"/>
      <c r="BR731" s="17" t="s">
        <v>228</v>
      </c>
      <c r="BS731" s="23"/>
      <c r="BT731" s="17" t="s">
        <v>228</v>
      </c>
      <c r="BU731" s="23"/>
      <c r="BV731" s="13" t="s">
        <v>199</v>
      </c>
      <c r="BW731" s="15"/>
      <c r="BX731" s="15"/>
      <c r="BY731" s="15"/>
      <c r="BZ731" s="15"/>
      <c r="CA731" s="15"/>
      <c r="CB731" s="15"/>
      <c r="CC731" s="15"/>
      <c r="CD731" s="15"/>
      <c r="CE731" s="15"/>
      <c r="CF731" s="15"/>
      <c r="CG731" s="19"/>
      <c r="CH731" s="15"/>
      <c r="CI731" s="19"/>
      <c r="CJ731" s="15"/>
      <c r="CK731" s="19"/>
      <c r="CL731" s="15"/>
      <c r="CM731" s="19"/>
      <c r="CN731" s="15"/>
      <c r="CO731" s="19"/>
      <c r="CP731" s="15"/>
      <c r="CQ731" s="15"/>
      <c r="CR731" s="15"/>
      <c r="CS731" s="19"/>
      <c r="CT731" s="15"/>
      <c r="CU731" s="19"/>
      <c r="CV731" s="15"/>
      <c r="CW731" s="19"/>
      <c r="CX731" s="15"/>
      <c r="CY731" s="19"/>
      <c r="CZ731" s="15"/>
      <c r="DA731" s="16" t="s">
        <v>197</v>
      </c>
      <c r="DB731" s="17" t="s">
        <v>228</v>
      </c>
      <c r="DC731" s="16"/>
      <c r="DD731" s="17" t="s">
        <v>228</v>
      </c>
      <c r="DE731" s="23"/>
      <c r="DF731" s="17" t="s">
        <v>228</v>
      </c>
      <c r="DG731" s="23"/>
      <c r="DH731" s="13" t="s">
        <v>205</v>
      </c>
      <c r="DI731" s="14" t="s">
        <v>179</v>
      </c>
      <c r="DJ731" s="14" t="s">
        <v>15664</v>
      </c>
      <c r="DK731" s="14" t="s">
        <v>179</v>
      </c>
      <c r="DL731" s="14" t="s">
        <v>15665</v>
      </c>
      <c r="DM731" s="15"/>
      <c r="DN731" s="15"/>
      <c r="DO731" s="15"/>
      <c r="DP731" s="15"/>
      <c r="DQ731" s="15"/>
      <c r="DR731" s="15"/>
      <c r="DS731" s="15"/>
      <c r="DT731" s="15"/>
      <c r="DU731" s="15"/>
      <c r="DV731" s="15"/>
      <c r="DW731" s="15"/>
      <c r="DX731" s="15"/>
      <c r="DY731" s="15"/>
      <c r="DZ731" s="15"/>
      <c r="EA731" s="15"/>
      <c r="EB731" s="15"/>
      <c r="EC731" s="16" t="s">
        <v>197</v>
      </c>
      <c r="ED731" s="17" t="s">
        <v>198</v>
      </c>
      <c r="EE731" s="18">
        <v>45695.57030092592</v>
      </c>
      <c r="EF731" s="13" t="s">
        <v>209</v>
      </c>
      <c r="EG731" s="14" t="s">
        <v>179</v>
      </c>
      <c r="EH731" s="14" t="s">
        <v>15666</v>
      </c>
      <c r="EI731" s="14" t="s">
        <v>179</v>
      </c>
      <c r="EJ731" s="14" t="s">
        <v>15666</v>
      </c>
      <c r="EK731" s="15"/>
      <c r="EL731" s="15"/>
      <c r="EM731" s="15"/>
      <c r="EN731" s="15"/>
      <c r="EO731" s="15"/>
      <c r="EP731" s="15"/>
      <c r="EQ731" s="15"/>
      <c r="ER731" s="15"/>
      <c r="ES731" s="15"/>
      <c r="ET731" s="15"/>
      <c r="EU731" s="15"/>
      <c r="EV731" s="15"/>
      <c r="EW731" s="15"/>
      <c r="EX731" s="15"/>
      <c r="EY731" s="15"/>
      <c r="EZ731" s="15"/>
      <c r="FA731" s="15"/>
      <c r="FB731" s="15"/>
      <c r="FC731" s="16" t="s">
        <v>197</v>
      </c>
      <c r="FD731" s="17" t="s">
        <v>198</v>
      </c>
      <c r="FE731" s="18">
        <v>45720.3422337963</v>
      </c>
      <c r="FF731" s="19"/>
      <c r="FG731" s="19"/>
      <c r="FH731" s="21" t="s">
        <v>197</v>
      </c>
      <c r="FI731" s="17" t="s">
        <v>214</v>
      </c>
      <c r="FJ731" s="18">
        <v>45720.3422337963</v>
      </c>
      <c r="FK731" s="14" t="s">
        <v>15666</v>
      </c>
      <c r="FL731" s="14" t="s">
        <v>15667</v>
      </c>
      <c r="FM731" s="14" t="s">
        <v>15668</v>
      </c>
      <c r="FN731" s="19"/>
      <c r="FO731" s="19"/>
      <c r="FP731" s="19" t="str">
        <f t="shared" si="1"/>
        <v>Base de Dados_Images/TIC65018.Imagem do Equipamento-.164334.jpg</v>
      </c>
      <c r="FQ731" s="19"/>
      <c r="FR731" s="19"/>
    </row>
    <row r="732" ht="15.75" customHeight="1">
      <c r="A732" s="12" t="s">
        <v>234</v>
      </c>
      <c r="B732" s="12" t="s">
        <v>2779</v>
      </c>
      <c r="C732" s="24" t="s">
        <v>324</v>
      </c>
      <c r="D732" s="22" t="s">
        <v>15669</v>
      </c>
      <c r="E732" s="22" t="s">
        <v>15670</v>
      </c>
      <c r="F732" s="13" t="s">
        <v>178</v>
      </c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6" t="s">
        <v>197</v>
      </c>
      <c r="BP732" s="17" t="s">
        <v>228</v>
      </c>
      <c r="BQ732" s="23"/>
      <c r="BR732" s="17" t="s">
        <v>228</v>
      </c>
      <c r="BS732" s="23"/>
      <c r="BT732" s="17" t="s">
        <v>228</v>
      </c>
      <c r="BU732" s="23"/>
      <c r="BV732" s="13" t="s">
        <v>199</v>
      </c>
      <c r="BW732" s="15"/>
      <c r="BX732" s="15"/>
      <c r="BY732" s="15"/>
      <c r="BZ732" s="15"/>
      <c r="CA732" s="15"/>
      <c r="CB732" s="15"/>
      <c r="CC732" s="15"/>
      <c r="CD732" s="15"/>
      <c r="CE732" s="15"/>
      <c r="CF732" s="15"/>
      <c r="CG732" s="19"/>
      <c r="CH732" s="15"/>
      <c r="CI732" s="19"/>
      <c r="CJ732" s="15"/>
      <c r="CK732" s="19"/>
      <c r="CL732" s="15"/>
      <c r="CM732" s="19"/>
      <c r="CN732" s="15"/>
      <c r="CO732" s="19"/>
      <c r="CP732" s="15"/>
      <c r="CQ732" s="15"/>
      <c r="CR732" s="15"/>
      <c r="CS732" s="19"/>
      <c r="CT732" s="15"/>
      <c r="CU732" s="19"/>
      <c r="CV732" s="15"/>
      <c r="CW732" s="19"/>
      <c r="CX732" s="15"/>
      <c r="CY732" s="19"/>
      <c r="CZ732" s="15"/>
      <c r="DA732" s="16" t="s">
        <v>197</v>
      </c>
      <c r="DB732" s="17" t="s">
        <v>228</v>
      </c>
      <c r="DC732" s="16"/>
      <c r="DD732" s="17" t="s">
        <v>228</v>
      </c>
      <c r="DE732" s="23"/>
      <c r="DF732" s="17" t="s">
        <v>228</v>
      </c>
      <c r="DG732" s="23"/>
      <c r="DH732" s="13" t="s">
        <v>205</v>
      </c>
      <c r="DI732" s="14" t="s">
        <v>179</v>
      </c>
      <c r="DJ732" s="14" t="s">
        <v>15671</v>
      </c>
      <c r="DK732" s="14" t="s">
        <v>179</v>
      </c>
      <c r="DL732" s="14" t="s">
        <v>15672</v>
      </c>
      <c r="DM732" s="15"/>
      <c r="DN732" s="15"/>
      <c r="DO732" s="15"/>
      <c r="DP732" s="15"/>
      <c r="DQ732" s="15"/>
      <c r="DR732" s="15"/>
      <c r="DS732" s="15"/>
      <c r="DT732" s="15"/>
      <c r="DU732" s="15"/>
      <c r="DV732" s="15"/>
      <c r="DW732" s="15"/>
      <c r="DX732" s="15"/>
      <c r="DY732" s="15"/>
      <c r="DZ732" s="15"/>
      <c r="EA732" s="15"/>
      <c r="EB732" s="15"/>
      <c r="EC732" s="16" t="s">
        <v>197</v>
      </c>
      <c r="ED732" s="17" t="s">
        <v>198</v>
      </c>
      <c r="EE732" s="18">
        <v>45694.57508101852</v>
      </c>
      <c r="EF732" s="13" t="s">
        <v>209</v>
      </c>
      <c r="EG732" s="14" t="s">
        <v>179</v>
      </c>
      <c r="EH732" s="14" t="s">
        <v>15673</v>
      </c>
      <c r="EI732" s="14" t="s">
        <v>179</v>
      </c>
      <c r="EJ732" s="14" t="s">
        <v>15673</v>
      </c>
      <c r="EK732" s="15"/>
      <c r="EL732" s="15"/>
      <c r="EM732" s="15"/>
      <c r="EN732" s="15"/>
      <c r="EO732" s="15"/>
      <c r="EP732" s="15"/>
      <c r="EQ732" s="15"/>
      <c r="ER732" s="15"/>
      <c r="ES732" s="15"/>
      <c r="ET732" s="15"/>
      <c r="EU732" s="15"/>
      <c r="EV732" s="15"/>
      <c r="EW732" s="15"/>
      <c r="EX732" s="15"/>
      <c r="EY732" s="15"/>
      <c r="EZ732" s="15"/>
      <c r="FA732" s="15"/>
      <c r="FB732" s="15"/>
      <c r="FC732" s="16" t="s">
        <v>197</v>
      </c>
      <c r="FD732" s="17" t="s">
        <v>198</v>
      </c>
      <c r="FE732" s="18">
        <v>45720.33310185185</v>
      </c>
      <c r="FF732" s="19"/>
      <c r="FG732" s="19"/>
      <c r="FH732" s="21" t="s">
        <v>197</v>
      </c>
      <c r="FI732" s="17" t="s">
        <v>214</v>
      </c>
      <c r="FJ732" s="18">
        <v>45720.33310185185</v>
      </c>
      <c r="FK732" s="14" t="s">
        <v>15673</v>
      </c>
      <c r="FL732" s="14" t="s">
        <v>15674</v>
      </c>
      <c r="FM732" s="14" t="s">
        <v>15675</v>
      </c>
      <c r="FN732" s="19"/>
      <c r="FO732" s="19"/>
      <c r="FP732" s="19" t="str">
        <f t="shared" si="1"/>
        <v>Base de Dados_Images/TIC65019.Imagem do Equipamento-.164741.jpg</v>
      </c>
      <c r="FQ732" s="19"/>
      <c r="FR732" s="19"/>
    </row>
    <row r="733" ht="15.75" customHeight="1">
      <c r="A733" s="12" t="s">
        <v>234</v>
      </c>
      <c r="B733" s="12" t="s">
        <v>2816</v>
      </c>
      <c r="C733" s="24" t="s">
        <v>324</v>
      </c>
      <c r="D733" s="22" t="s">
        <v>15676</v>
      </c>
      <c r="E733" s="22" t="s">
        <v>15677</v>
      </c>
      <c r="F733" s="13" t="s">
        <v>178</v>
      </c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6" t="s">
        <v>197</v>
      </c>
      <c r="BP733" s="17" t="s">
        <v>228</v>
      </c>
      <c r="BQ733" s="23"/>
      <c r="BR733" s="17" t="s">
        <v>228</v>
      </c>
      <c r="BS733" s="23"/>
      <c r="BT733" s="17" t="s">
        <v>228</v>
      </c>
      <c r="BU733" s="23"/>
      <c r="BV733" s="13" t="s">
        <v>199</v>
      </c>
      <c r="BW733" s="15"/>
      <c r="BX733" s="15"/>
      <c r="BY733" s="15"/>
      <c r="BZ733" s="15"/>
      <c r="CA733" s="15"/>
      <c r="CB733" s="15"/>
      <c r="CC733" s="15"/>
      <c r="CD733" s="15"/>
      <c r="CE733" s="15"/>
      <c r="CF733" s="15"/>
      <c r="CG733" s="19"/>
      <c r="CH733" s="15"/>
      <c r="CI733" s="19"/>
      <c r="CJ733" s="15"/>
      <c r="CK733" s="19"/>
      <c r="CL733" s="15"/>
      <c r="CM733" s="19"/>
      <c r="CN733" s="15"/>
      <c r="CO733" s="19"/>
      <c r="CP733" s="15"/>
      <c r="CQ733" s="15"/>
      <c r="CR733" s="15"/>
      <c r="CS733" s="19"/>
      <c r="CT733" s="15"/>
      <c r="CU733" s="19"/>
      <c r="CV733" s="15"/>
      <c r="CW733" s="19"/>
      <c r="CX733" s="15"/>
      <c r="CY733" s="19"/>
      <c r="CZ733" s="15"/>
      <c r="DA733" s="16" t="s">
        <v>197</v>
      </c>
      <c r="DB733" s="17" t="s">
        <v>228</v>
      </c>
      <c r="DC733" s="16"/>
      <c r="DD733" s="17" t="s">
        <v>228</v>
      </c>
      <c r="DE733" s="23"/>
      <c r="DF733" s="17" t="s">
        <v>228</v>
      </c>
      <c r="DG733" s="23"/>
      <c r="DH733" s="13" t="s">
        <v>205</v>
      </c>
      <c r="DI733" s="14" t="s">
        <v>179</v>
      </c>
      <c r="DJ733" s="14" t="s">
        <v>15678</v>
      </c>
      <c r="DK733" s="14" t="s">
        <v>179</v>
      </c>
      <c r="DL733" s="14" t="s">
        <v>15679</v>
      </c>
      <c r="DM733" s="15"/>
      <c r="DN733" s="15"/>
      <c r="DO733" s="15"/>
      <c r="DP733" s="15"/>
      <c r="DQ733" s="15"/>
      <c r="DR733" s="15"/>
      <c r="DS733" s="15"/>
      <c r="DT733" s="15"/>
      <c r="DU733" s="15"/>
      <c r="DV733" s="15"/>
      <c r="DW733" s="15"/>
      <c r="DX733" s="15"/>
      <c r="DY733" s="15"/>
      <c r="DZ733" s="15"/>
      <c r="EA733" s="15"/>
      <c r="EB733" s="15"/>
      <c r="EC733" s="16" t="s">
        <v>197</v>
      </c>
      <c r="ED733" s="17" t="s">
        <v>198</v>
      </c>
      <c r="EE733" s="18">
        <v>45694.57778935185</v>
      </c>
      <c r="EF733" s="13" t="s">
        <v>209</v>
      </c>
      <c r="EG733" s="14" t="s">
        <v>179</v>
      </c>
      <c r="EH733" s="14" t="s">
        <v>15680</v>
      </c>
      <c r="EI733" s="14" t="s">
        <v>179</v>
      </c>
      <c r="EJ733" s="14" t="s">
        <v>15681</v>
      </c>
      <c r="EK733" s="15"/>
      <c r="EL733" s="15"/>
      <c r="EM733" s="15"/>
      <c r="EN733" s="15"/>
      <c r="EO733" s="15"/>
      <c r="EP733" s="15"/>
      <c r="EQ733" s="15"/>
      <c r="ER733" s="15"/>
      <c r="ES733" s="15"/>
      <c r="ET733" s="15"/>
      <c r="EU733" s="15"/>
      <c r="EV733" s="15"/>
      <c r="EW733" s="15"/>
      <c r="EX733" s="15"/>
      <c r="EY733" s="15"/>
      <c r="EZ733" s="15"/>
      <c r="FA733" s="15"/>
      <c r="FB733" s="15"/>
      <c r="FC733" s="16" t="s">
        <v>197</v>
      </c>
      <c r="FD733" s="17" t="s">
        <v>198</v>
      </c>
      <c r="FE733" s="18">
        <v>45720.34380787037</v>
      </c>
      <c r="FF733" s="19"/>
      <c r="FG733" s="19"/>
      <c r="FH733" s="21" t="s">
        <v>197</v>
      </c>
      <c r="FI733" s="17" t="s">
        <v>214</v>
      </c>
      <c r="FJ733" s="18">
        <v>45720.34380787037</v>
      </c>
      <c r="FK733" s="14" t="s">
        <v>15681</v>
      </c>
      <c r="FL733" s="14" t="s">
        <v>15682</v>
      </c>
      <c r="FM733" s="14" t="s">
        <v>15683</v>
      </c>
      <c r="FN733" s="19"/>
      <c r="FO733" s="19"/>
      <c r="FP733" s="19" t="str">
        <f t="shared" si="1"/>
        <v>Base de Dados_Images/TIC65020.Imagem do Equipamento-.165159.jpg</v>
      </c>
      <c r="FQ733" s="19"/>
      <c r="FR733" s="19"/>
    </row>
    <row r="734" ht="15.75" customHeight="1">
      <c r="A734" s="12" t="s">
        <v>234</v>
      </c>
      <c r="B734" s="12" t="s">
        <v>2850</v>
      </c>
      <c r="C734" s="24" t="s">
        <v>324</v>
      </c>
      <c r="D734" s="22" t="s">
        <v>15684</v>
      </c>
      <c r="E734" s="22" t="s">
        <v>15685</v>
      </c>
      <c r="F734" s="13" t="s">
        <v>178</v>
      </c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6" t="s">
        <v>197</v>
      </c>
      <c r="BP734" s="17" t="s">
        <v>228</v>
      </c>
      <c r="BQ734" s="23"/>
      <c r="BR734" s="17" t="s">
        <v>228</v>
      </c>
      <c r="BS734" s="23"/>
      <c r="BT734" s="17" t="s">
        <v>228</v>
      </c>
      <c r="BU734" s="23"/>
      <c r="BV734" s="13" t="s">
        <v>199</v>
      </c>
      <c r="BW734" s="15"/>
      <c r="BX734" s="15"/>
      <c r="BY734" s="15"/>
      <c r="BZ734" s="15"/>
      <c r="CA734" s="15"/>
      <c r="CB734" s="15"/>
      <c r="CC734" s="15"/>
      <c r="CD734" s="15"/>
      <c r="CE734" s="15"/>
      <c r="CF734" s="15"/>
      <c r="CG734" s="19"/>
      <c r="CH734" s="15"/>
      <c r="CI734" s="19"/>
      <c r="CJ734" s="15"/>
      <c r="CK734" s="19"/>
      <c r="CL734" s="15"/>
      <c r="CM734" s="19"/>
      <c r="CN734" s="15"/>
      <c r="CO734" s="19"/>
      <c r="CP734" s="15"/>
      <c r="CQ734" s="15"/>
      <c r="CR734" s="15"/>
      <c r="CS734" s="19"/>
      <c r="CT734" s="15"/>
      <c r="CU734" s="19"/>
      <c r="CV734" s="15"/>
      <c r="CW734" s="19"/>
      <c r="CX734" s="15"/>
      <c r="CY734" s="19"/>
      <c r="CZ734" s="15"/>
      <c r="DA734" s="16" t="s">
        <v>197</v>
      </c>
      <c r="DB734" s="17" t="s">
        <v>228</v>
      </c>
      <c r="DC734" s="16"/>
      <c r="DD734" s="17" t="s">
        <v>228</v>
      </c>
      <c r="DE734" s="23"/>
      <c r="DF734" s="17" t="s">
        <v>228</v>
      </c>
      <c r="DG734" s="23"/>
      <c r="DH734" s="13" t="s">
        <v>205</v>
      </c>
      <c r="DI734" s="14" t="s">
        <v>179</v>
      </c>
      <c r="DJ734" s="14" t="s">
        <v>15686</v>
      </c>
      <c r="DK734" s="14" t="s">
        <v>179</v>
      </c>
      <c r="DL734" s="14" t="s">
        <v>15687</v>
      </c>
      <c r="DM734" s="15"/>
      <c r="DN734" s="15"/>
      <c r="DO734" s="15"/>
      <c r="DP734" s="15"/>
      <c r="DQ734" s="15"/>
      <c r="DR734" s="15"/>
      <c r="DS734" s="15"/>
      <c r="DT734" s="15"/>
      <c r="DU734" s="15"/>
      <c r="DV734" s="15"/>
      <c r="DW734" s="15"/>
      <c r="DX734" s="15"/>
      <c r="DY734" s="15"/>
      <c r="DZ734" s="15"/>
      <c r="EA734" s="15"/>
      <c r="EB734" s="15"/>
      <c r="EC734" s="16" t="s">
        <v>197</v>
      </c>
      <c r="ED734" s="17" t="s">
        <v>198</v>
      </c>
      <c r="EE734" s="18">
        <v>45694.57969907407</v>
      </c>
      <c r="EF734" s="13" t="s">
        <v>209</v>
      </c>
      <c r="EG734" s="14" t="s">
        <v>179</v>
      </c>
      <c r="EH734" s="14" t="s">
        <v>15688</v>
      </c>
      <c r="EI734" s="14" t="s">
        <v>179</v>
      </c>
      <c r="EJ734" s="14" t="s">
        <v>15689</v>
      </c>
      <c r="EK734" s="15"/>
      <c r="EL734" s="15"/>
      <c r="EM734" s="15"/>
      <c r="EN734" s="15"/>
      <c r="EO734" s="15"/>
      <c r="EP734" s="15"/>
      <c r="EQ734" s="15"/>
      <c r="ER734" s="15"/>
      <c r="ES734" s="15"/>
      <c r="ET734" s="15"/>
      <c r="EU734" s="15"/>
      <c r="EV734" s="15"/>
      <c r="EW734" s="15"/>
      <c r="EX734" s="15"/>
      <c r="EY734" s="15"/>
      <c r="EZ734" s="15"/>
      <c r="FA734" s="15"/>
      <c r="FB734" s="15"/>
      <c r="FC734" s="16" t="s">
        <v>197</v>
      </c>
      <c r="FD734" s="17" t="s">
        <v>198</v>
      </c>
      <c r="FE734" s="18">
        <v>45720.34601851852</v>
      </c>
      <c r="FF734" s="19"/>
      <c r="FG734" s="19"/>
      <c r="FH734" s="21" t="s">
        <v>197</v>
      </c>
      <c r="FI734" s="17" t="s">
        <v>214</v>
      </c>
      <c r="FJ734" s="18">
        <v>45720.34601851852</v>
      </c>
      <c r="FK734" s="14" t="s">
        <v>15689</v>
      </c>
      <c r="FL734" s="14" t="s">
        <v>15690</v>
      </c>
      <c r="FM734" s="14" t="s">
        <v>15691</v>
      </c>
      <c r="FN734" s="19"/>
      <c r="FO734" s="19"/>
      <c r="FP734" s="19" t="str">
        <f t="shared" si="1"/>
        <v>Base de Dados_Images/TIC65021.Imagem do Equipamento-.165444.jpg</v>
      </c>
      <c r="FQ734" s="19"/>
      <c r="FR734" s="19"/>
    </row>
    <row r="735" ht="15.75" customHeight="1">
      <c r="A735" s="12" t="s">
        <v>234</v>
      </c>
      <c r="B735" s="12" t="s">
        <v>2885</v>
      </c>
      <c r="C735" s="24" t="s">
        <v>324</v>
      </c>
      <c r="D735" s="22" t="s">
        <v>15692</v>
      </c>
      <c r="E735" s="22" t="s">
        <v>15693</v>
      </c>
      <c r="F735" s="13" t="s">
        <v>178</v>
      </c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6" t="s">
        <v>197</v>
      </c>
      <c r="BP735" s="17" t="s">
        <v>228</v>
      </c>
      <c r="BQ735" s="23"/>
      <c r="BR735" s="17" t="s">
        <v>228</v>
      </c>
      <c r="BS735" s="23"/>
      <c r="BT735" s="17" t="s">
        <v>228</v>
      </c>
      <c r="BU735" s="23"/>
      <c r="BV735" s="13" t="s">
        <v>199</v>
      </c>
      <c r="BW735" s="15"/>
      <c r="BX735" s="15"/>
      <c r="BY735" s="15"/>
      <c r="BZ735" s="15"/>
      <c r="CA735" s="15"/>
      <c r="CB735" s="15"/>
      <c r="CC735" s="15"/>
      <c r="CD735" s="15"/>
      <c r="CE735" s="15"/>
      <c r="CF735" s="15"/>
      <c r="CG735" s="19"/>
      <c r="CH735" s="15"/>
      <c r="CI735" s="19"/>
      <c r="CJ735" s="15"/>
      <c r="CK735" s="19"/>
      <c r="CL735" s="15"/>
      <c r="CM735" s="19"/>
      <c r="CN735" s="15"/>
      <c r="CO735" s="19"/>
      <c r="CP735" s="15"/>
      <c r="CQ735" s="15"/>
      <c r="CR735" s="15"/>
      <c r="CS735" s="19"/>
      <c r="CT735" s="15"/>
      <c r="CU735" s="19"/>
      <c r="CV735" s="15"/>
      <c r="CW735" s="19"/>
      <c r="CX735" s="15"/>
      <c r="CY735" s="19"/>
      <c r="CZ735" s="15"/>
      <c r="DA735" s="16" t="s">
        <v>197</v>
      </c>
      <c r="DB735" s="17" t="s">
        <v>228</v>
      </c>
      <c r="DC735" s="16"/>
      <c r="DD735" s="17" t="s">
        <v>228</v>
      </c>
      <c r="DE735" s="23"/>
      <c r="DF735" s="17" t="s">
        <v>228</v>
      </c>
      <c r="DG735" s="23"/>
      <c r="DH735" s="13" t="s">
        <v>205</v>
      </c>
      <c r="DI735" s="14" t="s">
        <v>179</v>
      </c>
      <c r="DJ735" s="14" t="s">
        <v>15694</v>
      </c>
      <c r="DK735" s="14" t="s">
        <v>179</v>
      </c>
      <c r="DL735" s="14" t="s">
        <v>15695</v>
      </c>
      <c r="DM735" s="15"/>
      <c r="DN735" s="15"/>
      <c r="DO735" s="15"/>
      <c r="DP735" s="15"/>
      <c r="DQ735" s="15"/>
      <c r="DR735" s="15"/>
      <c r="DS735" s="15"/>
      <c r="DT735" s="15"/>
      <c r="DU735" s="15"/>
      <c r="DV735" s="15"/>
      <c r="DW735" s="15"/>
      <c r="DX735" s="15"/>
      <c r="DY735" s="15"/>
      <c r="DZ735" s="15"/>
      <c r="EA735" s="15"/>
      <c r="EB735" s="15"/>
      <c r="EC735" s="16" t="s">
        <v>197</v>
      </c>
      <c r="ED735" s="17" t="s">
        <v>198</v>
      </c>
      <c r="EE735" s="18">
        <v>45694.58261574074</v>
      </c>
      <c r="EF735" s="13" t="s">
        <v>209</v>
      </c>
      <c r="EG735" s="14" t="s">
        <v>179</v>
      </c>
      <c r="EH735" s="14" t="s">
        <v>15696</v>
      </c>
      <c r="EI735" s="14" t="s">
        <v>179</v>
      </c>
      <c r="EJ735" s="14" t="s">
        <v>15697</v>
      </c>
      <c r="EK735" s="15"/>
      <c r="EL735" s="15"/>
      <c r="EM735" s="15"/>
      <c r="EN735" s="15"/>
      <c r="EO735" s="15"/>
      <c r="EP735" s="15"/>
      <c r="EQ735" s="15"/>
      <c r="ER735" s="15"/>
      <c r="ES735" s="15"/>
      <c r="ET735" s="15"/>
      <c r="EU735" s="15"/>
      <c r="EV735" s="15"/>
      <c r="EW735" s="15"/>
      <c r="EX735" s="15"/>
      <c r="EY735" s="15"/>
      <c r="EZ735" s="15"/>
      <c r="FA735" s="15"/>
      <c r="FB735" s="15"/>
      <c r="FC735" s="16" t="s">
        <v>197</v>
      </c>
      <c r="FD735" s="17" t="s">
        <v>198</v>
      </c>
      <c r="FE735" s="18">
        <v>45720.35364583333</v>
      </c>
      <c r="FF735" s="19"/>
      <c r="FG735" s="19"/>
      <c r="FH735" s="21" t="s">
        <v>197</v>
      </c>
      <c r="FI735" s="17" t="s">
        <v>214</v>
      </c>
      <c r="FJ735" s="18">
        <v>45720.35364583333</v>
      </c>
      <c r="FK735" s="14" t="s">
        <v>15697</v>
      </c>
      <c r="FL735" s="14" t="s">
        <v>15698</v>
      </c>
      <c r="FM735" s="14" t="s">
        <v>15699</v>
      </c>
      <c r="FN735" s="19"/>
      <c r="FO735" s="19"/>
      <c r="FP735" s="19" t="str">
        <f t="shared" si="1"/>
        <v>Base de Dados_Images/TIC65022.Imagem do Equipamento-.165847.jpg</v>
      </c>
      <c r="FQ735" s="19"/>
      <c r="FR735" s="19"/>
    </row>
    <row r="736" ht="15.75" customHeight="1">
      <c r="A736" s="12" t="s">
        <v>234</v>
      </c>
      <c r="B736" s="12" t="s">
        <v>2921</v>
      </c>
      <c r="C736" s="24" t="s">
        <v>324</v>
      </c>
      <c r="D736" s="22" t="s">
        <v>15700</v>
      </c>
      <c r="E736" s="22" t="s">
        <v>15701</v>
      </c>
      <c r="F736" s="13" t="s">
        <v>178</v>
      </c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6" t="s">
        <v>197</v>
      </c>
      <c r="BP736" s="17" t="s">
        <v>228</v>
      </c>
      <c r="BQ736" s="23"/>
      <c r="BR736" s="17" t="s">
        <v>228</v>
      </c>
      <c r="BS736" s="23"/>
      <c r="BT736" s="17" t="s">
        <v>228</v>
      </c>
      <c r="BU736" s="23"/>
      <c r="BV736" s="13" t="s">
        <v>199</v>
      </c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  <c r="CG736" s="19"/>
      <c r="CH736" s="15"/>
      <c r="CI736" s="19"/>
      <c r="CJ736" s="15"/>
      <c r="CK736" s="19"/>
      <c r="CL736" s="15"/>
      <c r="CM736" s="19"/>
      <c r="CN736" s="15"/>
      <c r="CO736" s="19"/>
      <c r="CP736" s="15"/>
      <c r="CQ736" s="15"/>
      <c r="CR736" s="15"/>
      <c r="CS736" s="19"/>
      <c r="CT736" s="15"/>
      <c r="CU736" s="19"/>
      <c r="CV736" s="15"/>
      <c r="CW736" s="19"/>
      <c r="CX736" s="15"/>
      <c r="CY736" s="19"/>
      <c r="CZ736" s="15"/>
      <c r="DA736" s="16" t="s">
        <v>197</v>
      </c>
      <c r="DB736" s="17" t="s">
        <v>228</v>
      </c>
      <c r="DC736" s="16"/>
      <c r="DD736" s="17" t="s">
        <v>228</v>
      </c>
      <c r="DE736" s="23"/>
      <c r="DF736" s="17" t="s">
        <v>228</v>
      </c>
      <c r="DG736" s="23"/>
      <c r="DH736" s="13" t="s">
        <v>205</v>
      </c>
      <c r="DI736" s="14" t="s">
        <v>179</v>
      </c>
      <c r="DJ736" s="14" t="s">
        <v>15702</v>
      </c>
      <c r="DK736" s="14" t="s">
        <v>179</v>
      </c>
      <c r="DL736" s="14" t="s">
        <v>15703</v>
      </c>
      <c r="DM736" s="15"/>
      <c r="DN736" s="15"/>
      <c r="DO736" s="15"/>
      <c r="DP736" s="15"/>
      <c r="DQ736" s="15"/>
      <c r="DR736" s="15"/>
      <c r="DS736" s="15"/>
      <c r="DT736" s="15"/>
      <c r="DU736" s="15"/>
      <c r="DV736" s="15"/>
      <c r="DW736" s="15"/>
      <c r="DX736" s="15"/>
      <c r="DY736" s="15"/>
      <c r="DZ736" s="15"/>
      <c r="EA736" s="15"/>
      <c r="EB736" s="15"/>
      <c r="EC736" s="16" t="s">
        <v>197</v>
      </c>
      <c r="ED736" s="17" t="s">
        <v>198</v>
      </c>
      <c r="EE736" s="18">
        <v>45694.584282407406</v>
      </c>
      <c r="EF736" s="13" t="s">
        <v>209</v>
      </c>
      <c r="EG736" s="14" t="s">
        <v>179</v>
      </c>
      <c r="EH736" s="14" t="s">
        <v>15704</v>
      </c>
      <c r="EI736" s="14" t="s">
        <v>179</v>
      </c>
      <c r="EJ736" s="14" t="s">
        <v>15705</v>
      </c>
      <c r="EK736" s="15"/>
      <c r="EL736" s="15"/>
      <c r="EM736" s="15"/>
      <c r="EN736" s="15"/>
      <c r="EO736" s="15"/>
      <c r="EP736" s="15"/>
      <c r="EQ736" s="15"/>
      <c r="ER736" s="15"/>
      <c r="ES736" s="15"/>
      <c r="ET736" s="15"/>
      <c r="EU736" s="15"/>
      <c r="EV736" s="15"/>
      <c r="EW736" s="15"/>
      <c r="EX736" s="15"/>
      <c r="EY736" s="15"/>
      <c r="EZ736" s="15"/>
      <c r="FA736" s="15"/>
      <c r="FB736" s="15"/>
      <c r="FC736" s="16" t="s">
        <v>197</v>
      </c>
      <c r="FD736" s="17" t="s">
        <v>198</v>
      </c>
      <c r="FE736" s="18">
        <v>45720.351377314815</v>
      </c>
      <c r="FF736" s="19"/>
      <c r="FG736" s="19"/>
      <c r="FH736" s="21" t="s">
        <v>197</v>
      </c>
      <c r="FI736" s="17" t="s">
        <v>214</v>
      </c>
      <c r="FJ736" s="18">
        <v>45720.351377314815</v>
      </c>
      <c r="FK736" s="14" t="s">
        <v>15705</v>
      </c>
      <c r="FL736" s="14" t="s">
        <v>15706</v>
      </c>
      <c r="FM736" s="14" t="s">
        <v>15707</v>
      </c>
      <c r="FN736" s="19"/>
      <c r="FO736" s="19"/>
      <c r="FP736" s="19" t="str">
        <f t="shared" si="1"/>
        <v>Base de Dados_Images/TIC65023.Imagem do Equipamento-.170120.jpg</v>
      </c>
      <c r="FQ736" s="19"/>
      <c r="FR736" s="19"/>
    </row>
    <row r="737" ht="15.75" customHeight="1">
      <c r="A737" s="12" t="s">
        <v>547</v>
      </c>
      <c r="B737" s="12" t="s">
        <v>3584</v>
      </c>
      <c r="C737" s="24" t="s">
        <v>324</v>
      </c>
      <c r="D737" s="22" t="s">
        <v>15708</v>
      </c>
      <c r="E737" s="22" t="s">
        <v>15709</v>
      </c>
      <c r="F737" s="13" t="s">
        <v>178</v>
      </c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6" t="s">
        <v>197</v>
      </c>
      <c r="BP737" s="17" t="s">
        <v>228</v>
      </c>
      <c r="BQ737" s="23"/>
      <c r="BR737" s="17" t="s">
        <v>228</v>
      </c>
      <c r="BS737" s="23"/>
      <c r="BT737" s="17" t="s">
        <v>228</v>
      </c>
      <c r="BU737" s="23"/>
      <c r="BV737" s="13" t="s">
        <v>199</v>
      </c>
      <c r="BW737" s="15"/>
      <c r="BX737" s="15"/>
      <c r="BY737" s="15"/>
      <c r="BZ737" s="15"/>
      <c r="CA737" s="15"/>
      <c r="CB737" s="15"/>
      <c r="CC737" s="15"/>
      <c r="CD737" s="15"/>
      <c r="CE737" s="15"/>
      <c r="CF737" s="15"/>
      <c r="CG737" s="19"/>
      <c r="CH737" s="15"/>
      <c r="CI737" s="19"/>
      <c r="CJ737" s="15"/>
      <c r="CK737" s="19"/>
      <c r="CL737" s="15"/>
      <c r="CM737" s="19"/>
      <c r="CN737" s="15"/>
      <c r="CO737" s="19"/>
      <c r="CP737" s="15"/>
      <c r="CQ737" s="15"/>
      <c r="CR737" s="15"/>
      <c r="CS737" s="19"/>
      <c r="CT737" s="15"/>
      <c r="CU737" s="19"/>
      <c r="CV737" s="15"/>
      <c r="CW737" s="19"/>
      <c r="CX737" s="15"/>
      <c r="CY737" s="19"/>
      <c r="CZ737" s="15"/>
      <c r="DA737" s="16" t="s">
        <v>197</v>
      </c>
      <c r="DB737" s="17" t="s">
        <v>228</v>
      </c>
      <c r="DC737" s="16"/>
      <c r="DD737" s="17" t="s">
        <v>228</v>
      </c>
      <c r="DE737" s="23"/>
      <c r="DF737" s="17" t="s">
        <v>228</v>
      </c>
      <c r="DG737" s="23"/>
      <c r="DH737" s="13" t="s">
        <v>205</v>
      </c>
      <c r="DI737" s="14" t="s">
        <v>179</v>
      </c>
      <c r="DJ737" s="14" t="s">
        <v>15710</v>
      </c>
      <c r="DK737" s="14" t="s">
        <v>179</v>
      </c>
      <c r="DL737" s="14" t="s">
        <v>15711</v>
      </c>
      <c r="DM737" s="15"/>
      <c r="DN737" s="15"/>
      <c r="DO737" s="15"/>
      <c r="DP737" s="15"/>
      <c r="DQ737" s="15"/>
      <c r="DR737" s="15"/>
      <c r="DS737" s="15"/>
      <c r="DT737" s="15"/>
      <c r="DU737" s="15"/>
      <c r="DV737" s="15"/>
      <c r="DW737" s="15"/>
      <c r="DX737" s="15"/>
      <c r="DY737" s="15"/>
      <c r="DZ737" s="15"/>
      <c r="EA737" s="15"/>
      <c r="EB737" s="15"/>
      <c r="EC737" s="16" t="s">
        <v>197</v>
      </c>
      <c r="ED737" s="17" t="s">
        <v>198</v>
      </c>
      <c r="EE737" s="18">
        <v>45722.60951388889</v>
      </c>
      <c r="EF737" s="13" t="s">
        <v>209</v>
      </c>
      <c r="EG737" s="14" t="s">
        <v>179</v>
      </c>
      <c r="EH737" s="14" t="s">
        <v>15712</v>
      </c>
      <c r="EI737" s="14" t="s">
        <v>179</v>
      </c>
      <c r="EJ737" s="14" t="s">
        <v>15712</v>
      </c>
      <c r="EK737" s="15"/>
      <c r="EL737" s="15"/>
      <c r="EM737" s="15"/>
      <c r="EN737" s="15"/>
      <c r="EO737" s="15"/>
      <c r="EP737" s="15"/>
      <c r="EQ737" s="15"/>
      <c r="ER737" s="15"/>
      <c r="ES737" s="15"/>
      <c r="ET737" s="15"/>
      <c r="EU737" s="15"/>
      <c r="EV737" s="15"/>
      <c r="EW737" s="15"/>
      <c r="EX737" s="15"/>
      <c r="EY737" s="15"/>
      <c r="EZ737" s="15"/>
      <c r="FA737" s="15"/>
      <c r="FB737" s="15"/>
      <c r="FC737" s="16" t="s">
        <v>197</v>
      </c>
      <c r="FD737" s="17" t="s">
        <v>198</v>
      </c>
      <c r="FE737" s="18">
        <v>45722.609618055554</v>
      </c>
      <c r="FF737" s="19"/>
      <c r="FG737" s="19"/>
      <c r="FH737" s="21" t="s">
        <v>197</v>
      </c>
      <c r="FI737" s="17" t="s">
        <v>214</v>
      </c>
      <c r="FJ737" s="18">
        <v>45722.609618055554</v>
      </c>
      <c r="FK737" s="14" t="s">
        <v>15712</v>
      </c>
      <c r="FL737" s="14" t="s">
        <v>15713</v>
      </c>
      <c r="FM737" s="14" t="s">
        <v>15714</v>
      </c>
      <c r="FN737" s="19"/>
      <c r="FO737" s="19"/>
      <c r="FP737" s="19" t="str">
        <f t="shared" si="1"/>
        <v>Base de Dados_Images/TIC70007.Imagem do Equipamento-.172119.jpg</v>
      </c>
      <c r="FQ737" s="19"/>
      <c r="FR737" s="19"/>
    </row>
    <row r="738" ht="15.75" customHeight="1">
      <c r="A738" s="12" t="s">
        <v>357</v>
      </c>
      <c r="B738" s="12" t="s">
        <v>358</v>
      </c>
      <c r="C738" s="24" t="s">
        <v>324</v>
      </c>
      <c r="D738" s="22" t="s">
        <v>15715</v>
      </c>
      <c r="E738" s="22" t="s">
        <v>15716</v>
      </c>
      <c r="F738" s="13" t="s">
        <v>178</v>
      </c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6" t="s">
        <v>197</v>
      </c>
      <c r="BP738" s="17" t="s">
        <v>228</v>
      </c>
      <c r="BQ738" s="23"/>
      <c r="BR738" s="17" t="s">
        <v>228</v>
      </c>
      <c r="BS738" s="23"/>
      <c r="BT738" s="17" t="s">
        <v>228</v>
      </c>
      <c r="BU738" s="23"/>
      <c r="BV738" s="13" t="s">
        <v>199</v>
      </c>
      <c r="BW738" s="15"/>
      <c r="BX738" s="15"/>
      <c r="BY738" s="15"/>
      <c r="BZ738" s="15"/>
      <c r="CA738" s="15"/>
      <c r="CB738" s="15"/>
      <c r="CC738" s="15"/>
      <c r="CD738" s="15"/>
      <c r="CE738" s="15"/>
      <c r="CF738" s="15"/>
      <c r="CG738" s="19"/>
      <c r="CH738" s="15"/>
      <c r="CI738" s="19"/>
      <c r="CJ738" s="15"/>
      <c r="CK738" s="19"/>
      <c r="CL738" s="15"/>
      <c r="CM738" s="19"/>
      <c r="CN738" s="15"/>
      <c r="CO738" s="19"/>
      <c r="CP738" s="15"/>
      <c r="CQ738" s="15"/>
      <c r="CR738" s="15"/>
      <c r="CS738" s="19"/>
      <c r="CT738" s="15"/>
      <c r="CU738" s="19"/>
      <c r="CV738" s="15"/>
      <c r="CW738" s="19"/>
      <c r="CX738" s="15"/>
      <c r="CY738" s="19"/>
      <c r="CZ738" s="15"/>
      <c r="DA738" s="16" t="s">
        <v>197</v>
      </c>
      <c r="DB738" s="17" t="s">
        <v>228</v>
      </c>
      <c r="DC738" s="16"/>
      <c r="DD738" s="17" t="s">
        <v>228</v>
      </c>
      <c r="DE738" s="23"/>
      <c r="DF738" s="17" t="s">
        <v>228</v>
      </c>
      <c r="DG738" s="23"/>
      <c r="DH738" s="13" t="s">
        <v>205</v>
      </c>
      <c r="DI738" s="14" t="s">
        <v>179</v>
      </c>
      <c r="DJ738" s="14" t="s">
        <v>15717</v>
      </c>
      <c r="DK738" s="14" t="s">
        <v>179</v>
      </c>
      <c r="DL738" s="14" t="s">
        <v>15718</v>
      </c>
      <c r="DM738" s="15"/>
      <c r="DN738" s="15"/>
      <c r="DO738" s="15"/>
      <c r="DP738" s="15"/>
      <c r="DQ738" s="15"/>
      <c r="DR738" s="15"/>
      <c r="DS738" s="15"/>
      <c r="DT738" s="15"/>
      <c r="DU738" s="15"/>
      <c r="DV738" s="15"/>
      <c r="DW738" s="15"/>
      <c r="DX738" s="15"/>
      <c r="DY738" s="15"/>
      <c r="DZ738" s="15"/>
      <c r="EA738" s="15"/>
      <c r="EB738" s="15"/>
      <c r="EC738" s="16" t="s">
        <v>197</v>
      </c>
      <c r="ED738" s="17" t="s">
        <v>198</v>
      </c>
      <c r="EE738" s="18">
        <v>45705.46648148148</v>
      </c>
      <c r="EF738" s="13" t="s">
        <v>209</v>
      </c>
      <c r="EG738" s="14" t="s">
        <v>179</v>
      </c>
      <c r="EH738" s="14" t="s">
        <v>15719</v>
      </c>
      <c r="EI738" s="14" t="s">
        <v>179</v>
      </c>
      <c r="EJ738" s="14" t="s">
        <v>15720</v>
      </c>
      <c r="EK738" s="15"/>
      <c r="EL738" s="15"/>
      <c r="EM738" s="15"/>
      <c r="EN738" s="15"/>
      <c r="EO738" s="15"/>
      <c r="EP738" s="15"/>
      <c r="EQ738" s="15"/>
      <c r="ER738" s="15"/>
      <c r="ES738" s="15"/>
      <c r="ET738" s="15"/>
      <c r="EU738" s="15"/>
      <c r="EV738" s="15"/>
      <c r="EW738" s="15"/>
      <c r="EX738" s="15"/>
      <c r="EY738" s="15"/>
      <c r="EZ738" s="15"/>
      <c r="FA738" s="15"/>
      <c r="FB738" s="15"/>
      <c r="FC738" s="16" t="s">
        <v>197</v>
      </c>
      <c r="FD738" s="17" t="s">
        <v>198</v>
      </c>
      <c r="FE738" s="18">
        <v>45705.46653935185</v>
      </c>
      <c r="FF738" s="19"/>
      <c r="FG738" s="19"/>
      <c r="FH738" s="21" t="s">
        <v>197</v>
      </c>
      <c r="FI738" s="17" t="s">
        <v>214</v>
      </c>
      <c r="FJ738" s="18">
        <v>45705.46653935185</v>
      </c>
      <c r="FK738" s="14" t="s">
        <v>15720</v>
      </c>
      <c r="FL738" s="14" t="s">
        <v>15721</v>
      </c>
      <c r="FM738" s="14" t="s">
        <v>15722</v>
      </c>
      <c r="FN738" s="19"/>
      <c r="FO738" s="19"/>
      <c r="FP738" s="19" t="str">
        <f t="shared" si="1"/>
        <v>Base de Dados_Images/TIC81022.Imagem do Equipamento-.141410.jpg</v>
      </c>
      <c r="FQ738" s="19"/>
      <c r="FR738" s="19"/>
    </row>
    <row r="739" ht="15.75" customHeight="1">
      <c r="A739" s="12" t="s">
        <v>174</v>
      </c>
      <c r="B739" s="12" t="s">
        <v>1132</v>
      </c>
      <c r="C739" s="24" t="s">
        <v>375</v>
      </c>
      <c r="D739" s="22" t="s">
        <v>15723</v>
      </c>
      <c r="E739" s="22" t="s">
        <v>15724</v>
      </c>
      <c r="F739" s="13" t="s">
        <v>178</v>
      </c>
      <c r="G739" s="14" t="s">
        <v>179</v>
      </c>
      <c r="H739" s="14" t="s">
        <v>15725</v>
      </c>
      <c r="I739" s="14" t="s">
        <v>179</v>
      </c>
      <c r="J739" s="14" t="s">
        <v>15726</v>
      </c>
      <c r="K739" s="14" t="s">
        <v>179</v>
      </c>
      <c r="L739" s="14" t="s">
        <v>15727</v>
      </c>
      <c r="M739" s="14" t="s">
        <v>179</v>
      </c>
      <c r="N739" s="14" t="s">
        <v>15728</v>
      </c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6" t="s">
        <v>197</v>
      </c>
      <c r="BP739" s="17" t="s">
        <v>198</v>
      </c>
      <c r="BQ739" s="18">
        <v>45698.6541087963</v>
      </c>
      <c r="BR739" s="17" t="s">
        <v>198</v>
      </c>
      <c r="BS739" s="18">
        <v>45698.65415509259</v>
      </c>
      <c r="BT739" s="17" t="s">
        <v>198</v>
      </c>
      <c r="BU739" s="18">
        <v>45698.65415509259</v>
      </c>
      <c r="BV739" s="13" t="s">
        <v>199</v>
      </c>
      <c r="BW739" s="14" t="s">
        <v>179</v>
      </c>
      <c r="BX739" s="14" t="s">
        <v>15729</v>
      </c>
      <c r="BY739" s="14" t="s">
        <v>179</v>
      </c>
      <c r="BZ739" s="14" t="s">
        <v>15730</v>
      </c>
      <c r="CA739" s="14" t="s">
        <v>179</v>
      </c>
      <c r="CB739" s="14" t="s">
        <v>15731</v>
      </c>
      <c r="CC739" s="15"/>
      <c r="CD739" s="15"/>
      <c r="CE739" s="15"/>
      <c r="CF739" s="15"/>
      <c r="CG739" s="19"/>
      <c r="CH739" s="15"/>
      <c r="CI739" s="19"/>
      <c r="CJ739" s="15"/>
      <c r="CK739" s="19"/>
      <c r="CL739" s="15"/>
      <c r="CM739" s="19"/>
      <c r="CN739" s="15"/>
      <c r="CO739" s="19"/>
      <c r="CP739" s="15"/>
      <c r="CQ739" s="15"/>
      <c r="CR739" s="15"/>
      <c r="CS739" s="19"/>
      <c r="CT739" s="15"/>
      <c r="CU739" s="19"/>
      <c r="CV739" s="15"/>
      <c r="CW739" s="19"/>
      <c r="CX739" s="15"/>
      <c r="CY739" s="19"/>
      <c r="CZ739" s="15"/>
      <c r="DA739" s="16" t="s">
        <v>197</v>
      </c>
      <c r="DB739" s="17" t="s">
        <v>228</v>
      </c>
      <c r="DC739" s="16"/>
      <c r="DD739" s="17" t="s">
        <v>198</v>
      </c>
      <c r="DE739" s="18">
        <v>45698.65424768518</v>
      </c>
      <c r="DF739" s="17" t="s">
        <v>198</v>
      </c>
      <c r="DG739" s="18">
        <v>45698.65424768518</v>
      </c>
      <c r="DH739" s="13" t="s">
        <v>205</v>
      </c>
      <c r="DI739" s="14" t="s">
        <v>179</v>
      </c>
      <c r="DJ739" s="14" t="s">
        <v>15732</v>
      </c>
      <c r="DK739" s="14" t="s">
        <v>179</v>
      </c>
      <c r="DL739" s="14" t="s">
        <v>15733</v>
      </c>
      <c r="DM739" s="15"/>
      <c r="DN739" s="15"/>
      <c r="DO739" s="15"/>
      <c r="DP739" s="15"/>
      <c r="DQ739" s="15"/>
      <c r="DR739" s="15"/>
      <c r="DS739" s="15"/>
      <c r="DT739" s="15"/>
      <c r="DU739" s="15"/>
      <c r="DV739" s="15"/>
      <c r="DW739" s="15"/>
      <c r="DX739" s="15"/>
      <c r="DY739" s="15"/>
      <c r="DZ739" s="15"/>
      <c r="EA739" s="15"/>
      <c r="EB739" s="15"/>
      <c r="EC739" s="16" t="s">
        <v>197</v>
      </c>
      <c r="ED739" s="17" t="s">
        <v>198</v>
      </c>
      <c r="EE739" s="18">
        <v>45719.47011574074</v>
      </c>
      <c r="EF739" s="13" t="s">
        <v>209</v>
      </c>
      <c r="EG739" s="14" t="s">
        <v>179</v>
      </c>
      <c r="EH739" s="14" t="s">
        <v>15734</v>
      </c>
      <c r="EI739" s="14" t="s">
        <v>179</v>
      </c>
      <c r="EJ739" s="14" t="s">
        <v>15734</v>
      </c>
      <c r="EK739" s="15"/>
      <c r="EL739" s="15"/>
      <c r="EM739" s="15"/>
      <c r="EN739" s="15"/>
      <c r="EO739" s="15"/>
      <c r="EP739" s="15"/>
      <c r="EQ739" s="15"/>
      <c r="ER739" s="15"/>
      <c r="ES739" s="15"/>
      <c r="ET739" s="15"/>
      <c r="EU739" s="15"/>
      <c r="EV739" s="15"/>
      <c r="EW739" s="15"/>
      <c r="EX739" s="15"/>
      <c r="EY739" s="15"/>
      <c r="EZ739" s="15"/>
      <c r="FA739" s="15"/>
      <c r="FB739" s="15"/>
      <c r="FC739" s="16" t="s">
        <v>197</v>
      </c>
      <c r="FD739" s="17" t="s">
        <v>198</v>
      </c>
      <c r="FE739" s="18">
        <v>45723.27357638889</v>
      </c>
      <c r="FF739" s="19"/>
      <c r="FG739" s="19"/>
      <c r="FH739" s="21" t="s">
        <v>197</v>
      </c>
      <c r="FI739" s="17" t="s">
        <v>214</v>
      </c>
      <c r="FJ739" s="18">
        <v>45723.27357638889</v>
      </c>
      <c r="FK739" s="14" t="s">
        <v>15734</v>
      </c>
      <c r="FL739" s="19"/>
      <c r="FM739" s="19"/>
      <c r="FN739" s="19"/>
      <c r="FO739" s="19"/>
      <c r="FP739" s="19" t="str">
        <f t="shared" si="1"/>
        <v/>
      </c>
      <c r="FQ739" s="14" t="s">
        <v>215</v>
      </c>
      <c r="FR739" s="14" t="s">
        <v>15735</v>
      </c>
    </row>
    <row r="740" ht="15.75" customHeight="1">
      <c r="A740" s="12" t="s">
        <v>174</v>
      </c>
      <c r="B740" s="22" t="s">
        <v>650</v>
      </c>
      <c r="C740" s="24" t="s">
        <v>375</v>
      </c>
      <c r="D740" s="22" t="s">
        <v>15736</v>
      </c>
      <c r="E740" s="22" t="s">
        <v>15737</v>
      </c>
      <c r="F740" s="13" t="s">
        <v>178</v>
      </c>
      <c r="G740" s="14" t="s">
        <v>179</v>
      </c>
      <c r="H740" s="14" t="s">
        <v>15738</v>
      </c>
      <c r="I740" s="14" t="s">
        <v>179</v>
      </c>
      <c r="J740" s="14" t="s">
        <v>15739</v>
      </c>
      <c r="K740" s="14" t="s">
        <v>179</v>
      </c>
      <c r="L740" s="14" t="s">
        <v>15740</v>
      </c>
      <c r="M740" s="14" t="s">
        <v>179</v>
      </c>
      <c r="N740" s="14" t="s">
        <v>15741</v>
      </c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6" t="s">
        <v>197</v>
      </c>
      <c r="BP740" s="17" t="s">
        <v>198</v>
      </c>
      <c r="BQ740" s="18">
        <v>45698.66068287037</v>
      </c>
      <c r="BR740" s="17" t="s">
        <v>198</v>
      </c>
      <c r="BS740" s="18">
        <v>45698.66071759259</v>
      </c>
      <c r="BT740" s="17" t="s">
        <v>198</v>
      </c>
      <c r="BU740" s="18">
        <v>45698.66071759259</v>
      </c>
      <c r="BV740" s="13" t="s">
        <v>199</v>
      </c>
      <c r="BW740" s="14" t="s">
        <v>179</v>
      </c>
      <c r="BX740" s="14" t="s">
        <v>15742</v>
      </c>
      <c r="BY740" s="14" t="s">
        <v>179</v>
      </c>
      <c r="BZ740" s="14" t="s">
        <v>15743</v>
      </c>
      <c r="CA740" s="14" t="s">
        <v>179</v>
      </c>
      <c r="CB740" s="14" t="s">
        <v>15744</v>
      </c>
      <c r="CC740" s="15"/>
      <c r="CD740" s="15"/>
      <c r="CE740" s="15"/>
      <c r="CF740" s="15"/>
      <c r="CG740" s="19"/>
      <c r="CH740" s="15"/>
      <c r="CI740" s="19"/>
      <c r="CJ740" s="15"/>
      <c r="CK740" s="19"/>
      <c r="CL740" s="15"/>
      <c r="CM740" s="19"/>
      <c r="CN740" s="15"/>
      <c r="CO740" s="19"/>
      <c r="CP740" s="15"/>
      <c r="CQ740" s="15"/>
      <c r="CR740" s="15"/>
      <c r="CS740" s="19"/>
      <c r="CT740" s="15"/>
      <c r="CU740" s="19"/>
      <c r="CV740" s="15"/>
      <c r="CW740" s="19"/>
      <c r="CX740" s="15"/>
      <c r="CY740" s="19"/>
      <c r="CZ740" s="15"/>
      <c r="DA740" s="16" t="s">
        <v>197</v>
      </c>
      <c r="DB740" s="17" t="s">
        <v>228</v>
      </c>
      <c r="DC740" s="16"/>
      <c r="DD740" s="17" t="s">
        <v>198</v>
      </c>
      <c r="DE740" s="18">
        <v>45698.66079861111</v>
      </c>
      <c r="DF740" s="17" t="s">
        <v>198</v>
      </c>
      <c r="DG740" s="18">
        <v>45698.66079861111</v>
      </c>
      <c r="DH740" s="13" t="s">
        <v>205</v>
      </c>
      <c r="DI740" s="14" t="s">
        <v>179</v>
      </c>
      <c r="DJ740" s="14" t="s">
        <v>15745</v>
      </c>
      <c r="DK740" s="14" t="s">
        <v>179</v>
      </c>
      <c r="DL740" s="14" t="s">
        <v>15745</v>
      </c>
      <c r="DM740" s="15"/>
      <c r="DN740" s="15"/>
      <c r="DO740" s="15"/>
      <c r="DP740" s="15"/>
      <c r="DQ740" s="15"/>
      <c r="DR740" s="15"/>
      <c r="DS740" s="15"/>
      <c r="DT740" s="15"/>
      <c r="DU740" s="15"/>
      <c r="DV740" s="15"/>
      <c r="DW740" s="15"/>
      <c r="DX740" s="15"/>
      <c r="DY740" s="15"/>
      <c r="DZ740" s="15"/>
      <c r="EA740" s="15"/>
      <c r="EB740" s="15"/>
      <c r="EC740" s="16" t="s">
        <v>197</v>
      </c>
      <c r="ED740" s="17" t="s">
        <v>198</v>
      </c>
      <c r="EE740" s="18">
        <v>45719.4715625</v>
      </c>
      <c r="EF740" s="13" t="s">
        <v>209</v>
      </c>
      <c r="EG740" s="14" t="s">
        <v>179</v>
      </c>
      <c r="EH740" s="14" t="s">
        <v>15746</v>
      </c>
      <c r="EI740" s="14" t="s">
        <v>179</v>
      </c>
      <c r="EJ740" s="14" t="s">
        <v>15747</v>
      </c>
      <c r="EK740" s="15"/>
      <c r="EL740" s="15"/>
      <c r="EM740" s="15"/>
      <c r="EN740" s="15"/>
      <c r="EO740" s="15"/>
      <c r="EP740" s="15"/>
      <c r="EQ740" s="15"/>
      <c r="ER740" s="15"/>
      <c r="ES740" s="15"/>
      <c r="ET740" s="15"/>
      <c r="EU740" s="15"/>
      <c r="EV740" s="15"/>
      <c r="EW740" s="15"/>
      <c r="EX740" s="15"/>
      <c r="EY740" s="15"/>
      <c r="EZ740" s="15"/>
      <c r="FA740" s="15"/>
      <c r="FB740" s="15"/>
      <c r="FC740" s="16" t="s">
        <v>197</v>
      </c>
      <c r="FD740" s="17" t="s">
        <v>198</v>
      </c>
      <c r="FE740" s="18">
        <v>45723.27386574074</v>
      </c>
      <c r="FF740" s="19"/>
      <c r="FG740" s="19"/>
      <c r="FH740" s="21" t="s">
        <v>197</v>
      </c>
      <c r="FI740" s="17" t="s">
        <v>214</v>
      </c>
      <c r="FJ740" s="18">
        <v>45723.27386574074</v>
      </c>
      <c r="FK740" s="14" t="s">
        <v>15747</v>
      </c>
      <c r="FL740" s="19"/>
      <c r="FM740" s="19"/>
      <c r="FN740" s="19"/>
      <c r="FO740" s="19"/>
      <c r="FP740" s="19" t="str">
        <f t="shared" si="1"/>
        <v/>
      </c>
      <c r="FQ740" s="14" t="s">
        <v>215</v>
      </c>
      <c r="FR740" s="14" t="s">
        <v>15748</v>
      </c>
    </row>
    <row r="741" ht="15.75" customHeight="1">
      <c r="A741" s="12" t="s">
        <v>174</v>
      </c>
      <c r="B741" s="22" t="s">
        <v>650</v>
      </c>
      <c r="C741" s="24" t="s">
        <v>375</v>
      </c>
      <c r="D741" s="22" t="s">
        <v>15749</v>
      </c>
      <c r="E741" s="22" t="s">
        <v>15750</v>
      </c>
      <c r="F741" s="13" t="s">
        <v>178</v>
      </c>
      <c r="G741" s="14" t="s">
        <v>179</v>
      </c>
      <c r="H741" s="14" t="s">
        <v>15751</v>
      </c>
      <c r="I741" s="14" t="s">
        <v>179</v>
      </c>
      <c r="J741" s="14" t="s">
        <v>15752</v>
      </c>
      <c r="K741" s="14" t="s">
        <v>179</v>
      </c>
      <c r="L741" s="14" t="s">
        <v>15753</v>
      </c>
      <c r="M741" s="14" t="s">
        <v>179</v>
      </c>
      <c r="N741" s="14" t="s">
        <v>15754</v>
      </c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6" t="s">
        <v>197</v>
      </c>
      <c r="BP741" s="17" t="s">
        <v>198</v>
      </c>
      <c r="BQ741" s="18">
        <v>45698.66118055556</v>
      </c>
      <c r="BR741" s="17" t="s">
        <v>198</v>
      </c>
      <c r="BS741" s="18">
        <v>45698.661215277774</v>
      </c>
      <c r="BT741" s="17" t="s">
        <v>198</v>
      </c>
      <c r="BU741" s="18">
        <v>45698.661215277774</v>
      </c>
      <c r="BV741" s="13" t="s">
        <v>199</v>
      </c>
      <c r="BW741" s="14" t="s">
        <v>179</v>
      </c>
      <c r="BX741" s="14" t="s">
        <v>15755</v>
      </c>
      <c r="BY741" s="14" t="s">
        <v>179</v>
      </c>
      <c r="BZ741" s="14" t="s">
        <v>15756</v>
      </c>
      <c r="CA741" s="14" t="s">
        <v>179</v>
      </c>
      <c r="CB741" s="14" t="s">
        <v>15757</v>
      </c>
      <c r="CC741" s="15"/>
      <c r="CD741" s="15"/>
      <c r="CE741" s="15"/>
      <c r="CF741" s="15"/>
      <c r="CG741" s="19"/>
      <c r="CH741" s="15"/>
      <c r="CI741" s="19"/>
      <c r="CJ741" s="15"/>
      <c r="CK741" s="19"/>
      <c r="CL741" s="15"/>
      <c r="CM741" s="19"/>
      <c r="CN741" s="15"/>
      <c r="CO741" s="19"/>
      <c r="CP741" s="15"/>
      <c r="CQ741" s="15"/>
      <c r="CR741" s="15"/>
      <c r="CS741" s="19"/>
      <c r="CT741" s="15"/>
      <c r="CU741" s="19"/>
      <c r="CV741" s="15"/>
      <c r="CW741" s="19"/>
      <c r="CX741" s="15"/>
      <c r="CY741" s="19"/>
      <c r="CZ741" s="15"/>
      <c r="DA741" s="16" t="s">
        <v>197</v>
      </c>
      <c r="DB741" s="17" t="s">
        <v>228</v>
      </c>
      <c r="DC741" s="16"/>
      <c r="DD741" s="17" t="s">
        <v>198</v>
      </c>
      <c r="DE741" s="18">
        <v>45698.66128472222</v>
      </c>
      <c r="DF741" s="17" t="s">
        <v>198</v>
      </c>
      <c r="DG741" s="18">
        <v>45698.66128472222</v>
      </c>
      <c r="DH741" s="13" t="s">
        <v>205</v>
      </c>
      <c r="DI741" s="14" t="s">
        <v>179</v>
      </c>
      <c r="DJ741" s="14" t="s">
        <v>15758</v>
      </c>
      <c r="DK741" s="14" t="s">
        <v>179</v>
      </c>
      <c r="DL741" s="14" t="s">
        <v>15759</v>
      </c>
      <c r="DM741" s="15"/>
      <c r="DN741" s="15"/>
      <c r="DO741" s="15"/>
      <c r="DP741" s="15"/>
      <c r="DQ741" s="15"/>
      <c r="DR741" s="15"/>
      <c r="DS741" s="15"/>
      <c r="DT741" s="15"/>
      <c r="DU741" s="15"/>
      <c r="DV741" s="15"/>
      <c r="DW741" s="15"/>
      <c r="DX741" s="15"/>
      <c r="DY741" s="15"/>
      <c r="DZ741" s="15"/>
      <c r="EA741" s="15"/>
      <c r="EB741" s="15"/>
      <c r="EC741" s="16" t="s">
        <v>197</v>
      </c>
      <c r="ED741" s="17" t="s">
        <v>198</v>
      </c>
      <c r="EE741" s="18">
        <v>45719.471666666665</v>
      </c>
      <c r="EF741" s="13" t="s">
        <v>209</v>
      </c>
      <c r="EG741" s="14" t="s">
        <v>179</v>
      </c>
      <c r="EH741" s="14" t="s">
        <v>15760</v>
      </c>
      <c r="EI741" s="14" t="s">
        <v>179</v>
      </c>
      <c r="EJ741" s="14" t="s">
        <v>15760</v>
      </c>
      <c r="EK741" s="15"/>
      <c r="EL741" s="15"/>
      <c r="EM741" s="15"/>
      <c r="EN741" s="15"/>
      <c r="EO741" s="15"/>
      <c r="EP741" s="15"/>
      <c r="EQ741" s="15"/>
      <c r="ER741" s="15"/>
      <c r="ES741" s="15"/>
      <c r="ET741" s="15"/>
      <c r="EU741" s="15"/>
      <c r="EV741" s="15"/>
      <c r="EW741" s="15"/>
      <c r="EX741" s="15"/>
      <c r="EY741" s="15"/>
      <c r="EZ741" s="15"/>
      <c r="FA741" s="15"/>
      <c r="FB741" s="15"/>
      <c r="FC741" s="16" t="s">
        <v>197</v>
      </c>
      <c r="FD741" s="17" t="s">
        <v>198</v>
      </c>
      <c r="FE741" s="18">
        <v>45723.273935185185</v>
      </c>
      <c r="FF741" s="19"/>
      <c r="FG741" s="19"/>
      <c r="FH741" s="21" t="s">
        <v>197</v>
      </c>
      <c r="FI741" s="17" t="s">
        <v>214</v>
      </c>
      <c r="FJ741" s="18">
        <v>45723.273935185185</v>
      </c>
      <c r="FK741" s="14" t="s">
        <v>15760</v>
      </c>
      <c r="FL741" s="19"/>
      <c r="FM741" s="19"/>
      <c r="FN741" s="19"/>
      <c r="FO741" s="19"/>
      <c r="FP741" s="19" t="str">
        <f t="shared" si="1"/>
        <v/>
      </c>
      <c r="FQ741" s="14" t="s">
        <v>215</v>
      </c>
      <c r="FR741" s="14" t="s">
        <v>15761</v>
      </c>
    </row>
    <row r="742" ht="15.75" customHeight="1">
      <c r="A742" s="12" t="s">
        <v>174</v>
      </c>
      <c r="B742" s="22" t="s">
        <v>581</v>
      </c>
      <c r="C742" s="24" t="s">
        <v>375</v>
      </c>
      <c r="D742" s="22" t="s">
        <v>15762</v>
      </c>
      <c r="E742" s="22" t="s">
        <v>15763</v>
      </c>
      <c r="F742" s="13" t="s">
        <v>178</v>
      </c>
      <c r="G742" s="14" t="s">
        <v>179</v>
      </c>
      <c r="H742" s="14" t="s">
        <v>15764</v>
      </c>
      <c r="I742" s="14" t="s">
        <v>179</v>
      </c>
      <c r="J742" s="14" t="s">
        <v>15765</v>
      </c>
      <c r="K742" s="14" t="s">
        <v>179</v>
      </c>
      <c r="L742" s="14" t="s">
        <v>15766</v>
      </c>
      <c r="M742" s="14" t="s">
        <v>179</v>
      </c>
      <c r="N742" s="14" t="s">
        <v>15767</v>
      </c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6" t="s">
        <v>197</v>
      </c>
      <c r="BP742" s="17" t="s">
        <v>198</v>
      </c>
      <c r="BQ742" s="18">
        <v>45698.66396990741</v>
      </c>
      <c r="BR742" s="17" t="s">
        <v>198</v>
      </c>
      <c r="BS742" s="18">
        <v>45698.66402777778</v>
      </c>
      <c r="BT742" s="17" t="s">
        <v>198</v>
      </c>
      <c r="BU742" s="18">
        <v>45698.66402777778</v>
      </c>
      <c r="BV742" s="13" t="s">
        <v>199</v>
      </c>
      <c r="BW742" s="14" t="s">
        <v>179</v>
      </c>
      <c r="BX742" s="14" t="s">
        <v>15768</v>
      </c>
      <c r="BY742" s="14" t="s">
        <v>179</v>
      </c>
      <c r="BZ742" s="14" t="s">
        <v>15769</v>
      </c>
      <c r="CA742" s="14" t="s">
        <v>179</v>
      </c>
      <c r="CB742" s="14" t="s">
        <v>15770</v>
      </c>
      <c r="CC742" s="15"/>
      <c r="CD742" s="15"/>
      <c r="CE742" s="15"/>
      <c r="CF742" s="15"/>
      <c r="CG742" s="19"/>
      <c r="CH742" s="15"/>
      <c r="CI742" s="19"/>
      <c r="CJ742" s="15"/>
      <c r="CK742" s="19"/>
      <c r="CL742" s="15"/>
      <c r="CM742" s="19"/>
      <c r="CN742" s="15"/>
      <c r="CO742" s="19"/>
      <c r="CP742" s="15"/>
      <c r="CQ742" s="15"/>
      <c r="CR742" s="15"/>
      <c r="CS742" s="19"/>
      <c r="CT742" s="15"/>
      <c r="CU742" s="19"/>
      <c r="CV742" s="15"/>
      <c r="CW742" s="19"/>
      <c r="CX742" s="15"/>
      <c r="CY742" s="19"/>
      <c r="CZ742" s="15"/>
      <c r="DA742" s="16" t="s">
        <v>197</v>
      </c>
      <c r="DB742" s="17" t="s">
        <v>228</v>
      </c>
      <c r="DC742" s="16"/>
      <c r="DD742" s="17" t="s">
        <v>198</v>
      </c>
      <c r="DE742" s="18">
        <v>45698.66415509259</v>
      </c>
      <c r="DF742" s="17" t="s">
        <v>198</v>
      </c>
      <c r="DG742" s="18">
        <v>45698.66415509259</v>
      </c>
      <c r="DH742" s="13" t="s">
        <v>205</v>
      </c>
      <c r="DI742" s="14" t="s">
        <v>179</v>
      </c>
      <c r="DJ742" s="14" t="s">
        <v>15771</v>
      </c>
      <c r="DK742" s="14" t="s">
        <v>179</v>
      </c>
      <c r="DL742" s="14" t="s">
        <v>15771</v>
      </c>
      <c r="DM742" s="15"/>
      <c r="DN742" s="15"/>
      <c r="DO742" s="15"/>
      <c r="DP742" s="15"/>
      <c r="DQ742" s="15"/>
      <c r="DR742" s="15"/>
      <c r="DS742" s="15"/>
      <c r="DT742" s="15"/>
      <c r="DU742" s="15"/>
      <c r="DV742" s="15"/>
      <c r="DW742" s="15"/>
      <c r="DX742" s="15"/>
      <c r="DY742" s="15"/>
      <c r="DZ742" s="15"/>
      <c r="EA742" s="15"/>
      <c r="EB742" s="15"/>
      <c r="EC742" s="16" t="s">
        <v>197</v>
      </c>
      <c r="ED742" s="17" t="s">
        <v>198</v>
      </c>
      <c r="EE742" s="18">
        <v>45719.47974537037</v>
      </c>
      <c r="EF742" s="13" t="s">
        <v>209</v>
      </c>
      <c r="EG742" s="14" t="s">
        <v>179</v>
      </c>
      <c r="EH742" s="14" t="s">
        <v>15772</v>
      </c>
      <c r="EI742" s="14" t="s">
        <v>179</v>
      </c>
      <c r="EJ742" s="14" t="s">
        <v>15772</v>
      </c>
      <c r="EK742" s="15"/>
      <c r="EL742" s="15"/>
      <c r="EM742" s="15"/>
      <c r="EN742" s="15"/>
      <c r="EO742" s="15"/>
      <c r="EP742" s="15"/>
      <c r="EQ742" s="15"/>
      <c r="ER742" s="15"/>
      <c r="ES742" s="15"/>
      <c r="ET742" s="15"/>
      <c r="EU742" s="15"/>
      <c r="EV742" s="15"/>
      <c r="EW742" s="15"/>
      <c r="EX742" s="15"/>
      <c r="EY742" s="15"/>
      <c r="EZ742" s="15"/>
      <c r="FA742" s="15"/>
      <c r="FB742" s="15"/>
      <c r="FC742" s="16" t="s">
        <v>197</v>
      </c>
      <c r="FD742" s="17" t="s">
        <v>198</v>
      </c>
      <c r="FE742" s="18">
        <v>45723.27491898148</v>
      </c>
      <c r="FF742" s="19"/>
      <c r="FG742" s="19"/>
      <c r="FH742" s="21" t="s">
        <v>197</v>
      </c>
      <c r="FI742" s="17" t="s">
        <v>214</v>
      </c>
      <c r="FJ742" s="18">
        <v>45723.27491898148</v>
      </c>
      <c r="FK742" s="14" t="s">
        <v>15772</v>
      </c>
      <c r="FL742" s="19"/>
      <c r="FM742" s="19"/>
      <c r="FN742" s="19"/>
      <c r="FO742" s="19"/>
      <c r="FP742" s="19" t="str">
        <f t="shared" si="1"/>
        <v/>
      </c>
      <c r="FQ742" s="14" t="s">
        <v>215</v>
      </c>
      <c r="FR742" s="14" t="s">
        <v>15773</v>
      </c>
    </row>
    <row r="743" ht="15.75" customHeight="1">
      <c r="A743" s="12" t="s">
        <v>174</v>
      </c>
      <c r="B743" s="22" t="s">
        <v>581</v>
      </c>
      <c r="C743" s="24" t="s">
        <v>375</v>
      </c>
      <c r="D743" s="22" t="s">
        <v>15774</v>
      </c>
      <c r="E743" s="22" t="s">
        <v>15775</v>
      </c>
      <c r="F743" s="13" t="s">
        <v>178</v>
      </c>
      <c r="G743" s="14" t="s">
        <v>179</v>
      </c>
      <c r="H743" s="14" t="s">
        <v>15776</v>
      </c>
      <c r="I743" s="14" t="s">
        <v>179</v>
      </c>
      <c r="J743" s="14" t="s">
        <v>15777</v>
      </c>
      <c r="K743" s="14" t="s">
        <v>179</v>
      </c>
      <c r="L743" s="14" t="s">
        <v>15778</v>
      </c>
      <c r="M743" s="14" t="s">
        <v>179</v>
      </c>
      <c r="N743" s="14" t="s">
        <v>15779</v>
      </c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6" t="s">
        <v>197</v>
      </c>
      <c r="BP743" s="17" t="s">
        <v>198</v>
      </c>
      <c r="BQ743" s="18">
        <v>45698.665555555555</v>
      </c>
      <c r="BR743" s="17" t="s">
        <v>198</v>
      </c>
      <c r="BS743" s="18">
        <v>45698.665601851855</v>
      </c>
      <c r="BT743" s="17" t="s">
        <v>198</v>
      </c>
      <c r="BU743" s="18">
        <v>45698.665601851855</v>
      </c>
      <c r="BV743" s="13" t="s">
        <v>199</v>
      </c>
      <c r="BW743" s="14" t="s">
        <v>179</v>
      </c>
      <c r="BX743" s="14" t="s">
        <v>15780</v>
      </c>
      <c r="BY743" s="14" t="s">
        <v>179</v>
      </c>
      <c r="BZ743" s="14" t="s">
        <v>15781</v>
      </c>
      <c r="CA743" s="14" t="s">
        <v>179</v>
      </c>
      <c r="CB743" s="14" t="s">
        <v>15782</v>
      </c>
      <c r="CC743" s="15"/>
      <c r="CD743" s="15"/>
      <c r="CE743" s="15"/>
      <c r="CF743" s="15"/>
      <c r="CG743" s="19"/>
      <c r="CH743" s="15"/>
      <c r="CI743" s="19"/>
      <c r="CJ743" s="15"/>
      <c r="CK743" s="19"/>
      <c r="CL743" s="15"/>
      <c r="CM743" s="19"/>
      <c r="CN743" s="15"/>
      <c r="CO743" s="19"/>
      <c r="CP743" s="15"/>
      <c r="CQ743" s="15"/>
      <c r="CR743" s="15"/>
      <c r="CS743" s="19"/>
      <c r="CT743" s="15"/>
      <c r="CU743" s="19"/>
      <c r="CV743" s="15"/>
      <c r="CW743" s="19"/>
      <c r="CX743" s="15"/>
      <c r="CY743" s="19"/>
      <c r="CZ743" s="15"/>
      <c r="DA743" s="16" t="s">
        <v>197</v>
      </c>
      <c r="DB743" s="17" t="s">
        <v>228</v>
      </c>
      <c r="DC743" s="16"/>
      <c r="DD743" s="17" t="s">
        <v>198</v>
      </c>
      <c r="DE743" s="18">
        <v>45698.665717592594</v>
      </c>
      <c r="DF743" s="17" t="s">
        <v>198</v>
      </c>
      <c r="DG743" s="18">
        <v>45698.665717592594</v>
      </c>
      <c r="DH743" s="13" t="s">
        <v>205</v>
      </c>
      <c r="DI743" s="14" t="s">
        <v>179</v>
      </c>
      <c r="DJ743" s="14" t="s">
        <v>15783</v>
      </c>
      <c r="DK743" s="14" t="s">
        <v>179</v>
      </c>
      <c r="DL743" s="14" t="s">
        <v>15784</v>
      </c>
      <c r="DM743" s="15"/>
      <c r="DN743" s="15"/>
      <c r="DO743" s="15"/>
      <c r="DP743" s="15"/>
      <c r="DQ743" s="15"/>
      <c r="DR743" s="15"/>
      <c r="DS743" s="15"/>
      <c r="DT743" s="15"/>
      <c r="DU743" s="15"/>
      <c r="DV743" s="15"/>
      <c r="DW743" s="15"/>
      <c r="DX743" s="15"/>
      <c r="DY743" s="15"/>
      <c r="DZ743" s="15"/>
      <c r="EA743" s="15"/>
      <c r="EB743" s="15"/>
      <c r="EC743" s="16" t="s">
        <v>197</v>
      </c>
      <c r="ED743" s="17" t="s">
        <v>198</v>
      </c>
      <c r="EE743" s="18">
        <v>45719.47982638889</v>
      </c>
      <c r="EF743" s="13" t="s">
        <v>209</v>
      </c>
      <c r="EG743" s="14" t="s">
        <v>179</v>
      </c>
      <c r="EH743" s="14" t="s">
        <v>15785</v>
      </c>
      <c r="EI743" s="14" t="s">
        <v>179</v>
      </c>
      <c r="EJ743" s="14" t="s">
        <v>15786</v>
      </c>
      <c r="EK743" s="15"/>
      <c r="EL743" s="15"/>
      <c r="EM743" s="15"/>
      <c r="EN743" s="15"/>
      <c r="EO743" s="15"/>
      <c r="EP743" s="15"/>
      <c r="EQ743" s="15"/>
      <c r="ER743" s="15"/>
      <c r="ES743" s="15"/>
      <c r="ET743" s="15"/>
      <c r="EU743" s="15"/>
      <c r="EV743" s="15"/>
      <c r="EW743" s="15"/>
      <c r="EX743" s="15"/>
      <c r="EY743" s="15"/>
      <c r="EZ743" s="15"/>
      <c r="FA743" s="15"/>
      <c r="FB743" s="15"/>
      <c r="FC743" s="16" t="s">
        <v>197</v>
      </c>
      <c r="FD743" s="17" t="s">
        <v>198</v>
      </c>
      <c r="FE743" s="18">
        <v>45723.275</v>
      </c>
      <c r="FF743" s="19"/>
      <c r="FG743" s="19"/>
      <c r="FH743" s="21" t="s">
        <v>197</v>
      </c>
      <c r="FI743" s="17" t="s">
        <v>214</v>
      </c>
      <c r="FJ743" s="18">
        <v>45723.275</v>
      </c>
      <c r="FK743" s="14" t="s">
        <v>15785</v>
      </c>
      <c r="FL743" s="19"/>
      <c r="FM743" s="19"/>
      <c r="FN743" s="19"/>
      <c r="FO743" s="19"/>
      <c r="FP743" s="19" t="str">
        <f t="shared" si="1"/>
        <v/>
      </c>
      <c r="FQ743" s="14" t="s">
        <v>215</v>
      </c>
      <c r="FR743" s="14" t="s">
        <v>15787</v>
      </c>
    </row>
    <row r="744" ht="15.75" customHeight="1">
      <c r="A744" s="12" t="s">
        <v>174</v>
      </c>
      <c r="B744" s="22" t="s">
        <v>617</v>
      </c>
      <c r="C744" s="24" t="s">
        <v>375</v>
      </c>
      <c r="D744" s="22" t="s">
        <v>15788</v>
      </c>
      <c r="E744" s="22" t="s">
        <v>15789</v>
      </c>
      <c r="F744" s="13" t="s">
        <v>178</v>
      </c>
      <c r="G744" s="14" t="s">
        <v>179</v>
      </c>
      <c r="H744" s="14" t="s">
        <v>15790</v>
      </c>
      <c r="I744" s="14" t="s">
        <v>179</v>
      </c>
      <c r="J744" s="14" t="s">
        <v>15791</v>
      </c>
      <c r="K744" s="14" t="s">
        <v>179</v>
      </c>
      <c r="L744" s="14" t="s">
        <v>15792</v>
      </c>
      <c r="M744" s="14" t="s">
        <v>179</v>
      </c>
      <c r="N744" s="14" t="s">
        <v>15793</v>
      </c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6" t="s">
        <v>197</v>
      </c>
      <c r="BP744" s="17" t="s">
        <v>198</v>
      </c>
      <c r="BQ744" s="18">
        <v>45698.674409722225</v>
      </c>
      <c r="BR744" s="17" t="s">
        <v>198</v>
      </c>
      <c r="BS744" s="18">
        <v>45698.67444444444</v>
      </c>
      <c r="BT744" s="17" t="s">
        <v>198</v>
      </c>
      <c r="BU744" s="18">
        <v>45698.67444444444</v>
      </c>
      <c r="BV744" s="13" t="s">
        <v>199</v>
      </c>
      <c r="BW744" s="14" t="s">
        <v>179</v>
      </c>
      <c r="BX744" s="14" t="s">
        <v>15794</v>
      </c>
      <c r="BY744" s="14" t="s">
        <v>179</v>
      </c>
      <c r="BZ744" s="14" t="s">
        <v>15795</v>
      </c>
      <c r="CA744" s="14" t="s">
        <v>179</v>
      </c>
      <c r="CB744" s="14" t="s">
        <v>15796</v>
      </c>
      <c r="CC744" s="15"/>
      <c r="CD744" s="15"/>
      <c r="CE744" s="15"/>
      <c r="CF744" s="15"/>
      <c r="CG744" s="19"/>
      <c r="CH744" s="15"/>
      <c r="CI744" s="19"/>
      <c r="CJ744" s="15"/>
      <c r="CK744" s="19"/>
      <c r="CL744" s="15"/>
      <c r="CM744" s="19"/>
      <c r="CN744" s="15"/>
      <c r="CO744" s="19"/>
      <c r="CP744" s="15"/>
      <c r="CQ744" s="15"/>
      <c r="CR744" s="15"/>
      <c r="CS744" s="19"/>
      <c r="CT744" s="15"/>
      <c r="CU744" s="19"/>
      <c r="CV744" s="15"/>
      <c r="CW744" s="19"/>
      <c r="CX744" s="15"/>
      <c r="CY744" s="19"/>
      <c r="CZ744" s="15"/>
      <c r="DA744" s="16" t="s">
        <v>197</v>
      </c>
      <c r="DB744" s="17" t="s">
        <v>228</v>
      </c>
      <c r="DC744" s="16"/>
      <c r="DD744" s="17" t="s">
        <v>198</v>
      </c>
      <c r="DE744" s="18">
        <v>45698.674525462964</v>
      </c>
      <c r="DF744" s="17" t="s">
        <v>198</v>
      </c>
      <c r="DG744" s="18">
        <v>45698.674525462964</v>
      </c>
      <c r="DH744" s="13" t="s">
        <v>205</v>
      </c>
      <c r="DI744" s="14" t="s">
        <v>179</v>
      </c>
      <c r="DJ744" s="14" t="s">
        <v>15797</v>
      </c>
      <c r="DK744" s="14" t="s">
        <v>179</v>
      </c>
      <c r="DL744" s="14" t="s">
        <v>15798</v>
      </c>
      <c r="DM744" s="15"/>
      <c r="DN744" s="15"/>
      <c r="DO744" s="15"/>
      <c r="DP744" s="15"/>
      <c r="DQ744" s="15"/>
      <c r="DR744" s="15"/>
      <c r="DS744" s="15"/>
      <c r="DT744" s="15"/>
      <c r="DU744" s="15"/>
      <c r="DV744" s="15"/>
      <c r="DW744" s="15"/>
      <c r="DX744" s="15"/>
      <c r="DY744" s="15"/>
      <c r="DZ744" s="15"/>
      <c r="EA744" s="15"/>
      <c r="EB744" s="15"/>
      <c r="EC744" s="16" t="s">
        <v>197</v>
      </c>
      <c r="ED744" s="17" t="s">
        <v>198</v>
      </c>
      <c r="EE744" s="18">
        <v>45719.47929398148</v>
      </c>
      <c r="EF744" s="13" t="s">
        <v>209</v>
      </c>
      <c r="EG744" s="14" t="s">
        <v>179</v>
      </c>
      <c r="EH744" s="14" t="s">
        <v>15799</v>
      </c>
      <c r="EI744" s="14" t="s">
        <v>179</v>
      </c>
      <c r="EJ744" s="14" t="s">
        <v>15800</v>
      </c>
      <c r="EK744" s="15"/>
      <c r="EL744" s="15"/>
      <c r="EM744" s="15"/>
      <c r="EN744" s="15"/>
      <c r="EO744" s="15"/>
      <c r="EP744" s="15"/>
      <c r="EQ744" s="15"/>
      <c r="ER744" s="15"/>
      <c r="ES744" s="15"/>
      <c r="ET744" s="15"/>
      <c r="EU744" s="15"/>
      <c r="EV744" s="15"/>
      <c r="EW744" s="15"/>
      <c r="EX744" s="15"/>
      <c r="EY744" s="15"/>
      <c r="EZ744" s="15"/>
      <c r="FA744" s="15"/>
      <c r="FB744" s="15"/>
      <c r="FC744" s="16" t="s">
        <v>197</v>
      </c>
      <c r="FD744" s="17" t="s">
        <v>198</v>
      </c>
      <c r="FE744" s="18">
        <v>45723.27631944444</v>
      </c>
      <c r="FF744" s="19"/>
      <c r="FG744" s="19"/>
      <c r="FH744" s="21" t="s">
        <v>197</v>
      </c>
      <c r="FI744" s="17" t="s">
        <v>214</v>
      </c>
      <c r="FJ744" s="18">
        <v>45723.27631944444</v>
      </c>
      <c r="FK744" s="14" t="s">
        <v>15800</v>
      </c>
      <c r="FL744" s="19"/>
      <c r="FM744" s="19"/>
      <c r="FN744" s="19"/>
      <c r="FO744" s="19"/>
      <c r="FP744" s="19" t="str">
        <f t="shared" si="1"/>
        <v/>
      </c>
      <c r="FQ744" s="14" t="s">
        <v>215</v>
      </c>
      <c r="FR744" s="14" t="s">
        <v>15801</v>
      </c>
    </row>
    <row r="745" ht="15.75" customHeight="1">
      <c r="A745" s="12" t="s">
        <v>174</v>
      </c>
      <c r="B745" s="22" t="s">
        <v>682</v>
      </c>
      <c r="C745" s="24" t="s">
        <v>375</v>
      </c>
      <c r="D745" s="22" t="s">
        <v>15802</v>
      </c>
      <c r="E745" s="22" t="s">
        <v>15803</v>
      </c>
      <c r="F745" s="13" t="s">
        <v>178</v>
      </c>
      <c r="G745" s="14" t="s">
        <v>179</v>
      </c>
      <c r="H745" s="14" t="s">
        <v>15804</v>
      </c>
      <c r="I745" s="14" t="s">
        <v>179</v>
      </c>
      <c r="J745" s="14" t="s">
        <v>15805</v>
      </c>
      <c r="K745" s="14" t="s">
        <v>179</v>
      </c>
      <c r="L745" s="14" t="s">
        <v>15806</v>
      </c>
      <c r="M745" s="14" t="s">
        <v>179</v>
      </c>
      <c r="N745" s="14" t="s">
        <v>15807</v>
      </c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6" t="s">
        <v>197</v>
      </c>
      <c r="BP745" s="17" t="s">
        <v>198</v>
      </c>
      <c r="BQ745" s="18">
        <v>45698.67575231481</v>
      </c>
      <c r="BR745" s="17" t="s">
        <v>198</v>
      </c>
      <c r="BS745" s="18">
        <v>45698.679189814815</v>
      </c>
      <c r="BT745" s="17" t="s">
        <v>198</v>
      </c>
      <c r="BU745" s="18">
        <v>45698.679189814815</v>
      </c>
      <c r="BV745" s="13" t="s">
        <v>199</v>
      </c>
      <c r="BW745" s="14" t="s">
        <v>179</v>
      </c>
      <c r="BX745" s="14" t="s">
        <v>15808</v>
      </c>
      <c r="BY745" s="14" t="s">
        <v>179</v>
      </c>
      <c r="BZ745" s="14" t="s">
        <v>15809</v>
      </c>
      <c r="CA745" s="14" t="s">
        <v>179</v>
      </c>
      <c r="CB745" s="14" t="s">
        <v>15810</v>
      </c>
      <c r="CC745" s="15"/>
      <c r="CD745" s="15"/>
      <c r="CE745" s="15"/>
      <c r="CF745" s="15"/>
      <c r="CG745" s="19"/>
      <c r="CH745" s="15"/>
      <c r="CI745" s="19"/>
      <c r="CJ745" s="15"/>
      <c r="CK745" s="19"/>
      <c r="CL745" s="15"/>
      <c r="CM745" s="19"/>
      <c r="CN745" s="15"/>
      <c r="CO745" s="19"/>
      <c r="CP745" s="15"/>
      <c r="CQ745" s="15"/>
      <c r="CR745" s="15"/>
      <c r="CS745" s="19"/>
      <c r="CT745" s="15"/>
      <c r="CU745" s="19"/>
      <c r="CV745" s="15"/>
      <c r="CW745" s="19"/>
      <c r="CX745" s="15"/>
      <c r="CY745" s="19"/>
      <c r="CZ745" s="15"/>
      <c r="DA745" s="16" t="s">
        <v>197</v>
      </c>
      <c r="DB745" s="17" t="s">
        <v>228</v>
      </c>
      <c r="DC745" s="16"/>
      <c r="DD745" s="17" t="s">
        <v>198</v>
      </c>
      <c r="DE745" s="18">
        <v>45698.67925925926</v>
      </c>
      <c r="DF745" s="17" t="s">
        <v>198</v>
      </c>
      <c r="DG745" s="18">
        <v>45698.67925925926</v>
      </c>
      <c r="DH745" s="13" t="s">
        <v>205</v>
      </c>
      <c r="DI745" s="14" t="s">
        <v>179</v>
      </c>
      <c r="DJ745" s="14" t="s">
        <v>15811</v>
      </c>
      <c r="DK745" s="14" t="s">
        <v>179</v>
      </c>
      <c r="DL745" s="14" t="s">
        <v>15812</v>
      </c>
      <c r="DM745" s="15"/>
      <c r="DN745" s="15"/>
      <c r="DO745" s="15"/>
      <c r="DP745" s="15"/>
      <c r="DQ745" s="15"/>
      <c r="DR745" s="15"/>
      <c r="DS745" s="15"/>
      <c r="DT745" s="15"/>
      <c r="DU745" s="15"/>
      <c r="DV745" s="15"/>
      <c r="DW745" s="15"/>
      <c r="DX745" s="15"/>
      <c r="DY745" s="15"/>
      <c r="DZ745" s="15"/>
      <c r="EA745" s="15"/>
      <c r="EB745" s="15"/>
      <c r="EC745" s="16" t="s">
        <v>197</v>
      </c>
      <c r="ED745" s="17" t="s">
        <v>198</v>
      </c>
      <c r="EE745" s="18">
        <v>45719.47902777778</v>
      </c>
      <c r="EF745" s="13" t="s">
        <v>209</v>
      </c>
      <c r="EG745" s="14" t="s">
        <v>179</v>
      </c>
      <c r="EH745" s="14" t="s">
        <v>15813</v>
      </c>
      <c r="EI745" s="14" t="s">
        <v>179</v>
      </c>
      <c r="EJ745" s="14" t="s">
        <v>15813</v>
      </c>
      <c r="EK745" s="15"/>
      <c r="EL745" s="15"/>
      <c r="EM745" s="15"/>
      <c r="EN745" s="15"/>
      <c r="EO745" s="15"/>
      <c r="EP745" s="15"/>
      <c r="EQ745" s="15"/>
      <c r="ER745" s="15"/>
      <c r="ES745" s="15"/>
      <c r="ET745" s="15"/>
      <c r="EU745" s="15"/>
      <c r="EV745" s="15"/>
      <c r="EW745" s="15"/>
      <c r="EX745" s="15"/>
      <c r="EY745" s="15"/>
      <c r="EZ745" s="15"/>
      <c r="FA745" s="15"/>
      <c r="FB745" s="15"/>
      <c r="FC745" s="16" t="s">
        <v>197</v>
      </c>
      <c r="FD745" s="17" t="s">
        <v>198</v>
      </c>
      <c r="FE745" s="18">
        <v>45723.27701388889</v>
      </c>
      <c r="FF745" s="19"/>
      <c r="FG745" s="19"/>
      <c r="FH745" s="21" t="s">
        <v>197</v>
      </c>
      <c r="FI745" s="17" t="s">
        <v>214</v>
      </c>
      <c r="FJ745" s="18">
        <v>45723.27701388889</v>
      </c>
      <c r="FK745" s="14" t="s">
        <v>15813</v>
      </c>
      <c r="FL745" s="19"/>
      <c r="FM745" s="19"/>
      <c r="FN745" s="19"/>
      <c r="FO745" s="19"/>
      <c r="FP745" s="19" t="str">
        <f t="shared" si="1"/>
        <v/>
      </c>
      <c r="FQ745" s="14" t="s">
        <v>215</v>
      </c>
      <c r="FR745" s="14" t="s">
        <v>15814</v>
      </c>
    </row>
    <row r="746" ht="15.75" customHeight="1">
      <c r="A746" s="12" t="s">
        <v>174</v>
      </c>
      <c r="B746" s="22" t="s">
        <v>682</v>
      </c>
      <c r="C746" s="24" t="s">
        <v>375</v>
      </c>
      <c r="D746" s="22" t="s">
        <v>15815</v>
      </c>
      <c r="E746" s="22" t="s">
        <v>15816</v>
      </c>
      <c r="F746" s="13" t="s">
        <v>178</v>
      </c>
      <c r="G746" s="14" t="s">
        <v>179</v>
      </c>
      <c r="H746" s="14" t="s">
        <v>15817</v>
      </c>
      <c r="I746" s="14" t="s">
        <v>179</v>
      </c>
      <c r="J746" s="14" t="s">
        <v>15818</v>
      </c>
      <c r="K746" s="14" t="s">
        <v>179</v>
      </c>
      <c r="L746" s="14" t="s">
        <v>15819</v>
      </c>
      <c r="M746" s="14" t="s">
        <v>179</v>
      </c>
      <c r="N746" s="14" t="s">
        <v>15820</v>
      </c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6" t="s">
        <v>197</v>
      </c>
      <c r="BP746" s="17" t="s">
        <v>198</v>
      </c>
      <c r="BQ746" s="18">
        <v>45698.679456018515</v>
      </c>
      <c r="BR746" s="17" t="s">
        <v>198</v>
      </c>
      <c r="BS746" s="18">
        <v>45698.67957175926</v>
      </c>
      <c r="BT746" s="17" t="s">
        <v>198</v>
      </c>
      <c r="BU746" s="18">
        <v>45698.67957175926</v>
      </c>
      <c r="BV746" s="13" t="s">
        <v>199</v>
      </c>
      <c r="BW746" s="14" t="s">
        <v>179</v>
      </c>
      <c r="BX746" s="14" t="s">
        <v>15821</v>
      </c>
      <c r="BY746" s="14" t="s">
        <v>179</v>
      </c>
      <c r="BZ746" s="14" t="s">
        <v>15822</v>
      </c>
      <c r="CA746" s="14" t="s">
        <v>179</v>
      </c>
      <c r="CB746" s="14" t="s">
        <v>15823</v>
      </c>
      <c r="CC746" s="15"/>
      <c r="CD746" s="15"/>
      <c r="CE746" s="15"/>
      <c r="CF746" s="15"/>
      <c r="CG746" s="19"/>
      <c r="CH746" s="15"/>
      <c r="CI746" s="19"/>
      <c r="CJ746" s="15"/>
      <c r="CK746" s="19"/>
      <c r="CL746" s="15"/>
      <c r="CM746" s="19"/>
      <c r="CN746" s="15"/>
      <c r="CO746" s="19"/>
      <c r="CP746" s="15"/>
      <c r="CQ746" s="15"/>
      <c r="CR746" s="15"/>
      <c r="CS746" s="19"/>
      <c r="CT746" s="15"/>
      <c r="CU746" s="19"/>
      <c r="CV746" s="15"/>
      <c r="CW746" s="19"/>
      <c r="CX746" s="15"/>
      <c r="CY746" s="19"/>
      <c r="CZ746" s="15"/>
      <c r="DA746" s="16" t="s">
        <v>197</v>
      </c>
      <c r="DB746" s="17" t="s">
        <v>228</v>
      </c>
      <c r="DC746" s="16"/>
      <c r="DD746" s="17" t="s">
        <v>198</v>
      </c>
      <c r="DE746" s="18">
        <v>45698.6796875</v>
      </c>
      <c r="DF746" s="17" t="s">
        <v>198</v>
      </c>
      <c r="DG746" s="18">
        <v>45698.6796875</v>
      </c>
      <c r="DH746" s="13" t="s">
        <v>205</v>
      </c>
      <c r="DI746" s="14" t="s">
        <v>179</v>
      </c>
      <c r="DJ746" s="14" t="s">
        <v>15824</v>
      </c>
      <c r="DK746" s="14" t="s">
        <v>179</v>
      </c>
      <c r="DL746" s="14" t="s">
        <v>15825</v>
      </c>
      <c r="DM746" s="15"/>
      <c r="DN746" s="15"/>
      <c r="DO746" s="15"/>
      <c r="DP746" s="15"/>
      <c r="DQ746" s="15"/>
      <c r="DR746" s="15"/>
      <c r="DS746" s="15"/>
      <c r="DT746" s="15"/>
      <c r="DU746" s="15"/>
      <c r="DV746" s="15"/>
      <c r="DW746" s="15"/>
      <c r="DX746" s="15"/>
      <c r="DY746" s="15"/>
      <c r="DZ746" s="15"/>
      <c r="EA746" s="15"/>
      <c r="EB746" s="15"/>
      <c r="EC746" s="16" t="s">
        <v>197</v>
      </c>
      <c r="ED746" s="17" t="s">
        <v>198</v>
      </c>
      <c r="EE746" s="18">
        <v>45719.479155092595</v>
      </c>
      <c r="EF746" s="13" t="s">
        <v>209</v>
      </c>
      <c r="EG746" s="14" t="s">
        <v>179</v>
      </c>
      <c r="EH746" s="14" t="s">
        <v>15826</v>
      </c>
      <c r="EI746" s="14" t="s">
        <v>179</v>
      </c>
      <c r="EJ746" s="14" t="s">
        <v>15826</v>
      </c>
      <c r="EK746" s="15"/>
      <c r="EL746" s="15"/>
      <c r="EM746" s="15"/>
      <c r="EN746" s="15"/>
      <c r="EO746" s="15"/>
      <c r="EP746" s="15"/>
      <c r="EQ746" s="15"/>
      <c r="ER746" s="15"/>
      <c r="ES746" s="15"/>
      <c r="ET746" s="15"/>
      <c r="EU746" s="15"/>
      <c r="EV746" s="15"/>
      <c r="EW746" s="15"/>
      <c r="EX746" s="15"/>
      <c r="EY746" s="15"/>
      <c r="EZ746" s="15"/>
      <c r="FA746" s="15"/>
      <c r="FB746" s="15"/>
      <c r="FC746" s="16" t="s">
        <v>197</v>
      </c>
      <c r="FD746" s="17" t="s">
        <v>198</v>
      </c>
      <c r="FE746" s="18">
        <v>45723.27707175926</v>
      </c>
      <c r="FF746" s="19"/>
      <c r="FG746" s="19"/>
      <c r="FH746" s="21" t="s">
        <v>197</v>
      </c>
      <c r="FI746" s="17" t="s">
        <v>214</v>
      </c>
      <c r="FJ746" s="18">
        <v>45723.27707175926</v>
      </c>
      <c r="FK746" s="14" t="s">
        <v>15826</v>
      </c>
      <c r="FL746" s="19"/>
      <c r="FM746" s="19"/>
      <c r="FN746" s="19"/>
      <c r="FO746" s="19"/>
      <c r="FP746" s="19" t="str">
        <f t="shared" si="1"/>
        <v/>
      </c>
      <c r="FQ746" s="14" t="s">
        <v>215</v>
      </c>
      <c r="FR746" s="14" t="s">
        <v>15827</v>
      </c>
    </row>
    <row r="747" ht="15.75" customHeight="1">
      <c r="A747" s="12" t="s">
        <v>174</v>
      </c>
      <c r="B747" s="22" t="s">
        <v>13616</v>
      </c>
      <c r="C747" s="24" t="s">
        <v>375</v>
      </c>
      <c r="D747" s="22" t="s">
        <v>15828</v>
      </c>
      <c r="E747" s="22" t="s">
        <v>15829</v>
      </c>
      <c r="F747" s="13" t="s">
        <v>178</v>
      </c>
      <c r="G747" s="14" t="s">
        <v>179</v>
      </c>
      <c r="H747" s="14" t="s">
        <v>15830</v>
      </c>
      <c r="I747" s="14" t="s">
        <v>179</v>
      </c>
      <c r="J747" s="14" t="s">
        <v>15831</v>
      </c>
      <c r="K747" s="14" t="s">
        <v>179</v>
      </c>
      <c r="L747" s="14" t="s">
        <v>15832</v>
      </c>
      <c r="M747" s="14" t="s">
        <v>179</v>
      </c>
      <c r="N747" s="14" t="s">
        <v>15833</v>
      </c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6" t="s">
        <v>197</v>
      </c>
      <c r="BP747" s="17" t="s">
        <v>198</v>
      </c>
      <c r="BQ747" s="18">
        <v>45698.68263888889</v>
      </c>
      <c r="BR747" s="17" t="s">
        <v>198</v>
      </c>
      <c r="BS747" s="18">
        <v>45698.68315972222</v>
      </c>
      <c r="BT747" s="17" t="s">
        <v>198</v>
      </c>
      <c r="BU747" s="18">
        <v>45698.68315972222</v>
      </c>
      <c r="BV747" s="13" t="s">
        <v>199</v>
      </c>
      <c r="BW747" s="14" t="s">
        <v>179</v>
      </c>
      <c r="BX747" s="14" t="s">
        <v>15834</v>
      </c>
      <c r="BY747" s="14" t="s">
        <v>179</v>
      </c>
      <c r="BZ747" s="14" t="s">
        <v>15835</v>
      </c>
      <c r="CA747" s="14" t="s">
        <v>179</v>
      </c>
      <c r="CB747" s="14" t="s">
        <v>15836</v>
      </c>
      <c r="CC747" s="15"/>
      <c r="CD747" s="15"/>
      <c r="CE747" s="15"/>
      <c r="CF747" s="15"/>
      <c r="CG747" s="19"/>
      <c r="CH747" s="15"/>
      <c r="CI747" s="19"/>
      <c r="CJ747" s="15"/>
      <c r="CK747" s="19"/>
      <c r="CL747" s="15"/>
      <c r="CM747" s="19"/>
      <c r="CN747" s="15"/>
      <c r="CO747" s="19"/>
      <c r="CP747" s="15"/>
      <c r="CQ747" s="15"/>
      <c r="CR747" s="15"/>
      <c r="CS747" s="19"/>
      <c r="CT747" s="15"/>
      <c r="CU747" s="19"/>
      <c r="CV747" s="15"/>
      <c r="CW747" s="19"/>
      <c r="CX747" s="15"/>
      <c r="CY747" s="19"/>
      <c r="CZ747" s="15"/>
      <c r="DA747" s="16" t="s">
        <v>197</v>
      </c>
      <c r="DB747" s="17" t="s">
        <v>228</v>
      </c>
      <c r="DC747" s="16"/>
      <c r="DD747" s="17" t="s">
        <v>198</v>
      </c>
      <c r="DE747" s="18">
        <v>45698.68326388889</v>
      </c>
      <c r="DF747" s="17" t="s">
        <v>198</v>
      </c>
      <c r="DG747" s="18">
        <v>45698.68326388889</v>
      </c>
      <c r="DH747" s="13" t="s">
        <v>205</v>
      </c>
      <c r="DI747" s="14" t="s">
        <v>179</v>
      </c>
      <c r="DJ747" s="14" t="s">
        <v>15837</v>
      </c>
      <c r="DK747" s="14" t="s">
        <v>179</v>
      </c>
      <c r="DL747" s="14" t="s">
        <v>15838</v>
      </c>
      <c r="DM747" s="15"/>
      <c r="DN747" s="15"/>
      <c r="DO747" s="15"/>
      <c r="DP747" s="15"/>
      <c r="DQ747" s="15"/>
      <c r="DR747" s="15"/>
      <c r="DS747" s="15"/>
      <c r="DT747" s="15"/>
      <c r="DU747" s="15"/>
      <c r="DV747" s="15"/>
      <c r="DW747" s="15"/>
      <c r="DX747" s="15"/>
      <c r="DY747" s="15"/>
      <c r="DZ747" s="15"/>
      <c r="EA747" s="15"/>
      <c r="EB747" s="15"/>
      <c r="EC747" s="16" t="s">
        <v>197</v>
      </c>
      <c r="ED747" s="17" t="s">
        <v>198</v>
      </c>
      <c r="EE747" s="18">
        <v>45723.27782407407</v>
      </c>
      <c r="EF747" s="13" t="s">
        <v>209</v>
      </c>
      <c r="EG747" s="14" t="s">
        <v>179</v>
      </c>
      <c r="EH747" s="14" t="s">
        <v>15839</v>
      </c>
      <c r="EI747" s="14" t="s">
        <v>179</v>
      </c>
      <c r="EJ747" s="14" t="s">
        <v>15840</v>
      </c>
      <c r="EK747" s="15"/>
      <c r="EL747" s="15"/>
      <c r="EM747" s="15"/>
      <c r="EN747" s="15"/>
      <c r="EO747" s="15"/>
      <c r="EP747" s="15"/>
      <c r="EQ747" s="15"/>
      <c r="ER747" s="15"/>
      <c r="ES747" s="15"/>
      <c r="ET747" s="15"/>
      <c r="EU747" s="15"/>
      <c r="EV747" s="15"/>
      <c r="EW747" s="15"/>
      <c r="EX747" s="15"/>
      <c r="EY747" s="15"/>
      <c r="EZ747" s="15"/>
      <c r="FA747" s="15"/>
      <c r="FB747" s="15"/>
      <c r="FC747" s="16" t="s">
        <v>197</v>
      </c>
      <c r="FD747" s="17" t="s">
        <v>198</v>
      </c>
      <c r="FE747" s="18">
        <v>45723.27789351852</v>
      </c>
      <c r="FF747" s="19"/>
      <c r="FG747" s="19"/>
      <c r="FH747" s="21" t="s">
        <v>197</v>
      </c>
      <c r="FI747" s="17" t="s">
        <v>214</v>
      </c>
      <c r="FJ747" s="18">
        <v>45723.27789351852</v>
      </c>
      <c r="FK747" s="14" t="s">
        <v>15840</v>
      </c>
      <c r="FL747" s="19"/>
      <c r="FM747" s="19"/>
      <c r="FN747" s="19"/>
      <c r="FO747" s="19"/>
      <c r="FP747" s="19" t="str">
        <f t="shared" si="1"/>
        <v/>
      </c>
      <c r="FQ747" s="14" t="s">
        <v>215</v>
      </c>
      <c r="FR747" s="14" t="s">
        <v>15841</v>
      </c>
    </row>
    <row r="748" ht="15.75" customHeight="1">
      <c r="A748" s="12" t="s">
        <v>174</v>
      </c>
      <c r="B748" s="22" t="s">
        <v>13616</v>
      </c>
      <c r="C748" s="24" t="s">
        <v>375</v>
      </c>
      <c r="D748" s="22" t="s">
        <v>15842</v>
      </c>
      <c r="E748" s="22" t="s">
        <v>15843</v>
      </c>
      <c r="F748" s="13" t="s">
        <v>178</v>
      </c>
      <c r="G748" s="14" t="s">
        <v>179</v>
      </c>
      <c r="H748" s="14" t="s">
        <v>15844</v>
      </c>
      <c r="I748" s="14" t="s">
        <v>179</v>
      </c>
      <c r="J748" s="14" t="s">
        <v>15844</v>
      </c>
      <c r="K748" s="14" t="s">
        <v>179</v>
      </c>
      <c r="L748" s="14" t="s">
        <v>15845</v>
      </c>
      <c r="M748" s="14" t="s">
        <v>179</v>
      </c>
      <c r="N748" s="14" t="s">
        <v>15846</v>
      </c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6" t="s">
        <v>197</v>
      </c>
      <c r="BP748" s="17" t="s">
        <v>198</v>
      </c>
      <c r="BQ748" s="18">
        <v>45698.68368055556</v>
      </c>
      <c r="BR748" s="17" t="s">
        <v>198</v>
      </c>
      <c r="BS748" s="18">
        <v>45698.68371527778</v>
      </c>
      <c r="BT748" s="17" t="s">
        <v>198</v>
      </c>
      <c r="BU748" s="18">
        <v>45698.68371527778</v>
      </c>
      <c r="BV748" s="13" t="s">
        <v>199</v>
      </c>
      <c r="BW748" s="14" t="s">
        <v>179</v>
      </c>
      <c r="BX748" s="14" t="s">
        <v>15847</v>
      </c>
      <c r="BY748" s="14" t="s">
        <v>179</v>
      </c>
      <c r="BZ748" s="14" t="s">
        <v>15848</v>
      </c>
      <c r="CA748" s="14" t="s">
        <v>179</v>
      </c>
      <c r="CB748" s="14" t="s">
        <v>15849</v>
      </c>
      <c r="CC748" s="15"/>
      <c r="CD748" s="15"/>
      <c r="CE748" s="15"/>
      <c r="CF748" s="15"/>
      <c r="CG748" s="19"/>
      <c r="CH748" s="15"/>
      <c r="CI748" s="19"/>
      <c r="CJ748" s="15"/>
      <c r="CK748" s="19"/>
      <c r="CL748" s="15"/>
      <c r="CM748" s="19"/>
      <c r="CN748" s="15"/>
      <c r="CO748" s="19"/>
      <c r="CP748" s="15"/>
      <c r="CQ748" s="15"/>
      <c r="CR748" s="15"/>
      <c r="CS748" s="19"/>
      <c r="CT748" s="15"/>
      <c r="CU748" s="19"/>
      <c r="CV748" s="15"/>
      <c r="CW748" s="19"/>
      <c r="CX748" s="15"/>
      <c r="CY748" s="19"/>
      <c r="CZ748" s="15"/>
      <c r="DA748" s="16" t="s">
        <v>197</v>
      </c>
      <c r="DB748" s="17" t="s">
        <v>228</v>
      </c>
      <c r="DC748" s="16"/>
      <c r="DD748" s="17" t="s">
        <v>198</v>
      </c>
      <c r="DE748" s="18">
        <v>45698.68380787037</v>
      </c>
      <c r="DF748" s="17" t="s">
        <v>198</v>
      </c>
      <c r="DG748" s="18">
        <v>45698.68380787037</v>
      </c>
      <c r="DH748" s="13" t="s">
        <v>205</v>
      </c>
      <c r="DI748" s="14" t="s">
        <v>179</v>
      </c>
      <c r="DJ748" s="14" t="s">
        <v>15850</v>
      </c>
      <c r="DK748" s="14" t="s">
        <v>179</v>
      </c>
      <c r="DL748" s="14" t="s">
        <v>15851</v>
      </c>
      <c r="DM748" s="15"/>
      <c r="DN748" s="15"/>
      <c r="DO748" s="15"/>
      <c r="DP748" s="15"/>
      <c r="DQ748" s="15"/>
      <c r="DR748" s="15"/>
      <c r="DS748" s="15"/>
      <c r="DT748" s="15"/>
      <c r="DU748" s="15"/>
      <c r="DV748" s="15"/>
      <c r="DW748" s="15"/>
      <c r="DX748" s="15"/>
      <c r="DY748" s="15"/>
      <c r="DZ748" s="15"/>
      <c r="EA748" s="15"/>
      <c r="EB748" s="15"/>
      <c r="EC748" s="16" t="s">
        <v>197</v>
      </c>
      <c r="ED748" s="17" t="s">
        <v>198</v>
      </c>
      <c r="EE748" s="18">
        <v>45723.277962962966</v>
      </c>
      <c r="EF748" s="13" t="s">
        <v>209</v>
      </c>
      <c r="EG748" s="14" t="s">
        <v>179</v>
      </c>
      <c r="EH748" s="14" t="s">
        <v>15852</v>
      </c>
      <c r="EI748" s="14" t="s">
        <v>179</v>
      </c>
      <c r="EJ748" s="14" t="s">
        <v>15853</v>
      </c>
      <c r="EK748" s="15"/>
      <c r="EL748" s="15"/>
      <c r="EM748" s="15"/>
      <c r="EN748" s="15"/>
      <c r="EO748" s="15"/>
      <c r="EP748" s="15"/>
      <c r="EQ748" s="15"/>
      <c r="ER748" s="15"/>
      <c r="ES748" s="15"/>
      <c r="ET748" s="15"/>
      <c r="EU748" s="15"/>
      <c r="EV748" s="15"/>
      <c r="EW748" s="15"/>
      <c r="EX748" s="15"/>
      <c r="EY748" s="15"/>
      <c r="EZ748" s="15"/>
      <c r="FA748" s="15"/>
      <c r="FB748" s="15"/>
      <c r="FC748" s="16" t="s">
        <v>197</v>
      </c>
      <c r="FD748" s="17" t="s">
        <v>198</v>
      </c>
      <c r="FE748" s="18">
        <v>45723.27800925926</v>
      </c>
      <c r="FF748" s="19"/>
      <c r="FG748" s="19"/>
      <c r="FH748" s="21" t="s">
        <v>197</v>
      </c>
      <c r="FI748" s="17" t="s">
        <v>214</v>
      </c>
      <c r="FJ748" s="18">
        <v>45723.27800925926</v>
      </c>
      <c r="FK748" s="14" t="s">
        <v>15853</v>
      </c>
      <c r="FL748" s="19"/>
      <c r="FM748" s="19"/>
      <c r="FN748" s="19"/>
      <c r="FO748" s="19"/>
      <c r="FP748" s="19" t="str">
        <f t="shared" si="1"/>
        <v/>
      </c>
      <c r="FQ748" s="14" t="s">
        <v>215</v>
      </c>
      <c r="FR748" s="14" t="s">
        <v>15854</v>
      </c>
    </row>
    <row r="749" ht="15.75" customHeight="1">
      <c r="A749" s="12" t="s">
        <v>174</v>
      </c>
      <c r="B749" s="22" t="s">
        <v>1359</v>
      </c>
      <c r="C749" s="24" t="s">
        <v>375</v>
      </c>
      <c r="D749" s="22" t="s">
        <v>15855</v>
      </c>
      <c r="E749" s="22" t="s">
        <v>15856</v>
      </c>
      <c r="F749" s="13" t="s">
        <v>178</v>
      </c>
      <c r="G749" s="14" t="s">
        <v>179</v>
      </c>
      <c r="H749" s="14" t="s">
        <v>15857</v>
      </c>
      <c r="I749" s="14" t="s">
        <v>179</v>
      </c>
      <c r="J749" s="14" t="s">
        <v>15858</v>
      </c>
      <c r="K749" s="14" t="s">
        <v>179</v>
      </c>
      <c r="L749" s="14" t="s">
        <v>15859</v>
      </c>
      <c r="M749" s="14" t="s">
        <v>179</v>
      </c>
      <c r="N749" s="14" t="s">
        <v>15860</v>
      </c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6" t="s">
        <v>197</v>
      </c>
      <c r="BP749" s="17" t="s">
        <v>198</v>
      </c>
      <c r="BQ749" s="18">
        <v>45686.442766203705</v>
      </c>
      <c r="BR749" s="17" t="s">
        <v>198</v>
      </c>
      <c r="BS749" s="18">
        <v>45686.442824074074</v>
      </c>
      <c r="BT749" s="17" t="s">
        <v>198</v>
      </c>
      <c r="BU749" s="18">
        <v>45686.442824074074</v>
      </c>
      <c r="BV749" s="13" t="s">
        <v>199</v>
      </c>
      <c r="BW749" s="14" t="s">
        <v>179</v>
      </c>
      <c r="BX749" s="14" t="s">
        <v>15861</v>
      </c>
      <c r="BY749" s="14" t="s">
        <v>179</v>
      </c>
      <c r="BZ749" s="14" t="s">
        <v>15862</v>
      </c>
      <c r="CA749" s="14" t="s">
        <v>179</v>
      </c>
      <c r="CB749" s="14" t="s">
        <v>15862</v>
      </c>
      <c r="CC749" s="15"/>
      <c r="CD749" s="15"/>
      <c r="CE749" s="15"/>
      <c r="CF749" s="15"/>
      <c r="CG749" s="19"/>
      <c r="CH749" s="15"/>
      <c r="CI749" s="19"/>
      <c r="CJ749" s="15"/>
      <c r="CK749" s="19"/>
      <c r="CL749" s="15"/>
      <c r="CM749" s="19"/>
      <c r="CN749" s="15"/>
      <c r="CO749" s="19"/>
      <c r="CP749" s="15"/>
      <c r="CQ749" s="15"/>
      <c r="CR749" s="15"/>
      <c r="CS749" s="19"/>
      <c r="CT749" s="15"/>
      <c r="CU749" s="19"/>
      <c r="CV749" s="15"/>
      <c r="CW749" s="19"/>
      <c r="CX749" s="15"/>
      <c r="CY749" s="19"/>
      <c r="CZ749" s="15"/>
      <c r="DA749" s="16" t="s">
        <v>197</v>
      </c>
      <c r="DB749" s="17" t="s">
        <v>228</v>
      </c>
      <c r="DC749" s="16"/>
      <c r="DD749" s="17" t="s">
        <v>198</v>
      </c>
      <c r="DE749" s="18">
        <v>45694.40534722222</v>
      </c>
      <c r="DF749" s="17" t="s">
        <v>198</v>
      </c>
      <c r="DG749" s="18">
        <v>45694.40534722222</v>
      </c>
      <c r="DH749" s="13" t="s">
        <v>205</v>
      </c>
      <c r="DI749" s="14" t="s">
        <v>179</v>
      </c>
      <c r="DJ749" s="14" t="s">
        <v>15863</v>
      </c>
      <c r="DK749" s="14" t="s">
        <v>179</v>
      </c>
      <c r="DL749" s="14" t="s">
        <v>15864</v>
      </c>
      <c r="DM749" s="15"/>
      <c r="DN749" s="15"/>
      <c r="DO749" s="15"/>
      <c r="DP749" s="15"/>
      <c r="DQ749" s="15"/>
      <c r="DR749" s="15"/>
      <c r="DS749" s="15"/>
      <c r="DT749" s="15"/>
      <c r="DU749" s="15"/>
      <c r="DV749" s="15"/>
      <c r="DW749" s="15"/>
      <c r="DX749" s="15"/>
      <c r="DY749" s="15"/>
      <c r="DZ749" s="15"/>
      <c r="EA749" s="15"/>
      <c r="EB749" s="15"/>
      <c r="EC749" s="16" t="s">
        <v>197</v>
      </c>
      <c r="ED749" s="17" t="s">
        <v>198</v>
      </c>
      <c r="EE749" s="18">
        <v>45719.46604166667</v>
      </c>
      <c r="EF749" s="13" t="s">
        <v>209</v>
      </c>
      <c r="EG749" s="14" t="s">
        <v>179</v>
      </c>
      <c r="EH749" s="14" t="s">
        <v>15865</v>
      </c>
      <c r="EI749" s="14" t="s">
        <v>179</v>
      </c>
      <c r="EJ749" s="14" t="s">
        <v>15866</v>
      </c>
      <c r="EK749" s="15"/>
      <c r="EL749" s="15"/>
      <c r="EM749" s="15"/>
      <c r="EN749" s="15"/>
      <c r="EO749" s="15"/>
      <c r="EP749" s="15"/>
      <c r="EQ749" s="15"/>
      <c r="ER749" s="15"/>
      <c r="ES749" s="15"/>
      <c r="ET749" s="15"/>
      <c r="EU749" s="15"/>
      <c r="EV749" s="15"/>
      <c r="EW749" s="15"/>
      <c r="EX749" s="15"/>
      <c r="EY749" s="15"/>
      <c r="EZ749" s="15"/>
      <c r="FA749" s="15"/>
      <c r="FB749" s="15"/>
      <c r="FC749" s="16" t="s">
        <v>197</v>
      </c>
      <c r="FD749" s="17" t="s">
        <v>198</v>
      </c>
      <c r="FE749" s="18">
        <v>45723.26482638889</v>
      </c>
      <c r="FF749" s="19"/>
      <c r="FG749" s="19"/>
      <c r="FH749" s="21" t="s">
        <v>197</v>
      </c>
      <c r="FI749" s="17" t="s">
        <v>214</v>
      </c>
      <c r="FJ749" s="18">
        <v>45723.26482638889</v>
      </c>
      <c r="FK749" s="14" t="s">
        <v>15866</v>
      </c>
      <c r="FL749" s="14" t="s">
        <v>15867</v>
      </c>
      <c r="FM749" s="14" t="s">
        <v>15868</v>
      </c>
      <c r="FN749" s="19"/>
      <c r="FO749" s="19"/>
      <c r="FP749" s="19" t="str">
        <f t="shared" si="1"/>
        <v>Base de Dados_Images/TIT20009.Imagem do Equipamento-.134715.jpg</v>
      </c>
      <c r="FQ749" s="19"/>
      <c r="FR749" s="19"/>
    </row>
    <row r="750" ht="15.75" customHeight="1">
      <c r="A750" s="12" t="s">
        <v>174</v>
      </c>
      <c r="B750" s="22" t="s">
        <v>1359</v>
      </c>
      <c r="C750" s="24" t="s">
        <v>375</v>
      </c>
      <c r="D750" s="22" t="s">
        <v>15869</v>
      </c>
      <c r="E750" s="22" t="s">
        <v>15870</v>
      </c>
      <c r="F750" s="13" t="s">
        <v>178</v>
      </c>
      <c r="G750" s="14" t="s">
        <v>179</v>
      </c>
      <c r="H750" s="14" t="s">
        <v>15871</v>
      </c>
      <c r="I750" s="14" t="s">
        <v>179</v>
      </c>
      <c r="J750" s="14" t="s">
        <v>15872</v>
      </c>
      <c r="K750" s="14" t="s">
        <v>179</v>
      </c>
      <c r="L750" s="14" t="s">
        <v>15873</v>
      </c>
      <c r="M750" s="14" t="s">
        <v>179</v>
      </c>
      <c r="N750" s="14" t="s">
        <v>15874</v>
      </c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6" t="s">
        <v>197</v>
      </c>
      <c r="BP750" s="17" t="s">
        <v>198</v>
      </c>
      <c r="BQ750" s="18">
        <v>45694.406481481485</v>
      </c>
      <c r="BR750" s="17" t="s">
        <v>198</v>
      </c>
      <c r="BS750" s="18">
        <v>45694.40652777778</v>
      </c>
      <c r="BT750" s="17" t="s">
        <v>198</v>
      </c>
      <c r="BU750" s="18">
        <v>45694.40652777778</v>
      </c>
      <c r="BV750" s="13" t="s">
        <v>199</v>
      </c>
      <c r="BW750" s="14" t="s">
        <v>179</v>
      </c>
      <c r="BX750" s="14" t="s">
        <v>15875</v>
      </c>
      <c r="BY750" s="14" t="s">
        <v>179</v>
      </c>
      <c r="BZ750" s="14" t="s">
        <v>15876</v>
      </c>
      <c r="CA750" s="14" t="s">
        <v>179</v>
      </c>
      <c r="CB750" s="14" t="s">
        <v>15877</v>
      </c>
      <c r="CC750" s="15"/>
      <c r="CD750" s="15"/>
      <c r="CE750" s="15"/>
      <c r="CF750" s="15"/>
      <c r="CG750" s="19"/>
      <c r="CH750" s="15"/>
      <c r="CI750" s="19"/>
      <c r="CJ750" s="15"/>
      <c r="CK750" s="19"/>
      <c r="CL750" s="15"/>
      <c r="CM750" s="19"/>
      <c r="CN750" s="15"/>
      <c r="CO750" s="19"/>
      <c r="CP750" s="15"/>
      <c r="CQ750" s="15"/>
      <c r="CR750" s="15"/>
      <c r="CS750" s="19"/>
      <c r="CT750" s="15"/>
      <c r="CU750" s="19"/>
      <c r="CV750" s="15"/>
      <c r="CW750" s="19"/>
      <c r="CX750" s="15"/>
      <c r="CY750" s="19"/>
      <c r="CZ750" s="15"/>
      <c r="DA750" s="16" t="s">
        <v>197</v>
      </c>
      <c r="DB750" s="17" t="s">
        <v>228</v>
      </c>
      <c r="DC750" s="16"/>
      <c r="DD750" s="17" t="s">
        <v>198</v>
      </c>
      <c r="DE750" s="18">
        <v>45694.406689814816</v>
      </c>
      <c r="DF750" s="17" t="s">
        <v>198</v>
      </c>
      <c r="DG750" s="18">
        <v>45694.406689814816</v>
      </c>
      <c r="DH750" s="13" t="s">
        <v>205</v>
      </c>
      <c r="DI750" s="14" t="s">
        <v>179</v>
      </c>
      <c r="DJ750" s="14" t="s">
        <v>15878</v>
      </c>
      <c r="DK750" s="14" t="s">
        <v>179</v>
      </c>
      <c r="DL750" s="14" t="s">
        <v>15879</v>
      </c>
      <c r="DM750" s="15"/>
      <c r="DN750" s="15"/>
      <c r="DO750" s="15"/>
      <c r="DP750" s="15"/>
      <c r="DQ750" s="15"/>
      <c r="DR750" s="15"/>
      <c r="DS750" s="15"/>
      <c r="DT750" s="15"/>
      <c r="DU750" s="15"/>
      <c r="DV750" s="15"/>
      <c r="DW750" s="15"/>
      <c r="DX750" s="15"/>
      <c r="DY750" s="15"/>
      <c r="DZ750" s="15"/>
      <c r="EA750" s="15"/>
      <c r="EB750" s="15"/>
      <c r="EC750" s="16" t="s">
        <v>197</v>
      </c>
      <c r="ED750" s="17" t="s">
        <v>198</v>
      </c>
      <c r="EE750" s="18">
        <v>45719.466203703705</v>
      </c>
      <c r="EF750" s="13" t="s">
        <v>209</v>
      </c>
      <c r="EG750" s="14" t="s">
        <v>179</v>
      </c>
      <c r="EH750" s="14" t="s">
        <v>15880</v>
      </c>
      <c r="EI750" s="14" t="s">
        <v>179</v>
      </c>
      <c r="EJ750" s="14" t="s">
        <v>15880</v>
      </c>
      <c r="EK750" s="15"/>
      <c r="EL750" s="15"/>
      <c r="EM750" s="15"/>
      <c r="EN750" s="15"/>
      <c r="EO750" s="15"/>
      <c r="EP750" s="15"/>
      <c r="EQ750" s="15"/>
      <c r="ER750" s="15"/>
      <c r="ES750" s="15"/>
      <c r="ET750" s="15"/>
      <c r="EU750" s="15"/>
      <c r="EV750" s="15"/>
      <c r="EW750" s="15"/>
      <c r="EX750" s="15"/>
      <c r="EY750" s="15"/>
      <c r="EZ750" s="15"/>
      <c r="FA750" s="15"/>
      <c r="FB750" s="15"/>
      <c r="FC750" s="16" t="s">
        <v>197</v>
      </c>
      <c r="FD750" s="17" t="s">
        <v>198</v>
      </c>
      <c r="FE750" s="18">
        <v>45723.264918981484</v>
      </c>
      <c r="FF750" s="19"/>
      <c r="FG750" s="19"/>
      <c r="FH750" s="21" t="s">
        <v>197</v>
      </c>
      <c r="FI750" s="17" t="s">
        <v>214</v>
      </c>
      <c r="FJ750" s="18">
        <v>45723.264918981484</v>
      </c>
      <c r="FK750" s="14" t="s">
        <v>15880</v>
      </c>
      <c r="FL750" s="14" t="s">
        <v>15881</v>
      </c>
      <c r="FM750" s="14" t="s">
        <v>15882</v>
      </c>
      <c r="FN750" s="19"/>
      <c r="FO750" s="19"/>
      <c r="FP750" s="19" t="str">
        <f t="shared" si="1"/>
        <v>Base de Dados_Images/TIT20010.Imagem do Equipamento-.124635.jpg</v>
      </c>
      <c r="FQ750" s="14"/>
      <c r="FR750" s="14"/>
    </row>
    <row r="751" ht="15.75" customHeight="1">
      <c r="A751" s="12" t="s">
        <v>174</v>
      </c>
      <c r="B751" s="22" t="s">
        <v>1359</v>
      </c>
      <c r="C751" s="24" t="s">
        <v>375</v>
      </c>
      <c r="D751" s="22" t="s">
        <v>15883</v>
      </c>
      <c r="E751" s="22" t="s">
        <v>15884</v>
      </c>
      <c r="F751" s="13" t="s">
        <v>178</v>
      </c>
      <c r="G751" s="14" t="s">
        <v>179</v>
      </c>
      <c r="H751" s="14" t="s">
        <v>15885</v>
      </c>
      <c r="I751" s="14" t="s">
        <v>179</v>
      </c>
      <c r="J751" s="14" t="s">
        <v>15886</v>
      </c>
      <c r="K751" s="14" t="s">
        <v>179</v>
      </c>
      <c r="L751" s="14" t="s">
        <v>15887</v>
      </c>
      <c r="M751" s="14" t="s">
        <v>179</v>
      </c>
      <c r="N751" s="14" t="s">
        <v>15888</v>
      </c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6" t="s">
        <v>197</v>
      </c>
      <c r="BP751" s="17" t="s">
        <v>198</v>
      </c>
      <c r="BQ751" s="18">
        <v>45686.44328703704</v>
      </c>
      <c r="BR751" s="17" t="s">
        <v>198</v>
      </c>
      <c r="BS751" s="18">
        <v>45686.44332175926</v>
      </c>
      <c r="BT751" s="17" t="s">
        <v>198</v>
      </c>
      <c r="BU751" s="18">
        <v>45686.44332175926</v>
      </c>
      <c r="BV751" s="13" t="s">
        <v>199</v>
      </c>
      <c r="BW751" s="14" t="s">
        <v>179</v>
      </c>
      <c r="BX751" s="14" t="s">
        <v>15889</v>
      </c>
      <c r="BY751" s="14" t="s">
        <v>179</v>
      </c>
      <c r="BZ751" s="14" t="s">
        <v>15890</v>
      </c>
      <c r="CA751" s="14" t="s">
        <v>179</v>
      </c>
      <c r="CB751" s="14" t="s">
        <v>15891</v>
      </c>
      <c r="CC751" s="15"/>
      <c r="CD751" s="15"/>
      <c r="CE751" s="15"/>
      <c r="CF751" s="15"/>
      <c r="CG751" s="19"/>
      <c r="CH751" s="15"/>
      <c r="CI751" s="19"/>
      <c r="CJ751" s="15"/>
      <c r="CK751" s="19"/>
      <c r="CL751" s="15"/>
      <c r="CM751" s="19"/>
      <c r="CN751" s="15"/>
      <c r="CO751" s="19"/>
      <c r="CP751" s="15"/>
      <c r="CQ751" s="15"/>
      <c r="CR751" s="15"/>
      <c r="CS751" s="19"/>
      <c r="CT751" s="15"/>
      <c r="CU751" s="19"/>
      <c r="CV751" s="15"/>
      <c r="CW751" s="19"/>
      <c r="CX751" s="15"/>
      <c r="CY751" s="19"/>
      <c r="CZ751" s="15"/>
      <c r="DA751" s="16" t="s">
        <v>197</v>
      </c>
      <c r="DB751" s="17" t="s">
        <v>228</v>
      </c>
      <c r="DC751" s="16"/>
      <c r="DD751" s="17" t="s">
        <v>198</v>
      </c>
      <c r="DE751" s="18">
        <v>45694.40934027778</v>
      </c>
      <c r="DF751" s="17" t="s">
        <v>198</v>
      </c>
      <c r="DG751" s="18">
        <v>45694.40934027778</v>
      </c>
      <c r="DH751" s="13" t="s">
        <v>205</v>
      </c>
      <c r="DI751" s="14" t="s">
        <v>179</v>
      </c>
      <c r="DJ751" s="14" t="s">
        <v>15892</v>
      </c>
      <c r="DK751" s="14" t="s">
        <v>179</v>
      </c>
      <c r="DL751" s="14" t="s">
        <v>15893</v>
      </c>
      <c r="DM751" s="15"/>
      <c r="DN751" s="15"/>
      <c r="DO751" s="15"/>
      <c r="DP751" s="15"/>
      <c r="DQ751" s="15"/>
      <c r="DR751" s="15"/>
      <c r="DS751" s="15"/>
      <c r="DT751" s="15"/>
      <c r="DU751" s="15"/>
      <c r="DV751" s="15"/>
      <c r="DW751" s="15"/>
      <c r="DX751" s="15"/>
      <c r="DY751" s="15"/>
      <c r="DZ751" s="15"/>
      <c r="EA751" s="15"/>
      <c r="EB751" s="15"/>
      <c r="EC751" s="16" t="s">
        <v>197</v>
      </c>
      <c r="ED751" s="17" t="s">
        <v>198</v>
      </c>
      <c r="EE751" s="18">
        <v>45719.46634259259</v>
      </c>
      <c r="EF751" s="13" t="s">
        <v>209</v>
      </c>
      <c r="EG751" s="14" t="s">
        <v>179</v>
      </c>
      <c r="EH751" s="14" t="s">
        <v>15894</v>
      </c>
      <c r="EI751" s="14" t="s">
        <v>179</v>
      </c>
      <c r="EJ751" s="14" t="s">
        <v>15895</v>
      </c>
      <c r="EK751" s="15"/>
      <c r="EL751" s="15"/>
      <c r="EM751" s="15"/>
      <c r="EN751" s="15"/>
      <c r="EO751" s="15"/>
      <c r="EP751" s="15"/>
      <c r="EQ751" s="15"/>
      <c r="ER751" s="15"/>
      <c r="ES751" s="15"/>
      <c r="ET751" s="15"/>
      <c r="EU751" s="15"/>
      <c r="EV751" s="15"/>
      <c r="EW751" s="15"/>
      <c r="EX751" s="15"/>
      <c r="EY751" s="15"/>
      <c r="EZ751" s="15"/>
      <c r="FA751" s="15"/>
      <c r="FB751" s="15"/>
      <c r="FC751" s="16" t="s">
        <v>197</v>
      </c>
      <c r="FD751" s="17" t="s">
        <v>198</v>
      </c>
      <c r="FE751" s="18">
        <v>45723.265023148146</v>
      </c>
      <c r="FF751" s="19"/>
      <c r="FG751" s="19"/>
      <c r="FH751" s="21" t="s">
        <v>197</v>
      </c>
      <c r="FI751" s="17" t="s">
        <v>214</v>
      </c>
      <c r="FJ751" s="18">
        <v>45723.265023148146</v>
      </c>
      <c r="FK751" s="14" t="s">
        <v>15895</v>
      </c>
      <c r="FL751" s="14" t="s">
        <v>15896</v>
      </c>
      <c r="FM751" s="14" t="s">
        <v>15897</v>
      </c>
      <c r="FN751" s="19"/>
      <c r="FO751" s="19"/>
      <c r="FP751" s="19" t="str">
        <f t="shared" si="1"/>
        <v>Base de Dados_Images/TIT20011.Imagem do Equipamento-.134823.jpg</v>
      </c>
      <c r="FQ751" s="19"/>
      <c r="FR751" s="19"/>
    </row>
    <row r="752" ht="15.75" customHeight="1">
      <c r="A752" s="12" t="s">
        <v>174</v>
      </c>
      <c r="B752" s="22" t="s">
        <v>1359</v>
      </c>
      <c r="C752" s="24" t="s">
        <v>375</v>
      </c>
      <c r="D752" s="22" t="s">
        <v>15898</v>
      </c>
      <c r="E752" s="22" t="s">
        <v>15899</v>
      </c>
      <c r="F752" s="13" t="s">
        <v>178</v>
      </c>
      <c r="G752" s="14" t="s">
        <v>179</v>
      </c>
      <c r="H752" s="14" t="s">
        <v>15900</v>
      </c>
      <c r="I752" s="14" t="s">
        <v>179</v>
      </c>
      <c r="J752" s="14" t="s">
        <v>15901</v>
      </c>
      <c r="K752" s="14" t="s">
        <v>179</v>
      </c>
      <c r="L752" s="14" t="s">
        <v>15902</v>
      </c>
      <c r="M752" s="14" t="s">
        <v>179</v>
      </c>
      <c r="N752" s="14" t="s">
        <v>15903</v>
      </c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6" t="s">
        <v>197</v>
      </c>
      <c r="BP752" s="17" t="s">
        <v>198</v>
      </c>
      <c r="BQ752" s="18">
        <v>45694.40796296296</v>
      </c>
      <c r="BR752" s="17" t="s">
        <v>198</v>
      </c>
      <c r="BS752" s="18">
        <v>45694.40809027778</v>
      </c>
      <c r="BT752" s="17" t="s">
        <v>198</v>
      </c>
      <c r="BU752" s="18">
        <v>45694.40809027778</v>
      </c>
      <c r="BV752" s="13" t="s">
        <v>199</v>
      </c>
      <c r="BW752" s="14" t="s">
        <v>179</v>
      </c>
      <c r="BX752" s="14" t="s">
        <v>15904</v>
      </c>
      <c r="BY752" s="14" t="s">
        <v>179</v>
      </c>
      <c r="BZ752" s="14" t="s">
        <v>15905</v>
      </c>
      <c r="CA752" s="14" t="s">
        <v>179</v>
      </c>
      <c r="CB752" s="14" t="s">
        <v>15906</v>
      </c>
      <c r="CC752" s="15"/>
      <c r="CD752" s="15"/>
      <c r="CE752" s="15"/>
      <c r="CF752" s="15"/>
      <c r="CG752" s="19"/>
      <c r="CH752" s="15"/>
      <c r="CI752" s="19"/>
      <c r="CJ752" s="15"/>
      <c r="CK752" s="19"/>
      <c r="CL752" s="15"/>
      <c r="CM752" s="19"/>
      <c r="CN752" s="15"/>
      <c r="CO752" s="19"/>
      <c r="CP752" s="15"/>
      <c r="CQ752" s="15"/>
      <c r="CR752" s="15"/>
      <c r="CS752" s="19"/>
      <c r="CT752" s="15"/>
      <c r="CU752" s="19"/>
      <c r="CV752" s="15"/>
      <c r="CW752" s="19"/>
      <c r="CX752" s="15"/>
      <c r="CY752" s="19"/>
      <c r="CZ752" s="15"/>
      <c r="DA752" s="16" t="s">
        <v>197</v>
      </c>
      <c r="DB752" s="17" t="s">
        <v>228</v>
      </c>
      <c r="DC752" s="16"/>
      <c r="DD752" s="17" t="s">
        <v>198</v>
      </c>
      <c r="DE752" s="18">
        <v>45694.40818287037</v>
      </c>
      <c r="DF752" s="17" t="s">
        <v>198</v>
      </c>
      <c r="DG752" s="18">
        <v>45694.40818287037</v>
      </c>
      <c r="DH752" s="13" t="s">
        <v>205</v>
      </c>
      <c r="DI752" s="14" t="s">
        <v>179</v>
      </c>
      <c r="DJ752" s="14" t="s">
        <v>15907</v>
      </c>
      <c r="DK752" s="14" t="s">
        <v>179</v>
      </c>
      <c r="DL752" s="14" t="s">
        <v>15908</v>
      </c>
      <c r="DM752" s="15"/>
      <c r="DN752" s="15"/>
      <c r="DO752" s="15"/>
      <c r="DP752" s="15"/>
      <c r="DQ752" s="15"/>
      <c r="DR752" s="15"/>
      <c r="DS752" s="15"/>
      <c r="DT752" s="15"/>
      <c r="DU752" s="15"/>
      <c r="DV752" s="15"/>
      <c r="DW752" s="15"/>
      <c r="DX752" s="15"/>
      <c r="DY752" s="15"/>
      <c r="DZ752" s="15"/>
      <c r="EA752" s="15"/>
      <c r="EB752" s="15"/>
      <c r="EC752" s="16" t="s">
        <v>197</v>
      </c>
      <c r="ED752" s="17" t="s">
        <v>198</v>
      </c>
      <c r="EE752" s="18">
        <v>45719.466469907406</v>
      </c>
      <c r="EF752" s="13" t="s">
        <v>209</v>
      </c>
      <c r="EG752" s="14" t="s">
        <v>179</v>
      </c>
      <c r="EH752" s="14" t="s">
        <v>15909</v>
      </c>
      <c r="EI752" s="14" t="s">
        <v>179</v>
      </c>
      <c r="EJ752" s="14" t="s">
        <v>15910</v>
      </c>
      <c r="EK752" s="15"/>
      <c r="EL752" s="15"/>
      <c r="EM752" s="15"/>
      <c r="EN752" s="15"/>
      <c r="EO752" s="15"/>
      <c r="EP752" s="15"/>
      <c r="EQ752" s="15"/>
      <c r="ER752" s="15"/>
      <c r="ES752" s="15"/>
      <c r="ET752" s="15"/>
      <c r="EU752" s="15"/>
      <c r="EV752" s="15"/>
      <c r="EW752" s="15"/>
      <c r="EX752" s="15"/>
      <c r="EY752" s="15"/>
      <c r="EZ752" s="15"/>
      <c r="FA752" s="15"/>
      <c r="FB752" s="15"/>
      <c r="FC752" s="16" t="s">
        <v>197</v>
      </c>
      <c r="FD752" s="17" t="s">
        <v>198</v>
      </c>
      <c r="FE752" s="18">
        <v>45723.26510416667</v>
      </c>
      <c r="FF752" s="19"/>
      <c r="FG752" s="19"/>
      <c r="FH752" s="21" t="s">
        <v>197</v>
      </c>
      <c r="FI752" s="17" t="s">
        <v>214</v>
      </c>
      <c r="FJ752" s="18">
        <v>45723.26510416667</v>
      </c>
      <c r="FK752" s="14" t="s">
        <v>15910</v>
      </c>
      <c r="FL752" s="14" t="s">
        <v>15911</v>
      </c>
      <c r="FM752" s="14" t="s">
        <v>15912</v>
      </c>
      <c r="FN752" s="19"/>
      <c r="FO752" s="19"/>
      <c r="FP752" s="19" t="str">
        <f t="shared" si="1"/>
        <v>Base de Dados_Images/TIT20012.Imagem do Equipamento-.124727.jpg</v>
      </c>
      <c r="FQ752" s="19"/>
      <c r="FR752" s="19"/>
    </row>
    <row r="753" ht="15.75" customHeight="1">
      <c r="A753" s="12" t="s">
        <v>174</v>
      </c>
      <c r="B753" s="22" t="s">
        <v>1359</v>
      </c>
      <c r="C753" s="24" t="s">
        <v>375</v>
      </c>
      <c r="D753" s="22" t="s">
        <v>15913</v>
      </c>
      <c r="E753" s="22" t="s">
        <v>15914</v>
      </c>
      <c r="F753" s="13" t="s">
        <v>178</v>
      </c>
      <c r="G753" s="14" t="s">
        <v>179</v>
      </c>
      <c r="H753" s="14" t="s">
        <v>15915</v>
      </c>
      <c r="I753" s="14" t="s">
        <v>179</v>
      </c>
      <c r="J753" s="14" t="s">
        <v>15916</v>
      </c>
      <c r="K753" s="14" t="s">
        <v>179</v>
      </c>
      <c r="L753" s="14" t="s">
        <v>15917</v>
      </c>
      <c r="M753" s="14" t="s">
        <v>179</v>
      </c>
      <c r="N753" s="14" t="s">
        <v>15918</v>
      </c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6" t="s">
        <v>197</v>
      </c>
      <c r="BP753" s="17" t="s">
        <v>198</v>
      </c>
      <c r="BQ753" s="18">
        <v>45694.40898148148</v>
      </c>
      <c r="BR753" s="17" t="s">
        <v>198</v>
      </c>
      <c r="BS753" s="18">
        <v>45694.40903935185</v>
      </c>
      <c r="BT753" s="17" t="s">
        <v>198</v>
      </c>
      <c r="BU753" s="18">
        <v>45694.40903935185</v>
      </c>
      <c r="BV753" s="13" t="s">
        <v>199</v>
      </c>
      <c r="BW753" s="14" t="s">
        <v>179</v>
      </c>
      <c r="BX753" s="14" t="s">
        <v>15919</v>
      </c>
      <c r="BY753" s="14" t="s">
        <v>179</v>
      </c>
      <c r="BZ753" s="14" t="s">
        <v>15920</v>
      </c>
      <c r="CA753" s="14" t="s">
        <v>179</v>
      </c>
      <c r="CB753" s="14" t="s">
        <v>15921</v>
      </c>
      <c r="CC753" s="15"/>
      <c r="CD753" s="15"/>
      <c r="CE753" s="15"/>
      <c r="CF753" s="15"/>
      <c r="CG753" s="19"/>
      <c r="CH753" s="15"/>
      <c r="CI753" s="19"/>
      <c r="CJ753" s="15"/>
      <c r="CK753" s="19"/>
      <c r="CL753" s="15"/>
      <c r="CM753" s="19"/>
      <c r="CN753" s="15"/>
      <c r="CO753" s="19"/>
      <c r="CP753" s="15"/>
      <c r="CQ753" s="15"/>
      <c r="CR753" s="15"/>
      <c r="CS753" s="19"/>
      <c r="CT753" s="15"/>
      <c r="CU753" s="19"/>
      <c r="CV753" s="15"/>
      <c r="CW753" s="19"/>
      <c r="CX753" s="15"/>
      <c r="CY753" s="19"/>
      <c r="CZ753" s="15"/>
      <c r="DA753" s="16" t="s">
        <v>197</v>
      </c>
      <c r="DB753" s="17" t="s">
        <v>228</v>
      </c>
      <c r="DC753" s="16"/>
      <c r="DD753" s="17" t="s">
        <v>198</v>
      </c>
      <c r="DE753" s="18">
        <v>45694.40913194444</v>
      </c>
      <c r="DF753" s="17" t="s">
        <v>198</v>
      </c>
      <c r="DG753" s="18">
        <v>45694.40913194444</v>
      </c>
      <c r="DH753" s="13" t="s">
        <v>205</v>
      </c>
      <c r="DI753" s="14" t="s">
        <v>179</v>
      </c>
      <c r="DJ753" s="14" t="s">
        <v>15922</v>
      </c>
      <c r="DK753" s="14" t="s">
        <v>179</v>
      </c>
      <c r="DL753" s="14" t="s">
        <v>15923</v>
      </c>
      <c r="DM753" s="15"/>
      <c r="DN753" s="15"/>
      <c r="DO753" s="15"/>
      <c r="DP753" s="15"/>
      <c r="DQ753" s="15"/>
      <c r="DR753" s="15"/>
      <c r="DS753" s="15"/>
      <c r="DT753" s="15"/>
      <c r="DU753" s="15"/>
      <c r="DV753" s="15"/>
      <c r="DW753" s="15"/>
      <c r="DX753" s="15"/>
      <c r="DY753" s="15"/>
      <c r="DZ753" s="15"/>
      <c r="EA753" s="15"/>
      <c r="EB753" s="15"/>
      <c r="EC753" s="16" t="s">
        <v>197</v>
      </c>
      <c r="ED753" s="17" t="s">
        <v>198</v>
      </c>
      <c r="EE753" s="18">
        <v>45719.46659722222</v>
      </c>
      <c r="EF753" s="13" t="s">
        <v>209</v>
      </c>
      <c r="EG753" s="14" t="s">
        <v>179</v>
      </c>
      <c r="EH753" s="14" t="s">
        <v>15924</v>
      </c>
      <c r="EI753" s="14" t="s">
        <v>179</v>
      </c>
      <c r="EJ753" s="14" t="s">
        <v>15925</v>
      </c>
      <c r="EK753" s="15"/>
      <c r="EL753" s="15"/>
      <c r="EM753" s="15"/>
      <c r="EN753" s="15"/>
      <c r="EO753" s="15"/>
      <c r="EP753" s="15"/>
      <c r="EQ753" s="15"/>
      <c r="ER753" s="15"/>
      <c r="ES753" s="15"/>
      <c r="ET753" s="15"/>
      <c r="EU753" s="15"/>
      <c r="EV753" s="15"/>
      <c r="EW753" s="15"/>
      <c r="EX753" s="15"/>
      <c r="EY753" s="15"/>
      <c r="EZ753" s="15"/>
      <c r="FA753" s="15"/>
      <c r="FB753" s="15"/>
      <c r="FC753" s="16" t="s">
        <v>197</v>
      </c>
      <c r="FD753" s="17" t="s">
        <v>198</v>
      </c>
      <c r="FE753" s="18">
        <v>45723.265173611115</v>
      </c>
      <c r="FF753" s="19"/>
      <c r="FG753" s="19"/>
      <c r="FH753" s="21" t="s">
        <v>197</v>
      </c>
      <c r="FI753" s="17" t="s">
        <v>214</v>
      </c>
      <c r="FJ753" s="18">
        <v>45723.265173611115</v>
      </c>
      <c r="FK753" s="14" t="s">
        <v>15925</v>
      </c>
      <c r="FL753" s="14" t="s">
        <v>15926</v>
      </c>
      <c r="FM753" s="14" t="s">
        <v>15927</v>
      </c>
      <c r="FN753" s="19"/>
      <c r="FO753" s="19"/>
      <c r="FP753" s="19" t="str">
        <f t="shared" si="1"/>
        <v>Base de Dados_Images/TIT20013.Imagem do Equipamento-.124853.jpg</v>
      </c>
      <c r="FQ753" s="19"/>
      <c r="FR753" s="19"/>
    </row>
    <row r="754" ht="15.75" customHeight="1">
      <c r="A754" s="12" t="s">
        <v>174</v>
      </c>
      <c r="B754" s="22" t="s">
        <v>1359</v>
      </c>
      <c r="C754" s="24" t="s">
        <v>375</v>
      </c>
      <c r="D754" s="22" t="s">
        <v>15928</v>
      </c>
      <c r="E754" s="22" t="s">
        <v>15929</v>
      </c>
      <c r="F754" s="13" t="s">
        <v>178</v>
      </c>
      <c r="G754" s="14" t="s">
        <v>179</v>
      </c>
      <c r="H754" s="14" t="s">
        <v>15930</v>
      </c>
      <c r="I754" s="14" t="s">
        <v>179</v>
      </c>
      <c r="J754" s="14" t="s">
        <v>15931</v>
      </c>
      <c r="K754" s="14" t="s">
        <v>179</v>
      </c>
      <c r="L754" s="14" t="s">
        <v>15932</v>
      </c>
      <c r="M754" s="14" t="s">
        <v>179</v>
      </c>
      <c r="N754" s="14" t="s">
        <v>15933</v>
      </c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6" t="s">
        <v>197</v>
      </c>
      <c r="BP754" s="17" t="s">
        <v>198</v>
      </c>
      <c r="BQ754" s="18">
        <v>45692.60679398148</v>
      </c>
      <c r="BR754" s="17" t="s">
        <v>198</v>
      </c>
      <c r="BS754" s="18">
        <v>45692.606886574074</v>
      </c>
      <c r="BT754" s="17" t="s">
        <v>198</v>
      </c>
      <c r="BU754" s="18">
        <v>45692.606886574074</v>
      </c>
      <c r="BV754" s="13" t="s">
        <v>199</v>
      </c>
      <c r="BW754" s="14" t="s">
        <v>179</v>
      </c>
      <c r="BX754" s="14" t="s">
        <v>15934</v>
      </c>
      <c r="BY754" s="14" t="s">
        <v>179</v>
      </c>
      <c r="BZ754" s="14" t="s">
        <v>15935</v>
      </c>
      <c r="CA754" s="14" t="s">
        <v>179</v>
      </c>
      <c r="CB754" s="14" t="s">
        <v>15936</v>
      </c>
      <c r="CC754" s="15"/>
      <c r="CD754" s="15"/>
      <c r="CE754" s="15"/>
      <c r="CF754" s="15"/>
      <c r="CG754" s="19"/>
      <c r="CH754" s="15"/>
      <c r="CI754" s="19"/>
      <c r="CJ754" s="15"/>
      <c r="CK754" s="19"/>
      <c r="CL754" s="15"/>
      <c r="CM754" s="19"/>
      <c r="CN754" s="15"/>
      <c r="CO754" s="19"/>
      <c r="CP754" s="15"/>
      <c r="CQ754" s="15"/>
      <c r="CR754" s="15"/>
      <c r="CS754" s="19"/>
      <c r="CT754" s="15"/>
      <c r="CU754" s="19"/>
      <c r="CV754" s="15"/>
      <c r="CW754" s="19"/>
      <c r="CX754" s="15"/>
      <c r="CY754" s="19"/>
      <c r="CZ754" s="15"/>
      <c r="DA754" s="16" t="s">
        <v>197</v>
      </c>
      <c r="DB754" s="17" t="s">
        <v>228</v>
      </c>
      <c r="DC754" s="16"/>
      <c r="DD754" s="17" t="s">
        <v>198</v>
      </c>
      <c r="DE754" s="18">
        <v>45706.45664351852</v>
      </c>
      <c r="DF754" s="17" t="s">
        <v>198</v>
      </c>
      <c r="DG754" s="18">
        <v>45706.45664351852</v>
      </c>
      <c r="DH754" s="13" t="s">
        <v>205</v>
      </c>
      <c r="DI754" s="14" t="s">
        <v>179</v>
      </c>
      <c r="DJ754" s="14" t="s">
        <v>15937</v>
      </c>
      <c r="DK754" s="14" t="s">
        <v>179</v>
      </c>
      <c r="DL754" s="14" t="s">
        <v>15938</v>
      </c>
      <c r="DM754" s="15"/>
      <c r="DN754" s="15"/>
      <c r="DO754" s="15"/>
      <c r="DP754" s="15"/>
      <c r="DQ754" s="15"/>
      <c r="DR754" s="15"/>
      <c r="DS754" s="15"/>
      <c r="DT754" s="15"/>
      <c r="DU754" s="15"/>
      <c r="DV754" s="15"/>
      <c r="DW754" s="15"/>
      <c r="DX754" s="15"/>
      <c r="DY754" s="15"/>
      <c r="DZ754" s="15"/>
      <c r="EA754" s="15"/>
      <c r="EB754" s="15"/>
      <c r="EC754" s="16" t="s">
        <v>197</v>
      </c>
      <c r="ED754" s="17" t="s">
        <v>198</v>
      </c>
      <c r="EE754" s="18">
        <v>45719.46673611111</v>
      </c>
      <c r="EF754" s="13" t="s">
        <v>209</v>
      </c>
      <c r="EG754" s="14" t="s">
        <v>179</v>
      </c>
      <c r="EH754" s="14" t="s">
        <v>15939</v>
      </c>
      <c r="EI754" s="14" t="s">
        <v>179</v>
      </c>
      <c r="EJ754" s="14" t="s">
        <v>15940</v>
      </c>
      <c r="EK754" s="15"/>
      <c r="EL754" s="15"/>
      <c r="EM754" s="15"/>
      <c r="EN754" s="15"/>
      <c r="EO754" s="15"/>
      <c r="EP754" s="15"/>
      <c r="EQ754" s="15"/>
      <c r="ER754" s="15"/>
      <c r="ES754" s="15"/>
      <c r="ET754" s="15"/>
      <c r="EU754" s="15"/>
      <c r="EV754" s="15"/>
      <c r="EW754" s="15"/>
      <c r="EX754" s="15"/>
      <c r="EY754" s="15"/>
      <c r="EZ754" s="15"/>
      <c r="FA754" s="15"/>
      <c r="FB754" s="15"/>
      <c r="FC754" s="16" t="s">
        <v>197</v>
      </c>
      <c r="FD754" s="17" t="s">
        <v>198</v>
      </c>
      <c r="FE754" s="18">
        <v>45723.26526620371</v>
      </c>
      <c r="FF754" s="19"/>
      <c r="FG754" s="19"/>
      <c r="FH754" s="21" t="s">
        <v>197</v>
      </c>
      <c r="FI754" s="17" t="s">
        <v>214</v>
      </c>
      <c r="FJ754" s="18">
        <v>45723.26526620371</v>
      </c>
      <c r="FK754" s="14" t="s">
        <v>15939</v>
      </c>
      <c r="FL754" s="14" t="s">
        <v>15941</v>
      </c>
      <c r="FM754" s="14" t="s">
        <v>15942</v>
      </c>
      <c r="FN754" s="19"/>
      <c r="FO754" s="19"/>
      <c r="FP754" s="19" t="str">
        <f t="shared" si="1"/>
        <v>Base de Dados_Images/TIT20014.Imagem do Equipamento-.180113.jpg</v>
      </c>
      <c r="FQ754" s="19"/>
      <c r="FR754" s="19"/>
    </row>
    <row r="755" ht="15.75" customHeight="1">
      <c r="A755" s="12" t="s">
        <v>174</v>
      </c>
      <c r="B755" s="22" t="s">
        <v>1359</v>
      </c>
      <c r="C755" s="24" t="s">
        <v>375</v>
      </c>
      <c r="D755" s="22" t="s">
        <v>15943</v>
      </c>
      <c r="E755" s="22" t="s">
        <v>15944</v>
      </c>
      <c r="F755" s="13" t="s">
        <v>178</v>
      </c>
      <c r="G755" s="14" t="s">
        <v>179</v>
      </c>
      <c r="H755" s="14" t="s">
        <v>15945</v>
      </c>
      <c r="I755" s="14" t="s">
        <v>179</v>
      </c>
      <c r="J755" s="14" t="s">
        <v>15946</v>
      </c>
      <c r="K755" s="14" t="s">
        <v>179</v>
      </c>
      <c r="L755" s="14" t="s">
        <v>15947</v>
      </c>
      <c r="M755" s="14" t="s">
        <v>179</v>
      </c>
      <c r="N755" s="14" t="s">
        <v>15948</v>
      </c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6" t="s">
        <v>197</v>
      </c>
      <c r="BP755" s="17" t="s">
        <v>198</v>
      </c>
      <c r="BQ755" s="18">
        <v>45694.41637731482</v>
      </c>
      <c r="BR755" s="17" t="s">
        <v>198</v>
      </c>
      <c r="BS755" s="18">
        <v>45694.41643518519</v>
      </c>
      <c r="BT755" s="17" t="s">
        <v>198</v>
      </c>
      <c r="BU755" s="18">
        <v>45694.41643518519</v>
      </c>
      <c r="BV755" s="13" t="s">
        <v>199</v>
      </c>
      <c r="BW755" s="14" t="s">
        <v>179</v>
      </c>
      <c r="BX755" s="14" t="s">
        <v>15949</v>
      </c>
      <c r="BY755" s="14" t="s">
        <v>179</v>
      </c>
      <c r="BZ755" s="14" t="s">
        <v>15950</v>
      </c>
      <c r="CA755" s="14" t="s">
        <v>179</v>
      </c>
      <c r="CB755" s="14" t="s">
        <v>15951</v>
      </c>
      <c r="CC755" s="15"/>
      <c r="CD755" s="15"/>
      <c r="CE755" s="15"/>
      <c r="CF755" s="15"/>
      <c r="CG755" s="19"/>
      <c r="CH755" s="15"/>
      <c r="CI755" s="19"/>
      <c r="CJ755" s="15"/>
      <c r="CK755" s="19"/>
      <c r="CL755" s="15"/>
      <c r="CM755" s="19"/>
      <c r="CN755" s="15"/>
      <c r="CO755" s="19"/>
      <c r="CP755" s="15"/>
      <c r="CQ755" s="15"/>
      <c r="CR755" s="15"/>
      <c r="CS755" s="19"/>
      <c r="CT755" s="15"/>
      <c r="CU755" s="19"/>
      <c r="CV755" s="15"/>
      <c r="CW755" s="19"/>
      <c r="CX755" s="15"/>
      <c r="CY755" s="19"/>
      <c r="CZ755" s="15"/>
      <c r="DA755" s="16" t="s">
        <v>197</v>
      </c>
      <c r="DB755" s="17" t="s">
        <v>228</v>
      </c>
      <c r="DC755" s="16"/>
      <c r="DD755" s="17" t="s">
        <v>198</v>
      </c>
      <c r="DE755" s="18">
        <v>45694.41700231482</v>
      </c>
      <c r="DF755" s="17" t="s">
        <v>198</v>
      </c>
      <c r="DG755" s="18">
        <v>45694.41700231482</v>
      </c>
      <c r="DH755" s="13" t="s">
        <v>205</v>
      </c>
      <c r="DI755" s="14" t="s">
        <v>179</v>
      </c>
      <c r="DJ755" s="14" t="s">
        <v>15952</v>
      </c>
      <c r="DK755" s="14" t="s">
        <v>179</v>
      </c>
      <c r="DL755" s="14" t="s">
        <v>15953</v>
      </c>
      <c r="DM755" s="15"/>
      <c r="DN755" s="15"/>
      <c r="DO755" s="15"/>
      <c r="DP755" s="15"/>
      <c r="DQ755" s="15"/>
      <c r="DR755" s="15"/>
      <c r="DS755" s="15"/>
      <c r="DT755" s="15"/>
      <c r="DU755" s="15"/>
      <c r="DV755" s="15"/>
      <c r="DW755" s="15"/>
      <c r="DX755" s="15"/>
      <c r="DY755" s="15"/>
      <c r="DZ755" s="15"/>
      <c r="EA755" s="15"/>
      <c r="EB755" s="15"/>
      <c r="EC755" s="16" t="s">
        <v>197</v>
      </c>
      <c r="ED755" s="17" t="s">
        <v>198</v>
      </c>
      <c r="EE755" s="18">
        <v>45719.466840277775</v>
      </c>
      <c r="EF755" s="13" t="s">
        <v>209</v>
      </c>
      <c r="EG755" s="14" t="s">
        <v>179</v>
      </c>
      <c r="EH755" s="14" t="s">
        <v>15954</v>
      </c>
      <c r="EI755" s="14" t="s">
        <v>179</v>
      </c>
      <c r="EJ755" s="14" t="s">
        <v>15954</v>
      </c>
      <c r="EK755" s="15"/>
      <c r="EL755" s="15"/>
      <c r="EM755" s="15"/>
      <c r="EN755" s="15"/>
      <c r="EO755" s="15"/>
      <c r="EP755" s="15"/>
      <c r="EQ755" s="15"/>
      <c r="ER755" s="15"/>
      <c r="ES755" s="15"/>
      <c r="ET755" s="15"/>
      <c r="EU755" s="15"/>
      <c r="EV755" s="15"/>
      <c r="EW755" s="15"/>
      <c r="EX755" s="15"/>
      <c r="EY755" s="15"/>
      <c r="EZ755" s="15"/>
      <c r="FA755" s="15"/>
      <c r="FB755" s="15"/>
      <c r="FC755" s="16" t="s">
        <v>197</v>
      </c>
      <c r="FD755" s="17" t="s">
        <v>198</v>
      </c>
      <c r="FE755" s="18">
        <v>45723.26532407408</v>
      </c>
      <c r="FF755" s="19"/>
      <c r="FG755" s="19"/>
      <c r="FH755" s="21" t="s">
        <v>197</v>
      </c>
      <c r="FI755" s="17" t="s">
        <v>214</v>
      </c>
      <c r="FJ755" s="18">
        <v>45723.26532407408</v>
      </c>
      <c r="FK755" s="14" t="s">
        <v>15954</v>
      </c>
      <c r="FL755" s="14" t="s">
        <v>15955</v>
      </c>
      <c r="FM755" s="14" t="s">
        <v>15956</v>
      </c>
      <c r="FN755" s="19"/>
      <c r="FO755" s="19"/>
      <c r="FP755" s="19" t="str">
        <f t="shared" si="1"/>
        <v>Base de Dados_Images/TIT20015.Imagem do Equipamento-.140624.jpg</v>
      </c>
      <c r="FQ755" s="19"/>
      <c r="FR755" s="19"/>
    </row>
    <row r="756" ht="15.75" customHeight="1">
      <c r="A756" s="12" t="s">
        <v>174</v>
      </c>
      <c r="B756" s="22" t="s">
        <v>1359</v>
      </c>
      <c r="C756" s="24" t="s">
        <v>375</v>
      </c>
      <c r="D756" s="22" t="s">
        <v>15957</v>
      </c>
      <c r="E756" s="22" t="s">
        <v>15958</v>
      </c>
      <c r="F756" s="13" t="s">
        <v>178</v>
      </c>
      <c r="G756" s="14" t="s">
        <v>179</v>
      </c>
      <c r="H756" s="14" t="s">
        <v>15959</v>
      </c>
      <c r="I756" s="14" t="s">
        <v>179</v>
      </c>
      <c r="J756" s="14" t="s">
        <v>15960</v>
      </c>
      <c r="K756" s="14" t="s">
        <v>179</v>
      </c>
      <c r="L756" s="14" t="s">
        <v>15961</v>
      </c>
      <c r="M756" s="14" t="s">
        <v>179</v>
      </c>
      <c r="N756" s="14" t="s">
        <v>15962</v>
      </c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6" t="s">
        <v>197</v>
      </c>
      <c r="BP756" s="17" t="s">
        <v>198</v>
      </c>
      <c r="BQ756" s="18">
        <v>45694.41135416667</v>
      </c>
      <c r="BR756" s="17" t="s">
        <v>198</v>
      </c>
      <c r="BS756" s="18">
        <v>45694.41142361111</v>
      </c>
      <c r="BT756" s="17" t="s">
        <v>198</v>
      </c>
      <c r="BU756" s="18">
        <v>45694.41142361111</v>
      </c>
      <c r="BV756" s="13" t="s">
        <v>199</v>
      </c>
      <c r="BW756" s="14" t="s">
        <v>179</v>
      </c>
      <c r="BX756" s="14" t="s">
        <v>15963</v>
      </c>
      <c r="BY756" s="14" t="s">
        <v>179</v>
      </c>
      <c r="BZ756" s="14" t="s">
        <v>15963</v>
      </c>
      <c r="CA756" s="14" t="s">
        <v>179</v>
      </c>
      <c r="CB756" s="14" t="s">
        <v>15964</v>
      </c>
      <c r="CC756" s="15"/>
      <c r="CD756" s="15"/>
      <c r="CE756" s="15"/>
      <c r="CF756" s="15"/>
      <c r="CG756" s="19"/>
      <c r="CH756" s="15"/>
      <c r="CI756" s="19"/>
      <c r="CJ756" s="15"/>
      <c r="CK756" s="19"/>
      <c r="CL756" s="15"/>
      <c r="CM756" s="19"/>
      <c r="CN756" s="15"/>
      <c r="CO756" s="19"/>
      <c r="CP756" s="15"/>
      <c r="CQ756" s="15"/>
      <c r="CR756" s="15"/>
      <c r="CS756" s="19"/>
      <c r="CT756" s="15"/>
      <c r="CU756" s="19"/>
      <c r="CV756" s="15"/>
      <c r="CW756" s="19"/>
      <c r="CX756" s="15"/>
      <c r="CY756" s="19"/>
      <c r="CZ756" s="15"/>
      <c r="DA756" s="16" t="s">
        <v>197</v>
      </c>
      <c r="DB756" s="17" t="s">
        <v>228</v>
      </c>
      <c r="DC756" s="16"/>
      <c r="DD756" s="17" t="s">
        <v>198</v>
      </c>
      <c r="DE756" s="18">
        <v>45694.412881944445</v>
      </c>
      <c r="DF756" s="17" t="s">
        <v>198</v>
      </c>
      <c r="DG756" s="18">
        <v>45694.412881944445</v>
      </c>
      <c r="DH756" s="13" t="s">
        <v>205</v>
      </c>
      <c r="DI756" s="14" t="s">
        <v>179</v>
      </c>
      <c r="DJ756" s="14" t="s">
        <v>15965</v>
      </c>
      <c r="DK756" s="14" t="s">
        <v>179</v>
      </c>
      <c r="DL756" s="14" t="s">
        <v>15966</v>
      </c>
      <c r="DM756" s="15"/>
      <c r="DN756" s="15"/>
      <c r="DO756" s="15"/>
      <c r="DP756" s="15"/>
      <c r="DQ756" s="15"/>
      <c r="DR756" s="15"/>
      <c r="DS756" s="15"/>
      <c r="DT756" s="15"/>
      <c r="DU756" s="15"/>
      <c r="DV756" s="15"/>
      <c r="DW756" s="15"/>
      <c r="DX756" s="15"/>
      <c r="DY756" s="15"/>
      <c r="DZ756" s="15"/>
      <c r="EA756" s="15"/>
      <c r="EB756" s="15"/>
      <c r="EC756" s="16" t="s">
        <v>197</v>
      </c>
      <c r="ED756" s="17" t="s">
        <v>198</v>
      </c>
      <c r="EE756" s="18">
        <v>45719.466944444444</v>
      </c>
      <c r="EF756" s="13" t="s">
        <v>209</v>
      </c>
      <c r="EG756" s="14" t="s">
        <v>179</v>
      </c>
      <c r="EH756" s="14" t="s">
        <v>15967</v>
      </c>
      <c r="EI756" s="14" t="s">
        <v>179</v>
      </c>
      <c r="EJ756" s="14" t="s">
        <v>15967</v>
      </c>
      <c r="EK756" s="15"/>
      <c r="EL756" s="15"/>
      <c r="EM756" s="15"/>
      <c r="EN756" s="15"/>
      <c r="EO756" s="15"/>
      <c r="EP756" s="15"/>
      <c r="EQ756" s="15"/>
      <c r="ER756" s="15"/>
      <c r="ES756" s="15"/>
      <c r="ET756" s="15"/>
      <c r="EU756" s="15"/>
      <c r="EV756" s="15"/>
      <c r="EW756" s="15"/>
      <c r="EX756" s="15"/>
      <c r="EY756" s="15"/>
      <c r="EZ756" s="15"/>
      <c r="FA756" s="15"/>
      <c r="FB756" s="15"/>
      <c r="FC756" s="16" t="s">
        <v>197</v>
      </c>
      <c r="FD756" s="17" t="s">
        <v>198</v>
      </c>
      <c r="FE756" s="18">
        <v>45723.265393518515</v>
      </c>
      <c r="FF756" s="19"/>
      <c r="FG756" s="19"/>
      <c r="FH756" s="21" t="s">
        <v>197</v>
      </c>
      <c r="FI756" s="17" t="s">
        <v>214</v>
      </c>
      <c r="FJ756" s="18">
        <v>45723.265393518515</v>
      </c>
      <c r="FK756" s="14" t="s">
        <v>15967</v>
      </c>
      <c r="FL756" s="14" t="s">
        <v>15968</v>
      </c>
      <c r="FM756" s="14" t="s">
        <v>15969</v>
      </c>
      <c r="FN756" s="19"/>
      <c r="FO756" s="19"/>
      <c r="FP756" s="19" t="str">
        <f t="shared" si="1"/>
        <v>Base de Dados_Images/TIT20016.Imagem do Equipamento-.125422.jpg</v>
      </c>
      <c r="FQ756" s="14"/>
      <c r="FR756" s="14"/>
    </row>
    <row r="757" ht="15.75" customHeight="1">
      <c r="A757" s="12" t="s">
        <v>174</v>
      </c>
      <c r="B757" s="22" t="s">
        <v>1359</v>
      </c>
      <c r="C757" s="24" t="s">
        <v>375</v>
      </c>
      <c r="D757" s="22" t="s">
        <v>15970</v>
      </c>
      <c r="E757" s="22" t="s">
        <v>15971</v>
      </c>
      <c r="F757" s="13" t="s">
        <v>178</v>
      </c>
      <c r="G757" s="14" t="s">
        <v>179</v>
      </c>
      <c r="H757" s="14" t="s">
        <v>15972</v>
      </c>
      <c r="I757" s="14" t="s">
        <v>179</v>
      </c>
      <c r="J757" s="14" t="s">
        <v>15973</v>
      </c>
      <c r="K757" s="14" t="s">
        <v>179</v>
      </c>
      <c r="L757" s="14" t="s">
        <v>15974</v>
      </c>
      <c r="M757" s="14" t="s">
        <v>179</v>
      </c>
      <c r="N757" s="14" t="s">
        <v>15975</v>
      </c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6" t="s">
        <v>197</v>
      </c>
      <c r="BP757" s="17" t="s">
        <v>198</v>
      </c>
      <c r="BQ757" s="18">
        <v>45694.42938657408</v>
      </c>
      <c r="BR757" s="17" t="s">
        <v>198</v>
      </c>
      <c r="BS757" s="18">
        <v>45694.429456018515</v>
      </c>
      <c r="BT757" s="17" t="s">
        <v>198</v>
      </c>
      <c r="BU757" s="18">
        <v>45694.429456018515</v>
      </c>
      <c r="BV757" s="13" t="s">
        <v>199</v>
      </c>
      <c r="BW757" s="14" t="s">
        <v>179</v>
      </c>
      <c r="BX757" s="14" t="s">
        <v>15976</v>
      </c>
      <c r="BY757" s="14" t="s">
        <v>179</v>
      </c>
      <c r="BZ757" s="14" t="s">
        <v>15977</v>
      </c>
      <c r="CA757" s="14" t="s">
        <v>179</v>
      </c>
      <c r="CB757" s="14" t="s">
        <v>15978</v>
      </c>
      <c r="CC757" s="15"/>
      <c r="CD757" s="15"/>
      <c r="CE757" s="15"/>
      <c r="CF757" s="15"/>
      <c r="CG757" s="19"/>
      <c r="CH757" s="15"/>
      <c r="CI757" s="19"/>
      <c r="CJ757" s="15"/>
      <c r="CK757" s="19"/>
      <c r="CL757" s="15"/>
      <c r="CM757" s="19"/>
      <c r="CN757" s="15"/>
      <c r="CO757" s="19"/>
      <c r="CP757" s="15"/>
      <c r="CQ757" s="15"/>
      <c r="CR757" s="15"/>
      <c r="CS757" s="19"/>
      <c r="CT757" s="15"/>
      <c r="CU757" s="19"/>
      <c r="CV757" s="15"/>
      <c r="CW757" s="19"/>
      <c r="CX757" s="15"/>
      <c r="CY757" s="19"/>
      <c r="CZ757" s="15"/>
      <c r="DA757" s="16" t="s">
        <v>197</v>
      </c>
      <c r="DB757" s="17" t="s">
        <v>228</v>
      </c>
      <c r="DC757" s="16"/>
      <c r="DD757" s="17" t="s">
        <v>198</v>
      </c>
      <c r="DE757" s="18">
        <v>45694.42959490741</v>
      </c>
      <c r="DF757" s="17" t="s">
        <v>198</v>
      </c>
      <c r="DG757" s="18">
        <v>45694.42959490741</v>
      </c>
      <c r="DH757" s="13" t="s">
        <v>205</v>
      </c>
      <c r="DI757" s="14" t="s">
        <v>179</v>
      </c>
      <c r="DJ757" s="14" t="s">
        <v>15979</v>
      </c>
      <c r="DK757" s="14" t="s">
        <v>179</v>
      </c>
      <c r="DL757" s="14" t="s">
        <v>15980</v>
      </c>
      <c r="DM757" s="15"/>
      <c r="DN757" s="15"/>
      <c r="DO757" s="15"/>
      <c r="DP757" s="15"/>
      <c r="DQ757" s="15"/>
      <c r="DR757" s="15"/>
      <c r="DS757" s="15"/>
      <c r="DT757" s="15"/>
      <c r="DU757" s="15"/>
      <c r="DV757" s="15"/>
      <c r="DW757" s="15"/>
      <c r="DX757" s="15"/>
      <c r="DY757" s="15"/>
      <c r="DZ757" s="15"/>
      <c r="EA757" s="15"/>
      <c r="EB757" s="15"/>
      <c r="EC757" s="16" t="s">
        <v>197</v>
      </c>
      <c r="ED757" s="17" t="s">
        <v>198</v>
      </c>
      <c r="EE757" s="18">
        <v>45719.46704861111</v>
      </c>
      <c r="EF757" s="13" t="s">
        <v>209</v>
      </c>
      <c r="EG757" s="14" t="s">
        <v>179</v>
      </c>
      <c r="EH757" s="14" t="s">
        <v>15981</v>
      </c>
      <c r="EI757" s="14" t="s">
        <v>179</v>
      </c>
      <c r="EJ757" s="14" t="s">
        <v>15982</v>
      </c>
      <c r="EK757" s="15"/>
      <c r="EL757" s="15"/>
      <c r="EM757" s="15"/>
      <c r="EN757" s="15"/>
      <c r="EO757" s="15"/>
      <c r="EP757" s="15"/>
      <c r="EQ757" s="15"/>
      <c r="ER757" s="15"/>
      <c r="ES757" s="15"/>
      <c r="ET757" s="15"/>
      <c r="EU757" s="15"/>
      <c r="EV757" s="15"/>
      <c r="EW757" s="15"/>
      <c r="EX757" s="15"/>
      <c r="EY757" s="15"/>
      <c r="EZ757" s="15"/>
      <c r="FA757" s="15"/>
      <c r="FB757" s="15"/>
      <c r="FC757" s="16" t="s">
        <v>197</v>
      </c>
      <c r="FD757" s="17" t="s">
        <v>198</v>
      </c>
      <c r="FE757" s="18">
        <v>45723.26546296296</v>
      </c>
      <c r="FF757" s="19"/>
      <c r="FG757" s="19"/>
      <c r="FH757" s="21" t="s">
        <v>197</v>
      </c>
      <c r="FI757" s="17" t="s">
        <v>214</v>
      </c>
      <c r="FJ757" s="18">
        <v>45723.26546296296</v>
      </c>
      <c r="FK757" s="14" t="s">
        <v>15981</v>
      </c>
      <c r="FL757" s="14" t="s">
        <v>15983</v>
      </c>
      <c r="FM757" s="14" t="s">
        <v>15984</v>
      </c>
      <c r="FN757" s="19"/>
      <c r="FO757" s="19"/>
      <c r="FP757" s="19" t="str">
        <f t="shared" si="1"/>
        <v>Base de Dados_Images/TIT20017.Imagem do Equipamento-.131817.jpg</v>
      </c>
      <c r="FQ757" s="19"/>
      <c r="FR757" s="19"/>
    </row>
    <row r="758" ht="15.75" customHeight="1">
      <c r="A758" s="12" t="s">
        <v>174</v>
      </c>
      <c r="B758" s="12" t="s">
        <v>13322</v>
      </c>
      <c r="C758" s="24" t="s">
        <v>375</v>
      </c>
      <c r="D758" s="22" t="s">
        <v>15985</v>
      </c>
      <c r="E758" s="22" t="s">
        <v>15986</v>
      </c>
      <c r="F758" s="13" t="s">
        <v>178</v>
      </c>
      <c r="G758" s="14" t="s">
        <v>179</v>
      </c>
      <c r="H758" s="14" t="s">
        <v>15987</v>
      </c>
      <c r="I758" s="14" t="s">
        <v>179</v>
      </c>
      <c r="J758" s="14" t="s">
        <v>15988</v>
      </c>
      <c r="K758" s="14" t="s">
        <v>179</v>
      </c>
      <c r="L758" s="14" t="s">
        <v>15989</v>
      </c>
      <c r="M758" s="14" t="s">
        <v>179</v>
      </c>
      <c r="N758" s="14" t="s">
        <v>15990</v>
      </c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6" t="s">
        <v>197</v>
      </c>
      <c r="BP758" s="17" t="s">
        <v>198</v>
      </c>
      <c r="BQ758" s="18">
        <v>45686.45106481481</v>
      </c>
      <c r="BR758" s="17" t="s">
        <v>198</v>
      </c>
      <c r="BS758" s="18">
        <v>45686.451157407406</v>
      </c>
      <c r="BT758" s="17" t="s">
        <v>198</v>
      </c>
      <c r="BU758" s="18">
        <v>45686.451157407406</v>
      </c>
      <c r="BV758" s="13" t="s">
        <v>199</v>
      </c>
      <c r="BW758" s="14" t="s">
        <v>179</v>
      </c>
      <c r="BX758" s="14" t="s">
        <v>15991</v>
      </c>
      <c r="BY758" s="14" t="s">
        <v>179</v>
      </c>
      <c r="BZ758" s="14" t="s">
        <v>15991</v>
      </c>
      <c r="CA758" s="14" t="s">
        <v>179</v>
      </c>
      <c r="CB758" s="14" t="s">
        <v>15992</v>
      </c>
      <c r="CC758" s="15"/>
      <c r="CD758" s="15"/>
      <c r="CE758" s="15"/>
      <c r="CF758" s="15"/>
      <c r="CG758" s="19"/>
      <c r="CH758" s="15"/>
      <c r="CI758" s="19"/>
      <c r="CJ758" s="15"/>
      <c r="CK758" s="19"/>
      <c r="CL758" s="15"/>
      <c r="CM758" s="19"/>
      <c r="CN758" s="15"/>
      <c r="CO758" s="19"/>
      <c r="CP758" s="15"/>
      <c r="CQ758" s="15"/>
      <c r="CR758" s="15"/>
      <c r="CS758" s="19"/>
      <c r="CT758" s="15"/>
      <c r="CU758" s="19"/>
      <c r="CV758" s="15"/>
      <c r="CW758" s="19"/>
      <c r="CX758" s="15"/>
      <c r="CY758" s="19"/>
      <c r="CZ758" s="15"/>
      <c r="DA758" s="16" t="s">
        <v>197</v>
      </c>
      <c r="DB758" s="17" t="s">
        <v>228</v>
      </c>
      <c r="DC758" s="16"/>
      <c r="DD758" s="17" t="s">
        <v>198</v>
      </c>
      <c r="DE758" s="18">
        <v>45693.68832175926</v>
      </c>
      <c r="DF758" s="17" t="s">
        <v>198</v>
      </c>
      <c r="DG758" s="18">
        <v>45693.68832175926</v>
      </c>
      <c r="DH758" s="13" t="s">
        <v>205</v>
      </c>
      <c r="DI758" s="14" t="s">
        <v>179</v>
      </c>
      <c r="DJ758" s="14" t="s">
        <v>15993</v>
      </c>
      <c r="DK758" s="14" t="s">
        <v>179</v>
      </c>
      <c r="DL758" s="14" t="s">
        <v>15994</v>
      </c>
      <c r="DM758" s="15"/>
      <c r="DN758" s="15"/>
      <c r="DO758" s="15"/>
      <c r="DP758" s="15"/>
      <c r="DQ758" s="15"/>
      <c r="DR758" s="15"/>
      <c r="DS758" s="15"/>
      <c r="DT758" s="15"/>
      <c r="DU758" s="15"/>
      <c r="DV758" s="15"/>
      <c r="DW758" s="15"/>
      <c r="DX758" s="15"/>
      <c r="DY758" s="15"/>
      <c r="DZ758" s="15"/>
      <c r="EA758" s="15"/>
      <c r="EB758" s="15"/>
      <c r="EC758" s="16" t="s">
        <v>197</v>
      </c>
      <c r="ED758" s="17" t="s">
        <v>198</v>
      </c>
      <c r="EE758" s="18">
        <v>45708.34798611111</v>
      </c>
      <c r="EF758" s="13" t="s">
        <v>209</v>
      </c>
      <c r="EG758" s="14" t="s">
        <v>179</v>
      </c>
      <c r="EH758" s="14" t="s">
        <v>15995</v>
      </c>
      <c r="EI758" s="14" t="s">
        <v>179</v>
      </c>
      <c r="EJ758" s="14" t="s">
        <v>15995</v>
      </c>
      <c r="EK758" s="15"/>
      <c r="EL758" s="15"/>
      <c r="EM758" s="15"/>
      <c r="EN758" s="15"/>
      <c r="EO758" s="15"/>
      <c r="EP758" s="15"/>
      <c r="EQ758" s="15"/>
      <c r="ER758" s="15"/>
      <c r="ES758" s="15"/>
      <c r="ET758" s="15"/>
      <c r="EU758" s="15"/>
      <c r="EV758" s="15"/>
      <c r="EW758" s="15"/>
      <c r="EX758" s="15"/>
      <c r="EY758" s="15"/>
      <c r="EZ758" s="15"/>
      <c r="FA758" s="15"/>
      <c r="FB758" s="15"/>
      <c r="FC758" s="16" t="s">
        <v>197</v>
      </c>
      <c r="FD758" s="17" t="s">
        <v>198</v>
      </c>
      <c r="FE758" s="18">
        <v>45723.28613425926</v>
      </c>
      <c r="FF758" s="19"/>
      <c r="FG758" s="19"/>
      <c r="FH758" s="21" t="s">
        <v>197</v>
      </c>
      <c r="FI758" s="17" t="s">
        <v>214</v>
      </c>
      <c r="FJ758" s="18">
        <v>45723.28613425926</v>
      </c>
      <c r="FK758" s="14" t="s">
        <v>15995</v>
      </c>
      <c r="FL758" s="14" t="s">
        <v>15996</v>
      </c>
      <c r="FM758" s="14" t="s">
        <v>15997</v>
      </c>
      <c r="FN758" s="19"/>
      <c r="FO758" s="19"/>
      <c r="FP758" s="19" t="str">
        <f t="shared" si="1"/>
        <v>Base de Dados_Images/TIT20022.Imagem do Equipamento-.140801.jpg</v>
      </c>
      <c r="FQ758" s="19"/>
      <c r="FR758" s="19"/>
    </row>
    <row r="759" ht="15.75" customHeight="1">
      <c r="A759" s="12" t="s">
        <v>174</v>
      </c>
      <c r="B759" s="12" t="s">
        <v>13322</v>
      </c>
      <c r="C759" s="24" t="s">
        <v>375</v>
      </c>
      <c r="D759" s="22" t="s">
        <v>15998</v>
      </c>
      <c r="E759" s="22" t="s">
        <v>15999</v>
      </c>
      <c r="F759" s="13" t="s">
        <v>178</v>
      </c>
      <c r="G759" s="14" t="s">
        <v>179</v>
      </c>
      <c r="H759" s="14" t="s">
        <v>16000</v>
      </c>
      <c r="I759" s="14" t="s">
        <v>179</v>
      </c>
      <c r="J759" s="14" t="s">
        <v>16001</v>
      </c>
      <c r="K759" s="14" t="s">
        <v>179</v>
      </c>
      <c r="L759" s="14" t="s">
        <v>16002</v>
      </c>
      <c r="M759" s="14" t="s">
        <v>179</v>
      </c>
      <c r="N759" s="14" t="s">
        <v>16003</v>
      </c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6" t="s">
        <v>197</v>
      </c>
      <c r="BP759" s="17" t="s">
        <v>198</v>
      </c>
      <c r="BQ759" s="18">
        <v>45686.45342592592</v>
      </c>
      <c r="BR759" s="17" t="s">
        <v>198</v>
      </c>
      <c r="BS759" s="18">
        <v>45686.45348379629</v>
      </c>
      <c r="BT759" s="17" t="s">
        <v>198</v>
      </c>
      <c r="BU759" s="18">
        <v>45686.45348379629</v>
      </c>
      <c r="BV759" s="13" t="s">
        <v>199</v>
      </c>
      <c r="BW759" s="14" t="s">
        <v>179</v>
      </c>
      <c r="BX759" s="14" t="s">
        <v>16004</v>
      </c>
      <c r="BY759" s="14" t="s">
        <v>179</v>
      </c>
      <c r="BZ759" s="14" t="s">
        <v>16004</v>
      </c>
      <c r="CA759" s="14" t="s">
        <v>179</v>
      </c>
      <c r="CB759" s="14" t="s">
        <v>16005</v>
      </c>
      <c r="CC759" s="15"/>
      <c r="CD759" s="15"/>
      <c r="CE759" s="15"/>
      <c r="CF759" s="15"/>
      <c r="CG759" s="19"/>
      <c r="CH759" s="15"/>
      <c r="CI759" s="19"/>
      <c r="CJ759" s="15"/>
      <c r="CK759" s="19"/>
      <c r="CL759" s="15"/>
      <c r="CM759" s="19"/>
      <c r="CN759" s="15"/>
      <c r="CO759" s="19"/>
      <c r="CP759" s="15"/>
      <c r="CQ759" s="15"/>
      <c r="CR759" s="15"/>
      <c r="CS759" s="19"/>
      <c r="CT759" s="15"/>
      <c r="CU759" s="19"/>
      <c r="CV759" s="15"/>
      <c r="CW759" s="19"/>
      <c r="CX759" s="15"/>
      <c r="CY759" s="19"/>
      <c r="CZ759" s="15"/>
      <c r="DA759" s="16" t="s">
        <v>197</v>
      </c>
      <c r="DB759" s="17" t="s">
        <v>228</v>
      </c>
      <c r="DC759" s="16"/>
      <c r="DD759" s="17" t="s">
        <v>198</v>
      </c>
      <c r="DE759" s="18">
        <v>45693.68649305555</v>
      </c>
      <c r="DF759" s="17" t="s">
        <v>198</v>
      </c>
      <c r="DG759" s="18">
        <v>45693.68649305555</v>
      </c>
      <c r="DH759" s="13" t="s">
        <v>205</v>
      </c>
      <c r="DI759" s="14" t="s">
        <v>179</v>
      </c>
      <c r="DJ759" s="14" t="s">
        <v>16006</v>
      </c>
      <c r="DK759" s="14" t="s">
        <v>179</v>
      </c>
      <c r="DL759" s="14" t="s">
        <v>16007</v>
      </c>
      <c r="DM759" s="15"/>
      <c r="DN759" s="15"/>
      <c r="DO759" s="15"/>
      <c r="DP759" s="15"/>
      <c r="DQ759" s="15"/>
      <c r="DR759" s="15"/>
      <c r="DS759" s="15"/>
      <c r="DT759" s="15"/>
      <c r="DU759" s="15"/>
      <c r="DV759" s="15"/>
      <c r="DW759" s="15"/>
      <c r="DX759" s="15"/>
      <c r="DY759" s="15"/>
      <c r="DZ759" s="15"/>
      <c r="EA759" s="15"/>
      <c r="EB759" s="15"/>
      <c r="EC759" s="16" t="s">
        <v>197</v>
      </c>
      <c r="ED759" s="17" t="s">
        <v>198</v>
      </c>
      <c r="EE759" s="18">
        <v>45708.34888888889</v>
      </c>
      <c r="EF759" s="13" t="s">
        <v>209</v>
      </c>
      <c r="EG759" s="14" t="s">
        <v>179</v>
      </c>
      <c r="EH759" s="14" t="s">
        <v>16008</v>
      </c>
      <c r="EI759" s="14" t="s">
        <v>179</v>
      </c>
      <c r="EJ759" s="14" t="s">
        <v>16008</v>
      </c>
      <c r="EK759" s="15"/>
      <c r="EL759" s="15"/>
      <c r="EM759" s="15"/>
      <c r="EN759" s="15"/>
      <c r="EO759" s="15"/>
      <c r="EP759" s="15"/>
      <c r="EQ759" s="15"/>
      <c r="ER759" s="15"/>
      <c r="ES759" s="15"/>
      <c r="ET759" s="15"/>
      <c r="EU759" s="15"/>
      <c r="EV759" s="15"/>
      <c r="EW759" s="15"/>
      <c r="EX759" s="15"/>
      <c r="EY759" s="15"/>
      <c r="EZ759" s="15"/>
      <c r="FA759" s="15"/>
      <c r="FB759" s="15"/>
      <c r="FC759" s="16" t="s">
        <v>197</v>
      </c>
      <c r="FD759" s="17" t="s">
        <v>198</v>
      </c>
      <c r="FE759" s="18">
        <v>45723.286203703705</v>
      </c>
      <c r="FF759" s="19"/>
      <c r="FG759" s="19"/>
      <c r="FH759" s="21" t="s">
        <v>197</v>
      </c>
      <c r="FI759" s="17" t="s">
        <v>214</v>
      </c>
      <c r="FJ759" s="18">
        <v>45723.286203703705</v>
      </c>
      <c r="FK759" s="14" t="s">
        <v>16008</v>
      </c>
      <c r="FL759" s="14" t="s">
        <v>16009</v>
      </c>
      <c r="FM759" s="14" t="s">
        <v>16010</v>
      </c>
      <c r="FN759" s="19"/>
      <c r="FO759" s="19"/>
      <c r="FP759" s="19" t="str">
        <f t="shared" si="1"/>
        <v>Base de Dados_Images/TIT20027.Imagem do Equipamento-.140822.jpg</v>
      </c>
      <c r="FQ759" s="19"/>
      <c r="FR759" s="19"/>
    </row>
    <row r="760" ht="15.75" customHeight="1">
      <c r="A760" s="12" t="s">
        <v>174</v>
      </c>
      <c r="B760" s="12" t="s">
        <v>13322</v>
      </c>
      <c r="C760" s="24" t="s">
        <v>375</v>
      </c>
      <c r="D760" s="22" t="s">
        <v>16011</v>
      </c>
      <c r="E760" s="22" t="s">
        <v>16012</v>
      </c>
      <c r="F760" s="13" t="s">
        <v>178</v>
      </c>
      <c r="G760" s="14" t="s">
        <v>179</v>
      </c>
      <c r="H760" s="14" t="s">
        <v>16013</v>
      </c>
      <c r="I760" s="14" t="s">
        <v>179</v>
      </c>
      <c r="J760" s="14" t="s">
        <v>16014</v>
      </c>
      <c r="K760" s="14" t="s">
        <v>179</v>
      </c>
      <c r="L760" s="14" t="s">
        <v>16015</v>
      </c>
      <c r="M760" s="14" t="s">
        <v>179</v>
      </c>
      <c r="N760" s="14" t="s">
        <v>16016</v>
      </c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6" t="s">
        <v>197</v>
      </c>
      <c r="BP760" s="17" t="s">
        <v>198</v>
      </c>
      <c r="BQ760" s="18">
        <v>45686.45386574074</v>
      </c>
      <c r="BR760" s="17" t="s">
        <v>198</v>
      </c>
      <c r="BS760" s="18">
        <v>45686.453935185185</v>
      </c>
      <c r="BT760" s="17" t="s">
        <v>198</v>
      </c>
      <c r="BU760" s="18">
        <v>45686.453935185185</v>
      </c>
      <c r="BV760" s="13" t="s">
        <v>199</v>
      </c>
      <c r="BW760" s="14" t="s">
        <v>179</v>
      </c>
      <c r="BX760" s="14" t="s">
        <v>16017</v>
      </c>
      <c r="BY760" s="14" t="s">
        <v>179</v>
      </c>
      <c r="BZ760" s="14" t="s">
        <v>16018</v>
      </c>
      <c r="CA760" s="14" t="s">
        <v>179</v>
      </c>
      <c r="CB760" s="14" t="s">
        <v>16019</v>
      </c>
      <c r="CC760" s="15"/>
      <c r="CD760" s="15"/>
      <c r="CE760" s="15"/>
      <c r="CF760" s="15"/>
      <c r="CG760" s="19"/>
      <c r="CH760" s="15"/>
      <c r="CI760" s="19"/>
      <c r="CJ760" s="15"/>
      <c r="CK760" s="19"/>
      <c r="CL760" s="15"/>
      <c r="CM760" s="19"/>
      <c r="CN760" s="15"/>
      <c r="CO760" s="19"/>
      <c r="CP760" s="15"/>
      <c r="CQ760" s="15"/>
      <c r="CR760" s="15"/>
      <c r="CS760" s="19"/>
      <c r="CT760" s="15"/>
      <c r="CU760" s="19"/>
      <c r="CV760" s="15"/>
      <c r="CW760" s="19"/>
      <c r="CX760" s="15"/>
      <c r="CY760" s="19"/>
      <c r="CZ760" s="15"/>
      <c r="DA760" s="16" t="s">
        <v>197</v>
      </c>
      <c r="DB760" s="17" t="s">
        <v>228</v>
      </c>
      <c r="DC760" s="16"/>
      <c r="DD760" s="17" t="s">
        <v>198</v>
      </c>
      <c r="DE760" s="18">
        <v>45693.68623842593</v>
      </c>
      <c r="DF760" s="17" t="s">
        <v>198</v>
      </c>
      <c r="DG760" s="18">
        <v>45693.68623842593</v>
      </c>
      <c r="DH760" s="13" t="s">
        <v>205</v>
      </c>
      <c r="DI760" s="14" t="s">
        <v>179</v>
      </c>
      <c r="DJ760" s="14" t="s">
        <v>16020</v>
      </c>
      <c r="DK760" s="14" t="s">
        <v>179</v>
      </c>
      <c r="DL760" s="14" t="s">
        <v>16021</v>
      </c>
      <c r="DM760" s="15"/>
      <c r="DN760" s="15"/>
      <c r="DO760" s="15"/>
      <c r="DP760" s="15"/>
      <c r="DQ760" s="15"/>
      <c r="DR760" s="15"/>
      <c r="DS760" s="15"/>
      <c r="DT760" s="15"/>
      <c r="DU760" s="15"/>
      <c r="DV760" s="15"/>
      <c r="DW760" s="15"/>
      <c r="DX760" s="15"/>
      <c r="DY760" s="15"/>
      <c r="DZ760" s="15"/>
      <c r="EA760" s="15"/>
      <c r="EB760" s="15"/>
      <c r="EC760" s="16" t="s">
        <v>197</v>
      </c>
      <c r="ED760" s="17" t="s">
        <v>198</v>
      </c>
      <c r="EE760" s="18">
        <v>45707.39643518518</v>
      </c>
      <c r="EF760" s="13" t="s">
        <v>209</v>
      </c>
      <c r="EG760" s="14" t="s">
        <v>179</v>
      </c>
      <c r="EH760" s="14" t="s">
        <v>16022</v>
      </c>
      <c r="EI760" s="14" t="s">
        <v>179</v>
      </c>
      <c r="EJ760" s="14" t="s">
        <v>16022</v>
      </c>
      <c r="EK760" s="15"/>
      <c r="EL760" s="15"/>
      <c r="EM760" s="15"/>
      <c r="EN760" s="15"/>
      <c r="EO760" s="15"/>
      <c r="EP760" s="15"/>
      <c r="EQ760" s="15"/>
      <c r="ER760" s="15"/>
      <c r="ES760" s="15"/>
      <c r="ET760" s="15"/>
      <c r="EU760" s="15"/>
      <c r="EV760" s="15"/>
      <c r="EW760" s="15"/>
      <c r="EX760" s="15"/>
      <c r="EY760" s="15"/>
      <c r="EZ760" s="15"/>
      <c r="FA760" s="15"/>
      <c r="FB760" s="15"/>
      <c r="FC760" s="16" t="s">
        <v>197</v>
      </c>
      <c r="FD760" s="17" t="s">
        <v>198</v>
      </c>
      <c r="FE760" s="18">
        <v>45723.28627314815</v>
      </c>
      <c r="FF760" s="19"/>
      <c r="FG760" s="19"/>
      <c r="FH760" s="21" t="s">
        <v>197</v>
      </c>
      <c r="FI760" s="17" t="s">
        <v>214</v>
      </c>
      <c r="FJ760" s="18">
        <v>45723.28627314815</v>
      </c>
      <c r="FK760" s="14" t="s">
        <v>16022</v>
      </c>
      <c r="FL760" s="14" t="s">
        <v>16023</v>
      </c>
      <c r="FM760" s="14" t="s">
        <v>16024</v>
      </c>
      <c r="FN760" s="19"/>
      <c r="FO760" s="19"/>
      <c r="FP760" s="19" t="str">
        <f t="shared" si="1"/>
        <v>Base de Dados_Images/TIT20028.Imagem do Equipamento-.140843.jpg</v>
      </c>
      <c r="FQ760" s="19"/>
      <c r="FR760" s="19"/>
    </row>
    <row r="761" ht="15.75" customHeight="1">
      <c r="A761" s="12" t="s">
        <v>174</v>
      </c>
      <c r="B761" s="12" t="s">
        <v>13322</v>
      </c>
      <c r="C761" s="24" t="s">
        <v>375</v>
      </c>
      <c r="D761" s="22" t="s">
        <v>16025</v>
      </c>
      <c r="E761" s="22" t="s">
        <v>16026</v>
      </c>
      <c r="F761" s="13" t="s">
        <v>178</v>
      </c>
      <c r="G761" s="14" t="s">
        <v>179</v>
      </c>
      <c r="H761" s="14" t="s">
        <v>16027</v>
      </c>
      <c r="I761" s="14" t="s">
        <v>179</v>
      </c>
      <c r="J761" s="14" t="s">
        <v>16028</v>
      </c>
      <c r="K761" s="14" t="s">
        <v>179</v>
      </c>
      <c r="L761" s="14" t="s">
        <v>16029</v>
      </c>
      <c r="M761" s="14" t="s">
        <v>179</v>
      </c>
      <c r="N761" s="14" t="s">
        <v>16030</v>
      </c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6" t="s">
        <v>197</v>
      </c>
      <c r="BP761" s="17" t="s">
        <v>198</v>
      </c>
      <c r="BQ761" s="18">
        <v>45686.45465277778</v>
      </c>
      <c r="BR761" s="17" t="s">
        <v>198</v>
      </c>
      <c r="BS761" s="18">
        <v>45686.454733796294</v>
      </c>
      <c r="BT761" s="17" t="s">
        <v>198</v>
      </c>
      <c r="BU761" s="18">
        <v>45686.454733796294</v>
      </c>
      <c r="BV761" s="13" t="s">
        <v>199</v>
      </c>
      <c r="BW761" s="14" t="s">
        <v>179</v>
      </c>
      <c r="BX761" s="14" t="s">
        <v>16031</v>
      </c>
      <c r="BY761" s="14" t="s">
        <v>179</v>
      </c>
      <c r="BZ761" s="14" t="s">
        <v>16032</v>
      </c>
      <c r="CA761" s="14" t="s">
        <v>179</v>
      </c>
      <c r="CB761" s="14" t="s">
        <v>16033</v>
      </c>
      <c r="CC761" s="15"/>
      <c r="CD761" s="15"/>
      <c r="CE761" s="15"/>
      <c r="CF761" s="15"/>
      <c r="CG761" s="19"/>
      <c r="CH761" s="15"/>
      <c r="CI761" s="19"/>
      <c r="CJ761" s="15"/>
      <c r="CK761" s="19"/>
      <c r="CL761" s="15"/>
      <c r="CM761" s="19"/>
      <c r="CN761" s="15"/>
      <c r="CO761" s="19"/>
      <c r="CP761" s="15"/>
      <c r="CQ761" s="15"/>
      <c r="CR761" s="15"/>
      <c r="CS761" s="19"/>
      <c r="CT761" s="15"/>
      <c r="CU761" s="19"/>
      <c r="CV761" s="15"/>
      <c r="CW761" s="19"/>
      <c r="CX761" s="15"/>
      <c r="CY761" s="19"/>
      <c r="CZ761" s="15"/>
      <c r="DA761" s="16" t="s">
        <v>197</v>
      </c>
      <c r="DB761" s="17" t="s">
        <v>228</v>
      </c>
      <c r="DC761" s="16"/>
      <c r="DD761" s="17" t="s">
        <v>198</v>
      </c>
      <c r="DE761" s="18">
        <v>45694.398622685185</v>
      </c>
      <c r="DF761" s="17" t="s">
        <v>198</v>
      </c>
      <c r="DG761" s="18">
        <v>45694.398622685185</v>
      </c>
      <c r="DH761" s="13" t="s">
        <v>205</v>
      </c>
      <c r="DI761" s="14" t="s">
        <v>179</v>
      </c>
      <c r="DJ761" s="14" t="s">
        <v>16034</v>
      </c>
      <c r="DK761" s="14" t="s">
        <v>179</v>
      </c>
      <c r="DL761" s="14" t="s">
        <v>16035</v>
      </c>
      <c r="DM761" s="15"/>
      <c r="DN761" s="15"/>
      <c r="DO761" s="15"/>
      <c r="DP761" s="15"/>
      <c r="DQ761" s="15"/>
      <c r="DR761" s="15"/>
      <c r="DS761" s="15"/>
      <c r="DT761" s="15"/>
      <c r="DU761" s="15"/>
      <c r="DV761" s="15"/>
      <c r="DW761" s="15"/>
      <c r="DX761" s="15"/>
      <c r="DY761" s="15"/>
      <c r="DZ761" s="15"/>
      <c r="EA761" s="15"/>
      <c r="EB761" s="15"/>
      <c r="EC761" s="16" t="s">
        <v>197</v>
      </c>
      <c r="ED761" s="17" t="s">
        <v>198</v>
      </c>
      <c r="EE761" s="18">
        <v>45707.39429398148</v>
      </c>
      <c r="EF761" s="13" t="s">
        <v>209</v>
      </c>
      <c r="EG761" s="14" t="s">
        <v>179</v>
      </c>
      <c r="EH761" s="14" t="s">
        <v>16036</v>
      </c>
      <c r="EI761" s="14" t="s">
        <v>179</v>
      </c>
      <c r="EJ761" s="14" t="s">
        <v>16037</v>
      </c>
      <c r="EK761" s="15"/>
      <c r="EL761" s="15"/>
      <c r="EM761" s="15"/>
      <c r="EN761" s="15"/>
      <c r="EO761" s="15"/>
      <c r="EP761" s="15"/>
      <c r="EQ761" s="15"/>
      <c r="ER761" s="15"/>
      <c r="ES761" s="15"/>
      <c r="ET761" s="15"/>
      <c r="EU761" s="15"/>
      <c r="EV761" s="15"/>
      <c r="EW761" s="15"/>
      <c r="EX761" s="15"/>
      <c r="EY761" s="15"/>
      <c r="EZ761" s="15"/>
      <c r="FA761" s="15"/>
      <c r="FB761" s="15"/>
      <c r="FC761" s="16" t="s">
        <v>197</v>
      </c>
      <c r="FD761" s="17" t="s">
        <v>198</v>
      </c>
      <c r="FE761" s="18">
        <v>45723.28640046297</v>
      </c>
      <c r="FF761" s="19"/>
      <c r="FG761" s="19"/>
      <c r="FH761" s="21" t="s">
        <v>197</v>
      </c>
      <c r="FI761" s="17" t="s">
        <v>214</v>
      </c>
      <c r="FJ761" s="18">
        <v>45723.28640046297</v>
      </c>
      <c r="FK761" s="14" t="s">
        <v>16036</v>
      </c>
      <c r="FL761" s="14" t="s">
        <v>16038</v>
      </c>
      <c r="FM761" s="14" t="s">
        <v>16039</v>
      </c>
      <c r="FN761" s="19"/>
      <c r="FO761" s="19"/>
      <c r="FP761" s="19" t="str">
        <f t="shared" si="1"/>
        <v>Base de Dados_Images/TIT20029.Imagem do Equipamento-.140903.jpg</v>
      </c>
      <c r="FQ761" s="19"/>
      <c r="FR761" s="19"/>
    </row>
    <row r="762" ht="15.75" customHeight="1">
      <c r="A762" s="12" t="s">
        <v>174</v>
      </c>
      <c r="B762" s="12" t="s">
        <v>13322</v>
      </c>
      <c r="C762" s="24" t="s">
        <v>375</v>
      </c>
      <c r="D762" s="22" t="s">
        <v>16040</v>
      </c>
      <c r="E762" s="22" t="s">
        <v>16041</v>
      </c>
      <c r="F762" s="13" t="s">
        <v>178</v>
      </c>
      <c r="G762" s="14" t="s">
        <v>179</v>
      </c>
      <c r="H762" s="14" t="s">
        <v>16042</v>
      </c>
      <c r="I762" s="14" t="s">
        <v>179</v>
      </c>
      <c r="J762" s="14" t="s">
        <v>16043</v>
      </c>
      <c r="K762" s="14" t="s">
        <v>179</v>
      </c>
      <c r="L762" s="14" t="s">
        <v>16044</v>
      </c>
      <c r="M762" s="14" t="s">
        <v>179</v>
      </c>
      <c r="N762" s="14" t="s">
        <v>16045</v>
      </c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6" t="s">
        <v>197</v>
      </c>
      <c r="BP762" s="17" t="s">
        <v>198</v>
      </c>
      <c r="BQ762" s="18">
        <v>45686.458657407406</v>
      </c>
      <c r="BR762" s="17" t="s">
        <v>198</v>
      </c>
      <c r="BS762" s="18">
        <v>45686.458715277775</v>
      </c>
      <c r="BT762" s="17" t="s">
        <v>198</v>
      </c>
      <c r="BU762" s="18">
        <v>45686.458715277775</v>
      </c>
      <c r="BV762" s="13" t="s">
        <v>199</v>
      </c>
      <c r="BW762" s="14" t="s">
        <v>179</v>
      </c>
      <c r="BX762" s="14" t="s">
        <v>16046</v>
      </c>
      <c r="BY762" s="14" t="s">
        <v>179</v>
      </c>
      <c r="BZ762" s="14" t="s">
        <v>16047</v>
      </c>
      <c r="CA762" s="14" t="s">
        <v>179</v>
      </c>
      <c r="CB762" s="14" t="s">
        <v>16047</v>
      </c>
      <c r="CC762" s="15"/>
      <c r="CD762" s="15"/>
      <c r="CE762" s="15"/>
      <c r="CF762" s="15"/>
      <c r="CG762" s="19"/>
      <c r="CH762" s="15"/>
      <c r="CI762" s="19"/>
      <c r="CJ762" s="15"/>
      <c r="CK762" s="19"/>
      <c r="CL762" s="15"/>
      <c r="CM762" s="19"/>
      <c r="CN762" s="15"/>
      <c r="CO762" s="19"/>
      <c r="CP762" s="15"/>
      <c r="CQ762" s="15"/>
      <c r="CR762" s="15"/>
      <c r="CS762" s="19"/>
      <c r="CT762" s="15"/>
      <c r="CU762" s="19"/>
      <c r="CV762" s="15"/>
      <c r="CW762" s="19"/>
      <c r="CX762" s="15"/>
      <c r="CY762" s="19"/>
      <c r="CZ762" s="15"/>
      <c r="DA762" s="16" t="s">
        <v>197</v>
      </c>
      <c r="DB762" s="17" t="s">
        <v>228</v>
      </c>
      <c r="DC762" s="16"/>
      <c r="DD762" s="17" t="s">
        <v>198</v>
      </c>
      <c r="DE762" s="18">
        <v>45693.69008101852</v>
      </c>
      <c r="DF762" s="17" t="s">
        <v>198</v>
      </c>
      <c r="DG762" s="18">
        <v>45693.69008101852</v>
      </c>
      <c r="DH762" s="13" t="s">
        <v>205</v>
      </c>
      <c r="DI762" s="14" t="s">
        <v>179</v>
      </c>
      <c r="DJ762" s="14" t="s">
        <v>16048</v>
      </c>
      <c r="DK762" s="14" t="s">
        <v>179</v>
      </c>
      <c r="DL762" s="14" t="s">
        <v>16049</v>
      </c>
      <c r="DM762" s="15"/>
      <c r="DN762" s="15"/>
      <c r="DO762" s="15"/>
      <c r="DP762" s="15"/>
      <c r="DQ762" s="15"/>
      <c r="DR762" s="15"/>
      <c r="DS762" s="15"/>
      <c r="DT762" s="15"/>
      <c r="DU762" s="15"/>
      <c r="DV762" s="15"/>
      <c r="DW762" s="15"/>
      <c r="DX762" s="15"/>
      <c r="DY762" s="15"/>
      <c r="DZ762" s="15"/>
      <c r="EA762" s="15"/>
      <c r="EB762" s="15"/>
      <c r="EC762" s="16" t="s">
        <v>197</v>
      </c>
      <c r="ED762" s="17" t="s">
        <v>198</v>
      </c>
      <c r="EE762" s="18">
        <v>45707.39439814815</v>
      </c>
      <c r="EF762" s="13" t="s">
        <v>209</v>
      </c>
      <c r="EG762" s="14" t="s">
        <v>179</v>
      </c>
      <c r="EH762" s="14" t="s">
        <v>16050</v>
      </c>
      <c r="EI762" s="14" t="s">
        <v>179</v>
      </c>
      <c r="EJ762" s="14" t="s">
        <v>16050</v>
      </c>
      <c r="EK762" s="15"/>
      <c r="EL762" s="15"/>
      <c r="EM762" s="15"/>
      <c r="EN762" s="15"/>
      <c r="EO762" s="15"/>
      <c r="EP762" s="15"/>
      <c r="EQ762" s="15"/>
      <c r="ER762" s="15"/>
      <c r="ES762" s="15"/>
      <c r="ET762" s="15"/>
      <c r="EU762" s="15"/>
      <c r="EV762" s="15"/>
      <c r="EW762" s="15"/>
      <c r="EX762" s="15"/>
      <c r="EY762" s="15"/>
      <c r="EZ762" s="15"/>
      <c r="FA762" s="15"/>
      <c r="FB762" s="15"/>
      <c r="FC762" s="16" t="s">
        <v>197</v>
      </c>
      <c r="FD762" s="17" t="s">
        <v>198</v>
      </c>
      <c r="FE762" s="18">
        <v>45723.286458333336</v>
      </c>
      <c r="FF762" s="19"/>
      <c r="FG762" s="19"/>
      <c r="FH762" s="21" t="s">
        <v>197</v>
      </c>
      <c r="FI762" s="17" t="s">
        <v>214</v>
      </c>
      <c r="FJ762" s="18">
        <v>45723.286458333336</v>
      </c>
      <c r="FK762" s="14" t="s">
        <v>16050</v>
      </c>
      <c r="FL762" s="14" t="s">
        <v>16051</v>
      </c>
      <c r="FM762" s="14" t="s">
        <v>16052</v>
      </c>
      <c r="FN762" s="19"/>
      <c r="FO762" s="19"/>
      <c r="FP762" s="19" t="str">
        <f t="shared" si="1"/>
        <v>Base de Dados_Images/TIT20030.Imagem do Equipamento-.141157.jpg</v>
      </c>
      <c r="FQ762" s="19"/>
      <c r="FR762" s="19"/>
    </row>
    <row r="763" ht="15.75" customHeight="1">
      <c r="A763" s="12" t="s">
        <v>174</v>
      </c>
      <c r="B763" s="12" t="s">
        <v>13322</v>
      </c>
      <c r="C763" s="24" t="s">
        <v>375</v>
      </c>
      <c r="D763" s="22" t="s">
        <v>16053</v>
      </c>
      <c r="E763" s="22" t="s">
        <v>16054</v>
      </c>
      <c r="F763" s="13" t="s">
        <v>178</v>
      </c>
      <c r="G763" s="14" t="s">
        <v>179</v>
      </c>
      <c r="H763" s="14" t="s">
        <v>16055</v>
      </c>
      <c r="I763" s="14" t="s">
        <v>179</v>
      </c>
      <c r="J763" s="14" t="s">
        <v>16056</v>
      </c>
      <c r="K763" s="14" t="s">
        <v>179</v>
      </c>
      <c r="L763" s="14" t="s">
        <v>16057</v>
      </c>
      <c r="M763" s="14" t="s">
        <v>179</v>
      </c>
      <c r="N763" s="14" t="s">
        <v>16058</v>
      </c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6" t="s">
        <v>197</v>
      </c>
      <c r="BP763" s="17" t="s">
        <v>198</v>
      </c>
      <c r="BQ763" s="18">
        <v>45686.45726851852</v>
      </c>
      <c r="BR763" s="17" t="s">
        <v>198</v>
      </c>
      <c r="BS763" s="18">
        <v>45686.457349537035</v>
      </c>
      <c r="BT763" s="17" t="s">
        <v>198</v>
      </c>
      <c r="BU763" s="18">
        <v>45686.457349537035</v>
      </c>
      <c r="BV763" s="13" t="s">
        <v>199</v>
      </c>
      <c r="BW763" s="14" t="s">
        <v>179</v>
      </c>
      <c r="BX763" s="14" t="s">
        <v>16059</v>
      </c>
      <c r="BY763" s="14" t="s">
        <v>179</v>
      </c>
      <c r="BZ763" s="14" t="s">
        <v>16060</v>
      </c>
      <c r="CA763" s="14" t="s">
        <v>179</v>
      </c>
      <c r="CB763" s="14" t="s">
        <v>16061</v>
      </c>
      <c r="CC763" s="15"/>
      <c r="CD763" s="15"/>
      <c r="CE763" s="15"/>
      <c r="CF763" s="15"/>
      <c r="CG763" s="19"/>
      <c r="CH763" s="15"/>
      <c r="CI763" s="19"/>
      <c r="CJ763" s="15"/>
      <c r="CK763" s="19"/>
      <c r="CL763" s="15"/>
      <c r="CM763" s="19"/>
      <c r="CN763" s="15"/>
      <c r="CO763" s="19"/>
      <c r="CP763" s="15"/>
      <c r="CQ763" s="15"/>
      <c r="CR763" s="15"/>
      <c r="CS763" s="19"/>
      <c r="CT763" s="15"/>
      <c r="CU763" s="19"/>
      <c r="CV763" s="15"/>
      <c r="CW763" s="19"/>
      <c r="CX763" s="15"/>
      <c r="CY763" s="19"/>
      <c r="CZ763" s="15"/>
      <c r="DA763" s="16" t="s">
        <v>197</v>
      </c>
      <c r="DB763" s="17" t="s">
        <v>228</v>
      </c>
      <c r="DC763" s="16"/>
      <c r="DD763" s="17" t="s">
        <v>198</v>
      </c>
      <c r="DE763" s="18">
        <v>45693.68974537037</v>
      </c>
      <c r="DF763" s="17" t="s">
        <v>198</v>
      </c>
      <c r="DG763" s="18">
        <v>45693.68974537037</v>
      </c>
      <c r="DH763" s="13" t="s">
        <v>205</v>
      </c>
      <c r="DI763" s="14" t="s">
        <v>179</v>
      </c>
      <c r="DJ763" s="14" t="s">
        <v>16062</v>
      </c>
      <c r="DK763" s="14" t="s">
        <v>179</v>
      </c>
      <c r="DL763" s="14" t="s">
        <v>16063</v>
      </c>
      <c r="DM763" s="15"/>
      <c r="DN763" s="15"/>
      <c r="DO763" s="15"/>
      <c r="DP763" s="15"/>
      <c r="DQ763" s="15"/>
      <c r="DR763" s="15"/>
      <c r="DS763" s="15"/>
      <c r="DT763" s="15"/>
      <c r="DU763" s="15"/>
      <c r="DV763" s="15"/>
      <c r="DW763" s="15"/>
      <c r="DX763" s="15"/>
      <c r="DY763" s="15"/>
      <c r="DZ763" s="15"/>
      <c r="EA763" s="15"/>
      <c r="EB763" s="15"/>
      <c r="EC763" s="16" t="s">
        <v>197</v>
      </c>
      <c r="ED763" s="17" t="s">
        <v>198</v>
      </c>
      <c r="EE763" s="18">
        <v>45707.394594907404</v>
      </c>
      <c r="EF763" s="13" t="s">
        <v>209</v>
      </c>
      <c r="EG763" s="14" t="s">
        <v>179</v>
      </c>
      <c r="EH763" s="14" t="s">
        <v>16064</v>
      </c>
      <c r="EI763" s="14" t="s">
        <v>179</v>
      </c>
      <c r="EJ763" s="14" t="s">
        <v>16065</v>
      </c>
      <c r="EK763" s="15"/>
      <c r="EL763" s="15"/>
      <c r="EM763" s="15"/>
      <c r="EN763" s="15"/>
      <c r="EO763" s="15"/>
      <c r="EP763" s="15"/>
      <c r="EQ763" s="15"/>
      <c r="ER763" s="15"/>
      <c r="ES763" s="15"/>
      <c r="ET763" s="15"/>
      <c r="EU763" s="15"/>
      <c r="EV763" s="15"/>
      <c r="EW763" s="15"/>
      <c r="EX763" s="15"/>
      <c r="EY763" s="15"/>
      <c r="EZ763" s="15"/>
      <c r="FA763" s="15"/>
      <c r="FB763" s="15"/>
      <c r="FC763" s="16" t="s">
        <v>197</v>
      </c>
      <c r="FD763" s="17" t="s">
        <v>198</v>
      </c>
      <c r="FE763" s="18">
        <v>45723.28653935185</v>
      </c>
      <c r="FF763" s="19"/>
      <c r="FG763" s="19"/>
      <c r="FH763" s="21" t="s">
        <v>197</v>
      </c>
      <c r="FI763" s="17" t="s">
        <v>214</v>
      </c>
      <c r="FJ763" s="18">
        <v>45723.28653935185</v>
      </c>
      <c r="FK763" s="14" t="s">
        <v>16064</v>
      </c>
      <c r="FL763" s="14" t="s">
        <v>16066</v>
      </c>
      <c r="FM763" s="14" t="s">
        <v>16067</v>
      </c>
      <c r="FN763" s="19"/>
      <c r="FO763" s="19"/>
      <c r="FP763" s="19" t="str">
        <f t="shared" si="1"/>
        <v>Base de Dados_Images/TIT20031.Imagem do Equipamento-.141007.jpg</v>
      </c>
      <c r="FQ763" s="19"/>
      <c r="FR763" s="19"/>
    </row>
    <row r="764" ht="15.75" customHeight="1">
      <c r="A764" s="12" t="s">
        <v>174</v>
      </c>
      <c r="B764" s="12" t="s">
        <v>13322</v>
      </c>
      <c r="C764" s="24" t="s">
        <v>375</v>
      </c>
      <c r="D764" s="22" t="s">
        <v>16068</v>
      </c>
      <c r="E764" s="22" t="s">
        <v>16069</v>
      </c>
      <c r="F764" s="13" t="s">
        <v>178</v>
      </c>
      <c r="G764" s="14" t="s">
        <v>179</v>
      </c>
      <c r="H764" s="14" t="s">
        <v>16070</v>
      </c>
      <c r="I764" s="14" t="s">
        <v>179</v>
      </c>
      <c r="J764" s="14" t="s">
        <v>16071</v>
      </c>
      <c r="K764" s="14" t="s">
        <v>179</v>
      </c>
      <c r="L764" s="14" t="s">
        <v>16072</v>
      </c>
      <c r="M764" s="14" t="s">
        <v>179</v>
      </c>
      <c r="N764" s="14" t="s">
        <v>16073</v>
      </c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6" t="s">
        <v>197</v>
      </c>
      <c r="BP764" s="17" t="s">
        <v>198</v>
      </c>
      <c r="BQ764" s="18">
        <v>45686.457916666666</v>
      </c>
      <c r="BR764" s="17" t="s">
        <v>198</v>
      </c>
      <c r="BS764" s="18">
        <v>45686.457974537036</v>
      </c>
      <c r="BT764" s="17" t="s">
        <v>198</v>
      </c>
      <c r="BU764" s="18">
        <v>45686.457974537036</v>
      </c>
      <c r="BV764" s="13" t="s">
        <v>199</v>
      </c>
      <c r="BW764" s="14" t="s">
        <v>179</v>
      </c>
      <c r="BX764" s="14" t="s">
        <v>16074</v>
      </c>
      <c r="BY764" s="14" t="s">
        <v>179</v>
      </c>
      <c r="BZ764" s="14" t="s">
        <v>16075</v>
      </c>
      <c r="CA764" s="14" t="s">
        <v>179</v>
      </c>
      <c r="CB764" s="14" t="s">
        <v>16075</v>
      </c>
      <c r="CC764" s="15"/>
      <c r="CD764" s="15"/>
      <c r="CE764" s="15"/>
      <c r="CF764" s="15"/>
      <c r="CG764" s="19"/>
      <c r="CH764" s="15"/>
      <c r="CI764" s="19"/>
      <c r="CJ764" s="15"/>
      <c r="CK764" s="19"/>
      <c r="CL764" s="15"/>
      <c r="CM764" s="19"/>
      <c r="CN764" s="15"/>
      <c r="CO764" s="19"/>
      <c r="CP764" s="15"/>
      <c r="CQ764" s="15"/>
      <c r="CR764" s="15"/>
      <c r="CS764" s="19"/>
      <c r="CT764" s="15"/>
      <c r="CU764" s="19"/>
      <c r="CV764" s="15"/>
      <c r="CW764" s="19"/>
      <c r="CX764" s="15"/>
      <c r="CY764" s="19"/>
      <c r="CZ764" s="15"/>
      <c r="DA764" s="16" t="s">
        <v>197</v>
      </c>
      <c r="DB764" s="17" t="s">
        <v>228</v>
      </c>
      <c r="DC764" s="16"/>
      <c r="DD764" s="17" t="s">
        <v>198</v>
      </c>
      <c r="DE764" s="18">
        <v>45693.68960648148</v>
      </c>
      <c r="DF764" s="17" t="s">
        <v>198</v>
      </c>
      <c r="DG764" s="18">
        <v>45693.68960648148</v>
      </c>
      <c r="DH764" s="13" t="s">
        <v>205</v>
      </c>
      <c r="DI764" s="14" t="s">
        <v>179</v>
      </c>
      <c r="DJ764" s="14" t="s">
        <v>16076</v>
      </c>
      <c r="DK764" s="14" t="s">
        <v>179</v>
      </c>
      <c r="DL764" s="14" t="s">
        <v>16077</v>
      </c>
      <c r="DM764" s="15"/>
      <c r="DN764" s="15"/>
      <c r="DO764" s="15"/>
      <c r="DP764" s="15"/>
      <c r="DQ764" s="15"/>
      <c r="DR764" s="15"/>
      <c r="DS764" s="15"/>
      <c r="DT764" s="15"/>
      <c r="DU764" s="15"/>
      <c r="DV764" s="15"/>
      <c r="DW764" s="15"/>
      <c r="DX764" s="15"/>
      <c r="DY764" s="15"/>
      <c r="DZ764" s="15"/>
      <c r="EA764" s="15"/>
      <c r="EB764" s="15"/>
      <c r="EC764" s="16" t="s">
        <v>197</v>
      </c>
      <c r="ED764" s="17" t="s">
        <v>198</v>
      </c>
      <c r="EE764" s="18">
        <v>45707.394733796296</v>
      </c>
      <c r="EF764" s="13" t="s">
        <v>209</v>
      </c>
      <c r="EG764" s="14" t="s">
        <v>179</v>
      </c>
      <c r="EH764" s="14" t="s">
        <v>16078</v>
      </c>
      <c r="EI764" s="14" t="s">
        <v>179</v>
      </c>
      <c r="EJ764" s="14" t="s">
        <v>16079</v>
      </c>
      <c r="EK764" s="15"/>
      <c r="EL764" s="15"/>
      <c r="EM764" s="15"/>
      <c r="EN764" s="15"/>
      <c r="EO764" s="15"/>
      <c r="EP764" s="15"/>
      <c r="EQ764" s="15"/>
      <c r="ER764" s="15"/>
      <c r="ES764" s="15"/>
      <c r="ET764" s="15"/>
      <c r="EU764" s="15"/>
      <c r="EV764" s="15"/>
      <c r="EW764" s="15"/>
      <c r="EX764" s="15"/>
      <c r="EY764" s="15"/>
      <c r="EZ764" s="15"/>
      <c r="FA764" s="15"/>
      <c r="FB764" s="15"/>
      <c r="FC764" s="16" t="s">
        <v>197</v>
      </c>
      <c r="FD764" s="17" t="s">
        <v>198</v>
      </c>
      <c r="FE764" s="18">
        <v>45723.2866087963</v>
      </c>
      <c r="FF764" s="19"/>
      <c r="FG764" s="19"/>
      <c r="FH764" s="21" t="s">
        <v>197</v>
      </c>
      <c r="FI764" s="17" t="s">
        <v>214</v>
      </c>
      <c r="FJ764" s="18">
        <v>45723.2866087963</v>
      </c>
      <c r="FK764" s="14" t="s">
        <v>16078</v>
      </c>
      <c r="FL764" s="14" t="s">
        <v>16080</v>
      </c>
      <c r="FM764" s="14" t="s">
        <v>16081</v>
      </c>
      <c r="FN764" s="19"/>
      <c r="FO764" s="19"/>
      <c r="FP764" s="19" t="str">
        <f t="shared" si="1"/>
        <v>Base de Dados_Images/TIT20032.Imagem do Equipamento-.141030.jpg</v>
      </c>
      <c r="FQ764" s="19"/>
      <c r="FR764" s="19"/>
    </row>
    <row r="765" ht="15.75" customHeight="1">
      <c r="A765" s="12" t="s">
        <v>174</v>
      </c>
      <c r="B765" s="12" t="s">
        <v>13322</v>
      </c>
      <c r="C765" s="24" t="s">
        <v>375</v>
      </c>
      <c r="D765" s="22" t="s">
        <v>16082</v>
      </c>
      <c r="E765" s="22" t="s">
        <v>16083</v>
      </c>
      <c r="F765" s="13" t="s">
        <v>178</v>
      </c>
      <c r="G765" s="14" t="s">
        <v>179</v>
      </c>
      <c r="H765" s="14" t="s">
        <v>16084</v>
      </c>
      <c r="I765" s="14" t="s">
        <v>179</v>
      </c>
      <c r="J765" s="14" t="s">
        <v>16085</v>
      </c>
      <c r="K765" s="14" t="s">
        <v>179</v>
      </c>
      <c r="L765" s="14" t="s">
        <v>16086</v>
      </c>
      <c r="M765" s="14" t="s">
        <v>179</v>
      </c>
      <c r="N765" s="14" t="s">
        <v>16087</v>
      </c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6" t="s">
        <v>197</v>
      </c>
      <c r="BP765" s="17" t="s">
        <v>198</v>
      </c>
      <c r="BQ765" s="18">
        <v>45694.433287037034</v>
      </c>
      <c r="BR765" s="17" t="s">
        <v>198</v>
      </c>
      <c r="BS765" s="18">
        <v>45694.433333333334</v>
      </c>
      <c r="BT765" s="17" t="s">
        <v>198</v>
      </c>
      <c r="BU765" s="18">
        <v>45694.433333333334</v>
      </c>
      <c r="BV765" s="13" t="s">
        <v>199</v>
      </c>
      <c r="BW765" s="14" t="s">
        <v>179</v>
      </c>
      <c r="BX765" s="14" t="s">
        <v>16088</v>
      </c>
      <c r="BY765" s="14" t="s">
        <v>179</v>
      </c>
      <c r="BZ765" s="14" t="s">
        <v>16089</v>
      </c>
      <c r="CA765" s="14" t="s">
        <v>179</v>
      </c>
      <c r="CB765" s="14" t="s">
        <v>16090</v>
      </c>
      <c r="CC765" s="15"/>
      <c r="CD765" s="15"/>
      <c r="CE765" s="15"/>
      <c r="CF765" s="15"/>
      <c r="CG765" s="19"/>
      <c r="CH765" s="15"/>
      <c r="CI765" s="19"/>
      <c r="CJ765" s="15"/>
      <c r="CK765" s="19"/>
      <c r="CL765" s="15"/>
      <c r="CM765" s="19"/>
      <c r="CN765" s="15"/>
      <c r="CO765" s="19"/>
      <c r="CP765" s="15"/>
      <c r="CQ765" s="15"/>
      <c r="CR765" s="15"/>
      <c r="CS765" s="19"/>
      <c r="CT765" s="15"/>
      <c r="CU765" s="19"/>
      <c r="CV765" s="15"/>
      <c r="CW765" s="19"/>
      <c r="CX765" s="15"/>
      <c r="CY765" s="19"/>
      <c r="CZ765" s="15"/>
      <c r="DA765" s="16" t="s">
        <v>197</v>
      </c>
      <c r="DB765" s="17" t="s">
        <v>228</v>
      </c>
      <c r="DC765" s="16"/>
      <c r="DD765" s="17" t="s">
        <v>198</v>
      </c>
      <c r="DE765" s="18">
        <v>45694.43341435185</v>
      </c>
      <c r="DF765" s="17" t="s">
        <v>198</v>
      </c>
      <c r="DG765" s="18">
        <v>45694.43341435185</v>
      </c>
      <c r="DH765" s="13" t="s">
        <v>205</v>
      </c>
      <c r="DI765" s="14" t="s">
        <v>179</v>
      </c>
      <c r="DJ765" s="14" t="s">
        <v>16091</v>
      </c>
      <c r="DK765" s="14" t="s">
        <v>179</v>
      </c>
      <c r="DL765" s="14" t="s">
        <v>16092</v>
      </c>
      <c r="DM765" s="15"/>
      <c r="DN765" s="15"/>
      <c r="DO765" s="15"/>
      <c r="DP765" s="15"/>
      <c r="DQ765" s="15"/>
      <c r="DR765" s="15"/>
      <c r="DS765" s="15"/>
      <c r="DT765" s="15"/>
      <c r="DU765" s="15"/>
      <c r="DV765" s="15"/>
      <c r="DW765" s="15"/>
      <c r="DX765" s="15"/>
      <c r="DY765" s="15"/>
      <c r="DZ765" s="15"/>
      <c r="EA765" s="15"/>
      <c r="EB765" s="15"/>
      <c r="EC765" s="16" t="s">
        <v>197</v>
      </c>
      <c r="ED765" s="17" t="s">
        <v>198</v>
      </c>
      <c r="EE765" s="18">
        <v>45707.394907407404</v>
      </c>
      <c r="EF765" s="13" t="s">
        <v>209</v>
      </c>
      <c r="EG765" s="14" t="s">
        <v>179</v>
      </c>
      <c r="EH765" s="14" t="s">
        <v>16093</v>
      </c>
      <c r="EI765" s="14" t="s">
        <v>179</v>
      </c>
      <c r="EJ765" s="14" t="s">
        <v>16093</v>
      </c>
      <c r="EK765" s="15"/>
      <c r="EL765" s="15"/>
      <c r="EM765" s="15"/>
      <c r="EN765" s="15"/>
      <c r="EO765" s="15"/>
      <c r="EP765" s="15"/>
      <c r="EQ765" s="15"/>
      <c r="ER765" s="15"/>
      <c r="ES765" s="15"/>
      <c r="ET765" s="15"/>
      <c r="EU765" s="15"/>
      <c r="EV765" s="15"/>
      <c r="EW765" s="15"/>
      <c r="EX765" s="15"/>
      <c r="EY765" s="15"/>
      <c r="EZ765" s="15"/>
      <c r="FA765" s="15"/>
      <c r="FB765" s="15"/>
      <c r="FC765" s="16" t="s">
        <v>197</v>
      </c>
      <c r="FD765" s="17" t="s">
        <v>198</v>
      </c>
      <c r="FE765" s="18">
        <v>45723.28666666667</v>
      </c>
      <c r="FF765" s="19"/>
      <c r="FG765" s="19"/>
      <c r="FH765" s="21" t="s">
        <v>197</v>
      </c>
      <c r="FI765" s="17" t="s">
        <v>214</v>
      </c>
      <c r="FJ765" s="18">
        <v>45723.28666666667</v>
      </c>
      <c r="FK765" s="14" t="s">
        <v>16093</v>
      </c>
      <c r="FL765" s="14" t="s">
        <v>16094</v>
      </c>
      <c r="FM765" s="14" t="s">
        <v>16095</v>
      </c>
      <c r="FN765" s="19"/>
      <c r="FO765" s="19"/>
      <c r="FP765" s="19" t="str">
        <f t="shared" si="1"/>
        <v>Base de Dados_Images/TIT20033.Imagem do Equipamento-.132355.jpg</v>
      </c>
      <c r="FQ765" s="19"/>
      <c r="FR765" s="19"/>
    </row>
    <row r="766" ht="15.75" customHeight="1">
      <c r="A766" s="12" t="s">
        <v>174</v>
      </c>
      <c r="B766" s="12" t="s">
        <v>13322</v>
      </c>
      <c r="C766" s="24" t="s">
        <v>375</v>
      </c>
      <c r="D766" s="22" t="s">
        <v>16096</v>
      </c>
      <c r="E766" s="22" t="s">
        <v>16097</v>
      </c>
      <c r="F766" s="13" t="s">
        <v>178</v>
      </c>
      <c r="G766" s="14" t="s">
        <v>179</v>
      </c>
      <c r="H766" s="14" t="s">
        <v>16098</v>
      </c>
      <c r="I766" s="14" t="s">
        <v>179</v>
      </c>
      <c r="J766" s="14" t="s">
        <v>16099</v>
      </c>
      <c r="K766" s="14" t="s">
        <v>179</v>
      </c>
      <c r="L766" s="14" t="s">
        <v>16100</v>
      </c>
      <c r="M766" s="14" t="s">
        <v>179</v>
      </c>
      <c r="N766" s="14" t="s">
        <v>16101</v>
      </c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6" t="s">
        <v>197</v>
      </c>
      <c r="BP766" s="17" t="s">
        <v>198</v>
      </c>
      <c r="BQ766" s="18">
        <v>45686.455613425926</v>
      </c>
      <c r="BR766" s="17" t="s">
        <v>198</v>
      </c>
      <c r="BS766" s="18">
        <v>45686.455659722225</v>
      </c>
      <c r="BT766" s="17" t="s">
        <v>198</v>
      </c>
      <c r="BU766" s="18">
        <v>45686.455659722225</v>
      </c>
      <c r="BV766" s="13" t="s">
        <v>199</v>
      </c>
      <c r="BW766" s="14" t="s">
        <v>179</v>
      </c>
      <c r="BX766" s="14" t="s">
        <v>16102</v>
      </c>
      <c r="BY766" s="14" t="s">
        <v>179</v>
      </c>
      <c r="BZ766" s="14" t="s">
        <v>16103</v>
      </c>
      <c r="CA766" s="14" t="s">
        <v>179</v>
      </c>
      <c r="CB766" s="14" t="s">
        <v>16104</v>
      </c>
      <c r="CC766" s="15"/>
      <c r="CD766" s="15"/>
      <c r="CE766" s="15"/>
      <c r="CF766" s="15"/>
      <c r="CG766" s="19"/>
      <c r="CH766" s="15"/>
      <c r="CI766" s="19"/>
      <c r="CJ766" s="15"/>
      <c r="CK766" s="19"/>
      <c r="CL766" s="15"/>
      <c r="CM766" s="19"/>
      <c r="CN766" s="15"/>
      <c r="CO766" s="19"/>
      <c r="CP766" s="15"/>
      <c r="CQ766" s="15"/>
      <c r="CR766" s="15"/>
      <c r="CS766" s="19"/>
      <c r="CT766" s="15"/>
      <c r="CU766" s="19"/>
      <c r="CV766" s="15"/>
      <c r="CW766" s="19"/>
      <c r="CX766" s="15"/>
      <c r="CY766" s="19"/>
      <c r="CZ766" s="15"/>
      <c r="DA766" s="16" t="s">
        <v>197</v>
      </c>
      <c r="DB766" s="17" t="s">
        <v>228</v>
      </c>
      <c r="DC766" s="16"/>
      <c r="DD766" s="17" t="s">
        <v>198</v>
      </c>
      <c r="DE766" s="18">
        <v>45693.689155092594</v>
      </c>
      <c r="DF766" s="17" t="s">
        <v>198</v>
      </c>
      <c r="DG766" s="18">
        <v>45693.689155092594</v>
      </c>
      <c r="DH766" s="13" t="s">
        <v>205</v>
      </c>
      <c r="DI766" s="14" t="s">
        <v>179</v>
      </c>
      <c r="DJ766" s="14" t="s">
        <v>16105</v>
      </c>
      <c r="DK766" s="14" t="s">
        <v>179</v>
      </c>
      <c r="DL766" s="14" t="s">
        <v>16106</v>
      </c>
      <c r="DM766" s="15"/>
      <c r="DN766" s="15"/>
      <c r="DO766" s="15"/>
      <c r="DP766" s="15"/>
      <c r="DQ766" s="15"/>
      <c r="DR766" s="15"/>
      <c r="DS766" s="15"/>
      <c r="DT766" s="15"/>
      <c r="DU766" s="15"/>
      <c r="DV766" s="15"/>
      <c r="DW766" s="15"/>
      <c r="DX766" s="15"/>
      <c r="DY766" s="15"/>
      <c r="DZ766" s="15"/>
      <c r="EA766" s="15"/>
      <c r="EB766" s="15"/>
      <c r="EC766" s="16" t="s">
        <v>197</v>
      </c>
      <c r="ED766" s="17" t="s">
        <v>198</v>
      </c>
      <c r="EE766" s="18">
        <v>45707.39538194444</v>
      </c>
      <c r="EF766" s="13" t="s">
        <v>209</v>
      </c>
      <c r="EG766" s="14" t="s">
        <v>179</v>
      </c>
      <c r="EH766" s="14" t="s">
        <v>16107</v>
      </c>
      <c r="EI766" s="14" t="s">
        <v>179</v>
      </c>
      <c r="EJ766" s="14" t="s">
        <v>16107</v>
      </c>
      <c r="EK766" s="15"/>
      <c r="EL766" s="15"/>
      <c r="EM766" s="15"/>
      <c r="EN766" s="15"/>
      <c r="EO766" s="15"/>
      <c r="EP766" s="15"/>
      <c r="EQ766" s="15"/>
      <c r="ER766" s="15"/>
      <c r="ES766" s="15"/>
      <c r="ET766" s="15"/>
      <c r="EU766" s="15"/>
      <c r="EV766" s="15"/>
      <c r="EW766" s="15"/>
      <c r="EX766" s="15"/>
      <c r="EY766" s="15"/>
      <c r="EZ766" s="15"/>
      <c r="FA766" s="15"/>
      <c r="FB766" s="15"/>
      <c r="FC766" s="16" t="s">
        <v>197</v>
      </c>
      <c r="FD766" s="17" t="s">
        <v>198</v>
      </c>
      <c r="FE766" s="18">
        <v>45723.28673611111</v>
      </c>
      <c r="FF766" s="19"/>
      <c r="FG766" s="19"/>
      <c r="FH766" s="21" t="s">
        <v>197</v>
      </c>
      <c r="FI766" s="17" t="s">
        <v>214</v>
      </c>
      <c r="FJ766" s="18">
        <v>45723.28673611111</v>
      </c>
      <c r="FK766" s="14" t="s">
        <v>16107</v>
      </c>
      <c r="FL766" s="14" t="s">
        <v>16108</v>
      </c>
      <c r="FM766" s="14" t="s">
        <v>16109</v>
      </c>
      <c r="FN766" s="19"/>
      <c r="FO766" s="19"/>
      <c r="FP766" s="19" t="str">
        <f t="shared" si="1"/>
        <v>Base de Dados_Images/TIT20035.Imagem do Equipamento-.140924.jpg</v>
      </c>
      <c r="FQ766" s="19"/>
      <c r="FR766" s="19"/>
    </row>
    <row r="767" ht="15.75" customHeight="1">
      <c r="A767" s="12" t="s">
        <v>174</v>
      </c>
      <c r="B767" s="12" t="s">
        <v>13322</v>
      </c>
      <c r="C767" s="24" t="s">
        <v>375</v>
      </c>
      <c r="D767" s="22" t="s">
        <v>16110</v>
      </c>
      <c r="E767" s="22" t="s">
        <v>16111</v>
      </c>
      <c r="F767" s="13" t="s">
        <v>178</v>
      </c>
      <c r="G767" s="14" t="s">
        <v>179</v>
      </c>
      <c r="H767" s="14" t="s">
        <v>16112</v>
      </c>
      <c r="I767" s="14" t="s">
        <v>179</v>
      </c>
      <c r="J767" s="14" t="s">
        <v>16113</v>
      </c>
      <c r="K767" s="14" t="s">
        <v>179</v>
      </c>
      <c r="L767" s="14" t="s">
        <v>16114</v>
      </c>
      <c r="M767" s="14" t="s">
        <v>179</v>
      </c>
      <c r="N767" s="14" t="s">
        <v>16115</v>
      </c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6" t="s">
        <v>197</v>
      </c>
      <c r="BP767" s="17" t="s">
        <v>198</v>
      </c>
      <c r="BQ767" s="18">
        <v>45686.45638888889</v>
      </c>
      <c r="BR767" s="17" t="s">
        <v>198</v>
      </c>
      <c r="BS767" s="18">
        <v>45686.45648148148</v>
      </c>
      <c r="BT767" s="17" t="s">
        <v>198</v>
      </c>
      <c r="BU767" s="18">
        <v>45686.45648148148</v>
      </c>
      <c r="BV767" s="13" t="s">
        <v>199</v>
      </c>
      <c r="BW767" s="14" t="s">
        <v>179</v>
      </c>
      <c r="BX767" s="14" t="s">
        <v>16116</v>
      </c>
      <c r="BY767" s="14" t="s">
        <v>179</v>
      </c>
      <c r="BZ767" s="14" t="s">
        <v>16117</v>
      </c>
      <c r="CA767" s="14" t="s">
        <v>179</v>
      </c>
      <c r="CB767" s="14" t="s">
        <v>16117</v>
      </c>
      <c r="CC767" s="15"/>
      <c r="CD767" s="15"/>
      <c r="CE767" s="15"/>
      <c r="CF767" s="15"/>
      <c r="CG767" s="19"/>
      <c r="CH767" s="15"/>
      <c r="CI767" s="19"/>
      <c r="CJ767" s="15"/>
      <c r="CK767" s="19"/>
      <c r="CL767" s="15"/>
      <c r="CM767" s="19"/>
      <c r="CN767" s="15"/>
      <c r="CO767" s="19"/>
      <c r="CP767" s="15"/>
      <c r="CQ767" s="15"/>
      <c r="CR767" s="15"/>
      <c r="CS767" s="19"/>
      <c r="CT767" s="15"/>
      <c r="CU767" s="19"/>
      <c r="CV767" s="15"/>
      <c r="CW767" s="19"/>
      <c r="CX767" s="15"/>
      <c r="CY767" s="19"/>
      <c r="CZ767" s="15"/>
      <c r="DA767" s="16" t="s">
        <v>197</v>
      </c>
      <c r="DB767" s="17" t="s">
        <v>228</v>
      </c>
      <c r="DC767" s="16"/>
      <c r="DD767" s="17" t="s">
        <v>198</v>
      </c>
      <c r="DE767" s="18">
        <v>45693.6890162037</v>
      </c>
      <c r="DF767" s="17" t="s">
        <v>198</v>
      </c>
      <c r="DG767" s="18">
        <v>45693.6890162037</v>
      </c>
      <c r="DH767" s="13" t="s">
        <v>205</v>
      </c>
      <c r="DI767" s="14" t="s">
        <v>179</v>
      </c>
      <c r="DJ767" s="14" t="s">
        <v>16118</v>
      </c>
      <c r="DK767" s="14" t="s">
        <v>179</v>
      </c>
      <c r="DL767" s="14" t="s">
        <v>16119</v>
      </c>
      <c r="DM767" s="15"/>
      <c r="DN767" s="15"/>
      <c r="DO767" s="15"/>
      <c r="DP767" s="15"/>
      <c r="DQ767" s="15"/>
      <c r="DR767" s="15"/>
      <c r="DS767" s="15"/>
      <c r="DT767" s="15"/>
      <c r="DU767" s="15"/>
      <c r="DV767" s="15"/>
      <c r="DW767" s="15"/>
      <c r="DX767" s="15"/>
      <c r="DY767" s="15"/>
      <c r="DZ767" s="15"/>
      <c r="EA767" s="15"/>
      <c r="EB767" s="15"/>
      <c r="EC767" s="16" t="s">
        <v>197</v>
      </c>
      <c r="ED767" s="17" t="s">
        <v>198</v>
      </c>
      <c r="EE767" s="18">
        <v>45707.39564814815</v>
      </c>
      <c r="EF767" s="13" t="s">
        <v>209</v>
      </c>
      <c r="EG767" s="14" t="s">
        <v>179</v>
      </c>
      <c r="EH767" s="14" t="s">
        <v>16120</v>
      </c>
      <c r="EI767" s="14" t="s">
        <v>179</v>
      </c>
      <c r="EJ767" s="14" t="s">
        <v>16121</v>
      </c>
      <c r="EK767" s="15"/>
      <c r="EL767" s="15"/>
      <c r="EM767" s="15"/>
      <c r="EN767" s="15"/>
      <c r="EO767" s="15"/>
      <c r="EP767" s="15"/>
      <c r="EQ767" s="15"/>
      <c r="ER767" s="15"/>
      <c r="ES767" s="15"/>
      <c r="ET767" s="15"/>
      <c r="EU767" s="15"/>
      <c r="EV767" s="15"/>
      <c r="EW767" s="15"/>
      <c r="EX767" s="15"/>
      <c r="EY767" s="15"/>
      <c r="EZ767" s="15"/>
      <c r="FA767" s="15"/>
      <c r="FB767" s="15"/>
      <c r="FC767" s="16" t="s">
        <v>197</v>
      </c>
      <c r="FD767" s="17" t="s">
        <v>198</v>
      </c>
      <c r="FE767" s="18">
        <v>45723.28681712963</v>
      </c>
      <c r="FF767" s="19"/>
      <c r="FG767" s="19"/>
      <c r="FH767" s="21" t="s">
        <v>197</v>
      </c>
      <c r="FI767" s="17" t="s">
        <v>214</v>
      </c>
      <c r="FJ767" s="18">
        <v>45723.28681712963</v>
      </c>
      <c r="FK767" s="14" t="s">
        <v>16120</v>
      </c>
      <c r="FL767" s="14" t="s">
        <v>16122</v>
      </c>
      <c r="FM767" s="14" t="s">
        <v>16123</v>
      </c>
      <c r="FN767" s="19"/>
      <c r="FO767" s="19"/>
      <c r="FP767" s="19" t="str">
        <f t="shared" si="1"/>
        <v>Base de Dados_Images/TIT20036.Imagem do Equipamento-.140944.jpg</v>
      </c>
      <c r="FQ767" s="19"/>
      <c r="FR767" s="19"/>
    </row>
    <row r="768" ht="15.75" customHeight="1">
      <c r="A768" s="12" t="s">
        <v>174</v>
      </c>
      <c r="B768" s="22" t="s">
        <v>1192</v>
      </c>
      <c r="C768" s="24" t="s">
        <v>375</v>
      </c>
      <c r="D768" s="22" t="s">
        <v>16124</v>
      </c>
      <c r="E768" s="22" t="s">
        <v>16125</v>
      </c>
      <c r="F768" s="13" t="s">
        <v>178</v>
      </c>
      <c r="G768" s="14" t="s">
        <v>179</v>
      </c>
      <c r="H768" s="14" t="s">
        <v>16126</v>
      </c>
      <c r="I768" s="14" t="s">
        <v>179</v>
      </c>
      <c r="J768" s="14" t="s">
        <v>16127</v>
      </c>
      <c r="K768" s="14" t="s">
        <v>179</v>
      </c>
      <c r="L768" s="14" t="s">
        <v>16128</v>
      </c>
      <c r="M768" s="14" t="s">
        <v>179</v>
      </c>
      <c r="N768" s="14" t="s">
        <v>16129</v>
      </c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6" t="s">
        <v>197</v>
      </c>
      <c r="BP768" s="17" t="s">
        <v>198</v>
      </c>
      <c r="BQ768" s="18">
        <v>45686.45346064815</v>
      </c>
      <c r="BR768" s="17" t="s">
        <v>198</v>
      </c>
      <c r="BS768" s="18">
        <v>45686.453564814816</v>
      </c>
      <c r="BT768" s="17" t="s">
        <v>198</v>
      </c>
      <c r="BU768" s="18">
        <v>45686.453564814816</v>
      </c>
      <c r="BV768" s="13" t="s">
        <v>199</v>
      </c>
      <c r="BW768" s="14" t="s">
        <v>179</v>
      </c>
      <c r="BX768" s="14" t="s">
        <v>16130</v>
      </c>
      <c r="BY768" s="14" t="s">
        <v>179</v>
      </c>
      <c r="BZ768" s="14" t="s">
        <v>16131</v>
      </c>
      <c r="CA768" s="14" t="s">
        <v>179</v>
      </c>
      <c r="CB768" s="14" t="s">
        <v>16132</v>
      </c>
      <c r="CC768" s="15"/>
      <c r="CD768" s="15"/>
      <c r="CE768" s="15"/>
      <c r="CF768" s="15"/>
      <c r="CG768" s="19"/>
      <c r="CH768" s="15"/>
      <c r="CI768" s="19"/>
      <c r="CJ768" s="15"/>
      <c r="CK768" s="19"/>
      <c r="CL768" s="15"/>
      <c r="CM768" s="19"/>
      <c r="CN768" s="15"/>
      <c r="CO768" s="19"/>
      <c r="CP768" s="15"/>
      <c r="CQ768" s="15"/>
      <c r="CR768" s="15"/>
      <c r="CS768" s="19"/>
      <c r="CT768" s="15"/>
      <c r="CU768" s="19"/>
      <c r="CV768" s="15"/>
      <c r="CW768" s="19"/>
      <c r="CX768" s="15"/>
      <c r="CY768" s="19"/>
      <c r="CZ768" s="15"/>
      <c r="DA768" s="16" t="s">
        <v>197</v>
      </c>
      <c r="DB768" s="17" t="s">
        <v>228</v>
      </c>
      <c r="DC768" s="16"/>
      <c r="DD768" s="17" t="s">
        <v>198</v>
      </c>
      <c r="DE768" s="18">
        <v>45694.46454861111</v>
      </c>
      <c r="DF768" s="17" t="s">
        <v>198</v>
      </c>
      <c r="DG768" s="18">
        <v>45694.46454861111</v>
      </c>
      <c r="DH768" s="13" t="s">
        <v>205</v>
      </c>
      <c r="DI768" s="14" t="s">
        <v>179</v>
      </c>
      <c r="DJ768" s="14" t="s">
        <v>16133</v>
      </c>
      <c r="DK768" s="14" t="s">
        <v>179</v>
      </c>
      <c r="DL768" s="14" t="s">
        <v>16134</v>
      </c>
      <c r="DM768" s="15"/>
      <c r="DN768" s="15"/>
      <c r="DO768" s="15"/>
      <c r="DP768" s="15"/>
      <c r="DQ768" s="15"/>
      <c r="DR768" s="15"/>
      <c r="DS768" s="15"/>
      <c r="DT768" s="15"/>
      <c r="DU768" s="15"/>
      <c r="DV768" s="15"/>
      <c r="DW768" s="15"/>
      <c r="DX768" s="15"/>
      <c r="DY768" s="15"/>
      <c r="DZ768" s="15"/>
      <c r="EA768" s="15"/>
      <c r="EB768" s="15"/>
      <c r="EC768" s="16" t="s">
        <v>197</v>
      </c>
      <c r="ED768" s="17" t="s">
        <v>198</v>
      </c>
      <c r="EE768" s="18">
        <v>45708.352858796294</v>
      </c>
      <c r="EF768" s="13" t="s">
        <v>209</v>
      </c>
      <c r="EG768" s="14" t="s">
        <v>179</v>
      </c>
      <c r="EH768" s="14" t="s">
        <v>16135</v>
      </c>
      <c r="EI768" s="14" t="s">
        <v>179</v>
      </c>
      <c r="EJ768" s="14" t="s">
        <v>16136</v>
      </c>
      <c r="EK768" s="15"/>
      <c r="EL768" s="15"/>
      <c r="EM768" s="15"/>
      <c r="EN768" s="15"/>
      <c r="EO768" s="15"/>
      <c r="EP768" s="15"/>
      <c r="EQ768" s="15"/>
      <c r="ER768" s="15"/>
      <c r="ES768" s="15"/>
      <c r="ET768" s="15"/>
      <c r="EU768" s="15"/>
      <c r="EV768" s="15"/>
      <c r="EW768" s="15"/>
      <c r="EX768" s="15"/>
      <c r="EY768" s="15"/>
      <c r="EZ768" s="15"/>
      <c r="FA768" s="15"/>
      <c r="FB768" s="15"/>
      <c r="FC768" s="16" t="s">
        <v>197</v>
      </c>
      <c r="FD768" s="17" t="s">
        <v>198</v>
      </c>
      <c r="FE768" s="18">
        <v>45723.281435185185</v>
      </c>
      <c r="FF768" s="19"/>
      <c r="FG768" s="19"/>
      <c r="FH768" s="21" t="s">
        <v>197</v>
      </c>
      <c r="FI768" s="17" t="s">
        <v>214</v>
      </c>
      <c r="FJ768" s="18">
        <v>45723.281435185185</v>
      </c>
      <c r="FK768" s="14" t="s">
        <v>16136</v>
      </c>
      <c r="FL768" s="14" t="s">
        <v>16137</v>
      </c>
      <c r="FM768" s="14" t="s">
        <v>16138</v>
      </c>
      <c r="FN768" s="19"/>
      <c r="FO768" s="19"/>
      <c r="FP768" s="19" t="str">
        <f t="shared" si="1"/>
        <v>Base de Dados_Images/TIT20040.Imagem do Equipamento-.141014.jpg</v>
      </c>
      <c r="FQ768" s="19"/>
      <c r="FR768" s="19"/>
    </row>
    <row r="769" ht="15.75" customHeight="1">
      <c r="A769" s="12" t="s">
        <v>174</v>
      </c>
      <c r="B769" s="22" t="s">
        <v>1192</v>
      </c>
      <c r="C769" s="24" t="s">
        <v>375</v>
      </c>
      <c r="D769" s="22" t="s">
        <v>16139</v>
      </c>
      <c r="E769" s="22" t="s">
        <v>16140</v>
      </c>
      <c r="F769" s="13" t="s">
        <v>178</v>
      </c>
      <c r="G769" s="14" t="s">
        <v>179</v>
      </c>
      <c r="H769" s="14" t="s">
        <v>16141</v>
      </c>
      <c r="I769" s="14" t="s">
        <v>179</v>
      </c>
      <c r="J769" s="14" t="s">
        <v>16142</v>
      </c>
      <c r="K769" s="14" t="s">
        <v>179</v>
      </c>
      <c r="L769" s="14" t="s">
        <v>16143</v>
      </c>
      <c r="M769" s="14" t="s">
        <v>179</v>
      </c>
      <c r="N769" s="14" t="s">
        <v>16144</v>
      </c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6" t="s">
        <v>197</v>
      </c>
      <c r="BP769" s="17" t="s">
        <v>198</v>
      </c>
      <c r="BQ769" s="18">
        <v>45686.48800925926</v>
      </c>
      <c r="BR769" s="17" t="s">
        <v>198</v>
      </c>
      <c r="BS769" s="18">
        <v>45686.48805555556</v>
      </c>
      <c r="BT769" s="17" t="s">
        <v>198</v>
      </c>
      <c r="BU769" s="18">
        <v>45686.48805555556</v>
      </c>
      <c r="BV769" s="13" t="s">
        <v>199</v>
      </c>
      <c r="BW769" s="14" t="s">
        <v>179</v>
      </c>
      <c r="BX769" s="14" t="s">
        <v>16145</v>
      </c>
      <c r="BY769" s="14" t="s">
        <v>179</v>
      </c>
      <c r="BZ769" s="14" t="s">
        <v>16146</v>
      </c>
      <c r="CA769" s="14" t="s">
        <v>179</v>
      </c>
      <c r="CB769" s="14" t="s">
        <v>16147</v>
      </c>
      <c r="CC769" s="15"/>
      <c r="CD769" s="15"/>
      <c r="CE769" s="15"/>
      <c r="CF769" s="15"/>
      <c r="CG769" s="19"/>
      <c r="CH769" s="15"/>
      <c r="CI769" s="19"/>
      <c r="CJ769" s="15"/>
      <c r="CK769" s="19"/>
      <c r="CL769" s="15"/>
      <c r="CM769" s="19"/>
      <c r="CN769" s="15"/>
      <c r="CO769" s="19"/>
      <c r="CP769" s="15"/>
      <c r="CQ769" s="15"/>
      <c r="CR769" s="15"/>
      <c r="CS769" s="19"/>
      <c r="CT769" s="15"/>
      <c r="CU769" s="19"/>
      <c r="CV769" s="15"/>
      <c r="CW769" s="19"/>
      <c r="CX769" s="15"/>
      <c r="CY769" s="19"/>
      <c r="CZ769" s="15"/>
      <c r="DA769" s="16" t="s">
        <v>197</v>
      </c>
      <c r="DB769" s="17" t="s">
        <v>228</v>
      </c>
      <c r="DC769" s="16"/>
      <c r="DD769" s="17" t="s">
        <v>198</v>
      </c>
      <c r="DE769" s="18">
        <v>45694.47012731482</v>
      </c>
      <c r="DF769" s="17" t="s">
        <v>198</v>
      </c>
      <c r="DG769" s="18">
        <v>45694.47012731482</v>
      </c>
      <c r="DH769" s="13" t="s">
        <v>205</v>
      </c>
      <c r="DI769" s="14" t="s">
        <v>179</v>
      </c>
      <c r="DJ769" s="14" t="s">
        <v>16148</v>
      </c>
      <c r="DK769" s="14" t="s">
        <v>179</v>
      </c>
      <c r="DL769" s="14" t="s">
        <v>16149</v>
      </c>
      <c r="DM769" s="15"/>
      <c r="DN769" s="15"/>
      <c r="DO769" s="15"/>
      <c r="DP769" s="15"/>
      <c r="DQ769" s="15"/>
      <c r="DR769" s="15"/>
      <c r="DS769" s="15"/>
      <c r="DT769" s="15"/>
      <c r="DU769" s="15"/>
      <c r="DV769" s="15"/>
      <c r="DW769" s="15"/>
      <c r="DX769" s="15"/>
      <c r="DY769" s="15"/>
      <c r="DZ769" s="15"/>
      <c r="EA769" s="15"/>
      <c r="EB769" s="15"/>
      <c r="EC769" s="16" t="s">
        <v>197</v>
      </c>
      <c r="ED769" s="17" t="s">
        <v>198</v>
      </c>
      <c r="EE769" s="18">
        <v>45708.351956018516</v>
      </c>
      <c r="EF769" s="13" t="s">
        <v>209</v>
      </c>
      <c r="EG769" s="14" t="s">
        <v>179</v>
      </c>
      <c r="EH769" s="14" t="s">
        <v>16150</v>
      </c>
      <c r="EI769" s="14" t="s">
        <v>179</v>
      </c>
      <c r="EJ769" s="14" t="s">
        <v>16151</v>
      </c>
      <c r="EK769" s="15"/>
      <c r="EL769" s="15"/>
      <c r="EM769" s="15"/>
      <c r="EN769" s="15"/>
      <c r="EO769" s="15"/>
      <c r="EP769" s="15"/>
      <c r="EQ769" s="15"/>
      <c r="ER769" s="15"/>
      <c r="ES769" s="15"/>
      <c r="ET769" s="15"/>
      <c r="EU769" s="15"/>
      <c r="EV769" s="15"/>
      <c r="EW769" s="15"/>
      <c r="EX769" s="15"/>
      <c r="EY769" s="15"/>
      <c r="EZ769" s="15"/>
      <c r="FA769" s="15"/>
      <c r="FB769" s="15"/>
      <c r="FC769" s="16" t="s">
        <v>197</v>
      </c>
      <c r="FD769" s="17" t="s">
        <v>198</v>
      </c>
      <c r="FE769" s="18">
        <v>45723.2815162037</v>
      </c>
      <c r="FF769" s="19"/>
      <c r="FG769" s="19"/>
      <c r="FH769" s="21" t="s">
        <v>197</v>
      </c>
      <c r="FI769" s="17" t="s">
        <v>214</v>
      </c>
      <c r="FJ769" s="18">
        <v>45723.2815162037</v>
      </c>
      <c r="FK769" s="14" t="s">
        <v>16151</v>
      </c>
      <c r="FL769" s="14" t="s">
        <v>16152</v>
      </c>
      <c r="FM769" s="14" t="s">
        <v>16153</v>
      </c>
      <c r="FN769" s="19"/>
      <c r="FO769" s="19"/>
      <c r="FP769" s="19" t="str">
        <f t="shared" si="1"/>
        <v>Base de Dados_Images/TIT20045.Imagem do Equipamento-.154713.jpg</v>
      </c>
      <c r="FQ769" s="19"/>
      <c r="FR769" s="19"/>
    </row>
    <row r="770" ht="15.75" customHeight="1">
      <c r="A770" s="12" t="s">
        <v>174</v>
      </c>
      <c r="B770" s="22" t="s">
        <v>1192</v>
      </c>
      <c r="C770" s="24" t="s">
        <v>375</v>
      </c>
      <c r="D770" s="22" t="s">
        <v>16154</v>
      </c>
      <c r="E770" s="22" t="s">
        <v>16155</v>
      </c>
      <c r="F770" s="13" t="s">
        <v>178</v>
      </c>
      <c r="G770" s="14" t="s">
        <v>179</v>
      </c>
      <c r="H770" s="14" t="s">
        <v>16156</v>
      </c>
      <c r="I770" s="14" t="s">
        <v>179</v>
      </c>
      <c r="J770" s="14" t="s">
        <v>16157</v>
      </c>
      <c r="K770" s="14" t="s">
        <v>179</v>
      </c>
      <c r="L770" s="14" t="s">
        <v>16158</v>
      </c>
      <c r="M770" s="14" t="s">
        <v>179</v>
      </c>
      <c r="N770" s="14" t="s">
        <v>16159</v>
      </c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6" t="s">
        <v>197</v>
      </c>
      <c r="BP770" s="17" t="s">
        <v>198</v>
      </c>
      <c r="BQ770" s="18">
        <v>45686.45091435185</v>
      </c>
      <c r="BR770" s="17" t="s">
        <v>198</v>
      </c>
      <c r="BS770" s="18">
        <v>45686.45097222222</v>
      </c>
      <c r="BT770" s="17" t="s">
        <v>198</v>
      </c>
      <c r="BU770" s="18">
        <v>45686.45097222222</v>
      </c>
      <c r="BV770" s="13" t="s">
        <v>199</v>
      </c>
      <c r="BW770" s="14" t="s">
        <v>179</v>
      </c>
      <c r="BX770" s="14" t="s">
        <v>16160</v>
      </c>
      <c r="BY770" s="14" t="s">
        <v>179</v>
      </c>
      <c r="BZ770" s="14" t="s">
        <v>16161</v>
      </c>
      <c r="CA770" s="14" t="s">
        <v>179</v>
      </c>
      <c r="CB770" s="14" t="s">
        <v>16162</v>
      </c>
      <c r="CC770" s="15"/>
      <c r="CD770" s="15"/>
      <c r="CE770" s="15"/>
      <c r="CF770" s="15"/>
      <c r="CG770" s="19"/>
      <c r="CH770" s="15"/>
      <c r="CI770" s="19"/>
      <c r="CJ770" s="15"/>
      <c r="CK770" s="19"/>
      <c r="CL770" s="15"/>
      <c r="CM770" s="19"/>
      <c r="CN770" s="15"/>
      <c r="CO770" s="19"/>
      <c r="CP770" s="15"/>
      <c r="CQ770" s="15"/>
      <c r="CR770" s="15"/>
      <c r="CS770" s="19"/>
      <c r="CT770" s="15"/>
      <c r="CU770" s="19"/>
      <c r="CV770" s="15"/>
      <c r="CW770" s="19"/>
      <c r="CX770" s="15"/>
      <c r="CY770" s="19"/>
      <c r="CZ770" s="15"/>
      <c r="DA770" s="16" t="s">
        <v>197</v>
      </c>
      <c r="DB770" s="17" t="s">
        <v>228</v>
      </c>
      <c r="DC770" s="16"/>
      <c r="DD770" s="17" t="s">
        <v>198</v>
      </c>
      <c r="DE770" s="18">
        <v>45694.47188657407</v>
      </c>
      <c r="DF770" s="17" t="s">
        <v>198</v>
      </c>
      <c r="DG770" s="18">
        <v>45694.47188657407</v>
      </c>
      <c r="DH770" s="13" t="s">
        <v>205</v>
      </c>
      <c r="DI770" s="14" t="s">
        <v>179</v>
      </c>
      <c r="DJ770" s="14" t="s">
        <v>16163</v>
      </c>
      <c r="DK770" s="14" t="s">
        <v>179</v>
      </c>
      <c r="DL770" s="14" t="s">
        <v>16164</v>
      </c>
      <c r="DM770" s="15"/>
      <c r="DN770" s="15"/>
      <c r="DO770" s="15"/>
      <c r="DP770" s="15"/>
      <c r="DQ770" s="15"/>
      <c r="DR770" s="15"/>
      <c r="DS770" s="15"/>
      <c r="DT770" s="15"/>
      <c r="DU770" s="15"/>
      <c r="DV770" s="15"/>
      <c r="DW770" s="15"/>
      <c r="DX770" s="15"/>
      <c r="DY770" s="15"/>
      <c r="DZ770" s="15"/>
      <c r="EA770" s="15"/>
      <c r="EB770" s="15"/>
      <c r="EC770" s="16" t="s">
        <v>197</v>
      </c>
      <c r="ED770" s="17" t="s">
        <v>198</v>
      </c>
      <c r="EE770" s="18">
        <v>45708.35104166667</v>
      </c>
      <c r="EF770" s="13" t="s">
        <v>209</v>
      </c>
      <c r="EG770" s="14" t="s">
        <v>179</v>
      </c>
      <c r="EH770" s="14" t="s">
        <v>16165</v>
      </c>
      <c r="EI770" s="14" t="s">
        <v>179</v>
      </c>
      <c r="EJ770" s="14" t="s">
        <v>16165</v>
      </c>
      <c r="EK770" s="15"/>
      <c r="EL770" s="15"/>
      <c r="EM770" s="15"/>
      <c r="EN770" s="15"/>
      <c r="EO770" s="15"/>
      <c r="EP770" s="15"/>
      <c r="EQ770" s="15"/>
      <c r="ER770" s="15"/>
      <c r="ES770" s="15"/>
      <c r="ET770" s="15"/>
      <c r="EU770" s="15"/>
      <c r="EV770" s="15"/>
      <c r="EW770" s="15"/>
      <c r="EX770" s="15"/>
      <c r="EY770" s="15"/>
      <c r="EZ770" s="15"/>
      <c r="FA770" s="15"/>
      <c r="FB770" s="15"/>
      <c r="FC770" s="16" t="s">
        <v>197</v>
      </c>
      <c r="FD770" s="17" t="s">
        <v>198</v>
      </c>
      <c r="FE770" s="18">
        <v>45723.281643518516</v>
      </c>
      <c r="FF770" s="19"/>
      <c r="FG770" s="19"/>
      <c r="FH770" s="21" t="s">
        <v>197</v>
      </c>
      <c r="FI770" s="17" t="s">
        <v>214</v>
      </c>
      <c r="FJ770" s="18">
        <v>45723.281643518516</v>
      </c>
      <c r="FK770" s="14" t="s">
        <v>16165</v>
      </c>
      <c r="FL770" s="14" t="s">
        <v>16166</v>
      </c>
      <c r="FM770" s="14" t="s">
        <v>16167</v>
      </c>
      <c r="FN770" s="19"/>
      <c r="FO770" s="19"/>
      <c r="FP770" s="19" t="str">
        <f t="shared" si="1"/>
        <v>Base de Dados_Images/TIT20046.Imagem do Equipamento-.140519.jpg</v>
      </c>
      <c r="FQ770" s="19"/>
      <c r="FR770" s="19"/>
    </row>
    <row r="771" ht="15.75" customHeight="1">
      <c r="A771" s="12" t="s">
        <v>174</v>
      </c>
      <c r="B771" s="22" t="s">
        <v>1192</v>
      </c>
      <c r="C771" s="24" t="s">
        <v>375</v>
      </c>
      <c r="D771" s="22" t="s">
        <v>16168</v>
      </c>
      <c r="E771" s="22" t="s">
        <v>16169</v>
      </c>
      <c r="F771" s="13" t="s">
        <v>178</v>
      </c>
      <c r="G771" s="14" t="s">
        <v>179</v>
      </c>
      <c r="H771" s="14" t="s">
        <v>16170</v>
      </c>
      <c r="I771" s="14" t="s">
        <v>179</v>
      </c>
      <c r="J771" s="14" t="s">
        <v>16171</v>
      </c>
      <c r="K771" s="14" t="s">
        <v>179</v>
      </c>
      <c r="L771" s="14" t="s">
        <v>16172</v>
      </c>
      <c r="M771" s="14" t="s">
        <v>179</v>
      </c>
      <c r="N771" s="14" t="s">
        <v>16173</v>
      </c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6" t="s">
        <v>197</v>
      </c>
      <c r="BP771" s="17" t="s">
        <v>198</v>
      </c>
      <c r="BQ771" s="18">
        <v>45686.451840277776</v>
      </c>
      <c r="BR771" s="17" t="s">
        <v>198</v>
      </c>
      <c r="BS771" s="18">
        <v>45686.4519212963</v>
      </c>
      <c r="BT771" s="17" t="s">
        <v>198</v>
      </c>
      <c r="BU771" s="18">
        <v>45686.4519212963</v>
      </c>
      <c r="BV771" s="13" t="s">
        <v>199</v>
      </c>
      <c r="BW771" s="14" t="s">
        <v>179</v>
      </c>
      <c r="BX771" s="14" t="s">
        <v>16174</v>
      </c>
      <c r="BY771" s="14" t="s">
        <v>179</v>
      </c>
      <c r="BZ771" s="14" t="s">
        <v>16175</v>
      </c>
      <c r="CA771" s="14" t="s">
        <v>179</v>
      </c>
      <c r="CB771" s="14" t="s">
        <v>16176</v>
      </c>
      <c r="CC771" s="15"/>
      <c r="CD771" s="15"/>
      <c r="CE771" s="15"/>
      <c r="CF771" s="15"/>
      <c r="CG771" s="19"/>
      <c r="CH771" s="15"/>
      <c r="CI771" s="19"/>
      <c r="CJ771" s="15"/>
      <c r="CK771" s="19"/>
      <c r="CL771" s="15"/>
      <c r="CM771" s="19"/>
      <c r="CN771" s="15"/>
      <c r="CO771" s="19"/>
      <c r="CP771" s="15"/>
      <c r="CQ771" s="15"/>
      <c r="CR771" s="15"/>
      <c r="CS771" s="19"/>
      <c r="CT771" s="15"/>
      <c r="CU771" s="19"/>
      <c r="CV771" s="15"/>
      <c r="CW771" s="19"/>
      <c r="CX771" s="15"/>
      <c r="CY771" s="19"/>
      <c r="CZ771" s="15"/>
      <c r="DA771" s="16" t="s">
        <v>197</v>
      </c>
      <c r="DB771" s="17" t="s">
        <v>228</v>
      </c>
      <c r="DC771" s="16"/>
      <c r="DD771" s="17" t="s">
        <v>198</v>
      </c>
      <c r="DE771" s="18">
        <v>45694.47173611111</v>
      </c>
      <c r="DF771" s="17" t="s">
        <v>198</v>
      </c>
      <c r="DG771" s="18">
        <v>45694.47173611111</v>
      </c>
      <c r="DH771" s="13" t="s">
        <v>205</v>
      </c>
      <c r="DI771" s="14" t="s">
        <v>179</v>
      </c>
      <c r="DJ771" s="14" t="s">
        <v>16177</v>
      </c>
      <c r="DK771" s="14" t="s">
        <v>179</v>
      </c>
      <c r="DL771" s="14" t="s">
        <v>16178</v>
      </c>
      <c r="DM771" s="15"/>
      <c r="DN771" s="15"/>
      <c r="DO771" s="15"/>
      <c r="DP771" s="15"/>
      <c r="DQ771" s="15"/>
      <c r="DR771" s="15"/>
      <c r="DS771" s="15"/>
      <c r="DT771" s="15"/>
      <c r="DU771" s="15"/>
      <c r="DV771" s="15"/>
      <c r="DW771" s="15"/>
      <c r="DX771" s="15"/>
      <c r="DY771" s="15"/>
      <c r="DZ771" s="15"/>
      <c r="EA771" s="15"/>
      <c r="EB771" s="15"/>
      <c r="EC771" s="16" t="s">
        <v>197</v>
      </c>
      <c r="ED771" s="17" t="s">
        <v>198</v>
      </c>
      <c r="EE771" s="18">
        <v>45708.35082175926</v>
      </c>
      <c r="EF771" s="13" t="s">
        <v>209</v>
      </c>
      <c r="EG771" s="14" t="s">
        <v>179</v>
      </c>
      <c r="EH771" s="14" t="s">
        <v>16179</v>
      </c>
      <c r="EI771" s="14" t="s">
        <v>179</v>
      </c>
      <c r="EJ771" s="14" t="s">
        <v>16179</v>
      </c>
      <c r="EK771" s="15"/>
      <c r="EL771" s="15"/>
      <c r="EM771" s="15"/>
      <c r="EN771" s="15"/>
      <c r="EO771" s="15"/>
      <c r="EP771" s="15"/>
      <c r="EQ771" s="15"/>
      <c r="ER771" s="15"/>
      <c r="ES771" s="15"/>
      <c r="ET771" s="15"/>
      <c r="EU771" s="15"/>
      <c r="EV771" s="15"/>
      <c r="EW771" s="15"/>
      <c r="EX771" s="15"/>
      <c r="EY771" s="15"/>
      <c r="EZ771" s="15"/>
      <c r="FA771" s="15"/>
      <c r="FB771" s="15"/>
      <c r="FC771" s="16" t="s">
        <v>197</v>
      </c>
      <c r="FD771" s="17" t="s">
        <v>198</v>
      </c>
      <c r="FE771" s="18">
        <v>45723.28177083333</v>
      </c>
      <c r="FF771" s="19"/>
      <c r="FG771" s="19"/>
      <c r="FH771" s="21" t="s">
        <v>197</v>
      </c>
      <c r="FI771" s="17" t="s">
        <v>214</v>
      </c>
      <c r="FJ771" s="18">
        <v>45723.28177083333</v>
      </c>
      <c r="FK771" s="14" t="s">
        <v>16179</v>
      </c>
      <c r="FL771" s="14" t="s">
        <v>16180</v>
      </c>
      <c r="FM771" s="14" t="s">
        <v>16181</v>
      </c>
      <c r="FN771" s="19"/>
      <c r="FO771" s="19"/>
      <c r="FP771" s="19" t="str">
        <f t="shared" si="1"/>
        <v>Base de Dados_Images/TIT20047.Imagem do Equipamento-.140946.jpg</v>
      </c>
      <c r="FQ771" s="19"/>
      <c r="FR771" s="19"/>
    </row>
    <row r="772" ht="15.75" customHeight="1">
      <c r="A772" s="12" t="s">
        <v>174</v>
      </c>
      <c r="B772" s="22" t="s">
        <v>1192</v>
      </c>
      <c r="C772" s="24" t="s">
        <v>375</v>
      </c>
      <c r="D772" s="22" t="s">
        <v>16182</v>
      </c>
      <c r="E772" s="22" t="s">
        <v>16183</v>
      </c>
      <c r="F772" s="13" t="s">
        <v>178</v>
      </c>
      <c r="G772" s="14" t="s">
        <v>179</v>
      </c>
      <c r="H772" s="14" t="s">
        <v>16184</v>
      </c>
      <c r="I772" s="14" t="s">
        <v>179</v>
      </c>
      <c r="J772" s="14" t="s">
        <v>16185</v>
      </c>
      <c r="K772" s="14" t="s">
        <v>179</v>
      </c>
      <c r="L772" s="14" t="s">
        <v>16186</v>
      </c>
      <c r="M772" s="14" t="s">
        <v>179</v>
      </c>
      <c r="N772" s="14" t="s">
        <v>16187</v>
      </c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6" t="s">
        <v>197</v>
      </c>
      <c r="BP772" s="17" t="s">
        <v>198</v>
      </c>
      <c r="BQ772" s="18">
        <v>45686.451273148145</v>
      </c>
      <c r="BR772" s="17" t="s">
        <v>198</v>
      </c>
      <c r="BS772" s="18">
        <v>45686.45135416667</v>
      </c>
      <c r="BT772" s="17" t="s">
        <v>198</v>
      </c>
      <c r="BU772" s="18">
        <v>45686.45135416667</v>
      </c>
      <c r="BV772" s="13" t="s">
        <v>199</v>
      </c>
      <c r="BW772" s="14" t="s">
        <v>179</v>
      </c>
      <c r="BX772" s="14" t="s">
        <v>16188</v>
      </c>
      <c r="BY772" s="14" t="s">
        <v>179</v>
      </c>
      <c r="BZ772" s="14" t="s">
        <v>16189</v>
      </c>
      <c r="CA772" s="14" t="s">
        <v>179</v>
      </c>
      <c r="CB772" s="14" t="s">
        <v>16190</v>
      </c>
      <c r="CC772" s="15"/>
      <c r="CD772" s="15"/>
      <c r="CE772" s="15"/>
      <c r="CF772" s="15"/>
      <c r="CG772" s="19"/>
      <c r="CH772" s="15"/>
      <c r="CI772" s="19"/>
      <c r="CJ772" s="15"/>
      <c r="CK772" s="19"/>
      <c r="CL772" s="15"/>
      <c r="CM772" s="19"/>
      <c r="CN772" s="15"/>
      <c r="CO772" s="19"/>
      <c r="CP772" s="15"/>
      <c r="CQ772" s="15"/>
      <c r="CR772" s="15"/>
      <c r="CS772" s="19"/>
      <c r="CT772" s="15"/>
      <c r="CU772" s="19"/>
      <c r="CV772" s="15"/>
      <c r="CW772" s="19"/>
      <c r="CX772" s="15"/>
      <c r="CY772" s="19"/>
      <c r="CZ772" s="15"/>
      <c r="DA772" s="16" t="s">
        <v>197</v>
      </c>
      <c r="DB772" s="17" t="s">
        <v>228</v>
      </c>
      <c r="DC772" s="16"/>
      <c r="DD772" s="17" t="s">
        <v>198</v>
      </c>
      <c r="DE772" s="18">
        <v>45694.471400462964</v>
      </c>
      <c r="DF772" s="17" t="s">
        <v>198</v>
      </c>
      <c r="DG772" s="18">
        <v>45694.471400462964</v>
      </c>
      <c r="DH772" s="13" t="s">
        <v>205</v>
      </c>
      <c r="DI772" s="14" t="s">
        <v>179</v>
      </c>
      <c r="DJ772" s="14" t="s">
        <v>16191</v>
      </c>
      <c r="DK772" s="14" t="s">
        <v>179</v>
      </c>
      <c r="DL772" s="14" t="s">
        <v>16192</v>
      </c>
      <c r="DM772" s="15"/>
      <c r="DN772" s="15"/>
      <c r="DO772" s="15"/>
      <c r="DP772" s="15"/>
      <c r="DQ772" s="15"/>
      <c r="DR772" s="15"/>
      <c r="DS772" s="15"/>
      <c r="DT772" s="15"/>
      <c r="DU772" s="15"/>
      <c r="DV772" s="15"/>
      <c r="DW772" s="15"/>
      <c r="DX772" s="15"/>
      <c r="DY772" s="15"/>
      <c r="DZ772" s="15"/>
      <c r="EA772" s="15"/>
      <c r="EB772" s="15"/>
      <c r="EC772" s="16" t="s">
        <v>197</v>
      </c>
      <c r="ED772" s="17" t="s">
        <v>198</v>
      </c>
      <c r="EE772" s="18">
        <v>45708.35068287037</v>
      </c>
      <c r="EF772" s="13" t="s">
        <v>209</v>
      </c>
      <c r="EG772" s="14" t="s">
        <v>179</v>
      </c>
      <c r="EH772" s="14" t="s">
        <v>16193</v>
      </c>
      <c r="EI772" s="14" t="s">
        <v>179</v>
      </c>
      <c r="EJ772" s="14" t="s">
        <v>16193</v>
      </c>
      <c r="EK772" s="15"/>
      <c r="EL772" s="15"/>
      <c r="EM772" s="15"/>
      <c r="EN772" s="15"/>
      <c r="EO772" s="15"/>
      <c r="EP772" s="15"/>
      <c r="EQ772" s="15"/>
      <c r="ER772" s="15"/>
      <c r="ES772" s="15"/>
      <c r="ET772" s="15"/>
      <c r="EU772" s="15"/>
      <c r="EV772" s="15"/>
      <c r="EW772" s="15"/>
      <c r="EX772" s="15"/>
      <c r="EY772" s="15"/>
      <c r="EZ772" s="15"/>
      <c r="FA772" s="15"/>
      <c r="FB772" s="15"/>
      <c r="FC772" s="16" t="s">
        <v>197</v>
      </c>
      <c r="FD772" s="17" t="s">
        <v>198</v>
      </c>
      <c r="FE772" s="18">
        <v>45723.28184027778</v>
      </c>
      <c r="FF772" s="19"/>
      <c r="FG772" s="19"/>
      <c r="FH772" s="21" t="s">
        <v>197</v>
      </c>
      <c r="FI772" s="17" t="s">
        <v>214</v>
      </c>
      <c r="FJ772" s="18">
        <v>45723.28184027778</v>
      </c>
      <c r="FK772" s="14" t="s">
        <v>16193</v>
      </c>
      <c r="FL772" s="14" t="s">
        <v>16194</v>
      </c>
      <c r="FM772" s="14" t="s">
        <v>16195</v>
      </c>
      <c r="FN772" s="19"/>
      <c r="FO772" s="19"/>
      <c r="FP772" s="19" t="str">
        <f t="shared" si="1"/>
        <v>Base de Dados_Images/TIT20048.Imagem do Equipamento-.140911.jpg</v>
      </c>
      <c r="FQ772" s="19"/>
      <c r="FR772" s="19"/>
    </row>
    <row r="773" ht="15.75" customHeight="1">
      <c r="A773" s="12" t="s">
        <v>174</v>
      </c>
      <c r="B773" s="22" t="s">
        <v>1192</v>
      </c>
      <c r="C773" s="24" t="s">
        <v>375</v>
      </c>
      <c r="D773" s="22" t="s">
        <v>16196</v>
      </c>
      <c r="E773" s="22" t="s">
        <v>16197</v>
      </c>
      <c r="F773" s="13" t="s">
        <v>178</v>
      </c>
      <c r="G773" s="14" t="s">
        <v>179</v>
      </c>
      <c r="H773" s="14" t="s">
        <v>16198</v>
      </c>
      <c r="I773" s="14" t="s">
        <v>179</v>
      </c>
      <c r="J773" s="14" t="s">
        <v>16199</v>
      </c>
      <c r="K773" s="14" t="s">
        <v>179</v>
      </c>
      <c r="L773" s="14" t="s">
        <v>16200</v>
      </c>
      <c r="M773" s="14" t="s">
        <v>179</v>
      </c>
      <c r="N773" s="14" t="s">
        <v>16201</v>
      </c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6" t="s">
        <v>197</v>
      </c>
      <c r="BP773" s="17" t="s">
        <v>198</v>
      </c>
      <c r="BQ773" s="18">
        <v>45686.453993055555</v>
      </c>
      <c r="BR773" s="17" t="s">
        <v>198</v>
      </c>
      <c r="BS773" s="18">
        <v>45686.45408564815</v>
      </c>
      <c r="BT773" s="17" t="s">
        <v>198</v>
      </c>
      <c r="BU773" s="18">
        <v>45686.45408564815</v>
      </c>
      <c r="BV773" s="13" t="s">
        <v>199</v>
      </c>
      <c r="BW773" s="14" t="s">
        <v>179</v>
      </c>
      <c r="BX773" s="14" t="s">
        <v>16202</v>
      </c>
      <c r="BY773" s="14" t="s">
        <v>179</v>
      </c>
      <c r="BZ773" s="14" t="s">
        <v>16203</v>
      </c>
      <c r="CA773" s="14" t="s">
        <v>179</v>
      </c>
      <c r="CB773" s="14" t="s">
        <v>16204</v>
      </c>
      <c r="CC773" s="15"/>
      <c r="CD773" s="15"/>
      <c r="CE773" s="15"/>
      <c r="CF773" s="15"/>
      <c r="CG773" s="19"/>
      <c r="CH773" s="15"/>
      <c r="CI773" s="19"/>
      <c r="CJ773" s="15"/>
      <c r="CK773" s="19"/>
      <c r="CL773" s="15"/>
      <c r="CM773" s="19"/>
      <c r="CN773" s="15"/>
      <c r="CO773" s="19"/>
      <c r="CP773" s="15"/>
      <c r="CQ773" s="15"/>
      <c r="CR773" s="15"/>
      <c r="CS773" s="19"/>
      <c r="CT773" s="15"/>
      <c r="CU773" s="19"/>
      <c r="CV773" s="15"/>
      <c r="CW773" s="19"/>
      <c r="CX773" s="15"/>
      <c r="CY773" s="19"/>
      <c r="CZ773" s="15"/>
      <c r="DA773" s="16" t="s">
        <v>197</v>
      </c>
      <c r="DB773" s="17" t="s">
        <v>228</v>
      </c>
      <c r="DC773" s="16"/>
      <c r="DD773" s="17" t="s">
        <v>198</v>
      </c>
      <c r="DE773" s="18">
        <v>45694.470729166664</v>
      </c>
      <c r="DF773" s="17" t="s">
        <v>198</v>
      </c>
      <c r="DG773" s="18">
        <v>45694.470729166664</v>
      </c>
      <c r="DH773" s="13" t="s">
        <v>205</v>
      </c>
      <c r="DI773" s="14" t="s">
        <v>179</v>
      </c>
      <c r="DJ773" s="14" t="s">
        <v>16205</v>
      </c>
      <c r="DK773" s="14" t="s">
        <v>179</v>
      </c>
      <c r="DL773" s="14" t="s">
        <v>16206</v>
      </c>
      <c r="DM773" s="15"/>
      <c r="DN773" s="15"/>
      <c r="DO773" s="15"/>
      <c r="DP773" s="15"/>
      <c r="DQ773" s="15"/>
      <c r="DR773" s="15"/>
      <c r="DS773" s="15"/>
      <c r="DT773" s="15"/>
      <c r="DU773" s="15"/>
      <c r="DV773" s="15"/>
      <c r="DW773" s="15"/>
      <c r="DX773" s="15"/>
      <c r="DY773" s="15"/>
      <c r="DZ773" s="15"/>
      <c r="EA773" s="15"/>
      <c r="EB773" s="15"/>
      <c r="EC773" s="16" t="s">
        <v>197</v>
      </c>
      <c r="ED773" s="17" t="s">
        <v>198</v>
      </c>
      <c r="EE773" s="18">
        <v>45708.350381944445</v>
      </c>
      <c r="EF773" s="13" t="s">
        <v>209</v>
      </c>
      <c r="EG773" s="14" t="s">
        <v>179</v>
      </c>
      <c r="EH773" s="14" t="s">
        <v>16207</v>
      </c>
      <c r="EI773" s="14" t="s">
        <v>179</v>
      </c>
      <c r="EJ773" s="14" t="s">
        <v>16207</v>
      </c>
      <c r="EK773" s="15"/>
      <c r="EL773" s="15"/>
      <c r="EM773" s="15"/>
      <c r="EN773" s="15"/>
      <c r="EO773" s="15"/>
      <c r="EP773" s="15"/>
      <c r="EQ773" s="15"/>
      <c r="ER773" s="15"/>
      <c r="ES773" s="15"/>
      <c r="ET773" s="15"/>
      <c r="EU773" s="15"/>
      <c r="EV773" s="15"/>
      <c r="EW773" s="15"/>
      <c r="EX773" s="15"/>
      <c r="EY773" s="15"/>
      <c r="EZ773" s="15"/>
      <c r="FA773" s="15"/>
      <c r="FB773" s="15"/>
      <c r="FC773" s="16" t="s">
        <v>197</v>
      </c>
      <c r="FD773" s="17" t="s">
        <v>198</v>
      </c>
      <c r="FE773" s="18">
        <v>45723.281909722224</v>
      </c>
      <c r="FF773" s="19"/>
      <c r="FG773" s="19"/>
      <c r="FH773" s="21" t="s">
        <v>197</v>
      </c>
      <c r="FI773" s="17" t="s">
        <v>214</v>
      </c>
      <c r="FJ773" s="18">
        <v>45723.281909722224</v>
      </c>
      <c r="FK773" s="14" t="s">
        <v>16207</v>
      </c>
      <c r="FL773" s="14" t="s">
        <v>16208</v>
      </c>
      <c r="FM773" s="14" t="s">
        <v>16209</v>
      </c>
      <c r="FN773" s="19"/>
      <c r="FO773" s="19"/>
      <c r="FP773" s="19" t="str">
        <f t="shared" si="1"/>
        <v>Base de Dados_Images/TIT20049.Imagem do Equipamento-.141052.jpg</v>
      </c>
      <c r="FQ773" s="19"/>
      <c r="FR773" s="19"/>
    </row>
    <row r="774" ht="15.75" customHeight="1">
      <c r="A774" s="12" t="s">
        <v>174</v>
      </c>
      <c r="B774" s="22" t="s">
        <v>1192</v>
      </c>
      <c r="C774" s="24" t="s">
        <v>375</v>
      </c>
      <c r="D774" s="22" t="s">
        <v>16210</v>
      </c>
      <c r="E774" s="22" t="s">
        <v>16211</v>
      </c>
      <c r="F774" s="13" t="s">
        <v>178</v>
      </c>
      <c r="G774" s="14" t="s">
        <v>179</v>
      </c>
      <c r="H774" s="14" t="s">
        <v>16212</v>
      </c>
      <c r="I774" s="14" t="s">
        <v>179</v>
      </c>
      <c r="J774" s="14" t="s">
        <v>16213</v>
      </c>
      <c r="K774" s="14" t="s">
        <v>179</v>
      </c>
      <c r="L774" s="14" t="s">
        <v>16214</v>
      </c>
      <c r="M774" s="14" t="s">
        <v>179</v>
      </c>
      <c r="N774" s="14" t="s">
        <v>16215</v>
      </c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6" t="s">
        <v>197</v>
      </c>
      <c r="BP774" s="17" t="s">
        <v>198</v>
      </c>
      <c r="BQ774" s="18">
        <v>45686.45438657407</v>
      </c>
      <c r="BR774" s="17" t="s">
        <v>198</v>
      </c>
      <c r="BS774" s="18">
        <v>45686.45444444445</v>
      </c>
      <c r="BT774" s="17" t="s">
        <v>198</v>
      </c>
      <c r="BU774" s="18">
        <v>45686.45444444445</v>
      </c>
      <c r="BV774" s="13" t="s">
        <v>199</v>
      </c>
      <c r="BW774" s="14" t="s">
        <v>179</v>
      </c>
      <c r="BX774" s="14" t="s">
        <v>16216</v>
      </c>
      <c r="BY774" s="14" t="s">
        <v>179</v>
      </c>
      <c r="BZ774" s="14" t="s">
        <v>16217</v>
      </c>
      <c r="CA774" s="14" t="s">
        <v>179</v>
      </c>
      <c r="CB774" s="14" t="s">
        <v>16218</v>
      </c>
      <c r="CC774" s="15"/>
      <c r="CD774" s="15"/>
      <c r="CE774" s="15"/>
      <c r="CF774" s="15"/>
      <c r="CG774" s="19"/>
      <c r="CH774" s="15"/>
      <c r="CI774" s="19"/>
      <c r="CJ774" s="15"/>
      <c r="CK774" s="19"/>
      <c r="CL774" s="15"/>
      <c r="CM774" s="19"/>
      <c r="CN774" s="15"/>
      <c r="CO774" s="19"/>
      <c r="CP774" s="15"/>
      <c r="CQ774" s="15"/>
      <c r="CR774" s="15"/>
      <c r="CS774" s="19"/>
      <c r="CT774" s="15"/>
      <c r="CU774" s="19"/>
      <c r="CV774" s="15"/>
      <c r="CW774" s="19"/>
      <c r="CX774" s="15"/>
      <c r="CY774" s="19"/>
      <c r="CZ774" s="15"/>
      <c r="DA774" s="16" t="s">
        <v>197</v>
      </c>
      <c r="DB774" s="17" t="s">
        <v>228</v>
      </c>
      <c r="DC774" s="16"/>
      <c r="DD774" s="17" t="s">
        <v>198</v>
      </c>
      <c r="DE774" s="18">
        <v>45694.43466435185</v>
      </c>
      <c r="DF774" s="17" t="s">
        <v>198</v>
      </c>
      <c r="DG774" s="18">
        <v>45694.43466435185</v>
      </c>
      <c r="DH774" s="13" t="s">
        <v>205</v>
      </c>
      <c r="DI774" s="14" t="s">
        <v>179</v>
      </c>
      <c r="DJ774" s="14" t="s">
        <v>16219</v>
      </c>
      <c r="DK774" s="14" t="s">
        <v>179</v>
      </c>
      <c r="DL774" s="14" t="s">
        <v>16220</v>
      </c>
      <c r="DM774" s="15"/>
      <c r="DN774" s="15"/>
      <c r="DO774" s="15"/>
      <c r="DP774" s="15"/>
      <c r="DQ774" s="15"/>
      <c r="DR774" s="15"/>
      <c r="DS774" s="15"/>
      <c r="DT774" s="15"/>
      <c r="DU774" s="15"/>
      <c r="DV774" s="15"/>
      <c r="DW774" s="15"/>
      <c r="DX774" s="15"/>
      <c r="DY774" s="15"/>
      <c r="DZ774" s="15"/>
      <c r="EA774" s="15"/>
      <c r="EB774" s="15"/>
      <c r="EC774" s="16" t="s">
        <v>197</v>
      </c>
      <c r="ED774" s="17" t="s">
        <v>198</v>
      </c>
      <c r="EE774" s="18">
        <v>45708.35052083333</v>
      </c>
      <c r="EF774" s="13" t="s">
        <v>209</v>
      </c>
      <c r="EG774" s="14" t="s">
        <v>179</v>
      </c>
      <c r="EH774" s="14" t="s">
        <v>16221</v>
      </c>
      <c r="EI774" s="14" t="s">
        <v>179</v>
      </c>
      <c r="EJ774" s="14" t="s">
        <v>16221</v>
      </c>
      <c r="EK774" s="15"/>
      <c r="EL774" s="15"/>
      <c r="EM774" s="15"/>
      <c r="EN774" s="15"/>
      <c r="EO774" s="15"/>
      <c r="EP774" s="15"/>
      <c r="EQ774" s="15"/>
      <c r="ER774" s="15"/>
      <c r="ES774" s="15"/>
      <c r="ET774" s="15"/>
      <c r="EU774" s="15"/>
      <c r="EV774" s="15"/>
      <c r="EW774" s="15"/>
      <c r="EX774" s="15"/>
      <c r="EY774" s="15"/>
      <c r="EZ774" s="15"/>
      <c r="FA774" s="15"/>
      <c r="FB774" s="15"/>
      <c r="FC774" s="16" t="s">
        <v>197</v>
      </c>
      <c r="FD774" s="17" t="s">
        <v>198</v>
      </c>
      <c r="FE774" s="18">
        <v>45723.28196759259</v>
      </c>
      <c r="FF774" s="19"/>
      <c r="FG774" s="19"/>
      <c r="FH774" s="21" t="s">
        <v>197</v>
      </c>
      <c r="FI774" s="17" t="s">
        <v>214</v>
      </c>
      <c r="FJ774" s="18">
        <v>45723.28196759259</v>
      </c>
      <c r="FK774" s="14" t="s">
        <v>16221</v>
      </c>
      <c r="FL774" s="14" t="s">
        <v>16222</v>
      </c>
      <c r="FM774" s="14" t="s">
        <v>16223</v>
      </c>
      <c r="FN774" s="19"/>
      <c r="FO774" s="19"/>
      <c r="FP774" s="19" t="str">
        <f t="shared" si="1"/>
        <v>Base de Dados_Images/TIT20050.Imagem do Equipamento-.141115.jpg</v>
      </c>
      <c r="FQ774" s="19"/>
      <c r="FR774" s="19"/>
    </row>
    <row r="775" ht="15.75" customHeight="1">
      <c r="A775" s="12" t="s">
        <v>174</v>
      </c>
      <c r="B775" s="22" t="s">
        <v>1192</v>
      </c>
      <c r="C775" s="24" t="s">
        <v>375</v>
      </c>
      <c r="D775" s="22" t="s">
        <v>16224</v>
      </c>
      <c r="E775" s="22" t="s">
        <v>16225</v>
      </c>
      <c r="F775" s="13" t="s">
        <v>178</v>
      </c>
      <c r="G775" s="14" t="s">
        <v>179</v>
      </c>
      <c r="H775" s="14" t="s">
        <v>16226</v>
      </c>
      <c r="I775" s="14" t="s">
        <v>179</v>
      </c>
      <c r="J775" s="14" t="s">
        <v>16227</v>
      </c>
      <c r="K775" s="14" t="s">
        <v>179</v>
      </c>
      <c r="L775" s="14" t="s">
        <v>16228</v>
      </c>
      <c r="M775" s="14" t="s">
        <v>179</v>
      </c>
      <c r="N775" s="14" t="s">
        <v>16229</v>
      </c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6" t="s">
        <v>197</v>
      </c>
      <c r="BP775" s="17" t="s">
        <v>198</v>
      </c>
      <c r="BQ775" s="18">
        <v>45686.488530092596</v>
      </c>
      <c r="BR775" s="17" t="s">
        <v>198</v>
      </c>
      <c r="BS775" s="18">
        <v>45686.48868055556</v>
      </c>
      <c r="BT775" s="17" t="s">
        <v>198</v>
      </c>
      <c r="BU775" s="18">
        <v>45686.48868055556</v>
      </c>
      <c r="BV775" s="13" t="s">
        <v>199</v>
      </c>
      <c r="BW775" s="14" t="s">
        <v>179</v>
      </c>
      <c r="BX775" s="14" t="s">
        <v>16230</v>
      </c>
      <c r="BY775" s="14" t="s">
        <v>179</v>
      </c>
      <c r="BZ775" s="14" t="s">
        <v>16231</v>
      </c>
      <c r="CA775" s="14" t="s">
        <v>179</v>
      </c>
      <c r="CB775" s="14" t="s">
        <v>16232</v>
      </c>
      <c r="CC775" s="15"/>
      <c r="CD775" s="15"/>
      <c r="CE775" s="15"/>
      <c r="CF775" s="15"/>
      <c r="CG775" s="19"/>
      <c r="CH775" s="15"/>
      <c r="CI775" s="19"/>
      <c r="CJ775" s="15"/>
      <c r="CK775" s="19"/>
      <c r="CL775" s="15"/>
      <c r="CM775" s="19"/>
      <c r="CN775" s="15"/>
      <c r="CO775" s="19"/>
      <c r="CP775" s="15"/>
      <c r="CQ775" s="15"/>
      <c r="CR775" s="15"/>
      <c r="CS775" s="19"/>
      <c r="CT775" s="15"/>
      <c r="CU775" s="19"/>
      <c r="CV775" s="15"/>
      <c r="CW775" s="19"/>
      <c r="CX775" s="15"/>
      <c r="CY775" s="19"/>
      <c r="CZ775" s="15"/>
      <c r="DA775" s="16" t="s">
        <v>197</v>
      </c>
      <c r="DB775" s="17" t="s">
        <v>228</v>
      </c>
      <c r="DC775" s="16"/>
      <c r="DD775" s="17" t="s">
        <v>198</v>
      </c>
      <c r="DE775" s="18">
        <v>45694.43415509259</v>
      </c>
      <c r="DF775" s="17" t="s">
        <v>198</v>
      </c>
      <c r="DG775" s="18">
        <v>45694.43415509259</v>
      </c>
      <c r="DH775" s="13" t="s">
        <v>205</v>
      </c>
      <c r="DI775" s="14" t="s">
        <v>179</v>
      </c>
      <c r="DJ775" s="14" t="s">
        <v>16233</v>
      </c>
      <c r="DK775" s="14" t="s">
        <v>179</v>
      </c>
      <c r="DL775" s="14" t="s">
        <v>16234</v>
      </c>
      <c r="DM775" s="15"/>
      <c r="DN775" s="15"/>
      <c r="DO775" s="15"/>
      <c r="DP775" s="15"/>
      <c r="DQ775" s="15"/>
      <c r="DR775" s="15"/>
      <c r="DS775" s="15"/>
      <c r="DT775" s="15"/>
      <c r="DU775" s="15"/>
      <c r="DV775" s="15"/>
      <c r="DW775" s="15"/>
      <c r="DX775" s="15"/>
      <c r="DY775" s="15"/>
      <c r="DZ775" s="15"/>
      <c r="EA775" s="15"/>
      <c r="EB775" s="15"/>
      <c r="EC775" s="16" t="s">
        <v>197</v>
      </c>
      <c r="ED775" s="17" t="s">
        <v>198</v>
      </c>
      <c r="EE775" s="18">
        <v>45708.349699074075</v>
      </c>
      <c r="EF775" s="13" t="s">
        <v>209</v>
      </c>
      <c r="EG775" s="14" t="s">
        <v>179</v>
      </c>
      <c r="EH775" s="14" t="s">
        <v>16235</v>
      </c>
      <c r="EI775" s="14" t="s">
        <v>179</v>
      </c>
      <c r="EJ775" s="14" t="s">
        <v>16236</v>
      </c>
      <c r="EK775" s="15"/>
      <c r="EL775" s="15"/>
      <c r="EM775" s="15"/>
      <c r="EN775" s="15"/>
      <c r="EO775" s="15"/>
      <c r="EP775" s="15"/>
      <c r="EQ775" s="15"/>
      <c r="ER775" s="15"/>
      <c r="ES775" s="15"/>
      <c r="ET775" s="15"/>
      <c r="EU775" s="15"/>
      <c r="EV775" s="15"/>
      <c r="EW775" s="15"/>
      <c r="EX775" s="15"/>
      <c r="EY775" s="15"/>
      <c r="EZ775" s="15"/>
      <c r="FA775" s="15"/>
      <c r="FB775" s="15"/>
      <c r="FC775" s="16" t="s">
        <v>197</v>
      </c>
      <c r="FD775" s="17" t="s">
        <v>198</v>
      </c>
      <c r="FE775" s="18">
        <v>45723.28203703704</v>
      </c>
      <c r="FF775" s="19"/>
      <c r="FG775" s="19"/>
      <c r="FH775" s="21" t="s">
        <v>197</v>
      </c>
      <c r="FI775" s="17" t="s">
        <v>214</v>
      </c>
      <c r="FJ775" s="18">
        <v>45723.28203703704</v>
      </c>
      <c r="FK775" s="14" t="s">
        <v>16235</v>
      </c>
      <c r="FL775" s="14" t="s">
        <v>16237</v>
      </c>
      <c r="FM775" s="14" t="s">
        <v>16238</v>
      </c>
      <c r="FN775" s="19"/>
      <c r="FO775" s="19"/>
      <c r="FP775" s="19" t="str">
        <f t="shared" si="1"/>
        <v>Base de Dados_Images/TIT20051.Imagem do Equipamento-.154743.jpg</v>
      </c>
      <c r="FQ775" s="19"/>
      <c r="FR775" s="19"/>
    </row>
    <row r="776" ht="15.75" customHeight="1">
      <c r="A776" s="12" t="s">
        <v>174</v>
      </c>
      <c r="B776" s="22" t="s">
        <v>650</v>
      </c>
      <c r="C776" s="24" t="s">
        <v>375</v>
      </c>
      <c r="D776" s="22" t="s">
        <v>16239</v>
      </c>
      <c r="E776" s="22" t="s">
        <v>16240</v>
      </c>
      <c r="F776" s="13" t="s">
        <v>178</v>
      </c>
      <c r="G776" s="14" t="s">
        <v>179</v>
      </c>
      <c r="H776" s="14" t="s">
        <v>16241</v>
      </c>
      <c r="I776" s="14" t="s">
        <v>179</v>
      </c>
      <c r="J776" s="14" t="s">
        <v>16242</v>
      </c>
      <c r="K776" s="14" t="s">
        <v>179</v>
      </c>
      <c r="L776" s="14" t="s">
        <v>16242</v>
      </c>
      <c r="M776" s="14" t="s">
        <v>179</v>
      </c>
      <c r="N776" s="14" t="s">
        <v>16243</v>
      </c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6" t="s">
        <v>197</v>
      </c>
      <c r="BP776" s="17" t="s">
        <v>198</v>
      </c>
      <c r="BQ776" s="18">
        <v>45686.489212962966</v>
      </c>
      <c r="BR776" s="17" t="s">
        <v>198</v>
      </c>
      <c r="BS776" s="18">
        <v>45686.48920138889</v>
      </c>
      <c r="BT776" s="17" t="s">
        <v>198</v>
      </c>
      <c r="BU776" s="18">
        <v>45686.489212962966</v>
      </c>
      <c r="BV776" s="13" t="s">
        <v>199</v>
      </c>
      <c r="BW776" s="14" t="s">
        <v>179</v>
      </c>
      <c r="BX776" s="14" t="s">
        <v>16244</v>
      </c>
      <c r="BY776" s="14" t="s">
        <v>179</v>
      </c>
      <c r="BZ776" s="14" t="s">
        <v>16245</v>
      </c>
      <c r="CA776" s="14" t="s">
        <v>179</v>
      </c>
      <c r="CB776" s="14" t="s">
        <v>16246</v>
      </c>
      <c r="CC776" s="15"/>
      <c r="CD776" s="15"/>
      <c r="CE776" s="15"/>
      <c r="CF776" s="15"/>
      <c r="CG776" s="19"/>
      <c r="CH776" s="15"/>
      <c r="CI776" s="19"/>
      <c r="CJ776" s="15"/>
      <c r="CK776" s="19"/>
      <c r="CL776" s="15"/>
      <c r="CM776" s="19"/>
      <c r="CN776" s="15"/>
      <c r="CO776" s="19"/>
      <c r="CP776" s="15"/>
      <c r="CQ776" s="15"/>
      <c r="CR776" s="15"/>
      <c r="CS776" s="19"/>
      <c r="CT776" s="15"/>
      <c r="CU776" s="19"/>
      <c r="CV776" s="15"/>
      <c r="CW776" s="19"/>
      <c r="CX776" s="15"/>
      <c r="CY776" s="19"/>
      <c r="CZ776" s="15"/>
      <c r="DA776" s="16" t="s">
        <v>197</v>
      </c>
      <c r="DB776" s="17" t="s">
        <v>228</v>
      </c>
      <c r="DC776" s="16"/>
      <c r="DD776" s="17" t="s">
        <v>198</v>
      </c>
      <c r="DE776" s="18">
        <v>45698.661527777775</v>
      </c>
      <c r="DF776" s="17" t="s">
        <v>198</v>
      </c>
      <c r="DG776" s="18">
        <v>45698.661527777775</v>
      </c>
      <c r="DH776" s="13" t="s">
        <v>205</v>
      </c>
      <c r="DI776" s="14" t="s">
        <v>179</v>
      </c>
      <c r="DJ776" s="14" t="s">
        <v>16247</v>
      </c>
      <c r="DK776" s="14" t="s">
        <v>179</v>
      </c>
      <c r="DL776" s="14" t="s">
        <v>16247</v>
      </c>
      <c r="DM776" s="15"/>
      <c r="DN776" s="15"/>
      <c r="DO776" s="15"/>
      <c r="DP776" s="15"/>
      <c r="DQ776" s="15"/>
      <c r="DR776" s="15"/>
      <c r="DS776" s="15"/>
      <c r="DT776" s="15"/>
      <c r="DU776" s="15"/>
      <c r="DV776" s="15"/>
      <c r="DW776" s="15"/>
      <c r="DX776" s="15"/>
      <c r="DY776" s="15"/>
      <c r="DZ776" s="15"/>
      <c r="EA776" s="15"/>
      <c r="EB776" s="15"/>
      <c r="EC776" s="16" t="s">
        <v>197</v>
      </c>
      <c r="ED776" s="17" t="s">
        <v>198</v>
      </c>
      <c r="EE776" s="18">
        <v>45719.47200231482</v>
      </c>
      <c r="EF776" s="13" t="s">
        <v>209</v>
      </c>
      <c r="EG776" s="14" t="s">
        <v>179</v>
      </c>
      <c r="EH776" s="14" t="s">
        <v>16248</v>
      </c>
      <c r="EI776" s="14" t="s">
        <v>179</v>
      </c>
      <c r="EJ776" s="14" t="s">
        <v>16248</v>
      </c>
      <c r="EK776" s="15"/>
      <c r="EL776" s="15"/>
      <c r="EM776" s="15"/>
      <c r="EN776" s="15"/>
      <c r="EO776" s="15"/>
      <c r="EP776" s="15"/>
      <c r="EQ776" s="15"/>
      <c r="ER776" s="15"/>
      <c r="ES776" s="15"/>
      <c r="ET776" s="15"/>
      <c r="EU776" s="15"/>
      <c r="EV776" s="15"/>
      <c r="EW776" s="15"/>
      <c r="EX776" s="15"/>
      <c r="EY776" s="15"/>
      <c r="EZ776" s="15"/>
      <c r="FA776" s="15"/>
      <c r="FB776" s="15"/>
      <c r="FC776" s="16" t="s">
        <v>197</v>
      </c>
      <c r="FD776" s="17" t="s">
        <v>198</v>
      </c>
      <c r="FE776" s="18">
        <v>45723.27415509259</v>
      </c>
      <c r="FF776" s="19"/>
      <c r="FG776" s="19"/>
      <c r="FH776" s="21" t="s">
        <v>197</v>
      </c>
      <c r="FI776" s="17" t="s">
        <v>214</v>
      </c>
      <c r="FJ776" s="18">
        <v>45723.27415509259</v>
      </c>
      <c r="FK776" s="14" t="s">
        <v>16248</v>
      </c>
      <c r="FL776" s="14" t="s">
        <v>16249</v>
      </c>
      <c r="FM776" s="14" t="s">
        <v>16250</v>
      </c>
      <c r="FN776" s="19"/>
      <c r="FO776" s="19"/>
      <c r="FP776" s="19" t="str">
        <f t="shared" si="1"/>
        <v>Base de Dados_Images/TIT20052.Imagem do Equipamento-.151153.jpg</v>
      </c>
      <c r="FQ776" s="14"/>
      <c r="FR776" s="14"/>
    </row>
    <row r="777" ht="15.75" customHeight="1">
      <c r="A777" s="12" t="s">
        <v>174</v>
      </c>
      <c r="B777" s="22" t="s">
        <v>650</v>
      </c>
      <c r="C777" s="24" t="s">
        <v>375</v>
      </c>
      <c r="D777" s="22" t="s">
        <v>16251</v>
      </c>
      <c r="E777" s="22" t="s">
        <v>16252</v>
      </c>
      <c r="F777" s="13" t="s">
        <v>178</v>
      </c>
      <c r="G777" s="14" t="s">
        <v>179</v>
      </c>
      <c r="H777" s="14" t="s">
        <v>16253</v>
      </c>
      <c r="I777" s="14" t="s">
        <v>179</v>
      </c>
      <c r="J777" s="14" t="s">
        <v>16253</v>
      </c>
      <c r="K777" s="14" t="s">
        <v>179</v>
      </c>
      <c r="L777" s="14" t="s">
        <v>16254</v>
      </c>
      <c r="M777" s="14" t="s">
        <v>179</v>
      </c>
      <c r="N777" s="14" t="s">
        <v>16255</v>
      </c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6" t="s">
        <v>197</v>
      </c>
      <c r="BP777" s="17" t="s">
        <v>198</v>
      </c>
      <c r="BQ777" s="18">
        <v>45686.487291666665</v>
      </c>
      <c r="BR777" s="17" t="s">
        <v>198</v>
      </c>
      <c r="BS777" s="18">
        <v>45686.487291666665</v>
      </c>
      <c r="BT777" s="17" t="s">
        <v>198</v>
      </c>
      <c r="BU777" s="18">
        <v>45686.487291666665</v>
      </c>
      <c r="BV777" s="13" t="s">
        <v>199</v>
      </c>
      <c r="BW777" s="14" t="s">
        <v>179</v>
      </c>
      <c r="BX777" s="14" t="s">
        <v>16256</v>
      </c>
      <c r="BY777" s="14" t="s">
        <v>179</v>
      </c>
      <c r="BZ777" s="14" t="s">
        <v>16257</v>
      </c>
      <c r="CA777" s="14" t="s">
        <v>179</v>
      </c>
      <c r="CB777" s="14" t="s">
        <v>16257</v>
      </c>
      <c r="CC777" s="15"/>
      <c r="CD777" s="15"/>
      <c r="CE777" s="15"/>
      <c r="CF777" s="15"/>
      <c r="CG777" s="19"/>
      <c r="CH777" s="15"/>
      <c r="CI777" s="19"/>
      <c r="CJ777" s="15"/>
      <c r="CK777" s="19"/>
      <c r="CL777" s="15"/>
      <c r="CM777" s="19"/>
      <c r="CN777" s="15"/>
      <c r="CO777" s="19"/>
      <c r="CP777" s="15"/>
      <c r="CQ777" s="15"/>
      <c r="CR777" s="15"/>
      <c r="CS777" s="19"/>
      <c r="CT777" s="15"/>
      <c r="CU777" s="19"/>
      <c r="CV777" s="15"/>
      <c r="CW777" s="19"/>
      <c r="CX777" s="15"/>
      <c r="CY777" s="19"/>
      <c r="CZ777" s="15"/>
      <c r="DA777" s="16" t="s">
        <v>197</v>
      </c>
      <c r="DB777" s="17" t="s">
        <v>228</v>
      </c>
      <c r="DC777" s="16"/>
      <c r="DD777" s="17" t="s">
        <v>198</v>
      </c>
      <c r="DE777" s="18">
        <v>45698.66138888889</v>
      </c>
      <c r="DF777" s="17" t="s">
        <v>198</v>
      </c>
      <c r="DG777" s="18">
        <v>45698.66138888889</v>
      </c>
      <c r="DH777" s="13" t="s">
        <v>205</v>
      </c>
      <c r="DI777" s="14" t="s">
        <v>179</v>
      </c>
      <c r="DJ777" s="14" t="s">
        <v>16258</v>
      </c>
      <c r="DK777" s="14" t="s">
        <v>179</v>
      </c>
      <c r="DL777" s="14" t="s">
        <v>16259</v>
      </c>
      <c r="DM777" s="15"/>
      <c r="DN777" s="15"/>
      <c r="DO777" s="15"/>
      <c r="DP777" s="15"/>
      <c r="DQ777" s="15"/>
      <c r="DR777" s="15"/>
      <c r="DS777" s="15"/>
      <c r="DT777" s="15"/>
      <c r="DU777" s="15"/>
      <c r="DV777" s="15"/>
      <c r="DW777" s="15"/>
      <c r="DX777" s="15"/>
      <c r="DY777" s="15"/>
      <c r="DZ777" s="15"/>
      <c r="EA777" s="15"/>
      <c r="EB777" s="15"/>
      <c r="EC777" s="16" t="s">
        <v>197</v>
      </c>
      <c r="ED777" s="17" t="s">
        <v>198</v>
      </c>
      <c r="EE777" s="18">
        <v>45719.47211805556</v>
      </c>
      <c r="EF777" s="13" t="s">
        <v>209</v>
      </c>
      <c r="EG777" s="14" t="s">
        <v>179</v>
      </c>
      <c r="EH777" s="14" t="s">
        <v>16260</v>
      </c>
      <c r="EI777" s="14" t="s">
        <v>179</v>
      </c>
      <c r="EJ777" s="14" t="s">
        <v>16260</v>
      </c>
      <c r="EK777" s="15"/>
      <c r="EL777" s="15"/>
      <c r="EM777" s="15"/>
      <c r="EN777" s="15"/>
      <c r="EO777" s="15"/>
      <c r="EP777" s="15"/>
      <c r="EQ777" s="15"/>
      <c r="ER777" s="15"/>
      <c r="ES777" s="15"/>
      <c r="ET777" s="15"/>
      <c r="EU777" s="15"/>
      <c r="EV777" s="15"/>
      <c r="EW777" s="15"/>
      <c r="EX777" s="15"/>
      <c r="EY777" s="15"/>
      <c r="EZ777" s="15"/>
      <c r="FA777" s="15"/>
      <c r="FB777" s="15"/>
      <c r="FC777" s="16" t="s">
        <v>197</v>
      </c>
      <c r="FD777" s="17" t="s">
        <v>198</v>
      </c>
      <c r="FE777" s="18">
        <v>45723.27422453704</v>
      </c>
      <c r="FF777" s="19"/>
      <c r="FG777" s="19"/>
      <c r="FH777" s="21" t="s">
        <v>197</v>
      </c>
      <c r="FI777" s="17" t="s">
        <v>214</v>
      </c>
      <c r="FJ777" s="18">
        <v>45723.27422453704</v>
      </c>
      <c r="FK777" s="14" t="s">
        <v>16260</v>
      </c>
      <c r="FL777" s="14" t="s">
        <v>16261</v>
      </c>
      <c r="FM777" s="14" t="s">
        <v>16262</v>
      </c>
      <c r="FN777" s="19"/>
      <c r="FO777" s="19"/>
      <c r="FP777" s="19" t="str">
        <f t="shared" si="1"/>
        <v>Base de Dados_Images/TIT20053.Imagem do Equipamento-.151127.jpg</v>
      </c>
      <c r="FQ777" s="14"/>
      <c r="FR777" s="14"/>
    </row>
    <row r="778" ht="15.75" customHeight="1">
      <c r="A778" s="12" t="s">
        <v>174</v>
      </c>
      <c r="B778" s="22" t="s">
        <v>581</v>
      </c>
      <c r="C778" s="24" t="s">
        <v>375</v>
      </c>
      <c r="D778" s="22" t="s">
        <v>16263</v>
      </c>
      <c r="E778" s="22" t="s">
        <v>16264</v>
      </c>
      <c r="F778" s="13" t="s">
        <v>178</v>
      </c>
      <c r="G778" s="14" t="s">
        <v>179</v>
      </c>
      <c r="H778" s="14" t="s">
        <v>16265</v>
      </c>
      <c r="I778" s="14" t="s">
        <v>179</v>
      </c>
      <c r="J778" s="14" t="s">
        <v>16266</v>
      </c>
      <c r="K778" s="14" t="s">
        <v>179</v>
      </c>
      <c r="L778" s="14" t="s">
        <v>16266</v>
      </c>
      <c r="M778" s="14" t="s">
        <v>179</v>
      </c>
      <c r="N778" s="14" t="s">
        <v>16267</v>
      </c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6" t="s">
        <v>197</v>
      </c>
      <c r="BP778" s="17" t="s">
        <v>198</v>
      </c>
      <c r="BQ778" s="18">
        <v>45686.49097222222</v>
      </c>
      <c r="BR778" s="17" t="s">
        <v>198</v>
      </c>
      <c r="BS778" s="18">
        <v>45686.490960648145</v>
      </c>
      <c r="BT778" s="17" t="s">
        <v>198</v>
      </c>
      <c r="BU778" s="18">
        <v>45686.49097222222</v>
      </c>
      <c r="BV778" s="13" t="s">
        <v>199</v>
      </c>
      <c r="BW778" s="14" t="s">
        <v>179</v>
      </c>
      <c r="BX778" s="14" t="s">
        <v>16268</v>
      </c>
      <c r="BY778" s="14" t="s">
        <v>179</v>
      </c>
      <c r="BZ778" s="14" t="s">
        <v>16269</v>
      </c>
      <c r="CA778" s="14" t="s">
        <v>179</v>
      </c>
      <c r="CB778" s="14" t="s">
        <v>16270</v>
      </c>
      <c r="CC778" s="15"/>
      <c r="CD778" s="15"/>
      <c r="CE778" s="15"/>
      <c r="CF778" s="15"/>
      <c r="CG778" s="19"/>
      <c r="CH778" s="15"/>
      <c r="CI778" s="19"/>
      <c r="CJ778" s="15"/>
      <c r="CK778" s="19"/>
      <c r="CL778" s="15"/>
      <c r="CM778" s="19"/>
      <c r="CN778" s="15"/>
      <c r="CO778" s="19"/>
      <c r="CP778" s="15"/>
      <c r="CQ778" s="15"/>
      <c r="CR778" s="15"/>
      <c r="CS778" s="19"/>
      <c r="CT778" s="15"/>
      <c r="CU778" s="19"/>
      <c r="CV778" s="15"/>
      <c r="CW778" s="19"/>
      <c r="CX778" s="15"/>
      <c r="CY778" s="19"/>
      <c r="CZ778" s="15"/>
      <c r="DA778" s="16" t="s">
        <v>197</v>
      </c>
      <c r="DB778" s="17" t="s">
        <v>228</v>
      </c>
      <c r="DC778" s="16"/>
      <c r="DD778" s="17" t="s">
        <v>198</v>
      </c>
      <c r="DE778" s="18">
        <v>45719.47454861111</v>
      </c>
      <c r="DF778" s="17" t="s">
        <v>198</v>
      </c>
      <c r="DG778" s="18">
        <v>45719.47454861111</v>
      </c>
      <c r="DH778" s="13" t="s">
        <v>205</v>
      </c>
      <c r="DI778" s="14" t="s">
        <v>179</v>
      </c>
      <c r="DJ778" s="14" t="s">
        <v>16271</v>
      </c>
      <c r="DK778" s="14" t="s">
        <v>179</v>
      </c>
      <c r="DL778" s="14" t="s">
        <v>16272</v>
      </c>
      <c r="DM778" s="15"/>
      <c r="DN778" s="15"/>
      <c r="DO778" s="15"/>
      <c r="DP778" s="15"/>
      <c r="DQ778" s="15"/>
      <c r="DR778" s="15"/>
      <c r="DS778" s="15"/>
      <c r="DT778" s="15"/>
      <c r="DU778" s="15"/>
      <c r="DV778" s="15"/>
      <c r="DW778" s="15"/>
      <c r="DX778" s="15"/>
      <c r="DY778" s="15"/>
      <c r="DZ778" s="15"/>
      <c r="EA778" s="15"/>
      <c r="EB778" s="15"/>
      <c r="EC778" s="16" t="s">
        <v>197</v>
      </c>
      <c r="ED778" s="17" t="s">
        <v>198</v>
      </c>
      <c r="EE778" s="18">
        <v>45719.47460648148</v>
      </c>
      <c r="EF778" s="13" t="s">
        <v>209</v>
      </c>
      <c r="EG778" s="14" t="s">
        <v>179</v>
      </c>
      <c r="EH778" s="14" t="s">
        <v>16273</v>
      </c>
      <c r="EI778" s="14" t="s">
        <v>179</v>
      </c>
      <c r="EJ778" s="14" t="s">
        <v>16273</v>
      </c>
      <c r="EK778" s="15"/>
      <c r="EL778" s="15"/>
      <c r="EM778" s="15"/>
      <c r="EN778" s="15"/>
      <c r="EO778" s="15"/>
      <c r="EP778" s="15"/>
      <c r="EQ778" s="15"/>
      <c r="ER778" s="15"/>
      <c r="ES778" s="15"/>
      <c r="ET778" s="15"/>
      <c r="EU778" s="15"/>
      <c r="EV778" s="15"/>
      <c r="EW778" s="15"/>
      <c r="EX778" s="15"/>
      <c r="EY778" s="15"/>
      <c r="EZ778" s="15"/>
      <c r="FA778" s="15"/>
      <c r="FB778" s="15"/>
      <c r="FC778" s="16" t="s">
        <v>197</v>
      </c>
      <c r="FD778" s="17" t="s">
        <v>198</v>
      </c>
      <c r="FE778" s="18">
        <v>45723.27506944445</v>
      </c>
      <c r="FF778" s="19"/>
      <c r="FG778" s="19"/>
      <c r="FH778" s="21" t="s">
        <v>197</v>
      </c>
      <c r="FI778" s="17" t="s">
        <v>214</v>
      </c>
      <c r="FJ778" s="18">
        <v>45723.27506944445</v>
      </c>
      <c r="FK778" s="14" t="s">
        <v>16273</v>
      </c>
      <c r="FL778" s="14" t="s">
        <v>16274</v>
      </c>
      <c r="FM778" s="14" t="s">
        <v>16275</v>
      </c>
      <c r="FN778" s="19"/>
      <c r="FO778" s="19"/>
      <c r="FP778" s="19" t="str">
        <f t="shared" si="1"/>
        <v>Base de Dados_Images/TIT20054.Imagem do Equipamento-.151300.jpg</v>
      </c>
      <c r="FQ778" s="14"/>
      <c r="FR778" s="14"/>
    </row>
    <row r="779" ht="15.75" customHeight="1">
      <c r="A779" s="12" t="s">
        <v>174</v>
      </c>
      <c r="B779" s="22" t="s">
        <v>581</v>
      </c>
      <c r="C779" s="24" t="s">
        <v>375</v>
      </c>
      <c r="D779" s="22" t="s">
        <v>16276</v>
      </c>
      <c r="E779" s="22" t="s">
        <v>16277</v>
      </c>
      <c r="F779" s="13" t="s">
        <v>178</v>
      </c>
      <c r="G779" s="14" t="s">
        <v>179</v>
      </c>
      <c r="H779" s="14" t="s">
        <v>16278</v>
      </c>
      <c r="I779" s="14" t="s">
        <v>179</v>
      </c>
      <c r="J779" s="14" t="s">
        <v>16279</v>
      </c>
      <c r="K779" s="14" t="s">
        <v>179</v>
      </c>
      <c r="L779" s="14" t="s">
        <v>16279</v>
      </c>
      <c r="M779" s="14" t="s">
        <v>179</v>
      </c>
      <c r="N779" s="14" t="s">
        <v>16280</v>
      </c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6" t="s">
        <v>197</v>
      </c>
      <c r="BP779" s="17" t="s">
        <v>198</v>
      </c>
      <c r="BQ779" s="18">
        <v>45686.49055555555</v>
      </c>
      <c r="BR779" s="17" t="s">
        <v>198</v>
      </c>
      <c r="BS779" s="18">
        <v>45686.49054398148</v>
      </c>
      <c r="BT779" s="17" t="s">
        <v>198</v>
      </c>
      <c r="BU779" s="18">
        <v>45686.49055555555</v>
      </c>
      <c r="BV779" s="13" t="s">
        <v>199</v>
      </c>
      <c r="BW779" s="14" t="s">
        <v>179</v>
      </c>
      <c r="BX779" s="14" t="s">
        <v>16281</v>
      </c>
      <c r="BY779" s="14" t="s">
        <v>179</v>
      </c>
      <c r="BZ779" s="14" t="s">
        <v>16282</v>
      </c>
      <c r="CA779" s="14" t="s">
        <v>179</v>
      </c>
      <c r="CB779" s="14" t="s">
        <v>16283</v>
      </c>
      <c r="CC779" s="15"/>
      <c r="CD779" s="15"/>
      <c r="CE779" s="15"/>
      <c r="CF779" s="15"/>
      <c r="CG779" s="19"/>
      <c r="CH779" s="15"/>
      <c r="CI779" s="19"/>
      <c r="CJ779" s="15"/>
      <c r="CK779" s="19"/>
      <c r="CL779" s="15"/>
      <c r="CM779" s="19"/>
      <c r="CN779" s="15"/>
      <c r="CO779" s="19"/>
      <c r="CP779" s="15"/>
      <c r="CQ779" s="15"/>
      <c r="CR779" s="15"/>
      <c r="CS779" s="19"/>
      <c r="CT779" s="15"/>
      <c r="CU779" s="19"/>
      <c r="CV779" s="15"/>
      <c r="CW779" s="19"/>
      <c r="CX779" s="15"/>
      <c r="CY779" s="19"/>
      <c r="CZ779" s="15"/>
      <c r="DA779" s="16" t="s">
        <v>197</v>
      </c>
      <c r="DB779" s="17" t="s">
        <v>228</v>
      </c>
      <c r="DC779" s="16"/>
      <c r="DD779" s="17" t="s">
        <v>198</v>
      </c>
      <c r="DE779" s="18">
        <v>45698.69425925926</v>
      </c>
      <c r="DF779" s="17" t="s">
        <v>198</v>
      </c>
      <c r="DG779" s="18">
        <v>45698.69425925926</v>
      </c>
      <c r="DH779" s="13" t="s">
        <v>205</v>
      </c>
      <c r="DI779" s="14" t="s">
        <v>179</v>
      </c>
      <c r="DJ779" s="14" t="s">
        <v>16284</v>
      </c>
      <c r="DK779" s="14" t="s">
        <v>179</v>
      </c>
      <c r="DL779" s="14" t="s">
        <v>16285</v>
      </c>
      <c r="DM779" s="15"/>
      <c r="DN779" s="15"/>
      <c r="DO779" s="15"/>
      <c r="DP779" s="15"/>
      <c r="DQ779" s="15"/>
      <c r="DR779" s="15"/>
      <c r="DS779" s="15"/>
      <c r="DT779" s="15"/>
      <c r="DU779" s="15"/>
      <c r="DV779" s="15"/>
      <c r="DW779" s="15"/>
      <c r="DX779" s="15"/>
      <c r="DY779" s="15"/>
      <c r="DZ779" s="15"/>
      <c r="EA779" s="15"/>
      <c r="EB779" s="15"/>
      <c r="EC779" s="16" t="s">
        <v>197</v>
      </c>
      <c r="ED779" s="17" t="s">
        <v>198</v>
      </c>
      <c r="EE779" s="18">
        <v>45719.4747337963</v>
      </c>
      <c r="EF779" s="13" t="s">
        <v>209</v>
      </c>
      <c r="EG779" s="14" t="s">
        <v>179</v>
      </c>
      <c r="EH779" s="14" t="s">
        <v>16286</v>
      </c>
      <c r="EI779" s="14" t="s">
        <v>179</v>
      </c>
      <c r="EJ779" s="14" t="s">
        <v>16286</v>
      </c>
      <c r="EK779" s="15"/>
      <c r="EL779" s="15"/>
      <c r="EM779" s="15"/>
      <c r="EN779" s="15"/>
      <c r="EO779" s="15"/>
      <c r="EP779" s="15"/>
      <c r="EQ779" s="15"/>
      <c r="ER779" s="15"/>
      <c r="ES779" s="15"/>
      <c r="ET779" s="15"/>
      <c r="EU779" s="15"/>
      <c r="EV779" s="15"/>
      <c r="EW779" s="15"/>
      <c r="EX779" s="15"/>
      <c r="EY779" s="15"/>
      <c r="EZ779" s="15"/>
      <c r="FA779" s="15"/>
      <c r="FB779" s="15"/>
      <c r="FC779" s="16" t="s">
        <v>197</v>
      </c>
      <c r="FD779" s="17" t="s">
        <v>198</v>
      </c>
      <c r="FE779" s="18">
        <v>45723.27513888889</v>
      </c>
      <c r="FF779" s="19"/>
      <c r="FG779" s="19"/>
      <c r="FH779" s="21" t="s">
        <v>197</v>
      </c>
      <c r="FI779" s="17" t="s">
        <v>214</v>
      </c>
      <c r="FJ779" s="18">
        <v>45723.27513888889</v>
      </c>
      <c r="FK779" s="14" t="s">
        <v>16286</v>
      </c>
      <c r="FL779" s="14" t="s">
        <v>16287</v>
      </c>
      <c r="FM779" s="14" t="s">
        <v>16288</v>
      </c>
      <c r="FN779" s="19"/>
      <c r="FO779" s="19"/>
      <c r="FP779" s="19" t="str">
        <f t="shared" si="1"/>
        <v>Base de Dados_Images/TIT20055.Imagem do Equipamento-.151237.jpg</v>
      </c>
      <c r="FQ779" s="19"/>
      <c r="FR779" s="19"/>
    </row>
    <row r="780" ht="15.75" customHeight="1">
      <c r="A780" s="12" t="s">
        <v>174</v>
      </c>
      <c r="B780" s="22" t="s">
        <v>1258</v>
      </c>
      <c r="C780" s="24" t="s">
        <v>375</v>
      </c>
      <c r="D780" s="22" t="s">
        <v>16289</v>
      </c>
      <c r="E780" s="22" t="s">
        <v>16290</v>
      </c>
      <c r="F780" s="13" t="s">
        <v>178</v>
      </c>
      <c r="G780" s="14" t="s">
        <v>179</v>
      </c>
      <c r="H780" s="14" t="s">
        <v>16291</v>
      </c>
      <c r="I780" s="14" t="s">
        <v>179</v>
      </c>
      <c r="J780" s="14" t="s">
        <v>16292</v>
      </c>
      <c r="K780" s="14" t="s">
        <v>179</v>
      </c>
      <c r="L780" s="14" t="s">
        <v>16292</v>
      </c>
      <c r="M780" s="14" t="s">
        <v>179</v>
      </c>
      <c r="N780" s="14" t="s">
        <v>16293</v>
      </c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6" t="s">
        <v>197</v>
      </c>
      <c r="BP780" s="17" t="s">
        <v>198</v>
      </c>
      <c r="BQ780" s="18">
        <v>45698.65015046296</v>
      </c>
      <c r="BR780" s="17" t="s">
        <v>198</v>
      </c>
      <c r="BS780" s="18">
        <v>45698.650185185186</v>
      </c>
      <c r="BT780" s="17" t="s">
        <v>198</v>
      </c>
      <c r="BU780" s="18">
        <v>45698.650185185186</v>
      </c>
      <c r="BV780" s="13" t="s">
        <v>199</v>
      </c>
      <c r="BW780" s="14" t="s">
        <v>179</v>
      </c>
      <c r="BX780" s="14" t="s">
        <v>16294</v>
      </c>
      <c r="BY780" s="14" t="s">
        <v>179</v>
      </c>
      <c r="BZ780" s="14" t="s">
        <v>16295</v>
      </c>
      <c r="CA780" s="14" t="s">
        <v>179</v>
      </c>
      <c r="CB780" s="14" t="s">
        <v>16296</v>
      </c>
      <c r="CC780" s="15"/>
      <c r="CD780" s="15"/>
      <c r="CE780" s="15"/>
      <c r="CF780" s="15"/>
      <c r="CG780" s="19"/>
      <c r="CH780" s="15"/>
      <c r="CI780" s="19"/>
      <c r="CJ780" s="15"/>
      <c r="CK780" s="19"/>
      <c r="CL780" s="15"/>
      <c r="CM780" s="19"/>
      <c r="CN780" s="15"/>
      <c r="CO780" s="19"/>
      <c r="CP780" s="15"/>
      <c r="CQ780" s="15"/>
      <c r="CR780" s="15"/>
      <c r="CS780" s="19"/>
      <c r="CT780" s="15"/>
      <c r="CU780" s="19"/>
      <c r="CV780" s="15"/>
      <c r="CW780" s="19"/>
      <c r="CX780" s="15"/>
      <c r="CY780" s="19"/>
      <c r="CZ780" s="15"/>
      <c r="DA780" s="16" t="s">
        <v>197</v>
      </c>
      <c r="DB780" s="17" t="s">
        <v>228</v>
      </c>
      <c r="DC780" s="16"/>
      <c r="DD780" s="17" t="s">
        <v>198</v>
      </c>
      <c r="DE780" s="18">
        <v>45698.69162037037</v>
      </c>
      <c r="DF780" s="17" t="s">
        <v>198</v>
      </c>
      <c r="DG780" s="18">
        <v>45698.69162037037</v>
      </c>
      <c r="DH780" s="13" t="s">
        <v>205</v>
      </c>
      <c r="DI780" s="14" t="s">
        <v>179</v>
      </c>
      <c r="DJ780" s="14" t="s">
        <v>16297</v>
      </c>
      <c r="DK780" s="14" t="s">
        <v>179</v>
      </c>
      <c r="DL780" s="14" t="s">
        <v>16298</v>
      </c>
      <c r="DM780" s="15"/>
      <c r="DN780" s="15"/>
      <c r="DO780" s="15"/>
      <c r="DP780" s="15"/>
      <c r="DQ780" s="15"/>
      <c r="DR780" s="15"/>
      <c r="DS780" s="15"/>
      <c r="DT780" s="15"/>
      <c r="DU780" s="15"/>
      <c r="DV780" s="15"/>
      <c r="DW780" s="15"/>
      <c r="DX780" s="15"/>
      <c r="DY780" s="15"/>
      <c r="DZ780" s="15"/>
      <c r="EA780" s="15"/>
      <c r="EB780" s="15"/>
      <c r="EC780" s="16" t="s">
        <v>197</v>
      </c>
      <c r="ED780" s="17" t="s">
        <v>198</v>
      </c>
      <c r="EE780" s="18">
        <v>45708.34269675926</v>
      </c>
      <c r="EF780" s="13" t="s">
        <v>209</v>
      </c>
      <c r="EG780" s="14" t="s">
        <v>179</v>
      </c>
      <c r="EH780" s="14" t="s">
        <v>16299</v>
      </c>
      <c r="EI780" s="14" t="s">
        <v>179</v>
      </c>
      <c r="EJ780" s="14" t="s">
        <v>16299</v>
      </c>
      <c r="EK780" s="15"/>
      <c r="EL780" s="15"/>
      <c r="EM780" s="15"/>
      <c r="EN780" s="15"/>
      <c r="EO780" s="15"/>
      <c r="EP780" s="15"/>
      <c r="EQ780" s="15"/>
      <c r="ER780" s="15"/>
      <c r="ES780" s="15"/>
      <c r="ET780" s="15"/>
      <c r="EU780" s="15"/>
      <c r="EV780" s="15"/>
      <c r="EW780" s="15"/>
      <c r="EX780" s="15"/>
      <c r="EY780" s="15"/>
      <c r="EZ780" s="15"/>
      <c r="FA780" s="15"/>
      <c r="FB780" s="15"/>
      <c r="FC780" s="16" t="s">
        <v>197</v>
      </c>
      <c r="FD780" s="17" t="s">
        <v>198</v>
      </c>
      <c r="FE780" s="18">
        <v>45723.287997685184</v>
      </c>
      <c r="FF780" s="19"/>
      <c r="FG780" s="19"/>
      <c r="FH780" s="21" t="s">
        <v>197</v>
      </c>
      <c r="FI780" s="17" t="s">
        <v>214</v>
      </c>
      <c r="FJ780" s="18">
        <v>45723.287997685184</v>
      </c>
      <c r="FK780" s="14" t="s">
        <v>16299</v>
      </c>
      <c r="FL780" s="14" t="s">
        <v>16300</v>
      </c>
      <c r="FM780" s="14" t="s">
        <v>16301</v>
      </c>
      <c r="FN780" s="19"/>
      <c r="FO780" s="19"/>
      <c r="FP780" s="19" t="str">
        <f t="shared" si="1"/>
        <v>Base de Dados_Images/TIT20062.Imagem do Equipamento-.142743.jpg</v>
      </c>
      <c r="FQ780" s="19"/>
      <c r="FR780" s="19"/>
    </row>
    <row r="781" ht="15.75" customHeight="1">
      <c r="A781" s="12" t="s">
        <v>174</v>
      </c>
      <c r="B781" s="22" t="s">
        <v>1258</v>
      </c>
      <c r="C781" s="24" t="s">
        <v>375</v>
      </c>
      <c r="D781" s="22" t="s">
        <v>16302</v>
      </c>
      <c r="E781" s="22" t="s">
        <v>16303</v>
      </c>
      <c r="F781" s="13" t="s">
        <v>178</v>
      </c>
      <c r="G781" s="14" t="s">
        <v>179</v>
      </c>
      <c r="H781" s="14" t="s">
        <v>16304</v>
      </c>
      <c r="I781" s="14" t="s">
        <v>179</v>
      </c>
      <c r="J781" s="14" t="s">
        <v>16305</v>
      </c>
      <c r="K781" s="14" t="s">
        <v>179</v>
      </c>
      <c r="L781" s="14" t="s">
        <v>16306</v>
      </c>
      <c r="M781" s="14" t="s">
        <v>179</v>
      </c>
      <c r="N781" s="14" t="s">
        <v>16307</v>
      </c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6" t="s">
        <v>197</v>
      </c>
      <c r="BP781" s="17" t="s">
        <v>198</v>
      </c>
      <c r="BQ781" s="18">
        <v>45688.471979166665</v>
      </c>
      <c r="BR781" s="17" t="s">
        <v>198</v>
      </c>
      <c r="BS781" s="18">
        <v>45688.47204861111</v>
      </c>
      <c r="BT781" s="17" t="s">
        <v>198</v>
      </c>
      <c r="BU781" s="18">
        <v>45688.47204861111</v>
      </c>
      <c r="BV781" s="13" t="s">
        <v>199</v>
      </c>
      <c r="BW781" s="14" t="s">
        <v>179</v>
      </c>
      <c r="BX781" s="14" t="s">
        <v>16308</v>
      </c>
      <c r="BY781" s="14" t="s">
        <v>179</v>
      </c>
      <c r="BZ781" s="14" t="s">
        <v>16309</v>
      </c>
      <c r="CA781" s="14" t="s">
        <v>179</v>
      </c>
      <c r="CB781" s="14" t="s">
        <v>16310</v>
      </c>
      <c r="CC781" s="15"/>
      <c r="CD781" s="15"/>
      <c r="CE781" s="15"/>
      <c r="CF781" s="15"/>
      <c r="CG781" s="19"/>
      <c r="CH781" s="15"/>
      <c r="CI781" s="19"/>
      <c r="CJ781" s="15"/>
      <c r="CK781" s="19"/>
      <c r="CL781" s="15"/>
      <c r="CM781" s="19"/>
      <c r="CN781" s="15"/>
      <c r="CO781" s="19"/>
      <c r="CP781" s="15"/>
      <c r="CQ781" s="15"/>
      <c r="CR781" s="15"/>
      <c r="CS781" s="19"/>
      <c r="CT781" s="15"/>
      <c r="CU781" s="19"/>
      <c r="CV781" s="15"/>
      <c r="CW781" s="19"/>
      <c r="CX781" s="15"/>
      <c r="CY781" s="19"/>
      <c r="CZ781" s="15"/>
      <c r="DA781" s="16" t="s">
        <v>197</v>
      </c>
      <c r="DB781" s="17" t="s">
        <v>228</v>
      </c>
      <c r="DC781" s="16"/>
      <c r="DD781" s="17" t="s">
        <v>198</v>
      </c>
      <c r="DE781" s="18">
        <v>45698.650821759256</v>
      </c>
      <c r="DF781" s="17" t="s">
        <v>198</v>
      </c>
      <c r="DG781" s="18">
        <v>45698.650821759256</v>
      </c>
      <c r="DH781" s="13" t="s">
        <v>205</v>
      </c>
      <c r="DI781" s="14" t="s">
        <v>179</v>
      </c>
      <c r="DJ781" s="14" t="s">
        <v>16311</v>
      </c>
      <c r="DK781" s="14" t="s">
        <v>179</v>
      </c>
      <c r="DL781" s="14" t="s">
        <v>16312</v>
      </c>
      <c r="DM781" s="15"/>
      <c r="DN781" s="15"/>
      <c r="DO781" s="15"/>
      <c r="DP781" s="15"/>
      <c r="DQ781" s="15"/>
      <c r="DR781" s="15"/>
      <c r="DS781" s="15"/>
      <c r="DT781" s="15"/>
      <c r="DU781" s="15"/>
      <c r="DV781" s="15"/>
      <c r="DW781" s="15"/>
      <c r="DX781" s="15"/>
      <c r="DY781" s="15"/>
      <c r="DZ781" s="15"/>
      <c r="EA781" s="15"/>
      <c r="EB781" s="15"/>
      <c r="EC781" s="16" t="s">
        <v>197</v>
      </c>
      <c r="ED781" s="17" t="s">
        <v>198</v>
      </c>
      <c r="EE781" s="18">
        <v>45708.34222222222</v>
      </c>
      <c r="EF781" s="13" t="s">
        <v>209</v>
      </c>
      <c r="EG781" s="14" t="s">
        <v>179</v>
      </c>
      <c r="EH781" s="14" t="s">
        <v>16313</v>
      </c>
      <c r="EI781" s="14" t="s">
        <v>179</v>
      </c>
      <c r="EJ781" s="14" t="s">
        <v>16313</v>
      </c>
      <c r="EK781" s="15"/>
      <c r="EL781" s="15"/>
      <c r="EM781" s="15"/>
      <c r="EN781" s="15"/>
      <c r="EO781" s="15"/>
      <c r="EP781" s="15"/>
      <c r="EQ781" s="15"/>
      <c r="ER781" s="15"/>
      <c r="ES781" s="15"/>
      <c r="ET781" s="15"/>
      <c r="EU781" s="15"/>
      <c r="EV781" s="15"/>
      <c r="EW781" s="15"/>
      <c r="EX781" s="15"/>
      <c r="EY781" s="15"/>
      <c r="EZ781" s="15"/>
      <c r="FA781" s="15"/>
      <c r="FB781" s="15"/>
      <c r="FC781" s="16" t="s">
        <v>197</v>
      </c>
      <c r="FD781" s="17" t="s">
        <v>198</v>
      </c>
      <c r="FE781" s="18">
        <v>45723.288148148145</v>
      </c>
      <c r="FF781" s="19"/>
      <c r="FG781" s="19"/>
      <c r="FH781" s="21" t="s">
        <v>197</v>
      </c>
      <c r="FI781" s="17" t="s">
        <v>214</v>
      </c>
      <c r="FJ781" s="18">
        <v>45723.288148148145</v>
      </c>
      <c r="FK781" s="14" t="s">
        <v>16313</v>
      </c>
      <c r="FL781" s="14" t="s">
        <v>16314</v>
      </c>
      <c r="FM781" s="14" t="s">
        <v>16315</v>
      </c>
      <c r="FN781" s="19"/>
      <c r="FO781" s="19"/>
      <c r="FP781" s="19" t="str">
        <f t="shared" si="1"/>
        <v>Base de Dados_Images/TIT20067.Imagem do Equipamento-.153900.jpg</v>
      </c>
      <c r="FQ781" s="19"/>
      <c r="FR781" s="19"/>
    </row>
    <row r="782" ht="15.75" customHeight="1">
      <c r="A782" s="12" t="s">
        <v>174</v>
      </c>
      <c r="B782" s="22" t="s">
        <v>1258</v>
      </c>
      <c r="C782" s="24" t="s">
        <v>375</v>
      </c>
      <c r="D782" s="22" t="s">
        <v>16316</v>
      </c>
      <c r="E782" s="22" t="s">
        <v>16317</v>
      </c>
      <c r="F782" s="13" t="s">
        <v>178</v>
      </c>
      <c r="G782" s="14" t="s">
        <v>179</v>
      </c>
      <c r="H782" s="14" t="s">
        <v>16318</v>
      </c>
      <c r="I782" s="14" t="s">
        <v>179</v>
      </c>
      <c r="J782" s="14" t="s">
        <v>16319</v>
      </c>
      <c r="K782" s="14" t="s">
        <v>179</v>
      </c>
      <c r="L782" s="14" t="s">
        <v>16319</v>
      </c>
      <c r="M782" s="14" t="s">
        <v>179</v>
      </c>
      <c r="N782" s="14" t="s">
        <v>16320</v>
      </c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6" t="s">
        <v>197</v>
      </c>
      <c r="BP782" s="17" t="s">
        <v>198</v>
      </c>
      <c r="BQ782" s="18">
        <v>45688.4696412037</v>
      </c>
      <c r="BR782" s="17" t="s">
        <v>198</v>
      </c>
      <c r="BS782" s="18">
        <v>45688.4696875</v>
      </c>
      <c r="BT782" s="17" t="s">
        <v>198</v>
      </c>
      <c r="BU782" s="18">
        <v>45688.4696875</v>
      </c>
      <c r="BV782" s="13" t="s">
        <v>199</v>
      </c>
      <c r="BW782" s="14" t="s">
        <v>179</v>
      </c>
      <c r="BX782" s="14" t="s">
        <v>16321</v>
      </c>
      <c r="BY782" s="14" t="s">
        <v>179</v>
      </c>
      <c r="BZ782" s="14" t="s">
        <v>16322</v>
      </c>
      <c r="CA782" s="14" t="s">
        <v>179</v>
      </c>
      <c r="CB782" s="14" t="s">
        <v>16323</v>
      </c>
      <c r="CC782" s="15"/>
      <c r="CD782" s="15"/>
      <c r="CE782" s="15"/>
      <c r="CF782" s="15"/>
      <c r="CG782" s="19"/>
      <c r="CH782" s="15"/>
      <c r="CI782" s="19"/>
      <c r="CJ782" s="15"/>
      <c r="CK782" s="19"/>
      <c r="CL782" s="15"/>
      <c r="CM782" s="19"/>
      <c r="CN782" s="15"/>
      <c r="CO782" s="19"/>
      <c r="CP782" s="15"/>
      <c r="CQ782" s="15"/>
      <c r="CR782" s="15"/>
      <c r="CS782" s="19"/>
      <c r="CT782" s="15"/>
      <c r="CU782" s="19"/>
      <c r="CV782" s="15"/>
      <c r="CW782" s="19"/>
      <c r="CX782" s="15"/>
      <c r="CY782" s="19"/>
      <c r="CZ782" s="15"/>
      <c r="DA782" s="16" t="s">
        <v>197</v>
      </c>
      <c r="DB782" s="17" t="s">
        <v>228</v>
      </c>
      <c r="DC782" s="16"/>
      <c r="DD782" s="17" t="s">
        <v>198</v>
      </c>
      <c r="DE782" s="18">
        <v>45698.6509375</v>
      </c>
      <c r="DF782" s="17" t="s">
        <v>198</v>
      </c>
      <c r="DG782" s="18">
        <v>45698.6509375</v>
      </c>
      <c r="DH782" s="13" t="s">
        <v>205</v>
      </c>
      <c r="DI782" s="14" t="s">
        <v>179</v>
      </c>
      <c r="DJ782" s="14" t="s">
        <v>16324</v>
      </c>
      <c r="DK782" s="14" t="s">
        <v>179</v>
      </c>
      <c r="DL782" s="14" t="s">
        <v>16325</v>
      </c>
      <c r="DM782" s="15"/>
      <c r="DN782" s="15"/>
      <c r="DO782" s="15"/>
      <c r="DP782" s="15"/>
      <c r="DQ782" s="15"/>
      <c r="DR782" s="15"/>
      <c r="DS782" s="15"/>
      <c r="DT782" s="15"/>
      <c r="DU782" s="15"/>
      <c r="DV782" s="15"/>
      <c r="DW782" s="15"/>
      <c r="DX782" s="15"/>
      <c r="DY782" s="15"/>
      <c r="DZ782" s="15"/>
      <c r="EA782" s="15"/>
      <c r="EB782" s="15"/>
      <c r="EC782" s="16" t="s">
        <v>197</v>
      </c>
      <c r="ED782" s="17" t="s">
        <v>198</v>
      </c>
      <c r="EE782" s="18">
        <v>45708.34204861111</v>
      </c>
      <c r="EF782" s="13" t="s">
        <v>209</v>
      </c>
      <c r="EG782" s="14" t="s">
        <v>179</v>
      </c>
      <c r="EH782" s="14" t="s">
        <v>16326</v>
      </c>
      <c r="EI782" s="14" t="s">
        <v>179</v>
      </c>
      <c r="EJ782" s="14" t="s">
        <v>16327</v>
      </c>
      <c r="EK782" s="15"/>
      <c r="EL782" s="15"/>
      <c r="EM782" s="15"/>
      <c r="EN782" s="15"/>
      <c r="EO782" s="15"/>
      <c r="EP782" s="15"/>
      <c r="EQ782" s="15"/>
      <c r="ER782" s="15"/>
      <c r="ES782" s="15"/>
      <c r="ET782" s="15"/>
      <c r="EU782" s="15"/>
      <c r="EV782" s="15"/>
      <c r="EW782" s="15"/>
      <c r="EX782" s="15"/>
      <c r="EY782" s="15"/>
      <c r="EZ782" s="15"/>
      <c r="FA782" s="15"/>
      <c r="FB782" s="15"/>
      <c r="FC782" s="16" t="s">
        <v>197</v>
      </c>
      <c r="FD782" s="17" t="s">
        <v>198</v>
      </c>
      <c r="FE782" s="18">
        <v>45723.288252314815</v>
      </c>
      <c r="FF782" s="19"/>
      <c r="FG782" s="19"/>
      <c r="FH782" s="21" t="s">
        <v>197</v>
      </c>
      <c r="FI782" s="17" t="s">
        <v>214</v>
      </c>
      <c r="FJ782" s="18">
        <v>45723.288252314815</v>
      </c>
      <c r="FK782" s="14" t="s">
        <v>16326</v>
      </c>
      <c r="FL782" s="14" t="s">
        <v>16328</v>
      </c>
      <c r="FM782" s="14" t="s">
        <v>16329</v>
      </c>
      <c r="FN782" s="19"/>
      <c r="FO782" s="19"/>
      <c r="FP782" s="19" t="str">
        <f t="shared" si="1"/>
        <v>Base de Dados_Images/TIT20068.Imagem do Equipamento-.153647.jpg</v>
      </c>
      <c r="FQ782" s="19"/>
      <c r="FR782" s="19"/>
    </row>
    <row r="783" ht="15.75" customHeight="1">
      <c r="A783" s="12" t="s">
        <v>174</v>
      </c>
      <c r="B783" s="22" t="s">
        <v>1258</v>
      </c>
      <c r="C783" s="24" t="s">
        <v>375</v>
      </c>
      <c r="D783" s="22" t="s">
        <v>16330</v>
      </c>
      <c r="E783" s="22" t="s">
        <v>16331</v>
      </c>
      <c r="F783" s="13" t="s">
        <v>178</v>
      </c>
      <c r="G783" s="14" t="s">
        <v>179</v>
      </c>
      <c r="H783" s="14" t="s">
        <v>16332</v>
      </c>
      <c r="I783" s="14" t="s">
        <v>179</v>
      </c>
      <c r="J783" s="14" t="s">
        <v>16332</v>
      </c>
      <c r="K783" s="14" t="s">
        <v>179</v>
      </c>
      <c r="L783" s="14" t="s">
        <v>16333</v>
      </c>
      <c r="M783" s="14" t="s">
        <v>179</v>
      </c>
      <c r="N783" s="14" t="s">
        <v>16333</v>
      </c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6" t="s">
        <v>197</v>
      </c>
      <c r="BP783" s="17" t="s">
        <v>198</v>
      </c>
      <c r="BQ783" s="18">
        <v>45688.47075231482</v>
      </c>
      <c r="BR783" s="17" t="s">
        <v>198</v>
      </c>
      <c r="BS783" s="18">
        <v>45688.470821759256</v>
      </c>
      <c r="BT783" s="17" t="s">
        <v>198</v>
      </c>
      <c r="BU783" s="18">
        <v>45688.470821759256</v>
      </c>
      <c r="BV783" s="13" t="s">
        <v>199</v>
      </c>
      <c r="BW783" s="14" t="s">
        <v>179</v>
      </c>
      <c r="BX783" s="14" t="s">
        <v>16334</v>
      </c>
      <c r="BY783" s="14" t="s">
        <v>179</v>
      </c>
      <c r="BZ783" s="14" t="s">
        <v>16335</v>
      </c>
      <c r="CA783" s="14" t="s">
        <v>179</v>
      </c>
      <c r="CB783" s="14" t="s">
        <v>16336</v>
      </c>
      <c r="CC783" s="15"/>
      <c r="CD783" s="15"/>
      <c r="CE783" s="15"/>
      <c r="CF783" s="15"/>
      <c r="CG783" s="19"/>
      <c r="CH783" s="15"/>
      <c r="CI783" s="19"/>
      <c r="CJ783" s="15"/>
      <c r="CK783" s="19"/>
      <c r="CL783" s="15"/>
      <c r="CM783" s="19"/>
      <c r="CN783" s="15"/>
      <c r="CO783" s="19"/>
      <c r="CP783" s="15"/>
      <c r="CQ783" s="15"/>
      <c r="CR783" s="15"/>
      <c r="CS783" s="19"/>
      <c r="CT783" s="15"/>
      <c r="CU783" s="19"/>
      <c r="CV783" s="15"/>
      <c r="CW783" s="19"/>
      <c r="CX783" s="15"/>
      <c r="CY783" s="19"/>
      <c r="CZ783" s="15"/>
      <c r="DA783" s="16" t="s">
        <v>197</v>
      </c>
      <c r="DB783" s="17" t="s">
        <v>228</v>
      </c>
      <c r="DC783" s="16"/>
      <c r="DD783" s="17" t="s">
        <v>198</v>
      </c>
      <c r="DE783" s="18">
        <v>45698.651041666664</v>
      </c>
      <c r="DF783" s="17" t="s">
        <v>198</v>
      </c>
      <c r="DG783" s="18">
        <v>45698.651041666664</v>
      </c>
      <c r="DH783" s="13" t="s">
        <v>205</v>
      </c>
      <c r="DI783" s="14" t="s">
        <v>179</v>
      </c>
      <c r="DJ783" s="14" t="s">
        <v>16337</v>
      </c>
      <c r="DK783" s="14" t="s">
        <v>179</v>
      </c>
      <c r="DL783" s="14" t="s">
        <v>16338</v>
      </c>
      <c r="DM783" s="15"/>
      <c r="DN783" s="15"/>
      <c r="DO783" s="15"/>
      <c r="DP783" s="15"/>
      <c r="DQ783" s="15"/>
      <c r="DR783" s="15"/>
      <c r="DS783" s="15"/>
      <c r="DT783" s="15"/>
      <c r="DU783" s="15"/>
      <c r="DV783" s="15"/>
      <c r="DW783" s="15"/>
      <c r="DX783" s="15"/>
      <c r="DY783" s="15"/>
      <c r="DZ783" s="15"/>
      <c r="EA783" s="15"/>
      <c r="EB783" s="15"/>
      <c r="EC783" s="16" t="s">
        <v>197</v>
      </c>
      <c r="ED783" s="17" t="s">
        <v>198</v>
      </c>
      <c r="EE783" s="18">
        <v>45708.34196759259</v>
      </c>
      <c r="EF783" s="13" t="s">
        <v>209</v>
      </c>
      <c r="EG783" s="14" t="s">
        <v>179</v>
      </c>
      <c r="EH783" s="14" t="s">
        <v>16339</v>
      </c>
      <c r="EI783" s="14" t="s">
        <v>179</v>
      </c>
      <c r="EJ783" s="14" t="s">
        <v>16339</v>
      </c>
      <c r="EK783" s="15"/>
      <c r="EL783" s="15"/>
      <c r="EM783" s="15"/>
      <c r="EN783" s="15"/>
      <c r="EO783" s="15"/>
      <c r="EP783" s="15"/>
      <c r="EQ783" s="15"/>
      <c r="ER783" s="15"/>
      <c r="ES783" s="15"/>
      <c r="ET783" s="15"/>
      <c r="EU783" s="15"/>
      <c r="EV783" s="15"/>
      <c r="EW783" s="15"/>
      <c r="EX783" s="15"/>
      <c r="EY783" s="15"/>
      <c r="EZ783" s="15"/>
      <c r="FA783" s="15"/>
      <c r="FB783" s="15"/>
      <c r="FC783" s="16" t="s">
        <v>197</v>
      </c>
      <c r="FD783" s="17" t="s">
        <v>198</v>
      </c>
      <c r="FE783" s="18">
        <v>45723.28833333333</v>
      </c>
      <c r="FF783" s="19"/>
      <c r="FG783" s="19"/>
      <c r="FH783" s="21" t="s">
        <v>197</v>
      </c>
      <c r="FI783" s="17" t="s">
        <v>214</v>
      </c>
      <c r="FJ783" s="18">
        <v>45723.28833333333</v>
      </c>
      <c r="FK783" s="14" t="s">
        <v>16339</v>
      </c>
      <c r="FL783" s="14" t="s">
        <v>16340</v>
      </c>
      <c r="FM783" s="14" t="s">
        <v>16341</v>
      </c>
      <c r="FN783" s="19"/>
      <c r="FO783" s="19"/>
      <c r="FP783" s="19" t="str">
        <f t="shared" si="1"/>
        <v>Base de Dados_Images/TIT20069.Imagem do Equipamento-.153755.jpg</v>
      </c>
      <c r="FQ783" s="19"/>
      <c r="FR783" s="19"/>
    </row>
    <row r="784" ht="15.75" customHeight="1">
      <c r="A784" s="12" t="s">
        <v>174</v>
      </c>
      <c r="B784" s="22" t="s">
        <v>1258</v>
      </c>
      <c r="C784" s="24" t="s">
        <v>375</v>
      </c>
      <c r="D784" s="22" t="s">
        <v>16342</v>
      </c>
      <c r="E784" s="22" t="s">
        <v>16343</v>
      </c>
      <c r="F784" s="13" t="s">
        <v>178</v>
      </c>
      <c r="G784" s="14" t="s">
        <v>179</v>
      </c>
      <c r="H784" s="14" t="s">
        <v>16344</v>
      </c>
      <c r="I784" s="14" t="s">
        <v>179</v>
      </c>
      <c r="J784" s="14" t="s">
        <v>16345</v>
      </c>
      <c r="K784" s="14" t="s">
        <v>179</v>
      </c>
      <c r="L784" s="14" t="s">
        <v>16346</v>
      </c>
      <c r="M784" s="14" t="s">
        <v>179</v>
      </c>
      <c r="N784" s="14" t="s">
        <v>16347</v>
      </c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6" t="s">
        <v>197</v>
      </c>
      <c r="BP784" s="17" t="s">
        <v>198</v>
      </c>
      <c r="BQ784" s="18">
        <v>45688.470138888886</v>
      </c>
      <c r="BR784" s="17" t="s">
        <v>198</v>
      </c>
      <c r="BS784" s="18">
        <v>45688.470185185186</v>
      </c>
      <c r="BT784" s="17" t="s">
        <v>198</v>
      </c>
      <c r="BU784" s="18">
        <v>45688.470185185186</v>
      </c>
      <c r="BV784" s="13" t="s">
        <v>199</v>
      </c>
      <c r="BW784" s="14" t="s">
        <v>179</v>
      </c>
      <c r="BX784" s="14" t="s">
        <v>14752</v>
      </c>
      <c r="BY784" s="14" t="s">
        <v>179</v>
      </c>
      <c r="BZ784" s="14" t="s">
        <v>14753</v>
      </c>
      <c r="CA784" s="14" t="s">
        <v>179</v>
      </c>
      <c r="CB784" s="14" t="s">
        <v>16348</v>
      </c>
      <c r="CC784" s="15"/>
      <c r="CD784" s="15"/>
      <c r="CE784" s="15"/>
      <c r="CF784" s="15"/>
      <c r="CG784" s="19"/>
      <c r="CH784" s="15"/>
      <c r="CI784" s="19"/>
      <c r="CJ784" s="15"/>
      <c r="CK784" s="19"/>
      <c r="CL784" s="15"/>
      <c r="CM784" s="19"/>
      <c r="CN784" s="15"/>
      <c r="CO784" s="19"/>
      <c r="CP784" s="15"/>
      <c r="CQ784" s="15"/>
      <c r="CR784" s="15"/>
      <c r="CS784" s="19"/>
      <c r="CT784" s="15"/>
      <c r="CU784" s="19"/>
      <c r="CV784" s="15"/>
      <c r="CW784" s="19"/>
      <c r="CX784" s="15"/>
      <c r="CY784" s="19"/>
      <c r="CZ784" s="15"/>
      <c r="DA784" s="16" t="s">
        <v>197</v>
      </c>
      <c r="DB784" s="17" t="s">
        <v>228</v>
      </c>
      <c r="DC784" s="16"/>
      <c r="DD784" s="17" t="s">
        <v>198</v>
      </c>
      <c r="DE784" s="18">
        <v>45698.65116898148</v>
      </c>
      <c r="DF784" s="17" t="s">
        <v>198</v>
      </c>
      <c r="DG784" s="18">
        <v>45698.65116898148</v>
      </c>
      <c r="DH784" s="13" t="s">
        <v>205</v>
      </c>
      <c r="DI784" s="14" t="s">
        <v>179</v>
      </c>
      <c r="DJ784" s="14" t="s">
        <v>16349</v>
      </c>
      <c r="DK784" s="14" t="s">
        <v>179</v>
      </c>
      <c r="DL784" s="14" t="s">
        <v>16350</v>
      </c>
      <c r="DM784" s="15"/>
      <c r="DN784" s="15"/>
      <c r="DO784" s="15"/>
      <c r="DP784" s="15"/>
      <c r="DQ784" s="15"/>
      <c r="DR784" s="15"/>
      <c r="DS784" s="15"/>
      <c r="DT784" s="15"/>
      <c r="DU784" s="15"/>
      <c r="DV784" s="15"/>
      <c r="DW784" s="15"/>
      <c r="DX784" s="15"/>
      <c r="DY784" s="15"/>
      <c r="DZ784" s="15"/>
      <c r="EA784" s="15"/>
      <c r="EB784" s="15"/>
      <c r="EC784" s="16" t="s">
        <v>197</v>
      </c>
      <c r="ED784" s="17" t="s">
        <v>198</v>
      </c>
      <c r="EE784" s="18">
        <v>45708.341875</v>
      </c>
      <c r="EF784" s="13" t="s">
        <v>209</v>
      </c>
      <c r="EG784" s="14" t="s">
        <v>179</v>
      </c>
      <c r="EH784" s="14" t="s">
        <v>16351</v>
      </c>
      <c r="EI784" s="14" t="s">
        <v>179</v>
      </c>
      <c r="EJ784" s="14" t="s">
        <v>16351</v>
      </c>
      <c r="EK784" s="15"/>
      <c r="EL784" s="15"/>
      <c r="EM784" s="15"/>
      <c r="EN784" s="15"/>
      <c r="EO784" s="15"/>
      <c r="EP784" s="15"/>
      <c r="EQ784" s="15"/>
      <c r="ER784" s="15"/>
      <c r="ES784" s="15"/>
      <c r="ET784" s="15"/>
      <c r="EU784" s="15"/>
      <c r="EV784" s="15"/>
      <c r="EW784" s="15"/>
      <c r="EX784" s="15"/>
      <c r="EY784" s="15"/>
      <c r="EZ784" s="15"/>
      <c r="FA784" s="15"/>
      <c r="FB784" s="15"/>
      <c r="FC784" s="16" t="s">
        <v>197</v>
      </c>
      <c r="FD784" s="17" t="s">
        <v>198</v>
      </c>
      <c r="FE784" s="18">
        <v>45723.288402777776</v>
      </c>
      <c r="FF784" s="19"/>
      <c r="FG784" s="19"/>
      <c r="FH784" s="21" t="s">
        <v>197</v>
      </c>
      <c r="FI784" s="17" t="s">
        <v>214</v>
      </c>
      <c r="FJ784" s="18">
        <v>45723.288402777776</v>
      </c>
      <c r="FK784" s="14" t="s">
        <v>16351</v>
      </c>
      <c r="FL784" s="14" t="s">
        <v>16352</v>
      </c>
      <c r="FM784" s="14" t="s">
        <v>16353</v>
      </c>
      <c r="FN784" s="19"/>
      <c r="FO784" s="19"/>
      <c r="FP784" s="19" t="str">
        <f t="shared" si="1"/>
        <v>Base de Dados_Images/TIT20070.Imagem do Equipamento-.153725.jpg</v>
      </c>
      <c r="FQ784" s="19"/>
      <c r="FR784" s="19"/>
    </row>
    <row r="785" ht="15.75" customHeight="1">
      <c r="A785" s="12" t="s">
        <v>174</v>
      </c>
      <c r="B785" s="22" t="s">
        <v>1258</v>
      </c>
      <c r="C785" s="24" t="s">
        <v>375</v>
      </c>
      <c r="D785" s="22" t="s">
        <v>16354</v>
      </c>
      <c r="E785" s="22" t="s">
        <v>16355</v>
      </c>
      <c r="F785" s="13" t="s">
        <v>178</v>
      </c>
      <c r="G785" s="14" t="s">
        <v>179</v>
      </c>
      <c r="H785" s="14" t="s">
        <v>16356</v>
      </c>
      <c r="I785" s="14" t="s">
        <v>179</v>
      </c>
      <c r="J785" s="14" t="s">
        <v>16356</v>
      </c>
      <c r="K785" s="14" t="s">
        <v>179</v>
      </c>
      <c r="L785" s="14" t="s">
        <v>16357</v>
      </c>
      <c r="M785" s="14" t="s">
        <v>179</v>
      </c>
      <c r="N785" s="14" t="s">
        <v>16358</v>
      </c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6" t="s">
        <v>197</v>
      </c>
      <c r="BP785" s="17" t="s">
        <v>198</v>
      </c>
      <c r="BQ785" s="18">
        <v>45688.468831018516</v>
      </c>
      <c r="BR785" s="17" t="s">
        <v>198</v>
      </c>
      <c r="BS785" s="18">
        <v>45688.468981481485</v>
      </c>
      <c r="BT785" s="17" t="s">
        <v>198</v>
      </c>
      <c r="BU785" s="18">
        <v>45688.468981481485</v>
      </c>
      <c r="BV785" s="13" t="s">
        <v>199</v>
      </c>
      <c r="BW785" s="14" t="s">
        <v>179</v>
      </c>
      <c r="BX785" s="14" t="s">
        <v>16359</v>
      </c>
      <c r="BY785" s="14" t="s">
        <v>179</v>
      </c>
      <c r="BZ785" s="14" t="s">
        <v>16360</v>
      </c>
      <c r="CA785" s="14" t="s">
        <v>179</v>
      </c>
      <c r="CB785" s="14" t="s">
        <v>16361</v>
      </c>
      <c r="CC785" s="15"/>
      <c r="CD785" s="15"/>
      <c r="CE785" s="15"/>
      <c r="CF785" s="15"/>
      <c r="CG785" s="19"/>
      <c r="CH785" s="15"/>
      <c r="CI785" s="19"/>
      <c r="CJ785" s="15"/>
      <c r="CK785" s="19"/>
      <c r="CL785" s="15"/>
      <c r="CM785" s="19"/>
      <c r="CN785" s="15"/>
      <c r="CO785" s="19"/>
      <c r="CP785" s="15"/>
      <c r="CQ785" s="15"/>
      <c r="CR785" s="15"/>
      <c r="CS785" s="19"/>
      <c r="CT785" s="15"/>
      <c r="CU785" s="19"/>
      <c r="CV785" s="15"/>
      <c r="CW785" s="19"/>
      <c r="CX785" s="15"/>
      <c r="CY785" s="19"/>
      <c r="CZ785" s="15"/>
      <c r="DA785" s="16" t="s">
        <v>197</v>
      </c>
      <c r="DB785" s="17" t="s">
        <v>228</v>
      </c>
      <c r="DC785" s="16"/>
      <c r="DD785" s="17" t="s">
        <v>198</v>
      </c>
      <c r="DE785" s="18">
        <v>45698.65127314815</v>
      </c>
      <c r="DF785" s="17" t="s">
        <v>198</v>
      </c>
      <c r="DG785" s="18">
        <v>45698.65127314815</v>
      </c>
      <c r="DH785" s="13" t="s">
        <v>205</v>
      </c>
      <c r="DI785" s="14" t="s">
        <v>179</v>
      </c>
      <c r="DJ785" s="14" t="s">
        <v>16362</v>
      </c>
      <c r="DK785" s="14" t="s">
        <v>179</v>
      </c>
      <c r="DL785" s="14" t="s">
        <v>16363</v>
      </c>
      <c r="DM785" s="15"/>
      <c r="DN785" s="15"/>
      <c r="DO785" s="15"/>
      <c r="DP785" s="15"/>
      <c r="DQ785" s="15"/>
      <c r="DR785" s="15"/>
      <c r="DS785" s="15"/>
      <c r="DT785" s="15"/>
      <c r="DU785" s="15"/>
      <c r="DV785" s="15"/>
      <c r="DW785" s="15"/>
      <c r="DX785" s="15"/>
      <c r="DY785" s="15"/>
      <c r="DZ785" s="15"/>
      <c r="EA785" s="15"/>
      <c r="EB785" s="15"/>
      <c r="EC785" s="16" t="s">
        <v>197</v>
      </c>
      <c r="ED785" s="17" t="s">
        <v>198</v>
      </c>
      <c r="EE785" s="18">
        <v>45708.34174768518</v>
      </c>
      <c r="EF785" s="13" t="s">
        <v>209</v>
      </c>
      <c r="EG785" s="14" t="s">
        <v>179</v>
      </c>
      <c r="EH785" s="14" t="s">
        <v>16364</v>
      </c>
      <c r="EI785" s="14" t="s">
        <v>179</v>
      </c>
      <c r="EJ785" s="14" t="s">
        <v>16365</v>
      </c>
      <c r="EK785" s="15"/>
      <c r="EL785" s="15"/>
      <c r="EM785" s="15"/>
      <c r="EN785" s="15"/>
      <c r="EO785" s="15"/>
      <c r="EP785" s="15"/>
      <c r="EQ785" s="15"/>
      <c r="ER785" s="15"/>
      <c r="ES785" s="15"/>
      <c r="ET785" s="15"/>
      <c r="EU785" s="15"/>
      <c r="EV785" s="15"/>
      <c r="EW785" s="15"/>
      <c r="EX785" s="15"/>
      <c r="EY785" s="15"/>
      <c r="EZ785" s="15"/>
      <c r="FA785" s="15"/>
      <c r="FB785" s="15"/>
      <c r="FC785" s="16" t="s">
        <v>197</v>
      </c>
      <c r="FD785" s="17" t="s">
        <v>198</v>
      </c>
      <c r="FE785" s="18">
        <v>45723.2884837963</v>
      </c>
      <c r="FF785" s="19"/>
      <c r="FG785" s="19"/>
      <c r="FH785" s="21" t="s">
        <v>197</v>
      </c>
      <c r="FI785" s="17" t="s">
        <v>214</v>
      </c>
      <c r="FJ785" s="18">
        <v>45723.2884837963</v>
      </c>
      <c r="FK785" s="14" t="s">
        <v>16365</v>
      </c>
      <c r="FL785" s="14" t="s">
        <v>16366</v>
      </c>
      <c r="FM785" s="14" t="s">
        <v>16367</v>
      </c>
      <c r="FN785" s="19"/>
      <c r="FO785" s="19"/>
      <c r="FP785" s="19" t="str">
        <f t="shared" si="1"/>
        <v>Base de Dados_Images/TIT20071.Imagem do Equipamento-.153614.jpg</v>
      </c>
      <c r="FQ785" s="19"/>
      <c r="FR785" s="19"/>
    </row>
    <row r="786" ht="15.75" customHeight="1">
      <c r="A786" s="12" t="s">
        <v>174</v>
      </c>
      <c r="B786" s="22" t="s">
        <v>1258</v>
      </c>
      <c r="C786" s="24" t="s">
        <v>375</v>
      </c>
      <c r="D786" s="22" t="s">
        <v>16368</v>
      </c>
      <c r="E786" s="22" t="s">
        <v>16369</v>
      </c>
      <c r="F786" s="13" t="s">
        <v>178</v>
      </c>
      <c r="G786" s="14" t="s">
        <v>179</v>
      </c>
      <c r="H786" s="14" t="s">
        <v>16370</v>
      </c>
      <c r="I786" s="14" t="s">
        <v>179</v>
      </c>
      <c r="J786" s="14" t="s">
        <v>16371</v>
      </c>
      <c r="K786" s="14" t="s">
        <v>179</v>
      </c>
      <c r="L786" s="14" t="s">
        <v>16372</v>
      </c>
      <c r="M786" s="14" t="s">
        <v>179</v>
      </c>
      <c r="N786" s="14" t="s">
        <v>16372</v>
      </c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6" t="s">
        <v>197</v>
      </c>
      <c r="BP786" s="17" t="s">
        <v>198</v>
      </c>
      <c r="BQ786" s="18">
        <v>45688.46841435185</v>
      </c>
      <c r="BR786" s="17" t="s">
        <v>198</v>
      </c>
      <c r="BS786" s="18">
        <v>45688.4684375</v>
      </c>
      <c r="BT786" s="17" t="s">
        <v>198</v>
      </c>
      <c r="BU786" s="18">
        <v>45688.4684375</v>
      </c>
      <c r="BV786" s="13" t="s">
        <v>199</v>
      </c>
      <c r="BW786" s="14" t="s">
        <v>179</v>
      </c>
      <c r="BX786" s="14" t="s">
        <v>16373</v>
      </c>
      <c r="BY786" s="14" t="s">
        <v>179</v>
      </c>
      <c r="BZ786" s="14" t="s">
        <v>16374</v>
      </c>
      <c r="CA786" s="14" t="s">
        <v>179</v>
      </c>
      <c r="CB786" s="14" t="s">
        <v>16375</v>
      </c>
      <c r="CC786" s="15"/>
      <c r="CD786" s="15"/>
      <c r="CE786" s="15"/>
      <c r="CF786" s="15"/>
      <c r="CG786" s="19"/>
      <c r="CH786" s="15"/>
      <c r="CI786" s="19"/>
      <c r="CJ786" s="15"/>
      <c r="CK786" s="19"/>
      <c r="CL786" s="15"/>
      <c r="CM786" s="19"/>
      <c r="CN786" s="15"/>
      <c r="CO786" s="19"/>
      <c r="CP786" s="15"/>
      <c r="CQ786" s="15"/>
      <c r="CR786" s="15"/>
      <c r="CS786" s="19"/>
      <c r="CT786" s="15"/>
      <c r="CU786" s="19"/>
      <c r="CV786" s="15"/>
      <c r="CW786" s="19"/>
      <c r="CX786" s="15"/>
      <c r="CY786" s="19"/>
      <c r="CZ786" s="15"/>
      <c r="DA786" s="16" t="s">
        <v>197</v>
      </c>
      <c r="DB786" s="17" t="s">
        <v>228</v>
      </c>
      <c r="DC786" s="16"/>
      <c r="DD786" s="17" t="s">
        <v>198</v>
      </c>
      <c r="DE786" s="18">
        <v>45698.65138888889</v>
      </c>
      <c r="DF786" s="17" t="s">
        <v>198</v>
      </c>
      <c r="DG786" s="18">
        <v>45698.65138888889</v>
      </c>
      <c r="DH786" s="13" t="s">
        <v>205</v>
      </c>
      <c r="DI786" s="14" t="s">
        <v>179</v>
      </c>
      <c r="DJ786" s="14" t="s">
        <v>16376</v>
      </c>
      <c r="DK786" s="14" t="s">
        <v>179</v>
      </c>
      <c r="DL786" s="14" t="s">
        <v>16376</v>
      </c>
      <c r="DM786" s="15"/>
      <c r="DN786" s="15"/>
      <c r="DO786" s="15"/>
      <c r="DP786" s="15"/>
      <c r="DQ786" s="15"/>
      <c r="DR786" s="15"/>
      <c r="DS786" s="15"/>
      <c r="DT786" s="15"/>
      <c r="DU786" s="15"/>
      <c r="DV786" s="15"/>
      <c r="DW786" s="15"/>
      <c r="DX786" s="15"/>
      <c r="DY786" s="15"/>
      <c r="DZ786" s="15"/>
      <c r="EA786" s="15"/>
      <c r="EB786" s="15"/>
      <c r="EC786" s="16" t="s">
        <v>197</v>
      </c>
      <c r="ED786" s="17" t="s">
        <v>198</v>
      </c>
      <c r="EE786" s="18">
        <v>45708.34165509259</v>
      </c>
      <c r="EF786" s="13" t="s">
        <v>209</v>
      </c>
      <c r="EG786" s="14" t="s">
        <v>179</v>
      </c>
      <c r="EH786" s="14" t="s">
        <v>16377</v>
      </c>
      <c r="EI786" s="14" t="s">
        <v>179</v>
      </c>
      <c r="EJ786" s="14" t="s">
        <v>16378</v>
      </c>
      <c r="EK786" s="15"/>
      <c r="EL786" s="15"/>
      <c r="EM786" s="15"/>
      <c r="EN786" s="15"/>
      <c r="EO786" s="15"/>
      <c r="EP786" s="15"/>
      <c r="EQ786" s="15"/>
      <c r="ER786" s="15"/>
      <c r="ES786" s="15"/>
      <c r="ET786" s="15"/>
      <c r="EU786" s="15"/>
      <c r="EV786" s="15"/>
      <c r="EW786" s="15"/>
      <c r="EX786" s="15"/>
      <c r="EY786" s="15"/>
      <c r="EZ786" s="15"/>
      <c r="FA786" s="15"/>
      <c r="FB786" s="15"/>
      <c r="FC786" s="16" t="s">
        <v>197</v>
      </c>
      <c r="FD786" s="17" t="s">
        <v>198</v>
      </c>
      <c r="FE786" s="18">
        <v>45723.28855324074</v>
      </c>
      <c r="FF786" s="19"/>
      <c r="FG786" s="19"/>
      <c r="FH786" s="21" t="s">
        <v>197</v>
      </c>
      <c r="FI786" s="17" t="s">
        <v>214</v>
      </c>
      <c r="FJ786" s="18">
        <v>45723.28855324074</v>
      </c>
      <c r="FK786" s="14" t="s">
        <v>16377</v>
      </c>
      <c r="FL786" s="14" t="s">
        <v>16379</v>
      </c>
      <c r="FM786" s="14" t="s">
        <v>16380</v>
      </c>
      <c r="FN786" s="19"/>
      <c r="FO786" s="19"/>
      <c r="FP786" s="19" t="str">
        <f t="shared" si="1"/>
        <v>Base de Dados_Images/TIT20072.Imagem do Equipamento-.153544.jpg</v>
      </c>
      <c r="FQ786" s="19"/>
      <c r="FR786" s="19"/>
    </row>
    <row r="787" ht="15.75" customHeight="1">
      <c r="A787" s="12" t="s">
        <v>174</v>
      </c>
      <c r="B787" s="22" t="s">
        <v>1258</v>
      </c>
      <c r="C787" s="24" t="s">
        <v>375</v>
      </c>
      <c r="D787" s="22" t="s">
        <v>16381</v>
      </c>
      <c r="E787" s="22" t="s">
        <v>16382</v>
      </c>
      <c r="F787" s="13" t="s">
        <v>178</v>
      </c>
      <c r="G787" s="14" t="s">
        <v>179</v>
      </c>
      <c r="H787" s="14" t="s">
        <v>16383</v>
      </c>
      <c r="I787" s="14" t="s">
        <v>179</v>
      </c>
      <c r="J787" s="14" t="s">
        <v>16384</v>
      </c>
      <c r="K787" s="14" t="s">
        <v>179</v>
      </c>
      <c r="L787" s="14" t="s">
        <v>16385</v>
      </c>
      <c r="M787" s="14" t="s">
        <v>179</v>
      </c>
      <c r="N787" s="14" t="s">
        <v>16386</v>
      </c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6" t="s">
        <v>197</v>
      </c>
      <c r="BP787" s="17" t="s">
        <v>198</v>
      </c>
      <c r="BQ787" s="18">
        <v>45688.47158564815</v>
      </c>
      <c r="BR787" s="17" t="s">
        <v>198</v>
      </c>
      <c r="BS787" s="18">
        <v>45688.47164351852</v>
      </c>
      <c r="BT787" s="17" t="s">
        <v>198</v>
      </c>
      <c r="BU787" s="18">
        <v>45688.47164351852</v>
      </c>
      <c r="BV787" s="13" t="s">
        <v>199</v>
      </c>
      <c r="BW787" s="14" t="s">
        <v>179</v>
      </c>
      <c r="BX787" s="14" t="s">
        <v>16387</v>
      </c>
      <c r="BY787" s="14" t="s">
        <v>179</v>
      </c>
      <c r="BZ787" s="14" t="s">
        <v>16388</v>
      </c>
      <c r="CA787" s="14" t="s">
        <v>179</v>
      </c>
      <c r="CB787" s="14" t="s">
        <v>16389</v>
      </c>
      <c r="CC787" s="15"/>
      <c r="CD787" s="15"/>
      <c r="CE787" s="15"/>
      <c r="CF787" s="15"/>
      <c r="CG787" s="19"/>
      <c r="CH787" s="15"/>
      <c r="CI787" s="19"/>
      <c r="CJ787" s="15"/>
      <c r="CK787" s="19"/>
      <c r="CL787" s="15"/>
      <c r="CM787" s="19"/>
      <c r="CN787" s="15"/>
      <c r="CO787" s="19"/>
      <c r="CP787" s="15"/>
      <c r="CQ787" s="15"/>
      <c r="CR787" s="15"/>
      <c r="CS787" s="19"/>
      <c r="CT787" s="15"/>
      <c r="CU787" s="19"/>
      <c r="CV787" s="15"/>
      <c r="CW787" s="19"/>
      <c r="CX787" s="15"/>
      <c r="CY787" s="19"/>
      <c r="CZ787" s="15"/>
      <c r="DA787" s="16" t="s">
        <v>197</v>
      </c>
      <c r="DB787" s="17" t="s">
        <v>228</v>
      </c>
      <c r="DC787" s="16"/>
      <c r="DD787" s="17" t="s">
        <v>198</v>
      </c>
      <c r="DE787" s="18">
        <v>45698.651550925926</v>
      </c>
      <c r="DF787" s="17" t="s">
        <v>198</v>
      </c>
      <c r="DG787" s="18">
        <v>45698.651550925926</v>
      </c>
      <c r="DH787" s="13" t="s">
        <v>205</v>
      </c>
      <c r="DI787" s="14" t="s">
        <v>179</v>
      </c>
      <c r="DJ787" s="14" t="s">
        <v>16390</v>
      </c>
      <c r="DK787" s="14" t="s">
        <v>179</v>
      </c>
      <c r="DL787" s="14" t="s">
        <v>16391</v>
      </c>
      <c r="DM787" s="15"/>
      <c r="DN787" s="15"/>
      <c r="DO787" s="15"/>
      <c r="DP787" s="15"/>
      <c r="DQ787" s="15"/>
      <c r="DR787" s="15"/>
      <c r="DS787" s="15"/>
      <c r="DT787" s="15"/>
      <c r="DU787" s="15"/>
      <c r="DV787" s="15"/>
      <c r="DW787" s="15"/>
      <c r="DX787" s="15"/>
      <c r="DY787" s="15"/>
      <c r="DZ787" s="15"/>
      <c r="EA787" s="15"/>
      <c r="EB787" s="15"/>
      <c r="EC787" s="16" t="s">
        <v>197</v>
      </c>
      <c r="ED787" s="17" t="s">
        <v>198</v>
      </c>
      <c r="EE787" s="18">
        <v>45708.3415625</v>
      </c>
      <c r="EF787" s="13" t="s">
        <v>209</v>
      </c>
      <c r="EG787" s="14" t="s">
        <v>179</v>
      </c>
      <c r="EH787" s="14" t="s">
        <v>16392</v>
      </c>
      <c r="EI787" s="14" t="s">
        <v>179</v>
      </c>
      <c r="EJ787" s="14" t="s">
        <v>16393</v>
      </c>
      <c r="EK787" s="15"/>
      <c r="EL787" s="15"/>
      <c r="EM787" s="15"/>
      <c r="EN787" s="15"/>
      <c r="EO787" s="15"/>
      <c r="EP787" s="15"/>
      <c r="EQ787" s="15"/>
      <c r="ER787" s="15"/>
      <c r="ES787" s="15"/>
      <c r="ET787" s="15"/>
      <c r="EU787" s="15"/>
      <c r="EV787" s="15"/>
      <c r="EW787" s="15"/>
      <c r="EX787" s="15"/>
      <c r="EY787" s="15"/>
      <c r="EZ787" s="15"/>
      <c r="FA787" s="15"/>
      <c r="FB787" s="15"/>
      <c r="FC787" s="16" t="s">
        <v>197</v>
      </c>
      <c r="FD787" s="17" t="s">
        <v>198</v>
      </c>
      <c r="FE787" s="18">
        <v>45723.28863425926</v>
      </c>
      <c r="FF787" s="19"/>
      <c r="FG787" s="19"/>
      <c r="FH787" s="21" t="s">
        <v>197</v>
      </c>
      <c r="FI787" s="17" t="s">
        <v>214</v>
      </c>
      <c r="FJ787" s="18">
        <v>45723.28863425926</v>
      </c>
      <c r="FK787" s="14" t="s">
        <v>16393</v>
      </c>
      <c r="FL787" s="14" t="s">
        <v>16394</v>
      </c>
      <c r="FM787" s="14" t="s">
        <v>16395</v>
      </c>
      <c r="FN787" s="19"/>
      <c r="FO787" s="19"/>
      <c r="FP787" s="19" t="str">
        <f t="shared" si="1"/>
        <v>Base de Dados_Images/TIT20073.Imagem do Equipamento-.153829.jpg</v>
      </c>
      <c r="FQ787" s="19"/>
      <c r="FR787" s="19"/>
    </row>
    <row r="788" ht="15.75" customHeight="1">
      <c r="A788" s="12" t="s">
        <v>174</v>
      </c>
      <c r="B788" s="22" t="s">
        <v>617</v>
      </c>
      <c r="C788" s="24" t="s">
        <v>375</v>
      </c>
      <c r="D788" s="22" t="s">
        <v>16396</v>
      </c>
      <c r="E788" s="22" t="s">
        <v>16397</v>
      </c>
      <c r="F788" s="13" t="s">
        <v>178</v>
      </c>
      <c r="G788" s="14" t="s">
        <v>179</v>
      </c>
      <c r="H788" s="14" t="s">
        <v>16398</v>
      </c>
      <c r="I788" s="14" t="s">
        <v>179</v>
      </c>
      <c r="J788" s="14" t="s">
        <v>16399</v>
      </c>
      <c r="K788" s="14" t="s">
        <v>179</v>
      </c>
      <c r="L788" s="14" t="s">
        <v>16399</v>
      </c>
      <c r="M788" s="14" t="s">
        <v>179</v>
      </c>
      <c r="N788" s="14" t="s">
        <v>16400</v>
      </c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6" t="s">
        <v>197</v>
      </c>
      <c r="BP788" s="17" t="s">
        <v>198</v>
      </c>
      <c r="BQ788" s="18">
        <v>45686.49298611111</v>
      </c>
      <c r="BR788" s="17" t="s">
        <v>198</v>
      </c>
      <c r="BS788" s="18">
        <v>45686.49297453704</v>
      </c>
      <c r="BT788" s="17" t="s">
        <v>198</v>
      </c>
      <c r="BU788" s="18">
        <v>45686.49298611111</v>
      </c>
      <c r="BV788" s="13" t="s">
        <v>199</v>
      </c>
      <c r="BW788" s="14" t="s">
        <v>179</v>
      </c>
      <c r="BX788" s="14" t="s">
        <v>16401</v>
      </c>
      <c r="BY788" s="14" t="s">
        <v>179</v>
      </c>
      <c r="BZ788" s="14" t="s">
        <v>16402</v>
      </c>
      <c r="CA788" s="14" t="s">
        <v>179</v>
      </c>
      <c r="CB788" s="14" t="s">
        <v>16403</v>
      </c>
      <c r="CC788" s="15"/>
      <c r="CD788" s="15"/>
      <c r="CE788" s="15"/>
      <c r="CF788" s="15"/>
      <c r="CG788" s="19"/>
      <c r="CH788" s="15"/>
      <c r="CI788" s="19"/>
      <c r="CJ788" s="15"/>
      <c r="CK788" s="19"/>
      <c r="CL788" s="15"/>
      <c r="CM788" s="19"/>
      <c r="CN788" s="15"/>
      <c r="CO788" s="19"/>
      <c r="CP788" s="15"/>
      <c r="CQ788" s="15"/>
      <c r="CR788" s="15"/>
      <c r="CS788" s="19"/>
      <c r="CT788" s="15"/>
      <c r="CU788" s="19"/>
      <c r="CV788" s="15"/>
      <c r="CW788" s="19"/>
      <c r="CX788" s="15"/>
      <c r="CY788" s="19"/>
      <c r="CZ788" s="15"/>
      <c r="DA788" s="16" t="s">
        <v>197</v>
      </c>
      <c r="DB788" s="17" t="s">
        <v>228</v>
      </c>
      <c r="DC788" s="16"/>
      <c r="DD788" s="17" t="s">
        <v>198</v>
      </c>
      <c r="DE788" s="18">
        <v>45698.675416666665</v>
      </c>
      <c r="DF788" s="17" t="s">
        <v>198</v>
      </c>
      <c r="DG788" s="18">
        <v>45698.675416666665</v>
      </c>
      <c r="DH788" s="13" t="s">
        <v>205</v>
      </c>
      <c r="DI788" s="14" t="s">
        <v>179</v>
      </c>
      <c r="DJ788" s="14" t="s">
        <v>16404</v>
      </c>
      <c r="DK788" s="14" t="s">
        <v>179</v>
      </c>
      <c r="DL788" s="14" t="s">
        <v>16405</v>
      </c>
      <c r="DM788" s="15"/>
      <c r="DN788" s="15"/>
      <c r="DO788" s="15"/>
      <c r="DP788" s="15"/>
      <c r="DQ788" s="15"/>
      <c r="DR788" s="15"/>
      <c r="DS788" s="15"/>
      <c r="DT788" s="15"/>
      <c r="DU788" s="15"/>
      <c r="DV788" s="15"/>
      <c r="DW788" s="15"/>
      <c r="DX788" s="15"/>
      <c r="DY788" s="15"/>
      <c r="DZ788" s="15"/>
      <c r="EA788" s="15"/>
      <c r="EB788" s="15"/>
      <c r="EC788" s="16" t="s">
        <v>197</v>
      </c>
      <c r="ED788" s="17" t="s">
        <v>198</v>
      </c>
      <c r="EE788" s="18">
        <v>45719.47646990741</v>
      </c>
      <c r="EF788" s="13" t="s">
        <v>209</v>
      </c>
      <c r="EG788" s="14" t="s">
        <v>179</v>
      </c>
      <c r="EH788" s="14" t="s">
        <v>16406</v>
      </c>
      <c r="EI788" s="14" t="s">
        <v>179</v>
      </c>
      <c r="EJ788" s="14" t="s">
        <v>16407</v>
      </c>
      <c r="EK788" s="15"/>
      <c r="EL788" s="15"/>
      <c r="EM788" s="15"/>
      <c r="EN788" s="15"/>
      <c r="EO788" s="15"/>
      <c r="EP788" s="15"/>
      <c r="EQ788" s="15"/>
      <c r="ER788" s="15"/>
      <c r="ES788" s="15"/>
      <c r="ET788" s="15"/>
      <c r="EU788" s="15"/>
      <c r="EV788" s="15"/>
      <c r="EW788" s="15"/>
      <c r="EX788" s="15"/>
      <c r="EY788" s="15"/>
      <c r="EZ788" s="15"/>
      <c r="FA788" s="15"/>
      <c r="FB788" s="15"/>
      <c r="FC788" s="16" t="s">
        <v>197</v>
      </c>
      <c r="FD788" s="17" t="s">
        <v>198</v>
      </c>
      <c r="FE788" s="18">
        <v>45723.27642361111</v>
      </c>
      <c r="FF788" s="19"/>
      <c r="FG788" s="19"/>
      <c r="FH788" s="21" t="s">
        <v>197</v>
      </c>
      <c r="FI788" s="17" t="s">
        <v>214</v>
      </c>
      <c r="FJ788" s="18">
        <v>45723.27642361111</v>
      </c>
      <c r="FK788" s="14" t="s">
        <v>16406</v>
      </c>
      <c r="FL788" s="14" t="s">
        <v>16408</v>
      </c>
      <c r="FM788" s="14" t="s">
        <v>16409</v>
      </c>
      <c r="FN788" s="19"/>
      <c r="FO788" s="19"/>
      <c r="FP788" s="19" t="str">
        <f t="shared" si="1"/>
        <v>Base de Dados_Images/TIT20074.Imagem do Equipamento-.151449.jpg</v>
      </c>
      <c r="FQ788" s="14"/>
      <c r="FR788" s="14"/>
    </row>
    <row r="789" ht="15.75" customHeight="1">
      <c r="A789" s="12" t="s">
        <v>174</v>
      </c>
      <c r="B789" s="22" t="s">
        <v>617</v>
      </c>
      <c r="C789" s="24" t="s">
        <v>375</v>
      </c>
      <c r="D789" s="22" t="s">
        <v>16410</v>
      </c>
      <c r="E789" s="22" t="s">
        <v>16411</v>
      </c>
      <c r="F789" s="13" t="s">
        <v>178</v>
      </c>
      <c r="G789" s="14" t="s">
        <v>179</v>
      </c>
      <c r="H789" s="14" t="s">
        <v>16412</v>
      </c>
      <c r="I789" s="14" t="s">
        <v>179</v>
      </c>
      <c r="J789" s="14" t="s">
        <v>16413</v>
      </c>
      <c r="K789" s="14" t="s">
        <v>179</v>
      </c>
      <c r="L789" s="14" t="s">
        <v>16413</v>
      </c>
      <c r="M789" s="14" t="s">
        <v>179</v>
      </c>
      <c r="N789" s="14" t="s">
        <v>16414</v>
      </c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6" t="s">
        <v>197</v>
      </c>
      <c r="BP789" s="17" t="s">
        <v>198</v>
      </c>
      <c r="BQ789" s="18">
        <v>45686.493472222224</v>
      </c>
      <c r="BR789" s="17" t="s">
        <v>198</v>
      </c>
      <c r="BS789" s="18">
        <v>45686.49346064815</v>
      </c>
      <c r="BT789" s="17" t="s">
        <v>198</v>
      </c>
      <c r="BU789" s="18">
        <v>45686.493472222224</v>
      </c>
      <c r="BV789" s="13" t="s">
        <v>199</v>
      </c>
      <c r="BW789" s="14" t="s">
        <v>179</v>
      </c>
      <c r="BX789" s="14" t="s">
        <v>16415</v>
      </c>
      <c r="BY789" s="14" t="s">
        <v>179</v>
      </c>
      <c r="BZ789" s="14" t="s">
        <v>16416</v>
      </c>
      <c r="CA789" s="14" t="s">
        <v>179</v>
      </c>
      <c r="CB789" s="14" t="s">
        <v>16417</v>
      </c>
      <c r="CC789" s="15"/>
      <c r="CD789" s="15"/>
      <c r="CE789" s="15"/>
      <c r="CF789" s="15"/>
      <c r="CG789" s="19"/>
      <c r="CH789" s="15"/>
      <c r="CI789" s="19"/>
      <c r="CJ789" s="15"/>
      <c r="CK789" s="19"/>
      <c r="CL789" s="15"/>
      <c r="CM789" s="19"/>
      <c r="CN789" s="15"/>
      <c r="CO789" s="19"/>
      <c r="CP789" s="15"/>
      <c r="CQ789" s="15"/>
      <c r="CR789" s="15"/>
      <c r="CS789" s="19"/>
      <c r="CT789" s="15"/>
      <c r="CU789" s="19"/>
      <c r="CV789" s="15"/>
      <c r="CW789" s="19"/>
      <c r="CX789" s="15"/>
      <c r="CY789" s="19"/>
      <c r="CZ789" s="15"/>
      <c r="DA789" s="16" t="s">
        <v>197</v>
      </c>
      <c r="DB789" s="17" t="s">
        <v>228</v>
      </c>
      <c r="DC789" s="16"/>
      <c r="DD789" s="17" t="s">
        <v>198</v>
      </c>
      <c r="DE789" s="18">
        <v>45698.67532407407</v>
      </c>
      <c r="DF789" s="17" t="s">
        <v>198</v>
      </c>
      <c r="DG789" s="18">
        <v>45698.67532407407</v>
      </c>
      <c r="DH789" s="13" t="s">
        <v>205</v>
      </c>
      <c r="DI789" s="14" t="s">
        <v>179</v>
      </c>
      <c r="DJ789" s="14" t="s">
        <v>16418</v>
      </c>
      <c r="DK789" s="14" t="s">
        <v>179</v>
      </c>
      <c r="DL789" s="14" t="s">
        <v>16418</v>
      </c>
      <c r="DM789" s="15"/>
      <c r="DN789" s="15"/>
      <c r="DO789" s="15"/>
      <c r="DP789" s="15"/>
      <c r="DQ789" s="15"/>
      <c r="DR789" s="15"/>
      <c r="DS789" s="15"/>
      <c r="DT789" s="15"/>
      <c r="DU789" s="15"/>
      <c r="DV789" s="15"/>
      <c r="DW789" s="15"/>
      <c r="DX789" s="15"/>
      <c r="DY789" s="15"/>
      <c r="DZ789" s="15"/>
      <c r="EA789" s="15"/>
      <c r="EB789" s="15"/>
      <c r="EC789" s="16" t="s">
        <v>197</v>
      </c>
      <c r="ED789" s="17" t="s">
        <v>198</v>
      </c>
      <c r="EE789" s="18">
        <v>45719.47655092592</v>
      </c>
      <c r="EF789" s="13" t="s">
        <v>209</v>
      </c>
      <c r="EG789" s="14" t="s">
        <v>179</v>
      </c>
      <c r="EH789" s="14" t="s">
        <v>16419</v>
      </c>
      <c r="EI789" s="14" t="s">
        <v>179</v>
      </c>
      <c r="EJ789" s="14" t="s">
        <v>16419</v>
      </c>
      <c r="EK789" s="15"/>
      <c r="EL789" s="15"/>
      <c r="EM789" s="15"/>
      <c r="EN789" s="15"/>
      <c r="EO789" s="15"/>
      <c r="EP789" s="15"/>
      <c r="EQ789" s="15"/>
      <c r="ER789" s="15"/>
      <c r="ES789" s="15"/>
      <c r="ET789" s="15"/>
      <c r="EU789" s="15"/>
      <c r="EV789" s="15"/>
      <c r="EW789" s="15"/>
      <c r="EX789" s="15"/>
      <c r="EY789" s="15"/>
      <c r="EZ789" s="15"/>
      <c r="FA789" s="15"/>
      <c r="FB789" s="15"/>
      <c r="FC789" s="16" t="s">
        <v>197</v>
      </c>
      <c r="FD789" s="17" t="s">
        <v>198</v>
      </c>
      <c r="FE789" s="18">
        <v>45723.27648148148</v>
      </c>
      <c r="FF789" s="19"/>
      <c r="FG789" s="19"/>
      <c r="FH789" s="21" t="s">
        <v>197</v>
      </c>
      <c r="FI789" s="17" t="s">
        <v>214</v>
      </c>
      <c r="FJ789" s="18">
        <v>45723.27648148148</v>
      </c>
      <c r="FK789" s="14" t="s">
        <v>16419</v>
      </c>
      <c r="FL789" s="14" t="s">
        <v>16420</v>
      </c>
      <c r="FM789" s="14" t="s">
        <v>16421</v>
      </c>
      <c r="FN789" s="19"/>
      <c r="FO789" s="19"/>
      <c r="FP789" s="19" t="str">
        <f t="shared" si="1"/>
        <v>Base de Dados_Images/TIT20075.Imagem do Equipamento-.151715.jpg</v>
      </c>
      <c r="FQ789" s="14"/>
      <c r="FR789" s="14"/>
    </row>
    <row r="790" ht="15.75" customHeight="1">
      <c r="A790" s="12" t="s">
        <v>174</v>
      </c>
      <c r="B790" s="22" t="s">
        <v>682</v>
      </c>
      <c r="C790" s="24" t="s">
        <v>375</v>
      </c>
      <c r="D790" s="22" t="s">
        <v>16422</v>
      </c>
      <c r="E790" s="22" t="s">
        <v>16423</v>
      </c>
      <c r="F790" s="13" t="s">
        <v>178</v>
      </c>
      <c r="G790" s="14" t="s">
        <v>179</v>
      </c>
      <c r="H790" s="14" t="s">
        <v>16424</v>
      </c>
      <c r="I790" s="14" t="s">
        <v>179</v>
      </c>
      <c r="J790" s="14" t="s">
        <v>16424</v>
      </c>
      <c r="K790" s="14" t="s">
        <v>179</v>
      </c>
      <c r="L790" s="14" t="s">
        <v>16425</v>
      </c>
      <c r="M790" s="14" t="s">
        <v>179</v>
      </c>
      <c r="N790" s="14" t="s">
        <v>16425</v>
      </c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6" t="s">
        <v>197</v>
      </c>
      <c r="BP790" s="17" t="s">
        <v>198</v>
      </c>
      <c r="BQ790" s="18">
        <v>45686.49248842592</v>
      </c>
      <c r="BR790" s="17" t="s">
        <v>198</v>
      </c>
      <c r="BS790" s="18">
        <v>45686.49248842592</v>
      </c>
      <c r="BT790" s="17" t="s">
        <v>198</v>
      </c>
      <c r="BU790" s="18">
        <v>45686.49248842592</v>
      </c>
      <c r="BV790" s="13" t="s">
        <v>199</v>
      </c>
      <c r="BW790" s="14" t="s">
        <v>179</v>
      </c>
      <c r="BX790" s="14" t="s">
        <v>16426</v>
      </c>
      <c r="BY790" s="14" t="s">
        <v>179</v>
      </c>
      <c r="BZ790" s="14" t="s">
        <v>16427</v>
      </c>
      <c r="CA790" s="14" t="s">
        <v>179</v>
      </c>
      <c r="CB790" s="14" t="s">
        <v>16428</v>
      </c>
      <c r="CC790" s="15"/>
      <c r="CD790" s="15"/>
      <c r="CE790" s="15"/>
      <c r="CF790" s="15"/>
      <c r="CG790" s="19"/>
      <c r="CH790" s="15"/>
      <c r="CI790" s="19"/>
      <c r="CJ790" s="15"/>
      <c r="CK790" s="19"/>
      <c r="CL790" s="15"/>
      <c r="CM790" s="19"/>
      <c r="CN790" s="15"/>
      <c r="CO790" s="19"/>
      <c r="CP790" s="15"/>
      <c r="CQ790" s="15"/>
      <c r="CR790" s="15"/>
      <c r="CS790" s="19"/>
      <c r="CT790" s="15"/>
      <c r="CU790" s="19"/>
      <c r="CV790" s="15"/>
      <c r="CW790" s="19"/>
      <c r="CX790" s="15"/>
      <c r="CY790" s="19"/>
      <c r="CZ790" s="15"/>
      <c r="DA790" s="16" t="s">
        <v>197</v>
      </c>
      <c r="DB790" s="17" t="s">
        <v>228</v>
      </c>
      <c r="DC790" s="16"/>
      <c r="DD790" s="17" t="s">
        <v>198</v>
      </c>
      <c r="DE790" s="18">
        <v>45698.694768518515</v>
      </c>
      <c r="DF790" s="17" t="s">
        <v>198</v>
      </c>
      <c r="DG790" s="18">
        <v>45698.694768518515</v>
      </c>
      <c r="DH790" s="13" t="s">
        <v>205</v>
      </c>
      <c r="DI790" s="14" t="s">
        <v>179</v>
      </c>
      <c r="DJ790" s="14" t="s">
        <v>16429</v>
      </c>
      <c r="DK790" s="14" t="s">
        <v>179</v>
      </c>
      <c r="DL790" s="14" t="s">
        <v>16430</v>
      </c>
      <c r="DM790" s="15"/>
      <c r="DN790" s="15"/>
      <c r="DO790" s="15"/>
      <c r="DP790" s="15"/>
      <c r="DQ790" s="15"/>
      <c r="DR790" s="15"/>
      <c r="DS790" s="15"/>
      <c r="DT790" s="15"/>
      <c r="DU790" s="15"/>
      <c r="DV790" s="15"/>
      <c r="DW790" s="15"/>
      <c r="DX790" s="15"/>
      <c r="DY790" s="15"/>
      <c r="DZ790" s="15"/>
      <c r="EA790" s="15"/>
      <c r="EB790" s="15"/>
      <c r="EC790" s="16" t="s">
        <v>197</v>
      </c>
      <c r="ED790" s="17" t="s">
        <v>198</v>
      </c>
      <c r="EE790" s="18">
        <v>45719.47721064815</v>
      </c>
      <c r="EF790" s="13" t="s">
        <v>209</v>
      </c>
      <c r="EG790" s="14" t="s">
        <v>179</v>
      </c>
      <c r="EH790" s="14" t="s">
        <v>16431</v>
      </c>
      <c r="EI790" s="14" t="s">
        <v>179</v>
      </c>
      <c r="EJ790" s="14" t="s">
        <v>16431</v>
      </c>
      <c r="EK790" s="15"/>
      <c r="EL790" s="15"/>
      <c r="EM790" s="15"/>
      <c r="EN790" s="15"/>
      <c r="EO790" s="15"/>
      <c r="EP790" s="15"/>
      <c r="EQ790" s="15"/>
      <c r="ER790" s="15"/>
      <c r="ES790" s="15"/>
      <c r="ET790" s="15"/>
      <c r="EU790" s="15"/>
      <c r="EV790" s="15"/>
      <c r="EW790" s="15"/>
      <c r="EX790" s="15"/>
      <c r="EY790" s="15"/>
      <c r="EZ790" s="15"/>
      <c r="FA790" s="15"/>
      <c r="FB790" s="15"/>
      <c r="FC790" s="16" t="s">
        <v>197</v>
      </c>
      <c r="FD790" s="17" t="s">
        <v>198</v>
      </c>
      <c r="FE790" s="18">
        <v>45723.27712962963</v>
      </c>
      <c r="FF790" s="19"/>
      <c r="FG790" s="19"/>
      <c r="FH790" s="21" t="s">
        <v>197</v>
      </c>
      <c r="FI790" s="17" t="s">
        <v>214</v>
      </c>
      <c r="FJ790" s="18">
        <v>45723.27712962963</v>
      </c>
      <c r="FK790" s="14" t="s">
        <v>16431</v>
      </c>
      <c r="FL790" s="14" t="s">
        <v>16432</v>
      </c>
      <c r="FM790" s="14" t="s">
        <v>16433</v>
      </c>
      <c r="FN790" s="19"/>
      <c r="FO790" s="19"/>
      <c r="FP790" s="19" t="str">
        <f t="shared" si="1"/>
        <v>Base de Dados_Images/TIT20076.Imagem do Equipamento-.151347.jpg</v>
      </c>
      <c r="FQ790" s="14"/>
      <c r="FR790" s="14"/>
    </row>
    <row r="791" ht="15.75" customHeight="1">
      <c r="A791" s="12" t="s">
        <v>174</v>
      </c>
      <c r="B791" s="22" t="s">
        <v>682</v>
      </c>
      <c r="C791" s="24" t="s">
        <v>375</v>
      </c>
      <c r="D791" s="22" t="s">
        <v>16434</v>
      </c>
      <c r="E791" s="22" t="s">
        <v>16435</v>
      </c>
      <c r="F791" s="13" t="s">
        <v>178</v>
      </c>
      <c r="G791" s="14" t="s">
        <v>179</v>
      </c>
      <c r="H791" s="14" t="s">
        <v>16436</v>
      </c>
      <c r="I791" s="14" t="s">
        <v>179</v>
      </c>
      <c r="J791" s="14" t="s">
        <v>16436</v>
      </c>
      <c r="K791" s="14" t="s">
        <v>179</v>
      </c>
      <c r="L791" s="14" t="s">
        <v>16437</v>
      </c>
      <c r="M791" s="14" t="s">
        <v>179</v>
      </c>
      <c r="N791" s="14" t="s">
        <v>16437</v>
      </c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6" t="s">
        <v>197</v>
      </c>
      <c r="BP791" s="17" t="s">
        <v>198</v>
      </c>
      <c r="BQ791" s="18">
        <v>45686.494155092594</v>
      </c>
      <c r="BR791" s="17" t="s">
        <v>198</v>
      </c>
      <c r="BS791" s="18">
        <v>45686.494155092594</v>
      </c>
      <c r="BT791" s="17" t="s">
        <v>198</v>
      </c>
      <c r="BU791" s="18">
        <v>45686.494155092594</v>
      </c>
      <c r="BV791" s="13" t="s">
        <v>199</v>
      </c>
      <c r="BW791" s="14" t="s">
        <v>179</v>
      </c>
      <c r="BX791" s="14" t="s">
        <v>16438</v>
      </c>
      <c r="BY791" s="14" t="s">
        <v>179</v>
      </c>
      <c r="BZ791" s="14" t="s">
        <v>16439</v>
      </c>
      <c r="CA791" s="14" t="s">
        <v>179</v>
      </c>
      <c r="CB791" s="14" t="s">
        <v>16440</v>
      </c>
      <c r="CC791" s="15"/>
      <c r="CD791" s="15"/>
      <c r="CE791" s="15"/>
      <c r="CF791" s="15"/>
      <c r="CG791" s="19"/>
      <c r="CH791" s="15"/>
      <c r="CI791" s="19"/>
      <c r="CJ791" s="15"/>
      <c r="CK791" s="19"/>
      <c r="CL791" s="15"/>
      <c r="CM791" s="19"/>
      <c r="CN791" s="15"/>
      <c r="CO791" s="19"/>
      <c r="CP791" s="15"/>
      <c r="CQ791" s="15"/>
      <c r="CR791" s="15"/>
      <c r="CS791" s="19"/>
      <c r="CT791" s="15"/>
      <c r="CU791" s="19"/>
      <c r="CV791" s="15"/>
      <c r="CW791" s="19"/>
      <c r="CX791" s="15"/>
      <c r="CY791" s="19"/>
      <c r="CZ791" s="15"/>
      <c r="DA791" s="16" t="s">
        <v>197</v>
      </c>
      <c r="DB791" s="17" t="s">
        <v>228</v>
      </c>
      <c r="DC791" s="16"/>
      <c r="DD791" s="17" t="s">
        <v>198</v>
      </c>
      <c r="DE791" s="18">
        <v>45698.69466435185</v>
      </c>
      <c r="DF791" s="17" t="s">
        <v>198</v>
      </c>
      <c r="DG791" s="18">
        <v>45698.69466435185</v>
      </c>
      <c r="DH791" s="13" t="s">
        <v>205</v>
      </c>
      <c r="DI791" s="14" t="s">
        <v>179</v>
      </c>
      <c r="DJ791" s="14" t="s">
        <v>16441</v>
      </c>
      <c r="DK791" s="14" t="s">
        <v>179</v>
      </c>
      <c r="DL791" s="14" t="s">
        <v>16442</v>
      </c>
      <c r="DM791" s="15"/>
      <c r="DN791" s="15"/>
      <c r="DO791" s="15"/>
      <c r="DP791" s="15"/>
      <c r="DQ791" s="15"/>
      <c r="DR791" s="15"/>
      <c r="DS791" s="15"/>
      <c r="DT791" s="15"/>
      <c r="DU791" s="15"/>
      <c r="DV791" s="15"/>
      <c r="DW791" s="15"/>
      <c r="DX791" s="15"/>
      <c r="DY791" s="15"/>
      <c r="DZ791" s="15"/>
      <c r="EA791" s="15"/>
      <c r="EB791" s="15"/>
      <c r="EC791" s="16" t="s">
        <v>197</v>
      </c>
      <c r="ED791" s="17" t="s">
        <v>198</v>
      </c>
      <c r="EE791" s="18">
        <v>45719.477314814816</v>
      </c>
      <c r="EF791" s="13" t="s">
        <v>209</v>
      </c>
      <c r="EG791" s="14" t="s">
        <v>179</v>
      </c>
      <c r="EH791" s="14" t="s">
        <v>16443</v>
      </c>
      <c r="EI791" s="14" t="s">
        <v>179</v>
      </c>
      <c r="EJ791" s="14" t="s">
        <v>16444</v>
      </c>
      <c r="EK791" s="15"/>
      <c r="EL791" s="15"/>
      <c r="EM791" s="15"/>
      <c r="EN791" s="15"/>
      <c r="EO791" s="15"/>
      <c r="EP791" s="15"/>
      <c r="EQ791" s="15"/>
      <c r="ER791" s="15"/>
      <c r="ES791" s="15"/>
      <c r="ET791" s="15"/>
      <c r="EU791" s="15"/>
      <c r="EV791" s="15"/>
      <c r="EW791" s="15"/>
      <c r="EX791" s="15"/>
      <c r="EY791" s="15"/>
      <c r="EZ791" s="15"/>
      <c r="FA791" s="15"/>
      <c r="FB791" s="15"/>
      <c r="FC791" s="16" t="s">
        <v>197</v>
      </c>
      <c r="FD791" s="17" t="s">
        <v>198</v>
      </c>
      <c r="FE791" s="18">
        <v>45723.27722222222</v>
      </c>
      <c r="FF791" s="19"/>
      <c r="FG791" s="19"/>
      <c r="FH791" s="21" t="s">
        <v>197</v>
      </c>
      <c r="FI791" s="17" t="s">
        <v>214</v>
      </c>
      <c r="FJ791" s="18">
        <v>45723.27722222222</v>
      </c>
      <c r="FK791" s="14" t="s">
        <v>16443</v>
      </c>
      <c r="FL791" s="14" t="s">
        <v>16445</v>
      </c>
      <c r="FM791" s="14" t="s">
        <v>16446</v>
      </c>
      <c r="FN791" s="19"/>
      <c r="FO791" s="19"/>
      <c r="FP791" s="19" t="str">
        <f t="shared" si="1"/>
        <v>Base de Dados_Images/TIT20077.Imagem do Equipamento-.151736.jpg</v>
      </c>
      <c r="FQ791" s="14"/>
      <c r="FR791" s="14"/>
    </row>
    <row r="792" ht="15.75" customHeight="1">
      <c r="A792" s="12" t="s">
        <v>174</v>
      </c>
      <c r="B792" s="22" t="s">
        <v>1325</v>
      </c>
      <c r="C792" s="24" t="s">
        <v>375</v>
      </c>
      <c r="D792" s="22" t="s">
        <v>16447</v>
      </c>
      <c r="E792" s="22" t="s">
        <v>16448</v>
      </c>
      <c r="F792" s="13" t="s">
        <v>178</v>
      </c>
      <c r="G792" s="14" t="s">
        <v>179</v>
      </c>
      <c r="H792" s="14" t="s">
        <v>16449</v>
      </c>
      <c r="I792" s="14" t="s">
        <v>179</v>
      </c>
      <c r="J792" s="14" t="s">
        <v>16450</v>
      </c>
      <c r="K792" s="14" t="s">
        <v>179</v>
      </c>
      <c r="L792" s="14" t="s">
        <v>16451</v>
      </c>
      <c r="M792" s="14" t="s">
        <v>179</v>
      </c>
      <c r="N792" s="14" t="s">
        <v>16452</v>
      </c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6" t="s">
        <v>197</v>
      </c>
      <c r="BP792" s="17" t="s">
        <v>198</v>
      </c>
      <c r="BQ792" s="18">
        <v>45686.50178240741</v>
      </c>
      <c r="BR792" s="17" t="s">
        <v>198</v>
      </c>
      <c r="BS792" s="18">
        <v>45686.50177083333</v>
      </c>
      <c r="BT792" s="17" t="s">
        <v>198</v>
      </c>
      <c r="BU792" s="18">
        <v>45686.50178240741</v>
      </c>
      <c r="BV792" s="13" t="s">
        <v>199</v>
      </c>
      <c r="BW792" s="14" t="s">
        <v>179</v>
      </c>
      <c r="BX792" s="14" t="s">
        <v>16453</v>
      </c>
      <c r="BY792" s="14" t="s">
        <v>179</v>
      </c>
      <c r="BZ792" s="14" t="s">
        <v>16454</v>
      </c>
      <c r="CA792" s="14" t="s">
        <v>179</v>
      </c>
      <c r="CB792" s="14" t="s">
        <v>16455</v>
      </c>
      <c r="CC792" s="15"/>
      <c r="CD792" s="15"/>
      <c r="CE792" s="15"/>
      <c r="CF792" s="15"/>
      <c r="CG792" s="19"/>
      <c r="CH792" s="15"/>
      <c r="CI792" s="19"/>
      <c r="CJ792" s="15"/>
      <c r="CK792" s="19"/>
      <c r="CL792" s="15"/>
      <c r="CM792" s="19"/>
      <c r="CN792" s="15"/>
      <c r="CO792" s="19"/>
      <c r="CP792" s="15"/>
      <c r="CQ792" s="15"/>
      <c r="CR792" s="15"/>
      <c r="CS792" s="19"/>
      <c r="CT792" s="15"/>
      <c r="CU792" s="19"/>
      <c r="CV792" s="15"/>
      <c r="CW792" s="19"/>
      <c r="CX792" s="15"/>
      <c r="CY792" s="19"/>
      <c r="CZ792" s="15"/>
      <c r="DA792" s="16" t="s">
        <v>197</v>
      </c>
      <c r="DB792" s="17" t="s">
        <v>228</v>
      </c>
      <c r="DC792" s="16"/>
      <c r="DD792" s="17" t="s">
        <v>198</v>
      </c>
      <c r="DE792" s="18">
        <v>45698.653495370374</v>
      </c>
      <c r="DF792" s="17" t="s">
        <v>198</v>
      </c>
      <c r="DG792" s="18">
        <v>45698.653495370374</v>
      </c>
      <c r="DH792" s="13" t="s">
        <v>205</v>
      </c>
      <c r="DI792" s="14" t="s">
        <v>179</v>
      </c>
      <c r="DJ792" s="14" t="s">
        <v>16456</v>
      </c>
      <c r="DK792" s="14" t="s">
        <v>179</v>
      </c>
      <c r="DL792" s="14" t="s">
        <v>16457</v>
      </c>
      <c r="DM792" s="15"/>
      <c r="DN792" s="15"/>
      <c r="DO792" s="15"/>
      <c r="DP792" s="15"/>
      <c r="DQ792" s="15"/>
      <c r="DR792" s="15"/>
      <c r="DS792" s="15"/>
      <c r="DT792" s="15"/>
      <c r="DU792" s="15"/>
      <c r="DV792" s="15"/>
      <c r="DW792" s="15"/>
      <c r="DX792" s="15"/>
      <c r="DY792" s="15"/>
      <c r="DZ792" s="15"/>
      <c r="EA792" s="15"/>
      <c r="EB792" s="15"/>
      <c r="EC792" s="16" t="s">
        <v>197</v>
      </c>
      <c r="ED792" s="17" t="s">
        <v>198</v>
      </c>
      <c r="EE792" s="18">
        <v>45708.33851851852</v>
      </c>
      <c r="EF792" s="13" t="s">
        <v>209</v>
      </c>
      <c r="EG792" s="14" t="s">
        <v>179</v>
      </c>
      <c r="EH792" s="14" t="s">
        <v>16458</v>
      </c>
      <c r="EI792" s="14" t="s">
        <v>179</v>
      </c>
      <c r="EJ792" s="14" t="s">
        <v>16458</v>
      </c>
      <c r="EK792" s="15"/>
      <c r="EL792" s="15"/>
      <c r="EM792" s="15"/>
      <c r="EN792" s="15"/>
      <c r="EO792" s="15"/>
      <c r="EP792" s="15"/>
      <c r="EQ792" s="15"/>
      <c r="ER792" s="15"/>
      <c r="ES792" s="15"/>
      <c r="ET792" s="15"/>
      <c r="EU792" s="15"/>
      <c r="EV792" s="15"/>
      <c r="EW792" s="15"/>
      <c r="EX792" s="15"/>
      <c r="EY792" s="15"/>
      <c r="EZ792" s="15"/>
      <c r="FA792" s="15"/>
      <c r="FB792" s="15"/>
      <c r="FC792" s="16" t="s">
        <v>197</v>
      </c>
      <c r="FD792" s="17" t="s">
        <v>198</v>
      </c>
      <c r="FE792" s="18">
        <v>45723.28925925926</v>
      </c>
      <c r="FF792" s="19"/>
      <c r="FG792" s="19"/>
      <c r="FH792" s="21" t="s">
        <v>197</v>
      </c>
      <c r="FI792" s="17" t="s">
        <v>214</v>
      </c>
      <c r="FJ792" s="18">
        <v>45723.28925925926</v>
      </c>
      <c r="FK792" s="14" t="s">
        <v>16458</v>
      </c>
      <c r="FL792" s="14" t="s">
        <v>16459</v>
      </c>
      <c r="FM792" s="14" t="s">
        <v>16460</v>
      </c>
      <c r="FN792" s="19"/>
      <c r="FO792" s="19"/>
      <c r="FP792" s="19" t="str">
        <f t="shared" si="1"/>
        <v>Base de Dados_Images/TIT20084.Imagem do Equipamento-.152407.jpg</v>
      </c>
      <c r="FQ792" s="14"/>
      <c r="FR792" s="14"/>
    </row>
    <row r="793" ht="15.75" customHeight="1">
      <c r="A793" s="12" t="s">
        <v>174</v>
      </c>
      <c r="B793" s="22" t="s">
        <v>1325</v>
      </c>
      <c r="C793" s="24" t="s">
        <v>375</v>
      </c>
      <c r="D793" s="22" t="s">
        <v>16461</v>
      </c>
      <c r="E793" s="22" t="s">
        <v>16462</v>
      </c>
      <c r="F793" s="13" t="s">
        <v>178</v>
      </c>
      <c r="G793" s="14" t="s">
        <v>179</v>
      </c>
      <c r="H793" s="14" t="s">
        <v>16463</v>
      </c>
      <c r="I793" s="14" t="s">
        <v>179</v>
      </c>
      <c r="J793" s="14" t="s">
        <v>16464</v>
      </c>
      <c r="K793" s="14" t="s">
        <v>179</v>
      </c>
      <c r="L793" s="14" t="s">
        <v>16465</v>
      </c>
      <c r="M793" s="14" t="s">
        <v>179</v>
      </c>
      <c r="N793" s="14" t="s">
        <v>16466</v>
      </c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6" t="s">
        <v>197</v>
      </c>
      <c r="BP793" s="17" t="s">
        <v>198</v>
      </c>
      <c r="BQ793" s="18">
        <v>45686.49891203704</v>
      </c>
      <c r="BR793" s="17" t="s">
        <v>198</v>
      </c>
      <c r="BS793" s="18">
        <v>45686.49890046296</v>
      </c>
      <c r="BT793" s="17" t="s">
        <v>198</v>
      </c>
      <c r="BU793" s="18">
        <v>45686.49891203704</v>
      </c>
      <c r="BV793" s="13" t="s">
        <v>199</v>
      </c>
      <c r="BW793" s="14" t="s">
        <v>179</v>
      </c>
      <c r="BX793" s="14" t="s">
        <v>16467</v>
      </c>
      <c r="BY793" s="14" t="s">
        <v>179</v>
      </c>
      <c r="BZ793" s="14" t="s">
        <v>16468</v>
      </c>
      <c r="CA793" s="14" t="s">
        <v>179</v>
      </c>
      <c r="CB793" s="14" t="s">
        <v>16469</v>
      </c>
      <c r="CC793" s="15"/>
      <c r="CD793" s="15"/>
      <c r="CE793" s="15"/>
      <c r="CF793" s="15"/>
      <c r="CG793" s="19"/>
      <c r="CH793" s="15"/>
      <c r="CI793" s="19"/>
      <c r="CJ793" s="15"/>
      <c r="CK793" s="19"/>
      <c r="CL793" s="15"/>
      <c r="CM793" s="19"/>
      <c r="CN793" s="15"/>
      <c r="CO793" s="19"/>
      <c r="CP793" s="15"/>
      <c r="CQ793" s="15"/>
      <c r="CR793" s="15"/>
      <c r="CS793" s="19"/>
      <c r="CT793" s="15"/>
      <c r="CU793" s="19"/>
      <c r="CV793" s="15"/>
      <c r="CW793" s="19"/>
      <c r="CX793" s="15"/>
      <c r="CY793" s="19"/>
      <c r="CZ793" s="15"/>
      <c r="DA793" s="16" t="s">
        <v>197</v>
      </c>
      <c r="DB793" s="17" t="s">
        <v>228</v>
      </c>
      <c r="DC793" s="16"/>
      <c r="DD793" s="17" t="s">
        <v>198</v>
      </c>
      <c r="DE793" s="18">
        <v>45698.626388888886</v>
      </c>
      <c r="DF793" s="17" t="s">
        <v>198</v>
      </c>
      <c r="DG793" s="18">
        <v>45698.626388888886</v>
      </c>
      <c r="DH793" s="13" t="s">
        <v>205</v>
      </c>
      <c r="DI793" s="14" t="s">
        <v>179</v>
      </c>
      <c r="DJ793" s="14" t="s">
        <v>16470</v>
      </c>
      <c r="DK793" s="14" t="s">
        <v>179</v>
      </c>
      <c r="DL793" s="14" t="s">
        <v>16471</v>
      </c>
      <c r="DM793" s="15"/>
      <c r="DN793" s="15"/>
      <c r="DO793" s="15"/>
      <c r="DP793" s="15"/>
      <c r="DQ793" s="15"/>
      <c r="DR793" s="15"/>
      <c r="DS793" s="15"/>
      <c r="DT793" s="15"/>
      <c r="DU793" s="15"/>
      <c r="DV793" s="15"/>
      <c r="DW793" s="15"/>
      <c r="DX793" s="15"/>
      <c r="DY793" s="15"/>
      <c r="DZ793" s="15"/>
      <c r="EA793" s="15"/>
      <c r="EB793" s="15"/>
      <c r="EC793" s="16" t="s">
        <v>197</v>
      </c>
      <c r="ED793" s="17" t="s">
        <v>198</v>
      </c>
      <c r="EE793" s="18">
        <v>45708.33773148148</v>
      </c>
      <c r="EF793" s="13" t="s">
        <v>209</v>
      </c>
      <c r="EG793" s="14" t="s">
        <v>179</v>
      </c>
      <c r="EH793" s="14" t="s">
        <v>16472</v>
      </c>
      <c r="EI793" s="14" t="s">
        <v>179</v>
      </c>
      <c r="EJ793" s="14" t="s">
        <v>16473</v>
      </c>
      <c r="EK793" s="15"/>
      <c r="EL793" s="15"/>
      <c r="EM793" s="15"/>
      <c r="EN793" s="15"/>
      <c r="EO793" s="15"/>
      <c r="EP793" s="15"/>
      <c r="EQ793" s="15"/>
      <c r="ER793" s="15"/>
      <c r="ES793" s="15"/>
      <c r="ET793" s="15"/>
      <c r="EU793" s="15"/>
      <c r="EV793" s="15"/>
      <c r="EW793" s="15"/>
      <c r="EX793" s="15"/>
      <c r="EY793" s="15"/>
      <c r="EZ793" s="15"/>
      <c r="FA793" s="15"/>
      <c r="FB793" s="15"/>
      <c r="FC793" s="16" t="s">
        <v>197</v>
      </c>
      <c r="FD793" s="17" t="s">
        <v>198</v>
      </c>
      <c r="FE793" s="18">
        <v>45723.28934027778</v>
      </c>
      <c r="FF793" s="19"/>
      <c r="FG793" s="19"/>
      <c r="FH793" s="21" t="s">
        <v>197</v>
      </c>
      <c r="FI793" s="17" t="s">
        <v>214</v>
      </c>
      <c r="FJ793" s="18">
        <v>45723.28934027778</v>
      </c>
      <c r="FK793" s="14" t="s">
        <v>16472</v>
      </c>
      <c r="FL793" s="14" t="s">
        <v>16474</v>
      </c>
      <c r="FM793" s="14" t="s">
        <v>16475</v>
      </c>
      <c r="FN793" s="19"/>
      <c r="FO793" s="19"/>
      <c r="FP793" s="19" t="str">
        <f t="shared" si="1"/>
        <v>Base de Dados_Images/TIT20089.Imagem do Equipamento-.152222.jpg</v>
      </c>
      <c r="FQ793" s="19"/>
      <c r="FR793" s="19"/>
    </row>
    <row r="794" ht="15.75" customHeight="1">
      <c r="A794" s="12" t="s">
        <v>174</v>
      </c>
      <c r="B794" s="22" t="s">
        <v>1325</v>
      </c>
      <c r="C794" s="24" t="s">
        <v>375</v>
      </c>
      <c r="D794" s="22" t="s">
        <v>16476</v>
      </c>
      <c r="E794" s="22" t="s">
        <v>16477</v>
      </c>
      <c r="F794" s="13" t="s">
        <v>178</v>
      </c>
      <c r="G794" s="14" t="s">
        <v>179</v>
      </c>
      <c r="H794" s="14" t="s">
        <v>16478</v>
      </c>
      <c r="I794" s="14" t="s">
        <v>179</v>
      </c>
      <c r="J794" s="14" t="s">
        <v>16479</v>
      </c>
      <c r="K794" s="14" t="s">
        <v>179</v>
      </c>
      <c r="L794" s="14" t="s">
        <v>16480</v>
      </c>
      <c r="M794" s="14" t="s">
        <v>179</v>
      </c>
      <c r="N794" s="14" t="s">
        <v>16481</v>
      </c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6" t="s">
        <v>197</v>
      </c>
      <c r="BP794" s="17" t="s">
        <v>198</v>
      </c>
      <c r="BQ794" s="18">
        <v>45686.50115740741</v>
      </c>
      <c r="BR794" s="17" t="s">
        <v>198</v>
      </c>
      <c r="BS794" s="18">
        <v>45686.50114583333</v>
      </c>
      <c r="BT794" s="17" t="s">
        <v>198</v>
      </c>
      <c r="BU794" s="18">
        <v>45686.50115740741</v>
      </c>
      <c r="BV794" s="13" t="s">
        <v>199</v>
      </c>
      <c r="BW794" s="14" t="s">
        <v>179</v>
      </c>
      <c r="BX794" s="14" t="s">
        <v>16482</v>
      </c>
      <c r="BY794" s="14" t="s">
        <v>179</v>
      </c>
      <c r="BZ794" s="14" t="s">
        <v>16483</v>
      </c>
      <c r="CA794" s="14" t="s">
        <v>179</v>
      </c>
      <c r="CB794" s="14" t="s">
        <v>16484</v>
      </c>
      <c r="CC794" s="15"/>
      <c r="CD794" s="15"/>
      <c r="CE794" s="15"/>
      <c r="CF794" s="15"/>
      <c r="CG794" s="19"/>
      <c r="CH794" s="15"/>
      <c r="CI794" s="19"/>
      <c r="CJ794" s="15"/>
      <c r="CK794" s="19"/>
      <c r="CL794" s="15"/>
      <c r="CM794" s="19"/>
      <c r="CN794" s="15"/>
      <c r="CO794" s="19"/>
      <c r="CP794" s="15"/>
      <c r="CQ794" s="15"/>
      <c r="CR794" s="15"/>
      <c r="CS794" s="19"/>
      <c r="CT794" s="15"/>
      <c r="CU794" s="19"/>
      <c r="CV794" s="15"/>
      <c r="CW794" s="19"/>
      <c r="CX794" s="15"/>
      <c r="CY794" s="19"/>
      <c r="CZ794" s="15"/>
      <c r="DA794" s="16" t="s">
        <v>197</v>
      </c>
      <c r="DB794" s="17" t="s">
        <v>228</v>
      </c>
      <c r="DC794" s="16"/>
      <c r="DD794" s="17" t="s">
        <v>198</v>
      </c>
      <c r="DE794" s="18">
        <v>45698.62619212963</v>
      </c>
      <c r="DF794" s="17" t="s">
        <v>198</v>
      </c>
      <c r="DG794" s="18">
        <v>45698.62619212963</v>
      </c>
      <c r="DH794" s="13" t="s">
        <v>205</v>
      </c>
      <c r="DI794" s="14" t="s">
        <v>179</v>
      </c>
      <c r="DJ794" s="14" t="s">
        <v>16485</v>
      </c>
      <c r="DK794" s="14" t="s">
        <v>179</v>
      </c>
      <c r="DL794" s="14" t="s">
        <v>16486</v>
      </c>
      <c r="DM794" s="15"/>
      <c r="DN794" s="15"/>
      <c r="DO794" s="15"/>
      <c r="DP794" s="15"/>
      <c r="DQ794" s="15"/>
      <c r="DR794" s="15"/>
      <c r="DS794" s="15"/>
      <c r="DT794" s="15"/>
      <c r="DU794" s="15"/>
      <c r="DV794" s="15"/>
      <c r="DW794" s="15"/>
      <c r="DX794" s="15"/>
      <c r="DY794" s="15"/>
      <c r="DZ794" s="15"/>
      <c r="EA794" s="15"/>
      <c r="EB794" s="15"/>
      <c r="EC794" s="16" t="s">
        <v>197</v>
      </c>
      <c r="ED794" s="17" t="s">
        <v>198</v>
      </c>
      <c r="EE794" s="18">
        <v>45708.33761574074</v>
      </c>
      <c r="EF794" s="13" t="s">
        <v>209</v>
      </c>
      <c r="EG794" s="14" t="s">
        <v>179</v>
      </c>
      <c r="EH794" s="14" t="s">
        <v>16487</v>
      </c>
      <c r="EI794" s="14" t="s">
        <v>179</v>
      </c>
      <c r="EJ794" s="14" t="s">
        <v>16487</v>
      </c>
      <c r="EK794" s="15"/>
      <c r="EL794" s="15"/>
      <c r="EM794" s="15"/>
      <c r="EN794" s="15"/>
      <c r="EO794" s="15"/>
      <c r="EP794" s="15"/>
      <c r="EQ794" s="15"/>
      <c r="ER794" s="15"/>
      <c r="ES794" s="15"/>
      <c r="ET794" s="15"/>
      <c r="EU794" s="15"/>
      <c r="EV794" s="15"/>
      <c r="EW794" s="15"/>
      <c r="EX794" s="15"/>
      <c r="EY794" s="15"/>
      <c r="EZ794" s="15"/>
      <c r="FA794" s="15"/>
      <c r="FB794" s="15"/>
      <c r="FC794" s="16" t="s">
        <v>197</v>
      </c>
      <c r="FD794" s="17" t="s">
        <v>198</v>
      </c>
      <c r="FE794" s="18">
        <v>45723.28943287037</v>
      </c>
      <c r="FF794" s="19"/>
      <c r="FG794" s="19"/>
      <c r="FH794" s="21" t="s">
        <v>197</v>
      </c>
      <c r="FI794" s="17" t="s">
        <v>214</v>
      </c>
      <c r="FJ794" s="18">
        <v>45723.28943287037</v>
      </c>
      <c r="FK794" s="14" t="s">
        <v>16487</v>
      </c>
      <c r="FL794" s="14" t="s">
        <v>16488</v>
      </c>
      <c r="FM794" s="14" t="s">
        <v>16489</v>
      </c>
      <c r="FN794" s="19"/>
      <c r="FO794" s="19"/>
      <c r="FP794" s="19" t="str">
        <f t="shared" si="1"/>
        <v>Base de Dados_Images/TIT20090.Imagem do Equipamento-.152341.jpg</v>
      </c>
      <c r="FQ794" s="19"/>
      <c r="FR794" s="19"/>
    </row>
    <row r="795" ht="15.75" customHeight="1">
      <c r="A795" s="12" t="s">
        <v>174</v>
      </c>
      <c r="B795" s="22" t="s">
        <v>1325</v>
      </c>
      <c r="C795" s="24" t="s">
        <v>375</v>
      </c>
      <c r="D795" s="22" t="s">
        <v>16490</v>
      </c>
      <c r="E795" s="22" t="s">
        <v>16491</v>
      </c>
      <c r="F795" s="13" t="s">
        <v>178</v>
      </c>
      <c r="G795" s="14" t="s">
        <v>179</v>
      </c>
      <c r="H795" s="14" t="s">
        <v>16492</v>
      </c>
      <c r="I795" s="14" t="s">
        <v>179</v>
      </c>
      <c r="J795" s="14" t="s">
        <v>16493</v>
      </c>
      <c r="K795" s="14" t="s">
        <v>179</v>
      </c>
      <c r="L795" s="14" t="s">
        <v>16494</v>
      </c>
      <c r="M795" s="14" t="s">
        <v>179</v>
      </c>
      <c r="N795" s="14" t="s">
        <v>16495</v>
      </c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6" t="s">
        <v>197</v>
      </c>
      <c r="BP795" s="17" t="s">
        <v>198</v>
      </c>
      <c r="BQ795" s="18">
        <v>45686.50212962963</v>
      </c>
      <c r="BR795" s="17" t="s">
        <v>198</v>
      </c>
      <c r="BS795" s="18">
        <v>45686.502118055556</v>
      </c>
      <c r="BT795" s="17" t="s">
        <v>198</v>
      </c>
      <c r="BU795" s="18">
        <v>45686.50212962963</v>
      </c>
      <c r="BV795" s="13" t="s">
        <v>199</v>
      </c>
      <c r="BW795" s="14" t="s">
        <v>179</v>
      </c>
      <c r="BX795" s="14" t="s">
        <v>16496</v>
      </c>
      <c r="BY795" s="14" t="s">
        <v>179</v>
      </c>
      <c r="BZ795" s="14" t="s">
        <v>16497</v>
      </c>
      <c r="CA795" s="14" t="s">
        <v>179</v>
      </c>
      <c r="CB795" s="14" t="s">
        <v>16498</v>
      </c>
      <c r="CC795" s="15"/>
      <c r="CD795" s="15"/>
      <c r="CE795" s="15"/>
      <c r="CF795" s="15"/>
      <c r="CG795" s="19"/>
      <c r="CH795" s="15"/>
      <c r="CI795" s="19"/>
      <c r="CJ795" s="15"/>
      <c r="CK795" s="19"/>
      <c r="CL795" s="15"/>
      <c r="CM795" s="19"/>
      <c r="CN795" s="15"/>
      <c r="CO795" s="19"/>
      <c r="CP795" s="15"/>
      <c r="CQ795" s="15"/>
      <c r="CR795" s="15"/>
      <c r="CS795" s="19"/>
      <c r="CT795" s="15"/>
      <c r="CU795" s="19"/>
      <c r="CV795" s="15"/>
      <c r="CW795" s="19"/>
      <c r="CX795" s="15"/>
      <c r="CY795" s="19"/>
      <c r="CZ795" s="15"/>
      <c r="DA795" s="16" t="s">
        <v>197</v>
      </c>
      <c r="DB795" s="17" t="s">
        <v>228</v>
      </c>
      <c r="DC795" s="16"/>
      <c r="DD795" s="17" t="s">
        <v>198</v>
      </c>
      <c r="DE795" s="18">
        <v>45698.6258912037</v>
      </c>
      <c r="DF795" s="17" t="s">
        <v>198</v>
      </c>
      <c r="DG795" s="18">
        <v>45698.6258912037</v>
      </c>
      <c r="DH795" s="13" t="s">
        <v>205</v>
      </c>
      <c r="DI795" s="14" t="s">
        <v>179</v>
      </c>
      <c r="DJ795" s="14" t="s">
        <v>16499</v>
      </c>
      <c r="DK795" s="14" t="s">
        <v>179</v>
      </c>
      <c r="DL795" s="14" t="s">
        <v>16500</v>
      </c>
      <c r="DM795" s="15"/>
      <c r="DN795" s="15"/>
      <c r="DO795" s="15"/>
      <c r="DP795" s="15"/>
      <c r="DQ795" s="15"/>
      <c r="DR795" s="15"/>
      <c r="DS795" s="15"/>
      <c r="DT795" s="15"/>
      <c r="DU795" s="15"/>
      <c r="DV795" s="15"/>
      <c r="DW795" s="15"/>
      <c r="DX795" s="15"/>
      <c r="DY795" s="15"/>
      <c r="DZ795" s="15"/>
      <c r="EA795" s="15"/>
      <c r="EB795" s="15"/>
      <c r="EC795" s="16" t="s">
        <v>197</v>
      </c>
      <c r="ED795" s="17" t="s">
        <v>198</v>
      </c>
      <c r="EE795" s="18">
        <v>45708.337534722225</v>
      </c>
      <c r="EF795" s="13" t="s">
        <v>209</v>
      </c>
      <c r="EG795" s="14" t="s">
        <v>179</v>
      </c>
      <c r="EH795" s="14" t="s">
        <v>16501</v>
      </c>
      <c r="EI795" s="14" t="s">
        <v>179</v>
      </c>
      <c r="EJ795" s="14" t="s">
        <v>16501</v>
      </c>
      <c r="EK795" s="15"/>
      <c r="EL795" s="15"/>
      <c r="EM795" s="15"/>
      <c r="EN795" s="15"/>
      <c r="EO795" s="15"/>
      <c r="EP795" s="15"/>
      <c r="EQ795" s="15"/>
      <c r="ER795" s="15"/>
      <c r="ES795" s="15"/>
      <c r="ET795" s="15"/>
      <c r="EU795" s="15"/>
      <c r="EV795" s="15"/>
      <c r="EW795" s="15"/>
      <c r="EX795" s="15"/>
      <c r="EY795" s="15"/>
      <c r="EZ795" s="15"/>
      <c r="FA795" s="15"/>
      <c r="FB795" s="15"/>
      <c r="FC795" s="16" t="s">
        <v>197</v>
      </c>
      <c r="FD795" s="17" t="s">
        <v>198</v>
      </c>
      <c r="FE795" s="18">
        <v>45723.28949074074</v>
      </c>
      <c r="FF795" s="19"/>
      <c r="FG795" s="19"/>
      <c r="FH795" s="21" t="s">
        <v>197</v>
      </c>
      <c r="FI795" s="17" t="s">
        <v>214</v>
      </c>
      <c r="FJ795" s="18">
        <v>45723.28949074074</v>
      </c>
      <c r="FK795" s="14" t="s">
        <v>16501</v>
      </c>
      <c r="FL795" s="14" t="s">
        <v>16502</v>
      </c>
      <c r="FM795" s="14" t="s">
        <v>16503</v>
      </c>
      <c r="FN795" s="19"/>
      <c r="FO795" s="19"/>
      <c r="FP795" s="19" t="str">
        <f t="shared" si="1"/>
        <v>Base de Dados_Images/TIT20091.Imagem do Equipamento-.152428.jpg</v>
      </c>
      <c r="FQ795" s="19"/>
      <c r="FR795" s="19"/>
    </row>
    <row r="796" ht="15.75" customHeight="1">
      <c r="A796" s="12" t="s">
        <v>174</v>
      </c>
      <c r="B796" s="22" t="s">
        <v>1325</v>
      </c>
      <c r="C796" s="24" t="s">
        <v>375</v>
      </c>
      <c r="D796" s="22" t="s">
        <v>16504</v>
      </c>
      <c r="E796" s="22" t="s">
        <v>16505</v>
      </c>
      <c r="F796" s="13" t="s">
        <v>178</v>
      </c>
      <c r="G796" s="14" t="s">
        <v>179</v>
      </c>
      <c r="H796" s="14" t="s">
        <v>16506</v>
      </c>
      <c r="I796" s="14" t="s">
        <v>179</v>
      </c>
      <c r="J796" s="14" t="s">
        <v>16507</v>
      </c>
      <c r="K796" s="14" t="s">
        <v>179</v>
      </c>
      <c r="L796" s="14" t="s">
        <v>16508</v>
      </c>
      <c r="M796" s="14" t="s">
        <v>179</v>
      </c>
      <c r="N796" s="14" t="s">
        <v>16509</v>
      </c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6" t="s">
        <v>197</v>
      </c>
      <c r="BP796" s="17" t="s">
        <v>198</v>
      </c>
      <c r="BQ796" s="18">
        <v>45686.502546296295</v>
      </c>
      <c r="BR796" s="17" t="s">
        <v>198</v>
      </c>
      <c r="BS796" s="18">
        <v>45686.502534722225</v>
      </c>
      <c r="BT796" s="17" t="s">
        <v>198</v>
      </c>
      <c r="BU796" s="18">
        <v>45686.502546296295</v>
      </c>
      <c r="BV796" s="13" t="s">
        <v>199</v>
      </c>
      <c r="BW796" s="14" t="s">
        <v>179</v>
      </c>
      <c r="BX796" s="14" t="s">
        <v>16510</v>
      </c>
      <c r="BY796" s="14" t="s">
        <v>179</v>
      </c>
      <c r="BZ796" s="14" t="s">
        <v>16511</v>
      </c>
      <c r="CA796" s="14" t="s">
        <v>179</v>
      </c>
      <c r="CB796" s="14" t="s">
        <v>16512</v>
      </c>
      <c r="CC796" s="15"/>
      <c r="CD796" s="15"/>
      <c r="CE796" s="15"/>
      <c r="CF796" s="15"/>
      <c r="CG796" s="19"/>
      <c r="CH796" s="15"/>
      <c r="CI796" s="19"/>
      <c r="CJ796" s="15"/>
      <c r="CK796" s="19"/>
      <c r="CL796" s="15"/>
      <c r="CM796" s="19"/>
      <c r="CN796" s="15"/>
      <c r="CO796" s="19"/>
      <c r="CP796" s="15"/>
      <c r="CQ796" s="15"/>
      <c r="CR796" s="15"/>
      <c r="CS796" s="19"/>
      <c r="CT796" s="15"/>
      <c r="CU796" s="19"/>
      <c r="CV796" s="15"/>
      <c r="CW796" s="19"/>
      <c r="CX796" s="15"/>
      <c r="CY796" s="19"/>
      <c r="CZ796" s="15"/>
      <c r="DA796" s="16" t="s">
        <v>197</v>
      </c>
      <c r="DB796" s="17" t="s">
        <v>228</v>
      </c>
      <c r="DC796" s="16"/>
      <c r="DD796" s="17" t="s">
        <v>198</v>
      </c>
      <c r="DE796" s="18">
        <v>45698.62568287037</v>
      </c>
      <c r="DF796" s="17" t="s">
        <v>198</v>
      </c>
      <c r="DG796" s="18">
        <v>45698.62568287037</v>
      </c>
      <c r="DH796" s="13" t="s">
        <v>205</v>
      </c>
      <c r="DI796" s="14" t="s">
        <v>179</v>
      </c>
      <c r="DJ796" s="14" t="s">
        <v>16513</v>
      </c>
      <c r="DK796" s="14" t="s">
        <v>179</v>
      </c>
      <c r="DL796" s="14" t="s">
        <v>16514</v>
      </c>
      <c r="DM796" s="15"/>
      <c r="DN796" s="15"/>
      <c r="DO796" s="15"/>
      <c r="DP796" s="15"/>
      <c r="DQ796" s="15"/>
      <c r="DR796" s="15"/>
      <c r="DS796" s="15"/>
      <c r="DT796" s="15"/>
      <c r="DU796" s="15"/>
      <c r="DV796" s="15"/>
      <c r="DW796" s="15"/>
      <c r="DX796" s="15"/>
      <c r="DY796" s="15"/>
      <c r="DZ796" s="15"/>
      <c r="EA796" s="15"/>
      <c r="EB796" s="15"/>
      <c r="EC796" s="16" t="s">
        <v>197</v>
      </c>
      <c r="ED796" s="17" t="s">
        <v>198</v>
      </c>
      <c r="EE796" s="18">
        <v>45708.337430555555</v>
      </c>
      <c r="EF796" s="13" t="s">
        <v>209</v>
      </c>
      <c r="EG796" s="14" t="s">
        <v>179</v>
      </c>
      <c r="EH796" s="14" t="s">
        <v>16515</v>
      </c>
      <c r="EI796" s="14" t="s">
        <v>179</v>
      </c>
      <c r="EJ796" s="14" t="s">
        <v>16515</v>
      </c>
      <c r="EK796" s="15"/>
      <c r="EL796" s="15"/>
      <c r="EM796" s="15"/>
      <c r="EN796" s="15"/>
      <c r="EO796" s="15"/>
      <c r="EP796" s="15"/>
      <c r="EQ796" s="15"/>
      <c r="ER796" s="15"/>
      <c r="ES796" s="15"/>
      <c r="ET796" s="15"/>
      <c r="EU796" s="15"/>
      <c r="EV796" s="15"/>
      <c r="EW796" s="15"/>
      <c r="EX796" s="15"/>
      <c r="EY796" s="15"/>
      <c r="EZ796" s="15"/>
      <c r="FA796" s="15"/>
      <c r="FB796" s="15"/>
      <c r="FC796" s="16" t="s">
        <v>197</v>
      </c>
      <c r="FD796" s="17" t="s">
        <v>198</v>
      </c>
      <c r="FE796" s="18">
        <v>45723.28957175926</v>
      </c>
      <c r="FF796" s="19"/>
      <c r="FG796" s="19"/>
      <c r="FH796" s="21" t="s">
        <v>197</v>
      </c>
      <c r="FI796" s="17" t="s">
        <v>214</v>
      </c>
      <c r="FJ796" s="18">
        <v>45723.28957175926</v>
      </c>
      <c r="FK796" s="14" t="s">
        <v>16515</v>
      </c>
      <c r="FL796" s="14" t="s">
        <v>16516</v>
      </c>
      <c r="FM796" s="14" t="s">
        <v>16517</v>
      </c>
      <c r="FN796" s="19"/>
      <c r="FO796" s="19"/>
      <c r="FP796" s="19" t="str">
        <f t="shared" si="1"/>
        <v>Base de Dados_Images/TIT20092.Imagem do Equipamento-.152450.jpg</v>
      </c>
      <c r="FQ796" s="19"/>
      <c r="FR796" s="19"/>
    </row>
    <row r="797" ht="15.75" customHeight="1">
      <c r="A797" s="12" t="s">
        <v>174</v>
      </c>
      <c r="B797" s="22" t="s">
        <v>1325</v>
      </c>
      <c r="C797" s="24" t="s">
        <v>375</v>
      </c>
      <c r="D797" s="22" t="s">
        <v>16518</v>
      </c>
      <c r="E797" s="22" t="s">
        <v>16519</v>
      </c>
      <c r="F797" s="13" t="s">
        <v>178</v>
      </c>
      <c r="G797" s="14" t="s">
        <v>179</v>
      </c>
      <c r="H797" s="14" t="s">
        <v>16520</v>
      </c>
      <c r="I797" s="14" t="s">
        <v>179</v>
      </c>
      <c r="J797" s="14" t="s">
        <v>16521</v>
      </c>
      <c r="K797" s="14" t="s">
        <v>179</v>
      </c>
      <c r="L797" s="14" t="s">
        <v>16522</v>
      </c>
      <c r="M797" s="14" t="s">
        <v>179</v>
      </c>
      <c r="N797" s="14" t="s">
        <v>16523</v>
      </c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6" t="s">
        <v>197</v>
      </c>
      <c r="BP797" s="17" t="s">
        <v>198</v>
      </c>
      <c r="BQ797" s="18">
        <v>45686.50283564815</v>
      </c>
      <c r="BR797" s="17" t="s">
        <v>198</v>
      </c>
      <c r="BS797" s="18">
        <v>45686.5028125</v>
      </c>
      <c r="BT797" s="17" t="s">
        <v>198</v>
      </c>
      <c r="BU797" s="18">
        <v>45686.50283564815</v>
      </c>
      <c r="BV797" s="13" t="s">
        <v>199</v>
      </c>
      <c r="BW797" s="14" t="s">
        <v>179</v>
      </c>
      <c r="BX797" s="14" t="s">
        <v>16524</v>
      </c>
      <c r="BY797" s="14" t="s">
        <v>179</v>
      </c>
      <c r="BZ797" s="14" t="s">
        <v>16525</v>
      </c>
      <c r="CA797" s="14" t="s">
        <v>179</v>
      </c>
      <c r="CB797" s="14" t="s">
        <v>16526</v>
      </c>
      <c r="CC797" s="15"/>
      <c r="CD797" s="15"/>
      <c r="CE797" s="15"/>
      <c r="CF797" s="15"/>
      <c r="CG797" s="19"/>
      <c r="CH797" s="15"/>
      <c r="CI797" s="19"/>
      <c r="CJ797" s="15"/>
      <c r="CK797" s="19"/>
      <c r="CL797" s="15"/>
      <c r="CM797" s="19"/>
      <c r="CN797" s="15"/>
      <c r="CO797" s="19"/>
      <c r="CP797" s="15"/>
      <c r="CQ797" s="15"/>
      <c r="CR797" s="15"/>
      <c r="CS797" s="19"/>
      <c r="CT797" s="15"/>
      <c r="CU797" s="19"/>
      <c r="CV797" s="15"/>
      <c r="CW797" s="19"/>
      <c r="CX797" s="15"/>
      <c r="CY797" s="19"/>
      <c r="CZ797" s="15"/>
      <c r="DA797" s="16" t="s">
        <v>197</v>
      </c>
      <c r="DB797" s="17" t="s">
        <v>228</v>
      </c>
      <c r="DC797" s="16"/>
      <c r="DD797" s="17" t="s">
        <v>198</v>
      </c>
      <c r="DE797" s="18">
        <v>45698.625497685185</v>
      </c>
      <c r="DF797" s="17" t="s">
        <v>198</v>
      </c>
      <c r="DG797" s="18">
        <v>45698.625497685185</v>
      </c>
      <c r="DH797" s="13" t="s">
        <v>205</v>
      </c>
      <c r="DI797" s="14" t="s">
        <v>179</v>
      </c>
      <c r="DJ797" s="14" t="s">
        <v>16527</v>
      </c>
      <c r="DK797" s="14" t="s">
        <v>179</v>
      </c>
      <c r="DL797" s="14" t="s">
        <v>16528</v>
      </c>
      <c r="DM797" s="15"/>
      <c r="DN797" s="15"/>
      <c r="DO797" s="15"/>
      <c r="DP797" s="15"/>
      <c r="DQ797" s="15"/>
      <c r="DR797" s="15"/>
      <c r="DS797" s="15"/>
      <c r="DT797" s="15"/>
      <c r="DU797" s="15"/>
      <c r="DV797" s="15"/>
      <c r="DW797" s="15"/>
      <c r="DX797" s="15"/>
      <c r="DY797" s="15"/>
      <c r="DZ797" s="15"/>
      <c r="EA797" s="15"/>
      <c r="EB797" s="15"/>
      <c r="EC797" s="16" t="s">
        <v>197</v>
      </c>
      <c r="ED797" s="17" t="s">
        <v>198</v>
      </c>
      <c r="EE797" s="18">
        <v>45708.337326388886</v>
      </c>
      <c r="EF797" s="13" t="s">
        <v>209</v>
      </c>
      <c r="EG797" s="14" t="s">
        <v>179</v>
      </c>
      <c r="EH797" s="14" t="s">
        <v>16529</v>
      </c>
      <c r="EI797" s="14" t="s">
        <v>179</v>
      </c>
      <c r="EJ797" s="14" t="s">
        <v>16529</v>
      </c>
      <c r="EK797" s="15"/>
      <c r="EL797" s="15"/>
      <c r="EM797" s="15"/>
      <c r="EN797" s="15"/>
      <c r="EO797" s="15"/>
      <c r="EP797" s="15"/>
      <c r="EQ797" s="15"/>
      <c r="ER797" s="15"/>
      <c r="ES797" s="15"/>
      <c r="ET797" s="15"/>
      <c r="EU797" s="15"/>
      <c r="EV797" s="15"/>
      <c r="EW797" s="15"/>
      <c r="EX797" s="15"/>
      <c r="EY797" s="15"/>
      <c r="EZ797" s="15"/>
      <c r="FA797" s="15"/>
      <c r="FB797" s="15"/>
      <c r="FC797" s="16" t="s">
        <v>197</v>
      </c>
      <c r="FD797" s="17" t="s">
        <v>198</v>
      </c>
      <c r="FE797" s="18">
        <v>45723.2896412037</v>
      </c>
      <c r="FF797" s="19"/>
      <c r="FG797" s="19"/>
      <c r="FH797" s="21" t="s">
        <v>197</v>
      </c>
      <c r="FI797" s="17" t="s">
        <v>214</v>
      </c>
      <c r="FJ797" s="18">
        <v>45723.2896412037</v>
      </c>
      <c r="FK797" s="14" t="s">
        <v>16529</v>
      </c>
      <c r="FL797" s="14" t="s">
        <v>16530</v>
      </c>
      <c r="FM797" s="14" t="s">
        <v>16531</v>
      </c>
      <c r="FN797" s="19"/>
      <c r="FO797" s="19"/>
      <c r="FP797" s="19" t="str">
        <f t="shared" si="1"/>
        <v>Base de Dados_Images/TIT20093.Imagem do Equipamento-.152512.jpg</v>
      </c>
      <c r="FQ797" s="19"/>
      <c r="FR797" s="19"/>
    </row>
    <row r="798" ht="15.75" customHeight="1">
      <c r="A798" s="12" t="s">
        <v>174</v>
      </c>
      <c r="B798" s="22" t="s">
        <v>1325</v>
      </c>
      <c r="C798" s="24" t="s">
        <v>375</v>
      </c>
      <c r="D798" s="22" t="s">
        <v>16532</v>
      </c>
      <c r="E798" s="22" t="s">
        <v>16533</v>
      </c>
      <c r="F798" s="13" t="s">
        <v>178</v>
      </c>
      <c r="G798" s="14" t="s">
        <v>179</v>
      </c>
      <c r="H798" s="14" t="s">
        <v>16534</v>
      </c>
      <c r="I798" s="14" t="s">
        <v>179</v>
      </c>
      <c r="J798" s="14" t="s">
        <v>16535</v>
      </c>
      <c r="K798" s="14" t="s">
        <v>179</v>
      </c>
      <c r="L798" s="14" t="s">
        <v>16536</v>
      </c>
      <c r="M798" s="14" t="s">
        <v>179</v>
      </c>
      <c r="N798" s="14" t="s">
        <v>16537</v>
      </c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6" t="s">
        <v>197</v>
      </c>
      <c r="BP798" s="17" t="s">
        <v>198</v>
      </c>
      <c r="BQ798" s="18">
        <v>45686.49864583334</v>
      </c>
      <c r="BR798" s="17" t="s">
        <v>198</v>
      </c>
      <c r="BS798" s="18">
        <v>45686.49855324074</v>
      </c>
      <c r="BT798" s="17" t="s">
        <v>198</v>
      </c>
      <c r="BU798" s="18">
        <v>45686.49864583334</v>
      </c>
      <c r="BV798" s="13" t="s">
        <v>199</v>
      </c>
      <c r="BW798" s="14" t="s">
        <v>179</v>
      </c>
      <c r="BX798" s="14" t="s">
        <v>16538</v>
      </c>
      <c r="BY798" s="14" t="s">
        <v>179</v>
      </c>
      <c r="BZ798" s="14" t="s">
        <v>16539</v>
      </c>
      <c r="CA798" s="14" t="s">
        <v>179</v>
      </c>
      <c r="CB798" s="14" t="s">
        <v>16540</v>
      </c>
      <c r="CC798" s="15"/>
      <c r="CD798" s="15"/>
      <c r="CE798" s="15"/>
      <c r="CF798" s="15"/>
      <c r="CG798" s="19"/>
      <c r="CH798" s="15"/>
      <c r="CI798" s="19"/>
      <c r="CJ798" s="15"/>
      <c r="CK798" s="19"/>
      <c r="CL798" s="15"/>
      <c r="CM798" s="19"/>
      <c r="CN798" s="15"/>
      <c r="CO798" s="19"/>
      <c r="CP798" s="15"/>
      <c r="CQ798" s="15"/>
      <c r="CR798" s="15"/>
      <c r="CS798" s="19"/>
      <c r="CT798" s="15"/>
      <c r="CU798" s="19"/>
      <c r="CV798" s="15"/>
      <c r="CW798" s="19"/>
      <c r="CX798" s="15"/>
      <c r="CY798" s="19"/>
      <c r="CZ798" s="15"/>
      <c r="DA798" s="16" t="s">
        <v>197</v>
      </c>
      <c r="DB798" s="17" t="s">
        <v>228</v>
      </c>
      <c r="DC798" s="16"/>
      <c r="DD798" s="17" t="s">
        <v>198</v>
      </c>
      <c r="DE798" s="18">
        <v>45698.62519675926</v>
      </c>
      <c r="DF798" s="17" t="s">
        <v>198</v>
      </c>
      <c r="DG798" s="18">
        <v>45698.62519675926</v>
      </c>
      <c r="DH798" s="13" t="s">
        <v>205</v>
      </c>
      <c r="DI798" s="14" t="s">
        <v>179</v>
      </c>
      <c r="DJ798" s="14" t="s">
        <v>16541</v>
      </c>
      <c r="DK798" s="14" t="s">
        <v>179</v>
      </c>
      <c r="DL798" s="14" t="s">
        <v>16541</v>
      </c>
      <c r="DM798" s="15"/>
      <c r="DN798" s="15"/>
      <c r="DO798" s="15"/>
      <c r="DP798" s="15"/>
      <c r="DQ798" s="15"/>
      <c r="DR798" s="15"/>
      <c r="DS798" s="15"/>
      <c r="DT798" s="15"/>
      <c r="DU798" s="15"/>
      <c r="DV798" s="15"/>
      <c r="DW798" s="15"/>
      <c r="DX798" s="15"/>
      <c r="DY798" s="15"/>
      <c r="DZ798" s="15"/>
      <c r="EA798" s="15"/>
      <c r="EB798" s="15"/>
      <c r="EC798" s="16" t="s">
        <v>197</v>
      </c>
      <c r="ED798" s="17" t="s">
        <v>198</v>
      </c>
      <c r="EE798" s="18">
        <v>45708.337222222224</v>
      </c>
      <c r="EF798" s="13" t="s">
        <v>209</v>
      </c>
      <c r="EG798" s="14" t="s">
        <v>179</v>
      </c>
      <c r="EH798" s="14" t="s">
        <v>16542</v>
      </c>
      <c r="EI798" s="14" t="s">
        <v>179</v>
      </c>
      <c r="EJ798" s="14" t="s">
        <v>16543</v>
      </c>
      <c r="EK798" s="15"/>
      <c r="EL798" s="15"/>
      <c r="EM798" s="15"/>
      <c r="EN798" s="15"/>
      <c r="EO798" s="15"/>
      <c r="EP798" s="15"/>
      <c r="EQ798" s="15"/>
      <c r="ER798" s="15"/>
      <c r="ES798" s="15"/>
      <c r="ET798" s="15"/>
      <c r="EU798" s="15"/>
      <c r="EV798" s="15"/>
      <c r="EW798" s="15"/>
      <c r="EX798" s="15"/>
      <c r="EY798" s="15"/>
      <c r="EZ798" s="15"/>
      <c r="FA798" s="15"/>
      <c r="FB798" s="15"/>
      <c r="FC798" s="16" t="s">
        <v>197</v>
      </c>
      <c r="FD798" s="17" t="s">
        <v>198</v>
      </c>
      <c r="FE798" s="18">
        <v>45723.28974537037</v>
      </c>
      <c r="FF798" s="19"/>
      <c r="FG798" s="19"/>
      <c r="FH798" s="21" t="s">
        <v>197</v>
      </c>
      <c r="FI798" s="17" t="s">
        <v>214</v>
      </c>
      <c r="FJ798" s="18">
        <v>45723.28974537037</v>
      </c>
      <c r="FK798" s="14" t="s">
        <v>16542</v>
      </c>
      <c r="FL798" s="14" t="s">
        <v>16544</v>
      </c>
      <c r="FM798" s="14" t="s">
        <v>16545</v>
      </c>
      <c r="FN798" s="19"/>
      <c r="FO798" s="19"/>
      <c r="FP798" s="19" t="str">
        <f t="shared" si="1"/>
        <v>Base de Dados_Images/TIT20094.Imagem do Equipamento-.152144.jpg</v>
      </c>
      <c r="FQ798" s="19"/>
      <c r="FR798" s="19"/>
    </row>
    <row r="799" ht="15.75" customHeight="1">
      <c r="A799" s="12" t="s">
        <v>174</v>
      </c>
      <c r="B799" s="22" t="s">
        <v>1325</v>
      </c>
      <c r="C799" s="24" t="s">
        <v>375</v>
      </c>
      <c r="D799" s="22" t="s">
        <v>16546</v>
      </c>
      <c r="E799" s="22" t="s">
        <v>16547</v>
      </c>
      <c r="F799" s="13" t="s">
        <v>178</v>
      </c>
      <c r="G799" s="14" t="s">
        <v>179</v>
      </c>
      <c r="H799" s="14" t="s">
        <v>16548</v>
      </c>
      <c r="I799" s="14" t="s">
        <v>179</v>
      </c>
      <c r="J799" s="14" t="s">
        <v>16549</v>
      </c>
      <c r="K799" s="14" t="s">
        <v>179</v>
      </c>
      <c r="L799" s="14" t="s">
        <v>16550</v>
      </c>
      <c r="M799" s="14" t="s">
        <v>179</v>
      </c>
      <c r="N799" s="14" t="s">
        <v>16551</v>
      </c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6" t="s">
        <v>197</v>
      </c>
      <c r="BP799" s="17" t="s">
        <v>198</v>
      </c>
      <c r="BQ799" s="18">
        <v>45686.499976851854</v>
      </c>
      <c r="BR799" s="17" t="s">
        <v>198</v>
      </c>
      <c r="BS799" s="18">
        <v>45686.49996527778</v>
      </c>
      <c r="BT799" s="17" t="s">
        <v>198</v>
      </c>
      <c r="BU799" s="18">
        <v>45686.499976851854</v>
      </c>
      <c r="BV799" s="13" t="s">
        <v>199</v>
      </c>
      <c r="BW799" s="14" t="s">
        <v>179</v>
      </c>
      <c r="BX799" s="14" t="s">
        <v>16552</v>
      </c>
      <c r="BY799" s="14" t="s">
        <v>179</v>
      </c>
      <c r="BZ799" s="14" t="s">
        <v>16552</v>
      </c>
      <c r="CA799" s="14" t="s">
        <v>179</v>
      </c>
      <c r="CB799" s="14" t="s">
        <v>16553</v>
      </c>
      <c r="CC799" s="15"/>
      <c r="CD799" s="15"/>
      <c r="CE799" s="15"/>
      <c r="CF799" s="15"/>
      <c r="CG799" s="19"/>
      <c r="CH799" s="15"/>
      <c r="CI799" s="19"/>
      <c r="CJ799" s="15"/>
      <c r="CK799" s="19"/>
      <c r="CL799" s="15"/>
      <c r="CM799" s="19"/>
      <c r="CN799" s="15"/>
      <c r="CO799" s="19"/>
      <c r="CP799" s="15"/>
      <c r="CQ799" s="15"/>
      <c r="CR799" s="15"/>
      <c r="CS799" s="19"/>
      <c r="CT799" s="15"/>
      <c r="CU799" s="19"/>
      <c r="CV799" s="15"/>
      <c r="CW799" s="19"/>
      <c r="CX799" s="15"/>
      <c r="CY799" s="19"/>
      <c r="CZ799" s="15"/>
      <c r="DA799" s="16" t="s">
        <v>197</v>
      </c>
      <c r="DB799" s="17" t="s">
        <v>228</v>
      </c>
      <c r="DC799" s="16"/>
      <c r="DD799" s="17" t="s">
        <v>198</v>
      </c>
      <c r="DE799" s="18">
        <v>45698.6237962963</v>
      </c>
      <c r="DF799" s="17" t="s">
        <v>198</v>
      </c>
      <c r="DG799" s="18">
        <v>45698.6237962963</v>
      </c>
      <c r="DH799" s="13" t="s">
        <v>205</v>
      </c>
      <c r="DI799" s="14" t="s">
        <v>179</v>
      </c>
      <c r="DJ799" s="14" t="s">
        <v>16554</v>
      </c>
      <c r="DK799" s="14" t="s">
        <v>179</v>
      </c>
      <c r="DL799" s="14" t="s">
        <v>16555</v>
      </c>
      <c r="DM799" s="15"/>
      <c r="DN799" s="15"/>
      <c r="DO799" s="15"/>
      <c r="DP799" s="15"/>
      <c r="DQ799" s="15"/>
      <c r="DR799" s="15"/>
      <c r="DS799" s="15"/>
      <c r="DT799" s="15"/>
      <c r="DU799" s="15"/>
      <c r="DV799" s="15"/>
      <c r="DW799" s="15"/>
      <c r="DX799" s="15"/>
      <c r="DY799" s="15"/>
      <c r="DZ799" s="15"/>
      <c r="EA799" s="15"/>
      <c r="EB799" s="15"/>
      <c r="EC799" s="16" t="s">
        <v>197</v>
      </c>
      <c r="ED799" s="17" t="s">
        <v>198</v>
      </c>
      <c r="EE799" s="18">
        <v>45708.337118055555</v>
      </c>
      <c r="EF799" s="13" t="s">
        <v>209</v>
      </c>
      <c r="EG799" s="14" t="s">
        <v>179</v>
      </c>
      <c r="EH799" s="14" t="s">
        <v>16556</v>
      </c>
      <c r="EI799" s="14" t="s">
        <v>179</v>
      </c>
      <c r="EJ799" s="14" t="s">
        <v>16557</v>
      </c>
      <c r="EK799" s="15"/>
      <c r="EL799" s="15"/>
      <c r="EM799" s="15"/>
      <c r="EN799" s="15"/>
      <c r="EO799" s="15"/>
      <c r="EP799" s="15"/>
      <c r="EQ799" s="15"/>
      <c r="ER799" s="15"/>
      <c r="ES799" s="15"/>
      <c r="ET799" s="15"/>
      <c r="EU799" s="15"/>
      <c r="EV799" s="15"/>
      <c r="EW799" s="15"/>
      <c r="EX799" s="15"/>
      <c r="EY799" s="15"/>
      <c r="EZ799" s="15"/>
      <c r="FA799" s="15"/>
      <c r="FB799" s="15"/>
      <c r="FC799" s="16" t="s">
        <v>197</v>
      </c>
      <c r="FD799" s="17" t="s">
        <v>198</v>
      </c>
      <c r="FE799" s="18">
        <v>45723.28984953704</v>
      </c>
      <c r="FF799" s="19"/>
      <c r="FG799" s="19"/>
      <c r="FH799" s="21" t="s">
        <v>197</v>
      </c>
      <c r="FI799" s="17" t="s">
        <v>214</v>
      </c>
      <c r="FJ799" s="18">
        <v>45723.28984953704</v>
      </c>
      <c r="FK799" s="14" t="s">
        <v>16556</v>
      </c>
      <c r="FL799" s="14" t="s">
        <v>16558</v>
      </c>
      <c r="FM799" s="14" t="s">
        <v>16559</v>
      </c>
      <c r="FN799" s="19"/>
      <c r="FO799" s="19"/>
      <c r="FP799" s="19" t="str">
        <f t="shared" si="1"/>
        <v>Base de Dados_Images/TIT20095.Imagem do Equipamento-.152314.jpg</v>
      </c>
      <c r="FQ799" s="19"/>
      <c r="FR799" s="19"/>
    </row>
    <row r="800" ht="15.75" customHeight="1">
      <c r="A800" s="12" t="s">
        <v>174</v>
      </c>
      <c r="B800" s="22" t="s">
        <v>2226</v>
      </c>
      <c r="C800" s="24" t="s">
        <v>375</v>
      </c>
      <c r="D800" s="22" t="s">
        <v>16560</v>
      </c>
      <c r="E800" s="22" t="s">
        <v>16561</v>
      </c>
      <c r="F800" s="13" t="s">
        <v>178</v>
      </c>
      <c r="G800" s="14" t="s">
        <v>179</v>
      </c>
      <c r="H800" s="14" t="s">
        <v>16562</v>
      </c>
      <c r="I800" s="14" t="s">
        <v>179</v>
      </c>
      <c r="J800" s="14" t="s">
        <v>16563</v>
      </c>
      <c r="K800" s="14" t="s">
        <v>179</v>
      </c>
      <c r="L800" s="14" t="s">
        <v>16564</v>
      </c>
      <c r="M800" s="14" t="s">
        <v>179</v>
      </c>
      <c r="N800" s="14" t="s">
        <v>16565</v>
      </c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6" t="s">
        <v>197</v>
      </c>
      <c r="BP800" s="17" t="s">
        <v>198</v>
      </c>
      <c r="BQ800" s="18">
        <v>45699.386655092596</v>
      </c>
      <c r="BR800" s="17" t="s">
        <v>198</v>
      </c>
      <c r="BS800" s="18">
        <v>45699.38670138889</v>
      </c>
      <c r="BT800" s="17" t="s">
        <v>198</v>
      </c>
      <c r="BU800" s="18">
        <v>45699.38670138889</v>
      </c>
      <c r="BV800" s="13" t="s">
        <v>199</v>
      </c>
      <c r="BW800" s="14" t="s">
        <v>179</v>
      </c>
      <c r="BX800" s="14" t="s">
        <v>16566</v>
      </c>
      <c r="BY800" s="14" t="s">
        <v>179</v>
      </c>
      <c r="BZ800" s="14" t="s">
        <v>16567</v>
      </c>
      <c r="CA800" s="14" t="s">
        <v>179</v>
      </c>
      <c r="CB800" s="14" t="s">
        <v>16568</v>
      </c>
      <c r="CC800" s="15"/>
      <c r="CD800" s="15"/>
      <c r="CE800" s="15"/>
      <c r="CF800" s="15"/>
      <c r="CG800" s="19"/>
      <c r="CH800" s="15"/>
      <c r="CI800" s="19"/>
      <c r="CJ800" s="15"/>
      <c r="CK800" s="19"/>
      <c r="CL800" s="15"/>
      <c r="CM800" s="19"/>
      <c r="CN800" s="15"/>
      <c r="CO800" s="19"/>
      <c r="CP800" s="15"/>
      <c r="CQ800" s="15"/>
      <c r="CR800" s="15"/>
      <c r="CS800" s="19"/>
      <c r="CT800" s="15"/>
      <c r="CU800" s="19"/>
      <c r="CV800" s="15"/>
      <c r="CW800" s="19"/>
      <c r="CX800" s="15"/>
      <c r="CY800" s="19"/>
      <c r="CZ800" s="15"/>
      <c r="DA800" s="16" t="s">
        <v>197</v>
      </c>
      <c r="DB800" s="17" t="s">
        <v>228</v>
      </c>
      <c r="DC800" s="16"/>
      <c r="DD800" s="17" t="s">
        <v>198</v>
      </c>
      <c r="DE800" s="18">
        <v>45719.48884259259</v>
      </c>
      <c r="DF800" s="17" t="s">
        <v>198</v>
      </c>
      <c r="DG800" s="18">
        <v>45719.48884259259</v>
      </c>
      <c r="DH800" s="13" t="s">
        <v>205</v>
      </c>
      <c r="DI800" s="14" t="s">
        <v>179</v>
      </c>
      <c r="DJ800" s="14" t="s">
        <v>16569</v>
      </c>
      <c r="DK800" s="14" t="s">
        <v>179</v>
      </c>
      <c r="DL800" s="14" t="s">
        <v>16570</v>
      </c>
      <c r="DM800" s="15"/>
      <c r="DN800" s="15"/>
      <c r="DO800" s="15"/>
      <c r="DP800" s="15"/>
      <c r="DQ800" s="15"/>
      <c r="DR800" s="15"/>
      <c r="DS800" s="15"/>
      <c r="DT800" s="15"/>
      <c r="DU800" s="15"/>
      <c r="DV800" s="15"/>
      <c r="DW800" s="15"/>
      <c r="DX800" s="15"/>
      <c r="DY800" s="15"/>
      <c r="DZ800" s="15"/>
      <c r="EA800" s="15"/>
      <c r="EB800" s="15"/>
      <c r="EC800" s="16" t="s">
        <v>197</v>
      </c>
      <c r="ED800" s="17" t="s">
        <v>198</v>
      </c>
      <c r="EE800" s="18">
        <v>45719.488900462966</v>
      </c>
      <c r="EF800" s="13" t="s">
        <v>209</v>
      </c>
      <c r="EG800" s="14" t="s">
        <v>179</v>
      </c>
      <c r="EH800" s="14" t="s">
        <v>16571</v>
      </c>
      <c r="EI800" s="14" t="s">
        <v>179</v>
      </c>
      <c r="EJ800" s="14" t="s">
        <v>16571</v>
      </c>
      <c r="EK800" s="15"/>
      <c r="EL800" s="15"/>
      <c r="EM800" s="15"/>
      <c r="EN800" s="15"/>
      <c r="EO800" s="15"/>
      <c r="EP800" s="15"/>
      <c r="EQ800" s="15"/>
      <c r="ER800" s="15"/>
      <c r="ES800" s="15"/>
      <c r="ET800" s="15"/>
      <c r="EU800" s="15"/>
      <c r="EV800" s="15"/>
      <c r="EW800" s="15"/>
      <c r="EX800" s="15"/>
      <c r="EY800" s="15"/>
      <c r="EZ800" s="15"/>
      <c r="FA800" s="15"/>
      <c r="FB800" s="15"/>
      <c r="FC800" s="16" t="s">
        <v>197</v>
      </c>
      <c r="FD800" s="17" t="s">
        <v>198</v>
      </c>
      <c r="FE800" s="18">
        <v>45723.28402777778</v>
      </c>
      <c r="FF800" s="19"/>
      <c r="FG800" s="19"/>
      <c r="FH800" s="21" t="s">
        <v>197</v>
      </c>
      <c r="FI800" s="17" t="s">
        <v>214</v>
      </c>
      <c r="FJ800" s="18">
        <v>45723.28402777778</v>
      </c>
      <c r="FK800" s="14" t="s">
        <v>16571</v>
      </c>
      <c r="FL800" s="19"/>
      <c r="FM800" s="19"/>
      <c r="FN800" s="19"/>
      <c r="FO800" s="19"/>
      <c r="FP800" s="19" t="str">
        <f t="shared" si="1"/>
        <v/>
      </c>
      <c r="FQ800" s="14" t="s">
        <v>215</v>
      </c>
      <c r="FR800" s="14" t="s">
        <v>16572</v>
      </c>
    </row>
    <row r="801" ht="15.75" customHeight="1">
      <c r="A801" s="25" t="s">
        <v>1099</v>
      </c>
      <c r="B801" s="25" t="s">
        <v>1132</v>
      </c>
      <c r="C801" s="26" t="s">
        <v>375</v>
      </c>
      <c r="D801" s="25" t="s">
        <v>16573</v>
      </c>
      <c r="E801" s="25" t="s">
        <v>16574</v>
      </c>
      <c r="F801" s="27" t="s">
        <v>178</v>
      </c>
      <c r="G801" s="14" t="s">
        <v>179</v>
      </c>
      <c r="H801" s="14" t="s">
        <v>16575</v>
      </c>
      <c r="I801" s="14" t="s">
        <v>179</v>
      </c>
      <c r="J801" s="14" t="s">
        <v>16576</v>
      </c>
      <c r="K801" s="14" t="s">
        <v>179</v>
      </c>
      <c r="L801" s="14" t="s">
        <v>16577</v>
      </c>
      <c r="M801" s="14" t="s">
        <v>179</v>
      </c>
      <c r="N801" s="14" t="s">
        <v>16578</v>
      </c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7" t="s">
        <v>197</v>
      </c>
      <c r="BP801" s="17" t="s">
        <v>198</v>
      </c>
      <c r="BQ801" s="18">
        <v>45698.66190972222</v>
      </c>
      <c r="BR801" s="17" t="s">
        <v>198</v>
      </c>
      <c r="BS801" s="18">
        <v>45698.66195601852</v>
      </c>
      <c r="BT801" s="17" t="s">
        <v>198</v>
      </c>
      <c r="BU801" s="18">
        <v>45698.66195601852</v>
      </c>
      <c r="BV801" s="27" t="s">
        <v>199</v>
      </c>
      <c r="BW801" s="14" t="s">
        <v>188</v>
      </c>
      <c r="BX801" s="14" t="s">
        <v>16579</v>
      </c>
      <c r="BY801" s="14" t="s">
        <v>179</v>
      </c>
      <c r="BZ801" s="14" t="s">
        <v>16580</v>
      </c>
      <c r="CA801" s="14" t="s">
        <v>179</v>
      </c>
      <c r="CB801" s="14" t="s">
        <v>16581</v>
      </c>
      <c r="CC801" s="14"/>
      <c r="CD801" s="14"/>
      <c r="CE801" s="14"/>
      <c r="CF801" s="14"/>
      <c r="CG801" s="14"/>
      <c r="CH801" s="14"/>
      <c r="CI801" s="19"/>
      <c r="CJ801" s="15"/>
      <c r="CK801" s="19"/>
      <c r="CL801" s="15"/>
      <c r="CM801" s="19"/>
      <c r="CN801" s="15"/>
      <c r="CO801" s="19"/>
      <c r="CP801" s="15"/>
      <c r="CQ801" s="15"/>
      <c r="CR801" s="15"/>
      <c r="CS801" s="19"/>
      <c r="CT801" s="15"/>
      <c r="CU801" s="19"/>
      <c r="CV801" s="15"/>
      <c r="CW801" s="19"/>
      <c r="CX801" s="15"/>
      <c r="CY801" s="19"/>
      <c r="CZ801" s="15"/>
      <c r="DA801" s="17" t="s">
        <v>197</v>
      </c>
      <c r="DB801" s="17" t="s">
        <v>228</v>
      </c>
      <c r="DC801" s="20"/>
      <c r="DD801" s="17" t="s">
        <v>198</v>
      </c>
      <c r="DE801" s="18">
        <v>45698.66203703704</v>
      </c>
      <c r="DF801" s="17" t="s">
        <v>198</v>
      </c>
      <c r="DG801" s="18">
        <v>45698.66203703704</v>
      </c>
      <c r="DH801" s="27" t="s">
        <v>205</v>
      </c>
      <c r="DI801" s="14" t="s">
        <v>179</v>
      </c>
      <c r="DJ801" s="14" t="s">
        <v>16582</v>
      </c>
      <c r="DK801" s="14" t="s">
        <v>179</v>
      </c>
      <c r="DL801" s="14" t="s">
        <v>16583</v>
      </c>
      <c r="DM801" s="15"/>
      <c r="DN801" s="15"/>
      <c r="DO801" s="15"/>
      <c r="DP801" s="15"/>
      <c r="DQ801" s="15"/>
      <c r="DR801" s="15"/>
      <c r="DS801" s="15"/>
      <c r="DT801" s="15"/>
      <c r="DU801" s="15"/>
      <c r="DV801" s="15"/>
      <c r="DW801" s="15"/>
      <c r="DX801" s="15"/>
      <c r="DY801" s="15"/>
      <c r="DZ801" s="15"/>
      <c r="EA801" s="15"/>
      <c r="EB801" s="15"/>
      <c r="EC801" s="17" t="s">
        <v>197</v>
      </c>
      <c r="ED801" s="17" t="s">
        <v>198</v>
      </c>
      <c r="EE801" s="18">
        <v>45719.46969907408</v>
      </c>
      <c r="EF801" s="27" t="s">
        <v>209</v>
      </c>
      <c r="EG801" s="14" t="s">
        <v>179</v>
      </c>
      <c r="EH801" s="14" t="s">
        <v>16584</v>
      </c>
      <c r="EI801" s="14" t="s">
        <v>179</v>
      </c>
      <c r="EJ801" s="14" t="s">
        <v>16584</v>
      </c>
      <c r="EK801" s="15"/>
      <c r="EL801" s="15"/>
      <c r="EM801" s="15"/>
      <c r="EN801" s="15"/>
      <c r="EO801" s="15"/>
      <c r="EP801" s="15"/>
      <c r="EQ801" s="15"/>
      <c r="ER801" s="15"/>
      <c r="ES801" s="15"/>
      <c r="ET801" s="15"/>
      <c r="EU801" s="15"/>
      <c r="EV801" s="15"/>
      <c r="EW801" s="15"/>
      <c r="EX801" s="15"/>
      <c r="EY801" s="15"/>
      <c r="EZ801" s="15"/>
      <c r="FA801" s="15"/>
      <c r="FB801" s="15"/>
      <c r="FC801" s="17" t="s">
        <v>197</v>
      </c>
      <c r="FD801" s="17" t="s">
        <v>198</v>
      </c>
      <c r="FE801" s="18">
        <v>45723.27364583333</v>
      </c>
      <c r="FF801" s="19"/>
      <c r="FG801" s="19"/>
      <c r="FH801" s="17" t="s">
        <v>197</v>
      </c>
      <c r="FI801" s="17" t="s">
        <v>214</v>
      </c>
      <c r="FJ801" s="18">
        <v>45723.27364583333</v>
      </c>
      <c r="FK801" s="14" t="s">
        <v>16584</v>
      </c>
      <c r="FL801" s="14" t="s">
        <v>16585</v>
      </c>
      <c r="FM801" s="14" t="s">
        <v>16586</v>
      </c>
      <c r="FN801" s="19"/>
      <c r="FO801" s="19"/>
      <c r="FP801" s="19" t="str">
        <f t="shared" si="1"/>
        <v>Base de Dados_Images/TIT20112.Imagem do Equipamento-.132709.jpg</v>
      </c>
      <c r="FQ801" s="14"/>
      <c r="FR801" s="14"/>
    </row>
    <row r="802" ht="15.75" customHeight="1">
      <c r="A802" s="12" t="s">
        <v>174</v>
      </c>
      <c r="B802" s="22" t="s">
        <v>650</v>
      </c>
      <c r="C802" s="24" t="s">
        <v>375</v>
      </c>
      <c r="D802" s="22" t="s">
        <v>16587</v>
      </c>
      <c r="E802" s="22" t="s">
        <v>16588</v>
      </c>
      <c r="F802" s="13" t="s">
        <v>178</v>
      </c>
      <c r="G802" s="14" t="s">
        <v>179</v>
      </c>
      <c r="H802" s="14" t="s">
        <v>16589</v>
      </c>
      <c r="I802" s="14" t="s">
        <v>179</v>
      </c>
      <c r="J802" s="14" t="s">
        <v>16590</v>
      </c>
      <c r="K802" s="14" t="s">
        <v>179</v>
      </c>
      <c r="L802" s="14" t="s">
        <v>16591</v>
      </c>
      <c r="M802" s="14" t="s">
        <v>179</v>
      </c>
      <c r="N802" s="14" t="s">
        <v>16592</v>
      </c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6" t="s">
        <v>197</v>
      </c>
      <c r="BP802" s="17" t="s">
        <v>198</v>
      </c>
      <c r="BQ802" s="18">
        <v>45698.654340277775</v>
      </c>
      <c r="BR802" s="17" t="s">
        <v>198</v>
      </c>
      <c r="BS802" s="18">
        <v>45698.6544212963</v>
      </c>
      <c r="BT802" s="17" t="s">
        <v>198</v>
      </c>
      <c r="BU802" s="18">
        <v>45698.6544212963</v>
      </c>
      <c r="BV802" s="13" t="s">
        <v>199</v>
      </c>
      <c r="BW802" s="14" t="s">
        <v>179</v>
      </c>
      <c r="BX802" s="14" t="s">
        <v>16593</v>
      </c>
      <c r="BY802" s="14" t="s">
        <v>179</v>
      </c>
      <c r="BZ802" s="14" t="s">
        <v>16594</v>
      </c>
      <c r="CA802" s="14" t="s">
        <v>179</v>
      </c>
      <c r="CB802" s="14" t="s">
        <v>16595</v>
      </c>
      <c r="CC802" s="15"/>
      <c r="CD802" s="15"/>
      <c r="CE802" s="15"/>
      <c r="CF802" s="15"/>
      <c r="CG802" s="19"/>
      <c r="CH802" s="15"/>
      <c r="CI802" s="19"/>
      <c r="CJ802" s="15"/>
      <c r="CK802" s="19"/>
      <c r="CL802" s="15"/>
      <c r="CM802" s="19"/>
      <c r="CN802" s="15"/>
      <c r="CO802" s="19"/>
      <c r="CP802" s="15"/>
      <c r="CQ802" s="15"/>
      <c r="CR802" s="15"/>
      <c r="CS802" s="19"/>
      <c r="CT802" s="15"/>
      <c r="CU802" s="19"/>
      <c r="CV802" s="15"/>
      <c r="CW802" s="19"/>
      <c r="CX802" s="15"/>
      <c r="CY802" s="19"/>
      <c r="CZ802" s="15"/>
      <c r="DA802" s="16" t="s">
        <v>197</v>
      </c>
      <c r="DB802" s="17" t="s">
        <v>228</v>
      </c>
      <c r="DC802" s="16"/>
      <c r="DD802" s="17" t="s">
        <v>198</v>
      </c>
      <c r="DE802" s="18">
        <v>45698.654502314814</v>
      </c>
      <c r="DF802" s="17" t="s">
        <v>198</v>
      </c>
      <c r="DG802" s="18">
        <v>45698.654502314814</v>
      </c>
      <c r="DH802" s="13" t="s">
        <v>205</v>
      </c>
      <c r="DI802" s="14" t="s">
        <v>179</v>
      </c>
      <c r="DJ802" s="14" t="s">
        <v>16596</v>
      </c>
      <c r="DK802" s="14" t="s">
        <v>179</v>
      </c>
      <c r="DL802" s="14" t="s">
        <v>16597</v>
      </c>
      <c r="DM802" s="15"/>
      <c r="DN802" s="15"/>
      <c r="DO802" s="15"/>
      <c r="DP802" s="15"/>
      <c r="DQ802" s="15"/>
      <c r="DR802" s="15"/>
      <c r="DS802" s="15"/>
      <c r="DT802" s="15"/>
      <c r="DU802" s="15"/>
      <c r="DV802" s="15"/>
      <c r="DW802" s="15"/>
      <c r="DX802" s="15"/>
      <c r="DY802" s="15"/>
      <c r="DZ802" s="15"/>
      <c r="EA802" s="15"/>
      <c r="EB802" s="15"/>
      <c r="EC802" s="16" t="s">
        <v>197</v>
      </c>
      <c r="ED802" s="17" t="s">
        <v>198</v>
      </c>
      <c r="EE802" s="18">
        <v>45719.47222222222</v>
      </c>
      <c r="EF802" s="13" t="s">
        <v>209</v>
      </c>
      <c r="EG802" s="14" t="s">
        <v>179</v>
      </c>
      <c r="EH802" s="14" t="s">
        <v>16598</v>
      </c>
      <c r="EI802" s="14" t="s">
        <v>179</v>
      </c>
      <c r="EJ802" s="14" t="s">
        <v>16599</v>
      </c>
      <c r="EK802" s="15"/>
      <c r="EL802" s="15"/>
      <c r="EM802" s="15"/>
      <c r="EN802" s="15"/>
      <c r="EO802" s="15"/>
      <c r="EP802" s="15"/>
      <c r="EQ802" s="15"/>
      <c r="ER802" s="15"/>
      <c r="ES802" s="15"/>
      <c r="ET802" s="15"/>
      <c r="EU802" s="15"/>
      <c r="EV802" s="15"/>
      <c r="EW802" s="15"/>
      <c r="EX802" s="15"/>
      <c r="EY802" s="15"/>
      <c r="EZ802" s="15"/>
      <c r="FA802" s="15"/>
      <c r="FB802" s="15"/>
      <c r="FC802" s="16" t="s">
        <v>197</v>
      </c>
      <c r="FD802" s="17" t="s">
        <v>198</v>
      </c>
      <c r="FE802" s="18">
        <v>45723.27429398148</v>
      </c>
      <c r="FF802" s="19"/>
      <c r="FG802" s="19"/>
      <c r="FH802" s="21" t="s">
        <v>197</v>
      </c>
      <c r="FI802" s="17" t="s">
        <v>214</v>
      </c>
      <c r="FJ802" s="18">
        <v>45723.27429398148</v>
      </c>
      <c r="FK802" s="14" t="s">
        <v>16598</v>
      </c>
      <c r="FL802" s="14" t="s">
        <v>16600</v>
      </c>
      <c r="FM802" s="14" t="s">
        <v>16601</v>
      </c>
      <c r="FN802" s="19"/>
      <c r="FO802" s="19"/>
      <c r="FP802" s="19" t="str">
        <f t="shared" si="1"/>
        <v>Base de Dados_Images/TIT20113.Imagem do Equipamento-.184503.jpg</v>
      </c>
      <c r="FQ802" s="14"/>
      <c r="FR802" s="14"/>
    </row>
    <row r="803" ht="15.75" customHeight="1">
      <c r="A803" s="12" t="s">
        <v>174</v>
      </c>
      <c r="B803" s="22" t="s">
        <v>650</v>
      </c>
      <c r="C803" s="24" t="s">
        <v>375</v>
      </c>
      <c r="D803" s="22" t="s">
        <v>16602</v>
      </c>
      <c r="E803" s="22" t="s">
        <v>16603</v>
      </c>
      <c r="F803" s="13" t="s">
        <v>178</v>
      </c>
      <c r="G803" s="14" t="s">
        <v>179</v>
      </c>
      <c r="H803" s="14" t="s">
        <v>16604</v>
      </c>
      <c r="I803" s="14" t="s">
        <v>179</v>
      </c>
      <c r="J803" s="14" t="s">
        <v>16605</v>
      </c>
      <c r="K803" s="14" t="s">
        <v>179</v>
      </c>
      <c r="L803" s="14" t="s">
        <v>16606</v>
      </c>
      <c r="M803" s="14" t="s">
        <v>179</v>
      </c>
      <c r="N803" s="14" t="s">
        <v>16607</v>
      </c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6" t="s">
        <v>197</v>
      </c>
      <c r="BP803" s="17" t="s">
        <v>198</v>
      </c>
      <c r="BQ803" s="18">
        <v>45698.654594907406</v>
      </c>
      <c r="BR803" s="17" t="s">
        <v>198</v>
      </c>
      <c r="BS803" s="18">
        <v>45698.654641203706</v>
      </c>
      <c r="BT803" s="17" t="s">
        <v>198</v>
      </c>
      <c r="BU803" s="18">
        <v>45698.654641203706</v>
      </c>
      <c r="BV803" s="13" t="s">
        <v>199</v>
      </c>
      <c r="BW803" s="14" t="s">
        <v>179</v>
      </c>
      <c r="BX803" s="14" t="s">
        <v>16608</v>
      </c>
      <c r="BY803" s="14" t="s">
        <v>179</v>
      </c>
      <c r="BZ803" s="14" t="s">
        <v>16609</v>
      </c>
      <c r="CA803" s="14" t="s">
        <v>179</v>
      </c>
      <c r="CB803" s="14" t="s">
        <v>16610</v>
      </c>
      <c r="CC803" s="15"/>
      <c r="CD803" s="15"/>
      <c r="CE803" s="15"/>
      <c r="CF803" s="15"/>
      <c r="CG803" s="19"/>
      <c r="CH803" s="15"/>
      <c r="CI803" s="19"/>
      <c r="CJ803" s="15"/>
      <c r="CK803" s="19"/>
      <c r="CL803" s="15"/>
      <c r="CM803" s="19"/>
      <c r="CN803" s="15"/>
      <c r="CO803" s="19"/>
      <c r="CP803" s="15"/>
      <c r="CQ803" s="15"/>
      <c r="CR803" s="15"/>
      <c r="CS803" s="19"/>
      <c r="CT803" s="15"/>
      <c r="CU803" s="19"/>
      <c r="CV803" s="15"/>
      <c r="CW803" s="19"/>
      <c r="CX803" s="15"/>
      <c r="CY803" s="19"/>
      <c r="CZ803" s="15"/>
      <c r="DA803" s="16" t="s">
        <v>197</v>
      </c>
      <c r="DB803" s="17" t="s">
        <v>228</v>
      </c>
      <c r="DC803" s="16"/>
      <c r="DD803" s="17" t="s">
        <v>198</v>
      </c>
      <c r="DE803" s="18">
        <v>45698.6547337963</v>
      </c>
      <c r="DF803" s="17" t="s">
        <v>198</v>
      </c>
      <c r="DG803" s="18">
        <v>45698.6547337963</v>
      </c>
      <c r="DH803" s="13" t="s">
        <v>205</v>
      </c>
      <c r="DI803" s="14" t="s">
        <v>179</v>
      </c>
      <c r="DJ803" s="14" t="s">
        <v>16611</v>
      </c>
      <c r="DK803" s="14" t="s">
        <v>179</v>
      </c>
      <c r="DL803" s="14" t="s">
        <v>16612</v>
      </c>
      <c r="DM803" s="15"/>
      <c r="DN803" s="15"/>
      <c r="DO803" s="15"/>
      <c r="DP803" s="15"/>
      <c r="DQ803" s="15"/>
      <c r="DR803" s="15"/>
      <c r="DS803" s="15"/>
      <c r="DT803" s="15"/>
      <c r="DU803" s="15"/>
      <c r="DV803" s="15"/>
      <c r="DW803" s="15"/>
      <c r="DX803" s="15"/>
      <c r="DY803" s="15"/>
      <c r="DZ803" s="15"/>
      <c r="EA803" s="15"/>
      <c r="EB803" s="15"/>
      <c r="EC803" s="16" t="s">
        <v>197</v>
      </c>
      <c r="ED803" s="17" t="s">
        <v>198</v>
      </c>
      <c r="EE803" s="18">
        <v>45719.47236111111</v>
      </c>
      <c r="EF803" s="13" t="s">
        <v>209</v>
      </c>
      <c r="EG803" s="14" t="s">
        <v>179</v>
      </c>
      <c r="EH803" s="14" t="s">
        <v>16613</v>
      </c>
      <c r="EI803" s="14" t="s">
        <v>179</v>
      </c>
      <c r="EJ803" s="14" t="s">
        <v>16613</v>
      </c>
      <c r="EK803" s="15"/>
      <c r="EL803" s="15"/>
      <c r="EM803" s="15"/>
      <c r="EN803" s="15"/>
      <c r="EO803" s="15"/>
      <c r="EP803" s="15"/>
      <c r="EQ803" s="15"/>
      <c r="ER803" s="15"/>
      <c r="ES803" s="15"/>
      <c r="ET803" s="15"/>
      <c r="EU803" s="15"/>
      <c r="EV803" s="15"/>
      <c r="EW803" s="15"/>
      <c r="EX803" s="15"/>
      <c r="EY803" s="15"/>
      <c r="EZ803" s="15"/>
      <c r="FA803" s="15"/>
      <c r="FB803" s="15"/>
      <c r="FC803" s="16" t="s">
        <v>197</v>
      </c>
      <c r="FD803" s="17" t="s">
        <v>198</v>
      </c>
      <c r="FE803" s="18">
        <v>45723.274351851855</v>
      </c>
      <c r="FF803" s="19"/>
      <c r="FG803" s="19"/>
      <c r="FH803" s="21" t="s">
        <v>197</v>
      </c>
      <c r="FI803" s="17" t="s">
        <v>214</v>
      </c>
      <c r="FJ803" s="18">
        <v>45723.274351851855</v>
      </c>
      <c r="FK803" s="14" t="s">
        <v>16613</v>
      </c>
      <c r="FL803" s="14" t="s">
        <v>16614</v>
      </c>
      <c r="FM803" s="14" t="s">
        <v>13683</v>
      </c>
      <c r="FN803" s="19"/>
      <c r="FO803" s="19"/>
      <c r="FP803" s="19" t="str">
        <f t="shared" si="1"/>
        <v>Base de Dados_Images/TIT20114.Imagem do Equipamento-.184619.jpg</v>
      </c>
      <c r="FQ803" s="14"/>
      <c r="FR803" s="14"/>
    </row>
    <row r="804" ht="15.75" customHeight="1">
      <c r="A804" s="12" t="s">
        <v>174</v>
      </c>
      <c r="B804" s="22" t="s">
        <v>650</v>
      </c>
      <c r="C804" s="24" t="s">
        <v>375</v>
      </c>
      <c r="D804" s="22" t="s">
        <v>16615</v>
      </c>
      <c r="E804" s="22" t="s">
        <v>16616</v>
      </c>
      <c r="F804" s="13" t="s">
        <v>178</v>
      </c>
      <c r="G804" s="14" t="s">
        <v>179</v>
      </c>
      <c r="H804" s="14" t="s">
        <v>16617</v>
      </c>
      <c r="I804" s="14" t="s">
        <v>179</v>
      </c>
      <c r="J804" s="14" t="s">
        <v>16618</v>
      </c>
      <c r="K804" s="14" t="s">
        <v>179</v>
      </c>
      <c r="L804" s="14" t="s">
        <v>16619</v>
      </c>
      <c r="M804" s="14" t="s">
        <v>179</v>
      </c>
      <c r="N804" s="14" t="s">
        <v>16620</v>
      </c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6" t="s">
        <v>197</v>
      </c>
      <c r="BP804" s="17" t="s">
        <v>198</v>
      </c>
      <c r="BQ804" s="18">
        <v>45698.657326388886</v>
      </c>
      <c r="BR804" s="17" t="s">
        <v>198</v>
      </c>
      <c r="BS804" s="18">
        <v>45698.65740740741</v>
      </c>
      <c r="BT804" s="17" t="s">
        <v>198</v>
      </c>
      <c r="BU804" s="18">
        <v>45698.65740740741</v>
      </c>
      <c r="BV804" s="13" t="s">
        <v>199</v>
      </c>
      <c r="BW804" s="14" t="s">
        <v>179</v>
      </c>
      <c r="BX804" s="14" t="s">
        <v>16621</v>
      </c>
      <c r="BY804" s="14" t="s">
        <v>179</v>
      </c>
      <c r="BZ804" s="14" t="s">
        <v>16622</v>
      </c>
      <c r="CA804" s="14" t="s">
        <v>179</v>
      </c>
      <c r="CB804" s="14" t="s">
        <v>16623</v>
      </c>
      <c r="CC804" s="15"/>
      <c r="CD804" s="15"/>
      <c r="CE804" s="15"/>
      <c r="CF804" s="15"/>
      <c r="CG804" s="19"/>
      <c r="CH804" s="15"/>
      <c r="CI804" s="19"/>
      <c r="CJ804" s="15"/>
      <c r="CK804" s="19"/>
      <c r="CL804" s="15"/>
      <c r="CM804" s="19"/>
      <c r="CN804" s="15"/>
      <c r="CO804" s="19"/>
      <c r="CP804" s="15"/>
      <c r="CQ804" s="15"/>
      <c r="CR804" s="15"/>
      <c r="CS804" s="19"/>
      <c r="CT804" s="15"/>
      <c r="CU804" s="19"/>
      <c r="CV804" s="15"/>
      <c r="CW804" s="19"/>
      <c r="CX804" s="15"/>
      <c r="CY804" s="19"/>
      <c r="CZ804" s="15"/>
      <c r="DA804" s="16" t="s">
        <v>197</v>
      </c>
      <c r="DB804" s="17" t="s">
        <v>228</v>
      </c>
      <c r="DC804" s="16"/>
      <c r="DD804" s="17" t="s">
        <v>198</v>
      </c>
      <c r="DE804" s="18">
        <v>45698.657476851855</v>
      </c>
      <c r="DF804" s="17" t="s">
        <v>198</v>
      </c>
      <c r="DG804" s="18">
        <v>45698.657476851855</v>
      </c>
      <c r="DH804" s="13" t="s">
        <v>205</v>
      </c>
      <c r="DI804" s="14" t="s">
        <v>179</v>
      </c>
      <c r="DJ804" s="14" t="s">
        <v>16624</v>
      </c>
      <c r="DK804" s="14" t="s">
        <v>179</v>
      </c>
      <c r="DL804" s="14" t="s">
        <v>16625</v>
      </c>
      <c r="DM804" s="15"/>
      <c r="DN804" s="15"/>
      <c r="DO804" s="15"/>
      <c r="DP804" s="15"/>
      <c r="DQ804" s="15"/>
      <c r="DR804" s="15"/>
      <c r="DS804" s="15"/>
      <c r="DT804" s="15"/>
      <c r="DU804" s="15"/>
      <c r="DV804" s="15"/>
      <c r="DW804" s="15"/>
      <c r="DX804" s="15"/>
      <c r="DY804" s="15"/>
      <c r="DZ804" s="15"/>
      <c r="EA804" s="15"/>
      <c r="EB804" s="15"/>
      <c r="EC804" s="16" t="s">
        <v>197</v>
      </c>
      <c r="ED804" s="17" t="s">
        <v>198</v>
      </c>
      <c r="EE804" s="18">
        <v>45719.472453703704</v>
      </c>
      <c r="EF804" s="13" t="s">
        <v>209</v>
      </c>
      <c r="EG804" s="14" t="s">
        <v>179</v>
      </c>
      <c r="EH804" s="14" t="s">
        <v>16626</v>
      </c>
      <c r="EI804" s="14" t="s">
        <v>179</v>
      </c>
      <c r="EJ804" s="14" t="s">
        <v>16626</v>
      </c>
      <c r="EK804" s="15"/>
      <c r="EL804" s="15"/>
      <c r="EM804" s="15"/>
      <c r="EN804" s="15"/>
      <c r="EO804" s="15"/>
      <c r="EP804" s="15"/>
      <c r="EQ804" s="15"/>
      <c r="ER804" s="15"/>
      <c r="ES804" s="15"/>
      <c r="ET804" s="15"/>
      <c r="EU804" s="15"/>
      <c r="EV804" s="15"/>
      <c r="EW804" s="15"/>
      <c r="EX804" s="15"/>
      <c r="EY804" s="15"/>
      <c r="EZ804" s="15"/>
      <c r="FA804" s="15"/>
      <c r="FB804" s="15"/>
      <c r="FC804" s="16" t="s">
        <v>197</v>
      </c>
      <c r="FD804" s="17" t="s">
        <v>198</v>
      </c>
      <c r="FE804" s="18">
        <v>45723.274502314816</v>
      </c>
      <c r="FF804" s="19"/>
      <c r="FG804" s="19"/>
      <c r="FH804" s="21" t="s">
        <v>197</v>
      </c>
      <c r="FI804" s="17" t="s">
        <v>214</v>
      </c>
      <c r="FJ804" s="18">
        <v>45723.274502314816</v>
      </c>
      <c r="FK804" s="14" t="s">
        <v>16626</v>
      </c>
      <c r="FL804" s="14" t="s">
        <v>16627</v>
      </c>
      <c r="FM804" s="14" t="s">
        <v>16628</v>
      </c>
      <c r="FN804" s="19"/>
      <c r="FO804" s="19"/>
      <c r="FP804" s="19" t="str">
        <f t="shared" si="1"/>
        <v>Base de Dados_Images/TIT20115.Imagem do Equipamento-.184635.jpg</v>
      </c>
      <c r="FQ804" s="19"/>
      <c r="FR804" s="19"/>
    </row>
    <row r="805" ht="15.75" customHeight="1">
      <c r="A805" s="12" t="s">
        <v>174</v>
      </c>
      <c r="B805" s="22" t="s">
        <v>650</v>
      </c>
      <c r="C805" s="24" t="s">
        <v>375</v>
      </c>
      <c r="D805" s="22" t="s">
        <v>16629</v>
      </c>
      <c r="E805" s="22" t="s">
        <v>16630</v>
      </c>
      <c r="F805" s="13" t="s">
        <v>178</v>
      </c>
      <c r="G805" s="14" t="s">
        <v>179</v>
      </c>
      <c r="H805" s="14" t="s">
        <v>16631</v>
      </c>
      <c r="I805" s="14" t="s">
        <v>179</v>
      </c>
      <c r="J805" s="14" t="s">
        <v>16632</v>
      </c>
      <c r="K805" s="14" t="s">
        <v>179</v>
      </c>
      <c r="L805" s="14" t="s">
        <v>16633</v>
      </c>
      <c r="M805" s="14" t="s">
        <v>179</v>
      </c>
      <c r="N805" s="14" t="s">
        <v>16634</v>
      </c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6" t="s">
        <v>197</v>
      </c>
      <c r="BP805" s="17" t="s">
        <v>198</v>
      </c>
      <c r="BQ805" s="18">
        <v>45698.65795138889</v>
      </c>
      <c r="BR805" s="17" t="s">
        <v>198</v>
      </c>
      <c r="BS805" s="18">
        <v>45698.65802083333</v>
      </c>
      <c r="BT805" s="17" t="s">
        <v>198</v>
      </c>
      <c r="BU805" s="18">
        <v>45698.65802083333</v>
      </c>
      <c r="BV805" s="13" t="s">
        <v>199</v>
      </c>
      <c r="BW805" s="14" t="s">
        <v>179</v>
      </c>
      <c r="BX805" s="14" t="s">
        <v>16635</v>
      </c>
      <c r="BY805" s="14" t="s">
        <v>179</v>
      </c>
      <c r="BZ805" s="14" t="s">
        <v>16636</v>
      </c>
      <c r="CA805" s="14" t="s">
        <v>179</v>
      </c>
      <c r="CB805" s="14" t="s">
        <v>16637</v>
      </c>
      <c r="CC805" s="15"/>
      <c r="CD805" s="15"/>
      <c r="CE805" s="15"/>
      <c r="CF805" s="15"/>
      <c r="CG805" s="19"/>
      <c r="CH805" s="15"/>
      <c r="CI805" s="19"/>
      <c r="CJ805" s="15"/>
      <c r="CK805" s="19"/>
      <c r="CL805" s="15"/>
      <c r="CM805" s="19"/>
      <c r="CN805" s="15"/>
      <c r="CO805" s="19"/>
      <c r="CP805" s="15"/>
      <c r="CQ805" s="15"/>
      <c r="CR805" s="15"/>
      <c r="CS805" s="19"/>
      <c r="CT805" s="15"/>
      <c r="CU805" s="19"/>
      <c r="CV805" s="15"/>
      <c r="CW805" s="19"/>
      <c r="CX805" s="15"/>
      <c r="CY805" s="19"/>
      <c r="CZ805" s="15"/>
      <c r="DA805" s="16" t="s">
        <v>197</v>
      </c>
      <c r="DB805" s="17" t="s">
        <v>228</v>
      </c>
      <c r="DC805" s="16"/>
      <c r="DD805" s="17" t="s">
        <v>198</v>
      </c>
      <c r="DE805" s="18">
        <v>45698.65809027778</v>
      </c>
      <c r="DF805" s="17" t="s">
        <v>198</v>
      </c>
      <c r="DG805" s="18">
        <v>45698.65809027778</v>
      </c>
      <c r="DH805" s="13" t="s">
        <v>205</v>
      </c>
      <c r="DI805" s="14" t="s">
        <v>179</v>
      </c>
      <c r="DJ805" s="14" t="s">
        <v>16638</v>
      </c>
      <c r="DK805" s="14" t="s">
        <v>179</v>
      </c>
      <c r="DL805" s="14" t="s">
        <v>16639</v>
      </c>
      <c r="DM805" s="15"/>
      <c r="DN805" s="15"/>
      <c r="DO805" s="15"/>
      <c r="DP805" s="15"/>
      <c r="DQ805" s="15"/>
      <c r="DR805" s="15"/>
      <c r="DS805" s="15"/>
      <c r="DT805" s="15"/>
      <c r="DU805" s="15"/>
      <c r="DV805" s="15"/>
      <c r="DW805" s="15"/>
      <c r="DX805" s="15"/>
      <c r="DY805" s="15"/>
      <c r="DZ805" s="15"/>
      <c r="EA805" s="15"/>
      <c r="EB805" s="15"/>
      <c r="EC805" s="16" t="s">
        <v>197</v>
      </c>
      <c r="ED805" s="17" t="s">
        <v>198</v>
      </c>
      <c r="EE805" s="18">
        <v>45719.47255787037</v>
      </c>
      <c r="EF805" s="13" t="s">
        <v>209</v>
      </c>
      <c r="EG805" s="14" t="s">
        <v>179</v>
      </c>
      <c r="EH805" s="14" t="s">
        <v>16640</v>
      </c>
      <c r="EI805" s="14" t="s">
        <v>179</v>
      </c>
      <c r="EJ805" s="14" t="s">
        <v>16641</v>
      </c>
      <c r="EK805" s="15"/>
      <c r="EL805" s="15"/>
      <c r="EM805" s="15"/>
      <c r="EN805" s="15"/>
      <c r="EO805" s="15"/>
      <c r="EP805" s="15"/>
      <c r="EQ805" s="15"/>
      <c r="ER805" s="15"/>
      <c r="ES805" s="15"/>
      <c r="ET805" s="15"/>
      <c r="EU805" s="15"/>
      <c r="EV805" s="15"/>
      <c r="EW805" s="15"/>
      <c r="EX805" s="15"/>
      <c r="EY805" s="15"/>
      <c r="EZ805" s="15"/>
      <c r="FA805" s="15"/>
      <c r="FB805" s="15"/>
      <c r="FC805" s="16" t="s">
        <v>197</v>
      </c>
      <c r="FD805" s="17" t="s">
        <v>198</v>
      </c>
      <c r="FE805" s="18">
        <v>45723.27458333333</v>
      </c>
      <c r="FF805" s="19"/>
      <c r="FG805" s="19"/>
      <c r="FH805" s="21" t="s">
        <v>197</v>
      </c>
      <c r="FI805" s="17" t="s">
        <v>214</v>
      </c>
      <c r="FJ805" s="18">
        <v>45723.27458333333</v>
      </c>
      <c r="FK805" s="14" t="s">
        <v>16640</v>
      </c>
      <c r="FL805" s="14" t="s">
        <v>16642</v>
      </c>
      <c r="FM805" s="14" t="s">
        <v>16643</v>
      </c>
      <c r="FN805" s="19"/>
      <c r="FO805" s="19"/>
      <c r="FP805" s="19" t="str">
        <f t="shared" si="1"/>
        <v>Base de Dados_Images/TIT20116.Imagem do Equipamento-.184728.jpg</v>
      </c>
      <c r="FQ805" s="19"/>
      <c r="FR805" s="19"/>
    </row>
    <row r="806" ht="15.75" customHeight="1">
      <c r="A806" s="12" t="s">
        <v>174</v>
      </c>
      <c r="B806" s="22" t="s">
        <v>650</v>
      </c>
      <c r="C806" s="24" t="s">
        <v>375</v>
      </c>
      <c r="D806" s="22" t="s">
        <v>16644</v>
      </c>
      <c r="E806" s="22" t="s">
        <v>16645</v>
      </c>
      <c r="F806" s="13" t="s">
        <v>178</v>
      </c>
      <c r="G806" s="14" t="s">
        <v>179</v>
      </c>
      <c r="H806" s="14" t="s">
        <v>5568</v>
      </c>
      <c r="I806" s="14" t="s">
        <v>179</v>
      </c>
      <c r="J806" s="14" t="s">
        <v>5569</v>
      </c>
      <c r="K806" s="14" t="s">
        <v>179</v>
      </c>
      <c r="L806" s="14" t="s">
        <v>16646</v>
      </c>
      <c r="M806" s="14" t="s">
        <v>179</v>
      </c>
      <c r="N806" s="14" t="s">
        <v>5570</v>
      </c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6" t="s">
        <v>197</v>
      </c>
      <c r="BP806" s="17" t="s">
        <v>198</v>
      </c>
      <c r="BQ806" s="18">
        <v>45698.659363425926</v>
      </c>
      <c r="BR806" s="17" t="s">
        <v>198</v>
      </c>
      <c r="BS806" s="18">
        <v>45698.65940972222</v>
      </c>
      <c r="BT806" s="17" t="s">
        <v>198</v>
      </c>
      <c r="BU806" s="18">
        <v>45698.65940972222</v>
      </c>
      <c r="BV806" s="13" t="s">
        <v>199</v>
      </c>
      <c r="BW806" s="14" t="s">
        <v>179</v>
      </c>
      <c r="BX806" s="14" t="s">
        <v>16647</v>
      </c>
      <c r="BY806" s="14" t="s">
        <v>179</v>
      </c>
      <c r="BZ806" s="14" t="s">
        <v>16648</v>
      </c>
      <c r="CA806" s="14" t="s">
        <v>179</v>
      </c>
      <c r="CB806" s="14" t="s">
        <v>16649</v>
      </c>
      <c r="CC806" s="15"/>
      <c r="CD806" s="15"/>
      <c r="CE806" s="15"/>
      <c r="CF806" s="15"/>
      <c r="CG806" s="19"/>
      <c r="CH806" s="15"/>
      <c r="CI806" s="19"/>
      <c r="CJ806" s="15"/>
      <c r="CK806" s="19"/>
      <c r="CL806" s="15"/>
      <c r="CM806" s="19"/>
      <c r="CN806" s="15"/>
      <c r="CO806" s="19"/>
      <c r="CP806" s="15"/>
      <c r="CQ806" s="15"/>
      <c r="CR806" s="15"/>
      <c r="CS806" s="19"/>
      <c r="CT806" s="15"/>
      <c r="CU806" s="19"/>
      <c r="CV806" s="15"/>
      <c r="CW806" s="19"/>
      <c r="CX806" s="15"/>
      <c r="CY806" s="19"/>
      <c r="CZ806" s="15"/>
      <c r="DA806" s="16" t="s">
        <v>197</v>
      </c>
      <c r="DB806" s="17" t="s">
        <v>228</v>
      </c>
      <c r="DC806" s="16"/>
      <c r="DD806" s="17" t="s">
        <v>198</v>
      </c>
      <c r="DE806" s="18">
        <v>45698.65950231482</v>
      </c>
      <c r="DF806" s="17" t="s">
        <v>198</v>
      </c>
      <c r="DG806" s="18">
        <v>45698.65950231482</v>
      </c>
      <c r="DH806" s="13" t="s">
        <v>205</v>
      </c>
      <c r="DI806" s="14" t="s">
        <v>179</v>
      </c>
      <c r="DJ806" s="14" t="s">
        <v>16650</v>
      </c>
      <c r="DK806" s="14" t="s">
        <v>179</v>
      </c>
      <c r="DL806" s="14" t="s">
        <v>16651</v>
      </c>
      <c r="DM806" s="15"/>
      <c r="DN806" s="15"/>
      <c r="DO806" s="15"/>
      <c r="DP806" s="15"/>
      <c r="DQ806" s="15"/>
      <c r="DR806" s="15"/>
      <c r="DS806" s="15"/>
      <c r="DT806" s="15"/>
      <c r="DU806" s="15"/>
      <c r="DV806" s="15"/>
      <c r="DW806" s="15"/>
      <c r="DX806" s="15"/>
      <c r="DY806" s="15"/>
      <c r="DZ806" s="15"/>
      <c r="EA806" s="15"/>
      <c r="EB806" s="15"/>
      <c r="EC806" s="16" t="s">
        <v>197</v>
      </c>
      <c r="ED806" s="17" t="s">
        <v>198</v>
      </c>
      <c r="EE806" s="18">
        <v>45719.47267361111</v>
      </c>
      <c r="EF806" s="13" t="s">
        <v>209</v>
      </c>
      <c r="EG806" s="14" t="s">
        <v>179</v>
      </c>
      <c r="EH806" s="14" t="s">
        <v>16652</v>
      </c>
      <c r="EI806" s="14" t="s">
        <v>179</v>
      </c>
      <c r="EJ806" s="14" t="s">
        <v>16653</v>
      </c>
      <c r="EK806" s="15"/>
      <c r="EL806" s="15"/>
      <c r="EM806" s="15"/>
      <c r="EN806" s="15"/>
      <c r="EO806" s="15"/>
      <c r="EP806" s="15"/>
      <c r="EQ806" s="15"/>
      <c r="ER806" s="15"/>
      <c r="ES806" s="15"/>
      <c r="ET806" s="15"/>
      <c r="EU806" s="15"/>
      <c r="EV806" s="15"/>
      <c r="EW806" s="15"/>
      <c r="EX806" s="15"/>
      <c r="EY806" s="15"/>
      <c r="EZ806" s="15"/>
      <c r="FA806" s="15"/>
      <c r="FB806" s="15"/>
      <c r="FC806" s="16" t="s">
        <v>197</v>
      </c>
      <c r="FD806" s="17" t="s">
        <v>198</v>
      </c>
      <c r="FE806" s="18">
        <v>45723.27471064815</v>
      </c>
      <c r="FF806" s="19"/>
      <c r="FG806" s="19"/>
      <c r="FH806" s="21" t="s">
        <v>197</v>
      </c>
      <c r="FI806" s="17" t="s">
        <v>214</v>
      </c>
      <c r="FJ806" s="18">
        <v>45723.27471064815</v>
      </c>
      <c r="FK806" s="14" t="s">
        <v>16652</v>
      </c>
      <c r="FL806" s="14" t="s">
        <v>16654</v>
      </c>
      <c r="FM806" s="14" t="s">
        <v>16655</v>
      </c>
      <c r="FN806" s="19"/>
      <c r="FO806" s="19"/>
      <c r="FP806" s="19" t="str">
        <f t="shared" si="1"/>
        <v>Base de Dados_Images/TIT20117.Imagem do Equipamento-.185056.jpg</v>
      </c>
      <c r="FQ806" s="19"/>
      <c r="FR806" s="19"/>
    </row>
    <row r="807" ht="15.75" customHeight="1">
      <c r="A807" s="12" t="s">
        <v>174</v>
      </c>
      <c r="B807" s="22" t="s">
        <v>650</v>
      </c>
      <c r="C807" s="24" t="s">
        <v>375</v>
      </c>
      <c r="D807" s="22" t="s">
        <v>16656</v>
      </c>
      <c r="E807" s="22" t="s">
        <v>16657</v>
      </c>
      <c r="F807" s="13" t="s">
        <v>178</v>
      </c>
      <c r="G807" s="14" t="s">
        <v>179</v>
      </c>
      <c r="H807" s="14" t="s">
        <v>16658</v>
      </c>
      <c r="I807" s="14" t="s">
        <v>179</v>
      </c>
      <c r="J807" s="14" t="s">
        <v>16659</v>
      </c>
      <c r="K807" s="14" t="s">
        <v>179</v>
      </c>
      <c r="L807" s="14" t="s">
        <v>16660</v>
      </c>
      <c r="M807" s="14" t="s">
        <v>179</v>
      </c>
      <c r="N807" s="14" t="s">
        <v>16661</v>
      </c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6" t="s">
        <v>197</v>
      </c>
      <c r="BP807" s="17" t="s">
        <v>198</v>
      </c>
      <c r="BQ807" s="18">
        <v>45698.65961805556</v>
      </c>
      <c r="BR807" s="17" t="s">
        <v>198</v>
      </c>
      <c r="BS807" s="18">
        <v>45698.65965277778</v>
      </c>
      <c r="BT807" s="17" t="s">
        <v>198</v>
      </c>
      <c r="BU807" s="18">
        <v>45698.65965277778</v>
      </c>
      <c r="BV807" s="13" t="s">
        <v>199</v>
      </c>
      <c r="BW807" s="14" t="s">
        <v>179</v>
      </c>
      <c r="BX807" s="14" t="s">
        <v>16662</v>
      </c>
      <c r="BY807" s="14" t="s">
        <v>179</v>
      </c>
      <c r="BZ807" s="14" t="s">
        <v>16663</v>
      </c>
      <c r="CA807" s="14" t="s">
        <v>179</v>
      </c>
      <c r="CB807" s="14" t="s">
        <v>16664</v>
      </c>
      <c r="CC807" s="15"/>
      <c r="CD807" s="15"/>
      <c r="CE807" s="15"/>
      <c r="CF807" s="15"/>
      <c r="CG807" s="19"/>
      <c r="CH807" s="15"/>
      <c r="CI807" s="19"/>
      <c r="CJ807" s="15"/>
      <c r="CK807" s="19"/>
      <c r="CL807" s="15"/>
      <c r="CM807" s="19"/>
      <c r="CN807" s="15"/>
      <c r="CO807" s="19"/>
      <c r="CP807" s="15"/>
      <c r="CQ807" s="15"/>
      <c r="CR807" s="15"/>
      <c r="CS807" s="19"/>
      <c r="CT807" s="15"/>
      <c r="CU807" s="19"/>
      <c r="CV807" s="15"/>
      <c r="CW807" s="19"/>
      <c r="CX807" s="15"/>
      <c r="CY807" s="19"/>
      <c r="CZ807" s="15"/>
      <c r="DA807" s="16" t="s">
        <v>197</v>
      </c>
      <c r="DB807" s="17" t="s">
        <v>228</v>
      </c>
      <c r="DC807" s="16"/>
      <c r="DD807" s="17" t="s">
        <v>198</v>
      </c>
      <c r="DE807" s="18">
        <v>45698.660046296296</v>
      </c>
      <c r="DF807" s="17" t="s">
        <v>198</v>
      </c>
      <c r="DG807" s="18">
        <v>45698.660046296296</v>
      </c>
      <c r="DH807" s="13" t="s">
        <v>205</v>
      </c>
      <c r="DI807" s="14" t="s">
        <v>179</v>
      </c>
      <c r="DJ807" s="14" t="s">
        <v>16665</v>
      </c>
      <c r="DK807" s="14" t="s">
        <v>179</v>
      </c>
      <c r="DL807" s="14" t="s">
        <v>16666</v>
      </c>
      <c r="DM807" s="15"/>
      <c r="DN807" s="15"/>
      <c r="DO807" s="15"/>
      <c r="DP807" s="15"/>
      <c r="DQ807" s="15"/>
      <c r="DR807" s="15"/>
      <c r="DS807" s="15"/>
      <c r="DT807" s="15"/>
      <c r="DU807" s="15"/>
      <c r="DV807" s="15"/>
      <c r="DW807" s="15"/>
      <c r="DX807" s="15"/>
      <c r="DY807" s="15"/>
      <c r="DZ807" s="15"/>
      <c r="EA807" s="15"/>
      <c r="EB807" s="15"/>
      <c r="EC807" s="16" t="s">
        <v>197</v>
      </c>
      <c r="ED807" s="17" t="s">
        <v>198</v>
      </c>
      <c r="EE807" s="18">
        <v>45719.47309027778</v>
      </c>
      <c r="EF807" s="13" t="s">
        <v>209</v>
      </c>
      <c r="EG807" s="14" t="s">
        <v>179</v>
      </c>
      <c r="EH807" s="14" t="s">
        <v>16667</v>
      </c>
      <c r="EI807" s="14" t="s">
        <v>179</v>
      </c>
      <c r="EJ807" s="14" t="s">
        <v>16668</v>
      </c>
      <c r="EK807" s="15"/>
      <c r="EL807" s="15"/>
      <c r="EM807" s="15"/>
      <c r="EN807" s="15"/>
      <c r="EO807" s="15"/>
      <c r="EP807" s="15"/>
      <c r="EQ807" s="15"/>
      <c r="ER807" s="15"/>
      <c r="ES807" s="15"/>
      <c r="ET807" s="15"/>
      <c r="EU807" s="15"/>
      <c r="EV807" s="15"/>
      <c r="EW807" s="15"/>
      <c r="EX807" s="15"/>
      <c r="EY807" s="15"/>
      <c r="EZ807" s="15"/>
      <c r="FA807" s="15"/>
      <c r="FB807" s="15"/>
      <c r="FC807" s="16" t="s">
        <v>197</v>
      </c>
      <c r="FD807" s="17" t="s">
        <v>198</v>
      </c>
      <c r="FE807" s="18">
        <v>45723.27479166666</v>
      </c>
      <c r="FF807" s="19"/>
      <c r="FG807" s="19"/>
      <c r="FH807" s="21" t="s">
        <v>197</v>
      </c>
      <c r="FI807" s="17" t="s">
        <v>214</v>
      </c>
      <c r="FJ807" s="18">
        <v>45723.27479166666</v>
      </c>
      <c r="FK807" s="14" t="s">
        <v>16667</v>
      </c>
      <c r="FL807" s="14" t="s">
        <v>16669</v>
      </c>
      <c r="FM807" s="14" t="s">
        <v>16670</v>
      </c>
      <c r="FN807" s="19"/>
      <c r="FO807" s="19"/>
      <c r="FP807" s="19" t="str">
        <f t="shared" si="1"/>
        <v>Base de Dados_Images/TIT20118.Imagem do Equipamento-.185024.jpg</v>
      </c>
      <c r="FQ807" s="14"/>
      <c r="FR807" s="14"/>
    </row>
    <row r="808" ht="15.75" customHeight="1">
      <c r="A808" s="12" t="s">
        <v>174</v>
      </c>
      <c r="B808" s="22" t="s">
        <v>581</v>
      </c>
      <c r="C808" s="24" t="s">
        <v>375</v>
      </c>
      <c r="D808" s="22" t="s">
        <v>16671</v>
      </c>
      <c r="E808" s="22" t="s">
        <v>16672</v>
      </c>
      <c r="F808" s="13" t="s">
        <v>178</v>
      </c>
      <c r="G808" s="14" t="s">
        <v>179</v>
      </c>
      <c r="H808" s="14" t="s">
        <v>16673</v>
      </c>
      <c r="I808" s="14" t="s">
        <v>179</v>
      </c>
      <c r="J808" s="14" t="s">
        <v>16674</v>
      </c>
      <c r="K808" s="14" t="s">
        <v>179</v>
      </c>
      <c r="L808" s="14" t="s">
        <v>16675</v>
      </c>
      <c r="M808" s="14" t="s">
        <v>179</v>
      </c>
      <c r="N808" s="14" t="s">
        <v>16676</v>
      </c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6" t="s">
        <v>197</v>
      </c>
      <c r="BP808" s="17" t="s">
        <v>198</v>
      </c>
      <c r="BQ808" s="18">
        <v>45698.663668981484</v>
      </c>
      <c r="BR808" s="17" t="s">
        <v>198</v>
      </c>
      <c r="BS808" s="18">
        <v>45698.66371527778</v>
      </c>
      <c r="BT808" s="17" t="s">
        <v>198</v>
      </c>
      <c r="BU808" s="18">
        <v>45698.66371527778</v>
      </c>
      <c r="BV808" s="13" t="s">
        <v>199</v>
      </c>
      <c r="BW808" s="14" t="s">
        <v>179</v>
      </c>
      <c r="BX808" s="14" t="s">
        <v>16677</v>
      </c>
      <c r="BY808" s="14" t="s">
        <v>179</v>
      </c>
      <c r="BZ808" s="14" t="s">
        <v>16678</v>
      </c>
      <c r="CA808" s="14" t="s">
        <v>179</v>
      </c>
      <c r="CB808" s="14" t="s">
        <v>16679</v>
      </c>
      <c r="CC808" s="15"/>
      <c r="CD808" s="15"/>
      <c r="CE808" s="15"/>
      <c r="CF808" s="15"/>
      <c r="CG808" s="19"/>
      <c r="CH808" s="15"/>
      <c r="CI808" s="19"/>
      <c r="CJ808" s="15"/>
      <c r="CK808" s="19"/>
      <c r="CL808" s="15"/>
      <c r="CM808" s="19"/>
      <c r="CN808" s="15"/>
      <c r="CO808" s="19"/>
      <c r="CP808" s="15"/>
      <c r="CQ808" s="15"/>
      <c r="CR808" s="15"/>
      <c r="CS808" s="19"/>
      <c r="CT808" s="15"/>
      <c r="CU808" s="19"/>
      <c r="CV808" s="15"/>
      <c r="CW808" s="19"/>
      <c r="CX808" s="15"/>
      <c r="CY808" s="19"/>
      <c r="CZ808" s="15"/>
      <c r="DA808" s="16" t="s">
        <v>197</v>
      </c>
      <c r="DB808" s="17" t="s">
        <v>228</v>
      </c>
      <c r="DC808" s="16"/>
      <c r="DD808" s="17" t="s">
        <v>198</v>
      </c>
      <c r="DE808" s="18">
        <v>45698.66378472222</v>
      </c>
      <c r="DF808" s="17" t="s">
        <v>198</v>
      </c>
      <c r="DG808" s="18">
        <v>45698.66378472222</v>
      </c>
      <c r="DH808" s="13" t="s">
        <v>205</v>
      </c>
      <c r="DI808" s="14" t="s">
        <v>179</v>
      </c>
      <c r="DJ808" s="14" t="s">
        <v>16680</v>
      </c>
      <c r="DK808" s="14" t="s">
        <v>179</v>
      </c>
      <c r="DL808" s="14" t="s">
        <v>16681</v>
      </c>
      <c r="DM808" s="15"/>
      <c r="DN808" s="15"/>
      <c r="DO808" s="15"/>
      <c r="DP808" s="15"/>
      <c r="DQ808" s="15"/>
      <c r="DR808" s="15"/>
      <c r="DS808" s="15"/>
      <c r="DT808" s="15"/>
      <c r="DU808" s="15"/>
      <c r="DV808" s="15"/>
      <c r="DW808" s="15"/>
      <c r="DX808" s="15"/>
      <c r="DY808" s="15"/>
      <c r="DZ808" s="15"/>
      <c r="EA808" s="15"/>
      <c r="EB808" s="15"/>
      <c r="EC808" s="16" t="s">
        <v>197</v>
      </c>
      <c r="ED808" s="17" t="s">
        <v>198</v>
      </c>
      <c r="EE808" s="18">
        <v>45719.47487268518</v>
      </c>
      <c r="EF808" s="13" t="s">
        <v>209</v>
      </c>
      <c r="EG808" s="14" t="s">
        <v>179</v>
      </c>
      <c r="EH808" s="14" t="s">
        <v>16682</v>
      </c>
      <c r="EI808" s="14" t="s">
        <v>179</v>
      </c>
      <c r="EJ808" s="14" t="s">
        <v>16682</v>
      </c>
      <c r="EK808" s="15"/>
      <c r="EL808" s="15"/>
      <c r="EM808" s="15"/>
      <c r="EN808" s="15"/>
      <c r="EO808" s="15"/>
      <c r="EP808" s="15"/>
      <c r="EQ808" s="15"/>
      <c r="ER808" s="15"/>
      <c r="ES808" s="15"/>
      <c r="ET808" s="15"/>
      <c r="EU808" s="15"/>
      <c r="EV808" s="15"/>
      <c r="EW808" s="15"/>
      <c r="EX808" s="15"/>
      <c r="EY808" s="15"/>
      <c r="EZ808" s="15"/>
      <c r="FA808" s="15"/>
      <c r="FB808" s="15"/>
      <c r="FC808" s="16" t="s">
        <v>197</v>
      </c>
      <c r="FD808" s="17" t="s">
        <v>198</v>
      </c>
      <c r="FE808" s="18">
        <v>45723.27520833333</v>
      </c>
      <c r="FF808" s="19"/>
      <c r="FG808" s="19"/>
      <c r="FH808" s="21" t="s">
        <v>197</v>
      </c>
      <c r="FI808" s="17" t="s">
        <v>214</v>
      </c>
      <c r="FJ808" s="18">
        <v>45723.27520833333</v>
      </c>
      <c r="FK808" s="14" t="s">
        <v>16682</v>
      </c>
      <c r="FL808" s="14" t="s">
        <v>16683</v>
      </c>
      <c r="FM808" s="14" t="s">
        <v>16684</v>
      </c>
      <c r="FN808" s="19"/>
      <c r="FO808" s="19"/>
      <c r="FP808" s="19" t="str">
        <f t="shared" si="1"/>
        <v>Base de Dados_Images/TIT20119.Imagem do Equipamento-.185543.jpg</v>
      </c>
      <c r="FQ808" s="19"/>
      <c r="FR808" s="19"/>
    </row>
    <row r="809" ht="15.75" customHeight="1">
      <c r="A809" s="12" t="s">
        <v>174</v>
      </c>
      <c r="B809" s="22" t="s">
        <v>581</v>
      </c>
      <c r="C809" s="24" t="s">
        <v>375</v>
      </c>
      <c r="D809" s="22" t="s">
        <v>16685</v>
      </c>
      <c r="E809" s="22" t="s">
        <v>16686</v>
      </c>
      <c r="F809" s="13" t="s">
        <v>178</v>
      </c>
      <c r="G809" s="14" t="s">
        <v>179</v>
      </c>
      <c r="H809" s="14" t="s">
        <v>16687</v>
      </c>
      <c r="I809" s="14" t="s">
        <v>179</v>
      </c>
      <c r="J809" s="14" t="s">
        <v>16688</v>
      </c>
      <c r="K809" s="14" t="s">
        <v>179</v>
      </c>
      <c r="L809" s="14" t="s">
        <v>16689</v>
      </c>
      <c r="M809" s="14" t="s">
        <v>179</v>
      </c>
      <c r="N809" s="14" t="s">
        <v>16690</v>
      </c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6" t="s">
        <v>197</v>
      </c>
      <c r="BP809" s="17" t="s">
        <v>198</v>
      </c>
      <c r="BQ809" s="18">
        <v>45698.6684375</v>
      </c>
      <c r="BR809" s="17" t="s">
        <v>198</v>
      </c>
      <c r="BS809" s="18">
        <v>45698.6684837963</v>
      </c>
      <c r="BT809" s="17" t="s">
        <v>198</v>
      </c>
      <c r="BU809" s="18">
        <v>45698.6684837963</v>
      </c>
      <c r="BV809" s="13" t="s">
        <v>199</v>
      </c>
      <c r="BW809" s="14" t="s">
        <v>179</v>
      </c>
      <c r="BX809" s="14" t="s">
        <v>16691</v>
      </c>
      <c r="BY809" s="14" t="s">
        <v>179</v>
      </c>
      <c r="BZ809" s="14" t="s">
        <v>16692</v>
      </c>
      <c r="CA809" s="14" t="s">
        <v>179</v>
      </c>
      <c r="CB809" s="14" t="s">
        <v>16693</v>
      </c>
      <c r="CC809" s="15"/>
      <c r="CD809" s="15"/>
      <c r="CE809" s="15"/>
      <c r="CF809" s="15"/>
      <c r="CG809" s="19"/>
      <c r="CH809" s="15"/>
      <c r="CI809" s="19"/>
      <c r="CJ809" s="15"/>
      <c r="CK809" s="19"/>
      <c r="CL809" s="15"/>
      <c r="CM809" s="19"/>
      <c r="CN809" s="15"/>
      <c r="CO809" s="19"/>
      <c r="CP809" s="15"/>
      <c r="CQ809" s="15"/>
      <c r="CR809" s="15"/>
      <c r="CS809" s="19"/>
      <c r="CT809" s="15"/>
      <c r="CU809" s="19"/>
      <c r="CV809" s="15"/>
      <c r="CW809" s="19"/>
      <c r="CX809" s="15"/>
      <c r="CY809" s="19"/>
      <c r="CZ809" s="15"/>
      <c r="DA809" s="16" t="s">
        <v>197</v>
      </c>
      <c r="DB809" s="17" t="s">
        <v>228</v>
      </c>
      <c r="DC809" s="16"/>
      <c r="DD809" s="17" t="s">
        <v>198</v>
      </c>
      <c r="DE809" s="18">
        <v>45698.66856481481</v>
      </c>
      <c r="DF809" s="17" t="s">
        <v>198</v>
      </c>
      <c r="DG809" s="18">
        <v>45698.66856481481</v>
      </c>
      <c r="DH809" s="13" t="s">
        <v>205</v>
      </c>
      <c r="DI809" s="14" t="s">
        <v>179</v>
      </c>
      <c r="DJ809" s="14" t="s">
        <v>16694</v>
      </c>
      <c r="DK809" s="14" t="s">
        <v>179</v>
      </c>
      <c r="DL809" s="14" t="s">
        <v>16695</v>
      </c>
      <c r="DM809" s="15"/>
      <c r="DN809" s="15"/>
      <c r="DO809" s="15"/>
      <c r="DP809" s="15"/>
      <c r="DQ809" s="15"/>
      <c r="DR809" s="15"/>
      <c r="DS809" s="15"/>
      <c r="DT809" s="15"/>
      <c r="DU809" s="15"/>
      <c r="DV809" s="15"/>
      <c r="DW809" s="15"/>
      <c r="DX809" s="15"/>
      <c r="DY809" s="15"/>
      <c r="DZ809" s="15"/>
      <c r="EA809" s="15"/>
      <c r="EB809" s="15"/>
      <c r="EC809" s="16" t="s">
        <v>197</v>
      </c>
      <c r="ED809" s="17" t="s">
        <v>198</v>
      </c>
      <c r="EE809" s="18">
        <v>45719.474965277775</v>
      </c>
      <c r="EF809" s="13" t="s">
        <v>209</v>
      </c>
      <c r="EG809" s="14" t="s">
        <v>179</v>
      </c>
      <c r="EH809" s="14" t="s">
        <v>16696</v>
      </c>
      <c r="EI809" s="14" t="s">
        <v>179</v>
      </c>
      <c r="EJ809" s="14" t="s">
        <v>16697</v>
      </c>
      <c r="EK809" s="15"/>
      <c r="EL809" s="15"/>
      <c r="EM809" s="15"/>
      <c r="EN809" s="15"/>
      <c r="EO809" s="15"/>
      <c r="EP809" s="15"/>
      <c r="EQ809" s="15"/>
      <c r="ER809" s="15"/>
      <c r="ES809" s="15"/>
      <c r="ET809" s="15"/>
      <c r="EU809" s="15"/>
      <c r="EV809" s="15"/>
      <c r="EW809" s="15"/>
      <c r="EX809" s="15"/>
      <c r="EY809" s="15"/>
      <c r="EZ809" s="15"/>
      <c r="FA809" s="15"/>
      <c r="FB809" s="15"/>
      <c r="FC809" s="16" t="s">
        <v>197</v>
      </c>
      <c r="FD809" s="17" t="s">
        <v>198</v>
      </c>
      <c r="FE809" s="18">
        <v>45723.27527777778</v>
      </c>
      <c r="FF809" s="19"/>
      <c r="FG809" s="19"/>
      <c r="FH809" s="21" t="s">
        <v>197</v>
      </c>
      <c r="FI809" s="17" t="s">
        <v>214</v>
      </c>
      <c r="FJ809" s="18">
        <v>45723.27527777778</v>
      </c>
      <c r="FK809" s="14" t="s">
        <v>16696</v>
      </c>
      <c r="FL809" s="14" t="s">
        <v>16698</v>
      </c>
      <c r="FM809" s="14" t="s">
        <v>16699</v>
      </c>
      <c r="FN809" s="19"/>
      <c r="FO809" s="19"/>
      <c r="FP809" s="19" t="str">
        <f t="shared" si="1"/>
        <v>Base de Dados_Images/TIT20120.Imagem do Equipamento-.190229.jpg</v>
      </c>
      <c r="FQ809" s="19"/>
      <c r="FR809" s="19"/>
    </row>
    <row r="810" ht="15.75" customHeight="1">
      <c r="A810" s="12" t="s">
        <v>174</v>
      </c>
      <c r="B810" s="22" t="s">
        <v>581</v>
      </c>
      <c r="C810" s="24" t="s">
        <v>375</v>
      </c>
      <c r="D810" s="22" t="s">
        <v>16700</v>
      </c>
      <c r="E810" s="22" t="s">
        <v>16701</v>
      </c>
      <c r="F810" s="13" t="s">
        <v>178</v>
      </c>
      <c r="G810" s="14" t="s">
        <v>179</v>
      </c>
      <c r="H810" s="14" t="s">
        <v>16702</v>
      </c>
      <c r="I810" s="14" t="s">
        <v>179</v>
      </c>
      <c r="J810" s="14" t="s">
        <v>16703</v>
      </c>
      <c r="K810" s="14" t="s">
        <v>179</v>
      </c>
      <c r="L810" s="14" t="s">
        <v>16704</v>
      </c>
      <c r="M810" s="14" t="s">
        <v>179</v>
      </c>
      <c r="N810" s="14" t="s">
        <v>16705</v>
      </c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6" t="s">
        <v>197</v>
      </c>
      <c r="BP810" s="17" t="s">
        <v>198</v>
      </c>
      <c r="BQ810" s="18">
        <v>45698.66884259259</v>
      </c>
      <c r="BR810" s="17" t="s">
        <v>198</v>
      </c>
      <c r="BS810" s="18">
        <v>45698.66887731481</v>
      </c>
      <c r="BT810" s="17" t="s">
        <v>198</v>
      </c>
      <c r="BU810" s="18">
        <v>45698.66887731481</v>
      </c>
      <c r="BV810" s="13" t="s">
        <v>199</v>
      </c>
      <c r="BW810" s="14" t="s">
        <v>179</v>
      </c>
      <c r="BX810" s="14" t="s">
        <v>16706</v>
      </c>
      <c r="BY810" s="14" t="s">
        <v>179</v>
      </c>
      <c r="BZ810" s="14" t="s">
        <v>16707</v>
      </c>
      <c r="CA810" s="14" t="s">
        <v>179</v>
      </c>
      <c r="CB810" s="14" t="s">
        <v>16708</v>
      </c>
      <c r="CC810" s="15"/>
      <c r="CD810" s="15"/>
      <c r="CE810" s="15"/>
      <c r="CF810" s="15"/>
      <c r="CG810" s="19"/>
      <c r="CH810" s="15"/>
      <c r="CI810" s="19"/>
      <c r="CJ810" s="15"/>
      <c r="CK810" s="19"/>
      <c r="CL810" s="15"/>
      <c r="CM810" s="19"/>
      <c r="CN810" s="15"/>
      <c r="CO810" s="19"/>
      <c r="CP810" s="15"/>
      <c r="CQ810" s="15"/>
      <c r="CR810" s="15"/>
      <c r="CS810" s="19"/>
      <c r="CT810" s="15"/>
      <c r="CU810" s="19"/>
      <c r="CV810" s="15"/>
      <c r="CW810" s="19"/>
      <c r="CX810" s="15"/>
      <c r="CY810" s="19"/>
      <c r="CZ810" s="15"/>
      <c r="DA810" s="16" t="s">
        <v>197</v>
      </c>
      <c r="DB810" s="17" t="s">
        <v>228</v>
      </c>
      <c r="DC810" s="16"/>
      <c r="DD810" s="17" t="s">
        <v>198</v>
      </c>
      <c r="DE810" s="18">
        <v>45698.66894675926</v>
      </c>
      <c r="DF810" s="17" t="s">
        <v>198</v>
      </c>
      <c r="DG810" s="18">
        <v>45698.66894675926</v>
      </c>
      <c r="DH810" s="13" t="s">
        <v>205</v>
      </c>
      <c r="DI810" s="14" t="s">
        <v>179</v>
      </c>
      <c r="DJ810" s="14" t="s">
        <v>16709</v>
      </c>
      <c r="DK810" s="14" t="s">
        <v>179</v>
      </c>
      <c r="DL810" s="14" t="s">
        <v>16710</v>
      </c>
      <c r="DM810" s="15"/>
      <c r="DN810" s="15"/>
      <c r="DO810" s="15"/>
      <c r="DP810" s="15"/>
      <c r="DQ810" s="15"/>
      <c r="DR810" s="15"/>
      <c r="DS810" s="15"/>
      <c r="DT810" s="15"/>
      <c r="DU810" s="15"/>
      <c r="DV810" s="15"/>
      <c r="DW810" s="15"/>
      <c r="DX810" s="15"/>
      <c r="DY810" s="15"/>
      <c r="DZ810" s="15"/>
      <c r="EA810" s="15"/>
      <c r="EB810" s="15"/>
      <c r="EC810" s="16" t="s">
        <v>197</v>
      </c>
      <c r="ED810" s="17" t="s">
        <v>198</v>
      </c>
      <c r="EE810" s="18">
        <v>45719.47505787037</v>
      </c>
      <c r="EF810" s="13" t="s">
        <v>209</v>
      </c>
      <c r="EG810" s="14" t="s">
        <v>179</v>
      </c>
      <c r="EH810" s="14" t="s">
        <v>16711</v>
      </c>
      <c r="EI810" s="14" t="s">
        <v>179</v>
      </c>
      <c r="EJ810" s="14" t="s">
        <v>16712</v>
      </c>
      <c r="EK810" s="15"/>
      <c r="EL810" s="15"/>
      <c r="EM810" s="15"/>
      <c r="EN810" s="15"/>
      <c r="EO810" s="15"/>
      <c r="EP810" s="15"/>
      <c r="EQ810" s="15"/>
      <c r="ER810" s="15"/>
      <c r="ES810" s="15"/>
      <c r="ET810" s="15"/>
      <c r="EU810" s="15"/>
      <c r="EV810" s="15"/>
      <c r="EW810" s="15"/>
      <c r="EX810" s="15"/>
      <c r="EY810" s="15"/>
      <c r="EZ810" s="15"/>
      <c r="FA810" s="15"/>
      <c r="FB810" s="15"/>
      <c r="FC810" s="16" t="s">
        <v>197</v>
      </c>
      <c r="FD810" s="17" t="s">
        <v>198</v>
      </c>
      <c r="FE810" s="18">
        <v>45723.275347222225</v>
      </c>
      <c r="FF810" s="19"/>
      <c r="FG810" s="19"/>
      <c r="FH810" s="21" t="s">
        <v>197</v>
      </c>
      <c r="FI810" s="17" t="s">
        <v>214</v>
      </c>
      <c r="FJ810" s="18">
        <v>45723.275347222225</v>
      </c>
      <c r="FK810" s="14" t="s">
        <v>16711</v>
      </c>
      <c r="FL810" s="14" t="s">
        <v>16713</v>
      </c>
      <c r="FM810" s="14" t="s">
        <v>16714</v>
      </c>
      <c r="FN810" s="19"/>
      <c r="FO810" s="19"/>
      <c r="FP810" s="19" t="str">
        <f t="shared" si="1"/>
        <v>Base de Dados_Images/TIT20121.Imagem do Equipamento-.190310.jpg</v>
      </c>
      <c r="FQ810" s="19"/>
      <c r="FR810" s="19"/>
    </row>
    <row r="811" ht="15.75" customHeight="1">
      <c r="A811" s="12" t="s">
        <v>174</v>
      </c>
      <c r="B811" s="22" t="s">
        <v>581</v>
      </c>
      <c r="C811" s="24" t="s">
        <v>375</v>
      </c>
      <c r="D811" s="22" t="s">
        <v>16715</v>
      </c>
      <c r="E811" s="22" t="s">
        <v>16716</v>
      </c>
      <c r="F811" s="13" t="s">
        <v>178</v>
      </c>
      <c r="G811" s="14" t="s">
        <v>179</v>
      </c>
      <c r="H811" s="14" t="s">
        <v>16717</v>
      </c>
      <c r="I811" s="14" t="s">
        <v>179</v>
      </c>
      <c r="J811" s="14" t="s">
        <v>16718</v>
      </c>
      <c r="K811" s="14" t="s">
        <v>179</v>
      </c>
      <c r="L811" s="14" t="s">
        <v>16719</v>
      </c>
      <c r="M811" s="14" t="s">
        <v>179</v>
      </c>
      <c r="N811" s="14" t="s">
        <v>16720</v>
      </c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6" t="s">
        <v>197</v>
      </c>
      <c r="BP811" s="17" t="s">
        <v>198</v>
      </c>
      <c r="BQ811" s="18">
        <v>45698.669340277775</v>
      </c>
      <c r="BR811" s="17" t="s">
        <v>198</v>
      </c>
      <c r="BS811" s="18">
        <v>45698.669375</v>
      </c>
      <c r="BT811" s="17" t="s">
        <v>198</v>
      </c>
      <c r="BU811" s="18">
        <v>45698.669375</v>
      </c>
      <c r="BV811" s="13" t="s">
        <v>199</v>
      </c>
      <c r="BW811" s="14" t="s">
        <v>179</v>
      </c>
      <c r="BX811" s="14" t="s">
        <v>16721</v>
      </c>
      <c r="BY811" s="14" t="s">
        <v>179</v>
      </c>
      <c r="BZ811" s="14" t="s">
        <v>16722</v>
      </c>
      <c r="CA811" s="14" t="s">
        <v>179</v>
      </c>
      <c r="CB811" s="14" t="s">
        <v>16723</v>
      </c>
      <c r="CC811" s="15"/>
      <c r="CD811" s="15"/>
      <c r="CE811" s="15"/>
      <c r="CF811" s="15"/>
      <c r="CG811" s="19"/>
      <c r="CH811" s="15"/>
      <c r="CI811" s="19"/>
      <c r="CJ811" s="15"/>
      <c r="CK811" s="19"/>
      <c r="CL811" s="15"/>
      <c r="CM811" s="19"/>
      <c r="CN811" s="15"/>
      <c r="CO811" s="19"/>
      <c r="CP811" s="15"/>
      <c r="CQ811" s="15"/>
      <c r="CR811" s="15"/>
      <c r="CS811" s="19"/>
      <c r="CT811" s="15"/>
      <c r="CU811" s="19"/>
      <c r="CV811" s="15"/>
      <c r="CW811" s="19"/>
      <c r="CX811" s="15"/>
      <c r="CY811" s="19"/>
      <c r="CZ811" s="15"/>
      <c r="DA811" s="16" t="s">
        <v>197</v>
      </c>
      <c r="DB811" s="17" t="s">
        <v>228</v>
      </c>
      <c r="DC811" s="16"/>
      <c r="DD811" s="17" t="s">
        <v>198</v>
      </c>
      <c r="DE811" s="18">
        <v>45698.669537037036</v>
      </c>
      <c r="DF811" s="17" t="s">
        <v>198</v>
      </c>
      <c r="DG811" s="18">
        <v>45698.669537037036</v>
      </c>
      <c r="DH811" s="13" t="s">
        <v>205</v>
      </c>
      <c r="DI811" s="14" t="s">
        <v>179</v>
      </c>
      <c r="DJ811" s="14" t="s">
        <v>16724</v>
      </c>
      <c r="DK811" s="14" t="s">
        <v>179</v>
      </c>
      <c r="DL811" s="14" t="s">
        <v>16725</v>
      </c>
      <c r="DM811" s="15"/>
      <c r="DN811" s="15"/>
      <c r="DO811" s="15"/>
      <c r="DP811" s="15"/>
      <c r="DQ811" s="15"/>
      <c r="DR811" s="15"/>
      <c r="DS811" s="15"/>
      <c r="DT811" s="15"/>
      <c r="DU811" s="15"/>
      <c r="DV811" s="15"/>
      <c r="DW811" s="15"/>
      <c r="DX811" s="15"/>
      <c r="DY811" s="15"/>
      <c r="DZ811" s="15"/>
      <c r="EA811" s="15"/>
      <c r="EB811" s="15"/>
      <c r="EC811" s="16" t="s">
        <v>197</v>
      </c>
      <c r="ED811" s="17" t="s">
        <v>198</v>
      </c>
      <c r="EE811" s="18">
        <v>45719.47513888889</v>
      </c>
      <c r="EF811" s="13" t="s">
        <v>209</v>
      </c>
      <c r="EG811" s="14" t="s">
        <v>179</v>
      </c>
      <c r="EH811" s="14" t="s">
        <v>16726</v>
      </c>
      <c r="EI811" s="14" t="s">
        <v>179</v>
      </c>
      <c r="EJ811" s="14" t="s">
        <v>16727</v>
      </c>
      <c r="EK811" s="15"/>
      <c r="EL811" s="15"/>
      <c r="EM811" s="15"/>
      <c r="EN811" s="15"/>
      <c r="EO811" s="15"/>
      <c r="EP811" s="15"/>
      <c r="EQ811" s="15"/>
      <c r="ER811" s="15"/>
      <c r="ES811" s="15"/>
      <c r="ET811" s="15"/>
      <c r="EU811" s="15"/>
      <c r="EV811" s="15"/>
      <c r="EW811" s="15"/>
      <c r="EX811" s="15"/>
      <c r="EY811" s="15"/>
      <c r="EZ811" s="15"/>
      <c r="FA811" s="15"/>
      <c r="FB811" s="15"/>
      <c r="FC811" s="16" t="s">
        <v>197</v>
      </c>
      <c r="FD811" s="17" t="s">
        <v>198</v>
      </c>
      <c r="FE811" s="18">
        <v>45723.275416666664</v>
      </c>
      <c r="FF811" s="19"/>
      <c r="FG811" s="19"/>
      <c r="FH811" s="21" t="s">
        <v>197</v>
      </c>
      <c r="FI811" s="17" t="s">
        <v>214</v>
      </c>
      <c r="FJ811" s="18">
        <v>45723.275416666664</v>
      </c>
      <c r="FK811" s="14" t="s">
        <v>16726</v>
      </c>
      <c r="FL811" s="14" t="s">
        <v>16728</v>
      </c>
      <c r="FM811" s="14" t="s">
        <v>16729</v>
      </c>
      <c r="FN811" s="19"/>
      <c r="FO811" s="19"/>
      <c r="FP811" s="19" t="str">
        <f t="shared" si="1"/>
        <v>Base de Dados_Images/TIT20122.Imagem do Equipamento-.190352.jpg</v>
      </c>
      <c r="FQ811" s="19"/>
      <c r="FR811" s="19"/>
    </row>
    <row r="812" ht="15.75" customHeight="1">
      <c r="A812" s="12" t="s">
        <v>174</v>
      </c>
      <c r="B812" s="22" t="s">
        <v>581</v>
      </c>
      <c r="C812" s="24" t="s">
        <v>375</v>
      </c>
      <c r="D812" s="22" t="s">
        <v>16730</v>
      </c>
      <c r="E812" s="22" t="s">
        <v>16731</v>
      </c>
      <c r="F812" s="13" t="s">
        <v>178</v>
      </c>
      <c r="G812" s="14" t="s">
        <v>179</v>
      </c>
      <c r="H812" s="14" t="s">
        <v>16732</v>
      </c>
      <c r="I812" s="14" t="s">
        <v>179</v>
      </c>
      <c r="J812" s="14" t="s">
        <v>16733</v>
      </c>
      <c r="K812" s="14" t="s">
        <v>179</v>
      </c>
      <c r="L812" s="14" t="s">
        <v>16734</v>
      </c>
      <c r="M812" s="14" t="s">
        <v>179</v>
      </c>
      <c r="N812" s="14" t="s">
        <v>16735</v>
      </c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6" t="s">
        <v>197</v>
      </c>
      <c r="BP812" s="17" t="s">
        <v>198</v>
      </c>
      <c r="BQ812" s="18">
        <v>45698.66986111111</v>
      </c>
      <c r="BR812" s="17" t="s">
        <v>198</v>
      </c>
      <c r="BS812" s="18">
        <v>45698.66994212963</v>
      </c>
      <c r="BT812" s="17" t="s">
        <v>198</v>
      </c>
      <c r="BU812" s="18">
        <v>45698.66994212963</v>
      </c>
      <c r="BV812" s="13" t="s">
        <v>199</v>
      </c>
      <c r="BW812" s="14" t="s">
        <v>179</v>
      </c>
      <c r="BX812" s="14" t="s">
        <v>16736</v>
      </c>
      <c r="BY812" s="14" t="s">
        <v>179</v>
      </c>
      <c r="BZ812" s="14" t="s">
        <v>16737</v>
      </c>
      <c r="CA812" s="14" t="s">
        <v>179</v>
      </c>
      <c r="CB812" s="14" t="s">
        <v>16738</v>
      </c>
      <c r="CC812" s="15"/>
      <c r="CD812" s="15"/>
      <c r="CE812" s="15"/>
      <c r="CF812" s="15"/>
      <c r="CG812" s="19"/>
      <c r="CH812" s="15"/>
      <c r="CI812" s="19"/>
      <c r="CJ812" s="15"/>
      <c r="CK812" s="19"/>
      <c r="CL812" s="15"/>
      <c r="CM812" s="19"/>
      <c r="CN812" s="15"/>
      <c r="CO812" s="19"/>
      <c r="CP812" s="15"/>
      <c r="CQ812" s="15"/>
      <c r="CR812" s="15"/>
      <c r="CS812" s="19"/>
      <c r="CT812" s="15"/>
      <c r="CU812" s="19"/>
      <c r="CV812" s="15"/>
      <c r="CW812" s="19"/>
      <c r="CX812" s="15"/>
      <c r="CY812" s="19"/>
      <c r="CZ812" s="15"/>
      <c r="DA812" s="16" t="s">
        <v>197</v>
      </c>
      <c r="DB812" s="17" t="s">
        <v>228</v>
      </c>
      <c r="DC812" s="16"/>
      <c r="DD812" s="17" t="s">
        <v>198</v>
      </c>
      <c r="DE812" s="18">
        <v>45698.67003472222</v>
      </c>
      <c r="DF812" s="17" t="s">
        <v>198</v>
      </c>
      <c r="DG812" s="18">
        <v>45698.67003472222</v>
      </c>
      <c r="DH812" s="13" t="s">
        <v>205</v>
      </c>
      <c r="DI812" s="14" t="s">
        <v>179</v>
      </c>
      <c r="DJ812" s="14" t="s">
        <v>16739</v>
      </c>
      <c r="DK812" s="14" t="s">
        <v>179</v>
      </c>
      <c r="DL812" s="14" t="s">
        <v>16740</v>
      </c>
      <c r="DM812" s="15"/>
      <c r="DN812" s="15"/>
      <c r="DO812" s="15"/>
      <c r="DP812" s="15"/>
      <c r="DQ812" s="15"/>
      <c r="DR812" s="15"/>
      <c r="DS812" s="15"/>
      <c r="DT812" s="15"/>
      <c r="DU812" s="15"/>
      <c r="DV812" s="15"/>
      <c r="DW812" s="15"/>
      <c r="DX812" s="15"/>
      <c r="DY812" s="15"/>
      <c r="DZ812" s="15"/>
      <c r="EA812" s="15"/>
      <c r="EB812" s="15"/>
      <c r="EC812" s="16" t="s">
        <v>197</v>
      </c>
      <c r="ED812" s="17" t="s">
        <v>198</v>
      </c>
      <c r="EE812" s="18">
        <v>45719.47523148148</v>
      </c>
      <c r="EF812" s="13" t="s">
        <v>209</v>
      </c>
      <c r="EG812" s="14" t="s">
        <v>179</v>
      </c>
      <c r="EH812" s="14" t="s">
        <v>16741</v>
      </c>
      <c r="EI812" s="14" t="s">
        <v>179</v>
      </c>
      <c r="EJ812" s="14" t="s">
        <v>16741</v>
      </c>
      <c r="EK812" s="15"/>
      <c r="EL812" s="15"/>
      <c r="EM812" s="15"/>
      <c r="EN812" s="15"/>
      <c r="EO812" s="15"/>
      <c r="EP812" s="15"/>
      <c r="EQ812" s="15"/>
      <c r="ER812" s="15"/>
      <c r="ES812" s="15"/>
      <c r="ET812" s="15"/>
      <c r="EU812" s="15"/>
      <c r="EV812" s="15"/>
      <c r="EW812" s="15"/>
      <c r="EX812" s="15"/>
      <c r="EY812" s="15"/>
      <c r="EZ812" s="15"/>
      <c r="FA812" s="15"/>
      <c r="FB812" s="15"/>
      <c r="FC812" s="16" t="s">
        <v>197</v>
      </c>
      <c r="FD812" s="17" t="s">
        <v>198</v>
      </c>
      <c r="FE812" s="18">
        <v>45723.27547453704</v>
      </c>
      <c r="FF812" s="19"/>
      <c r="FG812" s="19"/>
      <c r="FH812" s="21" t="s">
        <v>197</v>
      </c>
      <c r="FI812" s="17" t="s">
        <v>214</v>
      </c>
      <c r="FJ812" s="18">
        <v>45723.27547453704</v>
      </c>
      <c r="FK812" s="14" t="s">
        <v>16741</v>
      </c>
      <c r="FL812" s="14" t="s">
        <v>16742</v>
      </c>
      <c r="FM812" s="14" t="s">
        <v>16743</v>
      </c>
      <c r="FN812" s="19"/>
      <c r="FO812" s="19"/>
      <c r="FP812" s="19" t="str">
        <f t="shared" si="1"/>
        <v>Base de Dados_Images/TIT20123.Imagem do Equipamento-.190437.jpg</v>
      </c>
      <c r="FQ812" s="19"/>
      <c r="FR812" s="19"/>
    </row>
    <row r="813" ht="15.75" customHeight="1">
      <c r="A813" s="12" t="s">
        <v>174</v>
      </c>
      <c r="B813" s="22" t="s">
        <v>581</v>
      </c>
      <c r="C813" s="24" t="s">
        <v>375</v>
      </c>
      <c r="D813" s="22" t="s">
        <v>16744</v>
      </c>
      <c r="E813" s="22" t="s">
        <v>16745</v>
      </c>
      <c r="F813" s="13" t="s">
        <v>178</v>
      </c>
      <c r="G813" s="14" t="s">
        <v>179</v>
      </c>
      <c r="H813" s="14" t="s">
        <v>16746</v>
      </c>
      <c r="I813" s="14" t="s">
        <v>179</v>
      </c>
      <c r="J813" s="14" t="s">
        <v>16747</v>
      </c>
      <c r="K813" s="14" t="s">
        <v>179</v>
      </c>
      <c r="L813" s="14" t="s">
        <v>16748</v>
      </c>
      <c r="M813" s="14" t="s">
        <v>179</v>
      </c>
      <c r="N813" s="14" t="s">
        <v>16749</v>
      </c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6" t="s">
        <v>197</v>
      </c>
      <c r="BP813" s="17" t="s">
        <v>198</v>
      </c>
      <c r="BQ813" s="18">
        <v>45698.66664351852</v>
      </c>
      <c r="BR813" s="17" t="s">
        <v>198</v>
      </c>
      <c r="BS813" s="18">
        <v>45698.66678240741</v>
      </c>
      <c r="BT813" s="17" t="s">
        <v>198</v>
      </c>
      <c r="BU813" s="18">
        <v>45698.66678240741</v>
      </c>
      <c r="BV813" s="13" t="s">
        <v>199</v>
      </c>
      <c r="BW813" s="14" t="s">
        <v>179</v>
      </c>
      <c r="BX813" s="14" t="s">
        <v>16750</v>
      </c>
      <c r="BY813" s="14" t="s">
        <v>179</v>
      </c>
      <c r="BZ813" s="14" t="s">
        <v>16751</v>
      </c>
      <c r="CA813" s="14" t="s">
        <v>179</v>
      </c>
      <c r="CB813" s="14" t="s">
        <v>16752</v>
      </c>
      <c r="CC813" s="15"/>
      <c r="CD813" s="15"/>
      <c r="CE813" s="15"/>
      <c r="CF813" s="15"/>
      <c r="CG813" s="19"/>
      <c r="CH813" s="15"/>
      <c r="CI813" s="19"/>
      <c r="CJ813" s="15"/>
      <c r="CK813" s="19"/>
      <c r="CL813" s="15"/>
      <c r="CM813" s="19"/>
      <c r="CN813" s="15"/>
      <c r="CO813" s="19"/>
      <c r="CP813" s="15"/>
      <c r="CQ813" s="15"/>
      <c r="CR813" s="15"/>
      <c r="CS813" s="19"/>
      <c r="CT813" s="15"/>
      <c r="CU813" s="19"/>
      <c r="CV813" s="15"/>
      <c r="CW813" s="19"/>
      <c r="CX813" s="15"/>
      <c r="CY813" s="19"/>
      <c r="CZ813" s="15"/>
      <c r="DA813" s="16" t="s">
        <v>197</v>
      </c>
      <c r="DB813" s="17" t="s">
        <v>228</v>
      </c>
      <c r="DC813" s="16"/>
      <c r="DD813" s="17" t="s">
        <v>198</v>
      </c>
      <c r="DE813" s="18">
        <v>45698.66706018519</v>
      </c>
      <c r="DF813" s="17" t="s">
        <v>198</v>
      </c>
      <c r="DG813" s="18">
        <v>45698.66706018519</v>
      </c>
      <c r="DH813" s="13" t="s">
        <v>205</v>
      </c>
      <c r="DI813" s="14" t="s">
        <v>179</v>
      </c>
      <c r="DJ813" s="14" t="s">
        <v>16753</v>
      </c>
      <c r="DK813" s="14" t="s">
        <v>179</v>
      </c>
      <c r="DL813" s="14" t="s">
        <v>16754</v>
      </c>
      <c r="DM813" s="15"/>
      <c r="DN813" s="15"/>
      <c r="DO813" s="15"/>
      <c r="DP813" s="15"/>
      <c r="DQ813" s="15"/>
      <c r="DR813" s="15"/>
      <c r="DS813" s="15"/>
      <c r="DT813" s="15"/>
      <c r="DU813" s="15"/>
      <c r="DV813" s="15"/>
      <c r="DW813" s="15"/>
      <c r="DX813" s="15"/>
      <c r="DY813" s="15"/>
      <c r="DZ813" s="15"/>
      <c r="EA813" s="15"/>
      <c r="EB813" s="15"/>
      <c r="EC813" s="16" t="s">
        <v>197</v>
      </c>
      <c r="ED813" s="17" t="s">
        <v>198</v>
      </c>
      <c r="EE813" s="18">
        <v>45719.4753125</v>
      </c>
      <c r="EF813" s="13" t="s">
        <v>209</v>
      </c>
      <c r="EG813" s="14" t="s">
        <v>179</v>
      </c>
      <c r="EH813" s="14" t="s">
        <v>16755</v>
      </c>
      <c r="EI813" s="14" t="s">
        <v>179</v>
      </c>
      <c r="EJ813" s="14" t="s">
        <v>16756</v>
      </c>
      <c r="EK813" s="15"/>
      <c r="EL813" s="15"/>
      <c r="EM813" s="15"/>
      <c r="EN813" s="15"/>
      <c r="EO813" s="15"/>
      <c r="EP813" s="15"/>
      <c r="EQ813" s="15"/>
      <c r="ER813" s="15"/>
      <c r="ES813" s="15"/>
      <c r="ET813" s="15"/>
      <c r="EU813" s="15"/>
      <c r="EV813" s="15"/>
      <c r="EW813" s="15"/>
      <c r="EX813" s="15"/>
      <c r="EY813" s="15"/>
      <c r="EZ813" s="15"/>
      <c r="FA813" s="15"/>
      <c r="FB813" s="15"/>
      <c r="FC813" s="16" t="s">
        <v>197</v>
      </c>
      <c r="FD813" s="17" t="s">
        <v>198</v>
      </c>
      <c r="FE813" s="18">
        <v>45723.2755787037</v>
      </c>
      <c r="FF813" s="19"/>
      <c r="FG813" s="19"/>
      <c r="FH813" s="21" t="s">
        <v>197</v>
      </c>
      <c r="FI813" s="17" t="s">
        <v>214</v>
      </c>
      <c r="FJ813" s="18">
        <v>45723.2755787037</v>
      </c>
      <c r="FK813" s="14" t="s">
        <v>16755</v>
      </c>
      <c r="FL813" s="14" t="s">
        <v>16757</v>
      </c>
      <c r="FM813" s="14" t="s">
        <v>16758</v>
      </c>
      <c r="FN813" s="19"/>
      <c r="FO813" s="19"/>
      <c r="FP813" s="19" t="str">
        <f t="shared" si="1"/>
        <v>Base de Dados_Images/TIT20124.Imagem do Equipamento-.190528.jpg</v>
      </c>
      <c r="FQ813" s="14"/>
      <c r="FR813" s="14"/>
    </row>
    <row r="814" ht="15.75" customHeight="1">
      <c r="A814" s="12" t="s">
        <v>174</v>
      </c>
      <c r="B814" s="22" t="s">
        <v>617</v>
      </c>
      <c r="C814" s="24" t="s">
        <v>375</v>
      </c>
      <c r="D814" s="22" t="s">
        <v>16759</v>
      </c>
      <c r="E814" s="22" t="s">
        <v>16760</v>
      </c>
      <c r="F814" s="13" t="s">
        <v>178</v>
      </c>
      <c r="G814" s="14" t="s">
        <v>179</v>
      </c>
      <c r="H814" s="14" t="s">
        <v>16761</v>
      </c>
      <c r="I814" s="14" t="s">
        <v>179</v>
      </c>
      <c r="J814" s="14" t="s">
        <v>16762</v>
      </c>
      <c r="K814" s="14" t="s">
        <v>179</v>
      </c>
      <c r="L814" s="14" t="s">
        <v>16763</v>
      </c>
      <c r="M814" s="14" t="s">
        <v>179</v>
      </c>
      <c r="N814" s="14" t="s">
        <v>16764</v>
      </c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6" t="s">
        <v>197</v>
      </c>
      <c r="BP814" s="17" t="s">
        <v>198</v>
      </c>
      <c r="BQ814" s="18">
        <v>45698.67072916667</v>
      </c>
      <c r="BR814" s="17" t="s">
        <v>198</v>
      </c>
      <c r="BS814" s="18">
        <v>45698.67077546296</v>
      </c>
      <c r="BT814" s="17" t="s">
        <v>198</v>
      </c>
      <c r="BU814" s="18">
        <v>45698.67077546296</v>
      </c>
      <c r="BV814" s="13" t="s">
        <v>199</v>
      </c>
      <c r="BW814" s="14" t="s">
        <v>179</v>
      </c>
      <c r="BX814" s="14" t="s">
        <v>16765</v>
      </c>
      <c r="BY814" s="14" t="s">
        <v>179</v>
      </c>
      <c r="BZ814" s="14" t="s">
        <v>16766</v>
      </c>
      <c r="CA814" s="14" t="s">
        <v>179</v>
      </c>
      <c r="CB814" s="14" t="s">
        <v>16767</v>
      </c>
      <c r="CC814" s="15"/>
      <c r="CD814" s="15"/>
      <c r="CE814" s="15"/>
      <c r="CF814" s="15"/>
      <c r="CG814" s="19"/>
      <c r="CH814" s="15"/>
      <c r="CI814" s="19"/>
      <c r="CJ814" s="15"/>
      <c r="CK814" s="19"/>
      <c r="CL814" s="15"/>
      <c r="CM814" s="19"/>
      <c r="CN814" s="15"/>
      <c r="CO814" s="19"/>
      <c r="CP814" s="15"/>
      <c r="CQ814" s="15"/>
      <c r="CR814" s="15"/>
      <c r="CS814" s="19"/>
      <c r="CT814" s="15"/>
      <c r="CU814" s="19"/>
      <c r="CV814" s="15"/>
      <c r="CW814" s="19"/>
      <c r="CX814" s="15"/>
      <c r="CY814" s="19"/>
      <c r="CZ814" s="15"/>
      <c r="DA814" s="16" t="s">
        <v>197</v>
      </c>
      <c r="DB814" s="17" t="s">
        <v>228</v>
      </c>
      <c r="DC814" s="16"/>
      <c r="DD814" s="17" t="s">
        <v>198</v>
      </c>
      <c r="DE814" s="18">
        <v>45698.67084490741</v>
      </c>
      <c r="DF814" s="17" t="s">
        <v>198</v>
      </c>
      <c r="DG814" s="18">
        <v>45698.67084490741</v>
      </c>
      <c r="DH814" s="13" t="s">
        <v>205</v>
      </c>
      <c r="DI814" s="14" t="s">
        <v>179</v>
      </c>
      <c r="DJ814" s="14" t="s">
        <v>16768</v>
      </c>
      <c r="DK814" s="14" t="s">
        <v>179</v>
      </c>
      <c r="DL814" s="14" t="s">
        <v>16769</v>
      </c>
      <c r="DM814" s="15"/>
      <c r="DN814" s="15"/>
      <c r="DO814" s="15"/>
      <c r="DP814" s="15"/>
      <c r="DQ814" s="15"/>
      <c r="DR814" s="15"/>
      <c r="DS814" s="15"/>
      <c r="DT814" s="15"/>
      <c r="DU814" s="15"/>
      <c r="DV814" s="15"/>
      <c r="DW814" s="15"/>
      <c r="DX814" s="15"/>
      <c r="DY814" s="15"/>
      <c r="DZ814" s="15"/>
      <c r="EA814" s="15"/>
      <c r="EB814" s="15"/>
      <c r="EC814" s="16" t="s">
        <v>197</v>
      </c>
      <c r="ED814" s="17" t="s">
        <v>198</v>
      </c>
      <c r="EE814" s="18">
        <v>45719.47667824074</v>
      </c>
      <c r="EF814" s="13" t="s">
        <v>209</v>
      </c>
      <c r="EG814" s="14" t="s">
        <v>179</v>
      </c>
      <c r="EH814" s="14" t="s">
        <v>16770</v>
      </c>
      <c r="EI814" s="14" t="s">
        <v>179</v>
      </c>
      <c r="EJ814" s="14" t="s">
        <v>16771</v>
      </c>
      <c r="EK814" s="15"/>
      <c r="EL814" s="15"/>
      <c r="EM814" s="15"/>
      <c r="EN814" s="15"/>
      <c r="EO814" s="15"/>
      <c r="EP814" s="15"/>
      <c r="EQ814" s="15"/>
      <c r="ER814" s="15"/>
      <c r="ES814" s="15"/>
      <c r="ET814" s="15"/>
      <c r="EU814" s="15"/>
      <c r="EV814" s="15"/>
      <c r="EW814" s="15"/>
      <c r="EX814" s="15"/>
      <c r="EY814" s="15"/>
      <c r="EZ814" s="15"/>
      <c r="FA814" s="15"/>
      <c r="FB814" s="15"/>
      <c r="FC814" s="16" t="s">
        <v>197</v>
      </c>
      <c r="FD814" s="17" t="s">
        <v>198</v>
      </c>
      <c r="FE814" s="18">
        <v>45723.276550925926</v>
      </c>
      <c r="FF814" s="19"/>
      <c r="FG814" s="19"/>
      <c r="FH814" s="21" t="s">
        <v>197</v>
      </c>
      <c r="FI814" s="17" t="s">
        <v>214</v>
      </c>
      <c r="FJ814" s="18">
        <v>45723.276550925926</v>
      </c>
      <c r="FK814" s="14" t="s">
        <v>16770</v>
      </c>
      <c r="FL814" s="14" t="s">
        <v>16772</v>
      </c>
      <c r="FM814" s="14" t="s">
        <v>16773</v>
      </c>
      <c r="FN814" s="19"/>
      <c r="FO814" s="19"/>
      <c r="FP814" s="19" t="str">
        <f t="shared" si="1"/>
        <v>Base de Dados_Images/TIT20128.Imagem do Equipamento-.190627.jpg</v>
      </c>
      <c r="FQ814" s="14"/>
      <c r="FR814" s="14"/>
    </row>
    <row r="815" ht="15.75" customHeight="1">
      <c r="A815" s="12" t="s">
        <v>174</v>
      </c>
      <c r="B815" s="22" t="s">
        <v>617</v>
      </c>
      <c r="C815" s="24" t="s">
        <v>375</v>
      </c>
      <c r="D815" s="22" t="s">
        <v>16774</v>
      </c>
      <c r="E815" s="22" t="s">
        <v>16775</v>
      </c>
      <c r="F815" s="13" t="s">
        <v>178</v>
      </c>
      <c r="G815" s="14" t="s">
        <v>179</v>
      </c>
      <c r="H815" s="14" t="s">
        <v>16776</v>
      </c>
      <c r="I815" s="14" t="s">
        <v>179</v>
      </c>
      <c r="J815" s="14" t="s">
        <v>16777</v>
      </c>
      <c r="K815" s="14" t="s">
        <v>179</v>
      </c>
      <c r="L815" s="14" t="s">
        <v>16778</v>
      </c>
      <c r="M815" s="14" t="s">
        <v>179</v>
      </c>
      <c r="N815" s="14" t="s">
        <v>16779</v>
      </c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6" t="s">
        <v>197</v>
      </c>
      <c r="BP815" s="17" t="s">
        <v>198</v>
      </c>
      <c r="BQ815" s="18">
        <v>45698.672476851854</v>
      </c>
      <c r="BR815" s="17" t="s">
        <v>198</v>
      </c>
      <c r="BS815" s="18">
        <v>45698.67251157408</v>
      </c>
      <c r="BT815" s="17" t="s">
        <v>198</v>
      </c>
      <c r="BU815" s="18">
        <v>45698.67251157408</v>
      </c>
      <c r="BV815" s="13" t="s">
        <v>199</v>
      </c>
      <c r="BW815" s="14" t="s">
        <v>179</v>
      </c>
      <c r="BX815" s="14" t="s">
        <v>16780</v>
      </c>
      <c r="BY815" s="14" t="s">
        <v>179</v>
      </c>
      <c r="BZ815" s="14" t="s">
        <v>16781</v>
      </c>
      <c r="CA815" s="14" t="s">
        <v>179</v>
      </c>
      <c r="CB815" s="14" t="s">
        <v>16782</v>
      </c>
      <c r="CC815" s="15"/>
      <c r="CD815" s="15"/>
      <c r="CE815" s="15"/>
      <c r="CF815" s="15"/>
      <c r="CG815" s="19"/>
      <c r="CH815" s="15"/>
      <c r="CI815" s="19"/>
      <c r="CJ815" s="15"/>
      <c r="CK815" s="19"/>
      <c r="CL815" s="15"/>
      <c r="CM815" s="19"/>
      <c r="CN815" s="15"/>
      <c r="CO815" s="19"/>
      <c r="CP815" s="15"/>
      <c r="CQ815" s="15"/>
      <c r="CR815" s="15"/>
      <c r="CS815" s="19"/>
      <c r="CT815" s="15"/>
      <c r="CU815" s="19"/>
      <c r="CV815" s="15"/>
      <c r="CW815" s="19"/>
      <c r="CX815" s="15"/>
      <c r="CY815" s="19"/>
      <c r="CZ815" s="15"/>
      <c r="DA815" s="16" t="s">
        <v>197</v>
      </c>
      <c r="DB815" s="17" t="s">
        <v>228</v>
      </c>
      <c r="DC815" s="16"/>
      <c r="DD815" s="17" t="s">
        <v>198</v>
      </c>
      <c r="DE815" s="18">
        <v>45698.67261574074</v>
      </c>
      <c r="DF815" s="17" t="s">
        <v>198</v>
      </c>
      <c r="DG815" s="18">
        <v>45698.67261574074</v>
      </c>
      <c r="DH815" s="13" t="s">
        <v>205</v>
      </c>
      <c r="DI815" s="14" t="s">
        <v>179</v>
      </c>
      <c r="DJ815" s="14" t="s">
        <v>16783</v>
      </c>
      <c r="DK815" s="14" t="s">
        <v>179</v>
      </c>
      <c r="DL815" s="14" t="s">
        <v>16784</v>
      </c>
      <c r="DM815" s="15"/>
      <c r="DN815" s="15"/>
      <c r="DO815" s="15"/>
      <c r="DP815" s="15"/>
      <c r="DQ815" s="15"/>
      <c r="DR815" s="15"/>
      <c r="DS815" s="15"/>
      <c r="DT815" s="15"/>
      <c r="DU815" s="15"/>
      <c r="DV815" s="15"/>
      <c r="DW815" s="15"/>
      <c r="DX815" s="15"/>
      <c r="DY815" s="15"/>
      <c r="DZ815" s="15"/>
      <c r="EA815" s="15"/>
      <c r="EB815" s="15"/>
      <c r="EC815" s="16" t="s">
        <v>197</v>
      </c>
      <c r="ED815" s="17" t="s">
        <v>198</v>
      </c>
      <c r="EE815" s="18">
        <v>45719.47675925926</v>
      </c>
      <c r="EF815" s="13" t="s">
        <v>209</v>
      </c>
      <c r="EG815" s="14" t="s">
        <v>179</v>
      </c>
      <c r="EH815" s="14" t="s">
        <v>16785</v>
      </c>
      <c r="EI815" s="14" t="s">
        <v>179</v>
      </c>
      <c r="EJ815" s="14" t="s">
        <v>16785</v>
      </c>
      <c r="EK815" s="15"/>
      <c r="EL815" s="15"/>
      <c r="EM815" s="15"/>
      <c r="EN815" s="15"/>
      <c r="EO815" s="15"/>
      <c r="EP815" s="15"/>
      <c r="EQ815" s="15"/>
      <c r="ER815" s="15"/>
      <c r="ES815" s="15"/>
      <c r="ET815" s="15"/>
      <c r="EU815" s="15"/>
      <c r="EV815" s="15"/>
      <c r="EW815" s="15"/>
      <c r="EX815" s="15"/>
      <c r="EY815" s="15"/>
      <c r="EZ815" s="15"/>
      <c r="FA815" s="15"/>
      <c r="FB815" s="15"/>
      <c r="FC815" s="16" t="s">
        <v>197</v>
      </c>
      <c r="FD815" s="17" t="s">
        <v>198</v>
      </c>
      <c r="FE815" s="18">
        <v>45723.276608796295</v>
      </c>
      <c r="FF815" s="19"/>
      <c r="FG815" s="19"/>
      <c r="FH815" s="21" t="s">
        <v>197</v>
      </c>
      <c r="FI815" s="17" t="s">
        <v>214</v>
      </c>
      <c r="FJ815" s="18">
        <v>45723.276608796295</v>
      </c>
      <c r="FK815" s="14" t="s">
        <v>16785</v>
      </c>
      <c r="FL815" s="14" t="s">
        <v>16786</v>
      </c>
      <c r="FM815" s="14" t="s">
        <v>16787</v>
      </c>
      <c r="FN815" s="19"/>
      <c r="FO815" s="19"/>
      <c r="FP815" s="19" t="str">
        <f t="shared" si="1"/>
        <v>Base de Dados_Images/TIT20129.Imagem do Equipamento-.190806.jpg</v>
      </c>
      <c r="FQ815" s="19"/>
      <c r="FR815" s="19"/>
    </row>
    <row r="816" ht="15.75" customHeight="1">
      <c r="A816" s="12" t="s">
        <v>174</v>
      </c>
      <c r="B816" s="22" t="s">
        <v>617</v>
      </c>
      <c r="C816" s="24" t="s">
        <v>375</v>
      </c>
      <c r="D816" s="22" t="s">
        <v>16788</v>
      </c>
      <c r="E816" s="22" t="s">
        <v>16789</v>
      </c>
      <c r="F816" s="13" t="s">
        <v>178</v>
      </c>
      <c r="G816" s="14" t="s">
        <v>179</v>
      </c>
      <c r="H816" s="14" t="s">
        <v>16790</v>
      </c>
      <c r="I816" s="14" t="s">
        <v>179</v>
      </c>
      <c r="J816" s="14" t="s">
        <v>16791</v>
      </c>
      <c r="K816" s="14" t="s">
        <v>179</v>
      </c>
      <c r="L816" s="14" t="s">
        <v>16792</v>
      </c>
      <c r="M816" s="14" t="s">
        <v>179</v>
      </c>
      <c r="N816" s="14" t="s">
        <v>16793</v>
      </c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6" t="s">
        <v>197</v>
      </c>
      <c r="BP816" s="17" t="s">
        <v>198</v>
      </c>
      <c r="BQ816" s="18">
        <v>45698.67309027778</v>
      </c>
      <c r="BR816" s="17" t="s">
        <v>198</v>
      </c>
      <c r="BS816" s="18">
        <v>45698.67313657407</v>
      </c>
      <c r="BT816" s="17" t="s">
        <v>198</v>
      </c>
      <c r="BU816" s="18">
        <v>45698.67313657407</v>
      </c>
      <c r="BV816" s="13" t="s">
        <v>199</v>
      </c>
      <c r="BW816" s="14" t="s">
        <v>179</v>
      </c>
      <c r="BX816" s="14" t="s">
        <v>16794</v>
      </c>
      <c r="BY816" s="14" t="s">
        <v>179</v>
      </c>
      <c r="BZ816" s="14" t="s">
        <v>16795</v>
      </c>
      <c r="CA816" s="14" t="s">
        <v>179</v>
      </c>
      <c r="CB816" s="14" t="s">
        <v>16796</v>
      </c>
      <c r="CC816" s="15"/>
      <c r="CD816" s="15"/>
      <c r="CE816" s="15"/>
      <c r="CF816" s="15"/>
      <c r="CG816" s="19"/>
      <c r="CH816" s="15"/>
      <c r="CI816" s="19"/>
      <c r="CJ816" s="15"/>
      <c r="CK816" s="19"/>
      <c r="CL816" s="15"/>
      <c r="CM816" s="19"/>
      <c r="CN816" s="15"/>
      <c r="CO816" s="19"/>
      <c r="CP816" s="15"/>
      <c r="CQ816" s="15"/>
      <c r="CR816" s="15"/>
      <c r="CS816" s="19"/>
      <c r="CT816" s="15"/>
      <c r="CU816" s="19"/>
      <c r="CV816" s="15"/>
      <c r="CW816" s="19"/>
      <c r="CX816" s="15"/>
      <c r="CY816" s="19"/>
      <c r="CZ816" s="15"/>
      <c r="DA816" s="16" t="s">
        <v>197</v>
      </c>
      <c r="DB816" s="17" t="s">
        <v>228</v>
      </c>
      <c r="DC816" s="16"/>
      <c r="DD816" s="17" t="s">
        <v>198</v>
      </c>
      <c r="DE816" s="18">
        <v>45698.67327546296</v>
      </c>
      <c r="DF816" s="17" t="s">
        <v>198</v>
      </c>
      <c r="DG816" s="18">
        <v>45698.67327546296</v>
      </c>
      <c r="DH816" s="13" t="s">
        <v>205</v>
      </c>
      <c r="DI816" s="14" t="s">
        <v>179</v>
      </c>
      <c r="DJ816" s="14" t="s">
        <v>16797</v>
      </c>
      <c r="DK816" s="14" t="s">
        <v>179</v>
      </c>
      <c r="DL816" s="14" t="s">
        <v>16798</v>
      </c>
      <c r="DM816" s="15"/>
      <c r="DN816" s="15"/>
      <c r="DO816" s="15"/>
      <c r="DP816" s="15"/>
      <c r="DQ816" s="15"/>
      <c r="DR816" s="15"/>
      <c r="DS816" s="15"/>
      <c r="DT816" s="15"/>
      <c r="DU816" s="15"/>
      <c r="DV816" s="15"/>
      <c r="DW816" s="15"/>
      <c r="DX816" s="15"/>
      <c r="DY816" s="15"/>
      <c r="DZ816" s="15"/>
      <c r="EA816" s="15"/>
      <c r="EB816" s="15"/>
      <c r="EC816" s="16" t="s">
        <v>197</v>
      </c>
      <c r="ED816" s="17" t="s">
        <v>198</v>
      </c>
      <c r="EE816" s="18">
        <v>45719.47684027778</v>
      </c>
      <c r="EF816" s="13" t="s">
        <v>209</v>
      </c>
      <c r="EG816" s="14" t="s">
        <v>179</v>
      </c>
      <c r="EH816" s="14" t="s">
        <v>16799</v>
      </c>
      <c r="EI816" s="14" t="s">
        <v>179</v>
      </c>
      <c r="EJ816" s="14" t="s">
        <v>16799</v>
      </c>
      <c r="EK816" s="15"/>
      <c r="EL816" s="15"/>
      <c r="EM816" s="15"/>
      <c r="EN816" s="15"/>
      <c r="EO816" s="15"/>
      <c r="EP816" s="15"/>
      <c r="EQ816" s="15"/>
      <c r="ER816" s="15"/>
      <c r="ES816" s="15"/>
      <c r="ET816" s="15"/>
      <c r="EU816" s="15"/>
      <c r="EV816" s="15"/>
      <c r="EW816" s="15"/>
      <c r="EX816" s="15"/>
      <c r="EY816" s="15"/>
      <c r="EZ816" s="15"/>
      <c r="FA816" s="15"/>
      <c r="FB816" s="15"/>
      <c r="FC816" s="16" t="s">
        <v>197</v>
      </c>
      <c r="FD816" s="17" t="s">
        <v>198</v>
      </c>
      <c r="FE816" s="18">
        <v>45723.276666666665</v>
      </c>
      <c r="FF816" s="19"/>
      <c r="FG816" s="19"/>
      <c r="FH816" s="21" t="s">
        <v>197</v>
      </c>
      <c r="FI816" s="17" t="s">
        <v>214</v>
      </c>
      <c r="FJ816" s="18">
        <v>45723.276666666665</v>
      </c>
      <c r="FK816" s="14" t="s">
        <v>16799</v>
      </c>
      <c r="FL816" s="14" t="s">
        <v>16800</v>
      </c>
      <c r="FM816" s="14" t="s">
        <v>16801</v>
      </c>
      <c r="FN816" s="19"/>
      <c r="FO816" s="19"/>
      <c r="FP816" s="19" t="str">
        <f t="shared" si="1"/>
        <v>Base de Dados_Images/TIT20130.Imagem do Equipamento-.190917.jpg</v>
      </c>
      <c r="FQ816" s="19"/>
      <c r="FR816" s="19"/>
    </row>
    <row r="817" ht="15.75" customHeight="1">
      <c r="A817" s="12" t="s">
        <v>174</v>
      </c>
      <c r="B817" s="22" t="s">
        <v>682</v>
      </c>
      <c r="C817" s="24" t="s">
        <v>375</v>
      </c>
      <c r="D817" s="22" t="s">
        <v>16802</v>
      </c>
      <c r="E817" s="22" t="s">
        <v>16803</v>
      </c>
      <c r="F817" s="13" t="s">
        <v>178</v>
      </c>
      <c r="G817" s="14" t="s">
        <v>179</v>
      </c>
      <c r="H817" s="14" t="s">
        <v>16804</v>
      </c>
      <c r="I817" s="14" t="s">
        <v>179</v>
      </c>
      <c r="J817" s="14" t="s">
        <v>16805</v>
      </c>
      <c r="K817" s="14" t="s">
        <v>179</v>
      </c>
      <c r="L817" s="14" t="s">
        <v>16806</v>
      </c>
      <c r="M817" s="14" t="s">
        <v>179</v>
      </c>
      <c r="N817" s="14" t="s">
        <v>16807</v>
      </c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6" t="s">
        <v>197</v>
      </c>
      <c r="BP817" s="17" t="s">
        <v>198</v>
      </c>
      <c r="BQ817" s="18">
        <v>45698.67606481481</v>
      </c>
      <c r="BR817" s="17" t="s">
        <v>198</v>
      </c>
      <c r="BS817" s="18">
        <v>45698.676145833335</v>
      </c>
      <c r="BT817" s="17" t="s">
        <v>198</v>
      </c>
      <c r="BU817" s="18">
        <v>45698.676145833335</v>
      </c>
      <c r="BV817" s="13" t="s">
        <v>199</v>
      </c>
      <c r="BW817" s="14" t="s">
        <v>179</v>
      </c>
      <c r="BX817" s="14" t="s">
        <v>16808</v>
      </c>
      <c r="BY817" s="14" t="s">
        <v>179</v>
      </c>
      <c r="BZ817" s="14" t="s">
        <v>16809</v>
      </c>
      <c r="CA817" s="14" t="s">
        <v>179</v>
      </c>
      <c r="CB817" s="14" t="s">
        <v>16810</v>
      </c>
      <c r="CC817" s="15"/>
      <c r="CD817" s="15"/>
      <c r="CE817" s="15"/>
      <c r="CF817" s="15"/>
      <c r="CG817" s="19"/>
      <c r="CH817" s="15"/>
      <c r="CI817" s="19"/>
      <c r="CJ817" s="15"/>
      <c r="CK817" s="19"/>
      <c r="CL817" s="15"/>
      <c r="CM817" s="19"/>
      <c r="CN817" s="15"/>
      <c r="CO817" s="19"/>
      <c r="CP817" s="15"/>
      <c r="CQ817" s="15"/>
      <c r="CR817" s="15"/>
      <c r="CS817" s="19"/>
      <c r="CT817" s="15"/>
      <c r="CU817" s="19"/>
      <c r="CV817" s="15"/>
      <c r="CW817" s="19"/>
      <c r="CX817" s="15"/>
      <c r="CY817" s="19"/>
      <c r="CZ817" s="15"/>
      <c r="DA817" s="16" t="s">
        <v>197</v>
      </c>
      <c r="DB817" s="17" t="s">
        <v>228</v>
      </c>
      <c r="DC817" s="16"/>
      <c r="DD817" s="17" t="s">
        <v>198</v>
      </c>
      <c r="DE817" s="18">
        <v>45698.676875</v>
      </c>
      <c r="DF817" s="17" t="s">
        <v>198</v>
      </c>
      <c r="DG817" s="18">
        <v>45698.676875</v>
      </c>
      <c r="DH817" s="13" t="s">
        <v>205</v>
      </c>
      <c r="DI817" s="14" t="s">
        <v>179</v>
      </c>
      <c r="DJ817" s="14" t="s">
        <v>16811</v>
      </c>
      <c r="DK817" s="14" t="s">
        <v>179</v>
      </c>
      <c r="DL817" s="14" t="s">
        <v>16812</v>
      </c>
      <c r="DM817" s="15"/>
      <c r="DN817" s="15"/>
      <c r="DO817" s="15"/>
      <c r="DP817" s="15"/>
      <c r="DQ817" s="15"/>
      <c r="DR817" s="15"/>
      <c r="DS817" s="15"/>
      <c r="DT817" s="15"/>
      <c r="DU817" s="15"/>
      <c r="DV817" s="15"/>
      <c r="DW817" s="15"/>
      <c r="DX817" s="15"/>
      <c r="DY817" s="15"/>
      <c r="DZ817" s="15"/>
      <c r="EA817" s="15"/>
      <c r="EB817" s="15"/>
      <c r="EC817" s="16" t="s">
        <v>197</v>
      </c>
      <c r="ED817" s="17" t="s">
        <v>198</v>
      </c>
      <c r="EE817" s="18">
        <v>45719.47739583333</v>
      </c>
      <c r="EF817" s="13" t="s">
        <v>209</v>
      </c>
      <c r="EG817" s="14" t="s">
        <v>179</v>
      </c>
      <c r="EH817" s="14" t="s">
        <v>16813</v>
      </c>
      <c r="EI817" s="14" t="s">
        <v>179</v>
      </c>
      <c r="EJ817" s="14" t="s">
        <v>16814</v>
      </c>
      <c r="EK817" s="15"/>
      <c r="EL817" s="15"/>
      <c r="EM817" s="15"/>
      <c r="EN817" s="15"/>
      <c r="EO817" s="15"/>
      <c r="EP817" s="15"/>
      <c r="EQ817" s="15"/>
      <c r="ER817" s="15"/>
      <c r="ES817" s="15"/>
      <c r="ET817" s="15"/>
      <c r="EU817" s="15"/>
      <c r="EV817" s="15"/>
      <c r="EW817" s="15"/>
      <c r="EX817" s="15"/>
      <c r="EY817" s="15"/>
      <c r="EZ817" s="15"/>
      <c r="FA817" s="15"/>
      <c r="FB817" s="15"/>
      <c r="FC817" s="16" t="s">
        <v>197</v>
      </c>
      <c r="FD817" s="17" t="s">
        <v>198</v>
      </c>
      <c r="FE817" s="18">
        <v>45723.27732638889</v>
      </c>
      <c r="FF817" s="19"/>
      <c r="FG817" s="19"/>
      <c r="FH817" s="21" t="s">
        <v>197</v>
      </c>
      <c r="FI817" s="17" t="s">
        <v>214</v>
      </c>
      <c r="FJ817" s="18">
        <v>45723.27732638889</v>
      </c>
      <c r="FK817" s="14" t="s">
        <v>16813</v>
      </c>
      <c r="FL817" s="14" t="s">
        <v>16815</v>
      </c>
      <c r="FM817" s="14" t="s">
        <v>16816</v>
      </c>
      <c r="FN817" s="19"/>
      <c r="FO817" s="19"/>
      <c r="FP817" s="19" t="str">
        <f t="shared" si="1"/>
        <v>Base de Dados_Images/TIT20134.Imagem do Equipamento-.191440.jpg</v>
      </c>
      <c r="FQ817" s="14"/>
      <c r="FR817" s="14"/>
    </row>
    <row r="818" ht="15.75" customHeight="1">
      <c r="A818" s="12" t="s">
        <v>174</v>
      </c>
      <c r="B818" s="22" t="s">
        <v>682</v>
      </c>
      <c r="C818" s="24" t="s">
        <v>375</v>
      </c>
      <c r="D818" s="22" t="s">
        <v>16817</v>
      </c>
      <c r="E818" s="22" t="s">
        <v>16818</v>
      </c>
      <c r="F818" s="13" t="s">
        <v>178</v>
      </c>
      <c r="G818" s="14" t="s">
        <v>179</v>
      </c>
      <c r="H818" s="14" t="s">
        <v>16819</v>
      </c>
      <c r="I818" s="14" t="s">
        <v>179</v>
      </c>
      <c r="J818" s="14" t="s">
        <v>16820</v>
      </c>
      <c r="K818" s="14" t="s">
        <v>179</v>
      </c>
      <c r="L818" s="14" t="s">
        <v>16821</v>
      </c>
      <c r="M818" s="14" t="s">
        <v>179</v>
      </c>
      <c r="N818" s="14" t="s">
        <v>16822</v>
      </c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6" t="s">
        <v>197</v>
      </c>
      <c r="BP818" s="17" t="s">
        <v>198</v>
      </c>
      <c r="BQ818" s="18">
        <v>45698.677256944444</v>
      </c>
      <c r="BR818" s="17" t="s">
        <v>198</v>
      </c>
      <c r="BS818" s="18">
        <v>45698.677303240744</v>
      </c>
      <c r="BT818" s="17" t="s">
        <v>198</v>
      </c>
      <c r="BU818" s="18">
        <v>45698.677303240744</v>
      </c>
      <c r="BV818" s="13" t="s">
        <v>199</v>
      </c>
      <c r="BW818" s="14" t="s">
        <v>179</v>
      </c>
      <c r="BX818" s="14" t="s">
        <v>16823</v>
      </c>
      <c r="BY818" s="14" t="s">
        <v>179</v>
      </c>
      <c r="BZ818" s="14" t="s">
        <v>16824</v>
      </c>
      <c r="CA818" s="14" t="s">
        <v>179</v>
      </c>
      <c r="CB818" s="14" t="s">
        <v>16825</v>
      </c>
      <c r="CC818" s="15"/>
      <c r="CD818" s="15"/>
      <c r="CE818" s="15"/>
      <c r="CF818" s="15"/>
      <c r="CG818" s="19"/>
      <c r="CH818" s="15"/>
      <c r="CI818" s="19"/>
      <c r="CJ818" s="15"/>
      <c r="CK818" s="19"/>
      <c r="CL818" s="15"/>
      <c r="CM818" s="19"/>
      <c r="CN818" s="15"/>
      <c r="CO818" s="19"/>
      <c r="CP818" s="15"/>
      <c r="CQ818" s="15"/>
      <c r="CR818" s="15"/>
      <c r="CS818" s="19"/>
      <c r="CT818" s="15"/>
      <c r="CU818" s="19"/>
      <c r="CV818" s="15"/>
      <c r="CW818" s="19"/>
      <c r="CX818" s="15"/>
      <c r="CY818" s="19"/>
      <c r="CZ818" s="15"/>
      <c r="DA818" s="16" t="s">
        <v>197</v>
      </c>
      <c r="DB818" s="17" t="s">
        <v>228</v>
      </c>
      <c r="DC818" s="16"/>
      <c r="DD818" s="17" t="s">
        <v>198</v>
      </c>
      <c r="DE818" s="18">
        <v>45698.677407407406</v>
      </c>
      <c r="DF818" s="17" t="s">
        <v>198</v>
      </c>
      <c r="DG818" s="18">
        <v>45698.677407407406</v>
      </c>
      <c r="DH818" s="13" t="s">
        <v>205</v>
      </c>
      <c r="DI818" s="14" t="s">
        <v>179</v>
      </c>
      <c r="DJ818" s="14" t="s">
        <v>16826</v>
      </c>
      <c r="DK818" s="14" t="s">
        <v>179</v>
      </c>
      <c r="DL818" s="14" t="s">
        <v>16827</v>
      </c>
      <c r="DM818" s="15"/>
      <c r="DN818" s="15"/>
      <c r="DO818" s="15"/>
      <c r="DP818" s="15"/>
      <c r="DQ818" s="15"/>
      <c r="DR818" s="15"/>
      <c r="DS818" s="15"/>
      <c r="DT818" s="15"/>
      <c r="DU818" s="15"/>
      <c r="DV818" s="15"/>
      <c r="DW818" s="15"/>
      <c r="DX818" s="15"/>
      <c r="DY818" s="15"/>
      <c r="DZ818" s="15"/>
      <c r="EA818" s="15"/>
      <c r="EB818" s="15"/>
      <c r="EC818" s="16" t="s">
        <v>197</v>
      </c>
      <c r="ED818" s="17" t="s">
        <v>198</v>
      </c>
      <c r="EE818" s="18">
        <v>45719.47746527778</v>
      </c>
      <c r="EF818" s="13" t="s">
        <v>209</v>
      </c>
      <c r="EG818" s="14" t="s">
        <v>179</v>
      </c>
      <c r="EH818" s="14" t="s">
        <v>16828</v>
      </c>
      <c r="EI818" s="14" t="s">
        <v>179</v>
      </c>
      <c r="EJ818" s="14" t="s">
        <v>16829</v>
      </c>
      <c r="EK818" s="15"/>
      <c r="EL818" s="15"/>
      <c r="EM818" s="15"/>
      <c r="EN818" s="15"/>
      <c r="EO818" s="15"/>
      <c r="EP818" s="15"/>
      <c r="EQ818" s="15"/>
      <c r="ER818" s="15"/>
      <c r="ES818" s="15"/>
      <c r="ET818" s="15"/>
      <c r="EU818" s="15"/>
      <c r="EV818" s="15"/>
      <c r="EW818" s="15"/>
      <c r="EX818" s="15"/>
      <c r="EY818" s="15"/>
      <c r="EZ818" s="15"/>
      <c r="FA818" s="15"/>
      <c r="FB818" s="15"/>
      <c r="FC818" s="16" t="s">
        <v>197</v>
      </c>
      <c r="FD818" s="17" t="s">
        <v>198</v>
      </c>
      <c r="FE818" s="18">
        <v>45723.277395833335</v>
      </c>
      <c r="FF818" s="19"/>
      <c r="FG818" s="19"/>
      <c r="FH818" s="21" t="s">
        <v>197</v>
      </c>
      <c r="FI818" s="17" t="s">
        <v>214</v>
      </c>
      <c r="FJ818" s="18">
        <v>45723.277395833335</v>
      </c>
      <c r="FK818" s="14" t="s">
        <v>16828</v>
      </c>
      <c r="FL818" s="14" t="s">
        <v>16830</v>
      </c>
      <c r="FM818" s="14" t="s">
        <v>16831</v>
      </c>
      <c r="FN818" s="19"/>
      <c r="FO818" s="19"/>
      <c r="FP818" s="19" t="str">
        <f t="shared" si="1"/>
        <v>Base de Dados_Images/TIT20135.Imagem do Equipamento-.191716.jpg</v>
      </c>
      <c r="FQ818" s="14"/>
      <c r="FR818" s="14"/>
    </row>
    <row r="819" ht="15.75" customHeight="1">
      <c r="A819" s="12" t="s">
        <v>174</v>
      </c>
      <c r="B819" s="22" t="s">
        <v>682</v>
      </c>
      <c r="C819" s="24" t="s">
        <v>375</v>
      </c>
      <c r="D819" s="22" t="s">
        <v>16832</v>
      </c>
      <c r="E819" s="22" t="s">
        <v>16833</v>
      </c>
      <c r="F819" s="13" t="s">
        <v>178</v>
      </c>
      <c r="G819" s="14" t="s">
        <v>179</v>
      </c>
      <c r="H819" s="14" t="s">
        <v>16834</v>
      </c>
      <c r="I819" s="14" t="s">
        <v>179</v>
      </c>
      <c r="J819" s="14" t="s">
        <v>16835</v>
      </c>
      <c r="K819" s="14" t="s">
        <v>179</v>
      </c>
      <c r="L819" s="14" t="s">
        <v>16836</v>
      </c>
      <c r="M819" s="14" t="s">
        <v>179</v>
      </c>
      <c r="N819" s="14" t="s">
        <v>16837</v>
      </c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6" t="s">
        <v>197</v>
      </c>
      <c r="BP819" s="17" t="s">
        <v>198</v>
      </c>
      <c r="BQ819" s="18">
        <v>45698.67868055555</v>
      </c>
      <c r="BR819" s="17" t="s">
        <v>198</v>
      </c>
      <c r="BS819" s="18">
        <v>45698.67873842592</v>
      </c>
      <c r="BT819" s="17" t="s">
        <v>198</v>
      </c>
      <c r="BU819" s="18">
        <v>45698.67873842592</v>
      </c>
      <c r="BV819" s="13" t="s">
        <v>199</v>
      </c>
      <c r="BW819" s="14" t="s">
        <v>179</v>
      </c>
      <c r="BX819" s="14" t="s">
        <v>16838</v>
      </c>
      <c r="BY819" s="14" t="s">
        <v>179</v>
      </c>
      <c r="BZ819" s="14" t="s">
        <v>16839</v>
      </c>
      <c r="CA819" s="14" t="s">
        <v>179</v>
      </c>
      <c r="CB819" s="14" t="s">
        <v>16840</v>
      </c>
      <c r="CC819" s="15"/>
      <c r="CD819" s="15"/>
      <c r="CE819" s="15"/>
      <c r="CF819" s="15"/>
      <c r="CG819" s="19"/>
      <c r="CH819" s="15"/>
      <c r="CI819" s="19"/>
      <c r="CJ819" s="15"/>
      <c r="CK819" s="19"/>
      <c r="CL819" s="15"/>
      <c r="CM819" s="19"/>
      <c r="CN819" s="15"/>
      <c r="CO819" s="19"/>
      <c r="CP819" s="15"/>
      <c r="CQ819" s="15"/>
      <c r="CR819" s="15"/>
      <c r="CS819" s="19"/>
      <c r="CT819" s="15"/>
      <c r="CU819" s="19"/>
      <c r="CV819" s="15"/>
      <c r="CW819" s="19"/>
      <c r="CX819" s="15"/>
      <c r="CY819" s="19"/>
      <c r="CZ819" s="15"/>
      <c r="DA819" s="16" t="s">
        <v>197</v>
      </c>
      <c r="DB819" s="17" t="s">
        <v>228</v>
      </c>
      <c r="DC819" s="16"/>
      <c r="DD819" s="17" t="s">
        <v>198</v>
      </c>
      <c r="DE819" s="18">
        <v>45698.67884259259</v>
      </c>
      <c r="DF819" s="17" t="s">
        <v>198</v>
      </c>
      <c r="DG819" s="18">
        <v>45698.67884259259</v>
      </c>
      <c r="DH819" s="13" t="s">
        <v>205</v>
      </c>
      <c r="DI819" s="14" t="s">
        <v>179</v>
      </c>
      <c r="DJ819" s="14" t="s">
        <v>16841</v>
      </c>
      <c r="DK819" s="14" t="s">
        <v>179</v>
      </c>
      <c r="DL819" s="14" t="s">
        <v>16842</v>
      </c>
      <c r="DM819" s="15"/>
      <c r="DN819" s="15"/>
      <c r="DO819" s="15"/>
      <c r="DP819" s="15"/>
      <c r="DQ819" s="15"/>
      <c r="DR819" s="15"/>
      <c r="DS819" s="15"/>
      <c r="DT819" s="15"/>
      <c r="DU819" s="15"/>
      <c r="DV819" s="15"/>
      <c r="DW819" s="15"/>
      <c r="DX819" s="15"/>
      <c r="DY819" s="15"/>
      <c r="DZ819" s="15"/>
      <c r="EA819" s="15"/>
      <c r="EB819" s="15"/>
      <c r="EC819" s="16" t="s">
        <v>197</v>
      </c>
      <c r="ED819" s="17" t="s">
        <v>198</v>
      </c>
      <c r="EE819" s="18">
        <v>45719.47754629629</v>
      </c>
      <c r="EF819" s="13" t="s">
        <v>209</v>
      </c>
      <c r="EG819" s="14" t="s">
        <v>179</v>
      </c>
      <c r="EH819" s="14" t="s">
        <v>16843</v>
      </c>
      <c r="EI819" s="14" t="s">
        <v>179</v>
      </c>
      <c r="EJ819" s="14" t="s">
        <v>16843</v>
      </c>
      <c r="EK819" s="15"/>
      <c r="EL819" s="15"/>
      <c r="EM819" s="15"/>
      <c r="EN819" s="15"/>
      <c r="EO819" s="15"/>
      <c r="EP819" s="15"/>
      <c r="EQ819" s="15"/>
      <c r="ER819" s="15"/>
      <c r="ES819" s="15"/>
      <c r="ET819" s="15"/>
      <c r="EU819" s="15"/>
      <c r="EV819" s="15"/>
      <c r="EW819" s="15"/>
      <c r="EX819" s="15"/>
      <c r="EY819" s="15"/>
      <c r="EZ819" s="15"/>
      <c r="FA819" s="15"/>
      <c r="FB819" s="15"/>
      <c r="FC819" s="16" t="s">
        <v>197</v>
      </c>
      <c r="FD819" s="17" t="s">
        <v>198</v>
      </c>
      <c r="FE819" s="18">
        <v>45723.277453703704</v>
      </c>
      <c r="FF819" s="19"/>
      <c r="FG819" s="19"/>
      <c r="FH819" s="21" t="s">
        <v>197</v>
      </c>
      <c r="FI819" s="17" t="s">
        <v>214</v>
      </c>
      <c r="FJ819" s="18">
        <v>45723.277453703704</v>
      </c>
      <c r="FK819" s="14" t="s">
        <v>16843</v>
      </c>
      <c r="FL819" s="14" t="s">
        <v>16844</v>
      </c>
      <c r="FM819" s="14" t="s">
        <v>16845</v>
      </c>
      <c r="FN819" s="19"/>
      <c r="FO819" s="19"/>
      <c r="FP819" s="19" t="str">
        <f t="shared" si="1"/>
        <v>Base de Dados_Images/TIT20136.Imagem do Equipamento-.191803.jpg</v>
      </c>
      <c r="FQ819" s="14"/>
      <c r="FR819" s="14"/>
    </row>
    <row r="820" ht="15.75" customHeight="1">
      <c r="A820" s="12" t="s">
        <v>174</v>
      </c>
      <c r="B820" s="22" t="s">
        <v>13616</v>
      </c>
      <c r="C820" s="24" t="s">
        <v>375</v>
      </c>
      <c r="D820" s="22" t="s">
        <v>16846</v>
      </c>
      <c r="E820" s="22" t="s">
        <v>16847</v>
      </c>
      <c r="F820" s="13" t="s">
        <v>178</v>
      </c>
      <c r="G820" s="14" t="s">
        <v>179</v>
      </c>
      <c r="H820" s="14" t="s">
        <v>16848</v>
      </c>
      <c r="I820" s="14" t="s">
        <v>179</v>
      </c>
      <c r="J820" s="14" t="s">
        <v>16848</v>
      </c>
      <c r="K820" s="14" t="s">
        <v>179</v>
      </c>
      <c r="L820" s="14" t="s">
        <v>16849</v>
      </c>
      <c r="M820" s="14" t="s">
        <v>179</v>
      </c>
      <c r="N820" s="14" t="s">
        <v>16850</v>
      </c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6" t="s">
        <v>197</v>
      </c>
      <c r="BP820" s="17" t="s">
        <v>198</v>
      </c>
      <c r="BQ820" s="18">
        <v>45698.684479166666</v>
      </c>
      <c r="BR820" s="17" t="s">
        <v>198</v>
      </c>
      <c r="BS820" s="18">
        <v>45698.68451388889</v>
      </c>
      <c r="BT820" s="17" t="s">
        <v>198</v>
      </c>
      <c r="BU820" s="18">
        <v>45698.68451388889</v>
      </c>
      <c r="BV820" s="13" t="s">
        <v>199</v>
      </c>
      <c r="BW820" s="14" t="s">
        <v>179</v>
      </c>
      <c r="BX820" s="14" t="s">
        <v>16851</v>
      </c>
      <c r="BY820" s="14" t="s">
        <v>179</v>
      </c>
      <c r="BZ820" s="14" t="s">
        <v>16852</v>
      </c>
      <c r="CA820" s="14" t="s">
        <v>179</v>
      </c>
      <c r="CB820" s="14" t="s">
        <v>16853</v>
      </c>
      <c r="CC820" s="15"/>
      <c r="CD820" s="15"/>
      <c r="CE820" s="15"/>
      <c r="CF820" s="15"/>
      <c r="CG820" s="19"/>
      <c r="CH820" s="15"/>
      <c r="CI820" s="19"/>
      <c r="CJ820" s="15"/>
      <c r="CK820" s="19"/>
      <c r="CL820" s="15"/>
      <c r="CM820" s="19"/>
      <c r="CN820" s="15"/>
      <c r="CO820" s="19"/>
      <c r="CP820" s="15"/>
      <c r="CQ820" s="15"/>
      <c r="CR820" s="15"/>
      <c r="CS820" s="19"/>
      <c r="CT820" s="15"/>
      <c r="CU820" s="19"/>
      <c r="CV820" s="15"/>
      <c r="CW820" s="19"/>
      <c r="CX820" s="15"/>
      <c r="CY820" s="19"/>
      <c r="CZ820" s="15"/>
      <c r="DA820" s="16" t="s">
        <v>197</v>
      </c>
      <c r="DB820" s="17" t="s">
        <v>228</v>
      </c>
      <c r="DC820" s="16"/>
      <c r="DD820" s="17" t="s">
        <v>198</v>
      </c>
      <c r="DE820" s="18">
        <v>45698.68461805556</v>
      </c>
      <c r="DF820" s="17" t="s">
        <v>198</v>
      </c>
      <c r="DG820" s="18">
        <v>45698.68461805556</v>
      </c>
      <c r="DH820" s="13" t="s">
        <v>205</v>
      </c>
      <c r="DI820" s="14" t="s">
        <v>179</v>
      </c>
      <c r="DJ820" s="14" t="s">
        <v>16854</v>
      </c>
      <c r="DK820" s="14" t="s">
        <v>179</v>
      </c>
      <c r="DL820" s="14" t="s">
        <v>16855</v>
      </c>
      <c r="DM820" s="15"/>
      <c r="DN820" s="15"/>
      <c r="DO820" s="15"/>
      <c r="DP820" s="15"/>
      <c r="DQ820" s="15"/>
      <c r="DR820" s="15"/>
      <c r="DS820" s="15"/>
      <c r="DT820" s="15"/>
      <c r="DU820" s="15"/>
      <c r="DV820" s="15"/>
      <c r="DW820" s="15"/>
      <c r="DX820" s="15"/>
      <c r="DY820" s="15"/>
      <c r="DZ820" s="15"/>
      <c r="EA820" s="15"/>
      <c r="EB820" s="15"/>
      <c r="EC820" s="16" t="s">
        <v>197</v>
      </c>
      <c r="ED820" s="17" t="s">
        <v>198</v>
      </c>
      <c r="EE820" s="18">
        <v>45719.478159722225</v>
      </c>
      <c r="EF820" s="13" t="s">
        <v>209</v>
      </c>
      <c r="EG820" s="14" t="s">
        <v>179</v>
      </c>
      <c r="EH820" s="14" t="s">
        <v>16856</v>
      </c>
      <c r="EI820" s="14" t="s">
        <v>179</v>
      </c>
      <c r="EJ820" s="14" t="s">
        <v>16856</v>
      </c>
      <c r="EK820" s="15"/>
      <c r="EL820" s="15"/>
      <c r="EM820" s="15"/>
      <c r="EN820" s="15"/>
      <c r="EO820" s="15"/>
      <c r="EP820" s="15"/>
      <c r="EQ820" s="15"/>
      <c r="ER820" s="15"/>
      <c r="ES820" s="15"/>
      <c r="ET820" s="15"/>
      <c r="EU820" s="15"/>
      <c r="EV820" s="15"/>
      <c r="EW820" s="15"/>
      <c r="EX820" s="15"/>
      <c r="EY820" s="15"/>
      <c r="EZ820" s="15"/>
      <c r="FA820" s="15"/>
      <c r="FB820" s="15"/>
      <c r="FC820" s="16" t="s">
        <v>197</v>
      </c>
      <c r="FD820" s="17" t="s">
        <v>198</v>
      </c>
      <c r="FE820" s="18">
        <v>45723.27806712963</v>
      </c>
      <c r="FF820" s="19"/>
      <c r="FG820" s="19"/>
      <c r="FH820" s="21" t="s">
        <v>197</v>
      </c>
      <c r="FI820" s="17" t="s">
        <v>214</v>
      </c>
      <c r="FJ820" s="18">
        <v>45723.27806712963</v>
      </c>
      <c r="FK820" s="14" t="s">
        <v>16856</v>
      </c>
      <c r="FL820" s="14" t="s">
        <v>16857</v>
      </c>
      <c r="FM820" s="14" t="s">
        <v>16858</v>
      </c>
      <c r="FN820" s="19"/>
      <c r="FO820" s="19"/>
      <c r="FP820" s="19" t="str">
        <f t="shared" si="1"/>
        <v>Base de Dados_Images/TIT20137.Imagem do Equipamento-.192644.jpg</v>
      </c>
      <c r="FQ820" s="14"/>
      <c r="FR820" s="14"/>
    </row>
    <row r="821" ht="15.75" customHeight="1">
      <c r="A821" s="12" t="s">
        <v>174</v>
      </c>
      <c r="B821" s="22" t="s">
        <v>13616</v>
      </c>
      <c r="C821" s="24" t="s">
        <v>375</v>
      </c>
      <c r="D821" s="22" t="s">
        <v>16859</v>
      </c>
      <c r="E821" s="22" t="s">
        <v>16860</v>
      </c>
      <c r="F821" s="13" t="s">
        <v>178</v>
      </c>
      <c r="G821" s="14" t="s">
        <v>179</v>
      </c>
      <c r="H821" s="14" t="s">
        <v>16861</v>
      </c>
      <c r="I821" s="14" t="s">
        <v>179</v>
      </c>
      <c r="J821" s="14" t="s">
        <v>16862</v>
      </c>
      <c r="K821" s="14" t="s">
        <v>179</v>
      </c>
      <c r="L821" s="14" t="s">
        <v>16863</v>
      </c>
      <c r="M821" s="14" t="s">
        <v>179</v>
      </c>
      <c r="N821" s="14" t="s">
        <v>16864</v>
      </c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6" t="s">
        <v>197</v>
      </c>
      <c r="BP821" s="17" t="s">
        <v>198</v>
      </c>
      <c r="BQ821" s="18">
        <v>45698.685752314814</v>
      </c>
      <c r="BR821" s="17" t="s">
        <v>198</v>
      </c>
      <c r="BS821" s="18">
        <v>45698.68581018518</v>
      </c>
      <c r="BT821" s="17" t="s">
        <v>198</v>
      </c>
      <c r="BU821" s="18">
        <v>45698.68581018518</v>
      </c>
      <c r="BV821" s="13" t="s">
        <v>199</v>
      </c>
      <c r="BW821" s="14" t="s">
        <v>179</v>
      </c>
      <c r="BX821" s="14" t="s">
        <v>16865</v>
      </c>
      <c r="BY821" s="14" t="s">
        <v>179</v>
      </c>
      <c r="BZ821" s="14" t="s">
        <v>16866</v>
      </c>
      <c r="CA821" s="14" t="s">
        <v>179</v>
      </c>
      <c r="CB821" s="14" t="s">
        <v>16867</v>
      </c>
      <c r="CC821" s="15"/>
      <c r="CD821" s="15"/>
      <c r="CE821" s="15"/>
      <c r="CF821" s="15"/>
      <c r="CG821" s="19"/>
      <c r="CH821" s="15"/>
      <c r="CI821" s="19"/>
      <c r="CJ821" s="15"/>
      <c r="CK821" s="19"/>
      <c r="CL821" s="15"/>
      <c r="CM821" s="19"/>
      <c r="CN821" s="15"/>
      <c r="CO821" s="19"/>
      <c r="CP821" s="15"/>
      <c r="CQ821" s="15"/>
      <c r="CR821" s="15"/>
      <c r="CS821" s="19"/>
      <c r="CT821" s="15"/>
      <c r="CU821" s="19"/>
      <c r="CV821" s="15"/>
      <c r="CW821" s="19"/>
      <c r="CX821" s="15"/>
      <c r="CY821" s="19"/>
      <c r="CZ821" s="15"/>
      <c r="DA821" s="16" t="s">
        <v>197</v>
      </c>
      <c r="DB821" s="17" t="s">
        <v>228</v>
      </c>
      <c r="DC821" s="16"/>
      <c r="DD821" s="17" t="s">
        <v>198</v>
      </c>
      <c r="DE821" s="18">
        <v>45698.685891203706</v>
      </c>
      <c r="DF821" s="17" t="s">
        <v>198</v>
      </c>
      <c r="DG821" s="18">
        <v>45698.685891203706</v>
      </c>
      <c r="DH821" s="13" t="s">
        <v>205</v>
      </c>
      <c r="DI821" s="14" t="s">
        <v>179</v>
      </c>
      <c r="DJ821" s="14" t="s">
        <v>16868</v>
      </c>
      <c r="DK821" s="14" t="s">
        <v>179</v>
      </c>
      <c r="DL821" s="14" t="s">
        <v>16869</v>
      </c>
      <c r="DM821" s="15"/>
      <c r="DN821" s="15"/>
      <c r="DO821" s="15"/>
      <c r="DP821" s="15"/>
      <c r="DQ821" s="15"/>
      <c r="DR821" s="15"/>
      <c r="DS821" s="15"/>
      <c r="DT821" s="15"/>
      <c r="DU821" s="15"/>
      <c r="DV821" s="15"/>
      <c r="DW821" s="15"/>
      <c r="DX821" s="15"/>
      <c r="DY821" s="15"/>
      <c r="DZ821" s="15"/>
      <c r="EA821" s="15"/>
      <c r="EB821" s="15"/>
      <c r="EC821" s="16" t="s">
        <v>197</v>
      </c>
      <c r="ED821" s="17" t="s">
        <v>198</v>
      </c>
      <c r="EE821" s="18">
        <v>45719.47825231482</v>
      </c>
      <c r="EF821" s="13" t="s">
        <v>209</v>
      </c>
      <c r="EG821" s="14" t="s">
        <v>179</v>
      </c>
      <c r="EH821" s="14" t="s">
        <v>16870</v>
      </c>
      <c r="EI821" s="14" t="s">
        <v>179</v>
      </c>
      <c r="EJ821" s="14" t="s">
        <v>16870</v>
      </c>
      <c r="EK821" s="15"/>
      <c r="EL821" s="15"/>
      <c r="EM821" s="15"/>
      <c r="EN821" s="15"/>
      <c r="EO821" s="15"/>
      <c r="EP821" s="15"/>
      <c r="EQ821" s="15"/>
      <c r="ER821" s="15"/>
      <c r="ES821" s="15"/>
      <c r="ET821" s="15"/>
      <c r="EU821" s="15"/>
      <c r="EV821" s="15"/>
      <c r="EW821" s="15"/>
      <c r="EX821" s="15"/>
      <c r="EY821" s="15"/>
      <c r="EZ821" s="15"/>
      <c r="FA821" s="15"/>
      <c r="FB821" s="15"/>
      <c r="FC821" s="16" t="s">
        <v>197</v>
      </c>
      <c r="FD821" s="17" t="s">
        <v>198</v>
      </c>
      <c r="FE821" s="18">
        <v>45723.27814814815</v>
      </c>
      <c r="FF821" s="19"/>
      <c r="FG821" s="19"/>
      <c r="FH821" s="21" t="s">
        <v>197</v>
      </c>
      <c r="FI821" s="17" t="s">
        <v>214</v>
      </c>
      <c r="FJ821" s="18">
        <v>45723.27814814815</v>
      </c>
      <c r="FK821" s="14" t="s">
        <v>16870</v>
      </c>
      <c r="FL821" s="14" t="s">
        <v>16871</v>
      </c>
      <c r="FM821" s="14" t="s">
        <v>16872</v>
      </c>
      <c r="FN821" s="19"/>
      <c r="FO821" s="19"/>
      <c r="FP821" s="19" t="str">
        <f t="shared" si="1"/>
        <v>Base de Dados_Images/TIT20138.Imagem do Equipamento-.192728.jpg</v>
      </c>
      <c r="FQ821" s="19"/>
      <c r="FR821" s="19"/>
    </row>
    <row r="822" ht="15.75" customHeight="1">
      <c r="A822" s="12" t="s">
        <v>174</v>
      </c>
      <c r="B822" s="22" t="s">
        <v>13616</v>
      </c>
      <c r="C822" s="24" t="s">
        <v>375</v>
      </c>
      <c r="D822" s="22" t="s">
        <v>16873</v>
      </c>
      <c r="E822" s="22" t="s">
        <v>16874</v>
      </c>
      <c r="F822" s="13" t="s">
        <v>178</v>
      </c>
      <c r="G822" s="14" t="s">
        <v>179</v>
      </c>
      <c r="H822" s="14" t="s">
        <v>16875</v>
      </c>
      <c r="I822" s="14" t="s">
        <v>179</v>
      </c>
      <c r="J822" s="14" t="s">
        <v>16876</v>
      </c>
      <c r="K822" s="14" t="s">
        <v>179</v>
      </c>
      <c r="L822" s="14" t="s">
        <v>16877</v>
      </c>
      <c r="M822" s="14" t="s">
        <v>179</v>
      </c>
      <c r="N822" s="14" t="s">
        <v>16878</v>
      </c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6" t="s">
        <v>197</v>
      </c>
      <c r="BP822" s="17" t="s">
        <v>198</v>
      </c>
      <c r="BQ822" s="18">
        <v>45698.686319444445</v>
      </c>
      <c r="BR822" s="17" t="s">
        <v>198</v>
      </c>
      <c r="BS822" s="18">
        <v>45698.686527777776</v>
      </c>
      <c r="BT822" s="17" t="s">
        <v>198</v>
      </c>
      <c r="BU822" s="18">
        <v>45698.686527777776</v>
      </c>
      <c r="BV822" s="13" t="s">
        <v>199</v>
      </c>
      <c r="BW822" s="14" t="s">
        <v>179</v>
      </c>
      <c r="BX822" s="14" t="s">
        <v>16879</v>
      </c>
      <c r="BY822" s="14" t="s">
        <v>179</v>
      </c>
      <c r="BZ822" s="14" t="s">
        <v>16880</v>
      </c>
      <c r="CA822" s="14" t="s">
        <v>179</v>
      </c>
      <c r="CB822" s="14" t="s">
        <v>16881</v>
      </c>
      <c r="CC822" s="15"/>
      <c r="CD822" s="15"/>
      <c r="CE822" s="15"/>
      <c r="CF822" s="15"/>
      <c r="CG822" s="19"/>
      <c r="CH822" s="15"/>
      <c r="CI822" s="19"/>
      <c r="CJ822" s="15"/>
      <c r="CK822" s="19"/>
      <c r="CL822" s="15"/>
      <c r="CM822" s="19"/>
      <c r="CN822" s="15"/>
      <c r="CO822" s="19"/>
      <c r="CP822" s="15"/>
      <c r="CQ822" s="15"/>
      <c r="CR822" s="15"/>
      <c r="CS822" s="19"/>
      <c r="CT822" s="15"/>
      <c r="CU822" s="19"/>
      <c r="CV822" s="15"/>
      <c r="CW822" s="19"/>
      <c r="CX822" s="15"/>
      <c r="CY822" s="19"/>
      <c r="CZ822" s="15"/>
      <c r="DA822" s="16" t="s">
        <v>197</v>
      </c>
      <c r="DB822" s="17" t="s">
        <v>228</v>
      </c>
      <c r="DC822" s="16"/>
      <c r="DD822" s="17" t="s">
        <v>198</v>
      </c>
      <c r="DE822" s="18">
        <v>45698.68667824074</v>
      </c>
      <c r="DF822" s="17" t="s">
        <v>198</v>
      </c>
      <c r="DG822" s="18">
        <v>45698.68667824074</v>
      </c>
      <c r="DH822" s="13" t="s">
        <v>205</v>
      </c>
      <c r="DI822" s="14" t="s">
        <v>179</v>
      </c>
      <c r="DJ822" s="14" t="s">
        <v>16882</v>
      </c>
      <c r="DK822" s="14" t="s">
        <v>179</v>
      </c>
      <c r="DL822" s="14" t="s">
        <v>16883</v>
      </c>
      <c r="DM822" s="15"/>
      <c r="DN822" s="15"/>
      <c r="DO822" s="15"/>
      <c r="DP822" s="15"/>
      <c r="DQ822" s="15"/>
      <c r="DR822" s="15"/>
      <c r="DS822" s="15"/>
      <c r="DT822" s="15"/>
      <c r="DU822" s="15"/>
      <c r="DV822" s="15"/>
      <c r="DW822" s="15"/>
      <c r="DX822" s="15"/>
      <c r="DY822" s="15"/>
      <c r="DZ822" s="15"/>
      <c r="EA822" s="15"/>
      <c r="EB822" s="15"/>
      <c r="EC822" s="16" t="s">
        <v>197</v>
      </c>
      <c r="ED822" s="17" t="s">
        <v>198</v>
      </c>
      <c r="EE822" s="18">
        <v>45719.47833333333</v>
      </c>
      <c r="EF822" s="13" t="s">
        <v>209</v>
      </c>
      <c r="EG822" s="14" t="s">
        <v>179</v>
      </c>
      <c r="EH822" s="14" t="s">
        <v>16884</v>
      </c>
      <c r="EI822" s="14" t="s">
        <v>179</v>
      </c>
      <c r="EJ822" s="14" t="s">
        <v>16885</v>
      </c>
      <c r="EK822" s="15"/>
      <c r="EL822" s="15"/>
      <c r="EM822" s="15"/>
      <c r="EN822" s="15"/>
      <c r="EO822" s="15"/>
      <c r="EP822" s="15"/>
      <c r="EQ822" s="15"/>
      <c r="ER822" s="15"/>
      <c r="ES822" s="15"/>
      <c r="ET822" s="15"/>
      <c r="EU822" s="15"/>
      <c r="EV822" s="15"/>
      <c r="EW822" s="15"/>
      <c r="EX822" s="15"/>
      <c r="EY822" s="15"/>
      <c r="EZ822" s="15"/>
      <c r="FA822" s="15"/>
      <c r="FB822" s="15"/>
      <c r="FC822" s="16" t="s">
        <v>197</v>
      </c>
      <c r="FD822" s="17" t="s">
        <v>198</v>
      </c>
      <c r="FE822" s="18">
        <v>45723.27821759259</v>
      </c>
      <c r="FF822" s="19"/>
      <c r="FG822" s="19"/>
      <c r="FH822" s="21" t="s">
        <v>197</v>
      </c>
      <c r="FI822" s="17" t="s">
        <v>214</v>
      </c>
      <c r="FJ822" s="18">
        <v>45723.27821759259</v>
      </c>
      <c r="FK822" s="14" t="s">
        <v>16884</v>
      </c>
      <c r="FL822" s="14" t="s">
        <v>16886</v>
      </c>
      <c r="FM822" s="14" t="s">
        <v>16887</v>
      </c>
      <c r="FN822" s="19"/>
      <c r="FO822" s="19"/>
      <c r="FP822" s="19" t="str">
        <f t="shared" si="1"/>
        <v>Base de Dados_Images/TIT20139.Imagem do Equipamento-.192924.jpg</v>
      </c>
      <c r="FQ822" s="14"/>
      <c r="FR822" s="14"/>
    </row>
    <row r="823" ht="15.75" customHeight="1">
      <c r="A823" s="12" t="s">
        <v>174</v>
      </c>
      <c r="B823" s="22" t="s">
        <v>13616</v>
      </c>
      <c r="C823" s="24" t="s">
        <v>375</v>
      </c>
      <c r="D823" s="22" t="s">
        <v>16888</v>
      </c>
      <c r="E823" s="22" t="s">
        <v>16889</v>
      </c>
      <c r="F823" s="13" t="s">
        <v>178</v>
      </c>
      <c r="G823" s="14" t="s">
        <v>179</v>
      </c>
      <c r="H823" s="14" t="s">
        <v>16890</v>
      </c>
      <c r="I823" s="14" t="s">
        <v>179</v>
      </c>
      <c r="J823" s="14" t="s">
        <v>16891</v>
      </c>
      <c r="K823" s="14" t="s">
        <v>179</v>
      </c>
      <c r="L823" s="14" t="s">
        <v>16892</v>
      </c>
      <c r="M823" s="14" t="s">
        <v>179</v>
      </c>
      <c r="N823" s="14" t="s">
        <v>16893</v>
      </c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6" t="s">
        <v>197</v>
      </c>
      <c r="BP823" s="17" t="s">
        <v>198</v>
      </c>
      <c r="BQ823" s="18">
        <v>45698.68724537037</v>
      </c>
      <c r="BR823" s="17" t="s">
        <v>198</v>
      </c>
      <c r="BS823" s="18">
        <v>45698.68730324074</v>
      </c>
      <c r="BT823" s="17" t="s">
        <v>198</v>
      </c>
      <c r="BU823" s="18">
        <v>45698.68730324074</v>
      </c>
      <c r="BV823" s="13" t="s">
        <v>199</v>
      </c>
      <c r="BW823" s="14" t="s">
        <v>179</v>
      </c>
      <c r="BX823" s="14" t="s">
        <v>16894</v>
      </c>
      <c r="BY823" s="14" t="s">
        <v>179</v>
      </c>
      <c r="BZ823" s="14" t="s">
        <v>16895</v>
      </c>
      <c r="CA823" s="14" t="s">
        <v>179</v>
      </c>
      <c r="CB823" s="14" t="s">
        <v>16896</v>
      </c>
      <c r="CC823" s="15"/>
      <c r="CD823" s="15"/>
      <c r="CE823" s="15"/>
      <c r="CF823" s="15"/>
      <c r="CG823" s="19"/>
      <c r="CH823" s="15"/>
      <c r="CI823" s="19"/>
      <c r="CJ823" s="15"/>
      <c r="CK823" s="19"/>
      <c r="CL823" s="15"/>
      <c r="CM823" s="19"/>
      <c r="CN823" s="15"/>
      <c r="CO823" s="19"/>
      <c r="CP823" s="15"/>
      <c r="CQ823" s="15"/>
      <c r="CR823" s="15"/>
      <c r="CS823" s="19"/>
      <c r="CT823" s="15"/>
      <c r="CU823" s="19"/>
      <c r="CV823" s="15"/>
      <c r="CW823" s="19"/>
      <c r="CX823" s="15"/>
      <c r="CY823" s="19"/>
      <c r="CZ823" s="15"/>
      <c r="DA823" s="16" t="s">
        <v>197</v>
      </c>
      <c r="DB823" s="17" t="s">
        <v>228</v>
      </c>
      <c r="DC823" s="16"/>
      <c r="DD823" s="17" t="s">
        <v>198</v>
      </c>
      <c r="DE823" s="18">
        <v>45698.68740740741</v>
      </c>
      <c r="DF823" s="17" t="s">
        <v>198</v>
      </c>
      <c r="DG823" s="18">
        <v>45698.68740740741</v>
      </c>
      <c r="DH823" s="13" t="s">
        <v>205</v>
      </c>
      <c r="DI823" s="14" t="s">
        <v>179</v>
      </c>
      <c r="DJ823" s="14" t="s">
        <v>16897</v>
      </c>
      <c r="DK823" s="14" t="s">
        <v>179</v>
      </c>
      <c r="DL823" s="14" t="s">
        <v>16898</v>
      </c>
      <c r="DM823" s="15"/>
      <c r="DN823" s="15"/>
      <c r="DO823" s="15"/>
      <c r="DP823" s="15"/>
      <c r="DQ823" s="15"/>
      <c r="DR823" s="15"/>
      <c r="DS823" s="15"/>
      <c r="DT823" s="15"/>
      <c r="DU823" s="15"/>
      <c r="DV823" s="15"/>
      <c r="DW823" s="15"/>
      <c r="DX823" s="15"/>
      <c r="DY823" s="15"/>
      <c r="DZ823" s="15"/>
      <c r="EA823" s="15"/>
      <c r="EB823" s="15"/>
      <c r="EC823" s="16" t="s">
        <v>197</v>
      </c>
      <c r="ED823" s="17" t="s">
        <v>198</v>
      </c>
      <c r="EE823" s="18">
        <v>45719.47840277778</v>
      </c>
      <c r="EF823" s="13" t="s">
        <v>209</v>
      </c>
      <c r="EG823" s="14" t="s">
        <v>179</v>
      </c>
      <c r="EH823" s="14" t="s">
        <v>16899</v>
      </c>
      <c r="EI823" s="14" t="s">
        <v>179</v>
      </c>
      <c r="EJ823" s="14" t="s">
        <v>16899</v>
      </c>
      <c r="EK823" s="15"/>
      <c r="EL823" s="15"/>
      <c r="EM823" s="15"/>
      <c r="EN823" s="15"/>
      <c r="EO823" s="15"/>
      <c r="EP823" s="15"/>
      <c r="EQ823" s="15"/>
      <c r="ER823" s="15"/>
      <c r="ES823" s="15"/>
      <c r="ET823" s="15"/>
      <c r="EU823" s="15"/>
      <c r="EV823" s="15"/>
      <c r="EW823" s="15"/>
      <c r="EX823" s="15"/>
      <c r="EY823" s="15"/>
      <c r="EZ823" s="15"/>
      <c r="FA823" s="15"/>
      <c r="FB823" s="15"/>
      <c r="FC823" s="16" t="s">
        <v>197</v>
      </c>
      <c r="FD823" s="17" t="s">
        <v>198</v>
      </c>
      <c r="FE823" s="18">
        <v>45723.278275462966</v>
      </c>
      <c r="FF823" s="19"/>
      <c r="FG823" s="19"/>
      <c r="FH823" s="21" t="s">
        <v>197</v>
      </c>
      <c r="FI823" s="17" t="s">
        <v>214</v>
      </c>
      <c r="FJ823" s="18">
        <v>45723.278275462966</v>
      </c>
      <c r="FK823" s="14" t="s">
        <v>16899</v>
      </c>
      <c r="FL823" s="14" t="s">
        <v>16900</v>
      </c>
      <c r="FM823" s="14" t="s">
        <v>16901</v>
      </c>
      <c r="FN823" s="19"/>
      <c r="FO823" s="19"/>
      <c r="FP823" s="19" t="str">
        <f t="shared" si="1"/>
        <v>Base de Dados_Images/TIT20140.Imagem do Equipamento-.192939.jpg</v>
      </c>
      <c r="FQ823" s="19"/>
      <c r="FR823" s="19"/>
    </row>
    <row r="824" ht="15.75" customHeight="1">
      <c r="A824" s="12" t="s">
        <v>174</v>
      </c>
      <c r="B824" s="22" t="s">
        <v>13616</v>
      </c>
      <c r="C824" s="24" t="s">
        <v>375</v>
      </c>
      <c r="D824" s="22" t="s">
        <v>16902</v>
      </c>
      <c r="E824" s="22" t="s">
        <v>16903</v>
      </c>
      <c r="F824" s="13" t="s">
        <v>178</v>
      </c>
      <c r="G824" s="14" t="s">
        <v>179</v>
      </c>
      <c r="H824" s="14" t="s">
        <v>16904</v>
      </c>
      <c r="I824" s="14" t="s">
        <v>179</v>
      </c>
      <c r="J824" s="14" t="s">
        <v>16905</v>
      </c>
      <c r="K824" s="14" t="s">
        <v>179</v>
      </c>
      <c r="L824" s="14" t="s">
        <v>16906</v>
      </c>
      <c r="M824" s="14" t="s">
        <v>179</v>
      </c>
      <c r="N824" s="14" t="s">
        <v>16907</v>
      </c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6" t="s">
        <v>197</v>
      </c>
      <c r="BP824" s="17" t="s">
        <v>198</v>
      </c>
      <c r="BQ824" s="18">
        <v>45698.68761574074</v>
      </c>
      <c r="BR824" s="17" t="s">
        <v>198</v>
      </c>
      <c r="BS824" s="18">
        <v>45698.68766203704</v>
      </c>
      <c r="BT824" s="17" t="s">
        <v>198</v>
      </c>
      <c r="BU824" s="18">
        <v>45698.68766203704</v>
      </c>
      <c r="BV824" s="13" t="s">
        <v>199</v>
      </c>
      <c r="BW824" s="14" t="s">
        <v>179</v>
      </c>
      <c r="BX824" s="14" t="s">
        <v>16908</v>
      </c>
      <c r="BY824" s="14" t="s">
        <v>179</v>
      </c>
      <c r="BZ824" s="14" t="s">
        <v>16909</v>
      </c>
      <c r="CA824" s="14" t="s">
        <v>179</v>
      </c>
      <c r="CB824" s="14" t="s">
        <v>16910</v>
      </c>
      <c r="CC824" s="15"/>
      <c r="CD824" s="15"/>
      <c r="CE824" s="15"/>
      <c r="CF824" s="15"/>
      <c r="CG824" s="19"/>
      <c r="CH824" s="15"/>
      <c r="CI824" s="19"/>
      <c r="CJ824" s="15"/>
      <c r="CK824" s="19"/>
      <c r="CL824" s="15"/>
      <c r="CM824" s="19"/>
      <c r="CN824" s="15"/>
      <c r="CO824" s="19"/>
      <c r="CP824" s="15"/>
      <c r="CQ824" s="15"/>
      <c r="CR824" s="15"/>
      <c r="CS824" s="19"/>
      <c r="CT824" s="15"/>
      <c r="CU824" s="19"/>
      <c r="CV824" s="15"/>
      <c r="CW824" s="19"/>
      <c r="CX824" s="15"/>
      <c r="CY824" s="19"/>
      <c r="CZ824" s="15"/>
      <c r="DA824" s="16" t="s">
        <v>197</v>
      </c>
      <c r="DB824" s="17" t="s">
        <v>228</v>
      </c>
      <c r="DC824" s="16"/>
      <c r="DD824" s="17" t="s">
        <v>198</v>
      </c>
      <c r="DE824" s="18">
        <v>45698.687743055554</v>
      </c>
      <c r="DF824" s="17" t="s">
        <v>198</v>
      </c>
      <c r="DG824" s="18">
        <v>45698.687743055554</v>
      </c>
      <c r="DH824" s="13" t="s">
        <v>205</v>
      </c>
      <c r="DI824" s="14" t="s">
        <v>179</v>
      </c>
      <c r="DJ824" s="14" t="s">
        <v>16911</v>
      </c>
      <c r="DK824" s="14" t="s">
        <v>179</v>
      </c>
      <c r="DL824" s="14" t="s">
        <v>16912</v>
      </c>
      <c r="DM824" s="15"/>
      <c r="DN824" s="15"/>
      <c r="DO824" s="15"/>
      <c r="DP824" s="15"/>
      <c r="DQ824" s="15"/>
      <c r="DR824" s="15"/>
      <c r="DS824" s="15"/>
      <c r="DT824" s="15"/>
      <c r="DU824" s="15"/>
      <c r="DV824" s="15"/>
      <c r="DW824" s="15"/>
      <c r="DX824" s="15"/>
      <c r="DY824" s="15"/>
      <c r="DZ824" s="15"/>
      <c r="EA824" s="15"/>
      <c r="EB824" s="15"/>
      <c r="EC824" s="16" t="s">
        <v>197</v>
      </c>
      <c r="ED824" s="17" t="s">
        <v>198</v>
      </c>
      <c r="EE824" s="18">
        <v>45719.478483796294</v>
      </c>
      <c r="EF824" s="13" t="s">
        <v>209</v>
      </c>
      <c r="EG824" s="14" t="s">
        <v>179</v>
      </c>
      <c r="EH824" s="14" t="s">
        <v>16913</v>
      </c>
      <c r="EI824" s="14" t="s">
        <v>179</v>
      </c>
      <c r="EJ824" s="14" t="s">
        <v>16913</v>
      </c>
      <c r="EK824" s="15"/>
      <c r="EL824" s="15"/>
      <c r="EM824" s="15"/>
      <c r="EN824" s="15"/>
      <c r="EO824" s="15"/>
      <c r="EP824" s="15"/>
      <c r="EQ824" s="15"/>
      <c r="ER824" s="15"/>
      <c r="ES824" s="15"/>
      <c r="ET824" s="15"/>
      <c r="EU824" s="15"/>
      <c r="EV824" s="15"/>
      <c r="EW824" s="15"/>
      <c r="EX824" s="15"/>
      <c r="EY824" s="15"/>
      <c r="EZ824" s="15"/>
      <c r="FA824" s="15"/>
      <c r="FB824" s="15"/>
      <c r="FC824" s="16" t="s">
        <v>197</v>
      </c>
      <c r="FD824" s="17" t="s">
        <v>198</v>
      </c>
      <c r="FE824" s="18">
        <v>45723.27835648148</v>
      </c>
      <c r="FF824" s="19"/>
      <c r="FG824" s="19"/>
      <c r="FH824" s="21" t="s">
        <v>197</v>
      </c>
      <c r="FI824" s="17" t="s">
        <v>214</v>
      </c>
      <c r="FJ824" s="18">
        <v>45723.27835648148</v>
      </c>
      <c r="FK824" s="14" t="s">
        <v>16913</v>
      </c>
      <c r="FL824" s="14" t="s">
        <v>16914</v>
      </c>
      <c r="FM824" s="14" t="s">
        <v>16915</v>
      </c>
      <c r="FN824" s="19"/>
      <c r="FO824" s="19"/>
      <c r="FP824" s="19" t="str">
        <f t="shared" si="1"/>
        <v>Base de Dados_Images/TIT20141.Imagem do Equipamento-.193022.jpg</v>
      </c>
      <c r="FQ824" s="19"/>
      <c r="FR824" s="19"/>
    </row>
    <row r="825" ht="15.75" customHeight="1">
      <c r="A825" s="12" t="s">
        <v>174</v>
      </c>
      <c r="B825" s="22" t="s">
        <v>13616</v>
      </c>
      <c r="C825" s="24" t="s">
        <v>375</v>
      </c>
      <c r="D825" s="22" t="s">
        <v>16916</v>
      </c>
      <c r="E825" s="22" t="s">
        <v>16917</v>
      </c>
      <c r="F825" s="13" t="s">
        <v>178</v>
      </c>
      <c r="G825" s="14" t="s">
        <v>179</v>
      </c>
      <c r="H825" s="14" t="s">
        <v>16918</v>
      </c>
      <c r="I825" s="14" t="s">
        <v>179</v>
      </c>
      <c r="J825" s="14" t="s">
        <v>16919</v>
      </c>
      <c r="K825" s="14" t="s">
        <v>179</v>
      </c>
      <c r="L825" s="14" t="s">
        <v>16920</v>
      </c>
      <c r="M825" s="14" t="s">
        <v>179</v>
      </c>
      <c r="N825" s="14" t="s">
        <v>16921</v>
      </c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6" t="s">
        <v>197</v>
      </c>
      <c r="BP825" s="17" t="s">
        <v>198</v>
      </c>
      <c r="BQ825" s="18">
        <v>45698.68817129629</v>
      </c>
      <c r="BR825" s="17" t="s">
        <v>198</v>
      </c>
      <c r="BS825" s="18">
        <v>45698.68821759259</v>
      </c>
      <c r="BT825" s="17" t="s">
        <v>198</v>
      </c>
      <c r="BU825" s="18">
        <v>45698.68821759259</v>
      </c>
      <c r="BV825" s="13" t="s">
        <v>199</v>
      </c>
      <c r="BW825" s="14" t="s">
        <v>179</v>
      </c>
      <c r="BX825" s="14" t="s">
        <v>16922</v>
      </c>
      <c r="BY825" s="14" t="s">
        <v>179</v>
      </c>
      <c r="BZ825" s="14" t="s">
        <v>16923</v>
      </c>
      <c r="CA825" s="14" t="s">
        <v>179</v>
      </c>
      <c r="CB825" s="14" t="s">
        <v>16924</v>
      </c>
      <c r="CC825" s="15"/>
      <c r="CD825" s="15"/>
      <c r="CE825" s="15"/>
      <c r="CF825" s="15"/>
      <c r="CG825" s="19"/>
      <c r="CH825" s="15"/>
      <c r="CI825" s="19"/>
      <c r="CJ825" s="15"/>
      <c r="CK825" s="19"/>
      <c r="CL825" s="15"/>
      <c r="CM825" s="19"/>
      <c r="CN825" s="15"/>
      <c r="CO825" s="19"/>
      <c r="CP825" s="15"/>
      <c r="CQ825" s="15"/>
      <c r="CR825" s="15"/>
      <c r="CS825" s="19"/>
      <c r="CT825" s="15"/>
      <c r="CU825" s="19"/>
      <c r="CV825" s="15"/>
      <c r="CW825" s="19"/>
      <c r="CX825" s="15"/>
      <c r="CY825" s="19"/>
      <c r="CZ825" s="15"/>
      <c r="DA825" s="16" t="s">
        <v>197</v>
      </c>
      <c r="DB825" s="17" t="s">
        <v>228</v>
      </c>
      <c r="DC825" s="16"/>
      <c r="DD825" s="17" t="s">
        <v>198</v>
      </c>
      <c r="DE825" s="18">
        <v>45698.68829861111</v>
      </c>
      <c r="DF825" s="17" t="s">
        <v>198</v>
      </c>
      <c r="DG825" s="18">
        <v>45698.68829861111</v>
      </c>
      <c r="DH825" s="13" t="s">
        <v>205</v>
      </c>
      <c r="DI825" s="14" t="s">
        <v>179</v>
      </c>
      <c r="DJ825" s="14" t="s">
        <v>16925</v>
      </c>
      <c r="DK825" s="14" t="s">
        <v>179</v>
      </c>
      <c r="DL825" s="14" t="s">
        <v>16926</v>
      </c>
      <c r="DM825" s="15"/>
      <c r="DN825" s="15"/>
      <c r="DO825" s="15"/>
      <c r="DP825" s="15"/>
      <c r="DQ825" s="15"/>
      <c r="DR825" s="15"/>
      <c r="DS825" s="15"/>
      <c r="DT825" s="15"/>
      <c r="DU825" s="15"/>
      <c r="DV825" s="15"/>
      <c r="DW825" s="15"/>
      <c r="DX825" s="15"/>
      <c r="DY825" s="15"/>
      <c r="DZ825" s="15"/>
      <c r="EA825" s="15"/>
      <c r="EB825" s="15"/>
      <c r="EC825" s="16" t="s">
        <v>197</v>
      </c>
      <c r="ED825" s="17" t="s">
        <v>198</v>
      </c>
      <c r="EE825" s="18">
        <v>45719.47856481482</v>
      </c>
      <c r="EF825" s="13" t="s">
        <v>209</v>
      </c>
      <c r="EG825" s="14" t="s">
        <v>179</v>
      </c>
      <c r="EH825" s="14" t="s">
        <v>16927</v>
      </c>
      <c r="EI825" s="14" t="s">
        <v>179</v>
      </c>
      <c r="EJ825" s="14" t="s">
        <v>16928</v>
      </c>
      <c r="EK825" s="15"/>
      <c r="EL825" s="15"/>
      <c r="EM825" s="15"/>
      <c r="EN825" s="15"/>
      <c r="EO825" s="15"/>
      <c r="EP825" s="15"/>
      <c r="EQ825" s="15"/>
      <c r="ER825" s="15"/>
      <c r="ES825" s="15"/>
      <c r="ET825" s="15"/>
      <c r="EU825" s="15"/>
      <c r="EV825" s="15"/>
      <c r="EW825" s="15"/>
      <c r="EX825" s="15"/>
      <c r="EY825" s="15"/>
      <c r="EZ825" s="15"/>
      <c r="FA825" s="15"/>
      <c r="FB825" s="15"/>
      <c r="FC825" s="16" t="s">
        <v>197</v>
      </c>
      <c r="FD825" s="17" t="s">
        <v>198</v>
      </c>
      <c r="FE825" s="18">
        <v>45723.278449074074</v>
      </c>
      <c r="FF825" s="19"/>
      <c r="FG825" s="19"/>
      <c r="FH825" s="21" t="s">
        <v>197</v>
      </c>
      <c r="FI825" s="17" t="s">
        <v>214</v>
      </c>
      <c r="FJ825" s="18">
        <v>45723.278449074074</v>
      </c>
      <c r="FK825" s="14" t="s">
        <v>16927</v>
      </c>
      <c r="FL825" s="14" t="s">
        <v>16929</v>
      </c>
      <c r="FM825" s="14" t="s">
        <v>16930</v>
      </c>
      <c r="FN825" s="19"/>
      <c r="FO825" s="19"/>
      <c r="FP825" s="19" t="str">
        <f t="shared" si="1"/>
        <v>Base de Dados_Images/TIT20142.Imagem do Equipamento-.193108.jpg</v>
      </c>
      <c r="FQ825" s="19"/>
      <c r="FR825" s="19"/>
    </row>
    <row r="826" ht="15.75" customHeight="1">
      <c r="A826" s="12" t="s">
        <v>292</v>
      </c>
      <c r="B826" s="12" t="s">
        <v>16931</v>
      </c>
      <c r="C826" s="24" t="s">
        <v>375</v>
      </c>
      <c r="D826" s="22" t="s">
        <v>16932</v>
      </c>
      <c r="E826" s="22" t="s">
        <v>16933</v>
      </c>
      <c r="F826" s="13" t="s">
        <v>178</v>
      </c>
      <c r="G826" s="14" t="s">
        <v>179</v>
      </c>
      <c r="H826" s="14" t="s">
        <v>16934</v>
      </c>
      <c r="I826" s="14" t="s">
        <v>179</v>
      </c>
      <c r="J826" s="14" t="s">
        <v>16935</v>
      </c>
      <c r="K826" s="14" t="s">
        <v>179</v>
      </c>
      <c r="L826" s="14" t="s">
        <v>16936</v>
      </c>
      <c r="M826" s="14" t="s">
        <v>179</v>
      </c>
      <c r="N826" s="14" t="s">
        <v>16937</v>
      </c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6" t="s">
        <v>197</v>
      </c>
      <c r="BP826" s="17" t="s">
        <v>198</v>
      </c>
      <c r="BQ826" s="18">
        <v>45687.454930555556</v>
      </c>
      <c r="BR826" s="17" t="s">
        <v>198</v>
      </c>
      <c r="BS826" s="18">
        <v>45687.45501157407</v>
      </c>
      <c r="BT826" s="17" t="s">
        <v>198</v>
      </c>
      <c r="BU826" s="18">
        <v>45687.45501157407</v>
      </c>
      <c r="BV826" s="13" t="s">
        <v>199</v>
      </c>
      <c r="BW826" s="14" t="s">
        <v>179</v>
      </c>
      <c r="BX826" s="14" t="s">
        <v>16938</v>
      </c>
      <c r="BY826" s="14" t="s">
        <v>179</v>
      </c>
      <c r="BZ826" s="14" t="s">
        <v>16939</v>
      </c>
      <c r="CA826" s="14" t="s">
        <v>179</v>
      </c>
      <c r="CB826" s="14" t="s">
        <v>16940</v>
      </c>
      <c r="CC826" s="15"/>
      <c r="CD826" s="15"/>
      <c r="CE826" s="15"/>
      <c r="CF826" s="15"/>
      <c r="CG826" s="19"/>
      <c r="CH826" s="15"/>
      <c r="CI826" s="19"/>
      <c r="CJ826" s="15"/>
      <c r="CK826" s="19"/>
      <c r="CL826" s="15"/>
      <c r="CM826" s="19"/>
      <c r="CN826" s="15"/>
      <c r="CO826" s="19"/>
      <c r="CP826" s="15"/>
      <c r="CQ826" s="15"/>
      <c r="CR826" s="15"/>
      <c r="CS826" s="19"/>
      <c r="CT826" s="15"/>
      <c r="CU826" s="19"/>
      <c r="CV826" s="15"/>
      <c r="CW826" s="19"/>
      <c r="CX826" s="15"/>
      <c r="CY826" s="19"/>
      <c r="CZ826" s="15"/>
      <c r="DA826" s="16" t="s">
        <v>197</v>
      </c>
      <c r="DB826" s="17" t="s">
        <v>228</v>
      </c>
      <c r="DC826" s="16"/>
      <c r="DD826" s="17" t="s">
        <v>198</v>
      </c>
      <c r="DE826" s="18">
        <v>45695.638877314814</v>
      </c>
      <c r="DF826" s="17" t="s">
        <v>198</v>
      </c>
      <c r="DG826" s="18">
        <v>45695.638877314814</v>
      </c>
      <c r="DH826" s="13" t="s">
        <v>205</v>
      </c>
      <c r="DI826" s="14" t="s">
        <v>179</v>
      </c>
      <c r="DJ826" s="14" t="s">
        <v>16941</v>
      </c>
      <c r="DK826" s="14" t="s">
        <v>179</v>
      </c>
      <c r="DL826" s="14" t="s">
        <v>16942</v>
      </c>
      <c r="DM826" s="15"/>
      <c r="DN826" s="15"/>
      <c r="DO826" s="15"/>
      <c r="DP826" s="15"/>
      <c r="DQ826" s="15"/>
      <c r="DR826" s="15"/>
      <c r="DS826" s="15"/>
      <c r="DT826" s="15"/>
      <c r="DU826" s="15"/>
      <c r="DV826" s="15"/>
      <c r="DW826" s="15"/>
      <c r="DX826" s="15"/>
      <c r="DY826" s="15"/>
      <c r="DZ826" s="15"/>
      <c r="EA826" s="15"/>
      <c r="EB826" s="15"/>
      <c r="EC826" s="16" t="s">
        <v>197</v>
      </c>
      <c r="ED826" s="17" t="s">
        <v>198</v>
      </c>
      <c r="EE826" s="18">
        <v>45699.47892361111</v>
      </c>
      <c r="EF826" s="13" t="s">
        <v>209</v>
      </c>
      <c r="EG826" s="14" t="s">
        <v>179</v>
      </c>
      <c r="EH826" s="14" t="s">
        <v>16943</v>
      </c>
      <c r="EI826" s="14" t="s">
        <v>179</v>
      </c>
      <c r="EJ826" s="14" t="s">
        <v>16944</v>
      </c>
      <c r="EK826" s="15"/>
      <c r="EL826" s="15"/>
      <c r="EM826" s="15"/>
      <c r="EN826" s="15"/>
      <c r="EO826" s="15"/>
      <c r="EP826" s="15"/>
      <c r="EQ826" s="15"/>
      <c r="ER826" s="15"/>
      <c r="ES826" s="15"/>
      <c r="ET826" s="15"/>
      <c r="EU826" s="15"/>
      <c r="EV826" s="15"/>
      <c r="EW826" s="15"/>
      <c r="EX826" s="15"/>
      <c r="EY826" s="15"/>
      <c r="EZ826" s="15"/>
      <c r="FA826" s="15"/>
      <c r="FB826" s="15"/>
      <c r="FC826" s="16" t="s">
        <v>197</v>
      </c>
      <c r="FD826" s="17" t="s">
        <v>198</v>
      </c>
      <c r="FE826" s="18">
        <v>45722.35486111111</v>
      </c>
      <c r="FF826" s="19"/>
      <c r="FG826" s="19"/>
      <c r="FH826" s="21" t="s">
        <v>197</v>
      </c>
      <c r="FI826" s="17" t="s">
        <v>214</v>
      </c>
      <c r="FJ826" s="18">
        <v>45722.35486111111</v>
      </c>
      <c r="FK826" s="14" t="s">
        <v>16944</v>
      </c>
      <c r="FL826" s="14" t="s">
        <v>16945</v>
      </c>
      <c r="FM826" s="14" t="s">
        <v>16946</v>
      </c>
      <c r="FN826" s="19"/>
      <c r="FO826" s="19"/>
      <c r="FP826" s="19" t="str">
        <f t="shared" si="1"/>
        <v>Base de Dados_Images/TIT30021.Imagem do Equipamento-.172546.jpg</v>
      </c>
      <c r="FQ826" s="19"/>
      <c r="FR826" s="19"/>
    </row>
    <row r="827" ht="15.75" customHeight="1">
      <c r="A827" s="12" t="s">
        <v>292</v>
      </c>
      <c r="B827" s="12" t="s">
        <v>16931</v>
      </c>
      <c r="C827" s="24" t="s">
        <v>375</v>
      </c>
      <c r="D827" s="22" t="s">
        <v>16947</v>
      </c>
      <c r="E827" s="22" t="s">
        <v>16948</v>
      </c>
      <c r="F827" s="13" t="s">
        <v>178</v>
      </c>
      <c r="G827" s="14" t="s">
        <v>179</v>
      </c>
      <c r="H827" s="14" t="s">
        <v>16949</v>
      </c>
      <c r="I827" s="14" t="s">
        <v>179</v>
      </c>
      <c r="J827" s="14" t="s">
        <v>16950</v>
      </c>
      <c r="K827" s="14" t="s">
        <v>179</v>
      </c>
      <c r="L827" s="14" t="s">
        <v>16951</v>
      </c>
      <c r="M827" s="14" t="s">
        <v>179</v>
      </c>
      <c r="N827" s="14" t="s">
        <v>16952</v>
      </c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6" t="s">
        <v>197</v>
      </c>
      <c r="BP827" s="17" t="s">
        <v>198</v>
      </c>
      <c r="BQ827" s="18">
        <v>45686.546111111114</v>
      </c>
      <c r="BR827" s="17" t="s">
        <v>198</v>
      </c>
      <c r="BS827" s="18">
        <v>45686.54609953704</v>
      </c>
      <c r="BT827" s="17" t="s">
        <v>198</v>
      </c>
      <c r="BU827" s="18">
        <v>45686.546111111114</v>
      </c>
      <c r="BV827" s="13" t="s">
        <v>199</v>
      </c>
      <c r="BW827" s="14" t="s">
        <v>179</v>
      </c>
      <c r="BX827" s="14" t="s">
        <v>16953</v>
      </c>
      <c r="BY827" s="14" t="s">
        <v>179</v>
      </c>
      <c r="BZ827" s="14" t="s">
        <v>16954</v>
      </c>
      <c r="CA827" s="14" t="s">
        <v>179</v>
      </c>
      <c r="CB827" s="14" t="s">
        <v>16954</v>
      </c>
      <c r="CC827" s="15"/>
      <c r="CD827" s="15"/>
      <c r="CE827" s="15"/>
      <c r="CF827" s="15"/>
      <c r="CG827" s="19"/>
      <c r="CH827" s="15"/>
      <c r="CI827" s="19"/>
      <c r="CJ827" s="15"/>
      <c r="CK827" s="19"/>
      <c r="CL827" s="15"/>
      <c r="CM827" s="19"/>
      <c r="CN827" s="15"/>
      <c r="CO827" s="19"/>
      <c r="CP827" s="15"/>
      <c r="CQ827" s="15"/>
      <c r="CR827" s="15"/>
      <c r="CS827" s="19"/>
      <c r="CT827" s="15"/>
      <c r="CU827" s="19"/>
      <c r="CV827" s="15"/>
      <c r="CW827" s="19"/>
      <c r="CX827" s="15"/>
      <c r="CY827" s="19"/>
      <c r="CZ827" s="15"/>
      <c r="DA827" s="16" t="s">
        <v>197</v>
      </c>
      <c r="DB827" s="17" t="s">
        <v>228</v>
      </c>
      <c r="DC827" s="16"/>
      <c r="DD827" s="17" t="s">
        <v>198</v>
      </c>
      <c r="DE827" s="18">
        <v>45696.33335648148</v>
      </c>
      <c r="DF827" s="17" t="s">
        <v>198</v>
      </c>
      <c r="DG827" s="18">
        <v>45696.33335648148</v>
      </c>
      <c r="DH827" s="13" t="s">
        <v>205</v>
      </c>
      <c r="DI827" s="14" t="s">
        <v>179</v>
      </c>
      <c r="DJ827" s="14" t="s">
        <v>16955</v>
      </c>
      <c r="DK827" s="14" t="s">
        <v>179</v>
      </c>
      <c r="DL827" s="14" t="s">
        <v>16956</v>
      </c>
      <c r="DM827" s="15"/>
      <c r="DN827" s="15"/>
      <c r="DO827" s="15"/>
      <c r="DP827" s="15"/>
      <c r="DQ827" s="15"/>
      <c r="DR827" s="15"/>
      <c r="DS827" s="15"/>
      <c r="DT827" s="15"/>
      <c r="DU827" s="15"/>
      <c r="DV827" s="15"/>
      <c r="DW827" s="15"/>
      <c r="DX827" s="15"/>
      <c r="DY827" s="15"/>
      <c r="DZ827" s="15"/>
      <c r="EA827" s="15"/>
      <c r="EB827" s="15"/>
      <c r="EC827" s="16" t="s">
        <v>197</v>
      </c>
      <c r="ED827" s="17" t="s">
        <v>198</v>
      </c>
      <c r="EE827" s="18">
        <v>45699.47934027778</v>
      </c>
      <c r="EF827" s="13" t="s">
        <v>209</v>
      </c>
      <c r="EG827" s="14" t="s">
        <v>179</v>
      </c>
      <c r="EH827" s="14" t="s">
        <v>16957</v>
      </c>
      <c r="EI827" s="14" t="s">
        <v>179</v>
      </c>
      <c r="EJ827" s="14" t="s">
        <v>16958</v>
      </c>
      <c r="EK827" s="15"/>
      <c r="EL827" s="15"/>
      <c r="EM827" s="15"/>
      <c r="EN827" s="15"/>
      <c r="EO827" s="15"/>
      <c r="EP827" s="15"/>
      <c r="EQ827" s="15"/>
      <c r="ER827" s="15"/>
      <c r="ES827" s="15"/>
      <c r="ET827" s="15"/>
      <c r="EU827" s="15"/>
      <c r="EV827" s="15"/>
      <c r="EW827" s="15"/>
      <c r="EX827" s="15"/>
      <c r="EY827" s="15"/>
      <c r="EZ827" s="15"/>
      <c r="FA827" s="15"/>
      <c r="FB827" s="15"/>
      <c r="FC827" s="16" t="s">
        <v>197</v>
      </c>
      <c r="FD827" s="17" t="s">
        <v>198</v>
      </c>
      <c r="FE827" s="18">
        <v>45722.35501157407</v>
      </c>
      <c r="FF827" s="19"/>
      <c r="FG827" s="19"/>
      <c r="FH827" s="21" t="s">
        <v>197</v>
      </c>
      <c r="FI827" s="17" t="s">
        <v>214</v>
      </c>
      <c r="FJ827" s="18">
        <v>45722.35501157407</v>
      </c>
      <c r="FK827" s="14" t="s">
        <v>16958</v>
      </c>
      <c r="FL827" s="14" t="s">
        <v>16959</v>
      </c>
      <c r="FM827" s="14" t="s">
        <v>16960</v>
      </c>
      <c r="FN827" s="19"/>
      <c r="FO827" s="19"/>
      <c r="FP827" s="19" t="str">
        <f t="shared" si="1"/>
        <v>Base de Dados_Images/TIT30022.Imagem do Equipamento-.172547.jpg</v>
      </c>
      <c r="FQ827" s="19"/>
      <c r="FR827" s="19"/>
    </row>
    <row r="828" ht="15.75" customHeight="1">
      <c r="A828" s="12" t="s">
        <v>292</v>
      </c>
      <c r="B828" s="12" t="s">
        <v>16961</v>
      </c>
      <c r="C828" s="24" t="s">
        <v>375</v>
      </c>
      <c r="D828" s="22" t="s">
        <v>16962</v>
      </c>
      <c r="E828" s="22" t="s">
        <v>16963</v>
      </c>
      <c r="F828" s="13" t="s">
        <v>178</v>
      </c>
      <c r="G828" s="14" t="s">
        <v>179</v>
      </c>
      <c r="H828" s="14" t="s">
        <v>16964</v>
      </c>
      <c r="I828" s="14" t="s">
        <v>179</v>
      </c>
      <c r="J828" s="14" t="s">
        <v>16965</v>
      </c>
      <c r="K828" s="14" t="s">
        <v>179</v>
      </c>
      <c r="L828" s="14" t="s">
        <v>16966</v>
      </c>
      <c r="M828" s="14" t="s">
        <v>179</v>
      </c>
      <c r="N828" s="14" t="s">
        <v>16967</v>
      </c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6" t="s">
        <v>197</v>
      </c>
      <c r="BP828" s="17" t="s">
        <v>198</v>
      </c>
      <c r="BQ828" s="18">
        <v>45686.5471412037</v>
      </c>
      <c r="BR828" s="17" t="s">
        <v>198</v>
      </c>
      <c r="BS828" s="18">
        <v>45686.547118055554</v>
      </c>
      <c r="BT828" s="17" t="s">
        <v>198</v>
      </c>
      <c r="BU828" s="18">
        <v>45686.5471412037</v>
      </c>
      <c r="BV828" s="13" t="s">
        <v>199</v>
      </c>
      <c r="BW828" s="14" t="s">
        <v>179</v>
      </c>
      <c r="BX828" s="14" t="s">
        <v>16968</v>
      </c>
      <c r="BY828" s="14" t="s">
        <v>179</v>
      </c>
      <c r="BZ828" s="14" t="s">
        <v>16969</v>
      </c>
      <c r="CA828" s="14" t="s">
        <v>179</v>
      </c>
      <c r="CB828" s="14" t="s">
        <v>16970</v>
      </c>
      <c r="CC828" s="15"/>
      <c r="CD828" s="15"/>
      <c r="CE828" s="15"/>
      <c r="CF828" s="15"/>
      <c r="CG828" s="19"/>
      <c r="CH828" s="15"/>
      <c r="CI828" s="19"/>
      <c r="CJ828" s="15"/>
      <c r="CK828" s="19"/>
      <c r="CL828" s="15"/>
      <c r="CM828" s="19"/>
      <c r="CN828" s="15"/>
      <c r="CO828" s="19"/>
      <c r="CP828" s="15"/>
      <c r="CQ828" s="15"/>
      <c r="CR828" s="15"/>
      <c r="CS828" s="19"/>
      <c r="CT828" s="15"/>
      <c r="CU828" s="19"/>
      <c r="CV828" s="15"/>
      <c r="CW828" s="19"/>
      <c r="CX828" s="15"/>
      <c r="CY828" s="19"/>
      <c r="CZ828" s="15"/>
      <c r="DA828" s="16" t="s">
        <v>197</v>
      </c>
      <c r="DB828" s="17" t="s">
        <v>228</v>
      </c>
      <c r="DC828" s="16"/>
      <c r="DD828" s="17" t="s">
        <v>198</v>
      </c>
      <c r="DE828" s="18">
        <v>45723.292083333334</v>
      </c>
      <c r="DF828" s="17" t="s">
        <v>198</v>
      </c>
      <c r="DG828" s="18">
        <v>45723.292083333334</v>
      </c>
      <c r="DH828" s="13" t="s">
        <v>205</v>
      </c>
      <c r="DI828" s="14" t="s">
        <v>179</v>
      </c>
      <c r="DJ828" s="14" t="s">
        <v>16971</v>
      </c>
      <c r="DK828" s="14" t="s">
        <v>179</v>
      </c>
      <c r="DL828" s="14" t="s">
        <v>16971</v>
      </c>
      <c r="DM828" s="15"/>
      <c r="DN828" s="15"/>
      <c r="DO828" s="15"/>
      <c r="DP828" s="15"/>
      <c r="DQ828" s="15"/>
      <c r="DR828" s="15"/>
      <c r="DS828" s="15"/>
      <c r="DT828" s="15"/>
      <c r="DU828" s="15"/>
      <c r="DV828" s="15"/>
      <c r="DW828" s="15"/>
      <c r="DX828" s="15"/>
      <c r="DY828" s="15"/>
      <c r="DZ828" s="15"/>
      <c r="EA828" s="15"/>
      <c r="EB828" s="15"/>
      <c r="EC828" s="16" t="s">
        <v>197</v>
      </c>
      <c r="ED828" s="17" t="s">
        <v>198</v>
      </c>
      <c r="EE828" s="18">
        <v>45723.2921412037</v>
      </c>
      <c r="EF828" s="13" t="s">
        <v>209</v>
      </c>
      <c r="EG828" s="14" t="s">
        <v>179</v>
      </c>
      <c r="EH828" s="14" t="s">
        <v>16972</v>
      </c>
      <c r="EI828" s="14" t="s">
        <v>179</v>
      </c>
      <c r="EJ828" s="14" t="s">
        <v>16972</v>
      </c>
      <c r="EK828" s="15"/>
      <c r="EL828" s="15"/>
      <c r="EM828" s="15"/>
      <c r="EN828" s="15"/>
      <c r="EO828" s="15"/>
      <c r="EP828" s="15"/>
      <c r="EQ828" s="15"/>
      <c r="ER828" s="15"/>
      <c r="ES828" s="15"/>
      <c r="ET828" s="15"/>
      <c r="EU828" s="15"/>
      <c r="EV828" s="15"/>
      <c r="EW828" s="15"/>
      <c r="EX828" s="15"/>
      <c r="EY828" s="15"/>
      <c r="EZ828" s="15"/>
      <c r="FA828" s="15"/>
      <c r="FB828" s="15"/>
      <c r="FC828" s="16" t="s">
        <v>197</v>
      </c>
      <c r="FD828" s="17" t="s">
        <v>198</v>
      </c>
      <c r="FE828" s="18">
        <v>45723.29219907407</v>
      </c>
      <c r="FF828" s="19"/>
      <c r="FG828" s="19"/>
      <c r="FH828" s="21" t="s">
        <v>197</v>
      </c>
      <c r="FI828" s="17" t="s">
        <v>214</v>
      </c>
      <c r="FJ828" s="18">
        <v>45723.29219907407</v>
      </c>
      <c r="FK828" s="14" t="s">
        <v>16972</v>
      </c>
      <c r="FL828" s="14" t="s">
        <v>16973</v>
      </c>
      <c r="FM828" s="14" t="s">
        <v>16974</v>
      </c>
      <c r="FN828" s="19"/>
      <c r="FO828" s="19"/>
      <c r="FP828" s="19" t="str">
        <f t="shared" si="1"/>
        <v>Base de Dados_Images/TIT30023.Imagem do Equipamento-.172634.jpg</v>
      </c>
      <c r="FQ828" s="19"/>
      <c r="FR828" s="19"/>
    </row>
    <row r="829" ht="15.75" customHeight="1">
      <c r="A829" s="12" t="s">
        <v>292</v>
      </c>
      <c r="B829" s="12" t="s">
        <v>6546</v>
      </c>
      <c r="C829" s="24" t="s">
        <v>375</v>
      </c>
      <c r="D829" s="22" t="s">
        <v>16975</v>
      </c>
      <c r="E829" s="22" t="s">
        <v>16976</v>
      </c>
      <c r="F829" s="13" t="s">
        <v>178</v>
      </c>
      <c r="G829" s="14" t="s">
        <v>179</v>
      </c>
      <c r="H829" s="14" t="s">
        <v>16977</v>
      </c>
      <c r="I829" s="14" t="s">
        <v>179</v>
      </c>
      <c r="J829" s="14" t="s">
        <v>16978</v>
      </c>
      <c r="K829" s="14" t="s">
        <v>179</v>
      </c>
      <c r="L829" s="14" t="s">
        <v>16978</v>
      </c>
      <c r="M829" s="14" t="s">
        <v>179</v>
      </c>
      <c r="N829" s="14" t="s">
        <v>16979</v>
      </c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6" t="s">
        <v>197</v>
      </c>
      <c r="BP829" s="17" t="s">
        <v>198</v>
      </c>
      <c r="BQ829" s="18">
        <v>45688.502974537034</v>
      </c>
      <c r="BR829" s="17" t="s">
        <v>198</v>
      </c>
      <c r="BS829" s="18">
        <v>45688.502962962964</v>
      </c>
      <c r="BT829" s="17" t="s">
        <v>198</v>
      </c>
      <c r="BU829" s="18">
        <v>45688.502974537034</v>
      </c>
      <c r="BV829" s="13" t="s">
        <v>199</v>
      </c>
      <c r="BW829" s="14" t="s">
        <v>179</v>
      </c>
      <c r="BX829" s="14" t="s">
        <v>16980</v>
      </c>
      <c r="BY829" s="14" t="s">
        <v>179</v>
      </c>
      <c r="BZ829" s="14" t="s">
        <v>16981</v>
      </c>
      <c r="CA829" s="14" t="s">
        <v>179</v>
      </c>
      <c r="CB829" s="14" t="s">
        <v>16981</v>
      </c>
      <c r="CC829" s="15"/>
      <c r="CD829" s="15"/>
      <c r="CE829" s="15"/>
      <c r="CF829" s="15"/>
      <c r="CG829" s="19"/>
      <c r="CH829" s="15"/>
      <c r="CI829" s="19"/>
      <c r="CJ829" s="15"/>
      <c r="CK829" s="19"/>
      <c r="CL829" s="15"/>
      <c r="CM829" s="19"/>
      <c r="CN829" s="15"/>
      <c r="CO829" s="19"/>
      <c r="CP829" s="15"/>
      <c r="CQ829" s="15"/>
      <c r="CR829" s="15"/>
      <c r="CS829" s="19"/>
      <c r="CT829" s="15"/>
      <c r="CU829" s="19"/>
      <c r="CV829" s="15"/>
      <c r="CW829" s="19"/>
      <c r="CX829" s="15"/>
      <c r="CY829" s="19"/>
      <c r="CZ829" s="15"/>
      <c r="DA829" s="16" t="s">
        <v>197</v>
      </c>
      <c r="DB829" s="17" t="s">
        <v>228</v>
      </c>
      <c r="DC829" s="16"/>
      <c r="DD829" s="17" t="s">
        <v>198</v>
      </c>
      <c r="DE829" s="18">
        <v>45688.50369212963</v>
      </c>
      <c r="DF829" s="17" t="s">
        <v>198</v>
      </c>
      <c r="DG829" s="18">
        <v>45688.50369212963</v>
      </c>
      <c r="DH829" s="13" t="s">
        <v>205</v>
      </c>
      <c r="DI829" s="14" t="s">
        <v>179</v>
      </c>
      <c r="DJ829" s="14" t="s">
        <v>16982</v>
      </c>
      <c r="DK829" s="14" t="s">
        <v>179</v>
      </c>
      <c r="DL829" s="14" t="s">
        <v>16983</v>
      </c>
      <c r="DM829" s="15"/>
      <c r="DN829" s="15"/>
      <c r="DO829" s="15"/>
      <c r="DP829" s="15"/>
      <c r="DQ829" s="15"/>
      <c r="DR829" s="15"/>
      <c r="DS829" s="15"/>
      <c r="DT829" s="15"/>
      <c r="DU829" s="15"/>
      <c r="DV829" s="15"/>
      <c r="DW829" s="15"/>
      <c r="DX829" s="15"/>
      <c r="DY829" s="15"/>
      <c r="DZ829" s="15"/>
      <c r="EA829" s="15"/>
      <c r="EB829" s="15"/>
      <c r="EC829" s="16" t="s">
        <v>197</v>
      </c>
      <c r="ED829" s="17" t="s">
        <v>198</v>
      </c>
      <c r="EE829" s="18">
        <v>45719.50614583334</v>
      </c>
      <c r="EF829" s="13" t="s">
        <v>209</v>
      </c>
      <c r="EG829" s="14" t="s">
        <v>179</v>
      </c>
      <c r="EH829" s="14" t="s">
        <v>16984</v>
      </c>
      <c r="EI829" s="14" t="s">
        <v>179</v>
      </c>
      <c r="EJ829" s="14" t="s">
        <v>16985</v>
      </c>
      <c r="EK829" s="15"/>
      <c r="EL829" s="15"/>
      <c r="EM829" s="15"/>
      <c r="EN829" s="15"/>
      <c r="EO829" s="15"/>
      <c r="EP829" s="15"/>
      <c r="EQ829" s="15"/>
      <c r="ER829" s="15"/>
      <c r="ES829" s="15"/>
      <c r="ET829" s="15"/>
      <c r="EU829" s="15"/>
      <c r="EV829" s="15"/>
      <c r="EW829" s="15"/>
      <c r="EX829" s="15"/>
      <c r="EY829" s="15"/>
      <c r="EZ829" s="15"/>
      <c r="FA829" s="15"/>
      <c r="FB829" s="15"/>
      <c r="FC829" s="16" t="s">
        <v>197</v>
      </c>
      <c r="FD829" s="17" t="s">
        <v>198</v>
      </c>
      <c r="FE829" s="18">
        <v>45724.40033564815</v>
      </c>
      <c r="FF829" s="19"/>
      <c r="FG829" s="19"/>
      <c r="FH829" s="21" t="s">
        <v>197</v>
      </c>
      <c r="FI829" s="17" t="s">
        <v>214</v>
      </c>
      <c r="FJ829" s="18">
        <v>45724.40033564815</v>
      </c>
      <c r="FK829" s="14" t="s">
        <v>16985</v>
      </c>
      <c r="FL829" s="14" t="s">
        <v>16986</v>
      </c>
      <c r="FM829" s="14" t="s">
        <v>16987</v>
      </c>
      <c r="FN829" s="19"/>
      <c r="FO829" s="19"/>
      <c r="FP829" s="19" t="str">
        <f t="shared" si="1"/>
        <v>Base de Dados_Images/TIT30024.Imagem do Equipamento-.155425.jpg</v>
      </c>
      <c r="FQ829" s="14"/>
      <c r="FR829" s="14"/>
    </row>
    <row r="830" ht="15.75" customHeight="1">
      <c r="A830" s="12" t="s">
        <v>292</v>
      </c>
      <c r="B830" s="12" t="s">
        <v>16988</v>
      </c>
      <c r="C830" s="24" t="s">
        <v>375</v>
      </c>
      <c r="D830" s="22" t="s">
        <v>16989</v>
      </c>
      <c r="E830" s="22" t="s">
        <v>16990</v>
      </c>
      <c r="F830" s="13" t="s">
        <v>178</v>
      </c>
      <c r="G830" s="14" t="s">
        <v>179</v>
      </c>
      <c r="H830" s="14" t="s">
        <v>16991</v>
      </c>
      <c r="I830" s="14" t="s">
        <v>179</v>
      </c>
      <c r="J830" s="14" t="s">
        <v>16992</v>
      </c>
      <c r="K830" s="14" t="s">
        <v>179</v>
      </c>
      <c r="L830" s="14" t="s">
        <v>16993</v>
      </c>
      <c r="M830" s="14" t="s">
        <v>179</v>
      </c>
      <c r="N830" s="14" t="s">
        <v>16994</v>
      </c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6" t="s">
        <v>197</v>
      </c>
      <c r="BP830" s="17" t="s">
        <v>198</v>
      </c>
      <c r="BQ830" s="18">
        <v>45686.54653935185</v>
      </c>
      <c r="BR830" s="17" t="s">
        <v>198</v>
      </c>
      <c r="BS830" s="18">
        <v>45686.54652777778</v>
      </c>
      <c r="BT830" s="17" t="s">
        <v>198</v>
      </c>
      <c r="BU830" s="18">
        <v>45686.54653935185</v>
      </c>
      <c r="BV830" s="13" t="s">
        <v>199</v>
      </c>
      <c r="BW830" s="14" t="s">
        <v>179</v>
      </c>
      <c r="BX830" s="14" t="s">
        <v>16995</v>
      </c>
      <c r="BY830" s="14" t="s">
        <v>179</v>
      </c>
      <c r="BZ830" s="14" t="s">
        <v>16996</v>
      </c>
      <c r="CA830" s="14" t="s">
        <v>179</v>
      </c>
      <c r="CB830" s="14" t="s">
        <v>16997</v>
      </c>
      <c r="CC830" s="15"/>
      <c r="CD830" s="15"/>
      <c r="CE830" s="15"/>
      <c r="CF830" s="15"/>
      <c r="CG830" s="19"/>
      <c r="CH830" s="15"/>
      <c r="CI830" s="19"/>
      <c r="CJ830" s="15"/>
      <c r="CK830" s="19"/>
      <c r="CL830" s="15"/>
      <c r="CM830" s="19"/>
      <c r="CN830" s="15"/>
      <c r="CO830" s="19"/>
      <c r="CP830" s="15"/>
      <c r="CQ830" s="15"/>
      <c r="CR830" s="15"/>
      <c r="CS830" s="19"/>
      <c r="CT830" s="15"/>
      <c r="CU830" s="19"/>
      <c r="CV830" s="15"/>
      <c r="CW830" s="19"/>
      <c r="CX830" s="15"/>
      <c r="CY830" s="19"/>
      <c r="CZ830" s="15"/>
      <c r="DA830" s="16" t="s">
        <v>197</v>
      </c>
      <c r="DB830" s="17" t="s">
        <v>228</v>
      </c>
      <c r="DC830" s="16"/>
      <c r="DD830" s="17" t="s">
        <v>198</v>
      </c>
      <c r="DE830" s="18">
        <v>45721.73471064815</v>
      </c>
      <c r="DF830" s="17" t="s">
        <v>198</v>
      </c>
      <c r="DG830" s="18">
        <v>45721.73471064815</v>
      </c>
      <c r="DH830" s="13" t="s">
        <v>205</v>
      </c>
      <c r="DI830" s="14" t="s">
        <v>179</v>
      </c>
      <c r="DJ830" s="14" t="s">
        <v>16998</v>
      </c>
      <c r="DK830" s="14" t="s">
        <v>179</v>
      </c>
      <c r="DL830" s="14" t="s">
        <v>16999</v>
      </c>
      <c r="DM830" s="15"/>
      <c r="DN830" s="15"/>
      <c r="DO830" s="15"/>
      <c r="DP830" s="15"/>
      <c r="DQ830" s="15"/>
      <c r="DR830" s="15"/>
      <c r="DS830" s="15"/>
      <c r="DT830" s="15"/>
      <c r="DU830" s="15"/>
      <c r="DV830" s="15"/>
      <c r="DW830" s="15"/>
      <c r="DX830" s="15"/>
      <c r="DY830" s="15"/>
      <c r="DZ830" s="15"/>
      <c r="EA830" s="15"/>
      <c r="EB830" s="15"/>
      <c r="EC830" s="16" t="s">
        <v>197</v>
      </c>
      <c r="ED830" s="17" t="s">
        <v>198</v>
      </c>
      <c r="EE830" s="18">
        <v>45721.73478009259</v>
      </c>
      <c r="EF830" s="13" t="s">
        <v>209</v>
      </c>
      <c r="EG830" s="14" t="s">
        <v>179</v>
      </c>
      <c r="EH830" s="14" t="s">
        <v>17000</v>
      </c>
      <c r="EI830" s="14" t="s">
        <v>179</v>
      </c>
      <c r="EJ830" s="14" t="s">
        <v>17001</v>
      </c>
      <c r="EK830" s="15"/>
      <c r="EL830" s="15"/>
      <c r="EM830" s="15"/>
      <c r="EN830" s="15"/>
      <c r="EO830" s="15"/>
      <c r="EP830" s="15"/>
      <c r="EQ830" s="15"/>
      <c r="ER830" s="15"/>
      <c r="ES830" s="15"/>
      <c r="ET830" s="15"/>
      <c r="EU830" s="15"/>
      <c r="EV830" s="15"/>
      <c r="EW830" s="15"/>
      <c r="EX830" s="15"/>
      <c r="EY830" s="15"/>
      <c r="EZ830" s="15"/>
      <c r="FA830" s="15"/>
      <c r="FB830" s="15"/>
      <c r="FC830" s="16" t="s">
        <v>197</v>
      </c>
      <c r="FD830" s="17" t="s">
        <v>198</v>
      </c>
      <c r="FE830" s="18">
        <v>45721.734872685185</v>
      </c>
      <c r="FF830" s="19"/>
      <c r="FG830" s="19"/>
      <c r="FH830" s="21" t="s">
        <v>197</v>
      </c>
      <c r="FI830" s="17" t="s">
        <v>214</v>
      </c>
      <c r="FJ830" s="18">
        <v>45721.734872685185</v>
      </c>
      <c r="FK830" s="14" t="s">
        <v>17001</v>
      </c>
      <c r="FL830" s="14" t="s">
        <v>17002</v>
      </c>
      <c r="FM830" s="14" t="s">
        <v>17003</v>
      </c>
      <c r="FN830" s="19"/>
      <c r="FO830" s="19"/>
      <c r="FP830" s="19" t="str">
        <f t="shared" si="1"/>
        <v>Base de Dados_Images/TIT30025.Imagem do Equipamento-.172607.jpg</v>
      </c>
      <c r="FQ830" s="19"/>
      <c r="FR830" s="19"/>
    </row>
    <row r="831" ht="15.75" customHeight="1">
      <c r="A831" s="12" t="s">
        <v>292</v>
      </c>
      <c r="B831" s="12" t="s">
        <v>6546</v>
      </c>
      <c r="C831" s="24" t="s">
        <v>375</v>
      </c>
      <c r="D831" s="22" t="s">
        <v>17004</v>
      </c>
      <c r="E831" s="22" t="s">
        <v>17005</v>
      </c>
      <c r="F831" s="13" t="s">
        <v>178</v>
      </c>
      <c r="G831" s="14" t="s">
        <v>179</v>
      </c>
      <c r="H831" s="14" t="s">
        <v>17006</v>
      </c>
      <c r="I831" s="14" t="s">
        <v>179</v>
      </c>
      <c r="J831" s="14" t="s">
        <v>17007</v>
      </c>
      <c r="K831" s="14" t="s">
        <v>179</v>
      </c>
      <c r="L831" s="14" t="s">
        <v>17007</v>
      </c>
      <c r="M831" s="14" t="s">
        <v>179</v>
      </c>
      <c r="N831" s="14" t="s">
        <v>17008</v>
      </c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6" t="s">
        <v>197</v>
      </c>
      <c r="BP831" s="17" t="s">
        <v>198</v>
      </c>
      <c r="BQ831" s="18">
        <v>45688.50381944444</v>
      </c>
      <c r="BR831" s="17" t="s">
        <v>198</v>
      </c>
      <c r="BS831" s="18">
        <v>45688.50380787037</v>
      </c>
      <c r="BT831" s="17" t="s">
        <v>198</v>
      </c>
      <c r="BU831" s="18">
        <v>45688.50381944444</v>
      </c>
      <c r="BV831" s="13" t="s">
        <v>199</v>
      </c>
      <c r="BW831" s="14" t="s">
        <v>179</v>
      </c>
      <c r="BX831" s="14" t="s">
        <v>17009</v>
      </c>
      <c r="BY831" s="14" t="s">
        <v>179</v>
      </c>
      <c r="BZ831" s="14" t="s">
        <v>17010</v>
      </c>
      <c r="CA831" s="14" t="s">
        <v>179</v>
      </c>
      <c r="CB831" s="14" t="s">
        <v>17010</v>
      </c>
      <c r="CC831" s="15"/>
      <c r="CD831" s="15"/>
      <c r="CE831" s="15"/>
      <c r="CF831" s="15"/>
      <c r="CG831" s="19"/>
      <c r="CH831" s="15"/>
      <c r="CI831" s="19"/>
      <c r="CJ831" s="15"/>
      <c r="CK831" s="19"/>
      <c r="CL831" s="15"/>
      <c r="CM831" s="19"/>
      <c r="CN831" s="15"/>
      <c r="CO831" s="19"/>
      <c r="CP831" s="15"/>
      <c r="CQ831" s="15"/>
      <c r="CR831" s="15"/>
      <c r="CS831" s="19"/>
      <c r="CT831" s="15"/>
      <c r="CU831" s="19"/>
      <c r="CV831" s="15"/>
      <c r="CW831" s="19"/>
      <c r="CX831" s="15"/>
      <c r="CY831" s="19"/>
      <c r="CZ831" s="15"/>
      <c r="DA831" s="16" t="s">
        <v>197</v>
      </c>
      <c r="DB831" s="17" t="s">
        <v>228</v>
      </c>
      <c r="DC831" s="16"/>
      <c r="DD831" s="17" t="s">
        <v>198</v>
      </c>
      <c r="DE831" s="18">
        <v>45688.50387731481</v>
      </c>
      <c r="DF831" s="17" t="s">
        <v>198</v>
      </c>
      <c r="DG831" s="18">
        <v>45688.50387731481</v>
      </c>
      <c r="DH831" s="13" t="s">
        <v>205</v>
      </c>
      <c r="DI831" s="14" t="s">
        <v>179</v>
      </c>
      <c r="DJ831" s="14" t="s">
        <v>17011</v>
      </c>
      <c r="DK831" s="14" t="s">
        <v>179</v>
      </c>
      <c r="DL831" s="14" t="s">
        <v>17012</v>
      </c>
      <c r="DM831" s="15"/>
      <c r="DN831" s="15"/>
      <c r="DO831" s="15"/>
      <c r="DP831" s="15"/>
      <c r="DQ831" s="15"/>
      <c r="DR831" s="15"/>
      <c r="DS831" s="15"/>
      <c r="DT831" s="15"/>
      <c r="DU831" s="15"/>
      <c r="DV831" s="15"/>
      <c r="DW831" s="15"/>
      <c r="DX831" s="15"/>
      <c r="DY831" s="15"/>
      <c r="DZ831" s="15"/>
      <c r="EA831" s="15"/>
      <c r="EB831" s="15"/>
      <c r="EC831" s="16" t="s">
        <v>197</v>
      </c>
      <c r="ED831" s="17" t="s">
        <v>198</v>
      </c>
      <c r="EE831" s="18">
        <v>45719.50622685185</v>
      </c>
      <c r="EF831" s="13" t="s">
        <v>209</v>
      </c>
      <c r="EG831" s="14" t="s">
        <v>179</v>
      </c>
      <c r="EH831" s="14" t="s">
        <v>17013</v>
      </c>
      <c r="EI831" s="14" t="s">
        <v>179</v>
      </c>
      <c r="EJ831" s="14" t="s">
        <v>17014</v>
      </c>
      <c r="EK831" s="15"/>
      <c r="EL831" s="15"/>
      <c r="EM831" s="15"/>
      <c r="EN831" s="15"/>
      <c r="EO831" s="15"/>
      <c r="EP831" s="15"/>
      <c r="EQ831" s="15"/>
      <c r="ER831" s="15"/>
      <c r="ES831" s="15"/>
      <c r="ET831" s="15"/>
      <c r="EU831" s="15"/>
      <c r="EV831" s="15"/>
      <c r="EW831" s="15"/>
      <c r="EX831" s="15"/>
      <c r="EY831" s="15"/>
      <c r="EZ831" s="15"/>
      <c r="FA831" s="15"/>
      <c r="FB831" s="15"/>
      <c r="FC831" s="16" t="s">
        <v>197</v>
      </c>
      <c r="FD831" s="17" t="s">
        <v>198</v>
      </c>
      <c r="FE831" s="18">
        <v>45724.4005787037</v>
      </c>
      <c r="FF831" s="19"/>
      <c r="FG831" s="19"/>
      <c r="FH831" s="21" t="s">
        <v>197</v>
      </c>
      <c r="FI831" s="17" t="s">
        <v>214</v>
      </c>
      <c r="FJ831" s="18">
        <v>45724.4005787037</v>
      </c>
      <c r="FK831" s="14" t="s">
        <v>17014</v>
      </c>
      <c r="FL831" s="14" t="s">
        <v>17015</v>
      </c>
      <c r="FM831" s="14" t="s">
        <v>17016</v>
      </c>
      <c r="FN831" s="19"/>
      <c r="FO831" s="19"/>
      <c r="FP831" s="19" t="str">
        <f t="shared" si="1"/>
        <v>Base de Dados_Images/TIT30026.Imagem do Equipamento-.155547.jpg</v>
      </c>
      <c r="FQ831" s="14"/>
      <c r="FR831" s="14"/>
    </row>
    <row r="832" ht="15.75" customHeight="1">
      <c r="A832" s="12" t="s">
        <v>292</v>
      </c>
      <c r="B832" s="12" t="s">
        <v>17017</v>
      </c>
      <c r="C832" s="24" t="s">
        <v>375</v>
      </c>
      <c r="D832" s="22" t="s">
        <v>17018</v>
      </c>
      <c r="E832" s="22" t="s">
        <v>17019</v>
      </c>
      <c r="F832" s="13" t="s">
        <v>178</v>
      </c>
      <c r="G832" s="14" t="s">
        <v>179</v>
      </c>
      <c r="H832" s="14" t="s">
        <v>17020</v>
      </c>
      <c r="I832" s="14" t="s">
        <v>179</v>
      </c>
      <c r="J832" s="14" t="s">
        <v>17021</v>
      </c>
      <c r="K832" s="14" t="s">
        <v>179</v>
      </c>
      <c r="L832" s="14" t="s">
        <v>17021</v>
      </c>
      <c r="M832" s="14" t="s">
        <v>179</v>
      </c>
      <c r="N832" s="14" t="s">
        <v>17022</v>
      </c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6" t="s">
        <v>197</v>
      </c>
      <c r="BP832" s="17" t="s">
        <v>198</v>
      </c>
      <c r="BQ832" s="18">
        <v>45691.67885416667</v>
      </c>
      <c r="BR832" s="17" t="s">
        <v>198</v>
      </c>
      <c r="BS832" s="18">
        <v>45691.67888888889</v>
      </c>
      <c r="BT832" s="17" t="s">
        <v>198</v>
      </c>
      <c r="BU832" s="18">
        <v>45691.67888888889</v>
      </c>
      <c r="BV832" s="13" t="s">
        <v>199</v>
      </c>
      <c r="BW832" s="14" t="s">
        <v>179</v>
      </c>
      <c r="BX832" s="14" t="s">
        <v>17023</v>
      </c>
      <c r="BY832" s="14" t="s">
        <v>179</v>
      </c>
      <c r="BZ832" s="14" t="s">
        <v>17024</v>
      </c>
      <c r="CA832" s="14" t="s">
        <v>179</v>
      </c>
      <c r="CB832" s="14" t="s">
        <v>17025</v>
      </c>
      <c r="CC832" s="15"/>
      <c r="CD832" s="15"/>
      <c r="CE832" s="15"/>
      <c r="CF832" s="15"/>
      <c r="CG832" s="19"/>
      <c r="CH832" s="15"/>
      <c r="CI832" s="19"/>
      <c r="CJ832" s="15"/>
      <c r="CK832" s="19"/>
      <c r="CL832" s="15"/>
      <c r="CM832" s="19"/>
      <c r="CN832" s="15"/>
      <c r="CO832" s="19"/>
      <c r="CP832" s="15"/>
      <c r="CQ832" s="15"/>
      <c r="CR832" s="15"/>
      <c r="CS832" s="19"/>
      <c r="CT832" s="15"/>
      <c r="CU832" s="19"/>
      <c r="CV832" s="15"/>
      <c r="CW832" s="19"/>
      <c r="CX832" s="15"/>
      <c r="CY832" s="19"/>
      <c r="CZ832" s="15"/>
      <c r="DA832" s="16" t="s">
        <v>197</v>
      </c>
      <c r="DB832" s="17" t="s">
        <v>228</v>
      </c>
      <c r="DC832" s="16"/>
      <c r="DD832" s="17" t="s">
        <v>198</v>
      </c>
      <c r="DE832" s="18">
        <v>45695.640381944446</v>
      </c>
      <c r="DF832" s="17" t="s">
        <v>198</v>
      </c>
      <c r="DG832" s="18">
        <v>45695.640381944446</v>
      </c>
      <c r="DH832" s="13" t="s">
        <v>205</v>
      </c>
      <c r="DI832" s="14" t="s">
        <v>179</v>
      </c>
      <c r="DJ832" s="14" t="s">
        <v>17026</v>
      </c>
      <c r="DK832" s="14" t="s">
        <v>179</v>
      </c>
      <c r="DL832" s="14" t="s">
        <v>17026</v>
      </c>
      <c r="DM832" s="15"/>
      <c r="DN832" s="15"/>
      <c r="DO832" s="15"/>
      <c r="DP832" s="15"/>
      <c r="DQ832" s="15"/>
      <c r="DR832" s="15"/>
      <c r="DS832" s="15"/>
      <c r="DT832" s="15"/>
      <c r="DU832" s="15"/>
      <c r="DV832" s="15"/>
      <c r="DW832" s="15"/>
      <c r="DX832" s="15"/>
      <c r="DY832" s="15"/>
      <c r="DZ832" s="15"/>
      <c r="EA832" s="15"/>
      <c r="EB832" s="15"/>
      <c r="EC832" s="16" t="s">
        <v>197</v>
      </c>
      <c r="ED832" s="17" t="s">
        <v>198</v>
      </c>
      <c r="EE832" s="18">
        <v>45719.51048611111</v>
      </c>
      <c r="EF832" s="13" t="s">
        <v>209</v>
      </c>
      <c r="EG832" s="14" t="s">
        <v>179</v>
      </c>
      <c r="EH832" s="14" t="s">
        <v>17027</v>
      </c>
      <c r="EI832" s="14" t="s">
        <v>179</v>
      </c>
      <c r="EJ832" s="14" t="s">
        <v>17028</v>
      </c>
      <c r="EK832" s="15"/>
      <c r="EL832" s="15"/>
      <c r="EM832" s="15"/>
      <c r="EN832" s="15"/>
      <c r="EO832" s="15"/>
      <c r="EP832" s="15"/>
      <c r="EQ832" s="15"/>
      <c r="ER832" s="15"/>
      <c r="ES832" s="15"/>
      <c r="ET832" s="15"/>
      <c r="EU832" s="15"/>
      <c r="EV832" s="15"/>
      <c r="EW832" s="15"/>
      <c r="EX832" s="15"/>
      <c r="EY832" s="15"/>
      <c r="EZ832" s="15"/>
      <c r="FA832" s="15"/>
      <c r="FB832" s="15"/>
      <c r="FC832" s="16" t="s">
        <v>197</v>
      </c>
      <c r="FD832" s="17" t="s">
        <v>198</v>
      </c>
      <c r="FE832" s="18">
        <v>45723.303449074076</v>
      </c>
      <c r="FF832" s="19"/>
      <c r="FG832" s="19"/>
      <c r="FH832" s="21" t="s">
        <v>197</v>
      </c>
      <c r="FI832" s="17" t="s">
        <v>214</v>
      </c>
      <c r="FJ832" s="18">
        <v>45723.303449074076</v>
      </c>
      <c r="FK832" s="14" t="s">
        <v>17028</v>
      </c>
      <c r="FL832" s="19"/>
      <c r="FM832" s="19"/>
      <c r="FN832" s="19"/>
      <c r="FO832" s="19"/>
      <c r="FP832" s="19" t="str">
        <f t="shared" si="1"/>
        <v/>
      </c>
      <c r="FQ832" s="14" t="s">
        <v>215</v>
      </c>
      <c r="FR832" s="14" t="s">
        <v>17029</v>
      </c>
    </row>
    <row r="833" ht="15.75" customHeight="1">
      <c r="A833" s="12" t="s">
        <v>292</v>
      </c>
      <c r="B833" s="12" t="s">
        <v>17017</v>
      </c>
      <c r="C833" s="24" t="s">
        <v>375</v>
      </c>
      <c r="D833" s="22" t="s">
        <v>17030</v>
      </c>
      <c r="E833" s="22" t="s">
        <v>17031</v>
      </c>
      <c r="F833" s="13" t="s">
        <v>178</v>
      </c>
      <c r="G833" s="14" t="s">
        <v>179</v>
      </c>
      <c r="H833" s="14" t="s">
        <v>17032</v>
      </c>
      <c r="I833" s="14" t="s">
        <v>179</v>
      </c>
      <c r="J833" s="14" t="s">
        <v>17032</v>
      </c>
      <c r="K833" s="14" t="s">
        <v>179</v>
      </c>
      <c r="L833" s="14" t="s">
        <v>17033</v>
      </c>
      <c r="M833" s="14" t="s">
        <v>179</v>
      </c>
      <c r="N833" s="14" t="s">
        <v>17034</v>
      </c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6" t="s">
        <v>197</v>
      </c>
      <c r="BP833" s="17" t="s">
        <v>198</v>
      </c>
      <c r="BQ833" s="18">
        <v>45691.6791087963</v>
      </c>
      <c r="BR833" s="17" t="s">
        <v>198</v>
      </c>
      <c r="BS833" s="18">
        <v>45691.679131944446</v>
      </c>
      <c r="BT833" s="17" t="s">
        <v>198</v>
      </c>
      <c r="BU833" s="18">
        <v>45691.679131944446</v>
      </c>
      <c r="BV833" s="13" t="s">
        <v>199</v>
      </c>
      <c r="BW833" s="14" t="s">
        <v>179</v>
      </c>
      <c r="BX833" s="14" t="s">
        <v>17035</v>
      </c>
      <c r="BY833" s="14" t="s">
        <v>179</v>
      </c>
      <c r="BZ833" s="14" t="s">
        <v>17036</v>
      </c>
      <c r="CA833" s="14" t="s">
        <v>179</v>
      </c>
      <c r="CB833" s="14" t="s">
        <v>17037</v>
      </c>
      <c r="CC833" s="15"/>
      <c r="CD833" s="15"/>
      <c r="CE833" s="15"/>
      <c r="CF833" s="15"/>
      <c r="CG833" s="19"/>
      <c r="CH833" s="15"/>
      <c r="CI833" s="19"/>
      <c r="CJ833" s="15"/>
      <c r="CK833" s="19"/>
      <c r="CL833" s="15"/>
      <c r="CM833" s="19"/>
      <c r="CN833" s="15"/>
      <c r="CO833" s="19"/>
      <c r="CP833" s="15"/>
      <c r="CQ833" s="15"/>
      <c r="CR833" s="15"/>
      <c r="CS833" s="19"/>
      <c r="CT833" s="15"/>
      <c r="CU833" s="19"/>
      <c r="CV833" s="15"/>
      <c r="CW833" s="19"/>
      <c r="CX833" s="15"/>
      <c r="CY833" s="19"/>
      <c r="CZ833" s="15"/>
      <c r="DA833" s="16" t="s">
        <v>197</v>
      </c>
      <c r="DB833" s="17" t="s">
        <v>228</v>
      </c>
      <c r="DC833" s="16"/>
      <c r="DD833" s="17" t="s">
        <v>198</v>
      </c>
      <c r="DE833" s="18">
        <v>45695.6405787037</v>
      </c>
      <c r="DF833" s="17" t="s">
        <v>198</v>
      </c>
      <c r="DG833" s="18">
        <v>45695.6405787037</v>
      </c>
      <c r="DH833" s="13" t="s">
        <v>205</v>
      </c>
      <c r="DI833" s="14" t="s">
        <v>179</v>
      </c>
      <c r="DJ833" s="14" t="s">
        <v>17038</v>
      </c>
      <c r="DK833" s="14" t="s">
        <v>179</v>
      </c>
      <c r="DL833" s="14" t="s">
        <v>17039</v>
      </c>
      <c r="DM833" s="15"/>
      <c r="DN833" s="15"/>
      <c r="DO833" s="15"/>
      <c r="DP833" s="15"/>
      <c r="DQ833" s="15"/>
      <c r="DR833" s="15"/>
      <c r="DS833" s="15"/>
      <c r="DT833" s="15"/>
      <c r="DU833" s="15"/>
      <c r="DV833" s="15"/>
      <c r="DW833" s="15"/>
      <c r="DX833" s="15"/>
      <c r="DY833" s="15"/>
      <c r="DZ833" s="15"/>
      <c r="EA833" s="15"/>
      <c r="EB833" s="15"/>
      <c r="EC833" s="16" t="s">
        <v>197</v>
      </c>
      <c r="ED833" s="17" t="s">
        <v>198</v>
      </c>
      <c r="EE833" s="18">
        <v>45719.5105787037</v>
      </c>
      <c r="EF833" s="13" t="s">
        <v>209</v>
      </c>
      <c r="EG833" s="14" t="s">
        <v>179</v>
      </c>
      <c r="EH833" s="14" t="s">
        <v>17040</v>
      </c>
      <c r="EI833" s="14" t="s">
        <v>179</v>
      </c>
      <c r="EJ833" s="14" t="s">
        <v>17040</v>
      </c>
      <c r="EK833" s="15"/>
      <c r="EL833" s="15"/>
      <c r="EM833" s="15"/>
      <c r="EN833" s="15"/>
      <c r="EO833" s="15"/>
      <c r="EP833" s="15"/>
      <c r="EQ833" s="15"/>
      <c r="ER833" s="15"/>
      <c r="ES833" s="15"/>
      <c r="ET833" s="15"/>
      <c r="EU833" s="15"/>
      <c r="EV833" s="15"/>
      <c r="EW833" s="15"/>
      <c r="EX833" s="15"/>
      <c r="EY833" s="15"/>
      <c r="EZ833" s="15"/>
      <c r="FA833" s="15"/>
      <c r="FB833" s="15"/>
      <c r="FC833" s="16" t="s">
        <v>197</v>
      </c>
      <c r="FD833" s="17" t="s">
        <v>198</v>
      </c>
      <c r="FE833" s="18">
        <v>45723.30351851852</v>
      </c>
      <c r="FF833" s="19"/>
      <c r="FG833" s="19"/>
      <c r="FH833" s="21" t="s">
        <v>197</v>
      </c>
      <c r="FI833" s="17" t="s">
        <v>214</v>
      </c>
      <c r="FJ833" s="18">
        <v>45723.30351851852</v>
      </c>
      <c r="FK833" s="14" t="s">
        <v>17040</v>
      </c>
      <c r="FL833" s="19"/>
      <c r="FM833" s="19"/>
      <c r="FN833" s="19"/>
      <c r="FO833" s="19"/>
      <c r="FP833" s="19" t="str">
        <f t="shared" si="1"/>
        <v/>
      </c>
      <c r="FQ833" s="14" t="s">
        <v>215</v>
      </c>
      <c r="FR833" s="14" t="s">
        <v>17041</v>
      </c>
    </row>
    <row r="834" ht="15.75" customHeight="1">
      <c r="A834" s="12" t="s">
        <v>292</v>
      </c>
      <c r="B834" s="12" t="s">
        <v>17017</v>
      </c>
      <c r="C834" s="24" t="s">
        <v>375</v>
      </c>
      <c r="D834" s="22" t="s">
        <v>17042</v>
      </c>
      <c r="E834" s="22" t="s">
        <v>17043</v>
      </c>
      <c r="F834" s="13" t="s">
        <v>178</v>
      </c>
      <c r="G834" s="14" t="s">
        <v>179</v>
      </c>
      <c r="H834" s="14" t="s">
        <v>17044</v>
      </c>
      <c r="I834" s="14" t="s">
        <v>179</v>
      </c>
      <c r="J834" s="14" t="s">
        <v>17045</v>
      </c>
      <c r="K834" s="14" t="s">
        <v>179</v>
      </c>
      <c r="L834" s="14" t="s">
        <v>17045</v>
      </c>
      <c r="M834" s="14" t="s">
        <v>179</v>
      </c>
      <c r="N834" s="14" t="s">
        <v>17046</v>
      </c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6" t="s">
        <v>197</v>
      </c>
      <c r="BP834" s="17" t="s">
        <v>198</v>
      </c>
      <c r="BQ834" s="18">
        <v>45691.67930555555</v>
      </c>
      <c r="BR834" s="17" t="s">
        <v>198</v>
      </c>
      <c r="BS834" s="18">
        <v>45691.67932870371</v>
      </c>
      <c r="BT834" s="17" t="s">
        <v>198</v>
      </c>
      <c r="BU834" s="18">
        <v>45691.67932870371</v>
      </c>
      <c r="BV834" s="13" t="s">
        <v>199</v>
      </c>
      <c r="BW834" s="14" t="s">
        <v>179</v>
      </c>
      <c r="BX834" s="14" t="s">
        <v>17047</v>
      </c>
      <c r="BY834" s="14" t="s">
        <v>179</v>
      </c>
      <c r="BZ834" s="14" t="s">
        <v>17048</v>
      </c>
      <c r="CA834" s="14" t="s">
        <v>179</v>
      </c>
      <c r="CB834" s="14" t="s">
        <v>17048</v>
      </c>
      <c r="CC834" s="15"/>
      <c r="CD834" s="15"/>
      <c r="CE834" s="15"/>
      <c r="CF834" s="15"/>
      <c r="CG834" s="19"/>
      <c r="CH834" s="15"/>
      <c r="CI834" s="19"/>
      <c r="CJ834" s="15"/>
      <c r="CK834" s="19"/>
      <c r="CL834" s="15"/>
      <c r="CM834" s="19"/>
      <c r="CN834" s="15"/>
      <c r="CO834" s="19"/>
      <c r="CP834" s="15"/>
      <c r="CQ834" s="15"/>
      <c r="CR834" s="15"/>
      <c r="CS834" s="19"/>
      <c r="CT834" s="15"/>
      <c r="CU834" s="19"/>
      <c r="CV834" s="15"/>
      <c r="CW834" s="19"/>
      <c r="CX834" s="15"/>
      <c r="CY834" s="19"/>
      <c r="CZ834" s="15"/>
      <c r="DA834" s="16" t="s">
        <v>197</v>
      </c>
      <c r="DB834" s="17" t="s">
        <v>228</v>
      </c>
      <c r="DC834" s="16"/>
      <c r="DD834" s="17" t="s">
        <v>198</v>
      </c>
      <c r="DE834" s="18">
        <v>45719.510671296295</v>
      </c>
      <c r="DF834" s="17" t="s">
        <v>198</v>
      </c>
      <c r="DG834" s="18">
        <v>45719.510671296295</v>
      </c>
      <c r="DH834" s="13" t="s">
        <v>205</v>
      </c>
      <c r="DI834" s="14" t="s">
        <v>179</v>
      </c>
      <c r="DJ834" s="14" t="s">
        <v>17049</v>
      </c>
      <c r="DK834" s="14" t="s">
        <v>179</v>
      </c>
      <c r="DL834" s="14" t="s">
        <v>17050</v>
      </c>
      <c r="DM834" s="15"/>
      <c r="DN834" s="15"/>
      <c r="DO834" s="15"/>
      <c r="DP834" s="15"/>
      <c r="DQ834" s="15"/>
      <c r="DR834" s="15"/>
      <c r="DS834" s="15"/>
      <c r="DT834" s="15"/>
      <c r="DU834" s="15"/>
      <c r="DV834" s="15"/>
      <c r="DW834" s="15"/>
      <c r="DX834" s="15"/>
      <c r="DY834" s="15"/>
      <c r="DZ834" s="15"/>
      <c r="EA834" s="15"/>
      <c r="EB834" s="15"/>
      <c r="EC834" s="16" t="s">
        <v>197</v>
      </c>
      <c r="ED834" s="17" t="s">
        <v>198</v>
      </c>
      <c r="EE834" s="18">
        <v>45719.510729166665</v>
      </c>
      <c r="EF834" s="13" t="s">
        <v>209</v>
      </c>
      <c r="EG834" s="14" t="s">
        <v>179</v>
      </c>
      <c r="EH834" s="14" t="s">
        <v>17051</v>
      </c>
      <c r="EI834" s="14" t="s">
        <v>179</v>
      </c>
      <c r="EJ834" s="14" t="s">
        <v>17051</v>
      </c>
      <c r="EK834" s="15"/>
      <c r="EL834" s="15"/>
      <c r="EM834" s="15"/>
      <c r="EN834" s="15"/>
      <c r="EO834" s="15"/>
      <c r="EP834" s="15"/>
      <c r="EQ834" s="15"/>
      <c r="ER834" s="15"/>
      <c r="ES834" s="15"/>
      <c r="ET834" s="15"/>
      <c r="EU834" s="15"/>
      <c r="EV834" s="15"/>
      <c r="EW834" s="15"/>
      <c r="EX834" s="15"/>
      <c r="EY834" s="15"/>
      <c r="EZ834" s="15"/>
      <c r="FA834" s="15"/>
      <c r="FB834" s="15"/>
      <c r="FC834" s="16" t="s">
        <v>197</v>
      </c>
      <c r="FD834" s="17" t="s">
        <v>198</v>
      </c>
      <c r="FE834" s="18">
        <v>45723.30357638889</v>
      </c>
      <c r="FF834" s="19"/>
      <c r="FG834" s="19"/>
      <c r="FH834" s="21" t="s">
        <v>197</v>
      </c>
      <c r="FI834" s="17" t="s">
        <v>214</v>
      </c>
      <c r="FJ834" s="18">
        <v>45723.30357638889</v>
      </c>
      <c r="FK834" s="14" t="s">
        <v>17051</v>
      </c>
      <c r="FL834" s="19"/>
      <c r="FM834" s="19"/>
      <c r="FN834" s="19"/>
      <c r="FO834" s="19"/>
      <c r="FP834" s="19" t="str">
        <f t="shared" si="1"/>
        <v/>
      </c>
      <c r="FQ834" s="14" t="s">
        <v>215</v>
      </c>
      <c r="FR834" s="14" t="s">
        <v>17052</v>
      </c>
    </row>
    <row r="835" ht="15.75" customHeight="1">
      <c r="A835" s="12" t="s">
        <v>292</v>
      </c>
      <c r="B835" s="12" t="s">
        <v>17017</v>
      </c>
      <c r="C835" s="24" t="s">
        <v>375</v>
      </c>
      <c r="D835" s="22" t="s">
        <v>17053</v>
      </c>
      <c r="E835" s="22" t="s">
        <v>17054</v>
      </c>
      <c r="F835" s="13" t="s">
        <v>178</v>
      </c>
      <c r="G835" s="14" t="s">
        <v>179</v>
      </c>
      <c r="H835" s="14" t="s">
        <v>17055</v>
      </c>
      <c r="I835" s="14" t="s">
        <v>179</v>
      </c>
      <c r="J835" s="14" t="s">
        <v>17056</v>
      </c>
      <c r="K835" s="14" t="s">
        <v>179</v>
      </c>
      <c r="L835" s="14" t="s">
        <v>17056</v>
      </c>
      <c r="M835" s="14" t="s">
        <v>179</v>
      </c>
      <c r="N835" s="14" t="s">
        <v>17057</v>
      </c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6" t="s">
        <v>197</v>
      </c>
      <c r="BP835" s="17" t="s">
        <v>198</v>
      </c>
      <c r="BQ835" s="18">
        <v>45691.67951388889</v>
      </c>
      <c r="BR835" s="17" t="s">
        <v>198</v>
      </c>
      <c r="BS835" s="18">
        <v>45691.67958333333</v>
      </c>
      <c r="BT835" s="17" t="s">
        <v>198</v>
      </c>
      <c r="BU835" s="18">
        <v>45691.67958333333</v>
      </c>
      <c r="BV835" s="13" t="s">
        <v>199</v>
      </c>
      <c r="BW835" s="14" t="s">
        <v>179</v>
      </c>
      <c r="BX835" s="14" t="s">
        <v>17058</v>
      </c>
      <c r="BY835" s="14" t="s">
        <v>179</v>
      </c>
      <c r="BZ835" s="14" t="s">
        <v>17059</v>
      </c>
      <c r="CA835" s="14" t="s">
        <v>179</v>
      </c>
      <c r="CB835" s="14" t="s">
        <v>17060</v>
      </c>
      <c r="CC835" s="15"/>
      <c r="CD835" s="15"/>
      <c r="CE835" s="15"/>
      <c r="CF835" s="15"/>
      <c r="CG835" s="19"/>
      <c r="CH835" s="15"/>
      <c r="CI835" s="19"/>
      <c r="CJ835" s="15"/>
      <c r="CK835" s="19"/>
      <c r="CL835" s="15"/>
      <c r="CM835" s="19"/>
      <c r="CN835" s="15"/>
      <c r="CO835" s="19"/>
      <c r="CP835" s="15"/>
      <c r="CQ835" s="15"/>
      <c r="CR835" s="15"/>
      <c r="CS835" s="19"/>
      <c r="CT835" s="15"/>
      <c r="CU835" s="19"/>
      <c r="CV835" s="15"/>
      <c r="CW835" s="19"/>
      <c r="CX835" s="15"/>
      <c r="CY835" s="19"/>
      <c r="CZ835" s="15"/>
      <c r="DA835" s="16" t="s">
        <v>197</v>
      </c>
      <c r="DB835" s="17" t="s">
        <v>228</v>
      </c>
      <c r="DC835" s="16"/>
      <c r="DD835" s="17" t="s">
        <v>198</v>
      </c>
      <c r="DE835" s="18">
        <v>45719.510833333334</v>
      </c>
      <c r="DF835" s="17" t="s">
        <v>198</v>
      </c>
      <c r="DG835" s="18">
        <v>45719.510833333334</v>
      </c>
      <c r="DH835" s="13" t="s">
        <v>205</v>
      </c>
      <c r="DI835" s="14" t="s">
        <v>179</v>
      </c>
      <c r="DJ835" s="14" t="s">
        <v>17061</v>
      </c>
      <c r="DK835" s="14" t="s">
        <v>179</v>
      </c>
      <c r="DL835" s="14" t="s">
        <v>17062</v>
      </c>
      <c r="DM835" s="15"/>
      <c r="DN835" s="15"/>
      <c r="DO835" s="15"/>
      <c r="DP835" s="15"/>
      <c r="DQ835" s="15"/>
      <c r="DR835" s="15"/>
      <c r="DS835" s="15"/>
      <c r="DT835" s="15"/>
      <c r="DU835" s="15"/>
      <c r="DV835" s="15"/>
      <c r="DW835" s="15"/>
      <c r="DX835" s="15"/>
      <c r="DY835" s="15"/>
      <c r="DZ835" s="15"/>
      <c r="EA835" s="15"/>
      <c r="EB835" s="15"/>
      <c r="EC835" s="16" t="s">
        <v>197</v>
      </c>
      <c r="ED835" s="17" t="s">
        <v>198</v>
      </c>
      <c r="EE835" s="18">
        <v>45719.510879629626</v>
      </c>
      <c r="EF835" s="13" t="s">
        <v>209</v>
      </c>
      <c r="EG835" s="14" t="s">
        <v>179</v>
      </c>
      <c r="EH835" s="14" t="s">
        <v>17063</v>
      </c>
      <c r="EI835" s="14" t="s">
        <v>179</v>
      </c>
      <c r="EJ835" s="14" t="s">
        <v>17063</v>
      </c>
      <c r="EK835" s="15"/>
      <c r="EL835" s="15"/>
      <c r="EM835" s="15"/>
      <c r="EN835" s="15"/>
      <c r="EO835" s="15"/>
      <c r="EP835" s="15"/>
      <c r="EQ835" s="15"/>
      <c r="ER835" s="15"/>
      <c r="ES835" s="15"/>
      <c r="ET835" s="15"/>
      <c r="EU835" s="15"/>
      <c r="EV835" s="15"/>
      <c r="EW835" s="15"/>
      <c r="EX835" s="15"/>
      <c r="EY835" s="15"/>
      <c r="EZ835" s="15"/>
      <c r="FA835" s="15"/>
      <c r="FB835" s="15"/>
      <c r="FC835" s="16" t="s">
        <v>197</v>
      </c>
      <c r="FD835" s="17" t="s">
        <v>198</v>
      </c>
      <c r="FE835" s="18">
        <v>45723.30363425926</v>
      </c>
      <c r="FF835" s="19"/>
      <c r="FG835" s="19"/>
      <c r="FH835" s="21" t="s">
        <v>197</v>
      </c>
      <c r="FI835" s="17" t="s">
        <v>214</v>
      </c>
      <c r="FJ835" s="18">
        <v>45723.30363425926</v>
      </c>
      <c r="FK835" s="14" t="s">
        <v>17063</v>
      </c>
      <c r="FL835" s="19"/>
      <c r="FM835" s="19"/>
      <c r="FN835" s="19"/>
      <c r="FO835" s="19"/>
      <c r="FP835" s="19" t="str">
        <f t="shared" si="1"/>
        <v/>
      </c>
      <c r="FQ835" s="14" t="s">
        <v>215</v>
      </c>
      <c r="FR835" s="14" t="s">
        <v>17064</v>
      </c>
    </row>
    <row r="836" ht="15.75" customHeight="1">
      <c r="A836" s="12" t="s">
        <v>292</v>
      </c>
      <c r="B836" s="12" t="s">
        <v>17065</v>
      </c>
      <c r="C836" s="24" t="s">
        <v>375</v>
      </c>
      <c r="D836" s="22" t="s">
        <v>17066</v>
      </c>
      <c r="E836" s="22" t="s">
        <v>17067</v>
      </c>
      <c r="F836" s="13" t="s">
        <v>178</v>
      </c>
      <c r="G836" s="14" t="s">
        <v>179</v>
      </c>
      <c r="H836" s="14" t="s">
        <v>17068</v>
      </c>
      <c r="I836" s="14" t="s">
        <v>179</v>
      </c>
      <c r="J836" s="14" t="s">
        <v>17069</v>
      </c>
      <c r="K836" s="14" t="s">
        <v>179</v>
      </c>
      <c r="L836" s="14" t="s">
        <v>17070</v>
      </c>
      <c r="M836" s="14" t="s">
        <v>179</v>
      </c>
      <c r="N836" s="14" t="s">
        <v>17071</v>
      </c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6" t="s">
        <v>197</v>
      </c>
      <c r="BP836" s="17" t="s">
        <v>198</v>
      </c>
      <c r="BQ836" s="18">
        <v>45691.68069444445</v>
      </c>
      <c r="BR836" s="17" t="s">
        <v>198</v>
      </c>
      <c r="BS836" s="18">
        <v>45691.68074074074</v>
      </c>
      <c r="BT836" s="17" t="s">
        <v>198</v>
      </c>
      <c r="BU836" s="18">
        <v>45691.68074074074</v>
      </c>
      <c r="BV836" s="13" t="s">
        <v>199</v>
      </c>
      <c r="BW836" s="14" t="s">
        <v>179</v>
      </c>
      <c r="BX836" s="14" t="s">
        <v>17072</v>
      </c>
      <c r="BY836" s="14" t="s">
        <v>179</v>
      </c>
      <c r="BZ836" s="14" t="s">
        <v>17072</v>
      </c>
      <c r="CA836" s="14" t="s">
        <v>179</v>
      </c>
      <c r="CB836" s="14" t="s">
        <v>17073</v>
      </c>
      <c r="CC836" s="15"/>
      <c r="CD836" s="15"/>
      <c r="CE836" s="15"/>
      <c r="CF836" s="15"/>
      <c r="CG836" s="19"/>
      <c r="CH836" s="15"/>
      <c r="CI836" s="19"/>
      <c r="CJ836" s="15"/>
      <c r="CK836" s="19"/>
      <c r="CL836" s="15"/>
      <c r="CM836" s="19"/>
      <c r="CN836" s="15"/>
      <c r="CO836" s="19"/>
      <c r="CP836" s="15"/>
      <c r="CQ836" s="15"/>
      <c r="CR836" s="15"/>
      <c r="CS836" s="19"/>
      <c r="CT836" s="15"/>
      <c r="CU836" s="19"/>
      <c r="CV836" s="15"/>
      <c r="CW836" s="19"/>
      <c r="CX836" s="15"/>
      <c r="CY836" s="19"/>
      <c r="CZ836" s="15"/>
      <c r="DA836" s="16" t="s">
        <v>197</v>
      </c>
      <c r="DB836" s="17" t="s">
        <v>228</v>
      </c>
      <c r="DC836" s="16"/>
      <c r="DD836" s="17" t="s">
        <v>198</v>
      </c>
      <c r="DE836" s="18">
        <v>45719.511458333334</v>
      </c>
      <c r="DF836" s="17" t="s">
        <v>198</v>
      </c>
      <c r="DG836" s="18">
        <v>45719.511458333334</v>
      </c>
      <c r="DH836" s="13" t="s">
        <v>205</v>
      </c>
      <c r="DI836" s="14" t="s">
        <v>179</v>
      </c>
      <c r="DJ836" s="14" t="s">
        <v>17074</v>
      </c>
      <c r="DK836" s="14" t="s">
        <v>179</v>
      </c>
      <c r="DL836" s="14" t="s">
        <v>17074</v>
      </c>
      <c r="DM836" s="15"/>
      <c r="DN836" s="15"/>
      <c r="DO836" s="15"/>
      <c r="DP836" s="15"/>
      <c r="DQ836" s="15"/>
      <c r="DR836" s="15"/>
      <c r="DS836" s="15"/>
      <c r="DT836" s="15"/>
      <c r="DU836" s="15"/>
      <c r="DV836" s="15"/>
      <c r="DW836" s="15"/>
      <c r="DX836" s="15"/>
      <c r="DY836" s="15"/>
      <c r="DZ836" s="15"/>
      <c r="EA836" s="15"/>
      <c r="EB836" s="15"/>
      <c r="EC836" s="16" t="s">
        <v>197</v>
      </c>
      <c r="ED836" s="17" t="s">
        <v>198</v>
      </c>
      <c r="EE836" s="18">
        <v>45719.51150462963</v>
      </c>
      <c r="EF836" s="13" t="s">
        <v>209</v>
      </c>
      <c r="EG836" s="15"/>
      <c r="EH836" s="15"/>
      <c r="EI836" s="15"/>
      <c r="EJ836" s="15"/>
      <c r="EK836" s="15"/>
      <c r="EL836" s="15"/>
      <c r="EM836" s="15"/>
      <c r="EN836" s="15"/>
      <c r="EO836" s="15"/>
      <c r="EP836" s="15"/>
      <c r="EQ836" s="15"/>
      <c r="ER836" s="15"/>
      <c r="ES836" s="15"/>
      <c r="ET836" s="15"/>
      <c r="EU836" s="15"/>
      <c r="EV836" s="15"/>
      <c r="EW836" s="15"/>
      <c r="EX836" s="15"/>
      <c r="EY836" s="15"/>
      <c r="EZ836" s="15"/>
      <c r="FA836" s="15"/>
      <c r="FB836" s="15"/>
      <c r="FC836" s="16" t="s">
        <v>197</v>
      </c>
      <c r="FD836" s="16" t="s">
        <v>197</v>
      </c>
      <c r="FE836" s="23"/>
      <c r="FF836" s="19"/>
      <c r="FG836" s="19"/>
      <c r="FH836" s="21" t="s">
        <v>197</v>
      </c>
      <c r="FI836" s="16" t="s">
        <v>17075</v>
      </c>
      <c r="FJ836" s="23"/>
      <c r="FK836" s="14" t="s">
        <v>17074</v>
      </c>
      <c r="FL836" s="19"/>
      <c r="FM836" s="19"/>
      <c r="FN836" s="19"/>
      <c r="FO836" s="19"/>
      <c r="FP836" s="19" t="str">
        <f t="shared" si="1"/>
        <v/>
      </c>
      <c r="FQ836" s="14" t="s">
        <v>215</v>
      </c>
      <c r="FR836" s="14" t="s">
        <v>17076</v>
      </c>
    </row>
    <row r="837" ht="15.75" customHeight="1">
      <c r="A837" s="12" t="s">
        <v>292</v>
      </c>
      <c r="B837" s="12" t="s">
        <v>17065</v>
      </c>
      <c r="C837" s="24" t="s">
        <v>375</v>
      </c>
      <c r="D837" s="22" t="s">
        <v>17077</v>
      </c>
      <c r="E837" s="22" t="s">
        <v>17078</v>
      </c>
      <c r="F837" s="13" t="s">
        <v>178</v>
      </c>
      <c r="G837" s="14" t="s">
        <v>179</v>
      </c>
      <c r="H837" s="14" t="s">
        <v>17079</v>
      </c>
      <c r="I837" s="14" t="s">
        <v>179</v>
      </c>
      <c r="J837" s="14" t="s">
        <v>17080</v>
      </c>
      <c r="K837" s="14" t="s">
        <v>179</v>
      </c>
      <c r="L837" s="14" t="s">
        <v>17081</v>
      </c>
      <c r="M837" s="14" t="s">
        <v>179</v>
      </c>
      <c r="N837" s="14" t="s">
        <v>17082</v>
      </c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6" t="s">
        <v>197</v>
      </c>
      <c r="BP837" s="17" t="s">
        <v>198</v>
      </c>
      <c r="BQ837" s="18">
        <v>45691.681226851855</v>
      </c>
      <c r="BR837" s="17" t="s">
        <v>198</v>
      </c>
      <c r="BS837" s="18">
        <v>45691.681284722225</v>
      </c>
      <c r="BT837" s="17" t="s">
        <v>198</v>
      </c>
      <c r="BU837" s="18">
        <v>45691.681284722225</v>
      </c>
      <c r="BV837" s="13" t="s">
        <v>199</v>
      </c>
      <c r="BW837" s="14" t="s">
        <v>179</v>
      </c>
      <c r="BX837" s="14" t="s">
        <v>17083</v>
      </c>
      <c r="BY837" s="14" t="s">
        <v>179</v>
      </c>
      <c r="BZ837" s="14" t="s">
        <v>17084</v>
      </c>
      <c r="CA837" s="14" t="s">
        <v>179</v>
      </c>
      <c r="CB837" s="14" t="s">
        <v>17085</v>
      </c>
      <c r="CC837" s="15"/>
      <c r="CD837" s="15"/>
      <c r="CE837" s="15"/>
      <c r="CF837" s="15"/>
      <c r="CG837" s="19"/>
      <c r="CH837" s="15"/>
      <c r="CI837" s="19"/>
      <c r="CJ837" s="15"/>
      <c r="CK837" s="19"/>
      <c r="CL837" s="15"/>
      <c r="CM837" s="19"/>
      <c r="CN837" s="15"/>
      <c r="CO837" s="19"/>
      <c r="CP837" s="15"/>
      <c r="CQ837" s="15"/>
      <c r="CR837" s="15"/>
      <c r="CS837" s="19"/>
      <c r="CT837" s="15"/>
      <c r="CU837" s="19"/>
      <c r="CV837" s="15"/>
      <c r="CW837" s="19"/>
      <c r="CX837" s="15"/>
      <c r="CY837" s="19"/>
      <c r="CZ837" s="15"/>
      <c r="DA837" s="16" t="s">
        <v>197</v>
      </c>
      <c r="DB837" s="17" t="s">
        <v>228</v>
      </c>
      <c r="DC837" s="16"/>
      <c r="DD837" s="17" t="s">
        <v>198</v>
      </c>
      <c r="DE837" s="18">
        <v>45719.511608796296</v>
      </c>
      <c r="DF837" s="17" t="s">
        <v>198</v>
      </c>
      <c r="DG837" s="18">
        <v>45719.511608796296</v>
      </c>
      <c r="DH837" s="13" t="s">
        <v>205</v>
      </c>
      <c r="DI837" s="14" t="s">
        <v>179</v>
      </c>
      <c r="DJ837" s="14" t="s">
        <v>17086</v>
      </c>
      <c r="DK837" s="14" t="s">
        <v>179</v>
      </c>
      <c r="DL837" s="14" t="s">
        <v>17087</v>
      </c>
      <c r="DM837" s="15"/>
      <c r="DN837" s="15"/>
      <c r="DO837" s="15"/>
      <c r="DP837" s="15"/>
      <c r="DQ837" s="15"/>
      <c r="DR837" s="15"/>
      <c r="DS837" s="15"/>
      <c r="DT837" s="15"/>
      <c r="DU837" s="15"/>
      <c r="DV837" s="15"/>
      <c r="DW837" s="15"/>
      <c r="DX837" s="15"/>
      <c r="DY837" s="15"/>
      <c r="DZ837" s="15"/>
      <c r="EA837" s="15"/>
      <c r="EB837" s="15"/>
      <c r="EC837" s="16" t="s">
        <v>197</v>
      </c>
      <c r="ED837" s="17" t="s">
        <v>198</v>
      </c>
      <c r="EE837" s="18">
        <v>45719.511666666665</v>
      </c>
      <c r="EF837" s="13" t="s">
        <v>209</v>
      </c>
      <c r="EG837" s="15"/>
      <c r="EH837" s="15"/>
      <c r="EI837" s="15"/>
      <c r="EJ837" s="15"/>
      <c r="EK837" s="15"/>
      <c r="EL837" s="15"/>
      <c r="EM837" s="15"/>
      <c r="EN837" s="15"/>
      <c r="EO837" s="15"/>
      <c r="EP837" s="15"/>
      <c r="EQ837" s="15"/>
      <c r="ER837" s="15"/>
      <c r="ES837" s="15"/>
      <c r="ET837" s="15"/>
      <c r="EU837" s="15"/>
      <c r="EV837" s="15"/>
      <c r="EW837" s="15"/>
      <c r="EX837" s="15"/>
      <c r="EY837" s="15"/>
      <c r="EZ837" s="15"/>
      <c r="FA837" s="15"/>
      <c r="FB837" s="15"/>
      <c r="FC837" s="16" t="s">
        <v>197</v>
      </c>
      <c r="FD837" s="16" t="s">
        <v>197</v>
      </c>
      <c r="FE837" s="23"/>
      <c r="FF837" s="19"/>
      <c r="FG837" s="19"/>
      <c r="FH837" s="21" t="s">
        <v>197</v>
      </c>
      <c r="FI837" s="16" t="s">
        <v>17075</v>
      </c>
      <c r="FJ837" s="23"/>
      <c r="FK837" s="14" t="s">
        <v>17087</v>
      </c>
      <c r="FL837" s="14" t="s">
        <v>17088</v>
      </c>
      <c r="FM837" s="14" t="s">
        <v>17089</v>
      </c>
      <c r="FN837" s="19"/>
      <c r="FO837" s="19"/>
      <c r="FP837" s="19" t="str">
        <f t="shared" si="1"/>
        <v>Base de Dados_Images/TIT30036.Imagem do Equipamento-.194523.jpg</v>
      </c>
      <c r="FQ837" s="19"/>
      <c r="FR837" s="19"/>
    </row>
    <row r="838" ht="15.75" customHeight="1">
      <c r="A838" s="12" t="s">
        <v>292</v>
      </c>
      <c r="B838" s="12" t="s">
        <v>17065</v>
      </c>
      <c r="C838" s="24" t="s">
        <v>375</v>
      </c>
      <c r="D838" s="22" t="s">
        <v>17090</v>
      </c>
      <c r="E838" s="22" t="s">
        <v>17091</v>
      </c>
      <c r="F838" s="13" t="s">
        <v>178</v>
      </c>
      <c r="G838" s="14" t="s">
        <v>179</v>
      </c>
      <c r="H838" s="14" t="s">
        <v>17092</v>
      </c>
      <c r="I838" s="14" t="s">
        <v>179</v>
      </c>
      <c r="J838" s="14" t="s">
        <v>17093</v>
      </c>
      <c r="K838" s="14" t="s">
        <v>179</v>
      </c>
      <c r="L838" s="14" t="s">
        <v>17094</v>
      </c>
      <c r="M838" s="14" t="s">
        <v>179</v>
      </c>
      <c r="N838" s="14" t="s">
        <v>17095</v>
      </c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6" t="s">
        <v>197</v>
      </c>
      <c r="BP838" s="17" t="s">
        <v>198</v>
      </c>
      <c r="BQ838" s="18">
        <v>45691.68225694444</v>
      </c>
      <c r="BR838" s="17" t="s">
        <v>198</v>
      </c>
      <c r="BS838" s="18">
        <v>45691.68231481482</v>
      </c>
      <c r="BT838" s="17" t="s">
        <v>198</v>
      </c>
      <c r="BU838" s="18">
        <v>45691.68231481482</v>
      </c>
      <c r="BV838" s="13" t="s">
        <v>199</v>
      </c>
      <c r="BW838" s="14" t="s">
        <v>179</v>
      </c>
      <c r="BX838" s="14" t="s">
        <v>17096</v>
      </c>
      <c r="BY838" s="14" t="s">
        <v>179</v>
      </c>
      <c r="BZ838" s="14" t="s">
        <v>17097</v>
      </c>
      <c r="CA838" s="14" t="s">
        <v>179</v>
      </c>
      <c r="CB838" s="14" t="s">
        <v>17098</v>
      </c>
      <c r="CC838" s="15"/>
      <c r="CD838" s="15"/>
      <c r="CE838" s="15"/>
      <c r="CF838" s="15"/>
      <c r="CG838" s="19"/>
      <c r="CH838" s="15"/>
      <c r="CI838" s="19"/>
      <c r="CJ838" s="15"/>
      <c r="CK838" s="19"/>
      <c r="CL838" s="15"/>
      <c r="CM838" s="19"/>
      <c r="CN838" s="15"/>
      <c r="CO838" s="19"/>
      <c r="CP838" s="15"/>
      <c r="CQ838" s="15"/>
      <c r="CR838" s="15"/>
      <c r="CS838" s="19"/>
      <c r="CT838" s="15"/>
      <c r="CU838" s="19"/>
      <c r="CV838" s="15"/>
      <c r="CW838" s="19"/>
      <c r="CX838" s="15"/>
      <c r="CY838" s="19"/>
      <c r="CZ838" s="15"/>
      <c r="DA838" s="16" t="s">
        <v>197</v>
      </c>
      <c r="DB838" s="17" t="s">
        <v>228</v>
      </c>
      <c r="DC838" s="16"/>
      <c r="DD838" s="17" t="s">
        <v>198</v>
      </c>
      <c r="DE838" s="18">
        <v>45719.51175925926</v>
      </c>
      <c r="DF838" s="17" t="s">
        <v>198</v>
      </c>
      <c r="DG838" s="18">
        <v>45719.51175925926</v>
      </c>
      <c r="DH838" s="13" t="s">
        <v>205</v>
      </c>
      <c r="DI838" s="14" t="s">
        <v>179</v>
      </c>
      <c r="DJ838" s="14" t="s">
        <v>17099</v>
      </c>
      <c r="DK838" s="14" t="s">
        <v>179</v>
      </c>
      <c r="DL838" s="14" t="s">
        <v>17100</v>
      </c>
      <c r="DM838" s="15"/>
      <c r="DN838" s="15"/>
      <c r="DO838" s="15"/>
      <c r="DP838" s="15"/>
      <c r="DQ838" s="15"/>
      <c r="DR838" s="15"/>
      <c r="DS838" s="15"/>
      <c r="DT838" s="15"/>
      <c r="DU838" s="15"/>
      <c r="DV838" s="15"/>
      <c r="DW838" s="15"/>
      <c r="DX838" s="15"/>
      <c r="DY838" s="15"/>
      <c r="DZ838" s="15"/>
      <c r="EA838" s="15"/>
      <c r="EB838" s="15"/>
      <c r="EC838" s="16" t="s">
        <v>197</v>
      </c>
      <c r="ED838" s="17" t="s">
        <v>198</v>
      </c>
      <c r="EE838" s="18">
        <v>45719.51180555556</v>
      </c>
      <c r="EF838" s="13" t="s">
        <v>209</v>
      </c>
      <c r="EG838" s="15"/>
      <c r="EH838" s="15"/>
      <c r="EI838" s="15"/>
      <c r="EJ838" s="15"/>
      <c r="EK838" s="15"/>
      <c r="EL838" s="15"/>
      <c r="EM838" s="15"/>
      <c r="EN838" s="15"/>
      <c r="EO838" s="15"/>
      <c r="EP838" s="15"/>
      <c r="EQ838" s="15"/>
      <c r="ER838" s="15"/>
      <c r="ES838" s="15"/>
      <c r="ET838" s="15"/>
      <c r="EU838" s="15"/>
      <c r="EV838" s="15"/>
      <c r="EW838" s="15"/>
      <c r="EX838" s="15"/>
      <c r="EY838" s="15"/>
      <c r="EZ838" s="15"/>
      <c r="FA838" s="15"/>
      <c r="FB838" s="15"/>
      <c r="FC838" s="16" t="s">
        <v>197</v>
      </c>
      <c r="FD838" s="16" t="s">
        <v>197</v>
      </c>
      <c r="FE838" s="23"/>
      <c r="FF838" s="19"/>
      <c r="FG838" s="19"/>
      <c r="FH838" s="21" t="s">
        <v>197</v>
      </c>
      <c r="FI838" s="16" t="s">
        <v>17075</v>
      </c>
      <c r="FJ838" s="23"/>
      <c r="FK838" s="14" t="s">
        <v>17100</v>
      </c>
      <c r="FL838" s="14" t="s">
        <v>17101</v>
      </c>
      <c r="FM838" s="14" t="s">
        <v>17102</v>
      </c>
      <c r="FN838" s="19"/>
      <c r="FO838" s="19"/>
      <c r="FP838" s="19" t="str">
        <f t="shared" si="1"/>
        <v>Base de Dados_Images/TIT30037.Imagem do Equipamento-.194556.jpg</v>
      </c>
      <c r="FQ838" s="19"/>
      <c r="FR838" s="19"/>
    </row>
    <row r="839" ht="15.75" customHeight="1">
      <c r="A839" s="12" t="s">
        <v>292</v>
      </c>
      <c r="B839" s="12" t="s">
        <v>391</v>
      </c>
      <c r="C839" s="24" t="s">
        <v>375</v>
      </c>
      <c r="D839" s="22" t="s">
        <v>17103</v>
      </c>
      <c r="E839" s="22" t="s">
        <v>17104</v>
      </c>
      <c r="F839" s="13" t="s">
        <v>178</v>
      </c>
      <c r="G839" s="14" t="s">
        <v>179</v>
      </c>
      <c r="H839" s="14" t="s">
        <v>17105</v>
      </c>
      <c r="I839" s="14" t="s">
        <v>179</v>
      </c>
      <c r="J839" s="14" t="s">
        <v>17106</v>
      </c>
      <c r="K839" s="14" t="s">
        <v>179</v>
      </c>
      <c r="L839" s="14" t="s">
        <v>17107</v>
      </c>
      <c r="M839" s="14" t="s">
        <v>179</v>
      </c>
      <c r="N839" s="14" t="s">
        <v>17108</v>
      </c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6" t="s">
        <v>197</v>
      </c>
      <c r="BP839" s="17" t="s">
        <v>198</v>
      </c>
      <c r="BQ839" s="18">
        <v>45687.46991898148</v>
      </c>
      <c r="BR839" s="17" t="s">
        <v>198</v>
      </c>
      <c r="BS839" s="18">
        <v>45687.46994212963</v>
      </c>
      <c r="BT839" s="17" t="s">
        <v>198</v>
      </c>
      <c r="BU839" s="18">
        <v>45687.46994212963</v>
      </c>
      <c r="BV839" s="13" t="s">
        <v>199</v>
      </c>
      <c r="BW839" s="14" t="s">
        <v>179</v>
      </c>
      <c r="BX839" s="14" t="s">
        <v>17109</v>
      </c>
      <c r="BY839" s="14" t="s">
        <v>179</v>
      </c>
      <c r="BZ839" s="14" t="s">
        <v>13553</v>
      </c>
      <c r="CA839" s="14" t="s">
        <v>179</v>
      </c>
      <c r="CB839" s="14" t="s">
        <v>13554</v>
      </c>
      <c r="CC839" s="15"/>
      <c r="CD839" s="15"/>
      <c r="CE839" s="15"/>
      <c r="CF839" s="15"/>
      <c r="CG839" s="19"/>
      <c r="CH839" s="15"/>
      <c r="CI839" s="19"/>
      <c r="CJ839" s="15"/>
      <c r="CK839" s="19"/>
      <c r="CL839" s="15"/>
      <c r="CM839" s="19"/>
      <c r="CN839" s="15"/>
      <c r="CO839" s="19"/>
      <c r="CP839" s="15"/>
      <c r="CQ839" s="15"/>
      <c r="CR839" s="15"/>
      <c r="CS839" s="19"/>
      <c r="CT839" s="15"/>
      <c r="CU839" s="19"/>
      <c r="CV839" s="15"/>
      <c r="CW839" s="19"/>
      <c r="CX839" s="15"/>
      <c r="CY839" s="19"/>
      <c r="CZ839" s="15"/>
      <c r="DA839" s="16" t="s">
        <v>197</v>
      </c>
      <c r="DB839" s="17" t="s">
        <v>228</v>
      </c>
      <c r="DC839" s="16"/>
      <c r="DD839" s="17" t="s">
        <v>198</v>
      </c>
      <c r="DE839" s="18">
        <v>45698.69193287037</v>
      </c>
      <c r="DF839" s="17" t="s">
        <v>198</v>
      </c>
      <c r="DG839" s="18">
        <v>45698.69193287037</v>
      </c>
      <c r="DH839" s="13" t="s">
        <v>205</v>
      </c>
      <c r="DI839" s="14" t="s">
        <v>179</v>
      </c>
      <c r="DJ839" s="14" t="s">
        <v>17110</v>
      </c>
      <c r="DK839" s="14" t="s">
        <v>179</v>
      </c>
      <c r="DL839" s="14" t="s">
        <v>17111</v>
      </c>
      <c r="DM839" s="15"/>
      <c r="DN839" s="15"/>
      <c r="DO839" s="15"/>
      <c r="DP839" s="15"/>
      <c r="DQ839" s="15"/>
      <c r="DR839" s="15"/>
      <c r="DS839" s="15"/>
      <c r="DT839" s="15"/>
      <c r="DU839" s="15"/>
      <c r="DV839" s="15"/>
      <c r="DW839" s="15"/>
      <c r="DX839" s="15"/>
      <c r="DY839" s="15"/>
      <c r="DZ839" s="15"/>
      <c r="EA839" s="15"/>
      <c r="EB839" s="15"/>
      <c r="EC839" s="16" t="s">
        <v>197</v>
      </c>
      <c r="ED839" s="17" t="s">
        <v>198</v>
      </c>
      <c r="EE839" s="18">
        <v>45699.56618055556</v>
      </c>
      <c r="EF839" s="13" t="s">
        <v>209</v>
      </c>
      <c r="EG839" s="14" t="s">
        <v>179</v>
      </c>
      <c r="EH839" s="14" t="s">
        <v>17112</v>
      </c>
      <c r="EI839" s="14" t="s">
        <v>179</v>
      </c>
      <c r="EJ839" s="14" t="s">
        <v>17113</v>
      </c>
      <c r="EK839" s="15"/>
      <c r="EL839" s="15"/>
      <c r="EM839" s="15"/>
      <c r="EN839" s="15"/>
      <c r="EO839" s="15"/>
      <c r="EP839" s="15"/>
      <c r="EQ839" s="15"/>
      <c r="ER839" s="15"/>
      <c r="ES839" s="15"/>
      <c r="ET839" s="15"/>
      <c r="EU839" s="15"/>
      <c r="EV839" s="15"/>
      <c r="EW839" s="15"/>
      <c r="EX839" s="15"/>
      <c r="EY839" s="15"/>
      <c r="EZ839" s="15"/>
      <c r="FA839" s="15"/>
      <c r="FB839" s="15"/>
      <c r="FC839" s="16" t="s">
        <v>197</v>
      </c>
      <c r="FD839" s="17" t="s">
        <v>198</v>
      </c>
      <c r="FE839" s="18">
        <v>45722.37306712963</v>
      </c>
      <c r="FF839" s="19"/>
      <c r="FG839" s="19"/>
      <c r="FH839" s="21" t="s">
        <v>197</v>
      </c>
      <c r="FI839" s="17" t="s">
        <v>214</v>
      </c>
      <c r="FJ839" s="18">
        <v>45722.37306712963</v>
      </c>
      <c r="FK839" s="14" t="s">
        <v>17113</v>
      </c>
      <c r="FL839" s="14" t="s">
        <v>17114</v>
      </c>
      <c r="FM839" s="14" t="s">
        <v>17115</v>
      </c>
      <c r="FN839" s="19"/>
      <c r="FO839" s="19"/>
      <c r="FP839" s="19" t="str">
        <f t="shared" si="1"/>
        <v>Base de Dados_Images/TIT30038.Imagem do Equipamento-.174412.jpg</v>
      </c>
      <c r="FQ839" s="19"/>
      <c r="FR839" s="19"/>
    </row>
    <row r="840" ht="15.75" customHeight="1">
      <c r="A840" s="12" t="s">
        <v>292</v>
      </c>
      <c r="B840" s="12" t="s">
        <v>13789</v>
      </c>
      <c r="C840" s="24" t="s">
        <v>375</v>
      </c>
      <c r="D840" s="22" t="s">
        <v>17116</v>
      </c>
      <c r="E840" s="22" t="s">
        <v>17117</v>
      </c>
      <c r="F840" s="13" t="s">
        <v>178</v>
      </c>
      <c r="G840" s="14" t="s">
        <v>179</v>
      </c>
      <c r="H840" s="14" t="s">
        <v>17118</v>
      </c>
      <c r="I840" s="14" t="s">
        <v>179</v>
      </c>
      <c r="J840" s="14" t="s">
        <v>17119</v>
      </c>
      <c r="K840" s="14" t="s">
        <v>179</v>
      </c>
      <c r="L840" s="14" t="s">
        <v>17120</v>
      </c>
      <c r="M840" s="14" t="s">
        <v>179</v>
      </c>
      <c r="N840" s="14" t="s">
        <v>17121</v>
      </c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6" t="s">
        <v>197</v>
      </c>
      <c r="BP840" s="17" t="s">
        <v>198</v>
      </c>
      <c r="BQ840" s="18">
        <v>45687.45680555556</v>
      </c>
      <c r="BR840" s="17" t="s">
        <v>198</v>
      </c>
      <c r="BS840" s="18">
        <v>45687.456724537034</v>
      </c>
      <c r="BT840" s="17" t="s">
        <v>198</v>
      </c>
      <c r="BU840" s="18">
        <v>45687.45680555556</v>
      </c>
      <c r="BV840" s="13" t="s">
        <v>199</v>
      </c>
      <c r="BW840" s="14" t="s">
        <v>179</v>
      </c>
      <c r="BX840" s="14" t="s">
        <v>17122</v>
      </c>
      <c r="BY840" s="14" t="s">
        <v>179</v>
      </c>
      <c r="BZ840" s="14" t="s">
        <v>17123</v>
      </c>
      <c r="CA840" s="14" t="s">
        <v>179</v>
      </c>
      <c r="CB840" s="14" t="s">
        <v>17124</v>
      </c>
      <c r="CC840" s="15"/>
      <c r="CD840" s="15"/>
      <c r="CE840" s="15"/>
      <c r="CF840" s="15"/>
      <c r="CG840" s="19"/>
      <c r="CH840" s="15"/>
      <c r="CI840" s="19"/>
      <c r="CJ840" s="15"/>
      <c r="CK840" s="19"/>
      <c r="CL840" s="15"/>
      <c r="CM840" s="19"/>
      <c r="CN840" s="15"/>
      <c r="CO840" s="19"/>
      <c r="CP840" s="15"/>
      <c r="CQ840" s="15"/>
      <c r="CR840" s="15"/>
      <c r="CS840" s="19"/>
      <c r="CT840" s="15"/>
      <c r="CU840" s="19"/>
      <c r="CV840" s="15"/>
      <c r="CW840" s="19"/>
      <c r="CX840" s="15"/>
      <c r="CY840" s="19"/>
      <c r="CZ840" s="15"/>
      <c r="DA840" s="16" t="s">
        <v>197</v>
      </c>
      <c r="DB840" s="17" t="s">
        <v>228</v>
      </c>
      <c r="DC840" s="16"/>
      <c r="DD840" s="17" t="s">
        <v>198</v>
      </c>
      <c r="DE840" s="18">
        <v>45699.6103125</v>
      </c>
      <c r="DF840" s="17" t="s">
        <v>198</v>
      </c>
      <c r="DG840" s="18">
        <v>45699.6103125</v>
      </c>
      <c r="DH840" s="13" t="s">
        <v>205</v>
      </c>
      <c r="DI840" s="14" t="s">
        <v>179</v>
      </c>
      <c r="DJ840" s="14" t="s">
        <v>17125</v>
      </c>
      <c r="DK840" s="14" t="s">
        <v>179</v>
      </c>
      <c r="DL840" s="14" t="s">
        <v>17126</v>
      </c>
      <c r="DM840" s="15"/>
      <c r="DN840" s="15"/>
      <c r="DO840" s="15"/>
      <c r="DP840" s="15"/>
      <c r="DQ840" s="15"/>
      <c r="DR840" s="15"/>
      <c r="DS840" s="15"/>
      <c r="DT840" s="15"/>
      <c r="DU840" s="15"/>
      <c r="DV840" s="15"/>
      <c r="DW840" s="15"/>
      <c r="DX840" s="15"/>
      <c r="DY840" s="15"/>
      <c r="DZ840" s="15"/>
      <c r="EA840" s="15"/>
      <c r="EB840" s="15"/>
      <c r="EC840" s="16" t="s">
        <v>197</v>
      </c>
      <c r="ED840" s="17" t="s">
        <v>198</v>
      </c>
      <c r="EE840" s="18">
        <v>45699.610625</v>
      </c>
      <c r="EF840" s="13" t="s">
        <v>209</v>
      </c>
      <c r="EG840" s="14" t="s">
        <v>179</v>
      </c>
      <c r="EH840" s="14" t="s">
        <v>17127</v>
      </c>
      <c r="EI840" s="14" t="s">
        <v>179</v>
      </c>
      <c r="EJ840" s="14" t="s">
        <v>17128</v>
      </c>
      <c r="EK840" s="15"/>
      <c r="EL840" s="15"/>
      <c r="EM840" s="15"/>
      <c r="EN840" s="15"/>
      <c r="EO840" s="15"/>
      <c r="EP840" s="15"/>
      <c r="EQ840" s="15"/>
      <c r="ER840" s="15"/>
      <c r="ES840" s="15"/>
      <c r="ET840" s="15"/>
      <c r="EU840" s="15"/>
      <c r="EV840" s="15"/>
      <c r="EW840" s="15"/>
      <c r="EX840" s="15"/>
      <c r="EY840" s="15"/>
      <c r="EZ840" s="15"/>
      <c r="FA840" s="15"/>
      <c r="FB840" s="15"/>
      <c r="FC840" s="16" t="s">
        <v>197</v>
      </c>
      <c r="FD840" s="17" t="s">
        <v>198</v>
      </c>
      <c r="FE840" s="18">
        <v>45723.29304398148</v>
      </c>
      <c r="FF840" s="19"/>
      <c r="FG840" s="19"/>
      <c r="FH840" s="21" t="s">
        <v>197</v>
      </c>
      <c r="FI840" s="17" t="s">
        <v>214</v>
      </c>
      <c r="FJ840" s="18">
        <v>45723.29304398148</v>
      </c>
      <c r="FK840" s="14" t="s">
        <v>17127</v>
      </c>
      <c r="FL840" s="14" t="s">
        <v>17129</v>
      </c>
      <c r="FM840" s="14" t="s">
        <v>17130</v>
      </c>
      <c r="FN840" s="19"/>
      <c r="FO840" s="19"/>
      <c r="FP840" s="19" t="str">
        <f t="shared" si="1"/>
        <v>Base de Dados_Images/TIT30040.Imagem do Equipamento-.174639.jpg</v>
      </c>
      <c r="FQ840" s="19"/>
      <c r="FR840" s="19"/>
    </row>
    <row r="841" ht="15.75" customHeight="1">
      <c r="A841" s="12" t="s">
        <v>292</v>
      </c>
      <c r="B841" s="12" t="s">
        <v>11020</v>
      </c>
      <c r="C841" s="24" t="s">
        <v>375</v>
      </c>
      <c r="D841" s="22" t="s">
        <v>17131</v>
      </c>
      <c r="E841" s="22" t="s">
        <v>17132</v>
      </c>
      <c r="F841" s="13" t="s">
        <v>178</v>
      </c>
      <c r="G841" s="14" t="s">
        <v>179</v>
      </c>
      <c r="H841" s="14" t="s">
        <v>17133</v>
      </c>
      <c r="I841" s="14" t="s">
        <v>179</v>
      </c>
      <c r="J841" s="14" t="s">
        <v>17134</v>
      </c>
      <c r="K841" s="14" t="s">
        <v>179</v>
      </c>
      <c r="L841" s="14" t="s">
        <v>17135</v>
      </c>
      <c r="M841" s="14" t="s">
        <v>179</v>
      </c>
      <c r="N841" s="14" t="s">
        <v>17136</v>
      </c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6" t="s">
        <v>197</v>
      </c>
      <c r="BP841" s="17" t="s">
        <v>198</v>
      </c>
      <c r="BQ841" s="18">
        <v>45696.3684375</v>
      </c>
      <c r="BR841" s="17" t="s">
        <v>198</v>
      </c>
      <c r="BS841" s="18">
        <v>45696.36849537037</v>
      </c>
      <c r="BT841" s="17" t="s">
        <v>198</v>
      </c>
      <c r="BU841" s="18">
        <v>45696.36849537037</v>
      </c>
      <c r="BV841" s="13" t="s">
        <v>199</v>
      </c>
      <c r="BW841" s="14" t="s">
        <v>179</v>
      </c>
      <c r="BX841" s="14" t="s">
        <v>17137</v>
      </c>
      <c r="BY841" s="14" t="s">
        <v>179</v>
      </c>
      <c r="BZ841" s="14" t="s">
        <v>17138</v>
      </c>
      <c r="CA841" s="14" t="s">
        <v>179</v>
      </c>
      <c r="CB841" s="14" t="s">
        <v>17139</v>
      </c>
      <c r="CC841" s="15"/>
      <c r="CD841" s="15"/>
      <c r="CE841" s="15"/>
      <c r="CF841" s="15"/>
      <c r="CG841" s="19"/>
      <c r="CH841" s="15"/>
      <c r="CI841" s="19"/>
      <c r="CJ841" s="15"/>
      <c r="CK841" s="19"/>
      <c r="CL841" s="15"/>
      <c r="CM841" s="19"/>
      <c r="CN841" s="15"/>
      <c r="CO841" s="19"/>
      <c r="CP841" s="15"/>
      <c r="CQ841" s="15"/>
      <c r="CR841" s="15"/>
      <c r="CS841" s="19"/>
      <c r="CT841" s="15"/>
      <c r="CU841" s="19"/>
      <c r="CV841" s="15"/>
      <c r="CW841" s="19"/>
      <c r="CX841" s="15"/>
      <c r="CY841" s="19"/>
      <c r="CZ841" s="15"/>
      <c r="DA841" s="16" t="s">
        <v>197</v>
      </c>
      <c r="DB841" s="17" t="s">
        <v>228</v>
      </c>
      <c r="DC841" s="16"/>
      <c r="DD841" s="17" t="s">
        <v>198</v>
      </c>
      <c r="DE841" s="18">
        <v>45696.368622685186</v>
      </c>
      <c r="DF841" s="17" t="s">
        <v>198</v>
      </c>
      <c r="DG841" s="18">
        <v>45696.368622685186</v>
      </c>
      <c r="DH841" s="13" t="s">
        <v>205</v>
      </c>
      <c r="DI841" s="14" t="s">
        <v>179</v>
      </c>
      <c r="DJ841" s="14" t="s">
        <v>17140</v>
      </c>
      <c r="DK841" s="14" t="s">
        <v>179</v>
      </c>
      <c r="DL841" s="14" t="s">
        <v>17141</v>
      </c>
      <c r="DM841" s="15"/>
      <c r="DN841" s="15"/>
      <c r="DO841" s="15"/>
      <c r="DP841" s="15"/>
      <c r="DQ841" s="15"/>
      <c r="DR841" s="15"/>
      <c r="DS841" s="15"/>
      <c r="DT841" s="15"/>
      <c r="DU841" s="15"/>
      <c r="DV841" s="15"/>
      <c r="DW841" s="15"/>
      <c r="DX841" s="15"/>
      <c r="DY841" s="15"/>
      <c r="DZ841" s="15"/>
      <c r="EA841" s="15"/>
      <c r="EB841" s="15"/>
      <c r="EC841" s="16" t="s">
        <v>197</v>
      </c>
      <c r="ED841" s="17" t="s">
        <v>198</v>
      </c>
      <c r="EE841" s="18">
        <v>45719.47497685185</v>
      </c>
      <c r="EF841" s="13" t="s">
        <v>209</v>
      </c>
      <c r="EG841" s="14" t="s">
        <v>179</v>
      </c>
      <c r="EH841" s="14" t="s">
        <v>17142</v>
      </c>
      <c r="EI841" s="14" t="s">
        <v>179</v>
      </c>
      <c r="EJ841" s="14" t="s">
        <v>17143</v>
      </c>
      <c r="EK841" s="15"/>
      <c r="EL841" s="15"/>
      <c r="EM841" s="15"/>
      <c r="EN841" s="15"/>
      <c r="EO841" s="15"/>
      <c r="EP841" s="15"/>
      <c r="EQ841" s="15"/>
      <c r="ER841" s="15"/>
      <c r="ES841" s="15"/>
      <c r="ET841" s="15"/>
      <c r="EU841" s="15"/>
      <c r="EV841" s="15"/>
      <c r="EW841" s="15"/>
      <c r="EX841" s="15"/>
      <c r="EY841" s="15"/>
      <c r="EZ841" s="15"/>
      <c r="FA841" s="15"/>
      <c r="FB841" s="15"/>
      <c r="FC841" s="16" t="s">
        <v>197</v>
      </c>
      <c r="FD841" s="17" t="s">
        <v>198</v>
      </c>
      <c r="FE841" s="18">
        <v>45723.293657407405</v>
      </c>
      <c r="FF841" s="19"/>
      <c r="FG841" s="19"/>
      <c r="FH841" s="21" t="s">
        <v>197</v>
      </c>
      <c r="FI841" s="17" t="s">
        <v>214</v>
      </c>
      <c r="FJ841" s="18">
        <v>45723.293657407405</v>
      </c>
      <c r="FK841" s="14" t="s">
        <v>17142</v>
      </c>
      <c r="FL841" s="14" t="s">
        <v>17144</v>
      </c>
      <c r="FM841" s="14" t="s">
        <v>17145</v>
      </c>
      <c r="FN841" s="19"/>
      <c r="FO841" s="19"/>
      <c r="FP841" s="19" t="str">
        <f t="shared" si="1"/>
        <v>Base de Dados_Images/TIT30041.Imagem do Equipamento-.175118.jpg</v>
      </c>
      <c r="FQ841" s="19"/>
      <c r="FR841" s="19"/>
    </row>
    <row r="842" ht="15.75" customHeight="1">
      <c r="A842" s="12" t="s">
        <v>292</v>
      </c>
      <c r="B842" s="12" t="s">
        <v>11027</v>
      </c>
      <c r="C842" s="24" t="s">
        <v>375</v>
      </c>
      <c r="D842" s="22" t="s">
        <v>17146</v>
      </c>
      <c r="E842" s="22" t="s">
        <v>17147</v>
      </c>
      <c r="F842" s="13" t="s">
        <v>178</v>
      </c>
      <c r="G842" s="14" t="s">
        <v>179</v>
      </c>
      <c r="H842" s="14" t="s">
        <v>17148</v>
      </c>
      <c r="I842" s="14" t="s">
        <v>179</v>
      </c>
      <c r="J842" s="14" t="s">
        <v>17149</v>
      </c>
      <c r="K842" s="14" t="s">
        <v>179</v>
      </c>
      <c r="L842" s="14" t="s">
        <v>17150</v>
      </c>
      <c r="M842" s="14" t="s">
        <v>179</v>
      </c>
      <c r="N842" s="14" t="s">
        <v>17151</v>
      </c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6" t="s">
        <v>197</v>
      </c>
      <c r="BP842" s="17" t="s">
        <v>198</v>
      </c>
      <c r="BQ842" s="18">
        <v>45686.55118055556</v>
      </c>
      <c r="BR842" s="17" t="s">
        <v>198</v>
      </c>
      <c r="BS842" s="18">
        <v>45686.55116898148</v>
      </c>
      <c r="BT842" s="17" t="s">
        <v>198</v>
      </c>
      <c r="BU842" s="18">
        <v>45686.55118055556</v>
      </c>
      <c r="BV842" s="13" t="s">
        <v>199</v>
      </c>
      <c r="BW842" s="14" t="s">
        <v>179</v>
      </c>
      <c r="BX842" s="14" t="s">
        <v>17152</v>
      </c>
      <c r="BY842" s="14" t="s">
        <v>179</v>
      </c>
      <c r="BZ842" s="14" t="s">
        <v>17152</v>
      </c>
      <c r="CA842" s="14" t="s">
        <v>179</v>
      </c>
      <c r="CB842" s="14" t="s">
        <v>17153</v>
      </c>
      <c r="CC842" s="15"/>
      <c r="CD842" s="15"/>
      <c r="CE842" s="15"/>
      <c r="CF842" s="15"/>
      <c r="CG842" s="19"/>
      <c r="CH842" s="15"/>
      <c r="CI842" s="19"/>
      <c r="CJ842" s="15"/>
      <c r="CK842" s="19"/>
      <c r="CL842" s="15"/>
      <c r="CM842" s="19"/>
      <c r="CN842" s="15"/>
      <c r="CO842" s="19"/>
      <c r="CP842" s="15"/>
      <c r="CQ842" s="15"/>
      <c r="CR842" s="15"/>
      <c r="CS842" s="19"/>
      <c r="CT842" s="15"/>
      <c r="CU842" s="19"/>
      <c r="CV842" s="15"/>
      <c r="CW842" s="19"/>
      <c r="CX842" s="15"/>
      <c r="CY842" s="19"/>
      <c r="CZ842" s="15"/>
      <c r="DA842" s="16" t="s">
        <v>197</v>
      </c>
      <c r="DB842" s="17" t="s">
        <v>228</v>
      </c>
      <c r="DC842" s="16"/>
      <c r="DD842" s="17" t="s">
        <v>198</v>
      </c>
      <c r="DE842" s="18">
        <v>45699.57989583333</v>
      </c>
      <c r="DF842" s="17" t="s">
        <v>198</v>
      </c>
      <c r="DG842" s="18">
        <v>45699.57989583333</v>
      </c>
      <c r="DH842" s="13" t="s">
        <v>205</v>
      </c>
      <c r="DI842" s="14" t="s">
        <v>179</v>
      </c>
      <c r="DJ842" s="14" t="s">
        <v>17154</v>
      </c>
      <c r="DK842" s="14" t="s">
        <v>179</v>
      </c>
      <c r="DL842" s="14" t="s">
        <v>17155</v>
      </c>
      <c r="DM842" s="15"/>
      <c r="DN842" s="15"/>
      <c r="DO842" s="15"/>
      <c r="DP842" s="15"/>
      <c r="DQ842" s="15"/>
      <c r="DR842" s="15"/>
      <c r="DS842" s="15"/>
      <c r="DT842" s="15"/>
      <c r="DU842" s="15"/>
      <c r="DV842" s="15"/>
      <c r="DW842" s="15"/>
      <c r="DX842" s="15"/>
      <c r="DY842" s="15"/>
      <c r="DZ842" s="15"/>
      <c r="EA842" s="15"/>
      <c r="EB842" s="15"/>
      <c r="EC842" s="16" t="s">
        <v>197</v>
      </c>
      <c r="ED842" s="17" t="s">
        <v>198</v>
      </c>
      <c r="EE842" s="18">
        <v>45699.5808912037</v>
      </c>
      <c r="EF842" s="13" t="s">
        <v>209</v>
      </c>
      <c r="EG842" s="14" t="s">
        <v>179</v>
      </c>
      <c r="EH842" s="14" t="s">
        <v>17156</v>
      </c>
      <c r="EI842" s="14" t="s">
        <v>179</v>
      </c>
      <c r="EJ842" s="14" t="s">
        <v>17157</v>
      </c>
      <c r="EK842" s="15"/>
      <c r="EL842" s="15"/>
      <c r="EM842" s="15"/>
      <c r="EN842" s="15"/>
      <c r="EO842" s="15"/>
      <c r="EP842" s="15"/>
      <c r="EQ842" s="15"/>
      <c r="ER842" s="15"/>
      <c r="ES842" s="15"/>
      <c r="ET842" s="15"/>
      <c r="EU842" s="15"/>
      <c r="EV842" s="15"/>
      <c r="EW842" s="15"/>
      <c r="EX842" s="15"/>
      <c r="EY842" s="15"/>
      <c r="EZ842" s="15"/>
      <c r="FA842" s="15"/>
      <c r="FB842" s="15"/>
      <c r="FC842" s="16" t="s">
        <v>197</v>
      </c>
      <c r="FD842" s="17" t="s">
        <v>198</v>
      </c>
      <c r="FE842" s="18">
        <v>45722.50777777778</v>
      </c>
      <c r="FF842" s="14"/>
      <c r="FG842" s="19"/>
      <c r="FH842" s="17" t="s">
        <v>197</v>
      </c>
      <c r="FI842" s="17" t="s">
        <v>214</v>
      </c>
      <c r="FJ842" s="18">
        <v>45722.50777777778</v>
      </c>
      <c r="FK842" s="14" t="s">
        <v>17157</v>
      </c>
      <c r="FL842" s="14" t="s">
        <v>17158</v>
      </c>
      <c r="FM842" s="14" t="s">
        <v>17159</v>
      </c>
      <c r="FN842" s="19"/>
      <c r="FO842" s="19"/>
      <c r="FP842" s="19" t="str">
        <f t="shared" si="1"/>
        <v>Base de Dados_Images/TIT30042.Imagem do Equipamento-.172812.jpg</v>
      </c>
      <c r="FQ842" s="19"/>
      <c r="FR842" s="19"/>
    </row>
    <row r="843" ht="15.75" customHeight="1">
      <c r="A843" s="12" t="s">
        <v>292</v>
      </c>
      <c r="B843" s="12" t="s">
        <v>13834</v>
      </c>
      <c r="C843" s="24" t="s">
        <v>375</v>
      </c>
      <c r="D843" s="22" t="s">
        <v>17160</v>
      </c>
      <c r="E843" s="22" t="s">
        <v>17161</v>
      </c>
      <c r="F843" s="13" t="s">
        <v>178</v>
      </c>
      <c r="G843" s="14" t="s">
        <v>179</v>
      </c>
      <c r="H843" s="14" t="s">
        <v>17162</v>
      </c>
      <c r="I843" s="14" t="s">
        <v>179</v>
      </c>
      <c r="J843" s="14" t="s">
        <v>17163</v>
      </c>
      <c r="K843" s="14" t="s">
        <v>179</v>
      </c>
      <c r="L843" s="14" t="s">
        <v>17164</v>
      </c>
      <c r="M843" s="14" t="s">
        <v>179</v>
      </c>
      <c r="N843" s="14" t="s">
        <v>17165</v>
      </c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6" t="s">
        <v>197</v>
      </c>
      <c r="BP843" s="17" t="s">
        <v>198</v>
      </c>
      <c r="BQ843" s="18">
        <v>45687.482986111114</v>
      </c>
      <c r="BR843" s="17" t="s">
        <v>198</v>
      </c>
      <c r="BS843" s="18">
        <v>45687.48292824074</v>
      </c>
      <c r="BT843" s="17" t="s">
        <v>198</v>
      </c>
      <c r="BU843" s="18">
        <v>45687.482986111114</v>
      </c>
      <c r="BV843" s="13" t="s">
        <v>199</v>
      </c>
      <c r="BW843" s="14" t="s">
        <v>179</v>
      </c>
      <c r="BX843" s="14" t="s">
        <v>17166</v>
      </c>
      <c r="BY843" s="14" t="s">
        <v>179</v>
      </c>
      <c r="BZ843" s="14" t="s">
        <v>17167</v>
      </c>
      <c r="CA843" s="14" t="s">
        <v>179</v>
      </c>
      <c r="CB843" s="14" t="s">
        <v>17168</v>
      </c>
      <c r="CC843" s="15"/>
      <c r="CD843" s="15"/>
      <c r="CE843" s="15"/>
      <c r="CF843" s="15"/>
      <c r="CG843" s="19"/>
      <c r="CH843" s="15"/>
      <c r="CI843" s="19"/>
      <c r="CJ843" s="15"/>
      <c r="CK843" s="19"/>
      <c r="CL843" s="15"/>
      <c r="CM843" s="19"/>
      <c r="CN843" s="15"/>
      <c r="CO843" s="19"/>
      <c r="CP843" s="15"/>
      <c r="CQ843" s="15"/>
      <c r="CR843" s="15"/>
      <c r="CS843" s="19"/>
      <c r="CT843" s="15"/>
      <c r="CU843" s="19"/>
      <c r="CV843" s="15"/>
      <c r="CW843" s="19"/>
      <c r="CX843" s="15"/>
      <c r="CY843" s="19"/>
      <c r="CZ843" s="15"/>
      <c r="DA843" s="16" t="s">
        <v>197</v>
      </c>
      <c r="DB843" s="17" t="s">
        <v>228</v>
      </c>
      <c r="DC843" s="16"/>
      <c r="DD843" s="17" t="s">
        <v>198</v>
      </c>
      <c r="DE843" s="18">
        <v>45698.698483796295</v>
      </c>
      <c r="DF843" s="17" t="s">
        <v>198</v>
      </c>
      <c r="DG843" s="18">
        <v>45698.698483796295</v>
      </c>
      <c r="DH843" s="13" t="s">
        <v>205</v>
      </c>
      <c r="DI843" s="14" t="s">
        <v>179</v>
      </c>
      <c r="DJ843" s="14" t="s">
        <v>17169</v>
      </c>
      <c r="DK843" s="14" t="s">
        <v>179</v>
      </c>
      <c r="DL843" s="14" t="s">
        <v>17170</v>
      </c>
      <c r="DM843" s="15"/>
      <c r="DN843" s="15"/>
      <c r="DO843" s="15"/>
      <c r="DP843" s="15"/>
      <c r="DQ843" s="15"/>
      <c r="DR843" s="15"/>
      <c r="DS843" s="15"/>
      <c r="DT843" s="15"/>
      <c r="DU843" s="15"/>
      <c r="DV843" s="15"/>
      <c r="DW843" s="15"/>
      <c r="DX843" s="15"/>
      <c r="DY843" s="15"/>
      <c r="DZ843" s="15"/>
      <c r="EA843" s="15"/>
      <c r="EB843" s="15"/>
      <c r="EC843" s="16" t="s">
        <v>197</v>
      </c>
      <c r="ED843" s="17" t="s">
        <v>198</v>
      </c>
      <c r="EE843" s="18">
        <v>45719.473912037036</v>
      </c>
      <c r="EF843" s="13" t="s">
        <v>209</v>
      </c>
      <c r="EG843" s="14" t="s">
        <v>179</v>
      </c>
      <c r="EH843" s="14" t="s">
        <v>17171</v>
      </c>
      <c r="EI843" s="14" t="s">
        <v>179</v>
      </c>
      <c r="EJ843" s="14" t="s">
        <v>17171</v>
      </c>
      <c r="EK843" s="15"/>
      <c r="EL843" s="15"/>
      <c r="EM843" s="15"/>
      <c r="EN843" s="15"/>
      <c r="EO843" s="15"/>
      <c r="EP843" s="15"/>
      <c r="EQ843" s="15"/>
      <c r="ER843" s="15"/>
      <c r="ES843" s="15"/>
      <c r="ET843" s="15"/>
      <c r="EU843" s="15"/>
      <c r="EV843" s="15"/>
      <c r="EW843" s="15"/>
      <c r="EX843" s="15"/>
      <c r="EY843" s="15"/>
      <c r="EZ843" s="15"/>
      <c r="FA843" s="15"/>
      <c r="FB843" s="15"/>
      <c r="FC843" s="16" t="s">
        <v>197</v>
      </c>
      <c r="FD843" s="17" t="s">
        <v>198</v>
      </c>
      <c r="FE843" s="18">
        <v>45720.52601851852</v>
      </c>
      <c r="FF843" s="19"/>
      <c r="FG843" s="19"/>
      <c r="FH843" s="21" t="s">
        <v>197</v>
      </c>
      <c r="FI843" s="17" t="s">
        <v>214</v>
      </c>
      <c r="FJ843" s="18">
        <v>45720.52601851852</v>
      </c>
      <c r="FK843" s="14" t="s">
        <v>17171</v>
      </c>
      <c r="FL843" s="14" t="s">
        <v>17172</v>
      </c>
      <c r="FM843" s="14" t="s">
        <v>17173</v>
      </c>
      <c r="FN843" s="19"/>
      <c r="FO843" s="19"/>
      <c r="FP843" s="19" t="str">
        <f t="shared" si="1"/>
        <v>Base de Dados_Images/TIT30043.Imagem do Equipamento-.174846.jpg</v>
      </c>
      <c r="FQ843" s="19"/>
      <c r="FR843" s="19"/>
    </row>
    <row r="844" ht="15.75" customHeight="1">
      <c r="A844" s="12" t="s">
        <v>292</v>
      </c>
      <c r="B844" s="12" t="s">
        <v>11035</v>
      </c>
      <c r="C844" s="24" t="s">
        <v>375</v>
      </c>
      <c r="D844" s="22" t="s">
        <v>17174</v>
      </c>
      <c r="E844" s="22" t="s">
        <v>17175</v>
      </c>
      <c r="F844" s="13" t="s">
        <v>178</v>
      </c>
      <c r="G844" s="14" t="s">
        <v>179</v>
      </c>
      <c r="H844" s="14" t="s">
        <v>17176</v>
      </c>
      <c r="I844" s="14" t="s">
        <v>179</v>
      </c>
      <c r="J844" s="14" t="s">
        <v>17177</v>
      </c>
      <c r="K844" s="14" t="s">
        <v>179</v>
      </c>
      <c r="L844" s="14" t="s">
        <v>17178</v>
      </c>
      <c r="M844" s="14" t="s">
        <v>179</v>
      </c>
      <c r="N844" s="14" t="s">
        <v>17179</v>
      </c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6" t="s">
        <v>197</v>
      </c>
      <c r="BP844" s="17" t="s">
        <v>198</v>
      </c>
      <c r="BQ844" s="18">
        <v>45686.55236111111</v>
      </c>
      <c r="BR844" s="17" t="s">
        <v>198</v>
      </c>
      <c r="BS844" s="18">
        <v>45686.552349537036</v>
      </c>
      <c r="BT844" s="17" t="s">
        <v>198</v>
      </c>
      <c r="BU844" s="18">
        <v>45686.55236111111</v>
      </c>
      <c r="BV844" s="13" t="s">
        <v>199</v>
      </c>
      <c r="BW844" s="14" t="s">
        <v>179</v>
      </c>
      <c r="BX844" s="14" t="s">
        <v>17180</v>
      </c>
      <c r="BY844" s="14" t="s">
        <v>179</v>
      </c>
      <c r="BZ844" s="14" t="s">
        <v>17180</v>
      </c>
      <c r="CA844" s="14" t="s">
        <v>179</v>
      </c>
      <c r="CB844" s="14" t="s">
        <v>17181</v>
      </c>
      <c r="CC844" s="15"/>
      <c r="CD844" s="15"/>
      <c r="CE844" s="15"/>
      <c r="CF844" s="15"/>
      <c r="CG844" s="19"/>
      <c r="CH844" s="15"/>
      <c r="CI844" s="19"/>
      <c r="CJ844" s="15"/>
      <c r="CK844" s="19"/>
      <c r="CL844" s="15"/>
      <c r="CM844" s="19"/>
      <c r="CN844" s="15"/>
      <c r="CO844" s="19"/>
      <c r="CP844" s="15"/>
      <c r="CQ844" s="15"/>
      <c r="CR844" s="15"/>
      <c r="CS844" s="19"/>
      <c r="CT844" s="15"/>
      <c r="CU844" s="19"/>
      <c r="CV844" s="15"/>
      <c r="CW844" s="19"/>
      <c r="CX844" s="15"/>
      <c r="CY844" s="19"/>
      <c r="CZ844" s="15"/>
      <c r="DA844" s="16" t="s">
        <v>197</v>
      </c>
      <c r="DB844" s="17" t="s">
        <v>228</v>
      </c>
      <c r="DC844" s="16"/>
      <c r="DD844" s="17" t="s">
        <v>198</v>
      </c>
      <c r="DE844" s="18">
        <v>45699.58253472222</v>
      </c>
      <c r="DF844" s="17" t="s">
        <v>198</v>
      </c>
      <c r="DG844" s="18">
        <v>45699.58253472222</v>
      </c>
      <c r="DH844" s="13" t="s">
        <v>205</v>
      </c>
      <c r="DI844" s="14" t="s">
        <v>179</v>
      </c>
      <c r="DJ844" s="14" t="s">
        <v>17182</v>
      </c>
      <c r="DK844" s="14" t="s">
        <v>179</v>
      </c>
      <c r="DL844" s="14" t="s">
        <v>17182</v>
      </c>
      <c r="DM844" s="15"/>
      <c r="DN844" s="15"/>
      <c r="DO844" s="15"/>
      <c r="DP844" s="15"/>
      <c r="DQ844" s="15"/>
      <c r="DR844" s="15"/>
      <c r="DS844" s="15"/>
      <c r="DT844" s="15"/>
      <c r="DU844" s="15"/>
      <c r="DV844" s="15"/>
      <c r="DW844" s="15"/>
      <c r="DX844" s="15"/>
      <c r="DY844" s="15"/>
      <c r="DZ844" s="15"/>
      <c r="EA844" s="15"/>
      <c r="EB844" s="15"/>
      <c r="EC844" s="16" t="s">
        <v>197</v>
      </c>
      <c r="ED844" s="17" t="s">
        <v>198</v>
      </c>
      <c r="EE844" s="18">
        <v>45699.58261574074</v>
      </c>
      <c r="EF844" s="13" t="s">
        <v>209</v>
      </c>
      <c r="EG844" s="14" t="s">
        <v>179</v>
      </c>
      <c r="EH844" s="14" t="s">
        <v>17183</v>
      </c>
      <c r="EI844" s="14" t="s">
        <v>179</v>
      </c>
      <c r="EJ844" s="14" t="s">
        <v>17183</v>
      </c>
      <c r="EK844" s="15"/>
      <c r="EL844" s="15"/>
      <c r="EM844" s="15"/>
      <c r="EN844" s="15"/>
      <c r="EO844" s="15"/>
      <c r="EP844" s="15"/>
      <c r="EQ844" s="15"/>
      <c r="ER844" s="15"/>
      <c r="ES844" s="15"/>
      <c r="ET844" s="15"/>
      <c r="EU844" s="15"/>
      <c r="EV844" s="15"/>
      <c r="EW844" s="15"/>
      <c r="EX844" s="15"/>
      <c r="EY844" s="15"/>
      <c r="EZ844" s="15"/>
      <c r="FA844" s="15"/>
      <c r="FB844" s="15"/>
      <c r="FC844" s="16" t="s">
        <v>197</v>
      </c>
      <c r="FD844" s="17" t="s">
        <v>198</v>
      </c>
      <c r="FE844" s="18">
        <v>45722.509791666664</v>
      </c>
      <c r="FF844" s="19"/>
      <c r="FG844" s="19"/>
      <c r="FH844" s="21" t="s">
        <v>197</v>
      </c>
      <c r="FI844" s="17" t="s">
        <v>214</v>
      </c>
      <c r="FJ844" s="18">
        <v>45722.509791666664</v>
      </c>
      <c r="FK844" s="14" t="s">
        <v>17183</v>
      </c>
      <c r="FL844" s="14" t="s">
        <v>17184</v>
      </c>
      <c r="FM844" s="14" t="s">
        <v>17185</v>
      </c>
      <c r="FN844" s="19"/>
      <c r="FO844" s="19"/>
      <c r="FP844" s="19" t="str">
        <f t="shared" si="1"/>
        <v>Base de Dados_Images/TIT30045.Imagem do Equipamento-.172854.jpg</v>
      </c>
      <c r="FQ844" s="19"/>
      <c r="FR844" s="19"/>
    </row>
    <row r="845" ht="15.75" customHeight="1">
      <c r="A845" s="12" t="s">
        <v>292</v>
      </c>
      <c r="B845" s="12" t="s">
        <v>11041</v>
      </c>
      <c r="C845" s="24" t="s">
        <v>375</v>
      </c>
      <c r="D845" s="22" t="s">
        <v>17186</v>
      </c>
      <c r="E845" s="22" t="s">
        <v>17187</v>
      </c>
      <c r="F845" s="13" t="s">
        <v>178</v>
      </c>
      <c r="G845" s="14" t="s">
        <v>179</v>
      </c>
      <c r="H845" s="14" t="s">
        <v>17188</v>
      </c>
      <c r="I845" s="14" t="s">
        <v>179</v>
      </c>
      <c r="J845" s="14" t="s">
        <v>17189</v>
      </c>
      <c r="K845" s="14" t="s">
        <v>179</v>
      </c>
      <c r="L845" s="14" t="s">
        <v>17190</v>
      </c>
      <c r="M845" s="14" t="s">
        <v>179</v>
      </c>
      <c r="N845" s="14" t="s">
        <v>17191</v>
      </c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6" t="s">
        <v>197</v>
      </c>
      <c r="BP845" s="17" t="s">
        <v>198</v>
      </c>
      <c r="BQ845" s="18">
        <v>45686.55327546296</v>
      </c>
      <c r="BR845" s="17" t="s">
        <v>198</v>
      </c>
      <c r="BS845" s="18">
        <v>45686.55326388889</v>
      </c>
      <c r="BT845" s="17" t="s">
        <v>198</v>
      </c>
      <c r="BU845" s="18">
        <v>45686.55327546296</v>
      </c>
      <c r="BV845" s="13" t="s">
        <v>199</v>
      </c>
      <c r="BW845" s="14" t="s">
        <v>179</v>
      </c>
      <c r="BX845" s="14" t="s">
        <v>17192</v>
      </c>
      <c r="BY845" s="14" t="s">
        <v>179</v>
      </c>
      <c r="BZ845" s="14" t="s">
        <v>17193</v>
      </c>
      <c r="CA845" s="14" t="s">
        <v>179</v>
      </c>
      <c r="CB845" s="14" t="s">
        <v>17194</v>
      </c>
      <c r="CC845" s="15"/>
      <c r="CD845" s="15"/>
      <c r="CE845" s="15"/>
      <c r="CF845" s="15"/>
      <c r="CG845" s="19"/>
      <c r="CH845" s="15"/>
      <c r="CI845" s="19"/>
      <c r="CJ845" s="15"/>
      <c r="CK845" s="19"/>
      <c r="CL845" s="15"/>
      <c r="CM845" s="19"/>
      <c r="CN845" s="15"/>
      <c r="CO845" s="19"/>
      <c r="CP845" s="15"/>
      <c r="CQ845" s="15"/>
      <c r="CR845" s="15"/>
      <c r="CS845" s="19"/>
      <c r="CT845" s="15"/>
      <c r="CU845" s="19"/>
      <c r="CV845" s="15"/>
      <c r="CW845" s="19"/>
      <c r="CX845" s="15"/>
      <c r="CY845" s="19"/>
      <c r="CZ845" s="15"/>
      <c r="DA845" s="16" t="s">
        <v>197</v>
      </c>
      <c r="DB845" s="17" t="s">
        <v>228</v>
      </c>
      <c r="DC845" s="16"/>
      <c r="DD845" s="17" t="s">
        <v>198</v>
      </c>
      <c r="DE845" s="18">
        <v>45698.699108796296</v>
      </c>
      <c r="DF845" s="17" t="s">
        <v>198</v>
      </c>
      <c r="DG845" s="18">
        <v>45698.699108796296</v>
      </c>
      <c r="DH845" s="13" t="s">
        <v>205</v>
      </c>
      <c r="DI845" s="14" t="s">
        <v>179</v>
      </c>
      <c r="DJ845" s="14" t="s">
        <v>17195</v>
      </c>
      <c r="DK845" s="14" t="s">
        <v>179</v>
      </c>
      <c r="DL845" s="14" t="s">
        <v>17195</v>
      </c>
      <c r="DM845" s="15"/>
      <c r="DN845" s="15"/>
      <c r="DO845" s="15"/>
      <c r="DP845" s="15"/>
      <c r="DQ845" s="15"/>
      <c r="DR845" s="15"/>
      <c r="DS845" s="15"/>
      <c r="DT845" s="15"/>
      <c r="DU845" s="15"/>
      <c r="DV845" s="15"/>
      <c r="DW845" s="15"/>
      <c r="DX845" s="15"/>
      <c r="DY845" s="15"/>
      <c r="DZ845" s="15"/>
      <c r="EA845" s="15"/>
      <c r="EB845" s="15"/>
      <c r="EC845" s="16" t="s">
        <v>197</v>
      </c>
      <c r="ED845" s="17" t="s">
        <v>198</v>
      </c>
      <c r="EE845" s="18">
        <v>45719.470358796294</v>
      </c>
      <c r="EF845" s="13" t="s">
        <v>209</v>
      </c>
      <c r="EG845" s="14" t="s">
        <v>179</v>
      </c>
      <c r="EH845" s="14" t="s">
        <v>17196</v>
      </c>
      <c r="EI845" s="14" t="s">
        <v>179</v>
      </c>
      <c r="EJ845" s="14" t="s">
        <v>17197</v>
      </c>
      <c r="EK845" s="15"/>
      <c r="EL845" s="15"/>
      <c r="EM845" s="15"/>
      <c r="EN845" s="15"/>
      <c r="EO845" s="15"/>
      <c r="EP845" s="15"/>
      <c r="EQ845" s="15"/>
      <c r="ER845" s="15"/>
      <c r="ES845" s="15"/>
      <c r="ET845" s="15"/>
      <c r="EU845" s="15"/>
      <c r="EV845" s="15"/>
      <c r="EW845" s="15"/>
      <c r="EX845" s="15"/>
      <c r="EY845" s="15"/>
      <c r="EZ845" s="15"/>
      <c r="FA845" s="15"/>
      <c r="FB845" s="15"/>
      <c r="FC845" s="16" t="s">
        <v>197</v>
      </c>
      <c r="FD845" s="17" t="s">
        <v>198</v>
      </c>
      <c r="FE845" s="18">
        <v>45722.50840277778</v>
      </c>
      <c r="FF845" s="19"/>
      <c r="FG845" s="19"/>
      <c r="FH845" s="21" t="s">
        <v>197</v>
      </c>
      <c r="FI845" s="17" t="s">
        <v>214</v>
      </c>
      <c r="FJ845" s="18">
        <v>45722.50840277778</v>
      </c>
      <c r="FK845" s="14" t="s">
        <v>17197</v>
      </c>
      <c r="FL845" s="14" t="s">
        <v>17198</v>
      </c>
      <c r="FM845" s="14" t="s">
        <v>17199</v>
      </c>
      <c r="FN845" s="19"/>
      <c r="FO845" s="19"/>
      <c r="FP845" s="19" t="str">
        <f t="shared" si="1"/>
        <v>Base de Dados_Images/TIT30046.Imagem do Equipamento-.172937.jpg</v>
      </c>
      <c r="FQ845" s="19"/>
      <c r="FR845" s="19"/>
    </row>
    <row r="846" ht="15.75" customHeight="1">
      <c r="A846" s="12" t="s">
        <v>292</v>
      </c>
      <c r="B846" s="12" t="s">
        <v>1975</v>
      </c>
      <c r="C846" s="24" t="s">
        <v>375</v>
      </c>
      <c r="D846" s="22" t="s">
        <v>17200</v>
      </c>
      <c r="E846" s="22" t="s">
        <v>17201</v>
      </c>
      <c r="F846" s="13" t="s">
        <v>178</v>
      </c>
      <c r="G846" s="14" t="s">
        <v>179</v>
      </c>
      <c r="H846" s="14" t="s">
        <v>17202</v>
      </c>
      <c r="I846" s="14" t="s">
        <v>179</v>
      </c>
      <c r="J846" s="14" t="s">
        <v>17203</v>
      </c>
      <c r="K846" s="14" t="s">
        <v>179</v>
      </c>
      <c r="L846" s="14" t="s">
        <v>17204</v>
      </c>
      <c r="M846" s="14" t="s">
        <v>179</v>
      </c>
      <c r="N846" s="14" t="s">
        <v>17205</v>
      </c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6" t="s">
        <v>197</v>
      </c>
      <c r="BP846" s="17" t="s">
        <v>198</v>
      </c>
      <c r="BQ846" s="18">
        <v>45686.554444444446</v>
      </c>
      <c r="BR846" s="17" t="s">
        <v>198</v>
      </c>
      <c r="BS846" s="18">
        <v>45686.55443287037</v>
      </c>
      <c r="BT846" s="17" t="s">
        <v>198</v>
      </c>
      <c r="BU846" s="18">
        <v>45686.554444444446</v>
      </c>
      <c r="BV846" s="13" t="s">
        <v>199</v>
      </c>
      <c r="BW846" s="14" t="s">
        <v>179</v>
      </c>
      <c r="BX846" s="14" t="s">
        <v>17206</v>
      </c>
      <c r="BY846" s="14" t="s">
        <v>179</v>
      </c>
      <c r="BZ846" s="14" t="s">
        <v>17207</v>
      </c>
      <c r="CA846" s="14" t="s">
        <v>179</v>
      </c>
      <c r="CB846" s="14" t="s">
        <v>17208</v>
      </c>
      <c r="CC846" s="15"/>
      <c r="CD846" s="15"/>
      <c r="CE846" s="15"/>
      <c r="CF846" s="15"/>
      <c r="CG846" s="19"/>
      <c r="CH846" s="15"/>
      <c r="CI846" s="19"/>
      <c r="CJ846" s="15"/>
      <c r="CK846" s="19"/>
      <c r="CL846" s="15"/>
      <c r="CM846" s="19"/>
      <c r="CN846" s="15"/>
      <c r="CO846" s="19"/>
      <c r="CP846" s="15"/>
      <c r="CQ846" s="15"/>
      <c r="CR846" s="15"/>
      <c r="CS846" s="19"/>
      <c r="CT846" s="15"/>
      <c r="CU846" s="19"/>
      <c r="CV846" s="15"/>
      <c r="CW846" s="19"/>
      <c r="CX846" s="15"/>
      <c r="CY846" s="19"/>
      <c r="CZ846" s="15"/>
      <c r="DA846" s="16" t="s">
        <v>197</v>
      </c>
      <c r="DB846" s="17" t="s">
        <v>228</v>
      </c>
      <c r="DC846" s="16"/>
      <c r="DD846" s="17" t="s">
        <v>198</v>
      </c>
      <c r="DE846" s="18">
        <v>45719.50394675926</v>
      </c>
      <c r="DF846" s="17" t="s">
        <v>198</v>
      </c>
      <c r="DG846" s="18">
        <v>45719.50394675926</v>
      </c>
      <c r="DH846" s="13" t="s">
        <v>205</v>
      </c>
      <c r="DI846" s="14" t="s">
        <v>179</v>
      </c>
      <c r="DJ846" s="14" t="s">
        <v>17209</v>
      </c>
      <c r="DK846" s="14" t="s">
        <v>179</v>
      </c>
      <c r="DL846" s="14" t="s">
        <v>17210</v>
      </c>
      <c r="DM846" s="15"/>
      <c r="DN846" s="15"/>
      <c r="DO846" s="15"/>
      <c r="DP846" s="15"/>
      <c r="DQ846" s="15"/>
      <c r="DR846" s="15"/>
      <c r="DS846" s="15"/>
      <c r="DT846" s="15"/>
      <c r="DU846" s="15"/>
      <c r="DV846" s="15"/>
      <c r="DW846" s="15"/>
      <c r="DX846" s="15"/>
      <c r="DY846" s="15"/>
      <c r="DZ846" s="15"/>
      <c r="EA846" s="15"/>
      <c r="EB846" s="15"/>
      <c r="EC846" s="16" t="s">
        <v>197</v>
      </c>
      <c r="ED846" s="17" t="s">
        <v>198</v>
      </c>
      <c r="EE846" s="18">
        <v>45719.50405092593</v>
      </c>
      <c r="EF846" s="13" t="s">
        <v>209</v>
      </c>
      <c r="EG846" s="14" t="s">
        <v>179</v>
      </c>
      <c r="EH846" s="14" t="s">
        <v>17211</v>
      </c>
      <c r="EI846" s="14" t="s">
        <v>179</v>
      </c>
      <c r="EJ846" s="14" t="s">
        <v>17211</v>
      </c>
      <c r="EK846" s="15"/>
      <c r="EL846" s="15"/>
      <c r="EM846" s="15"/>
      <c r="EN846" s="15"/>
      <c r="EO846" s="15"/>
      <c r="EP846" s="15"/>
      <c r="EQ846" s="15"/>
      <c r="ER846" s="15"/>
      <c r="ES846" s="15"/>
      <c r="ET846" s="15"/>
      <c r="EU846" s="15"/>
      <c r="EV846" s="15"/>
      <c r="EW846" s="15"/>
      <c r="EX846" s="15"/>
      <c r="EY846" s="15"/>
      <c r="EZ846" s="15"/>
      <c r="FA846" s="15"/>
      <c r="FB846" s="15"/>
      <c r="FC846" s="16" t="s">
        <v>197</v>
      </c>
      <c r="FD846" s="17" t="s">
        <v>198</v>
      </c>
      <c r="FE846" s="18">
        <v>45722.509108796294</v>
      </c>
      <c r="FF846" s="19"/>
      <c r="FG846" s="19"/>
      <c r="FH846" s="21" t="s">
        <v>197</v>
      </c>
      <c r="FI846" s="17" t="s">
        <v>214</v>
      </c>
      <c r="FJ846" s="18">
        <v>45722.509108796294</v>
      </c>
      <c r="FK846" s="14" t="s">
        <v>17211</v>
      </c>
      <c r="FL846" s="14" t="s">
        <v>17212</v>
      </c>
      <c r="FM846" s="14" t="s">
        <v>17213</v>
      </c>
      <c r="FN846" s="19"/>
      <c r="FO846" s="19"/>
      <c r="FP846" s="19" t="str">
        <f t="shared" si="1"/>
        <v>Base de Dados_Images/TIT30047.Imagem do Equipamento-.173135.jpg</v>
      </c>
      <c r="FQ846" s="19"/>
      <c r="FR846" s="19"/>
    </row>
    <row r="847" ht="15.75" customHeight="1">
      <c r="A847" s="12" t="s">
        <v>292</v>
      </c>
      <c r="B847" s="12" t="s">
        <v>1975</v>
      </c>
      <c r="C847" s="24" t="s">
        <v>375</v>
      </c>
      <c r="D847" s="22" t="s">
        <v>17214</v>
      </c>
      <c r="E847" s="22" t="s">
        <v>17215</v>
      </c>
      <c r="F847" s="13" t="s">
        <v>178</v>
      </c>
      <c r="G847" s="14" t="s">
        <v>179</v>
      </c>
      <c r="H847" s="14" t="s">
        <v>17216</v>
      </c>
      <c r="I847" s="14" t="s">
        <v>179</v>
      </c>
      <c r="J847" s="14" t="s">
        <v>17217</v>
      </c>
      <c r="K847" s="14" t="s">
        <v>179</v>
      </c>
      <c r="L847" s="14" t="s">
        <v>17218</v>
      </c>
      <c r="M847" s="14" t="s">
        <v>179</v>
      </c>
      <c r="N847" s="14" t="s">
        <v>17219</v>
      </c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6" t="s">
        <v>197</v>
      </c>
      <c r="BP847" s="17" t="s">
        <v>198</v>
      </c>
      <c r="BQ847" s="18">
        <v>45687.461226851854</v>
      </c>
      <c r="BR847" s="17" t="s">
        <v>198</v>
      </c>
      <c r="BS847" s="18">
        <v>45687.4612037037</v>
      </c>
      <c r="BT847" s="17" t="s">
        <v>198</v>
      </c>
      <c r="BU847" s="18">
        <v>45687.461226851854</v>
      </c>
      <c r="BV847" s="13" t="s">
        <v>199</v>
      </c>
      <c r="BW847" s="14" t="s">
        <v>179</v>
      </c>
      <c r="BX847" s="14" t="s">
        <v>17220</v>
      </c>
      <c r="BY847" s="14" t="s">
        <v>179</v>
      </c>
      <c r="BZ847" s="14" t="s">
        <v>17221</v>
      </c>
      <c r="CA847" s="14" t="s">
        <v>179</v>
      </c>
      <c r="CB847" s="14" t="s">
        <v>17222</v>
      </c>
      <c r="CC847" s="15"/>
      <c r="CD847" s="15"/>
      <c r="CE847" s="15"/>
      <c r="CF847" s="15"/>
      <c r="CG847" s="19"/>
      <c r="CH847" s="15"/>
      <c r="CI847" s="19"/>
      <c r="CJ847" s="15"/>
      <c r="CK847" s="19"/>
      <c r="CL847" s="15"/>
      <c r="CM847" s="19"/>
      <c r="CN847" s="15"/>
      <c r="CO847" s="19"/>
      <c r="CP847" s="15"/>
      <c r="CQ847" s="15"/>
      <c r="CR847" s="15"/>
      <c r="CS847" s="19"/>
      <c r="CT847" s="15"/>
      <c r="CU847" s="19"/>
      <c r="CV847" s="15"/>
      <c r="CW847" s="19"/>
      <c r="CX847" s="15"/>
      <c r="CY847" s="19"/>
      <c r="CZ847" s="15"/>
      <c r="DA847" s="16" t="s">
        <v>197</v>
      </c>
      <c r="DB847" s="17" t="s">
        <v>228</v>
      </c>
      <c r="DC847" s="16"/>
      <c r="DD847" s="17" t="s">
        <v>198</v>
      </c>
      <c r="DE847" s="18">
        <v>45700.53092592592</v>
      </c>
      <c r="DF847" s="17" t="s">
        <v>198</v>
      </c>
      <c r="DG847" s="18">
        <v>45700.53092592592</v>
      </c>
      <c r="DH847" s="13" t="s">
        <v>205</v>
      </c>
      <c r="DI847" s="14" t="s">
        <v>179</v>
      </c>
      <c r="DJ847" s="14" t="s">
        <v>17223</v>
      </c>
      <c r="DK847" s="14" t="s">
        <v>179</v>
      </c>
      <c r="DL847" s="14" t="s">
        <v>17224</v>
      </c>
      <c r="DM847" s="15"/>
      <c r="DN847" s="15"/>
      <c r="DO847" s="15"/>
      <c r="DP847" s="15"/>
      <c r="DQ847" s="15"/>
      <c r="DR847" s="15"/>
      <c r="DS847" s="15"/>
      <c r="DT847" s="15"/>
      <c r="DU847" s="15"/>
      <c r="DV847" s="15"/>
      <c r="DW847" s="15"/>
      <c r="DX847" s="15"/>
      <c r="DY847" s="15"/>
      <c r="DZ847" s="15"/>
      <c r="EA847" s="15"/>
      <c r="EB847" s="15"/>
      <c r="EC847" s="16" t="s">
        <v>197</v>
      </c>
      <c r="ED847" s="17" t="s">
        <v>198</v>
      </c>
      <c r="EE847" s="18">
        <v>45719.504155092596</v>
      </c>
      <c r="EF847" s="13" t="s">
        <v>209</v>
      </c>
      <c r="EG847" s="14" t="s">
        <v>179</v>
      </c>
      <c r="EH847" s="14" t="s">
        <v>17225</v>
      </c>
      <c r="EI847" s="14" t="s">
        <v>179</v>
      </c>
      <c r="EJ847" s="14" t="s">
        <v>17225</v>
      </c>
      <c r="EK847" s="15"/>
      <c r="EL847" s="15"/>
      <c r="EM847" s="15"/>
      <c r="EN847" s="15"/>
      <c r="EO847" s="15"/>
      <c r="EP847" s="15"/>
      <c r="EQ847" s="15"/>
      <c r="ER847" s="15"/>
      <c r="ES847" s="15"/>
      <c r="ET847" s="15"/>
      <c r="EU847" s="15"/>
      <c r="EV847" s="15"/>
      <c r="EW847" s="15"/>
      <c r="EX847" s="15"/>
      <c r="EY847" s="15"/>
      <c r="EZ847" s="15"/>
      <c r="FA847" s="15"/>
      <c r="FB847" s="15"/>
      <c r="FC847" s="16" t="s">
        <v>197</v>
      </c>
      <c r="FD847" s="17" t="s">
        <v>198</v>
      </c>
      <c r="FE847" s="18">
        <v>45722.50916666666</v>
      </c>
      <c r="FF847" s="19"/>
      <c r="FG847" s="19"/>
      <c r="FH847" s="21" t="s">
        <v>197</v>
      </c>
      <c r="FI847" s="17" t="s">
        <v>214</v>
      </c>
      <c r="FJ847" s="18">
        <v>45722.50916666666</v>
      </c>
      <c r="FK847" s="14" t="s">
        <v>17225</v>
      </c>
      <c r="FL847" s="14" t="s">
        <v>17226</v>
      </c>
      <c r="FM847" s="14" t="s">
        <v>17227</v>
      </c>
      <c r="FN847" s="19"/>
      <c r="FO847" s="19"/>
      <c r="FP847" s="19" t="str">
        <f t="shared" si="1"/>
        <v>Base de Dados_Images/TIT30054.Imagem do Equipamento-.155531.jpg</v>
      </c>
      <c r="FQ847" s="19"/>
      <c r="FR847" s="19"/>
    </row>
    <row r="848" ht="15.75" customHeight="1">
      <c r="A848" s="12" t="s">
        <v>292</v>
      </c>
      <c r="B848" s="12" t="s">
        <v>1740</v>
      </c>
      <c r="C848" s="24" t="s">
        <v>375</v>
      </c>
      <c r="D848" s="22" t="s">
        <v>17228</v>
      </c>
      <c r="E848" s="22" t="s">
        <v>17229</v>
      </c>
      <c r="F848" s="13" t="s">
        <v>178</v>
      </c>
      <c r="G848" s="14" t="s">
        <v>179</v>
      </c>
      <c r="H848" s="14" t="s">
        <v>17230</v>
      </c>
      <c r="I848" s="14" t="s">
        <v>179</v>
      </c>
      <c r="J848" s="14" t="s">
        <v>17231</v>
      </c>
      <c r="K848" s="14" t="s">
        <v>179</v>
      </c>
      <c r="L848" s="14" t="s">
        <v>17232</v>
      </c>
      <c r="M848" s="14" t="s">
        <v>179</v>
      </c>
      <c r="N848" s="14" t="s">
        <v>17233</v>
      </c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6" t="s">
        <v>197</v>
      </c>
      <c r="BP848" s="17" t="s">
        <v>198</v>
      </c>
      <c r="BQ848" s="18">
        <v>45689.457870370374</v>
      </c>
      <c r="BR848" s="17" t="s">
        <v>198</v>
      </c>
      <c r="BS848" s="18">
        <v>45689.45784722222</v>
      </c>
      <c r="BT848" s="17" t="s">
        <v>198</v>
      </c>
      <c r="BU848" s="18">
        <v>45689.457870370374</v>
      </c>
      <c r="BV848" s="13" t="s">
        <v>199</v>
      </c>
      <c r="BW848" s="14" t="s">
        <v>179</v>
      </c>
      <c r="BX848" s="14" t="s">
        <v>17234</v>
      </c>
      <c r="BY848" s="14" t="s">
        <v>179</v>
      </c>
      <c r="BZ848" s="14" t="s">
        <v>17235</v>
      </c>
      <c r="CA848" s="14" t="s">
        <v>179</v>
      </c>
      <c r="CB848" s="14" t="s">
        <v>17236</v>
      </c>
      <c r="CC848" s="15"/>
      <c r="CD848" s="15"/>
      <c r="CE848" s="15"/>
      <c r="CF848" s="15"/>
      <c r="CG848" s="19"/>
      <c r="CH848" s="15"/>
      <c r="CI848" s="19"/>
      <c r="CJ848" s="15"/>
      <c r="CK848" s="19"/>
      <c r="CL848" s="15"/>
      <c r="CM848" s="19"/>
      <c r="CN848" s="15"/>
      <c r="CO848" s="19"/>
      <c r="CP848" s="15"/>
      <c r="CQ848" s="15"/>
      <c r="CR848" s="15"/>
      <c r="CS848" s="19"/>
      <c r="CT848" s="15"/>
      <c r="CU848" s="19"/>
      <c r="CV848" s="15"/>
      <c r="CW848" s="19"/>
      <c r="CX848" s="15"/>
      <c r="CY848" s="19"/>
      <c r="CZ848" s="15"/>
      <c r="DA848" s="16" t="s">
        <v>197</v>
      </c>
      <c r="DB848" s="17" t="s">
        <v>228</v>
      </c>
      <c r="DC848" s="16"/>
      <c r="DD848" s="17" t="s">
        <v>198</v>
      </c>
      <c r="DE848" s="18">
        <v>45719.45056712963</v>
      </c>
      <c r="DF848" s="17" t="s">
        <v>198</v>
      </c>
      <c r="DG848" s="18">
        <v>45719.45056712963</v>
      </c>
      <c r="DH848" s="13" t="s">
        <v>205</v>
      </c>
      <c r="DI848" s="14" t="s">
        <v>179</v>
      </c>
      <c r="DJ848" s="14" t="s">
        <v>17237</v>
      </c>
      <c r="DK848" s="14" t="s">
        <v>179</v>
      </c>
      <c r="DL848" s="14" t="s">
        <v>17238</v>
      </c>
      <c r="DM848" s="15"/>
      <c r="DN848" s="15"/>
      <c r="DO848" s="15"/>
      <c r="DP848" s="15"/>
      <c r="DQ848" s="15"/>
      <c r="DR848" s="15"/>
      <c r="DS848" s="15"/>
      <c r="DT848" s="15"/>
      <c r="DU848" s="15"/>
      <c r="DV848" s="15"/>
      <c r="DW848" s="15"/>
      <c r="DX848" s="15"/>
      <c r="DY848" s="15"/>
      <c r="DZ848" s="15"/>
      <c r="EA848" s="15"/>
      <c r="EB848" s="15"/>
      <c r="EC848" s="16" t="s">
        <v>197</v>
      </c>
      <c r="ED848" s="17" t="s">
        <v>198</v>
      </c>
      <c r="EE848" s="18">
        <v>45719.45061342593</v>
      </c>
      <c r="EF848" s="13" t="s">
        <v>209</v>
      </c>
      <c r="EG848" s="14" t="s">
        <v>179</v>
      </c>
      <c r="EH848" s="14" t="s">
        <v>17239</v>
      </c>
      <c r="EI848" s="14" t="s">
        <v>179</v>
      </c>
      <c r="EJ848" s="14" t="s">
        <v>17239</v>
      </c>
      <c r="EK848" s="15"/>
      <c r="EL848" s="15"/>
      <c r="EM848" s="15"/>
      <c r="EN848" s="15"/>
      <c r="EO848" s="15"/>
      <c r="EP848" s="15"/>
      <c r="EQ848" s="15"/>
      <c r="ER848" s="15"/>
      <c r="ES848" s="15"/>
      <c r="ET848" s="15"/>
      <c r="EU848" s="15"/>
      <c r="EV848" s="15"/>
      <c r="EW848" s="15"/>
      <c r="EX848" s="15"/>
      <c r="EY848" s="15"/>
      <c r="EZ848" s="15"/>
      <c r="FA848" s="15"/>
      <c r="FB848" s="15"/>
      <c r="FC848" s="16" t="s">
        <v>197</v>
      </c>
      <c r="FD848" s="17" t="s">
        <v>198</v>
      </c>
      <c r="FE848" s="18">
        <v>45722.36230324074</v>
      </c>
      <c r="FF848" s="19"/>
      <c r="FG848" s="19"/>
      <c r="FH848" s="21" t="s">
        <v>197</v>
      </c>
      <c r="FI848" s="17" t="s">
        <v>214</v>
      </c>
      <c r="FJ848" s="18">
        <v>45722.36230324074</v>
      </c>
      <c r="FK848" s="14" t="s">
        <v>17239</v>
      </c>
      <c r="FL848" s="14" t="s">
        <v>17240</v>
      </c>
      <c r="FM848" s="14" t="s">
        <v>17241</v>
      </c>
      <c r="FN848" s="19"/>
      <c r="FO848" s="19"/>
      <c r="FP848" s="19" t="str">
        <f t="shared" si="1"/>
        <v>Base de Dados_Images/TIT35008.Imagem do Equipamento-.135913.jpg</v>
      </c>
      <c r="FQ848" s="14"/>
      <c r="FR848" s="14"/>
    </row>
    <row r="849" ht="15.75" customHeight="1">
      <c r="A849" s="12" t="s">
        <v>461</v>
      </c>
      <c r="B849" s="12" t="s">
        <v>462</v>
      </c>
      <c r="C849" s="24" t="s">
        <v>375</v>
      </c>
      <c r="D849" s="22" t="s">
        <v>17242</v>
      </c>
      <c r="E849" s="22" t="s">
        <v>17243</v>
      </c>
      <c r="F849" s="13" t="s">
        <v>178</v>
      </c>
      <c r="G849" s="14" t="s">
        <v>179</v>
      </c>
      <c r="H849" s="14" t="s">
        <v>17244</v>
      </c>
      <c r="I849" s="14" t="s">
        <v>179</v>
      </c>
      <c r="J849" s="14" t="s">
        <v>17244</v>
      </c>
      <c r="K849" s="14" t="s">
        <v>179</v>
      </c>
      <c r="L849" s="14" t="s">
        <v>17245</v>
      </c>
      <c r="M849" s="14" t="s">
        <v>179</v>
      </c>
      <c r="N849" s="14" t="s">
        <v>17245</v>
      </c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6" t="s">
        <v>197</v>
      </c>
      <c r="BP849" s="17" t="s">
        <v>198</v>
      </c>
      <c r="BQ849" s="18">
        <v>45686.538090277776</v>
      </c>
      <c r="BR849" s="17" t="s">
        <v>198</v>
      </c>
      <c r="BS849" s="18">
        <v>45686.538090277776</v>
      </c>
      <c r="BT849" s="17" t="s">
        <v>198</v>
      </c>
      <c r="BU849" s="18">
        <v>45686.538090277776</v>
      </c>
      <c r="BV849" s="13" t="s">
        <v>199</v>
      </c>
      <c r="BW849" s="14" t="s">
        <v>179</v>
      </c>
      <c r="BX849" s="14" t="s">
        <v>17246</v>
      </c>
      <c r="BY849" s="14" t="s">
        <v>179</v>
      </c>
      <c r="BZ849" s="14" t="s">
        <v>17247</v>
      </c>
      <c r="CA849" s="14" t="s">
        <v>179</v>
      </c>
      <c r="CB849" s="14" t="s">
        <v>17248</v>
      </c>
      <c r="CC849" s="15"/>
      <c r="CD849" s="15"/>
      <c r="CE849" s="15"/>
      <c r="CF849" s="15"/>
      <c r="CG849" s="19"/>
      <c r="CH849" s="15"/>
      <c r="CI849" s="19"/>
      <c r="CJ849" s="15"/>
      <c r="CK849" s="19"/>
      <c r="CL849" s="15"/>
      <c r="CM849" s="19"/>
      <c r="CN849" s="15"/>
      <c r="CO849" s="19"/>
      <c r="CP849" s="15"/>
      <c r="CQ849" s="15"/>
      <c r="CR849" s="15"/>
      <c r="CS849" s="19"/>
      <c r="CT849" s="15"/>
      <c r="CU849" s="19"/>
      <c r="CV849" s="15"/>
      <c r="CW849" s="19"/>
      <c r="CX849" s="15"/>
      <c r="CY849" s="19"/>
      <c r="CZ849" s="15"/>
      <c r="DA849" s="16" t="s">
        <v>197</v>
      </c>
      <c r="DB849" s="17" t="s">
        <v>228</v>
      </c>
      <c r="DC849" s="16"/>
      <c r="DD849" s="17" t="s">
        <v>198</v>
      </c>
      <c r="DE849" s="18">
        <v>45696.36672453704</v>
      </c>
      <c r="DF849" s="17" t="s">
        <v>198</v>
      </c>
      <c r="DG849" s="18">
        <v>45696.36672453704</v>
      </c>
      <c r="DH849" s="13" t="s">
        <v>205</v>
      </c>
      <c r="DI849" s="14" t="s">
        <v>179</v>
      </c>
      <c r="DJ849" s="14" t="s">
        <v>17249</v>
      </c>
      <c r="DK849" s="14" t="s">
        <v>179</v>
      </c>
      <c r="DL849" s="14" t="s">
        <v>17249</v>
      </c>
      <c r="DM849" s="15"/>
      <c r="DN849" s="15"/>
      <c r="DO849" s="15"/>
      <c r="DP849" s="15"/>
      <c r="DQ849" s="15"/>
      <c r="DR849" s="15"/>
      <c r="DS849" s="15"/>
      <c r="DT849" s="15"/>
      <c r="DU849" s="15"/>
      <c r="DV849" s="15"/>
      <c r="DW849" s="15"/>
      <c r="DX849" s="15"/>
      <c r="DY849" s="15"/>
      <c r="DZ849" s="15"/>
      <c r="EA849" s="15"/>
      <c r="EB849" s="15"/>
      <c r="EC849" s="16" t="s">
        <v>197</v>
      </c>
      <c r="ED849" s="17" t="s">
        <v>198</v>
      </c>
      <c r="EE849" s="18">
        <v>45722.37730324074</v>
      </c>
      <c r="EF849" s="13" t="s">
        <v>209</v>
      </c>
      <c r="EG849" s="14" t="s">
        <v>179</v>
      </c>
      <c r="EH849" s="14" t="s">
        <v>17250</v>
      </c>
      <c r="EI849" s="14" t="s">
        <v>179</v>
      </c>
      <c r="EJ849" s="14" t="s">
        <v>17250</v>
      </c>
      <c r="EK849" s="15"/>
      <c r="EL849" s="15"/>
      <c r="EM849" s="15"/>
      <c r="EN849" s="15"/>
      <c r="EO849" s="15"/>
      <c r="EP849" s="15"/>
      <c r="EQ849" s="15"/>
      <c r="ER849" s="15"/>
      <c r="ES849" s="15"/>
      <c r="ET849" s="15"/>
      <c r="EU849" s="15"/>
      <c r="EV849" s="15"/>
      <c r="EW849" s="15"/>
      <c r="EX849" s="15"/>
      <c r="EY849" s="15"/>
      <c r="EZ849" s="15"/>
      <c r="FA849" s="15"/>
      <c r="FB849" s="15"/>
      <c r="FC849" s="16" t="s">
        <v>197</v>
      </c>
      <c r="FD849" s="17" t="s">
        <v>198</v>
      </c>
      <c r="FE849" s="18">
        <v>45723.35980324074</v>
      </c>
      <c r="FF849" s="19"/>
      <c r="FG849" s="19"/>
      <c r="FH849" s="21" t="s">
        <v>197</v>
      </c>
      <c r="FI849" s="17" t="s">
        <v>214</v>
      </c>
      <c r="FJ849" s="18">
        <v>45723.35980324074</v>
      </c>
      <c r="FK849" s="14" t="s">
        <v>17250</v>
      </c>
      <c r="FL849" s="14" t="s">
        <v>17251</v>
      </c>
      <c r="FM849" s="14" t="s">
        <v>17252</v>
      </c>
      <c r="FN849" s="19"/>
      <c r="FO849" s="19"/>
      <c r="FP849" s="19" t="str">
        <f t="shared" si="1"/>
        <v>Base de Dados_Images/TIT40035.Imagem do Equipamento-.172454.jpg</v>
      </c>
      <c r="FQ849" s="14"/>
      <c r="FR849" s="14"/>
    </row>
    <row r="850" ht="15.75" customHeight="1">
      <c r="A850" s="12" t="s">
        <v>217</v>
      </c>
      <c r="B850" s="12" t="s">
        <v>17253</v>
      </c>
      <c r="C850" s="24" t="s">
        <v>375</v>
      </c>
      <c r="D850" s="22" t="s">
        <v>17254</v>
      </c>
      <c r="E850" s="22" t="s">
        <v>17255</v>
      </c>
      <c r="F850" s="13" t="s">
        <v>178</v>
      </c>
      <c r="G850" s="14" t="s">
        <v>179</v>
      </c>
      <c r="H850" s="14" t="s">
        <v>17256</v>
      </c>
      <c r="I850" s="14" t="s">
        <v>179</v>
      </c>
      <c r="J850" s="14" t="s">
        <v>17257</v>
      </c>
      <c r="K850" s="14" t="s">
        <v>179</v>
      </c>
      <c r="L850" s="14" t="s">
        <v>17258</v>
      </c>
      <c r="M850" s="14" t="s">
        <v>179</v>
      </c>
      <c r="N850" s="14" t="s">
        <v>17259</v>
      </c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6" t="s">
        <v>197</v>
      </c>
      <c r="BP850" s="17" t="s">
        <v>198</v>
      </c>
      <c r="BQ850" s="18">
        <v>45694.48452546296</v>
      </c>
      <c r="BR850" s="17" t="s">
        <v>198</v>
      </c>
      <c r="BS850" s="18">
        <v>45694.48459490741</v>
      </c>
      <c r="BT850" s="17" t="s">
        <v>198</v>
      </c>
      <c r="BU850" s="18">
        <v>45694.48459490741</v>
      </c>
      <c r="BV850" s="13" t="s">
        <v>199</v>
      </c>
      <c r="BW850" s="14" t="s">
        <v>179</v>
      </c>
      <c r="BX850" s="14" t="s">
        <v>17260</v>
      </c>
      <c r="BY850" s="14" t="s">
        <v>179</v>
      </c>
      <c r="BZ850" s="14" t="s">
        <v>17261</v>
      </c>
      <c r="CA850" s="14" t="s">
        <v>179</v>
      </c>
      <c r="CB850" s="14" t="s">
        <v>17262</v>
      </c>
      <c r="CC850" s="15"/>
      <c r="CD850" s="15"/>
      <c r="CE850" s="15"/>
      <c r="CF850" s="15"/>
      <c r="CG850" s="19"/>
      <c r="CH850" s="15"/>
      <c r="CI850" s="19"/>
      <c r="CJ850" s="15"/>
      <c r="CK850" s="19"/>
      <c r="CL850" s="15"/>
      <c r="CM850" s="19"/>
      <c r="CN850" s="15"/>
      <c r="CO850" s="19"/>
      <c r="CP850" s="15"/>
      <c r="CQ850" s="15"/>
      <c r="CR850" s="15"/>
      <c r="CS850" s="19"/>
      <c r="CT850" s="15"/>
      <c r="CU850" s="19"/>
      <c r="CV850" s="15"/>
      <c r="CW850" s="19"/>
      <c r="CX850" s="15"/>
      <c r="CY850" s="19"/>
      <c r="CZ850" s="15"/>
      <c r="DA850" s="16" t="s">
        <v>197</v>
      </c>
      <c r="DB850" s="17" t="s">
        <v>228</v>
      </c>
      <c r="DC850" s="16"/>
      <c r="DD850" s="17" t="s">
        <v>198</v>
      </c>
      <c r="DE850" s="18">
        <v>45694.48479166667</v>
      </c>
      <c r="DF850" s="17" t="s">
        <v>198</v>
      </c>
      <c r="DG850" s="18">
        <v>45694.48479166667</v>
      </c>
      <c r="DH850" s="13" t="s">
        <v>205</v>
      </c>
      <c r="DI850" s="14" t="s">
        <v>179</v>
      </c>
      <c r="DJ850" s="14" t="s">
        <v>17263</v>
      </c>
      <c r="DK850" s="14" t="s">
        <v>179</v>
      </c>
      <c r="DL850" s="14" t="s">
        <v>17264</v>
      </c>
      <c r="DM850" s="15"/>
      <c r="DN850" s="15"/>
      <c r="DO850" s="15"/>
      <c r="DP850" s="15"/>
      <c r="DQ850" s="15"/>
      <c r="DR850" s="15"/>
      <c r="DS850" s="15"/>
      <c r="DT850" s="15"/>
      <c r="DU850" s="15"/>
      <c r="DV850" s="15"/>
      <c r="DW850" s="15"/>
      <c r="DX850" s="15"/>
      <c r="DY850" s="15"/>
      <c r="DZ850" s="15"/>
      <c r="EA850" s="15"/>
      <c r="EB850" s="15"/>
      <c r="EC850" s="16" t="s">
        <v>197</v>
      </c>
      <c r="ED850" s="17" t="s">
        <v>198</v>
      </c>
      <c r="EE850" s="18">
        <v>45720.596875</v>
      </c>
      <c r="EF850" s="13" t="s">
        <v>209</v>
      </c>
      <c r="EG850" s="14" t="s">
        <v>179</v>
      </c>
      <c r="EH850" s="14" t="s">
        <v>17265</v>
      </c>
      <c r="EI850" s="14" t="s">
        <v>179</v>
      </c>
      <c r="EJ850" s="14" t="s">
        <v>17265</v>
      </c>
      <c r="EK850" s="15"/>
      <c r="EL850" s="15"/>
      <c r="EM850" s="15"/>
      <c r="EN850" s="15"/>
      <c r="EO850" s="15"/>
      <c r="EP850" s="15"/>
      <c r="EQ850" s="15"/>
      <c r="ER850" s="15"/>
      <c r="ES850" s="15"/>
      <c r="ET850" s="15"/>
      <c r="EU850" s="15"/>
      <c r="EV850" s="15"/>
      <c r="EW850" s="15"/>
      <c r="EX850" s="15"/>
      <c r="EY850" s="15"/>
      <c r="EZ850" s="15"/>
      <c r="FA850" s="15"/>
      <c r="FB850" s="15"/>
      <c r="FC850" s="16" t="s">
        <v>197</v>
      </c>
      <c r="FD850" s="17" t="s">
        <v>198</v>
      </c>
      <c r="FE850" s="18">
        <v>45722.36541666667</v>
      </c>
      <c r="FF850" s="19"/>
      <c r="FG850" s="19"/>
      <c r="FH850" s="21" t="s">
        <v>197</v>
      </c>
      <c r="FI850" s="17" t="s">
        <v>214</v>
      </c>
      <c r="FJ850" s="18">
        <v>45722.36541666667</v>
      </c>
      <c r="FK850" s="14" t="s">
        <v>17265</v>
      </c>
      <c r="FL850" s="19"/>
      <c r="FM850" s="19"/>
      <c r="FN850" s="19"/>
      <c r="FO850" s="19"/>
      <c r="FP850" s="19" t="str">
        <f t="shared" si="1"/>
        <v/>
      </c>
      <c r="FQ850" s="14" t="s">
        <v>215</v>
      </c>
      <c r="FR850" s="14" t="s">
        <v>17266</v>
      </c>
    </row>
    <row r="851" ht="15.75" customHeight="1">
      <c r="A851" s="12" t="s">
        <v>234</v>
      </c>
      <c r="B851" s="12" t="s">
        <v>3128</v>
      </c>
      <c r="C851" s="24" t="s">
        <v>375</v>
      </c>
      <c r="D851" s="22" t="s">
        <v>17267</v>
      </c>
      <c r="E851" s="22" t="s">
        <v>17268</v>
      </c>
      <c r="F851" s="13" t="s">
        <v>178</v>
      </c>
      <c r="G851" s="14" t="s">
        <v>179</v>
      </c>
      <c r="H851" s="14" t="s">
        <v>17269</v>
      </c>
      <c r="I851" s="14" t="s">
        <v>179</v>
      </c>
      <c r="J851" s="14" t="s">
        <v>17270</v>
      </c>
      <c r="K851" s="14" t="s">
        <v>179</v>
      </c>
      <c r="L851" s="14" t="s">
        <v>17271</v>
      </c>
      <c r="M851" s="14" t="s">
        <v>179</v>
      </c>
      <c r="N851" s="14" t="s">
        <v>17272</v>
      </c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6" t="s">
        <v>197</v>
      </c>
      <c r="BP851" s="17" t="s">
        <v>198</v>
      </c>
      <c r="BQ851" s="18">
        <v>45694.62501157408</v>
      </c>
      <c r="BR851" s="17" t="s">
        <v>198</v>
      </c>
      <c r="BS851" s="18">
        <v>45694.62505787037</v>
      </c>
      <c r="BT851" s="17" t="s">
        <v>198</v>
      </c>
      <c r="BU851" s="18">
        <v>45694.62505787037</v>
      </c>
      <c r="BV851" s="13" t="s">
        <v>199</v>
      </c>
      <c r="BW851" s="14" t="s">
        <v>179</v>
      </c>
      <c r="BX851" s="14" t="s">
        <v>17273</v>
      </c>
      <c r="BY851" s="14" t="s">
        <v>179</v>
      </c>
      <c r="BZ851" s="14" t="s">
        <v>17273</v>
      </c>
      <c r="CA851" s="14" t="s">
        <v>179</v>
      </c>
      <c r="CB851" s="14" t="s">
        <v>17274</v>
      </c>
      <c r="CC851" s="15"/>
      <c r="CD851" s="15"/>
      <c r="CE851" s="15"/>
      <c r="CF851" s="15"/>
      <c r="CG851" s="19"/>
      <c r="CH851" s="15"/>
      <c r="CI851" s="19"/>
      <c r="CJ851" s="15"/>
      <c r="CK851" s="19"/>
      <c r="CL851" s="15"/>
      <c r="CM851" s="19"/>
      <c r="CN851" s="15"/>
      <c r="CO851" s="19"/>
      <c r="CP851" s="15"/>
      <c r="CQ851" s="15"/>
      <c r="CR851" s="15"/>
      <c r="CS851" s="19"/>
      <c r="CT851" s="15"/>
      <c r="CU851" s="19"/>
      <c r="CV851" s="15"/>
      <c r="CW851" s="19"/>
      <c r="CX851" s="15"/>
      <c r="CY851" s="19"/>
      <c r="CZ851" s="15"/>
      <c r="DA851" s="16" t="s">
        <v>197</v>
      </c>
      <c r="DB851" s="17" t="s">
        <v>228</v>
      </c>
      <c r="DC851" s="16"/>
      <c r="DD851" s="17" t="s">
        <v>198</v>
      </c>
      <c r="DE851" s="18">
        <v>45696.59413194445</v>
      </c>
      <c r="DF851" s="17" t="s">
        <v>198</v>
      </c>
      <c r="DG851" s="18">
        <v>45696.59413194445</v>
      </c>
      <c r="DH851" s="13" t="s">
        <v>205</v>
      </c>
      <c r="DI851" s="14" t="s">
        <v>179</v>
      </c>
      <c r="DJ851" s="14" t="s">
        <v>17275</v>
      </c>
      <c r="DK851" s="14" t="s">
        <v>179</v>
      </c>
      <c r="DL851" s="14" t="s">
        <v>17276</v>
      </c>
      <c r="DM851" s="15"/>
      <c r="DN851" s="15"/>
      <c r="DO851" s="15"/>
      <c r="DP851" s="15"/>
      <c r="DQ851" s="15"/>
      <c r="DR851" s="15"/>
      <c r="DS851" s="15"/>
      <c r="DT851" s="15"/>
      <c r="DU851" s="15"/>
      <c r="DV851" s="15"/>
      <c r="DW851" s="15"/>
      <c r="DX851" s="15"/>
      <c r="DY851" s="15"/>
      <c r="DZ851" s="15"/>
      <c r="EA851" s="15"/>
      <c r="EB851" s="15"/>
      <c r="EC851" s="16" t="s">
        <v>197</v>
      </c>
      <c r="ED851" s="17" t="s">
        <v>198</v>
      </c>
      <c r="EE851" s="18">
        <v>45719.525289351855</v>
      </c>
      <c r="EF851" s="13" t="s">
        <v>209</v>
      </c>
      <c r="EG851" s="14" t="s">
        <v>179</v>
      </c>
      <c r="EH851" s="14" t="s">
        <v>17277</v>
      </c>
      <c r="EI851" s="14" t="s">
        <v>179</v>
      </c>
      <c r="EJ851" s="14" t="s">
        <v>17278</v>
      </c>
      <c r="EK851" s="15"/>
      <c r="EL851" s="15"/>
      <c r="EM851" s="15"/>
      <c r="EN851" s="15"/>
      <c r="EO851" s="15"/>
      <c r="EP851" s="15"/>
      <c r="EQ851" s="15"/>
      <c r="ER851" s="15"/>
      <c r="ES851" s="15"/>
      <c r="ET851" s="15"/>
      <c r="EU851" s="15"/>
      <c r="EV851" s="15"/>
      <c r="EW851" s="15"/>
      <c r="EX851" s="15"/>
      <c r="EY851" s="15"/>
      <c r="EZ851" s="15"/>
      <c r="FA851" s="15"/>
      <c r="FB851" s="15"/>
      <c r="FC851" s="16" t="s">
        <v>197</v>
      </c>
      <c r="FD851" s="17" t="s">
        <v>198</v>
      </c>
      <c r="FE851" s="18">
        <v>45720.37553240741</v>
      </c>
      <c r="FF851" s="19"/>
      <c r="FG851" s="19"/>
      <c r="FH851" s="21" t="s">
        <v>197</v>
      </c>
      <c r="FI851" s="17" t="s">
        <v>214</v>
      </c>
      <c r="FJ851" s="18">
        <v>45720.37553240741</v>
      </c>
      <c r="FK851" s="14" t="s">
        <v>17278</v>
      </c>
      <c r="FL851" s="14" t="s">
        <v>17279</v>
      </c>
      <c r="FM851" s="14" t="s">
        <v>17280</v>
      </c>
      <c r="FN851" s="19"/>
      <c r="FO851" s="19"/>
      <c r="FP851" s="19" t="str">
        <f t="shared" si="1"/>
        <v>Base de Dados_Images/TIT65006.Imagem do Equipamento-.170439.jpg</v>
      </c>
      <c r="FQ851" s="19"/>
      <c r="FR851" s="19"/>
    </row>
    <row r="852" ht="15.75" customHeight="1">
      <c r="A852" s="12" t="s">
        <v>234</v>
      </c>
      <c r="B852" s="12" t="s">
        <v>3128</v>
      </c>
      <c r="C852" s="24" t="s">
        <v>375</v>
      </c>
      <c r="D852" s="22" t="s">
        <v>17281</v>
      </c>
      <c r="E852" s="22" t="s">
        <v>17282</v>
      </c>
      <c r="F852" s="13" t="s">
        <v>178</v>
      </c>
      <c r="G852" s="14" t="s">
        <v>179</v>
      </c>
      <c r="H852" s="14" t="s">
        <v>17283</v>
      </c>
      <c r="I852" s="14" t="s">
        <v>179</v>
      </c>
      <c r="J852" s="14" t="s">
        <v>17284</v>
      </c>
      <c r="K852" s="14" t="s">
        <v>179</v>
      </c>
      <c r="L852" s="14" t="s">
        <v>17285</v>
      </c>
      <c r="M852" s="14" t="s">
        <v>179</v>
      </c>
      <c r="N852" s="14" t="s">
        <v>17286</v>
      </c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6" t="s">
        <v>197</v>
      </c>
      <c r="BP852" s="17" t="s">
        <v>198</v>
      </c>
      <c r="BQ852" s="18">
        <v>45694.6246875</v>
      </c>
      <c r="BR852" s="17" t="s">
        <v>198</v>
      </c>
      <c r="BS852" s="18">
        <v>45694.62478009259</v>
      </c>
      <c r="BT852" s="17" t="s">
        <v>198</v>
      </c>
      <c r="BU852" s="18">
        <v>45694.62478009259</v>
      </c>
      <c r="BV852" s="13" t="s">
        <v>199</v>
      </c>
      <c r="BW852" s="14" t="s">
        <v>179</v>
      </c>
      <c r="BX852" s="14" t="s">
        <v>17287</v>
      </c>
      <c r="BY852" s="14" t="s">
        <v>179</v>
      </c>
      <c r="BZ852" s="14" t="s">
        <v>17288</v>
      </c>
      <c r="CA852" s="14" t="s">
        <v>179</v>
      </c>
      <c r="CB852" s="14" t="s">
        <v>17289</v>
      </c>
      <c r="CC852" s="15"/>
      <c r="CD852" s="15"/>
      <c r="CE852" s="15"/>
      <c r="CF852" s="15"/>
      <c r="CG852" s="19"/>
      <c r="CH852" s="15"/>
      <c r="CI852" s="19"/>
      <c r="CJ852" s="15"/>
      <c r="CK852" s="19"/>
      <c r="CL852" s="15"/>
      <c r="CM852" s="19"/>
      <c r="CN852" s="15"/>
      <c r="CO852" s="19"/>
      <c r="CP852" s="15"/>
      <c r="CQ852" s="15"/>
      <c r="CR852" s="15"/>
      <c r="CS852" s="19"/>
      <c r="CT852" s="15"/>
      <c r="CU852" s="19"/>
      <c r="CV852" s="15"/>
      <c r="CW852" s="19"/>
      <c r="CX852" s="15"/>
      <c r="CY852" s="19"/>
      <c r="CZ852" s="15"/>
      <c r="DA852" s="16" t="s">
        <v>197</v>
      </c>
      <c r="DB852" s="17" t="s">
        <v>228</v>
      </c>
      <c r="DC852" s="16"/>
      <c r="DD852" s="17" t="s">
        <v>198</v>
      </c>
      <c r="DE852" s="18">
        <v>45696.59402777778</v>
      </c>
      <c r="DF852" s="17" t="s">
        <v>198</v>
      </c>
      <c r="DG852" s="18">
        <v>45696.59402777778</v>
      </c>
      <c r="DH852" s="13" t="s">
        <v>205</v>
      </c>
      <c r="DI852" s="14" t="s">
        <v>179</v>
      </c>
      <c r="DJ852" s="14" t="s">
        <v>17290</v>
      </c>
      <c r="DK852" s="14" t="s">
        <v>179</v>
      </c>
      <c r="DL852" s="14" t="s">
        <v>17291</v>
      </c>
      <c r="DM852" s="15"/>
      <c r="DN852" s="15"/>
      <c r="DO852" s="15"/>
      <c r="DP852" s="15"/>
      <c r="DQ852" s="15"/>
      <c r="DR852" s="15"/>
      <c r="DS852" s="15"/>
      <c r="DT852" s="15"/>
      <c r="DU852" s="15"/>
      <c r="DV852" s="15"/>
      <c r="DW852" s="15"/>
      <c r="DX852" s="15"/>
      <c r="DY852" s="15"/>
      <c r="DZ852" s="15"/>
      <c r="EA852" s="15"/>
      <c r="EB852" s="15"/>
      <c r="EC852" s="16" t="s">
        <v>197</v>
      </c>
      <c r="ED852" s="17" t="s">
        <v>198</v>
      </c>
      <c r="EE852" s="18">
        <v>45719.52537037037</v>
      </c>
      <c r="EF852" s="13" t="s">
        <v>209</v>
      </c>
      <c r="EG852" s="14" t="s">
        <v>179</v>
      </c>
      <c r="EH852" s="14" t="s">
        <v>17292</v>
      </c>
      <c r="EI852" s="14" t="s">
        <v>179</v>
      </c>
      <c r="EJ852" s="14" t="s">
        <v>17293</v>
      </c>
      <c r="EK852" s="15"/>
      <c r="EL852" s="15"/>
      <c r="EM852" s="15"/>
      <c r="EN852" s="15"/>
      <c r="EO852" s="15"/>
      <c r="EP852" s="15"/>
      <c r="EQ852" s="15"/>
      <c r="ER852" s="15"/>
      <c r="ES852" s="15"/>
      <c r="ET852" s="15"/>
      <c r="EU852" s="15"/>
      <c r="EV852" s="15"/>
      <c r="EW852" s="15"/>
      <c r="EX852" s="15"/>
      <c r="EY852" s="15"/>
      <c r="EZ852" s="15"/>
      <c r="FA852" s="15"/>
      <c r="FB852" s="15"/>
      <c r="FC852" s="16" t="s">
        <v>197</v>
      </c>
      <c r="FD852" s="17" t="s">
        <v>198</v>
      </c>
      <c r="FE852" s="18">
        <v>45720.37568287037</v>
      </c>
      <c r="FF852" s="19"/>
      <c r="FG852" s="19"/>
      <c r="FH852" s="21" t="s">
        <v>197</v>
      </c>
      <c r="FI852" s="17" t="s">
        <v>214</v>
      </c>
      <c r="FJ852" s="18">
        <v>45720.37568287037</v>
      </c>
      <c r="FK852" s="14" t="s">
        <v>17293</v>
      </c>
      <c r="FL852" s="14" t="s">
        <v>17294</v>
      </c>
      <c r="FM852" s="14" t="s">
        <v>17295</v>
      </c>
      <c r="FN852" s="19"/>
      <c r="FO852" s="19"/>
      <c r="FP852" s="19" t="str">
        <f t="shared" si="1"/>
        <v>Base de Dados_Images/TIT65007.Imagem do Equipamento-.170432.jpg</v>
      </c>
      <c r="FQ852" s="19"/>
      <c r="FR852" s="19"/>
    </row>
    <row r="853" ht="15.75" customHeight="1">
      <c r="A853" s="12" t="s">
        <v>234</v>
      </c>
      <c r="B853" s="12" t="s">
        <v>17296</v>
      </c>
      <c r="C853" s="24" t="s">
        <v>375</v>
      </c>
      <c r="D853" s="22" t="s">
        <v>17297</v>
      </c>
      <c r="E853" s="22" t="s">
        <v>17298</v>
      </c>
      <c r="F853" s="13" t="s">
        <v>178</v>
      </c>
      <c r="G853" s="14" t="s">
        <v>179</v>
      </c>
      <c r="H853" s="14" t="s">
        <v>17299</v>
      </c>
      <c r="I853" s="14" t="s">
        <v>179</v>
      </c>
      <c r="J853" s="14" t="s">
        <v>17300</v>
      </c>
      <c r="K853" s="14" t="s">
        <v>179</v>
      </c>
      <c r="L853" s="14" t="s">
        <v>17301</v>
      </c>
      <c r="M853" s="14" t="s">
        <v>179</v>
      </c>
      <c r="N853" s="14" t="s">
        <v>17302</v>
      </c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6" t="s">
        <v>197</v>
      </c>
      <c r="BP853" s="17" t="s">
        <v>198</v>
      </c>
      <c r="BQ853" s="18">
        <v>45694.62701388889</v>
      </c>
      <c r="BR853" s="17" t="s">
        <v>198</v>
      </c>
      <c r="BS853" s="18">
        <v>45694.62708333333</v>
      </c>
      <c r="BT853" s="17" t="s">
        <v>198</v>
      </c>
      <c r="BU853" s="18">
        <v>45694.62708333333</v>
      </c>
      <c r="BV853" s="13" t="s">
        <v>199</v>
      </c>
      <c r="BW853" s="14" t="s">
        <v>179</v>
      </c>
      <c r="BX853" s="14" t="s">
        <v>17303</v>
      </c>
      <c r="BY853" s="14" t="s">
        <v>179</v>
      </c>
      <c r="BZ853" s="14" t="s">
        <v>17304</v>
      </c>
      <c r="CA853" s="14" t="s">
        <v>179</v>
      </c>
      <c r="CB853" s="14" t="s">
        <v>17305</v>
      </c>
      <c r="CC853" s="15"/>
      <c r="CD853" s="15"/>
      <c r="CE853" s="15"/>
      <c r="CF853" s="15"/>
      <c r="CG853" s="19"/>
      <c r="CH853" s="15"/>
      <c r="CI853" s="19"/>
      <c r="CJ853" s="15"/>
      <c r="CK853" s="19"/>
      <c r="CL853" s="15"/>
      <c r="CM853" s="19"/>
      <c r="CN853" s="15"/>
      <c r="CO853" s="19"/>
      <c r="CP853" s="15"/>
      <c r="CQ853" s="15"/>
      <c r="CR853" s="15"/>
      <c r="CS853" s="19"/>
      <c r="CT853" s="15"/>
      <c r="CU853" s="19"/>
      <c r="CV853" s="15"/>
      <c r="CW853" s="19"/>
      <c r="CX853" s="15"/>
      <c r="CY853" s="19"/>
      <c r="CZ853" s="15"/>
      <c r="DA853" s="16" t="s">
        <v>197</v>
      </c>
      <c r="DB853" s="17" t="s">
        <v>228</v>
      </c>
      <c r="DC853" s="16"/>
      <c r="DD853" s="17" t="s">
        <v>198</v>
      </c>
      <c r="DE853" s="18">
        <v>45696.604375</v>
      </c>
      <c r="DF853" s="17" t="s">
        <v>198</v>
      </c>
      <c r="DG853" s="18">
        <v>45696.604375</v>
      </c>
      <c r="DH853" s="13" t="s">
        <v>205</v>
      </c>
      <c r="DI853" s="14" t="s">
        <v>179</v>
      </c>
      <c r="DJ853" s="14" t="s">
        <v>17306</v>
      </c>
      <c r="DK853" s="14" t="s">
        <v>179</v>
      </c>
      <c r="DL853" s="14" t="s">
        <v>17307</v>
      </c>
      <c r="DM853" s="15"/>
      <c r="DN853" s="15"/>
      <c r="DO853" s="15"/>
      <c r="DP853" s="15"/>
      <c r="DQ853" s="15"/>
      <c r="DR853" s="15"/>
      <c r="DS853" s="15"/>
      <c r="DT853" s="15"/>
      <c r="DU853" s="15"/>
      <c r="DV853" s="15"/>
      <c r="DW853" s="15"/>
      <c r="DX853" s="15"/>
      <c r="DY853" s="15"/>
      <c r="DZ853" s="15"/>
      <c r="EA853" s="15"/>
      <c r="EB853" s="15"/>
      <c r="EC853" s="16" t="s">
        <v>197</v>
      </c>
      <c r="ED853" s="17" t="s">
        <v>198</v>
      </c>
      <c r="EE853" s="18">
        <v>45719.527094907404</v>
      </c>
      <c r="EF853" s="13" t="s">
        <v>209</v>
      </c>
      <c r="EG853" s="14" t="s">
        <v>179</v>
      </c>
      <c r="EH853" s="14" t="s">
        <v>17308</v>
      </c>
      <c r="EI853" s="14" t="s">
        <v>179</v>
      </c>
      <c r="EJ853" s="14" t="s">
        <v>17309</v>
      </c>
      <c r="EK853" s="15"/>
      <c r="EL853" s="15"/>
      <c r="EM853" s="15"/>
      <c r="EN853" s="15"/>
      <c r="EO853" s="15"/>
      <c r="EP853" s="15"/>
      <c r="EQ853" s="15"/>
      <c r="ER853" s="15"/>
      <c r="ES853" s="15"/>
      <c r="ET853" s="15"/>
      <c r="EU853" s="15"/>
      <c r="EV853" s="15"/>
      <c r="EW853" s="15"/>
      <c r="EX853" s="15"/>
      <c r="EY853" s="15"/>
      <c r="EZ853" s="15"/>
      <c r="FA853" s="15"/>
      <c r="FB853" s="15"/>
      <c r="FC853" s="16" t="s">
        <v>197</v>
      </c>
      <c r="FD853" s="17" t="s">
        <v>198</v>
      </c>
      <c r="FE853" s="18">
        <v>45720.37601851852</v>
      </c>
      <c r="FF853" s="19"/>
      <c r="FG853" s="19"/>
      <c r="FH853" s="21" t="s">
        <v>197</v>
      </c>
      <c r="FI853" s="17" t="s">
        <v>214</v>
      </c>
      <c r="FJ853" s="18">
        <v>45720.37601851852</v>
      </c>
      <c r="FK853" s="14" t="s">
        <v>17309</v>
      </c>
      <c r="FL853" s="14" t="s">
        <v>17310</v>
      </c>
      <c r="FM853" s="14" t="s">
        <v>17311</v>
      </c>
      <c r="FN853" s="19"/>
      <c r="FO853" s="19"/>
      <c r="FP853" s="19" t="str">
        <f t="shared" si="1"/>
        <v>Base de Dados_Images/TIT65008.Imagem do Equipamento-.170529.jpg</v>
      </c>
      <c r="FQ853" s="19"/>
      <c r="FR853" s="19"/>
    </row>
    <row r="854" ht="15.75" customHeight="1">
      <c r="A854" s="12" t="s">
        <v>234</v>
      </c>
      <c r="B854" s="12" t="s">
        <v>3128</v>
      </c>
      <c r="C854" s="24" t="s">
        <v>375</v>
      </c>
      <c r="D854" s="22" t="s">
        <v>17312</v>
      </c>
      <c r="E854" s="22" t="s">
        <v>17313</v>
      </c>
      <c r="F854" s="13" t="s">
        <v>178</v>
      </c>
      <c r="G854" s="14" t="s">
        <v>179</v>
      </c>
      <c r="H854" s="14" t="s">
        <v>17314</v>
      </c>
      <c r="I854" s="14" t="s">
        <v>179</v>
      </c>
      <c r="J854" s="14" t="s">
        <v>17315</v>
      </c>
      <c r="K854" s="14" t="s">
        <v>179</v>
      </c>
      <c r="L854" s="14" t="s">
        <v>17316</v>
      </c>
      <c r="M854" s="14" t="s">
        <v>179</v>
      </c>
      <c r="N854" s="14" t="s">
        <v>17317</v>
      </c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6" t="s">
        <v>197</v>
      </c>
      <c r="BP854" s="17" t="s">
        <v>198</v>
      </c>
      <c r="BQ854" s="18">
        <v>45694.62517361111</v>
      </c>
      <c r="BR854" s="17" t="s">
        <v>198</v>
      </c>
      <c r="BS854" s="18">
        <v>45694.625231481485</v>
      </c>
      <c r="BT854" s="17" t="s">
        <v>198</v>
      </c>
      <c r="BU854" s="18">
        <v>45694.625231481485</v>
      </c>
      <c r="BV854" s="13" t="s">
        <v>199</v>
      </c>
      <c r="BW854" s="14" t="s">
        <v>179</v>
      </c>
      <c r="BX854" s="14" t="s">
        <v>17318</v>
      </c>
      <c r="BY854" s="14" t="s">
        <v>179</v>
      </c>
      <c r="BZ854" s="14" t="s">
        <v>17319</v>
      </c>
      <c r="CA854" s="14" t="s">
        <v>179</v>
      </c>
      <c r="CB854" s="14" t="s">
        <v>17319</v>
      </c>
      <c r="CC854" s="15"/>
      <c r="CD854" s="15"/>
      <c r="CE854" s="15"/>
      <c r="CF854" s="15"/>
      <c r="CG854" s="19"/>
      <c r="CH854" s="15"/>
      <c r="CI854" s="19"/>
      <c r="CJ854" s="15"/>
      <c r="CK854" s="19"/>
      <c r="CL854" s="15"/>
      <c r="CM854" s="19"/>
      <c r="CN854" s="15"/>
      <c r="CO854" s="19"/>
      <c r="CP854" s="15"/>
      <c r="CQ854" s="15"/>
      <c r="CR854" s="15"/>
      <c r="CS854" s="19"/>
      <c r="CT854" s="15"/>
      <c r="CU854" s="19"/>
      <c r="CV854" s="15"/>
      <c r="CW854" s="19"/>
      <c r="CX854" s="15"/>
      <c r="CY854" s="19"/>
      <c r="CZ854" s="15"/>
      <c r="DA854" s="16" t="s">
        <v>197</v>
      </c>
      <c r="DB854" s="17" t="s">
        <v>228</v>
      </c>
      <c r="DC854" s="16"/>
      <c r="DD854" s="17" t="s">
        <v>198</v>
      </c>
      <c r="DE854" s="18">
        <v>45696.594247685185</v>
      </c>
      <c r="DF854" s="17" t="s">
        <v>198</v>
      </c>
      <c r="DG854" s="18">
        <v>45696.594247685185</v>
      </c>
      <c r="DH854" s="13" t="s">
        <v>205</v>
      </c>
      <c r="DI854" s="14" t="s">
        <v>179</v>
      </c>
      <c r="DJ854" s="14" t="s">
        <v>17320</v>
      </c>
      <c r="DK854" s="14" t="s">
        <v>179</v>
      </c>
      <c r="DL854" s="14" t="s">
        <v>17321</v>
      </c>
      <c r="DM854" s="15"/>
      <c r="DN854" s="15"/>
      <c r="DO854" s="15"/>
      <c r="DP854" s="15"/>
      <c r="DQ854" s="15"/>
      <c r="DR854" s="15"/>
      <c r="DS854" s="15"/>
      <c r="DT854" s="15"/>
      <c r="DU854" s="15"/>
      <c r="DV854" s="15"/>
      <c r="DW854" s="15"/>
      <c r="DX854" s="15"/>
      <c r="DY854" s="15"/>
      <c r="DZ854" s="15"/>
      <c r="EA854" s="15"/>
      <c r="EB854" s="15"/>
      <c r="EC854" s="16" t="s">
        <v>197</v>
      </c>
      <c r="ED854" s="17" t="s">
        <v>198</v>
      </c>
      <c r="EE854" s="18">
        <v>45719.52542824074</v>
      </c>
      <c r="EF854" s="13" t="s">
        <v>209</v>
      </c>
      <c r="EG854" s="14" t="s">
        <v>179</v>
      </c>
      <c r="EH854" s="14" t="s">
        <v>17322</v>
      </c>
      <c r="EI854" s="14" t="s">
        <v>179</v>
      </c>
      <c r="EJ854" s="14" t="s">
        <v>17323</v>
      </c>
      <c r="EK854" s="15"/>
      <c r="EL854" s="15"/>
      <c r="EM854" s="15"/>
      <c r="EN854" s="15"/>
      <c r="EO854" s="15"/>
      <c r="EP854" s="15"/>
      <c r="EQ854" s="15"/>
      <c r="ER854" s="15"/>
      <c r="ES854" s="15"/>
      <c r="ET854" s="15"/>
      <c r="EU854" s="15"/>
      <c r="EV854" s="15"/>
      <c r="EW854" s="15"/>
      <c r="EX854" s="15"/>
      <c r="EY854" s="15"/>
      <c r="EZ854" s="15"/>
      <c r="FA854" s="15"/>
      <c r="FB854" s="15"/>
      <c r="FC854" s="16" t="s">
        <v>197</v>
      </c>
      <c r="FD854" s="17" t="s">
        <v>198</v>
      </c>
      <c r="FE854" s="18">
        <v>45720.375613425924</v>
      </c>
      <c r="FF854" s="19"/>
      <c r="FG854" s="19"/>
      <c r="FH854" s="21" t="s">
        <v>197</v>
      </c>
      <c r="FI854" s="17" t="s">
        <v>214</v>
      </c>
      <c r="FJ854" s="18">
        <v>45720.375613425924</v>
      </c>
      <c r="FK854" s="14" t="s">
        <v>17323</v>
      </c>
      <c r="FL854" s="14" t="s">
        <v>17324</v>
      </c>
      <c r="FM854" s="14" t="s">
        <v>17325</v>
      </c>
      <c r="FN854" s="19"/>
      <c r="FO854" s="19"/>
      <c r="FP854" s="19" t="str">
        <f t="shared" si="1"/>
        <v>Base de Dados_Images/TIT65009.Imagem do Equipamento-.170447.jpg</v>
      </c>
      <c r="FQ854" s="19"/>
      <c r="FR854" s="19"/>
    </row>
    <row r="855" ht="15.75" customHeight="1">
      <c r="A855" s="12" t="s">
        <v>234</v>
      </c>
      <c r="B855" s="12" t="s">
        <v>3128</v>
      </c>
      <c r="C855" s="24" t="s">
        <v>375</v>
      </c>
      <c r="D855" s="22" t="s">
        <v>17326</v>
      </c>
      <c r="E855" s="22" t="s">
        <v>17327</v>
      </c>
      <c r="F855" s="13" t="s">
        <v>178</v>
      </c>
      <c r="G855" s="14" t="s">
        <v>179</v>
      </c>
      <c r="H855" s="14" t="s">
        <v>17328</v>
      </c>
      <c r="I855" s="14" t="s">
        <v>179</v>
      </c>
      <c r="J855" s="14" t="s">
        <v>17329</v>
      </c>
      <c r="K855" s="14" t="s">
        <v>179</v>
      </c>
      <c r="L855" s="14" t="s">
        <v>17330</v>
      </c>
      <c r="M855" s="14" t="s">
        <v>179</v>
      </c>
      <c r="N855" s="14" t="s">
        <v>17331</v>
      </c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6" t="s">
        <v>197</v>
      </c>
      <c r="BP855" s="17" t="s">
        <v>198</v>
      </c>
      <c r="BQ855" s="18">
        <v>45694.62540509259</v>
      </c>
      <c r="BR855" s="17" t="s">
        <v>198</v>
      </c>
      <c r="BS855" s="18">
        <v>45694.62548611111</v>
      </c>
      <c r="BT855" s="17" t="s">
        <v>198</v>
      </c>
      <c r="BU855" s="18">
        <v>45694.62548611111</v>
      </c>
      <c r="BV855" s="13" t="s">
        <v>199</v>
      </c>
      <c r="BW855" s="14" t="s">
        <v>179</v>
      </c>
      <c r="BX855" s="14" t="s">
        <v>17332</v>
      </c>
      <c r="BY855" s="14" t="s">
        <v>179</v>
      </c>
      <c r="BZ855" s="14" t="s">
        <v>17333</v>
      </c>
      <c r="CA855" s="14" t="s">
        <v>179</v>
      </c>
      <c r="CB855" s="14" t="s">
        <v>17334</v>
      </c>
      <c r="CC855" s="15"/>
      <c r="CD855" s="15"/>
      <c r="CE855" s="15"/>
      <c r="CF855" s="15"/>
      <c r="CG855" s="19"/>
      <c r="CH855" s="15"/>
      <c r="CI855" s="19"/>
      <c r="CJ855" s="15"/>
      <c r="CK855" s="19"/>
      <c r="CL855" s="15"/>
      <c r="CM855" s="19"/>
      <c r="CN855" s="15"/>
      <c r="CO855" s="19"/>
      <c r="CP855" s="15"/>
      <c r="CQ855" s="15"/>
      <c r="CR855" s="15"/>
      <c r="CS855" s="19"/>
      <c r="CT855" s="15"/>
      <c r="CU855" s="19"/>
      <c r="CV855" s="15"/>
      <c r="CW855" s="19"/>
      <c r="CX855" s="15"/>
      <c r="CY855" s="19"/>
      <c r="CZ855" s="15"/>
      <c r="DA855" s="16" t="s">
        <v>197</v>
      </c>
      <c r="DB855" s="17" t="s">
        <v>228</v>
      </c>
      <c r="DC855" s="16"/>
      <c r="DD855" s="17" t="s">
        <v>198</v>
      </c>
      <c r="DE855" s="18">
        <v>45696.59438657408</v>
      </c>
      <c r="DF855" s="17" t="s">
        <v>198</v>
      </c>
      <c r="DG855" s="18">
        <v>45696.59438657408</v>
      </c>
      <c r="DH855" s="13" t="s">
        <v>205</v>
      </c>
      <c r="DI855" s="14" t="s">
        <v>179</v>
      </c>
      <c r="DJ855" s="14" t="s">
        <v>17335</v>
      </c>
      <c r="DK855" s="14" t="s">
        <v>179</v>
      </c>
      <c r="DL855" s="14" t="s">
        <v>17336</v>
      </c>
      <c r="DM855" s="15"/>
      <c r="DN855" s="15"/>
      <c r="DO855" s="15"/>
      <c r="DP855" s="15"/>
      <c r="DQ855" s="15"/>
      <c r="DR855" s="15"/>
      <c r="DS855" s="15"/>
      <c r="DT855" s="15"/>
      <c r="DU855" s="15"/>
      <c r="DV855" s="15"/>
      <c r="DW855" s="15"/>
      <c r="DX855" s="15"/>
      <c r="DY855" s="15"/>
      <c r="DZ855" s="15"/>
      <c r="EA855" s="15"/>
      <c r="EB855" s="15"/>
      <c r="EC855" s="16" t="s">
        <v>197</v>
      </c>
      <c r="ED855" s="17" t="s">
        <v>198</v>
      </c>
      <c r="EE855" s="18">
        <v>45719.525509259256</v>
      </c>
      <c r="EF855" s="13" t="s">
        <v>209</v>
      </c>
      <c r="EG855" s="14" t="s">
        <v>179</v>
      </c>
      <c r="EH855" s="14" t="s">
        <v>17337</v>
      </c>
      <c r="EI855" s="14" t="s">
        <v>179</v>
      </c>
      <c r="EJ855" s="14" t="s">
        <v>17338</v>
      </c>
      <c r="EK855" s="15"/>
      <c r="EL855" s="15"/>
      <c r="EM855" s="15"/>
      <c r="EN855" s="15"/>
      <c r="EO855" s="15"/>
      <c r="EP855" s="15"/>
      <c r="EQ855" s="15"/>
      <c r="ER855" s="15"/>
      <c r="ES855" s="15"/>
      <c r="ET855" s="15"/>
      <c r="EU855" s="15"/>
      <c r="EV855" s="15"/>
      <c r="EW855" s="15"/>
      <c r="EX855" s="15"/>
      <c r="EY855" s="15"/>
      <c r="EZ855" s="15"/>
      <c r="FA855" s="15"/>
      <c r="FB855" s="15"/>
      <c r="FC855" s="16" t="s">
        <v>197</v>
      </c>
      <c r="FD855" s="17" t="s">
        <v>198</v>
      </c>
      <c r="FE855" s="18">
        <v>45720.37574074074</v>
      </c>
      <c r="FF855" s="19"/>
      <c r="FG855" s="19"/>
      <c r="FH855" s="21" t="s">
        <v>197</v>
      </c>
      <c r="FI855" s="17" t="s">
        <v>214</v>
      </c>
      <c r="FJ855" s="18">
        <v>45720.37574074074</v>
      </c>
      <c r="FK855" s="14" t="s">
        <v>17338</v>
      </c>
      <c r="FL855" s="14" t="s">
        <v>17339</v>
      </c>
      <c r="FM855" s="14" t="s">
        <v>17340</v>
      </c>
      <c r="FN855" s="19"/>
      <c r="FO855" s="19"/>
      <c r="FP855" s="19" t="str">
        <f t="shared" si="1"/>
        <v>Base de Dados_Images/TIT65010.Imagem do Equipamento-.170455.jpg</v>
      </c>
      <c r="FQ855" s="19"/>
      <c r="FR855" s="19"/>
    </row>
    <row r="856" ht="15.75" customHeight="1">
      <c r="A856" s="12" t="s">
        <v>234</v>
      </c>
      <c r="B856" s="12" t="s">
        <v>15413</v>
      </c>
      <c r="C856" s="24" t="s">
        <v>375</v>
      </c>
      <c r="D856" s="22" t="s">
        <v>17341</v>
      </c>
      <c r="E856" s="22" t="s">
        <v>17342</v>
      </c>
      <c r="F856" s="13" t="s">
        <v>178</v>
      </c>
      <c r="G856" s="14" t="s">
        <v>179</v>
      </c>
      <c r="H856" s="14" t="s">
        <v>17343</v>
      </c>
      <c r="I856" s="14" t="s">
        <v>179</v>
      </c>
      <c r="J856" s="14" t="s">
        <v>17344</v>
      </c>
      <c r="K856" s="14" t="s">
        <v>179</v>
      </c>
      <c r="L856" s="14" t="s">
        <v>17345</v>
      </c>
      <c r="M856" s="14" t="s">
        <v>179</v>
      </c>
      <c r="N856" s="14" t="s">
        <v>17346</v>
      </c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6" t="s">
        <v>197</v>
      </c>
      <c r="BP856" s="17" t="s">
        <v>198</v>
      </c>
      <c r="BQ856" s="18">
        <v>45694.377800925926</v>
      </c>
      <c r="BR856" s="17" t="s">
        <v>198</v>
      </c>
      <c r="BS856" s="18">
        <v>45694.37783564815</v>
      </c>
      <c r="BT856" s="17" t="s">
        <v>198</v>
      </c>
      <c r="BU856" s="18">
        <v>45694.37783564815</v>
      </c>
      <c r="BV856" s="13" t="s">
        <v>199</v>
      </c>
      <c r="BW856" s="14" t="s">
        <v>179</v>
      </c>
      <c r="BX856" s="14" t="s">
        <v>17347</v>
      </c>
      <c r="BY856" s="14" t="s">
        <v>179</v>
      </c>
      <c r="BZ856" s="14" t="s">
        <v>17348</v>
      </c>
      <c r="CA856" s="14" t="s">
        <v>179</v>
      </c>
      <c r="CB856" s="14" t="s">
        <v>17349</v>
      </c>
      <c r="CC856" s="15"/>
      <c r="CD856" s="15"/>
      <c r="CE856" s="15"/>
      <c r="CF856" s="15"/>
      <c r="CG856" s="19"/>
      <c r="CH856" s="15"/>
      <c r="CI856" s="19"/>
      <c r="CJ856" s="15"/>
      <c r="CK856" s="19"/>
      <c r="CL856" s="15"/>
      <c r="CM856" s="19"/>
      <c r="CN856" s="15"/>
      <c r="CO856" s="19"/>
      <c r="CP856" s="15"/>
      <c r="CQ856" s="15"/>
      <c r="CR856" s="15"/>
      <c r="CS856" s="19"/>
      <c r="CT856" s="15"/>
      <c r="CU856" s="19"/>
      <c r="CV856" s="15"/>
      <c r="CW856" s="19"/>
      <c r="CX856" s="15"/>
      <c r="CY856" s="19"/>
      <c r="CZ856" s="15"/>
      <c r="DA856" s="16" t="s">
        <v>197</v>
      </c>
      <c r="DB856" s="17" t="s">
        <v>228</v>
      </c>
      <c r="DC856" s="16"/>
      <c r="DD856" s="17" t="s">
        <v>198</v>
      </c>
      <c r="DE856" s="18">
        <v>45696.583703703705</v>
      </c>
      <c r="DF856" s="17" t="s">
        <v>198</v>
      </c>
      <c r="DG856" s="18">
        <v>45696.583703703705</v>
      </c>
      <c r="DH856" s="13" t="s">
        <v>205</v>
      </c>
      <c r="DI856" s="14" t="s">
        <v>179</v>
      </c>
      <c r="DJ856" s="14" t="s">
        <v>17350</v>
      </c>
      <c r="DK856" s="14" t="s">
        <v>179</v>
      </c>
      <c r="DL856" s="14" t="s">
        <v>17351</v>
      </c>
      <c r="DM856" s="15"/>
      <c r="DN856" s="15"/>
      <c r="DO856" s="15"/>
      <c r="DP856" s="15"/>
      <c r="DQ856" s="15"/>
      <c r="DR856" s="15"/>
      <c r="DS856" s="15"/>
      <c r="DT856" s="15"/>
      <c r="DU856" s="15"/>
      <c r="DV856" s="15"/>
      <c r="DW856" s="15"/>
      <c r="DX856" s="15"/>
      <c r="DY856" s="15"/>
      <c r="DZ856" s="15"/>
      <c r="EA856" s="15"/>
      <c r="EB856" s="15"/>
      <c r="EC856" s="16" t="s">
        <v>197</v>
      </c>
      <c r="ED856" s="17" t="s">
        <v>198</v>
      </c>
      <c r="EE856" s="18">
        <v>45713.42177083333</v>
      </c>
      <c r="EF856" s="13" t="s">
        <v>209</v>
      </c>
      <c r="EG856" s="14" t="s">
        <v>179</v>
      </c>
      <c r="EH856" s="14" t="s">
        <v>17352</v>
      </c>
      <c r="EI856" s="14" t="s">
        <v>179</v>
      </c>
      <c r="EJ856" s="14" t="s">
        <v>17353</v>
      </c>
      <c r="EK856" s="15"/>
      <c r="EL856" s="15"/>
      <c r="EM856" s="15"/>
      <c r="EN856" s="15"/>
      <c r="EO856" s="15"/>
      <c r="EP856" s="15"/>
      <c r="EQ856" s="15"/>
      <c r="ER856" s="15"/>
      <c r="ES856" s="15"/>
      <c r="ET856" s="15"/>
      <c r="EU856" s="15"/>
      <c r="EV856" s="15"/>
      <c r="EW856" s="15"/>
      <c r="EX856" s="15"/>
      <c r="EY856" s="15"/>
      <c r="EZ856" s="15"/>
      <c r="FA856" s="15"/>
      <c r="FB856" s="15"/>
      <c r="FC856" s="16" t="s">
        <v>197</v>
      </c>
      <c r="FD856" s="17" t="s">
        <v>198</v>
      </c>
      <c r="FE856" s="18">
        <v>45720.357465277775</v>
      </c>
      <c r="FF856" s="19"/>
      <c r="FG856" s="19"/>
      <c r="FH856" s="21" t="s">
        <v>197</v>
      </c>
      <c r="FI856" s="17" t="s">
        <v>214</v>
      </c>
      <c r="FJ856" s="18">
        <v>45720.357465277775</v>
      </c>
      <c r="FK856" s="14" t="s">
        <v>17353</v>
      </c>
      <c r="FL856" s="14" t="s">
        <v>17354</v>
      </c>
      <c r="FM856" s="14" t="s">
        <v>17355</v>
      </c>
      <c r="FN856" s="19"/>
      <c r="FO856" s="19"/>
      <c r="FP856" s="19" t="str">
        <f t="shared" si="1"/>
        <v>Base de Dados_Images/TIT65011.Imagem do Equipamento-.170340.jpg</v>
      </c>
      <c r="FQ856" s="19"/>
      <c r="FR856" s="19"/>
    </row>
    <row r="857" ht="15.75" customHeight="1">
      <c r="A857" s="12" t="s">
        <v>234</v>
      </c>
      <c r="B857" s="12" t="s">
        <v>15431</v>
      </c>
      <c r="C857" s="24" t="s">
        <v>375</v>
      </c>
      <c r="D857" s="22" t="s">
        <v>17356</v>
      </c>
      <c r="E857" s="22" t="s">
        <v>17357</v>
      </c>
      <c r="F857" s="13" t="s">
        <v>178</v>
      </c>
      <c r="G857" s="14" t="s">
        <v>179</v>
      </c>
      <c r="H857" s="14" t="s">
        <v>17358</v>
      </c>
      <c r="I857" s="14" t="s">
        <v>179</v>
      </c>
      <c r="J857" s="14" t="s">
        <v>17359</v>
      </c>
      <c r="K857" s="14" t="s">
        <v>179</v>
      </c>
      <c r="L857" s="14" t="s">
        <v>17360</v>
      </c>
      <c r="M857" s="14" t="s">
        <v>179</v>
      </c>
      <c r="N857" s="14" t="s">
        <v>17361</v>
      </c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6" t="s">
        <v>197</v>
      </c>
      <c r="BP857" s="17" t="s">
        <v>198</v>
      </c>
      <c r="BQ857" s="18">
        <v>45694.62358796296</v>
      </c>
      <c r="BR857" s="17" t="s">
        <v>198</v>
      </c>
      <c r="BS857" s="18">
        <v>45694.62368055555</v>
      </c>
      <c r="BT857" s="17" t="s">
        <v>198</v>
      </c>
      <c r="BU857" s="18">
        <v>45694.62368055555</v>
      </c>
      <c r="BV857" s="13" t="s">
        <v>199</v>
      </c>
      <c r="BW857" s="14" t="s">
        <v>179</v>
      </c>
      <c r="BX857" s="14" t="s">
        <v>17362</v>
      </c>
      <c r="BY857" s="14" t="s">
        <v>179</v>
      </c>
      <c r="BZ857" s="14" t="s">
        <v>17363</v>
      </c>
      <c r="CA857" s="14" t="s">
        <v>179</v>
      </c>
      <c r="CB857" s="14" t="s">
        <v>17364</v>
      </c>
      <c r="CC857" s="15"/>
      <c r="CD857" s="15"/>
      <c r="CE857" s="15"/>
      <c r="CF857" s="15"/>
      <c r="CG857" s="19"/>
      <c r="CH857" s="15"/>
      <c r="CI857" s="19"/>
      <c r="CJ857" s="15"/>
      <c r="CK857" s="19"/>
      <c r="CL857" s="15"/>
      <c r="CM857" s="19"/>
      <c r="CN857" s="15"/>
      <c r="CO857" s="19"/>
      <c r="CP857" s="15"/>
      <c r="CQ857" s="15"/>
      <c r="CR857" s="15"/>
      <c r="CS857" s="19"/>
      <c r="CT857" s="15"/>
      <c r="CU857" s="19"/>
      <c r="CV857" s="15"/>
      <c r="CW857" s="19"/>
      <c r="CX857" s="15"/>
      <c r="CY857" s="19"/>
      <c r="CZ857" s="15"/>
      <c r="DA857" s="16" t="s">
        <v>197</v>
      </c>
      <c r="DB857" s="17" t="s">
        <v>228</v>
      </c>
      <c r="DC857" s="16"/>
      <c r="DD857" s="17" t="s">
        <v>198</v>
      </c>
      <c r="DE857" s="18">
        <v>45696.604108796295</v>
      </c>
      <c r="DF857" s="17" t="s">
        <v>198</v>
      </c>
      <c r="DG857" s="18">
        <v>45696.604108796295</v>
      </c>
      <c r="DH857" s="13" t="s">
        <v>205</v>
      </c>
      <c r="DI857" s="14" t="s">
        <v>179</v>
      </c>
      <c r="DJ857" s="14" t="s">
        <v>17365</v>
      </c>
      <c r="DK857" s="14" t="s">
        <v>179</v>
      </c>
      <c r="DL857" s="14" t="s">
        <v>17366</v>
      </c>
      <c r="DM857" s="15"/>
      <c r="DN857" s="15"/>
      <c r="DO857" s="15"/>
      <c r="DP857" s="15"/>
      <c r="DQ857" s="15"/>
      <c r="DR857" s="15"/>
      <c r="DS857" s="15"/>
      <c r="DT857" s="15"/>
      <c r="DU857" s="15"/>
      <c r="DV857" s="15"/>
      <c r="DW857" s="15"/>
      <c r="DX857" s="15"/>
      <c r="DY857" s="15"/>
      <c r="DZ857" s="15"/>
      <c r="EA857" s="15"/>
      <c r="EB857" s="15"/>
      <c r="EC857" s="16" t="s">
        <v>197</v>
      </c>
      <c r="ED857" s="17" t="s">
        <v>198</v>
      </c>
      <c r="EE857" s="18">
        <v>45719.524375</v>
      </c>
      <c r="EF857" s="13" t="s">
        <v>209</v>
      </c>
      <c r="EG857" s="14" t="s">
        <v>179</v>
      </c>
      <c r="EH857" s="14" t="s">
        <v>17367</v>
      </c>
      <c r="EI857" s="14" t="s">
        <v>179</v>
      </c>
      <c r="EJ857" s="14" t="s">
        <v>17368</v>
      </c>
      <c r="EK857" s="15"/>
      <c r="EL857" s="15"/>
      <c r="EM857" s="15"/>
      <c r="EN857" s="15"/>
      <c r="EO857" s="15"/>
      <c r="EP857" s="15"/>
      <c r="EQ857" s="15"/>
      <c r="ER857" s="15"/>
      <c r="ES857" s="15"/>
      <c r="ET857" s="15"/>
      <c r="EU857" s="15"/>
      <c r="EV857" s="15"/>
      <c r="EW857" s="15"/>
      <c r="EX857" s="15"/>
      <c r="EY857" s="15"/>
      <c r="EZ857" s="15"/>
      <c r="FA857" s="15"/>
      <c r="FB857" s="15"/>
      <c r="FC857" s="16" t="s">
        <v>197</v>
      </c>
      <c r="FD857" s="17" t="s">
        <v>198</v>
      </c>
      <c r="FE857" s="18">
        <v>45720.357152777775</v>
      </c>
      <c r="FF857" s="19"/>
      <c r="FG857" s="19"/>
      <c r="FH857" s="21" t="s">
        <v>197</v>
      </c>
      <c r="FI857" s="17" t="s">
        <v>214</v>
      </c>
      <c r="FJ857" s="18">
        <v>45720.357152777775</v>
      </c>
      <c r="FK857" s="14" t="s">
        <v>17368</v>
      </c>
      <c r="FL857" s="14" t="s">
        <v>17369</v>
      </c>
      <c r="FM857" s="14" t="s">
        <v>17370</v>
      </c>
      <c r="FN857" s="19"/>
      <c r="FO857" s="19"/>
      <c r="FP857" s="19" t="str">
        <f t="shared" si="1"/>
        <v>Base de Dados_Images/TIT65012.Imagem do Equipamento-.170417.jpg</v>
      </c>
      <c r="FQ857" s="19"/>
      <c r="FR857" s="19"/>
    </row>
    <row r="858" ht="15.75" customHeight="1">
      <c r="A858" s="12" t="s">
        <v>234</v>
      </c>
      <c r="B858" s="12" t="s">
        <v>2706</v>
      </c>
      <c r="C858" s="24" t="s">
        <v>375</v>
      </c>
      <c r="D858" s="22" t="s">
        <v>17371</v>
      </c>
      <c r="E858" s="22" t="s">
        <v>17372</v>
      </c>
      <c r="F858" s="13" t="s">
        <v>178</v>
      </c>
      <c r="G858" s="14" t="s">
        <v>179</v>
      </c>
      <c r="H858" s="14" t="s">
        <v>17373</v>
      </c>
      <c r="I858" s="14" t="s">
        <v>179</v>
      </c>
      <c r="J858" s="14" t="s">
        <v>17374</v>
      </c>
      <c r="K858" s="14" t="s">
        <v>179</v>
      </c>
      <c r="L858" s="14" t="s">
        <v>17375</v>
      </c>
      <c r="M858" s="14" t="s">
        <v>179</v>
      </c>
      <c r="N858" s="14" t="s">
        <v>17376</v>
      </c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6" t="s">
        <v>197</v>
      </c>
      <c r="BP858" s="17" t="s">
        <v>198</v>
      </c>
      <c r="BQ858" s="18">
        <v>45687.82326388889</v>
      </c>
      <c r="BR858" s="17" t="s">
        <v>198</v>
      </c>
      <c r="BS858" s="18">
        <v>45687.82331018519</v>
      </c>
      <c r="BT858" s="17" t="s">
        <v>198</v>
      </c>
      <c r="BU858" s="18">
        <v>45687.82331018519</v>
      </c>
      <c r="BV858" s="13" t="s">
        <v>199</v>
      </c>
      <c r="BW858" s="14" t="s">
        <v>179</v>
      </c>
      <c r="BX858" s="14" t="s">
        <v>17377</v>
      </c>
      <c r="BY858" s="14" t="s">
        <v>179</v>
      </c>
      <c r="BZ858" s="14" t="s">
        <v>17378</v>
      </c>
      <c r="CA858" s="14" t="s">
        <v>179</v>
      </c>
      <c r="CB858" s="14" t="s">
        <v>17379</v>
      </c>
      <c r="CC858" s="15"/>
      <c r="CD858" s="15"/>
      <c r="CE858" s="15"/>
      <c r="CF858" s="15"/>
      <c r="CG858" s="19"/>
      <c r="CH858" s="15"/>
      <c r="CI858" s="19"/>
      <c r="CJ858" s="15"/>
      <c r="CK858" s="19"/>
      <c r="CL858" s="15"/>
      <c r="CM858" s="19"/>
      <c r="CN858" s="15"/>
      <c r="CO858" s="19"/>
      <c r="CP858" s="15"/>
      <c r="CQ858" s="15"/>
      <c r="CR858" s="15"/>
      <c r="CS858" s="19"/>
      <c r="CT858" s="15"/>
      <c r="CU858" s="19"/>
      <c r="CV858" s="15"/>
      <c r="CW858" s="19"/>
      <c r="CX858" s="15"/>
      <c r="CY858" s="19"/>
      <c r="CZ858" s="15"/>
      <c r="DA858" s="16" t="s">
        <v>197</v>
      </c>
      <c r="DB858" s="17" t="s">
        <v>228</v>
      </c>
      <c r="DC858" s="16"/>
      <c r="DD858" s="17" t="s">
        <v>198</v>
      </c>
      <c r="DE858" s="18">
        <v>45702.34386574074</v>
      </c>
      <c r="DF858" s="17" t="s">
        <v>198</v>
      </c>
      <c r="DG858" s="18">
        <v>45702.34386574074</v>
      </c>
      <c r="DH858" s="13" t="s">
        <v>205</v>
      </c>
      <c r="DI858" s="14" t="s">
        <v>179</v>
      </c>
      <c r="DJ858" s="14" t="s">
        <v>17380</v>
      </c>
      <c r="DK858" s="14" t="s">
        <v>179</v>
      </c>
      <c r="DL858" s="14" t="s">
        <v>17381</v>
      </c>
      <c r="DM858" s="15"/>
      <c r="DN858" s="15"/>
      <c r="DO858" s="15"/>
      <c r="DP858" s="15"/>
      <c r="DQ858" s="15"/>
      <c r="DR858" s="15"/>
      <c r="DS858" s="15"/>
      <c r="DT858" s="15"/>
      <c r="DU858" s="15"/>
      <c r="DV858" s="15"/>
      <c r="DW858" s="15"/>
      <c r="DX858" s="15"/>
      <c r="DY858" s="15"/>
      <c r="DZ858" s="15"/>
      <c r="EA858" s="15"/>
      <c r="EB858" s="15"/>
      <c r="EC858" s="16" t="s">
        <v>197</v>
      </c>
      <c r="ED858" s="17" t="s">
        <v>198</v>
      </c>
      <c r="EE858" s="18">
        <v>45713.37092592593</v>
      </c>
      <c r="EF858" s="13" t="s">
        <v>209</v>
      </c>
      <c r="EG858" s="14" t="s">
        <v>179</v>
      </c>
      <c r="EH858" s="14" t="s">
        <v>17382</v>
      </c>
      <c r="EI858" s="14" t="s">
        <v>179</v>
      </c>
      <c r="EJ858" s="14" t="s">
        <v>17383</v>
      </c>
      <c r="EK858" s="15"/>
      <c r="EL858" s="15"/>
      <c r="EM858" s="15"/>
      <c r="EN858" s="15"/>
      <c r="EO858" s="15"/>
      <c r="EP858" s="15"/>
      <c r="EQ858" s="15"/>
      <c r="ER858" s="15"/>
      <c r="ES858" s="15"/>
      <c r="ET858" s="15"/>
      <c r="EU858" s="15"/>
      <c r="EV858" s="15"/>
      <c r="EW858" s="15"/>
      <c r="EX858" s="15"/>
      <c r="EY858" s="15"/>
      <c r="EZ858" s="15"/>
      <c r="FA858" s="15"/>
      <c r="FB858" s="15"/>
      <c r="FC858" s="16" t="s">
        <v>197</v>
      </c>
      <c r="FD858" s="17" t="s">
        <v>198</v>
      </c>
      <c r="FE858" s="18">
        <v>45720.33096064815</v>
      </c>
      <c r="FF858" s="19"/>
      <c r="FG858" s="19"/>
      <c r="FH858" s="21" t="s">
        <v>197</v>
      </c>
      <c r="FI858" s="17" t="s">
        <v>214</v>
      </c>
      <c r="FJ858" s="18">
        <v>45720.33096064815</v>
      </c>
      <c r="FK858" s="14" t="s">
        <v>17383</v>
      </c>
      <c r="FL858" s="14" t="s">
        <v>17384</v>
      </c>
      <c r="FM858" s="14" t="s">
        <v>17385</v>
      </c>
      <c r="FN858" s="19"/>
      <c r="FO858" s="19"/>
      <c r="FP858" s="19" t="str">
        <f t="shared" si="1"/>
        <v>Base de Dados_Images/TIT65017.Imagem do Equipamento-.224534.jpg</v>
      </c>
      <c r="FQ858" s="19"/>
      <c r="FR858" s="19"/>
    </row>
    <row r="859" ht="15.75" customHeight="1">
      <c r="A859" s="12" t="s">
        <v>234</v>
      </c>
      <c r="B859" s="12" t="s">
        <v>2706</v>
      </c>
      <c r="C859" s="24" t="s">
        <v>375</v>
      </c>
      <c r="D859" s="12" t="s">
        <v>17386</v>
      </c>
      <c r="E859" s="12" t="s">
        <v>17387</v>
      </c>
      <c r="F859" s="13" t="s">
        <v>178</v>
      </c>
      <c r="G859" s="14" t="s">
        <v>179</v>
      </c>
      <c r="H859" s="14" t="s">
        <v>17388</v>
      </c>
      <c r="I859" s="14" t="s">
        <v>179</v>
      </c>
      <c r="J859" s="14" t="s">
        <v>17389</v>
      </c>
      <c r="K859" s="14" t="s">
        <v>179</v>
      </c>
      <c r="L859" s="14" t="s">
        <v>17390</v>
      </c>
      <c r="M859" s="14" t="s">
        <v>179</v>
      </c>
      <c r="N859" s="14" t="s">
        <v>17391</v>
      </c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6" t="s">
        <v>197</v>
      </c>
      <c r="BP859" s="17" t="s">
        <v>198</v>
      </c>
      <c r="BQ859" s="18">
        <v>45687.82380787037</v>
      </c>
      <c r="BR859" s="17" t="s">
        <v>198</v>
      </c>
      <c r="BS859" s="18">
        <v>45687.82388888889</v>
      </c>
      <c r="BT859" s="17" t="s">
        <v>198</v>
      </c>
      <c r="BU859" s="18">
        <v>45687.82388888889</v>
      </c>
      <c r="BV859" s="13" t="s">
        <v>199</v>
      </c>
      <c r="BW859" s="14" t="s">
        <v>179</v>
      </c>
      <c r="BX859" s="14" t="s">
        <v>17392</v>
      </c>
      <c r="BY859" s="14" t="s">
        <v>179</v>
      </c>
      <c r="BZ859" s="14" t="s">
        <v>17393</v>
      </c>
      <c r="CA859" s="14" t="s">
        <v>179</v>
      </c>
      <c r="CB859" s="14" t="s">
        <v>17394</v>
      </c>
      <c r="CC859" s="15"/>
      <c r="CD859" s="15"/>
      <c r="CE859" s="15"/>
      <c r="CF859" s="15"/>
      <c r="CG859" s="19"/>
      <c r="CH859" s="15"/>
      <c r="CI859" s="19"/>
      <c r="CJ859" s="15"/>
      <c r="CK859" s="19"/>
      <c r="CL859" s="15"/>
      <c r="CM859" s="19"/>
      <c r="CN859" s="15"/>
      <c r="CO859" s="19"/>
      <c r="CP859" s="15"/>
      <c r="CQ859" s="15"/>
      <c r="CR859" s="15"/>
      <c r="CS859" s="19"/>
      <c r="CT859" s="15"/>
      <c r="CU859" s="19"/>
      <c r="CV859" s="15"/>
      <c r="CW859" s="19"/>
      <c r="CX859" s="15"/>
      <c r="CY859" s="19"/>
      <c r="CZ859" s="15"/>
      <c r="DA859" s="16" t="s">
        <v>197</v>
      </c>
      <c r="DB859" s="17" t="s">
        <v>228</v>
      </c>
      <c r="DC859" s="16"/>
      <c r="DD859" s="17" t="s">
        <v>198</v>
      </c>
      <c r="DE859" s="18">
        <v>45713.40736111111</v>
      </c>
      <c r="DF859" s="17" t="s">
        <v>198</v>
      </c>
      <c r="DG859" s="18">
        <v>45713.40736111111</v>
      </c>
      <c r="DH859" s="13" t="s">
        <v>205</v>
      </c>
      <c r="DI859" s="14" t="s">
        <v>179</v>
      </c>
      <c r="DJ859" s="14" t="s">
        <v>17395</v>
      </c>
      <c r="DK859" s="14" t="s">
        <v>179</v>
      </c>
      <c r="DL859" s="14" t="s">
        <v>17395</v>
      </c>
      <c r="DM859" s="15"/>
      <c r="DN859" s="15"/>
      <c r="DO859" s="15"/>
      <c r="DP859" s="15"/>
      <c r="DQ859" s="15"/>
      <c r="DR859" s="15"/>
      <c r="DS859" s="15"/>
      <c r="DT859" s="15"/>
      <c r="DU859" s="15"/>
      <c r="DV859" s="15"/>
      <c r="DW859" s="15"/>
      <c r="DX859" s="15"/>
      <c r="DY859" s="15"/>
      <c r="DZ859" s="15"/>
      <c r="EA859" s="15"/>
      <c r="EB859" s="15"/>
      <c r="EC859" s="16" t="s">
        <v>197</v>
      </c>
      <c r="ED859" s="17" t="s">
        <v>198</v>
      </c>
      <c r="EE859" s="18">
        <v>45713.40740740741</v>
      </c>
      <c r="EF859" s="13" t="s">
        <v>209</v>
      </c>
      <c r="EG859" s="14" t="s">
        <v>179</v>
      </c>
      <c r="EH859" s="14" t="s">
        <v>17396</v>
      </c>
      <c r="EI859" s="14" t="s">
        <v>179</v>
      </c>
      <c r="EJ859" s="14" t="s">
        <v>17396</v>
      </c>
      <c r="EK859" s="15"/>
      <c r="EL859" s="15"/>
      <c r="EM859" s="15"/>
      <c r="EN859" s="15"/>
      <c r="EO859" s="15"/>
      <c r="EP859" s="15"/>
      <c r="EQ859" s="15"/>
      <c r="ER859" s="15"/>
      <c r="ES859" s="15"/>
      <c r="ET859" s="15"/>
      <c r="EU859" s="15"/>
      <c r="EV859" s="15"/>
      <c r="EW859" s="15"/>
      <c r="EX859" s="15"/>
      <c r="EY859" s="15"/>
      <c r="EZ859" s="15"/>
      <c r="FA859" s="15"/>
      <c r="FB859" s="15"/>
      <c r="FC859" s="16" t="s">
        <v>197</v>
      </c>
      <c r="FD859" s="17" t="s">
        <v>198</v>
      </c>
      <c r="FE859" s="18">
        <v>45720.331030092595</v>
      </c>
      <c r="FF859" s="19"/>
      <c r="FG859" s="19"/>
      <c r="FH859" s="21" t="s">
        <v>197</v>
      </c>
      <c r="FI859" s="17" t="s">
        <v>214</v>
      </c>
      <c r="FJ859" s="18">
        <v>45720.331030092595</v>
      </c>
      <c r="FK859" s="14" t="s">
        <v>17396</v>
      </c>
      <c r="FL859" s="14" t="s">
        <v>17397</v>
      </c>
      <c r="FM859" s="14" t="s">
        <v>17398</v>
      </c>
      <c r="FN859" s="19"/>
      <c r="FO859" s="19"/>
      <c r="FP859" s="19" t="str">
        <f t="shared" si="1"/>
        <v>Base de Dados_Images/TIT65017B.Imagem do Equipamento-.224614.jpg</v>
      </c>
      <c r="FQ859" s="19"/>
      <c r="FR859" s="19"/>
    </row>
    <row r="860" ht="15.75" customHeight="1">
      <c r="A860" s="12" t="s">
        <v>234</v>
      </c>
      <c r="B860" s="12" t="s">
        <v>2743</v>
      </c>
      <c r="C860" s="24" t="s">
        <v>375</v>
      </c>
      <c r="D860" s="22" t="s">
        <v>17399</v>
      </c>
      <c r="E860" s="22" t="s">
        <v>17400</v>
      </c>
      <c r="F860" s="13" t="s">
        <v>178</v>
      </c>
      <c r="G860" s="14" t="s">
        <v>179</v>
      </c>
      <c r="H860" s="14" t="s">
        <v>17401</v>
      </c>
      <c r="I860" s="14" t="s">
        <v>179</v>
      </c>
      <c r="J860" s="14" t="s">
        <v>17402</v>
      </c>
      <c r="K860" s="14" t="s">
        <v>179</v>
      </c>
      <c r="L860" s="14" t="s">
        <v>17403</v>
      </c>
      <c r="M860" s="14" t="s">
        <v>179</v>
      </c>
      <c r="N860" s="14" t="s">
        <v>17402</v>
      </c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6" t="s">
        <v>197</v>
      </c>
      <c r="BP860" s="17" t="s">
        <v>198</v>
      </c>
      <c r="BQ860" s="18">
        <v>45687.822430555556</v>
      </c>
      <c r="BR860" s="17" t="s">
        <v>198</v>
      </c>
      <c r="BS860" s="18">
        <v>45687.82246527778</v>
      </c>
      <c r="BT860" s="17" t="s">
        <v>198</v>
      </c>
      <c r="BU860" s="18">
        <v>45687.82246527778</v>
      </c>
      <c r="BV860" s="13" t="s">
        <v>199</v>
      </c>
      <c r="BW860" s="14" t="s">
        <v>179</v>
      </c>
      <c r="BX860" s="14" t="s">
        <v>17404</v>
      </c>
      <c r="BY860" s="14" t="s">
        <v>179</v>
      </c>
      <c r="BZ860" s="14" t="s">
        <v>17404</v>
      </c>
      <c r="CA860" s="14" t="s">
        <v>179</v>
      </c>
      <c r="CB860" s="14" t="s">
        <v>17405</v>
      </c>
      <c r="CC860" s="15"/>
      <c r="CD860" s="15"/>
      <c r="CE860" s="15"/>
      <c r="CF860" s="15"/>
      <c r="CG860" s="19"/>
      <c r="CH860" s="15"/>
      <c r="CI860" s="19"/>
      <c r="CJ860" s="15"/>
      <c r="CK860" s="19"/>
      <c r="CL860" s="15"/>
      <c r="CM860" s="19"/>
      <c r="CN860" s="15"/>
      <c r="CO860" s="19"/>
      <c r="CP860" s="15"/>
      <c r="CQ860" s="15"/>
      <c r="CR860" s="15"/>
      <c r="CS860" s="19"/>
      <c r="CT860" s="15"/>
      <c r="CU860" s="19"/>
      <c r="CV860" s="15"/>
      <c r="CW860" s="19"/>
      <c r="CX860" s="15"/>
      <c r="CY860" s="19"/>
      <c r="CZ860" s="15"/>
      <c r="DA860" s="16" t="s">
        <v>197</v>
      </c>
      <c r="DB860" s="17" t="s">
        <v>228</v>
      </c>
      <c r="DC860" s="16"/>
      <c r="DD860" s="17" t="s">
        <v>198</v>
      </c>
      <c r="DE860" s="18">
        <v>45702.325162037036</v>
      </c>
      <c r="DF860" s="17" t="s">
        <v>198</v>
      </c>
      <c r="DG860" s="18">
        <v>45702.325162037036</v>
      </c>
      <c r="DH860" s="13" t="s">
        <v>205</v>
      </c>
      <c r="DI860" s="14" t="s">
        <v>179</v>
      </c>
      <c r="DJ860" s="14" t="s">
        <v>17406</v>
      </c>
      <c r="DK860" s="14" t="s">
        <v>179</v>
      </c>
      <c r="DL860" s="14" t="s">
        <v>17407</v>
      </c>
      <c r="DM860" s="15"/>
      <c r="DN860" s="15"/>
      <c r="DO860" s="15"/>
      <c r="DP860" s="15"/>
      <c r="DQ860" s="15"/>
      <c r="DR860" s="15"/>
      <c r="DS860" s="15"/>
      <c r="DT860" s="15"/>
      <c r="DU860" s="15"/>
      <c r="DV860" s="15"/>
      <c r="DW860" s="15"/>
      <c r="DX860" s="15"/>
      <c r="DY860" s="15"/>
      <c r="DZ860" s="15"/>
      <c r="EA860" s="15"/>
      <c r="EB860" s="15"/>
      <c r="EC860" s="16" t="s">
        <v>197</v>
      </c>
      <c r="ED860" s="17" t="s">
        <v>198</v>
      </c>
      <c r="EE860" s="18">
        <v>45713.42020833334</v>
      </c>
      <c r="EF860" s="13" t="s">
        <v>209</v>
      </c>
      <c r="EG860" s="14" t="s">
        <v>179</v>
      </c>
      <c r="EH860" s="14" t="s">
        <v>17408</v>
      </c>
      <c r="EI860" s="14" t="s">
        <v>179</v>
      </c>
      <c r="EJ860" s="14" t="s">
        <v>17408</v>
      </c>
      <c r="EK860" s="15"/>
      <c r="EL860" s="15"/>
      <c r="EM860" s="15"/>
      <c r="EN860" s="15"/>
      <c r="EO860" s="15"/>
      <c r="EP860" s="15"/>
      <c r="EQ860" s="15"/>
      <c r="ER860" s="15"/>
      <c r="ES860" s="15"/>
      <c r="ET860" s="15"/>
      <c r="EU860" s="15"/>
      <c r="EV860" s="15"/>
      <c r="EW860" s="15"/>
      <c r="EX860" s="15"/>
      <c r="EY860" s="15"/>
      <c r="EZ860" s="15"/>
      <c r="FA860" s="15"/>
      <c r="FB860" s="15"/>
      <c r="FC860" s="16" t="s">
        <v>197</v>
      </c>
      <c r="FD860" s="17" t="s">
        <v>198</v>
      </c>
      <c r="FE860" s="18">
        <v>45720.34260416667</v>
      </c>
      <c r="FF860" s="19"/>
      <c r="FG860" s="19"/>
      <c r="FH860" s="21" t="s">
        <v>197</v>
      </c>
      <c r="FI860" s="17" t="s">
        <v>214</v>
      </c>
      <c r="FJ860" s="18">
        <v>45720.34260416667</v>
      </c>
      <c r="FK860" s="14" t="s">
        <v>17408</v>
      </c>
      <c r="FL860" s="14" t="s">
        <v>17409</v>
      </c>
      <c r="FM860" s="14" t="s">
        <v>17410</v>
      </c>
      <c r="FN860" s="19"/>
      <c r="FO860" s="19"/>
      <c r="FP860" s="19" t="str">
        <f t="shared" si="1"/>
        <v>Base de Dados_Images/TIT65018.Imagem do Equipamento-.224420.jpg</v>
      </c>
      <c r="FQ860" s="19"/>
      <c r="FR860" s="19"/>
    </row>
    <row r="861" ht="15.75" customHeight="1">
      <c r="A861" s="12" t="s">
        <v>234</v>
      </c>
      <c r="B861" s="12" t="s">
        <v>2743</v>
      </c>
      <c r="C861" s="24" t="s">
        <v>375</v>
      </c>
      <c r="D861" s="12" t="s">
        <v>17411</v>
      </c>
      <c r="E861" s="12" t="s">
        <v>17412</v>
      </c>
      <c r="F861" s="13" t="s">
        <v>178</v>
      </c>
      <c r="G861" s="14" t="s">
        <v>179</v>
      </c>
      <c r="H861" s="14" t="s">
        <v>17413</v>
      </c>
      <c r="I861" s="14" t="s">
        <v>179</v>
      </c>
      <c r="J861" s="14" t="s">
        <v>17414</v>
      </c>
      <c r="K861" s="14" t="s">
        <v>179</v>
      </c>
      <c r="L861" s="14" t="s">
        <v>17415</v>
      </c>
      <c r="M861" s="14" t="s">
        <v>179</v>
      </c>
      <c r="N861" s="14" t="s">
        <v>17415</v>
      </c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6" t="s">
        <v>197</v>
      </c>
      <c r="BP861" s="17" t="s">
        <v>198</v>
      </c>
      <c r="BQ861" s="18">
        <v>45687.8227662037</v>
      </c>
      <c r="BR861" s="17" t="s">
        <v>198</v>
      </c>
      <c r="BS861" s="18">
        <v>45687.82278935185</v>
      </c>
      <c r="BT861" s="17" t="s">
        <v>198</v>
      </c>
      <c r="BU861" s="18">
        <v>45687.82278935185</v>
      </c>
      <c r="BV861" s="13" t="s">
        <v>199</v>
      </c>
      <c r="BW861" s="14" t="s">
        <v>179</v>
      </c>
      <c r="BX861" s="14" t="s">
        <v>17416</v>
      </c>
      <c r="BY861" s="14" t="s">
        <v>179</v>
      </c>
      <c r="BZ861" s="14" t="s">
        <v>17417</v>
      </c>
      <c r="CA861" s="14" t="s">
        <v>179</v>
      </c>
      <c r="CB861" s="14" t="s">
        <v>17418</v>
      </c>
      <c r="CC861" s="15"/>
      <c r="CD861" s="15"/>
      <c r="CE861" s="15"/>
      <c r="CF861" s="15"/>
      <c r="CG861" s="19"/>
      <c r="CH861" s="15"/>
      <c r="CI861" s="19"/>
      <c r="CJ861" s="15"/>
      <c r="CK861" s="19"/>
      <c r="CL861" s="15"/>
      <c r="CM861" s="19"/>
      <c r="CN861" s="15"/>
      <c r="CO861" s="19"/>
      <c r="CP861" s="15"/>
      <c r="CQ861" s="15"/>
      <c r="CR861" s="15"/>
      <c r="CS861" s="19"/>
      <c r="CT861" s="15"/>
      <c r="CU861" s="19"/>
      <c r="CV861" s="15"/>
      <c r="CW861" s="19"/>
      <c r="CX861" s="15"/>
      <c r="CY861" s="19"/>
      <c r="CZ861" s="15"/>
      <c r="DA861" s="16" t="s">
        <v>197</v>
      </c>
      <c r="DB861" s="17" t="s">
        <v>228</v>
      </c>
      <c r="DC861" s="16"/>
      <c r="DD861" s="17" t="s">
        <v>198</v>
      </c>
      <c r="DE861" s="18">
        <v>45702.32542824074</v>
      </c>
      <c r="DF861" s="17" t="s">
        <v>198</v>
      </c>
      <c r="DG861" s="18">
        <v>45702.32542824074</v>
      </c>
      <c r="DH861" s="13" t="s">
        <v>205</v>
      </c>
      <c r="DI861" s="14" t="s">
        <v>179</v>
      </c>
      <c r="DJ861" s="14" t="s">
        <v>17419</v>
      </c>
      <c r="DK861" s="14" t="s">
        <v>179</v>
      </c>
      <c r="DL861" s="14" t="s">
        <v>17419</v>
      </c>
      <c r="DM861" s="15"/>
      <c r="DN861" s="15"/>
      <c r="DO861" s="15"/>
      <c r="DP861" s="15"/>
      <c r="DQ861" s="15"/>
      <c r="DR861" s="15"/>
      <c r="DS861" s="15"/>
      <c r="DT861" s="15"/>
      <c r="DU861" s="15"/>
      <c r="DV861" s="15"/>
      <c r="DW861" s="15"/>
      <c r="DX861" s="15"/>
      <c r="DY861" s="15"/>
      <c r="DZ861" s="15"/>
      <c r="EA861" s="15"/>
      <c r="EB861" s="15"/>
      <c r="EC861" s="16" t="s">
        <v>197</v>
      </c>
      <c r="ED861" s="17" t="s">
        <v>198</v>
      </c>
      <c r="EE861" s="18">
        <v>45713.420381944445</v>
      </c>
      <c r="EF861" s="13" t="s">
        <v>209</v>
      </c>
      <c r="EG861" s="14" t="s">
        <v>179</v>
      </c>
      <c r="EH861" s="14" t="s">
        <v>17420</v>
      </c>
      <c r="EI861" s="14" t="s">
        <v>179</v>
      </c>
      <c r="EJ861" s="14" t="s">
        <v>17421</v>
      </c>
      <c r="EK861" s="15"/>
      <c r="EL861" s="15"/>
      <c r="EM861" s="15"/>
      <c r="EN861" s="15"/>
      <c r="EO861" s="15"/>
      <c r="EP861" s="15"/>
      <c r="EQ861" s="15"/>
      <c r="ER861" s="15"/>
      <c r="ES861" s="15"/>
      <c r="ET861" s="15"/>
      <c r="EU861" s="15"/>
      <c r="EV861" s="15"/>
      <c r="EW861" s="15"/>
      <c r="EX861" s="15"/>
      <c r="EY861" s="15"/>
      <c r="EZ861" s="15"/>
      <c r="FA861" s="15"/>
      <c r="FB861" s="15"/>
      <c r="FC861" s="16" t="s">
        <v>197</v>
      </c>
      <c r="FD861" s="17" t="s">
        <v>198</v>
      </c>
      <c r="FE861" s="18">
        <v>45720.34270833333</v>
      </c>
      <c r="FF861" s="19"/>
      <c r="FG861" s="19"/>
      <c r="FH861" s="21" t="s">
        <v>197</v>
      </c>
      <c r="FI861" s="17" t="s">
        <v>214</v>
      </c>
      <c r="FJ861" s="18">
        <v>45720.34270833333</v>
      </c>
      <c r="FK861" s="14" t="s">
        <v>17421</v>
      </c>
      <c r="FL861" s="14" t="s">
        <v>17422</v>
      </c>
      <c r="FM861" s="14" t="s">
        <v>17423</v>
      </c>
      <c r="FN861" s="19"/>
      <c r="FO861" s="19"/>
      <c r="FP861" s="19" t="str">
        <f t="shared" si="1"/>
        <v>Base de Dados_Images/TIT65018B.Imagem do Equipamento-.224449.jpg</v>
      </c>
      <c r="FQ861" s="19"/>
      <c r="FR861" s="19"/>
    </row>
    <row r="862" ht="15.75" customHeight="1">
      <c r="A862" s="12" t="s">
        <v>234</v>
      </c>
      <c r="B862" s="12" t="s">
        <v>2779</v>
      </c>
      <c r="C862" s="24" t="s">
        <v>375</v>
      </c>
      <c r="D862" s="22" t="s">
        <v>17424</v>
      </c>
      <c r="E862" s="22" t="s">
        <v>17425</v>
      </c>
      <c r="F862" s="13" t="s">
        <v>178</v>
      </c>
      <c r="G862" s="14" t="s">
        <v>179</v>
      </c>
      <c r="H862" s="14" t="s">
        <v>17426</v>
      </c>
      <c r="I862" s="14" t="s">
        <v>179</v>
      </c>
      <c r="J862" s="14" t="s">
        <v>17427</v>
      </c>
      <c r="K862" s="14" t="s">
        <v>179</v>
      </c>
      <c r="L862" s="14" t="s">
        <v>17428</v>
      </c>
      <c r="M862" s="14" t="s">
        <v>179</v>
      </c>
      <c r="N862" s="14" t="s">
        <v>17429</v>
      </c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6" t="s">
        <v>197</v>
      </c>
      <c r="BP862" s="17" t="s">
        <v>198</v>
      </c>
      <c r="BQ862" s="18">
        <v>45685.778657407405</v>
      </c>
      <c r="BR862" s="17" t="s">
        <v>198</v>
      </c>
      <c r="BS862" s="18">
        <v>45685.77875</v>
      </c>
      <c r="BT862" s="17" t="s">
        <v>198</v>
      </c>
      <c r="BU862" s="18">
        <v>45685.77875</v>
      </c>
      <c r="BV862" s="13" t="s">
        <v>199</v>
      </c>
      <c r="BW862" s="14" t="s">
        <v>179</v>
      </c>
      <c r="BX862" s="14" t="s">
        <v>17430</v>
      </c>
      <c r="BY862" s="14" t="s">
        <v>179</v>
      </c>
      <c r="BZ862" s="14" t="s">
        <v>17431</v>
      </c>
      <c r="CA862" s="14" t="s">
        <v>179</v>
      </c>
      <c r="CB862" s="14" t="s">
        <v>17432</v>
      </c>
      <c r="CC862" s="15"/>
      <c r="CD862" s="15"/>
      <c r="CE862" s="15"/>
      <c r="CF862" s="15"/>
      <c r="CG862" s="19"/>
      <c r="CH862" s="15"/>
      <c r="CI862" s="19"/>
      <c r="CJ862" s="15"/>
      <c r="CK862" s="19"/>
      <c r="CL862" s="15"/>
      <c r="CM862" s="19"/>
      <c r="CN862" s="15"/>
      <c r="CO862" s="19"/>
      <c r="CP862" s="15"/>
      <c r="CQ862" s="15"/>
      <c r="CR862" s="15"/>
      <c r="CS862" s="19"/>
      <c r="CT862" s="15"/>
      <c r="CU862" s="19"/>
      <c r="CV862" s="15"/>
      <c r="CW862" s="19"/>
      <c r="CX862" s="15"/>
      <c r="CY862" s="19"/>
      <c r="CZ862" s="15"/>
      <c r="DA862" s="16" t="s">
        <v>197</v>
      </c>
      <c r="DB862" s="17" t="s">
        <v>228</v>
      </c>
      <c r="DC862" s="16"/>
      <c r="DD862" s="17" t="s">
        <v>198</v>
      </c>
      <c r="DE862" s="18">
        <v>45702.32386574074</v>
      </c>
      <c r="DF862" s="17" t="s">
        <v>198</v>
      </c>
      <c r="DG862" s="18">
        <v>45702.32386574074</v>
      </c>
      <c r="DH862" s="13" t="s">
        <v>205</v>
      </c>
      <c r="DI862" s="14" t="s">
        <v>179</v>
      </c>
      <c r="DJ862" s="14" t="s">
        <v>17433</v>
      </c>
      <c r="DK862" s="14" t="s">
        <v>179</v>
      </c>
      <c r="DL862" s="14" t="s">
        <v>17433</v>
      </c>
      <c r="DM862" s="15"/>
      <c r="DN862" s="15"/>
      <c r="DO862" s="15"/>
      <c r="DP862" s="15"/>
      <c r="DQ862" s="15"/>
      <c r="DR862" s="15"/>
      <c r="DS862" s="15"/>
      <c r="DT862" s="15"/>
      <c r="DU862" s="15"/>
      <c r="DV862" s="15"/>
      <c r="DW862" s="15"/>
      <c r="DX862" s="15"/>
      <c r="DY862" s="15"/>
      <c r="DZ862" s="15"/>
      <c r="EA862" s="15"/>
      <c r="EB862" s="15"/>
      <c r="EC862" s="16" t="s">
        <v>197</v>
      </c>
      <c r="ED862" s="17" t="s">
        <v>198</v>
      </c>
      <c r="EE862" s="18">
        <v>45713.42314814815</v>
      </c>
      <c r="EF862" s="13" t="s">
        <v>209</v>
      </c>
      <c r="EG862" s="14" t="s">
        <v>179</v>
      </c>
      <c r="EH862" s="14" t="s">
        <v>17434</v>
      </c>
      <c r="EI862" s="14" t="s">
        <v>179</v>
      </c>
      <c r="EJ862" s="14" t="s">
        <v>17435</v>
      </c>
      <c r="EK862" s="15"/>
      <c r="EL862" s="15"/>
      <c r="EM862" s="15"/>
      <c r="EN862" s="15"/>
      <c r="EO862" s="15"/>
      <c r="EP862" s="15"/>
      <c r="EQ862" s="15"/>
      <c r="ER862" s="15"/>
      <c r="ES862" s="15"/>
      <c r="ET862" s="15"/>
      <c r="EU862" s="15"/>
      <c r="EV862" s="15"/>
      <c r="EW862" s="15"/>
      <c r="EX862" s="15"/>
      <c r="EY862" s="15"/>
      <c r="EZ862" s="15"/>
      <c r="FA862" s="15"/>
      <c r="FB862" s="15"/>
      <c r="FC862" s="16" t="s">
        <v>197</v>
      </c>
      <c r="FD862" s="17" t="s">
        <v>198</v>
      </c>
      <c r="FE862" s="18">
        <v>45720.33347222222</v>
      </c>
      <c r="FF862" s="19"/>
      <c r="FG862" s="19"/>
      <c r="FH862" s="21" t="s">
        <v>197</v>
      </c>
      <c r="FI862" s="17" t="s">
        <v>214</v>
      </c>
      <c r="FJ862" s="18">
        <v>45720.33347222222</v>
      </c>
      <c r="FK862" s="14" t="s">
        <v>17435</v>
      </c>
      <c r="FL862" s="14" t="s">
        <v>17436</v>
      </c>
      <c r="FM862" s="14" t="s">
        <v>17437</v>
      </c>
      <c r="FN862" s="19"/>
      <c r="FO862" s="19"/>
      <c r="FP862" s="19" t="str">
        <f t="shared" si="1"/>
        <v>Base de Dados_Images/TIT65019.Imagem do Equipamento-.214103.jpg</v>
      </c>
      <c r="FQ862" s="19"/>
      <c r="FR862" s="19"/>
    </row>
    <row r="863" ht="15.75" customHeight="1">
      <c r="A863" s="12" t="s">
        <v>234</v>
      </c>
      <c r="B863" s="12" t="s">
        <v>2779</v>
      </c>
      <c r="C863" s="24" t="s">
        <v>375</v>
      </c>
      <c r="D863" s="12" t="s">
        <v>17438</v>
      </c>
      <c r="E863" s="12" t="s">
        <v>17439</v>
      </c>
      <c r="F863" s="13" t="s">
        <v>178</v>
      </c>
      <c r="G863" s="14" t="s">
        <v>179</v>
      </c>
      <c r="H863" s="14" t="s">
        <v>17440</v>
      </c>
      <c r="I863" s="14" t="s">
        <v>179</v>
      </c>
      <c r="J863" s="14" t="s">
        <v>17441</v>
      </c>
      <c r="K863" s="14" t="s">
        <v>179</v>
      </c>
      <c r="L863" s="14" t="s">
        <v>17442</v>
      </c>
      <c r="M863" s="14" t="s">
        <v>179</v>
      </c>
      <c r="N863" s="14" t="s">
        <v>17443</v>
      </c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6" t="s">
        <v>197</v>
      </c>
      <c r="BP863" s="17" t="s">
        <v>198</v>
      </c>
      <c r="BQ863" s="18">
        <v>45694.61126157407</v>
      </c>
      <c r="BR863" s="17" t="s">
        <v>198</v>
      </c>
      <c r="BS863" s="18">
        <v>45694.61131944445</v>
      </c>
      <c r="BT863" s="17" t="s">
        <v>198</v>
      </c>
      <c r="BU863" s="18">
        <v>45694.61131944445</v>
      </c>
      <c r="BV863" s="13" t="s">
        <v>199</v>
      </c>
      <c r="BW863" s="14" t="s">
        <v>179</v>
      </c>
      <c r="BX863" s="14" t="s">
        <v>17444</v>
      </c>
      <c r="BY863" s="14" t="s">
        <v>179</v>
      </c>
      <c r="BZ863" s="14" t="s">
        <v>17445</v>
      </c>
      <c r="CA863" s="14" t="s">
        <v>179</v>
      </c>
      <c r="CB863" s="14" t="s">
        <v>17446</v>
      </c>
      <c r="CC863" s="15"/>
      <c r="CD863" s="15"/>
      <c r="CE863" s="15"/>
      <c r="CF863" s="15"/>
      <c r="CG863" s="19"/>
      <c r="CH863" s="15"/>
      <c r="CI863" s="19"/>
      <c r="CJ863" s="15"/>
      <c r="CK863" s="19"/>
      <c r="CL863" s="15"/>
      <c r="CM863" s="19"/>
      <c r="CN863" s="15"/>
      <c r="CO863" s="19"/>
      <c r="CP863" s="15"/>
      <c r="CQ863" s="15"/>
      <c r="CR863" s="15"/>
      <c r="CS863" s="19"/>
      <c r="CT863" s="15"/>
      <c r="CU863" s="19"/>
      <c r="CV863" s="15"/>
      <c r="CW863" s="19"/>
      <c r="CX863" s="15"/>
      <c r="CY863" s="19"/>
      <c r="CZ863" s="15"/>
      <c r="DA863" s="16" t="s">
        <v>197</v>
      </c>
      <c r="DB863" s="17" t="s">
        <v>228</v>
      </c>
      <c r="DC863" s="16"/>
      <c r="DD863" s="17" t="s">
        <v>198</v>
      </c>
      <c r="DE863" s="18">
        <v>45702.32412037037</v>
      </c>
      <c r="DF863" s="17" t="s">
        <v>198</v>
      </c>
      <c r="DG863" s="18">
        <v>45702.32412037037</v>
      </c>
      <c r="DH863" s="13" t="s">
        <v>205</v>
      </c>
      <c r="DI863" s="14" t="s">
        <v>179</v>
      </c>
      <c r="DJ863" s="14" t="s">
        <v>17447</v>
      </c>
      <c r="DK863" s="14" t="s">
        <v>179</v>
      </c>
      <c r="DL863" s="14" t="s">
        <v>17448</v>
      </c>
      <c r="DM863" s="15"/>
      <c r="DN863" s="15"/>
      <c r="DO863" s="15"/>
      <c r="DP863" s="15"/>
      <c r="DQ863" s="15"/>
      <c r="DR863" s="15"/>
      <c r="DS863" s="15"/>
      <c r="DT863" s="15"/>
      <c r="DU863" s="15"/>
      <c r="DV863" s="15"/>
      <c r="DW863" s="15"/>
      <c r="DX863" s="15"/>
      <c r="DY863" s="15"/>
      <c r="DZ863" s="15"/>
      <c r="EA863" s="15"/>
      <c r="EB863" s="15"/>
      <c r="EC863" s="16" t="s">
        <v>197</v>
      </c>
      <c r="ED863" s="17" t="s">
        <v>198</v>
      </c>
      <c r="EE863" s="18">
        <v>45713.42328703704</v>
      </c>
      <c r="EF863" s="13" t="s">
        <v>209</v>
      </c>
      <c r="EG863" s="14" t="s">
        <v>179</v>
      </c>
      <c r="EH863" s="14" t="s">
        <v>17449</v>
      </c>
      <c r="EI863" s="14" t="s">
        <v>179</v>
      </c>
      <c r="EJ863" s="14" t="s">
        <v>17449</v>
      </c>
      <c r="EK863" s="15"/>
      <c r="EL863" s="15"/>
      <c r="EM863" s="15"/>
      <c r="EN863" s="15"/>
      <c r="EO863" s="15"/>
      <c r="EP863" s="15"/>
      <c r="EQ863" s="15"/>
      <c r="ER863" s="15"/>
      <c r="ES863" s="15"/>
      <c r="ET863" s="15"/>
      <c r="EU863" s="15"/>
      <c r="EV863" s="15"/>
      <c r="EW863" s="15"/>
      <c r="EX863" s="15"/>
      <c r="EY863" s="15"/>
      <c r="EZ863" s="15"/>
      <c r="FA863" s="15"/>
      <c r="FB863" s="15"/>
      <c r="FC863" s="16" t="s">
        <v>197</v>
      </c>
      <c r="FD863" s="17" t="s">
        <v>198</v>
      </c>
      <c r="FE863" s="18">
        <v>45720.33377314815</v>
      </c>
      <c r="FF863" s="19"/>
      <c r="FG863" s="19"/>
      <c r="FH863" s="21" t="s">
        <v>197</v>
      </c>
      <c r="FI863" s="17" t="s">
        <v>214</v>
      </c>
      <c r="FJ863" s="18">
        <v>45720.33377314815</v>
      </c>
      <c r="FK863" s="14" t="s">
        <v>17449</v>
      </c>
      <c r="FL863" s="14" t="s">
        <v>17450</v>
      </c>
      <c r="FM863" s="14" t="s">
        <v>17451</v>
      </c>
      <c r="FN863" s="19"/>
      <c r="FO863" s="19"/>
      <c r="FP863" s="19" t="str">
        <f t="shared" si="1"/>
        <v>Base de Dados_Images/TIT65019B.Imagem do Equipamento-.224339.jpg</v>
      </c>
      <c r="FQ863" s="19"/>
      <c r="FR863" s="19"/>
    </row>
    <row r="864" ht="15.75" customHeight="1">
      <c r="A864" s="12" t="s">
        <v>234</v>
      </c>
      <c r="B864" s="12" t="s">
        <v>2816</v>
      </c>
      <c r="C864" s="24" t="s">
        <v>375</v>
      </c>
      <c r="D864" s="22" t="s">
        <v>17452</v>
      </c>
      <c r="E864" s="22" t="s">
        <v>17453</v>
      </c>
      <c r="F864" s="13" t="s">
        <v>178</v>
      </c>
      <c r="G864" s="14" t="s">
        <v>179</v>
      </c>
      <c r="H864" s="14" t="s">
        <v>17454</v>
      </c>
      <c r="I864" s="14" t="s">
        <v>179</v>
      </c>
      <c r="J864" s="14" t="s">
        <v>17455</v>
      </c>
      <c r="K864" s="14" t="s">
        <v>179</v>
      </c>
      <c r="L864" s="14" t="s">
        <v>17456</v>
      </c>
      <c r="M864" s="14" t="s">
        <v>179</v>
      </c>
      <c r="N864" s="14" t="s">
        <v>17457</v>
      </c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6" t="s">
        <v>197</v>
      </c>
      <c r="BP864" s="17" t="s">
        <v>198</v>
      </c>
      <c r="BQ864" s="18">
        <v>45687.821388888886</v>
      </c>
      <c r="BR864" s="17" t="s">
        <v>198</v>
      </c>
      <c r="BS864" s="18">
        <v>45687.821435185186</v>
      </c>
      <c r="BT864" s="17" t="s">
        <v>198</v>
      </c>
      <c r="BU864" s="18">
        <v>45687.821435185186</v>
      </c>
      <c r="BV864" s="13" t="s">
        <v>199</v>
      </c>
      <c r="BW864" s="14" t="s">
        <v>179</v>
      </c>
      <c r="BX864" s="14" t="s">
        <v>17458</v>
      </c>
      <c r="BY864" s="14" t="s">
        <v>179</v>
      </c>
      <c r="BZ864" s="14" t="s">
        <v>17458</v>
      </c>
      <c r="CA864" s="14" t="s">
        <v>179</v>
      </c>
      <c r="CB864" s="14" t="s">
        <v>17459</v>
      </c>
      <c r="CC864" s="15"/>
      <c r="CD864" s="15"/>
      <c r="CE864" s="15"/>
      <c r="CF864" s="15"/>
      <c r="CG864" s="19"/>
      <c r="CH864" s="15"/>
      <c r="CI864" s="19"/>
      <c r="CJ864" s="15"/>
      <c r="CK864" s="19"/>
      <c r="CL864" s="15"/>
      <c r="CM864" s="19"/>
      <c r="CN864" s="15"/>
      <c r="CO864" s="19"/>
      <c r="CP864" s="15"/>
      <c r="CQ864" s="15"/>
      <c r="CR864" s="15"/>
      <c r="CS864" s="19"/>
      <c r="CT864" s="15"/>
      <c r="CU864" s="19"/>
      <c r="CV864" s="15"/>
      <c r="CW864" s="19"/>
      <c r="CX864" s="15"/>
      <c r="CY864" s="19"/>
      <c r="CZ864" s="15"/>
      <c r="DA864" s="16" t="s">
        <v>197</v>
      </c>
      <c r="DB864" s="17" t="s">
        <v>228</v>
      </c>
      <c r="DC864" s="16"/>
      <c r="DD864" s="17" t="s">
        <v>198</v>
      </c>
      <c r="DE864" s="18">
        <v>45713.41017361111</v>
      </c>
      <c r="DF864" s="17" t="s">
        <v>198</v>
      </c>
      <c r="DG864" s="18">
        <v>45713.41017361111</v>
      </c>
      <c r="DH864" s="13" t="s">
        <v>205</v>
      </c>
      <c r="DI864" s="14" t="s">
        <v>179</v>
      </c>
      <c r="DJ864" s="14" t="s">
        <v>17460</v>
      </c>
      <c r="DK864" s="14" t="s">
        <v>179</v>
      </c>
      <c r="DL864" s="14" t="s">
        <v>17461</v>
      </c>
      <c r="DM864" s="15"/>
      <c r="DN864" s="15"/>
      <c r="DO864" s="15"/>
      <c r="DP864" s="15"/>
      <c r="DQ864" s="15"/>
      <c r="DR864" s="15"/>
      <c r="DS864" s="15"/>
      <c r="DT864" s="15"/>
      <c r="DU864" s="15"/>
      <c r="DV864" s="15"/>
      <c r="DW864" s="15"/>
      <c r="DX864" s="15"/>
      <c r="DY864" s="15"/>
      <c r="DZ864" s="15"/>
      <c r="EA864" s="15"/>
      <c r="EB864" s="15"/>
      <c r="EC864" s="16" t="s">
        <v>197</v>
      </c>
      <c r="ED864" s="17" t="s">
        <v>198</v>
      </c>
      <c r="EE864" s="18">
        <v>45713.410219907404</v>
      </c>
      <c r="EF864" s="13" t="s">
        <v>209</v>
      </c>
      <c r="EG864" s="14" t="s">
        <v>179</v>
      </c>
      <c r="EH864" s="14" t="s">
        <v>17462</v>
      </c>
      <c r="EI864" s="14" t="s">
        <v>179</v>
      </c>
      <c r="EJ864" s="14" t="s">
        <v>17462</v>
      </c>
      <c r="EK864" s="15"/>
      <c r="EL864" s="15"/>
      <c r="EM864" s="15"/>
      <c r="EN864" s="15"/>
      <c r="EO864" s="15"/>
      <c r="EP864" s="15"/>
      <c r="EQ864" s="15"/>
      <c r="ER864" s="15"/>
      <c r="ES864" s="15"/>
      <c r="ET864" s="15"/>
      <c r="EU864" s="15"/>
      <c r="EV864" s="15"/>
      <c r="EW864" s="15"/>
      <c r="EX864" s="15"/>
      <c r="EY864" s="15"/>
      <c r="EZ864" s="15"/>
      <c r="FA864" s="15"/>
      <c r="FB864" s="15"/>
      <c r="FC864" s="16" t="s">
        <v>197</v>
      </c>
      <c r="FD864" s="17" t="s">
        <v>198</v>
      </c>
      <c r="FE864" s="18">
        <v>45720.34416666667</v>
      </c>
      <c r="FF864" s="19"/>
      <c r="FG864" s="19"/>
      <c r="FH864" s="21" t="s">
        <v>197</v>
      </c>
      <c r="FI864" s="17" t="s">
        <v>214</v>
      </c>
      <c r="FJ864" s="18">
        <v>45720.34416666667</v>
      </c>
      <c r="FK864" s="14" t="s">
        <v>17462</v>
      </c>
      <c r="FL864" s="14" t="s">
        <v>17463</v>
      </c>
      <c r="FM864" s="14" t="s">
        <v>17464</v>
      </c>
      <c r="FN864" s="19"/>
      <c r="FO864" s="19"/>
      <c r="FP864" s="19" t="str">
        <f t="shared" si="1"/>
        <v>Base de Dados_Images/TIT65020.Imagem do Equipamento-.224253.jpg</v>
      </c>
      <c r="FQ864" s="19"/>
      <c r="FR864" s="19"/>
    </row>
    <row r="865" ht="15.75" customHeight="1">
      <c r="A865" s="12" t="s">
        <v>234</v>
      </c>
      <c r="B865" s="12" t="s">
        <v>2816</v>
      </c>
      <c r="C865" s="24" t="s">
        <v>375</v>
      </c>
      <c r="D865" s="12" t="s">
        <v>17465</v>
      </c>
      <c r="E865" s="12" t="s">
        <v>17466</v>
      </c>
      <c r="F865" s="13" t="s">
        <v>178</v>
      </c>
      <c r="G865" s="14" t="s">
        <v>179</v>
      </c>
      <c r="H865" s="14" t="s">
        <v>17467</v>
      </c>
      <c r="I865" s="14" t="s">
        <v>179</v>
      </c>
      <c r="J865" s="14" t="s">
        <v>17467</v>
      </c>
      <c r="K865" s="14" t="s">
        <v>179</v>
      </c>
      <c r="L865" s="14" t="s">
        <v>17468</v>
      </c>
      <c r="M865" s="14" t="s">
        <v>179</v>
      </c>
      <c r="N865" s="14" t="s">
        <v>17468</v>
      </c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6" t="s">
        <v>197</v>
      </c>
      <c r="BP865" s="17" t="s">
        <v>198</v>
      </c>
      <c r="BQ865" s="18">
        <v>45687.82163194445</v>
      </c>
      <c r="BR865" s="17" t="s">
        <v>198</v>
      </c>
      <c r="BS865" s="18">
        <v>45687.82165509259</v>
      </c>
      <c r="BT865" s="17" t="s">
        <v>198</v>
      </c>
      <c r="BU865" s="18">
        <v>45687.82165509259</v>
      </c>
      <c r="BV865" s="13" t="s">
        <v>199</v>
      </c>
      <c r="BW865" s="14" t="s">
        <v>179</v>
      </c>
      <c r="BX865" s="14" t="s">
        <v>17469</v>
      </c>
      <c r="BY865" s="14" t="s">
        <v>179</v>
      </c>
      <c r="BZ865" s="14" t="s">
        <v>17470</v>
      </c>
      <c r="CA865" s="14" t="s">
        <v>179</v>
      </c>
      <c r="CB865" s="14" t="s">
        <v>17471</v>
      </c>
      <c r="CC865" s="15"/>
      <c r="CD865" s="15"/>
      <c r="CE865" s="15"/>
      <c r="CF865" s="15"/>
      <c r="CG865" s="19"/>
      <c r="CH865" s="15"/>
      <c r="CI865" s="19"/>
      <c r="CJ865" s="15"/>
      <c r="CK865" s="19"/>
      <c r="CL865" s="15"/>
      <c r="CM865" s="19"/>
      <c r="CN865" s="15"/>
      <c r="CO865" s="19"/>
      <c r="CP865" s="15"/>
      <c r="CQ865" s="15"/>
      <c r="CR865" s="15"/>
      <c r="CS865" s="19"/>
      <c r="CT865" s="15"/>
      <c r="CU865" s="19"/>
      <c r="CV865" s="15"/>
      <c r="CW865" s="19"/>
      <c r="CX865" s="15"/>
      <c r="CY865" s="19"/>
      <c r="CZ865" s="15"/>
      <c r="DA865" s="16" t="s">
        <v>197</v>
      </c>
      <c r="DB865" s="17" t="s">
        <v>228</v>
      </c>
      <c r="DC865" s="16"/>
      <c r="DD865" s="17" t="s">
        <v>198</v>
      </c>
      <c r="DE865" s="18">
        <v>45713.41043981481</v>
      </c>
      <c r="DF865" s="17" t="s">
        <v>198</v>
      </c>
      <c r="DG865" s="18">
        <v>45713.41043981481</v>
      </c>
      <c r="DH865" s="13" t="s">
        <v>205</v>
      </c>
      <c r="DI865" s="14" t="s">
        <v>179</v>
      </c>
      <c r="DJ865" s="14" t="s">
        <v>17472</v>
      </c>
      <c r="DK865" s="14" t="s">
        <v>179</v>
      </c>
      <c r="DL865" s="14" t="s">
        <v>17473</v>
      </c>
      <c r="DM865" s="15"/>
      <c r="DN865" s="15"/>
      <c r="DO865" s="15"/>
      <c r="DP865" s="15"/>
      <c r="DQ865" s="15"/>
      <c r="DR865" s="15"/>
      <c r="DS865" s="15"/>
      <c r="DT865" s="15"/>
      <c r="DU865" s="15"/>
      <c r="DV865" s="15"/>
      <c r="DW865" s="15"/>
      <c r="DX865" s="15"/>
      <c r="DY865" s="15"/>
      <c r="DZ865" s="15"/>
      <c r="EA865" s="15"/>
      <c r="EB865" s="15"/>
      <c r="EC865" s="16" t="s">
        <v>197</v>
      </c>
      <c r="ED865" s="17" t="s">
        <v>198</v>
      </c>
      <c r="EE865" s="18">
        <v>45713.41048611111</v>
      </c>
      <c r="EF865" s="13" t="s">
        <v>209</v>
      </c>
      <c r="EG865" s="14" t="s">
        <v>179</v>
      </c>
      <c r="EH865" s="14" t="s">
        <v>17474</v>
      </c>
      <c r="EI865" s="14" t="s">
        <v>179</v>
      </c>
      <c r="EJ865" s="14" t="s">
        <v>17475</v>
      </c>
      <c r="EK865" s="15"/>
      <c r="EL865" s="15"/>
      <c r="EM865" s="15"/>
      <c r="EN865" s="15"/>
      <c r="EO865" s="15"/>
      <c r="EP865" s="15"/>
      <c r="EQ865" s="15"/>
      <c r="ER865" s="15"/>
      <c r="ES865" s="15"/>
      <c r="ET865" s="15"/>
      <c r="EU865" s="15"/>
      <c r="EV865" s="15"/>
      <c r="EW865" s="15"/>
      <c r="EX865" s="15"/>
      <c r="EY865" s="15"/>
      <c r="EZ865" s="15"/>
      <c r="FA865" s="15"/>
      <c r="FB865" s="15"/>
      <c r="FC865" s="16" t="s">
        <v>197</v>
      </c>
      <c r="FD865" s="17" t="s">
        <v>198</v>
      </c>
      <c r="FE865" s="18">
        <v>45720.34428240741</v>
      </c>
      <c r="FF865" s="19"/>
      <c r="FG865" s="19"/>
      <c r="FH865" s="21" t="s">
        <v>197</v>
      </c>
      <c r="FI865" s="17" t="s">
        <v>214</v>
      </c>
      <c r="FJ865" s="18">
        <v>45720.34428240741</v>
      </c>
      <c r="FK865" s="14" t="s">
        <v>17475</v>
      </c>
      <c r="FL865" s="14" t="s">
        <v>17476</v>
      </c>
      <c r="FM865" s="14" t="s">
        <v>17477</v>
      </c>
      <c r="FN865" s="19"/>
      <c r="FO865" s="19"/>
      <c r="FP865" s="19" t="str">
        <f t="shared" si="1"/>
        <v>Base de Dados_Images/TIT65020B.Imagem do Equipamento-.224317.jpg</v>
      </c>
      <c r="FQ865" s="19"/>
      <c r="FR865" s="19"/>
    </row>
    <row r="866" ht="15.75" customHeight="1">
      <c r="A866" s="12" t="s">
        <v>234</v>
      </c>
      <c r="B866" s="12" t="s">
        <v>2850</v>
      </c>
      <c r="C866" s="24" t="s">
        <v>375</v>
      </c>
      <c r="D866" s="22" t="s">
        <v>17478</v>
      </c>
      <c r="E866" s="22" t="s">
        <v>17479</v>
      </c>
      <c r="F866" s="13" t="s">
        <v>178</v>
      </c>
      <c r="G866" s="14" t="s">
        <v>179</v>
      </c>
      <c r="H866" s="14" t="s">
        <v>17480</v>
      </c>
      <c r="I866" s="14" t="s">
        <v>179</v>
      </c>
      <c r="J866" s="14" t="s">
        <v>17480</v>
      </c>
      <c r="K866" s="14" t="s">
        <v>179</v>
      </c>
      <c r="L866" s="14" t="s">
        <v>17481</v>
      </c>
      <c r="M866" s="14" t="s">
        <v>179</v>
      </c>
      <c r="N866" s="14" t="s">
        <v>17482</v>
      </c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6" t="s">
        <v>197</v>
      </c>
      <c r="BP866" s="17" t="s">
        <v>198</v>
      </c>
      <c r="BQ866" s="18">
        <v>45687.82045138889</v>
      </c>
      <c r="BR866" s="17" t="s">
        <v>198</v>
      </c>
      <c r="BS866" s="18">
        <v>45687.82045138889</v>
      </c>
      <c r="BT866" s="17" t="s">
        <v>198</v>
      </c>
      <c r="BU866" s="18">
        <v>45687.82045138889</v>
      </c>
      <c r="BV866" s="13" t="s">
        <v>199</v>
      </c>
      <c r="BW866" s="14" t="s">
        <v>179</v>
      </c>
      <c r="BX866" s="14" t="s">
        <v>17483</v>
      </c>
      <c r="BY866" s="14" t="s">
        <v>179</v>
      </c>
      <c r="BZ866" s="14" t="s">
        <v>17484</v>
      </c>
      <c r="CA866" s="14" t="s">
        <v>179</v>
      </c>
      <c r="CB866" s="14" t="s">
        <v>17485</v>
      </c>
      <c r="CC866" s="15"/>
      <c r="CD866" s="15"/>
      <c r="CE866" s="15"/>
      <c r="CF866" s="15"/>
      <c r="CG866" s="19"/>
      <c r="CH866" s="15"/>
      <c r="CI866" s="19"/>
      <c r="CJ866" s="15"/>
      <c r="CK866" s="19"/>
      <c r="CL866" s="15"/>
      <c r="CM866" s="19"/>
      <c r="CN866" s="15"/>
      <c r="CO866" s="19"/>
      <c r="CP866" s="15"/>
      <c r="CQ866" s="15"/>
      <c r="CR866" s="15"/>
      <c r="CS866" s="19"/>
      <c r="CT866" s="15"/>
      <c r="CU866" s="19"/>
      <c r="CV866" s="15"/>
      <c r="CW866" s="19"/>
      <c r="CX866" s="15"/>
      <c r="CY866" s="19"/>
      <c r="CZ866" s="15"/>
      <c r="DA866" s="16" t="s">
        <v>197</v>
      </c>
      <c r="DB866" s="17" t="s">
        <v>228</v>
      </c>
      <c r="DC866" s="16"/>
      <c r="DD866" s="17" t="s">
        <v>198</v>
      </c>
      <c r="DE866" s="18">
        <v>45702.32581018518</v>
      </c>
      <c r="DF866" s="17" t="s">
        <v>198</v>
      </c>
      <c r="DG866" s="18">
        <v>45702.32581018518</v>
      </c>
      <c r="DH866" s="13" t="s">
        <v>205</v>
      </c>
      <c r="DI866" s="14" t="s">
        <v>179</v>
      </c>
      <c r="DJ866" s="14" t="s">
        <v>17486</v>
      </c>
      <c r="DK866" s="14" t="s">
        <v>179</v>
      </c>
      <c r="DL866" s="14" t="s">
        <v>17487</v>
      </c>
      <c r="DM866" s="15"/>
      <c r="DN866" s="15"/>
      <c r="DO866" s="15"/>
      <c r="DP866" s="15"/>
      <c r="DQ866" s="15"/>
      <c r="DR866" s="15"/>
      <c r="DS866" s="15"/>
      <c r="DT866" s="15"/>
      <c r="DU866" s="15"/>
      <c r="DV866" s="15"/>
      <c r="DW866" s="15"/>
      <c r="DX866" s="15"/>
      <c r="DY866" s="15"/>
      <c r="DZ866" s="15"/>
      <c r="EA866" s="15"/>
      <c r="EB866" s="15"/>
      <c r="EC866" s="16" t="s">
        <v>197</v>
      </c>
      <c r="ED866" s="17" t="s">
        <v>198</v>
      </c>
      <c r="EE866" s="18">
        <v>45713.41668981482</v>
      </c>
      <c r="EF866" s="13" t="s">
        <v>209</v>
      </c>
      <c r="EG866" s="14" t="s">
        <v>179</v>
      </c>
      <c r="EH866" s="14" t="s">
        <v>17488</v>
      </c>
      <c r="EI866" s="14" t="s">
        <v>179</v>
      </c>
      <c r="EJ866" s="14" t="s">
        <v>17488</v>
      </c>
      <c r="EK866" s="15"/>
      <c r="EL866" s="15"/>
      <c r="EM866" s="15"/>
      <c r="EN866" s="15"/>
      <c r="EO866" s="15"/>
      <c r="EP866" s="15"/>
      <c r="EQ866" s="15"/>
      <c r="ER866" s="15"/>
      <c r="ES866" s="15"/>
      <c r="ET866" s="15"/>
      <c r="EU866" s="15"/>
      <c r="EV866" s="15"/>
      <c r="EW866" s="15"/>
      <c r="EX866" s="15"/>
      <c r="EY866" s="15"/>
      <c r="EZ866" s="15"/>
      <c r="FA866" s="15"/>
      <c r="FB866" s="15"/>
      <c r="FC866" s="16" t="s">
        <v>197</v>
      </c>
      <c r="FD866" s="17" t="s">
        <v>198</v>
      </c>
      <c r="FE866" s="18">
        <v>45720.34966435185</v>
      </c>
      <c r="FF866" s="19"/>
      <c r="FG866" s="19"/>
      <c r="FH866" s="21" t="s">
        <v>197</v>
      </c>
      <c r="FI866" s="17" t="s">
        <v>214</v>
      </c>
      <c r="FJ866" s="18">
        <v>45720.34966435185</v>
      </c>
      <c r="FK866" s="14" t="s">
        <v>17488</v>
      </c>
      <c r="FL866" s="14" t="s">
        <v>17489</v>
      </c>
      <c r="FM866" s="14" t="s">
        <v>17490</v>
      </c>
      <c r="FN866" s="19"/>
      <c r="FO866" s="19"/>
      <c r="FP866" s="19" t="str">
        <f t="shared" si="1"/>
        <v>Base de Dados_Images/TIT65021.Imagem do Equipamento-.224149.jpg</v>
      </c>
      <c r="FQ866" s="19"/>
      <c r="FR866" s="19"/>
    </row>
    <row r="867" ht="15.75" customHeight="1">
      <c r="A867" s="12" t="s">
        <v>234</v>
      </c>
      <c r="B867" s="12" t="s">
        <v>2850</v>
      </c>
      <c r="C867" s="24" t="s">
        <v>375</v>
      </c>
      <c r="D867" s="12" t="s">
        <v>17491</v>
      </c>
      <c r="E867" s="12" t="s">
        <v>17492</v>
      </c>
      <c r="F867" s="13" t="s">
        <v>178</v>
      </c>
      <c r="G867" s="14" t="s">
        <v>179</v>
      </c>
      <c r="H867" s="14" t="s">
        <v>17493</v>
      </c>
      <c r="I867" s="14" t="s">
        <v>179</v>
      </c>
      <c r="J867" s="14" t="s">
        <v>17494</v>
      </c>
      <c r="K867" s="14" t="s">
        <v>179</v>
      </c>
      <c r="L867" s="14" t="s">
        <v>17494</v>
      </c>
      <c r="M867" s="14" t="s">
        <v>179</v>
      </c>
      <c r="N867" s="14" t="s">
        <v>17495</v>
      </c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6" t="s">
        <v>197</v>
      </c>
      <c r="BP867" s="17" t="s">
        <v>198</v>
      </c>
      <c r="BQ867" s="18">
        <v>45687.820625</v>
      </c>
      <c r="BR867" s="17" t="s">
        <v>198</v>
      </c>
      <c r="BS867" s="18">
        <v>45694.613645833335</v>
      </c>
      <c r="BT867" s="17" t="s">
        <v>198</v>
      </c>
      <c r="BU867" s="18">
        <v>45694.613645833335</v>
      </c>
      <c r="BV867" s="13" t="s">
        <v>199</v>
      </c>
      <c r="BW867" s="14" t="s">
        <v>179</v>
      </c>
      <c r="BX867" s="14" t="s">
        <v>17496</v>
      </c>
      <c r="BY867" s="14" t="s">
        <v>179</v>
      </c>
      <c r="BZ867" s="14" t="s">
        <v>17497</v>
      </c>
      <c r="CA867" s="14" t="s">
        <v>179</v>
      </c>
      <c r="CB867" s="14" t="s">
        <v>17498</v>
      </c>
      <c r="CC867" s="15"/>
      <c r="CD867" s="15"/>
      <c r="CE867" s="15"/>
      <c r="CF867" s="15"/>
      <c r="CG867" s="19"/>
      <c r="CH867" s="15"/>
      <c r="CI867" s="19"/>
      <c r="CJ867" s="15"/>
      <c r="CK867" s="19"/>
      <c r="CL867" s="15"/>
      <c r="CM867" s="19"/>
      <c r="CN867" s="15"/>
      <c r="CO867" s="19"/>
      <c r="CP867" s="15"/>
      <c r="CQ867" s="15"/>
      <c r="CR867" s="15"/>
      <c r="CS867" s="19"/>
      <c r="CT867" s="15"/>
      <c r="CU867" s="19"/>
      <c r="CV867" s="15"/>
      <c r="CW867" s="19"/>
      <c r="CX867" s="15"/>
      <c r="CY867" s="19"/>
      <c r="CZ867" s="15"/>
      <c r="DA867" s="16" t="s">
        <v>197</v>
      </c>
      <c r="DB867" s="17" t="s">
        <v>228</v>
      </c>
      <c r="DC867" s="16"/>
      <c r="DD867" s="17" t="s">
        <v>198</v>
      </c>
      <c r="DE867" s="18">
        <v>45702.326006944444</v>
      </c>
      <c r="DF867" s="17" t="s">
        <v>198</v>
      </c>
      <c r="DG867" s="18">
        <v>45702.326006944444</v>
      </c>
      <c r="DH867" s="13" t="s">
        <v>205</v>
      </c>
      <c r="DI867" s="14" t="s">
        <v>179</v>
      </c>
      <c r="DJ867" s="14" t="s">
        <v>17499</v>
      </c>
      <c r="DK867" s="14" t="s">
        <v>179</v>
      </c>
      <c r="DL867" s="14" t="s">
        <v>17499</v>
      </c>
      <c r="DM867" s="15"/>
      <c r="DN867" s="15"/>
      <c r="DO867" s="15"/>
      <c r="DP867" s="15"/>
      <c r="DQ867" s="15"/>
      <c r="DR867" s="15"/>
      <c r="DS867" s="15"/>
      <c r="DT867" s="15"/>
      <c r="DU867" s="15"/>
      <c r="DV867" s="15"/>
      <c r="DW867" s="15"/>
      <c r="DX867" s="15"/>
      <c r="DY867" s="15"/>
      <c r="DZ867" s="15"/>
      <c r="EA867" s="15"/>
      <c r="EB867" s="15"/>
      <c r="EC867" s="16" t="s">
        <v>197</v>
      </c>
      <c r="ED867" s="17" t="s">
        <v>198</v>
      </c>
      <c r="EE867" s="18">
        <v>45713.41730324074</v>
      </c>
      <c r="EF867" s="13" t="s">
        <v>209</v>
      </c>
      <c r="EG867" s="14" t="s">
        <v>179</v>
      </c>
      <c r="EH867" s="14" t="s">
        <v>17500</v>
      </c>
      <c r="EI867" s="14" t="s">
        <v>179</v>
      </c>
      <c r="EJ867" s="14" t="s">
        <v>17501</v>
      </c>
      <c r="EK867" s="15"/>
      <c r="EL867" s="15"/>
      <c r="EM867" s="15"/>
      <c r="EN867" s="15"/>
      <c r="EO867" s="15"/>
      <c r="EP867" s="15"/>
      <c r="EQ867" s="15"/>
      <c r="ER867" s="15"/>
      <c r="ES867" s="15"/>
      <c r="ET867" s="15"/>
      <c r="EU867" s="15"/>
      <c r="EV867" s="15"/>
      <c r="EW867" s="15"/>
      <c r="EX867" s="15"/>
      <c r="EY867" s="15"/>
      <c r="EZ867" s="15"/>
      <c r="FA867" s="15"/>
      <c r="FB867" s="15"/>
      <c r="FC867" s="16" t="s">
        <v>197</v>
      </c>
      <c r="FD867" s="17" t="s">
        <v>198</v>
      </c>
      <c r="FE867" s="18">
        <v>45720.3497337963</v>
      </c>
      <c r="FF867" s="19"/>
      <c r="FG867" s="19"/>
      <c r="FH867" s="21" t="s">
        <v>197</v>
      </c>
      <c r="FI867" s="17" t="s">
        <v>214</v>
      </c>
      <c r="FJ867" s="18">
        <v>45720.3497337963</v>
      </c>
      <c r="FK867" s="14" t="s">
        <v>17501</v>
      </c>
      <c r="FL867" s="14" t="s">
        <v>17502</v>
      </c>
      <c r="FM867" s="14" t="s">
        <v>17503</v>
      </c>
      <c r="FN867" s="19"/>
      <c r="FO867" s="19"/>
      <c r="FP867" s="19" t="str">
        <f t="shared" si="1"/>
        <v>Base de Dados_Images/TIT65021B.Imagem do Equipamento-.224209.jpg</v>
      </c>
      <c r="FQ867" s="19"/>
      <c r="FR867" s="19"/>
    </row>
    <row r="868" ht="15.75" customHeight="1">
      <c r="A868" s="12" t="s">
        <v>234</v>
      </c>
      <c r="B868" s="12" t="s">
        <v>2885</v>
      </c>
      <c r="C868" s="24" t="s">
        <v>375</v>
      </c>
      <c r="D868" s="22" t="s">
        <v>17504</v>
      </c>
      <c r="E868" s="22" t="s">
        <v>17505</v>
      </c>
      <c r="F868" s="13" t="s">
        <v>178</v>
      </c>
      <c r="G868" s="14" t="s">
        <v>179</v>
      </c>
      <c r="H868" s="14" t="s">
        <v>17506</v>
      </c>
      <c r="I868" s="14" t="s">
        <v>179</v>
      </c>
      <c r="J868" s="14" t="s">
        <v>17506</v>
      </c>
      <c r="K868" s="14" t="s">
        <v>179</v>
      </c>
      <c r="L868" s="14" t="s">
        <v>17507</v>
      </c>
      <c r="M868" s="14" t="s">
        <v>179</v>
      </c>
      <c r="N868" s="14" t="s">
        <v>17508</v>
      </c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6" t="s">
        <v>197</v>
      </c>
      <c r="BP868" s="17" t="s">
        <v>198</v>
      </c>
      <c r="BQ868" s="18">
        <v>45687.81946759259</v>
      </c>
      <c r="BR868" s="17" t="s">
        <v>198</v>
      </c>
      <c r="BS868" s="18">
        <v>45687.819502314815</v>
      </c>
      <c r="BT868" s="17" t="s">
        <v>198</v>
      </c>
      <c r="BU868" s="18">
        <v>45687.819502314815</v>
      </c>
      <c r="BV868" s="13" t="s">
        <v>199</v>
      </c>
      <c r="BW868" s="14" t="s">
        <v>179</v>
      </c>
      <c r="BX868" s="14" t="s">
        <v>17509</v>
      </c>
      <c r="BY868" s="14" t="s">
        <v>179</v>
      </c>
      <c r="BZ868" s="14" t="s">
        <v>17509</v>
      </c>
      <c r="CA868" s="14" t="s">
        <v>179</v>
      </c>
      <c r="CB868" s="14" t="s">
        <v>17510</v>
      </c>
      <c r="CC868" s="15"/>
      <c r="CD868" s="15"/>
      <c r="CE868" s="15"/>
      <c r="CF868" s="15"/>
      <c r="CG868" s="19"/>
      <c r="CH868" s="15"/>
      <c r="CI868" s="19"/>
      <c r="CJ868" s="15"/>
      <c r="CK868" s="19"/>
      <c r="CL868" s="15"/>
      <c r="CM868" s="19"/>
      <c r="CN868" s="15"/>
      <c r="CO868" s="19"/>
      <c r="CP868" s="15"/>
      <c r="CQ868" s="15"/>
      <c r="CR868" s="15"/>
      <c r="CS868" s="19"/>
      <c r="CT868" s="15"/>
      <c r="CU868" s="19"/>
      <c r="CV868" s="15"/>
      <c r="CW868" s="19"/>
      <c r="CX868" s="15"/>
      <c r="CY868" s="19"/>
      <c r="CZ868" s="15"/>
      <c r="DA868" s="16" t="s">
        <v>197</v>
      </c>
      <c r="DB868" s="17" t="s">
        <v>228</v>
      </c>
      <c r="DC868" s="16"/>
      <c r="DD868" s="17" t="s">
        <v>198</v>
      </c>
      <c r="DE868" s="18">
        <v>45713.41180555556</v>
      </c>
      <c r="DF868" s="17" t="s">
        <v>198</v>
      </c>
      <c r="DG868" s="18">
        <v>45713.41180555556</v>
      </c>
      <c r="DH868" s="13" t="s">
        <v>205</v>
      </c>
      <c r="DI868" s="14" t="s">
        <v>179</v>
      </c>
      <c r="DJ868" s="14" t="s">
        <v>17511</v>
      </c>
      <c r="DK868" s="14" t="s">
        <v>179</v>
      </c>
      <c r="DL868" s="14" t="s">
        <v>17511</v>
      </c>
      <c r="DM868" s="15"/>
      <c r="DN868" s="15"/>
      <c r="DO868" s="15"/>
      <c r="DP868" s="15"/>
      <c r="DQ868" s="15"/>
      <c r="DR868" s="15"/>
      <c r="DS868" s="15"/>
      <c r="DT868" s="15"/>
      <c r="DU868" s="15"/>
      <c r="DV868" s="15"/>
      <c r="DW868" s="15"/>
      <c r="DX868" s="15"/>
      <c r="DY868" s="15"/>
      <c r="DZ868" s="15"/>
      <c r="EA868" s="15"/>
      <c r="EB868" s="15"/>
      <c r="EC868" s="16" t="s">
        <v>197</v>
      </c>
      <c r="ED868" s="17" t="s">
        <v>198</v>
      </c>
      <c r="EE868" s="18">
        <v>45713.41185185185</v>
      </c>
      <c r="EF868" s="13" t="s">
        <v>209</v>
      </c>
      <c r="EG868" s="14" t="s">
        <v>179</v>
      </c>
      <c r="EH868" s="14" t="s">
        <v>17512</v>
      </c>
      <c r="EI868" s="14" t="s">
        <v>179</v>
      </c>
      <c r="EJ868" s="14" t="s">
        <v>17513</v>
      </c>
      <c r="EK868" s="15"/>
      <c r="EL868" s="15"/>
      <c r="EM868" s="15"/>
      <c r="EN868" s="15"/>
      <c r="EO868" s="15"/>
      <c r="EP868" s="15"/>
      <c r="EQ868" s="15"/>
      <c r="ER868" s="15"/>
      <c r="ES868" s="15"/>
      <c r="ET868" s="15"/>
      <c r="EU868" s="15"/>
      <c r="EV868" s="15"/>
      <c r="EW868" s="15"/>
      <c r="EX868" s="15"/>
      <c r="EY868" s="15"/>
      <c r="EZ868" s="15"/>
      <c r="FA868" s="15"/>
      <c r="FB868" s="15"/>
      <c r="FC868" s="16" t="s">
        <v>197</v>
      </c>
      <c r="FD868" s="17" t="s">
        <v>198</v>
      </c>
      <c r="FE868" s="18">
        <v>45720.35413194444</v>
      </c>
      <c r="FF868" s="19"/>
      <c r="FG868" s="19"/>
      <c r="FH868" s="21" t="s">
        <v>197</v>
      </c>
      <c r="FI868" s="17" t="s">
        <v>214</v>
      </c>
      <c r="FJ868" s="18">
        <v>45720.35413194444</v>
      </c>
      <c r="FK868" s="14" t="s">
        <v>17512</v>
      </c>
      <c r="FL868" s="14" t="s">
        <v>17514</v>
      </c>
      <c r="FM868" s="14" t="s">
        <v>17515</v>
      </c>
      <c r="FN868" s="19"/>
      <c r="FO868" s="19"/>
      <c r="FP868" s="19" t="str">
        <f t="shared" si="1"/>
        <v>Base de Dados_Images/TIT65022.Imagem do Equipamento-.224037.jpg</v>
      </c>
      <c r="FQ868" s="19"/>
      <c r="FR868" s="19"/>
    </row>
    <row r="869" ht="15.75" customHeight="1">
      <c r="A869" s="12" t="s">
        <v>234</v>
      </c>
      <c r="B869" s="12" t="s">
        <v>2885</v>
      </c>
      <c r="C869" s="24" t="s">
        <v>375</v>
      </c>
      <c r="D869" s="12" t="s">
        <v>17516</v>
      </c>
      <c r="E869" s="12" t="s">
        <v>17517</v>
      </c>
      <c r="F869" s="13" t="s">
        <v>178</v>
      </c>
      <c r="G869" s="14" t="s">
        <v>179</v>
      </c>
      <c r="H869" s="14" t="s">
        <v>17518</v>
      </c>
      <c r="I869" s="14" t="s">
        <v>179</v>
      </c>
      <c r="J869" s="14" t="s">
        <v>17518</v>
      </c>
      <c r="K869" s="14" t="s">
        <v>179</v>
      </c>
      <c r="L869" s="14" t="s">
        <v>17519</v>
      </c>
      <c r="M869" s="14" t="s">
        <v>179</v>
      </c>
      <c r="N869" s="14" t="s">
        <v>17520</v>
      </c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6" t="s">
        <v>197</v>
      </c>
      <c r="BP869" s="17" t="s">
        <v>198</v>
      </c>
      <c r="BQ869" s="18">
        <v>45687.81980324074</v>
      </c>
      <c r="BR869" s="17" t="s">
        <v>198</v>
      </c>
      <c r="BS869" s="18">
        <v>45687.81983796296</v>
      </c>
      <c r="BT869" s="17" t="s">
        <v>198</v>
      </c>
      <c r="BU869" s="18">
        <v>45687.81983796296</v>
      </c>
      <c r="BV869" s="13" t="s">
        <v>199</v>
      </c>
      <c r="BW869" s="14" t="s">
        <v>179</v>
      </c>
      <c r="BX869" s="14" t="s">
        <v>17521</v>
      </c>
      <c r="BY869" s="14" t="s">
        <v>179</v>
      </c>
      <c r="BZ869" s="14" t="s">
        <v>17521</v>
      </c>
      <c r="CA869" s="14" t="s">
        <v>179</v>
      </c>
      <c r="CB869" s="14" t="s">
        <v>17522</v>
      </c>
      <c r="CC869" s="15"/>
      <c r="CD869" s="15"/>
      <c r="CE869" s="15"/>
      <c r="CF869" s="15"/>
      <c r="CG869" s="19"/>
      <c r="CH869" s="15"/>
      <c r="CI869" s="19"/>
      <c r="CJ869" s="15"/>
      <c r="CK869" s="19"/>
      <c r="CL869" s="15"/>
      <c r="CM869" s="19"/>
      <c r="CN869" s="15"/>
      <c r="CO869" s="19"/>
      <c r="CP869" s="15"/>
      <c r="CQ869" s="15"/>
      <c r="CR869" s="15"/>
      <c r="CS869" s="19"/>
      <c r="CT869" s="15"/>
      <c r="CU869" s="19"/>
      <c r="CV869" s="15"/>
      <c r="CW869" s="19"/>
      <c r="CX869" s="15"/>
      <c r="CY869" s="19"/>
      <c r="CZ869" s="15"/>
      <c r="DA869" s="16" t="s">
        <v>197</v>
      </c>
      <c r="DB869" s="17" t="s">
        <v>228</v>
      </c>
      <c r="DC869" s="16"/>
      <c r="DD869" s="17" t="s">
        <v>198</v>
      </c>
      <c r="DE869" s="18">
        <v>45713.410775462966</v>
      </c>
      <c r="DF869" s="17" t="s">
        <v>198</v>
      </c>
      <c r="DG869" s="18">
        <v>45713.410775462966</v>
      </c>
      <c r="DH869" s="13" t="s">
        <v>205</v>
      </c>
      <c r="DI869" s="14" t="s">
        <v>179</v>
      </c>
      <c r="DJ869" s="14" t="s">
        <v>17523</v>
      </c>
      <c r="DK869" s="14" t="s">
        <v>179</v>
      </c>
      <c r="DL869" s="14" t="s">
        <v>17524</v>
      </c>
      <c r="DM869" s="15"/>
      <c r="DN869" s="15"/>
      <c r="DO869" s="15"/>
      <c r="DP869" s="15"/>
      <c r="DQ869" s="15"/>
      <c r="DR869" s="15"/>
      <c r="DS869" s="15"/>
      <c r="DT869" s="15"/>
      <c r="DU869" s="15"/>
      <c r="DV869" s="15"/>
      <c r="DW869" s="15"/>
      <c r="DX869" s="15"/>
      <c r="DY869" s="15"/>
      <c r="DZ869" s="15"/>
      <c r="EA869" s="15"/>
      <c r="EB869" s="15"/>
      <c r="EC869" s="16" t="s">
        <v>197</v>
      </c>
      <c r="ED869" s="17" t="s">
        <v>198</v>
      </c>
      <c r="EE869" s="18">
        <v>45713.41082175926</v>
      </c>
      <c r="EF869" s="13" t="s">
        <v>209</v>
      </c>
      <c r="EG869" s="14" t="s">
        <v>179</v>
      </c>
      <c r="EH869" s="14" t="s">
        <v>17525</v>
      </c>
      <c r="EI869" s="14" t="s">
        <v>179</v>
      </c>
      <c r="EJ869" s="14" t="s">
        <v>17526</v>
      </c>
      <c r="EK869" s="15"/>
      <c r="EL869" s="15"/>
      <c r="EM869" s="15"/>
      <c r="EN869" s="15"/>
      <c r="EO869" s="15"/>
      <c r="EP869" s="15"/>
      <c r="EQ869" s="15"/>
      <c r="ER869" s="15"/>
      <c r="ES869" s="15"/>
      <c r="ET869" s="15"/>
      <c r="EU869" s="15"/>
      <c r="EV869" s="15"/>
      <c r="EW869" s="15"/>
      <c r="EX869" s="15"/>
      <c r="EY869" s="15"/>
      <c r="EZ869" s="15"/>
      <c r="FA869" s="15"/>
      <c r="FB869" s="15"/>
      <c r="FC869" s="16" t="s">
        <v>197</v>
      </c>
      <c r="FD869" s="17" t="s">
        <v>198</v>
      </c>
      <c r="FE869" s="18">
        <v>45720.3543287037</v>
      </c>
      <c r="FF869" s="19"/>
      <c r="FG869" s="19"/>
      <c r="FH869" s="21" t="s">
        <v>197</v>
      </c>
      <c r="FI869" s="17" t="s">
        <v>214</v>
      </c>
      <c r="FJ869" s="18">
        <v>45720.3543287037</v>
      </c>
      <c r="FK869" s="14" t="s">
        <v>17526</v>
      </c>
      <c r="FL869" s="14" t="s">
        <v>17527</v>
      </c>
      <c r="FM869" s="14" t="s">
        <v>17528</v>
      </c>
      <c r="FN869" s="19"/>
      <c r="FO869" s="19"/>
      <c r="FP869" s="19" t="str">
        <f t="shared" si="1"/>
        <v>Base de Dados_Images/TIT65022B.Imagem do Equipamento-.224100.jpg</v>
      </c>
      <c r="FQ869" s="19"/>
      <c r="FR869" s="19"/>
    </row>
    <row r="870" ht="15.75" customHeight="1">
      <c r="A870" s="12" t="s">
        <v>234</v>
      </c>
      <c r="B870" s="12" t="s">
        <v>2921</v>
      </c>
      <c r="C870" s="24" t="s">
        <v>375</v>
      </c>
      <c r="D870" s="22" t="s">
        <v>17529</v>
      </c>
      <c r="E870" s="22" t="s">
        <v>17530</v>
      </c>
      <c r="F870" s="13" t="s">
        <v>178</v>
      </c>
      <c r="G870" s="14" t="s">
        <v>179</v>
      </c>
      <c r="H870" s="14" t="s">
        <v>17531</v>
      </c>
      <c r="I870" s="14" t="s">
        <v>179</v>
      </c>
      <c r="J870" s="14" t="s">
        <v>17532</v>
      </c>
      <c r="K870" s="14" t="s">
        <v>179</v>
      </c>
      <c r="L870" s="14" t="s">
        <v>17533</v>
      </c>
      <c r="M870" s="14" t="s">
        <v>179</v>
      </c>
      <c r="N870" s="14" t="s">
        <v>17533</v>
      </c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6" t="s">
        <v>197</v>
      </c>
      <c r="BP870" s="17" t="s">
        <v>198</v>
      </c>
      <c r="BQ870" s="18">
        <v>45687.818240740744</v>
      </c>
      <c r="BR870" s="17" t="s">
        <v>198</v>
      </c>
      <c r="BS870" s="18">
        <v>45687.81828703704</v>
      </c>
      <c r="BT870" s="17" t="s">
        <v>198</v>
      </c>
      <c r="BU870" s="18">
        <v>45687.81828703704</v>
      </c>
      <c r="BV870" s="13" t="s">
        <v>199</v>
      </c>
      <c r="BW870" s="14" t="s">
        <v>179</v>
      </c>
      <c r="BX870" s="14" t="s">
        <v>17534</v>
      </c>
      <c r="BY870" s="14" t="s">
        <v>179</v>
      </c>
      <c r="BZ870" s="14" t="s">
        <v>17535</v>
      </c>
      <c r="CA870" s="14" t="s">
        <v>179</v>
      </c>
      <c r="CB870" s="14" t="s">
        <v>17536</v>
      </c>
      <c r="CC870" s="15"/>
      <c r="CD870" s="15"/>
      <c r="CE870" s="15"/>
      <c r="CF870" s="15"/>
      <c r="CG870" s="19"/>
      <c r="CH870" s="15"/>
      <c r="CI870" s="19"/>
      <c r="CJ870" s="15"/>
      <c r="CK870" s="19"/>
      <c r="CL870" s="15"/>
      <c r="CM870" s="19"/>
      <c r="CN870" s="15"/>
      <c r="CO870" s="19"/>
      <c r="CP870" s="15"/>
      <c r="CQ870" s="15"/>
      <c r="CR870" s="15"/>
      <c r="CS870" s="19"/>
      <c r="CT870" s="15"/>
      <c r="CU870" s="19"/>
      <c r="CV870" s="15"/>
      <c r="CW870" s="19"/>
      <c r="CX870" s="15"/>
      <c r="CY870" s="19"/>
      <c r="CZ870" s="15"/>
      <c r="DA870" s="16" t="s">
        <v>197</v>
      </c>
      <c r="DB870" s="17" t="s">
        <v>228</v>
      </c>
      <c r="DC870" s="16"/>
      <c r="DD870" s="17" t="s">
        <v>198</v>
      </c>
      <c r="DE870" s="18">
        <v>45702.326365740744</v>
      </c>
      <c r="DF870" s="17" t="s">
        <v>198</v>
      </c>
      <c r="DG870" s="18">
        <v>45702.326365740744</v>
      </c>
      <c r="DH870" s="13" t="s">
        <v>205</v>
      </c>
      <c r="DI870" s="14" t="s">
        <v>179</v>
      </c>
      <c r="DJ870" s="14" t="s">
        <v>17537</v>
      </c>
      <c r="DK870" s="14" t="s">
        <v>179</v>
      </c>
      <c r="DL870" s="14" t="s">
        <v>17537</v>
      </c>
      <c r="DM870" s="15"/>
      <c r="DN870" s="15"/>
      <c r="DO870" s="15"/>
      <c r="DP870" s="15"/>
      <c r="DQ870" s="15"/>
      <c r="DR870" s="15"/>
      <c r="DS870" s="15"/>
      <c r="DT870" s="15"/>
      <c r="DU870" s="15"/>
      <c r="DV870" s="15"/>
      <c r="DW870" s="15"/>
      <c r="DX870" s="15"/>
      <c r="DY870" s="15"/>
      <c r="DZ870" s="15"/>
      <c r="EA870" s="15"/>
      <c r="EB870" s="15"/>
      <c r="EC870" s="16" t="s">
        <v>197</v>
      </c>
      <c r="ED870" s="17" t="s">
        <v>198</v>
      </c>
      <c r="EE870" s="18">
        <v>45713.419328703705</v>
      </c>
      <c r="EF870" s="13" t="s">
        <v>209</v>
      </c>
      <c r="EG870" s="14" t="s">
        <v>179</v>
      </c>
      <c r="EH870" s="14" t="s">
        <v>17538</v>
      </c>
      <c r="EI870" s="14" t="s">
        <v>179</v>
      </c>
      <c r="EJ870" s="14" t="s">
        <v>17539</v>
      </c>
      <c r="EK870" s="15"/>
      <c r="EL870" s="15"/>
      <c r="EM870" s="15"/>
      <c r="EN870" s="15"/>
      <c r="EO870" s="15"/>
      <c r="EP870" s="15"/>
      <c r="EQ870" s="15"/>
      <c r="ER870" s="15"/>
      <c r="ES870" s="15"/>
      <c r="ET870" s="15"/>
      <c r="EU870" s="15"/>
      <c r="EV870" s="15"/>
      <c r="EW870" s="15"/>
      <c r="EX870" s="15"/>
      <c r="EY870" s="15"/>
      <c r="EZ870" s="15"/>
      <c r="FA870" s="15"/>
      <c r="FB870" s="15"/>
      <c r="FC870" s="16" t="s">
        <v>197</v>
      </c>
      <c r="FD870" s="17" t="s">
        <v>198</v>
      </c>
      <c r="FE870" s="18">
        <v>45720.35188657408</v>
      </c>
      <c r="FF870" s="19"/>
      <c r="FG870" s="19"/>
      <c r="FH870" s="21" t="s">
        <v>197</v>
      </c>
      <c r="FI870" s="17" t="s">
        <v>214</v>
      </c>
      <c r="FJ870" s="18">
        <v>45720.35188657408</v>
      </c>
      <c r="FK870" s="14" t="s">
        <v>17539</v>
      </c>
      <c r="FL870" s="14" t="s">
        <v>17540</v>
      </c>
      <c r="FM870" s="14" t="s">
        <v>17541</v>
      </c>
      <c r="FN870" s="19"/>
      <c r="FO870" s="19"/>
      <c r="FP870" s="19" t="str">
        <f t="shared" si="1"/>
        <v>Base de Dados_Images/TIT65023.Imagem do Equipamento-.223931.jpg</v>
      </c>
      <c r="FQ870" s="19"/>
      <c r="FR870" s="19"/>
    </row>
    <row r="871" ht="15.75" customHeight="1">
      <c r="A871" s="12" t="s">
        <v>234</v>
      </c>
      <c r="B871" s="12" t="s">
        <v>2921</v>
      </c>
      <c r="C871" s="24" t="s">
        <v>375</v>
      </c>
      <c r="D871" s="12" t="s">
        <v>17542</v>
      </c>
      <c r="E871" s="12" t="s">
        <v>17543</v>
      </c>
      <c r="F871" s="13" t="s">
        <v>178</v>
      </c>
      <c r="G871" s="14" t="s">
        <v>179</v>
      </c>
      <c r="H871" s="14" t="s">
        <v>17544</v>
      </c>
      <c r="I871" s="14" t="s">
        <v>179</v>
      </c>
      <c r="J871" s="14" t="s">
        <v>17545</v>
      </c>
      <c r="K871" s="14" t="s">
        <v>179</v>
      </c>
      <c r="L871" s="14" t="s">
        <v>17546</v>
      </c>
      <c r="M871" s="14" t="s">
        <v>179</v>
      </c>
      <c r="N871" s="14" t="s">
        <v>17547</v>
      </c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6" t="s">
        <v>197</v>
      </c>
      <c r="BP871" s="17" t="s">
        <v>198</v>
      </c>
      <c r="BQ871" s="18">
        <v>45687.81868055555</v>
      </c>
      <c r="BR871" s="17" t="s">
        <v>198</v>
      </c>
      <c r="BS871" s="18">
        <v>45687.818715277775</v>
      </c>
      <c r="BT871" s="17" t="s">
        <v>198</v>
      </c>
      <c r="BU871" s="18">
        <v>45687.818715277775</v>
      </c>
      <c r="BV871" s="13" t="s">
        <v>199</v>
      </c>
      <c r="BW871" s="14" t="s">
        <v>179</v>
      </c>
      <c r="BX871" s="14" t="s">
        <v>17548</v>
      </c>
      <c r="BY871" s="14" t="s">
        <v>179</v>
      </c>
      <c r="BZ871" s="14" t="s">
        <v>17548</v>
      </c>
      <c r="CA871" s="14" t="s">
        <v>179</v>
      </c>
      <c r="CB871" s="14" t="s">
        <v>17549</v>
      </c>
      <c r="CC871" s="15"/>
      <c r="CD871" s="15"/>
      <c r="CE871" s="15"/>
      <c r="CF871" s="15"/>
      <c r="CG871" s="19"/>
      <c r="CH871" s="15"/>
      <c r="CI871" s="19"/>
      <c r="CJ871" s="15"/>
      <c r="CK871" s="19"/>
      <c r="CL871" s="15"/>
      <c r="CM871" s="19"/>
      <c r="CN871" s="15"/>
      <c r="CO871" s="19"/>
      <c r="CP871" s="15"/>
      <c r="CQ871" s="15"/>
      <c r="CR871" s="15"/>
      <c r="CS871" s="19"/>
      <c r="CT871" s="15"/>
      <c r="CU871" s="19"/>
      <c r="CV871" s="15"/>
      <c r="CW871" s="19"/>
      <c r="CX871" s="15"/>
      <c r="CY871" s="19"/>
      <c r="CZ871" s="15"/>
      <c r="DA871" s="16" t="s">
        <v>197</v>
      </c>
      <c r="DB871" s="17" t="s">
        <v>228</v>
      </c>
      <c r="DC871" s="16"/>
      <c r="DD871" s="17" t="s">
        <v>198</v>
      </c>
      <c r="DE871" s="18">
        <v>45702.32653935185</v>
      </c>
      <c r="DF871" s="17" t="s">
        <v>198</v>
      </c>
      <c r="DG871" s="18">
        <v>45702.32653935185</v>
      </c>
      <c r="DH871" s="13" t="s">
        <v>205</v>
      </c>
      <c r="DI871" s="14" t="s">
        <v>179</v>
      </c>
      <c r="DJ871" s="14" t="s">
        <v>17550</v>
      </c>
      <c r="DK871" s="14" t="s">
        <v>179</v>
      </c>
      <c r="DL871" s="14" t="s">
        <v>17550</v>
      </c>
      <c r="DM871" s="15"/>
      <c r="DN871" s="15"/>
      <c r="DO871" s="15"/>
      <c r="DP871" s="15"/>
      <c r="DQ871" s="15"/>
      <c r="DR871" s="15"/>
      <c r="DS871" s="15"/>
      <c r="DT871" s="15"/>
      <c r="DU871" s="15"/>
      <c r="DV871" s="15"/>
      <c r="DW871" s="15"/>
      <c r="DX871" s="15"/>
      <c r="DY871" s="15"/>
      <c r="DZ871" s="15"/>
      <c r="EA871" s="15"/>
      <c r="EB871" s="15"/>
      <c r="EC871" s="16" t="s">
        <v>197</v>
      </c>
      <c r="ED871" s="17" t="s">
        <v>198</v>
      </c>
      <c r="EE871" s="18">
        <v>45713.41946759259</v>
      </c>
      <c r="EF871" s="13" t="s">
        <v>209</v>
      </c>
      <c r="EG871" s="14" t="s">
        <v>179</v>
      </c>
      <c r="EH871" s="14" t="s">
        <v>17551</v>
      </c>
      <c r="EI871" s="14" t="s">
        <v>179</v>
      </c>
      <c r="EJ871" s="14" t="s">
        <v>17552</v>
      </c>
      <c r="EK871" s="15"/>
      <c r="EL871" s="15"/>
      <c r="EM871" s="15"/>
      <c r="EN871" s="15"/>
      <c r="EO871" s="15"/>
      <c r="EP871" s="15"/>
      <c r="EQ871" s="15"/>
      <c r="ER871" s="15"/>
      <c r="ES871" s="15"/>
      <c r="ET871" s="15"/>
      <c r="EU871" s="15"/>
      <c r="EV871" s="15"/>
      <c r="EW871" s="15"/>
      <c r="EX871" s="15"/>
      <c r="EY871" s="15"/>
      <c r="EZ871" s="15"/>
      <c r="FA871" s="15"/>
      <c r="FB871" s="15"/>
      <c r="FC871" s="16" t="s">
        <v>197</v>
      </c>
      <c r="FD871" s="17" t="s">
        <v>198</v>
      </c>
      <c r="FE871" s="18">
        <v>45720.35197916667</v>
      </c>
      <c r="FF871" s="19"/>
      <c r="FG871" s="19"/>
      <c r="FH871" s="21" t="s">
        <v>197</v>
      </c>
      <c r="FI871" s="17" t="s">
        <v>214</v>
      </c>
      <c r="FJ871" s="18">
        <v>45720.35197916667</v>
      </c>
      <c r="FK871" s="14" t="s">
        <v>17552</v>
      </c>
      <c r="FL871" s="14" t="s">
        <v>17553</v>
      </c>
      <c r="FM871" s="14" t="s">
        <v>17554</v>
      </c>
      <c r="FN871" s="19"/>
      <c r="FO871" s="19"/>
      <c r="FP871" s="19" t="str">
        <f t="shared" si="1"/>
        <v>Base de Dados_Images/TIT65023B.Imagem do Equipamento-.223954.jpg</v>
      </c>
      <c r="FQ871" s="19"/>
      <c r="FR871" s="19"/>
    </row>
    <row r="872" ht="15.75" customHeight="1">
      <c r="A872" s="12" t="s">
        <v>234</v>
      </c>
      <c r="B872" s="12" t="s">
        <v>235</v>
      </c>
      <c r="C872" s="24" t="s">
        <v>375</v>
      </c>
      <c r="D872" s="22" t="s">
        <v>17555</v>
      </c>
      <c r="E872" s="22" t="s">
        <v>17556</v>
      </c>
      <c r="F872" s="13" t="s">
        <v>178</v>
      </c>
      <c r="G872" s="14" t="s">
        <v>179</v>
      </c>
      <c r="H872" s="14" t="s">
        <v>17557</v>
      </c>
      <c r="I872" s="14" t="s">
        <v>179</v>
      </c>
      <c r="J872" s="14" t="s">
        <v>17557</v>
      </c>
      <c r="K872" s="14" t="s">
        <v>179</v>
      </c>
      <c r="L872" s="14" t="s">
        <v>17558</v>
      </c>
      <c r="M872" s="14" t="s">
        <v>179</v>
      </c>
      <c r="N872" s="14" t="s">
        <v>17558</v>
      </c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6" t="s">
        <v>197</v>
      </c>
      <c r="BP872" s="17" t="s">
        <v>198</v>
      </c>
      <c r="BQ872" s="18">
        <v>45687.36791666667</v>
      </c>
      <c r="BR872" s="17" t="s">
        <v>198</v>
      </c>
      <c r="BS872" s="18">
        <v>45687.36791666667</v>
      </c>
      <c r="BT872" s="17" t="s">
        <v>198</v>
      </c>
      <c r="BU872" s="18">
        <v>45687.36791666667</v>
      </c>
      <c r="BV872" s="13" t="s">
        <v>199</v>
      </c>
      <c r="BW872" s="14" t="s">
        <v>179</v>
      </c>
      <c r="BX872" s="14" t="s">
        <v>17559</v>
      </c>
      <c r="BY872" s="14" t="s">
        <v>179</v>
      </c>
      <c r="BZ872" s="14" t="s">
        <v>17559</v>
      </c>
      <c r="CA872" s="14" t="s">
        <v>179</v>
      </c>
      <c r="CB872" s="14" t="s">
        <v>17560</v>
      </c>
      <c r="CC872" s="15"/>
      <c r="CD872" s="15"/>
      <c r="CE872" s="15"/>
      <c r="CF872" s="15"/>
      <c r="CG872" s="19"/>
      <c r="CH872" s="15"/>
      <c r="CI872" s="19"/>
      <c r="CJ872" s="15"/>
      <c r="CK872" s="19"/>
      <c r="CL872" s="15"/>
      <c r="CM872" s="19"/>
      <c r="CN872" s="15"/>
      <c r="CO872" s="19"/>
      <c r="CP872" s="15"/>
      <c r="CQ872" s="15"/>
      <c r="CR872" s="15"/>
      <c r="CS872" s="19"/>
      <c r="CT872" s="15"/>
      <c r="CU872" s="19"/>
      <c r="CV872" s="15"/>
      <c r="CW872" s="19"/>
      <c r="CX872" s="15"/>
      <c r="CY872" s="19"/>
      <c r="CZ872" s="15"/>
      <c r="DA872" s="16" t="s">
        <v>197</v>
      </c>
      <c r="DB872" s="17" t="s">
        <v>228</v>
      </c>
      <c r="DC872" s="16"/>
      <c r="DD872" s="17" t="s">
        <v>198</v>
      </c>
      <c r="DE872" s="18">
        <v>45719.519953703704</v>
      </c>
      <c r="DF872" s="17" t="s">
        <v>198</v>
      </c>
      <c r="DG872" s="18">
        <v>45719.519953703704</v>
      </c>
      <c r="DH872" s="13" t="s">
        <v>205</v>
      </c>
      <c r="DI872" s="14" t="s">
        <v>179</v>
      </c>
      <c r="DJ872" s="14" t="s">
        <v>17561</v>
      </c>
      <c r="DK872" s="14" t="s">
        <v>179</v>
      </c>
      <c r="DL872" s="14" t="s">
        <v>17562</v>
      </c>
      <c r="DM872" s="15"/>
      <c r="DN872" s="15"/>
      <c r="DO872" s="15"/>
      <c r="DP872" s="15"/>
      <c r="DQ872" s="15"/>
      <c r="DR872" s="15"/>
      <c r="DS872" s="15"/>
      <c r="DT872" s="15"/>
      <c r="DU872" s="15"/>
      <c r="DV872" s="15"/>
      <c r="DW872" s="15"/>
      <c r="DX872" s="15"/>
      <c r="DY872" s="15"/>
      <c r="DZ872" s="15"/>
      <c r="EA872" s="15"/>
      <c r="EB872" s="15"/>
      <c r="EC872" s="16" t="s">
        <v>197</v>
      </c>
      <c r="ED872" s="17" t="s">
        <v>198</v>
      </c>
      <c r="EE872" s="18">
        <v>45719.52001157407</v>
      </c>
      <c r="EF872" s="13" t="s">
        <v>209</v>
      </c>
      <c r="EG872" s="14" t="s">
        <v>179</v>
      </c>
      <c r="EH872" s="14" t="s">
        <v>17563</v>
      </c>
      <c r="EI872" s="14" t="s">
        <v>179</v>
      </c>
      <c r="EJ872" s="14" t="s">
        <v>17564</v>
      </c>
      <c r="EK872" s="15"/>
      <c r="EL872" s="15"/>
      <c r="EM872" s="15"/>
      <c r="EN872" s="15"/>
      <c r="EO872" s="15"/>
      <c r="EP872" s="15"/>
      <c r="EQ872" s="15"/>
      <c r="ER872" s="15"/>
      <c r="ES872" s="15"/>
      <c r="ET872" s="15"/>
      <c r="EU872" s="15"/>
      <c r="EV872" s="15"/>
      <c r="EW872" s="15"/>
      <c r="EX872" s="15"/>
      <c r="EY872" s="15"/>
      <c r="EZ872" s="15"/>
      <c r="FA872" s="15"/>
      <c r="FB872" s="15"/>
      <c r="FC872" s="16" t="s">
        <v>197</v>
      </c>
      <c r="FD872" s="17" t="s">
        <v>198</v>
      </c>
      <c r="FE872" s="18">
        <v>45723.31186342592</v>
      </c>
      <c r="FF872" s="19"/>
      <c r="FG872" s="19"/>
      <c r="FH872" s="21" t="s">
        <v>197</v>
      </c>
      <c r="FI872" s="17" t="s">
        <v>214</v>
      </c>
      <c r="FJ872" s="18">
        <v>45723.31186342592</v>
      </c>
      <c r="FK872" s="14" t="s">
        <v>17564</v>
      </c>
      <c r="FL872" s="14" t="s">
        <v>17565</v>
      </c>
      <c r="FM872" s="14" t="s">
        <v>17566</v>
      </c>
      <c r="FN872" s="19"/>
      <c r="FO872" s="19"/>
      <c r="FP872" s="19" t="str">
        <f t="shared" si="1"/>
        <v>Base de Dados_Images/TIT65029.Imagem do Equipamento-.125643.jpg</v>
      </c>
      <c r="FQ872" s="14"/>
      <c r="FR872" s="14"/>
    </row>
    <row r="873" ht="15.75" customHeight="1">
      <c r="A873" s="12" t="s">
        <v>234</v>
      </c>
      <c r="B873" s="12" t="s">
        <v>249</v>
      </c>
      <c r="C873" s="24" t="s">
        <v>375</v>
      </c>
      <c r="D873" s="22" t="s">
        <v>17567</v>
      </c>
      <c r="E873" s="22" t="s">
        <v>17568</v>
      </c>
      <c r="F873" s="13" t="s">
        <v>178</v>
      </c>
      <c r="G873" s="14" t="s">
        <v>179</v>
      </c>
      <c r="H873" s="14" t="s">
        <v>17569</v>
      </c>
      <c r="I873" s="14" t="s">
        <v>179</v>
      </c>
      <c r="J873" s="14" t="s">
        <v>17570</v>
      </c>
      <c r="K873" s="14" t="s">
        <v>179</v>
      </c>
      <c r="L873" s="14" t="s">
        <v>17571</v>
      </c>
      <c r="M873" s="14" t="s">
        <v>179</v>
      </c>
      <c r="N873" s="14" t="s">
        <v>17571</v>
      </c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6" t="s">
        <v>197</v>
      </c>
      <c r="BP873" s="17" t="s">
        <v>198</v>
      </c>
      <c r="BQ873" s="18">
        <v>45687.37037037037</v>
      </c>
      <c r="BR873" s="17" t="s">
        <v>198</v>
      </c>
      <c r="BS873" s="18">
        <v>45687.370358796295</v>
      </c>
      <c r="BT873" s="17" t="s">
        <v>198</v>
      </c>
      <c r="BU873" s="18">
        <v>45687.37037037037</v>
      </c>
      <c r="BV873" s="13" t="s">
        <v>199</v>
      </c>
      <c r="BW873" s="14" t="s">
        <v>179</v>
      </c>
      <c r="BX873" s="14" t="s">
        <v>17572</v>
      </c>
      <c r="BY873" s="14" t="s">
        <v>179</v>
      </c>
      <c r="BZ873" s="14" t="s">
        <v>17573</v>
      </c>
      <c r="CA873" s="14" t="s">
        <v>179</v>
      </c>
      <c r="CB873" s="14" t="s">
        <v>17573</v>
      </c>
      <c r="CC873" s="15"/>
      <c r="CD873" s="15"/>
      <c r="CE873" s="15"/>
      <c r="CF873" s="15"/>
      <c r="CG873" s="19"/>
      <c r="CH873" s="15"/>
      <c r="CI873" s="19"/>
      <c r="CJ873" s="15"/>
      <c r="CK873" s="19"/>
      <c r="CL873" s="15"/>
      <c r="CM873" s="19"/>
      <c r="CN873" s="15"/>
      <c r="CO873" s="19"/>
      <c r="CP873" s="15"/>
      <c r="CQ873" s="15"/>
      <c r="CR873" s="15"/>
      <c r="CS873" s="19"/>
      <c r="CT873" s="15"/>
      <c r="CU873" s="19"/>
      <c r="CV873" s="15"/>
      <c r="CW873" s="19"/>
      <c r="CX873" s="15"/>
      <c r="CY873" s="19"/>
      <c r="CZ873" s="15"/>
      <c r="DA873" s="16" t="s">
        <v>197</v>
      </c>
      <c r="DB873" s="17" t="s">
        <v>228</v>
      </c>
      <c r="DC873" s="16"/>
      <c r="DD873" s="17" t="s">
        <v>198</v>
      </c>
      <c r="DE873" s="18">
        <v>45719.52045138889</v>
      </c>
      <c r="DF873" s="17" t="s">
        <v>198</v>
      </c>
      <c r="DG873" s="18">
        <v>45719.52045138889</v>
      </c>
      <c r="DH873" s="13" t="s">
        <v>205</v>
      </c>
      <c r="DI873" s="14" t="s">
        <v>179</v>
      </c>
      <c r="DJ873" s="14" t="s">
        <v>17574</v>
      </c>
      <c r="DK873" s="14" t="s">
        <v>179</v>
      </c>
      <c r="DL873" s="14" t="s">
        <v>17575</v>
      </c>
      <c r="DM873" s="15"/>
      <c r="DN873" s="15"/>
      <c r="DO873" s="15"/>
      <c r="DP873" s="15"/>
      <c r="DQ873" s="15"/>
      <c r="DR873" s="15"/>
      <c r="DS873" s="15"/>
      <c r="DT873" s="15"/>
      <c r="DU873" s="15"/>
      <c r="DV873" s="15"/>
      <c r="DW873" s="15"/>
      <c r="DX873" s="15"/>
      <c r="DY873" s="15"/>
      <c r="DZ873" s="15"/>
      <c r="EA873" s="15"/>
      <c r="EB873" s="15"/>
      <c r="EC873" s="16" t="s">
        <v>197</v>
      </c>
      <c r="ED873" s="17" t="s">
        <v>198</v>
      </c>
      <c r="EE873" s="18">
        <v>45719.52050925926</v>
      </c>
      <c r="EF873" s="13" t="s">
        <v>209</v>
      </c>
      <c r="EG873" s="14" t="s">
        <v>179</v>
      </c>
      <c r="EH873" s="14" t="s">
        <v>17576</v>
      </c>
      <c r="EI873" s="14" t="s">
        <v>179</v>
      </c>
      <c r="EJ873" s="14" t="s">
        <v>17576</v>
      </c>
      <c r="EK873" s="15"/>
      <c r="EL873" s="15"/>
      <c r="EM873" s="15"/>
      <c r="EN873" s="15"/>
      <c r="EO873" s="15"/>
      <c r="EP873" s="15"/>
      <c r="EQ873" s="15"/>
      <c r="ER873" s="15"/>
      <c r="ES873" s="15"/>
      <c r="ET873" s="15"/>
      <c r="EU873" s="15"/>
      <c r="EV873" s="15"/>
      <c r="EW873" s="15"/>
      <c r="EX873" s="15"/>
      <c r="EY873" s="15"/>
      <c r="EZ873" s="15"/>
      <c r="FA873" s="15"/>
      <c r="FB873" s="15"/>
      <c r="FC873" s="16" t="s">
        <v>197</v>
      </c>
      <c r="FD873" s="17" t="s">
        <v>198</v>
      </c>
      <c r="FE873" s="18">
        <v>45726.47604166667</v>
      </c>
      <c r="FF873" s="19"/>
      <c r="FG873" s="19"/>
      <c r="FH873" s="21" t="s">
        <v>197</v>
      </c>
      <c r="FI873" s="17" t="s">
        <v>214</v>
      </c>
      <c r="FJ873" s="18">
        <v>45726.47604166667</v>
      </c>
      <c r="FK873" s="14" t="s">
        <v>17576</v>
      </c>
      <c r="FL873" s="14" t="s">
        <v>17577</v>
      </c>
      <c r="FM873" s="14" t="s">
        <v>17578</v>
      </c>
      <c r="FN873" s="19"/>
      <c r="FO873" s="19"/>
      <c r="FP873" s="19" t="str">
        <f t="shared" si="1"/>
        <v>Base de Dados_Images/TIT65030.Imagem do Equipamento-.125817.jpg</v>
      </c>
      <c r="FQ873" s="19"/>
      <c r="FR873" s="19"/>
    </row>
    <row r="874" ht="15.75" customHeight="1">
      <c r="A874" s="12" t="s">
        <v>234</v>
      </c>
      <c r="B874" s="12" t="s">
        <v>263</v>
      </c>
      <c r="C874" s="24" t="s">
        <v>375</v>
      </c>
      <c r="D874" s="22" t="s">
        <v>17579</v>
      </c>
      <c r="E874" s="22" t="s">
        <v>17580</v>
      </c>
      <c r="F874" s="13" t="s">
        <v>178</v>
      </c>
      <c r="G874" s="14" t="s">
        <v>179</v>
      </c>
      <c r="H874" s="14" t="s">
        <v>17581</v>
      </c>
      <c r="I874" s="14" t="s">
        <v>179</v>
      </c>
      <c r="J874" s="14" t="s">
        <v>17582</v>
      </c>
      <c r="K874" s="14" t="s">
        <v>179</v>
      </c>
      <c r="L874" s="14" t="s">
        <v>17583</v>
      </c>
      <c r="M874" s="14" t="s">
        <v>179</v>
      </c>
      <c r="N874" s="14" t="s">
        <v>17583</v>
      </c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6" t="s">
        <v>197</v>
      </c>
      <c r="BP874" s="17" t="s">
        <v>198</v>
      </c>
      <c r="BQ874" s="18">
        <v>45687.373449074075</v>
      </c>
      <c r="BR874" s="17" t="s">
        <v>198</v>
      </c>
      <c r="BS874" s="18">
        <v>45687.3734375</v>
      </c>
      <c r="BT874" s="17" t="s">
        <v>198</v>
      </c>
      <c r="BU874" s="18">
        <v>45687.373449074075</v>
      </c>
      <c r="BV874" s="13" t="s">
        <v>199</v>
      </c>
      <c r="BW874" s="14" t="s">
        <v>179</v>
      </c>
      <c r="BX874" s="14" t="s">
        <v>17584</v>
      </c>
      <c r="BY874" s="14" t="s">
        <v>179</v>
      </c>
      <c r="BZ874" s="14" t="s">
        <v>17584</v>
      </c>
      <c r="CA874" s="14" t="s">
        <v>179</v>
      </c>
      <c r="CB874" s="14" t="s">
        <v>17585</v>
      </c>
      <c r="CC874" s="15"/>
      <c r="CD874" s="15"/>
      <c r="CE874" s="15"/>
      <c r="CF874" s="15"/>
      <c r="CG874" s="19"/>
      <c r="CH874" s="15"/>
      <c r="CI874" s="19"/>
      <c r="CJ874" s="15"/>
      <c r="CK874" s="19"/>
      <c r="CL874" s="15"/>
      <c r="CM874" s="19"/>
      <c r="CN874" s="15"/>
      <c r="CO874" s="19"/>
      <c r="CP874" s="15"/>
      <c r="CQ874" s="15"/>
      <c r="CR874" s="15"/>
      <c r="CS874" s="19"/>
      <c r="CT874" s="15"/>
      <c r="CU874" s="19"/>
      <c r="CV874" s="15"/>
      <c r="CW874" s="19"/>
      <c r="CX874" s="15"/>
      <c r="CY874" s="19"/>
      <c r="CZ874" s="15"/>
      <c r="DA874" s="16" t="s">
        <v>197</v>
      </c>
      <c r="DB874" s="17" t="s">
        <v>228</v>
      </c>
      <c r="DC874" s="16"/>
      <c r="DD874" s="17" t="s">
        <v>198</v>
      </c>
      <c r="DE874" s="18">
        <v>45719.52077546297</v>
      </c>
      <c r="DF874" s="17" t="s">
        <v>198</v>
      </c>
      <c r="DG874" s="18">
        <v>45719.52077546297</v>
      </c>
      <c r="DH874" s="13" t="s">
        <v>205</v>
      </c>
      <c r="DI874" s="14" t="s">
        <v>179</v>
      </c>
      <c r="DJ874" s="14" t="s">
        <v>17586</v>
      </c>
      <c r="DK874" s="14" t="s">
        <v>179</v>
      </c>
      <c r="DL874" s="14" t="s">
        <v>17587</v>
      </c>
      <c r="DM874" s="15"/>
      <c r="DN874" s="15"/>
      <c r="DO874" s="15"/>
      <c r="DP874" s="15"/>
      <c r="DQ874" s="15"/>
      <c r="DR874" s="15"/>
      <c r="DS874" s="15"/>
      <c r="DT874" s="15"/>
      <c r="DU874" s="15"/>
      <c r="DV874" s="15"/>
      <c r="DW874" s="15"/>
      <c r="DX874" s="15"/>
      <c r="DY874" s="15"/>
      <c r="DZ874" s="15"/>
      <c r="EA874" s="15"/>
      <c r="EB874" s="15"/>
      <c r="EC874" s="16" t="s">
        <v>197</v>
      </c>
      <c r="ED874" s="17" t="s">
        <v>198</v>
      </c>
      <c r="EE874" s="18">
        <v>45719.52082175926</v>
      </c>
      <c r="EF874" s="13" t="s">
        <v>209</v>
      </c>
      <c r="EG874" s="14" t="s">
        <v>179</v>
      </c>
      <c r="EH874" s="14" t="s">
        <v>17588</v>
      </c>
      <c r="EI874" s="14" t="s">
        <v>179</v>
      </c>
      <c r="EJ874" s="14" t="s">
        <v>17589</v>
      </c>
      <c r="EK874" s="15"/>
      <c r="EL874" s="15"/>
      <c r="EM874" s="15"/>
      <c r="EN874" s="15"/>
      <c r="EO874" s="15"/>
      <c r="EP874" s="15"/>
      <c r="EQ874" s="15"/>
      <c r="ER874" s="15"/>
      <c r="ES874" s="15"/>
      <c r="ET874" s="15"/>
      <c r="EU874" s="15"/>
      <c r="EV874" s="15"/>
      <c r="EW874" s="15"/>
      <c r="EX874" s="15"/>
      <c r="EY874" s="15"/>
      <c r="EZ874" s="15"/>
      <c r="FA874" s="15"/>
      <c r="FB874" s="15"/>
      <c r="FC874" s="16" t="s">
        <v>197</v>
      </c>
      <c r="FD874" s="17" t="s">
        <v>198</v>
      </c>
      <c r="FE874" s="18">
        <v>45722.38700231481</v>
      </c>
      <c r="FF874" s="19"/>
      <c r="FG874" s="19"/>
      <c r="FH874" s="21" t="s">
        <v>197</v>
      </c>
      <c r="FI874" s="17" t="s">
        <v>214</v>
      </c>
      <c r="FJ874" s="18">
        <v>45722.38700231481</v>
      </c>
      <c r="FK874" s="14" t="s">
        <v>17589</v>
      </c>
      <c r="FL874" s="14" t="s">
        <v>17590</v>
      </c>
      <c r="FM874" s="14" t="s">
        <v>17591</v>
      </c>
      <c r="FN874" s="19"/>
      <c r="FO874" s="19"/>
      <c r="FP874" s="19" t="str">
        <f t="shared" si="1"/>
        <v>Base de Dados_Images/TIT65031.Imagem do Equipamento-.130223.jpg</v>
      </c>
      <c r="FQ874" s="19"/>
      <c r="FR874" s="19"/>
    </row>
    <row r="875" ht="15.75" customHeight="1">
      <c r="A875" s="12" t="s">
        <v>234</v>
      </c>
      <c r="B875" s="12" t="s">
        <v>276</v>
      </c>
      <c r="C875" s="24" t="s">
        <v>375</v>
      </c>
      <c r="D875" s="22" t="s">
        <v>17592</v>
      </c>
      <c r="E875" s="22" t="s">
        <v>17593</v>
      </c>
      <c r="F875" s="13" t="s">
        <v>178</v>
      </c>
      <c r="G875" s="14" t="s">
        <v>179</v>
      </c>
      <c r="H875" s="14" t="s">
        <v>17594</v>
      </c>
      <c r="I875" s="14" t="s">
        <v>179</v>
      </c>
      <c r="J875" s="14" t="s">
        <v>17595</v>
      </c>
      <c r="K875" s="14" t="s">
        <v>179</v>
      </c>
      <c r="L875" s="14" t="s">
        <v>17596</v>
      </c>
      <c r="M875" s="14" t="s">
        <v>179</v>
      </c>
      <c r="N875" s="14" t="s">
        <v>17596</v>
      </c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6" t="s">
        <v>197</v>
      </c>
      <c r="BP875" s="17" t="s">
        <v>198</v>
      </c>
      <c r="BQ875" s="18">
        <v>45687.37457175926</v>
      </c>
      <c r="BR875" s="17" t="s">
        <v>198</v>
      </c>
      <c r="BS875" s="18">
        <v>45687.374560185184</v>
      </c>
      <c r="BT875" s="17" t="s">
        <v>198</v>
      </c>
      <c r="BU875" s="18">
        <v>45687.37457175926</v>
      </c>
      <c r="BV875" s="13" t="s">
        <v>199</v>
      </c>
      <c r="BW875" s="14" t="s">
        <v>179</v>
      </c>
      <c r="BX875" s="14" t="s">
        <v>17597</v>
      </c>
      <c r="BY875" s="14" t="s">
        <v>179</v>
      </c>
      <c r="BZ875" s="14" t="s">
        <v>17598</v>
      </c>
      <c r="CA875" s="14" t="s">
        <v>179</v>
      </c>
      <c r="CB875" s="14" t="s">
        <v>17598</v>
      </c>
      <c r="CC875" s="15"/>
      <c r="CD875" s="15"/>
      <c r="CE875" s="15"/>
      <c r="CF875" s="15"/>
      <c r="CG875" s="19"/>
      <c r="CH875" s="15"/>
      <c r="CI875" s="19"/>
      <c r="CJ875" s="15"/>
      <c r="CK875" s="19"/>
      <c r="CL875" s="15"/>
      <c r="CM875" s="19"/>
      <c r="CN875" s="15"/>
      <c r="CO875" s="19"/>
      <c r="CP875" s="15"/>
      <c r="CQ875" s="15"/>
      <c r="CR875" s="15"/>
      <c r="CS875" s="19"/>
      <c r="CT875" s="15"/>
      <c r="CU875" s="19"/>
      <c r="CV875" s="15"/>
      <c r="CW875" s="19"/>
      <c r="CX875" s="15"/>
      <c r="CY875" s="19"/>
      <c r="CZ875" s="15"/>
      <c r="DA875" s="16" t="s">
        <v>197</v>
      </c>
      <c r="DB875" s="17" t="s">
        <v>228</v>
      </c>
      <c r="DC875" s="16"/>
      <c r="DD875" s="17" t="s">
        <v>198</v>
      </c>
      <c r="DE875" s="18">
        <v>45719.521458333336</v>
      </c>
      <c r="DF875" s="17" t="s">
        <v>198</v>
      </c>
      <c r="DG875" s="18">
        <v>45719.521458333336</v>
      </c>
      <c r="DH875" s="13" t="s">
        <v>205</v>
      </c>
      <c r="DI875" s="14" t="s">
        <v>179</v>
      </c>
      <c r="DJ875" s="14" t="s">
        <v>17599</v>
      </c>
      <c r="DK875" s="14" t="s">
        <v>179</v>
      </c>
      <c r="DL875" s="14" t="s">
        <v>17600</v>
      </c>
      <c r="DM875" s="15"/>
      <c r="DN875" s="15"/>
      <c r="DO875" s="15"/>
      <c r="DP875" s="15"/>
      <c r="DQ875" s="15"/>
      <c r="DR875" s="15"/>
      <c r="DS875" s="15"/>
      <c r="DT875" s="15"/>
      <c r="DU875" s="15"/>
      <c r="DV875" s="15"/>
      <c r="DW875" s="15"/>
      <c r="DX875" s="15"/>
      <c r="DY875" s="15"/>
      <c r="DZ875" s="15"/>
      <c r="EA875" s="15"/>
      <c r="EB875" s="15"/>
      <c r="EC875" s="16" t="s">
        <v>197</v>
      </c>
      <c r="ED875" s="17" t="s">
        <v>198</v>
      </c>
      <c r="EE875" s="18">
        <v>45719.521516203706</v>
      </c>
      <c r="EF875" s="13" t="s">
        <v>209</v>
      </c>
      <c r="EG875" s="14" t="s">
        <v>179</v>
      </c>
      <c r="EH875" s="14" t="s">
        <v>17601</v>
      </c>
      <c r="EI875" s="14" t="s">
        <v>179</v>
      </c>
      <c r="EJ875" s="14" t="s">
        <v>17602</v>
      </c>
      <c r="EK875" s="15"/>
      <c r="EL875" s="15"/>
      <c r="EM875" s="15"/>
      <c r="EN875" s="15"/>
      <c r="EO875" s="15"/>
      <c r="EP875" s="15"/>
      <c r="EQ875" s="15"/>
      <c r="ER875" s="15"/>
      <c r="ES875" s="15"/>
      <c r="ET875" s="15"/>
      <c r="EU875" s="15"/>
      <c r="EV875" s="15"/>
      <c r="EW875" s="15"/>
      <c r="EX875" s="15"/>
      <c r="EY875" s="15"/>
      <c r="EZ875" s="15"/>
      <c r="FA875" s="15"/>
      <c r="FB875" s="15"/>
      <c r="FC875" s="16" t="s">
        <v>197</v>
      </c>
      <c r="FD875" s="17" t="s">
        <v>198</v>
      </c>
      <c r="FE875" s="18">
        <v>45722.38736111111</v>
      </c>
      <c r="FF875" s="19"/>
      <c r="FG875" s="19"/>
      <c r="FH875" s="21" t="s">
        <v>197</v>
      </c>
      <c r="FI875" s="17" t="s">
        <v>214</v>
      </c>
      <c r="FJ875" s="18">
        <v>45722.38736111111</v>
      </c>
      <c r="FK875" s="14" t="s">
        <v>17602</v>
      </c>
      <c r="FL875" s="14" t="s">
        <v>17603</v>
      </c>
      <c r="FM875" s="14" t="s">
        <v>17604</v>
      </c>
      <c r="FN875" s="19"/>
      <c r="FO875" s="19"/>
      <c r="FP875" s="19" t="str">
        <f t="shared" si="1"/>
        <v>Base de Dados_Images/TIT65032.Imagem do Equipamento-.130355.jpg</v>
      </c>
      <c r="FQ875" s="19"/>
      <c r="FR875" s="19"/>
    </row>
    <row r="876" ht="15.75" customHeight="1">
      <c r="A876" s="12" t="s">
        <v>357</v>
      </c>
      <c r="B876" s="12" t="s">
        <v>17605</v>
      </c>
      <c r="C876" s="24" t="s">
        <v>375</v>
      </c>
      <c r="D876" s="22" t="s">
        <v>17606</v>
      </c>
      <c r="E876" s="22" t="s">
        <v>17255</v>
      </c>
      <c r="F876" s="13" t="s">
        <v>178</v>
      </c>
      <c r="G876" s="14" t="s">
        <v>179</v>
      </c>
      <c r="H876" s="14" t="s">
        <v>17607</v>
      </c>
      <c r="I876" s="14" t="s">
        <v>179</v>
      </c>
      <c r="J876" s="14" t="s">
        <v>17608</v>
      </c>
      <c r="K876" s="14" t="s">
        <v>179</v>
      </c>
      <c r="L876" s="14" t="s">
        <v>17609</v>
      </c>
      <c r="M876" s="14" t="s">
        <v>179</v>
      </c>
      <c r="N876" s="14" t="s">
        <v>17610</v>
      </c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6" t="s">
        <v>197</v>
      </c>
      <c r="BP876" s="17" t="s">
        <v>198</v>
      </c>
      <c r="BQ876" s="18">
        <v>45688.43258101852</v>
      </c>
      <c r="BR876" s="17" t="s">
        <v>198</v>
      </c>
      <c r="BS876" s="18">
        <v>45688.43263888889</v>
      </c>
      <c r="BT876" s="17" t="s">
        <v>198</v>
      </c>
      <c r="BU876" s="18">
        <v>45688.43263888889</v>
      </c>
      <c r="BV876" s="13" t="s">
        <v>199</v>
      </c>
      <c r="BW876" s="14" t="s">
        <v>179</v>
      </c>
      <c r="BX876" s="14" t="s">
        <v>17611</v>
      </c>
      <c r="BY876" s="14" t="s">
        <v>179</v>
      </c>
      <c r="BZ876" s="14" t="s">
        <v>17612</v>
      </c>
      <c r="CA876" s="14" t="s">
        <v>179</v>
      </c>
      <c r="CB876" s="14" t="s">
        <v>17613</v>
      </c>
      <c r="CC876" s="15"/>
      <c r="CD876" s="15"/>
      <c r="CE876" s="15"/>
      <c r="CF876" s="15"/>
      <c r="CG876" s="19"/>
      <c r="CH876" s="15"/>
      <c r="CI876" s="19"/>
      <c r="CJ876" s="15"/>
      <c r="CK876" s="19"/>
      <c r="CL876" s="15"/>
      <c r="CM876" s="19"/>
      <c r="CN876" s="15"/>
      <c r="CO876" s="19"/>
      <c r="CP876" s="15"/>
      <c r="CQ876" s="15"/>
      <c r="CR876" s="15"/>
      <c r="CS876" s="19"/>
      <c r="CT876" s="15"/>
      <c r="CU876" s="19"/>
      <c r="CV876" s="15"/>
      <c r="CW876" s="19"/>
      <c r="CX876" s="15"/>
      <c r="CY876" s="19"/>
      <c r="CZ876" s="15"/>
      <c r="DA876" s="16" t="s">
        <v>197</v>
      </c>
      <c r="DB876" s="17" t="s">
        <v>228</v>
      </c>
      <c r="DC876" s="16"/>
      <c r="DD876" s="17" t="s">
        <v>198</v>
      </c>
      <c r="DE876" s="18">
        <v>45688.43273148148</v>
      </c>
      <c r="DF876" s="17" t="s">
        <v>198</v>
      </c>
      <c r="DG876" s="18">
        <v>45688.43273148148</v>
      </c>
      <c r="DH876" s="13" t="s">
        <v>205</v>
      </c>
      <c r="DI876" s="14" t="s">
        <v>179</v>
      </c>
      <c r="DJ876" s="14" t="s">
        <v>17614</v>
      </c>
      <c r="DK876" s="14" t="s">
        <v>179</v>
      </c>
      <c r="DL876" s="14" t="s">
        <v>17615</v>
      </c>
      <c r="DM876" s="15"/>
      <c r="DN876" s="15"/>
      <c r="DO876" s="15"/>
      <c r="DP876" s="15"/>
      <c r="DQ876" s="15"/>
      <c r="DR876" s="15"/>
      <c r="DS876" s="15"/>
      <c r="DT876" s="15"/>
      <c r="DU876" s="15"/>
      <c r="DV876" s="15"/>
      <c r="DW876" s="15"/>
      <c r="DX876" s="15"/>
      <c r="DY876" s="15"/>
      <c r="DZ876" s="15"/>
      <c r="EA876" s="15"/>
      <c r="EB876" s="15"/>
      <c r="EC876" s="16" t="s">
        <v>197</v>
      </c>
      <c r="ED876" s="17" t="s">
        <v>198</v>
      </c>
      <c r="EE876" s="18">
        <v>45708.43436342593</v>
      </c>
      <c r="EF876" s="13" t="s">
        <v>209</v>
      </c>
      <c r="EG876" s="14" t="s">
        <v>179</v>
      </c>
      <c r="EH876" s="14" t="s">
        <v>17616</v>
      </c>
      <c r="EI876" s="14" t="s">
        <v>179</v>
      </c>
      <c r="EJ876" s="14" t="s">
        <v>17617</v>
      </c>
      <c r="EK876" s="15"/>
      <c r="EL876" s="15"/>
      <c r="EM876" s="15"/>
      <c r="EN876" s="15"/>
      <c r="EO876" s="15"/>
      <c r="EP876" s="15"/>
      <c r="EQ876" s="15"/>
      <c r="ER876" s="15"/>
      <c r="ES876" s="15"/>
      <c r="ET876" s="15"/>
      <c r="EU876" s="15"/>
      <c r="EV876" s="15"/>
      <c r="EW876" s="15"/>
      <c r="EX876" s="15"/>
      <c r="EY876" s="15"/>
      <c r="EZ876" s="15"/>
      <c r="FA876" s="15"/>
      <c r="FB876" s="15"/>
      <c r="FC876" s="16" t="s">
        <v>197</v>
      </c>
      <c r="FD876" s="17" t="s">
        <v>198</v>
      </c>
      <c r="FE876" s="18">
        <v>45708.43444444444</v>
      </c>
      <c r="FF876" s="19"/>
      <c r="FG876" s="19"/>
      <c r="FH876" s="21" t="s">
        <v>197</v>
      </c>
      <c r="FI876" s="17" t="s">
        <v>214</v>
      </c>
      <c r="FJ876" s="18">
        <v>45708.43444444444</v>
      </c>
      <c r="FK876" s="14" t="s">
        <v>17617</v>
      </c>
      <c r="FL876" s="14" t="s">
        <v>17618</v>
      </c>
      <c r="FM876" s="14" t="s">
        <v>17619</v>
      </c>
      <c r="FN876" s="19"/>
      <c r="FO876" s="19"/>
      <c r="FP876" s="19" t="str">
        <f t="shared" si="1"/>
        <v>Base de Dados_Images/TIT65035.Imagem do Equipamento-.134428.jpg</v>
      </c>
      <c r="FQ876" s="14"/>
      <c r="FR876" s="14"/>
    </row>
    <row r="877" ht="15.75" customHeight="1">
      <c r="A877" s="12" t="s">
        <v>547</v>
      </c>
      <c r="B877" s="12" t="s">
        <v>3584</v>
      </c>
      <c r="C877" s="24" t="s">
        <v>375</v>
      </c>
      <c r="D877" s="22" t="s">
        <v>17620</v>
      </c>
      <c r="E877" s="22" t="s">
        <v>17621</v>
      </c>
      <c r="F877" s="13" t="s">
        <v>178</v>
      </c>
      <c r="G877" s="14" t="s">
        <v>179</v>
      </c>
      <c r="H877" s="14" t="s">
        <v>17622</v>
      </c>
      <c r="I877" s="14" t="s">
        <v>179</v>
      </c>
      <c r="J877" s="14" t="s">
        <v>17622</v>
      </c>
      <c r="K877" s="14" t="s">
        <v>179</v>
      </c>
      <c r="L877" s="14" t="s">
        <v>17623</v>
      </c>
      <c r="M877" s="14" t="s">
        <v>179</v>
      </c>
      <c r="N877" s="14" t="s">
        <v>17624</v>
      </c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6" t="s">
        <v>197</v>
      </c>
      <c r="BP877" s="17" t="s">
        <v>198</v>
      </c>
      <c r="BQ877" s="18">
        <v>45694.37886574074</v>
      </c>
      <c r="BR877" s="17" t="s">
        <v>198</v>
      </c>
      <c r="BS877" s="18">
        <v>45694.37888888889</v>
      </c>
      <c r="BT877" s="17" t="s">
        <v>198</v>
      </c>
      <c r="BU877" s="18">
        <v>45694.37888888889</v>
      </c>
      <c r="BV877" s="13" t="s">
        <v>199</v>
      </c>
      <c r="BW877" s="14" t="s">
        <v>179</v>
      </c>
      <c r="BX877" s="14" t="s">
        <v>17625</v>
      </c>
      <c r="BY877" s="14" t="s">
        <v>179</v>
      </c>
      <c r="BZ877" s="14" t="s">
        <v>17626</v>
      </c>
      <c r="CA877" s="14" t="s">
        <v>179</v>
      </c>
      <c r="CB877" s="14" t="s">
        <v>17627</v>
      </c>
      <c r="CC877" s="15"/>
      <c r="CD877" s="15"/>
      <c r="CE877" s="15"/>
      <c r="CF877" s="15"/>
      <c r="CG877" s="19"/>
      <c r="CH877" s="15"/>
      <c r="CI877" s="19"/>
      <c r="CJ877" s="15"/>
      <c r="CK877" s="19"/>
      <c r="CL877" s="15"/>
      <c r="CM877" s="19"/>
      <c r="CN877" s="15"/>
      <c r="CO877" s="19"/>
      <c r="CP877" s="15"/>
      <c r="CQ877" s="15"/>
      <c r="CR877" s="15"/>
      <c r="CS877" s="19"/>
      <c r="CT877" s="15"/>
      <c r="CU877" s="19"/>
      <c r="CV877" s="15"/>
      <c r="CW877" s="19"/>
      <c r="CX877" s="15"/>
      <c r="CY877" s="19"/>
      <c r="CZ877" s="15"/>
      <c r="DA877" s="16" t="s">
        <v>197</v>
      </c>
      <c r="DB877" s="17" t="s">
        <v>228</v>
      </c>
      <c r="DC877" s="16"/>
      <c r="DD877" s="17" t="s">
        <v>198</v>
      </c>
      <c r="DE877" s="18">
        <v>45696.57275462963</v>
      </c>
      <c r="DF877" s="17" t="s">
        <v>198</v>
      </c>
      <c r="DG877" s="18">
        <v>45696.57275462963</v>
      </c>
      <c r="DH877" s="13" t="s">
        <v>205</v>
      </c>
      <c r="DI877" s="14" t="s">
        <v>179</v>
      </c>
      <c r="DJ877" s="14" t="s">
        <v>17628</v>
      </c>
      <c r="DK877" s="14" t="s">
        <v>179</v>
      </c>
      <c r="DL877" s="14" t="s">
        <v>17629</v>
      </c>
      <c r="DM877" s="15"/>
      <c r="DN877" s="15"/>
      <c r="DO877" s="15"/>
      <c r="DP877" s="15"/>
      <c r="DQ877" s="15"/>
      <c r="DR877" s="15"/>
      <c r="DS877" s="15"/>
      <c r="DT877" s="15"/>
      <c r="DU877" s="15"/>
      <c r="DV877" s="15"/>
      <c r="DW877" s="15"/>
      <c r="DX877" s="15"/>
      <c r="DY877" s="15"/>
      <c r="DZ877" s="15"/>
      <c r="EA877" s="15"/>
      <c r="EB877" s="15"/>
      <c r="EC877" s="16" t="s">
        <v>197</v>
      </c>
      <c r="ED877" s="17" t="s">
        <v>198</v>
      </c>
      <c r="EE877" s="18">
        <v>45720.60815972222</v>
      </c>
      <c r="EF877" s="13" t="s">
        <v>209</v>
      </c>
      <c r="EG877" s="14" t="s">
        <v>179</v>
      </c>
      <c r="EH877" s="14" t="s">
        <v>17630</v>
      </c>
      <c r="EI877" s="14" t="s">
        <v>179</v>
      </c>
      <c r="EJ877" s="14" t="s">
        <v>17631</v>
      </c>
      <c r="EK877" s="15"/>
      <c r="EL877" s="15"/>
      <c r="EM877" s="15"/>
      <c r="EN877" s="15"/>
      <c r="EO877" s="15"/>
      <c r="EP877" s="15"/>
      <c r="EQ877" s="15"/>
      <c r="ER877" s="15"/>
      <c r="ES877" s="15"/>
      <c r="ET877" s="15"/>
      <c r="EU877" s="15"/>
      <c r="EV877" s="15"/>
      <c r="EW877" s="15"/>
      <c r="EX877" s="15"/>
      <c r="EY877" s="15"/>
      <c r="EZ877" s="15"/>
      <c r="FA877" s="15"/>
      <c r="FB877" s="15"/>
      <c r="FC877" s="16" t="s">
        <v>197</v>
      </c>
      <c r="FD877" s="17" t="s">
        <v>198</v>
      </c>
      <c r="FE877" s="18">
        <v>45722.611180555556</v>
      </c>
      <c r="FF877" s="19"/>
      <c r="FG877" s="19"/>
      <c r="FH877" s="21" t="s">
        <v>197</v>
      </c>
      <c r="FI877" s="17" t="s">
        <v>214</v>
      </c>
      <c r="FJ877" s="18">
        <v>45722.611180555556</v>
      </c>
      <c r="FK877" s="14" t="s">
        <v>17631</v>
      </c>
      <c r="FL877" s="14" t="s">
        <v>17632</v>
      </c>
      <c r="FM877" s="14" t="s">
        <v>17633</v>
      </c>
      <c r="FN877" s="19"/>
      <c r="FO877" s="19"/>
      <c r="FP877" s="19" t="str">
        <f t="shared" si="1"/>
        <v>Base de Dados_Images/TIT70005.Imagem do Equipamento-.170601.jpg</v>
      </c>
      <c r="FQ877" s="19"/>
      <c r="FR877" s="19"/>
    </row>
    <row r="878" ht="15.75" customHeight="1">
      <c r="A878" s="12" t="s">
        <v>547</v>
      </c>
      <c r="B878" s="12" t="s">
        <v>3584</v>
      </c>
      <c r="C878" s="24" t="s">
        <v>375</v>
      </c>
      <c r="D878" s="22" t="s">
        <v>17634</v>
      </c>
      <c r="E878" s="22" t="s">
        <v>17635</v>
      </c>
      <c r="F878" s="13" t="s">
        <v>178</v>
      </c>
      <c r="G878" s="14" t="s">
        <v>179</v>
      </c>
      <c r="H878" s="14" t="s">
        <v>17636</v>
      </c>
      <c r="I878" s="14" t="s">
        <v>179</v>
      </c>
      <c r="J878" s="14" t="s">
        <v>17637</v>
      </c>
      <c r="K878" s="14" t="s">
        <v>179</v>
      </c>
      <c r="L878" s="14" t="s">
        <v>17638</v>
      </c>
      <c r="M878" s="14" t="s">
        <v>179</v>
      </c>
      <c r="N878" s="14" t="s">
        <v>17639</v>
      </c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6" t="s">
        <v>197</v>
      </c>
      <c r="BP878" s="17" t="s">
        <v>198</v>
      </c>
      <c r="BQ878" s="18">
        <v>45694.379328703704</v>
      </c>
      <c r="BR878" s="17" t="s">
        <v>198</v>
      </c>
      <c r="BS878" s="18">
        <v>45694.379375</v>
      </c>
      <c r="BT878" s="17" t="s">
        <v>198</v>
      </c>
      <c r="BU878" s="18">
        <v>45694.379375</v>
      </c>
      <c r="BV878" s="13" t="s">
        <v>199</v>
      </c>
      <c r="BW878" s="14" t="s">
        <v>179</v>
      </c>
      <c r="BX878" s="14" t="s">
        <v>17640</v>
      </c>
      <c r="BY878" s="14" t="s">
        <v>179</v>
      </c>
      <c r="BZ878" s="14" t="s">
        <v>17641</v>
      </c>
      <c r="CA878" s="14" t="s">
        <v>179</v>
      </c>
      <c r="CB878" s="14" t="s">
        <v>17642</v>
      </c>
      <c r="CC878" s="15"/>
      <c r="CD878" s="15"/>
      <c r="CE878" s="15"/>
      <c r="CF878" s="15"/>
      <c r="CG878" s="19"/>
      <c r="CH878" s="15"/>
      <c r="CI878" s="19"/>
      <c r="CJ878" s="15"/>
      <c r="CK878" s="19"/>
      <c r="CL878" s="15"/>
      <c r="CM878" s="19"/>
      <c r="CN878" s="15"/>
      <c r="CO878" s="19"/>
      <c r="CP878" s="15"/>
      <c r="CQ878" s="15"/>
      <c r="CR878" s="15"/>
      <c r="CS878" s="19"/>
      <c r="CT878" s="15"/>
      <c r="CU878" s="19"/>
      <c r="CV878" s="15"/>
      <c r="CW878" s="19"/>
      <c r="CX878" s="15"/>
      <c r="CY878" s="19"/>
      <c r="CZ878" s="15"/>
      <c r="DA878" s="16" t="s">
        <v>197</v>
      </c>
      <c r="DB878" s="17" t="s">
        <v>228</v>
      </c>
      <c r="DC878" s="16"/>
      <c r="DD878" s="17" t="s">
        <v>198</v>
      </c>
      <c r="DE878" s="18">
        <v>45696.574108796296</v>
      </c>
      <c r="DF878" s="17" t="s">
        <v>198</v>
      </c>
      <c r="DG878" s="18">
        <v>45696.574108796296</v>
      </c>
      <c r="DH878" s="13" t="s">
        <v>205</v>
      </c>
      <c r="DI878" s="14" t="s">
        <v>179</v>
      </c>
      <c r="DJ878" s="14" t="s">
        <v>17643</v>
      </c>
      <c r="DK878" s="14" t="s">
        <v>179</v>
      </c>
      <c r="DL878" s="14" t="s">
        <v>17644</v>
      </c>
      <c r="DM878" s="15"/>
      <c r="DN878" s="15"/>
      <c r="DO878" s="15"/>
      <c r="DP878" s="15"/>
      <c r="DQ878" s="15"/>
      <c r="DR878" s="15"/>
      <c r="DS878" s="15"/>
      <c r="DT878" s="15"/>
      <c r="DU878" s="15"/>
      <c r="DV878" s="15"/>
      <c r="DW878" s="15"/>
      <c r="DX878" s="15"/>
      <c r="DY878" s="15"/>
      <c r="DZ878" s="15"/>
      <c r="EA878" s="15"/>
      <c r="EB878" s="15"/>
      <c r="EC878" s="16" t="s">
        <v>197</v>
      </c>
      <c r="ED878" s="17" t="s">
        <v>198</v>
      </c>
      <c r="EE878" s="18">
        <v>45720.60826388889</v>
      </c>
      <c r="EF878" s="13" t="s">
        <v>209</v>
      </c>
      <c r="EG878" s="14" t="s">
        <v>179</v>
      </c>
      <c r="EH878" s="14" t="s">
        <v>17645</v>
      </c>
      <c r="EI878" s="14" t="s">
        <v>179</v>
      </c>
      <c r="EJ878" s="14" t="s">
        <v>17646</v>
      </c>
      <c r="EK878" s="15"/>
      <c r="EL878" s="15"/>
      <c r="EM878" s="15"/>
      <c r="EN878" s="15"/>
      <c r="EO878" s="15"/>
      <c r="EP878" s="15"/>
      <c r="EQ878" s="15"/>
      <c r="ER878" s="15"/>
      <c r="ES878" s="15"/>
      <c r="ET878" s="15"/>
      <c r="EU878" s="15"/>
      <c r="EV878" s="15"/>
      <c r="EW878" s="15"/>
      <c r="EX878" s="15"/>
      <c r="EY878" s="15"/>
      <c r="EZ878" s="15"/>
      <c r="FA878" s="15"/>
      <c r="FB878" s="15"/>
      <c r="FC878" s="16" t="s">
        <v>197</v>
      </c>
      <c r="FD878" s="17" t="s">
        <v>198</v>
      </c>
      <c r="FE878" s="18">
        <v>45722.61158564815</v>
      </c>
      <c r="FF878" s="19"/>
      <c r="FG878" s="19"/>
      <c r="FH878" s="21" t="s">
        <v>197</v>
      </c>
      <c r="FI878" s="17" t="s">
        <v>214</v>
      </c>
      <c r="FJ878" s="18">
        <v>45722.61158564815</v>
      </c>
      <c r="FK878" s="14" t="s">
        <v>17646</v>
      </c>
      <c r="FL878" s="14" t="s">
        <v>17647</v>
      </c>
      <c r="FM878" s="14" t="s">
        <v>17648</v>
      </c>
      <c r="FN878" s="19"/>
      <c r="FO878" s="19"/>
      <c r="FP878" s="19" t="str">
        <f t="shared" si="1"/>
        <v>Base de Dados_Images/TIT70006.Imagem do Equipamento-.170618.jpg</v>
      </c>
      <c r="FQ878" s="19"/>
      <c r="FR878" s="19"/>
    </row>
    <row r="879" ht="15.75" customHeight="1">
      <c r="A879" s="12" t="s">
        <v>547</v>
      </c>
      <c r="B879" s="12" t="s">
        <v>3584</v>
      </c>
      <c r="C879" s="24" t="s">
        <v>375</v>
      </c>
      <c r="D879" s="22" t="s">
        <v>17649</v>
      </c>
      <c r="E879" s="22" t="s">
        <v>17650</v>
      </c>
      <c r="F879" s="13" t="s">
        <v>178</v>
      </c>
      <c r="G879" s="14" t="s">
        <v>179</v>
      </c>
      <c r="H879" s="14" t="s">
        <v>17651</v>
      </c>
      <c r="I879" s="14" t="s">
        <v>179</v>
      </c>
      <c r="J879" s="14" t="s">
        <v>17652</v>
      </c>
      <c r="K879" s="14" t="s">
        <v>179</v>
      </c>
      <c r="L879" s="14" t="s">
        <v>17653</v>
      </c>
      <c r="M879" s="14" t="s">
        <v>179</v>
      </c>
      <c r="N879" s="14" t="s">
        <v>17654</v>
      </c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6" t="s">
        <v>197</v>
      </c>
      <c r="BP879" s="17" t="s">
        <v>198</v>
      </c>
      <c r="BQ879" s="18">
        <v>45694.37957175926</v>
      </c>
      <c r="BR879" s="17" t="s">
        <v>198</v>
      </c>
      <c r="BS879" s="18">
        <v>45694.37962962963</v>
      </c>
      <c r="BT879" s="17" t="s">
        <v>198</v>
      </c>
      <c r="BU879" s="18">
        <v>45694.37962962963</v>
      </c>
      <c r="BV879" s="13" t="s">
        <v>199</v>
      </c>
      <c r="BW879" s="14" t="s">
        <v>179</v>
      </c>
      <c r="BX879" s="14" t="s">
        <v>17655</v>
      </c>
      <c r="BY879" s="14" t="s">
        <v>179</v>
      </c>
      <c r="BZ879" s="14" t="s">
        <v>17656</v>
      </c>
      <c r="CA879" s="14" t="s">
        <v>179</v>
      </c>
      <c r="CB879" s="14" t="s">
        <v>17657</v>
      </c>
      <c r="CC879" s="15"/>
      <c r="CD879" s="15"/>
      <c r="CE879" s="15"/>
      <c r="CF879" s="15"/>
      <c r="CG879" s="19"/>
      <c r="CH879" s="15"/>
      <c r="CI879" s="19"/>
      <c r="CJ879" s="15"/>
      <c r="CK879" s="19"/>
      <c r="CL879" s="15"/>
      <c r="CM879" s="19"/>
      <c r="CN879" s="15"/>
      <c r="CO879" s="19"/>
      <c r="CP879" s="15"/>
      <c r="CQ879" s="15"/>
      <c r="CR879" s="15"/>
      <c r="CS879" s="19"/>
      <c r="CT879" s="15"/>
      <c r="CU879" s="19"/>
      <c r="CV879" s="15"/>
      <c r="CW879" s="19"/>
      <c r="CX879" s="15"/>
      <c r="CY879" s="19"/>
      <c r="CZ879" s="15"/>
      <c r="DA879" s="16" t="s">
        <v>197</v>
      </c>
      <c r="DB879" s="17" t="s">
        <v>228</v>
      </c>
      <c r="DC879" s="16"/>
      <c r="DD879" s="17" t="s">
        <v>198</v>
      </c>
      <c r="DE879" s="18">
        <v>45696.57424768519</v>
      </c>
      <c r="DF879" s="17" t="s">
        <v>198</v>
      </c>
      <c r="DG879" s="18">
        <v>45696.57424768519</v>
      </c>
      <c r="DH879" s="13" t="s">
        <v>205</v>
      </c>
      <c r="DI879" s="14" t="s">
        <v>179</v>
      </c>
      <c r="DJ879" s="14" t="s">
        <v>17658</v>
      </c>
      <c r="DK879" s="14" t="s">
        <v>179</v>
      </c>
      <c r="DL879" s="14" t="s">
        <v>17659</v>
      </c>
      <c r="DM879" s="15"/>
      <c r="DN879" s="15"/>
      <c r="DO879" s="15"/>
      <c r="DP879" s="15"/>
      <c r="DQ879" s="15"/>
      <c r="DR879" s="15"/>
      <c r="DS879" s="15"/>
      <c r="DT879" s="15"/>
      <c r="DU879" s="15"/>
      <c r="DV879" s="15"/>
      <c r="DW879" s="15"/>
      <c r="DX879" s="15"/>
      <c r="DY879" s="15"/>
      <c r="DZ879" s="15"/>
      <c r="EA879" s="15"/>
      <c r="EB879" s="15"/>
      <c r="EC879" s="16" t="s">
        <v>197</v>
      </c>
      <c r="ED879" s="17" t="s">
        <v>198</v>
      </c>
      <c r="EE879" s="18">
        <v>45720.60836805555</v>
      </c>
      <c r="EF879" s="13" t="s">
        <v>209</v>
      </c>
      <c r="EG879" s="14" t="s">
        <v>179</v>
      </c>
      <c r="EH879" s="14" t="s">
        <v>17660</v>
      </c>
      <c r="EI879" s="14" t="s">
        <v>179</v>
      </c>
      <c r="EJ879" s="14" t="s">
        <v>17661</v>
      </c>
      <c r="EK879" s="15"/>
      <c r="EL879" s="15"/>
      <c r="EM879" s="15"/>
      <c r="EN879" s="15"/>
      <c r="EO879" s="15"/>
      <c r="EP879" s="15"/>
      <c r="EQ879" s="15"/>
      <c r="ER879" s="15"/>
      <c r="ES879" s="15"/>
      <c r="ET879" s="15"/>
      <c r="EU879" s="15"/>
      <c r="EV879" s="15"/>
      <c r="EW879" s="15"/>
      <c r="EX879" s="15"/>
      <c r="EY879" s="15"/>
      <c r="EZ879" s="15"/>
      <c r="FA879" s="15"/>
      <c r="FB879" s="15"/>
      <c r="FC879" s="16" t="s">
        <v>197</v>
      </c>
      <c r="FD879" s="17" t="s">
        <v>198</v>
      </c>
      <c r="FE879" s="18">
        <v>45722.611875</v>
      </c>
      <c r="FF879" s="19"/>
      <c r="FG879" s="19"/>
      <c r="FH879" s="21" t="s">
        <v>197</v>
      </c>
      <c r="FI879" s="17" t="s">
        <v>214</v>
      </c>
      <c r="FJ879" s="18">
        <v>45722.611875</v>
      </c>
      <c r="FK879" s="14" t="s">
        <v>17661</v>
      </c>
      <c r="FL879" s="14" t="s">
        <v>17662</v>
      </c>
      <c r="FM879" s="14" t="s">
        <v>17663</v>
      </c>
      <c r="FN879" s="19"/>
      <c r="FO879" s="19"/>
      <c r="FP879" s="19" t="str">
        <f t="shared" si="1"/>
        <v>Base de Dados_Images/TIT70007.Imagem do Equipamento-.170624.jpg</v>
      </c>
      <c r="FQ879" s="19"/>
      <c r="FR879" s="19"/>
    </row>
    <row r="880" ht="15.75" customHeight="1">
      <c r="A880" s="12" t="s">
        <v>547</v>
      </c>
      <c r="B880" s="12" t="s">
        <v>548</v>
      </c>
      <c r="C880" s="24" t="s">
        <v>375</v>
      </c>
      <c r="D880" s="22" t="s">
        <v>17664</v>
      </c>
      <c r="E880" s="22" t="s">
        <v>17665</v>
      </c>
      <c r="F880" s="13" t="s">
        <v>178</v>
      </c>
      <c r="G880" s="14" t="s">
        <v>179</v>
      </c>
      <c r="H880" s="14" t="s">
        <v>17666</v>
      </c>
      <c r="I880" s="14" t="s">
        <v>179</v>
      </c>
      <c r="J880" s="14" t="s">
        <v>17667</v>
      </c>
      <c r="K880" s="14" t="s">
        <v>179</v>
      </c>
      <c r="L880" s="14" t="s">
        <v>17668</v>
      </c>
      <c r="M880" s="14" t="s">
        <v>179</v>
      </c>
      <c r="N880" s="14" t="s">
        <v>17669</v>
      </c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6" t="s">
        <v>197</v>
      </c>
      <c r="BP880" s="17" t="s">
        <v>198</v>
      </c>
      <c r="BQ880" s="18">
        <v>45678.59951388889</v>
      </c>
      <c r="BR880" s="17" t="s">
        <v>198</v>
      </c>
      <c r="BS880" s="18">
        <v>45678.59976851852</v>
      </c>
      <c r="BT880" s="17" t="s">
        <v>198</v>
      </c>
      <c r="BU880" s="18">
        <v>45678.59976851852</v>
      </c>
      <c r="BV880" s="13" t="s">
        <v>199</v>
      </c>
      <c r="BW880" s="14" t="s">
        <v>179</v>
      </c>
      <c r="BX880" s="14" t="s">
        <v>17670</v>
      </c>
      <c r="BY880" s="14" t="s">
        <v>179</v>
      </c>
      <c r="BZ880" s="14" t="s">
        <v>17671</v>
      </c>
      <c r="CA880" s="14" t="s">
        <v>179</v>
      </c>
      <c r="CB880" s="14" t="s">
        <v>17672</v>
      </c>
      <c r="CC880" s="15"/>
      <c r="CD880" s="15"/>
      <c r="CE880" s="15"/>
      <c r="CF880" s="15"/>
      <c r="CG880" s="19"/>
      <c r="CH880" s="15"/>
      <c r="CI880" s="19"/>
      <c r="CJ880" s="15"/>
      <c r="CK880" s="19"/>
      <c r="CL880" s="15"/>
      <c r="CM880" s="19"/>
      <c r="CN880" s="15"/>
      <c r="CO880" s="19"/>
      <c r="CP880" s="15"/>
      <c r="CQ880" s="15"/>
      <c r="CR880" s="15"/>
      <c r="CS880" s="19"/>
      <c r="CT880" s="15"/>
      <c r="CU880" s="19"/>
      <c r="CV880" s="15"/>
      <c r="CW880" s="19"/>
      <c r="CX880" s="15"/>
      <c r="CY880" s="19"/>
      <c r="CZ880" s="15"/>
      <c r="DA880" s="16" t="s">
        <v>197</v>
      </c>
      <c r="DB880" s="17" t="s">
        <v>228</v>
      </c>
      <c r="DC880" s="16"/>
      <c r="DD880" s="17" t="s">
        <v>198</v>
      </c>
      <c r="DE880" s="18">
        <v>45696.57543981481</v>
      </c>
      <c r="DF880" s="17" t="s">
        <v>198</v>
      </c>
      <c r="DG880" s="18">
        <v>45696.57543981481</v>
      </c>
      <c r="DH880" s="13" t="s">
        <v>205</v>
      </c>
      <c r="DI880" s="14" t="s">
        <v>179</v>
      </c>
      <c r="DJ880" s="14" t="s">
        <v>17673</v>
      </c>
      <c r="DK880" s="14" t="s">
        <v>179</v>
      </c>
      <c r="DL880" s="14" t="s">
        <v>17674</v>
      </c>
      <c r="DM880" s="15"/>
      <c r="DN880" s="15"/>
      <c r="DO880" s="15"/>
      <c r="DP880" s="15"/>
      <c r="DQ880" s="15"/>
      <c r="DR880" s="15"/>
      <c r="DS880" s="15"/>
      <c r="DT880" s="15"/>
      <c r="DU880" s="15"/>
      <c r="DV880" s="15"/>
      <c r="DW880" s="15"/>
      <c r="DX880" s="15"/>
      <c r="DY880" s="15"/>
      <c r="DZ880" s="15"/>
      <c r="EA880" s="15"/>
      <c r="EB880" s="15"/>
      <c r="EC880" s="16" t="s">
        <v>197</v>
      </c>
      <c r="ED880" s="17" t="s">
        <v>198</v>
      </c>
      <c r="EE880" s="18">
        <v>45720.60953703704</v>
      </c>
      <c r="EF880" s="13" t="s">
        <v>209</v>
      </c>
      <c r="EG880" s="14" t="s">
        <v>179</v>
      </c>
      <c r="EH880" s="14" t="s">
        <v>17675</v>
      </c>
      <c r="EI880" s="14" t="s">
        <v>179</v>
      </c>
      <c r="EJ880" s="14" t="s">
        <v>17676</v>
      </c>
      <c r="EK880" s="15"/>
      <c r="EL880" s="15"/>
      <c r="EM880" s="15"/>
      <c r="EN880" s="15"/>
      <c r="EO880" s="15"/>
      <c r="EP880" s="15"/>
      <c r="EQ880" s="15"/>
      <c r="ER880" s="15"/>
      <c r="ES880" s="15"/>
      <c r="ET880" s="15"/>
      <c r="EU880" s="15"/>
      <c r="EV880" s="15"/>
      <c r="EW880" s="15"/>
      <c r="EX880" s="15"/>
      <c r="EY880" s="15"/>
      <c r="EZ880" s="15"/>
      <c r="FA880" s="15"/>
      <c r="FB880" s="15"/>
      <c r="FC880" s="16" t="s">
        <v>197</v>
      </c>
      <c r="FD880" s="17" t="s">
        <v>198</v>
      </c>
      <c r="FE880" s="18">
        <v>45722.61363425926</v>
      </c>
      <c r="FF880" s="19"/>
      <c r="FG880" s="19"/>
      <c r="FH880" s="21" t="s">
        <v>197</v>
      </c>
      <c r="FI880" s="17" t="s">
        <v>214</v>
      </c>
      <c r="FJ880" s="18">
        <v>45722.61363425926</v>
      </c>
      <c r="FK880" s="14" t="s">
        <v>17676</v>
      </c>
      <c r="FL880" s="14" t="s">
        <v>17677</v>
      </c>
      <c r="FM880" s="14" t="s">
        <v>17678</v>
      </c>
      <c r="FN880" s="19"/>
      <c r="FO880" s="19"/>
      <c r="FP880" s="19" t="str">
        <f t="shared" si="1"/>
        <v>Base de Dados_Images/TIT70010.Imagem do Equipamento-.184447.jpg</v>
      </c>
      <c r="FQ880" s="19"/>
      <c r="FR880" s="19"/>
    </row>
    <row r="881" ht="15.75" customHeight="1">
      <c r="A881" s="12" t="s">
        <v>547</v>
      </c>
      <c r="B881" s="12" t="s">
        <v>548</v>
      </c>
      <c r="C881" s="24" t="s">
        <v>375</v>
      </c>
      <c r="D881" s="22" t="s">
        <v>17679</v>
      </c>
      <c r="E881" s="22" t="s">
        <v>17680</v>
      </c>
      <c r="F881" s="13" t="s">
        <v>178</v>
      </c>
      <c r="G881" s="14" t="s">
        <v>179</v>
      </c>
      <c r="H881" s="14" t="s">
        <v>17681</v>
      </c>
      <c r="I881" s="14" t="s">
        <v>179</v>
      </c>
      <c r="J881" s="14" t="s">
        <v>17682</v>
      </c>
      <c r="K881" s="14" t="s">
        <v>179</v>
      </c>
      <c r="L881" s="14" t="s">
        <v>17683</v>
      </c>
      <c r="M881" s="14" t="s">
        <v>179</v>
      </c>
      <c r="N881" s="14" t="s">
        <v>17682</v>
      </c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6" t="s">
        <v>197</v>
      </c>
      <c r="BP881" s="17" t="s">
        <v>198</v>
      </c>
      <c r="BQ881" s="18">
        <v>45686.81741898148</v>
      </c>
      <c r="BR881" s="17" t="s">
        <v>198</v>
      </c>
      <c r="BS881" s="18">
        <v>45686.817453703705</v>
      </c>
      <c r="BT881" s="17" t="s">
        <v>198</v>
      </c>
      <c r="BU881" s="18">
        <v>45686.817453703705</v>
      </c>
      <c r="BV881" s="13" t="s">
        <v>199</v>
      </c>
      <c r="BW881" s="14" t="s">
        <v>179</v>
      </c>
      <c r="BX881" s="14" t="s">
        <v>17684</v>
      </c>
      <c r="BY881" s="14" t="s">
        <v>179</v>
      </c>
      <c r="BZ881" s="14" t="s">
        <v>17684</v>
      </c>
      <c r="CA881" s="14" t="s">
        <v>179</v>
      </c>
      <c r="CB881" s="14" t="s">
        <v>17685</v>
      </c>
      <c r="CC881" s="15"/>
      <c r="CD881" s="15"/>
      <c r="CE881" s="15"/>
      <c r="CF881" s="15"/>
      <c r="CG881" s="19"/>
      <c r="CH881" s="15"/>
      <c r="CI881" s="19"/>
      <c r="CJ881" s="15"/>
      <c r="CK881" s="19"/>
      <c r="CL881" s="15"/>
      <c r="CM881" s="19"/>
      <c r="CN881" s="15"/>
      <c r="CO881" s="19"/>
      <c r="CP881" s="15"/>
      <c r="CQ881" s="15"/>
      <c r="CR881" s="15"/>
      <c r="CS881" s="19"/>
      <c r="CT881" s="15"/>
      <c r="CU881" s="19"/>
      <c r="CV881" s="15"/>
      <c r="CW881" s="19"/>
      <c r="CX881" s="15"/>
      <c r="CY881" s="19"/>
      <c r="CZ881" s="15"/>
      <c r="DA881" s="16" t="s">
        <v>197</v>
      </c>
      <c r="DB881" s="17" t="s">
        <v>228</v>
      </c>
      <c r="DC881" s="16"/>
      <c r="DD881" s="17" t="s">
        <v>198</v>
      </c>
      <c r="DE881" s="18">
        <v>45696.576053240744</v>
      </c>
      <c r="DF881" s="17" t="s">
        <v>198</v>
      </c>
      <c r="DG881" s="18">
        <v>45696.576053240744</v>
      </c>
      <c r="DH881" s="13" t="s">
        <v>205</v>
      </c>
      <c r="DI881" s="14" t="s">
        <v>179</v>
      </c>
      <c r="DJ881" s="14" t="s">
        <v>17686</v>
      </c>
      <c r="DK881" s="14" t="s">
        <v>179</v>
      </c>
      <c r="DL881" s="14" t="s">
        <v>17686</v>
      </c>
      <c r="DM881" s="15"/>
      <c r="DN881" s="15"/>
      <c r="DO881" s="15"/>
      <c r="DP881" s="15"/>
      <c r="DQ881" s="15"/>
      <c r="DR881" s="15"/>
      <c r="DS881" s="15"/>
      <c r="DT881" s="15"/>
      <c r="DU881" s="15"/>
      <c r="DV881" s="15"/>
      <c r="DW881" s="15"/>
      <c r="DX881" s="15"/>
      <c r="DY881" s="15"/>
      <c r="DZ881" s="15"/>
      <c r="EA881" s="15"/>
      <c r="EB881" s="15"/>
      <c r="EC881" s="16" t="s">
        <v>197</v>
      </c>
      <c r="ED881" s="17" t="s">
        <v>198</v>
      </c>
      <c r="EE881" s="18">
        <v>45720.609618055554</v>
      </c>
      <c r="EF881" s="13" t="s">
        <v>209</v>
      </c>
      <c r="EG881" s="14" t="s">
        <v>179</v>
      </c>
      <c r="EH881" s="14" t="s">
        <v>17687</v>
      </c>
      <c r="EI881" s="14" t="s">
        <v>179</v>
      </c>
      <c r="EJ881" s="14" t="s">
        <v>17688</v>
      </c>
      <c r="EK881" s="15"/>
      <c r="EL881" s="15"/>
      <c r="EM881" s="15"/>
      <c r="EN881" s="15"/>
      <c r="EO881" s="15"/>
      <c r="EP881" s="15"/>
      <c r="EQ881" s="15"/>
      <c r="ER881" s="15"/>
      <c r="ES881" s="15"/>
      <c r="ET881" s="15"/>
      <c r="EU881" s="15"/>
      <c r="EV881" s="15"/>
      <c r="EW881" s="15"/>
      <c r="EX881" s="15"/>
      <c r="EY881" s="15"/>
      <c r="EZ881" s="15"/>
      <c r="FA881" s="15"/>
      <c r="FB881" s="15"/>
      <c r="FC881" s="16" t="s">
        <v>197</v>
      </c>
      <c r="FD881" s="17" t="s">
        <v>198</v>
      </c>
      <c r="FE881" s="18">
        <v>45722.61513888889</v>
      </c>
      <c r="FF881" s="19"/>
      <c r="FG881" s="19"/>
      <c r="FH881" s="21" t="s">
        <v>197</v>
      </c>
      <c r="FI881" s="17" t="s">
        <v>214</v>
      </c>
      <c r="FJ881" s="18">
        <v>45722.61513888889</v>
      </c>
      <c r="FK881" s="14" t="s">
        <v>17688</v>
      </c>
      <c r="FL881" s="14" t="s">
        <v>17689</v>
      </c>
      <c r="FM881" s="14" t="s">
        <v>17690</v>
      </c>
      <c r="FN881" s="19"/>
      <c r="FO881" s="19"/>
      <c r="FP881" s="19" t="str">
        <f t="shared" si="1"/>
        <v>Base de Dados_Images/TIT70011.Imagem do Equipamento-.223857.jpg</v>
      </c>
      <c r="FQ881" s="19"/>
      <c r="FR881" s="19"/>
    </row>
    <row r="882" ht="15.75" customHeight="1">
      <c r="A882" s="12" t="s">
        <v>547</v>
      </c>
      <c r="B882" s="12" t="s">
        <v>12936</v>
      </c>
      <c r="C882" s="24" t="s">
        <v>375</v>
      </c>
      <c r="D882" s="22" t="s">
        <v>17691</v>
      </c>
      <c r="E882" s="22" t="s">
        <v>17692</v>
      </c>
      <c r="F882" s="13" t="s">
        <v>178</v>
      </c>
      <c r="G882" s="14" t="s">
        <v>179</v>
      </c>
      <c r="H882" s="14" t="s">
        <v>17693</v>
      </c>
      <c r="I882" s="14" t="s">
        <v>179</v>
      </c>
      <c r="J882" s="14" t="s">
        <v>17693</v>
      </c>
      <c r="K882" s="14" t="s">
        <v>179</v>
      </c>
      <c r="L882" s="14" t="s">
        <v>17694</v>
      </c>
      <c r="M882" s="14" t="s">
        <v>179</v>
      </c>
      <c r="N882" s="14" t="s">
        <v>17695</v>
      </c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6" t="s">
        <v>197</v>
      </c>
      <c r="BP882" s="17" t="s">
        <v>198</v>
      </c>
      <c r="BQ882" s="18">
        <v>45688.638125</v>
      </c>
      <c r="BR882" s="17" t="s">
        <v>198</v>
      </c>
      <c r="BS882" s="18">
        <v>45688.63814814815</v>
      </c>
      <c r="BT882" s="17" t="s">
        <v>198</v>
      </c>
      <c r="BU882" s="18">
        <v>45688.63814814815</v>
      </c>
      <c r="BV882" s="13" t="s">
        <v>199</v>
      </c>
      <c r="BW882" s="14" t="s">
        <v>179</v>
      </c>
      <c r="BX882" s="14" t="s">
        <v>17696</v>
      </c>
      <c r="BY882" s="14" t="s">
        <v>179</v>
      </c>
      <c r="BZ882" s="14" t="s">
        <v>17696</v>
      </c>
      <c r="CA882" s="14" t="s">
        <v>179</v>
      </c>
      <c r="CB882" s="14" t="s">
        <v>17697</v>
      </c>
      <c r="CC882" s="15"/>
      <c r="CD882" s="15"/>
      <c r="CE882" s="15"/>
      <c r="CF882" s="15"/>
      <c r="CG882" s="19"/>
      <c r="CH882" s="15"/>
      <c r="CI882" s="19"/>
      <c r="CJ882" s="15"/>
      <c r="CK882" s="19"/>
      <c r="CL882" s="15"/>
      <c r="CM882" s="19"/>
      <c r="CN882" s="15"/>
      <c r="CO882" s="19"/>
      <c r="CP882" s="15"/>
      <c r="CQ882" s="15"/>
      <c r="CR882" s="15"/>
      <c r="CS882" s="19"/>
      <c r="CT882" s="15"/>
      <c r="CU882" s="19"/>
      <c r="CV882" s="15"/>
      <c r="CW882" s="19"/>
      <c r="CX882" s="15"/>
      <c r="CY882" s="19"/>
      <c r="CZ882" s="15"/>
      <c r="DA882" s="16" t="s">
        <v>197</v>
      </c>
      <c r="DB882" s="17" t="s">
        <v>228</v>
      </c>
      <c r="DC882" s="16"/>
      <c r="DD882" s="17" t="s">
        <v>198</v>
      </c>
      <c r="DE882" s="18">
        <v>45688.63821759259</v>
      </c>
      <c r="DF882" s="17" t="s">
        <v>198</v>
      </c>
      <c r="DG882" s="18">
        <v>45688.63821759259</v>
      </c>
      <c r="DH882" s="13" t="s">
        <v>205</v>
      </c>
      <c r="DI882" s="14" t="s">
        <v>179</v>
      </c>
      <c r="DJ882" s="14" t="s">
        <v>17698</v>
      </c>
      <c r="DK882" s="14" t="s">
        <v>179</v>
      </c>
      <c r="DL882" s="14" t="s">
        <v>17699</v>
      </c>
      <c r="DM882" s="15"/>
      <c r="DN882" s="15"/>
      <c r="DO882" s="15"/>
      <c r="DP882" s="15"/>
      <c r="DQ882" s="15"/>
      <c r="DR882" s="15"/>
      <c r="DS882" s="15"/>
      <c r="DT882" s="15"/>
      <c r="DU882" s="15"/>
      <c r="DV882" s="15"/>
      <c r="DW882" s="15"/>
      <c r="DX882" s="15"/>
      <c r="DY882" s="15"/>
      <c r="DZ882" s="15"/>
      <c r="EA882" s="15"/>
      <c r="EB882" s="15"/>
      <c r="EC882" s="16" t="s">
        <v>197</v>
      </c>
      <c r="ED882" s="17" t="s">
        <v>198</v>
      </c>
      <c r="EE882" s="18">
        <v>45720.61099537037</v>
      </c>
      <c r="EF882" s="13" t="s">
        <v>209</v>
      </c>
      <c r="EG882" s="14" t="s">
        <v>179</v>
      </c>
      <c r="EH882" s="14" t="s">
        <v>17700</v>
      </c>
      <c r="EI882" s="14" t="s">
        <v>179</v>
      </c>
      <c r="EJ882" s="14" t="s">
        <v>17700</v>
      </c>
      <c r="EK882" s="15"/>
      <c r="EL882" s="15"/>
      <c r="EM882" s="15"/>
      <c r="EN882" s="15"/>
      <c r="EO882" s="15"/>
      <c r="EP882" s="15"/>
      <c r="EQ882" s="15"/>
      <c r="ER882" s="15"/>
      <c r="ES882" s="15"/>
      <c r="ET882" s="15"/>
      <c r="EU882" s="15"/>
      <c r="EV882" s="15"/>
      <c r="EW882" s="15"/>
      <c r="EX882" s="15"/>
      <c r="EY882" s="15"/>
      <c r="EZ882" s="15"/>
      <c r="FA882" s="15"/>
      <c r="FB882" s="15"/>
      <c r="FC882" s="16" t="s">
        <v>197</v>
      </c>
      <c r="FD882" s="17" t="s">
        <v>198</v>
      </c>
      <c r="FE882" s="18">
        <v>45722.61854166666</v>
      </c>
      <c r="FF882" s="19"/>
      <c r="FG882" s="19"/>
      <c r="FH882" s="21" t="s">
        <v>197</v>
      </c>
      <c r="FI882" s="17" t="s">
        <v>214</v>
      </c>
      <c r="FJ882" s="18">
        <v>45722.61854166666</v>
      </c>
      <c r="FK882" s="14" t="s">
        <v>17700</v>
      </c>
      <c r="FL882" s="14" t="s">
        <v>17701</v>
      </c>
      <c r="FM882" s="14" t="s">
        <v>17702</v>
      </c>
      <c r="FN882" s="19"/>
      <c r="FO882" s="19"/>
      <c r="FP882" s="19" t="str">
        <f t="shared" si="1"/>
        <v>Base de Dados_Images/TIT70012.Imagem do Equipamento-.182021.jpg</v>
      </c>
      <c r="FQ882" s="19"/>
      <c r="FR882" s="19"/>
    </row>
    <row r="883" ht="15.75" customHeight="1">
      <c r="A883" s="12" t="s">
        <v>547</v>
      </c>
      <c r="B883" s="12" t="s">
        <v>548</v>
      </c>
      <c r="C883" s="24" t="s">
        <v>375</v>
      </c>
      <c r="D883" s="22" t="s">
        <v>17703</v>
      </c>
      <c r="E883" s="22" t="s">
        <v>17704</v>
      </c>
      <c r="F883" s="13" t="s">
        <v>178</v>
      </c>
      <c r="G883" s="14" t="s">
        <v>179</v>
      </c>
      <c r="H883" s="14" t="s">
        <v>17705</v>
      </c>
      <c r="I883" s="14" t="s">
        <v>179</v>
      </c>
      <c r="J883" s="14" t="s">
        <v>17706</v>
      </c>
      <c r="K883" s="14" t="s">
        <v>179</v>
      </c>
      <c r="L883" s="14" t="s">
        <v>17707</v>
      </c>
      <c r="M883" s="14" t="s">
        <v>179</v>
      </c>
      <c r="N883" s="14" t="s">
        <v>17706</v>
      </c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6" t="s">
        <v>197</v>
      </c>
      <c r="BP883" s="17" t="s">
        <v>198</v>
      </c>
      <c r="BQ883" s="18">
        <v>45686.810162037036</v>
      </c>
      <c r="BR883" s="17" t="s">
        <v>198</v>
      </c>
      <c r="BS883" s="18">
        <v>45686.81023148148</v>
      </c>
      <c r="BT883" s="17" t="s">
        <v>198</v>
      </c>
      <c r="BU883" s="18">
        <v>45686.81023148148</v>
      </c>
      <c r="BV883" s="13" t="s">
        <v>199</v>
      </c>
      <c r="BW883" s="14" t="s">
        <v>179</v>
      </c>
      <c r="BX883" s="14" t="s">
        <v>17708</v>
      </c>
      <c r="BY883" s="14" t="s">
        <v>179</v>
      </c>
      <c r="BZ883" s="14" t="s">
        <v>17709</v>
      </c>
      <c r="CA883" s="14" t="s">
        <v>179</v>
      </c>
      <c r="CB883" s="14" t="s">
        <v>17710</v>
      </c>
      <c r="CC883" s="15"/>
      <c r="CD883" s="15"/>
      <c r="CE883" s="15"/>
      <c r="CF883" s="15"/>
      <c r="CG883" s="19"/>
      <c r="CH883" s="15"/>
      <c r="CI883" s="19"/>
      <c r="CJ883" s="15"/>
      <c r="CK883" s="19"/>
      <c r="CL883" s="15"/>
      <c r="CM883" s="19"/>
      <c r="CN883" s="15"/>
      <c r="CO883" s="19"/>
      <c r="CP883" s="15"/>
      <c r="CQ883" s="15"/>
      <c r="CR883" s="15"/>
      <c r="CS883" s="19"/>
      <c r="CT883" s="15"/>
      <c r="CU883" s="19"/>
      <c r="CV883" s="15"/>
      <c r="CW883" s="19"/>
      <c r="CX883" s="15"/>
      <c r="CY883" s="19"/>
      <c r="CZ883" s="15"/>
      <c r="DA883" s="16" t="s">
        <v>197</v>
      </c>
      <c r="DB883" s="17" t="s">
        <v>228</v>
      </c>
      <c r="DC883" s="16"/>
      <c r="DD883" s="17" t="s">
        <v>198</v>
      </c>
      <c r="DE883" s="18">
        <v>45696.57628472222</v>
      </c>
      <c r="DF883" s="17" t="s">
        <v>198</v>
      </c>
      <c r="DG883" s="18">
        <v>45696.57628472222</v>
      </c>
      <c r="DH883" s="13" t="s">
        <v>205</v>
      </c>
      <c r="DI883" s="14" t="s">
        <v>179</v>
      </c>
      <c r="DJ883" s="14" t="s">
        <v>17711</v>
      </c>
      <c r="DK883" s="14" t="s">
        <v>179</v>
      </c>
      <c r="DL883" s="14" t="s">
        <v>17712</v>
      </c>
      <c r="DM883" s="15"/>
      <c r="DN883" s="15"/>
      <c r="DO883" s="15"/>
      <c r="DP883" s="15"/>
      <c r="DQ883" s="15"/>
      <c r="DR883" s="15"/>
      <c r="DS883" s="15"/>
      <c r="DT883" s="15"/>
      <c r="DU883" s="15"/>
      <c r="DV883" s="15"/>
      <c r="DW883" s="15"/>
      <c r="DX883" s="15"/>
      <c r="DY883" s="15"/>
      <c r="DZ883" s="15"/>
      <c r="EA883" s="15"/>
      <c r="EB883" s="15"/>
      <c r="EC883" s="16" t="s">
        <v>197</v>
      </c>
      <c r="ED883" s="17" t="s">
        <v>198</v>
      </c>
      <c r="EE883" s="18">
        <v>45720.60971064815</v>
      </c>
      <c r="EF883" s="13" t="s">
        <v>209</v>
      </c>
      <c r="EG883" s="14" t="s">
        <v>179</v>
      </c>
      <c r="EH883" s="14" t="s">
        <v>17713</v>
      </c>
      <c r="EI883" s="14" t="s">
        <v>179</v>
      </c>
      <c r="EJ883" s="14" t="s">
        <v>17714</v>
      </c>
      <c r="EK883" s="15"/>
      <c r="EL883" s="15"/>
      <c r="EM883" s="15"/>
      <c r="EN883" s="15"/>
      <c r="EO883" s="15"/>
      <c r="EP883" s="15"/>
      <c r="EQ883" s="15"/>
      <c r="ER883" s="15"/>
      <c r="ES883" s="15"/>
      <c r="ET883" s="15"/>
      <c r="EU883" s="15"/>
      <c r="EV883" s="15"/>
      <c r="EW883" s="15"/>
      <c r="EX883" s="15"/>
      <c r="EY883" s="15"/>
      <c r="EZ883" s="15"/>
      <c r="FA883" s="15"/>
      <c r="FB883" s="15"/>
      <c r="FC883" s="16" t="s">
        <v>197</v>
      </c>
      <c r="FD883" s="17" t="s">
        <v>198</v>
      </c>
      <c r="FE883" s="18">
        <v>45722.61525462963</v>
      </c>
      <c r="FF883" s="19"/>
      <c r="FG883" s="19"/>
      <c r="FH883" s="21" t="s">
        <v>197</v>
      </c>
      <c r="FI883" s="17" t="s">
        <v>214</v>
      </c>
      <c r="FJ883" s="18">
        <v>45722.61525462963</v>
      </c>
      <c r="FK883" s="14" t="s">
        <v>17714</v>
      </c>
      <c r="FL883" s="14" t="s">
        <v>17715</v>
      </c>
      <c r="FM883" s="14" t="s">
        <v>17716</v>
      </c>
      <c r="FN883" s="19"/>
      <c r="FO883" s="19"/>
      <c r="FP883" s="19" t="str">
        <f t="shared" si="1"/>
        <v>Base de Dados_Images/TIT70013.Imagem do Equipamento-.222636.jpg</v>
      </c>
      <c r="FQ883" s="19"/>
      <c r="FR883" s="19"/>
    </row>
    <row r="884" ht="15.75" customHeight="1">
      <c r="A884" s="12" t="s">
        <v>547</v>
      </c>
      <c r="B884" s="12" t="s">
        <v>548</v>
      </c>
      <c r="C884" s="24" t="s">
        <v>375</v>
      </c>
      <c r="D884" s="22" t="s">
        <v>17717</v>
      </c>
      <c r="E884" s="22" t="s">
        <v>17718</v>
      </c>
      <c r="F884" s="13" t="s">
        <v>178</v>
      </c>
      <c r="G884" s="14" t="s">
        <v>179</v>
      </c>
      <c r="H884" s="14" t="s">
        <v>17719</v>
      </c>
      <c r="I884" s="14" t="s">
        <v>179</v>
      </c>
      <c r="J884" s="14" t="s">
        <v>17720</v>
      </c>
      <c r="K884" s="14" t="s">
        <v>179</v>
      </c>
      <c r="L884" s="14" t="s">
        <v>17720</v>
      </c>
      <c r="M884" s="14" t="s">
        <v>179</v>
      </c>
      <c r="N884" s="14" t="s">
        <v>17721</v>
      </c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6" t="s">
        <v>197</v>
      </c>
      <c r="BP884" s="17" t="s">
        <v>198</v>
      </c>
      <c r="BQ884" s="18">
        <v>45694.38501157407</v>
      </c>
      <c r="BR884" s="17" t="s">
        <v>198</v>
      </c>
      <c r="BS884" s="18">
        <v>45694.38505787037</v>
      </c>
      <c r="BT884" s="17" t="s">
        <v>198</v>
      </c>
      <c r="BU884" s="18">
        <v>45694.38505787037</v>
      </c>
      <c r="BV884" s="13" t="s">
        <v>199</v>
      </c>
      <c r="BW884" s="14" t="s">
        <v>179</v>
      </c>
      <c r="BX884" s="14" t="s">
        <v>17722</v>
      </c>
      <c r="BY884" s="14" t="s">
        <v>179</v>
      </c>
      <c r="BZ884" s="14" t="s">
        <v>17723</v>
      </c>
      <c r="CA884" s="14" t="s">
        <v>179</v>
      </c>
      <c r="CB884" s="14" t="s">
        <v>17724</v>
      </c>
      <c r="CC884" s="15"/>
      <c r="CD884" s="15"/>
      <c r="CE884" s="15"/>
      <c r="CF884" s="15"/>
      <c r="CG884" s="19"/>
      <c r="CH884" s="15"/>
      <c r="CI884" s="19"/>
      <c r="CJ884" s="15"/>
      <c r="CK884" s="19"/>
      <c r="CL884" s="15"/>
      <c r="CM884" s="19"/>
      <c r="CN884" s="15"/>
      <c r="CO884" s="19"/>
      <c r="CP884" s="15"/>
      <c r="CQ884" s="15"/>
      <c r="CR884" s="15"/>
      <c r="CS884" s="19"/>
      <c r="CT884" s="15"/>
      <c r="CU884" s="19"/>
      <c r="CV884" s="15"/>
      <c r="CW884" s="19"/>
      <c r="CX884" s="15"/>
      <c r="CY884" s="19"/>
      <c r="CZ884" s="15"/>
      <c r="DA884" s="16" t="s">
        <v>197</v>
      </c>
      <c r="DB884" s="17" t="s">
        <v>228</v>
      </c>
      <c r="DC884" s="16"/>
      <c r="DD884" s="17" t="s">
        <v>198</v>
      </c>
      <c r="DE884" s="18">
        <v>45696.576527777775</v>
      </c>
      <c r="DF884" s="17" t="s">
        <v>198</v>
      </c>
      <c r="DG884" s="18">
        <v>45696.576527777775</v>
      </c>
      <c r="DH884" s="13" t="s">
        <v>205</v>
      </c>
      <c r="DI884" s="14" t="s">
        <v>179</v>
      </c>
      <c r="DJ884" s="14" t="s">
        <v>17725</v>
      </c>
      <c r="DK884" s="14" t="s">
        <v>179</v>
      </c>
      <c r="DL884" s="14" t="s">
        <v>17726</v>
      </c>
      <c r="DM884" s="15"/>
      <c r="DN884" s="15"/>
      <c r="DO884" s="15"/>
      <c r="DP884" s="15"/>
      <c r="DQ884" s="15"/>
      <c r="DR884" s="15"/>
      <c r="DS884" s="15"/>
      <c r="DT884" s="15"/>
      <c r="DU884" s="15"/>
      <c r="DV884" s="15"/>
      <c r="DW884" s="15"/>
      <c r="DX884" s="15"/>
      <c r="DY884" s="15"/>
      <c r="DZ884" s="15"/>
      <c r="EA884" s="15"/>
      <c r="EB884" s="15"/>
      <c r="EC884" s="16" t="s">
        <v>197</v>
      </c>
      <c r="ED884" s="17" t="s">
        <v>198</v>
      </c>
      <c r="EE884" s="18">
        <v>45720.60989583333</v>
      </c>
      <c r="EF884" s="13" t="s">
        <v>209</v>
      </c>
      <c r="EG884" s="14" t="s">
        <v>179</v>
      </c>
      <c r="EH884" s="14" t="s">
        <v>17727</v>
      </c>
      <c r="EI884" s="14" t="s">
        <v>179</v>
      </c>
      <c r="EJ884" s="14" t="s">
        <v>17728</v>
      </c>
      <c r="EK884" s="15"/>
      <c r="EL884" s="15"/>
      <c r="EM884" s="15"/>
      <c r="EN884" s="15"/>
      <c r="EO884" s="15"/>
      <c r="EP884" s="15"/>
      <c r="EQ884" s="15"/>
      <c r="ER884" s="15"/>
      <c r="ES884" s="15"/>
      <c r="ET884" s="15"/>
      <c r="EU884" s="15"/>
      <c r="EV884" s="15"/>
      <c r="EW884" s="15"/>
      <c r="EX884" s="15"/>
      <c r="EY884" s="15"/>
      <c r="EZ884" s="15"/>
      <c r="FA884" s="15"/>
      <c r="FB884" s="15"/>
      <c r="FC884" s="16" t="s">
        <v>197</v>
      </c>
      <c r="FD884" s="17" t="s">
        <v>198</v>
      </c>
      <c r="FE884" s="18">
        <v>45722.615324074075</v>
      </c>
      <c r="FF884" s="19"/>
      <c r="FG884" s="19"/>
      <c r="FH884" s="21" t="s">
        <v>197</v>
      </c>
      <c r="FI884" s="17" t="s">
        <v>214</v>
      </c>
      <c r="FJ884" s="18">
        <v>45722.615324074075</v>
      </c>
      <c r="FK884" s="14" t="s">
        <v>17728</v>
      </c>
      <c r="FL884" s="14" t="s">
        <v>17729</v>
      </c>
      <c r="FM884" s="14" t="s">
        <v>17730</v>
      </c>
      <c r="FN884" s="19"/>
      <c r="FO884" s="19"/>
      <c r="FP884" s="19" t="str">
        <f t="shared" si="1"/>
        <v>Base de Dados_Images/TIT70014.Imagem do Equipamento-.170608.jpg</v>
      </c>
      <c r="FQ884" s="14"/>
      <c r="FR884" s="14"/>
    </row>
    <row r="885" ht="15.75" customHeight="1">
      <c r="A885" s="12" t="s">
        <v>547</v>
      </c>
      <c r="B885" s="12" t="s">
        <v>548</v>
      </c>
      <c r="C885" s="24" t="s">
        <v>375</v>
      </c>
      <c r="D885" s="22" t="s">
        <v>17731</v>
      </c>
      <c r="E885" s="22" t="s">
        <v>17732</v>
      </c>
      <c r="F885" s="13" t="s">
        <v>178</v>
      </c>
      <c r="G885" s="14" t="s">
        <v>179</v>
      </c>
      <c r="H885" s="14" t="s">
        <v>17733</v>
      </c>
      <c r="I885" s="14" t="s">
        <v>179</v>
      </c>
      <c r="J885" s="14" t="s">
        <v>17734</v>
      </c>
      <c r="K885" s="14" t="s">
        <v>179</v>
      </c>
      <c r="L885" s="14" t="s">
        <v>17735</v>
      </c>
      <c r="M885" s="14" t="s">
        <v>179</v>
      </c>
      <c r="N885" s="14" t="s">
        <v>17736</v>
      </c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6" t="s">
        <v>197</v>
      </c>
      <c r="BP885" s="17" t="s">
        <v>198</v>
      </c>
      <c r="BQ885" s="18">
        <v>45694.38599537037</v>
      </c>
      <c r="BR885" s="17" t="s">
        <v>198</v>
      </c>
      <c r="BS885" s="18">
        <v>45694.386041666665</v>
      </c>
      <c r="BT885" s="17" t="s">
        <v>198</v>
      </c>
      <c r="BU885" s="18">
        <v>45694.386041666665</v>
      </c>
      <c r="BV885" s="13" t="s">
        <v>199</v>
      </c>
      <c r="BW885" s="14" t="s">
        <v>179</v>
      </c>
      <c r="BX885" s="14" t="s">
        <v>17737</v>
      </c>
      <c r="BY885" s="14" t="s">
        <v>179</v>
      </c>
      <c r="BZ885" s="14" t="s">
        <v>17737</v>
      </c>
      <c r="CA885" s="14" t="s">
        <v>179</v>
      </c>
      <c r="CB885" s="14" t="s">
        <v>17738</v>
      </c>
      <c r="CC885" s="15"/>
      <c r="CD885" s="15"/>
      <c r="CE885" s="15"/>
      <c r="CF885" s="15"/>
      <c r="CG885" s="19"/>
      <c r="CH885" s="15"/>
      <c r="CI885" s="19"/>
      <c r="CJ885" s="15"/>
      <c r="CK885" s="19"/>
      <c r="CL885" s="15"/>
      <c r="CM885" s="19"/>
      <c r="CN885" s="15"/>
      <c r="CO885" s="19"/>
      <c r="CP885" s="15"/>
      <c r="CQ885" s="15"/>
      <c r="CR885" s="15"/>
      <c r="CS885" s="19"/>
      <c r="CT885" s="15"/>
      <c r="CU885" s="19"/>
      <c r="CV885" s="15"/>
      <c r="CW885" s="19"/>
      <c r="CX885" s="15"/>
      <c r="CY885" s="19"/>
      <c r="CZ885" s="15"/>
      <c r="DA885" s="16" t="s">
        <v>197</v>
      </c>
      <c r="DB885" s="17" t="s">
        <v>228</v>
      </c>
      <c r="DC885" s="16"/>
      <c r="DD885" s="17" t="s">
        <v>198</v>
      </c>
      <c r="DE885" s="18">
        <v>45696.57677083334</v>
      </c>
      <c r="DF885" s="17" t="s">
        <v>198</v>
      </c>
      <c r="DG885" s="18">
        <v>45696.57677083334</v>
      </c>
      <c r="DH885" s="13" t="s">
        <v>205</v>
      </c>
      <c r="DI885" s="14" t="s">
        <v>179</v>
      </c>
      <c r="DJ885" s="14" t="s">
        <v>17739</v>
      </c>
      <c r="DK885" s="14" t="s">
        <v>179</v>
      </c>
      <c r="DL885" s="14" t="s">
        <v>17740</v>
      </c>
      <c r="DM885" s="15"/>
      <c r="DN885" s="15"/>
      <c r="DO885" s="15"/>
      <c r="DP885" s="15"/>
      <c r="DQ885" s="15"/>
      <c r="DR885" s="15"/>
      <c r="DS885" s="15"/>
      <c r="DT885" s="15"/>
      <c r="DU885" s="15"/>
      <c r="DV885" s="15"/>
      <c r="DW885" s="15"/>
      <c r="DX885" s="15"/>
      <c r="DY885" s="15"/>
      <c r="DZ885" s="15"/>
      <c r="EA885" s="15"/>
      <c r="EB885" s="15"/>
      <c r="EC885" s="16" t="s">
        <v>197</v>
      </c>
      <c r="ED885" s="17" t="s">
        <v>198</v>
      </c>
      <c r="EE885" s="18">
        <v>45720.61</v>
      </c>
      <c r="EF885" s="13" t="s">
        <v>209</v>
      </c>
      <c r="EG885" s="14" t="s">
        <v>179</v>
      </c>
      <c r="EH885" s="14" t="s">
        <v>17741</v>
      </c>
      <c r="EI885" s="14" t="s">
        <v>179</v>
      </c>
      <c r="EJ885" s="14" t="s">
        <v>17742</v>
      </c>
      <c r="EK885" s="15"/>
      <c r="EL885" s="15"/>
      <c r="EM885" s="15"/>
      <c r="EN885" s="15"/>
      <c r="EO885" s="15"/>
      <c r="EP885" s="15"/>
      <c r="EQ885" s="15"/>
      <c r="ER885" s="15"/>
      <c r="ES885" s="15"/>
      <c r="ET885" s="15"/>
      <c r="EU885" s="15"/>
      <c r="EV885" s="15"/>
      <c r="EW885" s="15"/>
      <c r="EX885" s="15"/>
      <c r="EY885" s="15"/>
      <c r="EZ885" s="15"/>
      <c r="FA885" s="15"/>
      <c r="FB885" s="15"/>
      <c r="FC885" s="16" t="s">
        <v>197</v>
      </c>
      <c r="FD885" s="17" t="s">
        <v>198</v>
      </c>
      <c r="FE885" s="18">
        <v>45722.615381944444</v>
      </c>
      <c r="FF885" s="19"/>
      <c r="FG885" s="19"/>
      <c r="FH885" s="21" t="s">
        <v>197</v>
      </c>
      <c r="FI885" s="17" t="s">
        <v>214</v>
      </c>
      <c r="FJ885" s="18">
        <v>45722.615381944444</v>
      </c>
      <c r="FK885" s="14" t="s">
        <v>17742</v>
      </c>
      <c r="FL885" s="14" t="s">
        <v>17743</v>
      </c>
      <c r="FM885" s="14" t="s">
        <v>17744</v>
      </c>
      <c r="FN885" s="19"/>
      <c r="FO885" s="19"/>
      <c r="FP885" s="19" t="str">
        <f t="shared" si="1"/>
        <v>Base de Dados_Images/TIT70015.Imagem do Equipamento-.122420.jpg</v>
      </c>
      <c r="FQ885" s="14"/>
      <c r="FR885" s="14"/>
    </row>
    <row r="886" ht="15.75" customHeight="1">
      <c r="A886" s="12" t="s">
        <v>547</v>
      </c>
      <c r="B886" s="12" t="s">
        <v>17745</v>
      </c>
      <c r="C886" s="24" t="s">
        <v>375</v>
      </c>
      <c r="D886" s="22" t="s">
        <v>17746</v>
      </c>
      <c r="E886" s="22" t="s">
        <v>17747</v>
      </c>
      <c r="F886" s="13" t="s">
        <v>178</v>
      </c>
      <c r="G886" s="14" t="s">
        <v>179</v>
      </c>
      <c r="H886" s="14" t="s">
        <v>17748</v>
      </c>
      <c r="I886" s="14" t="s">
        <v>179</v>
      </c>
      <c r="J886" s="14" t="s">
        <v>17749</v>
      </c>
      <c r="K886" s="14" t="s">
        <v>179</v>
      </c>
      <c r="L886" s="14" t="s">
        <v>17750</v>
      </c>
      <c r="M886" s="14" t="s">
        <v>179</v>
      </c>
      <c r="N886" s="14" t="s">
        <v>17751</v>
      </c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6" t="s">
        <v>197</v>
      </c>
      <c r="BP886" s="17" t="s">
        <v>198</v>
      </c>
      <c r="BQ886" s="18">
        <v>45686.829351851855</v>
      </c>
      <c r="BR886" s="17" t="s">
        <v>198</v>
      </c>
      <c r="BS886" s="18">
        <v>45686.82939814815</v>
      </c>
      <c r="BT886" s="17" t="s">
        <v>198</v>
      </c>
      <c r="BU886" s="18">
        <v>45686.82939814815</v>
      </c>
      <c r="BV886" s="13" t="s">
        <v>199</v>
      </c>
      <c r="BW886" s="14" t="s">
        <v>179</v>
      </c>
      <c r="BX886" s="14" t="s">
        <v>17752</v>
      </c>
      <c r="BY886" s="14" t="s">
        <v>179</v>
      </c>
      <c r="BZ886" s="14" t="s">
        <v>17753</v>
      </c>
      <c r="CA886" s="14" t="s">
        <v>179</v>
      </c>
      <c r="CB886" s="14" t="s">
        <v>17754</v>
      </c>
      <c r="CC886" s="15"/>
      <c r="CD886" s="15"/>
      <c r="CE886" s="15"/>
      <c r="CF886" s="15"/>
      <c r="CG886" s="19"/>
      <c r="CH886" s="15"/>
      <c r="CI886" s="19"/>
      <c r="CJ886" s="15"/>
      <c r="CK886" s="19"/>
      <c r="CL886" s="15"/>
      <c r="CM886" s="19"/>
      <c r="CN886" s="15"/>
      <c r="CO886" s="19"/>
      <c r="CP886" s="15"/>
      <c r="CQ886" s="15"/>
      <c r="CR886" s="15"/>
      <c r="CS886" s="19"/>
      <c r="CT886" s="15"/>
      <c r="CU886" s="19"/>
      <c r="CV886" s="15"/>
      <c r="CW886" s="19"/>
      <c r="CX886" s="15"/>
      <c r="CY886" s="19"/>
      <c r="CZ886" s="15"/>
      <c r="DA886" s="16" t="s">
        <v>197</v>
      </c>
      <c r="DB886" s="17" t="s">
        <v>228</v>
      </c>
      <c r="DC886" s="16"/>
      <c r="DD886" s="17" t="s">
        <v>198</v>
      </c>
      <c r="DE886" s="18">
        <v>45696.58243055556</v>
      </c>
      <c r="DF886" s="17" t="s">
        <v>198</v>
      </c>
      <c r="DG886" s="18">
        <v>45696.58243055556</v>
      </c>
      <c r="DH886" s="13" t="s">
        <v>205</v>
      </c>
      <c r="DI886" s="14" t="s">
        <v>179</v>
      </c>
      <c r="DJ886" s="14" t="s">
        <v>17755</v>
      </c>
      <c r="DK886" s="14" t="s">
        <v>179</v>
      </c>
      <c r="DL886" s="14" t="s">
        <v>17756</v>
      </c>
      <c r="DM886" s="15"/>
      <c r="DN886" s="15"/>
      <c r="DO886" s="15"/>
      <c r="DP886" s="15"/>
      <c r="DQ886" s="15"/>
      <c r="DR886" s="15"/>
      <c r="DS886" s="15"/>
      <c r="DT886" s="15"/>
      <c r="DU886" s="15"/>
      <c r="DV886" s="15"/>
      <c r="DW886" s="15"/>
      <c r="DX886" s="15"/>
      <c r="DY886" s="15"/>
      <c r="DZ886" s="15"/>
      <c r="EA886" s="15"/>
      <c r="EB886" s="15"/>
      <c r="EC886" s="16" t="s">
        <v>197</v>
      </c>
      <c r="ED886" s="17" t="s">
        <v>198</v>
      </c>
      <c r="EE886" s="18">
        <v>45720.615335648145</v>
      </c>
      <c r="EF886" s="13" t="s">
        <v>209</v>
      </c>
      <c r="EG886" s="14" t="s">
        <v>179</v>
      </c>
      <c r="EH886" s="14" t="s">
        <v>17757</v>
      </c>
      <c r="EI886" s="14" t="s">
        <v>179</v>
      </c>
      <c r="EJ886" s="14" t="s">
        <v>17757</v>
      </c>
      <c r="EK886" s="15"/>
      <c r="EL886" s="15"/>
      <c r="EM886" s="15"/>
      <c r="EN886" s="15"/>
      <c r="EO886" s="15"/>
      <c r="EP886" s="15"/>
      <c r="EQ886" s="15"/>
      <c r="ER886" s="15"/>
      <c r="ES886" s="15"/>
      <c r="ET886" s="15"/>
      <c r="EU886" s="15"/>
      <c r="EV886" s="15"/>
      <c r="EW886" s="15"/>
      <c r="EX886" s="15"/>
      <c r="EY886" s="15"/>
      <c r="EZ886" s="15"/>
      <c r="FA886" s="15"/>
      <c r="FB886" s="15"/>
      <c r="FC886" s="16" t="s">
        <v>197</v>
      </c>
      <c r="FD886" s="17" t="s">
        <v>198</v>
      </c>
      <c r="FE886" s="18">
        <v>45723.33783564815</v>
      </c>
      <c r="FF886" s="19"/>
      <c r="FG886" s="19"/>
      <c r="FH886" s="21" t="s">
        <v>197</v>
      </c>
      <c r="FI886" s="17" t="s">
        <v>214</v>
      </c>
      <c r="FJ886" s="18">
        <v>45723.33783564815</v>
      </c>
      <c r="FK886" s="14" t="s">
        <v>17757</v>
      </c>
      <c r="FL886" s="14" t="s">
        <v>17758</v>
      </c>
      <c r="FM886" s="14" t="s">
        <v>17759</v>
      </c>
      <c r="FN886" s="19"/>
      <c r="FO886" s="19"/>
      <c r="FP886" s="19" t="str">
        <f t="shared" si="1"/>
        <v>Base de Dados_Images/TIT70016.Imagem do Equipamento-.225535.jpg</v>
      </c>
      <c r="FQ886" s="19"/>
      <c r="FR886" s="19"/>
    </row>
    <row r="887" ht="15.75" customHeight="1">
      <c r="A887" s="12" t="s">
        <v>547</v>
      </c>
      <c r="B887" s="12" t="s">
        <v>17760</v>
      </c>
      <c r="C887" s="24" t="s">
        <v>375</v>
      </c>
      <c r="D887" s="22" t="s">
        <v>17761</v>
      </c>
      <c r="E887" s="22" t="s">
        <v>17762</v>
      </c>
      <c r="F887" s="13" t="s">
        <v>178</v>
      </c>
      <c r="G887" s="14" t="s">
        <v>179</v>
      </c>
      <c r="H887" s="14" t="s">
        <v>17763</v>
      </c>
      <c r="I887" s="14" t="s">
        <v>179</v>
      </c>
      <c r="J887" s="14" t="s">
        <v>17764</v>
      </c>
      <c r="K887" s="14" t="s">
        <v>179</v>
      </c>
      <c r="L887" s="14" t="s">
        <v>17765</v>
      </c>
      <c r="M887" s="14" t="s">
        <v>179</v>
      </c>
      <c r="N887" s="14" t="s">
        <v>17766</v>
      </c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6" t="s">
        <v>197</v>
      </c>
      <c r="BP887" s="17" t="s">
        <v>198</v>
      </c>
      <c r="BQ887" s="18">
        <v>45686.82209490741</v>
      </c>
      <c r="BR887" s="17" t="s">
        <v>198</v>
      </c>
      <c r="BS887" s="18">
        <v>45686.82215277778</v>
      </c>
      <c r="BT887" s="17" t="s">
        <v>198</v>
      </c>
      <c r="BU887" s="18">
        <v>45686.82215277778</v>
      </c>
      <c r="BV887" s="13" t="s">
        <v>199</v>
      </c>
      <c r="BW887" s="14" t="s">
        <v>179</v>
      </c>
      <c r="BX887" s="14" t="s">
        <v>17767</v>
      </c>
      <c r="BY887" s="14" t="s">
        <v>179</v>
      </c>
      <c r="BZ887" s="14" t="s">
        <v>17768</v>
      </c>
      <c r="CA887" s="14" t="s">
        <v>179</v>
      </c>
      <c r="CB887" s="14" t="s">
        <v>17769</v>
      </c>
      <c r="CC887" s="15"/>
      <c r="CD887" s="15"/>
      <c r="CE887" s="15"/>
      <c r="CF887" s="15"/>
      <c r="CG887" s="19"/>
      <c r="CH887" s="15"/>
      <c r="CI887" s="19"/>
      <c r="CJ887" s="15"/>
      <c r="CK887" s="19"/>
      <c r="CL887" s="15"/>
      <c r="CM887" s="19"/>
      <c r="CN887" s="15"/>
      <c r="CO887" s="19"/>
      <c r="CP887" s="15"/>
      <c r="CQ887" s="15"/>
      <c r="CR887" s="15"/>
      <c r="CS887" s="19"/>
      <c r="CT887" s="15"/>
      <c r="CU887" s="19"/>
      <c r="CV887" s="15"/>
      <c r="CW887" s="19"/>
      <c r="CX887" s="15"/>
      <c r="CY887" s="19"/>
      <c r="CZ887" s="15"/>
      <c r="DA887" s="16" t="s">
        <v>197</v>
      </c>
      <c r="DB887" s="17" t="s">
        <v>228</v>
      </c>
      <c r="DC887" s="16"/>
      <c r="DD887" s="17" t="s">
        <v>198</v>
      </c>
      <c r="DE887" s="18">
        <v>45696.57827546296</v>
      </c>
      <c r="DF887" s="17" t="s">
        <v>198</v>
      </c>
      <c r="DG887" s="18">
        <v>45696.57827546296</v>
      </c>
      <c r="DH887" s="13" t="s">
        <v>205</v>
      </c>
      <c r="DI887" s="14" t="s">
        <v>179</v>
      </c>
      <c r="DJ887" s="14" t="s">
        <v>17770</v>
      </c>
      <c r="DK887" s="14" t="s">
        <v>179</v>
      </c>
      <c r="DL887" s="14" t="s">
        <v>17770</v>
      </c>
      <c r="DM887" s="15"/>
      <c r="DN887" s="15"/>
      <c r="DO887" s="15"/>
      <c r="DP887" s="15"/>
      <c r="DQ887" s="15"/>
      <c r="DR887" s="15"/>
      <c r="DS887" s="15"/>
      <c r="DT887" s="15"/>
      <c r="DU887" s="15"/>
      <c r="DV887" s="15"/>
      <c r="DW887" s="15"/>
      <c r="DX887" s="15"/>
      <c r="DY887" s="15"/>
      <c r="DZ887" s="15"/>
      <c r="EA887" s="15"/>
      <c r="EB887" s="15"/>
      <c r="EC887" s="16" t="s">
        <v>197</v>
      </c>
      <c r="ED887" s="17" t="s">
        <v>198</v>
      </c>
      <c r="EE887" s="18">
        <v>45720.612129629626</v>
      </c>
      <c r="EF887" s="13" t="s">
        <v>209</v>
      </c>
      <c r="EG887" s="14" t="s">
        <v>179</v>
      </c>
      <c r="EH887" s="14" t="s">
        <v>17771</v>
      </c>
      <c r="EI887" s="14" t="s">
        <v>179</v>
      </c>
      <c r="EJ887" s="14" t="s">
        <v>17772</v>
      </c>
      <c r="EK887" s="15"/>
      <c r="EL887" s="15"/>
      <c r="EM887" s="15"/>
      <c r="EN887" s="15"/>
      <c r="EO887" s="15"/>
      <c r="EP887" s="15"/>
      <c r="EQ887" s="15"/>
      <c r="ER887" s="15"/>
      <c r="ES887" s="15"/>
      <c r="ET887" s="15"/>
      <c r="EU887" s="15"/>
      <c r="EV887" s="15"/>
      <c r="EW887" s="15"/>
      <c r="EX887" s="15"/>
      <c r="EY887" s="15"/>
      <c r="EZ887" s="15"/>
      <c r="FA887" s="15"/>
      <c r="FB887" s="15"/>
      <c r="FC887" s="16" t="s">
        <v>197</v>
      </c>
      <c r="FD887" s="17" t="s">
        <v>198</v>
      </c>
      <c r="FE887" s="18">
        <v>45722.6190162037</v>
      </c>
      <c r="FF887" s="19"/>
      <c r="FG887" s="19"/>
      <c r="FH887" s="21" t="s">
        <v>197</v>
      </c>
      <c r="FI887" s="17" t="s">
        <v>214</v>
      </c>
      <c r="FJ887" s="18">
        <v>45722.6190162037</v>
      </c>
      <c r="FK887" s="14" t="s">
        <v>17772</v>
      </c>
      <c r="FL887" s="14" t="s">
        <v>17773</v>
      </c>
      <c r="FM887" s="14" t="s">
        <v>17774</v>
      </c>
      <c r="FN887" s="19"/>
      <c r="FO887" s="19"/>
      <c r="FP887" s="19" t="str">
        <f t="shared" si="1"/>
        <v>Base de Dados_Images/TIT70017.Imagem do Equipamento-.224327.jpg</v>
      </c>
      <c r="FQ887" s="19"/>
      <c r="FR887" s="19"/>
    </row>
    <row r="888" ht="15.75" customHeight="1">
      <c r="A888" s="12" t="s">
        <v>547</v>
      </c>
      <c r="B888" s="12" t="s">
        <v>17775</v>
      </c>
      <c r="C888" s="24" t="s">
        <v>375</v>
      </c>
      <c r="D888" s="22" t="s">
        <v>17776</v>
      </c>
      <c r="E888" s="22" t="s">
        <v>17777</v>
      </c>
      <c r="F888" s="13" t="s">
        <v>178</v>
      </c>
      <c r="G888" s="14" t="s">
        <v>179</v>
      </c>
      <c r="H888" s="14" t="s">
        <v>17778</v>
      </c>
      <c r="I888" s="14" t="s">
        <v>179</v>
      </c>
      <c r="J888" s="14" t="s">
        <v>17778</v>
      </c>
      <c r="K888" s="14" t="s">
        <v>179</v>
      </c>
      <c r="L888" s="14" t="s">
        <v>17779</v>
      </c>
      <c r="M888" s="14" t="s">
        <v>179</v>
      </c>
      <c r="N888" s="14" t="s">
        <v>17780</v>
      </c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6" t="s">
        <v>197</v>
      </c>
      <c r="BP888" s="17" t="s">
        <v>198</v>
      </c>
      <c r="BQ888" s="18">
        <v>45686.81964120371</v>
      </c>
      <c r="BR888" s="17" t="s">
        <v>198</v>
      </c>
      <c r="BS888" s="18">
        <v>45686.819699074076</v>
      </c>
      <c r="BT888" s="17" t="s">
        <v>198</v>
      </c>
      <c r="BU888" s="18">
        <v>45686.819699074076</v>
      </c>
      <c r="BV888" s="13" t="s">
        <v>199</v>
      </c>
      <c r="BW888" s="14" t="s">
        <v>179</v>
      </c>
      <c r="BX888" s="14" t="s">
        <v>17781</v>
      </c>
      <c r="BY888" s="14" t="s">
        <v>179</v>
      </c>
      <c r="BZ888" s="14" t="s">
        <v>17782</v>
      </c>
      <c r="CA888" s="14" t="s">
        <v>179</v>
      </c>
      <c r="CB888" s="14" t="s">
        <v>17783</v>
      </c>
      <c r="CC888" s="15"/>
      <c r="CD888" s="15"/>
      <c r="CE888" s="15"/>
      <c r="CF888" s="15"/>
      <c r="CG888" s="19"/>
      <c r="CH888" s="15"/>
      <c r="CI888" s="19"/>
      <c r="CJ888" s="15"/>
      <c r="CK888" s="19"/>
      <c r="CL888" s="15"/>
      <c r="CM888" s="19"/>
      <c r="CN888" s="15"/>
      <c r="CO888" s="19"/>
      <c r="CP888" s="15"/>
      <c r="CQ888" s="15"/>
      <c r="CR888" s="15"/>
      <c r="CS888" s="19"/>
      <c r="CT888" s="15"/>
      <c r="CU888" s="19"/>
      <c r="CV888" s="15"/>
      <c r="CW888" s="19"/>
      <c r="CX888" s="15"/>
      <c r="CY888" s="19"/>
      <c r="CZ888" s="15"/>
      <c r="DA888" s="16" t="s">
        <v>197</v>
      </c>
      <c r="DB888" s="17" t="s">
        <v>228</v>
      </c>
      <c r="DC888" s="16"/>
      <c r="DD888" s="17" t="s">
        <v>198</v>
      </c>
      <c r="DE888" s="18">
        <v>45696.57864583333</v>
      </c>
      <c r="DF888" s="17" t="s">
        <v>198</v>
      </c>
      <c r="DG888" s="18">
        <v>45696.57864583333</v>
      </c>
      <c r="DH888" s="13" t="s">
        <v>205</v>
      </c>
      <c r="DI888" s="14" t="s">
        <v>179</v>
      </c>
      <c r="DJ888" s="14" t="s">
        <v>17784</v>
      </c>
      <c r="DK888" s="14" t="s">
        <v>179</v>
      </c>
      <c r="DL888" s="14" t="s">
        <v>17784</v>
      </c>
      <c r="DM888" s="15"/>
      <c r="DN888" s="15"/>
      <c r="DO888" s="15"/>
      <c r="DP888" s="15"/>
      <c r="DQ888" s="15"/>
      <c r="DR888" s="15"/>
      <c r="DS888" s="15"/>
      <c r="DT888" s="15"/>
      <c r="DU888" s="15"/>
      <c r="DV888" s="15"/>
      <c r="DW888" s="15"/>
      <c r="DX888" s="15"/>
      <c r="DY888" s="15"/>
      <c r="DZ888" s="15"/>
      <c r="EA888" s="15"/>
      <c r="EB888" s="15"/>
      <c r="EC888" s="16" t="s">
        <v>197</v>
      </c>
      <c r="ED888" s="17" t="s">
        <v>198</v>
      </c>
      <c r="EE888" s="18">
        <v>45720.61224537037</v>
      </c>
      <c r="EF888" s="13" t="s">
        <v>209</v>
      </c>
      <c r="EG888" s="14" t="s">
        <v>179</v>
      </c>
      <c r="EH888" s="14" t="s">
        <v>17785</v>
      </c>
      <c r="EI888" s="14" t="s">
        <v>179</v>
      </c>
      <c r="EJ888" s="14" t="s">
        <v>17786</v>
      </c>
      <c r="EK888" s="15"/>
      <c r="EL888" s="15"/>
      <c r="EM888" s="15"/>
      <c r="EN888" s="15"/>
      <c r="EO888" s="15"/>
      <c r="EP888" s="15"/>
      <c r="EQ888" s="15"/>
      <c r="ER888" s="15"/>
      <c r="ES888" s="15"/>
      <c r="ET888" s="15"/>
      <c r="EU888" s="15"/>
      <c r="EV888" s="15"/>
      <c r="EW888" s="15"/>
      <c r="EX888" s="15"/>
      <c r="EY888" s="15"/>
      <c r="EZ888" s="15"/>
      <c r="FA888" s="15"/>
      <c r="FB888" s="15"/>
      <c r="FC888" s="16" t="s">
        <v>197</v>
      </c>
      <c r="FD888" s="17" t="s">
        <v>198</v>
      </c>
      <c r="FE888" s="18">
        <v>45722.61597222222</v>
      </c>
      <c r="FF888" s="19"/>
      <c r="FG888" s="19"/>
      <c r="FH888" s="21" t="s">
        <v>197</v>
      </c>
      <c r="FI888" s="17" t="s">
        <v>214</v>
      </c>
      <c r="FJ888" s="18">
        <v>45722.61597222222</v>
      </c>
      <c r="FK888" s="14" t="s">
        <v>17786</v>
      </c>
      <c r="FL888" s="14" t="s">
        <v>17787</v>
      </c>
      <c r="FM888" s="14" t="s">
        <v>17788</v>
      </c>
      <c r="FN888" s="19"/>
      <c r="FO888" s="19"/>
      <c r="FP888" s="19" t="str">
        <f t="shared" si="1"/>
        <v>Base de Dados_Images/TIT70018.Imagem do Equipamento-.224017.jpg</v>
      </c>
      <c r="FQ888" s="19"/>
      <c r="FR888" s="19"/>
    </row>
    <row r="889" ht="15.75" customHeight="1">
      <c r="A889" s="12" t="s">
        <v>547</v>
      </c>
      <c r="B889" s="12" t="s">
        <v>17789</v>
      </c>
      <c r="C889" s="24" t="s">
        <v>375</v>
      </c>
      <c r="D889" s="22" t="s">
        <v>17790</v>
      </c>
      <c r="E889" s="22" t="s">
        <v>17791</v>
      </c>
      <c r="F889" s="13" t="s">
        <v>178</v>
      </c>
      <c r="G889" s="14" t="s">
        <v>179</v>
      </c>
      <c r="H889" s="14" t="s">
        <v>17792</v>
      </c>
      <c r="I889" s="14" t="s">
        <v>188</v>
      </c>
      <c r="J889" s="14" t="s">
        <v>17793</v>
      </c>
      <c r="K889" s="14" t="s">
        <v>188</v>
      </c>
      <c r="L889" s="14" t="s">
        <v>17794</v>
      </c>
      <c r="M889" s="14" t="s">
        <v>188</v>
      </c>
      <c r="N889" s="14" t="s">
        <v>17795</v>
      </c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6" t="s">
        <v>197</v>
      </c>
      <c r="BP889" s="17" t="s">
        <v>198</v>
      </c>
      <c r="BQ889" s="18">
        <v>45686.79646990741</v>
      </c>
      <c r="BR889" s="17" t="s">
        <v>198</v>
      </c>
      <c r="BS889" s="18">
        <v>45686.796643518515</v>
      </c>
      <c r="BT889" s="17" t="s">
        <v>198</v>
      </c>
      <c r="BU889" s="18">
        <v>45686.796643518515</v>
      </c>
      <c r="BV889" s="13" t="s">
        <v>199</v>
      </c>
      <c r="BW889" s="14" t="s">
        <v>179</v>
      </c>
      <c r="BX889" s="14" t="s">
        <v>17796</v>
      </c>
      <c r="BY889" s="14" t="s">
        <v>179</v>
      </c>
      <c r="BZ889" s="14" t="s">
        <v>17797</v>
      </c>
      <c r="CA889" s="14" t="s">
        <v>179</v>
      </c>
      <c r="CB889" s="14" t="s">
        <v>17798</v>
      </c>
      <c r="CC889" s="15"/>
      <c r="CD889" s="15"/>
      <c r="CE889" s="15"/>
      <c r="CF889" s="15"/>
      <c r="CG889" s="19"/>
      <c r="CH889" s="15"/>
      <c r="CI889" s="19"/>
      <c r="CJ889" s="15"/>
      <c r="CK889" s="19"/>
      <c r="CL889" s="15"/>
      <c r="CM889" s="19"/>
      <c r="CN889" s="15"/>
      <c r="CO889" s="19"/>
      <c r="CP889" s="15"/>
      <c r="CQ889" s="15"/>
      <c r="CR889" s="15"/>
      <c r="CS889" s="19"/>
      <c r="CT889" s="15"/>
      <c r="CU889" s="19"/>
      <c r="CV889" s="15"/>
      <c r="CW889" s="19"/>
      <c r="CX889" s="15"/>
      <c r="CY889" s="19"/>
      <c r="CZ889" s="15"/>
      <c r="DA889" s="16" t="s">
        <v>197</v>
      </c>
      <c r="DB889" s="17" t="s">
        <v>228</v>
      </c>
      <c r="DC889" s="16"/>
      <c r="DD889" s="17" t="s">
        <v>198</v>
      </c>
      <c r="DE889" s="18">
        <v>45696.581875</v>
      </c>
      <c r="DF889" s="17" t="s">
        <v>198</v>
      </c>
      <c r="DG889" s="18">
        <v>45696.581875</v>
      </c>
      <c r="DH889" s="13" t="s">
        <v>205</v>
      </c>
      <c r="DI889" s="14" t="s">
        <v>179</v>
      </c>
      <c r="DJ889" s="14" t="s">
        <v>17799</v>
      </c>
      <c r="DK889" s="14" t="s">
        <v>179</v>
      </c>
      <c r="DL889" s="14" t="s">
        <v>17799</v>
      </c>
      <c r="DM889" s="15"/>
      <c r="DN889" s="15"/>
      <c r="DO889" s="15"/>
      <c r="DP889" s="15"/>
      <c r="DQ889" s="15"/>
      <c r="DR889" s="15"/>
      <c r="DS889" s="15"/>
      <c r="DT889" s="15"/>
      <c r="DU889" s="15"/>
      <c r="DV889" s="15"/>
      <c r="DW889" s="15"/>
      <c r="DX889" s="15"/>
      <c r="DY889" s="15"/>
      <c r="DZ889" s="15"/>
      <c r="EA889" s="15"/>
      <c r="EB889" s="15"/>
      <c r="EC889" s="16" t="s">
        <v>197</v>
      </c>
      <c r="ED889" s="17" t="s">
        <v>198</v>
      </c>
      <c r="EE889" s="18">
        <v>45707.699328703704</v>
      </c>
      <c r="EF889" s="13" t="s">
        <v>209</v>
      </c>
      <c r="EG889" s="14" t="s">
        <v>179</v>
      </c>
      <c r="EH889" s="14" t="s">
        <v>17800</v>
      </c>
      <c r="EI889" s="14" t="s">
        <v>179</v>
      </c>
      <c r="EJ889" s="14" t="s">
        <v>17800</v>
      </c>
      <c r="EK889" s="15"/>
      <c r="EL889" s="15"/>
      <c r="EM889" s="15"/>
      <c r="EN889" s="15"/>
      <c r="EO889" s="15"/>
      <c r="EP889" s="15"/>
      <c r="EQ889" s="15"/>
      <c r="ER889" s="15"/>
      <c r="ES889" s="15"/>
      <c r="ET889" s="15"/>
      <c r="EU889" s="15"/>
      <c r="EV889" s="15"/>
      <c r="EW889" s="15"/>
      <c r="EX889" s="15"/>
      <c r="EY889" s="15"/>
      <c r="EZ889" s="15"/>
      <c r="FA889" s="15"/>
      <c r="FB889" s="15"/>
      <c r="FC889" s="16" t="s">
        <v>197</v>
      </c>
      <c r="FD889" s="17" t="s">
        <v>198</v>
      </c>
      <c r="FE889" s="18">
        <v>45723.33793981482</v>
      </c>
      <c r="FF889" s="19"/>
      <c r="FG889" s="19"/>
      <c r="FH889" s="21" t="s">
        <v>197</v>
      </c>
      <c r="FI889" s="17" t="s">
        <v>214</v>
      </c>
      <c r="FJ889" s="18">
        <v>45723.33793981482</v>
      </c>
      <c r="FK889" s="14" t="s">
        <v>17800</v>
      </c>
      <c r="FL889" s="14" t="s">
        <v>17801</v>
      </c>
      <c r="FM889" s="14" t="s">
        <v>17802</v>
      </c>
      <c r="FN889" s="19"/>
      <c r="FO889" s="19"/>
      <c r="FP889" s="19" t="str">
        <f t="shared" si="1"/>
        <v>Base de Dados_Images/TIT70019.Imagem do Equipamento-.221038.jpg</v>
      </c>
      <c r="FQ889" s="19"/>
      <c r="FR889" s="19"/>
    </row>
    <row r="890" ht="15.75" customHeight="1">
      <c r="A890" s="12" t="s">
        <v>547</v>
      </c>
      <c r="B890" s="12" t="s">
        <v>17789</v>
      </c>
      <c r="C890" s="24" t="s">
        <v>375</v>
      </c>
      <c r="D890" s="22" t="s">
        <v>17803</v>
      </c>
      <c r="E890" s="22" t="s">
        <v>17804</v>
      </c>
      <c r="F890" s="13" t="s">
        <v>178</v>
      </c>
      <c r="G890" s="14" t="s">
        <v>179</v>
      </c>
      <c r="H890" s="14" t="s">
        <v>17805</v>
      </c>
      <c r="I890" s="14" t="s">
        <v>179</v>
      </c>
      <c r="J890" s="14" t="s">
        <v>17806</v>
      </c>
      <c r="K890" s="14" t="s">
        <v>179</v>
      </c>
      <c r="L890" s="14" t="s">
        <v>17807</v>
      </c>
      <c r="M890" s="14" t="s">
        <v>179</v>
      </c>
      <c r="N890" s="14" t="s">
        <v>17808</v>
      </c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6" t="s">
        <v>197</v>
      </c>
      <c r="BP890" s="17" t="s">
        <v>198</v>
      </c>
      <c r="BQ890" s="18">
        <v>45686.797002314815</v>
      </c>
      <c r="BR890" s="17" t="s">
        <v>198</v>
      </c>
      <c r="BS890" s="18">
        <v>45686.79703703704</v>
      </c>
      <c r="BT890" s="17" t="s">
        <v>198</v>
      </c>
      <c r="BU890" s="18">
        <v>45686.79703703704</v>
      </c>
      <c r="BV890" s="13" t="s">
        <v>199</v>
      </c>
      <c r="BW890" s="14" t="s">
        <v>179</v>
      </c>
      <c r="BX890" s="14" t="s">
        <v>17809</v>
      </c>
      <c r="BY890" s="14" t="s">
        <v>179</v>
      </c>
      <c r="BZ890" s="14" t="s">
        <v>17809</v>
      </c>
      <c r="CA890" s="14" t="s">
        <v>179</v>
      </c>
      <c r="CB890" s="14" t="s">
        <v>17810</v>
      </c>
      <c r="CC890" s="15"/>
      <c r="CD890" s="15"/>
      <c r="CE890" s="15"/>
      <c r="CF890" s="15"/>
      <c r="CG890" s="19"/>
      <c r="CH890" s="15"/>
      <c r="CI890" s="19"/>
      <c r="CJ890" s="15"/>
      <c r="CK890" s="19"/>
      <c r="CL890" s="15"/>
      <c r="CM890" s="19"/>
      <c r="CN890" s="15"/>
      <c r="CO890" s="19"/>
      <c r="CP890" s="15"/>
      <c r="CQ890" s="15"/>
      <c r="CR890" s="15"/>
      <c r="CS890" s="19"/>
      <c r="CT890" s="15"/>
      <c r="CU890" s="19"/>
      <c r="CV890" s="15"/>
      <c r="CW890" s="19"/>
      <c r="CX890" s="15"/>
      <c r="CY890" s="19"/>
      <c r="CZ890" s="15"/>
      <c r="DA890" s="16" t="s">
        <v>197</v>
      </c>
      <c r="DB890" s="17" t="s">
        <v>228</v>
      </c>
      <c r="DC890" s="16"/>
      <c r="DD890" s="17" t="s">
        <v>198</v>
      </c>
      <c r="DE890" s="18">
        <v>45696.58210648148</v>
      </c>
      <c r="DF890" s="17" t="s">
        <v>198</v>
      </c>
      <c r="DG890" s="18">
        <v>45696.58210648148</v>
      </c>
      <c r="DH890" s="13" t="s">
        <v>205</v>
      </c>
      <c r="DI890" s="14" t="s">
        <v>179</v>
      </c>
      <c r="DJ890" s="14" t="s">
        <v>17811</v>
      </c>
      <c r="DK890" s="14" t="s">
        <v>179</v>
      </c>
      <c r="DL890" s="14" t="s">
        <v>17812</v>
      </c>
      <c r="DM890" s="15"/>
      <c r="DN890" s="15"/>
      <c r="DO890" s="15"/>
      <c r="DP890" s="15"/>
      <c r="DQ890" s="15"/>
      <c r="DR890" s="15"/>
      <c r="DS890" s="15"/>
      <c r="DT890" s="15"/>
      <c r="DU890" s="15"/>
      <c r="DV890" s="15"/>
      <c r="DW890" s="15"/>
      <c r="DX890" s="15"/>
      <c r="DY890" s="15"/>
      <c r="DZ890" s="15"/>
      <c r="EA890" s="15"/>
      <c r="EB890" s="15"/>
      <c r="EC890" s="16" t="s">
        <v>197</v>
      </c>
      <c r="ED890" s="17" t="s">
        <v>198</v>
      </c>
      <c r="EE890" s="18">
        <v>45707.69940972222</v>
      </c>
      <c r="EF890" s="13" t="s">
        <v>209</v>
      </c>
      <c r="EG890" s="14" t="s">
        <v>179</v>
      </c>
      <c r="EH890" s="14" t="s">
        <v>17813</v>
      </c>
      <c r="EI890" s="14" t="s">
        <v>179</v>
      </c>
      <c r="EJ890" s="14" t="s">
        <v>17814</v>
      </c>
      <c r="EK890" s="15"/>
      <c r="EL890" s="15"/>
      <c r="EM890" s="15"/>
      <c r="EN890" s="15"/>
      <c r="EO890" s="15"/>
      <c r="EP890" s="15"/>
      <c r="EQ890" s="15"/>
      <c r="ER890" s="15"/>
      <c r="ES890" s="15"/>
      <c r="ET890" s="15"/>
      <c r="EU890" s="15"/>
      <c r="EV890" s="15"/>
      <c r="EW890" s="15"/>
      <c r="EX890" s="15"/>
      <c r="EY890" s="15"/>
      <c r="EZ890" s="15"/>
      <c r="FA890" s="15"/>
      <c r="FB890" s="15"/>
      <c r="FC890" s="16" t="s">
        <v>197</v>
      </c>
      <c r="FD890" s="17" t="s">
        <v>198</v>
      </c>
      <c r="FE890" s="18">
        <v>45723.33802083333</v>
      </c>
      <c r="FF890" s="19"/>
      <c r="FG890" s="19"/>
      <c r="FH890" s="21" t="s">
        <v>197</v>
      </c>
      <c r="FI890" s="17" t="s">
        <v>214</v>
      </c>
      <c r="FJ890" s="18">
        <v>45723.33802083333</v>
      </c>
      <c r="FK890" s="14" t="s">
        <v>17814</v>
      </c>
      <c r="FL890" s="14" t="s">
        <v>17815</v>
      </c>
      <c r="FM890" s="14" t="s">
        <v>17816</v>
      </c>
      <c r="FN890" s="19"/>
      <c r="FO890" s="19"/>
      <c r="FP890" s="19" t="str">
        <f t="shared" si="1"/>
        <v>Base de Dados_Images/TIT70020.Imagem do Equipamento-.221108.jpg</v>
      </c>
      <c r="FQ890" s="19"/>
      <c r="FR890" s="19"/>
    </row>
    <row r="891" ht="15.75" customHeight="1">
      <c r="A891" s="12" t="s">
        <v>547</v>
      </c>
      <c r="B891" s="12" t="s">
        <v>17817</v>
      </c>
      <c r="C891" s="24" t="s">
        <v>375</v>
      </c>
      <c r="D891" s="22" t="s">
        <v>17818</v>
      </c>
      <c r="E891" s="22" t="s">
        <v>17819</v>
      </c>
      <c r="F891" s="13" t="s">
        <v>178</v>
      </c>
      <c r="G891" s="14" t="s">
        <v>179</v>
      </c>
      <c r="H891" s="14" t="s">
        <v>17820</v>
      </c>
      <c r="I891" s="14" t="s">
        <v>179</v>
      </c>
      <c r="J891" s="14" t="s">
        <v>17821</v>
      </c>
      <c r="K891" s="14" t="s">
        <v>179</v>
      </c>
      <c r="L891" s="14" t="s">
        <v>17821</v>
      </c>
      <c r="M891" s="14" t="s">
        <v>179</v>
      </c>
      <c r="N891" s="14" t="s">
        <v>17822</v>
      </c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6" t="s">
        <v>197</v>
      </c>
      <c r="BP891" s="17" t="s">
        <v>198</v>
      </c>
      <c r="BQ891" s="18">
        <v>45686.820972222224</v>
      </c>
      <c r="BR891" s="17" t="s">
        <v>198</v>
      </c>
      <c r="BS891" s="18">
        <v>45686.82099537037</v>
      </c>
      <c r="BT891" s="17" t="s">
        <v>198</v>
      </c>
      <c r="BU891" s="18">
        <v>45686.82099537037</v>
      </c>
      <c r="BV891" s="13" t="s">
        <v>199</v>
      </c>
      <c r="BW891" s="14" t="s">
        <v>179</v>
      </c>
      <c r="BX891" s="14" t="s">
        <v>17823</v>
      </c>
      <c r="BY891" s="14" t="s">
        <v>179</v>
      </c>
      <c r="BZ891" s="14" t="s">
        <v>17824</v>
      </c>
      <c r="CA891" s="14" t="s">
        <v>179</v>
      </c>
      <c r="CB891" s="14" t="s">
        <v>17825</v>
      </c>
      <c r="CC891" s="15"/>
      <c r="CD891" s="15"/>
      <c r="CE891" s="15"/>
      <c r="CF891" s="15"/>
      <c r="CG891" s="19"/>
      <c r="CH891" s="15"/>
      <c r="CI891" s="19"/>
      <c r="CJ891" s="15"/>
      <c r="CK891" s="19"/>
      <c r="CL891" s="15"/>
      <c r="CM891" s="19"/>
      <c r="CN891" s="15"/>
      <c r="CO891" s="19"/>
      <c r="CP891" s="15"/>
      <c r="CQ891" s="15"/>
      <c r="CR891" s="15"/>
      <c r="CS891" s="19"/>
      <c r="CT891" s="15"/>
      <c r="CU891" s="19"/>
      <c r="CV891" s="15"/>
      <c r="CW891" s="19"/>
      <c r="CX891" s="15"/>
      <c r="CY891" s="19"/>
      <c r="CZ891" s="15"/>
      <c r="DA891" s="16" t="s">
        <v>197</v>
      </c>
      <c r="DB891" s="17" t="s">
        <v>228</v>
      </c>
      <c r="DC891" s="16"/>
      <c r="DD891" s="17" t="s">
        <v>198</v>
      </c>
      <c r="DE891" s="18">
        <v>45694.60494212963</v>
      </c>
      <c r="DF891" s="17" t="s">
        <v>198</v>
      </c>
      <c r="DG891" s="18">
        <v>45694.60494212963</v>
      </c>
      <c r="DH891" s="13" t="s">
        <v>205</v>
      </c>
      <c r="DI891" s="14" t="s">
        <v>179</v>
      </c>
      <c r="DJ891" s="14" t="s">
        <v>17826</v>
      </c>
      <c r="DK891" s="14" t="s">
        <v>179</v>
      </c>
      <c r="DL891" s="14" t="s">
        <v>17827</v>
      </c>
      <c r="DM891" s="15"/>
      <c r="DN891" s="15"/>
      <c r="DO891" s="15"/>
      <c r="DP891" s="15"/>
      <c r="DQ891" s="15"/>
      <c r="DR891" s="15"/>
      <c r="DS891" s="15"/>
      <c r="DT891" s="15"/>
      <c r="DU891" s="15"/>
      <c r="DV891" s="15"/>
      <c r="DW891" s="15"/>
      <c r="DX891" s="15"/>
      <c r="DY891" s="15"/>
      <c r="DZ891" s="15"/>
      <c r="EA891" s="15"/>
      <c r="EB891" s="15"/>
      <c r="EC891" s="16" t="s">
        <v>197</v>
      </c>
      <c r="ED891" s="17" t="s">
        <v>198</v>
      </c>
      <c r="EE891" s="18">
        <v>45696.57892361111</v>
      </c>
      <c r="EF891" s="13" t="s">
        <v>209</v>
      </c>
      <c r="EG891" s="14" t="s">
        <v>179</v>
      </c>
      <c r="EH891" s="14" t="s">
        <v>17828</v>
      </c>
      <c r="EI891" s="14" t="s">
        <v>179</v>
      </c>
      <c r="EJ891" s="14" t="s">
        <v>17829</v>
      </c>
      <c r="EK891" s="15"/>
      <c r="EL891" s="15"/>
      <c r="EM891" s="15"/>
      <c r="EN891" s="15"/>
      <c r="EO891" s="15"/>
      <c r="EP891" s="15"/>
      <c r="EQ891" s="15"/>
      <c r="ER891" s="15"/>
      <c r="ES891" s="15"/>
      <c r="ET891" s="15"/>
      <c r="EU891" s="15"/>
      <c r="EV891" s="15"/>
      <c r="EW891" s="15"/>
      <c r="EX891" s="15"/>
      <c r="EY891" s="15"/>
      <c r="EZ891" s="15"/>
      <c r="FA891" s="15"/>
      <c r="FB891" s="15"/>
      <c r="FC891" s="16" t="s">
        <v>197</v>
      </c>
      <c r="FD891" s="17" t="s">
        <v>198</v>
      </c>
      <c r="FE891" s="18">
        <v>45722.616574074076</v>
      </c>
      <c r="FF891" s="19"/>
      <c r="FG891" s="19"/>
      <c r="FH891" s="21" t="s">
        <v>197</v>
      </c>
      <c r="FI891" s="17" t="s">
        <v>214</v>
      </c>
      <c r="FJ891" s="18">
        <v>45722.616574074076</v>
      </c>
      <c r="FK891" s="14" t="s">
        <v>17829</v>
      </c>
      <c r="FL891" s="14" t="s">
        <v>17830</v>
      </c>
      <c r="FM891" s="14" t="s">
        <v>17831</v>
      </c>
      <c r="FN891" s="19"/>
      <c r="FO891" s="19"/>
      <c r="FP891" s="19" t="str">
        <f t="shared" si="1"/>
        <v>Base de Dados_Images/TIT70021.Imagem do Equipamento-.224209.jpg</v>
      </c>
      <c r="FQ891" s="19"/>
      <c r="FR891" s="19"/>
    </row>
    <row r="892" ht="15.75" customHeight="1">
      <c r="A892" s="12" t="s">
        <v>547</v>
      </c>
      <c r="B892" s="12" t="s">
        <v>17832</v>
      </c>
      <c r="C892" s="24" t="s">
        <v>375</v>
      </c>
      <c r="D892" s="22" t="s">
        <v>17833</v>
      </c>
      <c r="E892" s="22" t="s">
        <v>17834</v>
      </c>
      <c r="F892" s="13" t="s">
        <v>178</v>
      </c>
      <c r="G892" s="14" t="s">
        <v>179</v>
      </c>
      <c r="H892" s="14" t="s">
        <v>17835</v>
      </c>
      <c r="I892" s="14" t="s">
        <v>179</v>
      </c>
      <c r="J892" s="14" t="s">
        <v>17836</v>
      </c>
      <c r="K892" s="14" t="s">
        <v>179</v>
      </c>
      <c r="L892" s="14" t="s">
        <v>17837</v>
      </c>
      <c r="M892" s="14" t="s">
        <v>179</v>
      </c>
      <c r="N892" s="14" t="s">
        <v>17838</v>
      </c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6" t="s">
        <v>197</v>
      </c>
      <c r="BP892" s="17" t="s">
        <v>198</v>
      </c>
      <c r="BQ892" s="18">
        <v>45686.82046296296</v>
      </c>
      <c r="BR892" s="17" t="s">
        <v>198</v>
      </c>
      <c r="BS892" s="18">
        <v>45686.82050925926</v>
      </c>
      <c r="BT892" s="17" t="s">
        <v>198</v>
      </c>
      <c r="BU892" s="18">
        <v>45686.82050925926</v>
      </c>
      <c r="BV892" s="13" t="s">
        <v>199</v>
      </c>
      <c r="BW892" s="14" t="s">
        <v>179</v>
      </c>
      <c r="BX892" s="14" t="s">
        <v>17839</v>
      </c>
      <c r="BY892" s="14" t="s">
        <v>179</v>
      </c>
      <c r="BZ892" s="14" t="s">
        <v>17840</v>
      </c>
      <c r="CA892" s="14" t="s">
        <v>179</v>
      </c>
      <c r="CB892" s="14" t="s">
        <v>17841</v>
      </c>
      <c r="CC892" s="15"/>
      <c r="CD892" s="15"/>
      <c r="CE892" s="15"/>
      <c r="CF892" s="15"/>
      <c r="CG892" s="19"/>
      <c r="CH892" s="15"/>
      <c r="CI892" s="19"/>
      <c r="CJ892" s="15"/>
      <c r="CK892" s="19"/>
      <c r="CL892" s="15"/>
      <c r="CM892" s="19"/>
      <c r="CN892" s="15"/>
      <c r="CO892" s="19"/>
      <c r="CP892" s="15"/>
      <c r="CQ892" s="15"/>
      <c r="CR892" s="15"/>
      <c r="CS892" s="19"/>
      <c r="CT892" s="15"/>
      <c r="CU892" s="19"/>
      <c r="CV892" s="15"/>
      <c r="CW892" s="19"/>
      <c r="CX892" s="15"/>
      <c r="CY892" s="19"/>
      <c r="CZ892" s="15"/>
      <c r="DA892" s="16" t="s">
        <v>197</v>
      </c>
      <c r="DB892" s="17" t="s">
        <v>228</v>
      </c>
      <c r="DC892" s="16"/>
      <c r="DD892" s="17" t="s">
        <v>198</v>
      </c>
      <c r="DE892" s="18">
        <v>45696.57910879629</v>
      </c>
      <c r="DF892" s="17" t="s">
        <v>198</v>
      </c>
      <c r="DG892" s="18">
        <v>45696.57910879629</v>
      </c>
      <c r="DH892" s="13" t="s">
        <v>205</v>
      </c>
      <c r="DI892" s="14" t="s">
        <v>179</v>
      </c>
      <c r="DJ892" s="14" t="s">
        <v>17842</v>
      </c>
      <c r="DK892" s="14" t="s">
        <v>179</v>
      </c>
      <c r="DL892" s="14" t="s">
        <v>17843</v>
      </c>
      <c r="DM892" s="15"/>
      <c r="DN892" s="15"/>
      <c r="DO892" s="15"/>
      <c r="DP892" s="15"/>
      <c r="DQ892" s="15"/>
      <c r="DR892" s="15"/>
      <c r="DS892" s="15"/>
      <c r="DT892" s="15"/>
      <c r="DU892" s="15"/>
      <c r="DV892" s="15"/>
      <c r="DW892" s="15"/>
      <c r="DX892" s="15"/>
      <c r="DY892" s="15"/>
      <c r="DZ892" s="15"/>
      <c r="EA892" s="15"/>
      <c r="EB892" s="15"/>
      <c r="EC892" s="16" t="s">
        <v>197</v>
      </c>
      <c r="ED892" s="17" t="s">
        <v>198</v>
      </c>
      <c r="EE892" s="18">
        <v>45720.61252314815</v>
      </c>
      <c r="EF892" s="13" t="s">
        <v>209</v>
      </c>
      <c r="EG892" s="14" t="s">
        <v>179</v>
      </c>
      <c r="EH892" s="14" t="s">
        <v>17844</v>
      </c>
      <c r="EI892" s="14" t="s">
        <v>179</v>
      </c>
      <c r="EJ892" s="14" t="s">
        <v>17845</v>
      </c>
      <c r="EK892" s="15"/>
      <c r="EL892" s="15"/>
      <c r="EM892" s="15"/>
      <c r="EN892" s="15"/>
      <c r="EO892" s="15"/>
      <c r="EP892" s="15"/>
      <c r="EQ892" s="15"/>
      <c r="ER892" s="15"/>
      <c r="ES892" s="15"/>
      <c r="ET892" s="15"/>
      <c r="EU892" s="15"/>
      <c r="EV892" s="15"/>
      <c r="EW892" s="15"/>
      <c r="EX892" s="15"/>
      <c r="EY892" s="15"/>
      <c r="EZ892" s="15"/>
      <c r="FA892" s="15"/>
      <c r="FB892" s="15"/>
      <c r="FC892" s="16" t="s">
        <v>197</v>
      </c>
      <c r="FD892" s="17" t="s">
        <v>198</v>
      </c>
      <c r="FE892" s="18">
        <v>45722.61628472222</v>
      </c>
      <c r="FF892" s="19"/>
      <c r="FG892" s="19"/>
      <c r="FH892" s="21" t="s">
        <v>197</v>
      </c>
      <c r="FI892" s="17" t="s">
        <v>214</v>
      </c>
      <c r="FJ892" s="18">
        <v>45722.61628472222</v>
      </c>
      <c r="FK892" s="14" t="s">
        <v>17845</v>
      </c>
      <c r="FL892" s="14" t="s">
        <v>17846</v>
      </c>
      <c r="FM892" s="14" t="s">
        <v>17847</v>
      </c>
      <c r="FN892" s="19"/>
      <c r="FO892" s="19"/>
      <c r="FP892" s="19" t="str">
        <f t="shared" si="1"/>
        <v>Base de Dados_Images/TIT70022.Imagem do Equipamento-.224129.jpg</v>
      </c>
      <c r="FQ892" s="19"/>
      <c r="FR892" s="19"/>
    </row>
    <row r="893" ht="15.75" customHeight="1">
      <c r="A893" s="12" t="s">
        <v>547</v>
      </c>
      <c r="B893" s="12" t="s">
        <v>3373</v>
      </c>
      <c r="C893" s="24" t="s">
        <v>375</v>
      </c>
      <c r="D893" s="22" t="s">
        <v>17848</v>
      </c>
      <c r="E893" s="22" t="s">
        <v>17849</v>
      </c>
      <c r="F893" s="13" t="s">
        <v>178</v>
      </c>
      <c r="G893" s="14" t="s">
        <v>179</v>
      </c>
      <c r="H893" s="14" t="s">
        <v>17850</v>
      </c>
      <c r="I893" s="14" t="s">
        <v>179</v>
      </c>
      <c r="J893" s="14" t="s">
        <v>17851</v>
      </c>
      <c r="K893" s="14" t="s">
        <v>179</v>
      </c>
      <c r="L893" s="14" t="s">
        <v>17851</v>
      </c>
      <c r="M893" s="14" t="s">
        <v>179</v>
      </c>
      <c r="N893" s="14" t="s">
        <v>17852</v>
      </c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6" t="s">
        <v>197</v>
      </c>
      <c r="BP893" s="17" t="s">
        <v>198</v>
      </c>
      <c r="BQ893" s="18">
        <v>45686.80280092593</v>
      </c>
      <c r="BR893" s="17" t="s">
        <v>198</v>
      </c>
      <c r="BS893" s="18">
        <v>45686.80278935185</v>
      </c>
      <c r="BT893" s="17" t="s">
        <v>198</v>
      </c>
      <c r="BU893" s="18">
        <v>45686.80280092593</v>
      </c>
      <c r="BV893" s="13" t="s">
        <v>199</v>
      </c>
      <c r="BW893" s="14" t="s">
        <v>179</v>
      </c>
      <c r="BX893" s="14" t="s">
        <v>17853</v>
      </c>
      <c r="BY893" s="14" t="s">
        <v>179</v>
      </c>
      <c r="BZ893" s="14" t="s">
        <v>17854</v>
      </c>
      <c r="CA893" s="14" t="s">
        <v>179</v>
      </c>
      <c r="CB893" s="14" t="s">
        <v>17855</v>
      </c>
      <c r="CC893" s="15"/>
      <c r="CD893" s="15"/>
      <c r="CE893" s="15"/>
      <c r="CF893" s="15"/>
      <c r="CG893" s="19"/>
      <c r="CH893" s="15"/>
      <c r="CI893" s="19"/>
      <c r="CJ893" s="15"/>
      <c r="CK893" s="19"/>
      <c r="CL893" s="15"/>
      <c r="CM893" s="19"/>
      <c r="CN893" s="15"/>
      <c r="CO893" s="19"/>
      <c r="CP893" s="15"/>
      <c r="CQ893" s="15"/>
      <c r="CR893" s="15"/>
      <c r="CS893" s="19"/>
      <c r="CT893" s="15"/>
      <c r="CU893" s="19"/>
      <c r="CV893" s="15"/>
      <c r="CW893" s="19"/>
      <c r="CX893" s="15"/>
      <c r="CY893" s="19"/>
      <c r="CZ893" s="15"/>
      <c r="DA893" s="16" t="s">
        <v>197</v>
      </c>
      <c r="DB893" s="17" t="s">
        <v>228</v>
      </c>
      <c r="DC893" s="16"/>
      <c r="DD893" s="17" t="s">
        <v>198</v>
      </c>
      <c r="DE893" s="18">
        <v>45694.60192129629</v>
      </c>
      <c r="DF893" s="17" t="s">
        <v>198</v>
      </c>
      <c r="DG893" s="18">
        <v>45694.60192129629</v>
      </c>
      <c r="DH893" s="13" t="s">
        <v>205</v>
      </c>
      <c r="DI893" s="14" t="s">
        <v>179</v>
      </c>
      <c r="DJ893" s="14" t="s">
        <v>17856</v>
      </c>
      <c r="DK893" s="14" t="s">
        <v>179</v>
      </c>
      <c r="DL893" s="14" t="s">
        <v>17857</v>
      </c>
      <c r="DM893" s="15"/>
      <c r="DN893" s="15"/>
      <c r="DO893" s="15"/>
      <c r="DP893" s="15"/>
      <c r="DQ893" s="15"/>
      <c r="DR893" s="15"/>
      <c r="DS893" s="15"/>
      <c r="DT893" s="15"/>
      <c r="DU893" s="15"/>
      <c r="DV893" s="15"/>
      <c r="DW893" s="15"/>
      <c r="DX893" s="15"/>
      <c r="DY893" s="15"/>
      <c r="DZ893" s="15"/>
      <c r="EA893" s="15"/>
      <c r="EB893" s="15"/>
      <c r="EC893" s="16" t="s">
        <v>197</v>
      </c>
      <c r="ED893" s="17" t="s">
        <v>198</v>
      </c>
      <c r="EE893" s="18">
        <v>45707.69664351852</v>
      </c>
      <c r="EF893" s="13" t="s">
        <v>209</v>
      </c>
      <c r="EG893" s="14" t="s">
        <v>179</v>
      </c>
      <c r="EH893" s="14" t="s">
        <v>17858</v>
      </c>
      <c r="EI893" s="14" t="s">
        <v>179</v>
      </c>
      <c r="EJ893" s="14" t="s">
        <v>17858</v>
      </c>
      <c r="EK893" s="15"/>
      <c r="EL893" s="15"/>
      <c r="EM893" s="15"/>
      <c r="EN893" s="15"/>
      <c r="EO893" s="15"/>
      <c r="EP893" s="15"/>
      <c r="EQ893" s="15"/>
      <c r="ER893" s="15"/>
      <c r="ES893" s="15"/>
      <c r="ET893" s="15"/>
      <c r="EU893" s="15"/>
      <c r="EV893" s="15"/>
      <c r="EW893" s="15"/>
      <c r="EX893" s="15"/>
      <c r="EY893" s="15"/>
      <c r="EZ893" s="15"/>
      <c r="FA893" s="15"/>
      <c r="FB893" s="15"/>
      <c r="FC893" s="16" t="s">
        <v>197</v>
      </c>
      <c r="FD893" s="17" t="s">
        <v>198</v>
      </c>
      <c r="FE893" s="18">
        <v>45723.33924768519</v>
      </c>
      <c r="FF893" s="19"/>
      <c r="FG893" s="19"/>
      <c r="FH893" s="21" t="s">
        <v>197</v>
      </c>
      <c r="FI893" s="17" t="s">
        <v>214</v>
      </c>
      <c r="FJ893" s="18">
        <v>45723.33924768519</v>
      </c>
      <c r="FK893" s="14" t="s">
        <v>17858</v>
      </c>
      <c r="FL893" s="14" t="s">
        <v>17859</v>
      </c>
      <c r="FM893" s="14" t="s">
        <v>17860</v>
      </c>
      <c r="FN893" s="19"/>
      <c r="FO893" s="19"/>
      <c r="FP893" s="19" t="str">
        <f t="shared" si="1"/>
        <v>Base de Dados_Images/TIT70023.Imagem do Equipamento-.221553.jpg</v>
      </c>
      <c r="FQ893" s="19"/>
      <c r="FR893" s="19"/>
    </row>
    <row r="894" ht="15.75" customHeight="1">
      <c r="A894" s="12" t="s">
        <v>547</v>
      </c>
      <c r="B894" s="12" t="s">
        <v>3410</v>
      </c>
      <c r="C894" s="24" t="s">
        <v>375</v>
      </c>
      <c r="D894" s="22" t="s">
        <v>17861</v>
      </c>
      <c r="E894" s="22" t="s">
        <v>17862</v>
      </c>
      <c r="F894" s="13" t="s">
        <v>178</v>
      </c>
      <c r="G894" s="14" t="s">
        <v>179</v>
      </c>
      <c r="H894" s="14" t="s">
        <v>17863</v>
      </c>
      <c r="I894" s="14" t="s">
        <v>179</v>
      </c>
      <c r="J894" s="14" t="s">
        <v>17863</v>
      </c>
      <c r="K894" s="14" t="s">
        <v>179</v>
      </c>
      <c r="L894" s="14" t="s">
        <v>17864</v>
      </c>
      <c r="M894" s="14" t="s">
        <v>179</v>
      </c>
      <c r="N894" s="14" t="s">
        <v>17865</v>
      </c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6" t="s">
        <v>197</v>
      </c>
      <c r="BP894" s="17" t="s">
        <v>198</v>
      </c>
      <c r="BQ894" s="18">
        <v>45686.803090277775</v>
      </c>
      <c r="BR894" s="17" t="s">
        <v>198</v>
      </c>
      <c r="BS894" s="18">
        <v>45686.803125</v>
      </c>
      <c r="BT894" s="17" t="s">
        <v>198</v>
      </c>
      <c r="BU894" s="18">
        <v>45686.803125</v>
      </c>
      <c r="BV894" s="13" t="s">
        <v>199</v>
      </c>
      <c r="BW894" s="14" t="s">
        <v>179</v>
      </c>
      <c r="BX894" s="14" t="s">
        <v>17866</v>
      </c>
      <c r="BY894" s="14" t="s">
        <v>179</v>
      </c>
      <c r="BZ894" s="14" t="s">
        <v>17867</v>
      </c>
      <c r="CA894" s="14" t="s">
        <v>179</v>
      </c>
      <c r="CB894" s="14" t="s">
        <v>17868</v>
      </c>
      <c r="CC894" s="15"/>
      <c r="CD894" s="15"/>
      <c r="CE894" s="15"/>
      <c r="CF894" s="15"/>
      <c r="CG894" s="19"/>
      <c r="CH894" s="15"/>
      <c r="CI894" s="19"/>
      <c r="CJ894" s="15"/>
      <c r="CK894" s="19"/>
      <c r="CL894" s="15"/>
      <c r="CM894" s="19"/>
      <c r="CN894" s="15"/>
      <c r="CO894" s="19"/>
      <c r="CP894" s="15"/>
      <c r="CQ894" s="15"/>
      <c r="CR894" s="15"/>
      <c r="CS894" s="19"/>
      <c r="CT894" s="15"/>
      <c r="CU894" s="19"/>
      <c r="CV894" s="15"/>
      <c r="CW894" s="19"/>
      <c r="CX894" s="15"/>
      <c r="CY894" s="19"/>
      <c r="CZ894" s="15"/>
      <c r="DA894" s="16" t="s">
        <v>197</v>
      </c>
      <c r="DB894" s="17" t="s">
        <v>228</v>
      </c>
      <c r="DC894" s="16"/>
      <c r="DD894" s="17" t="s">
        <v>198</v>
      </c>
      <c r="DE894" s="18">
        <v>45694.60267361111</v>
      </c>
      <c r="DF894" s="17" t="s">
        <v>198</v>
      </c>
      <c r="DG894" s="18">
        <v>45694.60267361111</v>
      </c>
      <c r="DH894" s="13" t="s">
        <v>205</v>
      </c>
      <c r="DI894" s="14" t="s">
        <v>179</v>
      </c>
      <c r="DJ894" s="14" t="s">
        <v>17869</v>
      </c>
      <c r="DK894" s="14" t="s">
        <v>179</v>
      </c>
      <c r="DL894" s="14" t="s">
        <v>17869</v>
      </c>
      <c r="DM894" s="15"/>
      <c r="DN894" s="15"/>
      <c r="DO894" s="15"/>
      <c r="DP894" s="15"/>
      <c r="DQ894" s="15"/>
      <c r="DR894" s="15"/>
      <c r="DS894" s="15"/>
      <c r="DT894" s="15"/>
      <c r="DU894" s="15"/>
      <c r="DV894" s="15"/>
      <c r="DW894" s="15"/>
      <c r="DX894" s="15"/>
      <c r="DY894" s="15"/>
      <c r="DZ894" s="15"/>
      <c r="EA894" s="15"/>
      <c r="EB894" s="15"/>
      <c r="EC894" s="16" t="s">
        <v>197</v>
      </c>
      <c r="ED894" s="17" t="s">
        <v>198</v>
      </c>
      <c r="EE894" s="18">
        <v>45707.69793981482</v>
      </c>
      <c r="EF894" s="13" t="s">
        <v>209</v>
      </c>
      <c r="EG894" s="14" t="s">
        <v>179</v>
      </c>
      <c r="EH894" s="14" t="s">
        <v>17870</v>
      </c>
      <c r="EI894" s="14" t="s">
        <v>179</v>
      </c>
      <c r="EJ894" s="14" t="s">
        <v>17870</v>
      </c>
      <c r="EK894" s="15"/>
      <c r="EL894" s="15"/>
      <c r="EM894" s="15"/>
      <c r="EN894" s="15"/>
      <c r="EO894" s="15"/>
      <c r="EP894" s="15"/>
      <c r="EQ894" s="15"/>
      <c r="ER894" s="15"/>
      <c r="ES894" s="15"/>
      <c r="ET894" s="15"/>
      <c r="EU894" s="15"/>
      <c r="EV894" s="15"/>
      <c r="EW894" s="15"/>
      <c r="EX894" s="15"/>
      <c r="EY894" s="15"/>
      <c r="EZ894" s="15"/>
      <c r="FA894" s="15"/>
      <c r="FB894" s="15"/>
      <c r="FC894" s="16" t="s">
        <v>197</v>
      </c>
      <c r="FD894" s="17" t="s">
        <v>198</v>
      </c>
      <c r="FE894" s="18">
        <v>45723.33986111111</v>
      </c>
      <c r="FF894" s="19"/>
      <c r="FG894" s="19"/>
      <c r="FH894" s="21" t="s">
        <v>197</v>
      </c>
      <c r="FI894" s="17" t="s">
        <v>214</v>
      </c>
      <c r="FJ894" s="18">
        <v>45723.33986111111</v>
      </c>
      <c r="FK894" s="14" t="s">
        <v>17870</v>
      </c>
      <c r="FL894" s="14" t="s">
        <v>17871</v>
      </c>
      <c r="FM894" s="14" t="s">
        <v>17872</v>
      </c>
      <c r="FN894" s="19"/>
      <c r="FO894" s="19"/>
      <c r="FP894" s="19" t="str">
        <f t="shared" si="1"/>
        <v>Base de Dados_Images/TIT70024.Imagem do Equipamento-.221638.jpg</v>
      </c>
      <c r="FQ894" s="19"/>
      <c r="FR894" s="19"/>
    </row>
    <row r="895" ht="15.75" customHeight="1">
      <c r="A895" s="12" t="s">
        <v>357</v>
      </c>
      <c r="B895" s="12" t="s">
        <v>358</v>
      </c>
      <c r="C895" s="24" t="s">
        <v>375</v>
      </c>
      <c r="D895" s="22" t="s">
        <v>17873</v>
      </c>
      <c r="E895" s="22" t="s">
        <v>17874</v>
      </c>
      <c r="F895" s="13" t="s">
        <v>178</v>
      </c>
      <c r="G895" s="14" t="s">
        <v>179</v>
      </c>
      <c r="H895" s="14" t="s">
        <v>17875</v>
      </c>
      <c r="I895" s="14" t="s">
        <v>179</v>
      </c>
      <c r="J895" s="14" t="s">
        <v>17876</v>
      </c>
      <c r="K895" s="14" t="s">
        <v>179</v>
      </c>
      <c r="L895" s="14" t="s">
        <v>17877</v>
      </c>
      <c r="M895" s="14" t="s">
        <v>179</v>
      </c>
      <c r="N895" s="14" t="s">
        <v>17878</v>
      </c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6" t="s">
        <v>197</v>
      </c>
      <c r="BP895" s="17" t="s">
        <v>198</v>
      </c>
      <c r="BQ895" s="18">
        <v>45686.60670138889</v>
      </c>
      <c r="BR895" s="17" t="s">
        <v>198</v>
      </c>
      <c r="BS895" s="18">
        <v>45686.606770833336</v>
      </c>
      <c r="BT895" s="17" t="s">
        <v>198</v>
      </c>
      <c r="BU895" s="18">
        <v>45686.606770833336</v>
      </c>
      <c r="BV895" s="13" t="s">
        <v>199</v>
      </c>
      <c r="BW895" s="14" t="s">
        <v>179</v>
      </c>
      <c r="BX895" s="14" t="s">
        <v>17879</v>
      </c>
      <c r="BY895" s="14" t="s">
        <v>179</v>
      </c>
      <c r="BZ895" s="14" t="s">
        <v>17880</v>
      </c>
      <c r="CA895" s="14" t="s">
        <v>179</v>
      </c>
      <c r="CB895" s="14" t="s">
        <v>17881</v>
      </c>
      <c r="CC895" s="15"/>
      <c r="CD895" s="15"/>
      <c r="CE895" s="15"/>
      <c r="CF895" s="15"/>
      <c r="CG895" s="19"/>
      <c r="CH895" s="15"/>
      <c r="CI895" s="19"/>
      <c r="CJ895" s="15"/>
      <c r="CK895" s="19"/>
      <c r="CL895" s="15"/>
      <c r="CM895" s="19"/>
      <c r="CN895" s="15"/>
      <c r="CO895" s="19"/>
      <c r="CP895" s="15"/>
      <c r="CQ895" s="15"/>
      <c r="CR895" s="15"/>
      <c r="CS895" s="19"/>
      <c r="CT895" s="15"/>
      <c r="CU895" s="19"/>
      <c r="CV895" s="15"/>
      <c r="CW895" s="19"/>
      <c r="CX895" s="15"/>
      <c r="CY895" s="19"/>
      <c r="CZ895" s="15"/>
      <c r="DA895" s="16" t="s">
        <v>197</v>
      </c>
      <c r="DB895" s="17" t="s">
        <v>228</v>
      </c>
      <c r="DC895" s="16"/>
      <c r="DD895" s="17" t="s">
        <v>198</v>
      </c>
      <c r="DE895" s="18">
        <v>45699.528229166666</v>
      </c>
      <c r="DF895" s="17" t="s">
        <v>198</v>
      </c>
      <c r="DG895" s="18">
        <v>45699.528229166666</v>
      </c>
      <c r="DH895" s="13" t="s">
        <v>205</v>
      </c>
      <c r="DI895" s="14" t="s">
        <v>179</v>
      </c>
      <c r="DJ895" s="14" t="s">
        <v>17882</v>
      </c>
      <c r="DK895" s="14" t="s">
        <v>179</v>
      </c>
      <c r="DL895" s="14" t="s">
        <v>17883</v>
      </c>
      <c r="DM895" s="15"/>
      <c r="DN895" s="15"/>
      <c r="DO895" s="15"/>
      <c r="DP895" s="15"/>
      <c r="DQ895" s="15"/>
      <c r="DR895" s="15"/>
      <c r="DS895" s="15"/>
      <c r="DT895" s="15"/>
      <c r="DU895" s="15"/>
      <c r="DV895" s="15"/>
      <c r="DW895" s="15"/>
      <c r="DX895" s="15"/>
      <c r="DY895" s="15"/>
      <c r="DZ895" s="15"/>
      <c r="EA895" s="15"/>
      <c r="EB895" s="15"/>
      <c r="EC895" s="16" t="s">
        <v>197</v>
      </c>
      <c r="ED895" s="17" t="s">
        <v>198</v>
      </c>
      <c r="EE895" s="18">
        <v>45708.47460648148</v>
      </c>
      <c r="EF895" s="13" t="s">
        <v>209</v>
      </c>
      <c r="EG895" s="14" t="s">
        <v>179</v>
      </c>
      <c r="EH895" s="14" t="s">
        <v>17884</v>
      </c>
      <c r="EI895" s="14" t="s">
        <v>179</v>
      </c>
      <c r="EJ895" s="14" t="s">
        <v>17885</v>
      </c>
      <c r="EK895" s="15"/>
      <c r="EL895" s="15"/>
      <c r="EM895" s="15"/>
      <c r="EN895" s="15"/>
      <c r="EO895" s="15"/>
      <c r="EP895" s="15"/>
      <c r="EQ895" s="15"/>
      <c r="ER895" s="15"/>
      <c r="ES895" s="15"/>
      <c r="ET895" s="15"/>
      <c r="EU895" s="15"/>
      <c r="EV895" s="15"/>
      <c r="EW895" s="15"/>
      <c r="EX895" s="15"/>
      <c r="EY895" s="15"/>
      <c r="EZ895" s="15"/>
      <c r="FA895" s="15"/>
      <c r="FB895" s="15"/>
      <c r="FC895" s="16" t="s">
        <v>197</v>
      </c>
      <c r="FD895" s="17" t="s">
        <v>198</v>
      </c>
      <c r="FE895" s="18">
        <v>45713.38224537037</v>
      </c>
      <c r="FF895" s="19"/>
      <c r="FG895" s="19"/>
      <c r="FH895" s="21" t="s">
        <v>197</v>
      </c>
      <c r="FI895" s="17" t="s">
        <v>214</v>
      </c>
      <c r="FJ895" s="18">
        <v>45713.38224537037</v>
      </c>
      <c r="FK895" s="14" t="s">
        <v>17885</v>
      </c>
      <c r="FL895" s="14" t="s">
        <v>17886</v>
      </c>
      <c r="FM895" s="14" t="s">
        <v>17887</v>
      </c>
      <c r="FN895" s="19"/>
      <c r="FO895" s="19"/>
      <c r="FP895" s="19" t="str">
        <f t="shared" si="1"/>
        <v>Base de Dados_Images/TIT81001.Imagem do Equipamento-.182420.jpg</v>
      </c>
      <c r="FQ895" s="19"/>
      <c r="FR895" s="19"/>
    </row>
    <row r="896" ht="15.75" customHeight="1">
      <c r="A896" s="12" t="s">
        <v>357</v>
      </c>
      <c r="B896" s="12" t="s">
        <v>358</v>
      </c>
      <c r="C896" s="24" t="s">
        <v>375</v>
      </c>
      <c r="D896" s="22" t="s">
        <v>17888</v>
      </c>
      <c r="E896" s="22" t="s">
        <v>17889</v>
      </c>
      <c r="F896" s="13" t="s">
        <v>178</v>
      </c>
      <c r="G896" s="14" t="s">
        <v>179</v>
      </c>
      <c r="H896" s="14" t="s">
        <v>17890</v>
      </c>
      <c r="I896" s="14" t="s">
        <v>179</v>
      </c>
      <c r="J896" s="14" t="s">
        <v>17891</v>
      </c>
      <c r="K896" s="14" t="s">
        <v>179</v>
      </c>
      <c r="L896" s="14" t="s">
        <v>17892</v>
      </c>
      <c r="M896" s="14" t="s">
        <v>179</v>
      </c>
      <c r="N896" s="14" t="s">
        <v>17893</v>
      </c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6" t="s">
        <v>197</v>
      </c>
      <c r="BP896" s="17" t="s">
        <v>198</v>
      </c>
      <c r="BQ896" s="18">
        <v>45687.45689814815</v>
      </c>
      <c r="BR896" s="17" t="s">
        <v>198</v>
      </c>
      <c r="BS896" s="18">
        <v>45687.457037037035</v>
      </c>
      <c r="BT896" s="17" t="s">
        <v>198</v>
      </c>
      <c r="BU896" s="18">
        <v>45687.457037037035</v>
      </c>
      <c r="BV896" s="13" t="s">
        <v>199</v>
      </c>
      <c r="BW896" s="14" t="s">
        <v>179</v>
      </c>
      <c r="BX896" s="14" t="s">
        <v>17894</v>
      </c>
      <c r="BY896" s="14" t="s">
        <v>179</v>
      </c>
      <c r="BZ896" s="14" t="s">
        <v>17895</v>
      </c>
      <c r="CA896" s="14" t="s">
        <v>179</v>
      </c>
      <c r="CB896" s="14" t="s">
        <v>17896</v>
      </c>
      <c r="CC896" s="15"/>
      <c r="CD896" s="15"/>
      <c r="CE896" s="15"/>
      <c r="CF896" s="15"/>
      <c r="CG896" s="19"/>
      <c r="CH896" s="15"/>
      <c r="CI896" s="19"/>
      <c r="CJ896" s="15"/>
      <c r="CK896" s="19"/>
      <c r="CL896" s="15"/>
      <c r="CM896" s="19"/>
      <c r="CN896" s="15"/>
      <c r="CO896" s="19"/>
      <c r="CP896" s="15"/>
      <c r="CQ896" s="15"/>
      <c r="CR896" s="15"/>
      <c r="CS896" s="19"/>
      <c r="CT896" s="15"/>
      <c r="CU896" s="19"/>
      <c r="CV896" s="15"/>
      <c r="CW896" s="19"/>
      <c r="CX896" s="15"/>
      <c r="CY896" s="19"/>
      <c r="CZ896" s="15"/>
      <c r="DA896" s="16" t="s">
        <v>197</v>
      </c>
      <c r="DB896" s="17" t="s">
        <v>228</v>
      </c>
      <c r="DC896" s="16"/>
      <c r="DD896" s="17" t="s">
        <v>198</v>
      </c>
      <c r="DE896" s="18">
        <v>45699.52150462963</v>
      </c>
      <c r="DF896" s="17" t="s">
        <v>198</v>
      </c>
      <c r="DG896" s="18">
        <v>45699.52150462963</v>
      </c>
      <c r="DH896" s="13" t="s">
        <v>205</v>
      </c>
      <c r="DI896" s="14" t="s">
        <v>179</v>
      </c>
      <c r="DJ896" s="14" t="s">
        <v>17897</v>
      </c>
      <c r="DK896" s="14" t="s">
        <v>179</v>
      </c>
      <c r="DL896" s="14" t="s">
        <v>17898</v>
      </c>
      <c r="DM896" s="15"/>
      <c r="DN896" s="15"/>
      <c r="DO896" s="15"/>
      <c r="DP896" s="15"/>
      <c r="DQ896" s="15"/>
      <c r="DR896" s="15"/>
      <c r="DS896" s="15"/>
      <c r="DT896" s="15"/>
      <c r="DU896" s="15"/>
      <c r="DV896" s="15"/>
      <c r="DW896" s="15"/>
      <c r="DX896" s="15"/>
      <c r="DY896" s="15"/>
      <c r="DZ896" s="15"/>
      <c r="EA896" s="15"/>
      <c r="EB896" s="15"/>
      <c r="EC896" s="16" t="s">
        <v>197</v>
      </c>
      <c r="ED896" s="17" t="s">
        <v>198</v>
      </c>
      <c r="EE896" s="18">
        <v>45708.47510416667</v>
      </c>
      <c r="EF896" s="13" t="s">
        <v>209</v>
      </c>
      <c r="EG896" s="14" t="s">
        <v>179</v>
      </c>
      <c r="EH896" s="14" t="s">
        <v>17899</v>
      </c>
      <c r="EI896" s="14" t="s">
        <v>179</v>
      </c>
      <c r="EJ896" s="14" t="s">
        <v>17900</v>
      </c>
      <c r="EK896" s="15"/>
      <c r="EL896" s="15"/>
      <c r="EM896" s="15"/>
      <c r="EN896" s="15"/>
      <c r="EO896" s="15"/>
      <c r="EP896" s="15"/>
      <c r="EQ896" s="15"/>
      <c r="ER896" s="15"/>
      <c r="ES896" s="15"/>
      <c r="ET896" s="15"/>
      <c r="EU896" s="15"/>
      <c r="EV896" s="15"/>
      <c r="EW896" s="15"/>
      <c r="EX896" s="15"/>
      <c r="EY896" s="15"/>
      <c r="EZ896" s="15"/>
      <c r="FA896" s="15"/>
      <c r="FB896" s="15"/>
      <c r="FC896" s="16" t="s">
        <v>197</v>
      </c>
      <c r="FD896" s="17" t="s">
        <v>198</v>
      </c>
      <c r="FE896" s="18">
        <v>45713.38275462963</v>
      </c>
      <c r="FF896" s="19"/>
      <c r="FG896" s="19"/>
      <c r="FH896" s="21" t="s">
        <v>197</v>
      </c>
      <c r="FI896" s="17" t="s">
        <v>214</v>
      </c>
      <c r="FJ896" s="18">
        <v>45713.38275462963</v>
      </c>
      <c r="FK896" s="14" t="s">
        <v>17900</v>
      </c>
      <c r="FL896" s="14" t="s">
        <v>17901</v>
      </c>
      <c r="FM896" s="14" t="s">
        <v>17902</v>
      </c>
      <c r="FN896" s="19"/>
      <c r="FO896" s="19"/>
      <c r="FP896" s="19" t="str">
        <f t="shared" si="1"/>
        <v>Base de Dados_Images/TIT81003.Imagem do Equipamento-.145932.jpg</v>
      </c>
      <c r="FQ896" s="19"/>
      <c r="FR896" s="19"/>
    </row>
    <row r="897" ht="15.75" customHeight="1">
      <c r="A897" s="12" t="s">
        <v>357</v>
      </c>
      <c r="B897" s="12" t="s">
        <v>358</v>
      </c>
      <c r="C897" s="24" t="s">
        <v>375</v>
      </c>
      <c r="D897" s="22" t="s">
        <v>17903</v>
      </c>
      <c r="E897" s="22" t="s">
        <v>17904</v>
      </c>
      <c r="F897" s="13" t="s">
        <v>178</v>
      </c>
      <c r="G897" s="14" t="s">
        <v>179</v>
      </c>
      <c r="H897" s="14" t="s">
        <v>17905</v>
      </c>
      <c r="I897" s="14" t="s">
        <v>179</v>
      </c>
      <c r="J897" s="14" t="s">
        <v>17905</v>
      </c>
      <c r="K897" s="14" t="s">
        <v>179</v>
      </c>
      <c r="L897" s="14" t="s">
        <v>17906</v>
      </c>
      <c r="M897" s="14" t="s">
        <v>179</v>
      </c>
      <c r="N897" s="14" t="s">
        <v>17907</v>
      </c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6" t="s">
        <v>197</v>
      </c>
      <c r="BP897" s="17" t="s">
        <v>198</v>
      </c>
      <c r="BQ897" s="18">
        <v>45693.68671296296</v>
      </c>
      <c r="BR897" s="17" t="s">
        <v>198</v>
      </c>
      <c r="BS897" s="18">
        <v>45693.68671296296</v>
      </c>
      <c r="BT897" s="17" t="s">
        <v>198</v>
      </c>
      <c r="BU897" s="18">
        <v>45693.68671296296</v>
      </c>
      <c r="BV897" s="13" t="s">
        <v>199</v>
      </c>
      <c r="BW897" s="14" t="s">
        <v>179</v>
      </c>
      <c r="BX897" s="14" t="s">
        <v>17908</v>
      </c>
      <c r="BY897" s="14" t="s">
        <v>179</v>
      </c>
      <c r="BZ897" s="14" t="s">
        <v>17909</v>
      </c>
      <c r="CA897" s="14" t="s">
        <v>179</v>
      </c>
      <c r="CB897" s="14" t="s">
        <v>17910</v>
      </c>
      <c r="CC897" s="15"/>
      <c r="CD897" s="15"/>
      <c r="CE897" s="15"/>
      <c r="CF897" s="15"/>
      <c r="CG897" s="19"/>
      <c r="CH897" s="15"/>
      <c r="CI897" s="19"/>
      <c r="CJ897" s="15"/>
      <c r="CK897" s="19"/>
      <c r="CL897" s="15"/>
      <c r="CM897" s="19"/>
      <c r="CN897" s="15"/>
      <c r="CO897" s="19"/>
      <c r="CP897" s="15"/>
      <c r="CQ897" s="15"/>
      <c r="CR897" s="15"/>
      <c r="CS897" s="19"/>
      <c r="CT897" s="15"/>
      <c r="CU897" s="19"/>
      <c r="CV897" s="15"/>
      <c r="CW897" s="19"/>
      <c r="CX897" s="15"/>
      <c r="CY897" s="19"/>
      <c r="CZ897" s="15"/>
      <c r="DA897" s="16" t="s">
        <v>197</v>
      </c>
      <c r="DB897" s="17" t="s">
        <v>228</v>
      </c>
      <c r="DC897" s="16"/>
      <c r="DD897" s="17" t="s">
        <v>198</v>
      </c>
      <c r="DE897" s="18">
        <v>45699.52626157407</v>
      </c>
      <c r="DF897" s="17" t="s">
        <v>198</v>
      </c>
      <c r="DG897" s="18">
        <v>45699.52626157407</v>
      </c>
      <c r="DH897" s="13" t="s">
        <v>205</v>
      </c>
      <c r="DI897" s="14" t="s">
        <v>179</v>
      </c>
      <c r="DJ897" s="14" t="s">
        <v>17911</v>
      </c>
      <c r="DK897" s="14" t="s">
        <v>179</v>
      </c>
      <c r="DL897" s="14" t="s">
        <v>17912</v>
      </c>
      <c r="DM897" s="15"/>
      <c r="DN897" s="15"/>
      <c r="DO897" s="15"/>
      <c r="DP897" s="15"/>
      <c r="DQ897" s="15"/>
      <c r="DR897" s="15"/>
      <c r="DS897" s="15"/>
      <c r="DT897" s="15"/>
      <c r="DU897" s="15"/>
      <c r="DV897" s="15"/>
      <c r="DW897" s="15"/>
      <c r="DX897" s="15"/>
      <c r="DY897" s="15"/>
      <c r="DZ897" s="15"/>
      <c r="EA897" s="15"/>
      <c r="EB897" s="15"/>
      <c r="EC897" s="16" t="s">
        <v>197</v>
      </c>
      <c r="ED897" s="17" t="s">
        <v>198</v>
      </c>
      <c r="EE897" s="18">
        <v>45705.477013888885</v>
      </c>
      <c r="EF897" s="13" t="s">
        <v>209</v>
      </c>
      <c r="EG897" s="14" t="s">
        <v>179</v>
      </c>
      <c r="EH897" s="14" t="s">
        <v>17913</v>
      </c>
      <c r="EI897" s="14" t="s">
        <v>179</v>
      </c>
      <c r="EJ897" s="14" t="s">
        <v>17913</v>
      </c>
      <c r="EK897" s="15"/>
      <c r="EL897" s="15"/>
      <c r="EM897" s="15"/>
      <c r="EN897" s="15"/>
      <c r="EO897" s="15"/>
      <c r="EP897" s="15"/>
      <c r="EQ897" s="15"/>
      <c r="ER897" s="15"/>
      <c r="ES897" s="15"/>
      <c r="ET897" s="15"/>
      <c r="EU897" s="15"/>
      <c r="EV897" s="15"/>
      <c r="EW897" s="15"/>
      <c r="EX897" s="15"/>
      <c r="EY897" s="15"/>
      <c r="EZ897" s="15"/>
      <c r="FA897" s="15"/>
      <c r="FB897" s="15"/>
      <c r="FC897" s="16" t="s">
        <v>197</v>
      </c>
      <c r="FD897" s="17" t="s">
        <v>198</v>
      </c>
      <c r="FE897" s="18">
        <v>45705.477060185185</v>
      </c>
      <c r="FF897" s="19"/>
      <c r="FG897" s="19"/>
      <c r="FH897" s="21" t="s">
        <v>197</v>
      </c>
      <c r="FI897" s="17" t="s">
        <v>214</v>
      </c>
      <c r="FJ897" s="18">
        <v>45705.477060185185</v>
      </c>
      <c r="FK897" s="14" t="s">
        <v>17913</v>
      </c>
      <c r="FL897" s="19"/>
      <c r="FM897" s="19"/>
      <c r="FN897" s="19"/>
      <c r="FO897" s="19"/>
      <c r="FP897" s="19" t="str">
        <f t="shared" si="1"/>
        <v/>
      </c>
      <c r="FQ897" s="14" t="s">
        <v>215</v>
      </c>
      <c r="FR897" s="14" t="s">
        <v>17914</v>
      </c>
    </row>
    <row r="898" ht="15.75" customHeight="1">
      <c r="A898" s="12" t="s">
        <v>357</v>
      </c>
      <c r="B898" s="12" t="s">
        <v>358</v>
      </c>
      <c r="C898" s="24" t="s">
        <v>375</v>
      </c>
      <c r="D898" s="22" t="s">
        <v>17915</v>
      </c>
      <c r="E898" s="22" t="s">
        <v>17916</v>
      </c>
      <c r="F898" s="13" t="s">
        <v>178</v>
      </c>
      <c r="G898" s="14" t="s">
        <v>179</v>
      </c>
      <c r="H898" s="14" t="s">
        <v>17917</v>
      </c>
      <c r="I898" s="14" t="s">
        <v>179</v>
      </c>
      <c r="J898" s="14" t="s">
        <v>17918</v>
      </c>
      <c r="K898" s="14" t="s">
        <v>179</v>
      </c>
      <c r="L898" s="14" t="s">
        <v>17918</v>
      </c>
      <c r="M898" s="14" t="s">
        <v>179</v>
      </c>
      <c r="N898" s="14" t="s">
        <v>17919</v>
      </c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6" t="s">
        <v>197</v>
      </c>
      <c r="BP898" s="17" t="s">
        <v>198</v>
      </c>
      <c r="BQ898" s="18">
        <v>45689.37457175926</v>
      </c>
      <c r="BR898" s="17" t="s">
        <v>198</v>
      </c>
      <c r="BS898" s="18">
        <v>45689.374606481484</v>
      </c>
      <c r="BT898" s="17" t="s">
        <v>198</v>
      </c>
      <c r="BU898" s="18">
        <v>45689.374606481484</v>
      </c>
      <c r="BV898" s="13" t="s">
        <v>199</v>
      </c>
      <c r="BW898" s="14" t="s">
        <v>179</v>
      </c>
      <c r="BX898" s="14" t="s">
        <v>17920</v>
      </c>
      <c r="BY898" s="14" t="s">
        <v>179</v>
      </c>
      <c r="BZ898" s="14" t="s">
        <v>17921</v>
      </c>
      <c r="CA898" s="14" t="s">
        <v>179</v>
      </c>
      <c r="CB898" s="14" t="s">
        <v>17922</v>
      </c>
      <c r="CC898" s="15"/>
      <c r="CD898" s="15"/>
      <c r="CE898" s="15"/>
      <c r="CF898" s="15"/>
      <c r="CG898" s="19"/>
      <c r="CH898" s="15"/>
      <c r="CI898" s="19"/>
      <c r="CJ898" s="15"/>
      <c r="CK898" s="19"/>
      <c r="CL898" s="15"/>
      <c r="CM898" s="19"/>
      <c r="CN898" s="15"/>
      <c r="CO898" s="19"/>
      <c r="CP898" s="15"/>
      <c r="CQ898" s="15"/>
      <c r="CR898" s="15"/>
      <c r="CS898" s="19"/>
      <c r="CT898" s="15"/>
      <c r="CU898" s="19"/>
      <c r="CV898" s="15"/>
      <c r="CW898" s="19"/>
      <c r="CX898" s="15"/>
      <c r="CY898" s="19"/>
      <c r="CZ898" s="15"/>
      <c r="DA898" s="16" t="s">
        <v>197</v>
      </c>
      <c r="DB898" s="17" t="s">
        <v>228</v>
      </c>
      <c r="DC898" s="16"/>
      <c r="DD898" s="17" t="s">
        <v>198</v>
      </c>
      <c r="DE898" s="18">
        <v>45699.526504629626</v>
      </c>
      <c r="DF898" s="17" t="s">
        <v>198</v>
      </c>
      <c r="DG898" s="18">
        <v>45699.526504629626</v>
      </c>
      <c r="DH898" s="13" t="s">
        <v>205</v>
      </c>
      <c r="DI898" s="14" t="s">
        <v>179</v>
      </c>
      <c r="DJ898" s="14" t="s">
        <v>17923</v>
      </c>
      <c r="DK898" s="14" t="s">
        <v>179</v>
      </c>
      <c r="DL898" s="14" t="s">
        <v>17924</v>
      </c>
      <c r="DM898" s="15"/>
      <c r="DN898" s="15"/>
      <c r="DO898" s="15"/>
      <c r="DP898" s="15"/>
      <c r="DQ898" s="15"/>
      <c r="DR898" s="15"/>
      <c r="DS898" s="15"/>
      <c r="DT898" s="15"/>
      <c r="DU898" s="15"/>
      <c r="DV898" s="15"/>
      <c r="DW898" s="15"/>
      <c r="DX898" s="15"/>
      <c r="DY898" s="15"/>
      <c r="DZ898" s="15"/>
      <c r="EA898" s="15"/>
      <c r="EB898" s="15"/>
      <c r="EC898" s="16" t="s">
        <v>197</v>
      </c>
      <c r="ED898" s="17" t="s">
        <v>198</v>
      </c>
      <c r="EE898" s="18">
        <v>45708.48081018519</v>
      </c>
      <c r="EF898" s="13" t="s">
        <v>209</v>
      </c>
      <c r="EG898" s="14" t="s">
        <v>179</v>
      </c>
      <c r="EH898" s="14" t="s">
        <v>17925</v>
      </c>
      <c r="EI898" s="14" t="s">
        <v>179</v>
      </c>
      <c r="EJ898" s="14" t="s">
        <v>17926</v>
      </c>
      <c r="EK898" s="15"/>
      <c r="EL898" s="15"/>
      <c r="EM898" s="15"/>
      <c r="EN898" s="15"/>
      <c r="EO898" s="15"/>
      <c r="EP898" s="15"/>
      <c r="EQ898" s="15"/>
      <c r="ER898" s="15"/>
      <c r="ES898" s="15"/>
      <c r="ET898" s="15"/>
      <c r="EU898" s="15"/>
      <c r="EV898" s="15"/>
      <c r="EW898" s="15"/>
      <c r="EX898" s="15"/>
      <c r="EY898" s="15"/>
      <c r="EZ898" s="15"/>
      <c r="FA898" s="15"/>
      <c r="FB898" s="15"/>
      <c r="FC898" s="16" t="s">
        <v>197</v>
      </c>
      <c r="FD898" s="17" t="s">
        <v>198</v>
      </c>
      <c r="FE898" s="18">
        <v>45713.38327546296</v>
      </c>
      <c r="FF898" s="19"/>
      <c r="FG898" s="19"/>
      <c r="FH898" s="21" t="s">
        <v>197</v>
      </c>
      <c r="FI898" s="17" t="s">
        <v>214</v>
      </c>
      <c r="FJ898" s="18">
        <v>45713.38327546296</v>
      </c>
      <c r="FK898" s="14" t="s">
        <v>17926</v>
      </c>
      <c r="FL898" s="14" t="s">
        <v>17927</v>
      </c>
      <c r="FM898" s="14" t="s">
        <v>17928</v>
      </c>
      <c r="FN898" s="19"/>
      <c r="FO898" s="19"/>
      <c r="FP898" s="19" t="str">
        <f t="shared" si="1"/>
        <v>Base de Dados_Images/TIT81006B.Imagem do Equipamento-.130748.jpg</v>
      </c>
      <c r="FQ898" s="14"/>
      <c r="FR898" s="14"/>
    </row>
    <row r="899" ht="15.75" customHeight="1">
      <c r="A899" s="12" t="s">
        <v>357</v>
      </c>
      <c r="B899" s="12" t="s">
        <v>358</v>
      </c>
      <c r="C899" s="24" t="s">
        <v>375</v>
      </c>
      <c r="D899" s="22" t="s">
        <v>17929</v>
      </c>
      <c r="E899" s="22" t="s">
        <v>17930</v>
      </c>
      <c r="F899" s="13" t="s">
        <v>178</v>
      </c>
      <c r="G899" s="14" t="s">
        <v>188</v>
      </c>
      <c r="H899" s="14" t="s">
        <v>17931</v>
      </c>
      <c r="I899" s="14" t="s">
        <v>188</v>
      </c>
      <c r="J899" s="14" t="s">
        <v>17932</v>
      </c>
      <c r="K899" s="14" t="s">
        <v>188</v>
      </c>
      <c r="L899" s="14" t="s">
        <v>17933</v>
      </c>
      <c r="M899" s="14" t="s">
        <v>188</v>
      </c>
      <c r="N899" s="14" t="s">
        <v>17934</v>
      </c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6" t="s">
        <v>197</v>
      </c>
      <c r="BP899" s="17" t="s">
        <v>198</v>
      </c>
      <c r="BQ899" s="18">
        <v>45686.61954861111</v>
      </c>
      <c r="BR899" s="17" t="s">
        <v>198</v>
      </c>
      <c r="BS899" s="18">
        <v>45686.61959490741</v>
      </c>
      <c r="BT899" s="17" t="s">
        <v>198</v>
      </c>
      <c r="BU899" s="18">
        <v>45686.61959490741</v>
      </c>
      <c r="BV899" s="13" t="s">
        <v>199</v>
      </c>
      <c r="BW899" s="14" t="s">
        <v>188</v>
      </c>
      <c r="BX899" s="14" t="s">
        <v>17935</v>
      </c>
      <c r="BY899" s="14" t="s">
        <v>188</v>
      </c>
      <c r="BZ899" s="14" t="s">
        <v>17936</v>
      </c>
      <c r="CA899" s="14" t="s">
        <v>188</v>
      </c>
      <c r="CB899" s="14" t="s">
        <v>17936</v>
      </c>
      <c r="CC899" s="15"/>
      <c r="CD899" s="15"/>
      <c r="CE899" s="15"/>
      <c r="CF899" s="15"/>
      <c r="CG899" s="19"/>
      <c r="CH899" s="15"/>
      <c r="CI899" s="19"/>
      <c r="CJ899" s="15"/>
      <c r="CK899" s="19"/>
      <c r="CL899" s="15"/>
      <c r="CM899" s="19"/>
      <c r="CN899" s="15"/>
      <c r="CO899" s="19"/>
      <c r="CP899" s="15"/>
      <c r="CQ899" s="15"/>
      <c r="CR899" s="15"/>
      <c r="CS899" s="19"/>
      <c r="CT899" s="15"/>
      <c r="CU899" s="19"/>
      <c r="CV899" s="15"/>
      <c r="CW899" s="19"/>
      <c r="CX899" s="15"/>
      <c r="CY899" s="19"/>
      <c r="CZ899" s="15"/>
      <c r="DA899" s="16" t="s">
        <v>197</v>
      </c>
      <c r="DB899" s="17" t="s">
        <v>228</v>
      </c>
      <c r="DC899" s="16"/>
      <c r="DD899" s="17" t="s">
        <v>198</v>
      </c>
      <c r="DE899" s="18">
        <v>45699.603634259256</v>
      </c>
      <c r="DF899" s="17" t="s">
        <v>198</v>
      </c>
      <c r="DG899" s="18">
        <v>45699.603634259256</v>
      </c>
      <c r="DH899" s="13" t="s">
        <v>205</v>
      </c>
      <c r="DI899" s="14" t="s">
        <v>188</v>
      </c>
      <c r="DJ899" s="14" t="s">
        <v>17937</v>
      </c>
      <c r="DK899" s="14" t="s">
        <v>188</v>
      </c>
      <c r="DL899" s="14" t="s">
        <v>17938</v>
      </c>
      <c r="DM899" s="15"/>
      <c r="DN899" s="15"/>
      <c r="DO899" s="15"/>
      <c r="DP899" s="15"/>
      <c r="DQ899" s="15"/>
      <c r="DR899" s="15"/>
      <c r="DS899" s="15"/>
      <c r="DT899" s="15"/>
      <c r="DU899" s="15"/>
      <c r="DV899" s="15"/>
      <c r="DW899" s="15"/>
      <c r="DX899" s="15"/>
      <c r="DY899" s="15"/>
      <c r="DZ899" s="15"/>
      <c r="EA899" s="15"/>
      <c r="EB899" s="15"/>
      <c r="EC899" s="16" t="s">
        <v>197</v>
      </c>
      <c r="ED899" s="17" t="s">
        <v>198</v>
      </c>
      <c r="EE899" s="18">
        <v>45699.603842592594</v>
      </c>
      <c r="EF899" s="13" t="s">
        <v>209</v>
      </c>
      <c r="EG899" s="14" t="s">
        <v>188</v>
      </c>
      <c r="EH899" s="14" t="s">
        <v>17939</v>
      </c>
      <c r="EI899" s="14" t="s">
        <v>188</v>
      </c>
      <c r="EJ899" s="14" t="s">
        <v>17940</v>
      </c>
      <c r="EK899" s="15"/>
      <c r="EL899" s="15"/>
      <c r="EM899" s="15"/>
      <c r="EN899" s="15"/>
      <c r="EO899" s="15"/>
      <c r="EP899" s="15"/>
      <c r="EQ899" s="15"/>
      <c r="ER899" s="15"/>
      <c r="ES899" s="15"/>
      <c r="ET899" s="15"/>
      <c r="EU899" s="15"/>
      <c r="EV899" s="15"/>
      <c r="EW899" s="15"/>
      <c r="EX899" s="15"/>
      <c r="EY899" s="15"/>
      <c r="EZ899" s="15"/>
      <c r="FA899" s="15"/>
      <c r="FB899" s="15"/>
      <c r="FC899" s="16" t="s">
        <v>197</v>
      </c>
      <c r="FD899" s="17" t="s">
        <v>198</v>
      </c>
      <c r="FE899" s="18">
        <v>45699.60391203704</v>
      </c>
      <c r="FF899" s="19"/>
      <c r="FG899" s="19"/>
      <c r="FH899" s="21" t="s">
        <v>197</v>
      </c>
      <c r="FI899" s="17" t="s">
        <v>214</v>
      </c>
      <c r="FJ899" s="18">
        <v>45699.60391203704</v>
      </c>
      <c r="FK899" s="14" t="s">
        <v>17940</v>
      </c>
      <c r="FL899" s="14" t="s">
        <v>17941</v>
      </c>
      <c r="FM899" s="14" t="s">
        <v>17942</v>
      </c>
      <c r="FN899" s="19"/>
      <c r="FO899" s="19"/>
      <c r="FP899" s="19" t="str">
        <f t="shared" si="1"/>
        <v>Base de Dados_Images/TIT81008.Imagem do Equipamento-.182626.jpg</v>
      </c>
      <c r="FQ899" s="19"/>
      <c r="FR899" s="19"/>
    </row>
    <row r="900" ht="15.75" customHeight="1">
      <c r="A900" s="12" t="s">
        <v>357</v>
      </c>
      <c r="B900" s="12" t="s">
        <v>358</v>
      </c>
      <c r="C900" s="24" t="s">
        <v>375</v>
      </c>
      <c r="D900" s="22" t="s">
        <v>17943</v>
      </c>
      <c r="E900" s="22" t="s">
        <v>17944</v>
      </c>
      <c r="F900" s="13" t="s">
        <v>178</v>
      </c>
      <c r="G900" s="14" t="s">
        <v>179</v>
      </c>
      <c r="H900" s="14" t="s">
        <v>17945</v>
      </c>
      <c r="I900" s="14" t="s">
        <v>179</v>
      </c>
      <c r="J900" s="14" t="s">
        <v>17946</v>
      </c>
      <c r="K900" s="14" t="s">
        <v>179</v>
      </c>
      <c r="L900" s="14" t="s">
        <v>17947</v>
      </c>
      <c r="M900" s="14" t="s">
        <v>179</v>
      </c>
      <c r="N900" s="14" t="s">
        <v>17948</v>
      </c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6" t="s">
        <v>197</v>
      </c>
      <c r="BP900" s="17" t="s">
        <v>198</v>
      </c>
      <c r="BQ900" s="18">
        <v>45686.6059837963</v>
      </c>
      <c r="BR900" s="17" t="s">
        <v>198</v>
      </c>
      <c r="BS900" s="18">
        <v>45686.606041666666</v>
      </c>
      <c r="BT900" s="17" t="s">
        <v>198</v>
      </c>
      <c r="BU900" s="18">
        <v>45686.606041666666</v>
      </c>
      <c r="BV900" s="13" t="s">
        <v>199</v>
      </c>
      <c r="BW900" s="14" t="s">
        <v>179</v>
      </c>
      <c r="BX900" s="14" t="s">
        <v>17949</v>
      </c>
      <c r="BY900" s="14" t="s">
        <v>179</v>
      </c>
      <c r="BZ900" s="14" t="s">
        <v>17950</v>
      </c>
      <c r="CA900" s="14" t="s">
        <v>179</v>
      </c>
      <c r="CB900" s="14" t="s">
        <v>17951</v>
      </c>
      <c r="CC900" s="15"/>
      <c r="CD900" s="15"/>
      <c r="CE900" s="15"/>
      <c r="CF900" s="15"/>
      <c r="CG900" s="19"/>
      <c r="CH900" s="15"/>
      <c r="CI900" s="19"/>
      <c r="CJ900" s="15"/>
      <c r="CK900" s="19"/>
      <c r="CL900" s="15"/>
      <c r="CM900" s="19"/>
      <c r="CN900" s="15"/>
      <c r="CO900" s="19"/>
      <c r="CP900" s="15"/>
      <c r="CQ900" s="15"/>
      <c r="CR900" s="15"/>
      <c r="CS900" s="19"/>
      <c r="CT900" s="15"/>
      <c r="CU900" s="19"/>
      <c r="CV900" s="15"/>
      <c r="CW900" s="19"/>
      <c r="CX900" s="15"/>
      <c r="CY900" s="19"/>
      <c r="CZ900" s="15"/>
      <c r="DA900" s="16" t="s">
        <v>197</v>
      </c>
      <c r="DB900" s="17" t="s">
        <v>228</v>
      </c>
      <c r="DC900" s="16"/>
      <c r="DD900" s="17" t="s">
        <v>198</v>
      </c>
      <c r="DE900" s="18">
        <v>45699.518900462965</v>
      </c>
      <c r="DF900" s="17" t="s">
        <v>198</v>
      </c>
      <c r="DG900" s="18">
        <v>45699.518900462965</v>
      </c>
      <c r="DH900" s="13" t="s">
        <v>205</v>
      </c>
      <c r="DI900" s="14" t="s">
        <v>179</v>
      </c>
      <c r="DJ900" s="14" t="s">
        <v>17952</v>
      </c>
      <c r="DK900" s="14" t="s">
        <v>179</v>
      </c>
      <c r="DL900" s="14" t="s">
        <v>17953</v>
      </c>
      <c r="DM900" s="15"/>
      <c r="DN900" s="15"/>
      <c r="DO900" s="15"/>
      <c r="DP900" s="15"/>
      <c r="DQ900" s="15"/>
      <c r="DR900" s="15"/>
      <c r="DS900" s="15"/>
      <c r="DT900" s="15"/>
      <c r="DU900" s="15"/>
      <c r="DV900" s="15"/>
      <c r="DW900" s="15"/>
      <c r="DX900" s="15"/>
      <c r="DY900" s="15"/>
      <c r="DZ900" s="15"/>
      <c r="EA900" s="15"/>
      <c r="EB900" s="15"/>
      <c r="EC900" s="16" t="s">
        <v>197</v>
      </c>
      <c r="ED900" s="17" t="s">
        <v>198</v>
      </c>
      <c r="EE900" s="18">
        <v>45708.475277777776</v>
      </c>
      <c r="EF900" s="13" t="s">
        <v>209</v>
      </c>
      <c r="EG900" s="14" t="s">
        <v>179</v>
      </c>
      <c r="EH900" s="14" t="s">
        <v>17954</v>
      </c>
      <c r="EI900" s="14" t="s">
        <v>179</v>
      </c>
      <c r="EJ900" s="14" t="s">
        <v>17955</v>
      </c>
      <c r="EK900" s="15"/>
      <c r="EL900" s="15"/>
      <c r="EM900" s="15"/>
      <c r="EN900" s="15"/>
      <c r="EO900" s="15"/>
      <c r="EP900" s="15"/>
      <c r="EQ900" s="15"/>
      <c r="ER900" s="15"/>
      <c r="ES900" s="15"/>
      <c r="ET900" s="15"/>
      <c r="EU900" s="15"/>
      <c r="EV900" s="15"/>
      <c r="EW900" s="15"/>
      <c r="EX900" s="15"/>
      <c r="EY900" s="15"/>
      <c r="EZ900" s="15"/>
      <c r="FA900" s="15"/>
      <c r="FB900" s="15"/>
      <c r="FC900" s="16" t="s">
        <v>197</v>
      </c>
      <c r="FD900" s="17" t="s">
        <v>198</v>
      </c>
      <c r="FE900" s="18">
        <v>45713.383368055554</v>
      </c>
      <c r="FF900" s="19"/>
      <c r="FG900" s="19"/>
      <c r="FH900" s="21" t="s">
        <v>197</v>
      </c>
      <c r="FI900" s="17" t="s">
        <v>214</v>
      </c>
      <c r="FJ900" s="18">
        <v>45713.383368055554</v>
      </c>
      <c r="FK900" s="14" t="s">
        <v>17955</v>
      </c>
      <c r="FL900" s="14" t="s">
        <v>17956</v>
      </c>
      <c r="FM900" s="14" t="s">
        <v>17957</v>
      </c>
      <c r="FN900" s="19"/>
      <c r="FO900" s="19"/>
      <c r="FP900" s="19" t="str">
        <f t="shared" si="1"/>
        <v>Base de Dados_Images/TIT81009.Imagem do Equipamento-.182337.jpg</v>
      </c>
      <c r="FQ900" s="19"/>
      <c r="FR900" s="19"/>
    </row>
    <row r="901" ht="15.75" customHeight="1">
      <c r="A901" s="25" t="s">
        <v>357</v>
      </c>
      <c r="B901" s="25" t="s">
        <v>358</v>
      </c>
      <c r="C901" s="26" t="s">
        <v>9260</v>
      </c>
      <c r="D901" s="25" t="s">
        <v>17958</v>
      </c>
      <c r="E901" s="25" t="s">
        <v>17959</v>
      </c>
      <c r="F901" s="27" t="s">
        <v>178</v>
      </c>
      <c r="G901" s="14" t="s">
        <v>179</v>
      </c>
      <c r="H901" s="14" t="s">
        <v>17960</v>
      </c>
      <c r="I901" s="14" t="s">
        <v>179</v>
      </c>
      <c r="J901" s="14" t="s">
        <v>17961</v>
      </c>
      <c r="K901" s="14" t="s">
        <v>179</v>
      </c>
      <c r="L901" s="14" t="s">
        <v>17962</v>
      </c>
      <c r="M901" s="14" t="s">
        <v>179</v>
      </c>
      <c r="N901" s="14" t="s">
        <v>17963</v>
      </c>
      <c r="O901" s="14" t="s">
        <v>179</v>
      </c>
      <c r="P901" s="14" t="s">
        <v>17964</v>
      </c>
      <c r="Q901" s="14" t="s">
        <v>179</v>
      </c>
      <c r="R901" s="14" t="s">
        <v>17965</v>
      </c>
      <c r="S901" s="14" t="s">
        <v>179</v>
      </c>
      <c r="T901" s="14" t="s">
        <v>17966</v>
      </c>
      <c r="U901" s="14" t="s">
        <v>179</v>
      </c>
      <c r="V901" s="14" t="s">
        <v>17967</v>
      </c>
      <c r="W901" s="14" t="s">
        <v>179</v>
      </c>
      <c r="X901" s="14" t="s">
        <v>17968</v>
      </c>
      <c r="Y901" s="14" t="s">
        <v>179</v>
      </c>
      <c r="Z901" s="14" t="s">
        <v>17969</v>
      </c>
      <c r="AA901" s="14" t="s">
        <v>179</v>
      </c>
      <c r="AB901" s="14" t="s">
        <v>17970</v>
      </c>
      <c r="AC901" s="14" t="s">
        <v>179</v>
      </c>
      <c r="AD901" s="14" t="s">
        <v>17971</v>
      </c>
      <c r="AE901" s="14" t="s">
        <v>179</v>
      </c>
      <c r="AF901" s="14" t="s">
        <v>17972</v>
      </c>
      <c r="AG901" s="14" t="s">
        <v>179</v>
      </c>
      <c r="AH901" s="14" t="s">
        <v>17973</v>
      </c>
      <c r="AI901" s="14" t="s">
        <v>179</v>
      </c>
      <c r="AJ901" s="14" t="s">
        <v>17974</v>
      </c>
      <c r="AK901" s="14" t="s">
        <v>179</v>
      </c>
      <c r="AL901" s="14" t="s">
        <v>17975</v>
      </c>
      <c r="AM901" s="14" t="s">
        <v>179</v>
      </c>
      <c r="AN901" s="14" t="s">
        <v>17976</v>
      </c>
      <c r="AO901" s="14" t="s">
        <v>179</v>
      </c>
      <c r="AP901" s="14" t="s">
        <v>17977</v>
      </c>
      <c r="AQ901" s="14" t="s">
        <v>179</v>
      </c>
      <c r="AR901" s="14" t="s">
        <v>17978</v>
      </c>
      <c r="AS901" s="14" t="s">
        <v>179</v>
      </c>
      <c r="AT901" s="14" t="s">
        <v>17979</v>
      </c>
      <c r="AU901" s="14" t="s">
        <v>179</v>
      </c>
      <c r="AV901" s="14" t="s">
        <v>17980</v>
      </c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7" t="s">
        <v>197</v>
      </c>
      <c r="BP901" s="17" t="s">
        <v>198</v>
      </c>
      <c r="BQ901" s="18">
        <v>45705.456782407404</v>
      </c>
      <c r="BR901" s="17" t="s">
        <v>198</v>
      </c>
      <c r="BS901" s="18">
        <v>45705.45738425926</v>
      </c>
      <c r="BT901" s="17" t="s">
        <v>198</v>
      </c>
      <c r="BU901" s="18">
        <v>45705.45738425926</v>
      </c>
      <c r="BV901" s="27" t="s">
        <v>199</v>
      </c>
      <c r="BW901" s="14" t="s">
        <v>179</v>
      </c>
      <c r="BX901" s="14" t="s">
        <v>17981</v>
      </c>
      <c r="BY901" s="14" t="s">
        <v>179</v>
      </c>
      <c r="BZ901" s="14" t="s">
        <v>17982</v>
      </c>
      <c r="CA901" s="14" t="s">
        <v>179</v>
      </c>
      <c r="CB901" s="14" t="s">
        <v>17983</v>
      </c>
      <c r="CC901" s="14" t="s">
        <v>179</v>
      </c>
      <c r="CD901" s="14" t="s">
        <v>17984</v>
      </c>
      <c r="CE901" s="14" t="s">
        <v>179</v>
      </c>
      <c r="CF901" s="14" t="s">
        <v>17985</v>
      </c>
      <c r="CG901" s="14" t="s">
        <v>179</v>
      </c>
      <c r="CH901" s="14" t="s">
        <v>17986</v>
      </c>
      <c r="CI901" s="14" t="s">
        <v>179</v>
      </c>
      <c r="CJ901" s="14" t="s">
        <v>17987</v>
      </c>
      <c r="CK901" s="19"/>
      <c r="CL901" s="15"/>
      <c r="CM901" s="19"/>
      <c r="CN901" s="15"/>
      <c r="CO901" s="19"/>
      <c r="CP901" s="15"/>
      <c r="CQ901" s="15"/>
      <c r="CR901" s="15"/>
      <c r="CS901" s="19"/>
      <c r="CT901" s="15"/>
      <c r="CU901" s="19"/>
      <c r="CV901" s="15"/>
      <c r="CW901" s="19"/>
      <c r="CX901" s="15"/>
      <c r="CY901" s="19"/>
      <c r="CZ901" s="15"/>
      <c r="DA901" s="17" t="s">
        <v>197</v>
      </c>
      <c r="DB901" s="17" t="s">
        <v>198</v>
      </c>
      <c r="DC901" s="20">
        <v>45711.68518518518</v>
      </c>
      <c r="DD901" s="17" t="s">
        <v>198</v>
      </c>
      <c r="DE901" s="18">
        <v>45711.68525462963</v>
      </c>
      <c r="DF901" s="17" t="s">
        <v>198</v>
      </c>
      <c r="DG901" s="18">
        <v>45711.68525462963</v>
      </c>
      <c r="DH901" s="27" t="s">
        <v>205</v>
      </c>
      <c r="DI901" s="14" t="s">
        <v>179</v>
      </c>
      <c r="DJ901" s="14" t="s">
        <v>17988</v>
      </c>
      <c r="DK901" s="14" t="s">
        <v>179</v>
      </c>
      <c r="DL901" s="14" t="s">
        <v>17989</v>
      </c>
      <c r="DM901" s="14" t="s">
        <v>179</v>
      </c>
      <c r="DN901" s="14" t="s">
        <v>17990</v>
      </c>
      <c r="DO901" s="15"/>
      <c r="DP901" s="15"/>
      <c r="DQ901" s="15"/>
      <c r="DR901" s="15"/>
      <c r="DS901" s="15"/>
      <c r="DT901" s="15"/>
      <c r="DU901" s="15"/>
      <c r="DV901" s="15"/>
      <c r="DW901" s="15"/>
      <c r="DX901" s="15"/>
      <c r="DY901" s="15"/>
      <c r="DZ901" s="15"/>
      <c r="EA901" s="15"/>
      <c r="EB901" s="15"/>
      <c r="EC901" s="17" t="s">
        <v>197</v>
      </c>
      <c r="ED901" s="17" t="s">
        <v>198</v>
      </c>
      <c r="EE901" s="18">
        <v>45711.68541666667</v>
      </c>
      <c r="EF901" s="27" t="s">
        <v>209</v>
      </c>
      <c r="EG901" s="14" t="s">
        <v>179</v>
      </c>
      <c r="EH901" s="14" t="s">
        <v>17991</v>
      </c>
      <c r="EI901" s="14" t="s">
        <v>179</v>
      </c>
      <c r="EJ901" s="14" t="s">
        <v>17992</v>
      </c>
      <c r="EK901" s="14" t="s">
        <v>179</v>
      </c>
      <c r="EL901" s="14" t="s">
        <v>17993</v>
      </c>
      <c r="EM901" s="15"/>
      <c r="EN901" s="15"/>
      <c r="EO901" s="15"/>
      <c r="EP901" s="15"/>
      <c r="EQ901" s="15"/>
      <c r="ER901" s="15"/>
      <c r="ES901" s="15"/>
      <c r="ET901" s="15"/>
      <c r="EU901" s="15"/>
      <c r="EV901" s="15"/>
      <c r="EW901" s="15"/>
      <c r="EX901" s="15"/>
      <c r="EY901" s="15"/>
      <c r="EZ901" s="15"/>
      <c r="FA901" s="15"/>
      <c r="FB901" s="15"/>
      <c r="FC901" s="17" t="s">
        <v>197</v>
      </c>
      <c r="FD901" s="17" t="s">
        <v>198</v>
      </c>
      <c r="FE901" s="18">
        <v>45713.385462962964</v>
      </c>
      <c r="FF901" s="19"/>
      <c r="FG901" s="19"/>
      <c r="FH901" s="17" t="s">
        <v>197</v>
      </c>
      <c r="FI901" s="17" t="s">
        <v>214</v>
      </c>
      <c r="FJ901" s="18">
        <v>45713.385462962964</v>
      </c>
      <c r="FK901" s="14" t="s">
        <v>17993</v>
      </c>
      <c r="FL901" s="14" t="s">
        <v>17994</v>
      </c>
      <c r="FM901" s="14" t="s">
        <v>17995</v>
      </c>
      <c r="FN901" s="14" t="s">
        <v>17996</v>
      </c>
      <c r="FO901" s="14" t="s">
        <v>17997</v>
      </c>
      <c r="FP901" s="19" t="str">
        <f t="shared" si="1"/>
        <v>Inserir_Remover TAG_Images/TIT81012.Imagem.172548.jpg</v>
      </c>
      <c r="FQ901" s="14"/>
      <c r="FR901" s="14"/>
    </row>
    <row r="902" ht="15.75" customHeight="1">
      <c r="A902" s="12" t="s">
        <v>357</v>
      </c>
      <c r="B902" s="12" t="s">
        <v>358</v>
      </c>
      <c r="C902" s="24" t="s">
        <v>375</v>
      </c>
      <c r="D902" s="22" t="s">
        <v>17998</v>
      </c>
      <c r="E902" s="22" t="s">
        <v>17999</v>
      </c>
      <c r="F902" s="13" t="s">
        <v>178</v>
      </c>
      <c r="G902" s="14" t="s">
        <v>179</v>
      </c>
      <c r="H902" s="14" t="s">
        <v>18000</v>
      </c>
      <c r="I902" s="14" t="s">
        <v>179</v>
      </c>
      <c r="J902" s="14" t="s">
        <v>18001</v>
      </c>
      <c r="K902" s="14" t="s">
        <v>179</v>
      </c>
      <c r="L902" s="14" t="s">
        <v>18002</v>
      </c>
      <c r="M902" s="14" t="s">
        <v>179</v>
      </c>
      <c r="N902" s="14" t="s">
        <v>18003</v>
      </c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6" t="s">
        <v>197</v>
      </c>
      <c r="BP902" s="17" t="s">
        <v>198</v>
      </c>
      <c r="BQ902" s="18">
        <v>45689.61650462963</v>
      </c>
      <c r="BR902" s="17" t="s">
        <v>198</v>
      </c>
      <c r="BS902" s="18">
        <v>45689.61655092592</v>
      </c>
      <c r="BT902" s="17" t="s">
        <v>198</v>
      </c>
      <c r="BU902" s="18">
        <v>45689.61655092592</v>
      </c>
      <c r="BV902" s="13" t="s">
        <v>199</v>
      </c>
      <c r="BW902" s="14" t="s">
        <v>179</v>
      </c>
      <c r="BX902" s="14" t="s">
        <v>18004</v>
      </c>
      <c r="BY902" s="14" t="s">
        <v>179</v>
      </c>
      <c r="BZ902" s="14" t="s">
        <v>18005</v>
      </c>
      <c r="CA902" s="14" t="s">
        <v>179</v>
      </c>
      <c r="CB902" s="14" t="s">
        <v>18006</v>
      </c>
      <c r="CC902" s="15"/>
      <c r="CD902" s="15"/>
      <c r="CE902" s="15"/>
      <c r="CF902" s="15"/>
      <c r="CG902" s="19"/>
      <c r="CH902" s="15"/>
      <c r="CI902" s="19"/>
      <c r="CJ902" s="15"/>
      <c r="CK902" s="19"/>
      <c r="CL902" s="15"/>
      <c r="CM902" s="19"/>
      <c r="CN902" s="15"/>
      <c r="CO902" s="19"/>
      <c r="CP902" s="15"/>
      <c r="CQ902" s="15"/>
      <c r="CR902" s="15"/>
      <c r="CS902" s="19"/>
      <c r="CT902" s="15"/>
      <c r="CU902" s="19"/>
      <c r="CV902" s="15"/>
      <c r="CW902" s="19"/>
      <c r="CX902" s="15"/>
      <c r="CY902" s="19"/>
      <c r="CZ902" s="15"/>
      <c r="DA902" s="16" t="s">
        <v>197</v>
      </c>
      <c r="DB902" s="17" t="s">
        <v>228</v>
      </c>
      <c r="DC902" s="16"/>
      <c r="DD902" s="17" t="s">
        <v>198</v>
      </c>
      <c r="DE902" s="18">
        <v>45693.66577546296</v>
      </c>
      <c r="DF902" s="17" t="s">
        <v>198</v>
      </c>
      <c r="DG902" s="18">
        <v>45693.66577546296</v>
      </c>
      <c r="DH902" s="13" t="s">
        <v>205</v>
      </c>
      <c r="DI902" s="14" t="s">
        <v>179</v>
      </c>
      <c r="DJ902" s="14" t="s">
        <v>18007</v>
      </c>
      <c r="DK902" s="14" t="s">
        <v>179</v>
      </c>
      <c r="DL902" s="14" t="s">
        <v>18008</v>
      </c>
      <c r="DM902" s="15"/>
      <c r="DN902" s="15"/>
      <c r="DO902" s="15"/>
      <c r="DP902" s="15"/>
      <c r="DQ902" s="15"/>
      <c r="DR902" s="15"/>
      <c r="DS902" s="15"/>
      <c r="DT902" s="15"/>
      <c r="DU902" s="15"/>
      <c r="DV902" s="15"/>
      <c r="DW902" s="15"/>
      <c r="DX902" s="15"/>
      <c r="DY902" s="15"/>
      <c r="DZ902" s="15"/>
      <c r="EA902" s="15"/>
      <c r="EB902" s="15"/>
      <c r="EC902" s="16" t="s">
        <v>197</v>
      </c>
      <c r="ED902" s="17" t="s">
        <v>198</v>
      </c>
      <c r="EE902" s="18">
        <v>45693.665821759256</v>
      </c>
      <c r="EF902" s="13" t="s">
        <v>209</v>
      </c>
      <c r="EG902" s="14" t="s">
        <v>179</v>
      </c>
      <c r="EH902" s="14" t="s">
        <v>18009</v>
      </c>
      <c r="EI902" s="14" t="s">
        <v>179</v>
      </c>
      <c r="EJ902" s="14" t="s">
        <v>18010</v>
      </c>
      <c r="EK902" s="15"/>
      <c r="EL902" s="15"/>
      <c r="EM902" s="15"/>
      <c r="EN902" s="15"/>
      <c r="EO902" s="15"/>
      <c r="EP902" s="15"/>
      <c r="EQ902" s="15"/>
      <c r="ER902" s="15"/>
      <c r="ES902" s="15"/>
      <c r="ET902" s="15"/>
      <c r="EU902" s="15"/>
      <c r="EV902" s="15"/>
      <c r="EW902" s="15"/>
      <c r="EX902" s="15"/>
      <c r="EY902" s="15"/>
      <c r="EZ902" s="15"/>
      <c r="FA902" s="15"/>
      <c r="FB902" s="15"/>
      <c r="FC902" s="16" t="s">
        <v>197</v>
      </c>
      <c r="FD902" s="17" t="s">
        <v>198</v>
      </c>
      <c r="FE902" s="18">
        <v>45705.62850694444</v>
      </c>
      <c r="FF902" s="19"/>
      <c r="FG902" s="19"/>
      <c r="FH902" s="21" t="s">
        <v>197</v>
      </c>
      <c r="FI902" s="17" t="s">
        <v>214</v>
      </c>
      <c r="FJ902" s="18">
        <v>45705.62850694444</v>
      </c>
      <c r="FK902" s="14" t="s">
        <v>18010</v>
      </c>
      <c r="FL902" s="14" t="s">
        <v>18011</v>
      </c>
      <c r="FM902" s="14" t="s">
        <v>18012</v>
      </c>
      <c r="FN902" s="19"/>
      <c r="FO902" s="19"/>
      <c r="FP902" s="19" t="str">
        <f t="shared" si="1"/>
        <v>Base de Dados_Images/TIT81014.Imagem do Equipamento-.124651.jpg</v>
      </c>
      <c r="FQ902" s="14"/>
      <c r="FR902" s="14"/>
    </row>
    <row r="903" ht="15.75" customHeight="1">
      <c r="A903" s="12" t="s">
        <v>357</v>
      </c>
      <c r="B903" s="12" t="s">
        <v>358</v>
      </c>
      <c r="C903" s="24" t="s">
        <v>375</v>
      </c>
      <c r="D903" s="22" t="s">
        <v>18013</v>
      </c>
      <c r="E903" s="22" t="s">
        <v>18014</v>
      </c>
      <c r="F903" s="13" t="s">
        <v>178</v>
      </c>
      <c r="G903" s="14" t="s">
        <v>179</v>
      </c>
      <c r="H903" s="14" t="s">
        <v>18015</v>
      </c>
      <c r="I903" s="14" t="s">
        <v>179</v>
      </c>
      <c r="J903" s="14" t="s">
        <v>18016</v>
      </c>
      <c r="K903" s="14" t="s">
        <v>179</v>
      </c>
      <c r="L903" s="14" t="s">
        <v>18017</v>
      </c>
      <c r="M903" s="14" t="s">
        <v>179</v>
      </c>
      <c r="N903" s="14" t="s">
        <v>18018</v>
      </c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6" t="s">
        <v>197</v>
      </c>
      <c r="BP903" s="17" t="s">
        <v>198</v>
      </c>
      <c r="BQ903" s="18">
        <v>45689.42340277778</v>
      </c>
      <c r="BR903" s="17" t="s">
        <v>198</v>
      </c>
      <c r="BS903" s="18">
        <v>45689.4234375</v>
      </c>
      <c r="BT903" s="17" t="s">
        <v>198</v>
      </c>
      <c r="BU903" s="18">
        <v>45689.4234375</v>
      </c>
      <c r="BV903" s="13" t="s">
        <v>199</v>
      </c>
      <c r="BW903" s="14" t="s">
        <v>179</v>
      </c>
      <c r="BX903" s="14" t="s">
        <v>18019</v>
      </c>
      <c r="BY903" s="14" t="s">
        <v>179</v>
      </c>
      <c r="BZ903" s="14" t="s">
        <v>18020</v>
      </c>
      <c r="CA903" s="14" t="s">
        <v>179</v>
      </c>
      <c r="CB903" s="14" t="s">
        <v>18021</v>
      </c>
      <c r="CC903" s="15"/>
      <c r="CD903" s="15"/>
      <c r="CE903" s="15"/>
      <c r="CF903" s="15"/>
      <c r="CG903" s="19"/>
      <c r="CH903" s="15"/>
      <c r="CI903" s="19"/>
      <c r="CJ903" s="15"/>
      <c r="CK903" s="19"/>
      <c r="CL903" s="15"/>
      <c r="CM903" s="19"/>
      <c r="CN903" s="15"/>
      <c r="CO903" s="19"/>
      <c r="CP903" s="15"/>
      <c r="CQ903" s="15"/>
      <c r="CR903" s="15"/>
      <c r="CS903" s="19"/>
      <c r="CT903" s="15"/>
      <c r="CU903" s="19"/>
      <c r="CV903" s="15"/>
      <c r="CW903" s="19"/>
      <c r="CX903" s="15"/>
      <c r="CY903" s="19"/>
      <c r="CZ903" s="15"/>
      <c r="DA903" s="16" t="s">
        <v>197</v>
      </c>
      <c r="DB903" s="17" t="s">
        <v>228</v>
      </c>
      <c r="DC903" s="16"/>
      <c r="DD903" s="17" t="s">
        <v>198</v>
      </c>
      <c r="DE903" s="18">
        <v>45705.46560185185</v>
      </c>
      <c r="DF903" s="17" t="s">
        <v>198</v>
      </c>
      <c r="DG903" s="18">
        <v>45705.46560185185</v>
      </c>
      <c r="DH903" s="13" t="s">
        <v>205</v>
      </c>
      <c r="DI903" s="14" t="s">
        <v>179</v>
      </c>
      <c r="DJ903" s="14" t="s">
        <v>18022</v>
      </c>
      <c r="DK903" s="14" t="s">
        <v>179</v>
      </c>
      <c r="DL903" s="14" t="s">
        <v>18023</v>
      </c>
      <c r="DM903" s="15"/>
      <c r="DN903" s="15"/>
      <c r="DO903" s="15"/>
      <c r="DP903" s="15"/>
      <c r="DQ903" s="15"/>
      <c r="DR903" s="15"/>
      <c r="DS903" s="15"/>
      <c r="DT903" s="15"/>
      <c r="DU903" s="15"/>
      <c r="DV903" s="15"/>
      <c r="DW903" s="15"/>
      <c r="DX903" s="15"/>
      <c r="DY903" s="15"/>
      <c r="DZ903" s="15"/>
      <c r="EA903" s="15"/>
      <c r="EB903" s="15"/>
      <c r="EC903" s="16" t="s">
        <v>197</v>
      </c>
      <c r="ED903" s="17" t="s">
        <v>198</v>
      </c>
      <c r="EE903" s="18">
        <v>45705.465844907405</v>
      </c>
      <c r="EF903" s="13" t="s">
        <v>209</v>
      </c>
      <c r="EG903" s="14" t="s">
        <v>179</v>
      </c>
      <c r="EH903" s="14" t="s">
        <v>18024</v>
      </c>
      <c r="EI903" s="14" t="s">
        <v>179</v>
      </c>
      <c r="EJ903" s="14" t="s">
        <v>18025</v>
      </c>
      <c r="EK903" s="15"/>
      <c r="EL903" s="15"/>
      <c r="EM903" s="15"/>
      <c r="EN903" s="15"/>
      <c r="EO903" s="15"/>
      <c r="EP903" s="15"/>
      <c r="EQ903" s="15"/>
      <c r="ER903" s="15"/>
      <c r="ES903" s="15"/>
      <c r="ET903" s="15"/>
      <c r="EU903" s="15"/>
      <c r="EV903" s="15"/>
      <c r="EW903" s="15"/>
      <c r="EX903" s="15"/>
      <c r="EY903" s="15"/>
      <c r="EZ903" s="15"/>
      <c r="FA903" s="15"/>
      <c r="FB903" s="15"/>
      <c r="FC903" s="16" t="s">
        <v>197</v>
      </c>
      <c r="FD903" s="17" t="s">
        <v>198</v>
      </c>
      <c r="FE903" s="18">
        <v>45705.46600694444</v>
      </c>
      <c r="FF903" s="19"/>
      <c r="FG903" s="19"/>
      <c r="FH903" s="21" t="s">
        <v>197</v>
      </c>
      <c r="FI903" s="17" t="s">
        <v>214</v>
      </c>
      <c r="FJ903" s="18">
        <v>45705.46600694444</v>
      </c>
      <c r="FK903" s="14" t="s">
        <v>18025</v>
      </c>
      <c r="FL903" s="14" t="s">
        <v>18026</v>
      </c>
      <c r="FM903" s="14" t="s">
        <v>18027</v>
      </c>
      <c r="FN903" s="19"/>
      <c r="FO903" s="19"/>
      <c r="FP903" s="19" t="str">
        <f t="shared" si="1"/>
        <v>Base de Dados_Images/TIT81022.Imagem do Equipamento-.135355.jpg</v>
      </c>
      <c r="FQ903" s="14"/>
      <c r="FR903" s="14"/>
    </row>
    <row r="904" ht="15.75" customHeight="1">
      <c r="A904" s="12" t="s">
        <v>357</v>
      </c>
      <c r="B904" s="12" t="s">
        <v>448</v>
      </c>
      <c r="C904" s="24" t="s">
        <v>375</v>
      </c>
      <c r="D904" s="22" t="s">
        <v>18028</v>
      </c>
      <c r="E904" s="22" t="s">
        <v>18029</v>
      </c>
      <c r="F904" s="13" t="s">
        <v>178</v>
      </c>
      <c r="G904" s="14" t="s">
        <v>179</v>
      </c>
      <c r="H904" s="14" t="s">
        <v>18030</v>
      </c>
      <c r="I904" s="14" t="s">
        <v>179</v>
      </c>
      <c r="J904" s="14" t="s">
        <v>18031</v>
      </c>
      <c r="K904" s="14" t="s">
        <v>179</v>
      </c>
      <c r="L904" s="14" t="s">
        <v>18031</v>
      </c>
      <c r="M904" s="14" t="s">
        <v>179</v>
      </c>
      <c r="N904" s="14" t="s">
        <v>18032</v>
      </c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6" t="s">
        <v>197</v>
      </c>
      <c r="BP904" s="17" t="s">
        <v>198</v>
      </c>
      <c r="BQ904" s="18">
        <v>45688.61449074074</v>
      </c>
      <c r="BR904" s="17" t="s">
        <v>198</v>
      </c>
      <c r="BS904" s="18">
        <v>45688.61447916667</v>
      </c>
      <c r="BT904" s="17" t="s">
        <v>198</v>
      </c>
      <c r="BU904" s="18">
        <v>45688.61449074074</v>
      </c>
      <c r="BV904" s="13" t="s">
        <v>199</v>
      </c>
      <c r="BW904" s="14" t="s">
        <v>179</v>
      </c>
      <c r="BX904" s="14" t="s">
        <v>18033</v>
      </c>
      <c r="BY904" s="14" t="s">
        <v>179</v>
      </c>
      <c r="BZ904" s="14" t="s">
        <v>18033</v>
      </c>
      <c r="CA904" s="14" t="s">
        <v>179</v>
      </c>
      <c r="CB904" s="14" t="s">
        <v>18034</v>
      </c>
      <c r="CC904" s="15"/>
      <c r="CD904" s="15"/>
      <c r="CE904" s="15"/>
      <c r="CF904" s="15"/>
      <c r="CG904" s="19"/>
      <c r="CH904" s="15"/>
      <c r="CI904" s="19"/>
      <c r="CJ904" s="15"/>
      <c r="CK904" s="19"/>
      <c r="CL904" s="15"/>
      <c r="CM904" s="19"/>
      <c r="CN904" s="15"/>
      <c r="CO904" s="19"/>
      <c r="CP904" s="15"/>
      <c r="CQ904" s="15"/>
      <c r="CR904" s="15"/>
      <c r="CS904" s="19"/>
      <c r="CT904" s="15"/>
      <c r="CU904" s="19"/>
      <c r="CV904" s="15"/>
      <c r="CW904" s="19"/>
      <c r="CX904" s="15"/>
      <c r="CY904" s="19"/>
      <c r="CZ904" s="15"/>
      <c r="DA904" s="16" t="s">
        <v>197</v>
      </c>
      <c r="DB904" s="17" t="s">
        <v>228</v>
      </c>
      <c r="DC904" s="16"/>
      <c r="DD904" s="17" t="s">
        <v>198</v>
      </c>
      <c r="DE904" s="18">
        <v>45709.49699074074</v>
      </c>
      <c r="DF904" s="17" t="s">
        <v>198</v>
      </c>
      <c r="DG904" s="18">
        <v>45709.49699074074</v>
      </c>
      <c r="DH904" s="13" t="s">
        <v>205</v>
      </c>
      <c r="DI904" s="14" t="s">
        <v>179</v>
      </c>
      <c r="DJ904" s="14" t="s">
        <v>18035</v>
      </c>
      <c r="DK904" s="14" t="s">
        <v>179</v>
      </c>
      <c r="DL904" s="14" t="s">
        <v>18036</v>
      </c>
      <c r="DM904" s="15"/>
      <c r="DN904" s="15"/>
      <c r="DO904" s="15"/>
      <c r="DP904" s="15"/>
      <c r="DQ904" s="15"/>
      <c r="DR904" s="15"/>
      <c r="DS904" s="15"/>
      <c r="DT904" s="15"/>
      <c r="DU904" s="15"/>
      <c r="DV904" s="15"/>
      <c r="DW904" s="15"/>
      <c r="DX904" s="15"/>
      <c r="DY904" s="15"/>
      <c r="DZ904" s="15"/>
      <c r="EA904" s="15"/>
      <c r="EB904" s="15"/>
      <c r="EC904" s="16" t="s">
        <v>197</v>
      </c>
      <c r="ED904" s="17" t="s">
        <v>198</v>
      </c>
      <c r="EE904" s="18">
        <v>45709.49712962963</v>
      </c>
      <c r="EF904" s="13" t="s">
        <v>209</v>
      </c>
      <c r="EG904" s="14" t="s">
        <v>179</v>
      </c>
      <c r="EH904" s="14" t="s">
        <v>18037</v>
      </c>
      <c r="EI904" s="14" t="s">
        <v>179</v>
      </c>
      <c r="EJ904" s="14" t="s">
        <v>18038</v>
      </c>
      <c r="EK904" s="15"/>
      <c r="EL904" s="15"/>
      <c r="EM904" s="15"/>
      <c r="EN904" s="15"/>
      <c r="EO904" s="15"/>
      <c r="EP904" s="15"/>
      <c r="EQ904" s="15"/>
      <c r="ER904" s="15"/>
      <c r="ES904" s="15"/>
      <c r="ET904" s="15"/>
      <c r="EU904" s="15"/>
      <c r="EV904" s="15"/>
      <c r="EW904" s="15"/>
      <c r="EX904" s="15"/>
      <c r="EY904" s="15"/>
      <c r="EZ904" s="15"/>
      <c r="FA904" s="15"/>
      <c r="FB904" s="15"/>
      <c r="FC904" s="16" t="s">
        <v>197</v>
      </c>
      <c r="FD904" s="17" t="s">
        <v>198</v>
      </c>
      <c r="FE904" s="18">
        <v>45723.39744212963</v>
      </c>
      <c r="FF904" s="19"/>
      <c r="FG904" s="19"/>
      <c r="FH904" s="21" t="s">
        <v>197</v>
      </c>
      <c r="FI904" s="17" t="s">
        <v>214</v>
      </c>
      <c r="FJ904" s="18">
        <v>45723.39744212963</v>
      </c>
      <c r="FK904" s="14" t="s">
        <v>18038</v>
      </c>
      <c r="FL904" s="14" t="s">
        <v>18039</v>
      </c>
      <c r="FM904" s="14" t="s">
        <v>18040</v>
      </c>
      <c r="FN904" s="19"/>
      <c r="FO904" s="19"/>
      <c r="FP904" s="19" t="str">
        <f t="shared" si="1"/>
        <v>Base de Dados_Images/TIT81033.Imagem do Equipamento-.181912.jpg</v>
      </c>
      <c r="FQ904" s="14"/>
      <c r="FR904" s="14"/>
    </row>
    <row r="905" ht="15.75" customHeight="1">
      <c r="A905" s="12" t="s">
        <v>357</v>
      </c>
      <c r="B905" s="12" t="s">
        <v>448</v>
      </c>
      <c r="C905" s="24" t="s">
        <v>375</v>
      </c>
      <c r="D905" s="22" t="s">
        <v>18041</v>
      </c>
      <c r="E905" s="22" t="s">
        <v>18042</v>
      </c>
      <c r="F905" s="13" t="s">
        <v>178</v>
      </c>
      <c r="G905" s="14" t="s">
        <v>179</v>
      </c>
      <c r="H905" s="14" t="s">
        <v>18043</v>
      </c>
      <c r="I905" s="14" t="s">
        <v>179</v>
      </c>
      <c r="J905" s="14" t="s">
        <v>18044</v>
      </c>
      <c r="K905" s="14" t="s">
        <v>179</v>
      </c>
      <c r="L905" s="14" t="s">
        <v>18044</v>
      </c>
      <c r="M905" s="14" t="s">
        <v>179</v>
      </c>
      <c r="N905" s="14" t="s">
        <v>18045</v>
      </c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6" t="s">
        <v>197</v>
      </c>
      <c r="BP905" s="17" t="s">
        <v>198</v>
      </c>
      <c r="BQ905" s="18">
        <v>45688.61340277778</v>
      </c>
      <c r="BR905" s="17" t="s">
        <v>198</v>
      </c>
      <c r="BS905" s="18">
        <v>45688.613391203704</v>
      </c>
      <c r="BT905" s="17" t="s">
        <v>198</v>
      </c>
      <c r="BU905" s="18">
        <v>45688.61340277778</v>
      </c>
      <c r="BV905" s="13" t="s">
        <v>199</v>
      </c>
      <c r="BW905" s="14" t="s">
        <v>179</v>
      </c>
      <c r="BX905" s="14" t="s">
        <v>18046</v>
      </c>
      <c r="BY905" s="14" t="s">
        <v>179</v>
      </c>
      <c r="BZ905" s="14" t="s">
        <v>18047</v>
      </c>
      <c r="CA905" s="14" t="s">
        <v>179</v>
      </c>
      <c r="CB905" s="14" t="s">
        <v>18048</v>
      </c>
      <c r="CC905" s="15"/>
      <c r="CD905" s="15"/>
      <c r="CE905" s="15"/>
      <c r="CF905" s="15"/>
      <c r="CG905" s="19"/>
      <c r="CH905" s="15"/>
      <c r="CI905" s="19"/>
      <c r="CJ905" s="15"/>
      <c r="CK905" s="19"/>
      <c r="CL905" s="15"/>
      <c r="CM905" s="19"/>
      <c r="CN905" s="15"/>
      <c r="CO905" s="19"/>
      <c r="CP905" s="15"/>
      <c r="CQ905" s="15"/>
      <c r="CR905" s="15"/>
      <c r="CS905" s="19"/>
      <c r="CT905" s="15"/>
      <c r="CU905" s="19"/>
      <c r="CV905" s="15"/>
      <c r="CW905" s="19"/>
      <c r="CX905" s="15"/>
      <c r="CY905" s="19"/>
      <c r="CZ905" s="15"/>
      <c r="DA905" s="16" t="s">
        <v>197</v>
      </c>
      <c r="DB905" s="17" t="s">
        <v>228</v>
      </c>
      <c r="DC905" s="16"/>
      <c r="DD905" s="17" t="s">
        <v>198</v>
      </c>
      <c r="DE905" s="18">
        <v>45709.49561342593</v>
      </c>
      <c r="DF905" s="17" t="s">
        <v>198</v>
      </c>
      <c r="DG905" s="18">
        <v>45709.49561342593</v>
      </c>
      <c r="DH905" s="13" t="s">
        <v>205</v>
      </c>
      <c r="DI905" s="14" t="s">
        <v>179</v>
      </c>
      <c r="DJ905" s="14" t="s">
        <v>18049</v>
      </c>
      <c r="DK905" s="14" t="s">
        <v>179</v>
      </c>
      <c r="DL905" s="14" t="s">
        <v>18050</v>
      </c>
      <c r="DM905" s="15"/>
      <c r="DN905" s="15"/>
      <c r="DO905" s="15"/>
      <c r="DP905" s="15"/>
      <c r="DQ905" s="15"/>
      <c r="DR905" s="15"/>
      <c r="DS905" s="15"/>
      <c r="DT905" s="15"/>
      <c r="DU905" s="15"/>
      <c r="DV905" s="15"/>
      <c r="DW905" s="15"/>
      <c r="DX905" s="15"/>
      <c r="DY905" s="15"/>
      <c r="DZ905" s="15"/>
      <c r="EA905" s="15"/>
      <c r="EB905" s="15"/>
      <c r="EC905" s="16" t="s">
        <v>197</v>
      </c>
      <c r="ED905" s="17" t="s">
        <v>198</v>
      </c>
      <c r="EE905" s="18">
        <v>45709.495671296296</v>
      </c>
      <c r="EF905" s="13" t="s">
        <v>209</v>
      </c>
      <c r="EG905" s="14" t="s">
        <v>179</v>
      </c>
      <c r="EH905" s="14" t="s">
        <v>18051</v>
      </c>
      <c r="EI905" s="14" t="s">
        <v>179</v>
      </c>
      <c r="EJ905" s="14" t="s">
        <v>18051</v>
      </c>
      <c r="EK905" s="15"/>
      <c r="EL905" s="15"/>
      <c r="EM905" s="15"/>
      <c r="EN905" s="15"/>
      <c r="EO905" s="15"/>
      <c r="EP905" s="15"/>
      <c r="EQ905" s="15"/>
      <c r="ER905" s="15"/>
      <c r="ES905" s="15"/>
      <c r="ET905" s="15"/>
      <c r="EU905" s="15"/>
      <c r="EV905" s="15"/>
      <c r="EW905" s="15"/>
      <c r="EX905" s="15"/>
      <c r="EY905" s="15"/>
      <c r="EZ905" s="15"/>
      <c r="FA905" s="15"/>
      <c r="FB905" s="15"/>
      <c r="FC905" s="16" t="s">
        <v>197</v>
      </c>
      <c r="FD905" s="17" t="s">
        <v>198</v>
      </c>
      <c r="FE905" s="18">
        <v>45723.39761574074</v>
      </c>
      <c r="FF905" s="19"/>
      <c r="FG905" s="19"/>
      <c r="FH905" s="21" t="s">
        <v>197</v>
      </c>
      <c r="FI905" s="17" t="s">
        <v>214</v>
      </c>
      <c r="FJ905" s="18">
        <v>45723.39761574074</v>
      </c>
      <c r="FK905" s="14" t="s">
        <v>18051</v>
      </c>
      <c r="FL905" s="14" t="s">
        <v>18052</v>
      </c>
      <c r="FM905" s="14" t="s">
        <v>18053</v>
      </c>
      <c r="FN905" s="19"/>
      <c r="FO905" s="19"/>
      <c r="FP905" s="19" t="str">
        <f t="shared" si="1"/>
        <v>Base de Dados_Images/TIT81034.Imagem do Equipamento-.181846.jpg</v>
      </c>
      <c r="FQ905" s="14"/>
      <c r="FR905" s="14"/>
    </row>
    <row r="906" ht="15.75" customHeight="1">
      <c r="A906" s="12" t="s">
        <v>357</v>
      </c>
      <c r="B906" s="12" t="s">
        <v>358</v>
      </c>
      <c r="C906" s="24" t="s">
        <v>375</v>
      </c>
      <c r="D906" s="22" t="s">
        <v>18054</v>
      </c>
      <c r="E906" s="22" t="s">
        <v>18055</v>
      </c>
      <c r="F906" s="13" t="s">
        <v>178</v>
      </c>
      <c r="G906" s="14" t="s">
        <v>179</v>
      </c>
      <c r="H906" s="14" t="s">
        <v>18056</v>
      </c>
      <c r="I906" s="14" t="s">
        <v>179</v>
      </c>
      <c r="J906" s="14" t="s">
        <v>18056</v>
      </c>
      <c r="K906" s="14" t="s">
        <v>179</v>
      </c>
      <c r="L906" s="14" t="s">
        <v>18057</v>
      </c>
      <c r="M906" s="14" t="s">
        <v>179</v>
      </c>
      <c r="N906" s="14" t="s">
        <v>18057</v>
      </c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6" t="s">
        <v>197</v>
      </c>
      <c r="BP906" s="17" t="s">
        <v>198</v>
      </c>
      <c r="BQ906" s="18">
        <v>45689.40319444444</v>
      </c>
      <c r="BR906" s="17" t="s">
        <v>198</v>
      </c>
      <c r="BS906" s="18">
        <v>45689.40319444444</v>
      </c>
      <c r="BT906" s="17" t="s">
        <v>198</v>
      </c>
      <c r="BU906" s="18">
        <v>45689.40319444444</v>
      </c>
      <c r="BV906" s="13" t="s">
        <v>199</v>
      </c>
      <c r="BW906" s="14" t="s">
        <v>179</v>
      </c>
      <c r="BX906" s="14" t="s">
        <v>18058</v>
      </c>
      <c r="BY906" s="14" t="s">
        <v>179</v>
      </c>
      <c r="BZ906" s="14" t="s">
        <v>18059</v>
      </c>
      <c r="CA906" s="14" t="s">
        <v>179</v>
      </c>
      <c r="CB906" s="14" t="s">
        <v>18060</v>
      </c>
      <c r="CC906" s="15"/>
      <c r="CD906" s="15"/>
      <c r="CE906" s="15"/>
      <c r="CF906" s="15"/>
      <c r="CG906" s="19"/>
      <c r="CH906" s="15"/>
      <c r="CI906" s="19"/>
      <c r="CJ906" s="15"/>
      <c r="CK906" s="19"/>
      <c r="CL906" s="15"/>
      <c r="CM906" s="19"/>
      <c r="CN906" s="15"/>
      <c r="CO906" s="19"/>
      <c r="CP906" s="15"/>
      <c r="CQ906" s="15"/>
      <c r="CR906" s="15"/>
      <c r="CS906" s="19"/>
      <c r="CT906" s="15"/>
      <c r="CU906" s="19"/>
      <c r="CV906" s="15"/>
      <c r="CW906" s="19"/>
      <c r="CX906" s="15"/>
      <c r="CY906" s="19"/>
      <c r="CZ906" s="15"/>
      <c r="DA906" s="16" t="s">
        <v>197</v>
      </c>
      <c r="DB906" s="17" t="s">
        <v>228</v>
      </c>
      <c r="DC906" s="16"/>
      <c r="DD906" s="17" t="s">
        <v>198</v>
      </c>
      <c r="DE906" s="18">
        <v>45707.35138888889</v>
      </c>
      <c r="DF906" s="17" t="s">
        <v>198</v>
      </c>
      <c r="DG906" s="18">
        <v>45707.35138888889</v>
      </c>
      <c r="DH906" s="13" t="s">
        <v>205</v>
      </c>
      <c r="DI906" s="14" t="s">
        <v>179</v>
      </c>
      <c r="DJ906" s="14" t="s">
        <v>18061</v>
      </c>
      <c r="DK906" s="14" t="s">
        <v>179</v>
      </c>
      <c r="DL906" s="14" t="s">
        <v>18062</v>
      </c>
      <c r="DM906" s="15"/>
      <c r="DN906" s="15"/>
      <c r="DO906" s="15"/>
      <c r="DP906" s="15"/>
      <c r="DQ906" s="15"/>
      <c r="DR906" s="15"/>
      <c r="DS906" s="15"/>
      <c r="DT906" s="15"/>
      <c r="DU906" s="15"/>
      <c r="DV906" s="15"/>
      <c r="DW906" s="15"/>
      <c r="DX906" s="15"/>
      <c r="DY906" s="15"/>
      <c r="DZ906" s="15"/>
      <c r="EA906" s="15"/>
      <c r="EB906" s="15"/>
      <c r="EC906" s="16" t="s">
        <v>197</v>
      </c>
      <c r="ED906" s="17" t="s">
        <v>198</v>
      </c>
      <c r="EE906" s="18">
        <v>45707.35145833333</v>
      </c>
      <c r="EF906" s="13" t="s">
        <v>209</v>
      </c>
      <c r="EG906" s="14" t="s">
        <v>179</v>
      </c>
      <c r="EH906" s="14" t="s">
        <v>18063</v>
      </c>
      <c r="EI906" s="14" t="s">
        <v>179</v>
      </c>
      <c r="EJ906" s="14" t="s">
        <v>18063</v>
      </c>
      <c r="EK906" s="15"/>
      <c r="EL906" s="15"/>
      <c r="EM906" s="15"/>
      <c r="EN906" s="15"/>
      <c r="EO906" s="15"/>
      <c r="EP906" s="15"/>
      <c r="EQ906" s="15"/>
      <c r="ER906" s="15"/>
      <c r="ES906" s="15"/>
      <c r="ET906" s="15"/>
      <c r="EU906" s="15"/>
      <c r="EV906" s="15"/>
      <c r="EW906" s="15"/>
      <c r="EX906" s="15"/>
      <c r="EY906" s="15"/>
      <c r="EZ906" s="15"/>
      <c r="FA906" s="15"/>
      <c r="FB906" s="15"/>
      <c r="FC906" s="16" t="s">
        <v>197</v>
      </c>
      <c r="FD906" s="17" t="s">
        <v>198</v>
      </c>
      <c r="FE906" s="18">
        <v>45707.35150462963</v>
      </c>
      <c r="FF906" s="19"/>
      <c r="FG906" s="19"/>
      <c r="FH906" s="21" t="s">
        <v>197</v>
      </c>
      <c r="FI906" s="17" t="s">
        <v>214</v>
      </c>
      <c r="FJ906" s="18">
        <v>45707.35150462963</v>
      </c>
      <c r="FK906" s="14" t="s">
        <v>18063</v>
      </c>
      <c r="FL906" s="14" t="s">
        <v>18064</v>
      </c>
      <c r="FM906" s="14" t="s">
        <v>18065</v>
      </c>
      <c r="FN906" s="19"/>
      <c r="FO906" s="19"/>
      <c r="FP906" s="19" t="str">
        <f t="shared" si="1"/>
        <v>Base de Dados_Images/TIT81040.Imagem do Equipamento-.131115.jpg</v>
      </c>
      <c r="FQ906" s="14"/>
      <c r="FR906" s="14"/>
    </row>
    <row r="907" ht="15.75" customHeight="1">
      <c r="A907" s="12" t="s">
        <v>357</v>
      </c>
      <c r="B907" s="12" t="s">
        <v>358</v>
      </c>
      <c r="C907" s="24" t="s">
        <v>375</v>
      </c>
      <c r="D907" s="22" t="s">
        <v>18066</v>
      </c>
      <c r="E907" s="22" t="s">
        <v>18067</v>
      </c>
      <c r="F907" s="13" t="s">
        <v>178</v>
      </c>
      <c r="G907" s="14" t="s">
        <v>179</v>
      </c>
      <c r="H907" s="14" t="s">
        <v>18068</v>
      </c>
      <c r="I907" s="14" t="s">
        <v>179</v>
      </c>
      <c r="J907" s="14" t="s">
        <v>18068</v>
      </c>
      <c r="K907" s="14" t="s">
        <v>179</v>
      </c>
      <c r="L907" s="14" t="s">
        <v>18069</v>
      </c>
      <c r="M907" s="14" t="s">
        <v>179</v>
      </c>
      <c r="N907" s="14" t="s">
        <v>18069</v>
      </c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6" t="s">
        <v>197</v>
      </c>
      <c r="BP907" s="17" t="s">
        <v>198</v>
      </c>
      <c r="BQ907" s="18">
        <v>45688.60618055556</v>
      </c>
      <c r="BR907" s="17" t="s">
        <v>198</v>
      </c>
      <c r="BS907" s="18">
        <v>45688.60618055556</v>
      </c>
      <c r="BT907" s="17" t="s">
        <v>198</v>
      </c>
      <c r="BU907" s="18">
        <v>45688.60618055556</v>
      </c>
      <c r="BV907" s="13" t="s">
        <v>199</v>
      </c>
      <c r="BW907" s="14" t="s">
        <v>179</v>
      </c>
      <c r="BX907" s="14" t="s">
        <v>18070</v>
      </c>
      <c r="BY907" s="14" t="s">
        <v>179</v>
      </c>
      <c r="BZ907" s="14" t="s">
        <v>18071</v>
      </c>
      <c r="CA907" s="14" t="s">
        <v>179</v>
      </c>
      <c r="CB907" s="14" t="s">
        <v>18072</v>
      </c>
      <c r="CC907" s="15"/>
      <c r="CD907" s="15"/>
      <c r="CE907" s="15"/>
      <c r="CF907" s="15"/>
      <c r="CG907" s="19"/>
      <c r="CH907" s="15"/>
      <c r="CI907" s="19"/>
      <c r="CJ907" s="15"/>
      <c r="CK907" s="19"/>
      <c r="CL907" s="15"/>
      <c r="CM907" s="19"/>
      <c r="CN907" s="15"/>
      <c r="CO907" s="19"/>
      <c r="CP907" s="15"/>
      <c r="CQ907" s="15"/>
      <c r="CR907" s="15"/>
      <c r="CS907" s="19"/>
      <c r="CT907" s="15"/>
      <c r="CU907" s="19"/>
      <c r="CV907" s="15"/>
      <c r="CW907" s="19"/>
      <c r="CX907" s="15"/>
      <c r="CY907" s="19"/>
      <c r="CZ907" s="15"/>
      <c r="DA907" s="16" t="s">
        <v>197</v>
      </c>
      <c r="DB907" s="17" t="s">
        <v>228</v>
      </c>
      <c r="DC907" s="16"/>
      <c r="DD907" s="17" t="s">
        <v>198</v>
      </c>
      <c r="DE907" s="18">
        <v>45707.35230324074</v>
      </c>
      <c r="DF907" s="17" t="s">
        <v>198</v>
      </c>
      <c r="DG907" s="18">
        <v>45707.35230324074</v>
      </c>
      <c r="DH907" s="13" t="s">
        <v>205</v>
      </c>
      <c r="DI907" s="14" t="s">
        <v>179</v>
      </c>
      <c r="DJ907" s="14" t="s">
        <v>18073</v>
      </c>
      <c r="DK907" s="14" t="s">
        <v>179</v>
      </c>
      <c r="DL907" s="14" t="s">
        <v>18074</v>
      </c>
      <c r="DM907" s="15"/>
      <c r="DN907" s="15"/>
      <c r="DO907" s="15"/>
      <c r="DP907" s="15"/>
      <c r="DQ907" s="15"/>
      <c r="DR907" s="15"/>
      <c r="DS907" s="15"/>
      <c r="DT907" s="15"/>
      <c r="DU907" s="15"/>
      <c r="DV907" s="15"/>
      <c r="DW907" s="15"/>
      <c r="DX907" s="15"/>
      <c r="DY907" s="15"/>
      <c r="DZ907" s="15"/>
      <c r="EA907" s="15"/>
      <c r="EB907" s="15"/>
      <c r="EC907" s="16" t="s">
        <v>197</v>
      </c>
      <c r="ED907" s="17" t="s">
        <v>198</v>
      </c>
      <c r="EE907" s="18">
        <v>45707.35236111111</v>
      </c>
      <c r="EF907" s="13" t="s">
        <v>209</v>
      </c>
      <c r="EG907" s="14" t="s">
        <v>179</v>
      </c>
      <c r="EH907" s="14" t="s">
        <v>18075</v>
      </c>
      <c r="EI907" s="14" t="s">
        <v>179</v>
      </c>
      <c r="EJ907" s="14" t="s">
        <v>18076</v>
      </c>
      <c r="EK907" s="15"/>
      <c r="EL907" s="15"/>
      <c r="EM907" s="15"/>
      <c r="EN907" s="15"/>
      <c r="EO907" s="15"/>
      <c r="EP907" s="15"/>
      <c r="EQ907" s="15"/>
      <c r="ER907" s="15"/>
      <c r="ES907" s="15"/>
      <c r="ET907" s="15"/>
      <c r="EU907" s="15"/>
      <c r="EV907" s="15"/>
      <c r="EW907" s="15"/>
      <c r="EX907" s="15"/>
      <c r="EY907" s="15"/>
      <c r="EZ907" s="15"/>
      <c r="FA907" s="15"/>
      <c r="FB907" s="15"/>
      <c r="FC907" s="16" t="s">
        <v>197</v>
      </c>
      <c r="FD907" s="17" t="s">
        <v>198</v>
      </c>
      <c r="FE907" s="18">
        <v>45707.35240740741</v>
      </c>
      <c r="FF907" s="19"/>
      <c r="FG907" s="19"/>
      <c r="FH907" s="21" t="s">
        <v>197</v>
      </c>
      <c r="FI907" s="17" t="s">
        <v>214</v>
      </c>
      <c r="FJ907" s="18">
        <v>45707.35240740741</v>
      </c>
      <c r="FK907" s="14" t="s">
        <v>18075</v>
      </c>
      <c r="FL907" s="14" t="s">
        <v>18077</v>
      </c>
      <c r="FM907" s="14" t="s">
        <v>18078</v>
      </c>
      <c r="FN907" s="19"/>
      <c r="FO907" s="19"/>
      <c r="FP907" s="19" t="str">
        <f t="shared" si="1"/>
        <v>Base de Dados_Images/TIT81041.Imagem do Equipamento-.181818.jpg</v>
      </c>
      <c r="FQ907" s="14"/>
      <c r="FR907" s="14"/>
    </row>
    <row r="908" ht="15.75" customHeight="1">
      <c r="A908" s="12" t="s">
        <v>357</v>
      </c>
      <c r="B908" s="12" t="s">
        <v>358</v>
      </c>
      <c r="C908" s="24" t="s">
        <v>375</v>
      </c>
      <c r="D908" s="22" t="s">
        <v>18079</v>
      </c>
      <c r="E908" s="22" t="s">
        <v>18080</v>
      </c>
      <c r="F908" s="13" t="s">
        <v>178</v>
      </c>
      <c r="G908" s="14" t="s">
        <v>179</v>
      </c>
      <c r="H908" s="14" t="s">
        <v>18081</v>
      </c>
      <c r="I908" s="14" t="s">
        <v>179</v>
      </c>
      <c r="J908" s="14" t="s">
        <v>18081</v>
      </c>
      <c r="K908" s="14" t="s">
        <v>179</v>
      </c>
      <c r="L908" s="14" t="s">
        <v>18082</v>
      </c>
      <c r="M908" s="14" t="s">
        <v>179</v>
      </c>
      <c r="N908" s="14" t="s">
        <v>18082</v>
      </c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6" t="s">
        <v>197</v>
      </c>
      <c r="BP908" s="17" t="s">
        <v>198</v>
      </c>
      <c r="BQ908" s="18">
        <v>45688.605844907404</v>
      </c>
      <c r="BR908" s="17" t="s">
        <v>198</v>
      </c>
      <c r="BS908" s="18">
        <v>45688.605844907404</v>
      </c>
      <c r="BT908" s="17" t="s">
        <v>198</v>
      </c>
      <c r="BU908" s="18">
        <v>45688.605844907404</v>
      </c>
      <c r="BV908" s="13" t="s">
        <v>199</v>
      </c>
      <c r="BW908" s="14" t="s">
        <v>179</v>
      </c>
      <c r="BX908" s="14" t="s">
        <v>18083</v>
      </c>
      <c r="BY908" s="14" t="s">
        <v>179</v>
      </c>
      <c r="BZ908" s="14" t="s">
        <v>18084</v>
      </c>
      <c r="CA908" s="14" t="s">
        <v>179</v>
      </c>
      <c r="CB908" s="14" t="s">
        <v>18085</v>
      </c>
      <c r="CC908" s="15"/>
      <c r="CD908" s="15"/>
      <c r="CE908" s="15"/>
      <c r="CF908" s="15"/>
      <c r="CG908" s="19"/>
      <c r="CH908" s="15"/>
      <c r="CI908" s="19"/>
      <c r="CJ908" s="15"/>
      <c r="CK908" s="19"/>
      <c r="CL908" s="15"/>
      <c r="CM908" s="19"/>
      <c r="CN908" s="15"/>
      <c r="CO908" s="19"/>
      <c r="CP908" s="15"/>
      <c r="CQ908" s="15"/>
      <c r="CR908" s="15"/>
      <c r="CS908" s="19"/>
      <c r="CT908" s="15"/>
      <c r="CU908" s="19"/>
      <c r="CV908" s="15"/>
      <c r="CW908" s="19"/>
      <c r="CX908" s="15"/>
      <c r="CY908" s="19"/>
      <c r="CZ908" s="15"/>
      <c r="DA908" s="16" t="s">
        <v>197</v>
      </c>
      <c r="DB908" s="17" t="s">
        <v>228</v>
      </c>
      <c r="DC908" s="16"/>
      <c r="DD908" s="17" t="s">
        <v>198</v>
      </c>
      <c r="DE908" s="18">
        <v>45707.35099537037</v>
      </c>
      <c r="DF908" s="17" t="s">
        <v>198</v>
      </c>
      <c r="DG908" s="18">
        <v>45707.35099537037</v>
      </c>
      <c r="DH908" s="13" t="s">
        <v>205</v>
      </c>
      <c r="DI908" s="14" t="s">
        <v>179</v>
      </c>
      <c r="DJ908" s="14" t="s">
        <v>18086</v>
      </c>
      <c r="DK908" s="14" t="s">
        <v>179</v>
      </c>
      <c r="DL908" s="14" t="s">
        <v>18086</v>
      </c>
      <c r="DM908" s="15"/>
      <c r="DN908" s="15"/>
      <c r="DO908" s="15"/>
      <c r="DP908" s="15"/>
      <c r="DQ908" s="15"/>
      <c r="DR908" s="15"/>
      <c r="DS908" s="15"/>
      <c r="DT908" s="15"/>
      <c r="DU908" s="15"/>
      <c r="DV908" s="15"/>
      <c r="DW908" s="15"/>
      <c r="DX908" s="15"/>
      <c r="DY908" s="15"/>
      <c r="DZ908" s="15"/>
      <c r="EA908" s="15"/>
      <c r="EB908" s="15"/>
      <c r="EC908" s="16" t="s">
        <v>197</v>
      </c>
      <c r="ED908" s="17" t="s">
        <v>198</v>
      </c>
      <c r="EE908" s="18">
        <v>45707.35104166667</v>
      </c>
      <c r="EF908" s="13" t="s">
        <v>209</v>
      </c>
      <c r="EG908" s="14" t="s">
        <v>179</v>
      </c>
      <c r="EH908" s="14" t="s">
        <v>18087</v>
      </c>
      <c r="EI908" s="14" t="s">
        <v>179</v>
      </c>
      <c r="EJ908" s="14" t="s">
        <v>18088</v>
      </c>
      <c r="EK908" s="15"/>
      <c r="EL908" s="15"/>
      <c r="EM908" s="15"/>
      <c r="EN908" s="15"/>
      <c r="EO908" s="15"/>
      <c r="EP908" s="15"/>
      <c r="EQ908" s="15"/>
      <c r="ER908" s="15"/>
      <c r="ES908" s="15"/>
      <c r="ET908" s="15"/>
      <c r="EU908" s="15"/>
      <c r="EV908" s="15"/>
      <c r="EW908" s="15"/>
      <c r="EX908" s="15"/>
      <c r="EY908" s="15"/>
      <c r="EZ908" s="15"/>
      <c r="FA908" s="15"/>
      <c r="FB908" s="15"/>
      <c r="FC908" s="16" t="s">
        <v>197</v>
      </c>
      <c r="FD908" s="17" t="s">
        <v>198</v>
      </c>
      <c r="FE908" s="18">
        <v>45707.35113425926</v>
      </c>
      <c r="FF908" s="19"/>
      <c r="FG908" s="19"/>
      <c r="FH908" s="21" t="s">
        <v>197</v>
      </c>
      <c r="FI908" s="17" t="s">
        <v>214</v>
      </c>
      <c r="FJ908" s="18">
        <v>45707.35113425926</v>
      </c>
      <c r="FK908" s="14" t="s">
        <v>18088</v>
      </c>
      <c r="FL908" s="14" t="s">
        <v>18089</v>
      </c>
      <c r="FM908" s="14" t="s">
        <v>18090</v>
      </c>
      <c r="FN908" s="19"/>
      <c r="FO908" s="19"/>
      <c r="FP908" s="19" t="str">
        <f t="shared" si="1"/>
        <v>Base de Dados_Images/TIT81042.Imagem do Equipamento-.181753.jpg</v>
      </c>
      <c r="FQ908" s="14"/>
      <c r="FR908" s="14"/>
    </row>
    <row r="909" ht="15.75" customHeight="1">
      <c r="A909" s="12" t="s">
        <v>357</v>
      </c>
      <c r="B909" s="12" t="s">
        <v>358</v>
      </c>
      <c r="C909" s="24" t="s">
        <v>375</v>
      </c>
      <c r="D909" s="22" t="s">
        <v>18091</v>
      </c>
      <c r="E909" s="22" t="s">
        <v>18092</v>
      </c>
      <c r="F909" s="13" t="s">
        <v>178</v>
      </c>
      <c r="G909" s="14" t="s">
        <v>179</v>
      </c>
      <c r="H909" s="14" t="s">
        <v>18093</v>
      </c>
      <c r="I909" s="14" t="s">
        <v>179</v>
      </c>
      <c r="J909" s="14" t="s">
        <v>18093</v>
      </c>
      <c r="K909" s="14" t="s">
        <v>179</v>
      </c>
      <c r="L909" s="14" t="s">
        <v>18094</v>
      </c>
      <c r="M909" s="14" t="s">
        <v>179</v>
      </c>
      <c r="N909" s="14" t="s">
        <v>18095</v>
      </c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6" t="s">
        <v>197</v>
      </c>
      <c r="BP909" s="17" t="s">
        <v>198</v>
      </c>
      <c r="BQ909" s="18">
        <v>45688.60524305556</v>
      </c>
      <c r="BR909" s="17" t="s">
        <v>198</v>
      </c>
      <c r="BS909" s="18">
        <v>45688.60524305556</v>
      </c>
      <c r="BT909" s="17" t="s">
        <v>198</v>
      </c>
      <c r="BU909" s="18">
        <v>45688.60524305556</v>
      </c>
      <c r="BV909" s="13" t="s">
        <v>199</v>
      </c>
      <c r="BW909" s="14" t="s">
        <v>179</v>
      </c>
      <c r="BX909" s="14" t="s">
        <v>18096</v>
      </c>
      <c r="BY909" s="14" t="s">
        <v>179</v>
      </c>
      <c r="BZ909" s="14" t="s">
        <v>18097</v>
      </c>
      <c r="CA909" s="14" t="s">
        <v>179</v>
      </c>
      <c r="CB909" s="14" t="s">
        <v>18098</v>
      </c>
      <c r="CC909" s="15"/>
      <c r="CD909" s="15"/>
      <c r="CE909" s="15"/>
      <c r="CF909" s="15"/>
      <c r="CG909" s="19"/>
      <c r="CH909" s="15"/>
      <c r="CI909" s="19"/>
      <c r="CJ909" s="15"/>
      <c r="CK909" s="19"/>
      <c r="CL909" s="15"/>
      <c r="CM909" s="19"/>
      <c r="CN909" s="15"/>
      <c r="CO909" s="19"/>
      <c r="CP909" s="15"/>
      <c r="CQ909" s="15"/>
      <c r="CR909" s="15"/>
      <c r="CS909" s="19"/>
      <c r="CT909" s="15"/>
      <c r="CU909" s="19"/>
      <c r="CV909" s="15"/>
      <c r="CW909" s="19"/>
      <c r="CX909" s="15"/>
      <c r="CY909" s="19"/>
      <c r="CZ909" s="15"/>
      <c r="DA909" s="16" t="s">
        <v>197</v>
      </c>
      <c r="DB909" s="17" t="s">
        <v>228</v>
      </c>
      <c r="DC909" s="16"/>
      <c r="DD909" s="17" t="s">
        <v>198</v>
      </c>
      <c r="DE909" s="18">
        <v>45707.35258101852</v>
      </c>
      <c r="DF909" s="17" t="s">
        <v>198</v>
      </c>
      <c r="DG909" s="18">
        <v>45707.35258101852</v>
      </c>
      <c r="DH909" s="13" t="s">
        <v>205</v>
      </c>
      <c r="DI909" s="14" t="s">
        <v>179</v>
      </c>
      <c r="DJ909" s="14" t="s">
        <v>18099</v>
      </c>
      <c r="DK909" s="14" t="s">
        <v>179</v>
      </c>
      <c r="DL909" s="14" t="s">
        <v>18100</v>
      </c>
      <c r="DM909" s="15"/>
      <c r="DN909" s="15"/>
      <c r="DO909" s="15"/>
      <c r="DP909" s="15"/>
      <c r="DQ909" s="15"/>
      <c r="DR909" s="15"/>
      <c r="DS909" s="15"/>
      <c r="DT909" s="15"/>
      <c r="DU909" s="15"/>
      <c r="DV909" s="15"/>
      <c r="DW909" s="15"/>
      <c r="DX909" s="15"/>
      <c r="DY909" s="15"/>
      <c r="DZ909" s="15"/>
      <c r="EA909" s="15"/>
      <c r="EB909" s="15"/>
      <c r="EC909" s="16" t="s">
        <v>197</v>
      </c>
      <c r="ED909" s="17" t="s">
        <v>198</v>
      </c>
      <c r="EE909" s="18">
        <v>45707.35266203704</v>
      </c>
      <c r="EF909" s="13" t="s">
        <v>209</v>
      </c>
      <c r="EG909" s="14" t="s">
        <v>179</v>
      </c>
      <c r="EH909" s="14" t="s">
        <v>18101</v>
      </c>
      <c r="EI909" s="14" t="s">
        <v>179</v>
      </c>
      <c r="EJ909" s="14" t="s">
        <v>18102</v>
      </c>
      <c r="EK909" s="15"/>
      <c r="EL909" s="15"/>
      <c r="EM909" s="15"/>
      <c r="EN909" s="15"/>
      <c r="EO909" s="15"/>
      <c r="EP909" s="15"/>
      <c r="EQ909" s="15"/>
      <c r="ER909" s="15"/>
      <c r="ES909" s="15"/>
      <c r="ET909" s="15"/>
      <c r="EU909" s="15"/>
      <c r="EV909" s="15"/>
      <c r="EW909" s="15"/>
      <c r="EX909" s="15"/>
      <c r="EY909" s="15"/>
      <c r="EZ909" s="15"/>
      <c r="FA909" s="15"/>
      <c r="FB909" s="15"/>
      <c r="FC909" s="16" t="s">
        <v>197</v>
      </c>
      <c r="FD909" s="17" t="s">
        <v>198</v>
      </c>
      <c r="FE909" s="18">
        <v>45707.35270833333</v>
      </c>
      <c r="FF909" s="19"/>
      <c r="FG909" s="19"/>
      <c r="FH909" s="21" t="s">
        <v>197</v>
      </c>
      <c r="FI909" s="17" t="s">
        <v>214</v>
      </c>
      <c r="FJ909" s="18">
        <v>45707.35270833333</v>
      </c>
      <c r="FK909" s="14" t="s">
        <v>18102</v>
      </c>
      <c r="FL909" s="14" t="s">
        <v>18103</v>
      </c>
      <c r="FM909" s="14" t="s">
        <v>18104</v>
      </c>
      <c r="FN909" s="19"/>
      <c r="FO909" s="19"/>
      <c r="FP909" s="19" t="str">
        <f t="shared" si="1"/>
        <v>Base de Dados_Images/TIT81043.Imagem do Equipamento-.181737.jpg</v>
      </c>
      <c r="FQ909" s="14"/>
      <c r="FR909" s="14"/>
    </row>
    <row r="910" ht="15.75" customHeight="1">
      <c r="A910" s="12" t="s">
        <v>357</v>
      </c>
      <c r="B910" s="12" t="s">
        <v>358</v>
      </c>
      <c r="C910" s="24" t="s">
        <v>375</v>
      </c>
      <c r="D910" s="22" t="s">
        <v>18105</v>
      </c>
      <c r="E910" s="22" t="s">
        <v>18106</v>
      </c>
      <c r="F910" s="13" t="s">
        <v>178</v>
      </c>
      <c r="G910" s="14" t="s">
        <v>179</v>
      </c>
      <c r="H910" s="14" t="s">
        <v>18107</v>
      </c>
      <c r="I910" s="14" t="s">
        <v>179</v>
      </c>
      <c r="J910" s="14" t="s">
        <v>18107</v>
      </c>
      <c r="K910" s="14" t="s">
        <v>179</v>
      </c>
      <c r="L910" s="14" t="s">
        <v>18108</v>
      </c>
      <c r="M910" s="14" t="s">
        <v>179</v>
      </c>
      <c r="N910" s="14" t="s">
        <v>18108</v>
      </c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6" t="s">
        <v>197</v>
      </c>
      <c r="BP910" s="17" t="s">
        <v>198</v>
      </c>
      <c r="BQ910" s="18">
        <v>45688.55747685185</v>
      </c>
      <c r="BR910" s="17" t="s">
        <v>198</v>
      </c>
      <c r="BS910" s="18">
        <v>45688.55747685185</v>
      </c>
      <c r="BT910" s="17" t="s">
        <v>198</v>
      </c>
      <c r="BU910" s="18">
        <v>45688.55747685185</v>
      </c>
      <c r="BV910" s="13" t="s">
        <v>199</v>
      </c>
      <c r="BW910" s="14" t="s">
        <v>179</v>
      </c>
      <c r="BX910" s="14" t="s">
        <v>18109</v>
      </c>
      <c r="BY910" s="14" t="s">
        <v>179</v>
      </c>
      <c r="BZ910" s="14" t="s">
        <v>18110</v>
      </c>
      <c r="CA910" s="14" t="s">
        <v>179</v>
      </c>
      <c r="CB910" s="14" t="s">
        <v>18111</v>
      </c>
      <c r="CC910" s="15"/>
      <c r="CD910" s="15"/>
      <c r="CE910" s="15"/>
      <c r="CF910" s="15"/>
      <c r="CG910" s="19"/>
      <c r="CH910" s="15"/>
      <c r="CI910" s="19"/>
      <c r="CJ910" s="15"/>
      <c r="CK910" s="19"/>
      <c r="CL910" s="15"/>
      <c r="CM910" s="19"/>
      <c r="CN910" s="15"/>
      <c r="CO910" s="19"/>
      <c r="CP910" s="15"/>
      <c r="CQ910" s="15"/>
      <c r="CR910" s="15"/>
      <c r="CS910" s="19"/>
      <c r="CT910" s="15"/>
      <c r="CU910" s="19"/>
      <c r="CV910" s="15"/>
      <c r="CW910" s="19"/>
      <c r="CX910" s="15"/>
      <c r="CY910" s="19"/>
      <c r="CZ910" s="15"/>
      <c r="DA910" s="16" t="s">
        <v>197</v>
      </c>
      <c r="DB910" s="17" t="s">
        <v>228</v>
      </c>
      <c r="DC910" s="16"/>
      <c r="DD910" s="17" t="s">
        <v>198</v>
      </c>
      <c r="DE910" s="18">
        <v>45707.35173611111</v>
      </c>
      <c r="DF910" s="17" t="s">
        <v>198</v>
      </c>
      <c r="DG910" s="18">
        <v>45707.35173611111</v>
      </c>
      <c r="DH910" s="13" t="s">
        <v>205</v>
      </c>
      <c r="DI910" s="14" t="s">
        <v>179</v>
      </c>
      <c r="DJ910" s="14" t="s">
        <v>18112</v>
      </c>
      <c r="DK910" s="14" t="s">
        <v>179</v>
      </c>
      <c r="DL910" s="14" t="s">
        <v>18113</v>
      </c>
      <c r="DM910" s="15"/>
      <c r="DN910" s="15"/>
      <c r="DO910" s="15"/>
      <c r="DP910" s="15"/>
      <c r="DQ910" s="15"/>
      <c r="DR910" s="15"/>
      <c r="DS910" s="15"/>
      <c r="DT910" s="15"/>
      <c r="DU910" s="15"/>
      <c r="DV910" s="15"/>
      <c r="DW910" s="15"/>
      <c r="DX910" s="15"/>
      <c r="DY910" s="15"/>
      <c r="DZ910" s="15"/>
      <c r="EA910" s="15"/>
      <c r="EB910" s="15"/>
      <c r="EC910" s="16" t="s">
        <v>197</v>
      </c>
      <c r="ED910" s="17" t="s">
        <v>198</v>
      </c>
      <c r="EE910" s="18">
        <v>45707.351793981485</v>
      </c>
      <c r="EF910" s="13" t="s">
        <v>209</v>
      </c>
      <c r="EG910" s="14" t="s">
        <v>179</v>
      </c>
      <c r="EH910" s="14" t="s">
        <v>18114</v>
      </c>
      <c r="EI910" s="14" t="s">
        <v>179</v>
      </c>
      <c r="EJ910" s="14" t="s">
        <v>18115</v>
      </c>
      <c r="EK910" s="15"/>
      <c r="EL910" s="15"/>
      <c r="EM910" s="15"/>
      <c r="EN910" s="15"/>
      <c r="EO910" s="15"/>
      <c r="EP910" s="15"/>
      <c r="EQ910" s="15"/>
      <c r="ER910" s="15"/>
      <c r="ES910" s="15"/>
      <c r="ET910" s="15"/>
      <c r="EU910" s="15"/>
      <c r="EV910" s="15"/>
      <c r="EW910" s="15"/>
      <c r="EX910" s="15"/>
      <c r="EY910" s="15"/>
      <c r="EZ910" s="15"/>
      <c r="FA910" s="15"/>
      <c r="FB910" s="15"/>
      <c r="FC910" s="16" t="s">
        <v>197</v>
      </c>
      <c r="FD910" s="17" t="s">
        <v>198</v>
      </c>
      <c r="FE910" s="18">
        <v>45707.351851851854</v>
      </c>
      <c r="FF910" s="19"/>
      <c r="FG910" s="19"/>
      <c r="FH910" s="21" t="s">
        <v>197</v>
      </c>
      <c r="FI910" s="17" t="s">
        <v>214</v>
      </c>
      <c r="FJ910" s="18">
        <v>45707.351851851854</v>
      </c>
      <c r="FK910" s="14" t="s">
        <v>18115</v>
      </c>
      <c r="FL910" s="14" t="s">
        <v>18116</v>
      </c>
      <c r="FM910" s="14" t="s">
        <v>18117</v>
      </c>
      <c r="FN910" s="19"/>
      <c r="FO910" s="19"/>
      <c r="FP910" s="19" t="str">
        <f t="shared" si="1"/>
        <v>Base de Dados_Images/TIT81044.Imagem do Equipamento-.165744.jpg</v>
      </c>
      <c r="FQ910" s="14"/>
      <c r="FR910" s="14"/>
    </row>
    <row r="911" ht="15.75" customHeight="1">
      <c r="A911" s="12" t="s">
        <v>357</v>
      </c>
      <c r="B911" s="12" t="s">
        <v>358</v>
      </c>
      <c r="C911" s="24" t="s">
        <v>375</v>
      </c>
      <c r="D911" s="22" t="s">
        <v>18118</v>
      </c>
      <c r="E911" s="22" t="s">
        <v>18119</v>
      </c>
      <c r="F911" s="13" t="s">
        <v>178</v>
      </c>
      <c r="G911" s="14" t="s">
        <v>179</v>
      </c>
      <c r="H911" s="14" t="s">
        <v>18120</v>
      </c>
      <c r="I911" s="14" t="s">
        <v>179</v>
      </c>
      <c r="J911" s="14" t="s">
        <v>18121</v>
      </c>
      <c r="K911" s="14" t="s">
        <v>179</v>
      </c>
      <c r="L911" s="14" t="s">
        <v>18121</v>
      </c>
      <c r="M911" s="14" t="s">
        <v>179</v>
      </c>
      <c r="N911" s="14" t="s">
        <v>18122</v>
      </c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6" t="s">
        <v>197</v>
      </c>
      <c r="BP911" s="17" t="s">
        <v>198</v>
      </c>
      <c r="BQ911" s="18">
        <v>45688.55795138889</v>
      </c>
      <c r="BR911" s="17" t="s">
        <v>198</v>
      </c>
      <c r="BS911" s="18">
        <v>45688.55793981482</v>
      </c>
      <c r="BT911" s="17" t="s">
        <v>198</v>
      </c>
      <c r="BU911" s="18">
        <v>45688.55795138889</v>
      </c>
      <c r="BV911" s="13" t="s">
        <v>199</v>
      </c>
      <c r="BW911" s="14" t="s">
        <v>179</v>
      </c>
      <c r="BX911" s="14" t="s">
        <v>18123</v>
      </c>
      <c r="BY911" s="14" t="s">
        <v>179</v>
      </c>
      <c r="BZ911" s="14" t="s">
        <v>18124</v>
      </c>
      <c r="CA911" s="14" t="s">
        <v>179</v>
      </c>
      <c r="CB911" s="14" t="s">
        <v>18125</v>
      </c>
      <c r="CC911" s="15"/>
      <c r="CD911" s="15"/>
      <c r="CE911" s="15"/>
      <c r="CF911" s="15"/>
      <c r="CG911" s="19"/>
      <c r="CH911" s="15"/>
      <c r="CI911" s="19"/>
      <c r="CJ911" s="15"/>
      <c r="CK911" s="19"/>
      <c r="CL911" s="15"/>
      <c r="CM911" s="19"/>
      <c r="CN911" s="15"/>
      <c r="CO911" s="19"/>
      <c r="CP911" s="15"/>
      <c r="CQ911" s="15"/>
      <c r="CR911" s="15"/>
      <c r="CS911" s="19"/>
      <c r="CT911" s="15"/>
      <c r="CU911" s="19"/>
      <c r="CV911" s="15"/>
      <c r="CW911" s="19"/>
      <c r="CX911" s="15"/>
      <c r="CY911" s="19"/>
      <c r="CZ911" s="15"/>
      <c r="DA911" s="16" t="s">
        <v>197</v>
      </c>
      <c r="DB911" s="17" t="s">
        <v>228</v>
      </c>
      <c r="DC911" s="16"/>
      <c r="DD911" s="17" t="s">
        <v>198</v>
      </c>
      <c r="DE911" s="18">
        <v>45707.352013888885</v>
      </c>
      <c r="DF911" s="17" t="s">
        <v>198</v>
      </c>
      <c r="DG911" s="18">
        <v>45707.352013888885</v>
      </c>
      <c r="DH911" s="13" t="s">
        <v>205</v>
      </c>
      <c r="DI911" s="14" t="s">
        <v>179</v>
      </c>
      <c r="DJ911" s="14" t="s">
        <v>18126</v>
      </c>
      <c r="DK911" s="14" t="s">
        <v>179</v>
      </c>
      <c r="DL911" s="14" t="s">
        <v>18127</v>
      </c>
      <c r="DM911" s="15"/>
      <c r="DN911" s="15"/>
      <c r="DO911" s="15"/>
      <c r="DP911" s="15"/>
      <c r="DQ911" s="15"/>
      <c r="DR911" s="15"/>
      <c r="DS911" s="15"/>
      <c r="DT911" s="15"/>
      <c r="DU911" s="15"/>
      <c r="DV911" s="15"/>
      <c r="DW911" s="15"/>
      <c r="DX911" s="15"/>
      <c r="DY911" s="15"/>
      <c r="DZ911" s="15"/>
      <c r="EA911" s="15"/>
      <c r="EB911" s="15"/>
      <c r="EC911" s="16" t="s">
        <v>197</v>
      </c>
      <c r="ED911" s="17" t="s">
        <v>198</v>
      </c>
      <c r="EE911" s="18">
        <v>45707.35207175926</v>
      </c>
      <c r="EF911" s="13" t="s">
        <v>209</v>
      </c>
      <c r="EG911" s="14" t="s">
        <v>179</v>
      </c>
      <c r="EH911" s="14" t="s">
        <v>18128</v>
      </c>
      <c r="EI911" s="14" t="s">
        <v>179</v>
      </c>
      <c r="EJ911" s="14" t="s">
        <v>18129</v>
      </c>
      <c r="EK911" s="15"/>
      <c r="EL911" s="15"/>
      <c r="EM911" s="15"/>
      <c r="EN911" s="15"/>
      <c r="EO911" s="15"/>
      <c r="EP911" s="15"/>
      <c r="EQ911" s="15"/>
      <c r="ER911" s="15"/>
      <c r="ES911" s="15"/>
      <c r="ET911" s="15"/>
      <c r="EU911" s="15"/>
      <c r="EV911" s="15"/>
      <c r="EW911" s="15"/>
      <c r="EX911" s="15"/>
      <c r="EY911" s="15"/>
      <c r="EZ911" s="15"/>
      <c r="FA911" s="15"/>
      <c r="FB911" s="15"/>
      <c r="FC911" s="16" t="s">
        <v>197</v>
      </c>
      <c r="FD911" s="17" t="s">
        <v>198</v>
      </c>
      <c r="FE911" s="18">
        <v>45707.352118055554</v>
      </c>
      <c r="FF911" s="19"/>
      <c r="FG911" s="19"/>
      <c r="FH911" s="21" t="s">
        <v>197</v>
      </c>
      <c r="FI911" s="17" t="s">
        <v>214</v>
      </c>
      <c r="FJ911" s="18">
        <v>45707.352118055554</v>
      </c>
      <c r="FK911" s="14" t="s">
        <v>18129</v>
      </c>
      <c r="FL911" s="14" t="s">
        <v>18130</v>
      </c>
      <c r="FM911" s="14" t="s">
        <v>18131</v>
      </c>
      <c r="FN911" s="19"/>
      <c r="FO911" s="19"/>
      <c r="FP911" s="19" t="str">
        <f t="shared" si="1"/>
        <v>Base de Dados_Images/TIT81045.Imagem do Equipamento-.165805.jpg</v>
      </c>
      <c r="FQ911" s="14"/>
      <c r="FR911" s="14"/>
    </row>
    <row r="912" ht="15.75" customHeight="1">
      <c r="A912" s="12" t="s">
        <v>357</v>
      </c>
      <c r="B912" s="12" t="s">
        <v>358</v>
      </c>
      <c r="C912" s="24" t="s">
        <v>375</v>
      </c>
      <c r="D912" s="22" t="s">
        <v>18132</v>
      </c>
      <c r="E912" s="22" t="s">
        <v>18133</v>
      </c>
      <c r="F912" s="13" t="s">
        <v>178</v>
      </c>
      <c r="G912" s="14" t="s">
        <v>179</v>
      </c>
      <c r="H912" s="14" t="s">
        <v>18134</v>
      </c>
      <c r="I912" s="14" t="s">
        <v>179</v>
      </c>
      <c r="J912" s="14" t="s">
        <v>18135</v>
      </c>
      <c r="K912" s="14" t="s">
        <v>179</v>
      </c>
      <c r="L912" s="14" t="s">
        <v>18135</v>
      </c>
      <c r="M912" s="14" t="s">
        <v>179</v>
      </c>
      <c r="N912" s="14" t="s">
        <v>18136</v>
      </c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6" t="s">
        <v>197</v>
      </c>
      <c r="BP912" s="17" t="s">
        <v>198</v>
      </c>
      <c r="BQ912" s="18">
        <v>45688.55638888889</v>
      </c>
      <c r="BR912" s="17" t="s">
        <v>198</v>
      </c>
      <c r="BS912" s="18">
        <v>45688.55637731482</v>
      </c>
      <c r="BT912" s="17" t="s">
        <v>198</v>
      </c>
      <c r="BU912" s="18">
        <v>45688.55638888889</v>
      </c>
      <c r="BV912" s="13" t="s">
        <v>199</v>
      </c>
      <c r="BW912" s="14" t="s">
        <v>179</v>
      </c>
      <c r="BX912" s="14" t="s">
        <v>18137</v>
      </c>
      <c r="BY912" s="14" t="s">
        <v>179</v>
      </c>
      <c r="BZ912" s="14" t="s">
        <v>18138</v>
      </c>
      <c r="CA912" s="14" t="s">
        <v>179</v>
      </c>
      <c r="CB912" s="14" t="s">
        <v>18139</v>
      </c>
      <c r="CC912" s="15"/>
      <c r="CD912" s="15"/>
      <c r="CE912" s="15"/>
      <c r="CF912" s="15"/>
      <c r="CG912" s="19"/>
      <c r="CH912" s="15"/>
      <c r="CI912" s="19"/>
      <c r="CJ912" s="15"/>
      <c r="CK912" s="19"/>
      <c r="CL912" s="15"/>
      <c r="CM912" s="19"/>
      <c r="CN912" s="15"/>
      <c r="CO912" s="19"/>
      <c r="CP912" s="15"/>
      <c r="CQ912" s="15"/>
      <c r="CR912" s="15"/>
      <c r="CS912" s="19"/>
      <c r="CT912" s="15"/>
      <c r="CU912" s="19"/>
      <c r="CV912" s="15"/>
      <c r="CW912" s="19"/>
      <c r="CX912" s="15"/>
      <c r="CY912" s="19"/>
      <c r="CZ912" s="15"/>
      <c r="DA912" s="16" t="s">
        <v>197</v>
      </c>
      <c r="DB912" s="17" t="s">
        <v>228</v>
      </c>
      <c r="DC912" s="16"/>
      <c r="DD912" s="17" t="s">
        <v>198</v>
      </c>
      <c r="DE912" s="18">
        <v>45707.35289351852</v>
      </c>
      <c r="DF912" s="17" t="s">
        <v>198</v>
      </c>
      <c r="DG912" s="18">
        <v>45707.35289351852</v>
      </c>
      <c r="DH912" s="13" t="s">
        <v>205</v>
      </c>
      <c r="DI912" s="14" t="s">
        <v>179</v>
      </c>
      <c r="DJ912" s="14" t="s">
        <v>18140</v>
      </c>
      <c r="DK912" s="14" t="s">
        <v>179</v>
      </c>
      <c r="DL912" s="14" t="s">
        <v>18141</v>
      </c>
      <c r="DM912" s="15"/>
      <c r="DN912" s="15"/>
      <c r="DO912" s="15"/>
      <c r="DP912" s="15"/>
      <c r="DQ912" s="15"/>
      <c r="DR912" s="15"/>
      <c r="DS912" s="15"/>
      <c r="DT912" s="15"/>
      <c r="DU912" s="15"/>
      <c r="DV912" s="15"/>
      <c r="DW912" s="15"/>
      <c r="DX912" s="15"/>
      <c r="DY912" s="15"/>
      <c r="DZ912" s="15"/>
      <c r="EA912" s="15"/>
      <c r="EB912" s="15"/>
      <c r="EC912" s="16" t="s">
        <v>197</v>
      </c>
      <c r="ED912" s="17" t="s">
        <v>198</v>
      </c>
      <c r="EE912" s="18">
        <v>45707.352951388886</v>
      </c>
      <c r="EF912" s="13" t="s">
        <v>209</v>
      </c>
      <c r="EG912" s="14" t="s">
        <v>179</v>
      </c>
      <c r="EH912" s="14" t="s">
        <v>18142</v>
      </c>
      <c r="EI912" s="14" t="s">
        <v>179</v>
      </c>
      <c r="EJ912" s="14" t="s">
        <v>18143</v>
      </c>
      <c r="EK912" s="15"/>
      <c r="EL912" s="15"/>
      <c r="EM912" s="15"/>
      <c r="EN912" s="15"/>
      <c r="EO912" s="15"/>
      <c r="EP912" s="15"/>
      <c r="EQ912" s="15"/>
      <c r="ER912" s="15"/>
      <c r="ES912" s="15"/>
      <c r="ET912" s="15"/>
      <c r="EU912" s="15"/>
      <c r="EV912" s="15"/>
      <c r="EW912" s="15"/>
      <c r="EX912" s="15"/>
      <c r="EY912" s="15"/>
      <c r="EZ912" s="15"/>
      <c r="FA912" s="15"/>
      <c r="FB912" s="15"/>
      <c r="FC912" s="16" t="s">
        <v>197</v>
      </c>
      <c r="FD912" s="17" t="s">
        <v>198</v>
      </c>
      <c r="FE912" s="18">
        <v>45707.352997685186</v>
      </c>
      <c r="FF912" s="19"/>
      <c r="FG912" s="19"/>
      <c r="FH912" s="21" t="s">
        <v>197</v>
      </c>
      <c r="FI912" s="17" t="s">
        <v>214</v>
      </c>
      <c r="FJ912" s="18">
        <v>45707.352997685186</v>
      </c>
      <c r="FK912" s="14" t="s">
        <v>18143</v>
      </c>
      <c r="FL912" s="19"/>
      <c r="FM912" s="19"/>
      <c r="FN912" s="19"/>
      <c r="FO912" s="19"/>
      <c r="FP912" s="19" t="str">
        <f t="shared" si="1"/>
        <v/>
      </c>
      <c r="FQ912" s="14" t="s">
        <v>215</v>
      </c>
      <c r="FR912" s="14" t="s">
        <v>18144</v>
      </c>
    </row>
    <row r="913" ht="15.75" customHeight="1">
      <c r="A913" s="12" t="s">
        <v>357</v>
      </c>
      <c r="B913" s="12" t="s">
        <v>17253</v>
      </c>
      <c r="C913" s="24" t="s">
        <v>375</v>
      </c>
      <c r="D913" s="22" t="s">
        <v>18145</v>
      </c>
      <c r="E913" s="22" t="s">
        <v>18146</v>
      </c>
      <c r="F913" s="13" t="s">
        <v>178</v>
      </c>
      <c r="G913" s="14" t="s">
        <v>179</v>
      </c>
      <c r="H913" s="14" t="s">
        <v>18147</v>
      </c>
      <c r="I913" s="14" t="s">
        <v>179</v>
      </c>
      <c r="J913" s="14" t="s">
        <v>18148</v>
      </c>
      <c r="K913" s="14" t="s">
        <v>179</v>
      </c>
      <c r="L913" s="14" t="s">
        <v>18149</v>
      </c>
      <c r="M913" s="14" t="s">
        <v>179</v>
      </c>
      <c r="N913" s="14" t="s">
        <v>18150</v>
      </c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6" t="s">
        <v>197</v>
      </c>
      <c r="BP913" s="17" t="s">
        <v>198</v>
      </c>
      <c r="BQ913" s="18">
        <v>45686.40076388889</v>
      </c>
      <c r="BR913" s="17" t="s">
        <v>198</v>
      </c>
      <c r="BS913" s="18">
        <v>45686.40083333333</v>
      </c>
      <c r="BT913" s="17" t="s">
        <v>198</v>
      </c>
      <c r="BU913" s="18">
        <v>45686.40083333333</v>
      </c>
      <c r="BV913" s="13" t="s">
        <v>199</v>
      </c>
      <c r="BW913" s="14" t="s">
        <v>179</v>
      </c>
      <c r="BX913" s="14" t="s">
        <v>18151</v>
      </c>
      <c r="BY913" s="14" t="s">
        <v>179</v>
      </c>
      <c r="BZ913" s="14" t="s">
        <v>18152</v>
      </c>
      <c r="CA913" s="14" t="s">
        <v>179</v>
      </c>
      <c r="CB913" s="14" t="s">
        <v>18153</v>
      </c>
      <c r="CC913" s="15"/>
      <c r="CD913" s="15"/>
      <c r="CE913" s="15"/>
      <c r="CF913" s="15"/>
      <c r="CG913" s="19"/>
      <c r="CH913" s="15"/>
      <c r="CI913" s="19"/>
      <c r="CJ913" s="15"/>
      <c r="CK913" s="19"/>
      <c r="CL913" s="15"/>
      <c r="CM913" s="19"/>
      <c r="CN913" s="15"/>
      <c r="CO913" s="19"/>
      <c r="CP913" s="15"/>
      <c r="CQ913" s="15"/>
      <c r="CR913" s="15"/>
      <c r="CS913" s="19"/>
      <c r="CT913" s="15"/>
      <c r="CU913" s="19"/>
      <c r="CV913" s="15"/>
      <c r="CW913" s="19"/>
      <c r="CX913" s="15"/>
      <c r="CY913" s="19"/>
      <c r="CZ913" s="15"/>
      <c r="DA913" s="16" t="s">
        <v>197</v>
      </c>
      <c r="DB913" s="17" t="s">
        <v>228</v>
      </c>
      <c r="DC913" s="16"/>
      <c r="DD913" s="17" t="s">
        <v>198</v>
      </c>
      <c r="DE913" s="18">
        <v>45687.44431712963</v>
      </c>
      <c r="DF913" s="17" t="s">
        <v>198</v>
      </c>
      <c r="DG913" s="18">
        <v>45687.44431712963</v>
      </c>
      <c r="DH913" s="13" t="s">
        <v>205</v>
      </c>
      <c r="DI913" s="14" t="s">
        <v>179</v>
      </c>
      <c r="DJ913" s="14" t="s">
        <v>18154</v>
      </c>
      <c r="DK913" s="14" t="s">
        <v>179</v>
      </c>
      <c r="DL913" s="14" t="s">
        <v>18155</v>
      </c>
      <c r="DM913" s="15"/>
      <c r="DN913" s="15"/>
      <c r="DO913" s="15"/>
      <c r="DP913" s="15"/>
      <c r="DQ913" s="15"/>
      <c r="DR913" s="15"/>
      <c r="DS913" s="15"/>
      <c r="DT913" s="15"/>
      <c r="DU913" s="15"/>
      <c r="DV913" s="15"/>
      <c r="DW913" s="15"/>
      <c r="DX913" s="15"/>
      <c r="DY913" s="15"/>
      <c r="DZ913" s="15"/>
      <c r="EA913" s="15"/>
      <c r="EB913" s="15"/>
      <c r="EC913" s="16" t="s">
        <v>197</v>
      </c>
      <c r="ED913" s="17" t="s">
        <v>198</v>
      </c>
      <c r="EE913" s="18">
        <v>45708.52806712963</v>
      </c>
      <c r="EF913" s="13" t="s">
        <v>209</v>
      </c>
      <c r="EG913" s="14" t="s">
        <v>179</v>
      </c>
      <c r="EH913" s="14" t="s">
        <v>18156</v>
      </c>
      <c r="EI913" s="14" t="s">
        <v>179</v>
      </c>
      <c r="EJ913" s="14" t="s">
        <v>18157</v>
      </c>
      <c r="EK913" s="15"/>
      <c r="EL913" s="15"/>
      <c r="EM913" s="15"/>
      <c r="EN913" s="15"/>
      <c r="EO913" s="15"/>
      <c r="EP913" s="15"/>
      <c r="EQ913" s="15"/>
      <c r="ER913" s="15"/>
      <c r="ES913" s="15"/>
      <c r="ET913" s="15"/>
      <c r="EU913" s="15"/>
      <c r="EV913" s="15"/>
      <c r="EW913" s="15"/>
      <c r="EX913" s="15"/>
      <c r="EY913" s="15"/>
      <c r="EZ913" s="15"/>
      <c r="FA913" s="15"/>
      <c r="FB913" s="15"/>
      <c r="FC913" s="16" t="s">
        <v>197</v>
      </c>
      <c r="FD913" s="17" t="s">
        <v>198</v>
      </c>
      <c r="FE913" s="18">
        <v>45708.528125</v>
      </c>
      <c r="FF913" s="19"/>
      <c r="FG913" s="19"/>
      <c r="FH913" s="21" t="s">
        <v>197</v>
      </c>
      <c r="FI913" s="17" t="s">
        <v>214</v>
      </c>
      <c r="FJ913" s="18">
        <v>45708.528125</v>
      </c>
      <c r="FK913" s="14" t="s">
        <v>18157</v>
      </c>
      <c r="FL913" s="14" t="s">
        <v>18158</v>
      </c>
      <c r="FM913" s="14" t="s">
        <v>18159</v>
      </c>
      <c r="FN913" s="19"/>
      <c r="FO913" s="19"/>
      <c r="FP913" s="19" t="str">
        <f t="shared" si="1"/>
        <v>Base de Dados_Images/TIT81047.Imagem do Equipamento-.132125.jpg</v>
      </c>
      <c r="FQ913" s="19"/>
      <c r="FR913" s="19"/>
    </row>
    <row r="914" ht="15.75" customHeight="1">
      <c r="A914" s="25" t="s">
        <v>357</v>
      </c>
      <c r="B914" s="25" t="s">
        <v>358</v>
      </c>
      <c r="C914" s="26" t="s">
        <v>9595</v>
      </c>
      <c r="D914" s="25" t="s">
        <v>18160</v>
      </c>
      <c r="E914" s="25" t="s">
        <v>18161</v>
      </c>
      <c r="F914" s="27" t="s">
        <v>178</v>
      </c>
      <c r="G914" s="14" t="s">
        <v>179</v>
      </c>
      <c r="H914" s="14" t="s">
        <v>18162</v>
      </c>
      <c r="I914" s="14" t="s">
        <v>179</v>
      </c>
      <c r="J914" s="14" t="s">
        <v>18163</v>
      </c>
      <c r="K914" s="14" t="s">
        <v>179</v>
      </c>
      <c r="L914" s="14" t="s">
        <v>18163</v>
      </c>
      <c r="M914" s="14" t="s">
        <v>179</v>
      </c>
      <c r="N914" s="14" t="s">
        <v>18164</v>
      </c>
      <c r="O914" s="14" t="s">
        <v>179</v>
      </c>
      <c r="P914" s="14" t="s">
        <v>18165</v>
      </c>
      <c r="Q914" s="14" t="s">
        <v>179</v>
      </c>
      <c r="R914" s="14" t="s">
        <v>18166</v>
      </c>
      <c r="S914" s="14" t="s">
        <v>179</v>
      </c>
      <c r="T914" s="14" t="s">
        <v>18166</v>
      </c>
      <c r="U914" s="14" t="s">
        <v>179</v>
      </c>
      <c r="V914" s="14" t="s">
        <v>18167</v>
      </c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7" t="s">
        <v>197</v>
      </c>
      <c r="BP914" s="17" t="s">
        <v>198</v>
      </c>
      <c r="BQ914" s="18">
        <v>45693.68579861111</v>
      </c>
      <c r="BR914" s="17" t="s">
        <v>198</v>
      </c>
      <c r="BS914" s="18">
        <v>45693.68585648148</v>
      </c>
      <c r="BT914" s="17" t="s">
        <v>198</v>
      </c>
      <c r="BU914" s="18">
        <v>45693.68585648148</v>
      </c>
      <c r="BV914" s="27" t="s">
        <v>199</v>
      </c>
      <c r="BW914" s="14" t="s">
        <v>179</v>
      </c>
      <c r="BX914" s="14" t="s">
        <v>18168</v>
      </c>
      <c r="BY914" s="14" t="s">
        <v>179</v>
      </c>
      <c r="BZ914" s="14" t="s">
        <v>18168</v>
      </c>
      <c r="CA914" s="14" t="s">
        <v>179</v>
      </c>
      <c r="CB914" s="14" t="s">
        <v>18169</v>
      </c>
      <c r="CC914" s="14" t="s">
        <v>179</v>
      </c>
      <c r="CD914" s="14" t="s">
        <v>18170</v>
      </c>
      <c r="CE914" s="15"/>
      <c r="CF914" s="15"/>
      <c r="CG914" s="19"/>
      <c r="CH914" s="15"/>
      <c r="CI914" s="19"/>
      <c r="CJ914" s="15"/>
      <c r="CK914" s="19"/>
      <c r="CL914" s="15"/>
      <c r="CM914" s="19"/>
      <c r="CN914" s="15"/>
      <c r="CO914" s="19"/>
      <c r="CP914" s="15"/>
      <c r="CQ914" s="15"/>
      <c r="CR914" s="15"/>
      <c r="CS914" s="19"/>
      <c r="CT914" s="15"/>
      <c r="CU914" s="19"/>
      <c r="CV914" s="15"/>
      <c r="CW914" s="19"/>
      <c r="CX914" s="15"/>
      <c r="CY914" s="19"/>
      <c r="CZ914" s="15"/>
      <c r="DA914" s="17" t="s">
        <v>197</v>
      </c>
      <c r="DB914" s="17" t="s">
        <v>228</v>
      </c>
      <c r="DC914" s="16"/>
      <c r="DD914" s="17" t="s">
        <v>198</v>
      </c>
      <c r="DE914" s="18">
        <v>45706.395104166666</v>
      </c>
      <c r="DF914" s="17" t="s">
        <v>198</v>
      </c>
      <c r="DG914" s="18">
        <v>45706.395104166666</v>
      </c>
      <c r="DH914" s="27" t="s">
        <v>205</v>
      </c>
      <c r="DI914" s="14" t="s">
        <v>179</v>
      </c>
      <c r="DJ914" s="14" t="s">
        <v>18171</v>
      </c>
      <c r="DK914" s="14" t="s">
        <v>179</v>
      </c>
      <c r="DL914" s="14" t="s">
        <v>18172</v>
      </c>
      <c r="DM914" s="14" t="s">
        <v>179</v>
      </c>
      <c r="DN914" s="14" t="s">
        <v>18173</v>
      </c>
      <c r="DO914" s="14" t="s">
        <v>179</v>
      </c>
      <c r="DP914" s="14" t="s">
        <v>18174</v>
      </c>
      <c r="DQ914" s="15"/>
      <c r="DR914" s="15"/>
      <c r="DS914" s="15"/>
      <c r="DT914" s="15"/>
      <c r="DU914" s="15"/>
      <c r="DV914" s="15"/>
      <c r="DW914" s="15"/>
      <c r="DX914" s="15"/>
      <c r="DY914" s="15"/>
      <c r="DZ914" s="15"/>
      <c r="EA914" s="15"/>
      <c r="EB914" s="15"/>
      <c r="EC914" s="17" t="s">
        <v>197</v>
      </c>
      <c r="ED914" s="17" t="s">
        <v>198</v>
      </c>
      <c r="EE914" s="18">
        <v>45706.39538194444</v>
      </c>
      <c r="EF914" s="27" t="s">
        <v>209</v>
      </c>
      <c r="EG914" s="14" t="s">
        <v>179</v>
      </c>
      <c r="EH914" s="14" t="s">
        <v>18175</v>
      </c>
      <c r="EI914" s="14" t="s">
        <v>179</v>
      </c>
      <c r="EJ914" s="14" t="s">
        <v>18176</v>
      </c>
      <c r="EK914" s="14" t="s">
        <v>179</v>
      </c>
      <c r="EL914" s="14" t="s">
        <v>18177</v>
      </c>
      <c r="EM914" s="15"/>
      <c r="EN914" s="15"/>
      <c r="EO914" s="15"/>
      <c r="EP914" s="15"/>
      <c r="EQ914" s="15"/>
      <c r="ER914" s="15"/>
      <c r="ES914" s="15"/>
      <c r="ET914" s="15"/>
      <c r="EU914" s="15"/>
      <c r="EV914" s="15"/>
      <c r="EW914" s="15"/>
      <c r="EX914" s="15"/>
      <c r="EY914" s="15"/>
      <c r="EZ914" s="15"/>
      <c r="FA914" s="15"/>
      <c r="FB914" s="15"/>
      <c r="FC914" s="17" t="s">
        <v>197</v>
      </c>
      <c r="FD914" s="17" t="s">
        <v>198</v>
      </c>
      <c r="FE914" s="18">
        <v>45706.39548611111</v>
      </c>
      <c r="FF914" s="19"/>
      <c r="FG914" s="19"/>
      <c r="FH914" s="17" t="s">
        <v>197</v>
      </c>
      <c r="FI914" s="17" t="s">
        <v>214</v>
      </c>
      <c r="FJ914" s="18">
        <v>45706.39548611111</v>
      </c>
      <c r="FK914" s="14" t="s">
        <v>18177</v>
      </c>
      <c r="FL914" s="14"/>
      <c r="FM914" s="14"/>
      <c r="FN914" s="19"/>
      <c r="FO914" s="19"/>
      <c r="FP914" s="19" t="str">
        <f t="shared" si="1"/>
        <v/>
      </c>
      <c r="FQ914" s="14" t="s">
        <v>215</v>
      </c>
      <c r="FR914" s="14" t="s">
        <v>18178</v>
      </c>
    </row>
    <row r="915" ht="15.75" customHeight="1">
      <c r="A915" s="12" t="s">
        <v>10412</v>
      </c>
      <c r="B915" s="12" t="s">
        <v>14148</v>
      </c>
      <c r="C915" s="24" t="s">
        <v>375</v>
      </c>
      <c r="D915" s="12" t="s">
        <v>18179</v>
      </c>
      <c r="E915" s="12" t="s">
        <v>18180</v>
      </c>
      <c r="F915" s="13" t="s">
        <v>178</v>
      </c>
      <c r="G915" s="14" t="s">
        <v>179</v>
      </c>
      <c r="H915" s="14" t="s">
        <v>18181</v>
      </c>
      <c r="I915" s="14" t="s">
        <v>179</v>
      </c>
      <c r="J915" s="14" t="s">
        <v>18182</v>
      </c>
      <c r="K915" s="14" t="s">
        <v>179</v>
      </c>
      <c r="L915" s="14" t="s">
        <v>18183</v>
      </c>
      <c r="M915" s="14" t="s">
        <v>179</v>
      </c>
      <c r="N915" s="14" t="s">
        <v>18183</v>
      </c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6" t="s">
        <v>197</v>
      </c>
      <c r="BP915" s="17" t="s">
        <v>198</v>
      </c>
      <c r="BQ915" s="18">
        <v>45693.693194444444</v>
      </c>
      <c r="BR915" s="17" t="s">
        <v>198</v>
      </c>
      <c r="BS915" s="18">
        <v>45693.69318287037</v>
      </c>
      <c r="BT915" s="17" t="s">
        <v>198</v>
      </c>
      <c r="BU915" s="18">
        <v>45693.693194444444</v>
      </c>
      <c r="BV915" s="13" t="s">
        <v>199</v>
      </c>
      <c r="BW915" s="14" t="s">
        <v>188</v>
      </c>
      <c r="BX915" s="14" t="s">
        <v>18184</v>
      </c>
      <c r="BY915" s="14" t="s">
        <v>179</v>
      </c>
      <c r="BZ915" s="14" t="s">
        <v>18185</v>
      </c>
      <c r="CA915" s="14" t="s">
        <v>188</v>
      </c>
      <c r="CB915" s="14" t="s">
        <v>18185</v>
      </c>
      <c r="CC915" s="15"/>
      <c r="CD915" s="15"/>
      <c r="CE915" s="15"/>
      <c r="CF915" s="15"/>
      <c r="CG915" s="19"/>
      <c r="CH915" s="15"/>
      <c r="CI915" s="19"/>
      <c r="CJ915" s="15"/>
      <c r="CK915" s="19"/>
      <c r="CL915" s="15"/>
      <c r="CM915" s="19"/>
      <c r="CN915" s="15"/>
      <c r="CO915" s="19"/>
      <c r="CP915" s="15"/>
      <c r="CQ915" s="15"/>
      <c r="CR915" s="15"/>
      <c r="CS915" s="19"/>
      <c r="CT915" s="15"/>
      <c r="CU915" s="19"/>
      <c r="CV915" s="15"/>
      <c r="CW915" s="19"/>
      <c r="CX915" s="15"/>
      <c r="CY915" s="19"/>
      <c r="CZ915" s="15"/>
      <c r="DA915" s="16" t="s">
        <v>197</v>
      </c>
      <c r="DB915" s="17" t="s">
        <v>228</v>
      </c>
      <c r="DC915" s="16"/>
      <c r="DD915" s="17" t="s">
        <v>198</v>
      </c>
      <c r="DE915" s="18">
        <v>45714.510833333334</v>
      </c>
      <c r="DF915" s="17" t="s">
        <v>198</v>
      </c>
      <c r="DG915" s="18">
        <v>45714.510833333334</v>
      </c>
      <c r="DH915" s="13" t="s">
        <v>205</v>
      </c>
      <c r="DI915" s="14" t="s">
        <v>179</v>
      </c>
      <c r="DJ915" s="14" t="s">
        <v>18186</v>
      </c>
      <c r="DK915" s="14" t="s">
        <v>179</v>
      </c>
      <c r="DL915" s="14" t="s">
        <v>18187</v>
      </c>
      <c r="DM915" s="15"/>
      <c r="DN915" s="15"/>
      <c r="DO915" s="15"/>
      <c r="DP915" s="15"/>
      <c r="DQ915" s="15"/>
      <c r="DR915" s="15"/>
      <c r="DS915" s="15"/>
      <c r="DT915" s="15"/>
      <c r="DU915" s="15"/>
      <c r="DV915" s="15"/>
      <c r="DW915" s="15"/>
      <c r="DX915" s="15"/>
      <c r="DY915" s="15"/>
      <c r="DZ915" s="15"/>
      <c r="EA915" s="15"/>
      <c r="EB915" s="15"/>
      <c r="EC915" s="16" t="s">
        <v>197</v>
      </c>
      <c r="ED915" s="17" t="s">
        <v>198</v>
      </c>
      <c r="EE915" s="18">
        <v>45719.46199074074</v>
      </c>
      <c r="EF915" s="13" t="s">
        <v>209</v>
      </c>
      <c r="EG915" s="14" t="s">
        <v>179</v>
      </c>
      <c r="EH915" s="14" t="s">
        <v>18188</v>
      </c>
      <c r="EI915" s="14" t="s">
        <v>179</v>
      </c>
      <c r="EJ915" s="14" t="s">
        <v>18189</v>
      </c>
      <c r="EK915" s="15"/>
      <c r="EL915" s="15"/>
      <c r="EM915" s="15"/>
      <c r="EN915" s="15"/>
      <c r="EO915" s="15"/>
      <c r="EP915" s="15"/>
      <c r="EQ915" s="15"/>
      <c r="ER915" s="15"/>
      <c r="ES915" s="15"/>
      <c r="ET915" s="15"/>
      <c r="EU915" s="15"/>
      <c r="EV915" s="15"/>
      <c r="EW915" s="15"/>
      <c r="EX915" s="15"/>
      <c r="EY915" s="15"/>
      <c r="EZ915" s="15"/>
      <c r="FA915" s="15"/>
      <c r="FB915" s="15"/>
      <c r="FC915" s="16" t="s">
        <v>197</v>
      </c>
      <c r="FD915" s="17" t="s">
        <v>198</v>
      </c>
      <c r="FE915" s="18">
        <v>45719.6746412037</v>
      </c>
      <c r="FF915" s="19"/>
      <c r="FG915" s="19"/>
      <c r="FH915" s="21" t="s">
        <v>197</v>
      </c>
      <c r="FI915" s="17" t="s">
        <v>214</v>
      </c>
      <c r="FJ915" s="18">
        <v>45719.6746412037</v>
      </c>
      <c r="FK915" s="14" t="s">
        <v>18189</v>
      </c>
      <c r="FL915" s="19"/>
      <c r="FM915" s="19"/>
      <c r="FN915" s="19"/>
      <c r="FO915" s="19"/>
      <c r="FP915" s="19" t="str">
        <f t="shared" si="1"/>
        <v/>
      </c>
      <c r="FQ915" s="14" t="s">
        <v>215</v>
      </c>
      <c r="FR915" s="14" t="s">
        <v>18190</v>
      </c>
    </row>
    <row r="916" ht="15.75" customHeight="1">
      <c r="A916" s="12" t="s">
        <v>10412</v>
      </c>
      <c r="B916" s="12" t="s">
        <v>14148</v>
      </c>
      <c r="C916" s="24" t="s">
        <v>375</v>
      </c>
      <c r="D916" s="12" t="s">
        <v>18191</v>
      </c>
      <c r="E916" s="12" t="s">
        <v>18192</v>
      </c>
      <c r="F916" s="13" t="s">
        <v>178</v>
      </c>
      <c r="G916" s="14" t="s">
        <v>179</v>
      </c>
      <c r="H916" s="14" t="s">
        <v>18193</v>
      </c>
      <c r="I916" s="14" t="s">
        <v>179</v>
      </c>
      <c r="J916" s="14" t="s">
        <v>18193</v>
      </c>
      <c r="K916" s="14" t="s">
        <v>179</v>
      </c>
      <c r="L916" s="14" t="s">
        <v>18194</v>
      </c>
      <c r="M916" s="14" t="s">
        <v>179</v>
      </c>
      <c r="N916" s="14" t="s">
        <v>18195</v>
      </c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6" t="s">
        <v>197</v>
      </c>
      <c r="BP916" s="17" t="s">
        <v>198</v>
      </c>
      <c r="BQ916" s="18">
        <v>45693.693391203706</v>
      </c>
      <c r="BR916" s="17" t="s">
        <v>198</v>
      </c>
      <c r="BS916" s="18">
        <v>45693.693391203706</v>
      </c>
      <c r="BT916" s="17" t="s">
        <v>198</v>
      </c>
      <c r="BU916" s="18">
        <v>45693.693391203706</v>
      </c>
      <c r="BV916" s="13" t="s">
        <v>199</v>
      </c>
      <c r="BW916" s="14" t="s">
        <v>188</v>
      </c>
      <c r="BX916" s="14" t="s">
        <v>18196</v>
      </c>
      <c r="BY916" s="14" t="s">
        <v>179</v>
      </c>
      <c r="BZ916" s="14" t="s">
        <v>18197</v>
      </c>
      <c r="CA916" s="14" t="s">
        <v>188</v>
      </c>
      <c r="CB916" s="14" t="s">
        <v>18198</v>
      </c>
      <c r="CC916" s="15"/>
      <c r="CD916" s="15"/>
      <c r="CE916" s="15"/>
      <c r="CF916" s="15"/>
      <c r="CG916" s="19"/>
      <c r="CH916" s="15"/>
      <c r="CI916" s="19"/>
      <c r="CJ916" s="15"/>
      <c r="CK916" s="19"/>
      <c r="CL916" s="15"/>
      <c r="CM916" s="19"/>
      <c r="CN916" s="15"/>
      <c r="CO916" s="19"/>
      <c r="CP916" s="15"/>
      <c r="CQ916" s="15"/>
      <c r="CR916" s="15"/>
      <c r="CS916" s="19"/>
      <c r="CT916" s="15"/>
      <c r="CU916" s="19"/>
      <c r="CV916" s="15"/>
      <c r="CW916" s="19"/>
      <c r="CX916" s="15"/>
      <c r="CY916" s="19"/>
      <c r="CZ916" s="15"/>
      <c r="DA916" s="16" t="s">
        <v>197</v>
      </c>
      <c r="DB916" s="17" t="s">
        <v>228</v>
      </c>
      <c r="DC916" s="16"/>
      <c r="DD916" s="17" t="s">
        <v>198</v>
      </c>
      <c r="DE916" s="18">
        <v>45714.510925925926</v>
      </c>
      <c r="DF916" s="17" t="s">
        <v>198</v>
      </c>
      <c r="DG916" s="18">
        <v>45714.510925925926</v>
      </c>
      <c r="DH916" s="13" t="s">
        <v>205</v>
      </c>
      <c r="DI916" s="14" t="s">
        <v>179</v>
      </c>
      <c r="DJ916" s="14" t="s">
        <v>18199</v>
      </c>
      <c r="DK916" s="14" t="s">
        <v>179</v>
      </c>
      <c r="DL916" s="14" t="s">
        <v>18200</v>
      </c>
      <c r="DM916" s="15"/>
      <c r="DN916" s="15"/>
      <c r="DO916" s="15"/>
      <c r="DP916" s="15"/>
      <c r="DQ916" s="15"/>
      <c r="DR916" s="15"/>
      <c r="DS916" s="15"/>
      <c r="DT916" s="15"/>
      <c r="DU916" s="15"/>
      <c r="DV916" s="15"/>
      <c r="DW916" s="15"/>
      <c r="DX916" s="15"/>
      <c r="DY916" s="15"/>
      <c r="DZ916" s="15"/>
      <c r="EA916" s="15"/>
      <c r="EB916" s="15"/>
      <c r="EC916" s="16" t="s">
        <v>197</v>
      </c>
      <c r="ED916" s="17" t="s">
        <v>198</v>
      </c>
      <c r="EE916" s="18">
        <v>45719.46208333333</v>
      </c>
      <c r="EF916" s="13" t="s">
        <v>209</v>
      </c>
      <c r="EG916" s="14" t="s">
        <v>179</v>
      </c>
      <c r="EH916" s="14" t="s">
        <v>18201</v>
      </c>
      <c r="EI916" s="14" t="s">
        <v>179</v>
      </c>
      <c r="EJ916" s="14" t="s">
        <v>18202</v>
      </c>
      <c r="EK916" s="15"/>
      <c r="EL916" s="15"/>
      <c r="EM916" s="15"/>
      <c r="EN916" s="15"/>
      <c r="EO916" s="15"/>
      <c r="EP916" s="15"/>
      <c r="EQ916" s="15"/>
      <c r="ER916" s="15"/>
      <c r="ES916" s="15"/>
      <c r="ET916" s="15"/>
      <c r="EU916" s="15"/>
      <c r="EV916" s="15"/>
      <c r="EW916" s="15"/>
      <c r="EX916" s="15"/>
      <c r="EY916" s="15"/>
      <c r="EZ916" s="15"/>
      <c r="FA916" s="15"/>
      <c r="FB916" s="15"/>
      <c r="FC916" s="16" t="s">
        <v>197</v>
      </c>
      <c r="FD916" s="17" t="s">
        <v>198</v>
      </c>
      <c r="FE916" s="18">
        <v>45719.674733796295</v>
      </c>
      <c r="FF916" s="19"/>
      <c r="FG916" s="19"/>
      <c r="FH916" s="21" t="s">
        <v>197</v>
      </c>
      <c r="FI916" s="17" t="s">
        <v>214</v>
      </c>
      <c r="FJ916" s="18">
        <v>45719.674733796295</v>
      </c>
      <c r="FK916" s="14" t="s">
        <v>18202</v>
      </c>
      <c r="FL916" s="19"/>
      <c r="FM916" s="19"/>
      <c r="FN916" s="19"/>
      <c r="FO916" s="19"/>
      <c r="FP916" s="19" t="str">
        <f t="shared" si="1"/>
        <v/>
      </c>
      <c r="FQ916" s="14" t="s">
        <v>215</v>
      </c>
      <c r="FR916" s="14" t="s">
        <v>18203</v>
      </c>
    </row>
    <row r="917" ht="15.75" customHeight="1">
      <c r="A917" s="12" t="s">
        <v>10412</v>
      </c>
      <c r="B917" s="12" t="s">
        <v>14148</v>
      </c>
      <c r="C917" s="24" t="s">
        <v>375</v>
      </c>
      <c r="D917" s="12" t="s">
        <v>18204</v>
      </c>
      <c r="E917" s="12" t="s">
        <v>18205</v>
      </c>
      <c r="F917" s="13" t="s">
        <v>178</v>
      </c>
      <c r="G917" s="14" t="s">
        <v>179</v>
      </c>
      <c r="H917" s="14" t="s">
        <v>18206</v>
      </c>
      <c r="I917" s="14" t="s">
        <v>179</v>
      </c>
      <c r="J917" s="14" t="s">
        <v>18207</v>
      </c>
      <c r="K917" s="14" t="s">
        <v>179</v>
      </c>
      <c r="L917" s="14" t="s">
        <v>18208</v>
      </c>
      <c r="M917" s="14" t="s">
        <v>179</v>
      </c>
      <c r="N917" s="14" t="s">
        <v>18208</v>
      </c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6" t="s">
        <v>197</v>
      </c>
      <c r="BP917" s="17" t="s">
        <v>198</v>
      </c>
      <c r="BQ917" s="18">
        <v>45693.69440972222</v>
      </c>
      <c r="BR917" s="17" t="s">
        <v>198</v>
      </c>
      <c r="BS917" s="18">
        <v>45693.694398148145</v>
      </c>
      <c r="BT917" s="17" t="s">
        <v>198</v>
      </c>
      <c r="BU917" s="18">
        <v>45693.69440972222</v>
      </c>
      <c r="BV917" s="13" t="s">
        <v>199</v>
      </c>
      <c r="BW917" s="14" t="s">
        <v>188</v>
      </c>
      <c r="BX917" s="14" t="s">
        <v>18209</v>
      </c>
      <c r="BY917" s="14" t="s">
        <v>179</v>
      </c>
      <c r="BZ917" s="14" t="s">
        <v>18209</v>
      </c>
      <c r="CA917" s="14" t="s">
        <v>188</v>
      </c>
      <c r="CB917" s="14" t="s">
        <v>18210</v>
      </c>
      <c r="CC917" s="15"/>
      <c r="CD917" s="15"/>
      <c r="CE917" s="15"/>
      <c r="CF917" s="15"/>
      <c r="CG917" s="19"/>
      <c r="CH917" s="15"/>
      <c r="CI917" s="19"/>
      <c r="CJ917" s="15"/>
      <c r="CK917" s="19"/>
      <c r="CL917" s="15"/>
      <c r="CM917" s="19"/>
      <c r="CN917" s="15"/>
      <c r="CO917" s="19"/>
      <c r="CP917" s="15"/>
      <c r="CQ917" s="15"/>
      <c r="CR917" s="15"/>
      <c r="CS917" s="19"/>
      <c r="CT917" s="15"/>
      <c r="CU917" s="19"/>
      <c r="CV917" s="15"/>
      <c r="CW917" s="19"/>
      <c r="CX917" s="15"/>
      <c r="CY917" s="19"/>
      <c r="CZ917" s="15"/>
      <c r="DA917" s="16" t="s">
        <v>197</v>
      </c>
      <c r="DB917" s="17" t="s">
        <v>228</v>
      </c>
      <c r="DC917" s="16"/>
      <c r="DD917" s="17" t="s">
        <v>198</v>
      </c>
      <c r="DE917" s="18">
        <v>45714.51101851852</v>
      </c>
      <c r="DF917" s="17" t="s">
        <v>198</v>
      </c>
      <c r="DG917" s="18">
        <v>45714.51101851852</v>
      </c>
      <c r="DH917" s="13" t="s">
        <v>205</v>
      </c>
      <c r="DI917" s="14" t="s">
        <v>179</v>
      </c>
      <c r="DJ917" s="14" t="s">
        <v>18211</v>
      </c>
      <c r="DK917" s="14" t="s">
        <v>179</v>
      </c>
      <c r="DL917" s="14" t="s">
        <v>18212</v>
      </c>
      <c r="DM917" s="15"/>
      <c r="DN917" s="15"/>
      <c r="DO917" s="15"/>
      <c r="DP917" s="15"/>
      <c r="DQ917" s="15"/>
      <c r="DR917" s="15"/>
      <c r="DS917" s="15"/>
      <c r="DT917" s="15"/>
      <c r="DU917" s="15"/>
      <c r="DV917" s="15"/>
      <c r="DW917" s="15"/>
      <c r="DX917" s="15"/>
      <c r="DY917" s="15"/>
      <c r="DZ917" s="15"/>
      <c r="EA917" s="15"/>
      <c r="EB917" s="15"/>
      <c r="EC917" s="16" t="s">
        <v>197</v>
      </c>
      <c r="ED917" s="17" t="s">
        <v>198</v>
      </c>
      <c r="EE917" s="18">
        <v>45719.462175925924</v>
      </c>
      <c r="EF917" s="13" t="s">
        <v>209</v>
      </c>
      <c r="EG917" s="14" t="s">
        <v>179</v>
      </c>
      <c r="EH917" s="14" t="s">
        <v>18213</v>
      </c>
      <c r="EI917" s="14" t="s">
        <v>179</v>
      </c>
      <c r="EJ917" s="14" t="s">
        <v>18214</v>
      </c>
      <c r="EK917" s="15"/>
      <c r="EL917" s="15"/>
      <c r="EM917" s="15"/>
      <c r="EN917" s="15"/>
      <c r="EO917" s="15"/>
      <c r="EP917" s="15"/>
      <c r="EQ917" s="15"/>
      <c r="ER917" s="15"/>
      <c r="ES917" s="15"/>
      <c r="ET917" s="15"/>
      <c r="EU917" s="15"/>
      <c r="EV917" s="15"/>
      <c r="EW917" s="15"/>
      <c r="EX917" s="15"/>
      <c r="EY917" s="15"/>
      <c r="EZ917" s="15"/>
      <c r="FA917" s="15"/>
      <c r="FB917" s="15"/>
      <c r="FC917" s="16" t="s">
        <v>197</v>
      </c>
      <c r="FD917" s="17" t="s">
        <v>198</v>
      </c>
      <c r="FE917" s="18">
        <v>45719.67579861111</v>
      </c>
      <c r="FF917" s="19"/>
      <c r="FG917" s="19"/>
      <c r="FH917" s="21" t="s">
        <v>197</v>
      </c>
      <c r="FI917" s="17" t="s">
        <v>214</v>
      </c>
      <c r="FJ917" s="18">
        <v>45719.67579861111</v>
      </c>
      <c r="FK917" s="14" t="s">
        <v>18214</v>
      </c>
      <c r="FL917" s="19"/>
      <c r="FM917" s="19"/>
      <c r="FN917" s="19"/>
      <c r="FO917" s="19"/>
      <c r="FP917" s="19" t="str">
        <f t="shared" si="1"/>
        <v/>
      </c>
      <c r="FQ917" s="14" t="s">
        <v>215</v>
      </c>
      <c r="FR917" s="14" t="s">
        <v>18215</v>
      </c>
    </row>
    <row r="918" ht="15.75" customHeight="1">
      <c r="A918" s="12" t="s">
        <v>10412</v>
      </c>
      <c r="B918" s="12" t="s">
        <v>14148</v>
      </c>
      <c r="C918" s="24" t="s">
        <v>375</v>
      </c>
      <c r="D918" s="12" t="s">
        <v>18216</v>
      </c>
      <c r="E918" s="12" t="s">
        <v>18217</v>
      </c>
      <c r="F918" s="13" t="s">
        <v>178</v>
      </c>
      <c r="G918" s="14" t="s">
        <v>179</v>
      </c>
      <c r="H918" s="14" t="s">
        <v>18218</v>
      </c>
      <c r="I918" s="14" t="s">
        <v>179</v>
      </c>
      <c r="J918" s="14" t="s">
        <v>18219</v>
      </c>
      <c r="K918" s="14" t="s">
        <v>179</v>
      </c>
      <c r="L918" s="14" t="s">
        <v>18220</v>
      </c>
      <c r="M918" s="14" t="s">
        <v>179</v>
      </c>
      <c r="N918" s="14" t="s">
        <v>18220</v>
      </c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6" t="s">
        <v>197</v>
      </c>
      <c r="BP918" s="17" t="s">
        <v>198</v>
      </c>
      <c r="BQ918" s="18">
        <v>45693.69425925926</v>
      </c>
      <c r="BR918" s="17" t="s">
        <v>198</v>
      </c>
      <c r="BS918" s="18">
        <v>45693.69427083333</v>
      </c>
      <c r="BT918" s="17" t="s">
        <v>198</v>
      </c>
      <c r="BU918" s="18">
        <v>45693.69427083333</v>
      </c>
      <c r="BV918" s="13" t="s">
        <v>199</v>
      </c>
      <c r="BW918" s="14" t="s">
        <v>188</v>
      </c>
      <c r="BX918" s="14" t="s">
        <v>18221</v>
      </c>
      <c r="BY918" s="14" t="s">
        <v>179</v>
      </c>
      <c r="BZ918" s="14" t="s">
        <v>18222</v>
      </c>
      <c r="CA918" s="14" t="s">
        <v>188</v>
      </c>
      <c r="CB918" s="14" t="s">
        <v>18223</v>
      </c>
      <c r="CC918" s="15"/>
      <c r="CD918" s="15"/>
      <c r="CE918" s="15"/>
      <c r="CF918" s="15"/>
      <c r="CG918" s="19"/>
      <c r="CH918" s="15"/>
      <c r="CI918" s="19"/>
      <c r="CJ918" s="15"/>
      <c r="CK918" s="19"/>
      <c r="CL918" s="15"/>
      <c r="CM918" s="19"/>
      <c r="CN918" s="15"/>
      <c r="CO918" s="19"/>
      <c r="CP918" s="15"/>
      <c r="CQ918" s="15"/>
      <c r="CR918" s="15"/>
      <c r="CS918" s="19"/>
      <c r="CT918" s="15"/>
      <c r="CU918" s="19"/>
      <c r="CV918" s="15"/>
      <c r="CW918" s="19"/>
      <c r="CX918" s="15"/>
      <c r="CY918" s="19"/>
      <c r="CZ918" s="15"/>
      <c r="DA918" s="16" t="s">
        <v>197</v>
      </c>
      <c r="DB918" s="17" t="s">
        <v>228</v>
      </c>
      <c r="DC918" s="16"/>
      <c r="DD918" s="17" t="s">
        <v>198</v>
      </c>
      <c r="DE918" s="18">
        <v>45714.51111111111</v>
      </c>
      <c r="DF918" s="17" t="s">
        <v>198</v>
      </c>
      <c r="DG918" s="18">
        <v>45714.51111111111</v>
      </c>
      <c r="DH918" s="13" t="s">
        <v>205</v>
      </c>
      <c r="DI918" s="14" t="s">
        <v>179</v>
      </c>
      <c r="DJ918" s="14" t="s">
        <v>18224</v>
      </c>
      <c r="DK918" s="14" t="s">
        <v>179</v>
      </c>
      <c r="DL918" s="14" t="s">
        <v>18225</v>
      </c>
      <c r="DM918" s="15"/>
      <c r="DN918" s="15"/>
      <c r="DO918" s="15"/>
      <c r="DP918" s="15"/>
      <c r="DQ918" s="15"/>
      <c r="DR918" s="15"/>
      <c r="DS918" s="15"/>
      <c r="DT918" s="15"/>
      <c r="DU918" s="15"/>
      <c r="DV918" s="15"/>
      <c r="DW918" s="15"/>
      <c r="DX918" s="15"/>
      <c r="DY918" s="15"/>
      <c r="DZ918" s="15"/>
      <c r="EA918" s="15"/>
      <c r="EB918" s="15"/>
      <c r="EC918" s="16" t="s">
        <v>197</v>
      </c>
      <c r="ED918" s="17" t="s">
        <v>198</v>
      </c>
      <c r="EE918" s="18">
        <v>45719.46228009259</v>
      </c>
      <c r="EF918" s="13" t="s">
        <v>209</v>
      </c>
      <c r="EG918" s="14" t="s">
        <v>179</v>
      </c>
      <c r="EH918" s="14" t="s">
        <v>18226</v>
      </c>
      <c r="EI918" s="14" t="s">
        <v>179</v>
      </c>
      <c r="EJ918" s="14" t="s">
        <v>18227</v>
      </c>
      <c r="EK918" s="15"/>
      <c r="EL918" s="15"/>
      <c r="EM918" s="15"/>
      <c r="EN918" s="15"/>
      <c r="EO918" s="15"/>
      <c r="EP918" s="15"/>
      <c r="EQ918" s="15"/>
      <c r="ER918" s="15"/>
      <c r="ES918" s="15"/>
      <c r="ET918" s="15"/>
      <c r="EU918" s="15"/>
      <c r="EV918" s="15"/>
      <c r="EW918" s="15"/>
      <c r="EX918" s="15"/>
      <c r="EY918" s="15"/>
      <c r="EZ918" s="15"/>
      <c r="FA918" s="15"/>
      <c r="FB918" s="15"/>
      <c r="FC918" s="16" t="s">
        <v>197</v>
      </c>
      <c r="FD918" s="17" t="s">
        <v>198</v>
      </c>
      <c r="FE918" s="18">
        <v>45719.67587962963</v>
      </c>
      <c r="FF918" s="19"/>
      <c r="FG918" s="19"/>
      <c r="FH918" s="21" t="s">
        <v>197</v>
      </c>
      <c r="FI918" s="17" t="s">
        <v>214</v>
      </c>
      <c r="FJ918" s="18">
        <v>45719.67587962963</v>
      </c>
      <c r="FK918" s="14" t="s">
        <v>18227</v>
      </c>
      <c r="FL918" s="19"/>
      <c r="FM918" s="19"/>
      <c r="FN918" s="19"/>
      <c r="FO918" s="19"/>
      <c r="FP918" s="19" t="str">
        <f t="shared" si="1"/>
        <v/>
      </c>
      <c r="FQ918" s="14" t="s">
        <v>215</v>
      </c>
      <c r="FR918" s="14" t="s">
        <v>18228</v>
      </c>
    </row>
    <row r="919" ht="15.75" customHeight="1">
      <c r="A919" s="12" t="s">
        <v>10412</v>
      </c>
      <c r="B919" s="12" t="s">
        <v>14148</v>
      </c>
      <c r="C919" s="24" t="s">
        <v>375</v>
      </c>
      <c r="D919" s="12" t="s">
        <v>18229</v>
      </c>
      <c r="E919" s="12" t="s">
        <v>18230</v>
      </c>
      <c r="F919" s="13" t="s">
        <v>178</v>
      </c>
      <c r="G919" s="14" t="s">
        <v>179</v>
      </c>
      <c r="H919" s="14" t="s">
        <v>18231</v>
      </c>
      <c r="I919" s="14" t="s">
        <v>179</v>
      </c>
      <c r="J919" s="14" t="s">
        <v>18232</v>
      </c>
      <c r="K919" s="14" t="s">
        <v>179</v>
      </c>
      <c r="L919" s="14" t="s">
        <v>18233</v>
      </c>
      <c r="M919" s="14" t="s">
        <v>179</v>
      </c>
      <c r="N919" s="14" t="s">
        <v>18233</v>
      </c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6" t="s">
        <v>197</v>
      </c>
      <c r="BP919" s="17" t="s">
        <v>198</v>
      </c>
      <c r="BQ919" s="18">
        <v>45693.694131944445</v>
      </c>
      <c r="BR919" s="17" t="s">
        <v>198</v>
      </c>
      <c r="BS919" s="18">
        <v>45693.69412037037</v>
      </c>
      <c r="BT919" s="17" t="s">
        <v>198</v>
      </c>
      <c r="BU919" s="18">
        <v>45693.694131944445</v>
      </c>
      <c r="BV919" s="13" t="s">
        <v>199</v>
      </c>
      <c r="BW919" s="14" t="s">
        <v>179</v>
      </c>
      <c r="BX919" s="14" t="s">
        <v>18234</v>
      </c>
      <c r="BY919" s="14" t="s">
        <v>179</v>
      </c>
      <c r="BZ919" s="14" t="s">
        <v>18235</v>
      </c>
      <c r="CA919" s="14" t="s">
        <v>179</v>
      </c>
      <c r="CB919" s="14" t="s">
        <v>18236</v>
      </c>
      <c r="CC919" s="15"/>
      <c r="CD919" s="15"/>
      <c r="CE919" s="15"/>
      <c r="CF919" s="15"/>
      <c r="CG919" s="19"/>
      <c r="CH919" s="15"/>
      <c r="CI919" s="19"/>
      <c r="CJ919" s="15"/>
      <c r="CK919" s="19"/>
      <c r="CL919" s="15"/>
      <c r="CM919" s="19"/>
      <c r="CN919" s="15"/>
      <c r="CO919" s="19"/>
      <c r="CP919" s="15"/>
      <c r="CQ919" s="15"/>
      <c r="CR919" s="15"/>
      <c r="CS919" s="19"/>
      <c r="CT919" s="15"/>
      <c r="CU919" s="19"/>
      <c r="CV919" s="15"/>
      <c r="CW919" s="19"/>
      <c r="CX919" s="15"/>
      <c r="CY919" s="19"/>
      <c r="CZ919" s="15"/>
      <c r="DA919" s="16" t="s">
        <v>197</v>
      </c>
      <c r="DB919" s="17" t="s">
        <v>228</v>
      </c>
      <c r="DC919" s="16"/>
      <c r="DD919" s="17" t="s">
        <v>198</v>
      </c>
      <c r="DE919" s="18">
        <v>45719.46256944445</v>
      </c>
      <c r="DF919" s="17" t="s">
        <v>198</v>
      </c>
      <c r="DG919" s="18">
        <v>45719.46256944445</v>
      </c>
      <c r="DH919" s="13" t="s">
        <v>205</v>
      </c>
      <c r="DI919" s="14" t="s">
        <v>179</v>
      </c>
      <c r="DJ919" s="14" t="s">
        <v>18237</v>
      </c>
      <c r="DK919" s="14" t="s">
        <v>179</v>
      </c>
      <c r="DL919" s="14" t="s">
        <v>18238</v>
      </c>
      <c r="DM919" s="15"/>
      <c r="DN919" s="15"/>
      <c r="DO919" s="15"/>
      <c r="DP919" s="15"/>
      <c r="DQ919" s="15"/>
      <c r="DR919" s="15"/>
      <c r="DS919" s="15"/>
      <c r="DT919" s="15"/>
      <c r="DU919" s="15"/>
      <c r="DV919" s="15"/>
      <c r="DW919" s="15"/>
      <c r="DX919" s="15"/>
      <c r="DY919" s="15"/>
      <c r="DZ919" s="15"/>
      <c r="EA919" s="15"/>
      <c r="EB919" s="15"/>
      <c r="EC919" s="16" t="s">
        <v>197</v>
      </c>
      <c r="ED919" s="17" t="s">
        <v>198</v>
      </c>
      <c r="EE919" s="18">
        <v>45719.46263888889</v>
      </c>
      <c r="EF919" s="13" t="s">
        <v>209</v>
      </c>
      <c r="EG919" s="14" t="s">
        <v>179</v>
      </c>
      <c r="EH919" s="14" t="s">
        <v>18239</v>
      </c>
      <c r="EI919" s="14" t="s">
        <v>179</v>
      </c>
      <c r="EJ919" s="14" t="s">
        <v>18240</v>
      </c>
      <c r="EK919" s="15"/>
      <c r="EL919" s="15"/>
      <c r="EM919" s="15"/>
      <c r="EN919" s="15"/>
      <c r="EO919" s="15"/>
      <c r="EP919" s="15"/>
      <c r="EQ919" s="15"/>
      <c r="ER919" s="15"/>
      <c r="ES919" s="15"/>
      <c r="ET919" s="15"/>
      <c r="EU919" s="15"/>
      <c r="EV919" s="15"/>
      <c r="EW919" s="15"/>
      <c r="EX919" s="15"/>
      <c r="EY919" s="15"/>
      <c r="EZ919" s="15"/>
      <c r="FA919" s="15"/>
      <c r="FB919" s="15"/>
      <c r="FC919" s="16" t="s">
        <v>197</v>
      </c>
      <c r="FD919" s="17" t="s">
        <v>198</v>
      </c>
      <c r="FE919" s="18">
        <v>45719.67596064815</v>
      </c>
      <c r="FF919" s="19"/>
      <c r="FG919" s="19"/>
      <c r="FH919" s="21" t="s">
        <v>197</v>
      </c>
      <c r="FI919" s="17" t="s">
        <v>214</v>
      </c>
      <c r="FJ919" s="18">
        <v>45719.67596064815</v>
      </c>
      <c r="FK919" s="14" t="s">
        <v>18240</v>
      </c>
      <c r="FL919" s="19"/>
      <c r="FM919" s="19"/>
      <c r="FN919" s="19"/>
      <c r="FO919" s="19"/>
      <c r="FP919" s="19" t="str">
        <f t="shared" si="1"/>
        <v/>
      </c>
      <c r="FQ919" s="14" t="s">
        <v>215</v>
      </c>
      <c r="FR919" s="14" t="s">
        <v>18241</v>
      </c>
    </row>
    <row r="920" ht="15.75" customHeight="1">
      <c r="A920" s="12" t="s">
        <v>10412</v>
      </c>
      <c r="B920" s="12" t="s">
        <v>14148</v>
      </c>
      <c r="C920" s="24" t="s">
        <v>375</v>
      </c>
      <c r="D920" s="12" t="s">
        <v>18242</v>
      </c>
      <c r="E920" s="12" t="s">
        <v>18243</v>
      </c>
      <c r="F920" s="13" t="s">
        <v>178</v>
      </c>
      <c r="G920" s="14" t="s">
        <v>179</v>
      </c>
      <c r="H920" s="14" t="s">
        <v>18244</v>
      </c>
      <c r="I920" s="14" t="s">
        <v>179</v>
      </c>
      <c r="J920" s="14" t="s">
        <v>18245</v>
      </c>
      <c r="K920" s="14" t="s">
        <v>179</v>
      </c>
      <c r="L920" s="14" t="s">
        <v>18246</v>
      </c>
      <c r="M920" s="14" t="s">
        <v>179</v>
      </c>
      <c r="N920" s="14" t="s">
        <v>18246</v>
      </c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6" t="s">
        <v>197</v>
      </c>
      <c r="BP920" s="17" t="s">
        <v>198</v>
      </c>
      <c r="BQ920" s="18">
        <v>45693.69399305555</v>
      </c>
      <c r="BR920" s="17" t="s">
        <v>198</v>
      </c>
      <c r="BS920" s="18">
        <v>45693.69398148148</v>
      </c>
      <c r="BT920" s="17" t="s">
        <v>198</v>
      </c>
      <c r="BU920" s="18">
        <v>45693.69399305555</v>
      </c>
      <c r="BV920" s="13" t="s">
        <v>199</v>
      </c>
      <c r="BW920" s="14" t="s">
        <v>188</v>
      </c>
      <c r="BX920" s="14" t="s">
        <v>18247</v>
      </c>
      <c r="BY920" s="14" t="s">
        <v>179</v>
      </c>
      <c r="BZ920" s="14" t="s">
        <v>18248</v>
      </c>
      <c r="CA920" s="14" t="s">
        <v>188</v>
      </c>
      <c r="CB920" s="14" t="s">
        <v>18249</v>
      </c>
      <c r="CC920" s="15"/>
      <c r="CD920" s="15"/>
      <c r="CE920" s="15"/>
      <c r="CF920" s="15"/>
      <c r="CG920" s="19"/>
      <c r="CH920" s="15"/>
      <c r="CI920" s="19"/>
      <c r="CJ920" s="15"/>
      <c r="CK920" s="19"/>
      <c r="CL920" s="15"/>
      <c r="CM920" s="19"/>
      <c r="CN920" s="15"/>
      <c r="CO920" s="19"/>
      <c r="CP920" s="15"/>
      <c r="CQ920" s="15"/>
      <c r="CR920" s="15"/>
      <c r="CS920" s="19"/>
      <c r="CT920" s="15"/>
      <c r="CU920" s="19"/>
      <c r="CV920" s="15"/>
      <c r="CW920" s="19"/>
      <c r="CX920" s="15"/>
      <c r="CY920" s="19"/>
      <c r="CZ920" s="15"/>
      <c r="DA920" s="16" t="s">
        <v>197</v>
      </c>
      <c r="DB920" s="17" t="s">
        <v>228</v>
      </c>
      <c r="DC920" s="16"/>
      <c r="DD920" s="17" t="s">
        <v>198</v>
      </c>
      <c r="DE920" s="18">
        <v>45714.51133101852</v>
      </c>
      <c r="DF920" s="17" t="s">
        <v>198</v>
      </c>
      <c r="DG920" s="18">
        <v>45714.51133101852</v>
      </c>
      <c r="DH920" s="13" t="s">
        <v>205</v>
      </c>
      <c r="DI920" s="14" t="s">
        <v>179</v>
      </c>
      <c r="DJ920" s="14" t="s">
        <v>18250</v>
      </c>
      <c r="DK920" s="14" t="s">
        <v>179</v>
      </c>
      <c r="DL920" s="14" t="s">
        <v>18251</v>
      </c>
      <c r="DM920" s="15"/>
      <c r="DN920" s="15"/>
      <c r="DO920" s="15"/>
      <c r="DP920" s="15"/>
      <c r="DQ920" s="15"/>
      <c r="DR920" s="15"/>
      <c r="DS920" s="15"/>
      <c r="DT920" s="15"/>
      <c r="DU920" s="15"/>
      <c r="DV920" s="15"/>
      <c r="DW920" s="15"/>
      <c r="DX920" s="15"/>
      <c r="DY920" s="15"/>
      <c r="DZ920" s="15"/>
      <c r="EA920" s="15"/>
      <c r="EB920" s="15"/>
      <c r="EC920" s="16" t="s">
        <v>197</v>
      </c>
      <c r="ED920" s="17" t="s">
        <v>198</v>
      </c>
      <c r="EE920" s="18">
        <v>45719.462789351855</v>
      </c>
      <c r="EF920" s="13" t="s">
        <v>209</v>
      </c>
      <c r="EG920" s="14" t="s">
        <v>179</v>
      </c>
      <c r="EH920" s="14" t="s">
        <v>18252</v>
      </c>
      <c r="EI920" s="14" t="s">
        <v>179</v>
      </c>
      <c r="EJ920" s="14" t="s">
        <v>18253</v>
      </c>
      <c r="EK920" s="15"/>
      <c r="EL920" s="15"/>
      <c r="EM920" s="15"/>
      <c r="EN920" s="15"/>
      <c r="EO920" s="15"/>
      <c r="EP920" s="15"/>
      <c r="EQ920" s="15"/>
      <c r="ER920" s="15"/>
      <c r="ES920" s="15"/>
      <c r="ET920" s="15"/>
      <c r="EU920" s="15"/>
      <c r="EV920" s="15"/>
      <c r="EW920" s="15"/>
      <c r="EX920" s="15"/>
      <c r="EY920" s="15"/>
      <c r="EZ920" s="15"/>
      <c r="FA920" s="15"/>
      <c r="FB920" s="15"/>
      <c r="FC920" s="16" t="s">
        <v>197</v>
      </c>
      <c r="FD920" s="17" t="s">
        <v>198</v>
      </c>
      <c r="FE920" s="18">
        <v>45719.676041666666</v>
      </c>
      <c r="FF920" s="19"/>
      <c r="FG920" s="19"/>
      <c r="FH920" s="21" t="s">
        <v>197</v>
      </c>
      <c r="FI920" s="17" t="s">
        <v>214</v>
      </c>
      <c r="FJ920" s="18">
        <v>45719.676041666666</v>
      </c>
      <c r="FK920" s="14" t="s">
        <v>18253</v>
      </c>
      <c r="FL920" s="19"/>
      <c r="FM920" s="19"/>
      <c r="FN920" s="19"/>
      <c r="FO920" s="19"/>
      <c r="FP920" s="19" t="str">
        <f t="shared" si="1"/>
        <v/>
      </c>
      <c r="FQ920" s="14" t="s">
        <v>215</v>
      </c>
      <c r="FR920" s="14" t="s">
        <v>18254</v>
      </c>
    </row>
    <row r="921" ht="15.75" customHeight="1">
      <c r="A921" s="12" t="s">
        <v>10412</v>
      </c>
      <c r="B921" s="12" t="s">
        <v>14148</v>
      </c>
      <c r="C921" s="24" t="s">
        <v>375</v>
      </c>
      <c r="D921" s="12" t="s">
        <v>18255</v>
      </c>
      <c r="E921" s="12" t="s">
        <v>18256</v>
      </c>
      <c r="F921" s="13" t="s">
        <v>178</v>
      </c>
      <c r="G921" s="14" t="s">
        <v>179</v>
      </c>
      <c r="H921" s="14" t="s">
        <v>18257</v>
      </c>
      <c r="I921" s="14" t="s">
        <v>179</v>
      </c>
      <c r="J921" s="14" t="s">
        <v>18257</v>
      </c>
      <c r="K921" s="14" t="s">
        <v>179</v>
      </c>
      <c r="L921" s="14" t="s">
        <v>18258</v>
      </c>
      <c r="M921" s="14" t="s">
        <v>179</v>
      </c>
      <c r="N921" s="14" t="s">
        <v>18258</v>
      </c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6" t="s">
        <v>197</v>
      </c>
      <c r="BP921" s="17" t="s">
        <v>198</v>
      </c>
      <c r="BQ921" s="18">
        <v>45693.69373842593</v>
      </c>
      <c r="BR921" s="17" t="s">
        <v>198</v>
      </c>
      <c r="BS921" s="18">
        <v>45693.69373842593</v>
      </c>
      <c r="BT921" s="17" t="s">
        <v>198</v>
      </c>
      <c r="BU921" s="18">
        <v>45693.69373842593</v>
      </c>
      <c r="BV921" s="13" t="s">
        <v>199</v>
      </c>
      <c r="BW921" s="14" t="s">
        <v>188</v>
      </c>
      <c r="BX921" s="14" t="s">
        <v>18259</v>
      </c>
      <c r="BY921" s="14" t="s">
        <v>179</v>
      </c>
      <c r="BZ921" s="14" t="s">
        <v>18260</v>
      </c>
      <c r="CA921" s="14" t="s">
        <v>188</v>
      </c>
      <c r="CB921" s="14" t="s">
        <v>18261</v>
      </c>
      <c r="CC921" s="15"/>
      <c r="CD921" s="15"/>
      <c r="CE921" s="15"/>
      <c r="CF921" s="15"/>
      <c r="CG921" s="19"/>
      <c r="CH921" s="15"/>
      <c r="CI921" s="19"/>
      <c r="CJ921" s="15"/>
      <c r="CK921" s="19"/>
      <c r="CL921" s="15"/>
      <c r="CM921" s="19"/>
      <c r="CN921" s="15"/>
      <c r="CO921" s="19"/>
      <c r="CP921" s="15"/>
      <c r="CQ921" s="15"/>
      <c r="CR921" s="15"/>
      <c r="CS921" s="19"/>
      <c r="CT921" s="15"/>
      <c r="CU921" s="19"/>
      <c r="CV921" s="15"/>
      <c r="CW921" s="19"/>
      <c r="CX921" s="15"/>
      <c r="CY921" s="19"/>
      <c r="CZ921" s="15"/>
      <c r="DA921" s="16" t="s">
        <v>197</v>
      </c>
      <c r="DB921" s="17" t="s">
        <v>228</v>
      </c>
      <c r="DC921" s="16"/>
      <c r="DD921" s="17" t="s">
        <v>198</v>
      </c>
      <c r="DE921" s="18">
        <v>45714.51148148148</v>
      </c>
      <c r="DF921" s="17" t="s">
        <v>198</v>
      </c>
      <c r="DG921" s="18">
        <v>45714.51148148148</v>
      </c>
      <c r="DH921" s="13" t="s">
        <v>205</v>
      </c>
      <c r="DI921" s="14" t="s">
        <v>179</v>
      </c>
      <c r="DJ921" s="14" t="s">
        <v>18262</v>
      </c>
      <c r="DK921" s="14" t="s">
        <v>179</v>
      </c>
      <c r="DL921" s="14" t="s">
        <v>18263</v>
      </c>
      <c r="DM921" s="15"/>
      <c r="DN921" s="15"/>
      <c r="DO921" s="15"/>
      <c r="DP921" s="15"/>
      <c r="DQ921" s="15"/>
      <c r="DR921" s="15"/>
      <c r="DS921" s="15"/>
      <c r="DT921" s="15"/>
      <c r="DU921" s="15"/>
      <c r="DV921" s="15"/>
      <c r="DW921" s="15"/>
      <c r="DX921" s="15"/>
      <c r="DY921" s="15"/>
      <c r="DZ921" s="15"/>
      <c r="EA921" s="15"/>
      <c r="EB921" s="15"/>
      <c r="EC921" s="16" t="s">
        <v>197</v>
      </c>
      <c r="ED921" s="17" t="s">
        <v>198</v>
      </c>
      <c r="EE921" s="18">
        <v>45719.46288194445</v>
      </c>
      <c r="EF921" s="13" t="s">
        <v>209</v>
      </c>
      <c r="EG921" s="14" t="s">
        <v>179</v>
      </c>
      <c r="EH921" s="14" t="s">
        <v>18264</v>
      </c>
      <c r="EI921" s="14" t="s">
        <v>179</v>
      </c>
      <c r="EJ921" s="14" t="s">
        <v>18265</v>
      </c>
      <c r="EK921" s="15"/>
      <c r="EL921" s="15"/>
      <c r="EM921" s="15"/>
      <c r="EN921" s="15"/>
      <c r="EO921" s="15"/>
      <c r="EP921" s="15"/>
      <c r="EQ921" s="15"/>
      <c r="ER921" s="15"/>
      <c r="ES921" s="15"/>
      <c r="ET921" s="15"/>
      <c r="EU921" s="15"/>
      <c r="EV921" s="15"/>
      <c r="EW921" s="15"/>
      <c r="EX921" s="15"/>
      <c r="EY921" s="15"/>
      <c r="EZ921" s="15"/>
      <c r="FA921" s="15"/>
      <c r="FB921" s="15"/>
      <c r="FC921" s="16" t="s">
        <v>197</v>
      </c>
      <c r="FD921" s="17" t="s">
        <v>198</v>
      </c>
      <c r="FE921" s="18">
        <v>45719.67612268519</v>
      </c>
      <c r="FF921" s="19"/>
      <c r="FG921" s="19"/>
      <c r="FH921" s="21" t="s">
        <v>197</v>
      </c>
      <c r="FI921" s="17" t="s">
        <v>214</v>
      </c>
      <c r="FJ921" s="18">
        <v>45719.67612268519</v>
      </c>
      <c r="FK921" s="14" t="s">
        <v>18265</v>
      </c>
      <c r="FL921" s="19"/>
      <c r="FM921" s="19"/>
      <c r="FN921" s="19"/>
      <c r="FO921" s="19"/>
      <c r="FP921" s="19" t="str">
        <f t="shared" si="1"/>
        <v/>
      </c>
      <c r="FQ921" s="14" t="s">
        <v>215</v>
      </c>
      <c r="FR921" s="14" t="s">
        <v>18266</v>
      </c>
    </row>
    <row r="922" ht="15.75" customHeight="1">
      <c r="A922" s="12" t="s">
        <v>10412</v>
      </c>
      <c r="B922" s="12" t="s">
        <v>18267</v>
      </c>
      <c r="C922" s="24" t="s">
        <v>375</v>
      </c>
      <c r="D922" s="12" t="s">
        <v>18268</v>
      </c>
      <c r="E922" s="12" t="s">
        <v>18269</v>
      </c>
      <c r="F922" s="13" t="s">
        <v>178</v>
      </c>
      <c r="G922" s="14" t="s">
        <v>179</v>
      </c>
      <c r="H922" s="14" t="s">
        <v>18270</v>
      </c>
      <c r="I922" s="14" t="s">
        <v>179</v>
      </c>
      <c r="J922" s="14" t="s">
        <v>18271</v>
      </c>
      <c r="K922" s="14" t="s">
        <v>179</v>
      </c>
      <c r="L922" s="14" t="s">
        <v>18271</v>
      </c>
      <c r="M922" s="14" t="s">
        <v>179</v>
      </c>
      <c r="N922" s="14" t="s">
        <v>18272</v>
      </c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6" t="s">
        <v>197</v>
      </c>
      <c r="BP922" s="17" t="s">
        <v>198</v>
      </c>
      <c r="BQ922" s="18">
        <v>45693.69600694445</v>
      </c>
      <c r="BR922" s="17" t="s">
        <v>198</v>
      </c>
      <c r="BS922" s="18">
        <v>45693.69599537037</v>
      </c>
      <c r="BT922" s="17" t="s">
        <v>198</v>
      </c>
      <c r="BU922" s="18">
        <v>45693.69600694445</v>
      </c>
      <c r="BV922" s="13" t="s">
        <v>199</v>
      </c>
      <c r="BW922" s="14" t="s">
        <v>188</v>
      </c>
      <c r="BX922" s="14" t="s">
        <v>18273</v>
      </c>
      <c r="BY922" s="14" t="s">
        <v>179</v>
      </c>
      <c r="BZ922" s="14" t="s">
        <v>18274</v>
      </c>
      <c r="CA922" s="14" t="s">
        <v>188</v>
      </c>
      <c r="CB922" s="14" t="s">
        <v>18275</v>
      </c>
      <c r="CC922" s="15"/>
      <c r="CD922" s="15"/>
      <c r="CE922" s="15"/>
      <c r="CF922" s="15"/>
      <c r="CG922" s="19"/>
      <c r="CH922" s="15"/>
      <c r="CI922" s="19"/>
      <c r="CJ922" s="15"/>
      <c r="CK922" s="19"/>
      <c r="CL922" s="15"/>
      <c r="CM922" s="19"/>
      <c r="CN922" s="15"/>
      <c r="CO922" s="19"/>
      <c r="CP922" s="15"/>
      <c r="CQ922" s="15"/>
      <c r="CR922" s="15"/>
      <c r="CS922" s="19"/>
      <c r="CT922" s="15"/>
      <c r="CU922" s="19"/>
      <c r="CV922" s="15"/>
      <c r="CW922" s="19"/>
      <c r="CX922" s="15"/>
      <c r="CY922" s="19"/>
      <c r="CZ922" s="15"/>
      <c r="DA922" s="17" t="s">
        <v>197</v>
      </c>
      <c r="DB922" s="17" t="s">
        <v>228</v>
      </c>
      <c r="DC922" s="16"/>
      <c r="DD922" s="17" t="s">
        <v>198</v>
      </c>
      <c r="DE922" s="18">
        <v>45714.5147337963</v>
      </c>
      <c r="DF922" s="17" t="s">
        <v>198</v>
      </c>
      <c r="DG922" s="18">
        <v>45714.5147337963</v>
      </c>
      <c r="DH922" s="13" t="s">
        <v>205</v>
      </c>
      <c r="DI922" s="14" t="s">
        <v>179</v>
      </c>
      <c r="DJ922" s="14" t="s">
        <v>18276</v>
      </c>
      <c r="DK922" s="14" t="s">
        <v>179</v>
      </c>
      <c r="DL922" s="14" t="s">
        <v>18277</v>
      </c>
      <c r="DM922" s="15"/>
      <c r="DN922" s="15"/>
      <c r="DO922" s="15"/>
      <c r="DP922" s="15"/>
      <c r="DQ922" s="15"/>
      <c r="DR922" s="15"/>
      <c r="DS922" s="15"/>
      <c r="DT922" s="15"/>
      <c r="DU922" s="15"/>
      <c r="DV922" s="15"/>
      <c r="DW922" s="15"/>
      <c r="DX922" s="15"/>
      <c r="DY922" s="15"/>
      <c r="DZ922" s="15"/>
      <c r="EA922" s="15"/>
      <c r="EB922" s="15"/>
      <c r="EC922" s="16" t="s">
        <v>197</v>
      </c>
      <c r="ED922" s="17" t="s">
        <v>198</v>
      </c>
      <c r="EE922" s="18">
        <v>45719.46078703704</v>
      </c>
      <c r="EF922" s="13" t="s">
        <v>209</v>
      </c>
      <c r="EG922" s="14" t="s">
        <v>179</v>
      </c>
      <c r="EH922" s="14" t="s">
        <v>18278</v>
      </c>
      <c r="EI922" s="14" t="s">
        <v>179</v>
      </c>
      <c r="EJ922" s="14" t="s">
        <v>18279</v>
      </c>
      <c r="EK922" s="15"/>
      <c r="EL922" s="15"/>
      <c r="EM922" s="15"/>
      <c r="EN922" s="15"/>
      <c r="EO922" s="15"/>
      <c r="EP922" s="15"/>
      <c r="EQ922" s="15"/>
      <c r="ER922" s="15"/>
      <c r="ES922" s="15"/>
      <c r="ET922" s="15"/>
      <c r="EU922" s="15"/>
      <c r="EV922" s="15"/>
      <c r="EW922" s="15"/>
      <c r="EX922" s="15"/>
      <c r="EY922" s="15"/>
      <c r="EZ922" s="15"/>
      <c r="FA922" s="15"/>
      <c r="FB922" s="15"/>
      <c r="FC922" s="16" t="s">
        <v>197</v>
      </c>
      <c r="FD922" s="17" t="s">
        <v>198</v>
      </c>
      <c r="FE922" s="18">
        <v>45719.67369212963</v>
      </c>
      <c r="FF922" s="19"/>
      <c r="FG922" s="19"/>
      <c r="FH922" s="21" t="s">
        <v>197</v>
      </c>
      <c r="FI922" s="17" t="s">
        <v>214</v>
      </c>
      <c r="FJ922" s="18">
        <v>45719.67369212963</v>
      </c>
      <c r="FK922" s="14" t="s">
        <v>18279</v>
      </c>
      <c r="FL922" s="19"/>
      <c r="FM922" s="19"/>
      <c r="FN922" s="19"/>
      <c r="FO922" s="19"/>
      <c r="FP922" s="19" t="str">
        <f t="shared" si="1"/>
        <v/>
      </c>
      <c r="FQ922" s="14" t="s">
        <v>215</v>
      </c>
      <c r="FR922" s="14" t="s">
        <v>18280</v>
      </c>
    </row>
    <row r="923" ht="15.75" customHeight="1">
      <c r="A923" s="12" t="s">
        <v>10412</v>
      </c>
      <c r="B923" s="12" t="s">
        <v>18267</v>
      </c>
      <c r="C923" s="24" t="s">
        <v>375</v>
      </c>
      <c r="D923" s="12" t="s">
        <v>18281</v>
      </c>
      <c r="E923" s="12" t="s">
        <v>18282</v>
      </c>
      <c r="F923" s="13" t="s">
        <v>178</v>
      </c>
      <c r="G923" s="14" t="s">
        <v>179</v>
      </c>
      <c r="H923" s="14" t="s">
        <v>18283</v>
      </c>
      <c r="I923" s="14" t="s">
        <v>179</v>
      </c>
      <c r="J923" s="14" t="s">
        <v>18284</v>
      </c>
      <c r="K923" s="14" t="s">
        <v>179</v>
      </c>
      <c r="L923" s="14" t="s">
        <v>18285</v>
      </c>
      <c r="M923" s="14" t="s">
        <v>179</v>
      </c>
      <c r="N923" s="14" t="s">
        <v>18285</v>
      </c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6" t="s">
        <v>197</v>
      </c>
      <c r="BP923" s="17" t="s">
        <v>198</v>
      </c>
      <c r="BQ923" s="18">
        <v>45693.69582175926</v>
      </c>
      <c r="BR923" s="17" t="s">
        <v>198</v>
      </c>
      <c r="BS923" s="18">
        <v>45693.695810185185</v>
      </c>
      <c r="BT923" s="17" t="s">
        <v>198</v>
      </c>
      <c r="BU923" s="18">
        <v>45693.69582175926</v>
      </c>
      <c r="BV923" s="13" t="s">
        <v>199</v>
      </c>
      <c r="BW923" s="14" t="s">
        <v>188</v>
      </c>
      <c r="BX923" s="14" t="s">
        <v>18286</v>
      </c>
      <c r="BY923" s="14" t="s">
        <v>179</v>
      </c>
      <c r="BZ923" s="14" t="s">
        <v>18287</v>
      </c>
      <c r="CA923" s="14" t="s">
        <v>188</v>
      </c>
      <c r="CB923" s="14" t="s">
        <v>18288</v>
      </c>
      <c r="CC923" s="15"/>
      <c r="CD923" s="15"/>
      <c r="CE923" s="15"/>
      <c r="CF923" s="15"/>
      <c r="CG923" s="19"/>
      <c r="CH923" s="15"/>
      <c r="CI923" s="19"/>
      <c r="CJ923" s="15"/>
      <c r="CK923" s="19"/>
      <c r="CL923" s="15"/>
      <c r="CM923" s="19"/>
      <c r="CN923" s="15"/>
      <c r="CO923" s="19"/>
      <c r="CP923" s="15"/>
      <c r="CQ923" s="15"/>
      <c r="CR923" s="15"/>
      <c r="CS923" s="19"/>
      <c r="CT923" s="15"/>
      <c r="CU923" s="19"/>
      <c r="CV923" s="15"/>
      <c r="CW923" s="19"/>
      <c r="CX923" s="15"/>
      <c r="CY923" s="19"/>
      <c r="CZ923" s="15"/>
      <c r="DA923" s="16" t="s">
        <v>197</v>
      </c>
      <c r="DB923" s="17" t="s">
        <v>228</v>
      </c>
      <c r="DC923" s="16"/>
      <c r="DD923" s="17" t="s">
        <v>198</v>
      </c>
      <c r="DE923" s="18">
        <v>45714.50908564815</v>
      </c>
      <c r="DF923" s="17" t="s">
        <v>198</v>
      </c>
      <c r="DG923" s="18">
        <v>45714.50908564815</v>
      </c>
      <c r="DH923" s="13" t="s">
        <v>205</v>
      </c>
      <c r="DI923" s="14" t="s">
        <v>179</v>
      </c>
      <c r="DJ923" s="14" t="s">
        <v>18289</v>
      </c>
      <c r="DK923" s="14" t="s">
        <v>179</v>
      </c>
      <c r="DL923" s="14" t="s">
        <v>18290</v>
      </c>
      <c r="DM923" s="15"/>
      <c r="DN923" s="15"/>
      <c r="DO923" s="15"/>
      <c r="DP923" s="15"/>
      <c r="DQ923" s="15"/>
      <c r="DR923" s="15"/>
      <c r="DS923" s="15"/>
      <c r="DT923" s="15"/>
      <c r="DU923" s="15"/>
      <c r="DV923" s="15"/>
      <c r="DW923" s="15"/>
      <c r="DX923" s="15"/>
      <c r="DY923" s="15"/>
      <c r="DZ923" s="15"/>
      <c r="EA923" s="15"/>
      <c r="EB923" s="15"/>
      <c r="EC923" s="16" t="s">
        <v>197</v>
      </c>
      <c r="ED923" s="17" t="s">
        <v>198</v>
      </c>
      <c r="EE923" s="18">
        <v>45719.4609375</v>
      </c>
      <c r="EF923" s="13" t="s">
        <v>209</v>
      </c>
      <c r="EG923" s="14" t="s">
        <v>179</v>
      </c>
      <c r="EH923" s="14" t="s">
        <v>18291</v>
      </c>
      <c r="EI923" s="14" t="s">
        <v>179</v>
      </c>
      <c r="EJ923" s="14" t="s">
        <v>18292</v>
      </c>
      <c r="EK923" s="15"/>
      <c r="EL923" s="15"/>
      <c r="EM923" s="15"/>
      <c r="EN923" s="15"/>
      <c r="EO923" s="15"/>
      <c r="EP923" s="15"/>
      <c r="EQ923" s="15"/>
      <c r="ER923" s="15"/>
      <c r="ES923" s="15"/>
      <c r="ET923" s="15"/>
      <c r="EU923" s="15"/>
      <c r="EV923" s="15"/>
      <c r="EW923" s="15"/>
      <c r="EX923" s="15"/>
      <c r="EY923" s="15"/>
      <c r="EZ923" s="15"/>
      <c r="FA923" s="15"/>
      <c r="FB923" s="15"/>
      <c r="FC923" s="16" t="s">
        <v>197</v>
      </c>
      <c r="FD923" s="17" t="s">
        <v>198</v>
      </c>
      <c r="FE923" s="18">
        <v>45719.67377314815</v>
      </c>
      <c r="FF923" s="19"/>
      <c r="FG923" s="19"/>
      <c r="FH923" s="21" t="s">
        <v>197</v>
      </c>
      <c r="FI923" s="17" t="s">
        <v>214</v>
      </c>
      <c r="FJ923" s="18">
        <v>45719.67377314815</v>
      </c>
      <c r="FK923" s="14" t="s">
        <v>18292</v>
      </c>
      <c r="FL923" s="19"/>
      <c r="FM923" s="19"/>
      <c r="FN923" s="19"/>
      <c r="FO923" s="19"/>
      <c r="FP923" s="19" t="str">
        <f t="shared" si="1"/>
        <v/>
      </c>
      <c r="FQ923" s="14" t="s">
        <v>215</v>
      </c>
      <c r="FR923" s="14" t="s">
        <v>18293</v>
      </c>
    </row>
    <row r="924" ht="15.75" customHeight="1">
      <c r="A924" s="12" t="s">
        <v>10412</v>
      </c>
      <c r="B924" s="12" t="s">
        <v>18267</v>
      </c>
      <c r="C924" s="24" t="s">
        <v>375</v>
      </c>
      <c r="D924" s="12" t="s">
        <v>18294</v>
      </c>
      <c r="E924" s="12" t="s">
        <v>18295</v>
      </c>
      <c r="F924" s="13" t="s">
        <v>178</v>
      </c>
      <c r="G924" s="14" t="s">
        <v>179</v>
      </c>
      <c r="H924" s="14" t="s">
        <v>18296</v>
      </c>
      <c r="I924" s="14" t="s">
        <v>179</v>
      </c>
      <c r="J924" s="14" t="s">
        <v>18297</v>
      </c>
      <c r="K924" s="14" t="s">
        <v>179</v>
      </c>
      <c r="L924" s="14" t="s">
        <v>18297</v>
      </c>
      <c r="M924" s="14" t="s">
        <v>179</v>
      </c>
      <c r="N924" s="14" t="s">
        <v>18298</v>
      </c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6" t="s">
        <v>197</v>
      </c>
      <c r="BP924" s="17" t="s">
        <v>198</v>
      </c>
      <c r="BQ924" s="18">
        <v>45693.69567129629</v>
      </c>
      <c r="BR924" s="17" t="s">
        <v>198</v>
      </c>
      <c r="BS924" s="18">
        <v>45693.69565972222</v>
      </c>
      <c r="BT924" s="17" t="s">
        <v>198</v>
      </c>
      <c r="BU924" s="18">
        <v>45693.69567129629</v>
      </c>
      <c r="BV924" s="13" t="s">
        <v>199</v>
      </c>
      <c r="BW924" s="14" t="s">
        <v>188</v>
      </c>
      <c r="BX924" s="14" t="s">
        <v>18299</v>
      </c>
      <c r="BY924" s="14" t="s">
        <v>179</v>
      </c>
      <c r="BZ924" s="14" t="s">
        <v>18299</v>
      </c>
      <c r="CA924" s="14" t="s">
        <v>188</v>
      </c>
      <c r="CB924" s="14" t="s">
        <v>18300</v>
      </c>
      <c r="CC924" s="15"/>
      <c r="CD924" s="15"/>
      <c r="CE924" s="15"/>
      <c r="CF924" s="15"/>
      <c r="CG924" s="19"/>
      <c r="CH924" s="15"/>
      <c r="CI924" s="19"/>
      <c r="CJ924" s="15"/>
      <c r="CK924" s="19"/>
      <c r="CL924" s="15"/>
      <c r="CM924" s="19"/>
      <c r="CN924" s="15"/>
      <c r="CO924" s="19"/>
      <c r="CP924" s="15"/>
      <c r="CQ924" s="15"/>
      <c r="CR924" s="15"/>
      <c r="CS924" s="19"/>
      <c r="CT924" s="15"/>
      <c r="CU924" s="19"/>
      <c r="CV924" s="15"/>
      <c r="CW924" s="19"/>
      <c r="CX924" s="15"/>
      <c r="CY924" s="19"/>
      <c r="CZ924" s="15"/>
      <c r="DA924" s="16" t="s">
        <v>197</v>
      </c>
      <c r="DB924" s="17" t="s">
        <v>228</v>
      </c>
      <c r="DC924" s="16"/>
      <c r="DD924" s="17" t="s">
        <v>198</v>
      </c>
      <c r="DE924" s="18">
        <v>45714.509201388886</v>
      </c>
      <c r="DF924" s="17" t="s">
        <v>198</v>
      </c>
      <c r="DG924" s="18">
        <v>45714.509201388886</v>
      </c>
      <c r="DH924" s="13" t="s">
        <v>205</v>
      </c>
      <c r="DI924" s="14" t="s">
        <v>179</v>
      </c>
      <c r="DJ924" s="14" t="s">
        <v>18301</v>
      </c>
      <c r="DK924" s="14" t="s">
        <v>179</v>
      </c>
      <c r="DL924" s="14" t="s">
        <v>18302</v>
      </c>
      <c r="DM924" s="15"/>
      <c r="DN924" s="15"/>
      <c r="DO924" s="15"/>
      <c r="DP924" s="15"/>
      <c r="DQ924" s="15"/>
      <c r="DR924" s="15"/>
      <c r="DS924" s="15"/>
      <c r="DT924" s="15"/>
      <c r="DU924" s="15"/>
      <c r="DV924" s="15"/>
      <c r="DW924" s="15"/>
      <c r="DX924" s="15"/>
      <c r="DY924" s="15"/>
      <c r="DZ924" s="15"/>
      <c r="EA924" s="15"/>
      <c r="EB924" s="15"/>
      <c r="EC924" s="16" t="s">
        <v>197</v>
      </c>
      <c r="ED924" s="17" t="s">
        <v>198</v>
      </c>
      <c r="EE924" s="18">
        <v>45719.46103009259</v>
      </c>
      <c r="EF924" s="13" t="s">
        <v>209</v>
      </c>
      <c r="EG924" s="14" t="s">
        <v>179</v>
      </c>
      <c r="EH924" s="14" t="s">
        <v>18303</v>
      </c>
      <c r="EI924" s="14" t="s">
        <v>179</v>
      </c>
      <c r="EJ924" s="14" t="s">
        <v>18304</v>
      </c>
      <c r="EK924" s="15"/>
      <c r="EL924" s="15"/>
      <c r="EM924" s="15"/>
      <c r="EN924" s="15"/>
      <c r="EO924" s="15"/>
      <c r="EP924" s="15"/>
      <c r="EQ924" s="15"/>
      <c r="ER924" s="15"/>
      <c r="ES924" s="15"/>
      <c r="ET924" s="15"/>
      <c r="EU924" s="15"/>
      <c r="EV924" s="15"/>
      <c r="EW924" s="15"/>
      <c r="EX924" s="15"/>
      <c r="EY924" s="15"/>
      <c r="EZ924" s="15"/>
      <c r="FA924" s="15"/>
      <c r="FB924" s="15"/>
      <c r="FC924" s="16" t="s">
        <v>197</v>
      </c>
      <c r="FD924" s="17" t="s">
        <v>198</v>
      </c>
      <c r="FE924" s="18">
        <v>45719.673854166664</v>
      </c>
      <c r="FF924" s="19"/>
      <c r="FG924" s="19"/>
      <c r="FH924" s="21" t="s">
        <v>197</v>
      </c>
      <c r="FI924" s="17" t="s">
        <v>214</v>
      </c>
      <c r="FJ924" s="18">
        <v>45719.673854166664</v>
      </c>
      <c r="FK924" s="14" t="s">
        <v>18304</v>
      </c>
      <c r="FL924" s="19"/>
      <c r="FM924" s="19"/>
      <c r="FN924" s="19"/>
      <c r="FO924" s="19"/>
      <c r="FP924" s="19" t="str">
        <f t="shared" si="1"/>
        <v/>
      </c>
      <c r="FQ924" s="14" t="s">
        <v>215</v>
      </c>
      <c r="FR924" s="14" t="s">
        <v>18305</v>
      </c>
    </row>
    <row r="925" ht="15.75" customHeight="1">
      <c r="A925" s="12" t="s">
        <v>10412</v>
      </c>
      <c r="B925" s="12" t="s">
        <v>10413</v>
      </c>
      <c r="C925" s="24" t="s">
        <v>375</v>
      </c>
      <c r="D925" s="12" t="s">
        <v>18306</v>
      </c>
      <c r="E925" s="12" t="s">
        <v>18307</v>
      </c>
      <c r="F925" s="13" t="s">
        <v>178</v>
      </c>
      <c r="G925" s="14" t="s">
        <v>179</v>
      </c>
      <c r="H925" s="14" t="s">
        <v>18308</v>
      </c>
      <c r="I925" s="14" t="s">
        <v>179</v>
      </c>
      <c r="J925" s="14" t="s">
        <v>18309</v>
      </c>
      <c r="K925" s="14" t="s">
        <v>179</v>
      </c>
      <c r="L925" s="14" t="s">
        <v>18310</v>
      </c>
      <c r="M925" s="14" t="s">
        <v>179</v>
      </c>
      <c r="N925" s="14" t="s">
        <v>18311</v>
      </c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6" t="s">
        <v>197</v>
      </c>
      <c r="BP925" s="17" t="s">
        <v>198</v>
      </c>
      <c r="BQ925" s="18">
        <v>45686.62994212963</v>
      </c>
      <c r="BR925" s="17" t="s">
        <v>198</v>
      </c>
      <c r="BS925" s="18">
        <v>45686.62993055556</v>
      </c>
      <c r="BT925" s="17" t="s">
        <v>198</v>
      </c>
      <c r="BU925" s="18">
        <v>45686.62994212963</v>
      </c>
      <c r="BV925" s="13" t="s">
        <v>199</v>
      </c>
      <c r="BW925" s="14" t="s">
        <v>188</v>
      </c>
      <c r="BX925" s="14" t="s">
        <v>18312</v>
      </c>
      <c r="BY925" s="14" t="s">
        <v>179</v>
      </c>
      <c r="BZ925" s="14" t="s">
        <v>18313</v>
      </c>
      <c r="CA925" s="14" t="s">
        <v>188</v>
      </c>
      <c r="CB925" s="14" t="s">
        <v>18314</v>
      </c>
      <c r="CC925" s="15"/>
      <c r="CD925" s="15"/>
      <c r="CE925" s="15"/>
      <c r="CF925" s="15"/>
      <c r="CG925" s="19"/>
      <c r="CH925" s="15"/>
      <c r="CI925" s="19"/>
      <c r="CJ925" s="15"/>
      <c r="CK925" s="19"/>
      <c r="CL925" s="15"/>
      <c r="CM925" s="19"/>
      <c r="CN925" s="15"/>
      <c r="CO925" s="19"/>
      <c r="CP925" s="15"/>
      <c r="CQ925" s="15"/>
      <c r="CR925" s="15"/>
      <c r="CS925" s="19"/>
      <c r="CT925" s="15"/>
      <c r="CU925" s="19"/>
      <c r="CV925" s="15"/>
      <c r="CW925" s="19"/>
      <c r="CX925" s="15"/>
      <c r="CY925" s="19"/>
      <c r="CZ925" s="15"/>
      <c r="DA925" s="16" t="s">
        <v>197</v>
      </c>
      <c r="DB925" s="17" t="s">
        <v>228</v>
      </c>
      <c r="DC925" s="16"/>
      <c r="DD925" s="17" t="s">
        <v>198</v>
      </c>
      <c r="DE925" s="18">
        <v>45714.50614583334</v>
      </c>
      <c r="DF925" s="17" t="s">
        <v>198</v>
      </c>
      <c r="DG925" s="18">
        <v>45714.50614583334</v>
      </c>
      <c r="DH925" s="13" t="s">
        <v>205</v>
      </c>
      <c r="DI925" s="14" t="s">
        <v>179</v>
      </c>
      <c r="DJ925" s="14" t="s">
        <v>18315</v>
      </c>
      <c r="DK925" s="14" t="s">
        <v>179</v>
      </c>
      <c r="DL925" s="14" t="s">
        <v>18316</v>
      </c>
      <c r="DM925" s="15"/>
      <c r="DN925" s="15"/>
      <c r="DO925" s="15"/>
      <c r="DP925" s="15"/>
      <c r="DQ925" s="15"/>
      <c r="DR925" s="15"/>
      <c r="DS925" s="15"/>
      <c r="DT925" s="15"/>
      <c r="DU925" s="15"/>
      <c r="DV925" s="15"/>
      <c r="DW925" s="15"/>
      <c r="DX925" s="15"/>
      <c r="DY925" s="15"/>
      <c r="DZ925" s="15"/>
      <c r="EA925" s="15"/>
      <c r="EB925" s="15"/>
      <c r="EC925" s="16" t="s">
        <v>197</v>
      </c>
      <c r="ED925" s="17" t="s">
        <v>198</v>
      </c>
      <c r="EE925" s="18">
        <v>45719.45956018518</v>
      </c>
      <c r="EF925" s="13" t="s">
        <v>209</v>
      </c>
      <c r="EG925" s="14" t="s">
        <v>179</v>
      </c>
      <c r="EH925" s="14" t="s">
        <v>18317</v>
      </c>
      <c r="EI925" s="14" t="s">
        <v>179</v>
      </c>
      <c r="EJ925" s="14" t="s">
        <v>18318</v>
      </c>
      <c r="EK925" s="15"/>
      <c r="EL925" s="15"/>
      <c r="EM925" s="15"/>
      <c r="EN925" s="15"/>
      <c r="EO925" s="15"/>
      <c r="EP925" s="15"/>
      <c r="EQ925" s="15"/>
      <c r="ER925" s="15"/>
      <c r="ES925" s="15"/>
      <c r="ET925" s="15"/>
      <c r="EU925" s="15"/>
      <c r="EV925" s="15"/>
      <c r="EW925" s="15"/>
      <c r="EX925" s="15"/>
      <c r="EY925" s="15"/>
      <c r="EZ925" s="15"/>
      <c r="FA925" s="15"/>
      <c r="FB925" s="15"/>
      <c r="FC925" s="16" t="s">
        <v>197</v>
      </c>
      <c r="FD925" s="17" t="s">
        <v>198</v>
      </c>
      <c r="FE925" s="18">
        <v>45719.67275462963</v>
      </c>
      <c r="FF925" s="19"/>
      <c r="FG925" s="19"/>
      <c r="FH925" s="21" t="s">
        <v>197</v>
      </c>
      <c r="FI925" s="17" t="s">
        <v>214</v>
      </c>
      <c r="FJ925" s="18">
        <v>45719.67275462963</v>
      </c>
      <c r="FK925" s="14" t="s">
        <v>18318</v>
      </c>
      <c r="FL925" s="14" t="s">
        <v>18319</v>
      </c>
      <c r="FM925" s="14" t="s">
        <v>18320</v>
      </c>
      <c r="FN925" s="19"/>
      <c r="FO925" s="19"/>
      <c r="FP925" s="19" t="str">
        <f t="shared" si="1"/>
        <v>Base de Dados_Images/TIT88016.Imagem do Equipamento-.182010.jpg</v>
      </c>
      <c r="FQ925" s="14"/>
      <c r="FR925" s="14"/>
    </row>
    <row r="926" ht="15.75" customHeight="1">
      <c r="A926" s="12" t="s">
        <v>10412</v>
      </c>
      <c r="B926" s="12" t="s">
        <v>10413</v>
      </c>
      <c r="C926" s="24" t="s">
        <v>375</v>
      </c>
      <c r="D926" s="12" t="s">
        <v>18321</v>
      </c>
      <c r="E926" s="12" t="s">
        <v>18322</v>
      </c>
      <c r="F926" s="13" t="s">
        <v>178</v>
      </c>
      <c r="G926" s="14" t="s">
        <v>179</v>
      </c>
      <c r="H926" s="14" t="s">
        <v>18323</v>
      </c>
      <c r="I926" s="14" t="s">
        <v>179</v>
      </c>
      <c r="J926" s="14" t="s">
        <v>18324</v>
      </c>
      <c r="K926" s="14" t="s">
        <v>179</v>
      </c>
      <c r="L926" s="14" t="s">
        <v>18325</v>
      </c>
      <c r="M926" s="14" t="s">
        <v>179</v>
      </c>
      <c r="N926" s="14" t="s">
        <v>18326</v>
      </c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6" t="s">
        <v>197</v>
      </c>
      <c r="BP926" s="17" t="s">
        <v>198</v>
      </c>
      <c r="BQ926" s="18">
        <v>45686.63046296296</v>
      </c>
      <c r="BR926" s="17" t="s">
        <v>198</v>
      </c>
      <c r="BS926" s="18">
        <v>45686.63043981481</v>
      </c>
      <c r="BT926" s="17" t="s">
        <v>198</v>
      </c>
      <c r="BU926" s="18">
        <v>45686.63046296296</v>
      </c>
      <c r="BV926" s="13" t="s">
        <v>199</v>
      </c>
      <c r="BW926" s="14" t="s">
        <v>188</v>
      </c>
      <c r="BX926" s="14" t="s">
        <v>18327</v>
      </c>
      <c r="BY926" s="14" t="s">
        <v>179</v>
      </c>
      <c r="BZ926" s="14" t="s">
        <v>18328</v>
      </c>
      <c r="CA926" s="14" t="s">
        <v>188</v>
      </c>
      <c r="CB926" s="14" t="s">
        <v>18329</v>
      </c>
      <c r="CC926" s="15"/>
      <c r="CD926" s="15"/>
      <c r="CE926" s="15"/>
      <c r="CF926" s="15"/>
      <c r="CG926" s="19"/>
      <c r="CH926" s="15"/>
      <c r="CI926" s="19"/>
      <c r="CJ926" s="15"/>
      <c r="CK926" s="19"/>
      <c r="CL926" s="15"/>
      <c r="CM926" s="19"/>
      <c r="CN926" s="15"/>
      <c r="CO926" s="19"/>
      <c r="CP926" s="15"/>
      <c r="CQ926" s="15"/>
      <c r="CR926" s="15"/>
      <c r="CS926" s="19"/>
      <c r="CT926" s="15"/>
      <c r="CU926" s="19"/>
      <c r="CV926" s="15"/>
      <c r="CW926" s="19"/>
      <c r="CX926" s="15"/>
      <c r="CY926" s="19"/>
      <c r="CZ926" s="15"/>
      <c r="DA926" s="16" t="s">
        <v>197</v>
      </c>
      <c r="DB926" s="17" t="s">
        <v>228</v>
      </c>
      <c r="DC926" s="16"/>
      <c r="DD926" s="17" t="s">
        <v>198</v>
      </c>
      <c r="DE926" s="18">
        <v>45714.50625</v>
      </c>
      <c r="DF926" s="17" t="s">
        <v>198</v>
      </c>
      <c r="DG926" s="18">
        <v>45714.50625</v>
      </c>
      <c r="DH926" s="13" t="s">
        <v>205</v>
      </c>
      <c r="DI926" s="14" t="s">
        <v>179</v>
      </c>
      <c r="DJ926" s="14" t="s">
        <v>18330</v>
      </c>
      <c r="DK926" s="14" t="s">
        <v>179</v>
      </c>
      <c r="DL926" s="14" t="s">
        <v>18331</v>
      </c>
      <c r="DM926" s="15"/>
      <c r="DN926" s="15"/>
      <c r="DO926" s="15"/>
      <c r="DP926" s="15"/>
      <c r="DQ926" s="15"/>
      <c r="DR926" s="15"/>
      <c r="DS926" s="15"/>
      <c r="DT926" s="15"/>
      <c r="DU926" s="15"/>
      <c r="DV926" s="15"/>
      <c r="DW926" s="15"/>
      <c r="DX926" s="15"/>
      <c r="DY926" s="15"/>
      <c r="DZ926" s="15"/>
      <c r="EA926" s="15"/>
      <c r="EB926" s="15"/>
      <c r="EC926" s="16" t="s">
        <v>197</v>
      </c>
      <c r="ED926" s="17" t="s">
        <v>198</v>
      </c>
      <c r="EE926" s="18">
        <v>45719.459814814814</v>
      </c>
      <c r="EF926" s="13" t="s">
        <v>209</v>
      </c>
      <c r="EG926" s="14" t="s">
        <v>179</v>
      </c>
      <c r="EH926" s="14" t="s">
        <v>18332</v>
      </c>
      <c r="EI926" s="14" t="s">
        <v>179</v>
      </c>
      <c r="EJ926" s="14" t="s">
        <v>18333</v>
      </c>
      <c r="EK926" s="15"/>
      <c r="EL926" s="15"/>
      <c r="EM926" s="15"/>
      <c r="EN926" s="15"/>
      <c r="EO926" s="15"/>
      <c r="EP926" s="15"/>
      <c r="EQ926" s="15"/>
      <c r="ER926" s="15"/>
      <c r="ES926" s="15"/>
      <c r="ET926" s="15"/>
      <c r="EU926" s="15"/>
      <c r="EV926" s="15"/>
      <c r="EW926" s="15"/>
      <c r="EX926" s="15"/>
      <c r="EY926" s="15"/>
      <c r="EZ926" s="15"/>
      <c r="FA926" s="15"/>
      <c r="FB926" s="15"/>
      <c r="FC926" s="16" t="s">
        <v>197</v>
      </c>
      <c r="FD926" s="17" t="s">
        <v>198</v>
      </c>
      <c r="FE926" s="18">
        <v>45719.672847222224</v>
      </c>
      <c r="FF926" s="19"/>
      <c r="FG926" s="19"/>
      <c r="FH926" s="21" t="s">
        <v>197</v>
      </c>
      <c r="FI926" s="17" t="s">
        <v>214</v>
      </c>
      <c r="FJ926" s="18">
        <v>45719.672847222224</v>
      </c>
      <c r="FK926" s="14" t="s">
        <v>18333</v>
      </c>
      <c r="FL926" s="14" t="s">
        <v>18334</v>
      </c>
      <c r="FM926" s="14" t="s">
        <v>18335</v>
      </c>
      <c r="FN926" s="19"/>
      <c r="FO926" s="19"/>
      <c r="FP926" s="19" t="str">
        <f t="shared" si="1"/>
        <v>Base de Dados_Images/TIT88017.Imagem do Equipamento-.182036.jpg</v>
      </c>
      <c r="FQ926" s="14"/>
      <c r="FR926" s="14"/>
    </row>
    <row r="927" ht="15.75" customHeight="1">
      <c r="A927" s="12" t="s">
        <v>10412</v>
      </c>
      <c r="B927" s="12" t="s">
        <v>10413</v>
      </c>
      <c r="C927" s="24" t="s">
        <v>375</v>
      </c>
      <c r="D927" s="12" t="s">
        <v>18336</v>
      </c>
      <c r="E927" s="12" t="s">
        <v>18337</v>
      </c>
      <c r="F927" s="13" t="s">
        <v>178</v>
      </c>
      <c r="G927" s="14" t="s">
        <v>179</v>
      </c>
      <c r="H927" s="14" t="s">
        <v>18338</v>
      </c>
      <c r="I927" s="14" t="s">
        <v>179</v>
      </c>
      <c r="J927" s="14" t="s">
        <v>18339</v>
      </c>
      <c r="K927" s="14" t="s">
        <v>179</v>
      </c>
      <c r="L927" s="14" t="s">
        <v>18340</v>
      </c>
      <c r="M927" s="14" t="s">
        <v>179</v>
      </c>
      <c r="N927" s="14" t="s">
        <v>18341</v>
      </c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6" t="s">
        <v>197</v>
      </c>
      <c r="BP927" s="17" t="s">
        <v>198</v>
      </c>
      <c r="BQ927" s="18">
        <v>45686.6312962963</v>
      </c>
      <c r="BR927" s="17" t="s">
        <v>198</v>
      </c>
      <c r="BS927" s="18">
        <v>45686.63128472222</v>
      </c>
      <c r="BT927" s="17" t="s">
        <v>198</v>
      </c>
      <c r="BU927" s="18">
        <v>45686.6312962963</v>
      </c>
      <c r="BV927" s="13" t="s">
        <v>199</v>
      </c>
      <c r="BW927" s="14" t="s">
        <v>188</v>
      </c>
      <c r="BX927" s="14" t="s">
        <v>18342</v>
      </c>
      <c r="BY927" s="14" t="s">
        <v>179</v>
      </c>
      <c r="BZ927" s="14" t="s">
        <v>18343</v>
      </c>
      <c r="CA927" s="14" t="s">
        <v>188</v>
      </c>
      <c r="CB927" s="14" t="s">
        <v>18344</v>
      </c>
      <c r="CC927" s="15"/>
      <c r="CD927" s="15"/>
      <c r="CE927" s="15"/>
      <c r="CF927" s="15"/>
      <c r="CG927" s="19"/>
      <c r="CH927" s="15"/>
      <c r="CI927" s="19"/>
      <c r="CJ927" s="15"/>
      <c r="CK927" s="19"/>
      <c r="CL927" s="15"/>
      <c r="CM927" s="19"/>
      <c r="CN927" s="15"/>
      <c r="CO927" s="19"/>
      <c r="CP927" s="15"/>
      <c r="CQ927" s="15"/>
      <c r="CR927" s="15"/>
      <c r="CS927" s="19"/>
      <c r="CT927" s="15"/>
      <c r="CU927" s="19"/>
      <c r="CV927" s="15"/>
      <c r="CW927" s="19"/>
      <c r="CX927" s="15"/>
      <c r="CY927" s="19"/>
      <c r="CZ927" s="15"/>
      <c r="DA927" s="16" t="s">
        <v>197</v>
      </c>
      <c r="DB927" s="17" t="s">
        <v>228</v>
      </c>
      <c r="DC927" s="16"/>
      <c r="DD927" s="17" t="s">
        <v>198</v>
      </c>
      <c r="DE927" s="18">
        <v>45714.506377314814</v>
      </c>
      <c r="DF927" s="17" t="s">
        <v>198</v>
      </c>
      <c r="DG927" s="18">
        <v>45714.506377314814</v>
      </c>
      <c r="DH927" s="13" t="s">
        <v>205</v>
      </c>
      <c r="DI927" s="14" t="s">
        <v>179</v>
      </c>
      <c r="DJ927" s="14" t="s">
        <v>18345</v>
      </c>
      <c r="DK927" s="14" t="s">
        <v>179</v>
      </c>
      <c r="DL927" s="14" t="s">
        <v>18346</v>
      </c>
      <c r="DM927" s="15"/>
      <c r="DN927" s="15"/>
      <c r="DO927" s="15"/>
      <c r="DP927" s="15"/>
      <c r="DQ927" s="15"/>
      <c r="DR927" s="15"/>
      <c r="DS927" s="15"/>
      <c r="DT927" s="15"/>
      <c r="DU927" s="15"/>
      <c r="DV927" s="15"/>
      <c r="DW927" s="15"/>
      <c r="DX927" s="15"/>
      <c r="DY927" s="15"/>
      <c r="DZ927" s="15"/>
      <c r="EA927" s="15"/>
      <c r="EB927" s="15"/>
      <c r="EC927" s="16" t="s">
        <v>197</v>
      </c>
      <c r="ED927" s="17" t="s">
        <v>198</v>
      </c>
      <c r="EE927" s="18">
        <v>45719.4600462963</v>
      </c>
      <c r="EF927" s="13" t="s">
        <v>209</v>
      </c>
      <c r="EG927" s="14" t="s">
        <v>179</v>
      </c>
      <c r="EH927" s="14" t="s">
        <v>18347</v>
      </c>
      <c r="EI927" s="14" t="s">
        <v>179</v>
      </c>
      <c r="EJ927" s="14" t="s">
        <v>18348</v>
      </c>
      <c r="EK927" s="15"/>
      <c r="EL927" s="15"/>
      <c r="EM927" s="15"/>
      <c r="EN927" s="15"/>
      <c r="EO927" s="15"/>
      <c r="EP927" s="15"/>
      <c r="EQ927" s="15"/>
      <c r="ER927" s="15"/>
      <c r="ES927" s="15"/>
      <c r="ET927" s="15"/>
      <c r="EU927" s="15"/>
      <c r="EV927" s="15"/>
      <c r="EW927" s="15"/>
      <c r="EX927" s="15"/>
      <c r="EY927" s="15"/>
      <c r="EZ927" s="15"/>
      <c r="FA927" s="15"/>
      <c r="FB927" s="15"/>
      <c r="FC927" s="16" t="s">
        <v>197</v>
      </c>
      <c r="FD927" s="17" t="s">
        <v>198</v>
      </c>
      <c r="FE927" s="18">
        <v>45719.672939814816</v>
      </c>
      <c r="FF927" s="19"/>
      <c r="FG927" s="19"/>
      <c r="FH927" s="21" t="s">
        <v>197</v>
      </c>
      <c r="FI927" s="17" t="s">
        <v>214</v>
      </c>
      <c r="FJ927" s="18">
        <v>45719.672939814816</v>
      </c>
      <c r="FK927" s="14" t="s">
        <v>18348</v>
      </c>
      <c r="FL927" s="14" t="s">
        <v>18349</v>
      </c>
      <c r="FM927" s="14" t="s">
        <v>18350</v>
      </c>
      <c r="FN927" s="19"/>
      <c r="FO927" s="19"/>
      <c r="FP927" s="19" t="str">
        <f t="shared" si="1"/>
        <v>Base de Dados_Images/TIT88018.Imagem do Equipamento-.182102.jpg</v>
      </c>
      <c r="FQ927" s="14"/>
      <c r="FR927" s="14"/>
    </row>
    <row r="928" ht="15.75" customHeight="1">
      <c r="A928" s="12" t="s">
        <v>10412</v>
      </c>
      <c r="B928" s="12" t="s">
        <v>10413</v>
      </c>
      <c r="C928" s="24" t="s">
        <v>375</v>
      </c>
      <c r="D928" s="12" t="s">
        <v>18351</v>
      </c>
      <c r="E928" s="12" t="s">
        <v>18352</v>
      </c>
      <c r="F928" s="13" t="s">
        <v>178</v>
      </c>
      <c r="G928" s="14" t="s">
        <v>179</v>
      </c>
      <c r="H928" s="14" t="s">
        <v>18353</v>
      </c>
      <c r="I928" s="14" t="s">
        <v>179</v>
      </c>
      <c r="J928" s="14" t="s">
        <v>18354</v>
      </c>
      <c r="K928" s="14" t="s">
        <v>179</v>
      </c>
      <c r="L928" s="14" t="s">
        <v>18355</v>
      </c>
      <c r="M928" s="14" t="s">
        <v>179</v>
      </c>
      <c r="N928" s="14" t="s">
        <v>18356</v>
      </c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6" t="s">
        <v>197</v>
      </c>
      <c r="BP928" s="17" t="s">
        <v>198</v>
      </c>
      <c r="BQ928" s="18">
        <v>45686.63155092593</v>
      </c>
      <c r="BR928" s="17" t="s">
        <v>198</v>
      </c>
      <c r="BS928" s="18">
        <v>45686.63153935185</v>
      </c>
      <c r="BT928" s="17" t="s">
        <v>198</v>
      </c>
      <c r="BU928" s="18">
        <v>45686.63155092593</v>
      </c>
      <c r="BV928" s="13" t="s">
        <v>199</v>
      </c>
      <c r="BW928" s="14" t="s">
        <v>188</v>
      </c>
      <c r="BX928" s="14" t="s">
        <v>18357</v>
      </c>
      <c r="BY928" s="14" t="s">
        <v>179</v>
      </c>
      <c r="BZ928" s="14" t="s">
        <v>18358</v>
      </c>
      <c r="CA928" s="14" t="s">
        <v>188</v>
      </c>
      <c r="CB928" s="14" t="s">
        <v>18359</v>
      </c>
      <c r="CC928" s="15"/>
      <c r="CD928" s="15"/>
      <c r="CE928" s="15"/>
      <c r="CF928" s="15"/>
      <c r="CG928" s="19"/>
      <c r="CH928" s="15"/>
      <c r="CI928" s="19"/>
      <c r="CJ928" s="15"/>
      <c r="CK928" s="19"/>
      <c r="CL928" s="15"/>
      <c r="CM928" s="19"/>
      <c r="CN928" s="15"/>
      <c r="CO928" s="19"/>
      <c r="CP928" s="15"/>
      <c r="CQ928" s="15"/>
      <c r="CR928" s="15"/>
      <c r="CS928" s="19"/>
      <c r="CT928" s="15"/>
      <c r="CU928" s="19"/>
      <c r="CV928" s="15"/>
      <c r="CW928" s="19"/>
      <c r="CX928" s="15"/>
      <c r="CY928" s="19"/>
      <c r="CZ928" s="15"/>
      <c r="DA928" s="16" t="s">
        <v>197</v>
      </c>
      <c r="DB928" s="17" t="s">
        <v>228</v>
      </c>
      <c r="DC928" s="16"/>
      <c r="DD928" s="17" t="s">
        <v>198</v>
      </c>
      <c r="DE928" s="18">
        <v>45714.50649305555</v>
      </c>
      <c r="DF928" s="17" t="s">
        <v>198</v>
      </c>
      <c r="DG928" s="18">
        <v>45714.50649305555</v>
      </c>
      <c r="DH928" s="13" t="s">
        <v>205</v>
      </c>
      <c r="DI928" s="14" t="s">
        <v>179</v>
      </c>
      <c r="DJ928" s="14" t="s">
        <v>18360</v>
      </c>
      <c r="DK928" s="14" t="s">
        <v>179</v>
      </c>
      <c r="DL928" s="14" t="s">
        <v>18361</v>
      </c>
      <c r="DM928" s="15"/>
      <c r="DN928" s="15"/>
      <c r="DO928" s="15"/>
      <c r="DP928" s="15"/>
      <c r="DQ928" s="15"/>
      <c r="DR928" s="15"/>
      <c r="DS928" s="15"/>
      <c r="DT928" s="15"/>
      <c r="DU928" s="15"/>
      <c r="DV928" s="15"/>
      <c r="DW928" s="15"/>
      <c r="DX928" s="15"/>
      <c r="DY928" s="15"/>
      <c r="DZ928" s="15"/>
      <c r="EA928" s="15"/>
      <c r="EB928" s="15"/>
      <c r="EC928" s="16" t="s">
        <v>197</v>
      </c>
      <c r="ED928" s="17" t="s">
        <v>198</v>
      </c>
      <c r="EE928" s="18">
        <v>45719.46015046296</v>
      </c>
      <c r="EF928" s="13" t="s">
        <v>209</v>
      </c>
      <c r="EG928" s="14" t="s">
        <v>179</v>
      </c>
      <c r="EH928" s="14" t="s">
        <v>18362</v>
      </c>
      <c r="EI928" s="14" t="s">
        <v>179</v>
      </c>
      <c r="EJ928" s="14" t="s">
        <v>18363</v>
      </c>
      <c r="EK928" s="15"/>
      <c r="EL928" s="15"/>
      <c r="EM928" s="15"/>
      <c r="EN928" s="15"/>
      <c r="EO928" s="15"/>
      <c r="EP928" s="15"/>
      <c r="EQ928" s="15"/>
      <c r="ER928" s="15"/>
      <c r="ES928" s="15"/>
      <c r="ET928" s="15"/>
      <c r="EU928" s="15"/>
      <c r="EV928" s="15"/>
      <c r="EW928" s="15"/>
      <c r="EX928" s="15"/>
      <c r="EY928" s="15"/>
      <c r="EZ928" s="15"/>
      <c r="FA928" s="15"/>
      <c r="FB928" s="15"/>
      <c r="FC928" s="16" t="s">
        <v>197</v>
      </c>
      <c r="FD928" s="17" t="s">
        <v>198</v>
      </c>
      <c r="FE928" s="18">
        <v>45719.67302083333</v>
      </c>
      <c r="FF928" s="19"/>
      <c r="FG928" s="19"/>
      <c r="FH928" s="21" t="s">
        <v>197</v>
      </c>
      <c r="FI928" s="17" t="s">
        <v>214</v>
      </c>
      <c r="FJ928" s="18">
        <v>45719.67302083333</v>
      </c>
      <c r="FK928" s="14" t="s">
        <v>18363</v>
      </c>
      <c r="FL928" s="14" t="s">
        <v>18364</v>
      </c>
      <c r="FM928" s="14" t="s">
        <v>18365</v>
      </c>
      <c r="FN928" s="19"/>
      <c r="FO928" s="19"/>
      <c r="FP928" s="19" t="str">
        <f t="shared" si="1"/>
        <v>Base de Dados_Images/TIT88019.Imagem do Equipamento-.182126.jpg</v>
      </c>
      <c r="FQ928" s="19"/>
      <c r="FR928" s="19"/>
    </row>
    <row r="929" ht="15.75" customHeight="1">
      <c r="A929" s="12" t="s">
        <v>10412</v>
      </c>
      <c r="B929" s="12" t="s">
        <v>10413</v>
      </c>
      <c r="C929" s="24" t="s">
        <v>375</v>
      </c>
      <c r="D929" s="12" t="s">
        <v>18366</v>
      </c>
      <c r="E929" s="12" t="s">
        <v>18367</v>
      </c>
      <c r="F929" s="13" t="s">
        <v>178</v>
      </c>
      <c r="G929" s="14" t="s">
        <v>179</v>
      </c>
      <c r="H929" s="14" t="s">
        <v>18368</v>
      </c>
      <c r="I929" s="14" t="s">
        <v>179</v>
      </c>
      <c r="J929" s="14" t="s">
        <v>18369</v>
      </c>
      <c r="K929" s="14" t="s">
        <v>179</v>
      </c>
      <c r="L929" s="14" t="s">
        <v>18370</v>
      </c>
      <c r="M929" s="14" t="s">
        <v>179</v>
      </c>
      <c r="N929" s="14" t="s">
        <v>18371</v>
      </c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6" t="s">
        <v>197</v>
      </c>
      <c r="BP929" s="17" t="s">
        <v>198</v>
      </c>
      <c r="BQ929" s="18">
        <v>45686.63193287037</v>
      </c>
      <c r="BR929" s="17" t="s">
        <v>198</v>
      </c>
      <c r="BS929" s="18">
        <v>45686.6319212963</v>
      </c>
      <c r="BT929" s="17" t="s">
        <v>198</v>
      </c>
      <c r="BU929" s="18">
        <v>45686.63193287037</v>
      </c>
      <c r="BV929" s="13" t="s">
        <v>199</v>
      </c>
      <c r="BW929" s="14" t="s">
        <v>188</v>
      </c>
      <c r="BX929" s="14" t="s">
        <v>18372</v>
      </c>
      <c r="BY929" s="14" t="s">
        <v>179</v>
      </c>
      <c r="BZ929" s="14" t="s">
        <v>18373</v>
      </c>
      <c r="CA929" s="14" t="s">
        <v>188</v>
      </c>
      <c r="CB929" s="14" t="s">
        <v>18374</v>
      </c>
      <c r="CC929" s="15"/>
      <c r="CD929" s="15"/>
      <c r="CE929" s="15"/>
      <c r="CF929" s="15"/>
      <c r="CG929" s="19"/>
      <c r="CH929" s="15"/>
      <c r="CI929" s="19"/>
      <c r="CJ929" s="15"/>
      <c r="CK929" s="19"/>
      <c r="CL929" s="15"/>
      <c r="CM929" s="19"/>
      <c r="CN929" s="15"/>
      <c r="CO929" s="19"/>
      <c r="CP929" s="15"/>
      <c r="CQ929" s="15"/>
      <c r="CR929" s="15"/>
      <c r="CS929" s="19"/>
      <c r="CT929" s="15"/>
      <c r="CU929" s="19"/>
      <c r="CV929" s="15"/>
      <c r="CW929" s="19"/>
      <c r="CX929" s="15"/>
      <c r="CY929" s="19"/>
      <c r="CZ929" s="15"/>
      <c r="DA929" s="16" t="s">
        <v>197</v>
      </c>
      <c r="DB929" s="17" t="s">
        <v>228</v>
      </c>
      <c r="DC929" s="16"/>
      <c r="DD929" s="17" t="s">
        <v>198</v>
      </c>
      <c r="DE929" s="18">
        <v>45714.507268518515</v>
      </c>
      <c r="DF929" s="17" t="s">
        <v>198</v>
      </c>
      <c r="DG929" s="18">
        <v>45714.507268518515</v>
      </c>
      <c r="DH929" s="13" t="s">
        <v>205</v>
      </c>
      <c r="DI929" s="14" t="s">
        <v>179</v>
      </c>
      <c r="DJ929" s="14" t="s">
        <v>18375</v>
      </c>
      <c r="DK929" s="14" t="s">
        <v>179</v>
      </c>
      <c r="DL929" s="14" t="s">
        <v>18375</v>
      </c>
      <c r="DM929" s="15"/>
      <c r="DN929" s="15"/>
      <c r="DO929" s="15"/>
      <c r="DP929" s="15"/>
      <c r="DQ929" s="15"/>
      <c r="DR929" s="15"/>
      <c r="DS929" s="15"/>
      <c r="DT929" s="15"/>
      <c r="DU929" s="15"/>
      <c r="DV929" s="15"/>
      <c r="DW929" s="15"/>
      <c r="DX929" s="15"/>
      <c r="DY929" s="15"/>
      <c r="DZ929" s="15"/>
      <c r="EA929" s="15"/>
      <c r="EB929" s="15"/>
      <c r="EC929" s="16" t="s">
        <v>197</v>
      </c>
      <c r="ED929" s="17" t="s">
        <v>198</v>
      </c>
      <c r="EE929" s="18">
        <v>45719.46024305555</v>
      </c>
      <c r="EF929" s="13" t="s">
        <v>209</v>
      </c>
      <c r="EG929" s="14" t="s">
        <v>179</v>
      </c>
      <c r="EH929" s="14" t="s">
        <v>18376</v>
      </c>
      <c r="EI929" s="14" t="s">
        <v>179</v>
      </c>
      <c r="EJ929" s="14" t="s">
        <v>18377</v>
      </c>
      <c r="EK929" s="15"/>
      <c r="EL929" s="15"/>
      <c r="EM929" s="15"/>
      <c r="EN929" s="15"/>
      <c r="EO929" s="15"/>
      <c r="EP929" s="15"/>
      <c r="EQ929" s="15"/>
      <c r="ER929" s="15"/>
      <c r="ES929" s="15"/>
      <c r="ET929" s="15"/>
      <c r="EU929" s="15"/>
      <c r="EV929" s="15"/>
      <c r="EW929" s="15"/>
      <c r="EX929" s="15"/>
      <c r="EY929" s="15"/>
      <c r="EZ929" s="15"/>
      <c r="FA929" s="15"/>
      <c r="FB929" s="15"/>
      <c r="FC929" s="16" t="s">
        <v>197</v>
      </c>
      <c r="FD929" s="17" t="s">
        <v>198</v>
      </c>
      <c r="FE929" s="18">
        <v>45719.673113425924</v>
      </c>
      <c r="FF929" s="19"/>
      <c r="FG929" s="19"/>
      <c r="FH929" s="21" t="s">
        <v>197</v>
      </c>
      <c r="FI929" s="17" t="s">
        <v>214</v>
      </c>
      <c r="FJ929" s="18">
        <v>45719.673113425924</v>
      </c>
      <c r="FK929" s="14" t="s">
        <v>18377</v>
      </c>
      <c r="FL929" s="14" t="s">
        <v>18378</v>
      </c>
      <c r="FM929" s="14" t="s">
        <v>18379</v>
      </c>
      <c r="FN929" s="19"/>
      <c r="FO929" s="19"/>
      <c r="FP929" s="19" t="str">
        <f t="shared" si="1"/>
        <v>Base de Dados_Images/TIT88020.Imagem do Equipamento-.182150.jpg</v>
      </c>
      <c r="FQ929" s="19"/>
      <c r="FR929" s="19"/>
    </row>
    <row r="930" ht="15.75" customHeight="1">
      <c r="A930" s="12" t="s">
        <v>357</v>
      </c>
      <c r="B930" s="12" t="s">
        <v>4697</v>
      </c>
      <c r="C930" s="24" t="s">
        <v>18380</v>
      </c>
      <c r="D930" s="22" t="s">
        <v>18381</v>
      </c>
      <c r="E930" s="22" t="s">
        <v>18382</v>
      </c>
      <c r="F930" s="13" t="s">
        <v>178</v>
      </c>
      <c r="G930" s="14" t="s">
        <v>179</v>
      </c>
      <c r="H930" s="14" t="s">
        <v>18383</v>
      </c>
      <c r="I930" s="14" t="s">
        <v>179</v>
      </c>
      <c r="J930" s="14" t="s">
        <v>18384</v>
      </c>
      <c r="K930" s="14" t="s">
        <v>179</v>
      </c>
      <c r="L930" s="14" t="s">
        <v>18385</v>
      </c>
      <c r="M930" s="14" t="s">
        <v>179</v>
      </c>
      <c r="N930" s="14" t="s">
        <v>18386</v>
      </c>
      <c r="O930" s="14" t="s">
        <v>179</v>
      </c>
      <c r="P930" s="14" t="s">
        <v>18387</v>
      </c>
      <c r="Q930" s="14" t="s">
        <v>179</v>
      </c>
      <c r="R930" s="14" t="s">
        <v>18388</v>
      </c>
      <c r="S930" s="14" t="s">
        <v>179</v>
      </c>
      <c r="T930" s="14" t="s">
        <v>18389</v>
      </c>
      <c r="U930" s="14" t="s">
        <v>179</v>
      </c>
      <c r="V930" s="14" t="s">
        <v>18390</v>
      </c>
      <c r="W930" s="14" t="s">
        <v>179</v>
      </c>
      <c r="X930" s="14" t="s">
        <v>18391</v>
      </c>
      <c r="Y930" s="14" t="s">
        <v>179</v>
      </c>
      <c r="Z930" s="14" t="s">
        <v>18392</v>
      </c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6" t="s">
        <v>197</v>
      </c>
      <c r="BP930" s="17" t="s">
        <v>198</v>
      </c>
      <c r="BQ930" s="18">
        <v>45687.38465277778</v>
      </c>
      <c r="BR930" s="17" t="s">
        <v>198</v>
      </c>
      <c r="BS930" s="18">
        <v>45687.3846875</v>
      </c>
      <c r="BT930" s="17" t="s">
        <v>198</v>
      </c>
      <c r="BU930" s="18">
        <v>45687.3846875</v>
      </c>
      <c r="BV930" s="13" t="s">
        <v>199</v>
      </c>
      <c r="BW930" s="14" t="s">
        <v>179</v>
      </c>
      <c r="BX930" s="14" t="s">
        <v>18393</v>
      </c>
      <c r="BY930" s="15"/>
      <c r="BZ930" s="15"/>
      <c r="CA930" s="15"/>
      <c r="CB930" s="15"/>
      <c r="CC930" s="15"/>
      <c r="CD930" s="15"/>
      <c r="CE930" s="15"/>
      <c r="CF930" s="15"/>
      <c r="CG930" s="19"/>
      <c r="CH930" s="15"/>
      <c r="CI930" s="19"/>
      <c r="CJ930" s="15"/>
      <c r="CK930" s="19"/>
      <c r="CL930" s="15"/>
      <c r="CM930" s="19"/>
      <c r="CN930" s="15"/>
      <c r="CO930" s="19"/>
      <c r="CP930" s="15"/>
      <c r="CQ930" s="15"/>
      <c r="CR930" s="15"/>
      <c r="CS930" s="19"/>
      <c r="CT930" s="15"/>
      <c r="CU930" s="19"/>
      <c r="CV930" s="15"/>
      <c r="CW930" s="19"/>
      <c r="CX930" s="15"/>
      <c r="CY930" s="19"/>
      <c r="CZ930" s="15"/>
      <c r="DA930" s="16" t="s">
        <v>197</v>
      </c>
      <c r="DB930" s="17" t="s">
        <v>198</v>
      </c>
      <c r="DC930" s="20">
        <v>45728.322118055556</v>
      </c>
      <c r="DD930" s="17" t="s">
        <v>228</v>
      </c>
      <c r="DE930" s="23"/>
      <c r="DF930" s="17" t="s">
        <v>198</v>
      </c>
      <c r="DG930" s="18">
        <v>45728.322118055556</v>
      </c>
      <c r="DH930" s="13" t="s">
        <v>205</v>
      </c>
      <c r="DI930" s="14" t="s">
        <v>179</v>
      </c>
      <c r="DJ930" s="14" t="s">
        <v>18394</v>
      </c>
      <c r="DK930" s="14" t="s">
        <v>179</v>
      </c>
      <c r="DL930" s="14" t="s">
        <v>18394</v>
      </c>
      <c r="DM930" s="14" t="s">
        <v>179</v>
      </c>
      <c r="DN930" s="14" t="s">
        <v>18395</v>
      </c>
      <c r="DO930" s="15"/>
      <c r="DP930" s="15"/>
      <c r="DQ930" s="15"/>
      <c r="DR930" s="15"/>
      <c r="DS930" s="15"/>
      <c r="DT930" s="15"/>
      <c r="DU930" s="15"/>
      <c r="DV930" s="15"/>
      <c r="DW930" s="15"/>
      <c r="DX930" s="15"/>
      <c r="DY930" s="15"/>
      <c r="DZ930" s="15"/>
      <c r="EA930" s="15"/>
      <c r="EB930" s="15"/>
      <c r="EC930" s="16" t="s">
        <v>197</v>
      </c>
      <c r="ED930" s="17" t="s">
        <v>198</v>
      </c>
      <c r="EE930" s="18">
        <v>45728.322175925925</v>
      </c>
      <c r="EF930" s="13" t="s">
        <v>209</v>
      </c>
      <c r="EG930" s="14" t="s">
        <v>179</v>
      </c>
      <c r="EH930" s="14" t="s">
        <v>18396</v>
      </c>
      <c r="EI930" s="14" t="s">
        <v>179</v>
      </c>
      <c r="EJ930" s="14" t="s">
        <v>18397</v>
      </c>
      <c r="EK930" s="15"/>
      <c r="EL930" s="15"/>
      <c r="EM930" s="15"/>
      <c r="EN930" s="15"/>
      <c r="EO930" s="15"/>
      <c r="EP930" s="15"/>
      <c r="EQ930" s="15"/>
      <c r="ER930" s="15"/>
      <c r="ES930" s="15"/>
      <c r="ET930" s="15"/>
      <c r="EU930" s="15"/>
      <c r="EV930" s="15"/>
      <c r="EW930" s="15"/>
      <c r="EX930" s="15"/>
      <c r="EY930" s="15"/>
      <c r="EZ930" s="15"/>
      <c r="FA930" s="15"/>
      <c r="FB930" s="15"/>
      <c r="FC930" s="16" t="s">
        <v>197</v>
      </c>
      <c r="FD930" s="17" t="s">
        <v>198</v>
      </c>
      <c r="FE930" s="18">
        <v>45728.322222222225</v>
      </c>
      <c r="FF930" s="19"/>
      <c r="FG930" s="19"/>
      <c r="FH930" s="21" t="s">
        <v>197</v>
      </c>
      <c r="FI930" s="17" t="s">
        <v>214</v>
      </c>
      <c r="FJ930" s="18">
        <v>45728.322222222225</v>
      </c>
      <c r="FK930" s="14" t="s">
        <v>18397</v>
      </c>
      <c r="FL930" s="14" t="s">
        <v>18398</v>
      </c>
      <c r="FM930" s="14" t="s">
        <v>18399</v>
      </c>
      <c r="FN930" s="19"/>
      <c r="FO930" s="19"/>
      <c r="FP930" s="19" t="str">
        <f t="shared" si="1"/>
        <v>Base de Dados_Images/TR9201.Imagem do Equipamento-.124445.jpg</v>
      </c>
      <c r="FQ930" s="19"/>
      <c r="FR930" s="19"/>
    </row>
    <row r="931" ht="15.75" customHeight="1">
      <c r="A931" s="12" t="s">
        <v>357</v>
      </c>
      <c r="B931" s="12" t="s">
        <v>4697</v>
      </c>
      <c r="C931" s="24" t="s">
        <v>18380</v>
      </c>
      <c r="D931" s="22" t="s">
        <v>18400</v>
      </c>
      <c r="E931" s="22" t="s">
        <v>18401</v>
      </c>
      <c r="F931" s="13" t="s">
        <v>178</v>
      </c>
      <c r="G931" s="14" t="s">
        <v>179</v>
      </c>
      <c r="H931" s="14" t="s">
        <v>18402</v>
      </c>
      <c r="I931" s="14" t="s">
        <v>179</v>
      </c>
      <c r="J931" s="14" t="s">
        <v>18403</v>
      </c>
      <c r="K931" s="14" t="s">
        <v>179</v>
      </c>
      <c r="L931" s="14" t="s">
        <v>18404</v>
      </c>
      <c r="M931" s="14" t="s">
        <v>179</v>
      </c>
      <c r="N931" s="14" t="s">
        <v>18405</v>
      </c>
      <c r="O931" s="14" t="s">
        <v>179</v>
      </c>
      <c r="P931" s="14" t="s">
        <v>18406</v>
      </c>
      <c r="Q931" s="14" t="s">
        <v>179</v>
      </c>
      <c r="R931" s="14" t="s">
        <v>18407</v>
      </c>
      <c r="S931" s="14" t="s">
        <v>179</v>
      </c>
      <c r="T931" s="14" t="s">
        <v>18408</v>
      </c>
      <c r="U931" s="14" t="s">
        <v>179</v>
      </c>
      <c r="V931" s="14" t="s">
        <v>18409</v>
      </c>
      <c r="W931" s="14" t="s">
        <v>179</v>
      </c>
      <c r="X931" s="14" t="s">
        <v>18410</v>
      </c>
      <c r="Y931" s="14" t="s">
        <v>179</v>
      </c>
      <c r="Z931" s="14" t="s">
        <v>18411</v>
      </c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6" t="s">
        <v>197</v>
      </c>
      <c r="BP931" s="17" t="s">
        <v>198</v>
      </c>
      <c r="BQ931" s="18">
        <v>45687.384247685186</v>
      </c>
      <c r="BR931" s="17" t="s">
        <v>198</v>
      </c>
      <c r="BS931" s="18">
        <v>45687.38428240741</v>
      </c>
      <c r="BT931" s="17" t="s">
        <v>198</v>
      </c>
      <c r="BU931" s="18">
        <v>45687.38428240741</v>
      </c>
      <c r="BV931" s="13" t="s">
        <v>199</v>
      </c>
      <c r="BW931" s="14" t="s">
        <v>179</v>
      </c>
      <c r="BX931" s="14" t="s">
        <v>18412</v>
      </c>
      <c r="BY931" s="15"/>
      <c r="BZ931" s="15"/>
      <c r="CA931" s="15"/>
      <c r="CB931" s="15"/>
      <c r="CC931" s="15"/>
      <c r="CD931" s="15"/>
      <c r="CE931" s="15"/>
      <c r="CF931" s="15"/>
      <c r="CG931" s="19"/>
      <c r="CH931" s="15"/>
      <c r="CI931" s="19"/>
      <c r="CJ931" s="15"/>
      <c r="CK931" s="19"/>
      <c r="CL931" s="15"/>
      <c r="CM931" s="19"/>
      <c r="CN931" s="15"/>
      <c r="CO931" s="19"/>
      <c r="CP931" s="15"/>
      <c r="CQ931" s="15"/>
      <c r="CR931" s="15"/>
      <c r="CS931" s="19"/>
      <c r="CT931" s="15"/>
      <c r="CU931" s="19"/>
      <c r="CV931" s="15"/>
      <c r="CW931" s="19"/>
      <c r="CX931" s="15"/>
      <c r="CY931" s="19"/>
      <c r="CZ931" s="15"/>
      <c r="DA931" s="16" t="s">
        <v>197</v>
      </c>
      <c r="DB931" s="17" t="s">
        <v>198</v>
      </c>
      <c r="DC931" s="20">
        <v>45723.3865625</v>
      </c>
      <c r="DD931" s="17" t="s">
        <v>228</v>
      </c>
      <c r="DE931" s="23"/>
      <c r="DF931" s="17" t="s">
        <v>198</v>
      </c>
      <c r="DG931" s="18">
        <v>45723.3865625</v>
      </c>
      <c r="DH931" s="13" t="s">
        <v>205</v>
      </c>
      <c r="DI931" s="14" t="s">
        <v>179</v>
      </c>
      <c r="DJ931" s="14" t="s">
        <v>18413</v>
      </c>
      <c r="DK931" s="14" t="s">
        <v>179</v>
      </c>
      <c r="DL931" s="14" t="s">
        <v>18413</v>
      </c>
      <c r="DM931" s="14" t="s">
        <v>179</v>
      </c>
      <c r="DN931" s="14" t="s">
        <v>18414</v>
      </c>
      <c r="DO931" s="15"/>
      <c r="DP931" s="15"/>
      <c r="DQ931" s="15"/>
      <c r="DR931" s="15"/>
      <c r="DS931" s="15"/>
      <c r="DT931" s="15"/>
      <c r="DU931" s="15"/>
      <c r="DV931" s="15"/>
      <c r="DW931" s="15"/>
      <c r="DX931" s="15"/>
      <c r="DY931" s="15"/>
      <c r="DZ931" s="15"/>
      <c r="EA931" s="15"/>
      <c r="EB931" s="15"/>
      <c r="EC931" s="16" t="s">
        <v>197</v>
      </c>
      <c r="ED931" s="17" t="s">
        <v>198</v>
      </c>
      <c r="EE931" s="18">
        <v>45723.38662037037</v>
      </c>
      <c r="EF931" s="13" t="s">
        <v>209</v>
      </c>
      <c r="EG931" s="14" t="s">
        <v>179</v>
      </c>
      <c r="EH931" s="14" t="s">
        <v>18415</v>
      </c>
      <c r="EI931" s="14" t="s">
        <v>179</v>
      </c>
      <c r="EJ931" s="14" t="s">
        <v>18415</v>
      </c>
      <c r="EK931" s="15"/>
      <c r="EL931" s="15"/>
      <c r="EM931" s="15"/>
      <c r="EN931" s="15"/>
      <c r="EO931" s="15"/>
      <c r="EP931" s="15"/>
      <c r="EQ931" s="15"/>
      <c r="ER931" s="15"/>
      <c r="ES931" s="15"/>
      <c r="ET931" s="15"/>
      <c r="EU931" s="15"/>
      <c r="EV931" s="15"/>
      <c r="EW931" s="15"/>
      <c r="EX931" s="15"/>
      <c r="EY931" s="15"/>
      <c r="EZ931" s="15"/>
      <c r="FA931" s="15"/>
      <c r="FB931" s="15"/>
      <c r="FC931" s="16" t="s">
        <v>197</v>
      </c>
      <c r="FD931" s="17" t="s">
        <v>198</v>
      </c>
      <c r="FE931" s="18">
        <v>45723.38670138889</v>
      </c>
      <c r="FF931" s="19"/>
      <c r="FG931" s="19"/>
      <c r="FH931" s="21" t="s">
        <v>197</v>
      </c>
      <c r="FI931" s="17" t="s">
        <v>214</v>
      </c>
      <c r="FJ931" s="18">
        <v>45723.38670138889</v>
      </c>
      <c r="FK931" s="14" t="s">
        <v>18415</v>
      </c>
      <c r="FL931" s="14" t="s">
        <v>18416</v>
      </c>
      <c r="FM931" s="14" t="s">
        <v>18417</v>
      </c>
      <c r="FN931" s="19"/>
      <c r="FO931" s="19"/>
      <c r="FP931" s="19" t="str">
        <f t="shared" si="1"/>
        <v>Base de Dados_Images/TR9202.Imagem do Equipamento-.124404.jpg</v>
      </c>
      <c r="FQ931" s="19"/>
      <c r="FR931" s="19"/>
    </row>
    <row r="932" ht="15.75" customHeight="1">
      <c r="A932" s="12" t="s">
        <v>357</v>
      </c>
      <c r="B932" s="12" t="s">
        <v>4697</v>
      </c>
      <c r="C932" s="24" t="s">
        <v>18380</v>
      </c>
      <c r="D932" s="22" t="s">
        <v>18418</v>
      </c>
      <c r="E932" s="22" t="s">
        <v>18419</v>
      </c>
      <c r="F932" s="13" t="s">
        <v>178</v>
      </c>
      <c r="G932" s="14" t="s">
        <v>179</v>
      </c>
      <c r="H932" s="14" t="s">
        <v>18420</v>
      </c>
      <c r="I932" s="14" t="s">
        <v>179</v>
      </c>
      <c r="J932" s="14" t="s">
        <v>18421</v>
      </c>
      <c r="K932" s="14" t="s">
        <v>179</v>
      </c>
      <c r="L932" s="14" t="s">
        <v>18422</v>
      </c>
      <c r="M932" s="14" t="s">
        <v>179</v>
      </c>
      <c r="N932" s="14" t="s">
        <v>18423</v>
      </c>
      <c r="O932" s="14" t="s">
        <v>179</v>
      </c>
      <c r="P932" s="14" t="s">
        <v>18424</v>
      </c>
      <c r="Q932" s="14" t="s">
        <v>179</v>
      </c>
      <c r="R932" s="14" t="s">
        <v>18425</v>
      </c>
      <c r="S932" s="14" t="s">
        <v>179</v>
      </c>
      <c r="T932" s="14" t="s">
        <v>18426</v>
      </c>
      <c r="U932" s="14" t="s">
        <v>179</v>
      </c>
      <c r="V932" s="14" t="s">
        <v>18427</v>
      </c>
      <c r="W932" s="14" t="s">
        <v>179</v>
      </c>
      <c r="X932" s="14" t="s">
        <v>18428</v>
      </c>
      <c r="Y932" s="14" t="s">
        <v>179</v>
      </c>
      <c r="Z932" s="14" t="s">
        <v>18429</v>
      </c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6" t="s">
        <v>197</v>
      </c>
      <c r="BP932" s="17" t="s">
        <v>198</v>
      </c>
      <c r="BQ932" s="18">
        <v>45687.38354166667</v>
      </c>
      <c r="BR932" s="17" t="s">
        <v>198</v>
      </c>
      <c r="BS932" s="18">
        <v>45687.383576388886</v>
      </c>
      <c r="BT932" s="17" t="s">
        <v>198</v>
      </c>
      <c r="BU932" s="18">
        <v>45687.383576388886</v>
      </c>
      <c r="BV932" s="13" t="s">
        <v>199</v>
      </c>
      <c r="BW932" s="14" t="s">
        <v>179</v>
      </c>
      <c r="BX932" s="14" t="s">
        <v>18430</v>
      </c>
      <c r="BY932" s="15"/>
      <c r="BZ932" s="15"/>
      <c r="CA932" s="15"/>
      <c r="CB932" s="15"/>
      <c r="CC932" s="15"/>
      <c r="CD932" s="15"/>
      <c r="CE932" s="15"/>
      <c r="CF932" s="15"/>
      <c r="CG932" s="19"/>
      <c r="CH932" s="15"/>
      <c r="CI932" s="19"/>
      <c r="CJ932" s="15"/>
      <c r="CK932" s="19"/>
      <c r="CL932" s="15"/>
      <c r="CM932" s="19"/>
      <c r="CN932" s="15"/>
      <c r="CO932" s="19"/>
      <c r="CP932" s="15"/>
      <c r="CQ932" s="15"/>
      <c r="CR932" s="15"/>
      <c r="CS932" s="19"/>
      <c r="CT932" s="15"/>
      <c r="CU932" s="19"/>
      <c r="CV932" s="15"/>
      <c r="CW932" s="19"/>
      <c r="CX932" s="15"/>
      <c r="CY932" s="19"/>
      <c r="CZ932" s="15"/>
      <c r="DA932" s="16" t="s">
        <v>197</v>
      </c>
      <c r="DB932" s="17" t="s">
        <v>198</v>
      </c>
      <c r="DC932" s="20">
        <v>45723.386770833335</v>
      </c>
      <c r="DD932" s="17" t="s">
        <v>228</v>
      </c>
      <c r="DE932" s="23"/>
      <c r="DF932" s="17" t="s">
        <v>198</v>
      </c>
      <c r="DG932" s="18">
        <v>45723.386770833335</v>
      </c>
      <c r="DH932" s="13" t="s">
        <v>205</v>
      </c>
      <c r="DI932" s="14" t="s">
        <v>179</v>
      </c>
      <c r="DJ932" s="14" t="s">
        <v>18431</v>
      </c>
      <c r="DK932" s="14" t="s">
        <v>179</v>
      </c>
      <c r="DL932" s="14" t="s">
        <v>18432</v>
      </c>
      <c r="DM932" s="14" t="s">
        <v>179</v>
      </c>
      <c r="DN932" s="14" t="s">
        <v>18433</v>
      </c>
      <c r="DO932" s="15"/>
      <c r="DP932" s="15"/>
      <c r="DQ932" s="15"/>
      <c r="DR932" s="15"/>
      <c r="DS932" s="15"/>
      <c r="DT932" s="15"/>
      <c r="DU932" s="15"/>
      <c r="DV932" s="15"/>
      <c r="DW932" s="15"/>
      <c r="DX932" s="15"/>
      <c r="DY932" s="15"/>
      <c r="DZ932" s="15"/>
      <c r="EA932" s="15"/>
      <c r="EB932" s="15"/>
      <c r="EC932" s="16" t="s">
        <v>197</v>
      </c>
      <c r="ED932" s="17" t="s">
        <v>198</v>
      </c>
      <c r="EE932" s="18">
        <v>45723.38684027778</v>
      </c>
      <c r="EF932" s="13" t="s">
        <v>209</v>
      </c>
      <c r="EG932" s="14" t="s">
        <v>179</v>
      </c>
      <c r="EH932" s="14" t="s">
        <v>18434</v>
      </c>
      <c r="EI932" s="14" t="s">
        <v>179</v>
      </c>
      <c r="EJ932" s="14" t="s">
        <v>18434</v>
      </c>
      <c r="EK932" s="15"/>
      <c r="EL932" s="15"/>
      <c r="EM932" s="15"/>
      <c r="EN932" s="15"/>
      <c r="EO932" s="15"/>
      <c r="EP932" s="15"/>
      <c r="EQ932" s="15"/>
      <c r="ER932" s="15"/>
      <c r="ES932" s="15"/>
      <c r="ET932" s="15"/>
      <c r="EU932" s="15"/>
      <c r="EV932" s="15"/>
      <c r="EW932" s="15"/>
      <c r="EX932" s="15"/>
      <c r="EY932" s="15"/>
      <c r="EZ932" s="15"/>
      <c r="FA932" s="15"/>
      <c r="FB932" s="15"/>
      <c r="FC932" s="16" t="s">
        <v>197</v>
      </c>
      <c r="FD932" s="17" t="s">
        <v>198</v>
      </c>
      <c r="FE932" s="18">
        <v>45723.386875</v>
      </c>
      <c r="FF932" s="19"/>
      <c r="FG932" s="19"/>
      <c r="FH932" s="21" t="s">
        <v>197</v>
      </c>
      <c r="FI932" s="17" t="s">
        <v>214</v>
      </c>
      <c r="FJ932" s="18">
        <v>45723.386875</v>
      </c>
      <c r="FK932" s="14" t="s">
        <v>18434</v>
      </c>
      <c r="FL932" s="14" t="s">
        <v>18435</v>
      </c>
      <c r="FM932" s="14" t="s">
        <v>18436</v>
      </c>
      <c r="FN932" s="19"/>
      <c r="FO932" s="19"/>
      <c r="FP932" s="19" t="str">
        <f t="shared" si="1"/>
        <v>Base de Dados_Images/TR9203.Imagem do Equipamento-.124322.jpg</v>
      </c>
      <c r="FQ932" s="19"/>
      <c r="FR932" s="19"/>
    </row>
    <row r="933" ht="15.75" customHeight="1">
      <c r="A933" s="12" t="s">
        <v>357</v>
      </c>
      <c r="B933" s="12" t="s">
        <v>4833</v>
      </c>
      <c r="C933" s="24" t="s">
        <v>18380</v>
      </c>
      <c r="D933" s="22" t="s">
        <v>18437</v>
      </c>
      <c r="E933" s="28" t="s">
        <v>18438</v>
      </c>
      <c r="F933" s="13" t="s">
        <v>178</v>
      </c>
      <c r="G933" s="14" t="s">
        <v>179</v>
      </c>
      <c r="H933" s="14" t="s">
        <v>18439</v>
      </c>
      <c r="I933" s="14" t="s">
        <v>179</v>
      </c>
      <c r="J933" s="14" t="s">
        <v>18440</v>
      </c>
      <c r="K933" s="14" t="s">
        <v>179</v>
      </c>
      <c r="L933" s="14" t="s">
        <v>18441</v>
      </c>
      <c r="M933" s="14" t="s">
        <v>179</v>
      </c>
      <c r="N933" s="14" t="s">
        <v>18442</v>
      </c>
      <c r="O933" s="14" t="s">
        <v>179</v>
      </c>
      <c r="P933" s="14" t="s">
        <v>18443</v>
      </c>
      <c r="Q933" s="14" t="s">
        <v>179</v>
      </c>
      <c r="R933" s="14" t="s">
        <v>18444</v>
      </c>
      <c r="S933" s="14" t="s">
        <v>179</v>
      </c>
      <c r="T933" s="14" t="s">
        <v>18445</v>
      </c>
      <c r="U933" s="14" t="s">
        <v>179</v>
      </c>
      <c r="V933" s="14" t="s">
        <v>18446</v>
      </c>
      <c r="W933" s="14" t="s">
        <v>179</v>
      </c>
      <c r="X933" s="14" t="s">
        <v>18447</v>
      </c>
      <c r="Y933" s="14" t="s">
        <v>179</v>
      </c>
      <c r="Z933" s="14" t="s">
        <v>18448</v>
      </c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6" t="s">
        <v>197</v>
      </c>
      <c r="BP933" s="17" t="s">
        <v>198</v>
      </c>
      <c r="BQ933" s="18">
        <v>45687.35350694445</v>
      </c>
      <c r="BR933" s="17" t="s">
        <v>198</v>
      </c>
      <c r="BS933" s="18">
        <v>45687.353541666664</v>
      </c>
      <c r="BT933" s="17" t="s">
        <v>198</v>
      </c>
      <c r="BU933" s="18">
        <v>45687.353541666664</v>
      </c>
      <c r="BV933" s="13" t="s">
        <v>199</v>
      </c>
      <c r="BW933" s="14" t="s">
        <v>179</v>
      </c>
      <c r="BX933" s="14" t="s">
        <v>18449</v>
      </c>
      <c r="BY933" s="15"/>
      <c r="BZ933" s="15"/>
      <c r="CA933" s="15"/>
      <c r="CB933" s="15"/>
      <c r="CC933" s="15"/>
      <c r="CD933" s="15"/>
      <c r="CE933" s="15"/>
      <c r="CF933" s="15"/>
      <c r="CG933" s="19"/>
      <c r="CH933" s="15"/>
      <c r="CI933" s="19"/>
      <c r="CJ933" s="15"/>
      <c r="CK933" s="19"/>
      <c r="CL933" s="15"/>
      <c r="CM933" s="19"/>
      <c r="CN933" s="15"/>
      <c r="CO933" s="19"/>
      <c r="CP933" s="15"/>
      <c r="CQ933" s="15"/>
      <c r="CR933" s="15"/>
      <c r="CS933" s="19"/>
      <c r="CT933" s="15"/>
      <c r="CU933" s="19"/>
      <c r="CV933" s="15"/>
      <c r="CW933" s="19"/>
      <c r="CX933" s="15"/>
      <c r="CY933" s="19"/>
      <c r="CZ933" s="15"/>
      <c r="DA933" s="16" t="s">
        <v>197</v>
      </c>
      <c r="DB933" s="17" t="s">
        <v>198</v>
      </c>
      <c r="DC933" s="20">
        <v>45721.69587962963</v>
      </c>
      <c r="DD933" s="17" t="s">
        <v>228</v>
      </c>
      <c r="DE933" s="23"/>
      <c r="DF933" s="17" t="s">
        <v>198</v>
      </c>
      <c r="DG933" s="18">
        <v>45721.69587962963</v>
      </c>
      <c r="DH933" s="13" t="s">
        <v>205</v>
      </c>
      <c r="DI933" s="14" t="s">
        <v>179</v>
      </c>
      <c r="DJ933" s="14" t="s">
        <v>18450</v>
      </c>
      <c r="DK933" s="14" t="s">
        <v>179</v>
      </c>
      <c r="DL933" s="14" t="s">
        <v>18451</v>
      </c>
      <c r="DM933" s="14" t="s">
        <v>179</v>
      </c>
      <c r="DN933" s="14" t="s">
        <v>18452</v>
      </c>
      <c r="DO933" s="15"/>
      <c r="DP933" s="15"/>
      <c r="DQ933" s="15"/>
      <c r="DR933" s="15"/>
      <c r="DS933" s="15"/>
      <c r="DT933" s="15"/>
      <c r="DU933" s="15"/>
      <c r="DV933" s="15"/>
      <c r="DW933" s="15"/>
      <c r="DX933" s="15"/>
      <c r="DY933" s="15"/>
      <c r="DZ933" s="15"/>
      <c r="EA933" s="15"/>
      <c r="EB933" s="15"/>
      <c r="EC933" s="16" t="s">
        <v>197</v>
      </c>
      <c r="ED933" s="17" t="s">
        <v>198</v>
      </c>
      <c r="EE933" s="18">
        <v>45721.69547453704</v>
      </c>
      <c r="EF933" s="13" t="s">
        <v>209</v>
      </c>
      <c r="EG933" s="14" t="s">
        <v>179</v>
      </c>
      <c r="EH933" s="14" t="s">
        <v>18453</v>
      </c>
      <c r="EI933" s="14" t="s">
        <v>179</v>
      </c>
      <c r="EJ933" s="14" t="s">
        <v>18454</v>
      </c>
      <c r="EK933" s="15"/>
      <c r="EL933" s="15"/>
      <c r="EM933" s="15"/>
      <c r="EN933" s="15"/>
      <c r="EO933" s="15"/>
      <c r="EP933" s="15"/>
      <c r="EQ933" s="15"/>
      <c r="ER933" s="15"/>
      <c r="ES933" s="15"/>
      <c r="ET933" s="15"/>
      <c r="EU933" s="15"/>
      <c r="EV933" s="15"/>
      <c r="EW933" s="15"/>
      <c r="EX933" s="15"/>
      <c r="EY933" s="15"/>
      <c r="EZ933" s="15"/>
      <c r="FA933" s="15"/>
      <c r="FB933" s="15"/>
      <c r="FC933" s="16" t="s">
        <v>197</v>
      </c>
      <c r="FD933" s="17" t="s">
        <v>198</v>
      </c>
      <c r="FE933" s="18">
        <v>45722.50510416667</v>
      </c>
      <c r="FF933" s="19"/>
      <c r="FG933" s="19"/>
      <c r="FH933" s="21" t="s">
        <v>197</v>
      </c>
      <c r="FI933" s="17" t="s">
        <v>214</v>
      </c>
      <c r="FJ933" s="18">
        <v>45722.50510416667</v>
      </c>
      <c r="FK933" s="14" t="s">
        <v>18454</v>
      </c>
      <c r="FL933" s="14" t="s">
        <v>18455</v>
      </c>
      <c r="FM933" s="14" t="s">
        <v>18456</v>
      </c>
      <c r="FN933" s="19"/>
      <c r="FO933" s="19"/>
      <c r="FP933" s="19" t="str">
        <f t="shared" si="1"/>
        <v>Base de Dados_Images/TR9204.Imagem do Equipamento-.122659.jpg</v>
      </c>
      <c r="FQ933" s="19"/>
      <c r="FR933" s="19"/>
    </row>
    <row r="934" ht="15.75" customHeight="1">
      <c r="A934" s="12" t="s">
        <v>357</v>
      </c>
      <c r="B934" s="12" t="s">
        <v>4962</v>
      </c>
      <c r="C934" s="24" t="s">
        <v>18380</v>
      </c>
      <c r="D934" s="22" t="s">
        <v>18457</v>
      </c>
      <c r="E934" s="22" t="s">
        <v>18458</v>
      </c>
      <c r="F934" s="13" t="s">
        <v>178</v>
      </c>
      <c r="G934" s="14" t="s">
        <v>179</v>
      </c>
      <c r="H934" s="14" t="s">
        <v>18459</v>
      </c>
      <c r="I934" s="14" t="s">
        <v>179</v>
      </c>
      <c r="J934" s="14" t="s">
        <v>18460</v>
      </c>
      <c r="K934" s="14" t="s">
        <v>179</v>
      </c>
      <c r="L934" s="14" t="s">
        <v>18461</v>
      </c>
      <c r="M934" s="14" t="s">
        <v>179</v>
      </c>
      <c r="N934" s="14" t="s">
        <v>18462</v>
      </c>
      <c r="O934" s="14" t="s">
        <v>179</v>
      </c>
      <c r="P934" s="14" t="s">
        <v>18463</v>
      </c>
      <c r="Q934" s="14" t="s">
        <v>179</v>
      </c>
      <c r="R934" s="14" t="s">
        <v>18464</v>
      </c>
      <c r="S934" s="14" t="s">
        <v>179</v>
      </c>
      <c r="T934" s="14" t="s">
        <v>18465</v>
      </c>
      <c r="U934" s="14" t="s">
        <v>179</v>
      </c>
      <c r="V934" s="14" t="s">
        <v>18466</v>
      </c>
      <c r="W934" s="14" t="s">
        <v>179</v>
      </c>
      <c r="X934" s="14" t="s">
        <v>18467</v>
      </c>
      <c r="Y934" s="14" t="s">
        <v>179</v>
      </c>
      <c r="Z934" s="14" t="s">
        <v>18468</v>
      </c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6" t="s">
        <v>197</v>
      </c>
      <c r="BP934" s="17" t="s">
        <v>198</v>
      </c>
      <c r="BQ934" s="18">
        <v>45687.35527777778</v>
      </c>
      <c r="BR934" s="17" t="s">
        <v>198</v>
      </c>
      <c r="BS934" s="18">
        <v>45687.35532407407</v>
      </c>
      <c r="BT934" s="17" t="s">
        <v>198</v>
      </c>
      <c r="BU934" s="18">
        <v>45687.35532407407</v>
      </c>
      <c r="BV934" s="13" t="s">
        <v>199</v>
      </c>
      <c r="BW934" s="14" t="s">
        <v>179</v>
      </c>
      <c r="BX934" s="14" t="s">
        <v>18469</v>
      </c>
      <c r="BY934" s="15"/>
      <c r="BZ934" s="15"/>
      <c r="CA934" s="15"/>
      <c r="CB934" s="15"/>
      <c r="CC934" s="15"/>
      <c r="CD934" s="15"/>
      <c r="CE934" s="15"/>
      <c r="CF934" s="15"/>
      <c r="CG934" s="19"/>
      <c r="CH934" s="15"/>
      <c r="CI934" s="19"/>
      <c r="CJ934" s="15"/>
      <c r="CK934" s="19"/>
      <c r="CL934" s="15"/>
      <c r="CM934" s="19"/>
      <c r="CN934" s="15"/>
      <c r="CO934" s="19"/>
      <c r="CP934" s="15"/>
      <c r="CQ934" s="15"/>
      <c r="CR934" s="15"/>
      <c r="CS934" s="19"/>
      <c r="CT934" s="15"/>
      <c r="CU934" s="19"/>
      <c r="CV934" s="15"/>
      <c r="CW934" s="19"/>
      <c r="CX934" s="15"/>
      <c r="CY934" s="19"/>
      <c r="CZ934" s="15"/>
      <c r="DA934" s="16" t="s">
        <v>197</v>
      </c>
      <c r="DB934" s="17" t="s">
        <v>198</v>
      </c>
      <c r="DC934" s="20">
        <v>45723.37587962963</v>
      </c>
      <c r="DD934" s="17" t="s">
        <v>228</v>
      </c>
      <c r="DE934" s="23"/>
      <c r="DF934" s="17" t="s">
        <v>198</v>
      </c>
      <c r="DG934" s="18">
        <v>45723.37587962963</v>
      </c>
      <c r="DH934" s="13" t="s">
        <v>205</v>
      </c>
      <c r="DI934" s="14" t="s">
        <v>179</v>
      </c>
      <c r="DJ934" s="14" t="s">
        <v>18470</v>
      </c>
      <c r="DK934" s="14" t="s">
        <v>179</v>
      </c>
      <c r="DL934" s="14" t="s">
        <v>18471</v>
      </c>
      <c r="DM934" s="14" t="s">
        <v>179</v>
      </c>
      <c r="DN934" s="14" t="s">
        <v>18471</v>
      </c>
      <c r="DO934" s="15"/>
      <c r="DP934" s="15"/>
      <c r="DQ934" s="15"/>
      <c r="DR934" s="15"/>
      <c r="DS934" s="15"/>
      <c r="DT934" s="15"/>
      <c r="DU934" s="15"/>
      <c r="DV934" s="15"/>
      <c r="DW934" s="15"/>
      <c r="DX934" s="15"/>
      <c r="DY934" s="15"/>
      <c r="DZ934" s="15"/>
      <c r="EA934" s="15"/>
      <c r="EB934" s="15"/>
      <c r="EC934" s="16" t="s">
        <v>197</v>
      </c>
      <c r="ED934" s="17" t="s">
        <v>198</v>
      </c>
      <c r="EE934" s="18">
        <v>45723.375925925924</v>
      </c>
      <c r="EF934" s="13" t="s">
        <v>209</v>
      </c>
      <c r="EG934" s="14" t="s">
        <v>179</v>
      </c>
      <c r="EH934" s="14" t="s">
        <v>18472</v>
      </c>
      <c r="EI934" s="14" t="s">
        <v>179</v>
      </c>
      <c r="EJ934" s="14" t="s">
        <v>18472</v>
      </c>
      <c r="EK934" s="15"/>
      <c r="EL934" s="15"/>
      <c r="EM934" s="15"/>
      <c r="EN934" s="15"/>
      <c r="EO934" s="15"/>
      <c r="EP934" s="15"/>
      <c r="EQ934" s="15"/>
      <c r="ER934" s="15"/>
      <c r="ES934" s="15"/>
      <c r="ET934" s="15"/>
      <c r="EU934" s="15"/>
      <c r="EV934" s="15"/>
      <c r="EW934" s="15"/>
      <c r="EX934" s="15"/>
      <c r="EY934" s="15"/>
      <c r="EZ934" s="15"/>
      <c r="FA934" s="15"/>
      <c r="FB934" s="15"/>
      <c r="FC934" s="16" t="s">
        <v>197</v>
      </c>
      <c r="FD934" s="17" t="s">
        <v>198</v>
      </c>
      <c r="FE934" s="18">
        <v>45723.375972222224</v>
      </c>
      <c r="FF934" s="19"/>
      <c r="FG934" s="19"/>
      <c r="FH934" s="21" t="s">
        <v>197</v>
      </c>
      <c r="FI934" s="17" t="s">
        <v>214</v>
      </c>
      <c r="FJ934" s="18">
        <v>45723.375972222224</v>
      </c>
      <c r="FK934" s="14" t="s">
        <v>18472</v>
      </c>
      <c r="FL934" s="14" t="s">
        <v>18473</v>
      </c>
      <c r="FM934" s="14" t="s">
        <v>18474</v>
      </c>
      <c r="FN934" s="19"/>
      <c r="FO934" s="19"/>
      <c r="FP934" s="19" t="str">
        <f t="shared" si="1"/>
        <v>Base de Dados_Images/TR9205.Imagem do Equipamento-.151705.jpg</v>
      </c>
      <c r="FQ934" s="14"/>
      <c r="FR934" s="14"/>
    </row>
    <row r="935" ht="15.75" customHeight="1">
      <c r="A935" s="12" t="s">
        <v>357</v>
      </c>
      <c r="B935" s="12" t="s">
        <v>4962</v>
      </c>
      <c r="C935" s="24" t="s">
        <v>18380</v>
      </c>
      <c r="D935" s="22" t="s">
        <v>18475</v>
      </c>
      <c r="E935" s="22" t="s">
        <v>18476</v>
      </c>
      <c r="F935" s="13" t="s">
        <v>178</v>
      </c>
      <c r="G935" s="14" t="s">
        <v>179</v>
      </c>
      <c r="H935" s="14" t="s">
        <v>18477</v>
      </c>
      <c r="I935" s="14" t="s">
        <v>188</v>
      </c>
      <c r="J935" s="14" t="s">
        <v>18478</v>
      </c>
      <c r="K935" s="14" t="s">
        <v>179</v>
      </c>
      <c r="L935" s="14" t="s">
        <v>18479</v>
      </c>
      <c r="M935" s="14" t="s">
        <v>179</v>
      </c>
      <c r="N935" s="14" t="s">
        <v>18480</v>
      </c>
      <c r="O935" s="14" t="s">
        <v>179</v>
      </c>
      <c r="P935" s="14" t="s">
        <v>18481</v>
      </c>
      <c r="Q935" s="14" t="s">
        <v>179</v>
      </c>
      <c r="R935" s="14" t="s">
        <v>18482</v>
      </c>
      <c r="S935" s="14" t="s">
        <v>179</v>
      </c>
      <c r="T935" s="14" t="s">
        <v>18483</v>
      </c>
      <c r="U935" s="14" t="s">
        <v>179</v>
      </c>
      <c r="V935" s="14" t="s">
        <v>18484</v>
      </c>
      <c r="W935" s="14" t="s">
        <v>179</v>
      </c>
      <c r="X935" s="14" t="s">
        <v>18485</v>
      </c>
      <c r="Y935" s="14" t="s">
        <v>179</v>
      </c>
      <c r="Z935" s="14" t="s">
        <v>18486</v>
      </c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6" t="s">
        <v>197</v>
      </c>
      <c r="BP935" s="17" t="s">
        <v>198</v>
      </c>
      <c r="BQ935" s="18">
        <v>45722.67380787037</v>
      </c>
      <c r="BR935" s="17" t="s">
        <v>198</v>
      </c>
      <c r="BS935" s="18">
        <v>45722.67387731482</v>
      </c>
      <c r="BT935" s="17" t="s">
        <v>198</v>
      </c>
      <c r="BU935" s="18">
        <v>45722.67387731482</v>
      </c>
      <c r="BV935" s="13" t="s">
        <v>199</v>
      </c>
      <c r="BW935" s="14" t="s">
        <v>179</v>
      </c>
      <c r="BX935" s="14" t="s">
        <v>18487</v>
      </c>
      <c r="BY935" s="15"/>
      <c r="BZ935" s="15"/>
      <c r="CA935" s="15"/>
      <c r="CB935" s="15"/>
      <c r="CC935" s="15"/>
      <c r="CD935" s="15"/>
      <c r="CE935" s="15"/>
      <c r="CF935" s="15"/>
      <c r="CG935" s="19"/>
      <c r="CH935" s="15"/>
      <c r="CI935" s="19"/>
      <c r="CJ935" s="15"/>
      <c r="CK935" s="19"/>
      <c r="CL935" s="15"/>
      <c r="CM935" s="19"/>
      <c r="CN935" s="15"/>
      <c r="CO935" s="19"/>
      <c r="CP935" s="15"/>
      <c r="CQ935" s="15"/>
      <c r="CR935" s="15"/>
      <c r="CS935" s="19"/>
      <c r="CT935" s="15"/>
      <c r="CU935" s="19"/>
      <c r="CV935" s="15"/>
      <c r="CW935" s="19"/>
      <c r="CX935" s="15"/>
      <c r="CY935" s="19"/>
      <c r="CZ935" s="15"/>
      <c r="DA935" s="16" t="s">
        <v>197</v>
      </c>
      <c r="DB935" s="17" t="s">
        <v>198</v>
      </c>
      <c r="DC935" s="20">
        <v>45723.41653935185</v>
      </c>
      <c r="DD935" s="17" t="s">
        <v>228</v>
      </c>
      <c r="DE935" s="23"/>
      <c r="DF935" s="17" t="s">
        <v>198</v>
      </c>
      <c r="DG935" s="18">
        <v>45723.41653935185</v>
      </c>
      <c r="DH935" s="13" t="s">
        <v>205</v>
      </c>
      <c r="DI935" s="14" t="s">
        <v>179</v>
      </c>
      <c r="DJ935" s="14" t="s">
        <v>18488</v>
      </c>
      <c r="DK935" s="14" t="s">
        <v>179</v>
      </c>
      <c r="DL935" s="14" t="s">
        <v>18489</v>
      </c>
      <c r="DM935" s="14" t="s">
        <v>179</v>
      </c>
      <c r="DN935" s="14" t="s">
        <v>18490</v>
      </c>
      <c r="DO935" s="15"/>
      <c r="DP935" s="15"/>
      <c r="DQ935" s="15"/>
      <c r="DR935" s="15"/>
      <c r="DS935" s="15"/>
      <c r="DT935" s="15"/>
      <c r="DU935" s="15"/>
      <c r="DV935" s="15"/>
      <c r="DW935" s="15"/>
      <c r="DX935" s="15"/>
      <c r="DY935" s="15"/>
      <c r="DZ935" s="15"/>
      <c r="EA935" s="15"/>
      <c r="EB935" s="15"/>
      <c r="EC935" s="16" t="s">
        <v>197</v>
      </c>
      <c r="ED935" s="17" t="s">
        <v>198</v>
      </c>
      <c r="EE935" s="18">
        <v>45727.304398148146</v>
      </c>
      <c r="EF935" s="13" t="s">
        <v>209</v>
      </c>
      <c r="EG935" s="14" t="s">
        <v>179</v>
      </c>
      <c r="EH935" s="14" t="s">
        <v>18491</v>
      </c>
      <c r="EI935" s="14" t="s">
        <v>179</v>
      </c>
      <c r="EJ935" s="14" t="s">
        <v>18492</v>
      </c>
      <c r="EK935" s="15"/>
      <c r="EL935" s="15"/>
      <c r="EM935" s="15"/>
      <c r="EN935" s="15"/>
      <c r="EO935" s="15"/>
      <c r="EP935" s="15"/>
      <c r="EQ935" s="15"/>
      <c r="ER935" s="15"/>
      <c r="ES935" s="15"/>
      <c r="ET935" s="15"/>
      <c r="EU935" s="15"/>
      <c r="EV935" s="15"/>
      <c r="EW935" s="15"/>
      <c r="EX935" s="15"/>
      <c r="EY935" s="15"/>
      <c r="EZ935" s="15"/>
      <c r="FA935" s="15"/>
      <c r="FB935" s="15"/>
      <c r="FC935" s="16" t="s">
        <v>197</v>
      </c>
      <c r="FD935" s="17" t="s">
        <v>198</v>
      </c>
      <c r="FE935" s="18">
        <v>45727.304456018515</v>
      </c>
      <c r="FF935" s="19"/>
      <c r="FG935" s="19"/>
      <c r="FH935" s="21" t="s">
        <v>197</v>
      </c>
      <c r="FI935" s="17" t="s">
        <v>214</v>
      </c>
      <c r="FJ935" s="18">
        <v>45727.304456018515</v>
      </c>
      <c r="FK935" s="14" t="s">
        <v>18492</v>
      </c>
      <c r="FL935" s="14" t="s">
        <v>18493</v>
      </c>
      <c r="FM935" s="14" t="s">
        <v>18494</v>
      </c>
      <c r="FN935" s="19"/>
      <c r="FO935" s="19"/>
      <c r="FP935" s="19" t="str">
        <f t="shared" si="1"/>
        <v>Base de Dados_Images/TR9206.Imagem do Equipamento-.151645.jpg</v>
      </c>
      <c r="FQ935" s="19"/>
      <c r="FR935" s="19"/>
    </row>
    <row r="936" ht="15.75" customHeight="1">
      <c r="A936" s="12" t="s">
        <v>357</v>
      </c>
      <c r="B936" s="12" t="s">
        <v>4962</v>
      </c>
      <c r="C936" s="24" t="s">
        <v>18380</v>
      </c>
      <c r="D936" s="22" t="s">
        <v>18495</v>
      </c>
      <c r="E936" s="22" t="s">
        <v>18496</v>
      </c>
      <c r="F936" s="13" t="s">
        <v>178</v>
      </c>
      <c r="G936" s="14" t="s">
        <v>179</v>
      </c>
      <c r="H936" s="14" t="s">
        <v>18497</v>
      </c>
      <c r="I936" s="14" t="s">
        <v>179</v>
      </c>
      <c r="J936" s="14" t="s">
        <v>18498</v>
      </c>
      <c r="K936" s="14" t="s">
        <v>179</v>
      </c>
      <c r="L936" s="14" t="s">
        <v>18499</v>
      </c>
      <c r="M936" s="14" t="s">
        <v>179</v>
      </c>
      <c r="N936" s="14" t="s">
        <v>18500</v>
      </c>
      <c r="O936" s="14" t="s">
        <v>179</v>
      </c>
      <c r="P936" s="14" t="s">
        <v>18501</v>
      </c>
      <c r="Q936" s="14" t="s">
        <v>179</v>
      </c>
      <c r="R936" s="14" t="s">
        <v>18502</v>
      </c>
      <c r="S936" s="14" t="s">
        <v>179</v>
      </c>
      <c r="T936" s="14" t="s">
        <v>18503</v>
      </c>
      <c r="U936" s="14" t="s">
        <v>179</v>
      </c>
      <c r="V936" s="14" t="s">
        <v>18504</v>
      </c>
      <c r="W936" s="14" t="s">
        <v>179</v>
      </c>
      <c r="X936" s="14" t="s">
        <v>18505</v>
      </c>
      <c r="Y936" s="14" t="s">
        <v>179</v>
      </c>
      <c r="Z936" s="14" t="s">
        <v>18506</v>
      </c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6" t="s">
        <v>197</v>
      </c>
      <c r="BP936" s="17" t="s">
        <v>198</v>
      </c>
      <c r="BQ936" s="18">
        <v>45687.35655092593</v>
      </c>
      <c r="BR936" s="17" t="s">
        <v>198</v>
      </c>
      <c r="BS936" s="18">
        <v>45687.35658564815</v>
      </c>
      <c r="BT936" s="17" t="s">
        <v>198</v>
      </c>
      <c r="BU936" s="18">
        <v>45687.35658564815</v>
      </c>
      <c r="BV936" s="13" t="s">
        <v>199</v>
      </c>
      <c r="BW936" s="14" t="s">
        <v>179</v>
      </c>
      <c r="BX936" s="14" t="s">
        <v>18507</v>
      </c>
      <c r="BY936" s="15"/>
      <c r="BZ936" s="15"/>
      <c r="CA936" s="15"/>
      <c r="CB936" s="15"/>
      <c r="CC936" s="15"/>
      <c r="CD936" s="15"/>
      <c r="CE936" s="15"/>
      <c r="CF936" s="15"/>
      <c r="CG936" s="19"/>
      <c r="CH936" s="15"/>
      <c r="CI936" s="19"/>
      <c r="CJ936" s="15"/>
      <c r="CK936" s="19"/>
      <c r="CL936" s="15"/>
      <c r="CM936" s="19"/>
      <c r="CN936" s="15"/>
      <c r="CO936" s="19"/>
      <c r="CP936" s="15"/>
      <c r="CQ936" s="15"/>
      <c r="CR936" s="15"/>
      <c r="CS936" s="19"/>
      <c r="CT936" s="15"/>
      <c r="CU936" s="19"/>
      <c r="CV936" s="15"/>
      <c r="CW936" s="19"/>
      <c r="CX936" s="15"/>
      <c r="CY936" s="19"/>
      <c r="CZ936" s="15"/>
      <c r="DA936" s="16" t="s">
        <v>197</v>
      </c>
      <c r="DB936" s="17" t="s">
        <v>198</v>
      </c>
      <c r="DC936" s="20">
        <v>45723.37609953704</v>
      </c>
      <c r="DD936" s="17" t="s">
        <v>228</v>
      </c>
      <c r="DE936" s="23"/>
      <c r="DF936" s="17" t="s">
        <v>198</v>
      </c>
      <c r="DG936" s="18">
        <v>45723.37609953704</v>
      </c>
      <c r="DH936" s="13" t="s">
        <v>205</v>
      </c>
      <c r="DI936" s="14" t="s">
        <v>179</v>
      </c>
      <c r="DJ936" s="14" t="s">
        <v>18508</v>
      </c>
      <c r="DK936" s="14" t="s">
        <v>179</v>
      </c>
      <c r="DL936" s="14" t="s">
        <v>18508</v>
      </c>
      <c r="DM936" s="14" t="s">
        <v>179</v>
      </c>
      <c r="DN936" s="14" t="s">
        <v>18508</v>
      </c>
      <c r="DO936" s="15"/>
      <c r="DP936" s="15"/>
      <c r="DQ936" s="15"/>
      <c r="DR936" s="15"/>
      <c r="DS936" s="15"/>
      <c r="DT936" s="15"/>
      <c r="DU936" s="15"/>
      <c r="DV936" s="15"/>
      <c r="DW936" s="15"/>
      <c r="DX936" s="15"/>
      <c r="DY936" s="15"/>
      <c r="DZ936" s="15"/>
      <c r="EA936" s="15"/>
      <c r="EB936" s="15"/>
      <c r="EC936" s="16" t="s">
        <v>197</v>
      </c>
      <c r="ED936" s="17" t="s">
        <v>198</v>
      </c>
      <c r="EE936" s="18">
        <v>45723.37614583333</v>
      </c>
      <c r="EF936" s="13" t="s">
        <v>209</v>
      </c>
      <c r="EG936" s="14" t="s">
        <v>179</v>
      </c>
      <c r="EH936" s="14" t="s">
        <v>18509</v>
      </c>
      <c r="EI936" s="14" t="s">
        <v>179</v>
      </c>
      <c r="EJ936" s="14" t="s">
        <v>18510</v>
      </c>
      <c r="EK936" s="15"/>
      <c r="EL936" s="15"/>
      <c r="EM936" s="15"/>
      <c r="EN936" s="15"/>
      <c r="EO936" s="15"/>
      <c r="EP936" s="15"/>
      <c r="EQ936" s="15"/>
      <c r="ER936" s="15"/>
      <c r="ES936" s="15"/>
      <c r="ET936" s="15"/>
      <c r="EU936" s="15"/>
      <c r="EV936" s="15"/>
      <c r="EW936" s="15"/>
      <c r="EX936" s="15"/>
      <c r="EY936" s="15"/>
      <c r="EZ936" s="15"/>
      <c r="FA936" s="15"/>
      <c r="FB936" s="15"/>
      <c r="FC936" s="16" t="s">
        <v>197</v>
      </c>
      <c r="FD936" s="17" t="s">
        <v>198</v>
      </c>
      <c r="FE936" s="18">
        <v>45723.3762037037</v>
      </c>
      <c r="FF936" s="19"/>
      <c r="FG936" s="19"/>
      <c r="FH936" s="21" t="s">
        <v>197</v>
      </c>
      <c r="FI936" s="17" t="s">
        <v>214</v>
      </c>
      <c r="FJ936" s="18">
        <v>45723.3762037037</v>
      </c>
      <c r="FK936" s="14" t="s">
        <v>18510</v>
      </c>
      <c r="FL936" s="14" t="s">
        <v>18511</v>
      </c>
      <c r="FM936" s="14" t="s">
        <v>18512</v>
      </c>
      <c r="FN936" s="19"/>
      <c r="FO936" s="19"/>
      <c r="FP936" s="19" t="str">
        <f t="shared" si="1"/>
        <v>Base de Dados_Images/TR9207.Imagem do Equipamento-.151656.jpg</v>
      </c>
      <c r="FQ936" s="19"/>
      <c r="FR936" s="19"/>
    </row>
    <row r="937" ht="15.75" customHeight="1">
      <c r="A937" s="12" t="s">
        <v>357</v>
      </c>
      <c r="B937" s="12" t="s">
        <v>4697</v>
      </c>
      <c r="C937" s="24" t="s">
        <v>18380</v>
      </c>
      <c r="D937" s="22" t="s">
        <v>18513</v>
      </c>
      <c r="E937" s="22" t="s">
        <v>18514</v>
      </c>
      <c r="F937" s="13" t="s">
        <v>178</v>
      </c>
      <c r="G937" s="14" t="s">
        <v>179</v>
      </c>
      <c r="H937" s="14" t="s">
        <v>18515</v>
      </c>
      <c r="I937" s="14" t="s">
        <v>179</v>
      </c>
      <c r="J937" s="14" t="s">
        <v>18516</v>
      </c>
      <c r="K937" s="14" t="s">
        <v>179</v>
      </c>
      <c r="L937" s="14" t="s">
        <v>18517</v>
      </c>
      <c r="M937" s="14" t="s">
        <v>179</v>
      </c>
      <c r="N937" s="14" t="s">
        <v>18518</v>
      </c>
      <c r="O937" s="14" t="s">
        <v>179</v>
      </c>
      <c r="P937" s="14" t="s">
        <v>18519</v>
      </c>
      <c r="Q937" s="14" t="s">
        <v>179</v>
      </c>
      <c r="R937" s="14" t="s">
        <v>18520</v>
      </c>
      <c r="S937" s="14" t="s">
        <v>179</v>
      </c>
      <c r="T937" s="14" t="s">
        <v>18521</v>
      </c>
      <c r="U937" s="14" t="s">
        <v>179</v>
      </c>
      <c r="V937" s="14" t="s">
        <v>18522</v>
      </c>
      <c r="W937" s="14" t="s">
        <v>179</v>
      </c>
      <c r="X937" s="14" t="s">
        <v>18523</v>
      </c>
      <c r="Y937" s="14" t="s">
        <v>179</v>
      </c>
      <c r="Z937" s="14" t="s">
        <v>18524</v>
      </c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6" t="s">
        <v>197</v>
      </c>
      <c r="BP937" s="17" t="s">
        <v>198</v>
      </c>
      <c r="BQ937" s="18">
        <v>45687.38270833333</v>
      </c>
      <c r="BR937" s="17" t="s">
        <v>198</v>
      </c>
      <c r="BS937" s="18">
        <v>45687.382743055554</v>
      </c>
      <c r="BT937" s="17" t="s">
        <v>198</v>
      </c>
      <c r="BU937" s="18">
        <v>45687.382743055554</v>
      </c>
      <c r="BV937" s="13" t="s">
        <v>199</v>
      </c>
      <c r="BW937" s="14" t="s">
        <v>179</v>
      </c>
      <c r="BX937" s="14" t="s">
        <v>18525</v>
      </c>
      <c r="BY937" s="15"/>
      <c r="BZ937" s="15"/>
      <c r="CA937" s="15"/>
      <c r="CB937" s="15"/>
      <c r="CC937" s="15"/>
      <c r="CD937" s="15"/>
      <c r="CE937" s="15"/>
      <c r="CF937" s="15"/>
      <c r="CG937" s="19"/>
      <c r="CH937" s="15"/>
      <c r="CI937" s="19"/>
      <c r="CJ937" s="15"/>
      <c r="CK937" s="19"/>
      <c r="CL937" s="15"/>
      <c r="CM937" s="19"/>
      <c r="CN937" s="15"/>
      <c r="CO937" s="19"/>
      <c r="CP937" s="15"/>
      <c r="CQ937" s="15"/>
      <c r="CR937" s="15"/>
      <c r="CS937" s="19"/>
      <c r="CT937" s="15"/>
      <c r="CU937" s="19"/>
      <c r="CV937" s="15"/>
      <c r="CW937" s="19"/>
      <c r="CX937" s="15"/>
      <c r="CY937" s="19"/>
      <c r="CZ937" s="15"/>
      <c r="DA937" s="16" t="s">
        <v>197</v>
      </c>
      <c r="DB937" s="17" t="s">
        <v>198</v>
      </c>
      <c r="DC937" s="20">
        <v>45723.38700231481</v>
      </c>
      <c r="DD937" s="17" t="s">
        <v>228</v>
      </c>
      <c r="DE937" s="23"/>
      <c r="DF937" s="17" t="s">
        <v>198</v>
      </c>
      <c r="DG937" s="18">
        <v>45723.38700231481</v>
      </c>
      <c r="DH937" s="13" t="s">
        <v>205</v>
      </c>
      <c r="DI937" s="14" t="s">
        <v>179</v>
      </c>
      <c r="DJ937" s="14" t="s">
        <v>18526</v>
      </c>
      <c r="DK937" s="14" t="s">
        <v>179</v>
      </c>
      <c r="DL937" s="14" t="s">
        <v>18526</v>
      </c>
      <c r="DM937" s="14" t="s">
        <v>179</v>
      </c>
      <c r="DN937" s="14" t="s">
        <v>18527</v>
      </c>
      <c r="DO937" s="15"/>
      <c r="DP937" s="15"/>
      <c r="DQ937" s="15"/>
      <c r="DR937" s="15"/>
      <c r="DS937" s="15"/>
      <c r="DT937" s="15"/>
      <c r="DU937" s="15"/>
      <c r="DV937" s="15"/>
      <c r="DW937" s="15"/>
      <c r="DX937" s="15"/>
      <c r="DY937" s="15"/>
      <c r="DZ937" s="15"/>
      <c r="EA937" s="15"/>
      <c r="EB937" s="15"/>
      <c r="EC937" s="16" t="s">
        <v>197</v>
      </c>
      <c r="ED937" s="17" t="s">
        <v>198</v>
      </c>
      <c r="EE937" s="18">
        <v>45723.38706018519</v>
      </c>
      <c r="EF937" s="13" t="s">
        <v>209</v>
      </c>
      <c r="EG937" s="14" t="s">
        <v>179</v>
      </c>
      <c r="EH937" s="14" t="s">
        <v>18528</v>
      </c>
      <c r="EI937" s="14" t="s">
        <v>179</v>
      </c>
      <c r="EJ937" s="14" t="s">
        <v>18528</v>
      </c>
      <c r="EK937" s="15"/>
      <c r="EL937" s="15"/>
      <c r="EM937" s="15"/>
      <c r="EN937" s="15"/>
      <c r="EO937" s="15"/>
      <c r="EP937" s="15"/>
      <c r="EQ937" s="15"/>
      <c r="ER937" s="15"/>
      <c r="ES937" s="15"/>
      <c r="ET937" s="15"/>
      <c r="EU937" s="15"/>
      <c r="EV937" s="15"/>
      <c r="EW937" s="15"/>
      <c r="EX937" s="15"/>
      <c r="EY937" s="15"/>
      <c r="EZ937" s="15"/>
      <c r="FA937" s="15"/>
      <c r="FB937" s="15"/>
      <c r="FC937" s="16" t="s">
        <v>197</v>
      </c>
      <c r="FD937" s="17" t="s">
        <v>198</v>
      </c>
      <c r="FE937" s="18">
        <v>45723.38710648148</v>
      </c>
      <c r="FF937" s="19"/>
      <c r="FG937" s="19"/>
      <c r="FH937" s="21" t="s">
        <v>197</v>
      </c>
      <c r="FI937" s="17" t="s">
        <v>214</v>
      </c>
      <c r="FJ937" s="18">
        <v>45723.38710648148</v>
      </c>
      <c r="FK937" s="14" t="s">
        <v>18528</v>
      </c>
      <c r="FL937" s="14" t="s">
        <v>18529</v>
      </c>
      <c r="FM937" s="14" t="s">
        <v>18530</v>
      </c>
      <c r="FN937" s="19"/>
      <c r="FO937" s="19"/>
      <c r="FP937" s="19" t="str">
        <f t="shared" si="1"/>
        <v>Base de Dados_Images/TR9208.Imagem do Equipamento-.124237.jpg</v>
      </c>
      <c r="FQ937" s="19"/>
      <c r="FR937" s="19"/>
    </row>
    <row r="938" ht="15.75" customHeight="1">
      <c r="A938" s="12" t="s">
        <v>357</v>
      </c>
      <c r="B938" s="12" t="s">
        <v>17605</v>
      </c>
      <c r="C938" s="24" t="s">
        <v>18380</v>
      </c>
      <c r="D938" s="22" t="s">
        <v>18531</v>
      </c>
      <c r="E938" s="22" t="s">
        <v>18532</v>
      </c>
      <c r="F938" s="13" t="s">
        <v>178</v>
      </c>
      <c r="G938" s="14" t="s">
        <v>179</v>
      </c>
      <c r="H938" s="14" t="s">
        <v>18533</v>
      </c>
      <c r="I938" s="14" t="s">
        <v>179</v>
      </c>
      <c r="J938" s="14" t="s">
        <v>18534</v>
      </c>
      <c r="K938" s="14" t="s">
        <v>179</v>
      </c>
      <c r="L938" s="14" t="s">
        <v>18535</v>
      </c>
      <c r="M938" s="14" t="s">
        <v>179</v>
      </c>
      <c r="N938" s="14" t="s">
        <v>18536</v>
      </c>
      <c r="O938" s="14" t="s">
        <v>179</v>
      </c>
      <c r="P938" s="14" t="s">
        <v>18537</v>
      </c>
      <c r="Q938" s="14" t="s">
        <v>179</v>
      </c>
      <c r="R938" s="14" t="s">
        <v>18538</v>
      </c>
      <c r="S938" s="14" t="s">
        <v>179</v>
      </c>
      <c r="T938" s="14" t="s">
        <v>18539</v>
      </c>
      <c r="U938" s="14" t="s">
        <v>179</v>
      </c>
      <c r="V938" s="14" t="s">
        <v>18540</v>
      </c>
      <c r="W938" s="14" t="s">
        <v>179</v>
      </c>
      <c r="X938" s="14" t="s">
        <v>18541</v>
      </c>
      <c r="Y938" s="14" t="s">
        <v>179</v>
      </c>
      <c r="Z938" s="14" t="s">
        <v>18542</v>
      </c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6" t="s">
        <v>197</v>
      </c>
      <c r="BP938" s="17" t="s">
        <v>198</v>
      </c>
      <c r="BQ938" s="18">
        <v>45687.347916666666</v>
      </c>
      <c r="BR938" s="17" t="s">
        <v>198</v>
      </c>
      <c r="BS938" s="18">
        <v>45687.34820601852</v>
      </c>
      <c r="BT938" s="17" t="s">
        <v>198</v>
      </c>
      <c r="BU938" s="18">
        <v>45687.34820601852</v>
      </c>
      <c r="BV938" s="13" t="s">
        <v>199</v>
      </c>
      <c r="BW938" s="14" t="s">
        <v>179</v>
      </c>
      <c r="BX938" s="14" t="s">
        <v>18543</v>
      </c>
      <c r="BY938" s="15"/>
      <c r="BZ938" s="15"/>
      <c r="CA938" s="15"/>
      <c r="CB938" s="15"/>
      <c r="CC938" s="15"/>
      <c r="CD938" s="15"/>
      <c r="CE938" s="15"/>
      <c r="CF938" s="15"/>
      <c r="CG938" s="19"/>
      <c r="CH938" s="15"/>
      <c r="CI938" s="19"/>
      <c r="CJ938" s="15"/>
      <c r="CK938" s="19"/>
      <c r="CL938" s="15"/>
      <c r="CM938" s="19"/>
      <c r="CN938" s="15"/>
      <c r="CO938" s="19"/>
      <c r="CP938" s="15"/>
      <c r="CQ938" s="15"/>
      <c r="CR938" s="15"/>
      <c r="CS938" s="19"/>
      <c r="CT938" s="15"/>
      <c r="CU938" s="19"/>
      <c r="CV938" s="15"/>
      <c r="CW938" s="19"/>
      <c r="CX938" s="15"/>
      <c r="CY938" s="19"/>
      <c r="CZ938" s="15"/>
      <c r="DA938" s="16" t="s">
        <v>197</v>
      </c>
      <c r="DB938" s="17" t="s">
        <v>198</v>
      </c>
      <c r="DC938" s="20">
        <v>45719.36278935185</v>
      </c>
      <c r="DD938" s="17" t="s">
        <v>228</v>
      </c>
      <c r="DE938" s="23"/>
      <c r="DF938" s="17" t="s">
        <v>198</v>
      </c>
      <c r="DG938" s="18">
        <v>45719.36278935185</v>
      </c>
      <c r="DH938" s="13" t="s">
        <v>205</v>
      </c>
      <c r="DI938" s="14" t="s">
        <v>179</v>
      </c>
      <c r="DJ938" s="14" t="s">
        <v>18544</v>
      </c>
      <c r="DK938" s="14" t="s">
        <v>179</v>
      </c>
      <c r="DL938" s="14" t="s">
        <v>18545</v>
      </c>
      <c r="DM938" s="14" t="s">
        <v>179</v>
      </c>
      <c r="DN938" s="14" t="s">
        <v>18546</v>
      </c>
      <c r="DO938" s="15"/>
      <c r="DP938" s="15"/>
      <c r="DQ938" s="15"/>
      <c r="DR938" s="15"/>
      <c r="DS938" s="15"/>
      <c r="DT938" s="15"/>
      <c r="DU938" s="15"/>
      <c r="DV938" s="15"/>
      <c r="DW938" s="15"/>
      <c r="DX938" s="15"/>
      <c r="DY938" s="15"/>
      <c r="DZ938" s="15"/>
      <c r="EA938" s="15"/>
      <c r="EB938" s="15"/>
      <c r="EC938" s="17" t="s">
        <v>197</v>
      </c>
      <c r="ED938" s="17" t="s">
        <v>198</v>
      </c>
      <c r="EE938" s="18">
        <v>45719.4665625</v>
      </c>
      <c r="EF938" s="13" t="s">
        <v>209</v>
      </c>
      <c r="EG938" s="14" t="s">
        <v>179</v>
      </c>
      <c r="EH938" s="14" t="s">
        <v>18547</v>
      </c>
      <c r="EI938" s="14" t="s">
        <v>179</v>
      </c>
      <c r="EJ938" s="14" t="s">
        <v>18548</v>
      </c>
      <c r="EK938" s="15"/>
      <c r="EL938" s="15"/>
      <c r="EM938" s="15"/>
      <c r="EN938" s="15"/>
      <c r="EO938" s="15"/>
      <c r="EP938" s="15"/>
      <c r="EQ938" s="15"/>
      <c r="ER938" s="15"/>
      <c r="ES938" s="15"/>
      <c r="ET938" s="15"/>
      <c r="EU938" s="15"/>
      <c r="EV938" s="15"/>
      <c r="EW938" s="15"/>
      <c r="EX938" s="15"/>
      <c r="EY938" s="15"/>
      <c r="EZ938" s="15"/>
      <c r="FA938" s="15"/>
      <c r="FB938" s="15"/>
      <c r="FC938" s="16" t="s">
        <v>197</v>
      </c>
      <c r="FD938" s="17" t="s">
        <v>198</v>
      </c>
      <c r="FE938" s="18">
        <v>45723.38303240741</v>
      </c>
      <c r="FF938" s="19"/>
      <c r="FG938" s="19"/>
      <c r="FH938" s="21" t="s">
        <v>197</v>
      </c>
      <c r="FI938" s="17" t="s">
        <v>214</v>
      </c>
      <c r="FJ938" s="18">
        <v>45723.38303240741</v>
      </c>
      <c r="FK938" s="14" t="s">
        <v>18548</v>
      </c>
      <c r="FL938" s="14" t="s">
        <v>18549</v>
      </c>
      <c r="FM938" s="14" t="s">
        <v>18550</v>
      </c>
      <c r="FN938" s="19"/>
      <c r="FO938" s="19"/>
      <c r="FP938" s="19" t="str">
        <f t="shared" si="1"/>
        <v>Base de Dados_Images/TR9209.Imagem do Equipamento-.122618.jpg</v>
      </c>
      <c r="FQ938" s="19"/>
      <c r="FR938" s="19"/>
    </row>
    <row r="939" ht="15.75" customHeight="1">
      <c r="A939" s="12" t="s">
        <v>174</v>
      </c>
      <c r="B939" s="12" t="s">
        <v>5132</v>
      </c>
      <c r="C939" s="24" t="s">
        <v>18380</v>
      </c>
      <c r="D939" s="22" t="s">
        <v>18551</v>
      </c>
      <c r="E939" s="22" t="s">
        <v>18552</v>
      </c>
      <c r="F939" s="13" t="s">
        <v>178</v>
      </c>
      <c r="G939" s="14" t="s">
        <v>179</v>
      </c>
      <c r="H939" s="14" t="s">
        <v>18553</v>
      </c>
      <c r="I939" s="14" t="s">
        <v>179</v>
      </c>
      <c r="J939" s="14" t="s">
        <v>18554</v>
      </c>
      <c r="K939" s="14" t="s">
        <v>179</v>
      </c>
      <c r="L939" s="14" t="s">
        <v>18555</v>
      </c>
      <c r="M939" s="14" t="s">
        <v>179</v>
      </c>
      <c r="N939" s="14" t="s">
        <v>18556</v>
      </c>
      <c r="O939" s="14" t="s">
        <v>179</v>
      </c>
      <c r="P939" s="14" t="s">
        <v>18557</v>
      </c>
      <c r="Q939" s="14" t="s">
        <v>179</v>
      </c>
      <c r="R939" s="14" t="s">
        <v>18558</v>
      </c>
      <c r="S939" s="14" t="s">
        <v>179</v>
      </c>
      <c r="T939" s="14" t="s">
        <v>18559</v>
      </c>
      <c r="U939" s="14" t="s">
        <v>179</v>
      </c>
      <c r="V939" s="14" t="s">
        <v>18560</v>
      </c>
      <c r="W939" s="14" t="s">
        <v>179</v>
      </c>
      <c r="X939" s="14" t="s">
        <v>18561</v>
      </c>
      <c r="Y939" s="14" t="s">
        <v>179</v>
      </c>
      <c r="Z939" s="14" t="s">
        <v>18562</v>
      </c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6" t="s">
        <v>197</v>
      </c>
      <c r="BP939" s="17" t="s">
        <v>198</v>
      </c>
      <c r="BQ939" s="18">
        <v>45687.34583333333</v>
      </c>
      <c r="BR939" s="17" t="s">
        <v>198</v>
      </c>
      <c r="BS939" s="18">
        <v>45687.34587962963</v>
      </c>
      <c r="BT939" s="17" t="s">
        <v>198</v>
      </c>
      <c r="BU939" s="18">
        <v>45687.34587962963</v>
      </c>
      <c r="BV939" s="13" t="s">
        <v>199</v>
      </c>
      <c r="BW939" s="14" t="s">
        <v>179</v>
      </c>
      <c r="BX939" s="14" t="s">
        <v>18563</v>
      </c>
      <c r="BY939" s="15"/>
      <c r="BZ939" s="15"/>
      <c r="CA939" s="15"/>
      <c r="CB939" s="15"/>
      <c r="CC939" s="15"/>
      <c r="CD939" s="15"/>
      <c r="CE939" s="15"/>
      <c r="CF939" s="15"/>
      <c r="CG939" s="19"/>
      <c r="CH939" s="15"/>
      <c r="CI939" s="19"/>
      <c r="CJ939" s="15"/>
      <c r="CK939" s="19"/>
      <c r="CL939" s="15"/>
      <c r="CM939" s="19"/>
      <c r="CN939" s="15"/>
      <c r="CO939" s="19"/>
      <c r="CP939" s="15"/>
      <c r="CQ939" s="15"/>
      <c r="CR939" s="15"/>
      <c r="CS939" s="19"/>
      <c r="CT939" s="15"/>
      <c r="CU939" s="19"/>
      <c r="CV939" s="15"/>
      <c r="CW939" s="19"/>
      <c r="CX939" s="15"/>
      <c r="CY939" s="19"/>
      <c r="CZ939" s="15"/>
      <c r="DA939" s="16" t="s">
        <v>197</v>
      </c>
      <c r="DB939" s="17" t="s">
        <v>198</v>
      </c>
      <c r="DC939" s="20">
        <v>45719.49082175926</v>
      </c>
      <c r="DD939" s="17" t="s">
        <v>228</v>
      </c>
      <c r="DE939" s="23"/>
      <c r="DF939" s="17" t="s">
        <v>198</v>
      </c>
      <c r="DG939" s="18">
        <v>45719.49082175926</v>
      </c>
      <c r="DH939" s="13" t="s">
        <v>205</v>
      </c>
      <c r="DI939" s="14" t="s">
        <v>179</v>
      </c>
      <c r="DJ939" s="14" t="s">
        <v>18564</v>
      </c>
      <c r="DK939" s="14" t="s">
        <v>179</v>
      </c>
      <c r="DL939" s="14" t="s">
        <v>18565</v>
      </c>
      <c r="DM939" s="14" t="s">
        <v>179</v>
      </c>
      <c r="DN939" s="14" t="s">
        <v>18566</v>
      </c>
      <c r="DO939" s="15"/>
      <c r="DP939" s="15"/>
      <c r="DQ939" s="15"/>
      <c r="DR939" s="15"/>
      <c r="DS939" s="15"/>
      <c r="DT939" s="15"/>
      <c r="DU939" s="15"/>
      <c r="DV939" s="15"/>
      <c r="DW939" s="15"/>
      <c r="DX939" s="15"/>
      <c r="DY939" s="15"/>
      <c r="DZ939" s="15"/>
      <c r="EA939" s="15"/>
      <c r="EB939" s="15"/>
      <c r="EC939" s="16" t="s">
        <v>197</v>
      </c>
      <c r="ED939" s="17" t="s">
        <v>198</v>
      </c>
      <c r="EE939" s="18">
        <v>45719.490891203706</v>
      </c>
      <c r="EF939" s="13" t="s">
        <v>209</v>
      </c>
      <c r="EG939" s="14" t="s">
        <v>179</v>
      </c>
      <c r="EH939" s="14" t="s">
        <v>18567</v>
      </c>
      <c r="EI939" s="14" t="s">
        <v>179</v>
      </c>
      <c r="EJ939" s="14" t="s">
        <v>18567</v>
      </c>
      <c r="EK939" s="15"/>
      <c r="EL939" s="15"/>
      <c r="EM939" s="15"/>
      <c r="EN939" s="15"/>
      <c r="EO939" s="15"/>
      <c r="EP939" s="15"/>
      <c r="EQ939" s="15"/>
      <c r="ER939" s="15"/>
      <c r="ES939" s="15"/>
      <c r="ET939" s="15"/>
      <c r="EU939" s="15"/>
      <c r="EV939" s="15"/>
      <c r="EW939" s="15"/>
      <c r="EX939" s="15"/>
      <c r="EY939" s="15"/>
      <c r="EZ939" s="15"/>
      <c r="FA939" s="15"/>
      <c r="FB939" s="15"/>
      <c r="FC939" s="16" t="s">
        <v>197</v>
      </c>
      <c r="FD939" s="17" t="s">
        <v>198</v>
      </c>
      <c r="FE939" s="18">
        <v>45723.285150462965</v>
      </c>
      <c r="FF939" s="19"/>
      <c r="FG939" s="19"/>
      <c r="FH939" s="21" t="s">
        <v>197</v>
      </c>
      <c r="FI939" s="17" t="s">
        <v>214</v>
      </c>
      <c r="FJ939" s="18">
        <v>45723.285150462965</v>
      </c>
      <c r="FK939" s="14" t="s">
        <v>18567</v>
      </c>
      <c r="FL939" s="14" t="s">
        <v>18568</v>
      </c>
      <c r="FM939" s="14" t="s">
        <v>18569</v>
      </c>
      <c r="FN939" s="19"/>
      <c r="FO939" s="19"/>
      <c r="FP939" s="19" t="str">
        <f t="shared" si="1"/>
        <v>Base de Dados_Images/TR9210.Imagem do Equipamento-.122538.jpg</v>
      </c>
      <c r="FQ939" s="19"/>
      <c r="FR939" s="19"/>
    </row>
    <row r="940" ht="15.75" customHeight="1">
      <c r="A940" s="12" t="s">
        <v>174</v>
      </c>
      <c r="B940" s="12" t="s">
        <v>12788</v>
      </c>
      <c r="C940" s="24" t="s">
        <v>14345</v>
      </c>
      <c r="D940" s="12" t="s">
        <v>18570</v>
      </c>
      <c r="E940" s="12" t="s">
        <v>18571</v>
      </c>
      <c r="F940" s="13" t="s">
        <v>178</v>
      </c>
      <c r="G940" s="14" t="s">
        <v>179</v>
      </c>
      <c r="H940" s="14" t="s">
        <v>18572</v>
      </c>
      <c r="I940" s="14" t="s">
        <v>179</v>
      </c>
      <c r="J940" s="14" t="s">
        <v>18573</v>
      </c>
      <c r="K940" s="14" t="s">
        <v>179</v>
      </c>
      <c r="L940" s="14" t="s">
        <v>18574</v>
      </c>
      <c r="M940" s="14" t="s">
        <v>179</v>
      </c>
      <c r="N940" s="14" t="s">
        <v>18575</v>
      </c>
      <c r="O940" s="14" t="s">
        <v>179</v>
      </c>
      <c r="P940" s="14" t="s">
        <v>18576</v>
      </c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6" t="s">
        <v>197</v>
      </c>
      <c r="BP940" s="17" t="s">
        <v>198</v>
      </c>
      <c r="BQ940" s="18">
        <v>45698.651354166665</v>
      </c>
      <c r="BR940" s="17" t="s">
        <v>228</v>
      </c>
      <c r="BS940" s="23"/>
      <c r="BT940" s="17" t="s">
        <v>198</v>
      </c>
      <c r="BU940" s="18">
        <v>45698.651354166665</v>
      </c>
      <c r="BV940" s="13" t="s">
        <v>199</v>
      </c>
      <c r="BW940" s="14" t="s">
        <v>179</v>
      </c>
      <c r="BX940" s="14" t="s">
        <v>18577</v>
      </c>
      <c r="BY940" s="15"/>
      <c r="BZ940" s="15"/>
      <c r="CA940" s="15"/>
      <c r="CB940" s="15"/>
      <c r="CC940" s="15"/>
      <c r="CD940" s="15"/>
      <c r="CE940" s="15"/>
      <c r="CF940" s="15"/>
      <c r="CG940" s="19"/>
      <c r="CH940" s="15"/>
      <c r="CI940" s="19"/>
      <c r="CJ940" s="15"/>
      <c r="CK940" s="19"/>
      <c r="CL940" s="15"/>
      <c r="CM940" s="19"/>
      <c r="CN940" s="15"/>
      <c r="CO940" s="19"/>
      <c r="CP940" s="15"/>
      <c r="CQ940" s="15"/>
      <c r="CR940" s="15"/>
      <c r="CS940" s="19"/>
      <c r="CT940" s="15"/>
      <c r="CU940" s="19"/>
      <c r="CV940" s="15"/>
      <c r="CW940" s="19"/>
      <c r="CX940" s="15"/>
      <c r="CY940" s="19"/>
      <c r="CZ940" s="15"/>
      <c r="DA940" s="16" t="s">
        <v>197</v>
      </c>
      <c r="DB940" s="17" t="s">
        <v>198</v>
      </c>
      <c r="DC940" s="20">
        <v>45698.69263888889</v>
      </c>
      <c r="DD940" s="17" t="s">
        <v>228</v>
      </c>
      <c r="DE940" s="23"/>
      <c r="DF940" s="17" t="s">
        <v>198</v>
      </c>
      <c r="DG940" s="18">
        <v>45698.69263888889</v>
      </c>
      <c r="DH940" s="13" t="s">
        <v>205</v>
      </c>
      <c r="DI940" s="15"/>
      <c r="DJ940" s="15"/>
      <c r="DK940" s="15"/>
      <c r="DL940" s="15"/>
      <c r="DM940" s="15"/>
      <c r="DN940" s="15"/>
      <c r="DO940" s="15"/>
      <c r="DP940" s="15"/>
      <c r="DQ940" s="15"/>
      <c r="DR940" s="15"/>
      <c r="DS940" s="15"/>
      <c r="DT940" s="15"/>
      <c r="DU940" s="15"/>
      <c r="DV940" s="15"/>
      <c r="DW940" s="15"/>
      <c r="DX940" s="15"/>
      <c r="DY940" s="15"/>
      <c r="DZ940" s="15"/>
      <c r="EA940" s="15"/>
      <c r="EB940" s="15"/>
      <c r="EC940" s="16" t="s">
        <v>197</v>
      </c>
      <c r="ED940" s="17" t="s">
        <v>228</v>
      </c>
      <c r="EE940" s="23"/>
      <c r="EF940" s="13" t="s">
        <v>209</v>
      </c>
      <c r="EG940" s="14" t="s">
        <v>179</v>
      </c>
      <c r="EH940" s="14" t="s">
        <v>18578</v>
      </c>
      <c r="EI940" s="15"/>
      <c r="EJ940" s="15"/>
      <c r="EK940" s="15"/>
      <c r="EL940" s="15"/>
      <c r="EM940" s="15"/>
      <c r="EN940" s="15"/>
      <c r="EO940" s="15"/>
      <c r="EP940" s="15"/>
      <c r="EQ940" s="15"/>
      <c r="ER940" s="15"/>
      <c r="ES940" s="15"/>
      <c r="ET940" s="15"/>
      <c r="EU940" s="15"/>
      <c r="EV940" s="15"/>
      <c r="EW940" s="15"/>
      <c r="EX940" s="15"/>
      <c r="EY940" s="15"/>
      <c r="EZ940" s="15"/>
      <c r="FA940" s="15"/>
      <c r="FB940" s="15"/>
      <c r="FC940" s="16" t="s">
        <v>197</v>
      </c>
      <c r="FD940" s="17" t="s">
        <v>198</v>
      </c>
      <c r="FE940" s="18">
        <v>45708.37019675926</v>
      </c>
      <c r="FF940" s="19"/>
      <c r="FG940" s="19"/>
      <c r="FH940" s="21" t="s">
        <v>197</v>
      </c>
      <c r="FI940" s="17" t="s">
        <v>214</v>
      </c>
      <c r="FJ940" s="18">
        <v>45708.37019675926</v>
      </c>
      <c r="FK940" s="14" t="s">
        <v>18578</v>
      </c>
      <c r="FL940" s="14" t="s">
        <v>18579</v>
      </c>
      <c r="FM940" s="14" t="s">
        <v>18580</v>
      </c>
      <c r="FN940" s="19"/>
      <c r="FO940" s="19"/>
      <c r="FP940" s="19" t="str">
        <f t="shared" si="1"/>
        <v>Base de Dados_Images/TURBINA-PSV-DESFIBRADOR.Imagem do Equipamento-.121810.jpg</v>
      </c>
      <c r="FQ940" s="14"/>
      <c r="FR940" s="14"/>
    </row>
    <row r="941" ht="15.75" customHeight="1">
      <c r="A941" s="12" t="s">
        <v>174</v>
      </c>
      <c r="B941" s="22" t="s">
        <v>1359</v>
      </c>
      <c r="C941" s="24" t="s">
        <v>375</v>
      </c>
      <c r="D941" s="22" t="s">
        <v>18581</v>
      </c>
      <c r="E941" s="22" t="s">
        <v>18582</v>
      </c>
      <c r="F941" s="13" t="s">
        <v>178</v>
      </c>
      <c r="G941" s="14" t="s">
        <v>179</v>
      </c>
      <c r="H941" s="14" t="s">
        <v>18583</v>
      </c>
      <c r="I941" s="14" t="s">
        <v>179</v>
      </c>
      <c r="J941" s="14" t="s">
        <v>18584</v>
      </c>
      <c r="K941" s="14" t="s">
        <v>179</v>
      </c>
      <c r="L941" s="14" t="s">
        <v>18585</v>
      </c>
      <c r="M941" s="14" t="s">
        <v>179</v>
      </c>
      <c r="N941" s="14" t="s">
        <v>18586</v>
      </c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6" t="s">
        <v>197</v>
      </c>
      <c r="BP941" s="17" t="s">
        <v>198</v>
      </c>
      <c r="BQ941" s="18">
        <v>45694.42983796296</v>
      </c>
      <c r="BR941" s="17" t="s">
        <v>198</v>
      </c>
      <c r="BS941" s="18">
        <v>45694.4299537037</v>
      </c>
      <c r="BT941" s="17" t="s">
        <v>198</v>
      </c>
      <c r="BU941" s="18">
        <v>45694.4299537037</v>
      </c>
      <c r="BV941" s="13" t="s">
        <v>199</v>
      </c>
      <c r="BW941" s="14" t="s">
        <v>179</v>
      </c>
      <c r="BX941" s="14" t="s">
        <v>18587</v>
      </c>
      <c r="BY941" s="14" t="s">
        <v>179</v>
      </c>
      <c r="BZ941" s="14" t="s">
        <v>18588</v>
      </c>
      <c r="CA941" s="14" t="s">
        <v>179</v>
      </c>
      <c r="CB941" s="14" t="s">
        <v>18589</v>
      </c>
      <c r="CC941" s="15"/>
      <c r="CD941" s="15"/>
      <c r="CE941" s="15"/>
      <c r="CF941" s="15"/>
      <c r="CG941" s="19"/>
      <c r="CH941" s="15"/>
      <c r="CI941" s="19"/>
      <c r="CJ941" s="15"/>
      <c r="CK941" s="19"/>
      <c r="CL941" s="15"/>
      <c r="CM941" s="19"/>
      <c r="CN941" s="15"/>
      <c r="CO941" s="19"/>
      <c r="CP941" s="15"/>
      <c r="CQ941" s="15"/>
      <c r="CR941" s="15"/>
      <c r="CS941" s="19"/>
      <c r="CT941" s="15"/>
      <c r="CU941" s="19"/>
      <c r="CV941" s="15"/>
      <c r="CW941" s="19"/>
      <c r="CX941" s="15"/>
      <c r="CY941" s="19"/>
      <c r="CZ941" s="15"/>
      <c r="DA941" s="16" t="s">
        <v>197</v>
      </c>
      <c r="DB941" s="17" t="s">
        <v>228</v>
      </c>
      <c r="DC941" s="16"/>
      <c r="DD941" s="17" t="s">
        <v>198</v>
      </c>
      <c r="DE941" s="18">
        <v>45699.41275462963</v>
      </c>
      <c r="DF941" s="17" t="s">
        <v>198</v>
      </c>
      <c r="DG941" s="18">
        <v>45699.41275462963</v>
      </c>
      <c r="DH941" s="13" t="s">
        <v>205</v>
      </c>
      <c r="DI941" s="14" t="s">
        <v>179</v>
      </c>
      <c r="DJ941" s="14" t="s">
        <v>18590</v>
      </c>
      <c r="DK941" s="14" t="s">
        <v>179</v>
      </c>
      <c r="DL941" s="14" t="s">
        <v>18591</v>
      </c>
      <c r="DM941" s="15"/>
      <c r="DN941" s="15"/>
      <c r="DO941" s="15"/>
      <c r="DP941" s="15"/>
      <c r="DQ941" s="15"/>
      <c r="DR941" s="15"/>
      <c r="DS941" s="15"/>
      <c r="DT941" s="15"/>
      <c r="DU941" s="15"/>
      <c r="DV941" s="15"/>
      <c r="DW941" s="15"/>
      <c r="DX941" s="15"/>
      <c r="DY941" s="15"/>
      <c r="DZ941" s="15"/>
      <c r="EA941" s="15"/>
      <c r="EB941" s="15"/>
      <c r="EC941" s="16" t="s">
        <v>197</v>
      </c>
      <c r="ED941" s="17" t="s">
        <v>198</v>
      </c>
      <c r="EE941" s="18">
        <v>45719.46734953704</v>
      </c>
      <c r="EF941" s="13" t="s">
        <v>209</v>
      </c>
      <c r="EG941" s="14" t="s">
        <v>179</v>
      </c>
      <c r="EH941" s="14" t="s">
        <v>18592</v>
      </c>
      <c r="EI941" s="14" t="s">
        <v>179</v>
      </c>
      <c r="EJ941" s="14" t="s">
        <v>18593</v>
      </c>
      <c r="EK941" s="15"/>
      <c r="EL941" s="15"/>
      <c r="EM941" s="15"/>
      <c r="EN941" s="15"/>
      <c r="EO941" s="15"/>
      <c r="EP941" s="15"/>
      <c r="EQ941" s="15"/>
      <c r="ER941" s="15"/>
      <c r="ES941" s="15"/>
      <c r="ET941" s="15"/>
      <c r="EU941" s="15"/>
      <c r="EV941" s="15"/>
      <c r="EW941" s="15"/>
      <c r="EX941" s="15"/>
      <c r="EY941" s="15"/>
      <c r="EZ941" s="15"/>
      <c r="FA941" s="15"/>
      <c r="FB941" s="15"/>
      <c r="FC941" s="16" t="s">
        <v>197</v>
      </c>
      <c r="FD941" s="17" t="s">
        <v>198</v>
      </c>
      <c r="FE941" s="18">
        <v>45723.26553240741</v>
      </c>
      <c r="FF941" s="19"/>
      <c r="FG941" s="19"/>
      <c r="FH941" s="21" t="s">
        <v>197</v>
      </c>
      <c r="FI941" s="17" t="s">
        <v>214</v>
      </c>
      <c r="FJ941" s="18">
        <v>45723.26553240741</v>
      </c>
      <c r="FK941" s="14" t="s">
        <v>18592</v>
      </c>
      <c r="FL941" s="19"/>
      <c r="FM941" s="19"/>
      <c r="FN941" s="19"/>
      <c r="FO941" s="19"/>
      <c r="FP941" s="19" t="str">
        <f t="shared" si="1"/>
        <v/>
      </c>
      <c r="FQ941" s="14" t="s">
        <v>215</v>
      </c>
      <c r="FR941" s="14" t="s">
        <v>18594</v>
      </c>
    </row>
    <row r="942" ht="15.75" customHeight="1">
      <c r="A942" s="12" t="s">
        <v>174</v>
      </c>
      <c r="B942" s="22" t="s">
        <v>1359</v>
      </c>
      <c r="C942" s="24" t="s">
        <v>375</v>
      </c>
      <c r="D942" s="22" t="s">
        <v>18595</v>
      </c>
      <c r="E942" s="22" t="s">
        <v>18596</v>
      </c>
      <c r="F942" s="13" t="s">
        <v>178</v>
      </c>
      <c r="G942" s="14" t="s">
        <v>179</v>
      </c>
      <c r="H942" s="14" t="s">
        <v>18597</v>
      </c>
      <c r="I942" s="14" t="s">
        <v>179</v>
      </c>
      <c r="J942" s="14" t="s">
        <v>18598</v>
      </c>
      <c r="K942" s="14" t="s">
        <v>179</v>
      </c>
      <c r="L942" s="14" t="s">
        <v>18599</v>
      </c>
      <c r="M942" s="14" t="s">
        <v>179</v>
      </c>
      <c r="N942" s="14" t="s">
        <v>18600</v>
      </c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6" t="s">
        <v>197</v>
      </c>
      <c r="BP942" s="17" t="s">
        <v>198</v>
      </c>
      <c r="BQ942" s="18">
        <v>45694.43016203704</v>
      </c>
      <c r="BR942" s="17" t="s">
        <v>198</v>
      </c>
      <c r="BS942" s="18">
        <v>45694.430243055554</v>
      </c>
      <c r="BT942" s="17" t="s">
        <v>198</v>
      </c>
      <c r="BU942" s="18">
        <v>45694.430243055554</v>
      </c>
      <c r="BV942" s="13" t="s">
        <v>199</v>
      </c>
      <c r="BW942" s="14" t="s">
        <v>179</v>
      </c>
      <c r="BX942" s="14" t="s">
        <v>18601</v>
      </c>
      <c r="BY942" s="14" t="s">
        <v>179</v>
      </c>
      <c r="BZ942" s="14" t="s">
        <v>18602</v>
      </c>
      <c r="CA942" s="14" t="s">
        <v>179</v>
      </c>
      <c r="CB942" s="14" t="s">
        <v>18603</v>
      </c>
      <c r="CC942" s="15"/>
      <c r="CD942" s="15"/>
      <c r="CE942" s="15"/>
      <c r="CF942" s="15"/>
      <c r="CG942" s="19"/>
      <c r="CH942" s="15"/>
      <c r="CI942" s="19"/>
      <c r="CJ942" s="15"/>
      <c r="CK942" s="19"/>
      <c r="CL942" s="15"/>
      <c r="CM942" s="19"/>
      <c r="CN942" s="15"/>
      <c r="CO942" s="19"/>
      <c r="CP942" s="15"/>
      <c r="CQ942" s="15"/>
      <c r="CR942" s="15"/>
      <c r="CS942" s="19"/>
      <c r="CT942" s="15"/>
      <c r="CU942" s="19"/>
      <c r="CV942" s="15"/>
      <c r="CW942" s="19"/>
      <c r="CX942" s="15"/>
      <c r="CY942" s="19"/>
      <c r="CZ942" s="15"/>
      <c r="DA942" s="16" t="s">
        <v>197</v>
      </c>
      <c r="DB942" s="17" t="s">
        <v>228</v>
      </c>
      <c r="DC942" s="16"/>
      <c r="DD942" s="17" t="s">
        <v>198</v>
      </c>
      <c r="DE942" s="18">
        <v>45699.41287037037</v>
      </c>
      <c r="DF942" s="17" t="s">
        <v>198</v>
      </c>
      <c r="DG942" s="18">
        <v>45699.41287037037</v>
      </c>
      <c r="DH942" s="13" t="s">
        <v>205</v>
      </c>
      <c r="DI942" s="14" t="s">
        <v>179</v>
      </c>
      <c r="DJ942" s="14" t="s">
        <v>18604</v>
      </c>
      <c r="DK942" s="14" t="s">
        <v>179</v>
      </c>
      <c r="DL942" s="14" t="s">
        <v>18605</v>
      </c>
      <c r="DM942" s="15"/>
      <c r="DN942" s="15"/>
      <c r="DO942" s="15"/>
      <c r="DP942" s="15"/>
      <c r="DQ942" s="15"/>
      <c r="DR942" s="15"/>
      <c r="DS942" s="15"/>
      <c r="DT942" s="15"/>
      <c r="DU942" s="15"/>
      <c r="DV942" s="15"/>
      <c r="DW942" s="15"/>
      <c r="DX942" s="15"/>
      <c r="DY942" s="15"/>
      <c r="DZ942" s="15"/>
      <c r="EA942" s="15"/>
      <c r="EB942" s="15"/>
      <c r="EC942" s="16" t="s">
        <v>197</v>
      </c>
      <c r="ED942" s="17" t="s">
        <v>198</v>
      </c>
      <c r="EE942" s="18">
        <v>45719.46724537037</v>
      </c>
      <c r="EF942" s="13" t="s">
        <v>209</v>
      </c>
      <c r="EG942" s="14" t="s">
        <v>179</v>
      </c>
      <c r="EH942" s="14" t="s">
        <v>18606</v>
      </c>
      <c r="EI942" s="14" t="s">
        <v>179</v>
      </c>
      <c r="EJ942" s="14" t="s">
        <v>18606</v>
      </c>
      <c r="EK942" s="15"/>
      <c r="EL942" s="15"/>
      <c r="EM942" s="15"/>
      <c r="EN942" s="15"/>
      <c r="EO942" s="15"/>
      <c r="EP942" s="15"/>
      <c r="EQ942" s="15"/>
      <c r="ER942" s="15"/>
      <c r="ES942" s="15"/>
      <c r="ET942" s="15"/>
      <c r="EU942" s="15"/>
      <c r="EV942" s="15"/>
      <c r="EW942" s="15"/>
      <c r="EX942" s="15"/>
      <c r="EY942" s="15"/>
      <c r="EZ942" s="15"/>
      <c r="FA942" s="15"/>
      <c r="FB942" s="15"/>
      <c r="FC942" s="16" t="s">
        <v>197</v>
      </c>
      <c r="FD942" s="17" t="s">
        <v>198</v>
      </c>
      <c r="FE942" s="18">
        <v>45723.26559027778</v>
      </c>
      <c r="FF942" s="19"/>
      <c r="FG942" s="19"/>
      <c r="FH942" s="21" t="s">
        <v>197</v>
      </c>
      <c r="FI942" s="17" t="s">
        <v>214</v>
      </c>
      <c r="FJ942" s="18">
        <v>45723.26559027778</v>
      </c>
      <c r="FK942" s="14" t="s">
        <v>18606</v>
      </c>
      <c r="FL942" s="19"/>
      <c r="FM942" s="19"/>
      <c r="FN942" s="19"/>
      <c r="FO942" s="19"/>
      <c r="FP942" s="19" t="str">
        <f t="shared" si="1"/>
        <v/>
      </c>
      <c r="FQ942" s="14" t="s">
        <v>215</v>
      </c>
      <c r="FR942" s="14" t="s">
        <v>18607</v>
      </c>
    </row>
    <row r="943" ht="15.75" customHeight="1">
      <c r="A943" s="12" t="s">
        <v>234</v>
      </c>
      <c r="B943" s="12" t="s">
        <v>235</v>
      </c>
      <c r="C943" s="24" t="s">
        <v>375</v>
      </c>
      <c r="D943" s="22" t="s">
        <v>18608</v>
      </c>
      <c r="E943" s="22" t="s">
        <v>18609</v>
      </c>
      <c r="F943" s="13" t="s">
        <v>178</v>
      </c>
      <c r="G943" s="14" t="s">
        <v>179</v>
      </c>
      <c r="H943" s="14" t="s">
        <v>18610</v>
      </c>
      <c r="I943" s="14" t="s">
        <v>179</v>
      </c>
      <c r="J943" s="14" t="s">
        <v>18610</v>
      </c>
      <c r="K943" s="14" t="s">
        <v>179</v>
      </c>
      <c r="L943" s="14" t="s">
        <v>18611</v>
      </c>
      <c r="M943" s="14" t="s">
        <v>179</v>
      </c>
      <c r="N943" s="14" t="s">
        <v>18612</v>
      </c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6" t="s">
        <v>197</v>
      </c>
      <c r="BP943" s="17" t="s">
        <v>198</v>
      </c>
      <c r="BQ943" s="18">
        <v>45687.368935185186</v>
      </c>
      <c r="BR943" s="17" t="s">
        <v>198</v>
      </c>
      <c r="BS943" s="18">
        <v>45687.368935185186</v>
      </c>
      <c r="BT943" s="17" t="s">
        <v>198</v>
      </c>
      <c r="BU943" s="18">
        <v>45687.368935185186</v>
      </c>
      <c r="BV943" s="13" t="s">
        <v>199</v>
      </c>
      <c r="BW943" s="14" t="s">
        <v>179</v>
      </c>
      <c r="BX943" s="14" t="s">
        <v>18613</v>
      </c>
      <c r="BY943" s="14" t="s">
        <v>179</v>
      </c>
      <c r="BZ943" s="14" t="s">
        <v>18614</v>
      </c>
      <c r="CA943" s="14" t="s">
        <v>179</v>
      </c>
      <c r="CB943" s="14" t="s">
        <v>18614</v>
      </c>
      <c r="CC943" s="15"/>
      <c r="CD943" s="15"/>
      <c r="CE943" s="15"/>
      <c r="CF943" s="15"/>
      <c r="CG943" s="19"/>
      <c r="CH943" s="15"/>
      <c r="CI943" s="19"/>
      <c r="CJ943" s="15"/>
      <c r="CK943" s="19"/>
      <c r="CL943" s="15"/>
      <c r="CM943" s="19"/>
      <c r="CN943" s="15"/>
      <c r="CO943" s="19"/>
      <c r="CP943" s="15"/>
      <c r="CQ943" s="15"/>
      <c r="CR943" s="15"/>
      <c r="CS943" s="19"/>
      <c r="CT943" s="15"/>
      <c r="CU943" s="19"/>
      <c r="CV943" s="15"/>
      <c r="CW943" s="19"/>
      <c r="CX943" s="15"/>
      <c r="CY943" s="19"/>
      <c r="CZ943" s="15"/>
      <c r="DA943" s="16" t="s">
        <v>197</v>
      </c>
      <c r="DB943" s="17" t="s">
        <v>228</v>
      </c>
      <c r="DC943" s="16"/>
      <c r="DD943" s="17" t="s">
        <v>198</v>
      </c>
      <c r="DE943" s="18">
        <v>45719.520104166666</v>
      </c>
      <c r="DF943" s="17" t="s">
        <v>198</v>
      </c>
      <c r="DG943" s="18">
        <v>45719.520104166666</v>
      </c>
      <c r="DH943" s="13" t="s">
        <v>205</v>
      </c>
      <c r="DI943" s="14" t="s">
        <v>179</v>
      </c>
      <c r="DJ943" s="14" t="s">
        <v>18615</v>
      </c>
      <c r="DK943" s="14" t="s">
        <v>179</v>
      </c>
      <c r="DL943" s="14" t="s">
        <v>18616</v>
      </c>
      <c r="DM943" s="15"/>
      <c r="DN943" s="15"/>
      <c r="DO943" s="15"/>
      <c r="DP943" s="15"/>
      <c r="DQ943" s="15"/>
      <c r="DR943" s="15"/>
      <c r="DS943" s="15"/>
      <c r="DT943" s="15"/>
      <c r="DU943" s="15"/>
      <c r="DV943" s="15"/>
      <c r="DW943" s="15"/>
      <c r="DX943" s="15"/>
      <c r="DY943" s="15"/>
      <c r="DZ943" s="15"/>
      <c r="EA943" s="15"/>
      <c r="EB943" s="15"/>
      <c r="EC943" s="16" t="s">
        <v>197</v>
      </c>
      <c r="ED943" s="17" t="s">
        <v>198</v>
      </c>
      <c r="EE943" s="18">
        <v>45719.520162037035</v>
      </c>
      <c r="EF943" s="13" t="s">
        <v>209</v>
      </c>
      <c r="EG943" s="14" t="s">
        <v>179</v>
      </c>
      <c r="EH943" s="14" t="s">
        <v>18617</v>
      </c>
      <c r="EI943" s="14" t="s">
        <v>179</v>
      </c>
      <c r="EJ943" s="14" t="s">
        <v>18618</v>
      </c>
      <c r="EK943" s="15"/>
      <c r="EL943" s="15"/>
      <c r="EM943" s="15"/>
      <c r="EN943" s="15"/>
      <c r="EO943" s="15"/>
      <c r="EP943" s="15"/>
      <c r="EQ943" s="15"/>
      <c r="ER943" s="15"/>
      <c r="ES943" s="15"/>
      <c r="ET943" s="15"/>
      <c r="EU943" s="15"/>
      <c r="EV943" s="15"/>
      <c r="EW943" s="15"/>
      <c r="EX943" s="15"/>
      <c r="EY943" s="15"/>
      <c r="EZ943" s="15"/>
      <c r="FA943" s="15"/>
      <c r="FB943" s="15"/>
      <c r="FC943" s="16" t="s">
        <v>197</v>
      </c>
      <c r="FD943" s="17" t="s">
        <v>198</v>
      </c>
      <c r="FE943" s="18">
        <v>45723.31196759259</v>
      </c>
      <c r="FF943" s="19"/>
      <c r="FG943" s="19"/>
      <c r="FH943" s="21" t="s">
        <v>197</v>
      </c>
      <c r="FI943" s="17" t="s">
        <v>214</v>
      </c>
      <c r="FJ943" s="18">
        <v>45723.31196759259</v>
      </c>
      <c r="FK943" s="14" t="s">
        <v>18618</v>
      </c>
      <c r="FL943" s="14" t="s">
        <v>18619</v>
      </c>
      <c r="FM943" s="14" t="s">
        <v>18620</v>
      </c>
      <c r="FN943" s="19"/>
      <c r="FO943" s="19"/>
      <c r="FP943" s="19" t="str">
        <f t="shared" si="1"/>
        <v>Base de Dados_Images/VIT65029.Imagem do Equipamento-.125613.jpg</v>
      </c>
      <c r="FQ943" s="14"/>
      <c r="FR943" s="14"/>
    </row>
    <row r="944" ht="15.75" customHeight="1">
      <c r="A944" s="12" t="s">
        <v>234</v>
      </c>
      <c r="B944" s="12" t="s">
        <v>249</v>
      </c>
      <c r="C944" s="24" t="s">
        <v>375</v>
      </c>
      <c r="D944" s="22" t="s">
        <v>18621</v>
      </c>
      <c r="E944" s="22" t="s">
        <v>18622</v>
      </c>
      <c r="F944" s="13" t="s">
        <v>178</v>
      </c>
      <c r="G944" s="14" t="s">
        <v>179</v>
      </c>
      <c r="H944" s="14" t="s">
        <v>18623</v>
      </c>
      <c r="I944" s="14" t="s">
        <v>179</v>
      </c>
      <c r="J944" s="14" t="s">
        <v>18624</v>
      </c>
      <c r="K944" s="14" t="s">
        <v>179</v>
      </c>
      <c r="L944" s="14" t="s">
        <v>18624</v>
      </c>
      <c r="M944" s="14" t="s">
        <v>179</v>
      </c>
      <c r="N944" s="14" t="s">
        <v>18625</v>
      </c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6" t="s">
        <v>197</v>
      </c>
      <c r="BP944" s="17" t="s">
        <v>198</v>
      </c>
      <c r="BQ944" s="18">
        <v>45687.37013888889</v>
      </c>
      <c r="BR944" s="17" t="s">
        <v>198</v>
      </c>
      <c r="BS944" s="18">
        <v>45687.37012731482</v>
      </c>
      <c r="BT944" s="17" t="s">
        <v>198</v>
      </c>
      <c r="BU944" s="18">
        <v>45687.37013888889</v>
      </c>
      <c r="BV944" s="13" t="s">
        <v>199</v>
      </c>
      <c r="BW944" s="14" t="s">
        <v>179</v>
      </c>
      <c r="BX944" s="14" t="s">
        <v>18626</v>
      </c>
      <c r="BY944" s="14" t="s">
        <v>179</v>
      </c>
      <c r="BZ944" s="14" t="s">
        <v>18627</v>
      </c>
      <c r="CA944" s="14" t="s">
        <v>179</v>
      </c>
      <c r="CB944" s="14" t="s">
        <v>18628</v>
      </c>
      <c r="CC944" s="15"/>
      <c r="CD944" s="15"/>
      <c r="CE944" s="15"/>
      <c r="CF944" s="15"/>
      <c r="CG944" s="19"/>
      <c r="CH944" s="15"/>
      <c r="CI944" s="19"/>
      <c r="CJ944" s="15"/>
      <c r="CK944" s="19"/>
      <c r="CL944" s="15"/>
      <c r="CM944" s="19"/>
      <c r="CN944" s="15"/>
      <c r="CO944" s="19"/>
      <c r="CP944" s="15"/>
      <c r="CQ944" s="15"/>
      <c r="CR944" s="15"/>
      <c r="CS944" s="19"/>
      <c r="CT944" s="15"/>
      <c r="CU944" s="19"/>
      <c r="CV944" s="15"/>
      <c r="CW944" s="19"/>
      <c r="CX944" s="15"/>
      <c r="CY944" s="19"/>
      <c r="CZ944" s="15"/>
      <c r="DA944" s="16" t="s">
        <v>197</v>
      </c>
      <c r="DB944" s="17" t="s">
        <v>228</v>
      </c>
      <c r="DC944" s="16"/>
      <c r="DD944" s="17" t="s">
        <v>198</v>
      </c>
      <c r="DE944" s="18">
        <v>45719.520590277774</v>
      </c>
      <c r="DF944" s="17" t="s">
        <v>198</v>
      </c>
      <c r="DG944" s="18">
        <v>45719.520590277774</v>
      </c>
      <c r="DH944" s="13" t="s">
        <v>205</v>
      </c>
      <c r="DI944" s="14" t="s">
        <v>179</v>
      </c>
      <c r="DJ944" s="14" t="s">
        <v>18629</v>
      </c>
      <c r="DK944" s="14" t="s">
        <v>179</v>
      </c>
      <c r="DL944" s="14" t="s">
        <v>18630</v>
      </c>
      <c r="DM944" s="15"/>
      <c r="DN944" s="15"/>
      <c r="DO944" s="15"/>
      <c r="DP944" s="15"/>
      <c r="DQ944" s="15"/>
      <c r="DR944" s="15"/>
      <c r="DS944" s="15"/>
      <c r="DT944" s="15"/>
      <c r="DU944" s="15"/>
      <c r="DV944" s="15"/>
      <c r="DW944" s="15"/>
      <c r="DX944" s="15"/>
      <c r="DY944" s="15"/>
      <c r="DZ944" s="15"/>
      <c r="EA944" s="15"/>
      <c r="EB944" s="15"/>
      <c r="EC944" s="16" t="s">
        <v>197</v>
      </c>
      <c r="ED944" s="17" t="s">
        <v>198</v>
      </c>
      <c r="EE944" s="18">
        <v>45719.520636574074</v>
      </c>
      <c r="EF944" s="13" t="s">
        <v>209</v>
      </c>
      <c r="EG944" s="14" t="s">
        <v>179</v>
      </c>
      <c r="EH944" s="14" t="s">
        <v>18631</v>
      </c>
      <c r="EI944" s="14" t="s">
        <v>179</v>
      </c>
      <c r="EJ944" s="14" t="s">
        <v>18632</v>
      </c>
      <c r="EK944" s="15"/>
      <c r="EL944" s="15"/>
      <c r="EM944" s="15"/>
      <c r="EN944" s="15"/>
      <c r="EO944" s="15"/>
      <c r="EP944" s="15"/>
      <c r="EQ944" s="15"/>
      <c r="ER944" s="15"/>
      <c r="ES944" s="15"/>
      <c r="ET944" s="15"/>
      <c r="EU944" s="15"/>
      <c r="EV944" s="15"/>
      <c r="EW944" s="15"/>
      <c r="EX944" s="15"/>
      <c r="EY944" s="15"/>
      <c r="EZ944" s="15"/>
      <c r="FA944" s="15"/>
      <c r="FB944" s="15"/>
      <c r="FC944" s="16" t="s">
        <v>197</v>
      </c>
      <c r="FD944" s="17" t="s">
        <v>198</v>
      </c>
      <c r="FE944" s="18">
        <v>45726.47613425926</v>
      </c>
      <c r="FF944" s="19"/>
      <c r="FG944" s="19"/>
      <c r="FH944" s="21" t="s">
        <v>197</v>
      </c>
      <c r="FI944" s="17" t="s">
        <v>214</v>
      </c>
      <c r="FJ944" s="18">
        <v>45726.47613425926</v>
      </c>
      <c r="FK944" s="14" t="s">
        <v>18632</v>
      </c>
      <c r="FL944" s="14" t="s">
        <v>18633</v>
      </c>
      <c r="FM944" s="14" t="s">
        <v>18634</v>
      </c>
      <c r="FN944" s="19"/>
      <c r="FO944" s="19"/>
      <c r="FP944" s="19" t="str">
        <f t="shared" si="1"/>
        <v>Base de Dados_Images/VIT65030.Imagem do Equipamento-.125748.jpg</v>
      </c>
      <c r="FQ944" s="19"/>
      <c r="FR944" s="19"/>
    </row>
    <row r="945" ht="15.75" customHeight="1">
      <c r="A945" s="12" t="s">
        <v>234</v>
      </c>
      <c r="B945" s="12" t="s">
        <v>263</v>
      </c>
      <c r="C945" s="24" t="s">
        <v>375</v>
      </c>
      <c r="D945" s="22" t="s">
        <v>18635</v>
      </c>
      <c r="E945" s="22" t="s">
        <v>18636</v>
      </c>
      <c r="F945" s="13" t="s">
        <v>178</v>
      </c>
      <c r="G945" s="14" t="s">
        <v>179</v>
      </c>
      <c r="H945" s="14" t="s">
        <v>18637</v>
      </c>
      <c r="I945" s="14" t="s">
        <v>179</v>
      </c>
      <c r="J945" s="14" t="s">
        <v>18638</v>
      </c>
      <c r="K945" s="14" t="s">
        <v>179</v>
      </c>
      <c r="L945" s="14" t="s">
        <v>18638</v>
      </c>
      <c r="M945" s="14" t="s">
        <v>179</v>
      </c>
      <c r="N945" s="14" t="s">
        <v>18639</v>
      </c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6" t="s">
        <v>197</v>
      </c>
      <c r="BP945" s="17" t="s">
        <v>198</v>
      </c>
      <c r="BQ945" s="18">
        <v>45687.3731712963</v>
      </c>
      <c r="BR945" s="17" t="s">
        <v>198</v>
      </c>
      <c r="BS945" s="18">
        <v>45687.37315972222</v>
      </c>
      <c r="BT945" s="17" t="s">
        <v>198</v>
      </c>
      <c r="BU945" s="18">
        <v>45687.3731712963</v>
      </c>
      <c r="BV945" s="13" t="s">
        <v>199</v>
      </c>
      <c r="BW945" s="14" t="s">
        <v>179</v>
      </c>
      <c r="BX945" s="14" t="s">
        <v>18640</v>
      </c>
      <c r="BY945" s="14" t="s">
        <v>179</v>
      </c>
      <c r="BZ945" s="14" t="s">
        <v>18641</v>
      </c>
      <c r="CA945" s="14" t="s">
        <v>179</v>
      </c>
      <c r="CB945" s="14" t="s">
        <v>18642</v>
      </c>
      <c r="CC945" s="15"/>
      <c r="CD945" s="15"/>
      <c r="CE945" s="15"/>
      <c r="CF945" s="15"/>
      <c r="CG945" s="19"/>
      <c r="CH945" s="15"/>
      <c r="CI945" s="19"/>
      <c r="CJ945" s="15"/>
      <c r="CK945" s="19"/>
      <c r="CL945" s="15"/>
      <c r="CM945" s="19"/>
      <c r="CN945" s="15"/>
      <c r="CO945" s="19"/>
      <c r="CP945" s="15"/>
      <c r="CQ945" s="15"/>
      <c r="CR945" s="15"/>
      <c r="CS945" s="19"/>
      <c r="CT945" s="15"/>
      <c r="CU945" s="19"/>
      <c r="CV945" s="15"/>
      <c r="CW945" s="19"/>
      <c r="CX945" s="15"/>
      <c r="CY945" s="19"/>
      <c r="CZ945" s="15"/>
      <c r="DA945" s="16" t="s">
        <v>197</v>
      </c>
      <c r="DB945" s="17" t="s">
        <v>228</v>
      </c>
      <c r="DC945" s="16"/>
      <c r="DD945" s="17" t="s">
        <v>198</v>
      </c>
      <c r="DE945" s="18">
        <v>45719.52091435185</v>
      </c>
      <c r="DF945" s="17" t="s">
        <v>198</v>
      </c>
      <c r="DG945" s="18">
        <v>45719.52091435185</v>
      </c>
      <c r="DH945" s="13" t="s">
        <v>205</v>
      </c>
      <c r="DI945" s="14" t="s">
        <v>179</v>
      </c>
      <c r="DJ945" s="14" t="s">
        <v>18643</v>
      </c>
      <c r="DK945" s="14" t="s">
        <v>179</v>
      </c>
      <c r="DL945" s="14" t="s">
        <v>18644</v>
      </c>
      <c r="DM945" s="15"/>
      <c r="DN945" s="15"/>
      <c r="DO945" s="15"/>
      <c r="DP945" s="15"/>
      <c r="DQ945" s="15"/>
      <c r="DR945" s="15"/>
      <c r="DS945" s="15"/>
      <c r="DT945" s="15"/>
      <c r="DU945" s="15"/>
      <c r="DV945" s="15"/>
      <c r="DW945" s="15"/>
      <c r="DX945" s="15"/>
      <c r="DY945" s="15"/>
      <c r="DZ945" s="15"/>
      <c r="EA945" s="15"/>
      <c r="EB945" s="15"/>
      <c r="EC945" s="16" t="s">
        <v>197</v>
      </c>
      <c r="ED945" s="17" t="s">
        <v>198</v>
      </c>
      <c r="EE945" s="18">
        <v>45719.52096064815</v>
      </c>
      <c r="EF945" s="13" t="s">
        <v>209</v>
      </c>
      <c r="EG945" s="14" t="s">
        <v>179</v>
      </c>
      <c r="EH945" s="14" t="s">
        <v>18645</v>
      </c>
      <c r="EI945" s="14" t="s">
        <v>179</v>
      </c>
      <c r="EJ945" s="14" t="s">
        <v>18645</v>
      </c>
      <c r="EK945" s="15"/>
      <c r="EL945" s="15"/>
      <c r="EM945" s="15"/>
      <c r="EN945" s="15"/>
      <c r="EO945" s="15"/>
      <c r="EP945" s="15"/>
      <c r="EQ945" s="15"/>
      <c r="ER945" s="15"/>
      <c r="ES945" s="15"/>
      <c r="ET945" s="15"/>
      <c r="EU945" s="15"/>
      <c r="EV945" s="15"/>
      <c r="EW945" s="15"/>
      <c r="EX945" s="15"/>
      <c r="EY945" s="15"/>
      <c r="EZ945" s="15"/>
      <c r="FA945" s="15"/>
      <c r="FB945" s="15"/>
      <c r="FC945" s="16" t="s">
        <v>197</v>
      </c>
      <c r="FD945" s="17" t="s">
        <v>198</v>
      </c>
      <c r="FE945" s="18">
        <v>45722.38707175926</v>
      </c>
      <c r="FF945" s="19"/>
      <c r="FG945" s="19"/>
      <c r="FH945" s="21" t="s">
        <v>197</v>
      </c>
      <c r="FI945" s="17" t="s">
        <v>214</v>
      </c>
      <c r="FJ945" s="18">
        <v>45722.38707175926</v>
      </c>
      <c r="FK945" s="14" t="s">
        <v>18645</v>
      </c>
      <c r="FL945" s="14" t="s">
        <v>18646</v>
      </c>
      <c r="FM945" s="14" t="s">
        <v>18647</v>
      </c>
      <c r="FN945" s="19"/>
      <c r="FO945" s="19"/>
      <c r="FP945" s="19" t="str">
        <f t="shared" si="1"/>
        <v>Base de Dados_Images/VIT65031.Imagem do Equipamento-.130155.jpg</v>
      </c>
      <c r="FQ945" s="19"/>
      <c r="FR945" s="19"/>
    </row>
    <row r="946" ht="15.75" customHeight="1">
      <c r="A946" s="12" t="s">
        <v>234</v>
      </c>
      <c r="B946" s="12" t="s">
        <v>276</v>
      </c>
      <c r="C946" s="24" t="s">
        <v>375</v>
      </c>
      <c r="D946" s="22" t="s">
        <v>18648</v>
      </c>
      <c r="E946" s="22" t="s">
        <v>18649</v>
      </c>
      <c r="F946" s="13" t="s">
        <v>178</v>
      </c>
      <c r="G946" s="14" t="s">
        <v>179</v>
      </c>
      <c r="H946" s="14" t="s">
        <v>18650</v>
      </c>
      <c r="I946" s="14" t="s">
        <v>179</v>
      </c>
      <c r="J946" s="14" t="s">
        <v>18650</v>
      </c>
      <c r="K946" s="14" t="s">
        <v>179</v>
      </c>
      <c r="L946" s="14" t="s">
        <v>18651</v>
      </c>
      <c r="M946" s="14" t="s">
        <v>179</v>
      </c>
      <c r="N946" s="14" t="s">
        <v>18652</v>
      </c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6" t="s">
        <v>197</v>
      </c>
      <c r="BP946" s="17" t="s">
        <v>198</v>
      </c>
      <c r="BQ946" s="18">
        <v>45687.37416666667</v>
      </c>
      <c r="BR946" s="17" t="s">
        <v>198</v>
      </c>
      <c r="BS946" s="18">
        <v>45687.37416666667</v>
      </c>
      <c r="BT946" s="17" t="s">
        <v>198</v>
      </c>
      <c r="BU946" s="18">
        <v>45687.37416666667</v>
      </c>
      <c r="BV946" s="13" t="s">
        <v>199</v>
      </c>
      <c r="BW946" s="14" t="s">
        <v>179</v>
      </c>
      <c r="BX946" s="14" t="s">
        <v>18653</v>
      </c>
      <c r="BY946" s="14" t="s">
        <v>179</v>
      </c>
      <c r="BZ946" s="14" t="s">
        <v>18653</v>
      </c>
      <c r="CA946" s="14" t="s">
        <v>179</v>
      </c>
      <c r="CB946" s="14" t="s">
        <v>18654</v>
      </c>
      <c r="CC946" s="15"/>
      <c r="CD946" s="15"/>
      <c r="CE946" s="15"/>
      <c r="CF946" s="15"/>
      <c r="CG946" s="19"/>
      <c r="CH946" s="15"/>
      <c r="CI946" s="19"/>
      <c r="CJ946" s="15"/>
      <c r="CK946" s="19"/>
      <c r="CL946" s="15"/>
      <c r="CM946" s="19"/>
      <c r="CN946" s="15"/>
      <c r="CO946" s="19"/>
      <c r="CP946" s="15"/>
      <c r="CQ946" s="15"/>
      <c r="CR946" s="15"/>
      <c r="CS946" s="19"/>
      <c r="CT946" s="15"/>
      <c r="CU946" s="19"/>
      <c r="CV946" s="15"/>
      <c r="CW946" s="19"/>
      <c r="CX946" s="15"/>
      <c r="CY946" s="19"/>
      <c r="CZ946" s="15"/>
      <c r="DA946" s="16" t="s">
        <v>197</v>
      </c>
      <c r="DB946" s="17" t="s">
        <v>228</v>
      </c>
      <c r="DC946" s="16"/>
      <c r="DD946" s="17" t="s">
        <v>198</v>
      </c>
      <c r="DE946" s="18">
        <v>45721.60927083333</v>
      </c>
      <c r="DF946" s="17" t="s">
        <v>198</v>
      </c>
      <c r="DG946" s="18">
        <v>45721.60927083333</v>
      </c>
      <c r="DH946" s="13" t="s">
        <v>205</v>
      </c>
      <c r="DI946" s="14" t="s">
        <v>179</v>
      </c>
      <c r="DJ946" s="14" t="s">
        <v>18655</v>
      </c>
      <c r="DK946" s="14" t="s">
        <v>179</v>
      </c>
      <c r="DL946" s="14" t="s">
        <v>18656</v>
      </c>
      <c r="DM946" s="15"/>
      <c r="DN946" s="15"/>
      <c r="DO946" s="15"/>
      <c r="DP946" s="15"/>
      <c r="DQ946" s="15"/>
      <c r="DR946" s="15"/>
      <c r="DS946" s="15"/>
      <c r="DT946" s="15"/>
      <c r="DU946" s="15"/>
      <c r="DV946" s="15"/>
      <c r="DW946" s="15"/>
      <c r="DX946" s="15"/>
      <c r="DY946" s="15"/>
      <c r="DZ946" s="15"/>
      <c r="EA946" s="15"/>
      <c r="EB946" s="15"/>
      <c r="EC946" s="16" t="s">
        <v>197</v>
      </c>
      <c r="ED946" s="17" t="s">
        <v>198</v>
      </c>
      <c r="EE946" s="18">
        <v>45721.6093287037</v>
      </c>
      <c r="EF946" s="13" t="s">
        <v>209</v>
      </c>
      <c r="EG946" s="14" t="s">
        <v>179</v>
      </c>
      <c r="EH946" s="14" t="s">
        <v>18657</v>
      </c>
      <c r="EI946" s="14" t="s">
        <v>179</v>
      </c>
      <c r="EJ946" s="14" t="s">
        <v>18658</v>
      </c>
      <c r="EK946" s="15"/>
      <c r="EL946" s="15"/>
      <c r="EM946" s="15"/>
      <c r="EN946" s="15"/>
      <c r="EO946" s="15"/>
      <c r="EP946" s="15"/>
      <c r="EQ946" s="15"/>
      <c r="ER946" s="15"/>
      <c r="ES946" s="15"/>
      <c r="ET946" s="15"/>
      <c r="EU946" s="15"/>
      <c r="EV946" s="15"/>
      <c r="EW946" s="15"/>
      <c r="EX946" s="15"/>
      <c r="EY946" s="15"/>
      <c r="EZ946" s="15"/>
      <c r="FA946" s="15"/>
      <c r="FB946" s="15"/>
      <c r="FC946" s="16" t="s">
        <v>197</v>
      </c>
      <c r="FD946" s="17" t="s">
        <v>198</v>
      </c>
      <c r="FE946" s="18">
        <v>45721.60938657408</v>
      </c>
      <c r="FF946" s="19"/>
      <c r="FG946" s="19"/>
      <c r="FH946" s="21" t="s">
        <v>197</v>
      </c>
      <c r="FI946" s="17" t="s">
        <v>214</v>
      </c>
      <c r="FJ946" s="18">
        <v>45721.60938657408</v>
      </c>
      <c r="FK946" s="14" t="s">
        <v>18658</v>
      </c>
      <c r="FL946" s="14" t="s">
        <v>18659</v>
      </c>
      <c r="FM946" s="14" t="s">
        <v>18660</v>
      </c>
      <c r="FN946" s="19"/>
      <c r="FO946" s="19"/>
      <c r="FP946" s="19" t="str">
        <f t="shared" si="1"/>
        <v>Base de Dados_Images/VIT65032.Imagem do Equipamento-.130335.jpg</v>
      </c>
      <c r="FQ946" s="19"/>
      <c r="FR946" s="19"/>
    </row>
    <row r="947" ht="15.75" customHeight="1">
      <c r="A947" s="12" t="s">
        <v>357</v>
      </c>
      <c r="B947" s="12" t="s">
        <v>448</v>
      </c>
      <c r="C947" s="24" t="s">
        <v>375</v>
      </c>
      <c r="D947" s="22" t="s">
        <v>18661</v>
      </c>
      <c r="E947" s="22" t="s">
        <v>18662</v>
      </c>
      <c r="F947" s="13" t="s">
        <v>178</v>
      </c>
      <c r="G947" s="14" t="s">
        <v>179</v>
      </c>
      <c r="H947" s="14" t="s">
        <v>18663</v>
      </c>
      <c r="I947" s="14" t="s">
        <v>179</v>
      </c>
      <c r="J947" s="14" t="s">
        <v>18664</v>
      </c>
      <c r="K947" s="14" t="s">
        <v>179</v>
      </c>
      <c r="L947" s="14" t="s">
        <v>18665</v>
      </c>
      <c r="M947" s="14" t="s">
        <v>179</v>
      </c>
      <c r="N947" s="14" t="s">
        <v>18666</v>
      </c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6" t="s">
        <v>197</v>
      </c>
      <c r="BP947" s="17" t="s">
        <v>198</v>
      </c>
      <c r="BQ947" s="18">
        <v>45688.614965277775</v>
      </c>
      <c r="BR947" s="17" t="s">
        <v>198</v>
      </c>
      <c r="BS947" s="18">
        <v>45688.614953703705</v>
      </c>
      <c r="BT947" s="17" t="s">
        <v>198</v>
      </c>
      <c r="BU947" s="18">
        <v>45688.614965277775</v>
      </c>
      <c r="BV947" s="13" t="s">
        <v>199</v>
      </c>
      <c r="BW947" s="14" t="s">
        <v>179</v>
      </c>
      <c r="BX947" s="14" t="s">
        <v>18667</v>
      </c>
      <c r="BY947" s="14" t="s">
        <v>179</v>
      </c>
      <c r="BZ947" s="14" t="s">
        <v>18668</v>
      </c>
      <c r="CA947" s="14" t="s">
        <v>179</v>
      </c>
      <c r="CB947" s="14" t="s">
        <v>18669</v>
      </c>
      <c r="CC947" s="15"/>
      <c r="CD947" s="15"/>
      <c r="CE947" s="15"/>
      <c r="CF947" s="15"/>
      <c r="CG947" s="19"/>
      <c r="CH947" s="15"/>
      <c r="CI947" s="19"/>
      <c r="CJ947" s="15"/>
      <c r="CK947" s="19"/>
      <c r="CL947" s="15"/>
      <c r="CM947" s="19"/>
      <c r="CN947" s="15"/>
      <c r="CO947" s="19"/>
      <c r="CP947" s="15"/>
      <c r="CQ947" s="15"/>
      <c r="CR947" s="15"/>
      <c r="CS947" s="19"/>
      <c r="CT947" s="15"/>
      <c r="CU947" s="19"/>
      <c r="CV947" s="15"/>
      <c r="CW947" s="19"/>
      <c r="CX947" s="15"/>
      <c r="CY947" s="19"/>
      <c r="CZ947" s="15"/>
      <c r="DA947" s="16" t="s">
        <v>197</v>
      </c>
      <c r="DB947" s="17" t="s">
        <v>228</v>
      </c>
      <c r="DC947" s="16"/>
      <c r="DD947" s="17" t="s">
        <v>198</v>
      </c>
      <c r="DE947" s="18">
        <v>45708.33515046296</v>
      </c>
      <c r="DF947" s="17" t="s">
        <v>198</v>
      </c>
      <c r="DG947" s="18">
        <v>45708.33515046296</v>
      </c>
      <c r="DH947" s="13" t="s">
        <v>205</v>
      </c>
      <c r="DI947" s="14" t="s">
        <v>179</v>
      </c>
      <c r="DJ947" s="14" t="s">
        <v>18670</v>
      </c>
      <c r="DK947" s="14" t="s">
        <v>179</v>
      </c>
      <c r="DL947" s="14" t="s">
        <v>18671</v>
      </c>
      <c r="DM947" s="15"/>
      <c r="DN947" s="15"/>
      <c r="DO947" s="15"/>
      <c r="DP947" s="15"/>
      <c r="DQ947" s="15"/>
      <c r="DR947" s="15"/>
      <c r="DS947" s="15"/>
      <c r="DT947" s="15"/>
      <c r="DU947" s="15"/>
      <c r="DV947" s="15"/>
      <c r="DW947" s="15"/>
      <c r="DX947" s="15"/>
      <c r="DY947" s="15"/>
      <c r="DZ947" s="15"/>
      <c r="EA947" s="15"/>
      <c r="EB947" s="15"/>
      <c r="EC947" s="16" t="s">
        <v>197</v>
      </c>
      <c r="ED947" s="17" t="s">
        <v>198</v>
      </c>
      <c r="EE947" s="18">
        <v>45708.335231481484</v>
      </c>
      <c r="EF947" s="13" t="s">
        <v>209</v>
      </c>
      <c r="EG947" s="14" t="s">
        <v>179</v>
      </c>
      <c r="EH947" s="14" t="s">
        <v>18672</v>
      </c>
      <c r="EI947" s="14" t="s">
        <v>179</v>
      </c>
      <c r="EJ947" s="14" t="s">
        <v>18673</v>
      </c>
      <c r="EK947" s="15"/>
      <c r="EL947" s="15"/>
      <c r="EM947" s="15"/>
      <c r="EN947" s="15"/>
      <c r="EO947" s="15"/>
      <c r="EP947" s="15"/>
      <c r="EQ947" s="15"/>
      <c r="ER947" s="15"/>
      <c r="ES947" s="15"/>
      <c r="ET947" s="15"/>
      <c r="EU947" s="15"/>
      <c r="EV947" s="15"/>
      <c r="EW947" s="15"/>
      <c r="EX947" s="15"/>
      <c r="EY947" s="15"/>
      <c r="EZ947" s="15"/>
      <c r="FA947" s="15"/>
      <c r="FB947" s="15"/>
      <c r="FC947" s="16" t="s">
        <v>197</v>
      </c>
      <c r="FD947" s="17" t="s">
        <v>198</v>
      </c>
      <c r="FE947" s="18">
        <v>45723.39813657408</v>
      </c>
      <c r="FF947" s="19"/>
      <c r="FG947" s="19"/>
      <c r="FH947" s="21" t="s">
        <v>197</v>
      </c>
      <c r="FI947" s="17" t="s">
        <v>214</v>
      </c>
      <c r="FJ947" s="18">
        <v>45723.39813657408</v>
      </c>
      <c r="FK947" s="14" t="s">
        <v>18673</v>
      </c>
      <c r="FL947" s="14" t="s">
        <v>18674</v>
      </c>
      <c r="FM947" s="14" t="s">
        <v>18675</v>
      </c>
      <c r="FN947" s="19"/>
      <c r="FO947" s="19"/>
      <c r="FP947" s="19" t="str">
        <f t="shared" si="1"/>
        <v>Base de Dados_Images/VIT81035.Imagem do Equipamento-.181935.jpg</v>
      </c>
      <c r="FQ947" s="14"/>
      <c r="FR947" s="14"/>
    </row>
    <row r="948" ht="15.75" customHeight="1">
      <c r="A948" s="12" t="s">
        <v>357</v>
      </c>
      <c r="B948" s="12" t="s">
        <v>448</v>
      </c>
      <c r="C948" s="24" t="s">
        <v>375</v>
      </c>
      <c r="D948" s="22" t="s">
        <v>18676</v>
      </c>
      <c r="E948" s="22" t="s">
        <v>18677</v>
      </c>
      <c r="F948" s="13" t="s">
        <v>178</v>
      </c>
      <c r="G948" s="14" t="s">
        <v>179</v>
      </c>
      <c r="H948" s="14" t="s">
        <v>18678</v>
      </c>
      <c r="I948" s="14" t="s">
        <v>179</v>
      </c>
      <c r="J948" s="14" t="s">
        <v>18679</v>
      </c>
      <c r="K948" s="14" t="s">
        <v>179</v>
      </c>
      <c r="L948" s="14" t="s">
        <v>18680</v>
      </c>
      <c r="M948" s="14" t="s">
        <v>179</v>
      </c>
      <c r="N948" s="14" t="s">
        <v>18681</v>
      </c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6" t="s">
        <v>197</v>
      </c>
      <c r="BP948" s="17" t="s">
        <v>198</v>
      </c>
      <c r="BQ948" s="18">
        <v>45688.6153587963</v>
      </c>
      <c r="BR948" s="17" t="s">
        <v>198</v>
      </c>
      <c r="BS948" s="18">
        <v>45688.61534722222</v>
      </c>
      <c r="BT948" s="17" t="s">
        <v>198</v>
      </c>
      <c r="BU948" s="18">
        <v>45688.6153587963</v>
      </c>
      <c r="BV948" s="13" t="s">
        <v>199</v>
      </c>
      <c r="BW948" s="14" t="s">
        <v>179</v>
      </c>
      <c r="BX948" s="14" t="s">
        <v>18682</v>
      </c>
      <c r="BY948" s="14" t="s">
        <v>179</v>
      </c>
      <c r="BZ948" s="14" t="s">
        <v>18683</v>
      </c>
      <c r="CA948" s="14" t="s">
        <v>179</v>
      </c>
      <c r="CB948" s="14" t="s">
        <v>18684</v>
      </c>
      <c r="CC948" s="15"/>
      <c r="CD948" s="15"/>
      <c r="CE948" s="15"/>
      <c r="CF948" s="15"/>
      <c r="CG948" s="19"/>
      <c r="CH948" s="15"/>
      <c r="CI948" s="19"/>
      <c r="CJ948" s="15"/>
      <c r="CK948" s="19"/>
      <c r="CL948" s="15"/>
      <c r="CM948" s="19"/>
      <c r="CN948" s="15"/>
      <c r="CO948" s="19"/>
      <c r="CP948" s="15"/>
      <c r="CQ948" s="15"/>
      <c r="CR948" s="15"/>
      <c r="CS948" s="19"/>
      <c r="CT948" s="15"/>
      <c r="CU948" s="19"/>
      <c r="CV948" s="15"/>
      <c r="CW948" s="19"/>
      <c r="CX948" s="15"/>
      <c r="CY948" s="19"/>
      <c r="CZ948" s="15"/>
      <c r="DA948" s="16" t="s">
        <v>197</v>
      </c>
      <c r="DB948" s="17" t="s">
        <v>228</v>
      </c>
      <c r="DC948" s="16"/>
      <c r="DD948" s="17" t="s">
        <v>198</v>
      </c>
      <c r="DE948" s="18">
        <v>45709.48394675926</v>
      </c>
      <c r="DF948" s="17" t="s">
        <v>198</v>
      </c>
      <c r="DG948" s="18">
        <v>45709.48394675926</v>
      </c>
      <c r="DH948" s="13" t="s">
        <v>205</v>
      </c>
      <c r="DI948" s="14" t="s">
        <v>179</v>
      </c>
      <c r="DJ948" s="14" t="s">
        <v>18685</v>
      </c>
      <c r="DK948" s="14" t="s">
        <v>179</v>
      </c>
      <c r="DL948" s="14" t="s">
        <v>18686</v>
      </c>
      <c r="DM948" s="15"/>
      <c r="DN948" s="15"/>
      <c r="DO948" s="15"/>
      <c r="DP948" s="15"/>
      <c r="DQ948" s="15"/>
      <c r="DR948" s="15"/>
      <c r="DS948" s="15"/>
      <c r="DT948" s="15"/>
      <c r="DU948" s="15"/>
      <c r="DV948" s="15"/>
      <c r="DW948" s="15"/>
      <c r="DX948" s="15"/>
      <c r="DY948" s="15"/>
      <c r="DZ948" s="15"/>
      <c r="EA948" s="15"/>
      <c r="EB948" s="15"/>
      <c r="EC948" s="16" t="s">
        <v>197</v>
      </c>
      <c r="ED948" s="17" t="s">
        <v>198</v>
      </c>
      <c r="EE948" s="18">
        <v>45709.48401620371</v>
      </c>
      <c r="EF948" s="13" t="s">
        <v>209</v>
      </c>
      <c r="EG948" s="14" t="s">
        <v>179</v>
      </c>
      <c r="EH948" s="14" t="s">
        <v>18687</v>
      </c>
      <c r="EI948" s="14" t="s">
        <v>179</v>
      </c>
      <c r="EJ948" s="14" t="s">
        <v>18688</v>
      </c>
      <c r="EK948" s="15"/>
      <c r="EL948" s="15"/>
      <c r="EM948" s="15"/>
      <c r="EN948" s="15"/>
      <c r="EO948" s="15"/>
      <c r="EP948" s="15"/>
      <c r="EQ948" s="15"/>
      <c r="ER948" s="15"/>
      <c r="ES948" s="15"/>
      <c r="ET948" s="15"/>
      <c r="EU948" s="15"/>
      <c r="EV948" s="15"/>
      <c r="EW948" s="15"/>
      <c r="EX948" s="15"/>
      <c r="EY948" s="15"/>
      <c r="EZ948" s="15"/>
      <c r="FA948" s="15"/>
      <c r="FB948" s="15"/>
      <c r="FC948" s="16" t="s">
        <v>197</v>
      </c>
      <c r="FD948" s="17" t="s">
        <v>198</v>
      </c>
      <c r="FE948" s="18">
        <v>45723.39821759259</v>
      </c>
      <c r="FF948" s="19"/>
      <c r="FG948" s="19"/>
      <c r="FH948" s="21" t="s">
        <v>197</v>
      </c>
      <c r="FI948" s="17" t="s">
        <v>214</v>
      </c>
      <c r="FJ948" s="18">
        <v>45723.39821759259</v>
      </c>
      <c r="FK948" s="14" t="s">
        <v>18688</v>
      </c>
      <c r="FL948" s="14" t="s">
        <v>18689</v>
      </c>
      <c r="FM948" s="14" t="s">
        <v>18690</v>
      </c>
      <c r="FN948" s="19"/>
      <c r="FO948" s="19"/>
      <c r="FP948" s="19" t="str">
        <f t="shared" si="1"/>
        <v>Base de Dados_Images/VIT81036.Imagem do Equipamento-.181958.jpg</v>
      </c>
      <c r="FQ948" s="14"/>
      <c r="FR948" s="14"/>
    </row>
    <row r="949" ht="15.75" customHeight="1">
      <c r="A949" s="12" t="s">
        <v>357</v>
      </c>
      <c r="B949" s="12" t="s">
        <v>448</v>
      </c>
      <c r="C949" s="24" t="s">
        <v>375</v>
      </c>
      <c r="D949" s="22" t="s">
        <v>18691</v>
      </c>
      <c r="E949" s="22" t="s">
        <v>18692</v>
      </c>
      <c r="F949" s="13" t="s">
        <v>178</v>
      </c>
      <c r="G949" s="14" t="s">
        <v>179</v>
      </c>
      <c r="H949" s="14" t="s">
        <v>18693</v>
      </c>
      <c r="I949" s="14" t="s">
        <v>179</v>
      </c>
      <c r="J949" s="14" t="s">
        <v>18694</v>
      </c>
      <c r="K949" s="14" t="s">
        <v>179</v>
      </c>
      <c r="L949" s="14" t="s">
        <v>18695</v>
      </c>
      <c r="M949" s="14" t="s">
        <v>179</v>
      </c>
      <c r="N949" s="14" t="s">
        <v>18696</v>
      </c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6" t="s">
        <v>197</v>
      </c>
      <c r="BP949" s="17" t="s">
        <v>198</v>
      </c>
      <c r="BQ949" s="18">
        <v>45687.43586805555</v>
      </c>
      <c r="BR949" s="17" t="s">
        <v>198</v>
      </c>
      <c r="BS949" s="18">
        <v>45687.43599537037</v>
      </c>
      <c r="BT949" s="17" t="s">
        <v>198</v>
      </c>
      <c r="BU949" s="18">
        <v>45687.43599537037</v>
      </c>
      <c r="BV949" s="13" t="s">
        <v>199</v>
      </c>
      <c r="BW949" s="14" t="s">
        <v>179</v>
      </c>
      <c r="BX949" s="14" t="s">
        <v>18697</v>
      </c>
      <c r="BY949" s="14" t="s">
        <v>179</v>
      </c>
      <c r="BZ949" s="14" t="s">
        <v>18698</v>
      </c>
      <c r="CA949" s="14" t="s">
        <v>179</v>
      </c>
      <c r="CB949" s="14" t="s">
        <v>18699</v>
      </c>
      <c r="CC949" s="15"/>
      <c r="CD949" s="15"/>
      <c r="CE949" s="15"/>
      <c r="CF949" s="15"/>
      <c r="CG949" s="19"/>
      <c r="CH949" s="15"/>
      <c r="CI949" s="19"/>
      <c r="CJ949" s="15"/>
      <c r="CK949" s="19"/>
      <c r="CL949" s="15"/>
      <c r="CM949" s="19"/>
      <c r="CN949" s="15"/>
      <c r="CO949" s="19"/>
      <c r="CP949" s="15"/>
      <c r="CQ949" s="15"/>
      <c r="CR949" s="15"/>
      <c r="CS949" s="19"/>
      <c r="CT949" s="15"/>
      <c r="CU949" s="19"/>
      <c r="CV949" s="15"/>
      <c r="CW949" s="19"/>
      <c r="CX949" s="15"/>
      <c r="CY949" s="19"/>
      <c r="CZ949" s="15"/>
      <c r="DA949" s="16" t="s">
        <v>197</v>
      </c>
      <c r="DB949" s="17" t="s">
        <v>228</v>
      </c>
      <c r="DC949" s="16"/>
      <c r="DD949" s="17" t="s">
        <v>198</v>
      </c>
      <c r="DE949" s="18">
        <v>45723.39844907408</v>
      </c>
      <c r="DF949" s="17" t="s">
        <v>198</v>
      </c>
      <c r="DG949" s="18">
        <v>45723.39844907408</v>
      </c>
      <c r="DH949" s="13" t="s">
        <v>205</v>
      </c>
      <c r="DI949" s="14" t="s">
        <v>179</v>
      </c>
      <c r="DJ949" s="14" t="s">
        <v>18700</v>
      </c>
      <c r="DK949" s="14" t="s">
        <v>179</v>
      </c>
      <c r="DL949" s="14" t="s">
        <v>18701</v>
      </c>
      <c r="DM949" s="15"/>
      <c r="DN949" s="15"/>
      <c r="DO949" s="15"/>
      <c r="DP949" s="15"/>
      <c r="DQ949" s="15"/>
      <c r="DR949" s="15"/>
      <c r="DS949" s="15"/>
      <c r="DT949" s="15"/>
      <c r="DU949" s="15"/>
      <c r="DV949" s="15"/>
      <c r="DW949" s="15"/>
      <c r="DX949" s="15"/>
      <c r="DY949" s="15"/>
      <c r="DZ949" s="15"/>
      <c r="EA949" s="15"/>
      <c r="EB949" s="15"/>
      <c r="EC949" s="16" t="s">
        <v>197</v>
      </c>
      <c r="ED949" s="17" t="s">
        <v>198</v>
      </c>
      <c r="EE949" s="18">
        <v>45723.39849537037</v>
      </c>
      <c r="EF949" s="13" t="s">
        <v>209</v>
      </c>
      <c r="EG949" s="14" t="s">
        <v>179</v>
      </c>
      <c r="EH949" s="14" t="s">
        <v>18702</v>
      </c>
      <c r="EI949" s="14" t="s">
        <v>179</v>
      </c>
      <c r="EJ949" s="14" t="s">
        <v>18703</v>
      </c>
      <c r="EK949" s="15"/>
      <c r="EL949" s="15"/>
      <c r="EM949" s="15"/>
      <c r="EN949" s="15"/>
      <c r="EO949" s="15"/>
      <c r="EP949" s="15"/>
      <c r="EQ949" s="15"/>
      <c r="ER949" s="15"/>
      <c r="ES949" s="15"/>
      <c r="ET949" s="15"/>
      <c r="EU949" s="15"/>
      <c r="EV949" s="15"/>
      <c r="EW949" s="15"/>
      <c r="EX949" s="15"/>
      <c r="EY949" s="15"/>
      <c r="EZ949" s="15"/>
      <c r="FA949" s="15"/>
      <c r="FB949" s="15"/>
      <c r="FC949" s="16" t="s">
        <v>197</v>
      </c>
      <c r="FD949" s="17" t="s">
        <v>198</v>
      </c>
      <c r="FE949" s="18">
        <v>45723.39861111111</v>
      </c>
      <c r="FF949" s="19"/>
      <c r="FG949" s="19"/>
      <c r="FH949" s="21" t="s">
        <v>197</v>
      </c>
      <c r="FI949" s="17" t="s">
        <v>214</v>
      </c>
      <c r="FJ949" s="18">
        <v>45723.39861111111</v>
      </c>
      <c r="FK949" s="14" t="s">
        <v>18703</v>
      </c>
      <c r="FL949" s="14" t="s">
        <v>18704</v>
      </c>
      <c r="FM949" s="14" t="s">
        <v>18705</v>
      </c>
      <c r="FN949" s="19"/>
      <c r="FO949" s="19"/>
      <c r="FP949" s="19" t="str">
        <f t="shared" si="1"/>
        <v>Base de Dados_Images/VIT81037.Imagem do Equipamento-.145612.jpg</v>
      </c>
      <c r="FQ949" s="14"/>
      <c r="FR949" s="14"/>
    </row>
    <row r="950" ht="15.75" customHeight="1">
      <c r="A950" s="12" t="s">
        <v>357</v>
      </c>
      <c r="B950" s="12" t="s">
        <v>18706</v>
      </c>
      <c r="C950" s="24" t="s">
        <v>375</v>
      </c>
      <c r="D950" s="22" t="s">
        <v>18707</v>
      </c>
      <c r="E950" s="22" t="s">
        <v>18708</v>
      </c>
      <c r="F950" s="13" t="s">
        <v>178</v>
      </c>
      <c r="G950" s="14" t="s">
        <v>179</v>
      </c>
      <c r="H950" s="14" t="s">
        <v>18709</v>
      </c>
      <c r="I950" s="14" t="s">
        <v>179</v>
      </c>
      <c r="J950" s="14" t="s">
        <v>18710</v>
      </c>
      <c r="K950" s="14" t="s">
        <v>179</v>
      </c>
      <c r="L950" s="14" t="s">
        <v>18711</v>
      </c>
      <c r="M950" s="14" t="s">
        <v>179</v>
      </c>
      <c r="N950" s="14" t="s">
        <v>18712</v>
      </c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6" t="s">
        <v>197</v>
      </c>
      <c r="BP950" s="17" t="s">
        <v>198</v>
      </c>
      <c r="BQ950" s="18">
        <v>45686.394895833335</v>
      </c>
      <c r="BR950" s="17" t="s">
        <v>198</v>
      </c>
      <c r="BS950" s="18">
        <v>45686.39496527778</v>
      </c>
      <c r="BT950" s="17" t="s">
        <v>198</v>
      </c>
      <c r="BU950" s="18">
        <v>45686.39496527778</v>
      </c>
      <c r="BV950" s="13" t="s">
        <v>199</v>
      </c>
      <c r="BW950" s="14" t="s">
        <v>179</v>
      </c>
      <c r="BX950" s="14" t="s">
        <v>18713</v>
      </c>
      <c r="BY950" s="14" t="s">
        <v>179</v>
      </c>
      <c r="BZ950" s="14" t="s">
        <v>18714</v>
      </c>
      <c r="CA950" s="14" t="s">
        <v>179</v>
      </c>
      <c r="CB950" s="14" t="s">
        <v>18715</v>
      </c>
      <c r="CC950" s="15"/>
      <c r="CD950" s="15"/>
      <c r="CE950" s="15"/>
      <c r="CF950" s="15"/>
      <c r="CG950" s="19"/>
      <c r="CH950" s="15"/>
      <c r="CI950" s="19"/>
      <c r="CJ950" s="15"/>
      <c r="CK950" s="19"/>
      <c r="CL950" s="15"/>
      <c r="CM950" s="19"/>
      <c r="CN950" s="15"/>
      <c r="CO950" s="19"/>
      <c r="CP950" s="15"/>
      <c r="CQ950" s="15"/>
      <c r="CR950" s="15"/>
      <c r="CS950" s="19"/>
      <c r="CT950" s="15"/>
      <c r="CU950" s="19"/>
      <c r="CV950" s="15"/>
      <c r="CW950" s="19"/>
      <c r="CX950" s="15"/>
      <c r="CY950" s="19"/>
      <c r="CZ950" s="15"/>
      <c r="DA950" s="16" t="s">
        <v>197</v>
      </c>
      <c r="DB950" s="17" t="s">
        <v>228</v>
      </c>
      <c r="DC950" s="16"/>
      <c r="DD950" s="17" t="s">
        <v>198</v>
      </c>
      <c r="DE950" s="18">
        <v>45709.38085648148</v>
      </c>
      <c r="DF950" s="17" t="s">
        <v>198</v>
      </c>
      <c r="DG950" s="18">
        <v>45709.38085648148</v>
      </c>
      <c r="DH950" s="13" t="s">
        <v>205</v>
      </c>
      <c r="DI950" s="14" t="s">
        <v>179</v>
      </c>
      <c r="DJ950" s="14" t="s">
        <v>18716</v>
      </c>
      <c r="DK950" s="14" t="s">
        <v>179</v>
      </c>
      <c r="DL950" s="14" t="s">
        <v>18717</v>
      </c>
      <c r="DM950" s="15"/>
      <c r="DN950" s="15"/>
      <c r="DO950" s="15"/>
      <c r="DP950" s="15"/>
      <c r="DQ950" s="15"/>
      <c r="DR950" s="15"/>
      <c r="DS950" s="15"/>
      <c r="DT950" s="15"/>
      <c r="DU950" s="15"/>
      <c r="DV950" s="15"/>
      <c r="DW950" s="15"/>
      <c r="DX950" s="15"/>
      <c r="DY950" s="15"/>
      <c r="DZ950" s="15"/>
      <c r="EA950" s="15"/>
      <c r="EB950" s="15"/>
      <c r="EC950" s="16" t="s">
        <v>197</v>
      </c>
      <c r="ED950" s="17" t="s">
        <v>198</v>
      </c>
      <c r="EE950" s="18">
        <v>45709.38092592593</v>
      </c>
      <c r="EF950" s="13" t="s">
        <v>209</v>
      </c>
      <c r="EG950" s="14" t="s">
        <v>179</v>
      </c>
      <c r="EH950" s="14" t="s">
        <v>18718</v>
      </c>
      <c r="EI950" s="14" t="s">
        <v>179</v>
      </c>
      <c r="EJ950" s="14" t="s">
        <v>18719</v>
      </c>
      <c r="EK950" s="15"/>
      <c r="EL950" s="15"/>
      <c r="EM950" s="15"/>
      <c r="EN950" s="15"/>
      <c r="EO950" s="15"/>
      <c r="EP950" s="15"/>
      <c r="EQ950" s="15"/>
      <c r="ER950" s="15"/>
      <c r="ES950" s="15"/>
      <c r="ET950" s="15"/>
      <c r="EU950" s="15"/>
      <c r="EV950" s="15"/>
      <c r="EW950" s="15"/>
      <c r="EX950" s="15"/>
      <c r="EY950" s="15"/>
      <c r="EZ950" s="15"/>
      <c r="FA950" s="15"/>
      <c r="FB950" s="15"/>
      <c r="FC950" s="16" t="s">
        <v>197</v>
      </c>
      <c r="FD950" s="17" t="s">
        <v>198</v>
      </c>
      <c r="FE950" s="18">
        <v>45709.381215277775</v>
      </c>
      <c r="FF950" s="19"/>
      <c r="FG950" s="19"/>
      <c r="FH950" s="21" t="s">
        <v>197</v>
      </c>
      <c r="FI950" s="17" t="s">
        <v>214</v>
      </c>
      <c r="FJ950" s="18">
        <v>45709.381215277775</v>
      </c>
      <c r="FK950" s="14" t="s">
        <v>18719</v>
      </c>
      <c r="FL950" s="14" t="s">
        <v>18720</v>
      </c>
      <c r="FM950" s="14" t="s">
        <v>18721</v>
      </c>
      <c r="FN950" s="19"/>
      <c r="FO950" s="19"/>
      <c r="FP950" s="19" t="str">
        <f t="shared" si="1"/>
        <v>Base de Dados_Images/VIT81038.Imagem do Equipamento-.132041.jpg</v>
      </c>
      <c r="FQ950" s="14"/>
      <c r="FR950" s="14"/>
    </row>
    <row r="951" ht="15.75" customHeight="1">
      <c r="A951" s="12" t="s">
        <v>357</v>
      </c>
      <c r="B951" s="12" t="s">
        <v>18706</v>
      </c>
      <c r="C951" s="24" t="s">
        <v>375</v>
      </c>
      <c r="D951" s="22" t="s">
        <v>18722</v>
      </c>
      <c r="E951" s="22" t="s">
        <v>18723</v>
      </c>
      <c r="F951" s="13" t="s">
        <v>178</v>
      </c>
      <c r="G951" s="14" t="s">
        <v>179</v>
      </c>
      <c r="H951" s="14" t="s">
        <v>18724</v>
      </c>
      <c r="I951" s="14" t="s">
        <v>179</v>
      </c>
      <c r="J951" s="14" t="s">
        <v>18725</v>
      </c>
      <c r="K951" s="14" t="s">
        <v>179</v>
      </c>
      <c r="L951" s="14" t="s">
        <v>18726</v>
      </c>
      <c r="M951" s="14" t="s">
        <v>179</v>
      </c>
      <c r="N951" s="14" t="s">
        <v>18727</v>
      </c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6" t="s">
        <v>197</v>
      </c>
      <c r="BP951" s="17" t="s">
        <v>198</v>
      </c>
      <c r="BQ951" s="18">
        <v>45686.397511574076</v>
      </c>
      <c r="BR951" s="17" t="s">
        <v>198</v>
      </c>
      <c r="BS951" s="18">
        <v>45686.39760416667</v>
      </c>
      <c r="BT951" s="17" t="s">
        <v>198</v>
      </c>
      <c r="BU951" s="18">
        <v>45686.39760416667</v>
      </c>
      <c r="BV951" s="13" t="s">
        <v>199</v>
      </c>
      <c r="BW951" s="14" t="s">
        <v>179</v>
      </c>
      <c r="BX951" s="14" t="s">
        <v>18728</v>
      </c>
      <c r="BY951" s="14" t="s">
        <v>179</v>
      </c>
      <c r="BZ951" s="14" t="s">
        <v>18729</v>
      </c>
      <c r="CA951" s="14" t="s">
        <v>179</v>
      </c>
      <c r="CB951" s="14" t="s">
        <v>18730</v>
      </c>
      <c r="CC951" s="15"/>
      <c r="CD951" s="15"/>
      <c r="CE951" s="15"/>
      <c r="CF951" s="15"/>
      <c r="CG951" s="19"/>
      <c r="CH951" s="15"/>
      <c r="CI951" s="19"/>
      <c r="CJ951" s="15"/>
      <c r="CK951" s="19"/>
      <c r="CL951" s="15"/>
      <c r="CM951" s="19"/>
      <c r="CN951" s="15"/>
      <c r="CO951" s="19"/>
      <c r="CP951" s="15"/>
      <c r="CQ951" s="15"/>
      <c r="CR951" s="15"/>
      <c r="CS951" s="19"/>
      <c r="CT951" s="15"/>
      <c r="CU951" s="19"/>
      <c r="CV951" s="15"/>
      <c r="CW951" s="19"/>
      <c r="CX951" s="15"/>
      <c r="CY951" s="19"/>
      <c r="CZ951" s="15"/>
      <c r="DA951" s="16" t="s">
        <v>197</v>
      </c>
      <c r="DB951" s="17" t="s">
        <v>228</v>
      </c>
      <c r="DC951" s="16"/>
      <c r="DD951" s="17" t="s">
        <v>198</v>
      </c>
      <c r="DE951" s="18">
        <v>45711.695231481484</v>
      </c>
      <c r="DF951" s="17" t="s">
        <v>198</v>
      </c>
      <c r="DG951" s="18">
        <v>45711.695231481484</v>
      </c>
      <c r="DH951" s="13" t="s">
        <v>205</v>
      </c>
      <c r="DI951" s="14" t="s">
        <v>179</v>
      </c>
      <c r="DJ951" s="14" t="s">
        <v>18731</v>
      </c>
      <c r="DK951" s="14" t="s">
        <v>179</v>
      </c>
      <c r="DL951" s="14" t="s">
        <v>18731</v>
      </c>
      <c r="DM951" s="15"/>
      <c r="DN951" s="15"/>
      <c r="DO951" s="15"/>
      <c r="DP951" s="15"/>
      <c r="DQ951" s="15"/>
      <c r="DR951" s="15"/>
      <c r="DS951" s="15"/>
      <c r="DT951" s="15"/>
      <c r="DU951" s="15"/>
      <c r="DV951" s="15"/>
      <c r="DW951" s="15"/>
      <c r="DX951" s="15"/>
      <c r="DY951" s="15"/>
      <c r="DZ951" s="15"/>
      <c r="EA951" s="15"/>
      <c r="EB951" s="15"/>
      <c r="EC951" s="16" t="s">
        <v>197</v>
      </c>
      <c r="ED951" s="17" t="s">
        <v>198</v>
      </c>
      <c r="EE951" s="18">
        <v>45711.69532407408</v>
      </c>
      <c r="EF951" s="13" t="s">
        <v>209</v>
      </c>
      <c r="EG951" s="14" t="s">
        <v>179</v>
      </c>
      <c r="EH951" s="14" t="s">
        <v>18732</v>
      </c>
      <c r="EI951" s="14" t="s">
        <v>179</v>
      </c>
      <c r="EJ951" s="14" t="s">
        <v>18733</v>
      </c>
      <c r="EK951" s="15"/>
      <c r="EL951" s="15"/>
      <c r="EM951" s="15"/>
      <c r="EN951" s="15"/>
      <c r="EO951" s="15"/>
      <c r="EP951" s="15"/>
      <c r="EQ951" s="15"/>
      <c r="ER951" s="15"/>
      <c r="ES951" s="15"/>
      <c r="ET951" s="15"/>
      <c r="EU951" s="15"/>
      <c r="EV951" s="15"/>
      <c r="EW951" s="15"/>
      <c r="EX951" s="15"/>
      <c r="EY951" s="15"/>
      <c r="EZ951" s="15"/>
      <c r="FA951" s="15"/>
      <c r="FB951" s="15"/>
      <c r="FC951" s="16" t="s">
        <v>197</v>
      </c>
      <c r="FD951" s="17" t="s">
        <v>198</v>
      </c>
      <c r="FE951" s="18">
        <v>45711.695393518516</v>
      </c>
      <c r="FF951" s="19"/>
      <c r="FG951" s="19"/>
      <c r="FH951" s="21" t="s">
        <v>197</v>
      </c>
      <c r="FI951" s="17" t="s">
        <v>214</v>
      </c>
      <c r="FJ951" s="18">
        <v>45711.695393518516</v>
      </c>
      <c r="FK951" s="14" t="s">
        <v>18733</v>
      </c>
      <c r="FL951" s="14" t="s">
        <v>18734</v>
      </c>
      <c r="FM951" s="14" t="s">
        <v>18735</v>
      </c>
      <c r="FN951" s="19"/>
      <c r="FO951" s="19"/>
      <c r="FP951" s="19" t="str">
        <f t="shared" si="1"/>
        <v>Base de Dados_Images/VIT81039.Imagem do Equipamento-.132104.jpg</v>
      </c>
      <c r="FQ951" s="19"/>
      <c r="FR951" s="19"/>
    </row>
    <row r="952" ht="15.75" customHeight="1">
      <c r="A952" s="12" t="s">
        <v>292</v>
      </c>
      <c r="B952" s="12" t="s">
        <v>12788</v>
      </c>
      <c r="C952" s="24" t="s">
        <v>14345</v>
      </c>
      <c r="D952" s="12" t="s">
        <v>18736</v>
      </c>
      <c r="E952" s="12" t="s">
        <v>18737</v>
      </c>
      <c r="F952" s="13" t="s">
        <v>178</v>
      </c>
      <c r="G952" s="14" t="s">
        <v>179</v>
      </c>
      <c r="H952" s="14" t="s">
        <v>18738</v>
      </c>
      <c r="I952" s="14" t="s">
        <v>179</v>
      </c>
      <c r="J952" s="14" t="s">
        <v>18739</v>
      </c>
      <c r="K952" s="14" t="s">
        <v>179</v>
      </c>
      <c r="L952" s="14" t="s">
        <v>18740</v>
      </c>
      <c r="M952" s="14" t="s">
        <v>179</v>
      </c>
      <c r="N952" s="14" t="s">
        <v>18741</v>
      </c>
      <c r="O952" s="14" t="s">
        <v>179</v>
      </c>
      <c r="P952" s="14" t="s">
        <v>18742</v>
      </c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6" t="s">
        <v>197</v>
      </c>
      <c r="BP952" s="17" t="s">
        <v>198</v>
      </c>
      <c r="BQ952" s="18">
        <v>45688.51383101852</v>
      </c>
      <c r="BR952" s="17" t="s">
        <v>228</v>
      </c>
      <c r="BS952" s="23"/>
      <c r="BT952" s="17" t="s">
        <v>198</v>
      </c>
      <c r="BU952" s="18">
        <v>45688.51383101852</v>
      </c>
      <c r="BV952" s="13" t="s">
        <v>199</v>
      </c>
      <c r="BW952" s="14" t="s">
        <v>179</v>
      </c>
      <c r="BX952" s="14" t="s">
        <v>18743</v>
      </c>
      <c r="BY952" s="15"/>
      <c r="BZ952" s="15"/>
      <c r="CA952" s="15"/>
      <c r="CB952" s="15"/>
      <c r="CC952" s="15"/>
      <c r="CD952" s="15"/>
      <c r="CE952" s="15"/>
      <c r="CF952" s="15"/>
      <c r="CG952" s="19"/>
      <c r="CH952" s="15"/>
      <c r="CI952" s="19"/>
      <c r="CJ952" s="15"/>
      <c r="CK952" s="19"/>
      <c r="CL952" s="15"/>
      <c r="CM952" s="19"/>
      <c r="CN952" s="15"/>
      <c r="CO952" s="19"/>
      <c r="CP952" s="15"/>
      <c r="CQ952" s="15"/>
      <c r="CR952" s="15"/>
      <c r="CS952" s="19"/>
      <c r="CT952" s="15"/>
      <c r="CU952" s="19"/>
      <c r="CV952" s="15"/>
      <c r="CW952" s="19"/>
      <c r="CX952" s="15"/>
      <c r="CY952" s="19"/>
      <c r="CZ952" s="15"/>
      <c r="DA952" s="16" t="s">
        <v>197</v>
      </c>
      <c r="DB952" s="17" t="s">
        <v>198</v>
      </c>
      <c r="DC952" s="20">
        <v>45693.4374537037</v>
      </c>
      <c r="DD952" s="17" t="s">
        <v>228</v>
      </c>
      <c r="DE952" s="23"/>
      <c r="DF952" s="17" t="s">
        <v>198</v>
      </c>
      <c r="DG952" s="18">
        <v>45693.4374537037</v>
      </c>
      <c r="DH952" s="13" t="s">
        <v>205</v>
      </c>
      <c r="DI952" s="15"/>
      <c r="DJ952" s="15"/>
      <c r="DK952" s="15"/>
      <c r="DL952" s="15"/>
      <c r="DM952" s="15"/>
      <c r="DN952" s="15"/>
      <c r="DO952" s="15"/>
      <c r="DP952" s="15"/>
      <c r="DQ952" s="15"/>
      <c r="DR952" s="15"/>
      <c r="DS952" s="15"/>
      <c r="DT952" s="15"/>
      <c r="DU952" s="15"/>
      <c r="DV952" s="15"/>
      <c r="DW952" s="15"/>
      <c r="DX952" s="15"/>
      <c r="DY952" s="15"/>
      <c r="DZ952" s="15"/>
      <c r="EA952" s="15"/>
      <c r="EB952" s="15"/>
      <c r="EC952" s="16" t="s">
        <v>197</v>
      </c>
      <c r="ED952" s="17" t="s">
        <v>228</v>
      </c>
      <c r="EE952" s="23"/>
      <c r="EF952" s="13" t="s">
        <v>209</v>
      </c>
      <c r="EG952" s="14" t="s">
        <v>179</v>
      </c>
      <c r="EH952" s="14" t="s">
        <v>18744</v>
      </c>
      <c r="EI952" s="15"/>
      <c r="EJ952" s="15"/>
      <c r="EK952" s="15"/>
      <c r="EL952" s="15"/>
      <c r="EM952" s="15"/>
      <c r="EN952" s="15"/>
      <c r="EO952" s="15"/>
      <c r="EP952" s="15"/>
      <c r="EQ952" s="15"/>
      <c r="ER952" s="15"/>
      <c r="ES952" s="15"/>
      <c r="ET952" s="15"/>
      <c r="EU952" s="15"/>
      <c r="EV952" s="15"/>
      <c r="EW952" s="15"/>
      <c r="EX952" s="15"/>
      <c r="EY952" s="15"/>
      <c r="EZ952" s="15"/>
      <c r="FA952" s="15"/>
      <c r="FB952" s="15"/>
      <c r="FC952" s="16" t="s">
        <v>197</v>
      </c>
      <c r="FD952" s="17" t="s">
        <v>198</v>
      </c>
      <c r="FE952" s="18">
        <v>45722.357199074075</v>
      </c>
      <c r="FF952" s="19"/>
      <c r="FG952" s="19"/>
      <c r="FH952" s="21" t="s">
        <v>197</v>
      </c>
      <c r="FI952" s="17" t="s">
        <v>214</v>
      </c>
      <c r="FJ952" s="18">
        <v>45722.357199074075</v>
      </c>
      <c r="FK952" s="14" t="s">
        <v>18744</v>
      </c>
      <c r="FL952" s="14" t="s">
        <v>18745</v>
      </c>
      <c r="FM952" s="14" t="s">
        <v>18746</v>
      </c>
      <c r="FN952" s="19"/>
      <c r="FO952" s="19"/>
      <c r="FP952" s="19" t="str">
        <f t="shared" si="1"/>
        <v>Base de Dados_Images/VQV 63474.Imagem do Equipamento-.155633.jpg</v>
      </c>
      <c r="FQ952" s="14"/>
      <c r="FR952" s="14"/>
    </row>
    <row r="953" ht="15.75" customHeight="1">
      <c r="A953" s="12" t="s">
        <v>292</v>
      </c>
      <c r="B953" s="12" t="s">
        <v>12788</v>
      </c>
      <c r="C953" s="24" t="s">
        <v>14345</v>
      </c>
      <c r="D953" s="12" t="s">
        <v>18747</v>
      </c>
      <c r="E953" s="12" t="s">
        <v>18748</v>
      </c>
      <c r="F953" s="13" t="s">
        <v>178</v>
      </c>
      <c r="G953" s="14" t="s">
        <v>179</v>
      </c>
      <c r="H953" s="14" t="s">
        <v>18749</v>
      </c>
      <c r="I953" s="14" t="s">
        <v>179</v>
      </c>
      <c r="J953" s="14" t="s">
        <v>18750</v>
      </c>
      <c r="K953" s="14" t="s">
        <v>179</v>
      </c>
      <c r="L953" s="14" t="s">
        <v>18751</v>
      </c>
      <c r="M953" s="14" t="s">
        <v>179</v>
      </c>
      <c r="N953" s="14" t="s">
        <v>18752</v>
      </c>
      <c r="O953" s="14" t="s">
        <v>179</v>
      </c>
      <c r="P953" s="14" t="s">
        <v>18753</v>
      </c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6" t="s">
        <v>197</v>
      </c>
      <c r="BP953" s="17" t="s">
        <v>198</v>
      </c>
      <c r="BQ953" s="18">
        <v>45696.592685185184</v>
      </c>
      <c r="BR953" s="17" t="s">
        <v>228</v>
      </c>
      <c r="BS953" s="23"/>
      <c r="BT953" s="17" t="s">
        <v>198</v>
      </c>
      <c r="BU953" s="18">
        <v>45696.592685185184</v>
      </c>
      <c r="BV953" s="13" t="s">
        <v>199</v>
      </c>
      <c r="BW953" s="14" t="s">
        <v>179</v>
      </c>
      <c r="BX953" s="14" t="s">
        <v>18754</v>
      </c>
      <c r="BY953" s="15"/>
      <c r="BZ953" s="15"/>
      <c r="CA953" s="15"/>
      <c r="CB953" s="15"/>
      <c r="CC953" s="15"/>
      <c r="CD953" s="15"/>
      <c r="CE953" s="15"/>
      <c r="CF953" s="15"/>
      <c r="CG953" s="19"/>
      <c r="CH953" s="15"/>
      <c r="CI953" s="19"/>
      <c r="CJ953" s="15"/>
      <c r="CK953" s="19"/>
      <c r="CL953" s="15"/>
      <c r="CM953" s="19"/>
      <c r="CN953" s="15"/>
      <c r="CO953" s="19"/>
      <c r="CP953" s="15"/>
      <c r="CQ953" s="15"/>
      <c r="CR953" s="15"/>
      <c r="CS953" s="19"/>
      <c r="CT953" s="15"/>
      <c r="CU953" s="19"/>
      <c r="CV953" s="15"/>
      <c r="CW953" s="19"/>
      <c r="CX953" s="15"/>
      <c r="CY953" s="19"/>
      <c r="CZ953" s="15"/>
      <c r="DA953" s="16" t="s">
        <v>197</v>
      </c>
      <c r="DB953" s="17" t="s">
        <v>198</v>
      </c>
      <c r="DC953" s="20">
        <v>45695.63056712963</v>
      </c>
      <c r="DD953" s="17" t="s">
        <v>228</v>
      </c>
      <c r="DE953" s="23"/>
      <c r="DF953" s="17" t="s">
        <v>198</v>
      </c>
      <c r="DG953" s="18">
        <v>45695.63056712963</v>
      </c>
      <c r="DH953" s="13" t="s">
        <v>205</v>
      </c>
      <c r="DI953" s="15"/>
      <c r="DJ953" s="15"/>
      <c r="DK953" s="15"/>
      <c r="DL953" s="15"/>
      <c r="DM953" s="15"/>
      <c r="DN953" s="15"/>
      <c r="DO953" s="15"/>
      <c r="DP953" s="15"/>
      <c r="DQ953" s="15"/>
      <c r="DR953" s="15"/>
      <c r="DS953" s="15"/>
      <c r="DT953" s="15"/>
      <c r="DU953" s="15"/>
      <c r="DV953" s="15"/>
      <c r="DW953" s="15"/>
      <c r="DX953" s="15"/>
      <c r="DY953" s="15"/>
      <c r="DZ953" s="15"/>
      <c r="EA953" s="15"/>
      <c r="EB953" s="15"/>
      <c r="EC953" s="16" t="s">
        <v>197</v>
      </c>
      <c r="ED953" s="17" t="s">
        <v>228</v>
      </c>
      <c r="EE953" s="23"/>
      <c r="EF953" s="13" t="s">
        <v>209</v>
      </c>
      <c r="EG953" s="14" t="s">
        <v>179</v>
      </c>
      <c r="EH953" s="14" t="s">
        <v>18755</v>
      </c>
      <c r="EI953" s="15"/>
      <c r="EJ953" s="15"/>
      <c r="EK953" s="15"/>
      <c r="EL953" s="15"/>
      <c r="EM953" s="15"/>
      <c r="EN953" s="15"/>
      <c r="EO953" s="15"/>
      <c r="EP953" s="15"/>
      <c r="EQ953" s="15"/>
      <c r="ER953" s="15"/>
      <c r="ES953" s="15"/>
      <c r="ET953" s="15"/>
      <c r="EU953" s="15"/>
      <c r="EV953" s="15"/>
      <c r="EW953" s="15"/>
      <c r="EX953" s="15"/>
      <c r="EY953" s="15"/>
      <c r="EZ953" s="15"/>
      <c r="FA953" s="15"/>
      <c r="FB953" s="15"/>
      <c r="FC953" s="16" t="s">
        <v>197</v>
      </c>
      <c r="FD953" s="17" t="s">
        <v>198</v>
      </c>
      <c r="FE953" s="18">
        <v>45722.357256944444</v>
      </c>
      <c r="FF953" s="19"/>
      <c r="FG953" s="19"/>
      <c r="FH953" s="21" t="s">
        <v>197</v>
      </c>
      <c r="FI953" s="17" t="s">
        <v>214</v>
      </c>
      <c r="FJ953" s="18">
        <v>45722.357256944444</v>
      </c>
      <c r="FK953" s="14" t="s">
        <v>18755</v>
      </c>
      <c r="FL953" s="14" t="s">
        <v>18756</v>
      </c>
      <c r="FM953" s="14" t="s">
        <v>18757</v>
      </c>
      <c r="FN953" s="19"/>
      <c r="FO953" s="19"/>
      <c r="FP953" s="19" t="str">
        <f t="shared" si="1"/>
        <v>Base de Dados_Images/VQV 63475.Imagem do Equipamento-.160347.jpg</v>
      </c>
      <c r="FQ953" s="14"/>
      <c r="FR953" s="14"/>
    </row>
    <row r="954" ht="15.75" customHeight="1">
      <c r="A954" s="12" t="s">
        <v>217</v>
      </c>
      <c r="B954" s="12" t="s">
        <v>12788</v>
      </c>
      <c r="C954" s="24" t="s">
        <v>494</v>
      </c>
      <c r="D954" s="12" t="s">
        <v>18758</v>
      </c>
      <c r="E954" s="12" t="s">
        <v>18759</v>
      </c>
      <c r="F954" s="13" t="s">
        <v>178</v>
      </c>
      <c r="G954" s="14" t="s">
        <v>179</v>
      </c>
      <c r="H954" s="14" t="s">
        <v>18760</v>
      </c>
      <c r="I954" s="14" t="s">
        <v>179</v>
      </c>
      <c r="J954" s="14" t="s">
        <v>18761</v>
      </c>
      <c r="K954" s="14" t="s">
        <v>179</v>
      </c>
      <c r="L954" s="14" t="s">
        <v>18762</v>
      </c>
      <c r="M954" s="14" t="s">
        <v>179</v>
      </c>
      <c r="N954" s="14" t="s">
        <v>18763</v>
      </c>
      <c r="O954" s="14" t="s">
        <v>179</v>
      </c>
      <c r="P954" s="14" t="s">
        <v>18764</v>
      </c>
      <c r="Q954" s="14" t="s">
        <v>179</v>
      </c>
      <c r="R954" s="14" t="s">
        <v>18765</v>
      </c>
      <c r="S954" s="14" t="s">
        <v>179</v>
      </c>
      <c r="T954" s="14" t="s">
        <v>18766</v>
      </c>
      <c r="U954" s="14" t="s">
        <v>179</v>
      </c>
      <c r="V954" s="14" t="s">
        <v>18767</v>
      </c>
      <c r="W954" s="14" t="s">
        <v>179</v>
      </c>
      <c r="X954" s="14" t="s">
        <v>18768</v>
      </c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6" t="s">
        <v>197</v>
      </c>
      <c r="BP954" s="17" t="s">
        <v>198</v>
      </c>
      <c r="BQ954" s="18">
        <v>45694.49799768518</v>
      </c>
      <c r="BR954" s="17" t="s">
        <v>198</v>
      </c>
      <c r="BS954" s="18">
        <v>45694.49804398148</v>
      </c>
      <c r="BT954" s="17" t="s">
        <v>198</v>
      </c>
      <c r="BU954" s="18">
        <v>45694.49804398148</v>
      </c>
      <c r="BV954" s="13" t="s">
        <v>199</v>
      </c>
      <c r="BW954" s="15"/>
      <c r="BX954" s="15"/>
      <c r="BY954" s="15"/>
      <c r="BZ954" s="15"/>
      <c r="CA954" s="15"/>
      <c r="CB954" s="15"/>
      <c r="CC954" s="15"/>
      <c r="CD954" s="15"/>
      <c r="CE954" s="15"/>
      <c r="CF954" s="15"/>
      <c r="CG954" s="19"/>
      <c r="CH954" s="15"/>
      <c r="CI954" s="19"/>
      <c r="CJ954" s="15"/>
      <c r="CK954" s="19"/>
      <c r="CL954" s="15"/>
      <c r="CM954" s="19"/>
      <c r="CN954" s="15"/>
      <c r="CO954" s="19"/>
      <c r="CP954" s="15"/>
      <c r="CQ954" s="15"/>
      <c r="CR954" s="15"/>
      <c r="CS954" s="19"/>
      <c r="CT954" s="15"/>
      <c r="CU954" s="19"/>
      <c r="CV954" s="15"/>
      <c r="CW954" s="19"/>
      <c r="CX954" s="15"/>
      <c r="CY954" s="19"/>
      <c r="CZ954" s="15"/>
      <c r="DA954" s="16" t="s">
        <v>197</v>
      </c>
      <c r="DB954" s="17" t="s">
        <v>228</v>
      </c>
      <c r="DC954" s="16"/>
      <c r="DD954" s="17" t="s">
        <v>228</v>
      </c>
      <c r="DE954" s="23"/>
      <c r="DF954" s="17" t="s">
        <v>228</v>
      </c>
      <c r="DG954" s="23"/>
      <c r="DH954" s="13" t="s">
        <v>205</v>
      </c>
      <c r="DI954" s="14" t="s">
        <v>179</v>
      </c>
      <c r="DJ954" s="14" t="s">
        <v>18769</v>
      </c>
      <c r="DK954" s="14" t="s">
        <v>179</v>
      </c>
      <c r="DL954" s="14" t="s">
        <v>18770</v>
      </c>
      <c r="DM954" s="15"/>
      <c r="DN954" s="15"/>
      <c r="DO954" s="15"/>
      <c r="DP954" s="15"/>
      <c r="DQ954" s="15"/>
      <c r="DR954" s="15"/>
      <c r="DS954" s="15"/>
      <c r="DT954" s="15"/>
      <c r="DU954" s="15"/>
      <c r="DV954" s="15"/>
      <c r="DW954" s="15"/>
      <c r="DX954" s="15"/>
      <c r="DY954" s="15"/>
      <c r="DZ954" s="15"/>
      <c r="EA954" s="15"/>
      <c r="EB954" s="15"/>
      <c r="EC954" s="16" t="s">
        <v>197</v>
      </c>
      <c r="ED954" s="17" t="s">
        <v>198</v>
      </c>
      <c r="EE954" s="18">
        <v>45695.63631944444</v>
      </c>
      <c r="EF954" s="13" t="s">
        <v>209</v>
      </c>
      <c r="EG954" s="14" t="s">
        <v>179</v>
      </c>
      <c r="EH954" s="14" t="s">
        <v>18771</v>
      </c>
      <c r="EI954" s="14" t="s">
        <v>179</v>
      </c>
      <c r="EJ954" s="14" t="s">
        <v>18772</v>
      </c>
      <c r="EK954" s="14" t="s">
        <v>179</v>
      </c>
      <c r="EL954" s="14" t="s">
        <v>18773</v>
      </c>
      <c r="EM954" s="14" t="s">
        <v>179</v>
      </c>
      <c r="EN954" s="14" t="s">
        <v>18774</v>
      </c>
      <c r="EO954" s="15"/>
      <c r="EP954" s="15"/>
      <c r="EQ954" s="15"/>
      <c r="ER954" s="15"/>
      <c r="ES954" s="15"/>
      <c r="ET954" s="15"/>
      <c r="EU954" s="15"/>
      <c r="EV954" s="15"/>
      <c r="EW954" s="15"/>
      <c r="EX954" s="15"/>
      <c r="EY954" s="15"/>
      <c r="EZ954" s="15"/>
      <c r="FA954" s="15"/>
      <c r="FB954" s="15"/>
      <c r="FC954" s="16" t="s">
        <v>197</v>
      </c>
      <c r="FD954" s="17" t="s">
        <v>198</v>
      </c>
      <c r="FE954" s="18">
        <v>45708.52912037037</v>
      </c>
      <c r="FF954" s="19"/>
      <c r="FG954" s="19"/>
      <c r="FH954" s="21" t="s">
        <v>197</v>
      </c>
      <c r="FI954" s="17" t="s">
        <v>214</v>
      </c>
      <c r="FJ954" s="18">
        <v>45708.52912037037</v>
      </c>
      <c r="FK954" s="14" t="s">
        <v>18774</v>
      </c>
      <c r="FL954" s="19"/>
      <c r="FM954" s="19"/>
      <c r="FN954" s="19"/>
      <c r="FO954" s="19"/>
      <c r="FP954" s="19" t="str">
        <f t="shared" si="1"/>
        <v/>
      </c>
      <c r="FQ954" s="14" t="s">
        <v>215</v>
      </c>
      <c r="FR954" s="14" t="s">
        <v>18775</v>
      </c>
    </row>
    <row r="955" ht="15.75" customHeight="1">
      <c r="A955" s="12" t="s">
        <v>292</v>
      </c>
      <c r="B955" s="12" t="s">
        <v>293</v>
      </c>
      <c r="C955" s="12" t="s">
        <v>219</v>
      </c>
      <c r="D955" s="22" t="s">
        <v>18776</v>
      </c>
      <c r="E955" s="22" t="s">
        <v>18777</v>
      </c>
      <c r="F955" s="13" t="s">
        <v>178</v>
      </c>
      <c r="G955" s="14" t="s">
        <v>179</v>
      </c>
      <c r="H955" s="14" t="s">
        <v>18778</v>
      </c>
      <c r="I955" s="14" t="s">
        <v>179</v>
      </c>
      <c r="J955" s="14" t="s">
        <v>18779</v>
      </c>
      <c r="K955" s="14" t="s">
        <v>179</v>
      </c>
      <c r="L955" s="14" t="s">
        <v>18780</v>
      </c>
      <c r="M955" s="14" t="s">
        <v>179</v>
      </c>
      <c r="N955" s="14" t="s">
        <v>18781</v>
      </c>
      <c r="O955" s="14" t="s">
        <v>179</v>
      </c>
      <c r="P955" s="14" t="s">
        <v>18782</v>
      </c>
      <c r="Q955" s="14" t="s">
        <v>179</v>
      </c>
      <c r="R955" s="14" t="s">
        <v>18783</v>
      </c>
      <c r="S955" s="14" t="s">
        <v>179</v>
      </c>
      <c r="T955" s="14" t="s">
        <v>18784</v>
      </c>
      <c r="U955" s="14" t="s">
        <v>179</v>
      </c>
      <c r="V955" s="14" t="s">
        <v>18785</v>
      </c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6" t="s">
        <v>197</v>
      </c>
      <c r="BP955" s="17" t="s">
        <v>228</v>
      </c>
      <c r="BQ955" s="23"/>
      <c r="BR955" s="17" t="s">
        <v>198</v>
      </c>
      <c r="BS955" s="18">
        <v>45688.473657407405</v>
      </c>
      <c r="BT955" s="17" t="s">
        <v>198</v>
      </c>
      <c r="BU955" s="18">
        <v>45688.473657407405</v>
      </c>
      <c r="BV955" s="13" t="s">
        <v>199</v>
      </c>
      <c r="BW955" s="14" t="s">
        <v>179</v>
      </c>
      <c r="BX955" s="14" t="s">
        <v>18786</v>
      </c>
      <c r="BY955" s="14" t="s">
        <v>179</v>
      </c>
      <c r="BZ955" s="14" t="s">
        <v>18786</v>
      </c>
      <c r="CA955" s="15"/>
      <c r="CB955" s="15"/>
      <c r="CC955" s="15"/>
      <c r="CD955" s="15"/>
      <c r="CE955" s="15"/>
      <c r="CF955" s="15"/>
      <c r="CG955" s="19"/>
      <c r="CH955" s="15"/>
      <c r="CI955" s="19"/>
      <c r="CJ955" s="15"/>
      <c r="CK955" s="19"/>
      <c r="CL955" s="15"/>
      <c r="CM955" s="19"/>
      <c r="CN955" s="15"/>
      <c r="CO955" s="19"/>
      <c r="CP955" s="15"/>
      <c r="CQ955" s="15"/>
      <c r="CR955" s="15"/>
      <c r="CS955" s="19"/>
      <c r="CT955" s="15"/>
      <c r="CU955" s="19"/>
      <c r="CV955" s="15"/>
      <c r="CW955" s="19"/>
      <c r="CX955" s="15"/>
      <c r="CY955" s="19"/>
      <c r="CZ955" s="15"/>
      <c r="DA955" s="16" t="s">
        <v>197</v>
      </c>
      <c r="DB955" s="17" t="s">
        <v>228</v>
      </c>
      <c r="DC955" s="16"/>
      <c r="DD955" s="17" t="s">
        <v>198</v>
      </c>
      <c r="DE955" s="18">
        <v>45720.560277777775</v>
      </c>
      <c r="DF955" s="17" t="s">
        <v>198</v>
      </c>
      <c r="DG955" s="18">
        <v>45720.560277777775</v>
      </c>
      <c r="DH955" s="13" t="s">
        <v>205</v>
      </c>
      <c r="DI955" s="14" t="s">
        <v>179</v>
      </c>
      <c r="DJ955" s="14" t="s">
        <v>18787</v>
      </c>
      <c r="DK955" s="15"/>
      <c r="DL955" s="15"/>
      <c r="DM955" s="15"/>
      <c r="DN955" s="15"/>
      <c r="DO955" s="15"/>
      <c r="DP955" s="15"/>
      <c r="DQ955" s="15"/>
      <c r="DR955" s="15"/>
      <c r="DS955" s="15"/>
      <c r="DT955" s="15"/>
      <c r="DU955" s="15"/>
      <c r="DV955" s="15"/>
      <c r="DW955" s="15"/>
      <c r="DX955" s="15"/>
      <c r="DY955" s="15"/>
      <c r="DZ955" s="15"/>
      <c r="EA955" s="15"/>
      <c r="EB955" s="15"/>
      <c r="EC955" s="16" t="s">
        <v>197</v>
      </c>
      <c r="ED955" s="17" t="s">
        <v>198</v>
      </c>
      <c r="EE955" s="18">
        <v>45720.56041666667</v>
      </c>
      <c r="EF955" s="13" t="s">
        <v>209</v>
      </c>
      <c r="EG955" s="14" t="s">
        <v>179</v>
      </c>
      <c r="EH955" s="14" t="s">
        <v>18788</v>
      </c>
      <c r="EI955" s="15"/>
      <c r="EJ955" s="15"/>
      <c r="EK955" s="15"/>
      <c r="EL955" s="15"/>
      <c r="EM955" s="15"/>
      <c r="EN955" s="15"/>
      <c r="EO955" s="15"/>
      <c r="EP955" s="15"/>
      <c r="EQ955" s="15"/>
      <c r="ER955" s="15"/>
      <c r="ES955" s="15"/>
      <c r="ET955" s="15"/>
      <c r="EU955" s="15"/>
      <c r="EV955" s="15"/>
      <c r="EW955" s="15"/>
      <c r="EX955" s="15"/>
      <c r="EY955" s="15"/>
      <c r="EZ955" s="15"/>
      <c r="FA955" s="15"/>
      <c r="FB955" s="15"/>
      <c r="FC955" s="16" t="s">
        <v>197</v>
      </c>
      <c r="FD955" s="17" t="s">
        <v>198</v>
      </c>
      <c r="FE955" s="18">
        <v>45723.30590277778</v>
      </c>
      <c r="FF955" s="19"/>
      <c r="FG955" s="19"/>
      <c r="FH955" s="21" t="s">
        <v>197</v>
      </c>
      <c r="FI955" s="17" t="s">
        <v>214</v>
      </c>
      <c r="FJ955" s="18">
        <v>45723.30590277778</v>
      </c>
      <c r="FK955" s="14" t="s">
        <v>18788</v>
      </c>
      <c r="FL955" s="14" t="s">
        <v>18789</v>
      </c>
      <c r="FM955" s="14" t="s">
        <v>18790</v>
      </c>
      <c r="FN955" s="19"/>
      <c r="FO955" s="19"/>
      <c r="FP955" s="19" t="str">
        <f t="shared" si="1"/>
        <v>Base de Dados_Images/VR3008.Imagem do Equipamento-.154401.jpg</v>
      </c>
      <c r="FQ955" s="19"/>
      <c r="FR955" s="19"/>
    </row>
    <row r="956" ht="15.75" customHeight="1">
      <c r="A956" s="12" t="s">
        <v>461</v>
      </c>
      <c r="B956" s="12" t="s">
        <v>462</v>
      </c>
      <c r="C956" s="24" t="s">
        <v>9260</v>
      </c>
      <c r="D956" s="22" t="s">
        <v>18791</v>
      </c>
      <c r="E956" s="22" t="s">
        <v>18792</v>
      </c>
      <c r="F956" s="13" t="s">
        <v>178</v>
      </c>
      <c r="G956" s="14" t="s">
        <v>179</v>
      </c>
      <c r="H956" s="14" t="s">
        <v>18793</v>
      </c>
      <c r="I956" s="14" t="s">
        <v>179</v>
      </c>
      <c r="J956" s="14" t="s">
        <v>18794</v>
      </c>
      <c r="K956" s="14" t="s">
        <v>179</v>
      </c>
      <c r="L956" s="14" t="s">
        <v>18795</v>
      </c>
      <c r="M956" s="14" t="s">
        <v>179</v>
      </c>
      <c r="N956" s="14" t="s">
        <v>18796</v>
      </c>
      <c r="O956" s="14" t="s">
        <v>179</v>
      </c>
      <c r="P956" s="14" t="s">
        <v>18797</v>
      </c>
      <c r="Q956" s="14" t="s">
        <v>179</v>
      </c>
      <c r="R956" s="14" t="s">
        <v>18798</v>
      </c>
      <c r="S956" s="14" t="s">
        <v>179</v>
      </c>
      <c r="T956" s="14" t="s">
        <v>18799</v>
      </c>
      <c r="U956" s="14" t="s">
        <v>179</v>
      </c>
      <c r="V956" s="14" t="s">
        <v>18800</v>
      </c>
      <c r="W956" s="14" t="s">
        <v>179</v>
      </c>
      <c r="X956" s="14" t="s">
        <v>18801</v>
      </c>
      <c r="Y956" s="14" t="s">
        <v>179</v>
      </c>
      <c r="Z956" s="14" t="s">
        <v>18802</v>
      </c>
      <c r="AA956" s="14" t="s">
        <v>179</v>
      </c>
      <c r="AB956" s="14" t="s">
        <v>18803</v>
      </c>
      <c r="AC956" s="14" t="s">
        <v>179</v>
      </c>
      <c r="AD956" s="14" t="s">
        <v>18804</v>
      </c>
      <c r="AE956" s="14" t="s">
        <v>179</v>
      </c>
      <c r="AF956" s="14" t="s">
        <v>18805</v>
      </c>
      <c r="AG956" s="14" t="s">
        <v>179</v>
      </c>
      <c r="AH956" s="14" t="s">
        <v>18806</v>
      </c>
      <c r="AI956" s="14" t="s">
        <v>179</v>
      </c>
      <c r="AJ956" s="14" t="s">
        <v>18807</v>
      </c>
      <c r="AK956" s="14" t="s">
        <v>179</v>
      </c>
      <c r="AL956" s="14" t="s">
        <v>18808</v>
      </c>
      <c r="AM956" s="14" t="s">
        <v>179</v>
      </c>
      <c r="AN956" s="14" t="s">
        <v>18809</v>
      </c>
      <c r="AO956" s="14" t="s">
        <v>179</v>
      </c>
      <c r="AP956" s="14" t="s">
        <v>18810</v>
      </c>
      <c r="AQ956" s="14" t="s">
        <v>179</v>
      </c>
      <c r="AR956" s="14" t="s">
        <v>18811</v>
      </c>
      <c r="AS956" s="14" t="s">
        <v>179</v>
      </c>
      <c r="AT956" s="14" t="s">
        <v>18812</v>
      </c>
      <c r="AU956" s="14" t="s">
        <v>179</v>
      </c>
      <c r="AV956" s="14" t="s">
        <v>18813</v>
      </c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6" t="s">
        <v>197</v>
      </c>
      <c r="BP956" s="17" t="s">
        <v>198</v>
      </c>
      <c r="BQ956" s="18">
        <v>45685.37516203704</v>
      </c>
      <c r="BR956" s="17" t="s">
        <v>198</v>
      </c>
      <c r="BS956" s="18">
        <v>45685.37546296296</v>
      </c>
      <c r="BT956" s="17" t="s">
        <v>198</v>
      </c>
      <c r="BU956" s="18">
        <v>45685.37546296296</v>
      </c>
      <c r="BV956" s="13" t="s">
        <v>199</v>
      </c>
      <c r="BW956" s="14" t="s">
        <v>179</v>
      </c>
      <c r="BX956" s="14" t="s">
        <v>18814</v>
      </c>
      <c r="BY956" s="14" t="s">
        <v>179</v>
      </c>
      <c r="BZ956" s="14" t="s">
        <v>18815</v>
      </c>
      <c r="CA956" s="14" t="s">
        <v>179</v>
      </c>
      <c r="CB956" s="14" t="s">
        <v>18816</v>
      </c>
      <c r="CC956" s="14" t="s">
        <v>179</v>
      </c>
      <c r="CD956" s="14" t="s">
        <v>18816</v>
      </c>
      <c r="CE956" s="14" t="s">
        <v>179</v>
      </c>
      <c r="CF956" s="14" t="s">
        <v>18817</v>
      </c>
      <c r="CG956" s="14" t="s">
        <v>179</v>
      </c>
      <c r="CH956" s="14" t="s">
        <v>18817</v>
      </c>
      <c r="CI956" s="14" t="s">
        <v>179</v>
      </c>
      <c r="CJ956" s="14" t="s">
        <v>18818</v>
      </c>
      <c r="CK956" s="19"/>
      <c r="CL956" s="15"/>
      <c r="CM956" s="19"/>
      <c r="CN956" s="15"/>
      <c r="CO956" s="19"/>
      <c r="CP956" s="15"/>
      <c r="CQ956" s="15"/>
      <c r="CR956" s="15"/>
      <c r="CS956" s="19"/>
      <c r="CT956" s="15"/>
      <c r="CU956" s="19"/>
      <c r="CV956" s="15"/>
      <c r="CW956" s="19"/>
      <c r="CX956" s="15"/>
      <c r="CY956" s="19"/>
      <c r="CZ956" s="15"/>
      <c r="DA956" s="16" t="s">
        <v>197</v>
      </c>
      <c r="DB956" s="17" t="s">
        <v>198</v>
      </c>
      <c r="DC956" s="20">
        <v>45722.37739583333</v>
      </c>
      <c r="DD956" s="17" t="s">
        <v>198</v>
      </c>
      <c r="DE956" s="18">
        <v>45722.37744212963</v>
      </c>
      <c r="DF956" s="17" t="s">
        <v>198</v>
      </c>
      <c r="DG956" s="18">
        <v>45722.37744212963</v>
      </c>
      <c r="DH956" s="13" t="s">
        <v>205</v>
      </c>
      <c r="DI956" s="14" t="s">
        <v>179</v>
      </c>
      <c r="DJ956" s="14" t="s">
        <v>18819</v>
      </c>
      <c r="DK956" s="14" t="s">
        <v>179</v>
      </c>
      <c r="DL956" s="14" t="s">
        <v>18820</v>
      </c>
      <c r="DM956" s="14" t="s">
        <v>179</v>
      </c>
      <c r="DN956" s="14" t="s">
        <v>18820</v>
      </c>
      <c r="DO956" s="15"/>
      <c r="DP956" s="15"/>
      <c r="DQ956" s="15"/>
      <c r="DR956" s="15"/>
      <c r="DS956" s="15"/>
      <c r="DT956" s="15"/>
      <c r="DU956" s="15"/>
      <c r="DV956" s="15"/>
      <c r="DW956" s="15"/>
      <c r="DX956" s="15"/>
      <c r="DY956" s="15"/>
      <c r="DZ956" s="15"/>
      <c r="EA956" s="15"/>
      <c r="EB956" s="15"/>
      <c r="EC956" s="16" t="s">
        <v>197</v>
      </c>
      <c r="ED956" s="17" t="s">
        <v>198</v>
      </c>
      <c r="EE956" s="18">
        <v>45722.3775</v>
      </c>
      <c r="EF956" s="13" t="s">
        <v>209</v>
      </c>
      <c r="EG956" s="14" t="s">
        <v>179</v>
      </c>
      <c r="EH956" s="14" t="s">
        <v>18821</v>
      </c>
      <c r="EI956" s="14" t="s">
        <v>179</v>
      </c>
      <c r="EJ956" s="14" t="s">
        <v>18822</v>
      </c>
      <c r="EK956" s="14" t="s">
        <v>179</v>
      </c>
      <c r="EL956" s="14" t="s">
        <v>18822</v>
      </c>
      <c r="EM956" s="15"/>
      <c r="EN956" s="15"/>
      <c r="EO956" s="15"/>
      <c r="EP956" s="15"/>
      <c r="EQ956" s="15"/>
      <c r="ER956" s="15"/>
      <c r="ES956" s="15"/>
      <c r="ET956" s="15"/>
      <c r="EU956" s="15"/>
      <c r="EV956" s="15"/>
      <c r="EW956" s="15"/>
      <c r="EX956" s="15"/>
      <c r="EY956" s="15"/>
      <c r="EZ956" s="15"/>
      <c r="FA956" s="15"/>
      <c r="FB956" s="15"/>
      <c r="FC956" s="16" t="s">
        <v>197</v>
      </c>
      <c r="FD956" s="17" t="s">
        <v>198</v>
      </c>
      <c r="FE956" s="18">
        <v>45723.35988425926</v>
      </c>
      <c r="FF956" s="19"/>
      <c r="FG956" s="19"/>
      <c r="FH956" s="21" t="s">
        <v>197</v>
      </c>
      <c r="FI956" s="17" t="s">
        <v>214</v>
      </c>
      <c r="FJ956" s="18">
        <v>45723.35988425926</v>
      </c>
      <c r="FK956" s="14" t="s">
        <v>18822</v>
      </c>
      <c r="FL956" s="14" t="s">
        <v>18823</v>
      </c>
      <c r="FM956" s="14" t="s">
        <v>18824</v>
      </c>
      <c r="FN956" s="14" t="s">
        <v>18825</v>
      </c>
      <c r="FO956" s="14" t="s">
        <v>18826</v>
      </c>
      <c r="FP956" s="19" t="str">
        <f t="shared" si="1"/>
        <v>Base de Dados_Images/VT4001.Imagem do Equipamento-.153315.jpg</v>
      </c>
      <c r="FQ956" s="19"/>
      <c r="FR956" s="19"/>
    </row>
    <row r="957" ht="15.75" customHeight="1">
      <c r="A957" s="25" t="s">
        <v>357</v>
      </c>
      <c r="B957" s="25" t="s">
        <v>358</v>
      </c>
      <c r="C957" s="26" t="s">
        <v>9260</v>
      </c>
      <c r="D957" s="25" t="s">
        <v>18827</v>
      </c>
      <c r="E957" s="25" t="s">
        <v>18828</v>
      </c>
      <c r="F957" s="27" t="s">
        <v>178</v>
      </c>
      <c r="G957" s="14" t="s">
        <v>179</v>
      </c>
      <c r="H957" s="14" t="s">
        <v>18829</v>
      </c>
      <c r="I957" s="14" t="s">
        <v>179</v>
      </c>
      <c r="J957" s="14" t="s">
        <v>18830</v>
      </c>
      <c r="K957" s="14" t="s">
        <v>179</v>
      </c>
      <c r="L957" s="14" t="s">
        <v>18831</v>
      </c>
      <c r="M957" s="14" t="s">
        <v>179</v>
      </c>
      <c r="N957" s="14" t="s">
        <v>18832</v>
      </c>
      <c r="O957" s="14" t="s">
        <v>179</v>
      </c>
      <c r="P957" s="14" t="s">
        <v>18833</v>
      </c>
      <c r="Q957" s="14" t="s">
        <v>179</v>
      </c>
      <c r="R957" s="14" t="s">
        <v>18834</v>
      </c>
      <c r="S957" s="14" t="s">
        <v>179</v>
      </c>
      <c r="T957" s="14" t="s">
        <v>18835</v>
      </c>
      <c r="U957" s="14" t="s">
        <v>179</v>
      </c>
      <c r="V957" s="14" t="s">
        <v>18836</v>
      </c>
      <c r="W957" s="14" t="s">
        <v>179</v>
      </c>
      <c r="X957" s="14" t="s">
        <v>18837</v>
      </c>
      <c r="Y957" s="14" t="s">
        <v>179</v>
      </c>
      <c r="Z957" s="14" t="s">
        <v>18838</v>
      </c>
      <c r="AA957" s="14" t="s">
        <v>179</v>
      </c>
      <c r="AB957" s="14" t="s">
        <v>18839</v>
      </c>
      <c r="AC957" s="14" t="s">
        <v>179</v>
      </c>
      <c r="AD957" s="14" t="s">
        <v>18840</v>
      </c>
      <c r="AE957" s="14" t="s">
        <v>179</v>
      </c>
      <c r="AF957" s="14" t="s">
        <v>18841</v>
      </c>
      <c r="AG957" s="14" t="s">
        <v>179</v>
      </c>
      <c r="AH957" s="14" t="s">
        <v>18842</v>
      </c>
      <c r="AI957" s="14" t="s">
        <v>179</v>
      </c>
      <c r="AJ957" s="14" t="s">
        <v>18843</v>
      </c>
      <c r="AK957" s="14" t="s">
        <v>179</v>
      </c>
      <c r="AL957" s="14" t="s">
        <v>18844</v>
      </c>
      <c r="AM957" s="14" t="s">
        <v>179</v>
      </c>
      <c r="AN957" s="14" t="s">
        <v>18845</v>
      </c>
      <c r="AO957" s="14" t="s">
        <v>179</v>
      </c>
      <c r="AP957" s="14" t="s">
        <v>18846</v>
      </c>
      <c r="AQ957" s="14" t="s">
        <v>179</v>
      </c>
      <c r="AR957" s="14" t="s">
        <v>18847</v>
      </c>
      <c r="AS957" s="14" t="s">
        <v>179</v>
      </c>
      <c r="AT957" s="14" t="s">
        <v>18848</v>
      </c>
      <c r="AU957" s="14" t="s">
        <v>179</v>
      </c>
      <c r="AV957" s="14" t="s">
        <v>18849</v>
      </c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7" t="s">
        <v>197</v>
      </c>
      <c r="BP957" s="17" t="s">
        <v>198</v>
      </c>
      <c r="BQ957" s="18">
        <v>45694.51121527778</v>
      </c>
      <c r="BR957" s="17" t="s">
        <v>198</v>
      </c>
      <c r="BS957" s="18">
        <v>45694.51111111111</v>
      </c>
      <c r="BT957" s="17" t="s">
        <v>198</v>
      </c>
      <c r="BU957" s="18">
        <v>45694.51121527778</v>
      </c>
      <c r="BV957" s="27" t="s">
        <v>199</v>
      </c>
      <c r="BW957" s="14" t="s">
        <v>179</v>
      </c>
      <c r="BX957" s="14" t="s">
        <v>18850</v>
      </c>
      <c r="BY957" s="14" t="s">
        <v>179</v>
      </c>
      <c r="BZ957" s="14" t="s">
        <v>18851</v>
      </c>
      <c r="CA957" s="14" t="s">
        <v>179</v>
      </c>
      <c r="CB957" s="14" t="s">
        <v>18852</v>
      </c>
      <c r="CC957" s="14" t="s">
        <v>179</v>
      </c>
      <c r="CD957" s="14" t="s">
        <v>18853</v>
      </c>
      <c r="CE957" s="14" t="s">
        <v>179</v>
      </c>
      <c r="CF957" s="14" t="s">
        <v>18854</v>
      </c>
      <c r="CG957" s="14" t="s">
        <v>179</v>
      </c>
      <c r="CH957" s="14" t="s">
        <v>18855</v>
      </c>
      <c r="CI957" s="14" t="s">
        <v>179</v>
      </c>
      <c r="CJ957" s="14" t="s">
        <v>18856</v>
      </c>
      <c r="CK957" s="19"/>
      <c r="CL957" s="15"/>
      <c r="CM957" s="19"/>
      <c r="CN957" s="15"/>
      <c r="CO957" s="19"/>
      <c r="CP957" s="15"/>
      <c r="CQ957" s="15"/>
      <c r="CR957" s="15"/>
      <c r="CS957" s="19"/>
      <c r="CT957" s="15"/>
      <c r="CU957" s="19"/>
      <c r="CV957" s="15"/>
      <c r="CW957" s="19"/>
      <c r="CX957" s="15"/>
      <c r="CY957" s="19"/>
      <c r="CZ957" s="15"/>
      <c r="DA957" s="17" t="s">
        <v>197</v>
      </c>
      <c r="DB957" s="17" t="s">
        <v>198</v>
      </c>
      <c r="DC957" s="20">
        <v>45711.68431712963</v>
      </c>
      <c r="DD957" s="17" t="s">
        <v>198</v>
      </c>
      <c r="DE957" s="18">
        <v>45711.68439814815</v>
      </c>
      <c r="DF957" s="17" t="s">
        <v>198</v>
      </c>
      <c r="DG957" s="18">
        <v>45711.68439814815</v>
      </c>
      <c r="DH957" s="27" t="s">
        <v>205</v>
      </c>
      <c r="DI957" s="14" t="s">
        <v>179</v>
      </c>
      <c r="DJ957" s="14" t="s">
        <v>18857</v>
      </c>
      <c r="DK957" s="14" t="s">
        <v>179</v>
      </c>
      <c r="DL957" s="14" t="s">
        <v>18858</v>
      </c>
      <c r="DM957" s="14" t="s">
        <v>179</v>
      </c>
      <c r="DN957" s="14" t="s">
        <v>18859</v>
      </c>
      <c r="DO957" s="15"/>
      <c r="DP957" s="15"/>
      <c r="DQ957" s="15"/>
      <c r="DR957" s="15"/>
      <c r="DS957" s="15"/>
      <c r="DT957" s="15"/>
      <c r="DU957" s="15"/>
      <c r="DV957" s="15"/>
      <c r="DW957" s="15"/>
      <c r="DX957" s="15"/>
      <c r="DY957" s="15"/>
      <c r="DZ957" s="15"/>
      <c r="EA957" s="15"/>
      <c r="EB957" s="15"/>
      <c r="EC957" s="17" t="s">
        <v>197</v>
      </c>
      <c r="ED957" s="17" t="s">
        <v>198</v>
      </c>
      <c r="EE957" s="18">
        <v>45711.68449074074</v>
      </c>
      <c r="EF957" s="27" t="s">
        <v>209</v>
      </c>
      <c r="EG957" s="14" t="s">
        <v>179</v>
      </c>
      <c r="EH957" s="14" t="s">
        <v>18860</v>
      </c>
      <c r="EI957" s="14" t="s">
        <v>179</v>
      </c>
      <c r="EJ957" s="14" t="s">
        <v>18860</v>
      </c>
      <c r="EK957" s="14" t="s">
        <v>179</v>
      </c>
      <c r="EL957" s="14" t="s">
        <v>18861</v>
      </c>
      <c r="EM957" s="15"/>
      <c r="EN957" s="15"/>
      <c r="EO957" s="15"/>
      <c r="EP957" s="15"/>
      <c r="EQ957" s="15"/>
      <c r="ER957" s="15"/>
      <c r="ES957" s="15"/>
      <c r="ET957" s="15"/>
      <c r="EU957" s="15"/>
      <c r="EV957" s="15"/>
      <c r="EW957" s="15"/>
      <c r="EX957" s="15"/>
      <c r="EY957" s="15"/>
      <c r="EZ957" s="15"/>
      <c r="FA957" s="15"/>
      <c r="FB957" s="15"/>
      <c r="FC957" s="17" t="s">
        <v>197</v>
      </c>
      <c r="FD957" s="17" t="s">
        <v>198</v>
      </c>
      <c r="FE957" s="18">
        <v>45713.385358796295</v>
      </c>
      <c r="FF957" s="19"/>
      <c r="FG957" s="19"/>
      <c r="FH957" s="17" t="s">
        <v>197</v>
      </c>
      <c r="FI957" s="17" t="s">
        <v>214</v>
      </c>
      <c r="FJ957" s="18">
        <v>45713.385358796295</v>
      </c>
      <c r="FK957" s="14" t="s">
        <v>18861</v>
      </c>
      <c r="FL957" s="14" t="s">
        <v>18862</v>
      </c>
      <c r="FM957" s="14" t="s">
        <v>18863</v>
      </c>
      <c r="FN957" s="14" t="s">
        <v>18864</v>
      </c>
      <c r="FO957" s="14" t="s">
        <v>18865</v>
      </c>
      <c r="FP957" s="19" t="str">
        <f t="shared" si="1"/>
        <v>Base de Dados_Images/VT8101.Imagem do Equipamento-.152915.jpg</v>
      </c>
      <c r="FQ957" s="14"/>
      <c r="FR957" s="14"/>
    </row>
    <row r="958" ht="15.75" customHeight="1">
      <c r="A958" s="25" t="s">
        <v>357</v>
      </c>
      <c r="B958" s="25" t="s">
        <v>358</v>
      </c>
      <c r="C958" s="26" t="s">
        <v>9260</v>
      </c>
      <c r="D958" s="25" t="s">
        <v>18866</v>
      </c>
      <c r="E958" s="25" t="s">
        <v>18867</v>
      </c>
      <c r="F958" s="27" t="s">
        <v>178</v>
      </c>
      <c r="G958" s="14" t="s">
        <v>179</v>
      </c>
      <c r="H958" s="14" t="s">
        <v>18868</v>
      </c>
      <c r="I958" s="14" t="s">
        <v>179</v>
      </c>
      <c r="J958" s="14" t="s">
        <v>18869</v>
      </c>
      <c r="K958" s="14" t="s">
        <v>179</v>
      </c>
      <c r="L958" s="14" t="s">
        <v>18870</v>
      </c>
      <c r="M958" s="14" t="s">
        <v>179</v>
      </c>
      <c r="N958" s="14" t="s">
        <v>18871</v>
      </c>
      <c r="O958" s="14" t="s">
        <v>179</v>
      </c>
      <c r="P958" s="14" t="s">
        <v>18872</v>
      </c>
      <c r="Q958" s="14" t="s">
        <v>179</v>
      </c>
      <c r="R958" s="14" t="s">
        <v>18873</v>
      </c>
      <c r="S958" s="14" t="s">
        <v>179</v>
      </c>
      <c r="T958" s="14" t="s">
        <v>18874</v>
      </c>
      <c r="U958" s="14" t="s">
        <v>179</v>
      </c>
      <c r="V958" s="14" t="s">
        <v>18875</v>
      </c>
      <c r="W958" s="14" t="s">
        <v>179</v>
      </c>
      <c r="X958" s="14" t="s">
        <v>18876</v>
      </c>
      <c r="Y958" s="14" t="s">
        <v>179</v>
      </c>
      <c r="Z958" s="14" t="s">
        <v>18877</v>
      </c>
      <c r="AA958" s="14" t="s">
        <v>179</v>
      </c>
      <c r="AB958" s="14" t="s">
        <v>18878</v>
      </c>
      <c r="AC958" s="14" t="s">
        <v>179</v>
      </c>
      <c r="AD958" s="14" t="s">
        <v>18879</v>
      </c>
      <c r="AE958" s="14" t="s">
        <v>179</v>
      </c>
      <c r="AF958" s="14" t="s">
        <v>18880</v>
      </c>
      <c r="AG958" s="14" t="s">
        <v>179</v>
      </c>
      <c r="AH958" s="14" t="s">
        <v>18881</v>
      </c>
      <c r="AI958" s="14" t="s">
        <v>179</v>
      </c>
      <c r="AJ958" s="14" t="s">
        <v>18882</v>
      </c>
      <c r="AK958" s="14" t="s">
        <v>179</v>
      </c>
      <c r="AL958" s="14" t="s">
        <v>18883</v>
      </c>
      <c r="AM958" s="14" t="s">
        <v>179</v>
      </c>
      <c r="AN958" s="14" t="s">
        <v>18884</v>
      </c>
      <c r="AO958" s="14" t="s">
        <v>179</v>
      </c>
      <c r="AP958" s="14" t="s">
        <v>18885</v>
      </c>
      <c r="AQ958" s="14" t="s">
        <v>179</v>
      </c>
      <c r="AR958" s="14" t="s">
        <v>18886</v>
      </c>
      <c r="AS958" s="14" t="s">
        <v>179</v>
      </c>
      <c r="AT958" s="14" t="s">
        <v>18886</v>
      </c>
      <c r="AU958" s="14" t="s">
        <v>179</v>
      </c>
      <c r="AV958" s="14" t="s">
        <v>18887</v>
      </c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7" t="s">
        <v>197</v>
      </c>
      <c r="BP958" s="17" t="s">
        <v>198</v>
      </c>
      <c r="BQ958" s="18">
        <v>45705.406793981485</v>
      </c>
      <c r="BR958" s="17" t="s">
        <v>198</v>
      </c>
      <c r="BS958" s="18">
        <v>45705.407013888886</v>
      </c>
      <c r="BT958" s="17" t="s">
        <v>198</v>
      </c>
      <c r="BU958" s="18">
        <v>45705.407013888886</v>
      </c>
      <c r="BV958" s="27" t="s">
        <v>199</v>
      </c>
      <c r="BW958" s="14" t="s">
        <v>179</v>
      </c>
      <c r="BX958" s="14" t="s">
        <v>18888</v>
      </c>
      <c r="BY958" s="14" t="s">
        <v>179</v>
      </c>
      <c r="BZ958" s="14" t="s">
        <v>18889</v>
      </c>
      <c r="CA958" s="14" t="s">
        <v>179</v>
      </c>
      <c r="CB958" s="14" t="s">
        <v>18890</v>
      </c>
      <c r="CC958" s="14" t="s">
        <v>179</v>
      </c>
      <c r="CD958" s="14" t="s">
        <v>18891</v>
      </c>
      <c r="CE958" s="14" t="s">
        <v>179</v>
      </c>
      <c r="CF958" s="14" t="s">
        <v>18892</v>
      </c>
      <c r="CG958" s="14" t="s">
        <v>179</v>
      </c>
      <c r="CH958" s="14" t="s">
        <v>18893</v>
      </c>
      <c r="CI958" s="14" t="s">
        <v>179</v>
      </c>
      <c r="CJ958" s="14" t="s">
        <v>18894</v>
      </c>
      <c r="CK958" s="19"/>
      <c r="CL958" s="15"/>
      <c r="CM958" s="19"/>
      <c r="CN958" s="15"/>
      <c r="CO958" s="19"/>
      <c r="CP958" s="15"/>
      <c r="CQ958" s="15"/>
      <c r="CR958" s="15"/>
      <c r="CS958" s="19"/>
      <c r="CT958" s="15"/>
      <c r="CU958" s="19"/>
      <c r="CV958" s="15"/>
      <c r="CW958" s="19"/>
      <c r="CX958" s="15"/>
      <c r="CY958" s="19"/>
      <c r="CZ958" s="15"/>
      <c r="DA958" s="17" t="s">
        <v>197</v>
      </c>
      <c r="DB958" s="17" t="s">
        <v>198</v>
      </c>
      <c r="DC958" s="20">
        <v>45709.37787037037</v>
      </c>
      <c r="DD958" s="17" t="s">
        <v>198</v>
      </c>
      <c r="DE958" s="18">
        <v>45709.377962962964</v>
      </c>
      <c r="DF958" s="17" t="s">
        <v>198</v>
      </c>
      <c r="DG958" s="18">
        <v>45709.377962962964</v>
      </c>
      <c r="DH958" s="27" t="s">
        <v>205</v>
      </c>
      <c r="DI958" s="14" t="s">
        <v>179</v>
      </c>
      <c r="DJ958" s="14" t="s">
        <v>18895</v>
      </c>
      <c r="DK958" s="14" t="s">
        <v>179</v>
      </c>
      <c r="DL958" s="14" t="s">
        <v>18896</v>
      </c>
      <c r="DM958" s="14" t="s">
        <v>179</v>
      </c>
      <c r="DN958" s="14" t="s">
        <v>18897</v>
      </c>
      <c r="DO958" s="15"/>
      <c r="DP958" s="15"/>
      <c r="DQ958" s="15"/>
      <c r="DR958" s="15"/>
      <c r="DS958" s="15"/>
      <c r="DT958" s="15"/>
      <c r="DU958" s="15"/>
      <c r="DV958" s="15"/>
      <c r="DW958" s="15"/>
      <c r="DX958" s="15"/>
      <c r="DY958" s="15"/>
      <c r="DZ958" s="15"/>
      <c r="EA958" s="15"/>
      <c r="EB958" s="15"/>
      <c r="EC958" s="17" t="s">
        <v>197</v>
      </c>
      <c r="ED958" s="17" t="s">
        <v>198</v>
      </c>
      <c r="EE958" s="18">
        <v>45709.37803240741</v>
      </c>
      <c r="EF958" s="27" t="s">
        <v>209</v>
      </c>
      <c r="EG958" s="14" t="s">
        <v>179</v>
      </c>
      <c r="EH958" s="14" t="s">
        <v>18898</v>
      </c>
      <c r="EI958" s="14" t="s">
        <v>179</v>
      </c>
      <c r="EJ958" s="14" t="s">
        <v>18899</v>
      </c>
      <c r="EK958" s="14" t="s">
        <v>179</v>
      </c>
      <c r="EL958" s="14" t="s">
        <v>18900</v>
      </c>
      <c r="EM958" s="15"/>
      <c r="EN958" s="15"/>
      <c r="EO958" s="15"/>
      <c r="EP958" s="15"/>
      <c r="EQ958" s="15"/>
      <c r="ER958" s="15"/>
      <c r="ES958" s="15"/>
      <c r="ET958" s="15"/>
      <c r="EU958" s="15"/>
      <c r="EV958" s="15"/>
      <c r="EW958" s="15"/>
      <c r="EX958" s="15"/>
      <c r="EY958" s="15"/>
      <c r="EZ958" s="15"/>
      <c r="FA958" s="15"/>
      <c r="FB958" s="15"/>
      <c r="FC958" s="17" t="s">
        <v>197</v>
      </c>
      <c r="FD958" s="17" t="s">
        <v>198</v>
      </c>
      <c r="FE958" s="18">
        <v>45713.38521990741</v>
      </c>
      <c r="FF958" s="19"/>
      <c r="FG958" s="19"/>
      <c r="FH958" s="17" t="s">
        <v>197</v>
      </c>
      <c r="FI958" s="17" t="s">
        <v>214</v>
      </c>
      <c r="FJ958" s="18">
        <v>45713.38521990741</v>
      </c>
      <c r="FK958" s="14" t="s">
        <v>18900</v>
      </c>
      <c r="FL958" s="14" t="s">
        <v>18901</v>
      </c>
      <c r="FM958" s="14" t="s">
        <v>18902</v>
      </c>
      <c r="FN958" s="14" t="s">
        <v>18903</v>
      </c>
      <c r="FO958" s="14" t="s">
        <v>18904</v>
      </c>
      <c r="FP958" s="19" t="str">
        <f t="shared" si="1"/>
        <v>Base de Dados_Images/VT8102.Imagem do Equipamento-.140934.jpg</v>
      </c>
      <c r="FQ958" s="14"/>
      <c r="FR958" s="14"/>
    </row>
    <row r="959" ht="15.75" customHeight="1">
      <c r="A959" s="12" t="s">
        <v>357</v>
      </c>
      <c r="B959" s="12" t="s">
        <v>8547</v>
      </c>
      <c r="C959" s="24" t="s">
        <v>9260</v>
      </c>
      <c r="D959" s="22" t="s">
        <v>18905</v>
      </c>
      <c r="E959" s="22" t="s">
        <v>18906</v>
      </c>
      <c r="F959" s="13" t="s">
        <v>178</v>
      </c>
      <c r="G959" s="14" t="s">
        <v>179</v>
      </c>
      <c r="H959" s="14" t="s">
        <v>18907</v>
      </c>
      <c r="I959" s="14" t="s">
        <v>179</v>
      </c>
      <c r="J959" s="14" t="s">
        <v>18908</v>
      </c>
      <c r="K959" s="14" t="s">
        <v>179</v>
      </c>
      <c r="L959" s="14" t="s">
        <v>18909</v>
      </c>
      <c r="M959" s="14" t="s">
        <v>179</v>
      </c>
      <c r="N959" s="14" t="s">
        <v>18910</v>
      </c>
      <c r="O959" s="14" t="s">
        <v>179</v>
      </c>
      <c r="P959" s="14" t="s">
        <v>18911</v>
      </c>
      <c r="Q959" s="14" t="s">
        <v>179</v>
      </c>
      <c r="R959" s="14" t="s">
        <v>18912</v>
      </c>
      <c r="S959" s="14" t="s">
        <v>179</v>
      </c>
      <c r="T959" s="14" t="s">
        <v>18913</v>
      </c>
      <c r="U959" s="14" t="s">
        <v>179</v>
      </c>
      <c r="V959" s="14" t="s">
        <v>18914</v>
      </c>
      <c r="W959" s="14" t="s">
        <v>179</v>
      </c>
      <c r="X959" s="14" t="s">
        <v>18915</v>
      </c>
      <c r="Y959" s="14" t="s">
        <v>179</v>
      </c>
      <c r="Z959" s="14" t="s">
        <v>18916</v>
      </c>
      <c r="AA959" s="14" t="s">
        <v>179</v>
      </c>
      <c r="AB959" s="14" t="s">
        <v>18917</v>
      </c>
      <c r="AC959" s="14" t="s">
        <v>179</v>
      </c>
      <c r="AD959" s="14" t="s">
        <v>18918</v>
      </c>
      <c r="AE959" s="14" t="s">
        <v>179</v>
      </c>
      <c r="AF959" s="14" t="s">
        <v>18919</v>
      </c>
      <c r="AG959" s="14" t="s">
        <v>179</v>
      </c>
      <c r="AH959" s="14" t="s">
        <v>18920</v>
      </c>
      <c r="AI959" s="14" t="s">
        <v>179</v>
      </c>
      <c r="AJ959" s="14" t="s">
        <v>18921</v>
      </c>
      <c r="AK959" s="14" t="s">
        <v>179</v>
      </c>
      <c r="AL959" s="14" t="s">
        <v>18922</v>
      </c>
      <c r="AM959" s="14" t="s">
        <v>179</v>
      </c>
      <c r="AN959" s="14" t="s">
        <v>18923</v>
      </c>
      <c r="AO959" s="14" t="s">
        <v>179</v>
      </c>
      <c r="AP959" s="14" t="s">
        <v>18924</v>
      </c>
      <c r="AQ959" s="14" t="s">
        <v>179</v>
      </c>
      <c r="AR959" s="14" t="s">
        <v>18925</v>
      </c>
      <c r="AS959" s="14" t="s">
        <v>179</v>
      </c>
      <c r="AT959" s="14" t="s">
        <v>18926</v>
      </c>
      <c r="AU959" s="14" t="s">
        <v>179</v>
      </c>
      <c r="AV959" s="14" t="s">
        <v>18927</v>
      </c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6" t="s">
        <v>197</v>
      </c>
      <c r="BP959" s="17" t="s">
        <v>198</v>
      </c>
      <c r="BQ959" s="18">
        <v>45685.62851851852</v>
      </c>
      <c r="BR959" s="17" t="s">
        <v>198</v>
      </c>
      <c r="BS959" s="18">
        <v>45685.628958333335</v>
      </c>
      <c r="BT959" s="17" t="s">
        <v>198</v>
      </c>
      <c r="BU959" s="18">
        <v>45685.628958333335</v>
      </c>
      <c r="BV959" s="13" t="s">
        <v>199</v>
      </c>
      <c r="BW959" s="14" t="s">
        <v>179</v>
      </c>
      <c r="BX959" s="14" t="s">
        <v>18928</v>
      </c>
      <c r="BY959" s="14" t="s">
        <v>179</v>
      </c>
      <c r="BZ959" s="14" t="s">
        <v>18929</v>
      </c>
      <c r="CA959" s="14" t="s">
        <v>179</v>
      </c>
      <c r="CB959" s="14" t="s">
        <v>18930</v>
      </c>
      <c r="CC959" s="14" t="s">
        <v>179</v>
      </c>
      <c r="CD959" s="14" t="s">
        <v>18930</v>
      </c>
      <c r="CE959" s="14" t="s">
        <v>179</v>
      </c>
      <c r="CF959" s="14" t="s">
        <v>18931</v>
      </c>
      <c r="CG959" s="14" t="s">
        <v>179</v>
      </c>
      <c r="CH959" s="14" t="s">
        <v>18931</v>
      </c>
      <c r="CI959" s="14" t="s">
        <v>179</v>
      </c>
      <c r="CJ959" s="14" t="s">
        <v>18932</v>
      </c>
      <c r="CK959" s="19"/>
      <c r="CL959" s="15"/>
      <c r="CM959" s="19"/>
      <c r="CN959" s="15"/>
      <c r="CO959" s="19"/>
      <c r="CP959" s="15"/>
      <c r="CQ959" s="15"/>
      <c r="CR959" s="15"/>
      <c r="CS959" s="19"/>
      <c r="CT959" s="15"/>
      <c r="CU959" s="19"/>
      <c r="CV959" s="15"/>
      <c r="CW959" s="19"/>
      <c r="CX959" s="15"/>
      <c r="CY959" s="19"/>
      <c r="CZ959" s="15"/>
      <c r="DA959" s="16" t="s">
        <v>197</v>
      </c>
      <c r="DB959" s="17" t="s">
        <v>198</v>
      </c>
      <c r="DC959" s="20">
        <v>45711.69278935185</v>
      </c>
      <c r="DD959" s="17" t="s">
        <v>198</v>
      </c>
      <c r="DE959" s="18">
        <v>45711.69283564815</v>
      </c>
      <c r="DF959" s="17" t="s">
        <v>198</v>
      </c>
      <c r="DG959" s="18">
        <v>45711.69283564815</v>
      </c>
      <c r="DH959" s="13" t="s">
        <v>205</v>
      </c>
      <c r="DI959" s="14" t="s">
        <v>179</v>
      </c>
      <c r="DJ959" s="14" t="s">
        <v>18933</v>
      </c>
      <c r="DK959" s="14" t="s">
        <v>179</v>
      </c>
      <c r="DL959" s="14" t="s">
        <v>18934</v>
      </c>
      <c r="DM959" s="14" t="s">
        <v>179</v>
      </c>
      <c r="DN959" s="14" t="s">
        <v>18934</v>
      </c>
      <c r="DO959" s="15"/>
      <c r="DP959" s="15"/>
      <c r="DQ959" s="15"/>
      <c r="DR959" s="15"/>
      <c r="DS959" s="15"/>
      <c r="DT959" s="15"/>
      <c r="DU959" s="15"/>
      <c r="DV959" s="15"/>
      <c r="DW959" s="15"/>
      <c r="DX959" s="15"/>
      <c r="DY959" s="15"/>
      <c r="DZ959" s="15"/>
      <c r="EA959" s="15"/>
      <c r="EB959" s="15"/>
      <c r="EC959" s="16" t="s">
        <v>197</v>
      </c>
      <c r="ED959" s="17" t="s">
        <v>198</v>
      </c>
      <c r="EE959" s="18">
        <v>45711.69289351852</v>
      </c>
      <c r="EF959" s="13" t="s">
        <v>209</v>
      </c>
      <c r="EG959" s="14" t="s">
        <v>179</v>
      </c>
      <c r="EH959" s="14" t="s">
        <v>18935</v>
      </c>
      <c r="EI959" s="14" t="s">
        <v>179</v>
      </c>
      <c r="EJ959" s="14" t="s">
        <v>18935</v>
      </c>
      <c r="EK959" s="14" t="s">
        <v>179</v>
      </c>
      <c r="EL959" s="14" t="s">
        <v>18936</v>
      </c>
      <c r="EM959" s="15"/>
      <c r="EN959" s="15"/>
      <c r="EO959" s="15"/>
      <c r="EP959" s="15"/>
      <c r="EQ959" s="15"/>
      <c r="ER959" s="15"/>
      <c r="ES959" s="15"/>
      <c r="ET959" s="15"/>
      <c r="EU959" s="15"/>
      <c r="EV959" s="15"/>
      <c r="EW959" s="15"/>
      <c r="EX959" s="15"/>
      <c r="EY959" s="15"/>
      <c r="EZ959" s="15"/>
      <c r="FA959" s="15"/>
      <c r="FB959" s="15"/>
      <c r="FC959" s="16" t="s">
        <v>197</v>
      </c>
      <c r="FD959" s="17" t="s">
        <v>198</v>
      </c>
      <c r="FE959" s="18">
        <v>45711.69300925926</v>
      </c>
      <c r="FF959" s="19"/>
      <c r="FG959" s="19"/>
      <c r="FH959" s="21" t="s">
        <v>197</v>
      </c>
      <c r="FI959" s="17" t="s">
        <v>214</v>
      </c>
      <c r="FJ959" s="18">
        <v>45711.69300925926</v>
      </c>
      <c r="FK959" s="14" t="s">
        <v>18936</v>
      </c>
      <c r="FL959" s="14" t="s">
        <v>18937</v>
      </c>
      <c r="FM959" s="14" t="s">
        <v>18938</v>
      </c>
      <c r="FN959" s="14" t="s">
        <v>18939</v>
      </c>
      <c r="FO959" s="14" t="s">
        <v>18940</v>
      </c>
      <c r="FP959" s="19" t="str">
        <f t="shared" si="1"/>
        <v>Base de Dados_Images/VT8103.Imagem do Equipamento-.183250.jpg</v>
      </c>
      <c r="FQ959" s="19"/>
      <c r="FR959" s="19"/>
    </row>
    <row r="960" ht="15.75" customHeight="1">
      <c r="A960" s="12" t="s">
        <v>357</v>
      </c>
      <c r="B960" s="12" t="s">
        <v>8547</v>
      </c>
      <c r="C960" s="24" t="s">
        <v>9260</v>
      </c>
      <c r="D960" s="22" t="s">
        <v>18941</v>
      </c>
      <c r="E960" s="22" t="s">
        <v>18942</v>
      </c>
      <c r="F960" s="13" t="s">
        <v>178</v>
      </c>
      <c r="G960" s="14" t="s">
        <v>179</v>
      </c>
      <c r="H960" s="14" t="s">
        <v>18943</v>
      </c>
      <c r="I960" s="14" t="s">
        <v>179</v>
      </c>
      <c r="J960" s="14" t="s">
        <v>18944</v>
      </c>
      <c r="K960" s="14" t="s">
        <v>179</v>
      </c>
      <c r="L960" s="14" t="s">
        <v>18944</v>
      </c>
      <c r="M960" s="14" t="s">
        <v>179</v>
      </c>
      <c r="N960" s="14" t="s">
        <v>18945</v>
      </c>
      <c r="O960" s="14" t="s">
        <v>179</v>
      </c>
      <c r="P960" s="14" t="s">
        <v>18945</v>
      </c>
      <c r="Q960" s="14" t="s">
        <v>179</v>
      </c>
      <c r="R960" s="14" t="s">
        <v>18946</v>
      </c>
      <c r="S960" s="14" t="s">
        <v>179</v>
      </c>
      <c r="T960" s="14" t="s">
        <v>18947</v>
      </c>
      <c r="U960" s="14" t="s">
        <v>179</v>
      </c>
      <c r="V960" s="14" t="s">
        <v>18948</v>
      </c>
      <c r="W960" s="14" t="s">
        <v>179</v>
      </c>
      <c r="X960" s="14" t="s">
        <v>18949</v>
      </c>
      <c r="Y960" s="14" t="s">
        <v>179</v>
      </c>
      <c r="Z960" s="14" t="s">
        <v>18949</v>
      </c>
      <c r="AA960" s="14" t="s">
        <v>179</v>
      </c>
      <c r="AB960" s="14" t="s">
        <v>18950</v>
      </c>
      <c r="AC960" s="14" t="s">
        <v>179</v>
      </c>
      <c r="AD960" s="14" t="s">
        <v>18951</v>
      </c>
      <c r="AE960" s="14" t="s">
        <v>179</v>
      </c>
      <c r="AF960" s="14" t="s">
        <v>18952</v>
      </c>
      <c r="AG960" s="14" t="s">
        <v>179</v>
      </c>
      <c r="AH960" s="14" t="s">
        <v>18953</v>
      </c>
      <c r="AI960" s="14" t="s">
        <v>179</v>
      </c>
      <c r="AJ960" s="14" t="s">
        <v>18954</v>
      </c>
      <c r="AK960" s="14" t="s">
        <v>179</v>
      </c>
      <c r="AL960" s="14" t="s">
        <v>18955</v>
      </c>
      <c r="AM960" s="14" t="s">
        <v>179</v>
      </c>
      <c r="AN960" s="14" t="s">
        <v>18955</v>
      </c>
      <c r="AO960" s="14" t="s">
        <v>179</v>
      </c>
      <c r="AP960" s="14" t="s">
        <v>18956</v>
      </c>
      <c r="AQ960" s="14" t="s">
        <v>179</v>
      </c>
      <c r="AR960" s="14" t="s">
        <v>18957</v>
      </c>
      <c r="AS960" s="14" t="s">
        <v>179</v>
      </c>
      <c r="AT960" s="14" t="s">
        <v>18958</v>
      </c>
      <c r="AU960" s="14" t="s">
        <v>179</v>
      </c>
      <c r="AV960" s="14" t="s">
        <v>18958</v>
      </c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6" t="s">
        <v>197</v>
      </c>
      <c r="BP960" s="17" t="s">
        <v>198</v>
      </c>
      <c r="BQ960" s="18">
        <v>45693.691041666665</v>
      </c>
      <c r="BR960" s="17" t="s">
        <v>198</v>
      </c>
      <c r="BS960" s="18">
        <v>45693.69091435185</v>
      </c>
      <c r="BT960" s="17" t="s">
        <v>198</v>
      </c>
      <c r="BU960" s="18">
        <v>45693.691041666665</v>
      </c>
      <c r="BV960" s="13" t="s">
        <v>199</v>
      </c>
      <c r="BW960" s="14" t="s">
        <v>179</v>
      </c>
      <c r="BX960" s="14" t="s">
        <v>18959</v>
      </c>
      <c r="BY960" s="14" t="s">
        <v>179</v>
      </c>
      <c r="BZ960" s="14" t="s">
        <v>18960</v>
      </c>
      <c r="CA960" s="14" t="s">
        <v>179</v>
      </c>
      <c r="CB960" s="14" t="s">
        <v>18961</v>
      </c>
      <c r="CC960" s="14" t="s">
        <v>179</v>
      </c>
      <c r="CD960" s="14" t="s">
        <v>18962</v>
      </c>
      <c r="CE960" s="14" t="s">
        <v>179</v>
      </c>
      <c r="CF960" s="14" t="s">
        <v>18963</v>
      </c>
      <c r="CG960" s="14" t="s">
        <v>179</v>
      </c>
      <c r="CH960" s="14" t="s">
        <v>18964</v>
      </c>
      <c r="CI960" s="14" t="s">
        <v>179</v>
      </c>
      <c r="CJ960" s="14" t="s">
        <v>18965</v>
      </c>
      <c r="CK960" s="19"/>
      <c r="CL960" s="15"/>
      <c r="CM960" s="19"/>
      <c r="CN960" s="15"/>
      <c r="CO960" s="19"/>
      <c r="CP960" s="15"/>
      <c r="CQ960" s="15"/>
      <c r="CR960" s="15"/>
      <c r="CS960" s="19"/>
      <c r="CT960" s="15"/>
      <c r="CU960" s="19"/>
      <c r="CV960" s="15"/>
      <c r="CW960" s="19"/>
      <c r="CX960" s="15"/>
      <c r="CY960" s="19"/>
      <c r="CZ960" s="15"/>
      <c r="DA960" s="16" t="s">
        <v>197</v>
      </c>
      <c r="DB960" s="17" t="s">
        <v>198</v>
      </c>
      <c r="DC960" s="20">
        <v>45711.6931712963</v>
      </c>
      <c r="DD960" s="17" t="s">
        <v>198</v>
      </c>
      <c r="DE960" s="18">
        <v>45711.69322916667</v>
      </c>
      <c r="DF960" s="17" t="s">
        <v>198</v>
      </c>
      <c r="DG960" s="18">
        <v>45711.69322916667</v>
      </c>
      <c r="DH960" s="13" t="s">
        <v>205</v>
      </c>
      <c r="DI960" s="14" t="s">
        <v>179</v>
      </c>
      <c r="DJ960" s="14" t="s">
        <v>18966</v>
      </c>
      <c r="DK960" s="14" t="s">
        <v>179</v>
      </c>
      <c r="DL960" s="14" t="s">
        <v>18967</v>
      </c>
      <c r="DM960" s="14" t="s">
        <v>179</v>
      </c>
      <c r="DN960" s="14" t="s">
        <v>18968</v>
      </c>
      <c r="DO960" s="15"/>
      <c r="DP960" s="15"/>
      <c r="DQ960" s="15"/>
      <c r="DR960" s="15"/>
      <c r="DS960" s="15"/>
      <c r="DT960" s="15"/>
      <c r="DU960" s="15"/>
      <c r="DV960" s="15"/>
      <c r="DW960" s="15"/>
      <c r="DX960" s="15"/>
      <c r="DY960" s="15"/>
      <c r="DZ960" s="15"/>
      <c r="EA960" s="15"/>
      <c r="EB960" s="15"/>
      <c r="EC960" s="16" t="s">
        <v>197</v>
      </c>
      <c r="ED960" s="17" t="s">
        <v>198</v>
      </c>
      <c r="EE960" s="18">
        <v>45711.69332175926</v>
      </c>
      <c r="EF960" s="13" t="s">
        <v>209</v>
      </c>
      <c r="EG960" s="14" t="s">
        <v>179</v>
      </c>
      <c r="EH960" s="14" t="s">
        <v>18969</v>
      </c>
      <c r="EI960" s="14" t="s">
        <v>179</v>
      </c>
      <c r="EJ960" s="14" t="s">
        <v>18970</v>
      </c>
      <c r="EK960" s="14" t="s">
        <v>179</v>
      </c>
      <c r="EL960" s="14" t="s">
        <v>18971</v>
      </c>
      <c r="EM960" s="15"/>
      <c r="EN960" s="15"/>
      <c r="EO960" s="15"/>
      <c r="EP960" s="15"/>
      <c r="EQ960" s="15"/>
      <c r="ER960" s="15"/>
      <c r="ES960" s="15"/>
      <c r="ET960" s="15"/>
      <c r="EU960" s="15"/>
      <c r="EV960" s="15"/>
      <c r="EW960" s="15"/>
      <c r="EX960" s="15"/>
      <c r="EY960" s="15"/>
      <c r="EZ960" s="15"/>
      <c r="FA960" s="15"/>
      <c r="FB960" s="15"/>
      <c r="FC960" s="16" t="s">
        <v>197</v>
      </c>
      <c r="FD960" s="17" t="s">
        <v>198</v>
      </c>
      <c r="FE960" s="18">
        <v>45711.693402777775</v>
      </c>
      <c r="FF960" s="19"/>
      <c r="FG960" s="19"/>
      <c r="FH960" s="21" t="s">
        <v>197</v>
      </c>
      <c r="FI960" s="17" t="s">
        <v>214</v>
      </c>
      <c r="FJ960" s="18">
        <v>45711.693402777775</v>
      </c>
      <c r="FK960" s="14" t="s">
        <v>18971</v>
      </c>
      <c r="FL960" s="19"/>
      <c r="FM960" s="19"/>
      <c r="FN960" s="19"/>
      <c r="FO960" s="19"/>
      <c r="FP960" s="19" t="str">
        <f t="shared" si="1"/>
        <v/>
      </c>
      <c r="FQ960" s="14" t="s">
        <v>215</v>
      </c>
      <c r="FR960" s="14" t="s">
        <v>18972</v>
      </c>
    </row>
    <row r="961" ht="15.75" customHeight="1">
      <c r="A961" s="12" t="s">
        <v>357</v>
      </c>
      <c r="B961" s="12" t="s">
        <v>4697</v>
      </c>
      <c r="C961" s="24" t="s">
        <v>9260</v>
      </c>
      <c r="D961" s="22" t="s">
        <v>18973</v>
      </c>
      <c r="E961" s="22" t="s">
        <v>18974</v>
      </c>
      <c r="F961" s="13" t="s">
        <v>178</v>
      </c>
      <c r="G961" s="14" t="s">
        <v>179</v>
      </c>
      <c r="H961" s="14" t="s">
        <v>18975</v>
      </c>
      <c r="I961" s="14" t="s">
        <v>179</v>
      </c>
      <c r="J961" s="14" t="s">
        <v>18976</v>
      </c>
      <c r="K961" s="14" t="s">
        <v>179</v>
      </c>
      <c r="L961" s="14" t="s">
        <v>18977</v>
      </c>
      <c r="M961" s="14" t="s">
        <v>179</v>
      </c>
      <c r="N961" s="14" t="s">
        <v>18978</v>
      </c>
      <c r="O961" s="14" t="s">
        <v>179</v>
      </c>
      <c r="P961" s="14" t="s">
        <v>18979</v>
      </c>
      <c r="Q961" s="14" t="s">
        <v>179</v>
      </c>
      <c r="R961" s="14" t="s">
        <v>18980</v>
      </c>
      <c r="S961" s="14" t="s">
        <v>179</v>
      </c>
      <c r="T961" s="14" t="s">
        <v>18981</v>
      </c>
      <c r="U961" s="14" t="s">
        <v>179</v>
      </c>
      <c r="V961" s="14" t="s">
        <v>18982</v>
      </c>
      <c r="W961" s="14" t="s">
        <v>179</v>
      </c>
      <c r="X961" s="14" t="s">
        <v>18983</v>
      </c>
      <c r="Y961" s="14" t="s">
        <v>179</v>
      </c>
      <c r="Z961" s="14" t="s">
        <v>18984</v>
      </c>
      <c r="AA961" s="14" t="s">
        <v>179</v>
      </c>
      <c r="AB961" s="14" t="s">
        <v>18985</v>
      </c>
      <c r="AC961" s="14" t="s">
        <v>179</v>
      </c>
      <c r="AD961" s="14" t="s">
        <v>18986</v>
      </c>
      <c r="AE961" s="14" t="s">
        <v>179</v>
      </c>
      <c r="AF961" s="14" t="s">
        <v>18987</v>
      </c>
      <c r="AG961" s="14" t="s">
        <v>179</v>
      </c>
      <c r="AH961" s="14" t="s">
        <v>18988</v>
      </c>
      <c r="AI961" s="14" t="s">
        <v>179</v>
      </c>
      <c r="AJ961" s="14" t="s">
        <v>18989</v>
      </c>
      <c r="AK961" s="14" t="s">
        <v>179</v>
      </c>
      <c r="AL961" s="14" t="s">
        <v>18990</v>
      </c>
      <c r="AM961" s="14" t="s">
        <v>179</v>
      </c>
      <c r="AN961" s="14" t="s">
        <v>18991</v>
      </c>
      <c r="AO961" s="14" t="s">
        <v>179</v>
      </c>
      <c r="AP961" s="14" t="s">
        <v>18992</v>
      </c>
      <c r="AQ961" s="14" t="s">
        <v>179</v>
      </c>
      <c r="AR961" s="14" t="s">
        <v>18993</v>
      </c>
      <c r="AS961" s="14" t="s">
        <v>179</v>
      </c>
      <c r="AT961" s="14" t="s">
        <v>18994</v>
      </c>
      <c r="AU961" s="14" t="s">
        <v>179</v>
      </c>
      <c r="AV961" s="14" t="s">
        <v>18995</v>
      </c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6" t="s">
        <v>197</v>
      </c>
      <c r="BP961" s="17" t="s">
        <v>198</v>
      </c>
      <c r="BQ961" s="18">
        <v>45687.37532407408</v>
      </c>
      <c r="BR961" s="17" t="s">
        <v>198</v>
      </c>
      <c r="BS961" s="18">
        <v>45687.375763888886</v>
      </c>
      <c r="BT961" s="17" t="s">
        <v>198</v>
      </c>
      <c r="BU961" s="18">
        <v>45687.375763888886</v>
      </c>
      <c r="BV961" s="13" t="s">
        <v>199</v>
      </c>
      <c r="BW961" s="14" t="s">
        <v>179</v>
      </c>
      <c r="BX961" s="14" t="s">
        <v>18996</v>
      </c>
      <c r="BY961" s="14" t="s">
        <v>179</v>
      </c>
      <c r="BZ961" s="14" t="s">
        <v>18997</v>
      </c>
      <c r="CA961" s="14" t="s">
        <v>179</v>
      </c>
      <c r="CB961" s="14" t="s">
        <v>18997</v>
      </c>
      <c r="CC961" s="14" t="s">
        <v>179</v>
      </c>
      <c r="CD961" s="14" t="s">
        <v>18998</v>
      </c>
      <c r="CE961" s="14" t="s">
        <v>179</v>
      </c>
      <c r="CF961" s="14" t="s">
        <v>18999</v>
      </c>
      <c r="CG961" s="14" t="s">
        <v>179</v>
      </c>
      <c r="CH961" s="14" t="s">
        <v>19000</v>
      </c>
      <c r="CI961" s="14" t="s">
        <v>179</v>
      </c>
      <c r="CJ961" s="14" t="s">
        <v>19000</v>
      </c>
      <c r="CK961" s="19"/>
      <c r="CL961" s="15"/>
      <c r="CM961" s="19"/>
      <c r="CN961" s="15"/>
      <c r="CO961" s="19"/>
      <c r="CP961" s="15"/>
      <c r="CQ961" s="15"/>
      <c r="CR961" s="15"/>
      <c r="CS961" s="19"/>
      <c r="CT961" s="15"/>
      <c r="CU961" s="19"/>
      <c r="CV961" s="15"/>
      <c r="CW961" s="19"/>
      <c r="CX961" s="15"/>
      <c r="CY961" s="19"/>
      <c r="CZ961" s="15"/>
      <c r="DA961" s="16" t="s">
        <v>197</v>
      </c>
      <c r="DB961" s="17" t="s">
        <v>198</v>
      </c>
      <c r="DC961" s="20">
        <v>45728.32231481482</v>
      </c>
      <c r="DD961" s="17" t="s">
        <v>198</v>
      </c>
      <c r="DE961" s="18">
        <v>45728.32234953704</v>
      </c>
      <c r="DF961" s="17" t="s">
        <v>198</v>
      </c>
      <c r="DG961" s="18">
        <v>45728.32234953704</v>
      </c>
      <c r="DH961" s="13" t="s">
        <v>205</v>
      </c>
      <c r="DI961" s="14" t="s">
        <v>179</v>
      </c>
      <c r="DJ961" s="14" t="s">
        <v>19001</v>
      </c>
      <c r="DK961" s="14" t="s">
        <v>179</v>
      </c>
      <c r="DL961" s="14" t="s">
        <v>19002</v>
      </c>
      <c r="DM961" s="14" t="s">
        <v>179</v>
      </c>
      <c r="DN961" s="14" t="s">
        <v>19002</v>
      </c>
      <c r="DO961" s="15"/>
      <c r="DP961" s="15"/>
      <c r="DQ961" s="15"/>
      <c r="DR961" s="15"/>
      <c r="DS961" s="15"/>
      <c r="DT961" s="15"/>
      <c r="DU961" s="15"/>
      <c r="DV961" s="15"/>
      <c r="DW961" s="15"/>
      <c r="DX961" s="15"/>
      <c r="DY961" s="15"/>
      <c r="DZ961" s="15"/>
      <c r="EA961" s="15"/>
      <c r="EB961" s="15"/>
      <c r="EC961" s="16" t="s">
        <v>197</v>
      </c>
      <c r="ED961" s="17" t="s">
        <v>198</v>
      </c>
      <c r="EE961" s="18">
        <v>45728.32240740741</v>
      </c>
      <c r="EF961" s="13" t="s">
        <v>209</v>
      </c>
      <c r="EG961" s="14" t="s">
        <v>179</v>
      </c>
      <c r="EH961" s="14" t="s">
        <v>19003</v>
      </c>
      <c r="EI961" s="14" t="s">
        <v>179</v>
      </c>
      <c r="EJ961" s="14" t="s">
        <v>19004</v>
      </c>
      <c r="EK961" s="14" t="s">
        <v>179</v>
      </c>
      <c r="EL961" s="14" t="s">
        <v>19005</v>
      </c>
      <c r="EM961" s="15"/>
      <c r="EN961" s="15"/>
      <c r="EO961" s="15"/>
      <c r="EP961" s="15"/>
      <c r="EQ961" s="15"/>
      <c r="ER961" s="15"/>
      <c r="ES961" s="15"/>
      <c r="ET961" s="15"/>
      <c r="EU961" s="15"/>
      <c r="EV961" s="15"/>
      <c r="EW961" s="15"/>
      <c r="EX961" s="15"/>
      <c r="EY961" s="15"/>
      <c r="EZ961" s="15"/>
      <c r="FA961" s="15"/>
      <c r="FB961" s="15"/>
      <c r="FC961" s="16" t="s">
        <v>197</v>
      </c>
      <c r="FD961" s="17" t="s">
        <v>198</v>
      </c>
      <c r="FE961" s="18">
        <v>45728.32246527778</v>
      </c>
      <c r="FF961" s="19"/>
      <c r="FG961" s="19"/>
      <c r="FH961" s="21" t="s">
        <v>197</v>
      </c>
      <c r="FI961" s="17" t="s">
        <v>214</v>
      </c>
      <c r="FJ961" s="18">
        <v>45728.32246527778</v>
      </c>
      <c r="FK961" s="14" t="s">
        <v>19005</v>
      </c>
      <c r="FL961" s="19"/>
      <c r="FM961" s="19"/>
      <c r="FN961" s="19"/>
      <c r="FO961" s="19"/>
      <c r="FP961" s="19" t="str">
        <f t="shared" si="1"/>
        <v/>
      </c>
      <c r="FQ961" s="14" t="s">
        <v>215</v>
      </c>
      <c r="FR961" s="14" t="s">
        <v>19006</v>
      </c>
    </row>
    <row r="962" ht="15.75" customHeight="1">
      <c r="A962" s="12" t="s">
        <v>357</v>
      </c>
      <c r="B962" s="12" t="s">
        <v>4697</v>
      </c>
      <c r="C962" s="24" t="s">
        <v>9260</v>
      </c>
      <c r="D962" s="22" t="s">
        <v>19007</v>
      </c>
      <c r="E962" s="22" t="s">
        <v>19008</v>
      </c>
      <c r="F962" s="13" t="s">
        <v>178</v>
      </c>
      <c r="G962" s="14" t="s">
        <v>179</v>
      </c>
      <c r="H962" s="14" t="s">
        <v>19009</v>
      </c>
      <c r="I962" s="14" t="s">
        <v>179</v>
      </c>
      <c r="J962" s="14" t="s">
        <v>19010</v>
      </c>
      <c r="K962" s="14" t="s">
        <v>179</v>
      </c>
      <c r="L962" s="14" t="s">
        <v>19011</v>
      </c>
      <c r="M962" s="14" t="s">
        <v>179</v>
      </c>
      <c r="N962" s="14" t="s">
        <v>19012</v>
      </c>
      <c r="O962" s="14" t="s">
        <v>179</v>
      </c>
      <c r="P962" s="14" t="s">
        <v>19013</v>
      </c>
      <c r="Q962" s="14" t="s">
        <v>179</v>
      </c>
      <c r="R962" s="14" t="s">
        <v>19014</v>
      </c>
      <c r="S962" s="14" t="s">
        <v>179</v>
      </c>
      <c r="T962" s="14" t="s">
        <v>19015</v>
      </c>
      <c r="U962" s="14" t="s">
        <v>179</v>
      </c>
      <c r="V962" s="14" t="s">
        <v>19016</v>
      </c>
      <c r="W962" s="14" t="s">
        <v>179</v>
      </c>
      <c r="X962" s="14" t="s">
        <v>19017</v>
      </c>
      <c r="Y962" s="14" t="s">
        <v>179</v>
      </c>
      <c r="Z962" s="14" t="s">
        <v>19018</v>
      </c>
      <c r="AA962" s="14" t="s">
        <v>179</v>
      </c>
      <c r="AB962" s="14" t="s">
        <v>19019</v>
      </c>
      <c r="AC962" s="14" t="s">
        <v>179</v>
      </c>
      <c r="AD962" s="14" t="s">
        <v>19020</v>
      </c>
      <c r="AE962" s="14" t="s">
        <v>179</v>
      </c>
      <c r="AF962" s="14" t="s">
        <v>19021</v>
      </c>
      <c r="AG962" s="14" t="s">
        <v>179</v>
      </c>
      <c r="AH962" s="14" t="s">
        <v>19022</v>
      </c>
      <c r="AI962" s="14" t="s">
        <v>179</v>
      </c>
      <c r="AJ962" s="14" t="s">
        <v>19023</v>
      </c>
      <c r="AK962" s="14" t="s">
        <v>179</v>
      </c>
      <c r="AL962" s="14" t="s">
        <v>19024</v>
      </c>
      <c r="AM962" s="14" t="s">
        <v>179</v>
      </c>
      <c r="AN962" s="14" t="s">
        <v>19025</v>
      </c>
      <c r="AO962" s="14" t="s">
        <v>179</v>
      </c>
      <c r="AP962" s="14" t="s">
        <v>19026</v>
      </c>
      <c r="AQ962" s="14" t="s">
        <v>179</v>
      </c>
      <c r="AR962" s="14" t="s">
        <v>19027</v>
      </c>
      <c r="AS962" s="14" t="s">
        <v>179</v>
      </c>
      <c r="AT962" s="14" t="s">
        <v>19028</v>
      </c>
      <c r="AU962" s="14" t="s">
        <v>179</v>
      </c>
      <c r="AV962" s="14" t="s">
        <v>19029</v>
      </c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6" t="s">
        <v>197</v>
      </c>
      <c r="BP962" s="17" t="s">
        <v>198</v>
      </c>
      <c r="BQ962" s="18">
        <v>45687.37663194445</v>
      </c>
      <c r="BR962" s="17" t="s">
        <v>198</v>
      </c>
      <c r="BS962" s="18">
        <v>45687.376921296294</v>
      </c>
      <c r="BT962" s="17" t="s">
        <v>198</v>
      </c>
      <c r="BU962" s="18">
        <v>45687.376921296294</v>
      </c>
      <c r="BV962" s="13" t="s">
        <v>199</v>
      </c>
      <c r="BW962" s="14" t="s">
        <v>179</v>
      </c>
      <c r="BX962" s="14" t="s">
        <v>19030</v>
      </c>
      <c r="BY962" s="14" t="s">
        <v>179</v>
      </c>
      <c r="BZ962" s="14" t="s">
        <v>19031</v>
      </c>
      <c r="CA962" s="14" t="s">
        <v>179</v>
      </c>
      <c r="CB962" s="14" t="s">
        <v>19032</v>
      </c>
      <c r="CC962" s="14" t="s">
        <v>179</v>
      </c>
      <c r="CD962" s="14" t="s">
        <v>19033</v>
      </c>
      <c r="CE962" s="14" t="s">
        <v>179</v>
      </c>
      <c r="CF962" s="14" t="s">
        <v>19033</v>
      </c>
      <c r="CG962" s="14" t="s">
        <v>188</v>
      </c>
      <c r="CH962" s="14" t="s">
        <v>19034</v>
      </c>
      <c r="CI962" s="14" t="s">
        <v>179</v>
      </c>
      <c r="CJ962" s="14" t="s">
        <v>19035</v>
      </c>
      <c r="CK962" s="19"/>
      <c r="CL962" s="15"/>
      <c r="CM962" s="19"/>
      <c r="CN962" s="15"/>
      <c r="CO962" s="19"/>
      <c r="CP962" s="15"/>
      <c r="CQ962" s="15"/>
      <c r="CR962" s="15"/>
      <c r="CS962" s="19"/>
      <c r="CT962" s="15"/>
      <c r="CU962" s="19"/>
      <c r="CV962" s="15"/>
      <c r="CW962" s="19"/>
      <c r="CX962" s="15"/>
      <c r="CY962" s="19"/>
      <c r="CZ962" s="15"/>
      <c r="DA962" s="16" t="s">
        <v>197</v>
      </c>
      <c r="DB962" s="17" t="s">
        <v>198</v>
      </c>
      <c r="DC962" s="20">
        <v>45723.3872337963</v>
      </c>
      <c r="DD962" s="17" t="s">
        <v>198</v>
      </c>
      <c r="DE962" s="18">
        <v>45723.38730324074</v>
      </c>
      <c r="DF962" s="17" t="s">
        <v>198</v>
      </c>
      <c r="DG962" s="18">
        <v>45723.38730324074</v>
      </c>
      <c r="DH962" s="13" t="s">
        <v>205</v>
      </c>
      <c r="DI962" s="14" t="s">
        <v>179</v>
      </c>
      <c r="DJ962" s="14" t="s">
        <v>19036</v>
      </c>
      <c r="DK962" s="14" t="s">
        <v>179</v>
      </c>
      <c r="DL962" s="14" t="s">
        <v>19037</v>
      </c>
      <c r="DM962" s="14" t="s">
        <v>179</v>
      </c>
      <c r="DN962" s="14" t="s">
        <v>19037</v>
      </c>
      <c r="DO962" s="15"/>
      <c r="DP962" s="15"/>
      <c r="DQ962" s="15"/>
      <c r="DR962" s="15"/>
      <c r="DS962" s="15"/>
      <c r="DT962" s="15"/>
      <c r="DU962" s="15"/>
      <c r="DV962" s="15"/>
      <c r="DW962" s="15"/>
      <c r="DX962" s="15"/>
      <c r="DY962" s="15"/>
      <c r="DZ962" s="15"/>
      <c r="EA962" s="15"/>
      <c r="EB962" s="15"/>
      <c r="EC962" s="16" t="s">
        <v>197</v>
      </c>
      <c r="ED962" s="17" t="s">
        <v>198</v>
      </c>
      <c r="EE962" s="18">
        <v>45723.38738425926</v>
      </c>
      <c r="EF962" s="13" t="s">
        <v>209</v>
      </c>
      <c r="EG962" s="14" t="s">
        <v>179</v>
      </c>
      <c r="EH962" s="14" t="s">
        <v>19038</v>
      </c>
      <c r="EI962" s="14" t="s">
        <v>179</v>
      </c>
      <c r="EJ962" s="14" t="s">
        <v>19039</v>
      </c>
      <c r="EK962" s="14" t="s">
        <v>179</v>
      </c>
      <c r="EL962" s="14" t="s">
        <v>19039</v>
      </c>
      <c r="EM962" s="15"/>
      <c r="EN962" s="15"/>
      <c r="EO962" s="15"/>
      <c r="EP962" s="15"/>
      <c r="EQ962" s="15"/>
      <c r="ER962" s="15"/>
      <c r="ES962" s="15"/>
      <c r="ET962" s="15"/>
      <c r="EU962" s="15"/>
      <c r="EV962" s="15"/>
      <c r="EW962" s="15"/>
      <c r="EX962" s="15"/>
      <c r="EY962" s="15"/>
      <c r="EZ962" s="15"/>
      <c r="FA962" s="15"/>
      <c r="FB962" s="15"/>
      <c r="FC962" s="16" t="s">
        <v>197</v>
      </c>
      <c r="FD962" s="17" t="s">
        <v>198</v>
      </c>
      <c r="FE962" s="18">
        <v>45723.38744212963</v>
      </c>
      <c r="FF962" s="19"/>
      <c r="FG962" s="19"/>
      <c r="FH962" s="21" t="s">
        <v>197</v>
      </c>
      <c r="FI962" s="17" t="s">
        <v>214</v>
      </c>
      <c r="FJ962" s="18">
        <v>45723.38744212963</v>
      </c>
      <c r="FK962" s="14" t="s">
        <v>19039</v>
      </c>
      <c r="FL962" s="19"/>
      <c r="FM962" s="19"/>
      <c r="FN962" s="19"/>
      <c r="FO962" s="19"/>
      <c r="FP962" s="19" t="str">
        <f t="shared" si="1"/>
        <v/>
      </c>
      <c r="FQ962" s="14" t="s">
        <v>215</v>
      </c>
      <c r="FR962" s="14" t="s">
        <v>19040</v>
      </c>
    </row>
    <row r="963" ht="15.75" customHeight="1">
      <c r="A963" s="12" t="s">
        <v>357</v>
      </c>
      <c r="B963" s="12" t="s">
        <v>4697</v>
      </c>
      <c r="C963" s="24" t="s">
        <v>9260</v>
      </c>
      <c r="D963" s="22" t="s">
        <v>19041</v>
      </c>
      <c r="E963" s="22" t="s">
        <v>19042</v>
      </c>
      <c r="F963" s="13" t="s">
        <v>178</v>
      </c>
      <c r="G963" s="14" t="s">
        <v>179</v>
      </c>
      <c r="H963" s="14" t="s">
        <v>19043</v>
      </c>
      <c r="I963" s="14" t="s">
        <v>179</v>
      </c>
      <c r="J963" s="14" t="s">
        <v>19044</v>
      </c>
      <c r="K963" s="14" t="s">
        <v>179</v>
      </c>
      <c r="L963" s="14" t="s">
        <v>19045</v>
      </c>
      <c r="M963" s="14" t="s">
        <v>179</v>
      </c>
      <c r="N963" s="14" t="s">
        <v>19046</v>
      </c>
      <c r="O963" s="14" t="s">
        <v>179</v>
      </c>
      <c r="P963" s="14" t="s">
        <v>19047</v>
      </c>
      <c r="Q963" s="14" t="s">
        <v>179</v>
      </c>
      <c r="R963" s="14" t="s">
        <v>19048</v>
      </c>
      <c r="S963" s="14" t="s">
        <v>179</v>
      </c>
      <c r="T963" s="14" t="s">
        <v>19049</v>
      </c>
      <c r="U963" s="14" t="s">
        <v>179</v>
      </c>
      <c r="V963" s="14" t="s">
        <v>19050</v>
      </c>
      <c r="W963" s="14" t="s">
        <v>179</v>
      </c>
      <c r="X963" s="14" t="s">
        <v>19051</v>
      </c>
      <c r="Y963" s="14" t="s">
        <v>179</v>
      </c>
      <c r="Z963" s="14" t="s">
        <v>19052</v>
      </c>
      <c r="AA963" s="14" t="s">
        <v>179</v>
      </c>
      <c r="AB963" s="14" t="s">
        <v>19053</v>
      </c>
      <c r="AC963" s="14" t="s">
        <v>179</v>
      </c>
      <c r="AD963" s="14" t="s">
        <v>19054</v>
      </c>
      <c r="AE963" s="14" t="s">
        <v>179</v>
      </c>
      <c r="AF963" s="14" t="s">
        <v>19055</v>
      </c>
      <c r="AG963" s="14" t="s">
        <v>179</v>
      </c>
      <c r="AH963" s="14" t="s">
        <v>19056</v>
      </c>
      <c r="AI963" s="14" t="s">
        <v>179</v>
      </c>
      <c r="AJ963" s="14" t="s">
        <v>19057</v>
      </c>
      <c r="AK963" s="14" t="s">
        <v>179</v>
      </c>
      <c r="AL963" s="14" t="s">
        <v>19058</v>
      </c>
      <c r="AM963" s="14" t="s">
        <v>179</v>
      </c>
      <c r="AN963" s="14" t="s">
        <v>19059</v>
      </c>
      <c r="AO963" s="14" t="s">
        <v>179</v>
      </c>
      <c r="AP963" s="14" t="s">
        <v>19060</v>
      </c>
      <c r="AQ963" s="14" t="s">
        <v>179</v>
      </c>
      <c r="AR963" s="14" t="s">
        <v>19061</v>
      </c>
      <c r="AS963" s="14" t="s">
        <v>179</v>
      </c>
      <c r="AT963" s="14" t="s">
        <v>19062</v>
      </c>
      <c r="AU963" s="14" t="s">
        <v>179</v>
      </c>
      <c r="AV963" s="14" t="s">
        <v>19063</v>
      </c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6" t="s">
        <v>197</v>
      </c>
      <c r="BP963" s="17" t="s">
        <v>198</v>
      </c>
      <c r="BQ963" s="18">
        <v>45687.3775</v>
      </c>
      <c r="BR963" s="17" t="s">
        <v>198</v>
      </c>
      <c r="BS963" s="18">
        <v>45687.37783564815</v>
      </c>
      <c r="BT963" s="17" t="s">
        <v>198</v>
      </c>
      <c r="BU963" s="18">
        <v>45687.37783564815</v>
      </c>
      <c r="BV963" s="13" t="s">
        <v>199</v>
      </c>
      <c r="BW963" s="14" t="s">
        <v>179</v>
      </c>
      <c r="BX963" s="14" t="s">
        <v>19064</v>
      </c>
      <c r="BY963" s="14" t="s">
        <v>179</v>
      </c>
      <c r="BZ963" s="14" t="s">
        <v>19064</v>
      </c>
      <c r="CA963" s="14" t="s">
        <v>179</v>
      </c>
      <c r="CB963" s="14" t="s">
        <v>19065</v>
      </c>
      <c r="CC963" s="14" t="s">
        <v>179</v>
      </c>
      <c r="CD963" s="14" t="s">
        <v>19066</v>
      </c>
      <c r="CE963" s="14" t="s">
        <v>179</v>
      </c>
      <c r="CF963" s="14" t="s">
        <v>19067</v>
      </c>
      <c r="CG963" s="14" t="s">
        <v>179</v>
      </c>
      <c r="CH963" s="14" t="s">
        <v>19068</v>
      </c>
      <c r="CI963" s="14" t="s">
        <v>179</v>
      </c>
      <c r="CJ963" s="14" t="s">
        <v>19069</v>
      </c>
      <c r="CK963" s="19"/>
      <c r="CL963" s="15"/>
      <c r="CM963" s="19"/>
      <c r="CN963" s="15"/>
      <c r="CO963" s="19"/>
      <c r="CP963" s="15"/>
      <c r="CQ963" s="15"/>
      <c r="CR963" s="15"/>
      <c r="CS963" s="19"/>
      <c r="CT963" s="15"/>
      <c r="CU963" s="19"/>
      <c r="CV963" s="15"/>
      <c r="CW963" s="19"/>
      <c r="CX963" s="15"/>
      <c r="CY963" s="19"/>
      <c r="CZ963" s="15"/>
      <c r="DA963" s="16" t="s">
        <v>197</v>
      </c>
      <c r="DB963" s="17" t="s">
        <v>198</v>
      </c>
      <c r="DC963" s="20">
        <v>45723.38753472222</v>
      </c>
      <c r="DD963" s="17" t="s">
        <v>198</v>
      </c>
      <c r="DE963" s="18">
        <v>45723.38759259259</v>
      </c>
      <c r="DF963" s="17" t="s">
        <v>198</v>
      </c>
      <c r="DG963" s="18">
        <v>45723.38759259259</v>
      </c>
      <c r="DH963" s="13" t="s">
        <v>205</v>
      </c>
      <c r="DI963" s="14" t="s">
        <v>179</v>
      </c>
      <c r="DJ963" s="14" t="s">
        <v>19070</v>
      </c>
      <c r="DK963" s="14" t="s">
        <v>179</v>
      </c>
      <c r="DL963" s="14" t="s">
        <v>19070</v>
      </c>
      <c r="DM963" s="14" t="s">
        <v>179</v>
      </c>
      <c r="DN963" s="14" t="s">
        <v>19070</v>
      </c>
      <c r="DO963" s="15"/>
      <c r="DP963" s="15"/>
      <c r="DQ963" s="15"/>
      <c r="DR963" s="15"/>
      <c r="DS963" s="15"/>
      <c r="DT963" s="15"/>
      <c r="DU963" s="15"/>
      <c r="DV963" s="15"/>
      <c r="DW963" s="15"/>
      <c r="DX963" s="15"/>
      <c r="DY963" s="15"/>
      <c r="DZ963" s="15"/>
      <c r="EA963" s="15"/>
      <c r="EB963" s="15"/>
      <c r="EC963" s="16" t="s">
        <v>197</v>
      </c>
      <c r="ED963" s="17" t="s">
        <v>198</v>
      </c>
      <c r="EE963" s="18">
        <v>45723.387650462966</v>
      </c>
      <c r="EF963" s="13" t="s">
        <v>209</v>
      </c>
      <c r="EG963" s="14" t="s">
        <v>179</v>
      </c>
      <c r="EH963" s="14" t="s">
        <v>19071</v>
      </c>
      <c r="EI963" s="14" t="s">
        <v>179</v>
      </c>
      <c r="EJ963" s="14" t="s">
        <v>19072</v>
      </c>
      <c r="EK963" s="14" t="s">
        <v>179</v>
      </c>
      <c r="EL963" s="14" t="s">
        <v>19073</v>
      </c>
      <c r="EM963" s="15"/>
      <c r="EN963" s="15"/>
      <c r="EO963" s="15"/>
      <c r="EP963" s="15"/>
      <c r="EQ963" s="15"/>
      <c r="ER963" s="15"/>
      <c r="ES963" s="15"/>
      <c r="ET963" s="15"/>
      <c r="EU963" s="15"/>
      <c r="EV963" s="15"/>
      <c r="EW963" s="15"/>
      <c r="EX963" s="15"/>
      <c r="EY963" s="15"/>
      <c r="EZ963" s="15"/>
      <c r="FA963" s="15"/>
      <c r="FB963" s="15"/>
      <c r="FC963" s="16" t="s">
        <v>197</v>
      </c>
      <c r="FD963" s="17" t="s">
        <v>198</v>
      </c>
      <c r="FE963" s="18">
        <v>45723.387719907405</v>
      </c>
      <c r="FF963" s="19"/>
      <c r="FG963" s="19"/>
      <c r="FH963" s="21" t="s">
        <v>197</v>
      </c>
      <c r="FI963" s="17" t="s">
        <v>214</v>
      </c>
      <c r="FJ963" s="18">
        <v>45723.387719907405</v>
      </c>
      <c r="FK963" s="14" t="s">
        <v>19073</v>
      </c>
      <c r="FL963" s="19"/>
      <c r="FM963" s="19"/>
      <c r="FN963" s="19"/>
      <c r="FO963" s="19"/>
      <c r="FP963" s="19" t="str">
        <f t="shared" si="1"/>
        <v/>
      </c>
      <c r="FQ963" s="14" t="s">
        <v>215</v>
      </c>
      <c r="FR963" s="14" t="s">
        <v>19074</v>
      </c>
    </row>
    <row r="964" ht="15.75" customHeight="1">
      <c r="A964" s="12" t="s">
        <v>357</v>
      </c>
      <c r="B964" s="12" t="s">
        <v>4833</v>
      </c>
      <c r="C964" s="24" t="s">
        <v>9260</v>
      </c>
      <c r="D964" s="22" t="s">
        <v>19075</v>
      </c>
      <c r="E964" s="22" t="s">
        <v>19076</v>
      </c>
      <c r="F964" s="13" t="s">
        <v>178</v>
      </c>
      <c r="G964" s="14" t="s">
        <v>179</v>
      </c>
      <c r="H964" s="14" t="s">
        <v>19077</v>
      </c>
      <c r="I964" s="14" t="s">
        <v>179</v>
      </c>
      <c r="J964" s="14" t="s">
        <v>19078</v>
      </c>
      <c r="K964" s="14" t="s">
        <v>179</v>
      </c>
      <c r="L964" s="14" t="s">
        <v>19079</v>
      </c>
      <c r="M964" s="14" t="s">
        <v>179</v>
      </c>
      <c r="N964" s="14" t="s">
        <v>19080</v>
      </c>
      <c r="O964" s="14" t="s">
        <v>179</v>
      </c>
      <c r="P964" s="14" t="s">
        <v>19081</v>
      </c>
      <c r="Q964" s="14" t="s">
        <v>179</v>
      </c>
      <c r="R964" s="14" t="s">
        <v>19082</v>
      </c>
      <c r="S964" s="14" t="s">
        <v>179</v>
      </c>
      <c r="T964" s="14" t="s">
        <v>19083</v>
      </c>
      <c r="U964" s="14" t="s">
        <v>179</v>
      </c>
      <c r="V964" s="14" t="s">
        <v>19084</v>
      </c>
      <c r="W964" s="14" t="s">
        <v>179</v>
      </c>
      <c r="X964" s="14" t="s">
        <v>19085</v>
      </c>
      <c r="Y964" s="14" t="s">
        <v>179</v>
      </c>
      <c r="Z964" s="14" t="s">
        <v>19086</v>
      </c>
      <c r="AA964" s="14" t="s">
        <v>179</v>
      </c>
      <c r="AB964" s="14" t="s">
        <v>19087</v>
      </c>
      <c r="AC964" s="14" t="s">
        <v>179</v>
      </c>
      <c r="AD964" s="14" t="s">
        <v>19088</v>
      </c>
      <c r="AE964" s="14" t="s">
        <v>179</v>
      </c>
      <c r="AF964" s="14" t="s">
        <v>19089</v>
      </c>
      <c r="AG964" s="14" t="s">
        <v>179</v>
      </c>
      <c r="AH964" s="14" t="s">
        <v>19090</v>
      </c>
      <c r="AI964" s="14" t="s">
        <v>179</v>
      </c>
      <c r="AJ964" s="14" t="s">
        <v>19091</v>
      </c>
      <c r="AK964" s="14" t="s">
        <v>179</v>
      </c>
      <c r="AL964" s="14" t="s">
        <v>19092</v>
      </c>
      <c r="AM964" s="14" t="s">
        <v>179</v>
      </c>
      <c r="AN964" s="14" t="s">
        <v>19093</v>
      </c>
      <c r="AO964" s="14" t="s">
        <v>179</v>
      </c>
      <c r="AP964" s="14" t="s">
        <v>19094</v>
      </c>
      <c r="AQ964" s="14" t="s">
        <v>179</v>
      </c>
      <c r="AR964" s="14" t="s">
        <v>19095</v>
      </c>
      <c r="AS964" s="14" t="s">
        <v>179</v>
      </c>
      <c r="AT964" s="14" t="s">
        <v>19096</v>
      </c>
      <c r="AU964" s="14" t="s">
        <v>179</v>
      </c>
      <c r="AV964" s="14" t="s">
        <v>19097</v>
      </c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6" t="s">
        <v>197</v>
      </c>
      <c r="BP964" s="17" t="s">
        <v>198</v>
      </c>
      <c r="BQ964" s="18">
        <v>45699.49182870371</v>
      </c>
      <c r="BR964" s="17" t="s">
        <v>198</v>
      </c>
      <c r="BS964" s="18">
        <v>45699.4922337963</v>
      </c>
      <c r="BT964" s="17" t="s">
        <v>198</v>
      </c>
      <c r="BU964" s="18">
        <v>45699.4922337963</v>
      </c>
      <c r="BV964" s="13" t="s">
        <v>199</v>
      </c>
      <c r="BW964" s="14" t="s">
        <v>179</v>
      </c>
      <c r="BX964" s="14" t="s">
        <v>19098</v>
      </c>
      <c r="BY964" s="14" t="s">
        <v>179</v>
      </c>
      <c r="BZ964" s="14" t="s">
        <v>19099</v>
      </c>
      <c r="CA964" s="14" t="s">
        <v>179</v>
      </c>
      <c r="CB964" s="14" t="s">
        <v>19100</v>
      </c>
      <c r="CC964" s="14" t="s">
        <v>179</v>
      </c>
      <c r="CD964" s="14" t="s">
        <v>19101</v>
      </c>
      <c r="CE964" s="14" t="s">
        <v>179</v>
      </c>
      <c r="CF964" s="14" t="s">
        <v>19102</v>
      </c>
      <c r="CG964" s="14" t="s">
        <v>188</v>
      </c>
      <c r="CH964" s="14" t="s">
        <v>19103</v>
      </c>
      <c r="CI964" s="14" t="s">
        <v>179</v>
      </c>
      <c r="CJ964" s="14" t="s">
        <v>19104</v>
      </c>
      <c r="CK964" s="19"/>
      <c r="CL964" s="15"/>
      <c r="CM964" s="19"/>
      <c r="CN964" s="15"/>
      <c r="CO964" s="19"/>
      <c r="CP964" s="15"/>
      <c r="CQ964" s="15"/>
      <c r="CR964" s="15"/>
      <c r="CS964" s="19"/>
      <c r="CT964" s="15"/>
      <c r="CU964" s="19"/>
      <c r="CV964" s="15"/>
      <c r="CW964" s="19"/>
      <c r="CX964" s="15"/>
      <c r="CY964" s="19"/>
      <c r="CZ964" s="15"/>
      <c r="DA964" s="16" t="s">
        <v>197</v>
      </c>
      <c r="DB964" s="17" t="s">
        <v>198</v>
      </c>
      <c r="DC964" s="20">
        <v>45721.69599537037</v>
      </c>
      <c r="DD964" s="17" t="s">
        <v>198</v>
      </c>
      <c r="DE964" s="18">
        <v>45721.696076388886</v>
      </c>
      <c r="DF964" s="17" t="s">
        <v>198</v>
      </c>
      <c r="DG964" s="18">
        <v>45721.696076388886</v>
      </c>
      <c r="DH964" s="13" t="s">
        <v>205</v>
      </c>
      <c r="DI964" s="14" t="s">
        <v>179</v>
      </c>
      <c r="DJ964" s="14" t="s">
        <v>19105</v>
      </c>
      <c r="DK964" s="14" t="s">
        <v>179</v>
      </c>
      <c r="DL964" s="14" t="s">
        <v>19106</v>
      </c>
      <c r="DM964" s="14" t="s">
        <v>179</v>
      </c>
      <c r="DN964" s="14" t="s">
        <v>19107</v>
      </c>
      <c r="DO964" s="15"/>
      <c r="DP964" s="15"/>
      <c r="DQ964" s="15"/>
      <c r="DR964" s="15"/>
      <c r="DS964" s="15"/>
      <c r="DT964" s="15"/>
      <c r="DU964" s="15"/>
      <c r="DV964" s="15"/>
      <c r="DW964" s="15"/>
      <c r="DX964" s="15"/>
      <c r="DY964" s="15"/>
      <c r="DZ964" s="15"/>
      <c r="EA964" s="15"/>
      <c r="EB964" s="15"/>
      <c r="EC964" s="16" t="s">
        <v>197</v>
      </c>
      <c r="ED964" s="17" t="s">
        <v>198</v>
      </c>
      <c r="EE964" s="18">
        <v>45721.69615740741</v>
      </c>
      <c r="EF964" s="13" t="s">
        <v>209</v>
      </c>
      <c r="EG964" s="14" t="s">
        <v>179</v>
      </c>
      <c r="EH964" s="14" t="s">
        <v>19108</v>
      </c>
      <c r="EI964" s="14" t="s">
        <v>179</v>
      </c>
      <c r="EJ964" s="14" t="s">
        <v>19109</v>
      </c>
      <c r="EK964" s="14" t="s">
        <v>179</v>
      </c>
      <c r="EL964" s="14" t="s">
        <v>19110</v>
      </c>
      <c r="EM964" s="15"/>
      <c r="EN964" s="15"/>
      <c r="EO964" s="15"/>
      <c r="EP964" s="15"/>
      <c r="EQ964" s="15"/>
      <c r="ER964" s="15"/>
      <c r="ES964" s="15"/>
      <c r="ET964" s="15"/>
      <c r="EU964" s="15"/>
      <c r="EV964" s="15"/>
      <c r="EW964" s="15"/>
      <c r="EX964" s="15"/>
      <c r="EY964" s="15"/>
      <c r="EZ964" s="15"/>
      <c r="FA964" s="15"/>
      <c r="FB964" s="15"/>
      <c r="FC964" s="16" t="s">
        <v>197</v>
      </c>
      <c r="FD964" s="17" t="s">
        <v>198</v>
      </c>
      <c r="FE964" s="18">
        <v>45722.54641203704</v>
      </c>
      <c r="FF964" s="19"/>
      <c r="FG964" s="19"/>
      <c r="FH964" s="21" t="s">
        <v>197</v>
      </c>
      <c r="FI964" s="17" t="s">
        <v>214</v>
      </c>
      <c r="FJ964" s="18">
        <v>45722.54641203704</v>
      </c>
      <c r="FK964" s="14" t="s">
        <v>19110</v>
      </c>
      <c r="FL964" s="14" t="s">
        <v>19111</v>
      </c>
      <c r="FM964" s="14" t="s">
        <v>19112</v>
      </c>
      <c r="FN964" s="19"/>
      <c r="FO964" s="19"/>
      <c r="FP964" s="19" t="str">
        <f t="shared" si="1"/>
        <v>Base de Dados_Images/VT9204.Imagem do Equipamento-.151502.jpg</v>
      </c>
      <c r="FQ964" s="19"/>
      <c r="FR964" s="19"/>
    </row>
    <row r="965" ht="15.75" customHeight="1">
      <c r="A965" s="12" t="s">
        <v>357</v>
      </c>
      <c r="B965" s="12" t="s">
        <v>4962</v>
      </c>
      <c r="C965" s="24" t="s">
        <v>9260</v>
      </c>
      <c r="D965" s="22" t="s">
        <v>19113</v>
      </c>
      <c r="E965" s="22" t="s">
        <v>19114</v>
      </c>
      <c r="F965" s="13" t="s">
        <v>178</v>
      </c>
      <c r="G965" s="14" t="s">
        <v>179</v>
      </c>
      <c r="H965" s="14" t="s">
        <v>19115</v>
      </c>
      <c r="I965" s="14" t="s">
        <v>179</v>
      </c>
      <c r="J965" s="14" t="s">
        <v>19116</v>
      </c>
      <c r="K965" s="14" t="s">
        <v>179</v>
      </c>
      <c r="L965" s="14" t="s">
        <v>19117</v>
      </c>
      <c r="M965" s="14" t="s">
        <v>179</v>
      </c>
      <c r="N965" s="14" t="s">
        <v>19118</v>
      </c>
      <c r="O965" s="14" t="s">
        <v>179</v>
      </c>
      <c r="P965" s="14" t="s">
        <v>19119</v>
      </c>
      <c r="Q965" s="14" t="s">
        <v>179</v>
      </c>
      <c r="R965" s="14" t="s">
        <v>19120</v>
      </c>
      <c r="S965" s="14" t="s">
        <v>179</v>
      </c>
      <c r="T965" s="14" t="s">
        <v>19121</v>
      </c>
      <c r="U965" s="14" t="s">
        <v>179</v>
      </c>
      <c r="V965" s="14" t="s">
        <v>19122</v>
      </c>
      <c r="W965" s="14" t="s">
        <v>179</v>
      </c>
      <c r="X965" s="14" t="s">
        <v>19123</v>
      </c>
      <c r="Y965" s="14" t="s">
        <v>179</v>
      </c>
      <c r="Z965" s="14" t="s">
        <v>19124</v>
      </c>
      <c r="AA965" s="14" t="s">
        <v>179</v>
      </c>
      <c r="AB965" s="14" t="s">
        <v>19125</v>
      </c>
      <c r="AC965" s="14" t="s">
        <v>179</v>
      </c>
      <c r="AD965" s="14" t="s">
        <v>19126</v>
      </c>
      <c r="AE965" s="14" t="s">
        <v>179</v>
      </c>
      <c r="AF965" s="14" t="s">
        <v>19127</v>
      </c>
      <c r="AG965" s="14" t="s">
        <v>179</v>
      </c>
      <c r="AH965" s="14" t="s">
        <v>19128</v>
      </c>
      <c r="AI965" s="14" t="s">
        <v>179</v>
      </c>
      <c r="AJ965" s="14" t="s">
        <v>19129</v>
      </c>
      <c r="AK965" s="14" t="s">
        <v>179</v>
      </c>
      <c r="AL965" s="14" t="s">
        <v>19130</v>
      </c>
      <c r="AM965" s="14" t="s">
        <v>179</v>
      </c>
      <c r="AN965" s="14" t="s">
        <v>19130</v>
      </c>
      <c r="AO965" s="14" t="s">
        <v>179</v>
      </c>
      <c r="AP965" s="14" t="s">
        <v>19131</v>
      </c>
      <c r="AQ965" s="14" t="s">
        <v>179</v>
      </c>
      <c r="AR965" s="14" t="s">
        <v>19132</v>
      </c>
      <c r="AS965" s="14" t="s">
        <v>179</v>
      </c>
      <c r="AT965" s="14" t="s">
        <v>19133</v>
      </c>
      <c r="AU965" s="14" t="s">
        <v>179</v>
      </c>
      <c r="AV965" s="14" t="s">
        <v>19133</v>
      </c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6" t="s">
        <v>197</v>
      </c>
      <c r="BP965" s="17" t="s">
        <v>198</v>
      </c>
      <c r="BQ965" s="18">
        <v>45699.473449074074</v>
      </c>
      <c r="BR965" s="17" t="s">
        <v>198</v>
      </c>
      <c r="BS965" s="18">
        <v>45699.47326388889</v>
      </c>
      <c r="BT965" s="17" t="s">
        <v>198</v>
      </c>
      <c r="BU965" s="18">
        <v>45699.473449074074</v>
      </c>
      <c r="BV965" s="13" t="s">
        <v>199</v>
      </c>
      <c r="BW965" s="14" t="s">
        <v>179</v>
      </c>
      <c r="BX965" s="14" t="s">
        <v>19134</v>
      </c>
      <c r="BY965" s="14" t="s">
        <v>179</v>
      </c>
      <c r="BZ965" s="14" t="s">
        <v>19135</v>
      </c>
      <c r="CA965" s="14" t="s">
        <v>179</v>
      </c>
      <c r="CB965" s="14" t="s">
        <v>19136</v>
      </c>
      <c r="CC965" s="14" t="s">
        <v>179</v>
      </c>
      <c r="CD965" s="14" t="s">
        <v>19137</v>
      </c>
      <c r="CE965" s="14" t="s">
        <v>179</v>
      </c>
      <c r="CF965" s="14" t="s">
        <v>19138</v>
      </c>
      <c r="CG965" s="14" t="s">
        <v>179</v>
      </c>
      <c r="CH965" s="14" t="s">
        <v>19139</v>
      </c>
      <c r="CI965" s="14" t="s">
        <v>179</v>
      </c>
      <c r="CJ965" s="14" t="s">
        <v>19139</v>
      </c>
      <c r="CK965" s="19"/>
      <c r="CL965" s="15"/>
      <c r="CM965" s="19"/>
      <c r="CN965" s="15"/>
      <c r="CO965" s="19"/>
      <c r="CP965" s="15"/>
      <c r="CQ965" s="15"/>
      <c r="CR965" s="15"/>
      <c r="CS965" s="19"/>
      <c r="CT965" s="15"/>
      <c r="CU965" s="19"/>
      <c r="CV965" s="15"/>
      <c r="CW965" s="19"/>
      <c r="CX965" s="15"/>
      <c r="CY965" s="19"/>
      <c r="CZ965" s="15"/>
      <c r="DA965" s="16" t="s">
        <v>197</v>
      </c>
      <c r="DB965" s="17" t="s">
        <v>198</v>
      </c>
      <c r="DC965" s="20">
        <v>45723.37642361111</v>
      </c>
      <c r="DD965" s="17" t="s">
        <v>198</v>
      </c>
      <c r="DE965" s="18">
        <v>45723.37646990741</v>
      </c>
      <c r="DF965" s="17" t="s">
        <v>198</v>
      </c>
      <c r="DG965" s="18">
        <v>45723.37646990741</v>
      </c>
      <c r="DH965" s="13" t="s">
        <v>205</v>
      </c>
      <c r="DI965" s="14" t="s">
        <v>179</v>
      </c>
      <c r="DJ965" s="14" t="s">
        <v>19140</v>
      </c>
      <c r="DK965" s="14" t="s">
        <v>179</v>
      </c>
      <c r="DL965" s="14" t="s">
        <v>19141</v>
      </c>
      <c r="DM965" s="14" t="s">
        <v>179</v>
      </c>
      <c r="DN965" s="14" t="s">
        <v>19142</v>
      </c>
      <c r="DO965" s="15"/>
      <c r="DP965" s="15"/>
      <c r="DQ965" s="15"/>
      <c r="DR965" s="15"/>
      <c r="DS965" s="15"/>
      <c r="DT965" s="15"/>
      <c r="DU965" s="15"/>
      <c r="DV965" s="15"/>
      <c r="DW965" s="15"/>
      <c r="DX965" s="15"/>
      <c r="DY965" s="15"/>
      <c r="DZ965" s="15"/>
      <c r="EA965" s="15"/>
      <c r="EB965" s="15"/>
      <c r="EC965" s="16" t="s">
        <v>197</v>
      </c>
      <c r="ED965" s="17" t="s">
        <v>198</v>
      </c>
      <c r="EE965" s="18">
        <v>45723.376550925925</v>
      </c>
      <c r="EF965" s="13" t="s">
        <v>209</v>
      </c>
      <c r="EG965" s="14" t="s">
        <v>179</v>
      </c>
      <c r="EH965" s="14" t="s">
        <v>19143</v>
      </c>
      <c r="EI965" s="14" t="s">
        <v>179</v>
      </c>
      <c r="EJ965" s="14" t="s">
        <v>19143</v>
      </c>
      <c r="EK965" s="14" t="s">
        <v>179</v>
      </c>
      <c r="EL965" s="14" t="s">
        <v>19144</v>
      </c>
      <c r="EM965" s="15"/>
      <c r="EN965" s="15"/>
      <c r="EO965" s="15"/>
      <c r="EP965" s="15"/>
      <c r="EQ965" s="15"/>
      <c r="ER965" s="15"/>
      <c r="ES965" s="15"/>
      <c r="ET965" s="15"/>
      <c r="EU965" s="15"/>
      <c r="EV965" s="15"/>
      <c r="EW965" s="15"/>
      <c r="EX965" s="15"/>
      <c r="EY965" s="15"/>
      <c r="EZ965" s="15"/>
      <c r="FA965" s="15"/>
      <c r="FB965" s="15"/>
      <c r="FC965" s="16" t="s">
        <v>197</v>
      </c>
      <c r="FD965" s="17" t="s">
        <v>198</v>
      </c>
      <c r="FE965" s="18">
        <v>45723.37663194445</v>
      </c>
      <c r="FF965" s="19"/>
      <c r="FG965" s="19"/>
      <c r="FH965" s="21" t="s">
        <v>197</v>
      </c>
      <c r="FI965" s="17" t="s">
        <v>214</v>
      </c>
      <c r="FJ965" s="18">
        <v>45723.37663194445</v>
      </c>
      <c r="FK965" s="14" t="s">
        <v>19144</v>
      </c>
      <c r="FL965" s="14" t="s">
        <v>19145</v>
      </c>
      <c r="FM965" s="14" t="s">
        <v>19146</v>
      </c>
      <c r="FN965" s="19"/>
      <c r="FO965" s="19"/>
      <c r="FP965" s="19" t="str">
        <f t="shared" si="1"/>
        <v>Base de Dados_Images/VT9205.Imagem do Equipamento-.151712.jpg</v>
      </c>
      <c r="FQ965" s="14"/>
      <c r="FR965" s="14"/>
    </row>
    <row r="966" ht="15.75" customHeight="1">
      <c r="A966" s="12" t="s">
        <v>357</v>
      </c>
      <c r="B966" s="12" t="s">
        <v>4962</v>
      </c>
      <c r="C966" s="24" t="s">
        <v>9260</v>
      </c>
      <c r="D966" s="22" t="s">
        <v>19147</v>
      </c>
      <c r="E966" s="22" t="s">
        <v>19148</v>
      </c>
      <c r="F966" s="13" t="s">
        <v>178</v>
      </c>
      <c r="G966" s="14" t="s">
        <v>179</v>
      </c>
      <c r="H966" s="14" t="s">
        <v>19149</v>
      </c>
      <c r="I966" s="14" t="s">
        <v>179</v>
      </c>
      <c r="J966" s="14" t="s">
        <v>19150</v>
      </c>
      <c r="K966" s="14" t="s">
        <v>179</v>
      </c>
      <c r="L966" s="14" t="s">
        <v>19151</v>
      </c>
      <c r="M966" s="14" t="s">
        <v>179</v>
      </c>
      <c r="N966" s="14" t="s">
        <v>19152</v>
      </c>
      <c r="O966" s="14" t="s">
        <v>179</v>
      </c>
      <c r="P966" s="14" t="s">
        <v>19153</v>
      </c>
      <c r="Q966" s="14" t="s">
        <v>179</v>
      </c>
      <c r="R966" s="14" t="s">
        <v>19154</v>
      </c>
      <c r="S966" s="14" t="s">
        <v>179</v>
      </c>
      <c r="T966" s="14" t="s">
        <v>19155</v>
      </c>
      <c r="U966" s="14" t="s">
        <v>179</v>
      </c>
      <c r="V966" s="14" t="s">
        <v>19156</v>
      </c>
      <c r="W966" s="14" t="s">
        <v>179</v>
      </c>
      <c r="X966" s="14" t="s">
        <v>19157</v>
      </c>
      <c r="Y966" s="14" t="s">
        <v>179</v>
      </c>
      <c r="Z966" s="14" t="s">
        <v>19158</v>
      </c>
      <c r="AA966" s="14" t="s">
        <v>179</v>
      </c>
      <c r="AB966" s="14" t="s">
        <v>19159</v>
      </c>
      <c r="AC966" s="14" t="s">
        <v>179</v>
      </c>
      <c r="AD966" s="14" t="s">
        <v>19160</v>
      </c>
      <c r="AE966" s="14" t="s">
        <v>179</v>
      </c>
      <c r="AF966" s="14" t="s">
        <v>19161</v>
      </c>
      <c r="AG966" s="14" t="s">
        <v>179</v>
      </c>
      <c r="AH966" s="14" t="s">
        <v>19162</v>
      </c>
      <c r="AI966" s="14" t="s">
        <v>179</v>
      </c>
      <c r="AJ966" s="14" t="s">
        <v>19163</v>
      </c>
      <c r="AK966" s="14" t="s">
        <v>179</v>
      </c>
      <c r="AL966" s="14" t="s">
        <v>19164</v>
      </c>
      <c r="AM966" s="14" t="s">
        <v>179</v>
      </c>
      <c r="AN966" s="14" t="s">
        <v>19165</v>
      </c>
      <c r="AO966" s="14" t="s">
        <v>179</v>
      </c>
      <c r="AP966" s="14" t="s">
        <v>19166</v>
      </c>
      <c r="AQ966" s="14" t="s">
        <v>179</v>
      </c>
      <c r="AR966" s="14" t="s">
        <v>19167</v>
      </c>
      <c r="AS966" s="14" t="s">
        <v>179</v>
      </c>
      <c r="AT966" s="14" t="s">
        <v>19168</v>
      </c>
      <c r="AU966" s="14" t="s">
        <v>179</v>
      </c>
      <c r="AV966" s="14" t="s">
        <v>19169</v>
      </c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6" t="s">
        <v>197</v>
      </c>
      <c r="BP966" s="17" t="s">
        <v>198</v>
      </c>
      <c r="BQ966" s="18">
        <v>45699.494108796294</v>
      </c>
      <c r="BR966" s="17" t="s">
        <v>198</v>
      </c>
      <c r="BS966" s="18">
        <v>45699.49439814815</v>
      </c>
      <c r="BT966" s="17" t="s">
        <v>198</v>
      </c>
      <c r="BU966" s="18">
        <v>45699.49439814815</v>
      </c>
      <c r="BV966" s="13" t="s">
        <v>199</v>
      </c>
      <c r="BW966" s="14" t="s">
        <v>179</v>
      </c>
      <c r="BX966" s="14" t="s">
        <v>19170</v>
      </c>
      <c r="BY966" s="14" t="s">
        <v>179</v>
      </c>
      <c r="BZ966" s="14" t="s">
        <v>19170</v>
      </c>
      <c r="CA966" s="14" t="s">
        <v>179</v>
      </c>
      <c r="CB966" s="14" t="s">
        <v>19171</v>
      </c>
      <c r="CC966" s="14" t="s">
        <v>179</v>
      </c>
      <c r="CD966" s="14" t="s">
        <v>19172</v>
      </c>
      <c r="CE966" s="14" t="s">
        <v>179</v>
      </c>
      <c r="CF966" s="14" t="s">
        <v>19173</v>
      </c>
      <c r="CG966" s="14" t="s">
        <v>179</v>
      </c>
      <c r="CH966" s="14" t="s">
        <v>19174</v>
      </c>
      <c r="CI966" s="14" t="s">
        <v>179</v>
      </c>
      <c r="CJ966" s="14" t="s">
        <v>19175</v>
      </c>
      <c r="CK966" s="19"/>
      <c r="CL966" s="15"/>
      <c r="CM966" s="19"/>
      <c r="CN966" s="15"/>
      <c r="CO966" s="19"/>
      <c r="CP966" s="15"/>
      <c r="CQ966" s="15"/>
      <c r="CR966" s="15"/>
      <c r="CS966" s="19"/>
      <c r="CT966" s="15"/>
      <c r="CU966" s="19"/>
      <c r="CV966" s="15"/>
      <c r="CW966" s="19"/>
      <c r="CX966" s="15"/>
      <c r="CY966" s="19"/>
      <c r="CZ966" s="15"/>
      <c r="DA966" s="16" t="s">
        <v>197</v>
      </c>
      <c r="DB966" s="17" t="s">
        <v>198</v>
      </c>
      <c r="DC966" s="20">
        <v>45727.30454861111</v>
      </c>
      <c r="DD966" s="17" t="s">
        <v>198</v>
      </c>
      <c r="DE966" s="18">
        <v>45727.30459490741</v>
      </c>
      <c r="DF966" s="17" t="s">
        <v>198</v>
      </c>
      <c r="DG966" s="18">
        <v>45727.30459490741</v>
      </c>
      <c r="DH966" s="13" t="s">
        <v>205</v>
      </c>
      <c r="DI966" s="14" t="s">
        <v>179</v>
      </c>
      <c r="DJ966" s="14" t="s">
        <v>19176</v>
      </c>
      <c r="DK966" s="14" t="s">
        <v>179</v>
      </c>
      <c r="DL966" s="14" t="s">
        <v>19177</v>
      </c>
      <c r="DM966" s="14" t="s">
        <v>179</v>
      </c>
      <c r="DN966" s="14" t="s">
        <v>19177</v>
      </c>
      <c r="DO966" s="15"/>
      <c r="DP966" s="15"/>
      <c r="DQ966" s="15"/>
      <c r="DR966" s="15"/>
      <c r="DS966" s="15"/>
      <c r="DT966" s="15"/>
      <c r="DU966" s="15"/>
      <c r="DV966" s="15"/>
      <c r="DW966" s="15"/>
      <c r="DX966" s="15"/>
      <c r="DY966" s="15"/>
      <c r="DZ966" s="15"/>
      <c r="EA966" s="15"/>
      <c r="EB966" s="15"/>
      <c r="EC966" s="16" t="s">
        <v>197</v>
      </c>
      <c r="ED966" s="17" t="s">
        <v>198</v>
      </c>
      <c r="EE966" s="18">
        <v>45727.30465277778</v>
      </c>
      <c r="EF966" s="13" t="s">
        <v>209</v>
      </c>
      <c r="EG966" s="14" t="s">
        <v>179</v>
      </c>
      <c r="EH966" s="14" t="s">
        <v>19178</v>
      </c>
      <c r="EI966" s="14" t="s">
        <v>179</v>
      </c>
      <c r="EJ966" s="14" t="s">
        <v>19178</v>
      </c>
      <c r="EK966" s="14" t="s">
        <v>179</v>
      </c>
      <c r="EL966" s="14" t="s">
        <v>19179</v>
      </c>
      <c r="EM966" s="15"/>
      <c r="EN966" s="15"/>
      <c r="EO966" s="15"/>
      <c r="EP966" s="15"/>
      <c r="EQ966" s="15"/>
      <c r="ER966" s="15"/>
      <c r="ES966" s="15"/>
      <c r="ET966" s="15"/>
      <c r="EU966" s="15"/>
      <c r="EV966" s="15"/>
      <c r="EW966" s="15"/>
      <c r="EX966" s="15"/>
      <c r="EY966" s="15"/>
      <c r="EZ966" s="15"/>
      <c r="FA966" s="15"/>
      <c r="FB966" s="15"/>
      <c r="FC966" s="16" t="s">
        <v>197</v>
      </c>
      <c r="FD966" s="17" t="s">
        <v>198</v>
      </c>
      <c r="FE966" s="18">
        <v>45727.30472222222</v>
      </c>
      <c r="FF966" s="19"/>
      <c r="FG966" s="19"/>
      <c r="FH966" s="21" t="s">
        <v>197</v>
      </c>
      <c r="FI966" s="17" t="s">
        <v>214</v>
      </c>
      <c r="FJ966" s="18">
        <v>45727.30472222222</v>
      </c>
      <c r="FK966" s="14" t="s">
        <v>19179</v>
      </c>
      <c r="FL966" s="14" t="s">
        <v>19180</v>
      </c>
      <c r="FM966" s="14" t="s">
        <v>19181</v>
      </c>
      <c r="FN966" s="19"/>
      <c r="FO966" s="19"/>
      <c r="FP966" s="19" t="str">
        <f t="shared" si="1"/>
        <v>Base de Dados_Images/VT9206.Imagem do Equipamento-.151719.jpg</v>
      </c>
      <c r="FQ966" s="19"/>
      <c r="FR966" s="19"/>
    </row>
    <row r="967" ht="15.75" customHeight="1">
      <c r="A967" s="12" t="s">
        <v>357</v>
      </c>
      <c r="B967" s="12" t="s">
        <v>4962</v>
      </c>
      <c r="C967" s="24" t="s">
        <v>9260</v>
      </c>
      <c r="D967" s="22" t="s">
        <v>19182</v>
      </c>
      <c r="E967" s="22" t="s">
        <v>19183</v>
      </c>
      <c r="F967" s="13" t="s">
        <v>178</v>
      </c>
      <c r="G967" s="14" t="s">
        <v>179</v>
      </c>
      <c r="H967" s="14" t="s">
        <v>19184</v>
      </c>
      <c r="I967" s="14" t="s">
        <v>179</v>
      </c>
      <c r="J967" s="14" t="s">
        <v>19185</v>
      </c>
      <c r="K967" s="14" t="s">
        <v>179</v>
      </c>
      <c r="L967" s="14" t="s">
        <v>19186</v>
      </c>
      <c r="M967" s="14" t="s">
        <v>179</v>
      </c>
      <c r="N967" s="14" t="s">
        <v>19187</v>
      </c>
      <c r="O967" s="14" t="s">
        <v>179</v>
      </c>
      <c r="P967" s="14" t="s">
        <v>19188</v>
      </c>
      <c r="Q967" s="14" t="s">
        <v>179</v>
      </c>
      <c r="R967" s="14" t="s">
        <v>19189</v>
      </c>
      <c r="S967" s="14" t="s">
        <v>179</v>
      </c>
      <c r="T967" s="14" t="s">
        <v>19190</v>
      </c>
      <c r="U967" s="14" t="s">
        <v>179</v>
      </c>
      <c r="V967" s="14" t="s">
        <v>19191</v>
      </c>
      <c r="W967" s="14" t="s">
        <v>179</v>
      </c>
      <c r="X967" s="14" t="s">
        <v>19192</v>
      </c>
      <c r="Y967" s="14" t="s">
        <v>179</v>
      </c>
      <c r="Z967" s="14" t="s">
        <v>19193</v>
      </c>
      <c r="AA967" s="14" t="s">
        <v>179</v>
      </c>
      <c r="AB967" s="14" t="s">
        <v>19194</v>
      </c>
      <c r="AC967" s="14" t="s">
        <v>179</v>
      </c>
      <c r="AD967" s="14" t="s">
        <v>19195</v>
      </c>
      <c r="AE967" s="14" t="s">
        <v>179</v>
      </c>
      <c r="AF967" s="14" t="s">
        <v>19196</v>
      </c>
      <c r="AG967" s="14" t="s">
        <v>179</v>
      </c>
      <c r="AH967" s="14" t="s">
        <v>19197</v>
      </c>
      <c r="AI967" s="14" t="s">
        <v>179</v>
      </c>
      <c r="AJ967" s="14" t="s">
        <v>19198</v>
      </c>
      <c r="AK967" s="14" t="s">
        <v>179</v>
      </c>
      <c r="AL967" s="14" t="s">
        <v>19199</v>
      </c>
      <c r="AM967" s="14" t="s">
        <v>179</v>
      </c>
      <c r="AN967" s="14" t="s">
        <v>19200</v>
      </c>
      <c r="AO967" s="14" t="s">
        <v>179</v>
      </c>
      <c r="AP967" s="14" t="s">
        <v>19201</v>
      </c>
      <c r="AQ967" s="14" t="s">
        <v>179</v>
      </c>
      <c r="AR967" s="14" t="s">
        <v>19202</v>
      </c>
      <c r="AS967" s="14" t="s">
        <v>179</v>
      </c>
      <c r="AT967" s="14" t="s">
        <v>19203</v>
      </c>
      <c r="AU967" s="14" t="s">
        <v>179</v>
      </c>
      <c r="AV967" s="14" t="s">
        <v>19204</v>
      </c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6" t="s">
        <v>197</v>
      </c>
      <c r="BP967" s="17" t="s">
        <v>198</v>
      </c>
      <c r="BQ967" s="18">
        <v>45699.495</v>
      </c>
      <c r="BR967" s="17" t="s">
        <v>198</v>
      </c>
      <c r="BS967" s="18">
        <v>45699.49524305556</v>
      </c>
      <c r="BT967" s="17" t="s">
        <v>198</v>
      </c>
      <c r="BU967" s="18">
        <v>45699.49524305556</v>
      </c>
      <c r="BV967" s="13" t="s">
        <v>199</v>
      </c>
      <c r="BW967" s="14" t="s">
        <v>179</v>
      </c>
      <c r="BX967" s="14" t="s">
        <v>19205</v>
      </c>
      <c r="BY967" s="14" t="s">
        <v>179</v>
      </c>
      <c r="BZ967" s="14" t="s">
        <v>19205</v>
      </c>
      <c r="CA967" s="14" t="s">
        <v>179</v>
      </c>
      <c r="CB967" s="14" t="s">
        <v>19206</v>
      </c>
      <c r="CC967" s="14" t="s">
        <v>179</v>
      </c>
      <c r="CD967" s="14" t="s">
        <v>19206</v>
      </c>
      <c r="CE967" s="14" t="s">
        <v>179</v>
      </c>
      <c r="CF967" s="14" t="s">
        <v>19207</v>
      </c>
      <c r="CG967" s="14" t="s">
        <v>179</v>
      </c>
      <c r="CH967" s="14" t="s">
        <v>19208</v>
      </c>
      <c r="CI967" s="14" t="s">
        <v>179</v>
      </c>
      <c r="CJ967" s="14" t="s">
        <v>19209</v>
      </c>
      <c r="CK967" s="19"/>
      <c r="CL967" s="15"/>
      <c r="CM967" s="19"/>
      <c r="CN967" s="15"/>
      <c r="CO967" s="19"/>
      <c r="CP967" s="15"/>
      <c r="CQ967" s="15"/>
      <c r="CR967" s="15"/>
      <c r="CS967" s="19"/>
      <c r="CT967" s="15"/>
      <c r="CU967" s="19"/>
      <c r="CV967" s="15"/>
      <c r="CW967" s="19"/>
      <c r="CX967" s="15"/>
      <c r="CY967" s="19"/>
      <c r="CZ967" s="15"/>
      <c r="DA967" s="16" t="s">
        <v>197</v>
      </c>
      <c r="DB967" s="17" t="s">
        <v>198</v>
      </c>
      <c r="DC967" s="20">
        <v>45723.3768287037</v>
      </c>
      <c r="DD967" s="17" t="s">
        <v>198</v>
      </c>
      <c r="DE967" s="18">
        <v>45723.376921296294</v>
      </c>
      <c r="DF967" s="17" t="s">
        <v>198</v>
      </c>
      <c r="DG967" s="18">
        <v>45723.376921296294</v>
      </c>
      <c r="DH967" s="13" t="s">
        <v>205</v>
      </c>
      <c r="DI967" s="14" t="s">
        <v>179</v>
      </c>
      <c r="DJ967" s="14" t="s">
        <v>19210</v>
      </c>
      <c r="DK967" s="14" t="s">
        <v>179</v>
      </c>
      <c r="DL967" s="14" t="s">
        <v>19211</v>
      </c>
      <c r="DM967" s="14" t="s">
        <v>179</v>
      </c>
      <c r="DN967" s="14" t="s">
        <v>19212</v>
      </c>
      <c r="DO967" s="15"/>
      <c r="DP967" s="15"/>
      <c r="DQ967" s="15"/>
      <c r="DR967" s="15"/>
      <c r="DS967" s="15"/>
      <c r="DT967" s="15"/>
      <c r="DU967" s="15"/>
      <c r="DV967" s="15"/>
      <c r="DW967" s="15"/>
      <c r="DX967" s="15"/>
      <c r="DY967" s="15"/>
      <c r="DZ967" s="15"/>
      <c r="EA967" s="15"/>
      <c r="EB967" s="15"/>
      <c r="EC967" s="16" t="s">
        <v>197</v>
      </c>
      <c r="ED967" s="17" t="s">
        <v>198</v>
      </c>
      <c r="EE967" s="18">
        <v>45723.37699074074</v>
      </c>
      <c r="EF967" s="13" t="s">
        <v>209</v>
      </c>
      <c r="EG967" s="14" t="s">
        <v>179</v>
      </c>
      <c r="EH967" s="14" t="s">
        <v>19213</v>
      </c>
      <c r="EI967" s="14" t="s">
        <v>179</v>
      </c>
      <c r="EJ967" s="14" t="s">
        <v>19214</v>
      </c>
      <c r="EK967" s="14" t="s">
        <v>179</v>
      </c>
      <c r="EL967" s="14" t="s">
        <v>19215</v>
      </c>
      <c r="EM967" s="15"/>
      <c r="EN967" s="15"/>
      <c r="EO967" s="15"/>
      <c r="EP967" s="15"/>
      <c r="EQ967" s="15"/>
      <c r="ER967" s="15"/>
      <c r="ES967" s="15"/>
      <c r="ET967" s="15"/>
      <c r="EU967" s="15"/>
      <c r="EV967" s="15"/>
      <c r="EW967" s="15"/>
      <c r="EX967" s="15"/>
      <c r="EY967" s="15"/>
      <c r="EZ967" s="15"/>
      <c r="FA967" s="15"/>
      <c r="FB967" s="15"/>
      <c r="FC967" s="16" t="s">
        <v>197</v>
      </c>
      <c r="FD967" s="17" t="s">
        <v>198</v>
      </c>
      <c r="FE967" s="18">
        <v>45723.37704861111</v>
      </c>
      <c r="FF967" s="19"/>
      <c r="FG967" s="19"/>
      <c r="FH967" s="21" t="s">
        <v>197</v>
      </c>
      <c r="FI967" s="17" t="s">
        <v>214</v>
      </c>
      <c r="FJ967" s="18">
        <v>45723.37704861111</v>
      </c>
      <c r="FK967" s="14" t="s">
        <v>19215</v>
      </c>
      <c r="FL967" s="14" t="s">
        <v>19216</v>
      </c>
      <c r="FM967" s="14" t="s">
        <v>19217</v>
      </c>
      <c r="FN967" s="19"/>
      <c r="FO967" s="19"/>
      <c r="FP967" s="19" t="str">
        <f t="shared" si="1"/>
        <v>Base de Dados_Images/VT9207.Imagem do Equipamento-.151951.jpg</v>
      </c>
      <c r="FQ967" s="19"/>
      <c r="FR967" s="19"/>
    </row>
    <row r="968" ht="15.75" customHeight="1">
      <c r="A968" s="12" t="s">
        <v>357</v>
      </c>
      <c r="B968" s="12" t="s">
        <v>4697</v>
      </c>
      <c r="C968" s="24" t="s">
        <v>9260</v>
      </c>
      <c r="D968" s="22" t="s">
        <v>19218</v>
      </c>
      <c r="E968" s="22" t="s">
        <v>19219</v>
      </c>
      <c r="F968" s="13" t="s">
        <v>178</v>
      </c>
      <c r="G968" s="14" t="s">
        <v>179</v>
      </c>
      <c r="H968" s="14" t="s">
        <v>19220</v>
      </c>
      <c r="I968" s="14" t="s">
        <v>179</v>
      </c>
      <c r="J968" s="14" t="s">
        <v>19221</v>
      </c>
      <c r="K968" s="14" t="s">
        <v>179</v>
      </c>
      <c r="L968" s="14" t="s">
        <v>19222</v>
      </c>
      <c r="M968" s="14" t="s">
        <v>179</v>
      </c>
      <c r="N968" s="14" t="s">
        <v>19223</v>
      </c>
      <c r="O968" s="14" t="s">
        <v>179</v>
      </c>
      <c r="P968" s="14" t="s">
        <v>19224</v>
      </c>
      <c r="Q968" s="14" t="s">
        <v>179</v>
      </c>
      <c r="R968" s="14" t="s">
        <v>19225</v>
      </c>
      <c r="S968" s="14" t="s">
        <v>179</v>
      </c>
      <c r="T968" s="14" t="s">
        <v>19226</v>
      </c>
      <c r="U968" s="14" t="s">
        <v>179</v>
      </c>
      <c r="V968" s="14" t="s">
        <v>19227</v>
      </c>
      <c r="W968" s="14" t="s">
        <v>179</v>
      </c>
      <c r="X968" s="14" t="s">
        <v>19228</v>
      </c>
      <c r="Y968" s="14" t="s">
        <v>179</v>
      </c>
      <c r="Z968" s="14" t="s">
        <v>19229</v>
      </c>
      <c r="AA968" s="14" t="s">
        <v>179</v>
      </c>
      <c r="AB968" s="14" t="s">
        <v>19230</v>
      </c>
      <c r="AC968" s="14" t="s">
        <v>179</v>
      </c>
      <c r="AD968" s="14" t="s">
        <v>19231</v>
      </c>
      <c r="AE968" s="14" t="s">
        <v>179</v>
      </c>
      <c r="AF968" s="14" t="s">
        <v>19232</v>
      </c>
      <c r="AG968" s="14" t="s">
        <v>179</v>
      </c>
      <c r="AH968" s="14" t="s">
        <v>19233</v>
      </c>
      <c r="AI968" s="14" t="s">
        <v>179</v>
      </c>
      <c r="AJ968" s="14" t="s">
        <v>19234</v>
      </c>
      <c r="AK968" s="14" t="s">
        <v>179</v>
      </c>
      <c r="AL968" s="14" t="s">
        <v>19235</v>
      </c>
      <c r="AM968" s="14" t="s">
        <v>179</v>
      </c>
      <c r="AN968" s="14" t="s">
        <v>19236</v>
      </c>
      <c r="AO968" s="14" t="s">
        <v>179</v>
      </c>
      <c r="AP968" s="14" t="s">
        <v>19237</v>
      </c>
      <c r="AQ968" s="14" t="s">
        <v>179</v>
      </c>
      <c r="AR968" s="14" t="s">
        <v>19238</v>
      </c>
      <c r="AS968" s="14" t="s">
        <v>179</v>
      </c>
      <c r="AT968" s="14" t="s">
        <v>19239</v>
      </c>
      <c r="AU968" s="14" t="s">
        <v>179</v>
      </c>
      <c r="AV968" s="14" t="s">
        <v>19240</v>
      </c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7" t="s">
        <v>197</v>
      </c>
      <c r="BP968" s="17" t="s">
        <v>198</v>
      </c>
      <c r="BQ968" s="18">
        <v>45687.378530092596</v>
      </c>
      <c r="BR968" s="17" t="s">
        <v>198</v>
      </c>
      <c r="BS968" s="18">
        <v>45688.48761574074</v>
      </c>
      <c r="BT968" s="17" t="s">
        <v>198</v>
      </c>
      <c r="BU968" s="18">
        <v>45688.48761574074</v>
      </c>
      <c r="BV968" s="13" t="s">
        <v>199</v>
      </c>
      <c r="BW968" s="14" t="s">
        <v>179</v>
      </c>
      <c r="BX968" s="14" t="s">
        <v>19241</v>
      </c>
      <c r="BY968" s="14" t="s">
        <v>179</v>
      </c>
      <c r="BZ968" s="14" t="s">
        <v>19242</v>
      </c>
      <c r="CA968" s="14" t="s">
        <v>179</v>
      </c>
      <c r="CB968" s="14" t="s">
        <v>19243</v>
      </c>
      <c r="CC968" s="14" t="s">
        <v>179</v>
      </c>
      <c r="CD968" s="14" t="s">
        <v>19244</v>
      </c>
      <c r="CE968" s="14" t="s">
        <v>179</v>
      </c>
      <c r="CF968" s="14" t="s">
        <v>19245</v>
      </c>
      <c r="CG968" s="14" t="s">
        <v>179</v>
      </c>
      <c r="CH968" s="14" t="s">
        <v>19245</v>
      </c>
      <c r="CI968" s="14" t="s">
        <v>179</v>
      </c>
      <c r="CJ968" s="14" t="s">
        <v>19246</v>
      </c>
      <c r="CK968" s="19"/>
      <c r="CL968" s="15"/>
      <c r="CM968" s="19"/>
      <c r="CN968" s="15"/>
      <c r="CO968" s="19"/>
      <c r="CP968" s="15"/>
      <c r="CQ968" s="15"/>
      <c r="CR968" s="15"/>
      <c r="CS968" s="19"/>
      <c r="CT968" s="15"/>
      <c r="CU968" s="19"/>
      <c r="CV968" s="15"/>
      <c r="CW968" s="19"/>
      <c r="CX968" s="15"/>
      <c r="CY968" s="19"/>
      <c r="CZ968" s="15"/>
      <c r="DA968" s="16" t="s">
        <v>197</v>
      </c>
      <c r="DB968" s="17" t="s">
        <v>198</v>
      </c>
      <c r="DC968" s="20">
        <v>45723.3878125</v>
      </c>
      <c r="DD968" s="17" t="s">
        <v>198</v>
      </c>
      <c r="DE968" s="18">
        <v>45723.387870370374</v>
      </c>
      <c r="DF968" s="17" t="s">
        <v>198</v>
      </c>
      <c r="DG968" s="18">
        <v>45723.387870370374</v>
      </c>
      <c r="DH968" s="13" t="s">
        <v>205</v>
      </c>
      <c r="DI968" s="14" t="s">
        <v>179</v>
      </c>
      <c r="DJ968" s="14" t="s">
        <v>19247</v>
      </c>
      <c r="DK968" s="14" t="s">
        <v>179</v>
      </c>
      <c r="DL968" s="14" t="s">
        <v>19247</v>
      </c>
      <c r="DM968" s="14" t="s">
        <v>179</v>
      </c>
      <c r="DN968" s="14" t="s">
        <v>19248</v>
      </c>
      <c r="DO968" s="15"/>
      <c r="DP968" s="15"/>
      <c r="DQ968" s="15"/>
      <c r="DR968" s="15"/>
      <c r="DS968" s="15"/>
      <c r="DT968" s="15"/>
      <c r="DU968" s="15"/>
      <c r="DV968" s="15"/>
      <c r="DW968" s="15"/>
      <c r="DX968" s="15"/>
      <c r="DY968" s="15"/>
      <c r="DZ968" s="15"/>
      <c r="EA968" s="15"/>
      <c r="EB968" s="15"/>
      <c r="EC968" s="16" t="s">
        <v>197</v>
      </c>
      <c r="ED968" s="17" t="s">
        <v>198</v>
      </c>
      <c r="EE968" s="18">
        <v>45723.38793981481</v>
      </c>
      <c r="EF968" s="13" t="s">
        <v>209</v>
      </c>
      <c r="EG968" s="14" t="s">
        <v>179</v>
      </c>
      <c r="EH968" s="14" t="s">
        <v>19249</v>
      </c>
      <c r="EI968" s="14" t="s">
        <v>179</v>
      </c>
      <c r="EJ968" s="14" t="s">
        <v>19250</v>
      </c>
      <c r="EK968" s="14" t="s">
        <v>179</v>
      </c>
      <c r="EL968" s="14" t="s">
        <v>19251</v>
      </c>
      <c r="EM968" s="15"/>
      <c r="EN968" s="15"/>
      <c r="EO968" s="15"/>
      <c r="EP968" s="15"/>
      <c r="EQ968" s="15"/>
      <c r="ER968" s="15"/>
      <c r="ES968" s="15"/>
      <c r="ET968" s="15"/>
      <c r="EU968" s="15"/>
      <c r="EV968" s="15"/>
      <c r="EW968" s="15"/>
      <c r="EX968" s="15"/>
      <c r="EY968" s="15"/>
      <c r="EZ968" s="15"/>
      <c r="FA968" s="15"/>
      <c r="FB968" s="15"/>
      <c r="FC968" s="16" t="s">
        <v>197</v>
      </c>
      <c r="FD968" s="17" t="s">
        <v>198</v>
      </c>
      <c r="FE968" s="18">
        <v>45723.388032407405</v>
      </c>
      <c r="FF968" s="19"/>
      <c r="FG968" s="19"/>
      <c r="FH968" s="21" t="s">
        <v>197</v>
      </c>
      <c r="FI968" s="17" t="s">
        <v>214</v>
      </c>
      <c r="FJ968" s="18">
        <v>45723.388032407405</v>
      </c>
      <c r="FK968" s="14" t="s">
        <v>19251</v>
      </c>
      <c r="FL968" s="19"/>
      <c r="FM968" s="19"/>
      <c r="FN968" s="19"/>
      <c r="FO968" s="19"/>
      <c r="FP968" s="19" t="str">
        <f t="shared" si="1"/>
        <v/>
      </c>
      <c r="FQ968" s="14" t="s">
        <v>215</v>
      </c>
      <c r="FR968" s="14" t="s">
        <v>19252</v>
      </c>
    </row>
    <row r="969" ht="15.75" customHeight="1">
      <c r="A969" s="12" t="s">
        <v>357</v>
      </c>
      <c r="B969" s="12" t="s">
        <v>17605</v>
      </c>
      <c r="C969" s="24" t="s">
        <v>9260</v>
      </c>
      <c r="D969" s="22" t="s">
        <v>19253</v>
      </c>
      <c r="E969" s="22" t="s">
        <v>19254</v>
      </c>
      <c r="F969" s="13" t="s">
        <v>178</v>
      </c>
      <c r="G969" s="14" t="s">
        <v>179</v>
      </c>
      <c r="H969" s="14" t="s">
        <v>19255</v>
      </c>
      <c r="I969" s="14" t="s">
        <v>179</v>
      </c>
      <c r="J969" s="14" t="s">
        <v>19256</v>
      </c>
      <c r="K969" s="14" t="s">
        <v>179</v>
      </c>
      <c r="L969" s="14" t="s">
        <v>19257</v>
      </c>
      <c r="M969" s="14" t="s">
        <v>179</v>
      </c>
      <c r="N969" s="14" t="s">
        <v>19258</v>
      </c>
      <c r="O969" s="14" t="s">
        <v>179</v>
      </c>
      <c r="P969" s="14" t="s">
        <v>19259</v>
      </c>
      <c r="Q969" s="14" t="s">
        <v>179</v>
      </c>
      <c r="R969" s="14" t="s">
        <v>19260</v>
      </c>
      <c r="S969" s="14" t="s">
        <v>179</v>
      </c>
      <c r="T969" s="14" t="s">
        <v>19261</v>
      </c>
      <c r="U969" s="14" t="s">
        <v>179</v>
      </c>
      <c r="V969" s="14" t="s">
        <v>19262</v>
      </c>
      <c r="W969" s="14" t="s">
        <v>179</v>
      </c>
      <c r="X969" s="14" t="s">
        <v>19263</v>
      </c>
      <c r="Y969" s="14" t="s">
        <v>179</v>
      </c>
      <c r="Z969" s="14" t="s">
        <v>19264</v>
      </c>
      <c r="AA969" s="14" t="s">
        <v>179</v>
      </c>
      <c r="AB969" s="14" t="s">
        <v>19265</v>
      </c>
      <c r="AC969" s="14" t="s">
        <v>179</v>
      </c>
      <c r="AD969" s="14" t="s">
        <v>19266</v>
      </c>
      <c r="AE969" s="14" t="s">
        <v>179</v>
      </c>
      <c r="AF969" s="14" t="s">
        <v>19267</v>
      </c>
      <c r="AG969" s="14" t="s">
        <v>179</v>
      </c>
      <c r="AH969" s="14" t="s">
        <v>19268</v>
      </c>
      <c r="AI969" s="14" t="s">
        <v>179</v>
      </c>
      <c r="AJ969" s="14" t="s">
        <v>19269</v>
      </c>
      <c r="AK969" s="14" t="s">
        <v>179</v>
      </c>
      <c r="AL969" s="14" t="s">
        <v>19269</v>
      </c>
      <c r="AM969" s="14" t="s">
        <v>179</v>
      </c>
      <c r="AN969" s="14" t="s">
        <v>19270</v>
      </c>
      <c r="AO969" s="14" t="s">
        <v>179</v>
      </c>
      <c r="AP969" s="14" t="s">
        <v>19271</v>
      </c>
      <c r="AQ969" s="14" t="s">
        <v>179</v>
      </c>
      <c r="AR969" s="14" t="s">
        <v>19272</v>
      </c>
      <c r="AS969" s="14" t="s">
        <v>179</v>
      </c>
      <c r="AT969" s="14" t="s">
        <v>19273</v>
      </c>
      <c r="AU969" s="14" t="s">
        <v>179</v>
      </c>
      <c r="AV969" s="14" t="s">
        <v>19274</v>
      </c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6" t="s">
        <v>197</v>
      </c>
      <c r="BP969" s="17" t="s">
        <v>198</v>
      </c>
      <c r="BQ969" s="18">
        <v>45688.407847222225</v>
      </c>
      <c r="BR969" s="17" t="s">
        <v>198</v>
      </c>
      <c r="BS969" s="18">
        <v>45688.407789351855</v>
      </c>
      <c r="BT969" s="17" t="s">
        <v>198</v>
      </c>
      <c r="BU969" s="18">
        <v>45688.407847222225</v>
      </c>
      <c r="BV969" s="13" t="s">
        <v>199</v>
      </c>
      <c r="BW969" s="14" t="s">
        <v>179</v>
      </c>
      <c r="BX969" s="14" t="s">
        <v>19275</v>
      </c>
      <c r="BY969" s="14" t="s">
        <v>179</v>
      </c>
      <c r="BZ969" s="14" t="s">
        <v>19276</v>
      </c>
      <c r="CA969" s="14" t="s">
        <v>179</v>
      </c>
      <c r="CB969" s="14" t="s">
        <v>19277</v>
      </c>
      <c r="CC969" s="14" t="s">
        <v>179</v>
      </c>
      <c r="CD969" s="14" t="s">
        <v>19278</v>
      </c>
      <c r="CE969" s="14" t="s">
        <v>179</v>
      </c>
      <c r="CF969" s="14" t="s">
        <v>19279</v>
      </c>
      <c r="CG969" s="14" t="s">
        <v>179</v>
      </c>
      <c r="CH969" s="14" t="s">
        <v>19280</v>
      </c>
      <c r="CI969" s="14" t="s">
        <v>179</v>
      </c>
      <c r="CJ969" s="14" t="s">
        <v>19281</v>
      </c>
      <c r="CK969" s="19"/>
      <c r="CL969" s="15"/>
      <c r="CM969" s="19"/>
      <c r="CN969" s="15"/>
      <c r="CO969" s="19"/>
      <c r="CP969" s="15"/>
      <c r="CQ969" s="15"/>
      <c r="CR969" s="15"/>
      <c r="CS969" s="19"/>
      <c r="CT969" s="15"/>
      <c r="CU969" s="19"/>
      <c r="CV969" s="15"/>
      <c r="CW969" s="19"/>
      <c r="CX969" s="15"/>
      <c r="CY969" s="19"/>
      <c r="CZ969" s="15"/>
      <c r="DA969" s="16" t="s">
        <v>197</v>
      </c>
      <c r="DB969" s="17" t="s">
        <v>198</v>
      </c>
      <c r="DC969" s="20">
        <v>45719.36072916666</v>
      </c>
      <c r="DD969" s="17" t="s">
        <v>198</v>
      </c>
      <c r="DE969" s="18">
        <v>45719.3609375</v>
      </c>
      <c r="DF969" s="17" t="s">
        <v>198</v>
      </c>
      <c r="DG969" s="18">
        <v>45719.3609375</v>
      </c>
      <c r="DH969" s="13" t="s">
        <v>205</v>
      </c>
      <c r="DI969" s="14" t="s">
        <v>179</v>
      </c>
      <c r="DJ969" s="14" t="s">
        <v>19282</v>
      </c>
      <c r="DK969" s="14" t="s">
        <v>179</v>
      </c>
      <c r="DL969" s="14" t="s">
        <v>19283</v>
      </c>
      <c r="DM969" s="14" t="s">
        <v>179</v>
      </c>
      <c r="DN969" s="14" t="s">
        <v>19284</v>
      </c>
      <c r="DO969" s="15"/>
      <c r="DP969" s="15"/>
      <c r="DQ969" s="15"/>
      <c r="DR969" s="15"/>
      <c r="DS969" s="15"/>
      <c r="DT969" s="15"/>
      <c r="DU969" s="15"/>
      <c r="DV969" s="15"/>
      <c r="DW969" s="15"/>
      <c r="DX969" s="15"/>
      <c r="DY969" s="15"/>
      <c r="DZ969" s="15"/>
      <c r="EA969" s="15"/>
      <c r="EB969" s="15"/>
      <c r="EC969" s="16" t="s">
        <v>197</v>
      </c>
      <c r="ED969" s="17" t="s">
        <v>198</v>
      </c>
      <c r="EE969" s="18">
        <v>45719.36184027778</v>
      </c>
      <c r="EF969" s="13" t="s">
        <v>209</v>
      </c>
      <c r="EG969" s="14" t="s">
        <v>179</v>
      </c>
      <c r="EH969" s="14" t="s">
        <v>19285</v>
      </c>
      <c r="EI969" s="14" t="s">
        <v>179</v>
      </c>
      <c r="EJ969" s="14" t="s">
        <v>19285</v>
      </c>
      <c r="EK969" s="14" t="s">
        <v>179</v>
      </c>
      <c r="EL969" s="14" t="s">
        <v>19286</v>
      </c>
      <c r="EM969" s="15"/>
      <c r="EN969" s="15"/>
      <c r="EO969" s="15"/>
      <c r="EP969" s="15"/>
      <c r="EQ969" s="15"/>
      <c r="ER969" s="15"/>
      <c r="ES969" s="15"/>
      <c r="ET969" s="15"/>
      <c r="EU969" s="15"/>
      <c r="EV969" s="15"/>
      <c r="EW969" s="15"/>
      <c r="EX969" s="15"/>
      <c r="EY969" s="15"/>
      <c r="EZ969" s="15"/>
      <c r="FA969" s="15"/>
      <c r="FB969" s="15"/>
      <c r="FC969" s="16" t="s">
        <v>197</v>
      </c>
      <c r="FD969" s="17" t="s">
        <v>198</v>
      </c>
      <c r="FE969" s="18">
        <v>45723.38313657408</v>
      </c>
      <c r="FF969" s="19"/>
      <c r="FG969" s="19"/>
      <c r="FH969" s="21" t="s">
        <v>197</v>
      </c>
      <c r="FI969" s="17" t="s">
        <v>214</v>
      </c>
      <c r="FJ969" s="18">
        <v>45723.38313657408</v>
      </c>
      <c r="FK969" s="14" t="s">
        <v>19286</v>
      </c>
      <c r="FL969" s="14" t="s">
        <v>19287</v>
      </c>
      <c r="FM969" s="14" t="s">
        <v>19288</v>
      </c>
      <c r="FN969" s="19"/>
      <c r="FO969" s="19"/>
      <c r="FP969" s="19" t="str">
        <f t="shared" si="1"/>
        <v>Base de Dados_Images/VT9209.Imagem do Equipamento-.153532.jpg</v>
      </c>
      <c r="FQ969" s="14"/>
      <c r="FR969" s="14"/>
    </row>
    <row r="970" ht="15.75" customHeight="1">
      <c r="A970" s="12" t="s">
        <v>174</v>
      </c>
      <c r="B970" s="12" t="s">
        <v>5132</v>
      </c>
      <c r="C970" s="24" t="s">
        <v>9260</v>
      </c>
      <c r="D970" s="22" t="s">
        <v>19289</v>
      </c>
      <c r="E970" s="22" t="s">
        <v>19290</v>
      </c>
      <c r="F970" s="13" t="s">
        <v>178</v>
      </c>
      <c r="G970" s="14" t="s">
        <v>179</v>
      </c>
      <c r="H970" s="14" t="s">
        <v>19291</v>
      </c>
      <c r="I970" s="14" t="s">
        <v>179</v>
      </c>
      <c r="J970" s="14" t="s">
        <v>19292</v>
      </c>
      <c r="K970" s="14" t="s">
        <v>179</v>
      </c>
      <c r="L970" s="14" t="s">
        <v>19293</v>
      </c>
      <c r="M970" s="14" t="s">
        <v>179</v>
      </c>
      <c r="N970" s="14" t="s">
        <v>19294</v>
      </c>
      <c r="O970" s="14" t="s">
        <v>179</v>
      </c>
      <c r="P970" s="14" t="s">
        <v>19295</v>
      </c>
      <c r="Q970" s="14" t="s">
        <v>179</v>
      </c>
      <c r="R970" s="14" t="s">
        <v>19296</v>
      </c>
      <c r="S970" s="14" t="s">
        <v>179</v>
      </c>
      <c r="T970" s="14" t="s">
        <v>19297</v>
      </c>
      <c r="U970" s="14" t="s">
        <v>179</v>
      </c>
      <c r="V970" s="14" t="s">
        <v>19298</v>
      </c>
      <c r="W970" s="14" t="s">
        <v>179</v>
      </c>
      <c r="X970" s="14" t="s">
        <v>19299</v>
      </c>
      <c r="Y970" s="14" t="s">
        <v>179</v>
      </c>
      <c r="Z970" s="14" t="s">
        <v>19300</v>
      </c>
      <c r="AA970" s="14" t="s">
        <v>179</v>
      </c>
      <c r="AB970" s="14" t="s">
        <v>19301</v>
      </c>
      <c r="AC970" s="14" t="s">
        <v>179</v>
      </c>
      <c r="AD970" s="14" t="s">
        <v>19302</v>
      </c>
      <c r="AE970" s="14" t="s">
        <v>179</v>
      </c>
      <c r="AF970" s="14" t="s">
        <v>19303</v>
      </c>
      <c r="AG970" s="14" t="s">
        <v>179</v>
      </c>
      <c r="AH970" s="14" t="s">
        <v>19304</v>
      </c>
      <c r="AI970" s="14" t="s">
        <v>179</v>
      </c>
      <c r="AJ970" s="14" t="s">
        <v>19305</v>
      </c>
      <c r="AK970" s="14" t="s">
        <v>179</v>
      </c>
      <c r="AL970" s="14" t="s">
        <v>19306</v>
      </c>
      <c r="AM970" s="14" t="s">
        <v>179</v>
      </c>
      <c r="AN970" s="14" t="s">
        <v>19307</v>
      </c>
      <c r="AO970" s="14" t="s">
        <v>179</v>
      </c>
      <c r="AP970" s="14" t="s">
        <v>19308</v>
      </c>
      <c r="AQ970" s="14" t="s">
        <v>179</v>
      </c>
      <c r="AR970" s="14" t="s">
        <v>19309</v>
      </c>
      <c r="AS970" s="14" t="s">
        <v>179</v>
      </c>
      <c r="AT970" s="14" t="s">
        <v>19310</v>
      </c>
      <c r="AU970" s="14" t="s">
        <v>179</v>
      </c>
      <c r="AV970" s="14" t="s">
        <v>19311</v>
      </c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6" t="s">
        <v>197</v>
      </c>
      <c r="BP970" s="17" t="s">
        <v>198</v>
      </c>
      <c r="BQ970" s="18">
        <v>45688.46506944444</v>
      </c>
      <c r="BR970" s="17" t="s">
        <v>198</v>
      </c>
      <c r="BS970" s="18">
        <v>45688.46533564815</v>
      </c>
      <c r="BT970" s="17" t="s">
        <v>198</v>
      </c>
      <c r="BU970" s="18">
        <v>45688.46533564815</v>
      </c>
      <c r="BV970" s="13" t="s">
        <v>199</v>
      </c>
      <c r="BW970" s="14" t="s">
        <v>179</v>
      </c>
      <c r="BX970" s="14" t="s">
        <v>19312</v>
      </c>
      <c r="BY970" s="14" t="s">
        <v>179</v>
      </c>
      <c r="BZ970" s="14" t="s">
        <v>19313</v>
      </c>
      <c r="CA970" s="14" t="s">
        <v>179</v>
      </c>
      <c r="CB970" s="14" t="s">
        <v>19314</v>
      </c>
      <c r="CC970" s="14" t="s">
        <v>179</v>
      </c>
      <c r="CD970" s="14" t="s">
        <v>19315</v>
      </c>
      <c r="CE970" s="14" t="s">
        <v>179</v>
      </c>
      <c r="CF970" s="14" t="s">
        <v>19316</v>
      </c>
      <c r="CG970" s="14" t="s">
        <v>179</v>
      </c>
      <c r="CH970" s="14" t="s">
        <v>19317</v>
      </c>
      <c r="CI970" s="14" t="s">
        <v>179</v>
      </c>
      <c r="CJ970" s="14" t="s">
        <v>19318</v>
      </c>
      <c r="CK970" s="19"/>
      <c r="CL970" s="15"/>
      <c r="CM970" s="19"/>
      <c r="CN970" s="15"/>
      <c r="CO970" s="19"/>
      <c r="CP970" s="15"/>
      <c r="CQ970" s="15"/>
      <c r="CR970" s="15"/>
      <c r="CS970" s="19"/>
      <c r="CT970" s="15"/>
      <c r="CU970" s="19"/>
      <c r="CV970" s="15"/>
      <c r="CW970" s="19"/>
      <c r="CX970" s="15"/>
      <c r="CY970" s="19"/>
      <c r="CZ970" s="15"/>
      <c r="DA970" s="16" t="s">
        <v>197</v>
      </c>
      <c r="DB970" s="17" t="s">
        <v>198</v>
      </c>
      <c r="DC970" s="20">
        <v>45719.38462962963</v>
      </c>
      <c r="DD970" s="17" t="s">
        <v>198</v>
      </c>
      <c r="DE970" s="18">
        <v>45719.384722222225</v>
      </c>
      <c r="DF970" s="17" t="s">
        <v>198</v>
      </c>
      <c r="DG970" s="18">
        <v>45719.384722222225</v>
      </c>
      <c r="DH970" s="13" t="s">
        <v>205</v>
      </c>
      <c r="DI970" s="14" t="s">
        <v>179</v>
      </c>
      <c r="DJ970" s="14" t="s">
        <v>19319</v>
      </c>
      <c r="DK970" s="14" t="s">
        <v>179</v>
      </c>
      <c r="DL970" s="14" t="s">
        <v>19320</v>
      </c>
      <c r="DM970" s="14" t="s">
        <v>179</v>
      </c>
      <c r="DN970" s="14" t="s">
        <v>19321</v>
      </c>
      <c r="DO970" s="15"/>
      <c r="DP970" s="15"/>
      <c r="DQ970" s="15"/>
      <c r="DR970" s="15"/>
      <c r="DS970" s="15"/>
      <c r="DT970" s="15"/>
      <c r="DU970" s="15"/>
      <c r="DV970" s="15"/>
      <c r="DW970" s="15"/>
      <c r="DX970" s="15"/>
      <c r="DY970" s="15"/>
      <c r="DZ970" s="15"/>
      <c r="EA970" s="15"/>
      <c r="EB970" s="15"/>
      <c r="EC970" s="16" t="s">
        <v>197</v>
      </c>
      <c r="ED970" s="17" t="s">
        <v>198</v>
      </c>
      <c r="EE970" s="18">
        <v>45719.38453703704</v>
      </c>
      <c r="EF970" s="13" t="s">
        <v>209</v>
      </c>
      <c r="EG970" s="14" t="s">
        <v>179</v>
      </c>
      <c r="EH970" s="14" t="s">
        <v>19322</v>
      </c>
      <c r="EI970" s="14" t="s">
        <v>179</v>
      </c>
      <c r="EJ970" s="14" t="s">
        <v>19323</v>
      </c>
      <c r="EK970" s="14" t="s">
        <v>179</v>
      </c>
      <c r="EL970" s="14" t="s">
        <v>19322</v>
      </c>
      <c r="EM970" s="15"/>
      <c r="EN970" s="15"/>
      <c r="EO970" s="15"/>
      <c r="EP970" s="15"/>
      <c r="EQ970" s="15"/>
      <c r="ER970" s="15"/>
      <c r="ES970" s="15"/>
      <c r="ET970" s="15"/>
      <c r="EU970" s="15"/>
      <c r="EV970" s="15"/>
      <c r="EW970" s="15"/>
      <c r="EX970" s="15"/>
      <c r="EY970" s="15"/>
      <c r="EZ970" s="15"/>
      <c r="FA970" s="15"/>
      <c r="FB970" s="15"/>
      <c r="FC970" s="16" t="s">
        <v>197</v>
      </c>
      <c r="FD970" s="17" t="s">
        <v>198</v>
      </c>
      <c r="FE970" s="18">
        <v>45723.285219907404</v>
      </c>
      <c r="FF970" s="19"/>
      <c r="FG970" s="19"/>
      <c r="FH970" s="21" t="s">
        <v>197</v>
      </c>
      <c r="FI970" s="17" t="s">
        <v>214</v>
      </c>
      <c r="FJ970" s="18">
        <v>45723.285219907404</v>
      </c>
      <c r="FK970" s="14" t="s">
        <v>19322</v>
      </c>
      <c r="FL970" s="14" t="s">
        <v>19324</v>
      </c>
      <c r="FM970" s="14" t="s">
        <v>19325</v>
      </c>
      <c r="FN970" s="19"/>
      <c r="FO970" s="19"/>
      <c r="FP970" s="19" t="str">
        <f t="shared" si="1"/>
        <v>Base de Dados_Images/VT9210.Imagem do Equipamento-.153342.jpg</v>
      </c>
      <c r="FQ970" s="19"/>
      <c r="FR970" s="19"/>
    </row>
    <row r="971" ht="15.75" customHeight="1">
      <c r="A971" s="12" t="s">
        <v>357</v>
      </c>
      <c r="B971" s="12" t="s">
        <v>4173</v>
      </c>
      <c r="C971" s="24" t="s">
        <v>324</v>
      </c>
      <c r="D971" s="22" t="s">
        <v>19326</v>
      </c>
      <c r="E971" s="22" t="s">
        <v>19327</v>
      </c>
      <c r="F971" s="13" t="s">
        <v>178</v>
      </c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6" t="s">
        <v>197</v>
      </c>
      <c r="BP971" s="17" t="s">
        <v>228</v>
      </c>
      <c r="BQ971" s="23"/>
      <c r="BR971" s="17" t="s">
        <v>228</v>
      </c>
      <c r="BS971" s="23"/>
      <c r="BT971" s="17" t="s">
        <v>228</v>
      </c>
      <c r="BU971" s="23"/>
      <c r="BV971" s="13" t="s">
        <v>199</v>
      </c>
      <c r="BW971" s="15"/>
      <c r="BX971" s="15"/>
      <c r="BY971" s="15"/>
      <c r="BZ971" s="15"/>
      <c r="CA971" s="15"/>
      <c r="CB971" s="15"/>
      <c r="CC971" s="15"/>
      <c r="CD971" s="15"/>
      <c r="CE971" s="15"/>
      <c r="CF971" s="15"/>
      <c r="CG971" s="19"/>
      <c r="CH971" s="15"/>
      <c r="CI971" s="19"/>
      <c r="CJ971" s="15"/>
      <c r="CK971" s="19"/>
      <c r="CL971" s="15"/>
      <c r="CM971" s="19"/>
      <c r="CN971" s="15"/>
      <c r="CO971" s="19"/>
      <c r="CP971" s="15"/>
      <c r="CQ971" s="15"/>
      <c r="CR971" s="15"/>
      <c r="CS971" s="19"/>
      <c r="CT971" s="15"/>
      <c r="CU971" s="19"/>
      <c r="CV971" s="15"/>
      <c r="CW971" s="19"/>
      <c r="CX971" s="15"/>
      <c r="CY971" s="19"/>
      <c r="CZ971" s="15"/>
      <c r="DA971" s="16" t="s">
        <v>197</v>
      </c>
      <c r="DB971" s="17" t="s">
        <v>228</v>
      </c>
      <c r="DC971" s="16"/>
      <c r="DD971" s="17" t="s">
        <v>228</v>
      </c>
      <c r="DE971" s="23"/>
      <c r="DF971" s="17" t="s">
        <v>228</v>
      </c>
      <c r="DG971" s="23"/>
      <c r="DH971" s="13" t="s">
        <v>205</v>
      </c>
      <c r="DI971" s="14" t="s">
        <v>179</v>
      </c>
      <c r="DJ971" s="14" t="s">
        <v>19328</v>
      </c>
      <c r="DK971" s="14" t="s">
        <v>179</v>
      </c>
      <c r="DL971" s="14" t="s">
        <v>19329</v>
      </c>
      <c r="DM971" s="15"/>
      <c r="DN971" s="15"/>
      <c r="DO971" s="15"/>
      <c r="DP971" s="15"/>
      <c r="DQ971" s="15"/>
      <c r="DR971" s="15"/>
      <c r="DS971" s="15"/>
      <c r="DT971" s="15"/>
      <c r="DU971" s="15"/>
      <c r="DV971" s="15"/>
      <c r="DW971" s="15"/>
      <c r="DX971" s="15"/>
      <c r="DY971" s="15"/>
      <c r="DZ971" s="15"/>
      <c r="EA971" s="15"/>
      <c r="EB971" s="15"/>
      <c r="EC971" s="16" t="s">
        <v>197</v>
      </c>
      <c r="ED971" s="17" t="s">
        <v>198</v>
      </c>
      <c r="EE971" s="18">
        <v>45723.56321759259</v>
      </c>
      <c r="EF971" s="13" t="s">
        <v>209</v>
      </c>
      <c r="EG971" s="14" t="s">
        <v>179</v>
      </c>
      <c r="EH971" s="14" t="s">
        <v>19330</v>
      </c>
      <c r="EI971" s="14" t="s">
        <v>179</v>
      </c>
      <c r="EJ971" s="14" t="s">
        <v>19330</v>
      </c>
      <c r="EK971" s="15"/>
      <c r="EL971" s="15"/>
      <c r="EM971" s="15"/>
      <c r="EN971" s="15"/>
      <c r="EO971" s="15"/>
      <c r="EP971" s="15"/>
      <c r="EQ971" s="15"/>
      <c r="ER971" s="15"/>
      <c r="ES971" s="15"/>
      <c r="ET971" s="15"/>
      <c r="EU971" s="15"/>
      <c r="EV971" s="15"/>
      <c r="EW971" s="15"/>
      <c r="EX971" s="15"/>
      <c r="EY971" s="15"/>
      <c r="EZ971" s="15"/>
      <c r="FA971" s="15"/>
      <c r="FB971" s="15"/>
      <c r="FC971" s="16" t="s">
        <v>197</v>
      </c>
      <c r="FD971" s="17" t="s">
        <v>198</v>
      </c>
      <c r="FE971" s="18">
        <v>45723.563263888886</v>
      </c>
      <c r="FF971" s="19"/>
      <c r="FG971" s="19"/>
      <c r="FH971" s="21" t="s">
        <v>197</v>
      </c>
      <c r="FI971" s="17" t="s">
        <v>214</v>
      </c>
      <c r="FJ971" s="18">
        <v>45723.563263888886</v>
      </c>
      <c r="FK971" s="14" t="s">
        <v>19330</v>
      </c>
      <c r="FL971" s="19"/>
      <c r="FM971" s="19"/>
      <c r="FN971" s="19"/>
      <c r="FO971" s="19"/>
      <c r="FP971" s="19" t="str">
        <f t="shared" si="1"/>
        <v/>
      </c>
      <c r="FQ971" s="14" t="s">
        <v>215</v>
      </c>
      <c r="FR971" s="14" t="s">
        <v>19331</v>
      </c>
    </row>
    <row r="972" ht="15.75" customHeight="1">
      <c r="A972" s="12" t="s">
        <v>217</v>
      </c>
      <c r="B972" s="12" t="s">
        <v>7566</v>
      </c>
      <c r="C972" s="12" t="s">
        <v>219</v>
      </c>
      <c r="D972" s="22" t="s">
        <v>19332</v>
      </c>
      <c r="E972" s="22" t="s">
        <v>19333</v>
      </c>
      <c r="F972" s="13" t="s">
        <v>178</v>
      </c>
      <c r="G972" s="14" t="s">
        <v>179</v>
      </c>
      <c r="H972" s="14" t="s">
        <v>19334</v>
      </c>
      <c r="I972" s="14" t="s">
        <v>179</v>
      </c>
      <c r="J972" s="14" t="s">
        <v>19335</v>
      </c>
      <c r="K972" s="14" t="s">
        <v>179</v>
      </c>
      <c r="L972" s="14" t="s">
        <v>19336</v>
      </c>
      <c r="M972" s="14" t="s">
        <v>179</v>
      </c>
      <c r="N972" s="14" t="s">
        <v>19337</v>
      </c>
      <c r="O972" s="14" t="s">
        <v>179</v>
      </c>
      <c r="P972" s="14" t="s">
        <v>19338</v>
      </c>
      <c r="Q972" s="14" t="s">
        <v>179</v>
      </c>
      <c r="R972" s="14" t="s">
        <v>19339</v>
      </c>
      <c r="S972" s="14" t="s">
        <v>179</v>
      </c>
      <c r="T972" s="14" t="s">
        <v>19340</v>
      </c>
      <c r="U972" s="14" t="s">
        <v>179</v>
      </c>
      <c r="V972" s="14" t="s">
        <v>19341</v>
      </c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6" t="s">
        <v>197</v>
      </c>
      <c r="BP972" s="17" t="s">
        <v>228</v>
      </c>
      <c r="BQ972" s="23"/>
      <c r="BR972" s="17" t="s">
        <v>198</v>
      </c>
      <c r="BS972" s="18">
        <v>45686.58678240741</v>
      </c>
      <c r="BT972" s="17" t="s">
        <v>198</v>
      </c>
      <c r="BU972" s="18">
        <v>45686.58678240741</v>
      </c>
      <c r="BV972" s="13" t="s">
        <v>199</v>
      </c>
      <c r="BW972" s="14" t="s">
        <v>179</v>
      </c>
      <c r="BX972" s="14" t="s">
        <v>19342</v>
      </c>
      <c r="BY972" s="14" t="s">
        <v>179</v>
      </c>
      <c r="BZ972" s="14" t="s">
        <v>19343</v>
      </c>
      <c r="CA972" s="15"/>
      <c r="CB972" s="15"/>
      <c r="CC972" s="15"/>
      <c r="CD972" s="15"/>
      <c r="CE972" s="15"/>
      <c r="CF972" s="15"/>
      <c r="CG972" s="19"/>
      <c r="CH972" s="15"/>
      <c r="CI972" s="19"/>
      <c r="CJ972" s="15"/>
      <c r="CK972" s="19"/>
      <c r="CL972" s="15"/>
      <c r="CM972" s="19"/>
      <c r="CN972" s="15"/>
      <c r="CO972" s="19"/>
      <c r="CP972" s="15"/>
      <c r="CQ972" s="15"/>
      <c r="CR972" s="15"/>
      <c r="CS972" s="19"/>
      <c r="CT972" s="15"/>
      <c r="CU972" s="19"/>
      <c r="CV972" s="15"/>
      <c r="CW972" s="19"/>
      <c r="CX972" s="15"/>
      <c r="CY972" s="19"/>
      <c r="CZ972" s="15"/>
      <c r="DA972" s="16" t="s">
        <v>197</v>
      </c>
      <c r="DB972" s="17" t="s">
        <v>228</v>
      </c>
      <c r="DC972" s="16"/>
      <c r="DD972" s="17" t="s">
        <v>198</v>
      </c>
      <c r="DE972" s="18">
        <v>45686.586875</v>
      </c>
      <c r="DF972" s="17" t="s">
        <v>198</v>
      </c>
      <c r="DG972" s="18">
        <v>45686.586875</v>
      </c>
      <c r="DH972" s="13" t="s">
        <v>205</v>
      </c>
      <c r="DI972" s="14" t="s">
        <v>179</v>
      </c>
      <c r="DJ972" s="14" t="s">
        <v>19344</v>
      </c>
      <c r="DK972" s="15"/>
      <c r="DL972" s="15"/>
      <c r="DM972" s="15"/>
      <c r="DN972" s="15"/>
      <c r="DO972" s="15"/>
      <c r="DP972" s="15"/>
      <c r="DQ972" s="15"/>
      <c r="DR972" s="15"/>
      <c r="DS972" s="15"/>
      <c r="DT972" s="15"/>
      <c r="DU972" s="15"/>
      <c r="DV972" s="15"/>
      <c r="DW972" s="15"/>
      <c r="DX972" s="15"/>
      <c r="DY972" s="15"/>
      <c r="DZ972" s="15"/>
      <c r="EA972" s="15"/>
      <c r="EB972" s="15"/>
      <c r="EC972" s="16" t="s">
        <v>197</v>
      </c>
      <c r="ED972" s="17" t="s">
        <v>198</v>
      </c>
      <c r="EE972" s="18">
        <v>45699.39628472222</v>
      </c>
      <c r="EF972" s="13" t="s">
        <v>209</v>
      </c>
      <c r="EG972" s="14" t="s">
        <v>179</v>
      </c>
      <c r="EH972" s="14" t="s">
        <v>19345</v>
      </c>
      <c r="EI972" s="15"/>
      <c r="EJ972" s="15"/>
      <c r="EK972" s="15"/>
      <c r="EL972" s="15"/>
      <c r="EM972" s="15"/>
      <c r="EN972" s="15"/>
      <c r="EO972" s="15"/>
      <c r="EP972" s="15"/>
      <c r="EQ972" s="15"/>
      <c r="ER972" s="15"/>
      <c r="ES972" s="15"/>
      <c r="ET972" s="15"/>
      <c r="EU972" s="15"/>
      <c r="EV972" s="15"/>
      <c r="EW972" s="15"/>
      <c r="EX972" s="15"/>
      <c r="EY972" s="15"/>
      <c r="EZ972" s="15"/>
      <c r="FA972" s="15"/>
      <c r="FB972" s="15"/>
      <c r="FC972" s="16" t="s">
        <v>197</v>
      </c>
      <c r="FD972" s="17" t="s">
        <v>198</v>
      </c>
      <c r="FE972" s="18">
        <v>45723.34339120371</v>
      </c>
      <c r="FF972" s="19"/>
      <c r="FG972" s="19"/>
      <c r="FH972" s="21" t="s">
        <v>197</v>
      </c>
      <c r="FI972" s="17" t="s">
        <v>214</v>
      </c>
      <c r="FJ972" s="18">
        <v>45723.34339120371</v>
      </c>
      <c r="FK972" s="14" t="s">
        <v>19345</v>
      </c>
      <c r="FL972" s="14" t="s">
        <v>19346</v>
      </c>
      <c r="FM972" s="14" t="s">
        <v>19347</v>
      </c>
      <c r="FN972" s="19"/>
      <c r="FO972" s="19"/>
      <c r="FP972" s="19" t="str">
        <f t="shared" si="1"/>
        <v>Base de Dados_Images/XCV40004.Imagem do Equipamento-.190923.jpg</v>
      </c>
      <c r="FQ972" s="19"/>
      <c r="FR972" s="19"/>
    </row>
    <row r="973" ht="15.75" customHeight="1">
      <c r="A973" s="12" t="s">
        <v>217</v>
      </c>
      <c r="B973" s="12" t="s">
        <v>7566</v>
      </c>
      <c r="C973" s="12" t="s">
        <v>219</v>
      </c>
      <c r="D973" s="22" t="s">
        <v>19348</v>
      </c>
      <c r="E973" s="22" t="s">
        <v>19349</v>
      </c>
      <c r="F973" s="13" t="s">
        <v>178</v>
      </c>
      <c r="G973" s="14" t="s">
        <v>179</v>
      </c>
      <c r="H973" s="14" t="s">
        <v>19350</v>
      </c>
      <c r="I973" s="14" t="s">
        <v>179</v>
      </c>
      <c r="J973" s="14" t="s">
        <v>19351</v>
      </c>
      <c r="K973" s="14" t="s">
        <v>179</v>
      </c>
      <c r="L973" s="14" t="s">
        <v>19352</v>
      </c>
      <c r="M973" s="14" t="s">
        <v>179</v>
      </c>
      <c r="N973" s="14" t="s">
        <v>19353</v>
      </c>
      <c r="O973" s="14" t="s">
        <v>179</v>
      </c>
      <c r="P973" s="14" t="s">
        <v>19353</v>
      </c>
      <c r="Q973" s="14" t="s">
        <v>179</v>
      </c>
      <c r="R973" s="14" t="s">
        <v>19354</v>
      </c>
      <c r="S973" s="14" t="s">
        <v>179</v>
      </c>
      <c r="T973" s="14" t="s">
        <v>19355</v>
      </c>
      <c r="U973" s="14" t="s">
        <v>179</v>
      </c>
      <c r="V973" s="14" t="s">
        <v>19355</v>
      </c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6" t="s">
        <v>197</v>
      </c>
      <c r="BP973" s="17" t="s">
        <v>228</v>
      </c>
      <c r="BQ973" s="23"/>
      <c r="BR973" s="17" t="s">
        <v>198</v>
      </c>
      <c r="BS973" s="18">
        <v>45686.38033564815</v>
      </c>
      <c r="BT973" s="17" t="s">
        <v>198</v>
      </c>
      <c r="BU973" s="18">
        <v>45686.38033564815</v>
      </c>
      <c r="BV973" s="13" t="s">
        <v>199</v>
      </c>
      <c r="BW973" s="14" t="s">
        <v>179</v>
      </c>
      <c r="BX973" s="14" t="s">
        <v>19356</v>
      </c>
      <c r="BY973" s="14" t="s">
        <v>179</v>
      </c>
      <c r="BZ973" s="14" t="s">
        <v>19357</v>
      </c>
      <c r="CA973" s="15"/>
      <c r="CB973" s="15"/>
      <c r="CC973" s="15"/>
      <c r="CD973" s="15"/>
      <c r="CE973" s="15"/>
      <c r="CF973" s="15"/>
      <c r="CG973" s="19"/>
      <c r="CH973" s="15"/>
      <c r="CI973" s="19"/>
      <c r="CJ973" s="15"/>
      <c r="CK973" s="19"/>
      <c r="CL973" s="15"/>
      <c r="CM973" s="19"/>
      <c r="CN973" s="15"/>
      <c r="CO973" s="19"/>
      <c r="CP973" s="15"/>
      <c r="CQ973" s="15"/>
      <c r="CR973" s="15"/>
      <c r="CS973" s="19"/>
      <c r="CT973" s="15"/>
      <c r="CU973" s="19"/>
      <c r="CV973" s="15"/>
      <c r="CW973" s="19"/>
      <c r="CX973" s="15"/>
      <c r="CY973" s="19"/>
      <c r="CZ973" s="15"/>
      <c r="DA973" s="16" t="s">
        <v>197</v>
      </c>
      <c r="DB973" s="17" t="s">
        <v>228</v>
      </c>
      <c r="DC973" s="16"/>
      <c r="DD973" s="17" t="s">
        <v>198</v>
      </c>
      <c r="DE973" s="18">
        <v>45686.380474537036</v>
      </c>
      <c r="DF973" s="17" t="s">
        <v>198</v>
      </c>
      <c r="DG973" s="18">
        <v>45686.380474537036</v>
      </c>
      <c r="DH973" s="13" t="s">
        <v>205</v>
      </c>
      <c r="DI973" s="14" t="s">
        <v>179</v>
      </c>
      <c r="DJ973" s="14" t="s">
        <v>19358</v>
      </c>
      <c r="DK973" s="15"/>
      <c r="DL973" s="15"/>
      <c r="DM973" s="15"/>
      <c r="DN973" s="15"/>
      <c r="DO973" s="15"/>
      <c r="DP973" s="15"/>
      <c r="DQ973" s="15"/>
      <c r="DR973" s="15"/>
      <c r="DS973" s="15"/>
      <c r="DT973" s="15"/>
      <c r="DU973" s="15"/>
      <c r="DV973" s="15"/>
      <c r="DW973" s="15"/>
      <c r="DX973" s="15"/>
      <c r="DY973" s="15"/>
      <c r="DZ973" s="15"/>
      <c r="EA973" s="15"/>
      <c r="EB973" s="15"/>
      <c r="EC973" s="16" t="s">
        <v>197</v>
      </c>
      <c r="ED973" s="17" t="s">
        <v>198</v>
      </c>
      <c r="EE973" s="18">
        <v>45708.426886574074</v>
      </c>
      <c r="EF973" s="13" t="s">
        <v>209</v>
      </c>
      <c r="EG973" s="14" t="s">
        <v>179</v>
      </c>
      <c r="EH973" s="14" t="s">
        <v>19359</v>
      </c>
      <c r="EI973" s="15"/>
      <c r="EJ973" s="15"/>
      <c r="EK973" s="15"/>
      <c r="EL973" s="15"/>
      <c r="EM973" s="15"/>
      <c r="EN973" s="15"/>
      <c r="EO973" s="15"/>
      <c r="EP973" s="15"/>
      <c r="EQ973" s="15"/>
      <c r="ER973" s="15"/>
      <c r="ES973" s="15"/>
      <c r="ET973" s="15"/>
      <c r="EU973" s="15"/>
      <c r="EV973" s="15"/>
      <c r="EW973" s="15"/>
      <c r="EX973" s="15"/>
      <c r="EY973" s="15"/>
      <c r="EZ973" s="15"/>
      <c r="FA973" s="15"/>
      <c r="FB973" s="15"/>
      <c r="FC973" s="16" t="s">
        <v>197</v>
      </c>
      <c r="FD973" s="17" t="s">
        <v>198</v>
      </c>
      <c r="FE973" s="18">
        <v>45723.3434375</v>
      </c>
      <c r="FF973" s="19"/>
      <c r="FG973" s="19"/>
      <c r="FH973" s="21" t="s">
        <v>197</v>
      </c>
      <c r="FI973" s="17" t="s">
        <v>214</v>
      </c>
      <c r="FJ973" s="18">
        <v>45723.3434375</v>
      </c>
      <c r="FK973" s="14" t="s">
        <v>19359</v>
      </c>
      <c r="FL973" s="14" t="s">
        <v>19360</v>
      </c>
      <c r="FM973" s="14" t="s">
        <v>19361</v>
      </c>
      <c r="FN973" s="19"/>
      <c r="FO973" s="19"/>
      <c r="FP973" s="19" t="str">
        <f t="shared" si="1"/>
        <v>Base de Dados_Images/XCV40007.Imagem do Equipamento-.154832.jpg</v>
      </c>
      <c r="FQ973" s="19"/>
      <c r="FR973" s="19"/>
    </row>
    <row r="974" ht="15.75" customHeight="1">
      <c r="A974" s="12" t="s">
        <v>234</v>
      </c>
      <c r="B974" s="12" t="s">
        <v>2706</v>
      </c>
      <c r="C974" s="12" t="s">
        <v>219</v>
      </c>
      <c r="D974" s="12" t="s">
        <v>19362</v>
      </c>
      <c r="E974" s="12" t="s">
        <v>19363</v>
      </c>
      <c r="F974" s="13" t="s">
        <v>178</v>
      </c>
      <c r="G974" s="14" t="s">
        <v>179</v>
      </c>
      <c r="H974" s="14" t="s">
        <v>19364</v>
      </c>
      <c r="I974" s="14" t="s">
        <v>179</v>
      </c>
      <c r="J974" s="14" t="s">
        <v>19365</v>
      </c>
      <c r="K974" s="14" t="s">
        <v>179</v>
      </c>
      <c r="L974" s="14" t="s">
        <v>19366</v>
      </c>
      <c r="M974" s="14" t="s">
        <v>179</v>
      </c>
      <c r="N974" s="14" t="s">
        <v>19367</v>
      </c>
      <c r="O974" s="14" t="s">
        <v>179</v>
      </c>
      <c r="P974" s="14" t="s">
        <v>19368</v>
      </c>
      <c r="Q974" s="14" t="s">
        <v>179</v>
      </c>
      <c r="R974" s="14" t="s">
        <v>19369</v>
      </c>
      <c r="S974" s="14" t="s">
        <v>179</v>
      </c>
      <c r="T974" s="14" t="s">
        <v>19370</v>
      </c>
      <c r="U974" s="14" t="s">
        <v>179</v>
      </c>
      <c r="V974" s="14" t="s">
        <v>19371</v>
      </c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6" t="s">
        <v>197</v>
      </c>
      <c r="BP974" s="17" t="s">
        <v>228</v>
      </c>
      <c r="BQ974" s="23"/>
      <c r="BR974" s="17" t="s">
        <v>198</v>
      </c>
      <c r="BS974" s="18">
        <v>45687.40304398148</v>
      </c>
      <c r="BT974" s="17" t="s">
        <v>198</v>
      </c>
      <c r="BU974" s="18">
        <v>45687.40304398148</v>
      </c>
      <c r="BV974" s="13" t="s">
        <v>199</v>
      </c>
      <c r="BW974" s="14" t="s">
        <v>179</v>
      </c>
      <c r="BX974" s="14" t="s">
        <v>19372</v>
      </c>
      <c r="BY974" s="14" t="s">
        <v>179</v>
      </c>
      <c r="BZ974" s="14" t="s">
        <v>19372</v>
      </c>
      <c r="CA974" s="15"/>
      <c r="CB974" s="15"/>
      <c r="CC974" s="15"/>
      <c r="CD974" s="15"/>
      <c r="CE974" s="15"/>
      <c r="CF974" s="15"/>
      <c r="CG974" s="19"/>
      <c r="CH974" s="15"/>
      <c r="CI974" s="19"/>
      <c r="CJ974" s="15"/>
      <c r="CK974" s="19"/>
      <c r="CL974" s="15"/>
      <c r="CM974" s="19"/>
      <c r="CN974" s="15"/>
      <c r="CO974" s="19"/>
      <c r="CP974" s="15"/>
      <c r="CQ974" s="15"/>
      <c r="CR974" s="15"/>
      <c r="CS974" s="19"/>
      <c r="CT974" s="15"/>
      <c r="CU974" s="19"/>
      <c r="CV974" s="15"/>
      <c r="CW974" s="19"/>
      <c r="CX974" s="15"/>
      <c r="CY974" s="19"/>
      <c r="CZ974" s="15"/>
      <c r="DA974" s="16" t="s">
        <v>197</v>
      </c>
      <c r="DB974" s="17" t="s">
        <v>228</v>
      </c>
      <c r="DC974" s="16"/>
      <c r="DD974" s="17" t="s">
        <v>198</v>
      </c>
      <c r="DE974" s="18">
        <v>45696.58945601852</v>
      </c>
      <c r="DF974" s="17" t="s">
        <v>198</v>
      </c>
      <c r="DG974" s="18">
        <v>45696.58945601852</v>
      </c>
      <c r="DH974" s="13" t="s">
        <v>205</v>
      </c>
      <c r="DI974" s="14" t="s">
        <v>179</v>
      </c>
      <c r="DJ974" s="14" t="s">
        <v>19373</v>
      </c>
      <c r="DK974" s="15"/>
      <c r="DL974" s="15"/>
      <c r="DM974" s="15"/>
      <c r="DN974" s="15"/>
      <c r="DO974" s="15"/>
      <c r="DP974" s="15"/>
      <c r="DQ974" s="15"/>
      <c r="DR974" s="15"/>
      <c r="DS974" s="15"/>
      <c r="DT974" s="15"/>
      <c r="DU974" s="15"/>
      <c r="DV974" s="15"/>
      <c r="DW974" s="15"/>
      <c r="DX974" s="15"/>
      <c r="DY974" s="15"/>
      <c r="DZ974" s="15"/>
      <c r="EA974" s="15"/>
      <c r="EB974" s="15"/>
      <c r="EC974" s="16" t="s">
        <v>197</v>
      </c>
      <c r="ED974" s="17" t="s">
        <v>198</v>
      </c>
      <c r="EE974" s="18">
        <v>45703.465902777774</v>
      </c>
      <c r="EF974" s="13" t="s">
        <v>209</v>
      </c>
      <c r="EG974" s="14" t="s">
        <v>179</v>
      </c>
      <c r="EH974" s="14" t="s">
        <v>19374</v>
      </c>
      <c r="EI974" s="15"/>
      <c r="EJ974" s="15"/>
      <c r="EK974" s="15"/>
      <c r="EL974" s="15"/>
      <c r="EM974" s="15"/>
      <c r="EN974" s="15"/>
      <c r="EO974" s="15"/>
      <c r="EP974" s="15"/>
      <c r="EQ974" s="15"/>
      <c r="ER974" s="15"/>
      <c r="ES974" s="15"/>
      <c r="ET974" s="15"/>
      <c r="EU974" s="15"/>
      <c r="EV974" s="15"/>
      <c r="EW974" s="15"/>
      <c r="EX974" s="15"/>
      <c r="EY974" s="15"/>
      <c r="EZ974" s="15"/>
      <c r="FA974" s="15"/>
      <c r="FB974" s="15"/>
      <c r="FC974" s="16" t="s">
        <v>197</v>
      </c>
      <c r="FD974" s="17" t="s">
        <v>198</v>
      </c>
      <c r="FE974" s="18">
        <v>45720.3312037037</v>
      </c>
      <c r="FF974" s="19"/>
      <c r="FG974" s="19"/>
      <c r="FH974" s="21" t="s">
        <v>197</v>
      </c>
      <c r="FI974" s="17" t="s">
        <v>214</v>
      </c>
      <c r="FJ974" s="18">
        <v>45720.3312037037</v>
      </c>
      <c r="FK974" s="14" t="s">
        <v>19374</v>
      </c>
      <c r="FL974" s="14" t="s">
        <v>19375</v>
      </c>
      <c r="FM974" s="14" t="s">
        <v>19376</v>
      </c>
      <c r="FN974" s="19"/>
      <c r="FO974" s="19"/>
      <c r="FP974" s="19" t="str">
        <f t="shared" si="1"/>
        <v>Base de Dados_Images/XCV65017.Imagem do Equipamento-.131848.jpg</v>
      </c>
      <c r="FQ974" s="19"/>
      <c r="FR974" s="19"/>
    </row>
    <row r="975" ht="15.75" customHeight="1">
      <c r="A975" s="12" t="s">
        <v>234</v>
      </c>
      <c r="B975" s="12" t="s">
        <v>2743</v>
      </c>
      <c r="C975" s="12" t="s">
        <v>219</v>
      </c>
      <c r="D975" s="12" t="s">
        <v>19377</v>
      </c>
      <c r="E975" s="12" t="s">
        <v>19378</v>
      </c>
      <c r="F975" s="13" t="s">
        <v>178</v>
      </c>
      <c r="G975" s="14" t="s">
        <v>179</v>
      </c>
      <c r="H975" s="14" t="s">
        <v>19379</v>
      </c>
      <c r="I975" s="14" t="s">
        <v>179</v>
      </c>
      <c r="J975" s="14" t="s">
        <v>19380</v>
      </c>
      <c r="K975" s="14" t="s">
        <v>179</v>
      </c>
      <c r="L975" s="14" t="s">
        <v>19381</v>
      </c>
      <c r="M975" s="14" t="s">
        <v>179</v>
      </c>
      <c r="N975" s="14" t="s">
        <v>19382</v>
      </c>
      <c r="O975" s="14" t="s">
        <v>179</v>
      </c>
      <c r="P975" s="14" t="s">
        <v>19383</v>
      </c>
      <c r="Q975" s="14" t="s">
        <v>179</v>
      </c>
      <c r="R975" s="14" t="s">
        <v>19384</v>
      </c>
      <c r="S975" s="14" t="s">
        <v>179</v>
      </c>
      <c r="T975" s="14" t="s">
        <v>19385</v>
      </c>
      <c r="U975" s="14" t="s">
        <v>179</v>
      </c>
      <c r="V975" s="14" t="s">
        <v>19386</v>
      </c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6" t="s">
        <v>197</v>
      </c>
      <c r="BP975" s="17" t="s">
        <v>228</v>
      </c>
      <c r="BQ975" s="23"/>
      <c r="BR975" s="17" t="s">
        <v>198</v>
      </c>
      <c r="BS975" s="18">
        <v>45687.40425925926</v>
      </c>
      <c r="BT975" s="17" t="s">
        <v>198</v>
      </c>
      <c r="BU975" s="18">
        <v>45687.40425925926</v>
      </c>
      <c r="BV975" s="13" t="s">
        <v>199</v>
      </c>
      <c r="BW975" s="14" t="s">
        <v>179</v>
      </c>
      <c r="BX975" s="14" t="s">
        <v>19387</v>
      </c>
      <c r="BY975" s="14" t="s">
        <v>179</v>
      </c>
      <c r="BZ975" s="14" t="s">
        <v>19388</v>
      </c>
      <c r="CA975" s="15"/>
      <c r="CB975" s="15"/>
      <c r="CC975" s="15"/>
      <c r="CD975" s="15"/>
      <c r="CE975" s="15"/>
      <c r="CF975" s="15"/>
      <c r="CG975" s="19"/>
      <c r="CH975" s="15"/>
      <c r="CI975" s="19"/>
      <c r="CJ975" s="15"/>
      <c r="CK975" s="19"/>
      <c r="CL975" s="15"/>
      <c r="CM975" s="19"/>
      <c r="CN975" s="15"/>
      <c r="CO975" s="19"/>
      <c r="CP975" s="15"/>
      <c r="CQ975" s="15"/>
      <c r="CR975" s="15"/>
      <c r="CS975" s="19"/>
      <c r="CT975" s="15"/>
      <c r="CU975" s="19"/>
      <c r="CV975" s="15"/>
      <c r="CW975" s="19"/>
      <c r="CX975" s="15"/>
      <c r="CY975" s="19"/>
      <c r="CZ975" s="15"/>
      <c r="DA975" s="16" t="s">
        <v>197</v>
      </c>
      <c r="DB975" s="17" t="s">
        <v>228</v>
      </c>
      <c r="DC975" s="16"/>
      <c r="DD975" s="17" t="s">
        <v>198</v>
      </c>
      <c r="DE975" s="18">
        <v>45696.590474537035</v>
      </c>
      <c r="DF975" s="17" t="s">
        <v>198</v>
      </c>
      <c r="DG975" s="18">
        <v>45696.590474537035</v>
      </c>
      <c r="DH975" s="13" t="s">
        <v>205</v>
      </c>
      <c r="DI975" s="14" t="s">
        <v>179</v>
      </c>
      <c r="DJ975" s="14" t="s">
        <v>19389</v>
      </c>
      <c r="DK975" s="15"/>
      <c r="DL975" s="15"/>
      <c r="DM975" s="15"/>
      <c r="DN975" s="15"/>
      <c r="DO975" s="15"/>
      <c r="DP975" s="15"/>
      <c r="DQ975" s="15"/>
      <c r="DR975" s="15"/>
      <c r="DS975" s="15"/>
      <c r="DT975" s="15"/>
      <c r="DU975" s="15"/>
      <c r="DV975" s="15"/>
      <c r="DW975" s="15"/>
      <c r="DX975" s="15"/>
      <c r="DY975" s="15"/>
      <c r="DZ975" s="15"/>
      <c r="EA975" s="15"/>
      <c r="EB975" s="15"/>
      <c r="EC975" s="16" t="s">
        <v>197</v>
      </c>
      <c r="ED975" s="17" t="s">
        <v>198</v>
      </c>
      <c r="EE975" s="18">
        <v>45703.47657407408</v>
      </c>
      <c r="EF975" s="13" t="s">
        <v>209</v>
      </c>
      <c r="EG975" s="14" t="s">
        <v>179</v>
      </c>
      <c r="EH975" s="14" t="s">
        <v>19390</v>
      </c>
      <c r="EI975" s="15"/>
      <c r="EJ975" s="15"/>
      <c r="EK975" s="15"/>
      <c r="EL975" s="15"/>
      <c r="EM975" s="15"/>
      <c r="EN975" s="15"/>
      <c r="EO975" s="15"/>
      <c r="EP975" s="15"/>
      <c r="EQ975" s="15"/>
      <c r="ER975" s="15"/>
      <c r="ES975" s="15"/>
      <c r="ET975" s="15"/>
      <c r="EU975" s="15"/>
      <c r="EV975" s="15"/>
      <c r="EW975" s="15"/>
      <c r="EX975" s="15"/>
      <c r="EY975" s="15"/>
      <c r="EZ975" s="15"/>
      <c r="FA975" s="15"/>
      <c r="FB975" s="15"/>
      <c r="FC975" s="16" t="s">
        <v>197</v>
      </c>
      <c r="FD975" s="17" t="s">
        <v>198</v>
      </c>
      <c r="FE975" s="18">
        <v>45720.342835648145</v>
      </c>
      <c r="FF975" s="19"/>
      <c r="FG975" s="19"/>
      <c r="FH975" s="21" t="s">
        <v>197</v>
      </c>
      <c r="FI975" s="17" t="s">
        <v>214</v>
      </c>
      <c r="FJ975" s="18">
        <v>45720.342835648145</v>
      </c>
      <c r="FK975" s="14" t="s">
        <v>19390</v>
      </c>
      <c r="FL975" s="14" t="s">
        <v>19391</v>
      </c>
      <c r="FM975" s="14" t="s">
        <v>19392</v>
      </c>
      <c r="FN975" s="19"/>
      <c r="FO975" s="19"/>
      <c r="FP975" s="19" t="str">
        <f t="shared" si="1"/>
        <v>Base de Dados_Images/XCV65018.Imagem do Equipamento-.131926.jpg</v>
      </c>
      <c r="FQ975" s="19"/>
      <c r="FR975" s="19"/>
    </row>
    <row r="976" ht="15.75" customHeight="1">
      <c r="A976" s="12" t="s">
        <v>234</v>
      </c>
      <c r="B976" s="12" t="s">
        <v>2779</v>
      </c>
      <c r="C976" s="12" t="s">
        <v>219</v>
      </c>
      <c r="D976" s="12" t="s">
        <v>19393</v>
      </c>
      <c r="E976" s="12" t="s">
        <v>19394</v>
      </c>
      <c r="F976" s="13" t="s">
        <v>178</v>
      </c>
      <c r="G976" s="14" t="s">
        <v>179</v>
      </c>
      <c r="H976" s="14" t="s">
        <v>19395</v>
      </c>
      <c r="I976" s="14" t="s">
        <v>179</v>
      </c>
      <c r="J976" s="14" t="s">
        <v>19396</v>
      </c>
      <c r="K976" s="14" t="s">
        <v>179</v>
      </c>
      <c r="L976" s="14" t="s">
        <v>19396</v>
      </c>
      <c r="M976" s="14" t="s">
        <v>179</v>
      </c>
      <c r="N976" s="14" t="s">
        <v>19397</v>
      </c>
      <c r="O976" s="14" t="s">
        <v>179</v>
      </c>
      <c r="P976" s="14" t="s">
        <v>19398</v>
      </c>
      <c r="Q976" s="14" t="s">
        <v>179</v>
      </c>
      <c r="R976" s="14" t="s">
        <v>19399</v>
      </c>
      <c r="S976" s="14" t="s">
        <v>179</v>
      </c>
      <c r="T976" s="14" t="s">
        <v>19400</v>
      </c>
      <c r="U976" s="14" t="s">
        <v>179</v>
      </c>
      <c r="V976" s="14" t="s">
        <v>19401</v>
      </c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6" t="s">
        <v>197</v>
      </c>
      <c r="BP976" s="17" t="s">
        <v>228</v>
      </c>
      <c r="BQ976" s="23"/>
      <c r="BR976" s="17" t="s">
        <v>198</v>
      </c>
      <c r="BS976" s="18">
        <v>45687.40641203704</v>
      </c>
      <c r="BT976" s="17" t="s">
        <v>198</v>
      </c>
      <c r="BU976" s="18">
        <v>45687.40641203704</v>
      </c>
      <c r="BV976" s="13" t="s">
        <v>199</v>
      </c>
      <c r="BW976" s="14" t="s">
        <v>179</v>
      </c>
      <c r="BX976" s="14" t="s">
        <v>19402</v>
      </c>
      <c r="BY976" s="14" t="s">
        <v>179</v>
      </c>
      <c r="BZ976" s="14" t="s">
        <v>19402</v>
      </c>
      <c r="CA976" s="15"/>
      <c r="CB976" s="15"/>
      <c r="CC976" s="15"/>
      <c r="CD976" s="15"/>
      <c r="CE976" s="15"/>
      <c r="CF976" s="15"/>
      <c r="CG976" s="19"/>
      <c r="CH976" s="15"/>
      <c r="CI976" s="19"/>
      <c r="CJ976" s="15"/>
      <c r="CK976" s="19"/>
      <c r="CL976" s="15"/>
      <c r="CM976" s="19"/>
      <c r="CN976" s="15"/>
      <c r="CO976" s="19"/>
      <c r="CP976" s="15"/>
      <c r="CQ976" s="15"/>
      <c r="CR976" s="15"/>
      <c r="CS976" s="19"/>
      <c r="CT976" s="15"/>
      <c r="CU976" s="19"/>
      <c r="CV976" s="15"/>
      <c r="CW976" s="19"/>
      <c r="CX976" s="15"/>
      <c r="CY976" s="19"/>
      <c r="CZ976" s="15"/>
      <c r="DA976" s="16" t="s">
        <v>197</v>
      </c>
      <c r="DB976" s="17" t="s">
        <v>228</v>
      </c>
      <c r="DC976" s="16"/>
      <c r="DD976" s="17" t="s">
        <v>198</v>
      </c>
      <c r="DE976" s="18">
        <v>45696.403287037036</v>
      </c>
      <c r="DF976" s="17" t="s">
        <v>198</v>
      </c>
      <c r="DG976" s="18">
        <v>45696.403287037036</v>
      </c>
      <c r="DH976" s="13" t="s">
        <v>205</v>
      </c>
      <c r="DI976" s="14" t="s">
        <v>179</v>
      </c>
      <c r="DJ976" s="14" t="s">
        <v>19403</v>
      </c>
      <c r="DK976" s="15"/>
      <c r="DL976" s="15"/>
      <c r="DM976" s="15"/>
      <c r="DN976" s="15"/>
      <c r="DO976" s="15"/>
      <c r="DP976" s="15"/>
      <c r="DQ976" s="15"/>
      <c r="DR976" s="15"/>
      <c r="DS976" s="15"/>
      <c r="DT976" s="15"/>
      <c r="DU976" s="15"/>
      <c r="DV976" s="15"/>
      <c r="DW976" s="15"/>
      <c r="DX976" s="15"/>
      <c r="DY976" s="15"/>
      <c r="DZ976" s="15"/>
      <c r="EA976" s="15"/>
      <c r="EB976" s="15"/>
      <c r="EC976" s="16" t="s">
        <v>197</v>
      </c>
      <c r="ED976" s="17" t="s">
        <v>198</v>
      </c>
      <c r="EE976" s="18">
        <v>45713.426840277774</v>
      </c>
      <c r="EF976" s="13" t="s">
        <v>209</v>
      </c>
      <c r="EG976" s="14" t="s">
        <v>179</v>
      </c>
      <c r="EH976" s="14" t="s">
        <v>19404</v>
      </c>
      <c r="EI976" s="15"/>
      <c r="EJ976" s="15"/>
      <c r="EK976" s="15"/>
      <c r="EL976" s="15"/>
      <c r="EM976" s="15"/>
      <c r="EN976" s="15"/>
      <c r="EO976" s="15"/>
      <c r="EP976" s="15"/>
      <c r="EQ976" s="15"/>
      <c r="ER976" s="15"/>
      <c r="ES976" s="15"/>
      <c r="ET976" s="15"/>
      <c r="EU976" s="15"/>
      <c r="EV976" s="15"/>
      <c r="EW976" s="15"/>
      <c r="EX976" s="15"/>
      <c r="EY976" s="15"/>
      <c r="EZ976" s="15"/>
      <c r="FA976" s="15"/>
      <c r="FB976" s="15"/>
      <c r="FC976" s="16" t="s">
        <v>197</v>
      </c>
      <c r="FD976" s="17" t="s">
        <v>198</v>
      </c>
      <c r="FE976" s="18">
        <v>45720.341099537036</v>
      </c>
      <c r="FF976" s="19"/>
      <c r="FG976" s="19"/>
      <c r="FH976" s="21" t="s">
        <v>197</v>
      </c>
      <c r="FI976" s="17" t="s">
        <v>214</v>
      </c>
      <c r="FJ976" s="18">
        <v>45720.341099537036</v>
      </c>
      <c r="FK976" s="14" t="s">
        <v>19404</v>
      </c>
      <c r="FL976" s="14" t="s">
        <v>19405</v>
      </c>
      <c r="FM976" s="14" t="s">
        <v>19406</v>
      </c>
      <c r="FN976" s="19"/>
      <c r="FO976" s="19"/>
      <c r="FP976" s="19" t="str">
        <f t="shared" si="1"/>
        <v>Base de Dados_Images/XCV65019.Imagem do Equipamento-.132039.jpg</v>
      </c>
      <c r="FQ976" s="14"/>
      <c r="FR976" s="14"/>
    </row>
    <row r="977" ht="15.75" customHeight="1">
      <c r="A977" s="12" t="s">
        <v>234</v>
      </c>
      <c r="B977" s="12" t="s">
        <v>2816</v>
      </c>
      <c r="C977" s="12" t="s">
        <v>219</v>
      </c>
      <c r="D977" s="12" t="s">
        <v>19407</v>
      </c>
      <c r="E977" s="12" t="s">
        <v>19408</v>
      </c>
      <c r="F977" s="13" t="s">
        <v>178</v>
      </c>
      <c r="G977" s="14" t="s">
        <v>179</v>
      </c>
      <c r="H977" s="14" t="s">
        <v>19409</v>
      </c>
      <c r="I977" s="14" t="s">
        <v>179</v>
      </c>
      <c r="J977" s="14" t="s">
        <v>19410</v>
      </c>
      <c r="K977" s="14" t="s">
        <v>179</v>
      </c>
      <c r="L977" s="14" t="s">
        <v>19411</v>
      </c>
      <c r="M977" s="14" t="s">
        <v>179</v>
      </c>
      <c r="N977" s="14" t="s">
        <v>19412</v>
      </c>
      <c r="O977" s="14" t="s">
        <v>179</v>
      </c>
      <c r="P977" s="14" t="s">
        <v>19413</v>
      </c>
      <c r="Q977" s="14" t="s">
        <v>179</v>
      </c>
      <c r="R977" s="14" t="s">
        <v>19414</v>
      </c>
      <c r="S977" s="14" t="s">
        <v>179</v>
      </c>
      <c r="T977" s="14" t="s">
        <v>19415</v>
      </c>
      <c r="U977" s="14" t="s">
        <v>179</v>
      </c>
      <c r="V977" s="14" t="s">
        <v>19416</v>
      </c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6" t="s">
        <v>197</v>
      </c>
      <c r="BP977" s="17" t="s">
        <v>228</v>
      </c>
      <c r="BQ977" s="23"/>
      <c r="BR977" s="17" t="s">
        <v>198</v>
      </c>
      <c r="BS977" s="18">
        <v>45687.40907407407</v>
      </c>
      <c r="BT977" s="17" t="s">
        <v>198</v>
      </c>
      <c r="BU977" s="18">
        <v>45687.40907407407</v>
      </c>
      <c r="BV977" s="13" t="s">
        <v>199</v>
      </c>
      <c r="BW977" s="14" t="s">
        <v>179</v>
      </c>
      <c r="BX977" s="14" t="s">
        <v>19417</v>
      </c>
      <c r="BY977" s="14" t="s">
        <v>179</v>
      </c>
      <c r="BZ977" s="14" t="s">
        <v>19418</v>
      </c>
      <c r="CA977" s="15"/>
      <c r="CB977" s="15"/>
      <c r="CC977" s="15"/>
      <c r="CD977" s="15"/>
      <c r="CE977" s="15"/>
      <c r="CF977" s="15"/>
      <c r="CG977" s="19"/>
      <c r="CH977" s="15"/>
      <c r="CI977" s="19"/>
      <c r="CJ977" s="15"/>
      <c r="CK977" s="19"/>
      <c r="CL977" s="15"/>
      <c r="CM977" s="19"/>
      <c r="CN977" s="15"/>
      <c r="CO977" s="19"/>
      <c r="CP977" s="15"/>
      <c r="CQ977" s="15"/>
      <c r="CR977" s="15"/>
      <c r="CS977" s="19"/>
      <c r="CT977" s="15"/>
      <c r="CU977" s="19"/>
      <c r="CV977" s="15"/>
      <c r="CW977" s="19"/>
      <c r="CX977" s="15"/>
      <c r="CY977" s="19"/>
      <c r="CZ977" s="15"/>
      <c r="DA977" s="16" t="s">
        <v>197</v>
      </c>
      <c r="DB977" s="17" t="s">
        <v>228</v>
      </c>
      <c r="DC977" s="16"/>
      <c r="DD977" s="17" t="s">
        <v>198</v>
      </c>
      <c r="DE977" s="18">
        <v>45696.41166666667</v>
      </c>
      <c r="DF977" s="17" t="s">
        <v>198</v>
      </c>
      <c r="DG977" s="18">
        <v>45696.41166666667</v>
      </c>
      <c r="DH977" s="13" t="s">
        <v>205</v>
      </c>
      <c r="DI977" s="14" t="s">
        <v>179</v>
      </c>
      <c r="DJ977" s="14" t="s">
        <v>19419</v>
      </c>
      <c r="DK977" s="15"/>
      <c r="DL977" s="15"/>
      <c r="DM977" s="15"/>
      <c r="DN977" s="15"/>
      <c r="DO977" s="15"/>
      <c r="DP977" s="15"/>
      <c r="DQ977" s="15"/>
      <c r="DR977" s="15"/>
      <c r="DS977" s="15"/>
      <c r="DT977" s="15"/>
      <c r="DU977" s="15"/>
      <c r="DV977" s="15"/>
      <c r="DW977" s="15"/>
      <c r="DX977" s="15"/>
      <c r="DY977" s="15"/>
      <c r="DZ977" s="15"/>
      <c r="EA977" s="15"/>
      <c r="EB977" s="15"/>
      <c r="EC977" s="16" t="s">
        <v>197</v>
      </c>
      <c r="ED977" s="17" t="s">
        <v>198</v>
      </c>
      <c r="EE977" s="18">
        <v>45703.48699074074</v>
      </c>
      <c r="EF977" s="13" t="s">
        <v>209</v>
      </c>
      <c r="EG977" s="14" t="s">
        <v>179</v>
      </c>
      <c r="EH977" s="14" t="s">
        <v>19420</v>
      </c>
      <c r="EI977" s="15"/>
      <c r="EJ977" s="15"/>
      <c r="EK977" s="15"/>
      <c r="EL977" s="15"/>
      <c r="EM977" s="15"/>
      <c r="EN977" s="15"/>
      <c r="EO977" s="15"/>
      <c r="EP977" s="15"/>
      <c r="EQ977" s="15"/>
      <c r="ER977" s="15"/>
      <c r="ES977" s="15"/>
      <c r="ET977" s="15"/>
      <c r="EU977" s="15"/>
      <c r="EV977" s="15"/>
      <c r="EW977" s="15"/>
      <c r="EX977" s="15"/>
      <c r="EY977" s="15"/>
      <c r="EZ977" s="15"/>
      <c r="FA977" s="15"/>
      <c r="FB977" s="15"/>
      <c r="FC977" s="16" t="s">
        <v>197</v>
      </c>
      <c r="FD977" s="17" t="s">
        <v>198</v>
      </c>
      <c r="FE977" s="18">
        <v>45720.34459490741</v>
      </c>
      <c r="FF977" s="19"/>
      <c r="FG977" s="19"/>
      <c r="FH977" s="21" t="s">
        <v>197</v>
      </c>
      <c r="FI977" s="17" t="s">
        <v>214</v>
      </c>
      <c r="FJ977" s="18">
        <v>45720.34459490741</v>
      </c>
      <c r="FK977" s="14" t="s">
        <v>19420</v>
      </c>
      <c r="FL977" s="14" t="s">
        <v>19421</v>
      </c>
      <c r="FM977" s="14" t="s">
        <v>19422</v>
      </c>
      <c r="FN977" s="19"/>
      <c r="FO977" s="19"/>
      <c r="FP977" s="19" t="str">
        <f t="shared" si="1"/>
        <v>Base de Dados_Images/XCV65020.Imagem do Equipamento-.132214.jpg</v>
      </c>
      <c r="FQ977" s="14"/>
      <c r="FR977" s="14"/>
    </row>
    <row r="978" ht="15.75" customHeight="1">
      <c r="A978" s="12" t="s">
        <v>234</v>
      </c>
      <c r="B978" s="12" t="s">
        <v>2850</v>
      </c>
      <c r="C978" s="12" t="s">
        <v>219</v>
      </c>
      <c r="D978" s="12" t="s">
        <v>19423</v>
      </c>
      <c r="E978" s="12" t="s">
        <v>19424</v>
      </c>
      <c r="F978" s="13" t="s">
        <v>178</v>
      </c>
      <c r="G978" s="14" t="s">
        <v>179</v>
      </c>
      <c r="H978" s="14" t="s">
        <v>19425</v>
      </c>
      <c r="I978" s="14" t="s">
        <v>179</v>
      </c>
      <c r="J978" s="14" t="s">
        <v>19426</v>
      </c>
      <c r="K978" s="14" t="s">
        <v>179</v>
      </c>
      <c r="L978" s="14" t="s">
        <v>19427</v>
      </c>
      <c r="M978" s="14" t="s">
        <v>179</v>
      </c>
      <c r="N978" s="14" t="s">
        <v>19428</v>
      </c>
      <c r="O978" s="14" t="s">
        <v>179</v>
      </c>
      <c r="P978" s="14" t="s">
        <v>19429</v>
      </c>
      <c r="Q978" s="14" t="s">
        <v>179</v>
      </c>
      <c r="R978" s="14" t="s">
        <v>19430</v>
      </c>
      <c r="S978" s="14" t="s">
        <v>179</v>
      </c>
      <c r="T978" s="14" t="s">
        <v>19431</v>
      </c>
      <c r="U978" s="14" t="s">
        <v>179</v>
      </c>
      <c r="V978" s="14" t="s">
        <v>19432</v>
      </c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6" t="s">
        <v>197</v>
      </c>
      <c r="BP978" s="17" t="s">
        <v>228</v>
      </c>
      <c r="BQ978" s="23"/>
      <c r="BR978" s="17" t="s">
        <v>198</v>
      </c>
      <c r="BS978" s="18">
        <v>45687.41106481481</v>
      </c>
      <c r="BT978" s="17" t="s">
        <v>198</v>
      </c>
      <c r="BU978" s="18">
        <v>45687.41106481481</v>
      </c>
      <c r="BV978" s="13" t="s">
        <v>199</v>
      </c>
      <c r="BW978" s="14" t="s">
        <v>179</v>
      </c>
      <c r="BX978" s="14" t="s">
        <v>19433</v>
      </c>
      <c r="BY978" s="14" t="s">
        <v>179</v>
      </c>
      <c r="BZ978" s="14" t="s">
        <v>19434</v>
      </c>
      <c r="CA978" s="15"/>
      <c r="CB978" s="15"/>
      <c r="CC978" s="15"/>
      <c r="CD978" s="15"/>
      <c r="CE978" s="15"/>
      <c r="CF978" s="15"/>
      <c r="CG978" s="19"/>
      <c r="CH978" s="15"/>
      <c r="CI978" s="19"/>
      <c r="CJ978" s="15"/>
      <c r="CK978" s="19"/>
      <c r="CL978" s="15"/>
      <c r="CM978" s="19"/>
      <c r="CN978" s="15"/>
      <c r="CO978" s="19"/>
      <c r="CP978" s="15"/>
      <c r="CQ978" s="15"/>
      <c r="CR978" s="15"/>
      <c r="CS978" s="19"/>
      <c r="CT978" s="15"/>
      <c r="CU978" s="19"/>
      <c r="CV978" s="15"/>
      <c r="CW978" s="19"/>
      <c r="CX978" s="15"/>
      <c r="CY978" s="19"/>
      <c r="CZ978" s="15"/>
      <c r="DA978" s="16" t="s">
        <v>197</v>
      </c>
      <c r="DB978" s="17" t="s">
        <v>228</v>
      </c>
      <c r="DC978" s="16"/>
      <c r="DD978" s="17" t="s">
        <v>198</v>
      </c>
      <c r="DE978" s="18">
        <v>45696.423634259256</v>
      </c>
      <c r="DF978" s="17" t="s">
        <v>198</v>
      </c>
      <c r="DG978" s="18">
        <v>45696.423634259256</v>
      </c>
      <c r="DH978" s="13" t="s">
        <v>205</v>
      </c>
      <c r="DI978" s="14" t="s">
        <v>179</v>
      </c>
      <c r="DJ978" s="14" t="s">
        <v>19435</v>
      </c>
      <c r="DK978" s="15"/>
      <c r="DL978" s="15"/>
      <c r="DM978" s="15"/>
      <c r="DN978" s="15"/>
      <c r="DO978" s="15"/>
      <c r="DP978" s="15"/>
      <c r="DQ978" s="15"/>
      <c r="DR978" s="15"/>
      <c r="DS978" s="15"/>
      <c r="DT978" s="15"/>
      <c r="DU978" s="15"/>
      <c r="DV978" s="15"/>
      <c r="DW978" s="15"/>
      <c r="DX978" s="15"/>
      <c r="DY978" s="15"/>
      <c r="DZ978" s="15"/>
      <c r="EA978" s="15"/>
      <c r="EB978" s="15"/>
      <c r="EC978" s="16" t="s">
        <v>197</v>
      </c>
      <c r="ED978" s="17" t="s">
        <v>198</v>
      </c>
      <c r="EE978" s="18">
        <v>45703.50208333333</v>
      </c>
      <c r="EF978" s="13" t="s">
        <v>209</v>
      </c>
      <c r="EG978" s="14" t="s">
        <v>179</v>
      </c>
      <c r="EH978" s="14" t="s">
        <v>19436</v>
      </c>
      <c r="EI978" s="15"/>
      <c r="EJ978" s="15"/>
      <c r="EK978" s="15"/>
      <c r="EL978" s="15"/>
      <c r="EM978" s="15"/>
      <c r="EN978" s="15"/>
      <c r="EO978" s="15"/>
      <c r="EP978" s="15"/>
      <c r="EQ978" s="15"/>
      <c r="ER978" s="15"/>
      <c r="ES978" s="15"/>
      <c r="ET978" s="15"/>
      <c r="EU978" s="15"/>
      <c r="EV978" s="15"/>
      <c r="EW978" s="15"/>
      <c r="EX978" s="15"/>
      <c r="EY978" s="15"/>
      <c r="EZ978" s="15"/>
      <c r="FA978" s="15"/>
      <c r="FB978" s="15"/>
      <c r="FC978" s="16" t="s">
        <v>197</v>
      </c>
      <c r="FD978" s="17" t="s">
        <v>198</v>
      </c>
      <c r="FE978" s="18">
        <v>45720.34989583334</v>
      </c>
      <c r="FF978" s="19"/>
      <c r="FG978" s="19"/>
      <c r="FH978" s="21" t="s">
        <v>197</v>
      </c>
      <c r="FI978" s="17" t="s">
        <v>214</v>
      </c>
      <c r="FJ978" s="18">
        <v>45720.34989583334</v>
      </c>
      <c r="FK978" s="14" t="s">
        <v>19436</v>
      </c>
      <c r="FL978" s="14" t="s">
        <v>19437</v>
      </c>
      <c r="FM978" s="14" t="s">
        <v>19438</v>
      </c>
      <c r="FN978" s="19"/>
      <c r="FO978" s="19"/>
      <c r="FP978" s="19" t="str">
        <f t="shared" si="1"/>
        <v>Base de Dados_Images/XCV65021.Imagem do Equipamento-.132338.jpg</v>
      </c>
      <c r="FQ978" s="14"/>
      <c r="FR978" s="14"/>
    </row>
    <row r="979" ht="15.75" customHeight="1">
      <c r="A979" s="12" t="s">
        <v>234</v>
      </c>
      <c r="B979" s="12" t="s">
        <v>2885</v>
      </c>
      <c r="C979" s="12" t="s">
        <v>219</v>
      </c>
      <c r="D979" s="12" t="s">
        <v>19439</v>
      </c>
      <c r="E979" s="12" t="s">
        <v>19440</v>
      </c>
      <c r="F979" s="13" t="s">
        <v>178</v>
      </c>
      <c r="G979" s="14" t="s">
        <v>179</v>
      </c>
      <c r="H979" s="14" t="s">
        <v>19441</v>
      </c>
      <c r="I979" s="14" t="s">
        <v>179</v>
      </c>
      <c r="J979" s="14" t="s">
        <v>19442</v>
      </c>
      <c r="K979" s="14" t="s">
        <v>179</v>
      </c>
      <c r="L979" s="14" t="s">
        <v>19443</v>
      </c>
      <c r="M979" s="14" t="s">
        <v>179</v>
      </c>
      <c r="N979" s="14" t="s">
        <v>19444</v>
      </c>
      <c r="O979" s="14" t="s">
        <v>179</v>
      </c>
      <c r="P979" s="14" t="s">
        <v>19445</v>
      </c>
      <c r="Q979" s="14" t="s">
        <v>179</v>
      </c>
      <c r="R979" s="14" t="s">
        <v>19446</v>
      </c>
      <c r="S979" s="14" t="s">
        <v>179</v>
      </c>
      <c r="T979" s="14" t="s">
        <v>19447</v>
      </c>
      <c r="U979" s="14" t="s">
        <v>179</v>
      </c>
      <c r="V979" s="14" t="s">
        <v>19448</v>
      </c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6" t="s">
        <v>197</v>
      </c>
      <c r="BP979" s="17" t="s">
        <v>228</v>
      </c>
      <c r="BQ979" s="23"/>
      <c r="BR979" s="17" t="s">
        <v>198</v>
      </c>
      <c r="BS979" s="18">
        <v>45687.412094907406</v>
      </c>
      <c r="BT979" s="17" t="s">
        <v>198</v>
      </c>
      <c r="BU979" s="18">
        <v>45687.412094907406</v>
      </c>
      <c r="BV979" s="13" t="s">
        <v>199</v>
      </c>
      <c r="BW979" s="14" t="s">
        <v>179</v>
      </c>
      <c r="BX979" s="14" t="s">
        <v>19449</v>
      </c>
      <c r="BY979" s="14" t="s">
        <v>179</v>
      </c>
      <c r="BZ979" s="14" t="s">
        <v>19450</v>
      </c>
      <c r="CA979" s="15"/>
      <c r="CB979" s="15"/>
      <c r="CC979" s="15"/>
      <c r="CD979" s="15"/>
      <c r="CE979" s="15"/>
      <c r="CF979" s="15"/>
      <c r="CG979" s="19"/>
      <c r="CH979" s="15"/>
      <c r="CI979" s="19"/>
      <c r="CJ979" s="15"/>
      <c r="CK979" s="19"/>
      <c r="CL979" s="15"/>
      <c r="CM979" s="19"/>
      <c r="CN979" s="15"/>
      <c r="CO979" s="19"/>
      <c r="CP979" s="15"/>
      <c r="CQ979" s="15"/>
      <c r="CR979" s="15"/>
      <c r="CS979" s="19"/>
      <c r="CT979" s="15"/>
      <c r="CU979" s="19"/>
      <c r="CV979" s="15"/>
      <c r="CW979" s="19"/>
      <c r="CX979" s="15"/>
      <c r="CY979" s="19"/>
      <c r="CZ979" s="15"/>
      <c r="DA979" s="16" t="s">
        <v>197</v>
      </c>
      <c r="DB979" s="17" t="s">
        <v>228</v>
      </c>
      <c r="DC979" s="16"/>
      <c r="DD979" s="17" t="s">
        <v>198</v>
      </c>
      <c r="DE979" s="18">
        <v>45696.42784722222</v>
      </c>
      <c r="DF979" s="17" t="s">
        <v>198</v>
      </c>
      <c r="DG979" s="18">
        <v>45696.42784722222</v>
      </c>
      <c r="DH979" s="13" t="s">
        <v>205</v>
      </c>
      <c r="DI979" s="14" t="s">
        <v>179</v>
      </c>
      <c r="DJ979" s="14" t="s">
        <v>19451</v>
      </c>
      <c r="DK979" s="15"/>
      <c r="DL979" s="15"/>
      <c r="DM979" s="15"/>
      <c r="DN979" s="15"/>
      <c r="DO979" s="15"/>
      <c r="DP979" s="15"/>
      <c r="DQ979" s="15"/>
      <c r="DR979" s="15"/>
      <c r="DS979" s="15"/>
      <c r="DT979" s="15"/>
      <c r="DU979" s="15"/>
      <c r="DV979" s="15"/>
      <c r="DW979" s="15"/>
      <c r="DX979" s="15"/>
      <c r="DY979" s="15"/>
      <c r="DZ979" s="15"/>
      <c r="EA979" s="15"/>
      <c r="EB979" s="15"/>
      <c r="EC979" s="16" t="s">
        <v>197</v>
      </c>
      <c r="ED979" s="17" t="s">
        <v>198</v>
      </c>
      <c r="EE979" s="18">
        <v>45696.42789351852</v>
      </c>
      <c r="EF979" s="13" t="s">
        <v>209</v>
      </c>
      <c r="EG979" s="14" t="s">
        <v>179</v>
      </c>
      <c r="EH979" s="14" t="s">
        <v>19452</v>
      </c>
      <c r="EI979" s="15"/>
      <c r="EJ979" s="15"/>
      <c r="EK979" s="15"/>
      <c r="EL979" s="15"/>
      <c r="EM979" s="15"/>
      <c r="EN979" s="15"/>
      <c r="EO979" s="15"/>
      <c r="EP979" s="15"/>
      <c r="EQ979" s="15"/>
      <c r="ER979" s="15"/>
      <c r="ES979" s="15"/>
      <c r="ET979" s="15"/>
      <c r="EU979" s="15"/>
      <c r="EV979" s="15"/>
      <c r="EW979" s="15"/>
      <c r="EX979" s="15"/>
      <c r="EY979" s="15"/>
      <c r="EZ979" s="15"/>
      <c r="FA979" s="15"/>
      <c r="FB979" s="15"/>
      <c r="FC979" s="16" t="s">
        <v>197</v>
      </c>
      <c r="FD979" s="17" t="s">
        <v>198</v>
      </c>
      <c r="FE979" s="18">
        <v>45720.354479166665</v>
      </c>
      <c r="FF979" s="19"/>
      <c r="FG979" s="19"/>
      <c r="FH979" s="21" t="s">
        <v>197</v>
      </c>
      <c r="FI979" s="17" t="s">
        <v>214</v>
      </c>
      <c r="FJ979" s="18">
        <v>45720.354479166665</v>
      </c>
      <c r="FK979" s="14" t="s">
        <v>19452</v>
      </c>
      <c r="FL979" s="14" t="s">
        <v>19453</v>
      </c>
      <c r="FM979" s="14" t="s">
        <v>19454</v>
      </c>
      <c r="FN979" s="19"/>
      <c r="FO979" s="19"/>
      <c r="FP979" s="19" t="str">
        <f t="shared" si="1"/>
        <v>Base de Dados_Images/XCV65022.Imagem do Equipamento-.132505.jpg</v>
      </c>
      <c r="FQ979" s="19"/>
      <c r="FR979" s="19"/>
    </row>
    <row r="980" ht="15.75" customHeight="1">
      <c r="A980" s="12" t="s">
        <v>234</v>
      </c>
      <c r="B980" s="12" t="s">
        <v>2921</v>
      </c>
      <c r="C980" s="12" t="s">
        <v>219</v>
      </c>
      <c r="D980" s="12" t="s">
        <v>19455</v>
      </c>
      <c r="E980" s="12" t="s">
        <v>19456</v>
      </c>
      <c r="F980" s="13" t="s">
        <v>178</v>
      </c>
      <c r="G980" s="14" t="s">
        <v>179</v>
      </c>
      <c r="H980" s="14" t="s">
        <v>19457</v>
      </c>
      <c r="I980" s="14" t="s">
        <v>179</v>
      </c>
      <c r="J980" s="14" t="s">
        <v>19458</v>
      </c>
      <c r="K980" s="14" t="s">
        <v>179</v>
      </c>
      <c r="L980" s="14" t="s">
        <v>19459</v>
      </c>
      <c r="M980" s="14" t="s">
        <v>179</v>
      </c>
      <c r="N980" s="14" t="s">
        <v>19460</v>
      </c>
      <c r="O980" s="14" t="s">
        <v>179</v>
      </c>
      <c r="P980" s="14" t="s">
        <v>19461</v>
      </c>
      <c r="Q980" s="14" t="s">
        <v>179</v>
      </c>
      <c r="R980" s="14" t="s">
        <v>19462</v>
      </c>
      <c r="S980" s="14" t="s">
        <v>179</v>
      </c>
      <c r="T980" s="14" t="s">
        <v>19463</v>
      </c>
      <c r="U980" s="14" t="s">
        <v>179</v>
      </c>
      <c r="V980" s="14" t="s">
        <v>19464</v>
      </c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6" t="s">
        <v>197</v>
      </c>
      <c r="BP980" s="17" t="s">
        <v>228</v>
      </c>
      <c r="BQ980" s="23"/>
      <c r="BR980" s="17" t="s">
        <v>198</v>
      </c>
      <c r="BS980" s="18">
        <v>45687.41287037037</v>
      </c>
      <c r="BT980" s="17" t="s">
        <v>198</v>
      </c>
      <c r="BU980" s="18">
        <v>45687.41287037037</v>
      </c>
      <c r="BV980" s="13" t="s">
        <v>199</v>
      </c>
      <c r="BW980" s="14" t="s">
        <v>179</v>
      </c>
      <c r="BX980" s="14" t="s">
        <v>19465</v>
      </c>
      <c r="BY980" s="14" t="s">
        <v>179</v>
      </c>
      <c r="BZ980" s="14" t="s">
        <v>19466</v>
      </c>
      <c r="CA980" s="15"/>
      <c r="CB980" s="15"/>
      <c r="CC980" s="15"/>
      <c r="CD980" s="15"/>
      <c r="CE980" s="15"/>
      <c r="CF980" s="15"/>
      <c r="CG980" s="19"/>
      <c r="CH980" s="15"/>
      <c r="CI980" s="19"/>
      <c r="CJ980" s="15"/>
      <c r="CK980" s="19"/>
      <c r="CL980" s="15"/>
      <c r="CM980" s="19"/>
      <c r="CN980" s="15"/>
      <c r="CO980" s="19"/>
      <c r="CP980" s="15"/>
      <c r="CQ980" s="15"/>
      <c r="CR980" s="15"/>
      <c r="CS980" s="19"/>
      <c r="CT980" s="15"/>
      <c r="CU980" s="19"/>
      <c r="CV980" s="15"/>
      <c r="CW980" s="19"/>
      <c r="CX980" s="15"/>
      <c r="CY980" s="19"/>
      <c r="CZ980" s="15"/>
      <c r="DA980" s="16" t="s">
        <v>197</v>
      </c>
      <c r="DB980" s="17" t="s">
        <v>228</v>
      </c>
      <c r="DC980" s="16"/>
      <c r="DD980" s="17" t="s">
        <v>198</v>
      </c>
      <c r="DE980" s="18">
        <v>45696.43167824074</v>
      </c>
      <c r="DF980" s="17" t="s">
        <v>198</v>
      </c>
      <c r="DG980" s="18">
        <v>45696.43167824074</v>
      </c>
      <c r="DH980" s="13" t="s">
        <v>205</v>
      </c>
      <c r="DI980" s="14" t="s">
        <v>179</v>
      </c>
      <c r="DJ980" s="14" t="s">
        <v>19467</v>
      </c>
      <c r="DK980" s="15"/>
      <c r="DL980" s="15"/>
      <c r="DM980" s="15"/>
      <c r="DN980" s="15"/>
      <c r="DO980" s="15"/>
      <c r="DP980" s="15"/>
      <c r="DQ980" s="15"/>
      <c r="DR980" s="15"/>
      <c r="DS980" s="15"/>
      <c r="DT980" s="15"/>
      <c r="DU980" s="15"/>
      <c r="DV980" s="15"/>
      <c r="DW980" s="15"/>
      <c r="DX980" s="15"/>
      <c r="DY980" s="15"/>
      <c r="DZ980" s="15"/>
      <c r="EA980" s="15"/>
      <c r="EB980" s="15"/>
      <c r="EC980" s="16" t="s">
        <v>197</v>
      </c>
      <c r="ED980" s="17" t="s">
        <v>198</v>
      </c>
      <c r="EE980" s="18">
        <v>45696.43171296296</v>
      </c>
      <c r="EF980" s="13" t="s">
        <v>209</v>
      </c>
      <c r="EG980" s="14" t="s">
        <v>179</v>
      </c>
      <c r="EH980" s="14" t="s">
        <v>19468</v>
      </c>
      <c r="EI980" s="15"/>
      <c r="EJ980" s="15"/>
      <c r="EK980" s="15"/>
      <c r="EL980" s="15"/>
      <c r="EM980" s="15"/>
      <c r="EN980" s="15"/>
      <c r="EO980" s="15"/>
      <c r="EP980" s="15"/>
      <c r="EQ980" s="15"/>
      <c r="ER980" s="15"/>
      <c r="ES980" s="15"/>
      <c r="ET980" s="15"/>
      <c r="EU980" s="15"/>
      <c r="EV980" s="15"/>
      <c r="EW980" s="15"/>
      <c r="EX980" s="15"/>
      <c r="EY980" s="15"/>
      <c r="EZ980" s="15"/>
      <c r="FA980" s="15"/>
      <c r="FB980" s="15"/>
      <c r="FC980" s="16" t="s">
        <v>197</v>
      </c>
      <c r="FD980" s="17" t="s">
        <v>198</v>
      </c>
      <c r="FE980" s="18">
        <v>45720.35212962963</v>
      </c>
      <c r="FF980" s="19"/>
      <c r="FG980" s="19"/>
      <c r="FH980" s="21" t="s">
        <v>197</v>
      </c>
      <c r="FI980" s="17" t="s">
        <v>214</v>
      </c>
      <c r="FJ980" s="18">
        <v>45720.35212962963</v>
      </c>
      <c r="FK980" s="14" t="s">
        <v>19468</v>
      </c>
      <c r="FL980" s="14" t="s">
        <v>19469</v>
      </c>
      <c r="FM980" s="14" t="s">
        <v>19470</v>
      </c>
      <c r="FN980" s="19"/>
      <c r="FO980" s="19"/>
      <c r="FP980" s="19" t="str">
        <f t="shared" si="1"/>
        <v>Base de Dados_Images/XCV65023.Imagem do Equipamento-.132616.jpg</v>
      </c>
      <c r="FQ980" s="19"/>
      <c r="FR980" s="19"/>
    </row>
    <row r="981" ht="15.75" customHeight="1">
      <c r="A981" s="12" t="s">
        <v>357</v>
      </c>
      <c r="B981" s="12" t="s">
        <v>366</v>
      </c>
      <c r="C981" s="12" t="s">
        <v>219</v>
      </c>
      <c r="D981" s="22" t="s">
        <v>19471</v>
      </c>
      <c r="E981" s="22" t="s">
        <v>19472</v>
      </c>
      <c r="F981" s="13" t="s">
        <v>178</v>
      </c>
      <c r="G981" s="14" t="s">
        <v>179</v>
      </c>
      <c r="H981" s="14" t="s">
        <v>19473</v>
      </c>
      <c r="I981" s="14" t="s">
        <v>179</v>
      </c>
      <c r="J981" s="14" t="s">
        <v>19473</v>
      </c>
      <c r="K981" s="14" t="s">
        <v>179</v>
      </c>
      <c r="L981" s="14" t="s">
        <v>19474</v>
      </c>
      <c r="M981" s="14" t="s">
        <v>179</v>
      </c>
      <c r="N981" s="14" t="s">
        <v>19475</v>
      </c>
      <c r="O981" s="14" t="s">
        <v>179</v>
      </c>
      <c r="P981" s="14" t="s">
        <v>19475</v>
      </c>
      <c r="Q981" s="14" t="s">
        <v>179</v>
      </c>
      <c r="R981" s="14" t="s">
        <v>19476</v>
      </c>
      <c r="S981" s="14" t="s">
        <v>179</v>
      </c>
      <c r="T981" s="14" t="s">
        <v>19477</v>
      </c>
      <c r="U981" s="14" t="s">
        <v>179</v>
      </c>
      <c r="V981" s="14" t="s">
        <v>19477</v>
      </c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6" t="s">
        <v>197</v>
      </c>
      <c r="BP981" s="17" t="s">
        <v>228</v>
      </c>
      <c r="BQ981" s="23"/>
      <c r="BR981" s="17" t="s">
        <v>198</v>
      </c>
      <c r="BS981" s="18">
        <v>45689.38214120371</v>
      </c>
      <c r="BT981" s="17" t="s">
        <v>198</v>
      </c>
      <c r="BU981" s="18">
        <v>45689.38214120371</v>
      </c>
      <c r="BV981" s="13" t="s">
        <v>199</v>
      </c>
      <c r="BW981" s="14" t="s">
        <v>179</v>
      </c>
      <c r="BX981" s="14" t="s">
        <v>19478</v>
      </c>
      <c r="BY981" s="14" t="s">
        <v>179</v>
      </c>
      <c r="BZ981" s="14" t="s">
        <v>19479</v>
      </c>
      <c r="CA981" s="15"/>
      <c r="CB981" s="15"/>
      <c r="CC981" s="15"/>
      <c r="CD981" s="15"/>
      <c r="CE981" s="15"/>
      <c r="CF981" s="15"/>
      <c r="CG981" s="19"/>
      <c r="CH981" s="15"/>
      <c r="CI981" s="19"/>
      <c r="CJ981" s="15"/>
      <c r="CK981" s="19"/>
      <c r="CL981" s="15"/>
      <c r="CM981" s="19"/>
      <c r="CN981" s="15"/>
      <c r="CO981" s="19"/>
      <c r="CP981" s="15"/>
      <c r="CQ981" s="15"/>
      <c r="CR981" s="15"/>
      <c r="CS981" s="19"/>
      <c r="CT981" s="15"/>
      <c r="CU981" s="19"/>
      <c r="CV981" s="15"/>
      <c r="CW981" s="19"/>
      <c r="CX981" s="15"/>
      <c r="CY981" s="19"/>
      <c r="CZ981" s="15"/>
      <c r="DA981" s="16" t="s">
        <v>197</v>
      </c>
      <c r="DB981" s="17" t="s">
        <v>228</v>
      </c>
      <c r="DC981" s="16"/>
      <c r="DD981" s="17" t="s">
        <v>198</v>
      </c>
      <c r="DE981" s="18">
        <v>45707.357199074075</v>
      </c>
      <c r="DF981" s="17" t="s">
        <v>198</v>
      </c>
      <c r="DG981" s="18">
        <v>45707.357199074075</v>
      </c>
      <c r="DH981" s="13" t="s">
        <v>205</v>
      </c>
      <c r="DI981" s="14" t="s">
        <v>179</v>
      </c>
      <c r="DJ981" s="14" t="s">
        <v>19480</v>
      </c>
      <c r="DK981" s="15"/>
      <c r="DL981" s="15"/>
      <c r="DM981" s="15"/>
      <c r="DN981" s="15"/>
      <c r="DO981" s="15"/>
      <c r="DP981" s="15"/>
      <c r="DQ981" s="15"/>
      <c r="DR981" s="15"/>
      <c r="DS981" s="15"/>
      <c r="DT981" s="15"/>
      <c r="DU981" s="15"/>
      <c r="DV981" s="15"/>
      <c r="DW981" s="15"/>
      <c r="DX981" s="15"/>
      <c r="DY981" s="15"/>
      <c r="DZ981" s="15"/>
      <c r="EA981" s="15"/>
      <c r="EB981" s="15"/>
      <c r="EC981" s="16" t="s">
        <v>197</v>
      </c>
      <c r="ED981" s="17" t="s">
        <v>198</v>
      </c>
      <c r="EE981" s="18">
        <v>45707.35726851852</v>
      </c>
      <c r="EF981" s="13" t="s">
        <v>209</v>
      </c>
      <c r="EG981" s="14" t="s">
        <v>179</v>
      </c>
      <c r="EH981" s="14" t="s">
        <v>19481</v>
      </c>
      <c r="EI981" s="15"/>
      <c r="EJ981" s="15"/>
      <c r="EK981" s="15"/>
      <c r="EL981" s="15"/>
      <c r="EM981" s="15"/>
      <c r="EN981" s="15"/>
      <c r="EO981" s="15"/>
      <c r="EP981" s="15"/>
      <c r="EQ981" s="15"/>
      <c r="ER981" s="15"/>
      <c r="ES981" s="15"/>
      <c r="ET981" s="15"/>
      <c r="EU981" s="15"/>
      <c r="EV981" s="15"/>
      <c r="EW981" s="15"/>
      <c r="EX981" s="15"/>
      <c r="EY981" s="15"/>
      <c r="EZ981" s="15"/>
      <c r="FA981" s="15"/>
      <c r="FB981" s="15"/>
      <c r="FC981" s="16" t="s">
        <v>197</v>
      </c>
      <c r="FD981" s="17" t="s">
        <v>198</v>
      </c>
      <c r="FE981" s="18">
        <v>45707.35733796296</v>
      </c>
      <c r="FF981" s="19"/>
      <c r="FG981" s="19"/>
      <c r="FH981" s="21" t="s">
        <v>197</v>
      </c>
      <c r="FI981" s="17" t="s">
        <v>214</v>
      </c>
      <c r="FJ981" s="18">
        <v>45707.35733796296</v>
      </c>
      <c r="FK981" s="14" t="s">
        <v>19481</v>
      </c>
      <c r="FL981" s="14" t="s">
        <v>19482</v>
      </c>
      <c r="FM981" s="14" t="s">
        <v>19483</v>
      </c>
      <c r="FN981" s="19"/>
      <c r="FO981" s="19"/>
      <c r="FP981" s="19" t="str">
        <f t="shared" si="1"/>
        <v>Base de Dados_Images/XCV81025.Imagem do Equipamento-.130827.jpg</v>
      </c>
      <c r="FQ981" s="14"/>
      <c r="FR981" s="14"/>
    </row>
    <row r="982" ht="15.75" customHeight="1">
      <c r="A982" s="12" t="s">
        <v>357</v>
      </c>
      <c r="B982" s="12" t="s">
        <v>358</v>
      </c>
      <c r="C982" s="12" t="s">
        <v>219</v>
      </c>
      <c r="D982" s="22" t="s">
        <v>19484</v>
      </c>
      <c r="E982" s="22" t="s">
        <v>19485</v>
      </c>
      <c r="F982" s="13" t="s">
        <v>178</v>
      </c>
      <c r="G982" s="14" t="s">
        <v>179</v>
      </c>
      <c r="H982" s="14" t="s">
        <v>19486</v>
      </c>
      <c r="I982" s="14" t="s">
        <v>179</v>
      </c>
      <c r="J982" s="14" t="s">
        <v>19486</v>
      </c>
      <c r="K982" s="14" t="s">
        <v>179</v>
      </c>
      <c r="L982" s="14" t="s">
        <v>19487</v>
      </c>
      <c r="M982" s="14" t="s">
        <v>179</v>
      </c>
      <c r="N982" s="14" t="s">
        <v>19488</v>
      </c>
      <c r="O982" s="14" t="s">
        <v>179</v>
      </c>
      <c r="P982" s="14" t="s">
        <v>19489</v>
      </c>
      <c r="Q982" s="14" t="s">
        <v>179</v>
      </c>
      <c r="R982" s="14" t="s">
        <v>19489</v>
      </c>
      <c r="S982" s="14" t="s">
        <v>179</v>
      </c>
      <c r="T982" s="14" t="s">
        <v>19490</v>
      </c>
      <c r="U982" s="14" t="s">
        <v>179</v>
      </c>
      <c r="V982" s="14" t="s">
        <v>19491</v>
      </c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6" t="s">
        <v>197</v>
      </c>
      <c r="BP982" s="17" t="s">
        <v>228</v>
      </c>
      <c r="BQ982" s="23"/>
      <c r="BR982" s="17" t="s">
        <v>198</v>
      </c>
      <c r="BS982" s="18">
        <v>45693.687951388885</v>
      </c>
      <c r="BT982" s="17" t="s">
        <v>198</v>
      </c>
      <c r="BU982" s="18">
        <v>45693.687951388885</v>
      </c>
      <c r="BV982" s="13" t="s">
        <v>199</v>
      </c>
      <c r="BW982" s="14" t="s">
        <v>179</v>
      </c>
      <c r="BX982" s="14" t="s">
        <v>19492</v>
      </c>
      <c r="BY982" s="14" t="s">
        <v>179</v>
      </c>
      <c r="BZ982" s="14" t="s">
        <v>19493</v>
      </c>
      <c r="CA982" s="15"/>
      <c r="CB982" s="15"/>
      <c r="CC982" s="15"/>
      <c r="CD982" s="15"/>
      <c r="CE982" s="15"/>
      <c r="CF982" s="15"/>
      <c r="CG982" s="19"/>
      <c r="CH982" s="15"/>
      <c r="CI982" s="19"/>
      <c r="CJ982" s="15"/>
      <c r="CK982" s="19"/>
      <c r="CL982" s="15"/>
      <c r="CM982" s="19"/>
      <c r="CN982" s="15"/>
      <c r="CO982" s="19"/>
      <c r="CP982" s="15"/>
      <c r="CQ982" s="15"/>
      <c r="CR982" s="15"/>
      <c r="CS982" s="19"/>
      <c r="CT982" s="15"/>
      <c r="CU982" s="19"/>
      <c r="CV982" s="15"/>
      <c r="CW982" s="19"/>
      <c r="CX982" s="15"/>
      <c r="CY982" s="19"/>
      <c r="CZ982" s="15"/>
      <c r="DA982" s="16" t="s">
        <v>197</v>
      </c>
      <c r="DB982" s="17" t="s">
        <v>228</v>
      </c>
      <c r="DC982" s="16"/>
      <c r="DD982" s="17" t="s">
        <v>198</v>
      </c>
      <c r="DE982" s="18">
        <v>45706.39454861111</v>
      </c>
      <c r="DF982" s="17" t="s">
        <v>198</v>
      </c>
      <c r="DG982" s="18">
        <v>45706.39454861111</v>
      </c>
      <c r="DH982" s="13" t="s">
        <v>205</v>
      </c>
      <c r="DI982" s="14" t="s">
        <v>179</v>
      </c>
      <c r="DJ982" s="14" t="s">
        <v>19494</v>
      </c>
      <c r="DK982" s="15"/>
      <c r="DL982" s="15"/>
      <c r="DM982" s="15"/>
      <c r="DN982" s="15"/>
      <c r="DO982" s="15"/>
      <c r="DP982" s="15"/>
      <c r="DQ982" s="15"/>
      <c r="DR982" s="15"/>
      <c r="DS982" s="15"/>
      <c r="DT982" s="15"/>
      <c r="DU982" s="15"/>
      <c r="DV982" s="15"/>
      <c r="DW982" s="15"/>
      <c r="DX982" s="15"/>
      <c r="DY982" s="15"/>
      <c r="DZ982" s="15"/>
      <c r="EA982" s="15"/>
      <c r="EB982" s="15"/>
      <c r="EC982" s="16" t="s">
        <v>197</v>
      </c>
      <c r="ED982" s="17" t="s">
        <v>198</v>
      </c>
      <c r="EE982" s="18">
        <v>45706.394594907404</v>
      </c>
      <c r="EF982" s="13" t="s">
        <v>209</v>
      </c>
      <c r="EG982" s="14" t="s">
        <v>179</v>
      </c>
      <c r="EH982" s="14" t="s">
        <v>19495</v>
      </c>
      <c r="EI982" s="15"/>
      <c r="EJ982" s="15"/>
      <c r="EK982" s="15"/>
      <c r="EL982" s="15"/>
      <c r="EM982" s="15"/>
      <c r="EN982" s="15"/>
      <c r="EO982" s="15"/>
      <c r="EP982" s="15"/>
      <c r="EQ982" s="15"/>
      <c r="ER982" s="15"/>
      <c r="ES982" s="15"/>
      <c r="ET982" s="15"/>
      <c r="EU982" s="15"/>
      <c r="EV982" s="15"/>
      <c r="EW982" s="15"/>
      <c r="EX982" s="15"/>
      <c r="EY982" s="15"/>
      <c r="EZ982" s="15"/>
      <c r="FA982" s="15"/>
      <c r="FB982" s="15"/>
      <c r="FC982" s="16" t="s">
        <v>197</v>
      </c>
      <c r="FD982" s="17" t="s">
        <v>198</v>
      </c>
      <c r="FE982" s="18">
        <v>45706.394641203704</v>
      </c>
      <c r="FF982" s="19"/>
      <c r="FG982" s="19"/>
      <c r="FH982" s="21" t="s">
        <v>197</v>
      </c>
      <c r="FI982" s="17" t="s">
        <v>214</v>
      </c>
      <c r="FJ982" s="18">
        <v>45706.394641203704</v>
      </c>
      <c r="FK982" s="14" t="s">
        <v>19495</v>
      </c>
      <c r="FL982" s="14" t="s">
        <v>19496</v>
      </c>
      <c r="FM982" s="14" t="s">
        <v>19497</v>
      </c>
      <c r="FN982" s="19"/>
      <c r="FO982" s="19"/>
      <c r="FP982" s="19" t="str">
        <f t="shared" si="1"/>
        <v>Base de Dados_Images/XCV81026.Imagem do Equipamento-.174352.jpg</v>
      </c>
      <c r="FQ982" s="14"/>
      <c r="FR982" s="14"/>
    </row>
    <row r="983" ht="15.75" customHeight="1">
      <c r="A983" s="12" t="s">
        <v>547</v>
      </c>
      <c r="B983" s="12" t="s">
        <v>3825</v>
      </c>
      <c r="C983" s="24" t="s">
        <v>10447</v>
      </c>
      <c r="D983" s="12" t="s">
        <v>19498</v>
      </c>
      <c r="E983" s="12" t="s">
        <v>19499</v>
      </c>
      <c r="F983" s="13" t="s">
        <v>178</v>
      </c>
      <c r="G983" s="14" t="s">
        <v>179</v>
      </c>
      <c r="H983" s="14" t="s">
        <v>19500</v>
      </c>
      <c r="I983" s="14" t="s">
        <v>179</v>
      </c>
      <c r="J983" s="14" t="s">
        <v>19501</v>
      </c>
      <c r="K983" s="14" t="s">
        <v>179</v>
      </c>
      <c r="L983" s="14" t="s">
        <v>19502</v>
      </c>
      <c r="M983" s="14" t="s">
        <v>179</v>
      </c>
      <c r="N983" s="14" t="s">
        <v>19503</v>
      </c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6" t="s">
        <v>197</v>
      </c>
      <c r="BP983" s="17" t="s">
        <v>198</v>
      </c>
      <c r="BQ983" s="18">
        <v>45688.65972222222</v>
      </c>
      <c r="BR983" s="17" t="s">
        <v>198</v>
      </c>
      <c r="BS983" s="18">
        <v>45688.65971064815</v>
      </c>
      <c r="BT983" s="17" t="s">
        <v>198</v>
      </c>
      <c r="BU983" s="18">
        <v>45688.65972222222</v>
      </c>
      <c r="BV983" s="13" t="s">
        <v>199</v>
      </c>
      <c r="BW983" s="14" t="s">
        <v>179</v>
      </c>
      <c r="BX983" s="14" t="s">
        <v>19504</v>
      </c>
      <c r="BY983" s="14" t="s">
        <v>179</v>
      </c>
      <c r="BZ983" s="14" t="s">
        <v>19505</v>
      </c>
      <c r="CA983" s="14" t="s">
        <v>179</v>
      </c>
      <c r="CB983" s="14" t="s">
        <v>19506</v>
      </c>
      <c r="CC983" s="15"/>
      <c r="CD983" s="15"/>
      <c r="CE983" s="15"/>
      <c r="CF983" s="15"/>
      <c r="CG983" s="19"/>
      <c r="CH983" s="15"/>
      <c r="CI983" s="19"/>
      <c r="CJ983" s="15"/>
      <c r="CK983" s="19"/>
      <c r="CL983" s="15"/>
      <c r="CM983" s="19"/>
      <c r="CN983" s="15"/>
      <c r="CO983" s="19"/>
      <c r="CP983" s="15"/>
      <c r="CQ983" s="15"/>
      <c r="CR983" s="15"/>
      <c r="CS983" s="19"/>
      <c r="CT983" s="15"/>
      <c r="CU983" s="19"/>
      <c r="CV983" s="15"/>
      <c r="CW983" s="19"/>
      <c r="CX983" s="15"/>
      <c r="CY983" s="19"/>
      <c r="CZ983" s="15"/>
      <c r="DA983" s="16" t="s">
        <v>197</v>
      </c>
      <c r="DB983" s="17" t="s">
        <v>228</v>
      </c>
      <c r="DC983" s="16"/>
      <c r="DD983" s="17" t="s">
        <v>198</v>
      </c>
      <c r="DE983" s="18">
        <v>45692.632361111115</v>
      </c>
      <c r="DF983" s="17" t="s">
        <v>198</v>
      </c>
      <c r="DG983" s="18">
        <v>45692.632361111115</v>
      </c>
      <c r="DH983" s="13" t="s">
        <v>205</v>
      </c>
      <c r="DI983" s="14" t="s">
        <v>179</v>
      </c>
      <c r="DJ983" s="14" t="s">
        <v>19507</v>
      </c>
      <c r="DK983" s="14" t="s">
        <v>179</v>
      </c>
      <c r="DL983" s="14" t="s">
        <v>19508</v>
      </c>
      <c r="DM983" s="15"/>
      <c r="DN983" s="15"/>
      <c r="DO983" s="15"/>
      <c r="DP983" s="15"/>
      <c r="DQ983" s="15"/>
      <c r="DR983" s="15"/>
      <c r="DS983" s="15"/>
      <c r="DT983" s="15"/>
      <c r="DU983" s="15"/>
      <c r="DV983" s="15"/>
      <c r="DW983" s="15"/>
      <c r="DX983" s="15"/>
      <c r="DY983" s="15"/>
      <c r="DZ983" s="15"/>
      <c r="EA983" s="15"/>
      <c r="EB983" s="15"/>
      <c r="EC983" s="16" t="s">
        <v>197</v>
      </c>
      <c r="ED983" s="17" t="s">
        <v>198</v>
      </c>
      <c r="EE983" s="18">
        <v>45692.63244212963</v>
      </c>
      <c r="EF983" s="13" t="s">
        <v>209</v>
      </c>
      <c r="EG983" s="14" t="s">
        <v>179</v>
      </c>
      <c r="EH983" s="14" t="s">
        <v>19509</v>
      </c>
      <c r="EI983" s="14" t="s">
        <v>179</v>
      </c>
      <c r="EJ983" s="14" t="s">
        <v>19509</v>
      </c>
      <c r="EK983" s="15"/>
      <c r="EL983" s="15"/>
      <c r="EM983" s="15"/>
      <c r="EN983" s="15"/>
      <c r="EO983" s="15"/>
      <c r="EP983" s="15"/>
      <c r="EQ983" s="15"/>
      <c r="ER983" s="15"/>
      <c r="ES983" s="15"/>
      <c r="ET983" s="15"/>
      <c r="EU983" s="15"/>
      <c r="EV983" s="15"/>
      <c r="EW983" s="15"/>
      <c r="EX983" s="15"/>
      <c r="EY983" s="15"/>
      <c r="EZ983" s="15"/>
      <c r="FA983" s="15"/>
      <c r="FB983" s="15"/>
      <c r="FC983" s="16" t="s">
        <v>197</v>
      </c>
      <c r="FD983" s="17" t="s">
        <v>198</v>
      </c>
      <c r="FE983" s="18">
        <v>45707.496886574074</v>
      </c>
      <c r="FF983" s="19"/>
      <c r="FG983" s="19"/>
      <c r="FH983" s="21" t="s">
        <v>197</v>
      </c>
      <c r="FI983" s="17" t="s">
        <v>214</v>
      </c>
      <c r="FJ983" s="18">
        <v>45707.496886574074</v>
      </c>
      <c r="FK983" s="14" t="s">
        <v>19509</v>
      </c>
      <c r="FL983" s="19"/>
      <c r="FM983" s="19"/>
      <c r="FN983" s="19"/>
      <c r="FO983" s="19"/>
      <c r="FP983" s="19" t="str">
        <f t="shared" si="1"/>
        <v/>
      </c>
      <c r="FQ983" s="14" t="s">
        <v>215</v>
      </c>
      <c r="FR983" s="14" t="s">
        <v>19510</v>
      </c>
    </row>
    <row r="984" ht="15.75" customHeight="1">
      <c r="A984" s="12" t="s">
        <v>357</v>
      </c>
      <c r="B984" s="12" t="s">
        <v>358</v>
      </c>
      <c r="C984" s="12" t="s">
        <v>219</v>
      </c>
      <c r="D984" s="22" t="s">
        <v>19511</v>
      </c>
      <c r="E984" s="22" t="s">
        <v>19512</v>
      </c>
      <c r="F984" s="13" t="s">
        <v>178</v>
      </c>
      <c r="G984" s="14" t="s">
        <v>179</v>
      </c>
      <c r="H984" s="14" t="s">
        <v>19513</v>
      </c>
      <c r="I984" s="14" t="s">
        <v>179</v>
      </c>
      <c r="J984" s="14" t="s">
        <v>19514</v>
      </c>
      <c r="K984" s="14" t="s">
        <v>179</v>
      </c>
      <c r="L984" s="14" t="s">
        <v>19515</v>
      </c>
      <c r="M984" s="14" t="s">
        <v>179</v>
      </c>
      <c r="N984" s="14" t="s">
        <v>19516</v>
      </c>
      <c r="O984" s="14" t="s">
        <v>179</v>
      </c>
      <c r="P984" s="14" t="s">
        <v>19517</v>
      </c>
      <c r="Q984" s="14" t="s">
        <v>179</v>
      </c>
      <c r="R984" s="14" t="s">
        <v>19518</v>
      </c>
      <c r="S984" s="14" t="s">
        <v>179</v>
      </c>
      <c r="T984" s="14" t="s">
        <v>19519</v>
      </c>
      <c r="U984" s="14" t="s">
        <v>179</v>
      </c>
      <c r="V984" s="14" t="s">
        <v>19520</v>
      </c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6" t="s">
        <v>197</v>
      </c>
      <c r="BP984" s="17" t="s">
        <v>228</v>
      </c>
      <c r="BQ984" s="23"/>
      <c r="BR984" s="17" t="s">
        <v>198</v>
      </c>
      <c r="BS984" s="18">
        <v>45687.4762962963</v>
      </c>
      <c r="BT984" s="17" t="s">
        <v>198</v>
      </c>
      <c r="BU984" s="18">
        <v>45687.4762962963</v>
      </c>
      <c r="BV984" s="13" t="s">
        <v>199</v>
      </c>
      <c r="BW984" s="14" t="s">
        <v>179</v>
      </c>
      <c r="BX984" s="14" t="s">
        <v>19521</v>
      </c>
      <c r="BY984" s="14" t="s">
        <v>179</v>
      </c>
      <c r="BZ984" s="14" t="s">
        <v>19521</v>
      </c>
      <c r="CA984" s="15"/>
      <c r="CB984" s="15"/>
      <c r="CC984" s="15"/>
      <c r="CD984" s="15"/>
      <c r="CE984" s="15"/>
      <c r="CF984" s="15"/>
      <c r="CG984" s="19"/>
      <c r="CH984" s="15"/>
      <c r="CI984" s="19"/>
      <c r="CJ984" s="15"/>
      <c r="CK984" s="19"/>
      <c r="CL984" s="15"/>
      <c r="CM984" s="19"/>
      <c r="CN984" s="15"/>
      <c r="CO984" s="19"/>
      <c r="CP984" s="15"/>
      <c r="CQ984" s="15"/>
      <c r="CR984" s="15"/>
      <c r="CS984" s="19"/>
      <c r="CT984" s="15"/>
      <c r="CU984" s="19"/>
      <c r="CV984" s="15"/>
      <c r="CW984" s="19"/>
      <c r="CX984" s="15"/>
      <c r="CY984" s="19"/>
      <c r="CZ984" s="15"/>
      <c r="DA984" s="16" t="s">
        <v>197</v>
      </c>
      <c r="DB984" s="17" t="s">
        <v>228</v>
      </c>
      <c r="DC984" s="16"/>
      <c r="DD984" s="17" t="s">
        <v>198</v>
      </c>
      <c r="DE984" s="18">
        <v>45706.393425925926</v>
      </c>
      <c r="DF984" s="17" t="s">
        <v>198</v>
      </c>
      <c r="DG984" s="18">
        <v>45706.393425925926</v>
      </c>
      <c r="DH984" s="13" t="s">
        <v>205</v>
      </c>
      <c r="DI984" s="14" t="s">
        <v>179</v>
      </c>
      <c r="DJ984" s="14" t="s">
        <v>19522</v>
      </c>
      <c r="DK984" s="15"/>
      <c r="DL984" s="15"/>
      <c r="DM984" s="15"/>
      <c r="DN984" s="15"/>
      <c r="DO984" s="15"/>
      <c r="DP984" s="15"/>
      <c r="DQ984" s="15"/>
      <c r="DR984" s="15"/>
      <c r="DS984" s="15"/>
      <c r="DT984" s="15"/>
      <c r="DU984" s="15"/>
      <c r="DV984" s="15"/>
      <c r="DW984" s="15"/>
      <c r="DX984" s="15"/>
      <c r="DY984" s="15"/>
      <c r="DZ984" s="15"/>
      <c r="EA984" s="15"/>
      <c r="EB984" s="15"/>
      <c r="EC984" s="16" t="s">
        <v>197</v>
      </c>
      <c r="ED984" s="17" t="s">
        <v>198</v>
      </c>
      <c r="EE984" s="18">
        <v>45706.393472222226</v>
      </c>
      <c r="EF984" s="13" t="s">
        <v>209</v>
      </c>
      <c r="EG984" s="14" t="s">
        <v>179</v>
      </c>
      <c r="EH984" s="14" t="s">
        <v>19523</v>
      </c>
      <c r="EI984" s="15"/>
      <c r="EJ984" s="15"/>
      <c r="EK984" s="15"/>
      <c r="EL984" s="15"/>
      <c r="EM984" s="15"/>
      <c r="EN984" s="15"/>
      <c r="EO984" s="15"/>
      <c r="EP984" s="15"/>
      <c r="EQ984" s="15"/>
      <c r="ER984" s="15"/>
      <c r="ES984" s="15"/>
      <c r="ET984" s="15"/>
      <c r="EU984" s="15"/>
      <c r="EV984" s="15"/>
      <c r="EW984" s="15"/>
      <c r="EX984" s="15"/>
      <c r="EY984" s="15"/>
      <c r="EZ984" s="15"/>
      <c r="FA984" s="15"/>
      <c r="FB984" s="15"/>
      <c r="FC984" s="16" t="s">
        <v>197</v>
      </c>
      <c r="FD984" s="17" t="s">
        <v>198</v>
      </c>
      <c r="FE984" s="18">
        <v>45706.39351851852</v>
      </c>
      <c r="FF984" s="19"/>
      <c r="FG984" s="19"/>
      <c r="FH984" s="21" t="s">
        <v>197</v>
      </c>
      <c r="FI984" s="17" t="s">
        <v>214</v>
      </c>
      <c r="FJ984" s="18">
        <v>45706.39351851852</v>
      </c>
      <c r="FK984" s="14" t="s">
        <v>19523</v>
      </c>
      <c r="FL984" s="14" t="s">
        <v>19524</v>
      </c>
      <c r="FM984" s="14" t="s">
        <v>19525</v>
      </c>
      <c r="FN984" s="19"/>
      <c r="FO984" s="19"/>
      <c r="FP984" s="19" t="str">
        <f t="shared" si="1"/>
        <v>Base de Dados_Images/XV-18007.Imagem do Equipamento-.150404.jpg</v>
      </c>
      <c r="FQ984" s="14"/>
      <c r="FR984" s="14"/>
    </row>
    <row r="985" ht="15.75" customHeight="1">
      <c r="A985" s="12" t="s">
        <v>174</v>
      </c>
      <c r="B985" s="12" t="s">
        <v>7946</v>
      </c>
      <c r="C985" s="12" t="s">
        <v>219</v>
      </c>
      <c r="D985" s="22" t="s">
        <v>19526</v>
      </c>
      <c r="E985" s="22" t="s">
        <v>19527</v>
      </c>
      <c r="F985" s="13" t="s">
        <v>178</v>
      </c>
      <c r="G985" s="14" t="s">
        <v>179</v>
      </c>
      <c r="H985" s="14" t="s">
        <v>19528</v>
      </c>
      <c r="I985" s="14" t="s">
        <v>179</v>
      </c>
      <c r="J985" s="14" t="s">
        <v>19529</v>
      </c>
      <c r="K985" s="14" t="s">
        <v>179</v>
      </c>
      <c r="L985" s="14" t="s">
        <v>19530</v>
      </c>
      <c r="M985" s="14" t="s">
        <v>179</v>
      </c>
      <c r="N985" s="14" t="s">
        <v>19531</v>
      </c>
      <c r="O985" s="14" t="s">
        <v>179</v>
      </c>
      <c r="P985" s="14" t="s">
        <v>19532</v>
      </c>
      <c r="Q985" s="14" t="s">
        <v>179</v>
      </c>
      <c r="R985" s="14" t="s">
        <v>19533</v>
      </c>
      <c r="S985" s="14" t="s">
        <v>179</v>
      </c>
      <c r="T985" s="14" t="s">
        <v>19534</v>
      </c>
      <c r="U985" s="14" t="s">
        <v>179</v>
      </c>
      <c r="V985" s="14" t="s">
        <v>19535</v>
      </c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6" t="s">
        <v>197</v>
      </c>
      <c r="BP985" s="17" t="s">
        <v>228</v>
      </c>
      <c r="BQ985" s="23"/>
      <c r="BR985" s="17" t="s">
        <v>198</v>
      </c>
      <c r="BS985" s="18">
        <v>45699.40461805555</v>
      </c>
      <c r="BT985" s="17" t="s">
        <v>198</v>
      </c>
      <c r="BU985" s="18">
        <v>45699.40461805555</v>
      </c>
      <c r="BV985" s="13" t="s">
        <v>199</v>
      </c>
      <c r="BW985" s="14" t="s">
        <v>179</v>
      </c>
      <c r="BX985" s="14" t="s">
        <v>19536</v>
      </c>
      <c r="BY985" s="14" t="s">
        <v>179</v>
      </c>
      <c r="BZ985" s="14" t="s">
        <v>19537</v>
      </c>
      <c r="CA985" s="15"/>
      <c r="CB985" s="15"/>
      <c r="CC985" s="15"/>
      <c r="CD985" s="15"/>
      <c r="CE985" s="15"/>
      <c r="CF985" s="15"/>
      <c r="CG985" s="19"/>
      <c r="CH985" s="15"/>
      <c r="CI985" s="19"/>
      <c r="CJ985" s="15"/>
      <c r="CK985" s="19"/>
      <c r="CL985" s="15"/>
      <c r="CM985" s="19"/>
      <c r="CN985" s="15"/>
      <c r="CO985" s="19"/>
      <c r="CP985" s="15"/>
      <c r="CQ985" s="15"/>
      <c r="CR985" s="15"/>
      <c r="CS985" s="19"/>
      <c r="CT985" s="15"/>
      <c r="CU985" s="19"/>
      <c r="CV985" s="15"/>
      <c r="CW985" s="19"/>
      <c r="CX985" s="15"/>
      <c r="CY985" s="19"/>
      <c r="CZ985" s="15"/>
      <c r="DA985" s="16" t="s">
        <v>197</v>
      </c>
      <c r="DB985" s="17" t="s">
        <v>228</v>
      </c>
      <c r="DC985" s="16"/>
      <c r="DD985" s="17" t="s">
        <v>198</v>
      </c>
      <c r="DE985" s="18">
        <v>45719.48488425926</v>
      </c>
      <c r="DF985" s="17" t="s">
        <v>198</v>
      </c>
      <c r="DG985" s="18">
        <v>45719.48488425926</v>
      </c>
      <c r="DH985" s="13" t="s">
        <v>205</v>
      </c>
      <c r="DI985" s="14" t="s">
        <v>179</v>
      </c>
      <c r="DJ985" s="14" t="s">
        <v>19538</v>
      </c>
      <c r="DK985" s="15"/>
      <c r="DL985" s="15"/>
      <c r="DM985" s="15"/>
      <c r="DN985" s="15"/>
      <c r="DO985" s="15"/>
      <c r="DP985" s="15"/>
      <c r="DQ985" s="15"/>
      <c r="DR985" s="15"/>
      <c r="DS985" s="15"/>
      <c r="DT985" s="15"/>
      <c r="DU985" s="15"/>
      <c r="DV985" s="15"/>
      <c r="DW985" s="15"/>
      <c r="DX985" s="15"/>
      <c r="DY985" s="15"/>
      <c r="DZ985" s="15"/>
      <c r="EA985" s="15"/>
      <c r="EB985" s="15"/>
      <c r="EC985" s="16" t="s">
        <v>197</v>
      </c>
      <c r="ED985" s="17" t="s">
        <v>198</v>
      </c>
      <c r="EE985" s="18">
        <v>45719.48494212963</v>
      </c>
      <c r="EF985" s="13" t="s">
        <v>209</v>
      </c>
      <c r="EG985" s="14" t="s">
        <v>179</v>
      </c>
      <c r="EH985" s="14" t="s">
        <v>19539</v>
      </c>
      <c r="EI985" s="15"/>
      <c r="EJ985" s="15"/>
      <c r="EK985" s="15"/>
      <c r="EL985" s="15"/>
      <c r="EM985" s="15"/>
      <c r="EN985" s="15"/>
      <c r="EO985" s="15"/>
      <c r="EP985" s="15"/>
      <c r="EQ985" s="15"/>
      <c r="ER985" s="15"/>
      <c r="ES985" s="15"/>
      <c r="ET985" s="15"/>
      <c r="EU985" s="15"/>
      <c r="EV985" s="15"/>
      <c r="EW985" s="15"/>
      <c r="EX985" s="15"/>
      <c r="EY985" s="15"/>
      <c r="EZ985" s="15"/>
      <c r="FA985" s="15"/>
      <c r="FB985" s="15"/>
      <c r="FC985" s="16" t="s">
        <v>197</v>
      </c>
      <c r="FD985" s="17" t="s">
        <v>198</v>
      </c>
      <c r="FE985" s="18">
        <v>45723.26866898148</v>
      </c>
      <c r="FF985" s="19"/>
      <c r="FG985" s="19"/>
      <c r="FH985" s="21" t="s">
        <v>197</v>
      </c>
      <c r="FI985" s="17" t="s">
        <v>214</v>
      </c>
      <c r="FJ985" s="18">
        <v>45723.26866898148</v>
      </c>
      <c r="FK985" s="14" t="s">
        <v>19539</v>
      </c>
      <c r="FL985" s="14" t="s">
        <v>19540</v>
      </c>
      <c r="FM985" s="14" t="s">
        <v>19541</v>
      </c>
      <c r="FN985" s="19"/>
      <c r="FO985" s="19"/>
      <c r="FP985" s="19" t="str">
        <f t="shared" si="1"/>
        <v>Base de Dados_Images/XV20001.Imagem do Equipamento-.130013.jpg</v>
      </c>
      <c r="FQ985" s="14"/>
      <c r="FR985" s="14"/>
    </row>
    <row r="986" ht="15.75" customHeight="1">
      <c r="A986" s="12" t="s">
        <v>174</v>
      </c>
      <c r="B986" s="12" t="s">
        <v>7946</v>
      </c>
      <c r="C986" s="12" t="s">
        <v>219</v>
      </c>
      <c r="D986" s="22" t="s">
        <v>19542</v>
      </c>
      <c r="E986" s="22" t="s">
        <v>19543</v>
      </c>
      <c r="F986" s="13" t="s">
        <v>178</v>
      </c>
      <c r="G986" s="14" t="s">
        <v>179</v>
      </c>
      <c r="H986" s="14" t="s">
        <v>19544</v>
      </c>
      <c r="I986" s="14" t="s">
        <v>179</v>
      </c>
      <c r="J986" s="14" t="s">
        <v>19545</v>
      </c>
      <c r="K986" s="14" t="s">
        <v>179</v>
      </c>
      <c r="L986" s="14" t="s">
        <v>19546</v>
      </c>
      <c r="M986" s="14" t="s">
        <v>179</v>
      </c>
      <c r="N986" s="14" t="s">
        <v>19547</v>
      </c>
      <c r="O986" s="14" t="s">
        <v>179</v>
      </c>
      <c r="P986" s="14" t="s">
        <v>19548</v>
      </c>
      <c r="Q986" s="14" t="s">
        <v>179</v>
      </c>
      <c r="R986" s="14" t="s">
        <v>19549</v>
      </c>
      <c r="S986" s="14" t="s">
        <v>179</v>
      </c>
      <c r="T986" s="14" t="s">
        <v>19550</v>
      </c>
      <c r="U986" s="14" t="s">
        <v>179</v>
      </c>
      <c r="V986" s="14" t="s">
        <v>19551</v>
      </c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6" t="s">
        <v>197</v>
      </c>
      <c r="BP986" s="17" t="s">
        <v>228</v>
      </c>
      <c r="BQ986" s="23"/>
      <c r="BR986" s="17" t="s">
        <v>198</v>
      </c>
      <c r="BS986" s="18">
        <v>45699.404328703706</v>
      </c>
      <c r="BT986" s="17" t="s">
        <v>198</v>
      </c>
      <c r="BU986" s="18">
        <v>45699.404328703706</v>
      </c>
      <c r="BV986" s="13" t="s">
        <v>199</v>
      </c>
      <c r="BW986" s="14" t="s">
        <v>179</v>
      </c>
      <c r="BX986" s="14" t="s">
        <v>19552</v>
      </c>
      <c r="BY986" s="14" t="s">
        <v>179</v>
      </c>
      <c r="BZ986" s="14" t="s">
        <v>19553</v>
      </c>
      <c r="CA986" s="15"/>
      <c r="CB986" s="15"/>
      <c r="CC986" s="15"/>
      <c r="CD986" s="15"/>
      <c r="CE986" s="15"/>
      <c r="CF986" s="15"/>
      <c r="CG986" s="19"/>
      <c r="CH986" s="15"/>
      <c r="CI986" s="19"/>
      <c r="CJ986" s="15"/>
      <c r="CK986" s="19"/>
      <c r="CL986" s="15"/>
      <c r="CM986" s="19"/>
      <c r="CN986" s="15"/>
      <c r="CO986" s="19"/>
      <c r="CP986" s="15"/>
      <c r="CQ986" s="15"/>
      <c r="CR986" s="15"/>
      <c r="CS986" s="19"/>
      <c r="CT986" s="15"/>
      <c r="CU986" s="19"/>
      <c r="CV986" s="15"/>
      <c r="CW986" s="19"/>
      <c r="CX986" s="15"/>
      <c r="CY986" s="19"/>
      <c r="CZ986" s="15"/>
      <c r="DA986" s="16" t="s">
        <v>197</v>
      </c>
      <c r="DB986" s="17" t="s">
        <v>228</v>
      </c>
      <c r="DC986" s="16"/>
      <c r="DD986" s="17" t="s">
        <v>198</v>
      </c>
      <c r="DE986" s="18">
        <v>45719.485034722224</v>
      </c>
      <c r="DF986" s="17" t="s">
        <v>198</v>
      </c>
      <c r="DG986" s="18">
        <v>45719.485034722224</v>
      </c>
      <c r="DH986" s="13" t="s">
        <v>205</v>
      </c>
      <c r="DI986" s="14" t="s">
        <v>179</v>
      </c>
      <c r="DJ986" s="14" t="s">
        <v>19554</v>
      </c>
      <c r="DK986" s="15"/>
      <c r="DL986" s="15"/>
      <c r="DM986" s="15"/>
      <c r="DN986" s="15"/>
      <c r="DO986" s="15"/>
      <c r="DP986" s="15"/>
      <c r="DQ986" s="15"/>
      <c r="DR986" s="15"/>
      <c r="DS986" s="15"/>
      <c r="DT986" s="15"/>
      <c r="DU986" s="15"/>
      <c r="DV986" s="15"/>
      <c r="DW986" s="15"/>
      <c r="DX986" s="15"/>
      <c r="DY986" s="15"/>
      <c r="DZ986" s="15"/>
      <c r="EA986" s="15"/>
      <c r="EB986" s="15"/>
      <c r="EC986" s="16" t="s">
        <v>197</v>
      </c>
      <c r="ED986" s="17" t="s">
        <v>198</v>
      </c>
      <c r="EE986" s="18">
        <v>45719.485081018516</v>
      </c>
      <c r="EF986" s="13" t="s">
        <v>209</v>
      </c>
      <c r="EG986" s="14" t="s">
        <v>179</v>
      </c>
      <c r="EH986" s="14" t="s">
        <v>19555</v>
      </c>
      <c r="EI986" s="15"/>
      <c r="EJ986" s="15"/>
      <c r="EK986" s="15"/>
      <c r="EL986" s="15"/>
      <c r="EM986" s="15"/>
      <c r="EN986" s="15"/>
      <c r="EO986" s="15"/>
      <c r="EP986" s="15"/>
      <c r="EQ986" s="15"/>
      <c r="ER986" s="15"/>
      <c r="ES986" s="15"/>
      <c r="ET986" s="15"/>
      <c r="EU986" s="15"/>
      <c r="EV986" s="15"/>
      <c r="EW986" s="15"/>
      <c r="EX986" s="15"/>
      <c r="EY986" s="15"/>
      <c r="EZ986" s="15"/>
      <c r="FA986" s="15"/>
      <c r="FB986" s="15"/>
      <c r="FC986" s="16" t="s">
        <v>197</v>
      </c>
      <c r="FD986" s="17" t="s">
        <v>198</v>
      </c>
      <c r="FE986" s="18">
        <v>45723.268738425926</v>
      </c>
      <c r="FF986" s="19"/>
      <c r="FG986" s="19"/>
      <c r="FH986" s="21" t="s">
        <v>197</v>
      </c>
      <c r="FI986" s="17" t="s">
        <v>214</v>
      </c>
      <c r="FJ986" s="18">
        <v>45723.268738425926</v>
      </c>
      <c r="FK986" s="14" t="s">
        <v>19555</v>
      </c>
      <c r="FL986" s="14" t="s">
        <v>19556</v>
      </c>
      <c r="FM986" s="14" t="s">
        <v>19557</v>
      </c>
      <c r="FN986" s="19"/>
      <c r="FO986" s="19"/>
      <c r="FP986" s="19" t="str">
        <f t="shared" si="1"/>
        <v>Base de Dados_Images/XV20002.Imagem do Equipamento-.125859.jpg</v>
      </c>
      <c r="FQ986" s="14"/>
      <c r="FR986" s="14"/>
    </row>
    <row r="987" ht="15.75" customHeight="1">
      <c r="A987" s="12" t="s">
        <v>292</v>
      </c>
      <c r="B987" s="12" t="s">
        <v>391</v>
      </c>
      <c r="C987" s="12" t="s">
        <v>219</v>
      </c>
      <c r="D987" s="22" t="s">
        <v>19558</v>
      </c>
      <c r="E987" s="22" t="s">
        <v>19559</v>
      </c>
      <c r="F987" s="13" t="s">
        <v>178</v>
      </c>
      <c r="G987" s="14" t="s">
        <v>179</v>
      </c>
      <c r="H987" s="14" t="s">
        <v>19560</v>
      </c>
      <c r="I987" s="14" t="s">
        <v>179</v>
      </c>
      <c r="J987" s="14" t="s">
        <v>19561</v>
      </c>
      <c r="K987" s="14" t="s">
        <v>179</v>
      </c>
      <c r="L987" s="14" t="s">
        <v>19562</v>
      </c>
      <c r="M987" s="14" t="s">
        <v>179</v>
      </c>
      <c r="N987" s="14" t="s">
        <v>19563</v>
      </c>
      <c r="O987" s="14" t="s">
        <v>179</v>
      </c>
      <c r="P987" s="14" t="s">
        <v>19564</v>
      </c>
      <c r="Q987" s="14" t="s">
        <v>179</v>
      </c>
      <c r="R987" s="14" t="s">
        <v>19565</v>
      </c>
      <c r="S987" s="14" t="s">
        <v>179</v>
      </c>
      <c r="T987" s="14" t="s">
        <v>19566</v>
      </c>
      <c r="U987" s="14" t="s">
        <v>179</v>
      </c>
      <c r="V987" s="14" t="s">
        <v>19567</v>
      </c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6" t="s">
        <v>197</v>
      </c>
      <c r="BP987" s="17" t="s">
        <v>228</v>
      </c>
      <c r="BQ987" s="23"/>
      <c r="BR987" s="17" t="s">
        <v>198</v>
      </c>
      <c r="BS987" s="18">
        <v>45687.47188657407</v>
      </c>
      <c r="BT987" s="17" t="s">
        <v>198</v>
      </c>
      <c r="BU987" s="18">
        <v>45687.47188657407</v>
      </c>
      <c r="BV987" s="13" t="s">
        <v>199</v>
      </c>
      <c r="BW987" s="14" t="s">
        <v>179</v>
      </c>
      <c r="BX987" s="14" t="s">
        <v>19568</v>
      </c>
      <c r="BY987" s="14" t="s">
        <v>179</v>
      </c>
      <c r="BZ987" s="14" t="s">
        <v>19569</v>
      </c>
      <c r="CA987" s="15"/>
      <c r="CB987" s="15"/>
      <c r="CC987" s="15"/>
      <c r="CD987" s="15"/>
      <c r="CE987" s="15"/>
      <c r="CF987" s="15"/>
      <c r="CG987" s="19"/>
      <c r="CH987" s="15"/>
      <c r="CI987" s="19"/>
      <c r="CJ987" s="15"/>
      <c r="CK987" s="19"/>
      <c r="CL987" s="15"/>
      <c r="CM987" s="19"/>
      <c r="CN987" s="15"/>
      <c r="CO987" s="19"/>
      <c r="CP987" s="15"/>
      <c r="CQ987" s="15"/>
      <c r="CR987" s="15"/>
      <c r="CS987" s="19"/>
      <c r="CT987" s="15"/>
      <c r="CU987" s="19"/>
      <c r="CV987" s="15"/>
      <c r="CW987" s="19"/>
      <c r="CX987" s="15"/>
      <c r="CY987" s="19"/>
      <c r="CZ987" s="15"/>
      <c r="DA987" s="16" t="s">
        <v>197</v>
      </c>
      <c r="DB987" s="17" t="s">
        <v>228</v>
      </c>
      <c r="DC987" s="16"/>
      <c r="DD987" s="17" t="s">
        <v>198</v>
      </c>
      <c r="DE987" s="18">
        <v>45699.57263888889</v>
      </c>
      <c r="DF987" s="17" t="s">
        <v>198</v>
      </c>
      <c r="DG987" s="18">
        <v>45699.57263888889</v>
      </c>
      <c r="DH987" s="13" t="s">
        <v>205</v>
      </c>
      <c r="DI987" s="14" t="s">
        <v>179</v>
      </c>
      <c r="DJ987" s="14" t="s">
        <v>19570</v>
      </c>
      <c r="DK987" s="15"/>
      <c r="DL987" s="15"/>
      <c r="DM987" s="15"/>
      <c r="DN987" s="15"/>
      <c r="DO987" s="15"/>
      <c r="DP987" s="15"/>
      <c r="DQ987" s="15"/>
      <c r="DR987" s="15"/>
      <c r="DS987" s="15"/>
      <c r="DT987" s="15"/>
      <c r="DU987" s="15"/>
      <c r="DV987" s="15"/>
      <c r="DW987" s="15"/>
      <c r="DX987" s="15"/>
      <c r="DY987" s="15"/>
      <c r="DZ987" s="15"/>
      <c r="EA987" s="15"/>
      <c r="EB987" s="15"/>
      <c r="EC987" s="16" t="s">
        <v>197</v>
      </c>
      <c r="ED987" s="17" t="s">
        <v>198</v>
      </c>
      <c r="EE987" s="18">
        <v>45719.50895833333</v>
      </c>
      <c r="EF987" s="13" t="s">
        <v>209</v>
      </c>
      <c r="EG987" s="14" t="s">
        <v>179</v>
      </c>
      <c r="EH987" s="14" t="s">
        <v>19571</v>
      </c>
      <c r="EI987" s="15"/>
      <c r="EJ987" s="15"/>
      <c r="EK987" s="15"/>
      <c r="EL987" s="15"/>
      <c r="EM987" s="15"/>
      <c r="EN987" s="15"/>
      <c r="EO987" s="15"/>
      <c r="EP987" s="15"/>
      <c r="EQ987" s="15"/>
      <c r="ER987" s="15"/>
      <c r="ES987" s="15"/>
      <c r="ET987" s="15"/>
      <c r="EU987" s="15"/>
      <c r="EV987" s="15"/>
      <c r="EW987" s="15"/>
      <c r="EX987" s="15"/>
      <c r="EY987" s="15"/>
      <c r="EZ987" s="15"/>
      <c r="FA987" s="15"/>
      <c r="FB987" s="15"/>
      <c r="FC987" s="16" t="s">
        <v>197</v>
      </c>
      <c r="FD987" s="17" t="s">
        <v>198</v>
      </c>
      <c r="FE987" s="18">
        <v>45722.373125</v>
      </c>
      <c r="FF987" s="19"/>
      <c r="FG987" s="19"/>
      <c r="FH987" s="21" t="s">
        <v>197</v>
      </c>
      <c r="FI987" s="17" t="s">
        <v>214</v>
      </c>
      <c r="FJ987" s="18">
        <v>45722.373125</v>
      </c>
      <c r="FK987" s="14" t="s">
        <v>19571</v>
      </c>
      <c r="FL987" s="14" t="s">
        <v>19572</v>
      </c>
      <c r="FM987" s="14" t="s">
        <v>19573</v>
      </c>
      <c r="FN987" s="19"/>
      <c r="FO987" s="19"/>
      <c r="FP987" s="19" t="str">
        <f t="shared" si="1"/>
        <v>Base de Dados_Images/XV30001.Imagem do Equipamento-.141843.jpg</v>
      </c>
      <c r="FQ987" s="19"/>
      <c r="FR987" s="19"/>
    </row>
    <row r="988" ht="15.75" customHeight="1">
      <c r="A988" s="12" t="s">
        <v>292</v>
      </c>
      <c r="B988" s="12" t="s">
        <v>391</v>
      </c>
      <c r="C988" s="12" t="s">
        <v>219</v>
      </c>
      <c r="D988" s="22" t="s">
        <v>19574</v>
      </c>
      <c r="E988" s="22" t="s">
        <v>19575</v>
      </c>
      <c r="F988" s="13" t="s">
        <v>178</v>
      </c>
      <c r="G988" s="14" t="s">
        <v>179</v>
      </c>
      <c r="H988" s="14" t="s">
        <v>19576</v>
      </c>
      <c r="I988" s="14" t="s">
        <v>179</v>
      </c>
      <c r="J988" s="14" t="s">
        <v>19577</v>
      </c>
      <c r="K988" s="14" t="s">
        <v>179</v>
      </c>
      <c r="L988" s="14" t="s">
        <v>19578</v>
      </c>
      <c r="M988" s="14" t="s">
        <v>179</v>
      </c>
      <c r="N988" s="14" t="s">
        <v>19579</v>
      </c>
      <c r="O988" s="14" t="s">
        <v>179</v>
      </c>
      <c r="P988" s="14" t="s">
        <v>19580</v>
      </c>
      <c r="Q988" s="14" t="s">
        <v>179</v>
      </c>
      <c r="R988" s="14" t="s">
        <v>19581</v>
      </c>
      <c r="S988" s="14" t="s">
        <v>179</v>
      </c>
      <c r="T988" s="14" t="s">
        <v>19582</v>
      </c>
      <c r="U988" s="14" t="s">
        <v>179</v>
      </c>
      <c r="V988" s="14" t="s">
        <v>19583</v>
      </c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6" t="s">
        <v>197</v>
      </c>
      <c r="BP988" s="17" t="s">
        <v>228</v>
      </c>
      <c r="BQ988" s="23"/>
      <c r="BR988" s="17" t="s">
        <v>198</v>
      </c>
      <c r="BS988" s="18">
        <v>45687.473275462966</v>
      </c>
      <c r="BT988" s="17" t="s">
        <v>198</v>
      </c>
      <c r="BU988" s="18">
        <v>45687.473275462966</v>
      </c>
      <c r="BV988" s="13" t="s">
        <v>199</v>
      </c>
      <c r="BW988" s="14" t="s">
        <v>179</v>
      </c>
      <c r="BX988" s="14" t="s">
        <v>19584</v>
      </c>
      <c r="BY988" s="14" t="s">
        <v>179</v>
      </c>
      <c r="BZ988" s="14" t="s">
        <v>19585</v>
      </c>
      <c r="CA988" s="15"/>
      <c r="CB988" s="15"/>
      <c r="CC988" s="15"/>
      <c r="CD988" s="15"/>
      <c r="CE988" s="15"/>
      <c r="CF988" s="15"/>
      <c r="CG988" s="19"/>
      <c r="CH988" s="15"/>
      <c r="CI988" s="19"/>
      <c r="CJ988" s="15"/>
      <c r="CK988" s="19"/>
      <c r="CL988" s="15"/>
      <c r="CM988" s="19"/>
      <c r="CN988" s="15"/>
      <c r="CO988" s="19"/>
      <c r="CP988" s="15"/>
      <c r="CQ988" s="15"/>
      <c r="CR988" s="15"/>
      <c r="CS988" s="19"/>
      <c r="CT988" s="15"/>
      <c r="CU988" s="19"/>
      <c r="CV988" s="15"/>
      <c r="CW988" s="19"/>
      <c r="CX988" s="15"/>
      <c r="CY988" s="19"/>
      <c r="CZ988" s="15"/>
      <c r="DA988" s="16" t="s">
        <v>197</v>
      </c>
      <c r="DB988" s="17" t="s">
        <v>228</v>
      </c>
      <c r="DC988" s="16"/>
      <c r="DD988" s="17" t="s">
        <v>198</v>
      </c>
      <c r="DE988" s="18">
        <v>45699.57430555556</v>
      </c>
      <c r="DF988" s="17" t="s">
        <v>198</v>
      </c>
      <c r="DG988" s="18">
        <v>45699.57430555556</v>
      </c>
      <c r="DH988" s="13" t="s">
        <v>205</v>
      </c>
      <c r="DI988" s="14" t="s">
        <v>179</v>
      </c>
      <c r="DJ988" s="14" t="s">
        <v>19586</v>
      </c>
      <c r="DK988" s="15"/>
      <c r="DL988" s="15"/>
      <c r="DM988" s="15"/>
      <c r="DN988" s="15"/>
      <c r="DO988" s="15"/>
      <c r="DP988" s="15"/>
      <c r="DQ988" s="15"/>
      <c r="DR988" s="15"/>
      <c r="DS988" s="15"/>
      <c r="DT988" s="15"/>
      <c r="DU988" s="15"/>
      <c r="DV988" s="15"/>
      <c r="DW988" s="15"/>
      <c r="DX988" s="15"/>
      <c r="DY988" s="15"/>
      <c r="DZ988" s="15"/>
      <c r="EA988" s="15"/>
      <c r="EB988" s="15"/>
      <c r="EC988" s="16" t="s">
        <v>197</v>
      </c>
      <c r="ED988" s="17" t="s">
        <v>198</v>
      </c>
      <c r="EE988" s="18">
        <v>45719.509039351855</v>
      </c>
      <c r="EF988" s="13" t="s">
        <v>209</v>
      </c>
      <c r="EG988" s="14" t="s">
        <v>179</v>
      </c>
      <c r="EH988" s="14" t="s">
        <v>19587</v>
      </c>
      <c r="EI988" s="15"/>
      <c r="EJ988" s="15"/>
      <c r="EK988" s="15"/>
      <c r="EL988" s="15"/>
      <c r="EM988" s="15"/>
      <c r="EN988" s="15"/>
      <c r="EO988" s="15"/>
      <c r="EP988" s="15"/>
      <c r="EQ988" s="15"/>
      <c r="ER988" s="15"/>
      <c r="ES988" s="15"/>
      <c r="ET988" s="15"/>
      <c r="EU988" s="15"/>
      <c r="EV988" s="15"/>
      <c r="EW988" s="15"/>
      <c r="EX988" s="15"/>
      <c r="EY988" s="15"/>
      <c r="EZ988" s="15"/>
      <c r="FA988" s="15"/>
      <c r="FB988" s="15"/>
      <c r="FC988" s="16" t="s">
        <v>197</v>
      </c>
      <c r="FD988" s="17" t="s">
        <v>198</v>
      </c>
      <c r="FE988" s="18">
        <v>45722.373194444444</v>
      </c>
      <c r="FF988" s="19"/>
      <c r="FG988" s="19"/>
      <c r="FH988" s="21" t="s">
        <v>197</v>
      </c>
      <c r="FI988" s="17" t="s">
        <v>214</v>
      </c>
      <c r="FJ988" s="18">
        <v>45722.373194444444</v>
      </c>
      <c r="FK988" s="14" t="s">
        <v>19587</v>
      </c>
      <c r="FL988" s="14" t="s">
        <v>19588</v>
      </c>
      <c r="FM988" s="14" t="s">
        <v>19589</v>
      </c>
      <c r="FN988" s="19"/>
      <c r="FO988" s="19"/>
      <c r="FP988" s="19" t="str">
        <f t="shared" si="1"/>
        <v>Base de Dados_Images/XV30002.Imagem do Equipamento-.142032.jpg</v>
      </c>
      <c r="FQ988" s="19"/>
      <c r="FR988" s="19"/>
    </row>
    <row r="989" ht="15.75" customHeight="1">
      <c r="A989" s="12" t="s">
        <v>292</v>
      </c>
      <c r="B989" s="12" t="s">
        <v>13834</v>
      </c>
      <c r="C989" s="12" t="s">
        <v>219</v>
      </c>
      <c r="D989" s="22" t="s">
        <v>19590</v>
      </c>
      <c r="E989" s="22" t="s">
        <v>19591</v>
      </c>
      <c r="F989" s="13" t="s">
        <v>178</v>
      </c>
      <c r="G989" s="14" t="s">
        <v>179</v>
      </c>
      <c r="H989" s="14" t="s">
        <v>19592</v>
      </c>
      <c r="I989" s="14" t="s">
        <v>179</v>
      </c>
      <c r="J989" s="14" t="s">
        <v>19593</v>
      </c>
      <c r="K989" s="14" t="s">
        <v>179</v>
      </c>
      <c r="L989" s="14" t="s">
        <v>19594</v>
      </c>
      <c r="M989" s="14" t="s">
        <v>179</v>
      </c>
      <c r="N989" s="14" t="s">
        <v>19595</v>
      </c>
      <c r="O989" s="14" t="s">
        <v>179</v>
      </c>
      <c r="P989" s="14" t="s">
        <v>19596</v>
      </c>
      <c r="Q989" s="14" t="s">
        <v>179</v>
      </c>
      <c r="R989" s="14" t="s">
        <v>19597</v>
      </c>
      <c r="S989" s="14" t="s">
        <v>179</v>
      </c>
      <c r="T989" s="14" t="s">
        <v>19598</v>
      </c>
      <c r="U989" s="14" t="s">
        <v>179</v>
      </c>
      <c r="V989" s="14" t="s">
        <v>19599</v>
      </c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6" t="s">
        <v>197</v>
      </c>
      <c r="BP989" s="17" t="s">
        <v>228</v>
      </c>
      <c r="BQ989" s="23"/>
      <c r="BR989" s="17" t="s">
        <v>198</v>
      </c>
      <c r="BS989" s="18">
        <v>45689.5056712963</v>
      </c>
      <c r="BT989" s="17" t="s">
        <v>198</v>
      </c>
      <c r="BU989" s="18">
        <v>45689.5056712963</v>
      </c>
      <c r="BV989" s="13" t="s">
        <v>199</v>
      </c>
      <c r="BW989" s="14" t="s">
        <v>179</v>
      </c>
      <c r="BX989" s="14" t="s">
        <v>19600</v>
      </c>
      <c r="BY989" s="14" t="s">
        <v>179</v>
      </c>
      <c r="BZ989" s="14" t="s">
        <v>19601</v>
      </c>
      <c r="CA989" s="15"/>
      <c r="CB989" s="15"/>
      <c r="CC989" s="15"/>
      <c r="CD989" s="15"/>
      <c r="CE989" s="15"/>
      <c r="CF989" s="15"/>
      <c r="CG989" s="19"/>
      <c r="CH989" s="15"/>
      <c r="CI989" s="19"/>
      <c r="CJ989" s="15"/>
      <c r="CK989" s="19"/>
      <c r="CL989" s="15"/>
      <c r="CM989" s="19"/>
      <c r="CN989" s="15"/>
      <c r="CO989" s="19"/>
      <c r="CP989" s="15"/>
      <c r="CQ989" s="15"/>
      <c r="CR989" s="15"/>
      <c r="CS989" s="19"/>
      <c r="CT989" s="15"/>
      <c r="CU989" s="19"/>
      <c r="CV989" s="15"/>
      <c r="CW989" s="19"/>
      <c r="CX989" s="15"/>
      <c r="CY989" s="19"/>
      <c r="CZ989" s="15"/>
      <c r="DA989" s="16" t="s">
        <v>197</v>
      </c>
      <c r="DB989" s="17" t="s">
        <v>228</v>
      </c>
      <c r="DC989" s="16"/>
      <c r="DD989" s="17" t="s">
        <v>198</v>
      </c>
      <c r="DE989" s="18">
        <v>45719.47400462963</v>
      </c>
      <c r="DF989" s="17" t="s">
        <v>198</v>
      </c>
      <c r="DG989" s="18">
        <v>45719.47400462963</v>
      </c>
      <c r="DH989" s="13" t="s">
        <v>205</v>
      </c>
      <c r="DI989" s="14" t="s">
        <v>179</v>
      </c>
      <c r="DJ989" s="14" t="s">
        <v>19602</v>
      </c>
      <c r="DK989" s="15"/>
      <c r="DL989" s="15"/>
      <c r="DM989" s="15"/>
      <c r="DN989" s="15"/>
      <c r="DO989" s="15"/>
      <c r="DP989" s="15"/>
      <c r="DQ989" s="15"/>
      <c r="DR989" s="15"/>
      <c r="DS989" s="15"/>
      <c r="DT989" s="15"/>
      <c r="DU989" s="15"/>
      <c r="DV989" s="15"/>
      <c r="DW989" s="15"/>
      <c r="DX989" s="15"/>
      <c r="DY989" s="15"/>
      <c r="DZ989" s="15"/>
      <c r="EA989" s="15"/>
      <c r="EB989" s="15"/>
      <c r="EC989" s="16" t="s">
        <v>197</v>
      </c>
      <c r="ED989" s="17" t="s">
        <v>198</v>
      </c>
      <c r="EE989" s="18">
        <v>45719.47405092593</v>
      </c>
      <c r="EF989" s="13" t="s">
        <v>209</v>
      </c>
      <c r="EG989" s="14" t="s">
        <v>179</v>
      </c>
      <c r="EH989" s="14" t="s">
        <v>19603</v>
      </c>
      <c r="EI989" s="15"/>
      <c r="EJ989" s="15"/>
      <c r="EK989" s="15"/>
      <c r="EL989" s="15"/>
      <c r="EM989" s="15"/>
      <c r="EN989" s="15"/>
      <c r="EO989" s="15"/>
      <c r="EP989" s="15"/>
      <c r="EQ989" s="15"/>
      <c r="ER989" s="15"/>
      <c r="ES989" s="15"/>
      <c r="ET989" s="15"/>
      <c r="EU989" s="15"/>
      <c r="EV989" s="15"/>
      <c r="EW989" s="15"/>
      <c r="EX989" s="15"/>
      <c r="EY989" s="15"/>
      <c r="EZ989" s="15"/>
      <c r="FA989" s="15"/>
      <c r="FB989" s="15"/>
      <c r="FC989" s="16" t="s">
        <v>197</v>
      </c>
      <c r="FD989" s="17" t="s">
        <v>198</v>
      </c>
      <c r="FE989" s="18">
        <v>45720.5258912037</v>
      </c>
      <c r="FF989" s="19"/>
      <c r="FG989" s="19"/>
      <c r="FH989" s="21" t="s">
        <v>197</v>
      </c>
      <c r="FI989" s="17" t="s">
        <v>214</v>
      </c>
      <c r="FJ989" s="18">
        <v>45720.5258912037</v>
      </c>
      <c r="FK989" s="14" t="s">
        <v>19603</v>
      </c>
      <c r="FL989" s="14" t="s">
        <v>19604</v>
      </c>
      <c r="FM989" s="14" t="s">
        <v>19605</v>
      </c>
      <c r="FN989" s="19"/>
      <c r="FO989" s="19"/>
      <c r="FP989" s="19" t="str">
        <f t="shared" si="1"/>
        <v>Base de Dados_Images/XV30003.Imagem do Equipamento-.151252.jpg</v>
      </c>
      <c r="FQ989" s="14"/>
      <c r="FR989" s="14"/>
    </row>
    <row r="990" ht="15.75" customHeight="1">
      <c r="A990" s="12" t="s">
        <v>292</v>
      </c>
      <c r="B990" s="12" t="s">
        <v>13834</v>
      </c>
      <c r="C990" s="12" t="s">
        <v>219</v>
      </c>
      <c r="D990" s="22" t="s">
        <v>19606</v>
      </c>
      <c r="E990" s="22" t="s">
        <v>19607</v>
      </c>
      <c r="F990" s="13" t="s">
        <v>178</v>
      </c>
      <c r="G990" s="14" t="s">
        <v>179</v>
      </c>
      <c r="H990" s="14" t="s">
        <v>19608</v>
      </c>
      <c r="I990" s="14" t="s">
        <v>179</v>
      </c>
      <c r="J990" s="14" t="s">
        <v>19609</v>
      </c>
      <c r="K990" s="14" t="s">
        <v>179</v>
      </c>
      <c r="L990" s="14" t="s">
        <v>19610</v>
      </c>
      <c r="M990" s="14" t="s">
        <v>179</v>
      </c>
      <c r="N990" s="14" t="s">
        <v>19611</v>
      </c>
      <c r="O990" s="14" t="s">
        <v>179</v>
      </c>
      <c r="P990" s="14" t="s">
        <v>19612</v>
      </c>
      <c r="Q990" s="14" t="s">
        <v>179</v>
      </c>
      <c r="R990" s="14" t="s">
        <v>19613</v>
      </c>
      <c r="S990" s="14" t="s">
        <v>179</v>
      </c>
      <c r="T990" s="14" t="s">
        <v>19614</v>
      </c>
      <c r="U990" s="14" t="s">
        <v>179</v>
      </c>
      <c r="V990" s="14" t="s">
        <v>19615</v>
      </c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6" t="s">
        <v>197</v>
      </c>
      <c r="BP990" s="17" t="s">
        <v>228</v>
      </c>
      <c r="BQ990" s="23"/>
      <c r="BR990" s="17" t="s">
        <v>198</v>
      </c>
      <c r="BS990" s="18">
        <v>45689.50613425926</v>
      </c>
      <c r="BT990" s="17" t="s">
        <v>198</v>
      </c>
      <c r="BU990" s="18">
        <v>45689.50613425926</v>
      </c>
      <c r="BV990" s="13" t="s">
        <v>199</v>
      </c>
      <c r="BW990" s="14" t="s">
        <v>179</v>
      </c>
      <c r="BX990" s="14" t="s">
        <v>19616</v>
      </c>
      <c r="BY990" s="14" t="s">
        <v>179</v>
      </c>
      <c r="BZ990" s="14" t="s">
        <v>19617</v>
      </c>
      <c r="CA990" s="15"/>
      <c r="CB990" s="15"/>
      <c r="CC990" s="15"/>
      <c r="CD990" s="15"/>
      <c r="CE990" s="15"/>
      <c r="CF990" s="15"/>
      <c r="CG990" s="19"/>
      <c r="CH990" s="15"/>
      <c r="CI990" s="19"/>
      <c r="CJ990" s="15"/>
      <c r="CK990" s="19"/>
      <c r="CL990" s="15"/>
      <c r="CM990" s="19"/>
      <c r="CN990" s="15"/>
      <c r="CO990" s="19"/>
      <c r="CP990" s="15"/>
      <c r="CQ990" s="15"/>
      <c r="CR990" s="15"/>
      <c r="CS990" s="19"/>
      <c r="CT990" s="15"/>
      <c r="CU990" s="19"/>
      <c r="CV990" s="15"/>
      <c r="CW990" s="19"/>
      <c r="CX990" s="15"/>
      <c r="CY990" s="19"/>
      <c r="CZ990" s="15"/>
      <c r="DA990" s="16" t="s">
        <v>197</v>
      </c>
      <c r="DB990" s="17" t="s">
        <v>228</v>
      </c>
      <c r="DC990" s="16"/>
      <c r="DD990" s="17" t="s">
        <v>198</v>
      </c>
      <c r="DE990" s="18">
        <v>45719.47420138889</v>
      </c>
      <c r="DF990" s="17" t="s">
        <v>198</v>
      </c>
      <c r="DG990" s="18">
        <v>45719.47420138889</v>
      </c>
      <c r="DH990" s="13" t="s">
        <v>205</v>
      </c>
      <c r="DI990" s="14" t="s">
        <v>179</v>
      </c>
      <c r="DJ990" s="14" t="s">
        <v>19618</v>
      </c>
      <c r="DK990" s="15"/>
      <c r="DL990" s="15"/>
      <c r="DM990" s="15"/>
      <c r="DN990" s="15"/>
      <c r="DO990" s="15"/>
      <c r="DP990" s="15"/>
      <c r="DQ990" s="15"/>
      <c r="DR990" s="15"/>
      <c r="DS990" s="15"/>
      <c r="DT990" s="15"/>
      <c r="DU990" s="15"/>
      <c r="DV990" s="15"/>
      <c r="DW990" s="15"/>
      <c r="DX990" s="15"/>
      <c r="DY990" s="15"/>
      <c r="DZ990" s="15"/>
      <c r="EA990" s="15"/>
      <c r="EB990" s="15"/>
      <c r="EC990" s="16" t="s">
        <v>197</v>
      </c>
      <c r="ED990" s="17" t="s">
        <v>198</v>
      </c>
      <c r="EE990" s="18">
        <v>45719.47429398148</v>
      </c>
      <c r="EF990" s="13" t="s">
        <v>209</v>
      </c>
      <c r="EG990" s="14" t="s">
        <v>179</v>
      </c>
      <c r="EH990" s="14" t="s">
        <v>19619</v>
      </c>
      <c r="EI990" s="15"/>
      <c r="EJ990" s="15"/>
      <c r="EK990" s="15"/>
      <c r="EL990" s="15"/>
      <c r="EM990" s="15"/>
      <c r="EN990" s="15"/>
      <c r="EO990" s="15"/>
      <c r="EP990" s="15"/>
      <c r="EQ990" s="15"/>
      <c r="ER990" s="15"/>
      <c r="ES990" s="15"/>
      <c r="ET990" s="15"/>
      <c r="EU990" s="15"/>
      <c r="EV990" s="15"/>
      <c r="EW990" s="15"/>
      <c r="EX990" s="15"/>
      <c r="EY990" s="15"/>
      <c r="EZ990" s="15"/>
      <c r="FA990" s="15"/>
      <c r="FB990" s="15"/>
      <c r="FC990" s="16" t="s">
        <v>197</v>
      </c>
      <c r="FD990" s="17" t="s">
        <v>198</v>
      </c>
      <c r="FE990" s="18">
        <v>45720.52596064815</v>
      </c>
      <c r="FF990" s="19"/>
      <c r="FG990" s="19"/>
      <c r="FH990" s="21" t="s">
        <v>197</v>
      </c>
      <c r="FI990" s="17" t="s">
        <v>214</v>
      </c>
      <c r="FJ990" s="18">
        <v>45720.52596064815</v>
      </c>
      <c r="FK990" s="14" t="s">
        <v>19619</v>
      </c>
      <c r="FL990" s="14" t="s">
        <v>19620</v>
      </c>
      <c r="FM990" s="14" t="s">
        <v>19621</v>
      </c>
      <c r="FN990" s="19"/>
      <c r="FO990" s="19"/>
      <c r="FP990" s="19" t="str">
        <f t="shared" si="1"/>
        <v>Base de Dados_Images/XV30004.Imagem do Equipamento-.152006.jpg</v>
      </c>
      <c r="FQ990" s="14"/>
      <c r="FR990" s="14"/>
    </row>
    <row r="991" ht="15.75" customHeight="1">
      <c r="A991" s="12" t="s">
        <v>292</v>
      </c>
      <c r="B991" s="12" t="s">
        <v>374</v>
      </c>
      <c r="C991" s="12" t="s">
        <v>219</v>
      </c>
      <c r="D991" s="22" t="s">
        <v>19622</v>
      </c>
      <c r="E991" s="22" t="s">
        <v>19623</v>
      </c>
      <c r="F991" s="13" t="s">
        <v>178</v>
      </c>
      <c r="G991" s="14" t="s">
        <v>179</v>
      </c>
      <c r="H991" s="14" t="s">
        <v>19624</v>
      </c>
      <c r="I991" s="14" t="s">
        <v>179</v>
      </c>
      <c r="J991" s="14" t="s">
        <v>19625</v>
      </c>
      <c r="K991" s="14" t="s">
        <v>179</v>
      </c>
      <c r="L991" s="14" t="s">
        <v>19626</v>
      </c>
      <c r="M991" s="14" t="s">
        <v>179</v>
      </c>
      <c r="N991" s="14" t="s">
        <v>19627</v>
      </c>
      <c r="O991" s="14" t="s">
        <v>179</v>
      </c>
      <c r="P991" s="14" t="s">
        <v>19628</v>
      </c>
      <c r="Q991" s="14" t="s">
        <v>179</v>
      </c>
      <c r="R991" s="14" t="s">
        <v>19629</v>
      </c>
      <c r="S991" s="14" t="s">
        <v>179</v>
      </c>
      <c r="T991" s="14" t="s">
        <v>19630</v>
      </c>
      <c r="U991" s="14" t="s">
        <v>179</v>
      </c>
      <c r="V991" s="14" t="s">
        <v>19630</v>
      </c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6" t="s">
        <v>197</v>
      </c>
      <c r="BP991" s="17" t="s">
        <v>228</v>
      </c>
      <c r="BQ991" s="23"/>
      <c r="BR991" s="17" t="s">
        <v>198</v>
      </c>
      <c r="BS991" s="18">
        <v>45687.49826388889</v>
      </c>
      <c r="BT991" s="17" t="s">
        <v>198</v>
      </c>
      <c r="BU991" s="18">
        <v>45687.49826388889</v>
      </c>
      <c r="BV991" s="13" t="s">
        <v>199</v>
      </c>
      <c r="BW991" s="14" t="s">
        <v>179</v>
      </c>
      <c r="BX991" s="14" t="s">
        <v>19631</v>
      </c>
      <c r="BY991" s="14" t="s">
        <v>179</v>
      </c>
      <c r="BZ991" s="14" t="s">
        <v>19631</v>
      </c>
      <c r="CA991" s="15"/>
      <c r="CB991" s="15"/>
      <c r="CC991" s="15"/>
      <c r="CD991" s="15"/>
      <c r="CE991" s="15"/>
      <c r="CF991" s="15"/>
      <c r="CG991" s="19"/>
      <c r="CH991" s="15"/>
      <c r="CI991" s="19"/>
      <c r="CJ991" s="15"/>
      <c r="CK991" s="19"/>
      <c r="CL991" s="15"/>
      <c r="CM991" s="19"/>
      <c r="CN991" s="15"/>
      <c r="CO991" s="19"/>
      <c r="CP991" s="15"/>
      <c r="CQ991" s="15"/>
      <c r="CR991" s="15"/>
      <c r="CS991" s="19"/>
      <c r="CT991" s="15"/>
      <c r="CU991" s="19"/>
      <c r="CV991" s="15"/>
      <c r="CW991" s="19"/>
      <c r="CX991" s="15"/>
      <c r="CY991" s="19"/>
      <c r="CZ991" s="15"/>
      <c r="DA991" s="16" t="s">
        <v>197</v>
      </c>
      <c r="DB991" s="17" t="s">
        <v>228</v>
      </c>
      <c r="DC991" s="16"/>
      <c r="DD991" s="17" t="s">
        <v>198</v>
      </c>
      <c r="DE991" s="18">
        <v>45719.45741898148</v>
      </c>
      <c r="DF991" s="17" t="s">
        <v>198</v>
      </c>
      <c r="DG991" s="18">
        <v>45719.45741898148</v>
      </c>
      <c r="DH991" s="13" t="s">
        <v>205</v>
      </c>
      <c r="DI991" s="14" t="s">
        <v>179</v>
      </c>
      <c r="DJ991" s="14" t="s">
        <v>19632</v>
      </c>
      <c r="DK991" s="15"/>
      <c r="DL991" s="15"/>
      <c r="DM991" s="15"/>
      <c r="DN991" s="15"/>
      <c r="DO991" s="15"/>
      <c r="DP991" s="15"/>
      <c r="DQ991" s="15"/>
      <c r="DR991" s="15"/>
      <c r="DS991" s="15"/>
      <c r="DT991" s="15"/>
      <c r="DU991" s="15"/>
      <c r="DV991" s="15"/>
      <c r="DW991" s="15"/>
      <c r="DX991" s="15"/>
      <c r="DY991" s="15"/>
      <c r="DZ991" s="15"/>
      <c r="EA991" s="15"/>
      <c r="EB991" s="15"/>
      <c r="EC991" s="16" t="s">
        <v>197</v>
      </c>
      <c r="ED991" s="17" t="s">
        <v>198</v>
      </c>
      <c r="EE991" s="18">
        <v>45719.45746527778</v>
      </c>
      <c r="EF991" s="13" t="s">
        <v>209</v>
      </c>
      <c r="EG991" s="14" t="s">
        <v>179</v>
      </c>
      <c r="EH991" s="14" t="s">
        <v>19633</v>
      </c>
      <c r="EI991" s="15"/>
      <c r="EJ991" s="15"/>
      <c r="EK991" s="15"/>
      <c r="EL991" s="15"/>
      <c r="EM991" s="15"/>
      <c r="EN991" s="15"/>
      <c r="EO991" s="15"/>
      <c r="EP991" s="15"/>
      <c r="EQ991" s="15"/>
      <c r="ER991" s="15"/>
      <c r="ES991" s="15"/>
      <c r="ET991" s="15"/>
      <c r="EU991" s="15"/>
      <c r="EV991" s="15"/>
      <c r="EW991" s="15"/>
      <c r="EX991" s="15"/>
      <c r="EY991" s="15"/>
      <c r="EZ991" s="15"/>
      <c r="FA991" s="15"/>
      <c r="FB991" s="15"/>
      <c r="FC991" s="16" t="s">
        <v>197</v>
      </c>
      <c r="FD991" s="17" t="s">
        <v>198</v>
      </c>
      <c r="FE991" s="18">
        <v>45723.37918981481</v>
      </c>
      <c r="FF991" s="19"/>
      <c r="FG991" s="19"/>
      <c r="FH991" s="21" t="s">
        <v>197</v>
      </c>
      <c r="FI991" s="17" t="s">
        <v>214</v>
      </c>
      <c r="FJ991" s="18">
        <v>45723.37918981481</v>
      </c>
      <c r="FK991" s="14" t="s">
        <v>19633</v>
      </c>
      <c r="FL991" s="14" t="s">
        <v>19634</v>
      </c>
      <c r="FM991" s="14" t="s">
        <v>19635</v>
      </c>
      <c r="FN991" s="19"/>
      <c r="FO991" s="19"/>
      <c r="FP991" s="19" t="str">
        <f t="shared" si="1"/>
        <v>Base de Dados_Images/XV30007.Imagem do Equipamento-.145730.jpg</v>
      </c>
      <c r="FQ991" s="19"/>
      <c r="FR991" s="19"/>
    </row>
    <row r="992" ht="15.75" customHeight="1">
      <c r="A992" s="12" t="s">
        <v>292</v>
      </c>
      <c r="B992" s="12" t="s">
        <v>374</v>
      </c>
      <c r="C992" s="12" t="s">
        <v>219</v>
      </c>
      <c r="D992" s="22" t="s">
        <v>19636</v>
      </c>
      <c r="E992" s="22" t="s">
        <v>19637</v>
      </c>
      <c r="F992" s="13" t="s">
        <v>178</v>
      </c>
      <c r="G992" s="14" t="s">
        <v>179</v>
      </c>
      <c r="H992" s="14" t="s">
        <v>19638</v>
      </c>
      <c r="I992" s="14" t="s">
        <v>179</v>
      </c>
      <c r="J992" s="14" t="s">
        <v>19639</v>
      </c>
      <c r="K992" s="14" t="s">
        <v>179</v>
      </c>
      <c r="L992" s="14" t="s">
        <v>19640</v>
      </c>
      <c r="M992" s="14" t="s">
        <v>179</v>
      </c>
      <c r="N992" s="14" t="s">
        <v>19641</v>
      </c>
      <c r="O992" s="14" t="s">
        <v>179</v>
      </c>
      <c r="P992" s="14" t="s">
        <v>19642</v>
      </c>
      <c r="Q992" s="14" t="s">
        <v>179</v>
      </c>
      <c r="R992" s="14" t="s">
        <v>19643</v>
      </c>
      <c r="S992" s="14" t="s">
        <v>179</v>
      </c>
      <c r="T992" s="14" t="s">
        <v>19644</v>
      </c>
      <c r="U992" s="14" t="s">
        <v>179</v>
      </c>
      <c r="V992" s="14" t="s">
        <v>19645</v>
      </c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6" t="s">
        <v>197</v>
      </c>
      <c r="BP992" s="17" t="s">
        <v>228</v>
      </c>
      <c r="BQ992" s="23"/>
      <c r="BR992" s="17" t="s">
        <v>198</v>
      </c>
      <c r="BS992" s="18">
        <v>45687.49890046296</v>
      </c>
      <c r="BT992" s="17" t="s">
        <v>198</v>
      </c>
      <c r="BU992" s="18">
        <v>45687.49890046296</v>
      </c>
      <c r="BV992" s="13" t="s">
        <v>199</v>
      </c>
      <c r="BW992" s="14" t="s">
        <v>179</v>
      </c>
      <c r="BX992" s="14" t="s">
        <v>19646</v>
      </c>
      <c r="BY992" s="14" t="s">
        <v>179</v>
      </c>
      <c r="BZ992" s="14" t="s">
        <v>19647</v>
      </c>
      <c r="CA992" s="15"/>
      <c r="CB992" s="15"/>
      <c r="CC992" s="15"/>
      <c r="CD992" s="15"/>
      <c r="CE992" s="15"/>
      <c r="CF992" s="15"/>
      <c r="CG992" s="19"/>
      <c r="CH992" s="15"/>
      <c r="CI992" s="19"/>
      <c r="CJ992" s="15"/>
      <c r="CK992" s="19"/>
      <c r="CL992" s="15"/>
      <c r="CM992" s="19"/>
      <c r="CN992" s="15"/>
      <c r="CO992" s="19"/>
      <c r="CP992" s="15"/>
      <c r="CQ992" s="15"/>
      <c r="CR992" s="15"/>
      <c r="CS992" s="19"/>
      <c r="CT992" s="15"/>
      <c r="CU992" s="19"/>
      <c r="CV992" s="15"/>
      <c r="CW992" s="19"/>
      <c r="CX992" s="15"/>
      <c r="CY992" s="19"/>
      <c r="CZ992" s="15"/>
      <c r="DA992" s="16" t="s">
        <v>197</v>
      </c>
      <c r="DB992" s="17" t="s">
        <v>228</v>
      </c>
      <c r="DC992" s="16"/>
      <c r="DD992" s="17" t="s">
        <v>198</v>
      </c>
      <c r="DE992" s="18">
        <v>45719.45752314815</v>
      </c>
      <c r="DF992" s="17" t="s">
        <v>198</v>
      </c>
      <c r="DG992" s="18">
        <v>45719.45752314815</v>
      </c>
      <c r="DH992" s="13" t="s">
        <v>205</v>
      </c>
      <c r="DI992" s="14" t="s">
        <v>179</v>
      </c>
      <c r="DJ992" s="14" t="s">
        <v>19648</v>
      </c>
      <c r="DK992" s="15"/>
      <c r="DL992" s="15"/>
      <c r="DM992" s="15"/>
      <c r="DN992" s="15"/>
      <c r="DO992" s="15"/>
      <c r="DP992" s="15"/>
      <c r="DQ992" s="15"/>
      <c r="DR992" s="15"/>
      <c r="DS992" s="15"/>
      <c r="DT992" s="15"/>
      <c r="DU992" s="15"/>
      <c r="DV992" s="15"/>
      <c r="DW992" s="15"/>
      <c r="DX992" s="15"/>
      <c r="DY992" s="15"/>
      <c r="DZ992" s="15"/>
      <c r="EA992" s="15"/>
      <c r="EB992" s="15"/>
      <c r="EC992" s="16" t="s">
        <v>197</v>
      </c>
      <c r="ED992" s="17" t="s">
        <v>198</v>
      </c>
      <c r="EE992" s="18">
        <v>45719.45756944444</v>
      </c>
      <c r="EF992" s="13" t="s">
        <v>209</v>
      </c>
      <c r="EG992" s="14" t="s">
        <v>179</v>
      </c>
      <c r="EH992" s="14" t="s">
        <v>19649</v>
      </c>
      <c r="EI992" s="15"/>
      <c r="EJ992" s="15"/>
      <c r="EK992" s="15"/>
      <c r="EL992" s="15"/>
      <c r="EM992" s="15"/>
      <c r="EN992" s="15"/>
      <c r="EO992" s="15"/>
      <c r="EP992" s="15"/>
      <c r="EQ992" s="15"/>
      <c r="ER992" s="15"/>
      <c r="ES992" s="15"/>
      <c r="ET992" s="15"/>
      <c r="EU992" s="15"/>
      <c r="EV992" s="15"/>
      <c r="EW992" s="15"/>
      <c r="EX992" s="15"/>
      <c r="EY992" s="15"/>
      <c r="EZ992" s="15"/>
      <c r="FA992" s="15"/>
      <c r="FB992" s="15"/>
      <c r="FC992" s="16" t="s">
        <v>197</v>
      </c>
      <c r="FD992" s="17" t="s">
        <v>198</v>
      </c>
      <c r="FE992" s="18">
        <v>45723.37924768519</v>
      </c>
      <c r="FF992" s="19"/>
      <c r="FG992" s="19"/>
      <c r="FH992" s="21" t="s">
        <v>197</v>
      </c>
      <c r="FI992" s="17" t="s">
        <v>214</v>
      </c>
      <c r="FJ992" s="18">
        <v>45723.37924768519</v>
      </c>
      <c r="FK992" s="14" t="s">
        <v>19649</v>
      </c>
      <c r="FL992" s="14" t="s">
        <v>19650</v>
      </c>
      <c r="FM992" s="14" t="s">
        <v>19651</v>
      </c>
      <c r="FN992" s="19"/>
      <c r="FO992" s="19"/>
      <c r="FP992" s="19" t="str">
        <f t="shared" si="1"/>
        <v>Base de Dados_Images/XV30008.Imagem do Equipamento-.145824.jpg</v>
      </c>
      <c r="FQ992" s="19"/>
      <c r="FR992" s="19"/>
    </row>
    <row r="993" ht="15.75" customHeight="1">
      <c r="A993" s="25" t="s">
        <v>292</v>
      </c>
      <c r="B993" s="25" t="s">
        <v>11020</v>
      </c>
      <c r="C993" s="26" t="s">
        <v>219</v>
      </c>
      <c r="D993" s="25" t="s">
        <v>19652</v>
      </c>
      <c r="E993" s="25" t="s">
        <v>19653</v>
      </c>
      <c r="F993" s="27" t="s">
        <v>178</v>
      </c>
      <c r="G993" s="14" t="s">
        <v>179</v>
      </c>
      <c r="H993" s="14" t="s">
        <v>19654</v>
      </c>
      <c r="I993" s="14" t="s">
        <v>179</v>
      </c>
      <c r="J993" s="14" t="s">
        <v>19655</v>
      </c>
      <c r="K993" s="14" t="s">
        <v>179</v>
      </c>
      <c r="L993" s="14" t="s">
        <v>19656</v>
      </c>
      <c r="M993" s="14" t="s">
        <v>179</v>
      </c>
      <c r="N993" s="14" t="s">
        <v>19657</v>
      </c>
      <c r="O993" s="14" t="s">
        <v>179</v>
      </c>
      <c r="P993" s="14" t="s">
        <v>19658</v>
      </c>
      <c r="Q993" s="14" t="s">
        <v>179</v>
      </c>
      <c r="R993" s="14" t="s">
        <v>19659</v>
      </c>
      <c r="S993" s="14" t="s">
        <v>179</v>
      </c>
      <c r="T993" s="14" t="s">
        <v>19660</v>
      </c>
      <c r="U993" s="14" t="s">
        <v>179</v>
      </c>
      <c r="V993" s="14" t="s">
        <v>19661</v>
      </c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7" t="s">
        <v>197</v>
      </c>
      <c r="BP993" s="17" t="s">
        <v>228</v>
      </c>
      <c r="BQ993" s="18"/>
      <c r="BR993" s="17" t="s">
        <v>198</v>
      </c>
      <c r="BS993" s="18">
        <v>45702.44552083333</v>
      </c>
      <c r="BT993" s="17" t="s">
        <v>198</v>
      </c>
      <c r="BU993" s="18">
        <v>45702.44552083333</v>
      </c>
      <c r="BV993" s="27" t="s">
        <v>199</v>
      </c>
      <c r="BW993" s="14" t="s">
        <v>179</v>
      </c>
      <c r="BX993" s="14" t="s">
        <v>19662</v>
      </c>
      <c r="BY993" s="14" t="s">
        <v>179</v>
      </c>
      <c r="BZ993" s="14" t="s">
        <v>19663</v>
      </c>
      <c r="CA993" s="15"/>
      <c r="CB993" s="15"/>
      <c r="CC993" s="15"/>
      <c r="CD993" s="15"/>
      <c r="CE993" s="15"/>
      <c r="CF993" s="15"/>
      <c r="CG993" s="19"/>
      <c r="CH993" s="15"/>
      <c r="CI993" s="19"/>
      <c r="CJ993" s="15"/>
      <c r="CK993" s="19"/>
      <c r="CL993" s="15"/>
      <c r="CM993" s="19"/>
      <c r="CN993" s="15"/>
      <c r="CO993" s="19"/>
      <c r="CP993" s="15"/>
      <c r="CQ993" s="15"/>
      <c r="CR993" s="15"/>
      <c r="CS993" s="19"/>
      <c r="CT993" s="15"/>
      <c r="CU993" s="19"/>
      <c r="CV993" s="15"/>
      <c r="CW993" s="19"/>
      <c r="CX993" s="15"/>
      <c r="CY993" s="19"/>
      <c r="CZ993" s="15"/>
      <c r="DA993" s="17" t="s">
        <v>197</v>
      </c>
      <c r="DB993" s="17" t="s">
        <v>228</v>
      </c>
      <c r="DC993" s="16"/>
      <c r="DD993" s="17" t="s">
        <v>198</v>
      </c>
      <c r="DE993" s="18">
        <v>45702.448217592595</v>
      </c>
      <c r="DF993" s="17" t="s">
        <v>198</v>
      </c>
      <c r="DG993" s="18">
        <v>45702.448217592595</v>
      </c>
      <c r="DH993" s="27" t="s">
        <v>205</v>
      </c>
      <c r="DI993" s="14" t="s">
        <v>179</v>
      </c>
      <c r="DJ993" s="14" t="s">
        <v>19664</v>
      </c>
      <c r="DK993" s="15"/>
      <c r="DL993" s="15"/>
      <c r="DM993" s="15"/>
      <c r="DN993" s="15"/>
      <c r="DO993" s="15"/>
      <c r="DP993" s="15"/>
      <c r="DQ993" s="15"/>
      <c r="DR993" s="15"/>
      <c r="DS993" s="15"/>
      <c r="DT993" s="15"/>
      <c r="DU993" s="15"/>
      <c r="DV993" s="15"/>
      <c r="DW993" s="15"/>
      <c r="DX993" s="15"/>
      <c r="DY993" s="15"/>
      <c r="DZ993" s="15"/>
      <c r="EA993" s="15"/>
      <c r="EB993" s="15"/>
      <c r="EC993" s="17" t="s">
        <v>197</v>
      </c>
      <c r="ED993" s="17" t="s">
        <v>198</v>
      </c>
      <c r="EE993" s="18">
        <v>45719.475069444445</v>
      </c>
      <c r="EF993" s="27" t="s">
        <v>209</v>
      </c>
      <c r="EG993" s="14" t="s">
        <v>179</v>
      </c>
      <c r="EH993" s="14" t="s">
        <v>19665</v>
      </c>
      <c r="EI993" s="15"/>
      <c r="EJ993" s="15"/>
      <c r="EK993" s="15"/>
      <c r="EL993" s="15"/>
      <c r="EM993" s="15"/>
      <c r="EN993" s="15"/>
      <c r="EO993" s="15"/>
      <c r="EP993" s="15"/>
      <c r="EQ993" s="15"/>
      <c r="ER993" s="15"/>
      <c r="ES993" s="15"/>
      <c r="ET993" s="15"/>
      <c r="EU993" s="15"/>
      <c r="EV993" s="15"/>
      <c r="EW993" s="15"/>
      <c r="EX993" s="15"/>
      <c r="EY993" s="15"/>
      <c r="EZ993" s="15"/>
      <c r="FA993" s="15"/>
      <c r="FB993" s="15"/>
      <c r="FC993" s="17" t="s">
        <v>197</v>
      </c>
      <c r="FD993" s="17" t="s">
        <v>198</v>
      </c>
      <c r="FE993" s="18">
        <v>45723.29371527778</v>
      </c>
      <c r="FF993" s="19"/>
      <c r="FG993" s="19"/>
      <c r="FH993" s="17" t="s">
        <v>197</v>
      </c>
      <c r="FI993" s="17" t="s">
        <v>214</v>
      </c>
      <c r="FJ993" s="18">
        <v>45723.29371527778</v>
      </c>
      <c r="FK993" s="14" t="s">
        <v>19665</v>
      </c>
      <c r="FL993" s="14"/>
      <c r="FM993" s="14"/>
      <c r="FN993" s="19"/>
      <c r="FO993" s="19"/>
      <c r="FP993" s="19" t="str">
        <f t="shared" si="1"/>
        <v/>
      </c>
      <c r="FQ993" s="14" t="s">
        <v>215</v>
      </c>
      <c r="FR993" s="14" t="s">
        <v>19666</v>
      </c>
    </row>
    <row r="994" ht="15.75" customHeight="1">
      <c r="A994" s="12" t="s">
        <v>217</v>
      </c>
      <c r="B994" s="12" t="s">
        <v>7566</v>
      </c>
      <c r="C994" s="12" t="s">
        <v>219</v>
      </c>
      <c r="D994" s="22" t="s">
        <v>19667</v>
      </c>
      <c r="E994" s="22" t="s">
        <v>19668</v>
      </c>
      <c r="F994" s="13" t="s">
        <v>178</v>
      </c>
      <c r="G994" s="14" t="s">
        <v>179</v>
      </c>
      <c r="H994" s="14" t="s">
        <v>19669</v>
      </c>
      <c r="I994" s="14" t="s">
        <v>179</v>
      </c>
      <c r="J994" s="14" t="s">
        <v>19670</v>
      </c>
      <c r="K994" s="14" t="s">
        <v>179</v>
      </c>
      <c r="L994" s="14" t="s">
        <v>19671</v>
      </c>
      <c r="M994" s="14" t="s">
        <v>179</v>
      </c>
      <c r="N994" s="14" t="s">
        <v>19672</v>
      </c>
      <c r="O994" s="14" t="s">
        <v>179</v>
      </c>
      <c r="P994" s="14" t="s">
        <v>19673</v>
      </c>
      <c r="Q994" s="14" t="s">
        <v>179</v>
      </c>
      <c r="R994" s="14" t="s">
        <v>19674</v>
      </c>
      <c r="S994" s="14" t="s">
        <v>179</v>
      </c>
      <c r="T994" s="14" t="s">
        <v>19675</v>
      </c>
      <c r="U994" s="14" t="s">
        <v>179</v>
      </c>
      <c r="V994" s="14" t="s">
        <v>19676</v>
      </c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6" t="s">
        <v>197</v>
      </c>
      <c r="BP994" s="17" t="s">
        <v>228</v>
      </c>
      <c r="BQ994" s="23"/>
      <c r="BR994" s="17" t="s">
        <v>198</v>
      </c>
      <c r="BS994" s="18">
        <v>45686.386400462965</v>
      </c>
      <c r="BT994" s="17" t="s">
        <v>198</v>
      </c>
      <c r="BU994" s="18">
        <v>45686.386400462965</v>
      </c>
      <c r="BV994" s="13" t="s">
        <v>199</v>
      </c>
      <c r="BW994" s="14" t="s">
        <v>179</v>
      </c>
      <c r="BX994" s="14" t="s">
        <v>19677</v>
      </c>
      <c r="BY994" s="14" t="s">
        <v>179</v>
      </c>
      <c r="BZ994" s="14" t="s">
        <v>19678</v>
      </c>
      <c r="CA994" s="15"/>
      <c r="CB994" s="15"/>
      <c r="CC994" s="15"/>
      <c r="CD994" s="15"/>
      <c r="CE994" s="15"/>
      <c r="CF994" s="15"/>
      <c r="CG994" s="19"/>
      <c r="CH994" s="15"/>
      <c r="CI994" s="19"/>
      <c r="CJ994" s="15"/>
      <c r="CK994" s="19"/>
      <c r="CL994" s="15"/>
      <c r="CM994" s="19"/>
      <c r="CN994" s="15"/>
      <c r="CO994" s="19"/>
      <c r="CP994" s="15"/>
      <c r="CQ994" s="15"/>
      <c r="CR994" s="15"/>
      <c r="CS994" s="19"/>
      <c r="CT994" s="15"/>
      <c r="CU994" s="19"/>
      <c r="CV994" s="15"/>
      <c r="CW994" s="19"/>
      <c r="CX994" s="15"/>
      <c r="CY994" s="19"/>
      <c r="CZ994" s="15"/>
      <c r="DA994" s="16" t="s">
        <v>197</v>
      </c>
      <c r="DB994" s="17" t="s">
        <v>228</v>
      </c>
      <c r="DC994" s="16"/>
      <c r="DD994" s="17" t="s">
        <v>198</v>
      </c>
      <c r="DE994" s="18">
        <v>45686.38648148148</v>
      </c>
      <c r="DF994" s="17" t="s">
        <v>198</v>
      </c>
      <c r="DG994" s="18">
        <v>45686.38648148148</v>
      </c>
      <c r="DH994" s="13" t="s">
        <v>205</v>
      </c>
      <c r="DI994" s="14" t="s">
        <v>179</v>
      </c>
      <c r="DJ994" s="14" t="s">
        <v>19679</v>
      </c>
      <c r="DK994" s="15"/>
      <c r="DL994" s="15"/>
      <c r="DM994" s="15"/>
      <c r="DN994" s="15"/>
      <c r="DO994" s="15"/>
      <c r="DP994" s="15"/>
      <c r="DQ994" s="15"/>
      <c r="DR994" s="15"/>
      <c r="DS994" s="15"/>
      <c r="DT994" s="15"/>
      <c r="DU994" s="15"/>
      <c r="DV994" s="15"/>
      <c r="DW994" s="15"/>
      <c r="DX994" s="15"/>
      <c r="DY994" s="15"/>
      <c r="DZ994" s="15"/>
      <c r="EA994" s="15"/>
      <c r="EB994" s="15"/>
      <c r="EC994" s="16" t="s">
        <v>197</v>
      </c>
      <c r="ED994" s="17" t="s">
        <v>198</v>
      </c>
      <c r="EE994" s="18">
        <v>45699.38555555556</v>
      </c>
      <c r="EF994" s="13" t="s">
        <v>209</v>
      </c>
      <c r="EG994" s="14" t="s">
        <v>179</v>
      </c>
      <c r="EH994" s="14" t="s">
        <v>19680</v>
      </c>
      <c r="EI994" s="15"/>
      <c r="EJ994" s="15"/>
      <c r="EK994" s="15"/>
      <c r="EL994" s="15"/>
      <c r="EM994" s="15"/>
      <c r="EN994" s="15"/>
      <c r="EO994" s="15"/>
      <c r="EP994" s="15"/>
      <c r="EQ994" s="15"/>
      <c r="ER994" s="15"/>
      <c r="ES994" s="15"/>
      <c r="ET994" s="15"/>
      <c r="EU994" s="15"/>
      <c r="EV994" s="15"/>
      <c r="EW994" s="15"/>
      <c r="EX994" s="15"/>
      <c r="EY994" s="15"/>
      <c r="EZ994" s="15"/>
      <c r="FA994" s="15"/>
      <c r="FB994" s="15"/>
      <c r="FC994" s="16" t="s">
        <v>197</v>
      </c>
      <c r="FD994" s="17" t="s">
        <v>198</v>
      </c>
      <c r="FE994" s="18">
        <v>45723.34349537037</v>
      </c>
      <c r="FF994" s="19"/>
      <c r="FG994" s="19"/>
      <c r="FH994" s="21" t="s">
        <v>197</v>
      </c>
      <c r="FI994" s="17" t="s">
        <v>214</v>
      </c>
      <c r="FJ994" s="18">
        <v>45723.34349537037</v>
      </c>
      <c r="FK994" s="14" t="s">
        <v>19680</v>
      </c>
      <c r="FL994" s="14" t="s">
        <v>19681</v>
      </c>
      <c r="FM994" s="14" t="s">
        <v>19682</v>
      </c>
      <c r="FN994" s="19"/>
      <c r="FO994" s="19"/>
      <c r="FP994" s="19" t="str">
        <f t="shared" si="1"/>
        <v>Base de Dados_Images/XV40001.Imagem do Equipamento-.155240.jpg</v>
      </c>
      <c r="FQ994" s="19"/>
      <c r="FR994" s="19"/>
    </row>
    <row r="995" ht="15.75" customHeight="1">
      <c r="A995" s="12" t="s">
        <v>217</v>
      </c>
      <c r="B995" s="12" t="s">
        <v>7566</v>
      </c>
      <c r="C995" s="12" t="s">
        <v>219</v>
      </c>
      <c r="D995" s="22" t="s">
        <v>19683</v>
      </c>
      <c r="E995" s="22" t="s">
        <v>19684</v>
      </c>
      <c r="F995" s="13" t="s">
        <v>178</v>
      </c>
      <c r="G995" s="14" t="s">
        <v>179</v>
      </c>
      <c r="H995" s="14" t="s">
        <v>19685</v>
      </c>
      <c r="I995" s="14" t="s">
        <v>179</v>
      </c>
      <c r="J995" s="14" t="s">
        <v>19685</v>
      </c>
      <c r="K995" s="14" t="s">
        <v>179</v>
      </c>
      <c r="L995" s="14" t="s">
        <v>19686</v>
      </c>
      <c r="M995" s="14" t="s">
        <v>179</v>
      </c>
      <c r="N995" s="14" t="s">
        <v>19687</v>
      </c>
      <c r="O995" s="14" t="s">
        <v>179</v>
      </c>
      <c r="P995" s="14" t="s">
        <v>19688</v>
      </c>
      <c r="Q995" s="14" t="s">
        <v>179</v>
      </c>
      <c r="R995" s="14" t="s">
        <v>19688</v>
      </c>
      <c r="S995" s="14" t="s">
        <v>179</v>
      </c>
      <c r="T995" s="14" t="s">
        <v>19689</v>
      </c>
      <c r="U995" s="14" t="s">
        <v>179</v>
      </c>
      <c r="V995" s="14" t="s">
        <v>19690</v>
      </c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6" t="s">
        <v>197</v>
      </c>
      <c r="BP995" s="17" t="s">
        <v>228</v>
      </c>
      <c r="BQ995" s="23"/>
      <c r="BR995" s="17" t="s">
        <v>198</v>
      </c>
      <c r="BS995" s="18">
        <v>45686.38748842593</v>
      </c>
      <c r="BT995" s="17" t="s">
        <v>198</v>
      </c>
      <c r="BU995" s="18">
        <v>45686.38748842593</v>
      </c>
      <c r="BV995" s="13" t="s">
        <v>199</v>
      </c>
      <c r="BW995" s="14" t="s">
        <v>179</v>
      </c>
      <c r="BX995" s="14" t="s">
        <v>19691</v>
      </c>
      <c r="BY995" s="14" t="s">
        <v>179</v>
      </c>
      <c r="BZ995" s="14" t="s">
        <v>19692</v>
      </c>
      <c r="CA995" s="15"/>
      <c r="CB995" s="15"/>
      <c r="CC995" s="15"/>
      <c r="CD995" s="15"/>
      <c r="CE995" s="15"/>
      <c r="CF995" s="15"/>
      <c r="CG995" s="19"/>
      <c r="CH995" s="15"/>
      <c r="CI995" s="19"/>
      <c r="CJ995" s="15"/>
      <c r="CK995" s="19"/>
      <c r="CL995" s="15"/>
      <c r="CM995" s="19"/>
      <c r="CN995" s="15"/>
      <c r="CO995" s="19"/>
      <c r="CP995" s="15"/>
      <c r="CQ995" s="15"/>
      <c r="CR995" s="15"/>
      <c r="CS995" s="19"/>
      <c r="CT995" s="15"/>
      <c r="CU995" s="19"/>
      <c r="CV995" s="15"/>
      <c r="CW995" s="19"/>
      <c r="CX995" s="15"/>
      <c r="CY995" s="19"/>
      <c r="CZ995" s="15"/>
      <c r="DA995" s="16" t="s">
        <v>197</v>
      </c>
      <c r="DB995" s="17" t="s">
        <v>228</v>
      </c>
      <c r="DC995" s="16"/>
      <c r="DD995" s="17" t="s">
        <v>198</v>
      </c>
      <c r="DE995" s="18">
        <v>45686.38758101852</v>
      </c>
      <c r="DF995" s="17" t="s">
        <v>198</v>
      </c>
      <c r="DG995" s="18">
        <v>45686.38758101852</v>
      </c>
      <c r="DH995" s="13" t="s">
        <v>205</v>
      </c>
      <c r="DI995" s="14" t="s">
        <v>179</v>
      </c>
      <c r="DJ995" s="14" t="s">
        <v>19693</v>
      </c>
      <c r="DK995" s="15"/>
      <c r="DL995" s="15"/>
      <c r="DM995" s="15"/>
      <c r="DN995" s="15"/>
      <c r="DO995" s="15"/>
      <c r="DP995" s="15"/>
      <c r="DQ995" s="15"/>
      <c r="DR995" s="15"/>
      <c r="DS995" s="15"/>
      <c r="DT995" s="15"/>
      <c r="DU995" s="15"/>
      <c r="DV995" s="15"/>
      <c r="DW995" s="15"/>
      <c r="DX995" s="15"/>
      <c r="DY995" s="15"/>
      <c r="DZ995" s="15"/>
      <c r="EA995" s="15"/>
      <c r="EB995" s="15"/>
      <c r="EC995" s="16" t="s">
        <v>197</v>
      </c>
      <c r="ED995" s="17" t="s">
        <v>198</v>
      </c>
      <c r="EE995" s="18">
        <v>45699.38594907407</v>
      </c>
      <c r="EF995" s="13" t="s">
        <v>209</v>
      </c>
      <c r="EG995" s="14" t="s">
        <v>179</v>
      </c>
      <c r="EH995" s="14" t="s">
        <v>19694</v>
      </c>
      <c r="EI995" s="15"/>
      <c r="EJ995" s="15"/>
      <c r="EK995" s="15"/>
      <c r="EL995" s="15"/>
      <c r="EM995" s="15"/>
      <c r="EN995" s="15"/>
      <c r="EO995" s="15"/>
      <c r="EP995" s="15"/>
      <c r="EQ995" s="15"/>
      <c r="ER995" s="15"/>
      <c r="ES995" s="15"/>
      <c r="ET995" s="15"/>
      <c r="EU995" s="15"/>
      <c r="EV995" s="15"/>
      <c r="EW995" s="15"/>
      <c r="EX995" s="15"/>
      <c r="EY995" s="15"/>
      <c r="EZ995" s="15"/>
      <c r="FA995" s="15"/>
      <c r="FB995" s="15"/>
      <c r="FC995" s="16" t="s">
        <v>197</v>
      </c>
      <c r="FD995" s="17" t="s">
        <v>198</v>
      </c>
      <c r="FE995" s="18">
        <v>45723.34355324074</v>
      </c>
      <c r="FF995" s="19"/>
      <c r="FG995" s="19"/>
      <c r="FH995" s="21" t="s">
        <v>197</v>
      </c>
      <c r="FI995" s="17" t="s">
        <v>214</v>
      </c>
      <c r="FJ995" s="18">
        <v>45723.34355324074</v>
      </c>
      <c r="FK995" s="14" t="s">
        <v>19694</v>
      </c>
      <c r="FL995" s="14" t="s">
        <v>19695</v>
      </c>
      <c r="FM995" s="14" t="s">
        <v>19696</v>
      </c>
      <c r="FN995" s="19"/>
      <c r="FO995" s="19"/>
      <c r="FP995" s="19" t="str">
        <f t="shared" si="1"/>
        <v>Base de Dados_Images/XV40002.Imagem do Equipamento-.164229.jpg</v>
      </c>
      <c r="FQ995" s="19"/>
      <c r="FR995" s="19"/>
    </row>
    <row r="996" ht="15.75" customHeight="1">
      <c r="A996" s="12" t="s">
        <v>217</v>
      </c>
      <c r="B996" s="12" t="s">
        <v>7566</v>
      </c>
      <c r="C996" s="12" t="s">
        <v>219</v>
      </c>
      <c r="D996" s="22" t="s">
        <v>19697</v>
      </c>
      <c r="E996" s="22" t="s">
        <v>19698</v>
      </c>
      <c r="F996" s="13" t="s">
        <v>178</v>
      </c>
      <c r="G996" s="14" t="s">
        <v>179</v>
      </c>
      <c r="H996" s="14" t="s">
        <v>19699</v>
      </c>
      <c r="I996" s="14" t="s">
        <v>179</v>
      </c>
      <c r="J996" s="14" t="s">
        <v>19700</v>
      </c>
      <c r="K996" s="14" t="s">
        <v>179</v>
      </c>
      <c r="L996" s="14" t="s">
        <v>19701</v>
      </c>
      <c r="M996" s="14" t="s">
        <v>179</v>
      </c>
      <c r="N996" s="14" t="s">
        <v>19702</v>
      </c>
      <c r="O996" s="14" t="s">
        <v>179</v>
      </c>
      <c r="P996" s="14" t="s">
        <v>19703</v>
      </c>
      <c r="Q996" s="14" t="s">
        <v>179</v>
      </c>
      <c r="R996" s="14" t="s">
        <v>19704</v>
      </c>
      <c r="S996" s="14" t="s">
        <v>179</v>
      </c>
      <c r="T996" s="14" t="s">
        <v>19705</v>
      </c>
      <c r="U996" s="14" t="s">
        <v>179</v>
      </c>
      <c r="V996" s="14" t="s">
        <v>19706</v>
      </c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6" t="s">
        <v>197</v>
      </c>
      <c r="BP996" s="17" t="s">
        <v>228</v>
      </c>
      <c r="BQ996" s="23"/>
      <c r="BR996" s="17" t="s">
        <v>198</v>
      </c>
      <c r="BS996" s="18">
        <v>45686.38799768518</v>
      </c>
      <c r="BT996" s="17" t="s">
        <v>198</v>
      </c>
      <c r="BU996" s="18">
        <v>45686.38799768518</v>
      </c>
      <c r="BV996" s="13" t="s">
        <v>199</v>
      </c>
      <c r="BW996" s="14" t="s">
        <v>179</v>
      </c>
      <c r="BX996" s="14" t="s">
        <v>19707</v>
      </c>
      <c r="BY996" s="14" t="s">
        <v>179</v>
      </c>
      <c r="BZ996" s="14" t="s">
        <v>19708</v>
      </c>
      <c r="CA996" s="15"/>
      <c r="CB996" s="15"/>
      <c r="CC996" s="15"/>
      <c r="CD996" s="15"/>
      <c r="CE996" s="15"/>
      <c r="CF996" s="15"/>
      <c r="CG996" s="19"/>
      <c r="CH996" s="15"/>
      <c r="CI996" s="19"/>
      <c r="CJ996" s="15"/>
      <c r="CK996" s="19"/>
      <c r="CL996" s="15"/>
      <c r="CM996" s="19"/>
      <c r="CN996" s="15"/>
      <c r="CO996" s="19"/>
      <c r="CP996" s="15"/>
      <c r="CQ996" s="15"/>
      <c r="CR996" s="15"/>
      <c r="CS996" s="19"/>
      <c r="CT996" s="15"/>
      <c r="CU996" s="19"/>
      <c r="CV996" s="15"/>
      <c r="CW996" s="19"/>
      <c r="CX996" s="15"/>
      <c r="CY996" s="19"/>
      <c r="CZ996" s="15"/>
      <c r="DA996" s="16" t="s">
        <v>197</v>
      </c>
      <c r="DB996" s="17" t="s">
        <v>228</v>
      </c>
      <c r="DC996" s="16"/>
      <c r="DD996" s="17" t="s">
        <v>198</v>
      </c>
      <c r="DE996" s="18">
        <v>45686.388078703705</v>
      </c>
      <c r="DF996" s="17" t="s">
        <v>198</v>
      </c>
      <c r="DG996" s="18">
        <v>45686.388078703705</v>
      </c>
      <c r="DH996" s="13" t="s">
        <v>205</v>
      </c>
      <c r="DI996" s="14" t="s">
        <v>179</v>
      </c>
      <c r="DJ996" s="14" t="s">
        <v>19709</v>
      </c>
      <c r="DK996" s="15"/>
      <c r="DL996" s="15"/>
      <c r="DM996" s="15"/>
      <c r="DN996" s="15"/>
      <c r="DO996" s="15"/>
      <c r="DP996" s="15"/>
      <c r="DQ996" s="15"/>
      <c r="DR996" s="15"/>
      <c r="DS996" s="15"/>
      <c r="DT996" s="15"/>
      <c r="DU996" s="15"/>
      <c r="DV996" s="15"/>
      <c r="DW996" s="15"/>
      <c r="DX996" s="15"/>
      <c r="DY996" s="15"/>
      <c r="DZ996" s="15"/>
      <c r="EA996" s="15"/>
      <c r="EB996" s="15"/>
      <c r="EC996" s="16" t="s">
        <v>197</v>
      </c>
      <c r="ED996" s="17" t="s">
        <v>198</v>
      </c>
      <c r="EE996" s="18">
        <v>45699.38625</v>
      </c>
      <c r="EF996" s="13" t="s">
        <v>209</v>
      </c>
      <c r="EG996" s="14" t="s">
        <v>179</v>
      </c>
      <c r="EH996" s="14" t="s">
        <v>19710</v>
      </c>
      <c r="EI996" s="15"/>
      <c r="EJ996" s="15"/>
      <c r="EK996" s="15"/>
      <c r="EL996" s="15"/>
      <c r="EM996" s="15"/>
      <c r="EN996" s="15"/>
      <c r="EO996" s="15"/>
      <c r="EP996" s="15"/>
      <c r="EQ996" s="15"/>
      <c r="ER996" s="15"/>
      <c r="ES996" s="15"/>
      <c r="ET996" s="15"/>
      <c r="EU996" s="15"/>
      <c r="EV996" s="15"/>
      <c r="EW996" s="15"/>
      <c r="EX996" s="15"/>
      <c r="EY996" s="15"/>
      <c r="EZ996" s="15"/>
      <c r="FA996" s="15"/>
      <c r="FB996" s="15"/>
      <c r="FC996" s="16" t="s">
        <v>197</v>
      </c>
      <c r="FD996" s="17" t="s">
        <v>198</v>
      </c>
      <c r="FE996" s="18">
        <v>45723.34363425926</v>
      </c>
      <c r="FF996" s="19"/>
      <c r="FG996" s="19"/>
      <c r="FH996" s="21" t="s">
        <v>197</v>
      </c>
      <c r="FI996" s="17" t="s">
        <v>214</v>
      </c>
      <c r="FJ996" s="18">
        <v>45723.34363425926</v>
      </c>
      <c r="FK996" s="14" t="s">
        <v>19710</v>
      </c>
      <c r="FL996" s="14" t="s">
        <v>19711</v>
      </c>
      <c r="FM996" s="14" t="s">
        <v>19712</v>
      </c>
      <c r="FN996" s="19"/>
      <c r="FO996" s="19"/>
      <c r="FP996" s="19" t="str">
        <f t="shared" si="1"/>
        <v>Base de Dados_Images/XV40003.Imagem do Equipamento-.164312.jpg</v>
      </c>
      <c r="FQ996" s="19"/>
      <c r="FR996" s="19"/>
    </row>
    <row r="997" ht="15.75" customHeight="1">
      <c r="A997" s="12" t="s">
        <v>217</v>
      </c>
      <c r="B997" s="12" t="s">
        <v>7566</v>
      </c>
      <c r="C997" s="12" t="s">
        <v>219</v>
      </c>
      <c r="D997" s="22" t="s">
        <v>19713</v>
      </c>
      <c r="E997" s="22" t="s">
        <v>19714</v>
      </c>
      <c r="F997" s="13" t="s">
        <v>178</v>
      </c>
      <c r="G997" s="14" t="s">
        <v>179</v>
      </c>
      <c r="H997" s="14" t="s">
        <v>19715</v>
      </c>
      <c r="I997" s="14" t="s">
        <v>179</v>
      </c>
      <c r="J997" s="14" t="s">
        <v>19716</v>
      </c>
      <c r="K997" s="14" t="s">
        <v>179</v>
      </c>
      <c r="L997" s="14" t="s">
        <v>19717</v>
      </c>
      <c r="M997" s="14" t="s">
        <v>179</v>
      </c>
      <c r="N997" s="14" t="s">
        <v>19718</v>
      </c>
      <c r="O997" s="14" t="s">
        <v>179</v>
      </c>
      <c r="P997" s="14" t="s">
        <v>19719</v>
      </c>
      <c r="Q997" s="14" t="s">
        <v>179</v>
      </c>
      <c r="R997" s="14" t="s">
        <v>19720</v>
      </c>
      <c r="S997" s="14" t="s">
        <v>179</v>
      </c>
      <c r="T997" s="14" t="s">
        <v>19721</v>
      </c>
      <c r="U997" s="14" t="s">
        <v>179</v>
      </c>
      <c r="V997" s="14" t="s">
        <v>19722</v>
      </c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6" t="s">
        <v>197</v>
      </c>
      <c r="BP997" s="17" t="s">
        <v>228</v>
      </c>
      <c r="BQ997" s="23"/>
      <c r="BR997" s="17" t="s">
        <v>198</v>
      </c>
      <c r="BS997" s="18">
        <v>45686.38861111111</v>
      </c>
      <c r="BT997" s="17" t="s">
        <v>198</v>
      </c>
      <c r="BU997" s="18">
        <v>45686.38861111111</v>
      </c>
      <c r="BV997" s="13" t="s">
        <v>199</v>
      </c>
      <c r="BW997" s="14" t="s">
        <v>179</v>
      </c>
      <c r="BX997" s="14" t="s">
        <v>19723</v>
      </c>
      <c r="BY997" s="14" t="s">
        <v>179</v>
      </c>
      <c r="BZ997" s="14" t="s">
        <v>19724</v>
      </c>
      <c r="CA997" s="15"/>
      <c r="CB997" s="15"/>
      <c r="CC997" s="15"/>
      <c r="CD997" s="15"/>
      <c r="CE997" s="15"/>
      <c r="CF997" s="15"/>
      <c r="CG997" s="19"/>
      <c r="CH997" s="15"/>
      <c r="CI997" s="19"/>
      <c r="CJ997" s="15"/>
      <c r="CK997" s="19"/>
      <c r="CL997" s="15"/>
      <c r="CM997" s="19"/>
      <c r="CN997" s="15"/>
      <c r="CO997" s="19"/>
      <c r="CP997" s="15"/>
      <c r="CQ997" s="15"/>
      <c r="CR997" s="15"/>
      <c r="CS997" s="19"/>
      <c r="CT997" s="15"/>
      <c r="CU997" s="19"/>
      <c r="CV997" s="15"/>
      <c r="CW997" s="19"/>
      <c r="CX997" s="15"/>
      <c r="CY997" s="19"/>
      <c r="CZ997" s="15"/>
      <c r="DA997" s="16" t="s">
        <v>197</v>
      </c>
      <c r="DB997" s="17" t="s">
        <v>228</v>
      </c>
      <c r="DC997" s="16"/>
      <c r="DD997" s="17" t="s">
        <v>198</v>
      </c>
      <c r="DE997" s="18">
        <v>45686.38869212963</v>
      </c>
      <c r="DF997" s="17" t="s">
        <v>198</v>
      </c>
      <c r="DG997" s="18">
        <v>45686.38869212963</v>
      </c>
      <c r="DH997" s="13" t="s">
        <v>205</v>
      </c>
      <c r="DI997" s="14" t="s">
        <v>179</v>
      </c>
      <c r="DJ997" s="14" t="s">
        <v>19725</v>
      </c>
      <c r="DK997" s="15"/>
      <c r="DL997" s="15"/>
      <c r="DM997" s="15"/>
      <c r="DN997" s="15"/>
      <c r="DO997" s="15"/>
      <c r="DP997" s="15"/>
      <c r="DQ997" s="15"/>
      <c r="DR997" s="15"/>
      <c r="DS997" s="15"/>
      <c r="DT997" s="15"/>
      <c r="DU997" s="15"/>
      <c r="DV997" s="15"/>
      <c r="DW997" s="15"/>
      <c r="DX997" s="15"/>
      <c r="DY997" s="15"/>
      <c r="DZ997" s="15"/>
      <c r="EA997" s="15"/>
      <c r="EB997" s="15"/>
      <c r="EC997" s="16" t="s">
        <v>197</v>
      </c>
      <c r="ED997" s="17" t="s">
        <v>198</v>
      </c>
      <c r="EE997" s="18">
        <v>45699.38638888889</v>
      </c>
      <c r="EF997" s="13" t="s">
        <v>209</v>
      </c>
      <c r="EG997" s="14" t="s">
        <v>179</v>
      </c>
      <c r="EH997" s="14" t="s">
        <v>19726</v>
      </c>
      <c r="EI997" s="15"/>
      <c r="EJ997" s="15"/>
      <c r="EK997" s="15"/>
      <c r="EL997" s="15"/>
      <c r="EM997" s="15"/>
      <c r="EN997" s="15"/>
      <c r="EO997" s="15"/>
      <c r="EP997" s="15"/>
      <c r="EQ997" s="15"/>
      <c r="ER997" s="15"/>
      <c r="ES997" s="15"/>
      <c r="ET997" s="15"/>
      <c r="EU997" s="15"/>
      <c r="EV997" s="15"/>
      <c r="EW997" s="15"/>
      <c r="EX997" s="15"/>
      <c r="EY997" s="15"/>
      <c r="EZ997" s="15"/>
      <c r="FA997" s="15"/>
      <c r="FB997" s="15"/>
      <c r="FC997" s="16" t="s">
        <v>197</v>
      </c>
      <c r="FD997" s="17" t="s">
        <v>198</v>
      </c>
      <c r="FE997" s="18">
        <v>45723.34369212963</v>
      </c>
      <c r="FF997" s="19"/>
      <c r="FG997" s="19"/>
      <c r="FH997" s="21" t="s">
        <v>197</v>
      </c>
      <c r="FI997" s="17" t="s">
        <v>214</v>
      </c>
      <c r="FJ997" s="18">
        <v>45723.34369212963</v>
      </c>
      <c r="FK997" s="14" t="s">
        <v>19726</v>
      </c>
      <c r="FL997" s="14" t="s">
        <v>19727</v>
      </c>
      <c r="FM997" s="14" t="s">
        <v>19728</v>
      </c>
      <c r="FN997" s="19"/>
      <c r="FO997" s="19"/>
      <c r="FP997" s="19" t="str">
        <f t="shared" si="1"/>
        <v>Base de Dados_Images/XV40004.Imagem do Equipamento-.164351.jpg</v>
      </c>
      <c r="FQ997" s="19"/>
      <c r="FR997" s="19"/>
    </row>
    <row r="998" ht="15.75" customHeight="1">
      <c r="A998" s="12" t="s">
        <v>217</v>
      </c>
      <c r="B998" s="12" t="s">
        <v>7566</v>
      </c>
      <c r="C998" s="12" t="s">
        <v>219</v>
      </c>
      <c r="D998" s="22" t="s">
        <v>19729</v>
      </c>
      <c r="E998" s="22" t="s">
        <v>19730</v>
      </c>
      <c r="F998" s="13" t="s">
        <v>178</v>
      </c>
      <c r="G998" s="14" t="s">
        <v>179</v>
      </c>
      <c r="H998" s="14" t="s">
        <v>19731</v>
      </c>
      <c r="I998" s="14" t="s">
        <v>179</v>
      </c>
      <c r="J998" s="14" t="s">
        <v>19732</v>
      </c>
      <c r="K998" s="14" t="s">
        <v>179</v>
      </c>
      <c r="L998" s="14" t="s">
        <v>19733</v>
      </c>
      <c r="M998" s="14" t="s">
        <v>179</v>
      </c>
      <c r="N998" s="14" t="s">
        <v>19734</v>
      </c>
      <c r="O998" s="14" t="s">
        <v>179</v>
      </c>
      <c r="P998" s="14" t="s">
        <v>19735</v>
      </c>
      <c r="Q998" s="14" t="s">
        <v>179</v>
      </c>
      <c r="R998" s="14" t="s">
        <v>19736</v>
      </c>
      <c r="S998" s="14" t="s">
        <v>179</v>
      </c>
      <c r="T998" s="14" t="s">
        <v>19737</v>
      </c>
      <c r="U998" s="14" t="s">
        <v>179</v>
      </c>
      <c r="V998" s="14" t="s">
        <v>19738</v>
      </c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6" t="s">
        <v>197</v>
      </c>
      <c r="BP998" s="17" t="s">
        <v>228</v>
      </c>
      <c r="BQ998" s="23"/>
      <c r="BR998" s="17" t="s">
        <v>198</v>
      </c>
      <c r="BS998" s="18">
        <v>45686.40175925926</v>
      </c>
      <c r="BT998" s="17" t="s">
        <v>198</v>
      </c>
      <c r="BU998" s="18">
        <v>45686.40175925926</v>
      </c>
      <c r="BV998" s="13" t="s">
        <v>199</v>
      </c>
      <c r="BW998" s="14" t="s">
        <v>179</v>
      </c>
      <c r="BX998" s="14" t="s">
        <v>19739</v>
      </c>
      <c r="BY998" s="14" t="s">
        <v>179</v>
      </c>
      <c r="BZ998" s="14" t="s">
        <v>19740</v>
      </c>
      <c r="CA998" s="15"/>
      <c r="CB998" s="15"/>
      <c r="CC998" s="15"/>
      <c r="CD998" s="15"/>
      <c r="CE998" s="15"/>
      <c r="CF998" s="15"/>
      <c r="CG998" s="19"/>
      <c r="CH998" s="15"/>
      <c r="CI998" s="19"/>
      <c r="CJ998" s="15"/>
      <c r="CK998" s="19"/>
      <c r="CL998" s="15"/>
      <c r="CM998" s="19"/>
      <c r="CN998" s="15"/>
      <c r="CO998" s="19"/>
      <c r="CP998" s="15"/>
      <c r="CQ998" s="15"/>
      <c r="CR998" s="15"/>
      <c r="CS998" s="19"/>
      <c r="CT998" s="15"/>
      <c r="CU998" s="19"/>
      <c r="CV998" s="15"/>
      <c r="CW998" s="19"/>
      <c r="CX998" s="15"/>
      <c r="CY998" s="19"/>
      <c r="CZ998" s="15"/>
      <c r="DA998" s="16" t="s">
        <v>197</v>
      </c>
      <c r="DB998" s="17" t="s">
        <v>228</v>
      </c>
      <c r="DC998" s="16"/>
      <c r="DD998" s="17" t="s">
        <v>198</v>
      </c>
      <c r="DE998" s="18">
        <v>45686.40186342593</v>
      </c>
      <c r="DF998" s="17" t="s">
        <v>198</v>
      </c>
      <c r="DG998" s="18">
        <v>45686.40186342593</v>
      </c>
      <c r="DH998" s="13" t="s">
        <v>205</v>
      </c>
      <c r="DI998" s="14" t="s">
        <v>179</v>
      </c>
      <c r="DJ998" s="14" t="s">
        <v>19741</v>
      </c>
      <c r="DK998" s="15"/>
      <c r="DL998" s="15"/>
      <c r="DM998" s="15"/>
      <c r="DN998" s="15"/>
      <c r="DO998" s="15"/>
      <c r="DP998" s="15"/>
      <c r="DQ998" s="15"/>
      <c r="DR998" s="15"/>
      <c r="DS998" s="15"/>
      <c r="DT998" s="15"/>
      <c r="DU998" s="15"/>
      <c r="DV998" s="15"/>
      <c r="DW998" s="15"/>
      <c r="DX998" s="15"/>
      <c r="DY998" s="15"/>
      <c r="DZ998" s="15"/>
      <c r="EA998" s="15"/>
      <c r="EB998" s="15"/>
      <c r="EC998" s="16" t="s">
        <v>197</v>
      </c>
      <c r="ED998" s="17" t="s">
        <v>198</v>
      </c>
      <c r="EE998" s="18">
        <v>45699.38655092593</v>
      </c>
      <c r="EF998" s="13" t="s">
        <v>209</v>
      </c>
      <c r="EG998" s="14" t="s">
        <v>179</v>
      </c>
      <c r="EH998" s="14" t="s">
        <v>19742</v>
      </c>
      <c r="EI998" s="15"/>
      <c r="EJ998" s="15"/>
      <c r="EK998" s="15"/>
      <c r="EL998" s="15"/>
      <c r="EM998" s="15"/>
      <c r="EN998" s="15"/>
      <c r="EO998" s="15"/>
      <c r="EP998" s="15"/>
      <c r="EQ998" s="15"/>
      <c r="ER998" s="15"/>
      <c r="ES998" s="15"/>
      <c r="ET998" s="15"/>
      <c r="EU998" s="15"/>
      <c r="EV998" s="15"/>
      <c r="EW998" s="15"/>
      <c r="EX998" s="15"/>
      <c r="EY998" s="15"/>
      <c r="EZ998" s="15"/>
      <c r="FA998" s="15"/>
      <c r="FB998" s="15"/>
      <c r="FC998" s="16" t="s">
        <v>197</v>
      </c>
      <c r="FD998" s="17" t="s">
        <v>198</v>
      </c>
      <c r="FE998" s="18">
        <v>45723.34376157408</v>
      </c>
      <c r="FF998" s="19"/>
      <c r="FG998" s="19"/>
      <c r="FH998" s="21" t="s">
        <v>197</v>
      </c>
      <c r="FI998" s="17" t="s">
        <v>214</v>
      </c>
      <c r="FJ998" s="18">
        <v>45723.34376157408</v>
      </c>
      <c r="FK998" s="14" t="s">
        <v>19742</v>
      </c>
      <c r="FL998" s="14" t="s">
        <v>19743</v>
      </c>
      <c r="FM998" s="14" t="s">
        <v>19744</v>
      </c>
      <c r="FN998" s="19"/>
      <c r="FO998" s="19"/>
      <c r="FP998" s="19" t="str">
        <f t="shared" si="1"/>
        <v>Base de Dados_Images/XV40005.Imagem do Equipamento-.164559.jpg</v>
      </c>
      <c r="FQ998" s="19"/>
      <c r="FR998" s="19"/>
    </row>
    <row r="999" ht="15.75" customHeight="1">
      <c r="A999" s="12" t="s">
        <v>217</v>
      </c>
      <c r="B999" s="12" t="s">
        <v>7566</v>
      </c>
      <c r="C999" s="12" t="s">
        <v>219</v>
      </c>
      <c r="D999" s="22" t="s">
        <v>19745</v>
      </c>
      <c r="E999" s="22" t="s">
        <v>19746</v>
      </c>
      <c r="F999" s="13" t="s">
        <v>178</v>
      </c>
      <c r="G999" s="14" t="s">
        <v>188</v>
      </c>
      <c r="H999" s="14" t="s">
        <v>19747</v>
      </c>
      <c r="I999" s="14" t="s">
        <v>179</v>
      </c>
      <c r="J999" s="14" t="s">
        <v>19748</v>
      </c>
      <c r="K999" s="14" t="s">
        <v>179</v>
      </c>
      <c r="L999" s="14" t="s">
        <v>19749</v>
      </c>
      <c r="M999" s="14" t="s">
        <v>179</v>
      </c>
      <c r="N999" s="14" t="s">
        <v>19750</v>
      </c>
      <c r="O999" s="14" t="s">
        <v>179</v>
      </c>
      <c r="P999" s="14" t="s">
        <v>19751</v>
      </c>
      <c r="Q999" s="14" t="s">
        <v>179</v>
      </c>
      <c r="R999" s="14" t="s">
        <v>19752</v>
      </c>
      <c r="S999" s="14" t="s">
        <v>179</v>
      </c>
      <c r="T999" s="14" t="s">
        <v>19753</v>
      </c>
      <c r="U999" s="14" t="s">
        <v>179</v>
      </c>
      <c r="V999" s="14" t="s">
        <v>19754</v>
      </c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6" t="s">
        <v>197</v>
      </c>
      <c r="BP999" s="17" t="s">
        <v>228</v>
      </c>
      <c r="BQ999" s="23"/>
      <c r="BR999" s="17" t="s">
        <v>198</v>
      </c>
      <c r="BS999" s="18">
        <v>45689.61414351852</v>
      </c>
      <c r="BT999" s="17" t="s">
        <v>198</v>
      </c>
      <c r="BU999" s="18">
        <v>45689.61414351852</v>
      </c>
      <c r="BV999" s="13" t="s">
        <v>199</v>
      </c>
      <c r="BW999" s="14" t="s">
        <v>179</v>
      </c>
      <c r="BX999" s="14" t="s">
        <v>19755</v>
      </c>
      <c r="BY999" s="14" t="s">
        <v>179</v>
      </c>
      <c r="BZ999" s="14" t="s">
        <v>19755</v>
      </c>
      <c r="CA999" s="15"/>
      <c r="CB999" s="15"/>
      <c r="CC999" s="15"/>
      <c r="CD999" s="15"/>
      <c r="CE999" s="15"/>
      <c r="CF999" s="15"/>
      <c r="CG999" s="19"/>
      <c r="CH999" s="15"/>
      <c r="CI999" s="19"/>
      <c r="CJ999" s="15"/>
      <c r="CK999" s="19"/>
      <c r="CL999" s="15"/>
      <c r="CM999" s="19"/>
      <c r="CN999" s="15"/>
      <c r="CO999" s="19"/>
      <c r="CP999" s="15"/>
      <c r="CQ999" s="15"/>
      <c r="CR999" s="15"/>
      <c r="CS999" s="19"/>
      <c r="CT999" s="15"/>
      <c r="CU999" s="19"/>
      <c r="CV999" s="15"/>
      <c r="CW999" s="19"/>
      <c r="CX999" s="15"/>
      <c r="CY999" s="19"/>
      <c r="CZ999" s="15"/>
      <c r="DA999" s="16" t="s">
        <v>197</v>
      </c>
      <c r="DB999" s="17" t="s">
        <v>228</v>
      </c>
      <c r="DC999" s="16"/>
      <c r="DD999" s="17" t="s">
        <v>198</v>
      </c>
      <c r="DE999" s="18">
        <v>45699.386875</v>
      </c>
      <c r="DF999" s="17" t="s">
        <v>198</v>
      </c>
      <c r="DG999" s="18">
        <v>45699.386875</v>
      </c>
      <c r="DH999" s="13" t="s">
        <v>205</v>
      </c>
      <c r="DI999" s="14" t="s">
        <v>179</v>
      </c>
      <c r="DJ999" s="14" t="s">
        <v>19756</v>
      </c>
      <c r="DK999" s="15"/>
      <c r="DL999" s="15"/>
      <c r="DM999" s="15"/>
      <c r="DN999" s="15"/>
      <c r="DO999" s="15"/>
      <c r="DP999" s="15"/>
      <c r="DQ999" s="15"/>
      <c r="DR999" s="15"/>
      <c r="DS999" s="15"/>
      <c r="DT999" s="15"/>
      <c r="DU999" s="15"/>
      <c r="DV999" s="15"/>
      <c r="DW999" s="15"/>
      <c r="DX999" s="15"/>
      <c r="DY999" s="15"/>
      <c r="DZ999" s="15"/>
      <c r="EA999" s="15"/>
      <c r="EB999" s="15"/>
      <c r="EC999" s="16" t="s">
        <v>197</v>
      </c>
      <c r="ED999" s="17" t="s">
        <v>198</v>
      </c>
      <c r="EE999" s="18">
        <v>45699.38694444444</v>
      </c>
      <c r="EF999" s="13" t="s">
        <v>209</v>
      </c>
      <c r="EG999" s="14" t="s">
        <v>179</v>
      </c>
      <c r="EH999" s="14" t="s">
        <v>19757</v>
      </c>
      <c r="EI999" s="15"/>
      <c r="EJ999" s="15"/>
      <c r="EK999" s="15"/>
      <c r="EL999" s="15"/>
      <c r="EM999" s="15"/>
      <c r="EN999" s="15"/>
      <c r="EO999" s="15"/>
      <c r="EP999" s="15"/>
      <c r="EQ999" s="15"/>
      <c r="ER999" s="15"/>
      <c r="ES999" s="15"/>
      <c r="ET999" s="15"/>
      <c r="EU999" s="15"/>
      <c r="EV999" s="15"/>
      <c r="EW999" s="15"/>
      <c r="EX999" s="15"/>
      <c r="EY999" s="15"/>
      <c r="EZ999" s="15"/>
      <c r="FA999" s="15"/>
      <c r="FB999" s="15"/>
      <c r="FC999" s="16" t="s">
        <v>197</v>
      </c>
      <c r="FD999" s="17" t="s">
        <v>198</v>
      </c>
      <c r="FE999" s="18">
        <v>45723.343819444446</v>
      </c>
      <c r="FF999" s="19"/>
      <c r="FG999" s="19"/>
      <c r="FH999" s="21" t="s">
        <v>197</v>
      </c>
      <c r="FI999" s="17" t="s">
        <v>214</v>
      </c>
      <c r="FJ999" s="18">
        <v>45723.343819444446</v>
      </c>
      <c r="FK999" s="14" t="s">
        <v>19757</v>
      </c>
      <c r="FL999" s="19"/>
      <c r="FM999" s="19"/>
      <c r="FN999" s="19"/>
      <c r="FO999" s="19"/>
      <c r="FP999" s="19" t="str">
        <f t="shared" si="1"/>
        <v/>
      </c>
      <c r="FQ999" s="14" t="s">
        <v>215</v>
      </c>
      <c r="FR999" s="14" t="s">
        <v>19758</v>
      </c>
    </row>
    <row r="1000" ht="15.75" customHeight="1">
      <c r="A1000" s="12" t="s">
        <v>217</v>
      </c>
      <c r="B1000" s="12" t="s">
        <v>7566</v>
      </c>
      <c r="C1000" s="12" t="s">
        <v>219</v>
      </c>
      <c r="D1000" s="22" t="s">
        <v>19759</v>
      </c>
      <c r="E1000" s="22" t="s">
        <v>19760</v>
      </c>
      <c r="F1000" s="13" t="s">
        <v>178</v>
      </c>
      <c r="G1000" s="14" t="s">
        <v>179</v>
      </c>
      <c r="H1000" s="14" t="s">
        <v>19761</v>
      </c>
      <c r="I1000" s="14" t="s">
        <v>179</v>
      </c>
      <c r="J1000" s="14" t="s">
        <v>19762</v>
      </c>
      <c r="K1000" s="14" t="s">
        <v>179</v>
      </c>
      <c r="L1000" s="14" t="s">
        <v>19763</v>
      </c>
      <c r="M1000" s="14" t="s">
        <v>179</v>
      </c>
      <c r="N1000" s="14" t="s">
        <v>19764</v>
      </c>
      <c r="O1000" s="14" t="s">
        <v>179</v>
      </c>
      <c r="P1000" s="14" t="s">
        <v>19765</v>
      </c>
      <c r="Q1000" s="14" t="s">
        <v>179</v>
      </c>
      <c r="R1000" s="14" t="s">
        <v>19766</v>
      </c>
      <c r="S1000" s="14" t="s">
        <v>179</v>
      </c>
      <c r="T1000" s="14" t="s">
        <v>19767</v>
      </c>
      <c r="U1000" s="14" t="s">
        <v>179</v>
      </c>
      <c r="V1000" s="14" t="s">
        <v>19768</v>
      </c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6" t="s">
        <v>197</v>
      </c>
      <c r="BP1000" s="17" t="s">
        <v>228</v>
      </c>
      <c r="BQ1000" s="23"/>
      <c r="BR1000" s="17" t="s">
        <v>198</v>
      </c>
      <c r="BS1000" s="18">
        <v>45699.38925925926</v>
      </c>
      <c r="BT1000" s="17" t="s">
        <v>198</v>
      </c>
      <c r="BU1000" s="18">
        <v>45699.38925925926</v>
      </c>
      <c r="BV1000" s="13" t="s">
        <v>199</v>
      </c>
      <c r="BW1000" s="14" t="s">
        <v>179</v>
      </c>
      <c r="BX1000" s="14" t="s">
        <v>19769</v>
      </c>
      <c r="BY1000" s="14" t="s">
        <v>179</v>
      </c>
      <c r="BZ1000" s="14" t="s">
        <v>19770</v>
      </c>
      <c r="CA1000" s="15"/>
      <c r="CB1000" s="15"/>
      <c r="CC1000" s="15"/>
      <c r="CD1000" s="15"/>
      <c r="CE1000" s="15"/>
      <c r="CF1000" s="15"/>
      <c r="CG1000" s="19"/>
      <c r="CH1000" s="15"/>
      <c r="CI1000" s="19"/>
      <c r="CJ1000" s="15"/>
      <c r="CK1000" s="19"/>
      <c r="CL1000" s="15"/>
      <c r="CM1000" s="19"/>
      <c r="CN1000" s="15"/>
      <c r="CO1000" s="19"/>
      <c r="CP1000" s="15"/>
      <c r="CQ1000" s="15"/>
      <c r="CR1000" s="15"/>
      <c r="CS1000" s="19"/>
      <c r="CT1000" s="15"/>
      <c r="CU1000" s="19"/>
      <c r="CV1000" s="15"/>
      <c r="CW1000" s="19"/>
      <c r="CX1000" s="15"/>
      <c r="CY1000" s="19"/>
      <c r="CZ1000" s="15"/>
      <c r="DA1000" s="16" t="s">
        <v>197</v>
      </c>
      <c r="DB1000" s="17" t="s">
        <v>228</v>
      </c>
      <c r="DC1000" s="16"/>
      <c r="DD1000" s="17" t="s">
        <v>198</v>
      </c>
      <c r="DE1000" s="18">
        <v>45699.389375</v>
      </c>
      <c r="DF1000" s="17" t="s">
        <v>198</v>
      </c>
      <c r="DG1000" s="18">
        <v>45699.389375</v>
      </c>
      <c r="DH1000" s="13" t="s">
        <v>205</v>
      </c>
      <c r="DI1000" s="14" t="s">
        <v>179</v>
      </c>
      <c r="DJ1000" s="14" t="s">
        <v>19771</v>
      </c>
      <c r="DK1000" s="15"/>
      <c r="DL1000" s="15"/>
      <c r="DM1000" s="15"/>
      <c r="DN1000" s="15"/>
      <c r="DO1000" s="15"/>
      <c r="DP1000" s="15"/>
      <c r="DQ1000" s="15"/>
      <c r="DR1000" s="15"/>
      <c r="DS1000" s="15"/>
      <c r="DT1000" s="15"/>
      <c r="DU1000" s="15"/>
      <c r="DV1000" s="15"/>
      <c r="DW1000" s="15"/>
      <c r="DX1000" s="15"/>
      <c r="DY1000" s="15"/>
      <c r="DZ1000" s="15"/>
      <c r="EA1000" s="15"/>
      <c r="EB1000" s="15"/>
      <c r="EC1000" s="16" t="s">
        <v>197</v>
      </c>
      <c r="ED1000" s="17" t="s">
        <v>198</v>
      </c>
      <c r="EE1000" s="18">
        <v>45699.38945601852</v>
      </c>
      <c r="EF1000" s="13" t="s">
        <v>209</v>
      </c>
      <c r="EG1000" s="14" t="s">
        <v>179</v>
      </c>
      <c r="EH1000" s="14" t="s">
        <v>19772</v>
      </c>
      <c r="EI1000" s="15"/>
      <c r="EJ1000" s="15"/>
      <c r="EK1000" s="15"/>
      <c r="EL1000" s="15"/>
      <c r="EM1000" s="15"/>
      <c r="EN1000" s="15"/>
      <c r="EO1000" s="15"/>
      <c r="EP1000" s="15"/>
      <c r="EQ1000" s="15"/>
      <c r="ER1000" s="15"/>
      <c r="ES1000" s="15"/>
      <c r="ET1000" s="15"/>
      <c r="EU1000" s="15"/>
      <c r="EV1000" s="15"/>
      <c r="EW1000" s="15"/>
      <c r="EX1000" s="15"/>
      <c r="EY1000" s="15"/>
      <c r="EZ1000" s="15"/>
      <c r="FA1000" s="15"/>
      <c r="FB1000" s="15"/>
      <c r="FC1000" s="16" t="s">
        <v>197</v>
      </c>
      <c r="FD1000" s="17" t="s">
        <v>198</v>
      </c>
      <c r="FE1000" s="18">
        <v>45723.34392361111</v>
      </c>
      <c r="FF1000" s="19"/>
      <c r="FG1000" s="19"/>
      <c r="FH1000" s="21" t="s">
        <v>197</v>
      </c>
      <c r="FI1000" s="17" t="s">
        <v>214</v>
      </c>
      <c r="FJ1000" s="18">
        <v>45723.34392361111</v>
      </c>
      <c r="FK1000" s="14" t="s">
        <v>19772</v>
      </c>
      <c r="FL1000" s="19"/>
      <c r="FM1000" s="19"/>
      <c r="FN1000" s="19"/>
      <c r="FO1000" s="19"/>
      <c r="FP1000" s="19" t="str">
        <f t="shared" si="1"/>
        <v/>
      </c>
      <c r="FQ1000" s="14" t="s">
        <v>215</v>
      </c>
      <c r="FR1000" s="14" t="s">
        <v>19773</v>
      </c>
    </row>
    <row r="1001" ht="15.75" customHeight="1">
      <c r="A1001" s="12" t="s">
        <v>217</v>
      </c>
      <c r="B1001" s="12" t="s">
        <v>7566</v>
      </c>
      <c r="C1001" s="12" t="s">
        <v>219</v>
      </c>
      <c r="D1001" s="22" t="s">
        <v>19774</v>
      </c>
      <c r="E1001" s="22" t="s">
        <v>19775</v>
      </c>
      <c r="F1001" s="13" t="s">
        <v>178</v>
      </c>
      <c r="G1001" s="14" t="s">
        <v>179</v>
      </c>
      <c r="H1001" s="14" t="s">
        <v>19776</v>
      </c>
      <c r="I1001" s="14" t="s">
        <v>179</v>
      </c>
      <c r="J1001" s="14" t="s">
        <v>19777</v>
      </c>
      <c r="K1001" s="14" t="s">
        <v>179</v>
      </c>
      <c r="L1001" s="14" t="s">
        <v>19778</v>
      </c>
      <c r="M1001" s="14" t="s">
        <v>179</v>
      </c>
      <c r="N1001" s="14" t="s">
        <v>19779</v>
      </c>
      <c r="O1001" s="14" t="s">
        <v>179</v>
      </c>
      <c r="P1001" s="14" t="s">
        <v>19780</v>
      </c>
      <c r="Q1001" s="14" t="s">
        <v>179</v>
      </c>
      <c r="R1001" s="14" t="s">
        <v>19781</v>
      </c>
      <c r="S1001" s="14" t="s">
        <v>179</v>
      </c>
      <c r="T1001" s="14" t="s">
        <v>19781</v>
      </c>
      <c r="U1001" s="14" t="s">
        <v>179</v>
      </c>
      <c r="V1001" s="14" t="s">
        <v>19782</v>
      </c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15"/>
      <c r="BO1001" s="16" t="s">
        <v>197</v>
      </c>
      <c r="BP1001" s="17" t="s">
        <v>228</v>
      </c>
      <c r="BQ1001" s="23"/>
      <c r="BR1001" s="17" t="s">
        <v>198</v>
      </c>
      <c r="BS1001" s="18">
        <v>45686.36717592592</v>
      </c>
      <c r="BT1001" s="17" t="s">
        <v>198</v>
      </c>
      <c r="BU1001" s="18">
        <v>45686.36717592592</v>
      </c>
      <c r="BV1001" s="13" t="s">
        <v>199</v>
      </c>
      <c r="BW1001" s="14" t="s">
        <v>179</v>
      </c>
      <c r="BX1001" s="14" t="s">
        <v>19783</v>
      </c>
      <c r="BY1001" s="14" t="s">
        <v>179</v>
      </c>
      <c r="BZ1001" s="14" t="s">
        <v>19784</v>
      </c>
      <c r="CA1001" s="15"/>
      <c r="CB1001" s="15"/>
      <c r="CC1001" s="15"/>
      <c r="CD1001" s="15"/>
      <c r="CE1001" s="15"/>
      <c r="CF1001" s="15"/>
      <c r="CG1001" s="19"/>
      <c r="CH1001" s="15"/>
      <c r="CI1001" s="19"/>
      <c r="CJ1001" s="15"/>
      <c r="CK1001" s="19"/>
      <c r="CL1001" s="15"/>
      <c r="CM1001" s="19"/>
      <c r="CN1001" s="15"/>
      <c r="CO1001" s="19"/>
      <c r="CP1001" s="15"/>
      <c r="CQ1001" s="15"/>
      <c r="CR1001" s="15"/>
      <c r="CS1001" s="19"/>
      <c r="CT1001" s="15"/>
      <c r="CU1001" s="19"/>
      <c r="CV1001" s="15"/>
      <c r="CW1001" s="19"/>
      <c r="CX1001" s="15"/>
      <c r="CY1001" s="19"/>
      <c r="CZ1001" s="15"/>
      <c r="DA1001" s="16" t="s">
        <v>197</v>
      </c>
      <c r="DB1001" s="17" t="s">
        <v>228</v>
      </c>
      <c r="DC1001" s="16"/>
      <c r="DD1001" s="17" t="s">
        <v>198</v>
      </c>
      <c r="DE1001" s="18">
        <v>45686.36736111111</v>
      </c>
      <c r="DF1001" s="17" t="s">
        <v>198</v>
      </c>
      <c r="DG1001" s="18">
        <v>45686.36736111111</v>
      </c>
      <c r="DH1001" s="13" t="s">
        <v>205</v>
      </c>
      <c r="DI1001" s="14" t="s">
        <v>179</v>
      </c>
      <c r="DJ1001" s="14" t="s">
        <v>19785</v>
      </c>
      <c r="DK1001" s="15"/>
      <c r="DL1001" s="15"/>
      <c r="DM1001" s="15"/>
      <c r="DN1001" s="15"/>
      <c r="DO1001" s="15"/>
      <c r="DP1001" s="15"/>
      <c r="DQ1001" s="15"/>
      <c r="DR1001" s="15"/>
      <c r="DS1001" s="15"/>
      <c r="DT1001" s="15"/>
      <c r="DU1001" s="15"/>
      <c r="DV1001" s="15"/>
      <c r="DW1001" s="15"/>
      <c r="DX1001" s="15"/>
      <c r="DY1001" s="15"/>
      <c r="DZ1001" s="15"/>
      <c r="EA1001" s="15"/>
      <c r="EB1001" s="15"/>
      <c r="EC1001" s="16" t="s">
        <v>197</v>
      </c>
      <c r="ED1001" s="17" t="s">
        <v>198</v>
      </c>
      <c r="EE1001" s="18">
        <v>45699.39202546296</v>
      </c>
      <c r="EF1001" s="13" t="s">
        <v>209</v>
      </c>
      <c r="EG1001" s="14" t="s">
        <v>179</v>
      </c>
      <c r="EH1001" s="14" t="s">
        <v>19786</v>
      </c>
      <c r="EI1001" s="15"/>
      <c r="EJ1001" s="15"/>
      <c r="EK1001" s="15"/>
      <c r="EL1001" s="15"/>
      <c r="EM1001" s="15"/>
      <c r="EN1001" s="15"/>
      <c r="EO1001" s="15"/>
      <c r="EP1001" s="15"/>
      <c r="EQ1001" s="15"/>
      <c r="ER1001" s="15"/>
      <c r="ES1001" s="15"/>
      <c r="ET1001" s="15"/>
      <c r="EU1001" s="15"/>
      <c r="EV1001" s="15"/>
      <c r="EW1001" s="15"/>
      <c r="EX1001" s="15"/>
      <c r="EY1001" s="15"/>
      <c r="EZ1001" s="15"/>
      <c r="FA1001" s="15"/>
      <c r="FB1001" s="15"/>
      <c r="FC1001" s="16" t="s">
        <v>197</v>
      </c>
      <c r="FD1001" s="17" t="s">
        <v>198</v>
      </c>
      <c r="FE1001" s="18">
        <v>45723.343981481485</v>
      </c>
      <c r="FF1001" s="19"/>
      <c r="FG1001" s="19"/>
      <c r="FH1001" s="21" t="s">
        <v>197</v>
      </c>
      <c r="FI1001" s="17" t="s">
        <v>214</v>
      </c>
      <c r="FJ1001" s="18">
        <v>45723.343981481485</v>
      </c>
      <c r="FK1001" s="14" t="s">
        <v>19786</v>
      </c>
      <c r="FL1001" s="14" t="s">
        <v>19787</v>
      </c>
      <c r="FM1001" s="14" t="s">
        <v>19788</v>
      </c>
      <c r="FN1001" s="19"/>
      <c r="FO1001" s="19"/>
      <c r="FP1001" s="19" t="str">
        <f t="shared" si="1"/>
        <v>Base de Dados_Images/XV40008.Imagem do Equipamento-.142254.jpg</v>
      </c>
      <c r="FQ1001" s="19"/>
      <c r="FR1001" s="19"/>
    </row>
    <row r="1002" ht="15.75" customHeight="1">
      <c r="A1002" s="12" t="s">
        <v>217</v>
      </c>
      <c r="B1002" s="12" t="s">
        <v>7566</v>
      </c>
      <c r="C1002" s="12" t="s">
        <v>219</v>
      </c>
      <c r="D1002" s="22" t="s">
        <v>19789</v>
      </c>
      <c r="E1002" s="22" t="s">
        <v>19790</v>
      </c>
      <c r="F1002" s="13" t="s">
        <v>178</v>
      </c>
      <c r="G1002" s="14" t="s">
        <v>179</v>
      </c>
      <c r="H1002" s="14" t="s">
        <v>19791</v>
      </c>
      <c r="I1002" s="14" t="s">
        <v>179</v>
      </c>
      <c r="J1002" s="14" t="s">
        <v>19792</v>
      </c>
      <c r="K1002" s="14" t="s">
        <v>179</v>
      </c>
      <c r="L1002" s="14" t="s">
        <v>19793</v>
      </c>
      <c r="M1002" s="14" t="s">
        <v>179</v>
      </c>
      <c r="N1002" s="14" t="s">
        <v>19794</v>
      </c>
      <c r="O1002" s="14" t="s">
        <v>179</v>
      </c>
      <c r="P1002" s="14" t="s">
        <v>19795</v>
      </c>
      <c r="Q1002" s="14" t="s">
        <v>179</v>
      </c>
      <c r="R1002" s="14" t="s">
        <v>19796</v>
      </c>
      <c r="S1002" s="14" t="s">
        <v>179</v>
      </c>
      <c r="T1002" s="14" t="s">
        <v>19797</v>
      </c>
      <c r="U1002" s="14" t="s">
        <v>179</v>
      </c>
      <c r="V1002" s="14" t="s">
        <v>19798</v>
      </c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  <c r="BL1002" s="15"/>
      <c r="BM1002" s="15"/>
      <c r="BN1002" s="15"/>
      <c r="BO1002" s="16" t="s">
        <v>197</v>
      </c>
      <c r="BP1002" s="17" t="s">
        <v>228</v>
      </c>
      <c r="BQ1002" s="23"/>
      <c r="BR1002" s="17" t="s">
        <v>198</v>
      </c>
      <c r="BS1002" s="18">
        <v>45686.40474537037</v>
      </c>
      <c r="BT1002" s="17" t="s">
        <v>198</v>
      </c>
      <c r="BU1002" s="18">
        <v>45686.40474537037</v>
      </c>
      <c r="BV1002" s="13" t="s">
        <v>199</v>
      </c>
      <c r="BW1002" s="14" t="s">
        <v>179</v>
      </c>
      <c r="BX1002" s="14" t="s">
        <v>19799</v>
      </c>
      <c r="BY1002" s="14" t="s">
        <v>179</v>
      </c>
      <c r="BZ1002" s="14" t="s">
        <v>19800</v>
      </c>
      <c r="CA1002" s="15"/>
      <c r="CB1002" s="15"/>
      <c r="CC1002" s="15"/>
      <c r="CD1002" s="15"/>
      <c r="CE1002" s="15"/>
      <c r="CF1002" s="15"/>
      <c r="CG1002" s="19"/>
      <c r="CH1002" s="15"/>
      <c r="CI1002" s="19"/>
      <c r="CJ1002" s="15"/>
      <c r="CK1002" s="19"/>
      <c r="CL1002" s="15"/>
      <c r="CM1002" s="19"/>
      <c r="CN1002" s="15"/>
      <c r="CO1002" s="19"/>
      <c r="CP1002" s="15"/>
      <c r="CQ1002" s="15"/>
      <c r="CR1002" s="15"/>
      <c r="CS1002" s="19"/>
      <c r="CT1002" s="15"/>
      <c r="CU1002" s="19"/>
      <c r="CV1002" s="15"/>
      <c r="CW1002" s="19"/>
      <c r="CX1002" s="15"/>
      <c r="CY1002" s="19"/>
      <c r="CZ1002" s="15"/>
      <c r="DA1002" s="16" t="s">
        <v>197</v>
      </c>
      <c r="DB1002" s="17" t="s">
        <v>228</v>
      </c>
      <c r="DC1002" s="16"/>
      <c r="DD1002" s="17" t="s">
        <v>198</v>
      </c>
      <c r="DE1002" s="18">
        <v>45686.40482638889</v>
      </c>
      <c r="DF1002" s="17" t="s">
        <v>198</v>
      </c>
      <c r="DG1002" s="18">
        <v>45686.40482638889</v>
      </c>
      <c r="DH1002" s="13" t="s">
        <v>205</v>
      </c>
      <c r="DI1002" s="14" t="s">
        <v>179</v>
      </c>
      <c r="DJ1002" s="14" t="s">
        <v>19801</v>
      </c>
      <c r="DK1002" s="15"/>
      <c r="DL1002" s="15"/>
      <c r="DM1002" s="15"/>
      <c r="DN1002" s="15"/>
      <c r="DO1002" s="15"/>
      <c r="DP1002" s="15"/>
      <c r="DQ1002" s="15"/>
      <c r="DR1002" s="15"/>
      <c r="DS1002" s="15"/>
      <c r="DT1002" s="15"/>
      <c r="DU1002" s="15"/>
      <c r="DV1002" s="15"/>
      <c r="DW1002" s="15"/>
      <c r="DX1002" s="15"/>
      <c r="DY1002" s="15"/>
      <c r="DZ1002" s="15"/>
      <c r="EA1002" s="15"/>
      <c r="EB1002" s="15"/>
      <c r="EC1002" s="16" t="s">
        <v>197</v>
      </c>
      <c r="ED1002" s="17" t="s">
        <v>198</v>
      </c>
      <c r="EE1002" s="18">
        <v>45699.392800925925</v>
      </c>
      <c r="EF1002" s="13" t="s">
        <v>209</v>
      </c>
      <c r="EG1002" s="14" t="s">
        <v>179</v>
      </c>
      <c r="EH1002" s="14" t="s">
        <v>19802</v>
      </c>
      <c r="EI1002" s="15"/>
      <c r="EJ1002" s="15"/>
      <c r="EK1002" s="15"/>
      <c r="EL1002" s="15"/>
      <c r="EM1002" s="15"/>
      <c r="EN1002" s="15"/>
      <c r="EO1002" s="15"/>
      <c r="EP1002" s="15"/>
      <c r="EQ1002" s="15"/>
      <c r="ER1002" s="15"/>
      <c r="ES1002" s="15"/>
      <c r="ET1002" s="15"/>
      <c r="EU1002" s="15"/>
      <c r="EV1002" s="15"/>
      <c r="EW1002" s="15"/>
      <c r="EX1002" s="15"/>
      <c r="EY1002" s="15"/>
      <c r="EZ1002" s="15"/>
      <c r="FA1002" s="15"/>
      <c r="FB1002" s="15"/>
      <c r="FC1002" s="16" t="s">
        <v>197</v>
      </c>
      <c r="FD1002" s="17" t="s">
        <v>198</v>
      </c>
      <c r="FE1002" s="18">
        <v>45723.34405092592</v>
      </c>
      <c r="FF1002" s="19"/>
      <c r="FG1002" s="19"/>
      <c r="FH1002" s="21" t="s">
        <v>197</v>
      </c>
      <c r="FI1002" s="17" t="s">
        <v>214</v>
      </c>
      <c r="FJ1002" s="18">
        <v>45723.34405092592</v>
      </c>
      <c r="FK1002" s="14" t="s">
        <v>19802</v>
      </c>
      <c r="FL1002" s="14" t="s">
        <v>19803</v>
      </c>
      <c r="FM1002" s="14" t="s">
        <v>19804</v>
      </c>
      <c r="FN1002" s="19"/>
      <c r="FO1002" s="19"/>
      <c r="FP1002" s="19" t="str">
        <f t="shared" si="1"/>
        <v>Base de Dados_Images/XV40009.Imagem do Equipamento-.164737.jpg</v>
      </c>
      <c r="FQ1002" s="19"/>
      <c r="FR1002" s="19"/>
    </row>
    <row r="1003" ht="15.75" customHeight="1">
      <c r="A1003" s="12" t="s">
        <v>217</v>
      </c>
      <c r="B1003" s="12" t="s">
        <v>7566</v>
      </c>
      <c r="C1003" s="12" t="s">
        <v>219</v>
      </c>
      <c r="D1003" s="22" t="s">
        <v>19805</v>
      </c>
      <c r="E1003" s="22" t="s">
        <v>19806</v>
      </c>
      <c r="F1003" s="13" t="s">
        <v>178</v>
      </c>
      <c r="G1003" s="14" t="s">
        <v>179</v>
      </c>
      <c r="H1003" s="14" t="s">
        <v>19807</v>
      </c>
      <c r="I1003" s="14" t="s">
        <v>179</v>
      </c>
      <c r="J1003" s="14" t="s">
        <v>19808</v>
      </c>
      <c r="K1003" s="14" t="s">
        <v>179</v>
      </c>
      <c r="L1003" s="14" t="s">
        <v>19809</v>
      </c>
      <c r="M1003" s="14" t="s">
        <v>179</v>
      </c>
      <c r="N1003" s="14" t="s">
        <v>19810</v>
      </c>
      <c r="O1003" s="14" t="s">
        <v>179</v>
      </c>
      <c r="P1003" s="14" t="s">
        <v>19811</v>
      </c>
      <c r="Q1003" s="14" t="s">
        <v>179</v>
      </c>
      <c r="R1003" s="14" t="s">
        <v>19812</v>
      </c>
      <c r="S1003" s="14" t="s">
        <v>179</v>
      </c>
      <c r="T1003" s="14" t="s">
        <v>19813</v>
      </c>
      <c r="U1003" s="14" t="s">
        <v>179</v>
      </c>
      <c r="V1003" s="14" t="s">
        <v>19814</v>
      </c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  <c r="BM1003" s="15"/>
      <c r="BN1003" s="15"/>
      <c r="BO1003" s="16" t="s">
        <v>197</v>
      </c>
      <c r="BP1003" s="17" t="s">
        <v>228</v>
      </c>
      <c r="BQ1003" s="23"/>
      <c r="BR1003" s="17" t="s">
        <v>198</v>
      </c>
      <c r="BS1003" s="18">
        <v>45687.40813657407</v>
      </c>
      <c r="BT1003" s="17" t="s">
        <v>198</v>
      </c>
      <c r="BU1003" s="18">
        <v>45687.40813657407</v>
      </c>
      <c r="BV1003" s="13" t="s">
        <v>199</v>
      </c>
      <c r="BW1003" s="14" t="s">
        <v>179</v>
      </c>
      <c r="BX1003" s="14" t="s">
        <v>19815</v>
      </c>
      <c r="BY1003" s="14" t="s">
        <v>179</v>
      </c>
      <c r="BZ1003" s="14" t="s">
        <v>19816</v>
      </c>
      <c r="CA1003" s="15"/>
      <c r="CB1003" s="15"/>
      <c r="CC1003" s="15"/>
      <c r="CD1003" s="15"/>
      <c r="CE1003" s="15"/>
      <c r="CF1003" s="15"/>
      <c r="CG1003" s="19"/>
      <c r="CH1003" s="15"/>
      <c r="CI1003" s="19"/>
      <c r="CJ1003" s="15"/>
      <c r="CK1003" s="19"/>
      <c r="CL1003" s="15"/>
      <c r="CM1003" s="19"/>
      <c r="CN1003" s="15"/>
      <c r="CO1003" s="19"/>
      <c r="CP1003" s="15"/>
      <c r="CQ1003" s="15"/>
      <c r="CR1003" s="15"/>
      <c r="CS1003" s="19"/>
      <c r="CT1003" s="15"/>
      <c r="CU1003" s="19"/>
      <c r="CV1003" s="15"/>
      <c r="CW1003" s="19"/>
      <c r="CX1003" s="15"/>
      <c r="CY1003" s="19"/>
      <c r="CZ1003" s="15"/>
      <c r="DA1003" s="16" t="s">
        <v>197</v>
      </c>
      <c r="DB1003" s="17" t="s">
        <v>228</v>
      </c>
      <c r="DC1003" s="16"/>
      <c r="DD1003" s="17" t="s">
        <v>198</v>
      </c>
      <c r="DE1003" s="18">
        <v>45699.393379629626</v>
      </c>
      <c r="DF1003" s="17" t="s">
        <v>198</v>
      </c>
      <c r="DG1003" s="18">
        <v>45699.393379629626</v>
      </c>
      <c r="DH1003" s="13" t="s">
        <v>205</v>
      </c>
      <c r="DI1003" s="14" t="s">
        <v>179</v>
      </c>
      <c r="DJ1003" s="14" t="s">
        <v>19817</v>
      </c>
      <c r="DK1003" s="15"/>
      <c r="DL1003" s="15"/>
      <c r="DM1003" s="15"/>
      <c r="DN1003" s="15"/>
      <c r="DO1003" s="15"/>
      <c r="DP1003" s="15"/>
      <c r="DQ1003" s="15"/>
      <c r="DR1003" s="15"/>
      <c r="DS1003" s="15"/>
      <c r="DT1003" s="15"/>
      <c r="DU1003" s="15"/>
      <c r="DV1003" s="15"/>
      <c r="DW1003" s="15"/>
      <c r="DX1003" s="15"/>
      <c r="DY1003" s="15"/>
      <c r="DZ1003" s="15"/>
      <c r="EA1003" s="15"/>
      <c r="EB1003" s="15"/>
      <c r="EC1003" s="16" t="s">
        <v>197</v>
      </c>
      <c r="ED1003" s="17" t="s">
        <v>198</v>
      </c>
      <c r="EE1003" s="18">
        <v>45699.39344907407</v>
      </c>
      <c r="EF1003" s="13" t="s">
        <v>209</v>
      </c>
      <c r="EG1003" s="14" t="s">
        <v>179</v>
      </c>
      <c r="EH1003" s="14" t="s">
        <v>19818</v>
      </c>
      <c r="EI1003" s="15"/>
      <c r="EJ1003" s="15"/>
      <c r="EK1003" s="15"/>
      <c r="EL1003" s="15"/>
      <c r="EM1003" s="15"/>
      <c r="EN1003" s="15"/>
      <c r="EO1003" s="15"/>
      <c r="EP1003" s="15"/>
      <c r="EQ1003" s="15"/>
      <c r="ER1003" s="15"/>
      <c r="ES1003" s="15"/>
      <c r="ET1003" s="15"/>
      <c r="EU1003" s="15"/>
      <c r="EV1003" s="15"/>
      <c r="EW1003" s="15"/>
      <c r="EX1003" s="15"/>
      <c r="EY1003" s="15"/>
      <c r="EZ1003" s="15"/>
      <c r="FA1003" s="15"/>
      <c r="FB1003" s="15"/>
      <c r="FC1003" s="16" t="s">
        <v>197</v>
      </c>
      <c r="FD1003" s="17" t="s">
        <v>198</v>
      </c>
      <c r="FE1003" s="18">
        <v>45723.34410879629</v>
      </c>
      <c r="FF1003" s="19"/>
      <c r="FG1003" s="19"/>
      <c r="FH1003" s="21" t="s">
        <v>197</v>
      </c>
      <c r="FI1003" s="17" t="s">
        <v>214</v>
      </c>
      <c r="FJ1003" s="18">
        <v>45723.34410879629</v>
      </c>
      <c r="FK1003" s="14" t="s">
        <v>19818</v>
      </c>
      <c r="FL1003" s="14" t="s">
        <v>19819</v>
      </c>
      <c r="FM1003" s="14" t="s">
        <v>19820</v>
      </c>
      <c r="FN1003" s="19"/>
      <c r="FO1003" s="19"/>
      <c r="FP1003" s="19" t="str">
        <f t="shared" si="1"/>
        <v>Base de Dados_Images/XV40010.Imagem do Equipamento-.141559.jpg</v>
      </c>
      <c r="FQ1003" s="19"/>
      <c r="FR1003" s="19"/>
    </row>
    <row r="1004" ht="15.75" customHeight="1">
      <c r="A1004" s="12" t="s">
        <v>217</v>
      </c>
      <c r="B1004" s="12" t="s">
        <v>7566</v>
      </c>
      <c r="C1004" s="12" t="s">
        <v>219</v>
      </c>
      <c r="D1004" s="22" t="s">
        <v>19821</v>
      </c>
      <c r="E1004" s="22" t="s">
        <v>19822</v>
      </c>
      <c r="F1004" s="13" t="s">
        <v>178</v>
      </c>
      <c r="G1004" s="14" t="s">
        <v>179</v>
      </c>
      <c r="H1004" s="14" t="s">
        <v>19823</v>
      </c>
      <c r="I1004" s="14" t="s">
        <v>179</v>
      </c>
      <c r="J1004" s="14" t="s">
        <v>19824</v>
      </c>
      <c r="K1004" s="14" t="s">
        <v>179</v>
      </c>
      <c r="L1004" s="14" t="s">
        <v>19825</v>
      </c>
      <c r="M1004" s="14" t="s">
        <v>179</v>
      </c>
      <c r="N1004" s="14" t="s">
        <v>19826</v>
      </c>
      <c r="O1004" s="14" t="s">
        <v>179</v>
      </c>
      <c r="P1004" s="14" t="s">
        <v>19827</v>
      </c>
      <c r="Q1004" s="14" t="s">
        <v>179</v>
      </c>
      <c r="R1004" s="14" t="s">
        <v>19828</v>
      </c>
      <c r="S1004" s="14" t="s">
        <v>179</v>
      </c>
      <c r="T1004" s="14" t="s">
        <v>19829</v>
      </c>
      <c r="U1004" s="14" t="s">
        <v>179</v>
      </c>
      <c r="V1004" s="14" t="s">
        <v>19830</v>
      </c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  <c r="BM1004" s="15"/>
      <c r="BN1004" s="15"/>
      <c r="BO1004" s="16" t="s">
        <v>197</v>
      </c>
      <c r="BP1004" s="17" t="s">
        <v>228</v>
      </c>
      <c r="BQ1004" s="23"/>
      <c r="BR1004" s="17" t="s">
        <v>198</v>
      </c>
      <c r="BS1004" s="18">
        <v>45687.41165509259</v>
      </c>
      <c r="BT1004" s="17" t="s">
        <v>198</v>
      </c>
      <c r="BU1004" s="18">
        <v>45687.41165509259</v>
      </c>
      <c r="BV1004" s="13" t="s">
        <v>199</v>
      </c>
      <c r="BW1004" s="14" t="s">
        <v>179</v>
      </c>
      <c r="BX1004" s="14" t="s">
        <v>19831</v>
      </c>
      <c r="BY1004" s="14" t="s">
        <v>179</v>
      </c>
      <c r="BZ1004" s="14" t="s">
        <v>19832</v>
      </c>
      <c r="CA1004" s="15"/>
      <c r="CB1004" s="15"/>
      <c r="CC1004" s="15"/>
      <c r="CD1004" s="15"/>
      <c r="CE1004" s="15"/>
      <c r="CF1004" s="15"/>
      <c r="CG1004" s="19"/>
      <c r="CH1004" s="15"/>
      <c r="CI1004" s="19"/>
      <c r="CJ1004" s="15"/>
      <c r="CK1004" s="19"/>
      <c r="CL1004" s="15"/>
      <c r="CM1004" s="19"/>
      <c r="CN1004" s="15"/>
      <c r="CO1004" s="19"/>
      <c r="CP1004" s="15"/>
      <c r="CQ1004" s="15"/>
      <c r="CR1004" s="15"/>
      <c r="CS1004" s="19"/>
      <c r="CT1004" s="15"/>
      <c r="CU1004" s="19"/>
      <c r="CV1004" s="15"/>
      <c r="CW1004" s="19"/>
      <c r="CX1004" s="15"/>
      <c r="CY1004" s="19"/>
      <c r="CZ1004" s="15"/>
      <c r="DA1004" s="16" t="s">
        <v>197</v>
      </c>
      <c r="DB1004" s="17" t="s">
        <v>228</v>
      </c>
      <c r="DC1004" s="16"/>
      <c r="DD1004" s="17" t="s">
        <v>198</v>
      </c>
      <c r="DE1004" s="18">
        <v>45705.350023148145</v>
      </c>
      <c r="DF1004" s="17" t="s">
        <v>198</v>
      </c>
      <c r="DG1004" s="18">
        <v>45705.350023148145</v>
      </c>
      <c r="DH1004" s="13" t="s">
        <v>205</v>
      </c>
      <c r="DI1004" s="14" t="s">
        <v>179</v>
      </c>
      <c r="DJ1004" s="14" t="s">
        <v>19833</v>
      </c>
      <c r="DK1004" s="15"/>
      <c r="DL1004" s="15"/>
      <c r="DM1004" s="15"/>
      <c r="DN1004" s="15"/>
      <c r="DO1004" s="15"/>
      <c r="DP1004" s="15"/>
      <c r="DQ1004" s="15"/>
      <c r="DR1004" s="15"/>
      <c r="DS1004" s="15"/>
      <c r="DT1004" s="15"/>
      <c r="DU1004" s="15"/>
      <c r="DV1004" s="15"/>
      <c r="DW1004" s="15"/>
      <c r="DX1004" s="15"/>
      <c r="DY1004" s="15"/>
      <c r="DZ1004" s="15"/>
      <c r="EA1004" s="15"/>
      <c r="EB1004" s="15"/>
      <c r="EC1004" s="16" t="s">
        <v>197</v>
      </c>
      <c r="ED1004" s="17" t="s">
        <v>198</v>
      </c>
      <c r="EE1004" s="18">
        <v>45708.430972222224</v>
      </c>
      <c r="EF1004" s="13" t="s">
        <v>209</v>
      </c>
      <c r="EG1004" s="14" t="s">
        <v>179</v>
      </c>
      <c r="EH1004" s="14" t="s">
        <v>19834</v>
      </c>
      <c r="EI1004" s="15"/>
      <c r="EJ1004" s="15"/>
      <c r="EK1004" s="15"/>
      <c r="EL1004" s="15"/>
      <c r="EM1004" s="15"/>
      <c r="EN1004" s="15"/>
      <c r="EO1004" s="15"/>
      <c r="EP1004" s="15"/>
      <c r="EQ1004" s="15"/>
      <c r="ER1004" s="15"/>
      <c r="ES1004" s="15"/>
      <c r="ET1004" s="15"/>
      <c r="EU1004" s="15"/>
      <c r="EV1004" s="15"/>
      <c r="EW1004" s="15"/>
      <c r="EX1004" s="15"/>
      <c r="EY1004" s="15"/>
      <c r="EZ1004" s="15"/>
      <c r="FA1004" s="15"/>
      <c r="FB1004" s="15"/>
      <c r="FC1004" s="16" t="s">
        <v>197</v>
      </c>
      <c r="FD1004" s="17" t="s">
        <v>198</v>
      </c>
      <c r="FE1004" s="18">
        <v>45723.34415509259</v>
      </c>
      <c r="FF1004" s="19"/>
      <c r="FG1004" s="19"/>
      <c r="FH1004" s="21" t="s">
        <v>197</v>
      </c>
      <c r="FI1004" s="17" t="s">
        <v>214</v>
      </c>
      <c r="FJ1004" s="18">
        <v>45723.34415509259</v>
      </c>
      <c r="FK1004" s="14" t="s">
        <v>19834</v>
      </c>
      <c r="FL1004" s="19"/>
      <c r="FM1004" s="19"/>
      <c r="FN1004" s="19"/>
      <c r="FO1004" s="19"/>
      <c r="FP1004" s="19" t="str">
        <f t="shared" si="1"/>
        <v/>
      </c>
      <c r="FQ1004" s="14" t="s">
        <v>215</v>
      </c>
      <c r="FR1004" s="14" t="s">
        <v>19835</v>
      </c>
    </row>
    <row r="1005" ht="15.75" customHeight="1">
      <c r="A1005" s="12" t="s">
        <v>217</v>
      </c>
      <c r="B1005" s="12" t="s">
        <v>7566</v>
      </c>
      <c r="C1005" s="12" t="s">
        <v>219</v>
      </c>
      <c r="D1005" s="22" t="s">
        <v>19836</v>
      </c>
      <c r="E1005" s="22" t="s">
        <v>19837</v>
      </c>
      <c r="F1005" s="13" t="s">
        <v>178</v>
      </c>
      <c r="G1005" s="14" t="s">
        <v>179</v>
      </c>
      <c r="H1005" s="14" t="s">
        <v>19838</v>
      </c>
      <c r="I1005" s="14" t="s">
        <v>179</v>
      </c>
      <c r="J1005" s="14" t="s">
        <v>19839</v>
      </c>
      <c r="K1005" s="14" t="s">
        <v>179</v>
      </c>
      <c r="L1005" s="14" t="s">
        <v>19839</v>
      </c>
      <c r="M1005" s="14" t="s">
        <v>179</v>
      </c>
      <c r="N1005" s="14" t="s">
        <v>19840</v>
      </c>
      <c r="O1005" s="14" t="s">
        <v>179</v>
      </c>
      <c r="P1005" s="14" t="s">
        <v>19841</v>
      </c>
      <c r="Q1005" s="14" t="s">
        <v>179</v>
      </c>
      <c r="R1005" s="14" t="s">
        <v>19842</v>
      </c>
      <c r="S1005" s="14" t="s">
        <v>179</v>
      </c>
      <c r="T1005" s="14" t="s">
        <v>19843</v>
      </c>
      <c r="U1005" s="14" t="s">
        <v>179</v>
      </c>
      <c r="V1005" s="14" t="s">
        <v>19844</v>
      </c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  <c r="BH1005" s="15"/>
      <c r="BI1005" s="15"/>
      <c r="BJ1005" s="15"/>
      <c r="BK1005" s="15"/>
      <c r="BL1005" s="15"/>
      <c r="BM1005" s="15"/>
      <c r="BN1005" s="15"/>
      <c r="BO1005" s="16" t="s">
        <v>197</v>
      </c>
      <c r="BP1005" s="17" t="s">
        <v>228</v>
      </c>
      <c r="BQ1005" s="23"/>
      <c r="BR1005" s="17" t="s">
        <v>198</v>
      </c>
      <c r="BS1005" s="18">
        <v>45687.41025462963</v>
      </c>
      <c r="BT1005" s="17" t="s">
        <v>198</v>
      </c>
      <c r="BU1005" s="18">
        <v>45687.41025462963</v>
      </c>
      <c r="BV1005" s="13" t="s">
        <v>199</v>
      </c>
      <c r="BW1005" s="14" t="s">
        <v>179</v>
      </c>
      <c r="BX1005" s="14" t="s">
        <v>19845</v>
      </c>
      <c r="BY1005" s="14" t="s">
        <v>179</v>
      </c>
      <c r="BZ1005" s="14" t="s">
        <v>19846</v>
      </c>
      <c r="CA1005" s="15"/>
      <c r="CB1005" s="15"/>
      <c r="CC1005" s="15"/>
      <c r="CD1005" s="15"/>
      <c r="CE1005" s="15"/>
      <c r="CF1005" s="15"/>
      <c r="CG1005" s="19"/>
      <c r="CH1005" s="15"/>
      <c r="CI1005" s="19"/>
      <c r="CJ1005" s="15"/>
      <c r="CK1005" s="19"/>
      <c r="CL1005" s="15"/>
      <c r="CM1005" s="19"/>
      <c r="CN1005" s="15"/>
      <c r="CO1005" s="19"/>
      <c r="CP1005" s="15"/>
      <c r="CQ1005" s="15"/>
      <c r="CR1005" s="15"/>
      <c r="CS1005" s="19"/>
      <c r="CT1005" s="15"/>
      <c r="CU1005" s="19"/>
      <c r="CV1005" s="15"/>
      <c r="CW1005" s="19"/>
      <c r="CX1005" s="15"/>
      <c r="CY1005" s="19"/>
      <c r="CZ1005" s="15"/>
      <c r="DA1005" s="16" t="s">
        <v>197</v>
      </c>
      <c r="DB1005" s="17" t="s">
        <v>228</v>
      </c>
      <c r="DC1005" s="16"/>
      <c r="DD1005" s="17" t="s">
        <v>198</v>
      </c>
      <c r="DE1005" s="18">
        <v>45705.3503587963</v>
      </c>
      <c r="DF1005" s="17" t="s">
        <v>198</v>
      </c>
      <c r="DG1005" s="18">
        <v>45705.3503587963</v>
      </c>
      <c r="DH1005" s="13" t="s">
        <v>205</v>
      </c>
      <c r="DI1005" s="14" t="s">
        <v>179</v>
      </c>
      <c r="DJ1005" s="14" t="s">
        <v>19847</v>
      </c>
      <c r="DK1005" s="15"/>
      <c r="DL1005" s="15"/>
      <c r="DM1005" s="15"/>
      <c r="DN1005" s="15"/>
      <c r="DO1005" s="15"/>
      <c r="DP1005" s="15"/>
      <c r="DQ1005" s="15"/>
      <c r="DR1005" s="15"/>
      <c r="DS1005" s="15"/>
      <c r="DT1005" s="15"/>
      <c r="DU1005" s="15"/>
      <c r="DV1005" s="15"/>
      <c r="DW1005" s="15"/>
      <c r="DX1005" s="15"/>
      <c r="DY1005" s="15"/>
      <c r="DZ1005" s="15"/>
      <c r="EA1005" s="15"/>
      <c r="EB1005" s="15"/>
      <c r="EC1005" s="16" t="s">
        <v>197</v>
      </c>
      <c r="ED1005" s="17" t="s">
        <v>198</v>
      </c>
      <c r="EE1005" s="18">
        <v>45708.432916666665</v>
      </c>
      <c r="EF1005" s="13" t="s">
        <v>209</v>
      </c>
      <c r="EG1005" s="14" t="s">
        <v>179</v>
      </c>
      <c r="EH1005" s="14" t="s">
        <v>19848</v>
      </c>
      <c r="EI1005" s="15"/>
      <c r="EJ1005" s="15"/>
      <c r="EK1005" s="15"/>
      <c r="EL1005" s="15"/>
      <c r="EM1005" s="15"/>
      <c r="EN1005" s="15"/>
      <c r="EO1005" s="15"/>
      <c r="EP1005" s="15"/>
      <c r="EQ1005" s="15"/>
      <c r="ER1005" s="15"/>
      <c r="ES1005" s="15"/>
      <c r="ET1005" s="15"/>
      <c r="EU1005" s="15"/>
      <c r="EV1005" s="15"/>
      <c r="EW1005" s="15"/>
      <c r="EX1005" s="15"/>
      <c r="EY1005" s="15"/>
      <c r="EZ1005" s="15"/>
      <c r="FA1005" s="15"/>
      <c r="FB1005" s="15"/>
      <c r="FC1005" s="16" t="s">
        <v>197</v>
      </c>
      <c r="FD1005" s="17" t="s">
        <v>198</v>
      </c>
      <c r="FE1005" s="18">
        <v>45723.34421296296</v>
      </c>
      <c r="FF1005" s="19"/>
      <c r="FG1005" s="19"/>
      <c r="FH1005" s="21" t="s">
        <v>197</v>
      </c>
      <c r="FI1005" s="17" t="s">
        <v>214</v>
      </c>
      <c r="FJ1005" s="18">
        <v>45723.34421296296</v>
      </c>
      <c r="FK1005" s="14" t="s">
        <v>19848</v>
      </c>
      <c r="FL1005" s="19"/>
      <c r="FM1005" s="19"/>
      <c r="FN1005" s="19"/>
      <c r="FO1005" s="19"/>
      <c r="FP1005" s="19" t="str">
        <f t="shared" si="1"/>
        <v/>
      </c>
      <c r="FQ1005" s="14" t="s">
        <v>215</v>
      </c>
      <c r="FR1005" s="14" t="s">
        <v>19849</v>
      </c>
    </row>
    <row r="1006" ht="15.75" customHeight="1">
      <c r="A1006" s="12" t="s">
        <v>217</v>
      </c>
      <c r="B1006" s="12" t="s">
        <v>7566</v>
      </c>
      <c r="C1006" s="12" t="s">
        <v>219</v>
      </c>
      <c r="D1006" s="22" t="s">
        <v>19850</v>
      </c>
      <c r="E1006" s="22" t="s">
        <v>19851</v>
      </c>
      <c r="F1006" s="13" t="s">
        <v>178</v>
      </c>
      <c r="G1006" s="14" t="s">
        <v>179</v>
      </c>
      <c r="H1006" s="14" t="s">
        <v>19852</v>
      </c>
      <c r="I1006" s="14" t="s">
        <v>179</v>
      </c>
      <c r="J1006" s="14" t="s">
        <v>19853</v>
      </c>
      <c r="K1006" s="14" t="s">
        <v>179</v>
      </c>
      <c r="L1006" s="14" t="s">
        <v>19854</v>
      </c>
      <c r="M1006" s="14" t="s">
        <v>179</v>
      </c>
      <c r="N1006" s="14" t="s">
        <v>19855</v>
      </c>
      <c r="O1006" s="14" t="s">
        <v>179</v>
      </c>
      <c r="P1006" s="14" t="s">
        <v>19856</v>
      </c>
      <c r="Q1006" s="14" t="s">
        <v>179</v>
      </c>
      <c r="R1006" s="14" t="s">
        <v>19857</v>
      </c>
      <c r="S1006" s="14" t="s">
        <v>179</v>
      </c>
      <c r="T1006" s="14" t="s">
        <v>19858</v>
      </c>
      <c r="U1006" s="14" t="s">
        <v>179</v>
      </c>
      <c r="V1006" s="14" t="s">
        <v>19859</v>
      </c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  <c r="BG1006" s="15"/>
      <c r="BH1006" s="15"/>
      <c r="BI1006" s="15"/>
      <c r="BJ1006" s="15"/>
      <c r="BK1006" s="15"/>
      <c r="BL1006" s="15"/>
      <c r="BM1006" s="15"/>
      <c r="BN1006" s="15"/>
      <c r="BO1006" s="16" t="s">
        <v>197</v>
      </c>
      <c r="BP1006" s="17" t="s">
        <v>228</v>
      </c>
      <c r="BQ1006" s="23"/>
      <c r="BR1006" s="17" t="s">
        <v>198</v>
      </c>
      <c r="BS1006" s="18">
        <v>45686.39572916667</v>
      </c>
      <c r="BT1006" s="17" t="s">
        <v>198</v>
      </c>
      <c r="BU1006" s="18">
        <v>45686.39572916667</v>
      </c>
      <c r="BV1006" s="13" t="s">
        <v>199</v>
      </c>
      <c r="BW1006" s="14" t="s">
        <v>179</v>
      </c>
      <c r="BX1006" s="14" t="s">
        <v>19860</v>
      </c>
      <c r="BY1006" s="14" t="s">
        <v>179</v>
      </c>
      <c r="BZ1006" s="14" t="s">
        <v>19860</v>
      </c>
      <c r="CA1006" s="15"/>
      <c r="CB1006" s="15"/>
      <c r="CC1006" s="15"/>
      <c r="CD1006" s="15"/>
      <c r="CE1006" s="15"/>
      <c r="CF1006" s="15"/>
      <c r="CG1006" s="19"/>
      <c r="CH1006" s="15"/>
      <c r="CI1006" s="19"/>
      <c r="CJ1006" s="15"/>
      <c r="CK1006" s="19"/>
      <c r="CL1006" s="15"/>
      <c r="CM1006" s="19"/>
      <c r="CN1006" s="15"/>
      <c r="CO1006" s="19"/>
      <c r="CP1006" s="15"/>
      <c r="CQ1006" s="15"/>
      <c r="CR1006" s="15"/>
      <c r="CS1006" s="19"/>
      <c r="CT1006" s="15"/>
      <c r="CU1006" s="19"/>
      <c r="CV1006" s="15"/>
      <c r="CW1006" s="19"/>
      <c r="CX1006" s="15"/>
      <c r="CY1006" s="19"/>
      <c r="CZ1006" s="15"/>
      <c r="DA1006" s="16" t="s">
        <v>197</v>
      </c>
      <c r="DB1006" s="17" t="s">
        <v>228</v>
      </c>
      <c r="DC1006" s="16"/>
      <c r="DD1006" s="17" t="s">
        <v>198</v>
      </c>
      <c r="DE1006" s="18">
        <v>45686.39579861111</v>
      </c>
      <c r="DF1006" s="17" t="s">
        <v>198</v>
      </c>
      <c r="DG1006" s="18">
        <v>45686.39579861111</v>
      </c>
      <c r="DH1006" s="13" t="s">
        <v>205</v>
      </c>
      <c r="DI1006" s="14" t="s">
        <v>179</v>
      </c>
      <c r="DJ1006" s="14" t="s">
        <v>19861</v>
      </c>
      <c r="DK1006" s="15"/>
      <c r="DL1006" s="15"/>
      <c r="DM1006" s="15"/>
      <c r="DN1006" s="15"/>
      <c r="DO1006" s="15"/>
      <c r="DP1006" s="15"/>
      <c r="DQ1006" s="15"/>
      <c r="DR1006" s="15"/>
      <c r="DS1006" s="15"/>
      <c r="DT1006" s="15"/>
      <c r="DU1006" s="15"/>
      <c r="DV1006" s="15"/>
      <c r="DW1006" s="15"/>
      <c r="DX1006" s="15"/>
      <c r="DY1006" s="15"/>
      <c r="DZ1006" s="15"/>
      <c r="EA1006" s="15"/>
      <c r="EB1006" s="15"/>
      <c r="EC1006" s="16" t="s">
        <v>197</v>
      </c>
      <c r="ED1006" s="17" t="s">
        <v>198</v>
      </c>
      <c r="EE1006" s="18">
        <v>45699.39368055556</v>
      </c>
      <c r="EF1006" s="13" t="s">
        <v>209</v>
      </c>
      <c r="EG1006" s="14" t="s">
        <v>179</v>
      </c>
      <c r="EH1006" s="14" t="s">
        <v>19862</v>
      </c>
      <c r="EI1006" s="15"/>
      <c r="EJ1006" s="15"/>
      <c r="EK1006" s="15"/>
      <c r="EL1006" s="15"/>
      <c r="EM1006" s="15"/>
      <c r="EN1006" s="15"/>
      <c r="EO1006" s="15"/>
      <c r="EP1006" s="15"/>
      <c r="EQ1006" s="15"/>
      <c r="ER1006" s="15"/>
      <c r="ES1006" s="15"/>
      <c r="ET1006" s="15"/>
      <c r="EU1006" s="15"/>
      <c r="EV1006" s="15"/>
      <c r="EW1006" s="15"/>
      <c r="EX1006" s="15"/>
      <c r="EY1006" s="15"/>
      <c r="EZ1006" s="15"/>
      <c r="FA1006" s="15"/>
      <c r="FB1006" s="15"/>
      <c r="FC1006" s="17" t="s">
        <v>197</v>
      </c>
      <c r="FD1006" s="17" t="s">
        <v>198</v>
      </c>
      <c r="FE1006" s="18">
        <v>45723.34799768519</v>
      </c>
      <c r="FF1006" s="19"/>
      <c r="FG1006" s="19"/>
      <c r="FH1006" s="21" t="s">
        <v>197</v>
      </c>
      <c r="FI1006" s="17" t="s">
        <v>214</v>
      </c>
      <c r="FJ1006" s="18">
        <v>45723.34799768519</v>
      </c>
      <c r="FK1006" s="14" t="s">
        <v>19862</v>
      </c>
      <c r="FL1006" s="14" t="s">
        <v>19863</v>
      </c>
      <c r="FM1006" s="14" t="s">
        <v>19864</v>
      </c>
      <c r="FN1006" s="19"/>
      <c r="FO1006" s="19"/>
      <c r="FP1006" s="19" t="str">
        <f t="shared" si="1"/>
        <v>Base de Dados_Images/XV40013.Imagem do Equipamento-.164519.jpg</v>
      </c>
      <c r="FQ1006" s="19"/>
      <c r="FR1006" s="19"/>
    </row>
    <row r="1007" ht="15.75" customHeight="1">
      <c r="A1007" s="12" t="s">
        <v>217</v>
      </c>
      <c r="B1007" s="12" t="s">
        <v>7566</v>
      </c>
      <c r="C1007" s="12" t="s">
        <v>219</v>
      </c>
      <c r="D1007" s="22" t="s">
        <v>19865</v>
      </c>
      <c r="E1007" s="22" t="s">
        <v>19866</v>
      </c>
      <c r="F1007" s="13" t="s">
        <v>178</v>
      </c>
      <c r="G1007" s="14" t="s">
        <v>179</v>
      </c>
      <c r="H1007" s="14" t="s">
        <v>19867</v>
      </c>
      <c r="I1007" s="14" t="s">
        <v>179</v>
      </c>
      <c r="J1007" s="14" t="s">
        <v>19868</v>
      </c>
      <c r="K1007" s="14" t="s">
        <v>179</v>
      </c>
      <c r="L1007" s="14" t="s">
        <v>19869</v>
      </c>
      <c r="M1007" s="14" t="s">
        <v>179</v>
      </c>
      <c r="N1007" s="14" t="s">
        <v>19870</v>
      </c>
      <c r="O1007" s="14" t="s">
        <v>179</v>
      </c>
      <c r="P1007" s="14" t="s">
        <v>19871</v>
      </c>
      <c r="Q1007" s="14" t="s">
        <v>179</v>
      </c>
      <c r="R1007" s="14" t="s">
        <v>19872</v>
      </c>
      <c r="S1007" s="14" t="s">
        <v>179</v>
      </c>
      <c r="T1007" s="14" t="s">
        <v>19872</v>
      </c>
      <c r="U1007" s="14" t="s">
        <v>179</v>
      </c>
      <c r="V1007" s="14" t="s">
        <v>19873</v>
      </c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  <c r="BH1007" s="15"/>
      <c r="BI1007" s="15"/>
      <c r="BJ1007" s="15"/>
      <c r="BK1007" s="15"/>
      <c r="BL1007" s="15"/>
      <c r="BM1007" s="15"/>
      <c r="BN1007" s="15"/>
      <c r="BO1007" s="16" t="s">
        <v>197</v>
      </c>
      <c r="BP1007" s="17" t="s">
        <v>228</v>
      </c>
      <c r="BQ1007" s="23"/>
      <c r="BR1007" s="17" t="s">
        <v>198</v>
      </c>
      <c r="BS1007" s="18">
        <v>45686.37559027778</v>
      </c>
      <c r="BT1007" s="17" t="s">
        <v>198</v>
      </c>
      <c r="BU1007" s="18">
        <v>45686.37559027778</v>
      </c>
      <c r="BV1007" s="13" t="s">
        <v>199</v>
      </c>
      <c r="BW1007" s="14" t="s">
        <v>179</v>
      </c>
      <c r="BX1007" s="14" t="s">
        <v>19874</v>
      </c>
      <c r="BY1007" s="14" t="s">
        <v>179</v>
      </c>
      <c r="BZ1007" s="14" t="s">
        <v>19875</v>
      </c>
      <c r="CA1007" s="15"/>
      <c r="CB1007" s="15"/>
      <c r="CC1007" s="15"/>
      <c r="CD1007" s="15"/>
      <c r="CE1007" s="15"/>
      <c r="CF1007" s="15"/>
      <c r="CG1007" s="19"/>
      <c r="CH1007" s="15"/>
      <c r="CI1007" s="19"/>
      <c r="CJ1007" s="15"/>
      <c r="CK1007" s="19"/>
      <c r="CL1007" s="15"/>
      <c r="CM1007" s="19"/>
      <c r="CN1007" s="15"/>
      <c r="CO1007" s="19"/>
      <c r="CP1007" s="15"/>
      <c r="CQ1007" s="15"/>
      <c r="CR1007" s="15"/>
      <c r="CS1007" s="19"/>
      <c r="CT1007" s="15"/>
      <c r="CU1007" s="19"/>
      <c r="CV1007" s="15"/>
      <c r="CW1007" s="19"/>
      <c r="CX1007" s="15"/>
      <c r="CY1007" s="19"/>
      <c r="CZ1007" s="15"/>
      <c r="DA1007" s="16" t="s">
        <v>197</v>
      </c>
      <c r="DB1007" s="17" t="s">
        <v>228</v>
      </c>
      <c r="DC1007" s="16"/>
      <c r="DD1007" s="17" t="s">
        <v>198</v>
      </c>
      <c r="DE1007" s="18">
        <v>45686.37569444445</v>
      </c>
      <c r="DF1007" s="17" t="s">
        <v>198</v>
      </c>
      <c r="DG1007" s="18">
        <v>45686.37569444445</v>
      </c>
      <c r="DH1007" s="13" t="s">
        <v>205</v>
      </c>
      <c r="DI1007" s="14" t="s">
        <v>179</v>
      </c>
      <c r="DJ1007" s="14" t="s">
        <v>19876</v>
      </c>
      <c r="DK1007" s="15"/>
      <c r="DL1007" s="15"/>
      <c r="DM1007" s="15"/>
      <c r="DN1007" s="15"/>
      <c r="DO1007" s="15"/>
      <c r="DP1007" s="15"/>
      <c r="DQ1007" s="15"/>
      <c r="DR1007" s="15"/>
      <c r="DS1007" s="15"/>
      <c r="DT1007" s="15"/>
      <c r="DU1007" s="15"/>
      <c r="DV1007" s="15"/>
      <c r="DW1007" s="15"/>
      <c r="DX1007" s="15"/>
      <c r="DY1007" s="15"/>
      <c r="DZ1007" s="15"/>
      <c r="EA1007" s="15"/>
      <c r="EB1007" s="15"/>
      <c r="EC1007" s="16" t="s">
        <v>197</v>
      </c>
      <c r="ED1007" s="17" t="s">
        <v>198</v>
      </c>
      <c r="EE1007" s="18">
        <v>45699.403969907406</v>
      </c>
      <c r="EF1007" s="13" t="s">
        <v>209</v>
      </c>
      <c r="EG1007" s="14" t="s">
        <v>179</v>
      </c>
      <c r="EH1007" s="14" t="s">
        <v>19877</v>
      </c>
      <c r="EI1007" s="15"/>
      <c r="EJ1007" s="15"/>
      <c r="EK1007" s="15"/>
      <c r="EL1007" s="15"/>
      <c r="EM1007" s="15"/>
      <c r="EN1007" s="15"/>
      <c r="EO1007" s="15"/>
      <c r="EP1007" s="15"/>
      <c r="EQ1007" s="15"/>
      <c r="ER1007" s="15"/>
      <c r="ES1007" s="15"/>
      <c r="ET1007" s="15"/>
      <c r="EU1007" s="15"/>
      <c r="EV1007" s="15"/>
      <c r="EW1007" s="15"/>
      <c r="EX1007" s="15"/>
      <c r="EY1007" s="15"/>
      <c r="EZ1007" s="15"/>
      <c r="FA1007" s="15"/>
      <c r="FB1007" s="15"/>
      <c r="FC1007" s="16" t="s">
        <v>197</v>
      </c>
      <c r="FD1007" s="17" t="s">
        <v>198</v>
      </c>
      <c r="FE1007" s="18">
        <v>45723.344409722224</v>
      </c>
      <c r="FF1007" s="19"/>
      <c r="FG1007" s="19"/>
      <c r="FH1007" s="21" t="s">
        <v>197</v>
      </c>
      <c r="FI1007" s="17" t="s">
        <v>214</v>
      </c>
      <c r="FJ1007" s="18">
        <v>45723.344409722224</v>
      </c>
      <c r="FK1007" s="14" t="s">
        <v>19877</v>
      </c>
      <c r="FL1007" s="14" t="s">
        <v>19878</v>
      </c>
      <c r="FM1007" s="14" t="s">
        <v>19879</v>
      </c>
      <c r="FN1007" s="19"/>
      <c r="FO1007" s="19"/>
      <c r="FP1007" s="19" t="str">
        <f t="shared" si="1"/>
        <v>Base de Dados_Images/XV40014.Imagem do Equipamento-.180441.jpg</v>
      </c>
      <c r="FQ1007" s="19"/>
      <c r="FR1007" s="19"/>
    </row>
    <row r="1008" ht="15.75" customHeight="1">
      <c r="A1008" s="12" t="s">
        <v>217</v>
      </c>
      <c r="B1008" s="12" t="s">
        <v>7566</v>
      </c>
      <c r="C1008" s="12" t="s">
        <v>219</v>
      </c>
      <c r="D1008" s="22" t="s">
        <v>19880</v>
      </c>
      <c r="E1008" s="22" t="s">
        <v>19881</v>
      </c>
      <c r="F1008" s="13" t="s">
        <v>178</v>
      </c>
      <c r="G1008" s="14" t="s">
        <v>179</v>
      </c>
      <c r="H1008" s="14" t="s">
        <v>19882</v>
      </c>
      <c r="I1008" s="14" t="s">
        <v>179</v>
      </c>
      <c r="J1008" s="14" t="s">
        <v>19883</v>
      </c>
      <c r="K1008" s="14" t="s">
        <v>179</v>
      </c>
      <c r="L1008" s="14" t="s">
        <v>19884</v>
      </c>
      <c r="M1008" s="14" t="s">
        <v>179</v>
      </c>
      <c r="N1008" s="14" t="s">
        <v>19884</v>
      </c>
      <c r="O1008" s="14" t="s">
        <v>179</v>
      </c>
      <c r="P1008" s="14" t="s">
        <v>19885</v>
      </c>
      <c r="Q1008" s="14" t="s">
        <v>179</v>
      </c>
      <c r="R1008" s="14" t="s">
        <v>19885</v>
      </c>
      <c r="S1008" s="14" t="s">
        <v>179</v>
      </c>
      <c r="T1008" s="14" t="s">
        <v>19886</v>
      </c>
      <c r="U1008" s="14" t="s">
        <v>179</v>
      </c>
      <c r="V1008" s="14" t="s">
        <v>19887</v>
      </c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/>
      <c r="BG1008" s="15"/>
      <c r="BH1008" s="15"/>
      <c r="BI1008" s="15"/>
      <c r="BJ1008" s="15"/>
      <c r="BK1008" s="15"/>
      <c r="BL1008" s="15"/>
      <c r="BM1008" s="15"/>
      <c r="BN1008" s="15"/>
      <c r="BO1008" s="16" t="s">
        <v>197</v>
      </c>
      <c r="BP1008" s="17" t="s">
        <v>228</v>
      </c>
      <c r="BQ1008" s="23"/>
      <c r="BR1008" s="17" t="s">
        <v>198</v>
      </c>
      <c r="BS1008" s="18">
        <v>45686.37603009259</v>
      </c>
      <c r="BT1008" s="17" t="s">
        <v>198</v>
      </c>
      <c r="BU1008" s="18">
        <v>45686.37603009259</v>
      </c>
      <c r="BV1008" s="13" t="s">
        <v>199</v>
      </c>
      <c r="BW1008" s="14" t="s">
        <v>179</v>
      </c>
      <c r="BX1008" s="14" t="s">
        <v>19888</v>
      </c>
      <c r="BY1008" s="14" t="s">
        <v>179</v>
      </c>
      <c r="BZ1008" s="14" t="s">
        <v>19889</v>
      </c>
      <c r="CA1008" s="15"/>
      <c r="CB1008" s="15"/>
      <c r="CC1008" s="15"/>
      <c r="CD1008" s="15"/>
      <c r="CE1008" s="15"/>
      <c r="CF1008" s="15"/>
      <c r="CG1008" s="19"/>
      <c r="CH1008" s="15"/>
      <c r="CI1008" s="19"/>
      <c r="CJ1008" s="15"/>
      <c r="CK1008" s="19"/>
      <c r="CL1008" s="15"/>
      <c r="CM1008" s="19"/>
      <c r="CN1008" s="15"/>
      <c r="CO1008" s="19"/>
      <c r="CP1008" s="15"/>
      <c r="CQ1008" s="15"/>
      <c r="CR1008" s="15"/>
      <c r="CS1008" s="19"/>
      <c r="CT1008" s="15"/>
      <c r="CU1008" s="19"/>
      <c r="CV1008" s="15"/>
      <c r="CW1008" s="19"/>
      <c r="CX1008" s="15"/>
      <c r="CY1008" s="19"/>
      <c r="CZ1008" s="15"/>
      <c r="DA1008" s="16" t="s">
        <v>197</v>
      </c>
      <c r="DB1008" s="17" t="s">
        <v>228</v>
      </c>
      <c r="DC1008" s="16"/>
      <c r="DD1008" s="17" t="s">
        <v>198</v>
      </c>
      <c r="DE1008" s="18">
        <v>45686.37616898148</v>
      </c>
      <c r="DF1008" s="17" t="s">
        <v>198</v>
      </c>
      <c r="DG1008" s="18">
        <v>45686.37616898148</v>
      </c>
      <c r="DH1008" s="13" t="s">
        <v>205</v>
      </c>
      <c r="DI1008" s="14" t="s">
        <v>179</v>
      </c>
      <c r="DJ1008" s="14" t="s">
        <v>19890</v>
      </c>
      <c r="DK1008" s="15"/>
      <c r="DL1008" s="15"/>
      <c r="DM1008" s="15"/>
      <c r="DN1008" s="15"/>
      <c r="DO1008" s="15"/>
      <c r="DP1008" s="15"/>
      <c r="DQ1008" s="15"/>
      <c r="DR1008" s="15"/>
      <c r="DS1008" s="15"/>
      <c r="DT1008" s="15"/>
      <c r="DU1008" s="15"/>
      <c r="DV1008" s="15"/>
      <c r="DW1008" s="15"/>
      <c r="DX1008" s="15"/>
      <c r="DY1008" s="15"/>
      <c r="DZ1008" s="15"/>
      <c r="EA1008" s="15"/>
      <c r="EB1008" s="15"/>
      <c r="EC1008" s="16" t="s">
        <v>197</v>
      </c>
      <c r="ED1008" s="17" t="s">
        <v>198</v>
      </c>
      <c r="EE1008" s="18">
        <v>45699.405023148145</v>
      </c>
      <c r="EF1008" s="13" t="s">
        <v>209</v>
      </c>
      <c r="EG1008" s="14" t="s">
        <v>179</v>
      </c>
      <c r="EH1008" s="14" t="s">
        <v>19891</v>
      </c>
      <c r="EI1008" s="15"/>
      <c r="EJ1008" s="15"/>
      <c r="EK1008" s="15"/>
      <c r="EL1008" s="15"/>
      <c r="EM1008" s="15"/>
      <c r="EN1008" s="15"/>
      <c r="EO1008" s="15"/>
      <c r="EP1008" s="15"/>
      <c r="EQ1008" s="15"/>
      <c r="ER1008" s="15"/>
      <c r="ES1008" s="15"/>
      <c r="ET1008" s="15"/>
      <c r="EU1008" s="15"/>
      <c r="EV1008" s="15"/>
      <c r="EW1008" s="15"/>
      <c r="EX1008" s="15"/>
      <c r="EY1008" s="15"/>
      <c r="EZ1008" s="15"/>
      <c r="FA1008" s="15"/>
      <c r="FB1008" s="15"/>
      <c r="FC1008" s="16" t="s">
        <v>197</v>
      </c>
      <c r="FD1008" s="17" t="s">
        <v>198</v>
      </c>
      <c r="FE1008" s="18">
        <v>45723.34446759259</v>
      </c>
      <c r="FF1008" s="19"/>
      <c r="FG1008" s="19"/>
      <c r="FH1008" s="21" t="s">
        <v>197</v>
      </c>
      <c r="FI1008" s="17" t="s">
        <v>214</v>
      </c>
      <c r="FJ1008" s="18">
        <v>45723.34446759259</v>
      </c>
      <c r="FK1008" s="14" t="s">
        <v>19891</v>
      </c>
      <c r="FL1008" s="14" t="s">
        <v>19892</v>
      </c>
      <c r="FM1008" s="14" t="s">
        <v>19893</v>
      </c>
      <c r="FN1008" s="19"/>
      <c r="FO1008" s="19"/>
      <c r="FP1008" s="19" t="str">
        <f t="shared" si="1"/>
        <v>Base de Dados_Images/XV40015.Imagem do Equipamento-.180503.jpg</v>
      </c>
      <c r="FQ1008" s="19"/>
      <c r="FR1008" s="19"/>
    </row>
    <row r="1009" ht="15.75" customHeight="1">
      <c r="A1009" s="12" t="s">
        <v>217</v>
      </c>
      <c r="B1009" s="12" t="s">
        <v>7566</v>
      </c>
      <c r="C1009" s="12" t="s">
        <v>219</v>
      </c>
      <c r="D1009" s="22" t="s">
        <v>19894</v>
      </c>
      <c r="E1009" s="22" t="s">
        <v>19895</v>
      </c>
      <c r="F1009" s="13" t="s">
        <v>178</v>
      </c>
      <c r="G1009" s="14" t="s">
        <v>179</v>
      </c>
      <c r="H1009" s="14" t="s">
        <v>19896</v>
      </c>
      <c r="I1009" s="14" t="s">
        <v>179</v>
      </c>
      <c r="J1009" s="14" t="s">
        <v>19896</v>
      </c>
      <c r="K1009" s="14" t="s">
        <v>179</v>
      </c>
      <c r="L1009" s="14" t="s">
        <v>19897</v>
      </c>
      <c r="M1009" s="14" t="s">
        <v>179</v>
      </c>
      <c r="N1009" s="14" t="s">
        <v>19897</v>
      </c>
      <c r="O1009" s="14" t="s">
        <v>179</v>
      </c>
      <c r="P1009" s="14" t="s">
        <v>19898</v>
      </c>
      <c r="Q1009" s="14" t="s">
        <v>179</v>
      </c>
      <c r="R1009" s="14" t="s">
        <v>19899</v>
      </c>
      <c r="S1009" s="14" t="s">
        <v>179</v>
      </c>
      <c r="T1009" s="14" t="s">
        <v>19900</v>
      </c>
      <c r="U1009" s="14" t="s">
        <v>179</v>
      </c>
      <c r="V1009" s="14" t="s">
        <v>19901</v>
      </c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  <c r="BH1009" s="15"/>
      <c r="BI1009" s="15"/>
      <c r="BJ1009" s="15"/>
      <c r="BK1009" s="15"/>
      <c r="BL1009" s="15"/>
      <c r="BM1009" s="15"/>
      <c r="BN1009" s="15"/>
      <c r="BO1009" s="16" t="s">
        <v>197</v>
      </c>
      <c r="BP1009" s="17" t="s">
        <v>228</v>
      </c>
      <c r="BQ1009" s="23"/>
      <c r="BR1009" s="17" t="s">
        <v>198</v>
      </c>
      <c r="BS1009" s="18">
        <v>45686.3765162037</v>
      </c>
      <c r="BT1009" s="17" t="s">
        <v>198</v>
      </c>
      <c r="BU1009" s="18">
        <v>45686.3765162037</v>
      </c>
      <c r="BV1009" s="13" t="s">
        <v>199</v>
      </c>
      <c r="BW1009" s="14" t="s">
        <v>179</v>
      </c>
      <c r="BX1009" s="14" t="s">
        <v>19902</v>
      </c>
      <c r="BY1009" s="14" t="s">
        <v>179</v>
      </c>
      <c r="BZ1009" s="14" t="s">
        <v>19903</v>
      </c>
      <c r="CA1009" s="15"/>
      <c r="CB1009" s="15"/>
      <c r="CC1009" s="15"/>
      <c r="CD1009" s="15"/>
      <c r="CE1009" s="15"/>
      <c r="CF1009" s="15"/>
      <c r="CG1009" s="19"/>
      <c r="CH1009" s="15"/>
      <c r="CI1009" s="19"/>
      <c r="CJ1009" s="15"/>
      <c r="CK1009" s="19"/>
      <c r="CL1009" s="15"/>
      <c r="CM1009" s="19"/>
      <c r="CN1009" s="15"/>
      <c r="CO1009" s="19"/>
      <c r="CP1009" s="15"/>
      <c r="CQ1009" s="15"/>
      <c r="CR1009" s="15"/>
      <c r="CS1009" s="19"/>
      <c r="CT1009" s="15"/>
      <c r="CU1009" s="19"/>
      <c r="CV1009" s="15"/>
      <c r="CW1009" s="19"/>
      <c r="CX1009" s="15"/>
      <c r="CY1009" s="19"/>
      <c r="CZ1009" s="15"/>
      <c r="DA1009" s="16" t="s">
        <v>197</v>
      </c>
      <c r="DB1009" s="17" t="s">
        <v>228</v>
      </c>
      <c r="DC1009" s="16"/>
      <c r="DD1009" s="17" t="s">
        <v>198</v>
      </c>
      <c r="DE1009" s="18">
        <v>45686.37658564815</v>
      </c>
      <c r="DF1009" s="17" t="s">
        <v>198</v>
      </c>
      <c r="DG1009" s="18">
        <v>45686.37658564815</v>
      </c>
      <c r="DH1009" s="13" t="s">
        <v>205</v>
      </c>
      <c r="DI1009" s="14" t="s">
        <v>179</v>
      </c>
      <c r="DJ1009" s="14" t="s">
        <v>19904</v>
      </c>
      <c r="DK1009" s="15"/>
      <c r="DL1009" s="15"/>
      <c r="DM1009" s="15"/>
      <c r="DN1009" s="15"/>
      <c r="DO1009" s="15"/>
      <c r="DP1009" s="15"/>
      <c r="DQ1009" s="15"/>
      <c r="DR1009" s="15"/>
      <c r="DS1009" s="15"/>
      <c r="DT1009" s="15"/>
      <c r="DU1009" s="15"/>
      <c r="DV1009" s="15"/>
      <c r="DW1009" s="15"/>
      <c r="DX1009" s="15"/>
      <c r="DY1009" s="15"/>
      <c r="DZ1009" s="15"/>
      <c r="EA1009" s="15"/>
      <c r="EB1009" s="15"/>
      <c r="EC1009" s="16" t="s">
        <v>197</v>
      </c>
      <c r="ED1009" s="17" t="s">
        <v>198</v>
      </c>
      <c r="EE1009" s="18">
        <v>45699.40515046296</v>
      </c>
      <c r="EF1009" s="13" t="s">
        <v>209</v>
      </c>
      <c r="EG1009" s="14" t="s">
        <v>179</v>
      </c>
      <c r="EH1009" s="14" t="s">
        <v>19905</v>
      </c>
      <c r="EI1009" s="15"/>
      <c r="EJ1009" s="15"/>
      <c r="EK1009" s="15"/>
      <c r="EL1009" s="15"/>
      <c r="EM1009" s="15"/>
      <c r="EN1009" s="15"/>
      <c r="EO1009" s="15"/>
      <c r="EP1009" s="15"/>
      <c r="EQ1009" s="15"/>
      <c r="ER1009" s="15"/>
      <c r="ES1009" s="15"/>
      <c r="ET1009" s="15"/>
      <c r="EU1009" s="15"/>
      <c r="EV1009" s="15"/>
      <c r="EW1009" s="15"/>
      <c r="EX1009" s="15"/>
      <c r="EY1009" s="15"/>
      <c r="EZ1009" s="15"/>
      <c r="FA1009" s="15"/>
      <c r="FB1009" s="15"/>
      <c r="FC1009" s="16" t="s">
        <v>197</v>
      </c>
      <c r="FD1009" s="17" t="s">
        <v>198</v>
      </c>
      <c r="FE1009" s="18">
        <v>45723.34452546296</v>
      </c>
      <c r="FF1009" s="19"/>
      <c r="FG1009" s="19"/>
      <c r="FH1009" s="21" t="s">
        <v>197</v>
      </c>
      <c r="FI1009" s="17" t="s">
        <v>214</v>
      </c>
      <c r="FJ1009" s="18">
        <v>45723.34452546296</v>
      </c>
      <c r="FK1009" s="14" t="s">
        <v>19905</v>
      </c>
      <c r="FL1009" s="14" t="s">
        <v>19906</v>
      </c>
      <c r="FM1009" s="14" t="s">
        <v>19907</v>
      </c>
      <c r="FN1009" s="19"/>
      <c r="FO1009" s="19"/>
      <c r="FP1009" s="19" t="str">
        <f t="shared" si="1"/>
        <v>Base de Dados_Images/XV40016.Imagem do Equipamento-.180451.jpg</v>
      </c>
      <c r="FQ1009" s="19"/>
      <c r="FR1009" s="19"/>
    </row>
    <row r="1010" ht="15.75" customHeight="1">
      <c r="A1010" s="12" t="s">
        <v>217</v>
      </c>
      <c r="B1010" s="12" t="s">
        <v>7566</v>
      </c>
      <c r="C1010" s="12" t="s">
        <v>219</v>
      </c>
      <c r="D1010" s="22" t="s">
        <v>19908</v>
      </c>
      <c r="E1010" s="22" t="s">
        <v>19909</v>
      </c>
      <c r="F1010" s="13" t="s">
        <v>178</v>
      </c>
      <c r="G1010" s="14" t="s">
        <v>179</v>
      </c>
      <c r="H1010" s="14" t="s">
        <v>19910</v>
      </c>
      <c r="I1010" s="14" t="s">
        <v>179</v>
      </c>
      <c r="J1010" s="14" t="s">
        <v>19911</v>
      </c>
      <c r="K1010" s="14" t="s">
        <v>179</v>
      </c>
      <c r="L1010" s="14" t="s">
        <v>19912</v>
      </c>
      <c r="M1010" s="14" t="s">
        <v>179</v>
      </c>
      <c r="N1010" s="14" t="s">
        <v>19913</v>
      </c>
      <c r="O1010" s="14" t="s">
        <v>179</v>
      </c>
      <c r="P1010" s="14" t="s">
        <v>19914</v>
      </c>
      <c r="Q1010" s="14" t="s">
        <v>179</v>
      </c>
      <c r="R1010" s="14" t="s">
        <v>19915</v>
      </c>
      <c r="S1010" s="14" t="s">
        <v>179</v>
      </c>
      <c r="T1010" s="14" t="s">
        <v>19916</v>
      </c>
      <c r="U1010" s="14" t="s">
        <v>179</v>
      </c>
      <c r="V1010" s="14" t="s">
        <v>19917</v>
      </c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5"/>
      <c r="BF1010" s="15"/>
      <c r="BG1010" s="15"/>
      <c r="BH1010" s="15"/>
      <c r="BI1010" s="15"/>
      <c r="BJ1010" s="15"/>
      <c r="BK1010" s="15"/>
      <c r="BL1010" s="15"/>
      <c r="BM1010" s="15"/>
      <c r="BN1010" s="15"/>
      <c r="BO1010" s="16" t="s">
        <v>197</v>
      </c>
      <c r="BP1010" s="17" t="s">
        <v>228</v>
      </c>
      <c r="BQ1010" s="23"/>
      <c r="BR1010" s="17" t="s">
        <v>198</v>
      </c>
      <c r="BS1010" s="18">
        <v>45686.377905092595</v>
      </c>
      <c r="BT1010" s="17" t="s">
        <v>198</v>
      </c>
      <c r="BU1010" s="18">
        <v>45686.377905092595</v>
      </c>
      <c r="BV1010" s="13" t="s">
        <v>199</v>
      </c>
      <c r="BW1010" s="14" t="s">
        <v>179</v>
      </c>
      <c r="BX1010" s="14" t="s">
        <v>19918</v>
      </c>
      <c r="BY1010" s="14" t="s">
        <v>179</v>
      </c>
      <c r="BZ1010" s="14" t="s">
        <v>19919</v>
      </c>
      <c r="CA1010" s="15"/>
      <c r="CB1010" s="15"/>
      <c r="CC1010" s="15"/>
      <c r="CD1010" s="15"/>
      <c r="CE1010" s="15"/>
      <c r="CF1010" s="15"/>
      <c r="CG1010" s="19"/>
      <c r="CH1010" s="15"/>
      <c r="CI1010" s="19"/>
      <c r="CJ1010" s="15"/>
      <c r="CK1010" s="19"/>
      <c r="CL1010" s="15"/>
      <c r="CM1010" s="19"/>
      <c r="CN1010" s="15"/>
      <c r="CO1010" s="19"/>
      <c r="CP1010" s="15"/>
      <c r="CQ1010" s="15"/>
      <c r="CR1010" s="15"/>
      <c r="CS1010" s="19"/>
      <c r="CT1010" s="15"/>
      <c r="CU1010" s="19"/>
      <c r="CV1010" s="15"/>
      <c r="CW1010" s="19"/>
      <c r="CX1010" s="15"/>
      <c r="CY1010" s="19"/>
      <c r="CZ1010" s="15"/>
      <c r="DA1010" s="16" t="s">
        <v>197</v>
      </c>
      <c r="DB1010" s="17" t="s">
        <v>228</v>
      </c>
      <c r="DC1010" s="16"/>
      <c r="DD1010" s="17" t="s">
        <v>198</v>
      </c>
      <c r="DE1010" s="18">
        <v>45686.377962962964</v>
      </c>
      <c r="DF1010" s="17" t="s">
        <v>198</v>
      </c>
      <c r="DG1010" s="18">
        <v>45686.377962962964</v>
      </c>
      <c r="DH1010" s="13" t="s">
        <v>205</v>
      </c>
      <c r="DI1010" s="14" t="s">
        <v>179</v>
      </c>
      <c r="DJ1010" s="14" t="s">
        <v>19920</v>
      </c>
      <c r="DK1010" s="15"/>
      <c r="DL1010" s="15"/>
      <c r="DM1010" s="15"/>
      <c r="DN1010" s="15"/>
      <c r="DO1010" s="15"/>
      <c r="DP1010" s="15"/>
      <c r="DQ1010" s="15"/>
      <c r="DR1010" s="15"/>
      <c r="DS1010" s="15"/>
      <c r="DT1010" s="15"/>
      <c r="DU1010" s="15"/>
      <c r="DV1010" s="15"/>
      <c r="DW1010" s="15"/>
      <c r="DX1010" s="15"/>
      <c r="DY1010" s="15"/>
      <c r="DZ1010" s="15"/>
      <c r="EA1010" s="15"/>
      <c r="EB1010" s="15"/>
      <c r="EC1010" s="16" t="s">
        <v>197</v>
      </c>
      <c r="ED1010" s="17" t="s">
        <v>198</v>
      </c>
      <c r="EE1010" s="18">
        <v>45699.405625</v>
      </c>
      <c r="EF1010" s="13" t="s">
        <v>209</v>
      </c>
      <c r="EG1010" s="14" t="s">
        <v>179</v>
      </c>
      <c r="EH1010" s="14" t="s">
        <v>19921</v>
      </c>
      <c r="EI1010" s="15"/>
      <c r="EJ1010" s="15"/>
      <c r="EK1010" s="15"/>
      <c r="EL1010" s="15"/>
      <c r="EM1010" s="15"/>
      <c r="EN1010" s="15"/>
      <c r="EO1010" s="15"/>
      <c r="EP1010" s="15"/>
      <c r="EQ1010" s="15"/>
      <c r="ER1010" s="15"/>
      <c r="ES1010" s="15"/>
      <c r="ET1010" s="15"/>
      <c r="EU1010" s="15"/>
      <c r="EV1010" s="15"/>
      <c r="EW1010" s="15"/>
      <c r="EX1010" s="15"/>
      <c r="EY1010" s="15"/>
      <c r="EZ1010" s="15"/>
      <c r="FA1010" s="15"/>
      <c r="FB1010" s="15"/>
      <c r="FC1010" s="16" t="s">
        <v>197</v>
      </c>
      <c r="FD1010" s="17" t="s">
        <v>198</v>
      </c>
      <c r="FE1010" s="18">
        <v>45723.34458333333</v>
      </c>
      <c r="FF1010" s="19"/>
      <c r="FG1010" s="19"/>
      <c r="FH1010" s="21" t="s">
        <v>197</v>
      </c>
      <c r="FI1010" s="17" t="s">
        <v>214</v>
      </c>
      <c r="FJ1010" s="18">
        <v>45723.34458333333</v>
      </c>
      <c r="FK1010" s="14" t="s">
        <v>19921</v>
      </c>
      <c r="FL1010" s="14" t="s">
        <v>19922</v>
      </c>
      <c r="FM1010" s="14" t="s">
        <v>19923</v>
      </c>
      <c r="FN1010" s="19"/>
      <c r="FO1010" s="19"/>
      <c r="FP1010" s="19" t="str">
        <f t="shared" si="1"/>
        <v>Base de Dados_Images/XV40017.Imagem do Equipamento-.154157.jpg</v>
      </c>
      <c r="FQ1010" s="19"/>
      <c r="FR1010" s="19"/>
    </row>
    <row r="1011" ht="15.75" customHeight="1">
      <c r="A1011" s="12" t="s">
        <v>217</v>
      </c>
      <c r="B1011" s="12" t="s">
        <v>7566</v>
      </c>
      <c r="C1011" s="12" t="s">
        <v>219</v>
      </c>
      <c r="D1011" s="22" t="s">
        <v>19924</v>
      </c>
      <c r="E1011" s="22" t="s">
        <v>19925</v>
      </c>
      <c r="F1011" s="13" t="s">
        <v>178</v>
      </c>
      <c r="G1011" s="14" t="s">
        <v>179</v>
      </c>
      <c r="H1011" s="14" t="s">
        <v>19926</v>
      </c>
      <c r="I1011" s="14" t="s">
        <v>179</v>
      </c>
      <c r="J1011" s="14" t="s">
        <v>19927</v>
      </c>
      <c r="K1011" s="14" t="s">
        <v>179</v>
      </c>
      <c r="L1011" s="14" t="s">
        <v>19928</v>
      </c>
      <c r="M1011" s="14" t="s">
        <v>179</v>
      </c>
      <c r="N1011" s="14" t="s">
        <v>19929</v>
      </c>
      <c r="O1011" s="14" t="s">
        <v>179</v>
      </c>
      <c r="P1011" s="14" t="s">
        <v>19930</v>
      </c>
      <c r="Q1011" s="14" t="s">
        <v>179</v>
      </c>
      <c r="R1011" s="14" t="s">
        <v>19931</v>
      </c>
      <c r="S1011" s="14" t="s">
        <v>179</v>
      </c>
      <c r="T1011" s="14" t="s">
        <v>19932</v>
      </c>
      <c r="U1011" s="14" t="s">
        <v>179</v>
      </c>
      <c r="V1011" s="14" t="s">
        <v>19933</v>
      </c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  <c r="BH1011" s="15"/>
      <c r="BI1011" s="15"/>
      <c r="BJ1011" s="15"/>
      <c r="BK1011" s="15"/>
      <c r="BL1011" s="15"/>
      <c r="BM1011" s="15"/>
      <c r="BN1011" s="15"/>
      <c r="BO1011" s="16" t="s">
        <v>197</v>
      </c>
      <c r="BP1011" s="17" t="s">
        <v>228</v>
      </c>
      <c r="BQ1011" s="23"/>
      <c r="BR1011" s="17" t="s">
        <v>198</v>
      </c>
      <c r="BS1011" s="18">
        <v>45686.579675925925</v>
      </c>
      <c r="BT1011" s="17" t="s">
        <v>198</v>
      </c>
      <c r="BU1011" s="18">
        <v>45686.579675925925</v>
      </c>
      <c r="BV1011" s="13" t="s">
        <v>199</v>
      </c>
      <c r="BW1011" s="14" t="s">
        <v>179</v>
      </c>
      <c r="BX1011" s="14" t="s">
        <v>19934</v>
      </c>
      <c r="BY1011" s="14" t="s">
        <v>179</v>
      </c>
      <c r="BZ1011" s="14" t="s">
        <v>19935</v>
      </c>
      <c r="CA1011" s="15"/>
      <c r="CB1011" s="15"/>
      <c r="CC1011" s="15"/>
      <c r="CD1011" s="15"/>
      <c r="CE1011" s="15"/>
      <c r="CF1011" s="15"/>
      <c r="CG1011" s="19"/>
      <c r="CH1011" s="15"/>
      <c r="CI1011" s="19"/>
      <c r="CJ1011" s="15"/>
      <c r="CK1011" s="19"/>
      <c r="CL1011" s="15"/>
      <c r="CM1011" s="19"/>
      <c r="CN1011" s="15"/>
      <c r="CO1011" s="19"/>
      <c r="CP1011" s="15"/>
      <c r="CQ1011" s="15"/>
      <c r="CR1011" s="15"/>
      <c r="CS1011" s="19"/>
      <c r="CT1011" s="15"/>
      <c r="CU1011" s="19"/>
      <c r="CV1011" s="15"/>
      <c r="CW1011" s="19"/>
      <c r="CX1011" s="15"/>
      <c r="CY1011" s="19"/>
      <c r="CZ1011" s="15"/>
      <c r="DA1011" s="16" t="s">
        <v>197</v>
      </c>
      <c r="DB1011" s="17" t="s">
        <v>228</v>
      </c>
      <c r="DC1011" s="16"/>
      <c r="DD1011" s="17" t="s">
        <v>198</v>
      </c>
      <c r="DE1011" s="18">
        <v>45686.57975694445</v>
      </c>
      <c r="DF1011" s="17" t="s">
        <v>198</v>
      </c>
      <c r="DG1011" s="18">
        <v>45686.57975694445</v>
      </c>
      <c r="DH1011" s="13" t="s">
        <v>205</v>
      </c>
      <c r="DI1011" s="14" t="s">
        <v>179</v>
      </c>
      <c r="DJ1011" s="14" t="s">
        <v>19936</v>
      </c>
      <c r="DK1011" s="15"/>
      <c r="DL1011" s="15"/>
      <c r="DM1011" s="15"/>
      <c r="DN1011" s="15"/>
      <c r="DO1011" s="15"/>
      <c r="DP1011" s="15"/>
      <c r="DQ1011" s="15"/>
      <c r="DR1011" s="15"/>
      <c r="DS1011" s="15"/>
      <c r="DT1011" s="15"/>
      <c r="DU1011" s="15"/>
      <c r="DV1011" s="15"/>
      <c r="DW1011" s="15"/>
      <c r="DX1011" s="15"/>
      <c r="DY1011" s="15"/>
      <c r="DZ1011" s="15"/>
      <c r="EA1011" s="15"/>
      <c r="EB1011" s="15"/>
      <c r="EC1011" s="16" t="s">
        <v>197</v>
      </c>
      <c r="ED1011" s="17" t="s">
        <v>198</v>
      </c>
      <c r="EE1011" s="18">
        <v>45699.40582175926</v>
      </c>
      <c r="EF1011" s="13" t="s">
        <v>209</v>
      </c>
      <c r="EG1011" s="14" t="s">
        <v>179</v>
      </c>
      <c r="EH1011" s="14" t="s">
        <v>19937</v>
      </c>
      <c r="EI1011" s="15"/>
      <c r="EJ1011" s="15"/>
      <c r="EK1011" s="15"/>
      <c r="EL1011" s="15"/>
      <c r="EM1011" s="15"/>
      <c r="EN1011" s="15"/>
      <c r="EO1011" s="15"/>
      <c r="EP1011" s="15"/>
      <c r="EQ1011" s="15"/>
      <c r="ER1011" s="15"/>
      <c r="ES1011" s="15"/>
      <c r="ET1011" s="15"/>
      <c r="EU1011" s="15"/>
      <c r="EV1011" s="15"/>
      <c r="EW1011" s="15"/>
      <c r="EX1011" s="15"/>
      <c r="EY1011" s="15"/>
      <c r="EZ1011" s="15"/>
      <c r="FA1011" s="15"/>
      <c r="FB1011" s="15"/>
      <c r="FC1011" s="16" t="s">
        <v>197</v>
      </c>
      <c r="FD1011" s="17" t="s">
        <v>198</v>
      </c>
      <c r="FE1011" s="18">
        <v>45723.34465277778</v>
      </c>
      <c r="FF1011" s="19"/>
      <c r="FG1011" s="19"/>
      <c r="FH1011" s="21" t="s">
        <v>197</v>
      </c>
      <c r="FI1011" s="17" t="s">
        <v>214</v>
      </c>
      <c r="FJ1011" s="18">
        <v>45723.34465277778</v>
      </c>
      <c r="FK1011" s="14" t="s">
        <v>19937</v>
      </c>
      <c r="FL1011" s="19"/>
      <c r="FM1011" s="19"/>
      <c r="FN1011" s="19"/>
      <c r="FO1011" s="19"/>
      <c r="FP1011" s="19" t="str">
        <f t="shared" si="1"/>
        <v/>
      </c>
      <c r="FQ1011" s="14" t="s">
        <v>215</v>
      </c>
      <c r="FR1011" s="14" t="s">
        <v>19938</v>
      </c>
    </row>
    <row r="1012" ht="15.75" customHeight="1">
      <c r="A1012" s="12" t="s">
        <v>217</v>
      </c>
      <c r="B1012" s="12" t="s">
        <v>7566</v>
      </c>
      <c r="C1012" s="12" t="s">
        <v>219</v>
      </c>
      <c r="D1012" s="22" t="s">
        <v>19939</v>
      </c>
      <c r="E1012" s="22" t="s">
        <v>19940</v>
      </c>
      <c r="F1012" s="13" t="s">
        <v>178</v>
      </c>
      <c r="G1012" s="14" t="s">
        <v>179</v>
      </c>
      <c r="H1012" s="14" t="s">
        <v>19941</v>
      </c>
      <c r="I1012" s="14" t="s">
        <v>179</v>
      </c>
      <c r="J1012" s="14" t="s">
        <v>19942</v>
      </c>
      <c r="K1012" s="14" t="s">
        <v>179</v>
      </c>
      <c r="L1012" s="14" t="s">
        <v>19943</v>
      </c>
      <c r="M1012" s="14" t="s">
        <v>179</v>
      </c>
      <c r="N1012" s="14" t="s">
        <v>19944</v>
      </c>
      <c r="O1012" s="14" t="s">
        <v>179</v>
      </c>
      <c r="P1012" s="14" t="s">
        <v>19944</v>
      </c>
      <c r="Q1012" s="14" t="s">
        <v>179</v>
      </c>
      <c r="R1012" s="14" t="s">
        <v>19945</v>
      </c>
      <c r="S1012" s="14" t="s">
        <v>179</v>
      </c>
      <c r="T1012" s="14" t="s">
        <v>19946</v>
      </c>
      <c r="U1012" s="14" t="s">
        <v>179</v>
      </c>
      <c r="V1012" s="14" t="s">
        <v>19946</v>
      </c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  <c r="BG1012" s="15"/>
      <c r="BH1012" s="15"/>
      <c r="BI1012" s="15"/>
      <c r="BJ1012" s="15"/>
      <c r="BK1012" s="15"/>
      <c r="BL1012" s="15"/>
      <c r="BM1012" s="15"/>
      <c r="BN1012" s="15"/>
      <c r="BO1012" s="16" t="s">
        <v>197</v>
      </c>
      <c r="BP1012" s="17" t="s">
        <v>228</v>
      </c>
      <c r="BQ1012" s="23"/>
      <c r="BR1012" s="17" t="s">
        <v>198</v>
      </c>
      <c r="BS1012" s="18">
        <v>45696.580405092594</v>
      </c>
      <c r="BT1012" s="17" t="s">
        <v>198</v>
      </c>
      <c r="BU1012" s="18">
        <v>45696.580405092594</v>
      </c>
      <c r="BV1012" s="13" t="s">
        <v>199</v>
      </c>
      <c r="BW1012" s="14" t="s">
        <v>179</v>
      </c>
      <c r="BX1012" s="14" t="s">
        <v>19947</v>
      </c>
      <c r="BY1012" s="14" t="s">
        <v>179</v>
      </c>
      <c r="BZ1012" s="14" t="s">
        <v>19948</v>
      </c>
      <c r="CA1012" s="15"/>
      <c r="CB1012" s="15"/>
      <c r="CC1012" s="15"/>
      <c r="CD1012" s="15"/>
      <c r="CE1012" s="15"/>
      <c r="CF1012" s="15"/>
      <c r="CG1012" s="19"/>
      <c r="CH1012" s="15"/>
      <c r="CI1012" s="19"/>
      <c r="CJ1012" s="15"/>
      <c r="CK1012" s="19"/>
      <c r="CL1012" s="15"/>
      <c r="CM1012" s="19"/>
      <c r="CN1012" s="15"/>
      <c r="CO1012" s="19"/>
      <c r="CP1012" s="15"/>
      <c r="CQ1012" s="15"/>
      <c r="CR1012" s="15"/>
      <c r="CS1012" s="19"/>
      <c r="CT1012" s="15"/>
      <c r="CU1012" s="19"/>
      <c r="CV1012" s="15"/>
      <c r="CW1012" s="19"/>
      <c r="CX1012" s="15"/>
      <c r="CY1012" s="19"/>
      <c r="CZ1012" s="15"/>
      <c r="DA1012" s="16" t="s">
        <v>197</v>
      </c>
      <c r="DB1012" s="17" t="s">
        <v>228</v>
      </c>
      <c r="DC1012" s="16"/>
      <c r="DD1012" s="17" t="s">
        <v>198</v>
      </c>
      <c r="DE1012" s="18">
        <v>45699.40746527778</v>
      </c>
      <c r="DF1012" s="17" t="s">
        <v>198</v>
      </c>
      <c r="DG1012" s="18">
        <v>45699.40746527778</v>
      </c>
      <c r="DH1012" s="13" t="s">
        <v>205</v>
      </c>
      <c r="DI1012" s="14" t="s">
        <v>179</v>
      </c>
      <c r="DJ1012" s="14" t="s">
        <v>19949</v>
      </c>
      <c r="DK1012" s="15"/>
      <c r="DL1012" s="15"/>
      <c r="DM1012" s="15"/>
      <c r="DN1012" s="15"/>
      <c r="DO1012" s="15"/>
      <c r="DP1012" s="15"/>
      <c r="DQ1012" s="15"/>
      <c r="DR1012" s="15"/>
      <c r="DS1012" s="15"/>
      <c r="DT1012" s="15"/>
      <c r="DU1012" s="15"/>
      <c r="DV1012" s="15"/>
      <c r="DW1012" s="15"/>
      <c r="DX1012" s="15"/>
      <c r="DY1012" s="15"/>
      <c r="DZ1012" s="15"/>
      <c r="EA1012" s="15"/>
      <c r="EB1012" s="15"/>
      <c r="EC1012" s="16" t="s">
        <v>197</v>
      </c>
      <c r="ED1012" s="17" t="s">
        <v>198</v>
      </c>
      <c r="EE1012" s="18">
        <v>45699.40758101852</v>
      </c>
      <c r="EF1012" s="13" t="s">
        <v>209</v>
      </c>
      <c r="EG1012" s="14" t="s">
        <v>179</v>
      </c>
      <c r="EH1012" s="14" t="s">
        <v>19950</v>
      </c>
      <c r="EI1012" s="15"/>
      <c r="EJ1012" s="15"/>
      <c r="EK1012" s="15"/>
      <c r="EL1012" s="15"/>
      <c r="EM1012" s="15"/>
      <c r="EN1012" s="15"/>
      <c r="EO1012" s="15"/>
      <c r="EP1012" s="15"/>
      <c r="EQ1012" s="15"/>
      <c r="ER1012" s="15"/>
      <c r="ES1012" s="15"/>
      <c r="ET1012" s="15"/>
      <c r="EU1012" s="15"/>
      <c r="EV1012" s="15"/>
      <c r="EW1012" s="15"/>
      <c r="EX1012" s="15"/>
      <c r="EY1012" s="15"/>
      <c r="EZ1012" s="15"/>
      <c r="FA1012" s="15"/>
      <c r="FB1012" s="15"/>
      <c r="FC1012" s="16" t="s">
        <v>197</v>
      </c>
      <c r="FD1012" s="17" t="s">
        <v>198</v>
      </c>
      <c r="FE1012" s="18">
        <v>45723.34483796296</v>
      </c>
      <c r="FF1012" s="19"/>
      <c r="FG1012" s="19"/>
      <c r="FH1012" s="21" t="s">
        <v>197</v>
      </c>
      <c r="FI1012" s="17" t="s">
        <v>214</v>
      </c>
      <c r="FJ1012" s="18">
        <v>45723.34483796296</v>
      </c>
      <c r="FK1012" s="14" t="s">
        <v>19950</v>
      </c>
      <c r="FL1012" s="19"/>
      <c r="FM1012" s="19"/>
      <c r="FN1012" s="19"/>
      <c r="FO1012" s="19"/>
      <c r="FP1012" s="19" t="str">
        <f t="shared" si="1"/>
        <v/>
      </c>
      <c r="FQ1012" s="14" t="s">
        <v>215</v>
      </c>
      <c r="FR1012" s="14" t="s">
        <v>19951</v>
      </c>
    </row>
    <row r="1013" ht="15.75" customHeight="1">
      <c r="A1013" s="12" t="s">
        <v>217</v>
      </c>
      <c r="B1013" s="12" t="s">
        <v>7566</v>
      </c>
      <c r="C1013" s="12" t="s">
        <v>219</v>
      </c>
      <c r="D1013" s="22" t="s">
        <v>19952</v>
      </c>
      <c r="E1013" s="22" t="s">
        <v>19953</v>
      </c>
      <c r="F1013" s="13" t="s">
        <v>178</v>
      </c>
      <c r="G1013" s="14" t="s">
        <v>188</v>
      </c>
      <c r="H1013" s="14" t="s">
        <v>19954</v>
      </c>
      <c r="I1013" s="14" t="s">
        <v>179</v>
      </c>
      <c r="J1013" s="14" t="s">
        <v>19955</v>
      </c>
      <c r="K1013" s="14" t="s">
        <v>179</v>
      </c>
      <c r="L1013" s="14" t="s">
        <v>19956</v>
      </c>
      <c r="M1013" s="14" t="s">
        <v>179</v>
      </c>
      <c r="N1013" s="14" t="s">
        <v>19957</v>
      </c>
      <c r="O1013" s="14" t="s">
        <v>179</v>
      </c>
      <c r="P1013" s="14" t="s">
        <v>19958</v>
      </c>
      <c r="Q1013" s="14" t="s">
        <v>179</v>
      </c>
      <c r="R1013" s="14" t="s">
        <v>19959</v>
      </c>
      <c r="S1013" s="14" t="s">
        <v>179</v>
      </c>
      <c r="T1013" s="14" t="s">
        <v>19959</v>
      </c>
      <c r="U1013" s="14" t="s">
        <v>179</v>
      </c>
      <c r="V1013" s="14" t="s">
        <v>19960</v>
      </c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  <c r="BH1013" s="15"/>
      <c r="BI1013" s="15"/>
      <c r="BJ1013" s="15"/>
      <c r="BK1013" s="15"/>
      <c r="BL1013" s="15"/>
      <c r="BM1013" s="15"/>
      <c r="BN1013" s="15"/>
      <c r="BO1013" s="16" t="s">
        <v>197</v>
      </c>
      <c r="BP1013" s="17" t="s">
        <v>228</v>
      </c>
      <c r="BQ1013" s="23"/>
      <c r="BR1013" s="17" t="s">
        <v>198</v>
      </c>
      <c r="BS1013" s="18">
        <v>45699.458449074074</v>
      </c>
      <c r="BT1013" s="17" t="s">
        <v>198</v>
      </c>
      <c r="BU1013" s="18">
        <v>45699.458449074074</v>
      </c>
      <c r="BV1013" s="13" t="s">
        <v>199</v>
      </c>
      <c r="BW1013" s="14" t="s">
        <v>179</v>
      </c>
      <c r="BX1013" s="14" t="s">
        <v>19961</v>
      </c>
      <c r="BY1013" s="14" t="s">
        <v>179</v>
      </c>
      <c r="BZ1013" s="14" t="s">
        <v>19962</v>
      </c>
      <c r="CA1013" s="15"/>
      <c r="CB1013" s="15"/>
      <c r="CC1013" s="15"/>
      <c r="CD1013" s="15"/>
      <c r="CE1013" s="15"/>
      <c r="CF1013" s="15"/>
      <c r="CG1013" s="19"/>
      <c r="CH1013" s="15"/>
      <c r="CI1013" s="19"/>
      <c r="CJ1013" s="15"/>
      <c r="CK1013" s="19"/>
      <c r="CL1013" s="15"/>
      <c r="CM1013" s="19"/>
      <c r="CN1013" s="15"/>
      <c r="CO1013" s="19"/>
      <c r="CP1013" s="15"/>
      <c r="CQ1013" s="15"/>
      <c r="CR1013" s="15"/>
      <c r="CS1013" s="19"/>
      <c r="CT1013" s="15"/>
      <c r="CU1013" s="19"/>
      <c r="CV1013" s="15"/>
      <c r="CW1013" s="19"/>
      <c r="CX1013" s="15"/>
      <c r="CY1013" s="19"/>
      <c r="CZ1013" s="15"/>
      <c r="DA1013" s="16" t="s">
        <v>197</v>
      </c>
      <c r="DB1013" s="17" t="s">
        <v>228</v>
      </c>
      <c r="DC1013" s="16"/>
      <c r="DD1013" s="17" t="s">
        <v>198</v>
      </c>
      <c r="DE1013" s="18">
        <v>45699.460324074076</v>
      </c>
      <c r="DF1013" s="17" t="s">
        <v>198</v>
      </c>
      <c r="DG1013" s="18">
        <v>45699.460324074076</v>
      </c>
      <c r="DH1013" s="13" t="s">
        <v>205</v>
      </c>
      <c r="DI1013" s="14" t="s">
        <v>179</v>
      </c>
      <c r="DJ1013" s="14" t="s">
        <v>19963</v>
      </c>
      <c r="DK1013" s="15"/>
      <c r="DL1013" s="15"/>
      <c r="DM1013" s="15"/>
      <c r="DN1013" s="15"/>
      <c r="DO1013" s="15"/>
      <c r="DP1013" s="15"/>
      <c r="DQ1013" s="15"/>
      <c r="DR1013" s="15"/>
      <c r="DS1013" s="15"/>
      <c r="DT1013" s="15"/>
      <c r="DU1013" s="15"/>
      <c r="DV1013" s="15"/>
      <c r="DW1013" s="15"/>
      <c r="DX1013" s="15"/>
      <c r="DY1013" s="15"/>
      <c r="DZ1013" s="15"/>
      <c r="EA1013" s="15"/>
      <c r="EB1013" s="15"/>
      <c r="EC1013" s="16" t="s">
        <v>197</v>
      </c>
      <c r="ED1013" s="17" t="s">
        <v>198</v>
      </c>
      <c r="EE1013" s="18">
        <v>45699.46041666667</v>
      </c>
      <c r="EF1013" s="13" t="s">
        <v>209</v>
      </c>
      <c r="EG1013" s="14" t="s">
        <v>179</v>
      </c>
      <c r="EH1013" s="14" t="s">
        <v>19964</v>
      </c>
      <c r="EI1013" s="15"/>
      <c r="EJ1013" s="15"/>
      <c r="EK1013" s="15"/>
      <c r="EL1013" s="15"/>
      <c r="EM1013" s="15"/>
      <c r="EN1013" s="15"/>
      <c r="EO1013" s="15"/>
      <c r="EP1013" s="15"/>
      <c r="EQ1013" s="15"/>
      <c r="ER1013" s="15"/>
      <c r="ES1013" s="15"/>
      <c r="ET1013" s="15"/>
      <c r="EU1013" s="15"/>
      <c r="EV1013" s="15"/>
      <c r="EW1013" s="15"/>
      <c r="EX1013" s="15"/>
      <c r="EY1013" s="15"/>
      <c r="EZ1013" s="15"/>
      <c r="FA1013" s="15"/>
      <c r="FB1013" s="15"/>
      <c r="FC1013" s="16" t="s">
        <v>197</v>
      </c>
      <c r="FD1013" s="17" t="s">
        <v>198</v>
      </c>
      <c r="FE1013" s="18">
        <v>45723.34490740741</v>
      </c>
      <c r="FF1013" s="19"/>
      <c r="FG1013" s="19"/>
      <c r="FH1013" s="21" t="s">
        <v>197</v>
      </c>
      <c r="FI1013" s="17" t="s">
        <v>214</v>
      </c>
      <c r="FJ1013" s="18">
        <v>45723.34490740741</v>
      </c>
      <c r="FK1013" s="14" t="s">
        <v>19964</v>
      </c>
      <c r="FL1013" s="19"/>
      <c r="FM1013" s="19"/>
      <c r="FN1013" s="19"/>
      <c r="FO1013" s="19"/>
      <c r="FP1013" s="19" t="str">
        <f t="shared" si="1"/>
        <v/>
      </c>
      <c r="FQ1013" s="14" t="s">
        <v>215</v>
      </c>
      <c r="FR1013" s="14" t="s">
        <v>19965</v>
      </c>
    </row>
    <row r="1014" ht="15.75" customHeight="1">
      <c r="A1014" s="12" t="s">
        <v>217</v>
      </c>
      <c r="B1014" s="12" t="s">
        <v>7566</v>
      </c>
      <c r="C1014" s="12" t="s">
        <v>219</v>
      </c>
      <c r="D1014" s="22" t="s">
        <v>19966</v>
      </c>
      <c r="E1014" s="22" t="s">
        <v>19967</v>
      </c>
      <c r="F1014" s="13" t="s">
        <v>178</v>
      </c>
      <c r="G1014" s="14" t="s">
        <v>179</v>
      </c>
      <c r="H1014" s="14" t="s">
        <v>19968</v>
      </c>
      <c r="I1014" s="14" t="s">
        <v>179</v>
      </c>
      <c r="J1014" s="14" t="s">
        <v>19969</v>
      </c>
      <c r="K1014" s="14" t="s">
        <v>179</v>
      </c>
      <c r="L1014" s="14" t="s">
        <v>19970</v>
      </c>
      <c r="M1014" s="14" t="s">
        <v>179</v>
      </c>
      <c r="N1014" s="14" t="s">
        <v>19971</v>
      </c>
      <c r="O1014" s="14" t="s">
        <v>179</v>
      </c>
      <c r="P1014" s="14" t="s">
        <v>19972</v>
      </c>
      <c r="Q1014" s="14" t="s">
        <v>179</v>
      </c>
      <c r="R1014" s="14" t="s">
        <v>19973</v>
      </c>
      <c r="S1014" s="14" t="s">
        <v>179</v>
      </c>
      <c r="T1014" s="14" t="s">
        <v>19974</v>
      </c>
      <c r="U1014" s="14" t="s">
        <v>179</v>
      </c>
      <c r="V1014" s="14" t="s">
        <v>19974</v>
      </c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5"/>
      <c r="BF1014" s="15"/>
      <c r="BG1014" s="15"/>
      <c r="BH1014" s="15"/>
      <c r="BI1014" s="15"/>
      <c r="BJ1014" s="15"/>
      <c r="BK1014" s="15"/>
      <c r="BL1014" s="15"/>
      <c r="BM1014" s="15"/>
      <c r="BN1014" s="15"/>
      <c r="BO1014" s="16" t="s">
        <v>197</v>
      </c>
      <c r="BP1014" s="17" t="s">
        <v>228</v>
      </c>
      <c r="BQ1014" s="23"/>
      <c r="BR1014" s="17" t="s">
        <v>198</v>
      </c>
      <c r="BS1014" s="18">
        <v>45692.461689814816</v>
      </c>
      <c r="BT1014" s="17" t="s">
        <v>198</v>
      </c>
      <c r="BU1014" s="18">
        <v>45692.461689814816</v>
      </c>
      <c r="BV1014" s="13" t="s">
        <v>199</v>
      </c>
      <c r="BW1014" s="14" t="s">
        <v>179</v>
      </c>
      <c r="BX1014" s="14" t="s">
        <v>19975</v>
      </c>
      <c r="BY1014" s="14" t="s">
        <v>179</v>
      </c>
      <c r="BZ1014" s="14" t="s">
        <v>19976</v>
      </c>
      <c r="CA1014" s="15"/>
      <c r="CB1014" s="15"/>
      <c r="CC1014" s="15"/>
      <c r="CD1014" s="15"/>
      <c r="CE1014" s="15"/>
      <c r="CF1014" s="15"/>
      <c r="CG1014" s="19"/>
      <c r="CH1014" s="15"/>
      <c r="CI1014" s="19"/>
      <c r="CJ1014" s="15"/>
      <c r="CK1014" s="19"/>
      <c r="CL1014" s="15"/>
      <c r="CM1014" s="19"/>
      <c r="CN1014" s="15"/>
      <c r="CO1014" s="19"/>
      <c r="CP1014" s="15"/>
      <c r="CQ1014" s="15"/>
      <c r="CR1014" s="15"/>
      <c r="CS1014" s="19"/>
      <c r="CT1014" s="15"/>
      <c r="CU1014" s="19"/>
      <c r="CV1014" s="15"/>
      <c r="CW1014" s="19"/>
      <c r="CX1014" s="15"/>
      <c r="CY1014" s="19"/>
      <c r="CZ1014" s="15"/>
      <c r="DA1014" s="16" t="s">
        <v>197</v>
      </c>
      <c r="DB1014" s="17" t="s">
        <v>228</v>
      </c>
      <c r="DC1014" s="16"/>
      <c r="DD1014" s="17" t="s">
        <v>198</v>
      </c>
      <c r="DE1014" s="18">
        <v>45692.46208333333</v>
      </c>
      <c r="DF1014" s="17" t="s">
        <v>198</v>
      </c>
      <c r="DG1014" s="18">
        <v>45692.46208333333</v>
      </c>
      <c r="DH1014" s="13" t="s">
        <v>205</v>
      </c>
      <c r="DI1014" s="14" t="s">
        <v>179</v>
      </c>
      <c r="DJ1014" s="14" t="s">
        <v>19977</v>
      </c>
      <c r="DK1014" s="15"/>
      <c r="DL1014" s="15"/>
      <c r="DM1014" s="15"/>
      <c r="DN1014" s="15"/>
      <c r="DO1014" s="15"/>
      <c r="DP1014" s="15"/>
      <c r="DQ1014" s="15"/>
      <c r="DR1014" s="15"/>
      <c r="DS1014" s="15"/>
      <c r="DT1014" s="15"/>
      <c r="DU1014" s="15"/>
      <c r="DV1014" s="15"/>
      <c r="DW1014" s="15"/>
      <c r="DX1014" s="15"/>
      <c r="DY1014" s="15"/>
      <c r="DZ1014" s="15"/>
      <c r="EA1014" s="15"/>
      <c r="EB1014" s="15"/>
      <c r="EC1014" s="16" t="s">
        <v>197</v>
      </c>
      <c r="ED1014" s="17" t="s">
        <v>198</v>
      </c>
      <c r="EE1014" s="18">
        <v>45699.46202546296</v>
      </c>
      <c r="EF1014" s="13" t="s">
        <v>209</v>
      </c>
      <c r="EG1014" s="14" t="s">
        <v>179</v>
      </c>
      <c r="EH1014" s="14" t="s">
        <v>19978</v>
      </c>
      <c r="EI1014" s="15"/>
      <c r="EJ1014" s="15"/>
      <c r="EK1014" s="15"/>
      <c r="EL1014" s="15"/>
      <c r="EM1014" s="15"/>
      <c r="EN1014" s="15"/>
      <c r="EO1014" s="15"/>
      <c r="EP1014" s="15"/>
      <c r="EQ1014" s="15"/>
      <c r="ER1014" s="15"/>
      <c r="ES1014" s="15"/>
      <c r="ET1014" s="15"/>
      <c r="EU1014" s="15"/>
      <c r="EV1014" s="15"/>
      <c r="EW1014" s="15"/>
      <c r="EX1014" s="15"/>
      <c r="EY1014" s="15"/>
      <c r="EZ1014" s="15"/>
      <c r="FA1014" s="15"/>
      <c r="FB1014" s="15"/>
      <c r="FC1014" s="16" t="s">
        <v>197</v>
      </c>
      <c r="FD1014" s="17" t="s">
        <v>198</v>
      </c>
      <c r="FE1014" s="18">
        <v>45723.344976851855</v>
      </c>
      <c r="FF1014" s="19"/>
      <c r="FG1014" s="19"/>
      <c r="FH1014" s="21" t="s">
        <v>197</v>
      </c>
      <c r="FI1014" s="17" t="s">
        <v>214</v>
      </c>
      <c r="FJ1014" s="18">
        <v>45723.344976851855</v>
      </c>
      <c r="FK1014" s="14" t="s">
        <v>19978</v>
      </c>
      <c r="FL1014" s="19"/>
      <c r="FM1014" s="19"/>
      <c r="FN1014" s="19"/>
      <c r="FO1014" s="19"/>
      <c r="FP1014" s="19" t="str">
        <f t="shared" si="1"/>
        <v/>
      </c>
      <c r="FQ1014" s="14" t="s">
        <v>215</v>
      </c>
      <c r="FR1014" s="14" t="s">
        <v>19979</v>
      </c>
    </row>
    <row r="1015" ht="15.75" customHeight="1">
      <c r="A1015" s="12" t="s">
        <v>217</v>
      </c>
      <c r="B1015" s="12" t="s">
        <v>7566</v>
      </c>
      <c r="C1015" s="12" t="s">
        <v>219</v>
      </c>
      <c r="D1015" s="22" t="s">
        <v>19980</v>
      </c>
      <c r="E1015" s="22" t="s">
        <v>19981</v>
      </c>
      <c r="F1015" s="13" t="s">
        <v>178</v>
      </c>
      <c r="G1015" s="14" t="s">
        <v>179</v>
      </c>
      <c r="H1015" s="14" t="s">
        <v>19982</v>
      </c>
      <c r="I1015" s="14" t="s">
        <v>179</v>
      </c>
      <c r="J1015" s="14" t="s">
        <v>19983</v>
      </c>
      <c r="K1015" s="14" t="s">
        <v>179</v>
      </c>
      <c r="L1015" s="14" t="s">
        <v>19984</v>
      </c>
      <c r="M1015" s="14" t="s">
        <v>179</v>
      </c>
      <c r="N1015" s="14" t="s">
        <v>19985</v>
      </c>
      <c r="O1015" s="14" t="s">
        <v>179</v>
      </c>
      <c r="P1015" s="14" t="s">
        <v>19986</v>
      </c>
      <c r="Q1015" s="14" t="s">
        <v>179</v>
      </c>
      <c r="R1015" s="14" t="s">
        <v>19987</v>
      </c>
      <c r="S1015" s="14" t="s">
        <v>179</v>
      </c>
      <c r="T1015" s="14" t="s">
        <v>19988</v>
      </c>
      <c r="U1015" s="14" t="s">
        <v>179</v>
      </c>
      <c r="V1015" s="14" t="s">
        <v>19989</v>
      </c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  <c r="BH1015" s="15"/>
      <c r="BI1015" s="15"/>
      <c r="BJ1015" s="15"/>
      <c r="BK1015" s="15"/>
      <c r="BL1015" s="15"/>
      <c r="BM1015" s="15"/>
      <c r="BN1015" s="15"/>
      <c r="BO1015" s="16" t="s">
        <v>197</v>
      </c>
      <c r="BP1015" s="17" t="s">
        <v>228</v>
      </c>
      <c r="BQ1015" s="23"/>
      <c r="BR1015" s="17" t="s">
        <v>198</v>
      </c>
      <c r="BS1015" s="18">
        <v>45686.58553240741</v>
      </c>
      <c r="BT1015" s="17" t="s">
        <v>198</v>
      </c>
      <c r="BU1015" s="18">
        <v>45686.58553240741</v>
      </c>
      <c r="BV1015" s="13" t="s">
        <v>199</v>
      </c>
      <c r="BW1015" s="14" t="s">
        <v>179</v>
      </c>
      <c r="BX1015" s="14" t="s">
        <v>19990</v>
      </c>
      <c r="BY1015" s="14" t="s">
        <v>179</v>
      </c>
      <c r="BZ1015" s="14" t="s">
        <v>19991</v>
      </c>
      <c r="CA1015" s="15"/>
      <c r="CB1015" s="15"/>
      <c r="CC1015" s="15"/>
      <c r="CD1015" s="15"/>
      <c r="CE1015" s="15"/>
      <c r="CF1015" s="15"/>
      <c r="CG1015" s="19"/>
      <c r="CH1015" s="15"/>
      <c r="CI1015" s="19"/>
      <c r="CJ1015" s="15"/>
      <c r="CK1015" s="19"/>
      <c r="CL1015" s="15"/>
      <c r="CM1015" s="19"/>
      <c r="CN1015" s="15"/>
      <c r="CO1015" s="19"/>
      <c r="CP1015" s="15"/>
      <c r="CQ1015" s="15"/>
      <c r="CR1015" s="15"/>
      <c r="CS1015" s="19"/>
      <c r="CT1015" s="15"/>
      <c r="CU1015" s="19"/>
      <c r="CV1015" s="15"/>
      <c r="CW1015" s="19"/>
      <c r="CX1015" s="15"/>
      <c r="CY1015" s="19"/>
      <c r="CZ1015" s="15"/>
      <c r="DA1015" s="16" t="s">
        <v>197</v>
      </c>
      <c r="DB1015" s="17" t="s">
        <v>228</v>
      </c>
      <c r="DC1015" s="16"/>
      <c r="DD1015" s="17" t="s">
        <v>198</v>
      </c>
      <c r="DE1015" s="18">
        <v>45686.585625</v>
      </c>
      <c r="DF1015" s="17" t="s">
        <v>198</v>
      </c>
      <c r="DG1015" s="18">
        <v>45686.585625</v>
      </c>
      <c r="DH1015" s="13" t="s">
        <v>205</v>
      </c>
      <c r="DI1015" s="14" t="s">
        <v>179</v>
      </c>
      <c r="DJ1015" s="14" t="s">
        <v>19992</v>
      </c>
      <c r="DK1015" s="15"/>
      <c r="DL1015" s="15"/>
      <c r="DM1015" s="15"/>
      <c r="DN1015" s="15"/>
      <c r="DO1015" s="15"/>
      <c r="DP1015" s="15"/>
      <c r="DQ1015" s="15"/>
      <c r="DR1015" s="15"/>
      <c r="DS1015" s="15"/>
      <c r="DT1015" s="15"/>
      <c r="DU1015" s="15"/>
      <c r="DV1015" s="15"/>
      <c r="DW1015" s="15"/>
      <c r="DX1015" s="15"/>
      <c r="DY1015" s="15"/>
      <c r="DZ1015" s="15"/>
      <c r="EA1015" s="15"/>
      <c r="EB1015" s="15"/>
      <c r="EC1015" s="16" t="s">
        <v>197</v>
      </c>
      <c r="ED1015" s="17" t="s">
        <v>198</v>
      </c>
      <c r="EE1015" s="18">
        <v>45699.4062962963</v>
      </c>
      <c r="EF1015" s="13" t="s">
        <v>209</v>
      </c>
      <c r="EG1015" s="14" t="s">
        <v>179</v>
      </c>
      <c r="EH1015" s="14" t="s">
        <v>19993</v>
      </c>
      <c r="EI1015" s="15"/>
      <c r="EJ1015" s="15"/>
      <c r="EK1015" s="15"/>
      <c r="EL1015" s="15"/>
      <c r="EM1015" s="15"/>
      <c r="EN1015" s="15"/>
      <c r="EO1015" s="15"/>
      <c r="EP1015" s="15"/>
      <c r="EQ1015" s="15"/>
      <c r="ER1015" s="15"/>
      <c r="ES1015" s="15"/>
      <c r="ET1015" s="15"/>
      <c r="EU1015" s="15"/>
      <c r="EV1015" s="15"/>
      <c r="EW1015" s="15"/>
      <c r="EX1015" s="15"/>
      <c r="EY1015" s="15"/>
      <c r="EZ1015" s="15"/>
      <c r="FA1015" s="15"/>
      <c r="FB1015" s="15"/>
      <c r="FC1015" s="16" t="s">
        <v>197</v>
      </c>
      <c r="FD1015" s="17" t="s">
        <v>198</v>
      </c>
      <c r="FE1015" s="18">
        <v>45723.345034722224</v>
      </c>
      <c r="FF1015" s="19"/>
      <c r="FG1015" s="19"/>
      <c r="FH1015" s="21" t="s">
        <v>197</v>
      </c>
      <c r="FI1015" s="17" t="s">
        <v>214</v>
      </c>
      <c r="FJ1015" s="18">
        <v>45723.345034722224</v>
      </c>
      <c r="FK1015" s="14" t="s">
        <v>19993</v>
      </c>
      <c r="FL1015" s="14" t="s">
        <v>19994</v>
      </c>
      <c r="FM1015" s="14" t="s">
        <v>19995</v>
      </c>
      <c r="FN1015" s="19"/>
      <c r="FO1015" s="19"/>
      <c r="FP1015" s="19" t="str">
        <f t="shared" si="1"/>
        <v>Base de Dados_Images/XV40022.Imagem do Equipamento-.190839.jpg</v>
      </c>
      <c r="FQ1015" s="19"/>
      <c r="FR1015" s="19"/>
    </row>
    <row r="1016" ht="15.75" customHeight="1">
      <c r="A1016" s="12" t="s">
        <v>217</v>
      </c>
      <c r="B1016" s="12" t="s">
        <v>7566</v>
      </c>
      <c r="C1016" s="12" t="s">
        <v>219</v>
      </c>
      <c r="D1016" s="22" t="s">
        <v>19996</v>
      </c>
      <c r="E1016" s="22" t="s">
        <v>19997</v>
      </c>
      <c r="F1016" s="13" t="s">
        <v>178</v>
      </c>
      <c r="G1016" s="14" t="s">
        <v>179</v>
      </c>
      <c r="H1016" s="14" t="s">
        <v>19998</v>
      </c>
      <c r="I1016" s="14" t="s">
        <v>179</v>
      </c>
      <c r="J1016" s="14" t="s">
        <v>19999</v>
      </c>
      <c r="K1016" s="14" t="s">
        <v>179</v>
      </c>
      <c r="L1016" s="14" t="s">
        <v>20000</v>
      </c>
      <c r="M1016" s="14" t="s">
        <v>179</v>
      </c>
      <c r="N1016" s="14" t="s">
        <v>20001</v>
      </c>
      <c r="O1016" s="14" t="s">
        <v>179</v>
      </c>
      <c r="P1016" s="14" t="s">
        <v>20002</v>
      </c>
      <c r="Q1016" s="14" t="s">
        <v>179</v>
      </c>
      <c r="R1016" s="14" t="s">
        <v>20003</v>
      </c>
      <c r="S1016" s="14" t="s">
        <v>179</v>
      </c>
      <c r="T1016" s="14" t="s">
        <v>20004</v>
      </c>
      <c r="U1016" s="14" t="s">
        <v>179</v>
      </c>
      <c r="V1016" s="14" t="s">
        <v>20005</v>
      </c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5"/>
      <c r="BF1016" s="15"/>
      <c r="BG1016" s="15"/>
      <c r="BH1016" s="15"/>
      <c r="BI1016" s="15"/>
      <c r="BJ1016" s="15"/>
      <c r="BK1016" s="15"/>
      <c r="BL1016" s="15"/>
      <c r="BM1016" s="15"/>
      <c r="BN1016" s="15"/>
      <c r="BO1016" s="16" t="s">
        <v>197</v>
      </c>
      <c r="BP1016" s="17" t="s">
        <v>228</v>
      </c>
      <c r="BQ1016" s="23"/>
      <c r="BR1016" s="17" t="s">
        <v>198</v>
      </c>
      <c r="BS1016" s="18">
        <v>45688.596296296295</v>
      </c>
      <c r="BT1016" s="17" t="s">
        <v>198</v>
      </c>
      <c r="BU1016" s="18">
        <v>45688.596296296295</v>
      </c>
      <c r="BV1016" s="13" t="s">
        <v>199</v>
      </c>
      <c r="BW1016" s="14" t="s">
        <v>179</v>
      </c>
      <c r="BX1016" s="14" t="s">
        <v>20006</v>
      </c>
      <c r="BY1016" s="14" t="s">
        <v>179</v>
      </c>
      <c r="BZ1016" s="14" t="s">
        <v>20007</v>
      </c>
      <c r="CA1016" s="15"/>
      <c r="CB1016" s="15"/>
      <c r="CC1016" s="15"/>
      <c r="CD1016" s="15"/>
      <c r="CE1016" s="15"/>
      <c r="CF1016" s="15"/>
      <c r="CG1016" s="19"/>
      <c r="CH1016" s="15"/>
      <c r="CI1016" s="19"/>
      <c r="CJ1016" s="15"/>
      <c r="CK1016" s="19"/>
      <c r="CL1016" s="15"/>
      <c r="CM1016" s="19"/>
      <c r="CN1016" s="15"/>
      <c r="CO1016" s="19"/>
      <c r="CP1016" s="15"/>
      <c r="CQ1016" s="15"/>
      <c r="CR1016" s="15"/>
      <c r="CS1016" s="19"/>
      <c r="CT1016" s="15"/>
      <c r="CU1016" s="19"/>
      <c r="CV1016" s="15"/>
      <c r="CW1016" s="19"/>
      <c r="CX1016" s="15"/>
      <c r="CY1016" s="19"/>
      <c r="CZ1016" s="15"/>
      <c r="DA1016" s="16" t="s">
        <v>197</v>
      </c>
      <c r="DB1016" s="17" t="s">
        <v>228</v>
      </c>
      <c r="DC1016" s="16"/>
      <c r="DD1016" s="17" t="s">
        <v>198</v>
      </c>
      <c r="DE1016" s="18">
        <v>45699.41190972222</v>
      </c>
      <c r="DF1016" s="17" t="s">
        <v>198</v>
      </c>
      <c r="DG1016" s="18">
        <v>45699.41190972222</v>
      </c>
      <c r="DH1016" s="13" t="s">
        <v>205</v>
      </c>
      <c r="DI1016" s="14" t="s">
        <v>179</v>
      </c>
      <c r="DJ1016" s="14" t="s">
        <v>20008</v>
      </c>
      <c r="DK1016" s="15"/>
      <c r="DL1016" s="15"/>
      <c r="DM1016" s="15"/>
      <c r="DN1016" s="15"/>
      <c r="DO1016" s="15"/>
      <c r="DP1016" s="15"/>
      <c r="DQ1016" s="15"/>
      <c r="DR1016" s="15"/>
      <c r="DS1016" s="15"/>
      <c r="DT1016" s="15"/>
      <c r="DU1016" s="15"/>
      <c r="DV1016" s="15"/>
      <c r="DW1016" s="15"/>
      <c r="DX1016" s="15"/>
      <c r="DY1016" s="15"/>
      <c r="DZ1016" s="15"/>
      <c r="EA1016" s="15"/>
      <c r="EB1016" s="15"/>
      <c r="EC1016" s="16" t="s">
        <v>197</v>
      </c>
      <c r="ED1016" s="17" t="s">
        <v>198</v>
      </c>
      <c r="EE1016" s="18">
        <v>45699.41196759259</v>
      </c>
      <c r="EF1016" s="13" t="s">
        <v>209</v>
      </c>
      <c r="EG1016" s="14" t="s">
        <v>179</v>
      </c>
      <c r="EH1016" s="14" t="s">
        <v>20009</v>
      </c>
      <c r="EI1016" s="15"/>
      <c r="EJ1016" s="15"/>
      <c r="EK1016" s="15"/>
      <c r="EL1016" s="15"/>
      <c r="EM1016" s="15"/>
      <c r="EN1016" s="15"/>
      <c r="EO1016" s="15"/>
      <c r="EP1016" s="15"/>
      <c r="EQ1016" s="15"/>
      <c r="ER1016" s="15"/>
      <c r="ES1016" s="15"/>
      <c r="ET1016" s="15"/>
      <c r="EU1016" s="15"/>
      <c r="EV1016" s="15"/>
      <c r="EW1016" s="15"/>
      <c r="EX1016" s="15"/>
      <c r="EY1016" s="15"/>
      <c r="EZ1016" s="15"/>
      <c r="FA1016" s="15"/>
      <c r="FB1016" s="15"/>
      <c r="FC1016" s="16" t="s">
        <v>197</v>
      </c>
      <c r="FD1016" s="17" t="s">
        <v>198</v>
      </c>
      <c r="FE1016" s="18">
        <v>45723.34509259259</v>
      </c>
      <c r="FF1016" s="19"/>
      <c r="FG1016" s="19"/>
      <c r="FH1016" s="21" t="s">
        <v>197</v>
      </c>
      <c r="FI1016" s="17" t="s">
        <v>214</v>
      </c>
      <c r="FJ1016" s="18">
        <v>45723.34509259259</v>
      </c>
      <c r="FK1016" s="14" t="s">
        <v>20009</v>
      </c>
      <c r="FL1016" s="19"/>
      <c r="FM1016" s="19"/>
      <c r="FN1016" s="19"/>
      <c r="FO1016" s="19"/>
      <c r="FP1016" s="19" t="str">
        <f t="shared" si="1"/>
        <v/>
      </c>
      <c r="FQ1016" s="14" t="s">
        <v>215</v>
      </c>
      <c r="FR1016" s="14" t="s">
        <v>20010</v>
      </c>
    </row>
    <row r="1017" ht="15.75" customHeight="1">
      <c r="A1017" s="12" t="s">
        <v>217</v>
      </c>
      <c r="B1017" s="12" t="s">
        <v>7566</v>
      </c>
      <c r="C1017" s="12" t="s">
        <v>219</v>
      </c>
      <c r="D1017" s="22" t="s">
        <v>20011</v>
      </c>
      <c r="E1017" s="22" t="s">
        <v>20012</v>
      </c>
      <c r="F1017" s="13" t="s">
        <v>178</v>
      </c>
      <c r="G1017" s="14" t="s">
        <v>179</v>
      </c>
      <c r="H1017" s="14" t="s">
        <v>20013</v>
      </c>
      <c r="I1017" s="14" t="s">
        <v>179</v>
      </c>
      <c r="J1017" s="14" t="s">
        <v>20014</v>
      </c>
      <c r="K1017" s="14" t="s">
        <v>179</v>
      </c>
      <c r="L1017" s="14" t="s">
        <v>20015</v>
      </c>
      <c r="M1017" s="14" t="s">
        <v>179</v>
      </c>
      <c r="N1017" s="14" t="s">
        <v>20016</v>
      </c>
      <c r="O1017" s="14" t="s">
        <v>179</v>
      </c>
      <c r="P1017" s="14" t="s">
        <v>20017</v>
      </c>
      <c r="Q1017" s="14" t="s">
        <v>179</v>
      </c>
      <c r="R1017" s="14" t="s">
        <v>20018</v>
      </c>
      <c r="S1017" s="14" t="s">
        <v>179</v>
      </c>
      <c r="T1017" s="14" t="s">
        <v>20019</v>
      </c>
      <c r="U1017" s="14" t="s">
        <v>179</v>
      </c>
      <c r="V1017" s="14" t="s">
        <v>20020</v>
      </c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  <c r="BH1017" s="15"/>
      <c r="BI1017" s="15"/>
      <c r="BJ1017" s="15"/>
      <c r="BK1017" s="15"/>
      <c r="BL1017" s="15"/>
      <c r="BM1017" s="15"/>
      <c r="BN1017" s="15"/>
      <c r="BO1017" s="16" t="s">
        <v>197</v>
      </c>
      <c r="BP1017" s="17" t="s">
        <v>228</v>
      </c>
      <c r="BQ1017" s="23"/>
      <c r="BR1017" s="17" t="s">
        <v>198</v>
      </c>
      <c r="BS1017" s="18">
        <v>45688.59667824074</v>
      </c>
      <c r="BT1017" s="17" t="s">
        <v>198</v>
      </c>
      <c r="BU1017" s="18">
        <v>45688.59667824074</v>
      </c>
      <c r="BV1017" s="13" t="s">
        <v>199</v>
      </c>
      <c r="BW1017" s="14" t="s">
        <v>179</v>
      </c>
      <c r="BX1017" s="14" t="s">
        <v>20021</v>
      </c>
      <c r="BY1017" s="14" t="s">
        <v>179</v>
      </c>
      <c r="BZ1017" s="14" t="s">
        <v>20022</v>
      </c>
      <c r="CA1017" s="15"/>
      <c r="CB1017" s="15"/>
      <c r="CC1017" s="15"/>
      <c r="CD1017" s="15"/>
      <c r="CE1017" s="15"/>
      <c r="CF1017" s="15"/>
      <c r="CG1017" s="19"/>
      <c r="CH1017" s="15"/>
      <c r="CI1017" s="19"/>
      <c r="CJ1017" s="15"/>
      <c r="CK1017" s="19"/>
      <c r="CL1017" s="15"/>
      <c r="CM1017" s="19"/>
      <c r="CN1017" s="15"/>
      <c r="CO1017" s="19"/>
      <c r="CP1017" s="15"/>
      <c r="CQ1017" s="15"/>
      <c r="CR1017" s="15"/>
      <c r="CS1017" s="19"/>
      <c r="CT1017" s="15"/>
      <c r="CU1017" s="19"/>
      <c r="CV1017" s="15"/>
      <c r="CW1017" s="19"/>
      <c r="CX1017" s="15"/>
      <c r="CY1017" s="19"/>
      <c r="CZ1017" s="15"/>
      <c r="DA1017" s="16" t="s">
        <v>197</v>
      </c>
      <c r="DB1017" s="17" t="s">
        <v>228</v>
      </c>
      <c r="DC1017" s="16"/>
      <c r="DD1017" s="17" t="s">
        <v>198</v>
      </c>
      <c r="DE1017" s="18">
        <v>45699.412199074075</v>
      </c>
      <c r="DF1017" s="17" t="s">
        <v>198</v>
      </c>
      <c r="DG1017" s="18">
        <v>45699.412199074075</v>
      </c>
      <c r="DH1017" s="13" t="s">
        <v>205</v>
      </c>
      <c r="DI1017" s="14" t="s">
        <v>179</v>
      </c>
      <c r="DJ1017" s="14" t="s">
        <v>20023</v>
      </c>
      <c r="DK1017" s="15"/>
      <c r="DL1017" s="15"/>
      <c r="DM1017" s="15"/>
      <c r="DN1017" s="15"/>
      <c r="DO1017" s="15"/>
      <c r="DP1017" s="15"/>
      <c r="DQ1017" s="15"/>
      <c r="DR1017" s="15"/>
      <c r="DS1017" s="15"/>
      <c r="DT1017" s="15"/>
      <c r="DU1017" s="15"/>
      <c r="DV1017" s="15"/>
      <c r="DW1017" s="15"/>
      <c r="DX1017" s="15"/>
      <c r="DY1017" s="15"/>
      <c r="DZ1017" s="15"/>
      <c r="EA1017" s="15"/>
      <c r="EB1017" s="15"/>
      <c r="EC1017" s="16" t="s">
        <v>197</v>
      </c>
      <c r="ED1017" s="17" t="s">
        <v>198</v>
      </c>
      <c r="EE1017" s="18">
        <v>45699.41226851852</v>
      </c>
      <c r="EF1017" s="13" t="s">
        <v>209</v>
      </c>
      <c r="EG1017" s="14" t="s">
        <v>179</v>
      </c>
      <c r="EH1017" s="14" t="s">
        <v>20024</v>
      </c>
      <c r="EI1017" s="15"/>
      <c r="EJ1017" s="15"/>
      <c r="EK1017" s="15"/>
      <c r="EL1017" s="15"/>
      <c r="EM1017" s="15"/>
      <c r="EN1017" s="15"/>
      <c r="EO1017" s="15"/>
      <c r="EP1017" s="15"/>
      <c r="EQ1017" s="15"/>
      <c r="ER1017" s="15"/>
      <c r="ES1017" s="15"/>
      <c r="ET1017" s="15"/>
      <c r="EU1017" s="15"/>
      <c r="EV1017" s="15"/>
      <c r="EW1017" s="15"/>
      <c r="EX1017" s="15"/>
      <c r="EY1017" s="15"/>
      <c r="EZ1017" s="15"/>
      <c r="FA1017" s="15"/>
      <c r="FB1017" s="15"/>
      <c r="FC1017" s="16" t="s">
        <v>197</v>
      </c>
      <c r="FD1017" s="17" t="s">
        <v>198</v>
      </c>
      <c r="FE1017" s="18">
        <v>45723.345289351855</v>
      </c>
      <c r="FF1017" s="19"/>
      <c r="FG1017" s="19"/>
      <c r="FH1017" s="21" t="s">
        <v>197</v>
      </c>
      <c r="FI1017" s="17" t="s">
        <v>214</v>
      </c>
      <c r="FJ1017" s="18">
        <v>45723.345289351855</v>
      </c>
      <c r="FK1017" s="14" t="s">
        <v>20024</v>
      </c>
      <c r="FL1017" s="19"/>
      <c r="FM1017" s="19"/>
      <c r="FN1017" s="19"/>
      <c r="FO1017" s="19"/>
      <c r="FP1017" s="19" t="str">
        <f t="shared" si="1"/>
        <v/>
      </c>
      <c r="FQ1017" s="14" t="s">
        <v>215</v>
      </c>
      <c r="FR1017" s="14" t="s">
        <v>20025</v>
      </c>
    </row>
    <row r="1018" ht="15.75" customHeight="1">
      <c r="A1018" s="12" t="s">
        <v>217</v>
      </c>
      <c r="B1018" s="12" t="s">
        <v>7566</v>
      </c>
      <c r="C1018" s="12" t="s">
        <v>219</v>
      </c>
      <c r="D1018" s="22" t="s">
        <v>20026</v>
      </c>
      <c r="E1018" s="22" t="s">
        <v>20027</v>
      </c>
      <c r="F1018" s="13" t="s">
        <v>178</v>
      </c>
      <c r="G1018" s="14" t="s">
        <v>179</v>
      </c>
      <c r="H1018" s="14" t="s">
        <v>20028</v>
      </c>
      <c r="I1018" s="14" t="s">
        <v>179</v>
      </c>
      <c r="J1018" s="14" t="s">
        <v>20029</v>
      </c>
      <c r="K1018" s="14" t="s">
        <v>179</v>
      </c>
      <c r="L1018" s="14" t="s">
        <v>20030</v>
      </c>
      <c r="M1018" s="14" t="s">
        <v>179</v>
      </c>
      <c r="N1018" s="14" t="s">
        <v>20031</v>
      </c>
      <c r="O1018" s="14" t="s">
        <v>179</v>
      </c>
      <c r="P1018" s="14" t="s">
        <v>20032</v>
      </c>
      <c r="Q1018" s="14" t="s">
        <v>179</v>
      </c>
      <c r="R1018" s="14" t="s">
        <v>20033</v>
      </c>
      <c r="S1018" s="14" t="s">
        <v>179</v>
      </c>
      <c r="T1018" s="14" t="s">
        <v>20034</v>
      </c>
      <c r="U1018" s="14" t="s">
        <v>179</v>
      </c>
      <c r="V1018" s="14" t="s">
        <v>20035</v>
      </c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5"/>
      <c r="BF1018" s="15"/>
      <c r="BG1018" s="15"/>
      <c r="BH1018" s="15"/>
      <c r="BI1018" s="15"/>
      <c r="BJ1018" s="15"/>
      <c r="BK1018" s="15"/>
      <c r="BL1018" s="15"/>
      <c r="BM1018" s="15"/>
      <c r="BN1018" s="15"/>
      <c r="BO1018" s="16" t="s">
        <v>197</v>
      </c>
      <c r="BP1018" s="17" t="s">
        <v>228</v>
      </c>
      <c r="BQ1018" s="23"/>
      <c r="BR1018" s="17" t="s">
        <v>198</v>
      </c>
      <c r="BS1018" s="18">
        <v>45688.59590277778</v>
      </c>
      <c r="BT1018" s="17" t="s">
        <v>198</v>
      </c>
      <c r="BU1018" s="18">
        <v>45688.59590277778</v>
      </c>
      <c r="BV1018" s="13" t="s">
        <v>199</v>
      </c>
      <c r="BW1018" s="14" t="s">
        <v>179</v>
      </c>
      <c r="BX1018" s="14" t="s">
        <v>20036</v>
      </c>
      <c r="BY1018" s="14" t="s">
        <v>179</v>
      </c>
      <c r="BZ1018" s="14" t="s">
        <v>20037</v>
      </c>
      <c r="CA1018" s="15"/>
      <c r="CB1018" s="15"/>
      <c r="CC1018" s="15"/>
      <c r="CD1018" s="15"/>
      <c r="CE1018" s="15"/>
      <c r="CF1018" s="15"/>
      <c r="CG1018" s="19"/>
      <c r="CH1018" s="15"/>
      <c r="CI1018" s="19"/>
      <c r="CJ1018" s="15"/>
      <c r="CK1018" s="19"/>
      <c r="CL1018" s="15"/>
      <c r="CM1018" s="19"/>
      <c r="CN1018" s="15"/>
      <c r="CO1018" s="19"/>
      <c r="CP1018" s="15"/>
      <c r="CQ1018" s="15"/>
      <c r="CR1018" s="15"/>
      <c r="CS1018" s="19"/>
      <c r="CT1018" s="15"/>
      <c r="CU1018" s="19"/>
      <c r="CV1018" s="15"/>
      <c r="CW1018" s="19"/>
      <c r="CX1018" s="15"/>
      <c r="CY1018" s="19"/>
      <c r="CZ1018" s="15"/>
      <c r="DA1018" s="16" t="s">
        <v>197</v>
      </c>
      <c r="DB1018" s="17" t="s">
        <v>228</v>
      </c>
      <c r="DC1018" s="16"/>
      <c r="DD1018" s="17" t="s">
        <v>198</v>
      </c>
      <c r="DE1018" s="18">
        <v>45699.41270833334</v>
      </c>
      <c r="DF1018" s="17" t="s">
        <v>198</v>
      </c>
      <c r="DG1018" s="18">
        <v>45699.41270833334</v>
      </c>
      <c r="DH1018" s="13" t="s">
        <v>205</v>
      </c>
      <c r="DI1018" s="14" t="s">
        <v>179</v>
      </c>
      <c r="DJ1018" s="14" t="s">
        <v>20038</v>
      </c>
      <c r="DK1018" s="15"/>
      <c r="DL1018" s="15"/>
      <c r="DM1018" s="15"/>
      <c r="DN1018" s="15"/>
      <c r="DO1018" s="15"/>
      <c r="DP1018" s="15"/>
      <c r="DQ1018" s="15"/>
      <c r="DR1018" s="15"/>
      <c r="DS1018" s="15"/>
      <c r="DT1018" s="15"/>
      <c r="DU1018" s="15"/>
      <c r="DV1018" s="15"/>
      <c r="DW1018" s="15"/>
      <c r="DX1018" s="15"/>
      <c r="DY1018" s="15"/>
      <c r="DZ1018" s="15"/>
      <c r="EA1018" s="15"/>
      <c r="EB1018" s="15"/>
      <c r="EC1018" s="16" t="s">
        <v>197</v>
      </c>
      <c r="ED1018" s="17" t="s">
        <v>198</v>
      </c>
      <c r="EE1018" s="18">
        <v>45699.41280092593</v>
      </c>
      <c r="EF1018" s="13" t="s">
        <v>209</v>
      </c>
      <c r="EG1018" s="14" t="s">
        <v>179</v>
      </c>
      <c r="EH1018" s="14" t="s">
        <v>20039</v>
      </c>
      <c r="EI1018" s="15"/>
      <c r="EJ1018" s="15"/>
      <c r="EK1018" s="15"/>
      <c r="EL1018" s="15"/>
      <c r="EM1018" s="15"/>
      <c r="EN1018" s="15"/>
      <c r="EO1018" s="15"/>
      <c r="EP1018" s="15"/>
      <c r="EQ1018" s="15"/>
      <c r="ER1018" s="15"/>
      <c r="ES1018" s="15"/>
      <c r="ET1018" s="15"/>
      <c r="EU1018" s="15"/>
      <c r="EV1018" s="15"/>
      <c r="EW1018" s="15"/>
      <c r="EX1018" s="15"/>
      <c r="EY1018" s="15"/>
      <c r="EZ1018" s="15"/>
      <c r="FA1018" s="15"/>
      <c r="FB1018" s="15"/>
      <c r="FC1018" s="16" t="s">
        <v>197</v>
      </c>
      <c r="FD1018" s="17" t="s">
        <v>198</v>
      </c>
      <c r="FE1018" s="18">
        <v>45723.345358796294</v>
      </c>
      <c r="FF1018" s="19"/>
      <c r="FG1018" s="19"/>
      <c r="FH1018" s="21" t="s">
        <v>197</v>
      </c>
      <c r="FI1018" s="17" t="s">
        <v>214</v>
      </c>
      <c r="FJ1018" s="18">
        <v>45723.345358796294</v>
      </c>
      <c r="FK1018" s="14" t="s">
        <v>20039</v>
      </c>
      <c r="FL1018" s="19"/>
      <c r="FM1018" s="19"/>
      <c r="FN1018" s="19"/>
      <c r="FO1018" s="19"/>
      <c r="FP1018" s="19" t="str">
        <f t="shared" si="1"/>
        <v/>
      </c>
      <c r="FQ1018" s="14" t="s">
        <v>215</v>
      </c>
      <c r="FR1018" s="14" t="s">
        <v>20040</v>
      </c>
    </row>
    <row r="1019" ht="15.75" customHeight="1">
      <c r="A1019" s="12" t="s">
        <v>217</v>
      </c>
      <c r="B1019" s="12" t="s">
        <v>7566</v>
      </c>
      <c r="C1019" s="12" t="s">
        <v>219</v>
      </c>
      <c r="D1019" s="22" t="s">
        <v>20041</v>
      </c>
      <c r="E1019" s="22" t="s">
        <v>20042</v>
      </c>
      <c r="F1019" s="13" t="s">
        <v>178</v>
      </c>
      <c r="G1019" s="14" t="s">
        <v>179</v>
      </c>
      <c r="H1019" s="14" t="s">
        <v>20043</v>
      </c>
      <c r="I1019" s="14" t="s">
        <v>179</v>
      </c>
      <c r="J1019" s="14" t="s">
        <v>20043</v>
      </c>
      <c r="K1019" s="14" t="s">
        <v>179</v>
      </c>
      <c r="L1019" s="14" t="s">
        <v>20044</v>
      </c>
      <c r="M1019" s="14" t="s">
        <v>179</v>
      </c>
      <c r="N1019" s="14" t="s">
        <v>20045</v>
      </c>
      <c r="O1019" s="14" t="s">
        <v>179</v>
      </c>
      <c r="P1019" s="14" t="s">
        <v>20046</v>
      </c>
      <c r="Q1019" s="14" t="s">
        <v>179</v>
      </c>
      <c r="R1019" s="14" t="s">
        <v>20047</v>
      </c>
      <c r="S1019" s="14" t="s">
        <v>179</v>
      </c>
      <c r="T1019" s="14" t="s">
        <v>20048</v>
      </c>
      <c r="U1019" s="14" t="s">
        <v>179</v>
      </c>
      <c r="V1019" s="14" t="s">
        <v>20048</v>
      </c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  <c r="BH1019" s="15"/>
      <c r="BI1019" s="15"/>
      <c r="BJ1019" s="15"/>
      <c r="BK1019" s="15"/>
      <c r="BL1019" s="15"/>
      <c r="BM1019" s="15"/>
      <c r="BN1019" s="15"/>
      <c r="BO1019" s="16" t="s">
        <v>197</v>
      </c>
      <c r="BP1019" s="17" t="s">
        <v>228</v>
      </c>
      <c r="BQ1019" s="23"/>
      <c r="BR1019" s="17" t="s">
        <v>198</v>
      </c>
      <c r="BS1019" s="18">
        <v>45686.38133101852</v>
      </c>
      <c r="BT1019" s="17" t="s">
        <v>198</v>
      </c>
      <c r="BU1019" s="18">
        <v>45686.38133101852</v>
      </c>
      <c r="BV1019" s="13" t="s">
        <v>199</v>
      </c>
      <c r="BW1019" s="14" t="s">
        <v>179</v>
      </c>
      <c r="BX1019" s="14" t="s">
        <v>20049</v>
      </c>
      <c r="BY1019" s="14" t="s">
        <v>179</v>
      </c>
      <c r="BZ1019" s="14" t="s">
        <v>20050</v>
      </c>
      <c r="CA1019" s="15"/>
      <c r="CB1019" s="15"/>
      <c r="CC1019" s="15"/>
      <c r="CD1019" s="15"/>
      <c r="CE1019" s="15"/>
      <c r="CF1019" s="15"/>
      <c r="CG1019" s="19"/>
      <c r="CH1019" s="15"/>
      <c r="CI1019" s="19"/>
      <c r="CJ1019" s="15"/>
      <c r="CK1019" s="19"/>
      <c r="CL1019" s="15"/>
      <c r="CM1019" s="19"/>
      <c r="CN1019" s="15"/>
      <c r="CO1019" s="19"/>
      <c r="CP1019" s="15"/>
      <c r="CQ1019" s="15"/>
      <c r="CR1019" s="15"/>
      <c r="CS1019" s="19"/>
      <c r="CT1019" s="15"/>
      <c r="CU1019" s="19"/>
      <c r="CV1019" s="15"/>
      <c r="CW1019" s="19"/>
      <c r="CX1019" s="15"/>
      <c r="CY1019" s="19"/>
      <c r="CZ1019" s="15"/>
      <c r="DA1019" s="16" t="s">
        <v>197</v>
      </c>
      <c r="DB1019" s="17" t="s">
        <v>228</v>
      </c>
      <c r="DC1019" s="16"/>
      <c r="DD1019" s="17" t="s">
        <v>198</v>
      </c>
      <c r="DE1019" s="18">
        <v>45686.38141203704</v>
      </c>
      <c r="DF1019" s="17" t="s">
        <v>198</v>
      </c>
      <c r="DG1019" s="18">
        <v>45686.38141203704</v>
      </c>
      <c r="DH1019" s="13" t="s">
        <v>205</v>
      </c>
      <c r="DI1019" s="14" t="s">
        <v>179</v>
      </c>
      <c r="DJ1019" s="14" t="s">
        <v>20051</v>
      </c>
      <c r="DK1019" s="15"/>
      <c r="DL1019" s="15"/>
      <c r="DM1019" s="15"/>
      <c r="DN1019" s="15"/>
      <c r="DO1019" s="15"/>
      <c r="DP1019" s="15"/>
      <c r="DQ1019" s="15"/>
      <c r="DR1019" s="15"/>
      <c r="DS1019" s="15"/>
      <c r="DT1019" s="15"/>
      <c r="DU1019" s="15"/>
      <c r="DV1019" s="15"/>
      <c r="DW1019" s="15"/>
      <c r="DX1019" s="15"/>
      <c r="DY1019" s="15"/>
      <c r="DZ1019" s="15"/>
      <c r="EA1019" s="15"/>
      <c r="EB1019" s="15"/>
      <c r="EC1019" s="16" t="s">
        <v>197</v>
      </c>
      <c r="ED1019" s="17" t="s">
        <v>198</v>
      </c>
      <c r="EE1019" s="18">
        <v>45699.41622685185</v>
      </c>
      <c r="EF1019" s="13" t="s">
        <v>209</v>
      </c>
      <c r="EG1019" s="14" t="s">
        <v>179</v>
      </c>
      <c r="EH1019" s="14" t="s">
        <v>20052</v>
      </c>
      <c r="EI1019" s="15"/>
      <c r="EJ1019" s="15"/>
      <c r="EK1019" s="15"/>
      <c r="EL1019" s="15"/>
      <c r="EM1019" s="15"/>
      <c r="EN1019" s="15"/>
      <c r="EO1019" s="15"/>
      <c r="EP1019" s="15"/>
      <c r="EQ1019" s="15"/>
      <c r="ER1019" s="15"/>
      <c r="ES1019" s="15"/>
      <c r="ET1019" s="15"/>
      <c r="EU1019" s="15"/>
      <c r="EV1019" s="15"/>
      <c r="EW1019" s="15"/>
      <c r="EX1019" s="15"/>
      <c r="EY1019" s="15"/>
      <c r="EZ1019" s="15"/>
      <c r="FA1019" s="15"/>
      <c r="FB1019" s="15"/>
      <c r="FC1019" s="16" t="s">
        <v>197</v>
      </c>
      <c r="FD1019" s="17" t="s">
        <v>198</v>
      </c>
      <c r="FE1019" s="18">
        <v>45723.34542824074</v>
      </c>
      <c r="FF1019" s="19"/>
      <c r="FG1019" s="19"/>
      <c r="FH1019" s="21" t="s">
        <v>197</v>
      </c>
      <c r="FI1019" s="17" t="s">
        <v>214</v>
      </c>
      <c r="FJ1019" s="18">
        <v>45723.34542824074</v>
      </c>
      <c r="FK1019" s="14" t="s">
        <v>20052</v>
      </c>
      <c r="FL1019" s="14" t="s">
        <v>20053</v>
      </c>
      <c r="FM1019" s="14" t="s">
        <v>20054</v>
      </c>
      <c r="FN1019" s="19"/>
      <c r="FO1019" s="19"/>
      <c r="FP1019" s="19" t="str">
        <f t="shared" si="1"/>
        <v>Base de Dados_Images/XV40026.Imagem do Equipamento-.154927.jpg</v>
      </c>
      <c r="FQ1019" s="19"/>
      <c r="FR1019" s="19"/>
    </row>
    <row r="1020" ht="15.75" customHeight="1">
      <c r="A1020" s="12" t="s">
        <v>217</v>
      </c>
      <c r="B1020" s="12" t="s">
        <v>7566</v>
      </c>
      <c r="C1020" s="12" t="s">
        <v>219</v>
      </c>
      <c r="D1020" s="22" t="s">
        <v>20055</v>
      </c>
      <c r="E1020" s="22" t="s">
        <v>20056</v>
      </c>
      <c r="F1020" s="13" t="s">
        <v>178</v>
      </c>
      <c r="G1020" s="14" t="s">
        <v>179</v>
      </c>
      <c r="H1020" s="14" t="s">
        <v>20057</v>
      </c>
      <c r="I1020" s="14" t="s">
        <v>179</v>
      </c>
      <c r="J1020" s="14" t="s">
        <v>20058</v>
      </c>
      <c r="K1020" s="14" t="s">
        <v>179</v>
      </c>
      <c r="L1020" s="14" t="s">
        <v>20059</v>
      </c>
      <c r="M1020" s="14" t="s">
        <v>179</v>
      </c>
      <c r="N1020" s="14" t="s">
        <v>20060</v>
      </c>
      <c r="O1020" s="14" t="s">
        <v>179</v>
      </c>
      <c r="P1020" s="14" t="s">
        <v>20060</v>
      </c>
      <c r="Q1020" s="14" t="s">
        <v>179</v>
      </c>
      <c r="R1020" s="14" t="s">
        <v>20061</v>
      </c>
      <c r="S1020" s="14" t="s">
        <v>179</v>
      </c>
      <c r="T1020" s="14" t="s">
        <v>20062</v>
      </c>
      <c r="U1020" s="14" t="s">
        <v>179</v>
      </c>
      <c r="V1020" s="14" t="s">
        <v>20063</v>
      </c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5"/>
      <c r="BF1020" s="15"/>
      <c r="BG1020" s="15"/>
      <c r="BH1020" s="15"/>
      <c r="BI1020" s="15"/>
      <c r="BJ1020" s="15"/>
      <c r="BK1020" s="15"/>
      <c r="BL1020" s="15"/>
      <c r="BM1020" s="15"/>
      <c r="BN1020" s="15"/>
      <c r="BO1020" s="16" t="s">
        <v>197</v>
      </c>
      <c r="BP1020" s="17" t="s">
        <v>228</v>
      </c>
      <c r="BQ1020" s="23"/>
      <c r="BR1020" s="17" t="s">
        <v>198</v>
      </c>
      <c r="BS1020" s="18">
        <v>45686.38182870371</v>
      </c>
      <c r="BT1020" s="17" t="s">
        <v>198</v>
      </c>
      <c r="BU1020" s="18">
        <v>45686.38182870371</v>
      </c>
      <c r="BV1020" s="13" t="s">
        <v>199</v>
      </c>
      <c r="BW1020" s="14" t="s">
        <v>179</v>
      </c>
      <c r="BX1020" s="14" t="s">
        <v>20064</v>
      </c>
      <c r="BY1020" s="14" t="s">
        <v>179</v>
      </c>
      <c r="BZ1020" s="14" t="s">
        <v>20065</v>
      </c>
      <c r="CA1020" s="15"/>
      <c r="CB1020" s="15"/>
      <c r="CC1020" s="15"/>
      <c r="CD1020" s="15"/>
      <c r="CE1020" s="15"/>
      <c r="CF1020" s="15"/>
      <c r="CG1020" s="19"/>
      <c r="CH1020" s="15"/>
      <c r="CI1020" s="19"/>
      <c r="CJ1020" s="15"/>
      <c r="CK1020" s="19"/>
      <c r="CL1020" s="15"/>
      <c r="CM1020" s="19"/>
      <c r="CN1020" s="15"/>
      <c r="CO1020" s="19"/>
      <c r="CP1020" s="15"/>
      <c r="CQ1020" s="15"/>
      <c r="CR1020" s="15"/>
      <c r="CS1020" s="19"/>
      <c r="CT1020" s="15"/>
      <c r="CU1020" s="19"/>
      <c r="CV1020" s="15"/>
      <c r="CW1020" s="19"/>
      <c r="CX1020" s="15"/>
      <c r="CY1020" s="19"/>
      <c r="CZ1020" s="15"/>
      <c r="DA1020" s="16" t="s">
        <v>197</v>
      </c>
      <c r="DB1020" s="17" t="s">
        <v>228</v>
      </c>
      <c r="DC1020" s="16"/>
      <c r="DD1020" s="17" t="s">
        <v>198</v>
      </c>
      <c r="DE1020" s="18">
        <v>45686.381944444445</v>
      </c>
      <c r="DF1020" s="17" t="s">
        <v>198</v>
      </c>
      <c r="DG1020" s="18">
        <v>45686.381944444445</v>
      </c>
      <c r="DH1020" s="13" t="s">
        <v>205</v>
      </c>
      <c r="DI1020" s="14" t="s">
        <v>179</v>
      </c>
      <c r="DJ1020" s="14" t="s">
        <v>20066</v>
      </c>
      <c r="DK1020" s="15"/>
      <c r="DL1020" s="15"/>
      <c r="DM1020" s="15"/>
      <c r="DN1020" s="15"/>
      <c r="DO1020" s="15"/>
      <c r="DP1020" s="15"/>
      <c r="DQ1020" s="15"/>
      <c r="DR1020" s="15"/>
      <c r="DS1020" s="15"/>
      <c r="DT1020" s="15"/>
      <c r="DU1020" s="15"/>
      <c r="DV1020" s="15"/>
      <c r="DW1020" s="15"/>
      <c r="DX1020" s="15"/>
      <c r="DY1020" s="15"/>
      <c r="DZ1020" s="15"/>
      <c r="EA1020" s="15"/>
      <c r="EB1020" s="15"/>
      <c r="EC1020" s="16" t="s">
        <v>197</v>
      </c>
      <c r="ED1020" s="17" t="s">
        <v>198</v>
      </c>
      <c r="EE1020" s="18">
        <v>45699.41636574074</v>
      </c>
      <c r="EF1020" s="13" t="s">
        <v>209</v>
      </c>
      <c r="EG1020" s="14" t="s">
        <v>179</v>
      </c>
      <c r="EH1020" s="14" t="s">
        <v>20067</v>
      </c>
      <c r="EI1020" s="15"/>
      <c r="EJ1020" s="15"/>
      <c r="EK1020" s="15"/>
      <c r="EL1020" s="15"/>
      <c r="EM1020" s="15"/>
      <c r="EN1020" s="15"/>
      <c r="EO1020" s="15"/>
      <c r="EP1020" s="15"/>
      <c r="EQ1020" s="15"/>
      <c r="ER1020" s="15"/>
      <c r="ES1020" s="15"/>
      <c r="ET1020" s="15"/>
      <c r="EU1020" s="15"/>
      <c r="EV1020" s="15"/>
      <c r="EW1020" s="15"/>
      <c r="EX1020" s="15"/>
      <c r="EY1020" s="15"/>
      <c r="EZ1020" s="15"/>
      <c r="FA1020" s="15"/>
      <c r="FB1020" s="15"/>
      <c r="FC1020" s="16" t="s">
        <v>197</v>
      </c>
      <c r="FD1020" s="17" t="s">
        <v>198</v>
      </c>
      <c r="FE1020" s="18">
        <v>45723.345497685186</v>
      </c>
      <c r="FF1020" s="19"/>
      <c r="FG1020" s="19"/>
      <c r="FH1020" s="21" t="s">
        <v>197</v>
      </c>
      <c r="FI1020" s="17" t="s">
        <v>214</v>
      </c>
      <c r="FJ1020" s="18">
        <v>45723.345497685186</v>
      </c>
      <c r="FK1020" s="14" t="s">
        <v>20067</v>
      </c>
      <c r="FL1020" s="14" t="s">
        <v>20068</v>
      </c>
      <c r="FM1020" s="14" t="s">
        <v>20069</v>
      </c>
      <c r="FN1020" s="19"/>
      <c r="FO1020" s="19"/>
      <c r="FP1020" s="19" t="str">
        <f t="shared" si="1"/>
        <v>Base de Dados_Images/XV40027.Imagem do Equipamento-.155014.jpg</v>
      </c>
      <c r="FQ1020" s="19"/>
      <c r="FR1020" s="19"/>
    </row>
    <row r="1021" ht="15.75" customHeight="1">
      <c r="A1021" s="12" t="s">
        <v>217</v>
      </c>
      <c r="B1021" s="12" t="s">
        <v>7566</v>
      </c>
      <c r="C1021" s="12" t="s">
        <v>219</v>
      </c>
      <c r="D1021" s="22" t="s">
        <v>20070</v>
      </c>
      <c r="E1021" s="22" t="s">
        <v>20071</v>
      </c>
      <c r="F1021" s="13" t="s">
        <v>178</v>
      </c>
      <c r="G1021" s="14" t="s">
        <v>179</v>
      </c>
      <c r="H1021" s="14" t="s">
        <v>20072</v>
      </c>
      <c r="I1021" s="14" t="s">
        <v>179</v>
      </c>
      <c r="J1021" s="14" t="s">
        <v>20073</v>
      </c>
      <c r="K1021" s="14" t="s">
        <v>179</v>
      </c>
      <c r="L1021" s="14" t="s">
        <v>20074</v>
      </c>
      <c r="M1021" s="14" t="s">
        <v>179</v>
      </c>
      <c r="N1021" s="14" t="s">
        <v>20074</v>
      </c>
      <c r="O1021" s="14" t="s">
        <v>179</v>
      </c>
      <c r="P1021" s="14" t="s">
        <v>20075</v>
      </c>
      <c r="Q1021" s="14" t="s">
        <v>179</v>
      </c>
      <c r="R1021" s="14" t="s">
        <v>20076</v>
      </c>
      <c r="S1021" s="14" t="s">
        <v>179</v>
      </c>
      <c r="T1021" s="14" t="s">
        <v>20077</v>
      </c>
      <c r="U1021" s="14" t="s">
        <v>179</v>
      </c>
      <c r="V1021" s="14" t="s">
        <v>20078</v>
      </c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  <c r="BH1021" s="15"/>
      <c r="BI1021" s="15"/>
      <c r="BJ1021" s="15"/>
      <c r="BK1021" s="15"/>
      <c r="BL1021" s="15"/>
      <c r="BM1021" s="15"/>
      <c r="BN1021" s="15"/>
      <c r="BO1021" s="16" t="s">
        <v>197</v>
      </c>
      <c r="BP1021" s="17" t="s">
        <v>228</v>
      </c>
      <c r="BQ1021" s="23"/>
      <c r="BR1021" s="17" t="s">
        <v>198</v>
      </c>
      <c r="BS1021" s="18">
        <v>45686.38232638889</v>
      </c>
      <c r="BT1021" s="17" t="s">
        <v>198</v>
      </c>
      <c r="BU1021" s="18">
        <v>45686.38232638889</v>
      </c>
      <c r="BV1021" s="13" t="s">
        <v>199</v>
      </c>
      <c r="BW1021" s="14" t="s">
        <v>179</v>
      </c>
      <c r="BX1021" s="14" t="s">
        <v>20079</v>
      </c>
      <c r="BY1021" s="14" t="s">
        <v>179</v>
      </c>
      <c r="BZ1021" s="14" t="s">
        <v>20080</v>
      </c>
      <c r="CA1021" s="15"/>
      <c r="CB1021" s="15"/>
      <c r="CC1021" s="15"/>
      <c r="CD1021" s="15"/>
      <c r="CE1021" s="15"/>
      <c r="CF1021" s="15"/>
      <c r="CG1021" s="19"/>
      <c r="CH1021" s="15"/>
      <c r="CI1021" s="19"/>
      <c r="CJ1021" s="15"/>
      <c r="CK1021" s="19"/>
      <c r="CL1021" s="15"/>
      <c r="CM1021" s="19"/>
      <c r="CN1021" s="15"/>
      <c r="CO1021" s="19"/>
      <c r="CP1021" s="15"/>
      <c r="CQ1021" s="15"/>
      <c r="CR1021" s="15"/>
      <c r="CS1021" s="19"/>
      <c r="CT1021" s="15"/>
      <c r="CU1021" s="19"/>
      <c r="CV1021" s="15"/>
      <c r="CW1021" s="19"/>
      <c r="CX1021" s="15"/>
      <c r="CY1021" s="19"/>
      <c r="CZ1021" s="15"/>
      <c r="DA1021" s="16" t="s">
        <v>197</v>
      </c>
      <c r="DB1021" s="17" t="s">
        <v>228</v>
      </c>
      <c r="DC1021" s="16"/>
      <c r="DD1021" s="17" t="s">
        <v>198</v>
      </c>
      <c r="DE1021" s="18">
        <v>45686.382418981484</v>
      </c>
      <c r="DF1021" s="17" t="s">
        <v>198</v>
      </c>
      <c r="DG1021" s="18">
        <v>45686.382418981484</v>
      </c>
      <c r="DH1021" s="13" t="s">
        <v>205</v>
      </c>
      <c r="DI1021" s="14" t="s">
        <v>179</v>
      </c>
      <c r="DJ1021" s="14" t="s">
        <v>20081</v>
      </c>
      <c r="DK1021" s="15"/>
      <c r="DL1021" s="15"/>
      <c r="DM1021" s="15"/>
      <c r="DN1021" s="15"/>
      <c r="DO1021" s="15"/>
      <c r="DP1021" s="15"/>
      <c r="DQ1021" s="15"/>
      <c r="DR1021" s="15"/>
      <c r="DS1021" s="15"/>
      <c r="DT1021" s="15"/>
      <c r="DU1021" s="15"/>
      <c r="DV1021" s="15"/>
      <c r="DW1021" s="15"/>
      <c r="DX1021" s="15"/>
      <c r="DY1021" s="15"/>
      <c r="DZ1021" s="15"/>
      <c r="EA1021" s="15"/>
      <c r="EB1021" s="15"/>
      <c r="EC1021" s="16" t="s">
        <v>197</v>
      </c>
      <c r="ED1021" s="17" t="s">
        <v>198</v>
      </c>
      <c r="EE1021" s="18">
        <v>45699.416550925926</v>
      </c>
      <c r="EF1021" s="13" t="s">
        <v>209</v>
      </c>
      <c r="EG1021" s="14" t="s">
        <v>179</v>
      </c>
      <c r="EH1021" s="14" t="s">
        <v>20082</v>
      </c>
      <c r="EI1021" s="15"/>
      <c r="EJ1021" s="15"/>
      <c r="EK1021" s="15"/>
      <c r="EL1021" s="15"/>
      <c r="EM1021" s="15"/>
      <c r="EN1021" s="15"/>
      <c r="EO1021" s="15"/>
      <c r="EP1021" s="15"/>
      <c r="EQ1021" s="15"/>
      <c r="ER1021" s="15"/>
      <c r="ES1021" s="15"/>
      <c r="ET1021" s="15"/>
      <c r="EU1021" s="15"/>
      <c r="EV1021" s="15"/>
      <c r="EW1021" s="15"/>
      <c r="EX1021" s="15"/>
      <c r="EY1021" s="15"/>
      <c r="EZ1021" s="15"/>
      <c r="FA1021" s="15"/>
      <c r="FB1021" s="15"/>
      <c r="FC1021" s="16" t="s">
        <v>197</v>
      </c>
      <c r="FD1021" s="17" t="s">
        <v>198</v>
      </c>
      <c r="FE1021" s="18">
        <v>45723.345555555556</v>
      </c>
      <c r="FF1021" s="19"/>
      <c r="FG1021" s="19"/>
      <c r="FH1021" s="21" t="s">
        <v>197</v>
      </c>
      <c r="FI1021" s="17" t="s">
        <v>214</v>
      </c>
      <c r="FJ1021" s="18">
        <v>45723.345555555556</v>
      </c>
      <c r="FK1021" s="14" t="s">
        <v>20083</v>
      </c>
      <c r="FL1021" s="14" t="s">
        <v>20084</v>
      </c>
      <c r="FM1021" s="14" t="s">
        <v>20085</v>
      </c>
      <c r="FN1021" s="19"/>
      <c r="FO1021" s="19"/>
      <c r="FP1021" s="19" t="str">
        <f t="shared" si="1"/>
        <v>Base de Dados_Images/XV40028.Imagem do Equipamento-.155102.jpg</v>
      </c>
      <c r="FQ1021" s="19"/>
      <c r="FR1021" s="19"/>
    </row>
    <row r="1022" ht="15.75" customHeight="1">
      <c r="A1022" s="12" t="s">
        <v>217</v>
      </c>
      <c r="B1022" s="12" t="s">
        <v>7566</v>
      </c>
      <c r="C1022" s="12" t="s">
        <v>219</v>
      </c>
      <c r="D1022" s="22" t="s">
        <v>20086</v>
      </c>
      <c r="E1022" s="22" t="s">
        <v>20087</v>
      </c>
      <c r="F1022" s="13" t="s">
        <v>178</v>
      </c>
      <c r="G1022" s="14" t="s">
        <v>179</v>
      </c>
      <c r="H1022" s="14" t="s">
        <v>20088</v>
      </c>
      <c r="I1022" s="14" t="s">
        <v>179</v>
      </c>
      <c r="J1022" s="14" t="s">
        <v>20089</v>
      </c>
      <c r="K1022" s="14" t="s">
        <v>179</v>
      </c>
      <c r="L1022" s="14" t="s">
        <v>20090</v>
      </c>
      <c r="M1022" s="14" t="s">
        <v>179</v>
      </c>
      <c r="N1022" s="14" t="s">
        <v>20090</v>
      </c>
      <c r="O1022" s="14" t="s">
        <v>179</v>
      </c>
      <c r="P1022" s="14" t="s">
        <v>20091</v>
      </c>
      <c r="Q1022" s="14" t="s">
        <v>179</v>
      </c>
      <c r="R1022" s="14" t="s">
        <v>20092</v>
      </c>
      <c r="S1022" s="14" t="s">
        <v>179</v>
      </c>
      <c r="T1022" s="14" t="s">
        <v>20093</v>
      </c>
      <c r="U1022" s="14" t="s">
        <v>179</v>
      </c>
      <c r="V1022" s="14" t="s">
        <v>20094</v>
      </c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/>
      <c r="BG1022" s="15"/>
      <c r="BH1022" s="15"/>
      <c r="BI1022" s="15"/>
      <c r="BJ1022" s="15"/>
      <c r="BK1022" s="15"/>
      <c r="BL1022" s="15"/>
      <c r="BM1022" s="15"/>
      <c r="BN1022" s="15"/>
      <c r="BO1022" s="16" t="s">
        <v>197</v>
      </c>
      <c r="BP1022" s="17" t="s">
        <v>228</v>
      </c>
      <c r="BQ1022" s="23"/>
      <c r="BR1022" s="17" t="s">
        <v>198</v>
      </c>
      <c r="BS1022" s="18">
        <v>45686.38314814815</v>
      </c>
      <c r="BT1022" s="17" t="s">
        <v>198</v>
      </c>
      <c r="BU1022" s="18">
        <v>45686.38314814815</v>
      </c>
      <c r="BV1022" s="13" t="s">
        <v>199</v>
      </c>
      <c r="BW1022" s="14" t="s">
        <v>179</v>
      </c>
      <c r="BX1022" s="14" t="s">
        <v>20095</v>
      </c>
      <c r="BY1022" s="14" t="s">
        <v>179</v>
      </c>
      <c r="BZ1022" s="14" t="s">
        <v>20095</v>
      </c>
      <c r="CA1022" s="15"/>
      <c r="CB1022" s="15"/>
      <c r="CC1022" s="15"/>
      <c r="CD1022" s="15"/>
      <c r="CE1022" s="15"/>
      <c r="CF1022" s="15"/>
      <c r="CG1022" s="19"/>
      <c r="CH1022" s="15"/>
      <c r="CI1022" s="19"/>
      <c r="CJ1022" s="15"/>
      <c r="CK1022" s="19"/>
      <c r="CL1022" s="15"/>
      <c r="CM1022" s="19"/>
      <c r="CN1022" s="15"/>
      <c r="CO1022" s="19"/>
      <c r="CP1022" s="15"/>
      <c r="CQ1022" s="15"/>
      <c r="CR1022" s="15"/>
      <c r="CS1022" s="19"/>
      <c r="CT1022" s="15"/>
      <c r="CU1022" s="19"/>
      <c r="CV1022" s="15"/>
      <c r="CW1022" s="19"/>
      <c r="CX1022" s="15"/>
      <c r="CY1022" s="19"/>
      <c r="CZ1022" s="15"/>
      <c r="DA1022" s="16" t="s">
        <v>197</v>
      </c>
      <c r="DB1022" s="17" t="s">
        <v>228</v>
      </c>
      <c r="DC1022" s="16"/>
      <c r="DD1022" s="17" t="s">
        <v>198</v>
      </c>
      <c r="DE1022" s="18">
        <v>45686.383356481485</v>
      </c>
      <c r="DF1022" s="17" t="s">
        <v>198</v>
      </c>
      <c r="DG1022" s="18">
        <v>45686.383356481485</v>
      </c>
      <c r="DH1022" s="13" t="s">
        <v>205</v>
      </c>
      <c r="DI1022" s="14" t="s">
        <v>179</v>
      </c>
      <c r="DJ1022" s="14" t="s">
        <v>20096</v>
      </c>
      <c r="DK1022" s="15"/>
      <c r="DL1022" s="15"/>
      <c r="DM1022" s="15"/>
      <c r="DN1022" s="15"/>
      <c r="DO1022" s="15"/>
      <c r="DP1022" s="15"/>
      <c r="DQ1022" s="15"/>
      <c r="DR1022" s="15"/>
      <c r="DS1022" s="15"/>
      <c r="DT1022" s="15"/>
      <c r="DU1022" s="15"/>
      <c r="DV1022" s="15"/>
      <c r="DW1022" s="15"/>
      <c r="DX1022" s="15"/>
      <c r="DY1022" s="15"/>
      <c r="DZ1022" s="15"/>
      <c r="EA1022" s="15"/>
      <c r="EB1022" s="15"/>
      <c r="EC1022" s="16" t="s">
        <v>197</v>
      </c>
      <c r="ED1022" s="17" t="s">
        <v>198</v>
      </c>
      <c r="EE1022" s="18">
        <v>45699.41670138889</v>
      </c>
      <c r="EF1022" s="13" t="s">
        <v>209</v>
      </c>
      <c r="EG1022" s="14" t="s">
        <v>179</v>
      </c>
      <c r="EH1022" s="14" t="s">
        <v>20097</v>
      </c>
      <c r="EI1022" s="15"/>
      <c r="EJ1022" s="15"/>
      <c r="EK1022" s="15"/>
      <c r="EL1022" s="15"/>
      <c r="EM1022" s="15"/>
      <c r="EN1022" s="15"/>
      <c r="EO1022" s="15"/>
      <c r="EP1022" s="15"/>
      <c r="EQ1022" s="15"/>
      <c r="ER1022" s="15"/>
      <c r="ES1022" s="15"/>
      <c r="ET1022" s="15"/>
      <c r="EU1022" s="15"/>
      <c r="EV1022" s="15"/>
      <c r="EW1022" s="15"/>
      <c r="EX1022" s="15"/>
      <c r="EY1022" s="15"/>
      <c r="EZ1022" s="15"/>
      <c r="FA1022" s="15"/>
      <c r="FB1022" s="15"/>
      <c r="FC1022" s="16" t="s">
        <v>197</v>
      </c>
      <c r="FD1022" s="17" t="s">
        <v>198</v>
      </c>
      <c r="FE1022" s="18">
        <v>45723.345625</v>
      </c>
      <c r="FF1022" s="19"/>
      <c r="FG1022" s="19"/>
      <c r="FH1022" s="21" t="s">
        <v>197</v>
      </c>
      <c r="FI1022" s="17" t="s">
        <v>214</v>
      </c>
      <c r="FJ1022" s="18">
        <v>45723.345625</v>
      </c>
      <c r="FK1022" s="14" t="s">
        <v>20097</v>
      </c>
      <c r="FL1022" s="14" t="s">
        <v>20098</v>
      </c>
      <c r="FM1022" s="14" t="s">
        <v>20099</v>
      </c>
      <c r="FN1022" s="19"/>
      <c r="FO1022" s="19"/>
      <c r="FP1022" s="19" t="str">
        <f t="shared" si="1"/>
        <v>Base de Dados_Images/XV40029.Imagem do Equipamento-.155147.jpg</v>
      </c>
      <c r="FQ1022" s="19"/>
      <c r="FR1022" s="19"/>
    </row>
    <row r="1023" ht="15.75" customHeight="1">
      <c r="A1023" s="12" t="s">
        <v>217</v>
      </c>
      <c r="B1023" s="12" t="s">
        <v>7566</v>
      </c>
      <c r="C1023" s="12" t="s">
        <v>219</v>
      </c>
      <c r="D1023" s="22" t="s">
        <v>20100</v>
      </c>
      <c r="E1023" s="22" t="s">
        <v>20101</v>
      </c>
      <c r="F1023" s="13" t="s">
        <v>178</v>
      </c>
      <c r="G1023" s="14" t="s">
        <v>188</v>
      </c>
      <c r="H1023" s="14" t="s">
        <v>20102</v>
      </c>
      <c r="I1023" s="14" t="s">
        <v>179</v>
      </c>
      <c r="J1023" s="14" t="s">
        <v>20103</v>
      </c>
      <c r="K1023" s="14" t="s">
        <v>179</v>
      </c>
      <c r="L1023" s="14" t="s">
        <v>20104</v>
      </c>
      <c r="M1023" s="14" t="s">
        <v>179</v>
      </c>
      <c r="N1023" s="14" t="s">
        <v>20105</v>
      </c>
      <c r="O1023" s="14" t="s">
        <v>179</v>
      </c>
      <c r="P1023" s="14" t="s">
        <v>20106</v>
      </c>
      <c r="Q1023" s="14" t="s">
        <v>179</v>
      </c>
      <c r="R1023" s="14" t="s">
        <v>20107</v>
      </c>
      <c r="S1023" s="14" t="s">
        <v>179</v>
      </c>
      <c r="T1023" s="14" t="s">
        <v>20108</v>
      </c>
      <c r="U1023" s="14" t="s">
        <v>179</v>
      </c>
      <c r="V1023" s="14" t="s">
        <v>20109</v>
      </c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  <c r="BH1023" s="15"/>
      <c r="BI1023" s="15"/>
      <c r="BJ1023" s="15"/>
      <c r="BK1023" s="15"/>
      <c r="BL1023" s="15"/>
      <c r="BM1023" s="15"/>
      <c r="BN1023" s="15"/>
      <c r="BO1023" s="16" t="s">
        <v>197</v>
      </c>
      <c r="BP1023" s="17" t="s">
        <v>228</v>
      </c>
      <c r="BQ1023" s="23"/>
      <c r="BR1023" s="17" t="s">
        <v>198</v>
      </c>
      <c r="BS1023" s="18">
        <v>45692.56673611111</v>
      </c>
      <c r="BT1023" s="17" t="s">
        <v>198</v>
      </c>
      <c r="BU1023" s="18">
        <v>45692.56673611111</v>
      </c>
      <c r="BV1023" s="13" t="s">
        <v>199</v>
      </c>
      <c r="BW1023" s="14" t="s">
        <v>179</v>
      </c>
      <c r="BX1023" s="14" t="s">
        <v>20110</v>
      </c>
      <c r="BY1023" s="14" t="s">
        <v>179</v>
      </c>
      <c r="BZ1023" s="14" t="s">
        <v>20111</v>
      </c>
      <c r="CA1023" s="15"/>
      <c r="CB1023" s="15"/>
      <c r="CC1023" s="15"/>
      <c r="CD1023" s="15"/>
      <c r="CE1023" s="15"/>
      <c r="CF1023" s="15"/>
      <c r="CG1023" s="19"/>
      <c r="CH1023" s="15"/>
      <c r="CI1023" s="19"/>
      <c r="CJ1023" s="15"/>
      <c r="CK1023" s="19"/>
      <c r="CL1023" s="15"/>
      <c r="CM1023" s="19"/>
      <c r="CN1023" s="15"/>
      <c r="CO1023" s="19"/>
      <c r="CP1023" s="15"/>
      <c r="CQ1023" s="15"/>
      <c r="CR1023" s="15"/>
      <c r="CS1023" s="19"/>
      <c r="CT1023" s="15"/>
      <c r="CU1023" s="19"/>
      <c r="CV1023" s="15"/>
      <c r="CW1023" s="19"/>
      <c r="CX1023" s="15"/>
      <c r="CY1023" s="19"/>
      <c r="CZ1023" s="15"/>
      <c r="DA1023" s="16" t="s">
        <v>197</v>
      </c>
      <c r="DB1023" s="17" t="s">
        <v>228</v>
      </c>
      <c r="DC1023" s="16"/>
      <c r="DD1023" s="17" t="s">
        <v>198</v>
      </c>
      <c r="DE1023" s="18">
        <v>45692.56684027778</v>
      </c>
      <c r="DF1023" s="17" t="s">
        <v>198</v>
      </c>
      <c r="DG1023" s="18">
        <v>45692.56684027778</v>
      </c>
      <c r="DH1023" s="13" t="s">
        <v>205</v>
      </c>
      <c r="DI1023" s="14" t="s">
        <v>179</v>
      </c>
      <c r="DJ1023" s="14" t="s">
        <v>20112</v>
      </c>
      <c r="DK1023" s="15"/>
      <c r="DL1023" s="15"/>
      <c r="DM1023" s="15"/>
      <c r="DN1023" s="15"/>
      <c r="DO1023" s="15"/>
      <c r="DP1023" s="15"/>
      <c r="DQ1023" s="15"/>
      <c r="DR1023" s="15"/>
      <c r="DS1023" s="15"/>
      <c r="DT1023" s="15"/>
      <c r="DU1023" s="15"/>
      <c r="DV1023" s="15"/>
      <c r="DW1023" s="15"/>
      <c r="DX1023" s="15"/>
      <c r="DY1023" s="15"/>
      <c r="DZ1023" s="15"/>
      <c r="EA1023" s="15"/>
      <c r="EB1023" s="15"/>
      <c r="EC1023" s="16" t="s">
        <v>197</v>
      </c>
      <c r="ED1023" s="17" t="s">
        <v>198</v>
      </c>
      <c r="EE1023" s="18">
        <v>45699.417083333334</v>
      </c>
      <c r="EF1023" s="13" t="s">
        <v>209</v>
      </c>
      <c r="EG1023" s="14" t="s">
        <v>179</v>
      </c>
      <c r="EH1023" s="14" t="s">
        <v>20113</v>
      </c>
      <c r="EI1023" s="15"/>
      <c r="EJ1023" s="15"/>
      <c r="EK1023" s="15"/>
      <c r="EL1023" s="15"/>
      <c r="EM1023" s="15"/>
      <c r="EN1023" s="15"/>
      <c r="EO1023" s="15"/>
      <c r="EP1023" s="15"/>
      <c r="EQ1023" s="15"/>
      <c r="ER1023" s="15"/>
      <c r="ES1023" s="15"/>
      <c r="ET1023" s="15"/>
      <c r="EU1023" s="15"/>
      <c r="EV1023" s="15"/>
      <c r="EW1023" s="15"/>
      <c r="EX1023" s="15"/>
      <c r="EY1023" s="15"/>
      <c r="EZ1023" s="15"/>
      <c r="FA1023" s="15"/>
      <c r="FB1023" s="15"/>
      <c r="FC1023" s="16" t="s">
        <v>197</v>
      </c>
      <c r="FD1023" s="17" t="s">
        <v>198</v>
      </c>
      <c r="FE1023" s="18">
        <v>45723.34568287037</v>
      </c>
      <c r="FF1023" s="19"/>
      <c r="FG1023" s="19"/>
      <c r="FH1023" s="21" t="s">
        <v>197</v>
      </c>
      <c r="FI1023" s="17" t="s">
        <v>214</v>
      </c>
      <c r="FJ1023" s="18">
        <v>45723.34568287037</v>
      </c>
      <c r="FK1023" s="14" t="s">
        <v>20113</v>
      </c>
      <c r="FL1023" s="19"/>
      <c r="FM1023" s="19"/>
      <c r="FN1023" s="19"/>
      <c r="FO1023" s="19"/>
      <c r="FP1023" s="19" t="str">
        <f t="shared" si="1"/>
        <v/>
      </c>
      <c r="FQ1023" s="14" t="s">
        <v>215</v>
      </c>
      <c r="FR1023" s="14" t="s">
        <v>20114</v>
      </c>
    </row>
    <row r="1024" ht="15.75" customHeight="1">
      <c r="A1024" s="12" t="s">
        <v>217</v>
      </c>
      <c r="B1024" s="12" t="s">
        <v>7566</v>
      </c>
      <c r="C1024" s="12" t="s">
        <v>219</v>
      </c>
      <c r="D1024" s="22" t="s">
        <v>20115</v>
      </c>
      <c r="E1024" s="22" t="s">
        <v>19760</v>
      </c>
      <c r="F1024" s="13" t="s">
        <v>178</v>
      </c>
      <c r="G1024" s="14" t="s">
        <v>179</v>
      </c>
      <c r="H1024" s="14" t="s">
        <v>20116</v>
      </c>
      <c r="I1024" s="14" t="s">
        <v>179</v>
      </c>
      <c r="J1024" s="14" t="s">
        <v>20117</v>
      </c>
      <c r="K1024" s="14" t="s">
        <v>179</v>
      </c>
      <c r="L1024" s="14" t="s">
        <v>20118</v>
      </c>
      <c r="M1024" s="14" t="s">
        <v>179</v>
      </c>
      <c r="N1024" s="14" t="s">
        <v>20118</v>
      </c>
      <c r="O1024" s="14" t="s">
        <v>179</v>
      </c>
      <c r="P1024" s="14" t="s">
        <v>20119</v>
      </c>
      <c r="Q1024" s="14" t="s">
        <v>179</v>
      </c>
      <c r="R1024" s="14" t="s">
        <v>20120</v>
      </c>
      <c r="S1024" s="14" t="s">
        <v>179</v>
      </c>
      <c r="T1024" s="14" t="s">
        <v>20121</v>
      </c>
      <c r="U1024" s="14" t="s">
        <v>179</v>
      </c>
      <c r="V1024" s="14" t="s">
        <v>20122</v>
      </c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/>
      <c r="BK1024" s="15"/>
      <c r="BL1024" s="15"/>
      <c r="BM1024" s="15"/>
      <c r="BN1024" s="15"/>
      <c r="BO1024" s="16" t="s">
        <v>197</v>
      </c>
      <c r="BP1024" s="17" t="s">
        <v>228</v>
      </c>
      <c r="BQ1024" s="23"/>
      <c r="BR1024" s="17" t="s">
        <v>198</v>
      </c>
      <c r="BS1024" s="18">
        <v>45689.37263888889</v>
      </c>
      <c r="BT1024" s="17" t="s">
        <v>198</v>
      </c>
      <c r="BU1024" s="18">
        <v>45689.37263888889</v>
      </c>
      <c r="BV1024" s="13" t="s">
        <v>199</v>
      </c>
      <c r="BW1024" s="14" t="s">
        <v>179</v>
      </c>
      <c r="BX1024" s="14" t="s">
        <v>20123</v>
      </c>
      <c r="BY1024" s="14" t="s">
        <v>179</v>
      </c>
      <c r="BZ1024" s="14" t="s">
        <v>20124</v>
      </c>
      <c r="CA1024" s="15"/>
      <c r="CB1024" s="15"/>
      <c r="CC1024" s="15"/>
      <c r="CD1024" s="15"/>
      <c r="CE1024" s="15"/>
      <c r="CF1024" s="15"/>
      <c r="CG1024" s="19"/>
      <c r="CH1024" s="15"/>
      <c r="CI1024" s="19"/>
      <c r="CJ1024" s="15"/>
      <c r="CK1024" s="19"/>
      <c r="CL1024" s="15"/>
      <c r="CM1024" s="19"/>
      <c r="CN1024" s="15"/>
      <c r="CO1024" s="19"/>
      <c r="CP1024" s="15"/>
      <c r="CQ1024" s="15"/>
      <c r="CR1024" s="15"/>
      <c r="CS1024" s="19"/>
      <c r="CT1024" s="15"/>
      <c r="CU1024" s="19"/>
      <c r="CV1024" s="15"/>
      <c r="CW1024" s="19"/>
      <c r="CX1024" s="15"/>
      <c r="CY1024" s="19"/>
      <c r="CZ1024" s="15"/>
      <c r="DA1024" s="16" t="s">
        <v>197</v>
      </c>
      <c r="DB1024" s="17" t="s">
        <v>228</v>
      </c>
      <c r="DC1024" s="16"/>
      <c r="DD1024" s="17" t="s">
        <v>198</v>
      </c>
      <c r="DE1024" s="18">
        <v>45699.41773148148</v>
      </c>
      <c r="DF1024" s="17" t="s">
        <v>198</v>
      </c>
      <c r="DG1024" s="18">
        <v>45699.41773148148</v>
      </c>
      <c r="DH1024" s="13" t="s">
        <v>205</v>
      </c>
      <c r="DI1024" s="14" t="s">
        <v>179</v>
      </c>
      <c r="DJ1024" s="14" t="s">
        <v>20125</v>
      </c>
      <c r="DK1024" s="15"/>
      <c r="DL1024" s="15"/>
      <c r="DM1024" s="15"/>
      <c r="DN1024" s="15"/>
      <c r="DO1024" s="15"/>
      <c r="DP1024" s="15"/>
      <c r="DQ1024" s="15"/>
      <c r="DR1024" s="15"/>
      <c r="DS1024" s="15"/>
      <c r="DT1024" s="15"/>
      <c r="DU1024" s="15"/>
      <c r="DV1024" s="15"/>
      <c r="DW1024" s="15"/>
      <c r="DX1024" s="15"/>
      <c r="DY1024" s="15"/>
      <c r="DZ1024" s="15"/>
      <c r="EA1024" s="15"/>
      <c r="EB1024" s="15"/>
      <c r="EC1024" s="16" t="s">
        <v>197</v>
      </c>
      <c r="ED1024" s="17" t="s">
        <v>198</v>
      </c>
      <c r="EE1024" s="18">
        <v>45699.41778935185</v>
      </c>
      <c r="EF1024" s="13" t="s">
        <v>209</v>
      </c>
      <c r="EG1024" s="14" t="s">
        <v>179</v>
      </c>
      <c r="EH1024" s="14" t="s">
        <v>20126</v>
      </c>
      <c r="EI1024" s="15"/>
      <c r="EJ1024" s="15"/>
      <c r="EK1024" s="15"/>
      <c r="EL1024" s="15"/>
      <c r="EM1024" s="15"/>
      <c r="EN1024" s="15"/>
      <c r="EO1024" s="15"/>
      <c r="EP1024" s="15"/>
      <c r="EQ1024" s="15"/>
      <c r="ER1024" s="15"/>
      <c r="ES1024" s="15"/>
      <c r="ET1024" s="15"/>
      <c r="EU1024" s="15"/>
      <c r="EV1024" s="15"/>
      <c r="EW1024" s="15"/>
      <c r="EX1024" s="15"/>
      <c r="EY1024" s="15"/>
      <c r="EZ1024" s="15"/>
      <c r="FA1024" s="15"/>
      <c r="FB1024" s="15"/>
      <c r="FC1024" s="16" t="s">
        <v>197</v>
      </c>
      <c r="FD1024" s="17" t="s">
        <v>198</v>
      </c>
      <c r="FE1024" s="18">
        <v>45723.34575231482</v>
      </c>
      <c r="FF1024" s="19"/>
      <c r="FG1024" s="19"/>
      <c r="FH1024" s="21" t="s">
        <v>197</v>
      </c>
      <c r="FI1024" s="17" t="s">
        <v>214</v>
      </c>
      <c r="FJ1024" s="18">
        <v>45723.34575231482</v>
      </c>
      <c r="FK1024" s="14" t="s">
        <v>20126</v>
      </c>
      <c r="FL1024" s="14" t="s">
        <v>20127</v>
      </c>
      <c r="FM1024" s="14" t="s">
        <v>20128</v>
      </c>
      <c r="FN1024" s="19"/>
      <c r="FO1024" s="19"/>
      <c r="FP1024" s="19" t="str">
        <f t="shared" si="1"/>
        <v>Base de Dados_Images/XV40031.Imagem do Equipamento-.130252.jpg</v>
      </c>
      <c r="FQ1024" s="19"/>
      <c r="FR1024" s="19"/>
    </row>
    <row r="1025" ht="15.75" customHeight="1">
      <c r="A1025" s="12" t="s">
        <v>217</v>
      </c>
      <c r="B1025" s="12" t="s">
        <v>7566</v>
      </c>
      <c r="C1025" s="12" t="s">
        <v>219</v>
      </c>
      <c r="D1025" s="22" t="s">
        <v>20129</v>
      </c>
      <c r="E1025" s="22" t="s">
        <v>20130</v>
      </c>
      <c r="F1025" s="13" t="s">
        <v>178</v>
      </c>
      <c r="G1025" s="14" t="s">
        <v>179</v>
      </c>
      <c r="H1025" s="14" t="s">
        <v>20131</v>
      </c>
      <c r="I1025" s="14" t="s">
        <v>179</v>
      </c>
      <c r="J1025" s="14" t="s">
        <v>20132</v>
      </c>
      <c r="K1025" s="14" t="s">
        <v>179</v>
      </c>
      <c r="L1025" s="14" t="s">
        <v>20133</v>
      </c>
      <c r="M1025" s="14" t="s">
        <v>179</v>
      </c>
      <c r="N1025" s="14" t="s">
        <v>20134</v>
      </c>
      <c r="O1025" s="14" t="s">
        <v>179</v>
      </c>
      <c r="P1025" s="14" t="s">
        <v>20135</v>
      </c>
      <c r="Q1025" s="14" t="s">
        <v>179</v>
      </c>
      <c r="R1025" s="14" t="s">
        <v>20136</v>
      </c>
      <c r="S1025" s="14" t="s">
        <v>179</v>
      </c>
      <c r="T1025" s="14" t="s">
        <v>20137</v>
      </c>
      <c r="U1025" s="14" t="s">
        <v>179</v>
      </c>
      <c r="V1025" s="14" t="s">
        <v>20138</v>
      </c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  <c r="BH1025" s="15"/>
      <c r="BI1025" s="15"/>
      <c r="BJ1025" s="15"/>
      <c r="BK1025" s="15"/>
      <c r="BL1025" s="15"/>
      <c r="BM1025" s="15"/>
      <c r="BN1025" s="15"/>
      <c r="BO1025" s="16" t="s">
        <v>197</v>
      </c>
      <c r="BP1025" s="17" t="s">
        <v>228</v>
      </c>
      <c r="BQ1025" s="23"/>
      <c r="BR1025" s="17" t="s">
        <v>198</v>
      </c>
      <c r="BS1025" s="18">
        <v>45692.568344907406</v>
      </c>
      <c r="BT1025" s="17" t="s">
        <v>198</v>
      </c>
      <c r="BU1025" s="18">
        <v>45692.568344907406</v>
      </c>
      <c r="BV1025" s="13" t="s">
        <v>199</v>
      </c>
      <c r="BW1025" s="14" t="s">
        <v>179</v>
      </c>
      <c r="BX1025" s="14" t="s">
        <v>20139</v>
      </c>
      <c r="BY1025" s="14" t="s">
        <v>179</v>
      </c>
      <c r="BZ1025" s="14" t="s">
        <v>20140</v>
      </c>
      <c r="CA1025" s="15"/>
      <c r="CB1025" s="15"/>
      <c r="CC1025" s="15"/>
      <c r="CD1025" s="15"/>
      <c r="CE1025" s="15"/>
      <c r="CF1025" s="15"/>
      <c r="CG1025" s="19"/>
      <c r="CH1025" s="15"/>
      <c r="CI1025" s="19"/>
      <c r="CJ1025" s="15"/>
      <c r="CK1025" s="19"/>
      <c r="CL1025" s="15"/>
      <c r="CM1025" s="19"/>
      <c r="CN1025" s="15"/>
      <c r="CO1025" s="19"/>
      <c r="CP1025" s="15"/>
      <c r="CQ1025" s="15"/>
      <c r="CR1025" s="15"/>
      <c r="CS1025" s="19"/>
      <c r="CT1025" s="15"/>
      <c r="CU1025" s="19"/>
      <c r="CV1025" s="15"/>
      <c r="CW1025" s="19"/>
      <c r="CX1025" s="15"/>
      <c r="CY1025" s="19"/>
      <c r="CZ1025" s="15"/>
      <c r="DA1025" s="16" t="s">
        <v>197</v>
      </c>
      <c r="DB1025" s="17" t="s">
        <v>228</v>
      </c>
      <c r="DC1025" s="16"/>
      <c r="DD1025" s="17" t="s">
        <v>198</v>
      </c>
      <c r="DE1025" s="18">
        <v>45692.5684375</v>
      </c>
      <c r="DF1025" s="17" t="s">
        <v>198</v>
      </c>
      <c r="DG1025" s="18">
        <v>45692.5684375</v>
      </c>
      <c r="DH1025" s="13" t="s">
        <v>205</v>
      </c>
      <c r="DI1025" s="14" t="s">
        <v>179</v>
      </c>
      <c r="DJ1025" s="14" t="s">
        <v>20141</v>
      </c>
      <c r="DK1025" s="15"/>
      <c r="DL1025" s="15"/>
      <c r="DM1025" s="15"/>
      <c r="DN1025" s="15"/>
      <c r="DO1025" s="15"/>
      <c r="DP1025" s="15"/>
      <c r="DQ1025" s="15"/>
      <c r="DR1025" s="15"/>
      <c r="DS1025" s="15"/>
      <c r="DT1025" s="15"/>
      <c r="DU1025" s="15"/>
      <c r="DV1025" s="15"/>
      <c r="DW1025" s="15"/>
      <c r="DX1025" s="15"/>
      <c r="DY1025" s="15"/>
      <c r="DZ1025" s="15"/>
      <c r="EA1025" s="15"/>
      <c r="EB1025" s="15"/>
      <c r="EC1025" s="16" t="s">
        <v>197</v>
      </c>
      <c r="ED1025" s="17" t="s">
        <v>198</v>
      </c>
      <c r="EE1025" s="18">
        <v>45699.41853009259</v>
      </c>
      <c r="EF1025" s="13" t="s">
        <v>209</v>
      </c>
      <c r="EG1025" s="14" t="s">
        <v>179</v>
      </c>
      <c r="EH1025" s="14" t="s">
        <v>20142</v>
      </c>
      <c r="EI1025" s="15"/>
      <c r="EJ1025" s="15"/>
      <c r="EK1025" s="15"/>
      <c r="EL1025" s="15"/>
      <c r="EM1025" s="15"/>
      <c r="EN1025" s="15"/>
      <c r="EO1025" s="15"/>
      <c r="EP1025" s="15"/>
      <c r="EQ1025" s="15"/>
      <c r="ER1025" s="15"/>
      <c r="ES1025" s="15"/>
      <c r="ET1025" s="15"/>
      <c r="EU1025" s="15"/>
      <c r="EV1025" s="15"/>
      <c r="EW1025" s="15"/>
      <c r="EX1025" s="15"/>
      <c r="EY1025" s="15"/>
      <c r="EZ1025" s="15"/>
      <c r="FA1025" s="15"/>
      <c r="FB1025" s="15"/>
      <c r="FC1025" s="16" t="s">
        <v>197</v>
      </c>
      <c r="FD1025" s="17" t="s">
        <v>198</v>
      </c>
      <c r="FE1025" s="18">
        <v>45723.34584490741</v>
      </c>
      <c r="FF1025" s="19"/>
      <c r="FG1025" s="19"/>
      <c r="FH1025" s="21" t="s">
        <v>197</v>
      </c>
      <c r="FI1025" s="17" t="s">
        <v>214</v>
      </c>
      <c r="FJ1025" s="18">
        <v>45723.34584490741</v>
      </c>
      <c r="FK1025" s="14" t="s">
        <v>20142</v>
      </c>
      <c r="FL1025" s="19"/>
      <c r="FM1025" s="19"/>
      <c r="FN1025" s="19"/>
      <c r="FO1025" s="19"/>
      <c r="FP1025" s="19" t="str">
        <f t="shared" si="1"/>
        <v/>
      </c>
      <c r="FQ1025" s="14" t="s">
        <v>215</v>
      </c>
      <c r="FR1025" s="14" t="s">
        <v>20143</v>
      </c>
    </row>
    <row r="1026" ht="15.75" customHeight="1">
      <c r="A1026" s="12" t="s">
        <v>217</v>
      </c>
      <c r="B1026" s="12" t="s">
        <v>7566</v>
      </c>
      <c r="C1026" s="12" t="s">
        <v>219</v>
      </c>
      <c r="D1026" s="22" t="s">
        <v>20144</v>
      </c>
      <c r="E1026" s="22" t="s">
        <v>20145</v>
      </c>
      <c r="F1026" s="13" t="s">
        <v>178</v>
      </c>
      <c r="G1026" s="14" t="s">
        <v>179</v>
      </c>
      <c r="H1026" s="14" t="s">
        <v>20146</v>
      </c>
      <c r="I1026" s="14" t="s">
        <v>179</v>
      </c>
      <c r="J1026" s="14" t="s">
        <v>20147</v>
      </c>
      <c r="K1026" s="14" t="s">
        <v>179</v>
      </c>
      <c r="L1026" s="14" t="s">
        <v>20148</v>
      </c>
      <c r="M1026" s="14" t="s">
        <v>179</v>
      </c>
      <c r="N1026" s="14" t="s">
        <v>20149</v>
      </c>
      <c r="O1026" s="14" t="s">
        <v>179</v>
      </c>
      <c r="P1026" s="14" t="s">
        <v>20150</v>
      </c>
      <c r="Q1026" s="14" t="s">
        <v>179</v>
      </c>
      <c r="R1026" s="14" t="s">
        <v>20151</v>
      </c>
      <c r="S1026" s="14" t="s">
        <v>179</v>
      </c>
      <c r="T1026" s="14" t="s">
        <v>20152</v>
      </c>
      <c r="U1026" s="14" t="s">
        <v>179</v>
      </c>
      <c r="V1026" s="14" t="s">
        <v>20153</v>
      </c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5"/>
      <c r="BF1026" s="15"/>
      <c r="BG1026" s="15"/>
      <c r="BH1026" s="15"/>
      <c r="BI1026" s="15"/>
      <c r="BJ1026" s="15"/>
      <c r="BK1026" s="15"/>
      <c r="BL1026" s="15"/>
      <c r="BM1026" s="15"/>
      <c r="BN1026" s="15"/>
      <c r="BO1026" s="16" t="s">
        <v>197</v>
      </c>
      <c r="BP1026" s="17" t="s">
        <v>228</v>
      </c>
      <c r="BQ1026" s="23"/>
      <c r="BR1026" s="17" t="s">
        <v>198</v>
      </c>
      <c r="BS1026" s="18">
        <v>45692.56886574074</v>
      </c>
      <c r="BT1026" s="17" t="s">
        <v>198</v>
      </c>
      <c r="BU1026" s="18">
        <v>45692.56886574074</v>
      </c>
      <c r="BV1026" s="13" t="s">
        <v>199</v>
      </c>
      <c r="BW1026" s="14" t="s">
        <v>179</v>
      </c>
      <c r="BX1026" s="14" t="s">
        <v>20154</v>
      </c>
      <c r="BY1026" s="14" t="s">
        <v>179</v>
      </c>
      <c r="BZ1026" s="14" t="s">
        <v>20155</v>
      </c>
      <c r="CA1026" s="15"/>
      <c r="CB1026" s="15"/>
      <c r="CC1026" s="15"/>
      <c r="CD1026" s="15"/>
      <c r="CE1026" s="15"/>
      <c r="CF1026" s="15"/>
      <c r="CG1026" s="19"/>
      <c r="CH1026" s="15"/>
      <c r="CI1026" s="19"/>
      <c r="CJ1026" s="15"/>
      <c r="CK1026" s="19"/>
      <c r="CL1026" s="15"/>
      <c r="CM1026" s="19"/>
      <c r="CN1026" s="15"/>
      <c r="CO1026" s="19"/>
      <c r="CP1026" s="15"/>
      <c r="CQ1026" s="15"/>
      <c r="CR1026" s="15"/>
      <c r="CS1026" s="19"/>
      <c r="CT1026" s="15"/>
      <c r="CU1026" s="19"/>
      <c r="CV1026" s="15"/>
      <c r="CW1026" s="19"/>
      <c r="CX1026" s="15"/>
      <c r="CY1026" s="19"/>
      <c r="CZ1026" s="15"/>
      <c r="DA1026" s="16" t="s">
        <v>197</v>
      </c>
      <c r="DB1026" s="17" t="s">
        <v>228</v>
      </c>
      <c r="DC1026" s="16"/>
      <c r="DD1026" s="17" t="s">
        <v>198</v>
      </c>
      <c r="DE1026" s="18">
        <v>45692.56900462963</v>
      </c>
      <c r="DF1026" s="17" t="s">
        <v>198</v>
      </c>
      <c r="DG1026" s="18">
        <v>45692.56900462963</v>
      </c>
      <c r="DH1026" s="13" t="s">
        <v>205</v>
      </c>
      <c r="DI1026" s="14" t="s">
        <v>179</v>
      </c>
      <c r="DJ1026" s="14" t="s">
        <v>20156</v>
      </c>
      <c r="DK1026" s="15"/>
      <c r="DL1026" s="15"/>
      <c r="DM1026" s="15"/>
      <c r="DN1026" s="15"/>
      <c r="DO1026" s="15"/>
      <c r="DP1026" s="15"/>
      <c r="DQ1026" s="15"/>
      <c r="DR1026" s="15"/>
      <c r="DS1026" s="15"/>
      <c r="DT1026" s="15"/>
      <c r="DU1026" s="15"/>
      <c r="DV1026" s="15"/>
      <c r="DW1026" s="15"/>
      <c r="DX1026" s="15"/>
      <c r="DY1026" s="15"/>
      <c r="DZ1026" s="15"/>
      <c r="EA1026" s="15"/>
      <c r="EB1026" s="15"/>
      <c r="EC1026" s="16" t="s">
        <v>197</v>
      </c>
      <c r="ED1026" s="17" t="s">
        <v>198</v>
      </c>
      <c r="EE1026" s="18">
        <v>45699.418703703705</v>
      </c>
      <c r="EF1026" s="13" t="s">
        <v>209</v>
      </c>
      <c r="EG1026" s="14" t="s">
        <v>179</v>
      </c>
      <c r="EH1026" s="14" t="s">
        <v>20157</v>
      </c>
      <c r="EI1026" s="15"/>
      <c r="EJ1026" s="15"/>
      <c r="EK1026" s="15"/>
      <c r="EL1026" s="15"/>
      <c r="EM1026" s="15"/>
      <c r="EN1026" s="15"/>
      <c r="EO1026" s="15"/>
      <c r="EP1026" s="15"/>
      <c r="EQ1026" s="15"/>
      <c r="ER1026" s="15"/>
      <c r="ES1026" s="15"/>
      <c r="ET1026" s="15"/>
      <c r="EU1026" s="15"/>
      <c r="EV1026" s="15"/>
      <c r="EW1026" s="15"/>
      <c r="EX1026" s="15"/>
      <c r="EY1026" s="15"/>
      <c r="EZ1026" s="15"/>
      <c r="FA1026" s="15"/>
      <c r="FB1026" s="15"/>
      <c r="FC1026" s="16" t="s">
        <v>197</v>
      </c>
      <c r="FD1026" s="17" t="s">
        <v>198</v>
      </c>
      <c r="FE1026" s="18">
        <v>45723.3458912037</v>
      </c>
      <c r="FF1026" s="19"/>
      <c r="FG1026" s="19"/>
      <c r="FH1026" s="21" t="s">
        <v>197</v>
      </c>
      <c r="FI1026" s="17" t="s">
        <v>214</v>
      </c>
      <c r="FJ1026" s="18">
        <v>45723.3458912037</v>
      </c>
      <c r="FK1026" s="14" t="s">
        <v>20157</v>
      </c>
      <c r="FL1026" s="19"/>
      <c r="FM1026" s="19"/>
      <c r="FN1026" s="19"/>
      <c r="FO1026" s="19"/>
      <c r="FP1026" s="19" t="str">
        <f t="shared" si="1"/>
        <v/>
      </c>
      <c r="FQ1026" s="14" t="s">
        <v>215</v>
      </c>
      <c r="FR1026" s="14" t="s">
        <v>20158</v>
      </c>
    </row>
    <row r="1027" ht="15.75" customHeight="1">
      <c r="A1027" s="12" t="s">
        <v>217</v>
      </c>
      <c r="B1027" s="12" t="s">
        <v>7566</v>
      </c>
      <c r="C1027" s="12" t="s">
        <v>219</v>
      </c>
      <c r="D1027" s="22" t="s">
        <v>20159</v>
      </c>
      <c r="E1027" s="22" t="s">
        <v>20160</v>
      </c>
      <c r="F1027" s="13" t="s">
        <v>178</v>
      </c>
      <c r="G1027" s="14" t="s">
        <v>179</v>
      </c>
      <c r="H1027" s="14" t="s">
        <v>20161</v>
      </c>
      <c r="I1027" s="14" t="s">
        <v>179</v>
      </c>
      <c r="J1027" s="14" t="s">
        <v>20162</v>
      </c>
      <c r="K1027" s="14" t="s">
        <v>179</v>
      </c>
      <c r="L1027" s="14" t="s">
        <v>20163</v>
      </c>
      <c r="M1027" s="14" t="s">
        <v>179</v>
      </c>
      <c r="N1027" s="14" t="s">
        <v>20164</v>
      </c>
      <c r="O1027" s="14" t="s">
        <v>179</v>
      </c>
      <c r="P1027" s="14" t="s">
        <v>20165</v>
      </c>
      <c r="Q1027" s="14" t="s">
        <v>179</v>
      </c>
      <c r="R1027" s="14" t="s">
        <v>20166</v>
      </c>
      <c r="S1027" s="14" t="s">
        <v>179</v>
      </c>
      <c r="T1027" s="14" t="s">
        <v>20167</v>
      </c>
      <c r="U1027" s="14" t="s">
        <v>179</v>
      </c>
      <c r="V1027" s="14" t="s">
        <v>20168</v>
      </c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  <c r="BJ1027" s="15"/>
      <c r="BK1027" s="15"/>
      <c r="BL1027" s="15"/>
      <c r="BM1027" s="15"/>
      <c r="BN1027" s="15"/>
      <c r="BO1027" s="16" t="s">
        <v>197</v>
      </c>
      <c r="BP1027" s="17" t="s">
        <v>228</v>
      </c>
      <c r="BQ1027" s="23"/>
      <c r="BR1027" s="17" t="s">
        <v>198</v>
      </c>
      <c r="BS1027" s="18">
        <v>45686.5928587963</v>
      </c>
      <c r="BT1027" s="17" t="s">
        <v>198</v>
      </c>
      <c r="BU1027" s="18">
        <v>45686.5928587963</v>
      </c>
      <c r="BV1027" s="13" t="s">
        <v>199</v>
      </c>
      <c r="BW1027" s="14" t="s">
        <v>179</v>
      </c>
      <c r="BX1027" s="14" t="s">
        <v>20169</v>
      </c>
      <c r="BY1027" s="14" t="s">
        <v>179</v>
      </c>
      <c r="BZ1027" s="14" t="s">
        <v>20170</v>
      </c>
      <c r="CA1027" s="15"/>
      <c r="CB1027" s="15"/>
      <c r="CC1027" s="15"/>
      <c r="CD1027" s="15"/>
      <c r="CE1027" s="15"/>
      <c r="CF1027" s="15"/>
      <c r="CG1027" s="19"/>
      <c r="CH1027" s="15"/>
      <c r="CI1027" s="19"/>
      <c r="CJ1027" s="15"/>
      <c r="CK1027" s="19"/>
      <c r="CL1027" s="15"/>
      <c r="CM1027" s="19"/>
      <c r="CN1027" s="15"/>
      <c r="CO1027" s="19"/>
      <c r="CP1027" s="15"/>
      <c r="CQ1027" s="15"/>
      <c r="CR1027" s="15"/>
      <c r="CS1027" s="19"/>
      <c r="CT1027" s="15"/>
      <c r="CU1027" s="19"/>
      <c r="CV1027" s="15"/>
      <c r="CW1027" s="19"/>
      <c r="CX1027" s="15"/>
      <c r="CY1027" s="19"/>
      <c r="CZ1027" s="15"/>
      <c r="DA1027" s="16" t="s">
        <v>197</v>
      </c>
      <c r="DB1027" s="17" t="s">
        <v>228</v>
      </c>
      <c r="DC1027" s="16"/>
      <c r="DD1027" s="17" t="s">
        <v>198</v>
      </c>
      <c r="DE1027" s="18">
        <v>45686.593981481485</v>
      </c>
      <c r="DF1027" s="17" t="s">
        <v>198</v>
      </c>
      <c r="DG1027" s="18">
        <v>45686.593981481485</v>
      </c>
      <c r="DH1027" s="13" t="s">
        <v>205</v>
      </c>
      <c r="DI1027" s="14" t="s">
        <v>179</v>
      </c>
      <c r="DJ1027" s="14" t="s">
        <v>20171</v>
      </c>
      <c r="DK1027" s="15"/>
      <c r="DL1027" s="15"/>
      <c r="DM1027" s="15"/>
      <c r="DN1027" s="15"/>
      <c r="DO1027" s="15"/>
      <c r="DP1027" s="15"/>
      <c r="DQ1027" s="15"/>
      <c r="DR1027" s="15"/>
      <c r="DS1027" s="15"/>
      <c r="DT1027" s="15"/>
      <c r="DU1027" s="15"/>
      <c r="DV1027" s="15"/>
      <c r="DW1027" s="15"/>
      <c r="DX1027" s="15"/>
      <c r="DY1027" s="15"/>
      <c r="DZ1027" s="15"/>
      <c r="EA1027" s="15"/>
      <c r="EB1027" s="15"/>
      <c r="EC1027" s="16" t="s">
        <v>197</v>
      </c>
      <c r="ED1027" s="17" t="s">
        <v>198</v>
      </c>
      <c r="EE1027" s="18">
        <v>45699.41900462963</v>
      </c>
      <c r="EF1027" s="13" t="s">
        <v>209</v>
      </c>
      <c r="EG1027" s="14" t="s">
        <v>179</v>
      </c>
      <c r="EH1027" s="14" t="s">
        <v>20172</v>
      </c>
      <c r="EI1027" s="15"/>
      <c r="EJ1027" s="15"/>
      <c r="EK1027" s="15"/>
      <c r="EL1027" s="15"/>
      <c r="EM1027" s="15"/>
      <c r="EN1027" s="15"/>
      <c r="EO1027" s="15"/>
      <c r="EP1027" s="15"/>
      <c r="EQ1027" s="15"/>
      <c r="ER1027" s="15"/>
      <c r="ES1027" s="15"/>
      <c r="ET1027" s="15"/>
      <c r="EU1027" s="15"/>
      <c r="EV1027" s="15"/>
      <c r="EW1027" s="15"/>
      <c r="EX1027" s="15"/>
      <c r="EY1027" s="15"/>
      <c r="EZ1027" s="15"/>
      <c r="FA1027" s="15"/>
      <c r="FB1027" s="15"/>
      <c r="FC1027" s="16" t="s">
        <v>197</v>
      </c>
      <c r="FD1027" s="17" t="s">
        <v>198</v>
      </c>
      <c r="FE1027" s="18">
        <v>45723.345972222225</v>
      </c>
      <c r="FF1027" s="19"/>
      <c r="FG1027" s="19"/>
      <c r="FH1027" s="21" t="s">
        <v>197</v>
      </c>
      <c r="FI1027" s="17" t="s">
        <v>214</v>
      </c>
      <c r="FJ1027" s="18">
        <v>45723.345972222225</v>
      </c>
      <c r="FK1027" s="14" t="s">
        <v>20172</v>
      </c>
      <c r="FL1027" s="14" t="s">
        <v>20173</v>
      </c>
      <c r="FM1027" s="14" t="s">
        <v>20174</v>
      </c>
      <c r="FN1027" s="19"/>
      <c r="FO1027" s="19"/>
      <c r="FP1027" s="19" t="str">
        <f t="shared" si="1"/>
        <v>Base de Dados_Images/XV40034.Imagem do Equipamento-.191043.jpg</v>
      </c>
      <c r="FQ1027" s="19"/>
      <c r="FR1027" s="19"/>
    </row>
    <row r="1028" ht="15.75" customHeight="1">
      <c r="A1028" s="12" t="s">
        <v>217</v>
      </c>
      <c r="B1028" s="12" t="s">
        <v>7566</v>
      </c>
      <c r="C1028" s="12" t="s">
        <v>219</v>
      </c>
      <c r="D1028" s="22" t="s">
        <v>20175</v>
      </c>
      <c r="E1028" s="22" t="s">
        <v>20176</v>
      </c>
      <c r="F1028" s="13" t="s">
        <v>178</v>
      </c>
      <c r="G1028" s="14" t="s">
        <v>179</v>
      </c>
      <c r="H1028" s="14" t="s">
        <v>20177</v>
      </c>
      <c r="I1028" s="14" t="s">
        <v>179</v>
      </c>
      <c r="J1028" s="14" t="s">
        <v>20178</v>
      </c>
      <c r="K1028" s="14" t="s">
        <v>179</v>
      </c>
      <c r="L1028" s="14" t="s">
        <v>20179</v>
      </c>
      <c r="M1028" s="14" t="s">
        <v>179</v>
      </c>
      <c r="N1028" s="14" t="s">
        <v>20180</v>
      </c>
      <c r="O1028" s="14" t="s">
        <v>179</v>
      </c>
      <c r="P1028" s="14" t="s">
        <v>20181</v>
      </c>
      <c r="Q1028" s="14" t="s">
        <v>179</v>
      </c>
      <c r="R1028" s="14" t="s">
        <v>20182</v>
      </c>
      <c r="S1028" s="14" t="s">
        <v>179</v>
      </c>
      <c r="T1028" s="14" t="s">
        <v>20183</v>
      </c>
      <c r="U1028" s="14" t="s">
        <v>179</v>
      </c>
      <c r="V1028" s="14" t="s">
        <v>20184</v>
      </c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  <c r="BG1028" s="15"/>
      <c r="BH1028" s="15"/>
      <c r="BI1028" s="15"/>
      <c r="BJ1028" s="15"/>
      <c r="BK1028" s="15"/>
      <c r="BL1028" s="15"/>
      <c r="BM1028" s="15"/>
      <c r="BN1028" s="15"/>
      <c r="BO1028" s="16" t="s">
        <v>197</v>
      </c>
      <c r="BP1028" s="17" t="s">
        <v>228</v>
      </c>
      <c r="BQ1028" s="23"/>
      <c r="BR1028" s="17" t="s">
        <v>198</v>
      </c>
      <c r="BS1028" s="18">
        <v>45688.5975</v>
      </c>
      <c r="BT1028" s="17" t="s">
        <v>198</v>
      </c>
      <c r="BU1028" s="18">
        <v>45688.5975</v>
      </c>
      <c r="BV1028" s="13" t="s">
        <v>199</v>
      </c>
      <c r="BW1028" s="14" t="s">
        <v>179</v>
      </c>
      <c r="BX1028" s="14" t="s">
        <v>20185</v>
      </c>
      <c r="BY1028" s="14" t="s">
        <v>179</v>
      </c>
      <c r="BZ1028" s="14" t="s">
        <v>20186</v>
      </c>
      <c r="CA1028" s="15"/>
      <c r="CB1028" s="15"/>
      <c r="CC1028" s="15"/>
      <c r="CD1028" s="15"/>
      <c r="CE1028" s="15"/>
      <c r="CF1028" s="15"/>
      <c r="CG1028" s="19"/>
      <c r="CH1028" s="15"/>
      <c r="CI1028" s="19"/>
      <c r="CJ1028" s="15"/>
      <c r="CK1028" s="19"/>
      <c r="CL1028" s="15"/>
      <c r="CM1028" s="19"/>
      <c r="CN1028" s="15"/>
      <c r="CO1028" s="19"/>
      <c r="CP1028" s="15"/>
      <c r="CQ1028" s="15"/>
      <c r="CR1028" s="15"/>
      <c r="CS1028" s="19"/>
      <c r="CT1028" s="15"/>
      <c r="CU1028" s="19"/>
      <c r="CV1028" s="15"/>
      <c r="CW1028" s="19"/>
      <c r="CX1028" s="15"/>
      <c r="CY1028" s="19"/>
      <c r="CZ1028" s="15"/>
      <c r="DA1028" s="16" t="s">
        <v>197</v>
      </c>
      <c r="DB1028" s="17" t="s">
        <v>228</v>
      </c>
      <c r="DC1028" s="16"/>
      <c r="DD1028" s="17" t="s">
        <v>198</v>
      </c>
      <c r="DE1028" s="18">
        <v>45699.41998842593</v>
      </c>
      <c r="DF1028" s="17" t="s">
        <v>198</v>
      </c>
      <c r="DG1028" s="18">
        <v>45699.41998842593</v>
      </c>
      <c r="DH1028" s="13" t="s">
        <v>205</v>
      </c>
      <c r="DI1028" s="14" t="s">
        <v>179</v>
      </c>
      <c r="DJ1028" s="14" t="s">
        <v>20187</v>
      </c>
      <c r="DK1028" s="15"/>
      <c r="DL1028" s="15"/>
      <c r="DM1028" s="15"/>
      <c r="DN1028" s="15"/>
      <c r="DO1028" s="15"/>
      <c r="DP1028" s="15"/>
      <c r="DQ1028" s="15"/>
      <c r="DR1028" s="15"/>
      <c r="DS1028" s="15"/>
      <c r="DT1028" s="15"/>
      <c r="DU1028" s="15"/>
      <c r="DV1028" s="15"/>
      <c r="DW1028" s="15"/>
      <c r="DX1028" s="15"/>
      <c r="DY1028" s="15"/>
      <c r="DZ1028" s="15"/>
      <c r="EA1028" s="15"/>
      <c r="EB1028" s="15"/>
      <c r="EC1028" s="16" t="s">
        <v>197</v>
      </c>
      <c r="ED1028" s="17" t="s">
        <v>198</v>
      </c>
      <c r="EE1028" s="18">
        <v>45699.4200462963</v>
      </c>
      <c r="EF1028" s="13" t="s">
        <v>209</v>
      </c>
      <c r="EG1028" s="14" t="s">
        <v>179</v>
      </c>
      <c r="EH1028" s="14" t="s">
        <v>20188</v>
      </c>
      <c r="EI1028" s="15"/>
      <c r="EJ1028" s="15"/>
      <c r="EK1028" s="15"/>
      <c r="EL1028" s="15"/>
      <c r="EM1028" s="15"/>
      <c r="EN1028" s="15"/>
      <c r="EO1028" s="15"/>
      <c r="EP1028" s="15"/>
      <c r="EQ1028" s="15"/>
      <c r="ER1028" s="15"/>
      <c r="ES1028" s="15"/>
      <c r="ET1028" s="15"/>
      <c r="EU1028" s="15"/>
      <c r="EV1028" s="15"/>
      <c r="EW1028" s="15"/>
      <c r="EX1028" s="15"/>
      <c r="EY1028" s="15"/>
      <c r="EZ1028" s="15"/>
      <c r="FA1028" s="15"/>
      <c r="FB1028" s="15"/>
      <c r="FC1028" s="16" t="s">
        <v>197</v>
      </c>
      <c r="FD1028" s="17" t="s">
        <v>198</v>
      </c>
      <c r="FE1028" s="18">
        <v>45723.346030092594</v>
      </c>
      <c r="FF1028" s="19"/>
      <c r="FG1028" s="19"/>
      <c r="FH1028" s="21" t="s">
        <v>197</v>
      </c>
      <c r="FI1028" s="17" t="s">
        <v>214</v>
      </c>
      <c r="FJ1028" s="18">
        <v>45723.346030092594</v>
      </c>
      <c r="FK1028" s="14" t="s">
        <v>20188</v>
      </c>
      <c r="FL1028" s="19"/>
      <c r="FM1028" s="19"/>
      <c r="FN1028" s="19"/>
      <c r="FO1028" s="19"/>
      <c r="FP1028" s="19" t="str">
        <f t="shared" si="1"/>
        <v/>
      </c>
      <c r="FQ1028" s="14" t="s">
        <v>215</v>
      </c>
      <c r="FR1028" s="14" t="s">
        <v>20189</v>
      </c>
    </row>
    <row r="1029" ht="15.75" customHeight="1">
      <c r="A1029" s="12" t="s">
        <v>217</v>
      </c>
      <c r="B1029" s="12" t="s">
        <v>7566</v>
      </c>
      <c r="C1029" s="12" t="s">
        <v>219</v>
      </c>
      <c r="D1029" s="22" t="s">
        <v>20190</v>
      </c>
      <c r="E1029" s="22" t="s">
        <v>20191</v>
      </c>
      <c r="F1029" s="13" t="s">
        <v>178</v>
      </c>
      <c r="G1029" s="14" t="s">
        <v>179</v>
      </c>
      <c r="H1029" s="14" t="s">
        <v>20192</v>
      </c>
      <c r="I1029" s="14" t="s">
        <v>179</v>
      </c>
      <c r="J1029" s="14" t="s">
        <v>20193</v>
      </c>
      <c r="K1029" s="14" t="s">
        <v>179</v>
      </c>
      <c r="L1029" s="14" t="s">
        <v>20194</v>
      </c>
      <c r="M1029" s="14" t="s">
        <v>179</v>
      </c>
      <c r="N1029" s="14" t="s">
        <v>20195</v>
      </c>
      <c r="O1029" s="14" t="s">
        <v>179</v>
      </c>
      <c r="P1029" s="14" t="s">
        <v>20196</v>
      </c>
      <c r="Q1029" s="14" t="s">
        <v>179</v>
      </c>
      <c r="R1029" s="14" t="s">
        <v>20197</v>
      </c>
      <c r="S1029" s="14" t="s">
        <v>179</v>
      </c>
      <c r="T1029" s="14" t="s">
        <v>20198</v>
      </c>
      <c r="U1029" s="14" t="s">
        <v>179</v>
      </c>
      <c r="V1029" s="14" t="s">
        <v>20199</v>
      </c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  <c r="BH1029" s="15"/>
      <c r="BI1029" s="15"/>
      <c r="BJ1029" s="15"/>
      <c r="BK1029" s="15"/>
      <c r="BL1029" s="15"/>
      <c r="BM1029" s="15"/>
      <c r="BN1029" s="15"/>
      <c r="BO1029" s="16" t="s">
        <v>197</v>
      </c>
      <c r="BP1029" s="17" t="s">
        <v>228</v>
      </c>
      <c r="BQ1029" s="23"/>
      <c r="BR1029" s="17" t="s">
        <v>198</v>
      </c>
      <c r="BS1029" s="18">
        <v>45688.59700231482</v>
      </c>
      <c r="BT1029" s="17" t="s">
        <v>198</v>
      </c>
      <c r="BU1029" s="18">
        <v>45688.59700231482</v>
      </c>
      <c r="BV1029" s="13" t="s">
        <v>199</v>
      </c>
      <c r="BW1029" s="14" t="s">
        <v>179</v>
      </c>
      <c r="BX1029" s="14" t="s">
        <v>20200</v>
      </c>
      <c r="BY1029" s="14" t="s">
        <v>179</v>
      </c>
      <c r="BZ1029" s="14" t="s">
        <v>20201</v>
      </c>
      <c r="CA1029" s="15"/>
      <c r="CB1029" s="15"/>
      <c r="CC1029" s="15"/>
      <c r="CD1029" s="15"/>
      <c r="CE1029" s="15"/>
      <c r="CF1029" s="15"/>
      <c r="CG1029" s="19"/>
      <c r="CH1029" s="15"/>
      <c r="CI1029" s="19"/>
      <c r="CJ1029" s="15"/>
      <c r="CK1029" s="19"/>
      <c r="CL1029" s="15"/>
      <c r="CM1029" s="19"/>
      <c r="CN1029" s="15"/>
      <c r="CO1029" s="19"/>
      <c r="CP1029" s="15"/>
      <c r="CQ1029" s="15"/>
      <c r="CR1029" s="15"/>
      <c r="CS1029" s="19"/>
      <c r="CT1029" s="15"/>
      <c r="CU1029" s="19"/>
      <c r="CV1029" s="15"/>
      <c r="CW1029" s="19"/>
      <c r="CX1029" s="15"/>
      <c r="CY1029" s="19"/>
      <c r="CZ1029" s="15"/>
      <c r="DA1029" s="16" t="s">
        <v>197</v>
      </c>
      <c r="DB1029" s="17" t="s">
        <v>228</v>
      </c>
      <c r="DC1029" s="16"/>
      <c r="DD1029" s="17" t="s">
        <v>198</v>
      </c>
      <c r="DE1029" s="18">
        <v>45699.420439814814</v>
      </c>
      <c r="DF1029" s="17" t="s">
        <v>198</v>
      </c>
      <c r="DG1029" s="18">
        <v>45699.420439814814</v>
      </c>
      <c r="DH1029" s="13" t="s">
        <v>205</v>
      </c>
      <c r="DI1029" s="14" t="s">
        <v>179</v>
      </c>
      <c r="DJ1029" s="14" t="s">
        <v>20202</v>
      </c>
      <c r="DK1029" s="15"/>
      <c r="DL1029" s="15"/>
      <c r="DM1029" s="15"/>
      <c r="DN1029" s="15"/>
      <c r="DO1029" s="15"/>
      <c r="DP1029" s="15"/>
      <c r="DQ1029" s="15"/>
      <c r="DR1029" s="15"/>
      <c r="DS1029" s="15"/>
      <c r="DT1029" s="15"/>
      <c r="DU1029" s="15"/>
      <c r="DV1029" s="15"/>
      <c r="DW1029" s="15"/>
      <c r="DX1029" s="15"/>
      <c r="DY1029" s="15"/>
      <c r="DZ1029" s="15"/>
      <c r="EA1029" s="15"/>
      <c r="EB1029" s="15"/>
      <c r="EC1029" s="16" t="s">
        <v>197</v>
      </c>
      <c r="ED1029" s="17" t="s">
        <v>198</v>
      </c>
      <c r="EE1029" s="18">
        <v>45699.42050925926</v>
      </c>
      <c r="EF1029" s="13" t="s">
        <v>209</v>
      </c>
      <c r="EG1029" s="14" t="s">
        <v>179</v>
      </c>
      <c r="EH1029" s="14" t="s">
        <v>20203</v>
      </c>
      <c r="EI1029" s="15"/>
      <c r="EJ1029" s="15"/>
      <c r="EK1029" s="15"/>
      <c r="EL1029" s="15"/>
      <c r="EM1029" s="15"/>
      <c r="EN1029" s="15"/>
      <c r="EO1029" s="15"/>
      <c r="EP1029" s="15"/>
      <c r="EQ1029" s="15"/>
      <c r="ER1029" s="15"/>
      <c r="ES1029" s="15"/>
      <c r="ET1029" s="15"/>
      <c r="EU1029" s="15"/>
      <c r="EV1029" s="15"/>
      <c r="EW1029" s="15"/>
      <c r="EX1029" s="15"/>
      <c r="EY1029" s="15"/>
      <c r="EZ1029" s="15"/>
      <c r="FA1029" s="15"/>
      <c r="FB1029" s="15"/>
      <c r="FC1029" s="16" t="s">
        <v>197</v>
      </c>
      <c r="FD1029" s="17" t="s">
        <v>198</v>
      </c>
      <c r="FE1029" s="18">
        <v>45723.34611111111</v>
      </c>
      <c r="FF1029" s="19"/>
      <c r="FG1029" s="19"/>
      <c r="FH1029" s="21" t="s">
        <v>197</v>
      </c>
      <c r="FI1029" s="17" t="s">
        <v>214</v>
      </c>
      <c r="FJ1029" s="18">
        <v>45723.34611111111</v>
      </c>
      <c r="FK1029" s="14" t="s">
        <v>20203</v>
      </c>
      <c r="FL1029" s="19"/>
      <c r="FM1029" s="19"/>
      <c r="FN1029" s="19"/>
      <c r="FO1029" s="19"/>
      <c r="FP1029" s="19" t="str">
        <f t="shared" si="1"/>
        <v/>
      </c>
      <c r="FQ1029" s="14" t="s">
        <v>215</v>
      </c>
      <c r="FR1029" s="14" t="s">
        <v>20204</v>
      </c>
    </row>
    <row r="1030" ht="15.75" customHeight="1">
      <c r="A1030" s="12" t="s">
        <v>217</v>
      </c>
      <c r="B1030" s="12" t="s">
        <v>7566</v>
      </c>
      <c r="C1030" s="12" t="s">
        <v>219</v>
      </c>
      <c r="D1030" s="22" t="s">
        <v>20205</v>
      </c>
      <c r="E1030" s="22" t="s">
        <v>20206</v>
      </c>
      <c r="F1030" s="13" t="s">
        <v>178</v>
      </c>
      <c r="G1030" s="14" t="s">
        <v>179</v>
      </c>
      <c r="H1030" s="14" t="s">
        <v>20207</v>
      </c>
      <c r="I1030" s="14" t="s">
        <v>179</v>
      </c>
      <c r="J1030" s="14" t="s">
        <v>20208</v>
      </c>
      <c r="K1030" s="14" t="s">
        <v>179</v>
      </c>
      <c r="L1030" s="14" t="s">
        <v>20209</v>
      </c>
      <c r="M1030" s="14" t="s">
        <v>179</v>
      </c>
      <c r="N1030" s="14" t="s">
        <v>20210</v>
      </c>
      <c r="O1030" s="14" t="s">
        <v>179</v>
      </c>
      <c r="P1030" s="14" t="s">
        <v>20211</v>
      </c>
      <c r="Q1030" s="14" t="s">
        <v>179</v>
      </c>
      <c r="R1030" s="14" t="s">
        <v>20212</v>
      </c>
      <c r="S1030" s="14" t="s">
        <v>179</v>
      </c>
      <c r="T1030" s="14" t="s">
        <v>20213</v>
      </c>
      <c r="U1030" s="14" t="s">
        <v>179</v>
      </c>
      <c r="V1030" s="14" t="s">
        <v>20214</v>
      </c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  <c r="BG1030" s="15"/>
      <c r="BH1030" s="15"/>
      <c r="BI1030" s="15"/>
      <c r="BJ1030" s="15"/>
      <c r="BK1030" s="15"/>
      <c r="BL1030" s="15"/>
      <c r="BM1030" s="15"/>
      <c r="BN1030" s="15"/>
      <c r="BO1030" s="16" t="s">
        <v>197</v>
      </c>
      <c r="BP1030" s="17" t="s">
        <v>228</v>
      </c>
      <c r="BQ1030" s="23"/>
      <c r="BR1030" s="17" t="s">
        <v>198</v>
      </c>
      <c r="BS1030" s="18">
        <v>45688.59510416666</v>
      </c>
      <c r="BT1030" s="17" t="s">
        <v>198</v>
      </c>
      <c r="BU1030" s="18">
        <v>45688.59510416666</v>
      </c>
      <c r="BV1030" s="13" t="s">
        <v>199</v>
      </c>
      <c r="BW1030" s="14" t="s">
        <v>179</v>
      </c>
      <c r="BX1030" s="14" t="s">
        <v>20215</v>
      </c>
      <c r="BY1030" s="14" t="s">
        <v>179</v>
      </c>
      <c r="BZ1030" s="14" t="s">
        <v>20216</v>
      </c>
      <c r="CA1030" s="15"/>
      <c r="CB1030" s="15"/>
      <c r="CC1030" s="15"/>
      <c r="CD1030" s="15"/>
      <c r="CE1030" s="15"/>
      <c r="CF1030" s="15"/>
      <c r="CG1030" s="19"/>
      <c r="CH1030" s="15"/>
      <c r="CI1030" s="19"/>
      <c r="CJ1030" s="15"/>
      <c r="CK1030" s="19"/>
      <c r="CL1030" s="15"/>
      <c r="CM1030" s="19"/>
      <c r="CN1030" s="15"/>
      <c r="CO1030" s="19"/>
      <c r="CP1030" s="15"/>
      <c r="CQ1030" s="15"/>
      <c r="CR1030" s="15"/>
      <c r="CS1030" s="19"/>
      <c r="CT1030" s="15"/>
      <c r="CU1030" s="19"/>
      <c r="CV1030" s="15"/>
      <c r="CW1030" s="19"/>
      <c r="CX1030" s="15"/>
      <c r="CY1030" s="19"/>
      <c r="CZ1030" s="15"/>
      <c r="DA1030" s="16" t="s">
        <v>197</v>
      </c>
      <c r="DB1030" s="17" t="s">
        <v>228</v>
      </c>
      <c r="DC1030" s="16"/>
      <c r="DD1030" s="17" t="s">
        <v>198</v>
      </c>
      <c r="DE1030" s="18">
        <v>45699.420949074076</v>
      </c>
      <c r="DF1030" s="17" t="s">
        <v>198</v>
      </c>
      <c r="DG1030" s="18">
        <v>45699.420949074076</v>
      </c>
      <c r="DH1030" s="13" t="s">
        <v>205</v>
      </c>
      <c r="DI1030" s="14" t="s">
        <v>179</v>
      </c>
      <c r="DJ1030" s="14" t="s">
        <v>20217</v>
      </c>
      <c r="DK1030" s="15"/>
      <c r="DL1030" s="15"/>
      <c r="DM1030" s="15"/>
      <c r="DN1030" s="15"/>
      <c r="DO1030" s="15"/>
      <c r="DP1030" s="15"/>
      <c r="DQ1030" s="15"/>
      <c r="DR1030" s="15"/>
      <c r="DS1030" s="15"/>
      <c r="DT1030" s="15"/>
      <c r="DU1030" s="15"/>
      <c r="DV1030" s="15"/>
      <c r="DW1030" s="15"/>
      <c r="DX1030" s="15"/>
      <c r="DY1030" s="15"/>
      <c r="DZ1030" s="15"/>
      <c r="EA1030" s="15"/>
      <c r="EB1030" s="15"/>
      <c r="EC1030" s="16" t="s">
        <v>197</v>
      </c>
      <c r="ED1030" s="17" t="s">
        <v>198</v>
      </c>
      <c r="EE1030" s="18">
        <v>45699.42105324074</v>
      </c>
      <c r="EF1030" s="13" t="s">
        <v>209</v>
      </c>
      <c r="EG1030" s="14" t="s">
        <v>179</v>
      </c>
      <c r="EH1030" s="14" t="s">
        <v>20218</v>
      </c>
      <c r="EI1030" s="15"/>
      <c r="EJ1030" s="15"/>
      <c r="EK1030" s="15"/>
      <c r="EL1030" s="15"/>
      <c r="EM1030" s="15"/>
      <c r="EN1030" s="15"/>
      <c r="EO1030" s="15"/>
      <c r="EP1030" s="15"/>
      <c r="EQ1030" s="15"/>
      <c r="ER1030" s="15"/>
      <c r="ES1030" s="15"/>
      <c r="ET1030" s="15"/>
      <c r="EU1030" s="15"/>
      <c r="EV1030" s="15"/>
      <c r="EW1030" s="15"/>
      <c r="EX1030" s="15"/>
      <c r="EY1030" s="15"/>
      <c r="EZ1030" s="15"/>
      <c r="FA1030" s="15"/>
      <c r="FB1030" s="15"/>
      <c r="FC1030" s="16" t="s">
        <v>197</v>
      </c>
      <c r="FD1030" s="17" t="s">
        <v>198</v>
      </c>
      <c r="FE1030" s="18">
        <v>45723.346180555556</v>
      </c>
      <c r="FF1030" s="19"/>
      <c r="FG1030" s="19"/>
      <c r="FH1030" s="21" t="s">
        <v>197</v>
      </c>
      <c r="FI1030" s="17" t="s">
        <v>214</v>
      </c>
      <c r="FJ1030" s="18">
        <v>45723.346180555556</v>
      </c>
      <c r="FK1030" s="14" t="s">
        <v>20218</v>
      </c>
      <c r="FL1030" s="19"/>
      <c r="FM1030" s="19"/>
      <c r="FN1030" s="19"/>
      <c r="FO1030" s="19"/>
      <c r="FP1030" s="19" t="str">
        <f t="shared" si="1"/>
        <v/>
      </c>
      <c r="FQ1030" s="14" t="s">
        <v>215</v>
      </c>
      <c r="FR1030" s="14" t="s">
        <v>20219</v>
      </c>
    </row>
    <row r="1031" ht="15.75" customHeight="1">
      <c r="A1031" s="12" t="s">
        <v>217</v>
      </c>
      <c r="B1031" s="12" t="s">
        <v>20220</v>
      </c>
      <c r="C1031" s="12" t="s">
        <v>219</v>
      </c>
      <c r="D1031" s="22" t="s">
        <v>20221</v>
      </c>
      <c r="E1031" s="22" t="s">
        <v>20222</v>
      </c>
      <c r="F1031" s="13" t="s">
        <v>178</v>
      </c>
      <c r="G1031" s="14" t="s">
        <v>179</v>
      </c>
      <c r="H1031" s="14" t="s">
        <v>20223</v>
      </c>
      <c r="I1031" s="14" t="s">
        <v>179</v>
      </c>
      <c r="J1031" s="14" t="s">
        <v>20224</v>
      </c>
      <c r="K1031" s="14" t="s">
        <v>179</v>
      </c>
      <c r="L1031" s="14" t="s">
        <v>20225</v>
      </c>
      <c r="M1031" s="14" t="s">
        <v>179</v>
      </c>
      <c r="N1031" s="14" t="s">
        <v>20226</v>
      </c>
      <c r="O1031" s="14" t="s">
        <v>179</v>
      </c>
      <c r="P1031" s="14" t="s">
        <v>20227</v>
      </c>
      <c r="Q1031" s="14" t="s">
        <v>179</v>
      </c>
      <c r="R1031" s="14" t="s">
        <v>20228</v>
      </c>
      <c r="S1031" s="14" t="s">
        <v>179</v>
      </c>
      <c r="T1031" s="14" t="s">
        <v>20229</v>
      </c>
      <c r="U1031" s="14" t="s">
        <v>179</v>
      </c>
      <c r="V1031" s="14" t="s">
        <v>20230</v>
      </c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  <c r="BM1031" s="15"/>
      <c r="BN1031" s="15"/>
      <c r="BO1031" s="16" t="s">
        <v>197</v>
      </c>
      <c r="BP1031" s="17" t="s">
        <v>228</v>
      </c>
      <c r="BQ1031" s="23"/>
      <c r="BR1031" s="17" t="s">
        <v>198</v>
      </c>
      <c r="BS1031" s="18">
        <v>45686.43493055556</v>
      </c>
      <c r="BT1031" s="17" t="s">
        <v>198</v>
      </c>
      <c r="BU1031" s="18">
        <v>45686.43493055556</v>
      </c>
      <c r="BV1031" s="13" t="s">
        <v>199</v>
      </c>
      <c r="BW1031" s="14" t="s">
        <v>179</v>
      </c>
      <c r="BX1031" s="14" t="s">
        <v>20231</v>
      </c>
      <c r="BY1031" s="14" t="s">
        <v>179</v>
      </c>
      <c r="BZ1031" s="14" t="s">
        <v>20232</v>
      </c>
      <c r="CA1031" s="15"/>
      <c r="CB1031" s="15"/>
      <c r="CC1031" s="15"/>
      <c r="CD1031" s="15"/>
      <c r="CE1031" s="15"/>
      <c r="CF1031" s="15"/>
      <c r="CG1031" s="19"/>
      <c r="CH1031" s="15"/>
      <c r="CI1031" s="19"/>
      <c r="CJ1031" s="15"/>
      <c r="CK1031" s="19"/>
      <c r="CL1031" s="15"/>
      <c r="CM1031" s="19"/>
      <c r="CN1031" s="15"/>
      <c r="CO1031" s="19"/>
      <c r="CP1031" s="15"/>
      <c r="CQ1031" s="15"/>
      <c r="CR1031" s="15"/>
      <c r="CS1031" s="19"/>
      <c r="CT1031" s="15"/>
      <c r="CU1031" s="19"/>
      <c r="CV1031" s="15"/>
      <c r="CW1031" s="19"/>
      <c r="CX1031" s="15"/>
      <c r="CY1031" s="19"/>
      <c r="CZ1031" s="15"/>
      <c r="DA1031" s="16" t="s">
        <v>197</v>
      </c>
      <c r="DB1031" s="17" t="s">
        <v>228</v>
      </c>
      <c r="DC1031" s="16"/>
      <c r="DD1031" s="17" t="s">
        <v>198</v>
      </c>
      <c r="DE1031" s="18">
        <v>45692.549722222226</v>
      </c>
      <c r="DF1031" s="17" t="s">
        <v>198</v>
      </c>
      <c r="DG1031" s="18">
        <v>45692.549722222226</v>
      </c>
      <c r="DH1031" s="13" t="s">
        <v>205</v>
      </c>
      <c r="DI1031" s="14" t="s">
        <v>179</v>
      </c>
      <c r="DJ1031" s="14" t="s">
        <v>20233</v>
      </c>
      <c r="DK1031" s="15"/>
      <c r="DL1031" s="15"/>
      <c r="DM1031" s="15"/>
      <c r="DN1031" s="15"/>
      <c r="DO1031" s="15"/>
      <c r="DP1031" s="15"/>
      <c r="DQ1031" s="15"/>
      <c r="DR1031" s="15"/>
      <c r="DS1031" s="15"/>
      <c r="DT1031" s="15"/>
      <c r="DU1031" s="15"/>
      <c r="DV1031" s="15"/>
      <c r="DW1031" s="15"/>
      <c r="DX1031" s="15"/>
      <c r="DY1031" s="15"/>
      <c r="DZ1031" s="15"/>
      <c r="EA1031" s="15"/>
      <c r="EB1031" s="15"/>
      <c r="EC1031" s="16" t="s">
        <v>197</v>
      </c>
      <c r="ED1031" s="17" t="s">
        <v>198</v>
      </c>
      <c r="EE1031" s="18">
        <v>45699.48947916667</v>
      </c>
      <c r="EF1031" s="13" t="s">
        <v>209</v>
      </c>
      <c r="EG1031" s="14" t="s">
        <v>179</v>
      </c>
      <c r="EH1031" s="14" t="s">
        <v>20234</v>
      </c>
      <c r="EI1031" s="15"/>
      <c r="EJ1031" s="15"/>
      <c r="EK1031" s="15"/>
      <c r="EL1031" s="15"/>
      <c r="EM1031" s="15"/>
      <c r="EN1031" s="15"/>
      <c r="EO1031" s="15"/>
      <c r="EP1031" s="15"/>
      <c r="EQ1031" s="15"/>
      <c r="ER1031" s="15"/>
      <c r="ES1031" s="15"/>
      <c r="ET1031" s="15"/>
      <c r="EU1031" s="15"/>
      <c r="EV1031" s="15"/>
      <c r="EW1031" s="15"/>
      <c r="EX1031" s="15"/>
      <c r="EY1031" s="15"/>
      <c r="EZ1031" s="15"/>
      <c r="FA1031" s="15"/>
      <c r="FB1031" s="15"/>
      <c r="FC1031" s="16" t="s">
        <v>197</v>
      </c>
      <c r="FD1031" s="17" t="s">
        <v>198</v>
      </c>
      <c r="FE1031" s="18">
        <v>45722.36702546296</v>
      </c>
      <c r="FF1031" s="19"/>
      <c r="FG1031" s="19"/>
      <c r="FH1031" s="21" t="s">
        <v>197</v>
      </c>
      <c r="FI1031" s="17" t="s">
        <v>214</v>
      </c>
      <c r="FJ1031" s="18">
        <v>45722.36702546296</v>
      </c>
      <c r="FK1031" s="14" t="s">
        <v>20234</v>
      </c>
      <c r="FL1031" s="19"/>
      <c r="FM1031" s="19"/>
      <c r="FN1031" s="19"/>
      <c r="FO1031" s="19"/>
      <c r="FP1031" s="19" t="str">
        <f t="shared" si="1"/>
        <v/>
      </c>
      <c r="FQ1031" s="14" t="s">
        <v>215</v>
      </c>
      <c r="FR1031" s="14" t="s">
        <v>20235</v>
      </c>
    </row>
    <row r="1032" ht="15.75" customHeight="1">
      <c r="A1032" s="12" t="s">
        <v>217</v>
      </c>
      <c r="B1032" s="12" t="s">
        <v>7566</v>
      </c>
      <c r="C1032" s="12" t="s">
        <v>219</v>
      </c>
      <c r="D1032" s="22" t="s">
        <v>20236</v>
      </c>
      <c r="E1032" s="22" t="s">
        <v>20237</v>
      </c>
      <c r="F1032" s="13" t="s">
        <v>178</v>
      </c>
      <c r="G1032" s="14" t="s">
        <v>179</v>
      </c>
      <c r="H1032" s="14" t="s">
        <v>20238</v>
      </c>
      <c r="I1032" s="14" t="s">
        <v>179</v>
      </c>
      <c r="J1032" s="14" t="s">
        <v>20239</v>
      </c>
      <c r="K1032" s="14" t="s">
        <v>179</v>
      </c>
      <c r="L1032" s="14" t="s">
        <v>20240</v>
      </c>
      <c r="M1032" s="14" t="s">
        <v>179</v>
      </c>
      <c r="N1032" s="14" t="s">
        <v>20241</v>
      </c>
      <c r="O1032" s="14" t="s">
        <v>179</v>
      </c>
      <c r="P1032" s="14" t="s">
        <v>20242</v>
      </c>
      <c r="Q1032" s="14" t="s">
        <v>179</v>
      </c>
      <c r="R1032" s="14" t="s">
        <v>20243</v>
      </c>
      <c r="S1032" s="14" t="s">
        <v>179</v>
      </c>
      <c r="T1032" s="14" t="s">
        <v>20244</v>
      </c>
      <c r="U1032" s="14" t="s">
        <v>179</v>
      </c>
      <c r="V1032" s="14" t="s">
        <v>20245</v>
      </c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  <c r="BC1032" s="15"/>
      <c r="BD1032" s="15"/>
      <c r="BE1032" s="15"/>
      <c r="BF1032" s="15"/>
      <c r="BG1032" s="15"/>
      <c r="BH1032" s="15"/>
      <c r="BI1032" s="15"/>
      <c r="BJ1032" s="15"/>
      <c r="BK1032" s="15"/>
      <c r="BL1032" s="15"/>
      <c r="BM1032" s="15"/>
      <c r="BN1032" s="15"/>
      <c r="BO1032" s="16" t="s">
        <v>197</v>
      </c>
      <c r="BP1032" s="17" t="s">
        <v>228</v>
      </c>
      <c r="BQ1032" s="23"/>
      <c r="BR1032" s="17" t="s">
        <v>198</v>
      </c>
      <c r="BS1032" s="18">
        <v>45687.394108796296</v>
      </c>
      <c r="BT1032" s="17" t="s">
        <v>198</v>
      </c>
      <c r="BU1032" s="18">
        <v>45687.394108796296</v>
      </c>
      <c r="BV1032" s="13" t="s">
        <v>199</v>
      </c>
      <c r="BW1032" s="14" t="s">
        <v>179</v>
      </c>
      <c r="BX1032" s="14" t="s">
        <v>20246</v>
      </c>
      <c r="BY1032" s="14" t="s">
        <v>179</v>
      </c>
      <c r="BZ1032" s="14" t="s">
        <v>20247</v>
      </c>
      <c r="CA1032" s="15"/>
      <c r="CB1032" s="15"/>
      <c r="CC1032" s="15"/>
      <c r="CD1032" s="15"/>
      <c r="CE1032" s="15"/>
      <c r="CF1032" s="15"/>
      <c r="CG1032" s="19"/>
      <c r="CH1032" s="15"/>
      <c r="CI1032" s="19"/>
      <c r="CJ1032" s="15"/>
      <c r="CK1032" s="19"/>
      <c r="CL1032" s="15"/>
      <c r="CM1032" s="19"/>
      <c r="CN1032" s="15"/>
      <c r="CO1032" s="19"/>
      <c r="CP1032" s="15"/>
      <c r="CQ1032" s="15"/>
      <c r="CR1032" s="15"/>
      <c r="CS1032" s="19"/>
      <c r="CT1032" s="15"/>
      <c r="CU1032" s="19"/>
      <c r="CV1032" s="15"/>
      <c r="CW1032" s="19"/>
      <c r="CX1032" s="15"/>
      <c r="CY1032" s="19"/>
      <c r="CZ1032" s="15"/>
      <c r="DA1032" s="16" t="s">
        <v>197</v>
      </c>
      <c r="DB1032" s="17" t="s">
        <v>228</v>
      </c>
      <c r="DC1032" s="16"/>
      <c r="DD1032" s="17" t="s">
        <v>198</v>
      </c>
      <c r="DE1032" s="18">
        <v>45692.557233796295</v>
      </c>
      <c r="DF1032" s="17" t="s">
        <v>198</v>
      </c>
      <c r="DG1032" s="18">
        <v>45692.557233796295</v>
      </c>
      <c r="DH1032" s="13" t="s">
        <v>205</v>
      </c>
      <c r="DI1032" s="14" t="s">
        <v>179</v>
      </c>
      <c r="DJ1032" s="14" t="s">
        <v>20248</v>
      </c>
      <c r="DK1032" s="15"/>
      <c r="DL1032" s="15"/>
      <c r="DM1032" s="15"/>
      <c r="DN1032" s="15"/>
      <c r="DO1032" s="15"/>
      <c r="DP1032" s="15"/>
      <c r="DQ1032" s="15"/>
      <c r="DR1032" s="15"/>
      <c r="DS1032" s="15"/>
      <c r="DT1032" s="15"/>
      <c r="DU1032" s="15"/>
      <c r="DV1032" s="15"/>
      <c r="DW1032" s="15"/>
      <c r="DX1032" s="15"/>
      <c r="DY1032" s="15"/>
      <c r="DZ1032" s="15"/>
      <c r="EA1032" s="15"/>
      <c r="EB1032" s="15"/>
      <c r="EC1032" s="16" t="s">
        <v>197</v>
      </c>
      <c r="ED1032" s="17" t="s">
        <v>198</v>
      </c>
      <c r="EE1032" s="18">
        <v>45699.42517361111</v>
      </c>
      <c r="EF1032" s="13" t="s">
        <v>209</v>
      </c>
      <c r="EG1032" s="14" t="s">
        <v>179</v>
      </c>
      <c r="EH1032" s="14" t="s">
        <v>20249</v>
      </c>
      <c r="EI1032" s="15"/>
      <c r="EJ1032" s="15"/>
      <c r="EK1032" s="15"/>
      <c r="EL1032" s="15"/>
      <c r="EM1032" s="15"/>
      <c r="EN1032" s="15"/>
      <c r="EO1032" s="15"/>
      <c r="EP1032" s="15"/>
      <c r="EQ1032" s="15"/>
      <c r="ER1032" s="15"/>
      <c r="ES1032" s="15"/>
      <c r="ET1032" s="15"/>
      <c r="EU1032" s="15"/>
      <c r="EV1032" s="15"/>
      <c r="EW1032" s="15"/>
      <c r="EX1032" s="15"/>
      <c r="EY1032" s="15"/>
      <c r="EZ1032" s="15"/>
      <c r="FA1032" s="15"/>
      <c r="FB1032" s="15"/>
      <c r="FC1032" s="16" t="s">
        <v>197</v>
      </c>
      <c r="FD1032" s="17" t="s">
        <v>198</v>
      </c>
      <c r="FE1032" s="18">
        <v>45723.346238425926</v>
      </c>
      <c r="FF1032" s="19"/>
      <c r="FG1032" s="19"/>
      <c r="FH1032" s="21" t="s">
        <v>197</v>
      </c>
      <c r="FI1032" s="17" t="s">
        <v>214</v>
      </c>
      <c r="FJ1032" s="18">
        <v>45723.346238425926</v>
      </c>
      <c r="FK1032" s="14" t="s">
        <v>20249</v>
      </c>
      <c r="FL1032" s="14" t="s">
        <v>20250</v>
      </c>
      <c r="FM1032" s="14" t="s">
        <v>20251</v>
      </c>
      <c r="FN1032" s="19"/>
      <c r="FO1032" s="19"/>
      <c r="FP1032" s="19" t="str">
        <f t="shared" si="1"/>
        <v>Base de Dados_Images/XV40039.Imagem do Equipamento-.141415.jpg</v>
      </c>
      <c r="FQ1032" s="19"/>
      <c r="FR1032" s="19"/>
    </row>
    <row r="1033" ht="15.75" customHeight="1">
      <c r="A1033" s="12" t="s">
        <v>217</v>
      </c>
      <c r="B1033" s="12" t="s">
        <v>20220</v>
      </c>
      <c r="C1033" s="12" t="s">
        <v>219</v>
      </c>
      <c r="D1033" s="22" t="s">
        <v>20252</v>
      </c>
      <c r="E1033" s="22" t="s">
        <v>20253</v>
      </c>
      <c r="F1033" s="13" t="s">
        <v>178</v>
      </c>
      <c r="G1033" s="14" t="s">
        <v>179</v>
      </c>
      <c r="H1033" s="14" t="s">
        <v>20254</v>
      </c>
      <c r="I1033" s="14" t="s">
        <v>179</v>
      </c>
      <c r="J1033" s="14" t="s">
        <v>20254</v>
      </c>
      <c r="K1033" s="14" t="s">
        <v>179</v>
      </c>
      <c r="L1033" s="14" t="s">
        <v>20255</v>
      </c>
      <c r="M1033" s="14" t="s">
        <v>179</v>
      </c>
      <c r="N1033" s="14" t="s">
        <v>20255</v>
      </c>
      <c r="O1033" s="14" t="s">
        <v>179</v>
      </c>
      <c r="P1033" s="14" t="s">
        <v>20256</v>
      </c>
      <c r="Q1033" s="14" t="s">
        <v>179</v>
      </c>
      <c r="R1033" s="14" t="s">
        <v>20257</v>
      </c>
      <c r="S1033" s="14" t="s">
        <v>179</v>
      </c>
      <c r="T1033" s="14" t="s">
        <v>20258</v>
      </c>
      <c r="U1033" s="14" t="s">
        <v>179</v>
      </c>
      <c r="V1033" s="14" t="s">
        <v>20259</v>
      </c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  <c r="BH1033" s="15"/>
      <c r="BI1033" s="15"/>
      <c r="BJ1033" s="15"/>
      <c r="BK1033" s="15"/>
      <c r="BL1033" s="15"/>
      <c r="BM1033" s="15"/>
      <c r="BN1033" s="15"/>
      <c r="BO1033" s="16" t="s">
        <v>197</v>
      </c>
      <c r="BP1033" s="17" t="s">
        <v>228</v>
      </c>
      <c r="BQ1033" s="23"/>
      <c r="BR1033" s="17" t="s">
        <v>198</v>
      </c>
      <c r="BS1033" s="18">
        <v>45686.43517361111</v>
      </c>
      <c r="BT1033" s="17" t="s">
        <v>198</v>
      </c>
      <c r="BU1033" s="18">
        <v>45686.43517361111</v>
      </c>
      <c r="BV1033" s="13" t="s">
        <v>199</v>
      </c>
      <c r="BW1033" s="14" t="s">
        <v>179</v>
      </c>
      <c r="BX1033" s="14" t="s">
        <v>20260</v>
      </c>
      <c r="BY1033" s="14" t="s">
        <v>179</v>
      </c>
      <c r="BZ1033" s="14" t="s">
        <v>20260</v>
      </c>
      <c r="CA1033" s="15"/>
      <c r="CB1033" s="15"/>
      <c r="CC1033" s="15"/>
      <c r="CD1033" s="15"/>
      <c r="CE1033" s="15"/>
      <c r="CF1033" s="15"/>
      <c r="CG1033" s="19"/>
      <c r="CH1033" s="15"/>
      <c r="CI1033" s="19"/>
      <c r="CJ1033" s="15"/>
      <c r="CK1033" s="19"/>
      <c r="CL1033" s="15"/>
      <c r="CM1033" s="19"/>
      <c r="CN1033" s="15"/>
      <c r="CO1033" s="19"/>
      <c r="CP1033" s="15"/>
      <c r="CQ1033" s="15"/>
      <c r="CR1033" s="15"/>
      <c r="CS1033" s="19"/>
      <c r="CT1033" s="15"/>
      <c r="CU1033" s="19"/>
      <c r="CV1033" s="15"/>
      <c r="CW1033" s="19"/>
      <c r="CX1033" s="15"/>
      <c r="CY1033" s="19"/>
      <c r="CZ1033" s="15"/>
      <c r="DA1033" s="16" t="s">
        <v>197</v>
      </c>
      <c r="DB1033" s="17" t="s">
        <v>228</v>
      </c>
      <c r="DC1033" s="16"/>
      <c r="DD1033" s="17" t="s">
        <v>198</v>
      </c>
      <c r="DE1033" s="18">
        <v>45692.54987268519</v>
      </c>
      <c r="DF1033" s="17" t="s">
        <v>198</v>
      </c>
      <c r="DG1033" s="18">
        <v>45692.54987268519</v>
      </c>
      <c r="DH1033" s="13" t="s">
        <v>205</v>
      </c>
      <c r="DI1033" s="14" t="s">
        <v>179</v>
      </c>
      <c r="DJ1033" s="14" t="s">
        <v>20261</v>
      </c>
      <c r="DK1033" s="15"/>
      <c r="DL1033" s="15"/>
      <c r="DM1033" s="15"/>
      <c r="DN1033" s="15"/>
      <c r="DO1033" s="15"/>
      <c r="DP1033" s="15"/>
      <c r="DQ1033" s="15"/>
      <c r="DR1033" s="15"/>
      <c r="DS1033" s="15"/>
      <c r="DT1033" s="15"/>
      <c r="DU1033" s="15"/>
      <c r="DV1033" s="15"/>
      <c r="DW1033" s="15"/>
      <c r="DX1033" s="15"/>
      <c r="DY1033" s="15"/>
      <c r="DZ1033" s="15"/>
      <c r="EA1033" s="15"/>
      <c r="EB1033" s="15"/>
      <c r="EC1033" s="16" t="s">
        <v>197</v>
      </c>
      <c r="ED1033" s="17" t="s">
        <v>198</v>
      </c>
      <c r="EE1033" s="18">
        <v>45699.490381944444</v>
      </c>
      <c r="EF1033" s="13" t="s">
        <v>209</v>
      </c>
      <c r="EG1033" s="14" t="s">
        <v>179</v>
      </c>
      <c r="EH1033" s="14" t="s">
        <v>20262</v>
      </c>
      <c r="EI1033" s="15"/>
      <c r="EJ1033" s="15"/>
      <c r="EK1033" s="15"/>
      <c r="EL1033" s="15"/>
      <c r="EM1033" s="15"/>
      <c r="EN1033" s="15"/>
      <c r="EO1033" s="15"/>
      <c r="EP1033" s="15"/>
      <c r="EQ1033" s="15"/>
      <c r="ER1033" s="15"/>
      <c r="ES1033" s="15"/>
      <c r="ET1033" s="15"/>
      <c r="EU1033" s="15"/>
      <c r="EV1033" s="15"/>
      <c r="EW1033" s="15"/>
      <c r="EX1033" s="15"/>
      <c r="EY1033" s="15"/>
      <c r="EZ1033" s="15"/>
      <c r="FA1033" s="15"/>
      <c r="FB1033" s="15"/>
      <c r="FC1033" s="16" t="s">
        <v>197</v>
      </c>
      <c r="FD1033" s="17" t="s">
        <v>198</v>
      </c>
      <c r="FE1033" s="18">
        <v>45722.36707175926</v>
      </c>
      <c r="FF1033" s="19"/>
      <c r="FG1033" s="19"/>
      <c r="FH1033" s="21" t="s">
        <v>197</v>
      </c>
      <c r="FI1033" s="17" t="s">
        <v>214</v>
      </c>
      <c r="FJ1033" s="18">
        <v>45722.36707175926</v>
      </c>
      <c r="FK1033" s="14" t="s">
        <v>20262</v>
      </c>
      <c r="FL1033" s="19"/>
      <c r="FM1033" s="19"/>
      <c r="FN1033" s="19"/>
      <c r="FO1033" s="19"/>
      <c r="FP1033" s="19" t="str">
        <f t="shared" si="1"/>
        <v/>
      </c>
      <c r="FQ1033" s="14" t="s">
        <v>215</v>
      </c>
      <c r="FR1033" s="14" t="s">
        <v>20263</v>
      </c>
    </row>
    <row r="1034" ht="15.75" customHeight="1">
      <c r="A1034" s="12" t="s">
        <v>217</v>
      </c>
      <c r="B1034" s="12" t="s">
        <v>11439</v>
      </c>
      <c r="C1034" s="12" t="s">
        <v>219</v>
      </c>
      <c r="D1034" s="22" t="s">
        <v>20264</v>
      </c>
      <c r="E1034" s="22" t="s">
        <v>20265</v>
      </c>
      <c r="F1034" s="13" t="s">
        <v>178</v>
      </c>
      <c r="G1034" s="14" t="s">
        <v>179</v>
      </c>
      <c r="H1034" s="14" t="s">
        <v>20266</v>
      </c>
      <c r="I1034" s="14" t="s">
        <v>179</v>
      </c>
      <c r="J1034" s="14" t="s">
        <v>20267</v>
      </c>
      <c r="K1034" s="14" t="s">
        <v>179</v>
      </c>
      <c r="L1034" s="14" t="s">
        <v>20268</v>
      </c>
      <c r="M1034" s="14" t="s">
        <v>179</v>
      </c>
      <c r="N1034" s="14" t="s">
        <v>20269</v>
      </c>
      <c r="O1034" s="14" t="s">
        <v>179</v>
      </c>
      <c r="P1034" s="14" t="s">
        <v>20270</v>
      </c>
      <c r="Q1034" s="14" t="s">
        <v>179</v>
      </c>
      <c r="R1034" s="14" t="s">
        <v>20271</v>
      </c>
      <c r="S1034" s="14" t="s">
        <v>179</v>
      </c>
      <c r="T1034" s="14" t="s">
        <v>20271</v>
      </c>
      <c r="U1034" s="14" t="s">
        <v>179</v>
      </c>
      <c r="V1034" s="14" t="s">
        <v>20272</v>
      </c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/>
      <c r="BB1034" s="15"/>
      <c r="BC1034" s="15"/>
      <c r="BD1034" s="15"/>
      <c r="BE1034" s="15"/>
      <c r="BF1034" s="15"/>
      <c r="BG1034" s="15"/>
      <c r="BH1034" s="15"/>
      <c r="BI1034" s="15"/>
      <c r="BJ1034" s="15"/>
      <c r="BK1034" s="15"/>
      <c r="BL1034" s="15"/>
      <c r="BM1034" s="15"/>
      <c r="BN1034" s="15"/>
      <c r="BO1034" s="16" t="s">
        <v>197</v>
      </c>
      <c r="BP1034" s="17" t="s">
        <v>228</v>
      </c>
      <c r="BQ1034" s="23"/>
      <c r="BR1034" s="17" t="s">
        <v>198</v>
      </c>
      <c r="BS1034" s="18">
        <v>45701.56349537037</v>
      </c>
      <c r="BT1034" s="17" t="s">
        <v>198</v>
      </c>
      <c r="BU1034" s="18">
        <v>45701.56349537037</v>
      </c>
      <c r="BV1034" s="13" t="s">
        <v>199</v>
      </c>
      <c r="BW1034" s="14" t="s">
        <v>179</v>
      </c>
      <c r="BX1034" s="14" t="s">
        <v>20273</v>
      </c>
      <c r="BY1034" s="14" t="s">
        <v>179</v>
      </c>
      <c r="BZ1034" s="14" t="s">
        <v>20274</v>
      </c>
      <c r="CA1034" s="15"/>
      <c r="CB1034" s="15"/>
      <c r="CC1034" s="15"/>
      <c r="CD1034" s="15"/>
      <c r="CE1034" s="15"/>
      <c r="CF1034" s="15"/>
      <c r="CG1034" s="19"/>
      <c r="CH1034" s="15"/>
      <c r="CI1034" s="19"/>
      <c r="CJ1034" s="15"/>
      <c r="CK1034" s="19"/>
      <c r="CL1034" s="15"/>
      <c r="CM1034" s="19"/>
      <c r="CN1034" s="15"/>
      <c r="CO1034" s="19"/>
      <c r="CP1034" s="15"/>
      <c r="CQ1034" s="15"/>
      <c r="CR1034" s="15"/>
      <c r="CS1034" s="19"/>
      <c r="CT1034" s="15"/>
      <c r="CU1034" s="19"/>
      <c r="CV1034" s="15"/>
      <c r="CW1034" s="19"/>
      <c r="CX1034" s="15"/>
      <c r="CY1034" s="19"/>
      <c r="CZ1034" s="15"/>
      <c r="DA1034" s="16" t="s">
        <v>197</v>
      </c>
      <c r="DB1034" s="17" t="s">
        <v>228</v>
      </c>
      <c r="DC1034" s="16"/>
      <c r="DD1034" s="17" t="s">
        <v>198</v>
      </c>
      <c r="DE1034" s="18">
        <v>45701.56366898148</v>
      </c>
      <c r="DF1034" s="17" t="s">
        <v>198</v>
      </c>
      <c r="DG1034" s="18">
        <v>45701.56366898148</v>
      </c>
      <c r="DH1034" s="13" t="s">
        <v>205</v>
      </c>
      <c r="DI1034" s="14" t="s">
        <v>179</v>
      </c>
      <c r="DJ1034" s="14" t="s">
        <v>20275</v>
      </c>
      <c r="DK1034" s="15"/>
      <c r="DL1034" s="15"/>
      <c r="DM1034" s="15"/>
      <c r="DN1034" s="15"/>
      <c r="DO1034" s="15"/>
      <c r="DP1034" s="15"/>
      <c r="DQ1034" s="15"/>
      <c r="DR1034" s="15"/>
      <c r="DS1034" s="15"/>
      <c r="DT1034" s="15"/>
      <c r="DU1034" s="15"/>
      <c r="DV1034" s="15"/>
      <c r="DW1034" s="15"/>
      <c r="DX1034" s="15"/>
      <c r="DY1034" s="15"/>
      <c r="DZ1034" s="15"/>
      <c r="EA1034" s="15"/>
      <c r="EB1034" s="15"/>
      <c r="EC1034" s="16" t="s">
        <v>197</v>
      </c>
      <c r="ED1034" s="17" t="s">
        <v>198</v>
      </c>
      <c r="EE1034" s="18">
        <v>45708.53082175926</v>
      </c>
      <c r="EF1034" s="13" t="s">
        <v>209</v>
      </c>
      <c r="EG1034" s="14" t="s">
        <v>179</v>
      </c>
      <c r="EH1034" s="14" t="s">
        <v>20276</v>
      </c>
      <c r="EI1034" s="15"/>
      <c r="EJ1034" s="15"/>
      <c r="EK1034" s="15"/>
      <c r="EL1034" s="15"/>
      <c r="EM1034" s="15"/>
      <c r="EN1034" s="15"/>
      <c r="EO1034" s="15"/>
      <c r="EP1034" s="15"/>
      <c r="EQ1034" s="15"/>
      <c r="ER1034" s="15"/>
      <c r="ES1034" s="15"/>
      <c r="ET1034" s="15"/>
      <c r="EU1034" s="15"/>
      <c r="EV1034" s="15"/>
      <c r="EW1034" s="15"/>
      <c r="EX1034" s="15"/>
      <c r="EY1034" s="15"/>
      <c r="EZ1034" s="15"/>
      <c r="FA1034" s="15"/>
      <c r="FB1034" s="15"/>
      <c r="FC1034" s="16" t="s">
        <v>197</v>
      </c>
      <c r="FD1034" s="17" t="s">
        <v>198</v>
      </c>
      <c r="FE1034" s="18">
        <v>45723.348541666666</v>
      </c>
      <c r="FF1034" s="19"/>
      <c r="FG1034" s="19"/>
      <c r="FH1034" s="21" t="s">
        <v>197</v>
      </c>
      <c r="FI1034" s="17" t="s">
        <v>214</v>
      </c>
      <c r="FJ1034" s="18">
        <v>45723.348541666666</v>
      </c>
      <c r="FK1034" s="14" t="s">
        <v>20276</v>
      </c>
      <c r="FL1034" s="19"/>
      <c r="FM1034" s="19"/>
      <c r="FN1034" s="19"/>
      <c r="FO1034" s="19"/>
      <c r="FP1034" s="19" t="str">
        <f t="shared" si="1"/>
        <v/>
      </c>
      <c r="FQ1034" s="14" t="s">
        <v>215</v>
      </c>
      <c r="FR1034" s="14" t="s">
        <v>20277</v>
      </c>
    </row>
    <row r="1035" ht="15.75" customHeight="1">
      <c r="A1035" s="12" t="s">
        <v>217</v>
      </c>
      <c r="B1035" s="12" t="s">
        <v>20220</v>
      </c>
      <c r="C1035" s="12" t="s">
        <v>219</v>
      </c>
      <c r="D1035" s="22" t="s">
        <v>20278</v>
      </c>
      <c r="E1035" s="22" t="s">
        <v>20279</v>
      </c>
      <c r="F1035" s="13" t="s">
        <v>178</v>
      </c>
      <c r="G1035" s="14" t="s">
        <v>179</v>
      </c>
      <c r="H1035" s="14" t="s">
        <v>20280</v>
      </c>
      <c r="I1035" s="14" t="s">
        <v>179</v>
      </c>
      <c r="J1035" s="14" t="s">
        <v>20281</v>
      </c>
      <c r="K1035" s="14" t="s">
        <v>179</v>
      </c>
      <c r="L1035" s="14" t="s">
        <v>20282</v>
      </c>
      <c r="M1035" s="14" t="s">
        <v>179</v>
      </c>
      <c r="N1035" s="14" t="s">
        <v>20282</v>
      </c>
      <c r="O1035" s="14" t="s">
        <v>179</v>
      </c>
      <c r="P1035" s="14" t="s">
        <v>20283</v>
      </c>
      <c r="Q1035" s="14" t="s">
        <v>179</v>
      </c>
      <c r="R1035" s="14" t="s">
        <v>20284</v>
      </c>
      <c r="S1035" s="14" t="s">
        <v>179</v>
      </c>
      <c r="T1035" s="14" t="s">
        <v>20285</v>
      </c>
      <c r="U1035" s="14" t="s">
        <v>179</v>
      </c>
      <c r="V1035" s="14" t="s">
        <v>20286</v>
      </c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  <c r="BH1035" s="15"/>
      <c r="BI1035" s="15"/>
      <c r="BJ1035" s="15"/>
      <c r="BK1035" s="15"/>
      <c r="BL1035" s="15"/>
      <c r="BM1035" s="15"/>
      <c r="BN1035" s="15"/>
      <c r="BO1035" s="16" t="s">
        <v>197</v>
      </c>
      <c r="BP1035" s="17" t="s">
        <v>228</v>
      </c>
      <c r="BQ1035" s="23"/>
      <c r="BR1035" s="17" t="s">
        <v>198</v>
      </c>
      <c r="BS1035" s="18">
        <v>45686.4346875</v>
      </c>
      <c r="BT1035" s="17" t="s">
        <v>198</v>
      </c>
      <c r="BU1035" s="18">
        <v>45686.4346875</v>
      </c>
      <c r="BV1035" s="13" t="s">
        <v>199</v>
      </c>
      <c r="BW1035" s="14" t="s">
        <v>179</v>
      </c>
      <c r="BX1035" s="14" t="s">
        <v>20287</v>
      </c>
      <c r="BY1035" s="14" t="s">
        <v>179</v>
      </c>
      <c r="BZ1035" s="14" t="s">
        <v>20287</v>
      </c>
      <c r="CA1035" s="15"/>
      <c r="CB1035" s="15"/>
      <c r="CC1035" s="15"/>
      <c r="CD1035" s="15"/>
      <c r="CE1035" s="15"/>
      <c r="CF1035" s="15"/>
      <c r="CG1035" s="19"/>
      <c r="CH1035" s="15"/>
      <c r="CI1035" s="19"/>
      <c r="CJ1035" s="15"/>
      <c r="CK1035" s="19"/>
      <c r="CL1035" s="15"/>
      <c r="CM1035" s="19"/>
      <c r="CN1035" s="15"/>
      <c r="CO1035" s="19"/>
      <c r="CP1035" s="15"/>
      <c r="CQ1035" s="15"/>
      <c r="CR1035" s="15"/>
      <c r="CS1035" s="19"/>
      <c r="CT1035" s="15"/>
      <c r="CU1035" s="19"/>
      <c r="CV1035" s="15"/>
      <c r="CW1035" s="19"/>
      <c r="CX1035" s="15"/>
      <c r="CY1035" s="19"/>
      <c r="CZ1035" s="15"/>
      <c r="DA1035" s="16" t="s">
        <v>197</v>
      </c>
      <c r="DB1035" s="17" t="s">
        <v>228</v>
      </c>
      <c r="DC1035" s="16"/>
      <c r="DD1035" s="17" t="s">
        <v>198</v>
      </c>
      <c r="DE1035" s="18">
        <v>45692.549629629626</v>
      </c>
      <c r="DF1035" s="17" t="s">
        <v>198</v>
      </c>
      <c r="DG1035" s="18">
        <v>45692.549629629626</v>
      </c>
      <c r="DH1035" s="13" t="s">
        <v>205</v>
      </c>
      <c r="DI1035" s="14" t="s">
        <v>179</v>
      </c>
      <c r="DJ1035" s="14" t="s">
        <v>20288</v>
      </c>
      <c r="DK1035" s="15"/>
      <c r="DL1035" s="15"/>
      <c r="DM1035" s="15"/>
      <c r="DN1035" s="15"/>
      <c r="DO1035" s="15"/>
      <c r="DP1035" s="15"/>
      <c r="DQ1035" s="15"/>
      <c r="DR1035" s="15"/>
      <c r="DS1035" s="15"/>
      <c r="DT1035" s="15"/>
      <c r="DU1035" s="15"/>
      <c r="DV1035" s="15"/>
      <c r="DW1035" s="15"/>
      <c r="DX1035" s="15"/>
      <c r="DY1035" s="15"/>
      <c r="DZ1035" s="15"/>
      <c r="EA1035" s="15"/>
      <c r="EB1035" s="15"/>
      <c r="EC1035" s="16" t="s">
        <v>197</v>
      </c>
      <c r="ED1035" s="17" t="s">
        <v>198</v>
      </c>
      <c r="EE1035" s="18">
        <v>45699.489340277774</v>
      </c>
      <c r="EF1035" s="13" t="s">
        <v>209</v>
      </c>
      <c r="EG1035" s="14" t="s">
        <v>179</v>
      </c>
      <c r="EH1035" s="14" t="s">
        <v>20289</v>
      </c>
      <c r="EI1035" s="15"/>
      <c r="EJ1035" s="15"/>
      <c r="EK1035" s="15"/>
      <c r="EL1035" s="15"/>
      <c r="EM1035" s="15"/>
      <c r="EN1035" s="15"/>
      <c r="EO1035" s="15"/>
      <c r="EP1035" s="15"/>
      <c r="EQ1035" s="15"/>
      <c r="ER1035" s="15"/>
      <c r="ES1035" s="15"/>
      <c r="ET1035" s="15"/>
      <c r="EU1035" s="15"/>
      <c r="EV1035" s="15"/>
      <c r="EW1035" s="15"/>
      <c r="EX1035" s="15"/>
      <c r="EY1035" s="15"/>
      <c r="EZ1035" s="15"/>
      <c r="FA1035" s="15"/>
      <c r="FB1035" s="15"/>
      <c r="FC1035" s="16" t="s">
        <v>197</v>
      </c>
      <c r="FD1035" s="17" t="s">
        <v>198</v>
      </c>
      <c r="FE1035" s="18">
        <v>45722.36712962963</v>
      </c>
      <c r="FF1035" s="19"/>
      <c r="FG1035" s="19"/>
      <c r="FH1035" s="21" t="s">
        <v>197</v>
      </c>
      <c r="FI1035" s="17" t="s">
        <v>214</v>
      </c>
      <c r="FJ1035" s="18">
        <v>45722.36712962963</v>
      </c>
      <c r="FK1035" s="14" t="s">
        <v>20289</v>
      </c>
      <c r="FL1035" s="19"/>
      <c r="FM1035" s="19"/>
      <c r="FN1035" s="19"/>
      <c r="FO1035" s="19"/>
      <c r="FP1035" s="19" t="str">
        <f t="shared" si="1"/>
        <v/>
      </c>
      <c r="FQ1035" s="14" t="s">
        <v>215</v>
      </c>
      <c r="FR1035" s="14" t="s">
        <v>20290</v>
      </c>
    </row>
    <row r="1036" ht="15.75" customHeight="1">
      <c r="A1036" s="12" t="s">
        <v>217</v>
      </c>
      <c r="B1036" s="12" t="s">
        <v>8452</v>
      </c>
      <c r="C1036" s="12" t="s">
        <v>219</v>
      </c>
      <c r="D1036" s="22" t="s">
        <v>20291</v>
      </c>
      <c r="E1036" s="22" t="s">
        <v>20292</v>
      </c>
      <c r="F1036" s="13" t="s">
        <v>178</v>
      </c>
      <c r="G1036" s="14" t="s">
        <v>179</v>
      </c>
      <c r="H1036" s="14" t="s">
        <v>20293</v>
      </c>
      <c r="I1036" s="14" t="s">
        <v>179</v>
      </c>
      <c r="J1036" s="14" t="s">
        <v>20294</v>
      </c>
      <c r="K1036" s="14" t="s">
        <v>179</v>
      </c>
      <c r="L1036" s="14" t="s">
        <v>20295</v>
      </c>
      <c r="M1036" s="14" t="s">
        <v>179</v>
      </c>
      <c r="N1036" s="14" t="s">
        <v>20296</v>
      </c>
      <c r="O1036" s="14" t="s">
        <v>179</v>
      </c>
      <c r="P1036" s="14" t="s">
        <v>20297</v>
      </c>
      <c r="Q1036" s="14" t="s">
        <v>179</v>
      </c>
      <c r="R1036" s="14" t="s">
        <v>20298</v>
      </c>
      <c r="S1036" s="14" t="s">
        <v>179</v>
      </c>
      <c r="T1036" s="14" t="s">
        <v>20299</v>
      </c>
      <c r="U1036" s="14" t="s">
        <v>179</v>
      </c>
      <c r="V1036" s="14" t="s">
        <v>20300</v>
      </c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/>
      <c r="BB1036" s="15"/>
      <c r="BC1036" s="15"/>
      <c r="BD1036" s="15"/>
      <c r="BE1036" s="15"/>
      <c r="BF1036" s="15"/>
      <c r="BG1036" s="15"/>
      <c r="BH1036" s="15"/>
      <c r="BI1036" s="15"/>
      <c r="BJ1036" s="15"/>
      <c r="BK1036" s="15"/>
      <c r="BL1036" s="15"/>
      <c r="BM1036" s="15"/>
      <c r="BN1036" s="15"/>
      <c r="BO1036" s="16" t="s">
        <v>197</v>
      </c>
      <c r="BP1036" s="17" t="s">
        <v>228</v>
      </c>
      <c r="BQ1036" s="23"/>
      <c r="BR1036" s="17" t="s">
        <v>198</v>
      </c>
      <c r="BS1036" s="18">
        <v>45686.42680555556</v>
      </c>
      <c r="BT1036" s="17" t="s">
        <v>198</v>
      </c>
      <c r="BU1036" s="18">
        <v>45686.42680555556</v>
      </c>
      <c r="BV1036" s="13" t="s">
        <v>199</v>
      </c>
      <c r="BW1036" s="14" t="s">
        <v>179</v>
      </c>
      <c r="BX1036" s="14" t="s">
        <v>20301</v>
      </c>
      <c r="BY1036" s="14" t="s">
        <v>179</v>
      </c>
      <c r="BZ1036" s="14" t="s">
        <v>20302</v>
      </c>
      <c r="CA1036" s="15"/>
      <c r="CB1036" s="15"/>
      <c r="CC1036" s="15"/>
      <c r="CD1036" s="15"/>
      <c r="CE1036" s="15"/>
      <c r="CF1036" s="15"/>
      <c r="CG1036" s="19"/>
      <c r="CH1036" s="15"/>
      <c r="CI1036" s="19"/>
      <c r="CJ1036" s="15"/>
      <c r="CK1036" s="19"/>
      <c r="CL1036" s="15"/>
      <c r="CM1036" s="19"/>
      <c r="CN1036" s="15"/>
      <c r="CO1036" s="19"/>
      <c r="CP1036" s="15"/>
      <c r="CQ1036" s="15"/>
      <c r="CR1036" s="15"/>
      <c r="CS1036" s="19"/>
      <c r="CT1036" s="15"/>
      <c r="CU1036" s="19"/>
      <c r="CV1036" s="15"/>
      <c r="CW1036" s="19"/>
      <c r="CX1036" s="15"/>
      <c r="CY1036" s="19"/>
      <c r="CZ1036" s="15"/>
      <c r="DA1036" s="16" t="s">
        <v>197</v>
      </c>
      <c r="DB1036" s="17" t="s">
        <v>228</v>
      </c>
      <c r="DC1036" s="16"/>
      <c r="DD1036" s="17" t="s">
        <v>198</v>
      </c>
      <c r="DE1036" s="18">
        <v>45692.54677083333</v>
      </c>
      <c r="DF1036" s="17" t="s">
        <v>198</v>
      </c>
      <c r="DG1036" s="18">
        <v>45692.54677083333</v>
      </c>
      <c r="DH1036" s="13" t="s">
        <v>205</v>
      </c>
      <c r="DI1036" s="14" t="s">
        <v>179</v>
      </c>
      <c r="DJ1036" s="14" t="s">
        <v>20303</v>
      </c>
      <c r="DK1036" s="15"/>
      <c r="DL1036" s="15"/>
      <c r="DM1036" s="15"/>
      <c r="DN1036" s="15"/>
      <c r="DO1036" s="15"/>
      <c r="DP1036" s="15"/>
      <c r="DQ1036" s="15"/>
      <c r="DR1036" s="15"/>
      <c r="DS1036" s="15"/>
      <c r="DT1036" s="15"/>
      <c r="DU1036" s="15"/>
      <c r="DV1036" s="15"/>
      <c r="DW1036" s="15"/>
      <c r="DX1036" s="15"/>
      <c r="DY1036" s="15"/>
      <c r="DZ1036" s="15"/>
      <c r="EA1036" s="15"/>
      <c r="EB1036" s="15"/>
      <c r="EC1036" s="16" t="s">
        <v>197</v>
      </c>
      <c r="ED1036" s="17" t="s">
        <v>198</v>
      </c>
      <c r="EE1036" s="18">
        <v>45708.52479166666</v>
      </c>
      <c r="EF1036" s="13" t="s">
        <v>209</v>
      </c>
      <c r="EG1036" s="14" t="s">
        <v>179</v>
      </c>
      <c r="EH1036" s="14" t="s">
        <v>20304</v>
      </c>
      <c r="EI1036" s="15"/>
      <c r="EJ1036" s="15"/>
      <c r="EK1036" s="15"/>
      <c r="EL1036" s="15"/>
      <c r="EM1036" s="15"/>
      <c r="EN1036" s="15"/>
      <c r="EO1036" s="15"/>
      <c r="EP1036" s="15"/>
      <c r="EQ1036" s="15"/>
      <c r="ER1036" s="15"/>
      <c r="ES1036" s="15"/>
      <c r="ET1036" s="15"/>
      <c r="EU1036" s="15"/>
      <c r="EV1036" s="15"/>
      <c r="EW1036" s="15"/>
      <c r="EX1036" s="15"/>
      <c r="EY1036" s="15"/>
      <c r="EZ1036" s="15"/>
      <c r="FA1036" s="15"/>
      <c r="FB1036" s="15"/>
      <c r="FC1036" s="16" t="s">
        <v>197</v>
      </c>
      <c r="FD1036" s="17" t="s">
        <v>198</v>
      </c>
      <c r="FE1036" s="18">
        <v>45722.366261574076</v>
      </c>
      <c r="FF1036" s="19"/>
      <c r="FG1036" s="19"/>
      <c r="FH1036" s="21" t="s">
        <v>197</v>
      </c>
      <c r="FI1036" s="17" t="s">
        <v>214</v>
      </c>
      <c r="FJ1036" s="18">
        <v>45722.366261574076</v>
      </c>
      <c r="FK1036" s="14" t="s">
        <v>20304</v>
      </c>
      <c r="FL1036" s="19"/>
      <c r="FM1036" s="19"/>
      <c r="FN1036" s="19"/>
      <c r="FO1036" s="19"/>
      <c r="FP1036" s="19" t="str">
        <f t="shared" si="1"/>
        <v/>
      </c>
      <c r="FQ1036" s="14" t="s">
        <v>215</v>
      </c>
      <c r="FR1036" s="14" t="s">
        <v>20305</v>
      </c>
    </row>
    <row r="1037" ht="15.75" customHeight="1">
      <c r="A1037" s="12" t="s">
        <v>217</v>
      </c>
      <c r="B1037" s="12" t="s">
        <v>20220</v>
      </c>
      <c r="C1037" s="12" t="s">
        <v>219</v>
      </c>
      <c r="D1037" s="22" t="s">
        <v>20306</v>
      </c>
      <c r="E1037" s="22" t="s">
        <v>20307</v>
      </c>
      <c r="F1037" s="13" t="s">
        <v>178</v>
      </c>
      <c r="G1037" s="14" t="s">
        <v>179</v>
      </c>
      <c r="H1037" s="14" t="s">
        <v>20308</v>
      </c>
      <c r="I1037" s="14" t="s">
        <v>179</v>
      </c>
      <c r="J1037" s="14" t="s">
        <v>20308</v>
      </c>
      <c r="K1037" s="14" t="s">
        <v>179</v>
      </c>
      <c r="L1037" s="14" t="s">
        <v>20309</v>
      </c>
      <c r="M1037" s="14" t="s">
        <v>179</v>
      </c>
      <c r="N1037" s="14" t="s">
        <v>20310</v>
      </c>
      <c r="O1037" s="14" t="s">
        <v>179</v>
      </c>
      <c r="P1037" s="14" t="s">
        <v>20311</v>
      </c>
      <c r="Q1037" s="14" t="s">
        <v>179</v>
      </c>
      <c r="R1037" s="14" t="s">
        <v>20312</v>
      </c>
      <c r="S1037" s="14" t="s">
        <v>179</v>
      </c>
      <c r="T1037" s="14" t="s">
        <v>20313</v>
      </c>
      <c r="U1037" s="14" t="s">
        <v>179</v>
      </c>
      <c r="V1037" s="14" t="s">
        <v>20314</v>
      </c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  <c r="BH1037" s="15"/>
      <c r="BI1037" s="15"/>
      <c r="BJ1037" s="15"/>
      <c r="BK1037" s="15"/>
      <c r="BL1037" s="15"/>
      <c r="BM1037" s="15"/>
      <c r="BN1037" s="15"/>
      <c r="BO1037" s="16" t="s">
        <v>197</v>
      </c>
      <c r="BP1037" s="17" t="s">
        <v>228</v>
      </c>
      <c r="BQ1037" s="23"/>
      <c r="BR1037" s="17" t="s">
        <v>198</v>
      </c>
      <c r="BS1037" s="18">
        <v>45686.43546296296</v>
      </c>
      <c r="BT1037" s="17" t="s">
        <v>198</v>
      </c>
      <c r="BU1037" s="18">
        <v>45686.43546296296</v>
      </c>
      <c r="BV1037" s="13" t="s">
        <v>199</v>
      </c>
      <c r="BW1037" s="14" t="s">
        <v>179</v>
      </c>
      <c r="BX1037" s="14" t="s">
        <v>20315</v>
      </c>
      <c r="BY1037" s="14" t="s">
        <v>179</v>
      </c>
      <c r="BZ1037" s="14" t="s">
        <v>20316</v>
      </c>
      <c r="CA1037" s="15"/>
      <c r="CB1037" s="15"/>
      <c r="CC1037" s="15"/>
      <c r="CD1037" s="15"/>
      <c r="CE1037" s="15"/>
      <c r="CF1037" s="15"/>
      <c r="CG1037" s="19"/>
      <c r="CH1037" s="15"/>
      <c r="CI1037" s="19"/>
      <c r="CJ1037" s="15"/>
      <c r="CK1037" s="19"/>
      <c r="CL1037" s="15"/>
      <c r="CM1037" s="19"/>
      <c r="CN1037" s="15"/>
      <c r="CO1037" s="19"/>
      <c r="CP1037" s="15"/>
      <c r="CQ1037" s="15"/>
      <c r="CR1037" s="15"/>
      <c r="CS1037" s="19"/>
      <c r="CT1037" s="15"/>
      <c r="CU1037" s="19"/>
      <c r="CV1037" s="15"/>
      <c r="CW1037" s="19"/>
      <c r="CX1037" s="15"/>
      <c r="CY1037" s="19"/>
      <c r="CZ1037" s="15"/>
      <c r="DA1037" s="16" t="s">
        <v>197</v>
      </c>
      <c r="DB1037" s="17" t="s">
        <v>228</v>
      </c>
      <c r="DC1037" s="16"/>
      <c r="DD1037" s="17" t="s">
        <v>198</v>
      </c>
      <c r="DE1037" s="18">
        <v>45692.55002314815</v>
      </c>
      <c r="DF1037" s="17" t="s">
        <v>198</v>
      </c>
      <c r="DG1037" s="18">
        <v>45692.55002314815</v>
      </c>
      <c r="DH1037" s="13" t="s">
        <v>205</v>
      </c>
      <c r="DI1037" s="14" t="s">
        <v>179</v>
      </c>
      <c r="DJ1037" s="14" t="s">
        <v>20317</v>
      </c>
      <c r="DK1037" s="15"/>
      <c r="DL1037" s="15"/>
      <c r="DM1037" s="15"/>
      <c r="DN1037" s="15"/>
      <c r="DO1037" s="15"/>
      <c r="DP1037" s="15"/>
      <c r="DQ1037" s="15"/>
      <c r="DR1037" s="15"/>
      <c r="DS1037" s="15"/>
      <c r="DT1037" s="15"/>
      <c r="DU1037" s="15"/>
      <c r="DV1037" s="15"/>
      <c r="DW1037" s="15"/>
      <c r="DX1037" s="15"/>
      <c r="DY1037" s="15"/>
      <c r="DZ1037" s="15"/>
      <c r="EA1037" s="15"/>
      <c r="EB1037" s="15"/>
      <c r="EC1037" s="16" t="s">
        <v>197</v>
      </c>
      <c r="ED1037" s="17" t="s">
        <v>198</v>
      </c>
      <c r="EE1037" s="18">
        <v>45715.53839120371</v>
      </c>
      <c r="EF1037" s="13" t="s">
        <v>209</v>
      </c>
      <c r="EG1037" s="14" t="s">
        <v>179</v>
      </c>
      <c r="EH1037" s="14" t="s">
        <v>20318</v>
      </c>
      <c r="EI1037" s="15"/>
      <c r="EJ1037" s="15"/>
      <c r="EK1037" s="15"/>
      <c r="EL1037" s="15"/>
      <c r="EM1037" s="15"/>
      <c r="EN1037" s="15"/>
      <c r="EO1037" s="15"/>
      <c r="EP1037" s="15"/>
      <c r="EQ1037" s="15"/>
      <c r="ER1037" s="15"/>
      <c r="ES1037" s="15"/>
      <c r="ET1037" s="15"/>
      <c r="EU1037" s="15"/>
      <c r="EV1037" s="15"/>
      <c r="EW1037" s="15"/>
      <c r="EX1037" s="15"/>
      <c r="EY1037" s="15"/>
      <c r="EZ1037" s="15"/>
      <c r="FA1037" s="15"/>
      <c r="FB1037" s="15"/>
      <c r="FC1037" s="16" t="s">
        <v>197</v>
      </c>
      <c r="FD1037" s="17" t="s">
        <v>198</v>
      </c>
      <c r="FE1037" s="18">
        <v>45722.3671875</v>
      </c>
      <c r="FF1037" s="19"/>
      <c r="FG1037" s="19"/>
      <c r="FH1037" s="21" t="s">
        <v>197</v>
      </c>
      <c r="FI1037" s="17" t="s">
        <v>214</v>
      </c>
      <c r="FJ1037" s="18">
        <v>45722.3671875</v>
      </c>
      <c r="FK1037" s="14" t="s">
        <v>20318</v>
      </c>
      <c r="FL1037" s="19"/>
      <c r="FM1037" s="19"/>
      <c r="FN1037" s="19"/>
      <c r="FO1037" s="19"/>
      <c r="FP1037" s="19" t="str">
        <f t="shared" si="1"/>
        <v/>
      </c>
      <c r="FQ1037" s="14" t="s">
        <v>215</v>
      </c>
      <c r="FR1037" s="14" t="s">
        <v>20319</v>
      </c>
    </row>
    <row r="1038" ht="15.75" customHeight="1">
      <c r="A1038" s="12" t="s">
        <v>217</v>
      </c>
      <c r="B1038" s="12" t="s">
        <v>20220</v>
      </c>
      <c r="C1038" s="12" t="s">
        <v>219</v>
      </c>
      <c r="D1038" s="22" t="s">
        <v>20320</v>
      </c>
      <c r="E1038" s="22" t="s">
        <v>20279</v>
      </c>
      <c r="F1038" s="13" t="s">
        <v>178</v>
      </c>
      <c r="G1038" s="14" t="s">
        <v>179</v>
      </c>
      <c r="H1038" s="14" t="s">
        <v>20321</v>
      </c>
      <c r="I1038" s="14" t="s">
        <v>179</v>
      </c>
      <c r="J1038" s="14" t="s">
        <v>20322</v>
      </c>
      <c r="K1038" s="14" t="s">
        <v>179</v>
      </c>
      <c r="L1038" s="14" t="s">
        <v>20323</v>
      </c>
      <c r="M1038" s="14" t="s">
        <v>179</v>
      </c>
      <c r="N1038" s="14" t="s">
        <v>20324</v>
      </c>
      <c r="O1038" s="14" t="s">
        <v>179</v>
      </c>
      <c r="P1038" s="14" t="s">
        <v>20325</v>
      </c>
      <c r="Q1038" s="14" t="s">
        <v>179</v>
      </c>
      <c r="R1038" s="14" t="s">
        <v>20326</v>
      </c>
      <c r="S1038" s="14" t="s">
        <v>179</v>
      </c>
      <c r="T1038" s="14" t="s">
        <v>20327</v>
      </c>
      <c r="U1038" s="14" t="s">
        <v>179</v>
      </c>
      <c r="V1038" s="14" t="s">
        <v>20328</v>
      </c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/>
      <c r="BB1038" s="15"/>
      <c r="BC1038" s="15"/>
      <c r="BD1038" s="15"/>
      <c r="BE1038" s="15"/>
      <c r="BF1038" s="15"/>
      <c r="BG1038" s="15"/>
      <c r="BH1038" s="15"/>
      <c r="BI1038" s="15"/>
      <c r="BJ1038" s="15"/>
      <c r="BK1038" s="15"/>
      <c r="BL1038" s="15"/>
      <c r="BM1038" s="15"/>
      <c r="BN1038" s="15"/>
      <c r="BO1038" s="16" t="s">
        <v>197</v>
      </c>
      <c r="BP1038" s="17" t="s">
        <v>228</v>
      </c>
      <c r="BQ1038" s="23"/>
      <c r="BR1038" s="17" t="s">
        <v>198</v>
      </c>
      <c r="BS1038" s="18">
        <v>45686.43430555556</v>
      </c>
      <c r="BT1038" s="17" t="s">
        <v>198</v>
      </c>
      <c r="BU1038" s="18">
        <v>45686.43430555556</v>
      </c>
      <c r="BV1038" s="13" t="s">
        <v>199</v>
      </c>
      <c r="BW1038" s="14" t="s">
        <v>179</v>
      </c>
      <c r="BX1038" s="14" t="s">
        <v>20329</v>
      </c>
      <c r="BY1038" s="14" t="s">
        <v>179</v>
      </c>
      <c r="BZ1038" s="14" t="s">
        <v>20329</v>
      </c>
      <c r="CA1038" s="15"/>
      <c r="CB1038" s="15"/>
      <c r="CC1038" s="15"/>
      <c r="CD1038" s="15"/>
      <c r="CE1038" s="15"/>
      <c r="CF1038" s="15"/>
      <c r="CG1038" s="19"/>
      <c r="CH1038" s="15"/>
      <c r="CI1038" s="19"/>
      <c r="CJ1038" s="15"/>
      <c r="CK1038" s="19"/>
      <c r="CL1038" s="15"/>
      <c r="CM1038" s="19"/>
      <c r="CN1038" s="15"/>
      <c r="CO1038" s="19"/>
      <c r="CP1038" s="15"/>
      <c r="CQ1038" s="15"/>
      <c r="CR1038" s="15"/>
      <c r="CS1038" s="19"/>
      <c r="CT1038" s="15"/>
      <c r="CU1038" s="19"/>
      <c r="CV1038" s="15"/>
      <c r="CW1038" s="19"/>
      <c r="CX1038" s="15"/>
      <c r="CY1038" s="19"/>
      <c r="CZ1038" s="15"/>
      <c r="DA1038" s="16" t="s">
        <v>197</v>
      </c>
      <c r="DB1038" s="17" t="s">
        <v>228</v>
      </c>
      <c r="DC1038" s="16"/>
      <c r="DD1038" s="17" t="s">
        <v>198</v>
      </c>
      <c r="DE1038" s="18">
        <v>45692.54953703703</v>
      </c>
      <c r="DF1038" s="17" t="s">
        <v>198</v>
      </c>
      <c r="DG1038" s="18">
        <v>45692.54953703703</v>
      </c>
      <c r="DH1038" s="13" t="s">
        <v>205</v>
      </c>
      <c r="DI1038" s="14" t="s">
        <v>179</v>
      </c>
      <c r="DJ1038" s="14" t="s">
        <v>20330</v>
      </c>
      <c r="DK1038" s="15"/>
      <c r="DL1038" s="15"/>
      <c r="DM1038" s="15"/>
      <c r="DN1038" s="15"/>
      <c r="DO1038" s="15"/>
      <c r="DP1038" s="15"/>
      <c r="DQ1038" s="15"/>
      <c r="DR1038" s="15"/>
      <c r="DS1038" s="15"/>
      <c r="DT1038" s="15"/>
      <c r="DU1038" s="15"/>
      <c r="DV1038" s="15"/>
      <c r="DW1038" s="15"/>
      <c r="DX1038" s="15"/>
      <c r="DY1038" s="15"/>
      <c r="DZ1038" s="15"/>
      <c r="EA1038" s="15"/>
      <c r="EB1038" s="15"/>
      <c r="EC1038" s="16" t="s">
        <v>197</v>
      </c>
      <c r="ED1038" s="17" t="s">
        <v>198</v>
      </c>
      <c r="EE1038" s="18">
        <v>45699.48923611111</v>
      </c>
      <c r="EF1038" s="13" t="s">
        <v>209</v>
      </c>
      <c r="EG1038" s="14" t="s">
        <v>179</v>
      </c>
      <c r="EH1038" s="14" t="s">
        <v>20331</v>
      </c>
      <c r="EI1038" s="15"/>
      <c r="EJ1038" s="15"/>
      <c r="EK1038" s="15"/>
      <c r="EL1038" s="15"/>
      <c r="EM1038" s="15"/>
      <c r="EN1038" s="15"/>
      <c r="EO1038" s="15"/>
      <c r="EP1038" s="15"/>
      <c r="EQ1038" s="15"/>
      <c r="ER1038" s="15"/>
      <c r="ES1038" s="15"/>
      <c r="ET1038" s="15"/>
      <c r="EU1038" s="15"/>
      <c r="EV1038" s="15"/>
      <c r="EW1038" s="15"/>
      <c r="EX1038" s="15"/>
      <c r="EY1038" s="15"/>
      <c r="EZ1038" s="15"/>
      <c r="FA1038" s="15"/>
      <c r="FB1038" s="15"/>
      <c r="FC1038" s="16" t="s">
        <v>197</v>
      </c>
      <c r="FD1038" s="17" t="s">
        <v>198</v>
      </c>
      <c r="FE1038" s="18">
        <v>45722.36724537037</v>
      </c>
      <c r="FF1038" s="19"/>
      <c r="FG1038" s="19"/>
      <c r="FH1038" s="21" t="s">
        <v>197</v>
      </c>
      <c r="FI1038" s="17" t="s">
        <v>214</v>
      </c>
      <c r="FJ1038" s="18">
        <v>45722.36724537037</v>
      </c>
      <c r="FK1038" s="14" t="s">
        <v>20331</v>
      </c>
      <c r="FL1038" s="19"/>
      <c r="FM1038" s="19"/>
      <c r="FN1038" s="19"/>
      <c r="FO1038" s="19"/>
      <c r="FP1038" s="19" t="str">
        <f t="shared" si="1"/>
        <v/>
      </c>
      <c r="FQ1038" s="14" t="s">
        <v>215</v>
      </c>
      <c r="FR1038" s="14" t="s">
        <v>20332</v>
      </c>
    </row>
    <row r="1039" ht="15.75" customHeight="1">
      <c r="A1039" s="12" t="s">
        <v>217</v>
      </c>
      <c r="B1039" s="12" t="s">
        <v>11424</v>
      </c>
      <c r="C1039" s="12" t="s">
        <v>219</v>
      </c>
      <c r="D1039" s="22" t="s">
        <v>20333</v>
      </c>
      <c r="E1039" s="22" t="s">
        <v>20334</v>
      </c>
      <c r="F1039" s="13" t="s">
        <v>178</v>
      </c>
      <c r="G1039" s="14" t="s">
        <v>179</v>
      </c>
      <c r="H1039" s="14" t="s">
        <v>20335</v>
      </c>
      <c r="I1039" s="14" t="s">
        <v>179</v>
      </c>
      <c r="J1039" s="14" t="s">
        <v>20336</v>
      </c>
      <c r="K1039" s="14" t="s">
        <v>179</v>
      </c>
      <c r="L1039" s="14" t="s">
        <v>20337</v>
      </c>
      <c r="M1039" s="14" t="s">
        <v>179</v>
      </c>
      <c r="N1039" s="14" t="s">
        <v>20338</v>
      </c>
      <c r="O1039" s="14" t="s">
        <v>179</v>
      </c>
      <c r="P1039" s="14" t="s">
        <v>20339</v>
      </c>
      <c r="Q1039" s="14" t="s">
        <v>179</v>
      </c>
      <c r="R1039" s="14" t="s">
        <v>20340</v>
      </c>
      <c r="S1039" s="14" t="s">
        <v>179</v>
      </c>
      <c r="T1039" s="14" t="s">
        <v>20341</v>
      </c>
      <c r="U1039" s="14" t="s">
        <v>179</v>
      </c>
      <c r="V1039" s="14" t="s">
        <v>20342</v>
      </c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  <c r="BH1039" s="15"/>
      <c r="BI1039" s="15"/>
      <c r="BJ1039" s="15"/>
      <c r="BK1039" s="15"/>
      <c r="BL1039" s="15"/>
      <c r="BM1039" s="15"/>
      <c r="BN1039" s="15"/>
      <c r="BO1039" s="16" t="s">
        <v>197</v>
      </c>
      <c r="BP1039" s="17" t="s">
        <v>228</v>
      </c>
      <c r="BQ1039" s="23"/>
      <c r="BR1039" s="17" t="s">
        <v>198</v>
      </c>
      <c r="BS1039" s="18">
        <v>45692.59071759259</v>
      </c>
      <c r="BT1039" s="17" t="s">
        <v>198</v>
      </c>
      <c r="BU1039" s="18">
        <v>45692.59071759259</v>
      </c>
      <c r="BV1039" s="13" t="s">
        <v>199</v>
      </c>
      <c r="BW1039" s="14" t="s">
        <v>179</v>
      </c>
      <c r="BX1039" s="14" t="s">
        <v>20343</v>
      </c>
      <c r="BY1039" s="14" t="s">
        <v>179</v>
      </c>
      <c r="BZ1039" s="14" t="s">
        <v>20344</v>
      </c>
      <c r="CA1039" s="15"/>
      <c r="CB1039" s="15"/>
      <c r="CC1039" s="15"/>
      <c r="CD1039" s="15"/>
      <c r="CE1039" s="15"/>
      <c r="CF1039" s="15"/>
      <c r="CG1039" s="19"/>
      <c r="CH1039" s="15"/>
      <c r="CI1039" s="19"/>
      <c r="CJ1039" s="15"/>
      <c r="CK1039" s="19"/>
      <c r="CL1039" s="15"/>
      <c r="CM1039" s="19"/>
      <c r="CN1039" s="15"/>
      <c r="CO1039" s="19"/>
      <c r="CP1039" s="15"/>
      <c r="CQ1039" s="15"/>
      <c r="CR1039" s="15"/>
      <c r="CS1039" s="19"/>
      <c r="CT1039" s="15"/>
      <c r="CU1039" s="19"/>
      <c r="CV1039" s="15"/>
      <c r="CW1039" s="19"/>
      <c r="CX1039" s="15"/>
      <c r="CY1039" s="19"/>
      <c r="CZ1039" s="15"/>
      <c r="DA1039" s="16" t="s">
        <v>197</v>
      </c>
      <c r="DB1039" s="17" t="s">
        <v>228</v>
      </c>
      <c r="DC1039" s="16"/>
      <c r="DD1039" s="17" t="s">
        <v>198</v>
      </c>
      <c r="DE1039" s="18">
        <v>45692.59081018518</v>
      </c>
      <c r="DF1039" s="17" t="s">
        <v>198</v>
      </c>
      <c r="DG1039" s="18">
        <v>45692.59081018518</v>
      </c>
      <c r="DH1039" s="13" t="s">
        <v>205</v>
      </c>
      <c r="DI1039" s="14" t="s">
        <v>179</v>
      </c>
      <c r="DJ1039" s="14" t="s">
        <v>20345</v>
      </c>
      <c r="DK1039" s="15"/>
      <c r="DL1039" s="15"/>
      <c r="DM1039" s="15"/>
      <c r="DN1039" s="15"/>
      <c r="DO1039" s="15"/>
      <c r="DP1039" s="15"/>
      <c r="DQ1039" s="15"/>
      <c r="DR1039" s="15"/>
      <c r="DS1039" s="15"/>
      <c r="DT1039" s="15"/>
      <c r="DU1039" s="15"/>
      <c r="DV1039" s="15"/>
      <c r="DW1039" s="15"/>
      <c r="DX1039" s="15"/>
      <c r="DY1039" s="15"/>
      <c r="DZ1039" s="15"/>
      <c r="EA1039" s="15"/>
      <c r="EB1039" s="15"/>
      <c r="EC1039" s="16" t="s">
        <v>197</v>
      </c>
      <c r="ED1039" s="17" t="s">
        <v>198</v>
      </c>
      <c r="EE1039" s="18">
        <v>45708.523460648146</v>
      </c>
      <c r="EF1039" s="13" t="s">
        <v>209</v>
      </c>
      <c r="EG1039" s="14" t="s">
        <v>179</v>
      </c>
      <c r="EH1039" s="14" t="s">
        <v>20346</v>
      </c>
      <c r="EI1039" s="15"/>
      <c r="EJ1039" s="15"/>
      <c r="EK1039" s="15"/>
      <c r="EL1039" s="15"/>
      <c r="EM1039" s="15"/>
      <c r="EN1039" s="15"/>
      <c r="EO1039" s="15"/>
      <c r="EP1039" s="15"/>
      <c r="EQ1039" s="15"/>
      <c r="ER1039" s="15"/>
      <c r="ES1039" s="15"/>
      <c r="ET1039" s="15"/>
      <c r="EU1039" s="15"/>
      <c r="EV1039" s="15"/>
      <c r="EW1039" s="15"/>
      <c r="EX1039" s="15"/>
      <c r="EY1039" s="15"/>
      <c r="EZ1039" s="15"/>
      <c r="FA1039" s="15"/>
      <c r="FB1039" s="15"/>
      <c r="FC1039" s="16" t="s">
        <v>197</v>
      </c>
      <c r="FD1039" s="17" t="s">
        <v>198</v>
      </c>
      <c r="FE1039" s="18">
        <v>45723.34789351852</v>
      </c>
      <c r="FF1039" s="19"/>
      <c r="FG1039" s="19"/>
      <c r="FH1039" s="21" t="s">
        <v>197</v>
      </c>
      <c r="FI1039" s="17" t="s">
        <v>214</v>
      </c>
      <c r="FJ1039" s="18">
        <v>45723.34789351852</v>
      </c>
      <c r="FK1039" s="14" t="s">
        <v>20346</v>
      </c>
      <c r="FL1039" s="19"/>
      <c r="FM1039" s="19"/>
      <c r="FN1039" s="19"/>
      <c r="FO1039" s="19"/>
      <c r="FP1039" s="19" t="str">
        <f t="shared" si="1"/>
        <v/>
      </c>
      <c r="FQ1039" s="14" t="s">
        <v>215</v>
      </c>
      <c r="FR1039" s="14" t="s">
        <v>20347</v>
      </c>
    </row>
    <row r="1040" ht="15.75" customHeight="1">
      <c r="A1040" s="12" t="s">
        <v>217</v>
      </c>
      <c r="B1040" s="12" t="s">
        <v>11424</v>
      </c>
      <c r="C1040" s="12" t="s">
        <v>219</v>
      </c>
      <c r="D1040" s="22" t="s">
        <v>20348</v>
      </c>
      <c r="E1040" s="22" t="s">
        <v>20349</v>
      </c>
      <c r="F1040" s="13" t="s">
        <v>178</v>
      </c>
      <c r="G1040" s="14" t="s">
        <v>179</v>
      </c>
      <c r="H1040" s="14" t="s">
        <v>20350</v>
      </c>
      <c r="I1040" s="14" t="s">
        <v>179</v>
      </c>
      <c r="J1040" s="14" t="s">
        <v>20351</v>
      </c>
      <c r="K1040" s="14" t="s">
        <v>179</v>
      </c>
      <c r="L1040" s="14" t="s">
        <v>20352</v>
      </c>
      <c r="M1040" s="14" t="s">
        <v>179</v>
      </c>
      <c r="N1040" s="14" t="s">
        <v>20353</v>
      </c>
      <c r="O1040" s="14" t="s">
        <v>179</v>
      </c>
      <c r="P1040" s="14" t="s">
        <v>20354</v>
      </c>
      <c r="Q1040" s="14" t="s">
        <v>179</v>
      </c>
      <c r="R1040" s="14" t="s">
        <v>20355</v>
      </c>
      <c r="S1040" s="14" t="s">
        <v>179</v>
      </c>
      <c r="T1040" s="14" t="s">
        <v>20356</v>
      </c>
      <c r="U1040" s="14" t="s">
        <v>179</v>
      </c>
      <c r="V1040" s="14" t="s">
        <v>20357</v>
      </c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  <c r="BB1040" s="15"/>
      <c r="BC1040" s="15"/>
      <c r="BD1040" s="15"/>
      <c r="BE1040" s="15"/>
      <c r="BF1040" s="15"/>
      <c r="BG1040" s="15"/>
      <c r="BH1040" s="15"/>
      <c r="BI1040" s="15"/>
      <c r="BJ1040" s="15"/>
      <c r="BK1040" s="15"/>
      <c r="BL1040" s="15"/>
      <c r="BM1040" s="15"/>
      <c r="BN1040" s="15"/>
      <c r="BO1040" s="16" t="s">
        <v>197</v>
      </c>
      <c r="BP1040" s="17" t="s">
        <v>228</v>
      </c>
      <c r="BQ1040" s="23"/>
      <c r="BR1040" s="17" t="s">
        <v>198</v>
      </c>
      <c r="BS1040" s="18">
        <v>45686.55983796297</v>
      </c>
      <c r="BT1040" s="17" t="s">
        <v>198</v>
      </c>
      <c r="BU1040" s="18">
        <v>45686.55983796297</v>
      </c>
      <c r="BV1040" s="13" t="s">
        <v>199</v>
      </c>
      <c r="BW1040" s="14" t="s">
        <v>179</v>
      </c>
      <c r="BX1040" s="14" t="s">
        <v>20358</v>
      </c>
      <c r="BY1040" s="14" t="s">
        <v>179</v>
      </c>
      <c r="BZ1040" s="14" t="s">
        <v>20359</v>
      </c>
      <c r="CA1040" s="15"/>
      <c r="CB1040" s="15"/>
      <c r="CC1040" s="15"/>
      <c r="CD1040" s="15"/>
      <c r="CE1040" s="15"/>
      <c r="CF1040" s="15"/>
      <c r="CG1040" s="19"/>
      <c r="CH1040" s="15"/>
      <c r="CI1040" s="19"/>
      <c r="CJ1040" s="15"/>
      <c r="CK1040" s="19"/>
      <c r="CL1040" s="15"/>
      <c r="CM1040" s="19"/>
      <c r="CN1040" s="15"/>
      <c r="CO1040" s="19"/>
      <c r="CP1040" s="15"/>
      <c r="CQ1040" s="15"/>
      <c r="CR1040" s="15"/>
      <c r="CS1040" s="19"/>
      <c r="CT1040" s="15"/>
      <c r="CU1040" s="19"/>
      <c r="CV1040" s="15"/>
      <c r="CW1040" s="19"/>
      <c r="CX1040" s="15"/>
      <c r="CY1040" s="19"/>
      <c r="CZ1040" s="15"/>
      <c r="DA1040" s="16" t="s">
        <v>197</v>
      </c>
      <c r="DB1040" s="17" t="s">
        <v>228</v>
      </c>
      <c r="DC1040" s="16"/>
      <c r="DD1040" s="17" t="s">
        <v>198</v>
      </c>
      <c r="DE1040" s="18">
        <v>45705.359351851854</v>
      </c>
      <c r="DF1040" s="17" t="s">
        <v>198</v>
      </c>
      <c r="DG1040" s="18">
        <v>45705.359351851854</v>
      </c>
      <c r="DH1040" s="13" t="s">
        <v>205</v>
      </c>
      <c r="DI1040" s="14" t="s">
        <v>179</v>
      </c>
      <c r="DJ1040" s="14" t="s">
        <v>20360</v>
      </c>
      <c r="DK1040" s="15"/>
      <c r="DL1040" s="15"/>
      <c r="DM1040" s="15"/>
      <c r="DN1040" s="15"/>
      <c r="DO1040" s="15"/>
      <c r="DP1040" s="15"/>
      <c r="DQ1040" s="15"/>
      <c r="DR1040" s="15"/>
      <c r="DS1040" s="15"/>
      <c r="DT1040" s="15"/>
      <c r="DU1040" s="15"/>
      <c r="DV1040" s="15"/>
      <c r="DW1040" s="15"/>
      <c r="DX1040" s="15"/>
      <c r="DY1040" s="15"/>
      <c r="DZ1040" s="15"/>
      <c r="EA1040" s="15"/>
      <c r="EB1040" s="15"/>
      <c r="EC1040" s="16" t="s">
        <v>197</v>
      </c>
      <c r="ED1040" s="17" t="s">
        <v>198</v>
      </c>
      <c r="EE1040" s="18">
        <v>45708.52376157408</v>
      </c>
      <c r="EF1040" s="13" t="s">
        <v>209</v>
      </c>
      <c r="EG1040" s="14" t="s">
        <v>179</v>
      </c>
      <c r="EH1040" s="14" t="s">
        <v>20361</v>
      </c>
      <c r="EI1040" s="15"/>
      <c r="EJ1040" s="15"/>
      <c r="EK1040" s="15"/>
      <c r="EL1040" s="15"/>
      <c r="EM1040" s="15"/>
      <c r="EN1040" s="15"/>
      <c r="EO1040" s="15"/>
      <c r="EP1040" s="15"/>
      <c r="EQ1040" s="15"/>
      <c r="ER1040" s="15"/>
      <c r="ES1040" s="15"/>
      <c r="ET1040" s="15"/>
      <c r="EU1040" s="15"/>
      <c r="EV1040" s="15"/>
      <c r="EW1040" s="15"/>
      <c r="EX1040" s="15"/>
      <c r="EY1040" s="15"/>
      <c r="EZ1040" s="15"/>
      <c r="FA1040" s="15"/>
      <c r="FB1040" s="15"/>
      <c r="FC1040" s="16" t="s">
        <v>197</v>
      </c>
      <c r="FD1040" s="17" t="s">
        <v>198</v>
      </c>
      <c r="FE1040" s="18">
        <v>45723.34783564815</v>
      </c>
      <c r="FF1040" s="19"/>
      <c r="FG1040" s="19"/>
      <c r="FH1040" s="21" t="s">
        <v>197</v>
      </c>
      <c r="FI1040" s="17" t="s">
        <v>214</v>
      </c>
      <c r="FJ1040" s="18">
        <v>45723.34783564815</v>
      </c>
      <c r="FK1040" s="14" t="s">
        <v>20361</v>
      </c>
      <c r="FL1040" s="14" t="s">
        <v>20362</v>
      </c>
      <c r="FM1040" s="14" t="s">
        <v>20363</v>
      </c>
      <c r="FN1040" s="19"/>
      <c r="FO1040" s="19"/>
      <c r="FP1040" s="19" t="str">
        <f t="shared" si="1"/>
        <v>Base de Dados_Images/XV40050.Imagem do Equipamento-.180202.jpg</v>
      </c>
      <c r="FQ1040" s="19"/>
      <c r="FR1040" s="19"/>
    </row>
    <row r="1041" ht="15.75" customHeight="1">
      <c r="A1041" s="12" t="s">
        <v>217</v>
      </c>
      <c r="B1041" s="12" t="s">
        <v>11424</v>
      </c>
      <c r="C1041" s="12" t="s">
        <v>219</v>
      </c>
      <c r="D1041" s="22" t="s">
        <v>20364</v>
      </c>
      <c r="E1041" s="22" t="s">
        <v>20365</v>
      </c>
      <c r="F1041" s="13" t="s">
        <v>178</v>
      </c>
      <c r="G1041" s="14" t="s">
        <v>179</v>
      </c>
      <c r="H1041" s="14" t="s">
        <v>20366</v>
      </c>
      <c r="I1041" s="14" t="s">
        <v>179</v>
      </c>
      <c r="J1041" s="14" t="s">
        <v>20367</v>
      </c>
      <c r="K1041" s="14" t="s">
        <v>179</v>
      </c>
      <c r="L1041" s="14" t="s">
        <v>20368</v>
      </c>
      <c r="M1041" s="14" t="s">
        <v>179</v>
      </c>
      <c r="N1041" s="14" t="s">
        <v>20369</v>
      </c>
      <c r="O1041" s="14" t="s">
        <v>179</v>
      </c>
      <c r="P1041" s="14" t="s">
        <v>20370</v>
      </c>
      <c r="Q1041" s="14" t="s">
        <v>179</v>
      </c>
      <c r="R1041" s="14" t="s">
        <v>20371</v>
      </c>
      <c r="S1041" s="14" t="s">
        <v>179</v>
      </c>
      <c r="T1041" s="14" t="s">
        <v>20372</v>
      </c>
      <c r="U1041" s="14" t="s">
        <v>179</v>
      </c>
      <c r="V1041" s="14" t="s">
        <v>20373</v>
      </c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  <c r="BH1041" s="15"/>
      <c r="BI1041" s="15"/>
      <c r="BJ1041" s="15"/>
      <c r="BK1041" s="15"/>
      <c r="BL1041" s="15"/>
      <c r="BM1041" s="15"/>
      <c r="BN1041" s="15"/>
      <c r="BO1041" s="16" t="s">
        <v>197</v>
      </c>
      <c r="BP1041" s="17" t="s">
        <v>228</v>
      </c>
      <c r="BQ1041" s="23"/>
      <c r="BR1041" s="17" t="s">
        <v>198</v>
      </c>
      <c r="BS1041" s="18">
        <v>45686.55063657407</v>
      </c>
      <c r="BT1041" s="17" t="s">
        <v>198</v>
      </c>
      <c r="BU1041" s="18">
        <v>45686.55063657407</v>
      </c>
      <c r="BV1041" s="13" t="s">
        <v>199</v>
      </c>
      <c r="BW1041" s="14" t="s">
        <v>179</v>
      </c>
      <c r="BX1041" s="14" t="s">
        <v>20374</v>
      </c>
      <c r="BY1041" s="14" t="s">
        <v>179</v>
      </c>
      <c r="BZ1041" s="14" t="s">
        <v>20375</v>
      </c>
      <c r="CA1041" s="15"/>
      <c r="CB1041" s="15"/>
      <c r="CC1041" s="15"/>
      <c r="CD1041" s="15"/>
      <c r="CE1041" s="15"/>
      <c r="CF1041" s="15"/>
      <c r="CG1041" s="19"/>
      <c r="CH1041" s="15"/>
      <c r="CI1041" s="19"/>
      <c r="CJ1041" s="15"/>
      <c r="CK1041" s="19"/>
      <c r="CL1041" s="15"/>
      <c r="CM1041" s="19"/>
      <c r="CN1041" s="15"/>
      <c r="CO1041" s="19"/>
      <c r="CP1041" s="15"/>
      <c r="CQ1041" s="15"/>
      <c r="CR1041" s="15"/>
      <c r="CS1041" s="19"/>
      <c r="CT1041" s="15"/>
      <c r="CU1041" s="19"/>
      <c r="CV1041" s="15"/>
      <c r="CW1041" s="19"/>
      <c r="CX1041" s="15"/>
      <c r="CY1041" s="19"/>
      <c r="CZ1041" s="15"/>
      <c r="DA1041" s="16" t="s">
        <v>197</v>
      </c>
      <c r="DB1041" s="17" t="s">
        <v>228</v>
      </c>
      <c r="DC1041" s="16"/>
      <c r="DD1041" s="17" t="s">
        <v>198</v>
      </c>
      <c r="DE1041" s="18">
        <v>45701.5571875</v>
      </c>
      <c r="DF1041" s="17" t="s">
        <v>198</v>
      </c>
      <c r="DG1041" s="18">
        <v>45701.5571875</v>
      </c>
      <c r="DH1041" s="13" t="s">
        <v>205</v>
      </c>
      <c r="DI1041" s="14" t="s">
        <v>179</v>
      </c>
      <c r="DJ1041" s="14" t="s">
        <v>20376</v>
      </c>
      <c r="DK1041" s="15"/>
      <c r="DL1041" s="15"/>
      <c r="DM1041" s="15"/>
      <c r="DN1041" s="15"/>
      <c r="DO1041" s="15"/>
      <c r="DP1041" s="15"/>
      <c r="DQ1041" s="15"/>
      <c r="DR1041" s="15"/>
      <c r="DS1041" s="15"/>
      <c r="DT1041" s="15"/>
      <c r="DU1041" s="15"/>
      <c r="DV1041" s="15"/>
      <c r="DW1041" s="15"/>
      <c r="DX1041" s="15"/>
      <c r="DY1041" s="15"/>
      <c r="DZ1041" s="15"/>
      <c r="EA1041" s="15"/>
      <c r="EB1041" s="15"/>
      <c r="EC1041" s="16" t="s">
        <v>197</v>
      </c>
      <c r="ED1041" s="17" t="s">
        <v>198</v>
      </c>
      <c r="EE1041" s="18">
        <v>45701.55747685185</v>
      </c>
      <c r="EF1041" s="13" t="s">
        <v>209</v>
      </c>
      <c r="EG1041" s="14" t="s">
        <v>179</v>
      </c>
      <c r="EH1041" s="14" t="s">
        <v>20377</v>
      </c>
      <c r="EI1041" s="15"/>
      <c r="EJ1041" s="15"/>
      <c r="EK1041" s="15"/>
      <c r="EL1041" s="15"/>
      <c r="EM1041" s="15"/>
      <c r="EN1041" s="15"/>
      <c r="EO1041" s="15"/>
      <c r="EP1041" s="15"/>
      <c r="EQ1041" s="15"/>
      <c r="ER1041" s="15"/>
      <c r="ES1041" s="15"/>
      <c r="ET1041" s="15"/>
      <c r="EU1041" s="15"/>
      <c r="EV1041" s="15"/>
      <c r="EW1041" s="15"/>
      <c r="EX1041" s="15"/>
      <c r="EY1041" s="15"/>
      <c r="EZ1041" s="15"/>
      <c r="FA1041" s="15"/>
      <c r="FB1041" s="15"/>
      <c r="FC1041" s="16" t="s">
        <v>197</v>
      </c>
      <c r="FD1041" s="17" t="s">
        <v>198</v>
      </c>
      <c r="FE1041" s="18">
        <v>45723.34769675926</v>
      </c>
      <c r="FF1041" s="19"/>
      <c r="FG1041" s="19"/>
      <c r="FH1041" s="21" t="s">
        <v>197</v>
      </c>
      <c r="FI1041" s="17" t="s">
        <v>214</v>
      </c>
      <c r="FJ1041" s="18">
        <v>45723.34769675926</v>
      </c>
      <c r="FK1041" s="14" t="s">
        <v>20377</v>
      </c>
      <c r="FL1041" s="14" t="s">
        <v>20378</v>
      </c>
      <c r="FM1041" s="14" t="s">
        <v>20379</v>
      </c>
      <c r="FN1041" s="19"/>
      <c r="FO1041" s="19"/>
      <c r="FP1041" s="19" t="str">
        <f t="shared" si="1"/>
        <v>Base de Dados_Images/XV40051.Imagem do Equipamento-.151147.jpg</v>
      </c>
      <c r="FQ1041" s="19"/>
      <c r="FR1041" s="19"/>
    </row>
    <row r="1042" ht="15.75" customHeight="1">
      <c r="A1042" s="12" t="s">
        <v>217</v>
      </c>
      <c r="B1042" s="12" t="s">
        <v>11424</v>
      </c>
      <c r="C1042" s="12" t="s">
        <v>219</v>
      </c>
      <c r="D1042" s="22" t="s">
        <v>20380</v>
      </c>
      <c r="E1042" s="22" t="s">
        <v>20381</v>
      </c>
      <c r="F1042" s="13" t="s">
        <v>178</v>
      </c>
      <c r="G1042" s="14" t="s">
        <v>179</v>
      </c>
      <c r="H1042" s="14" t="s">
        <v>20382</v>
      </c>
      <c r="I1042" s="14" t="s">
        <v>179</v>
      </c>
      <c r="J1042" s="14" t="s">
        <v>20383</v>
      </c>
      <c r="K1042" s="14" t="s">
        <v>179</v>
      </c>
      <c r="L1042" s="14" t="s">
        <v>20384</v>
      </c>
      <c r="M1042" s="14" t="s">
        <v>179</v>
      </c>
      <c r="N1042" s="14" t="s">
        <v>20385</v>
      </c>
      <c r="O1042" s="14" t="s">
        <v>179</v>
      </c>
      <c r="P1042" s="14" t="s">
        <v>20386</v>
      </c>
      <c r="Q1042" s="14" t="s">
        <v>179</v>
      </c>
      <c r="R1042" s="14" t="s">
        <v>20387</v>
      </c>
      <c r="S1042" s="14" t="s">
        <v>179</v>
      </c>
      <c r="T1042" s="14" t="s">
        <v>20388</v>
      </c>
      <c r="U1042" s="14" t="s">
        <v>179</v>
      </c>
      <c r="V1042" s="14" t="s">
        <v>20389</v>
      </c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/>
      <c r="BB1042" s="15"/>
      <c r="BC1042" s="15"/>
      <c r="BD1042" s="15"/>
      <c r="BE1042" s="15"/>
      <c r="BF1042" s="15"/>
      <c r="BG1042" s="15"/>
      <c r="BH1042" s="15"/>
      <c r="BI1042" s="15"/>
      <c r="BJ1042" s="15"/>
      <c r="BK1042" s="15"/>
      <c r="BL1042" s="15"/>
      <c r="BM1042" s="15"/>
      <c r="BN1042" s="15"/>
      <c r="BO1042" s="16" t="s">
        <v>197</v>
      </c>
      <c r="BP1042" s="17" t="s">
        <v>228</v>
      </c>
      <c r="BQ1042" s="23"/>
      <c r="BR1042" s="17" t="s">
        <v>198</v>
      </c>
      <c r="BS1042" s="18">
        <v>45686.55092592593</v>
      </c>
      <c r="BT1042" s="17" t="s">
        <v>198</v>
      </c>
      <c r="BU1042" s="18">
        <v>45686.55092592593</v>
      </c>
      <c r="BV1042" s="13" t="s">
        <v>199</v>
      </c>
      <c r="BW1042" s="14" t="s">
        <v>179</v>
      </c>
      <c r="BX1042" s="14" t="s">
        <v>20390</v>
      </c>
      <c r="BY1042" s="14" t="s">
        <v>179</v>
      </c>
      <c r="BZ1042" s="14" t="s">
        <v>20391</v>
      </c>
      <c r="CA1042" s="15"/>
      <c r="CB1042" s="15"/>
      <c r="CC1042" s="15"/>
      <c r="CD1042" s="15"/>
      <c r="CE1042" s="15"/>
      <c r="CF1042" s="15"/>
      <c r="CG1042" s="19"/>
      <c r="CH1042" s="15"/>
      <c r="CI1042" s="19"/>
      <c r="CJ1042" s="15"/>
      <c r="CK1042" s="19"/>
      <c r="CL1042" s="15"/>
      <c r="CM1042" s="19"/>
      <c r="CN1042" s="15"/>
      <c r="CO1042" s="19"/>
      <c r="CP1042" s="15"/>
      <c r="CQ1042" s="15"/>
      <c r="CR1042" s="15"/>
      <c r="CS1042" s="19"/>
      <c r="CT1042" s="15"/>
      <c r="CU1042" s="19"/>
      <c r="CV1042" s="15"/>
      <c r="CW1042" s="19"/>
      <c r="CX1042" s="15"/>
      <c r="CY1042" s="19"/>
      <c r="CZ1042" s="15"/>
      <c r="DA1042" s="16" t="s">
        <v>197</v>
      </c>
      <c r="DB1042" s="17" t="s">
        <v>228</v>
      </c>
      <c r="DC1042" s="16"/>
      <c r="DD1042" s="17" t="s">
        <v>198</v>
      </c>
      <c r="DE1042" s="18">
        <v>45705.363078703704</v>
      </c>
      <c r="DF1042" s="17" t="s">
        <v>198</v>
      </c>
      <c r="DG1042" s="18">
        <v>45705.363078703704</v>
      </c>
      <c r="DH1042" s="13" t="s">
        <v>205</v>
      </c>
      <c r="DI1042" s="14" t="s">
        <v>179</v>
      </c>
      <c r="DJ1042" s="14" t="s">
        <v>20392</v>
      </c>
      <c r="DK1042" s="15"/>
      <c r="DL1042" s="15"/>
      <c r="DM1042" s="15"/>
      <c r="DN1042" s="15"/>
      <c r="DO1042" s="15"/>
      <c r="DP1042" s="15"/>
      <c r="DQ1042" s="15"/>
      <c r="DR1042" s="15"/>
      <c r="DS1042" s="15"/>
      <c r="DT1042" s="15"/>
      <c r="DU1042" s="15"/>
      <c r="DV1042" s="15"/>
      <c r="DW1042" s="15"/>
      <c r="DX1042" s="15"/>
      <c r="DY1042" s="15"/>
      <c r="DZ1042" s="15"/>
      <c r="EA1042" s="15"/>
      <c r="EB1042" s="15"/>
      <c r="EC1042" s="16" t="s">
        <v>197</v>
      </c>
      <c r="ED1042" s="17" t="s">
        <v>198</v>
      </c>
      <c r="EE1042" s="18">
        <v>45708.523622685185</v>
      </c>
      <c r="EF1042" s="13" t="s">
        <v>209</v>
      </c>
      <c r="EG1042" s="14" t="s">
        <v>179</v>
      </c>
      <c r="EH1042" s="14" t="s">
        <v>20393</v>
      </c>
      <c r="EI1042" s="15"/>
      <c r="EJ1042" s="15"/>
      <c r="EK1042" s="15"/>
      <c r="EL1042" s="15"/>
      <c r="EM1042" s="15"/>
      <c r="EN1042" s="15"/>
      <c r="EO1042" s="15"/>
      <c r="EP1042" s="15"/>
      <c r="EQ1042" s="15"/>
      <c r="ER1042" s="15"/>
      <c r="ES1042" s="15"/>
      <c r="ET1042" s="15"/>
      <c r="EU1042" s="15"/>
      <c r="EV1042" s="15"/>
      <c r="EW1042" s="15"/>
      <c r="EX1042" s="15"/>
      <c r="EY1042" s="15"/>
      <c r="EZ1042" s="15"/>
      <c r="FA1042" s="15"/>
      <c r="FB1042" s="15"/>
      <c r="FC1042" s="16" t="s">
        <v>197</v>
      </c>
      <c r="FD1042" s="17" t="s">
        <v>198</v>
      </c>
      <c r="FE1042" s="18">
        <v>45723.34795138889</v>
      </c>
      <c r="FF1042" s="19"/>
      <c r="FG1042" s="19"/>
      <c r="FH1042" s="21" t="s">
        <v>197</v>
      </c>
      <c r="FI1042" s="17" t="s">
        <v>214</v>
      </c>
      <c r="FJ1042" s="18">
        <v>45723.34795138889</v>
      </c>
      <c r="FK1042" s="14" t="s">
        <v>20393</v>
      </c>
      <c r="FL1042" s="14" t="s">
        <v>20394</v>
      </c>
      <c r="FM1042" s="14" t="s">
        <v>20395</v>
      </c>
      <c r="FN1042" s="19"/>
      <c r="FO1042" s="19"/>
      <c r="FP1042" s="19" t="str">
        <f t="shared" si="1"/>
        <v>Base de Dados_Images/XV40052.Imagem do Equipamento-.151154.jpg</v>
      </c>
      <c r="FQ1042" s="19"/>
      <c r="FR1042" s="19"/>
    </row>
    <row r="1043" ht="15.75" customHeight="1">
      <c r="A1043" s="12" t="s">
        <v>217</v>
      </c>
      <c r="B1043" s="12" t="s">
        <v>11439</v>
      </c>
      <c r="C1043" s="12" t="s">
        <v>219</v>
      </c>
      <c r="D1043" s="22" t="s">
        <v>20396</v>
      </c>
      <c r="E1043" s="22" t="s">
        <v>20397</v>
      </c>
      <c r="F1043" s="13" t="s">
        <v>178</v>
      </c>
      <c r="G1043" s="14" t="s">
        <v>179</v>
      </c>
      <c r="H1043" s="14" t="s">
        <v>20398</v>
      </c>
      <c r="I1043" s="14" t="s">
        <v>179</v>
      </c>
      <c r="J1043" s="14" t="s">
        <v>20399</v>
      </c>
      <c r="K1043" s="14" t="s">
        <v>179</v>
      </c>
      <c r="L1043" s="14" t="s">
        <v>20400</v>
      </c>
      <c r="M1043" s="14" t="s">
        <v>179</v>
      </c>
      <c r="N1043" s="14" t="s">
        <v>20401</v>
      </c>
      <c r="O1043" s="14" t="s">
        <v>179</v>
      </c>
      <c r="P1043" s="14" t="s">
        <v>20402</v>
      </c>
      <c r="Q1043" s="14" t="s">
        <v>179</v>
      </c>
      <c r="R1043" s="14" t="s">
        <v>20403</v>
      </c>
      <c r="S1043" s="14" t="s">
        <v>179</v>
      </c>
      <c r="T1043" s="14" t="s">
        <v>20404</v>
      </c>
      <c r="U1043" s="14" t="s">
        <v>179</v>
      </c>
      <c r="V1043" s="14" t="s">
        <v>20405</v>
      </c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  <c r="BH1043" s="15"/>
      <c r="BI1043" s="15"/>
      <c r="BJ1043" s="15"/>
      <c r="BK1043" s="15"/>
      <c r="BL1043" s="15"/>
      <c r="BM1043" s="15"/>
      <c r="BN1043" s="15"/>
      <c r="BO1043" s="16" t="s">
        <v>197</v>
      </c>
      <c r="BP1043" s="17" t="s">
        <v>228</v>
      </c>
      <c r="BQ1043" s="23"/>
      <c r="BR1043" s="17" t="s">
        <v>198</v>
      </c>
      <c r="BS1043" s="18">
        <v>45687.40646990741</v>
      </c>
      <c r="BT1043" s="17" t="s">
        <v>198</v>
      </c>
      <c r="BU1043" s="18">
        <v>45687.40646990741</v>
      </c>
      <c r="BV1043" s="13" t="s">
        <v>199</v>
      </c>
      <c r="BW1043" s="14" t="s">
        <v>179</v>
      </c>
      <c r="BX1043" s="14" t="s">
        <v>20406</v>
      </c>
      <c r="BY1043" s="14" t="s">
        <v>179</v>
      </c>
      <c r="BZ1043" s="14" t="s">
        <v>20406</v>
      </c>
      <c r="CA1043" s="15"/>
      <c r="CB1043" s="15"/>
      <c r="CC1043" s="15"/>
      <c r="CD1043" s="15"/>
      <c r="CE1043" s="15"/>
      <c r="CF1043" s="15"/>
      <c r="CG1043" s="19"/>
      <c r="CH1043" s="15"/>
      <c r="CI1043" s="19"/>
      <c r="CJ1043" s="15"/>
      <c r="CK1043" s="19"/>
      <c r="CL1043" s="15"/>
      <c r="CM1043" s="19"/>
      <c r="CN1043" s="15"/>
      <c r="CO1043" s="19"/>
      <c r="CP1043" s="15"/>
      <c r="CQ1043" s="15"/>
      <c r="CR1043" s="15"/>
      <c r="CS1043" s="19"/>
      <c r="CT1043" s="15"/>
      <c r="CU1043" s="19"/>
      <c r="CV1043" s="15"/>
      <c r="CW1043" s="19"/>
      <c r="CX1043" s="15"/>
      <c r="CY1043" s="19"/>
      <c r="CZ1043" s="15"/>
      <c r="DA1043" s="16" t="s">
        <v>197</v>
      </c>
      <c r="DB1043" s="17" t="s">
        <v>228</v>
      </c>
      <c r="DC1043" s="16"/>
      <c r="DD1043" s="17" t="s">
        <v>198</v>
      </c>
      <c r="DE1043" s="18">
        <v>45705.36369212963</v>
      </c>
      <c r="DF1043" s="17" t="s">
        <v>198</v>
      </c>
      <c r="DG1043" s="18">
        <v>45705.36369212963</v>
      </c>
      <c r="DH1043" s="13" t="s">
        <v>205</v>
      </c>
      <c r="DI1043" s="14" t="s">
        <v>179</v>
      </c>
      <c r="DJ1043" s="14" t="s">
        <v>20407</v>
      </c>
      <c r="DK1043" s="15"/>
      <c r="DL1043" s="15"/>
      <c r="DM1043" s="15"/>
      <c r="DN1043" s="15"/>
      <c r="DO1043" s="15"/>
      <c r="DP1043" s="15"/>
      <c r="DQ1043" s="15"/>
      <c r="DR1043" s="15"/>
      <c r="DS1043" s="15"/>
      <c r="DT1043" s="15"/>
      <c r="DU1043" s="15"/>
      <c r="DV1043" s="15"/>
      <c r="DW1043" s="15"/>
      <c r="DX1043" s="15"/>
      <c r="DY1043" s="15"/>
      <c r="DZ1043" s="15"/>
      <c r="EA1043" s="15"/>
      <c r="EB1043" s="15"/>
      <c r="EC1043" s="16" t="s">
        <v>197</v>
      </c>
      <c r="ED1043" s="17" t="s">
        <v>198</v>
      </c>
      <c r="EE1043" s="18">
        <v>45708.53039351852</v>
      </c>
      <c r="EF1043" s="13" t="s">
        <v>209</v>
      </c>
      <c r="EG1043" s="14" t="s">
        <v>179</v>
      </c>
      <c r="EH1043" s="14" t="s">
        <v>20408</v>
      </c>
      <c r="EI1043" s="15"/>
      <c r="EJ1043" s="15"/>
      <c r="EK1043" s="15"/>
      <c r="EL1043" s="15"/>
      <c r="EM1043" s="15"/>
      <c r="EN1043" s="15"/>
      <c r="EO1043" s="15"/>
      <c r="EP1043" s="15"/>
      <c r="EQ1043" s="15"/>
      <c r="ER1043" s="15"/>
      <c r="ES1043" s="15"/>
      <c r="ET1043" s="15"/>
      <c r="EU1043" s="15"/>
      <c r="EV1043" s="15"/>
      <c r="EW1043" s="15"/>
      <c r="EX1043" s="15"/>
      <c r="EY1043" s="15"/>
      <c r="EZ1043" s="15"/>
      <c r="FA1043" s="15"/>
      <c r="FB1043" s="15"/>
      <c r="FC1043" s="16" t="s">
        <v>197</v>
      </c>
      <c r="FD1043" s="17" t="s">
        <v>198</v>
      </c>
      <c r="FE1043" s="18">
        <v>45723.348599537036</v>
      </c>
      <c r="FF1043" s="19"/>
      <c r="FG1043" s="19"/>
      <c r="FH1043" s="21" t="s">
        <v>197</v>
      </c>
      <c r="FI1043" s="17" t="s">
        <v>214</v>
      </c>
      <c r="FJ1043" s="18">
        <v>45723.348599537036</v>
      </c>
      <c r="FK1043" s="14" t="s">
        <v>20408</v>
      </c>
      <c r="FL1043" s="14" t="s">
        <v>20409</v>
      </c>
      <c r="FM1043" s="14" t="s">
        <v>20410</v>
      </c>
      <c r="FN1043" s="19"/>
      <c r="FO1043" s="19"/>
      <c r="FP1043" s="19" t="str">
        <f t="shared" si="1"/>
        <v>Base de Dados_Images/XV40053.Imagem do Equipamento-.141518.jpg</v>
      </c>
      <c r="FQ1043" s="19"/>
      <c r="FR1043" s="19"/>
    </row>
    <row r="1044" ht="15.75" customHeight="1">
      <c r="A1044" s="12" t="s">
        <v>217</v>
      </c>
      <c r="B1044" s="12" t="s">
        <v>11439</v>
      </c>
      <c r="C1044" s="12" t="s">
        <v>219</v>
      </c>
      <c r="D1044" s="22" t="s">
        <v>20411</v>
      </c>
      <c r="E1044" s="22" t="s">
        <v>20412</v>
      </c>
      <c r="F1044" s="13" t="s">
        <v>178</v>
      </c>
      <c r="G1044" s="14" t="s">
        <v>179</v>
      </c>
      <c r="H1044" s="14" t="s">
        <v>20413</v>
      </c>
      <c r="I1044" s="14" t="s">
        <v>179</v>
      </c>
      <c r="J1044" s="14" t="s">
        <v>20414</v>
      </c>
      <c r="K1044" s="14" t="s">
        <v>179</v>
      </c>
      <c r="L1044" s="14" t="s">
        <v>20415</v>
      </c>
      <c r="M1044" s="14" t="s">
        <v>179</v>
      </c>
      <c r="N1044" s="14" t="s">
        <v>20416</v>
      </c>
      <c r="O1044" s="14" t="s">
        <v>179</v>
      </c>
      <c r="P1044" s="14" t="s">
        <v>20417</v>
      </c>
      <c r="Q1044" s="14" t="s">
        <v>179</v>
      </c>
      <c r="R1044" s="14" t="s">
        <v>20418</v>
      </c>
      <c r="S1044" s="14" t="s">
        <v>179</v>
      </c>
      <c r="T1044" s="14" t="s">
        <v>20419</v>
      </c>
      <c r="U1044" s="14" t="s">
        <v>179</v>
      </c>
      <c r="V1044" s="14" t="s">
        <v>20420</v>
      </c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  <c r="BB1044" s="15"/>
      <c r="BC1044" s="15"/>
      <c r="BD1044" s="15"/>
      <c r="BE1044" s="15"/>
      <c r="BF1044" s="15"/>
      <c r="BG1044" s="15"/>
      <c r="BH1044" s="15"/>
      <c r="BI1044" s="15"/>
      <c r="BJ1044" s="15"/>
      <c r="BK1044" s="15"/>
      <c r="BL1044" s="15"/>
      <c r="BM1044" s="15"/>
      <c r="BN1044" s="15"/>
      <c r="BO1044" s="16" t="s">
        <v>197</v>
      </c>
      <c r="BP1044" s="17" t="s">
        <v>228</v>
      </c>
      <c r="BQ1044" s="23"/>
      <c r="BR1044" s="17" t="s">
        <v>198</v>
      </c>
      <c r="BS1044" s="18">
        <v>45686.56413194445</v>
      </c>
      <c r="BT1044" s="17" t="s">
        <v>198</v>
      </c>
      <c r="BU1044" s="18">
        <v>45686.56413194445</v>
      </c>
      <c r="BV1044" s="13" t="s">
        <v>199</v>
      </c>
      <c r="BW1044" s="14" t="s">
        <v>179</v>
      </c>
      <c r="BX1044" s="14" t="s">
        <v>20421</v>
      </c>
      <c r="BY1044" s="14" t="s">
        <v>179</v>
      </c>
      <c r="BZ1044" s="14" t="s">
        <v>20422</v>
      </c>
      <c r="CA1044" s="15"/>
      <c r="CB1044" s="15"/>
      <c r="CC1044" s="15"/>
      <c r="CD1044" s="15"/>
      <c r="CE1044" s="15"/>
      <c r="CF1044" s="15"/>
      <c r="CG1044" s="19"/>
      <c r="CH1044" s="15"/>
      <c r="CI1044" s="19"/>
      <c r="CJ1044" s="15"/>
      <c r="CK1044" s="19"/>
      <c r="CL1044" s="15"/>
      <c r="CM1044" s="19"/>
      <c r="CN1044" s="15"/>
      <c r="CO1044" s="19"/>
      <c r="CP1044" s="15"/>
      <c r="CQ1044" s="15"/>
      <c r="CR1044" s="15"/>
      <c r="CS1044" s="19"/>
      <c r="CT1044" s="15"/>
      <c r="CU1044" s="19"/>
      <c r="CV1044" s="15"/>
      <c r="CW1044" s="19"/>
      <c r="CX1044" s="15"/>
      <c r="CY1044" s="19"/>
      <c r="CZ1044" s="15"/>
      <c r="DA1044" s="16" t="s">
        <v>197</v>
      </c>
      <c r="DB1044" s="17" t="s">
        <v>228</v>
      </c>
      <c r="DC1044" s="16"/>
      <c r="DD1044" s="17" t="s">
        <v>198</v>
      </c>
      <c r="DE1044" s="18">
        <v>45705.36100694445</v>
      </c>
      <c r="DF1044" s="17" t="s">
        <v>198</v>
      </c>
      <c r="DG1044" s="18">
        <v>45705.36100694445</v>
      </c>
      <c r="DH1044" s="13" t="s">
        <v>205</v>
      </c>
      <c r="DI1044" s="14" t="s">
        <v>179</v>
      </c>
      <c r="DJ1044" s="14" t="s">
        <v>20423</v>
      </c>
      <c r="DK1044" s="15"/>
      <c r="DL1044" s="15"/>
      <c r="DM1044" s="15"/>
      <c r="DN1044" s="15"/>
      <c r="DO1044" s="15"/>
      <c r="DP1044" s="15"/>
      <c r="DQ1044" s="15"/>
      <c r="DR1044" s="15"/>
      <c r="DS1044" s="15"/>
      <c r="DT1044" s="15"/>
      <c r="DU1044" s="15"/>
      <c r="DV1044" s="15"/>
      <c r="DW1044" s="15"/>
      <c r="DX1044" s="15"/>
      <c r="DY1044" s="15"/>
      <c r="DZ1044" s="15"/>
      <c r="EA1044" s="15"/>
      <c r="EB1044" s="15"/>
      <c r="EC1044" s="16" t="s">
        <v>197</v>
      </c>
      <c r="ED1044" s="17" t="s">
        <v>198</v>
      </c>
      <c r="EE1044" s="18">
        <v>45708.53050925926</v>
      </c>
      <c r="EF1044" s="13" t="s">
        <v>209</v>
      </c>
      <c r="EG1044" s="14" t="s">
        <v>179</v>
      </c>
      <c r="EH1044" s="14" t="s">
        <v>20424</v>
      </c>
      <c r="EI1044" s="15"/>
      <c r="EJ1044" s="15"/>
      <c r="EK1044" s="15"/>
      <c r="EL1044" s="15"/>
      <c r="EM1044" s="15"/>
      <c r="EN1044" s="15"/>
      <c r="EO1044" s="15"/>
      <c r="EP1044" s="15"/>
      <c r="EQ1044" s="15"/>
      <c r="ER1044" s="15"/>
      <c r="ES1044" s="15"/>
      <c r="ET1044" s="15"/>
      <c r="EU1044" s="15"/>
      <c r="EV1044" s="15"/>
      <c r="EW1044" s="15"/>
      <c r="EX1044" s="15"/>
      <c r="EY1044" s="15"/>
      <c r="EZ1044" s="15"/>
      <c r="FA1044" s="15"/>
      <c r="FB1044" s="15"/>
      <c r="FC1044" s="16" t="s">
        <v>197</v>
      </c>
      <c r="FD1044" s="17" t="s">
        <v>198</v>
      </c>
      <c r="FE1044" s="18">
        <v>45723.348645833335</v>
      </c>
      <c r="FF1044" s="19"/>
      <c r="FG1044" s="19"/>
      <c r="FH1044" s="21" t="s">
        <v>197</v>
      </c>
      <c r="FI1044" s="17" t="s">
        <v>214</v>
      </c>
      <c r="FJ1044" s="18">
        <v>45723.348645833335</v>
      </c>
      <c r="FK1044" s="14" t="s">
        <v>20424</v>
      </c>
      <c r="FL1044" s="19"/>
      <c r="FM1044" s="19"/>
      <c r="FN1044" s="19"/>
      <c r="FO1044" s="19"/>
      <c r="FP1044" s="19" t="str">
        <f t="shared" si="1"/>
        <v/>
      </c>
      <c r="FQ1044" s="14" t="s">
        <v>215</v>
      </c>
      <c r="FR1044" s="14" t="s">
        <v>20425</v>
      </c>
    </row>
    <row r="1045" ht="15.75" customHeight="1">
      <c r="A1045" s="12" t="s">
        <v>217</v>
      </c>
      <c r="B1045" s="12" t="s">
        <v>11439</v>
      </c>
      <c r="C1045" s="12" t="s">
        <v>219</v>
      </c>
      <c r="D1045" s="22" t="s">
        <v>20426</v>
      </c>
      <c r="E1045" s="22" t="s">
        <v>20427</v>
      </c>
      <c r="F1045" s="13" t="s">
        <v>178</v>
      </c>
      <c r="G1045" s="14" t="s">
        <v>179</v>
      </c>
      <c r="H1045" s="14" t="s">
        <v>20428</v>
      </c>
      <c r="I1045" s="14" t="s">
        <v>179</v>
      </c>
      <c r="J1045" s="14" t="s">
        <v>20429</v>
      </c>
      <c r="K1045" s="14" t="s">
        <v>179</v>
      </c>
      <c r="L1045" s="14" t="s">
        <v>20430</v>
      </c>
      <c r="M1045" s="14" t="s">
        <v>179</v>
      </c>
      <c r="N1045" s="14" t="s">
        <v>20431</v>
      </c>
      <c r="O1045" s="14" t="s">
        <v>179</v>
      </c>
      <c r="P1045" s="14" t="s">
        <v>20432</v>
      </c>
      <c r="Q1045" s="14" t="s">
        <v>179</v>
      </c>
      <c r="R1045" s="14" t="s">
        <v>20433</v>
      </c>
      <c r="S1045" s="14" t="s">
        <v>179</v>
      </c>
      <c r="T1045" s="14" t="s">
        <v>20434</v>
      </c>
      <c r="U1045" s="14" t="s">
        <v>179</v>
      </c>
      <c r="V1045" s="14" t="s">
        <v>20435</v>
      </c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  <c r="BH1045" s="15"/>
      <c r="BI1045" s="15"/>
      <c r="BJ1045" s="15"/>
      <c r="BK1045" s="15"/>
      <c r="BL1045" s="15"/>
      <c r="BM1045" s="15"/>
      <c r="BN1045" s="15"/>
      <c r="BO1045" s="16" t="s">
        <v>197</v>
      </c>
      <c r="BP1045" s="17" t="s">
        <v>228</v>
      </c>
      <c r="BQ1045" s="23"/>
      <c r="BR1045" s="17" t="s">
        <v>198</v>
      </c>
      <c r="BS1045" s="18">
        <v>45686.56170138889</v>
      </c>
      <c r="BT1045" s="17" t="s">
        <v>198</v>
      </c>
      <c r="BU1045" s="18">
        <v>45686.56170138889</v>
      </c>
      <c r="BV1045" s="13" t="s">
        <v>199</v>
      </c>
      <c r="BW1045" s="14" t="s">
        <v>179</v>
      </c>
      <c r="BX1045" s="14" t="s">
        <v>20436</v>
      </c>
      <c r="BY1045" s="14" t="s">
        <v>179</v>
      </c>
      <c r="BZ1045" s="14" t="s">
        <v>20437</v>
      </c>
      <c r="CA1045" s="15"/>
      <c r="CB1045" s="15"/>
      <c r="CC1045" s="15"/>
      <c r="CD1045" s="15"/>
      <c r="CE1045" s="15"/>
      <c r="CF1045" s="15"/>
      <c r="CG1045" s="19"/>
      <c r="CH1045" s="15"/>
      <c r="CI1045" s="19"/>
      <c r="CJ1045" s="15"/>
      <c r="CK1045" s="19"/>
      <c r="CL1045" s="15"/>
      <c r="CM1045" s="19"/>
      <c r="CN1045" s="15"/>
      <c r="CO1045" s="19"/>
      <c r="CP1045" s="15"/>
      <c r="CQ1045" s="15"/>
      <c r="CR1045" s="15"/>
      <c r="CS1045" s="19"/>
      <c r="CT1045" s="15"/>
      <c r="CU1045" s="19"/>
      <c r="CV1045" s="15"/>
      <c r="CW1045" s="19"/>
      <c r="CX1045" s="15"/>
      <c r="CY1045" s="19"/>
      <c r="CZ1045" s="15"/>
      <c r="DA1045" s="16" t="s">
        <v>197</v>
      </c>
      <c r="DB1045" s="17" t="s">
        <v>228</v>
      </c>
      <c r="DC1045" s="16"/>
      <c r="DD1045" s="17" t="s">
        <v>198</v>
      </c>
      <c r="DE1045" s="18">
        <v>45705.36225694444</v>
      </c>
      <c r="DF1045" s="17" t="s">
        <v>198</v>
      </c>
      <c r="DG1045" s="18">
        <v>45705.36225694444</v>
      </c>
      <c r="DH1045" s="13" t="s">
        <v>205</v>
      </c>
      <c r="DI1045" s="14" t="s">
        <v>179</v>
      </c>
      <c r="DJ1045" s="14" t="s">
        <v>20438</v>
      </c>
      <c r="DK1045" s="15"/>
      <c r="DL1045" s="15"/>
      <c r="DM1045" s="15"/>
      <c r="DN1045" s="15"/>
      <c r="DO1045" s="15"/>
      <c r="DP1045" s="15"/>
      <c r="DQ1045" s="15"/>
      <c r="DR1045" s="15"/>
      <c r="DS1045" s="15"/>
      <c r="DT1045" s="15"/>
      <c r="DU1045" s="15"/>
      <c r="DV1045" s="15"/>
      <c r="DW1045" s="15"/>
      <c r="DX1045" s="15"/>
      <c r="DY1045" s="15"/>
      <c r="DZ1045" s="15"/>
      <c r="EA1045" s="15"/>
      <c r="EB1045" s="15"/>
      <c r="EC1045" s="16" t="s">
        <v>197</v>
      </c>
      <c r="ED1045" s="17" t="s">
        <v>198</v>
      </c>
      <c r="EE1045" s="18">
        <v>45708.530625</v>
      </c>
      <c r="EF1045" s="13" t="s">
        <v>209</v>
      </c>
      <c r="EG1045" s="14" t="s">
        <v>179</v>
      </c>
      <c r="EH1045" s="14" t="s">
        <v>20439</v>
      </c>
      <c r="EI1045" s="15"/>
      <c r="EJ1045" s="15"/>
      <c r="EK1045" s="15"/>
      <c r="EL1045" s="15"/>
      <c r="EM1045" s="15"/>
      <c r="EN1045" s="15"/>
      <c r="EO1045" s="15"/>
      <c r="EP1045" s="15"/>
      <c r="EQ1045" s="15"/>
      <c r="ER1045" s="15"/>
      <c r="ES1045" s="15"/>
      <c r="ET1045" s="15"/>
      <c r="EU1045" s="15"/>
      <c r="EV1045" s="15"/>
      <c r="EW1045" s="15"/>
      <c r="EX1045" s="15"/>
      <c r="EY1045" s="15"/>
      <c r="EZ1045" s="15"/>
      <c r="FA1045" s="15"/>
      <c r="FB1045" s="15"/>
      <c r="FC1045" s="16" t="s">
        <v>197</v>
      </c>
      <c r="FD1045" s="17" t="s">
        <v>198</v>
      </c>
      <c r="FE1045" s="18">
        <v>45723.348703703705</v>
      </c>
      <c r="FF1045" s="19"/>
      <c r="FG1045" s="19"/>
      <c r="FH1045" s="21" t="s">
        <v>197</v>
      </c>
      <c r="FI1045" s="17" t="s">
        <v>214</v>
      </c>
      <c r="FJ1045" s="18">
        <v>45723.348703703705</v>
      </c>
      <c r="FK1045" s="14" t="s">
        <v>20439</v>
      </c>
      <c r="FL1045" s="14" t="s">
        <v>20440</v>
      </c>
      <c r="FM1045" s="14" t="s">
        <v>20441</v>
      </c>
      <c r="FN1045" s="19"/>
      <c r="FO1045" s="19"/>
      <c r="FP1045" s="19" t="str">
        <f t="shared" si="1"/>
        <v>Base de Dados_Images/XV40055.Imagem do Equipamento-.182609.jpg</v>
      </c>
      <c r="FQ1045" s="19"/>
      <c r="FR1045" s="19"/>
    </row>
    <row r="1046" ht="15.75" customHeight="1">
      <c r="A1046" s="12" t="s">
        <v>217</v>
      </c>
      <c r="B1046" s="12" t="s">
        <v>11439</v>
      </c>
      <c r="C1046" s="12" t="s">
        <v>219</v>
      </c>
      <c r="D1046" s="22" t="s">
        <v>20442</v>
      </c>
      <c r="E1046" s="22" t="s">
        <v>20443</v>
      </c>
      <c r="F1046" s="13" t="s">
        <v>178</v>
      </c>
      <c r="G1046" s="14" t="s">
        <v>179</v>
      </c>
      <c r="H1046" s="14" t="s">
        <v>20444</v>
      </c>
      <c r="I1046" s="14" t="s">
        <v>179</v>
      </c>
      <c r="J1046" s="14" t="s">
        <v>20445</v>
      </c>
      <c r="K1046" s="14" t="s">
        <v>179</v>
      </c>
      <c r="L1046" s="14" t="s">
        <v>20446</v>
      </c>
      <c r="M1046" s="14" t="s">
        <v>179</v>
      </c>
      <c r="N1046" s="14" t="s">
        <v>20447</v>
      </c>
      <c r="O1046" s="14" t="s">
        <v>179</v>
      </c>
      <c r="P1046" s="14" t="s">
        <v>20448</v>
      </c>
      <c r="Q1046" s="14" t="s">
        <v>179</v>
      </c>
      <c r="R1046" s="14" t="s">
        <v>20449</v>
      </c>
      <c r="S1046" s="14" t="s">
        <v>179</v>
      </c>
      <c r="T1046" s="14" t="s">
        <v>20450</v>
      </c>
      <c r="U1046" s="14" t="s">
        <v>179</v>
      </c>
      <c r="V1046" s="14" t="s">
        <v>20451</v>
      </c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  <c r="BD1046" s="15"/>
      <c r="BE1046" s="15"/>
      <c r="BF1046" s="15"/>
      <c r="BG1046" s="15"/>
      <c r="BH1046" s="15"/>
      <c r="BI1046" s="15"/>
      <c r="BJ1046" s="15"/>
      <c r="BK1046" s="15"/>
      <c r="BL1046" s="15"/>
      <c r="BM1046" s="15"/>
      <c r="BN1046" s="15"/>
      <c r="BO1046" s="16" t="s">
        <v>197</v>
      </c>
      <c r="BP1046" s="17" t="s">
        <v>228</v>
      </c>
      <c r="BQ1046" s="23"/>
      <c r="BR1046" s="17" t="s">
        <v>198</v>
      </c>
      <c r="BS1046" s="18">
        <v>45686.562569444446</v>
      </c>
      <c r="BT1046" s="17" t="s">
        <v>198</v>
      </c>
      <c r="BU1046" s="18">
        <v>45686.562569444446</v>
      </c>
      <c r="BV1046" s="13" t="s">
        <v>199</v>
      </c>
      <c r="BW1046" s="14" t="s">
        <v>179</v>
      </c>
      <c r="BX1046" s="14" t="s">
        <v>20452</v>
      </c>
      <c r="BY1046" s="14" t="s">
        <v>179</v>
      </c>
      <c r="BZ1046" s="14" t="s">
        <v>20452</v>
      </c>
      <c r="CA1046" s="15"/>
      <c r="CB1046" s="15"/>
      <c r="CC1046" s="15"/>
      <c r="CD1046" s="15"/>
      <c r="CE1046" s="15"/>
      <c r="CF1046" s="15"/>
      <c r="CG1046" s="19"/>
      <c r="CH1046" s="15"/>
      <c r="CI1046" s="19"/>
      <c r="CJ1046" s="15"/>
      <c r="CK1046" s="19"/>
      <c r="CL1046" s="15"/>
      <c r="CM1046" s="19"/>
      <c r="CN1046" s="15"/>
      <c r="CO1046" s="19"/>
      <c r="CP1046" s="15"/>
      <c r="CQ1046" s="15"/>
      <c r="CR1046" s="15"/>
      <c r="CS1046" s="19"/>
      <c r="CT1046" s="15"/>
      <c r="CU1046" s="19"/>
      <c r="CV1046" s="15"/>
      <c r="CW1046" s="19"/>
      <c r="CX1046" s="15"/>
      <c r="CY1046" s="19"/>
      <c r="CZ1046" s="15"/>
      <c r="DA1046" s="16" t="s">
        <v>197</v>
      </c>
      <c r="DB1046" s="17" t="s">
        <v>228</v>
      </c>
      <c r="DC1046" s="16"/>
      <c r="DD1046" s="17" t="s">
        <v>198</v>
      </c>
      <c r="DE1046" s="18">
        <v>45701.558125</v>
      </c>
      <c r="DF1046" s="17" t="s">
        <v>198</v>
      </c>
      <c r="DG1046" s="18">
        <v>45701.558125</v>
      </c>
      <c r="DH1046" s="13" t="s">
        <v>205</v>
      </c>
      <c r="DI1046" s="14" t="s">
        <v>179</v>
      </c>
      <c r="DJ1046" s="14" t="s">
        <v>20453</v>
      </c>
      <c r="DK1046" s="15"/>
      <c r="DL1046" s="15"/>
      <c r="DM1046" s="15"/>
      <c r="DN1046" s="15"/>
      <c r="DO1046" s="15"/>
      <c r="DP1046" s="15"/>
      <c r="DQ1046" s="15"/>
      <c r="DR1046" s="15"/>
      <c r="DS1046" s="15"/>
      <c r="DT1046" s="15"/>
      <c r="DU1046" s="15"/>
      <c r="DV1046" s="15"/>
      <c r="DW1046" s="15"/>
      <c r="DX1046" s="15"/>
      <c r="DY1046" s="15"/>
      <c r="DZ1046" s="15"/>
      <c r="EA1046" s="15"/>
      <c r="EB1046" s="15"/>
      <c r="EC1046" s="16" t="s">
        <v>197</v>
      </c>
      <c r="ED1046" s="17" t="s">
        <v>198</v>
      </c>
      <c r="EE1046" s="18">
        <v>45701.558287037034</v>
      </c>
      <c r="EF1046" s="13" t="s">
        <v>209</v>
      </c>
      <c r="EG1046" s="14" t="s">
        <v>179</v>
      </c>
      <c r="EH1046" s="14" t="s">
        <v>20454</v>
      </c>
      <c r="EI1046" s="15"/>
      <c r="EJ1046" s="15"/>
      <c r="EK1046" s="15"/>
      <c r="EL1046" s="15"/>
      <c r="EM1046" s="15"/>
      <c r="EN1046" s="15"/>
      <c r="EO1046" s="15"/>
      <c r="EP1046" s="15"/>
      <c r="EQ1046" s="15"/>
      <c r="ER1046" s="15"/>
      <c r="ES1046" s="15"/>
      <c r="ET1046" s="15"/>
      <c r="EU1046" s="15"/>
      <c r="EV1046" s="15"/>
      <c r="EW1046" s="15"/>
      <c r="EX1046" s="15"/>
      <c r="EY1046" s="15"/>
      <c r="EZ1046" s="15"/>
      <c r="FA1046" s="15"/>
      <c r="FB1046" s="15"/>
      <c r="FC1046" s="16" t="s">
        <v>197</v>
      </c>
      <c r="FD1046" s="17" t="s">
        <v>198</v>
      </c>
      <c r="FE1046" s="18">
        <v>45723.34875</v>
      </c>
      <c r="FF1046" s="19"/>
      <c r="FG1046" s="19"/>
      <c r="FH1046" s="21" t="s">
        <v>197</v>
      </c>
      <c r="FI1046" s="17" t="s">
        <v>214</v>
      </c>
      <c r="FJ1046" s="18">
        <v>45723.34875</v>
      </c>
      <c r="FK1046" s="14" t="s">
        <v>20454</v>
      </c>
      <c r="FL1046" s="14" t="s">
        <v>20455</v>
      </c>
      <c r="FM1046" s="14" t="s">
        <v>20456</v>
      </c>
      <c r="FN1046" s="19"/>
      <c r="FO1046" s="19"/>
      <c r="FP1046" s="19" t="str">
        <f t="shared" si="1"/>
        <v>Base de Dados_Images/XV40056.Imagem do Equipamento-.182713.jpg</v>
      </c>
      <c r="FQ1046" s="19"/>
      <c r="FR1046" s="19"/>
    </row>
    <row r="1047" ht="15.75" customHeight="1">
      <c r="A1047" s="12" t="s">
        <v>217</v>
      </c>
      <c r="B1047" s="12" t="s">
        <v>11468</v>
      </c>
      <c r="C1047" s="12" t="s">
        <v>219</v>
      </c>
      <c r="D1047" s="22" t="s">
        <v>20457</v>
      </c>
      <c r="E1047" s="22" t="s">
        <v>20458</v>
      </c>
      <c r="F1047" s="13" t="s">
        <v>178</v>
      </c>
      <c r="G1047" s="14" t="s">
        <v>179</v>
      </c>
      <c r="H1047" s="14" t="s">
        <v>20459</v>
      </c>
      <c r="I1047" s="14" t="s">
        <v>179</v>
      </c>
      <c r="J1047" s="14" t="s">
        <v>20460</v>
      </c>
      <c r="K1047" s="14" t="s">
        <v>179</v>
      </c>
      <c r="L1047" s="14" t="s">
        <v>20461</v>
      </c>
      <c r="M1047" s="14" t="s">
        <v>179</v>
      </c>
      <c r="N1047" s="14" t="s">
        <v>20462</v>
      </c>
      <c r="O1047" s="14" t="s">
        <v>179</v>
      </c>
      <c r="P1047" s="14" t="s">
        <v>20463</v>
      </c>
      <c r="Q1047" s="14" t="s">
        <v>179</v>
      </c>
      <c r="R1047" s="14" t="s">
        <v>20464</v>
      </c>
      <c r="S1047" s="14" t="s">
        <v>179</v>
      </c>
      <c r="T1047" s="14" t="s">
        <v>20465</v>
      </c>
      <c r="U1047" s="14" t="s">
        <v>179</v>
      </c>
      <c r="V1047" s="14" t="s">
        <v>20466</v>
      </c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  <c r="BH1047" s="15"/>
      <c r="BI1047" s="15"/>
      <c r="BJ1047" s="15"/>
      <c r="BK1047" s="15"/>
      <c r="BL1047" s="15"/>
      <c r="BM1047" s="15"/>
      <c r="BN1047" s="15"/>
      <c r="BO1047" s="16" t="s">
        <v>197</v>
      </c>
      <c r="BP1047" s="17" t="s">
        <v>228</v>
      </c>
      <c r="BQ1047" s="23"/>
      <c r="BR1047" s="17" t="s">
        <v>198</v>
      </c>
      <c r="BS1047" s="18">
        <v>45686.47204861111</v>
      </c>
      <c r="BT1047" s="17" t="s">
        <v>198</v>
      </c>
      <c r="BU1047" s="18">
        <v>45686.47204861111</v>
      </c>
      <c r="BV1047" s="13" t="s">
        <v>199</v>
      </c>
      <c r="BW1047" s="14" t="s">
        <v>179</v>
      </c>
      <c r="BX1047" s="14" t="s">
        <v>20467</v>
      </c>
      <c r="BY1047" s="14" t="s">
        <v>179</v>
      </c>
      <c r="BZ1047" s="14" t="s">
        <v>20467</v>
      </c>
      <c r="CA1047" s="15"/>
      <c r="CB1047" s="15"/>
      <c r="CC1047" s="15"/>
      <c r="CD1047" s="15"/>
      <c r="CE1047" s="15"/>
      <c r="CF1047" s="15"/>
      <c r="CG1047" s="19"/>
      <c r="CH1047" s="15"/>
      <c r="CI1047" s="19"/>
      <c r="CJ1047" s="15"/>
      <c r="CK1047" s="19"/>
      <c r="CL1047" s="15"/>
      <c r="CM1047" s="19"/>
      <c r="CN1047" s="15"/>
      <c r="CO1047" s="19"/>
      <c r="CP1047" s="15"/>
      <c r="CQ1047" s="15"/>
      <c r="CR1047" s="15"/>
      <c r="CS1047" s="19"/>
      <c r="CT1047" s="15"/>
      <c r="CU1047" s="19"/>
      <c r="CV1047" s="15"/>
      <c r="CW1047" s="19"/>
      <c r="CX1047" s="15"/>
      <c r="CY1047" s="19"/>
      <c r="CZ1047" s="15"/>
      <c r="DA1047" s="16" t="s">
        <v>197</v>
      </c>
      <c r="DB1047" s="17" t="s">
        <v>228</v>
      </c>
      <c r="DC1047" s="16"/>
      <c r="DD1047" s="17" t="s">
        <v>198</v>
      </c>
      <c r="DE1047" s="18">
        <v>45700.62144675926</v>
      </c>
      <c r="DF1047" s="17" t="s">
        <v>198</v>
      </c>
      <c r="DG1047" s="18">
        <v>45700.62144675926</v>
      </c>
      <c r="DH1047" s="13" t="s">
        <v>205</v>
      </c>
      <c r="DI1047" s="14" t="s">
        <v>179</v>
      </c>
      <c r="DJ1047" s="14" t="s">
        <v>20468</v>
      </c>
      <c r="DK1047" s="15"/>
      <c r="DL1047" s="15"/>
      <c r="DM1047" s="15"/>
      <c r="DN1047" s="15"/>
      <c r="DO1047" s="15"/>
      <c r="DP1047" s="15"/>
      <c r="DQ1047" s="15"/>
      <c r="DR1047" s="15"/>
      <c r="DS1047" s="15"/>
      <c r="DT1047" s="15"/>
      <c r="DU1047" s="15"/>
      <c r="DV1047" s="15"/>
      <c r="DW1047" s="15"/>
      <c r="DX1047" s="15"/>
      <c r="DY1047" s="15"/>
      <c r="DZ1047" s="15"/>
      <c r="EA1047" s="15"/>
      <c r="EB1047" s="15"/>
      <c r="EC1047" s="16" t="s">
        <v>197</v>
      </c>
      <c r="ED1047" s="17" t="s">
        <v>198</v>
      </c>
      <c r="EE1047" s="18">
        <v>45700.62163194444</v>
      </c>
      <c r="EF1047" s="13" t="s">
        <v>209</v>
      </c>
      <c r="EG1047" s="14" t="s">
        <v>179</v>
      </c>
      <c r="EH1047" s="14" t="s">
        <v>20469</v>
      </c>
      <c r="EI1047" s="15"/>
      <c r="EJ1047" s="15"/>
      <c r="EK1047" s="15"/>
      <c r="EL1047" s="15"/>
      <c r="EM1047" s="15"/>
      <c r="EN1047" s="15"/>
      <c r="EO1047" s="15"/>
      <c r="EP1047" s="15"/>
      <c r="EQ1047" s="15"/>
      <c r="ER1047" s="15"/>
      <c r="ES1047" s="15"/>
      <c r="ET1047" s="15"/>
      <c r="EU1047" s="15"/>
      <c r="EV1047" s="15"/>
      <c r="EW1047" s="15"/>
      <c r="EX1047" s="15"/>
      <c r="EY1047" s="15"/>
      <c r="EZ1047" s="15"/>
      <c r="FA1047" s="15"/>
      <c r="FB1047" s="15"/>
      <c r="FC1047" s="16" t="s">
        <v>197</v>
      </c>
      <c r="FD1047" s="17" t="s">
        <v>198</v>
      </c>
      <c r="FE1047" s="18">
        <v>45723.34888888889</v>
      </c>
      <c r="FF1047" s="19"/>
      <c r="FG1047" s="19"/>
      <c r="FH1047" s="21" t="s">
        <v>197</v>
      </c>
      <c r="FI1047" s="17" t="s">
        <v>214</v>
      </c>
      <c r="FJ1047" s="18">
        <v>45723.34888888889</v>
      </c>
      <c r="FK1047" s="14" t="s">
        <v>20469</v>
      </c>
      <c r="FL1047" s="14" t="s">
        <v>20470</v>
      </c>
      <c r="FM1047" s="14" t="s">
        <v>20471</v>
      </c>
      <c r="FN1047" s="19"/>
      <c r="FO1047" s="19"/>
      <c r="FP1047" s="19" t="str">
        <f t="shared" si="1"/>
        <v>Base de Dados_Images/XV40057.Imagem do Equipamento-.142227.jpg</v>
      </c>
      <c r="FQ1047" s="19"/>
      <c r="FR1047" s="19"/>
    </row>
    <row r="1048" ht="15.75" customHeight="1">
      <c r="A1048" s="12" t="s">
        <v>217</v>
      </c>
      <c r="B1048" s="12" t="s">
        <v>11468</v>
      </c>
      <c r="C1048" s="12" t="s">
        <v>219</v>
      </c>
      <c r="D1048" s="22" t="s">
        <v>20472</v>
      </c>
      <c r="E1048" s="22" t="s">
        <v>20473</v>
      </c>
      <c r="F1048" s="13" t="s">
        <v>178</v>
      </c>
      <c r="G1048" s="14" t="s">
        <v>179</v>
      </c>
      <c r="H1048" s="14" t="s">
        <v>20474</v>
      </c>
      <c r="I1048" s="14" t="s">
        <v>179</v>
      </c>
      <c r="J1048" s="14" t="s">
        <v>20475</v>
      </c>
      <c r="K1048" s="14" t="s">
        <v>179</v>
      </c>
      <c r="L1048" s="14" t="s">
        <v>20476</v>
      </c>
      <c r="M1048" s="14" t="s">
        <v>179</v>
      </c>
      <c r="N1048" s="14" t="s">
        <v>20477</v>
      </c>
      <c r="O1048" s="14" t="s">
        <v>179</v>
      </c>
      <c r="P1048" s="14" t="s">
        <v>20478</v>
      </c>
      <c r="Q1048" s="14" t="s">
        <v>179</v>
      </c>
      <c r="R1048" s="14" t="s">
        <v>20479</v>
      </c>
      <c r="S1048" s="14" t="s">
        <v>179</v>
      </c>
      <c r="T1048" s="14" t="s">
        <v>20480</v>
      </c>
      <c r="U1048" s="14" t="s">
        <v>179</v>
      </c>
      <c r="V1048" s="14" t="s">
        <v>20481</v>
      </c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  <c r="AX1048" s="15"/>
      <c r="AY1048" s="15"/>
      <c r="AZ1048" s="15"/>
      <c r="BA1048" s="15"/>
      <c r="BB1048" s="15"/>
      <c r="BC1048" s="15"/>
      <c r="BD1048" s="15"/>
      <c r="BE1048" s="15"/>
      <c r="BF1048" s="15"/>
      <c r="BG1048" s="15"/>
      <c r="BH1048" s="15"/>
      <c r="BI1048" s="15"/>
      <c r="BJ1048" s="15"/>
      <c r="BK1048" s="15"/>
      <c r="BL1048" s="15"/>
      <c r="BM1048" s="15"/>
      <c r="BN1048" s="15"/>
      <c r="BO1048" s="16" t="s">
        <v>197</v>
      </c>
      <c r="BP1048" s="17" t="s">
        <v>228</v>
      </c>
      <c r="BQ1048" s="23"/>
      <c r="BR1048" s="17" t="s">
        <v>198</v>
      </c>
      <c r="BS1048" s="18">
        <v>45686.480416666665</v>
      </c>
      <c r="BT1048" s="17" t="s">
        <v>198</v>
      </c>
      <c r="BU1048" s="18">
        <v>45686.480416666665</v>
      </c>
      <c r="BV1048" s="13" t="s">
        <v>199</v>
      </c>
      <c r="BW1048" s="14" t="s">
        <v>179</v>
      </c>
      <c r="BX1048" s="14" t="s">
        <v>20482</v>
      </c>
      <c r="BY1048" s="14" t="s">
        <v>179</v>
      </c>
      <c r="BZ1048" s="14" t="s">
        <v>20483</v>
      </c>
      <c r="CA1048" s="15"/>
      <c r="CB1048" s="15"/>
      <c r="CC1048" s="15"/>
      <c r="CD1048" s="15"/>
      <c r="CE1048" s="15"/>
      <c r="CF1048" s="15"/>
      <c r="CG1048" s="19"/>
      <c r="CH1048" s="15"/>
      <c r="CI1048" s="19"/>
      <c r="CJ1048" s="15"/>
      <c r="CK1048" s="19"/>
      <c r="CL1048" s="15"/>
      <c r="CM1048" s="19"/>
      <c r="CN1048" s="15"/>
      <c r="CO1048" s="19"/>
      <c r="CP1048" s="15"/>
      <c r="CQ1048" s="15"/>
      <c r="CR1048" s="15"/>
      <c r="CS1048" s="19"/>
      <c r="CT1048" s="15"/>
      <c r="CU1048" s="19"/>
      <c r="CV1048" s="15"/>
      <c r="CW1048" s="19"/>
      <c r="CX1048" s="15"/>
      <c r="CY1048" s="19"/>
      <c r="CZ1048" s="15"/>
      <c r="DA1048" s="16" t="s">
        <v>197</v>
      </c>
      <c r="DB1048" s="17" t="s">
        <v>228</v>
      </c>
      <c r="DC1048" s="16"/>
      <c r="DD1048" s="17" t="s">
        <v>198</v>
      </c>
      <c r="DE1048" s="18">
        <v>45700.62184027778</v>
      </c>
      <c r="DF1048" s="17" t="s">
        <v>198</v>
      </c>
      <c r="DG1048" s="18">
        <v>45700.62184027778</v>
      </c>
      <c r="DH1048" s="13" t="s">
        <v>205</v>
      </c>
      <c r="DI1048" s="14" t="s">
        <v>179</v>
      </c>
      <c r="DJ1048" s="14" t="s">
        <v>20484</v>
      </c>
      <c r="DK1048" s="15"/>
      <c r="DL1048" s="15"/>
      <c r="DM1048" s="15"/>
      <c r="DN1048" s="15"/>
      <c r="DO1048" s="15"/>
      <c r="DP1048" s="15"/>
      <c r="DQ1048" s="15"/>
      <c r="DR1048" s="15"/>
      <c r="DS1048" s="15"/>
      <c r="DT1048" s="15"/>
      <c r="DU1048" s="15"/>
      <c r="DV1048" s="15"/>
      <c r="DW1048" s="15"/>
      <c r="DX1048" s="15"/>
      <c r="DY1048" s="15"/>
      <c r="DZ1048" s="15"/>
      <c r="EA1048" s="15"/>
      <c r="EB1048" s="15"/>
      <c r="EC1048" s="16" t="s">
        <v>197</v>
      </c>
      <c r="ED1048" s="17" t="s">
        <v>198</v>
      </c>
      <c r="EE1048" s="18">
        <v>45700.621932870374</v>
      </c>
      <c r="EF1048" s="13" t="s">
        <v>209</v>
      </c>
      <c r="EG1048" s="14" t="s">
        <v>179</v>
      </c>
      <c r="EH1048" s="14" t="s">
        <v>20485</v>
      </c>
      <c r="EI1048" s="15"/>
      <c r="EJ1048" s="15"/>
      <c r="EK1048" s="15"/>
      <c r="EL1048" s="15"/>
      <c r="EM1048" s="15"/>
      <c r="EN1048" s="15"/>
      <c r="EO1048" s="15"/>
      <c r="EP1048" s="15"/>
      <c r="EQ1048" s="15"/>
      <c r="ER1048" s="15"/>
      <c r="ES1048" s="15"/>
      <c r="ET1048" s="15"/>
      <c r="EU1048" s="15"/>
      <c r="EV1048" s="15"/>
      <c r="EW1048" s="15"/>
      <c r="EX1048" s="15"/>
      <c r="EY1048" s="15"/>
      <c r="EZ1048" s="15"/>
      <c r="FA1048" s="15"/>
      <c r="FB1048" s="15"/>
      <c r="FC1048" s="16" t="s">
        <v>197</v>
      </c>
      <c r="FD1048" s="17" t="s">
        <v>198</v>
      </c>
      <c r="FE1048" s="18">
        <v>45723.34900462963</v>
      </c>
      <c r="FF1048" s="19"/>
      <c r="FG1048" s="19"/>
      <c r="FH1048" s="21" t="s">
        <v>197</v>
      </c>
      <c r="FI1048" s="17" t="s">
        <v>214</v>
      </c>
      <c r="FJ1048" s="18">
        <v>45723.34900462963</v>
      </c>
      <c r="FK1048" s="14" t="s">
        <v>20485</v>
      </c>
      <c r="FL1048" s="14" t="s">
        <v>20486</v>
      </c>
      <c r="FM1048" s="14" t="s">
        <v>20487</v>
      </c>
      <c r="FN1048" s="19"/>
      <c r="FO1048" s="19"/>
      <c r="FP1048" s="19" t="str">
        <f t="shared" si="1"/>
        <v>Base de Dados_Images/XV40058.Imagem do Equipamento-.143120.jpg</v>
      </c>
      <c r="FQ1048" s="19"/>
      <c r="FR1048" s="19"/>
    </row>
    <row r="1049" ht="15.75" customHeight="1">
      <c r="A1049" s="25" t="s">
        <v>217</v>
      </c>
      <c r="B1049" s="25" t="s">
        <v>11468</v>
      </c>
      <c r="C1049" s="26" t="s">
        <v>219</v>
      </c>
      <c r="D1049" s="25" t="s">
        <v>20488</v>
      </c>
      <c r="E1049" s="25" t="s">
        <v>20489</v>
      </c>
      <c r="F1049" s="27" t="s">
        <v>178</v>
      </c>
      <c r="G1049" s="14" t="s">
        <v>179</v>
      </c>
      <c r="H1049" s="14" t="s">
        <v>20490</v>
      </c>
      <c r="I1049" s="14" t="s">
        <v>179</v>
      </c>
      <c r="J1049" s="14" t="s">
        <v>20491</v>
      </c>
      <c r="K1049" s="14" t="s">
        <v>179</v>
      </c>
      <c r="L1049" s="14" t="s">
        <v>20492</v>
      </c>
      <c r="M1049" s="14" t="s">
        <v>179</v>
      </c>
      <c r="N1049" s="14" t="s">
        <v>20493</v>
      </c>
      <c r="O1049" s="14" t="s">
        <v>179</v>
      </c>
      <c r="P1049" s="14" t="s">
        <v>20494</v>
      </c>
      <c r="Q1049" s="14" t="s">
        <v>179</v>
      </c>
      <c r="R1049" s="14" t="s">
        <v>20495</v>
      </c>
      <c r="S1049" s="14" t="s">
        <v>179</v>
      </c>
      <c r="T1049" s="14" t="s">
        <v>20496</v>
      </c>
      <c r="U1049" s="14" t="s">
        <v>179</v>
      </c>
      <c r="V1049" s="14" t="s">
        <v>20497</v>
      </c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  <c r="BH1049" s="15"/>
      <c r="BI1049" s="15"/>
      <c r="BJ1049" s="15"/>
      <c r="BK1049" s="15"/>
      <c r="BL1049" s="15"/>
      <c r="BM1049" s="15"/>
      <c r="BN1049" s="15"/>
      <c r="BO1049" s="17" t="s">
        <v>197</v>
      </c>
      <c r="BP1049" s="17" t="s">
        <v>228</v>
      </c>
      <c r="BQ1049" s="18"/>
      <c r="BR1049" s="17" t="s">
        <v>198</v>
      </c>
      <c r="BS1049" s="18">
        <v>45708.53298611111</v>
      </c>
      <c r="BT1049" s="17" t="s">
        <v>198</v>
      </c>
      <c r="BU1049" s="18">
        <v>45708.53298611111</v>
      </c>
      <c r="BV1049" s="27" t="s">
        <v>199</v>
      </c>
      <c r="BW1049" s="14" t="s">
        <v>179</v>
      </c>
      <c r="BX1049" s="14" t="s">
        <v>20498</v>
      </c>
      <c r="BY1049" s="14" t="s">
        <v>179</v>
      </c>
      <c r="BZ1049" s="14" t="s">
        <v>20499</v>
      </c>
      <c r="CA1049" s="14"/>
      <c r="CB1049" s="14"/>
      <c r="CC1049" s="14"/>
      <c r="CD1049" s="14"/>
      <c r="CE1049" s="14"/>
      <c r="CF1049" s="14"/>
      <c r="CG1049" s="14"/>
      <c r="CH1049" s="14"/>
      <c r="CI1049" s="19"/>
      <c r="CJ1049" s="15"/>
      <c r="CK1049" s="19"/>
      <c r="CL1049" s="15"/>
      <c r="CM1049" s="19"/>
      <c r="CN1049" s="15"/>
      <c r="CO1049" s="19"/>
      <c r="CP1049" s="15"/>
      <c r="CQ1049" s="15"/>
      <c r="CR1049" s="15"/>
      <c r="CS1049" s="19"/>
      <c r="CT1049" s="15"/>
      <c r="CU1049" s="19"/>
      <c r="CV1049" s="15"/>
      <c r="CW1049" s="19"/>
      <c r="CX1049" s="15"/>
      <c r="CY1049" s="19"/>
      <c r="CZ1049" s="15"/>
      <c r="DA1049" s="17" t="s">
        <v>197</v>
      </c>
      <c r="DB1049" s="17" t="s">
        <v>228</v>
      </c>
      <c r="DC1049" s="20"/>
      <c r="DD1049" s="17" t="s">
        <v>198</v>
      </c>
      <c r="DE1049" s="18">
        <v>45708.533171296294</v>
      </c>
      <c r="DF1049" s="17" t="s">
        <v>198</v>
      </c>
      <c r="DG1049" s="18">
        <v>45708.533171296294</v>
      </c>
      <c r="DH1049" s="27" t="s">
        <v>205</v>
      </c>
      <c r="DI1049" s="14" t="s">
        <v>179</v>
      </c>
      <c r="DJ1049" s="14" t="s">
        <v>20500</v>
      </c>
      <c r="DK1049" s="15"/>
      <c r="DL1049" s="15"/>
      <c r="DM1049" s="15"/>
      <c r="DN1049" s="15"/>
      <c r="DO1049" s="15"/>
      <c r="DP1049" s="15"/>
      <c r="DQ1049" s="15"/>
      <c r="DR1049" s="15"/>
      <c r="DS1049" s="15"/>
      <c r="DT1049" s="15"/>
      <c r="DU1049" s="15"/>
      <c r="DV1049" s="15"/>
      <c r="DW1049" s="15"/>
      <c r="DX1049" s="15"/>
      <c r="DY1049" s="15"/>
      <c r="DZ1049" s="15"/>
      <c r="EA1049" s="15"/>
      <c r="EB1049" s="15"/>
      <c r="EC1049" s="17" t="s">
        <v>197</v>
      </c>
      <c r="ED1049" s="17" t="s">
        <v>198</v>
      </c>
      <c r="EE1049" s="18">
        <v>45708.533229166664</v>
      </c>
      <c r="EF1049" s="27" t="s">
        <v>209</v>
      </c>
      <c r="EG1049" s="14" t="s">
        <v>179</v>
      </c>
      <c r="EH1049" s="14" t="s">
        <v>20501</v>
      </c>
      <c r="EI1049" s="15"/>
      <c r="EJ1049" s="15"/>
      <c r="EK1049" s="15"/>
      <c r="EL1049" s="15"/>
      <c r="EM1049" s="15"/>
      <c r="EN1049" s="15"/>
      <c r="EO1049" s="15"/>
      <c r="EP1049" s="15"/>
      <c r="EQ1049" s="15"/>
      <c r="ER1049" s="15"/>
      <c r="ES1049" s="15"/>
      <c r="ET1049" s="15"/>
      <c r="EU1049" s="15"/>
      <c r="EV1049" s="15"/>
      <c r="EW1049" s="15"/>
      <c r="EX1049" s="15"/>
      <c r="EY1049" s="15"/>
      <c r="EZ1049" s="15"/>
      <c r="FA1049" s="15"/>
      <c r="FB1049" s="15"/>
      <c r="FC1049" s="17" t="s">
        <v>197</v>
      </c>
      <c r="FD1049" s="17" t="s">
        <v>198</v>
      </c>
      <c r="FE1049" s="18">
        <v>45723.3490625</v>
      </c>
      <c r="FF1049" s="19"/>
      <c r="FG1049" s="19"/>
      <c r="FH1049" s="17" t="s">
        <v>197</v>
      </c>
      <c r="FI1049" s="17" t="s">
        <v>214</v>
      </c>
      <c r="FJ1049" s="18">
        <v>45723.3490625</v>
      </c>
      <c r="FK1049" s="14" t="s">
        <v>20501</v>
      </c>
      <c r="FL1049" s="14"/>
      <c r="FM1049" s="14"/>
      <c r="FN1049" s="19"/>
      <c r="FO1049" s="19"/>
      <c r="FP1049" s="19" t="str">
        <f t="shared" si="1"/>
        <v/>
      </c>
      <c r="FQ1049" s="14" t="s">
        <v>215</v>
      </c>
      <c r="FR1049" s="14" t="s">
        <v>20502</v>
      </c>
    </row>
    <row r="1050" ht="15.75" customHeight="1">
      <c r="A1050" s="12" t="s">
        <v>217</v>
      </c>
      <c r="B1050" s="12" t="s">
        <v>11468</v>
      </c>
      <c r="C1050" s="12" t="s">
        <v>219</v>
      </c>
      <c r="D1050" s="22" t="s">
        <v>20503</v>
      </c>
      <c r="E1050" s="22" t="s">
        <v>20504</v>
      </c>
      <c r="F1050" s="13" t="s">
        <v>178</v>
      </c>
      <c r="G1050" s="14" t="s">
        <v>179</v>
      </c>
      <c r="H1050" s="14" t="s">
        <v>20505</v>
      </c>
      <c r="I1050" s="14" t="s">
        <v>179</v>
      </c>
      <c r="J1050" s="14" t="s">
        <v>20506</v>
      </c>
      <c r="K1050" s="14" t="s">
        <v>179</v>
      </c>
      <c r="L1050" s="14" t="s">
        <v>20507</v>
      </c>
      <c r="M1050" s="14" t="s">
        <v>179</v>
      </c>
      <c r="N1050" s="14" t="s">
        <v>20508</v>
      </c>
      <c r="O1050" s="14" t="s">
        <v>179</v>
      </c>
      <c r="P1050" s="14" t="s">
        <v>20509</v>
      </c>
      <c r="Q1050" s="14" t="s">
        <v>179</v>
      </c>
      <c r="R1050" s="14" t="s">
        <v>20510</v>
      </c>
      <c r="S1050" s="14" t="s">
        <v>179</v>
      </c>
      <c r="T1050" s="14" t="s">
        <v>20511</v>
      </c>
      <c r="U1050" s="14" t="s">
        <v>179</v>
      </c>
      <c r="V1050" s="14" t="s">
        <v>20512</v>
      </c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s="15"/>
      <c r="BE1050" s="15"/>
      <c r="BF1050" s="15"/>
      <c r="BG1050" s="15"/>
      <c r="BH1050" s="15"/>
      <c r="BI1050" s="15"/>
      <c r="BJ1050" s="15"/>
      <c r="BK1050" s="15"/>
      <c r="BL1050" s="15"/>
      <c r="BM1050" s="15"/>
      <c r="BN1050" s="15"/>
      <c r="BO1050" s="16" t="s">
        <v>197</v>
      </c>
      <c r="BP1050" s="17" t="s">
        <v>228</v>
      </c>
      <c r="BQ1050" s="23"/>
      <c r="BR1050" s="17" t="s">
        <v>198</v>
      </c>
      <c r="BS1050" s="18">
        <v>45686.481307870374</v>
      </c>
      <c r="BT1050" s="17" t="s">
        <v>198</v>
      </c>
      <c r="BU1050" s="18">
        <v>45686.481307870374</v>
      </c>
      <c r="BV1050" s="13" t="s">
        <v>199</v>
      </c>
      <c r="BW1050" s="14" t="s">
        <v>179</v>
      </c>
      <c r="BX1050" s="14" t="s">
        <v>20513</v>
      </c>
      <c r="BY1050" s="14" t="s">
        <v>179</v>
      </c>
      <c r="BZ1050" s="14" t="s">
        <v>20514</v>
      </c>
      <c r="CA1050" s="15"/>
      <c r="CB1050" s="15"/>
      <c r="CC1050" s="15"/>
      <c r="CD1050" s="15"/>
      <c r="CE1050" s="15"/>
      <c r="CF1050" s="15"/>
      <c r="CG1050" s="19"/>
      <c r="CH1050" s="15"/>
      <c r="CI1050" s="19"/>
      <c r="CJ1050" s="15"/>
      <c r="CK1050" s="19"/>
      <c r="CL1050" s="15"/>
      <c r="CM1050" s="19"/>
      <c r="CN1050" s="15"/>
      <c r="CO1050" s="19"/>
      <c r="CP1050" s="15"/>
      <c r="CQ1050" s="15"/>
      <c r="CR1050" s="15"/>
      <c r="CS1050" s="19"/>
      <c r="CT1050" s="15"/>
      <c r="CU1050" s="19"/>
      <c r="CV1050" s="15"/>
      <c r="CW1050" s="19"/>
      <c r="CX1050" s="15"/>
      <c r="CY1050" s="19"/>
      <c r="CZ1050" s="15"/>
      <c r="DA1050" s="16" t="s">
        <v>197</v>
      </c>
      <c r="DB1050" s="17" t="s">
        <v>228</v>
      </c>
      <c r="DC1050" s="16"/>
      <c r="DD1050" s="17" t="s">
        <v>198</v>
      </c>
      <c r="DE1050" s="18">
        <v>45700.62216435185</v>
      </c>
      <c r="DF1050" s="17" t="s">
        <v>198</v>
      </c>
      <c r="DG1050" s="18">
        <v>45700.62216435185</v>
      </c>
      <c r="DH1050" s="13" t="s">
        <v>205</v>
      </c>
      <c r="DI1050" s="14" t="s">
        <v>179</v>
      </c>
      <c r="DJ1050" s="14" t="s">
        <v>20515</v>
      </c>
      <c r="DK1050" s="15"/>
      <c r="DL1050" s="15"/>
      <c r="DM1050" s="15"/>
      <c r="DN1050" s="15"/>
      <c r="DO1050" s="15"/>
      <c r="DP1050" s="15"/>
      <c r="DQ1050" s="15"/>
      <c r="DR1050" s="15"/>
      <c r="DS1050" s="15"/>
      <c r="DT1050" s="15"/>
      <c r="DU1050" s="15"/>
      <c r="DV1050" s="15"/>
      <c r="DW1050" s="15"/>
      <c r="DX1050" s="15"/>
      <c r="DY1050" s="15"/>
      <c r="DZ1050" s="15"/>
      <c r="EA1050" s="15"/>
      <c r="EB1050" s="15"/>
      <c r="EC1050" s="16" t="s">
        <v>197</v>
      </c>
      <c r="ED1050" s="17" t="s">
        <v>198</v>
      </c>
      <c r="EE1050" s="18">
        <v>45700.62241898148</v>
      </c>
      <c r="EF1050" s="13" t="s">
        <v>209</v>
      </c>
      <c r="EG1050" s="14" t="s">
        <v>179</v>
      </c>
      <c r="EH1050" s="14" t="s">
        <v>20516</v>
      </c>
      <c r="EI1050" s="15"/>
      <c r="EJ1050" s="15"/>
      <c r="EK1050" s="15"/>
      <c r="EL1050" s="15"/>
      <c r="EM1050" s="15"/>
      <c r="EN1050" s="15"/>
      <c r="EO1050" s="15"/>
      <c r="EP1050" s="15"/>
      <c r="EQ1050" s="15"/>
      <c r="ER1050" s="15"/>
      <c r="ES1050" s="15"/>
      <c r="ET1050" s="15"/>
      <c r="EU1050" s="15"/>
      <c r="EV1050" s="15"/>
      <c r="EW1050" s="15"/>
      <c r="EX1050" s="15"/>
      <c r="EY1050" s="15"/>
      <c r="EZ1050" s="15"/>
      <c r="FA1050" s="15"/>
      <c r="FB1050" s="15"/>
      <c r="FC1050" s="16" t="s">
        <v>197</v>
      </c>
      <c r="FD1050" s="17" t="s">
        <v>198</v>
      </c>
      <c r="FE1050" s="18">
        <v>45723.349131944444</v>
      </c>
      <c r="FF1050" s="19"/>
      <c r="FG1050" s="19"/>
      <c r="FH1050" s="21" t="s">
        <v>197</v>
      </c>
      <c r="FI1050" s="17" t="s">
        <v>214</v>
      </c>
      <c r="FJ1050" s="18">
        <v>45723.349131944444</v>
      </c>
      <c r="FK1050" s="14" t="s">
        <v>20516</v>
      </c>
      <c r="FL1050" s="14" t="s">
        <v>20517</v>
      </c>
      <c r="FM1050" s="14" t="s">
        <v>20518</v>
      </c>
      <c r="FN1050" s="19"/>
      <c r="FO1050" s="19"/>
      <c r="FP1050" s="19" t="str">
        <f t="shared" si="1"/>
        <v>Base de Dados_Images/XV40060.Imagem do Equipamento-.143242.jpg</v>
      </c>
      <c r="FQ1050" s="19"/>
      <c r="FR1050" s="19"/>
    </row>
    <row r="1051" ht="15.75" customHeight="1">
      <c r="A1051" s="12" t="s">
        <v>217</v>
      </c>
      <c r="B1051" s="12" t="s">
        <v>11468</v>
      </c>
      <c r="C1051" s="12" t="s">
        <v>219</v>
      </c>
      <c r="D1051" s="22" t="s">
        <v>20519</v>
      </c>
      <c r="E1051" s="22" t="s">
        <v>20520</v>
      </c>
      <c r="F1051" s="13" t="s">
        <v>178</v>
      </c>
      <c r="G1051" s="14" t="s">
        <v>179</v>
      </c>
      <c r="H1051" s="14" t="s">
        <v>20521</v>
      </c>
      <c r="I1051" s="14" t="s">
        <v>179</v>
      </c>
      <c r="J1051" s="14" t="s">
        <v>20522</v>
      </c>
      <c r="K1051" s="14" t="s">
        <v>179</v>
      </c>
      <c r="L1051" s="14" t="s">
        <v>20523</v>
      </c>
      <c r="M1051" s="14" t="s">
        <v>179</v>
      </c>
      <c r="N1051" s="14" t="s">
        <v>20524</v>
      </c>
      <c r="O1051" s="14" t="s">
        <v>179</v>
      </c>
      <c r="P1051" s="14" t="s">
        <v>20525</v>
      </c>
      <c r="Q1051" s="14" t="s">
        <v>179</v>
      </c>
      <c r="R1051" s="14" t="s">
        <v>20526</v>
      </c>
      <c r="S1051" s="14" t="s">
        <v>179</v>
      </c>
      <c r="T1051" s="14" t="s">
        <v>20527</v>
      </c>
      <c r="U1051" s="14" t="s">
        <v>179</v>
      </c>
      <c r="V1051" s="14" t="s">
        <v>20528</v>
      </c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  <c r="BH1051" s="15"/>
      <c r="BI1051" s="15"/>
      <c r="BJ1051" s="15"/>
      <c r="BK1051" s="15"/>
      <c r="BL1051" s="15"/>
      <c r="BM1051" s="15"/>
      <c r="BN1051" s="15"/>
      <c r="BO1051" s="16" t="s">
        <v>197</v>
      </c>
      <c r="BP1051" s="17" t="s">
        <v>228</v>
      </c>
      <c r="BQ1051" s="23"/>
      <c r="BR1051" s="17" t="s">
        <v>198</v>
      </c>
      <c r="BS1051" s="18">
        <v>45686.588738425926</v>
      </c>
      <c r="BT1051" s="17" t="s">
        <v>198</v>
      </c>
      <c r="BU1051" s="18">
        <v>45686.588738425926</v>
      </c>
      <c r="BV1051" s="13" t="s">
        <v>199</v>
      </c>
      <c r="BW1051" s="14" t="s">
        <v>179</v>
      </c>
      <c r="BX1051" s="14" t="s">
        <v>20529</v>
      </c>
      <c r="BY1051" s="14" t="s">
        <v>179</v>
      </c>
      <c r="BZ1051" s="14" t="s">
        <v>20530</v>
      </c>
      <c r="CA1051" s="15"/>
      <c r="CB1051" s="15"/>
      <c r="CC1051" s="15"/>
      <c r="CD1051" s="15"/>
      <c r="CE1051" s="15"/>
      <c r="CF1051" s="15"/>
      <c r="CG1051" s="19"/>
      <c r="CH1051" s="15"/>
      <c r="CI1051" s="19"/>
      <c r="CJ1051" s="15"/>
      <c r="CK1051" s="19"/>
      <c r="CL1051" s="15"/>
      <c r="CM1051" s="19"/>
      <c r="CN1051" s="15"/>
      <c r="CO1051" s="19"/>
      <c r="CP1051" s="15"/>
      <c r="CQ1051" s="15"/>
      <c r="CR1051" s="15"/>
      <c r="CS1051" s="19"/>
      <c r="CT1051" s="15"/>
      <c r="CU1051" s="19"/>
      <c r="CV1051" s="15"/>
      <c r="CW1051" s="19"/>
      <c r="CX1051" s="15"/>
      <c r="CY1051" s="19"/>
      <c r="CZ1051" s="15"/>
      <c r="DA1051" s="16" t="s">
        <v>197</v>
      </c>
      <c r="DB1051" s="17" t="s">
        <v>228</v>
      </c>
      <c r="DC1051" s="16"/>
      <c r="DD1051" s="17" t="s">
        <v>198</v>
      </c>
      <c r="DE1051" s="18">
        <v>45700.62262731481</v>
      </c>
      <c r="DF1051" s="17" t="s">
        <v>198</v>
      </c>
      <c r="DG1051" s="18">
        <v>45700.62262731481</v>
      </c>
      <c r="DH1051" s="13" t="s">
        <v>205</v>
      </c>
      <c r="DI1051" s="14" t="s">
        <v>179</v>
      </c>
      <c r="DJ1051" s="14" t="s">
        <v>20531</v>
      </c>
      <c r="DK1051" s="15"/>
      <c r="DL1051" s="15"/>
      <c r="DM1051" s="15"/>
      <c r="DN1051" s="15"/>
      <c r="DO1051" s="15"/>
      <c r="DP1051" s="15"/>
      <c r="DQ1051" s="15"/>
      <c r="DR1051" s="15"/>
      <c r="DS1051" s="15"/>
      <c r="DT1051" s="15"/>
      <c r="DU1051" s="15"/>
      <c r="DV1051" s="15"/>
      <c r="DW1051" s="15"/>
      <c r="DX1051" s="15"/>
      <c r="DY1051" s="15"/>
      <c r="DZ1051" s="15"/>
      <c r="EA1051" s="15"/>
      <c r="EB1051" s="15"/>
      <c r="EC1051" s="16" t="s">
        <v>197</v>
      </c>
      <c r="ED1051" s="17" t="s">
        <v>198</v>
      </c>
      <c r="EE1051" s="18">
        <v>45700.62274305556</v>
      </c>
      <c r="EF1051" s="13" t="s">
        <v>209</v>
      </c>
      <c r="EG1051" s="14" t="s">
        <v>179</v>
      </c>
      <c r="EH1051" s="14" t="s">
        <v>20532</v>
      </c>
      <c r="EI1051" s="15"/>
      <c r="EJ1051" s="15"/>
      <c r="EK1051" s="15"/>
      <c r="EL1051" s="15"/>
      <c r="EM1051" s="15"/>
      <c r="EN1051" s="15"/>
      <c r="EO1051" s="15"/>
      <c r="EP1051" s="15"/>
      <c r="EQ1051" s="15"/>
      <c r="ER1051" s="15"/>
      <c r="ES1051" s="15"/>
      <c r="ET1051" s="15"/>
      <c r="EU1051" s="15"/>
      <c r="EV1051" s="15"/>
      <c r="EW1051" s="15"/>
      <c r="EX1051" s="15"/>
      <c r="EY1051" s="15"/>
      <c r="EZ1051" s="15"/>
      <c r="FA1051" s="15"/>
      <c r="FB1051" s="15"/>
      <c r="FC1051" s="16" t="s">
        <v>197</v>
      </c>
      <c r="FD1051" s="17" t="s">
        <v>198</v>
      </c>
      <c r="FE1051" s="18">
        <v>45723.34920138889</v>
      </c>
      <c r="FF1051" s="19"/>
      <c r="FG1051" s="19"/>
      <c r="FH1051" s="21" t="s">
        <v>197</v>
      </c>
      <c r="FI1051" s="17" t="s">
        <v>214</v>
      </c>
      <c r="FJ1051" s="18">
        <v>45723.34920138889</v>
      </c>
      <c r="FK1051" s="14" t="s">
        <v>20532</v>
      </c>
      <c r="FL1051" s="14" t="s">
        <v>20533</v>
      </c>
      <c r="FM1051" s="14" t="s">
        <v>20534</v>
      </c>
      <c r="FN1051" s="19"/>
      <c r="FO1051" s="19"/>
      <c r="FP1051" s="19" t="str">
        <f t="shared" si="1"/>
        <v>Base de Dados_Images/XV40061.Imagem do Equipamento-.191008.jpg</v>
      </c>
      <c r="FQ1051" s="19"/>
      <c r="FR1051" s="19"/>
    </row>
    <row r="1052" ht="15.75" customHeight="1">
      <c r="A1052" s="12" t="s">
        <v>217</v>
      </c>
      <c r="B1052" s="12" t="s">
        <v>7566</v>
      </c>
      <c r="C1052" s="12" t="s">
        <v>219</v>
      </c>
      <c r="D1052" s="22" t="s">
        <v>20535</v>
      </c>
      <c r="E1052" s="22" t="s">
        <v>20536</v>
      </c>
      <c r="F1052" s="13" t="s">
        <v>178</v>
      </c>
      <c r="G1052" s="14" t="s">
        <v>179</v>
      </c>
      <c r="H1052" s="14" t="s">
        <v>20537</v>
      </c>
      <c r="I1052" s="14" t="s">
        <v>179</v>
      </c>
      <c r="J1052" s="14" t="s">
        <v>20538</v>
      </c>
      <c r="K1052" s="14" t="s">
        <v>179</v>
      </c>
      <c r="L1052" s="14" t="s">
        <v>20539</v>
      </c>
      <c r="M1052" s="14" t="s">
        <v>179</v>
      </c>
      <c r="N1052" s="14" t="s">
        <v>20540</v>
      </c>
      <c r="O1052" s="14" t="s">
        <v>179</v>
      </c>
      <c r="P1052" s="14" t="s">
        <v>20540</v>
      </c>
      <c r="Q1052" s="14" t="s">
        <v>179</v>
      </c>
      <c r="R1052" s="14" t="s">
        <v>20541</v>
      </c>
      <c r="S1052" s="14" t="s">
        <v>179</v>
      </c>
      <c r="T1052" s="14" t="s">
        <v>20542</v>
      </c>
      <c r="U1052" s="14" t="s">
        <v>179</v>
      </c>
      <c r="V1052" s="14" t="s">
        <v>20543</v>
      </c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  <c r="AX1052" s="15"/>
      <c r="AY1052" s="15"/>
      <c r="AZ1052" s="15"/>
      <c r="BA1052" s="15"/>
      <c r="BB1052" s="15"/>
      <c r="BC1052" s="15"/>
      <c r="BD1052" s="15"/>
      <c r="BE1052" s="15"/>
      <c r="BF1052" s="15"/>
      <c r="BG1052" s="15"/>
      <c r="BH1052" s="15"/>
      <c r="BI1052" s="15"/>
      <c r="BJ1052" s="15"/>
      <c r="BK1052" s="15"/>
      <c r="BL1052" s="15"/>
      <c r="BM1052" s="15"/>
      <c r="BN1052" s="15"/>
      <c r="BO1052" s="16" t="s">
        <v>197</v>
      </c>
      <c r="BP1052" s="17" t="s">
        <v>228</v>
      </c>
      <c r="BQ1052" s="23"/>
      <c r="BR1052" s="17" t="s">
        <v>198</v>
      </c>
      <c r="BS1052" s="18">
        <v>45699.422939814816</v>
      </c>
      <c r="BT1052" s="17" t="s">
        <v>198</v>
      </c>
      <c r="BU1052" s="18">
        <v>45699.422939814816</v>
      </c>
      <c r="BV1052" s="13" t="s">
        <v>199</v>
      </c>
      <c r="BW1052" s="14" t="s">
        <v>179</v>
      </c>
      <c r="BX1052" s="14" t="s">
        <v>20544</v>
      </c>
      <c r="BY1052" s="14" t="s">
        <v>179</v>
      </c>
      <c r="BZ1052" s="14" t="s">
        <v>20545</v>
      </c>
      <c r="CA1052" s="15"/>
      <c r="CB1052" s="15"/>
      <c r="CC1052" s="15"/>
      <c r="CD1052" s="15"/>
      <c r="CE1052" s="15"/>
      <c r="CF1052" s="15"/>
      <c r="CG1052" s="19"/>
      <c r="CH1052" s="15"/>
      <c r="CI1052" s="19"/>
      <c r="CJ1052" s="15"/>
      <c r="CK1052" s="19"/>
      <c r="CL1052" s="15"/>
      <c r="CM1052" s="19"/>
      <c r="CN1052" s="15"/>
      <c r="CO1052" s="19"/>
      <c r="CP1052" s="15"/>
      <c r="CQ1052" s="15"/>
      <c r="CR1052" s="15"/>
      <c r="CS1052" s="19"/>
      <c r="CT1052" s="15"/>
      <c r="CU1052" s="19"/>
      <c r="CV1052" s="15"/>
      <c r="CW1052" s="19"/>
      <c r="CX1052" s="15"/>
      <c r="CY1052" s="19"/>
      <c r="CZ1052" s="15"/>
      <c r="DA1052" s="16" t="s">
        <v>197</v>
      </c>
      <c r="DB1052" s="17" t="s">
        <v>228</v>
      </c>
      <c r="DC1052" s="16"/>
      <c r="DD1052" s="17" t="s">
        <v>198</v>
      </c>
      <c r="DE1052" s="18">
        <v>45699.423101851855</v>
      </c>
      <c r="DF1052" s="17" t="s">
        <v>198</v>
      </c>
      <c r="DG1052" s="18">
        <v>45699.423101851855</v>
      </c>
      <c r="DH1052" s="13" t="s">
        <v>205</v>
      </c>
      <c r="DI1052" s="14" t="s">
        <v>179</v>
      </c>
      <c r="DJ1052" s="14" t="s">
        <v>20546</v>
      </c>
      <c r="DK1052" s="15"/>
      <c r="DL1052" s="15"/>
      <c r="DM1052" s="15"/>
      <c r="DN1052" s="15"/>
      <c r="DO1052" s="15"/>
      <c r="DP1052" s="15"/>
      <c r="DQ1052" s="15"/>
      <c r="DR1052" s="15"/>
      <c r="DS1052" s="15"/>
      <c r="DT1052" s="15"/>
      <c r="DU1052" s="15"/>
      <c r="DV1052" s="15"/>
      <c r="DW1052" s="15"/>
      <c r="DX1052" s="15"/>
      <c r="DY1052" s="15"/>
      <c r="DZ1052" s="15"/>
      <c r="EA1052" s="15"/>
      <c r="EB1052" s="15"/>
      <c r="EC1052" s="16" t="s">
        <v>197</v>
      </c>
      <c r="ED1052" s="17" t="s">
        <v>198</v>
      </c>
      <c r="EE1052" s="18">
        <v>45699.42359953704</v>
      </c>
      <c r="EF1052" s="13" t="s">
        <v>209</v>
      </c>
      <c r="EG1052" s="14" t="s">
        <v>179</v>
      </c>
      <c r="EH1052" s="14" t="s">
        <v>20547</v>
      </c>
      <c r="EI1052" s="15"/>
      <c r="EJ1052" s="15"/>
      <c r="EK1052" s="15"/>
      <c r="EL1052" s="15"/>
      <c r="EM1052" s="15"/>
      <c r="EN1052" s="15"/>
      <c r="EO1052" s="15"/>
      <c r="EP1052" s="15"/>
      <c r="EQ1052" s="15"/>
      <c r="ER1052" s="15"/>
      <c r="ES1052" s="15"/>
      <c r="ET1052" s="15"/>
      <c r="EU1052" s="15"/>
      <c r="EV1052" s="15"/>
      <c r="EW1052" s="15"/>
      <c r="EX1052" s="15"/>
      <c r="EY1052" s="15"/>
      <c r="EZ1052" s="15"/>
      <c r="FA1052" s="15"/>
      <c r="FB1052" s="15"/>
      <c r="FC1052" s="16" t="s">
        <v>197</v>
      </c>
      <c r="FD1052" s="17" t="s">
        <v>198</v>
      </c>
      <c r="FE1052" s="18">
        <v>45723.346296296295</v>
      </c>
      <c r="FF1052" s="19"/>
      <c r="FG1052" s="19"/>
      <c r="FH1052" s="21" t="s">
        <v>197</v>
      </c>
      <c r="FI1052" s="17" t="s">
        <v>214</v>
      </c>
      <c r="FJ1052" s="18">
        <v>45723.346296296295</v>
      </c>
      <c r="FK1052" s="14" t="s">
        <v>20547</v>
      </c>
      <c r="FL1052" s="19"/>
      <c r="FM1052" s="19"/>
      <c r="FN1052" s="19"/>
      <c r="FO1052" s="19"/>
      <c r="FP1052" s="19" t="str">
        <f t="shared" si="1"/>
        <v/>
      </c>
      <c r="FQ1052" s="14" t="s">
        <v>215</v>
      </c>
      <c r="FR1052" s="14" t="s">
        <v>20548</v>
      </c>
    </row>
    <row r="1053" ht="15.75" customHeight="1">
      <c r="A1053" s="12" t="s">
        <v>217</v>
      </c>
      <c r="B1053" s="12" t="s">
        <v>11468</v>
      </c>
      <c r="C1053" s="12" t="s">
        <v>219</v>
      </c>
      <c r="D1053" s="22" t="s">
        <v>20549</v>
      </c>
      <c r="E1053" s="22" t="s">
        <v>20550</v>
      </c>
      <c r="F1053" s="13" t="s">
        <v>178</v>
      </c>
      <c r="G1053" s="14" t="s">
        <v>179</v>
      </c>
      <c r="H1053" s="14" t="s">
        <v>20551</v>
      </c>
      <c r="I1053" s="14" t="s">
        <v>179</v>
      </c>
      <c r="J1053" s="14" t="s">
        <v>20552</v>
      </c>
      <c r="K1053" s="14" t="s">
        <v>179</v>
      </c>
      <c r="L1053" s="14" t="s">
        <v>20553</v>
      </c>
      <c r="M1053" s="14" t="s">
        <v>179</v>
      </c>
      <c r="N1053" s="14" t="s">
        <v>20554</v>
      </c>
      <c r="O1053" s="14" t="s">
        <v>179</v>
      </c>
      <c r="P1053" s="14" t="s">
        <v>20555</v>
      </c>
      <c r="Q1053" s="14" t="s">
        <v>179</v>
      </c>
      <c r="R1053" s="14" t="s">
        <v>20556</v>
      </c>
      <c r="S1053" s="14" t="s">
        <v>179</v>
      </c>
      <c r="T1053" s="14" t="s">
        <v>20557</v>
      </c>
      <c r="U1053" s="14" t="s">
        <v>179</v>
      </c>
      <c r="V1053" s="14" t="s">
        <v>20558</v>
      </c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  <c r="BH1053" s="15"/>
      <c r="BI1053" s="15"/>
      <c r="BJ1053" s="15"/>
      <c r="BK1053" s="15"/>
      <c r="BL1053" s="15"/>
      <c r="BM1053" s="15"/>
      <c r="BN1053" s="15"/>
      <c r="BO1053" s="16" t="s">
        <v>197</v>
      </c>
      <c r="BP1053" s="17" t="s">
        <v>228</v>
      </c>
      <c r="BQ1053" s="23"/>
      <c r="BR1053" s="17" t="s">
        <v>198</v>
      </c>
      <c r="BS1053" s="18">
        <v>45686.47274305556</v>
      </c>
      <c r="BT1053" s="17" t="s">
        <v>198</v>
      </c>
      <c r="BU1053" s="18">
        <v>45686.47274305556</v>
      </c>
      <c r="BV1053" s="13" t="s">
        <v>199</v>
      </c>
      <c r="BW1053" s="14" t="s">
        <v>179</v>
      </c>
      <c r="BX1053" s="14" t="s">
        <v>20559</v>
      </c>
      <c r="BY1053" s="14" t="s">
        <v>179</v>
      </c>
      <c r="BZ1053" s="14" t="s">
        <v>20560</v>
      </c>
      <c r="CA1053" s="15"/>
      <c r="CB1053" s="15"/>
      <c r="CC1053" s="15"/>
      <c r="CD1053" s="15"/>
      <c r="CE1053" s="15"/>
      <c r="CF1053" s="15"/>
      <c r="CG1053" s="19"/>
      <c r="CH1053" s="15"/>
      <c r="CI1053" s="19"/>
      <c r="CJ1053" s="15"/>
      <c r="CK1053" s="19"/>
      <c r="CL1053" s="15"/>
      <c r="CM1053" s="19"/>
      <c r="CN1053" s="15"/>
      <c r="CO1053" s="19"/>
      <c r="CP1053" s="15"/>
      <c r="CQ1053" s="15"/>
      <c r="CR1053" s="15"/>
      <c r="CS1053" s="19"/>
      <c r="CT1053" s="15"/>
      <c r="CU1053" s="19"/>
      <c r="CV1053" s="15"/>
      <c r="CW1053" s="19"/>
      <c r="CX1053" s="15"/>
      <c r="CY1053" s="19"/>
      <c r="CZ1053" s="15"/>
      <c r="DA1053" s="16" t="s">
        <v>197</v>
      </c>
      <c r="DB1053" s="17" t="s">
        <v>228</v>
      </c>
      <c r="DC1053" s="16"/>
      <c r="DD1053" s="17" t="s">
        <v>198</v>
      </c>
      <c r="DE1053" s="18">
        <v>45700.62326388889</v>
      </c>
      <c r="DF1053" s="17" t="s">
        <v>198</v>
      </c>
      <c r="DG1053" s="18">
        <v>45700.62326388889</v>
      </c>
      <c r="DH1053" s="13" t="s">
        <v>205</v>
      </c>
      <c r="DI1053" s="14" t="s">
        <v>179</v>
      </c>
      <c r="DJ1053" s="14" t="s">
        <v>20561</v>
      </c>
      <c r="DK1053" s="15"/>
      <c r="DL1053" s="15"/>
      <c r="DM1053" s="15"/>
      <c r="DN1053" s="15"/>
      <c r="DO1053" s="15"/>
      <c r="DP1053" s="15"/>
      <c r="DQ1053" s="15"/>
      <c r="DR1053" s="15"/>
      <c r="DS1053" s="15"/>
      <c r="DT1053" s="15"/>
      <c r="DU1053" s="15"/>
      <c r="DV1053" s="15"/>
      <c r="DW1053" s="15"/>
      <c r="DX1053" s="15"/>
      <c r="DY1053" s="15"/>
      <c r="DZ1053" s="15"/>
      <c r="EA1053" s="15"/>
      <c r="EB1053" s="15"/>
      <c r="EC1053" s="16" t="s">
        <v>197</v>
      </c>
      <c r="ED1053" s="17" t="s">
        <v>198</v>
      </c>
      <c r="EE1053" s="18">
        <v>45700.62342592593</v>
      </c>
      <c r="EF1053" s="13" t="s">
        <v>209</v>
      </c>
      <c r="EG1053" s="14" t="s">
        <v>179</v>
      </c>
      <c r="EH1053" s="14" t="s">
        <v>20562</v>
      </c>
      <c r="EI1053" s="15"/>
      <c r="EJ1053" s="15"/>
      <c r="EK1053" s="15"/>
      <c r="EL1053" s="15"/>
      <c r="EM1053" s="15"/>
      <c r="EN1053" s="15"/>
      <c r="EO1053" s="15"/>
      <c r="EP1053" s="15"/>
      <c r="EQ1053" s="15"/>
      <c r="ER1053" s="15"/>
      <c r="ES1053" s="15"/>
      <c r="ET1053" s="15"/>
      <c r="EU1053" s="15"/>
      <c r="EV1053" s="15"/>
      <c r="EW1053" s="15"/>
      <c r="EX1053" s="15"/>
      <c r="EY1053" s="15"/>
      <c r="EZ1053" s="15"/>
      <c r="FA1053" s="15"/>
      <c r="FB1053" s="15"/>
      <c r="FC1053" s="16" t="s">
        <v>197</v>
      </c>
      <c r="FD1053" s="17" t="s">
        <v>198</v>
      </c>
      <c r="FE1053" s="18">
        <v>45723.34925925926</v>
      </c>
      <c r="FF1053" s="19"/>
      <c r="FG1053" s="19"/>
      <c r="FH1053" s="21" t="s">
        <v>197</v>
      </c>
      <c r="FI1053" s="17" t="s">
        <v>214</v>
      </c>
      <c r="FJ1053" s="18">
        <v>45723.34925925926</v>
      </c>
      <c r="FK1053" s="14" t="s">
        <v>20562</v>
      </c>
      <c r="FL1053" s="14" t="s">
        <v>20563</v>
      </c>
      <c r="FM1053" s="14" t="s">
        <v>20564</v>
      </c>
      <c r="FN1053" s="19"/>
      <c r="FO1053" s="19"/>
      <c r="FP1053" s="19" t="str">
        <f t="shared" si="1"/>
        <v>Base de Dados_Images/XV40064.Imagem do Equipamento-.142309.jpg</v>
      </c>
      <c r="FQ1053" s="19"/>
      <c r="FR1053" s="19"/>
    </row>
    <row r="1054" ht="15.75" customHeight="1">
      <c r="A1054" s="12" t="s">
        <v>217</v>
      </c>
      <c r="B1054" s="12" t="s">
        <v>7566</v>
      </c>
      <c r="C1054" s="12" t="s">
        <v>219</v>
      </c>
      <c r="D1054" s="22" t="s">
        <v>20565</v>
      </c>
      <c r="E1054" s="22" t="s">
        <v>20566</v>
      </c>
      <c r="F1054" s="13" t="s">
        <v>178</v>
      </c>
      <c r="G1054" s="14" t="s">
        <v>179</v>
      </c>
      <c r="H1054" s="14" t="s">
        <v>20567</v>
      </c>
      <c r="I1054" s="14" t="s">
        <v>179</v>
      </c>
      <c r="J1054" s="14" t="s">
        <v>20568</v>
      </c>
      <c r="K1054" s="14" t="s">
        <v>179</v>
      </c>
      <c r="L1054" s="14" t="s">
        <v>20569</v>
      </c>
      <c r="M1054" s="14" t="s">
        <v>179</v>
      </c>
      <c r="N1054" s="14" t="s">
        <v>20570</v>
      </c>
      <c r="O1054" s="14" t="s">
        <v>179</v>
      </c>
      <c r="P1054" s="14" t="s">
        <v>20571</v>
      </c>
      <c r="Q1054" s="14" t="s">
        <v>179</v>
      </c>
      <c r="R1054" s="14" t="s">
        <v>20572</v>
      </c>
      <c r="S1054" s="14" t="s">
        <v>179</v>
      </c>
      <c r="T1054" s="14" t="s">
        <v>20573</v>
      </c>
      <c r="U1054" s="14" t="s">
        <v>179</v>
      </c>
      <c r="V1054" s="14" t="s">
        <v>20574</v>
      </c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/>
      <c r="BB1054" s="15"/>
      <c r="BC1054" s="15"/>
      <c r="BD1054" s="15"/>
      <c r="BE1054" s="15"/>
      <c r="BF1054" s="15"/>
      <c r="BG1054" s="15"/>
      <c r="BH1054" s="15"/>
      <c r="BI1054" s="15"/>
      <c r="BJ1054" s="15"/>
      <c r="BK1054" s="15"/>
      <c r="BL1054" s="15"/>
      <c r="BM1054" s="15"/>
      <c r="BN1054" s="15"/>
      <c r="BO1054" s="16" t="s">
        <v>197</v>
      </c>
      <c r="BP1054" s="17" t="s">
        <v>228</v>
      </c>
      <c r="BQ1054" s="23"/>
      <c r="BR1054" s="17" t="s">
        <v>198</v>
      </c>
      <c r="BS1054" s="18">
        <v>45686.403599537036</v>
      </c>
      <c r="BT1054" s="17" t="s">
        <v>198</v>
      </c>
      <c r="BU1054" s="18">
        <v>45686.403599537036</v>
      </c>
      <c r="BV1054" s="13" t="s">
        <v>199</v>
      </c>
      <c r="BW1054" s="14" t="s">
        <v>179</v>
      </c>
      <c r="BX1054" s="14" t="s">
        <v>20575</v>
      </c>
      <c r="BY1054" s="14" t="s">
        <v>179</v>
      </c>
      <c r="BZ1054" s="14" t="s">
        <v>20576</v>
      </c>
      <c r="CA1054" s="15"/>
      <c r="CB1054" s="15"/>
      <c r="CC1054" s="15"/>
      <c r="CD1054" s="15"/>
      <c r="CE1054" s="15"/>
      <c r="CF1054" s="15"/>
      <c r="CG1054" s="19"/>
      <c r="CH1054" s="15"/>
      <c r="CI1054" s="19"/>
      <c r="CJ1054" s="15"/>
      <c r="CK1054" s="19"/>
      <c r="CL1054" s="15"/>
      <c r="CM1054" s="19"/>
      <c r="CN1054" s="15"/>
      <c r="CO1054" s="19"/>
      <c r="CP1054" s="15"/>
      <c r="CQ1054" s="15"/>
      <c r="CR1054" s="15"/>
      <c r="CS1054" s="19"/>
      <c r="CT1054" s="15"/>
      <c r="CU1054" s="19"/>
      <c r="CV1054" s="15"/>
      <c r="CW1054" s="19"/>
      <c r="CX1054" s="15"/>
      <c r="CY1054" s="19"/>
      <c r="CZ1054" s="15"/>
      <c r="DA1054" s="16" t="s">
        <v>197</v>
      </c>
      <c r="DB1054" s="17" t="s">
        <v>228</v>
      </c>
      <c r="DC1054" s="16"/>
      <c r="DD1054" s="17" t="s">
        <v>198</v>
      </c>
      <c r="DE1054" s="18">
        <v>45686.403761574074</v>
      </c>
      <c r="DF1054" s="17" t="s">
        <v>198</v>
      </c>
      <c r="DG1054" s="18">
        <v>45686.403761574074</v>
      </c>
      <c r="DH1054" s="13" t="s">
        <v>205</v>
      </c>
      <c r="DI1054" s="14" t="s">
        <v>179</v>
      </c>
      <c r="DJ1054" s="14" t="s">
        <v>20577</v>
      </c>
      <c r="DK1054" s="15"/>
      <c r="DL1054" s="15"/>
      <c r="DM1054" s="15"/>
      <c r="DN1054" s="15"/>
      <c r="DO1054" s="15"/>
      <c r="DP1054" s="15"/>
      <c r="DQ1054" s="15"/>
      <c r="DR1054" s="15"/>
      <c r="DS1054" s="15"/>
      <c r="DT1054" s="15"/>
      <c r="DU1054" s="15"/>
      <c r="DV1054" s="15"/>
      <c r="DW1054" s="15"/>
      <c r="DX1054" s="15"/>
      <c r="DY1054" s="15"/>
      <c r="DZ1054" s="15"/>
      <c r="EA1054" s="15"/>
      <c r="EB1054" s="15"/>
      <c r="EC1054" s="16" t="s">
        <v>197</v>
      </c>
      <c r="ED1054" s="17" t="s">
        <v>198</v>
      </c>
      <c r="EE1054" s="18">
        <v>45699.39407407407</v>
      </c>
      <c r="EF1054" s="13" t="s">
        <v>209</v>
      </c>
      <c r="EG1054" s="14" t="s">
        <v>179</v>
      </c>
      <c r="EH1054" s="14" t="s">
        <v>20578</v>
      </c>
      <c r="EI1054" s="15"/>
      <c r="EJ1054" s="15"/>
      <c r="EK1054" s="15"/>
      <c r="EL1054" s="15"/>
      <c r="EM1054" s="15"/>
      <c r="EN1054" s="15"/>
      <c r="EO1054" s="15"/>
      <c r="EP1054" s="15"/>
      <c r="EQ1054" s="15"/>
      <c r="ER1054" s="15"/>
      <c r="ES1054" s="15"/>
      <c r="ET1054" s="15"/>
      <c r="EU1054" s="15"/>
      <c r="EV1054" s="15"/>
      <c r="EW1054" s="15"/>
      <c r="EX1054" s="15"/>
      <c r="EY1054" s="15"/>
      <c r="EZ1054" s="15"/>
      <c r="FA1054" s="15"/>
      <c r="FB1054" s="15"/>
      <c r="FC1054" s="16" t="s">
        <v>197</v>
      </c>
      <c r="FD1054" s="17" t="s">
        <v>198</v>
      </c>
      <c r="FE1054" s="18">
        <v>45723.346354166664</v>
      </c>
      <c r="FF1054" s="19"/>
      <c r="FG1054" s="19"/>
      <c r="FH1054" s="21" t="s">
        <v>197</v>
      </c>
      <c r="FI1054" s="17" t="s">
        <v>214</v>
      </c>
      <c r="FJ1054" s="18">
        <v>45723.346354166664</v>
      </c>
      <c r="FK1054" s="14" t="s">
        <v>20578</v>
      </c>
      <c r="FL1054" s="14" t="s">
        <v>20579</v>
      </c>
      <c r="FM1054" s="14" t="s">
        <v>20580</v>
      </c>
      <c r="FN1054" s="19"/>
      <c r="FO1054" s="19"/>
      <c r="FP1054" s="19" t="str">
        <f t="shared" si="1"/>
        <v>Base de Dados_Images/XV40065.Imagem do Equipamento-.164642.jpg</v>
      </c>
      <c r="FQ1054" s="19"/>
      <c r="FR1054" s="19"/>
    </row>
    <row r="1055" ht="15.75" customHeight="1">
      <c r="A1055" s="12" t="s">
        <v>217</v>
      </c>
      <c r="B1055" s="12" t="s">
        <v>11424</v>
      </c>
      <c r="C1055" s="12" t="s">
        <v>219</v>
      </c>
      <c r="D1055" s="28" t="s">
        <v>20581</v>
      </c>
      <c r="E1055" s="22" t="s">
        <v>20582</v>
      </c>
      <c r="F1055" s="13" t="s">
        <v>178</v>
      </c>
      <c r="G1055" s="14" t="s">
        <v>179</v>
      </c>
      <c r="H1055" s="14" t="s">
        <v>20583</v>
      </c>
      <c r="I1055" s="14" t="s">
        <v>179</v>
      </c>
      <c r="J1055" s="14" t="s">
        <v>20584</v>
      </c>
      <c r="K1055" s="14" t="s">
        <v>179</v>
      </c>
      <c r="L1055" s="14" t="s">
        <v>20585</v>
      </c>
      <c r="M1055" s="14" t="s">
        <v>179</v>
      </c>
      <c r="N1055" s="14" t="s">
        <v>20586</v>
      </c>
      <c r="O1055" s="14" t="s">
        <v>179</v>
      </c>
      <c r="P1055" s="14" t="s">
        <v>20587</v>
      </c>
      <c r="Q1055" s="14" t="s">
        <v>179</v>
      </c>
      <c r="R1055" s="14" t="s">
        <v>20588</v>
      </c>
      <c r="S1055" s="14" t="s">
        <v>179</v>
      </c>
      <c r="T1055" s="14" t="s">
        <v>20589</v>
      </c>
      <c r="U1055" s="14" t="s">
        <v>179</v>
      </c>
      <c r="V1055" s="14" t="s">
        <v>20590</v>
      </c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  <c r="BH1055" s="15"/>
      <c r="BI1055" s="15"/>
      <c r="BJ1055" s="15"/>
      <c r="BK1055" s="15"/>
      <c r="BL1055" s="15"/>
      <c r="BM1055" s="15"/>
      <c r="BN1055" s="15"/>
      <c r="BO1055" s="16" t="s">
        <v>197</v>
      </c>
      <c r="BP1055" s="17" t="s">
        <v>228</v>
      </c>
      <c r="BQ1055" s="23"/>
      <c r="BR1055" s="17" t="s">
        <v>198</v>
      </c>
      <c r="BS1055" s="18">
        <v>45686.565775462965</v>
      </c>
      <c r="BT1055" s="17" t="s">
        <v>198</v>
      </c>
      <c r="BU1055" s="18">
        <v>45686.565775462965</v>
      </c>
      <c r="BV1055" s="13" t="s">
        <v>199</v>
      </c>
      <c r="BW1055" s="14" t="s">
        <v>179</v>
      </c>
      <c r="BX1055" s="14" t="s">
        <v>20591</v>
      </c>
      <c r="BY1055" s="14" t="s">
        <v>179</v>
      </c>
      <c r="BZ1055" s="14" t="s">
        <v>20592</v>
      </c>
      <c r="CA1055" s="15"/>
      <c r="CB1055" s="15"/>
      <c r="CC1055" s="15"/>
      <c r="CD1055" s="15"/>
      <c r="CE1055" s="15"/>
      <c r="CF1055" s="15"/>
      <c r="CG1055" s="19"/>
      <c r="CH1055" s="15"/>
      <c r="CI1055" s="19"/>
      <c r="CJ1055" s="15"/>
      <c r="CK1055" s="19"/>
      <c r="CL1055" s="15"/>
      <c r="CM1055" s="19"/>
      <c r="CN1055" s="15"/>
      <c r="CO1055" s="19"/>
      <c r="CP1055" s="15"/>
      <c r="CQ1055" s="15"/>
      <c r="CR1055" s="15"/>
      <c r="CS1055" s="19"/>
      <c r="CT1055" s="15"/>
      <c r="CU1055" s="19"/>
      <c r="CV1055" s="15"/>
      <c r="CW1055" s="19"/>
      <c r="CX1055" s="15"/>
      <c r="CY1055" s="19"/>
      <c r="CZ1055" s="15"/>
      <c r="DA1055" s="16" t="s">
        <v>197</v>
      </c>
      <c r="DB1055" s="17" t="s">
        <v>228</v>
      </c>
      <c r="DC1055" s="16"/>
      <c r="DD1055" s="17" t="s">
        <v>198</v>
      </c>
      <c r="DE1055" s="18">
        <v>45692.591875</v>
      </c>
      <c r="DF1055" s="17" t="s">
        <v>198</v>
      </c>
      <c r="DG1055" s="18">
        <v>45692.591875</v>
      </c>
      <c r="DH1055" s="13" t="s">
        <v>205</v>
      </c>
      <c r="DI1055" s="14" t="s">
        <v>179</v>
      </c>
      <c r="DJ1055" s="14" t="s">
        <v>20593</v>
      </c>
      <c r="DK1055" s="15"/>
      <c r="DL1055" s="15"/>
      <c r="DM1055" s="15"/>
      <c r="DN1055" s="15"/>
      <c r="DO1055" s="15"/>
      <c r="DP1055" s="15"/>
      <c r="DQ1055" s="15"/>
      <c r="DR1055" s="15"/>
      <c r="DS1055" s="15"/>
      <c r="DT1055" s="15"/>
      <c r="DU1055" s="15"/>
      <c r="DV1055" s="15"/>
      <c r="DW1055" s="15"/>
      <c r="DX1055" s="15"/>
      <c r="DY1055" s="15"/>
      <c r="DZ1055" s="15"/>
      <c r="EA1055" s="15"/>
      <c r="EB1055" s="15"/>
      <c r="EC1055" s="16" t="s">
        <v>197</v>
      </c>
      <c r="ED1055" s="17" t="s">
        <v>198</v>
      </c>
      <c r="EE1055" s="18">
        <v>45708.523935185185</v>
      </c>
      <c r="EF1055" s="13" t="s">
        <v>209</v>
      </c>
      <c r="EG1055" s="14" t="s">
        <v>179</v>
      </c>
      <c r="EH1055" s="14" t="s">
        <v>20594</v>
      </c>
      <c r="EI1055" s="15"/>
      <c r="EJ1055" s="15"/>
      <c r="EK1055" s="15"/>
      <c r="EL1055" s="15"/>
      <c r="EM1055" s="15"/>
      <c r="EN1055" s="15"/>
      <c r="EO1055" s="15"/>
      <c r="EP1055" s="15"/>
      <c r="EQ1055" s="15"/>
      <c r="ER1055" s="15"/>
      <c r="ES1055" s="15"/>
      <c r="ET1055" s="15"/>
      <c r="EU1055" s="15"/>
      <c r="EV1055" s="15"/>
      <c r="EW1055" s="15"/>
      <c r="EX1055" s="15"/>
      <c r="EY1055" s="15"/>
      <c r="EZ1055" s="15"/>
      <c r="FA1055" s="15"/>
      <c r="FB1055" s="15"/>
      <c r="FC1055" s="16" t="s">
        <v>197</v>
      </c>
      <c r="FD1055" s="17" t="s">
        <v>198</v>
      </c>
      <c r="FE1055" s="18">
        <v>45723.34799768519</v>
      </c>
      <c r="FF1055" s="19"/>
      <c r="FG1055" s="19"/>
      <c r="FH1055" s="21" t="s">
        <v>197</v>
      </c>
      <c r="FI1055" s="17" t="s">
        <v>214</v>
      </c>
      <c r="FJ1055" s="18">
        <v>45723.34799768519</v>
      </c>
      <c r="FK1055" s="14" t="s">
        <v>20594</v>
      </c>
      <c r="FL1055" s="14"/>
      <c r="FM1055" s="14"/>
      <c r="FN1055" s="19"/>
      <c r="FO1055" s="19"/>
      <c r="FP1055" s="19" t="str">
        <f t="shared" si="1"/>
        <v/>
      </c>
      <c r="FQ1055" s="14" t="s">
        <v>215</v>
      </c>
      <c r="FR1055" s="14" t="s">
        <v>20595</v>
      </c>
    </row>
    <row r="1056" ht="15.75" customHeight="1">
      <c r="A1056" s="12" t="s">
        <v>217</v>
      </c>
      <c r="B1056" s="12" t="s">
        <v>11439</v>
      </c>
      <c r="C1056" s="12" t="s">
        <v>219</v>
      </c>
      <c r="D1056" s="28" t="s">
        <v>20596</v>
      </c>
      <c r="E1056" s="22" t="s">
        <v>20582</v>
      </c>
      <c r="F1056" s="13" t="s">
        <v>178</v>
      </c>
      <c r="G1056" s="14" t="s">
        <v>179</v>
      </c>
      <c r="H1056" s="14" t="s">
        <v>20597</v>
      </c>
      <c r="I1056" s="14" t="s">
        <v>179</v>
      </c>
      <c r="J1056" s="14" t="s">
        <v>20598</v>
      </c>
      <c r="K1056" s="14" t="s">
        <v>179</v>
      </c>
      <c r="L1056" s="14" t="s">
        <v>20599</v>
      </c>
      <c r="M1056" s="14" t="s">
        <v>179</v>
      </c>
      <c r="N1056" s="14" t="s">
        <v>20599</v>
      </c>
      <c r="O1056" s="14" t="s">
        <v>179</v>
      </c>
      <c r="P1056" s="14" t="s">
        <v>20600</v>
      </c>
      <c r="Q1056" s="14" t="s">
        <v>179</v>
      </c>
      <c r="R1056" s="14" t="s">
        <v>20600</v>
      </c>
      <c r="S1056" s="14" t="s">
        <v>179</v>
      </c>
      <c r="T1056" s="14" t="s">
        <v>20601</v>
      </c>
      <c r="U1056" s="14" t="s">
        <v>179</v>
      </c>
      <c r="V1056" s="14" t="s">
        <v>20602</v>
      </c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AV1056" s="15"/>
      <c r="AW1056" s="15"/>
      <c r="AX1056" s="15"/>
      <c r="AY1056" s="15"/>
      <c r="AZ1056" s="15"/>
      <c r="BA1056" s="15"/>
      <c r="BB1056" s="15"/>
      <c r="BC1056" s="15"/>
      <c r="BD1056" s="15"/>
      <c r="BE1056" s="15"/>
      <c r="BF1056" s="15"/>
      <c r="BG1056" s="15"/>
      <c r="BH1056" s="15"/>
      <c r="BI1056" s="15"/>
      <c r="BJ1056" s="15"/>
      <c r="BK1056" s="15"/>
      <c r="BL1056" s="15"/>
      <c r="BM1056" s="15"/>
      <c r="BN1056" s="15"/>
      <c r="BO1056" s="16" t="s">
        <v>197</v>
      </c>
      <c r="BP1056" s="17" t="s">
        <v>228</v>
      </c>
      <c r="BQ1056" s="23"/>
      <c r="BR1056" s="17" t="s">
        <v>198</v>
      </c>
      <c r="BS1056" s="18">
        <v>45715.45439814815</v>
      </c>
      <c r="BT1056" s="17" t="s">
        <v>198</v>
      </c>
      <c r="BU1056" s="18">
        <v>45715.45439814815</v>
      </c>
      <c r="BV1056" s="13" t="s">
        <v>199</v>
      </c>
      <c r="BW1056" s="14" t="s">
        <v>179</v>
      </c>
      <c r="BX1056" s="14" t="s">
        <v>20603</v>
      </c>
      <c r="BY1056" s="14" t="s">
        <v>179</v>
      </c>
      <c r="BZ1056" s="14" t="s">
        <v>20604</v>
      </c>
      <c r="CA1056" s="15"/>
      <c r="CB1056" s="15"/>
      <c r="CC1056" s="15"/>
      <c r="CD1056" s="15"/>
      <c r="CE1056" s="15"/>
      <c r="CF1056" s="15"/>
      <c r="CG1056" s="19"/>
      <c r="CH1056" s="15"/>
      <c r="CI1056" s="19"/>
      <c r="CJ1056" s="15"/>
      <c r="CK1056" s="19"/>
      <c r="CL1056" s="15"/>
      <c r="CM1056" s="19"/>
      <c r="CN1056" s="15"/>
      <c r="CO1056" s="19"/>
      <c r="CP1056" s="15"/>
      <c r="CQ1056" s="15"/>
      <c r="CR1056" s="15"/>
      <c r="CS1056" s="19"/>
      <c r="CT1056" s="15"/>
      <c r="CU1056" s="19"/>
      <c r="CV1056" s="15"/>
      <c r="CW1056" s="19"/>
      <c r="CX1056" s="15"/>
      <c r="CY1056" s="19"/>
      <c r="CZ1056" s="15"/>
      <c r="DA1056" s="16" t="s">
        <v>197</v>
      </c>
      <c r="DB1056" s="17" t="s">
        <v>228</v>
      </c>
      <c r="DC1056" s="16"/>
      <c r="DD1056" s="17" t="s">
        <v>198</v>
      </c>
      <c r="DE1056" s="18">
        <v>45715.45445601852</v>
      </c>
      <c r="DF1056" s="17" t="s">
        <v>198</v>
      </c>
      <c r="DG1056" s="18">
        <v>45715.45445601852</v>
      </c>
      <c r="DH1056" s="13" t="s">
        <v>205</v>
      </c>
      <c r="DI1056" s="14" t="s">
        <v>179</v>
      </c>
      <c r="DJ1056" s="14" t="s">
        <v>20605</v>
      </c>
      <c r="DK1056" s="15"/>
      <c r="DL1056" s="15"/>
      <c r="DM1056" s="15"/>
      <c r="DN1056" s="15"/>
      <c r="DO1056" s="15"/>
      <c r="DP1056" s="15"/>
      <c r="DQ1056" s="15"/>
      <c r="DR1056" s="15"/>
      <c r="DS1056" s="15"/>
      <c r="DT1056" s="15"/>
      <c r="DU1056" s="15"/>
      <c r="DV1056" s="15"/>
      <c r="DW1056" s="15"/>
      <c r="DX1056" s="15"/>
      <c r="DY1056" s="15"/>
      <c r="DZ1056" s="15"/>
      <c r="EA1056" s="15"/>
      <c r="EB1056" s="15"/>
      <c r="EC1056" s="16" t="s">
        <v>197</v>
      </c>
      <c r="ED1056" s="17" t="s">
        <v>198</v>
      </c>
      <c r="EE1056" s="18">
        <v>45715.45449074074</v>
      </c>
      <c r="EF1056" s="13" t="s">
        <v>209</v>
      </c>
      <c r="EG1056" s="14" t="s">
        <v>179</v>
      </c>
      <c r="EH1056" s="14" t="s">
        <v>20606</v>
      </c>
      <c r="EI1056" s="15"/>
      <c r="EJ1056" s="15"/>
      <c r="EK1056" s="15"/>
      <c r="EL1056" s="15"/>
      <c r="EM1056" s="15"/>
      <c r="EN1056" s="15"/>
      <c r="EO1056" s="15"/>
      <c r="EP1056" s="15"/>
      <c r="EQ1056" s="15"/>
      <c r="ER1056" s="15"/>
      <c r="ES1056" s="15"/>
      <c r="ET1056" s="15"/>
      <c r="EU1056" s="15"/>
      <c r="EV1056" s="15"/>
      <c r="EW1056" s="15"/>
      <c r="EX1056" s="15"/>
      <c r="EY1056" s="15"/>
      <c r="EZ1056" s="15"/>
      <c r="FA1056" s="15"/>
      <c r="FB1056" s="15"/>
      <c r="FC1056" s="16" t="s">
        <v>197</v>
      </c>
      <c r="FD1056" s="17" t="s">
        <v>198</v>
      </c>
      <c r="FE1056" s="18">
        <v>45723.348807870374</v>
      </c>
      <c r="FF1056" s="19"/>
      <c r="FG1056" s="19"/>
      <c r="FH1056" s="21" t="s">
        <v>197</v>
      </c>
      <c r="FI1056" s="17" t="s">
        <v>214</v>
      </c>
      <c r="FJ1056" s="18">
        <v>45723.348807870374</v>
      </c>
      <c r="FK1056" s="14" t="s">
        <v>20606</v>
      </c>
      <c r="FL1056" s="19"/>
      <c r="FM1056" s="19"/>
      <c r="FN1056" s="19"/>
      <c r="FO1056" s="19"/>
      <c r="FP1056" s="19" t="str">
        <f t="shared" si="1"/>
        <v/>
      </c>
      <c r="FQ1056" s="14" t="s">
        <v>215</v>
      </c>
      <c r="FR1056" s="14" t="s">
        <v>20607</v>
      </c>
    </row>
    <row r="1057" ht="15.75" customHeight="1">
      <c r="A1057" s="12" t="s">
        <v>217</v>
      </c>
      <c r="B1057" s="12" t="s">
        <v>7566</v>
      </c>
      <c r="C1057" s="12" t="s">
        <v>219</v>
      </c>
      <c r="D1057" s="22" t="s">
        <v>20608</v>
      </c>
      <c r="E1057" s="22" t="s">
        <v>20609</v>
      </c>
      <c r="F1057" s="13" t="s">
        <v>178</v>
      </c>
      <c r="G1057" s="14" t="s">
        <v>179</v>
      </c>
      <c r="H1057" s="14" t="s">
        <v>20610</v>
      </c>
      <c r="I1057" s="14" t="s">
        <v>179</v>
      </c>
      <c r="J1057" s="14" t="s">
        <v>20611</v>
      </c>
      <c r="K1057" s="14" t="s">
        <v>179</v>
      </c>
      <c r="L1057" s="14" t="s">
        <v>20612</v>
      </c>
      <c r="M1057" s="14" t="s">
        <v>179</v>
      </c>
      <c r="N1057" s="14" t="s">
        <v>20613</v>
      </c>
      <c r="O1057" s="14" t="s">
        <v>179</v>
      </c>
      <c r="P1057" s="14" t="s">
        <v>20614</v>
      </c>
      <c r="Q1057" s="14" t="s">
        <v>179</v>
      </c>
      <c r="R1057" s="14" t="s">
        <v>20615</v>
      </c>
      <c r="S1057" s="14" t="s">
        <v>179</v>
      </c>
      <c r="T1057" s="14" t="s">
        <v>20616</v>
      </c>
      <c r="U1057" s="14" t="s">
        <v>179</v>
      </c>
      <c r="V1057" s="14" t="s">
        <v>20617</v>
      </c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  <c r="BH1057" s="15"/>
      <c r="BI1057" s="15"/>
      <c r="BJ1057" s="15"/>
      <c r="BK1057" s="15"/>
      <c r="BL1057" s="15"/>
      <c r="BM1057" s="15"/>
      <c r="BN1057" s="15"/>
      <c r="BO1057" s="16" t="s">
        <v>197</v>
      </c>
      <c r="BP1057" s="17" t="s">
        <v>228</v>
      </c>
      <c r="BQ1057" s="23"/>
      <c r="BR1057" s="17" t="s">
        <v>198</v>
      </c>
      <c r="BS1057" s="18">
        <v>45686.568715277775</v>
      </c>
      <c r="BT1057" s="17" t="s">
        <v>198</v>
      </c>
      <c r="BU1057" s="18">
        <v>45686.568715277775</v>
      </c>
      <c r="BV1057" s="13" t="s">
        <v>199</v>
      </c>
      <c r="BW1057" s="14" t="s">
        <v>179</v>
      </c>
      <c r="BX1057" s="14" t="s">
        <v>20618</v>
      </c>
      <c r="BY1057" s="14" t="s">
        <v>179</v>
      </c>
      <c r="BZ1057" s="14" t="s">
        <v>20619</v>
      </c>
      <c r="CA1057" s="15"/>
      <c r="CB1057" s="15"/>
      <c r="CC1057" s="15"/>
      <c r="CD1057" s="15"/>
      <c r="CE1057" s="15"/>
      <c r="CF1057" s="15"/>
      <c r="CG1057" s="19"/>
      <c r="CH1057" s="15"/>
      <c r="CI1057" s="19"/>
      <c r="CJ1057" s="15"/>
      <c r="CK1057" s="19"/>
      <c r="CL1057" s="15"/>
      <c r="CM1057" s="19"/>
      <c r="CN1057" s="15"/>
      <c r="CO1057" s="19"/>
      <c r="CP1057" s="15"/>
      <c r="CQ1057" s="15"/>
      <c r="CR1057" s="15"/>
      <c r="CS1057" s="19"/>
      <c r="CT1057" s="15"/>
      <c r="CU1057" s="19"/>
      <c r="CV1057" s="15"/>
      <c r="CW1057" s="19"/>
      <c r="CX1057" s="15"/>
      <c r="CY1057" s="19"/>
      <c r="CZ1057" s="15"/>
      <c r="DA1057" s="16" t="s">
        <v>197</v>
      </c>
      <c r="DB1057" s="17" t="s">
        <v>228</v>
      </c>
      <c r="DC1057" s="16"/>
      <c r="DD1057" s="17" t="s">
        <v>198</v>
      </c>
      <c r="DE1057" s="18">
        <v>45686.56885416667</v>
      </c>
      <c r="DF1057" s="17" t="s">
        <v>198</v>
      </c>
      <c r="DG1057" s="18">
        <v>45686.56885416667</v>
      </c>
      <c r="DH1057" s="13" t="s">
        <v>205</v>
      </c>
      <c r="DI1057" s="14" t="s">
        <v>179</v>
      </c>
      <c r="DJ1057" s="14" t="s">
        <v>20620</v>
      </c>
      <c r="DK1057" s="15"/>
      <c r="DL1057" s="15"/>
      <c r="DM1057" s="15"/>
      <c r="DN1057" s="15"/>
      <c r="DO1057" s="15"/>
      <c r="DP1057" s="15"/>
      <c r="DQ1057" s="15"/>
      <c r="DR1057" s="15"/>
      <c r="DS1057" s="15"/>
      <c r="DT1057" s="15"/>
      <c r="DU1057" s="15"/>
      <c r="DV1057" s="15"/>
      <c r="DW1057" s="15"/>
      <c r="DX1057" s="15"/>
      <c r="DY1057" s="15"/>
      <c r="DZ1057" s="15"/>
      <c r="EA1057" s="15"/>
      <c r="EB1057" s="15"/>
      <c r="EC1057" s="16" t="s">
        <v>197</v>
      </c>
      <c r="ED1057" s="17" t="s">
        <v>198</v>
      </c>
      <c r="EE1057" s="18">
        <v>45699.393958333334</v>
      </c>
      <c r="EF1057" s="13" t="s">
        <v>209</v>
      </c>
      <c r="EG1057" s="14" t="s">
        <v>179</v>
      </c>
      <c r="EH1057" s="14" t="s">
        <v>20621</v>
      </c>
      <c r="EI1057" s="15"/>
      <c r="EJ1057" s="15"/>
      <c r="EK1057" s="15"/>
      <c r="EL1057" s="15"/>
      <c r="EM1057" s="15"/>
      <c r="EN1057" s="15"/>
      <c r="EO1057" s="15"/>
      <c r="EP1057" s="15"/>
      <c r="EQ1057" s="15"/>
      <c r="ER1057" s="15"/>
      <c r="ES1057" s="15"/>
      <c r="ET1057" s="15"/>
      <c r="EU1057" s="15"/>
      <c r="EV1057" s="15"/>
      <c r="EW1057" s="15"/>
      <c r="EX1057" s="15"/>
      <c r="EY1057" s="15"/>
      <c r="EZ1057" s="15"/>
      <c r="FA1057" s="15"/>
      <c r="FB1057" s="15"/>
      <c r="FC1057" s="16" t="s">
        <v>197</v>
      </c>
      <c r="FD1057" s="17" t="s">
        <v>198</v>
      </c>
      <c r="FE1057" s="18">
        <v>45723.34641203703</v>
      </c>
      <c r="FF1057" s="19"/>
      <c r="FG1057" s="19"/>
      <c r="FH1057" s="21" t="s">
        <v>197</v>
      </c>
      <c r="FI1057" s="17" t="s">
        <v>214</v>
      </c>
      <c r="FJ1057" s="18">
        <v>45723.34641203703</v>
      </c>
      <c r="FK1057" s="14" t="s">
        <v>20621</v>
      </c>
      <c r="FL1057" s="14" t="s">
        <v>20622</v>
      </c>
      <c r="FM1057" s="14" t="s">
        <v>20623</v>
      </c>
      <c r="FN1057" s="19"/>
      <c r="FO1057" s="19"/>
      <c r="FP1057" s="19" t="str">
        <f t="shared" si="1"/>
        <v>Base de Dados_Images/XV40067.Imagem do Equipamento-.190407.jpg</v>
      </c>
      <c r="FQ1057" s="19"/>
      <c r="FR1057" s="19"/>
    </row>
    <row r="1058" ht="15.75" customHeight="1">
      <c r="A1058" s="12" t="s">
        <v>217</v>
      </c>
      <c r="B1058" s="12" t="s">
        <v>7566</v>
      </c>
      <c r="C1058" s="12" t="s">
        <v>219</v>
      </c>
      <c r="D1058" s="22" t="s">
        <v>20624</v>
      </c>
      <c r="E1058" s="22" t="s">
        <v>20625</v>
      </c>
      <c r="F1058" s="13" t="s">
        <v>178</v>
      </c>
      <c r="G1058" s="14" t="s">
        <v>179</v>
      </c>
      <c r="H1058" s="14" t="s">
        <v>20626</v>
      </c>
      <c r="I1058" s="14" t="s">
        <v>179</v>
      </c>
      <c r="J1058" s="14" t="s">
        <v>20627</v>
      </c>
      <c r="K1058" s="14" t="s">
        <v>179</v>
      </c>
      <c r="L1058" s="14" t="s">
        <v>20628</v>
      </c>
      <c r="M1058" s="14" t="s">
        <v>179</v>
      </c>
      <c r="N1058" s="14" t="s">
        <v>20629</v>
      </c>
      <c r="O1058" s="14" t="s">
        <v>179</v>
      </c>
      <c r="P1058" s="14" t="s">
        <v>20630</v>
      </c>
      <c r="Q1058" s="14" t="s">
        <v>179</v>
      </c>
      <c r="R1058" s="14" t="s">
        <v>20631</v>
      </c>
      <c r="S1058" s="14" t="s">
        <v>179</v>
      </c>
      <c r="T1058" s="14" t="s">
        <v>20632</v>
      </c>
      <c r="U1058" s="14" t="s">
        <v>179</v>
      </c>
      <c r="V1058" s="14" t="s">
        <v>20633</v>
      </c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  <c r="AX1058" s="15"/>
      <c r="AY1058" s="15"/>
      <c r="AZ1058" s="15"/>
      <c r="BA1058" s="15"/>
      <c r="BB1058" s="15"/>
      <c r="BC1058" s="15"/>
      <c r="BD1058" s="15"/>
      <c r="BE1058" s="15"/>
      <c r="BF1058" s="15"/>
      <c r="BG1058" s="15"/>
      <c r="BH1058" s="15"/>
      <c r="BI1058" s="15"/>
      <c r="BJ1058" s="15"/>
      <c r="BK1058" s="15"/>
      <c r="BL1058" s="15"/>
      <c r="BM1058" s="15"/>
      <c r="BN1058" s="15"/>
      <c r="BO1058" s="16" t="s">
        <v>197</v>
      </c>
      <c r="BP1058" s="17" t="s">
        <v>228</v>
      </c>
      <c r="BQ1058" s="23"/>
      <c r="BR1058" s="17" t="s">
        <v>198</v>
      </c>
      <c r="BS1058" s="18">
        <v>45686.55645833333</v>
      </c>
      <c r="BT1058" s="17" t="s">
        <v>198</v>
      </c>
      <c r="BU1058" s="18">
        <v>45686.55645833333</v>
      </c>
      <c r="BV1058" s="13" t="s">
        <v>199</v>
      </c>
      <c r="BW1058" s="14" t="s">
        <v>179</v>
      </c>
      <c r="BX1058" s="14" t="s">
        <v>20634</v>
      </c>
      <c r="BY1058" s="14" t="s">
        <v>179</v>
      </c>
      <c r="BZ1058" s="14" t="s">
        <v>20635</v>
      </c>
      <c r="CA1058" s="15"/>
      <c r="CB1058" s="15"/>
      <c r="CC1058" s="15"/>
      <c r="CD1058" s="15"/>
      <c r="CE1058" s="15"/>
      <c r="CF1058" s="15"/>
      <c r="CG1058" s="19"/>
      <c r="CH1058" s="15"/>
      <c r="CI1058" s="19"/>
      <c r="CJ1058" s="15"/>
      <c r="CK1058" s="19"/>
      <c r="CL1058" s="15"/>
      <c r="CM1058" s="19"/>
      <c r="CN1058" s="15"/>
      <c r="CO1058" s="19"/>
      <c r="CP1058" s="15"/>
      <c r="CQ1058" s="15"/>
      <c r="CR1058" s="15"/>
      <c r="CS1058" s="19"/>
      <c r="CT1058" s="15"/>
      <c r="CU1058" s="19"/>
      <c r="CV1058" s="15"/>
      <c r="CW1058" s="19"/>
      <c r="CX1058" s="15"/>
      <c r="CY1058" s="19"/>
      <c r="CZ1058" s="15"/>
      <c r="DA1058" s="16" t="s">
        <v>197</v>
      </c>
      <c r="DB1058" s="17" t="s">
        <v>228</v>
      </c>
      <c r="DC1058" s="16"/>
      <c r="DD1058" s="17" t="s">
        <v>198</v>
      </c>
      <c r="DE1058" s="18">
        <v>45686.55657407407</v>
      </c>
      <c r="DF1058" s="17" t="s">
        <v>198</v>
      </c>
      <c r="DG1058" s="18">
        <v>45686.55657407407</v>
      </c>
      <c r="DH1058" s="13" t="s">
        <v>205</v>
      </c>
      <c r="DI1058" s="14" t="s">
        <v>179</v>
      </c>
      <c r="DJ1058" s="14" t="s">
        <v>20636</v>
      </c>
      <c r="DK1058" s="15"/>
      <c r="DL1058" s="15"/>
      <c r="DM1058" s="15"/>
      <c r="DN1058" s="15"/>
      <c r="DO1058" s="15"/>
      <c r="DP1058" s="15"/>
      <c r="DQ1058" s="15"/>
      <c r="DR1058" s="15"/>
      <c r="DS1058" s="15"/>
      <c r="DT1058" s="15"/>
      <c r="DU1058" s="15"/>
      <c r="DV1058" s="15"/>
      <c r="DW1058" s="15"/>
      <c r="DX1058" s="15"/>
      <c r="DY1058" s="15"/>
      <c r="DZ1058" s="15"/>
      <c r="EA1058" s="15"/>
      <c r="EB1058" s="15"/>
      <c r="EC1058" s="16" t="s">
        <v>197</v>
      </c>
      <c r="ED1058" s="17" t="s">
        <v>198</v>
      </c>
      <c r="EE1058" s="18">
        <v>45699.41434027778</v>
      </c>
      <c r="EF1058" s="13" t="s">
        <v>209</v>
      </c>
      <c r="EG1058" s="14" t="s">
        <v>179</v>
      </c>
      <c r="EH1058" s="14" t="s">
        <v>20637</v>
      </c>
      <c r="EI1058" s="15"/>
      <c r="EJ1058" s="15"/>
      <c r="EK1058" s="15"/>
      <c r="EL1058" s="15"/>
      <c r="EM1058" s="15"/>
      <c r="EN1058" s="15"/>
      <c r="EO1058" s="15"/>
      <c r="EP1058" s="15"/>
      <c r="EQ1058" s="15"/>
      <c r="ER1058" s="15"/>
      <c r="ES1058" s="15"/>
      <c r="ET1058" s="15"/>
      <c r="EU1058" s="15"/>
      <c r="EV1058" s="15"/>
      <c r="EW1058" s="15"/>
      <c r="EX1058" s="15"/>
      <c r="EY1058" s="15"/>
      <c r="EZ1058" s="15"/>
      <c r="FA1058" s="15"/>
      <c r="FB1058" s="15"/>
      <c r="FC1058" s="16" t="s">
        <v>197</v>
      </c>
      <c r="FD1058" s="17" t="s">
        <v>198</v>
      </c>
      <c r="FE1058" s="18">
        <v>45723.34648148148</v>
      </c>
      <c r="FF1058" s="19"/>
      <c r="FG1058" s="19"/>
      <c r="FH1058" s="21" t="s">
        <v>197</v>
      </c>
      <c r="FI1058" s="17" t="s">
        <v>214</v>
      </c>
      <c r="FJ1058" s="18">
        <v>45723.34648148148</v>
      </c>
      <c r="FK1058" s="14" t="s">
        <v>20637</v>
      </c>
      <c r="FL1058" s="14" t="s">
        <v>20638</v>
      </c>
      <c r="FM1058" s="14" t="s">
        <v>20639</v>
      </c>
      <c r="FN1058" s="19"/>
      <c r="FO1058" s="19"/>
      <c r="FP1058" s="19" t="str">
        <f t="shared" si="1"/>
        <v>Base de Dados_Images/XV40068.Imagem do Equipamento-.175913.jpg</v>
      </c>
      <c r="FQ1058" s="19"/>
      <c r="FR1058" s="19"/>
    </row>
    <row r="1059" ht="15.75" customHeight="1">
      <c r="A1059" s="12" t="s">
        <v>217</v>
      </c>
      <c r="B1059" s="12" t="s">
        <v>7566</v>
      </c>
      <c r="C1059" s="12" t="s">
        <v>219</v>
      </c>
      <c r="D1059" s="22" t="s">
        <v>20640</v>
      </c>
      <c r="E1059" s="22" t="s">
        <v>20641</v>
      </c>
      <c r="F1059" s="13" t="s">
        <v>178</v>
      </c>
      <c r="G1059" s="14" t="s">
        <v>179</v>
      </c>
      <c r="H1059" s="14" t="s">
        <v>20642</v>
      </c>
      <c r="I1059" s="14" t="s">
        <v>179</v>
      </c>
      <c r="J1059" s="14" t="s">
        <v>20643</v>
      </c>
      <c r="K1059" s="14" t="s">
        <v>179</v>
      </c>
      <c r="L1059" s="14" t="s">
        <v>20644</v>
      </c>
      <c r="M1059" s="14" t="s">
        <v>179</v>
      </c>
      <c r="N1059" s="14" t="s">
        <v>20645</v>
      </c>
      <c r="O1059" s="14" t="s">
        <v>179</v>
      </c>
      <c r="P1059" s="14" t="s">
        <v>20646</v>
      </c>
      <c r="Q1059" s="14" t="s">
        <v>179</v>
      </c>
      <c r="R1059" s="14" t="s">
        <v>20647</v>
      </c>
      <c r="S1059" s="14" t="s">
        <v>179</v>
      </c>
      <c r="T1059" s="14" t="s">
        <v>20648</v>
      </c>
      <c r="U1059" s="14" t="s">
        <v>179</v>
      </c>
      <c r="V1059" s="14" t="s">
        <v>20649</v>
      </c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  <c r="BH1059" s="15"/>
      <c r="BI1059" s="15"/>
      <c r="BJ1059" s="15"/>
      <c r="BK1059" s="15"/>
      <c r="BL1059" s="15"/>
      <c r="BM1059" s="15"/>
      <c r="BN1059" s="15"/>
      <c r="BO1059" s="16" t="s">
        <v>197</v>
      </c>
      <c r="BP1059" s="17" t="s">
        <v>228</v>
      </c>
      <c r="BQ1059" s="23"/>
      <c r="BR1059" s="17" t="s">
        <v>198</v>
      </c>
      <c r="BS1059" s="18">
        <v>45686.39445601852</v>
      </c>
      <c r="BT1059" s="17" t="s">
        <v>198</v>
      </c>
      <c r="BU1059" s="18">
        <v>45686.39445601852</v>
      </c>
      <c r="BV1059" s="13" t="s">
        <v>199</v>
      </c>
      <c r="BW1059" s="14" t="s">
        <v>179</v>
      </c>
      <c r="BX1059" s="14" t="s">
        <v>20650</v>
      </c>
      <c r="BY1059" s="14" t="s">
        <v>179</v>
      </c>
      <c r="BZ1059" s="14" t="s">
        <v>20651</v>
      </c>
      <c r="CA1059" s="15"/>
      <c r="CB1059" s="15"/>
      <c r="CC1059" s="15"/>
      <c r="CD1059" s="15"/>
      <c r="CE1059" s="15"/>
      <c r="CF1059" s="15"/>
      <c r="CG1059" s="19"/>
      <c r="CH1059" s="15"/>
      <c r="CI1059" s="19"/>
      <c r="CJ1059" s="15"/>
      <c r="CK1059" s="19"/>
      <c r="CL1059" s="15"/>
      <c r="CM1059" s="19"/>
      <c r="CN1059" s="15"/>
      <c r="CO1059" s="19"/>
      <c r="CP1059" s="15"/>
      <c r="CQ1059" s="15"/>
      <c r="CR1059" s="15"/>
      <c r="CS1059" s="19"/>
      <c r="CT1059" s="15"/>
      <c r="CU1059" s="19"/>
      <c r="CV1059" s="15"/>
      <c r="CW1059" s="19"/>
      <c r="CX1059" s="15"/>
      <c r="CY1059" s="19"/>
      <c r="CZ1059" s="15"/>
      <c r="DA1059" s="16" t="s">
        <v>197</v>
      </c>
      <c r="DB1059" s="17" t="s">
        <v>228</v>
      </c>
      <c r="DC1059" s="16"/>
      <c r="DD1059" s="17" t="s">
        <v>198</v>
      </c>
      <c r="DE1059" s="18">
        <v>45686.39456018519</v>
      </c>
      <c r="DF1059" s="17" t="s">
        <v>198</v>
      </c>
      <c r="DG1059" s="18">
        <v>45686.39456018519</v>
      </c>
      <c r="DH1059" s="13" t="s">
        <v>205</v>
      </c>
      <c r="DI1059" s="14" t="s">
        <v>179</v>
      </c>
      <c r="DJ1059" s="14" t="s">
        <v>20652</v>
      </c>
      <c r="DK1059" s="15"/>
      <c r="DL1059" s="15"/>
      <c r="DM1059" s="15"/>
      <c r="DN1059" s="15"/>
      <c r="DO1059" s="15"/>
      <c r="DP1059" s="15"/>
      <c r="DQ1059" s="15"/>
      <c r="DR1059" s="15"/>
      <c r="DS1059" s="15"/>
      <c r="DT1059" s="15"/>
      <c r="DU1059" s="15"/>
      <c r="DV1059" s="15"/>
      <c r="DW1059" s="15"/>
      <c r="DX1059" s="15"/>
      <c r="DY1059" s="15"/>
      <c r="DZ1059" s="15"/>
      <c r="EA1059" s="15"/>
      <c r="EB1059" s="15"/>
      <c r="EC1059" s="16" t="s">
        <v>197</v>
      </c>
      <c r="ED1059" s="17" t="s">
        <v>198</v>
      </c>
      <c r="EE1059" s="18">
        <v>45699.42457175926</v>
      </c>
      <c r="EF1059" s="13" t="s">
        <v>209</v>
      </c>
      <c r="EG1059" s="14" t="s">
        <v>179</v>
      </c>
      <c r="EH1059" s="14" t="s">
        <v>20653</v>
      </c>
      <c r="EI1059" s="15"/>
      <c r="EJ1059" s="15"/>
      <c r="EK1059" s="15"/>
      <c r="EL1059" s="15"/>
      <c r="EM1059" s="15"/>
      <c r="EN1059" s="15"/>
      <c r="EO1059" s="15"/>
      <c r="EP1059" s="15"/>
      <c r="EQ1059" s="15"/>
      <c r="ER1059" s="15"/>
      <c r="ES1059" s="15"/>
      <c r="ET1059" s="15"/>
      <c r="EU1059" s="15"/>
      <c r="EV1059" s="15"/>
      <c r="EW1059" s="15"/>
      <c r="EX1059" s="15"/>
      <c r="EY1059" s="15"/>
      <c r="EZ1059" s="15"/>
      <c r="FA1059" s="15"/>
      <c r="FB1059" s="15"/>
      <c r="FC1059" s="16" t="s">
        <v>197</v>
      </c>
      <c r="FD1059" s="17" t="s">
        <v>198</v>
      </c>
      <c r="FE1059" s="18">
        <v>45723.34653935185</v>
      </c>
      <c r="FF1059" s="19"/>
      <c r="FG1059" s="19"/>
      <c r="FH1059" s="21" t="s">
        <v>197</v>
      </c>
      <c r="FI1059" s="17" t="s">
        <v>214</v>
      </c>
      <c r="FJ1059" s="18">
        <v>45723.34653935185</v>
      </c>
      <c r="FK1059" s="14" t="s">
        <v>20653</v>
      </c>
      <c r="FL1059" s="14" t="s">
        <v>20654</v>
      </c>
      <c r="FM1059" s="14" t="s">
        <v>20655</v>
      </c>
      <c r="FN1059" s="19"/>
      <c r="FO1059" s="19"/>
      <c r="FP1059" s="19" t="str">
        <f t="shared" si="1"/>
        <v>Base de Dados_Images/XV40069.Imagem do Equipamento-.164437.jpg</v>
      </c>
      <c r="FQ1059" s="19"/>
      <c r="FR1059" s="19"/>
    </row>
    <row r="1060" ht="15.75" customHeight="1">
      <c r="A1060" s="12" t="s">
        <v>217</v>
      </c>
      <c r="B1060" s="12" t="s">
        <v>8452</v>
      </c>
      <c r="C1060" s="12" t="s">
        <v>219</v>
      </c>
      <c r="D1060" s="22" t="s">
        <v>20656</v>
      </c>
      <c r="E1060" s="22" t="s">
        <v>20657</v>
      </c>
      <c r="F1060" s="13" t="s">
        <v>178</v>
      </c>
      <c r="G1060" s="14" t="s">
        <v>179</v>
      </c>
      <c r="H1060" s="14" t="s">
        <v>20658</v>
      </c>
      <c r="I1060" s="14" t="s">
        <v>179</v>
      </c>
      <c r="J1060" s="14" t="s">
        <v>20659</v>
      </c>
      <c r="K1060" s="14" t="s">
        <v>179</v>
      </c>
      <c r="L1060" s="14" t="s">
        <v>20660</v>
      </c>
      <c r="M1060" s="14" t="s">
        <v>179</v>
      </c>
      <c r="N1060" s="14" t="s">
        <v>20661</v>
      </c>
      <c r="O1060" s="14" t="s">
        <v>179</v>
      </c>
      <c r="P1060" s="14" t="s">
        <v>20662</v>
      </c>
      <c r="Q1060" s="14" t="s">
        <v>179</v>
      </c>
      <c r="R1060" s="14" t="s">
        <v>20663</v>
      </c>
      <c r="S1060" s="14" t="s">
        <v>179</v>
      </c>
      <c r="T1060" s="14" t="s">
        <v>20664</v>
      </c>
      <c r="U1060" s="14" t="s">
        <v>179</v>
      </c>
      <c r="V1060" s="14" t="s">
        <v>20665</v>
      </c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/>
      <c r="BB1060" s="15"/>
      <c r="BC1060" s="15"/>
      <c r="BD1060" s="15"/>
      <c r="BE1060" s="15"/>
      <c r="BF1060" s="15"/>
      <c r="BG1060" s="15"/>
      <c r="BH1060" s="15"/>
      <c r="BI1060" s="15"/>
      <c r="BJ1060" s="15"/>
      <c r="BK1060" s="15"/>
      <c r="BL1060" s="15"/>
      <c r="BM1060" s="15"/>
      <c r="BN1060" s="15"/>
      <c r="BO1060" s="16" t="s">
        <v>197</v>
      </c>
      <c r="BP1060" s="17" t="s">
        <v>228</v>
      </c>
      <c r="BQ1060" s="23"/>
      <c r="BR1060" s="17" t="s">
        <v>198</v>
      </c>
      <c r="BS1060" s="18">
        <v>45686.61046296296</v>
      </c>
      <c r="BT1060" s="17" t="s">
        <v>198</v>
      </c>
      <c r="BU1060" s="18">
        <v>45686.61046296296</v>
      </c>
      <c r="BV1060" s="13" t="s">
        <v>199</v>
      </c>
      <c r="BW1060" s="14" t="s">
        <v>179</v>
      </c>
      <c r="BX1060" s="14" t="s">
        <v>20666</v>
      </c>
      <c r="BY1060" s="14" t="s">
        <v>179</v>
      </c>
      <c r="BZ1060" s="14" t="s">
        <v>20667</v>
      </c>
      <c r="CA1060" s="15"/>
      <c r="CB1060" s="15"/>
      <c r="CC1060" s="15"/>
      <c r="CD1060" s="15"/>
      <c r="CE1060" s="15"/>
      <c r="CF1060" s="15"/>
      <c r="CG1060" s="19"/>
      <c r="CH1060" s="15"/>
      <c r="CI1060" s="19"/>
      <c r="CJ1060" s="15"/>
      <c r="CK1060" s="19"/>
      <c r="CL1060" s="15"/>
      <c r="CM1060" s="19"/>
      <c r="CN1060" s="15"/>
      <c r="CO1060" s="19"/>
      <c r="CP1060" s="15"/>
      <c r="CQ1060" s="15"/>
      <c r="CR1060" s="15"/>
      <c r="CS1060" s="19"/>
      <c r="CT1060" s="15"/>
      <c r="CU1060" s="19"/>
      <c r="CV1060" s="15"/>
      <c r="CW1060" s="19"/>
      <c r="CX1060" s="15"/>
      <c r="CY1060" s="19"/>
      <c r="CZ1060" s="15"/>
      <c r="DA1060" s="16" t="s">
        <v>197</v>
      </c>
      <c r="DB1060" s="17" t="s">
        <v>228</v>
      </c>
      <c r="DC1060" s="16"/>
      <c r="DD1060" s="17" t="s">
        <v>198</v>
      </c>
      <c r="DE1060" s="18">
        <v>45692.5466087963</v>
      </c>
      <c r="DF1060" s="17" t="s">
        <v>198</v>
      </c>
      <c r="DG1060" s="18">
        <v>45692.5466087963</v>
      </c>
      <c r="DH1060" s="13" t="s">
        <v>205</v>
      </c>
      <c r="DI1060" s="14" t="s">
        <v>179</v>
      </c>
      <c r="DJ1060" s="14" t="s">
        <v>20668</v>
      </c>
      <c r="DK1060" s="15"/>
      <c r="DL1060" s="15"/>
      <c r="DM1060" s="15"/>
      <c r="DN1060" s="15"/>
      <c r="DO1060" s="15"/>
      <c r="DP1060" s="15"/>
      <c r="DQ1060" s="15"/>
      <c r="DR1060" s="15"/>
      <c r="DS1060" s="15"/>
      <c r="DT1060" s="15"/>
      <c r="DU1060" s="15"/>
      <c r="DV1060" s="15"/>
      <c r="DW1060" s="15"/>
      <c r="DX1060" s="15"/>
      <c r="DY1060" s="15"/>
      <c r="DZ1060" s="15"/>
      <c r="EA1060" s="15"/>
      <c r="EB1060" s="15"/>
      <c r="EC1060" s="16" t="s">
        <v>197</v>
      </c>
      <c r="ED1060" s="17" t="s">
        <v>198</v>
      </c>
      <c r="EE1060" s="18">
        <v>45708.524675925924</v>
      </c>
      <c r="EF1060" s="13" t="s">
        <v>209</v>
      </c>
      <c r="EG1060" s="14" t="s">
        <v>179</v>
      </c>
      <c r="EH1060" s="14" t="s">
        <v>20669</v>
      </c>
      <c r="EI1060" s="15"/>
      <c r="EJ1060" s="15"/>
      <c r="EK1060" s="15"/>
      <c r="EL1060" s="15"/>
      <c r="EM1060" s="15"/>
      <c r="EN1060" s="15"/>
      <c r="EO1060" s="15"/>
      <c r="EP1060" s="15"/>
      <c r="EQ1060" s="15"/>
      <c r="ER1060" s="15"/>
      <c r="ES1060" s="15"/>
      <c r="ET1060" s="15"/>
      <c r="EU1060" s="15"/>
      <c r="EV1060" s="15"/>
      <c r="EW1060" s="15"/>
      <c r="EX1060" s="15"/>
      <c r="EY1060" s="15"/>
      <c r="EZ1060" s="15"/>
      <c r="FA1060" s="15"/>
      <c r="FB1060" s="15"/>
      <c r="FC1060" s="16" t="s">
        <v>197</v>
      </c>
      <c r="FD1060" s="17" t="s">
        <v>198</v>
      </c>
      <c r="FE1060" s="18">
        <v>45722.36619212963</v>
      </c>
      <c r="FF1060" s="19"/>
      <c r="FG1060" s="19"/>
      <c r="FH1060" s="21" t="s">
        <v>197</v>
      </c>
      <c r="FI1060" s="17" t="s">
        <v>214</v>
      </c>
      <c r="FJ1060" s="18">
        <v>45722.36619212963</v>
      </c>
      <c r="FK1060" s="14" t="s">
        <v>20669</v>
      </c>
      <c r="FL1060" s="14" t="s">
        <v>20670</v>
      </c>
      <c r="FM1060" s="14" t="s">
        <v>20671</v>
      </c>
      <c r="FN1060" s="19"/>
      <c r="FO1060" s="19"/>
      <c r="FP1060" s="19" t="str">
        <f t="shared" si="1"/>
        <v>Base de Dados_Images/XV40078.Imagem do Equipamento-.151600.jpg</v>
      </c>
      <c r="FQ1060" s="19"/>
      <c r="FR1060" s="19"/>
    </row>
    <row r="1061" ht="15.75" customHeight="1">
      <c r="A1061" s="12" t="s">
        <v>234</v>
      </c>
      <c r="B1061" s="12" t="s">
        <v>2706</v>
      </c>
      <c r="C1061" s="12" t="s">
        <v>219</v>
      </c>
      <c r="D1061" s="22" t="s">
        <v>20672</v>
      </c>
      <c r="E1061" s="22" t="s">
        <v>20673</v>
      </c>
      <c r="F1061" s="13" t="s">
        <v>178</v>
      </c>
      <c r="G1061" s="14" t="s">
        <v>179</v>
      </c>
      <c r="H1061" s="14" t="s">
        <v>20674</v>
      </c>
      <c r="I1061" s="14" t="s">
        <v>179</v>
      </c>
      <c r="J1061" s="14" t="s">
        <v>20675</v>
      </c>
      <c r="K1061" s="14" t="s">
        <v>179</v>
      </c>
      <c r="L1061" s="14" t="s">
        <v>20676</v>
      </c>
      <c r="M1061" s="14" t="s">
        <v>179</v>
      </c>
      <c r="N1061" s="14" t="s">
        <v>20677</v>
      </c>
      <c r="O1061" s="14" t="s">
        <v>179</v>
      </c>
      <c r="P1061" s="14" t="s">
        <v>20678</v>
      </c>
      <c r="Q1061" s="14" t="s">
        <v>179</v>
      </c>
      <c r="R1061" s="14" t="s">
        <v>20679</v>
      </c>
      <c r="S1061" s="14" t="s">
        <v>179</v>
      </c>
      <c r="T1061" s="14" t="s">
        <v>20680</v>
      </c>
      <c r="U1061" s="14" t="s">
        <v>179</v>
      </c>
      <c r="V1061" s="14" t="s">
        <v>20681</v>
      </c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  <c r="BH1061" s="15"/>
      <c r="BI1061" s="15"/>
      <c r="BJ1061" s="15"/>
      <c r="BK1061" s="15"/>
      <c r="BL1061" s="15"/>
      <c r="BM1061" s="15"/>
      <c r="BN1061" s="15"/>
      <c r="BO1061" s="16" t="s">
        <v>197</v>
      </c>
      <c r="BP1061" s="17" t="s">
        <v>228</v>
      </c>
      <c r="BQ1061" s="23"/>
      <c r="BR1061" s="17" t="s">
        <v>198</v>
      </c>
      <c r="BS1061" s="18">
        <v>45694.356828703705</v>
      </c>
      <c r="BT1061" s="17" t="s">
        <v>198</v>
      </c>
      <c r="BU1061" s="18">
        <v>45694.356828703705</v>
      </c>
      <c r="BV1061" s="13" t="s">
        <v>199</v>
      </c>
      <c r="BW1061" s="14" t="s">
        <v>179</v>
      </c>
      <c r="BX1061" s="14" t="s">
        <v>20682</v>
      </c>
      <c r="BY1061" s="14" t="s">
        <v>179</v>
      </c>
      <c r="BZ1061" s="14" t="s">
        <v>20683</v>
      </c>
      <c r="CA1061" s="15"/>
      <c r="CB1061" s="15"/>
      <c r="CC1061" s="15"/>
      <c r="CD1061" s="15"/>
      <c r="CE1061" s="15"/>
      <c r="CF1061" s="15"/>
      <c r="CG1061" s="19"/>
      <c r="CH1061" s="15"/>
      <c r="CI1061" s="19"/>
      <c r="CJ1061" s="15"/>
      <c r="CK1061" s="19"/>
      <c r="CL1061" s="15"/>
      <c r="CM1061" s="19"/>
      <c r="CN1061" s="15"/>
      <c r="CO1061" s="19"/>
      <c r="CP1061" s="15"/>
      <c r="CQ1061" s="15"/>
      <c r="CR1061" s="15"/>
      <c r="CS1061" s="19"/>
      <c r="CT1061" s="15"/>
      <c r="CU1061" s="19"/>
      <c r="CV1061" s="15"/>
      <c r="CW1061" s="19"/>
      <c r="CX1061" s="15"/>
      <c r="CY1061" s="19"/>
      <c r="CZ1061" s="15"/>
      <c r="DA1061" s="16" t="s">
        <v>197</v>
      </c>
      <c r="DB1061" s="17" t="s">
        <v>228</v>
      </c>
      <c r="DC1061" s="16"/>
      <c r="DD1061" s="17" t="s">
        <v>198</v>
      </c>
      <c r="DE1061" s="18">
        <v>45696.393275462964</v>
      </c>
      <c r="DF1061" s="17" t="s">
        <v>198</v>
      </c>
      <c r="DG1061" s="18">
        <v>45696.393275462964</v>
      </c>
      <c r="DH1061" s="13" t="s">
        <v>205</v>
      </c>
      <c r="DI1061" s="14" t="s">
        <v>179</v>
      </c>
      <c r="DJ1061" s="14" t="s">
        <v>20684</v>
      </c>
      <c r="DK1061" s="15"/>
      <c r="DL1061" s="15"/>
      <c r="DM1061" s="15"/>
      <c r="DN1061" s="15"/>
      <c r="DO1061" s="15"/>
      <c r="DP1061" s="15"/>
      <c r="DQ1061" s="15"/>
      <c r="DR1061" s="15"/>
      <c r="DS1061" s="15"/>
      <c r="DT1061" s="15"/>
      <c r="DU1061" s="15"/>
      <c r="DV1061" s="15"/>
      <c r="DW1061" s="15"/>
      <c r="DX1061" s="15"/>
      <c r="DY1061" s="15"/>
      <c r="DZ1061" s="15"/>
      <c r="EA1061" s="15"/>
      <c r="EB1061" s="15"/>
      <c r="EC1061" s="16" t="s">
        <v>197</v>
      </c>
      <c r="ED1061" s="17" t="s">
        <v>198</v>
      </c>
      <c r="EE1061" s="18">
        <v>45696.393425925926</v>
      </c>
      <c r="EF1061" s="13" t="s">
        <v>209</v>
      </c>
      <c r="EG1061" s="14" t="s">
        <v>179</v>
      </c>
      <c r="EH1061" s="14" t="s">
        <v>20685</v>
      </c>
      <c r="EI1061" s="15"/>
      <c r="EJ1061" s="15"/>
      <c r="EK1061" s="15"/>
      <c r="EL1061" s="15"/>
      <c r="EM1061" s="15"/>
      <c r="EN1061" s="15"/>
      <c r="EO1061" s="15"/>
      <c r="EP1061" s="15"/>
      <c r="EQ1061" s="15"/>
      <c r="ER1061" s="15"/>
      <c r="ES1061" s="15"/>
      <c r="ET1061" s="15"/>
      <c r="EU1061" s="15"/>
      <c r="EV1061" s="15"/>
      <c r="EW1061" s="15"/>
      <c r="EX1061" s="15"/>
      <c r="EY1061" s="15"/>
      <c r="EZ1061" s="15"/>
      <c r="FA1061" s="15"/>
      <c r="FB1061" s="15"/>
      <c r="FC1061" s="16" t="s">
        <v>197</v>
      </c>
      <c r="FD1061" s="17" t="s">
        <v>198</v>
      </c>
      <c r="FE1061" s="18">
        <v>45720.33128472222</v>
      </c>
      <c r="FF1061" s="19"/>
      <c r="FG1061" s="19"/>
      <c r="FH1061" s="21" t="s">
        <v>197</v>
      </c>
      <c r="FI1061" s="17" t="s">
        <v>214</v>
      </c>
      <c r="FJ1061" s="18">
        <v>45720.33128472222</v>
      </c>
      <c r="FK1061" s="14" t="s">
        <v>20685</v>
      </c>
      <c r="FL1061" s="14" t="s">
        <v>20686</v>
      </c>
      <c r="FM1061" s="14" t="s">
        <v>20687</v>
      </c>
      <c r="FN1061" s="19"/>
      <c r="FO1061" s="19"/>
      <c r="FP1061" s="19" t="str">
        <f t="shared" si="1"/>
        <v>Base de Dados_Images/XV65001.Imagem do Equipamento-.172802.jpg</v>
      </c>
      <c r="FQ1061" s="19"/>
      <c r="FR1061" s="19"/>
    </row>
    <row r="1062" ht="15.75" customHeight="1">
      <c r="A1062" s="12" t="s">
        <v>234</v>
      </c>
      <c r="B1062" s="12" t="s">
        <v>2706</v>
      </c>
      <c r="C1062" s="12" t="s">
        <v>219</v>
      </c>
      <c r="D1062" s="22" t="s">
        <v>20688</v>
      </c>
      <c r="E1062" s="22" t="s">
        <v>20689</v>
      </c>
      <c r="F1062" s="13" t="s">
        <v>178</v>
      </c>
      <c r="G1062" s="14" t="s">
        <v>179</v>
      </c>
      <c r="H1062" s="14" t="s">
        <v>20690</v>
      </c>
      <c r="I1062" s="14" t="s">
        <v>179</v>
      </c>
      <c r="J1062" s="14" t="s">
        <v>20691</v>
      </c>
      <c r="K1062" s="14" t="s">
        <v>179</v>
      </c>
      <c r="L1062" s="14" t="s">
        <v>20692</v>
      </c>
      <c r="M1062" s="14" t="s">
        <v>179</v>
      </c>
      <c r="N1062" s="14" t="s">
        <v>20693</v>
      </c>
      <c r="O1062" s="14" t="s">
        <v>179</v>
      </c>
      <c r="P1062" s="14" t="s">
        <v>20694</v>
      </c>
      <c r="Q1062" s="14" t="s">
        <v>179</v>
      </c>
      <c r="R1062" s="14" t="s">
        <v>20695</v>
      </c>
      <c r="S1062" s="14" t="s">
        <v>179</v>
      </c>
      <c r="T1062" s="14" t="s">
        <v>20696</v>
      </c>
      <c r="U1062" s="14" t="s">
        <v>179</v>
      </c>
      <c r="V1062" s="14" t="s">
        <v>20697</v>
      </c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  <c r="BD1062" s="15"/>
      <c r="BE1062" s="15"/>
      <c r="BF1062" s="15"/>
      <c r="BG1062" s="15"/>
      <c r="BH1062" s="15"/>
      <c r="BI1062" s="15"/>
      <c r="BJ1062" s="15"/>
      <c r="BK1062" s="15"/>
      <c r="BL1062" s="15"/>
      <c r="BM1062" s="15"/>
      <c r="BN1062" s="15"/>
      <c r="BO1062" s="16" t="s">
        <v>197</v>
      </c>
      <c r="BP1062" s="17" t="s">
        <v>228</v>
      </c>
      <c r="BQ1062" s="23"/>
      <c r="BR1062" s="17" t="s">
        <v>198</v>
      </c>
      <c r="BS1062" s="18">
        <v>45694.53141203704</v>
      </c>
      <c r="BT1062" s="17" t="s">
        <v>198</v>
      </c>
      <c r="BU1062" s="18">
        <v>45694.53141203704</v>
      </c>
      <c r="BV1062" s="13" t="s">
        <v>199</v>
      </c>
      <c r="BW1062" s="14" t="s">
        <v>179</v>
      </c>
      <c r="BX1062" s="14" t="s">
        <v>20698</v>
      </c>
      <c r="BY1062" s="14" t="s">
        <v>179</v>
      </c>
      <c r="BZ1062" s="14" t="s">
        <v>20699</v>
      </c>
      <c r="CA1062" s="15"/>
      <c r="CB1062" s="15"/>
      <c r="CC1062" s="15"/>
      <c r="CD1062" s="15"/>
      <c r="CE1062" s="15"/>
      <c r="CF1062" s="15"/>
      <c r="CG1062" s="19"/>
      <c r="CH1062" s="15"/>
      <c r="CI1062" s="19"/>
      <c r="CJ1062" s="15"/>
      <c r="CK1062" s="19"/>
      <c r="CL1062" s="15"/>
      <c r="CM1062" s="19"/>
      <c r="CN1062" s="15"/>
      <c r="CO1062" s="19"/>
      <c r="CP1062" s="15"/>
      <c r="CQ1062" s="15"/>
      <c r="CR1062" s="15"/>
      <c r="CS1062" s="19"/>
      <c r="CT1062" s="15"/>
      <c r="CU1062" s="19"/>
      <c r="CV1062" s="15"/>
      <c r="CW1062" s="19"/>
      <c r="CX1062" s="15"/>
      <c r="CY1062" s="19"/>
      <c r="CZ1062" s="15"/>
      <c r="DA1062" s="16" t="s">
        <v>197</v>
      </c>
      <c r="DB1062" s="17" t="s">
        <v>228</v>
      </c>
      <c r="DC1062" s="16"/>
      <c r="DD1062" s="17" t="s">
        <v>198</v>
      </c>
      <c r="DE1062" s="18">
        <v>45696.587847222225</v>
      </c>
      <c r="DF1062" s="17" t="s">
        <v>198</v>
      </c>
      <c r="DG1062" s="18">
        <v>45696.587847222225</v>
      </c>
      <c r="DH1062" s="13" t="s">
        <v>205</v>
      </c>
      <c r="DI1062" s="14" t="s">
        <v>179</v>
      </c>
      <c r="DJ1062" s="14" t="s">
        <v>20700</v>
      </c>
      <c r="DK1062" s="15"/>
      <c r="DL1062" s="15"/>
      <c r="DM1062" s="15"/>
      <c r="DN1062" s="15"/>
      <c r="DO1062" s="15"/>
      <c r="DP1062" s="15"/>
      <c r="DQ1062" s="15"/>
      <c r="DR1062" s="15"/>
      <c r="DS1062" s="15"/>
      <c r="DT1062" s="15"/>
      <c r="DU1062" s="15"/>
      <c r="DV1062" s="15"/>
      <c r="DW1062" s="15"/>
      <c r="DX1062" s="15"/>
      <c r="DY1062" s="15"/>
      <c r="DZ1062" s="15"/>
      <c r="EA1062" s="15"/>
      <c r="EB1062" s="15"/>
      <c r="EC1062" s="16" t="s">
        <v>197</v>
      </c>
      <c r="ED1062" s="17" t="s">
        <v>198</v>
      </c>
      <c r="EE1062" s="18">
        <v>45703.4630787037</v>
      </c>
      <c r="EF1062" s="13" t="s">
        <v>209</v>
      </c>
      <c r="EG1062" s="14" t="s">
        <v>179</v>
      </c>
      <c r="EH1062" s="14" t="s">
        <v>20701</v>
      </c>
      <c r="EI1062" s="15"/>
      <c r="EJ1062" s="15"/>
      <c r="EK1062" s="15"/>
      <c r="EL1062" s="15"/>
      <c r="EM1062" s="15"/>
      <c r="EN1062" s="15"/>
      <c r="EO1062" s="15"/>
      <c r="EP1062" s="15"/>
      <c r="EQ1062" s="15"/>
      <c r="ER1062" s="15"/>
      <c r="ES1062" s="15"/>
      <c r="ET1062" s="15"/>
      <c r="EU1062" s="15"/>
      <c r="EV1062" s="15"/>
      <c r="EW1062" s="15"/>
      <c r="EX1062" s="15"/>
      <c r="EY1062" s="15"/>
      <c r="EZ1062" s="15"/>
      <c r="FA1062" s="15"/>
      <c r="FB1062" s="15"/>
      <c r="FC1062" s="16" t="s">
        <v>197</v>
      </c>
      <c r="FD1062" s="17" t="s">
        <v>198</v>
      </c>
      <c r="FE1062" s="18">
        <v>45720.331354166665</v>
      </c>
      <c r="FF1062" s="14"/>
      <c r="FG1062" s="19"/>
      <c r="FH1062" s="17" t="s">
        <v>197</v>
      </c>
      <c r="FI1062" s="17" t="s">
        <v>214</v>
      </c>
      <c r="FJ1062" s="18">
        <v>45720.331354166665</v>
      </c>
      <c r="FK1062" s="14" t="s">
        <v>20701</v>
      </c>
      <c r="FL1062" s="14" t="s">
        <v>20702</v>
      </c>
      <c r="FM1062" s="14" t="s">
        <v>20703</v>
      </c>
      <c r="FN1062" s="19"/>
      <c r="FO1062" s="19"/>
      <c r="FP1062" s="19" t="str">
        <f t="shared" si="1"/>
        <v>Base de Dados_Images/XV65002.Imagem do Equipamento-.154453.jpg</v>
      </c>
      <c r="FQ1062" s="19"/>
      <c r="FR1062" s="19"/>
    </row>
    <row r="1063" ht="15.75" customHeight="1">
      <c r="A1063" s="12" t="s">
        <v>234</v>
      </c>
      <c r="B1063" s="12" t="s">
        <v>2706</v>
      </c>
      <c r="C1063" s="12" t="s">
        <v>219</v>
      </c>
      <c r="D1063" s="22" t="s">
        <v>20704</v>
      </c>
      <c r="E1063" s="22" t="s">
        <v>20705</v>
      </c>
      <c r="F1063" s="13" t="s">
        <v>178</v>
      </c>
      <c r="G1063" s="14" t="s">
        <v>179</v>
      </c>
      <c r="H1063" s="14" t="s">
        <v>20706</v>
      </c>
      <c r="I1063" s="14" t="s">
        <v>179</v>
      </c>
      <c r="J1063" s="14" t="s">
        <v>20707</v>
      </c>
      <c r="K1063" s="14" t="s">
        <v>179</v>
      </c>
      <c r="L1063" s="14" t="s">
        <v>20708</v>
      </c>
      <c r="M1063" s="14" t="s">
        <v>179</v>
      </c>
      <c r="N1063" s="14" t="s">
        <v>20709</v>
      </c>
      <c r="O1063" s="14" t="s">
        <v>179</v>
      </c>
      <c r="P1063" s="14" t="s">
        <v>20710</v>
      </c>
      <c r="Q1063" s="14" t="s">
        <v>179</v>
      </c>
      <c r="R1063" s="14" t="s">
        <v>20711</v>
      </c>
      <c r="S1063" s="14" t="s">
        <v>179</v>
      </c>
      <c r="T1063" s="14" t="s">
        <v>20712</v>
      </c>
      <c r="U1063" s="14" t="s">
        <v>179</v>
      </c>
      <c r="V1063" s="14" t="s">
        <v>20713</v>
      </c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15"/>
      <c r="BH1063" s="15"/>
      <c r="BI1063" s="15"/>
      <c r="BJ1063" s="15"/>
      <c r="BK1063" s="15"/>
      <c r="BL1063" s="15"/>
      <c r="BM1063" s="15"/>
      <c r="BN1063" s="15"/>
      <c r="BO1063" s="16" t="s">
        <v>197</v>
      </c>
      <c r="BP1063" s="17" t="s">
        <v>228</v>
      </c>
      <c r="BQ1063" s="23"/>
      <c r="BR1063" s="17" t="s">
        <v>198</v>
      </c>
      <c r="BS1063" s="18">
        <v>45694.533125</v>
      </c>
      <c r="BT1063" s="17" t="s">
        <v>198</v>
      </c>
      <c r="BU1063" s="18">
        <v>45694.533125</v>
      </c>
      <c r="BV1063" s="13" t="s">
        <v>199</v>
      </c>
      <c r="BW1063" s="14" t="s">
        <v>179</v>
      </c>
      <c r="BX1063" s="14" t="s">
        <v>20714</v>
      </c>
      <c r="BY1063" s="14" t="s">
        <v>179</v>
      </c>
      <c r="BZ1063" s="14" t="s">
        <v>20715</v>
      </c>
      <c r="CA1063" s="15"/>
      <c r="CB1063" s="15"/>
      <c r="CC1063" s="15"/>
      <c r="CD1063" s="15"/>
      <c r="CE1063" s="15"/>
      <c r="CF1063" s="15"/>
      <c r="CG1063" s="19"/>
      <c r="CH1063" s="15"/>
      <c r="CI1063" s="19"/>
      <c r="CJ1063" s="15"/>
      <c r="CK1063" s="19"/>
      <c r="CL1063" s="15"/>
      <c r="CM1063" s="19"/>
      <c r="CN1063" s="15"/>
      <c r="CO1063" s="19"/>
      <c r="CP1063" s="15"/>
      <c r="CQ1063" s="15"/>
      <c r="CR1063" s="15"/>
      <c r="CS1063" s="19"/>
      <c r="CT1063" s="15"/>
      <c r="CU1063" s="19"/>
      <c r="CV1063" s="15"/>
      <c r="CW1063" s="19"/>
      <c r="CX1063" s="15"/>
      <c r="CY1063" s="19"/>
      <c r="CZ1063" s="15"/>
      <c r="DA1063" s="16" t="s">
        <v>197</v>
      </c>
      <c r="DB1063" s="17" t="s">
        <v>228</v>
      </c>
      <c r="DC1063" s="16"/>
      <c r="DD1063" s="17" t="s">
        <v>198</v>
      </c>
      <c r="DE1063" s="18">
        <v>45696.58803240741</v>
      </c>
      <c r="DF1063" s="17" t="s">
        <v>198</v>
      </c>
      <c r="DG1063" s="18">
        <v>45696.58803240741</v>
      </c>
      <c r="DH1063" s="13" t="s">
        <v>205</v>
      </c>
      <c r="DI1063" s="14" t="s">
        <v>179</v>
      </c>
      <c r="DJ1063" s="14" t="s">
        <v>20716</v>
      </c>
      <c r="DK1063" s="15"/>
      <c r="DL1063" s="15"/>
      <c r="DM1063" s="15"/>
      <c r="DN1063" s="15"/>
      <c r="DO1063" s="15"/>
      <c r="DP1063" s="15"/>
      <c r="DQ1063" s="15"/>
      <c r="DR1063" s="15"/>
      <c r="DS1063" s="15"/>
      <c r="DT1063" s="15"/>
      <c r="DU1063" s="15"/>
      <c r="DV1063" s="15"/>
      <c r="DW1063" s="15"/>
      <c r="DX1063" s="15"/>
      <c r="DY1063" s="15"/>
      <c r="DZ1063" s="15"/>
      <c r="EA1063" s="15"/>
      <c r="EB1063" s="15"/>
      <c r="EC1063" s="16" t="s">
        <v>197</v>
      </c>
      <c r="ED1063" s="17" t="s">
        <v>198</v>
      </c>
      <c r="EE1063" s="18">
        <v>45703.463796296295</v>
      </c>
      <c r="EF1063" s="13" t="s">
        <v>209</v>
      </c>
      <c r="EG1063" s="14" t="s">
        <v>179</v>
      </c>
      <c r="EH1063" s="14" t="s">
        <v>20717</v>
      </c>
      <c r="EI1063" s="15"/>
      <c r="EJ1063" s="15"/>
      <c r="EK1063" s="15"/>
      <c r="EL1063" s="15"/>
      <c r="EM1063" s="15"/>
      <c r="EN1063" s="15"/>
      <c r="EO1063" s="15"/>
      <c r="EP1063" s="15"/>
      <c r="EQ1063" s="15"/>
      <c r="ER1063" s="15"/>
      <c r="ES1063" s="15"/>
      <c r="ET1063" s="15"/>
      <c r="EU1063" s="15"/>
      <c r="EV1063" s="15"/>
      <c r="EW1063" s="15"/>
      <c r="EX1063" s="15"/>
      <c r="EY1063" s="15"/>
      <c r="EZ1063" s="15"/>
      <c r="FA1063" s="15"/>
      <c r="FB1063" s="15"/>
      <c r="FC1063" s="16" t="s">
        <v>197</v>
      </c>
      <c r="FD1063" s="17" t="s">
        <v>198</v>
      </c>
      <c r="FE1063" s="18">
        <v>45720.33144675926</v>
      </c>
      <c r="FF1063" s="14"/>
      <c r="FG1063" s="19"/>
      <c r="FH1063" s="17" t="s">
        <v>197</v>
      </c>
      <c r="FI1063" s="17" t="s">
        <v>214</v>
      </c>
      <c r="FJ1063" s="18">
        <v>45720.33144675926</v>
      </c>
      <c r="FK1063" s="14" t="s">
        <v>20717</v>
      </c>
      <c r="FL1063" s="14" t="s">
        <v>20718</v>
      </c>
      <c r="FM1063" s="14" t="s">
        <v>20719</v>
      </c>
      <c r="FN1063" s="19"/>
      <c r="FO1063" s="19"/>
      <c r="FP1063" s="19" t="str">
        <f t="shared" si="1"/>
        <v>Base de Dados_Images/XV65003.Imagem do Equipamento-.154615.jpg</v>
      </c>
      <c r="FQ1063" s="19"/>
      <c r="FR1063" s="19"/>
    </row>
    <row r="1064" ht="15.75" customHeight="1">
      <c r="A1064" s="12" t="s">
        <v>234</v>
      </c>
      <c r="B1064" s="12" t="s">
        <v>2706</v>
      </c>
      <c r="C1064" s="12" t="s">
        <v>219</v>
      </c>
      <c r="D1064" s="22" t="s">
        <v>20720</v>
      </c>
      <c r="E1064" s="22" t="s">
        <v>20721</v>
      </c>
      <c r="F1064" s="13" t="s">
        <v>178</v>
      </c>
      <c r="G1064" s="14" t="s">
        <v>179</v>
      </c>
      <c r="H1064" s="14" t="s">
        <v>20722</v>
      </c>
      <c r="I1064" s="14" t="s">
        <v>179</v>
      </c>
      <c r="J1064" s="14" t="s">
        <v>20723</v>
      </c>
      <c r="K1064" s="14" t="s">
        <v>179</v>
      </c>
      <c r="L1064" s="14" t="s">
        <v>20724</v>
      </c>
      <c r="M1064" s="14" t="s">
        <v>179</v>
      </c>
      <c r="N1064" s="14" t="s">
        <v>20725</v>
      </c>
      <c r="O1064" s="14" t="s">
        <v>179</v>
      </c>
      <c r="P1064" s="14" t="s">
        <v>20726</v>
      </c>
      <c r="Q1064" s="14" t="s">
        <v>179</v>
      </c>
      <c r="R1064" s="14" t="s">
        <v>20727</v>
      </c>
      <c r="S1064" s="14" t="s">
        <v>179</v>
      </c>
      <c r="T1064" s="14" t="s">
        <v>20728</v>
      </c>
      <c r="U1064" s="14" t="s">
        <v>179</v>
      </c>
      <c r="V1064" s="14" t="s">
        <v>20729</v>
      </c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/>
      <c r="BB1064" s="15"/>
      <c r="BC1064" s="15"/>
      <c r="BD1064" s="15"/>
      <c r="BE1064" s="15"/>
      <c r="BF1064" s="15"/>
      <c r="BG1064" s="15"/>
      <c r="BH1064" s="15"/>
      <c r="BI1064" s="15"/>
      <c r="BJ1064" s="15"/>
      <c r="BK1064" s="15"/>
      <c r="BL1064" s="15"/>
      <c r="BM1064" s="15"/>
      <c r="BN1064" s="15"/>
      <c r="BO1064" s="16" t="s">
        <v>197</v>
      </c>
      <c r="BP1064" s="17" t="s">
        <v>228</v>
      </c>
      <c r="BQ1064" s="23"/>
      <c r="BR1064" s="17" t="s">
        <v>198</v>
      </c>
      <c r="BS1064" s="18">
        <v>45694.49587962963</v>
      </c>
      <c r="BT1064" s="17" t="s">
        <v>198</v>
      </c>
      <c r="BU1064" s="18">
        <v>45694.49587962963</v>
      </c>
      <c r="BV1064" s="13" t="s">
        <v>199</v>
      </c>
      <c r="BW1064" s="14" t="s">
        <v>179</v>
      </c>
      <c r="BX1064" s="14" t="s">
        <v>20730</v>
      </c>
      <c r="BY1064" s="14" t="s">
        <v>179</v>
      </c>
      <c r="BZ1064" s="14" t="s">
        <v>20731</v>
      </c>
      <c r="CA1064" s="15"/>
      <c r="CB1064" s="15"/>
      <c r="CC1064" s="15"/>
      <c r="CD1064" s="15"/>
      <c r="CE1064" s="15"/>
      <c r="CF1064" s="15"/>
      <c r="CG1064" s="19"/>
      <c r="CH1064" s="15"/>
      <c r="CI1064" s="19"/>
      <c r="CJ1064" s="15"/>
      <c r="CK1064" s="19"/>
      <c r="CL1064" s="15"/>
      <c r="CM1064" s="19"/>
      <c r="CN1064" s="15"/>
      <c r="CO1064" s="19"/>
      <c r="CP1064" s="15"/>
      <c r="CQ1064" s="15"/>
      <c r="CR1064" s="15"/>
      <c r="CS1064" s="19"/>
      <c r="CT1064" s="15"/>
      <c r="CU1064" s="19"/>
      <c r="CV1064" s="15"/>
      <c r="CW1064" s="19"/>
      <c r="CX1064" s="15"/>
      <c r="CY1064" s="19"/>
      <c r="CZ1064" s="15"/>
      <c r="DA1064" s="16" t="s">
        <v>197</v>
      </c>
      <c r="DB1064" s="17" t="s">
        <v>228</v>
      </c>
      <c r="DC1064" s="16"/>
      <c r="DD1064" s="17" t="s">
        <v>198</v>
      </c>
      <c r="DE1064" s="18">
        <v>45696.608252314814</v>
      </c>
      <c r="DF1064" s="17" t="s">
        <v>198</v>
      </c>
      <c r="DG1064" s="18">
        <v>45696.608252314814</v>
      </c>
      <c r="DH1064" s="13" t="s">
        <v>205</v>
      </c>
      <c r="DI1064" s="14" t="s">
        <v>179</v>
      </c>
      <c r="DJ1064" s="14" t="s">
        <v>20732</v>
      </c>
      <c r="DK1064" s="15"/>
      <c r="DL1064" s="15"/>
      <c r="DM1064" s="15"/>
      <c r="DN1064" s="15"/>
      <c r="DO1064" s="15"/>
      <c r="DP1064" s="15"/>
      <c r="DQ1064" s="15"/>
      <c r="DR1064" s="15"/>
      <c r="DS1064" s="15"/>
      <c r="DT1064" s="15"/>
      <c r="DU1064" s="15"/>
      <c r="DV1064" s="15"/>
      <c r="DW1064" s="15"/>
      <c r="DX1064" s="15"/>
      <c r="DY1064" s="15"/>
      <c r="DZ1064" s="15"/>
      <c r="EA1064" s="15"/>
      <c r="EB1064" s="15"/>
      <c r="EC1064" s="16" t="s">
        <v>197</v>
      </c>
      <c r="ED1064" s="17" t="s">
        <v>198</v>
      </c>
      <c r="EE1064" s="18">
        <v>45703.46398148148</v>
      </c>
      <c r="EF1064" s="13" t="s">
        <v>209</v>
      </c>
      <c r="EG1064" s="14" t="s">
        <v>179</v>
      </c>
      <c r="EH1064" s="14" t="s">
        <v>20733</v>
      </c>
      <c r="EI1064" s="15"/>
      <c r="EJ1064" s="15"/>
      <c r="EK1064" s="15"/>
      <c r="EL1064" s="15"/>
      <c r="EM1064" s="15"/>
      <c r="EN1064" s="15"/>
      <c r="EO1064" s="15"/>
      <c r="EP1064" s="15"/>
      <c r="EQ1064" s="15"/>
      <c r="ER1064" s="15"/>
      <c r="ES1064" s="15"/>
      <c r="ET1064" s="15"/>
      <c r="EU1064" s="15"/>
      <c r="EV1064" s="15"/>
      <c r="EW1064" s="15"/>
      <c r="EX1064" s="15"/>
      <c r="EY1064" s="15"/>
      <c r="EZ1064" s="15"/>
      <c r="FA1064" s="15"/>
      <c r="FB1064" s="15"/>
      <c r="FC1064" s="16" t="s">
        <v>197</v>
      </c>
      <c r="FD1064" s="17" t="s">
        <v>198</v>
      </c>
      <c r="FE1064" s="18">
        <v>45720.33149305556</v>
      </c>
      <c r="FF1064" s="14"/>
      <c r="FG1064" s="19"/>
      <c r="FH1064" s="17" t="s">
        <v>197</v>
      </c>
      <c r="FI1064" s="17" t="s">
        <v>214</v>
      </c>
      <c r="FJ1064" s="18">
        <v>45720.33149305556</v>
      </c>
      <c r="FK1064" s="14" t="s">
        <v>20733</v>
      </c>
      <c r="FL1064" s="14" t="s">
        <v>20734</v>
      </c>
      <c r="FM1064" s="14" t="s">
        <v>20735</v>
      </c>
      <c r="FN1064" s="19"/>
      <c r="FO1064" s="19"/>
      <c r="FP1064" s="19" t="str">
        <f t="shared" si="1"/>
        <v>Base de Dados_Images/XV65004.Imagem do Equipamento-.151253.jpg</v>
      </c>
      <c r="FQ1064" s="19"/>
      <c r="FR1064" s="19"/>
    </row>
    <row r="1065" ht="15.75" customHeight="1">
      <c r="A1065" s="12" t="s">
        <v>234</v>
      </c>
      <c r="B1065" s="12" t="s">
        <v>2706</v>
      </c>
      <c r="C1065" s="12" t="s">
        <v>219</v>
      </c>
      <c r="D1065" s="22" t="s">
        <v>20736</v>
      </c>
      <c r="E1065" s="22" t="s">
        <v>20737</v>
      </c>
      <c r="F1065" s="13" t="s">
        <v>178</v>
      </c>
      <c r="G1065" s="14" t="s">
        <v>179</v>
      </c>
      <c r="H1065" s="14" t="s">
        <v>20738</v>
      </c>
      <c r="I1065" s="14" t="s">
        <v>179</v>
      </c>
      <c r="J1065" s="14" t="s">
        <v>20739</v>
      </c>
      <c r="K1065" s="14" t="s">
        <v>179</v>
      </c>
      <c r="L1065" s="14" t="s">
        <v>20740</v>
      </c>
      <c r="M1065" s="14" t="s">
        <v>179</v>
      </c>
      <c r="N1065" s="14" t="s">
        <v>20741</v>
      </c>
      <c r="O1065" s="14" t="s">
        <v>179</v>
      </c>
      <c r="P1065" s="14" t="s">
        <v>20742</v>
      </c>
      <c r="Q1065" s="14" t="s">
        <v>179</v>
      </c>
      <c r="R1065" s="14" t="s">
        <v>20743</v>
      </c>
      <c r="S1065" s="14" t="s">
        <v>179</v>
      </c>
      <c r="T1065" s="14" t="s">
        <v>20744</v>
      </c>
      <c r="U1065" s="14" t="s">
        <v>179</v>
      </c>
      <c r="V1065" s="14" t="s">
        <v>20745</v>
      </c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5"/>
      <c r="BF1065" s="15"/>
      <c r="BG1065" s="15"/>
      <c r="BH1065" s="15"/>
      <c r="BI1065" s="15"/>
      <c r="BJ1065" s="15"/>
      <c r="BK1065" s="15"/>
      <c r="BL1065" s="15"/>
      <c r="BM1065" s="15"/>
      <c r="BN1065" s="15"/>
      <c r="BO1065" s="16" t="s">
        <v>197</v>
      </c>
      <c r="BP1065" s="17" t="s">
        <v>228</v>
      </c>
      <c r="BQ1065" s="23"/>
      <c r="BR1065" s="17" t="s">
        <v>198</v>
      </c>
      <c r="BS1065" s="18">
        <v>45694.49423611111</v>
      </c>
      <c r="BT1065" s="17" t="s">
        <v>198</v>
      </c>
      <c r="BU1065" s="18">
        <v>45694.49423611111</v>
      </c>
      <c r="BV1065" s="13" t="s">
        <v>199</v>
      </c>
      <c r="BW1065" s="14" t="s">
        <v>179</v>
      </c>
      <c r="BX1065" s="14" t="s">
        <v>20746</v>
      </c>
      <c r="BY1065" s="14" t="s">
        <v>179</v>
      </c>
      <c r="BZ1065" s="14" t="s">
        <v>20746</v>
      </c>
      <c r="CA1065" s="15"/>
      <c r="CB1065" s="15"/>
      <c r="CC1065" s="15"/>
      <c r="CD1065" s="15"/>
      <c r="CE1065" s="15"/>
      <c r="CF1065" s="15"/>
      <c r="CG1065" s="19"/>
      <c r="CH1065" s="15"/>
      <c r="CI1065" s="19"/>
      <c r="CJ1065" s="15"/>
      <c r="CK1065" s="19"/>
      <c r="CL1065" s="15"/>
      <c r="CM1065" s="19"/>
      <c r="CN1065" s="15"/>
      <c r="CO1065" s="19"/>
      <c r="CP1065" s="15"/>
      <c r="CQ1065" s="15"/>
      <c r="CR1065" s="15"/>
      <c r="CS1065" s="19"/>
      <c r="CT1065" s="15"/>
      <c r="CU1065" s="19"/>
      <c r="CV1065" s="15"/>
      <c r="CW1065" s="19"/>
      <c r="CX1065" s="15"/>
      <c r="CY1065" s="19"/>
      <c r="CZ1065" s="15"/>
      <c r="DA1065" s="16" t="s">
        <v>197</v>
      </c>
      <c r="DB1065" s="17" t="s">
        <v>228</v>
      </c>
      <c r="DC1065" s="16"/>
      <c r="DD1065" s="17" t="s">
        <v>198</v>
      </c>
      <c r="DE1065" s="18">
        <v>45696.588842592595</v>
      </c>
      <c r="DF1065" s="17" t="s">
        <v>198</v>
      </c>
      <c r="DG1065" s="18">
        <v>45696.588842592595</v>
      </c>
      <c r="DH1065" s="13" t="s">
        <v>205</v>
      </c>
      <c r="DI1065" s="14" t="s">
        <v>179</v>
      </c>
      <c r="DJ1065" s="14" t="s">
        <v>20747</v>
      </c>
      <c r="DK1065" s="15"/>
      <c r="DL1065" s="15"/>
      <c r="DM1065" s="15"/>
      <c r="DN1065" s="15"/>
      <c r="DO1065" s="15"/>
      <c r="DP1065" s="15"/>
      <c r="DQ1065" s="15"/>
      <c r="DR1065" s="15"/>
      <c r="DS1065" s="15"/>
      <c r="DT1065" s="15"/>
      <c r="DU1065" s="15"/>
      <c r="DV1065" s="15"/>
      <c r="DW1065" s="15"/>
      <c r="DX1065" s="15"/>
      <c r="DY1065" s="15"/>
      <c r="DZ1065" s="15"/>
      <c r="EA1065" s="15"/>
      <c r="EB1065" s="15"/>
      <c r="EC1065" s="16" t="s">
        <v>197</v>
      </c>
      <c r="ED1065" s="17" t="s">
        <v>198</v>
      </c>
      <c r="EE1065" s="18">
        <v>45703.46414351852</v>
      </c>
      <c r="EF1065" s="13" t="s">
        <v>209</v>
      </c>
      <c r="EG1065" s="14" t="s">
        <v>179</v>
      </c>
      <c r="EH1065" s="14" t="s">
        <v>20748</v>
      </c>
      <c r="EI1065" s="15"/>
      <c r="EJ1065" s="15"/>
      <c r="EK1065" s="15"/>
      <c r="EL1065" s="15"/>
      <c r="EM1065" s="15"/>
      <c r="EN1065" s="15"/>
      <c r="EO1065" s="15"/>
      <c r="EP1065" s="15"/>
      <c r="EQ1065" s="15"/>
      <c r="ER1065" s="15"/>
      <c r="ES1065" s="15"/>
      <c r="ET1065" s="15"/>
      <c r="EU1065" s="15"/>
      <c r="EV1065" s="15"/>
      <c r="EW1065" s="15"/>
      <c r="EX1065" s="15"/>
      <c r="EY1065" s="15"/>
      <c r="EZ1065" s="15"/>
      <c r="FA1065" s="15"/>
      <c r="FB1065" s="15"/>
      <c r="FC1065" s="16" t="s">
        <v>197</v>
      </c>
      <c r="FD1065" s="17" t="s">
        <v>198</v>
      </c>
      <c r="FE1065" s="18">
        <v>45720.33155092593</v>
      </c>
      <c r="FF1065" s="14"/>
      <c r="FG1065" s="19"/>
      <c r="FH1065" s="17" t="s">
        <v>197</v>
      </c>
      <c r="FI1065" s="17" t="s">
        <v>214</v>
      </c>
      <c r="FJ1065" s="18">
        <v>45720.33155092593</v>
      </c>
      <c r="FK1065" s="14" t="s">
        <v>20748</v>
      </c>
      <c r="FL1065" s="14" t="s">
        <v>20749</v>
      </c>
      <c r="FM1065" s="14" t="s">
        <v>20750</v>
      </c>
      <c r="FN1065" s="19"/>
      <c r="FO1065" s="19"/>
      <c r="FP1065" s="19" t="str">
        <f t="shared" si="1"/>
        <v>Base de Dados_Images/XV65005.Imagem do Equipamento-.151230.jpg</v>
      </c>
      <c r="FQ1065" s="19"/>
      <c r="FR1065" s="19"/>
    </row>
    <row r="1066" ht="15.75" customHeight="1">
      <c r="A1066" s="12" t="s">
        <v>234</v>
      </c>
      <c r="B1066" s="12" t="s">
        <v>2706</v>
      </c>
      <c r="C1066" s="12" t="s">
        <v>219</v>
      </c>
      <c r="D1066" s="22" t="s">
        <v>20751</v>
      </c>
      <c r="E1066" s="22" t="s">
        <v>20752</v>
      </c>
      <c r="F1066" s="13" t="s">
        <v>178</v>
      </c>
      <c r="G1066" s="14" t="s">
        <v>179</v>
      </c>
      <c r="H1066" s="14" t="s">
        <v>20753</v>
      </c>
      <c r="I1066" s="14" t="s">
        <v>179</v>
      </c>
      <c r="J1066" s="14" t="s">
        <v>20754</v>
      </c>
      <c r="K1066" s="14" t="s">
        <v>179</v>
      </c>
      <c r="L1066" s="14" t="s">
        <v>20755</v>
      </c>
      <c r="M1066" s="14" t="s">
        <v>179</v>
      </c>
      <c r="N1066" s="14" t="s">
        <v>20756</v>
      </c>
      <c r="O1066" s="14" t="s">
        <v>179</v>
      </c>
      <c r="P1066" s="14" t="s">
        <v>20757</v>
      </c>
      <c r="Q1066" s="14" t="s">
        <v>179</v>
      </c>
      <c r="R1066" s="14" t="s">
        <v>20758</v>
      </c>
      <c r="S1066" s="14" t="s">
        <v>179</v>
      </c>
      <c r="T1066" s="14" t="s">
        <v>20759</v>
      </c>
      <c r="U1066" s="14" t="s">
        <v>179</v>
      </c>
      <c r="V1066" s="14" t="s">
        <v>20760</v>
      </c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  <c r="BD1066" s="15"/>
      <c r="BE1066" s="15"/>
      <c r="BF1066" s="15"/>
      <c r="BG1066" s="15"/>
      <c r="BH1066" s="15"/>
      <c r="BI1066" s="15"/>
      <c r="BJ1066" s="15"/>
      <c r="BK1066" s="15"/>
      <c r="BL1066" s="15"/>
      <c r="BM1066" s="15"/>
      <c r="BN1066" s="15"/>
      <c r="BO1066" s="16" t="s">
        <v>197</v>
      </c>
      <c r="BP1066" s="17" t="s">
        <v>228</v>
      </c>
      <c r="BQ1066" s="23"/>
      <c r="BR1066" s="17" t="s">
        <v>198</v>
      </c>
      <c r="BS1066" s="18">
        <v>45694.357511574075</v>
      </c>
      <c r="BT1066" s="17" t="s">
        <v>198</v>
      </c>
      <c r="BU1066" s="18">
        <v>45694.357511574075</v>
      </c>
      <c r="BV1066" s="13" t="s">
        <v>199</v>
      </c>
      <c r="BW1066" s="14" t="s">
        <v>179</v>
      </c>
      <c r="BX1066" s="14" t="s">
        <v>20761</v>
      </c>
      <c r="BY1066" s="14" t="s">
        <v>179</v>
      </c>
      <c r="BZ1066" s="14" t="s">
        <v>20762</v>
      </c>
      <c r="CA1066" s="15"/>
      <c r="CB1066" s="15"/>
      <c r="CC1066" s="15"/>
      <c r="CD1066" s="15"/>
      <c r="CE1066" s="15"/>
      <c r="CF1066" s="15"/>
      <c r="CG1066" s="19"/>
      <c r="CH1066" s="15"/>
      <c r="CI1066" s="19"/>
      <c r="CJ1066" s="15"/>
      <c r="CK1066" s="19"/>
      <c r="CL1066" s="15"/>
      <c r="CM1066" s="19"/>
      <c r="CN1066" s="15"/>
      <c r="CO1066" s="19"/>
      <c r="CP1066" s="15"/>
      <c r="CQ1066" s="15"/>
      <c r="CR1066" s="15"/>
      <c r="CS1066" s="19"/>
      <c r="CT1066" s="15"/>
      <c r="CU1066" s="19"/>
      <c r="CV1066" s="15"/>
      <c r="CW1066" s="19"/>
      <c r="CX1066" s="15"/>
      <c r="CY1066" s="19"/>
      <c r="CZ1066" s="15"/>
      <c r="DA1066" s="16" t="s">
        <v>197</v>
      </c>
      <c r="DB1066" s="17" t="s">
        <v>228</v>
      </c>
      <c r="DC1066" s="16"/>
      <c r="DD1066" s="17" t="s">
        <v>198</v>
      </c>
      <c r="DE1066" s="18">
        <v>45696.58819444444</v>
      </c>
      <c r="DF1066" s="17" t="s">
        <v>198</v>
      </c>
      <c r="DG1066" s="18">
        <v>45696.58819444444</v>
      </c>
      <c r="DH1066" s="13" t="s">
        <v>205</v>
      </c>
      <c r="DI1066" s="14" t="s">
        <v>179</v>
      </c>
      <c r="DJ1066" s="14" t="s">
        <v>20763</v>
      </c>
      <c r="DK1066" s="15"/>
      <c r="DL1066" s="15"/>
      <c r="DM1066" s="15"/>
      <c r="DN1066" s="15"/>
      <c r="DO1066" s="15"/>
      <c r="DP1066" s="15"/>
      <c r="DQ1066" s="15"/>
      <c r="DR1066" s="15"/>
      <c r="DS1066" s="15"/>
      <c r="DT1066" s="15"/>
      <c r="DU1066" s="15"/>
      <c r="DV1066" s="15"/>
      <c r="DW1066" s="15"/>
      <c r="DX1066" s="15"/>
      <c r="DY1066" s="15"/>
      <c r="DZ1066" s="15"/>
      <c r="EA1066" s="15"/>
      <c r="EB1066" s="15"/>
      <c r="EC1066" s="16" t="s">
        <v>197</v>
      </c>
      <c r="ED1066" s="17" t="s">
        <v>198</v>
      </c>
      <c r="EE1066" s="18">
        <v>45703.46443287037</v>
      </c>
      <c r="EF1066" s="13" t="s">
        <v>209</v>
      </c>
      <c r="EG1066" s="14" t="s">
        <v>179</v>
      </c>
      <c r="EH1066" s="14" t="s">
        <v>20764</v>
      </c>
      <c r="EI1066" s="15"/>
      <c r="EJ1066" s="15"/>
      <c r="EK1066" s="15"/>
      <c r="EL1066" s="15"/>
      <c r="EM1066" s="15"/>
      <c r="EN1066" s="15"/>
      <c r="EO1066" s="15"/>
      <c r="EP1066" s="15"/>
      <c r="EQ1066" s="15"/>
      <c r="ER1066" s="15"/>
      <c r="ES1066" s="15"/>
      <c r="ET1066" s="15"/>
      <c r="EU1066" s="15"/>
      <c r="EV1066" s="15"/>
      <c r="EW1066" s="15"/>
      <c r="EX1066" s="15"/>
      <c r="EY1066" s="15"/>
      <c r="EZ1066" s="15"/>
      <c r="FA1066" s="15"/>
      <c r="FB1066" s="15"/>
      <c r="FC1066" s="16" t="s">
        <v>197</v>
      </c>
      <c r="FD1066" s="17" t="s">
        <v>198</v>
      </c>
      <c r="FE1066" s="18">
        <v>45720.33162037037</v>
      </c>
      <c r="FF1066" s="19"/>
      <c r="FG1066" s="19"/>
      <c r="FH1066" s="21" t="s">
        <v>197</v>
      </c>
      <c r="FI1066" s="17" t="s">
        <v>214</v>
      </c>
      <c r="FJ1066" s="18">
        <v>45720.33162037037</v>
      </c>
      <c r="FK1066" s="14" t="s">
        <v>20764</v>
      </c>
      <c r="FL1066" s="14" t="s">
        <v>20765</v>
      </c>
      <c r="FM1066" s="14" t="s">
        <v>20766</v>
      </c>
      <c r="FN1066" s="19"/>
      <c r="FO1066" s="19"/>
      <c r="FP1066" s="19" t="str">
        <f t="shared" si="1"/>
        <v>Base de Dados_Images/XV65006.Imagem do Equipamento-.173008.jpg</v>
      </c>
      <c r="FQ1066" s="19"/>
      <c r="FR1066" s="19"/>
    </row>
    <row r="1067" ht="15.75" customHeight="1">
      <c r="A1067" s="12" t="s">
        <v>234</v>
      </c>
      <c r="B1067" s="12" t="s">
        <v>2706</v>
      </c>
      <c r="C1067" s="12" t="s">
        <v>219</v>
      </c>
      <c r="D1067" s="22" t="s">
        <v>20767</v>
      </c>
      <c r="E1067" s="22" t="s">
        <v>20768</v>
      </c>
      <c r="F1067" s="13" t="s">
        <v>178</v>
      </c>
      <c r="G1067" s="14" t="s">
        <v>179</v>
      </c>
      <c r="H1067" s="14" t="s">
        <v>20769</v>
      </c>
      <c r="I1067" s="14" t="s">
        <v>179</v>
      </c>
      <c r="J1067" s="14" t="s">
        <v>20770</v>
      </c>
      <c r="K1067" s="14" t="s">
        <v>179</v>
      </c>
      <c r="L1067" s="14" t="s">
        <v>20771</v>
      </c>
      <c r="M1067" s="14" t="s">
        <v>179</v>
      </c>
      <c r="N1067" s="14" t="s">
        <v>20772</v>
      </c>
      <c r="O1067" s="14" t="s">
        <v>179</v>
      </c>
      <c r="P1067" s="14" t="s">
        <v>20773</v>
      </c>
      <c r="Q1067" s="14" t="s">
        <v>179</v>
      </c>
      <c r="R1067" s="14" t="s">
        <v>20774</v>
      </c>
      <c r="S1067" s="14" t="s">
        <v>179</v>
      </c>
      <c r="T1067" s="14" t="s">
        <v>20775</v>
      </c>
      <c r="U1067" s="14" t="s">
        <v>179</v>
      </c>
      <c r="V1067" s="14" t="s">
        <v>20776</v>
      </c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  <c r="BD1067" s="15"/>
      <c r="BE1067" s="15"/>
      <c r="BF1067" s="15"/>
      <c r="BG1067" s="15"/>
      <c r="BH1067" s="15"/>
      <c r="BI1067" s="15"/>
      <c r="BJ1067" s="15"/>
      <c r="BK1067" s="15"/>
      <c r="BL1067" s="15"/>
      <c r="BM1067" s="15"/>
      <c r="BN1067" s="15"/>
      <c r="BO1067" s="16" t="s">
        <v>197</v>
      </c>
      <c r="BP1067" s="17" t="s">
        <v>228</v>
      </c>
      <c r="BQ1067" s="23"/>
      <c r="BR1067" s="17" t="s">
        <v>198</v>
      </c>
      <c r="BS1067" s="18">
        <v>45694.358402777776</v>
      </c>
      <c r="BT1067" s="17" t="s">
        <v>198</v>
      </c>
      <c r="BU1067" s="18">
        <v>45694.358402777776</v>
      </c>
      <c r="BV1067" s="13" t="s">
        <v>199</v>
      </c>
      <c r="BW1067" s="14" t="s">
        <v>179</v>
      </c>
      <c r="BX1067" s="14" t="s">
        <v>20777</v>
      </c>
      <c r="BY1067" s="14" t="s">
        <v>179</v>
      </c>
      <c r="BZ1067" s="14" t="s">
        <v>20777</v>
      </c>
      <c r="CA1067" s="15"/>
      <c r="CB1067" s="15"/>
      <c r="CC1067" s="15"/>
      <c r="CD1067" s="15"/>
      <c r="CE1067" s="15"/>
      <c r="CF1067" s="15"/>
      <c r="CG1067" s="19"/>
      <c r="CH1067" s="15"/>
      <c r="CI1067" s="19"/>
      <c r="CJ1067" s="15"/>
      <c r="CK1067" s="19"/>
      <c r="CL1067" s="15"/>
      <c r="CM1067" s="19"/>
      <c r="CN1067" s="15"/>
      <c r="CO1067" s="19"/>
      <c r="CP1067" s="15"/>
      <c r="CQ1067" s="15"/>
      <c r="CR1067" s="15"/>
      <c r="CS1067" s="19"/>
      <c r="CT1067" s="15"/>
      <c r="CU1067" s="19"/>
      <c r="CV1067" s="15"/>
      <c r="CW1067" s="19"/>
      <c r="CX1067" s="15"/>
      <c r="CY1067" s="19"/>
      <c r="CZ1067" s="15"/>
      <c r="DA1067" s="16" t="s">
        <v>197</v>
      </c>
      <c r="DB1067" s="17" t="s">
        <v>228</v>
      </c>
      <c r="DC1067" s="16"/>
      <c r="DD1067" s="17" t="s">
        <v>198</v>
      </c>
      <c r="DE1067" s="18">
        <v>45696.58834490741</v>
      </c>
      <c r="DF1067" s="17" t="s">
        <v>198</v>
      </c>
      <c r="DG1067" s="18">
        <v>45696.58834490741</v>
      </c>
      <c r="DH1067" s="13" t="s">
        <v>205</v>
      </c>
      <c r="DI1067" s="14" t="s">
        <v>179</v>
      </c>
      <c r="DJ1067" s="14" t="s">
        <v>20778</v>
      </c>
      <c r="DK1067" s="15"/>
      <c r="DL1067" s="15"/>
      <c r="DM1067" s="15"/>
      <c r="DN1067" s="15"/>
      <c r="DO1067" s="15"/>
      <c r="DP1067" s="15"/>
      <c r="DQ1067" s="15"/>
      <c r="DR1067" s="15"/>
      <c r="DS1067" s="15"/>
      <c r="DT1067" s="15"/>
      <c r="DU1067" s="15"/>
      <c r="DV1067" s="15"/>
      <c r="DW1067" s="15"/>
      <c r="DX1067" s="15"/>
      <c r="DY1067" s="15"/>
      <c r="DZ1067" s="15"/>
      <c r="EA1067" s="15"/>
      <c r="EB1067" s="15"/>
      <c r="EC1067" s="16" t="s">
        <v>197</v>
      </c>
      <c r="ED1067" s="17" t="s">
        <v>198</v>
      </c>
      <c r="EE1067" s="18">
        <v>45703.46616898148</v>
      </c>
      <c r="EF1067" s="13" t="s">
        <v>209</v>
      </c>
      <c r="EG1067" s="14" t="s">
        <v>179</v>
      </c>
      <c r="EH1067" s="14" t="s">
        <v>20779</v>
      </c>
      <c r="EI1067" s="15"/>
      <c r="EJ1067" s="15"/>
      <c r="EK1067" s="15"/>
      <c r="EL1067" s="15"/>
      <c r="EM1067" s="15"/>
      <c r="EN1067" s="15"/>
      <c r="EO1067" s="15"/>
      <c r="EP1067" s="15"/>
      <c r="EQ1067" s="15"/>
      <c r="ER1067" s="15"/>
      <c r="ES1067" s="15"/>
      <c r="ET1067" s="15"/>
      <c r="EU1067" s="15"/>
      <c r="EV1067" s="15"/>
      <c r="EW1067" s="15"/>
      <c r="EX1067" s="15"/>
      <c r="EY1067" s="15"/>
      <c r="EZ1067" s="15"/>
      <c r="FA1067" s="15"/>
      <c r="FB1067" s="15"/>
      <c r="FC1067" s="16" t="s">
        <v>197</v>
      </c>
      <c r="FD1067" s="17" t="s">
        <v>198</v>
      </c>
      <c r="FE1067" s="18">
        <v>45720.33167824074</v>
      </c>
      <c r="FF1067" s="19"/>
      <c r="FG1067" s="19"/>
      <c r="FH1067" s="21" t="s">
        <v>197</v>
      </c>
      <c r="FI1067" s="17" t="s">
        <v>214</v>
      </c>
      <c r="FJ1067" s="18">
        <v>45720.33167824074</v>
      </c>
      <c r="FK1067" s="14" t="s">
        <v>20779</v>
      </c>
      <c r="FL1067" s="14" t="s">
        <v>20780</v>
      </c>
      <c r="FM1067" s="14" t="s">
        <v>20781</v>
      </c>
      <c r="FN1067" s="19"/>
      <c r="FO1067" s="19"/>
      <c r="FP1067" s="19" t="str">
        <f t="shared" si="1"/>
        <v>Base de Dados_Images/XV65007.Imagem do Equipamento-.173616.jpg</v>
      </c>
      <c r="FQ1067" s="19"/>
      <c r="FR1067" s="19"/>
    </row>
    <row r="1068" ht="15.75" customHeight="1">
      <c r="A1068" s="12" t="s">
        <v>234</v>
      </c>
      <c r="B1068" s="12" t="s">
        <v>2706</v>
      </c>
      <c r="C1068" s="12" t="s">
        <v>219</v>
      </c>
      <c r="D1068" s="22" t="s">
        <v>20782</v>
      </c>
      <c r="E1068" s="22" t="s">
        <v>20783</v>
      </c>
      <c r="F1068" s="13" t="s">
        <v>178</v>
      </c>
      <c r="G1068" s="14" t="s">
        <v>179</v>
      </c>
      <c r="H1068" s="14" t="s">
        <v>20784</v>
      </c>
      <c r="I1068" s="14" t="s">
        <v>179</v>
      </c>
      <c r="J1068" s="14" t="s">
        <v>20785</v>
      </c>
      <c r="K1068" s="14" t="s">
        <v>179</v>
      </c>
      <c r="L1068" s="14" t="s">
        <v>20785</v>
      </c>
      <c r="M1068" s="14" t="s">
        <v>179</v>
      </c>
      <c r="N1068" s="14" t="s">
        <v>20786</v>
      </c>
      <c r="O1068" s="14" t="s">
        <v>179</v>
      </c>
      <c r="P1068" s="14" t="s">
        <v>20787</v>
      </c>
      <c r="Q1068" s="14" t="s">
        <v>179</v>
      </c>
      <c r="R1068" s="14" t="s">
        <v>20788</v>
      </c>
      <c r="S1068" s="14" t="s">
        <v>179</v>
      </c>
      <c r="T1068" s="14" t="s">
        <v>20789</v>
      </c>
      <c r="U1068" s="14" t="s">
        <v>179</v>
      </c>
      <c r="V1068" s="14" t="s">
        <v>20790</v>
      </c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  <c r="AV1068" s="15"/>
      <c r="AW1068" s="15"/>
      <c r="AX1068" s="15"/>
      <c r="AY1068" s="15"/>
      <c r="AZ1068" s="15"/>
      <c r="BA1068" s="15"/>
      <c r="BB1068" s="15"/>
      <c r="BC1068" s="15"/>
      <c r="BD1068" s="15"/>
      <c r="BE1068" s="15"/>
      <c r="BF1068" s="15"/>
      <c r="BG1068" s="15"/>
      <c r="BH1068" s="15"/>
      <c r="BI1068" s="15"/>
      <c r="BJ1068" s="15"/>
      <c r="BK1068" s="15"/>
      <c r="BL1068" s="15"/>
      <c r="BM1068" s="15"/>
      <c r="BN1068" s="15"/>
      <c r="BO1068" s="16" t="s">
        <v>197</v>
      </c>
      <c r="BP1068" s="17" t="s">
        <v>228</v>
      </c>
      <c r="BQ1068" s="23"/>
      <c r="BR1068" s="17" t="s">
        <v>198</v>
      </c>
      <c r="BS1068" s="18">
        <v>45696.58907407407</v>
      </c>
      <c r="BT1068" s="17" t="s">
        <v>198</v>
      </c>
      <c r="BU1068" s="18">
        <v>45696.58907407407</v>
      </c>
      <c r="BV1068" s="13" t="s">
        <v>199</v>
      </c>
      <c r="BW1068" s="14" t="s">
        <v>179</v>
      </c>
      <c r="BX1068" s="14" t="s">
        <v>20791</v>
      </c>
      <c r="BY1068" s="14" t="s">
        <v>179</v>
      </c>
      <c r="BZ1068" s="14" t="s">
        <v>20792</v>
      </c>
      <c r="CA1068" s="15"/>
      <c r="CB1068" s="15"/>
      <c r="CC1068" s="15"/>
      <c r="CD1068" s="15"/>
      <c r="CE1068" s="15"/>
      <c r="CF1068" s="15"/>
      <c r="CG1068" s="19"/>
      <c r="CH1068" s="15"/>
      <c r="CI1068" s="19"/>
      <c r="CJ1068" s="15"/>
      <c r="CK1068" s="19"/>
      <c r="CL1068" s="15"/>
      <c r="CM1068" s="19"/>
      <c r="CN1068" s="15"/>
      <c r="CO1068" s="19"/>
      <c r="CP1068" s="15"/>
      <c r="CQ1068" s="15"/>
      <c r="CR1068" s="15"/>
      <c r="CS1068" s="19"/>
      <c r="CT1068" s="15"/>
      <c r="CU1068" s="19"/>
      <c r="CV1068" s="15"/>
      <c r="CW1068" s="19"/>
      <c r="CX1068" s="15"/>
      <c r="CY1068" s="19"/>
      <c r="CZ1068" s="15"/>
      <c r="DA1068" s="16" t="s">
        <v>197</v>
      </c>
      <c r="DB1068" s="17" t="s">
        <v>228</v>
      </c>
      <c r="DC1068" s="16"/>
      <c r="DD1068" s="17" t="s">
        <v>198</v>
      </c>
      <c r="DE1068" s="18">
        <v>45696.589166666665</v>
      </c>
      <c r="DF1068" s="17" t="s">
        <v>198</v>
      </c>
      <c r="DG1068" s="18">
        <v>45696.589166666665</v>
      </c>
      <c r="DH1068" s="13" t="s">
        <v>205</v>
      </c>
      <c r="DI1068" s="14" t="s">
        <v>179</v>
      </c>
      <c r="DJ1068" s="14" t="s">
        <v>20793</v>
      </c>
      <c r="DK1068" s="15"/>
      <c r="DL1068" s="15"/>
      <c r="DM1068" s="15"/>
      <c r="DN1068" s="15"/>
      <c r="DO1068" s="15"/>
      <c r="DP1068" s="15"/>
      <c r="DQ1068" s="15"/>
      <c r="DR1068" s="15"/>
      <c r="DS1068" s="15"/>
      <c r="DT1068" s="15"/>
      <c r="DU1068" s="15"/>
      <c r="DV1068" s="15"/>
      <c r="DW1068" s="15"/>
      <c r="DX1068" s="15"/>
      <c r="DY1068" s="15"/>
      <c r="DZ1068" s="15"/>
      <c r="EA1068" s="15"/>
      <c r="EB1068" s="15"/>
      <c r="EC1068" s="16" t="s">
        <v>197</v>
      </c>
      <c r="ED1068" s="17" t="s">
        <v>198</v>
      </c>
      <c r="EE1068" s="18">
        <v>45703.464791666665</v>
      </c>
      <c r="EF1068" s="13" t="s">
        <v>209</v>
      </c>
      <c r="EG1068" s="14" t="s">
        <v>179</v>
      </c>
      <c r="EH1068" s="14" t="s">
        <v>20794</v>
      </c>
      <c r="EI1068" s="15"/>
      <c r="EJ1068" s="15"/>
      <c r="EK1068" s="15"/>
      <c r="EL1068" s="15"/>
      <c r="EM1068" s="15"/>
      <c r="EN1068" s="15"/>
      <c r="EO1068" s="15"/>
      <c r="EP1068" s="15"/>
      <c r="EQ1068" s="15"/>
      <c r="ER1068" s="15"/>
      <c r="ES1068" s="15"/>
      <c r="ET1068" s="15"/>
      <c r="EU1068" s="15"/>
      <c r="EV1068" s="15"/>
      <c r="EW1068" s="15"/>
      <c r="EX1068" s="15"/>
      <c r="EY1068" s="15"/>
      <c r="EZ1068" s="15"/>
      <c r="FA1068" s="15"/>
      <c r="FB1068" s="15"/>
      <c r="FC1068" s="16" t="s">
        <v>197</v>
      </c>
      <c r="FD1068" s="17" t="s">
        <v>198</v>
      </c>
      <c r="FE1068" s="18">
        <v>45720.33173611111</v>
      </c>
      <c r="FF1068" s="19"/>
      <c r="FG1068" s="19"/>
      <c r="FH1068" s="21" t="s">
        <v>197</v>
      </c>
      <c r="FI1068" s="17" t="s">
        <v>214</v>
      </c>
      <c r="FJ1068" s="18">
        <v>45720.33173611111</v>
      </c>
      <c r="FK1068" s="14" t="s">
        <v>20794</v>
      </c>
      <c r="FL1068" s="14" t="s">
        <v>20795</v>
      </c>
      <c r="FM1068" s="14" t="s">
        <v>20796</v>
      </c>
      <c r="FN1068" s="19"/>
      <c r="FO1068" s="19"/>
      <c r="FP1068" s="19" t="str">
        <f t="shared" si="1"/>
        <v>Base de Dados_Images/XV65008.Imagem do Equipamento-.173725.jpg</v>
      </c>
      <c r="FQ1068" s="19"/>
      <c r="FR1068" s="19"/>
    </row>
    <row r="1069" ht="15.75" customHeight="1">
      <c r="A1069" s="12" t="s">
        <v>234</v>
      </c>
      <c r="B1069" s="12" t="s">
        <v>2706</v>
      </c>
      <c r="C1069" s="12" t="s">
        <v>219</v>
      </c>
      <c r="D1069" s="22" t="s">
        <v>20797</v>
      </c>
      <c r="E1069" s="22" t="s">
        <v>20798</v>
      </c>
      <c r="F1069" s="13" t="s">
        <v>178</v>
      </c>
      <c r="G1069" s="14" t="s">
        <v>179</v>
      </c>
      <c r="H1069" s="14" t="s">
        <v>20799</v>
      </c>
      <c r="I1069" s="14" t="s">
        <v>179</v>
      </c>
      <c r="J1069" s="14" t="s">
        <v>20800</v>
      </c>
      <c r="K1069" s="14" t="s">
        <v>179</v>
      </c>
      <c r="L1069" s="14" t="s">
        <v>20801</v>
      </c>
      <c r="M1069" s="14" t="s">
        <v>179</v>
      </c>
      <c r="N1069" s="14" t="s">
        <v>20802</v>
      </c>
      <c r="O1069" s="14" t="s">
        <v>179</v>
      </c>
      <c r="P1069" s="14" t="s">
        <v>20803</v>
      </c>
      <c r="Q1069" s="14" t="s">
        <v>179</v>
      </c>
      <c r="R1069" s="14" t="s">
        <v>20804</v>
      </c>
      <c r="S1069" s="14" t="s">
        <v>179</v>
      </c>
      <c r="T1069" s="14" t="s">
        <v>20805</v>
      </c>
      <c r="U1069" s="14" t="s">
        <v>179</v>
      </c>
      <c r="V1069" s="14" t="s">
        <v>20806</v>
      </c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15"/>
      <c r="BH1069" s="15"/>
      <c r="BI1069" s="15"/>
      <c r="BJ1069" s="15"/>
      <c r="BK1069" s="15"/>
      <c r="BL1069" s="15"/>
      <c r="BM1069" s="15"/>
      <c r="BN1069" s="15"/>
      <c r="BO1069" s="16" t="s">
        <v>197</v>
      </c>
      <c r="BP1069" s="17" t="s">
        <v>228</v>
      </c>
      <c r="BQ1069" s="23"/>
      <c r="BR1069" s="17" t="s">
        <v>198</v>
      </c>
      <c r="BS1069" s="18">
        <v>45685.76751157407</v>
      </c>
      <c r="BT1069" s="17" t="s">
        <v>198</v>
      </c>
      <c r="BU1069" s="18">
        <v>45685.76751157407</v>
      </c>
      <c r="BV1069" s="13" t="s">
        <v>199</v>
      </c>
      <c r="BW1069" s="14" t="s">
        <v>179</v>
      </c>
      <c r="BX1069" s="14" t="s">
        <v>20807</v>
      </c>
      <c r="BY1069" s="14" t="s">
        <v>179</v>
      </c>
      <c r="BZ1069" s="14" t="s">
        <v>20808</v>
      </c>
      <c r="CA1069" s="15"/>
      <c r="CB1069" s="15"/>
      <c r="CC1069" s="15"/>
      <c r="CD1069" s="15"/>
      <c r="CE1069" s="15"/>
      <c r="CF1069" s="15"/>
      <c r="CG1069" s="19"/>
      <c r="CH1069" s="15"/>
      <c r="CI1069" s="19"/>
      <c r="CJ1069" s="15"/>
      <c r="CK1069" s="19"/>
      <c r="CL1069" s="15"/>
      <c r="CM1069" s="19"/>
      <c r="CN1069" s="15"/>
      <c r="CO1069" s="19"/>
      <c r="CP1069" s="15"/>
      <c r="CQ1069" s="15"/>
      <c r="CR1069" s="15"/>
      <c r="CS1069" s="19"/>
      <c r="CT1069" s="15"/>
      <c r="CU1069" s="19"/>
      <c r="CV1069" s="15"/>
      <c r="CW1069" s="19"/>
      <c r="CX1069" s="15"/>
      <c r="CY1069" s="19"/>
      <c r="CZ1069" s="15"/>
      <c r="DA1069" s="16" t="s">
        <v>197</v>
      </c>
      <c r="DB1069" s="17" t="s">
        <v>228</v>
      </c>
      <c r="DC1069" s="16"/>
      <c r="DD1069" s="17" t="s">
        <v>198</v>
      </c>
      <c r="DE1069" s="18">
        <v>45696.39740740741</v>
      </c>
      <c r="DF1069" s="17" t="s">
        <v>198</v>
      </c>
      <c r="DG1069" s="18">
        <v>45696.39740740741</v>
      </c>
      <c r="DH1069" s="13" t="s">
        <v>205</v>
      </c>
      <c r="DI1069" s="14" t="s">
        <v>179</v>
      </c>
      <c r="DJ1069" s="14" t="s">
        <v>20809</v>
      </c>
      <c r="DK1069" s="15"/>
      <c r="DL1069" s="15"/>
      <c r="DM1069" s="15"/>
      <c r="DN1069" s="15"/>
      <c r="DO1069" s="15"/>
      <c r="DP1069" s="15"/>
      <c r="DQ1069" s="15"/>
      <c r="DR1069" s="15"/>
      <c r="DS1069" s="15"/>
      <c r="DT1069" s="15"/>
      <c r="DU1069" s="15"/>
      <c r="DV1069" s="15"/>
      <c r="DW1069" s="15"/>
      <c r="DX1069" s="15"/>
      <c r="DY1069" s="15"/>
      <c r="DZ1069" s="15"/>
      <c r="EA1069" s="15"/>
      <c r="EB1069" s="15"/>
      <c r="EC1069" s="16" t="s">
        <v>197</v>
      </c>
      <c r="ED1069" s="17" t="s">
        <v>198</v>
      </c>
      <c r="EE1069" s="18">
        <v>45696.39745370371</v>
      </c>
      <c r="EF1069" s="13" t="s">
        <v>209</v>
      </c>
      <c r="EG1069" s="14" t="s">
        <v>179</v>
      </c>
      <c r="EH1069" s="14" t="s">
        <v>20810</v>
      </c>
      <c r="EI1069" s="15"/>
      <c r="EJ1069" s="15"/>
      <c r="EK1069" s="15"/>
      <c r="EL1069" s="15"/>
      <c r="EM1069" s="15"/>
      <c r="EN1069" s="15"/>
      <c r="EO1069" s="15"/>
      <c r="EP1069" s="15"/>
      <c r="EQ1069" s="15"/>
      <c r="ER1069" s="15"/>
      <c r="ES1069" s="15"/>
      <c r="ET1069" s="15"/>
      <c r="EU1069" s="15"/>
      <c r="EV1069" s="15"/>
      <c r="EW1069" s="15"/>
      <c r="EX1069" s="15"/>
      <c r="EY1069" s="15"/>
      <c r="EZ1069" s="15"/>
      <c r="FA1069" s="15"/>
      <c r="FB1069" s="15"/>
      <c r="FC1069" s="16" t="s">
        <v>197</v>
      </c>
      <c r="FD1069" s="17" t="s">
        <v>198</v>
      </c>
      <c r="FE1069" s="18">
        <v>45720.33179398148</v>
      </c>
      <c r="FF1069" s="19"/>
      <c r="FG1069" s="19"/>
      <c r="FH1069" s="21" t="s">
        <v>197</v>
      </c>
      <c r="FI1069" s="17" t="s">
        <v>214</v>
      </c>
      <c r="FJ1069" s="18">
        <v>45720.33179398148</v>
      </c>
      <c r="FK1069" s="14" t="s">
        <v>20810</v>
      </c>
      <c r="FL1069" s="14" t="s">
        <v>20811</v>
      </c>
      <c r="FM1069" s="14" t="s">
        <v>20812</v>
      </c>
      <c r="FN1069" s="19"/>
      <c r="FO1069" s="19"/>
      <c r="FP1069" s="19" t="str">
        <f t="shared" si="1"/>
        <v>Base de Dados_Images/XV65009.Imagem do Equipamento-.213700.jpg</v>
      </c>
      <c r="FQ1069" s="19"/>
      <c r="FR1069" s="19"/>
    </row>
    <row r="1070" ht="15.75" customHeight="1">
      <c r="A1070" s="12" t="s">
        <v>234</v>
      </c>
      <c r="B1070" s="12" t="s">
        <v>2706</v>
      </c>
      <c r="C1070" s="12" t="s">
        <v>219</v>
      </c>
      <c r="D1070" s="22" t="s">
        <v>20813</v>
      </c>
      <c r="E1070" s="22" t="s">
        <v>20814</v>
      </c>
      <c r="F1070" s="13" t="s">
        <v>178</v>
      </c>
      <c r="G1070" s="14" t="s">
        <v>179</v>
      </c>
      <c r="H1070" s="14" t="s">
        <v>20815</v>
      </c>
      <c r="I1070" s="14" t="s">
        <v>179</v>
      </c>
      <c r="J1070" s="14" t="s">
        <v>20816</v>
      </c>
      <c r="K1070" s="14" t="s">
        <v>179</v>
      </c>
      <c r="L1070" s="14" t="s">
        <v>20817</v>
      </c>
      <c r="M1070" s="14" t="s">
        <v>179</v>
      </c>
      <c r="N1070" s="14" t="s">
        <v>20818</v>
      </c>
      <c r="O1070" s="14" t="s">
        <v>179</v>
      </c>
      <c r="P1070" s="14" t="s">
        <v>20819</v>
      </c>
      <c r="Q1070" s="14" t="s">
        <v>179</v>
      </c>
      <c r="R1070" s="14" t="s">
        <v>20820</v>
      </c>
      <c r="S1070" s="14" t="s">
        <v>179</v>
      </c>
      <c r="T1070" s="14" t="s">
        <v>20821</v>
      </c>
      <c r="U1070" s="14" t="s">
        <v>179</v>
      </c>
      <c r="V1070" s="14" t="s">
        <v>20822</v>
      </c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5"/>
      <c r="AX1070" s="15"/>
      <c r="AY1070" s="15"/>
      <c r="AZ1070" s="15"/>
      <c r="BA1070" s="15"/>
      <c r="BB1070" s="15"/>
      <c r="BC1070" s="15"/>
      <c r="BD1070" s="15"/>
      <c r="BE1070" s="15"/>
      <c r="BF1070" s="15"/>
      <c r="BG1070" s="15"/>
      <c r="BH1070" s="15"/>
      <c r="BI1070" s="15"/>
      <c r="BJ1070" s="15"/>
      <c r="BK1070" s="15"/>
      <c r="BL1070" s="15"/>
      <c r="BM1070" s="15"/>
      <c r="BN1070" s="15"/>
      <c r="BO1070" s="16" t="s">
        <v>197</v>
      </c>
      <c r="BP1070" s="17" t="s">
        <v>228</v>
      </c>
      <c r="BQ1070" s="23"/>
      <c r="BR1070" s="17" t="s">
        <v>198</v>
      </c>
      <c r="BS1070" s="18">
        <v>45687.40188657407</v>
      </c>
      <c r="BT1070" s="17" t="s">
        <v>198</v>
      </c>
      <c r="BU1070" s="18">
        <v>45687.40188657407</v>
      </c>
      <c r="BV1070" s="13" t="s">
        <v>199</v>
      </c>
      <c r="BW1070" s="14" t="s">
        <v>179</v>
      </c>
      <c r="BX1070" s="14" t="s">
        <v>20823</v>
      </c>
      <c r="BY1070" s="14" t="s">
        <v>179</v>
      </c>
      <c r="BZ1070" s="14" t="s">
        <v>20824</v>
      </c>
      <c r="CA1070" s="15"/>
      <c r="CB1070" s="15"/>
      <c r="CC1070" s="15"/>
      <c r="CD1070" s="15"/>
      <c r="CE1070" s="15"/>
      <c r="CF1070" s="15"/>
      <c r="CG1070" s="19"/>
      <c r="CH1070" s="15"/>
      <c r="CI1070" s="19"/>
      <c r="CJ1070" s="15"/>
      <c r="CK1070" s="19"/>
      <c r="CL1070" s="15"/>
      <c r="CM1070" s="19"/>
      <c r="CN1070" s="15"/>
      <c r="CO1070" s="19"/>
      <c r="CP1070" s="15"/>
      <c r="CQ1070" s="15"/>
      <c r="CR1070" s="15"/>
      <c r="CS1070" s="19"/>
      <c r="CT1070" s="15"/>
      <c r="CU1070" s="19"/>
      <c r="CV1070" s="15"/>
      <c r="CW1070" s="19"/>
      <c r="CX1070" s="15"/>
      <c r="CY1070" s="19"/>
      <c r="CZ1070" s="15"/>
      <c r="DA1070" s="16" t="s">
        <v>197</v>
      </c>
      <c r="DB1070" s="17" t="s">
        <v>228</v>
      </c>
      <c r="DC1070" s="16"/>
      <c r="DD1070" s="17" t="s">
        <v>198</v>
      </c>
      <c r="DE1070" s="18">
        <v>45696.589270833334</v>
      </c>
      <c r="DF1070" s="17" t="s">
        <v>198</v>
      </c>
      <c r="DG1070" s="18">
        <v>45696.589270833334</v>
      </c>
      <c r="DH1070" s="13" t="s">
        <v>205</v>
      </c>
      <c r="DI1070" s="14" t="s">
        <v>179</v>
      </c>
      <c r="DJ1070" s="14" t="s">
        <v>20825</v>
      </c>
      <c r="DK1070" s="15"/>
      <c r="DL1070" s="15"/>
      <c r="DM1070" s="15"/>
      <c r="DN1070" s="15"/>
      <c r="DO1070" s="15"/>
      <c r="DP1070" s="15"/>
      <c r="DQ1070" s="15"/>
      <c r="DR1070" s="15"/>
      <c r="DS1070" s="15"/>
      <c r="DT1070" s="15"/>
      <c r="DU1070" s="15"/>
      <c r="DV1070" s="15"/>
      <c r="DW1070" s="15"/>
      <c r="DX1070" s="15"/>
      <c r="DY1070" s="15"/>
      <c r="DZ1070" s="15"/>
      <c r="EA1070" s="15"/>
      <c r="EB1070" s="15"/>
      <c r="EC1070" s="16" t="s">
        <v>197</v>
      </c>
      <c r="ED1070" s="17" t="s">
        <v>198</v>
      </c>
      <c r="EE1070" s="18">
        <v>45703.4653587963</v>
      </c>
      <c r="EF1070" s="13" t="s">
        <v>209</v>
      </c>
      <c r="EG1070" s="14" t="s">
        <v>179</v>
      </c>
      <c r="EH1070" s="14" t="s">
        <v>20826</v>
      </c>
      <c r="EI1070" s="15"/>
      <c r="EJ1070" s="15"/>
      <c r="EK1070" s="15"/>
      <c r="EL1070" s="15"/>
      <c r="EM1070" s="15"/>
      <c r="EN1070" s="15"/>
      <c r="EO1070" s="15"/>
      <c r="EP1070" s="15"/>
      <c r="EQ1070" s="15"/>
      <c r="ER1070" s="15"/>
      <c r="ES1070" s="15"/>
      <c r="ET1070" s="15"/>
      <c r="EU1070" s="15"/>
      <c r="EV1070" s="15"/>
      <c r="EW1070" s="15"/>
      <c r="EX1070" s="15"/>
      <c r="EY1070" s="15"/>
      <c r="EZ1070" s="15"/>
      <c r="FA1070" s="15"/>
      <c r="FB1070" s="15"/>
      <c r="FC1070" s="16" t="s">
        <v>197</v>
      </c>
      <c r="FD1070" s="17" t="s">
        <v>198</v>
      </c>
      <c r="FE1070" s="18">
        <v>45720.33185185185</v>
      </c>
      <c r="FF1070" s="19"/>
      <c r="FG1070" s="19"/>
      <c r="FH1070" s="21" t="s">
        <v>197</v>
      </c>
      <c r="FI1070" s="17" t="s">
        <v>214</v>
      </c>
      <c r="FJ1070" s="18">
        <v>45720.33185185185</v>
      </c>
      <c r="FK1070" s="14" t="s">
        <v>20826</v>
      </c>
      <c r="FL1070" s="14" t="s">
        <v>20827</v>
      </c>
      <c r="FM1070" s="14" t="s">
        <v>20828</v>
      </c>
      <c r="FN1070" s="19"/>
      <c r="FO1070" s="19"/>
      <c r="FP1070" s="19" t="str">
        <f t="shared" si="1"/>
        <v>Base de Dados_Images/XV65010.Imagem do Equipamento-.151808.jpg</v>
      </c>
      <c r="FQ1070" s="19"/>
      <c r="FR1070" s="19"/>
    </row>
    <row r="1071" ht="15.75" customHeight="1">
      <c r="A1071" s="12" t="s">
        <v>234</v>
      </c>
      <c r="B1071" s="12" t="s">
        <v>2706</v>
      </c>
      <c r="C1071" s="12" t="s">
        <v>219</v>
      </c>
      <c r="D1071" s="22" t="s">
        <v>20829</v>
      </c>
      <c r="E1071" s="22" t="s">
        <v>20830</v>
      </c>
      <c r="F1071" s="13" t="s">
        <v>178</v>
      </c>
      <c r="G1071" s="14" t="s">
        <v>179</v>
      </c>
      <c r="H1071" s="14" t="s">
        <v>20831</v>
      </c>
      <c r="I1071" s="14" t="s">
        <v>179</v>
      </c>
      <c r="J1071" s="14" t="s">
        <v>20832</v>
      </c>
      <c r="K1071" s="14" t="s">
        <v>179</v>
      </c>
      <c r="L1071" s="14" t="s">
        <v>20833</v>
      </c>
      <c r="M1071" s="14" t="s">
        <v>179</v>
      </c>
      <c r="N1071" s="14" t="s">
        <v>20834</v>
      </c>
      <c r="O1071" s="14" t="s">
        <v>179</v>
      </c>
      <c r="P1071" s="14" t="s">
        <v>20835</v>
      </c>
      <c r="Q1071" s="14" t="s">
        <v>179</v>
      </c>
      <c r="R1071" s="14" t="s">
        <v>20836</v>
      </c>
      <c r="S1071" s="14" t="s">
        <v>179</v>
      </c>
      <c r="T1071" s="14" t="s">
        <v>20837</v>
      </c>
      <c r="U1071" s="14" t="s">
        <v>179</v>
      </c>
      <c r="V1071" s="14" t="s">
        <v>20837</v>
      </c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/>
      <c r="BB1071" s="15"/>
      <c r="BC1071" s="15"/>
      <c r="BD1071" s="15"/>
      <c r="BE1071" s="15"/>
      <c r="BF1071" s="15"/>
      <c r="BG1071" s="15"/>
      <c r="BH1071" s="15"/>
      <c r="BI1071" s="15"/>
      <c r="BJ1071" s="15"/>
      <c r="BK1071" s="15"/>
      <c r="BL1071" s="15"/>
      <c r="BM1071" s="15"/>
      <c r="BN1071" s="15"/>
      <c r="BO1071" s="16" t="s">
        <v>197</v>
      </c>
      <c r="BP1071" s="17" t="s">
        <v>228</v>
      </c>
      <c r="BQ1071" s="23"/>
      <c r="BR1071" s="17" t="s">
        <v>198</v>
      </c>
      <c r="BS1071" s="18">
        <v>45685.76887731482</v>
      </c>
      <c r="BT1071" s="17" t="s">
        <v>198</v>
      </c>
      <c r="BU1071" s="18">
        <v>45685.76887731482</v>
      </c>
      <c r="BV1071" s="13" t="s">
        <v>199</v>
      </c>
      <c r="BW1071" s="14" t="s">
        <v>179</v>
      </c>
      <c r="BX1071" s="14" t="s">
        <v>20838</v>
      </c>
      <c r="BY1071" s="14" t="s">
        <v>179</v>
      </c>
      <c r="BZ1071" s="14" t="s">
        <v>20839</v>
      </c>
      <c r="CA1071" s="15"/>
      <c r="CB1071" s="15"/>
      <c r="CC1071" s="15"/>
      <c r="CD1071" s="15"/>
      <c r="CE1071" s="15"/>
      <c r="CF1071" s="15"/>
      <c r="CG1071" s="19"/>
      <c r="CH1071" s="15"/>
      <c r="CI1071" s="19"/>
      <c r="CJ1071" s="15"/>
      <c r="CK1071" s="19"/>
      <c r="CL1071" s="15"/>
      <c r="CM1071" s="19"/>
      <c r="CN1071" s="15"/>
      <c r="CO1071" s="19"/>
      <c r="CP1071" s="15"/>
      <c r="CQ1071" s="15"/>
      <c r="CR1071" s="15"/>
      <c r="CS1071" s="19"/>
      <c r="CT1071" s="15"/>
      <c r="CU1071" s="19"/>
      <c r="CV1071" s="15"/>
      <c r="CW1071" s="19"/>
      <c r="CX1071" s="15"/>
      <c r="CY1071" s="19"/>
      <c r="CZ1071" s="15"/>
      <c r="DA1071" s="16" t="s">
        <v>197</v>
      </c>
      <c r="DB1071" s="17" t="s">
        <v>228</v>
      </c>
      <c r="DC1071" s="16"/>
      <c r="DD1071" s="17" t="s">
        <v>198</v>
      </c>
      <c r="DE1071" s="18">
        <v>45696.39392361111</v>
      </c>
      <c r="DF1071" s="17" t="s">
        <v>198</v>
      </c>
      <c r="DG1071" s="18">
        <v>45696.39392361111</v>
      </c>
      <c r="DH1071" s="13" t="s">
        <v>205</v>
      </c>
      <c r="DI1071" s="14" t="s">
        <v>179</v>
      </c>
      <c r="DJ1071" s="14" t="s">
        <v>20840</v>
      </c>
      <c r="DK1071" s="15"/>
      <c r="DL1071" s="15"/>
      <c r="DM1071" s="15"/>
      <c r="DN1071" s="15"/>
      <c r="DO1071" s="15"/>
      <c r="DP1071" s="15"/>
      <c r="DQ1071" s="15"/>
      <c r="DR1071" s="15"/>
      <c r="DS1071" s="15"/>
      <c r="DT1071" s="15"/>
      <c r="DU1071" s="15"/>
      <c r="DV1071" s="15"/>
      <c r="DW1071" s="15"/>
      <c r="DX1071" s="15"/>
      <c r="DY1071" s="15"/>
      <c r="DZ1071" s="15"/>
      <c r="EA1071" s="15"/>
      <c r="EB1071" s="15"/>
      <c r="EC1071" s="16" t="s">
        <v>197</v>
      </c>
      <c r="ED1071" s="17" t="s">
        <v>198</v>
      </c>
      <c r="EE1071" s="18">
        <v>45696.39400462963</v>
      </c>
      <c r="EF1071" s="13" t="s">
        <v>209</v>
      </c>
      <c r="EG1071" s="14" t="s">
        <v>179</v>
      </c>
      <c r="EH1071" s="14" t="s">
        <v>20841</v>
      </c>
      <c r="EI1071" s="15"/>
      <c r="EJ1071" s="15"/>
      <c r="EK1071" s="15"/>
      <c r="EL1071" s="15"/>
      <c r="EM1071" s="15"/>
      <c r="EN1071" s="15"/>
      <c r="EO1071" s="15"/>
      <c r="EP1071" s="15"/>
      <c r="EQ1071" s="15"/>
      <c r="ER1071" s="15"/>
      <c r="ES1071" s="15"/>
      <c r="ET1071" s="15"/>
      <c r="EU1071" s="15"/>
      <c r="EV1071" s="15"/>
      <c r="EW1071" s="15"/>
      <c r="EX1071" s="15"/>
      <c r="EY1071" s="15"/>
      <c r="EZ1071" s="15"/>
      <c r="FA1071" s="15"/>
      <c r="FB1071" s="15"/>
      <c r="FC1071" s="16" t="s">
        <v>197</v>
      </c>
      <c r="FD1071" s="17" t="s">
        <v>198</v>
      </c>
      <c r="FE1071" s="18">
        <v>45720.33189814815</v>
      </c>
      <c r="FF1071" s="19"/>
      <c r="FG1071" s="19"/>
      <c r="FH1071" s="21" t="s">
        <v>197</v>
      </c>
      <c r="FI1071" s="17" t="s">
        <v>214</v>
      </c>
      <c r="FJ1071" s="18">
        <v>45720.33189814815</v>
      </c>
      <c r="FK1071" s="14" t="s">
        <v>20841</v>
      </c>
      <c r="FL1071" s="14" t="s">
        <v>20842</v>
      </c>
      <c r="FM1071" s="14" t="s">
        <v>20843</v>
      </c>
      <c r="FN1071" s="19"/>
      <c r="FO1071" s="19"/>
      <c r="FP1071" s="19" t="str">
        <f t="shared" si="1"/>
        <v>Base de Dados_Images/XV65011.Imagem do Equipamento-.213824.jpg</v>
      </c>
      <c r="FQ1071" s="19"/>
      <c r="FR1071" s="19"/>
    </row>
    <row r="1072" ht="15.75" customHeight="1">
      <c r="A1072" s="12" t="s">
        <v>234</v>
      </c>
      <c r="B1072" s="12" t="s">
        <v>2706</v>
      </c>
      <c r="C1072" s="12" t="s">
        <v>219</v>
      </c>
      <c r="D1072" s="22" t="s">
        <v>20844</v>
      </c>
      <c r="E1072" s="22" t="s">
        <v>20845</v>
      </c>
      <c r="F1072" s="13" t="s">
        <v>178</v>
      </c>
      <c r="G1072" s="14" t="s">
        <v>179</v>
      </c>
      <c r="H1072" s="14" t="s">
        <v>20846</v>
      </c>
      <c r="I1072" s="14" t="s">
        <v>179</v>
      </c>
      <c r="J1072" s="14" t="s">
        <v>20847</v>
      </c>
      <c r="K1072" s="14" t="s">
        <v>179</v>
      </c>
      <c r="L1072" s="14" t="s">
        <v>20848</v>
      </c>
      <c r="M1072" s="14" t="s">
        <v>179</v>
      </c>
      <c r="N1072" s="14" t="s">
        <v>20848</v>
      </c>
      <c r="O1072" s="14" t="s">
        <v>179</v>
      </c>
      <c r="P1072" s="14" t="s">
        <v>20849</v>
      </c>
      <c r="Q1072" s="14" t="s">
        <v>179</v>
      </c>
      <c r="R1072" s="14" t="s">
        <v>20850</v>
      </c>
      <c r="S1072" s="14" t="s">
        <v>179</v>
      </c>
      <c r="T1072" s="14" t="s">
        <v>20851</v>
      </c>
      <c r="U1072" s="14" t="s">
        <v>179</v>
      </c>
      <c r="V1072" s="14" t="s">
        <v>20852</v>
      </c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/>
      <c r="BB1072" s="15"/>
      <c r="BC1072" s="15"/>
      <c r="BD1072" s="15"/>
      <c r="BE1072" s="15"/>
      <c r="BF1072" s="15"/>
      <c r="BG1072" s="15"/>
      <c r="BH1072" s="15"/>
      <c r="BI1072" s="15"/>
      <c r="BJ1072" s="15"/>
      <c r="BK1072" s="15"/>
      <c r="BL1072" s="15"/>
      <c r="BM1072" s="15"/>
      <c r="BN1072" s="15"/>
      <c r="BO1072" s="16" t="s">
        <v>197</v>
      </c>
      <c r="BP1072" s="17" t="s">
        <v>228</v>
      </c>
      <c r="BQ1072" s="23"/>
      <c r="BR1072" s="17" t="s">
        <v>198</v>
      </c>
      <c r="BS1072" s="18">
        <v>45685.769328703704</v>
      </c>
      <c r="BT1072" s="17" t="s">
        <v>198</v>
      </c>
      <c r="BU1072" s="18">
        <v>45685.769328703704</v>
      </c>
      <c r="BV1072" s="13" t="s">
        <v>199</v>
      </c>
      <c r="BW1072" s="14" t="s">
        <v>179</v>
      </c>
      <c r="BX1072" s="14" t="s">
        <v>20853</v>
      </c>
      <c r="BY1072" s="14" t="s">
        <v>179</v>
      </c>
      <c r="BZ1072" s="14" t="s">
        <v>20853</v>
      </c>
      <c r="CA1072" s="15"/>
      <c r="CB1072" s="15"/>
      <c r="CC1072" s="15"/>
      <c r="CD1072" s="15"/>
      <c r="CE1072" s="15"/>
      <c r="CF1072" s="15"/>
      <c r="CG1072" s="19"/>
      <c r="CH1072" s="15"/>
      <c r="CI1072" s="19"/>
      <c r="CJ1072" s="15"/>
      <c r="CK1072" s="19"/>
      <c r="CL1072" s="15"/>
      <c r="CM1072" s="19"/>
      <c r="CN1072" s="15"/>
      <c r="CO1072" s="19"/>
      <c r="CP1072" s="15"/>
      <c r="CQ1072" s="15"/>
      <c r="CR1072" s="15"/>
      <c r="CS1072" s="19"/>
      <c r="CT1072" s="15"/>
      <c r="CU1072" s="19"/>
      <c r="CV1072" s="15"/>
      <c r="CW1072" s="19"/>
      <c r="CX1072" s="15"/>
      <c r="CY1072" s="19"/>
      <c r="CZ1072" s="15"/>
      <c r="DA1072" s="16" t="s">
        <v>197</v>
      </c>
      <c r="DB1072" s="17" t="s">
        <v>228</v>
      </c>
      <c r="DC1072" s="16"/>
      <c r="DD1072" s="17" t="s">
        <v>198</v>
      </c>
      <c r="DE1072" s="18">
        <v>45696.58936342593</v>
      </c>
      <c r="DF1072" s="17" t="s">
        <v>198</v>
      </c>
      <c r="DG1072" s="18">
        <v>45696.58936342593</v>
      </c>
      <c r="DH1072" s="13" t="s">
        <v>205</v>
      </c>
      <c r="DI1072" s="14" t="s">
        <v>179</v>
      </c>
      <c r="DJ1072" s="14" t="s">
        <v>20854</v>
      </c>
      <c r="DK1072" s="15"/>
      <c r="DL1072" s="15"/>
      <c r="DM1072" s="15"/>
      <c r="DN1072" s="15"/>
      <c r="DO1072" s="15"/>
      <c r="DP1072" s="15"/>
      <c r="DQ1072" s="15"/>
      <c r="DR1072" s="15"/>
      <c r="DS1072" s="15"/>
      <c r="DT1072" s="15"/>
      <c r="DU1072" s="15"/>
      <c r="DV1072" s="15"/>
      <c r="DW1072" s="15"/>
      <c r="DX1072" s="15"/>
      <c r="DY1072" s="15"/>
      <c r="DZ1072" s="15"/>
      <c r="EA1072" s="15"/>
      <c r="EB1072" s="15"/>
      <c r="EC1072" s="16" t="s">
        <v>197</v>
      </c>
      <c r="ED1072" s="17" t="s">
        <v>198</v>
      </c>
      <c r="EE1072" s="18">
        <v>45703.46555555556</v>
      </c>
      <c r="EF1072" s="13" t="s">
        <v>209</v>
      </c>
      <c r="EG1072" s="14" t="s">
        <v>179</v>
      </c>
      <c r="EH1072" s="14" t="s">
        <v>20855</v>
      </c>
      <c r="EI1072" s="15"/>
      <c r="EJ1072" s="15"/>
      <c r="EK1072" s="15"/>
      <c r="EL1072" s="15"/>
      <c r="EM1072" s="15"/>
      <c r="EN1072" s="15"/>
      <c r="EO1072" s="15"/>
      <c r="EP1072" s="15"/>
      <c r="EQ1072" s="15"/>
      <c r="ER1072" s="15"/>
      <c r="ES1072" s="15"/>
      <c r="ET1072" s="15"/>
      <c r="EU1072" s="15"/>
      <c r="EV1072" s="15"/>
      <c r="EW1072" s="15"/>
      <c r="EX1072" s="15"/>
      <c r="EY1072" s="15"/>
      <c r="EZ1072" s="15"/>
      <c r="FA1072" s="15"/>
      <c r="FB1072" s="15"/>
      <c r="FC1072" s="16" t="s">
        <v>197</v>
      </c>
      <c r="FD1072" s="17" t="s">
        <v>198</v>
      </c>
      <c r="FE1072" s="18">
        <v>45720.33195601852</v>
      </c>
      <c r="FF1072" s="19"/>
      <c r="FG1072" s="19"/>
      <c r="FH1072" s="21" t="s">
        <v>197</v>
      </c>
      <c r="FI1072" s="17" t="s">
        <v>214</v>
      </c>
      <c r="FJ1072" s="18">
        <v>45720.33195601852</v>
      </c>
      <c r="FK1072" s="14" t="s">
        <v>20855</v>
      </c>
      <c r="FL1072" s="14" t="s">
        <v>20856</v>
      </c>
      <c r="FM1072" s="14" t="s">
        <v>20857</v>
      </c>
      <c r="FN1072" s="19"/>
      <c r="FO1072" s="19"/>
      <c r="FP1072" s="19" t="str">
        <f t="shared" si="1"/>
        <v>Base de Dados_Images/XV65012.Imagem do Equipamento-.213855.jpg</v>
      </c>
      <c r="FQ1072" s="19"/>
      <c r="FR1072" s="19"/>
    </row>
    <row r="1073" ht="15.75" customHeight="1">
      <c r="A1073" s="12" t="s">
        <v>234</v>
      </c>
      <c r="B1073" s="12" t="s">
        <v>2743</v>
      </c>
      <c r="C1073" s="12" t="s">
        <v>219</v>
      </c>
      <c r="D1073" s="22" t="s">
        <v>20858</v>
      </c>
      <c r="E1073" s="22" t="s">
        <v>20859</v>
      </c>
      <c r="F1073" s="13" t="s">
        <v>178</v>
      </c>
      <c r="G1073" s="14" t="s">
        <v>179</v>
      </c>
      <c r="H1073" s="14" t="s">
        <v>20860</v>
      </c>
      <c r="I1073" s="14" t="s">
        <v>179</v>
      </c>
      <c r="J1073" s="14" t="s">
        <v>20861</v>
      </c>
      <c r="K1073" s="14" t="s">
        <v>179</v>
      </c>
      <c r="L1073" s="14" t="s">
        <v>20862</v>
      </c>
      <c r="M1073" s="14" t="s">
        <v>179</v>
      </c>
      <c r="N1073" s="14" t="s">
        <v>20863</v>
      </c>
      <c r="O1073" s="14" t="s">
        <v>179</v>
      </c>
      <c r="P1073" s="14" t="s">
        <v>20864</v>
      </c>
      <c r="Q1073" s="14" t="s">
        <v>179</v>
      </c>
      <c r="R1073" s="14" t="s">
        <v>20865</v>
      </c>
      <c r="S1073" s="14" t="s">
        <v>179</v>
      </c>
      <c r="T1073" s="14" t="s">
        <v>20866</v>
      </c>
      <c r="U1073" s="14" t="s">
        <v>179</v>
      </c>
      <c r="V1073" s="14" t="s">
        <v>20867</v>
      </c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s="15"/>
      <c r="BE1073" s="15"/>
      <c r="BF1073" s="15"/>
      <c r="BG1073" s="15"/>
      <c r="BH1073" s="15"/>
      <c r="BI1073" s="15"/>
      <c r="BJ1073" s="15"/>
      <c r="BK1073" s="15"/>
      <c r="BL1073" s="15"/>
      <c r="BM1073" s="15"/>
      <c r="BN1073" s="15"/>
      <c r="BO1073" s="16" t="s">
        <v>197</v>
      </c>
      <c r="BP1073" s="17" t="s">
        <v>228</v>
      </c>
      <c r="BQ1073" s="23"/>
      <c r="BR1073" s="17" t="s">
        <v>198</v>
      </c>
      <c r="BS1073" s="18">
        <v>45694.36119212963</v>
      </c>
      <c r="BT1073" s="17" t="s">
        <v>198</v>
      </c>
      <c r="BU1073" s="18">
        <v>45694.36119212963</v>
      </c>
      <c r="BV1073" s="13" t="s">
        <v>199</v>
      </c>
      <c r="BW1073" s="14" t="s">
        <v>179</v>
      </c>
      <c r="BX1073" s="14" t="s">
        <v>20868</v>
      </c>
      <c r="BY1073" s="14" t="s">
        <v>179</v>
      </c>
      <c r="BZ1073" s="14" t="s">
        <v>20869</v>
      </c>
      <c r="CA1073" s="15"/>
      <c r="CB1073" s="15"/>
      <c r="CC1073" s="15"/>
      <c r="CD1073" s="15"/>
      <c r="CE1073" s="15"/>
      <c r="CF1073" s="15"/>
      <c r="CG1073" s="19"/>
      <c r="CH1073" s="15"/>
      <c r="CI1073" s="19"/>
      <c r="CJ1073" s="15"/>
      <c r="CK1073" s="19"/>
      <c r="CL1073" s="15"/>
      <c r="CM1073" s="19"/>
      <c r="CN1073" s="15"/>
      <c r="CO1073" s="19"/>
      <c r="CP1073" s="15"/>
      <c r="CQ1073" s="15"/>
      <c r="CR1073" s="15"/>
      <c r="CS1073" s="19"/>
      <c r="CT1073" s="15"/>
      <c r="CU1073" s="19"/>
      <c r="CV1073" s="15"/>
      <c r="CW1073" s="19"/>
      <c r="CX1073" s="15"/>
      <c r="CY1073" s="19"/>
      <c r="CZ1073" s="15"/>
      <c r="DA1073" s="16" t="s">
        <v>197</v>
      </c>
      <c r="DB1073" s="17" t="s">
        <v>228</v>
      </c>
      <c r="DC1073" s="16"/>
      <c r="DD1073" s="17" t="s">
        <v>198</v>
      </c>
      <c r="DE1073" s="18">
        <v>45696.398564814815</v>
      </c>
      <c r="DF1073" s="17" t="s">
        <v>198</v>
      </c>
      <c r="DG1073" s="18">
        <v>45696.398564814815</v>
      </c>
      <c r="DH1073" s="13" t="s">
        <v>205</v>
      </c>
      <c r="DI1073" s="14" t="s">
        <v>179</v>
      </c>
      <c r="DJ1073" s="14" t="s">
        <v>20870</v>
      </c>
      <c r="DK1073" s="15"/>
      <c r="DL1073" s="15"/>
      <c r="DM1073" s="15"/>
      <c r="DN1073" s="15"/>
      <c r="DO1073" s="15"/>
      <c r="DP1073" s="15"/>
      <c r="DQ1073" s="15"/>
      <c r="DR1073" s="15"/>
      <c r="DS1073" s="15"/>
      <c r="DT1073" s="15"/>
      <c r="DU1073" s="15"/>
      <c r="DV1073" s="15"/>
      <c r="DW1073" s="15"/>
      <c r="DX1073" s="15"/>
      <c r="DY1073" s="15"/>
      <c r="DZ1073" s="15"/>
      <c r="EA1073" s="15"/>
      <c r="EB1073" s="15"/>
      <c r="EC1073" s="16" t="s">
        <v>197</v>
      </c>
      <c r="ED1073" s="17" t="s">
        <v>198</v>
      </c>
      <c r="EE1073" s="18">
        <v>45713.42052083334</v>
      </c>
      <c r="EF1073" s="13" t="s">
        <v>209</v>
      </c>
      <c r="EG1073" s="14" t="s">
        <v>179</v>
      </c>
      <c r="EH1073" s="14" t="s">
        <v>20871</v>
      </c>
      <c r="EI1073" s="15"/>
      <c r="EJ1073" s="15"/>
      <c r="EK1073" s="15"/>
      <c r="EL1073" s="15"/>
      <c r="EM1073" s="15"/>
      <c r="EN1073" s="15"/>
      <c r="EO1073" s="15"/>
      <c r="EP1073" s="15"/>
      <c r="EQ1073" s="15"/>
      <c r="ER1073" s="15"/>
      <c r="ES1073" s="15"/>
      <c r="ET1073" s="15"/>
      <c r="EU1073" s="15"/>
      <c r="EV1073" s="15"/>
      <c r="EW1073" s="15"/>
      <c r="EX1073" s="15"/>
      <c r="EY1073" s="15"/>
      <c r="EZ1073" s="15"/>
      <c r="FA1073" s="15"/>
      <c r="FB1073" s="15"/>
      <c r="FC1073" s="16" t="s">
        <v>197</v>
      </c>
      <c r="FD1073" s="17" t="s">
        <v>198</v>
      </c>
      <c r="FE1073" s="18">
        <v>45720.34290509259</v>
      </c>
      <c r="FF1073" s="19"/>
      <c r="FG1073" s="19"/>
      <c r="FH1073" s="21" t="s">
        <v>197</v>
      </c>
      <c r="FI1073" s="17" t="s">
        <v>214</v>
      </c>
      <c r="FJ1073" s="18">
        <v>45720.34290509259</v>
      </c>
      <c r="FK1073" s="14" t="s">
        <v>20871</v>
      </c>
      <c r="FL1073" s="14" t="s">
        <v>20872</v>
      </c>
      <c r="FM1073" s="14" t="s">
        <v>20873</v>
      </c>
      <c r="FN1073" s="19"/>
      <c r="FO1073" s="19"/>
      <c r="FP1073" s="19" t="str">
        <f t="shared" si="1"/>
        <v>Base de Dados_Images/XV65013.Imagem do Equipamento-.173804.jpg</v>
      </c>
      <c r="FQ1073" s="19"/>
      <c r="FR1073" s="19"/>
    </row>
    <row r="1074" ht="15.75" customHeight="1">
      <c r="A1074" s="12" t="s">
        <v>234</v>
      </c>
      <c r="B1074" s="12" t="s">
        <v>2743</v>
      </c>
      <c r="C1074" s="12" t="s">
        <v>219</v>
      </c>
      <c r="D1074" s="22" t="s">
        <v>20874</v>
      </c>
      <c r="E1074" s="22" t="s">
        <v>20875</v>
      </c>
      <c r="F1074" s="13" t="s">
        <v>178</v>
      </c>
      <c r="G1074" s="14" t="s">
        <v>179</v>
      </c>
      <c r="H1074" s="14" t="s">
        <v>20876</v>
      </c>
      <c r="I1074" s="14" t="s">
        <v>179</v>
      </c>
      <c r="J1074" s="14" t="s">
        <v>20877</v>
      </c>
      <c r="K1074" s="14" t="s">
        <v>179</v>
      </c>
      <c r="L1074" s="14" t="s">
        <v>20878</v>
      </c>
      <c r="M1074" s="14" t="s">
        <v>179</v>
      </c>
      <c r="N1074" s="14" t="s">
        <v>20879</v>
      </c>
      <c r="O1074" s="14" t="s">
        <v>179</v>
      </c>
      <c r="P1074" s="14" t="s">
        <v>20880</v>
      </c>
      <c r="Q1074" s="14" t="s">
        <v>179</v>
      </c>
      <c r="R1074" s="14" t="s">
        <v>20881</v>
      </c>
      <c r="S1074" s="14" t="s">
        <v>179</v>
      </c>
      <c r="T1074" s="14" t="s">
        <v>20882</v>
      </c>
      <c r="U1074" s="14" t="s">
        <v>179</v>
      </c>
      <c r="V1074" s="14" t="s">
        <v>20883</v>
      </c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  <c r="AN1074" s="15"/>
      <c r="AO1074" s="15"/>
      <c r="AP1074" s="15"/>
      <c r="AQ1074" s="15"/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/>
      <c r="BB1074" s="15"/>
      <c r="BC1074" s="15"/>
      <c r="BD1074" s="15"/>
      <c r="BE1074" s="15"/>
      <c r="BF1074" s="15"/>
      <c r="BG1074" s="15"/>
      <c r="BH1074" s="15"/>
      <c r="BI1074" s="15"/>
      <c r="BJ1074" s="15"/>
      <c r="BK1074" s="15"/>
      <c r="BL1074" s="15"/>
      <c r="BM1074" s="15"/>
      <c r="BN1074" s="15"/>
      <c r="BO1074" s="16" t="s">
        <v>197</v>
      </c>
      <c r="BP1074" s="17" t="s">
        <v>228</v>
      </c>
      <c r="BQ1074" s="23"/>
      <c r="BR1074" s="17" t="s">
        <v>198</v>
      </c>
      <c r="BS1074" s="18">
        <v>45694.361550925925</v>
      </c>
      <c r="BT1074" s="17" t="s">
        <v>198</v>
      </c>
      <c r="BU1074" s="18">
        <v>45694.361550925925</v>
      </c>
      <c r="BV1074" s="13" t="s">
        <v>199</v>
      </c>
      <c r="BW1074" s="14" t="s">
        <v>179</v>
      </c>
      <c r="BX1074" s="14" t="s">
        <v>20884</v>
      </c>
      <c r="BY1074" s="14" t="s">
        <v>179</v>
      </c>
      <c r="BZ1074" s="14" t="s">
        <v>20885</v>
      </c>
      <c r="CA1074" s="15"/>
      <c r="CB1074" s="15"/>
      <c r="CC1074" s="15"/>
      <c r="CD1074" s="15"/>
      <c r="CE1074" s="15"/>
      <c r="CF1074" s="15"/>
      <c r="CG1074" s="19"/>
      <c r="CH1074" s="15"/>
      <c r="CI1074" s="19"/>
      <c r="CJ1074" s="15"/>
      <c r="CK1074" s="19"/>
      <c r="CL1074" s="15"/>
      <c r="CM1074" s="19"/>
      <c r="CN1074" s="15"/>
      <c r="CO1074" s="19"/>
      <c r="CP1074" s="15"/>
      <c r="CQ1074" s="15"/>
      <c r="CR1074" s="15"/>
      <c r="CS1074" s="19"/>
      <c r="CT1074" s="15"/>
      <c r="CU1074" s="19"/>
      <c r="CV1074" s="15"/>
      <c r="CW1074" s="19"/>
      <c r="CX1074" s="15"/>
      <c r="CY1074" s="19"/>
      <c r="CZ1074" s="15"/>
      <c r="DA1074" s="16" t="s">
        <v>197</v>
      </c>
      <c r="DB1074" s="17" t="s">
        <v>228</v>
      </c>
      <c r="DC1074" s="16"/>
      <c r="DD1074" s="17" t="s">
        <v>198</v>
      </c>
      <c r="DE1074" s="18">
        <v>45696.401550925926</v>
      </c>
      <c r="DF1074" s="17" t="s">
        <v>198</v>
      </c>
      <c r="DG1074" s="18">
        <v>45696.401550925926</v>
      </c>
      <c r="DH1074" s="13" t="s">
        <v>205</v>
      </c>
      <c r="DI1074" s="14" t="s">
        <v>179</v>
      </c>
      <c r="DJ1074" s="14" t="s">
        <v>20886</v>
      </c>
      <c r="DK1074" s="15"/>
      <c r="DL1074" s="15"/>
      <c r="DM1074" s="15"/>
      <c r="DN1074" s="15"/>
      <c r="DO1074" s="15"/>
      <c r="DP1074" s="15"/>
      <c r="DQ1074" s="15"/>
      <c r="DR1074" s="15"/>
      <c r="DS1074" s="15"/>
      <c r="DT1074" s="15"/>
      <c r="DU1074" s="15"/>
      <c r="DV1074" s="15"/>
      <c r="DW1074" s="15"/>
      <c r="DX1074" s="15"/>
      <c r="DY1074" s="15"/>
      <c r="DZ1074" s="15"/>
      <c r="EA1074" s="15"/>
      <c r="EB1074" s="15"/>
      <c r="EC1074" s="16" t="s">
        <v>197</v>
      </c>
      <c r="ED1074" s="17" t="s">
        <v>198</v>
      </c>
      <c r="EE1074" s="18">
        <v>45703.47703703704</v>
      </c>
      <c r="EF1074" s="13" t="s">
        <v>209</v>
      </c>
      <c r="EG1074" s="14" t="s">
        <v>179</v>
      </c>
      <c r="EH1074" s="14" t="s">
        <v>20887</v>
      </c>
      <c r="EI1074" s="15"/>
      <c r="EJ1074" s="15"/>
      <c r="EK1074" s="15"/>
      <c r="EL1074" s="15"/>
      <c r="EM1074" s="15"/>
      <c r="EN1074" s="15"/>
      <c r="EO1074" s="15"/>
      <c r="EP1074" s="15"/>
      <c r="EQ1074" s="15"/>
      <c r="ER1074" s="15"/>
      <c r="ES1074" s="15"/>
      <c r="ET1074" s="15"/>
      <c r="EU1074" s="15"/>
      <c r="EV1074" s="15"/>
      <c r="EW1074" s="15"/>
      <c r="EX1074" s="15"/>
      <c r="EY1074" s="15"/>
      <c r="EZ1074" s="15"/>
      <c r="FA1074" s="15"/>
      <c r="FB1074" s="15"/>
      <c r="FC1074" s="16" t="s">
        <v>197</v>
      </c>
      <c r="FD1074" s="17" t="s">
        <v>198</v>
      </c>
      <c r="FE1074" s="18">
        <v>45720.34296296296</v>
      </c>
      <c r="FF1074" s="19"/>
      <c r="FG1074" s="19"/>
      <c r="FH1074" s="21" t="s">
        <v>197</v>
      </c>
      <c r="FI1074" s="17" t="s">
        <v>214</v>
      </c>
      <c r="FJ1074" s="18">
        <v>45720.34296296296</v>
      </c>
      <c r="FK1074" s="14" t="s">
        <v>20887</v>
      </c>
      <c r="FL1074" s="14" t="s">
        <v>20888</v>
      </c>
      <c r="FM1074" s="14" t="s">
        <v>20889</v>
      </c>
      <c r="FN1074" s="19"/>
      <c r="FO1074" s="19"/>
      <c r="FP1074" s="19" t="str">
        <f t="shared" si="1"/>
        <v>Base de Dados_Images/XV65018.Imagem do Equipamento-.173916.jpg</v>
      </c>
      <c r="FQ1074" s="19"/>
      <c r="FR1074" s="19"/>
    </row>
    <row r="1075" ht="15.75" customHeight="1">
      <c r="A1075" s="12" t="s">
        <v>234</v>
      </c>
      <c r="B1075" s="12" t="s">
        <v>2743</v>
      </c>
      <c r="C1075" s="12" t="s">
        <v>219</v>
      </c>
      <c r="D1075" s="22" t="s">
        <v>20890</v>
      </c>
      <c r="E1075" s="22" t="s">
        <v>20891</v>
      </c>
      <c r="F1075" s="13" t="s">
        <v>178</v>
      </c>
      <c r="G1075" s="14" t="s">
        <v>179</v>
      </c>
      <c r="H1075" s="14" t="s">
        <v>20892</v>
      </c>
      <c r="I1075" s="14" t="s">
        <v>179</v>
      </c>
      <c r="J1075" s="14" t="s">
        <v>20893</v>
      </c>
      <c r="K1075" s="14" t="s">
        <v>179</v>
      </c>
      <c r="L1075" s="14" t="s">
        <v>20894</v>
      </c>
      <c r="M1075" s="14" t="s">
        <v>179</v>
      </c>
      <c r="N1075" s="14" t="s">
        <v>20895</v>
      </c>
      <c r="O1075" s="14" t="s">
        <v>179</v>
      </c>
      <c r="P1075" s="14" t="s">
        <v>20896</v>
      </c>
      <c r="Q1075" s="14" t="s">
        <v>179</v>
      </c>
      <c r="R1075" s="14" t="s">
        <v>20897</v>
      </c>
      <c r="S1075" s="14" t="s">
        <v>179</v>
      </c>
      <c r="T1075" s="14" t="s">
        <v>20898</v>
      </c>
      <c r="U1075" s="14" t="s">
        <v>179</v>
      </c>
      <c r="V1075" s="14" t="s">
        <v>20899</v>
      </c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s="15"/>
      <c r="BE1075" s="15"/>
      <c r="BF1075" s="15"/>
      <c r="BG1075" s="15"/>
      <c r="BH1075" s="15"/>
      <c r="BI1075" s="15"/>
      <c r="BJ1075" s="15"/>
      <c r="BK1075" s="15"/>
      <c r="BL1075" s="15"/>
      <c r="BM1075" s="15"/>
      <c r="BN1075" s="15"/>
      <c r="BO1075" s="16" t="s">
        <v>197</v>
      </c>
      <c r="BP1075" s="17" t="s">
        <v>228</v>
      </c>
      <c r="BQ1075" s="23"/>
      <c r="BR1075" s="17" t="s">
        <v>198</v>
      </c>
      <c r="BS1075" s="18">
        <v>45694.615324074075</v>
      </c>
      <c r="BT1075" s="17" t="s">
        <v>198</v>
      </c>
      <c r="BU1075" s="18">
        <v>45694.615324074075</v>
      </c>
      <c r="BV1075" s="13" t="s">
        <v>199</v>
      </c>
      <c r="BW1075" s="14" t="s">
        <v>179</v>
      </c>
      <c r="BX1075" s="14" t="s">
        <v>20900</v>
      </c>
      <c r="BY1075" s="14" t="s">
        <v>179</v>
      </c>
      <c r="BZ1075" s="14" t="s">
        <v>20900</v>
      </c>
      <c r="CA1075" s="15"/>
      <c r="CB1075" s="15"/>
      <c r="CC1075" s="15"/>
      <c r="CD1075" s="15"/>
      <c r="CE1075" s="15"/>
      <c r="CF1075" s="15"/>
      <c r="CG1075" s="19"/>
      <c r="CH1075" s="15"/>
      <c r="CI1075" s="19"/>
      <c r="CJ1075" s="15"/>
      <c r="CK1075" s="19"/>
      <c r="CL1075" s="15"/>
      <c r="CM1075" s="19"/>
      <c r="CN1075" s="15"/>
      <c r="CO1075" s="19"/>
      <c r="CP1075" s="15"/>
      <c r="CQ1075" s="15"/>
      <c r="CR1075" s="15"/>
      <c r="CS1075" s="19"/>
      <c r="CT1075" s="15"/>
      <c r="CU1075" s="19"/>
      <c r="CV1075" s="15"/>
      <c r="CW1075" s="19"/>
      <c r="CX1075" s="15"/>
      <c r="CY1075" s="19"/>
      <c r="CZ1075" s="15"/>
      <c r="DA1075" s="16" t="s">
        <v>197</v>
      </c>
      <c r="DB1075" s="17" t="s">
        <v>228</v>
      </c>
      <c r="DC1075" s="16"/>
      <c r="DD1075" s="17" t="s">
        <v>198</v>
      </c>
      <c r="DE1075" s="18">
        <v>45696.58969907407</v>
      </c>
      <c r="DF1075" s="17" t="s">
        <v>198</v>
      </c>
      <c r="DG1075" s="18">
        <v>45696.58969907407</v>
      </c>
      <c r="DH1075" s="13" t="s">
        <v>205</v>
      </c>
      <c r="DI1075" s="14" t="s">
        <v>179</v>
      </c>
      <c r="DJ1075" s="14" t="s">
        <v>20901</v>
      </c>
      <c r="DK1075" s="15"/>
      <c r="DL1075" s="15"/>
      <c r="DM1075" s="15"/>
      <c r="DN1075" s="15"/>
      <c r="DO1075" s="15"/>
      <c r="DP1075" s="15"/>
      <c r="DQ1075" s="15"/>
      <c r="DR1075" s="15"/>
      <c r="DS1075" s="15"/>
      <c r="DT1075" s="15"/>
      <c r="DU1075" s="15"/>
      <c r="DV1075" s="15"/>
      <c r="DW1075" s="15"/>
      <c r="DX1075" s="15"/>
      <c r="DY1075" s="15"/>
      <c r="DZ1075" s="15"/>
      <c r="EA1075" s="15"/>
      <c r="EB1075" s="15"/>
      <c r="EC1075" s="16" t="s">
        <v>197</v>
      </c>
      <c r="ED1075" s="17" t="s">
        <v>198</v>
      </c>
      <c r="EE1075" s="18">
        <v>45713.420636574076</v>
      </c>
      <c r="EF1075" s="13" t="s">
        <v>209</v>
      </c>
      <c r="EG1075" s="14" t="s">
        <v>179</v>
      </c>
      <c r="EH1075" s="14" t="s">
        <v>20902</v>
      </c>
      <c r="EI1075" s="15"/>
      <c r="EJ1075" s="15"/>
      <c r="EK1075" s="15"/>
      <c r="EL1075" s="15"/>
      <c r="EM1075" s="15"/>
      <c r="EN1075" s="15"/>
      <c r="EO1075" s="15"/>
      <c r="EP1075" s="15"/>
      <c r="EQ1075" s="15"/>
      <c r="ER1075" s="15"/>
      <c r="ES1075" s="15"/>
      <c r="ET1075" s="15"/>
      <c r="EU1075" s="15"/>
      <c r="EV1075" s="15"/>
      <c r="EW1075" s="15"/>
      <c r="EX1075" s="15"/>
      <c r="EY1075" s="15"/>
      <c r="EZ1075" s="15"/>
      <c r="FA1075" s="15"/>
      <c r="FB1075" s="15"/>
      <c r="FC1075" s="16" t="s">
        <v>197</v>
      </c>
      <c r="FD1075" s="17" t="s">
        <v>198</v>
      </c>
      <c r="FE1075" s="18">
        <v>45720.34302083333</v>
      </c>
      <c r="FF1075" s="14" t="s">
        <v>20903</v>
      </c>
      <c r="FG1075" s="19"/>
      <c r="FH1075" s="17" t="s">
        <v>198</v>
      </c>
      <c r="FI1075" s="17" t="s">
        <v>214</v>
      </c>
      <c r="FJ1075" s="18">
        <v>45720.34302083333</v>
      </c>
      <c r="FK1075" s="14" t="s">
        <v>20902</v>
      </c>
      <c r="FL1075" s="14" t="s">
        <v>20904</v>
      </c>
      <c r="FM1075" s="14" t="s">
        <v>20905</v>
      </c>
      <c r="FN1075" s="19"/>
      <c r="FO1075" s="19"/>
      <c r="FP1075" s="19" t="str">
        <f t="shared" si="1"/>
        <v>Base de Dados_Images/XV65019.Imagem do Equipamento-.173945.jpg</v>
      </c>
      <c r="FQ1075" s="19"/>
      <c r="FR1075" s="19"/>
    </row>
    <row r="1076" ht="15.75" customHeight="1">
      <c r="A1076" s="12" t="s">
        <v>234</v>
      </c>
      <c r="B1076" s="12" t="s">
        <v>2743</v>
      </c>
      <c r="C1076" s="12" t="s">
        <v>219</v>
      </c>
      <c r="D1076" s="22" t="s">
        <v>20906</v>
      </c>
      <c r="E1076" s="22" t="s">
        <v>20907</v>
      </c>
      <c r="F1076" s="13" t="s">
        <v>178</v>
      </c>
      <c r="G1076" s="14" t="s">
        <v>179</v>
      </c>
      <c r="H1076" s="14" t="s">
        <v>20908</v>
      </c>
      <c r="I1076" s="14" t="s">
        <v>179</v>
      </c>
      <c r="J1076" s="14" t="s">
        <v>20909</v>
      </c>
      <c r="K1076" s="14" t="s">
        <v>179</v>
      </c>
      <c r="L1076" s="14" t="s">
        <v>20910</v>
      </c>
      <c r="M1076" s="14" t="s">
        <v>179</v>
      </c>
      <c r="N1076" s="14" t="s">
        <v>20911</v>
      </c>
      <c r="O1076" s="14" t="s">
        <v>179</v>
      </c>
      <c r="P1076" s="14" t="s">
        <v>20912</v>
      </c>
      <c r="Q1076" s="14" t="s">
        <v>179</v>
      </c>
      <c r="R1076" s="14" t="s">
        <v>20913</v>
      </c>
      <c r="S1076" s="14" t="s">
        <v>179</v>
      </c>
      <c r="T1076" s="14" t="s">
        <v>20913</v>
      </c>
      <c r="U1076" s="14" t="s">
        <v>179</v>
      </c>
      <c r="V1076" s="14" t="s">
        <v>20914</v>
      </c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  <c r="BB1076" s="15"/>
      <c r="BC1076" s="15"/>
      <c r="BD1076" s="15"/>
      <c r="BE1076" s="15"/>
      <c r="BF1076" s="15"/>
      <c r="BG1076" s="15"/>
      <c r="BH1076" s="15"/>
      <c r="BI1076" s="15"/>
      <c r="BJ1076" s="15"/>
      <c r="BK1076" s="15"/>
      <c r="BL1076" s="15"/>
      <c r="BM1076" s="15"/>
      <c r="BN1076" s="15"/>
      <c r="BO1076" s="16" t="s">
        <v>197</v>
      </c>
      <c r="BP1076" s="17" t="s">
        <v>228</v>
      </c>
      <c r="BQ1076" s="23"/>
      <c r="BR1076" s="17" t="s">
        <v>198</v>
      </c>
      <c r="BS1076" s="18">
        <v>45694.615625</v>
      </c>
      <c r="BT1076" s="17" t="s">
        <v>198</v>
      </c>
      <c r="BU1076" s="18">
        <v>45694.615625</v>
      </c>
      <c r="BV1076" s="13" t="s">
        <v>199</v>
      </c>
      <c r="BW1076" s="14" t="s">
        <v>179</v>
      </c>
      <c r="BX1076" s="14" t="s">
        <v>20915</v>
      </c>
      <c r="BY1076" s="14" t="s">
        <v>179</v>
      </c>
      <c r="BZ1076" s="14" t="s">
        <v>20916</v>
      </c>
      <c r="CA1076" s="15"/>
      <c r="CB1076" s="15"/>
      <c r="CC1076" s="15"/>
      <c r="CD1076" s="15"/>
      <c r="CE1076" s="15"/>
      <c r="CF1076" s="15"/>
      <c r="CG1076" s="19"/>
      <c r="CH1076" s="15"/>
      <c r="CI1076" s="19"/>
      <c r="CJ1076" s="15"/>
      <c r="CK1076" s="19"/>
      <c r="CL1076" s="15"/>
      <c r="CM1076" s="19"/>
      <c r="CN1076" s="15"/>
      <c r="CO1076" s="19"/>
      <c r="CP1076" s="15"/>
      <c r="CQ1076" s="15"/>
      <c r="CR1076" s="15"/>
      <c r="CS1076" s="19"/>
      <c r="CT1076" s="15"/>
      <c r="CU1076" s="19"/>
      <c r="CV1076" s="15"/>
      <c r="CW1076" s="19"/>
      <c r="CX1076" s="15"/>
      <c r="CY1076" s="19"/>
      <c r="CZ1076" s="15"/>
      <c r="DA1076" s="16" t="s">
        <v>197</v>
      </c>
      <c r="DB1076" s="17" t="s">
        <v>228</v>
      </c>
      <c r="DC1076" s="16"/>
      <c r="DD1076" s="17" t="s">
        <v>198</v>
      </c>
      <c r="DE1076" s="18">
        <v>45696.589849537035</v>
      </c>
      <c r="DF1076" s="17" t="s">
        <v>198</v>
      </c>
      <c r="DG1076" s="18">
        <v>45696.589849537035</v>
      </c>
      <c r="DH1076" s="13" t="s">
        <v>205</v>
      </c>
      <c r="DI1076" s="14" t="s">
        <v>179</v>
      </c>
      <c r="DJ1076" s="14" t="s">
        <v>20917</v>
      </c>
      <c r="DK1076" s="15"/>
      <c r="DL1076" s="15"/>
      <c r="DM1076" s="15"/>
      <c r="DN1076" s="15"/>
      <c r="DO1076" s="15"/>
      <c r="DP1076" s="15"/>
      <c r="DQ1076" s="15"/>
      <c r="DR1076" s="15"/>
      <c r="DS1076" s="15"/>
      <c r="DT1076" s="15"/>
      <c r="DU1076" s="15"/>
      <c r="DV1076" s="15"/>
      <c r="DW1076" s="15"/>
      <c r="DX1076" s="15"/>
      <c r="DY1076" s="15"/>
      <c r="DZ1076" s="15"/>
      <c r="EA1076" s="15"/>
      <c r="EB1076" s="15"/>
      <c r="EC1076" s="16" t="s">
        <v>197</v>
      </c>
      <c r="ED1076" s="17" t="s">
        <v>198</v>
      </c>
      <c r="EE1076" s="18">
        <v>45703.475648148145</v>
      </c>
      <c r="EF1076" s="13" t="s">
        <v>209</v>
      </c>
      <c r="EG1076" s="14" t="s">
        <v>179</v>
      </c>
      <c r="EH1076" s="14" t="s">
        <v>20918</v>
      </c>
      <c r="EI1076" s="15"/>
      <c r="EJ1076" s="15"/>
      <c r="EK1076" s="15"/>
      <c r="EL1076" s="15"/>
      <c r="EM1076" s="15"/>
      <c r="EN1076" s="15"/>
      <c r="EO1076" s="15"/>
      <c r="EP1076" s="15"/>
      <c r="EQ1076" s="15"/>
      <c r="ER1076" s="15"/>
      <c r="ES1076" s="15"/>
      <c r="ET1076" s="15"/>
      <c r="EU1076" s="15"/>
      <c r="EV1076" s="15"/>
      <c r="EW1076" s="15"/>
      <c r="EX1076" s="15"/>
      <c r="EY1076" s="15"/>
      <c r="EZ1076" s="15"/>
      <c r="FA1076" s="15"/>
      <c r="FB1076" s="15"/>
      <c r="FC1076" s="16" t="s">
        <v>197</v>
      </c>
      <c r="FD1076" s="17" t="s">
        <v>198</v>
      </c>
      <c r="FE1076" s="18">
        <v>45720.34307870371</v>
      </c>
      <c r="FF1076" s="19"/>
      <c r="FG1076" s="19"/>
      <c r="FH1076" s="21" t="s">
        <v>197</v>
      </c>
      <c r="FI1076" s="17" t="s">
        <v>214</v>
      </c>
      <c r="FJ1076" s="18">
        <v>45720.34307870371</v>
      </c>
      <c r="FK1076" s="14" t="s">
        <v>20918</v>
      </c>
      <c r="FL1076" s="14" t="s">
        <v>20919</v>
      </c>
      <c r="FM1076" s="14" t="s">
        <v>20920</v>
      </c>
      <c r="FN1076" s="19"/>
      <c r="FO1076" s="19"/>
      <c r="FP1076" s="19" t="str">
        <f t="shared" si="1"/>
        <v>Base de Dados_Images/XV65020.Imagem do Equipamento-.173833.jpg</v>
      </c>
      <c r="FQ1076" s="19"/>
      <c r="FR1076" s="19"/>
    </row>
    <row r="1077" ht="15.75" customHeight="1">
      <c r="A1077" s="12" t="s">
        <v>234</v>
      </c>
      <c r="B1077" s="12" t="s">
        <v>2743</v>
      </c>
      <c r="C1077" s="12" t="s">
        <v>219</v>
      </c>
      <c r="D1077" s="22" t="s">
        <v>20921</v>
      </c>
      <c r="E1077" s="22" t="s">
        <v>20922</v>
      </c>
      <c r="F1077" s="13" t="s">
        <v>178</v>
      </c>
      <c r="G1077" s="14" t="s">
        <v>179</v>
      </c>
      <c r="H1077" s="14" t="s">
        <v>20923</v>
      </c>
      <c r="I1077" s="14" t="s">
        <v>179</v>
      </c>
      <c r="J1077" s="14" t="s">
        <v>20924</v>
      </c>
      <c r="K1077" s="14" t="s">
        <v>179</v>
      </c>
      <c r="L1077" s="14" t="s">
        <v>20925</v>
      </c>
      <c r="M1077" s="14" t="s">
        <v>179</v>
      </c>
      <c r="N1077" s="14" t="s">
        <v>20926</v>
      </c>
      <c r="O1077" s="14" t="s">
        <v>179</v>
      </c>
      <c r="P1077" s="14" t="s">
        <v>20927</v>
      </c>
      <c r="Q1077" s="14" t="s">
        <v>179</v>
      </c>
      <c r="R1077" s="14" t="s">
        <v>20928</v>
      </c>
      <c r="S1077" s="14" t="s">
        <v>179</v>
      </c>
      <c r="T1077" s="14" t="s">
        <v>20929</v>
      </c>
      <c r="U1077" s="14" t="s">
        <v>179</v>
      </c>
      <c r="V1077" s="14" t="s">
        <v>20930</v>
      </c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  <c r="AX1077" s="15"/>
      <c r="AY1077" s="15"/>
      <c r="AZ1077" s="15"/>
      <c r="BA1077" s="15"/>
      <c r="BB1077" s="15"/>
      <c r="BC1077" s="15"/>
      <c r="BD1077" s="15"/>
      <c r="BE1077" s="15"/>
      <c r="BF1077" s="15"/>
      <c r="BG1077" s="15"/>
      <c r="BH1077" s="15"/>
      <c r="BI1077" s="15"/>
      <c r="BJ1077" s="15"/>
      <c r="BK1077" s="15"/>
      <c r="BL1077" s="15"/>
      <c r="BM1077" s="15"/>
      <c r="BN1077" s="15"/>
      <c r="BO1077" s="16" t="s">
        <v>197</v>
      </c>
      <c r="BP1077" s="17" t="s">
        <v>228</v>
      </c>
      <c r="BQ1077" s="23"/>
      <c r="BR1077" s="17" t="s">
        <v>198</v>
      </c>
      <c r="BS1077" s="18">
        <v>45694.6159837963</v>
      </c>
      <c r="BT1077" s="17" t="s">
        <v>198</v>
      </c>
      <c r="BU1077" s="18">
        <v>45694.6159837963</v>
      </c>
      <c r="BV1077" s="13" t="s">
        <v>199</v>
      </c>
      <c r="BW1077" s="14" t="s">
        <v>179</v>
      </c>
      <c r="BX1077" s="14" t="s">
        <v>20931</v>
      </c>
      <c r="BY1077" s="14" t="s">
        <v>179</v>
      </c>
      <c r="BZ1077" s="14" t="s">
        <v>20932</v>
      </c>
      <c r="CA1077" s="15"/>
      <c r="CB1077" s="15"/>
      <c r="CC1077" s="15"/>
      <c r="CD1077" s="15"/>
      <c r="CE1077" s="15"/>
      <c r="CF1077" s="15"/>
      <c r="CG1077" s="19"/>
      <c r="CH1077" s="15"/>
      <c r="CI1077" s="19"/>
      <c r="CJ1077" s="15"/>
      <c r="CK1077" s="19"/>
      <c r="CL1077" s="15"/>
      <c r="CM1077" s="19"/>
      <c r="CN1077" s="15"/>
      <c r="CO1077" s="19"/>
      <c r="CP1077" s="15"/>
      <c r="CQ1077" s="15"/>
      <c r="CR1077" s="15"/>
      <c r="CS1077" s="19"/>
      <c r="CT1077" s="15"/>
      <c r="CU1077" s="19"/>
      <c r="CV1077" s="15"/>
      <c r="CW1077" s="19"/>
      <c r="CX1077" s="15"/>
      <c r="CY1077" s="19"/>
      <c r="CZ1077" s="15"/>
      <c r="DA1077" s="16" t="s">
        <v>197</v>
      </c>
      <c r="DB1077" s="17" t="s">
        <v>228</v>
      </c>
      <c r="DC1077" s="16"/>
      <c r="DD1077" s="17" t="s">
        <v>198</v>
      </c>
      <c r="DE1077" s="18">
        <v>45696.40164351852</v>
      </c>
      <c r="DF1077" s="17" t="s">
        <v>198</v>
      </c>
      <c r="DG1077" s="18">
        <v>45696.40164351852</v>
      </c>
      <c r="DH1077" s="13" t="s">
        <v>205</v>
      </c>
      <c r="DI1077" s="14" t="s">
        <v>179</v>
      </c>
      <c r="DJ1077" s="14" t="s">
        <v>20933</v>
      </c>
      <c r="DK1077" s="15"/>
      <c r="DL1077" s="15"/>
      <c r="DM1077" s="15"/>
      <c r="DN1077" s="15"/>
      <c r="DO1077" s="15"/>
      <c r="DP1077" s="15"/>
      <c r="DQ1077" s="15"/>
      <c r="DR1077" s="15"/>
      <c r="DS1077" s="15"/>
      <c r="DT1077" s="15"/>
      <c r="DU1077" s="15"/>
      <c r="DV1077" s="15"/>
      <c r="DW1077" s="15"/>
      <c r="DX1077" s="15"/>
      <c r="DY1077" s="15"/>
      <c r="DZ1077" s="15"/>
      <c r="EA1077" s="15"/>
      <c r="EB1077" s="15"/>
      <c r="EC1077" s="16" t="s">
        <v>197</v>
      </c>
      <c r="ED1077" s="17" t="s">
        <v>198</v>
      </c>
      <c r="EE1077" s="18">
        <v>45703.475752314815</v>
      </c>
      <c r="EF1077" s="13" t="s">
        <v>209</v>
      </c>
      <c r="EG1077" s="14" t="s">
        <v>179</v>
      </c>
      <c r="EH1077" s="14" t="s">
        <v>20934</v>
      </c>
      <c r="EI1077" s="15"/>
      <c r="EJ1077" s="15"/>
      <c r="EK1077" s="15"/>
      <c r="EL1077" s="15"/>
      <c r="EM1077" s="15"/>
      <c r="EN1077" s="15"/>
      <c r="EO1077" s="15"/>
      <c r="EP1077" s="15"/>
      <c r="EQ1077" s="15"/>
      <c r="ER1077" s="15"/>
      <c r="ES1077" s="15"/>
      <c r="ET1077" s="15"/>
      <c r="EU1077" s="15"/>
      <c r="EV1077" s="15"/>
      <c r="EW1077" s="15"/>
      <c r="EX1077" s="15"/>
      <c r="EY1077" s="15"/>
      <c r="EZ1077" s="15"/>
      <c r="FA1077" s="15"/>
      <c r="FB1077" s="15"/>
      <c r="FC1077" s="16" t="s">
        <v>197</v>
      </c>
      <c r="FD1077" s="17" t="s">
        <v>198</v>
      </c>
      <c r="FE1077" s="18">
        <v>45720.343136574076</v>
      </c>
      <c r="FF1077" s="19"/>
      <c r="FG1077" s="19"/>
      <c r="FH1077" s="21" t="s">
        <v>197</v>
      </c>
      <c r="FI1077" s="17" t="s">
        <v>214</v>
      </c>
      <c r="FJ1077" s="18">
        <v>45720.343136574076</v>
      </c>
      <c r="FK1077" s="14" t="s">
        <v>20934</v>
      </c>
      <c r="FL1077" s="14" t="s">
        <v>20935</v>
      </c>
      <c r="FM1077" s="14" t="s">
        <v>20936</v>
      </c>
      <c r="FN1077" s="19"/>
      <c r="FO1077" s="19"/>
      <c r="FP1077" s="19" t="str">
        <f t="shared" si="1"/>
        <v>Base de Dados_Images/XV65021.Imagem do Equipamento-.133245.jpg</v>
      </c>
      <c r="FQ1077" s="19"/>
      <c r="FR1077" s="19"/>
    </row>
    <row r="1078" ht="15.75" customHeight="1">
      <c r="A1078" s="12" t="s">
        <v>234</v>
      </c>
      <c r="B1078" s="12" t="s">
        <v>2743</v>
      </c>
      <c r="C1078" s="12" t="s">
        <v>219</v>
      </c>
      <c r="D1078" s="22" t="s">
        <v>20937</v>
      </c>
      <c r="E1078" s="22" t="s">
        <v>20938</v>
      </c>
      <c r="F1078" s="13" t="s">
        <v>178</v>
      </c>
      <c r="G1078" s="14" t="s">
        <v>179</v>
      </c>
      <c r="H1078" s="14" t="s">
        <v>20939</v>
      </c>
      <c r="I1078" s="14" t="s">
        <v>179</v>
      </c>
      <c r="J1078" s="14" t="s">
        <v>20940</v>
      </c>
      <c r="K1078" s="14" t="s">
        <v>179</v>
      </c>
      <c r="L1078" s="14" t="s">
        <v>20941</v>
      </c>
      <c r="M1078" s="14" t="s">
        <v>179</v>
      </c>
      <c r="N1078" s="14" t="s">
        <v>20942</v>
      </c>
      <c r="O1078" s="14" t="s">
        <v>179</v>
      </c>
      <c r="P1078" s="14" t="s">
        <v>20943</v>
      </c>
      <c r="Q1078" s="14" t="s">
        <v>179</v>
      </c>
      <c r="R1078" s="14" t="s">
        <v>20944</v>
      </c>
      <c r="S1078" s="14" t="s">
        <v>179</v>
      </c>
      <c r="T1078" s="14" t="s">
        <v>20945</v>
      </c>
      <c r="U1078" s="14" t="s">
        <v>179</v>
      </c>
      <c r="V1078" s="14" t="s">
        <v>20946</v>
      </c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5"/>
      <c r="AX1078" s="15"/>
      <c r="AY1078" s="15"/>
      <c r="AZ1078" s="15"/>
      <c r="BA1078" s="15"/>
      <c r="BB1078" s="15"/>
      <c r="BC1078" s="15"/>
      <c r="BD1078" s="15"/>
      <c r="BE1078" s="15"/>
      <c r="BF1078" s="15"/>
      <c r="BG1078" s="15"/>
      <c r="BH1078" s="15"/>
      <c r="BI1078" s="15"/>
      <c r="BJ1078" s="15"/>
      <c r="BK1078" s="15"/>
      <c r="BL1078" s="15"/>
      <c r="BM1078" s="15"/>
      <c r="BN1078" s="15"/>
      <c r="BO1078" s="16" t="s">
        <v>197</v>
      </c>
      <c r="BP1078" s="17" t="s">
        <v>228</v>
      </c>
      <c r="BQ1078" s="23"/>
      <c r="BR1078" s="17" t="s">
        <v>198</v>
      </c>
      <c r="BS1078" s="18">
        <v>45687.40520833333</v>
      </c>
      <c r="BT1078" s="17" t="s">
        <v>198</v>
      </c>
      <c r="BU1078" s="18">
        <v>45687.40520833333</v>
      </c>
      <c r="BV1078" s="13" t="s">
        <v>199</v>
      </c>
      <c r="BW1078" s="14" t="s">
        <v>179</v>
      </c>
      <c r="BX1078" s="14" t="s">
        <v>20947</v>
      </c>
      <c r="BY1078" s="14" t="s">
        <v>179</v>
      </c>
      <c r="BZ1078" s="14" t="s">
        <v>20948</v>
      </c>
      <c r="CA1078" s="15"/>
      <c r="CB1078" s="15"/>
      <c r="CC1078" s="15"/>
      <c r="CD1078" s="15"/>
      <c r="CE1078" s="15"/>
      <c r="CF1078" s="15"/>
      <c r="CG1078" s="19"/>
      <c r="CH1078" s="15"/>
      <c r="CI1078" s="19"/>
      <c r="CJ1078" s="15"/>
      <c r="CK1078" s="19"/>
      <c r="CL1078" s="15"/>
      <c r="CM1078" s="19"/>
      <c r="CN1078" s="15"/>
      <c r="CO1078" s="19"/>
      <c r="CP1078" s="15"/>
      <c r="CQ1078" s="15"/>
      <c r="CR1078" s="15"/>
      <c r="CS1078" s="19"/>
      <c r="CT1078" s="15"/>
      <c r="CU1078" s="19"/>
      <c r="CV1078" s="15"/>
      <c r="CW1078" s="19"/>
      <c r="CX1078" s="15"/>
      <c r="CY1078" s="19"/>
      <c r="CZ1078" s="15"/>
      <c r="DA1078" s="16" t="s">
        <v>197</v>
      </c>
      <c r="DB1078" s="17" t="s">
        <v>228</v>
      </c>
      <c r="DC1078" s="16"/>
      <c r="DD1078" s="17" t="s">
        <v>198</v>
      </c>
      <c r="DE1078" s="18">
        <v>45696.59027777778</v>
      </c>
      <c r="DF1078" s="17" t="s">
        <v>198</v>
      </c>
      <c r="DG1078" s="18">
        <v>45696.59027777778</v>
      </c>
      <c r="DH1078" s="13" t="s">
        <v>205</v>
      </c>
      <c r="DI1078" s="14" t="s">
        <v>179</v>
      </c>
      <c r="DJ1078" s="14" t="s">
        <v>20949</v>
      </c>
      <c r="DK1078" s="15"/>
      <c r="DL1078" s="15"/>
      <c r="DM1078" s="15"/>
      <c r="DN1078" s="15"/>
      <c r="DO1078" s="15"/>
      <c r="DP1078" s="15"/>
      <c r="DQ1078" s="15"/>
      <c r="DR1078" s="15"/>
      <c r="DS1078" s="15"/>
      <c r="DT1078" s="15"/>
      <c r="DU1078" s="15"/>
      <c r="DV1078" s="15"/>
      <c r="DW1078" s="15"/>
      <c r="DX1078" s="15"/>
      <c r="DY1078" s="15"/>
      <c r="DZ1078" s="15"/>
      <c r="EA1078" s="15"/>
      <c r="EB1078" s="15"/>
      <c r="EC1078" s="16" t="s">
        <v>197</v>
      </c>
      <c r="ED1078" s="17" t="s">
        <v>198</v>
      </c>
      <c r="EE1078" s="18">
        <v>45703.476111111115</v>
      </c>
      <c r="EF1078" s="13" t="s">
        <v>209</v>
      </c>
      <c r="EG1078" s="14" t="s">
        <v>179</v>
      </c>
      <c r="EH1078" s="14" t="s">
        <v>20950</v>
      </c>
      <c r="EI1078" s="15"/>
      <c r="EJ1078" s="15"/>
      <c r="EK1078" s="15"/>
      <c r="EL1078" s="15"/>
      <c r="EM1078" s="15"/>
      <c r="EN1078" s="15"/>
      <c r="EO1078" s="15"/>
      <c r="EP1078" s="15"/>
      <c r="EQ1078" s="15"/>
      <c r="ER1078" s="15"/>
      <c r="ES1078" s="15"/>
      <c r="ET1078" s="15"/>
      <c r="EU1078" s="15"/>
      <c r="EV1078" s="15"/>
      <c r="EW1078" s="15"/>
      <c r="EX1078" s="15"/>
      <c r="EY1078" s="15"/>
      <c r="EZ1078" s="15"/>
      <c r="FA1078" s="15"/>
      <c r="FB1078" s="15"/>
      <c r="FC1078" s="16" t="s">
        <v>197</v>
      </c>
      <c r="FD1078" s="17" t="s">
        <v>198</v>
      </c>
      <c r="FE1078" s="18">
        <v>45720.343194444446</v>
      </c>
      <c r="FF1078" s="19"/>
      <c r="FG1078" s="19"/>
      <c r="FH1078" s="21" t="s">
        <v>197</v>
      </c>
      <c r="FI1078" s="17" t="s">
        <v>214</v>
      </c>
      <c r="FJ1078" s="18">
        <v>45720.343194444446</v>
      </c>
      <c r="FK1078" s="14" t="s">
        <v>20950</v>
      </c>
      <c r="FL1078" s="14" t="s">
        <v>20951</v>
      </c>
      <c r="FM1078" s="14" t="s">
        <v>20952</v>
      </c>
      <c r="FN1078" s="19"/>
      <c r="FO1078" s="19"/>
      <c r="FP1078" s="19" t="str">
        <f t="shared" si="1"/>
        <v>Base de Dados_Images/XV65022.Imagem do Equipamento-.132004.jpg</v>
      </c>
      <c r="FQ1078" s="19"/>
      <c r="FR1078" s="19"/>
    </row>
    <row r="1079" ht="15.75" customHeight="1">
      <c r="A1079" s="12" t="s">
        <v>234</v>
      </c>
      <c r="B1079" s="12" t="s">
        <v>2743</v>
      </c>
      <c r="C1079" s="12" t="s">
        <v>219</v>
      </c>
      <c r="D1079" s="22" t="s">
        <v>20953</v>
      </c>
      <c r="E1079" s="22" t="s">
        <v>20954</v>
      </c>
      <c r="F1079" s="13" t="s">
        <v>178</v>
      </c>
      <c r="G1079" s="14" t="s">
        <v>179</v>
      </c>
      <c r="H1079" s="14" t="s">
        <v>20955</v>
      </c>
      <c r="I1079" s="14" t="s">
        <v>179</v>
      </c>
      <c r="J1079" s="14" t="s">
        <v>20956</v>
      </c>
      <c r="K1079" s="14" t="s">
        <v>179</v>
      </c>
      <c r="L1079" s="14" t="s">
        <v>20956</v>
      </c>
      <c r="M1079" s="14" t="s">
        <v>179</v>
      </c>
      <c r="N1079" s="14" t="s">
        <v>20957</v>
      </c>
      <c r="O1079" s="14" t="s">
        <v>179</v>
      </c>
      <c r="P1079" s="14" t="s">
        <v>20957</v>
      </c>
      <c r="Q1079" s="14" t="s">
        <v>179</v>
      </c>
      <c r="R1079" s="14" t="s">
        <v>20958</v>
      </c>
      <c r="S1079" s="14" t="s">
        <v>179</v>
      </c>
      <c r="T1079" s="14" t="s">
        <v>20958</v>
      </c>
      <c r="U1079" s="14" t="s">
        <v>179</v>
      </c>
      <c r="V1079" s="14" t="s">
        <v>20959</v>
      </c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  <c r="AN1079" s="15"/>
      <c r="AO1079" s="15"/>
      <c r="AP1079" s="15"/>
      <c r="AQ1079" s="15"/>
      <c r="AR1079" s="15"/>
      <c r="AS1079" s="15"/>
      <c r="AT1079" s="15"/>
      <c r="AU1079" s="15"/>
      <c r="AV1079" s="15"/>
      <c r="AW1079" s="15"/>
      <c r="AX1079" s="15"/>
      <c r="AY1079" s="15"/>
      <c r="AZ1079" s="15"/>
      <c r="BA1079" s="15"/>
      <c r="BB1079" s="15"/>
      <c r="BC1079" s="15"/>
      <c r="BD1079" s="15"/>
      <c r="BE1079" s="15"/>
      <c r="BF1079" s="15"/>
      <c r="BG1079" s="15"/>
      <c r="BH1079" s="15"/>
      <c r="BI1079" s="15"/>
      <c r="BJ1079" s="15"/>
      <c r="BK1079" s="15"/>
      <c r="BL1079" s="15"/>
      <c r="BM1079" s="15"/>
      <c r="BN1079" s="15"/>
      <c r="BO1079" s="16" t="s">
        <v>197</v>
      </c>
      <c r="BP1079" s="17" t="s">
        <v>228</v>
      </c>
      <c r="BQ1079" s="23"/>
      <c r="BR1079" s="17" t="s">
        <v>198</v>
      </c>
      <c r="BS1079" s="18">
        <v>45696.401875</v>
      </c>
      <c r="BT1079" s="17" t="s">
        <v>198</v>
      </c>
      <c r="BU1079" s="18">
        <v>45696.401875</v>
      </c>
      <c r="BV1079" s="13" t="s">
        <v>199</v>
      </c>
      <c r="BW1079" s="14" t="s">
        <v>179</v>
      </c>
      <c r="BX1079" s="14" t="s">
        <v>20960</v>
      </c>
      <c r="BY1079" s="14" t="s">
        <v>179</v>
      </c>
      <c r="BZ1079" s="14" t="s">
        <v>20961</v>
      </c>
      <c r="CA1079" s="15"/>
      <c r="CB1079" s="15"/>
      <c r="CC1079" s="15"/>
      <c r="CD1079" s="15"/>
      <c r="CE1079" s="15"/>
      <c r="CF1079" s="15"/>
      <c r="CG1079" s="19"/>
      <c r="CH1079" s="15"/>
      <c r="CI1079" s="19"/>
      <c r="CJ1079" s="15"/>
      <c r="CK1079" s="19"/>
      <c r="CL1079" s="15"/>
      <c r="CM1079" s="19"/>
      <c r="CN1079" s="15"/>
      <c r="CO1079" s="19"/>
      <c r="CP1079" s="15"/>
      <c r="CQ1079" s="15"/>
      <c r="CR1079" s="15"/>
      <c r="CS1079" s="19"/>
      <c r="CT1079" s="15"/>
      <c r="CU1079" s="19"/>
      <c r="CV1079" s="15"/>
      <c r="CW1079" s="19"/>
      <c r="CX1079" s="15"/>
      <c r="CY1079" s="19"/>
      <c r="CZ1079" s="15"/>
      <c r="DA1079" s="16" t="s">
        <v>197</v>
      </c>
      <c r="DB1079" s="17" t="s">
        <v>228</v>
      </c>
      <c r="DC1079" s="16"/>
      <c r="DD1079" s="17" t="s">
        <v>198</v>
      </c>
      <c r="DE1079" s="18">
        <v>45696.40195601852</v>
      </c>
      <c r="DF1079" s="17" t="s">
        <v>198</v>
      </c>
      <c r="DG1079" s="18">
        <v>45696.40195601852</v>
      </c>
      <c r="DH1079" s="13" t="s">
        <v>205</v>
      </c>
      <c r="DI1079" s="14" t="s">
        <v>179</v>
      </c>
      <c r="DJ1079" s="14" t="s">
        <v>20962</v>
      </c>
      <c r="DK1079" s="15"/>
      <c r="DL1079" s="15"/>
      <c r="DM1079" s="15"/>
      <c r="DN1079" s="15"/>
      <c r="DO1079" s="15"/>
      <c r="DP1079" s="15"/>
      <c r="DQ1079" s="15"/>
      <c r="DR1079" s="15"/>
      <c r="DS1079" s="15"/>
      <c r="DT1079" s="15"/>
      <c r="DU1079" s="15"/>
      <c r="DV1079" s="15"/>
      <c r="DW1079" s="15"/>
      <c r="DX1079" s="15"/>
      <c r="DY1079" s="15"/>
      <c r="DZ1079" s="15"/>
      <c r="EA1079" s="15"/>
      <c r="EB1079" s="15"/>
      <c r="EC1079" s="16" t="s">
        <v>197</v>
      </c>
      <c r="ED1079" s="17" t="s">
        <v>198</v>
      </c>
      <c r="EE1079" s="18">
        <v>45703.47622685185</v>
      </c>
      <c r="EF1079" s="13" t="s">
        <v>209</v>
      </c>
      <c r="EG1079" s="14" t="s">
        <v>179</v>
      </c>
      <c r="EH1079" s="14" t="s">
        <v>20963</v>
      </c>
      <c r="EI1079" s="15"/>
      <c r="EJ1079" s="15"/>
      <c r="EK1079" s="15"/>
      <c r="EL1079" s="15"/>
      <c r="EM1079" s="15"/>
      <c r="EN1079" s="15"/>
      <c r="EO1079" s="15"/>
      <c r="EP1079" s="15"/>
      <c r="EQ1079" s="15"/>
      <c r="ER1079" s="15"/>
      <c r="ES1079" s="15"/>
      <c r="ET1079" s="15"/>
      <c r="EU1079" s="15"/>
      <c r="EV1079" s="15"/>
      <c r="EW1079" s="15"/>
      <c r="EX1079" s="15"/>
      <c r="EY1079" s="15"/>
      <c r="EZ1079" s="15"/>
      <c r="FA1079" s="15"/>
      <c r="FB1079" s="15"/>
      <c r="FC1079" s="16" t="s">
        <v>197</v>
      </c>
      <c r="FD1079" s="17" t="s">
        <v>198</v>
      </c>
      <c r="FE1079" s="18">
        <v>45720.343252314815</v>
      </c>
      <c r="FF1079" s="14" t="s">
        <v>20964</v>
      </c>
      <c r="FG1079" s="19"/>
      <c r="FH1079" s="17" t="s">
        <v>198</v>
      </c>
      <c r="FI1079" s="17" t="s">
        <v>214</v>
      </c>
      <c r="FJ1079" s="18">
        <v>45720.343252314815</v>
      </c>
      <c r="FK1079" s="14" t="s">
        <v>20963</v>
      </c>
      <c r="FL1079" s="14" t="s">
        <v>20965</v>
      </c>
      <c r="FM1079" s="14" t="s">
        <v>20966</v>
      </c>
      <c r="FN1079" s="19"/>
      <c r="FO1079" s="19"/>
      <c r="FP1079" s="19" t="str">
        <f t="shared" si="1"/>
        <v>Base de Dados_Images/XV65023.Imagem do Equipamento-.180611.jpg</v>
      </c>
      <c r="FQ1079" s="19"/>
      <c r="FR1079" s="19"/>
    </row>
    <row r="1080" ht="15.75" customHeight="1">
      <c r="A1080" s="12" t="s">
        <v>234</v>
      </c>
      <c r="B1080" s="12" t="s">
        <v>2743</v>
      </c>
      <c r="C1080" s="12" t="s">
        <v>219</v>
      </c>
      <c r="D1080" s="22" t="s">
        <v>20967</v>
      </c>
      <c r="E1080" s="22" t="s">
        <v>20968</v>
      </c>
      <c r="F1080" s="13" t="s">
        <v>178</v>
      </c>
      <c r="G1080" s="14" t="s">
        <v>179</v>
      </c>
      <c r="H1080" s="14" t="s">
        <v>20969</v>
      </c>
      <c r="I1080" s="14" t="s">
        <v>179</v>
      </c>
      <c r="J1080" s="14" t="s">
        <v>20970</v>
      </c>
      <c r="K1080" s="14" t="s">
        <v>179</v>
      </c>
      <c r="L1080" s="14" t="s">
        <v>20971</v>
      </c>
      <c r="M1080" s="14" t="s">
        <v>179</v>
      </c>
      <c r="N1080" s="14" t="s">
        <v>20972</v>
      </c>
      <c r="O1080" s="14" t="s">
        <v>179</v>
      </c>
      <c r="P1080" s="14" t="s">
        <v>20973</v>
      </c>
      <c r="Q1080" s="14" t="s">
        <v>179</v>
      </c>
      <c r="R1080" s="14" t="s">
        <v>20974</v>
      </c>
      <c r="S1080" s="14" t="s">
        <v>179</v>
      </c>
      <c r="T1080" s="14" t="s">
        <v>20975</v>
      </c>
      <c r="U1080" s="14" t="s">
        <v>179</v>
      </c>
      <c r="V1080" s="14" t="s">
        <v>20976</v>
      </c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5"/>
      <c r="AX1080" s="15"/>
      <c r="AY1080" s="15"/>
      <c r="AZ1080" s="15"/>
      <c r="BA1080" s="15"/>
      <c r="BB1080" s="15"/>
      <c r="BC1080" s="15"/>
      <c r="BD1080" s="15"/>
      <c r="BE1080" s="15"/>
      <c r="BF1080" s="15"/>
      <c r="BG1080" s="15"/>
      <c r="BH1080" s="15"/>
      <c r="BI1080" s="15"/>
      <c r="BJ1080" s="15"/>
      <c r="BK1080" s="15"/>
      <c r="BL1080" s="15"/>
      <c r="BM1080" s="15"/>
      <c r="BN1080" s="15"/>
      <c r="BO1080" s="16" t="s">
        <v>197</v>
      </c>
      <c r="BP1080" s="17" t="s">
        <v>228</v>
      </c>
      <c r="BQ1080" s="23"/>
      <c r="BR1080" s="17" t="s">
        <v>198</v>
      </c>
      <c r="BS1080" s="18">
        <v>45694.61738425926</v>
      </c>
      <c r="BT1080" s="17" t="s">
        <v>198</v>
      </c>
      <c r="BU1080" s="18">
        <v>45694.61738425926</v>
      </c>
      <c r="BV1080" s="13" t="s">
        <v>199</v>
      </c>
      <c r="BW1080" s="14" t="s">
        <v>179</v>
      </c>
      <c r="BX1080" s="14" t="s">
        <v>20977</v>
      </c>
      <c r="BY1080" s="14" t="s">
        <v>179</v>
      </c>
      <c r="BZ1080" s="14" t="s">
        <v>20978</v>
      </c>
      <c r="CA1080" s="15"/>
      <c r="CB1080" s="15"/>
      <c r="CC1080" s="15"/>
      <c r="CD1080" s="15"/>
      <c r="CE1080" s="15"/>
      <c r="CF1080" s="15"/>
      <c r="CG1080" s="19"/>
      <c r="CH1080" s="15"/>
      <c r="CI1080" s="19"/>
      <c r="CJ1080" s="15"/>
      <c r="CK1080" s="19"/>
      <c r="CL1080" s="15"/>
      <c r="CM1080" s="19"/>
      <c r="CN1080" s="15"/>
      <c r="CO1080" s="19"/>
      <c r="CP1080" s="15"/>
      <c r="CQ1080" s="15"/>
      <c r="CR1080" s="15"/>
      <c r="CS1080" s="19"/>
      <c r="CT1080" s="15"/>
      <c r="CU1080" s="19"/>
      <c r="CV1080" s="15"/>
      <c r="CW1080" s="19"/>
      <c r="CX1080" s="15"/>
      <c r="CY1080" s="19"/>
      <c r="CZ1080" s="15"/>
      <c r="DA1080" s="16" t="s">
        <v>197</v>
      </c>
      <c r="DB1080" s="17" t="s">
        <v>228</v>
      </c>
      <c r="DC1080" s="16"/>
      <c r="DD1080" s="17" t="s">
        <v>198</v>
      </c>
      <c r="DE1080" s="18">
        <v>45696.40212962963</v>
      </c>
      <c r="DF1080" s="17" t="s">
        <v>198</v>
      </c>
      <c r="DG1080" s="18">
        <v>45696.40212962963</v>
      </c>
      <c r="DH1080" s="13" t="s">
        <v>205</v>
      </c>
      <c r="DI1080" s="14" t="s">
        <v>179</v>
      </c>
      <c r="DJ1080" s="14" t="s">
        <v>20979</v>
      </c>
      <c r="DK1080" s="15"/>
      <c r="DL1080" s="15"/>
      <c r="DM1080" s="15"/>
      <c r="DN1080" s="15"/>
      <c r="DO1080" s="15"/>
      <c r="DP1080" s="15"/>
      <c r="DQ1080" s="15"/>
      <c r="DR1080" s="15"/>
      <c r="DS1080" s="15"/>
      <c r="DT1080" s="15"/>
      <c r="DU1080" s="15"/>
      <c r="DV1080" s="15"/>
      <c r="DW1080" s="15"/>
      <c r="DX1080" s="15"/>
      <c r="DY1080" s="15"/>
      <c r="DZ1080" s="15"/>
      <c r="EA1080" s="15"/>
      <c r="EB1080" s="15"/>
      <c r="EC1080" s="16" t="s">
        <v>197</v>
      </c>
      <c r="ED1080" s="17" t="s">
        <v>198</v>
      </c>
      <c r="EE1080" s="18">
        <v>45703.47634259259</v>
      </c>
      <c r="EF1080" s="13" t="s">
        <v>209</v>
      </c>
      <c r="EG1080" s="14" t="s">
        <v>179</v>
      </c>
      <c r="EH1080" s="14" t="s">
        <v>20980</v>
      </c>
      <c r="EI1080" s="15"/>
      <c r="EJ1080" s="15"/>
      <c r="EK1080" s="15"/>
      <c r="EL1080" s="15"/>
      <c r="EM1080" s="15"/>
      <c r="EN1080" s="15"/>
      <c r="EO1080" s="15"/>
      <c r="EP1080" s="15"/>
      <c r="EQ1080" s="15"/>
      <c r="ER1080" s="15"/>
      <c r="ES1080" s="15"/>
      <c r="ET1080" s="15"/>
      <c r="EU1080" s="15"/>
      <c r="EV1080" s="15"/>
      <c r="EW1080" s="15"/>
      <c r="EX1080" s="15"/>
      <c r="EY1080" s="15"/>
      <c r="EZ1080" s="15"/>
      <c r="FA1080" s="15"/>
      <c r="FB1080" s="15"/>
      <c r="FC1080" s="16" t="s">
        <v>197</v>
      </c>
      <c r="FD1080" s="17" t="s">
        <v>198</v>
      </c>
      <c r="FE1080" s="18">
        <v>45720.34333333333</v>
      </c>
      <c r="FF1080" s="19"/>
      <c r="FG1080" s="19"/>
      <c r="FH1080" s="21" t="s">
        <v>197</v>
      </c>
      <c r="FI1080" s="17" t="s">
        <v>214</v>
      </c>
      <c r="FJ1080" s="18">
        <v>45720.34333333333</v>
      </c>
      <c r="FK1080" s="14" t="s">
        <v>20980</v>
      </c>
      <c r="FL1080" s="14" t="s">
        <v>20981</v>
      </c>
      <c r="FM1080" s="14" t="s">
        <v>20982</v>
      </c>
      <c r="FN1080" s="19"/>
      <c r="FO1080" s="19"/>
      <c r="FP1080" s="19" t="str">
        <f t="shared" si="1"/>
        <v>Base de Dados_Images/XV65024.Imagem do Equipamento-.133715.jpg</v>
      </c>
      <c r="FQ1080" s="19"/>
      <c r="FR1080" s="19"/>
    </row>
    <row r="1081" ht="15.75" customHeight="1">
      <c r="A1081" s="12" t="s">
        <v>234</v>
      </c>
      <c r="B1081" s="12" t="s">
        <v>2779</v>
      </c>
      <c r="C1081" s="12" t="s">
        <v>219</v>
      </c>
      <c r="D1081" s="22" t="s">
        <v>20983</v>
      </c>
      <c r="E1081" s="22" t="s">
        <v>20984</v>
      </c>
      <c r="F1081" s="13" t="s">
        <v>178</v>
      </c>
      <c r="G1081" s="14" t="s">
        <v>179</v>
      </c>
      <c r="H1081" s="14" t="s">
        <v>20985</v>
      </c>
      <c r="I1081" s="14" t="s">
        <v>179</v>
      </c>
      <c r="J1081" s="14" t="s">
        <v>20986</v>
      </c>
      <c r="K1081" s="14" t="s">
        <v>179</v>
      </c>
      <c r="L1081" s="14" t="s">
        <v>20985</v>
      </c>
      <c r="M1081" s="14" t="s">
        <v>179</v>
      </c>
      <c r="N1081" s="14" t="s">
        <v>20987</v>
      </c>
      <c r="O1081" s="14" t="s">
        <v>179</v>
      </c>
      <c r="P1081" s="14" t="s">
        <v>20988</v>
      </c>
      <c r="Q1081" s="14" t="s">
        <v>179</v>
      </c>
      <c r="R1081" s="14" t="s">
        <v>20988</v>
      </c>
      <c r="S1081" s="14" t="s">
        <v>179</v>
      </c>
      <c r="T1081" s="14" t="s">
        <v>20989</v>
      </c>
      <c r="U1081" s="14" t="s">
        <v>179</v>
      </c>
      <c r="V1081" s="14" t="s">
        <v>20990</v>
      </c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5"/>
      <c r="AX1081" s="15"/>
      <c r="AY1081" s="15"/>
      <c r="AZ1081" s="15"/>
      <c r="BA1081" s="15"/>
      <c r="BB1081" s="15"/>
      <c r="BC1081" s="15"/>
      <c r="BD1081" s="15"/>
      <c r="BE1081" s="15"/>
      <c r="BF1081" s="15"/>
      <c r="BG1081" s="15"/>
      <c r="BH1081" s="15"/>
      <c r="BI1081" s="15"/>
      <c r="BJ1081" s="15"/>
      <c r="BK1081" s="15"/>
      <c r="BL1081" s="15"/>
      <c r="BM1081" s="15"/>
      <c r="BN1081" s="15"/>
      <c r="BO1081" s="16" t="s">
        <v>197</v>
      </c>
      <c r="BP1081" s="17" t="s">
        <v>228</v>
      </c>
      <c r="BQ1081" s="23"/>
      <c r="BR1081" s="17" t="s">
        <v>198</v>
      </c>
      <c r="BS1081" s="18">
        <v>45687.37966435185</v>
      </c>
      <c r="BT1081" s="17" t="s">
        <v>198</v>
      </c>
      <c r="BU1081" s="18">
        <v>45687.37966435185</v>
      </c>
      <c r="BV1081" s="13" t="s">
        <v>199</v>
      </c>
      <c r="BW1081" s="14" t="s">
        <v>179</v>
      </c>
      <c r="BX1081" s="14" t="s">
        <v>20991</v>
      </c>
      <c r="BY1081" s="14" t="s">
        <v>179</v>
      </c>
      <c r="BZ1081" s="14" t="s">
        <v>20992</v>
      </c>
      <c r="CA1081" s="15"/>
      <c r="CB1081" s="15"/>
      <c r="CC1081" s="15"/>
      <c r="CD1081" s="15"/>
      <c r="CE1081" s="15"/>
      <c r="CF1081" s="15"/>
      <c r="CG1081" s="19"/>
      <c r="CH1081" s="15"/>
      <c r="CI1081" s="19"/>
      <c r="CJ1081" s="15"/>
      <c r="CK1081" s="19"/>
      <c r="CL1081" s="15"/>
      <c r="CM1081" s="19"/>
      <c r="CN1081" s="15"/>
      <c r="CO1081" s="19"/>
      <c r="CP1081" s="15"/>
      <c r="CQ1081" s="15"/>
      <c r="CR1081" s="15"/>
      <c r="CS1081" s="19"/>
      <c r="CT1081" s="15"/>
      <c r="CU1081" s="19"/>
      <c r="CV1081" s="15"/>
      <c r="CW1081" s="19"/>
      <c r="CX1081" s="15"/>
      <c r="CY1081" s="19"/>
      <c r="CZ1081" s="15"/>
      <c r="DA1081" s="16" t="s">
        <v>197</v>
      </c>
      <c r="DB1081" s="17" t="s">
        <v>228</v>
      </c>
      <c r="DC1081" s="16"/>
      <c r="DD1081" s="17" t="s">
        <v>198</v>
      </c>
      <c r="DE1081" s="18">
        <v>45696.40883101852</v>
      </c>
      <c r="DF1081" s="17" t="s">
        <v>198</v>
      </c>
      <c r="DG1081" s="18">
        <v>45696.40883101852</v>
      </c>
      <c r="DH1081" s="13" t="s">
        <v>205</v>
      </c>
      <c r="DI1081" s="14" t="s">
        <v>179</v>
      </c>
      <c r="DJ1081" s="14" t="s">
        <v>20993</v>
      </c>
      <c r="DK1081" s="15"/>
      <c r="DL1081" s="15"/>
      <c r="DM1081" s="15"/>
      <c r="DN1081" s="15"/>
      <c r="DO1081" s="15"/>
      <c r="DP1081" s="15"/>
      <c r="DQ1081" s="15"/>
      <c r="DR1081" s="15"/>
      <c r="DS1081" s="15"/>
      <c r="DT1081" s="15"/>
      <c r="DU1081" s="15"/>
      <c r="DV1081" s="15"/>
      <c r="DW1081" s="15"/>
      <c r="DX1081" s="15"/>
      <c r="DY1081" s="15"/>
      <c r="DZ1081" s="15"/>
      <c r="EA1081" s="15"/>
      <c r="EB1081" s="15"/>
      <c r="EC1081" s="16" t="s">
        <v>197</v>
      </c>
      <c r="ED1081" s="17" t="s">
        <v>198</v>
      </c>
      <c r="EE1081" s="18">
        <v>45713.426412037035</v>
      </c>
      <c r="EF1081" s="13" t="s">
        <v>209</v>
      </c>
      <c r="EG1081" s="14" t="s">
        <v>179</v>
      </c>
      <c r="EH1081" s="14" t="s">
        <v>20994</v>
      </c>
      <c r="EI1081" s="15"/>
      <c r="EJ1081" s="15"/>
      <c r="EK1081" s="15"/>
      <c r="EL1081" s="15"/>
      <c r="EM1081" s="15"/>
      <c r="EN1081" s="15"/>
      <c r="EO1081" s="15"/>
      <c r="EP1081" s="15"/>
      <c r="EQ1081" s="15"/>
      <c r="ER1081" s="15"/>
      <c r="ES1081" s="15"/>
      <c r="ET1081" s="15"/>
      <c r="EU1081" s="15"/>
      <c r="EV1081" s="15"/>
      <c r="EW1081" s="15"/>
      <c r="EX1081" s="15"/>
      <c r="EY1081" s="15"/>
      <c r="EZ1081" s="15"/>
      <c r="FA1081" s="15"/>
      <c r="FB1081" s="15"/>
      <c r="FC1081" s="16" t="s">
        <v>197</v>
      </c>
      <c r="FD1081" s="17" t="s">
        <v>198</v>
      </c>
      <c r="FE1081" s="18">
        <v>45720.341145833336</v>
      </c>
      <c r="FF1081" s="19"/>
      <c r="FG1081" s="19"/>
      <c r="FH1081" s="21" t="s">
        <v>197</v>
      </c>
      <c r="FI1081" s="17" t="s">
        <v>214</v>
      </c>
      <c r="FJ1081" s="18">
        <v>45720.341145833336</v>
      </c>
      <c r="FK1081" s="14" t="s">
        <v>20994</v>
      </c>
      <c r="FL1081" s="14" t="s">
        <v>20995</v>
      </c>
      <c r="FM1081" s="14" t="s">
        <v>20996</v>
      </c>
      <c r="FN1081" s="19"/>
      <c r="FO1081" s="19"/>
      <c r="FP1081" s="19" t="str">
        <f t="shared" si="1"/>
        <v>Base de Dados_Images/XV65025.Imagem do Equipamento-.130640.jpg</v>
      </c>
      <c r="FQ1081" s="19"/>
      <c r="FR1081" s="19"/>
    </row>
    <row r="1082" ht="15.75" customHeight="1">
      <c r="A1082" s="12" t="s">
        <v>234</v>
      </c>
      <c r="B1082" s="12" t="s">
        <v>2779</v>
      </c>
      <c r="C1082" s="12" t="s">
        <v>219</v>
      </c>
      <c r="D1082" s="22" t="s">
        <v>20997</v>
      </c>
      <c r="E1082" s="22" t="s">
        <v>20998</v>
      </c>
      <c r="F1082" s="13" t="s">
        <v>178</v>
      </c>
      <c r="G1082" s="14" t="s">
        <v>179</v>
      </c>
      <c r="H1082" s="14" t="s">
        <v>20999</v>
      </c>
      <c r="I1082" s="14" t="s">
        <v>179</v>
      </c>
      <c r="J1082" s="14" t="s">
        <v>21000</v>
      </c>
      <c r="K1082" s="14" t="s">
        <v>179</v>
      </c>
      <c r="L1082" s="14" t="s">
        <v>21001</v>
      </c>
      <c r="M1082" s="14" t="s">
        <v>179</v>
      </c>
      <c r="N1082" s="14" t="s">
        <v>21002</v>
      </c>
      <c r="O1082" s="14" t="s">
        <v>179</v>
      </c>
      <c r="P1082" s="14" t="s">
        <v>21003</v>
      </c>
      <c r="Q1082" s="14" t="s">
        <v>179</v>
      </c>
      <c r="R1082" s="14" t="s">
        <v>21004</v>
      </c>
      <c r="S1082" s="14" t="s">
        <v>179</v>
      </c>
      <c r="T1082" s="14" t="s">
        <v>21005</v>
      </c>
      <c r="U1082" s="14" t="s">
        <v>179</v>
      </c>
      <c r="V1082" s="14" t="s">
        <v>21006</v>
      </c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  <c r="AX1082" s="15"/>
      <c r="AY1082" s="15"/>
      <c r="AZ1082" s="15"/>
      <c r="BA1082" s="15"/>
      <c r="BB1082" s="15"/>
      <c r="BC1082" s="15"/>
      <c r="BD1082" s="15"/>
      <c r="BE1082" s="15"/>
      <c r="BF1082" s="15"/>
      <c r="BG1082" s="15"/>
      <c r="BH1082" s="15"/>
      <c r="BI1082" s="15"/>
      <c r="BJ1082" s="15"/>
      <c r="BK1082" s="15"/>
      <c r="BL1082" s="15"/>
      <c r="BM1082" s="15"/>
      <c r="BN1082" s="15"/>
      <c r="BO1082" s="16" t="s">
        <v>197</v>
      </c>
      <c r="BP1082" s="17" t="s">
        <v>228</v>
      </c>
      <c r="BQ1082" s="23"/>
      <c r="BR1082" s="17" t="s">
        <v>198</v>
      </c>
      <c r="BS1082" s="18">
        <v>45687.38282407408</v>
      </c>
      <c r="BT1082" s="17" t="s">
        <v>198</v>
      </c>
      <c r="BU1082" s="18">
        <v>45687.38282407408</v>
      </c>
      <c r="BV1082" s="13" t="s">
        <v>199</v>
      </c>
      <c r="BW1082" s="14" t="s">
        <v>179</v>
      </c>
      <c r="BX1082" s="14" t="s">
        <v>21007</v>
      </c>
      <c r="BY1082" s="14" t="s">
        <v>179</v>
      </c>
      <c r="BZ1082" s="14" t="s">
        <v>21007</v>
      </c>
      <c r="CA1082" s="15"/>
      <c r="CB1082" s="15"/>
      <c r="CC1082" s="15"/>
      <c r="CD1082" s="15"/>
      <c r="CE1082" s="15"/>
      <c r="CF1082" s="15"/>
      <c r="CG1082" s="19"/>
      <c r="CH1082" s="15"/>
      <c r="CI1082" s="19"/>
      <c r="CJ1082" s="15"/>
      <c r="CK1082" s="19"/>
      <c r="CL1082" s="15"/>
      <c r="CM1082" s="19"/>
      <c r="CN1082" s="15"/>
      <c r="CO1082" s="19"/>
      <c r="CP1082" s="15"/>
      <c r="CQ1082" s="15"/>
      <c r="CR1082" s="15"/>
      <c r="CS1082" s="19"/>
      <c r="CT1082" s="15"/>
      <c r="CU1082" s="19"/>
      <c r="CV1082" s="15"/>
      <c r="CW1082" s="19"/>
      <c r="CX1082" s="15"/>
      <c r="CY1082" s="19"/>
      <c r="CZ1082" s="15"/>
      <c r="DA1082" s="16" t="s">
        <v>197</v>
      </c>
      <c r="DB1082" s="17" t="s">
        <v>228</v>
      </c>
      <c r="DC1082" s="16"/>
      <c r="DD1082" s="17" t="s">
        <v>198</v>
      </c>
      <c r="DE1082" s="18">
        <v>45696.40891203703</v>
      </c>
      <c r="DF1082" s="17" t="s">
        <v>198</v>
      </c>
      <c r="DG1082" s="18">
        <v>45696.40891203703</v>
      </c>
      <c r="DH1082" s="13" t="s">
        <v>205</v>
      </c>
      <c r="DI1082" s="14" t="s">
        <v>179</v>
      </c>
      <c r="DJ1082" s="14" t="s">
        <v>21008</v>
      </c>
      <c r="DK1082" s="15"/>
      <c r="DL1082" s="15"/>
      <c r="DM1082" s="15"/>
      <c r="DN1082" s="15"/>
      <c r="DO1082" s="15"/>
      <c r="DP1082" s="15"/>
      <c r="DQ1082" s="15"/>
      <c r="DR1082" s="15"/>
      <c r="DS1082" s="15"/>
      <c r="DT1082" s="15"/>
      <c r="DU1082" s="15"/>
      <c r="DV1082" s="15"/>
      <c r="DW1082" s="15"/>
      <c r="DX1082" s="15"/>
      <c r="DY1082" s="15"/>
      <c r="DZ1082" s="15"/>
      <c r="EA1082" s="15"/>
      <c r="EB1082" s="15"/>
      <c r="EC1082" s="16" t="s">
        <v>197</v>
      </c>
      <c r="ED1082" s="17" t="s">
        <v>198</v>
      </c>
      <c r="EE1082" s="18">
        <v>45713.426458333335</v>
      </c>
      <c r="EF1082" s="13" t="s">
        <v>209</v>
      </c>
      <c r="EG1082" s="14" t="s">
        <v>179</v>
      </c>
      <c r="EH1082" s="14" t="s">
        <v>21009</v>
      </c>
      <c r="EI1082" s="15"/>
      <c r="EJ1082" s="15"/>
      <c r="EK1082" s="15"/>
      <c r="EL1082" s="15"/>
      <c r="EM1082" s="15"/>
      <c r="EN1082" s="15"/>
      <c r="EO1082" s="15"/>
      <c r="EP1082" s="15"/>
      <c r="EQ1082" s="15"/>
      <c r="ER1082" s="15"/>
      <c r="ES1082" s="15"/>
      <c r="ET1082" s="15"/>
      <c r="EU1082" s="15"/>
      <c r="EV1082" s="15"/>
      <c r="EW1082" s="15"/>
      <c r="EX1082" s="15"/>
      <c r="EY1082" s="15"/>
      <c r="EZ1082" s="15"/>
      <c r="FA1082" s="15"/>
      <c r="FB1082" s="15"/>
      <c r="FC1082" s="16" t="s">
        <v>197</v>
      </c>
      <c r="FD1082" s="17" t="s">
        <v>198</v>
      </c>
      <c r="FE1082" s="18">
        <v>45720.34127314815</v>
      </c>
      <c r="FF1082" s="19"/>
      <c r="FG1082" s="19"/>
      <c r="FH1082" s="21" t="s">
        <v>197</v>
      </c>
      <c r="FI1082" s="17" t="s">
        <v>214</v>
      </c>
      <c r="FJ1082" s="18">
        <v>45720.34127314815</v>
      </c>
      <c r="FK1082" s="14" t="s">
        <v>21009</v>
      </c>
      <c r="FL1082" s="14" t="s">
        <v>21010</v>
      </c>
      <c r="FM1082" s="14" t="s">
        <v>21011</v>
      </c>
      <c r="FN1082" s="19"/>
      <c r="FO1082" s="19"/>
      <c r="FP1082" s="19" t="str">
        <f t="shared" si="1"/>
        <v>Base de Dados_Images/XV65030.Imagem do Equipamento-.130812.jpg</v>
      </c>
      <c r="FQ1082" s="14"/>
      <c r="FR1082" s="14"/>
    </row>
    <row r="1083" ht="15.75" customHeight="1">
      <c r="A1083" s="12" t="s">
        <v>234</v>
      </c>
      <c r="B1083" s="12" t="s">
        <v>2779</v>
      </c>
      <c r="C1083" s="12" t="s">
        <v>219</v>
      </c>
      <c r="D1083" s="22" t="s">
        <v>21012</v>
      </c>
      <c r="E1083" s="22" t="s">
        <v>21013</v>
      </c>
      <c r="F1083" s="13" t="s">
        <v>178</v>
      </c>
      <c r="G1083" s="14" t="s">
        <v>179</v>
      </c>
      <c r="H1083" s="14" t="s">
        <v>21014</v>
      </c>
      <c r="I1083" s="14" t="s">
        <v>179</v>
      </c>
      <c r="J1083" s="14" t="s">
        <v>21015</v>
      </c>
      <c r="K1083" s="14" t="s">
        <v>179</v>
      </c>
      <c r="L1083" s="14" t="s">
        <v>21016</v>
      </c>
      <c r="M1083" s="14" t="s">
        <v>179</v>
      </c>
      <c r="N1083" s="14" t="s">
        <v>21017</v>
      </c>
      <c r="O1083" s="14" t="s">
        <v>179</v>
      </c>
      <c r="P1083" s="14" t="s">
        <v>21018</v>
      </c>
      <c r="Q1083" s="14" t="s">
        <v>179</v>
      </c>
      <c r="R1083" s="14" t="s">
        <v>21019</v>
      </c>
      <c r="S1083" s="14" t="s">
        <v>179</v>
      </c>
      <c r="T1083" s="14" t="s">
        <v>21020</v>
      </c>
      <c r="U1083" s="14" t="s">
        <v>179</v>
      </c>
      <c r="V1083" s="14" t="s">
        <v>21021</v>
      </c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  <c r="AX1083" s="15"/>
      <c r="AY1083" s="15"/>
      <c r="AZ1083" s="15"/>
      <c r="BA1083" s="15"/>
      <c r="BB1083" s="15"/>
      <c r="BC1083" s="15"/>
      <c r="BD1083" s="15"/>
      <c r="BE1083" s="15"/>
      <c r="BF1083" s="15"/>
      <c r="BG1083" s="15"/>
      <c r="BH1083" s="15"/>
      <c r="BI1083" s="15"/>
      <c r="BJ1083" s="15"/>
      <c r="BK1083" s="15"/>
      <c r="BL1083" s="15"/>
      <c r="BM1083" s="15"/>
      <c r="BN1083" s="15"/>
      <c r="BO1083" s="16" t="s">
        <v>197</v>
      </c>
      <c r="BP1083" s="17" t="s">
        <v>228</v>
      </c>
      <c r="BQ1083" s="23"/>
      <c r="BR1083" s="17" t="s">
        <v>198</v>
      </c>
      <c r="BS1083" s="18">
        <v>45694.36331018519</v>
      </c>
      <c r="BT1083" s="17" t="s">
        <v>198</v>
      </c>
      <c r="BU1083" s="18">
        <v>45694.36331018519</v>
      </c>
      <c r="BV1083" s="13" t="s">
        <v>199</v>
      </c>
      <c r="BW1083" s="14" t="s">
        <v>179</v>
      </c>
      <c r="BX1083" s="14" t="s">
        <v>21022</v>
      </c>
      <c r="BY1083" s="14" t="s">
        <v>179</v>
      </c>
      <c r="BZ1083" s="14" t="s">
        <v>21023</v>
      </c>
      <c r="CA1083" s="15"/>
      <c r="CB1083" s="15"/>
      <c r="CC1083" s="15"/>
      <c r="CD1083" s="15"/>
      <c r="CE1083" s="15"/>
      <c r="CF1083" s="15"/>
      <c r="CG1083" s="19"/>
      <c r="CH1083" s="15"/>
      <c r="CI1083" s="19"/>
      <c r="CJ1083" s="15"/>
      <c r="CK1083" s="19"/>
      <c r="CL1083" s="15"/>
      <c r="CM1083" s="19"/>
      <c r="CN1083" s="15"/>
      <c r="CO1083" s="19"/>
      <c r="CP1083" s="15"/>
      <c r="CQ1083" s="15"/>
      <c r="CR1083" s="15"/>
      <c r="CS1083" s="19"/>
      <c r="CT1083" s="15"/>
      <c r="CU1083" s="19"/>
      <c r="CV1083" s="15"/>
      <c r="CW1083" s="19"/>
      <c r="CX1083" s="15"/>
      <c r="CY1083" s="19"/>
      <c r="CZ1083" s="15"/>
      <c r="DA1083" s="16" t="s">
        <v>197</v>
      </c>
      <c r="DB1083" s="17" t="s">
        <v>228</v>
      </c>
      <c r="DC1083" s="16"/>
      <c r="DD1083" s="17" t="s">
        <v>198</v>
      </c>
      <c r="DE1083" s="18">
        <v>45696.41006944444</v>
      </c>
      <c r="DF1083" s="17" t="s">
        <v>198</v>
      </c>
      <c r="DG1083" s="18">
        <v>45696.41006944444</v>
      </c>
      <c r="DH1083" s="13" t="s">
        <v>205</v>
      </c>
      <c r="DI1083" s="14" t="s">
        <v>179</v>
      </c>
      <c r="DJ1083" s="14" t="s">
        <v>21024</v>
      </c>
      <c r="DK1083" s="15"/>
      <c r="DL1083" s="15"/>
      <c r="DM1083" s="15"/>
      <c r="DN1083" s="15"/>
      <c r="DO1083" s="15"/>
      <c r="DP1083" s="15"/>
      <c r="DQ1083" s="15"/>
      <c r="DR1083" s="15"/>
      <c r="DS1083" s="15"/>
      <c r="DT1083" s="15"/>
      <c r="DU1083" s="15"/>
      <c r="DV1083" s="15"/>
      <c r="DW1083" s="15"/>
      <c r="DX1083" s="15"/>
      <c r="DY1083" s="15"/>
      <c r="DZ1083" s="15"/>
      <c r="EA1083" s="15"/>
      <c r="EB1083" s="15"/>
      <c r="EC1083" s="16" t="s">
        <v>197</v>
      </c>
      <c r="ED1083" s="17" t="s">
        <v>198</v>
      </c>
      <c r="EE1083" s="18">
        <v>45713.426516203705</v>
      </c>
      <c r="EF1083" s="13" t="s">
        <v>209</v>
      </c>
      <c r="EG1083" s="14" t="s">
        <v>179</v>
      </c>
      <c r="EH1083" s="14" t="s">
        <v>21025</v>
      </c>
      <c r="EI1083" s="15"/>
      <c r="EJ1083" s="15"/>
      <c r="EK1083" s="15"/>
      <c r="EL1083" s="15"/>
      <c r="EM1083" s="15"/>
      <c r="EN1083" s="15"/>
      <c r="EO1083" s="15"/>
      <c r="EP1083" s="15"/>
      <c r="EQ1083" s="15"/>
      <c r="ER1083" s="15"/>
      <c r="ES1083" s="15"/>
      <c r="ET1083" s="15"/>
      <c r="EU1083" s="15"/>
      <c r="EV1083" s="15"/>
      <c r="EW1083" s="15"/>
      <c r="EX1083" s="15"/>
      <c r="EY1083" s="15"/>
      <c r="EZ1083" s="15"/>
      <c r="FA1083" s="15"/>
      <c r="FB1083" s="15"/>
      <c r="FC1083" s="16" t="s">
        <v>197</v>
      </c>
      <c r="FD1083" s="17" t="s">
        <v>198</v>
      </c>
      <c r="FE1083" s="18">
        <v>45720.34133101852</v>
      </c>
      <c r="FF1083" s="19"/>
      <c r="FG1083" s="19"/>
      <c r="FH1083" s="21" t="s">
        <v>197</v>
      </c>
      <c r="FI1083" s="17" t="s">
        <v>214</v>
      </c>
      <c r="FJ1083" s="18">
        <v>45720.34133101852</v>
      </c>
      <c r="FK1083" s="14" t="s">
        <v>21025</v>
      </c>
      <c r="FL1083" s="14" t="s">
        <v>21026</v>
      </c>
      <c r="FM1083" s="14" t="s">
        <v>21027</v>
      </c>
      <c r="FN1083" s="19"/>
      <c r="FO1083" s="19"/>
      <c r="FP1083" s="19" t="str">
        <f t="shared" si="1"/>
        <v>Base de Dados_Images/XV65031.Imagem do Equipamento-.174214.jpg</v>
      </c>
      <c r="FQ1083" s="14"/>
      <c r="FR1083" s="14"/>
    </row>
    <row r="1084" ht="15.75" customHeight="1">
      <c r="A1084" s="12" t="s">
        <v>234</v>
      </c>
      <c r="B1084" s="12" t="s">
        <v>2779</v>
      </c>
      <c r="C1084" s="12" t="s">
        <v>219</v>
      </c>
      <c r="D1084" s="22" t="s">
        <v>21028</v>
      </c>
      <c r="E1084" s="22" t="s">
        <v>21029</v>
      </c>
      <c r="F1084" s="13" t="s">
        <v>178</v>
      </c>
      <c r="G1084" s="14" t="s">
        <v>179</v>
      </c>
      <c r="H1084" s="14" t="s">
        <v>21030</v>
      </c>
      <c r="I1084" s="14" t="s">
        <v>179</v>
      </c>
      <c r="J1084" s="14" t="s">
        <v>21031</v>
      </c>
      <c r="K1084" s="14" t="s">
        <v>179</v>
      </c>
      <c r="L1084" s="14" t="s">
        <v>21032</v>
      </c>
      <c r="M1084" s="14" t="s">
        <v>179</v>
      </c>
      <c r="N1084" s="14" t="s">
        <v>21033</v>
      </c>
      <c r="O1084" s="14" t="s">
        <v>179</v>
      </c>
      <c r="P1084" s="14" t="s">
        <v>21034</v>
      </c>
      <c r="Q1084" s="14" t="s">
        <v>179</v>
      </c>
      <c r="R1084" s="14" t="s">
        <v>21035</v>
      </c>
      <c r="S1084" s="14" t="s">
        <v>179</v>
      </c>
      <c r="T1084" s="14" t="s">
        <v>21035</v>
      </c>
      <c r="U1084" s="14" t="s">
        <v>179</v>
      </c>
      <c r="V1084" s="14" t="s">
        <v>21036</v>
      </c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  <c r="AV1084" s="15"/>
      <c r="AW1084" s="15"/>
      <c r="AX1084" s="15"/>
      <c r="AY1084" s="15"/>
      <c r="AZ1084" s="15"/>
      <c r="BA1084" s="15"/>
      <c r="BB1084" s="15"/>
      <c r="BC1084" s="15"/>
      <c r="BD1084" s="15"/>
      <c r="BE1084" s="15"/>
      <c r="BF1084" s="15"/>
      <c r="BG1084" s="15"/>
      <c r="BH1084" s="15"/>
      <c r="BI1084" s="15"/>
      <c r="BJ1084" s="15"/>
      <c r="BK1084" s="15"/>
      <c r="BL1084" s="15"/>
      <c r="BM1084" s="15"/>
      <c r="BN1084" s="15"/>
      <c r="BO1084" s="16" t="s">
        <v>197</v>
      </c>
      <c r="BP1084" s="17" t="s">
        <v>228</v>
      </c>
      <c r="BQ1084" s="23"/>
      <c r="BR1084" s="17" t="s">
        <v>198</v>
      </c>
      <c r="BS1084" s="18">
        <v>45687.379270833335</v>
      </c>
      <c r="BT1084" s="17" t="s">
        <v>198</v>
      </c>
      <c r="BU1084" s="18">
        <v>45687.379270833335</v>
      </c>
      <c r="BV1084" s="13" t="s">
        <v>199</v>
      </c>
      <c r="BW1084" s="14" t="s">
        <v>179</v>
      </c>
      <c r="BX1084" s="14" t="s">
        <v>21037</v>
      </c>
      <c r="BY1084" s="14" t="s">
        <v>179</v>
      </c>
      <c r="BZ1084" s="14" t="s">
        <v>21038</v>
      </c>
      <c r="CA1084" s="15"/>
      <c r="CB1084" s="15"/>
      <c r="CC1084" s="15"/>
      <c r="CD1084" s="15"/>
      <c r="CE1084" s="15"/>
      <c r="CF1084" s="15"/>
      <c r="CG1084" s="19"/>
      <c r="CH1084" s="15"/>
      <c r="CI1084" s="19"/>
      <c r="CJ1084" s="15"/>
      <c r="CK1084" s="19"/>
      <c r="CL1084" s="15"/>
      <c r="CM1084" s="19"/>
      <c r="CN1084" s="15"/>
      <c r="CO1084" s="19"/>
      <c r="CP1084" s="15"/>
      <c r="CQ1084" s="15"/>
      <c r="CR1084" s="15"/>
      <c r="CS1084" s="19"/>
      <c r="CT1084" s="15"/>
      <c r="CU1084" s="19"/>
      <c r="CV1084" s="15"/>
      <c r="CW1084" s="19"/>
      <c r="CX1084" s="15"/>
      <c r="CY1084" s="19"/>
      <c r="CZ1084" s="15"/>
      <c r="DA1084" s="16" t="s">
        <v>197</v>
      </c>
      <c r="DB1084" s="17" t="s">
        <v>228</v>
      </c>
      <c r="DC1084" s="16"/>
      <c r="DD1084" s="17" t="s">
        <v>198</v>
      </c>
      <c r="DE1084" s="18">
        <v>45696.403402777774</v>
      </c>
      <c r="DF1084" s="17" t="s">
        <v>198</v>
      </c>
      <c r="DG1084" s="18">
        <v>45696.403402777774</v>
      </c>
      <c r="DH1084" s="13" t="s">
        <v>205</v>
      </c>
      <c r="DI1084" s="14" t="s">
        <v>179</v>
      </c>
      <c r="DJ1084" s="14" t="s">
        <v>21039</v>
      </c>
      <c r="DK1084" s="15"/>
      <c r="DL1084" s="15"/>
      <c r="DM1084" s="15"/>
      <c r="DN1084" s="15"/>
      <c r="DO1084" s="15"/>
      <c r="DP1084" s="15"/>
      <c r="DQ1084" s="15"/>
      <c r="DR1084" s="15"/>
      <c r="DS1084" s="15"/>
      <c r="DT1084" s="15"/>
      <c r="DU1084" s="15"/>
      <c r="DV1084" s="15"/>
      <c r="DW1084" s="15"/>
      <c r="DX1084" s="15"/>
      <c r="DY1084" s="15"/>
      <c r="DZ1084" s="15"/>
      <c r="EA1084" s="15"/>
      <c r="EB1084" s="15"/>
      <c r="EC1084" s="16" t="s">
        <v>197</v>
      </c>
      <c r="ED1084" s="17" t="s">
        <v>198</v>
      </c>
      <c r="EE1084" s="18">
        <v>45713.4265625</v>
      </c>
      <c r="EF1084" s="13" t="s">
        <v>209</v>
      </c>
      <c r="EG1084" s="14" t="s">
        <v>179</v>
      </c>
      <c r="EH1084" s="14" t="s">
        <v>21040</v>
      </c>
      <c r="EI1084" s="15"/>
      <c r="EJ1084" s="15"/>
      <c r="EK1084" s="15"/>
      <c r="EL1084" s="15"/>
      <c r="EM1084" s="15"/>
      <c r="EN1084" s="15"/>
      <c r="EO1084" s="15"/>
      <c r="EP1084" s="15"/>
      <c r="EQ1084" s="15"/>
      <c r="ER1084" s="15"/>
      <c r="ES1084" s="15"/>
      <c r="ET1084" s="15"/>
      <c r="EU1084" s="15"/>
      <c r="EV1084" s="15"/>
      <c r="EW1084" s="15"/>
      <c r="EX1084" s="15"/>
      <c r="EY1084" s="15"/>
      <c r="EZ1084" s="15"/>
      <c r="FA1084" s="15"/>
      <c r="FB1084" s="15"/>
      <c r="FC1084" s="16" t="s">
        <v>197</v>
      </c>
      <c r="FD1084" s="17" t="s">
        <v>198</v>
      </c>
      <c r="FE1084" s="18">
        <v>45720.341678240744</v>
      </c>
      <c r="FF1084" s="19"/>
      <c r="FG1084" s="19"/>
      <c r="FH1084" s="21" t="s">
        <v>197</v>
      </c>
      <c r="FI1084" s="17" t="s">
        <v>214</v>
      </c>
      <c r="FJ1084" s="18">
        <v>45720.341678240744</v>
      </c>
      <c r="FK1084" s="14" t="s">
        <v>21040</v>
      </c>
      <c r="FL1084" s="14" t="s">
        <v>21041</v>
      </c>
      <c r="FM1084" s="14" t="s">
        <v>21042</v>
      </c>
      <c r="FN1084" s="19"/>
      <c r="FO1084" s="19"/>
      <c r="FP1084" s="19" t="str">
        <f t="shared" si="1"/>
        <v>Base de Dados_Images/XV65032.Imagem do Equipamento-.130601.jpg</v>
      </c>
      <c r="FQ1084" s="19"/>
      <c r="FR1084" s="19"/>
    </row>
    <row r="1085" ht="15.75" customHeight="1">
      <c r="A1085" s="12" t="s">
        <v>234</v>
      </c>
      <c r="B1085" s="12" t="s">
        <v>2779</v>
      </c>
      <c r="C1085" s="12" t="s">
        <v>219</v>
      </c>
      <c r="D1085" s="22" t="s">
        <v>21043</v>
      </c>
      <c r="E1085" s="22" t="s">
        <v>21044</v>
      </c>
      <c r="F1085" s="13" t="s">
        <v>178</v>
      </c>
      <c r="G1085" s="14" t="s">
        <v>179</v>
      </c>
      <c r="H1085" s="14" t="s">
        <v>21045</v>
      </c>
      <c r="I1085" s="14" t="s">
        <v>179</v>
      </c>
      <c r="J1085" s="14" t="s">
        <v>21046</v>
      </c>
      <c r="K1085" s="14" t="s">
        <v>179</v>
      </c>
      <c r="L1085" s="14" t="s">
        <v>21046</v>
      </c>
      <c r="M1085" s="14" t="s">
        <v>179</v>
      </c>
      <c r="N1085" s="14" t="s">
        <v>21047</v>
      </c>
      <c r="O1085" s="14" t="s">
        <v>179</v>
      </c>
      <c r="P1085" s="14" t="s">
        <v>21048</v>
      </c>
      <c r="Q1085" s="14" t="s">
        <v>179</v>
      </c>
      <c r="R1085" s="14" t="s">
        <v>21049</v>
      </c>
      <c r="S1085" s="14" t="s">
        <v>179</v>
      </c>
      <c r="T1085" s="14" t="s">
        <v>21050</v>
      </c>
      <c r="U1085" s="14" t="s">
        <v>179</v>
      </c>
      <c r="V1085" s="14" t="s">
        <v>21051</v>
      </c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  <c r="BD1085" s="15"/>
      <c r="BE1085" s="15"/>
      <c r="BF1085" s="15"/>
      <c r="BG1085" s="15"/>
      <c r="BH1085" s="15"/>
      <c r="BI1085" s="15"/>
      <c r="BJ1085" s="15"/>
      <c r="BK1085" s="15"/>
      <c r="BL1085" s="15"/>
      <c r="BM1085" s="15"/>
      <c r="BN1085" s="15"/>
      <c r="BO1085" s="16" t="s">
        <v>197</v>
      </c>
      <c r="BP1085" s="17" t="s">
        <v>228</v>
      </c>
      <c r="BQ1085" s="23"/>
      <c r="BR1085" s="17" t="s">
        <v>198</v>
      </c>
      <c r="BS1085" s="18">
        <v>45678.33766203704</v>
      </c>
      <c r="BT1085" s="17" t="s">
        <v>198</v>
      </c>
      <c r="BU1085" s="18">
        <v>45678.33766203704</v>
      </c>
      <c r="BV1085" s="13" t="s">
        <v>199</v>
      </c>
      <c r="BW1085" s="14" t="s">
        <v>179</v>
      </c>
      <c r="BX1085" s="14" t="s">
        <v>21052</v>
      </c>
      <c r="BY1085" s="14" t="s">
        <v>179</v>
      </c>
      <c r="BZ1085" s="14" t="s">
        <v>21052</v>
      </c>
      <c r="CA1085" s="15"/>
      <c r="CB1085" s="15"/>
      <c r="CC1085" s="15"/>
      <c r="CD1085" s="15"/>
      <c r="CE1085" s="15"/>
      <c r="CF1085" s="15"/>
      <c r="CG1085" s="19"/>
      <c r="CH1085" s="15"/>
      <c r="CI1085" s="19"/>
      <c r="CJ1085" s="15"/>
      <c r="CK1085" s="19"/>
      <c r="CL1085" s="15"/>
      <c r="CM1085" s="19"/>
      <c r="CN1085" s="15"/>
      <c r="CO1085" s="19"/>
      <c r="CP1085" s="15"/>
      <c r="CQ1085" s="15"/>
      <c r="CR1085" s="15"/>
      <c r="CS1085" s="19"/>
      <c r="CT1085" s="15"/>
      <c r="CU1085" s="19"/>
      <c r="CV1085" s="15"/>
      <c r="CW1085" s="19"/>
      <c r="CX1085" s="15"/>
      <c r="CY1085" s="19"/>
      <c r="CZ1085" s="15"/>
      <c r="DA1085" s="16" t="s">
        <v>197</v>
      </c>
      <c r="DB1085" s="17" t="s">
        <v>228</v>
      </c>
      <c r="DC1085" s="16"/>
      <c r="DD1085" s="17" t="s">
        <v>198</v>
      </c>
      <c r="DE1085" s="18">
        <v>45696.4028125</v>
      </c>
      <c r="DF1085" s="17" t="s">
        <v>198</v>
      </c>
      <c r="DG1085" s="18">
        <v>45696.4028125</v>
      </c>
      <c r="DH1085" s="13" t="s">
        <v>205</v>
      </c>
      <c r="DI1085" s="14" t="s">
        <v>179</v>
      </c>
      <c r="DJ1085" s="14" t="s">
        <v>21053</v>
      </c>
      <c r="DK1085" s="15"/>
      <c r="DL1085" s="15"/>
      <c r="DM1085" s="15"/>
      <c r="DN1085" s="15"/>
      <c r="DO1085" s="15"/>
      <c r="DP1085" s="15"/>
      <c r="DQ1085" s="15"/>
      <c r="DR1085" s="15"/>
      <c r="DS1085" s="15"/>
      <c r="DT1085" s="15"/>
      <c r="DU1085" s="15"/>
      <c r="DV1085" s="15"/>
      <c r="DW1085" s="15"/>
      <c r="DX1085" s="15"/>
      <c r="DY1085" s="15"/>
      <c r="DZ1085" s="15"/>
      <c r="EA1085" s="15"/>
      <c r="EB1085" s="15"/>
      <c r="EC1085" s="16" t="s">
        <v>197</v>
      </c>
      <c r="ED1085" s="17" t="s">
        <v>198</v>
      </c>
      <c r="EE1085" s="18">
        <v>45713.4266087963</v>
      </c>
      <c r="EF1085" s="13" t="s">
        <v>209</v>
      </c>
      <c r="EG1085" s="14" t="s">
        <v>179</v>
      </c>
      <c r="EH1085" s="14" t="s">
        <v>21054</v>
      </c>
      <c r="EI1085" s="15"/>
      <c r="EJ1085" s="15"/>
      <c r="EK1085" s="15"/>
      <c r="EL1085" s="15"/>
      <c r="EM1085" s="15"/>
      <c r="EN1085" s="15"/>
      <c r="EO1085" s="15"/>
      <c r="EP1085" s="15"/>
      <c r="EQ1085" s="15"/>
      <c r="ER1085" s="15"/>
      <c r="ES1085" s="15"/>
      <c r="ET1085" s="15"/>
      <c r="EU1085" s="15"/>
      <c r="EV1085" s="15"/>
      <c r="EW1085" s="15"/>
      <c r="EX1085" s="15"/>
      <c r="EY1085" s="15"/>
      <c r="EZ1085" s="15"/>
      <c r="FA1085" s="15"/>
      <c r="FB1085" s="15"/>
      <c r="FC1085" s="16" t="s">
        <v>197</v>
      </c>
      <c r="FD1085" s="17" t="s">
        <v>198</v>
      </c>
      <c r="FE1085" s="18">
        <v>45720.34173611111</v>
      </c>
      <c r="FF1085" s="19"/>
      <c r="FG1085" s="19"/>
      <c r="FH1085" s="21" t="s">
        <v>197</v>
      </c>
      <c r="FI1085" s="17" t="s">
        <v>214</v>
      </c>
      <c r="FJ1085" s="18">
        <v>45720.34173611111</v>
      </c>
      <c r="FK1085" s="14" t="s">
        <v>21054</v>
      </c>
      <c r="FL1085" s="14" t="s">
        <v>21055</v>
      </c>
      <c r="FM1085" s="14" t="s">
        <v>21056</v>
      </c>
      <c r="FN1085" s="19"/>
      <c r="FO1085" s="19"/>
      <c r="FP1085" s="19" t="str">
        <f t="shared" si="1"/>
        <v>Base de Dados_Images/XV65033.Imagem do Equipamento-.135137.jpg</v>
      </c>
      <c r="FQ1085" s="19"/>
      <c r="FR1085" s="19"/>
    </row>
    <row r="1086" ht="15.75" customHeight="1">
      <c r="A1086" s="12" t="s">
        <v>234</v>
      </c>
      <c r="B1086" s="12" t="s">
        <v>2779</v>
      </c>
      <c r="C1086" s="12" t="s">
        <v>219</v>
      </c>
      <c r="D1086" s="22" t="s">
        <v>21057</v>
      </c>
      <c r="E1086" s="22" t="s">
        <v>21058</v>
      </c>
      <c r="F1086" s="13" t="s">
        <v>178</v>
      </c>
      <c r="G1086" s="14" t="s">
        <v>179</v>
      </c>
      <c r="H1086" s="14" t="s">
        <v>21059</v>
      </c>
      <c r="I1086" s="14" t="s">
        <v>179</v>
      </c>
      <c r="J1086" s="14" t="s">
        <v>21060</v>
      </c>
      <c r="K1086" s="14" t="s">
        <v>179</v>
      </c>
      <c r="L1086" s="14" t="s">
        <v>21061</v>
      </c>
      <c r="M1086" s="14" t="s">
        <v>179</v>
      </c>
      <c r="N1086" s="14" t="s">
        <v>21062</v>
      </c>
      <c r="O1086" s="14" t="s">
        <v>179</v>
      </c>
      <c r="P1086" s="14" t="s">
        <v>21063</v>
      </c>
      <c r="Q1086" s="14" t="s">
        <v>179</v>
      </c>
      <c r="R1086" s="14" t="s">
        <v>21064</v>
      </c>
      <c r="S1086" s="14" t="s">
        <v>179</v>
      </c>
      <c r="T1086" s="14" t="s">
        <v>21065</v>
      </c>
      <c r="U1086" s="14" t="s">
        <v>179</v>
      </c>
      <c r="V1086" s="14" t="s">
        <v>21066</v>
      </c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  <c r="AV1086" s="15"/>
      <c r="AW1086" s="15"/>
      <c r="AX1086" s="15"/>
      <c r="AY1086" s="15"/>
      <c r="AZ1086" s="15"/>
      <c r="BA1086" s="15"/>
      <c r="BB1086" s="15"/>
      <c r="BC1086" s="15"/>
      <c r="BD1086" s="15"/>
      <c r="BE1086" s="15"/>
      <c r="BF1086" s="15"/>
      <c r="BG1086" s="15"/>
      <c r="BH1086" s="15"/>
      <c r="BI1086" s="15"/>
      <c r="BJ1086" s="15"/>
      <c r="BK1086" s="15"/>
      <c r="BL1086" s="15"/>
      <c r="BM1086" s="15"/>
      <c r="BN1086" s="15"/>
      <c r="BO1086" s="16" t="s">
        <v>197</v>
      </c>
      <c r="BP1086" s="17" t="s">
        <v>228</v>
      </c>
      <c r="BQ1086" s="23"/>
      <c r="BR1086" s="17" t="s">
        <v>198</v>
      </c>
      <c r="BS1086" s="18">
        <v>45687.40715277778</v>
      </c>
      <c r="BT1086" s="17" t="s">
        <v>198</v>
      </c>
      <c r="BU1086" s="18">
        <v>45687.40715277778</v>
      </c>
      <c r="BV1086" s="13" t="s">
        <v>199</v>
      </c>
      <c r="BW1086" s="14" t="s">
        <v>179</v>
      </c>
      <c r="BX1086" s="14" t="s">
        <v>21067</v>
      </c>
      <c r="BY1086" s="14" t="s">
        <v>179</v>
      </c>
      <c r="BZ1086" s="14" t="s">
        <v>21068</v>
      </c>
      <c r="CA1086" s="15"/>
      <c r="CB1086" s="15"/>
      <c r="CC1086" s="15"/>
      <c r="CD1086" s="15"/>
      <c r="CE1086" s="15"/>
      <c r="CF1086" s="15"/>
      <c r="CG1086" s="19"/>
      <c r="CH1086" s="15"/>
      <c r="CI1086" s="19"/>
      <c r="CJ1086" s="15"/>
      <c r="CK1086" s="19"/>
      <c r="CL1086" s="15"/>
      <c r="CM1086" s="19"/>
      <c r="CN1086" s="15"/>
      <c r="CO1086" s="19"/>
      <c r="CP1086" s="15"/>
      <c r="CQ1086" s="15"/>
      <c r="CR1086" s="15"/>
      <c r="CS1086" s="19"/>
      <c r="CT1086" s="15"/>
      <c r="CU1086" s="19"/>
      <c r="CV1086" s="15"/>
      <c r="CW1086" s="19"/>
      <c r="CX1086" s="15"/>
      <c r="CY1086" s="19"/>
      <c r="CZ1086" s="15"/>
      <c r="DA1086" s="16" t="s">
        <v>197</v>
      </c>
      <c r="DB1086" s="17" t="s">
        <v>228</v>
      </c>
      <c r="DC1086" s="16"/>
      <c r="DD1086" s="17" t="s">
        <v>198</v>
      </c>
      <c r="DE1086" s="18">
        <v>45696.40917824074</v>
      </c>
      <c r="DF1086" s="17" t="s">
        <v>198</v>
      </c>
      <c r="DG1086" s="18">
        <v>45696.40917824074</v>
      </c>
      <c r="DH1086" s="13" t="s">
        <v>205</v>
      </c>
      <c r="DI1086" s="14" t="s">
        <v>179</v>
      </c>
      <c r="DJ1086" s="14" t="s">
        <v>21069</v>
      </c>
      <c r="DK1086" s="15"/>
      <c r="DL1086" s="15"/>
      <c r="DM1086" s="15"/>
      <c r="DN1086" s="15"/>
      <c r="DO1086" s="15"/>
      <c r="DP1086" s="15"/>
      <c r="DQ1086" s="15"/>
      <c r="DR1086" s="15"/>
      <c r="DS1086" s="15"/>
      <c r="DT1086" s="15"/>
      <c r="DU1086" s="15"/>
      <c r="DV1086" s="15"/>
      <c r="DW1086" s="15"/>
      <c r="DX1086" s="15"/>
      <c r="DY1086" s="15"/>
      <c r="DZ1086" s="15"/>
      <c r="EA1086" s="15"/>
      <c r="EB1086" s="15"/>
      <c r="EC1086" s="16" t="s">
        <v>197</v>
      </c>
      <c r="ED1086" s="17" t="s">
        <v>198</v>
      </c>
      <c r="EE1086" s="18">
        <v>45703.49023148148</v>
      </c>
      <c r="EF1086" s="13" t="s">
        <v>209</v>
      </c>
      <c r="EG1086" s="14" t="s">
        <v>179</v>
      </c>
      <c r="EH1086" s="14" t="s">
        <v>21070</v>
      </c>
      <c r="EI1086" s="15"/>
      <c r="EJ1086" s="15"/>
      <c r="EK1086" s="15"/>
      <c r="EL1086" s="15"/>
      <c r="EM1086" s="15"/>
      <c r="EN1086" s="15"/>
      <c r="EO1086" s="15"/>
      <c r="EP1086" s="15"/>
      <c r="EQ1086" s="15"/>
      <c r="ER1086" s="15"/>
      <c r="ES1086" s="15"/>
      <c r="ET1086" s="15"/>
      <c r="EU1086" s="15"/>
      <c r="EV1086" s="15"/>
      <c r="EW1086" s="15"/>
      <c r="EX1086" s="15"/>
      <c r="EY1086" s="15"/>
      <c r="EZ1086" s="15"/>
      <c r="FA1086" s="15"/>
      <c r="FB1086" s="15"/>
      <c r="FC1086" s="16" t="s">
        <v>197</v>
      </c>
      <c r="FD1086" s="17" t="s">
        <v>198</v>
      </c>
      <c r="FE1086" s="18">
        <v>45720.36084490741</v>
      </c>
      <c r="FF1086" s="19"/>
      <c r="FG1086" s="19"/>
      <c r="FH1086" s="21" t="s">
        <v>197</v>
      </c>
      <c r="FI1086" s="17" t="s">
        <v>214</v>
      </c>
      <c r="FJ1086" s="18">
        <v>45720.36084490741</v>
      </c>
      <c r="FK1086" s="14" t="s">
        <v>21070</v>
      </c>
      <c r="FL1086" s="14" t="s">
        <v>21071</v>
      </c>
      <c r="FM1086" s="14" t="s">
        <v>21072</v>
      </c>
      <c r="FN1086" s="19"/>
      <c r="FO1086" s="19"/>
      <c r="FP1086" s="19" t="str">
        <f t="shared" si="1"/>
        <v>Base de Dados_Images/XV65034.Imagem do Equipamento-.132123.jpg</v>
      </c>
      <c r="FQ1086" s="14"/>
      <c r="FR1086" s="14"/>
    </row>
    <row r="1087" ht="15.75" customHeight="1">
      <c r="A1087" s="12" t="s">
        <v>234</v>
      </c>
      <c r="B1087" s="12" t="s">
        <v>2779</v>
      </c>
      <c r="C1087" s="12" t="s">
        <v>219</v>
      </c>
      <c r="D1087" s="22" t="s">
        <v>21073</v>
      </c>
      <c r="E1087" s="22" t="s">
        <v>21074</v>
      </c>
      <c r="F1087" s="13" t="s">
        <v>178</v>
      </c>
      <c r="G1087" s="14" t="s">
        <v>179</v>
      </c>
      <c r="H1087" s="14" t="s">
        <v>21075</v>
      </c>
      <c r="I1087" s="14" t="s">
        <v>179</v>
      </c>
      <c r="J1087" s="14" t="s">
        <v>21075</v>
      </c>
      <c r="K1087" s="14" t="s">
        <v>179</v>
      </c>
      <c r="L1087" s="14" t="s">
        <v>21076</v>
      </c>
      <c r="M1087" s="14" t="s">
        <v>179</v>
      </c>
      <c r="N1087" s="14" t="s">
        <v>21077</v>
      </c>
      <c r="O1087" s="14" t="s">
        <v>179</v>
      </c>
      <c r="P1087" s="14" t="s">
        <v>21078</v>
      </c>
      <c r="Q1087" s="14" t="s">
        <v>179</v>
      </c>
      <c r="R1087" s="14" t="s">
        <v>21079</v>
      </c>
      <c r="S1087" s="14" t="s">
        <v>179</v>
      </c>
      <c r="T1087" s="14" t="s">
        <v>21080</v>
      </c>
      <c r="U1087" s="14" t="s">
        <v>179</v>
      </c>
      <c r="V1087" s="14" t="s">
        <v>21081</v>
      </c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  <c r="AX1087" s="15"/>
      <c r="AY1087" s="15"/>
      <c r="AZ1087" s="15"/>
      <c r="BA1087" s="15"/>
      <c r="BB1087" s="15"/>
      <c r="BC1087" s="15"/>
      <c r="BD1087" s="15"/>
      <c r="BE1087" s="15"/>
      <c r="BF1087" s="15"/>
      <c r="BG1087" s="15"/>
      <c r="BH1087" s="15"/>
      <c r="BI1087" s="15"/>
      <c r="BJ1087" s="15"/>
      <c r="BK1087" s="15"/>
      <c r="BL1087" s="15"/>
      <c r="BM1087" s="15"/>
      <c r="BN1087" s="15"/>
      <c r="BO1087" s="16" t="s">
        <v>197</v>
      </c>
      <c r="BP1087" s="17" t="s">
        <v>228</v>
      </c>
      <c r="BQ1087" s="23"/>
      <c r="BR1087" s="17" t="s">
        <v>198</v>
      </c>
      <c r="BS1087" s="18">
        <v>45678.33864583333</v>
      </c>
      <c r="BT1087" s="17" t="s">
        <v>198</v>
      </c>
      <c r="BU1087" s="18">
        <v>45678.33864583333</v>
      </c>
      <c r="BV1087" s="13" t="s">
        <v>199</v>
      </c>
      <c r="BW1087" s="14" t="s">
        <v>179</v>
      </c>
      <c r="BX1087" s="14" t="s">
        <v>21082</v>
      </c>
      <c r="BY1087" s="14" t="s">
        <v>179</v>
      </c>
      <c r="BZ1087" s="14" t="s">
        <v>21082</v>
      </c>
      <c r="CA1087" s="15"/>
      <c r="CB1087" s="15"/>
      <c r="CC1087" s="15"/>
      <c r="CD1087" s="15"/>
      <c r="CE1087" s="15"/>
      <c r="CF1087" s="15"/>
      <c r="CG1087" s="19"/>
      <c r="CH1087" s="15"/>
      <c r="CI1087" s="19"/>
      <c r="CJ1087" s="15"/>
      <c r="CK1087" s="19"/>
      <c r="CL1087" s="15"/>
      <c r="CM1087" s="19"/>
      <c r="CN1087" s="15"/>
      <c r="CO1087" s="19"/>
      <c r="CP1087" s="15"/>
      <c r="CQ1087" s="15"/>
      <c r="CR1087" s="15"/>
      <c r="CS1087" s="19"/>
      <c r="CT1087" s="15"/>
      <c r="CU1087" s="19"/>
      <c r="CV1087" s="15"/>
      <c r="CW1087" s="19"/>
      <c r="CX1087" s="15"/>
      <c r="CY1087" s="19"/>
      <c r="CZ1087" s="15"/>
      <c r="DA1087" s="16" t="s">
        <v>197</v>
      </c>
      <c r="DB1087" s="17" t="s">
        <v>228</v>
      </c>
      <c r="DC1087" s="16"/>
      <c r="DD1087" s="17" t="s">
        <v>198</v>
      </c>
      <c r="DE1087" s="18">
        <v>45696.40295138889</v>
      </c>
      <c r="DF1087" s="17" t="s">
        <v>198</v>
      </c>
      <c r="DG1087" s="18">
        <v>45696.40295138889</v>
      </c>
      <c r="DH1087" s="13" t="s">
        <v>205</v>
      </c>
      <c r="DI1087" s="14" t="s">
        <v>179</v>
      </c>
      <c r="DJ1087" s="14" t="s">
        <v>21083</v>
      </c>
      <c r="DK1087" s="15"/>
      <c r="DL1087" s="15"/>
      <c r="DM1087" s="15"/>
      <c r="DN1087" s="15"/>
      <c r="DO1087" s="15"/>
      <c r="DP1087" s="15"/>
      <c r="DQ1087" s="15"/>
      <c r="DR1087" s="15"/>
      <c r="DS1087" s="15"/>
      <c r="DT1087" s="15"/>
      <c r="DU1087" s="15"/>
      <c r="DV1087" s="15"/>
      <c r="DW1087" s="15"/>
      <c r="DX1087" s="15"/>
      <c r="DY1087" s="15"/>
      <c r="DZ1087" s="15"/>
      <c r="EA1087" s="15"/>
      <c r="EB1087" s="15"/>
      <c r="EC1087" s="16" t="s">
        <v>197</v>
      </c>
      <c r="ED1087" s="17" t="s">
        <v>198</v>
      </c>
      <c r="EE1087" s="18">
        <v>45713.426770833335</v>
      </c>
      <c r="EF1087" s="13" t="s">
        <v>209</v>
      </c>
      <c r="EG1087" s="14" t="s">
        <v>179</v>
      </c>
      <c r="EH1087" s="14" t="s">
        <v>21084</v>
      </c>
      <c r="EI1087" s="15"/>
      <c r="EJ1087" s="15"/>
      <c r="EK1087" s="15"/>
      <c r="EL1087" s="15"/>
      <c r="EM1087" s="15"/>
      <c r="EN1087" s="15"/>
      <c r="EO1087" s="15"/>
      <c r="EP1087" s="15"/>
      <c r="EQ1087" s="15"/>
      <c r="ER1087" s="15"/>
      <c r="ES1087" s="15"/>
      <c r="ET1087" s="15"/>
      <c r="EU1087" s="15"/>
      <c r="EV1087" s="15"/>
      <c r="EW1087" s="15"/>
      <c r="EX1087" s="15"/>
      <c r="EY1087" s="15"/>
      <c r="EZ1087" s="15"/>
      <c r="FA1087" s="15"/>
      <c r="FB1087" s="15"/>
      <c r="FC1087" s="16" t="s">
        <v>197</v>
      </c>
      <c r="FD1087" s="17" t="s">
        <v>198</v>
      </c>
      <c r="FE1087" s="18">
        <v>45720.360925925925</v>
      </c>
      <c r="FF1087" s="19"/>
      <c r="FG1087" s="19"/>
      <c r="FH1087" s="21" t="s">
        <v>197</v>
      </c>
      <c r="FI1087" s="17" t="s">
        <v>214</v>
      </c>
      <c r="FJ1087" s="18">
        <v>45720.360925925925</v>
      </c>
      <c r="FK1087" s="14" t="s">
        <v>21084</v>
      </c>
      <c r="FL1087" s="14" t="s">
        <v>21085</v>
      </c>
      <c r="FM1087" s="14" t="s">
        <v>21086</v>
      </c>
      <c r="FN1087" s="19"/>
      <c r="FO1087" s="19"/>
      <c r="FP1087" s="19" t="str">
        <f t="shared" si="1"/>
        <v>Base de Dados_Images/XV65035.Imagem do Equipamento-.135155.jpg</v>
      </c>
      <c r="FQ1087" s="19"/>
      <c r="FR1087" s="19"/>
    </row>
    <row r="1088" ht="15.75" customHeight="1">
      <c r="A1088" s="12" t="s">
        <v>234</v>
      </c>
      <c r="B1088" s="12" t="s">
        <v>2779</v>
      </c>
      <c r="C1088" s="12" t="s">
        <v>219</v>
      </c>
      <c r="D1088" s="22" t="s">
        <v>21087</v>
      </c>
      <c r="E1088" s="22" t="s">
        <v>21088</v>
      </c>
      <c r="F1088" s="13" t="s">
        <v>178</v>
      </c>
      <c r="G1088" s="14" t="s">
        <v>179</v>
      </c>
      <c r="H1088" s="14" t="s">
        <v>21089</v>
      </c>
      <c r="I1088" s="14" t="s">
        <v>179</v>
      </c>
      <c r="J1088" s="14" t="s">
        <v>21090</v>
      </c>
      <c r="K1088" s="14" t="s">
        <v>179</v>
      </c>
      <c r="L1088" s="14" t="s">
        <v>21090</v>
      </c>
      <c r="M1088" s="14" t="s">
        <v>179</v>
      </c>
      <c r="N1088" s="14" t="s">
        <v>21091</v>
      </c>
      <c r="O1088" s="14" t="s">
        <v>179</v>
      </c>
      <c r="P1088" s="14" t="s">
        <v>21091</v>
      </c>
      <c r="Q1088" s="14" t="s">
        <v>179</v>
      </c>
      <c r="R1088" s="14" t="s">
        <v>21092</v>
      </c>
      <c r="S1088" s="14" t="s">
        <v>179</v>
      </c>
      <c r="T1088" s="14" t="s">
        <v>21093</v>
      </c>
      <c r="U1088" s="14" t="s">
        <v>179</v>
      </c>
      <c r="V1088" s="14" t="s">
        <v>21094</v>
      </c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/>
      <c r="AX1088" s="15"/>
      <c r="AY1088" s="15"/>
      <c r="AZ1088" s="15"/>
      <c r="BA1088" s="15"/>
      <c r="BB1088" s="15"/>
      <c r="BC1088" s="15"/>
      <c r="BD1088" s="15"/>
      <c r="BE1088" s="15"/>
      <c r="BF1088" s="15"/>
      <c r="BG1088" s="15"/>
      <c r="BH1088" s="15"/>
      <c r="BI1088" s="15"/>
      <c r="BJ1088" s="15"/>
      <c r="BK1088" s="15"/>
      <c r="BL1088" s="15"/>
      <c r="BM1088" s="15"/>
      <c r="BN1088" s="15"/>
      <c r="BO1088" s="16" t="s">
        <v>197</v>
      </c>
      <c r="BP1088" s="17" t="s">
        <v>228</v>
      </c>
      <c r="BQ1088" s="23"/>
      <c r="BR1088" s="17" t="s">
        <v>198</v>
      </c>
      <c r="BS1088" s="18">
        <v>45678.33961805556</v>
      </c>
      <c r="BT1088" s="17" t="s">
        <v>198</v>
      </c>
      <c r="BU1088" s="18">
        <v>45678.33961805556</v>
      </c>
      <c r="BV1088" s="13" t="s">
        <v>199</v>
      </c>
      <c r="BW1088" s="14" t="s">
        <v>179</v>
      </c>
      <c r="BX1088" s="14" t="s">
        <v>21095</v>
      </c>
      <c r="BY1088" s="14" t="s">
        <v>179</v>
      </c>
      <c r="BZ1088" s="14" t="s">
        <v>21095</v>
      </c>
      <c r="CA1088" s="15"/>
      <c r="CB1088" s="15"/>
      <c r="CC1088" s="15"/>
      <c r="CD1088" s="15"/>
      <c r="CE1088" s="15"/>
      <c r="CF1088" s="15"/>
      <c r="CG1088" s="19"/>
      <c r="CH1088" s="15"/>
      <c r="CI1088" s="19"/>
      <c r="CJ1088" s="15"/>
      <c r="CK1088" s="19"/>
      <c r="CL1088" s="15"/>
      <c r="CM1088" s="19"/>
      <c r="CN1088" s="15"/>
      <c r="CO1088" s="19"/>
      <c r="CP1088" s="15"/>
      <c r="CQ1088" s="15"/>
      <c r="CR1088" s="15"/>
      <c r="CS1088" s="19"/>
      <c r="CT1088" s="15"/>
      <c r="CU1088" s="19"/>
      <c r="CV1088" s="15"/>
      <c r="CW1088" s="19"/>
      <c r="CX1088" s="15"/>
      <c r="CY1088" s="19"/>
      <c r="CZ1088" s="15"/>
      <c r="DA1088" s="16" t="s">
        <v>197</v>
      </c>
      <c r="DB1088" s="17" t="s">
        <v>228</v>
      </c>
      <c r="DC1088" s="16"/>
      <c r="DD1088" s="17" t="s">
        <v>198</v>
      </c>
      <c r="DE1088" s="18">
        <v>45696.40304398148</v>
      </c>
      <c r="DF1088" s="17" t="s">
        <v>198</v>
      </c>
      <c r="DG1088" s="18">
        <v>45696.40304398148</v>
      </c>
      <c r="DH1088" s="13" t="s">
        <v>205</v>
      </c>
      <c r="DI1088" s="14" t="s">
        <v>179</v>
      </c>
      <c r="DJ1088" s="14" t="s">
        <v>21096</v>
      </c>
      <c r="DK1088" s="15"/>
      <c r="DL1088" s="15"/>
      <c r="DM1088" s="15"/>
      <c r="DN1088" s="15"/>
      <c r="DO1088" s="15"/>
      <c r="DP1088" s="15"/>
      <c r="DQ1088" s="15"/>
      <c r="DR1088" s="15"/>
      <c r="DS1088" s="15"/>
      <c r="DT1088" s="15"/>
      <c r="DU1088" s="15"/>
      <c r="DV1088" s="15"/>
      <c r="DW1088" s="15"/>
      <c r="DX1088" s="15"/>
      <c r="DY1088" s="15"/>
      <c r="DZ1088" s="15"/>
      <c r="EA1088" s="15"/>
      <c r="EB1088" s="15"/>
      <c r="EC1088" s="16" t="s">
        <v>197</v>
      </c>
      <c r="ED1088" s="17" t="s">
        <v>198</v>
      </c>
      <c r="EE1088" s="18">
        <v>45703.49040509259</v>
      </c>
      <c r="EF1088" s="13" t="s">
        <v>209</v>
      </c>
      <c r="EG1088" s="14" t="s">
        <v>179</v>
      </c>
      <c r="EH1088" s="14" t="s">
        <v>21097</v>
      </c>
      <c r="EI1088" s="15"/>
      <c r="EJ1088" s="15"/>
      <c r="EK1088" s="15"/>
      <c r="EL1088" s="15"/>
      <c r="EM1088" s="15"/>
      <c r="EN1088" s="15"/>
      <c r="EO1088" s="15"/>
      <c r="EP1088" s="15"/>
      <c r="EQ1088" s="15"/>
      <c r="ER1088" s="15"/>
      <c r="ES1088" s="15"/>
      <c r="ET1088" s="15"/>
      <c r="EU1088" s="15"/>
      <c r="EV1088" s="15"/>
      <c r="EW1088" s="15"/>
      <c r="EX1088" s="15"/>
      <c r="EY1088" s="15"/>
      <c r="EZ1088" s="15"/>
      <c r="FA1088" s="15"/>
      <c r="FB1088" s="15"/>
      <c r="FC1088" s="16" t="s">
        <v>197</v>
      </c>
      <c r="FD1088" s="17" t="s">
        <v>198</v>
      </c>
      <c r="FE1088" s="18">
        <v>45720.36100694445</v>
      </c>
      <c r="FF1088" s="19"/>
      <c r="FG1088" s="19"/>
      <c r="FH1088" s="21" t="s">
        <v>197</v>
      </c>
      <c r="FI1088" s="17" t="s">
        <v>214</v>
      </c>
      <c r="FJ1088" s="18">
        <v>45720.36100694445</v>
      </c>
      <c r="FK1088" s="14" t="s">
        <v>21097</v>
      </c>
      <c r="FL1088" s="14" t="s">
        <v>21098</v>
      </c>
      <c r="FM1088" s="14" t="s">
        <v>21099</v>
      </c>
      <c r="FN1088" s="19"/>
      <c r="FO1088" s="19"/>
      <c r="FP1088" s="19" t="str">
        <f t="shared" si="1"/>
        <v>Base de Dados_Images/XV65036.Imagem do Equipamento-.135222.jpg</v>
      </c>
      <c r="FQ1088" s="19"/>
      <c r="FR1088" s="19"/>
    </row>
    <row r="1089" ht="15.75" customHeight="1">
      <c r="A1089" s="12" t="s">
        <v>234</v>
      </c>
      <c r="B1089" s="12" t="s">
        <v>2816</v>
      </c>
      <c r="C1089" s="12" t="s">
        <v>219</v>
      </c>
      <c r="D1089" s="22" t="s">
        <v>21100</v>
      </c>
      <c r="E1089" s="22" t="s">
        <v>21101</v>
      </c>
      <c r="F1089" s="13" t="s">
        <v>178</v>
      </c>
      <c r="G1089" s="14" t="s">
        <v>179</v>
      </c>
      <c r="H1089" s="14" t="s">
        <v>21102</v>
      </c>
      <c r="I1089" s="14" t="s">
        <v>179</v>
      </c>
      <c r="J1089" s="14" t="s">
        <v>21103</v>
      </c>
      <c r="K1089" s="14" t="s">
        <v>179</v>
      </c>
      <c r="L1089" s="14" t="s">
        <v>21104</v>
      </c>
      <c r="M1089" s="14" t="s">
        <v>179</v>
      </c>
      <c r="N1089" s="14" t="s">
        <v>21105</v>
      </c>
      <c r="O1089" s="14" t="s">
        <v>179</v>
      </c>
      <c r="P1089" s="14" t="s">
        <v>21106</v>
      </c>
      <c r="Q1089" s="14" t="s">
        <v>179</v>
      </c>
      <c r="R1089" s="14" t="s">
        <v>21107</v>
      </c>
      <c r="S1089" s="14" t="s">
        <v>179</v>
      </c>
      <c r="T1089" s="14" t="s">
        <v>21108</v>
      </c>
      <c r="U1089" s="14" t="s">
        <v>179</v>
      </c>
      <c r="V1089" s="14" t="s">
        <v>21109</v>
      </c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5"/>
      <c r="AX1089" s="15"/>
      <c r="AY1089" s="15"/>
      <c r="AZ1089" s="15"/>
      <c r="BA1089" s="15"/>
      <c r="BB1089" s="15"/>
      <c r="BC1089" s="15"/>
      <c r="BD1089" s="15"/>
      <c r="BE1089" s="15"/>
      <c r="BF1089" s="15"/>
      <c r="BG1089" s="15"/>
      <c r="BH1089" s="15"/>
      <c r="BI1089" s="15"/>
      <c r="BJ1089" s="15"/>
      <c r="BK1089" s="15"/>
      <c r="BL1089" s="15"/>
      <c r="BM1089" s="15"/>
      <c r="BN1089" s="15"/>
      <c r="BO1089" s="16" t="s">
        <v>197</v>
      </c>
      <c r="BP1089" s="17" t="s">
        <v>228</v>
      </c>
      <c r="BQ1089" s="23"/>
      <c r="BR1089" s="17" t="s">
        <v>198</v>
      </c>
      <c r="BS1089" s="18">
        <v>45687.383425925924</v>
      </c>
      <c r="BT1089" s="17" t="s">
        <v>198</v>
      </c>
      <c r="BU1089" s="18">
        <v>45687.383425925924</v>
      </c>
      <c r="BV1089" s="13" t="s">
        <v>199</v>
      </c>
      <c r="BW1089" s="14" t="s">
        <v>179</v>
      </c>
      <c r="BX1089" s="14" t="s">
        <v>21110</v>
      </c>
      <c r="BY1089" s="14" t="s">
        <v>179</v>
      </c>
      <c r="BZ1089" s="14" t="s">
        <v>21111</v>
      </c>
      <c r="CA1089" s="15"/>
      <c r="CB1089" s="15"/>
      <c r="CC1089" s="15"/>
      <c r="CD1089" s="15"/>
      <c r="CE1089" s="15"/>
      <c r="CF1089" s="15"/>
      <c r="CG1089" s="19"/>
      <c r="CH1089" s="15"/>
      <c r="CI1089" s="19"/>
      <c r="CJ1089" s="15"/>
      <c r="CK1089" s="19"/>
      <c r="CL1089" s="15"/>
      <c r="CM1089" s="19"/>
      <c r="CN1089" s="15"/>
      <c r="CO1089" s="19"/>
      <c r="CP1089" s="15"/>
      <c r="CQ1089" s="15"/>
      <c r="CR1089" s="15"/>
      <c r="CS1089" s="19"/>
      <c r="CT1089" s="15"/>
      <c r="CU1089" s="19"/>
      <c r="CV1089" s="15"/>
      <c r="CW1089" s="19"/>
      <c r="CX1089" s="15"/>
      <c r="CY1089" s="19"/>
      <c r="CZ1089" s="15"/>
      <c r="DA1089" s="16" t="s">
        <v>197</v>
      </c>
      <c r="DB1089" s="17" t="s">
        <v>228</v>
      </c>
      <c r="DC1089" s="16"/>
      <c r="DD1089" s="17" t="s">
        <v>198</v>
      </c>
      <c r="DE1089" s="18">
        <v>45696.4109837963</v>
      </c>
      <c r="DF1089" s="17" t="s">
        <v>198</v>
      </c>
      <c r="DG1089" s="18">
        <v>45696.4109837963</v>
      </c>
      <c r="DH1089" s="13" t="s">
        <v>205</v>
      </c>
      <c r="DI1089" s="14" t="s">
        <v>179</v>
      </c>
      <c r="DJ1089" s="14" t="s">
        <v>21112</v>
      </c>
      <c r="DK1089" s="15"/>
      <c r="DL1089" s="15"/>
      <c r="DM1089" s="15"/>
      <c r="DN1089" s="15"/>
      <c r="DO1089" s="15"/>
      <c r="DP1089" s="15"/>
      <c r="DQ1089" s="15"/>
      <c r="DR1089" s="15"/>
      <c r="DS1089" s="15"/>
      <c r="DT1089" s="15"/>
      <c r="DU1089" s="15"/>
      <c r="DV1089" s="15"/>
      <c r="DW1089" s="15"/>
      <c r="DX1089" s="15"/>
      <c r="DY1089" s="15"/>
      <c r="DZ1089" s="15"/>
      <c r="EA1089" s="15"/>
      <c r="EB1089" s="15"/>
      <c r="EC1089" s="16" t="s">
        <v>197</v>
      </c>
      <c r="ED1089" s="17" t="s">
        <v>198</v>
      </c>
      <c r="EE1089" s="18">
        <v>45713.417708333334</v>
      </c>
      <c r="EF1089" s="13" t="s">
        <v>209</v>
      </c>
      <c r="EG1089" s="14" t="s">
        <v>179</v>
      </c>
      <c r="EH1089" s="14" t="s">
        <v>21113</v>
      </c>
      <c r="EI1089" s="15"/>
      <c r="EJ1089" s="15"/>
      <c r="EK1089" s="15"/>
      <c r="EL1089" s="15"/>
      <c r="EM1089" s="15"/>
      <c r="EN1089" s="15"/>
      <c r="EO1089" s="15"/>
      <c r="EP1089" s="15"/>
      <c r="EQ1089" s="15"/>
      <c r="ER1089" s="15"/>
      <c r="ES1089" s="15"/>
      <c r="ET1089" s="15"/>
      <c r="EU1089" s="15"/>
      <c r="EV1089" s="15"/>
      <c r="EW1089" s="15"/>
      <c r="EX1089" s="15"/>
      <c r="EY1089" s="15"/>
      <c r="EZ1089" s="15"/>
      <c r="FA1089" s="15"/>
      <c r="FB1089" s="15"/>
      <c r="FC1089" s="16" t="s">
        <v>197</v>
      </c>
      <c r="FD1089" s="17" t="s">
        <v>198</v>
      </c>
      <c r="FE1089" s="18">
        <v>45720.34465277778</v>
      </c>
      <c r="FF1089" s="19"/>
      <c r="FG1089" s="19"/>
      <c r="FH1089" s="21" t="s">
        <v>197</v>
      </c>
      <c r="FI1089" s="17" t="s">
        <v>214</v>
      </c>
      <c r="FJ1089" s="18">
        <v>45720.34465277778</v>
      </c>
      <c r="FK1089" s="14" t="s">
        <v>21113</v>
      </c>
      <c r="FL1089" s="14" t="s">
        <v>21114</v>
      </c>
      <c r="FM1089" s="14" t="s">
        <v>21115</v>
      </c>
      <c r="FN1089" s="19"/>
      <c r="FO1089" s="19"/>
      <c r="FP1089" s="19" t="str">
        <f t="shared" si="1"/>
        <v>Base de Dados_Images/XV65037.Imagem do Equipamento-.130846.jpg</v>
      </c>
      <c r="FQ1089" s="19"/>
      <c r="FR1089" s="19"/>
    </row>
    <row r="1090" ht="15.75" customHeight="1">
      <c r="A1090" s="12" t="s">
        <v>234</v>
      </c>
      <c r="B1090" s="12" t="s">
        <v>2816</v>
      </c>
      <c r="C1090" s="12" t="s">
        <v>219</v>
      </c>
      <c r="D1090" s="22" t="s">
        <v>21116</v>
      </c>
      <c r="E1090" s="22" t="s">
        <v>21117</v>
      </c>
      <c r="F1090" s="13" t="s">
        <v>178</v>
      </c>
      <c r="G1090" s="14" t="s">
        <v>179</v>
      </c>
      <c r="H1090" s="14" t="s">
        <v>21118</v>
      </c>
      <c r="I1090" s="14" t="s">
        <v>179</v>
      </c>
      <c r="J1090" s="14" t="s">
        <v>21119</v>
      </c>
      <c r="K1090" s="14" t="s">
        <v>179</v>
      </c>
      <c r="L1090" s="14" t="s">
        <v>21120</v>
      </c>
      <c r="M1090" s="14" t="s">
        <v>179</v>
      </c>
      <c r="N1090" s="14" t="s">
        <v>21121</v>
      </c>
      <c r="O1090" s="14" t="s">
        <v>179</v>
      </c>
      <c r="P1090" s="14" t="s">
        <v>21122</v>
      </c>
      <c r="Q1090" s="14" t="s">
        <v>179</v>
      </c>
      <c r="R1090" s="14" t="s">
        <v>21123</v>
      </c>
      <c r="S1090" s="14" t="s">
        <v>179</v>
      </c>
      <c r="T1090" s="14" t="s">
        <v>21124</v>
      </c>
      <c r="U1090" s="14" t="s">
        <v>179</v>
      </c>
      <c r="V1090" s="14" t="s">
        <v>21125</v>
      </c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  <c r="AV1090" s="15"/>
      <c r="AW1090" s="15"/>
      <c r="AX1090" s="15"/>
      <c r="AY1090" s="15"/>
      <c r="AZ1090" s="15"/>
      <c r="BA1090" s="15"/>
      <c r="BB1090" s="15"/>
      <c r="BC1090" s="15"/>
      <c r="BD1090" s="15"/>
      <c r="BE1090" s="15"/>
      <c r="BF1090" s="15"/>
      <c r="BG1090" s="15"/>
      <c r="BH1090" s="15"/>
      <c r="BI1090" s="15"/>
      <c r="BJ1090" s="15"/>
      <c r="BK1090" s="15"/>
      <c r="BL1090" s="15"/>
      <c r="BM1090" s="15"/>
      <c r="BN1090" s="15"/>
      <c r="BO1090" s="16" t="s">
        <v>197</v>
      </c>
      <c r="BP1090" s="17" t="s">
        <v>228</v>
      </c>
      <c r="BQ1090" s="23"/>
      <c r="BR1090" s="17" t="s">
        <v>198</v>
      </c>
      <c r="BS1090" s="18">
        <v>45687.38233796296</v>
      </c>
      <c r="BT1090" s="17" t="s">
        <v>198</v>
      </c>
      <c r="BU1090" s="18">
        <v>45687.38233796296</v>
      </c>
      <c r="BV1090" s="13" t="s">
        <v>199</v>
      </c>
      <c r="BW1090" s="14" t="s">
        <v>179</v>
      </c>
      <c r="BX1090" s="14" t="s">
        <v>21126</v>
      </c>
      <c r="BY1090" s="14" t="s">
        <v>179</v>
      </c>
      <c r="BZ1090" s="14" t="s">
        <v>21127</v>
      </c>
      <c r="CA1090" s="15"/>
      <c r="CB1090" s="15"/>
      <c r="CC1090" s="15"/>
      <c r="CD1090" s="15"/>
      <c r="CE1090" s="15"/>
      <c r="CF1090" s="15"/>
      <c r="CG1090" s="19"/>
      <c r="CH1090" s="15"/>
      <c r="CI1090" s="19"/>
      <c r="CJ1090" s="15"/>
      <c r="CK1090" s="19"/>
      <c r="CL1090" s="15"/>
      <c r="CM1090" s="19"/>
      <c r="CN1090" s="15"/>
      <c r="CO1090" s="19"/>
      <c r="CP1090" s="15"/>
      <c r="CQ1090" s="15"/>
      <c r="CR1090" s="15"/>
      <c r="CS1090" s="19"/>
      <c r="CT1090" s="15"/>
      <c r="CU1090" s="19"/>
      <c r="CV1090" s="15"/>
      <c r="CW1090" s="19"/>
      <c r="CX1090" s="15"/>
      <c r="CY1090" s="19"/>
      <c r="CZ1090" s="15"/>
      <c r="DA1090" s="16" t="s">
        <v>197</v>
      </c>
      <c r="DB1090" s="17" t="s">
        <v>228</v>
      </c>
      <c r="DC1090" s="16"/>
      <c r="DD1090" s="17" t="s">
        <v>198</v>
      </c>
      <c r="DE1090" s="18">
        <v>45696.412083333336</v>
      </c>
      <c r="DF1090" s="17" t="s">
        <v>198</v>
      </c>
      <c r="DG1090" s="18">
        <v>45696.412083333336</v>
      </c>
      <c r="DH1090" s="13" t="s">
        <v>205</v>
      </c>
      <c r="DI1090" s="14" t="s">
        <v>179</v>
      </c>
      <c r="DJ1090" s="14" t="s">
        <v>21128</v>
      </c>
      <c r="DK1090" s="15"/>
      <c r="DL1090" s="15"/>
      <c r="DM1090" s="15"/>
      <c r="DN1090" s="15"/>
      <c r="DO1090" s="15"/>
      <c r="DP1090" s="15"/>
      <c r="DQ1090" s="15"/>
      <c r="DR1090" s="15"/>
      <c r="DS1090" s="15"/>
      <c r="DT1090" s="15"/>
      <c r="DU1090" s="15"/>
      <c r="DV1090" s="15"/>
      <c r="DW1090" s="15"/>
      <c r="DX1090" s="15"/>
      <c r="DY1090" s="15"/>
      <c r="DZ1090" s="15"/>
      <c r="EA1090" s="15"/>
      <c r="EB1090" s="15"/>
      <c r="EC1090" s="16" t="s">
        <v>197</v>
      </c>
      <c r="ED1090" s="17" t="s">
        <v>198</v>
      </c>
      <c r="EE1090" s="18">
        <v>45713.41777777778</v>
      </c>
      <c r="EF1090" s="13" t="s">
        <v>209</v>
      </c>
      <c r="EG1090" s="14" t="s">
        <v>179</v>
      </c>
      <c r="EH1090" s="14" t="s">
        <v>21129</v>
      </c>
      <c r="EI1090" s="15"/>
      <c r="EJ1090" s="15"/>
      <c r="EK1090" s="15"/>
      <c r="EL1090" s="15"/>
      <c r="EM1090" s="15"/>
      <c r="EN1090" s="15"/>
      <c r="EO1090" s="15"/>
      <c r="EP1090" s="15"/>
      <c r="EQ1090" s="15"/>
      <c r="ER1090" s="15"/>
      <c r="ES1090" s="15"/>
      <c r="ET1090" s="15"/>
      <c r="EU1090" s="15"/>
      <c r="EV1090" s="15"/>
      <c r="EW1090" s="15"/>
      <c r="EX1090" s="15"/>
      <c r="EY1090" s="15"/>
      <c r="EZ1090" s="15"/>
      <c r="FA1090" s="15"/>
      <c r="FB1090" s="15"/>
      <c r="FC1090" s="16" t="s">
        <v>197</v>
      </c>
      <c r="FD1090" s="17" t="s">
        <v>198</v>
      </c>
      <c r="FE1090" s="18">
        <v>45720.34471064815</v>
      </c>
      <c r="FF1090" s="19"/>
      <c r="FG1090" s="19"/>
      <c r="FH1090" s="21" t="s">
        <v>197</v>
      </c>
      <c r="FI1090" s="17" t="s">
        <v>214</v>
      </c>
      <c r="FJ1090" s="18">
        <v>45720.34471064815</v>
      </c>
      <c r="FK1090" s="14" t="s">
        <v>21129</v>
      </c>
      <c r="FL1090" s="14" t="s">
        <v>21130</v>
      </c>
      <c r="FM1090" s="14" t="s">
        <v>21131</v>
      </c>
      <c r="FN1090" s="19"/>
      <c r="FO1090" s="19"/>
      <c r="FP1090" s="19" t="str">
        <f t="shared" si="1"/>
        <v>Base de Dados_Images/XV65042.Imagem do Equipamento-.130739.jpg</v>
      </c>
      <c r="FQ1090" s="19"/>
      <c r="FR1090" s="19"/>
    </row>
    <row r="1091" ht="15.75" customHeight="1">
      <c r="A1091" s="12" t="s">
        <v>234</v>
      </c>
      <c r="B1091" s="12" t="s">
        <v>2816</v>
      </c>
      <c r="C1091" s="12" t="s">
        <v>219</v>
      </c>
      <c r="D1091" s="22" t="s">
        <v>21132</v>
      </c>
      <c r="E1091" s="22" t="s">
        <v>21133</v>
      </c>
      <c r="F1091" s="13" t="s">
        <v>178</v>
      </c>
      <c r="G1091" s="14" t="s">
        <v>179</v>
      </c>
      <c r="H1091" s="14" t="s">
        <v>21134</v>
      </c>
      <c r="I1091" s="14" t="s">
        <v>179</v>
      </c>
      <c r="J1091" s="14" t="s">
        <v>21135</v>
      </c>
      <c r="K1091" s="14" t="s">
        <v>179</v>
      </c>
      <c r="L1091" s="14" t="s">
        <v>21136</v>
      </c>
      <c r="M1091" s="14" t="s">
        <v>179</v>
      </c>
      <c r="N1091" s="14" t="s">
        <v>21137</v>
      </c>
      <c r="O1091" s="14" t="s">
        <v>179</v>
      </c>
      <c r="P1091" s="14" t="s">
        <v>21138</v>
      </c>
      <c r="Q1091" s="14" t="s">
        <v>179</v>
      </c>
      <c r="R1091" s="14" t="s">
        <v>21139</v>
      </c>
      <c r="S1091" s="14" t="s">
        <v>179</v>
      </c>
      <c r="T1091" s="14" t="s">
        <v>21140</v>
      </c>
      <c r="U1091" s="14" t="s">
        <v>179</v>
      </c>
      <c r="V1091" s="14" t="s">
        <v>21141</v>
      </c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5"/>
      <c r="AX1091" s="15"/>
      <c r="AY1091" s="15"/>
      <c r="AZ1091" s="15"/>
      <c r="BA1091" s="15"/>
      <c r="BB1091" s="15"/>
      <c r="BC1091" s="15"/>
      <c r="BD1091" s="15"/>
      <c r="BE1091" s="15"/>
      <c r="BF1091" s="15"/>
      <c r="BG1091" s="15"/>
      <c r="BH1091" s="15"/>
      <c r="BI1091" s="15"/>
      <c r="BJ1091" s="15"/>
      <c r="BK1091" s="15"/>
      <c r="BL1091" s="15"/>
      <c r="BM1091" s="15"/>
      <c r="BN1091" s="15"/>
      <c r="BO1091" s="16" t="s">
        <v>197</v>
      </c>
      <c r="BP1091" s="17" t="s">
        <v>228</v>
      </c>
      <c r="BQ1091" s="23"/>
      <c r="BR1091" s="17" t="s">
        <v>198</v>
      </c>
      <c r="BS1091" s="18">
        <v>45694.36476851852</v>
      </c>
      <c r="BT1091" s="17" t="s">
        <v>198</v>
      </c>
      <c r="BU1091" s="18">
        <v>45694.36476851852</v>
      </c>
      <c r="BV1091" s="13" t="s">
        <v>199</v>
      </c>
      <c r="BW1091" s="14" t="s">
        <v>179</v>
      </c>
      <c r="BX1091" s="14" t="s">
        <v>21142</v>
      </c>
      <c r="BY1091" s="14" t="s">
        <v>179</v>
      </c>
      <c r="BZ1091" s="14" t="s">
        <v>21143</v>
      </c>
      <c r="CA1091" s="15"/>
      <c r="CB1091" s="15"/>
      <c r="CC1091" s="15"/>
      <c r="CD1091" s="15"/>
      <c r="CE1091" s="15"/>
      <c r="CF1091" s="15"/>
      <c r="CG1091" s="19"/>
      <c r="CH1091" s="15"/>
      <c r="CI1091" s="19"/>
      <c r="CJ1091" s="15"/>
      <c r="CK1091" s="19"/>
      <c r="CL1091" s="15"/>
      <c r="CM1091" s="19"/>
      <c r="CN1091" s="15"/>
      <c r="CO1091" s="19"/>
      <c r="CP1091" s="15"/>
      <c r="CQ1091" s="15"/>
      <c r="CR1091" s="15"/>
      <c r="CS1091" s="19"/>
      <c r="CT1091" s="15"/>
      <c r="CU1091" s="19"/>
      <c r="CV1091" s="15"/>
      <c r="CW1091" s="19"/>
      <c r="CX1091" s="15"/>
      <c r="CY1091" s="19"/>
      <c r="CZ1091" s="15"/>
      <c r="DA1091" s="16" t="s">
        <v>197</v>
      </c>
      <c r="DB1091" s="17" t="s">
        <v>228</v>
      </c>
      <c r="DC1091" s="16"/>
      <c r="DD1091" s="17" t="s">
        <v>198</v>
      </c>
      <c r="DE1091" s="18">
        <v>45696.4121875</v>
      </c>
      <c r="DF1091" s="17" t="s">
        <v>198</v>
      </c>
      <c r="DG1091" s="18">
        <v>45696.4121875</v>
      </c>
      <c r="DH1091" s="13" t="s">
        <v>205</v>
      </c>
      <c r="DI1091" s="14" t="s">
        <v>179</v>
      </c>
      <c r="DJ1091" s="14" t="s">
        <v>21144</v>
      </c>
      <c r="DK1091" s="15"/>
      <c r="DL1091" s="15"/>
      <c r="DM1091" s="15"/>
      <c r="DN1091" s="15"/>
      <c r="DO1091" s="15"/>
      <c r="DP1091" s="15"/>
      <c r="DQ1091" s="15"/>
      <c r="DR1091" s="15"/>
      <c r="DS1091" s="15"/>
      <c r="DT1091" s="15"/>
      <c r="DU1091" s="15"/>
      <c r="DV1091" s="15"/>
      <c r="DW1091" s="15"/>
      <c r="DX1091" s="15"/>
      <c r="DY1091" s="15"/>
      <c r="DZ1091" s="15"/>
      <c r="EA1091" s="15"/>
      <c r="EB1091" s="15"/>
      <c r="EC1091" s="16" t="s">
        <v>197</v>
      </c>
      <c r="ED1091" s="17" t="s">
        <v>198</v>
      </c>
      <c r="EE1091" s="18">
        <v>45713.41784722222</v>
      </c>
      <c r="EF1091" s="13" t="s">
        <v>209</v>
      </c>
      <c r="EG1091" s="14" t="s">
        <v>179</v>
      </c>
      <c r="EH1091" s="14" t="s">
        <v>21145</v>
      </c>
      <c r="EI1091" s="15"/>
      <c r="EJ1091" s="15"/>
      <c r="EK1091" s="15"/>
      <c r="EL1091" s="15"/>
      <c r="EM1091" s="15"/>
      <c r="EN1091" s="15"/>
      <c r="EO1091" s="15"/>
      <c r="EP1091" s="15"/>
      <c r="EQ1091" s="15"/>
      <c r="ER1091" s="15"/>
      <c r="ES1091" s="15"/>
      <c r="ET1091" s="15"/>
      <c r="EU1091" s="15"/>
      <c r="EV1091" s="15"/>
      <c r="EW1091" s="15"/>
      <c r="EX1091" s="15"/>
      <c r="EY1091" s="15"/>
      <c r="EZ1091" s="15"/>
      <c r="FA1091" s="15"/>
      <c r="FB1091" s="15"/>
      <c r="FC1091" s="16" t="s">
        <v>197</v>
      </c>
      <c r="FD1091" s="17" t="s">
        <v>198</v>
      </c>
      <c r="FE1091" s="18">
        <v>45720.344826388886</v>
      </c>
      <c r="FF1091" s="19"/>
      <c r="FG1091" s="19"/>
      <c r="FH1091" s="21" t="s">
        <v>197</v>
      </c>
      <c r="FI1091" s="17" t="s">
        <v>214</v>
      </c>
      <c r="FJ1091" s="18">
        <v>45720.344826388886</v>
      </c>
      <c r="FK1091" s="14" t="s">
        <v>21145</v>
      </c>
      <c r="FL1091" s="14" t="s">
        <v>21146</v>
      </c>
      <c r="FM1091" s="14" t="s">
        <v>21147</v>
      </c>
      <c r="FN1091" s="19"/>
      <c r="FO1091" s="19"/>
      <c r="FP1091" s="19" t="str">
        <f t="shared" si="1"/>
        <v>Base de Dados_Images/XV65043.Imagem do Equipamento-.174339.jpg</v>
      </c>
      <c r="FQ1091" s="14"/>
      <c r="FR1091" s="14"/>
    </row>
    <row r="1092" ht="15.75" customHeight="1">
      <c r="A1092" s="12" t="s">
        <v>234</v>
      </c>
      <c r="B1092" s="12" t="s">
        <v>2816</v>
      </c>
      <c r="C1092" s="12" t="s">
        <v>219</v>
      </c>
      <c r="D1092" s="22" t="s">
        <v>21148</v>
      </c>
      <c r="E1092" s="22" t="s">
        <v>21149</v>
      </c>
      <c r="F1092" s="13" t="s">
        <v>178</v>
      </c>
      <c r="G1092" s="14" t="s">
        <v>179</v>
      </c>
      <c r="H1092" s="14" t="s">
        <v>21150</v>
      </c>
      <c r="I1092" s="14" t="s">
        <v>179</v>
      </c>
      <c r="J1092" s="14" t="s">
        <v>21151</v>
      </c>
      <c r="K1092" s="14" t="s">
        <v>179</v>
      </c>
      <c r="L1092" s="14" t="s">
        <v>21152</v>
      </c>
      <c r="M1092" s="14" t="s">
        <v>179</v>
      </c>
      <c r="N1092" s="14" t="s">
        <v>21153</v>
      </c>
      <c r="O1092" s="14" t="s">
        <v>179</v>
      </c>
      <c r="P1092" s="14" t="s">
        <v>21154</v>
      </c>
      <c r="Q1092" s="14" t="s">
        <v>179</v>
      </c>
      <c r="R1092" s="14" t="s">
        <v>21155</v>
      </c>
      <c r="S1092" s="14" t="s">
        <v>179</v>
      </c>
      <c r="T1092" s="14" t="s">
        <v>21156</v>
      </c>
      <c r="U1092" s="14" t="s">
        <v>179</v>
      </c>
      <c r="V1092" s="14" t="s">
        <v>21157</v>
      </c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5"/>
      <c r="AP1092" s="15"/>
      <c r="AQ1092" s="15"/>
      <c r="AR1092" s="15"/>
      <c r="AS1092" s="15"/>
      <c r="AT1092" s="15"/>
      <c r="AU1092" s="15"/>
      <c r="AV1092" s="15"/>
      <c r="AW1092" s="15"/>
      <c r="AX1092" s="15"/>
      <c r="AY1092" s="15"/>
      <c r="AZ1092" s="15"/>
      <c r="BA1092" s="15"/>
      <c r="BB1092" s="15"/>
      <c r="BC1092" s="15"/>
      <c r="BD1092" s="15"/>
      <c r="BE1092" s="15"/>
      <c r="BF1092" s="15"/>
      <c r="BG1092" s="15"/>
      <c r="BH1092" s="15"/>
      <c r="BI1092" s="15"/>
      <c r="BJ1092" s="15"/>
      <c r="BK1092" s="15"/>
      <c r="BL1092" s="15"/>
      <c r="BM1092" s="15"/>
      <c r="BN1092" s="15"/>
      <c r="BO1092" s="16" t="s">
        <v>197</v>
      </c>
      <c r="BP1092" s="17" t="s">
        <v>228</v>
      </c>
      <c r="BQ1092" s="23"/>
      <c r="BR1092" s="17" t="s">
        <v>198</v>
      </c>
      <c r="BS1092" s="18">
        <v>45687.383935185186</v>
      </c>
      <c r="BT1092" s="17" t="s">
        <v>198</v>
      </c>
      <c r="BU1092" s="18">
        <v>45687.383935185186</v>
      </c>
      <c r="BV1092" s="13" t="s">
        <v>199</v>
      </c>
      <c r="BW1092" s="14" t="s">
        <v>179</v>
      </c>
      <c r="BX1092" s="14" t="s">
        <v>21158</v>
      </c>
      <c r="BY1092" s="14" t="s">
        <v>179</v>
      </c>
      <c r="BZ1092" s="14" t="s">
        <v>21159</v>
      </c>
      <c r="CA1092" s="15"/>
      <c r="CB1092" s="15"/>
      <c r="CC1092" s="15"/>
      <c r="CD1092" s="15"/>
      <c r="CE1092" s="15"/>
      <c r="CF1092" s="15"/>
      <c r="CG1092" s="19"/>
      <c r="CH1092" s="15"/>
      <c r="CI1092" s="19"/>
      <c r="CJ1092" s="15"/>
      <c r="CK1092" s="19"/>
      <c r="CL1092" s="15"/>
      <c r="CM1092" s="19"/>
      <c r="CN1092" s="15"/>
      <c r="CO1092" s="19"/>
      <c r="CP1092" s="15"/>
      <c r="CQ1092" s="15"/>
      <c r="CR1092" s="15"/>
      <c r="CS1092" s="19"/>
      <c r="CT1092" s="15"/>
      <c r="CU1092" s="19"/>
      <c r="CV1092" s="15"/>
      <c r="CW1092" s="19"/>
      <c r="CX1092" s="15"/>
      <c r="CY1092" s="19"/>
      <c r="CZ1092" s="15"/>
      <c r="DA1092" s="16" t="s">
        <v>197</v>
      </c>
      <c r="DB1092" s="17" t="s">
        <v>228</v>
      </c>
      <c r="DC1092" s="16"/>
      <c r="DD1092" s="17" t="s">
        <v>198</v>
      </c>
      <c r="DE1092" s="18">
        <v>45696.41333333333</v>
      </c>
      <c r="DF1092" s="17" t="s">
        <v>198</v>
      </c>
      <c r="DG1092" s="18">
        <v>45696.41333333333</v>
      </c>
      <c r="DH1092" s="13" t="s">
        <v>205</v>
      </c>
      <c r="DI1092" s="14" t="s">
        <v>179</v>
      </c>
      <c r="DJ1092" s="14" t="s">
        <v>21160</v>
      </c>
      <c r="DK1092" s="15"/>
      <c r="DL1092" s="15"/>
      <c r="DM1092" s="15"/>
      <c r="DN1092" s="15"/>
      <c r="DO1092" s="15"/>
      <c r="DP1092" s="15"/>
      <c r="DQ1092" s="15"/>
      <c r="DR1092" s="15"/>
      <c r="DS1092" s="15"/>
      <c r="DT1092" s="15"/>
      <c r="DU1092" s="15"/>
      <c r="DV1092" s="15"/>
      <c r="DW1092" s="15"/>
      <c r="DX1092" s="15"/>
      <c r="DY1092" s="15"/>
      <c r="DZ1092" s="15"/>
      <c r="EA1092" s="15"/>
      <c r="EB1092" s="15"/>
      <c r="EC1092" s="16" t="s">
        <v>197</v>
      </c>
      <c r="ED1092" s="17" t="s">
        <v>198</v>
      </c>
      <c r="EE1092" s="18">
        <v>45703.485983796294</v>
      </c>
      <c r="EF1092" s="13" t="s">
        <v>209</v>
      </c>
      <c r="EG1092" s="14" t="s">
        <v>179</v>
      </c>
      <c r="EH1092" s="14" t="s">
        <v>21161</v>
      </c>
      <c r="EI1092" s="15"/>
      <c r="EJ1092" s="15"/>
      <c r="EK1092" s="15"/>
      <c r="EL1092" s="15"/>
      <c r="EM1092" s="15"/>
      <c r="EN1092" s="15"/>
      <c r="EO1092" s="15"/>
      <c r="EP1092" s="15"/>
      <c r="EQ1092" s="15"/>
      <c r="ER1092" s="15"/>
      <c r="ES1092" s="15"/>
      <c r="ET1092" s="15"/>
      <c r="EU1092" s="15"/>
      <c r="EV1092" s="15"/>
      <c r="EW1092" s="15"/>
      <c r="EX1092" s="15"/>
      <c r="EY1092" s="15"/>
      <c r="EZ1092" s="15"/>
      <c r="FA1092" s="15"/>
      <c r="FB1092" s="15"/>
      <c r="FC1092" s="16" t="s">
        <v>197</v>
      </c>
      <c r="FD1092" s="17" t="s">
        <v>198</v>
      </c>
      <c r="FE1092" s="18">
        <v>45720.34517361111</v>
      </c>
      <c r="FF1092" s="19"/>
      <c r="FG1092" s="19"/>
      <c r="FH1092" s="21" t="s">
        <v>197</v>
      </c>
      <c r="FI1092" s="17" t="s">
        <v>214</v>
      </c>
      <c r="FJ1092" s="18">
        <v>45720.34517361111</v>
      </c>
      <c r="FK1092" s="14" t="s">
        <v>21161</v>
      </c>
      <c r="FL1092" s="14" t="s">
        <v>21162</v>
      </c>
      <c r="FM1092" s="14" t="s">
        <v>21163</v>
      </c>
      <c r="FN1092" s="19"/>
      <c r="FO1092" s="19"/>
      <c r="FP1092" s="19" t="str">
        <f t="shared" si="1"/>
        <v>Base de Dados_Images/XV65044.Imagem do Equipamento-.130922.jpg</v>
      </c>
      <c r="FQ1092" s="19"/>
      <c r="FR1092" s="19"/>
    </row>
    <row r="1093" ht="15.75" customHeight="1">
      <c r="A1093" s="12" t="s">
        <v>234</v>
      </c>
      <c r="B1093" s="12" t="s">
        <v>2816</v>
      </c>
      <c r="C1093" s="12" t="s">
        <v>219</v>
      </c>
      <c r="D1093" s="22" t="s">
        <v>21164</v>
      </c>
      <c r="E1093" s="22" t="s">
        <v>21165</v>
      </c>
      <c r="F1093" s="13" t="s">
        <v>178</v>
      </c>
      <c r="G1093" s="14" t="s">
        <v>179</v>
      </c>
      <c r="H1093" s="14" t="s">
        <v>21166</v>
      </c>
      <c r="I1093" s="14" t="s">
        <v>179</v>
      </c>
      <c r="J1093" s="14" t="s">
        <v>21167</v>
      </c>
      <c r="K1093" s="14" t="s">
        <v>179</v>
      </c>
      <c r="L1093" s="14" t="s">
        <v>21168</v>
      </c>
      <c r="M1093" s="14" t="s">
        <v>179</v>
      </c>
      <c r="N1093" s="14" t="s">
        <v>21169</v>
      </c>
      <c r="O1093" s="14" t="s">
        <v>179</v>
      </c>
      <c r="P1093" s="14" t="s">
        <v>21170</v>
      </c>
      <c r="Q1093" s="14" t="s">
        <v>179</v>
      </c>
      <c r="R1093" s="14" t="s">
        <v>21171</v>
      </c>
      <c r="S1093" s="14" t="s">
        <v>179</v>
      </c>
      <c r="T1093" s="14" t="s">
        <v>21172</v>
      </c>
      <c r="U1093" s="14" t="s">
        <v>179</v>
      </c>
      <c r="V1093" s="14" t="s">
        <v>21173</v>
      </c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  <c r="AV1093" s="15"/>
      <c r="AW1093" s="15"/>
      <c r="AX1093" s="15"/>
      <c r="AY1093" s="15"/>
      <c r="AZ1093" s="15"/>
      <c r="BA1093" s="15"/>
      <c r="BB1093" s="15"/>
      <c r="BC1093" s="15"/>
      <c r="BD1093" s="15"/>
      <c r="BE1093" s="15"/>
      <c r="BF1093" s="15"/>
      <c r="BG1093" s="15"/>
      <c r="BH1093" s="15"/>
      <c r="BI1093" s="15"/>
      <c r="BJ1093" s="15"/>
      <c r="BK1093" s="15"/>
      <c r="BL1093" s="15"/>
      <c r="BM1093" s="15"/>
      <c r="BN1093" s="15"/>
      <c r="BO1093" s="16" t="s">
        <v>197</v>
      </c>
      <c r="BP1093" s="17" t="s">
        <v>228</v>
      </c>
      <c r="BQ1093" s="23"/>
      <c r="BR1093" s="17" t="s">
        <v>198</v>
      </c>
      <c r="BS1093" s="18">
        <v>45678.341516203705</v>
      </c>
      <c r="BT1093" s="17" t="s">
        <v>198</v>
      </c>
      <c r="BU1093" s="18">
        <v>45678.341516203705</v>
      </c>
      <c r="BV1093" s="13" t="s">
        <v>199</v>
      </c>
      <c r="BW1093" s="14" t="s">
        <v>179</v>
      </c>
      <c r="BX1093" s="14" t="s">
        <v>21174</v>
      </c>
      <c r="BY1093" s="14" t="s">
        <v>179</v>
      </c>
      <c r="BZ1093" s="14" t="s">
        <v>21175</v>
      </c>
      <c r="CA1093" s="15"/>
      <c r="CB1093" s="15"/>
      <c r="CC1093" s="15"/>
      <c r="CD1093" s="15"/>
      <c r="CE1093" s="15"/>
      <c r="CF1093" s="15"/>
      <c r="CG1093" s="19"/>
      <c r="CH1093" s="15"/>
      <c r="CI1093" s="19"/>
      <c r="CJ1093" s="15"/>
      <c r="CK1093" s="19"/>
      <c r="CL1093" s="15"/>
      <c r="CM1093" s="19"/>
      <c r="CN1093" s="15"/>
      <c r="CO1093" s="19"/>
      <c r="CP1093" s="15"/>
      <c r="CQ1093" s="15"/>
      <c r="CR1093" s="15"/>
      <c r="CS1093" s="19"/>
      <c r="CT1093" s="15"/>
      <c r="CU1093" s="19"/>
      <c r="CV1093" s="15"/>
      <c r="CW1093" s="19"/>
      <c r="CX1093" s="15"/>
      <c r="CY1093" s="19"/>
      <c r="CZ1093" s="15"/>
      <c r="DA1093" s="16" t="s">
        <v>197</v>
      </c>
      <c r="DB1093" s="17" t="s">
        <v>228</v>
      </c>
      <c r="DC1093" s="16"/>
      <c r="DD1093" s="17" t="s">
        <v>198</v>
      </c>
      <c r="DE1093" s="18">
        <v>45696.41113425926</v>
      </c>
      <c r="DF1093" s="17" t="s">
        <v>198</v>
      </c>
      <c r="DG1093" s="18">
        <v>45696.41113425926</v>
      </c>
      <c r="DH1093" s="13" t="s">
        <v>205</v>
      </c>
      <c r="DI1093" s="14" t="s">
        <v>179</v>
      </c>
      <c r="DJ1093" s="14" t="s">
        <v>21176</v>
      </c>
      <c r="DK1093" s="15"/>
      <c r="DL1093" s="15"/>
      <c r="DM1093" s="15"/>
      <c r="DN1093" s="15"/>
      <c r="DO1093" s="15"/>
      <c r="DP1093" s="15"/>
      <c r="DQ1093" s="15"/>
      <c r="DR1093" s="15"/>
      <c r="DS1093" s="15"/>
      <c r="DT1093" s="15"/>
      <c r="DU1093" s="15"/>
      <c r="DV1093" s="15"/>
      <c r="DW1093" s="15"/>
      <c r="DX1093" s="15"/>
      <c r="DY1093" s="15"/>
      <c r="DZ1093" s="15"/>
      <c r="EA1093" s="15"/>
      <c r="EB1093" s="15"/>
      <c r="EC1093" s="16" t="s">
        <v>197</v>
      </c>
      <c r="ED1093" s="17" t="s">
        <v>198</v>
      </c>
      <c r="EE1093" s="18">
        <v>45703.487488425926</v>
      </c>
      <c r="EF1093" s="13" t="s">
        <v>209</v>
      </c>
      <c r="EG1093" s="14" t="s">
        <v>179</v>
      </c>
      <c r="EH1093" s="14" t="s">
        <v>21177</v>
      </c>
      <c r="EI1093" s="15"/>
      <c r="EJ1093" s="15"/>
      <c r="EK1093" s="15"/>
      <c r="EL1093" s="15"/>
      <c r="EM1093" s="15"/>
      <c r="EN1093" s="15"/>
      <c r="EO1093" s="15"/>
      <c r="EP1093" s="15"/>
      <c r="EQ1093" s="15"/>
      <c r="ER1093" s="15"/>
      <c r="ES1093" s="15"/>
      <c r="ET1093" s="15"/>
      <c r="EU1093" s="15"/>
      <c r="EV1093" s="15"/>
      <c r="EW1093" s="15"/>
      <c r="EX1093" s="15"/>
      <c r="EY1093" s="15"/>
      <c r="EZ1093" s="15"/>
      <c r="FA1093" s="15"/>
      <c r="FB1093" s="15"/>
      <c r="FC1093" s="16" t="s">
        <v>197</v>
      </c>
      <c r="FD1093" s="17" t="s">
        <v>198</v>
      </c>
      <c r="FE1093" s="18">
        <v>45720.3452662037</v>
      </c>
      <c r="FF1093" s="19"/>
      <c r="FG1093" s="19"/>
      <c r="FH1093" s="21" t="s">
        <v>197</v>
      </c>
      <c r="FI1093" s="17" t="s">
        <v>214</v>
      </c>
      <c r="FJ1093" s="18">
        <v>45720.3452662037</v>
      </c>
      <c r="FK1093" s="14" t="s">
        <v>21177</v>
      </c>
      <c r="FL1093" s="14" t="s">
        <v>21178</v>
      </c>
      <c r="FM1093" s="14" t="s">
        <v>21179</v>
      </c>
      <c r="FN1093" s="19"/>
      <c r="FO1093" s="19"/>
      <c r="FP1093" s="19" t="str">
        <f t="shared" si="1"/>
        <v>Base de Dados_Images/XV65045.Imagem do Equipamento-.140526.jpg</v>
      </c>
      <c r="FQ1093" s="19"/>
      <c r="FR1093" s="19"/>
    </row>
    <row r="1094" ht="15.75" customHeight="1">
      <c r="A1094" s="12" t="s">
        <v>234</v>
      </c>
      <c r="B1094" s="12" t="s">
        <v>2816</v>
      </c>
      <c r="C1094" s="12" t="s">
        <v>219</v>
      </c>
      <c r="D1094" s="22" t="s">
        <v>21180</v>
      </c>
      <c r="E1094" s="22" t="s">
        <v>21181</v>
      </c>
      <c r="F1094" s="13" t="s">
        <v>178</v>
      </c>
      <c r="G1094" s="14" t="s">
        <v>179</v>
      </c>
      <c r="H1094" s="14" t="s">
        <v>21182</v>
      </c>
      <c r="I1094" s="14" t="s">
        <v>179</v>
      </c>
      <c r="J1094" s="14" t="s">
        <v>21183</v>
      </c>
      <c r="K1094" s="14" t="s">
        <v>179</v>
      </c>
      <c r="L1094" s="14" t="s">
        <v>21184</v>
      </c>
      <c r="M1094" s="14" t="s">
        <v>179</v>
      </c>
      <c r="N1094" s="14" t="s">
        <v>21185</v>
      </c>
      <c r="O1094" s="14" t="s">
        <v>179</v>
      </c>
      <c r="P1094" s="14" t="s">
        <v>21186</v>
      </c>
      <c r="Q1094" s="14" t="s">
        <v>179</v>
      </c>
      <c r="R1094" s="14" t="s">
        <v>21187</v>
      </c>
      <c r="S1094" s="14" t="s">
        <v>179</v>
      </c>
      <c r="T1094" s="14" t="s">
        <v>21188</v>
      </c>
      <c r="U1094" s="14" t="s">
        <v>179</v>
      </c>
      <c r="V1094" s="14" t="s">
        <v>21189</v>
      </c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  <c r="AN1094" s="15"/>
      <c r="AO1094" s="15"/>
      <c r="AP1094" s="15"/>
      <c r="AQ1094" s="15"/>
      <c r="AR1094" s="15"/>
      <c r="AS1094" s="15"/>
      <c r="AT1094" s="15"/>
      <c r="AU1094" s="15"/>
      <c r="AV1094" s="15"/>
      <c r="AW1094" s="15"/>
      <c r="AX1094" s="15"/>
      <c r="AY1094" s="15"/>
      <c r="AZ1094" s="15"/>
      <c r="BA1094" s="15"/>
      <c r="BB1094" s="15"/>
      <c r="BC1094" s="15"/>
      <c r="BD1094" s="15"/>
      <c r="BE1094" s="15"/>
      <c r="BF1094" s="15"/>
      <c r="BG1094" s="15"/>
      <c r="BH1094" s="15"/>
      <c r="BI1094" s="15"/>
      <c r="BJ1094" s="15"/>
      <c r="BK1094" s="15"/>
      <c r="BL1094" s="15"/>
      <c r="BM1094" s="15"/>
      <c r="BN1094" s="15"/>
      <c r="BO1094" s="16" t="s">
        <v>197</v>
      </c>
      <c r="BP1094" s="17" t="s">
        <v>228</v>
      </c>
      <c r="BQ1094" s="23"/>
      <c r="BR1094" s="17" t="s">
        <v>198</v>
      </c>
      <c r="BS1094" s="18">
        <v>45687.410625</v>
      </c>
      <c r="BT1094" s="17" t="s">
        <v>198</v>
      </c>
      <c r="BU1094" s="18">
        <v>45687.410625</v>
      </c>
      <c r="BV1094" s="13" t="s">
        <v>199</v>
      </c>
      <c r="BW1094" s="14" t="s">
        <v>179</v>
      </c>
      <c r="BX1094" s="14" t="s">
        <v>21190</v>
      </c>
      <c r="BY1094" s="14" t="s">
        <v>179</v>
      </c>
      <c r="BZ1094" s="14" t="s">
        <v>21191</v>
      </c>
      <c r="CA1094" s="15"/>
      <c r="CB1094" s="15"/>
      <c r="CC1094" s="15"/>
      <c r="CD1094" s="15"/>
      <c r="CE1094" s="15"/>
      <c r="CF1094" s="15"/>
      <c r="CG1094" s="19"/>
      <c r="CH1094" s="15"/>
      <c r="CI1094" s="19"/>
      <c r="CJ1094" s="15"/>
      <c r="CK1094" s="19"/>
      <c r="CL1094" s="15"/>
      <c r="CM1094" s="19"/>
      <c r="CN1094" s="15"/>
      <c r="CO1094" s="19"/>
      <c r="CP1094" s="15"/>
      <c r="CQ1094" s="15"/>
      <c r="CR1094" s="15"/>
      <c r="CS1094" s="19"/>
      <c r="CT1094" s="15"/>
      <c r="CU1094" s="19"/>
      <c r="CV1094" s="15"/>
      <c r="CW1094" s="19"/>
      <c r="CX1094" s="15"/>
      <c r="CY1094" s="19"/>
      <c r="CZ1094" s="15"/>
      <c r="DA1094" s="16" t="s">
        <v>197</v>
      </c>
      <c r="DB1094" s="17" t="s">
        <v>228</v>
      </c>
      <c r="DC1094" s="16"/>
      <c r="DD1094" s="17" t="s">
        <v>198</v>
      </c>
      <c r="DE1094" s="18">
        <v>45696.41134259259</v>
      </c>
      <c r="DF1094" s="17" t="s">
        <v>198</v>
      </c>
      <c r="DG1094" s="18">
        <v>45696.41134259259</v>
      </c>
      <c r="DH1094" s="13" t="s">
        <v>205</v>
      </c>
      <c r="DI1094" s="14" t="s">
        <v>179</v>
      </c>
      <c r="DJ1094" s="14" t="s">
        <v>21192</v>
      </c>
      <c r="DK1094" s="15"/>
      <c r="DL1094" s="15"/>
      <c r="DM1094" s="15"/>
      <c r="DN1094" s="15"/>
      <c r="DO1094" s="15"/>
      <c r="DP1094" s="15"/>
      <c r="DQ1094" s="15"/>
      <c r="DR1094" s="15"/>
      <c r="DS1094" s="15"/>
      <c r="DT1094" s="15"/>
      <c r="DU1094" s="15"/>
      <c r="DV1094" s="15"/>
      <c r="DW1094" s="15"/>
      <c r="DX1094" s="15"/>
      <c r="DY1094" s="15"/>
      <c r="DZ1094" s="15"/>
      <c r="EA1094" s="15"/>
      <c r="EB1094" s="15"/>
      <c r="EC1094" s="16" t="s">
        <v>197</v>
      </c>
      <c r="ED1094" s="17" t="s">
        <v>198</v>
      </c>
      <c r="EE1094" s="18">
        <v>45713.41795138889</v>
      </c>
      <c r="EF1094" s="13" t="s">
        <v>209</v>
      </c>
      <c r="EG1094" s="14" t="s">
        <v>179</v>
      </c>
      <c r="EH1094" s="14" t="s">
        <v>21193</v>
      </c>
      <c r="EI1094" s="15"/>
      <c r="EJ1094" s="15"/>
      <c r="EK1094" s="15"/>
      <c r="EL1094" s="15"/>
      <c r="EM1094" s="15"/>
      <c r="EN1094" s="15"/>
      <c r="EO1094" s="15"/>
      <c r="EP1094" s="15"/>
      <c r="EQ1094" s="15"/>
      <c r="ER1094" s="15"/>
      <c r="ES1094" s="15"/>
      <c r="ET1094" s="15"/>
      <c r="EU1094" s="15"/>
      <c r="EV1094" s="15"/>
      <c r="EW1094" s="15"/>
      <c r="EX1094" s="15"/>
      <c r="EY1094" s="15"/>
      <c r="EZ1094" s="15"/>
      <c r="FA1094" s="15"/>
      <c r="FB1094" s="15"/>
      <c r="FC1094" s="16" t="s">
        <v>197</v>
      </c>
      <c r="FD1094" s="17" t="s">
        <v>198</v>
      </c>
      <c r="FE1094" s="18">
        <v>45720.34537037037</v>
      </c>
      <c r="FF1094" s="19"/>
      <c r="FG1094" s="19"/>
      <c r="FH1094" s="21" t="s">
        <v>197</v>
      </c>
      <c r="FI1094" s="17" t="s">
        <v>214</v>
      </c>
      <c r="FJ1094" s="18">
        <v>45720.34537037037</v>
      </c>
      <c r="FK1094" s="14" t="s">
        <v>21193</v>
      </c>
      <c r="FL1094" s="14" t="s">
        <v>21194</v>
      </c>
      <c r="FM1094" s="14" t="s">
        <v>21195</v>
      </c>
      <c r="FN1094" s="19"/>
      <c r="FO1094" s="19"/>
      <c r="FP1094" s="19" t="str">
        <f t="shared" si="1"/>
        <v>Base de Dados_Images/XV65046.Imagem do Equipamento-.132259.jpg</v>
      </c>
      <c r="FQ1094" s="14"/>
      <c r="FR1094" s="14"/>
    </row>
    <row r="1095" ht="15.75" customHeight="1">
      <c r="A1095" s="12" t="s">
        <v>234</v>
      </c>
      <c r="B1095" s="12" t="s">
        <v>2816</v>
      </c>
      <c r="C1095" s="12" t="s">
        <v>219</v>
      </c>
      <c r="D1095" s="22" t="s">
        <v>21196</v>
      </c>
      <c r="E1095" s="22" t="s">
        <v>21197</v>
      </c>
      <c r="F1095" s="13" t="s">
        <v>178</v>
      </c>
      <c r="G1095" s="14" t="s">
        <v>179</v>
      </c>
      <c r="H1095" s="14" t="s">
        <v>21198</v>
      </c>
      <c r="I1095" s="14" t="s">
        <v>179</v>
      </c>
      <c r="J1095" s="14" t="s">
        <v>21199</v>
      </c>
      <c r="K1095" s="14" t="s">
        <v>179</v>
      </c>
      <c r="L1095" s="14" t="s">
        <v>21200</v>
      </c>
      <c r="M1095" s="14" t="s">
        <v>179</v>
      </c>
      <c r="N1095" s="14" t="s">
        <v>21201</v>
      </c>
      <c r="O1095" s="14" t="s">
        <v>179</v>
      </c>
      <c r="P1095" s="14" t="s">
        <v>21202</v>
      </c>
      <c r="Q1095" s="14" t="s">
        <v>179</v>
      </c>
      <c r="R1095" s="14" t="s">
        <v>21203</v>
      </c>
      <c r="S1095" s="14" t="s">
        <v>179</v>
      </c>
      <c r="T1095" s="14" t="s">
        <v>21204</v>
      </c>
      <c r="U1095" s="14" t="s">
        <v>179</v>
      </c>
      <c r="V1095" s="14" t="s">
        <v>21205</v>
      </c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  <c r="AR1095" s="15"/>
      <c r="AS1095" s="15"/>
      <c r="AT1095" s="15"/>
      <c r="AU1095" s="15"/>
      <c r="AV1095" s="15"/>
      <c r="AW1095" s="15"/>
      <c r="AX1095" s="15"/>
      <c r="AY1095" s="15"/>
      <c r="AZ1095" s="15"/>
      <c r="BA1095" s="15"/>
      <c r="BB1095" s="15"/>
      <c r="BC1095" s="15"/>
      <c r="BD1095" s="15"/>
      <c r="BE1095" s="15"/>
      <c r="BF1095" s="15"/>
      <c r="BG1095" s="15"/>
      <c r="BH1095" s="15"/>
      <c r="BI1095" s="15"/>
      <c r="BJ1095" s="15"/>
      <c r="BK1095" s="15"/>
      <c r="BL1095" s="15"/>
      <c r="BM1095" s="15"/>
      <c r="BN1095" s="15"/>
      <c r="BO1095" s="16" t="s">
        <v>197</v>
      </c>
      <c r="BP1095" s="17" t="s">
        <v>228</v>
      </c>
      <c r="BQ1095" s="23"/>
      <c r="BR1095" s="17" t="s">
        <v>198</v>
      </c>
      <c r="BS1095" s="18">
        <v>45688.65803240741</v>
      </c>
      <c r="BT1095" s="17" t="s">
        <v>198</v>
      </c>
      <c r="BU1095" s="18">
        <v>45688.65803240741</v>
      </c>
      <c r="BV1095" s="13" t="s">
        <v>199</v>
      </c>
      <c r="BW1095" s="14" t="s">
        <v>179</v>
      </c>
      <c r="BX1095" s="14" t="s">
        <v>21206</v>
      </c>
      <c r="BY1095" s="14" t="s">
        <v>179</v>
      </c>
      <c r="BZ1095" s="14" t="s">
        <v>21207</v>
      </c>
      <c r="CA1095" s="15"/>
      <c r="CB1095" s="15"/>
      <c r="CC1095" s="15"/>
      <c r="CD1095" s="15"/>
      <c r="CE1095" s="15"/>
      <c r="CF1095" s="15"/>
      <c r="CG1095" s="19"/>
      <c r="CH1095" s="15"/>
      <c r="CI1095" s="19"/>
      <c r="CJ1095" s="15"/>
      <c r="CK1095" s="19"/>
      <c r="CL1095" s="15"/>
      <c r="CM1095" s="19"/>
      <c r="CN1095" s="15"/>
      <c r="CO1095" s="19"/>
      <c r="CP1095" s="15"/>
      <c r="CQ1095" s="15"/>
      <c r="CR1095" s="15"/>
      <c r="CS1095" s="19"/>
      <c r="CT1095" s="15"/>
      <c r="CU1095" s="19"/>
      <c r="CV1095" s="15"/>
      <c r="CW1095" s="19"/>
      <c r="CX1095" s="15"/>
      <c r="CY1095" s="19"/>
      <c r="CZ1095" s="15"/>
      <c r="DA1095" s="16" t="s">
        <v>197</v>
      </c>
      <c r="DB1095" s="17" t="s">
        <v>228</v>
      </c>
      <c r="DC1095" s="16"/>
      <c r="DD1095" s="17" t="s">
        <v>198</v>
      </c>
      <c r="DE1095" s="18">
        <v>45696.41143518518</v>
      </c>
      <c r="DF1095" s="17" t="s">
        <v>198</v>
      </c>
      <c r="DG1095" s="18">
        <v>45696.41143518518</v>
      </c>
      <c r="DH1095" s="13" t="s">
        <v>205</v>
      </c>
      <c r="DI1095" s="14" t="s">
        <v>179</v>
      </c>
      <c r="DJ1095" s="14" t="s">
        <v>21208</v>
      </c>
      <c r="DK1095" s="15"/>
      <c r="DL1095" s="15"/>
      <c r="DM1095" s="15"/>
      <c r="DN1095" s="15"/>
      <c r="DO1095" s="15"/>
      <c r="DP1095" s="15"/>
      <c r="DQ1095" s="15"/>
      <c r="DR1095" s="15"/>
      <c r="DS1095" s="15"/>
      <c r="DT1095" s="15"/>
      <c r="DU1095" s="15"/>
      <c r="DV1095" s="15"/>
      <c r="DW1095" s="15"/>
      <c r="DX1095" s="15"/>
      <c r="DY1095" s="15"/>
      <c r="DZ1095" s="15"/>
      <c r="EA1095" s="15"/>
      <c r="EB1095" s="15"/>
      <c r="EC1095" s="16" t="s">
        <v>197</v>
      </c>
      <c r="ED1095" s="17" t="s">
        <v>198</v>
      </c>
      <c r="EE1095" s="18">
        <v>45703.48811342593</v>
      </c>
      <c r="EF1095" s="13" t="s">
        <v>209</v>
      </c>
      <c r="EG1095" s="14" t="s">
        <v>179</v>
      </c>
      <c r="EH1095" s="14" t="s">
        <v>21209</v>
      </c>
      <c r="EI1095" s="15"/>
      <c r="EJ1095" s="15"/>
      <c r="EK1095" s="15"/>
      <c r="EL1095" s="15"/>
      <c r="EM1095" s="15"/>
      <c r="EN1095" s="15"/>
      <c r="EO1095" s="15"/>
      <c r="EP1095" s="15"/>
      <c r="EQ1095" s="15"/>
      <c r="ER1095" s="15"/>
      <c r="ES1095" s="15"/>
      <c r="ET1095" s="15"/>
      <c r="EU1095" s="15"/>
      <c r="EV1095" s="15"/>
      <c r="EW1095" s="15"/>
      <c r="EX1095" s="15"/>
      <c r="EY1095" s="15"/>
      <c r="EZ1095" s="15"/>
      <c r="FA1095" s="15"/>
      <c r="FB1095" s="15"/>
      <c r="FC1095" s="16" t="s">
        <v>197</v>
      </c>
      <c r="FD1095" s="17" t="s">
        <v>198</v>
      </c>
      <c r="FE1095" s="18">
        <v>45720.345555555556</v>
      </c>
      <c r="FF1095" s="19"/>
      <c r="FG1095" s="19"/>
      <c r="FH1095" s="21" t="s">
        <v>197</v>
      </c>
      <c r="FI1095" s="17" t="s">
        <v>214</v>
      </c>
      <c r="FJ1095" s="18">
        <v>45720.345555555556</v>
      </c>
      <c r="FK1095" s="14" t="s">
        <v>21209</v>
      </c>
      <c r="FL1095" s="14" t="s">
        <v>21210</v>
      </c>
      <c r="FM1095" s="14" t="s">
        <v>21211</v>
      </c>
      <c r="FN1095" s="19"/>
      <c r="FO1095" s="19"/>
      <c r="FP1095" s="19" t="str">
        <f t="shared" si="1"/>
        <v>Base de Dados_Images/XV65047.Imagem do Equipamento-.115135.jpg</v>
      </c>
      <c r="FQ1095" s="14"/>
      <c r="FR1095" s="14"/>
    </row>
    <row r="1096" ht="15.75" customHeight="1">
      <c r="A1096" s="12" t="s">
        <v>234</v>
      </c>
      <c r="B1096" s="12" t="s">
        <v>2816</v>
      </c>
      <c r="C1096" s="12" t="s">
        <v>219</v>
      </c>
      <c r="D1096" s="22" t="s">
        <v>21212</v>
      </c>
      <c r="E1096" s="22" t="s">
        <v>21213</v>
      </c>
      <c r="F1096" s="13" t="s">
        <v>178</v>
      </c>
      <c r="G1096" s="14" t="s">
        <v>179</v>
      </c>
      <c r="H1096" s="14" t="s">
        <v>21214</v>
      </c>
      <c r="I1096" s="14" t="s">
        <v>179</v>
      </c>
      <c r="J1096" s="14" t="s">
        <v>21214</v>
      </c>
      <c r="K1096" s="14" t="s">
        <v>179</v>
      </c>
      <c r="L1096" s="14" t="s">
        <v>21215</v>
      </c>
      <c r="M1096" s="14" t="s">
        <v>179</v>
      </c>
      <c r="N1096" s="14" t="s">
        <v>21216</v>
      </c>
      <c r="O1096" s="14" t="s">
        <v>179</v>
      </c>
      <c r="P1096" s="14" t="s">
        <v>21217</v>
      </c>
      <c r="Q1096" s="14" t="s">
        <v>179</v>
      </c>
      <c r="R1096" s="14" t="s">
        <v>21218</v>
      </c>
      <c r="S1096" s="14" t="s">
        <v>179</v>
      </c>
      <c r="T1096" s="14" t="s">
        <v>21219</v>
      </c>
      <c r="U1096" s="14" t="s">
        <v>179</v>
      </c>
      <c r="V1096" s="14" t="s">
        <v>21220</v>
      </c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  <c r="AH1096" s="15"/>
      <c r="AI1096" s="15"/>
      <c r="AJ1096" s="15"/>
      <c r="AK1096" s="15"/>
      <c r="AL1096" s="15"/>
      <c r="AM1096" s="15"/>
      <c r="AN1096" s="15"/>
      <c r="AO1096" s="15"/>
      <c r="AP1096" s="15"/>
      <c r="AQ1096" s="15"/>
      <c r="AR1096" s="15"/>
      <c r="AS1096" s="15"/>
      <c r="AT1096" s="15"/>
      <c r="AU1096" s="15"/>
      <c r="AV1096" s="15"/>
      <c r="AW1096" s="15"/>
      <c r="AX1096" s="15"/>
      <c r="AY1096" s="15"/>
      <c r="AZ1096" s="15"/>
      <c r="BA1096" s="15"/>
      <c r="BB1096" s="15"/>
      <c r="BC1096" s="15"/>
      <c r="BD1096" s="15"/>
      <c r="BE1096" s="15"/>
      <c r="BF1096" s="15"/>
      <c r="BG1096" s="15"/>
      <c r="BH1096" s="15"/>
      <c r="BI1096" s="15"/>
      <c r="BJ1096" s="15"/>
      <c r="BK1096" s="15"/>
      <c r="BL1096" s="15"/>
      <c r="BM1096" s="15"/>
      <c r="BN1096" s="15"/>
      <c r="BO1096" s="16" t="s">
        <v>197</v>
      </c>
      <c r="BP1096" s="17" t="s">
        <v>228</v>
      </c>
      <c r="BQ1096" s="23"/>
      <c r="BR1096" s="17" t="s">
        <v>198</v>
      </c>
      <c r="BS1096" s="18">
        <v>45678.341782407406</v>
      </c>
      <c r="BT1096" s="17" t="s">
        <v>198</v>
      </c>
      <c r="BU1096" s="18">
        <v>45678.341782407406</v>
      </c>
      <c r="BV1096" s="13" t="s">
        <v>199</v>
      </c>
      <c r="BW1096" s="14" t="s">
        <v>179</v>
      </c>
      <c r="BX1096" s="14" t="s">
        <v>21221</v>
      </c>
      <c r="BY1096" s="14" t="s">
        <v>179</v>
      </c>
      <c r="BZ1096" s="14" t="s">
        <v>21222</v>
      </c>
      <c r="CA1096" s="15"/>
      <c r="CB1096" s="15"/>
      <c r="CC1096" s="15"/>
      <c r="CD1096" s="15"/>
      <c r="CE1096" s="15"/>
      <c r="CF1096" s="15"/>
      <c r="CG1096" s="19"/>
      <c r="CH1096" s="15"/>
      <c r="CI1096" s="19"/>
      <c r="CJ1096" s="15"/>
      <c r="CK1096" s="19"/>
      <c r="CL1096" s="15"/>
      <c r="CM1096" s="19"/>
      <c r="CN1096" s="15"/>
      <c r="CO1096" s="19"/>
      <c r="CP1096" s="15"/>
      <c r="CQ1096" s="15"/>
      <c r="CR1096" s="15"/>
      <c r="CS1096" s="19"/>
      <c r="CT1096" s="15"/>
      <c r="CU1096" s="19"/>
      <c r="CV1096" s="15"/>
      <c r="CW1096" s="19"/>
      <c r="CX1096" s="15"/>
      <c r="CY1096" s="19"/>
      <c r="CZ1096" s="15"/>
      <c r="DA1096" s="16" t="s">
        <v>197</v>
      </c>
      <c r="DB1096" s="17" t="s">
        <v>228</v>
      </c>
      <c r="DC1096" s="16"/>
      <c r="DD1096" s="17" t="s">
        <v>198</v>
      </c>
      <c r="DE1096" s="18">
        <v>45696.411574074074</v>
      </c>
      <c r="DF1096" s="17" t="s">
        <v>198</v>
      </c>
      <c r="DG1096" s="18">
        <v>45696.411574074074</v>
      </c>
      <c r="DH1096" s="13" t="s">
        <v>205</v>
      </c>
      <c r="DI1096" s="14" t="s">
        <v>179</v>
      </c>
      <c r="DJ1096" s="14" t="s">
        <v>21223</v>
      </c>
      <c r="DK1096" s="15"/>
      <c r="DL1096" s="15"/>
      <c r="DM1096" s="15"/>
      <c r="DN1096" s="15"/>
      <c r="DO1096" s="15"/>
      <c r="DP1096" s="15"/>
      <c r="DQ1096" s="15"/>
      <c r="DR1096" s="15"/>
      <c r="DS1096" s="15"/>
      <c r="DT1096" s="15"/>
      <c r="DU1096" s="15"/>
      <c r="DV1096" s="15"/>
      <c r="DW1096" s="15"/>
      <c r="DX1096" s="15"/>
      <c r="DY1096" s="15"/>
      <c r="DZ1096" s="15"/>
      <c r="EA1096" s="15"/>
      <c r="EB1096" s="15"/>
      <c r="EC1096" s="16" t="s">
        <v>197</v>
      </c>
      <c r="ED1096" s="17" t="s">
        <v>198</v>
      </c>
      <c r="EE1096" s="18">
        <v>45703.48825231481</v>
      </c>
      <c r="EF1096" s="13" t="s">
        <v>209</v>
      </c>
      <c r="EG1096" s="14" t="s">
        <v>179</v>
      </c>
      <c r="EH1096" s="14" t="s">
        <v>21224</v>
      </c>
      <c r="EI1096" s="15"/>
      <c r="EJ1096" s="15"/>
      <c r="EK1096" s="15"/>
      <c r="EL1096" s="15"/>
      <c r="EM1096" s="15"/>
      <c r="EN1096" s="15"/>
      <c r="EO1096" s="15"/>
      <c r="EP1096" s="15"/>
      <c r="EQ1096" s="15"/>
      <c r="ER1096" s="15"/>
      <c r="ES1096" s="15"/>
      <c r="ET1096" s="15"/>
      <c r="EU1096" s="15"/>
      <c r="EV1096" s="15"/>
      <c r="EW1096" s="15"/>
      <c r="EX1096" s="15"/>
      <c r="EY1096" s="15"/>
      <c r="EZ1096" s="15"/>
      <c r="FA1096" s="15"/>
      <c r="FB1096" s="15"/>
      <c r="FC1096" s="16" t="s">
        <v>197</v>
      </c>
      <c r="FD1096" s="17" t="s">
        <v>198</v>
      </c>
      <c r="FE1096" s="18">
        <v>45720.345659722225</v>
      </c>
      <c r="FF1096" s="19"/>
      <c r="FG1096" s="19"/>
      <c r="FH1096" s="21" t="s">
        <v>197</v>
      </c>
      <c r="FI1096" s="17" t="s">
        <v>214</v>
      </c>
      <c r="FJ1096" s="18">
        <v>45720.345659722225</v>
      </c>
      <c r="FK1096" s="14" t="s">
        <v>21224</v>
      </c>
      <c r="FL1096" s="14" t="s">
        <v>21225</v>
      </c>
      <c r="FM1096" s="14" t="s">
        <v>21226</v>
      </c>
      <c r="FN1096" s="19"/>
      <c r="FO1096" s="19"/>
      <c r="FP1096" s="19" t="str">
        <f t="shared" si="1"/>
        <v>Base de Dados_Images/XV65048.Imagem do Equipamento-.140255.jpg</v>
      </c>
      <c r="FQ1096" s="19"/>
      <c r="FR1096" s="19"/>
    </row>
    <row r="1097" ht="15.75" customHeight="1">
      <c r="A1097" s="12" t="s">
        <v>234</v>
      </c>
      <c r="B1097" s="12" t="s">
        <v>2850</v>
      </c>
      <c r="C1097" s="12" t="s">
        <v>219</v>
      </c>
      <c r="D1097" s="22" t="s">
        <v>21227</v>
      </c>
      <c r="E1097" s="22" t="s">
        <v>21228</v>
      </c>
      <c r="F1097" s="13" t="s">
        <v>178</v>
      </c>
      <c r="G1097" s="14" t="s">
        <v>179</v>
      </c>
      <c r="H1097" s="14" t="s">
        <v>21229</v>
      </c>
      <c r="I1097" s="14" t="s">
        <v>179</v>
      </c>
      <c r="J1097" s="14" t="s">
        <v>21230</v>
      </c>
      <c r="K1097" s="14" t="s">
        <v>179</v>
      </c>
      <c r="L1097" s="14" t="s">
        <v>21231</v>
      </c>
      <c r="M1097" s="14" t="s">
        <v>179</v>
      </c>
      <c r="N1097" s="14" t="s">
        <v>21232</v>
      </c>
      <c r="O1097" s="14" t="s">
        <v>179</v>
      </c>
      <c r="P1097" s="14" t="s">
        <v>21233</v>
      </c>
      <c r="Q1097" s="14" t="s">
        <v>179</v>
      </c>
      <c r="R1097" s="14" t="s">
        <v>21234</v>
      </c>
      <c r="S1097" s="14" t="s">
        <v>179</v>
      </c>
      <c r="T1097" s="14" t="s">
        <v>21235</v>
      </c>
      <c r="U1097" s="14" t="s">
        <v>179</v>
      </c>
      <c r="V1097" s="14" t="s">
        <v>21236</v>
      </c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5"/>
      <c r="AP1097" s="15"/>
      <c r="AQ1097" s="15"/>
      <c r="AR1097" s="15"/>
      <c r="AS1097" s="15"/>
      <c r="AT1097" s="15"/>
      <c r="AU1097" s="15"/>
      <c r="AV1097" s="15"/>
      <c r="AW1097" s="15"/>
      <c r="AX1097" s="15"/>
      <c r="AY1097" s="15"/>
      <c r="AZ1097" s="15"/>
      <c r="BA1097" s="15"/>
      <c r="BB1097" s="15"/>
      <c r="BC1097" s="15"/>
      <c r="BD1097" s="15"/>
      <c r="BE1097" s="15"/>
      <c r="BF1097" s="15"/>
      <c r="BG1097" s="15"/>
      <c r="BH1097" s="15"/>
      <c r="BI1097" s="15"/>
      <c r="BJ1097" s="15"/>
      <c r="BK1097" s="15"/>
      <c r="BL1097" s="15"/>
      <c r="BM1097" s="15"/>
      <c r="BN1097" s="15"/>
      <c r="BO1097" s="16" t="s">
        <v>197</v>
      </c>
      <c r="BP1097" s="17" t="s">
        <v>228</v>
      </c>
      <c r="BQ1097" s="23"/>
      <c r="BR1097" s="17" t="s">
        <v>198</v>
      </c>
      <c r="BS1097" s="18">
        <v>45687.38905092593</v>
      </c>
      <c r="BT1097" s="17" t="s">
        <v>198</v>
      </c>
      <c r="BU1097" s="18">
        <v>45687.38905092593</v>
      </c>
      <c r="BV1097" s="13" t="s">
        <v>199</v>
      </c>
      <c r="BW1097" s="14" t="s">
        <v>179</v>
      </c>
      <c r="BX1097" s="14" t="s">
        <v>21237</v>
      </c>
      <c r="BY1097" s="14" t="s">
        <v>179</v>
      </c>
      <c r="BZ1097" s="14" t="s">
        <v>21237</v>
      </c>
      <c r="CA1097" s="15"/>
      <c r="CB1097" s="15"/>
      <c r="CC1097" s="15"/>
      <c r="CD1097" s="15"/>
      <c r="CE1097" s="15"/>
      <c r="CF1097" s="15"/>
      <c r="CG1097" s="19"/>
      <c r="CH1097" s="15"/>
      <c r="CI1097" s="19"/>
      <c r="CJ1097" s="15"/>
      <c r="CK1097" s="19"/>
      <c r="CL1097" s="15"/>
      <c r="CM1097" s="19"/>
      <c r="CN1097" s="15"/>
      <c r="CO1097" s="19"/>
      <c r="CP1097" s="15"/>
      <c r="CQ1097" s="15"/>
      <c r="CR1097" s="15"/>
      <c r="CS1097" s="19"/>
      <c r="CT1097" s="15"/>
      <c r="CU1097" s="19"/>
      <c r="CV1097" s="15"/>
      <c r="CW1097" s="19"/>
      <c r="CX1097" s="15"/>
      <c r="CY1097" s="19"/>
      <c r="CZ1097" s="15"/>
      <c r="DA1097" s="16" t="s">
        <v>197</v>
      </c>
      <c r="DB1097" s="17" t="s">
        <v>228</v>
      </c>
      <c r="DC1097" s="16"/>
      <c r="DD1097" s="17" t="s">
        <v>198</v>
      </c>
      <c r="DE1097" s="18">
        <v>45696.41371527778</v>
      </c>
      <c r="DF1097" s="17" t="s">
        <v>198</v>
      </c>
      <c r="DG1097" s="18">
        <v>45696.41371527778</v>
      </c>
      <c r="DH1097" s="13" t="s">
        <v>205</v>
      </c>
      <c r="DI1097" s="14" t="s">
        <v>179</v>
      </c>
      <c r="DJ1097" s="14" t="s">
        <v>21238</v>
      </c>
      <c r="DK1097" s="15"/>
      <c r="DL1097" s="15"/>
      <c r="DM1097" s="15"/>
      <c r="DN1097" s="15"/>
      <c r="DO1097" s="15"/>
      <c r="DP1097" s="15"/>
      <c r="DQ1097" s="15"/>
      <c r="DR1097" s="15"/>
      <c r="DS1097" s="15"/>
      <c r="DT1097" s="15"/>
      <c r="DU1097" s="15"/>
      <c r="DV1097" s="15"/>
      <c r="DW1097" s="15"/>
      <c r="DX1097" s="15"/>
      <c r="DY1097" s="15"/>
      <c r="DZ1097" s="15"/>
      <c r="EA1097" s="15"/>
      <c r="EB1097" s="15"/>
      <c r="EC1097" s="16" t="s">
        <v>197</v>
      </c>
      <c r="ED1097" s="17" t="s">
        <v>198</v>
      </c>
      <c r="EE1097" s="18">
        <v>45696.41991898148</v>
      </c>
      <c r="EF1097" s="13" t="s">
        <v>209</v>
      </c>
      <c r="EG1097" s="14" t="s">
        <v>179</v>
      </c>
      <c r="EH1097" s="14" t="s">
        <v>21239</v>
      </c>
      <c r="EI1097" s="15"/>
      <c r="EJ1097" s="15"/>
      <c r="EK1097" s="15"/>
      <c r="EL1097" s="15"/>
      <c r="EM1097" s="15"/>
      <c r="EN1097" s="15"/>
      <c r="EO1097" s="15"/>
      <c r="EP1097" s="15"/>
      <c r="EQ1097" s="15"/>
      <c r="ER1097" s="15"/>
      <c r="ES1097" s="15"/>
      <c r="ET1097" s="15"/>
      <c r="EU1097" s="15"/>
      <c r="EV1097" s="15"/>
      <c r="EW1097" s="15"/>
      <c r="EX1097" s="15"/>
      <c r="EY1097" s="15"/>
      <c r="EZ1097" s="15"/>
      <c r="FA1097" s="15"/>
      <c r="FB1097" s="15"/>
      <c r="FC1097" s="16" t="s">
        <v>197</v>
      </c>
      <c r="FD1097" s="17" t="s">
        <v>198</v>
      </c>
      <c r="FE1097" s="18">
        <v>45720.349953703706</v>
      </c>
      <c r="FF1097" s="19"/>
      <c r="FG1097" s="19"/>
      <c r="FH1097" s="21" t="s">
        <v>197</v>
      </c>
      <c r="FI1097" s="17" t="s">
        <v>214</v>
      </c>
      <c r="FJ1097" s="18">
        <v>45720.349953703706</v>
      </c>
      <c r="FK1097" s="14" t="s">
        <v>21239</v>
      </c>
      <c r="FL1097" s="14" t="s">
        <v>21240</v>
      </c>
      <c r="FM1097" s="14" t="s">
        <v>21241</v>
      </c>
      <c r="FN1097" s="19"/>
      <c r="FO1097" s="19"/>
      <c r="FP1097" s="19" t="str">
        <f t="shared" si="1"/>
        <v>Base de Dados_Images/XV65049.Imagem do Equipamento-.131444.jpg</v>
      </c>
      <c r="FQ1097" s="19"/>
      <c r="FR1097" s="19"/>
    </row>
    <row r="1098" ht="15.75" customHeight="1">
      <c r="A1098" s="12" t="s">
        <v>234</v>
      </c>
      <c r="B1098" s="12" t="s">
        <v>2850</v>
      </c>
      <c r="C1098" s="12" t="s">
        <v>219</v>
      </c>
      <c r="D1098" s="22" t="s">
        <v>21242</v>
      </c>
      <c r="E1098" s="22" t="s">
        <v>21243</v>
      </c>
      <c r="F1098" s="13" t="s">
        <v>178</v>
      </c>
      <c r="G1098" s="14" t="s">
        <v>179</v>
      </c>
      <c r="H1098" s="14" t="s">
        <v>21244</v>
      </c>
      <c r="I1098" s="14" t="s">
        <v>179</v>
      </c>
      <c r="J1098" s="14" t="s">
        <v>21245</v>
      </c>
      <c r="K1098" s="14" t="s">
        <v>179</v>
      </c>
      <c r="L1098" s="14" t="s">
        <v>21246</v>
      </c>
      <c r="M1098" s="14" t="s">
        <v>179</v>
      </c>
      <c r="N1098" s="14" t="s">
        <v>21247</v>
      </c>
      <c r="O1098" s="14" t="s">
        <v>179</v>
      </c>
      <c r="P1098" s="14" t="s">
        <v>21248</v>
      </c>
      <c r="Q1098" s="14" t="s">
        <v>179</v>
      </c>
      <c r="R1098" s="14" t="s">
        <v>21249</v>
      </c>
      <c r="S1098" s="14" t="s">
        <v>179</v>
      </c>
      <c r="T1098" s="14" t="s">
        <v>21250</v>
      </c>
      <c r="U1098" s="14" t="s">
        <v>179</v>
      </c>
      <c r="V1098" s="14" t="s">
        <v>21251</v>
      </c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  <c r="AG1098" s="15"/>
      <c r="AH1098" s="15"/>
      <c r="AI1098" s="15"/>
      <c r="AJ1098" s="15"/>
      <c r="AK1098" s="15"/>
      <c r="AL1098" s="15"/>
      <c r="AM1098" s="15"/>
      <c r="AN1098" s="15"/>
      <c r="AO1098" s="15"/>
      <c r="AP1098" s="15"/>
      <c r="AQ1098" s="15"/>
      <c r="AR1098" s="15"/>
      <c r="AS1098" s="15"/>
      <c r="AT1098" s="15"/>
      <c r="AU1098" s="15"/>
      <c r="AV1098" s="15"/>
      <c r="AW1098" s="15"/>
      <c r="AX1098" s="15"/>
      <c r="AY1098" s="15"/>
      <c r="AZ1098" s="15"/>
      <c r="BA1098" s="15"/>
      <c r="BB1098" s="15"/>
      <c r="BC1098" s="15"/>
      <c r="BD1098" s="15"/>
      <c r="BE1098" s="15"/>
      <c r="BF1098" s="15"/>
      <c r="BG1098" s="15"/>
      <c r="BH1098" s="15"/>
      <c r="BI1098" s="15"/>
      <c r="BJ1098" s="15"/>
      <c r="BK1098" s="15"/>
      <c r="BL1098" s="15"/>
      <c r="BM1098" s="15"/>
      <c r="BN1098" s="15"/>
      <c r="BO1098" s="16" t="s">
        <v>197</v>
      </c>
      <c r="BP1098" s="17" t="s">
        <v>228</v>
      </c>
      <c r="BQ1098" s="23"/>
      <c r="BR1098" s="17" t="s">
        <v>198</v>
      </c>
      <c r="BS1098" s="18">
        <v>45687.38966435185</v>
      </c>
      <c r="BT1098" s="17" t="s">
        <v>198</v>
      </c>
      <c r="BU1098" s="18">
        <v>45687.38966435185</v>
      </c>
      <c r="BV1098" s="13" t="s">
        <v>199</v>
      </c>
      <c r="BW1098" s="14" t="s">
        <v>179</v>
      </c>
      <c r="BX1098" s="14" t="s">
        <v>21252</v>
      </c>
      <c r="BY1098" s="14" t="s">
        <v>179</v>
      </c>
      <c r="BZ1098" s="14" t="s">
        <v>21253</v>
      </c>
      <c r="CA1098" s="15"/>
      <c r="CB1098" s="15"/>
      <c r="CC1098" s="15"/>
      <c r="CD1098" s="15"/>
      <c r="CE1098" s="15"/>
      <c r="CF1098" s="15"/>
      <c r="CG1098" s="19"/>
      <c r="CH1098" s="15"/>
      <c r="CI1098" s="19"/>
      <c r="CJ1098" s="15"/>
      <c r="CK1098" s="19"/>
      <c r="CL1098" s="15"/>
      <c r="CM1098" s="19"/>
      <c r="CN1098" s="15"/>
      <c r="CO1098" s="19"/>
      <c r="CP1098" s="15"/>
      <c r="CQ1098" s="15"/>
      <c r="CR1098" s="15"/>
      <c r="CS1098" s="19"/>
      <c r="CT1098" s="15"/>
      <c r="CU1098" s="19"/>
      <c r="CV1098" s="15"/>
      <c r="CW1098" s="19"/>
      <c r="CX1098" s="15"/>
      <c r="CY1098" s="19"/>
      <c r="CZ1098" s="15"/>
      <c r="DA1098" s="16" t="s">
        <v>197</v>
      </c>
      <c r="DB1098" s="17" t="s">
        <v>228</v>
      </c>
      <c r="DC1098" s="16"/>
      <c r="DD1098" s="17" t="s">
        <v>198</v>
      </c>
      <c r="DE1098" s="18">
        <v>45696.42010416667</v>
      </c>
      <c r="DF1098" s="17" t="s">
        <v>198</v>
      </c>
      <c r="DG1098" s="18">
        <v>45696.42010416667</v>
      </c>
      <c r="DH1098" s="13" t="s">
        <v>205</v>
      </c>
      <c r="DI1098" s="14" t="s">
        <v>179</v>
      </c>
      <c r="DJ1098" s="14" t="s">
        <v>21254</v>
      </c>
      <c r="DK1098" s="15"/>
      <c r="DL1098" s="15"/>
      <c r="DM1098" s="15"/>
      <c r="DN1098" s="15"/>
      <c r="DO1098" s="15"/>
      <c r="DP1098" s="15"/>
      <c r="DQ1098" s="15"/>
      <c r="DR1098" s="15"/>
      <c r="DS1098" s="15"/>
      <c r="DT1098" s="15"/>
      <c r="DU1098" s="15"/>
      <c r="DV1098" s="15"/>
      <c r="DW1098" s="15"/>
      <c r="DX1098" s="15"/>
      <c r="DY1098" s="15"/>
      <c r="DZ1098" s="15"/>
      <c r="EA1098" s="15"/>
      <c r="EB1098" s="15"/>
      <c r="EC1098" s="16" t="s">
        <v>197</v>
      </c>
      <c r="ED1098" s="17" t="s">
        <v>198</v>
      </c>
      <c r="EE1098" s="18">
        <v>45703.501921296294</v>
      </c>
      <c r="EF1098" s="13" t="s">
        <v>209</v>
      </c>
      <c r="EG1098" s="14" t="s">
        <v>179</v>
      </c>
      <c r="EH1098" s="14" t="s">
        <v>21255</v>
      </c>
      <c r="EI1098" s="15"/>
      <c r="EJ1098" s="15"/>
      <c r="EK1098" s="15"/>
      <c r="EL1098" s="15"/>
      <c r="EM1098" s="15"/>
      <c r="EN1098" s="15"/>
      <c r="EO1098" s="15"/>
      <c r="EP1098" s="15"/>
      <c r="EQ1098" s="15"/>
      <c r="ER1098" s="15"/>
      <c r="ES1098" s="15"/>
      <c r="ET1098" s="15"/>
      <c r="EU1098" s="15"/>
      <c r="EV1098" s="15"/>
      <c r="EW1098" s="15"/>
      <c r="EX1098" s="15"/>
      <c r="EY1098" s="15"/>
      <c r="EZ1098" s="15"/>
      <c r="FA1098" s="15"/>
      <c r="FB1098" s="15"/>
      <c r="FC1098" s="16" t="s">
        <v>197</v>
      </c>
      <c r="FD1098" s="17" t="s">
        <v>198</v>
      </c>
      <c r="FE1098" s="18">
        <v>45720.350011574075</v>
      </c>
      <c r="FF1098" s="19"/>
      <c r="FG1098" s="19"/>
      <c r="FH1098" s="21" t="s">
        <v>197</v>
      </c>
      <c r="FI1098" s="17" t="s">
        <v>214</v>
      </c>
      <c r="FJ1098" s="18">
        <v>45720.350011574075</v>
      </c>
      <c r="FK1098" s="14" t="s">
        <v>21255</v>
      </c>
      <c r="FL1098" s="14" t="s">
        <v>21256</v>
      </c>
      <c r="FM1098" s="14" t="s">
        <v>21257</v>
      </c>
      <c r="FN1098" s="19"/>
      <c r="FO1098" s="19"/>
      <c r="FP1098" s="19" t="str">
        <f t="shared" si="1"/>
        <v>Base de Dados_Images/XV65054.Imagem do Equipamento-.131526.jpg</v>
      </c>
      <c r="FQ1098" s="19"/>
      <c r="FR1098" s="19"/>
    </row>
    <row r="1099" ht="15.75" customHeight="1">
      <c r="A1099" s="12" t="s">
        <v>234</v>
      </c>
      <c r="B1099" s="12" t="s">
        <v>2850</v>
      </c>
      <c r="C1099" s="12" t="s">
        <v>219</v>
      </c>
      <c r="D1099" s="22" t="s">
        <v>21258</v>
      </c>
      <c r="E1099" s="22" t="s">
        <v>21259</v>
      </c>
      <c r="F1099" s="13" t="s">
        <v>178</v>
      </c>
      <c r="G1099" s="14" t="s">
        <v>179</v>
      </c>
      <c r="H1099" s="14" t="s">
        <v>21260</v>
      </c>
      <c r="I1099" s="14" t="s">
        <v>179</v>
      </c>
      <c r="J1099" s="14" t="s">
        <v>21260</v>
      </c>
      <c r="K1099" s="14" t="s">
        <v>179</v>
      </c>
      <c r="L1099" s="14" t="s">
        <v>21261</v>
      </c>
      <c r="M1099" s="14" t="s">
        <v>179</v>
      </c>
      <c r="N1099" s="14" t="s">
        <v>21262</v>
      </c>
      <c r="O1099" s="14" t="s">
        <v>179</v>
      </c>
      <c r="P1099" s="14" t="s">
        <v>21263</v>
      </c>
      <c r="Q1099" s="14" t="s">
        <v>179</v>
      </c>
      <c r="R1099" s="14" t="s">
        <v>21264</v>
      </c>
      <c r="S1099" s="14" t="s">
        <v>179</v>
      </c>
      <c r="T1099" s="14" t="s">
        <v>21265</v>
      </c>
      <c r="U1099" s="14" t="s">
        <v>179</v>
      </c>
      <c r="V1099" s="14" t="s">
        <v>21266</v>
      </c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  <c r="AN1099" s="15"/>
      <c r="AO1099" s="15"/>
      <c r="AP1099" s="15"/>
      <c r="AQ1099" s="15"/>
      <c r="AR1099" s="15"/>
      <c r="AS1099" s="15"/>
      <c r="AT1099" s="15"/>
      <c r="AU1099" s="15"/>
      <c r="AV1099" s="15"/>
      <c r="AW1099" s="15"/>
      <c r="AX1099" s="15"/>
      <c r="AY1099" s="15"/>
      <c r="AZ1099" s="15"/>
      <c r="BA1099" s="15"/>
      <c r="BB1099" s="15"/>
      <c r="BC1099" s="15"/>
      <c r="BD1099" s="15"/>
      <c r="BE1099" s="15"/>
      <c r="BF1099" s="15"/>
      <c r="BG1099" s="15"/>
      <c r="BH1099" s="15"/>
      <c r="BI1099" s="15"/>
      <c r="BJ1099" s="15"/>
      <c r="BK1099" s="15"/>
      <c r="BL1099" s="15"/>
      <c r="BM1099" s="15"/>
      <c r="BN1099" s="15"/>
      <c r="BO1099" s="16" t="s">
        <v>197</v>
      </c>
      <c r="BP1099" s="17" t="s">
        <v>228</v>
      </c>
      <c r="BQ1099" s="23"/>
      <c r="BR1099" s="17" t="s">
        <v>198</v>
      </c>
      <c r="BS1099" s="18">
        <v>45694.613900462966</v>
      </c>
      <c r="BT1099" s="17" t="s">
        <v>198</v>
      </c>
      <c r="BU1099" s="18">
        <v>45694.613900462966</v>
      </c>
      <c r="BV1099" s="13" t="s">
        <v>199</v>
      </c>
      <c r="BW1099" s="14" t="s">
        <v>179</v>
      </c>
      <c r="BX1099" s="14" t="s">
        <v>21267</v>
      </c>
      <c r="BY1099" s="14" t="s">
        <v>179</v>
      </c>
      <c r="BZ1099" s="14" t="s">
        <v>21268</v>
      </c>
      <c r="CA1099" s="15"/>
      <c r="CB1099" s="15"/>
      <c r="CC1099" s="15"/>
      <c r="CD1099" s="15"/>
      <c r="CE1099" s="15"/>
      <c r="CF1099" s="15"/>
      <c r="CG1099" s="19"/>
      <c r="CH1099" s="15"/>
      <c r="CI1099" s="19"/>
      <c r="CJ1099" s="15"/>
      <c r="CK1099" s="19"/>
      <c r="CL1099" s="15"/>
      <c r="CM1099" s="19"/>
      <c r="CN1099" s="15"/>
      <c r="CO1099" s="19"/>
      <c r="CP1099" s="15"/>
      <c r="CQ1099" s="15"/>
      <c r="CR1099" s="15"/>
      <c r="CS1099" s="19"/>
      <c r="CT1099" s="15"/>
      <c r="CU1099" s="19"/>
      <c r="CV1099" s="15"/>
      <c r="CW1099" s="19"/>
      <c r="CX1099" s="15"/>
      <c r="CY1099" s="19"/>
      <c r="CZ1099" s="15"/>
      <c r="DA1099" s="16" t="s">
        <v>197</v>
      </c>
      <c r="DB1099" s="17" t="s">
        <v>228</v>
      </c>
      <c r="DC1099" s="16"/>
      <c r="DD1099" s="17" t="s">
        <v>198</v>
      </c>
      <c r="DE1099" s="18">
        <v>45696.420335648145</v>
      </c>
      <c r="DF1099" s="17" t="s">
        <v>198</v>
      </c>
      <c r="DG1099" s="18">
        <v>45696.420335648145</v>
      </c>
      <c r="DH1099" s="13" t="s">
        <v>205</v>
      </c>
      <c r="DI1099" s="14" t="s">
        <v>179</v>
      </c>
      <c r="DJ1099" s="14" t="s">
        <v>21269</v>
      </c>
      <c r="DK1099" s="15"/>
      <c r="DL1099" s="15"/>
      <c r="DM1099" s="15"/>
      <c r="DN1099" s="15"/>
      <c r="DO1099" s="15"/>
      <c r="DP1099" s="15"/>
      <c r="DQ1099" s="15"/>
      <c r="DR1099" s="15"/>
      <c r="DS1099" s="15"/>
      <c r="DT1099" s="15"/>
      <c r="DU1099" s="15"/>
      <c r="DV1099" s="15"/>
      <c r="DW1099" s="15"/>
      <c r="DX1099" s="15"/>
      <c r="DY1099" s="15"/>
      <c r="DZ1099" s="15"/>
      <c r="EA1099" s="15"/>
      <c r="EB1099" s="15"/>
      <c r="EC1099" s="16" t="s">
        <v>197</v>
      </c>
      <c r="ED1099" s="17" t="s">
        <v>198</v>
      </c>
      <c r="EE1099" s="18">
        <v>45703.501747685186</v>
      </c>
      <c r="EF1099" s="13" t="s">
        <v>209</v>
      </c>
      <c r="EG1099" s="14" t="s">
        <v>179</v>
      </c>
      <c r="EH1099" s="14" t="s">
        <v>21270</v>
      </c>
      <c r="EI1099" s="15"/>
      <c r="EJ1099" s="15"/>
      <c r="EK1099" s="15"/>
      <c r="EL1099" s="15"/>
      <c r="EM1099" s="15"/>
      <c r="EN1099" s="15"/>
      <c r="EO1099" s="15"/>
      <c r="EP1099" s="15"/>
      <c r="EQ1099" s="15"/>
      <c r="ER1099" s="15"/>
      <c r="ES1099" s="15"/>
      <c r="ET1099" s="15"/>
      <c r="EU1099" s="15"/>
      <c r="EV1099" s="15"/>
      <c r="EW1099" s="15"/>
      <c r="EX1099" s="15"/>
      <c r="EY1099" s="15"/>
      <c r="EZ1099" s="15"/>
      <c r="FA1099" s="15"/>
      <c r="FB1099" s="15"/>
      <c r="FC1099" s="16" t="s">
        <v>197</v>
      </c>
      <c r="FD1099" s="17" t="s">
        <v>198</v>
      </c>
      <c r="FE1099" s="18">
        <v>45720.35010416667</v>
      </c>
      <c r="FF1099" s="19"/>
      <c r="FG1099" s="19"/>
      <c r="FH1099" s="21" t="s">
        <v>197</v>
      </c>
      <c r="FI1099" s="17" t="s">
        <v>214</v>
      </c>
      <c r="FJ1099" s="18">
        <v>45720.35010416667</v>
      </c>
      <c r="FK1099" s="14" t="s">
        <v>21270</v>
      </c>
      <c r="FL1099" s="14" t="s">
        <v>21271</v>
      </c>
      <c r="FM1099" s="14" t="s">
        <v>21272</v>
      </c>
      <c r="FN1099" s="19"/>
      <c r="FO1099" s="19"/>
      <c r="FP1099" s="19" t="str">
        <f t="shared" si="1"/>
        <v>Base de Dados_Images/XV65055.Imagem do Equipamento-.174613.jpg</v>
      </c>
      <c r="FQ1099" s="14"/>
      <c r="FR1099" s="14"/>
    </row>
    <row r="1100" ht="15.75" customHeight="1">
      <c r="A1100" s="12" t="s">
        <v>234</v>
      </c>
      <c r="B1100" s="12" t="s">
        <v>2850</v>
      </c>
      <c r="C1100" s="12" t="s">
        <v>219</v>
      </c>
      <c r="D1100" s="22" t="s">
        <v>21273</v>
      </c>
      <c r="E1100" s="22" t="s">
        <v>21274</v>
      </c>
      <c r="F1100" s="13" t="s">
        <v>178</v>
      </c>
      <c r="G1100" s="14" t="s">
        <v>179</v>
      </c>
      <c r="H1100" s="14" t="s">
        <v>21275</v>
      </c>
      <c r="I1100" s="14" t="s">
        <v>179</v>
      </c>
      <c r="J1100" s="14" t="s">
        <v>21276</v>
      </c>
      <c r="K1100" s="14" t="s">
        <v>179</v>
      </c>
      <c r="L1100" s="14" t="s">
        <v>21277</v>
      </c>
      <c r="M1100" s="14" t="s">
        <v>179</v>
      </c>
      <c r="N1100" s="14" t="s">
        <v>21278</v>
      </c>
      <c r="O1100" s="14" t="s">
        <v>179</v>
      </c>
      <c r="P1100" s="14" t="s">
        <v>21279</v>
      </c>
      <c r="Q1100" s="14" t="s">
        <v>179</v>
      </c>
      <c r="R1100" s="14" t="s">
        <v>21280</v>
      </c>
      <c r="S1100" s="14" t="s">
        <v>179</v>
      </c>
      <c r="T1100" s="14" t="s">
        <v>21281</v>
      </c>
      <c r="U1100" s="14" t="s">
        <v>179</v>
      </c>
      <c r="V1100" s="14" t="s">
        <v>21282</v>
      </c>
      <c r="W1100" s="15"/>
      <c r="X1100" s="15"/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15"/>
      <c r="AO1100" s="15"/>
      <c r="AP1100" s="15"/>
      <c r="AQ1100" s="15"/>
      <c r="AR1100" s="15"/>
      <c r="AS1100" s="15"/>
      <c r="AT1100" s="15"/>
      <c r="AU1100" s="15"/>
      <c r="AV1100" s="15"/>
      <c r="AW1100" s="15"/>
      <c r="AX1100" s="15"/>
      <c r="AY1100" s="15"/>
      <c r="AZ1100" s="15"/>
      <c r="BA1100" s="15"/>
      <c r="BB1100" s="15"/>
      <c r="BC1100" s="15"/>
      <c r="BD1100" s="15"/>
      <c r="BE1100" s="15"/>
      <c r="BF1100" s="15"/>
      <c r="BG1100" s="15"/>
      <c r="BH1100" s="15"/>
      <c r="BI1100" s="15"/>
      <c r="BJ1100" s="15"/>
      <c r="BK1100" s="15"/>
      <c r="BL1100" s="15"/>
      <c r="BM1100" s="15"/>
      <c r="BN1100" s="15"/>
      <c r="BO1100" s="16" t="s">
        <v>197</v>
      </c>
      <c r="BP1100" s="17" t="s">
        <v>228</v>
      </c>
      <c r="BQ1100" s="23"/>
      <c r="BR1100" s="17" t="s">
        <v>198</v>
      </c>
      <c r="BS1100" s="18">
        <v>45687.38862268518</v>
      </c>
      <c r="BT1100" s="17" t="s">
        <v>198</v>
      </c>
      <c r="BU1100" s="18">
        <v>45687.38862268518</v>
      </c>
      <c r="BV1100" s="13" t="s">
        <v>199</v>
      </c>
      <c r="BW1100" s="14" t="s">
        <v>179</v>
      </c>
      <c r="BX1100" s="14" t="s">
        <v>21283</v>
      </c>
      <c r="BY1100" s="14" t="s">
        <v>179</v>
      </c>
      <c r="BZ1100" s="14" t="s">
        <v>21284</v>
      </c>
      <c r="CA1100" s="15"/>
      <c r="CB1100" s="15"/>
      <c r="CC1100" s="15"/>
      <c r="CD1100" s="15"/>
      <c r="CE1100" s="15"/>
      <c r="CF1100" s="15"/>
      <c r="CG1100" s="19"/>
      <c r="CH1100" s="15"/>
      <c r="CI1100" s="19"/>
      <c r="CJ1100" s="15"/>
      <c r="CK1100" s="19"/>
      <c r="CL1100" s="15"/>
      <c r="CM1100" s="19"/>
      <c r="CN1100" s="15"/>
      <c r="CO1100" s="19"/>
      <c r="CP1100" s="15"/>
      <c r="CQ1100" s="15"/>
      <c r="CR1100" s="15"/>
      <c r="CS1100" s="19"/>
      <c r="CT1100" s="15"/>
      <c r="CU1100" s="19"/>
      <c r="CV1100" s="15"/>
      <c r="CW1100" s="19"/>
      <c r="CX1100" s="15"/>
      <c r="CY1100" s="19"/>
      <c r="CZ1100" s="15"/>
      <c r="DA1100" s="16" t="s">
        <v>197</v>
      </c>
      <c r="DB1100" s="17" t="s">
        <v>228</v>
      </c>
      <c r="DC1100" s="16"/>
      <c r="DD1100" s="17" t="s">
        <v>198</v>
      </c>
      <c r="DE1100" s="18">
        <v>45696.42053240741</v>
      </c>
      <c r="DF1100" s="17" t="s">
        <v>198</v>
      </c>
      <c r="DG1100" s="18">
        <v>45696.42053240741</v>
      </c>
      <c r="DH1100" s="13" t="s">
        <v>205</v>
      </c>
      <c r="DI1100" s="14" t="s">
        <v>179</v>
      </c>
      <c r="DJ1100" s="14" t="s">
        <v>21285</v>
      </c>
      <c r="DK1100" s="15"/>
      <c r="DL1100" s="15"/>
      <c r="DM1100" s="15"/>
      <c r="DN1100" s="15"/>
      <c r="DO1100" s="15"/>
      <c r="DP1100" s="15"/>
      <c r="DQ1100" s="15"/>
      <c r="DR1100" s="15"/>
      <c r="DS1100" s="15"/>
      <c r="DT1100" s="15"/>
      <c r="DU1100" s="15"/>
      <c r="DV1100" s="15"/>
      <c r="DW1100" s="15"/>
      <c r="DX1100" s="15"/>
      <c r="DY1100" s="15"/>
      <c r="DZ1100" s="15"/>
      <c r="EA1100" s="15"/>
      <c r="EB1100" s="15"/>
      <c r="EC1100" s="16" t="s">
        <v>197</v>
      </c>
      <c r="ED1100" s="17" t="s">
        <v>198</v>
      </c>
      <c r="EE1100" s="18">
        <v>45703.501655092594</v>
      </c>
      <c r="EF1100" s="13" t="s">
        <v>209</v>
      </c>
      <c r="EG1100" s="14" t="s">
        <v>179</v>
      </c>
      <c r="EH1100" s="14" t="s">
        <v>21286</v>
      </c>
      <c r="EI1100" s="15"/>
      <c r="EJ1100" s="15"/>
      <c r="EK1100" s="15"/>
      <c r="EL1100" s="15"/>
      <c r="EM1100" s="15"/>
      <c r="EN1100" s="15"/>
      <c r="EO1100" s="15"/>
      <c r="EP1100" s="15"/>
      <c r="EQ1100" s="15"/>
      <c r="ER1100" s="15"/>
      <c r="ES1100" s="15"/>
      <c r="ET1100" s="15"/>
      <c r="EU1100" s="15"/>
      <c r="EV1100" s="15"/>
      <c r="EW1100" s="15"/>
      <c r="EX1100" s="15"/>
      <c r="EY1100" s="15"/>
      <c r="EZ1100" s="15"/>
      <c r="FA1100" s="15"/>
      <c r="FB1100" s="15"/>
      <c r="FC1100" s="16" t="s">
        <v>197</v>
      </c>
      <c r="FD1100" s="17" t="s">
        <v>198</v>
      </c>
      <c r="FE1100" s="18">
        <v>45720.35020833334</v>
      </c>
      <c r="FF1100" s="19"/>
      <c r="FG1100" s="19"/>
      <c r="FH1100" s="21" t="s">
        <v>197</v>
      </c>
      <c r="FI1100" s="17" t="s">
        <v>214</v>
      </c>
      <c r="FJ1100" s="18">
        <v>45720.35020833334</v>
      </c>
      <c r="FK1100" s="14" t="s">
        <v>21286</v>
      </c>
      <c r="FL1100" s="14" t="s">
        <v>21287</v>
      </c>
      <c r="FM1100" s="14" t="s">
        <v>21288</v>
      </c>
      <c r="FN1100" s="19"/>
      <c r="FO1100" s="19"/>
      <c r="FP1100" s="19" t="str">
        <f t="shared" si="1"/>
        <v>Base de Dados_Images/XV65056.Imagem do Equipamento-.131407.jpg</v>
      </c>
      <c r="FQ1100" s="19"/>
      <c r="FR1100" s="19"/>
    </row>
    <row r="1101" ht="15.75" customHeight="1">
      <c r="A1101" s="12" t="s">
        <v>234</v>
      </c>
      <c r="B1101" s="12" t="s">
        <v>2850</v>
      </c>
      <c r="C1101" s="12" t="s">
        <v>219</v>
      </c>
      <c r="D1101" s="22" t="s">
        <v>21289</v>
      </c>
      <c r="E1101" s="22" t="s">
        <v>21290</v>
      </c>
      <c r="F1101" s="13" t="s">
        <v>178</v>
      </c>
      <c r="G1101" s="14" t="s">
        <v>179</v>
      </c>
      <c r="H1101" s="14" t="s">
        <v>21291</v>
      </c>
      <c r="I1101" s="14" t="s">
        <v>179</v>
      </c>
      <c r="J1101" s="14" t="s">
        <v>21292</v>
      </c>
      <c r="K1101" s="14" t="s">
        <v>179</v>
      </c>
      <c r="L1101" s="14" t="s">
        <v>21292</v>
      </c>
      <c r="M1101" s="14" t="s">
        <v>179</v>
      </c>
      <c r="N1101" s="14" t="s">
        <v>21293</v>
      </c>
      <c r="O1101" s="14" t="s">
        <v>179</v>
      </c>
      <c r="P1101" s="14" t="s">
        <v>21294</v>
      </c>
      <c r="Q1101" s="14" t="s">
        <v>179</v>
      </c>
      <c r="R1101" s="14" t="s">
        <v>21295</v>
      </c>
      <c r="S1101" s="14" t="s">
        <v>179</v>
      </c>
      <c r="T1101" s="14" t="s">
        <v>21296</v>
      </c>
      <c r="U1101" s="14" t="s">
        <v>179</v>
      </c>
      <c r="V1101" s="14" t="s">
        <v>21297</v>
      </c>
      <c r="W1101" s="15"/>
      <c r="X1101" s="15"/>
      <c r="Y1101" s="15"/>
      <c r="Z1101" s="15"/>
      <c r="AA1101" s="15"/>
      <c r="AB1101" s="15"/>
      <c r="AC1101" s="15"/>
      <c r="AD1101" s="15"/>
      <c r="AE1101" s="15"/>
      <c r="AF1101" s="15"/>
      <c r="AG1101" s="15"/>
      <c r="AH1101" s="15"/>
      <c r="AI1101" s="15"/>
      <c r="AJ1101" s="15"/>
      <c r="AK1101" s="15"/>
      <c r="AL1101" s="15"/>
      <c r="AM1101" s="15"/>
      <c r="AN1101" s="15"/>
      <c r="AO1101" s="15"/>
      <c r="AP1101" s="15"/>
      <c r="AQ1101" s="15"/>
      <c r="AR1101" s="15"/>
      <c r="AS1101" s="15"/>
      <c r="AT1101" s="15"/>
      <c r="AU1101" s="15"/>
      <c r="AV1101" s="15"/>
      <c r="AW1101" s="15"/>
      <c r="AX1101" s="15"/>
      <c r="AY1101" s="15"/>
      <c r="AZ1101" s="15"/>
      <c r="BA1101" s="15"/>
      <c r="BB1101" s="15"/>
      <c r="BC1101" s="15"/>
      <c r="BD1101" s="15"/>
      <c r="BE1101" s="15"/>
      <c r="BF1101" s="15"/>
      <c r="BG1101" s="15"/>
      <c r="BH1101" s="15"/>
      <c r="BI1101" s="15"/>
      <c r="BJ1101" s="15"/>
      <c r="BK1101" s="15"/>
      <c r="BL1101" s="15"/>
      <c r="BM1101" s="15"/>
      <c r="BN1101" s="15"/>
      <c r="BO1101" s="16" t="s">
        <v>197</v>
      </c>
      <c r="BP1101" s="17" t="s">
        <v>228</v>
      </c>
      <c r="BQ1101" s="23"/>
      <c r="BR1101" s="17" t="s">
        <v>198</v>
      </c>
      <c r="BS1101" s="18">
        <v>45678.343148148146</v>
      </c>
      <c r="BT1101" s="17" t="s">
        <v>198</v>
      </c>
      <c r="BU1101" s="18">
        <v>45678.343148148146</v>
      </c>
      <c r="BV1101" s="13" t="s">
        <v>199</v>
      </c>
      <c r="BW1101" s="14" t="s">
        <v>179</v>
      </c>
      <c r="BX1101" s="14" t="s">
        <v>21298</v>
      </c>
      <c r="BY1101" s="14" t="s">
        <v>179</v>
      </c>
      <c r="BZ1101" s="14" t="s">
        <v>21298</v>
      </c>
      <c r="CA1101" s="15"/>
      <c r="CB1101" s="15"/>
      <c r="CC1101" s="15"/>
      <c r="CD1101" s="15"/>
      <c r="CE1101" s="15"/>
      <c r="CF1101" s="15"/>
      <c r="CG1101" s="19"/>
      <c r="CH1101" s="15"/>
      <c r="CI1101" s="19"/>
      <c r="CJ1101" s="15"/>
      <c r="CK1101" s="19"/>
      <c r="CL1101" s="15"/>
      <c r="CM1101" s="19"/>
      <c r="CN1101" s="15"/>
      <c r="CO1101" s="19"/>
      <c r="CP1101" s="15"/>
      <c r="CQ1101" s="15"/>
      <c r="CR1101" s="15"/>
      <c r="CS1101" s="19"/>
      <c r="CT1101" s="15"/>
      <c r="CU1101" s="19"/>
      <c r="CV1101" s="15"/>
      <c r="CW1101" s="19"/>
      <c r="CX1101" s="15"/>
      <c r="CY1101" s="19"/>
      <c r="CZ1101" s="15"/>
      <c r="DA1101" s="16" t="s">
        <v>197</v>
      </c>
      <c r="DB1101" s="17" t="s">
        <v>228</v>
      </c>
      <c r="DC1101" s="16"/>
      <c r="DD1101" s="17" t="s">
        <v>198</v>
      </c>
      <c r="DE1101" s="18">
        <v>45696.420625</v>
      </c>
      <c r="DF1101" s="17" t="s">
        <v>198</v>
      </c>
      <c r="DG1101" s="18">
        <v>45696.420625</v>
      </c>
      <c r="DH1101" s="13" t="s">
        <v>205</v>
      </c>
      <c r="DI1101" s="14" t="s">
        <v>179</v>
      </c>
      <c r="DJ1101" s="14" t="s">
        <v>21299</v>
      </c>
      <c r="DK1101" s="15"/>
      <c r="DL1101" s="15"/>
      <c r="DM1101" s="15"/>
      <c r="DN1101" s="15"/>
      <c r="DO1101" s="15"/>
      <c r="DP1101" s="15"/>
      <c r="DQ1101" s="15"/>
      <c r="DR1101" s="15"/>
      <c r="DS1101" s="15"/>
      <c r="DT1101" s="15"/>
      <c r="DU1101" s="15"/>
      <c r="DV1101" s="15"/>
      <c r="DW1101" s="15"/>
      <c r="DX1101" s="15"/>
      <c r="DY1101" s="15"/>
      <c r="DZ1101" s="15"/>
      <c r="EA1101" s="15"/>
      <c r="EB1101" s="15"/>
      <c r="EC1101" s="16" t="s">
        <v>197</v>
      </c>
      <c r="ED1101" s="17" t="s">
        <v>198</v>
      </c>
      <c r="EE1101" s="18">
        <v>45703.60537037037</v>
      </c>
      <c r="EF1101" s="13" t="s">
        <v>209</v>
      </c>
      <c r="EG1101" s="14" t="s">
        <v>179</v>
      </c>
      <c r="EH1101" s="14" t="s">
        <v>21300</v>
      </c>
      <c r="EI1101" s="15"/>
      <c r="EJ1101" s="15"/>
      <c r="EK1101" s="15"/>
      <c r="EL1101" s="15"/>
      <c r="EM1101" s="15"/>
      <c r="EN1101" s="15"/>
      <c r="EO1101" s="15"/>
      <c r="EP1101" s="15"/>
      <c r="EQ1101" s="15"/>
      <c r="ER1101" s="15"/>
      <c r="ES1101" s="15"/>
      <c r="ET1101" s="15"/>
      <c r="EU1101" s="15"/>
      <c r="EV1101" s="15"/>
      <c r="EW1101" s="15"/>
      <c r="EX1101" s="15"/>
      <c r="EY1101" s="15"/>
      <c r="EZ1101" s="15"/>
      <c r="FA1101" s="15"/>
      <c r="FB1101" s="15"/>
      <c r="FC1101" s="16" t="s">
        <v>197</v>
      </c>
      <c r="FD1101" s="17" t="s">
        <v>198</v>
      </c>
      <c r="FE1101" s="18">
        <v>45720.350277777776</v>
      </c>
      <c r="FF1101" s="19"/>
      <c r="FG1101" s="19"/>
      <c r="FH1101" s="21" t="s">
        <v>197</v>
      </c>
      <c r="FI1101" s="17" t="s">
        <v>214</v>
      </c>
      <c r="FJ1101" s="18">
        <v>45720.350277777776</v>
      </c>
      <c r="FK1101" s="14" t="s">
        <v>21300</v>
      </c>
      <c r="FL1101" s="14" t="s">
        <v>21301</v>
      </c>
      <c r="FM1101" s="14" t="s">
        <v>21302</v>
      </c>
      <c r="FN1101" s="19"/>
      <c r="FO1101" s="19"/>
      <c r="FP1101" s="19" t="str">
        <f t="shared" si="1"/>
        <v>Base de Dados_Images/XV65057.Imagem do Equipamento-.140905.jpg</v>
      </c>
      <c r="FQ1101" s="19"/>
      <c r="FR1101" s="19"/>
    </row>
    <row r="1102" ht="15.75" customHeight="1">
      <c r="A1102" s="12" t="s">
        <v>234</v>
      </c>
      <c r="B1102" s="12" t="s">
        <v>2850</v>
      </c>
      <c r="C1102" s="12" t="s">
        <v>219</v>
      </c>
      <c r="D1102" s="22" t="s">
        <v>21303</v>
      </c>
      <c r="E1102" s="22" t="s">
        <v>21304</v>
      </c>
      <c r="F1102" s="13" t="s">
        <v>178</v>
      </c>
      <c r="G1102" s="14" t="s">
        <v>179</v>
      </c>
      <c r="H1102" s="14" t="s">
        <v>21305</v>
      </c>
      <c r="I1102" s="14" t="s">
        <v>179</v>
      </c>
      <c r="J1102" s="14" t="s">
        <v>21306</v>
      </c>
      <c r="K1102" s="14" t="s">
        <v>179</v>
      </c>
      <c r="L1102" s="14" t="s">
        <v>21307</v>
      </c>
      <c r="M1102" s="14" t="s">
        <v>179</v>
      </c>
      <c r="N1102" s="14" t="s">
        <v>21308</v>
      </c>
      <c r="O1102" s="14" t="s">
        <v>179</v>
      </c>
      <c r="P1102" s="14" t="s">
        <v>21309</v>
      </c>
      <c r="Q1102" s="14" t="s">
        <v>179</v>
      </c>
      <c r="R1102" s="14" t="s">
        <v>21310</v>
      </c>
      <c r="S1102" s="14" t="s">
        <v>179</v>
      </c>
      <c r="T1102" s="14" t="s">
        <v>21311</v>
      </c>
      <c r="U1102" s="14" t="s">
        <v>179</v>
      </c>
      <c r="V1102" s="14" t="s">
        <v>21312</v>
      </c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15"/>
      <c r="AO1102" s="15"/>
      <c r="AP1102" s="15"/>
      <c r="AQ1102" s="15"/>
      <c r="AR1102" s="15"/>
      <c r="AS1102" s="15"/>
      <c r="AT1102" s="15"/>
      <c r="AU1102" s="15"/>
      <c r="AV1102" s="15"/>
      <c r="AW1102" s="15"/>
      <c r="AX1102" s="15"/>
      <c r="AY1102" s="15"/>
      <c r="AZ1102" s="15"/>
      <c r="BA1102" s="15"/>
      <c r="BB1102" s="15"/>
      <c r="BC1102" s="15"/>
      <c r="BD1102" s="15"/>
      <c r="BE1102" s="15"/>
      <c r="BF1102" s="15"/>
      <c r="BG1102" s="15"/>
      <c r="BH1102" s="15"/>
      <c r="BI1102" s="15"/>
      <c r="BJ1102" s="15"/>
      <c r="BK1102" s="15"/>
      <c r="BL1102" s="15"/>
      <c r="BM1102" s="15"/>
      <c r="BN1102" s="15"/>
      <c r="BO1102" s="16" t="s">
        <v>197</v>
      </c>
      <c r="BP1102" s="17" t="s">
        <v>228</v>
      </c>
      <c r="BQ1102" s="23"/>
      <c r="BR1102" s="17" t="s">
        <v>198</v>
      </c>
      <c r="BS1102" s="18">
        <v>45687.41148148148</v>
      </c>
      <c r="BT1102" s="17" t="s">
        <v>198</v>
      </c>
      <c r="BU1102" s="18">
        <v>45687.41148148148</v>
      </c>
      <c r="BV1102" s="13" t="s">
        <v>199</v>
      </c>
      <c r="BW1102" s="14" t="s">
        <v>179</v>
      </c>
      <c r="BX1102" s="14" t="s">
        <v>21313</v>
      </c>
      <c r="BY1102" s="14" t="s">
        <v>179</v>
      </c>
      <c r="BZ1102" s="14" t="s">
        <v>21314</v>
      </c>
      <c r="CA1102" s="15"/>
      <c r="CB1102" s="15"/>
      <c r="CC1102" s="15"/>
      <c r="CD1102" s="15"/>
      <c r="CE1102" s="15"/>
      <c r="CF1102" s="15"/>
      <c r="CG1102" s="19"/>
      <c r="CH1102" s="15"/>
      <c r="CI1102" s="19"/>
      <c r="CJ1102" s="15"/>
      <c r="CK1102" s="19"/>
      <c r="CL1102" s="15"/>
      <c r="CM1102" s="19"/>
      <c r="CN1102" s="15"/>
      <c r="CO1102" s="19"/>
      <c r="CP1102" s="15"/>
      <c r="CQ1102" s="15"/>
      <c r="CR1102" s="15"/>
      <c r="CS1102" s="19"/>
      <c r="CT1102" s="15"/>
      <c r="CU1102" s="19"/>
      <c r="CV1102" s="15"/>
      <c r="CW1102" s="19"/>
      <c r="CX1102" s="15"/>
      <c r="CY1102" s="19"/>
      <c r="CZ1102" s="15"/>
      <c r="DA1102" s="16" t="s">
        <v>197</v>
      </c>
      <c r="DB1102" s="17" t="s">
        <v>228</v>
      </c>
      <c r="DC1102" s="16"/>
      <c r="DD1102" s="17" t="s">
        <v>198</v>
      </c>
      <c r="DE1102" s="18">
        <v>45696.42130787037</v>
      </c>
      <c r="DF1102" s="17" t="s">
        <v>198</v>
      </c>
      <c r="DG1102" s="18">
        <v>45696.42130787037</v>
      </c>
      <c r="DH1102" s="13" t="s">
        <v>205</v>
      </c>
      <c r="DI1102" s="14" t="s">
        <v>179</v>
      </c>
      <c r="DJ1102" s="14" t="s">
        <v>21315</v>
      </c>
      <c r="DK1102" s="15"/>
      <c r="DL1102" s="15"/>
      <c r="DM1102" s="15"/>
      <c r="DN1102" s="15"/>
      <c r="DO1102" s="15"/>
      <c r="DP1102" s="15"/>
      <c r="DQ1102" s="15"/>
      <c r="DR1102" s="15"/>
      <c r="DS1102" s="15"/>
      <c r="DT1102" s="15"/>
      <c r="DU1102" s="15"/>
      <c r="DV1102" s="15"/>
      <c r="DW1102" s="15"/>
      <c r="DX1102" s="15"/>
      <c r="DY1102" s="15"/>
      <c r="DZ1102" s="15"/>
      <c r="EA1102" s="15"/>
      <c r="EB1102" s="15"/>
      <c r="EC1102" s="16" t="s">
        <v>197</v>
      </c>
      <c r="ED1102" s="17" t="s">
        <v>198</v>
      </c>
      <c r="EE1102" s="18">
        <v>45703.494988425926</v>
      </c>
      <c r="EF1102" s="13" t="s">
        <v>209</v>
      </c>
      <c r="EG1102" s="14" t="s">
        <v>179</v>
      </c>
      <c r="EH1102" s="14" t="s">
        <v>21316</v>
      </c>
      <c r="EI1102" s="15"/>
      <c r="EJ1102" s="15"/>
      <c r="EK1102" s="15"/>
      <c r="EL1102" s="15"/>
      <c r="EM1102" s="15"/>
      <c r="EN1102" s="15"/>
      <c r="EO1102" s="15"/>
      <c r="EP1102" s="15"/>
      <c r="EQ1102" s="15"/>
      <c r="ER1102" s="15"/>
      <c r="ES1102" s="15"/>
      <c r="ET1102" s="15"/>
      <c r="EU1102" s="15"/>
      <c r="EV1102" s="15"/>
      <c r="EW1102" s="15"/>
      <c r="EX1102" s="15"/>
      <c r="EY1102" s="15"/>
      <c r="EZ1102" s="15"/>
      <c r="FA1102" s="15"/>
      <c r="FB1102" s="15"/>
      <c r="FC1102" s="16" t="s">
        <v>197</v>
      </c>
      <c r="FD1102" s="17" t="s">
        <v>198</v>
      </c>
      <c r="FE1102" s="18">
        <v>45720.35037037037</v>
      </c>
      <c r="FF1102" s="19"/>
      <c r="FG1102" s="19"/>
      <c r="FH1102" s="21" t="s">
        <v>197</v>
      </c>
      <c r="FI1102" s="17" t="s">
        <v>214</v>
      </c>
      <c r="FJ1102" s="18">
        <v>45720.35037037037</v>
      </c>
      <c r="FK1102" s="14" t="s">
        <v>21316</v>
      </c>
      <c r="FL1102" s="14" t="s">
        <v>21317</v>
      </c>
      <c r="FM1102" s="14" t="s">
        <v>21318</v>
      </c>
      <c r="FN1102" s="19"/>
      <c r="FO1102" s="19"/>
      <c r="FP1102" s="19" t="str">
        <f t="shared" si="1"/>
        <v>Base de Dados_Images/XV65058.Imagem do Equipamento-.132457.jpg</v>
      </c>
      <c r="FQ1102" s="14"/>
      <c r="FR1102" s="14"/>
    </row>
    <row r="1103" ht="15.75" customHeight="1">
      <c r="A1103" s="12" t="s">
        <v>234</v>
      </c>
      <c r="B1103" s="12" t="s">
        <v>2850</v>
      </c>
      <c r="C1103" s="12" t="s">
        <v>219</v>
      </c>
      <c r="D1103" s="22" t="s">
        <v>21319</v>
      </c>
      <c r="E1103" s="22" t="s">
        <v>21320</v>
      </c>
      <c r="F1103" s="13" t="s">
        <v>178</v>
      </c>
      <c r="G1103" s="14" t="s">
        <v>179</v>
      </c>
      <c r="H1103" s="14" t="s">
        <v>21321</v>
      </c>
      <c r="I1103" s="14" t="s">
        <v>179</v>
      </c>
      <c r="J1103" s="14" t="s">
        <v>21322</v>
      </c>
      <c r="K1103" s="14" t="s">
        <v>179</v>
      </c>
      <c r="L1103" s="14" t="s">
        <v>21323</v>
      </c>
      <c r="M1103" s="14" t="s">
        <v>179</v>
      </c>
      <c r="N1103" s="14" t="s">
        <v>21324</v>
      </c>
      <c r="O1103" s="14" t="s">
        <v>179</v>
      </c>
      <c r="P1103" s="14" t="s">
        <v>21325</v>
      </c>
      <c r="Q1103" s="14" t="s">
        <v>179</v>
      </c>
      <c r="R1103" s="14" t="s">
        <v>21326</v>
      </c>
      <c r="S1103" s="14" t="s">
        <v>179</v>
      </c>
      <c r="T1103" s="14" t="s">
        <v>21327</v>
      </c>
      <c r="U1103" s="14" t="s">
        <v>179</v>
      </c>
      <c r="V1103" s="14" t="s">
        <v>21328</v>
      </c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5"/>
      <c r="AN1103" s="15"/>
      <c r="AO1103" s="15"/>
      <c r="AP1103" s="15"/>
      <c r="AQ1103" s="15"/>
      <c r="AR1103" s="15"/>
      <c r="AS1103" s="15"/>
      <c r="AT1103" s="15"/>
      <c r="AU1103" s="15"/>
      <c r="AV1103" s="15"/>
      <c r="AW1103" s="15"/>
      <c r="AX1103" s="15"/>
      <c r="AY1103" s="15"/>
      <c r="AZ1103" s="15"/>
      <c r="BA1103" s="15"/>
      <c r="BB1103" s="15"/>
      <c r="BC1103" s="15"/>
      <c r="BD1103" s="15"/>
      <c r="BE1103" s="15"/>
      <c r="BF1103" s="15"/>
      <c r="BG1103" s="15"/>
      <c r="BH1103" s="15"/>
      <c r="BI1103" s="15"/>
      <c r="BJ1103" s="15"/>
      <c r="BK1103" s="15"/>
      <c r="BL1103" s="15"/>
      <c r="BM1103" s="15"/>
      <c r="BN1103" s="15"/>
      <c r="BO1103" s="16" t="s">
        <v>197</v>
      </c>
      <c r="BP1103" s="17" t="s">
        <v>228</v>
      </c>
      <c r="BQ1103" s="23"/>
      <c r="BR1103" s="17" t="s">
        <v>198</v>
      </c>
      <c r="BS1103" s="18">
        <v>45688.65519675926</v>
      </c>
      <c r="BT1103" s="17" t="s">
        <v>198</v>
      </c>
      <c r="BU1103" s="18">
        <v>45688.65519675926</v>
      </c>
      <c r="BV1103" s="13" t="s">
        <v>199</v>
      </c>
      <c r="BW1103" s="14" t="s">
        <v>179</v>
      </c>
      <c r="BX1103" s="14" t="s">
        <v>21329</v>
      </c>
      <c r="BY1103" s="14" t="s">
        <v>179</v>
      </c>
      <c r="BZ1103" s="14" t="s">
        <v>21329</v>
      </c>
      <c r="CA1103" s="15"/>
      <c r="CB1103" s="15"/>
      <c r="CC1103" s="15"/>
      <c r="CD1103" s="15"/>
      <c r="CE1103" s="15"/>
      <c r="CF1103" s="15"/>
      <c r="CG1103" s="19"/>
      <c r="CH1103" s="15"/>
      <c r="CI1103" s="19"/>
      <c r="CJ1103" s="15"/>
      <c r="CK1103" s="19"/>
      <c r="CL1103" s="15"/>
      <c r="CM1103" s="19"/>
      <c r="CN1103" s="15"/>
      <c r="CO1103" s="19"/>
      <c r="CP1103" s="15"/>
      <c r="CQ1103" s="15"/>
      <c r="CR1103" s="15"/>
      <c r="CS1103" s="19"/>
      <c r="CT1103" s="15"/>
      <c r="CU1103" s="19"/>
      <c r="CV1103" s="15"/>
      <c r="CW1103" s="19"/>
      <c r="CX1103" s="15"/>
      <c r="CY1103" s="19"/>
      <c r="CZ1103" s="15"/>
      <c r="DA1103" s="16" t="s">
        <v>197</v>
      </c>
      <c r="DB1103" s="17" t="s">
        <v>228</v>
      </c>
      <c r="DC1103" s="16"/>
      <c r="DD1103" s="17" t="s">
        <v>198</v>
      </c>
      <c r="DE1103" s="18">
        <v>45696.42146990741</v>
      </c>
      <c r="DF1103" s="17" t="s">
        <v>198</v>
      </c>
      <c r="DG1103" s="18">
        <v>45696.42146990741</v>
      </c>
      <c r="DH1103" s="13" t="s">
        <v>205</v>
      </c>
      <c r="DI1103" s="14" t="s">
        <v>179</v>
      </c>
      <c r="DJ1103" s="14" t="s">
        <v>21330</v>
      </c>
      <c r="DK1103" s="15"/>
      <c r="DL1103" s="15"/>
      <c r="DM1103" s="15"/>
      <c r="DN1103" s="15"/>
      <c r="DO1103" s="15"/>
      <c r="DP1103" s="15"/>
      <c r="DQ1103" s="15"/>
      <c r="DR1103" s="15"/>
      <c r="DS1103" s="15"/>
      <c r="DT1103" s="15"/>
      <c r="DU1103" s="15"/>
      <c r="DV1103" s="15"/>
      <c r="DW1103" s="15"/>
      <c r="DX1103" s="15"/>
      <c r="DY1103" s="15"/>
      <c r="DZ1103" s="15"/>
      <c r="EA1103" s="15"/>
      <c r="EB1103" s="15"/>
      <c r="EC1103" s="16" t="s">
        <v>197</v>
      </c>
      <c r="ED1103" s="17" t="s">
        <v>198</v>
      </c>
      <c r="EE1103" s="18">
        <v>45703.494479166664</v>
      </c>
      <c r="EF1103" s="13" t="s">
        <v>209</v>
      </c>
      <c r="EG1103" s="14" t="s">
        <v>179</v>
      </c>
      <c r="EH1103" s="14" t="s">
        <v>21331</v>
      </c>
      <c r="EI1103" s="15"/>
      <c r="EJ1103" s="15"/>
      <c r="EK1103" s="15"/>
      <c r="EL1103" s="15"/>
      <c r="EM1103" s="15"/>
      <c r="EN1103" s="15"/>
      <c r="EO1103" s="15"/>
      <c r="EP1103" s="15"/>
      <c r="EQ1103" s="15"/>
      <c r="ER1103" s="15"/>
      <c r="ES1103" s="15"/>
      <c r="ET1103" s="15"/>
      <c r="EU1103" s="15"/>
      <c r="EV1103" s="15"/>
      <c r="EW1103" s="15"/>
      <c r="EX1103" s="15"/>
      <c r="EY1103" s="15"/>
      <c r="EZ1103" s="15"/>
      <c r="FA1103" s="15"/>
      <c r="FB1103" s="15"/>
      <c r="FC1103" s="16" t="s">
        <v>197</v>
      </c>
      <c r="FD1103" s="17" t="s">
        <v>198</v>
      </c>
      <c r="FE1103" s="18">
        <v>45720.350439814814</v>
      </c>
      <c r="FF1103" s="19"/>
      <c r="FG1103" s="19"/>
      <c r="FH1103" s="21" t="s">
        <v>197</v>
      </c>
      <c r="FI1103" s="17" t="s">
        <v>214</v>
      </c>
      <c r="FJ1103" s="18">
        <v>45720.350439814814</v>
      </c>
      <c r="FK1103" s="14" t="s">
        <v>21331</v>
      </c>
      <c r="FL1103" s="14" t="s">
        <v>21332</v>
      </c>
      <c r="FM1103" s="14" t="s">
        <v>21333</v>
      </c>
      <c r="FN1103" s="19"/>
      <c r="FO1103" s="19"/>
      <c r="FP1103" s="19" t="str">
        <f t="shared" si="1"/>
        <v>Base de Dados_Images/XV65059.Imagem do Equipamento-.184314.jpg</v>
      </c>
      <c r="FQ1103" s="14"/>
      <c r="FR1103" s="14"/>
    </row>
    <row r="1104" ht="15.75" customHeight="1">
      <c r="A1104" s="12" t="s">
        <v>234</v>
      </c>
      <c r="B1104" s="12" t="s">
        <v>2850</v>
      </c>
      <c r="C1104" s="12" t="s">
        <v>219</v>
      </c>
      <c r="D1104" s="22" t="s">
        <v>21334</v>
      </c>
      <c r="E1104" s="22" t="s">
        <v>21335</v>
      </c>
      <c r="F1104" s="13" t="s">
        <v>178</v>
      </c>
      <c r="G1104" s="14" t="s">
        <v>179</v>
      </c>
      <c r="H1104" s="14" t="s">
        <v>21336</v>
      </c>
      <c r="I1104" s="14" t="s">
        <v>179</v>
      </c>
      <c r="J1104" s="14" t="s">
        <v>21337</v>
      </c>
      <c r="K1104" s="14" t="s">
        <v>179</v>
      </c>
      <c r="L1104" s="14" t="s">
        <v>21338</v>
      </c>
      <c r="M1104" s="14" t="s">
        <v>179</v>
      </c>
      <c r="N1104" s="14" t="s">
        <v>21339</v>
      </c>
      <c r="O1104" s="14" t="s">
        <v>179</v>
      </c>
      <c r="P1104" s="14" t="s">
        <v>21339</v>
      </c>
      <c r="Q1104" s="14" t="s">
        <v>179</v>
      </c>
      <c r="R1104" s="14" t="s">
        <v>21340</v>
      </c>
      <c r="S1104" s="14" t="s">
        <v>179</v>
      </c>
      <c r="T1104" s="14" t="s">
        <v>21341</v>
      </c>
      <c r="U1104" s="14" t="s">
        <v>179</v>
      </c>
      <c r="V1104" s="14" t="s">
        <v>21341</v>
      </c>
      <c r="W1104" s="15"/>
      <c r="X1104" s="15"/>
      <c r="Y1104" s="15"/>
      <c r="Z1104" s="15"/>
      <c r="AA1104" s="15"/>
      <c r="AB1104" s="15"/>
      <c r="AC1104" s="15"/>
      <c r="AD1104" s="15"/>
      <c r="AE1104" s="15"/>
      <c r="AF1104" s="15"/>
      <c r="AG1104" s="15"/>
      <c r="AH1104" s="15"/>
      <c r="AI1104" s="15"/>
      <c r="AJ1104" s="15"/>
      <c r="AK1104" s="15"/>
      <c r="AL1104" s="15"/>
      <c r="AM1104" s="15"/>
      <c r="AN1104" s="15"/>
      <c r="AO1104" s="15"/>
      <c r="AP1104" s="15"/>
      <c r="AQ1104" s="15"/>
      <c r="AR1104" s="15"/>
      <c r="AS1104" s="15"/>
      <c r="AT1104" s="15"/>
      <c r="AU1104" s="15"/>
      <c r="AV1104" s="15"/>
      <c r="AW1104" s="15"/>
      <c r="AX1104" s="15"/>
      <c r="AY1104" s="15"/>
      <c r="AZ1104" s="15"/>
      <c r="BA1104" s="15"/>
      <c r="BB1104" s="15"/>
      <c r="BC1104" s="15"/>
      <c r="BD1104" s="15"/>
      <c r="BE1104" s="15"/>
      <c r="BF1104" s="15"/>
      <c r="BG1104" s="15"/>
      <c r="BH1104" s="15"/>
      <c r="BI1104" s="15"/>
      <c r="BJ1104" s="15"/>
      <c r="BK1104" s="15"/>
      <c r="BL1104" s="15"/>
      <c r="BM1104" s="15"/>
      <c r="BN1104" s="15"/>
      <c r="BO1104" s="16" t="s">
        <v>197</v>
      </c>
      <c r="BP1104" s="17" t="s">
        <v>228</v>
      </c>
      <c r="BQ1104" s="23"/>
      <c r="BR1104" s="17" t="s">
        <v>198</v>
      </c>
      <c r="BS1104" s="18">
        <v>45678.3434837963</v>
      </c>
      <c r="BT1104" s="17" t="s">
        <v>198</v>
      </c>
      <c r="BU1104" s="18">
        <v>45678.3434837963</v>
      </c>
      <c r="BV1104" s="13" t="s">
        <v>199</v>
      </c>
      <c r="BW1104" s="14" t="s">
        <v>179</v>
      </c>
      <c r="BX1104" s="14" t="s">
        <v>21342</v>
      </c>
      <c r="BY1104" s="14" t="s">
        <v>179</v>
      </c>
      <c r="BZ1104" s="14" t="s">
        <v>21343</v>
      </c>
      <c r="CA1104" s="15"/>
      <c r="CB1104" s="15"/>
      <c r="CC1104" s="15"/>
      <c r="CD1104" s="15"/>
      <c r="CE1104" s="15"/>
      <c r="CF1104" s="15"/>
      <c r="CG1104" s="19"/>
      <c r="CH1104" s="15"/>
      <c r="CI1104" s="19"/>
      <c r="CJ1104" s="15"/>
      <c r="CK1104" s="19"/>
      <c r="CL1104" s="15"/>
      <c r="CM1104" s="19"/>
      <c r="CN1104" s="15"/>
      <c r="CO1104" s="19"/>
      <c r="CP1104" s="15"/>
      <c r="CQ1104" s="15"/>
      <c r="CR1104" s="15"/>
      <c r="CS1104" s="19"/>
      <c r="CT1104" s="15"/>
      <c r="CU1104" s="19"/>
      <c r="CV1104" s="15"/>
      <c r="CW1104" s="19"/>
      <c r="CX1104" s="15"/>
      <c r="CY1104" s="19"/>
      <c r="CZ1104" s="15"/>
      <c r="DA1104" s="16" t="s">
        <v>197</v>
      </c>
      <c r="DB1104" s="17" t="s">
        <v>228</v>
      </c>
      <c r="DC1104" s="16"/>
      <c r="DD1104" s="17" t="s">
        <v>198</v>
      </c>
      <c r="DE1104" s="18">
        <v>45696.42159722222</v>
      </c>
      <c r="DF1104" s="17" t="s">
        <v>198</v>
      </c>
      <c r="DG1104" s="18">
        <v>45696.42159722222</v>
      </c>
      <c r="DH1104" s="13" t="s">
        <v>205</v>
      </c>
      <c r="DI1104" s="14" t="s">
        <v>179</v>
      </c>
      <c r="DJ1104" s="14" t="s">
        <v>21344</v>
      </c>
      <c r="DK1104" s="15"/>
      <c r="DL1104" s="15"/>
      <c r="DM1104" s="15"/>
      <c r="DN1104" s="15"/>
      <c r="DO1104" s="15"/>
      <c r="DP1104" s="15"/>
      <c r="DQ1104" s="15"/>
      <c r="DR1104" s="15"/>
      <c r="DS1104" s="15"/>
      <c r="DT1104" s="15"/>
      <c r="DU1104" s="15"/>
      <c r="DV1104" s="15"/>
      <c r="DW1104" s="15"/>
      <c r="DX1104" s="15"/>
      <c r="DY1104" s="15"/>
      <c r="DZ1104" s="15"/>
      <c r="EA1104" s="15"/>
      <c r="EB1104" s="15"/>
      <c r="EC1104" s="16" t="s">
        <v>197</v>
      </c>
      <c r="ED1104" s="17" t="s">
        <v>198</v>
      </c>
      <c r="EE1104" s="18">
        <v>45703.49434027778</v>
      </c>
      <c r="EF1104" s="13" t="s">
        <v>209</v>
      </c>
      <c r="EG1104" s="14" t="s">
        <v>179</v>
      </c>
      <c r="EH1104" s="14" t="s">
        <v>21345</v>
      </c>
      <c r="EI1104" s="15"/>
      <c r="EJ1104" s="15"/>
      <c r="EK1104" s="15"/>
      <c r="EL1104" s="15"/>
      <c r="EM1104" s="15"/>
      <c r="EN1104" s="15"/>
      <c r="EO1104" s="15"/>
      <c r="EP1104" s="15"/>
      <c r="EQ1104" s="15"/>
      <c r="ER1104" s="15"/>
      <c r="ES1104" s="15"/>
      <c r="ET1104" s="15"/>
      <c r="EU1104" s="15"/>
      <c r="EV1104" s="15"/>
      <c r="EW1104" s="15"/>
      <c r="EX1104" s="15"/>
      <c r="EY1104" s="15"/>
      <c r="EZ1104" s="15"/>
      <c r="FA1104" s="15"/>
      <c r="FB1104" s="15"/>
      <c r="FC1104" s="16" t="s">
        <v>197</v>
      </c>
      <c r="FD1104" s="17" t="s">
        <v>198</v>
      </c>
      <c r="FE1104" s="18">
        <v>45720.35087962963</v>
      </c>
      <c r="FF1104" s="19"/>
      <c r="FG1104" s="19"/>
      <c r="FH1104" s="21" t="s">
        <v>197</v>
      </c>
      <c r="FI1104" s="17" t="s">
        <v>214</v>
      </c>
      <c r="FJ1104" s="18">
        <v>45720.35087962963</v>
      </c>
      <c r="FK1104" s="14" t="s">
        <v>21345</v>
      </c>
      <c r="FL1104" s="14" t="s">
        <v>21346</v>
      </c>
      <c r="FM1104" s="14" t="s">
        <v>21347</v>
      </c>
      <c r="FN1104" s="19"/>
      <c r="FO1104" s="19"/>
      <c r="FP1104" s="19" t="str">
        <f t="shared" si="1"/>
        <v>Base de Dados_Images/XV65060.Imagem do Equipamento-.140935.jpg</v>
      </c>
      <c r="FQ1104" s="19"/>
      <c r="FR1104" s="19"/>
    </row>
    <row r="1105" ht="15.75" customHeight="1">
      <c r="A1105" s="12" t="s">
        <v>234</v>
      </c>
      <c r="B1105" s="12" t="s">
        <v>2885</v>
      </c>
      <c r="C1105" s="12" t="s">
        <v>219</v>
      </c>
      <c r="D1105" s="22" t="s">
        <v>21348</v>
      </c>
      <c r="E1105" s="22" t="s">
        <v>21349</v>
      </c>
      <c r="F1105" s="13" t="s">
        <v>178</v>
      </c>
      <c r="G1105" s="14" t="s">
        <v>179</v>
      </c>
      <c r="H1105" s="14" t="s">
        <v>21350</v>
      </c>
      <c r="I1105" s="14" t="s">
        <v>179</v>
      </c>
      <c r="J1105" s="14" t="s">
        <v>21351</v>
      </c>
      <c r="K1105" s="14" t="s">
        <v>179</v>
      </c>
      <c r="L1105" s="14" t="s">
        <v>21352</v>
      </c>
      <c r="M1105" s="14" t="s">
        <v>179</v>
      </c>
      <c r="N1105" s="14" t="s">
        <v>21353</v>
      </c>
      <c r="O1105" s="14" t="s">
        <v>179</v>
      </c>
      <c r="P1105" s="14" t="s">
        <v>21354</v>
      </c>
      <c r="Q1105" s="14" t="s">
        <v>179</v>
      </c>
      <c r="R1105" s="14" t="s">
        <v>21355</v>
      </c>
      <c r="S1105" s="14" t="s">
        <v>179</v>
      </c>
      <c r="T1105" s="14" t="s">
        <v>21356</v>
      </c>
      <c r="U1105" s="14" t="s">
        <v>179</v>
      </c>
      <c r="V1105" s="14" t="s">
        <v>21357</v>
      </c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15"/>
      <c r="AO1105" s="15"/>
      <c r="AP1105" s="15"/>
      <c r="AQ1105" s="15"/>
      <c r="AR1105" s="15"/>
      <c r="AS1105" s="15"/>
      <c r="AT1105" s="15"/>
      <c r="AU1105" s="15"/>
      <c r="AV1105" s="15"/>
      <c r="AW1105" s="15"/>
      <c r="AX1105" s="15"/>
      <c r="AY1105" s="15"/>
      <c r="AZ1105" s="15"/>
      <c r="BA1105" s="15"/>
      <c r="BB1105" s="15"/>
      <c r="BC1105" s="15"/>
      <c r="BD1105" s="15"/>
      <c r="BE1105" s="15"/>
      <c r="BF1105" s="15"/>
      <c r="BG1105" s="15"/>
      <c r="BH1105" s="15"/>
      <c r="BI1105" s="15"/>
      <c r="BJ1105" s="15"/>
      <c r="BK1105" s="15"/>
      <c r="BL1105" s="15"/>
      <c r="BM1105" s="15"/>
      <c r="BN1105" s="15"/>
      <c r="BO1105" s="16" t="s">
        <v>197</v>
      </c>
      <c r="BP1105" s="17" t="s">
        <v>228</v>
      </c>
      <c r="BQ1105" s="23"/>
      <c r="BR1105" s="17" t="s">
        <v>198</v>
      </c>
      <c r="BS1105" s="18">
        <v>45687.38511574074</v>
      </c>
      <c r="BT1105" s="17" t="s">
        <v>198</v>
      </c>
      <c r="BU1105" s="18">
        <v>45687.38511574074</v>
      </c>
      <c r="BV1105" s="13" t="s">
        <v>199</v>
      </c>
      <c r="BW1105" s="14" t="s">
        <v>179</v>
      </c>
      <c r="BX1105" s="14" t="s">
        <v>21358</v>
      </c>
      <c r="BY1105" s="14" t="s">
        <v>179</v>
      </c>
      <c r="BZ1105" s="14" t="s">
        <v>21359</v>
      </c>
      <c r="CA1105" s="15"/>
      <c r="CB1105" s="15"/>
      <c r="CC1105" s="15"/>
      <c r="CD1105" s="15"/>
      <c r="CE1105" s="15"/>
      <c r="CF1105" s="15"/>
      <c r="CG1105" s="19"/>
      <c r="CH1105" s="15"/>
      <c r="CI1105" s="19"/>
      <c r="CJ1105" s="15"/>
      <c r="CK1105" s="19"/>
      <c r="CL1105" s="15"/>
      <c r="CM1105" s="19"/>
      <c r="CN1105" s="15"/>
      <c r="CO1105" s="19"/>
      <c r="CP1105" s="15"/>
      <c r="CQ1105" s="15"/>
      <c r="CR1105" s="15"/>
      <c r="CS1105" s="19"/>
      <c r="CT1105" s="15"/>
      <c r="CU1105" s="19"/>
      <c r="CV1105" s="15"/>
      <c r="CW1105" s="19"/>
      <c r="CX1105" s="15"/>
      <c r="CY1105" s="19"/>
      <c r="CZ1105" s="15"/>
      <c r="DA1105" s="16" t="s">
        <v>197</v>
      </c>
      <c r="DB1105" s="17" t="s">
        <v>228</v>
      </c>
      <c r="DC1105" s="16"/>
      <c r="DD1105" s="17" t="s">
        <v>198</v>
      </c>
      <c r="DE1105" s="18">
        <v>45696.4243287037</v>
      </c>
      <c r="DF1105" s="17" t="s">
        <v>198</v>
      </c>
      <c r="DG1105" s="18">
        <v>45696.4243287037</v>
      </c>
      <c r="DH1105" s="13" t="s">
        <v>205</v>
      </c>
      <c r="DI1105" s="14" t="s">
        <v>179</v>
      </c>
      <c r="DJ1105" s="14" t="s">
        <v>21360</v>
      </c>
      <c r="DK1105" s="15"/>
      <c r="DL1105" s="15"/>
      <c r="DM1105" s="15"/>
      <c r="DN1105" s="15"/>
      <c r="DO1105" s="15"/>
      <c r="DP1105" s="15"/>
      <c r="DQ1105" s="15"/>
      <c r="DR1105" s="15"/>
      <c r="DS1105" s="15"/>
      <c r="DT1105" s="15"/>
      <c r="DU1105" s="15"/>
      <c r="DV1105" s="15"/>
      <c r="DW1105" s="15"/>
      <c r="DX1105" s="15"/>
      <c r="DY1105" s="15"/>
      <c r="DZ1105" s="15"/>
      <c r="EA1105" s="15"/>
      <c r="EB1105" s="15"/>
      <c r="EC1105" s="16" t="s">
        <v>197</v>
      </c>
      <c r="ED1105" s="17" t="s">
        <v>198</v>
      </c>
      <c r="EE1105" s="18">
        <v>45713.41599537037</v>
      </c>
      <c r="EF1105" s="13" t="s">
        <v>209</v>
      </c>
      <c r="EG1105" s="14" t="s">
        <v>179</v>
      </c>
      <c r="EH1105" s="14" t="s">
        <v>21361</v>
      </c>
      <c r="EI1105" s="15"/>
      <c r="EJ1105" s="15"/>
      <c r="EK1105" s="15"/>
      <c r="EL1105" s="15"/>
      <c r="EM1105" s="15"/>
      <c r="EN1105" s="15"/>
      <c r="EO1105" s="15"/>
      <c r="EP1105" s="15"/>
      <c r="EQ1105" s="15"/>
      <c r="ER1105" s="15"/>
      <c r="ES1105" s="15"/>
      <c r="ET1105" s="15"/>
      <c r="EU1105" s="15"/>
      <c r="EV1105" s="15"/>
      <c r="EW1105" s="15"/>
      <c r="EX1105" s="15"/>
      <c r="EY1105" s="15"/>
      <c r="EZ1105" s="15"/>
      <c r="FA1105" s="15"/>
      <c r="FB1105" s="15"/>
      <c r="FC1105" s="16" t="s">
        <v>197</v>
      </c>
      <c r="FD1105" s="17" t="s">
        <v>198</v>
      </c>
      <c r="FE1105" s="18">
        <v>45720.35454861111</v>
      </c>
      <c r="FF1105" s="19"/>
      <c r="FG1105" s="19"/>
      <c r="FH1105" s="21" t="s">
        <v>197</v>
      </c>
      <c r="FI1105" s="17" t="s">
        <v>214</v>
      </c>
      <c r="FJ1105" s="18">
        <v>45720.35454861111</v>
      </c>
      <c r="FK1105" s="14" t="s">
        <v>21361</v>
      </c>
      <c r="FL1105" s="14" t="s">
        <v>21362</v>
      </c>
      <c r="FM1105" s="14" t="s">
        <v>21363</v>
      </c>
      <c r="FN1105" s="19"/>
      <c r="FO1105" s="19"/>
      <c r="FP1105" s="19" t="str">
        <f t="shared" si="1"/>
        <v>Base de Dados_Images/XV65061.Imagem do Equipamento-.131029.jpg</v>
      </c>
      <c r="FQ1105" s="19"/>
      <c r="FR1105" s="19"/>
    </row>
    <row r="1106" ht="15.75" customHeight="1">
      <c r="A1106" s="12" t="s">
        <v>234</v>
      </c>
      <c r="B1106" s="12" t="s">
        <v>2885</v>
      </c>
      <c r="C1106" s="12" t="s">
        <v>219</v>
      </c>
      <c r="D1106" s="22" t="s">
        <v>21364</v>
      </c>
      <c r="E1106" s="22" t="s">
        <v>21365</v>
      </c>
      <c r="F1106" s="13" t="s">
        <v>178</v>
      </c>
      <c r="G1106" s="14" t="s">
        <v>179</v>
      </c>
      <c r="H1106" s="14" t="s">
        <v>21366</v>
      </c>
      <c r="I1106" s="14" t="s">
        <v>179</v>
      </c>
      <c r="J1106" s="14" t="s">
        <v>21367</v>
      </c>
      <c r="K1106" s="14" t="s">
        <v>179</v>
      </c>
      <c r="L1106" s="14" t="s">
        <v>21368</v>
      </c>
      <c r="M1106" s="14" t="s">
        <v>179</v>
      </c>
      <c r="N1106" s="14" t="s">
        <v>21369</v>
      </c>
      <c r="O1106" s="14" t="s">
        <v>179</v>
      </c>
      <c r="P1106" s="14" t="s">
        <v>21370</v>
      </c>
      <c r="Q1106" s="14" t="s">
        <v>179</v>
      </c>
      <c r="R1106" s="14" t="s">
        <v>21371</v>
      </c>
      <c r="S1106" s="14" t="s">
        <v>179</v>
      </c>
      <c r="T1106" s="14" t="s">
        <v>21372</v>
      </c>
      <c r="U1106" s="14" t="s">
        <v>179</v>
      </c>
      <c r="V1106" s="14" t="s">
        <v>21373</v>
      </c>
      <c r="W1106" s="15"/>
      <c r="X1106" s="15"/>
      <c r="Y1106" s="15"/>
      <c r="Z1106" s="15"/>
      <c r="AA1106" s="15"/>
      <c r="AB1106" s="15"/>
      <c r="AC1106" s="15"/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5"/>
      <c r="AN1106" s="15"/>
      <c r="AO1106" s="15"/>
      <c r="AP1106" s="15"/>
      <c r="AQ1106" s="15"/>
      <c r="AR1106" s="15"/>
      <c r="AS1106" s="15"/>
      <c r="AT1106" s="15"/>
      <c r="AU1106" s="15"/>
      <c r="AV1106" s="15"/>
      <c r="AW1106" s="15"/>
      <c r="AX1106" s="15"/>
      <c r="AY1106" s="15"/>
      <c r="AZ1106" s="15"/>
      <c r="BA1106" s="15"/>
      <c r="BB1106" s="15"/>
      <c r="BC1106" s="15"/>
      <c r="BD1106" s="15"/>
      <c r="BE1106" s="15"/>
      <c r="BF1106" s="15"/>
      <c r="BG1106" s="15"/>
      <c r="BH1106" s="15"/>
      <c r="BI1106" s="15"/>
      <c r="BJ1106" s="15"/>
      <c r="BK1106" s="15"/>
      <c r="BL1106" s="15"/>
      <c r="BM1106" s="15"/>
      <c r="BN1106" s="15"/>
      <c r="BO1106" s="16" t="s">
        <v>197</v>
      </c>
      <c r="BP1106" s="17" t="s">
        <v>228</v>
      </c>
      <c r="BQ1106" s="23"/>
      <c r="BR1106" s="17" t="s">
        <v>198</v>
      </c>
      <c r="BS1106" s="18">
        <v>45687.384675925925</v>
      </c>
      <c r="BT1106" s="17" t="s">
        <v>198</v>
      </c>
      <c r="BU1106" s="18">
        <v>45687.384675925925</v>
      </c>
      <c r="BV1106" s="13" t="s">
        <v>199</v>
      </c>
      <c r="BW1106" s="14" t="s">
        <v>179</v>
      </c>
      <c r="BX1106" s="14" t="s">
        <v>21374</v>
      </c>
      <c r="BY1106" s="14" t="s">
        <v>179</v>
      </c>
      <c r="BZ1106" s="14" t="s">
        <v>21374</v>
      </c>
      <c r="CA1106" s="15"/>
      <c r="CB1106" s="15"/>
      <c r="CC1106" s="15"/>
      <c r="CD1106" s="15"/>
      <c r="CE1106" s="15"/>
      <c r="CF1106" s="15"/>
      <c r="CG1106" s="19"/>
      <c r="CH1106" s="15"/>
      <c r="CI1106" s="19"/>
      <c r="CJ1106" s="15"/>
      <c r="CK1106" s="19"/>
      <c r="CL1106" s="15"/>
      <c r="CM1106" s="19"/>
      <c r="CN1106" s="15"/>
      <c r="CO1106" s="19"/>
      <c r="CP1106" s="15"/>
      <c r="CQ1106" s="15"/>
      <c r="CR1106" s="15"/>
      <c r="CS1106" s="19"/>
      <c r="CT1106" s="15"/>
      <c r="CU1106" s="19"/>
      <c r="CV1106" s="15"/>
      <c r="CW1106" s="19"/>
      <c r="CX1106" s="15"/>
      <c r="CY1106" s="19"/>
      <c r="CZ1106" s="15"/>
      <c r="DA1106" s="16" t="s">
        <v>197</v>
      </c>
      <c r="DB1106" s="17" t="s">
        <v>228</v>
      </c>
      <c r="DC1106" s="16"/>
      <c r="DD1106" s="17" t="s">
        <v>198</v>
      </c>
      <c r="DE1106" s="18">
        <v>45696.42445601852</v>
      </c>
      <c r="DF1106" s="17" t="s">
        <v>198</v>
      </c>
      <c r="DG1106" s="18">
        <v>45696.42445601852</v>
      </c>
      <c r="DH1106" s="13" t="s">
        <v>205</v>
      </c>
      <c r="DI1106" s="14" t="s">
        <v>179</v>
      </c>
      <c r="DJ1106" s="14" t="s">
        <v>21375</v>
      </c>
      <c r="DK1106" s="15"/>
      <c r="DL1106" s="15"/>
      <c r="DM1106" s="15"/>
      <c r="DN1106" s="15"/>
      <c r="DO1106" s="15"/>
      <c r="DP1106" s="15"/>
      <c r="DQ1106" s="15"/>
      <c r="DR1106" s="15"/>
      <c r="DS1106" s="15"/>
      <c r="DT1106" s="15"/>
      <c r="DU1106" s="15"/>
      <c r="DV1106" s="15"/>
      <c r="DW1106" s="15"/>
      <c r="DX1106" s="15"/>
      <c r="DY1106" s="15"/>
      <c r="DZ1106" s="15"/>
      <c r="EA1106" s="15"/>
      <c r="EB1106" s="15"/>
      <c r="EC1106" s="16" t="s">
        <v>197</v>
      </c>
      <c r="ED1106" s="17" t="s">
        <v>198</v>
      </c>
      <c r="EE1106" s="18">
        <v>45703.49898148148</v>
      </c>
      <c r="EF1106" s="13" t="s">
        <v>209</v>
      </c>
      <c r="EG1106" s="14" t="s">
        <v>179</v>
      </c>
      <c r="EH1106" s="14" t="s">
        <v>21376</v>
      </c>
      <c r="EI1106" s="15"/>
      <c r="EJ1106" s="15"/>
      <c r="EK1106" s="15"/>
      <c r="EL1106" s="15"/>
      <c r="EM1106" s="15"/>
      <c r="EN1106" s="15"/>
      <c r="EO1106" s="15"/>
      <c r="EP1106" s="15"/>
      <c r="EQ1106" s="15"/>
      <c r="ER1106" s="15"/>
      <c r="ES1106" s="15"/>
      <c r="ET1106" s="15"/>
      <c r="EU1106" s="15"/>
      <c r="EV1106" s="15"/>
      <c r="EW1106" s="15"/>
      <c r="EX1106" s="15"/>
      <c r="EY1106" s="15"/>
      <c r="EZ1106" s="15"/>
      <c r="FA1106" s="15"/>
      <c r="FB1106" s="15"/>
      <c r="FC1106" s="16" t="s">
        <v>197</v>
      </c>
      <c r="FD1106" s="17" t="s">
        <v>198</v>
      </c>
      <c r="FE1106" s="18">
        <v>45720.35460648148</v>
      </c>
      <c r="FF1106" s="19"/>
      <c r="FG1106" s="19"/>
      <c r="FH1106" s="21" t="s">
        <v>197</v>
      </c>
      <c r="FI1106" s="17" t="s">
        <v>214</v>
      </c>
      <c r="FJ1106" s="18">
        <v>45720.35460648148</v>
      </c>
      <c r="FK1106" s="14" t="s">
        <v>21376</v>
      </c>
      <c r="FL1106" s="14" t="s">
        <v>21377</v>
      </c>
      <c r="FM1106" s="14" t="s">
        <v>21378</v>
      </c>
      <c r="FN1106" s="19"/>
      <c r="FO1106" s="19"/>
      <c r="FP1106" s="19" t="str">
        <f t="shared" si="1"/>
        <v>Base de Dados_Images/XV65066.Imagem do Equipamento-.130957.jpg</v>
      </c>
      <c r="FQ1106" s="19"/>
      <c r="FR1106" s="19"/>
    </row>
    <row r="1107" ht="15.75" customHeight="1">
      <c r="A1107" s="12" t="s">
        <v>234</v>
      </c>
      <c r="B1107" s="12" t="s">
        <v>2885</v>
      </c>
      <c r="C1107" s="12" t="s">
        <v>219</v>
      </c>
      <c r="D1107" s="22" t="s">
        <v>21379</v>
      </c>
      <c r="E1107" s="22" t="s">
        <v>21380</v>
      </c>
      <c r="F1107" s="13" t="s">
        <v>178</v>
      </c>
      <c r="G1107" s="14" t="s">
        <v>179</v>
      </c>
      <c r="H1107" s="14" t="s">
        <v>21381</v>
      </c>
      <c r="I1107" s="14" t="s">
        <v>179</v>
      </c>
      <c r="J1107" s="14" t="s">
        <v>21382</v>
      </c>
      <c r="K1107" s="14" t="s">
        <v>179</v>
      </c>
      <c r="L1107" s="14" t="s">
        <v>21383</v>
      </c>
      <c r="M1107" s="14" t="s">
        <v>179</v>
      </c>
      <c r="N1107" s="14" t="s">
        <v>21384</v>
      </c>
      <c r="O1107" s="14" t="s">
        <v>179</v>
      </c>
      <c r="P1107" s="14" t="s">
        <v>21385</v>
      </c>
      <c r="Q1107" s="14" t="s">
        <v>179</v>
      </c>
      <c r="R1107" s="14" t="s">
        <v>21386</v>
      </c>
      <c r="S1107" s="14" t="s">
        <v>179</v>
      </c>
      <c r="T1107" s="14" t="s">
        <v>21387</v>
      </c>
      <c r="U1107" s="14" t="s">
        <v>179</v>
      </c>
      <c r="V1107" s="14" t="s">
        <v>21388</v>
      </c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5"/>
      <c r="AP1107" s="15"/>
      <c r="AQ1107" s="15"/>
      <c r="AR1107" s="15"/>
      <c r="AS1107" s="15"/>
      <c r="AT1107" s="15"/>
      <c r="AU1107" s="15"/>
      <c r="AV1107" s="15"/>
      <c r="AW1107" s="15"/>
      <c r="AX1107" s="15"/>
      <c r="AY1107" s="15"/>
      <c r="AZ1107" s="15"/>
      <c r="BA1107" s="15"/>
      <c r="BB1107" s="15"/>
      <c r="BC1107" s="15"/>
      <c r="BD1107" s="15"/>
      <c r="BE1107" s="15"/>
      <c r="BF1107" s="15"/>
      <c r="BG1107" s="15"/>
      <c r="BH1107" s="15"/>
      <c r="BI1107" s="15"/>
      <c r="BJ1107" s="15"/>
      <c r="BK1107" s="15"/>
      <c r="BL1107" s="15"/>
      <c r="BM1107" s="15"/>
      <c r="BN1107" s="15"/>
      <c r="BO1107" s="16" t="s">
        <v>197</v>
      </c>
      <c r="BP1107" s="17" t="s">
        <v>228</v>
      </c>
      <c r="BQ1107" s="23"/>
      <c r="BR1107" s="17" t="s">
        <v>198</v>
      </c>
      <c r="BS1107" s="18">
        <v>45694.61258101852</v>
      </c>
      <c r="BT1107" s="17" t="s">
        <v>198</v>
      </c>
      <c r="BU1107" s="18">
        <v>45694.61258101852</v>
      </c>
      <c r="BV1107" s="13" t="s">
        <v>199</v>
      </c>
      <c r="BW1107" s="14" t="s">
        <v>179</v>
      </c>
      <c r="BX1107" s="14" t="s">
        <v>21389</v>
      </c>
      <c r="BY1107" s="14" t="s">
        <v>179</v>
      </c>
      <c r="BZ1107" s="14" t="s">
        <v>21389</v>
      </c>
      <c r="CA1107" s="15"/>
      <c r="CB1107" s="15"/>
      <c r="CC1107" s="15"/>
      <c r="CD1107" s="15"/>
      <c r="CE1107" s="15"/>
      <c r="CF1107" s="15"/>
      <c r="CG1107" s="19"/>
      <c r="CH1107" s="15"/>
      <c r="CI1107" s="19"/>
      <c r="CJ1107" s="15"/>
      <c r="CK1107" s="19"/>
      <c r="CL1107" s="15"/>
      <c r="CM1107" s="19"/>
      <c r="CN1107" s="15"/>
      <c r="CO1107" s="19"/>
      <c r="CP1107" s="15"/>
      <c r="CQ1107" s="15"/>
      <c r="CR1107" s="15"/>
      <c r="CS1107" s="19"/>
      <c r="CT1107" s="15"/>
      <c r="CU1107" s="19"/>
      <c r="CV1107" s="15"/>
      <c r="CW1107" s="19"/>
      <c r="CX1107" s="15"/>
      <c r="CY1107" s="19"/>
      <c r="CZ1107" s="15"/>
      <c r="DA1107" s="16" t="s">
        <v>197</v>
      </c>
      <c r="DB1107" s="17" t="s">
        <v>228</v>
      </c>
      <c r="DC1107" s="16"/>
      <c r="DD1107" s="17" t="s">
        <v>198</v>
      </c>
      <c r="DE1107" s="18">
        <v>45696.424988425926</v>
      </c>
      <c r="DF1107" s="17" t="s">
        <v>198</v>
      </c>
      <c r="DG1107" s="18">
        <v>45696.424988425926</v>
      </c>
      <c r="DH1107" s="13" t="s">
        <v>205</v>
      </c>
      <c r="DI1107" s="14" t="s">
        <v>179</v>
      </c>
      <c r="DJ1107" s="14" t="s">
        <v>21390</v>
      </c>
      <c r="DK1107" s="15"/>
      <c r="DL1107" s="15"/>
      <c r="DM1107" s="15"/>
      <c r="DN1107" s="15"/>
      <c r="DO1107" s="15"/>
      <c r="DP1107" s="15"/>
      <c r="DQ1107" s="15"/>
      <c r="DR1107" s="15"/>
      <c r="DS1107" s="15"/>
      <c r="DT1107" s="15"/>
      <c r="DU1107" s="15"/>
      <c r="DV1107" s="15"/>
      <c r="DW1107" s="15"/>
      <c r="DX1107" s="15"/>
      <c r="DY1107" s="15"/>
      <c r="DZ1107" s="15"/>
      <c r="EA1107" s="15"/>
      <c r="EB1107" s="15"/>
      <c r="EC1107" s="16" t="s">
        <v>197</v>
      </c>
      <c r="ED1107" s="17" t="s">
        <v>198</v>
      </c>
      <c r="EE1107" s="18">
        <v>45696.425104166665</v>
      </c>
      <c r="EF1107" s="13" t="s">
        <v>209</v>
      </c>
      <c r="EG1107" s="14" t="s">
        <v>179</v>
      </c>
      <c r="EH1107" s="14" t="s">
        <v>21391</v>
      </c>
      <c r="EI1107" s="15"/>
      <c r="EJ1107" s="15"/>
      <c r="EK1107" s="15"/>
      <c r="EL1107" s="15"/>
      <c r="EM1107" s="15"/>
      <c r="EN1107" s="15"/>
      <c r="EO1107" s="15"/>
      <c r="EP1107" s="15"/>
      <c r="EQ1107" s="15"/>
      <c r="ER1107" s="15"/>
      <c r="ES1107" s="15"/>
      <c r="ET1107" s="15"/>
      <c r="EU1107" s="15"/>
      <c r="EV1107" s="15"/>
      <c r="EW1107" s="15"/>
      <c r="EX1107" s="15"/>
      <c r="EY1107" s="15"/>
      <c r="EZ1107" s="15"/>
      <c r="FA1107" s="15"/>
      <c r="FB1107" s="15"/>
      <c r="FC1107" s="16" t="s">
        <v>197</v>
      </c>
      <c r="FD1107" s="17" t="s">
        <v>198</v>
      </c>
      <c r="FE1107" s="18">
        <v>45720.35466435185</v>
      </c>
      <c r="FF1107" s="19"/>
      <c r="FG1107" s="19"/>
      <c r="FH1107" s="21" t="s">
        <v>197</v>
      </c>
      <c r="FI1107" s="17" t="s">
        <v>214</v>
      </c>
      <c r="FJ1107" s="18">
        <v>45720.35466435185</v>
      </c>
      <c r="FK1107" s="14" t="s">
        <v>21391</v>
      </c>
      <c r="FL1107" s="14" t="s">
        <v>21392</v>
      </c>
      <c r="FM1107" s="14" t="s">
        <v>21393</v>
      </c>
      <c r="FN1107" s="19"/>
      <c r="FO1107" s="19"/>
      <c r="FP1107" s="19" t="str">
        <f t="shared" si="1"/>
        <v>Base de Dados_Images/XV65067.Imagem do Equipamento-.174727.jpg</v>
      </c>
      <c r="FQ1107" s="14"/>
      <c r="FR1107" s="14"/>
    </row>
    <row r="1108" ht="15.75" customHeight="1">
      <c r="A1108" s="12" t="s">
        <v>234</v>
      </c>
      <c r="B1108" s="12" t="s">
        <v>2885</v>
      </c>
      <c r="C1108" s="12" t="s">
        <v>219</v>
      </c>
      <c r="D1108" s="22" t="s">
        <v>21394</v>
      </c>
      <c r="E1108" s="22" t="s">
        <v>21395</v>
      </c>
      <c r="F1108" s="13" t="s">
        <v>178</v>
      </c>
      <c r="G1108" s="14" t="s">
        <v>179</v>
      </c>
      <c r="H1108" s="14" t="s">
        <v>21396</v>
      </c>
      <c r="I1108" s="14" t="s">
        <v>179</v>
      </c>
      <c r="J1108" s="14" t="s">
        <v>21397</v>
      </c>
      <c r="K1108" s="14" t="s">
        <v>179</v>
      </c>
      <c r="L1108" s="14" t="s">
        <v>21398</v>
      </c>
      <c r="M1108" s="14" t="s">
        <v>179</v>
      </c>
      <c r="N1108" s="14" t="s">
        <v>21399</v>
      </c>
      <c r="O1108" s="14" t="s">
        <v>179</v>
      </c>
      <c r="P1108" s="14" t="s">
        <v>21400</v>
      </c>
      <c r="Q1108" s="14" t="s">
        <v>179</v>
      </c>
      <c r="R1108" s="14" t="s">
        <v>21401</v>
      </c>
      <c r="S1108" s="14" t="s">
        <v>179</v>
      </c>
      <c r="T1108" s="14" t="s">
        <v>21402</v>
      </c>
      <c r="U1108" s="14" t="s">
        <v>179</v>
      </c>
      <c r="V1108" s="14" t="s">
        <v>21403</v>
      </c>
      <c r="W1108" s="15"/>
      <c r="X1108" s="15"/>
      <c r="Y1108" s="15"/>
      <c r="Z1108" s="15"/>
      <c r="AA1108" s="15"/>
      <c r="AB1108" s="15"/>
      <c r="AC1108" s="15"/>
      <c r="AD1108" s="15"/>
      <c r="AE1108" s="15"/>
      <c r="AF1108" s="15"/>
      <c r="AG1108" s="15"/>
      <c r="AH1108" s="15"/>
      <c r="AI1108" s="15"/>
      <c r="AJ1108" s="15"/>
      <c r="AK1108" s="15"/>
      <c r="AL1108" s="15"/>
      <c r="AM1108" s="15"/>
      <c r="AN1108" s="15"/>
      <c r="AO1108" s="15"/>
      <c r="AP1108" s="15"/>
      <c r="AQ1108" s="15"/>
      <c r="AR1108" s="15"/>
      <c r="AS1108" s="15"/>
      <c r="AT1108" s="15"/>
      <c r="AU1108" s="15"/>
      <c r="AV1108" s="15"/>
      <c r="AW1108" s="15"/>
      <c r="AX1108" s="15"/>
      <c r="AY1108" s="15"/>
      <c r="AZ1108" s="15"/>
      <c r="BA1108" s="15"/>
      <c r="BB1108" s="15"/>
      <c r="BC1108" s="15"/>
      <c r="BD1108" s="15"/>
      <c r="BE1108" s="15"/>
      <c r="BF1108" s="15"/>
      <c r="BG1108" s="15"/>
      <c r="BH1108" s="15"/>
      <c r="BI1108" s="15"/>
      <c r="BJ1108" s="15"/>
      <c r="BK1108" s="15"/>
      <c r="BL1108" s="15"/>
      <c r="BM1108" s="15"/>
      <c r="BN1108" s="15"/>
      <c r="BO1108" s="16" t="s">
        <v>197</v>
      </c>
      <c r="BP1108" s="17" t="s">
        <v>228</v>
      </c>
      <c r="BQ1108" s="23"/>
      <c r="BR1108" s="17" t="s">
        <v>198</v>
      </c>
      <c r="BS1108" s="18">
        <v>45687.38560185185</v>
      </c>
      <c r="BT1108" s="17" t="s">
        <v>198</v>
      </c>
      <c r="BU1108" s="18">
        <v>45687.38560185185</v>
      </c>
      <c r="BV1108" s="13" t="s">
        <v>199</v>
      </c>
      <c r="BW1108" s="14" t="s">
        <v>179</v>
      </c>
      <c r="BX1108" s="14" t="s">
        <v>21404</v>
      </c>
      <c r="BY1108" s="14" t="s">
        <v>179</v>
      </c>
      <c r="BZ1108" s="14" t="s">
        <v>21405</v>
      </c>
      <c r="CA1108" s="15"/>
      <c r="CB1108" s="15"/>
      <c r="CC1108" s="15"/>
      <c r="CD1108" s="15"/>
      <c r="CE1108" s="15"/>
      <c r="CF1108" s="15"/>
      <c r="CG1108" s="19"/>
      <c r="CH1108" s="15"/>
      <c r="CI1108" s="19"/>
      <c r="CJ1108" s="15"/>
      <c r="CK1108" s="19"/>
      <c r="CL1108" s="15"/>
      <c r="CM1108" s="19"/>
      <c r="CN1108" s="15"/>
      <c r="CO1108" s="19"/>
      <c r="CP1108" s="15"/>
      <c r="CQ1108" s="15"/>
      <c r="CR1108" s="15"/>
      <c r="CS1108" s="19"/>
      <c r="CT1108" s="15"/>
      <c r="CU1108" s="19"/>
      <c r="CV1108" s="15"/>
      <c r="CW1108" s="19"/>
      <c r="CX1108" s="15"/>
      <c r="CY1108" s="19"/>
      <c r="CZ1108" s="15"/>
      <c r="DA1108" s="16" t="s">
        <v>197</v>
      </c>
      <c r="DB1108" s="17" t="s">
        <v>228</v>
      </c>
      <c r="DC1108" s="16"/>
      <c r="DD1108" s="17" t="s">
        <v>198</v>
      </c>
      <c r="DE1108" s="18">
        <v>45696.42460648148</v>
      </c>
      <c r="DF1108" s="17" t="s">
        <v>198</v>
      </c>
      <c r="DG1108" s="18">
        <v>45696.42460648148</v>
      </c>
      <c r="DH1108" s="13" t="s">
        <v>205</v>
      </c>
      <c r="DI1108" s="14" t="s">
        <v>179</v>
      </c>
      <c r="DJ1108" s="14" t="s">
        <v>21406</v>
      </c>
      <c r="DK1108" s="15"/>
      <c r="DL1108" s="15"/>
      <c r="DM1108" s="15"/>
      <c r="DN1108" s="15"/>
      <c r="DO1108" s="15"/>
      <c r="DP1108" s="15"/>
      <c r="DQ1108" s="15"/>
      <c r="DR1108" s="15"/>
      <c r="DS1108" s="15"/>
      <c r="DT1108" s="15"/>
      <c r="DU1108" s="15"/>
      <c r="DV1108" s="15"/>
      <c r="DW1108" s="15"/>
      <c r="DX1108" s="15"/>
      <c r="DY1108" s="15"/>
      <c r="DZ1108" s="15"/>
      <c r="EA1108" s="15"/>
      <c r="EB1108" s="15"/>
      <c r="EC1108" s="16" t="s">
        <v>197</v>
      </c>
      <c r="ED1108" s="17" t="s">
        <v>198</v>
      </c>
      <c r="EE1108" s="18">
        <v>45703.49922453704</v>
      </c>
      <c r="EF1108" s="13" t="s">
        <v>209</v>
      </c>
      <c r="EG1108" s="14" t="s">
        <v>179</v>
      </c>
      <c r="EH1108" s="14" t="s">
        <v>21407</v>
      </c>
      <c r="EI1108" s="15"/>
      <c r="EJ1108" s="15"/>
      <c r="EK1108" s="15"/>
      <c r="EL1108" s="15"/>
      <c r="EM1108" s="15"/>
      <c r="EN1108" s="15"/>
      <c r="EO1108" s="15"/>
      <c r="EP1108" s="15"/>
      <c r="EQ1108" s="15"/>
      <c r="ER1108" s="15"/>
      <c r="ES1108" s="15"/>
      <c r="ET1108" s="15"/>
      <c r="EU1108" s="15"/>
      <c r="EV1108" s="15"/>
      <c r="EW1108" s="15"/>
      <c r="EX1108" s="15"/>
      <c r="EY1108" s="15"/>
      <c r="EZ1108" s="15"/>
      <c r="FA1108" s="15"/>
      <c r="FB1108" s="15"/>
      <c r="FC1108" s="16" t="s">
        <v>197</v>
      </c>
      <c r="FD1108" s="17" t="s">
        <v>198</v>
      </c>
      <c r="FE1108" s="18">
        <v>45720.354791666665</v>
      </c>
      <c r="FF1108" s="19"/>
      <c r="FG1108" s="19"/>
      <c r="FH1108" s="21" t="s">
        <v>197</v>
      </c>
      <c r="FI1108" s="17" t="s">
        <v>214</v>
      </c>
      <c r="FJ1108" s="18">
        <v>45720.354791666665</v>
      </c>
      <c r="FK1108" s="14" t="s">
        <v>21407</v>
      </c>
      <c r="FL1108" s="14" t="s">
        <v>21408</v>
      </c>
      <c r="FM1108" s="14" t="s">
        <v>21409</v>
      </c>
      <c r="FN1108" s="19"/>
      <c r="FO1108" s="19"/>
      <c r="FP1108" s="19" t="str">
        <f t="shared" si="1"/>
        <v>Base de Dados_Images/XV65068.Imagem do Equipamento-.131104.jpg</v>
      </c>
      <c r="FQ1108" s="19"/>
      <c r="FR1108" s="19"/>
    </row>
    <row r="1109" ht="15.75" customHeight="1">
      <c r="A1109" s="12" t="s">
        <v>234</v>
      </c>
      <c r="B1109" s="12" t="s">
        <v>2885</v>
      </c>
      <c r="C1109" s="12" t="s">
        <v>219</v>
      </c>
      <c r="D1109" s="22" t="s">
        <v>21410</v>
      </c>
      <c r="E1109" s="22" t="s">
        <v>21411</v>
      </c>
      <c r="F1109" s="13" t="s">
        <v>178</v>
      </c>
      <c r="G1109" s="14" t="s">
        <v>179</v>
      </c>
      <c r="H1109" s="14" t="s">
        <v>21412</v>
      </c>
      <c r="I1109" s="14" t="s">
        <v>179</v>
      </c>
      <c r="J1109" s="14" t="s">
        <v>21413</v>
      </c>
      <c r="K1109" s="14" t="s">
        <v>179</v>
      </c>
      <c r="L1109" s="14" t="s">
        <v>21414</v>
      </c>
      <c r="M1109" s="14" t="s">
        <v>179</v>
      </c>
      <c r="N1109" s="14" t="s">
        <v>21414</v>
      </c>
      <c r="O1109" s="14" t="s">
        <v>179</v>
      </c>
      <c r="P1109" s="14" t="s">
        <v>21415</v>
      </c>
      <c r="Q1109" s="14" t="s">
        <v>179</v>
      </c>
      <c r="R1109" s="14" t="s">
        <v>21416</v>
      </c>
      <c r="S1109" s="14" t="s">
        <v>179</v>
      </c>
      <c r="T1109" s="14" t="s">
        <v>21417</v>
      </c>
      <c r="U1109" s="14" t="s">
        <v>179</v>
      </c>
      <c r="V1109" s="14" t="s">
        <v>21418</v>
      </c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"/>
      <c r="AN1109" s="15"/>
      <c r="AO1109" s="15"/>
      <c r="AP1109" s="15"/>
      <c r="AQ1109" s="15"/>
      <c r="AR1109" s="15"/>
      <c r="AS1109" s="15"/>
      <c r="AT1109" s="15"/>
      <c r="AU1109" s="15"/>
      <c r="AV1109" s="15"/>
      <c r="AW1109" s="15"/>
      <c r="AX1109" s="15"/>
      <c r="AY1109" s="15"/>
      <c r="AZ1109" s="15"/>
      <c r="BA1109" s="15"/>
      <c r="BB1109" s="15"/>
      <c r="BC1109" s="15"/>
      <c r="BD1109" s="15"/>
      <c r="BE1109" s="15"/>
      <c r="BF1109" s="15"/>
      <c r="BG1109" s="15"/>
      <c r="BH1109" s="15"/>
      <c r="BI1109" s="15"/>
      <c r="BJ1109" s="15"/>
      <c r="BK1109" s="15"/>
      <c r="BL1109" s="15"/>
      <c r="BM1109" s="15"/>
      <c r="BN1109" s="15"/>
      <c r="BO1109" s="16" t="s">
        <v>197</v>
      </c>
      <c r="BP1109" s="17" t="s">
        <v>228</v>
      </c>
      <c r="BQ1109" s="23"/>
      <c r="BR1109" s="17" t="s">
        <v>198</v>
      </c>
      <c r="BS1109" s="18">
        <v>45678.34525462963</v>
      </c>
      <c r="BT1109" s="17" t="s">
        <v>198</v>
      </c>
      <c r="BU1109" s="18">
        <v>45678.34525462963</v>
      </c>
      <c r="BV1109" s="13" t="s">
        <v>199</v>
      </c>
      <c r="BW1109" s="14" t="s">
        <v>179</v>
      </c>
      <c r="BX1109" s="14" t="s">
        <v>21419</v>
      </c>
      <c r="BY1109" s="14" t="s">
        <v>179</v>
      </c>
      <c r="BZ1109" s="14" t="s">
        <v>21420</v>
      </c>
      <c r="CA1109" s="15"/>
      <c r="CB1109" s="15"/>
      <c r="CC1109" s="15"/>
      <c r="CD1109" s="15"/>
      <c r="CE1109" s="15"/>
      <c r="CF1109" s="15"/>
      <c r="CG1109" s="19"/>
      <c r="CH1109" s="15"/>
      <c r="CI1109" s="19"/>
      <c r="CJ1109" s="15"/>
      <c r="CK1109" s="19"/>
      <c r="CL1109" s="15"/>
      <c r="CM1109" s="19"/>
      <c r="CN1109" s="15"/>
      <c r="CO1109" s="19"/>
      <c r="CP1109" s="15"/>
      <c r="CQ1109" s="15"/>
      <c r="CR1109" s="15"/>
      <c r="CS1109" s="19"/>
      <c r="CT1109" s="15"/>
      <c r="CU1109" s="19"/>
      <c r="CV1109" s="15"/>
      <c r="CW1109" s="19"/>
      <c r="CX1109" s="15"/>
      <c r="CY1109" s="19"/>
      <c r="CZ1109" s="15"/>
      <c r="DA1109" s="16" t="s">
        <v>197</v>
      </c>
      <c r="DB1109" s="17" t="s">
        <v>228</v>
      </c>
      <c r="DC1109" s="16"/>
      <c r="DD1109" s="17" t="s">
        <v>198</v>
      </c>
      <c r="DE1109" s="18">
        <v>45696.42518518519</v>
      </c>
      <c r="DF1109" s="17" t="s">
        <v>198</v>
      </c>
      <c r="DG1109" s="18">
        <v>45696.42518518519</v>
      </c>
      <c r="DH1109" s="13" t="s">
        <v>205</v>
      </c>
      <c r="DI1109" s="14" t="s">
        <v>179</v>
      </c>
      <c r="DJ1109" s="14" t="s">
        <v>21421</v>
      </c>
      <c r="DK1109" s="15"/>
      <c r="DL1109" s="15"/>
      <c r="DM1109" s="15"/>
      <c r="DN1109" s="15"/>
      <c r="DO1109" s="15"/>
      <c r="DP1109" s="15"/>
      <c r="DQ1109" s="15"/>
      <c r="DR1109" s="15"/>
      <c r="DS1109" s="15"/>
      <c r="DT1109" s="15"/>
      <c r="DU1109" s="15"/>
      <c r="DV1109" s="15"/>
      <c r="DW1109" s="15"/>
      <c r="DX1109" s="15"/>
      <c r="DY1109" s="15"/>
      <c r="DZ1109" s="15"/>
      <c r="EA1109" s="15"/>
      <c r="EB1109" s="15"/>
      <c r="EC1109" s="16" t="s">
        <v>197</v>
      </c>
      <c r="ED1109" s="17" t="s">
        <v>198</v>
      </c>
      <c r="EE1109" s="18">
        <v>45696.42523148148</v>
      </c>
      <c r="EF1109" s="13" t="s">
        <v>209</v>
      </c>
      <c r="EG1109" s="14" t="s">
        <v>179</v>
      </c>
      <c r="EH1109" s="14" t="s">
        <v>21422</v>
      </c>
      <c r="EI1109" s="15"/>
      <c r="EJ1109" s="15"/>
      <c r="EK1109" s="15"/>
      <c r="EL1109" s="15"/>
      <c r="EM1109" s="15"/>
      <c r="EN1109" s="15"/>
      <c r="EO1109" s="15"/>
      <c r="EP1109" s="15"/>
      <c r="EQ1109" s="15"/>
      <c r="ER1109" s="15"/>
      <c r="ES1109" s="15"/>
      <c r="ET1109" s="15"/>
      <c r="EU1109" s="15"/>
      <c r="EV1109" s="15"/>
      <c r="EW1109" s="15"/>
      <c r="EX1109" s="15"/>
      <c r="EY1109" s="15"/>
      <c r="EZ1109" s="15"/>
      <c r="FA1109" s="15"/>
      <c r="FB1109" s="15"/>
      <c r="FC1109" s="16" t="s">
        <v>197</v>
      </c>
      <c r="FD1109" s="17" t="s">
        <v>198</v>
      </c>
      <c r="FE1109" s="18">
        <v>45720.355046296296</v>
      </c>
      <c r="FF1109" s="19"/>
      <c r="FG1109" s="19"/>
      <c r="FH1109" s="21" t="s">
        <v>197</v>
      </c>
      <c r="FI1109" s="17" t="s">
        <v>214</v>
      </c>
      <c r="FJ1109" s="18">
        <v>45720.355046296296</v>
      </c>
      <c r="FK1109" s="14" t="s">
        <v>21422</v>
      </c>
      <c r="FL1109" s="14" t="s">
        <v>21423</v>
      </c>
      <c r="FM1109" s="14" t="s">
        <v>21424</v>
      </c>
      <c r="FN1109" s="19"/>
      <c r="FO1109" s="19"/>
      <c r="FP1109" s="19" t="str">
        <f t="shared" si="1"/>
        <v>Base de Dados_Images/XV65069.Imagem do Equipamento-.162709.jpg</v>
      </c>
      <c r="FQ1109" s="19"/>
      <c r="FR1109" s="19"/>
    </row>
    <row r="1110" ht="15.75" customHeight="1">
      <c r="A1110" s="12" t="s">
        <v>234</v>
      </c>
      <c r="B1110" s="12" t="s">
        <v>2885</v>
      </c>
      <c r="C1110" s="12" t="s">
        <v>219</v>
      </c>
      <c r="D1110" s="22" t="s">
        <v>21425</v>
      </c>
      <c r="E1110" s="22" t="s">
        <v>21426</v>
      </c>
      <c r="F1110" s="13" t="s">
        <v>178</v>
      </c>
      <c r="G1110" s="14" t="s">
        <v>179</v>
      </c>
      <c r="H1110" s="14" t="s">
        <v>21427</v>
      </c>
      <c r="I1110" s="14" t="s">
        <v>179</v>
      </c>
      <c r="J1110" s="14" t="s">
        <v>21428</v>
      </c>
      <c r="K1110" s="14" t="s">
        <v>179</v>
      </c>
      <c r="L1110" s="14" t="s">
        <v>21429</v>
      </c>
      <c r="M1110" s="14" t="s">
        <v>179</v>
      </c>
      <c r="N1110" s="14" t="s">
        <v>21430</v>
      </c>
      <c r="O1110" s="14" t="s">
        <v>179</v>
      </c>
      <c r="P1110" s="14" t="s">
        <v>21431</v>
      </c>
      <c r="Q1110" s="14" t="s">
        <v>179</v>
      </c>
      <c r="R1110" s="14" t="s">
        <v>21432</v>
      </c>
      <c r="S1110" s="14" t="s">
        <v>179</v>
      </c>
      <c r="T1110" s="14" t="s">
        <v>21433</v>
      </c>
      <c r="U1110" s="14" t="s">
        <v>179</v>
      </c>
      <c r="V1110" s="14" t="s">
        <v>21434</v>
      </c>
      <c r="W1110" s="15"/>
      <c r="X1110" s="15"/>
      <c r="Y1110" s="15"/>
      <c r="Z1110" s="15"/>
      <c r="AA1110" s="15"/>
      <c r="AB1110" s="15"/>
      <c r="AC1110" s="15"/>
      <c r="AD1110" s="15"/>
      <c r="AE1110" s="15"/>
      <c r="AF1110" s="15"/>
      <c r="AG1110" s="15"/>
      <c r="AH1110" s="15"/>
      <c r="AI1110" s="15"/>
      <c r="AJ1110" s="15"/>
      <c r="AK1110" s="15"/>
      <c r="AL1110" s="15"/>
      <c r="AM1110" s="15"/>
      <c r="AN1110" s="15"/>
      <c r="AO1110" s="15"/>
      <c r="AP1110" s="15"/>
      <c r="AQ1110" s="15"/>
      <c r="AR1110" s="15"/>
      <c r="AS1110" s="15"/>
      <c r="AT1110" s="15"/>
      <c r="AU1110" s="15"/>
      <c r="AV1110" s="15"/>
      <c r="AW1110" s="15"/>
      <c r="AX1110" s="15"/>
      <c r="AY1110" s="15"/>
      <c r="AZ1110" s="15"/>
      <c r="BA1110" s="15"/>
      <c r="BB1110" s="15"/>
      <c r="BC1110" s="15"/>
      <c r="BD1110" s="15"/>
      <c r="BE1110" s="15"/>
      <c r="BF1110" s="15"/>
      <c r="BG1110" s="15"/>
      <c r="BH1110" s="15"/>
      <c r="BI1110" s="15"/>
      <c r="BJ1110" s="15"/>
      <c r="BK1110" s="15"/>
      <c r="BL1110" s="15"/>
      <c r="BM1110" s="15"/>
      <c r="BN1110" s="15"/>
      <c r="BO1110" s="16" t="s">
        <v>197</v>
      </c>
      <c r="BP1110" s="17" t="s">
        <v>228</v>
      </c>
      <c r="BQ1110" s="23"/>
      <c r="BR1110" s="17" t="s">
        <v>198</v>
      </c>
      <c r="BS1110" s="18">
        <v>45687.41238425926</v>
      </c>
      <c r="BT1110" s="17" t="s">
        <v>198</v>
      </c>
      <c r="BU1110" s="18">
        <v>45687.41238425926</v>
      </c>
      <c r="BV1110" s="13" t="s">
        <v>199</v>
      </c>
      <c r="BW1110" s="14" t="s">
        <v>179</v>
      </c>
      <c r="BX1110" s="14" t="s">
        <v>21435</v>
      </c>
      <c r="BY1110" s="14" t="s">
        <v>179</v>
      </c>
      <c r="BZ1110" s="14" t="s">
        <v>21436</v>
      </c>
      <c r="CA1110" s="15"/>
      <c r="CB1110" s="15"/>
      <c r="CC1110" s="15"/>
      <c r="CD1110" s="15"/>
      <c r="CE1110" s="15"/>
      <c r="CF1110" s="15"/>
      <c r="CG1110" s="19"/>
      <c r="CH1110" s="15"/>
      <c r="CI1110" s="19"/>
      <c r="CJ1110" s="15"/>
      <c r="CK1110" s="19"/>
      <c r="CL1110" s="15"/>
      <c r="CM1110" s="19"/>
      <c r="CN1110" s="15"/>
      <c r="CO1110" s="19"/>
      <c r="CP1110" s="15"/>
      <c r="CQ1110" s="15"/>
      <c r="CR1110" s="15"/>
      <c r="CS1110" s="19"/>
      <c r="CT1110" s="15"/>
      <c r="CU1110" s="19"/>
      <c r="CV1110" s="15"/>
      <c r="CW1110" s="19"/>
      <c r="CX1110" s="15"/>
      <c r="CY1110" s="19"/>
      <c r="CZ1110" s="15"/>
      <c r="DA1110" s="16" t="s">
        <v>197</v>
      </c>
      <c r="DB1110" s="17" t="s">
        <v>228</v>
      </c>
      <c r="DC1110" s="16"/>
      <c r="DD1110" s="17" t="s">
        <v>198</v>
      </c>
      <c r="DE1110" s="18">
        <v>45696.42556712963</v>
      </c>
      <c r="DF1110" s="17" t="s">
        <v>198</v>
      </c>
      <c r="DG1110" s="18">
        <v>45696.42556712963</v>
      </c>
      <c r="DH1110" s="13" t="s">
        <v>205</v>
      </c>
      <c r="DI1110" s="14" t="s">
        <v>179</v>
      </c>
      <c r="DJ1110" s="14" t="s">
        <v>21437</v>
      </c>
      <c r="DK1110" s="15"/>
      <c r="DL1110" s="15"/>
      <c r="DM1110" s="15"/>
      <c r="DN1110" s="15"/>
      <c r="DO1110" s="15"/>
      <c r="DP1110" s="15"/>
      <c r="DQ1110" s="15"/>
      <c r="DR1110" s="15"/>
      <c r="DS1110" s="15"/>
      <c r="DT1110" s="15"/>
      <c r="DU1110" s="15"/>
      <c r="DV1110" s="15"/>
      <c r="DW1110" s="15"/>
      <c r="DX1110" s="15"/>
      <c r="DY1110" s="15"/>
      <c r="DZ1110" s="15"/>
      <c r="EA1110" s="15"/>
      <c r="EB1110" s="15"/>
      <c r="EC1110" s="16" t="s">
        <v>197</v>
      </c>
      <c r="ED1110" s="17" t="s">
        <v>198</v>
      </c>
      <c r="EE1110" s="18">
        <v>45696.427037037036</v>
      </c>
      <c r="EF1110" s="13" t="s">
        <v>209</v>
      </c>
      <c r="EG1110" s="14" t="s">
        <v>179</v>
      </c>
      <c r="EH1110" s="14" t="s">
        <v>21438</v>
      </c>
      <c r="EI1110" s="15"/>
      <c r="EJ1110" s="15"/>
      <c r="EK1110" s="15"/>
      <c r="EL1110" s="15"/>
      <c r="EM1110" s="15"/>
      <c r="EN1110" s="15"/>
      <c r="EO1110" s="15"/>
      <c r="EP1110" s="15"/>
      <c r="EQ1110" s="15"/>
      <c r="ER1110" s="15"/>
      <c r="ES1110" s="15"/>
      <c r="ET1110" s="15"/>
      <c r="EU1110" s="15"/>
      <c r="EV1110" s="15"/>
      <c r="EW1110" s="15"/>
      <c r="EX1110" s="15"/>
      <c r="EY1110" s="15"/>
      <c r="EZ1110" s="15"/>
      <c r="FA1110" s="15"/>
      <c r="FB1110" s="15"/>
      <c r="FC1110" s="16" t="s">
        <v>197</v>
      </c>
      <c r="FD1110" s="17" t="s">
        <v>198</v>
      </c>
      <c r="FE1110" s="18">
        <v>45720.35524305556</v>
      </c>
      <c r="FF1110" s="19"/>
      <c r="FG1110" s="19"/>
      <c r="FH1110" s="21" t="s">
        <v>197</v>
      </c>
      <c r="FI1110" s="17" t="s">
        <v>214</v>
      </c>
      <c r="FJ1110" s="18">
        <v>45720.35524305556</v>
      </c>
      <c r="FK1110" s="14" t="s">
        <v>21438</v>
      </c>
      <c r="FL1110" s="14" t="s">
        <v>21439</v>
      </c>
      <c r="FM1110" s="14" t="s">
        <v>21440</v>
      </c>
      <c r="FN1110" s="19"/>
      <c r="FO1110" s="19"/>
      <c r="FP1110" s="19" t="str">
        <f t="shared" si="1"/>
        <v>Base de Dados_Images/XV65070.Imagem do Equipamento-.132542.jpg</v>
      </c>
      <c r="FQ1110" s="19"/>
      <c r="FR1110" s="19"/>
    </row>
    <row r="1111" ht="15.75" customHeight="1">
      <c r="A1111" s="12" t="s">
        <v>234</v>
      </c>
      <c r="B1111" s="12" t="s">
        <v>2885</v>
      </c>
      <c r="C1111" s="12" t="s">
        <v>219</v>
      </c>
      <c r="D1111" s="22" t="s">
        <v>21441</v>
      </c>
      <c r="E1111" s="22" t="s">
        <v>21442</v>
      </c>
      <c r="F1111" s="13" t="s">
        <v>178</v>
      </c>
      <c r="G1111" s="14" t="s">
        <v>179</v>
      </c>
      <c r="H1111" s="14" t="s">
        <v>21443</v>
      </c>
      <c r="I1111" s="14" t="s">
        <v>179</v>
      </c>
      <c r="J1111" s="14" t="s">
        <v>21443</v>
      </c>
      <c r="K1111" s="14" t="s">
        <v>179</v>
      </c>
      <c r="L1111" s="14" t="s">
        <v>21444</v>
      </c>
      <c r="M1111" s="14" t="s">
        <v>179</v>
      </c>
      <c r="N1111" s="14" t="s">
        <v>21445</v>
      </c>
      <c r="O1111" s="14" t="s">
        <v>179</v>
      </c>
      <c r="P1111" s="14" t="s">
        <v>21446</v>
      </c>
      <c r="Q1111" s="14" t="s">
        <v>179</v>
      </c>
      <c r="R1111" s="14" t="s">
        <v>21447</v>
      </c>
      <c r="S1111" s="14" t="s">
        <v>179</v>
      </c>
      <c r="T1111" s="14" t="s">
        <v>21448</v>
      </c>
      <c r="U1111" s="14" t="s">
        <v>179</v>
      </c>
      <c r="V1111" s="14" t="s">
        <v>21449</v>
      </c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15"/>
      <c r="AO1111" s="15"/>
      <c r="AP1111" s="15"/>
      <c r="AQ1111" s="15"/>
      <c r="AR1111" s="15"/>
      <c r="AS1111" s="15"/>
      <c r="AT1111" s="15"/>
      <c r="AU1111" s="15"/>
      <c r="AV1111" s="15"/>
      <c r="AW1111" s="15"/>
      <c r="AX1111" s="15"/>
      <c r="AY1111" s="15"/>
      <c r="AZ1111" s="15"/>
      <c r="BA1111" s="15"/>
      <c r="BB1111" s="15"/>
      <c r="BC1111" s="15"/>
      <c r="BD1111" s="15"/>
      <c r="BE1111" s="15"/>
      <c r="BF1111" s="15"/>
      <c r="BG1111" s="15"/>
      <c r="BH1111" s="15"/>
      <c r="BI1111" s="15"/>
      <c r="BJ1111" s="15"/>
      <c r="BK1111" s="15"/>
      <c r="BL1111" s="15"/>
      <c r="BM1111" s="15"/>
      <c r="BN1111" s="15"/>
      <c r="BO1111" s="16" t="s">
        <v>197</v>
      </c>
      <c r="BP1111" s="17" t="s">
        <v>228</v>
      </c>
      <c r="BQ1111" s="23"/>
      <c r="BR1111" s="17" t="s">
        <v>198</v>
      </c>
      <c r="BS1111" s="18">
        <v>45678.345497685186</v>
      </c>
      <c r="BT1111" s="17" t="s">
        <v>198</v>
      </c>
      <c r="BU1111" s="18">
        <v>45678.345497685186</v>
      </c>
      <c r="BV1111" s="13" t="s">
        <v>199</v>
      </c>
      <c r="BW1111" s="14" t="s">
        <v>179</v>
      </c>
      <c r="BX1111" s="14" t="s">
        <v>21450</v>
      </c>
      <c r="BY1111" s="14" t="s">
        <v>179</v>
      </c>
      <c r="BZ1111" s="14" t="s">
        <v>21450</v>
      </c>
      <c r="CA1111" s="15"/>
      <c r="CB1111" s="15"/>
      <c r="CC1111" s="15"/>
      <c r="CD1111" s="15"/>
      <c r="CE1111" s="15"/>
      <c r="CF1111" s="15"/>
      <c r="CG1111" s="19"/>
      <c r="CH1111" s="15"/>
      <c r="CI1111" s="19"/>
      <c r="CJ1111" s="15"/>
      <c r="CK1111" s="19"/>
      <c r="CL1111" s="15"/>
      <c r="CM1111" s="19"/>
      <c r="CN1111" s="15"/>
      <c r="CO1111" s="19"/>
      <c r="CP1111" s="15"/>
      <c r="CQ1111" s="15"/>
      <c r="CR1111" s="15"/>
      <c r="CS1111" s="19"/>
      <c r="CT1111" s="15"/>
      <c r="CU1111" s="19"/>
      <c r="CV1111" s="15"/>
      <c r="CW1111" s="19"/>
      <c r="CX1111" s="15"/>
      <c r="CY1111" s="19"/>
      <c r="CZ1111" s="15"/>
      <c r="DA1111" s="16" t="s">
        <v>197</v>
      </c>
      <c r="DB1111" s="17" t="s">
        <v>228</v>
      </c>
      <c r="DC1111" s="16"/>
      <c r="DD1111" s="17" t="s">
        <v>198</v>
      </c>
      <c r="DE1111" s="18">
        <v>45696.42738425926</v>
      </c>
      <c r="DF1111" s="17" t="s">
        <v>198</v>
      </c>
      <c r="DG1111" s="18">
        <v>45696.42738425926</v>
      </c>
      <c r="DH1111" s="13" t="s">
        <v>205</v>
      </c>
      <c r="DI1111" s="14" t="s">
        <v>179</v>
      </c>
      <c r="DJ1111" s="14" t="s">
        <v>21451</v>
      </c>
      <c r="DK1111" s="15"/>
      <c r="DL1111" s="15"/>
      <c r="DM1111" s="15"/>
      <c r="DN1111" s="15"/>
      <c r="DO1111" s="15"/>
      <c r="DP1111" s="15"/>
      <c r="DQ1111" s="15"/>
      <c r="DR1111" s="15"/>
      <c r="DS1111" s="15"/>
      <c r="DT1111" s="15"/>
      <c r="DU1111" s="15"/>
      <c r="DV1111" s="15"/>
      <c r="DW1111" s="15"/>
      <c r="DX1111" s="15"/>
      <c r="DY1111" s="15"/>
      <c r="DZ1111" s="15"/>
      <c r="EA1111" s="15"/>
      <c r="EB1111" s="15"/>
      <c r="EC1111" s="16" t="s">
        <v>197</v>
      </c>
      <c r="ED1111" s="17" t="s">
        <v>198</v>
      </c>
      <c r="EE1111" s="18">
        <v>45696.42744212963</v>
      </c>
      <c r="EF1111" s="13" t="s">
        <v>209</v>
      </c>
      <c r="EG1111" s="14" t="s">
        <v>179</v>
      </c>
      <c r="EH1111" s="14" t="s">
        <v>21452</v>
      </c>
      <c r="EI1111" s="15"/>
      <c r="EJ1111" s="15"/>
      <c r="EK1111" s="15"/>
      <c r="EL1111" s="15"/>
      <c r="EM1111" s="15"/>
      <c r="EN1111" s="15"/>
      <c r="EO1111" s="15"/>
      <c r="EP1111" s="15"/>
      <c r="EQ1111" s="15"/>
      <c r="ER1111" s="15"/>
      <c r="ES1111" s="15"/>
      <c r="ET1111" s="15"/>
      <c r="EU1111" s="15"/>
      <c r="EV1111" s="15"/>
      <c r="EW1111" s="15"/>
      <c r="EX1111" s="15"/>
      <c r="EY1111" s="15"/>
      <c r="EZ1111" s="15"/>
      <c r="FA1111" s="15"/>
      <c r="FB1111" s="15"/>
      <c r="FC1111" s="16" t="s">
        <v>197</v>
      </c>
      <c r="FD1111" s="17" t="s">
        <v>198</v>
      </c>
      <c r="FE1111" s="18">
        <v>45720.35530092593</v>
      </c>
      <c r="FF1111" s="19"/>
      <c r="FG1111" s="19"/>
      <c r="FH1111" s="21" t="s">
        <v>197</v>
      </c>
      <c r="FI1111" s="17" t="s">
        <v>214</v>
      </c>
      <c r="FJ1111" s="18">
        <v>45720.35530092593</v>
      </c>
      <c r="FK1111" s="14" t="s">
        <v>21452</v>
      </c>
      <c r="FL1111" s="14" t="s">
        <v>21453</v>
      </c>
      <c r="FM1111" s="14" t="s">
        <v>21454</v>
      </c>
      <c r="FN1111" s="19"/>
      <c r="FO1111" s="19"/>
      <c r="FP1111" s="19" t="str">
        <f t="shared" si="1"/>
        <v>Base de Dados_Images/XV65071.Imagem do Equipamento-.162719.jpg</v>
      </c>
      <c r="FQ1111" s="19"/>
      <c r="FR1111" s="19"/>
    </row>
    <row r="1112" ht="15.75" customHeight="1">
      <c r="A1112" s="12" t="s">
        <v>234</v>
      </c>
      <c r="B1112" s="12" t="s">
        <v>2885</v>
      </c>
      <c r="C1112" s="12" t="s">
        <v>219</v>
      </c>
      <c r="D1112" s="22" t="s">
        <v>21455</v>
      </c>
      <c r="E1112" s="22" t="s">
        <v>21456</v>
      </c>
      <c r="F1112" s="13" t="s">
        <v>178</v>
      </c>
      <c r="G1112" s="14" t="s">
        <v>179</v>
      </c>
      <c r="H1112" s="14" t="s">
        <v>21457</v>
      </c>
      <c r="I1112" s="14" t="s">
        <v>179</v>
      </c>
      <c r="J1112" s="14" t="s">
        <v>21458</v>
      </c>
      <c r="K1112" s="14" t="s">
        <v>179</v>
      </c>
      <c r="L1112" s="14" t="s">
        <v>21459</v>
      </c>
      <c r="M1112" s="14" t="s">
        <v>179</v>
      </c>
      <c r="N1112" s="14" t="s">
        <v>21460</v>
      </c>
      <c r="O1112" s="14" t="s">
        <v>179</v>
      </c>
      <c r="P1112" s="14" t="s">
        <v>21461</v>
      </c>
      <c r="Q1112" s="14" t="s">
        <v>179</v>
      </c>
      <c r="R1112" s="14" t="s">
        <v>21462</v>
      </c>
      <c r="S1112" s="14" t="s">
        <v>179</v>
      </c>
      <c r="T1112" s="14" t="s">
        <v>21463</v>
      </c>
      <c r="U1112" s="14" t="s">
        <v>179</v>
      </c>
      <c r="V1112" s="14" t="s">
        <v>21463</v>
      </c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15"/>
      <c r="AG1112" s="15"/>
      <c r="AH1112" s="15"/>
      <c r="AI1112" s="15"/>
      <c r="AJ1112" s="15"/>
      <c r="AK1112" s="15"/>
      <c r="AL1112" s="15"/>
      <c r="AM1112" s="15"/>
      <c r="AN1112" s="15"/>
      <c r="AO1112" s="15"/>
      <c r="AP1112" s="15"/>
      <c r="AQ1112" s="15"/>
      <c r="AR1112" s="15"/>
      <c r="AS1112" s="15"/>
      <c r="AT1112" s="15"/>
      <c r="AU1112" s="15"/>
      <c r="AV1112" s="15"/>
      <c r="AW1112" s="15"/>
      <c r="AX1112" s="15"/>
      <c r="AY1112" s="15"/>
      <c r="AZ1112" s="15"/>
      <c r="BA1112" s="15"/>
      <c r="BB1112" s="15"/>
      <c r="BC1112" s="15"/>
      <c r="BD1112" s="15"/>
      <c r="BE1112" s="15"/>
      <c r="BF1112" s="15"/>
      <c r="BG1112" s="15"/>
      <c r="BH1112" s="15"/>
      <c r="BI1112" s="15"/>
      <c r="BJ1112" s="15"/>
      <c r="BK1112" s="15"/>
      <c r="BL1112" s="15"/>
      <c r="BM1112" s="15"/>
      <c r="BN1112" s="15"/>
      <c r="BO1112" s="16" t="s">
        <v>197</v>
      </c>
      <c r="BP1112" s="17" t="s">
        <v>228</v>
      </c>
      <c r="BQ1112" s="23"/>
      <c r="BR1112" s="17" t="s">
        <v>198</v>
      </c>
      <c r="BS1112" s="18">
        <v>45678.34579861111</v>
      </c>
      <c r="BT1112" s="17" t="s">
        <v>198</v>
      </c>
      <c r="BU1112" s="18">
        <v>45678.34579861111</v>
      </c>
      <c r="BV1112" s="13" t="s">
        <v>199</v>
      </c>
      <c r="BW1112" s="14" t="s">
        <v>179</v>
      </c>
      <c r="BX1112" s="14" t="s">
        <v>21464</v>
      </c>
      <c r="BY1112" s="14" t="s">
        <v>179</v>
      </c>
      <c r="BZ1112" s="14" t="s">
        <v>21465</v>
      </c>
      <c r="CA1112" s="15"/>
      <c r="CB1112" s="15"/>
      <c r="CC1112" s="15"/>
      <c r="CD1112" s="15"/>
      <c r="CE1112" s="15"/>
      <c r="CF1112" s="15"/>
      <c r="CG1112" s="19"/>
      <c r="CH1112" s="15"/>
      <c r="CI1112" s="19"/>
      <c r="CJ1112" s="15"/>
      <c r="CK1112" s="19"/>
      <c r="CL1112" s="15"/>
      <c r="CM1112" s="19"/>
      <c r="CN1112" s="15"/>
      <c r="CO1112" s="19"/>
      <c r="CP1112" s="15"/>
      <c r="CQ1112" s="15"/>
      <c r="CR1112" s="15"/>
      <c r="CS1112" s="19"/>
      <c r="CT1112" s="15"/>
      <c r="CU1112" s="19"/>
      <c r="CV1112" s="15"/>
      <c r="CW1112" s="19"/>
      <c r="CX1112" s="15"/>
      <c r="CY1112" s="19"/>
      <c r="CZ1112" s="15"/>
      <c r="DA1112" s="16" t="s">
        <v>197</v>
      </c>
      <c r="DB1112" s="17" t="s">
        <v>228</v>
      </c>
      <c r="DC1112" s="16"/>
      <c r="DD1112" s="17" t="s">
        <v>198</v>
      </c>
      <c r="DE1112" s="18">
        <v>45696.42762731481</v>
      </c>
      <c r="DF1112" s="17" t="s">
        <v>198</v>
      </c>
      <c r="DG1112" s="18">
        <v>45696.42762731481</v>
      </c>
      <c r="DH1112" s="13" t="s">
        <v>205</v>
      </c>
      <c r="DI1112" s="14" t="s">
        <v>179</v>
      </c>
      <c r="DJ1112" s="14" t="s">
        <v>21466</v>
      </c>
      <c r="DK1112" s="15"/>
      <c r="DL1112" s="15"/>
      <c r="DM1112" s="15"/>
      <c r="DN1112" s="15"/>
      <c r="DO1112" s="15"/>
      <c r="DP1112" s="15"/>
      <c r="DQ1112" s="15"/>
      <c r="DR1112" s="15"/>
      <c r="DS1112" s="15"/>
      <c r="DT1112" s="15"/>
      <c r="DU1112" s="15"/>
      <c r="DV1112" s="15"/>
      <c r="DW1112" s="15"/>
      <c r="DX1112" s="15"/>
      <c r="DY1112" s="15"/>
      <c r="DZ1112" s="15"/>
      <c r="EA1112" s="15"/>
      <c r="EB1112" s="15"/>
      <c r="EC1112" s="16" t="s">
        <v>197</v>
      </c>
      <c r="ED1112" s="17" t="s">
        <v>198</v>
      </c>
      <c r="EE1112" s="18">
        <v>45696.42767361111</v>
      </c>
      <c r="EF1112" s="13" t="s">
        <v>209</v>
      </c>
      <c r="EG1112" s="14" t="s">
        <v>179</v>
      </c>
      <c r="EH1112" s="14" t="s">
        <v>21467</v>
      </c>
      <c r="EI1112" s="15"/>
      <c r="EJ1112" s="15"/>
      <c r="EK1112" s="15"/>
      <c r="EL1112" s="15"/>
      <c r="EM1112" s="15"/>
      <c r="EN1112" s="15"/>
      <c r="EO1112" s="15"/>
      <c r="EP1112" s="15"/>
      <c r="EQ1112" s="15"/>
      <c r="ER1112" s="15"/>
      <c r="ES1112" s="15"/>
      <c r="ET1112" s="15"/>
      <c r="EU1112" s="15"/>
      <c r="EV1112" s="15"/>
      <c r="EW1112" s="15"/>
      <c r="EX1112" s="15"/>
      <c r="EY1112" s="15"/>
      <c r="EZ1112" s="15"/>
      <c r="FA1112" s="15"/>
      <c r="FB1112" s="15"/>
      <c r="FC1112" s="16" t="s">
        <v>197</v>
      </c>
      <c r="FD1112" s="17" t="s">
        <v>198</v>
      </c>
      <c r="FE1112" s="18">
        <v>45720.355405092596</v>
      </c>
      <c r="FF1112" s="19"/>
      <c r="FG1112" s="19"/>
      <c r="FH1112" s="21" t="s">
        <v>197</v>
      </c>
      <c r="FI1112" s="17" t="s">
        <v>214</v>
      </c>
      <c r="FJ1112" s="18">
        <v>45720.355405092596</v>
      </c>
      <c r="FK1112" s="14" t="s">
        <v>21467</v>
      </c>
      <c r="FL1112" s="14" t="s">
        <v>21468</v>
      </c>
      <c r="FM1112" s="14" t="s">
        <v>21469</v>
      </c>
      <c r="FN1112" s="19"/>
      <c r="FO1112" s="19"/>
      <c r="FP1112" s="19" t="str">
        <f t="shared" si="1"/>
        <v>Base de Dados_Images/XV65072.Imagem do Equipamento-.162728.jpg</v>
      </c>
      <c r="FQ1112" s="19"/>
      <c r="FR1112" s="19"/>
    </row>
    <row r="1113" ht="15.75" customHeight="1">
      <c r="A1113" s="12" t="s">
        <v>234</v>
      </c>
      <c r="B1113" s="12" t="s">
        <v>2921</v>
      </c>
      <c r="C1113" s="12" t="s">
        <v>219</v>
      </c>
      <c r="D1113" s="22" t="s">
        <v>21470</v>
      </c>
      <c r="E1113" s="22" t="s">
        <v>21471</v>
      </c>
      <c r="F1113" s="13" t="s">
        <v>178</v>
      </c>
      <c r="G1113" s="14" t="s">
        <v>179</v>
      </c>
      <c r="H1113" s="14" t="s">
        <v>21472</v>
      </c>
      <c r="I1113" s="14" t="s">
        <v>179</v>
      </c>
      <c r="J1113" s="14" t="s">
        <v>21473</v>
      </c>
      <c r="K1113" s="14" t="s">
        <v>179</v>
      </c>
      <c r="L1113" s="14" t="s">
        <v>21474</v>
      </c>
      <c r="M1113" s="14" t="s">
        <v>179</v>
      </c>
      <c r="N1113" s="14" t="s">
        <v>21475</v>
      </c>
      <c r="O1113" s="14" t="s">
        <v>179</v>
      </c>
      <c r="P1113" s="14" t="s">
        <v>21476</v>
      </c>
      <c r="Q1113" s="14" t="s">
        <v>179</v>
      </c>
      <c r="R1113" s="14" t="s">
        <v>21477</v>
      </c>
      <c r="S1113" s="14" t="s">
        <v>179</v>
      </c>
      <c r="T1113" s="14" t="s">
        <v>21478</v>
      </c>
      <c r="U1113" s="14" t="s">
        <v>179</v>
      </c>
      <c r="V1113" s="14" t="s">
        <v>21479</v>
      </c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  <c r="AG1113" s="15"/>
      <c r="AH1113" s="15"/>
      <c r="AI1113" s="15"/>
      <c r="AJ1113" s="15"/>
      <c r="AK1113" s="15"/>
      <c r="AL1113" s="15"/>
      <c r="AM1113" s="15"/>
      <c r="AN1113" s="15"/>
      <c r="AO1113" s="15"/>
      <c r="AP1113" s="15"/>
      <c r="AQ1113" s="15"/>
      <c r="AR1113" s="15"/>
      <c r="AS1113" s="15"/>
      <c r="AT1113" s="15"/>
      <c r="AU1113" s="15"/>
      <c r="AV1113" s="15"/>
      <c r="AW1113" s="15"/>
      <c r="AX1113" s="15"/>
      <c r="AY1113" s="15"/>
      <c r="AZ1113" s="15"/>
      <c r="BA1113" s="15"/>
      <c r="BB1113" s="15"/>
      <c r="BC1113" s="15"/>
      <c r="BD1113" s="15"/>
      <c r="BE1113" s="15"/>
      <c r="BF1113" s="15"/>
      <c r="BG1113" s="15"/>
      <c r="BH1113" s="15"/>
      <c r="BI1113" s="15"/>
      <c r="BJ1113" s="15"/>
      <c r="BK1113" s="15"/>
      <c r="BL1113" s="15"/>
      <c r="BM1113" s="15"/>
      <c r="BN1113" s="15"/>
      <c r="BO1113" s="16" t="s">
        <v>197</v>
      </c>
      <c r="BP1113" s="17" t="s">
        <v>228</v>
      </c>
      <c r="BQ1113" s="23"/>
      <c r="BR1113" s="17" t="s">
        <v>198</v>
      </c>
      <c r="BS1113" s="18">
        <v>45687.38701388889</v>
      </c>
      <c r="BT1113" s="17" t="s">
        <v>198</v>
      </c>
      <c r="BU1113" s="18">
        <v>45687.38701388889</v>
      </c>
      <c r="BV1113" s="13" t="s">
        <v>199</v>
      </c>
      <c r="BW1113" s="14" t="s">
        <v>179</v>
      </c>
      <c r="BX1113" s="14" t="s">
        <v>21480</v>
      </c>
      <c r="BY1113" s="14" t="s">
        <v>179</v>
      </c>
      <c r="BZ1113" s="14" t="s">
        <v>21480</v>
      </c>
      <c r="CA1113" s="15"/>
      <c r="CB1113" s="15"/>
      <c r="CC1113" s="15"/>
      <c r="CD1113" s="15"/>
      <c r="CE1113" s="15"/>
      <c r="CF1113" s="15"/>
      <c r="CG1113" s="19"/>
      <c r="CH1113" s="15"/>
      <c r="CI1113" s="19"/>
      <c r="CJ1113" s="15"/>
      <c r="CK1113" s="19"/>
      <c r="CL1113" s="15"/>
      <c r="CM1113" s="19"/>
      <c r="CN1113" s="15"/>
      <c r="CO1113" s="19"/>
      <c r="CP1113" s="15"/>
      <c r="CQ1113" s="15"/>
      <c r="CR1113" s="15"/>
      <c r="CS1113" s="19"/>
      <c r="CT1113" s="15"/>
      <c r="CU1113" s="19"/>
      <c r="CV1113" s="15"/>
      <c r="CW1113" s="19"/>
      <c r="CX1113" s="15"/>
      <c r="CY1113" s="19"/>
      <c r="CZ1113" s="15"/>
      <c r="DA1113" s="16" t="s">
        <v>197</v>
      </c>
      <c r="DB1113" s="17" t="s">
        <v>228</v>
      </c>
      <c r="DC1113" s="16"/>
      <c r="DD1113" s="17" t="s">
        <v>198</v>
      </c>
      <c r="DE1113" s="18">
        <v>45696.42841435185</v>
      </c>
      <c r="DF1113" s="17" t="s">
        <v>198</v>
      </c>
      <c r="DG1113" s="18">
        <v>45696.42841435185</v>
      </c>
      <c r="DH1113" s="13" t="s">
        <v>205</v>
      </c>
      <c r="DI1113" s="14" t="s">
        <v>179</v>
      </c>
      <c r="DJ1113" s="14" t="s">
        <v>21481</v>
      </c>
      <c r="DK1113" s="15"/>
      <c r="DL1113" s="15"/>
      <c r="DM1113" s="15"/>
      <c r="DN1113" s="15"/>
      <c r="DO1113" s="15"/>
      <c r="DP1113" s="15"/>
      <c r="DQ1113" s="15"/>
      <c r="DR1113" s="15"/>
      <c r="DS1113" s="15"/>
      <c r="DT1113" s="15"/>
      <c r="DU1113" s="15"/>
      <c r="DV1113" s="15"/>
      <c r="DW1113" s="15"/>
      <c r="DX1113" s="15"/>
      <c r="DY1113" s="15"/>
      <c r="DZ1113" s="15"/>
      <c r="EA1113" s="15"/>
      <c r="EB1113" s="15"/>
      <c r="EC1113" s="16" t="s">
        <v>197</v>
      </c>
      <c r="ED1113" s="17" t="s">
        <v>198</v>
      </c>
      <c r="EE1113" s="18">
        <v>45696.4284837963</v>
      </c>
      <c r="EF1113" s="13" t="s">
        <v>209</v>
      </c>
      <c r="EG1113" s="14" t="s">
        <v>179</v>
      </c>
      <c r="EH1113" s="14" t="s">
        <v>21482</v>
      </c>
      <c r="EI1113" s="15"/>
      <c r="EJ1113" s="15"/>
      <c r="EK1113" s="15"/>
      <c r="EL1113" s="15"/>
      <c r="EM1113" s="15"/>
      <c r="EN1113" s="15"/>
      <c r="EO1113" s="15"/>
      <c r="EP1113" s="15"/>
      <c r="EQ1113" s="15"/>
      <c r="ER1113" s="15"/>
      <c r="ES1113" s="15"/>
      <c r="ET1113" s="15"/>
      <c r="EU1113" s="15"/>
      <c r="EV1113" s="15"/>
      <c r="EW1113" s="15"/>
      <c r="EX1113" s="15"/>
      <c r="EY1113" s="15"/>
      <c r="EZ1113" s="15"/>
      <c r="FA1113" s="15"/>
      <c r="FB1113" s="15"/>
      <c r="FC1113" s="16" t="s">
        <v>197</v>
      </c>
      <c r="FD1113" s="17" t="s">
        <v>198</v>
      </c>
      <c r="FE1113" s="18">
        <v>45720.35219907408</v>
      </c>
      <c r="FF1113" s="19"/>
      <c r="FG1113" s="19"/>
      <c r="FH1113" s="21" t="s">
        <v>197</v>
      </c>
      <c r="FI1113" s="17" t="s">
        <v>214</v>
      </c>
      <c r="FJ1113" s="18">
        <v>45720.35219907408</v>
      </c>
      <c r="FK1113" s="14" t="s">
        <v>21482</v>
      </c>
      <c r="FL1113" s="14" t="s">
        <v>21483</v>
      </c>
      <c r="FM1113" s="14" t="s">
        <v>21484</v>
      </c>
      <c r="FN1113" s="19"/>
      <c r="FO1113" s="19"/>
      <c r="FP1113" s="19" t="str">
        <f t="shared" si="1"/>
        <v>Base de Dados_Images/XV65073.Imagem do Equipamento-.131252.jpg</v>
      </c>
      <c r="FQ1113" s="19"/>
      <c r="FR1113" s="19"/>
    </row>
    <row r="1114" ht="15.75" customHeight="1">
      <c r="A1114" s="12" t="s">
        <v>234</v>
      </c>
      <c r="B1114" s="12" t="s">
        <v>2921</v>
      </c>
      <c r="C1114" s="12" t="s">
        <v>219</v>
      </c>
      <c r="D1114" s="22" t="s">
        <v>21485</v>
      </c>
      <c r="E1114" s="22" t="s">
        <v>21486</v>
      </c>
      <c r="F1114" s="13" t="s">
        <v>178</v>
      </c>
      <c r="G1114" s="14" t="s">
        <v>179</v>
      </c>
      <c r="H1114" s="14" t="s">
        <v>21487</v>
      </c>
      <c r="I1114" s="14" t="s">
        <v>179</v>
      </c>
      <c r="J1114" s="14" t="s">
        <v>21488</v>
      </c>
      <c r="K1114" s="14" t="s">
        <v>179</v>
      </c>
      <c r="L1114" s="14" t="s">
        <v>21489</v>
      </c>
      <c r="M1114" s="14" t="s">
        <v>179</v>
      </c>
      <c r="N1114" s="14" t="s">
        <v>21490</v>
      </c>
      <c r="O1114" s="14" t="s">
        <v>179</v>
      </c>
      <c r="P1114" s="14" t="s">
        <v>21491</v>
      </c>
      <c r="Q1114" s="14" t="s">
        <v>179</v>
      </c>
      <c r="R1114" s="14" t="s">
        <v>21492</v>
      </c>
      <c r="S1114" s="14" t="s">
        <v>179</v>
      </c>
      <c r="T1114" s="14" t="s">
        <v>21493</v>
      </c>
      <c r="U1114" s="14" t="s">
        <v>179</v>
      </c>
      <c r="V1114" s="14" t="s">
        <v>21494</v>
      </c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15"/>
      <c r="AG1114" s="15"/>
      <c r="AH1114" s="15"/>
      <c r="AI1114" s="15"/>
      <c r="AJ1114" s="15"/>
      <c r="AK1114" s="15"/>
      <c r="AL1114" s="15"/>
      <c r="AM1114" s="15"/>
      <c r="AN1114" s="15"/>
      <c r="AO1114" s="15"/>
      <c r="AP1114" s="15"/>
      <c r="AQ1114" s="15"/>
      <c r="AR1114" s="15"/>
      <c r="AS1114" s="15"/>
      <c r="AT1114" s="15"/>
      <c r="AU1114" s="15"/>
      <c r="AV1114" s="15"/>
      <c r="AW1114" s="15"/>
      <c r="AX1114" s="15"/>
      <c r="AY1114" s="15"/>
      <c r="AZ1114" s="15"/>
      <c r="BA1114" s="15"/>
      <c r="BB1114" s="15"/>
      <c r="BC1114" s="15"/>
      <c r="BD1114" s="15"/>
      <c r="BE1114" s="15"/>
      <c r="BF1114" s="15"/>
      <c r="BG1114" s="15"/>
      <c r="BH1114" s="15"/>
      <c r="BI1114" s="15"/>
      <c r="BJ1114" s="15"/>
      <c r="BK1114" s="15"/>
      <c r="BL1114" s="15"/>
      <c r="BM1114" s="15"/>
      <c r="BN1114" s="15"/>
      <c r="BO1114" s="16" t="s">
        <v>197</v>
      </c>
      <c r="BP1114" s="17" t="s">
        <v>228</v>
      </c>
      <c r="BQ1114" s="23"/>
      <c r="BR1114" s="17" t="s">
        <v>198</v>
      </c>
      <c r="BS1114" s="18">
        <v>45687.38628472222</v>
      </c>
      <c r="BT1114" s="17" t="s">
        <v>198</v>
      </c>
      <c r="BU1114" s="18">
        <v>45687.38628472222</v>
      </c>
      <c r="BV1114" s="13" t="s">
        <v>199</v>
      </c>
      <c r="BW1114" s="14" t="s">
        <v>179</v>
      </c>
      <c r="BX1114" s="14" t="s">
        <v>21495</v>
      </c>
      <c r="BY1114" s="14" t="s">
        <v>179</v>
      </c>
      <c r="BZ1114" s="14" t="s">
        <v>21496</v>
      </c>
      <c r="CA1114" s="15"/>
      <c r="CB1114" s="15"/>
      <c r="CC1114" s="15"/>
      <c r="CD1114" s="15"/>
      <c r="CE1114" s="15"/>
      <c r="CF1114" s="15"/>
      <c r="CG1114" s="19"/>
      <c r="CH1114" s="15"/>
      <c r="CI1114" s="19"/>
      <c r="CJ1114" s="15"/>
      <c r="CK1114" s="19"/>
      <c r="CL1114" s="15"/>
      <c r="CM1114" s="19"/>
      <c r="CN1114" s="15"/>
      <c r="CO1114" s="19"/>
      <c r="CP1114" s="15"/>
      <c r="CQ1114" s="15"/>
      <c r="CR1114" s="15"/>
      <c r="CS1114" s="19"/>
      <c r="CT1114" s="15"/>
      <c r="CU1114" s="19"/>
      <c r="CV1114" s="15"/>
      <c r="CW1114" s="19"/>
      <c r="CX1114" s="15"/>
      <c r="CY1114" s="19"/>
      <c r="CZ1114" s="15"/>
      <c r="DA1114" s="16" t="s">
        <v>197</v>
      </c>
      <c r="DB1114" s="17" t="s">
        <v>228</v>
      </c>
      <c r="DC1114" s="16"/>
      <c r="DD1114" s="17" t="s">
        <v>198</v>
      </c>
      <c r="DE1114" s="18">
        <v>45696.428611111114</v>
      </c>
      <c r="DF1114" s="17" t="s">
        <v>198</v>
      </c>
      <c r="DG1114" s="18">
        <v>45696.428611111114</v>
      </c>
      <c r="DH1114" s="13" t="s">
        <v>205</v>
      </c>
      <c r="DI1114" s="14" t="s">
        <v>179</v>
      </c>
      <c r="DJ1114" s="14" t="s">
        <v>21497</v>
      </c>
      <c r="DK1114" s="15"/>
      <c r="DL1114" s="15"/>
      <c r="DM1114" s="15"/>
      <c r="DN1114" s="15"/>
      <c r="DO1114" s="15"/>
      <c r="DP1114" s="15"/>
      <c r="DQ1114" s="15"/>
      <c r="DR1114" s="15"/>
      <c r="DS1114" s="15"/>
      <c r="DT1114" s="15"/>
      <c r="DU1114" s="15"/>
      <c r="DV1114" s="15"/>
      <c r="DW1114" s="15"/>
      <c r="DX1114" s="15"/>
      <c r="DY1114" s="15"/>
      <c r="DZ1114" s="15"/>
      <c r="EA1114" s="15"/>
      <c r="EB1114" s="15"/>
      <c r="EC1114" s="16" t="s">
        <v>197</v>
      </c>
      <c r="ED1114" s="17" t="s">
        <v>198</v>
      </c>
      <c r="EE1114" s="18">
        <v>45696.42866898148</v>
      </c>
      <c r="EF1114" s="13" t="s">
        <v>209</v>
      </c>
      <c r="EG1114" s="14" t="s">
        <v>179</v>
      </c>
      <c r="EH1114" s="14" t="s">
        <v>21498</v>
      </c>
      <c r="EI1114" s="15"/>
      <c r="EJ1114" s="15"/>
      <c r="EK1114" s="15"/>
      <c r="EL1114" s="15"/>
      <c r="EM1114" s="15"/>
      <c r="EN1114" s="15"/>
      <c r="EO1114" s="15"/>
      <c r="EP1114" s="15"/>
      <c r="EQ1114" s="15"/>
      <c r="ER1114" s="15"/>
      <c r="ES1114" s="15"/>
      <c r="ET1114" s="15"/>
      <c r="EU1114" s="15"/>
      <c r="EV1114" s="15"/>
      <c r="EW1114" s="15"/>
      <c r="EX1114" s="15"/>
      <c r="EY1114" s="15"/>
      <c r="EZ1114" s="15"/>
      <c r="FA1114" s="15"/>
      <c r="FB1114" s="15"/>
      <c r="FC1114" s="16" t="s">
        <v>197</v>
      </c>
      <c r="FD1114" s="17" t="s">
        <v>198</v>
      </c>
      <c r="FE1114" s="18">
        <v>45720.352268518516</v>
      </c>
      <c r="FF1114" s="19"/>
      <c r="FG1114" s="19"/>
      <c r="FH1114" s="21" t="s">
        <v>197</v>
      </c>
      <c r="FI1114" s="17" t="s">
        <v>214</v>
      </c>
      <c r="FJ1114" s="18">
        <v>45720.352268518516</v>
      </c>
      <c r="FK1114" s="14" t="s">
        <v>21498</v>
      </c>
      <c r="FL1114" s="14" t="s">
        <v>21499</v>
      </c>
      <c r="FM1114" s="14" t="s">
        <v>21500</v>
      </c>
      <c r="FN1114" s="19"/>
      <c r="FO1114" s="19"/>
      <c r="FP1114" s="19" t="str">
        <f t="shared" si="1"/>
        <v>Base de Dados_Images/XV65078.Imagem do Equipamento-.131145.jpg</v>
      </c>
      <c r="FQ1114" s="19"/>
      <c r="FR1114" s="19"/>
    </row>
    <row r="1115" ht="15.75" customHeight="1">
      <c r="A1115" s="12" t="s">
        <v>234</v>
      </c>
      <c r="B1115" s="12" t="s">
        <v>2921</v>
      </c>
      <c r="C1115" s="12" t="s">
        <v>219</v>
      </c>
      <c r="D1115" s="22" t="s">
        <v>21501</v>
      </c>
      <c r="E1115" s="22" t="s">
        <v>21502</v>
      </c>
      <c r="F1115" s="13" t="s">
        <v>178</v>
      </c>
      <c r="G1115" s="14" t="s">
        <v>179</v>
      </c>
      <c r="H1115" s="14" t="s">
        <v>21503</v>
      </c>
      <c r="I1115" s="14" t="s">
        <v>179</v>
      </c>
      <c r="J1115" s="14" t="s">
        <v>21503</v>
      </c>
      <c r="K1115" s="14" t="s">
        <v>179</v>
      </c>
      <c r="L1115" s="14" t="s">
        <v>21504</v>
      </c>
      <c r="M1115" s="14" t="s">
        <v>179</v>
      </c>
      <c r="N1115" s="14" t="s">
        <v>21505</v>
      </c>
      <c r="O1115" s="14" t="s">
        <v>179</v>
      </c>
      <c r="P1115" s="14" t="s">
        <v>21506</v>
      </c>
      <c r="Q1115" s="14" t="s">
        <v>179</v>
      </c>
      <c r="R1115" s="14" t="s">
        <v>21507</v>
      </c>
      <c r="S1115" s="14" t="s">
        <v>179</v>
      </c>
      <c r="T1115" s="14" t="s">
        <v>21508</v>
      </c>
      <c r="U1115" s="14" t="s">
        <v>179</v>
      </c>
      <c r="V1115" s="14" t="s">
        <v>21509</v>
      </c>
      <c r="W1115" s="15"/>
      <c r="X1115" s="15"/>
      <c r="Y1115" s="15"/>
      <c r="Z1115" s="15"/>
      <c r="AA1115" s="15"/>
      <c r="AB1115" s="15"/>
      <c r="AC1115" s="15"/>
      <c r="AD1115" s="15"/>
      <c r="AE1115" s="15"/>
      <c r="AF1115" s="15"/>
      <c r="AG1115" s="15"/>
      <c r="AH1115" s="15"/>
      <c r="AI1115" s="15"/>
      <c r="AJ1115" s="15"/>
      <c r="AK1115" s="15"/>
      <c r="AL1115" s="15"/>
      <c r="AM1115" s="15"/>
      <c r="AN1115" s="15"/>
      <c r="AO1115" s="15"/>
      <c r="AP1115" s="15"/>
      <c r="AQ1115" s="15"/>
      <c r="AR1115" s="15"/>
      <c r="AS1115" s="15"/>
      <c r="AT1115" s="15"/>
      <c r="AU1115" s="15"/>
      <c r="AV1115" s="15"/>
      <c r="AW1115" s="15"/>
      <c r="AX1115" s="15"/>
      <c r="AY1115" s="15"/>
      <c r="AZ1115" s="15"/>
      <c r="BA1115" s="15"/>
      <c r="BB1115" s="15"/>
      <c r="BC1115" s="15"/>
      <c r="BD1115" s="15"/>
      <c r="BE1115" s="15"/>
      <c r="BF1115" s="15"/>
      <c r="BG1115" s="15"/>
      <c r="BH1115" s="15"/>
      <c r="BI1115" s="15"/>
      <c r="BJ1115" s="15"/>
      <c r="BK1115" s="15"/>
      <c r="BL1115" s="15"/>
      <c r="BM1115" s="15"/>
      <c r="BN1115" s="15"/>
      <c r="BO1115" s="16" t="s">
        <v>197</v>
      </c>
      <c r="BP1115" s="17" t="s">
        <v>228</v>
      </c>
      <c r="BQ1115" s="23"/>
      <c r="BR1115" s="17" t="s">
        <v>198</v>
      </c>
      <c r="BS1115" s="18">
        <v>45694.612974537034</v>
      </c>
      <c r="BT1115" s="17" t="s">
        <v>198</v>
      </c>
      <c r="BU1115" s="18">
        <v>45694.612974537034</v>
      </c>
      <c r="BV1115" s="13" t="s">
        <v>199</v>
      </c>
      <c r="BW1115" s="14" t="s">
        <v>179</v>
      </c>
      <c r="BX1115" s="14" t="s">
        <v>21510</v>
      </c>
      <c r="BY1115" s="14" t="s">
        <v>179</v>
      </c>
      <c r="BZ1115" s="14" t="s">
        <v>21511</v>
      </c>
      <c r="CA1115" s="15"/>
      <c r="CB1115" s="15"/>
      <c r="CC1115" s="15"/>
      <c r="CD1115" s="15"/>
      <c r="CE1115" s="15"/>
      <c r="CF1115" s="15"/>
      <c r="CG1115" s="19"/>
      <c r="CH1115" s="15"/>
      <c r="CI1115" s="19"/>
      <c r="CJ1115" s="15"/>
      <c r="CK1115" s="19"/>
      <c r="CL1115" s="15"/>
      <c r="CM1115" s="19"/>
      <c r="CN1115" s="15"/>
      <c r="CO1115" s="19"/>
      <c r="CP1115" s="15"/>
      <c r="CQ1115" s="15"/>
      <c r="CR1115" s="15"/>
      <c r="CS1115" s="19"/>
      <c r="CT1115" s="15"/>
      <c r="CU1115" s="19"/>
      <c r="CV1115" s="15"/>
      <c r="CW1115" s="19"/>
      <c r="CX1115" s="15"/>
      <c r="CY1115" s="19"/>
      <c r="CZ1115" s="15"/>
      <c r="DA1115" s="16" t="s">
        <v>197</v>
      </c>
      <c r="DB1115" s="17" t="s">
        <v>228</v>
      </c>
      <c r="DC1115" s="16"/>
      <c r="DD1115" s="17" t="s">
        <v>198</v>
      </c>
      <c r="DE1115" s="18">
        <v>45696.4294212963</v>
      </c>
      <c r="DF1115" s="17" t="s">
        <v>198</v>
      </c>
      <c r="DG1115" s="18">
        <v>45696.4294212963</v>
      </c>
      <c r="DH1115" s="13" t="s">
        <v>205</v>
      </c>
      <c r="DI1115" s="14" t="s">
        <v>179</v>
      </c>
      <c r="DJ1115" s="14" t="s">
        <v>21512</v>
      </c>
      <c r="DK1115" s="15"/>
      <c r="DL1115" s="15"/>
      <c r="DM1115" s="15"/>
      <c r="DN1115" s="15"/>
      <c r="DO1115" s="15"/>
      <c r="DP1115" s="15"/>
      <c r="DQ1115" s="15"/>
      <c r="DR1115" s="15"/>
      <c r="DS1115" s="15"/>
      <c r="DT1115" s="15"/>
      <c r="DU1115" s="15"/>
      <c r="DV1115" s="15"/>
      <c r="DW1115" s="15"/>
      <c r="DX1115" s="15"/>
      <c r="DY1115" s="15"/>
      <c r="DZ1115" s="15"/>
      <c r="EA1115" s="15"/>
      <c r="EB1115" s="15"/>
      <c r="EC1115" s="16" t="s">
        <v>197</v>
      </c>
      <c r="ED1115" s="17" t="s">
        <v>198</v>
      </c>
      <c r="EE1115" s="18">
        <v>45696.4297337963</v>
      </c>
      <c r="EF1115" s="13" t="s">
        <v>209</v>
      </c>
      <c r="EG1115" s="14" t="s">
        <v>179</v>
      </c>
      <c r="EH1115" s="14" t="s">
        <v>21513</v>
      </c>
      <c r="EI1115" s="15"/>
      <c r="EJ1115" s="15"/>
      <c r="EK1115" s="15"/>
      <c r="EL1115" s="15"/>
      <c r="EM1115" s="15"/>
      <c r="EN1115" s="15"/>
      <c r="EO1115" s="15"/>
      <c r="EP1115" s="15"/>
      <c r="EQ1115" s="15"/>
      <c r="ER1115" s="15"/>
      <c r="ES1115" s="15"/>
      <c r="ET1115" s="15"/>
      <c r="EU1115" s="15"/>
      <c r="EV1115" s="15"/>
      <c r="EW1115" s="15"/>
      <c r="EX1115" s="15"/>
      <c r="EY1115" s="15"/>
      <c r="EZ1115" s="15"/>
      <c r="FA1115" s="15"/>
      <c r="FB1115" s="15"/>
      <c r="FC1115" s="16" t="s">
        <v>197</v>
      </c>
      <c r="FD1115" s="17" t="s">
        <v>198</v>
      </c>
      <c r="FE1115" s="18">
        <v>45720.35258101852</v>
      </c>
      <c r="FF1115" s="19"/>
      <c r="FG1115" s="19"/>
      <c r="FH1115" s="21" t="s">
        <v>197</v>
      </c>
      <c r="FI1115" s="17" t="s">
        <v>214</v>
      </c>
      <c r="FJ1115" s="18">
        <v>45720.35258101852</v>
      </c>
      <c r="FK1115" s="14" t="s">
        <v>21513</v>
      </c>
      <c r="FL1115" s="14" t="s">
        <v>21514</v>
      </c>
      <c r="FM1115" s="14" t="s">
        <v>21515</v>
      </c>
      <c r="FN1115" s="19"/>
      <c r="FO1115" s="19"/>
      <c r="FP1115" s="19" t="str">
        <f t="shared" si="1"/>
        <v>Base de Dados_Images/XV65079.Imagem do Equipamento-.174924.jpg</v>
      </c>
      <c r="FQ1115" s="14"/>
      <c r="FR1115" s="14"/>
    </row>
    <row r="1116" ht="15.75" customHeight="1">
      <c r="A1116" s="12" t="s">
        <v>234</v>
      </c>
      <c r="B1116" s="12" t="s">
        <v>2921</v>
      </c>
      <c r="C1116" s="12" t="s">
        <v>219</v>
      </c>
      <c r="D1116" s="22" t="s">
        <v>21516</v>
      </c>
      <c r="E1116" s="22" t="s">
        <v>21517</v>
      </c>
      <c r="F1116" s="13" t="s">
        <v>178</v>
      </c>
      <c r="G1116" s="14" t="s">
        <v>179</v>
      </c>
      <c r="H1116" s="14" t="s">
        <v>21518</v>
      </c>
      <c r="I1116" s="14" t="s">
        <v>179</v>
      </c>
      <c r="J1116" s="14" t="s">
        <v>21519</v>
      </c>
      <c r="K1116" s="14" t="s">
        <v>179</v>
      </c>
      <c r="L1116" s="14" t="s">
        <v>21520</v>
      </c>
      <c r="M1116" s="14" t="s">
        <v>179</v>
      </c>
      <c r="N1116" s="14" t="s">
        <v>21521</v>
      </c>
      <c r="O1116" s="14" t="s">
        <v>179</v>
      </c>
      <c r="P1116" s="14" t="s">
        <v>21522</v>
      </c>
      <c r="Q1116" s="14" t="s">
        <v>179</v>
      </c>
      <c r="R1116" s="14" t="s">
        <v>21523</v>
      </c>
      <c r="S1116" s="14" t="s">
        <v>179</v>
      </c>
      <c r="T1116" s="14" t="s">
        <v>21524</v>
      </c>
      <c r="U1116" s="14" t="s">
        <v>179</v>
      </c>
      <c r="V1116" s="14" t="s">
        <v>21525</v>
      </c>
      <c r="W1116" s="15"/>
      <c r="X1116" s="15"/>
      <c r="Y1116" s="15"/>
      <c r="Z1116" s="15"/>
      <c r="AA1116" s="15"/>
      <c r="AB1116" s="15"/>
      <c r="AC1116" s="15"/>
      <c r="AD1116" s="15"/>
      <c r="AE1116" s="15"/>
      <c r="AF1116" s="15"/>
      <c r="AG1116" s="15"/>
      <c r="AH1116" s="15"/>
      <c r="AI1116" s="15"/>
      <c r="AJ1116" s="15"/>
      <c r="AK1116" s="15"/>
      <c r="AL1116" s="15"/>
      <c r="AM1116" s="15"/>
      <c r="AN1116" s="15"/>
      <c r="AO1116" s="15"/>
      <c r="AP1116" s="15"/>
      <c r="AQ1116" s="15"/>
      <c r="AR1116" s="15"/>
      <c r="AS1116" s="15"/>
      <c r="AT1116" s="15"/>
      <c r="AU1116" s="15"/>
      <c r="AV1116" s="15"/>
      <c r="AW1116" s="15"/>
      <c r="AX1116" s="15"/>
      <c r="AY1116" s="15"/>
      <c r="AZ1116" s="15"/>
      <c r="BA1116" s="15"/>
      <c r="BB1116" s="15"/>
      <c r="BC1116" s="15"/>
      <c r="BD1116" s="15"/>
      <c r="BE1116" s="15"/>
      <c r="BF1116" s="15"/>
      <c r="BG1116" s="15"/>
      <c r="BH1116" s="15"/>
      <c r="BI1116" s="15"/>
      <c r="BJ1116" s="15"/>
      <c r="BK1116" s="15"/>
      <c r="BL1116" s="15"/>
      <c r="BM1116" s="15"/>
      <c r="BN1116" s="15"/>
      <c r="BO1116" s="16" t="s">
        <v>197</v>
      </c>
      <c r="BP1116" s="17" t="s">
        <v>228</v>
      </c>
      <c r="BQ1116" s="23"/>
      <c r="BR1116" s="17" t="s">
        <v>198</v>
      </c>
      <c r="BS1116" s="18">
        <v>45687.387766203705</v>
      </c>
      <c r="BT1116" s="17" t="s">
        <v>198</v>
      </c>
      <c r="BU1116" s="18">
        <v>45687.387766203705</v>
      </c>
      <c r="BV1116" s="13" t="s">
        <v>199</v>
      </c>
      <c r="BW1116" s="14" t="s">
        <v>179</v>
      </c>
      <c r="BX1116" s="14" t="s">
        <v>21526</v>
      </c>
      <c r="BY1116" s="14" t="s">
        <v>179</v>
      </c>
      <c r="BZ1116" s="14" t="s">
        <v>21527</v>
      </c>
      <c r="CA1116" s="15"/>
      <c r="CB1116" s="15"/>
      <c r="CC1116" s="15"/>
      <c r="CD1116" s="15"/>
      <c r="CE1116" s="15"/>
      <c r="CF1116" s="15"/>
      <c r="CG1116" s="19"/>
      <c r="CH1116" s="15"/>
      <c r="CI1116" s="19"/>
      <c r="CJ1116" s="15"/>
      <c r="CK1116" s="19"/>
      <c r="CL1116" s="15"/>
      <c r="CM1116" s="19"/>
      <c r="CN1116" s="15"/>
      <c r="CO1116" s="19"/>
      <c r="CP1116" s="15"/>
      <c r="CQ1116" s="15"/>
      <c r="CR1116" s="15"/>
      <c r="CS1116" s="19"/>
      <c r="CT1116" s="15"/>
      <c r="CU1116" s="19"/>
      <c r="CV1116" s="15"/>
      <c r="CW1116" s="19"/>
      <c r="CX1116" s="15"/>
      <c r="CY1116" s="19"/>
      <c r="CZ1116" s="15"/>
      <c r="DA1116" s="16" t="s">
        <v>197</v>
      </c>
      <c r="DB1116" s="17" t="s">
        <v>228</v>
      </c>
      <c r="DC1116" s="16"/>
      <c r="DD1116" s="17" t="s">
        <v>198</v>
      </c>
      <c r="DE1116" s="18">
        <v>45696.42983796296</v>
      </c>
      <c r="DF1116" s="17" t="s">
        <v>198</v>
      </c>
      <c r="DG1116" s="18">
        <v>45696.42983796296</v>
      </c>
      <c r="DH1116" s="13" t="s">
        <v>205</v>
      </c>
      <c r="DI1116" s="14" t="s">
        <v>179</v>
      </c>
      <c r="DJ1116" s="14" t="s">
        <v>21528</v>
      </c>
      <c r="DK1116" s="15"/>
      <c r="DL1116" s="15"/>
      <c r="DM1116" s="15"/>
      <c r="DN1116" s="15"/>
      <c r="DO1116" s="15"/>
      <c r="DP1116" s="15"/>
      <c r="DQ1116" s="15"/>
      <c r="DR1116" s="15"/>
      <c r="DS1116" s="15"/>
      <c r="DT1116" s="15"/>
      <c r="DU1116" s="15"/>
      <c r="DV1116" s="15"/>
      <c r="DW1116" s="15"/>
      <c r="DX1116" s="15"/>
      <c r="DY1116" s="15"/>
      <c r="DZ1116" s="15"/>
      <c r="EA1116" s="15"/>
      <c r="EB1116" s="15"/>
      <c r="EC1116" s="16" t="s">
        <v>197</v>
      </c>
      <c r="ED1116" s="17" t="s">
        <v>198</v>
      </c>
      <c r="EE1116" s="18">
        <v>45696.42990740741</v>
      </c>
      <c r="EF1116" s="13" t="s">
        <v>209</v>
      </c>
      <c r="EG1116" s="14" t="s">
        <v>179</v>
      </c>
      <c r="EH1116" s="14" t="s">
        <v>21529</v>
      </c>
      <c r="EI1116" s="15"/>
      <c r="EJ1116" s="15"/>
      <c r="EK1116" s="15"/>
      <c r="EL1116" s="15"/>
      <c r="EM1116" s="15"/>
      <c r="EN1116" s="15"/>
      <c r="EO1116" s="15"/>
      <c r="EP1116" s="15"/>
      <c r="EQ1116" s="15"/>
      <c r="ER1116" s="15"/>
      <c r="ES1116" s="15"/>
      <c r="ET1116" s="15"/>
      <c r="EU1116" s="15"/>
      <c r="EV1116" s="15"/>
      <c r="EW1116" s="15"/>
      <c r="EX1116" s="15"/>
      <c r="EY1116" s="15"/>
      <c r="EZ1116" s="15"/>
      <c r="FA1116" s="15"/>
      <c r="FB1116" s="15"/>
      <c r="FC1116" s="16" t="s">
        <v>197</v>
      </c>
      <c r="FD1116" s="17" t="s">
        <v>198</v>
      </c>
      <c r="FE1116" s="18">
        <v>45720.35266203704</v>
      </c>
      <c r="FF1116" s="19"/>
      <c r="FG1116" s="19"/>
      <c r="FH1116" s="21" t="s">
        <v>197</v>
      </c>
      <c r="FI1116" s="17" t="s">
        <v>214</v>
      </c>
      <c r="FJ1116" s="18">
        <v>45720.35266203704</v>
      </c>
      <c r="FK1116" s="14" t="s">
        <v>21529</v>
      </c>
      <c r="FL1116" s="14" t="s">
        <v>21530</v>
      </c>
      <c r="FM1116" s="14" t="s">
        <v>21531</v>
      </c>
      <c r="FN1116" s="19"/>
      <c r="FO1116" s="19"/>
      <c r="FP1116" s="19" t="str">
        <f t="shared" si="1"/>
        <v>Base de Dados_Images/XV65080.Imagem do Equipamento-.131330.jpg</v>
      </c>
      <c r="FQ1116" s="19"/>
      <c r="FR1116" s="19"/>
    </row>
    <row r="1117" ht="15.75" customHeight="1">
      <c r="A1117" s="12" t="s">
        <v>234</v>
      </c>
      <c r="B1117" s="12" t="s">
        <v>2921</v>
      </c>
      <c r="C1117" s="12" t="s">
        <v>219</v>
      </c>
      <c r="D1117" s="22" t="s">
        <v>21532</v>
      </c>
      <c r="E1117" s="22" t="s">
        <v>21533</v>
      </c>
      <c r="F1117" s="13" t="s">
        <v>178</v>
      </c>
      <c r="G1117" s="14" t="s">
        <v>179</v>
      </c>
      <c r="H1117" s="14" t="s">
        <v>21534</v>
      </c>
      <c r="I1117" s="14" t="s">
        <v>179</v>
      </c>
      <c r="J1117" s="14" t="s">
        <v>21535</v>
      </c>
      <c r="K1117" s="14" t="s">
        <v>179</v>
      </c>
      <c r="L1117" s="14" t="s">
        <v>21536</v>
      </c>
      <c r="M1117" s="14" t="s">
        <v>179</v>
      </c>
      <c r="N1117" s="14" t="s">
        <v>21537</v>
      </c>
      <c r="O1117" s="14" t="s">
        <v>179</v>
      </c>
      <c r="P1117" s="14" t="s">
        <v>21538</v>
      </c>
      <c r="Q1117" s="14" t="s">
        <v>179</v>
      </c>
      <c r="R1117" s="14" t="s">
        <v>21539</v>
      </c>
      <c r="S1117" s="14" t="s">
        <v>179</v>
      </c>
      <c r="T1117" s="14" t="s">
        <v>21540</v>
      </c>
      <c r="U1117" s="14" t="s">
        <v>179</v>
      </c>
      <c r="V1117" s="14" t="s">
        <v>21541</v>
      </c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  <c r="AN1117" s="15"/>
      <c r="AO1117" s="15"/>
      <c r="AP1117" s="15"/>
      <c r="AQ1117" s="15"/>
      <c r="AR1117" s="15"/>
      <c r="AS1117" s="15"/>
      <c r="AT1117" s="15"/>
      <c r="AU1117" s="15"/>
      <c r="AV1117" s="15"/>
      <c r="AW1117" s="15"/>
      <c r="AX1117" s="15"/>
      <c r="AY1117" s="15"/>
      <c r="AZ1117" s="15"/>
      <c r="BA1117" s="15"/>
      <c r="BB1117" s="15"/>
      <c r="BC1117" s="15"/>
      <c r="BD1117" s="15"/>
      <c r="BE1117" s="15"/>
      <c r="BF1117" s="15"/>
      <c r="BG1117" s="15"/>
      <c r="BH1117" s="15"/>
      <c r="BI1117" s="15"/>
      <c r="BJ1117" s="15"/>
      <c r="BK1117" s="15"/>
      <c r="BL1117" s="15"/>
      <c r="BM1117" s="15"/>
      <c r="BN1117" s="15"/>
      <c r="BO1117" s="16" t="s">
        <v>197</v>
      </c>
      <c r="BP1117" s="17" t="s">
        <v>228</v>
      </c>
      <c r="BQ1117" s="23"/>
      <c r="BR1117" s="17" t="s">
        <v>198</v>
      </c>
      <c r="BS1117" s="18">
        <v>45678.436689814815</v>
      </c>
      <c r="BT1117" s="17" t="s">
        <v>198</v>
      </c>
      <c r="BU1117" s="18">
        <v>45678.436689814815</v>
      </c>
      <c r="BV1117" s="13" t="s">
        <v>199</v>
      </c>
      <c r="BW1117" s="14" t="s">
        <v>179</v>
      </c>
      <c r="BX1117" s="14" t="s">
        <v>21542</v>
      </c>
      <c r="BY1117" s="14" t="s">
        <v>179</v>
      </c>
      <c r="BZ1117" s="14" t="s">
        <v>21542</v>
      </c>
      <c r="CA1117" s="15"/>
      <c r="CB1117" s="15"/>
      <c r="CC1117" s="15"/>
      <c r="CD1117" s="15"/>
      <c r="CE1117" s="15"/>
      <c r="CF1117" s="15"/>
      <c r="CG1117" s="19"/>
      <c r="CH1117" s="15"/>
      <c r="CI1117" s="19"/>
      <c r="CJ1117" s="15"/>
      <c r="CK1117" s="19"/>
      <c r="CL1117" s="15"/>
      <c r="CM1117" s="19"/>
      <c r="CN1117" s="15"/>
      <c r="CO1117" s="19"/>
      <c r="CP1117" s="15"/>
      <c r="CQ1117" s="15"/>
      <c r="CR1117" s="15"/>
      <c r="CS1117" s="19"/>
      <c r="CT1117" s="15"/>
      <c r="CU1117" s="19"/>
      <c r="CV1117" s="15"/>
      <c r="CW1117" s="19"/>
      <c r="CX1117" s="15"/>
      <c r="CY1117" s="19"/>
      <c r="CZ1117" s="15"/>
      <c r="DA1117" s="16" t="s">
        <v>197</v>
      </c>
      <c r="DB1117" s="17" t="s">
        <v>228</v>
      </c>
      <c r="DC1117" s="16"/>
      <c r="DD1117" s="17" t="s">
        <v>198</v>
      </c>
      <c r="DE1117" s="18">
        <v>45696.42998842592</v>
      </c>
      <c r="DF1117" s="17" t="s">
        <v>198</v>
      </c>
      <c r="DG1117" s="18">
        <v>45696.42998842592</v>
      </c>
      <c r="DH1117" s="13" t="s">
        <v>205</v>
      </c>
      <c r="DI1117" s="14" t="s">
        <v>179</v>
      </c>
      <c r="DJ1117" s="14" t="s">
        <v>21543</v>
      </c>
      <c r="DK1117" s="15"/>
      <c r="DL1117" s="15"/>
      <c r="DM1117" s="15"/>
      <c r="DN1117" s="15"/>
      <c r="DO1117" s="15"/>
      <c r="DP1117" s="15"/>
      <c r="DQ1117" s="15"/>
      <c r="DR1117" s="15"/>
      <c r="DS1117" s="15"/>
      <c r="DT1117" s="15"/>
      <c r="DU1117" s="15"/>
      <c r="DV1117" s="15"/>
      <c r="DW1117" s="15"/>
      <c r="DX1117" s="15"/>
      <c r="DY1117" s="15"/>
      <c r="DZ1117" s="15"/>
      <c r="EA1117" s="15"/>
      <c r="EB1117" s="15"/>
      <c r="EC1117" s="16" t="s">
        <v>197</v>
      </c>
      <c r="ED1117" s="17" t="s">
        <v>198</v>
      </c>
      <c r="EE1117" s="18">
        <v>45696.43003472222</v>
      </c>
      <c r="EF1117" s="13" t="s">
        <v>209</v>
      </c>
      <c r="EG1117" s="14" t="s">
        <v>179</v>
      </c>
      <c r="EH1117" s="14" t="s">
        <v>21544</v>
      </c>
      <c r="EI1117" s="15"/>
      <c r="EJ1117" s="15"/>
      <c r="EK1117" s="15"/>
      <c r="EL1117" s="15"/>
      <c r="EM1117" s="15"/>
      <c r="EN1117" s="15"/>
      <c r="EO1117" s="15"/>
      <c r="EP1117" s="15"/>
      <c r="EQ1117" s="15"/>
      <c r="ER1117" s="15"/>
      <c r="ES1117" s="15"/>
      <c r="ET1117" s="15"/>
      <c r="EU1117" s="15"/>
      <c r="EV1117" s="15"/>
      <c r="EW1117" s="15"/>
      <c r="EX1117" s="15"/>
      <c r="EY1117" s="15"/>
      <c r="EZ1117" s="15"/>
      <c r="FA1117" s="15"/>
      <c r="FB1117" s="15"/>
      <c r="FC1117" s="16" t="s">
        <v>197</v>
      </c>
      <c r="FD1117" s="17" t="s">
        <v>198</v>
      </c>
      <c r="FE1117" s="18">
        <v>45720.35283564815</v>
      </c>
      <c r="FF1117" s="19"/>
      <c r="FG1117" s="19"/>
      <c r="FH1117" s="21" t="s">
        <v>197</v>
      </c>
      <c r="FI1117" s="17" t="s">
        <v>214</v>
      </c>
      <c r="FJ1117" s="18">
        <v>45720.35283564815</v>
      </c>
      <c r="FK1117" s="14" t="s">
        <v>21544</v>
      </c>
      <c r="FL1117" s="14" t="s">
        <v>21545</v>
      </c>
      <c r="FM1117" s="14" t="s">
        <v>21546</v>
      </c>
      <c r="FN1117" s="19"/>
      <c r="FO1117" s="19"/>
      <c r="FP1117" s="19" t="str">
        <f t="shared" si="1"/>
        <v>Base de Dados_Images/XV65081.Imagem do Equipamento-.162855.jpg</v>
      </c>
      <c r="FQ1117" s="19"/>
      <c r="FR1117" s="19"/>
    </row>
    <row r="1118" ht="15.75" customHeight="1">
      <c r="A1118" s="12" t="s">
        <v>234</v>
      </c>
      <c r="B1118" s="12" t="s">
        <v>2921</v>
      </c>
      <c r="C1118" s="12" t="s">
        <v>219</v>
      </c>
      <c r="D1118" s="22" t="s">
        <v>21547</v>
      </c>
      <c r="E1118" s="22" t="s">
        <v>21548</v>
      </c>
      <c r="F1118" s="13" t="s">
        <v>178</v>
      </c>
      <c r="G1118" s="14" t="s">
        <v>179</v>
      </c>
      <c r="H1118" s="14" t="s">
        <v>21549</v>
      </c>
      <c r="I1118" s="14" t="s">
        <v>179</v>
      </c>
      <c r="J1118" s="14" t="s">
        <v>21550</v>
      </c>
      <c r="K1118" s="14" t="s">
        <v>179</v>
      </c>
      <c r="L1118" s="14" t="s">
        <v>21551</v>
      </c>
      <c r="M1118" s="14" t="s">
        <v>179</v>
      </c>
      <c r="N1118" s="14" t="s">
        <v>21552</v>
      </c>
      <c r="O1118" s="14" t="s">
        <v>179</v>
      </c>
      <c r="P1118" s="14" t="s">
        <v>21553</v>
      </c>
      <c r="Q1118" s="14" t="s">
        <v>179</v>
      </c>
      <c r="R1118" s="14" t="s">
        <v>21554</v>
      </c>
      <c r="S1118" s="14" t="s">
        <v>179</v>
      </c>
      <c r="T1118" s="14" t="s">
        <v>21555</v>
      </c>
      <c r="U1118" s="14" t="s">
        <v>179</v>
      </c>
      <c r="V1118" s="14" t="s">
        <v>21556</v>
      </c>
      <c r="W1118" s="15"/>
      <c r="X1118" s="15"/>
      <c r="Y1118" s="15"/>
      <c r="Z1118" s="15"/>
      <c r="AA1118" s="15"/>
      <c r="AB1118" s="15"/>
      <c r="AC1118" s="15"/>
      <c r="AD1118" s="15"/>
      <c r="AE1118" s="15"/>
      <c r="AF1118" s="15"/>
      <c r="AG1118" s="15"/>
      <c r="AH1118" s="15"/>
      <c r="AI1118" s="15"/>
      <c r="AJ1118" s="15"/>
      <c r="AK1118" s="15"/>
      <c r="AL1118" s="15"/>
      <c r="AM1118" s="15"/>
      <c r="AN1118" s="15"/>
      <c r="AO1118" s="15"/>
      <c r="AP1118" s="15"/>
      <c r="AQ1118" s="15"/>
      <c r="AR1118" s="15"/>
      <c r="AS1118" s="15"/>
      <c r="AT1118" s="15"/>
      <c r="AU1118" s="15"/>
      <c r="AV1118" s="15"/>
      <c r="AW1118" s="15"/>
      <c r="AX1118" s="15"/>
      <c r="AY1118" s="15"/>
      <c r="AZ1118" s="15"/>
      <c r="BA1118" s="15"/>
      <c r="BB1118" s="15"/>
      <c r="BC1118" s="15"/>
      <c r="BD1118" s="15"/>
      <c r="BE1118" s="15"/>
      <c r="BF1118" s="15"/>
      <c r="BG1118" s="15"/>
      <c r="BH1118" s="15"/>
      <c r="BI1118" s="15"/>
      <c r="BJ1118" s="15"/>
      <c r="BK1118" s="15"/>
      <c r="BL1118" s="15"/>
      <c r="BM1118" s="15"/>
      <c r="BN1118" s="15"/>
      <c r="BO1118" s="16" t="s">
        <v>197</v>
      </c>
      <c r="BP1118" s="17" t="s">
        <v>228</v>
      </c>
      <c r="BQ1118" s="23"/>
      <c r="BR1118" s="17" t="s">
        <v>198</v>
      </c>
      <c r="BS1118" s="18">
        <v>45687.41332175926</v>
      </c>
      <c r="BT1118" s="17" t="s">
        <v>198</v>
      </c>
      <c r="BU1118" s="18">
        <v>45687.41332175926</v>
      </c>
      <c r="BV1118" s="13" t="s">
        <v>199</v>
      </c>
      <c r="BW1118" s="14" t="s">
        <v>179</v>
      </c>
      <c r="BX1118" s="14" t="s">
        <v>21557</v>
      </c>
      <c r="BY1118" s="14" t="s">
        <v>179</v>
      </c>
      <c r="BZ1118" s="14" t="s">
        <v>21558</v>
      </c>
      <c r="CA1118" s="15"/>
      <c r="CB1118" s="15"/>
      <c r="CC1118" s="15"/>
      <c r="CD1118" s="15"/>
      <c r="CE1118" s="15"/>
      <c r="CF1118" s="15"/>
      <c r="CG1118" s="19"/>
      <c r="CH1118" s="15"/>
      <c r="CI1118" s="19"/>
      <c r="CJ1118" s="15"/>
      <c r="CK1118" s="19"/>
      <c r="CL1118" s="15"/>
      <c r="CM1118" s="19"/>
      <c r="CN1118" s="15"/>
      <c r="CO1118" s="19"/>
      <c r="CP1118" s="15"/>
      <c r="CQ1118" s="15"/>
      <c r="CR1118" s="15"/>
      <c r="CS1118" s="19"/>
      <c r="CT1118" s="15"/>
      <c r="CU1118" s="19"/>
      <c r="CV1118" s="15"/>
      <c r="CW1118" s="19"/>
      <c r="CX1118" s="15"/>
      <c r="CY1118" s="19"/>
      <c r="CZ1118" s="15"/>
      <c r="DA1118" s="16" t="s">
        <v>197</v>
      </c>
      <c r="DB1118" s="17" t="s">
        <v>228</v>
      </c>
      <c r="DC1118" s="16"/>
      <c r="DD1118" s="17" t="s">
        <v>198</v>
      </c>
      <c r="DE1118" s="18">
        <v>45696.43100694445</v>
      </c>
      <c r="DF1118" s="17" t="s">
        <v>198</v>
      </c>
      <c r="DG1118" s="18">
        <v>45696.43100694445</v>
      </c>
      <c r="DH1118" s="13" t="s">
        <v>205</v>
      </c>
      <c r="DI1118" s="14" t="s">
        <v>179</v>
      </c>
      <c r="DJ1118" s="14" t="s">
        <v>21559</v>
      </c>
      <c r="DK1118" s="15"/>
      <c r="DL1118" s="15"/>
      <c r="DM1118" s="15"/>
      <c r="DN1118" s="15"/>
      <c r="DO1118" s="15"/>
      <c r="DP1118" s="15"/>
      <c r="DQ1118" s="15"/>
      <c r="DR1118" s="15"/>
      <c r="DS1118" s="15"/>
      <c r="DT1118" s="15"/>
      <c r="DU1118" s="15"/>
      <c r="DV1118" s="15"/>
      <c r="DW1118" s="15"/>
      <c r="DX1118" s="15"/>
      <c r="DY1118" s="15"/>
      <c r="DZ1118" s="15"/>
      <c r="EA1118" s="15"/>
      <c r="EB1118" s="15"/>
      <c r="EC1118" s="16" t="s">
        <v>197</v>
      </c>
      <c r="ED1118" s="17" t="s">
        <v>198</v>
      </c>
      <c r="EE1118" s="18">
        <v>45696.43105324074</v>
      </c>
      <c r="EF1118" s="13" t="s">
        <v>209</v>
      </c>
      <c r="EG1118" s="14" t="s">
        <v>179</v>
      </c>
      <c r="EH1118" s="14" t="s">
        <v>21560</v>
      </c>
      <c r="EI1118" s="15"/>
      <c r="EJ1118" s="15"/>
      <c r="EK1118" s="15"/>
      <c r="EL1118" s="15"/>
      <c r="EM1118" s="15"/>
      <c r="EN1118" s="15"/>
      <c r="EO1118" s="15"/>
      <c r="EP1118" s="15"/>
      <c r="EQ1118" s="15"/>
      <c r="ER1118" s="15"/>
      <c r="ES1118" s="15"/>
      <c r="ET1118" s="15"/>
      <c r="EU1118" s="15"/>
      <c r="EV1118" s="15"/>
      <c r="EW1118" s="15"/>
      <c r="EX1118" s="15"/>
      <c r="EY1118" s="15"/>
      <c r="EZ1118" s="15"/>
      <c r="FA1118" s="15"/>
      <c r="FB1118" s="15"/>
      <c r="FC1118" s="16" t="s">
        <v>197</v>
      </c>
      <c r="FD1118" s="17" t="s">
        <v>198</v>
      </c>
      <c r="FE1118" s="18">
        <v>45720.35290509259</v>
      </c>
      <c r="FF1118" s="19"/>
      <c r="FG1118" s="19"/>
      <c r="FH1118" s="21" t="s">
        <v>197</v>
      </c>
      <c r="FI1118" s="17" t="s">
        <v>214</v>
      </c>
      <c r="FJ1118" s="18">
        <v>45720.35290509259</v>
      </c>
      <c r="FK1118" s="14" t="s">
        <v>21560</v>
      </c>
      <c r="FL1118" s="14" t="s">
        <v>21561</v>
      </c>
      <c r="FM1118" s="14" t="s">
        <v>21562</v>
      </c>
      <c r="FN1118" s="19"/>
      <c r="FO1118" s="19"/>
      <c r="FP1118" s="19" t="str">
        <f t="shared" si="1"/>
        <v>Base de Dados_Images/XV65082.Imagem do Equipamento-.132701.jpg</v>
      </c>
      <c r="FQ1118" s="19"/>
      <c r="FR1118" s="19"/>
    </row>
    <row r="1119" ht="15.75" customHeight="1">
      <c r="A1119" s="12" t="s">
        <v>234</v>
      </c>
      <c r="B1119" s="12" t="s">
        <v>2921</v>
      </c>
      <c r="C1119" s="12" t="s">
        <v>219</v>
      </c>
      <c r="D1119" s="22" t="s">
        <v>21563</v>
      </c>
      <c r="E1119" s="22" t="s">
        <v>21564</v>
      </c>
      <c r="F1119" s="13" t="s">
        <v>178</v>
      </c>
      <c r="G1119" s="14" t="s">
        <v>179</v>
      </c>
      <c r="H1119" s="14" t="s">
        <v>21565</v>
      </c>
      <c r="I1119" s="14" t="s">
        <v>179</v>
      </c>
      <c r="J1119" s="14" t="s">
        <v>21566</v>
      </c>
      <c r="K1119" s="14" t="s">
        <v>179</v>
      </c>
      <c r="L1119" s="14" t="s">
        <v>21567</v>
      </c>
      <c r="M1119" s="14" t="s">
        <v>179</v>
      </c>
      <c r="N1119" s="14" t="s">
        <v>21568</v>
      </c>
      <c r="O1119" s="14" t="s">
        <v>179</v>
      </c>
      <c r="P1119" s="14" t="s">
        <v>21569</v>
      </c>
      <c r="Q1119" s="14" t="s">
        <v>179</v>
      </c>
      <c r="R1119" s="14" t="s">
        <v>21570</v>
      </c>
      <c r="S1119" s="14" t="s">
        <v>179</v>
      </c>
      <c r="T1119" s="14" t="s">
        <v>21571</v>
      </c>
      <c r="U1119" s="14" t="s">
        <v>179</v>
      </c>
      <c r="V1119" s="14" t="s">
        <v>21572</v>
      </c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5"/>
      <c r="AN1119" s="15"/>
      <c r="AO1119" s="15"/>
      <c r="AP1119" s="15"/>
      <c r="AQ1119" s="15"/>
      <c r="AR1119" s="15"/>
      <c r="AS1119" s="15"/>
      <c r="AT1119" s="15"/>
      <c r="AU1119" s="15"/>
      <c r="AV1119" s="15"/>
      <c r="AW1119" s="15"/>
      <c r="AX1119" s="15"/>
      <c r="AY1119" s="15"/>
      <c r="AZ1119" s="15"/>
      <c r="BA1119" s="15"/>
      <c r="BB1119" s="15"/>
      <c r="BC1119" s="15"/>
      <c r="BD1119" s="15"/>
      <c r="BE1119" s="15"/>
      <c r="BF1119" s="15"/>
      <c r="BG1119" s="15"/>
      <c r="BH1119" s="15"/>
      <c r="BI1119" s="15"/>
      <c r="BJ1119" s="15"/>
      <c r="BK1119" s="15"/>
      <c r="BL1119" s="15"/>
      <c r="BM1119" s="15"/>
      <c r="BN1119" s="15"/>
      <c r="BO1119" s="16" t="s">
        <v>197</v>
      </c>
      <c r="BP1119" s="17" t="s">
        <v>228</v>
      </c>
      <c r="BQ1119" s="23"/>
      <c r="BR1119" s="17" t="s">
        <v>198</v>
      </c>
      <c r="BS1119" s="18">
        <v>45688.656481481485</v>
      </c>
      <c r="BT1119" s="17" t="s">
        <v>198</v>
      </c>
      <c r="BU1119" s="18">
        <v>45688.656481481485</v>
      </c>
      <c r="BV1119" s="13" t="s">
        <v>199</v>
      </c>
      <c r="BW1119" s="14" t="s">
        <v>179</v>
      </c>
      <c r="BX1119" s="14" t="s">
        <v>21573</v>
      </c>
      <c r="BY1119" s="14" t="s">
        <v>179</v>
      </c>
      <c r="BZ1119" s="14" t="s">
        <v>21573</v>
      </c>
      <c r="CA1119" s="15"/>
      <c r="CB1119" s="15"/>
      <c r="CC1119" s="15"/>
      <c r="CD1119" s="15"/>
      <c r="CE1119" s="15"/>
      <c r="CF1119" s="15"/>
      <c r="CG1119" s="19"/>
      <c r="CH1119" s="15"/>
      <c r="CI1119" s="19"/>
      <c r="CJ1119" s="15"/>
      <c r="CK1119" s="19"/>
      <c r="CL1119" s="15"/>
      <c r="CM1119" s="19"/>
      <c r="CN1119" s="15"/>
      <c r="CO1119" s="19"/>
      <c r="CP1119" s="15"/>
      <c r="CQ1119" s="15"/>
      <c r="CR1119" s="15"/>
      <c r="CS1119" s="19"/>
      <c r="CT1119" s="15"/>
      <c r="CU1119" s="19"/>
      <c r="CV1119" s="15"/>
      <c r="CW1119" s="19"/>
      <c r="CX1119" s="15"/>
      <c r="CY1119" s="19"/>
      <c r="CZ1119" s="15"/>
      <c r="DA1119" s="16" t="s">
        <v>197</v>
      </c>
      <c r="DB1119" s="17" t="s">
        <v>228</v>
      </c>
      <c r="DC1119" s="16"/>
      <c r="DD1119" s="17" t="s">
        <v>198</v>
      </c>
      <c r="DE1119" s="18">
        <v>45696.43119212963</v>
      </c>
      <c r="DF1119" s="17" t="s">
        <v>198</v>
      </c>
      <c r="DG1119" s="18">
        <v>45696.43119212963</v>
      </c>
      <c r="DH1119" s="13" t="s">
        <v>205</v>
      </c>
      <c r="DI1119" s="14" t="s">
        <v>179</v>
      </c>
      <c r="DJ1119" s="14" t="s">
        <v>21574</v>
      </c>
      <c r="DK1119" s="15"/>
      <c r="DL1119" s="15"/>
      <c r="DM1119" s="15"/>
      <c r="DN1119" s="15"/>
      <c r="DO1119" s="15"/>
      <c r="DP1119" s="15"/>
      <c r="DQ1119" s="15"/>
      <c r="DR1119" s="15"/>
      <c r="DS1119" s="15"/>
      <c r="DT1119" s="15"/>
      <c r="DU1119" s="15"/>
      <c r="DV1119" s="15"/>
      <c r="DW1119" s="15"/>
      <c r="DX1119" s="15"/>
      <c r="DY1119" s="15"/>
      <c r="DZ1119" s="15"/>
      <c r="EA1119" s="15"/>
      <c r="EB1119" s="15"/>
      <c r="EC1119" s="16" t="s">
        <v>197</v>
      </c>
      <c r="ED1119" s="17" t="s">
        <v>198</v>
      </c>
      <c r="EE1119" s="18">
        <v>45696.431238425925</v>
      </c>
      <c r="EF1119" s="13" t="s">
        <v>209</v>
      </c>
      <c r="EG1119" s="14" t="s">
        <v>179</v>
      </c>
      <c r="EH1119" s="14" t="s">
        <v>21575</v>
      </c>
      <c r="EI1119" s="15"/>
      <c r="EJ1119" s="15"/>
      <c r="EK1119" s="15"/>
      <c r="EL1119" s="15"/>
      <c r="EM1119" s="15"/>
      <c r="EN1119" s="15"/>
      <c r="EO1119" s="15"/>
      <c r="EP1119" s="15"/>
      <c r="EQ1119" s="15"/>
      <c r="ER1119" s="15"/>
      <c r="ES1119" s="15"/>
      <c r="ET1119" s="15"/>
      <c r="EU1119" s="15"/>
      <c r="EV1119" s="15"/>
      <c r="EW1119" s="15"/>
      <c r="EX1119" s="15"/>
      <c r="EY1119" s="15"/>
      <c r="EZ1119" s="15"/>
      <c r="FA1119" s="15"/>
      <c r="FB1119" s="15"/>
      <c r="FC1119" s="16" t="s">
        <v>197</v>
      </c>
      <c r="FD1119" s="17" t="s">
        <v>198</v>
      </c>
      <c r="FE1119" s="18">
        <v>45720.35298611111</v>
      </c>
      <c r="FF1119" s="19"/>
      <c r="FG1119" s="19"/>
      <c r="FH1119" s="21" t="s">
        <v>197</v>
      </c>
      <c r="FI1119" s="17" t="s">
        <v>214</v>
      </c>
      <c r="FJ1119" s="18">
        <v>45720.35298611111</v>
      </c>
      <c r="FK1119" s="14" t="s">
        <v>21575</v>
      </c>
      <c r="FL1119" s="14" t="s">
        <v>21576</v>
      </c>
      <c r="FM1119" s="14" t="s">
        <v>21577</v>
      </c>
      <c r="FN1119" s="19"/>
      <c r="FO1119" s="19"/>
      <c r="FP1119" s="19" t="str">
        <f t="shared" si="1"/>
        <v>Base de Dados_Images/XV65083.Imagem do Equipamento-.184502.jpg</v>
      </c>
      <c r="FQ1119" s="14"/>
      <c r="FR1119" s="14"/>
    </row>
    <row r="1120" ht="15.75" customHeight="1">
      <c r="A1120" s="12" t="s">
        <v>234</v>
      </c>
      <c r="B1120" s="12" t="s">
        <v>2921</v>
      </c>
      <c r="C1120" s="12" t="s">
        <v>219</v>
      </c>
      <c r="D1120" s="22" t="s">
        <v>21578</v>
      </c>
      <c r="E1120" s="22" t="s">
        <v>21579</v>
      </c>
      <c r="F1120" s="13" t="s">
        <v>178</v>
      </c>
      <c r="G1120" s="14" t="s">
        <v>179</v>
      </c>
      <c r="H1120" s="14" t="s">
        <v>21580</v>
      </c>
      <c r="I1120" s="14" t="s">
        <v>179</v>
      </c>
      <c r="J1120" s="14" t="s">
        <v>21581</v>
      </c>
      <c r="K1120" s="14" t="s">
        <v>179</v>
      </c>
      <c r="L1120" s="14" t="s">
        <v>21582</v>
      </c>
      <c r="M1120" s="14" t="s">
        <v>179</v>
      </c>
      <c r="N1120" s="14" t="s">
        <v>21582</v>
      </c>
      <c r="O1120" s="14" t="s">
        <v>179</v>
      </c>
      <c r="P1120" s="14" t="s">
        <v>21583</v>
      </c>
      <c r="Q1120" s="14" t="s">
        <v>179</v>
      </c>
      <c r="R1120" s="14" t="s">
        <v>21584</v>
      </c>
      <c r="S1120" s="14" t="s">
        <v>179</v>
      </c>
      <c r="T1120" s="14" t="s">
        <v>21585</v>
      </c>
      <c r="U1120" s="14" t="s">
        <v>179</v>
      </c>
      <c r="V1120" s="14" t="s">
        <v>21586</v>
      </c>
      <c r="W1120" s="15"/>
      <c r="X1120" s="15"/>
      <c r="Y1120" s="15"/>
      <c r="Z1120" s="15"/>
      <c r="AA1120" s="15"/>
      <c r="AB1120" s="15"/>
      <c r="AC1120" s="15"/>
      <c r="AD1120" s="15"/>
      <c r="AE1120" s="15"/>
      <c r="AF1120" s="15"/>
      <c r="AG1120" s="15"/>
      <c r="AH1120" s="15"/>
      <c r="AI1120" s="15"/>
      <c r="AJ1120" s="15"/>
      <c r="AK1120" s="15"/>
      <c r="AL1120" s="15"/>
      <c r="AM1120" s="15"/>
      <c r="AN1120" s="15"/>
      <c r="AO1120" s="15"/>
      <c r="AP1120" s="15"/>
      <c r="AQ1120" s="15"/>
      <c r="AR1120" s="15"/>
      <c r="AS1120" s="15"/>
      <c r="AT1120" s="15"/>
      <c r="AU1120" s="15"/>
      <c r="AV1120" s="15"/>
      <c r="AW1120" s="15"/>
      <c r="AX1120" s="15"/>
      <c r="AY1120" s="15"/>
      <c r="AZ1120" s="15"/>
      <c r="BA1120" s="15"/>
      <c r="BB1120" s="15"/>
      <c r="BC1120" s="15"/>
      <c r="BD1120" s="15"/>
      <c r="BE1120" s="15"/>
      <c r="BF1120" s="15"/>
      <c r="BG1120" s="15"/>
      <c r="BH1120" s="15"/>
      <c r="BI1120" s="15"/>
      <c r="BJ1120" s="15"/>
      <c r="BK1120" s="15"/>
      <c r="BL1120" s="15"/>
      <c r="BM1120" s="15"/>
      <c r="BN1120" s="15"/>
      <c r="BO1120" s="16" t="s">
        <v>197</v>
      </c>
      <c r="BP1120" s="17" t="s">
        <v>228</v>
      </c>
      <c r="BQ1120" s="23"/>
      <c r="BR1120" s="17" t="s">
        <v>198</v>
      </c>
      <c r="BS1120" s="18">
        <v>45678.43546296296</v>
      </c>
      <c r="BT1120" s="17" t="s">
        <v>198</v>
      </c>
      <c r="BU1120" s="18">
        <v>45678.43546296296</v>
      </c>
      <c r="BV1120" s="13" t="s">
        <v>199</v>
      </c>
      <c r="BW1120" s="14" t="s">
        <v>179</v>
      </c>
      <c r="BX1120" s="14" t="s">
        <v>21587</v>
      </c>
      <c r="BY1120" s="14" t="s">
        <v>179</v>
      </c>
      <c r="BZ1120" s="14" t="s">
        <v>21587</v>
      </c>
      <c r="CA1120" s="15"/>
      <c r="CB1120" s="15"/>
      <c r="CC1120" s="15"/>
      <c r="CD1120" s="15"/>
      <c r="CE1120" s="15"/>
      <c r="CF1120" s="15"/>
      <c r="CG1120" s="19"/>
      <c r="CH1120" s="15"/>
      <c r="CI1120" s="19"/>
      <c r="CJ1120" s="15"/>
      <c r="CK1120" s="19"/>
      <c r="CL1120" s="15"/>
      <c r="CM1120" s="19"/>
      <c r="CN1120" s="15"/>
      <c r="CO1120" s="19"/>
      <c r="CP1120" s="15"/>
      <c r="CQ1120" s="15"/>
      <c r="CR1120" s="15"/>
      <c r="CS1120" s="19"/>
      <c r="CT1120" s="15"/>
      <c r="CU1120" s="19"/>
      <c r="CV1120" s="15"/>
      <c r="CW1120" s="19"/>
      <c r="CX1120" s="15"/>
      <c r="CY1120" s="19"/>
      <c r="CZ1120" s="15"/>
      <c r="DA1120" s="16" t="s">
        <v>197</v>
      </c>
      <c r="DB1120" s="17" t="s">
        <v>228</v>
      </c>
      <c r="DC1120" s="16"/>
      <c r="DD1120" s="17" t="s">
        <v>198</v>
      </c>
      <c r="DE1120" s="18">
        <v>45696.43131944445</v>
      </c>
      <c r="DF1120" s="17" t="s">
        <v>198</v>
      </c>
      <c r="DG1120" s="18">
        <v>45696.43131944445</v>
      </c>
      <c r="DH1120" s="13" t="s">
        <v>205</v>
      </c>
      <c r="DI1120" s="14" t="s">
        <v>179</v>
      </c>
      <c r="DJ1120" s="14" t="s">
        <v>21588</v>
      </c>
      <c r="DK1120" s="15"/>
      <c r="DL1120" s="15"/>
      <c r="DM1120" s="15"/>
      <c r="DN1120" s="15"/>
      <c r="DO1120" s="15"/>
      <c r="DP1120" s="15"/>
      <c r="DQ1120" s="15"/>
      <c r="DR1120" s="15"/>
      <c r="DS1120" s="15"/>
      <c r="DT1120" s="15"/>
      <c r="DU1120" s="15"/>
      <c r="DV1120" s="15"/>
      <c r="DW1120" s="15"/>
      <c r="DX1120" s="15"/>
      <c r="DY1120" s="15"/>
      <c r="DZ1120" s="15"/>
      <c r="EA1120" s="15"/>
      <c r="EB1120" s="15"/>
      <c r="EC1120" s="16" t="s">
        <v>197</v>
      </c>
      <c r="ED1120" s="17" t="s">
        <v>198</v>
      </c>
      <c r="EE1120" s="18">
        <v>45696.4315625</v>
      </c>
      <c r="EF1120" s="13" t="s">
        <v>209</v>
      </c>
      <c r="EG1120" s="14" t="s">
        <v>179</v>
      </c>
      <c r="EH1120" s="14" t="s">
        <v>21589</v>
      </c>
      <c r="EI1120" s="15"/>
      <c r="EJ1120" s="15"/>
      <c r="EK1120" s="15"/>
      <c r="EL1120" s="15"/>
      <c r="EM1120" s="15"/>
      <c r="EN1120" s="15"/>
      <c r="EO1120" s="15"/>
      <c r="EP1120" s="15"/>
      <c r="EQ1120" s="15"/>
      <c r="ER1120" s="15"/>
      <c r="ES1120" s="15"/>
      <c r="ET1120" s="15"/>
      <c r="EU1120" s="15"/>
      <c r="EV1120" s="15"/>
      <c r="EW1120" s="15"/>
      <c r="EX1120" s="15"/>
      <c r="EY1120" s="15"/>
      <c r="EZ1120" s="15"/>
      <c r="FA1120" s="15"/>
      <c r="FB1120" s="15"/>
      <c r="FC1120" s="16" t="s">
        <v>197</v>
      </c>
      <c r="FD1120" s="17" t="s">
        <v>198</v>
      </c>
      <c r="FE1120" s="18">
        <v>45720.35309027778</v>
      </c>
      <c r="FF1120" s="19"/>
      <c r="FG1120" s="19"/>
      <c r="FH1120" s="21" t="s">
        <v>197</v>
      </c>
      <c r="FI1120" s="17" t="s">
        <v>214</v>
      </c>
      <c r="FJ1120" s="18">
        <v>45720.35309027778</v>
      </c>
      <c r="FK1120" s="14" t="s">
        <v>21589</v>
      </c>
      <c r="FL1120" s="14" t="s">
        <v>21590</v>
      </c>
      <c r="FM1120" s="14" t="s">
        <v>21591</v>
      </c>
      <c r="FN1120" s="19"/>
      <c r="FO1120" s="19"/>
      <c r="FP1120" s="19" t="str">
        <f t="shared" si="1"/>
        <v>Base de Dados_Images/XV65084.Imagem do Equipamento-.163040.jpg</v>
      </c>
      <c r="FQ1120" s="19"/>
      <c r="FR1120" s="19"/>
    </row>
    <row r="1121" ht="15.75" customHeight="1">
      <c r="A1121" s="12" t="s">
        <v>234</v>
      </c>
      <c r="B1121" s="12" t="s">
        <v>10222</v>
      </c>
      <c r="C1121" s="12" t="s">
        <v>219</v>
      </c>
      <c r="D1121" s="12" t="s">
        <v>21592</v>
      </c>
      <c r="E1121" s="12" t="s">
        <v>21593</v>
      </c>
      <c r="F1121" s="13" t="s">
        <v>178</v>
      </c>
      <c r="G1121" s="14" t="s">
        <v>179</v>
      </c>
      <c r="H1121" s="14" t="s">
        <v>21594</v>
      </c>
      <c r="I1121" s="14" t="s">
        <v>179</v>
      </c>
      <c r="J1121" s="14" t="s">
        <v>21595</v>
      </c>
      <c r="K1121" s="14" t="s">
        <v>179</v>
      </c>
      <c r="L1121" s="14" t="s">
        <v>21596</v>
      </c>
      <c r="M1121" s="14" t="s">
        <v>179</v>
      </c>
      <c r="N1121" s="14" t="s">
        <v>21597</v>
      </c>
      <c r="O1121" s="14" t="s">
        <v>179</v>
      </c>
      <c r="P1121" s="14" t="s">
        <v>21598</v>
      </c>
      <c r="Q1121" s="14" t="s">
        <v>179</v>
      </c>
      <c r="R1121" s="14" t="s">
        <v>21599</v>
      </c>
      <c r="S1121" s="14" t="s">
        <v>179</v>
      </c>
      <c r="T1121" s="14" t="s">
        <v>21600</v>
      </c>
      <c r="U1121" s="14" t="s">
        <v>179</v>
      </c>
      <c r="V1121" s="14" t="s">
        <v>21601</v>
      </c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"/>
      <c r="AN1121" s="15"/>
      <c r="AO1121" s="15"/>
      <c r="AP1121" s="15"/>
      <c r="AQ1121" s="15"/>
      <c r="AR1121" s="15"/>
      <c r="AS1121" s="15"/>
      <c r="AT1121" s="15"/>
      <c r="AU1121" s="15"/>
      <c r="AV1121" s="15"/>
      <c r="AW1121" s="15"/>
      <c r="AX1121" s="15"/>
      <c r="AY1121" s="15"/>
      <c r="AZ1121" s="15"/>
      <c r="BA1121" s="15"/>
      <c r="BB1121" s="15"/>
      <c r="BC1121" s="15"/>
      <c r="BD1121" s="15"/>
      <c r="BE1121" s="15"/>
      <c r="BF1121" s="15"/>
      <c r="BG1121" s="15"/>
      <c r="BH1121" s="15"/>
      <c r="BI1121" s="15"/>
      <c r="BJ1121" s="15"/>
      <c r="BK1121" s="15"/>
      <c r="BL1121" s="15"/>
      <c r="BM1121" s="15"/>
      <c r="BN1121" s="15"/>
      <c r="BO1121" s="16" t="s">
        <v>197</v>
      </c>
      <c r="BP1121" s="17" t="s">
        <v>228</v>
      </c>
      <c r="BQ1121" s="23"/>
      <c r="BR1121" s="17" t="s">
        <v>198</v>
      </c>
      <c r="BS1121" s="18">
        <v>45694.623344907406</v>
      </c>
      <c r="BT1121" s="17" t="s">
        <v>198</v>
      </c>
      <c r="BU1121" s="18">
        <v>45694.623344907406</v>
      </c>
      <c r="BV1121" s="13" t="s">
        <v>199</v>
      </c>
      <c r="BW1121" s="14" t="s">
        <v>179</v>
      </c>
      <c r="BX1121" s="14" t="s">
        <v>21602</v>
      </c>
      <c r="BY1121" s="14" t="s">
        <v>179</v>
      </c>
      <c r="BZ1121" s="14" t="s">
        <v>21603</v>
      </c>
      <c r="CA1121" s="15"/>
      <c r="CB1121" s="15"/>
      <c r="CC1121" s="15"/>
      <c r="CD1121" s="15"/>
      <c r="CE1121" s="15"/>
      <c r="CF1121" s="15"/>
      <c r="CG1121" s="19"/>
      <c r="CH1121" s="15"/>
      <c r="CI1121" s="19"/>
      <c r="CJ1121" s="15"/>
      <c r="CK1121" s="19"/>
      <c r="CL1121" s="15"/>
      <c r="CM1121" s="19"/>
      <c r="CN1121" s="15"/>
      <c r="CO1121" s="19"/>
      <c r="CP1121" s="15"/>
      <c r="CQ1121" s="15"/>
      <c r="CR1121" s="15"/>
      <c r="CS1121" s="19"/>
      <c r="CT1121" s="15"/>
      <c r="CU1121" s="19"/>
      <c r="CV1121" s="15"/>
      <c r="CW1121" s="19"/>
      <c r="CX1121" s="15"/>
      <c r="CY1121" s="19"/>
      <c r="CZ1121" s="15"/>
      <c r="DA1121" s="16" t="s">
        <v>197</v>
      </c>
      <c r="DB1121" s="17" t="s">
        <v>228</v>
      </c>
      <c r="DC1121" s="16"/>
      <c r="DD1121" s="17" t="s">
        <v>198</v>
      </c>
      <c r="DE1121" s="18">
        <v>45696.4521875</v>
      </c>
      <c r="DF1121" s="17" t="s">
        <v>198</v>
      </c>
      <c r="DG1121" s="18">
        <v>45696.4521875</v>
      </c>
      <c r="DH1121" s="13" t="s">
        <v>205</v>
      </c>
      <c r="DI1121" s="14" t="s">
        <v>179</v>
      </c>
      <c r="DJ1121" s="14" t="s">
        <v>21604</v>
      </c>
      <c r="DK1121" s="15"/>
      <c r="DL1121" s="15"/>
      <c r="DM1121" s="15"/>
      <c r="DN1121" s="15"/>
      <c r="DO1121" s="15"/>
      <c r="DP1121" s="15"/>
      <c r="DQ1121" s="15"/>
      <c r="DR1121" s="15"/>
      <c r="DS1121" s="15"/>
      <c r="DT1121" s="15"/>
      <c r="DU1121" s="15"/>
      <c r="DV1121" s="15"/>
      <c r="DW1121" s="15"/>
      <c r="DX1121" s="15"/>
      <c r="DY1121" s="15"/>
      <c r="DZ1121" s="15"/>
      <c r="EA1121" s="15"/>
      <c r="EB1121" s="15"/>
      <c r="EC1121" s="16" t="s">
        <v>197</v>
      </c>
      <c r="ED1121" s="17" t="s">
        <v>198</v>
      </c>
      <c r="EE1121" s="18">
        <v>45722.389756944445</v>
      </c>
      <c r="EF1121" s="13" t="s">
        <v>209</v>
      </c>
      <c r="EG1121" s="14" t="s">
        <v>179</v>
      </c>
      <c r="EH1121" s="14" t="s">
        <v>21605</v>
      </c>
      <c r="EI1121" s="15"/>
      <c r="EJ1121" s="15"/>
      <c r="EK1121" s="15"/>
      <c r="EL1121" s="15"/>
      <c r="EM1121" s="15"/>
      <c r="EN1121" s="15"/>
      <c r="EO1121" s="15"/>
      <c r="EP1121" s="15"/>
      <c r="EQ1121" s="15"/>
      <c r="ER1121" s="15"/>
      <c r="ES1121" s="15"/>
      <c r="ET1121" s="15"/>
      <c r="EU1121" s="15"/>
      <c r="EV1121" s="15"/>
      <c r="EW1121" s="15"/>
      <c r="EX1121" s="15"/>
      <c r="EY1121" s="15"/>
      <c r="EZ1121" s="15"/>
      <c r="FA1121" s="15"/>
      <c r="FB1121" s="15"/>
      <c r="FC1121" s="16" t="s">
        <v>197</v>
      </c>
      <c r="FD1121" s="17" t="s">
        <v>198</v>
      </c>
      <c r="FE1121" s="18">
        <v>45722.38979166667</v>
      </c>
      <c r="FF1121" s="19"/>
      <c r="FG1121" s="19"/>
      <c r="FH1121" s="21" t="s">
        <v>197</v>
      </c>
      <c r="FI1121" s="17" t="s">
        <v>214</v>
      </c>
      <c r="FJ1121" s="18">
        <v>45722.38979166667</v>
      </c>
      <c r="FK1121" s="14" t="s">
        <v>21605</v>
      </c>
      <c r="FL1121" s="14" t="s">
        <v>21606</v>
      </c>
      <c r="FM1121" s="14" t="s">
        <v>21607</v>
      </c>
      <c r="FN1121" s="19"/>
      <c r="FO1121" s="19"/>
      <c r="FP1121" s="19" t="str">
        <f t="shared" si="1"/>
        <v>Base de Dados_Images/XV65085.Imagem do Equipamento-.171755.jpg</v>
      </c>
      <c r="FQ1121" s="19"/>
      <c r="FR1121" s="19"/>
    </row>
    <row r="1122" ht="15.75" customHeight="1">
      <c r="A1122" s="12" t="s">
        <v>234</v>
      </c>
      <c r="B1122" s="12" t="s">
        <v>10222</v>
      </c>
      <c r="C1122" s="12" t="s">
        <v>219</v>
      </c>
      <c r="D1122" s="12" t="s">
        <v>21608</v>
      </c>
      <c r="E1122" s="12" t="s">
        <v>21609</v>
      </c>
      <c r="F1122" s="13" t="s">
        <v>178</v>
      </c>
      <c r="G1122" s="14" t="s">
        <v>179</v>
      </c>
      <c r="H1122" s="14" t="s">
        <v>21610</v>
      </c>
      <c r="I1122" s="14" t="s">
        <v>179</v>
      </c>
      <c r="J1122" s="14" t="s">
        <v>21611</v>
      </c>
      <c r="K1122" s="14" t="s">
        <v>179</v>
      </c>
      <c r="L1122" s="14" t="s">
        <v>21612</v>
      </c>
      <c r="M1122" s="14" t="s">
        <v>179</v>
      </c>
      <c r="N1122" s="14" t="s">
        <v>21613</v>
      </c>
      <c r="O1122" s="14" t="s">
        <v>179</v>
      </c>
      <c r="P1122" s="14" t="s">
        <v>21614</v>
      </c>
      <c r="Q1122" s="14" t="s">
        <v>179</v>
      </c>
      <c r="R1122" s="14" t="s">
        <v>21615</v>
      </c>
      <c r="S1122" s="14" t="s">
        <v>179</v>
      </c>
      <c r="T1122" s="14" t="s">
        <v>21616</v>
      </c>
      <c r="U1122" s="14" t="s">
        <v>179</v>
      </c>
      <c r="V1122" s="14" t="s">
        <v>21617</v>
      </c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"/>
      <c r="AN1122" s="15"/>
      <c r="AO1122" s="15"/>
      <c r="AP1122" s="15"/>
      <c r="AQ1122" s="15"/>
      <c r="AR1122" s="15"/>
      <c r="AS1122" s="15"/>
      <c r="AT1122" s="15"/>
      <c r="AU1122" s="15"/>
      <c r="AV1122" s="15"/>
      <c r="AW1122" s="15"/>
      <c r="AX1122" s="15"/>
      <c r="AY1122" s="15"/>
      <c r="AZ1122" s="15"/>
      <c r="BA1122" s="15"/>
      <c r="BB1122" s="15"/>
      <c r="BC1122" s="15"/>
      <c r="BD1122" s="15"/>
      <c r="BE1122" s="15"/>
      <c r="BF1122" s="15"/>
      <c r="BG1122" s="15"/>
      <c r="BH1122" s="15"/>
      <c r="BI1122" s="15"/>
      <c r="BJ1122" s="15"/>
      <c r="BK1122" s="15"/>
      <c r="BL1122" s="15"/>
      <c r="BM1122" s="15"/>
      <c r="BN1122" s="15"/>
      <c r="BO1122" s="16" t="s">
        <v>197</v>
      </c>
      <c r="BP1122" s="17" t="s">
        <v>228</v>
      </c>
      <c r="BQ1122" s="23"/>
      <c r="BR1122" s="17" t="s">
        <v>198</v>
      </c>
      <c r="BS1122" s="18">
        <v>45694.623125</v>
      </c>
      <c r="BT1122" s="17" t="s">
        <v>198</v>
      </c>
      <c r="BU1122" s="18">
        <v>45694.623125</v>
      </c>
      <c r="BV1122" s="13" t="s">
        <v>199</v>
      </c>
      <c r="BW1122" s="14" t="s">
        <v>179</v>
      </c>
      <c r="BX1122" s="14" t="s">
        <v>21618</v>
      </c>
      <c r="BY1122" s="14" t="s">
        <v>179</v>
      </c>
      <c r="BZ1122" s="14" t="s">
        <v>21619</v>
      </c>
      <c r="CA1122" s="15"/>
      <c r="CB1122" s="15"/>
      <c r="CC1122" s="15"/>
      <c r="CD1122" s="15"/>
      <c r="CE1122" s="15"/>
      <c r="CF1122" s="15"/>
      <c r="CG1122" s="19"/>
      <c r="CH1122" s="15"/>
      <c r="CI1122" s="19"/>
      <c r="CJ1122" s="15"/>
      <c r="CK1122" s="19"/>
      <c r="CL1122" s="15"/>
      <c r="CM1122" s="19"/>
      <c r="CN1122" s="15"/>
      <c r="CO1122" s="19"/>
      <c r="CP1122" s="15"/>
      <c r="CQ1122" s="15"/>
      <c r="CR1122" s="15"/>
      <c r="CS1122" s="19"/>
      <c r="CT1122" s="15"/>
      <c r="CU1122" s="19"/>
      <c r="CV1122" s="15"/>
      <c r="CW1122" s="19"/>
      <c r="CX1122" s="15"/>
      <c r="CY1122" s="19"/>
      <c r="CZ1122" s="15"/>
      <c r="DA1122" s="16" t="s">
        <v>197</v>
      </c>
      <c r="DB1122" s="17" t="s">
        <v>228</v>
      </c>
      <c r="DC1122" s="16"/>
      <c r="DD1122" s="17" t="s">
        <v>198</v>
      </c>
      <c r="DE1122" s="18">
        <v>45696.45209490741</v>
      </c>
      <c r="DF1122" s="17" t="s">
        <v>198</v>
      </c>
      <c r="DG1122" s="18">
        <v>45696.45209490741</v>
      </c>
      <c r="DH1122" s="13" t="s">
        <v>205</v>
      </c>
      <c r="DI1122" s="14" t="s">
        <v>179</v>
      </c>
      <c r="DJ1122" s="14" t="s">
        <v>21620</v>
      </c>
      <c r="DK1122" s="15"/>
      <c r="DL1122" s="15"/>
      <c r="DM1122" s="15"/>
      <c r="DN1122" s="15"/>
      <c r="DO1122" s="15"/>
      <c r="DP1122" s="15"/>
      <c r="DQ1122" s="15"/>
      <c r="DR1122" s="15"/>
      <c r="DS1122" s="15"/>
      <c r="DT1122" s="15"/>
      <c r="DU1122" s="15"/>
      <c r="DV1122" s="15"/>
      <c r="DW1122" s="15"/>
      <c r="DX1122" s="15"/>
      <c r="DY1122" s="15"/>
      <c r="DZ1122" s="15"/>
      <c r="EA1122" s="15"/>
      <c r="EB1122" s="15"/>
      <c r="EC1122" s="16" t="s">
        <v>197</v>
      </c>
      <c r="ED1122" s="17" t="s">
        <v>198</v>
      </c>
      <c r="EE1122" s="18">
        <v>45722.38984953704</v>
      </c>
      <c r="EF1122" s="13" t="s">
        <v>209</v>
      </c>
      <c r="EG1122" s="14" t="s">
        <v>179</v>
      </c>
      <c r="EH1122" s="14" t="s">
        <v>21621</v>
      </c>
      <c r="EI1122" s="15"/>
      <c r="EJ1122" s="15"/>
      <c r="EK1122" s="15"/>
      <c r="EL1122" s="15"/>
      <c r="EM1122" s="15"/>
      <c r="EN1122" s="15"/>
      <c r="EO1122" s="15"/>
      <c r="EP1122" s="15"/>
      <c r="EQ1122" s="15"/>
      <c r="ER1122" s="15"/>
      <c r="ES1122" s="15"/>
      <c r="ET1122" s="15"/>
      <c r="EU1122" s="15"/>
      <c r="EV1122" s="15"/>
      <c r="EW1122" s="15"/>
      <c r="EX1122" s="15"/>
      <c r="EY1122" s="15"/>
      <c r="EZ1122" s="15"/>
      <c r="FA1122" s="15"/>
      <c r="FB1122" s="15"/>
      <c r="FC1122" s="16" t="s">
        <v>197</v>
      </c>
      <c r="FD1122" s="17" t="s">
        <v>198</v>
      </c>
      <c r="FE1122" s="18">
        <v>45722.38989583333</v>
      </c>
      <c r="FF1122" s="19"/>
      <c r="FG1122" s="19"/>
      <c r="FH1122" s="21" t="s">
        <v>197</v>
      </c>
      <c r="FI1122" s="17" t="s">
        <v>214</v>
      </c>
      <c r="FJ1122" s="18">
        <v>45722.38989583333</v>
      </c>
      <c r="FK1122" s="14" t="s">
        <v>21621</v>
      </c>
      <c r="FL1122" s="14" t="s">
        <v>21622</v>
      </c>
      <c r="FM1122" s="14" t="s">
        <v>21623</v>
      </c>
      <c r="FN1122" s="19"/>
      <c r="FO1122" s="19"/>
      <c r="FP1122" s="19" t="str">
        <f t="shared" si="1"/>
        <v>Base de Dados_Images/XV65086.Imagem do Equipamento-.171804.jpg</v>
      </c>
      <c r="FQ1122" s="19"/>
      <c r="FR1122" s="19"/>
    </row>
    <row r="1123" ht="15.75" customHeight="1">
      <c r="A1123" s="12" t="s">
        <v>234</v>
      </c>
      <c r="B1123" s="12" t="s">
        <v>8709</v>
      </c>
      <c r="C1123" s="12" t="s">
        <v>219</v>
      </c>
      <c r="D1123" s="22" t="s">
        <v>21624</v>
      </c>
      <c r="E1123" s="22" t="s">
        <v>21625</v>
      </c>
      <c r="F1123" s="13" t="s">
        <v>178</v>
      </c>
      <c r="G1123" s="14" t="s">
        <v>179</v>
      </c>
      <c r="H1123" s="14" t="s">
        <v>21626</v>
      </c>
      <c r="I1123" s="14" t="s">
        <v>179</v>
      </c>
      <c r="J1123" s="14" t="s">
        <v>21627</v>
      </c>
      <c r="K1123" s="14" t="s">
        <v>179</v>
      </c>
      <c r="L1123" s="14" t="s">
        <v>21628</v>
      </c>
      <c r="M1123" s="14" t="s">
        <v>179</v>
      </c>
      <c r="N1123" s="14" t="s">
        <v>21629</v>
      </c>
      <c r="O1123" s="14" t="s">
        <v>179</v>
      </c>
      <c r="P1123" s="14" t="s">
        <v>21630</v>
      </c>
      <c r="Q1123" s="14" t="s">
        <v>179</v>
      </c>
      <c r="R1123" s="14" t="s">
        <v>21631</v>
      </c>
      <c r="S1123" s="14" t="s">
        <v>179</v>
      </c>
      <c r="T1123" s="14" t="s">
        <v>21632</v>
      </c>
      <c r="U1123" s="14" t="s">
        <v>179</v>
      </c>
      <c r="V1123" s="14" t="s">
        <v>21633</v>
      </c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  <c r="AG1123" s="15"/>
      <c r="AH1123" s="15"/>
      <c r="AI1123" s="15"/>
      <c r="AJ1123" s="15"/>
      <c r="AK1123" s="15"/>
      <c r="AL1123" s="15"/>
      <c r="AM1123" s="15"/>
      <c r="AN1123" s="15"/>
      <c r="AO1123" s="15"/>
      <c r="AP1123" s="15"/>
      <c r="AQ1123" s="15"/>
      <c r="AR1123" s="15"/>
      <c r="AS1123" s="15"/>
      <c r="AT1123" s="15"/>
      <c r="AU1123" s="15"/>
      <c r="AV1123" s="15"/>
      <c r="AW1123" s="15"/>
      <c r="AX1123" s="15"/>
      <c r="AY1123" s="15"/>
      <c r="AZ1123" s="15"/>
      <c r="BA1123" s="15"/>
      <c r="BB1123" s="15"/>
      <c r="BC1123" s="15"/>
      <c r="BD1123" s="15"/>
      <c r="BE1123" s="15"/>
      <c r="BF1123" s="15"/>
      <c r="BG1123" s="15"/>
      <c r="BH1123" s="15"/>
      <c r="BI1123" s="15"/>
      <c r="BJ1123" s="15"/>
      <c r="BK1123" s="15"/>
      <c r="BL1123" s="15"/>
      <c r="BM1123" s="15"/>
      <c r="BN1123" s="15"/>
      <c r="BO1123" s="16" t="s">
        <v>197</v>
      </c>
      <c r="BP1123" s="17" t="s">
        <v>228</v>
      </c>
      <c r="BQ1123" s="23"/>
      <c r="BR1123" s="17" t="s">
        <v>198</v>
      </c>
      <c r="BS1123" s="18">
        <v>45694.498020833336</v>
      </c>
      <c r="BT1123" s="17" t="s">
        <v>198</v>
      </c>
      <c r="BU1123" s="18">
        <v>45694.498020833336</v>
      </c>
      <c r="BV1123" s="13" t="s">
        <v>199</v>
      </c>
      <c r="BW1123" s="14" t="s">
        <v>179</v>
      </c>
      <c r="BX1123" s="14" t="s">
        <v>21634</v>
      </c>
      <c r="BY1123" s="14" t="s">
        <v>179</v>
      </c>
      <c r="BZ1123" s="14" t="s">
        <v>21635</v>
      </c>
      <c r="CA1123" s="15"/>
      <c r="CB1123" s="15"/>
      <c r="CC1123" s="15"/>
      <c r="CD1123" s="15"/>
      <c r="CE1123" s="15"/>
      <c r="CF1123" s="15"/>
      <c r="CG1123" s="19"/>
      <c r="CH1123" s="15"/>
      <c r="CI1123" s="19"/>
      <c r="CJ1123" s="15"/>
      <c r="CK1123" s="19"/>
      <c r="CL1123" s="15"/>
      <c r="CM1123" s="19"/>
      <c r="CN1123" s="15"/>
      <c r="CO1123" s="19"/>
      <c r="CP1123" s="15"/>
      <c r="CQ1123" s="15"/>
      <c r="CR1123" s="15"/>
      <c r="CS1123" s="19"/>
      <c r="CT1123" s="15"/>
      <c r="CU1123" s="19"/>
      <c r="CV1123" s="15"/>
      <c r="CW1123" s="19"/>
      <c r="CX1123" s="15"/>
      <c r="CY1123" s="19"/>
      <c r="CZ1123" s="15"/>
      <c r="DA1123" s="16" t="s">
        <v>197</v>
      </c>
      <c r="DB1123" s="17" t="s">
        <v>228</v>
      </c>
      <c r="DC1123" s="16"/>
      <c r="DD1123" s="17" t="s">
        <v>198</v>
      </c>
      <c r="DE1123" s="18">
        <v>45696.44400462963</v>
      </c>
      <c r="DF1123" s="17" t="s">
        <v>198</v>
      </c>
      <c r="DG1123" s="18">
        <v>45696.44400462963</v>
      </c>
      <c r="DH1123" s="13" t="s">
        <v>205</v>
      </c>
      <c r="DI1123" s="14" t="s">
        <v>179</v>
      </c>
      <c r="DJ1123" s="14" t="s">
        <v>21636</v>
      </c>
      <c r="DK1123" s="15"/>
      <c r="DL1123" s="15"/>
      <c r="DM1123" s="15"/>
      <c r="DN1123" s="15"/>
      <c r="DO1123" s="15"/>
      <c r="DP1123" s="15"/>
      <c r="DQ1123" s="15"/>
      <c r="DR1123" s="15"/>
      <c r="DS1123" s="15"/>
      <c r="DT1123" s="15"/>
      <c r="DU1123" s="15"/>
      <c r="DV1123" s="15"/>
      <c r="DW1123" s="15"/>
      <c r="DX1123" s="15"/>
      <c r="DY1123" s="15"/>
      <c r="DZ1123" s="15"/>
      <c r="EA1123" s="15"/>
      <c r="EB1123" s="15"/>
      <c r="EC1123" s="16" t="s">
        <v>197</v>
      </c>
      <c r="ED1123" s="17" t="s">
        <v>198</v>
      </c>
      <c r="EE1123" s="18">
        <v>45703.610671296294</v>
      </c>
      <c r="EF1123" s="13" t="s">
        <v>209</v>
      </c>
      <c r="EG1123" s="14" t="s">
        <v>179</v>
      </c>
      <c r="EH1123" s="14" t="s">
        <v>21637</v>
      </c>
      <c r="EI1123" s="15"/>
      <c r="EJ1123" s="15"/>
      <c r="EK1123" s="15"/>
      <c r="EL1123" s="15"/>
      <c r="EM1123" s="15"/>
      <c r="EN1123" s="15"/>
      <c r="EO1123" s="15"/>
      <c r="EP1123" s="15"/>
      <c r="EQ1123" s="15"/>
      <c r="ER1123" s="15"/>
      <c r="ES1123" s="15"/>
      <c r="ET1123" s="15"/>
      <c r="EU1123" s="15"/>
      <c r="EV1123" s="15"/>
      <c r="EW1123" s="15"/>
      <c r="EX1123" s="15"/>
      <c r="EY1123" s="15"/>
      <c r="EZ1123" s="15"/>
      <c r="FA1123" s="15"/>
      <c r="FB1123" s="15"/>
      <c r="FC1123" s="16" t="s">
        <v>197</v>
      </c>
      <c r="FD1123" s="17" t="s">
        <v>198</v>
      </c>
      <c r="FE1123" s="18">
        <v>45720.35666666667</v>
      </c>
      <c r="FF1123" s="19"/>
      <c r="FG1123" s="19"/>
      <c r="FH1123" s="21" t="s">
        <v>197</v>
      </c>
      <c r="FI1123" s="17" t="s">
        <v>214</v>
      </c>
      <c r="FJ1123" s="18">
        <v>45720.35666666667</v>
      </c>
      <c r="FK1123" s="14" t="s">
        <v>21637</v>
      </c>
      <c r="FL1123" s="14" t="s">
        <v>21638</v>
      </c>
      <c r="FM1123" s="14" t="s">
        <v>21639</v>
      </c>
      <c r="FN1123" s="19"/>
      <c r="FO1123" s="19"/>
      <c r="FP1123" s="19" t="str">
        <f t="shared" si="1"/>
        <v>Base de Dados_Images/XV65087.Imagem do Equipamento-.151626.jpg</v>
      </c>
      <c r="FQ1123" s="19"/>
      <c r="FR1123" s="19"/>
    </row>
    <row r="1124" ht="15.75" customHeight="1">
      <c r="A1124" s="12" t="s">
        <v>234</v>
      </c>
      <c r="B1124" s="12" t="s">
        <v>8709</v>
      </c>
      <c r="C1124" s="12" t="s">
        <v>219</v>
      </c>
      <c r="D1124" s="22" t="s">
        <v>21640</v>
      </c>
      <c r="E1124" s="22" t="s">
        <v>21641</v>
      </c>
      <c r="F1124" s="13" t="s">
        <v>178</v>
      </c>
      <c r="G1124" s="14" t="s">
        <v>179</v>
      </c>
      <c r="H1124" s="14" t="s">
        <v>21642</v>
      </c>
      <c r="I1124" s="14" t="s">
        <v>179</v>
      </c>
      <c r="J1124" s="14" t="s">
        <v>21643</v>
      </c>
      <c r="K1124" s="14" t="s">
        <v>179</v>
      </c>
      <c r="L1124" s="14" t="s">
        <v>21644</v>
      </c>
      <c r="M1124" s="14" t="s">
        <v>179</v>
      </c>
      <c r="N1124" s="14" t="s">
        <v>21645</v>
      </c>
      <c r="O1124" s="14" t="s">
        <v>179</v>
      </c>
      <c r="P1124" s="14" t="s">
        <v>21646</v>
      </c>
      <c r="Q1124" s="14" t="s">
        <v>179</v>
      </c>
      <c r="R1124" s="14" t="s">
        <v>21647</v>
      </c>
      <c r="S1124" s="14" t="s">
        <v>179</v>
      </c>
      <c r="T1124" s="14" t="s">
        <v>21648</v>
      </c>
      <c r="U1124" s="14" t="s">
        <v>179</v>
      </c>
      <c r="V1124" s="14" t="s">
        <v>21649</v>
      </c>
      <c r="W1124" s="15"/>
      <c r="X1124" s="15"/>
      <c r="Y1124" s="15"/>
      <c r="Z1124" s="15"/>
      <c r="AA1124" s="15"/>
      <c r="AB1124" s="15"/>
      <c r="AC1124" s="15"/>
      <c r="AD1124" s="15"/>
      <c r="AE1124" s="15"/>
      <c r="AF1124" s="15"/>
      <c r="AG1124" s="15"/>
      <c r="AH1124" s="15"/>
      <c r="AI1124" s="15"/>
      <c r="AJ1124" s="15"/>
      <c r="AK1124" s="15"/>
      <c r="AL1124" s="15"/>
      <c r="AM1124" s="15"/>
      <c r="AN1124" s="15"/>
      <c r="AO1124" s="15"/>
      <c r="AP1124" s="15"/>
      <c r="AQ1124" s="15"/>
      <c r="AR1124" s="15"/>
      <c r="AS1124" s="15"/>
      <c r="AT1124" s="15"/>
      <c r="AU1124" s="15"/>
      <c r="AV1124" s="15"/>
      <c r="AW1124" s="15"/>
      <c r="AX1124" s="15"/>
      <c r="AY1124" s="15"/>
      <c r="AZ1124" s="15"/>
      <c r="BA1124" s="15"/>
      <c r="BB1124" s="15"/>
      <c r="BC1124" s="15"/>
      <c r="BD1124" s="15"/>
      <c r="BE1124" s="15"/>
      <c r="BF1124" s="15"/>
      <c r="BG1124" s="15"/>
      <c r="BH1124" s="15"/>
      <c r="BI1124" s="15"/>
      <c r="BJ1124" s="15"/>
      <c r="BK1124" s="15"/>
      <c r="BL1124" s="15"/>
      <c r="BM1124" s="15"/>
      <c r="BN1124" s="15"/>
      <c r="BO1124" s="16" t="s">
        <v>197</v>
      </c>
      <c r="BP1124" s="17" t="s">
        <v>228</v>
      </c>
      <c r="BQ1124" s="23"/>
      <c r="BR1124" s="17" t="s">
        <v>198</v>
      </c>
      <c r="BS1124" s="18">
        <v>45694.496712962966</v>
      </c>
      <c r="BT1124" s="17" t="s">
        <v>198</v>
      </c>
      <c r="BU1124" s="18">
        <v>45694.496712962966</v>
      </c>
      <c r="BV1124" s="13" t="s">
        <v>199</v>
      </c>
      <c r="BW1124" s="14" t="s">
        <v>179</v>
      </c>
      <c r="BX1124" s="14" t="s">
        <v>21650</v>
      </c>
      <c r="BY1124" s="14" t="s">
        <v>179</v>
      </c>
      <c r="BZ1124" s="14" t="s">
        <v>21651</v>
      </c>
      <c r="CA1124" s="15"/>
      <c r="CB1124" s="15"/>
      <c r="CC1124" s="15"/>
      <c r="CD1124" s="15"/>
      <c r="CE1124" s="15"/>
      <c r="CF1124" s="15"/>
      <c r="CG1124" s="19"/>
      <c r="CH1124" s="15"/>
      <c r="CI1124" s="19"/>
      <c r="CJ1124" s="15"/>
      <c r="CK1124" s="19"/>
      <c r="CL1124" s="15"/>
      <c r="CM1124" s="19"/>
      <c r="CN1124" s="15"/>
      <c r="CO1124" s="19"/>
      <c r="CP1124" s="15"/>
      <c r="CQ1124" s="15"/>
      <c r="CR1124" s="15"/>
      <c r="CS1124" s="19"/>
      <c r="CT1124" s="15"/>
      <c r="CU1124" s="19"/>
      <c r="CV1124" s="15"/>
      <c r="CW1124" s="19"/>
      <c r="CX1124" s="15"/>
      <c r="CY1124" s="19"/>
      <c r="CZ1124" s="15"/>
      <c r="DA1124" s="16" t="s">
        <v>197</v>
      </c>
      <c r="DB1124" s="17" t="s">
        <v>228</v>
      </c>
      <c r="DC1124" s="16"/>
      <c r="DD1124" s="17" t="s">
        <v>198</v>
      </c>
      <c r="DE1124" s="18">
        <v>45696.444131944445</v>
      </c>
      <c r="DF1124" s="17" t="s">
        <v>198</v>
      </c>
      <c r="DG1124" s="18">
        <v>45696.444131944445</v>
      </c>
      <c r="DH1124" s="13" t="s">
        <v>205</v>
      </c>
      <c r="DI1124" s="14" t="s">
        <v>179</v>
      </c>
      <c r="DJ1124" s="14" t="s">
        <v>21652</v>
      </c>
      <c r="DK1124" s="15"/>
      <c r="DL1124" s="15"/>
      <c r="DM1124" s="15"/>
      <c r="DN1124" s="15"/>
      <c r="DO1124" s="15"/>
      <c r="DP1124" s="15"/>
      <c r="DQ1124" s="15"/>
      <c r="DR1124" s="15"/>
      <c r="DS1124" s="15"/>
      <c r="DT1124" s="15"/>
      <c r="DU1124" s="15"/>
      <c r="DV1124" s="15"/>
      <c r="DW1124" s="15"/>
      <c r="DX1124" s="15"/>
      <c r="DY1124" s="15"/>
      <c r="DZ1124" s="15"/>
      <c r="EA1124" s="15"/>
      <c r="EB1124" s="15"/>
      <c r="EC1124" s="16" t="s">
        <v>197</v>
      </c>
      <c r="ED1124" s="17" t="s">
        <v>198</v>
      </c>
      <c r="EE1124" s="18">
        <v>45703.610300925924</v>
      </c>
      <c r="EF1124" s="13" t="s">
        <v>209</v>
      </c>
      <c r="EG1124" s="14" t="s">
        <v>179</v>
      </c>
      <c r="EH1124" s="14" t="s">
        <v>21653</v>
      </c>
      <c r="EI1124" s="15"/>
      <c r="EJ1124" s="15"/>
      <c r="EK1124" s="15"/>
      <c r="EL1124" s="15"/>
      <c r="EM1124" s="15"/>
      <c r="EN1124" s="15"/>
      <c r="EO1124" s="15"/>
      <c r="EP1124" s="15"/>
      <c r="EQ1124" s="15"/>
      <c r="ER1124" s="15"/>
      <c r="ES1124" s="15"/>
      <c r="ET1124" s="15"/>
      <c r="EU1124" s="15"/>
      <c r="EV1124" s="15"/>
      <c r="EW1124" s="15"/>
      <c r="EX1124" s="15"/>
      <c r="EY1124" s="15"/>
      <c r="EZ1124" s="15"/>
      <c r="FA1124" s="15"/>
      <c r="FB1124" s="15"/>
      <c r="FC1124" s="16" t="s">
        <v>197</v>
      </c>
      <c r="FD1124" s="17" t="s">
        <v>198</v>
      </c>
      <c r="FE1124" s="18">
        <v>45720.35674768518</v>
      </c>
      <c r="FF1124" s="19"/>
      <c r="FG1124" s="19"/>
      <c r="FH1124" s="21" t="s">
        <v>197</v>
      </c>
      <c r="FI1124" s="17" t="s">
        <v>214</v>
      </c>
      <c r="FJ1124" s="18">
        <v>45720.35674768518</v>
      </c>
      <c r="FK1124" s="14" t="s">
        <v>21653</v>
      </c>
      <c r="FL1124" s="14" t="s">
        <v>21654</v>
      </c>
      <c r="FM1124" s="14" t="s">
        <v>21655</v>
      </c>
      <c r="FN1124" s="19"/>
      <c r="FO1124" s="19"/>
      <c r="FP1124" s="19" t="str">
        <f t="shared" si="1"/>
        <v>Base de Dados_Images/XV65088.Imagem do Equipamento-.151524.jpg</v>
      </c>
      <c r="FQ1124" s="19"/>
      <c r="FR1124" s="19"/>
    </row>
    <row r="1125" ht="15.75" customHeight="1">
      <c r="A1125" s="12" t="s">
        <v>234</v>
      </c>
      <c r="B1125" s="12" t="s">
        <v>2671</v>
      </c>
      <c r="C1125" s="12" t="s">
        <v>219</v>
      </c>
      <c r="D1125" s="22" t="s">
        <v>21656</v>
      </c>
      <c r="E1125" s="22" t="s">
        <v>21657</v>
      </c>
      <c r="F1125" s="13" t="s">
        <v>178</v>
      </c>
      <c r="G1125" s="14" t="s">
        <v>179</v>
      </c>
      <c r="H1125" s="14" t="s">
        <v>21658</v>
      </c>
      <c r="I1125" s="14" t="s">
        <v>179</v>
      </c>
      <c r="J1125" s="14" t="s">
        <v>21658</v>
      </c>
      <c r="K1125" s="14" t="s">
        <v>179</v>
      </c>
      <c r="L1125" s="14" t="s">
        <v>21659</v>
      </c>
      <c r="M1125" s="14" t="s">
        <v>179</v>
      </c>
      <c r="N1125" s="14" t="s">
        <v>21660</v>
      </c>
      <c r="O1125" s="14" t="s">
        <v>179</v>
      </c>
      <c r="P1125" s="14" t="s">
        <v>21660</v>
      </c>
      <c r="Q1125" s="14" t="s">
        <v>179</v>
      </c>
      <c r="R1125" s="14" t="s">
        <v>21661</v>
      </c>
      <c r="S1125" s="14" t="s">
        <v>179</v>
      </c>
      <c r="T1125" s="14" t="s">
        <v>21662</v>
      </c>
      <c r="U1125" s="14" t="s">
        <v>179</v>
      </c>
      <c r="V1125" s="14" t="s">
        <v>21663</v>
      </c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15"/>
      <c r="AG1125" s="15"/>
      <c r="AH1125" s="15"/>
      <c r="AI1125" s="15"/>
      <c r="AJ1125" s="15"/>
      <c r="AK1125" s="15"/>
      <c r="AL1125" s="15"/>
      <c r="AM1125" s="15"/>
      <c r="AN1125" s="15"/>
      <c r="AO1125" s="15"/>
      <c r="AP1125" s="15"/>
      <c r="AQ1125" s="15"/>
      <c r="AR1125" s="15"/>
      <c r="AS1125" s="15"/>
      <c r="AT1125" s="15"/>
      <c r="AU1125" s="15"/>
      <c r="AV1125" s="15"/>
      <c r="AW1125" s="15"/>
      <c r="AX1125" s="15"/>
      <c r="AY1125" s="15"/>
      <c r="AZ1125" s="15"/>
      <c r="BA1125" s="15"/>
      <c r="BB1125" s="15"/>
      <c r="BC1125" s="15"/>
      <c r="BD1125" s="15"/>
      <c r="BE1125" s="15"/>
      <c r="BF1125" s="15"/>
      <c r="BG1125" s="15"/>
      <c r="BH1125" s="15"/>
      <c r="BI1125" s="15"/>
      <c r="BJ1125" s="15"/>
      <c r="BK1125" s="15"/>
      <c r="BL1125" s="15"/>
      <c r="BM1125" s="15"/>
      <c r="BN1125" s="15"/>
      <c r="BO1125" s="16" t="s">
        <v>197</v>
      </c>
      <c r="BP1125" s="17" t="s">
        <v>228</v>
      </c>
      <c r="BQ1125" s="23"/>
      <c r="BR1125" s="17" t="s">
        <v>198</v>
      </c>
      <c r="BS1125" s="18">
        <v>45686.83652777778</v>
      </c>
      <c r="BT1125" s="17" t="s">
        <v>198</v>
      </c>
      <c r="BU1125" s="18">
        <v>45686.83652777778</v>
      </c>
      <c r="BV1125" s="13" t="s">
        <v>199</v>
      </c>
      <c r="BW1125" s="14" t="s">
        <v>179</v>
      </c>
      <c r="BX1125" s="14" t="s">
        <v>21664</v>
      </c>
      <c r="BY1125" s="14" t="s">
        <v>179</v>
      </c>
      <c r="BZ1125" s="14" t="s">
        <v>21665</v>
      </c>
      <c r="CA1125" s="15"/>
      <c r="CB1125" s="15"/>
      <c r="CC1125" s="15"/>
      <c r="CD1125" s="15"/>
      <c r="CE1125" s="15"/>
      <c r="CF1125" s="15"/>
      <c r="CG1125" s="19"/>
      <c r="CH1125" s="15"/>
      <c r="CI1125" s="19"/>
      <c r="CJ1125" s="15"/>
      <c r="CK1125" s="19"/>
      <c r="CL1125" s="15"/>
      <c r="CM1125" s="19"/>
      <c r="CN1125" s="15"/>
      <c r="CO1125" s="19"/>
      <c r="CP1125" s="15"/>
      <c r="CQ1125" s="15"/>
      <c r="CR1125" s="15"/>
      <c r="CS1125" s="19"/>
      <c r="CT1125" s="15"/>
      <c r="CU1125" s="19"/>
      <c r="CV1125" s="15"/>
      <c r="CW1125" s="19"/>
      <c r="CX1125" s="15"/>
      <c r="CY1125" s="19"/>
      <c r="CZ1125" s="15"/>
      <c r="DA1125" s="16" t="s">
        <v>197</v>
      </c>
      <c r="DB1125" s="17" t="s">
        <v>228</v>
      </c>
      <c r="DC1125" s="16"/>
      <c r="DD1125" s="17" t="s">
        <v>198</v>
      </c>
      <c r="DE1125" s="18">
        <v>45719.38447916666</v>
      </c>
      <c r="DF1125" s="17" t="s">
        <v>198</v>
      </c>
      <c r="DG1125" s="18">
        <v>45719.38447916666</v>
      </c>
      <c r="DH1125" s="13" t="s">
        <v>205</v>
      </c>
      <c r="DI1125" s="14" t="s">
        <v>179</v>
      </c>
      <c r="DJ1125" s="14" t="s">
        <v>21666</v>
      </c>
      <c r="DK1125" s="15"/>
      <c r="DL1125" s="15"/>
      <c r="DM1125" s="15"/>
      <c r="DN1125" s="15"/>
      <c r="DO1125" s="15"/>
      <c r="DP1125" s="15"/>
      <c r="DQ1125" s="15"/>
      <c r="DR1125" s="15"/>
      <c r="DS1125" s="15"/>
      <c r="DT1125" s="15"/>
      <c r="DU1125" s="15"/>
      <c r="DV1125" s="15"/>
      <c r="DW1125" s="15"/>
      <c r="DX1125" s="15"/>
      <c r="DY1125" s="15"/>
      <c r="DZ1125" s="15"/>
      <c r="EA1125" s="15"/>
      <c r="EB1125" s="15"/>
      <c r="EC1125" s="16" t="s">
        <v>197</v>
      </c>
      <c r="ED1125" s="17" t="s">
        <v>198</v>
      </c>
      <c r="EE1125" s="18">
        <v>45719.38451388889</v>
      </c>
      <c r="EF1125" s="13" t="s">
        <v>209</v>
      </c>
      <c r="EG1125" s="14" t="s">
        <v>179</v>
      </c>
      <c r="EH1125" s="14" t="s">
        <v>21667</v>
      </c>
      <c r="EI1125" s="15"/>
      <c r="EJ1125" s="15"/>
      <c r="EK1125" s="15"/>
      <c r="EL1125" s="15"/>
      <c r="EM1125" s="15"/>
      <c r="EN1125" s="15"/>
      <c r="EO1125" s="15"/>
      <c r="EP1125" s="15"/>
      <c r="EQ1125" s="15"/>
      <c r="ER1125" s="15"/>
      <c r="ES1125" s="15"/>
      <c r="ET1125" s="15"/>
      <c r="EU1125" s="15"/>
      <c r="EV1125" s="15"/>
      <c r="EW1125" s="15"/>
      <c r="EX1125" s="15"/>
      <c r="EY1125" s="15"/>
      <c r="EZ1125" s="15"/>
      <c r="FA1125" s="15"/>
      <c r="FB1125" s="15"/>
      <c r="FC1125" s="16" t="s">
        <v>197</v>
      </c>
      <c r="FD1125" s="17" t="s">
        <v>198</v>
      </c>
      <c r="FE1125" s="18">
        <v>45720.32922453704</v>
      </c>
      <c r="FF1125" s="19"/>
      <c r="FG1125" s="19"/>
      <c r="FH1125" s="21" t="s">
        <v>197</v>
      </c>
      <c r="FI1125" s="17" t="s">
        <v>214</v>
      </c>
      <c r="FJ1125" s="18">
        <v>45720.32922453704</v>
      </c>
      <c r="FK1125" s="14" t="s">
        <v>21667</v>
      </c>
      <c r="FL1125" s="14" t="s">
        <v>21668</v>
      </c>
      <c r="FM1125" s="14" t="s">
        <v>21669</v>
      </c>
      <c r="FN1125" s="19"/>
      <c r="FO1125" s="19"/>
      <c r="FP1125" s="19" t="str">
        <f t="shared" si="1"/>
        <v>Base de Dados_Images/XV65089.Imagem do Equipamento-.230516.jpg</v>
      </c>
      <c r="FQ1125" s="19"/>
      <c r="FR1125" s="19"/>
    </row>
    <row r="1126" ht="15.75" customHeight="1">
      <c r="A1126" s="12" t="s">
        <v>234</v>
      </c>
      <c r="B1126" s="12" t="s">
        <v>2671</v>
      </c>
      <c r="C1126" s="12" t="s">
        <v>219</v>
      </c>
      <c r="D1126" s="22" t="s">
        <v>21670</v>
      </c>
      <c r="E1126" s="22" t="s">
        <v>21671</v>
      </c>
      <c r="F1126" s="13" t="s">
        <v>178</v>
      </c>
      <c r="G1126" s="14" t="s">
        <v>179</v>
      </c>
      <c r="H1126" s="14" t="s">
        <v>21672</v>
      </c>
      <c r="I1126" s="14" t="s">
        <v>179</v>
      </c>
      <c r="J1126" s="14" t="s">
        <v>21672</v>
      </c>
      <c r="K1126" s="14" t="s">
        <v>179</v>
      </c>
      <c r="L1126" s="14" t="s">
        <v>21673</v>
      </c>
      <c r="M1126" s="14" t="s">
        <v>179</v>
      </c>
      <c r="N1126" s="14" t="s">
        <v>21673</v>
      </c>
      <c r="O1126" s="14" t="s">
        <v>179</v>
      </c>
      <c r="P1126" s="14" t="s">
        <v>21674</v>
      </c>
      <c r="Q1126" s="14" t="s">
        <v>179</v>
      </c>
      <c r="R1126" s="14" t="s">
        <v>21674</v>
      </c>
      <c r="S1126" s="14" t="s">
        <v>179</v>
      </c>
      <c r="T1126" s="14" t="s">
        <v>21675</v>
      </c>
      <c r="U1126" s="14" t="s">
        <v>179</v>
      </c>
      <c r="V1126" s="14" t="s">
        <v>21676</v>
      </c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  <c r="AG1126" s="15"/>
      <c r="AH1126" s="15"/>
      <c r="AI1126" s="15"/>
      <c r="AJ1126" s="15"/>
      <c r="AK1126" s="15"/>
      <c r="AL1126" s="15"/>
      <c r="AM1126" s="15"/>
      <c r="AN1126" s="15"/>
      <c r="AO1126" s="15"/>
      <c r="AP1126" s="15"/>
      <c r="AQ1126" s="15"/>
      <c r="AR1126" s="15"/>
      <c r="AS1126" s="15"/>
      <c r="AT1126" s="15"/>
      <c r="AU1126" s="15"/>
      <c r="AV1126" s="15"/>
      <c r="AW1126" s="15"/>
      <c r="AX1126" s="15"/>
      <c r="AY1126" s="15"/>
      <c r="AZ1126" s="15"/>
      <c r="BA1126" s="15"/>
      <c r="BB1126" s="15"/>
      <c r="BC1126" s="15"/>
      <c r="BD1126" s="15"/>
      <c r="BE1126" s="15"/>
      <c r="BF1126" s="15"/>
      <c r="BG1126" s="15"/>
      <c r="BH1126" s="15"/>
      <c r="BI1126" s="15"/>
      <c r="BJ1126" s="15"/>
      <c r="BK1126" s="15"/>
      <c r="BL1126" s="15"/>
      <c r="BM1126" s="15"/>
      <c r="BN1126" s="15"/>
      <c r="BO1126" s="16" t="s">
        <v>197</v>
      </c>
      <c r="BP1126" s="17" t="s">
        <v>228</v>
      </c>
      <c r="BQ1126" s="23"/>
      <c r="BR1126" s="17" t="s">
        <v>198</v>
      </c>
      <c r="BS1126" s="18">
        <v>45686.83137731482</v>
      </c>
      <c r="BT1126" s="17" t="s">
        <v>198</v>
      </c>
      <c r="BU1126" s="18">
        <v>45686.83137731482</v>
      </c>
      <c r="BV1126" s="13" t="s">
        <v>199</v>
      </c>
      <c r="BW1126" s="14" t="s">
        <v>179</v>
      </c>
      <c r="BX1126" s="14" t="s">
        <v>21677</v>
      </c>
      <c r="BY1126" s="14" t="s">
        <v>179</v>
      </c>
      <c r="BZ1126" s="14" t="s">
        <v>21678</v>
      </c>
      <c r="CA1126" s="15"/>
      <c r="CB1126" s="15"/>
      <c r="CC1126" s="15"/>
      <c r="CD1126" s="15"/>
      <c r="CE1126" s="15"/>
      <c r="CF1126" s="15"/>
      <c r="CG1126" s="19"/>
      <c r="CH1126" s="15"/>
      <c r="CI1126" s="19"/>
      <c r="CJ1126" s="15"/>
      <c r="CK1126" s="19"/>
      <c r="CL1126" s="15"/>
      <c r="CM1126" s="19"/>
      <c r="CN1126" s="15"/>
      <c r="CO1126" s="19"/>
      <c r="CP1126" s="15"/>
      <c r="CQ1126" s="15"/>
      <c r="CR1126" s="15"/>
      <c r="CS1126" s="19"/>
      <c r="CT1126" s="15"/>
      <c r="CU1126" s="19"/>
      <c r="CV1126" s="15"/>
      <c r="CW1126" s="19"/>
      <c r="CX1126" s="15"/>
      <c r="CY1126" s="19"/>
      <c r="CZ1126" s="15"/>
      <c r="DA1126" s="16" t="s">
        <v>197</v>
      </c>
      <c r="DB1126" s="17" t="s">
        <v>228</v>
      </c>
      <c r="DC1126" s="16"/>
      <c r="DD1126" s="17" t="s">
        <v>198</v>
      </c>
      <c r="DE1126" s="18">
        <v>45719.38482638889</v>
      </c>
      <c r="DF1126" s="17" t="s">
        <v>198</v>
      </c>
      <c r="DG1126" s="18">
        <v>45719.38482638889</v>
      </c>
      <c r="DH1126" s="13" t="s">
        <v>205</v>
      </c>
      <c r="DI1126" s="14" t="s">
        <v>179</v>
      </c>
      <c r="DJ1126" s="14" t="s">
        <v>21679</v>
      </c>
      <c r="DK1126" s="15"/>
      <c r="DL1126" s="15"/>
      <c r="DM1126" s="15"/>
      <c r="DN1126" s="15"/>
      <c r="DO1126" s="15"/>
      <c r="DP1126" s="15"/>
      <c r="DQ1126" s="15"/>
      <c r="DR1126" s="15"/>
      <c r="DS1126" s="15"/>
      <c r="DT1126" s="15"/>
      <c r="DU1126" s="15"/>
      <c r="DV1126" s="15"/>
      <c r="DW1126" s="15"/>
      <c r="DX1126" s="15"/>
      <c r="DY1126" s="15"/>
      <c r="DZ1126" s="15"/>
      <c r="EA1126" s="15"/>
      <c r="EB1126" s="15"/>
      <c r="EC1126" s="16" t="s">
        <v>197</v>
      </c>
      <c r="ED1126" s="17" t="s">
        <v>198</v>
      </c>
      <c r="EE1126" s="18">
        <v>45719.38486111111</v>
      </c>
      <c r="EF1126" s="13" t="s">
        <v>209</v>
      </c>
      <c r="EG1126" s="14" t="s">
        <v>179</v>
      </c>
      <c r="EH1126" s="14" t="s">
        <v>21680</v>
      </c>
      <c r="EI1126" s="15"/>
      <c r="EJ1126" s="15"/>
      <c r="EK1126" s="15"/>
      <c r="EL1126" s="15"/>
      <c r="EM1126" s="15"/>
      <c r="EN1126" s="15"/>
      <c r="EO1126" s="15"/>
      <c r="EP1126" s="15"/>
      <c r="EQ1126" s="15"/>
      <c r="ER1126" s="15"/>
      <c r="ES1126" s="15"/>
      <c r="ET1126" s="15"/>
      <c r="EU1126" s="15"/>
      <c r="EV1126" s="15"/>
      <c r="EW1126" s="15"/>
      <c r="EX1126" s="15"/>
      <c r="EY1126" s="15"/>
      <c r="EZ1126" s="15"/>
      <c r="FA1126" s="15"/>
      <c r="FB1126" s="15"/>
      <c r="FC1126" s="16" t="s">
        <v>197</v>
      </c>
      <c r="FD1126" s="17" t="s">
        <v>198</v>
      </c>
      <c r="FE1126" s="18">
        <v>45720.32928240741</v>
      </c>
      <c r="FF1126" s="19"/>
      <c r="FG1126" s="19"/>
      <c r="FH1126" s="21" t="s">
        <v>197</v>
      </c>
      <c r="FI1126" s="17" t="s">
        <v>214</v>
      </c>
      <c r="FJ1126" s="18">
        <v>45720.32928240741</v>
      </c>
      <c r="FK1126" s="14" t="s">
        <v>21680</v>
      </c>
      <c r="FL1126" s="14" t="s">
        <v>21681</v>
      </c>
      <c r="FM1126" s="14" t="s">
        <v>21682</v>
      </c>
      <c r="FN1126" s="19"/>
      <c r="FO1126" s="19"/>
      <c r="FP1126" s="19" t="str">
        <f t="shared" si="1"/>
        <v>Base de Dados_Images/XV65090.Imagem do Equipamento-.225703.jpg</v>
      </c>
      <c r="FQ1126" s="19"/>
      <c r="FR1126" s="19"/>
    </row>
    <row r="1127" ht="15.75" customHeight="1">
      <c r="A1127" s="12" t="s">
        <v>234</v>
      </c>
      <c r="B1127" s="12" t="s">
        <v>2671</v>
      </c>
      <c r="C1127" s="12" t="s">
        <v>219</v>
      </c>
      <c r="D1127" s="22" t="s">
        <v>21683</v>
      </c>
      <c r="E1127" s="22" t="s">
        <v>21684</v>
      </c>
      <c r="F1127" s="13" t="s">
        <v>178</v>
      </c>
      <c r="G1127" s="14" t="s">
        <v>179</v>
      </c>
      <c r="H1127" s="14" t="s">
        <v>21685</v>
      </c>
      <c r="I1127" s="14" t="s">
        <v>179</v>
      </c>
      <c r="J1127" s="14" t="s">
        <v>21686</v>
      </c>
      <c r="K1127" s="14" t="s">
        <v>179</v>
      </c>
      <c r="L1127" s="14" t="s">
        <v>21686</v>
      </c>
      <c r="M1127" s="14" t="s">
        <v>179</v>
      </c>
      <c r="N1127" s="14" t="s">
        <v>21687</v>
      </c>
      <c r="O1127" s="14" t="s">
        <v>179</v>
      </c>
      <c r="P1127" s="14" t="s">
        <v>21688</v>
      </c>
      <c r="Q1127" s="14" t="s">
        <v>179</v>
      </c>
      <c r="R1127" s="14" t="s">
        <v>21689</v>
      </c>
      <c r="S1127" s="14" t="s">
        <v>179</v>
      </c>
      <c r="T1127" s="14" t="s">
        <v>21690</v>
      </c>
      <c r="U1127" s="14" t="s">
        <v>179</v>
      </c>
      <c r="V1127" s="14" t="s">
        <v>21690</v>
      </c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  <c r="AG1127" s="15"/>
      <c r="AH1127" s="15"/>
      <c r="AI1127" s="15"/>
      <c r="AJ1127" s="15"/>
      <c r="AK1127" s="15"/>
      <c r="AL1127" s="15"/>
      <c r="AM1127" s="15"/>
      <c r="AN1127" s="15"/>
      <c r="AO1127" s="15"/>
      <c r="AP1127" s="15"/>
      <c r="AQ1127" s="15"/>
      <c r="AR1127" s="15"/>
      <c r="AS1127" s="15"/>
      <c r="AT1127" s="15"/>
      <c r="AU1127" s="15"/>
      <c r="AV1127" s="15"/>
      <c r="AW1127" s="15"/>
      <c r="AX1127" s="15"/>
      <c r="AY1127" s="15"/>
      <c r="AZ1127" s="15"/>
      <c r="BA1127" s="15"/>
      <c r="BB1127" s="15"/>
      <c r="BC1127" s="15"/>
      <c r="BD1127" s="15"/>
      <c r="BE1127" s="15"/>
      <c r="BF1127" s="15"/>
      <c r="BG1127" s="15"/>
      <c r="BH1127" s="15"/>
      <c r="BI1127" s="15"/>
      <c r="BJ1127" s="15"/>
      <c r="BK1127" s="15"/>
      <c r="BL1127" s="15"/>
      <c r="BM1127" s="15"/>
      <c r="BN1127" s="15"/>
      <c r="BO1127" s="16" t="s">
        <v>197</v>
      </c>
      <c r="BP1127" s="17" t="s">
        <v>228</v>
      </c>
      <c r="BQ1127" s="23"/>
      <c r="BR1127" s="17" t="s">
        <v>198</v>
      </c>
      <c r="BS1127" s="18">
        <v>45686.83327546297</v>
      </c>
      <c r="BT1127" s="17" t="s">
        <v>198</v>
      </c>
      <c r="BU1127" s="18">
        <v>45686.83327546297</v>
      </c>
      <c r="BV1127" s="13" t="s">
        <v>199</v>
      </c>
      <c r="BW1127" s="14" t="s">
        <v>179</v>
      </c>
      <c r="BX1127" s="14" t="s">
        <v>21691</v>
      </c>
      <c r="BY1127" s="14" t="s">
        <v>179</v>
      </c>
      <c r="BZ1127" s="14" t="s">
        <v>21692</v>
      </c>
      <c r="CA1127" s="15"/>
      <c r="CB1127" s="15"/>
      <c r="CC1127" s="15"/>
      <c r="CD1127" s="15"/>
      <c r="CE1127" s="15"/>
      <c r="CF1127" s="15"/>
      <c r="CG1127" s="19"/>
      <c r="CH1127" s="15"/>
      <c r="CI1127" s="19"/>
      <c r="CJ1127" s="15"/>
      <c r="CK1127" s="19"/>
      <c r="CL1127" s="15"/>
      <c r="CM1127" s="19"/>
      <c r="CN1127" s="15"/>
      <c r="CO1127" s="19"/>
      <c r="CP1127" s="15"/>
      <c r="CQ1127" s="15"/>
      <c r="CR1127" s="15"/>
      <c r="CS1127" s="19"/>
      <c r="CT1127" s="15"/>
      <c r="CU1127" s="19"/>
      <c r="CV1127" s="15"/>
      <c r="CW1127" s="19"/>
      <c r="CX1127" s="15"/>
      <c r="CY1127" s="19"/>
      <c r="CZ1127" s="15"/>
      <c r="DA1127" s="16" t="s">
        <v>197</v>
      </c>
      <c r="DB1127" s="17" t="s">
        <v>228</v>
      </c>
      <c r="DC1127" s="16"/>
      <c r="DD1127" s="17" t="s">
        <v>198</v>
      </c>
      <c r="DE1127" s="18">
        <v>45719.38459490741</v>
      </c>
      <c r="DF1127" s="17" t="s">
        <v>198</v>
      </c>
      <c r="DG1127" s="18">
        <v>45719.38459490741</v>
      </c>
      <c r="DH1127" s="13" t="s">
        <v>205</v>
      </c>
      <c r="DI1127" s="14" t="s">
        <v>179</v>
      </c>
      <c r="DJ1127" s="14" t="s">
        <v>21693</v>
      </c>
      <c r="DK1127" s="15"/>
      <c r="DL1127" s="15"/>
      <c r="DM1127" s="15"/>
      <c r="DN1127" s="15"/>
      <c r="DO1127" s="15"/>
      <c r="DP1127" s="15"/>
      <c r="DQ1127" s="15"/>
      <c r="DR1127" s="15"/>
      <c r="DS1127" s="15"/>
      <c r="DT1127" s="15"/>
      <c r="DU1127" s="15"/>
      <c r="DV1127" s="15"/>
      <c r="DW1127" s="15"/>
      <c r="DX1127" s="15"/>
      <c r="DY1127" s="15"/>
      <c r="DZ1127" s="15"/>
      <c r="EA1127" s="15"/>
      <c r="EB1127" s="15"/>
      <c r="EC1127" s="16" t="s">
        <v>197</v>
      </c>
      <c r="ED1127" s="17" t="s">
        <v>198</v>
      </c>
      <c r="EE1127" s="18">
        <v>45719.38462962963</v>
      </c>
      <c r="EF1127" s="13" t="s">
        <v>209</v>
      </c>
      <c r="EG1127" s="14" t="s">
        <v>179</v>
      </c>
      <c r="EH1127" s="14" t="s">
        <v>21694</v>
      </c>
      <c r="EI1127" s="15"/>
      <c r="EJ1127" s="15"/>
      <c r="EK1127" s="15"/>
      <c r="EL1127" s="15"/>
      <c r="EM1127" s="15"/>
      <c r="EN1127" s="15"/>
      <c r="EO1127" s="15"/>
      <c r="EP1127" s="15"/>
      <c r="EQ1127" s="15"/>
      <c r="ER1127" s="15"/>
      <c r="ES1127" s="15"/>
      <c r="ET1127" s="15"/>
      <c r="EU1127" s="15"/>
      <c r="EV1127" s="15"/>
      <c r="EW1127" s="15"/>
      <c r="EX1127" s="15"/>
      <c r="EY1127" s="15"/>
      <c r="EZ1127" s="15"/>
      <c r="FA1127" s="15"/>
      <c r="FB1127" s="15"/>
      <c r="FC1127" s="16" t="s">
        <v>197</v>
      </c>
      <c r="FD1127" s="17" t="s">
        <v>198</v>
      </c>
      <c r="FE1127" s="18">
        <v>45720.32934027778</v>
      </c>
      <c r="FF1127" s="19"/>
      <c r="FG1127" s="19"/>
      <c r="FH1127" s="21" t="s">
        <v>197</v>
      </c>
      <c r="FI1127" s="17" t="s">
        <v>214</v>
      </c>
      <c r="FJ1127" s="18">
        <v>45720.32934027778</v>
      </c>
      <c r="FK1127" s="14" t="s">
        <v>21694</v>
      </c>
      <c r="FL1127" s="14" t="s">
        <v>21695</v>
      </c>
      <c r="FM1127" s="14" t="s">
        <v>21696</v>
      </c>
      <c r="FN1127" s="19"/>
      <c r="FO1127" s="19"/>
      <c r="FP1127" s="19" t="str">
        <f t="shared" si="1"/>
        <v>Base de Dados_Images/XV65091.Imagem do Equipamento-.225946.jpg</v>
      </c>
      <c r="FQ1127" s="19"/>
      <c r="FR1127" s="19"/>
    </row>
    <row r="1128" ht="15.75" customHeight="1">
      <c r="A1128" s="12" t="s">
        <v>234</v>
      </c>
      <c r="B1128" s="12" t="s">
        <v>2671</v>
      </c>
      <c r="C1128" s="12" t="s">
        <v>219</v>
      </c>
      <c r="D1128" s="22" t="s">
        <v>21697</v>
      </c>
      <c r="E1128" s="22" t="s">
        <v>21698</v>
      </c>
      <c r="F1128" s="13" t="s">
        <v>178</v>
      </c>
      <c r="G1128" s="14" t="s">
        <v>179</v>
      </c>
      <c r="H1128" s="14" t="s">
        <v>21699</v>
      </c>
      <c r="I1128" s="14" t="s">
        <v>179</v>
      </c>
      <c r="J1128" s="14" t="s">
        <v>21700</v>
      </c>
      <c r="K1128" s="14" t="s">
        <v>179</v>
      </c>
      <c r="L1128" s="14" t="s">
        <v>21701</v>
      </c>
      <c r="M1128" s="14" t="s">
        <v>179</v>
      </c>
      <c r="N1128" s="14" t="s">
        <v>21702</v>
      </c>
      <c r="O1128" s="14" t="s">
        <v>179</v>
      </c>
      <c r="P1128" s="14" t="s">
        <v>21703</v>
      </c>
      <c r="Q1128" s="14" t="s">
        <v>179</v>
      </c>
      <c r="R1128" s="14" t="s">
        <v>21704</v>
      </c>
      <c r="S1128" s="14" t="s">
        <v>179</v>
      </c>
      <c r="T1128" s="14" t="s">
        <v>21705</v>
      </c>
      <c r="U1128" s="14" t="s">
        <v>179</v>
      </c>
      <c r="V1128" s="14" t="s">
        <v>21706</v>
      </c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"/>
      <c r="AN1128" s="15"/>
      <c r="AO1128" s="15"/>
      <c r="AP1128" s="15"/>
      <c r="AQ1128" s="15"/>
      <c r="AR1128" s="15"/>
      <c r="AS1128" s="15"/>
      <c r="AT1128" s="15"/>
      <c r="AU1128" s="15"/>
      <c r="AV1128" s="15"/>
      <c r="AW1128" s="15"/>
      <c r="AX1128" s="15"/>
      <c r="AY1128" s="15"/>
      <c r="AZ1128" s="15"/>
      <c r="BA1128" s="15"/>
      <c r="BB1128" s="15"/>
      <c r="BC1128" s="15"/>
      <c r="BD1128" s="15"/>
      <c r="BE1128" s="15"/>
      <c r="BF1128" s="15"/>
      <c r="BG1128" s="15"/>
      <c r="BH1128" s="15"/>
      <c r="BI1128" s="15"/>
      <c r="BJ1128" s="15"/>
      <c r="BK1128" s="15"/>
      <c r="BL1128" s="15"/>
      <c r="BM1128" s="15"/>
      <c r="BN1128" s="15"/>
      <c r="BO1128" s="16" t="s">
        <v>197</v>
      </c>
      <c r="BP1128" s="17" t="s">
        <v>228</v>
      </c>
      <c r="BQ1128" s="23"/>
      <c r="BR1128" s="17" t="s">
        <v>198</v>
      </c>
      <c r="BS1128" s="18">
        <v>45674.629166666666</v>
      </c>
      <c r="BT1128" s="17" t="s">
        <v>198</v>
      </c>
      <c r="BU1128" s="18">
        <v>45674.629166666666</v>
      </c>
      <c r="BV1128" s="13" t="s">
        <v>199</v>
      </c>
      <c r="BW1128" s="14" t="s">
        <v>179</v>
      </c>
      <c r="BX1128" s="14" t="s">
        <v>21707</v>
      </c>
      <c r="BY1128" s="14" t="s">
        <v>179</v>
      </c>
      <c r="BZ1128" s="14" t="s">
        <v>21708</v>
      </c>
      <c r="CA1128" s="15"/>
      <c r="CB1128" s="15"/>
      <c r="CC1128" s="15"/>
      <c r="CD1128" s="15"/>
      <c r="CE1128" s="15"/>
      <c r="CF1128" s="15"/>
      <c r="CG1128" s="19"/>
      <c r="CH1128" s="15"/>
      <c r="CI1128" s="19"/>
      <c r="CJ1128" s="15"/>
      <c r="CK1128" s="19"/>
      <c r="CL1128" s="15"/>
      <c r="CM1128" s="19"/>
      <c r="CN1128" s="15"/>
      <c r="CO1128" s="19"/>
      <c r="CP1128" s="15"/>
      <c r="CQ1128" s="15"/>
      <c r="CR1128" s="15"/>
      <c r="CS1128" s="19"/>
      <c r="CT1128" s="15"/>
      <c r="CU1128" s="19"/>
      <c r="CV1128" s="15"/>
      <c r="CW1128" s="19"/>
      <c r="CX1128" s="15"/>
      <c r="CY1128" s="19"/>
      <c r="CZ1128" s="15"/>
      <c r="DA1128" s="16" t="s">
        <v>197</v>
      </c>
      <c r="DB1128" s="17" t="s">
        <v>228</v>
      </c>
      <c r="DC1128" s="16"/>
      <c r="DD1128" s="17" t="s">
        <v>198</v>
      </c>
      <c r="DE1128" s="18">
        <v>45719.38469907407</v>
      </c>
      <c r="DF1128" s="17" t="s">
        <v>198</v>
      </c>
      <c r="DG1128" s="18">
        <v>45719.38469907407</v>
      </c>
      <c r="DH1128" s="13" t="s">
        <v>205</v>
      </c>
      <c r="DI1128" s="14" t="s">
        <v>179</v>
      </c>
      <c r="DJ1128" s="14" t="s">
        <v>21709</v>
      </c>
      <c r="DK1128" s="15"/>
      <c r="DL1128" s="15"/>
      <c r="DM1128" s="15"/>
      <c r="DN1128" s="15"/>
      <c r="DO1128" s="15"/>
      <c r="DP1128" s="15"/>
      <c r="DQ1128" s="15"/>
      <c r="DR1128" s="15"/>
      <c r="DS1128" s="15"/>
      <c r="DT1128" s="15"/>
      <c r="DU1128" s="15"/>
      <c r="DV1128" s="15"/>
      <c r="DW1128" s="15"/>
      <c r="DX1128" s="15"/>
      <c r="DY1128" s="15"/>
      <c r="DZ1128" s="15"/>
      <c r="EA1128" s="15"/>
      <c r="EB1128" s="15"/>
      <c r="EC1128" s="16" t="s">
        <v>197</v>
      </c>
      <c r="ED1128" s="17" t="s">
        <v>198</v>
      </c>
      <c r="EE1128" s="18">
        <v>45719.52238425926</v>
      </c>
      <c r="EF1128" s="13" t="s">
        <v>209</v>
      </c>
      <c r="EG1128" s="14" t="s">
        <v>179</v>
      </c>
      <c r="EH1128" s="14" t="s">
        <v>21710</v>
      </c>
      <c r="EI1128" s="15"/>
      <c r="EJ1128" s="15"/>
      <c r="EK1128" s="15"/>
      <c r="EL1128" s="15"/>
      <c r="EM1128" s="15"/>
      <c r="EN1128" s="15"/>
      <c r="EO1128" s="15"/>
      <c r="EP1128" s="15"/>
      <c r="EQ1128" s="15"/>
      <c r="ER1128" s="15"/>
      <c r="ES1128" s="15"/>
      <c r="ET1128" s="15"/>
      <c r="EU1128" s="15"/>
      <c r="EV1128" s="15"/>
      <c r="EW1128" s="15"/>
      <c r="EX1128" s="15"/>
      <c r="EY1128" s="15"/>
      <c r="EZ1128" s="15"/>
      <c r="FA1128" s="15"/>
      <c r="FB1128" s="15"/>
      <c r="FC1128" s="16" t="s">
        <v>197</v>
      </c>
      <c r="FD1128" s="17" t="s">
        <v>198</v>
      </c>
      <c r="FE1128" s="18">
        <v>45720.329421296294</v>
      </c>
      <c r="FF1128" s="19"/>
      <c r="FG1128" s="19"/>
      <c r="FH1128" s="21" t="s">
        <v>197</v>
      </c>
      <c r="FI1128" s="17" t="s">
        <v>214</v>
      </c>
      <c r="FJ1128" s="18">
        <v>45720.329421296294</v>
      </c>
      <c r="FK1128" s="14" t="s">
        <v>21710</v>
      </c>
      <c r="FL1128" s="14" t="s">
        <v>21711</v>
      </c>
      <c r="FM1128" s="14" t="s">
        <v>21712</v>
      </c>
      <c r="FN1128" s="19"/>
      <c r="FO1128" s="19"/>
      <c r="FP1128" s="19" t="str">
        <f t="shared" si="1"/>
        <v>Base de Dados_Images/XV65092.Imagem do Equipamento-.163707.jpg</v>
      </c>
      <c r="FQ1128" s="19"/>
      <c r="FR1128" s="19"/>
    </row>
    <row r="1129" ht="15.75" customHeight="1">
      <c r="A1129" s="12" t="s">
        <v>234</v>
      </c>
      <c r="B1129" s="12" t="s">
        <v>11624</v>
      </c>
      <c r="C1129" s="12" t="s">
        <v>219</v>
      </c>
      <c r="D1129" s="22" t="s">
        <v>21713</v>
      </c>
      <c r="E1129" s="22" t="s">
        <v>21714</v>
      </c>
      <c r="F1129" s="13" t="s">
        <v>178</v>
      </c>
      <c r="G1129" s="14" t="s">
        <v>179</v>
      </c>
      <c r="H1129" s="14" t="s">
        <v>21715</v>
      </c>
      <c r="I1129" s="14" t="s">
        <v>179</v>
      </c>
      <c r="J1129" s="14" t="s">
        <v>21716</v>
      </c>
      <c r="K1129" s="14" t="s">
        <v>179</v>
      </c>
      <c r="L1129" s="14" t="s">
        <v>21717</v>
      </c>
      <c r="M1129" s="14" t="s">
        <v>179</v>
      </c>
      <c r="N1129" s="14" t="s">
        <v>21718</v>
      </c>
      <c r="O1129" s="14" t="s">
        <v>179</v>
      </c>
      <c r="P1129" s="14" t="s">
        <v>21719</v>
      </c>
      <c r="Q1129" s="14" t="s">
        <v>179</v>
      </c>
      <c r="R1129" s="14" t="s">
        <v>21720</v>
      </c>
      <c r="S1129" s="14" t="s">
        <v>179</v>
      </c>
      <c r="T1129" s="14" t="s">
        <v>21721</v>
      </c>
      <c r="U1129" s="14" t="s">
        <v>179</v>
      </c>
      <c r="V1129" s="14" t="s">
        <v>21722</v>
      </c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15"/>
      <c r="AG1129" s="15"/>
      <c r="AH1129" s="15"/>
      <c r="AI1129" s="15"/>
      <c r="AJ1129" s="15"/>
      <c r="AK1129" s="15"/>
      <c r="AL1129" s="15"/>
      <c r="AM1129" s="15"/>
      <c r="AN1129" s="15"/>
      <c r="AO1129" s="15"/>
      <c r="AP1129" s="15"/>
      <c r="AQ1129" s="15"/>
      <c r="AR1129" s="15"/>
      <c r="AS1129" s="15"/>
      <c r="AT1129" s="15"/>
      <c r="AU1129" s="15"/>
      <c r="AV1129" s="15"/>
      <c r="AW1129" s="15"/>
      <c r="AX1129" s="15"/>
      <c r="AY1129" s="15"/>
      <c r="AZ1129" s="15"/>
      <c r="BA1129" s="15"/>
      <c r="BB1129" s="15"/>
      <c r="BC1129" s="15"/>
      <c r="BD1129" s="15"/>
      <c r="BE1129" s="15"/>
      <c r="BF1129" s="15"/>
      <c r="BG1129" s="15"/>
      <c r="BH1129" s="15"/>
      <c r="BI1129" s="15"/>
      <c r="BJ1129" s="15"/>
      <c r="BK1129" s="15"/>
      <c r="BL1129" s="15"/>
      <c r="BM1129" s="15"/>
      <c r="BN1129" s="15"/>
      <c r="BO1129" s="16" t="s">
        <v>197</v>
      </c>
      <c r="BP1129" s="17" t="s">
        <v>228</v>
      </c>
      <c r="BQ1129" s="23"/>
      <c r="BR1129" s="17" t="s">
        <v>198</v>
      </c>
      <c r="BS1129" s="18">
        <v>45686.83579861111</v>
      </c>
      <c r="BT1129" s="17" t="s">
        <v>198</v>
      </c>
      <c r="BU1129" s="18">
        <v>45686.83579861111</v>
      </c>
      <c r="BV1129" s="13" t="s">
        <v>199</v>
      </c>
      <c r="BW1129" s="14" t="s">
        <v>179</v>
      </c>
      <c r="BX1129" s="14" t="s">
        <v>21723</v>
      </c>
      <c r="BY1129" s="14" t="s">
        <v>179</v>
      </c>
      <c r="BZ1129" s="14" t="s">
        <v>21724</v>
      </c>
      <c r="CA1129" s="15"/>
      <c r="CB1129" s="15"/>
      <c r="CC1129" s="15"/>
      <c r="CD1129" s="15"/>
      <c r="CE1129" s="15"/>
      <c r="CF1129" s="15"/>
      <c r="CG1129" s="19"/>
      <c r="CH1129" s="15"/>
      <c r="CI1129" s="19"/>
      <c r="CJ1129" s="15"/>
      <c r="CK1129" s="19"/>
      <c r="CL1129" s="15"/>
      <c r="CM1129" s="19"/>
      <c r="CN1129" s="15"/>
      <c r="CO1129" s="19"/>
      <c r="CP1129" s="15"/>
      <c r="CQ1129" s="15"/>
      <c r="CR1129" s="15"/>
      <c r="CS1129" s="19"/>
      <c r="CT1129" s="15"/>
      <c r="CU1129" s="19"/>
      <c r="CV1129" s="15"/>
      <c r="CW1129" s="19"/>
      <c r="CX1129" s="15"/>
      <c r="CY1129" s="19"/>
      <c r="CZ1129" s="15"/>
      <c r="DA1129" s="16" t="s">
        <v>197</v>
      </c>
      <c r="DB1129" s="17" t="s">
        <v>228</v>
      </c>
      <c r="DC1129" s="16"/>
      <c r="DD1129" s="17" t="s">
        <v>198</v>
      </c>
      <c r="DE1129" s="18">
        <v>45695.62510416667</v>
      </c>
      <c r="DF1129" s="17" t="s">
        <v>198</v>
      </c>
      <c r="DG1129" s="18">
        <v>45695.62510416667</v>
      </c>
      <c r="DH1129" s="13" t="s">
        <v>205</v>
      </c>
      <c r="DI1129" s="14" t="s">
        <v>179</v>
      </c>
      <c r="DJ1129" s="14" t="s">
        <v>21725</v>
      </c>
      <c r="DK1129" s="15"/>
      <c r="DL1129" s="15"/>
      <c r="DM1129" s="15"/>
      <c r="DN1129" s="15"/>
      <c r="DO1129" s="15"/>
      <c r="DP1129" s="15"/>
      <c r="DQ1129" s="15"/>
      <c r="DR1129" s="15"/>
      <c r="DS1129" s="15"/>
      <c r="DT1129" s="15"/>
      <c r="DU1129" s="15"/>
      <c r="DV1129" s="15"/>
      <c r="DW1129" s="15"/>
      <c r="DX1129" s="15"/>
      <c r="DY1129" s="15"/>
      <c r="DZ1129" s="15"/>
      <c r="EA1129" s="15"/>
      <c r="EB1129" s="15"/>
      <c r="EC1129" s="16" t="s">
        <v>197</v>
      </c>
      <c r="ED1129" s="17" t="s">
        <v>198</v>
      </c>
      <c r="EE1129" s="18">
        <v>45720.329780092594</v>
      </c>
      <c r="EF1129" s="13" t="s">
        <v>209</v>
      </c>
      <c r="EG1129" s="14" t="s">
        <v>179</v>
      </c>
      <c r="EH1129" s="14" t="s">
        <v>21726</v>
      </c>
      <c r="EI1129" s="15"/>
      <c r="EJ1129" s="15"/>
      <c r="EK1129" s="15"/>
      <c r="EL1129" s="15"/>
      <c r="EM1129" s="15"/>
      <c r="EN1129" s="15"/>
      <c r="EO1129" s="15"/>
      <c r="EP1129" s="15"/>
      <c r="EQ1129" s="15"/>
      <c r="ER1129" s="15"/>
      <c r="ES1129" s="15"/>
      <c r="ET1129" s="15"/>
      <c r="EU1129" s="15"/>
      <c r="EV1129" s="15"/>
      <c r="EW1129" s="15"/>
      <c r="EX1129" s="15"/>
      <c r="EY1129" s="15"/>
      <c r="EZ1129" s="15"/>
      <c r="FA1129" s="15"/>
      <c r="FB1129" s="15"/>
      <c r="FC1129" s="16" t="s">
        <v>197</v>
      </c>
      <c r="FD1129" s="17" t="s">
        <v>198</v>
      </c>
      <c r="FE1129" s="18">
        <v>45720.32983796296</v>
      </c>
      <c r="FF1129" s="19"/>
      <c r="FG1129" s="19"/>
      <c r="FH1129" s="21" t="s">
        <v>197</v>
      </c>
      <c r="FI1129" s="17" t="s">
        <v>214</v>
      </c>
      <c r="FJ1129" s="18">
        <v>45720.32983796296</v>
      </c>
      <c r="FK1129" s="14" t="s">
        <v>21726</v>
      </c>
      <c r="FL1129" s="14" t="s">
        <v>21727</v>
      </c>
      <c r="FM1129" s="14" t="s">
        <v>21728</v>
      </c>
      <c r="FN1129" s="19"/>
      <c r="FO1129" s="19"/>
      <c r="FP1129" s="19" t="str">
        <f t="shared" si="1"/>
        <v>Base de Dados_Images/XV65093.Imagem do Equipamento-.230432.jpg</v>
      </c>
      <c r="FQ1129" s="19"/>
      <c r="FR1129" s="19"/>
    </row>
    <row r="1130" ht="15.75" customHeight="1">
      <c r="A1130" s="12" t="s">
        <v>234</v>
      </c>
      <c r="B1130" s="12" t="s">
        <v>11624</v>
      </c>
      <c r="C1130" s="12" t="s">
        <v>219</v>
      </c>
      <c r="D1130" s="22" t="s">
        <v>21729</v>
      </c>
      <c r="E1130" s="22" t="s">
        <v>21730</v>
      </c>
      <c r="F1130" s="13" t="s">
        <v>178</v>
      </c>
      <c r="G1130" s="14" t="s">
        <v>179</v>
      </c>
      <c r="H1130" s="14" t="s">
        <v>21731</v>
      </c>
      <c r="I1130" s="14" t="s">
        <v>179</v>
      </c>
      <c r="J1130" s="14" t="s">
        <v>21732</v>
      </c>
      <c r="K1130" s="14" t="s">
        <v>179</v>
      </c>
      <c r="L1130" s="14" t="s">
        <v>21733</v>
      </c>
      <c r="M1130" s="14" t="s">
        <v>179</v>
      </c>
      <c r="N1130" s="14" t="s">
        <v>21734</v>
      </c>
      <c r="O1130" s="14" t="s">
        <v>179</v>
      </c>
      <c r="P1130" s="14" t="s">
        <v>21735</v>
      </c>
      <c r="Q1130" s="14" t="s">
        <v>179</v>
      </c>
      <c r="R1130" s="14" t="s">
        <v>21736</v>
      </c>
      <c r="S1130" s="14" t="s">
        <v>179</v>
      </c>
      <c r="T1130" s="14" t="s">
        <v>21737</v>
      </c>
      <c r="U1130" s="14" t="s">
        <v>179</v>
      </c>
      <c r="V1130" s="14" t="s">
        <v>21738</v>
      </c>
      <c r="W1130" s="15"/>
      <c r="X1130" s="15"/>
      <c r="Y1130" s="15"/>
      <c r="Z1130" s="15"/>
      <c r="AA1130" s="15"/>
      <c r="AB1130" s="15"/>
      <c r="AC1130" s="15"/>
      <c r="AD1130" s="15"/>
      <c r="AE1130" s="15"/>
      <c r="AF1130" s="15"/>
      <c r="AG1130" s="15"/>
      <c r="AH1130" s="15"/>
      <c r="AI1130" s="15"/>
      <c r="AJ1130" s="15"/>
      <c r="AK1130" s="15"/>
      <c r="AL1130" s="15"/>
      <c r="AM1130" s="15"/>
      <c r="AN1130" s="15"/>
      <c r="AO1130" s="15"/>
      <c r="AP1130" s="15"/>
      <c r="AQ1130" s="15"/>
      <c r="AR1130" s="15"/>
      <c r="AS1130" s="15"/>
      <c r="AT1130" s="15"/>
      <c r="AU1130" s="15"/>
      <c r="AV1130" s="15"/>
      <c r="AW1130" s="15"/>
      <c r="AX1130" s="15"/>
      <c r="AY1130" s="15"/>
      <c r="AZ1130" s="15"/>
      <c r="BA1130" s="15"/>
      <c r="BB1130" s="15"/>
      <c r="BC1130" s="15"/>
      <c r="BD1130" s="15"/>
      <c r="BE1130" s="15"/>
      <c r="BF1130" s="15"/>
      <c r="BG1130" s="15"/>
      <c r="BH1130" s="15"/>
      <c r="BI1130" s="15"/>
      <c r="BJ1130" s="15"/>
      <c r="BK1130" s="15"/>
      <c r="BL1130" s="15"/>
      <c r="BM1130" s="15"/>
      <c r="BN1130" s="15"/>
      <c r="BO1130" s="16" t="s">
        <v>197</v>
      </c>
      <c r="BP1130" s="17" t="s">
        <v>228</v>
      </c>
      <c r="BQ1130" s="23"/>
      <c r="BR1130" s="17" t="s">
        <v>198</v>
      </c>
      <c r="BS1130" s="18">
        <v>45686.835023148145</v>
      </c>
      <c r="BT1130" s="17" t="s">
        <v>198</v>
      </c>
      <c r="BU1130" s="18">
        <v>45686.835023148145</v>
      </c>
      <c r="BV1130" s="13" t="s">
        <v>199</v>
      </c>
      <c r="BW1130" s="14" t="s">
        <v>179</v>
      </c>
      <c r="BX1130" s="14" t="s">
        <v>21739</v>
      </c>
      <c r="BY1130" s="14" t="s">
        <v>179</v>
      </c>
      <c r="BZ1130" s="14" t="s">
        <v>21740</v>
      </c>
      <c r="CA1130" s="15"/>
      <c r="CB1130" s="15"/>
      <c r="CC1130" s="15"/>
      <c r="CD1130" s="15"/>
      <c r="CE1130" s="15"/>
      <c r="CF1130" s="15"/>
      <c r="CG1130" s="19"/>
      <c r="CH1130" s="15"/>
      <c r="CI1130" s="19"/>
      <c r="CJ1130" s="15"/>
      <c r="CK1130" s="19"/>
      <c r="CL1130" s="15"/>
      <c r="CM1130" s="19"/>
      <c r="CN1130" s="15"/>
      <c r="CO1130" s="19"/>
      <c r="CP1130" s="15"/>
      <c r="CQ1130" s="15"/>
      <c r="CR1130" s="15"/>
      <c r="CS1130" s="19"/>
      <c r="CT1130" s="15"/>
      <c r="CU1130" s="19"/>
      <c r="CV1130" s="15"/>
      <c r="CW1130" s="19"/>
      <c r="CX1130" s="15"/>
      <c r="CY1130" s="19"/>
      <c r="CZ1130" s="15"/>
      <c r="DA1130" s="16" t="s">
        <v>197</v>
      </c>
      <c r="DB1130" s="17" t="s">
        <v>228</v>
      </c>
      <c r="DC1130" s="16"/>
      <c r="DD1130" s="17" t="s">
        <v>198</v>
      </c>
      <c r="DE1130" s="18">
        <v>45695.625243055554</v>
      </c>
      <c r="DF1130" s="17" t="s">
        <v>198</v>
      </c>
      <c r="DG1130" s="18">
        <v>45695.625243055554</v>
      </c>
      <c r="DH1130" s="13" t="s">
        <v>205</v>
      </c>
      <c r="DI1130" s="14" t="s">
        <v>179</v>
      </c>
      <c r="DJ1130" s="14" t="s">
        <v>21741</v>
      </c>
      <c r="DK1130" s="15"/>
      <c r="DL1130" s="15"/>
      <c r="DM1130" s="15"/>
      <c r="DN1130" s="15"/>
      <c r="DO1130" s="15"/>
      <c r="DP1130" s="15"/>
      <c r="DQ1130" s="15"/>
      <c r="DR1130" s="15"/>
      <c r="DS1130" s="15"/>
      <c r="DT1130" s="15"/>
      <c r="DU1130" s="15"/>
      <c r="DV1130" s="15"/>
      <c r="DW1130" s="15"/>
      <c r="DX1130" s="15"/>
      <c r="DY1130" s="15"/>
      <c r="DZ1130" s="15"/>
      <c r="EA1130" s="15"/>
      <c r="EB1130" s="15"/>
      <c r="EC1130" s="16" t="s">
        <v>197</v>
      </c>
      <c r="ED1130" s="17" t="s">
        <v>198</v>
      </c>
      <c r="EE1130" s="18">
        <v>45719.523206018515</v>
      </c>
      <c r="EF1130" s="13" t="s">
        <v>209</v>
      </c>
      <c r="EG1130" s="14" t="s">
        <v>179</v>
      </c>
      <c r="EH1130" s="14" t="s">
        <v>21742</v>
      </c>
      <c r="EI1130" s="15"/>
      <c r="EJ1130" s="15"/>
      <c r="EK1130" s="15"/>
      <c r="EL1130" s="15"/>
      <c r="EM1130" s="15"/>
      <c r="EN1130" s="15"/>
      <c r="EO1130" s="15"/>
      <c r="EP1130" s="15"/>
      <c r="EQ1130" s="15"/>
      <c r="ER1130" s="15"/>
      <c r="ES1130" s="15"/>
      <c r="ET1130" s="15"/>
      <c r="EU1130" s="15"/>
      <c r="EV1130" s="15"/>
      <c r="EW1130" s="15"/>
      <c r="EX1130" s="15"/>
      <c r="EY1130" s="15"/>
      <c r="EZ1130" s="15"/>
      <c r="FA1130" s="15"/>
      <c r="FB1130" s="15"/>
      <c r="FC1130" s="16" t="s">
        <v>197</v>
      </c>
      <c r="FD1130" s="17" t="s">
        <v>198</v>
      </c>
      <c r="FE1130" s="18">
        <v>45720.32989583333</v>
      </c>
      <c r="FF1130" s="19"/>
      <c r="FG1130" s="19"/>
      <c r="FH1130" s="21" t="s">
        <v>197</v>
      </c>
      <c r="FI1130" s="17" t="s">
        <v>214</v>
      </c>
      <c r="FJ1130" s="18">
        <v>45720.32989583333</v>
      </c>
      <c r="FK1130" s="14" t="s">
        <v>21742</v>
      </c>
      <c r="FL1130" s="14" t="s">
        <v>21743</v>
      </c>
      <c r="FM1130" s="14" t="s">
        <v>21744</v>
      </c>
      <c r="FN1130" s="19"/>
      <c r="FO1130" s="19"/>
      <c r="FP1130" s="19" t="str">
        <f t="shared" si="1"/>
        <v>Base de Dados_Images/XV65094.Imagem do Equipamento-.230313.jpg</v>
      </c>
      <c r="FQ1130" s="19"/>
      <c r="FR1130" s="19"/>
    </row>
    <row r="1131" ht="15.75" customHeight="1">
      <c r="A1131" s="12" t="s">
        <v>234</v>
      </c>
      <c r="B1131" s="12" t="s">
        <v>11624</v>
      </c>
      <c r="C1131" s="12" t="s">
        <v>219</v>
      </c>
      <c r="D1131" s="22" t="s">
        <v>21745</v>
      </c>
      <c r="E1131" s="22" t="s">
        <v>21746</v>
      </c>
      <c r="F1131" s="13" t="s">
        <v>178</v>
      </c>
      <c r="G1131" s="14" t="s">
        <v>179</v>
      </c>
      <c r="H1131" s="14" t="s">
        <v>21747</v>
      </c>
      <c r="I1131" s="14" t="s">
        <v>179</v>
      </c>
      <c r="J1131" s="14" t="s">
        <v>21748</v>
      </c>
      <c r="K1131" s="14" t="s">
        <v>179</v>
      </c>
      <c r="L1131" s="14" t="s">
        <v>21749</v>
      </c>
      <c r="M1131" s="14" t="s">
        <v>179</v>
      </c>
      <c r="N1131" s="14" t="s">
        <v>21749</v>
      </c>
      <c r="O1131" s="14" t="s">
        <v>179</v>
      </c>
      <c r="P1131" s="14" t="s">
        <v>21750</v>
      </c>
      <c r="Q1131" s="14" t="s">
        <v>179</v>
      </c>
      <c r="R1131" s="14" t="s">
        <v>21751</v>
      </c>
      <c r="S1131" s="14" t="s">
        <v>179</v>
      </c>
      <c r="T1131" s="14" t="s">
        <v>21752</v>
      </c>
      <c r="U1131" s="14" t="s">
        <v>179</v>
      </c>
      <c r="V1131" s="14" t="s">
        <v>21752</v>
      </c>
      <c r="W1131" s="15"/>
      <c r="X1131" s="15"/>
      <c r="Y1131" s="15"/>
      <c r="Z1131" s="15"/>
      <c r="AA1131" s="15"/>
      <c r="AB1131" s="15"/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"/>
      <c r="AN1131" s="15"/>
      <c r="AO1131" s="15"/>
      <c r="AP1131" s="15"/>
      <c r="AQ1131" s="15"/>
      <c r="AR1131" s="15"/>
      <c r="AS1131" s="15"/>
      <c r="AT1131" s="15"/>
      <c r="AU1131" s="15"/>
      <c r="AV1131" s="15"/>
      <c r="AW1131" s="15"/>
      <c r="AX1131" s="15"/>
      <c r="AY1131" s="15"/>
      <c r="AZ1131" s="15"/>
      <c r="BA1131" s="15"/>
      <c r="BB1131" s="15"/>
      <c r="BC1131" s="15"/>
      <c r="BD1131" s="15"/>
      <c r="BE1131" s="15"/>
      <c r="BF1131" s="15"/>
      <c r="BG1131" s="15"/>
      <c r="BH1131" s="15"/>
      <c r="BI1131" s="15"/>
      <c r="BJ1131" s="15"/>
      <c r="BK1131" s="15"/>
      <c r="BL1131" s="15"/>
      <c r="BM1131" s="15"/>
      <c r="BN1131" s="15"/>
      <c r="BO1131" s="16" t="s">
        <v>197</v>
      </c>
      <c r="BP1131" s="17" t="s">
        <v>228</v>
      </c>
      <c r="BQ1131" s="23"/>
      <c r="BR1131" s="17" t="s">
        <v>198</v>
      </c>
      <c r="BS1131" s="18">
        <v>45686.83429398148</v>
      </c>
      <c r="BT1131" s="17" t="s">
        <v>198</v>
      </c>
      <c r="BU1131" s="18">
        <v>45686.83429398148</v>
      </c>
      <c r="BV1131" s="13" t="s">
        <v>199</v>
      </c>
      <c r="BW1131" s="14" t="s">
        <v>179</v>
      </c>
      <c r="BX1131" s="14" t="s">
        <v>21753</v>
      </c>
      <c r="BY1131" s="14" t="s">
        <v>179</v>
      </c>
      <c r="BZ1131" s="14" t="s">
        <v>21753</v>
      </c>
      <c r="CA1131" s="15"/>
      <c r="CB1131" s="15"/>
      <c r="CC1131" s="15"/>
      <c r="CD1131" s="15"/>
      <c r="CE1131" s="15"/>
      <c r="CF1131" s="15"/>
      <c r="CG1131" s="19"/>
      <c r="CH1131" s="15"/>
      <c r="CI1131" s="19"/>
      <c r="CJ1131" s="15"/>
      <c r="CK1131" s="19"/>
      <c r="CL1131" s="15"/>
      <c r="CM1131" s="19"/>
      <c r="CN1131" s="15"/>
      <c r="CO1131" s="19"/>
      <c r="CP1131" s="15"/>
      <c r="CQ1131" s="15"/>
      <c r="CR1131" s="15"/>
      <c r="CS1131" s="19"/>
      <c r="CT1131" s="15"/>
      <c r="CU1131" s="19"/>
      <c r="CV1131" s="15"/>
      <c r="CW1131" s="19"/>
      <c r="CX1131" s="15"/>
      <c r="CY1131" s="19"/>
      <c r="CZ1131" s="15"/>
      <c r="DA1131" s="16" t="s">
        <v>197</v>
      </c>
      <c r="DB1131" s="17" t="s">
        <v>228</v>
      </c>
      <c r="DC1131" s="16"/>
      <c r="DD1131" s="17" t="s">
        <v>198</v>
      </c>
      <c r="DE1131" s="18">
        <v>45719.38292824074</v>
      </c>
      <c r="DF1131" s="17" t="s">
        <v>198</v>
      </c>
      <c r="DG1131" s="18">
        <v>45719.38292824074</v>
      </c>
      <c r="DH1131" s="13" t="s">
        <v>205</v>
      </c>
      <c r="DI1131" s="14" t="s">
        <v>179</v>
      </c>
      <c r="DJ1131" s="14" t="s">
        <v>21754</v>
      </c>
      <c r="DK1131" s="15"/>
      <c r="DL1131" s="15"/>
      <c r="DM1131" s="15"/>
      <c r="DN1131" s="15"/>
      <c r="DO1131" s="15"/>
      <c r="DP1131" s="15"/>
      <c r="DQ1131" s="15"/>
      <c r="DR1131" s="15"/>
      <c r="DS1131" s="15"/>
      <c r="DT1131" s="15"/>
      <c r="DU1131" s="15"/>
      <c r="DV1131" s="15"/>
      <c r="DW1131" s="15"/>
      <c r="DX1131" s="15"/>
      <c r="DY1131" s="15"/>
      <c r="DZ1131" s="15"/>
      <c r="EA1131" s="15"/>
      <c r="EB1131" s="15"/>
      <c r="EC1131" s="16" t="s">
        <v>197</v>
      </c>
      <c r="ED1131" s="17" t="s">
        <v>198</v>
      </c>
      <c r="EE1131" s="18">
        <v>45719.38297453704</v>
      </c>
      <c r="EF1131" s="13" t="s">
        <v>209</v>
      </c>
      <c r="EG1131" s="14" t="s">
        <v>179</v>
      </c>
      <c r="EH1131" s="14" t="s">
        <v>21755</v>
      </c>
      <c r="EI1131" s="15"/>
      <c r="EJ1131" s="15"/>
      <c r="EK1131" s="15"/>
      <c r="EL1131" s="15"/>
      <c r="EM1131" s="15"/>
      <c r="EN1131" s="15"/>
      <c r="EO1131" s="15"/>
      <c r="EP1131" s="15"/>
      <c r="EQ1131" s="15"/>
      <c r="ER1131" s="15"/>
      <c r="ES1131" s="15"/>
      <c r="ET1131" s="15"/>
      <c r="EU1131" s="15"/>
      <c r="EV1131" s="15"/>
      <c r="EW1131" s="15"/>
      <c r="EX1131" s="15"/>
      <c r="EY1131" s="15"/>
      <c r="EZ1131" s="15"/>
      <c r="FA1131" s="15"/>
      <c r="FB1131" s="15"/>
      <c r="FC1131" s="16" t="s">
        <v>197</v>
      </c>
      <c r="FD1131" s="17" t="s">
        <v>198</v>
      </c>
      <c r="FE1131" s="18">
        <v>45720.32994212963</v>
      </c>
      <c r="FF1131" s="19"/>
      <c r="FG1131" s="19"/>
      <c r="FH1131" s="21" t="s">
        <v>197</v>
      </c>
      <c r="FI1131" s="17" t="s">
        <v>214</v>
      </c>
      <c r="FJ1131" s="18">
        <v>45720.32994212963</v>
      </c>
      <c r="FK1131" s="14" t="s">
        <v>21755</v>
      </c>
      <c r="FL1131" s="14" t="s">
        <v>21756</v>
      </c>
      <c r="FM1131" s="14" t="s">
        <v>21757</v>
      </c>
      <c r="FN1131" s="19"/>
      <c r="FO1131" s="19"/>
      <c r="FP1131" s="19" t="str">
        <f t="shared" si="1"/>
        <v>Base de Dados_Images/XV65095.Imagem do Equipamento-.230127.jpg</v>
      </c>
      <c r="FQ1131" s="19"/>
      <c r="FR1131" s="19"/>
    </row>
    <row r="1132" ht="15.75" customHeight="1">
      <c r="A1132" s="12" t="s">
        <v>234</v>
      </c>
      <c r="B1132" s="12" t="s">
        <v>11624</v>
      </c>
      <c r="C1132" s="12" t="s">
        <v>219</v>
      </c>
      <c r="D1132" s="22" t="s">
        <v>21758</v>
      </c>
      <c r="E1132" s="22" t="s">
        <v>21759</v>
      </c>
      <c r="F1132" s="13" t="s">
        <v>178</v>
      </c>
      <c r="G1132" s="14" t="s">
        <v>179</v>
      </c>
      <c r="H1132" s="14" t="s">
        <v>21760</v>
      </c>
      <c r="I1132" s="14" t="s">
        <v>179</v>
      </c>
      <c r="J1132" s="14" t="s">
        <v>21761</v>
      </c>
      <c r="K1132" s="14" t="s">
        <v>179</v>
      </c>
      <c r="L1132" s="14" t="s">
        <v>21762</v>
      </c>
      <c r="M1132" s="14" t="s">
        <v>179</v>
      </c>
      <c r="N1132" s="14" t="s">
        <v>21763</v>
      </c>
      <c r="O1132" s="14" t="s">
        <v>179</v>
      </c>
      <c r="P1132" s="14" t="s">
        <v>21764</v>
      </c>
      <c r="Q1132" s="14" t="s">
        <v>179</v>
      </c>
      <c r="R1132" s="14" t="s">
        <v>21765</v>
      </c>
      <c r="S1132" s="14" t="s">
        <v>179</v>
      </c>
      <c r="T1132" s="14" t="s">
        <v>21766</v>
      </c>
      <c r="U1132" s="14" t="s">
        <v>179</v>
      </c>
      <c r="V1132" s="14" t="s">
        <v>21767</v>
      </c>
      <c r="W1132" s="15"/>
      <c r="X1132" s="15"/>
      <c r="Y1132" s="15"/>
      <c r="Z1132" s="15"/>
      <c r="AA1132" s="15"/>
      <c r="AB1132" s="15"/>
      <c r="AC1132" s="15"/>
      <c r="AD1132" s="15"/>
      <c r="AE1132" s="15"/>
      <c r="AF1132" s="15"/>
      <c r="AG1132" s="15"/>
      <c r="AH1132" s="15"/>
      <c r="AI1132" s="15"/>
      <c r="AJ1132" s="15"/>
      <c r="AK1132" s="15"/>
      <c r="AL1132" s="15"/>
      <c r="AM1132" s="15"/>
      <c r="AN1132" s="15"/>
      <c r="AO1132" s="15"/>
      <c r="AP1132" s="15"/>
      <c r="AQ1132" s="15"/>
      <c r="AR1132" s="15"/>
      <c r="AS1132" s="15"/>
      <c r="AT1132" s="15"/>
      <c r="AU1132" s="15"/>
      <c r="AV1132" s="15"/>
      <c r="AW1132" s="15"/>
      <c r="AX1132" s="15"/>
      <c r="AY1132" s="15"/>
      <c r="AZ1132" s="15"/>
      <c r="BA1132" s="15"/>
      <c r="BB1132" s="15"/>
      <c r="BC1132" s="15"/>
      <c r="BD1132" s="15"/>
      <c r="BE1132" s="15"/>
      <c r="BF1132" s="15"/>
      <c r="BG1132" s="15"/>
      <c r="BH1132" s="15"/>
      <c r="BI1132" s="15"/>
      <c r="BJ1132" s="15"/>
      <c r="BK1132" s="15"/>
      <c r="BL1132" s="15"/>
      <c r="BM1132" s="15"/>
      <c r="BN1132" s="15"/>
      <c r="BO1132" s="16" t="s">
        <v>197</v>
      </c>
      <c r="BP1132" s="17" t="s">
        <v>228</v>
      </c>
      <c r="BQ1132" s="23"/>
      <c r="BR1132" s="17" t="s">
        <v>198</v>
      </c>
      <c r="BS1132" s="18">
        <v>45674.633518518516</v>
      </c>
      <c r="BT1132" s="17" t="s">
        <v>198</v>
      </c>
      <c r="BU1132" s="18">
        <v>45674.633518518516</v>
      </c>
      <c r="BV1132" s="13" t="s">
        <v>199</v>
      </c>
      <c r="BW1132" s="14" t="s">
        <v>179</v>
      </c>
      <c r="BX1132" s="14" t="s">
        <v>21768</v>
      </c>
      <c r="BY1132" s="14" t="s">
        <v>179</v>
      </c>
      <c r="BZ1132" s="14" t="s">
        <v>21769</v>
      </c>
      <c r="CA1132" s="15"/>
      <c r="CB1132" s="15"/>
      <c r="CC1132" s="15"/>
      <c r="CD1132" s="15"/>
      <c r="CE1132" s="15"/>
      <c r="CF1132" s="15"/>
      <c r="CG1132" s="19"/>
      <c r="CH1132" s="15"/>
      <c r="CI1132" s="19"/>
      <c r="CJ1132" s="15"/>
      <c r="CK1132" s="19"/>
      <c r="CL1132" s="15"/>
      <c r="CM1132" s="19"/>
      <c r="CN1132" s="15"/>
      <c r="CO1132" s="19"/>
      <c r="CP1132" s="15"/>
      <c r="CQ1132" s="15"/>
      <c r="CR1132" s="15"/>
      <c r="CS1132" s="19"/>
      <c r="CT1132" s="15"/>
      <c r="CU1132" s="19"/>
      <c r="CV1132" s="15"/>
      <c r="CW1132" s="19"/>
      <c r="CX1132" s="15"/>
      <c r="CY1132" s="19"/>
      <c r="CZ1132" s="15"/>
      <c r="DA1132" s="16" t="s">
        <v>197</v>
      </c>
      <c r="DB1132" s="17" t="s">
        <v>228</v>
      </c>
      <c r="DC1132" s="16"/>
      <c r="DD1132" s="17" t="s">
        <v>198</v>
      </c>
      <c r="DE1132" s="18">
        <v>45719.384050925924</v>
      </c>
      <c r="DF1132" s="17" t="s">
        <v>198</v>
      </c>
      <c r="DG1132" s="18">
        <v>45719.384050925924</v>
      </c>
      <c r="DH1132" s="13" t="s">
        <v>205</v>
      </c>
      <c r="DI1132" s="14" t="s">
        <v>179</v>
      </c>
      <c r="DJ1132" s="14" t="s">
        <v>21770</v>
      </c>
      <c r="DK1132" s="15"/>
      <c r="DL1132" s="15"/>
      <c r="DM1132" s="15"/>
      <c r="DN1132" s="15"/>
      <c r="DO1132" s="15"/>
      <c r="DP1132" s="15"/>
      <c r="DQ1132" s="15"/>
      <c r="DR1132" s="15"/>
      <c r="DS1132" s="15"/>
      <c r="DT1132" s="15"/>
      <c r="DU1132" s="15"/>
      <c r="DV1132" s="15"/>
      <c r="DW1132" s="15"/>
      <c r="DX1132" s="15"/>
      <c r="DY1132" s="15"/>
      <c r="DZ1132" s="15"/>
      <c r="EA1132" s="15"/>
      <c r="EB1132" s="15"/>
      <c r="EC1132" s="16" t="s">
        <v>197</v>
      </c>
      <c r="ED1132" s="17" t="s">
        <v>198</v>
      </c>
      <c r="EE1132" s="18">
        <v>45719.384097222224</v>
      </c>
      <c r="EF1132" s="13" t="s">
        <v>209</v>
      </c>
      <c r="EG1132" s="14" t="s">
        <v>179</v>
      </c>
      <c r="EH1132" s="14" t="s">
        <v>21771</v>
      </c>
      <c r="EI1132" s="15"/>
      <c r="EJ1132" s="15"/>
      <c r="EK1132" s="15"/>
      <c r="EL1132" s="15"/>
      <c r="EM1132" s="15"/>
      <c r="EN1132" s="15"/>
      <c r="EO1132" s="15"/>
      <c r="EP1132" s="15"/>
      <c r="EQ1132" s="15"/>
      <c r="ER1132" s="15"/>
      <c r="ES1132" s="15"/>
      <c r="ET1132" s="15"/>
      <c r="EU1132" s="15"/>
      <c r="EV1132" s="15"/>
      <c r="EW1132" s="15"/>
      <c r="EX1132" s="15"/>
      <c r="EY1132" s="15"/>
      <c r="EZ1132" s="15"/>
      <c r="FA1132" s="15"/>
      <c r="FB1132" s="15"/>
      <c r="FC1132" s="16" t="s">
        <v>197</v>
      </c>
      <c r="FD1132" s="17" t="s">
        <v>198</v>
      </c>
      <c r="FE1132" s="18">
        <v>45720.33</v>
      </c>
      <c r="FF1132" s="19"/>
      <c r="FG1132" s="19"/>
      <c r="FH1132" s="21" t="s">
        <v>197</v>
      </c>
      <c r="FI1132" s="17" t="s">
        <v>214</v>
      </c>
      <c r="FJ1132" s="18">
        <v>45720.33</v>
      </c>
      <c r="FK1132" s="14" t="s">
        <v>21771</v>
      </c>
      <c r="FL1132" s="14" t="s">
        <v>21772</v>
      </c>
      <c r="FM1132" s="14" t="s">
        <v>21773</v>
      </c>
      <c r="FN1132" s="19"/>
      <c r="FO1132" s="19"/>
      <c r="FP1132" s="19" t="str">
        <f t="shared" si="1"/>
        <v>Base de Dados_Images/XV65096.Imagem do Equipamento-.164143.jpg</v>
      </c>
      <c r="FQ1132" s="19"/>
      <c r="FR1132" s="19"/>
    </row>
    <row r="1133" ht="15.75" customHeight="1">
      <c r="A1133" s="12" t="s">
        <v>234</v>
      </c>
      <c r="B1133" s="12" t="s">
        <v>11640</v>
      </c>
      <c r="C1133" s="12" t="s">
        <v>219</v>
      </c>
      <c r="D1133" s="22" t="s">
        <v>21774</v>
      </c>
      <c r="E1133" s="22" t="s">
        <v>21775</v>
      </c>
      <c r="F1133" s="13" t="s">
        <v>178</v>
      </c>
      <c r="G1133" s="14" t="s">
        <v>179</v>
      </c>
      <c r="H1133" s="14" t="s">
        <v>21776</v>
      </c>
      <c r="I1133" s="14" t="s">
        <v>179</v>
      </c>
      <c r="J1133" s="14" t="s">
        <v>21777</v>
      </c>
      <c r="K1133" s="14" t="s">
        <v>179</v>
      </c>
      <c r="L1133" s="14" t="s">
        <v>21776</v>
      </c>
      <c r="M1133" s="14" t="s">
        <v>179</v>
      </c>
      <c r="N1133" s="14" t="s">
        <v>21778</v>
      </c>
      <c r="O1133" s="14" t="s">
        <v>179</v>
      </c>
      <c r="P1133" s="14" t="s">
        <v>21779</v>
      </c>
      <c r="Q1133" s="14" t="s">
        <v>179</v>
      </c>
      <c r="R1133" s="14" t="s">
        <v>21779</v>
      </c>
      <c r="S1133" s="14" t="s">
        <v>179</v>
      </c>
      <c r="T1133" s="14" t="s">
        <v>21780</v>
      </c>
      <c r="U1133" s="14" t="s">
        <v>179</v>
      </c>
      <c r="V1133" s="14" t="s">
        <v>21780</v>
      </c>
      <c r="W1133" s="15"/>
      <c r="X1133" s="15"/>
      <c r="Y1133" s="15"/>
      <c r="Z1133" s="15"/>
      <c r="AA1133" s="15"/>
      <c r="AB1133" s="15"/>
      <c r="AC1133" s="15"/>
      <c r="AD1133" s="15"/>
      <c r="AE1133" s="15"/>
      <c r="AF1133" s="15"/>
      <c r="AG1133" s="15"/>
      <c r="AH1133" s="15"/>
      <c r="AI1133" s="15"/>
      <c r="AJ1133" s="15"/>
      <c r="AK1133" s="15"/>
      <c r="AL1133" s="15"/>
      <c r="AM1133" s="15"/>
      <c r="AN1133" s="15"/>
      <c r="AO1133" s="15"/>
      <c r="AP1133" s="15"/>
      <c r="AQ1133" s="15"/>
      <c r="AR1133" s="15"/>
      <c r="AS1133" s="15"/>
      <c r="AT1133" s="15"/>
      <c r="AU1133" s="15"/>
      <c r="AV1133" s="15"/>
      <c r="AW1133" s="15"/>
      <c r="AX1133" s="15"/>
      <c r="AY1133" s="15"/>
      <c r="AZ1133" s="15"/>
      <c r="BA1133" s="15"/>
      <c r="BB1133" s="15"/>
      <c r="BC1133" s="15"/>
      <c r="BD1133" s="15"/>
      <c r="BE1133" s="15"/>
      <c r="BF1133" s="15"/>
      <c r="BG1133" s="15"/>
      <c r="BH1133" s="15"/>
      <c r="BI1133" s="15"/>
      <c r="BJ1133" s="15"/>
      <c r="BK1133" s="15"/>
      <c r="BL1133" s="15"/>
      <c r="BM1133" s="15"/>
      <c r="BN1133" s="15"/>
      <c r="BO1133" s="16" t="s">
        <v>197</v>
      </c>
      <c r="BP1133" s="17" t="s">
        <v>228</v>
      </c>
      <c r="BQ1133" s="23"/>
      <c r="BR1133" s="17" t="s">
        <v>198</v>
      </c>
      <c r="BS1133" s="18">
        <v>45686.835335648146</v>
      </c>
      <c r="BT1133" s="17" t="s">
        <v>198</v>
      </c>
      <c r="BU1133" s="18">
        <v>45686.835335648146</v>
      </c>
      <c r="BV1133" s="13" t="s">
        <v>199</v>
      </c>
      <c r="BW1133" s="14" t="s">
        <v>179</v>
      </c>
      <c r="BX1133" s="14" t="s">
        <v>21781</v>
      </c>
      <c r="BY1133" s="14" t="s">
        <v>179</v>
      </c>
      <c r="BZ1133" s="14" t="s">
        <v>21781</v>
      </c>
      <c r="CA1133" s="15"/>
      <c r="CB1133" s="15"/>
      <c r="CC1133" s="15"/>
      <c r="CD1133" s="15"/>
      <c r="CE1133" s="15"/>
      <c r="CF1133" s="15"/>
      <c r="CG1133" s="19"/>
      <c r="CH1133" s="15"/>
      <c r="CI1133" s="19"/>
      <c r="CJ1133" s="15"/>
      <c r="CK1133" s="19"/>
      <c r="CL1133" s="15"/>
      <c r="CM1133" s="19"/>
      <c r="CN1133" s="15"/>
      <c r="CO1133" s="19"/>
      <c r="CP1133" s="15"/>
      <c r="CQ1133" s="15"/>
      <c r="CR1133" s="15"/>
      <c r="CS1133" s="19"/>
      <c r="CT1133" s="15"/>
      <c r="CU1133" s="19"/>
      <c r="CV1133" s="15"/>
      <c r="CW1133" s="19"/>
      <c r="CX1133" s="15"/>
      <c r="CY1133" s="19"/>
      <c r="CZ1133" s="15"/>
      <c r="DA1133" s="16" t="s">
        <v>197</v>
      </c>
      <c r="DB1133" s="17" t="s">
        <v>228</v>
      </c>
      <c r="DC1133" s="16"/>
      <c r="DD1133" s="17" t="s">
        <v>198</v>
      </c>
      <c r="DE1133" s="18">
        <v>45719.38355324074</v>
      </c>
      <c r="DF1133" s="17" t="s">
        <v>198</v>
      </c>
      <c r="DG1133" s="18">
        <v>45719.38355324074</v>
      </c>
      <c r="DH1133" s="13" t="s">
        <v>205</v>
      </c>
      <c r="DI1133" s="14" t="s">
        <v>179</v>
      </c>
      <c r="DJ1133" s="14" t="s">
        <v>21782</v>
      </c>
      <c r="DK1133" s="15"/>
      <c r="DL1133" s="15"/>
      <c r="DM1133" s="15"/>
      <c r="DN1133" s="15"/>
      <c r="DO1133" s="15"/>
      <c r="DP1133" s="15"/>
      <c r="DQ1133" s="15"/>
      <c r="DR1133" s="15"/>
      <c r="DS1133" s="15"/>
      <c r="DT1133" s="15"/>
      <c r="DU1133" s="15"/>
      <c r="DV1133" s="15"/>
      <c r="DW1133" s="15"/>
      <c r="DX1133" s="15"/>
      <c r="DY1133" s="15"/>
      <c r="DZ1133" s="15"/>
      <c r="EA1133" s="15"/>
      <c r="EB1133" s="15"/>
      <c r="EC1133" s="16" t="s">
        <v>197</v>
      </c>
      <c r="ED1133" s="17" t="s">
        <v>198</v>
      </c>
      <c r="EE1133" s="18">
        <v>45719.38359953704</v>
      </c>
      <c r="EF1133" s="13" t="s">
        <v>209</v>
      </c>
      <c r="EG1133" s="14" t="s">
        <v>179</v>
      </c>
      <c r="EH1133" s="14" t="s">
        <v>21783</v>
      </c>
      <c r="EI1133" s="15"/>
      <c r="EJ1133" s="15"/>
      <c r="EK1133" s="15"/>
      <c r="EL1133" s="15"/>
      <c r="EM1133" s="15"/>
      <c r="EN1133" s="15"/>
      <c r="EO1133" s="15"/>
      <c r="EP1133" s="15"/>
      <c r="EQ1133" s="15"/>
      <c r="ER1133" s="15"/>
      <c r="ES1133" s="15"/>
      <c r="ET1133" s="15"/>
      <c r="EU1133" s="15"/>
      <c r="EV1133" s="15"/>
      <c r="EW1133" s="15"/>
      <c r="EX1133" s="15"/>
      <c r="EY1133" s="15"/>
      <c r="EZ1133" s="15"/>
      <c r="FA1133" s="15"/>
      <c r="FB1133" s="15"/>
      <c r="FC1133" s="16" t="s">
        <v>197</v>
      </c>
      <c r="FD1133" s="17" t="s">
        <v>198</v>
      </c>
      <c r="FE1133" s="18">
        <v>45722.388240740744</v>
      </c>
      <c r="FF1133" s="19"/>
      <c r="FG1133" s="19"/>
      <c r="FH1133" s="21" t="s">
        <v>197</v>
      </c>
      <c r="FI1133" s="17" t="s">
        <v>214</v>
      </c>
      <c r="FJ1133" s="18">
        <v>45722.388240740744</v>
      </c>
      <c r="FK1133" s="14" t="s">
        <v>21783</v>
      </c>
      <c r="FL1133" s="14" t="s">
        <v>21784</v>
      </c>
      <c r="FM1133" s="14" t="s">
        <v>21785</v>
      </c>
      <c r="FN1133" s="19"/>
      <c r="FO1133" s="19"/>
      <c r="FP1133" s="19" t="str">
        <f t="shared" si="1"/>
        <v>Base de Dados_Images/XV65097.Imagem do Equipamento-.230351.jpg</v>
      </c>
      <c r="FQ1133" s="19"/>
      <c r="FR1133" s="19"/>
    </row>
    <row r="1134" ht="15.75" customHeight="1">
      <c r="A1134" s="12" t="s">
        <v>234</v>
      </c>
      <c r="B1134" s="12" t="s">
        <v>11640</v>
      </c>
      <c r="C1134" s="12" t="s">
        <v>219</v>
      </c>
      <c r="D1134" s="22" t="s">
        <v>21786</v>
      </c>
      <c r="E1134" s="22" t="s">
        <v>21787</v>
      </c>
      <c r="F1134" s="13" t="s">
        <v>178</v>
      </c>
      <c r="G1134" s="14" t="s">
        <v>179</v>
      </c>
      <c r="H1134" s="14" t="s">
        <v>21788</v>
      </c>
      <c r="I1134" s="14" t="s">
        <v>179</v>
      </c>
      <c r="J1134" s="14" t="s">
        <v>21789</v>
      </c>
      <c r="K1134" s="14" t="s">
        <v>179</v>
      </c>
      <c r="L1134" s="14" t="s">
        <v>21789</v>
      </c>
      <c r="M1134" s="14" t="s">
        <v>179</v>
      </c>
      <c r="N1134" s="14" t="s">
        <v>21790</v>
      </c>
      <c r="O1134" s="14" t="s">
        <v>179</v>
      </c>
      <c r="P1134" s="14" t="s">
        <v>21791</v>
      </c>
      <c r="Q1134" s="14" t="s">
        <v>179</v>
      </c>
      <c r="R1134" s="14" t="s">
        <v>21790</v>
      </c>
      <c r="S1134" s="14" t="s">
        <v>179</v>
      </c>
      <c r="T1134" s="14" t="s">
        <v>21792</v>
      </c>
      <c r="U1134" s="14" t="s">
        <v>179</v>
      </c>
      <c r="V1134" s="14" t="s">
        <v>21793</v>
      </c>
      <c r="W1134" s="15"/>
      <c r="X1134" s="15"/>
      <c r="Y1134" s="15"/>
      <c r="Z1134" s="15"/>
      <c r="AA1134" s="15"/>
      <c r="AB1134" s="15"/>
      <c r="AC1134" s="15"/>
      <c r="AD1134" s="15"/>
      <c r="AE1134" s="15"/>
      <c r="AF1134" s="15"/>
      <c r="AG1134" s="15"/>
      <c r="AH1134" s="15"/>
      <c r="AI1134" s="15"/>
      <c r="AJ1134" s="15"/>
      <c r="AK1134" s="15"/>
      <c r="AL1134" s="15"/>
      <c r="AM1134" s="15"/>
      <c r="AN1134" s="15"/>
      <c r="AO1134" s="15"/>
      <c r="AP1134" s="15"/>
      <c r="AQ1134" s="15"/>
      <c r="AR1134" s="15"/>
      <c r="AS1134" s="15"/>
      <c r="AT1134" s="15"/>
      <c r="AU1134" s="15"/>
      <c r="AV1134" s="15"/>
      <c r="AW1134" s="15"/>
      <c r="AX1134" s="15"/>
      <c r="AY1134" s="15"/>
      <c r="AZ1134" s="15"/>
      <c r="BA1134" s="15"/>
      <c r="BB1134" s="15"/>
      <c r="BC1134" s="15"/>
      <c r="BD1134" s="15"/>
      <c r="BE1134" s="15"/>
      <c r="BF1134" s="15"/>
      <c r="BG1134" s="15"/>
      <c r="BH1134" s="15"/>
      <c r="BI1134" s="15"/>
      <c r="BJ1134" s="15"/>
      <c r="BK1134" s="15"/>
      <c r="BL1134" s="15"/>
      <c r="BM1134" s="15"/>
      <c r="BN1134" s="15"/>
      <c r="BO1134" s="16" t="s">
        <v>197</v>
      </c>
      <c r="BP1134" s="17" t="s">
        <v>228</v>
      </c>
      <c r="BQ1134" s="23"/>
      <c r="BR1134" s="17" t="s">
        <v>198</v>
      </c>
      <c r="BS1134" s="18">
        <v>45686.83883101852</v>
      </c>
      <c r="BT1134" s="17" t="s">
        <v>198</v>
      </c>
      <c r="BU1134" s="18">
        <v>45686.83883101852</v>
      </c>
      <c r="BV1134" s="13" t="s">
        <v>199</v>
      </c>
      <c r="BW1134" s="14" t="s">
        <v>179</v>
      </c>
      <c r="BX1134" s="14" t="s">
        <v>21794</v>
      </c>
      <c r="BY1134" s="14" t="s">
        <v>179</v>
      </c>
      <c r="BZ1134" s="14" t="s">
        <v>21795</v>
      </c>
      <c r="CA1134" s="15"/>
      <c r="CB1134" s="15"/>
      <c r="CC1134" s="15"/>
      <c r="CD1134" s="15"/>
      <c r="CE1134" s="15"/>
      <c r="CF1134" s="15"/>
      <c r="CG1134" s="19"/>
      <c r="CH1134" s="15"/>
      <c r="CI1134" s="19"/>
      <c r="CJ1134" s="15"/>
      <c r="CK1134" s="19"/>
      <c r="CL1134" s="15"/>
      <c r="CM1134" s="19"/>
      <c r="CN1134" s="15"/>
      <c r="CO1134" s="19"/>
      <c r="CP1134" s="15"/>
      <c r="CQ1134" s="15"/>
      <c r="CR1134" s="15"/>
      <c r="CS1134" s="19"/>
      <c r="CT1134" s="15"/>
      <c r="CU1134" s="19"/>
      <c r="CV1134" s="15"/>
      <c r="CW1134" s="19"/>
      <c r="CX1134" s="15"/>
      <c r="CY1134" s="19"/>
      <c r="CZ1134" s="15"/>
      <c r="DA1134" s="16" t="s">
        <v>197</v>
      </c>
      <c r="DB1134" s="17" t="s">
        <v>228</v>
      </c>
      <c r="DC1134" s="16"/>
      <c r="DD1134" s="17" t="s">
        <v>198</v>
      </c>
      <c r="DE1134" s="18">
        <v>45719.38366898148</v>
      </c>
      <c r="DF1134" s="17" t="s">
        <v>198</v>
      </c>
      <c r="DG1134" s="18">
        <v>45719.38366898148</v>
      </c>
      <c r="DH1134" s="13" t="s">
        <v>205</v>
      </c>
      <c r="DI1134" s="14" t="s">
        <v>179</v>
      </c>
      <c r="DJ1134" s="14" t="s">
        <v>21796</v>
      </c>
      <c r="DK1134" s="15"/>
      <c r="DL1134" s="15"/>
      <c r="DM1134" s="15"/>
      <c r="DN1134" s="15"/>
      <c r="DO1134" s="15"/>
      <c r="DP1134" s="15"/>
      <c r="DQ1134" s="15"/>
      <c r="DR1134" s="15"/>
      <c r="DS1134" s="15"/>
      <c r="DT1134" s="15"/>
      <c r="DU1134" s="15"/>
      <c r="DV1134" s="15"/>
      <c r="DW1134" s="15"/>
      <c r="DX1134" s="15"/>
      <c r="DY1134" s="15"/>
      <c r="DZ1134" s="15"/>
      <c r="EA1134" s="15"/>
      <c r="EB1134" s="15"/>
      <c r="EC1134" s="16" t="s">
        <v>197</v>
      </c>
      <c r="ED1134" s="17" t="s">
        <v>198</v>
      </c>
      <c r="EE1134" s="18">
        <v>45719.38371527778</v>
      </c>
      <c r="EF1134" s="13" t="s">
        <v>209</v>
      </c>
      <c r="EG1134" s="14" t="s">
        <v>179</v>
      </c>
      <c r="EH1134" s="14" t="s">
        <v>21797</v>
      </c>
      <c r="EI1134" s="15"/>
      <c r="EJ1134" s="15"/>
      <c r="EK1134" s="15"/>
      <c r="EL1134" s="15"/>
      <c r="EM1134" s="15"/>
      <c r="EN1134" s="15"/>
      <c r="EO1134" s="15"/>
      <c r="EP1134" s="15"/>
      <c r="EQ1134" s="15"/>
      <c r="ER1134" s="15"/>
      <c r="ES1134" s="15"/>
      <c r="ET1134" s="15"/>
      <c r="EU1134" s="15"/>
      <c r="EV1134" s="15"/>
      <c r="EW1134" s="15"/>
      <c r="EX1134" s="15"/>
      <c r="EY1134" s="15"/>
      <c r="EZ1134" s="15"/>
      <c r="FA1134" s="15"/>
      <c r="FB1134" s="15"/>
      <c r="FC1134" s="16" t="s">
        <v>197</v>
      </c>
      <c r="FD1134" s="17" t="s">
        <v>198</v>
      </c>
      <c r="FE1134" s="18">
        <v>45722.38831018518</v>
      </c>
      <c r="FF1134" s="19"/>
      <c r="FG1134" s="19"/>
      <c r="FH1134" s="21" t="s">
        <v>197</v>
      </c>
      <c r="FI1134" s="17" t="s">
        <v>214</v>
      </c>
      <c r="FJ1134" s="18">
        <v>45722.38831018518</v>
      </c>
      <c r="FK1134" s="14" t="s">
        <v>21797</v>
      </c>
      <c r="FL1134" s="14" t="s">
        <v>21798</v>
      </c>
      <c r="FM1134" s="14" t="s">
        <v>21799</v>
      </c>
      <c r="FN1134" s="19"/>
      <c r="FO1134" s="19"/>
      <c r="FP1134" s="19" t="str">
        <f t="shared" si="1"/>
        <v>Base de Dados_Images/XV65098.Imagem do Equipamento-.230831.jpg</v>
      </c>
      <c r="FQ1134" s="19"/>
      <c r="FR1134" s="19"/>
    </row>
    <row r="1135" ht="15.75" customHeight="1">
      <c r="A1135" s="12" t="s">
        <v>234</v>
      </c>
      <c r="B1135" s="12" t="s">
        <v>11640</v>
      </c>
      <c r="C1135" s="12" t="s">
        <v>219</v>
      </c>
      <c r="D1135" s="22" t="s">
        <v>21800</v>
      </c>
      <c r="E1135" s="22" t="s">
        <v>21801</v>
      </c>
      <c r="F1135" s="13" t="s">
        <v>178</v>
      </c>
      <c r="G1135" s="14" t="s">
        <v>179</v>
      </c>
      <c r="H1135" s="14" t="s">
        <v>21802</v>
      </c>
      <c r="I1135" s="14" t="s">
        <v>179</v>
      </c>
      <c r="J1135" s="14" t="s">
        <v>21803</v>
      </c>
      <c r="K1135" s="14" t="s">
        <v>179</v>
      </c>
      <c r="L1135" s="14" t="s">
        <v>21803</v>
      </c>
      <c r="M1135" s="14" t="s">
        <v>179</v>
      </c>
      <c r="N1135" s="14" t="s">
        <v>21804</v>
      </c>
      <c r="O1135" s="14" t="s">
        <v>179</v>
      </c>
      <c r="P1135" s="14" t="s">
        <v>21805</v>
      </c>
      <c r="Q1135" s="14" t="s">
        <v>179</v>
      </c>
      <c r="R1135" s="14" t="s">
        <v>21806</v>
      </c>
      <c r="S1135" s="14" t="s">
        <v>179</v>
      </c>
      <c r="T1135" s="14" t="s">
        <v>21807</v>
      </c>
      <c r="U1135" s="14" t="s">
        <v>179</v>
      </c>
      <c r="V1135" s="14" t="s">
        <v>21807</v>
      </c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15"/>
      <c r="AG1135" s="15"/>
      <c r="AH1135" s="15"/>
      <c r="AI1135" s="15"/>
      <c r="AJ1135" s="15"/>
      <c r="AK1135" s="15"/>
      <c r="AL1135" s="15"/>
      <c r="AM1135" s="15"/>
      <c r="AN1135" s="15"/>
      <c r="AO1135" s="15"/>
      <c r="AP1135" s="15"/>
      <c r="AQ1135" s="15"/>
      <c r="AR1135" s="15"/>
      <c r="AS1135" s="15"/>
      <c r="AT1135" s="15"/>
      <c r="AU1135" s="15"/>
      <c r="AV1135" s="15"/>
      <c r="AW1135" s="15"/>
      <c r="AX1135" s="15"/>
      <c r="AY1135" s="15"/>
      <c r="AZ1135" s="15"/>
      <c r="BA1135" s="15"/>
      <c r="BB1135" s="15"/>
      <c r="BC1135" s="15"/>
      <c r="BD1135" s="15"/>
      <c r="BE1135" s="15"/>
      <c r="BF1135" s="15"/>
      <c r="BG1135" s="15"/>
      <c r="BH1135" s="15"/>
      <c r="BI1135" s="15"/>
      <c r="BJ1135" s="15"/>
      <c r="BK1135" s="15"/>
      <c r="BL1135" s="15"/>
      <c r="BM1135" s="15"/>
      <c r="BN1135" s="15"/>
      <c r="BO1135" s="16" t="s">
        <v>197</v>
      </c>
      <c r="BP1135" s="17" t="s">
        <v>228</v>
      </c>
      <c r="BQ1135" s="23"/>
      <c r="BR1135" s="17" t="s">
        <v>198</v>
      </c>
      <c r="BS1135" s="18">
        <v>45686.839583333334</v>
      </c>
      <c r="BT1135" s="17" t="s">
        <v>198</v>
      </c>
      <c r="BU1135" s="18">
        <v>45686.839583333334</v>
      </c>
      <c r="BV1135" s="13" t="s">
        <v>199</v>
      </c>
      <c r="BW1135" s="14" t="s">
        <v>179</v>
      </c>
      <c r="BX1135" s="14" t="s">
        <v>21808</v>
      </c>
      <c r="BY1135" s="14" t="s">
        <v>179</v>
      </c>
      <c r="BZ1135" s="14" t="s">
        <v>21809</v>
      </c>
      <c r="CA1135" s="15"/>
      <c r="CB1135" s="15"/>
      <c r="CC1135" s="15"/>
      <c r="CD1135" s="15"/>
      <c r="CE1135" s="15"/>
      <c r="CF1135" s="15"/>
      <c r="CG1135" s="19"/>
      <c r="CH1135" s="15"/>
      <c r="CI1135" s="19"/>
      <c r="CJ1135" s="15"/>
      <c r="CK1135" s="19"/>
      <c r="CL1135" s="15"/>
      <c r="CM1135" s="19"/>
      <c r="CN1135" s="15"/>
      <c r="CO1135" s="19"/>
      <c r="CP1135" s="15"/>
      <c r="CQ1135" s="15"/>
      <c r="CR1135" s="15"/>
      <c r="CS1135" s="19"/>
      <c r="CT1135" s="15"/>
      <c r="CU1135" s="19"/>
      <c r="CV1135" s="15"/>
      <c r="CW1135" s="19"/>
      <c r="CX1135" s="15"/>
      <c r="CY1135" s="19"/>
      <c r="CZ1135" s="15"/>
      <c r="DA1135" s="16" t="s">
        <v>197</v>
      </c>
      <c r="DB1135" s="17" t="s">
        <v>228</v>
      </c>
      <c r="DC1135" s="16"/>
      <c r="DD1135" s="17" t="s">
        <v>198</v>
      </c>
      <c r="DE1135" s="18">
        <v>45719.38377314815</v>
      </c>
      <c r="DF1135" s="17" t="s">
        <v>198</v>
      </c>
      <c r="DG1135" s="18">
        <v>45719.38377314815</v>
      </c>
      <c r="DH1135" s="13" t="s">
        <v>205</v>
      </c>
      <c r="DI1135" s="14" t="s">
        <v>179</v>
      </c>
      <c r="DJ1135" s="14" t="s">
        <v>21810</v>
      </c>
      <c r="DK1135" s="15"/>
      <c r="DL1135" s="15"/>
      <c r="DM1135" s="15"/>
      <c r="DN1135" s="15"/>
      <c r="DO1135" s="15"/>
      <c r="DP1135" s="15"/>
      <c r="DQ1135" s="15"/>
      <c r="DR1135" s="15"/>
      <c r="DS1135" s="15"/>
      <c r="DT1135" s="15"/>
      <c r="DU1135" s="15"/>
      <c r="DV1135" s="15"/>
      <c r="DW1135" s="15"/>
      <c r="DX1135" s="15"/>
      <c r="DY1135" s="15"/>
      <c r="DZ1135" s="15"/>
      <c r="EA1135" s="15"/>
      <c r="EB1135" s="15"/>
      <c r="EC1135" s="16" t="s">
        <v>197</v>
      </c>
      <c r="ED1135" s="17" t="s">
        <v>198</v>
      </c>
      <c r="EE1135" s="18">
        <v>45719.38380787037</v>
      </c>
      <c r="EF1135" s="13" t="s">
        <v>209</v>
      </c>
      <c r="EG1135" s="14" t="s">
        <v>179</v>
      </c>
      <c r="EH1135" s="14" t="s">
        <v>21811</v>
      </c>
      <c r="EI1135" s="15"/>
      <c r="EJ1135" s="15"/>
      <c r="EK1135" s="15"/>
      <c r="EL1135" s="15"/>
      <c r="EM1135" s="15"/>
      <c r="EN1135" s="15"/>
      <c r="EO1135" s="15"/>
      <c r="EP1135" s="15"/>
      <c r="EQ1135" s="15"/>
      <c r="ER1135" s="15"/>
      <c r="ES1135" s="15"/>
      <c r="ET1135" s="15"/>
      <c r="EU1135" s="15"/>
      <c r="EV1135" s="15"/>
      <c r="EW1135" s="15"/>
      <c r="EX1135" s="15"/>
      <c r="EY1135" s="15"/>
      <c r="EZ1135" s="15"/>
      <c r="FA1135" s="15"/>
      <c r="FB1135" s="15"/>
      <c r="FC1135" s="16" t="s">
        <v>197</v>
      </c>
      <c r="FD1135" s="17" t="s">
        <v>198</v>
      </c>
      <c r="FE1135" s="18">
        <v>45722.38836805556</v>
      </c>
      <c r="FF1135" s="19"/>
      <c r="FG1135" s="19"/>
      <c r="FH1135" s="21" t="s">
        <v>197</v>
      </c>
      <c r="FI1135" s="17" t="s">
        <v>214</v>
      </c>
      <c r="FJ1135" s="18">
        <v>45722.38836805556</v>
      </c>
      <c r="FK1135" s="14" t="s">
        <v>21811</v>
      </c>
      <c r="FL1135" s="14" t="s">
        <v>21812</v>
      </c>
      <c r="FM1135" s="14" t="s">
        <v>21813</v>
      </c>
      <c r="FN1135" s="19"/>
      <c r="FO1135" s="19"/>
      <c r="FP1135" s="19" t="str">
        <f t="shared" si="1"/>
        <v>Base de Dados_Images/XV65099.Imagem do Equipamento-.230907.jpg</v>
      </c>
      <c r="FQ1135" s="19"/>
      <c r="FR1135" s="19"/>
    </row>
    <row r="1136" ht="15.75" customHeight="1">
      <c r="A1136" s="12" t="s">
        <v>234</v>
      </c>
      <c r="B1136" s="12" t="s">
        <v>11640</v>
      </c>
      <c r="C1136" s="12" t="s">
        <v>219</v>
      </c>
      <c r="D1136" s="22" t="s">
        <v>21814</v>
      </c>
      <c r="E1136" s="22" t="s">
        <v>21815</v>
      </c>
      <c r="F1136" s="13" t="s">
        <v>178</v>
      </c>
      <c r="G1136" s="14" t="s">
        <v>179</v>
      </c>
      <c r="H1136" s="14" t="s">
        <v>21816</v>
      </c>
      <c r="I1136" s="14" t="s">
        <v>179</v>
      </c>
      <c r="J1136" s="14" t="s">
        <v>21817</v>
      </c>
      <c r="K1136" s="14" t="s">
        <v>179</v>
      </c>
      <c r="L1136" s="14" t="s">
        <v>21818</v>
      </c>
      <c r="M1136" s="14" t="s">
        <v>179</v>
      </c>
      <c r="N1136" s="14" t="s">
        <v>21819</v>
      </c>
      <c r="O1136" s="14" t="s">
        <v>179</v>
      </c>
      <c r="P1136" s="14" t="s">
        <v>21820</v>
      </c>
      <c r="Q1136" s="14" t="s">
        <v>179</v>
      </c>
      <c r="R1136" s="14" t="s">
        <v>21821</v>
      </c>
      <c r="S1136" s="14" t="s">
        <v>179</v>
      </c>
      <c r="T1136" s="14" t="s">
        <v>21822</v>
      </c>
      <c r="U1136" s="14" t="s">
        <v>179</v>
      </c>
      <c r="V1136" s="14" t="s">
        <v>21822</v>
      </c>
      <c r="W1136" s="15"/>
      <c r="X1136" s="15"/>
      <c r="Y1136" s="15"/>
      <c r="Z1136" s="15"/>
      <c r="AA1136" s="15"/>
      <c r="AB1136" s="15"/>
      <c r="AC1136" s="15"/>
      <c r="AD1136" s="15"/>
      <c r="AE1136" s="15"/>
      <c r="AF1136" s="15"/>
      <c r="AG1136" s="15"/>
      <c r="AH1136" s="15"/>
      <c r="AI1136" s="15"/>
      <c r="AJ1136" s="15"/>
      <c r="AK1136" s="15"/>
      <c r="AL1136" s="15"/>
      <c r="AM1136" s="15"/>
      <c r="AN1136" s="15"/>
      <c r="AO1136" s="15"/>
      <c r="AP1136" s="15"/>
      <c r="AQ1136" s="15"/>
      <c r="AR1136" s="15"/>
      <c r="AS1136" s="15"/>
      <c r="AT1136" s="15"/>
      <c r="AU1136" s="15"/>
      <c r="AV1136" s="15"/>
      <c r="AW1136" s="15"/>
      <c r="AX1136" s="15"/>
      <c r="AY1136" s="15"/>
      <c r="AZ1136" s="15"/>
      <c r="BA1136" s="15"/>
      <c r="BB1136" s="15"/>
      <c r="BC1136" s="15"/>
      <c r="BD1136" s="15"/>
      <c r="BE1136" s="15"/>
      <c r="BF1136" s="15"/>
      <c r="BG1136" s="15"/>
      <c r="BH1136" s="15"/>
      <c r="BI1136" s="15"/>
      <c r="BJ1136" s="15"/>
      <c r="BK1136" s="15"/>
      <c r="BL1136" s="15"/>
      <c r="BM1136" s="15"/>
      <c r="BN1136" s="15"/>
      <c r="BO1136" s="16" t="s">
        <v>197</v>
      </c>
      <c r="BP1136" s="17" t="s">
        <v>228</v>
      </c>
      <c r="BQ1136" s="23"/>
      <c r="BR1136" s="17" t="s">
        <v>198</v>
      </c>
      <c r="BS1136" s="18">
        <v>45686.84034722222</v>
      </c>
      <c r="BT1136" s="17" t="s">
        <v>198</v>
      </c>
      <c r="BU1136" s="18">
        <v>45686.84034722222</v>
      </c>
      <c r="BV1136" s="13" t="s">
        <v>199</v>
      </c>
      <c r="BW1136" s="14" t="s">
        <v>179</v>
      </c>
      <c r="BX1136" s="14" t="s">
        <v>21823</v>
      </c>
      <c r="BY1136" s="14" t="s">
        <v>179</v>
      </c>
      <c r="BZ1136" s="14" t="s">
        <v>21823</v>
      </c>
      <c r="CA1136" s="15"/>
      <c r="CB1136" s="15"/>
      <c r="CC1136" s="15"/>
      <c r="CD1136" s="15"/>
      <c r="CE1136" s="15"/>
      <c r="CF1136" s="15"/>
      <c r="CG1136" s="19"/>
      <c r="CH1136" s="15"/>
      <c r="CI1136" s="19"/>
      <c r="CJ1136" s="15"/>
      <c r="CK1136" s="19"/>
      <c r="CL1136" s="15"/>
      <c r="CM1136" s="19"/>
      <c r="CN1136" s="15"/>
      <c r="CO1136" s="19"/>
      <c r="CP1136" s="15"/>
      <c r="CQ1136" s="15"/>
      <c r="CR1136" s="15"/>
      <c r="CS1136" s="19"/>
      <c r="CT1136" s="15"/>
      <c r="CU1136" s="19"/>
      <c r="CV1136" s="15"/>
      <c r="CW1136" s="19"/>
      <c r="CX1136" s="15"/>
      <c r="CY1136" s="19"/>
      <c r="CZ1136" s="15"/>
      <c r="DA1136" s="16" t="s">
        <v>197</v>
      </c>
      <c r="DB1136" s="17" t="s">
        <v>228</v>
      </c>
      <c r="DC1136" s="16"/>
      <c r="DD1136" s="17" t="s">
        <v>198</v>
      </c>
      <c r="DE1136" s="18">
        <v>45719.383877314816</v>
      </c>
      <c r="DF1136" s="17" t="s">
        <v>198</v>
      </c>
      <c r="DG1136" s="18">
        <v>45719.383877314816</v>
      </c>
      <c r="DH1136" s="13" t="s">
        <v>205</v>
      </c>
      <c r="DI1136" s="14" t="s">
        <v>179</v>
      </c>
      <c r="DJ1136" s="14" t="s">
        <v>21824</v>
      </c>
      <c r="DK1136" s="15"/>
      <c r="DL1136" s="15"/>
      <c r="DM1136" s="15"/>
      <c r="DN1136" s="15"/>
      <c r="DO1136" s="15"/>
      <c r="DP1136" s="15"/>
      <c r="DQ1136" s="15"/>
      <c r="DR1136" s="15"/>
      <c r="DS1136" s="15"/>
      <c r="DT1136" s="15"/>
      <c r="DU1136" s="15"/>
      <c r="DV1136" s="15"/>
      <c r="DW1136" s="15"/>
      <c r="DX1136" s="15"/>
      <c r="DY1136" s="15"/>
      <c r="DZ1136" s="15"/>
      <c r="EA1136" s="15"/>
      <c r="EB1136" s="15"/>
      <c r="EC1136" s="16" t="s">
        <v>197</v>
      </c>
      <c r="ED1136" s="17" t="s">
        <v>198</v>
      </c>
      <c r="EE1136" s="18">
        <v>45719.38392361111</v>
      </c>
      <c r="EF1136" s="13" t="s">
        <v>209</v>
      </c>
      <c r="EG1136" s="14" t="s">
        <v>179</v>
      </c>
      <c r="EH1136" s="14" t="s">
        <v>21825</v>
      </c>
      <c r="EI1136" s="15"/>
      <c r="EJ1136" s="15"/>
      <c r="EK1136" s="15"/>
      <c r="EL1136" s="15"/>
      <c r="EM1136" s="15"/>
      <c r="EN1136" s="15"/>
      <c r="EO1136" s="15"/>
      <c r="EP1136" s="15"/>
      <c r="EQ1136" s="15"/>
      <c r="ER1136" s="15"/>
      <c r="ES1136" s="15"/>
      <c r="ET1136" s="15"/>
      <c r="EU1136" s="15"/>
      <c r="EV1136" s="15"/>
      <c r="EW1136" s="15"/>
      <c r="EX1136" s="15"/>
      <c r="EY1136" s="15"/>
      <c r="EZ1136" s="15"/>
      <c r="FA1136" s="15"/>
      <c r="FB1136" s="15"/>
      <c r="FC1136" s="16" t="s">
        <v>197</v>
      </c>
      <c r="FD1136" s="17" t="s">
        <v>198</v>
      </c>
      <c r="FE1136" s="18">
        <v>45722.3884375</v>
      </c>
      <c r="FF1136" s="19"/>
      <c r="FG1136" s="19"/>
      <c r="FH1136" s="21" t="s">
        <v>197</v>
      </c>
      <c r="FI1136" s="17" t="s">
        <v>214</v>
      </c>
      <c r="FJ1136" s="18">
        <v>45722.3884375</v>
      </c>
      <c r="FK1136" s="14" t="s">
        <v>21825</v>
      </c>
      <c r="FL1136" s="14" t="s">
        <v>21826</v>
      </c>
      <c r="FM1136" s="14" t="s">
        <v>21827</v>
      </c>
      <c r="FN1136" s="19"/>
      <c r="FO1136" s="19"/>
      <c r="FP1136" s="19" t="str">
        <f t="shared" si="1"/>
        <v>Base de Dados_Images/XV65100.Imagem do Equipamento-.230956.jpg</v>
      </c>
      <c r="FQ1136" s="19"/>
      <c r="FR1136" s="19"/>
    </row>
    <row r="1137" ht="15.75" customHeight="1">
      <c r="A1137" s="12" t="s">
        <v>234</v>
      </c>
      <c r="B1137" s="12" t="s">
        <v>235</v>
      </c>
      <c r="C1137" s="12" t="s">
        <v>219</v>
      </c>
      <c r="D1137" s="22" t="s">
        <v>21828</v>
      </c>
      <c r="E1137" s="22" t="s">
        <v>21829</v>
      </c>
      <c r="F1137" s="13" t="s">
        <v>178</v>
      </c>
      <c r="G1137" s="14" t="s">
        <v>179</v>
      </c>
      <c r="H1137" s="14" t="s">
        <v>21830</v>
      </c>
      <c r="I1137" s="14" t="s">
        <v>179</v>
      </c>
      <c r="J1137" s="14" t="s">
        <v>21831</v>
      </c>
      <c r="K1137" s="14" t="s">
        <v>179</v>
      </c>
      <c r="L1137" s="14" t="s">
        <v>21832</v>
      </c>
      <c r="M1137" s="14" t="s">
        <v>179</v>
      </c>
      <c r="N1137" s="14" t="s">
        <v>21832</v>
      </c>
      <c r="O1137" s="14" t="s">
        <v>179</v>
      </c>
      <c r="P1137" s="14" t="s">
        <v>21833</v>
      </c>
      <c r="Q1137" s="14" t="s">
        <v>179</v>
      </c>
      <c r="R1137" s="14" t="s">
        <v>21834</v>
      </c>
      <c r="S1137" s="14" t="s">
        <v>179</v>
      </c>
      <c r="T1137" s="14" t="s">
        <v>21834</v>
      </c>
      <c r="U1137" s="14" t="s">
        <v>179</v>
      </c>
      <c r="V1137" s="14" t="s">
        <v>21835</v>
      </c>
      <c r="W1137" s="15"/>
      <c r="X1137" s="15"/>
      <c r="Y1137" s="15"/>
      <c r="Z1137" s="15"/>
      <c r="AA1137" s="15"/>
      <c r="AB1137" s="15"/>
      <c r="AC1137" s="15"/>
      <c r="AD1137" s="15"/>
      <c r="AE1137" s="15"/>
      <c r="AF1137" s="15"/>
      <c r="AG1137" s="15"/>
      <c r="AH1137" s="15"/>
      <c r="AI1137" s="15"/>
      <c r="AJ1137" s="15"/>
      <c r="AK1137" s="15"/>
      <c r="AL1137" s="15"/>
      <c r="AM1137" s="15"/>
      <c r="AN1137" s="15"/>
      <c r="AO1137" s="15"/>
      <c r="AP1137" s="15"/>
      <c r="AQ1137" s="15"/>
      <c r="AR1137" s="15"/>
      <c r="AS1137" s="15"/>
      <c r="AT1137" s="15"/>
      <c r="AU1137" s="15"/>
      <c r="AV1137" s="15"/>
      <c r="AW1137" s="15"/>
      <c r="AX1137" s="15"/>
      <c r="AY1137" s="15"/>
      <c r="AZ1137" s="15"/>
      <c r="BA1137" s="15"/>
      <c r="BB1137" s="15"/>
      <c r="BC1137" s="15"/>
      <c r="BD1137" s="15"/>
      <c r="BE1137" s="15"/>
      <c r="BF1137" s="15"/>
      <c r="BG1137" s="15"/>
      <c r="BH1137" s="15"/>
      <c r="BI1137" s="15"/>
      <c r="BJ1137" s="15"/>
      <c r="BK1137" s="15"/>
      <c r="BL1137" s="15"/>
      <c r="BM1137" s="15"/>
      <c r="BN1137" s="15"/>
      <c r="BO1137" s="16" t="s">
        <v>197</v>
      </c>
      <c r="BP1137" s="17" t="s">
        <v>228</v>
      </c>
      <c r="BQ1137" s="23"/>
      <c r="BR1137" s="17" t="s">
        <v>198</v>
      </c>
      <c r="BS1137" s="18">
        <v>45687.36680555555</v>
      </c>
      <c r="BT1137" s="17" t="s">
        <v>198</v>
      </c>
      <c r="BU1137" s="18">
        <v>45687.36680555555</v>
      </c>
      <c r="BV1137" s="13" t="s">
        <v>199</v>
      </c>
      <c r="BW1137" s="14" t="s">
        <v>179</v>
      </c>
      <c r="BX1137" s="14" t="s">
        <v>21836</v>
      </c>
      <c r="BY1137" s="14" t="s">
        <v>179</v>
      </c>
      <c r="BZ1137" s="14" t="s">
        <v>21837</v>
      </c>
      <c r="CA1137" s="15"/>
      <c r="CB1137" s="15"/>
      <c r="CC1137" s="15"/>
      <c r="CD1137" s="15"/>
      <c r="CE1137" s="15"/>
      <c r="CF1137" s="15"/>
      <c r="CG1137" s="19"/>
      <c r="CH1137" s="15"/>
      <c r="CI1137" s="19"/>
      <c r="CJ1137" s="15"/>
      <c r="CK1137" s="19"/>
      <c r="CL1137" s="15"/>
      <c r="CM1137" s="19"/>
      <c r="CN1137" s="15"/>
      <c r="CO1137" s="19"/>
      <c r="CP1137" s="15"/>
      <c r="CQ1137" s="15"/>
      <c r="CR1137" s="15"/>
      <c r="CS1137" s="19"/>
      <c r="CT1137" s="15"/>
      <c r="CU1137" s="19"/>
      <c r="CV1137" s="15"/>
      <c r="CW1137" s="19"/>
      <c r="CX1137" s="15"/>
      <c r="CY1137" s="19"/>
      <c r="CZ1137" s="15"/>
      <c r="DA1137" s="16" t="s">
        <v>197</v>
      </c>
      <c r="DB1137" s="17" t="s">
        <v>228</v>
      </c>
      <c r="DC1137" s="16"/>
      <c r="DD1137" s="17" t="s">
        <v>198</v>
      </c>
      <c r="DE1137" s="18">
        <v>45720.61696759259</v>
      </c>
      <c r="DF1137" s="17" t="s">
        <v>198</v>
      </c>
      <c r="DG1137" s="18">
        <v>45720.61696759259</v>
      </c>
      <c r="DH1137" s="13" t="s">
        <v>205</v>
      </c>
      <c r="DI1137" s="14" t="s">
        <v>179</v>
      </c>
      <c r="DJ1137" s="14" t="s">
        <v>21838</v>
      </c>
      <c r="DK1137" s="15"/>
      <c r="DL1137" s="15"/>
      <c r="DM1137" s="15"/>
      <c r="DN1137" s="15"/>
      <c r="DO1137" s="15"/>
      <c r="DP1137" s="15"/>
      <c r="DQ1137" s="15"/>
      <c r="DR1137" s="15"/>
      <c r="DS1137" s="15"/>
      <c r="DT1137" s="15"/>
      <c r="DU1137" s="15"/>
      <c r="DV1137" s="15"/>
      <c r="DW1137" s="15"/>
      <c r="DX1137" s="15"/>
      <c r="DY1137" s="15"/>
      <c r="DZ1137" s="15"/>
      <c r="EA1137" s="15"/>
      <c r="EB1137" s="15"/>
      <c r="EC1137" s="16" t="s">
        <v>197</v>
      </c>
      <c r="ED1137" s="17" t="s">
        <v>198</v>
      </c>
      <c r="EE1137" s="18">
        <v>45720.61724537037</v>
      </c>
      <c r="EF1137" s="13" t="s">
        <v>209</v>
      </c>
      <c r="EG1137" s="14" t="s">
        <v>179</v>
      </c>
      <c r="EH1137" s="14" t="s">
        <v>21839</v>
      </c>
      <c r="EI1137" s="15"/>
      <c r="EJ1137" s="15"/>
      <c r="EK1137" s="15"/>
      <c r="EL1137" s="15"/>
      <c r="EM1137" s="15"/>
      <c r="EN1137" s="15"/>
      <c r="EO1137" s="15"/>
      <c r="EP1137" s="15"/>
      <c r="EQ1137" s="15"/>
      <c r="ER1137" s="15"/>
      <c r="ES1137" s="15"/>
      <c r="ET1137" s="15"/>
      <c r="EU1137" s="15"/>
      <c r="EV1137" s="15"/>
      <c r="EW1137" s="15"/>
      <c r="EX1137" s="15"/>
      <c r="EY1137" s="15"/>
      <c r="EZ1137" s="15"/>
      <c r="FA1137" s="15"/>
      <c r="FB1137" s="15"/>
      <c r="FC1137" s="16" t="s">
        <v>197</v>
      </c>
      <c r="FD1137" s="17" t="s">
        <v>198</v>
      </c>
      <c r="FE1137" s="18">
        <v>45723.312048611115</v>
      </c>
      <c r="FF1137" s="19"/>
      <c r="FG1137" s="19"/>
      <c r="FH1137" s="21" t="s">
        <v>197</v>
      </c>
      <c r="FI1137" s="17" t="s">
        <v>214</v>
      </c>
      <c r="FJ1137" s="18">
        <v>45723.312048611115</v>
      </c>
      <c r="FK1137" s="14" t="s">
        <v>21839</v>
      </c>
      <c r="FL1137" s="14" t="s">
        <v>21840</v>
      </c>
      <c r="FM1137" s="14" t="s">
        <v>21841</v>
      </c>
      <c r="FN1137" s="19"/>
      <c r="FO1137" s="19"/>
      <c r="FP1137" s="19" t="str">
        <f t="shared" si="1"/>
        <v>Base de Dados_Images/XV65101.Imagem do Equipamento-.125406.jpg</v>
      </c>
      <c r="FQ1137" s="19"/>
      <c r="FR1137" s="19"/>
    </row>
    <row r="1138" ht="15.75" customHeight="1">
      <c r="A1138" s="12" t="s">
        <v>234</v>
      </c>
      <c r="B1138" s="12" t="s">
        <v>249</v>
      </c>
      <c r="C1138" s="12" t="s">
        <v>219</v>
      </c>
      <c r="D1138" s="22" t="s">
        <v>21842</v>
      </c>
      <c r="E1138" s="22" t="s">
        <v>21843</v>
      </c>
      <c r="F1138" s="13" t="s">
        <v>178</v>
      </c>
      <c r="G1138" s="14" t="s">
        <v>179</v>
      </c>
      <c r="H1138" s="14" t="s">
        <v>21844</v>
      </c>
      <c r="I1138" s="14" t="s">
        <v>179</v>
      </c>
      <c r="J1138" s="14" t="s">
        <v>21845</v>
      </c>
      <c r="K1138" s="14" t="s">
        <v>179</v>
      </c>
      <c r="L1138" s="14" t="s">
        <v>21846</v>
      </c>
      <c r="M1138" s="14" t="s">
        <v>179</v>
      </c>
      <c r="N1138" s="14" t="s">
        <v>21847</v>
      </c>
      <c r="O1138" s="14" t="s">
        <v>179</v>
      </c>
      <c r="P1138" s="14" t="s">
        <v>21848</v>
      </c>
      <c r="Q1138" s="14" t="s">
        <v>179</v>
      </c>
      <c r="R1138" s="14" t="s">
        <v>21848</v>
      </c>
      <c r="S1138" s="14" t="s">
        <v>179</v>
      </c>
      <c r="T1138" s="14" t="s">
        <v>21849</v>
      </c>
      <c r="U1138" s="14" t="s">
        <v>179</v>
      </c>
      <c r="V1138" s="14" t="s">
        <v>21849</v>
      </c>
      <c r="W1138" s="15"/>
      <c r="X1138" s="15"/>
      <c r="Y1138" s="15"/>
      <c r="Z1138" s="15"/>
      <c r="AA1138" s="15"/>
      <c r="AB1138" s="15"/>
      <c r="AC1138" s="15"/>
      <c r="AD1138" s="15"/>
      <c r="AE1138" s="15"/>
      <c r="AF1138" s="15"/>
      <c r="AG1138" s="15"/>
      <c r="AH1138" s="15"/>
      <c r="AI1138" s="15"/>
      <c r="AJ1138" s="15"/>
      <c r="AK1138" s="15"/>
      <c r="AL1138" s="15"/>
      <c r="AM1138" s="15"/>
      <c r="AN1138" s="15"/>
      <c r="AO1138" s="15"/>
      <c r="AP1138" s="15"/>
      <c r="AQ1138" s="15"/>
      <c r="AR1138" s="15"/>
      <c r="AS1138" s="15"/>
      <c r="AT1138" s="15"/>
      <c r="AU1138" s="15"/>
      <c r="AV1138" s="15"/>
      <c r="AW1138" s="15"/>
      <c r="AX1138" s="15"/>
      <c r="AY1138" s="15"/>
      <c r="AZ1138" s="15"/>
      <c r="BA1138" s="15"/>
      <c r="BB1138" s="15"/>
      <c r="BC1138" s="15"/>
      <c r="BD1138" s="15"/>
      <c r="BE1138" s="15"/>
      <c r="BF1138" s="15"/>
      <c r="BG1138" s="15"/>
      <c r="BH1138" s="15"/>
      <c r="BI1138" s="15"/>
      <c r="BJ1138" s="15"/>
      <c r="BK1138" s="15"/>
      <c r="BL1138" s="15"/>
      <c r="BM1138" s="15"/>
      <c r="BN1138" s="15"/>
      <c r="BO1138" s="16" t="s">
        <v>197</v>
      </c>
      <c r="BP1138" s="17" t="s">
        <v>228</v>
      </c>
      <c r="BQ1138" s="23"/>
      <c r="BR1138" s="17" t="s">
        <v>198</v>
      </c>
      <c r="BS1138" s="18">
        <v>45687.370844907404</v>
      </c>
      <c r="BT1138" s="17" t="s">
        <v>198</v>
      </c>
      <c r="BU1138" s="18">
        <v>45687.370844907404</v>
      </c>
      <c r="BV1138" s="13" t="s">
        <v>199</v>
      </c>
      <c r="BW1138" s="14" t="s">
        <v>179</v>
      </c>
      <c r="BX1138" s="14" t="s">
        <v>21850</v>
      </c>
      <c r="BY1138" s="14" t="s">
        <v>179</v>
      </c>
      <c r="BZ1138" s="14" t="s">
        <v>21851</v>
      </c>
      <c r="CA1138" s="15"/>
      <c r="CB1138" s="15"/>
      <c r="CC1138" s="15"/>
      <c r="CD1138" s="15"/>
      <c r="CE1138" s="15"/>
      <c r="CF1138" s="15"/>
      <c r="CG1138" s="19"/>
      <c r="CH1138" s="15"/>
      <c r="CI1138" s="19"/>
      <c r="CJ1138" s="15"/>
      <c r="CK1138" s="19"/>
      <c r="CL1138" s="15"/>
      <c r="CM1138" s="19"/>
      <c r="CN1138" s="15"/>
      <c r="CO1138" s="19"/>
      <c r="CP1138" s="15"/>
      <c r="CQ1138" s="15"/>
      <c r="CR1138" s="15"/>
      <c r="CS1138" s="19"/>
      <c r="CT1138" s="15"/>
      <c r="CU1138" s="19"/>
      <c r="CV1138" s="15"/>
      <c r="CW1138" s="19"/>
      <c r="CX1138" s="15"/>
      <c r="CY1138" s="19"/>
      <c r="CZ1138" s="15"/>
      <c r="DA1138" s="16" t="s">
        <v>197</v>
      </c>
      <c r="DB1138" s="17" t="s">
        <v>228</v>
      </c>
      <c r="DC1138" s="16"/>
      <c r="DD1138" s="17" t="s">
        <v>198</v>
      </c>
      <c r="DE1138" s="18">
        <v>45726.47621527778</v>
      </c>
      <c r="DF1138" s="17" t="s">
        <v>198</v>
      </c>
      <c r="DG1138" s="18">
        <v>45726.47621527778</v>
      </c>
      <c r="DH1138" s="13" t="s">
        <v>205</v>
      </c>
      <c r="DI1138" s="14" t="s">
        <v>179</v>
      </c>
      <c r="DJ1138" s="14" t="s">
        <v>21852</v>
      </c>
      <c r="DK1138" s="15"/>
      <c r="DL1138" s="15"/>
      <c r="DM1138" s="15"/>
      <c r="DN1138" s="15"/>
      <c r="DO1138" s="15"/>
      <c r="DP1138" s="15"/>
      <c r="DQ1138" s="15"/>
      <c r="DR1138" s="15"/>
      <c r="DS1138" s="15"/>
      <c r="DT1138" s="15"/>
      <c r="DU1138" s="15"/>
      <c r="DV1138" s="15"/>
      <c r="DW1138" s="15"/>
      <c r="DX1138" s="15"/>
      <c r="DY1138" s="15"/>
      <c r="DZ1138" s="15"/>
      <c r="EA1138" s="15"/>
      <c r="EB1138" s="15"/>
      <c r="EC1138" s="16" t="s">
        <v>197</v>
      </c>
      <c r="ED1138" s="17" t="s">
        <v>198</v>
      </c>
      <c r="EE1138" s="18">
        <v>45726.47625</v>
      </c>
      <c r="EF1138" s="13" t="s">
        <v>209</v>
      </c>
      <c r="EG1138" s="14" t="s">
        <v>179</v>
      </c>
      <c r="EH1138" s="14" t="s">
        <v>21853</v>
      </c>
      <c r="EI1138" s="15"/>
      <c r="EJ1138" s="15"/>
      <c r="EK1138" s="15"/>
      <c r="EL1138" s="15"/>
      <c r="EM1138" s="15"/>
      <c r="EN1138" s="15"/>
      <c r="EO1138" s="15"/>
      <c r="EP1138" s="15"/>
      <c r="EQ1138" s="15"/>
      <c r="ER1138" s="15"/>
      <c r="ES1138" s="15"/>
      <c r="ET1138" s="15"/>
      <c r="EU1138" s="15"/>
      <c r="EV1138" s="15"/>
      <c r="EW1138" s="15"/>
      <c r="EX1138" s="15"/>
      <c r="EY1138" s="15"/>
      <c r="EZ1138" s="15"/>
      <c r="FA1138" s="15"/>
      <c r="FB1138" s="15"/>
      <c r="FC1138" s="16" t="s">
        <v>197</v>
      </c>
      <c r="FD1138" s="17" t="s">
        <v>198</v>
      </c>
      <c r="FE1138" s="18">
        <v>45726.47628472222</v>
      </c>
      <c r="FF1138" s="19"/>
      <c r="FG1138" s="19"/>
      <c r="FH1138" s="21" t="s">
        <v>197</v>
      </c>
      <c r="FI1138" s="17" t="s">
        <v>214</v>
      </c>
      <c r="FJ1138" s="18">
        <v>45726.47628472222</v>
      </c>
      <c r="FK1138" s="14" t="s">
        <v>21853</v>
      </c>
      <c r="FL1138" s="14" t="s">
        <v>21854</v>
      </c>
      <c r="FM1138" s="14" t="s">
        <v>21855</v>
      </c>
      <c r="FN1138" s="19"/>
      <c r="FO1138" s="19"/>
      <c r="FP1138" s="19" t="str">
        <f t="shared" si="1"/>
        <v>Base de Dados_Images/XV65102.Imagem do Equipamento-.125839.jpg</v>
      </c>
      <c r="FQ1138" s="19"/>
      <c r="FR1138" s="19"/>
    </row>
    <row r="1139" ht="15.75" customHeight="1">
      <c r="A1139" s="12" t="s">
        <v>234</v>
      </c>
      <c r="B1139" s="12" t="s">
        <v>263</v>
      </c>
      <c r="C1139" s="12" t="s">
        <v>219</v>
      </c>
      <c r="D1139" s="22" t="s">
        <v>21856</v>
      </c>
      <c r="E1139" s="22" t="s">
        <v>21857</v>
      </c>
      <c r="F1139" s="13" t="s">
        <v>178</v>
      </c>
      <c r="G1139" s="14" t="s">
        <v>179</v>
      </c>
      <c r="H1139" s="14" t="s">
        <v>21858</v>
      </c>
      <c r="I1139" s="14" t="s">
        <v>179</v>
      </c>
      <c r="J1139" s="14" t="s">
        <v>21859</v>
      </c>
      <c r="K1139" s="14" t="s">
        <v>179</v>
      </c>
      <c r="L1139" s="14" t="s">
        <v>21859</v>
      </c>
      <c r="M1139" s="14" t="s">
        <v>179</v>
      </c>
      <c r="N1139" s="14" t="s">
        <v>21860</v>
      </c>
      <c r="O1139" s="14" t="s">
        <v>179</v>
      </c>
      <c r="P1139" s="14" t="s">
        <v>21861</v>
      </c>
      <c r="Q1139" s="14" t="s">
        <v>179</v>
      </c>
      <c r="R1139" s="14" t="s">
        <v>21861</v>
      </c>
      <c r="S1139" s="14" t="s">
        <v>179</v>
      </c>
      <c r="T1139" s="14" t="s">
        <v>21862</v>
      </c>
      <c r="U1139" s="14" t="s">
        <v>179</v>
      </c>
      <c r="V1139" s="14" t="s">
        <v>21862</v>
      </c>
      <c r="W1139" s="15"/>
      <c r="X1139" s="15"/>
      <c r="Y1139" s="15"/>
      <c r="Z1139" s="15"/>
      <c r="AA1139" s="15"/>
      <c r="AB1139" s="15"/>
      <c r="AC1139" s="15"/>
      <c r="AD1139" s="15"/>
      <c r="AE1139" s="15"/>
      <c r="AF1139" s="15"/>
      <c r="AG1139" s="15"/>
      <c r="AH1139" s="15"/>
      <c r="AI1139" s="15"/>
      <c r="AJ1139" s="15"/>
      <c r="AK1139" s="15"/>
      <c r="AL1139" s="15"/>
      <c r="AM1139" s="15"/>
      <c r="AN1139" s="15"/>
      <c r="AO1139" s="15"/>
      <c r="AP1139" s="15"/>
      <c r="AQ1139" s="15"/>
      <c r="AR1139" s="15"/>
      <c r="AS1139" s="15"/>
      <c r="AT1139" s="15"/>
      <c r="AU1139" s="15"/>
      <c r="AV1139" s="15"/>
      <c r="AW1139" s="15"/>
      <c r="AX1139" s="15"/>
      <c r="AY1139" s="15"/>
      <c r="AZ1139" s="15"/>
      <c r="BA1139" s="15"/>
      <c r="BB1139" s="15"/>
      <c r="BC1139" s="15"/>
      <c r="BD1139" s="15"/>
      <c r="BE1139" s="15"/>
      <c r="BF1139" s="15"/>
      <c r="BG1139" s="15"/>
      <c r="BH1139" s="15"/>
      <c r="BI1139" s="15"/>
      <c r="BJ1139" s="15"/>
      <c r="BK1139" s="15"/>
      <c r="BL1139" s="15"/>
      <c r="BM1139" s="15"/>
      <c r="BN1139" s="15"/>
      <c r="BO1139" s="16" t="s">
        <v>197</v>
      </c>
      <c r="BP1139" s="17" t="s">
        <v>228</v>
      </c>
      <c r="BQ1139" s="23"/>
      <c r="BR1139" s="17" t="s">
        <v>198</v>
      </c>
      <c r="BS1139" s="18">
        <v>45687.37155092593</v>
      </c>
      <c r="BT1139" s="17" t="s">
        <v>198</v>
      </c>
      <c r="BU1139" s="18">
        <v>45687.37155092593</v>
      </c>
      <c r="BV1139" s="13" t="s">
        <v>199</v>
      </c>
      <c r="BW1139" s="14" t="s">
        <v>179</v>
      </c>
      <c r="BX1139" s="14" t="s">
        <v>21863</v>
      </c>
      <c r="BY1139" s="14" t="s">
        <v>179</v>
      </c>
      <c r="BZ1139" s="14" t="s">
        <v>21863</v>
      </c>
      <c r="CA1139" s="15"/>
      <c r="CB1139" s="15"/>
      <c r="CC1139" s="15"/>
      <c r="CD1139" s="15"/>
      <c r="CE1139" s="15"/>
      <c r="CF1139" s="15"/>
      <c r="CG1139" s="19"/>
      <c r="CH1139" s="15"/>
      <c r="CI1139" s="19"/>
      <c r="CJ1139" s="15"/>
      <c r="CK1139" s="19"/>
      <c r="CL1139" s="15"/>
      <c r="CM1139" s="19"/>
      <c r="CN1139" s="15"/>
      <c r="CO1139" s="19"/>
      <c r="CP1139" s="15"/>
      <c r="CQ1139" s="15"/>
      <c r="CR1139" s="15"/>
      <c r="CS1139" s="19"/>
      <c r="CT1139" s="15"/>
      <c r="CU1139" s="19"/>
      <c r="CV1139" s="15"/>
      <c r="CW1139" s="19"/>
      <c r="CX1139" s="15"/>
      <c r="CY1139" s="19"/>
      <c r="CZ1139" s="15"/>
      <c r="DA1139" s="16" t="s">
        <v>197</v>
      </c>
      <c r="DB1139" s="17" t="s">
        <v>228</v>
      </c>
      <c r="DC1139" s="16"/>
      <c r="DD1139" s="17" t="s">
        <v>198</v>
      </c>
      <c r="DE1139" s="18">
        <v>45721.607986111114</v>
      </c>
      <c r="DF1139" s="17" t="s">
        <v>198</v>
      </c>
      <c r="DG1139" s="18">
        <v>45721.607986111114</v>
      </c>
      <c r="DH1139" s="13" t="s">
        <v>205</v>
      </c>
      <c r="DI1139" s="14" t="s">
        <v>179</v>
      </c>
      <c r="DJ1139" s="14" t="s">
        <v>21864</v>
      </c>
      <c r="DK1139" s="15"/>
      <c r="DL1139" s="15"/>
      <c r="DM1139" s="15"/>
      <c r="DN1139" s="15"/>
      <c r="DO1139" s="15"/>
      <c r="DP1139" s="15"/>
      <c r="DQ1139" s="15"/>
      <c r="DR1139" s="15"/>
      <c r="DS1139" s="15"/>
      <c r="DT1139" s="15"/>
      <c r="DU1139" s="15"/>
      <c r="DV1139" s="15"/>
      <c r="DW1139" s="15"/>
      <c r="DX1139" s="15"/>
      <c r="DY1139" s="15"/>
      <c r="DZ1139" s="15"/>
      <c r="EA1139" s="15"/>
      <c r="EB1139" s="15"/>
      <c r="EC1139" s="16" t="s">
        <v>197</v>
      </c>
      <c r="ED1139" s="17" t="s">
        <v>198</v>
      </c>
      <c r="EE1139" s="18">
        <v>45721.60804398148</v>
      </c>
      <c r="EF1139" s="13" t="s">
        <v>209</v>
      </c>
      <c r="EG1139" s="14" t="s">
        <v>179</v>
      </c>
      <c r="EH1139" s="14" t="s">
        <v>21865</v>
      </c>
      <c r="EI1139" s="15"/>
      <c r="EJ1139" s="15"/>
      <c r="EK1139" s="15"/>
      <c r="EL1139" s="15"/>
      <c r="EM1139" s="15"/>
      <c r="EN1139" s="15"/>
      <c r="EO1139" s="15"/>
      <c r="EP1139" s="15"/>
      <c r="EQ1139" s="15"/>
      <c r="ER1139" s="15"/>
      <c r="ES1139" s="15"/>
      <c r="ET1139" s="15"/>
      <c r="EU1139" s="15"/>
      <c r="EV1139" s="15"/>
      <c r="EW1139" s="15"/>
      <c r="EX1139" s="15"/>
      <c r="EY1139" s="15"/>
      <c r="EZ1139" s="15"/>
      <c r="FA1139" s="15"/>
      <c r="FB1139" s="15"/>
      <c r="FC1139" s="16" t="s">
        <v>197</v>
      </c>
      <c r="FD1139" s="17" t="s">
        <v>198</v>
      </c>
      <c r="FE1139" s="18">
        <v>45721.608078703706</v>
      </c>
      <c r="FF1139" s="19"/>
      <c r="FG1139" s="19"/>
      <c r="FH1139" s="21" t="s">
        <v>197</v>
      </c>
      <c r="FI1139" s="17" t="s">
        <v>214</v>
      </c>
      <c r="FJ1139" s="18">
        <v>45721.608078703706</v>
      </c>
      <c r="FK1139" s="14" t="s">
        <v>21865</v>
      </c>
      <c r="FL1139" s="14" t="s">
        <v>21866</v>
      </c>
      <c r="FM1139" s="14" t="s">
        <v>21867</v>
      </c>
      <c r="FN1139" s="19"/>
      <c r="FO1139" s="19"/>
      <c r="FP1139" s="19" t="str">
        <f t="shared" si="1"/>
        <v>Base de Dados_Images/XV65103.Imagem do Equipamento-.125953.jpg</v>
      </c>
      <c r="FQ1139" s="19"/>
      <c r="FR1139" s="19"/>
    </row>
    <row r="1140" ht="15.75" customHeight="1">
      <c r="A1140" s="12" t="s">
        <v>234</v>
      </c>
      <c r="B1140" s="12" t="s">
        <v>276</v>
      </c>
      <c r="C1140" s="12" t="s">
        <v>219</v>
      </c>
      <c r="D1140" s="22" t="s">
        <v>21868</v>
      </c>
      <c r="E1140" s="22" t="s">
        <v>21869</v>
      </c>
      <c r="F1140" s="13" t="s">
        <v>178</v>
      </c>
      <c r="G1140" s="14" t="s">
        <v>179</v>
      </c>
      <c r="H1140" s="14" t="s">
        <v>21870</v>
      </c>
      <c r="I1140" s="14" t="s">
        <v>179</v>
      </c>
      <c r="J1140" s="14" t="s">
        <v>21870</v>
      </c>
      <c r="K1140" s="14" t="s">
        <v>179</v>
      </c>
      <c r="L1140" s="14" t="s">
        <v>21871</v>
      </c>
      <c r="M1140" s="14" t="s">
        <v>179</v>
      </c>
      <c r="N1140" s="14" t="s">
        <v>21871</v>
      </c>
      <c r="O1140" s="14" t="s">
        <v>179</v>
      </c>
      <c r="P1140" s="14" t="s">
        <v>21872</v>
      </c>
      <c r="Q1140" s="14" t="s">
        <v>179</v>
      </c>
      <c r="R1140" s="14" t="s">
        <v>21872</v>
      </c>
      <c r="S1140" s="14" t="s">
        <v>179</v>
      </c>
      <c r="T1140" s="14" t="s">
        <v>21873</v>
      </c>
      <c r="U1140" s="14" t="s">
        <v>179</v>
      </c>
      <c r="V1140" s="14" t="s">
        <v>21873</v>
      </c>
      <c r="W1140" s="15"/>
      <c r="X1140" s="15"/>
      <c r="Y1140" s="15"/>
      <c r="Z1140" s="15"/>
      <c r="AA1140" s="15"/>
      <c r="AB1140" s="15"/>
      <c r="AC1140" s="15"/>
      <c r="AD1140" s="15"/>
      <c r="AE1140" s="15"/>
      <c r="AF1140" s="15"/>
      <c r="AG1140" s="15"/>
      <c r="AH1140" s="15"/>
      <c r="AI1140" s="15"/>
      <c r="AJ1140" s="15"/>
      <c r="AK1140" s="15"/>
      <c r="AL1140" s="15"/>
      <c r="AM1140" s="15"/>
      <c r="AN1140" s="15"/>
      <c r="AO1140" s="15"/>
      <c r="AP1140" s="15"/>
      <c r="AQ1140" s="15"/>
      <c r="AR1140" s="15"/>
      <c r="AS1140" s="15"/>
      <c r="AT1140" s="15"/>
      <c r="AU1140" s="15"/>
      <c r="AV1140" s="15"/>
      <c r="AW1140" s="15"/>
      <c r="AX1140" s="15"/>
      <c r="AY1140" s="15"/>
      <c r="AZ1140" s="15"/>
      <c r="BA1140" s="15"/>
      <c r="BB1140" s="15"/>
      <c r="BC1140" s="15"/>
      <c r="BD1140" s="15"/>
      <c r="BE1140" s="15"/>
      <c r="BF1140" s="15"/>
      <c r="BG1140" s="15"/>
      <c r="BH1140" s="15"/>
      <c r="BI1140" s="15"/>
      <c r="BJ1140" s="15"/>
      <c r="BK1140" s="15"/>
      <c r="BL1140" s="15"/>
      <c r="BM1140" s="15"/>
      <c r="BN1140" s="15"/>
      <c r="BO1140" s="16" t="s">
        <v>197</v>
      </c>
      <c r="BP1140" s="17" t="s">
        <v>228</v>
      </c>
      <c r="BQ1140" s="23"/>
      <c r="BR1140" s="17" t="s">
        <v>198</v>
      </c>
      <c r="BS1140" s="18">
        <v>45687.37483796296</v>
      </c>
      <c r="BT1140" s="17" t="s">
        <v>198</v>
      </c>
      <c r="BU1140" s="18">
        <v>45687.37483796296</v>
      </c>
      <c r="BV1140" s="13" t="s">
        <v>199</v>
      </c>
      <c r="BW1140" s="14" t="s">
        <v>179</v>
      </c>
      <c r="BX1140" s="14" t="s">
        <v>21874</v>
      </c>
      <c r="BY1140" s="14" t="s">
        <v>179</v>
      </c>
      <c r="BZ1140" s="14" t="s">
        <v>21875</v>
      </c>
      <c r="CA1140" s="15"/>
      <c r="CB1140" s="15"/>
      <c r="CC1140" s="15"/>
      <c r="CD1140" s="15"/>
      <c r="CE1140" s="15"/>
      <c r="CF1140" s="15"/>
      <c r="CG1140" s="19"/>
      <c r="CH1140" s="15"/>
      <c r="CI1140" s="19"/>
      <c r="CJ1140" s="15"/>
      <c r="CK1140" s="19"/>
      <c r="CL1140" s="15"/>
      <c r="CM1140" s="19"/>
      <c r="CN1140" s="15"/>
      <c r="CO1140" s="19"/>
      <c r="CP1140" s="15"/>
      <c r="CQ1140" s="15"/>
      <c r="CR1140" s="15"/>
      <c r="CS1140" s="19"/>
      <c r="CT1140" s="15"/>
      <c r="CU1140" s="19"/>
      <c r="CV1140" s="15"/>
      <c r="CW1140" s="19"/>
      <c r="CX1140" s="15"/>
      <c r="CY1140" s="19"/>
      <c r="CZ1140" s="15"/>
      <c r="DA1140" s="16" t="s">
        <v>197</v>
      </c>
      <c r="DB1140" s="17" t="s">
        <v>228</v>
      </c>
      <c r="DC1140" s="16"/>
      <c r="DD1140" s="17" t="s">
        <v>198</v>
      </c>
      <c r="DE1140" s="18">
        <v>45721.609814814816</v>
      </c>
      <c r="DF1140" s="17" t="s">
        <v>198</v>
      </c>
      <c r="DG1140" s="18">
        <v>45721.609814814816</v>
      </c>
      <c r="DH1140" s="13" t="s">
        <v>205</v>
      </c>
      <c r="DI1140" s="14" t="s">
        <v>179</v>
      </c>
      <c r="DJ1140" s="14" t="s">
        <v>21876</v>
      </c>
      <c r="DK1140" s="15"/>
      <c r="DL1140" s="15"/>
      <c r="DM1140" s="15"/>
      <c r="DN1140" s="15"/>
      <c r="DO1140" s="15"/>
      <c r="DP1140" s="15"/>
      <c r="DQ1140" s="15"/>
      <c r="DR1140" s="15"/>
      <c r="DS1140" s="15"/>
      <c r="DT1140" s="15"/>
      <c r="DU1140" s="15"/>
      <c r="DV1140" s="15"/>
      <c r="DW1140" s="15"/>
      <c r="DX1140" s="15"/>
      <c r="DY1140" s="15"/>
      <c r="DZ1140" s="15"/>
      <c r="EA1140" s="15"/>
      <c r="EB1140" s="15"/>
      <c r="EC1140" s="16" t="s">
        <v>197</v>
      </c>
      <c r="ED1140" s="17" t="s">
        <v>198</v>
      </c>
      <c r="EE1140" s="18">
        <v>45721.60986111111</v>
      </c>
      <c r="EF1140" s="13" t="s">
        <v>209</v>
      </c>
      <c r="EG1140" s="14" t="s">
        <v>179</v>
      </c>
      <c r="EH1140" s="14" t="s">
        <v>21877</v>
      </c>
      <c r="EI1140" s="15"/>
      <c r="EJ1140" s="15"/>
      <c r="EK1140" s="15"/>
      <c r="EL1140" s="15"/>
      <c r="EM1140" s="15"/>
      <c r="EN1140" s="15"/>
      <c r="EO1140" s="15"/>
      <c r="EP1140" s="15"/>
      <c r="EQ1140" s="15"/>
      <c r="ER1140" s="15"/>
      <c r="ES1140" s="15"/>
      <c r="ET1140" s="15"/>
      <c r="EU1140" s="15"/>
      <c r="EV1140" s="15"/>
      <c r="EW1140" s="15"/>
      <c r="EX1140" s="15"/>
      <c r="EY1140" s="15"/>
      <c r="EZ1140" s="15"/>
      <c r="FA1140" s="15"/>
      <c r="FB1140" s="15"/>
      <c r="FC1140" s="16" t="s">
        <v>197</v>
      </c>
      <c r="FD1140" s="17" t="s">
        <v>198</v>
      </c>
      <c r="FE1140" s="18">
        <v>45721.60989583333</v>
      </c>
      <c r="FF1140" s="19"/>
      <c r="FG1140" s="19"/>
      <c r="FH1140" s="21" t="s">
        <v>197</v>
      </c>
      <c r="FI1140" s="17" t="s">
        <v>214</v>
      </c>
      <c r="FJ1140" s="18">
        <v>45721.60989583333</v>
      </c>
      <c r="FK1140" s="14" t="s">
        <v>21877</v>
      </c>
      <c r="FL1140" s="14" t="s">
        <v>21878</v>
      </c>
      <c r="FM1140" s="14" t="s">
        <v>21879</v>
      </c>
      <c r="FN1140" s="19"/>
      <c r="FO1140" s="19"/>
      <c r="FP1140" s="19" t="str">
        <f t="shared" si="1"/>
        <v>Base de Dados_Images/XV65104.Imagem do Equipamento-.130416.jpg</v>
      </c>
      <c r="FQ1140" s="19"/>
      <c r="FR1140" s="19"/>
    </row>
    <row r="1141" ht="15.75" customHeight="1">
      <c r="A1141" s="12" t="s">
        <v>234</v>
      </c>
      <c r="B1141" s="12" t="s">
        <v>8709</v>
      </c>
      <c r="C1141" s="12" t="s">
        <v>219</v>
      </c>
      <c r="D1141" s="22" t="s">
        <v>21880</v>
      </c>
      <c r="E1141" s="22" t="s">
        <v>21881</v>
      </c>
      <c r="F1141" s="13" t="s">
        <v>178</v>
      </c>
      <c r="G1141" s="14" t="s">
        <v>179</v>
      </c>
      <c r="H1141" s="14" t="s">
        <v>21882</v>
      </c>
      <c r="I1141" s="14" t="s">
        <v>179</v>
      </c>
      <c r="J1141" s="14" t="s">
        <v>21883</v>
      </c>
      <c r="K1141" s="14" t="s">
        <v>179</v>
      </c>
      <c r="L1141" s="14" t="s">
        <v>21884</v>
      </c>
      <c r="M1141" s="14" t="s">
        <v>179</v>
      </c>
      <c r="N1141" s="14" t="s">
        <v>21885</v>
      </c>
      <c r="O1141" s="14" t="s">
        <v>179</v>
      </c>
      <c r="P1141" s="14" t="s">
        <v>21886</v>
      </c>
      <c r="Q1141" s="14" t="s">
        <v>179</v>
      </c>
      <c r="R1141" s="14" t="s">
        <v>21887</v>
      </c>
      <c r="S1141" s="14" t="s">
        <v>179</v>
      </c>
      <c r="T1141" s="14" t="s">
        <v>21888</v>
      </c>
      <c r="U1141" s="14" t="s">
        <v>179</v>
      </c>
      <c r="V1141" s="14" t="s">
        <v>21889</v>
      </c>
      <c r="W1141" s="15"/>
      <c r="X1141" s="15"/>
      <c r="Y1141" s="15"/>
      <c r="Z1141" s="15"/>
      <c r="AA1141" s="15"/>
      <c r="AB1141" s="15"/>
      <c r="AC1141" s="15"/>
      <c r="AD1141" s="15"/>
      <c r="AE1141" s="15"/>
      <c r="AF1141" s="15"/>
      <c r="AG1141" s="15"/>
      <c r="AH1141" s="15"/>
      <c r="AI1141" s="15"/>
      <c r="AJ1141" s="15"/>
      <c r="AK1141" s="15"/>
      <c r="AL1141" s="15"/>
      <c r="AM1141" s="15"/>
      <c r="AN1141" s="15"/>
      <c r="AO1141" s="15"/>
      <c r="AP1141" s="15"/>
      <c r="AQ1141" s="15"/>
      <c r="AR1141" s="15"/>
      <c r="AS1141" s="15"/>
      <c r="AT1141" s="15"/>
      <c r="AU1141" s="15"/>
      <c r="AV1141" s="15"/>
      <c r="AW1141" s="15"/>
      <c r="AX1141" s="15"/>
      <c r="AY1141" s="15"/>
      <c r="AZ1141" s="15"/>
      <c r="BA1141" s="15"/>
      <c r="BB1141" s="15"/>
      <c r="BC1141" s="15"/>
      <c r="BD1141" s="15"/>
      <c r="BE1141" s="15"/>
      <c r="BF1141" s="15"/>
      <c r="BG1141" s="15"/>
      <c r="BH1141" s="15"/>
      <c r="BI1141" s="15"/>
      <c r="BJ1141" s="15"/>
      <c r="BK1141" s="15"/>
      <c r="BL1141" s="15"/>
      <c r="BM1141" s="15"/>
      <c r="BN1141" s="15"/>
      <c r="BO1141" s="16" t="s">
        <v>197</v>
      </c>
      <c r="BP1141" s="17" t="s">
        <v>228</v>
      </c>
      <c r="BQ1141" s="23"/>
      <c r="BR1141" s="17" t="s">
        <v>198</v>
      </c>
      <c r="BS1141" s="18">
        <v>45694.548425925925</v>
      </c>
      <c r="BT1141" s="17" t="s">
        <v>198</v>
      </c>
      <c r="BU1141" s="18">
        <v>45694.548425925925</v>
      </c>
      <c r="BV1141" s="13" t="s">
        <v>199</v>
      </c>
      <c r="BW1141" s="14" t="s">
        <v>179</v>
      </c>
      <c r="BX1141" s="14" t="s">
        <v>21890</v>
      </c>
      <c r="BY1141" s="14" t="s">
        <v>179</v>
      </c>
      <c r="BZ1141" s="14" t="s">
        <v>21890</v>
      </c>
      <c r="CA1141" s="15"/>
      <c r="CB1141" s="15"/>
      <c r="CC1141" s="15"/>
      <c r="CD1141" s="15"/>
      <c r="CE1141" s="15"/>
      <c r="CF1141" s="15"/>
      <c r="CG1141" s="19"/>
      <c r="CH1141" s="15"/>
      <c r="CI1141" s="19"/>
      <c r="CJ1141" s="15"/>
      <c r="CK1141" s="19"/>
      <c r="CL1141" s="15"/>
      <c r="CM1141" s="19"/>
      <c r="CN1141" s="15"/>
      <c r="CO1141" s="19"/>
      <c r="CP1141" s="15"/>
      <c r="CQ1141" s="15"/>
      <c r="CR1141" s="15"/>
      <c r="CS1141" s="19"/>
      <c r="CT1141" s="15"/>
      <c r="CU1141" s="19"/>
      <c r="CV1141" s="15"/>
      <c r="CW1141" s="19"/>
      <c r="CX1141" s="15"/>
      <c r="CY1141" s="19"/>
      <c r="CZ1141" s="15"/>
      <c r="DA1141" s="16" t="s">
        <v>197</v>
      </c>
      <c r="DB1141" s="17" t="s">
        <v>228</v>
      </c>
      <c r="DC1141" s="16"/>
      <c r="DD1141" s="17" t="s">
        <v>198</v>
      </c>
      <c r="DE1141" s="18">
        <v>45696.444236111114</v>
      </c>
      <c r="DF1141" s="17" t="s">
        <v>198</v>
      </c>
      <c r="DG1141" s="18">
        <v>45696.444236111114</v>
      </c>
      <c r="DH1141" s="13" t="s">
        <v>205</v>
      </c>
      <c r="DI1141" s="14" t="s">
        <v>179</v>
      </c>
      <c r="DJ1141" s="14" t="s">
        <v>21891</v>
      </c>
      <c r="DK1141" s="15"/>
      <c r="DL1141" s="15"/>
      <c r="DM1141" s="15"/>
      <c r="DN1141" s="15"/>
      <c r="DO1141" s="15"/>
      <c r="DP1141" s="15"/>
      <c r="DQ1141" s="15"/>
      <c r="DR1141" s="15"/>
      <c r="DS1141" s="15"/>
      <c r="DT1141" s="15"/>
      <c r="DU1141" s="15"/>
      <c r="DV1141" s="15"/>
      <c r="DW1141" s="15"/>
      <c r="DX1141" s="15"/>
      <c r="DY1141" s="15"/>
      <c r="DZ1141" s="15"/>
      <c r="EA1141" s="15"/>
      <c r="EB1141" s="15"/>
      <c r="EC1141" s="16" t="s">
        <v>197</v>
      </c>
      <c r="ED1141" s="17" t="s">
        <v>198</v>
      </c>
      <c r="EE1141" s="18">
        <v>45703.61101851852</v>
      </c>
      <c r="EF1141" s="13" t="s">
        <v>209</v>
      </c>
      <c r="EG1141" s="14" t="s">
        <v>179</v>
      </c>
      <c r="EH1141" s="14" t="s">
        <v>21892</v>
      </c>
      <c r="EI1141" s="15"/>
      <c r="EJ1141" s="15"/>
      <c r="EK1141" s="15"/>
      <c r="EL1141" s="15"/>
      <c r="EM1141" s="15"/>
      <c r="EN1141" s="15"/>
      <c r="EO1141" s="15"/>
      <c r="EP1141" s="15"/>
      <c r="EQ1141" s="15"/>
      <c r="ER1141" s="15"/>
      <c r="ES1141" s="15"/>
      <c r="ET1141" s="15"/>
      <c r="EU1141" s="15"/>
      <c r="EV1141" s="15"/>
      <c r="EW1141" s="15"/>
      <c r="EX1141" s="15"/>
      <c r="EY1141" s="15"/>
      <c r="EZ1141" s="15"/>
      <c r="FA1141" s="15"/>
      <c r="FB1141" s="15"/>
      <c r="FC1141" s="16" t="s">
        <v>197</v>
      </c>
      <c r="FD1141" s="17" t="s">
        <v>198</v>
      </c>
      <c r="FE1141" s="18">
        <v>45720.356828703705</v>
      </c>
      <c r="FF1141" s="19"/>
      <c r="FG1141" s="19"/>
      <c r="FH1141" s="21" t="s">
        <v>197</v>
      </c>
      <c r="FI1141" s="17" t="s">
        <v>214</v>
      </c>
      <c r="FJ1141" s="18">
        <v>45720.356828703705</v>
      </c>
      <c r="FK1141" s="14" t="s">
        <v>21892</v>
      </c>
      <c r="FL1141" s="14" t="s">
        <v>21893</v>
      </c>
      <c r="FM1141" s="14" t="s">
        <v>21894</v>
      </c>
      <c r="FN1141" s="19"/>
      <c r="FO1141" s="19"/>
      <c r="FP1141" s="19" t="str">
        <f t="shared" si="1"/>
        <v>Base de Dados_Images/XV65105.Imagem do Equipamento-.181035.jpg</v>
      </c>
      <c r="FQ1141" s="19"/>
      <c r="FR1141" s="19"/>
    </row>
    <row r="1142" ht="15.75" customHeight="1">
      <c r="A1142" s="12" t="s">
        <v>234</v>
      </c>
      <c r="B1142" s="12" t="s">
        <v>8709</v>
      </c>
      <c r="C1142" s="12" t="s">
        <v>219</v>
      </c>
      <c r="D1142" s="22" t="s">
        <v>21895</v>
      </c>
      <c r="E1142" s="22" t="s">
        <v>21896</v>
      </c>
      <c r="F1142" s="13" t="s">
        <v>178</v>
      </c>
      <c r="G1142" s="14" t="s">
        <v>179</v>
      </c>
      <c r="H1142" s="14" t="s">
        <v>21897</v>
      </c>
      <c r="I1142" s="14" t="s">
        <v>179</v>
      </c>
      <c r="J1142" s="14" t="s">
        <v>21898</v>
      </c>
      <c r="K1142" s="14" t="s">
        <v>179</v>
      </c>
      <c r="L1142" s="14" t="s">
        <v>21899</v>
      </c>
      <c r="M1142" s="14" t="s">
        <v>179</v>
      </c>
      <c r="N1142" s="14" t="s">
        <v>21900</v>
      </c>
      <c r="O1142" s="14" t="s">
        <v>179</v>
      </c>
      <c r="P1142" s="14" t="s">
        <v>21901</v>
      </c>
      <c r="Q1142" s="14" t="s">
        <v>179</v>
      </c>
      <c r="R1142" s="14" t="s">
        <v>21902</v>
      </c>
      <c r="S1142" s="14" t="s">
        <v>179</v>
      </c>
      <c r="T1142" s="14" t="s">
        <v>21903</v>
      </c>
      <c r="U1142" s="14" t="s">
        <v>179</v>
      </c>
      <c r="V1142" s="14" t="s">
        <v>21904</v>
      </c>
      <c r="W1142" s="15"/>
      <c r="X1142" s="15"/>
      <c r="Y1142" s="15"/>
      <c r="Z1142" s="15"/>
      <c r="AA1142" s="15"/>
      <c r="AB1142" s="15"/>
      <c r="AC1142" s="15"/>
      <c r="AD1142" s="15"/>
      <c r="AE1142" s="15"/>
      <c r="AF1142" s="15"/>
      <c r="AG1142" s="15"/>
      <c r="AH1142" s="15"/>
      <c r="AI1142" s="15"/>
      <c r="AJ1142" s="15"/>
      <c r="AK1142" s="15"/>
      <c r="AL1142" s="15"/>
      <c r="AM1142" s="15"/>
      <c r="AN1142" s="15"/>
      <c r="AO1142" s="15"/>
      <c r="AP1142" s="15"/>
      <c r="AQ1142" s="15"/>
      <c r="AR1142" s="15"/>
      <c r="AS1142" s="15"/>
      <c r="AT1142" s="15"/>
      <c r="AU1142" s="15"/>
      <c r="AV1142" s="15"/>
      <c r="AW1142" s="15"/>
      <c r="AX1142" s="15"/>
      <c r="AY1142" s="15"/>
      <c r="AZ1142" s="15"/>
      <c r="BA1142" s="15"/>
      <c r="BB1142" s="15"/>
      <c r="BC1142" s="15"/>
      <c r="BD1142" s="15"/>
      <c r="BE1142" s="15"/>
      <c r="BF1142" s="15"/>
      <c r="BG1142" s="15"/>
      <c r="BH1142" s="15"/>
      <c r="BI1142" s="15"/>
      <c r="BJ1142" s="15"/>
      <c r="BK1142" s="15"/>
      <c r="BL1142" s="15"/>
      <c r="BM1142" s="15"/>
      <c r="BN1142" s="15"/>
      <c r="BO1142" s="16" t="s">
        <v>197</v>
      </c>
      <c r="BP1142" s="17" t="s">
        <v>228</v>
      </c>
      <c r="BQ1142" s="23"/>
      <c r="BR1142" s="17" t="s">
        <v>198</v>
      </c>
      <c r="BS1142" s="18">
        <v>45687.39954861111</v>
      </c>
      <c r="BT1142" s="17" t="s">
        <v>198</v>
      </c>
      <c r="BU1142" s="18">
        <v>45687.39954861111</v>
      </c>
      <c r="BV1142" s="13" t="s">
        <v>199</v>
      </c>
      <c r="BW1142" s="14" t="s">
        <v>179</v>
      </c>
      <c r="BX1142" s="14" t="s">
        <v>21905</v>
      </c>
      <c r="BY1142" s="14" t="s">
        <v>179</v>
      </c>
      <c r="BZ1142" s="14" t="s">
        <v>21906</v>
      </c>
      <c r="CA1142" s="15"/>
      <c r="CB1142" s="15"/>
      <c r="CC1142" s="15"/>
      <c r="CD1142" s="15"/>
      <c r="CE1142" s="15"/>
      <c r="CF1142" s="15"/>
      <c r="CG1142" s="19"/>
      <c r="CH1142" s="15"/>
      <c r="CI1142" s="19"/>
      <c r="CJ1142" s="15"/>
      <c r="CK1142" s="19"/>
      <c r="CL1142" s="15"/>
      <c r="CM1142" s="19"/>
      <c r="CN1142" s="15"/>
      <c r="CO1142" s="19"/>
      <c r="CP1142" s="15"/>
      <c r="CQ1142" s="15"/>
      <c r="CR1142" s="15"/>
      <c r="CS1142" s="19"/>
      <c r="CT1142" s="15"/>
      <c r="CU1142" s="19"/>
      <c r="CV1142" s="15"/>
      <c r="CW1142" s="19"/>
      <c r="CX1142" s="15"/>
      <c r="CY1142" s="19"/>
      <c r="CZ1142" s="15"/>
      <c r="DA1142" s="16" t="s">
        <v>197</v>
      </c>
      <c r="DB1142" s="17" t="s">
        <v>228</v>
      </c>
      <c r="DC1142" s="16"/>
      <c r="DD1142" s="17" t="s">
        <v>198</v>
      </c>
      <c r="DE1142" s="18">
        <v>45696.44431712963</v>
      </c>
      <c r="DF1142" s="17" t="s">
        <v>198</v>
      </c>
      <c r="DG1142" s="18">
        <v>45696.44431712963</v>
      </c>
      <c r="DH1142" s="13" t="s">
        <v>205</v>
      </c>
      <c r="DI1142" s="14" t="s">
        <v>179</v>
      </c>
      <c r="DJ1142" s="14" t="s">
        <v>21907</v>
      </c>
      <c r="DK1142" s="15"/>
      <c r="DL1142" s="15"/>
      <c r="DM1142" s="15"/>
      <c r="DN1142" s="15"/>
      <c r="DO1142" s="15"/>
      <c r="DP1142" s="15"/>
      <c r="DQ1142" s="15"/>
      <c r="DR1142" s="15"/>
      <c r="DS1142" s="15"/>
      <c r="DT1142" s="15"/>
      <c r="DU1142" s="15"/>
      <c r="DV1142" s="15"/>
      <c r="DW1142" s="15"/>
      <c r="DX1142" s="15"/>
      <c r="DY1142" s="15"/>
      <c r="DZ1142" s="15"/>
      <c r="EA1142" s="15"/>
      <c r="EB1142" s="15"/>
      <c r="EC1142" s="16" t="s">
        <v>197</v>
      </c>
      <c r="ED1142" s="17" t="s">
        <v>198</v>
      </c>
      <c r="EE1142" s="18">
        <v>45703.61121527778</v>
      </c>
      <c r="EF1142" s="13" t="s">
        <v>209</v>
      </c>
      <c r="EG1142" s="14" t="s">
        <v>179</v>
      </c>
      <c r="EH1142" s="14" t="s">
        <v>21908</v>
      </c>
      <c r="EI1142" s="15"/>
      <c r="EJ1142" s="15"/>
      <c r="EK1142" s="15"/>
      <c r="EL1142" s="15"/>
      <c r="EM1142" s="15"/>
      <c r="EN1142" s="15"/>
      <c r="EO1142" s="15"/>
      <c r="EP1142" s="15"/>
      <c r="EQ1142" s="15"/>
      <c r="ER1142" s="15"/>
      <c r="ES1142" s="15"/>
      <c r="ET1142" s="15"/>
      <c r="EU1142" s="15"/>
      <c r="EV1142" s="15"/>
      <c r="EW1142" s="15"/>
      <c r="EX1142" s="15"/>
      <c r="EY1142" s="15"/>
      <c r="EZ1142" s="15"/>
      <c r="FA1142" s="15"/>
      <c r="FB1142" s="15"/>
      <c r="FC1142" s="16" t="s">
        <v>197</v>
      </c>
      <c r="FD1142" s="17" t="s">
        <v>198</v>
      </c>
      <c r="FE1142" s="18">
        <v>45720.35690972222</v>
      </c>
      <c r="FF1142" s="19"/>
      <c r="FG1142" s="19"/>
      <c r="FH1142" s="21" t="s">
        <v>197</v>
      </c>
      <c r="FI1142" s="17" t="s">
        <v>214</v>
      </c>
      <c r="FJ1142" s="18">
        <v>45720.35690972222</v>
      </c>
      <c r="FK1142" s="14" t="s">
        <v>21908</v>
      </c>
      <c r="FL1142" s="14" t="s">
        <v>21909</v>
      </c>
      <c r="FM1142" s="14" t="s">
        <v>21910</v>
      </c>
      <c r="FN1142" s="19"/>
      <c r="FO1142" s="19"/>
      <c r="FP1142" s="19" t="str">
        <f t="shared" si="1"/>
        <v>Base de Dados_Images/XV65106.Imagem do Equipamento-.131729.jpg</v>
      </c>
      <c r="FQ1142" s="19"/>
      <c r="FR1142" s="19"/>
    </row>
    <row r="1143" ht="15.75" customHeight="1">
      <c r="A1143" s="12" t="s">
        <v>234</v>
      </c>
      <c r="B1143" s="12" t="s">
        <v>3128</v>
      </c>
      <c r="C1143" s="12" t="s">
        <v>219</v>
      </c>
      <c r="D1143" s="22" t="s">
        <v>21911</v>
      </c>
      <c r="E1143" s="22" t="s">
        <v>21912</v>
      </c>
      <c r="F1143" s="13" t="s">
        <v>178</v>
      </c>
      <c r="G1143" s="14" t="s">
        <v>179</v>
      </c>
      <c r="H1143" s="14" t="s">
        <v>21913</v>
      </c>
      <c r="I1143" s="14" t="s">
        <v>179</v>
      </c>
      <c r="J1143" s="14" t="s">
        <v>21914</v>
      </c>
      <c r="K1143" s="14" t="s">
        <v>179</v>
      </c>
      <c r="L1143" s="14" t="s">
        <v>21915</v>
      </c>
      <c r="M1143" s="14" t="s">
        <v>179</v>
      </c>
      <c r="N1143" s="14" t="s">
        <v>21916</v>
      </c>
      <c r="O1143" s="14" t="s">
        <v>179</v>
      </c>
      <c r="P1143" s="14" t="s">
        <v>21917</v>
      </c>
      <c r="Q1143" s="14" t="s">
        <v>179</v>
      </c>
      <c r="R1143" s="14" t="s">
        <v>21918</v>
      </c>
      <c r="S1143" s="14" t="s">
        <v>179</v>
      </c>
      <c r="T1143" s="14" t="s">
        <v>21919</v>
      </c>
      <c r="U1143" s="14" t="s">
        <v>179</v>
      </c>
      <c r="V1143" s="14" t="s">
        <v>21920</v>
      </c>
      <c r="W1143" s="15"/>
      <c r="X1143" s="15"/>
      <c r="Y1143" s="15"/>
      <c r="Z1143" s="15"/>
      <c r="AA1143" s="15"/>
      <c r="AB1143" s="15"/>
      <c r="AC1143" s="15"/>
      <c r="AD1143" s="15"/>
      <c r="AE1143" s="15"/>
      <c r="AF1143" s="15"/>
      <c r="AG1143" s="15"/>
      <c r="AH1143" s="15"/>
      <c r="AI1143" s="15"/>
      <c r="AJ1143" s="15"/>
      <c r="AK1143" s="15"/>
      <c r="AL1143" s="15"/>
      <c r="AM1143" s="15"/>
      <c r="AN1143" s="15"/>
      <c r="AO1143" s="15"/>
      <c r="AP1143" s="15"/>
      <c r="AQ1143" s="15"/>
      <c r="AR1143" s="15"/>
      <c r="AS1143" s="15"/>
      <c r="AT1143" s="15"/>
      <c r="AU1143" s="15"/>
      <c r="AV1143" s="15"/>
      <c r="AW1143" s="15"/>
      <c r="AX1143" s="15"/>
      <c r="AY1143" s="15"/>
      <c r="AZ1143" s="15"/>
      <c r="BA1143" s="15"/>
      <c r="BB1143" s="15"/>
      <c r="BC1143" s="15"/>
      <c r="BD1143" s="15"/>
      <c r="BE1143" s="15"/>
      <c r="BF1143" s="15"/>
      <c r="BG1143" s="15"/>
      <c r="BH1143" s="15"/>
      <c r="BI1143" s="15"/>
      <c r="BJ1143" s="15"/>
      <c r="BK1143" s="15"/>
      <c r="BL1143" s="15"/>
      <c r="BM1143" s="15"/>
      <c r="BN1143" s="15"/>
      <c r="BO1143" s="16" t="s">
        <v>197</v>
      </c>
      <c r="BP1143" s="17" t="s">
        <v>228</v>
      </c>
      <c r="BQ1143" s="23"/>
      <c r="BR1143" s="17" t="s">
        <v>198</v>
      </c>
      <c r="BS1143" s="18">
        <v>45694.62578703704</v>
      </c>
      <c r="BT1143" s="17" t="s">
        <v>198</v>
      </c>
      <c r="BU1143" s="18">
        <v>45694.62578703704</v>
      </c>
      <c r="BV1143" s="13" t="s">
        <v>199</v>
      </c>
      <c r="BW1143" s="14" t="s">
        <v>179</v>
      </c>
      <c r="BX1143" s="14" t="s">
        <v>21921</v>
      </c>
      <c r="BY1143" s="14" t="s">
        <v>179</v>
      </c>
      <c r="BZ1143" s="14" t="s">
        <v>21922</v>
      </c>
      <c r="CA1143" s="15"/>
      <c r="CB1143" s="15"/>
      <c r="CC1143" s="15"/>
      <c r="CD1143" s="15"/>
      <c r="CE1143" s="15"/>
      <c r="CF1143" s="15"/>
      <c r="CG1143" s="19"/>
      <c r="CH1143" s="15"/>
      <c r="CI1143" s="19"/>
      <c r="CJ1143" s="15"/>
      <c r="CK1143" s="19"/>
      <c r="CL1143" s="15"/>
      <c r="CM1143" s="19"/>
      <c r="CN1143" s="15"/>
      <c r="CO1143" s="19"/>
      <c r="CP1143" s="15"/>
      <c r="CQ1143" s="15"/>
      <c r="CR1143" s="15"/>
      <c r="CS1143" s="19"/>
      <c r="CT1143" s="15"/>
      <c r="CU1143" s="19"/>
      <c r="CV1143" s="15"/>
      <c r="CW1143" s="19"/>
      <c r="CX1143" s="15"/>
      <c r="CY1143" s="19"/>
      <c r="CZ1143" s="15"/>
      <c r="DA1143" s="16" t="s">
        <v>197</v>
      </c>
      <c r="DB1143" s="17" t="s">
        <v>228</v>
      </c>
      <c r="DC1143" s="16"/>
      <c r="DD1143" s="17" t="s">
        <v>198</v>
      </c>
      <c r="DE1143" s="18">
        <v>45696.593773148146</v>
      </c>
      <c r="DF1143" s="17" t="s">
        <v>198</v>
      </c>
      <c r="DG1143" s="18">
        <v>45696.593773148146</v>
      </c>
      <c r="DH1143" s="13" t="s">
        <v>205</v>
      </c>
      <c r="DI1143" s="14" t="s">
        <v>179</v>
      </c>
      <c r="DJ1143" s="14" t="s">
        <v>21923</v>
      </c>
      <c r="DK1143" s="15"/>
      <c r="DL1143" s="15"/>
      <c r="DM1143" s="15"/>
      <c r="DN1143" s="15"/>
      <c r="DO1143" s="15"/>
      <c r="DP1143" s="15"/>
      <c r="DQ1143" s="15"/>
      <c r="DR1143" s="15"/>
      <c r="DS1143" s="15"/>
      <c r="DT1143" s="15"/>
      <c r="DU1143" s="15"/>
      <c r="DV1143" s="15"/>
      <c r="DW1143" s="15"/>
      <c r="DX1143" s="15"/>
      <c r="DY1143" s="15"/>
      <c r="DZ1143" s="15"/>
      <c r="EA1143" s="15"/>
      <c r="EB1143" s="15"/>
      <c r="EC1143" s="16" t="s">
        <v>197</v>
      </c>
      <c r="ED1143" s="17" t="s">
        <v>198</v>
      </c>
      <c r="EE1143" s="18">
        <v>45719.5255787037</v>
      </c>
      <c r="EF1143" s="13" t="s">
        <v>209</v>
      </c>
      <c r="EG1143" s="14" t="s">
        <v>179</v>
      </c>
      <c r="EH1143" s="14" t="s">
        <v>21924</v>
      </c>
      <c r="EI1143" s="15"/>
      <c r="EJ1143" s="15"/>
      <c r="EK1143" s="15"/>
      <c r="EL1143" s="15"/>
      <c r="EM1143" s="15"/>
      <c r="EN1143" s="15"/>
      <c r="EO1143" s="15"/>
      <c r="EP1143" s="15"/>
      <c r="EQ1143" s="15"/>
      <c r="ER1143" s="15"/>
      <c r="ES1143" s="15"/>
      <c r="ET1143" s="15"/>
      <c r="EU1143" s="15"/>
      <c r="EV1143" s="15"/>
      <c r="EW1143" s="15"/>
      <c r="EX1143" s="15"/>
      <c r="EY1143" s="15"/>
      <c r="EZ1143" s="15"/>
      <c r="FA1143" s="15"/>
      <c r="FB1143" s="15"/>
      <c r="FC1143" s="16" t="s">
        <v>197</v>
      </c>
      <c r="FD1143" s="17" t="s">
        <v>198</v>
      </c>
      <c r="FE1143" s="18">
        <v>45720.37578703704</v>
      </c>
      <c r="FF1143" s="19"/>
      <c r="FG1143" s="19"/>
      <c r="FH1143" s="21" t="s">
        <v>197</v>
      </c>
      <c r="FI1143" s="17" t="s">
        <v>214</v>
      </c>
      <c r="FJ1143" s="18">
        <v>45720.37578703704</v>
      </c>
      <c r="FK1143" s="14" t="s">
        <v>21924</v>
      </c>
      <c r="FL1143" s="14" t="s">
        <v>21925</v>
      </c>
      <c r="FM1143" s="14" t="s">
        <v>21926</v>
      </c>
      <c r="FN1143" s="19"/>
      <c r="FO1143" s="19"/>
      <c r="FP1143" s="19" t="str">
        <f t="shared" si="1"/>
        <v>Base de Dados_Images/XV65107.Imagem do Equipamento-.170502.jpg</v>
      </c>
      <c r="FQ1143" s="19"/>
      <c r="FR1143" s="19"/>
    </row>
    <row r="1144" ht="15.75" customHeight="1">
      <c r="A1144" s="12" t="s">
        <v>234</v>
      </c>
      <c r="B1144" s="12" t="s">
        <v>3128</v>
      </c>
      <c r="C1144" s="12" t="s">
        <v>219</v>
      </c>
      <c r="D1144" s="22" t="s">
        <v>21927</v>
      </c>
      <c r="E1144" s="22" t="s">
        <v>21928</v>
      </c>
      <c r="F1144" s="13" t="s">
        <v>178</v>
      </c>
      <c r="G1144" s="14" t="s">
        <v>179</v>
      </c>
      <c r="H1144" s="14" t="s">
        <v>21929</v>
      </c>
      <c r="I1144" s="14" t="s">
        <v>179</v>
      </c>
      <c r="J1144" s="14" t="s">
        <v>21930</v>
      </c>
      <c r="K1144" s="14" t="s">
        <v>179</v>
      </c>
      <c r="L1144" s="14" t="s">
        <v>21931</v>
      </c>
      <c r="M1144" s="14" t="s">
        <v>179</v>
      </c>
      <c r="N1144" s="14" t="s">
        <v>21932</v>
      </c>
      <c r="O1144" s="14" t="s">
        <v>179</v>
      </c>
      <c r="P1144" s="14" t="s">
        <v>21933</v>
      </c>
      <c r="Q1144" s="14" t="s">
        <v>179</v>
      </c>
      <c r="R1144" s="14" t="s">
        <v>21934</v>
      </c>
      <c r="S1144" s="14" t="s">
        <v>179</v>
      </c>
      <c r="T1144" s="14" t="s">
        <v>21935</v>
      </c>
      <c r="U1144" s="14" t="s">
        <v>179</v>
      </c>
      <c r="V1144" s="14" t="s">
        <v>21936</v>
      </c>
      <c r="W1144" s="15"/>
      <c r="X1144" s="15"/>
      <c r="Y1144" s="15"/>
      <c r="Z1144" s="15"/>
      <c r="AA1144" s="15"/>
      <c r="AB1144" s="15"/>
      <c r="AC1144" s="15"/>
      <c r="AD1144" s="15"/>
      <c r="AE1144" s="15"/>
      <c r="AF1144" s="15"/>
      <c r="AG1144" s="15"/>
      <c r="AH1144" s="15"/>
      <c r="AI1144" s="15"/>
      <c r="AJ1144" s="15"/>
      <c r="AK1144" s="15"/>
      <c r="AL1144" s="15"/>
      <c r="AM1144" s="15"/>
      <c r="AN1144" s="15"/>
      <c r="AO1144" s="15"/>
      <c r="AP1144" s="15"/>
      <c r="AQ1144" s="15"/>
      <c r="AR1144" s="15"/>
      <c r="AS1144" s="15"/>
      <c r="AT1144" s="15"/>
      <c r="AU1144" s="15"/>
      <c r="AV1144" s="15"/>
      <c r="AW1144" s="15"/>
      <c r="AX1144" s="15"/>
      <c r="AY1144" s="15"/>
      <c r="AZ1144" s="15"/>
      <c r="BA1144" s="15"/>
      <c r="BB1144" s="15"/>
      <c r="BC1144" s="15"/>
      <c r="BD1144" s="15"/>
      <c r="BE1144" s="15"/>
      <c r="BF1144" s="15"/>
      <c r="BG1144" s="15"/>
      <c r="BH1144" s="15"/>
      <c r="BI1144" s="15"/>
      <c r="BJ1144" s="15"/>
      <c r="BK1144" s="15"/>
      <c r="BL1144" s="15"/>
      <c r="BM1144" s="15"/>
      <c r="BN1144" s="15"/>
      <c r="BO1144" s="16" t="s">
        <v>197</v>
      </c>
      <c r="BP1144" s="17" t="s">
        <v>228</v>
      </c>
      <c r="BQ1144" s="23"/>
      <c r="BR1144" s="17" t="s">
        <v>198</v>
      </c>
      <c r="BS1144" s="18">
        <v>45694.62633101852</v>
      </c>
      <c r="BT1144" s="17" t="s">
        <v>198</v>
      </c>
      <c r="BU1144" s="18">
        <v>45694.62633101852</v>
      </c>
      <c r="BV1144" s="13" t="s">
        <v>199</v>
      </c>
      <c r="BW1144" s="14" t="s">
        <v>179</v>
      </c>
      <c r="BX1144" s="14" t="s">
        <v>21937</v>
      </c>
      <c r="BY1144" s="14" t="s">
        <v>179</v>
      </c>
      <c r="BZ1144" s="14" t="s">
        <v>21938</v>
      </c>
      <c r="CA1144" s="15"/>
      <c r="CB1144" s="15"/>
      <c r="CC1144" s="15"/>
      <c r="CD1144" s="15"/>
      <c r="CE1144" s="15"/>
      <c r="CF1144" s="15"/>
      <c r="CG1144" s="19"/>
      <c r="CH1144" s="15"/>
      <c r="CI1144" s="19"/>
      <c r="CJ1144" s="15"/>
      <c r="CK1144" s="19"/>
      <c r="CL1144" s="15"/>
      <c r="CM1144" s="19"/>
      <c r="CN1144" s="15"/>
      <c r="CO1144" s="19"/>
      <c r="CP1144" s="15"/>
      <c r="CQ1144" s="15"/>
      <c r="CR1144" s="15"/>
      <c r="CS1144" s="19"/>
      <c r="CT1144" s="15"/>
      <c r="CU1144" s="19"/>
      <c r="CV1144" s="15"/>
      <c r="CW1144" s="19"/>
      <c r="CX1144" s="15"/>
      <c r="CY1144" s="19"/>
      <c r="CZ1144" s="15"/>
      <c r="DA1144" s="16" t="s">
        <v>197</v>
      </c>
      <c r="DB1144" s="17" t="s">
        <v>228</v>
      </c>
      <c r="DC1144" s="16"/>
      <c r="DD1144" s="17" t="s">
        <v>198</v>
      </c>
      <c r="DE1144" s="18">
        <v>45694.62641203704</v>
      </c>
      <c r="DF1144" s="17" t="s">
        <v>198</v>
      </c>
      <c r="DG1144" s="18">
        <v>45694.62641203704</v>
      </c>
      <c r="DH1144" s="13" t="s">
        <v>205</v>
      </c>
      <c r="DI1144" s="14" t="s">
        <v>179</v>
      </c>
      <c r="DJ1144" s="14" t="s">
        <v>21939</v>
      </c>
      <c r="DK1144" s="15"/>
      <c r="DL1144" s="15"/>
      <c r="DM1144" s="15"/>
      <c r="DN1144" s="15"/>
      <c r="DO1144" s="15"/>
      <c r="DP1144" s="15"/>
      <c r="DQ1144" s="15"/>
      <c r="DR1144" s="15"/>
      <c r="DS1144" s="15"/>
      <c r="DT1144" s="15"/>
      <c r="DU1144" s="15"/>
      <c r="DV1144" s="15"/>
      <c r="DW1144" s="15"/>
      <c r="DX1144" s="15"/>
      <c r="DY1144" s="15"/>
      <c r="DZ1144" s="15"/>
      <c r="EA1144" s="15"/>
      <c r="EB1144" s="15"/>
      <c r="EC1144" s="16" t="s">
        <v>197</v>
      </c>
      <c r="ED1144" s="17" t="s">
        <v>198</v>
      </c>
      <c r="EE1144" s="18">
        <v>45719.52564814815</v>
      </c>
      <c r="EF1144" s="13" t="s">
        <v>209</v>
      </c>
      <c r="EG1144" s="14" t="s">
        <v>179</v>
      </c>
      <c r="EH1144" s="14" t="s">
        <v>21940</v>
      </c>
      <c r="EI1144" s="15"/>
      <c r="EJ1144" s="15"/>
      <c r="EK1144" s="15"/>
      <c r="EL1144" s="15"/>
      <c r="EM1144" s="15"/>
      <c r="EN1144" s="15"/>
      <c r="EO1144" s="15"/>
      <c r="EP1144" s="15"/>
      <c r="EQ1144" s="15"/>
      <c r="ER1144" s="15"/>
      <c r="ES1144" s="15"/>
      <c r="ET1144" s="15"/>
      <c r="EU1144" s="15"/>
      <c r="EV1144" s="15"/>
      <c r="EW1144" s="15"/>
      <c r="EX1144" s="15"/>
      <c r="EY1144" s="15"/>
      <c r="EZ1144" s="15"/>
      <c r="FA1144" s="15"/>
      <c r="FB1144" s="15"/>
      <c r="FC1144" s="16" t="s">
        <v>197</v>
      </c>
      <c r="FD1144" s="17" t="s">
        <v>198</v>
      </c>
      <c r="FE1144" s="18">
        <v>45720.37584490741</v>
      </c>
      <c r="FF1144" s="19"/>
      <c r="FG1144" s="19"/>
      <c r="FH1144" s="21" t="s">
        <v>197</v>
      </c>
      <c r="FI1144" s="17" t="s">
        <v>214</v>
      </c>
      <c r="FJ1144" s="18">
        <v>45720.37584490741</v>
      </c>
      <c r="FK1144" s="14" t="s">
        <v>21940</v>
      </c>
      <c r="FL1144" s="14" t="s">
        <v>21941</v>
      </c>
      <c r="FM1144" s="14" t="s">
        <v>21942</v>
      </c>
      <c r="FN1144" s="19"/>
      <c r="FO1144" s="19"/>
      <c r="FP1144" s="19" t="str">
        <f t="shared" si="1"/>
        <v>Base de Dados_Images/XV65108.Imagem do Equipamento-.170511.jpg</v>
      </c>
      <c r="FQ1144" s="19"/>
      <c r="FR1144" s="19"/>
    </row>
    <row r="1145" ht="15.75" customHeight="1">
      <c r="A1145" s="12" t="s">
        <v>234</v>
      </c>
      <c r="B1145" s="12" t="s">
        <v>17296</v>
      </c>
      <c r="C1145" s="12" t="s">
        <v>219</v>
      </c>
      <c r="D1145" s="22" t="s">
        <v>21943</v>
      </c>
      <c r="E1145" s="22" t="s">
        <v>21944</v>
      </c>
      <c r="F1145" s="13" t="s">
        <v>178</v>
      </c>
      <c r="G1145" s="14" t="s">
        <v>179</v>
      </c>
      <c r="H1145" s="14" t="s">
        <v>21945</v>
      </c>
      <c r="I1145" s="14" t="s">
        <v>179</v>
      </c>
      <c r="J1145" s="14" t="s">
        <v>21946</v>
      </c>
      <c r="K1145" s="14" t="s">
        <v>179</v>
      </c>
      <c r="L1145" s="14" t="s">
        <v>21947</v>
      </c>
      <c r="M1145" s="14" t="s">
        <v>179</v>
      </c>
      <c r="N1145" s="14" t="s">
        <v>21948</v>
      </c>
      <c r="O1145" s="14" t="s">
        <v>179</v>
      </c>
      <c r="P1145" s="14" t="s">
        <v>21949</v>
      </c>
      <c r="Q1145" s="14" t="s">
        <v>179</v>
      </c>
      <c r="R1145" s="14" t="s">
        <v>21950</v>
      </c>
      <c r="S1145" s="14" t="s">
        <v>179</v>
      </c>
      <c r="T1145" s="14" t="s">
        <v>21951</v>
      </c>
      <c r="U1145" s="14" t="s">
        <v>179</v>
      </c>
      <c r="V1145" s="14" t="s">
        <v>21952</v>
      </c>
      <c r="W1145" s="15"/>
      <c r="X1145" s="15"/>
      <c r="Y1145" s="15"/>
      <c r="Z1145" s="15"/>
      <c r="AA1145" s="15"/>
      <c r="AB1145" s="15"/>
      <c r="AC1145" s="15"/>
      <c r="AD1145" s="15"/>
      <c r="AE1145" s="15"/>
      <c r="AF1145" s="15"/>
      <c r="AG1145" s="15"/>
      <c r="AH1145" s="15"/>
      <c r="AI1145" s="15"/>
      <c r="AJ1145" s="15"/>
      <c r="AK1145" s="15"/>
      <c r="AL1145" s="15"/>
      <c r="AM1145" s="15"/>
      <c r="AN1145" s="15"/>
      <c r="AO1145" s="15"/>
      <c r="AP1145" s="15"/>
      <c r="AQ1145" s="15"/>
      <c r="AR1145" s="15"/>
      <c r="AS1145" s="15"/>
      <c r="AT1145" s="15"/>
      <c r="AU1145" s="15"/>
      <c r="AV1145" s="15"/>
      <c r="AW1145" s="15"/>
      <c r="AX1145" s="15"/>
      <c r="AY1145" s="15"/>
      <c r="AZ1145" s="15"/>
      <c r="BA1145" s="15"/>
      <c r="BB1145" s="15"/>
      <c r="BC1145" s="15"/>
      <c r="BD1145" s="15"/>
      <c r="BE1145" s="15"/>
      <c r="BF1145" s="15"/>
      <c r="BG1145" s="15"/>
      <c r="BH1145" s="15"/>
      <c r="BI1145" s="15"/>
      <c r="BJ1145" s="15"/>
      <c r="BK1145" s="15"/>
      <c r="BL1145" s="15"/>
      <c r="BM1145" s="15"/>
      <c r="BN1145" s="15"/>
      <c r="BO1145" s="16" t="s">
        <v>197</v>
      </c>
      <c r="BP1145" s="17" t="s">
        <v>228</v>
      </c>
      <c r="BQ1145" s="23"/>
      <c r="BR1145" s="17" t="s">
        <v>198</v>
      </c>
      <c r="BS1145" s="18">
        <v>45694.62731481482</v>
      </c>
      <c r="BT1145" s="17" t="s">
        <v>198</v>
      </c>
      <c r="BU1145" s="18">
        <v>45694.62731481482</v>
      </c>
      <c r="BV1145" s="13" t="s">
        <v>199</v>
      </c>
      <c r="BW1145" s="14" t="s">
        <v>179</v>
      </c>
      <c r="BX1145" s="14" t="s">
        <v>21953</v>
      </c>
      <c r="BY1145" s="14" t="s">
        <v>179</v>
      </c>
      <c r="BZ1145" s="14" t="s">
        <v>21954</v>
      </c>
      <c r="CA1145" s="15"/>
      <c r="CB1145" s="15"/>
      <c r="CC1145" s="15"/>
      <c r="CD1145" s="15"/>
      <c r="CE1145" s="15"/>
      <c r="CF1145" s="15"/>
      <c r="CG1145" s="19"/>
      <c r="CH1145" s="15"/>
      <c r="CI1145" s="19"/>
      <c r="CJ1145" s="15"/>
      <c r="CK1145" s="19"/>
      <c r="CL1145" s="15"/>
      <c r="CM1145" s="19"/>
      <c r="CN1145" s="15"/>
      <c r="CO1145" s="19"/>
      <c r="CP1145" s="15"/>
      <c r="CQ1145" s="15"/>
      <c r="CR1145" s="15"/>
      <c r="CS1145" s="19"/>
      <c r="CT1145" s="15"/>
      <c r="CU1145" s="19"/>
      <c r="CV1145" s="15"/>
      <c r="CW1145" s="19"/>
      <c r="CX1145" s="15"/>
      <c r="CY1145" s="19"/>
      <c r="CZ1145" s="15"/>
      <c r="DA1145" s="16" t="s">
        <v>197</v>
      </c>
      <c r="DB1145" s="17" t="s">
        <v>228</v>
      </c>
      <c r="DC1145" s="16"/>
      <c r="DD1145" s="17" t="s">
        <v>198</v>
      </c>
      <c r="DE1145" s="18">
        <v>45694.62740740741</v>
      </c>
      <c r="DF1145" s="17" t="s">
        <v>198</v>
      </c>
      <c r="DG1145" s="18">
        <v>45694.62740740741</v>
      </c>
      <c r="DH1145" s="13" t="s">
        <v>205</v>
      </c>
      <c r="DI1145" s="14" t="s">
        <v>179</v>
      </c>
      <c r="DJ1145" s="14" t="s">
        <v>21955</v>
      </c>
      <c r="DK1145" s="15"/>
      <c r="DL1145" s="15"/>
      <c r="DM1145" s="15"/>
      <c r="DN1145" s="15"/>
      <c r="DO1145" s="15"/>
      <c r="DP1145" s="15"/>
      <c r="DQ1145" s="15"/>
      <c r="DR1145" s="15"/>
      <c r="DS1145" s="15"/>
      <c r="DT1145" s="15"/>
      <c r="DU1145" s="15"/>
      <c r="DV1145" s="15"/>
      <c r="DW1145" s="15"/>
      <c r="DX1145" s="15"/>
      <c r="DY1145" s="15"/>
      <c r="DZ1145" s="15"/>
      <c r="EA1145" s="15"/>
      <c r="EB1145" s="15"/>
      <c r="EC1145" s="16" t="s">
        <v>197</v>
      </c>
      <c r="ED1145" s="17" t="s">
        <v>198</v>
      </c>
      <c r="EE1145" s="18">
        <v>45719.52743055556</v>
      </c>
      <c r="EF1145" s="13" t="s">
        <v>209</v>
      </c>
      <c r="EG1145" s="14" t="s">
        <v>179</v>
      </c>
      <c r="EH1145" s="14" t="s">
        <v>21956</v>
      </c>
      <c r="EI1145" s="15"/>
      <c r="EJ1145" s="15"/>
      <c r="EK1145" s="15"/>
      <c r="EL1145" s="15"/>
      <c r="EM1145" s="15"/>
      <c r="EN1145" s="15"/>
      <c r="EO1145" s="15"/>
      <c r="EP1145" s="15"/>
      <c r="EQ1145" s="15"/>
      <c r="ER1145" s="15"/>
      <c r="ES1145" s="15"/>
      <c r="ET1145" s="15"/>
      <c r="EU1145" s="15"/>
      <c r="EV1145" s="15"/>
      <c r="EW1145" s="15"/>
      <c r="EX1145" s="15"/>
      <c r="EY1145" s="15"/>
      <c r="EZ1145" s="15"/>
      <c r="FA1145" s="15"/>
      <c r="FB1145" s="15"/>
      <c r="FC1145" s="16" t="s">
        <v>197</v>
      </c>
      <c r="FD1145" s="17" t="s">
        <v>198</v>
      </c>
      <c r="FE1145" s="18">
        <v>45720.376064814816</v>
      </c>
      <c r="FF1145" s="19"/>
      <c r="FG1145" s="19"/>
      <c r="FH1145" s="21" t="s">
        <v>197</v>
      </c>
      <c r="FI1145" s="17" t="s">
        <v>214</v>
      </c>
      <c r="FJ1145" s="18">
        <v>45720.376064814816</v>
      </c>
      <c r="FK1145" s="14" t="s">
        <v>21956</v>
      </c>
      <c r="FL1145" s="14" t="s">
        <v>21957</v>
      </c>
      <c r="FM1145" s="14" t="s">
        <v>21958</v>
      </c>
      <c r="FN1145" s="19"/>
      <c r="FO1145" s="19"/>
      <c r="FP1145" s="19" t="str">
        <f t="shared" si="1"/>
        <v>Base de Dados_Images/XV65109.Imagem do Equipamento-.172828.jpg</v>
      </c>
      <c r="FQ1145" s="19"/>
      <c r="FR1145" s="19"/>
    </row>
    <row r="1146" ht="15.75" customHeight="1">
      <c r="A1146" s="12" t="s">
        <v>234</v>
      </c>
      <c r="B1146" s="12" t="s">
        <v>17296</v>
      </c>
      <c r="C1146" s="12" t="s">
        <v>219</v>
      </c>
      <c r="D1146" s="22" t="s">
        <v>21959</v>
      </c>
      <c r="E1146" s="22" t="s">
        <v>21960</v>
      </c>
      <c r="F1146" s="13" t="s">
        <v>178</v>
      </c>
      <c r="G1146" s="14" t="s">
        <v>179</v>
      </c>
      <c r="H1146" s="14" t="s">
        <v>21961</v>
      </c>
      <c r="I1146" s="14" t="s">
        <v>179</v>
      </c>
      <c r="J1146" s="14" t="s">
        <v>21962</v>
      </c>
      <c r="K1146" s="14" t="s">
        <v>179</v>
      </c>
      <c r="L1146" s="14" t="s">
        <v>21963</v>
      </c>
      <c r="M1146" s="14" t="s">
        <v>179</v>
      </c>
      <c r="N1146" s="14" t="s">
        <v>21964</v>
      </c>
      <c r="O1146" s="14" t="s">
        <v>179</v>
      </c>
      <c r="P1146" s="14" t="s">
        <v>21965</v>
      </c>
      <c r="Q1146" s="14" t="s">
        <v>179</v>
      </c>
      <c r="R1146" s="14" t="s">
        <v>21966</v>
      </c>
      <c r="S1146" s="14" t="s">
        <v>179</v>
      </c>
      <c r="T1146" s="14" t="s">
        <v>21967</v>
      </c>
      <c r="U1146" s="14" t="s">
        <v>179</v>
      </c>
      <c r="V1146" s="14" t="s">
        <v>21968</v>
      </c>
      <c r="W1146" s="15"/>
      <c r="X1146" s="15"/>
      <c r="Y1146" s="15"/>
      <c r="Z1146" s="15"/>
      <c r="AA1146" s="15"/>
      <c r="AB1146" s="15"/>
      <c r="AC1146" s="15"/>
      <c r="AD1146" s="15"/>
      <c r="AE1146" s="15"/>
      <c r="AF1146" s="15"/>
      <c r="AG1146" s="15"/>
      <c r="AH1146" s="15"/>
      <c r="AI1146" s="15"/>
      <c r="AJ1146" s="15"/>
      <c r="AK1146" s="15"/>
      <c r="AL1146" s="15"/>
      <c r="AM1146" s="15"/>
      <c r="AN1146" s="15"/>
      <c r="AO1146" s="15"/>
      <c r="AP1146" s="15"/>
      <c r="AQ1146" s="15"/>
      <c r="AR1146" s="15"/>
      <c r="AS1146" s="15"/>
      <c r="AT1146" s="15"/>
      <c r="AU1146" s="15"/>
      <c r="AV1146" s="15"/>
      <c r="AW1146" s="15"/>
      <c r="AX1146" s="15"/>
      <c r="AY1146" s="15"/>
      <c r="AZ1146" s="15"/>
      <c r="BA1146" s="15"/>
      <c r="BB1146" s="15"/>
      <c r="BC1146" s="15"/>
      <c r="BD1146" s="15"/>
      <c r="BE1146" s="15"/>
      <c r="BF1146" s="15"/>
      <c r="BG1146" s="15"/>
      <c r="BH1146" s="15"/>
      <c r="BI1146" s="15"/>
      <c r="BJ1146" s="15"/>
      <c r="BK1146" s="15"/>
      <c r="BL1146" s="15"/>
      <c r="BM1146" s="15"/>
      <c r="BN1146" s="15"/>
      <c r="BO1146" s="16" t="s">
        <v>197</v>
      </c>
      <c r="BP1146" s="17" t="s">
        <v>228</v>
      </c>
      <c r="BQ1146" s="23"/>
      <c r="BR1146" s="17" t="s">
        <v>198</v>
      </c>
      <c r="BS1146" s="18">
        <v>45694.627650462964</v>
      </c>
      <c r="BT1146" s="17" t="s">
        <v>198</v>
      </c>
      <c r="BU1146" s="18">
        <v>45694.627650462964</v>
      </c>
      <c r="BV1146" s="13" t="s">
        <v>199</v>
      </c>
      <c r="BW1146" s="14" t="s">
        <v>179</v>
      </c>
      <c r="BX1146" s="14" t="s">
        <v>21969</v>
      </c>
      <c r="BY1146" s="14" t="s">
        <v>179</v>
      </c>
      <c r="BZ1146" s="14" t="s">
        <v>21970</v>
      </c>
      <c r="CA1146" s="15"/>
      <c r="CB1146" s="15"/>
      <c r="CC1146" s="15"/>
      <c r="CD1146" s="15"/>
      <c r="CE1146" s="15"/>
      <c r="CF1146" s="15"/>
      <c r="CG1146" s="19"/>
      <c r="CH1146" s="15"/>
      <c r="CI1146" s="19"/>
      <c r="CJ1146" s="15"/>
      <c r="CK1146" s="19"/>
      <c r="CL1146" s="15"/>
      <c r="CM1146" s="19"/>
      <c r="CN1146" s="15"/>
      <c r="CO1146" s="19"/>
      <c r="CP1146" s="15"/>
      <c r="CQ1146" s="15"/>
      <c r="CR1146" s="15"/>
      <c r="CS1146" s="19"/>
      <c r="CT1146" s="15"/>
      <c r="CU1146" s="19"/>
      <c r="CV1146" s="15"/>
      <c r="CW1146" s="19"/>
      <c r="CX1146" s="15"/>
      <c r="CY1146" s="19"/>
      <c r="CZ1146" s="15"/>
      <c r="DA1146" s="16" t="s">
        <v>197</v>
      </c>
      <c r="DB1146" s="17" t="s">
        <v>228</v>
      </c>
      <c r="DC1146" s="16"/>
      <c r="DD1146" s="17" t="s">
        <v>198</v>
      </c>
      <c r="DE1146" s="18">
        <v>45694.627754629626</v>
      </c>
      <c r="DF1146" s="17" t="s">
        <v>198</v>
      </c>
      <c r="DG1146" s="18">
        <v>45694.627754629626</v>
      </c>
      <c r="DH1146" s="13" t="s">
        <v>205</v>
      </c>
      <c r="DI1146" s="14" t="s">
        <v>179</v>
      </c>
      <c r="DJ1146" s="14" t="s">
        <v>21971</v>
      </c>
      <c r="DK1146" s="15"/>
      <c r="DL1146" s="15"/>
      <c r="DM1146" s="15"/>
      <c r="DN1146" s="15"/>
      <c r="DO1146" s="15"/>
      <c r="DP1146" s="15"/>
      <c r="DQ1146" s="15"/>
      <c r="DR1146" s="15"/>
      <c r="DS1146" s="15"/>
      <c r="DT1146" s="15"/>
      <c r="DU1146" s="15"/>
      <c r="DV1146" s="15"/>
      <c r="DW1146" s="15"/>
      <c r="DX1146" s="15"/>
      <c r="DY1146" s="15"/>
      <c r="DZ1146" s="15"/>
      <c r="EA1146" s="15"/>
      <c r="EB1146" s="15"/>
      <c r="EC1146" s="16" t="s">
        <v>197</v>
      </c>
      <c r="ED1146" s="17" t="s">
        <v>198</v>
      </c>
      <c r="EE1146" s="18">
        <v>45719.52751157407</v>
      </c>
      <c r="EF1146" s="13" t="s">
        <v>209</v>
      </c>
      <c r="EG1146" s="14" t="s">
        <v>179</v>
      </c>
      <c r="EH1146" s="14" t="s">
        <v>21972</v>
      </c>
      <c r="EI1146" s="15"/>
      <c r="EJ1146" s="15"/>
      <c r="EK1146" s="15"/>
      <c r="EL1146" s="15"/>
      <c r="EM1146" s="15"/>
      <c r="EN1146" s="15"/>
      <c r="EO1146" s="15"/>
      <c r="EP1146" s="15"/>
      <c r="EQ1146" s="15"/>
      <c r="ER1146" s="15"/>
      <c r="ES1146" s="15"/>
      <c r="ET1146" s="15"/>
      <c r="EU1146" s="15"/>
      <c r="EV1146" s="15"/>
      <c r="EW1146" s="15"/>
      <c r="EX1146" s="15"/>
      <c r="EY1146" s="15"/>
      <c r="EZ1146" s="15"/>
      <c r="FA1146" s="15"/>
      <c r="FB1146" s="15"/>
      <c r="FC1146" s="16" t="s">
        <v>197</v>
      </c>
      <c r="FD1146" s="17" t="s">
        <v>198</v>
      </c>
      <c r="FE1146" s="18">
        <v>45720.37611111111</v>
      </c>
      <c r="FF1146" s="19"/>
      <c r="FG1146" s="19"/>
      <c r="FH1146" s="21" t="s">
        <v>197</v>
      </c>
      <c r="FI1146" s="17" t="s">
        <v>214</v>
      </c>
      <c r="FJ1146" s="18">
        <v>45720.37611111111</v>
      </c>
      <c r="FK1146" s="14" t="s">
        <v>21972</v>
      </c>
      <c r="FL1146" s="14" t="s">
        <v>21973</v>
      </c>
      <c r="FM1146" s="14" t="s">
        <v>21974</v>
      </c>
      <c r="FN1146" s="19"/>
      <c r="FO1146" s="19"/>
      <c r="FP1146" s="19" t="str">
        <f t="shared" si="1"/>
        <v>Base de Dados_Images/XV65110.Imagem do Equipamento-.170519.jpg</v>
      </c>
      <c r="FQ1146" s="19"/>
      <c r="FR1146" s="19"/>
    </row>
    <row r="1147" ht="15.75" customHeight="1">
      <c r="A1147" s="12" t="s">
        <v>234</v>
      </c>
      <c r="B1147" s="12" t="s">
        <v>21975</v>
      </c>
      <c r="C1147" s="12" t="s">
        <v>219</v>
      </c>
      <c r="D1147" s="22" t="s">
        <v>21976</v>
      </c>
      <c r="E1147" s="22" t="s">
        <v>21977</v>
      </c>
      <c r="F1147" s="13" t="s">
        <v>178</v>
      </c>
      <c r="G1147" s="14" t="s">
        <v>179</v>
      </c>
      <c r="H1147" s="14" t="s">
        <v>21978</v>
      </c>
      <c r="I1147" s="14" t="s">
        <v>179</v>
      </c>
      <c r="J1147" s="14" t="s">
        <v>21979</v>
      </c>
      <c r="K1147" s="14" t="s">
        <v>179</v>
      </c>
      <c r="L1147" s="14" t="s">
        <v>21980</v>
      </c>
      <c r="M1147" s="14" t="s">
        <v>179</v>
      </c>
      <c r="N1147" s="14" t="s">
        <v>21981</v>
      </c>
      <c r="O1147" s="14" t="s">
        <v>179</v>
      </c>
      <c r="P1147" s="14" t="s">
        <v>21982</v>
      </c>
      <c r="Q1147" s="14" t="s">
        <v>179</v>
      </c>
      <c r="R1147" s="14" t="s">
        <v>21983</v>
      </c>
      <c r="S1147" s="14" t="s">
        <v>179</v>
      </c>
      <c r="T1147" s="14" t="s">
        <v>21984</v>
      </c>
      <c r="U1147" s="14" t="s">
        <v>179</v>
      </c>
      <c r="V1147" s="14" t="s">
        <v>21985</v>
      </c>
      <c r="W1147" s="15"/>
      <c r="X1147" s="15"/>
      <c r="Y1147" s="15"/>
      <c r="Z1147" s="15"/>
      <c r="AA1147" s="15"/>
      <c r="AB1147" s="15"/>
      <c r="AC1147" s="15"/>
      <c r="AD1147" s="15"/>
      <c r="AE1147" s="15"/>
      <c r="AF1147" s="15"/>
      <c r="AG1147" s="15"/>
      <c r="AH1147" s="15"/>
      <c r="AI1147" s="15"/>
      <c r="AJ1147" s="15"/>
      <c r="AK1147" s="15"/>
      <c r="AL1147" s="15"/>
      <c r="AM1147" s="15"/>
      <c r="AN1147" s="15"/>
      <c r="AO1147" s="15"/>
      <c r="AP1147" s="15"/>
      <c r="AQ1147" s="15"/>
      <c r="AR1147" s="15"/>
      <c r="AS1147" s="15"/>
      <c r="AT1147" s="15"/>
      <c r="AU1147" s="15"/>
      <c r="AV1147" s="15"/>
      <c r="AW1147" s="15"/>
      <c r="AX1147" s="15"/>
      <c r="AY1147" s="15"/>
      <c r="AZ1147" s="15"/>
      <c r="BA1147" s="15"/>
      <c r="BB1147" s="15"/>
      <c r="BC1147" s="15"/>
      <c r="BD1147" s="15"/>
      <c r="BE1147" s="15"/>
      <c r="BF1147" s="15"/>
      <c r="BG1147" s="15"/>
      <c r="BH1147" s="15"/>
      <c r="BI1147" s="15"/>
      <c r="BJ1147" s="15"/>
      <c r="BK1147" s="15"/>
      <c r="BL1147" s="15"/>
      <c r="BM1147" s="15"/>
      <c r="BN1147" s="15"/>
      <c r="BO1147" s="16" t="s">
        <v>197</v>
      </c>
      <c r="BP1147" s="17" t="s">
        <v>228</v>
      </c>
      <c r="BQ1147" s="23"/>
      <c r="BR1147" s="17" t="s">
        <v>198</v>
      </c>
      <c r="BS1147" s="18">
        <v>45694.63023148148</v>
      </c>
      <c r="BT1147" s="17" t="s">
        <v>198</v>
      </c>
      <c r="BU1147" s="18">
        <v>45694.63023148148</v>
      </c>
      <c r="BV1147" s="13" t="s">
        <v>199</v>
      </c>
      <c r="BW1147" s="14" t="s">
        <v>179</v>
      </c>
      <c r="BX1147" s="14" t="s">
        <v>21986</v>
      </c>
      <c r="BY1147" s="14" t="s">
        <v>179</v>
      </c>
      <c r="BZ1147" s="14" t="s">
        <v>21987</v>
      </c>
      <c r="CA1147" s="15"/>
      <c r="CB1147" s="15"/>
      <c r="CC1147" s="15"/>
      <c r="CD1147" s="15"/>
      <c r="CE1147" s="15"/>
      <c r="CF1147" s="15"/>
      <c r="CG1147" s="19"/>
      <c r="CH1147" s="15"/>
      <c r="CI1147" s="19"/>
      <c r="CJ1147" s="15"/>
      <c r="CK1147" s="19"/>
      <c r="CL1147" s="15"/>
      <c r="CM1147" s="19"/>
      <c r="CN1147" s="15"/>
      <c r="CO1147" s="19"/>
      <c r="CP1147" s="15"/>
      <c r="CQ1147" s="15"/>
      <c r="CR1147" s="15"/>
      <c r="CS1147" s="19"/>
      <c r="CT1147" s="15"/>
      <c r="CU1147" s="19"/>
      <c r="CV1147" s="15"/>
      <c r="CW1147" s="19"/>
      <c r="CX1147" s="15"/>
      <c r="CY1147" s="19"/>
      <c r="CZ1147" s="15"/>
      <c r="DA1147" s="16" t="s">
        <v>197</v>
      </c>
      <c r="DB1147" s="17" t="s">
        <v>228</v>
      </c>
      <c r="DC1147" s="16"/>
      <c r="DD1147" s="17" t="s">
        <v>198</v>
      </c>
      <c r="DE1147" s="18">
        <v>45694.63097222222</v>
      </c>
      <c r="DF1147" s="17" t="s">
        <v>198</v>
      </c>
      <c r="DG1147" s="18">
        <v>45694.63097222222</v>
      </c>
      <c r="DH1147" s="13" t="s">
        <v>205</v>
      </c>
      <c r="DI1147" s="14" t="s">
        <v>179</v>
      </c>
      <c r="DJ1147" s="14" t="s">
        <v>21988</v>
      </c>
      <c r="DK1147" s="15"/>
      <c r="DL1147" s="15"/>
      <c r="DM1147" s="15"/>
      <c r="DN1147" s="15"/>
      <c r="DO1147" s="15"/>
      <c r="DP1147" s="15"/>
      <c r="DQ1147" s="15"/>
      <c r="DR1147" s="15"/>
      <c r="DS1147" s="15"/>
      <c r="DT1147" s="15"/>
      <c r="DU1147" s="15"/>
      <c r="DV1147" s="15"/>
      <c r="DW1147" s="15"/>
      <c r="DX1147" s="15"/>
      <c r="DY1147" s="15"/>
      <c r="DZ1147" s="15"/>
      <c r="EA1147" s="15"/>
      <c r="EB1147" s="15"/>
      <c r="EC1147" s="16" t="s">
        <v>197</v>
      </c>
      <c r="ED1147" s="17" t="s">
        <v>198</v>
      </c>
      <c r="EE1147" s="18">
        <v>45719.53146990741</v>
      </c>
      <c r="EF1147" s="13" t="s">
        <v>209</v>
      </c>
      <c r="EG1147" s="14" t="s">
        <v>179</v>
      </c>
      <c r="EH1147" s="14" t="s">
        <v>21989</v>
      </c>
      <c r="EI1147" s="15"/>
      <c r="EJ1147" s="15"/>
      <c r="EK1147" s="15"/>
      <c r="EL1147" s="15"/>
      <c r="EM1147" s="15"/>
      <c r="EN1147" s="15"/>
      <c r="EO1147" s="15"/>
      <c r="EP1147" s="15"/>
      <c r="EQ1147" s="15"/>
      <c r="ER1147" s="15"/>
      <c r="ES1147" s="15"/>
      <c r="ET1147" s="15"/>
      <c r="EU1147" s="15"/>
      <c r="EV1147" s="15"/>
      <c r="EW1147" s="15"/>
      <c r="EX1147" s="15"/>
      <c r="EY1147" s="15"/>
      <c r="EZ1147" s="15"/>
      <c r="FA1147" s="15"/>
      <c r="FB1147" s="15"/>
      <c r="FC1147" s="16" t="s">
        <v>197</v>
      </c>
      <c r="FD1147" s="17" t="s">
        <v>198</v>
      </c>
      <c r="FE1147" s="18">
        <v>45722.39162037037</v>
      </c>
      <c r="FF1147" s="19"/>
      <c r="FG1147" s="19"/>
      <c r="FH1147" s="21" t="s">
        <v>197</v>
      </c>
      <c r="FI1147" s="17" t="s">
        <v>214</v>
      </c>
      <c r="FJ1147" s="18">
        <v>45722.39162037037</v>
      </c>
      <c r="FK1147" s="14" t="s">
        <v>21989</v>
      </c>
      <c r="FL1147" s="14" t="s">
        <v>21990</v>
      </c>
      <c r="FM1147" s="14" t="s">
        <v>21991</v>
      </c>
      <c r="FN1147" s="19"/>
      <c r="FO1147" s="19"/>
      <c r="FP1147" s="19" t="str">
        <f t="shared" si="1"/>
        <v>Base de Dados_Images/XV65111.Imagem do Equipamento-.171325.jpg</v>
      </c>
      <c r="FQ1147" s="19"/>
      <c r="FR1147" s="19"/>
    </row>
    <row r="1148" ht="15.75" customHeight="1">
      <c r="A1148" s="12" t="s">
        <v>234</v>
      </c>
      <c r="B1148" s="12" t="s">
        <v>21975</v>
      </c>
      <c r="C1148" s="12" t="s">
        <v>219</v>
      </c>
      <c r="D1148" s="22" t="s">
        <v>21992</v>
      </c>
      <c r="E1148" s="22" t="s">
        <v>21993</v>
      </c>
      <c r="F1148" s="13" t="s">
        <v>178</v>
      </c>
      <c r="G1148" s="14" t="s">
        <v>179</v>
      </c>
      <c r="H1148" s="14" t="s">
        <v>21994</v>
      </c>
      <c r="I1148" s="14" t="s">
        <v>179</v>
      </c>
      <c r="J1148" s="14" t="s">
        <v>21995</v>
      </c>
      <c r="K1148" s="14" t="s">
        <v>179</v>
      </c>
      <c r="L1148" s="14" t="s">
        <v>21996</v>
      </c>
      <c r="M1148" s="14" t="s">
        <v>179</v>
      </c>
      <c r="N1148" s="14" t="s">
        <v>21997</v>
      </c>
      <c r="O1148" s="14" t="s">
        <v>179</v>
      </c>
      <c r="P1148" s="14" t="s">
        <v>21998</v>
      </c>
      <c r="Q1148" s="14" t="s">
        <v>179</v>
      </c>
      <c r="R1148" s="14" t="s">
        <v>21999</v>
      </c>
      <c r="S1148" s="14" t="s">
        <v>179</v>
      </c>
      <c r="T1148" s="14" t="s">
        <v>22000</v>
      </c>
      <c r="U1148" s="14" t="s">
        <v>179</v>
      </c>
      <c r="V1148" s="14" t="s">
        <v>22001</v>
      </c>
      <c r="W1148" s="15"/>
      <c r="X1148" s="15"/>
      <c r="Y1148" s="15"/>
      <c r="Z1148" s="15"/>
      <c r="AA1148" s="15"/>
      <c r="AB1148" s="15"/>
      <c r="AC1148" s="15"/>
      <c r="AD1148" s="15"/>
      <c r="AE1148" s="15"/>
      <c r="AF1148" s="15"/>
      <c r="AG1148" s="15"/>
      <c r="AH1148" s="15"/>
      <c r="AI1148" s="15"/>
      <c r="AJ1148" s="15"/>
      <c r="AK1148" s="15"/>
      <c r="AL1148" s="15"/>
      <c r="AM1148" s="15"/>
      <c r="AN1148" s="15"/>
      <c r="AO1148" s="15"/>
      <c r="AP1148" s="15"/>
      <c r="AQ1148" s="15"/>
      <c r="AR1148" s="15"/>
      <c r="AS1148" s="15"/>
      <c r="AT1148" s="15"/>
      <c r="AU1148" s="15"/>
      <c r="AV1148" s="15"/>
      <c r="AW1148" s="15"/>
      <c r="AX1148" s="15"/>
      <c r="AY1148" s="15"/>
      <c r="AZ1148" s="15"/>
      <c r="BA1148" s="15"/>
      <c r="BB1148" s="15"/>
      <c r="BC1148" s="15"/>
      <c r="BD1148" s="15"/>
      <c r="BE1148" s="15"/>
      <c r="BF1148" s="15"/>
      <c r="BG1148" s="15"/>
      <c r="BH1148" s="15"/>
      <c r="BI1148" s="15"/>
      <c r="BJ1148" s="15"/>
      <c r="BK1148" s="15"/>
      <c r="BL1148" s="15"/>
      <c r="BM1148" s="15"/>
      <c r="BN1148" s="15"/>
      <c r="BO1148" s="16" t="s">
        <v>197</v>
      </c>
      <c r="BP1148" s="17" t="s">
        <v>228</v>
      </c>
      <c r="BQ1148" s="23"/>
      <c r="BR1148" s="17" t="s">
        <v>198</v>
      </c>
      <c r="BS1148" s="18">
        <v>45694.630844907406</v>
      </c>
      <c r="BT1148" s="17" t="s">
        <v>198</v>
      </c>
      <c r="BU1148" s="18">
        <v>45694.630844907406</v>
      </c>
      <c r="BV1148" s="13" t="s">
        <v>199</v>
      </c>
      <c r="BW1148" s="14" t="s">
        <v>179</v>
      </c>
      <c r="BX1148" s="14" t="s">
        <v>22002</v>
      </c>
      <c r="BY1148" s="14" t="s">
        <v>179</v>
      </c>
      <c r="BZ1148" s="14" t="s">
        <v>22003</v>
      </c>
      <c r="CA1148" s="15"/>
      <c r="CB1148" s="15"/>
      <c r="CC1148" s="15"/>
      <c r="CD1148" s="15"/>
      <c r="CE1148" s="15"/>
      <c r="CF1148" s="15"/>
      <c r="CG1148" s="19"/>
      <c r="CH1148" s="15"/>
      <c r="CI1148" s="19"/>
      <c r="CJ1148" s="15"/>
      <c r="CK1148" s="19"/>
      <c r="CL1148" s="15"/>
      <c r="CM1148" s="19"/>
      <c r="CN1148" s="15"/>
      <c r="CO1148" s="19"/>
      <c r="CP1148" s="15"/>
      <c r="CQ1148" s="15"/>
      <c r="CR1148" s="15"/>
      <c r="CS1148" s="19"/>
      <c r="CT1148" s="15"/>
      <c r="CU1148" s="19"/>
      <c r="CV1148" s="15"/>
      <c r="CW1148" s="19"/>
      <c r="CX1148" s="15"/>
      <c r="CY1148" s="19"/>
      <c r="CZ1148" s="15"/>
      <c r="DA1148" s="16" t="s">
        <v>197</v>
      </c>
      <c r="DB1148" s="17" t="s">
        <v>228</v>
      </c>
      <c r="DC1148" s="16"/>
      <c r="DD1148" s="17" t="s">
        <v>198</v>
      </c>
      <c r="DE1148" s="18">
        <v>45694.63107638889</v>
      </c>
      <c r="DF1148" s="17" t="s">
        <v>198</v>
      </c>
      <c r="DG1148" s="18">
        <v>45694.63107638889</v>
      </c>
      <c r="DH1148" s="13" t="s">
        <v>205</v>
      </c>
      <c r="DI1148" s="14" t="s">
        <v>179</v>
      </c>
      <c r="DJ1148" s="14" t="s">
        <v>22004</v>
      </c>
      <c r="DK1148" s="15"/>
      <c r="DL1148" s="15"/>
      <c r="DM1148" s="15"/>
      <c r="DN1148" s="15"/>
      <c r="DO1148" s="15"/>
      <c r="DP1148" s="15"/>
      <c r="DQ1148" s="15"/>
      <c r="DR1148" s="15"/>
      <c r="DS1148" s="15"/>
      <c r="DT1148" s="15"/>
      <c r="DU1148" s="15"/>
      <c r="DV1148" s="15"/>
      <c r="DW1148" s="15"/>
      <c r="DX1148" s="15"/>
      <c r="DY1148" s="15"/>
      <c r="DZ1148" s="15"/>
      <c r="EA1148" s="15"/>
      <c r="EB1148" s="15"/>
      <c r="EC1148" s="16" t="s">
        <v>197</v>
      </c>
      <c r="ED1148" s="17" t="s">
        <v>198</v>
      </c>
      <c r="EE1148" s="18">
        <v>45719.531539351854</v>
      </c>
      <c r="EF1148" s="13" t="s">
        <v>209</v>
      </c>
      <c r="EG1148" s="14" t="s">
        <v>179</v>
      </c>
      <c r="EH1148" s="14" t="s">
        <v>22005</v>
      </c>
      <c r="EI1148" s="15"/>
      <c r="EJ1148" s="15"/>
      <c r="EK1148" s="15"/>
      <c r="EL1148" s="15"/>
      <c r="EM1148" s="15"/>
      <c r="EN1148" s="15"/>
      <c r="EO1148" s="15"/>
      <c r="EP1148" s="15"/>
      <c r="EQ1148" s="15"/>
      <c r="ER1148" s="15"/>
      <c r="ES1148" s="15"/>
      <c r="ET1148" s="15"/>
      <c r="EU1148" s="15"/>
      <c r="EV1148" s="15"/>
      <c r="EW1148" s="15"/>
      <c r="EX1148" s="15"/>
      <c r="EY1148" s="15"/>
      <c r="EZ1148" s="15"/>
      <c r="FA1148" s="15"/>
      <c r="FB1148" s="15"/>
      <c r="FC1148" s="16" t="s">
        <v>197</v>
      </c>
      <c r="FD1148" s="17" t="s">
        <v>198</v>
      </c>
      <c r="FE1148" s="18">
        <v>45722.39167824074</v>
      </c>
      <c r="FF1148" s="19"/>
      <c r="FG1148" s="19"/>
      <c r="FH1148" s="21" t="s">
        <v>197</v>
      </c>
      <c r="FI1148" s="17" t="s">
        <v>214</v>
      </c>
      <c r="FJ1148" s="18">
        <v>45722.39167824074</v>
      </c>
      <c r="FK1148" s="14" t="s">
        <v>22005</v>
      </c>
      <c r="FL1148" s="14" t="s">
        <v>22006</v>
      </c>
      <c r="FM1148" s="14" t="s">
        <v>22007</v>
      </c>
      <c r="FN1148" s="19"/>
      <c r="FO1148" s="19"/>
      <c r="FP1148" s="19" t="str">
        <f t="shared" si="1"/>
        <v>Base de Dados_Images/XV65112.Imagem do Equipamento-.171400.jpg</v>
      </c>
      <c r="FQ1148" s="19"/>
      <c r="FR1148" s="19"/>
    </row>
    <row r="1149" ht="15.75" customHeight="1">
      <c r="A1149" s="12" t="s">
        <v>234</v>
      </c>
      <c r="B1149" s="12" t="s">
        <v>3230</v>
      </c>
      <c r="C1149" s="12" t="s">
        <v>219</v>
      </c>
      <c r="D1149" s="22" t="s">
        <v>22008</v>
      </c>
      <c r="E1149" s="22" t="s">
        <v>22009</v>
      </c>
      <c r="F1149" s="13" t="s">
        <v>178</v>
      </c>
      <c r="G1149" s="14" t="s">
        <v>179</v>
      </c>
      <c r="H1149" s="14" t="s">
        <v>22010</v>
      </c>
      <c r="I1149" s="14" t="s">
        <v>179</v>
      </c>
      <c r="J1149" s="14" t="s">
        <v>22010</v>
      </c>
      <c r="K1149" s="14" t="s">
        <v>179</v>
      </c>
      <c r="L1149" s="14" t="s">
        <v>22011</v>
      </c>
      <c r="M1149" s="14" t="s">
        <v>179</v>
      </c>
      <c r="N1149" s="14" t="s">
        <v>22011</v>
      </c>
      <c r="O1149" s="14" t="s">
        <v>179</v>
      </c>
      <c r="P1149" s="14" t="s">
        <v>22012</v>
      </c>
      <c r="Q1149" s="14" t="s">
        <v>179</v>
      </c>
      <c r="R1149" s="14" t="s">
        <v>22013</v>
      </c>
      <c r="S1149" s="14" t="s">
        <v>179</v>
      </c>
      <c r="T1149" s="14" t="s">
        <v>22014</v>
      </c>
      <c r="U1149" s="14" t="s">
        <v>179</v>
      </c>
      <c r="V1149" s="14" t="s">
        <v>22015</v>
      </c>
      <c r="W1149" s="15"/>
      <c r="X1149" s="15"/>
      <c r="Y1149" s="15"/>
      <c r="Z1149" s="15"/>
      <c r="AA1149" s="15"/>
      <c r="AB1149" s="15"/>
      <c r="AC1149" s="15"/>
      <c r="AD1149" s="15"/>
      <c r="AE1149" s="15"/>
      <c r="AF1149" s="15"/>
      <c r="AG1149" s="15"/>
      <c r="AH1149" s="15"/>
      <c r="AI1149" s="15"/>
      <c r="AJ1149" s="15"/>
      <c r="AK1149" s="15"/>
      <c r="AL1149" s="15"/>
      <c r="AM1149" s="15"/>
      <c r="AN1149" s="15"/>
      <c r="AO1149" s="15"/>
      <c r="AP1149" s="15"/>
      <c r="AQ1149" s="15"/>
      <c r="AR1149" s="15"/>
      <c r="AS1149" s="15"/>
      <c r="AT1149" s="15"/>
      <c r="AU1149" s="15"/>
      <c r="AV1149" s="15"/>
      <c r="AW1149" s="15"/>
      <c r="AX1149" s="15"/>
      <c r="AY1149" s="15"/>
      <c r="AZ1149" s="15"/>
      <c r="BA1149" s="15"/>
      <c r="BB1149" s="15"/>
      <c r="BC1149" s="15"/>
      <c r="BD1149" s="15"/>
      <c r="BE1149" s="15"/>
      <c r="BF1149" s="15"/>
      <c r="BG1149" s="15"/>
      <c r="BH1149" s="15"/>
      <c r="BI1149" s="15"/>
      <c r="BJ1149" s="15"/>
      <c r="BK1149" s="15"/>
      <c r="BL1149" s="15"/>
      <c r="BM1149" s="15"/>
      <c r="BN1149" s="15"/>
      <c r="BO1149" s="16" t="s">
        <v>197</v>
      </c>
      <c r="BP1149" s="17" t="s">
        <v>228</v>
      </c>
      <c r="BQ1149" s="23"/>
      <c r="BR1149" s="17" t="s">
        <v>198</v>
      </c>
      <c r="BS1149" s="18">
        <v>45694.59002314815</v>
      </c>
      <c r="BT1149" s="17" t="s">
        <v>198</v>
      </c>
      <c r="BU1149" s="18">
        <v>45694.59002314815</v>
      </c>
      <c r="BV1149" s="13" t="s">
        <v>199</v>
      </c>
      <c r="BW1149" s="14" t="s">
        <v>179</v>
      </c>
      <c r="BX1149" s="14" t="s">
        <v>22016</v>
      </c>
      <c r="BY1149" s="14" t="s">
        <v>179</v>
      </c>
      <c r="BZ1149" s="14" t="s">
        <v>22017</v>
      </c>
      <c r="CA1149" s="15"/>
      <c r="CB1149" s="15"/>
      <c r="CC1149" s="15"/>
      <c r="CD1149" s="15"/>
      <c r="CE1149" s="15"/>
      <c r="CF1149" s="15"/>
      <c r="CG1149" s="19"/>
      <c r="CH1149" s="15"/>
      <c r="CI1149" s="19"/>
      <c r="CJ1149" s="15"/>
      <c r="CK1149" s="19"/>
      <c r="CL1149" s="15"/>
      <c r="CM1149" s="19"/>
      <c r="CN1149" s="15"/>
      <c r="CO1149" s="19"/>
      <c r="CP1149" s="15"/>
      <c r="CQ1149" s="15"/>
      <c r="CR1149" s="15"/>
      <c r="CS1149" s="19"/>
      <c r="CT1149" s="15"/>
      <c r="CU1149" s="19"/>
      <c r="CV1149" s="15"/>
      <c r="CW1149" s="19"/>
      <c r="CX1149" s="15"/>
      <c r="CY1149" s="19"/>
      <c r="CZ1149" s="15"/>
      <c r="DA1149" s="16" t="s">
        <v>197</v>
      </c>
      <c r="DB1149" s="17" t="s">
        <v>228</v>
      </c>
      <c r="DC1149" s="16"/>
      <c r="DD1149" s="17" t="s">
        <v>198</v>
      </c>
      <c r="DE1149" s="18">
        <v>45696.59606481482</v>
      </c>
      <c r="DF1149" s="17" t="s">
        <v>198</v>
      </c>
      <c r="DG1149" s="18">
        <v>45696.59606481482</v>
      </c>
      <c r="DH1149" s="13" t="s">
        <v>205</v>
      </c>
      <c r="DI1149" s="14" t="s">
        <v>179</v>
      </c>
      <c r="DJ1149" s="14" t="s">
        <v>22018</v>
      </c>
      <c r="DK1149" s="15"/>
      <c r="DL1149" s="15"/>
      <c r="DM1149" s="15"/>
      <c r="DN1149" s="15"/>
      <c r="DO1149" s="15"/>
      <c r="DP1149" s="15"/>
      <c r="DQ1149" s="15"/>
      <c r="DR1149" s="15"/>
      <c r="DS1149" s="15"/>
      <c r="DT1149" s="15"/>
      <c r="DU1149" s="15"/>
      <c r="DV1149" s="15"/>
      <c r="DW1149" s="15"/>
      <c r="DX1149" s="15"/>
      <c r="DY1149" s="15"/>
      <c r="DZ1149" s="15"/>
      <c r="EA1149" s="15"/>
      <c r="EB1149" s="15"/>
      <c r="EC1149" s="16" t="s">
        <v>197</v>
      </c>
      <c r="ED1149" s="17" t="s">
        <v>198</v>
      </c>
      <c r="EE1149" s="18">
        <v>45719.528391203705</v>
      </c>
      <c r="EF1149" s="13" t="s">
        <v>209</v>
      </c>
      <c r="EG1149" s="14" t="s">
        <v>179</v>
      </c>
      <c r="EH1149" s="14" t="s">
        <v>22019</v>
      </c>
      <c r="EI1149" s="15"/>
      <c r="EJ1149" s="15"/>
      <c r="EK1149" s="15"/>
      <c r="EL1149" s="15"/>
      <c r="EM1149" s="15"/>
      <c r="EN1149" s="15"/>
      <c r="EO1149" s="15"/>
      <c r="EP1149" s="15"/>
      <c r="EQ1149" s="15"/>
      <c r="ER1149" s="15"/>
      <c r="ES1149" s="15"/>
      <c r="ET1149" s="15"/>
      <c r="EU1149" s="15"/>
      <c r="EV1149" s="15"/>
      <c r="EW1149" s="15"/>
      <c r="EX1149" s="15"/>
      <c r="EY1149" s="15"/>
      <c r="EZ1149" s="15"/>
      <c r="FA1149" s="15"/>
      <c r="FB1149" s="15"/>
      <c r="FC1149" s="16" t="s">
        <v>197</v>
      </c>
      <c r="FD1149" s="17" t="s">
        <v>198</v>
      </c>
      <c r="FE1149" s="18">
        <v>45723.31364583333</v>
      </c>
      <c r="FF1149" s="19"/>
      <c r="FG1149" s="19"/>
      <c r="FH1149" s="21" t="s">
        <v>197</v>
      </c>
      <c r="FI1149" s="17" t="s">
        <v>214</v>
      </c>
      <c r="FJ1149" s="18">
        <v>45723.31364583333</v>
      </c>
      <c r="FK1149" s="14" t="s">
        <v>22019</v>
      </c>
      <c r="FL1149" s="14" t="s">
        <v>22020</v>
      </c>
      <c r="FM1149" s="14" t="s">
        <v>22021</v>
      </c>
      <c r="FN1149" s="19"/>
      <c r="FO1149" s="19"/>
      <c r="FP1149" s="19" t="str">
        <f t="shared" si="1"/>
        <v>Base de Dados_Images/XV65113.Imagem do Equipamento-.172525.jpg</v>
      </c>
      <c r="FQ1149" s="19"/>
      <c r="FR1149" s="19"/>
    </row>
    <row r="1150" ht="15.75" customHeight="1">
      <c r="A1150" s="12" t="s">
        <v>234</v>
      </c>
      <c r="B1150" s="12" t="s">
        <v>3230</v>
      </c>
      <c r="C1150" s="12" t="s">
        <v>219</v>
      </c>
      <c r="D1150" s="22" t="s">
        <v>22022</v>
      </c>
      <c r="E1150" s="22" t="s">
        <v>22023</v>
      </c>
      <c r="F1150" s="13" t="s">
        <v>178</v>
      </c>
      <c r="G1150" s="14" t="s">
        <v>179</v>
      </c>
      <c r="H1150" s="14" t="s">
        <v>22024</v>
      </c>
      <c r="I1150" s="14" t="s">
        <v>179</v>
      </c>
      <c r="J1150" s="14" t="s">
        <v>22025</v>
      </c>
      <c r="K1150" s="14" t="s">
        <v>179</v>
      </c>
      <c r="L1150" s="14" t="s">
        <v>22026</v>
      </c>
      <c r="M1150" s="14" t="s">
        <v>179</v>
      </c>
      <c r="N1150" s="14" t="s">
        <v>22027</v>
      </c>
      <c r="O1150" s="14" t="s">
        <v>179</v>
      </c>
      <c r="P1150" s="14" t="s">
        <v>22028</v>
      </c>
      <c r="Q1150" s="14" t="s">
        <v>179</v>
      </c>
      <c r="R1150" s="14" t="s">
        <v>22029</v>
      </c>
      <c r="S1150" s="14" t="s">
        <v>179</v>
      </c>
      <c r="T1150" s="14" t="s">
        <v>22029</v>
      </c>
      <c r="U1150" s="14" t="s">
        <v>179</v>
      </c>
      <c r="V1150" s="14" t="s">
        <v>22030</v>
      </c>
      <c r="W1150" s="15"/>
      <c r="X1150" s="15"/>
      <c r="Y1150" s="15"/>
      <c r="Z1150" s="15"/>
      <c r="AA1150" s="15"/>
      <c r="AB1150" s="15"/>
      <c r="AC1150" s="15"/>
      <c r="AD1150" s="15"/>
      <c r="AE1150" s="15"/>
      <c r="AF1150" s="15"/>
      <c r="AG1150" s="15"/>
      <c r="AH1150" s="15"/>
      <c r="AI1150" s="15"/>
      <c r="AJ1150" s="15"/>
      <c r="AK1150" s="15"/>
      <c r="AL1150" s="15"/>
      <c r="AM1150" s="15"/>
      <c r="AN1150" s="15"/>
      <c r="AO1150" s="15"/>
      <c r="AP1150" s="15"/>
      <c r="AQ1150" s="15"/>
      <c r="AR1150" s="15"/>
      <c r="AS1150" s="15"/>
      <c r="AT1150" s="15"/>
      <c r="AU1150" s="15"/>
      <c r="AV1150" s="15"/>
      <c r="AW1150" s="15"/>
      <c r="AX1150" s="15"/>
      <c r="AY1150" s="15"/>
      <c r="AZ1150" s="15"/>
      <c r="BA1150" s="15"/>
      <c r="BB1150" s="15"/>
      <c r="BC1150" s="15"/>
      <c r="BD1150" s="15"/>
      <c r="BE1150" s="15"/>
      <c r="BF1150" s="15"/>
      <c r="BG1150" s="15"/>
      <c r="BH1150" s="15"/>
      <c r="BI1150" s="15"/>
      <c r="BJ1150" s="15"/>
      <c r="BK1150" s="15"/>
      <c r="BL1150" s="15"/>
      <c r="BM1150" s="15"/>
      <c r="BN1150" s="15"/>
      <c r="BO1150" s="16" t="s">
        <v>197</v>
      </c>
      <c r="BP1150" s="17" t="s">
        <v>228</v>
      </c>
      <c r="BQ1150" s="23"/>
      <c r="BR1150" s="17" t="s">
        <v>198</v>
      </c>
      <c r="BS1150" s="18">
        <v>45694.59027777778</v>
      </c>
      <c r="BT1150" s="17" t="s">
        <v>198</v>
      </c>
      <c r="BU1150" s="18">
        <v>45694.59027777778</v>
      </c>
      <c r="BV1150" s="13" t="s">
        <v>199</v>
      </c>
      <c r="BW1150" s="14" t="s">
        <v>179</v>
      </c>
      <c r="BX1150" s="14" t="s">
        <v>22031</v>
      </c>
      <c r="BY1150" s="14" t="s">
        <v>179</v>
      </c>
      <c r="BZ1150" s="14" t="s">
        <v>22032</v>
      </c>
      <c r="CA1150" s="15"/>
      <c r="CB1150" s="15"/>
      <c r="CC1150" s="15"/>
      <c r="CD1150" s="15"/>
      <c r="CE1150" s="15"/>
      <c r="CF1150" s="15"/>
      <c r="CG1150" s="19"/>
      <c r="CH1150" s="15"/>
      <c r="CI1150" s="19"/>
      <c r="CJ1150" s="15"/>
      <c r="CK1150" s="19"/>
      <c r="CL1150" s="15"/>
      <c r="CM1150" s="19"/>
      <c r="CN1150" s="15"/>
      <c r="CO1150" s="19"/>
      <c r="CP1150" s="15"/>
      <c r="CQ1150" s="15"/>
      <c r="CR1150" s="15"/>
      <c r="CS1150" s="19"/>
      <c r="CT1150" s="15"/>
      <c r="CU1150" s="19"/>
      <c r="CV1150" s="15"/>
      <c r="CW1150" s="19"/>
      <c r="CX1150" s="15"/>
      <c r="CY1150" s="19"/>
      <c r="CZ1150" s="15"/>
      <c r="DA1150" s="16" t="s">
        <v>197</v>
      </c>
      <c r="DB1150" s="17" t="s">
        <v>228</v>
      </c>
      <c r="DC1150" s="16"/>
      <c r="DD1150" s="17" t="s">
        <v>198</v>
      </c>
      <c r="DE1150" s="18">
        <v>45696.59616898148</v>
      </c>
      <c r="DF1150" s="17" t="s">
        <v>198</v>
      </c>
      <c r="DG1150" s="18">
        <v>45696.59616898148</v>
      </c>
      <c r="DH1150" s="13" t="s">
        <v>205</v>
      </c>
      <c r="DI1150" s="14" t="s">
        <v>179</v>
      </c>
      <c r="DJ1150" s="14" t="s">
        <v>22033</v>
      </c>
      <c r="DK1150" s="15"/>
      <c r="DL1150" s="15"/>
      <c r="DM1150" s="15"/>
      <c r="DN1150" s="15"/>
      <c r="DO1150" s="15"/>
      <c r="DP1150" s="15"/>
      <c r="DQ1150" s="15"/>
      <c r="DR1150" s="15"/>
      <c r="DS1150" s="15"/>
      <c r="DT1150" s="15"/>
      <c r="DU1150" s="15"/>
      <c r="DV1150" s="15"/>
      <c r="DW1150" s="15"/>
      <c r="DX1150" s="15"/>
      <c r="DY1150" s="15"/>
      <c r="DZ1150" s="15"/>
      <c r="EA1150" s="15"/>
      <c r="EB1150" s="15"/>
      <c r="EC1150" s="16" t="s">
        <v>197</v>
      </c>
      <c r="ED1150" s="17" t="s">
        <v>198</v>
      </c>
      <c r="EE1150" s="18">
        <v>45719.52850694444</v>
      </c>
      <c r="EF1150" s="13" t="s">
        <v>209</v>
      </c>
      <c r="EG1150" s="14" t="s">
        <v>179</v>
      </c>
      <c r="EH1150" s="14" t="s">
        <v>22034</v>
      </c>
      <c r="EI1150" s="15"/>
      <c r="EJ1150" s="15"/>
      <c r="EK1150" s="15"/>
      <c r="EL1150" s="15"/>
      <c r="EM1150" s="15"/>
      <c r="EN1150" s="15"/>
      <c r="EO1150" s="15"/>
      <c r="EP1150" s="15"/>
      <c r="EQ1150" s="15"/>
      <c r="ER1150" s="15"/>
      <c r="ES1150" s="15"/>
      <c r="ET1150" s="15"/>
      <c r="EU1150" s="15"/>
      <c r="EV1150" s="15"/>
      <c r="EW1150" s="15"/>
      <c r="EX1150" s="15"/>
      <c r="EY1150" s="15"/>
      <c r="EZ1150" s="15"/>
      <c r="FA1150" s="15"/>
      <c r="FB1150" s="15"/>
      <c r="FC1150" s="16" t="s">
        <v>197</v>
      </c>
      <c r="FD1150" s="17" t="s">
        <v>198</v>
      </c>
      <c r="FE1150" s="18">
        <v>45723.313726851855</v>
      </c>
      <c r="FF1150" s="19"/>
      <c r="FG1150" s="19"/>
      <c r="FH1150" s="21" t="s">
        <v>197</v>
      </c>
      <c r="FI1150" s="17" t="s">
        <v>214</v>
      </c>
      <c r="FJ1150" s="18">
        <v>45723.313726851855</v>
      </c>
      <c r="FK1150" s="14" t="s">
        <v>22034</v>
      </c>
      <c r="FL1150" s="14" t="s">
        <v>22035</v>
      </c>
      <c r="FM1150" s="14" t="s">
        <v>22036</v>
      </c>
      <c r="FN1150" s="19"/>
      <c r="FO1150" s="19"/>
      <c r="FP1150" s="19" t="str">
        <f t="shared" si="1"/>
        <v>Base de Dados_Images/XV65114.Imagem do Equipamento-.172509.jpg</v>
      </c>
      <c r="FQ1150" s="19"/>
      <c r="FR1150" s="19"/>
    </row>
    <row r="1151" ht="15.75" customHeight="1">
      <c r="A1151" s="12" t="s">
        <v>234</v>
      </c>
      <c r="B1151" s="12" t="s">
        <v>3230</v>
      </c>
      <c r="C1151" s="12" t="s">
        <v>219</v>
      </c>
      <c r="D1151" s="22" t="s">
        <v>22037</v>
      </c>
      <c r="E1151" s="22" t="s">
        <v>22038</v>
      </c>
      <c r="F1151" s="13" t="s">
        <v>178</v>
      </c>
      <c r="G1151" s="14" t="s">
        <v>179</v>
      </c>
      <c r="H1151" s="14" t="s">
        <v>22039</v>
      </c>
      <c r="I1151" s="14" t="s">
        <v>179</v>
      </c>
      <c r="J1151" s="14" t="s">
        <v>22040</v>
      </c>
      <c r="K1151" s="14" t="s">
        <v>179</v>
      </c>
      <c r="L1151" s="14" t="s">
        <v>22041</v>
      </c>
      <c r="M1151" s="14" t="s">
        <v>179</v>
      </c>
      <c r="N1151" s="14" t="s">
        <v>22042</v>
      </c>
      <c r="O1151" s="14" t="s">
        <v>179</v>
      </c>
      <c r="P1151" s="14" t="s">
        <v>22043</v>
      </c>
      <c r="Q1151" s="14" t="s">
        <v>179</v>
      </c>
      <c r="R1151" s="14" t="s">
        <v>22044</v>
      </c>
      <c r="S1151" s="14" t="s">
        <v>179</v>
      </c>
      <c r="T1151" s="14" t="s">
        <v>22045</v>
      </c>
      <c r="U1151" s="14" t="s">
        <v>179</v>
      </c>
      <c r="V1151" s="14" t="s">
        <v>22046</v>
      </c>
      <c r="W1151" s="15"/>
      <c r="X1151" s="15"/>
      <c r="Y1151" s="15"/>
      <c r="Z1151" s="15"/>
      <c r="AA1151" s="15"/>
      <c r="AB1151" s="15"/>
      <c r="AC1151" s="15"/>
      <c r="AD1151" s="15"/>
      <c r="AE1151" s="15"/>
      <c r="AF1151" s="15"/>
      <c r="AG1151" s="15"/>
      <c r="AH1151" s="15"/>
      <c r="AI1151" s="15"/>
      <c r="AJ1151" s="15"/>
      <c r="AK1151" s="15"/>
      <c r="AL1151" s="15"/>
      <c r="AM1151" s="15"/>
      <c r="AN1151" s="15"/>
      <c r="AO1151" s="15"/>
      <c r="AP1151" s="15"/>
      <c r="AQ1151" s="15"/>
      <c r="AR1151" s="15"/>
      <c r="AS1151" s="15"/>
      <c r="AT1151" s="15"/>
      <c r="AU1151" s="15"/>
      <c r="AV1151" s="15"/>
      <c r="AW1151" s="15"/>
      <c r="AX1151" s="15"/>
      <c r="AY1151" s="15"/>
      <c r="AZ1151" s="15"/>
      <c r="BA1151" s="15"/>
      <c r="BB1151" s="15"/>
      <c r="BC1151" s="15"/>
      <c r="BD1151" s="15"/>
      <c r="BE1151" s="15"/>
      <c r="BF1151" s="15"/>
      <c r="BG1151" s="15"/>
      <c r="BH1151" s="15"/>
      <c r="BI1151" s="15"/>
      <c r="BJ1151" s="15"/>
      <c r="BK1151" s="15"/>
      <c r="BL1151" s="15"/>
      <c r="BM1151" s="15"/>
      <c r="BN1151" s="15"/>
      <c r="BO1151" s="16" t="s">
        <v>197</v>
      </c>
      <c r="BP1151" s="17" t="s">
        <v>228</v>
      </c>
      <c r="BQ1151" s="23"/>
      <c r="BR1151" s="17" t="s">
        <v>198</v>
      </c>
      <c r="BS1151" s="18">
        <v>45696.321967592594</v>
      </c>
      <c r="BT1151" s="17" t="s">
        <v>198</v>
      </c>
      <c r="BU1151" s="18">
        <v>45696.321967592594</v>
      </c>
      <c r="BV1151" s="13" t="s">
        <v>199</v>
      </c>
      <c r="BW1151" s="14" t="s">
        <v>179</v>
      </c>
      <c r="BX1151" s="14" t="s">
        <v>22047</v>
      </c>
      <c r="BY1151" s="14" t="s">
        <v>179</v>
      </c>
      <c r="BZ1151" s="14" t="s">
        <v>22048</v>
      </c>
      <c r="CA1151" s="15"/>
      <c r="CB1151" s="15"/>
      <c r="CC1151" s="15"/>
      <c r="CD1151" s="15"/>
      <c r="CE1151" s="15"/>
      <c r="CF1151" s="15"/>
      <c r="CG1151" s="19"/>
      <c r="CH1151" s="15"/>
      <c r="CI1151" s="19"/>
      <c r="CJ1151" s="15"/>
      <c r="CK1151" s="19"/>
      <c r="CL1151" s="15"/>
      <c r="CM1151" s="19"/>
      <c r="CN1151" s="15"/>
      <c r="CO1151" s="19"/>
      <c r="CP1151" s="15"/>
      <c r="CQ1151" s="15"/>
      <c r="CR1151" s="15"/>
      <c r="CS1151" s="19"/>
      <c r="CT1151" s="15"/>
      <c r="CU1151" s="19"/>
      <c r="CV1151" s="15"/>
      <c r="CW1151" s="19"/>
      <c r="CX1151" s="15"/>
      <c r="CY1151" s="19"/>
      <c r="CZ1151" s="15"/>
      <c r="DA1151" s="16" t="s">
        <v>197</v>
      </c>
      <c r="DB1151" s="17" t="s">
        <v>228</v>
      </c>
      <c r="DC1151" s="16"/>
      <c r="DD1151" s="17" t="s">
        <v>198</v>
      </c>
      <c r="DE1151" s="18">
        <v>45696.32210648148</v>
      </c>
      <c r="DF1151" s="17" t="s">
        <v>198</v>
      </c>
      <c r="DG1151" s="18">
        <v>45696.32210648148</v>
      </c>
      <c r="DH1151" s="13" t="s">
        <v>205</v>
      </c>
      <c r="DI1151" s="14" t="s">
        <v>179</v>
      </c>
      <c r="DJ1151" s="14" t="s">
        <v>22049</v>
      </c>
      <c r="DK1151" s="15"/>
      <c r="DL1151" s="15"/>
      <c r="DM1151" s="15"/>
      <c r="DN1151" s="15"/>
      <c r="DO1151" s="15"/>
      <c r="DP1151" s="15"/>
      <c r="DQ1151" s="15"/>
      <c r="DR1151" s="15"/>
      <c r="DS1151" s="15"/>
      <c r="DT1151" s="15"/>
      <c r="DU1151" s="15"/>
      <c r="DV1151" s="15"/>
      <c r="DW1151" s="15"/>
      <c r="DX1151" s="15"/>
      <c r="DY1151" s="15"/>
      <c r="DZ1151" s="15"/>
      <c r="EA1151" s="15"/>
      <c r="EB1151" s="15"/>
      <c r="EC1151" s="16" t="s">
        <v>197</v>
      </c>
      <c r="ED1151" s="17" t="s">
        <v>198</v>
      </c>
      <c r="EE1151" s="18">
        <v>45696.32255787037</v>
      </c>
      <c r="EF1151" s="13" t="s">
        <v>209</v>
      </c>
      <c r="EG1151" s="14" t="s">
        <v>179</v>
      </c>
      <c r="EH1151" s="14" t="s">
        <v>22050</v>
      </c>
      <c r="EI1151" s="15"/>
      <c r="EJ1151" s="15"/>
      <c r="EK1151" s="15"/>
      <c r="EL1151" s="15"/>
      <c r="EM1151" s="15"/>
      <c r="EN1151" s="15"/>
      <c r="EO1151" s="15"/>
      <c r="EP1151" s="15"/>
      <c r="EQ1151" s="15"/>
      <c r="ER1151" s="15"/>
      <c r="ES1151" s="15"/>
      <c r="ET1151" s="15"/>
      <c r="EU1151" s="15"/>
      <c r="EV1151" s="15"/>
      <c r="EW1151" s="15"/>
      <c r="EX1151" s="15"/>
      <c r="EY1151" s="15"/>
      <c r="EZ1151" s="15"/>
      <c r="FA1151" s="15"/>
      <c r="FB1151" s="15"/>
      <c r="FC1151" s="16" t="s">
        <v>197</v>
      </c>
      <c r="FD1151" s="17" t="s">
        <v>198</v>
      </c>
      <c r="FE1151" s="18">
        <v>45723.31380787037</v>
      </c>
      <c r="FF1151" s="14" t="s">
        <v>22051</v>
      </c>
      <c r="FG1151" s="19"/>
      <c r="FH1151" s="17" t="s">
        <v>198</v>
      </c>
      <c r="FI1151" s="17" t="s">
        <v>214</v>
      </c>
      <c r="FJ1151" s="18">
        <v>45723.31380787037</v>
      </c>
      <c r="FK1151" s="14" t="s">
        <v>22050</v>
      </c>
      <c r="FL1151" s="14" t="s">
        <v>22052</v>
      </c>
      <c r="FM1151" s="14" t="s">
        <v>22053</v>
      </c>
      <c r="FN1151" s="19"/>
      <c r="FO1151" s="19"/>
      <c r="FP1151" s="19" t="str">
        <f t="shared" si="1"/>
        <v>Base de Dados_Images/XV65115.Imagem do Equipamento-.105019.jpg</v>
      </c>
      <c r="FQ1151" s="19"/>
      <c r="FR1151" s="19"/>
    </row>
    <row r="1152" ht="15.75" customHeight="1">
      <c r="A1152" s="12" t="s">
        <v>234</v>
      </c>
      <c r="B1152" s="12" t="s">
        <v>7149</v>
      </c>
      <c r="C1152" s="12" t="s">
        <v>219</v>
      </c>
      <c r="D1152" s="22" t="s">
        <v>22054</v>
      </c>
      <c r="E1152" s="22" t="s">
        <v>22055</v>
      </c>
      <c r="F1152" s="13" t="s">
        <v>178</v>
      </c>
      <c r="G1152" s="14" t="s">
        <v>179</v>
      </c>
      <c r="H1152" s="14" t="s">
        <v>22056</v>
      </c>
      <c r="I1152" s="14" t="s">
        <v>179</v>
      </c>
      <c r="J1152" s="14" t="s">
        <v>22057</v>
      </c>
      <c r="K1152" s="14" t="s">
        <v>179</v>
      </c>
      <c r="L1152" s="14" t="s">
        <v>22058</v>
      </c>
      <c r="M1152" s="14" t="s">
        <v>179</v>
      </c>
      <c r="N1152" s="14" t="s">
        <v>22059</v>
      </c>
      <c r="O1152" s="14" t="s">
        <v>179</v>
      </c>
      <c r="P1152" s="14" t="s">
        <v>22060</v>
      </c>
      <c r="Q1152" s="14" t="s">
        <v>179</v>
      </c>
      <c r="R1152" s="14" t="s">
        <v>22061</v>
      </c>
      <c r="S1152" s="14" t="s">
        <v>179</v>
      </c>
      <c r="T1152" s="14" t="s">
        <v>22062</v>
      </c>
      <c r="U1152" s="14" t="s">
        <v>179</v>
      </c>
      <c r="V1152" s="14" t="s">
        <v>22063</v>
      </c>
      <c r="W1152" s="15"/>
      <c r="X1152" s="15"/>
      <c r="Y1152" s="15"/>
      <c r="Z1152" s="15"/>
      <c r="AA1152" s="15"/>
      <c r="AB1152" s="15"/>
      <c r="AC1152" s="15"/>
      <c r="AD1152" s="15"/>
      <c r="AE1152" s="15"/>
      <c r="AF1152" s="15"/>
      <c r="AG1152" s="15"/>
      <c r="AH1152" s="15"/>
      <c r="AI1152" s="15"/>
      <c r="AJ1152" s="15"/>
      <c r="AK1152" s="15"/>
      <c r="AL1152" s="15"/>
      <c r="AM1152" s="15"/>
      <c r="AN1152" s="15"/>
      <c r="AO1152" s="15"/>
      <c r="AP1152" s="15"/>
      <c r="AQ1152" s="15"/>
      <c r="AR1152" s="15"/>
      <c r="AS1152" s="15"/>
      <c r="AT1152" s="15"/>
      <c r="AU1152" s="15"/>
      <c r="AV1152" s="15"/>
      <c r="AW1152" s="15"/>
      <c r="AX1152" s="15"/>
      <c r="AY1152" s="15"/>
      <c r="AZ1152" s="15"/>
      <c r="BA1152" s="15"/>
      <c r="BB1152" s="15"/>
      <c r="BC1152" s="15"/>
      <c r="BD1152" s="15"/>
      <c r="BE1152" s="15"/>
      <c r="BF1152" s="15"/>
      <c r="BG1152" s="15"/>
      <c r="BH1152" s="15"/>
      <c r="BI1152" s="15"/>
      <c r="BJ1152" s="15"/>
      <c r="BK1152" s="15"/>
      <c r="BL1152" s="15"/>
      <c r="BM1152" s="15"/>
      <c r="BN1152" s="15"/>
      <c r="BO1152" s="16" t="s">
        <v>197</v>
      </c>
      <c r="BP1152" s="17" t="s">
        <v>228</v>
      </c>
      <c r="BQ1152" s="23"/>
      <c r="BR1152" s="17" t="s">
        <v>198</v>
      </c>
      <c r="BS1152" s="18">
        <v>45694.621342592596</v>
      </c>
      <c r="BT1152" s="17" t="s">
        <v>198</v>
      </c>
      <c r="BU1152" s="18">
        <v>45694.621342592596</v>
      </c>
      <c r="BV1152" s="13" t="s">
        <v>199</v>
      </c>
      <c r="BW1152" s="14" t="s">
        <v>179</v>
      </c>
      <c r="BX1152" s="14" t="s">
        <v>22064</v>
      </c>
      <c r="BY1152" s="14" t="s">
        <v>179</v>
      </c>
      <c r="BZ1152" s="14" t="s">
        <v>22065</v>
      </c>
      <c r="CA1152" s="15"/>
      <c r="CB1152" s="15"/>
      <c r="CC1152" s="15"/>
      <c r="CD1152" s="15"/>
      <c r="CE1152" s="15"/>
      <c r="CF1152" s="15"/>
      <c r="CG1152" s="19"/>
      <c r="CH1152" s="15"/>
      <c r="CI1152" s="19"/>
      <c r="CJ1152" s="15"/>
      <c r="CK1152" s="19"/>
      <c r="CL1152" s="15"/>
      <c r="CM1152" s="19"/>
      <c r="CN1152" s="15"/>
      <c r="CO1152" s="19"/>
      <c r="CP1152" s="15"/>
      <c r="CQ1152" s="15"/>
      <c r="CR1152" s="15"/>
      <c r="CS1152" s="19"/>
      <c r="CT1152" s="15"/>
      <c r="CU1152" s="19"/>
      <c r="CV1152" s="15"/>
      <c r="CW1152" s="19"/>
      <c r="CX1152" s="15"/>
      <c r="CY1152" s="19"/>
      <c r="CZ1152" s="15"/>
      <c r="DA1152" s="16" t="s">
        <v>197</v>
      </c>
      <c r="DB1152" s="17" t="s">
        <v>228</v>
      </c>
      <c r="DC1152" s="16"/>
      <c r="DD1152" s="17" t="s">
        <v>198</v>
      </c>
      <c r="DE1152" s="18">
        <v>45696.61435185185</v>
      </c>
      <c r="DF1152" s="17" t="s">
        <v>198</v>
      </c>
      <c r="DG1152" s="18">
        <v>45696.61435185185</v>
      </c>
      <c r="DH1152" s="13" t="s">
        <v>205</v>
      </c>
      <c r="DI1152" s="14" t="s">
        <v>179</v>
      </c>
      <c r="DJ1152" s="14" t="s">
        <v>22066</v>
      </c>
      <c r="DK1152" s="15"/>
      <c r="DL1152" s="15"/>
      <c r="DM1152" s="15"/>
      <c r="DN1152" s="15"/>
      <c r="DO1152" s="15"/>
      <c r="DP1152" s="15"/>
      <c r="DQ1152" s="15"/>
      <c r="DR1152" s="15"/>
      <c r="DS1152" s="15"/>
      <c r="DT1152" s="15"/>
      <c r="DU1152" s="15"/>
      <c r="DV1152" s="15"/>
      <c r="DW1152" s="15"/>
      <c r="DX1152" s="15"/>
      <c r="DY1152" s="15"/>
      <c r="DZ1152" s="15"/>
      <c r="EA1152" s="15"/>
      <c r="EB1152" s="15"/>
      <c r="EC1152" s="16" t="s">
        <v>197</v>
      </c>
      <c r="ED1152" s="17" t="s">
        <v>198</v>
      </c>
      <c r="EE1152" s="18">
        <v>45726.477488425924</v>
      </c>
      <c r="EF1152" s="13" t="s">
        <v>209</v>
      </c>
      <c r="EG1152" s="14" t="s">
        <v>179</v>
      </c>
      <c r="EH1152" s="14" t="s">
        <v>22067</v>
      </c>
      <c r="EI1152" s="15"/>
      <c r="EJ1152" s="15"/>
      <c r="EK1152" s="15"/>
      <c r="EL1152" s="15"/>
      <c r="EM1152" s="15"/>
      <c r="EN1152" s="15"/>
      <c r="EO1152" s="15"/>
      <c r="EP1152" s="15"/>
      <c r="EQ1152" s="15"/>
      <c r="ER1152" s="15"/>
      <c r="ES1152" s="15"/>
      <c r="ET1152" s="15"/>
      <c r="EU1152" s="15"/>
      <c r="EV1152" s="15"/>
      <c r="EW1152" s="15"/>
      <c r="EX1152" s="15"/>
      <c r="EY1152" s="15"/>
      <c r="EZ1152" s="15"/>
      <c r="FA1152" s="15"/>
      <c r="FB1152" s="15"/>
      <c r="FC1152" s="16" t="s">
        <v>197</v>
      </c>
      <c r="FD1152" s="17" t="s">
        <v>198</v>
      </c>
      <c r="FE1152" s="18">
        <v>45726.47752314815</v>
      </c>
      <c r="FF1152" s="19"/>
      <c r="FG1152" s="19"/>
      <c r="FH1152" s="21" t="s">
        <v>197</v>
      </c>
      <c r="FI1152" s="17" t="s">
        <v>214</v>
      </c>
      <c r="FJ1152" s="18">
        <v>45726.47752314815</v>
      </c>
      <c r="FK1152" s="14" t="s">
        <v>22067</v>
      </c>
      <c r="FL1152" s="14" t="s">
        <v>22068</v>
      </c>
      <c r="FM1152" s="14" t="s">
        <v>22069</v>
      </c>
      <c r="FN1152" s="19"/>
      <c r="FO1152" s="19"/>
      <c r="FP1152" s="19" t="str">
        <f t="shared" si="1"/>
        <v>Base de Dados_Images/XV65116.Imagem do Equipamento-.114411.jpg</v>
      </c>
      <c r="FQ1152" s="19"/>
      <c r="FR1152" s="19"/>
    </row>
    <row r="1153" ht="15.75" customHeight="1">
      <c r="A1153" s="12" t="s">
        <v>234</v>
      </c>
      <c r="B1153" s="12" t="s">
        <v>7149</v>
      </c>
      <c r="C1153" s="12" t="s">
        <v>219</v>
      </c>
      <c r="D1153" s="22" t="s">
        <v>22070</v>
      </c>
      <c r="E1153" s="22" t="s">
        <v>22071</v>
      </c>
      <c r="F1153" s="13" t="s">
        <v>178</v>
      </c>
      <c r="G1153" s="14" t="s">
        <v>179</v>
      </c>
      <c r="H1153" s="14" t="s">
        <v>22072</v>
      </c>
      <c r="I1153" s="14" t="s">
        <v>179</v>
      </c>
      <c r="J1153" s="14" t="s">
        <v>22073</v>
      </c>
      <c r="K1153" s="14" t="s">
        <v>179</v>
      </c>
      <c r="L1153" s="14" t="s">
        <v>22074</v>
      </c>
      <c r="M1153" s="14" t="s">
        <v>179</v>
      </c>
      <c r="N1153" s="14" t="s">
        <v>22075</v>
      </c>
      <c r="O1153" s="14" t="s">
        <v>179</v>
      </c>
      <c r="P1153" s="14" t="s">
        <v>22076</v>
      </c>
      <c r="Q1153" s="14" t="s">
        <v>179</v>
      </c>
      <c r="R1153" s="14" t="s">
        <v>22077</v>
      </c>
      <c r="S1153" s="14" t="s">
        <v>179</v>
      </c>
      <c r="T1153" s="14" t="s">
        <v>22078</v>
      </c>
      <c r="U1153" s="14" t="s">
        <v>179</v>
      </c>
      <c r="V1153" s="14" t="s">
        <v>22079</v>
      </c>
      <c r="W1153" s="15"/>
      <c r="X1153" s="15"/>
      <c r="Y1153" s="15"/>
      <c r="Z1153" s="15"/>
      <c r="AA1153" s="15"/>
      <c r="AB1153" s="15"/>
      <c r="AC1153" s="15"/>
      <c r="AD1153" s="15"/>
      <c r="AE1153" s="15"/>
      <c r="AF1153" s="15"/>
      <c r="AG1153" s="15"/>
      <c r="AH1153" s="15"/>
      <c r="AI1153" s="15"/>
      <c r="AJ1153" s="15"/>
      <c r="AK1153" s="15"/>
      <c r="AL1153" s="15"/>
      <c r="AM1153" s="15"/>
      <c r="AN1153" s="15"/>
      <c r="AO1153" s="15"/>
      <c r="AP1153" s="15"/>
      <c r="AQ1153" s="15"/>
      <c r="AR1153" s="15"/>
      <c r="AS1153" s="15"/>
      <c r="AT1153" s="15"/>
      <c r="AU1153" s="15"/>
      <c r="AV1153" s="15"/>
      <c r="AW1153" s="15"/>
      <c r="AX1153" s="15"/>
      <c r="AY1153" s="15"/>
      <c r="AZ1153" s="15"/>
      <c r="BA1153" s="15"/>
      <c r="BB1153" s="15"/>
      <c r="BC1153" s="15"/>
      <c r="BD1153" s="15"/>
      <c r="BE1153" s="15"/>
      <c r="BF1153" s="15"/>
      <c r="BG1153" s="15"/>
      <c r="BH1153" s="15"/>
      <c r="BI1153" s="15"/>
      <c r="BJ1153" s="15"/>
      <c r="BK1153" s="15"/>
      <c r="BL1153" s="15"/>
      <c r="BM1153" s="15"/>
      <c r="BN1153" s="15"/>
      <c r="BO1153" s="16" t="s">
        <v>197</v>
      </c>
      <c r="BP1153" s="17" t="s">
        <v>228</v>
      </c>
      <c r="BQ1153" s="23"/>
      <c r="BR1153" s="17" t="s">
        <v>198</v>
      </c>
      <c r="BS1153" s="18">
        <v>45694.62167824074</v>
      </c>
      <c r="BT1153" s="17" t="s">
        <v>198</v>
      </c>
      <c r="BU1153" s="18">
        <v>45694.62167824074</v>
      </c>
      <c r="BV1153" s="13" t="s">
        <v>199</v>
      </c>
      <c r="BW1153" s="14" t="s">
        <v>179</v>
      </c>
      <c r="BX1153" s="14" t="s">
        <v>22080</v>
      </c>
      <c r="BY1153" s="14" t="s">
        <v>179</v>
      </c>
      <c r="BZ1153" s="14" t="s">
        <v>22080</v>
      </c>
      <c r="CA1153" s="15"/>
      <c r="CB1153" s="15"/>
      <c r="CC1153" s="15"/>
      <c r="CD1153" s="15"/>
      <c r="CE1153" s="15"/>
      <c r="CF1153" s="15"/>
      <c r="CG1153" s="19"/>
      <c r="CH1153" s="15"/>
      <c r="CI1153" s="19"/>
      <c r="CJ1153" s="15"/>
      <c r="CK1153" s="19"/>
      <c r="CL1153" s="15"/>
      <c r="CM1153" s="19"/>
      <c r="CN1153" s="15"/>
      <c r="CO1153" s="19"/>
      <c r="CP1153" s="15"/>
      <c r="CQ1153" s="15"/>
      <c r="CR1153" s="15"/>
      <c r="CS1153" s="19"/>
      <c r="CT1153" s="15"/>
      <c r="CU1153" s="19"/>
      <c r="CV1153" s="15"/>
      <c r="CW1153" s="19"/>
      <c r="CX1153" s="15"/>
      <c r="CY1153" s="19"/>
      <c r="CZ1153" s="15"/>
      <c r="DA1153" s="16" t="s">
        <v>197</v>
      </c>
      <c r="DB1153" s="17" t="s">
        <v>228</v>
      </c>
      <c r="DC1153" s="16"/>
      <c r="DD1153" s="17" t="s">
        <v>198</v>
      </c>
      <c r="DE1153" s="18">
        <v>45696.60931712963</v>
      </c>
      <c r="DF1153" s="17" t="s">
        <v>198</v>
      </c>
      <c r="DG1153" s="18">
        <v>45696.60931712963</v>
      </c>
      <c r="DH1153" s="13" t="s">
        <v>205</v>
      </c>
      <c r="DI1153" s="14" t="s">
        <v>179</v>
      </c>
      <c r="DJ1153" s="14" t="s">
        <v>22081</v>
      </c>
      <c r="DK1153" s="15"/>
      <c r="DL1153" s="15"/>
      <c r="DM1153" s="15"/>
      <c r="DN1153" s="15"/>
      <c r="DO1153" s="15"/>
      <c r="DP1153" s="15"/>
      <c r="DQ1153" s="15"/>
      <c r="DR1153" s="15"/>
      <c r="DS1153" s="15"/>
      <c r="DT1153" s="15"/>
      <c r="DU1153" s="15"/>
      <c r="DV1153" s="15"/>
      <c r="DW1153" s="15"/>
      <c r="DX1153" s="15"/>
      <c r="DY1153" s="15"/>
      <c r="DZ1153" s="15"/>
      <c r="EA1153" s="15"/>
      <c r="EB1153" s="15"/>
      <c r="EC1153" s="16" t="s">
        <v>197</v>
      </c>
      <c r="ED1153" s="17" t="s">
        <v>198</v>
      </c>
      <c r="EE1153" s="18">
        <v>45726.47758101852</v>
      </c>
      <c r="EF1153" s="13" t="s">
        <v>209</v>
      </c>
      <c r="EG1153" s="14" t="s">
        <v>179</v>
      </c>
      <c r="EH1153" s="14" t="s">
        <v>22082</v>
      </c>
      <c r="EI1153" s="15"/>
      <c r="EJ1153" s="15"/>
      <c r="EK1153" s="15"/>
      <c r="EL1153" s="15"/>
      <c r="EM1153" s="15"/>
      <c r="EN1153" s="15"/>
      <c r="EO1153" s="15"/>
      <c r="EP1153" s="15"/>
      <c r="EQ1153" s="15"/>
      <c r="ER1153" s="15"/>
      <c r="ES1153" s="15"/>
      <c r="ET1153" s="15"/>
      <c r="EU1153" s="15"/>
      <c r="EV1153" s="15"/>
      <c r="EW1153" s="15"/>
      <c r="EX1153" s="15"/>
      <c r="EY1153" s="15"/>
      <c r="EZ1153" s="15"/>
      <c r="FA1153" s="15"/>
      <c r="FB1153" s="15"/>
      <c r="FC1153" s="16" t="s">
        <v>197</v>
      </c>
      <c r="FD1153" s="17" t="s">
        <v>198</v>
      </c>
      <c r="FE1153" s="18">
        <v>45726.477627314816</v>
      </c>
      <c r="FF1153" s="19"/>
      <c r="FG1153" s="19"/>
      <c r="FH1153" s="21" t="s">
        <v>197</v>
      </c>
      <c r="FI1153" s="17" t="s">
        <v>214</v>
      </c>
      <c r="FJ1153" s="18">
        <v>45726.477627314816</v>
      </c>
      <c r="FK1153" s="14" t="s">
        <v>22082</v>
      </c>
      <c r="FL1153" s="14" t="s">
        <v>22083</v>
      </c>
      <c r="FM1153" s="14" t="s">
        <v>22084</v>
      </c>
      <c r="FN1153" s="19"/>
      <c r="FO1153" s="19"/>
      <c r="FP1153" s="19" t="str">
        <f t="shared" si="1"/>
        <v>Base de Dados_Images/XV65117.Imagem do Equipamento-.114440.jpg</v>
      </c>
      <c r="FQ1153" s="19"/>
      <c r="FR1153" s="19"/>
    </row>
    <row r="1154" ht="15.75" customHeight="1">
      <c r="A1154" s="12" t="s">
        <v>234</v>
      </c>
      <c r="B1154" s="12" t="s">
        <v>7149</v>
      </c>
      <c r="C1154" s="12" t="s">
        <v>219</v>
      </c>
      <c r="D1154" s="22" t="s">
        <v>22085</v>
      </c>
      <c r="E1154" s="22" t="s">
        <v>22086</v>
      </c>
      <c r="F1154" s="13" t="s">
        <v>178</v>
      </c>
      <c r="G1154" s="14" t="s">
        <v>179</v>
      </c>
      <c r="H1154" s="14" t="s">
        <v>22087</v>
      </c>
      <c r="I1154" s="14" t="s">
        <v>179</v>
      </c>
      <c r="J1154" s="14" t="s">
        <v>22087</v>
      </c>
      <c r="K1154" s="14" t="s">
        <v>179</v>
      </c>
      <c r="L1154" s="14" t="s">
        <v>22088</v>
      </c>
      <c r="M1154" s="14" t="s">
        <v>179</v>
      </c>
      <c r="N1154" s="14" t="s">
        <v>22089</v>
      </c>
      <c r="O1154" s="14" t="s">
        <v>179</v>
      </c>
      <c r="P1154" s="14" t="s">
        <v>22090</v>
      </c>
      <c r="Q1154" s="14" t="s">
        <v>179</v>
      </c>
      <c r="R1154" s="14" t="s">
        <v>22091</v>
      </c>
      <c r="S1154" s="14" t="s">
        <v>179</v>
      </c>
      <c r="T1154" s="14" t="s">
        <v>22092</v>
      </c>
      <c r="U1154" s="14" t="s">
        <v>179</v>
      </c>
      <c r="V1154" s="14" t="s">
        <v>22093</v>
      </c>
      <c r="W1154" s="15"/>
      <c r="X1154" s="15"/>
      <c r="Y1154" s="15"/>
      <c r="Z1154" s="15"/>
      <c r="AA1154" s="15"/>
      <c r="AB1154" s="15"/>
      <c r="AC1154" s="15"/>
      <c r="AD1154" s="15"/>
      <c r="AE1154" s="15"/>
      <c r="AF1154" s="15"/>
      <c r="AG1154" s="15"/>
      <c r="AH1154" s="15"/>
      <c r="AI1154" s="15"/>
      <c r="AJ1154" s="15"/>
      <c r="AK1154" s="15"/>
      <c r="AL1154" s="15"/>
      <c r="AM1154" s="15"/>
      <c r="AN1154" s="15"/>
      <c r="AO1154" s="15"/>
      <c r="AP1154" s="15"/>
      <c r="AQ1154" s="15"/>
      <c r="AR1154" s="15"/>
      <c r="AS1154" s="15"/>
      <c r="AT1154" s="15"/>
      <c r="AU1154" s="15"/>
      <c r="AV1154" s="15"/>
      <c r="AW1154" s="15"/>
      <c r="AX1154" s="15"/>
      <c r="AY1154" s="15"/>
      <c r="AZ1154" s="15"/>
      <c r="BA1154" s="15"/>
      <c r="BB1154" s="15"/>
      <c r="BC1154" s="15"/>
      <c r="BD1154" s="15"/>
      <c r="BE1154" s="15"/>
      <c r="BF1154" s="15"/>
      <c r="BG1154" s="15"/>
      <c r="BH1154" s="15"/>
      <c r="BI1154" s="15"/>
      <c r="BJ1154" s="15"/>
      <c r="BK1154" s="15"/>
      <c r="BL1154" s="15"/>
      <c r="BM1154" s="15"/>
      <c r="BN1154" s="15"/>
      <c r="BO1154" s="16" t="s">
        <v>197</v>
      </c>
      <c r="BP1154" s="17" t="s">
        <v>228</v>
      </c>
      <c r="BQ1154" s="23"/>
      <c r="BR1154" s="17" t="s">
        <v>198</v>
      </c>
      <c r="BS1154" s="18">
        <v>45694.6219212963</v>
      </c>
      <c r="BT1154" s="17" t="s">
        <v>198</v>
      </c>
      <c r="BU1154" s="18">
        <v>45694.6219212963</v>
      </c>
      <c r="BV1154" s="13" t="s">
        <v>199</v>
      </c>
      <c r="BW1154" s="14" t="s">
        <v>179</v>
      </c>
      <c r="BX1154" s="14" t="s">
        <v>22094</v>
      </c>
      <c r="BY1154" s="14" t="s">
        <v>179</v>
      </c>
      <c r="BZ1154" s="14" t="s">
        <v>22095</v>
      </c>
      <c r="CA1154" s="15"/>
      <c r="CB1154" s="15"/>
      <c r="CC1154" s="15"/>
      <c r="CD1154" s="15"/>
      <c r="CE1154" s="15"/>
      <c r="CF1154" s="15"/>
      <c r="CG1154" s="19"/>
      <c r="CH1154" s="15"/>
      <c r="CI1154" s="19"/>
      <c r="CJ1154" s="15"/>
      <c r="CK1154" s="19"/>
      <c r="CL1154" s="15"/>
      <c r="CM1154" s="19"/>
      <c r="CN1154" s="15"/>
      <c r="CO1154" s="19"/>
      <c r="CP1154" s="15"/>
      <c r="CQ1154" s="15"/>
      <c r="CR1154" s="15"/>
      <c r="CS1154" s="19"/>
      <c r="CT1154" s="15"/>
      <c r="CU1154" s="19"/>
      <c r="CV1154" s="15"/>
      <c r="CW1154" s="19"/>
      <c r="CX1154" s="15"/>
      <c r="CY1154" s="19"/>
      <c r="CZ1154" s="15"/>
      <c r="DA1154" s="16" t="s">
        <v>197</v>
      </c>
      <c r="DB1154" s="17" t="s">
        <v>228</v>
      </c>
      <c r="DC1154" s="16"/>
      <c r="DD1154" s="17" t="s">
        <v>198</v>
      </c>
      <c r="DE1154" s="18">
        <v>45696.61461805556</v>
      </c>
      <c r="DF1154" s="17" t="s">
        <v>198</v>
      </c>
      <c r="DG1154" s="18">
        <v>45696.61461805556</v>
      </c>
      <c r="DH1154" s="13" t="s">
        <v>205</v>
      </c>
      <c r="DI1154" s="14" t="s">
        <v>179</v>
      </c>
      <c r="DJ1154" s="14" t="s">
        <v>22096</v>
      </c>
      <c r="DK1154" s="15"/>
      <c r="DL1154" s="15"/>
      <c r="DM1154" s="15"/>
      <c r="DN1154" s="15"/>
      <c r="DO1154" s="15"/>
      <c r="DP1154" s="15"/>
      <c r="DQ1154" s="15"/>
      <c r="DR1154" s="15"/>
      <c r="DS1154" s="15"/>
      <c r="DT1154" s="15"/>
      <c r="DU1154" s="15"/>
      <c r="DV1154" s="15"/>
      <c r="DW1154" s="15"/>
      <c r="DX1154" s="15"/>
      <c r="DY1154" s="15"/>
      <c r="DZ1154" s="15"/>
      <c r="EA1154" s="15"/>
      <c r="EB1154" s="15"/>
      <c r="EC1154" s="16" t="s">
        <v>197</v>
      </c>
      <c r="ED1154" s="17" t="s">
        <v>198</v>
      </c>
      <c r="EE1154" s="18">
        <v>45726.47767361111</v>
      </c>
      <c r="EF1154" s="13" t="s">
        <v>209</v>
      </c>
      <c r="EG1154" s="14" t="s">
        <v>179</v>
      </c>
      <c r="EH1154" s="14" t="s">
        <v>22097</v>
      </c>
      <c r="EI1154" s="15"/>
      <c r="EJ1154" s="15"/>
      <c r="EK1154" s="15"/>
      <c r="EL1154" s="15"/>
      <c r="EM1154" s="15"/>
      <c r="EN1154" s="15"/>
      <c r="EO1154" s="15"/>
      <c r="EP1154" s="15"/>
      <c r="EQ1154" s="15"/>
      <c r="ER1154" s="15"/>
      <c r="ES1154" s="15"/>
      <c r="ET1154" s="15"/>
      <c r="EU1154" s="15"/>
      <c r="EV1154" s="15"/>
      <c r="EW1154" s="15"/>
      <c r="EX1154" s="15"/>
      <c r="EY1154" s="15"/>
      <c r="EZ1154" s="15"/>
      <c r="FA1154" s="15"/>
      <c r="FB1154" s="15"/>
      <c r="FC1154" s="16" t="s">
        <v>197</v>
      </c>
      <c r="FD1154" s="17" t="s">
        <v>198</v>
      </c>
      <c r="FE1154" s="18">
        <v>45726.47771990741</v>
      </c>
      <c r="FF1154" s="19"/>
      <c r="FG1154" s="19"/>
      <c r="FH1154" s="21" t="s">
        <v>197</v>
      </c>
      <c r="FI1154" s="17" t="s">
        <v>214</v>
      </c>
      <c r="FJ1154" s="18">
        <v>45726.47771990741</v>
      </c>
      <c r="FK1154" s="14" t="s">
        <v>22097</v>
      </c>
      <c r="FL1154" s="14" t="s">
        <v>22098</v>
      </c>
      <c r="FM1154" s="14" t="s">
        <v>22099</v>
      </c>
      <c r="FN1154" s="19"/>
      <c r="FO1154" s="19"/>
      <c r="FP1154" s="19" t="str">
        <f t="shared" si="1"/>
        <v>Base de Dados_Images/XV65118.Imagem do Equipamento-.114621.jpg</v>
      </c>
      <c r="FQ1154" s="19"/>
      <c r="FR1154" s="19"/>
    </row>
    <row r="1155" ht="15.75" customHeight="1">
      <c r="A1155" s="12" t="s">
        <v>234</v>
      </c>
      <c r="B1155" s="12" t="s">
        <v>511</v>
      </c>
      <c r="C1155" s="12" t="s">
        <v>219</v>
      </c>
      <c r="D1155" s="12" t="s">
        <v>22100</v>
      </c>
      <c r="E1155" s="12" t="s">
        <v>22101</v>
      </c>
      <c r="F1155" s="13" t="s">
        <v>178</v>
      </c>
      <c r="G1155" s="14" t="s">
        <v>179</v>
      </c>
      <c r="H1155" s="14" t="s">
        <v>22102</v>
      </c>
      <c r="I1155" s="14" t="s">
        <v>179</v>
      </c>
      <c r="J1155" s="14" t="s">
        <v>22103</v>
      </c>
      <c r="K1155" s="14" t="s">
        <v>179</v>
      </c>
      <c r="L1155" s="14" t="s">
        <v>22104</v>
      </c>
      <c r="M1155" s="14" t="s">
        <v>179</v>
      </c>
      <c r="N1155" s="14" t="s">
        <v>22105</v>
      </c>
      <c r="O1155" s="14" t="s">
        <v>179</v>
      </c>
      <c r="P1155" s="14" t="s">
        <v>22106</v>
      </c>
      <c r="Q1155" s="14" t="s">
        <v>179</v>
      </c>
      <c r="R1155" s="14" t="s">
        <v>22107</v>
      </c>
      <c r="S1155" s="14" t="s">
        <v>179</v>
      </c>
      <c r="T1155" s="14" t="s">
        <v>22108</v>
      </c>
      <c r="U1155" s="14" t="s">
        <v>179</v>
      </c>
      <c r="V1155" s="14" t="s">
        <v>22109</v>
      </c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15"/>
      <c r="AG1155" s="15"/>
      <c r="AH1155" s="15"/>
      <c r="AI1155" s="15"/>
      <c r="AJ1155" s="15"/>
      <c r="AK1155" s="15"/>
      <c r="AL1155" s="15"/>
      <c r="AM1155" s="15"/>
      <c r="AN1155" s="15"/>
      <c r="AO1155" s="15"/>
      <c r="AP1155" s="15"/>
      <c r="AQ1155" s="15"/>
      <c r="AR1155" s="15"/>
      <c r="AS1155" s="15"/>
      <c r="AT1155" s="15"/>
      <c r="AU1155" s="15"/>
      <c r="AV1155" s="15"/>
      <c r="AW1155" s="15"/>
      <c r="AX1155" s="15"/>
      <c r="AY1155" s="15"/>
      <c r="AZ1155" s="15"/>
      <c r="BA1155" s="15"/>
      <c r="BB1155" s="15"/>
      <c r="BC1155" s="15"/>
      <c r="BD1155" s="15"/>
      <c r="BE1155" s="15"/>
      <c r="BF1155" s="15"/>
      <c r="BG1155" s="15"/>
      <c r="BH1155" s="15"/>
      <c r="BI1155" s="15"/>
      <c r="BJ1155" s="15"/>
      <c r="BK1155" s="15"/>
      <c r="BL1155" s="15"/>
      <c r="BM1155" s="15"/>
      <c r="BN1155" s="15"/>
      <c r="BO1155" s="16" t="s">
        <v>197</v>
      </c>
      <c r="BP1155" s="17" t="s">
        <v>228</v>
      </c>
      <c r="BQ1155" s="23"/>
      <c r="BR1155" s="17" t="s">
        <v>198</v>
      </c>
      <c r="BS1155" s="18">
        <v>45694.6147337963</v>
      </c>
      <c r="BT1155" s="17" t="s">
        <v>198</v>
      </c>
      <c r="BU1155" s="18">
        <v>45694.6147337963</v>
      </c>
      <c r="BV1155" s="13" t="s">
        <v>199</v>
      </c>
      <c r="BW1155" s="14" t="s">
        <v>179</v>
      </c>
      <c r="BX1155" s="14" t="s">
        <v>22110</v>
      </c>
      <c r="BY1155" s="14" t="s">
        <v>179</v>
      </c>
      <c r="BZ1155" s="14" t="s">
        <v>22111</v>
      </c>
      <c r="CA1155" s="15"/>
      <c r="CB1155" s="15"/>
      <c r="CC1155" s="15"/>
      <c r="CD1155" s="15"/>
      <c r="CE1155" s="15"/>
      <c r="CF1155" s="15"/>
      <c r="CG1155" s="19"/>
      <c r="CH1155" s="15"/>
      <c r="CI1155" s="19"/>
      <c r="CJ1155" s="15"/>
      <c r="CK1155" s="19"/>
      <c r="CL1155" s="15"/>
      <c r="CM1155" s="19"/>
      <c r="CN1155" s="15"/>
      <c r="CO1155" s="19"/>
      <c r="CP1155" s="15"/>
      <c r="CQ1155" s="15"/>
      <c r="CR1155" s="15"/>
      <c r="CS1155" s="19"/>
      <c r="CT1155" s="15"/>
      <c r="CU1155" s="19"/>
      <c r="CV1155" s="15"/>
      <c r="CW1155" s="19"/>
      <c r="CX1155" s="15"/>
      <c r="CY1155" s="19"/>
      <c r="CZ1155" s="15"/>
      <c r="DA1155" s="16" t="s">
        <v>197</v>
      </c>
      <c r="DB1155" s="17" t="s">
        <v>228</v>
      </c>
      <c r="DC1155" s="16"/>
      <c r="DD1155" s="17" t="s">
        <v>198</v>
      </c>
      <c r="DE1155" s="18">
        <v>45694.61481481481</v>
      </c>
      <c r="DF1155" s="17" t="s">
        <v>198</v>
      </c>
      <c r="DG1155" s="18">
        <v>45694.61481481481</v>
      </c>
      <c r="DH1155" s="13" t="s">
        <v>205</v>
      </c>
      <c r="DI1155" s="14" t="s">
        <v>179</v>
      </c>
      <c r="DJ1155" s="14" t="s">
        <v>22112</v>
      </c>
      <c r="DK1155" s="15"/>
      <c r="DL1155" s="15"/>
      <c r="DM1155" s="15"/>
      <c r="DN1155" s="15"/>
      <c r="DO1155" s="15"/>
      <c r="DP1155" s="15"/>
      <c r="DQ1155" s="15"/>
      <c r="DR1155" s="15"/>
      <c r="DS1155" s="15"/>
      <c r="DT1155" s="15"/>
      <c r="DU1155" s="15"/>
      <c r="DV1155" s="15"/>
      <c r="DW1155" s="15"/>
      <c r="DX1155" s="15"/>
      <c r="DY1155" s="15"/>
      <c r="DZ1155" s="15"/>
      <c r="EA1155" s="15"/>
      <c r="EB1155" s="15"/>
      <c r="EC1155" s="16" t="s">
        <v>197</v>
      </c>
      <c r="ED1155" s="17" t="s">
        <v>198</v>
      </c>
      <c r="EE1155" s="18">
        <v>45713.42731481481</v>
      </c>
      <c r="EF1155" s="13" t="s">
        <v>209</v>
      </c>
      <c r="EG1155" s="14" t="s">
        <v>179</v>
      </c>
      <c r="EH1155" s="14" t="s">
        <v>22113</v>
      </c>
      <c r="EI1155" s="15"/>
      <c r="EJ1155" s="15"/>
      <c r="EK1155" s="15"/>
      <c r="EL1155" s="15"/>
      <c r="EM1155" s="15"/>
      <c r="EN1155" s="15"/>
      <c r="EO1155" s="15"/>
      <c r="EP1155" s="15"/>
      <c r="EQ1155" s="15"/>
      <c r="ER1155" s="15"/>
      <c r="ES1155" s="15"/>
      <c r="ET1155" s="15"/>
      <c r="EU1155" s="15"/>
      <c r="EV1155" s="15"/>
      <c r="EW1155" s="15"/>
      <c r="EX1155" s="15"/>
      <c r="EY1155" s="15"/>
      <c r="EZ1155" s="15"/>
      <c r="FA1155" s="15"/>
      <c r="FB1155" s="15"/>
      <c r="FC1155" s="16" t="s">
        <v>197</v>
      </c>
      <c r="FD1155" s="17" t="s">
        <v>198</v>
      </c>
      <c r="FE1155" s="18">
        <v>45720.35599537037</v>
      </c>
      <c r="FF1155" s="19"/>
      <c r="FG1155" s="19"/>
      <c r="FH1155" s="21" t="s">
        <v>197</v>
      </c>
      <c r="FI1155" s="17" t="s">
        <v>214</v>
      </c>
      <c r="FJ1155" s="18">
        <v>45720.35599537037</v>
      </c>
      <c r="FK1155" s="14" t="s">
        <v>22113</v>
      </c>
      <c r="FL1155" s="14" t="s">
        <v>22114</v>
      </c>
      <c r="FM1155" s="14" t="s">
        <v>22115</v>
      </c>
      <c r="FN1155" s="19"/>
      <c r="FO1155" s="19"/>
      <c r="FP1155" s="19" t="str">
        <f t="shared" si="1"/>
        <v>Base de Dados_Images/XV65119.Imagem do Equipamento-.181239.jpg</v>
      </c>
      <c r="FQ1155" s="14"/>
      <c r="FR1155" s="14"/>
    </row>
    <row r="1156" ht="15.75" customHeight="1">
      <c r="A1156" s="12" t="s">
        <v>547</v>
      </c>
      <c r="B1156" s="12" t="s">
        <v>22116</v>
      </c>
      <c r="C1156" s="12" t="s">
        <v>15119</v>
      </c>
      <c r="D1156" s="12" t="s">
        <v>22117</v>
      </c>
      <c r="E1156" s="12" t="s">
        <v>22118</v>
      </c>
      <c r="F1156" s="13" t="s">
        <v>178</v>
      </c>
      <c r="G1156" s="14" t="s">
        <v>179</v>
      </c>
      <c r="H1156" s="14" t="s">
        <v>22119</v>
      </c>
      <c r="I1156" s="14" t="s">
        <v>179</v>
      </c>
      <c r="J1156" s="14" t="s">
        <v>22120</v>
      </c>
      <c r="K1156" s="14" t="s">
        <v>179</v>
      </c>
      <c r="L1156" s="14" t="s">
        <v>22121</v>
      </c>
      <c r="M1156" s="14" t="s">
        <v>179</v>
      </c>
      <c r="N1156" s="14" t="s">
        <v>22122</v>
      </c>
      <c r="O1156" s="14" t="s">
        <v>179</v>
      </c>
      <c r="P1156" s="14" t="s">
        <v>22123</v>
      </c>
      <c r="Q1156" s="14" t="s">
        <v>179</v>
      </c>
      <c r="R1156" s="14" t="s">
        <v>22124</v>
      </c>
      <c r="S1156" s="14" t="s">
        <v>179</v>
      </c>
      <c r="T1156" s="14" t="s">
        <v>22125</v>
      </c>
      <c r="U1156" s="14" t="s">
        <v>179</v>
      </c>
      <c r="V1156" s="14" t="s">
        <v>22126</v>
      </c>
      <c r="W1156" s="14" t="s">
        <v>179</v>
      </c>
      <c r="X1156" s="14" t="s">
        <v>22127</v>
      </c>
      <c r="Y1156" s="14" t="s">
        <v>179</v>
      </c>
      <c r="Z1156" s="14" t="s">
        <v>22128</v>
      </c>
      <c r="AA1156" s="14" t="s">
        <v>179</v>
      </c>
      <c r="AB1156" s="14" t="s">
        <v>22129</v>
      </c>
      <c r="AC1156" s="14" t="s">
        <v>179</v>
      </c>
      <c r="AD1156" s="14" t="s">
        <v>22130</v>
      </c>
      <c r="AE1156" s="14" t="s">
        <v>179</v>
      </c>
      <c r="AF1156" s="14" t="s">
        <v>22131</v>
      </c>
      <c r="AG1156" s="14" t="s">
        <v>179</v>
      </c>
      <c r="AH1156" s="14" t="s">
        <v>22132</v>
      </c>
      <c r="AI1156" s="14" t="s">
        <v>179</v>
      </c>
      <c r="AJ1156" s="14" t="s">
        <v>22133</v>
      </c>
      <c r="AK1156" s="14" t="s">
        <v>179</v>
      </c>
      <c r="AL1156" s="14" t="s">
        <v>22134</v>
      </c>
      <c r="AM1156" s="14" t="s">
        <v>179</v>
      </c>
      <c r="AN1156" s="14" t="s">
        <v>22135</v>
      </c>
      <c r="AO1156" s="14" t="s">
        <v>179</v>
      </c>
      <c r="AP1156" s="14" t="s">
        <v>22136</v>
      </c>
      <c r="AQ1156" s="14" t="s">
        <v>179</v>
      </c>
      <c r="AR1156" s="14" t="s">
        <v>22137</v>
      </c>
      <c r="AS1156" s="14" t="s">
        <v>179</v>
      </c>
      <c r="AT1156" s="14" t="s">
        <v>22138</v>
      </c>
      <c r="AU1156" s="14" t="s">
        <v>179</v>
      </c>
      <c r="AV1156" s="14" t="s">
        <v>22139</v>
      </c>
      <c r="AW1156" s="14" t="s">
        <v>179</v>
      </c>
      <c r="AX1156" s="14" t="s">
        <v>22140</v>
      </c>
      <c r="AY1156" s="14" t="s">
        <v>179</v>
      </c>
      <c r="AZ1156" s="14" t="s">
        <v>22141</v>
      </c>
      <c r="BA1156" s="15"/>
      <c r="BB1156" s="15"/>
      <c r="BC1156" s="15"/>
      <c r="BD1156" s="15"/>
      <c r="BE1156" s="15"/>
      <c r="BF1156" s="15"/>
      <c r="BG1156" s="15"/>
      <c r="BH1156" s="15"/>
      <c r="BI1156" s="15"/>
      <c r="BJ1156" s="15"/>
      <c r="BK1156" s="15"/>
      <c r="BL1156" s="15"/>
      <c r="BM1156" s="15"/>
      <c r="BN1156" s="15"/>
      <c r="BO1156" s="16" t="s">
        <v>197</v>
      </c>
      <c r="BP1156" s="17" t="s">
        <v>198</v>
      </c>
      <c r="BQ1156" s="18">
        <v>45686.705659722225</v>
      </c>
      <c r="BR1156" s="17" t="s">
        <v>198</v>
      </c>
      <c r="BS1156" s="18">
        <v>45686.7058912037</v>
      </c>
      <c r="BT1156" s="17" t="s">
        <v>198</v>
      </c>
      <c r="BU1156" s="18">
        <v>45686.7058912037</v>
      </c>
      <c r="BV1156" s="13" t="s">
        <v>199</v>
      </c>
      <c r="BW1156" s="14" t="s">
        <v>188</v>
      </c>
      <c r="BX1156" s="14" t="s">
        <v>22142</v>
      </c>
      <c r="BY1156" s="14" t="s">
        <v>188</v>
      </c>
      <c r="BZ1156" s="14" t="s">
        <v>22142</v>
      </c>
      <c r="CA1156" s="14" t="s">
        <v>188</v>
      </c>
      <c r="CB1156" s="14" t="s">
        <v>22143</v>
      </c>
      <c r="CC1156" s="14" t="s">
        <v>188</v>
      </c>
      <c r="CD1156" s="14" t="s">
        <v>22144</v>
      </c>
      <c r="CE1156" s="14" t="s">
        <v>188</v>
      </c>
      <c r="CF1156" s="14" t="s">
        <v>22145</v>
      </c>
      <c r="CG1156" s="19"/>
      <c r="CH1156" s="15"/>
      <c r="CI1156" s="19"/>
      <c r="CJ1156" s="15"/>
      <c r="CK1156" s="19"/>
      <c r="CL1156" s="15"/>
      <c r="CM1156" s="19"/>
      <c r="CN1156" s="15"/>
      <c r="CO1156" s="19"/>
      <c r="CP1156" s="15"/>
      <c r="CQ1156" s="15"/>
      <c r="CR1156" s="15"/>
      <c r="CS1156" s="19"/>
      <c r="CT1156" s="15"/>
      <c r="CU1156" s="19"/>
      <c r="CV1156" s="15"/>
      <c r="CW1156" s="19"/>
      <c r="CX1156" s="15"/>
      <c r="CY1156" s="19"/>
      <c r="CZ1156" s="15"/>
      <c r="DA1156" s="16" t="s">
        <v>197</v>
      </c>
      <c r="DB1156" s="17" t="s">
        <v>228</v>
      </c>
      <c r="DC1156" s="16"/>
      <c r="DD1156" s="17" t="s">
        <v>198</v>
      </c>
      <c r="DE1156" s="18">
        <v>45696.58142361111</v>
      </c>
      <c r="DF1156" s="17" t="s">
        <v>198</v>
      </c>
      <c r="DG1156" s="18">
        <v>45696.58142361111</v>
      </c>
      <c r="DH1156" s="13" t="s">
        <v>205</v>
      </c>
      <c r="DI1156" s="14" t="s">
        <v>188</v>
      </c>
      <c r="DJ1156" s="14" t="s">
        <v>22146</v>
      </c>
      <c r="DK1156" s="14" t="s">
        <v>188</v>
      </c>
      <c r="DL1156" s="14" t="s">
        <v>22147</v>
      </c>
      <c r="DM1156" s="14" t="s">
        <v>188</v>
      </c>
      <c r="DN1156" s="14" t="s">
        <v>22148</v>
      </c>
      <c r="DO1156" s="14" t="s">
        <v>188</v>
      </c>
      <c r="DP1156" s="14" t="s">
        <v>22149</v>
      </c>
      <c r="DQ1156" s="14" t="s">
        <v>188</v>
      </c>
      <c r="DR1156" s="14" t="s">
        <v>22150</v>
      </c>
      <c r="DS1156" s="14" t="s">
        <v>188</v>
      </c>
      <c r="DT1156" s="14" t="s">
        <v>22150</v>
      </c>
      <c r="DU1156" s="15"/>
      <c r="DV1156" s="15"/>
      <c r="DW1156" s="15"/>
      <c r="DX1156" s="15"/>
      <c r="DY1156" s="15"/>
      <c r="DZ1156" s="15"/>
      <c r="EA1156" s="15"/>
      <c r="EB1156" s="15"/>
      <c r="EC1156" s="16" t="s">
        <v>197</v>
      </c>
      <c r="ED1156" s="17" t="s">
        <v>198</v>
      </c>
      <c r="EE1156" s="18">
        <v>45708.459340277775</v>
      </c>
      <c r="EF1156" s="13" t="s">
        <v>209</v>
      </c>
      <c r="EG1156" s="15"/>
      <c r="EH1156" s="15"/>
      <c r="EI1156" s="15"/>
      <c r="EJ1156" s="15"/>
      <c r="EK1156" s="15"/>
      <c r="EL1156" s="15"/>
      <c r="EM1156" s="15"/>
      <c r="EN1156" s="15"/>
      <c r="EO1156" s="15"/>
      <c r="EP1156" s="15"/>
      <c r="EQ1156" s="15"/>
      <c r="ER1156" s="15"/>
      <c r="ES1156" s="15"/>
      <c r="ET1156" s="15"/>
      <c r="EU1156" s="15"/>
      <c r="EV1156" s="15"/>
      <c r="EW1156" s="15"/>
      <c r="EX1156" s="15"/>
      <c r="EY1156" s="15"/>
      <c r="EZ1156" s="15"/>
      <c r="FA1156" s="15"/>
      <c r="FB1156" s="15"/>
      <c r="FC1156" s="16" t="s">
        <v>197</v>
      </c>
      <c r="FD1156" s="17" t="s">
        <v>228</v>
      </c>
      <c r="FE1156" s="23"/>
      <c r="FF1156" s="19"/>
      <c r="FG1156" s="19"/>
      <c r="FH1156" s="21" t="s">
        <v>197</v>
      </c>
      <c r="FI1156" s="17" t="s">
        <v>214</v>
      </c>
      <c r="FJ1156" s="18">
        <v>45708.459340277775</v>
      </c>
      <c r="FK1156" s="14" t="s">
        <v>22150</v>
      </c>
      <c r="FL1156" s="14" t="s">
        <v>22151</v>
      </c>
      <c r="FM1156" s="14" t="s">
        <v>22152</v>
      </c>
      <c r="FN1156" s="19"/>
      <c r="FO1156" s="19"/>
      <c r="FP1156" s="19" t="str">
        <f t="shared" si="1"/>
        <v>Base de Dados_Images/XV65120.Imagem do Equipamento-.220816.jpg</v>
      </c>
      <c r="FQ1156" s="19"/>
      <c r="FR1156" s="19"/>
    </row>
    <row r="1157" ht="15.75" customHeight="1">
      <c r="A1157" s="12" t="s">
        <v>234</v>
      </c>
      <c r="B1157" s="12" t="s">
        <v>22153</v>
      </c>
      <c r="C1157" s="12" t="s">
        <v>15119</v>
      </c>
      <c r="D1157" s="12" t="s">
        <v>22154</v>
      </c>
      <c r="E1157" s="12" t="s">
        <v>22155</v>
      </c>
      <c r="F1157" s="13" t="s">
        <v>178</v>
      </c>
      <c r="G1157" s="14" t="s">
        <v>188</v>
      </c>
      <c r="H1157" s="14" t="s">
        <v>22156</v>
      </c>
      <c r="I1157" s="14" t="s">
        <v>188</v>
      </c>
      <c r="J1157" s="14" t="s">
        <v>22156</v>
      </c>
      <c r="K1157" s="14" t="s">
        <v>188</v>
      </c>
      <c r="L1157" s="14" t="s">
        <v>22157</v>
      </c>
      <c r="M1157" s="14" t="s">
        <v>188</v>
      </c>
      <c r="N1157" s="14" t="s">
        <v>22158</v>
      </c>
      <c r="O1157" s="14" t="s">
        <v>188</v>
      </c>
      <c r="P1157" s="14" t="s">
        <v>22159</v>
      </c>
      <c r="Q1157" s="14" t="s">
        <v>188</v>
      </c>
      <c r="R1157" s="14" t="s">
        <v>22160</v>
      </c>
      <c r="S1157" s="14" t="s">
        <v>188</v>
      </c>
      <c r="T1157" s="14" t="s">
        <v>22161</v>
      </c>
      <c r="U1157" s="14" t="s">
        <v>188</v>
      </c>
      <c r="V1157" s="14" t="s">
        <v>22162</v>
      </c>
      <c r="W1157" s="14" t="s">
        <v>188</v>
      </c>
      <c r="X1157" s="14" t="s">
        <v>22163</v>
      </c>
      <c r="Y1157" s="14" t="s">
        <v>188</v>
      </c>
      <c r="Z1157" s="14" t="s">
        <v>22164</v>
      </c>
      <c r="AA1157" s="14" t="s">
        <v>188</v>
      </c>
      <c r="AB1157" s="14" t="s">
        <v>22165</v>
      </c>
      <c r="AC1157" s="14" t="s">
        <v>188</v>
      </c>
      <c r="AD1157" s="14" t="s">
        <v>22166</v>
      </c>
      <c r="AE1157" s="14" t="s">
        <v>188</v>
      </c>
      <c r="AF1157" s="14" t="s">
        <v>22167</v>
      </c>
      <c r="AG1157" s="14" t="s">
        <v>188</v>
      </c>
      <c r="AH1157" s="14" t="s">
        <v>22168</v>
      </c>
      <c r="AI1157" s="14" t="s">
        <v>188</v>
      </c>
      <c r="AJ1157" s="14" t="s">
        <v>22169</v>
      </c>
      <c r="AK1157" s="14" t="s">
        <v>188</v>
      </c>
      <c r="AL1157" s="14" t="s">
        <v>22170</v>
      </c>
      <c r="AM1157" s="14" t="s">
        <v>188</v>
      </c>
      <c r="AN1157" s="14" t="s">
        <v>22171</v>
      </c>
      <c r="AO1157" s="14" t="s">
        <v>188</v>
      </c>
      <c r="AP1157" s="14" t="s">
        <v>22172</v>
      </c>
      <c r="AQ1157" s="14" t="s">
        <v>188</v>
      </c>
      <c r="AR1157" s="14" t="s">
        <v>22173</v>
      </c>
      <c r="AS1157" s="14" t="s">
        <v>188</v>
      </c>
      <c r="AT1157" s="14" t="s">
        <v>22174</v>
      </c>
      <c r="AU1157" s="14" t="s">
        <v>188</v>
      </c>
      <c r="AV1157" s="14" t="s">
        <v>22175</v>
      </c>
      <c r="AW1157" s="14" t="s">
        <v>188</v>
      </c>
      <c r="AX1157" s="14" t="s">
        <v>22176</v>
      </c>
      <c r="AY1157" s="14" t="s">
        <v>188</v>
      </c>
      <c r="AZ1157" s="14" t="s">
        <v>22177</v>
      </c>
      <c r="BA1157" s="15"/>
      <c r="BB1157" s="15"/>
      <c r="BC1157" s="15"/>
      <c r="BD1157" s="15"/>
      <c r="BE1157" s="15"/>
      <c r="BF1157" s="15"/>
      <c r="BG1157" s="15"/>
      <c r="BH1157" s="15"/>
      <c r="BI1157" s="15"/>
      <c r="BJ1157" s="15"/>
      <c r="BK1157" s="15"/>
      <c r="BL1157" s="15"/>
      <c r="BM1157" s="15"/>
      <c r="BN1157" s="15"/>
      <c r="BO1157" s="17" t="s">
        <v>197</v>
      </c>
      <c r="BP1157" s="17" t="s">
        <v>198</v>
      </c>
      <c r="BQ1157" s="18">
        <v>45696.45039351852</v>
      </c>
      <c r="BR1157" s="17" t="s">
        <v>198</v>
      </c>
      <c r="BS1157" s="18">
        <v>45696.45060185185</v>
      </c>
      <c r="BT1157" s="17" t="s">
        <v>198</v>
      </c>
      <c r="BU1157" s="18">
        <v>45696.45060185185</v>
      </c>
      <c r="BV1157" s="13" t="s">
        <v>199</v>
      </c>
      <c r="BW1157" s="14" t="s">
        <v>188</v>
      </c>
      <c r="BX1157" s="14" t="s">
        <v>22178</v>
      </c>
      <c r="BY1157" s="14" t="s">
        <v>188</v>
      </c>
      <c r="BZ1157" s="14" t="s">
        <v>22179</v>
      </c>
      <c r="CA1157" s="14" t="s">
        <v>188</v>
      </c>
      <c r="CB1157" s="14" t="s">
        <v>22180</v>
      </c>
      <c r="CC1157" s="14" t="s">
        <v>188</v>
      </c>
      <c r="CD1157" s="14" t="s">
        <v>22181</v>
      </c>
      <c r="CE1157" s="14" t="s">
        <v>188</v>
      </c>
      <c r="CF1157" s="14" t="s">
        <v>22181</v>
      </c>
      <c r="CG1157" s="19"/>
      <c r="CH1157" s="15"/>
      <c r="CI1157" s="19"/>
      <c r="CJ1157" s="15"/>
      <c r="CK1157" s="19"/>
      <c r="CL1157" s="15"/>
      <c r="CM1157" s="19"/>
      <c r="CN1157" s="15"/>
      <c r="CO1157" s="19"/>
      <c r="CP1157" s="15"/>
      <c r="CQ1157" s="15"/>
      <c r="CR1157" s="15"/>
      <c r="CS1157" s="19"/>
      <c r="CT1157" s="15"/>
      <c r="CU1157" s="19"/>
      <c r="CV1157" s="15"/>
      <c r="CW1157" s="19"/>
      <c r="CX1157" s="15"/>
      <c r="CY1157" s="19"/>
      <c r="CZ1157" s="15"/>
      <c r="DA1157" s="16" t="s">
        <v>197</v>
      </c>
      <c r="DB1157" s="17" t="s">
        <v>228</v>
      </c>
      <c r="DC1157" s="16"/>
      <c r="DD1157" s="17" t="s">
        <v>198</v>
      </c>
      <c r="DE1157" s="18">
        <v>45696.45070601852</v>
      </c>
      <c r="DF1157" s="17" t="s">
        <v>198</v>
      </c>
      <c r="DG1157" s="18">
        <v>45696.45070601852</v>
      </c>
      <c r="DH1157" s="13" t="s">
        <v>205</v>
      </c>
      <c r="DI1157" s="14" t="s">
        <v>188</v>
      </c>
      <c r="DJ1157" s="14" t="s">
        <v>22182</v>
      </c>
      <c r="DK1157" s="14" t="s">
        <v>188</v>
      </c>
      <c r="DL1157" s="14" t="s">
        <v>22182</v>
      </c>
      <c r="DM1157" s="14" t="s">
        <v>188</v>
      </c>
      <c r="DN1157" s="14" t="s">
        <v>22183</v>
      </c>
      <c r="DO1157" s="14" t="s">
        <v>188</v>
      </c>
      <c r="DP1157" s="14" t="s">
        <v>22183</v>
      </c>
      <c r="DQ1157" s="14" t="s">
        <v>188</v>
      </c>
      <c r="DR1157" s="14" t="s">
        <v>22184</v>
      </c>
      <c r="DS1157" s="14" t="s">
        <v>188</v>
      </c>
      <c r="DT1157" s="14" t="s">
        <v>22184</v>
      </c>
      <c r="DU1157" s="15"/>
      <c r="DV1157" s="15"/>
      <c r="DW1157" s="15"/>
      <c r="DX1157" s="15"/>
      <c r="DY1157" s="15"/>
      <c r="DZ1157" s="15"/>
      <c r="EA1157" s="15"/>
      <c r="EB1157" s="15"/>
      <c r="EC1157" s="16" t="s">
        <v>197</v>
      </c>
      <c r="ED1157" s="17" t="s">
        <v>198</v>
      </c>
      <c r="EE1157" s="18">
        <v>45696.45082175926</v>
      </c>
      <c r="EF1157" s="13" t="s">
        <v>209</v>
      </c>
      <c r="EG1157" s="15"/>
      <c r="EH1157" s="15"/>
      <c r="EI1157" s="15"/>
      <c r="EJ1157" s="15"/>
      <c r="EK1157" s="15"/>
      <c r="EL1157" s="15"/>
      <c r="EM1157" s="15"/>
      <c r="EN1157" s="15"/>
      <c r="EO1157" s="15"/>
      <c r="EP1157" s="15"/>
      <c r="EQ1157" s="15"/>
      <c r="ER1157" s="15"/>
      <c r="ES1157" s="15"/>
      <c r="ET1157" s="15"/>
      <c r="EU1157" s="15"/>
      <c r="EV1157" s="15"/>
      <c r="EW1157" s="15"/>
      <c r="EX1157" s="15"/>
      <c r="EY1157" s="15"/>
      <c r="EZ1157" s="15"/>
      <c r="FA1157" s="15"/>
      <c r="FB1157" s="15"/>
      <c r="FC1157" s="16" t="s">
        <v>197</v>
      </c>
      <c r="FD1157" s="17" t="s">
        <v>228</v>
      </c>
      <c r="FE1157" s="23"/>
      <c r="FF1157" s="19"/>
      <c r="FG1157" s="19"/>
      <c r="FH1157" s="21" t="s">
        <v>197</v>
      </c>
      <c r="FI1157" s="17" t="s">
        <v>214</v>
      </c>
      <c r="FJ1157" s="18">
        <v>45696.45082175926</v>
      </c>
      <c r="FK1157" s="14" t="s">
        <v>22184</v>
      </c>
      <c r="FL1157" s="14" t="s">
        <v>22185</v>
      </c>
      <c r="FM1157" s="14" t="s">
        <v>22186</v>
      </c>
      <c r="FN1157" s="19"/>
      <c r="FO1157" s="19"/>
      <c r="FP1157" s="19" t="str">
        <f t="shared" si="1"/>
        <v>Base de Dados_Images/XV65121.Imagem do Equipamento-.135533.jpg</v>
      </c>
      <c r="FQ1157" s="19"/>
      <c r="FR1157" s="19"/>
    </row>
    <row r="1158" ht="15.75" customHeight="1">
      <c r="A1158" s="12" t="s">
        <v>234</v>
      </c>
      <c r="B1158" s="12" t="s">
        <v>22187</v>
      </c>
      <c r="C1158" s="12" t="s">
        <v>15119</v>
      </c>
      <c r="D1158" s="12" t="s">
        <v>22188</v>
      </c>
      <c r="E1158" s="12" t="s">
        <v>22189</v>
      </c>
      <c r="F1158" s="13" t="s">
        <v>178</v>
      </c>
      <c r="G1158" s="14" t="s">
        <v>188</v>
      </c>
      <c r="H1158" s="14" t="s">
        <v>22190</v>
      </c>
      <c r="I1158" s="14" t="s">
        <v>188</v>
      </c>
      <c r="J1158" s="14" t="s">
        <v>22191</v>
      </c>
      <c r="K1158" s="14" t="s">
        <v>188</v>
      </c>
      <c r="L1158" s="14" t="s">
        <v>22192</v>
      </c>
      <c r="M1158" s="14" t="s">
        <v>188</v>
      </c>
      <c r="N1158" s="14" t="s">
        <v>22192</v>
      </c>
      <c r="O1158" s="14" t="s">
        <v>188</v>
      </c>
      <c r="P1158" s="14" t="s">
        <v>22193</v>
      </c>
      <c r="Q1158" s="14" t="s">
        <v>188</v>
      </c>
      <c r="R1158" s="14" t="s">
        <v>22194</v>
      </c>
      <c r="S1158" s="14" t="s">
        <v>188</v>
      </c>
      <c r="T1158" s="14" t="s">
        <v>22195</v>
      </c>
      <c r="U1158" s="14" t="s">
        <v>188</v>
      </c>
      <c r="V1158" s="14" t="s">
        <v>22196</v>
      </c>
      <c r="W1158" s="14" t="s">
        <v>188</v>
      </c>
      <c r="X1158" s="14" t="s">
        <v>22197</v>
      </c>
      <c r="Y1158" s="14" t="s">
        <v>188</v>
      </c>
      <c r="Z1158" s="14" t="s">
        <v>22198</v>
      </c>
      <c r="AA1158" s="14" t="s">
        <v>188</v>
      </c>
      <c r="AB1158" s="14" t="s">
        <v>22199</v>
      </c>
      <c r="AC1158" s="14" t="s">
        <v>188</v>
      </c>
      <c r="AD1158" s="14" t="s">
        <v>22200</v>
      </c>
      <c r="AE1158" s="14" t="s">
        <v>188</v>
      </c>
      <c r="AF1158" s="14" t="s">
        <v>22201</v>
      </c>
      <c r="AG1158" s="14" t="s">
        <v>188</v>
      </c>
      <c r="AH1158" s="14" t="s">
        <v>22202</v>
      </c>
      <c r="AI1158" s="14" t="s">
        <v>188</v>
      </c>
      <c r="AJ1158" s="14" t="s">
        <v>22203</v>
      </c>
      <c r="AK1158" s="14" t="s">
        <v>188</v>
      </c>
      <c r="AL1158" s="14" t="s">
        <v>22204</v>
      </c>
      <c r="AM1158" s="14" t="s">
        <v>188</v>
      </c>
      <c r="AN1158" s="14" t="s">
        <v>22205</v>
      </c>
      <c r="AO1158" s="14" t="s">
        <v>188</v>
      </c>
      <c r="AP1158" s="14" t="s">
        <v>22206</v>
      </c>
      <c r="AQ1158" s="14" t="s">
        <v>188</v>
      </c>
      <c r="AR1158" s="14" t="s">
        <v>22207</v>
      </c>
      <c r="AS1158" s="14" t="s">
        <v>188</v>
      </c>
      <c r="AT1158" s="14" t="s">
        <v>22208</v>
      </c>
      <c r="AU1158" s="14" t="s">
        <v>188</v>
      </c>
      <c r="AV1158" s="14" t="s">
        <v>22209</v>
      </c>
      <c r="AW1158" s="14" t="s">
        <v>188</v>
      </c>
      <c r="AX1158" s="14" t="s">
        <v>22210</v>
      </c>
      <c r="AY1158" s="14" t="s">
        <v>188</v>
      </c>
      <c r="AZ1158" s="14" t="s">
        <v>22211</v>
      </c>
      <c r="BA1158" s="15"/>
      <c r="BB1158" s="15"/>
      <c r="BC1158" s="15"/>
      <c r="BD1158" s="15"/>
      <c r="BE1158" s="15"/>
      <c r="BF1158" s="15"/>
      <c r="BG1158" s="15"/>
      <c r="BH1158" s="15"/>
      <c r="BI1158" s="15"/>
      <c r="BJ1158" s="15"/>
      <c r="BK1158" s="15"/>
      <c r="BL1158" s="15"/>
      <c r="BM1158" s="15"/>
      <c r="BN1158" s="15"/>
      <c r="BO1158" s="16" t="s">
        <v>197</v>
      </c>
      <c r="BP1158" s="17" t="s">
        <v>198</v>
      </c>
      <c r="BQ1158" s="18">
        <v>45696.59719907407</v>
      </c>
      <c r="BR1158" s="17" t="s">
        <v>198</v>
      </c>
      <c r="BS1158" s="18">
        <v>45696.59738425926</v>
      </c>
      <c r="BT1158" s="17" t="s">
        <v>198</v>
      </c>
      <c r="BU1158" s="18">
        <v>45696.59738425926</v>
      </c>
      <c r="BV1158" s="13" t="s">
        <v>199</v>
      </c>
      <c r="BW1158" s="14" t="s">
        <v>188</v>
      </c>
      <c r="BX1158" s="14" t="s">
        <v>22212</v>
      </c>
      <c r="BY1158" s="14" t="s">
        <v>188</v>
      </c>
      <c r="BZ1158" s="14" t="s">
        <v>22213</v>
      </c>
      <c r="CA1158" s="14" t="s">
        <v>188</v>
      </c>
      <c r="CB1158" s="14" t="s">
        <v>22214</v>
      </c>
      <c r="CC1158" s="14" t="s">
        <v>188</v>
      </c>
      <c r="CD1158" s="14" t="s">
        <v>22215</v>
      </c>
      <c r="CE1158" s="14" t="s">
        <v>188</v>
      </c>
      <c r="CF1158" s="14" t="s">
        <v>22215</v>
      </c>
      <c r="CG1158" s="19"/>
      <c r="CH1158" s="15"/>
      <c r="CI1158" s="19"/>
      <c r="CJ1158" s="15"/>
      <c r="CK1158" s="19"/>
      <c r="CL1158" s="15"/>
      <c r="CM1158" s="19"/>
      <c r="CN1158" s="15"/>
      <c r="CO1158" s="19"/>
      <c r="CP1158" s="15"/>
      <c r="CQ1158" s="15"/>
      <c r="CR1158" s="15"/>
      <c r="CS1158" s="19"/>
      <c r="CT1158" s="15"/>
      <c r="CU1158" s="19"/>
      <c r="CV1158" s="15"/>
      <c r="CW1158" s="19"/>
      <c r="CX1158" s="15"/>
      <c r="CY1158" s="19"/>
      <c r="CZ1158" s="15"/>
      <c r="DA1158" s="16" t="s">
        <v>197</v>
      </c>
      <c r="DB1158" s="17" t="s">
        <v>228</v>
      </c>
      <c r="DC1158" s="16"/>
      <c r="DD1158" s="17" t="s">
        <v>198</v>
      </c>
      <c r="DE1158" s="18">
        <v>45696.59768518519</v>
      </c>
      <c r="DF1158" s="17" t="s">
        <v>198</v>
      </c>
      <c r="DG1158" s="18">
        <v>45696.59768518519</v>
      </c>
      <c r="DH1158" s="13" t="s">
        <v>205</v>
      </c>
      <c r="DI1158" s="14" t="s">
        <v>179</v>
      </c>
      <c r="DJ1158" s="14" t="s">
        <v>22216</v>
      </c>
      <c r="DK1158" s="14" t="s">
        <v>179</v>
      </c>
      <c r="DL1158" s="14" t="s">
        <v>22217</v>
      </c>
      <c r="DM1158" s="14" t="s">
        <v>179</v>
      </c>
      <c r="DN1158" s="14" t="s">
        <v>22218</v>
      </c>
      <c r="DO1158" s="14" t="s">
        <v>179</v>
      </c>
      <c r="DP1158" s="14" t="s">
        <v>22219</v>
      </c>
      <c r="DQ1158" s="14" t="s">
        <v>179</v>
      </c>
      <c r="DR1158" s="14" t="s">
        <v>22220</v>
      </c>
      <c r="DS1158" s="14" t="s">
        <v>179</v>
      </c>
      <c r="DT1158" s="14" t="s">
        <v>22220</v>
      </c>
      <c r="DU1158" s="15"/>
      <c r="DV1158" s="15"/>
      <c r="DW1158" s="15"/>
      <c r="DX1158" s="15"/>
      <c r="DY1158" s="15"/>
      <c r="DZ1158" s="15"/>
      <c r="EA1158" s="15"/>
      <c r="EB1158" s="15"/>
      <c r="EC1158" s="16" t="s">
        <v>197</v>
      </c>
      <c r="ED1158" s="17" t="s">
        <v>198</v>
      </c>
      <c r="EE1158" s="18">
        <v>45722.39146990741</v>
      </c>
      <c r="EF1158" s="13" t="s">
        <v>209</v>
      </c>
      <c r="EG1158" s="15"/>
      <c r="EH1158" s="15"/>
      <c r="EI1158" s="15"/>
      <c r="EJ1158" s="15"/>
      <c r="EK1158" s="15"/>
      <c r="EL1158" s="15"/>
      <c r="EM1158" s="15"/>
      <c r="EN1158" s="15"/>
      <c r="EO1158" s="15"/>
      <c r="EP1158" s="15"/>
      <c r="EQ1158" s="15"/>
      <c r="ER1158" s="15"/>
      <c r="ES1158" s="15"/>
      <c r="ET1158" s="15"/>
      <c r="EU1158" s="15"/>
      <c r="EV1158" s="15"/>
      <c r="EW1158" s="15"/>
      <c r="EX1158" s="15"/>
      <c r="EY1158" s="15"/>
      <c r="EZ1158" s="15"/>
      <c r="FA1158" s="15"/>
      <c r="FB1158" s="15"/>
      <c r="FC1158" s="16" t="s">
        <v>197</v>
      </c>
      <c r="FD1158" s="17" t="s">
        <v>228</v>
      </c>
      <c r="FE1158" s="23"/>
      <c r="FF1158" s="19"/>
      <c r="FG1158" s="19"/>
      <c r="FH1158" s="21" t="s">
        <v>197</v>
      </c>
      <c r="FI1158" s="17" t="s">
        <v>214</v>
      </c>
      <c r="FJ1158" s="18">
        <v>45722.39146990741</v>
      </c>
      <c r="FK1158" s="14" t="s">
        <v>22220</v>
      </c>
      <c r="FL1158" s="14" t="s">
        <v>22221</v>
      </c>
      <c r="FM1158" s="14" t="s">
        <v>22222</v>
      </c>
      <c r="FN1158" s="19"/>
      <c r="FO1158" s="19"/>
      <c r="FP1158" s="19" t="str">
        <f t="shared" si="1"/>
        <v>Base de Dados_Images/XV65122.Imagem do Equipamento-.170647.jpg</v>
      </c>
      <c r="FQ1158" s="19"/>
      <c r="FR1158" s="19"/>
    </row>
    <row r="1159" ht="15.75" customHeight="1">
      <c r="A1159" s="12" t="s">
        <v>234</v>
      </c>
      <c r="B1159" s="12" t="s">
        <v>22223</v>
      </c>
      <c r="C1159" s="12" t="s">
        <v>15119</v>
      </c>
      <c r="D1159" s="12" t="s">
        <v>22224</v>
      </c>
      <c r="E1159" s="12" t="s">
        <v>22225</v>
      </c>
      <c r="F1159" s="13" t="s">
        <v>178</v>
      </c>
      <c r="G1159" s="14" t="s">
        <v>179</v>
      </c>
      <c r="H1159" s="14" t="s">
        <v>22226</v>
      </c>
      <c r="I1159" s="14" t="s">
        <v>179</v>
      </c>
      <c r="J1159" s="14" t="s">
        <v>22227</v>
      </c>
      <c r="K1159" s="14" t="s">
        <v>179</v>
      </c>
      <c r="L1159" s="14" t="s">
        <v>22228</v>
      </c>
      <c r="M1159" s="14" t="s">
        <v>179</v>
      </c>
      <c r="N1159" s="14" t="s">
        <v>22229</v>
      </c>
      <c r="O1159" s="14" t="s">
        <v>179</v>
      </c>
      <c r="P1159" s="14" t="s">
        <v>22230</v>
      </c>
      <c r="Q1159" s="14" t="s">
        <v>179</v>
      </c>
      <c r="R1159" s="14" t="s">
        <v>22231</v>
      </c>
      <c r="S1159" s="14" t="s">
        <v>179</v>
      </c>
      <c r="T1159" s="14" t="s">
        <v>22232</v>
      </c>
      <c r="U1159" s="14" t="s">
        <v>179</v>
      </c>
      <c r="V1159" s="14" t="s">
        <v>22233</v>
      </c>
      <c r="W1159" s="14" t="s">
        <v>179</v>
      </c>
      <c r="X1159" s="14" t="s">
        <v>22234</v>
      </c>
      <c r="Y1159" s="14" t="s">
        <v>179</v>
      </c>
      <c r="Z1159" s="14" t="s">
        <v>22235</v>
      </c>
      <c r="AA1159" s="14" t="s">
        <v>179</v>
      </c>
      <c r="AB1159" s="14" t="s">
        <v>22236</v>
      </c>
      <c r="AC1159" s="14" t="s">
        <v>179</v>
      </c>
      <c r="AD1159" s="14" t="s">
        <v>22237</v>
      </c>
      <c r="AE1159" s="14" t="s">
        <v>179</v>
      </c>
      <c r="AF1159" s="14" t="s">
        <v>22237</v>
      </c>
      <c r="AG1159" s="14" t="s">
        <v>179</v>
      </c>
      <c r="AH1159" s="14" t="s">
        <v>22238</v>
      </c>
      <c r="AI1159" s="14" t="s">
        <v>179</v>
      </c>
      <c r="AJ1159" s="14" t="s">
        <v>22239</v>
      </c>
      <c r="AK1159" s="14" t="s">
        <v>179</v>
      </c>
      <c r="AL1159" s="14" t="s">
        <v>22240</v>
      </c>
      <c r="AM1159" s="14" t="s">
        <v>179</v>
      </c>
      <c r="AN1159" s="14" t="s">
        <v>22241</v>
      </c>
      <c r="AO1159" s="14" t="s">
        <v>179</v>
      </c>
      <c r="AP1159" s="14" t="s">
        <v>22242</v>
      </c>
      <c r="AQ1159" s="14" t="s">
        <v>179</v>
      </c>
      <c r="AR1159" s="14" t="s">
        <v>22243</v>
      </c>
      <c r="AS1159" s="14" t="s">
        <v>179</v>
      </c>
      <c r="AT1159" s="14" t="s">
        <v>22244</v>
      </c>
      <c r="AU1159" s="14" t="s">
        <v>179</v>
      </c>
      <c r="AV1159" s="14" t="s">
        <v>22245</v>
      </c>
      <c r="AW1159" s="14" t="s">
        <v>179</v>
      </c>
      <c r="AX1159" s="14" t="s">
        <v>22246</v>
      </c>
      <c r="AY1159" s="14" t="s">
        <v>179</v>
      </c>
      <c r="AZ1159" s="14" t="s">
        <v>22247</v>
      </c>
      <c r="BA1159" s="15"/>
      <c r="BB1159" s="15"/>
      <c r="BC1159" s="15"/>
      <c r="BD1159" s="15"/>
      <c r="BE1159" s="15"/>
      <c r="BF1159" s="15"/>
      <c r="BG1159" s="15"/>
      <c r="BH1159" s="15"/>
      <c r="BI1159" s="15"/>
      <c r="BJ1159" s="15"/>
      <c r="BK1159" s="15"/>
      <c r="BL1159" s="15"/>
      <c r="BM1159" s="15"/>
      <c r="BN1159" s="15"/>
      <c r="BO1159" s="17" t="s">
        <v>197</v>
      </c>
      <c r="BP1159" s="17" t="s">
        <v>198</v>
      </c>
      <c r="BQ1159" s="18">
        <v>45688.49188657408</v>
      </c>
      <c r="BR1159" s="17" t="s">
        <v>198</v>
      </c>
      <c r="BS1159" s="18">
        <v>45678.43929398148</v>
      </c>
      <c r="BT1159" s="17" t="s">
        <v>198</v>
      </c>
      <c r="BU1159" s="18">
        <v>45688.49188657408</v>
      </c>
      <c r="BV1159" s="13" t="s">
        <v>199</v>
      </c>
      <c r="BW1159" s="14" t="s">
        <v>188</v>
      </c>
      <c r="BX1159" s="14" t="s">
        <v>22248</v>
      </c>
      <c r="BY1159" s="14" t="s">
        <v>188</v>
      </c>
      <c r="BZ1159" s="14" t="s">
        <v>22249</v>
      </c>
      <c r="CA1159" s="14" t="s">
        <v>188</v>
      </c>
      <c r="CB1159" s="14" t="s">
        <v>22250</v>
      </c>
      <c r="CC1159" s="14" t="s">
        <v>188</v>
      </c>
      <c r="CD1159" s="14" t="s">
        <v>22251</v>
      </c>
      <c r="CE1159" s="14" t="s">
        <v>188</v>
      </c>
      <c r="CF1159" s="14" t="s">
        <v>22252</v>
      </c>
      <c r="CG1159" s="19"/>
      <c r="CH1159" s="15"/>
      <c r="CI1159" s="19"/>
      <c r="CJ1159" s="15"/>
      <c r="CK1159" s="19"/>
      <c r="CL1159" s="15"/>
      <c r="CM1159" s="19"/>
      <c r="CN1159" s="15"/>
      <c r="CO1159" s="19"/>
      <c r="CP1159" s="15"/>
      <c r="CQ1159" s="15"/>
      <c r="CR1159" s="15"/>
      <c r="CS1159" s="19"/>
      <c r="CT1159" s="15"/>
      <c r="CU1159" s="19"/>
      <c r="CV1159" s="15"/>
      <c r="CW1159" s="19"/>
      <c r="CX1159" s="15"/>
      <c r="CY1159" s="19"/>
      <c r="CZ1159" s="15"/>
      <c r="DA1159" s="16" t="s">
        <v>197</v>
      </c>
      <c r="DB1159" s="17" t="s">
        <v>228</v>
      </c>
      <c r="DC1159" s="16"/>
      <c r="DD1159" s="17" t="s">
        <v>198</v>
      </c>
      <c r="DE1159" s="18">
        <v>45696.58483796296</v>
      </c>
      <c r="DF1159" s="17" t="s">
        <v>198</v>
      </c>
      <c r="DG1159" s="18">
        <v>45696.58483796296</v>
      </c>
      <c r="DH1159" s="13" t="s">
        <v>205</v>
      </c>
      <c r="DI1159" s="14" t="s">
        <v>179</v>
      </c>
      <c r="DJ1159" s="14" t="s">
        <v>22253</v>
      </c>
      <c r="DK1159" s="14" t="s">
        <v>179</v>
      </c>
      <c r="DL1159" s="14" t="s">
        <v>22253</v>
      </c>
      <c r="DM1159" s="14" t="s">
        <v>179</v>
      </c>
      <c r="DN1159" s="14" t="s">
        <v>22254</v>
      </c>
      <c r="DO1159" s="14" t="s">
        <v>179</v>
      </c>
      <c r="DP1159" s="14" t="s">
        <v>22255</v>
      </c>
      <c r="DQ1159" s="14" t="s">
        <v>179</v>
      </c>
      <c r="DR1159" s="14" t="s">
        <v>22255</v>
      </c>
      <c r="DS1159" s="14" t="s">
        <v>179</v>
      </c>
      <c r="DT1159" s="14" t="s">
        <v>22256</v>
      </c>
      <c r="DU1159" s="15"/>
      <c r="DV1159" s="15"/>
      <c r="DW1159" s="15"/>
      <c r="DX1159" s="15"/>
      <c r="DY1159" s="15"/>
      <c r="DZ1159" s="15"/>
      <c r="EA1159" s="15"/>
      <c r="EB1159" s="15"/>
      <c r="EC1159" s="16" t="s">
        <v>197</v>
      </c>
      <c r="ED1159" s="17" t="s">
        <v>198</v>
      </c>
      <c r="EE1159" s="18">
        <v>45720.37846064815</v>
      </c>
      <c r="EF1159" s="13" t="s">
        <v>209</v>
      </c>
      <c r="EG1159" s="15"/>
      <c r="EH1159" s="15"/>
      <c r="EI1159" s="15"/>
      <c r="EJ1159" s="15"/>
      <c r="EK1159" s="15"/>
      <c r="EL1159" s="15"/>
      <c r="EM1159" s="15"/>
      <c r="EN1159" s="15"/>
      <c r="EO1159" s="15"/>
      <c r="EP1159" s="15"/>
      <c r="EQ1159" s="15"/>
      <c r="ER1159" s="15"/>
      <c r="ES1159" s="15"/>
      <c r="ET1159" s="15"/>
      <c r="EU1159" s="15"/>
      <c r="EV1159" s="15"/>
      <c r="EW1159" s="15"/>
      <c r="EX1159" s="15"/>
      <c r="EY1159" s="15"/>
      <c r="EZ1159" s="15"/>
      <c r="FA1159" s="15"/>
      <c r="FB1159" s="15"/>
      <c r="FC1159" s="16" t="s">
        <v>197</v>
      </c>
      <c r="FD1159" s="17" t="s">
        <v>228</v>
      </c>
      <c r="FE1159" s="23"/>
      <c r="FF1159" s="19"/>
      <c r="FG1159" s="19"/>
      <c r="FH1159" s="21" t="s">
        <v>197</v>
      </c>
      <c r="FI1159" s="17" t="s">
        <v>214</v>
      </c>
      <c r="FJ1159" s="18">
        <v>45720.37846064815</v>
      </c>
      <c r="FK1159" s="14" t="s">
        <v>22256</v>
      </c>
      <c r="FL1159" s="14" t="s">
        <v>22257</v>
      </c>
      <c r="FM1159" s="14" t="s">
        <v>22258</v>
      </c>
      <c r="FN1159" s="19"/>
      <c r="FO1159" s="19"/>
      <c r="FP1159" s="19" t="str">
        <f t="shared" si="1"/>
        <v>Base de Dados_Images/XV65123.Imagem do Equipamento-.163343.jpg</v>
      </c>
      <c r="FQ1159" s="19"/>
      <c r="FR1159" s="19"/>
    </row>
    <row r="1160" ht="15.75" customHeight="1">
      <c r="A1160" s="12" t="s">
        <v>234</v>
      </c>
      <c r="B1160" s="12" t="s">
        <v>8709</v>
      </c>
      <c r="C1160" s="12" t="s">
        <v>15119</v>
      </c>
      <c r="D1160" s="12" t="s">
        <v>22259</v>
      </c>
      <c r="E1160" s="12" t="s">
        <v>22260</v>
      </c>
      <c r="F1160" s="13" t="s">
        <v>178</v>
      </c>
      <c r="G1160" s="14" t="s">
        <v>188</v>
      </c>
      <c r="H1160" s="14" t="s">
        <v>22261</v>
      </c>
      <c r="I1160" s="14" t="s">
        <v>188</v>
      </c>
      <c r="J1160" s="14" t="s">
        <v>22262</v>
      </c>
      <c r="K1160" s="14" t="s">
        <v>188</v>
      </c>
      <c r="L1160" s="14" t="s">
        <v>22262</v>
      </c>
      <c r="M1160" s="14" t="s">
        <v>188</v>
      </c>
      <c r="N1160" s="14" t="s">
        <v>22263</v>
      </c>
      <c r="O1160" s="14" t="s">
        <v>188</v>
      </c>
      <c r="P1160" s="14" t="s">
        <v>22264</v>
      </c>
      <c r="Q1160" s="14" t="s">
        <v>188</v>
      </c>
      <c r="R1160" s="14" t="s">
        <v>22264</v>
      </c>
      <c r="S1160" s="14" t="s">
        <v>188</v>
      </c>
      <c r="T1160" s="14" t="s">
        <v>22265</v>
      </c>
      <c r="U1160" s="14" t="s">
        <v>188</v>
      </c>
      <c r="V1160" s="14" t="s">
        <v>22266</v>
      </c>
      <c r="W1160" s="14" t="s">
        <v>188</v>
      </c>
      <c r="X1160" s="14" t="s">
        <v>22267</v>
      </c>
      <c r="Y1160" s="14" t="s">
        <v>188</v>
      </c>
      <c r="Z1160" s="14" t="s">
        <v>22268</v>
      </c>
      <c r="AA1160" s="14" t="s">
        <v>188</v>
      </c>
      <c r="AB1160" s="14" t="s">
        <v>22269</v>
      </c>
      <c r="AC1160" s="14" t="s">
        <v>188</v>
      </c>
      <c r="AD1160" s="14" t="s">
        <v>22270</v>
      </c>
      <c r="AE1160" s="14" t="s">
        <v>188</v>
      </c>
      <c r="AF1160" s="14" t="s">
        <v>22271</v>
      </c>
      <c r="AG1160" s="14" t="s">
        <v>188</v>
      </c>
      <c r="AH1160" s="14" t="s">
        <v>22272</v>
      </c>
      <c r="AI1160" s="14" t="s">
        <v>188</v>
      </c>
      <c r="AJ1160" s="14" t="s">
        <v>22273</v>
      </c>
      <c r="AK1160" s="14" t="s">
        <v>188</v>
      </c>
      <c r="AL1160" s="14" t="s">
        <v>22274</v>
      </c>
      <c r="AM1160" s="14" t="s">
        <v>188</v>
      </c>
      <c r="AN1160" s="14" t="s">
        <v>22275</v>
      </c>
      <c r="AO1160" s="14" t="s">
        <v>188</v>
      </c>
      <c r="AP1160" s="14" t="s">
        <v>22276</v>
      </c>
      <c r="AQ1160" s="14" t="s">
        <v>188</v>
      </c>
      <c r="AR1160" s="14" t="s">
        <v>22277</v>
      </c>
      <c r="AS1160" s="14" t="s">
        <v>188</v>
      </c>
      <c r="AT1160" s="14" t="s">
        <v>22278</v>
      </c>
      <c r="AU1160" s="14" t="s">
        <v>188</v>
      </c>
      <c r="AV1160" s="14" t="s">
        <v>22279</v>
      </c>
      <c r="AW1160" s="14" t="s">
        <v>188</v>
      </c>
      <c r="AX1160" s="14" t="s">
        <v>22280</v>
      </c>
      <c r="AY1160" s="14" t="s">
        <v>188</v>
      </c>
      <c r="AZ1160" s="14" t="s">
        <v>22281</v>
      </c>
      <c r="BA1160" s="15"/>
      <c r="BB1160" s="15"/>
      <c r="BC1160" s="15"/>
      <c r="BD1160" s="15"/>
      <c r="BE1160" s="15"/>
      <c r="BF1160" s="15"/>
      <c r="BG1160" s="15"/>
      <c r="BH1160" s="15"/>
      <c r="BI1160" s="15"/>
      <c r="BJ1160" s="15"/>
      <c r="BK1160" s="15"/>
      <c r="BL1160" s="15"/>
      <c r="BM1160" s="15"/>
      <c r="BN1160" s="15"/>
      <c r="BO1160" s="16" t="s">
        <v>197</v>
      </c>
      <c r="BP1160" s="17" t="s">
        <v>198</v>
      </c>
      <c r="BQ1160" s="18">
        <v>45696.35166666667</v>
      </c>
      <c r="BR1160" s="17" t="s">
        <v>198</v>
      </c>
      <c r="BS1160" s="18">
        <v>45696.352106481485</v>
      </c>
      <c r="BT1160" s="17" t="s">
        <v>198</v>
      </c>
      <c r="BU1160" s="18">
        <v>45696.352106481485</v>
      </c>
      <c r="BV1160" s="13" t="s">
        <v>199</v>
      </c>
      <c r="BW1160" s="14" t="s">
        <v>188</v>
      </c>
      <c r="BX1160" s="14" t="s">
        <v>22282</v>
      </c>
      <c r="BY1160" s="14" t="s">
        <v>188</v>
      </c>
      <c r="BZ1160" s="14" t="s">
        <v>22283</v>
      </c>
      <c r="CA1160" s="14" t="s">
        <v>188</v>
      </c>
      <c r="CB1160" s="14" t="s">
        <v>22284</v>
      </c>
      <c r="CC1160" s="14" t="s">
        <v>188</v>
      </c>
      <c r="CD1160" s="14" t="s">
        <v>22285</v>
      </c>
      <c r="CE1160" s="14" t="s">
        <v>188</v>
      </c>
      <c r="CF1160" s="14" t="s">
        <v>22286</v>
      </c>
      <c r="CG1160" s="19"/>
      <c r="CH1160" s="15"/>
      <c r="CI1160" s="19"/>
      <c r="CJ1160" s="15"/>
      <c r="CK1160" s="19"/>
      <c r="CL1160" s="15"/>
      <c r="CM1160" s="19"/>
      <c r="CN1160" s="15"/>
      <c r="CO1160" s="19"/>
      <c r="CP1160" s="15"/>
      <c r="CQ1160" s="15"/>
      <c r="CR1160" s="15"/>
      <c r="CS1160" s="19"/>
      <c r="CT1160" s="15"/>
      <c r="CU1160" s="19"/>
      <c r="CV1160" s="15"/>
      <c r="CW1160" s="19"/>
      <c r="CX1160" s="15"/>
      <c r="CY1160" s="19"/>
      <c r="CZ1160" s="15"/>
      <c r="DA1160" s="16" t="s">
        <v>197</v>
      </c>
      <c r="DB1160" s="17" t="s">
        <v>228</v>
      </c>
      <c r="DC1160" s="16"/>
      <c r="DD1160" s="17" t="s">
        <v>198</v>
      </c>
      <c r="DE1160" s="18">
        <v>45696.3525</v>
      </c>
      <c r="DF1160" s="17" t="s">
        <v>198</v>
      </c>
      <c r="DG1160" s="18">
        <v>45696.3525</v>
      </c>
      <c r="DH1160" s="13" t="s">
        <v>205</v>
      </c>
      <c r="DI1160" s="14" t="s">
        <v>188</v>
      </c>
      <c r="DJ1160" s="14" t="s">
        <v>22287</v>
      </c>
      <c r="DK1160" s="14" t="s">
        <v>188</v>
      </c>
      <c r="DL1160" s="14" t="s">
        <v>22288</v>
      </c>
      <c r="DM1160" s="14" t="s">
        <v>188</v>
      </c>
      <c r="DN1160" s="14" t="s">
        <v>22289</v>
      </c>
      <c r="DO1160" s="14" t="s">
        <v>188</v>
      </c>
      <c r="DP1160" s="14" t="s">
        <v>22290</v>
      </c>
      <c r="DQ1160" s="14" t="s">
        <v>188</v>
      </c>
      <c r="DR1160" s="14" t="s">
        <v>22291</v>
      </c>
      <c r="DS1160" s="14" t="s">
        <v>188</v>
      </c>
      <c r="DT1160" s="14" t="s">
        <v>22292</v>
      </c>
      <c r="DU1160" s="15"/>
      <c r="DV1160" s="15"/>
      <c r="DW1160" s="15"/>
      <c r="DX1160" s="15"/>
      <c r="DY1160" s="15"/>
      <c r="DZ1160" s="15"/>
      <c r="EA1160" s="15"/>
      <c r="EB1160" s="15"/>
      <c r="EC1160" s="16" t="s">
        <v>197</v>
      </c>
      <c r="ED1160" s="17" t="s">
        <v>198</v>
      </c>
      <c r="EE1160" s="18">
        <v>45696.352627314816</v>
      </c>
      <c r="EF1160" s="13" t="s">
        <v>209</v>
      </c>
      <c r="EG1160" s="15"/>
      <c r="EH1160" s="15"/>
      <c r="EI1160" s="15"/>
      <c r="EJ1160" s="15"/>
      <c r="EK1160" s="15"/>
      <c r="EL1160" s="15"/>
      <c r="EM1160" s="15"/>
      <c r="EN1160" s="15"/>
      <c r="EO1160" s="15"/>
      <c r="EP1160" s="15"/>
      <c r="EQ1160" s="15"/>
      <c r="ER1160" s="15"/>
      <c r="ES1160" s="15"/>
      <c r="ET1160" s="15"/>
      <c r="EU1160" s="15"/>
      <c r="EV1160" s="15"/>
      <c r="EW1160" s="15"/>
      <c r="EX1160" s="15"/>
      <c r="EY1160" s="15"/>
      <c r="EZ1160" s="15"/>
      <c r="FA1160" s="15"/>
      <c r="FB1160" s="15"/>
      <c r="FC1160" s="16" t="s">
        <v>197</v>
      </c>
      <c r="FD1160" s="17" t="s">
        <v>228</v>
      </c>
      <c r="FE1160" s="23"/>
      <c r="FF1160" s="19"/>
      <c r="FG1160" s="19"/>
      <c r="FH1160" s="21" t="s">
        <v>197</v>
      </c>
      <c r="FI1160" s="17" t="s">
        <v>214</v>
      </c>
      <c r="FJ1160" s="18">
        <v>45696.352627314816</v>
      </c>
      <c r="FK1160" s="14" t="s">
        <v>22292</v>
      </c>
      <c r="FL1160" s="14" t="s">
        <v>22293</v>
      </c>
      <c r="FM1160" s="14" t="s">
        <v>22294</v>
      </c>
      <c r="FN1160" s="19"/>
      <c r="FO1160" s="19"/>
      <c r="FP1160" s="19" t="str">
        <f t="shared" si="1"/>
        <v>Base de Dados_Images/XV6519.Imagem do Equipamento-.151715.jpg</v>
      </c>
      <c r="FQ1160" s="19"/>
      <c r="FR1160" s="19"/>
    </row>
    <row r="1161" ht="15.75" customHeight="1">
      <c r="A1161" s="12" t="s">
        <v>547</v>
      </c>
      <c r="B1161" s="12" t="s">
        <v>3373</v>
      </c>
      <c r="C1161" s="12" t="s">
        <v>219</v>
      </c>
      <c r="D1161" s="22" t="s">
        <v>22295</v>
      </c>
      <c r="E1161" s="22" t="s">
        <v>22296</v>
      </c>
      <c r="F1161" s="13" t="s">
        <v>178</v>
      </c>
      <c r="G1161" s="14" t="s">
        <v>179</v>
      </c>
      <c r="H1161" s="14" t="s">
        <v>22297</v>
      </c>
      <c r="I1161" s="14" t="s">
        <v>179</v>
      </c>
      <c r="J1161" s="14" t="s">
        <v>22298</v>
      </c>
      <c r="K1161" s="14" t="s">
        <v>179</v>
      </c>
      <c r="L1161" s="14" t="s">
        <v>22298</v>
      </c>
      <c r="M1161" s="14" t="s">
        <v>179</v>
      </c>
      <c r="N1161" s="14" t="s">
        <v>22299</v>
      </c>
      <c r="O1161" s="14" t="s">
        <v>179</v>
      </c>
      <c r="P1161" s="14" t="s">
        <v>22300</v>
      </c>
      <c r="Q1161" s="14" t="s">
        <v>179</v>
      </c>
      <c r="R1161" s="14" t="s">
        <v>22301</v>
      </c>
      <c r="S1161" s="14" t="s">
        <v>179</v>
      </c>
      <c r="T1161" s="14" t="s">
        <v>22302</v>
      </c>
      <c r="U1161" s="14" t="s">
        <v>179</v>
      </c>
      <c r="V1161" s="14" t="s">
        <v>22303</v>
      </c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15"/>
      <c r="AG1161" s="15"/>
      <c r="AH1161" s="15"/>
      <c r="AI1161" s="15"/>
      <c r="AJ1161" s="15"/>
      <c r="AK1161" s="15"/>
      <c r="AL1161" s="15"/>
      <c r="AM1161" s="15"/>
      <c r="AN1161" s="15"/>
      <c r="AO1161" s="15"/>
      <c r="AP1161" s="15"/>
      <c r="AQ1161" s="15"/>
      <c r="AR1161" s="15"/>
      <c r="AS1161" s="15"/>
      <c r="AT1161" s="15"/>
      <c r="AU1161" s="15"/>
      <c r="AV1161" s="15"/>
      <c r="AW1161" s="15"/>
      <c r="AX1161" s="15"/>
      <c r="AY1161" s="15"/>
      <c r="AZ1161" s="15"/>
      <c r="BA1161" s="15"/>
      <c r="BB1161" s="15"/>
      <c r="BC1161" s="15"/>
      <c r="BD1161" s="15"/>
      <c r="BE1161" s="15"/>
      <c r="BF1161" s="15"/>
      <c r="BG1161" s="15"/>
      <c r="BH1161" s="15"/>
      <c r="BI1161" s="15"/>
      <c r="BJ1161" s="15"/>
      <c r="BK1161" s="15"/>
      <c r="BL1161" s="15"/>
      <c r="BM1161" s="15"/>
      <c r="BN1161" s="15"/>
      <c r="BO1161" s="16" t="s">
        <v>197</v>
      </c>
      <c r="BP1161" s="17" t="s">
        <v>228</v>
      </c>
      <c r="BQ1161" s="23"/>
      <c r="BR1161" s="17" t="s">
        <v>198</v>
      </c>
      <c r="BS1161" s="18">
        <v>45686.804768518516</v>
      </c>
      <c r="BT1161" s="17" t="s">
        <v>198</v>
      </c>
      <c r="BU1161" s="18">
        <v>45686.804768518516</v>
      </c>
      <c r="BV1161" s="13" t="s">
        <v>199</v>
      </c>
      <c r="BW1161" s="14" t="s">
        <v>179</v>
      </c>
      <c r="BX1161" s="14" t="s">
        <v>22304</v>
      </c>
      <c r="BY1161" s="14" t="s">
        <v>179</v>
      </c>
      <c r="BZ1161" s="14" t="s">
        <v>22305</v>
      </c>
      <c r="CA1161" s="15"/>
      <c r="CB1161" s="15"/>
      <c r="CC1161" s="15"/>
      <c r="CD1161" s="15"/>
      <c r="CE1161" s="15"/>
      <c r="CF1161" s="15"/>
      <c r="CG1161" s="19"/>
      <c r="CH1161" s="15"/>
      <c r="CI1161" s="19"/>
      <c r="CJ1161" s="15"/>
      <c r="CK1161" s="19"/>
      <c r="CL1161" s="15"/>
      <c r="CM1161" s="19"/>
      <c r="CN1161" s="15"/>
      <c r="CO1161" s="19"/>
      <c r="CP1161" s="15"/>
      <c r="CQ1161" s="15"/>
      <c r="CR1161" s="15"/>
      <c r="CS1161" s="19"/>
      <c r="CT1161" s="15"/>
      <c r="CU1161" s="19"/>
      <c r="CV1161" s="15"/>
      <c r="CW1161" s="19"/>
      <c r="CX1161" s="15"/>
      <c r="CY1161" s="19"/>
      <c r="CZ1161" s="15"/>
      <c r="DA1161" s="16" t="s">
        <v>197</v>
      </c>
      <c r="DB1161" s="17" t="s">
        <v>228</v>
      </c>
      <c r="DC1161" s="16"/>
      <c r="DD1161" s="17" t="s">
        <v>198</v>
      </c>
      <c r="DE1161" s="18">
        <v>45694.602164351854</v>
      </c>
      <c r="DF1161" s="17" t="s">
        <v>198</v>
      </c>
      <c r="DG1161" s="18">
        <v>45694.602164351854</v>
      </c>
      <c r="DH1161" s="13" t="s">
        <v>205</v>
      </c>
      <c r="DI1161" s="14" t="s">
        <v>179</v>
      </c>
      <c r="DJ1161" s="14" t="s">
        <v>22306</v>
      </c>
      <c r="DK1161" s="15"/>
      <c r="DL1161" s="15"/>
      <c r="DM1161" s="15"/>
      <c r="DN1161" s="15"/>
      <c r="DO1161" s="15"/>
      <c r="DP1161" s="15"/>
      <c r="DQ1161" s="15"/>
      <c r="DR1161" s="15"/>
      <c r="DS1161" s="15"/>
      <c r="DT1161" s="15"/>
      <c r="DU1161" s="15"/>
      <c r="DV1161" s="15"/>
      <c r="DW1161" s="15"/>
      <c r="DX1161" s="15"/>
      <c r="DY1161" s="15"/>
      <c r="DZ1161" s="15"/>
      <c r="EA1161" s="15"/>
      <c r="EB1161" s="15"/>
      <c r="EC1161" s="16" t="s">
        <v>197</v>
      </c>
      <c r="ED1161" s="17" t="s">
        <v>198</v>
      </c>
      <c r="EE1161" s="18">
        <v>45707.69673611111</v>
      </c>
      <c r="EF1161" s="13" t="s">
        <v>209</v>
      </c>
      <c r="EG1161" s="14" t="s">
        <v>179</v>
      </c>
      <c r="EH1161" s="14" t="s">
        <v>22307</v>
      </c>
      <c r="EI1161" s="15"/>
      <c r="EJ1161" s="15"/>
      <c r="EK1161" s="15"/>
      <c r="EL1161" s="15"/>
      <c r="EM1161" s="15"/>
      <c r="EN1161" s="15"/>
      <c r="EO1161" s="15"/>
      <c r="EP1161" s="15"/>
      <c r="EQ1161" s="15"/>
      <c r="ER1161" s="15"/>
      <c r="ES1161" s="15"/>
      <c r="ET1161" s="15"/>
      <c r="EU1161" s="15"/>
      <c r="EV1161" s="15"/>
      <c r="EW1161" s="15"/>
      <c r="EX1161" s="15"/>
      <c r="EY1161" s="15"/>
      <c r="EZ1161" s="15"/>
      <c r="FA1161" s="15"/>
      <c r="FB1161" s="15"/>
      <c r="FC1161" s="16" t="s">
        <v>197</v>
      </c>
      <c r="FD1161" s="17" t="s">
        <v>198</v>
      </c>
      <c r="FE1161" s="18">
        <v>45723.33930555556</v>
      </c>
      <c r="FF1161" s="19"/>
      <c r="FG1161" s="19"/>
      <c r="FH1161" s="21" t="s">
        <v>197</v>
      </c>
      <c r="FI1161" s="17" t="s">
        <v>214</v>
      </c>
      <c r="FJ1161" s="18">
        <v>45723.33930555556</v>
      </c>
      <c r="FK1161" s="14" t="s">
        <v>22307</v>
      </c>
      <c r="FL1161" s="14" t="s">
        <v>22308</v>
      </c>
      <c r="FM1161" s="14" t="s">
        <v>22309</v>
      </c>
      <c r="FN1161" s="19"/>
      <c r="FO1161" s="19"/>
      <c r="FP1161" s="19" t="str">
        <f t="shared" si="1"/>
        <v>Base de Dados_Images/XV70001.Imagem do Equipamento-.221842.jpg</v>
      </c>
      <c r="FQ1161" s="19"/>
      <c r="FR1161" s="19"/>
    </row>
    <row r="1162" ht="15.75" customHeight="1">
      <c r="A1162" s="12" t="s">
        <v>547</v>
      </c>
      <c r="B1162" s="12" t="s">
        <v>3373</v>
      </c>
      <c r="C1162" s="12" t="s">
        <v>219</v>
      </c>
      <c r="D1162" s="22" t="s">
        <v>22310</v>
      </c>
      <c r="E1162" s="22" t="s">
        <v>22311</v>
      </c>
      <c r="F1162" s="13" t="s">
        <v>178</v>
      </c>
      <c r="G1162" s="14" t="s">
        <v>179</v>
      </c>
      <c r="H1162" s="14" t="s">
        <v>22312</v>
      </c>
      <c r="I1162" s="14" t="s">
        <v>179</v>
      </c>
      <c r="J1162" s="14" t="s">
        <v>22313</v>
      </c>
      <c r="K1162" s="14" t="s">
        <v>179</v>
      </c>
      <c r="L1162" s="14" t="s">
        <v>22314</v>
      </c>
      <c r="M1162" s="14" t="s">
        <v>179</v>
      </c>
      <c r="N1162" s="14" t="s">
        <v>22315</v>
      </c>
      <c r="O1162" s="14" t="s">
        <v>179</v>
      </c>
      <c r="P1162" s="14" t="s">
        <v>22316</v>
      </c>
      <c r="Q1162" s="14" t="s">
        <v>179</v>
      </c>
      <c r="R1162" s="14" t="s">
        <v>22317</v>
      </c>
      <c r="S1162" s="14" t="s">
        <v>179</v>
      </c>
      <c r="T1162" s="14" t="s">
        <v>22318</v>
      </c>
      <c r="U1162" s="14" t="s">
        <v>179</v>
      </c>
      <c r="V1162" s="14" t="s">
        <v>22319</v>
      </c>
      <c r="W1162" s="15"/>
      <c r="X1162" s="15"/>
      <c r="Y1162" s="15"/>
      <c r="Z1162" s="15"/>
      <c r="AA1162" s="15"/>
      <c r="AB1162" s="15"/>
      <c r="AC1162" s="15"/>
      <c r="AD1162" s="15"/>
      <c r="AE1162" s="15"/>
      <c r="AF1162" s="15"/>
      <c r="AG1162" s="15"/>
      <c r="AH1162" s="15"/>
      <c r="AI1162" s="15"/>
      <c r="AJ1162" s="15"/>
      <c r="AK1162" s="15"/>
      <c r="AL1162" s="15"/>
      <c r="AM1162" s="15"/>
      <c r="AN1162" s="15"/>
      <c r="AO1162" s="15"/>
      <c r="AP1162" s="15"/>
      <c r="AQ1162" s="15"/>
      <c r="AR1162" s="15"/>
      <c r="AS1162" s="15"/>
      <c r="AT1162" s="15"/>
      <c r="AU1162" s="15"/>
      <c r="AV1162" s="15"/>
      <c r="AW1162" s="15"/>
      <c r="AX1162" s="15"/>
      <c r="AY1162" s="15"/>
      <c r="AZ1162" s="15"/>
      <c r="BA1162" s="15"/>
      <c r="BB1162" s="15"/>
      <c r="BC1162" s="15"/>
      <c r="BD1162" s="15"/>
      <c r="BE1162" s="15"/>
      <c r="BF1162" s="15"/>
      <c r="BG1162" s="15"/>
      <c r="BH1162" s="15"/>
      <c r="BI1162" s="15"/>
      <c r="BJ1162" s="15"/>
      <c r="BK1162" s="15"/>
      <c r="BL1162" s="15"/>
      <c r="BM1162" s="15"/>
      <c r="BN1162" s="15"/>
      <c r="BO1162" s="16" t="s">
        <v>197</v>
      </c>
      <c r="BP1162" s="17" t="s">
        <v>228</v>
      </c>
      <c r="BQ1162" s="23"/>
      <c r="BR1162" s="17" t="s">
        <v>198</v>
      </c>
      <c r="BS1162" s="18">
        <v>45678.5033912037</v>
      </c>
      <c r="BT1162" s="17" t="s">
        <v>198</v>
      </c>
      <c r="BU1162" s="18">
        <v>45678.5033912037</v>
      </c>
      <c r="BV1162" s="13" t="s">
        <v>199</v>
      </c>
      <c r="BW1162" s="14" t="s">
        <v>179</v>
      </c>
      <c r="BX1162" s="14" t="s">
        <v>22320</v>
      </c>
      <c r="BY1162" s="14" t="s">
        <v>179</v>
      </c>
      <c r="BZ1162" s="14" t="s">
        <v>22321</v>
      </c>
      <c r="CA1162" s="15"/>
      <c r="CB1162" s="15"/>
      <c r="CC1162" s="15"/>
      <c r="CD1162" s="15"/>
      <c r="CE1162" s="15"/>
      <c r="CF1162" s="15"/>
      <c r="CG1162" s="19"/>
      <c r="CH1162" s="15"/>
      <c r="CI1162" s="19"/>
      <c r="CJ1162" s="15"/>
      <c r="CK1162" s="19"/>
      <c r="CL1162" s="15"/>
      <c r="CM1162" s="19"/>
      <c r="CN1162" s="15"/>
      <c r="CO1162" s="19"/>
      <c r="CP1162" s="15"/>
      <c r="CQ1162" s="15"/>
      <c r="CR1162" s="15"/>
      <c r="CS1162" s="19"/>
      <c r="CT1162" s="15"/>
      <c r="CU1162" s="19"/>
      <c r="CV1162" s="15"/>
      <c r="CW1162" s="19"/>
      <c r="CX1162" s="15"/>
      <c r="CY1162" s="19"/>
      <c r="CZ1162" s="15"/>
      <c r="DA1162" s="16" t="s">
        <v>197</v>
      </c>
      <c r="DB1162" s="17" t="s">
        <v>228</v>
      </c>
      <c r="DC1162" s="16"/>
      <c r="DD1162" s="17" t="s">
        <v>198</v>
      </c>
      <c r="DE1162" s="18">
        <v>45694.602372685185</v>
      </c>
      <c r="DF1162" s="17" t="s">
        <v>198</v>
      </c>
      <c r="DG1162" s="18">
        <v>45694.602372685185</v>
      </c>
      <c r="DH1162" s="13" t="s">
        <v>205</v>
      </c>
      <c r="DI1162" s="14" t="s">
        <v>179</v>
      </c>
      <c r="DJ1162" s="14" t="s">
        <v>22322</v>
      </c>
      <c r="DK1162" s="15"/>
      <c r="DL1162" s="15"/>
      <c r="DM1162" s="15"/>
      <c r="DN1162" s="15"/>
      <c r="DO1162" s="15"/>
      <c r="DP1162" s="15"/>
      <c r="DQ1162" s="15"/>
      <c r="DR1162" s="15"/>
      <c r="DS1162" s="15"/>
      <c r="DT1162" s="15"/>
      <c r="DU1162" s="15"/>
      <c r="DV1162" s="15"/>
      <c r="DW1162" s="15"/>
      <c r="DX1162" s="15"/>
      <c r="DY1162" s="15"/>
      <c r="DZ1162" s="15"/>
      <c r="EA1162" s="15"/>
      <c r="EB1162" s="15"/>
      <c r="EC1162" s="16" t="s">
        <v>197</v>
      </c>
      <c r="ED1162" s="17" t="s">
        <v>198</v>
      </c>
      <c r="EE1162" s="18">
        <v>45707.696805555555</v>
      </c>
      <c r="EF1162" s="13" t="s">
        <v>209</v>
      </c>
      <c r="EG1162" s="14" t="s">
        <v>179</v>
      </c>
      <c r="EH1162" s="14" t="s">
        <v>22323</v>
      </c>
      <c r="EI1162" s="15"/>
      <c r="EJ1162" s="15"/>
      <c r="EK1162" s="15"/>
      <c r="EL1162" s="15"/>
      <c r="EM1162" s="15"/>
      <c r="EN1162" s="15"/>
      <c r="EO1162" s="15"/>
      <c r="EP1162" s="15"/>
      <c r="EQ1162" s="15"/>
      <c r="ER1162" s="15"/>
      <c r="ES1162" s="15"/>
      <c r="ET1162" s="15"/>
      <c r="EU1162" s="15"/>
      <c r="EV1162" s="15"/>
      <c r="EW1162" s="15"/>
      <c r="EX1162" s="15"/>
      <c r="EY1162" s="15"/>
      <c r="EZ1162" s="15"/>
      <c r="FA1162" s="15"/>
      <c r="FB1162" s="15"/>
      <c r="FC1162" s="16" t="s">
        <v>197</v>
      </c>
      <c r="FD1162" s="17" t="s">
        <v>198</v>
      </c>
      <c r="FE1162" s="18">
        <v>45723.33938657407</v>
      </c>
      <c r="FF1162" s="19"/>
      <c r="FG1162" s="19"/>
      <c r="FH1162" s="21" t="s">
        <v>197</v>
      </c>
      <c r="FI1162" s="17" t="s">
        <v>214</v>
      </c>
      <c r="FJ1162" s="18">
        <v>45723.33938657407</v>
      </c>
      <c r="FK1162" s="14" t="s">
        <v>22323</v>
      </c>
      <c r="FL1162" s="14" t="s">
        <v>22324</v>
      </c>
      <c r="FM1162" s="14" t="s">
        <v>22325</v>
      </c>
      <c r="FN1162" s="19"/>
      <c r="FO1162" s="19"/>
      <c r="FP1162" s="19" t="str">
        <f t="shared" si="1"/>
        <v>Base de Dados_Images/XV70002.Imagem do Equipamento-.181504.jpg</v>
      </c>
      <c r="FQ1162" s="19"/>
      <c r="FR1162" s="19"/>
    </row>
    <row r="1163" ht="15.75" customHeight="1">
      <c r="A1163" s="12" t="s">
        <v>547</v>
      </c>
      <c r="B1163" s="12" t="s">
        <v>3410</v>
      </c>
      <c r="C1163" s="12" t="s">
        <v>219</v>
      </c>
      <c r="D1163" s="22" t="s">
        <v>22326</v>
      </c>
      <c r="E1163" s="22" t="s">
        <v>22327</v>
      </c>
      <c r="F1163" s="13" t="s">
        <v>178</v>
      </c>
      <c r="G1163" s="14" t="s">
        <v>179</v>
      </c>
      <c r="H1163" s="14" t="s">
        <v>22328</v>
      </c>
      <c r="I1163" s="14" t="s">
        <v>179</v>
      </c>
      <c r="J1163" s="14" t="s">
        <v>22329</v>
      </c>
      <c r="K1163" s="14" t="s">
        <v>179</v>
      </c>
      <c r="L1163" s="14" t="s">
        <v>22330</v>
      </c>
      <c r="M1163" s="14" t="s">
        <v>179</v>
      </c>
      <c r="N1163" s="14" t="s">
        <v>22331</v>
      </c>
      <c r="O1163" s="14" t="s">
        <v>179</v>
      </c>
      <c r="P1163" s="14" t="s">
        <v>22331</v>
      </c>
      <c r="Q1163" s="14" t="s">
        <v>179</v>
      </c>
      <c r="R1163" s="14" t="s">
        <v>22332</v>
      </c>
      <c r="S1163" s="14" t="s">
        <v>179</v>
      </c>
      <c r="T1163" s="14" t="s">
        <v>22333</v>
      </c>
      <c r="U1163" s="14" t="s">
        <v>179</v>
      </c>
      <c r="V1163" s="14" t="s">
        <v>22333</v>
      </c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  <c r="AG1163" s="15"/>
      <c r="AH1163" s="15"/>
      <c r="AI1163" s="15"/>
      <c r="AJ1163" s="15"/>
      <c r="AK1163" s="15"/>
      <c r="AL1163" s="15"/>
      <c r="AM1163" s="15"/>
      <c r="AN1163" s="15"/>
      <c r="AO1163" s="15"/>
      <c r="AP1163" s="15"/>
      <c r="AQ1163" s="15"/>
      <c r="AR1163" s="15"/>
      <c r="AS1163" s="15"/>
      <c r="AT1163" s="15"/>
      <c r="AU1163" s="15"/>
      <c r="AV1163" s="15"/>
      <c r="AW1163" s="15"/>
      <c r="AX1163" s="15"/>
      <c r="AY1163" s="15"/>
      <c r="AZ1163" s="15"/>
      <c r="BA1163" s="15"/>
      <c r="BB1163" s="15"/>
      <c r="BC1163" s="15"/>
      <c r="BD1163" s="15"/>
      <c r="BE1163" s="15"/>
      <c r="BF1163" s="15"/>
      <c r="BG1163" s="15"/>
      <c r="BH1163" s="15"/>
      <c r="BI1163" s="15"/>
      <c r="BJ1163" s="15"/>
      <c r="BK1163" s="15"/>
      <c r="BL1163" s="15"/>
      <c r="BM1163" s="15"/>
      <c r="BN1163" s="15"/>
      <c r="BO1163" s="16" t="s">
        <v>197</v>
      </c>
      <c r="BP1163" s="17" t="s">
        <v>228</v>
      </c>
      <c r="BQ1163" s="23"/>
      <c r="BR1163" s="17" t="s">
        <v>198</v>
      </c>
      <c r="BS1163" s="18">
        <v>45686.80582175926</v>
      </c>
      <c r="BT1163" s="17" t="s">
        <v>198</v>
      </c>
      <c r="BU1163" s="18">
        <v>45686.80582175926</v>
      </c>
      <c r="BV1163" s="13" t="s">
        <v>199</v>
      </c>
      <c r="BW1163" s="14" t="s">
        <v>179</v>
      </c>
      <c r="BX1163" s="14" t="s">
        <v>22334</v>
      </c>
      <c r="BY1163" s="14" t="s">
        <v>179</v>
      </c>
      <c r="BZ1163" s="14" t="s">
        <v>22335</v>
      </c>
      <c r="CA1163" s="15"/>
      <c r="CB1163" s="15"/>
      <c r="CC1163" s="15"/>
      <c r="CD1163" s="15"/>
      <c r="CE1163" s="15"/>
      <c r="CF1163" s="15"/>
      <c r="CG1163" s="19"/>
      <c r="CH1163" s="15"/>
      <c r="CI1163" s="19"/>
      <c r="CJ1163" s="15"/>
      <c r="CK1163" s="19"/>
      <c r="CL1163" s="15"/>
      <c r="CM1163" s="19"/>
      <c r="CN1163" s="15"/>
      <c r="CO1163" s="19"/>
      <c r="CP1163" s="15"/>
      <c r="CQ1163" s="15"/>
      <c r="CR1163" s="15"/>
      <c r="CS1163" s="19"/>
      <c r="CT1163" s="15"/>
      <c r="CU1163" s="19"/>
      <c r="CV1163" s="15"/>
      <c r="CW1163" s="19"/>
      <c r="CX1163" s="15"/>
      <c r="CY1163" s="19"/>
      <c r="CZ1163" s="15"/>
      <c r="DA1163" s="16" t="s">
        <v>197</v>
      </c>
      <c r="DB1163" s="17" t="s">
        <v>228</v>
      </c>
      <c r="DC1163" s="16"/>
      <c r="DD1163" s="17" t="s">
        <v>198</v>
      </c>
      <c r="DE1163" s="18">
        <v>45694.60296296296</v>
      </c>
      <c r="DF1163" s="17" t="s">
        <v>198</v>
      </c>
      <c r="DG1163" s="18">
        <v>45694.60296296296</v>
      </c>
      <c r="DH1163" s="13" t="s">
        <v>205</v>
      </c>
      <c r="DI1163" s="14" t="s">
        <v>179</v>
      </c>
      <c r="DJ1163" s="14" t="s">
        <v>22336</v>
      </c>
      <c r="DK1163" s="15"/>
      <c r="DL1163" s="15"/>
      <c r="DM1163" s="15"/>
      <c r="DN1163" s="15"/>
      <c r="DO1163" s="15"/>
      <c r="DP1163" s="15"/>
      <c r="DQ1163" s="15"/>
      <c r="DR1163" s="15"/>
      <c r="DS1163" s="15"/>
      <c r="DT1163" s="15"/>
      <c r="DU1163" s="15"/>
      <c r="DV1163" s="15"/>
      <c r="DW1163" s="15"/>
      <c r="DX1163" s="15"/>
      <c r="DY1163" s="15"/>
      <c r="DZ1163" s="15"/>
      <c r="EA1163" s="15"/>
      <c r="EB1163" s="15"/>
      <c r="EC1163" s="16" t="s">
        <v>197</v>
      </c>
      <c r="ED1163" s="17" t="s">
        <v>198</v>
      </c>
      <c r="EE1163" s="18">
        <v>45707.69799768519</v>
      </c>
      <c r="EF1163" s="13" t="s">
        <v>209</v>
      </c>
      <c r="EG1163" s="14" t="s">
        <v>179</v>
      </c>
      <c r="EH1163" s="14" t="s">
        <v>22337</v>
      </c>
      <c r="EI1163" s="15"/>
      <c r="EJ1163" s="15"/>
      <c r="EK1163" s="15"/>
      <c r="EL1163" s="15"/>
      <c r="EM1163" s="15"/>
      <c r="EN1163" s="15"/>
      <c r="EO1163" s="15"/>
      <c r="EP1163" s="15"/>
      <c r="EQ1163" s="15"/>
      <c r="ER1163" s="15"/>
      <c r="ES1163" s="15"/>
      <c r="ET1163" s="15"/>
      <c r="EU1163" s="15"/>
      <c r="EV1163" s="15"/>
      <c r="EW1163" s="15"/>
      <c r="EX1163" s="15"/>
      <c r="EY1163" s="15"/>
      <c r="EZ1163" s="15"/>
      <c r="FA1163" s="15"/>
      <c r="FB1163" s="15"/>
      <c r="FC1163" s="16" t="s">
        <v>197</v>
      </c>
      <c r="FD1163" s="17" t="s">
        <v>198</v>
      </c>
      <c r="FE1163" s="18">
        <v>45723.339953703704</v>
      </c>
      <c r="FF1163" s="19"/>
      <c r="FG1163" s="19"/>
      <c r="FH1163" s="21" t="s">
        <v>197</v>
      </c>
      <c r="FI1163" s="17" t="s">
        <v>214</v>
      </c>
      <c r="FJ1163" s="18">
        <v>45723.339953703704</v>
      </c>
      <c r="FK1163" s="14" t="s">
        <v>22337</v>
      </c>
      <c r="FL1163" s="14" t="s">
        <v>22338</v>
      </c>
      <c r="FM1163" s="14" t="s">
        <v>22339</v>
      </c>
      <c r="FN1163" s="19"/>
      <c r="FO1163" s="19"/>
      <c r="FP1163" s="19" t="str">
        <f t="shared" si="1"/>
        <v>Base de Dados_Images/XV70003.Imagem do Equipamento-.222011.jpg</v>
      </c>
      <c r="FQ1163" s="19"/>
      <c r="FR1163" s="19"/>
    </row>
    <row r="1164" ht="15.75" customHeight="1">
      <c r="A1164" s="12" t="s">
        <v>547</v>
      </c>
      <c r="B1164" s="12" t="s">
        <v>3410</v>
      </c>
      <c r="C1164" s="12" t="s">
        <v>219</v>
      </c>
      <c r="D1164" s="22" t="s">
        <v>22340</v>
      </c>
      <c r="E1164" s="22" t="s">
        <v>22341</v>
      </c>
      <c r="F1164" s="13" t="s">
        <v>178</v>
      </c>
      <c r="G1164" s="14" t="s">
        <v>179</v>
      </c>
      <c r="H1164" s="14" t="s">
        <v>22342</v>
      </c>
      <c r="I1164" s="14" t="s">
        <v>179</v>
      </c>
      <c r="J1164" s="14" t="s">
        <v>22343</v>
      </c>
      <c r="K1164" s="14" t="s">
        <v>179</v>
      </c>
      <c r="L1164" s="14" t="s">
        <v>22344</v>
      </c>
      <c r="M1164" s="14" t="s">
        <v>179</v>
      </c>
      <c r="N1164" s="14" t="s">
        <v>22345</v>
      </c>
      <c r="O1164" s="14" t="s">
        <v>179</v>
      </c>
      <c r="P1164" s="14" t="s">
        <v>22346</v>
      </c>
      <c r="Q1164" s="14" t="s">
        <v>179</v>
      </c>
      <c r="R1164" s="14" t="s">
        <v>22347</v>
      </c>
      <c r="S1164" s="14" t="s">
        <v>179</v>
      </c>
      <c r="T1164" s="14" t="s">
        <v>22348</v>
      </c>
      <c r="U1164" s="14" t="s">
        <v>179</v>
      </c>
      <c r="V1164" s="14" t="s">
        <v>22349</v>
      </c>
      <c r="W1164" s="15"/>
      <c r="X1164" s="15"/>
      <c r="Y1164" s="15"/>
      <c r="Z1164" s="15"/>
      <c r="AA1164" s="15"/>
      <c r="AB1164" s="15"/>
      <c r="AC1164" s="15"/>
      <c r="AD1164" s="15"/>
      <c r="AE1164" s="15"/>
      <c r="AF1164" s="15"/>
      <c r="AG1164" s="15"/>
      <c r="AH1164" s="15"/>
      <c r="AI1164" s="15"/>
      <c r="AJ1164" s="15"/>
      <c r="AK1164" s="15"/>
      <c r="AL1164" s="15"/>
      <c r="AM1164" s="15"/>
      <c r="AN1164" s="15"/>
      <c r="AO1164" s="15"/>
      <c r="AP1164" s="15"/>
      <c r="AQ1164" s="15"/>
      <c r="AR1164" s="15"/>
      <c r="AS1164" s="15"/>
      <c r="AT1164" s="15"/>
      <c r="AU1164" s="15"/>
      <c r="AV1164" s="15"/>
      <c r="AW1164" s="15"/>
      <c r="AX1164" s="15"/>
      <c r="AY1164" s="15"/>
      <c r="AZ1164" s="15"/>
      <c r="BA1164" s="15"/>
      <c r="BB1164" s="15"/>
      <c r="BC1164" s="15"/>
      <c r="BD1164" s="15"/>
      <c r="BE1164" s="15"/>
      <c r="BF1164" s="15"/>
      <c r="BG1164" s="15"/>
      <c r="BH1164" s="15"/>
      <c r="BI1164" s="15"/>
      <c r="BJ1164" s="15"/>
      <c r="BK1164" s="15"/>
      <c r="BL1164" s="15"/>
      <c r="BM1164" s="15"/>
      <c r="BN1164" s="15"/>
      <c r="BO1164" s="16" t="s">
        <v>197</v>
      </c>
      <c r="BP1164" s="17" t="s">
        <v>228</v>
      </c>
      <c r="BQ1164" s="23"/>
      <c r="BR1164" s="17" t="s">
        <v>198</v>
      </c>
      <c r="BS1164" s="18">
        <v>45678.50403935185</v>
      </c>
      <c r="BT1164" s="17" t="s">
        <v>198</v>
      </c>
      <c r="BU1164" s="18">
        <v>45678.50403935185</v>
      </c>
      <c r="BV1164" s="13" t="s">
        <v>199</v>
      </c>
      <c r="BW1164" s="14" t="s">
        <v>179</v>
      </c>
      <c r="BX1164" s="14" t="s">
        <v>22350</v>
      </c>
      <c r="BY1164" s="14" t="s">
        <v>179</v>
      </c>
      <c r="BZ1164" s="14" t="s">
        <v>22351</v>
      </c>
      <c r="CA1164" s="15"/>
      <c r="CB1164" s="15"/>
      <c r="CC1164" s="15"/>
      <c r="CD1164" s="15"/>
      <c r="CE1164" s="15"/>
      <c r="CF1164" s="15"/>
      <c r="CG1164" s="19"/>
      <c r="CH1164" s="15"/>
      <c r="CI1164" s="19"/>
      <c r="CJ1164" s="15"/>
      <c r="CK1164" s="19"/>
      <c r="CL1164" s="15"/>
      <c r="CM1164" s="19"/>
      <c r="CN1164" s="15"/>
      <c r="CO1164" s="19"/>
      <c r="CP1164" s="15"/>
      <c r="CQ1164" s="15"/>
      <c r="CR1164" s="15"/>
      <c r="CS1164" s="19"/>
      <c r="CT1164" s="15"/>
      <c r="CU1164" s="19"/>
      <c r="CV1164" s="15"/>
      <c r="CW1164" s="19"/>
      <c r="CX1164" s="15"/>
      <c r="CY1164" s="19"/>
      <c r="CZ1164" s="15"/>
      <c r="DA1164" s="16" t="s">
        <v>197</v>
      </c>
      <c r="DB1164" s="17" t="s">
        <v>228</v>
      </c>
      <c r="DC1164" s="16"/>
      <c r="DD1164" s="17" t="s">
        <v>198</v>
      </c>
      <c r="DE1164" s="18">
        <v>45694.6030787037</v>
      </c>
      <c r="DF1164" s="17" t="s">
        <v>198</v>
      </c>
      <c r="DG1164" s="18">
        <v>45694.6030787037</v>
      </c>
      <c r="DH1164" s="13" t="s">
        <v>205</v>
      </c>
      <c r="DI1164" s="14" t="s">
        <v>179</v>
      </c>
      <c r="DJ1164" s="14" t="s">
        <v>22352</v>
      </c>
      <c r="DK1164" s="15"/>
      <c r="DL1164" s="15"/>
      <c r="DM1164" s="15"/>
      <c r="DN1164" s="15"/>
      <c r="DO1164" s="15"/>
      <c r="DP1164" s="15"/>
      <c r="DQ1164" s="15"/>
      <c r="DR1164" s="15"/>
      <c r="DS1164" s="15"/>
      <c r="DT1164" s="15"/>
      <c r="DU1164" s="15"/>
      <c r="DV1164" s="15"/>
      <c r="DW1164" s="15"/>
      <c r="DX1164" s="15"/>
      <c r="DY1164" s="15"/>
      <c r="DZ1164" s="15"/>
      <c r="EA1164" s="15"/>
      <c r="EB1164" s="15"/>
      <c r="EC1164" s="16" t="s">
        <v>197</v>
      </c>
      <c r="ED1164" s="17" t="s">
        <v>198</v>
      </c>
      <c r="EE1164" s="18">
        <v>45707.69805555556</v>
      </c>
      <c r="EF1164" s="13" t="s">
        <v>209</v>
      </c>
      <c r="EG1164" s="14" t="s">
        <v>179</v>
      </c>
      <c r="EH1164" s="14" t="s">
        <v>22353</v>
      </c>
      <c r="EI1164" s="15"/>
      <c r="EJ1164" s="15"/>
      <c r="EK1164" s="15"/>
      <c r="EL1164" s="15"/>
      <c r="EM1164" s="15"/>
      <c r="EN1164" s="15"/>
      <c r="EO1164" s="15"/>
      <c r="EP1164" s="15"/>
      <c r="EQ1164" s="15"/>
      <c r="ER1164" s="15"/>
      <c r="ES1164" s="15"/>
      <c r="ET1164" s="15"/>
      <c r="EU1164" s="15"/>
      <c r="EV1164" s="15"/>
      <c r="EW1164" s="15"/>
      <c r="EX1164" s="15"/>
      <c r="EY1164" s="15"/>
      <c r="EZ1164" s="15"/>
      <c r="FA1164" s="15"/>
      <c r="FB1164" s="15"/>
      <c r="FC1164" s="16" t="s">
        <v>197</v>
      </c>
      <c r="FD1164" s="17" t="s">
        <v>198</v>
      </c>
      <c r="FE1164" s="18">
        <v>45723.34001157407</v>
      </c>
      <c r="FF1164" s="19"/>
      <c r="FG1164" s="19"/>
      <c r="FH1164" s="21" t="s">
        <v>197</v>
      </c>
      <c r="FI1164" s="17" t="s">
        <v>214</v>
      </c>
      <c r="FJ1164" s="18">
        <v>45723.34001157407</v>
      </c>
      <c r="FK1164" s="14" t="s">
        <v>22353</v>
      </c>
      <c r="FL1164" s="14" t="s">
        <v>22354</v>
      </c>
      <c r="FM1164" s="14" t="s">
        <v>22355</v>
      </c>
      <c r="FN1164" s="19"/>
      <c r="FO1164" s="19"/>
      <c r="FP1164" s="19" t="str">
        <f t="shared" si="1"/>
        <v>Base de Dados_Images/XV70004.Imagem do Equipamento-.181557.jpg</v>
      </c>
      <c r="FQ1164" s="19"/>
      <c r="FR1164" s="19"/>
    </row>
    <row r="1165" ht="15.75" customHeight="1">
      <c r="A1165" s="12" t="s">
        <v>547</v>
      </c>
      <c r="B1165" s="12" t="s">
        <v>11845</v>
      </c>
      <c r="C1165" s="12" t="s">
        <v>219</v>
      </c>
      <c r="D1165" s="22" t="s">
        <v>22356</v>
      </c>
      <c r="E1165" s="22" t="s">
        <v>22357</v>
      </c>
      <c r="F1165" s="13" t="s">
        <v>178</v>
      </c>
      <c r="G1165" s="14" t="s">
        <v>179</v>
      </c>
      <c r="H1165" s="14" t="s">
        <v>22358</v>
      </c>
      <c r="I1165" s="14" t="s">
        <v>179</v>
      </c>
      <c r="J1165" s="14" t="s">
        <v>22359</v>
      </c>
      <c r="K1165" s="14" t="s">
        <v>179</v>
      </c>
      <c r="L1165" s="14" t="s">
        <v>22360</v>
      </c>
      <c r="M1165" s="14" t="s">
        <v>179</v>
      </c>
      <c r="N1165" s="14" t="s">
        <v>22361</v>
      </c>
      <c r="O1165" s="14" t="s">
        <v>179</v>
      </c>
      <c r="P1165" s="14" t="s">
        <v>22362</v>
      </c>
      <c r="Q1165" s="14" t="s">
        <v>179</v>
      </c>
      <c r="R1165" s="14" t="s">
        <v>22363</v>
      </c>
      <c r="S1165" s="14" t="s">
        <v>179</v>
      </c>
      <c r="T1165" s="14" t="s">
        <v>22364</v>
      </c>
      <c r="U1165" s="14" t="s">
        <v>179</v>
      </c>
      <c r="V1165" s="14" t="s">
        <v>22365</v>
      </c>
      <c r="W1165" s="15"/>
      <c r="X1165" s="15"/>
      <c r="Y1165" s="15"/>
      <c r="Z1165" s="15"/>
      <c r="AA1165" s="15"/>
      <c r="AB1165" s="15"/>
      <c r="AC1165" s="15"/>
      <c r="AD1165" s="15"/>
      <c r="AE1165" s="15"/>
      <c r="AF1165" s="15"/>
      <c r="AG1165" s="15"/>
      <c r="AH1165" s="15"/>
      <c r="AI1165" s="15"/>
      <c r="AJ1165" s="15"/>
      <c r="AK1165" s="15"/>
      <c r="AL1165" s="15"/>
      <c r="AM1165" s="15"/>
      <c r="AN1165" s="15"/>
      <c r="AO1165" s="15"/>
      <c r="AP1165" s="15"/>
      <c r="AQ1165" s="15"/>
      <c r="AR1165" s="15"/>
      <c r="AS1165" s="15"/>
      <c r="AT1165" s="15"/>
      <c r="AU1165" s="15"/>
      <c r="AV1165" s="15"/>
      <c r="AW1165" s="15"/>
      <c r="AX1165" s="15"/>
      <c r="AY1165" s="15"/>
      <c r="AZ1165" s="15"/>
      <c r="BA1165" s="15"/>
      <c r="BB1165" s="15"/>
      <c r="BC1165" s="15"/>
      <c r="BD1165" s="15"/>
      <c r="BE1165" s="15"/>
      <c r="BF1165" s="15"/>
      <c r="BG1165" s="15"/>
      <c r="BH1165" s="15"/>
      <c r="BI1165" s="15"/>
      <c r="BJ1165" s="15"/>
      <c r="BK1165" s="15"/>
      <c r="BL1165" s="15"/>
      <c r="BM1165" s="15"/>
      <c r="BN1165" s="15"/>
      <c r="BO1165" s="16" t="s">
        <v>197</v>
      </c>
      <c r="BP1165" s="17" t="s">
        <v>228</v>
      </c>
      <c r="BQ1165" s="23"/>
      <c r="BR1165" s="17" t="s">
        <v>198</v>
      </c>
      <c r="BS1165" s="18">
        <v>45688.663136574076</v>
      </c>
      <c r="BT1165" s="17" t="s">
        <v>198</v>
      </c>
      <c r="BU1165" s="18">
        <v>45688.663136574076</v>
      </c>
      <c r="BV1165" s="13" t="s">
        <v>199</v>
      </c>
      <c r="BW1165" s="14" t="s">
        <v>179</v>
      </c>
      <c r="BX1165" s="14" t="s">
        <v>22366</v>
      </c>
      <c r="BY1165" s="14" t="s">
        <v>179</v>
      </c>
      <c r="BZ1165" s="14" t="s">
        <v>22366</v>
      </c>
      <c r="CA1165" s="15"/>
      <c r="CB1165" s="15"/>
      <c r="CC1165" s="15"/>
      <c r="CD1165" s="15"/>
      <c r="CE1165" s="15"/>
      <c r="CF1165" s="15"/>
      <c r="CG1165" s="19"/>
      <c r="CH1165" s="15"/>
      <c r="CI1165" s="19"/>
      <c r="CJ1165" s="15"/>
      <c r="CK1165" s="19"/>
      <c r="CL1165" s="15"/>
      <c r="CM1165" s="19"/>
      <c r="CN1165" s="15"/>
      <c r="CO1165" s="19"/>
      <c r="CP1165" s="15"/>
      <c r="CQ1165" s="15"/>
      <c r="CR1165" s="15"/>
      <c r="CS1165" s="19"/>
      <c r="CT1165" s="15"/>
      <c r="CU1165" s="19"/>
      <c r="CV1165" s="15"/>
      <c r="CW1165" s="19"/>
      <c r="CX1165" s="15"/>
      <c r="CY1165" s="19"/>
      <c r="CZ1165" s="15"/>
      <c r="DA1165" s="16" t="s">
        <v>197</v>
      </c>
      <c r="DB1165" s="17" t="s">
        <v>228</v>
      </c>
      <c r="DC1165" s="16"/>
      <c r="DD1165" s="17" t="s">
        <v>198</v>
      </c>
      <c r="DE1165" s="18">
        <v>45707.69702546296</v>
      </c>
      <c r="DF1165" s="17" t="s">
        <v>198</v>
      </c>
      <c r="DG1165" s="18">
        <v>45707.69702546296</v>
      </c>
      <c r="DH1165" s="13" t="s">
        <v>205</v>
      </c>
      <c r="DI1165" s="14" t="s">
        <v>179</v>
      </c>
      <c r="DJ1165" s="14" t="s">
        <v>22367</v>
      </c>
      <c r="DK1165" s="15"/>
      <c r="DL1165" s="15"/>
      <c r="DM1165" s="15"/>
      <c r="DN1165" s="15"/>
      <c r="DO1165" s="15"/>
      <c r="DP1165" s="15"/>
      <c r="DQ1165" s="15"/>
      <c r="DR1165" s="15"/>
      <c r="DS1165" s="15"/>
      <c r="DT1165" s="15"/>
      <c r="DU1165" s="15"/>
      <c r="DV1165" s="15"/>
      <c r="DW1165" s="15"/>
      <c r="DX1165" s="15"/>
      <c r="DY1165" s="15"/>
      <c r="DZ1165" s="15"/>
      <c r="EA1165" s="15"/>
      <c r="EB1165" s="15"/>
      <c r="EC1165" s="16" t="s">
        <v>197</v>
      </c>
      <c r="ED1165" s="17" t="s">
        <v>198</v>
      </c>
      <c r="EE1165" s="18">
        <v>45707.69709490741</v>
      </c>
      <c r="EF1165" s="13" t="s">
        <v>209</v>
      </c>
      <c r="EG1165" s="14" t="s">
        <v>179</v>
      </c>
      <c r="EH1165" s="14" t="s">
        <v>22368</v>
      </c>
      <c r="EI1165" s="15"/>
      <c r="EJ1165" s="15"/>
      <c r="EK1165" s="15"/>
      <c r="EL1165" s="15"/>
      <c r="EM1165" s="15"/>
      <c r="EN1165" s="15"/>
      <c r="EO1165" s="15"/>
      <c r="EP1165" s="15"/>
      <c r="EQ1165" s="15"/>
      <c r="ER1165" s="15"/>
      <c r="ES1165" s="15"/>
      <c r="ET1165" s="15"/>
      <c r="EU1165" s="15"/>
      <c r="EV1165" s="15"/>
      <c r="EW1165" s="15"/>
      <c r="EX1165" s="15"/>
      <c r="EY1165" s="15"/>
      <c r="EZ1165" s="15"/>
      <c r="FA1165" s="15"/>
      <c r="FB1165" s="15"/>
      <c r="FC1165" s="16" t="s">
        <v>197</v>
      </c>
      <c r="FD1165" s="17" t="s">
        <v>198</v>
      </c>
      <c r="FE1165" s="18">
        <v>45722.383425925924</v>
      </c>
      <c r="FF1165" s="19"/>
      <c r="FG1165" s="19"/>
      <c r="FH1165" s="21" t="s">
        <v>197</v>
      </c>
      <c r="FI1165" s="17" t="s">
        <v>214</v>
      </c>
      <c r="FJ1165" s="18">
        <v>45722.383425925924</v>
      </c>
      <c r="FK1165" s="14" t="s">
        <v>22369</v>
      </c>
      <c r="FL1165" s="19"/>
      <c r="FM1165" s="19"/>
      <c r="FN1165" s="19"/>
      <c r="FO1165" s="19"/>
      <c r="FP1165" s="19" t="str">
        <f t="shared" si="1"/>
        <v/>
      </c>
      <c r="FQ1165" s="14" t="s">
        <v>215</v>
      </c>
      <c r="FR1165" s="14" t="s">
        <v>22370</v>
      </c>
    </row>
    <row r="1166" ht="15.75" customHeight="1">
      <c r="A1166" s="12" t="s">
        <v>547</v>
      </c>
      <c r="B1166" s="12" t="s">
        <v>11858</v>
      </c>
      <c r="C1166" s="12" t="s">
        <v>219</v>
      </c>
      <c r="D1166" s="22" t="s">
        <v>22371</v>
      </c>
      <c r="E1166" s="22" t="s">
        <v>22372</v>
      </c>
      <c r="F1166" s="13" t="s">
        <v>178</v>
      </c>
      <c r="G1166" s="14" t="s">
        <v>179</v>
      </c>
      <c r="H1166" s="14" t="s">
        <v>22373</v>
      </c>
      <c r="I1166" s="14" t="s">
        <v>179</v>
      </c>
      <c r="J1166" s="14" t="s">
        <v>22374</v>
      </c>
      <c r="K1166" s="14" t="s">
        <v>179</v>
      </c>
      <c r="L1166" s="14" t="s">
        <v>22375</v>
      </c>
      <c r="M1166" s="14" t="s">
        <v>179</v>
      </c>
      <c r="N1166" s="14" t="s">
        <v>22376</v>
      </c>
      <c r="O1166" s="14" t="s">
        <v>179</v>
      </c>
      <c r="P1166" s="14" t="s">
        <v>22377</v>
      </c>
      <c r="Q1166" s="14" t="s">
        <v>179</v>
      </c>
      <c r="R1166" s="14" t="s">
        <v>22378</v>
      </c>
      <c r="S1166" s="14" t="s">
        <v>179</v>
      </c>
      <c r="T1166" s="14" t="s">
        <v>22379</v>
      </c>
      <c r="U1166" s="14" t="s">
        <v>179</v>
      </c>
      <c r="V1166" s="14" t="s">
        <v>22380</v>
      </c>
      <c r="W1166" s="15"/>
      <c r="X1166" s="15"/>
      <c r="Y1166" s="15"/>
      <c r="Z1166" s="15"/>
      <c r="AA1166" s="15"/>
      <c r="AB1166" s="15"/>
      <c r="AC1166" s="15"/>
      <c r="AD1166" s="15"/>
      <c r="AE1166" s="15"/>
      <c r="AF1166" s="15"/>
      <c r="AG1166" s="15"/>
      <c r="AH1166" s="15"/>
      <c r="AI1166" s="15"/>
      <c r="AJ1166" s="15"/>
      <c r="AK1166" s="15"/>
      <c r="AL1166" s="15"/>
      <c r="AM1166" s="15"/>
      <c r="AN1166" s="15"/>
      <c r="AO1166" s="15"/>
      <c r="AP1166" s="15"/>
      <c r="AQ1166" s="15"/>
      <c r="AR1166" s="15"/>
      <c r="AS1166" s="15"/>
      <c r="AT1166" s="15"/>
      <c r="AU1166" s="15"/>
      <c r="AV1166" s="15"/>
      <c r="AW1166" s="15"/>
      <c r="AX1166" s="15"/>
      <c r="AY1166" s="15"/>
      <c r="AZ1166" s="15"/>
      <c r="BA1166" s="15"/>
      <c r="BB1166" s="15"/>
      <c r="BC1166" s="15"/>
      <c r="BD1166" s="15"/>
      <c r="BE1166" s="15"/>
      <c r="BF1166" s="15"/>
      <c r="BG1166" s="15"/>
      <c r="BH1166" s="15"/>
      <c r="BI1166" s="15"/>
      <c r="BJ1166" s="15"/>
      <c r="BK1166" s="15"/>
      <c r="BL1166" s="15"/>
      <c r="BM1166" s="15"/>
      <c r="BN1166" s="15"/>
      <c r="BO1166" s="16" t="s">
        <v>197</v>
      </c>
      <c r="BP1166" s="17" t="s">
        <v>228</v>
      </c>
      <c r="BQ1166" s="23"/>
      <c r="BR1166" s="17" t="s">
        <v>198</v>
      </c>
      <c r="BS1166" s="18">
        <v>45688.663449074076</v>
      </c>
      <c r="BT1166" s="17" t="s">
        <v>198</v>
      </c>
      <c r="BU1166" s="18">
        <v>45688.663449074076</v>
      </c>
      <c r="BV1166" s="13" t="s">
        <v>199</v>
      </c>
      <c r="BW1166" s="14" t="s">
        <v>179</v>
      </c>
      <c r="BX1166" s="14" t="s">
        <v>22381</v>
      </c>
      <c r="BY1166" s="14" t="s">
        <v>179</v>
      </c>
      <c r="BZ1166" s="14" t="s">
        <v>22382</v>
      </c>
      <c r="CA1166" s="15"/>
      <c r="CB1166" s="15"/>
      <c r="CC1166" s="15"/>
      <c r="CD1166" s="15"/>
      <c r="CE1166" s="15"/>
      <c r="CF1166" s="15"/>
      <c r="CG1166" s="19"/>
      <c r="CH1166" s="15"/>
      <c r="CI1166" s="19"/>
      <c r="CJ1166" s="15"/>
      <c r="CK1166" s="19"/>
      <c r="CL1166" s="15"/>
      <c r="CM1166" s="19"/>
      <c r="CN1166" s="15"/>
      <c r="CO1166" s="19"/>
      <c r="CP1166" s="15"/>
      <c r="CQ1166" s="15"/>
      <c r="CR1166" s="15"/>
      <c r="CS1166" s="19"/>
      <c r="CT1166" s="15"/>
      <c r="CU1166" s="19"/>
      <c r="CV1166" s="15"/>
      <c r="CW1166" s="19"/>
      <c r="CX1166" s="15"/>
      <c r="CY1166" s="19"/>
      <c r="CZ1166" s="15"/>
      <c r="DA1166" s="16" t="s">
        <v>197</v>
      </c>
      <c r="DB1166" s="17" t="s">
        <v>228</v>
      </c>
      <c r="DC1166" s="16"/>
      <c r="DD1166" s="17" t="s">
        <v>198</v>
      </c>
      <c r="DE1166" s="18">
        <v>45707.698275462964</v>
      </c>
      <c r="DF1166" s="17" t="s">
        <v>198</v>
      </c>
      <c r="DG1166" s="18">
        <v>45707.698275462964</v>
      </c>
      <c r="DH1166" s="13" t="s">
        <v>205</v>
      </c>
      <c r="DI1166" s="14" t="s">
        <v>179</v>
      </c>
      <c r="DJ1166" s="14" t="s">
        <v>22383</v>
      </c>
      <c r="DK1166" s="15"/>
      <c r="DL1166" s="15"/>
      <c r="DM1166" s="15"/>
      <c r="DN1166" s="15"/>
      <c r="DO1166" s="15"/>
      <c r="DP1166" s="15"/>
      <c r="DQ1166" s="15"/>
      <c r="DR1166" s="15"/>
      <c r="DS1166" s="15"/>
      <c r="DT1166" s="15"/>
      <c r="DU1166" s="15"/>
      <c r="DV1166" s="15"/>
      <c r="DW1166" s="15"/>
      <c r="DX1166" s="15"/>
      <c r="DY1166" s="15"/>
      <c r="DZ1166" s="15"/>
      <c r="EA1166" s="15"/>
      <c r="EB1166" s="15"/>
      <c r="EC1166" s="16" t="s">
        <v>197</v>
      </c>
      <c r="ED1166" s="17" t="s">
        <v>198</v>
      </c>
      <c r="EE1166" s="18">
        <v>45707.69831018519</v>
      </c>
      <c r="EF1166" s="13" t="s">
        <v>209</v>
      </c>
      <c r="EG1166" s="14" t="s">
        <v>179</v>
      </c>
      <c r="EH1166" s="14" t="s">
        <v>22384</v>
      </c>
      <c r="EI1166" s="15"/>
      <c r="EJ1166" s="15"/>
      <c r="EK1166" s="15"/>
      <c r="EL1166" s="15"/>
      <c r="EM1166" s="15"/>
      <c r="EN1166" s="15"/>
      <c r="EO1166" s="15"/>
      <c r="EP1166" s="15"/>
      <c r="EQ1166" s="15"/>
      <c r="ER1166" s="15"/>
      <c r="ES1166" s="15"/>
      <c r="ET1166" s="15"/>
      <c r="EU1166" s="15"/>
      <c r="EV1166" s="15"/>
      <c r="EW1166" s="15"/>
      <c r="EX1166" s="15"/>
      <c r="EY1166" s="15"/>
      <c r="EZ1166" s="15"/>
      <c r="FA1166" s="15"/>
      <c r="FB1166" s="15"/>
      <c r="FC1166" s="16" t="s">
        <v>197</v>
      </c>
      <c r="FD1166" s="17" t="s">
        <v>198</v>
      </c>
      <c r="FE1166" s="18">
        <v>45722.384050925924</v>
      </c>
      <c r="FF1166" s="19"/>
      <c r="FG1166" s="19"/>
      <c r="FH1166" s="21" t="s">
        <v>197</v>
      </c>
      <c r="FI1166" s="17" t="s">
        <v>214</v>
      </c>
      <c r="FJ1166" s="18">
        <v>45722.384050925924</v>
      </c>
      <c r="FK1166" s="14" t="s">
        <v>22384</v>
      </c>
      <c r="FL1166" s="19"/>
      <c r="FM1166" s="19"/>
      <c r="FN1166" s="19"/>
      <c r="FO1166" s="19"/>
      <c r="FP1166" s="19" t="str">
        <f t="shared" si="1"/>
        <v/>
      </c>
      <c r="FQ1166" s="14" t="s">
        <v>215</v>
      </c>
      <c r="FR1166" s="14" t="s">
        <v>22385</v>
      </c>
    </row>
    <row r="1167" ht="15.75" customHeight="1">
      <c r="A1167" s="12" t="s">
        <v>547</v>
      </c>
      <c r="B1167" s="12" t="s">
        <v>11869</v>
      </c>
      <c r="C1167" s="12" t="s">
        <v>219</v>
      </c>
      <c r="D1167" s="22" t="s">
        <v>22386</v>
      </c>
      <c r="E1167" s="22" t="s">
        <v>22387</v>
      </c>
      <c r="F1167" s="13" t="s">
        <v>178</v>
      </c>
      <c r="G1167" s="14" t="s">
        <v>179</v>
      </c>
      <c r="H1167" s="14" t="s">
        <v>22388</v>
      </c>
      <c r="I1167" s="14" t="s">
        <v>179</v>
      </c>
      <c r="J1167" s="14" t="s">
        <v>22389</v>
      </c>
      <c r="K1167" s="14" t="s">
        <v>179</v>
      </c>
      <c r="L1167" s="14" t="s">
        <v>22390</v>
      </c>
      <c r="M1167" s="14" t="s">
        <v>179</v>
      </c>
      <c r="N1167" s="14" t="s">
        <v>22391</v>
      </c>
      <c r="O1167" s="14" t="s">
        <v>179</v>
      </c>
      <c r="P1167" s="14" t="s">
        <v>22392</v>
      </c>
      <c r="Q1167" s="14" t="s">
        <v>179</v>
      </c>
      <c r="R1167" s="14" t="s">
        <v>22393</v>
      </c>
      <c r="S1167" s="14" t="s">
        <v>179</v>
      </c>
      <c r="T1167" s="14" t="s">
        <v>22394</v>
      </c>
      <c r="U1167" s="14" t="s">
        <v>179</v>
      </c>
      <c r="V1167" s="14" t="s">
        <v>22395</v>
      </c>
      <c r="W1167" s="15"/>
      <c r="X1167" s="15"/>
      <c r="Y1167" s="15"/>
      <c r="Z1167" s="15"/>
      <c r="AA1167" s="15"/>
      <c r="AB1167" s="15"/>
      <c r="AC1167" s="15"/>
      <c r="AD1167" s="15"/>
      <c r="AE1167" s="15"/>
      <c r="AF1167" s="15"/>
      <c r="AG1167" s="15"/>
      <c r="AH1167" s="15"/>
      <c r="AI1167" s="15"/>
      <c r="AJ1167" s="15"/>
      <c r="AK1167" s="15"/>
      <c r="AL1167" s="15"/>
      <c r="AM1167" s="15"/>
      <c r="AN1167" s="15"/>
      <c r="AO1167" s="15"/>
      <c r="AP1167" s="15"/>
      <c r="AQ1167" s="15"/>
      <c r="AR1167" s="15"/>
      <c r="AS1167" s="15"/>
      <c r="AT1167" s="15"/>
      <c r="AU1167" s="15"/>
      <c r="AV1167" s="15"/>
      <c r="AW1167" s="15"/>
      <c r="AX1167" s="15"/>
      <c r="AY1167" s="15"/>
      <c r="AZ1167" s="15"/>
      <c r="BA1167" s="15"/>
      <c r="BB1167" s="15"/>
      <c r="BC1167" s="15"/>
      <c r="BD1167" s="15"/>
      <c r="BE1167" s="15"/>
      <c r="BF1167" s="15"/>
      <c r="BG1167" s="15"/>
      <c r="BH1167" s="15"/>
      <c r="BI1167" s="15"/>
      <c r="BJ1167" s="15"/>
      <c r="BK1167" s="15"/>
      <c r="BL1167" s="15"/>
      <c r="BM1167" s="15"/>
      <c r="BN1167" s="15"/>
      <c r="BO1167" s="16" t="s">
        <v>197</v>
      </c>
      <c r="BP1167" s="17" t="s">
        <v>228</v>
      </c>
      <c r="BQ1167" s="23"/>
      <c r="BR1167" s="17" t="s">
        <v>198</v>
      </c>
      <c r="BS1167" s="18">
        <v>45688.66370370371</v>
      </c>
      <c r="BT1167" s="17" t="s">
        <v>198</v>
      </c>
      <c r="BU1167" s="18">
        <v>45688.66370370371</v>
      </c>
      <c r="BV1167" s="13" t="s">
        <v>199</v>
      </c>
      <c r="BW1167" s="14" t="s">
        <v>179</v>
      </c>
      <c r="BX1167" s="14" t="s">
        <v>22396</v>
      </c>
      <c r="BY1167" s="14" t="s">
        <v>179</v>
      </c>
      <c r="BZ1167" s="14" t="s">
        <v>22396</v>
      </c>
      <c r="CA1167" s="15"/>
      <c r="CB1167" s="15"/>
      <c r="CC1167" s="15"/>
      <c r="CD1167" s="15"/>
      <c r="CE1167" s="15"/>
      <c r="CF1167" s="15"/>
      <c r="CG1167" s="19"/>
      <c r="CH1167" s="15"/>
      <c r="CI1167" s="19"/>
      <c r="CJ1167" s="15"/>
      <c r="CK1167" s="19"/>
      <c r="CL1167" s="15"/>
      <c r="CM1167" s="19"/>
      <c r="CN1167" s="15"/>
      <c r="CO1167" s="19"/>
      <c r="CP1167" s="15"/>
      <c r="CQ1167" s="15"/>
      <c r="CR1167" s="15"/>
      <c r="CS1167" s="19"/>
      <c r="CT1167" s="15"/>
      <c r="CU1167" s="19"/>
      <c r="CV1167" s="15"/>
      <c r="CW1167" s="19"/>
      <c r="CX1167" s="15"/>
      <c r="CY1167" s="19"/>
      <c r="CZ1167" s="15"/>
      <c r="DA1167" s="16" t="s">
        <v>197</v>
      </c>
      <c r="DB1167" s="17" t="s">
        <v>228</v>
      </c>
      <c r="DC1167" s="16"/>
      <c r="DD1167" s="17" t="s">
        <v>198</v>
      </c>
      <c r="DE1167" s="18">
        <v>45707.69849537037</v>
      </c>
      <c r="DF1167" s="17" t="s">
        <v>198</v>
      </c>
      <c r="DG1167" s="18">
        <v>45707.69849537037</v>
      </c>
      <c r="DH1167" s="13" t="s">
        <v>205</v>
      </c>
      <c r="DI1167" s="14" t="s">
        <v>179</v>
      </c>
      <c r="DJ1167" s="14" t="s">
        <v>22397</v>
      </c>
      <c r="DK1167" s="15"/>
      <c r="DL1167" s="15"/>
      <c r="DM1167" s="15"/>
      <c r="DN1167" s="15"/>
      <c r="DO1167" s="15"/>
      <c r="DP1167" s="15"/>
      <c r="DQ1167" s="15"/>
      <c r="DR1167" s="15"/>
      <c r="DS1167" s="15"/>
      <c r="DT1167" s="15"/>
      <c r="DU1167" s="15"/>
      <c r="DV1167" s="15"/>
      <c r="DW1167" s="15"/>
      <c r="DX1167" s="15"/>
      <c r="DY1167" s="15"/>
      <c r="DZ1167" s="15"/>
      <c r="EA1167" s="15"/>
      <c r="EB1167" s="15"/>
      <c r="EC1167" s="16" t="s">
        <v>197</v>
      </c>
      <c r="ED1167" s="17" t="s">
        <v>198</v>
      </c>
      <c r="EE1167" s="18">
        <v>45707.698541666665</v>
      </c>
      <c r="EF1167" s="13" t="s">
        <v>209</v>
      </c>
      <c r="EG1167" s="14" t="s">
        <v>179</v>
      </c>
      <c r="EH1167" s="14" t="s">
        <v>22398</v>
      </c>
      <c r="EI1167" s="15"/>
      <c r="EJ1167" s="15"/>
      <c r="EK1167" s="15"/>
      <c r="EL1167" s="15"/>
      <c r="EM1167" s="15"/>
      <c r="EN1167" s="15"/>
      <c r="EO1167" s="15"/>
      <c r="EP1167" s="15"/>
      <c r="EQ1167" s="15"/>
      <c r="ER1167" s="15"/>
      <c r="ES1167" s="15"/>
      <c r="ET1167" s="15"/>
      <c r="EU1167" s="15"/>
      <c r="EV1167" s="15"/>
      <c r="EW1167" s="15"/>
      <c r="EX1167" s="15"/>
      <c r="EY1167" s="15"/>
      <c r="EZ1167" s="15"/>
      <c r="FA1167" s="15"/>
      <c r="FB1167" s="15"/>
      <c r="FC1167" s="16" t="s">
        <v>197</v>
      </c>
      <c r="FD1167" s="17" t="s">
        <v>198</v>
      </c>
      <c r="FE1167" s="18">
        <v>45722.38415509259</v>
      </c>
      <c r="FF1167" s="19"/>
      <c r="FG1167" s="19"/>
      <c r="FH1167" s="21" t="s">
        <v>197</v>
      </c>
      <c r="FI1167" s="17" t="s">
        <v>214</v>
      </c>
      <c r="FJ1167" s="18">
        <v>45722.38415509259</v>
      </c>
      <c r="FK1167" s="14" t="s">
        <v>22398</v>
      </c>
      <c r="FL1167" s="19"/>
      <c r="FM1167" s="19"/>
      <c r="FN1167" s="19"/>
      <c r="FO1167" s="19"/>
      <c r="FP1167" s="19" t="str">
        <f t="shared" si="1"/>
        <v/>
      </c>
      <c r="FQ1167" s="14" t="s">
        <v>215</v>
      </c>
      <c r="FR1167" s="14" t="s">
        <v>22399</v>
      </c>
    </row>
    <row r="1168" ht="15.75" customHeight="1">
      <c r="A1168" s="12" t="s">
        <v>547</v>
      </c>
      <c r="B1168" s="12" t="s">
        <v>3584</v>
      </c>
      <c r="C1168" s="12" t="s">
        <v>219</v>
      </c>
      <c r="D1168" s="28" t="s">
        <v>22400</v>
      </c>
      <c r="E1168" s="22" t="s">
        <v>22401</v>
      </c>
      <c r="F1168" s="13" t="s">
        <v>178</v>
      </c>
      <c r="G1168" s="14" t="s">
        <v>179</v>
      </c>
      <c r="H1168" s="14" t="s">
        <v>22402</v>
      </c>
      <c r="I1168" s="14" t="s">
        <v>179</v>
      </c>
      <c r="J1168" s="14" t="s">
        <v>22403</v>
      </c>
      <c r="K1168" s="14" t="s">
        <v>179</v>
      </c>
      <c r="L1168" s="14" t="s">
        <v>22404</v>
      </c>
      <c r="M1168" s="14" t="s">
        <v>179</v>
      </c>
      <c r="N1168" s="14" t="s">
        <v>22405</v>
      </c>
      <c r="O1168" s="14" t="s">
        <v>179</v>
      </c>
      <c r="P1168" s="14" t="s">
        <v>22406</v>
      </c>
      <c r="Q1168" s="14" t="s">
        <v>179</v>
      </c>
      <c r="R1168" s="14" t="s">
        <v>22407</v>
      </c>
      <c r="S1168" s="14" t="s">
        <v>179</v>
      </c>
      <c r="T1168" s="14" t="s">
        <v>22408</v>
      </c>
      <c r="U1168" s="14" t="s">
        <v>179</v>
      </c>
      <c r="V1168" s="14" t="s">
        <v>22409</v>
      </c>
      <c r="W1168" s="15"/>
      <c r="X1168" s="15"/>
      <c r="Y1168" s="15"/>
      <c r="Z1168" s="15"/>
      <c r="AA1168" s="15"/>
      <c r="AB1168" s="15"/>
      <c r="AC1168" s="15"/>
      <c r="AD1168" s="15"/>
      <c r="AE1168" s="15"/>
      <c r="AF1168" s="15"/>
      <c r="AG1168" s="15"/>
      <c r="AH1168" s="15"/>
      <c r="AI1168" s="15"/>
      <c r="AJ1168" s="15"/>
      <c r="AK1168" s="15"/>
      <c r="AL1168" s="15"/>
      <c r="AM1168" s="15"/>
      <c r="AN1168" s="15"/>
      <c r="AO1168" s="15"/>
      <c r="AP1168" s="15"/>
      <c r="AQ1168" s="15"/>
      <c r="AR1168" s="15"/>
      <c r="AS1168" s="15"/>
      <c r="AT1168" s="15"/>
      <c r="AU1168" s="15"/>
      <c r="AV1168" s="15"/>
      <c r="AW1168" s="15"/>
      <c r="AX1168" s="15"/>
      <c r="AY1168" s="15"/>
      <c r="AZ1168" s="15"/>
      <c r="BA1168" s="15"/>
      <c r="BB1168" s="15"/>
      <c r="BC1168" s="15"/>
      <c r="BD1168" s="15"/>
      <c r="BE1168" s="15"/>
      <c r="BF1168" s="15"/>
      <c r="BG1168" s="15"/>
      <c r="BH1168" s="15"/>
      <c r="BI1168" s="15"/>
      <c r="BJ1168" s="15"/>
      <c r="BK1168" s="15"/>
      <c r="BL1168" s="15"/>
      <c r="BM1168" s="15"/>
      <c r="BN1168" s="15"/>
      <c r="BO1168" s="16" t="s">
        <v>197</v>
      </c>
      <c r="BP1168" s="17" t="s">
        <v>228</v>
      </c>
      <c r="BQ1168" s="23"/>
      <c r="BR1168" s="17" t="s">
        <v>198</v>
      </c>
      <c r="BS1168" s="18">
        <v>45686.70748842593</v>
      </c>
      <c r="BT1168" s="17" t="s">
        <v>198</v>
      </c>
      <c r="BU1168" s="18">
        <v>45686.70748842593</v>
      </c>
      <c r="BV1168" s="13" t="s">
        <v>199</v>
      </c>
      <c r="BW1168" s="14" t="s">
        <v>179</v>
      </c>
      <c r="BX1168" s="14" t="s">
        <v>22410</v>
      </c>
      <c r="BY1168" s="14" t="s">
        <v>179</v>
      </c>
      <c r="BZ1168" s="14" t="s">
        <v>22411</v>
      </c>
      <c r="CA1168" s="15"/>
      <c r="CB1168" s="15"/>
      <c r="CC1168" s="15"/>
      <c r="CD1168" s="15"/>
      <c r="CE1168" s="15"/>
      <c r="CF1168" s="15"/>
      <c r="CG1168" s="19"/>
      <c r="CH1168" s="15"/>
      <c r="CI1168" s="19"/>
      <c r="CJ1168" s="15"/>
      <c r="CK1168" s="19"/>
      <c r="CL1168" s="15"/>
      <c r="CM1168" s="19"/>
      <c r="CN1168" s="15"/>
      <c r="CO1168" s="19"/>
      <c r="CP1168" s="15"/>
      <c r="CQ1168" s="15"/>
      <c r="CR1168" s="15"/>
      <c r="CS1168" s="19"/>
      <c r="CT1168" s="15"/>
      <c r="CU1168" s="19"/>
      <c r="CV1168" s="15"/>
      <c r="CW1168" s="19"/>
      <c r="CX1168" s="15"/>
      <c r="CY1168" s="19"/>
      <c r="CZ1168" s="15"/>
      <c r="DA1168" s="16" t="s">
        <v>197</v>
      </c>
      <c r="DB1168" s="17" t="s">
        <v>228</v>
      </c>
      <c r="DC1168" s="16"/>
      <c r="DD1168" s="17" t="s">
        <v>198</v>
      </c>
      <c r="DE1168" s="18">
        <v>45694.60586805556</v>
      </c>
      <c r="DF1168" s="17" t="s">
        <v>198</v>
      </c>
      <c r="DG1168" s="18">
        <v>45694.60586805556</v>
      </c>
      <c r="DH1168" s="13" t="s">
        <v>205</v>
      </c>
      <c r="DI1168" s="14" t="s">
        <v>179</v>
      </c>
      <c r="DJ1168" s="14" t="s">
        <v>22412</v>
      </c>
      <c r="DK1168" s="15"/>
      <c r="DL1168" s="15"/>
      <c r="DM1168" s="15"/>
      <c r="DN1168" s="15"/>
      <c r="DO1168" s="15"/>
      <c r="DP1168" s="15"/>
      <c r="DQ1168" s="15"/>
      <c r="DR1168" s="15"/>
      <c r="DS1168" s="15"/>
      <c r="DT1168" s="15"/>
      <c r="DU1168" s="15"/>
      <c r="DV1168" s="15"/>
      <c r="DW1168" s="15"/>
      <c r="DX1168" s="15"/>
      <c r="DY1168" s="15"/>
      <c r="DZ1168" s="15"/>
      <c r="EA1168" s="15"/>
      <c r="EB1168" s="15"/>
      <c r="EC1168" s="16" t="s">
        <v>197</v>
      </c>
      <c r="ED1168" s="17" t="s">
        <v>198</v>
      </c>
      <c r="EE1168" s="18">
        <v>45708.45945601852</v>
      </c>
      <c r="EF1168" s="13" t="s">
        <v>209</v>
      </c>
      <c r="EG1168" s="14" t="s">
        <v>179</v>
      </c>
      <c r="EH1168" s="14" t="s">
        <v>22413</v>
      </c>
      <c r="EI1168" s="15"/>
      <c r="EJ1168" s="15"/>
      <c r="EK1168" s="15"/>
      <c r="EL1168" s="15"/>
      <c r="EM1168" s="15"/>
      <c r="EN1168" s="15"/>
      <c r="EO1168" s="15"/>
      <c r="EP1168" s="15"/>
      <c r="EQ1168" s="15"/>
      <c r="ER1168" s="15"/>
      <c r="ES1168" s="15"/>
      <c r="ET1168" s="15"/>
      <c r="EU1168" s="15"/>
      <c r="EV1168" s="15"/>
      <c r="EW1168" s="15"/>
      <c r="EX1168" s="15"/>
      <c r="EY1168" s="15"/>
      <c r="EZ1168" s="15"/>
      <c r="FA1168" s="15"/>
      <c r="FB1168" s="15"/>
      <c r="FC1168" s="16" t="s">
        <v>197</v>
      </c>
      <c r="FD1168" s="17" t="s">
        <v>198</v>
      </c>
      <c r="FE1168" s="18">
        <v>45722.61225694444</v>
      </c>
      <c r="FF1168" s="19"/>
      <c r="FG1168" s="19"/>
      <c r="FH1168" s="21" t="s">
        <v>197</v>
      </c>
      <c r="FI1168" s="17" t="s">
        <v>214</v>
      </c>
      <c r="FJ1168" s="18">
        <v>45722.61225694444</v>
      </c>
      <c r="FK1168" s="14" t="s">
        <v>22413</v>
      </c>
      <c r="FL1168" s="14" t="s">
        <v>22414</v>
      </c>
      <c r="FM1168" s="14" t="s">
        <v>22415</v>
      </c>
      <c r="FN1168" s="19"/>
      <c r="FO1168" s="19"/>
      <c r="FP1168" s="19" t="str">
        <f t="shared" si="1"/>
        <v>Base de Dados_Images/XV70008.Imagem do Equipamento-.121208.jpg</v>
      </c>
      <c r="FQ1168" s="19"/>
      <c r="FR1168" s="19"/>
    </row>
    <row r="1169" ht="15.75" customHeight="1">
      <c r="A1169" s="12" t="s">
        <v>547</v>
      </c>
      <c r="B1169" s="12" t="s">
        <v>22116</v>
      </c>
      <c r="C1169" s="12" t="s">
        <v>15119</v>
      </c>
      <c r="D1169" s="25" t="s">
        <v>22416</v>
      </c>
      <c r="E1169" s="12" t="s">
        <v>22417</v>
      </c>
      <c r="F1169" s="13" t="s">
        <v>178</v>
      </c>
      <c r="G1169" s="14" t="s">
        <v>179</v>
      </c>
      <c r="H1169" s="14" t="s">
        <v>22418</v>
      </c>
      <c r="I1169" s="14" t="s">
        <v>179</v>
      </c>
      <c r="J1169" s="14" t="s">
        <v>22419</v>
      </c>
      <c r="K1169" s="14" t="s">
        <v>179</v>
      </c>
      <c r="L1169" s="14" t="s">
        <v>22420</v>
      </c>
      <c r="M1169" s="14" t="s">
        <v>179</v>
      </c>
      <c r="N1169" s="14" t="s">
        <v>22421</v>
      </c>
      <c r="O1169" s="14" t="s">
        <v>179</v>
      </c>
      <c r="P1169" s="14" t="s">
        <v>22422</v>
      </c>
      <c r="Q1169" s="14" t="s">
        <v>179</v>
      </c>
      <c r="R1169" s="14" t="s">
        <v>22423</v>
      </c>
      <c r="S1169" s="14" t="s">
        <v>179</v>
      </c>
      <c r="T1169" s="14" t="s">
        <v>22424</v>
      </c>
      <c r="U1169" s="14" t="s">
        <v>179</v>
      </c>
      <c r="V1169" s="14" t="s">
        <v>22425</v>
      </c>
      <c r="W1169" s="14" t="s">
        <v>179</v>
      </c>
      <c r="X1169" s="14" t="s">
        <v>22426</v>
      </c>
      <c r="Y1169" s="14" t="s">
        <v>179</v>
      </c>
      <c r="Z1169" s="14" t="s">
        <v>22427</v>
      </c>
      <c r="AA1169" s="14" t="s">
        <v>179</v>
      </c>
      <c r="AB1169" s="14" t="s">
        <v>22427</v>
      </c>
      <c r="AC1169" s="14" t="s">
        <v>179</v>
      </c>
      <c r="AD1169" s="14" t="s">
        <v>22428</v>
      </c>
      <c r="AE1169" s="14" t="s">
        <v>179</v>
      </c>
      <c r="AF1169" s="14" t="s">
        <v>22429</v>
      </c>
      <c r="AG1169" s="14" t="s">
        <v>179</v>
      </c>
      <c r="AH1169" s="14" t="s">
        <v>22430</v>
      </c>
      <c r="AI1169" s="14" t="s">
        <v>179</v>
      </c>
      <c r="AJ1169" s="14" t="s">
        <v>22431</v>
      </c>
      <c r="AK1169" s="14" t="s">
        <v>179</v>
      </c>
      <c r="AL1169" s="14" t="s">
        <v>22432</v>
      </c>
      <c r="AM1169" s="14" t="s">
        <v>179</v>
      </c>
      <c r="AN1169" s="14" t="s">
        <v>22432</v>
      </c>
      <c r="AO1169" s="14" t="s">
        <v>179</v>
      </c>
      <c r="AP1169" s="14" t="s">
        <v>22433</v>
      </c>
      <c r="AQ1169" s="14" t="s">
        <v>179</v>
      </c>
      <c r="AR1169" s="14" t="s">
        <v>22434</v>
      </c>
      <c r="AS1169" s="14" t="s">
        <v>179</v>
      </c>
      <c r="AT1169" s="14" t="s">
        <v>22435</v>
      </c>
      <c r="AU1169" s="14" t="s">
        <v>179</v>
      </c>
      <c r="AV1169" s="14" t="s">
        <v>22436</v>
      </c>
      <c r="AW1169" s="14" t="s">
        <v>179</v>
      </c>
      <c r="AX1169" s="14" t="s">
        <v>22437</v>
      </c>
      <c r="AY1169" s="14" t="s">
        <v>179</v>
      </c>
      <c r="AZ1169" s="14" t="s">
        <v>22438</v>
      </c>
      <c r="BA1169" s="15"/>
      <c r="BB1169" s="15"/>
      <c r="BC1169" s="15"/>
      <c r="BD1169" s="15"/>
      <c r="BE1169" s="15"/>
      <c r="BF1169" s="15"/>
      <c r="BG1169" s="15"/>
      <c r="BH1169" s="15"/>
      <c r="BI1169" s="15"/>
      <c r="BJ1169" s="15"/>
      <c r="BK1169" s="15"/>
      <c r="BL1169" s="15"/>
      <c r="BM1169" s="15"/>
      <c r="BN1169" s="15"/>
      <c r="BO1169" s="16" t="s">
        <v>197</v>
      </c>
      <c r="BP1169" s="17" t="s">
        <v>198</v>
      </c>
      <c r="BQ1169" s="18">
        <v>45719.37018518519</v>
      </c>
      <c r="BR1169" s="17" t="s">
        <v>198</v>
      </c>
      <c r="BS1169" s="18">
        <v>45719.3703125</v>
      </c>
      <c r="BT1169" s="17" t="s">
        <v>198</v>
      </c>
      <c r="BU1169" s="18">
        <v>45719.3703125</v>
      </c>
      <c r="BV1169" s="13" t="s">
        <v>199</v>
      </c>
      <c r="BW1169" s="14" t="s">
        <v>179</v>
      </c>
      <c r="BX1169" s="14" t="s">
        <v>22439</v>
      </c>
      <c r="BY1169" s="14" t="s">
        <v>179</v>
      </c>
      <c r="BZ1169" s="14" t="s">
        <v>22440</v>
      </c>
      <c r="CA1169" s="14" t="s">
        <v>179</v>
      </c>
      <c r="CB1169" s="14" t="s">
        <v>22441</v>
      </c>
      <c r="CC1169" s="14" t="s">
        <v>179</v>
      </c>
      <c r="CD1169" s="14" t="s">
        <v>22442</v>
      </c>
      <c r="CE1169" s="14" t="s">
        <v>179</v>
      </c>
      <c r="CF1169" s="14" t="s">
        <v>22443</v>
      </c>
      <c r="CG1169" s="19"/>
      <c r="CH1169" s="15"/>
      <c r="CI1169" s="19"/>
      <c r="CJ1169" s="15"/>
      <c r="CK1169" s="19"/>
      <c r="CL1169" s="15"/>
      <c r="CM1169" s="19"/>
      <c r="CN1169" s="15"/>
      <c r="CO1169" s="19"/>
      <c r="CP1169" s="15"/>
      <c r="CQ1169" s="15"/>
      <c r="CR1169" s="15"/>
      <c r="CS1169" s="19"/>
      <c r="CT1169" s="15"/>
      <c r="CU1169" s="19"/>
      <c r="CV1169" s="15"/>
      <c r="CW1169" s="19"/>
      <c r="CX1169" s="15"/>
      <c r="CY1169" s="19"/>
      <c r="CZ1169" s="15"/>
      <c r="DA1169" s="16" t="s">
        <v>197</v>
      </c>
      <c r="DB1169" s="17" t="s">
        <v>228</v>
      </c>
      <c r="DC1169" s="16"/>
      <c r="DD1169" s="17" t="s">
        <v>198</v>
      </c>
      <c r="DE1169" s="18">
        <v>45719.37159722222</v>
      </c>
      <c r="DF1169" s="17" t="s">
        <v>198</v>
      </c>
      <c r="DG1169" s="18">
        <v>45719.37159722222</v>
      </c>
      <c r="DH1169" s="13" t="s">
        <v>205</v>
      </c>
      <c r="DI1169" s="14" t="s">
        <v>188</v>
      </c>
      <c r="DJ1169" s="14" t="s">
        <v>22444</v>
      </c>
      <c r="DK1169" s="14" t="s">
        <v>188</v>
      </c>
      <c r="DL1169" s="14" t="s">
        <v>22445</v>
      </c>
      <c r="DM1169" s="14" t="s">
        <v>188</v>
      </c>
      <c r="DN1169" s="14" t="s">
        <v>22445</v>
      </c>
      <c r="DO1169" s="14" t="s">
        <v>188</v>
      </c>
      <c r="DP1169" s="14" t="s">
        <v>22446</v>
      </c>
      <c r="DQ1169" s="14" t="s">
        <v>188</v>
      </c>
      <c r="DR1169" s="14" t="s">
        <v>22447</v>
      </c>
      <c r="DS1169" s="14" t="s">
        <v>188</v>
      </c>
      <c r="DT1169" s="14" t="s">
        <v>22448</v>
      </c>
      <c r="DU1169" s="15"/>
      <c r="DV1169" s="15"/>
      <c r="DW1169" s="15"/>
      <c r="DX1169" s="15"/>
      <c r="DY1169" s="15"/>
      <c r="DZ1169" s="15"/>
      <c r="EA1169" s="15"/>
      <c r="EB1169" s="15"/>
      <c r="EC1169" s="16" t="s">
        <v>197</v>
      </c>
      <c r="ED1169" s="17" t="s">
        <v>198</v>
      </c>
      <c r="EE1169" s="18">
        <v>45719.37170138889</v>
      </c>
      <c r="EF1169" s="13" t="s">
        <v>209</v>
      </c>
      <c r="EG1169" s="15"/>
      <c r="EH1169" s="15"/>
      <c r="EI1169" s="15"/>
      <c r="EJ1169" s="15"/>
      <c r="EK1169" s="15"/>
      <c r="EL1169" s="15"/>
      <c r="EM1169" s="15"/>
      <c r="EN1169" s="15"/>
      <c r="EO1169" s="15"/>
      <c r="EP1169" s="15"/>
      <c r="EQ1169" s="15"/>
      <c r="ER1169" s="15"/>
      <c r="ES1169" s="15"/>
      <c r="ET1169" s="15"/>
      <c r="EU1169" s="15"/>
      <c r="EV1169" s="15"/>
      <c r="EW1169" s="15"/>
      <c r="EX1169" s="15"/>
      <c r="EY1169" s="15"/>
      <c r="EZ1169" s="15"/>
      <c r="FA1169" s="15"/>
      <c r="FB1169" s="15"/>
      <c r="FC1169" s="16" t="s">
        <v>197</v>
      </c>
      <c r="FD1169" s="17" t="s">
        <v>228</v>
      </c>
      <c r="FE1169" s="23"/>
      <c r="FF1169" s="19"/>
      <c r="FG1169" s="19"/>
      <c r="FH1169" s="21" t="s">
        <v>197</v>
      </c>
      <c r="FI1169" s="17" t="s">
        <v>214</v>
      </c>
      <c r="FJ1169" s="18">
        <v>45719.37170138889</v>
      </c>
      <c r="FK1169" s="14" t="s">
        <v>22448</v>
      </c>
      <c r="FL1169" s="19"/>
      <c r="FM1169" s="19"/>
      <c r="FN1169" s="19"/>
      <c r="FO1169" s="19"/>
      <c r="FP1169" s="19" t="str">
        <f t="shared" si="1"/>
        <v/>
      </c>
      <c r="FQ1169" s="14" t="s">
        <v>215</v>
      </c>
      <c r="FR1169" s="14" t="s">
        <v>22449</v>
      </c>
    </row>
    <row r="1170" ht="15.75" customHeight="1">
      <c r="A1170" s="12" t="s">
        <v>547</v>
      </c>
      <c r="B1170" s="12" t="s">
        <v>12936</v>
      </c>
      <c r="C1170" s="12" t="s">
        <v>219</v>
      </c>
      <c r="D1170" s="28" t="s">
        <v>22450</v>
      </c>
      <c r="E1170" s="22" t="s">
        <v>22451</v>
      </c>
      <c r="F1170" s="13" t="s">
        <v>178</v>
      </c>
      <c r="G1170" s="14" t="s">
        <v>179</v>
      </c>
      <c r="H1170" s="14" t="s">
        <v>22452</v>
      </c>
      <c r="I1170" s="14" t="s">
        <v>179</v>
      </c>
      <c r="J1170" s="14" t="s">
        <v>22453</v>
      </c>
      <c r="K1170" s="14" t="s">
        <v>179</v>
      </c>
      <c r="L1170" s="14" t="s">
        <v>22454</v>
      </c>
      <c r="M1170" s="14" t="s">
        <v>179</v>
      </c>
      <c r="N1170" s="14" t="s">
        <v>22455</v>
      </c>
      <c r="O1170" s="14" t="s">
        <v>179</v>
      </c>
      <c r="P1170" s="14" t="s">
        <v>22456</v>
      </c>
      <c r="Q1170" s="14" t="s">
        <v>179</v>
      </c>
      <c r="R1170" s="14" t="s">
        <v>22457</v>
      </c>
      <c r="S1170" s="14" t="s">
        <v>179</v>
      </c>
      <c r="T1170" s="14" t="s">
        <v>22458</v>
      </c>
      <c r="U1170" s="14" t="s">
        <v>179</v>
      </c>
      <c r="V1170" s="14" t="s">
        <v>22459</v>
      </c>
      <c r="W1170" s="15"/>
      <c r="X1170" s="15"/>
      <c r="Y1170" s="15"/>
      <c r="Z1170" s="15"/>
      <c r="AA1170" s="15"/>
      <c r="AB1170" s="15"/>
      <c r="AC1170" s="15"/>
      <c r="AD1170" s="15"/>
      <c r="AE1170" s="15"/>
      <c r="AF1170" s="15"/>
      <c r="AG1170" s="15"/>
      <c r="AH1170" s="15"/>
      <c r="AI1170" s="15"/>
      <c r="AJ1170" s="15"/>
      <c r="AK1170" s="15"/>
      <c r="AL1170" s="15"/>
      <c r="AM1170" s="15"/>
      <c r="AN1170" s="15"/>
      <c r="AO1170" s="15"/>
      <c r="AP1170" s="15"/>
      <c r="AQ1170" s="15"/>
      <c r="AR1170" s="15"/>
      <c r="AS1170" s="15"/>
      <c r="AT1170" s="15"/>
      <c r="AU1170" s="15"/>
      <c r="AV1170" s="15"/>
      <c r="AW1170" s="15"/>
      <c r="AX1170" s="15"/>
      <c r="AY1170" s="15"/>
      <c r="AZ1170" s="15"/>
      <c r="BA1170" s="15"/>
      <c r="BB1170" s="15"/>
      <c r="BC1170" s="15"/>
      <c r="BD1170" s="15"/>
      <c r="BE1170" s="15"/>
      <c r="BF1170" s="15"/>
      <c r="BG1170" s="15"/>
      <c r="BH1170" s="15"/>
      <c r="BI1170" s="15"/>
      <c r="BJ1170" s="15"/>
      <c r="BK1170" s="15"/>
      <c r="BL1170" s="15"/>
      <c r="BM1170" s="15"/>
      <c r="BN1170" s="15"/>
      <c r="BO1170" s="16" t="s">
        <v>197</v>
      </c>
      <c r="BP1170" s="17" t="s">
        <v>228</v>
      </c>
      <c r="BQ1170" s="23"/>
      <c r="BR1170" s="17" t="s">
        <v>198</v>
      </c>
      <c r="BS1170" s="18">
        <v>45678.48771990741</v>
      </c>
      <c r="BT1170" s="17" t="s">
        <v>198</v>
      </c>
      <c r="BU1170" s="18">
        <v>45678.48771990741</v>
      </c>
      <c r="BV1170" s="13" t="s">
        <v>199</v>
      </c>
      <c r="BW1170" s="14" t="s">
        <v>179</v>
      </c>
      <c r="BX1170" s="14" t="s">
        <v>22460</v>
      </c>
      <c r="BY1170" s="14" t="s">
        <v>179</v>
      </c>
      <c r="BZ1170" s="14" t="s">
        <v>22461</v>
      </c>
      <c r="CA1170" s="15"/>
      <c r="CB1170" s="15"/>
      <c r="CC1170" s="15"/>
      <c r="CD1170" s="15"/>
      <c r="CE1170" s="15"/>
      <c r="CF1170" s="15"/>
      <c r="CG1170" s="19"/>
      <c r="CH1170" s="15"/>
      <c r="CI1170" s="19"/>
      <c r="CJ1170" s="15"/>
      <c r="CK1170" s="19"/>
      <c r="CL1170" s="15"/>
      <c r="CM1170" s="19"/>
      <c r="CN1170" s="15"/>
      <c r="CO1170" s="19"/>
      <c r="CP1170" s="15"/>
      <c r="CQ1170" s="15"/>
      <c r="CR1170" s="15"/>
      <c r="CS1170" s="19"/>
      <c r="CT1170" s="15"/>
      <c r="CU1170" s="19"/>
      <c r="CV1170" s="15"/>
      <c r="CW1170" s="19"/>
      <c r="CX1170" s="15"/>
      <c r="CY1170" s="19"/>
      <c r="CZ1170" s="15"/>
      <c r="DA1170" s="16" t="s">
        <v>197</v>
      </c>
      <c r="DB1170" s="17" t="s">
        <v>228</v>
      </c>
      <c r="DC1170" s="16"/>
      <c r="DD1170" s="17" t="s">
        <v>198</v>
      </c>
      <c r="DE1170" s="18">
        <v>45694.6012962963</v>
      </c>
      <c r="DF1170" s="17" t="s">
        <v>198</v>
      </c>
      <c r="DG1170" s="18">
        <v>45694.6012962963</v>
      </c>
      <c r="DH1170" s="13" t="s">
        <v>205</v>
      </c>
      <c r="DI1170" s="14" t="s">
        <v>179</v>
      </c>
      <c r="DJ1170" s="14" t="s">
        <v>22462</v>
      </c>
      <c r="DK1170" s="15"/>
      <c r="DL1170" s="15"/>
      <c r="DM1170" s="15"/>
      <c r="DN1170" s="15"/>
      <c r="DO1170" s="15"/>
      <c r="DP1170" s="15"/>
      <c r="DQ1170" s="15"/>
      <c r="DR1170" s="15"/>
      <c r="DS1170" s="15"/>
      <c r="DT1170" s="15"/>
      <c r="DU1170" s="15"/>
      <c r="DV1170" s="15"/>
      <c r="DW1170" s="15"/>
      <c r="DX1170" s="15"/>
      <c r="DY1170" s="15"/>
      <c r="DZ1170" s="15"/>
      <c r="EA1170" s="15"/>
      <c r="EB1170" s="15"/>
      <c r="EC1170" s="16" t="s">
        <v>197</v>
      </c>
      <c r="ED1170" s="17" t="s">
        <v>198</v>
      </c>
      <c r="EE1170" s="18">
        <v>45702.34276620371</v>
      </c>
      <c r="EF1170" s="13" t="s">
        <v>209</v>
      </c>
      <c r="EG1170" s="14" t="s">
        <v>179</v>
      </c>
      <c r="EH1170" s="14" t="s">
        <v>22463</v>
      </c>
      <c r="EI1170" s="15"/>
      <c r="EJ1170" s="15"/>
      <c r="EK1170" s="15"/>
      <c r="EL1170" s="15"/>
      <c r="EM1170" s="15"/>
      <c r="EN1170" s="15"/>
      <c r="EO1170" s="15"/>
      <c r="EP1170" s="15"/>
      <c r="EQ1170" s="15"/>
      <c r="ER1170" s="15"/>
      <c r="ES1170" s="15"/>
      <c r="ET1170" s="15"/>
      <c r="EU1170" s="15"/>
      <c r="EV1170" s="15"/>
      <c r="EW1170" s="15"/>
      <c r="EX1170" s="15"/>
      <c r="EY1170" s="15"/>
      <c r="EZ1170" s="15"/>
      <c r="FA1170" s="15"/>
      <c r="FB1170" s="15"/>
      <c r="FC1170" s="16" t="s">
        <v>197</v>
      </c>
      <c r="FD1170" s="17" t="s">
        <v>198</v>
      </c>
      <c r="FE1170" s="18">
        <v>45722.61829861111</v>
      </c>
      <c r="FF1170" s="19"/>
      <c r="FG1170" s="19"/>
      <c r="FH1170" s="21" t="s">
        <v>197</v>
      </c>
      <c r="FI1170" s="17" t="s">
        <v>214</v>
      </c>
      <c r="FJ1170" s="18">
        <v>45722.61829861111</v>
      </c>
      <c r="FK1170" s="14" t="s">
        <v>22463</v>
      </c>
      <c r="FL1170" s="14" t="s">
        <v>22464</v>
      </c>
      <c r="FM1170" s="14" t="s">
        <v>22465</v>
      </c>
      <c r="FN1170" s="19"/>
      <c r="FO1170" s="19"/>
      <c r="FP1170" s="19" t="str">
        <f t="shared" si="1"/>
        <v>Base de Dados_Images/XV70009.Imagem do Equipamento-.150609.jpg</v>
      </c>
      <c r="FQ1170" s="19"/>
      <c r="FR1170" s="19"/>
    </row>
    <row r="1171" ht="15.75" customHeight="1">
      <c r="A1171" s="12" t="s">
        <v>547</v>
      </c>
      <c r="B1171" s="12" t="s">
        <v>3655</v>
      </c>
      <c r="C1171" s="12" t="s">
        <v>15119</v>
      </c>
      <c r="D1171" s="25" t="s">
        <v>22466</v>
      </c>
      <c r="E1171" s="12" t="s">
        <v>22467</v>
      </c>
      <c r="F1171" s="13" t="s">
        <v>178</v>
      </c>
      <c r="G1171" s="14" t="s">
        <v>188</v>
      </c>
      <c r="H1171" s="14" t="s">
        <v>22468</v>
      </c>
      <c r="I1171" s="14" t="s">
        <v>188</v>
      </c>
      <c r="J1171" s="14" t="s">
        <v>22468</v>
      </c>
      <c r="K1171" s="14" t="s">
        <v>188</v>
      </c>
      <c r="L1171" s="14" t="s">
        <v>22469</v>
      </c>
      <c r="M1171" s="14" t="s">
        <v>188</v>
      </c>
      <c r="N1171" s="14" t="s">
        <v>22470</v>
      </c>
      <c r="O1171" s="14" t="s">
        <v>188</v>
      </c>
      <c r="P1171" s="14" t="s">
        <v>22471</v>
      </c>
      <c r="Q1171" s="14" t="s">
        <v>188</v>
      </c>
      <c r="R1171" s="14" t="s">
        <v>22472</v>
      </c>
      <c r="S1171" s="14" t="s">
        <v>188</v>
      </c>
      <c r="T1171" s="14" t="s">
        <v>22473</v>
      </c>
      <c r="U1171" s="14" t="s">
        <v>188</v>
      </c>
      <c r="V1171" s="14" t="s">
        <v>22474</v>
      </c>
      <c r="W1171" s="14" t="s">
        <v>188</v>
      </c>
      <c r="X1171" s="14" t="s">
        <v>22475</v>
      </c>
      <c r="Y1171" s="14" t="s">
        <v>188</v>
      </c>
      <c r="Z1171" s="14" t="s">
        <v>22476</v>
      </c>
      <c r="AA1171" s="14" t="s">
        <v>188</v>
      </c>
      <c r="AB1171" s="14" t="s">
        <v>22477</v>
      </c>
      <c r="AC1171" s="14" t="s">
        <v>188</v>
      </c>
      <c r="AD1171" s="14" t="s">
        <v>22478</v>
      </c>
      <c r="AE1171" s="14" t="s">
        <v>188</v>
      </c>
      <c r="AF1171" s="14" t="s">
        <v>22478</v>
      </c>
      <c r="AG1171" s="14" t="s">
        <v>188</v>
      </c>
      <c r="AH1171" s="14" t="s">
        <v>22479</v>
      </c>
      <c r="AI1171" s="14" t="s">
        <v>188</v>
      </c>
      <c r="AJ1171" s="14" t="s">
        <v>22480</v>
      </c>
      <c r="AK1171" s="14" t="s">
        <v>188</v>
      </c>
      <c r="AL1171" s="14" t="s">
        <v>22480</v>
      </c>
      <c r="AM1171" s="14" t="s">
        <v>188</v>
      </c>
      <c r="AN1171" s="14" t="s">
        <v>22481</v>
      </c>
      <c r="AO1171" s="14" t="s">
        <v>188</v>
      </c>
      <c r="AP1171" s="14" t="s">
        <v>22482</v>
      </c>
      <c r="AQ1171" s="14" t="s">
        <v>188</v>
      </c>
      <c r="AR1171" s="14" t="s">
        <v>22483</v>
      </c>
      <c r="AS1171" s="14" t="s">
        <v>188</v>
      </c>
      <c r="AT1171" s="14" t="s">
        <v>22484</v>
      </c>
      <c r="AU1171" s="14" t="s">
        <v>188</v>
      </c>
      <c r="AV1171" s="14" t="s">
        <v>22484</v>
      </c>
      <c r="AW1171" s="14" t="s">
        <v>188</v>
      </c>
      <c r="AX1171" s="14" t="s">
        <v>22485</v>
      </c>
      <c r="AY1171" s="14" t="s">
        <v>188</v>
      </c>
      <c r="AZ1171" s="14" t="s">
        <v>22486</v>
      </c>
      <c r="BA1171" s="15"/>
      <c r="BB1171" s="15"/>
      <c r="BC1171" s="15"/>
      <c r="BD1171" s="15"/>
      <c r="BE1171" s="15"/>
      <c r="BF1171" s="15"/>
      <c r="BG1171" s="15"/>
      <c r="BH1171" s="15"/>
      <c r="BI1171" s="15"/>
      <c r="BJ1171" s="15"/>
      <c r="BK1171" s="15"/>
      <c r="BL1171" s="15"/>
      <c r="BM1171" s="15"/>
      <c r="BN1171" s="15"/>
      <c r="BO1171" s="16" t="s">
        <v>197</v>
      </c>
      <c r="BP1171" s="17" t="s">
        <v>198</v>
      </c>
      <c r="BQ1171" s="18">
        <v>45719.525775462964</v>
      </c>
      <c r="BR1171" s="17" t="s">
        <v>198</v>
      </c>
      <c r="BS1171" s="18">
        <v>45719.52587962963</v>
      </c>
      <c r="BT1171" s="17" t="s">
        <v>198</v>
      </c>
      <c r="BU1171" s="18">
        <v>45719.52587962963</v>
      </c>
      <c r="BV1171" s="13" t="s">
        <v>199</v>
      </c>
      <c r="BW1171" s="14" t="s">
        <v>188</v>
      </c>
      <c r="BX1171" s="14" t="s">
        <v>22487</v>
      </c>
      <c r="BY1171" s="14" t="s">
        <v>188</v>
      </c>
      <c r="BZ1171" s="14" t="s">
        <v>22488</v>
      </c>
      <c r="CA1171" s="14" t="s">
        <v>188</v>
      </c>
      <c r="CB1171" s="14" t="s">
        <v>22489</v>
      </c>
      <c r="CC1171" s="14" t="s">
        <v>188</v>
      </c>
      <c r="CD1171" s="14" t="s">
        <v>22490</v>
      </c>
      <c r="CE1171" s="14" t="s">
        <v>188</v>
      </c>
      <c r="CF1171" s="14" t="s">
        <v>22491</v>
      </c>
      <c r="CG1171" s="19"/>
      <c r="CH1171" s="15"/>
      <c r="CI1171" s="19"/>
      <c r="CJ1171" s="15"/>
      <c r="CK1171" s="19"/>
      <c r="CL1171" s="15"/>
      <c r="CM1171" s="19"/>
      <c r="CN1171" s="15"/>
      <c r="CO1171" s="19"/>
      <c r="CP1171" s="15"/>
      <c r="CQ1171" s="15"/>
      <c r="CR1171" s="15"/>
      <c r="CS1171" s="19"/>
      <c r="CT1171" s="15"/>
      <c r="CU1171" s="19"/>
      <c r="CV1171" s="15"/>
      <c r="CW1171" s="19"/>
      <c r="CX1171" s="15"/>
      <c r="CY1171" s="19"/>
      <c r="CZ1171" s="15"/>
      <c r="DA1171" s="16" t="s">
        <v>197</v>
      </c>
      <c r="DB1171" s="17" t="s">
        <v>228</v>
      </c>
      <c r="DC1171" s="16"/>
      <c r="DD1171" s="17" t="s">
        <v>198</v>
      </c>
      <c r="DE1171" s="18">
        <v>45719.526342592595</v>
      </c>
      <c r="DF1171" s="17" t="s">
        <v>198</v>
      </c>
      <c r="DG1171" s="18">
        <v>45719.526342592595</v>
      </c>
      <c r="DH1171" s="13" t="s">
        <v>205</v>
      </c>
      <c r="DI1171" s="14" t="s">
        <v>188</v>
      </c>
      <c r="DJ1171" s="14" t="s">
        <v>22492</v>
      </c>
      <c r="DK1171" s="14" t="s">
        <v>188</v>
      </c>
      <c r="DL1171" s="14" t="s">
        <v>22493</v>
      </c>
      <c r="DM1171" s="14" t="s">
        <v>188</v>
      </c>
      <c r="DN1171" s="14" t="s">
        <v>22494</v>
      </c>
      <c r="DO1171" s="14" t="s">
        <v>188</v>
      </c>
      <c r="DP1171" s="14" t="s">
        <v>22495</v>
      </c>
      <c r="DQ1171" s="14" t="s">
        <v>188</v>
      </c>
      <c r="DR1171" s="14" t="s">
        <v>22496</v>
      </c>
      <c r="DS1171" s="14" t="s">
        <v>188</v>
      </c>
      <c r="DT1171" s="14" t="s">
        <v>22497</v>
      </c>
      <c r="DU1171" s="15"/>
      <c r="DV1171" s="15"/>
      <c r="DW1171" s="15"/>
      <c r="DX1171" s="15"/>
      <c r="DY1171" s="15"/>
      <c r="DZ1171" s="15"/>
      <c r="EA1171" s="15"/>
      <c r="EB1171" s="15"/>
      <c r="EC1171" s="16" t="s">
        <v>197</v>
      </c>
      <c r="ED1171" s="17" t="s">
        <v>198</v>
      </c>
      <c r="EE1171" s="18">
        <v>45719.526458333334</v>
      </c>
      <c r="EF1171" s="13" t="s">
        <v>209</v>
      </c>
      <c r="EG1171" s="15"/>
      <c r="EH1171" s="15"/>
      <c r="EI1171" s="15"/>
      <c r="EJ1171" s="15"/>
      <c r="EK1171" s="15"/>
      <c r="EL1171" s="15"/>
      <c r="EM1171" s="15"/>
      <c r="EN1171" s="15"/>
      <c r="EO1171" s="15"/>
      <c r="EP1171" s="15"/>
      <c r="EQ1171" s="15"/>
      <c r="ER1171" s="15"/>
      <c r="ES1171" s="15"/>
      <c r="ET1171" s="15"/>
      <c r="EU1171" s="15"/>
      <c r="EV1171" s="15"/>
      <c r="EW1171" s="15"/>
      <c r="EX1171" s="15"/>
      <c r="EY1171" s="15"/>
      <c r="EZ1171" s="15"/>
      <c r="FA1171" s="15"/>
      <c r="FB1171" s="15"/>
      <c r="FC1171" s="16" t="s">
        <v>197</v>
      </c>
      <c r="FD1171" s="17" t="s">
        <v>228</v>
      </c>
      <c r="FE1171" s="23"/>
      <c r="FF1171" s="19"/>
      <c r="FG1171" s="19"/>
      <c r="FH1171" s="21" t="s">
        <v>197</v>
      </c>
      <c r="FI1171" s="17" t="s">
        <v>214</v>
      </c>
      <c r="FJ1171" s="18">
        <v>45719.526458333334</v>
      </c>
      <c r="FK1171" s="14" t="s">
        <v>22497</v>
      </c>
      <c r="FL1171" s="19"/>
      <c r="FM1171" s="19"/>
      <c r="FN1171" s="19"/>
      <c r="FO1171" s="19"/>
      <c r="FP1171" s="19" t="str">
        <f t="shared" si="1"/>
        <v/>
      </c>
      <c r="FQ1171" s="14" t="s">
        <v>215</v>
      </c>
      <c r="FR1171" s="14" t="s">
        <v>22498</v>
      </c>
    </row>
    <row r="1172" ht="15.75" customHeight="1">
      <c r="A1172" s="12" t="s">
        <v>547</v>
      </c>
      <c r="B1172" s="12" t="s">
        <v>3825</v>
      </c>
      <c r="C1172" s="12" t="s">
        <v>219</v>
      </c>
      <c r="D1172" s="12" t="s">
        <v>22499</v>
      </c>
      <c r="E1172" s="12" t="s">
        <v>22500</v>
      </c>
      <c r="F1172" s="13" t="s">
        <v>178</v>
      </c>
      <c r="G1172" s="14" t="s">
        <v>179</v>
      </c>
      <c r="H1172" s="14" t="s">
        <v>22501</v>
      </c>
      <c r="I1172" s="14" t="s">
        <v>179</v>
      </c>
      <c r="J1172" s="14" t="s">
        <v>22502</v>
      </c>
      <c r="K1172" s="14" t="s">
        <v>179</v>
      </c>
      <c r="L1172" s="14" t="s">
        <v>22503</v>
      </c>
      <c r="M1172" s="14" t="s">
        <v>179</v>
      </c>
      <c r="N1172" s="14" t="s">
        <v>22504</v>
      </c>
      <c r="O1172" s="14" t="s">
        <v>179</v>
      </c>
      <c r="P1172" s="14" t="s">
        <v>22505</v>
      </c>
      <c r="Q1172" s="14" t="s">
        <v>179</v>
      </c>
      <c r="R1172" s="14" t="s">
        <v>22506</v>
      </c>
      <c r="S1172" s="14" t="s">
        <v>179</v>
      </c>
      <c r="T1172" s="14" t="s">
        <v>22507</v>
      </c>
      <c r="U1172" s="14" t="s">
        <v>179</v>
      </c>
      <c r="V1172" s="14" t="s">
        <v>22508</v>
      </c>
      <c r="W1172" s="15"/>
      <c r="X1172" s="15"/>
      <c r="Y1172" s="15"/>
      <c r="Z1172" s="15"/>
      <c r="AA1172" s="15"/>
      <c r="AB1172" s="15"/>
      <c r="AC1172" s="15"/>
      <c r="AD1172" s="15"/>
      <c r="AE1172" s="15"/>
      <c r="AF1172" s="15"/>
      <c r="AG1172" s="15"/>
      <c r="AH1172" s="15"/>
      <c r="AI1172" s="15"/>
      <c r="AJ1172" s="15"/>
      <c r="AK1172" s="15"/>
      <c r="AL1172" s="15"/>
      <c r="AM1172" s="15"/>
      <c r="AN1172" s="15"/>
      <c r="AO1172" s="15"/>
      <c r="AP1172" s="15"/>
      <c r="AQ1172" s="15"/>
      <c r="AR1172" s="15"/>
      <c r="AS1172" s="15"/>
      <c r="AT1172" s="15"/>
      <c r="AU1172" s="15"/>
      <c r="AV1172" s="15"/>
      <c r="AW1172" s="15"/>
      <c r="AX1172" s="15"/>
      <c r="AY1172" s="15"/>
      <c r="AZ1172" s="15"/>
      <c r="BA1172" s="15"/>
      <c r="BB1172" s="15"/>
      <c r="BC1172" s="15"/>
      <c r="BD1172" s="15"/>
      <c r="BE1172" s="15"/>
      <c r="BF1172" s="15"/>
      <c r="BG1172" s="15"/>
      <c r="BH1172" s="15"/>
      <c r="BI1172" s="15"/>
      <c r="BJ1172" s="15"/>
      <c r="BK1172" s="15"/>
      <c r="BL1172" s="15"/>
      <c r="BM1172" s="15"/>
      <c r="BN1172" s="15"/>
      <c r="BO1172" s="16" t="s">
        <v>197</v>
      </c>
      <c r="BP1172" s="17" t="s">
        <v>228</v>
      </c>
      <c r="BQ1172" s="23"/>
      <c r="BR1172" s="17" t="s">
        <v>198</v>
      </c>
      <c r="BS1172" s="18">
        <v>45678.57513888889</v>
      </c>
      <c r="BT1172" s="17" t="s">
        <v>198</v>
      </c>
      <c r="BU1172" s="18">
        <v>45678.57513888889</v>
      </c>
      <c r="BV1172" s="13" t="s">
        <v>199</v>
      </c>
      <c r="BW1172" s="14" t="s">
        <v>179</v>
      </c>
      <c r="BX1172" s="14" t="s">
        <v>22509</v>
      </c>
      <c r="BY1172" s="14" t="s">
        <v>179</v>
      </c>
      <c r="BZ1172" s="14" t="s">
        <v>22510</v>
      </c>
      <c r="CA1172" s="15"/>
      <c r="CB1172" s="15"/>
      <c r="CC1172" s="15"/>
      <c r="CD1172" s="15"/>
      <c r="CE1172" s="15"/>
      <c r="CF1172" s="15"/>
      <c r="CG1172" s="19"/>
      <c r="CH1172" s="15"/>
      <c r="CI1172" s="19"/>
      <c r="CJ1172" s="15"/>
      <c r="CK1172" s="19"/>
      <c r="CL1172" s="15"/>
      <c r="CM1172" s="19"/>
      <c r="CN1172" s="15"/>
      <c r="CO1172" s="19"/>
      <c r="CP1172" s="15"/>
      <c r="CQ1172" s="15"/>
      <c r="CR1172" s="15"/>
      <c r="CS1172" s="19"/>
      <c r="CT1172" s="15"/>
      <c r="CU1172" s="19"/>
      <c r="CV1172" s="15"/>
      <c r="CW1172" s="19"/>
      <c r="CX1172" s="15"/>
      <c r="CY1172" s="19"/>
      <c r="CZ1172" s="15"/>
      <c r="DA1172" s="16" t="s">
        <v>197</v>
      </c>
      <c r="DB1172" s="17" t="s">
        <v>228</v>
      </c>
      <c r="DC1172" s="16"/>
      <c r="DD1172" s="17" t="s">
        <v>198</v>
      </c>
      <c r="DE1172" s="18">
        <v>45692.61351851852</v>
      </c>
      <c r="DF1172" s="17" t="s">
        <v>198</v>
      </c>
      <c r="DG1172" s="18">
        <v>45692.61351851852</v>
      </c>
      <c r="DH1172" s="13" t="s">
        <v>205</v>
      </c>
      <c r="DI1172" s="14" t="s">
        <v>179</v>
      </c>
      <c r="DJ1172" s="14" t="s">
        <v>22511</v>
      </c>
      <c r="DK1172" s="15"/>
      <c r="DL1172" s="15"/>
      <c r="DM1172" s="15"/>
      <c r="DN1172" s="15"/>
      <c r="DO1172" s="15"/>
      <c r="DP1172" s="15"/>
      <c r="DQ1172" s="15"/>
      <c r="DR1172" s="15"/>
      <c r="DS1172" s="15"/>
      <c r="DT1172" s="15"/>
      <c r="DU1172" s="15"/>
      <c r="DV1172" s="15"/>
      <c r="DW1172" s="15"/>
      <c r="DX1172" s="15"/>
      <c r="DY1172" s="15"/>
      <c r="DZ1172" s="15"/>
      <c r="EA1172" s="15"/>
      <c r="EB1172" s="15"/>
      <c r="EC1172" s="16" t="s">
        <v>197</v>
      </c>
      <c r="ED1172" s="17" t="s">
        <v>198</v>
      </c>
      <c r="EE1172" s="18">
        <v>45692.613645833335</v>
      </c>
      <c r="EF1172" s="13" t="s">
        <v>209</v>
      </c>
      <c r="EG1172" s="14" t="s">
        <v>179</v>
      </c>
      <c r="EH1172" s="14" t="s">
        <v>22512</v>
      </c>
      <c r="EI1172" s="15"/>
      <c r="EJ1172" s="15"/>
      <c r="EK1172" s="15"/>
      <c r="EL1172" s="15"/>
      <c r="EM1172" s="15"/>
      <c r="EN1172" s="15"/>
      <c r="EO1172" s="15"/>
      <c r="EP1172" s="15"/>
      <c r="EQ1172" s="15"/>
      <c r="ER1172" s="15"/>
      <c r="ES1172" s="15"/>
      <c r="ET1172" s="15"/>
      <c r="EU1172" s="15"/>
      <c r="EV1172" s="15"/>
      <c r="EW1172" s="15"/>
      <c r="EX1172" s="15"/>
      <c r="EY1172" s="15"/>
      <c r="EZ1172" s="15"/>
      <c r="FA1172" s="15"/>
      <c r="FB1172" s="15"/>
      <c r="FC1172" s="16" t="s">
        <v>197</v>
      </c>
      <c r="FD1172" s="17" t="s">
        <v>198</v>
      </c>
      <c r="FE1172" s="18">
        <v>45707.49787037037</v>
      </c>
      <c r="FF1172" s="19"/>
      <c r="FG1172" s="19"/>
      <c r="FH1172" s="21" t="s">
        <v>197</v>
      </c>
      <c r="FI1172" s="17" t="s">
        <v>214</v>
      </c>
      <c r="FJ1172" s="18">
        <v>45707.49787037037</v>
      </c>
      <c r="FK1172" s="14" t="s">
        <v>22512</v>
      </c>
      <c r="FL1172" s="14" t="s">
        <v>22513</v>
      </c>
      <c r="FM1172" s="14" t="s">
        <v>22514</v>
      </c>
      <c r="FN1172" s="19"/>
      <c r="FO1172" s="19"/>
      <c r="FP1172" s="19" t="str">
        <f t="shared" si="1"/>
        <v>Base de Dados_Images/XV77001.Imagem do Equipamento-.183926.jpg</v>
      </c>
      <c r="FQ1172" s="19"/>
      <c r="FR1172" s="19"/>
    </row>
    <row r="1173" ht="15.75" customHeight="1">
      <c r="A1173" s="12" t="s">
        <v>357</v>
      </c>
      <c r="B1173" s="12" t="s">
        <v>366</v>
      </c>
      <c r="C1173" s="12" t="s">
        <v>219</v>
      </c>
      <c r="D1173" s="22" t="s">
        <v>22515</v>
      </c>
      <c r="E1173" s="22" t="s">
        <v>22516</v>
      </c>
      <c r="F1173" s="13" t="s">
        <v>178</v>
      </c>
      <c r="G1173" s="14" t="s">
        <v>179</v>
      </c>
      <c r="H1173" s="14" t="s">
        <v>22517</v>
      </c>
      <c r="I1173" s="14" t="s">
        <v>179</v>
      </c>
      <c r="J1173" s="14" t="s">
        <v>22518</v>
      </c>
      <c r="K1173" s="14" t="s">
        <v>179</v>
      </c>
      <c r="L1173" s="14" t="s">
        <v>22519</v>
      </c>
      <c r="M1173" s="14" t="s">
        <v>179</v>
      </c>
      <c r="N1173" s="14" t="s">
        <v>22520</v>
      </c>
      <c r="O1173" s="14" t="s">
        <v>179</v>
      </c>
      <c r="P1173" s="14" t="s">
        <v>22521</v>
      </c>
      <c r="Q1173" s="14" t="s">
        <v>179</v>
      </c>
      <c r="R1173" s="14" t="s">
        <v>22522</v>
      </c>
      <c r="S1173" s="14" t="s">
        <v>179</v>
      </c>
      <c r="T1173" s="14" t="s">
        <v>22523</v>
      </c>
      <c r="U1173" s="14" t="s">
        <v>179</v>
      </c>
      <c r="V1173" s="14" t="s">
        <v>22524</v>
      </c>
      <c r="W1173" s="15"/>
      <c r="X1173" s="15"/>
      <c r="Y1173" s="15"/>
      <c r="Z1173" s="15"/>
      <c r="AA1173" s="15"/>
      <c r="AB1173" s="15"/>
      <c r="AC1173" s="15"/>
      <c r="AD1173" s="15"/>
      <c r="AE1173" s="15"/>
      <c r="AF1173" s="15"/>
      <c r="AG1173" s="15"/>
      <c r="AH1173" s="15"/>
      <c r="AI1173" s="15"/>
      <c r="AJ1173" s="15"/>
      <c r="AK1173" s="15"/>
      <c r="AL1173" s="15"/>
      <c r="AM1173" s="15"/>
      <c r="AN1173" s="15"/>
      <c r="AO1173" s="15"/>
      <c r="AP1173" s="15"/>
      <c r="AQ1173" s="15"/>
      <c r="AR1173" s="15"/>
      <c r="AS1173" s="15"/>
      <c r="AT1173" s="15"/>
      <c r="AU1173" s="15"/>
      <c r="AV1173" s="15"/>
      <c r="AW1173" s="15"/>
      <c r="AX1173" s="15"/>
      <c r="AY1173" s="15"/>
      <c r="AZ1173" s="15"/>
      <c r="BA1173" s="15"/>
      <c r="BB1173" s="15"/>
      <c r="BC1173" s="15"/>
      <c r="BD1173" s="15"/>
      <c r="BE1173" s="15"/>
      <c r="BF1173" s="15"/>
      <c r="BG1173" s="15"/>
      <c r="BH1173" s="15"/>
      <c r="BI1173" s="15"/>
      <c r="BJ1173" s="15"/>
      <c r="BK1173" s="15"/>
      <c r="BL1173" s="15"/>
      <c r="BM1173" s="15"/>
      <c r="BN1173" s="15"/>
      <c r="BO1173" s="16" t="s">
        <v>197</v>
      </c>
      <c r="BP1173" s="17" t="s">
        <v>228</v>
      </c>
      <c r="BQ1173" s="23"/>
      <c r="BR1173" s="17" t="s">
        <v>198</v>
      </c>
      <c r="BS1173" s="18">
        <v>45687.45321759259</v>
      </c>
      <c r="BT1173" s="17" t="s">
        <v>198</v>
      </c>
      <c r="BU1173" s="18">
        <v>45687.45321759259</v>
      </c>
      <c r="BV1173" s="13" t="s">
        <v>199</v>
      </c>
      <c r="BW1173" s="14" t="s">
        <v>179</v>
      </c>
      <c r="BX1173" s="14" t="s">
        <v>22525</v>
      </c>
      <c r="BY1173" s="14" t="s">
        <v>179</v>
      </c>
      <c r="BZ1173" s="14" t="s">
        <v>22526</v>
      </c>
      <c r="CA1173" s="15"/>
      <c r="CB1173" s="15"/>
      <c r="CC1173" s="15"/>
      <c r="CD1173" s="15"/>
      <c r="CE1173" s="15"/>
      <c r="CF1173" s="15"/>
      <c r="CG1173" s="19"/>
      <c r="CH1173" s="15"/>
      <c r="CI1173" s="19"/>
      <c r="CJ1173" s="15"/>
      <c r="CK1173" s="19"/>
      <c r="CL1173" s="15"/>
      <c r="CM1173" s="19"/>
      <c r="CN1173" s="15"/>
      <c r="CO1173" s="19"/>
      <c r="CP1173" s="15"/>
      <c r="CQ1173" s="15"/>
      <c r="CR1173" s="15"/>
      <c r="CS1173" s="19"/>
      <c r="CT1173" s="15"/>
      <c r="CU1173" s="19"/>
      <c r="CV1173" s="15"/>
      <c r="CW1173" s="19"/>
      <c r="CX1173" s="15"/>
      <c r="CY1173" s="19"/>
      <c r="CZ1173" s="15"/>
      <c r="DA1173" s="16" t="s">
        <v>197</v>
      </c>
      <c r="DB1173" s="17" t="s">
        <v>228</v>
      </c>
      <c r="DC1173" s="16"/>
      <c r="DD1173" s="17" t="s">
        <v>198</v>
      </c>
      <c r="DE1173" s="18">
        <v>45707.35538194444</v>
      </c>
      <c r="DF1173" s="17" t="s">
        <v>198</v>
      </c>
      <c r="DG1173" s="18">
        <v>45707.35538194444</v>
      </c>
      <c r="DH1173" s="13" t="s">
        <v>205</v>
      </c>
      <c r="DI1173" s="14" t="s">
        <v>179</v>
      </c>
      <c r="DJ1173" s="14" t="s">
        <v>22527</v>
      </c>
      <c r="DK1173" s="15"/>
      <c r="DL1173" s="15"/>
      <c r="DM1173" s="15"/>
      <c r="DN1173" s="15"/>
      <c r="DO1173" s="15"/>
      <c r="DP1173" s="15"/>
      <c r="DQ1173" s="15"/>
      <c r="DR1173" s="15"/>
      <c r="DS1173" s="15"/>
      <c r="DT1173" s="15"/>
      <c r="DU1173" s="15"/>
      <c r="DV1173" s="15"/>
      <c r="DW1173" s="15"/>
      <c r="DX1173" s="15"/>
      <c r="DY1173" s="15"/>
      <c r="DZ1173" s="15"/>
      <c r="EA1173" s="15"/>
      <c r="EB1173" s="15"/>
      <c r="EC1173" s="16" t="s">
        <v>197</v>
      </c>
      <c r="ED1173" s="17" t="s">
        <v>198</v>
      </c>
      <c r="EE1173" s="18">
        <v>45707.35543981481</v>
      </c>
      <c r="EF1173" s="13" t="s">
        <v>209</v>
      </c>
      <c r="EG1173" s="14" t="s">
        <v>179</v>
      </c>
      <c r="EH1173" s="14" t="s">
        <v>22528</v>
      </c>
      <c r="EI1173" s="15"/>
      <c r="EJ1173" s="15"/>
      <c r="EK1173" s="15"/>
      <c r="EL1173" s="15"/>
      <c r="EM1173" s="15"/>
      <c r="EN1173" s="15"/>
      <c r="EO1173" s="15"/>
      <c r="EP1173" s="15"/>
      <c r="EQ1173" s="15"/>
      <c r="ER1173" s="15"/>
      <c r="ES1173" s="15"/>
      <c r="ET1173" s="15"/>
      <c r="EU1173" s="15"/>
      <c r="EV1173" s="15"/>
      <c r="EW1173" s="15"/>
      <c r="EX1173" s="15"/>
      <c r="EY1173" s="15"/>
      <c r="EZ1173" s="15"/>
      <c r="FA1173" s="15"/>
      <c r="FB1173" s="15"/>
      <c r="FC1173" s="16" t="s">
        <v>197</v>
      </c>
      <c r="FD1173" s="17" t="s">
        <v>198</v>
      </c>
      <c r="FE1173" s="18">
        <v>45707.35549768519</v>
      </c>
      <c r="FF1173" s="19"/>
      <c r="FG1173" s="19"/>
      <c r="FH1173" s="21" t="s">
        <v>197</v>
      </c>
      <c r="FI1173" s="17" t="s">
        <v>214</v>
      </c>
      <c r="FJ1173" s="18">
        <v>45707.35549768519</v>
      </c>
      <c r="FK1173" s="14" t="s">
        <v>22528</v>
      </c>
      <c r="FL1173" s="14" t="s">
        <v>22529</v>
      </c>
      <c r="FM1173" s="14" t="s">
        <v>22530</v>
      </c>
      <c r="FN1173" s="19"/>
      <c r="FO1173" s="19"/>
      <c r="FP1173" s="19" t="str">
        <f t="shared" si="1"/>
        <v>Base de Dados_Images/XV81001.Imagem do Equipamento-.145839.jpg</v>
      </c>
      <c r="FQ1173" s="19"/>
      <c r="FR1173" s="19"/>
    </row>
    <row r="1174" ht="15.75" customHeight="1">
      <c r="A1174" s="12" t="s">
        <v>357</v>
      </c>
      <c r="B1174" s="12" t="s">
        <v>358</v>
      </c>
      <c r="C1174" s="12" t="s">
        <v>219</v>
      </c>
      <c r="D1174" s="22" t="s">
        <v>22531</v>
      </c>
      <c r="E1174" s="22" t="s">
        <v>22532</v>
      </c>
      <c r="F1174" s="13" t="s">
        <v>178</v>
      </c>
      <c r="G1174" s="14" t="s">
        <v>179</v>
      </c>
      <c r="H1174" s="14" t="s">
        <v>22533</v>
      </c>
      <c r="I1174" s="14" t="s">
        <v>179</v>
      </c>
      <c r="J1174" s="14" t="s">
        <v>22534</v>
      </c>
      <c r="K1174" s="14" t="s">
        <v>179</v>
      </c>
      <c r="L1174" s="14" t="s">
        <v>22535</v>
      </c>
      <c r="M1174" s="14" t="s">
        <v>179</v>
      </c>
      <c r="N1174" s="14" t="s">
        <v>22536</v>
      </c>
      <c r="O1174" s="14" t="s">
        <v>179</v>
      </c>
      <c r="P1174" s="14" t="s">
        <v>22537</v>
      </c>
      <c r="Q1174" s="14" t="s">
        <v>179</v>
      </c>
      <c r="R1174" s="14" t="s">
        <v>22538</v>
      </c>
      <c r="S1174" s="14" t="s">
        <v>179</v>
      </c>
      <c r="T1174" s="14" t="s">
        <v>22539</v>
      </c>
      <c r="U1174" s="14" t="s">
        <v>179</v>
      </c>
      <c r="V1174" s="14" t="s">
        <v>22540</v>
      </c>
      <c r="W1174" s="15"/>
      <c r="X1174" s="15"/>
      <c r="Y1174" s="15"/>
      <c r="Z1174" s="15"/>
      <c r="AA1174" s="15"/>
      <c r="AB1174" s="15"/>
      <c r="AC1174" s="15"/>
      <c r="AD1174" s="15"/>
      <c r="AE1174" s="15"/>
      <c r="AF1174" s="15"/>
      <c r="AG1174" s="15"/>
      <c r="AH1174" s="15"/>
      <c r="AI1174" s="15"/>
      <c r="AJ1174" s="15"/>
      <c r="AK1174" s="15"/>
      <c r="AL1174" s="15"/>
      <c r="AM1174" s="15"/>
      <c r="AN1174" s="15"/>
      <c r="AO1174" s="15"/>
      <c r="AP1174" s="15"/>
      <c r="AQ1174" s="15"/>
      <c r="AR1174" s="15"/>
      <c r="AS1174" s="15"/>
      <c r="AT1174" s="15"/>
      <c r="AU1174" s="15"/>
      <c r="AV1174" s="15"/>
      <c r="AW1174" s="15"/>
      <c r="AX1174" s="15"/>
      <c r="AY1174" s="15"/>
      <c r="AZ1174" s="15"/>
      <c r="BA1174" s="15"/>
      <c r="BB1174" s="15"/>
      <c r="BC1174" s="15"/>
      <c r="BD1174" s="15"/>
      <c r="BE1174" s="15"/>
      <c r="BF1174" s="15"/>
      <c r="BG1174" s="15"/>
      <c r="BH1174" s="15"/>
      <c r="BI1174" s="15"/>
      <c r="BJ1174" s="15"/>
      <c r="BK1174" s="15"/>
      <c r="BL1174" s="15"/>
      <c r="BM1174" s="15"/>
      <c r="BN1174" s="15"/>
      <c r="BO1174" s="16" t="s">
        <v>197</v>
      </c>
      <c r="BP1174" s="17" t="s">
        <v>228</v>
      </c>
      <c r="BQ1174" s="23"/>
      <c r="BR1174" s="17" t="s">
        <v>198</v>
      </c>
      <c r="BS1174" s="18">
        <v>45708.48355324074</v>
      </c>
      <c r="BT1174" s="17" t="s">
        <v>198</v>
      </c>
      <c r="BU1174" s="18">
        <v>45708.48355324074</v>
      </c>
      <c r="BV1174" s="13" t="s">
        <v>199</v>
      </c>
      <c r="BW1174" s="14" t="s">
        <v>179</v>
      </c>
      <c r="BX1174" s="14" t="s">
        <v>22541</v>
      </c>
      <c r="BY1174" s="14" t="s">
        <v>179</v>
      </c>
      <c r="BZ1174" s="14" t="s">
        <v>22542</v>
      </c>
      <c r="CA1174" s="15"/>
      <c r="CB1174" s="15"/>
      <c r="CC1174" s="15"/>
      <c r="CD1174" s="15"/>
      <c r="CE1174" s="15"/>
      <c r="CF1174" s="15"/>
      <c r="CG1174" s="19"/>
      <c r="CH1174" s="15"/>
      <c r="CI1174" s="19"/>
      <c r="CJ1174" s="15"/>
      <c r="CK1174" s="19"/>
      <c r="CL1174" s="15"/>
      <c r="CM1174" s="19"/>
      <c r="CN1174" s="15"/>
      <c r="CO1174" s="19"/>
      <c r="CP1174" s="15"/>
      <c r="CQ1174" s="15"/>
      <c r="CR1174" s="15"/>
      <c r="CS1174" s="19"/>
      <c r="CT1174" s="15"/>
      <c r="CU1174" s="19"/>
      <c r="CV1174" s="15"/>
      <c r="CW1174" s="19"/>
      <c r="CX1174" s="15"/>
      <c r="CY1174" s="19"/>
      <c r="CZ1174" s="15"/>
      <c r="DA1174" s="16" t="s">
        <v>197</v>
      </c>
      <c r="DB1174" s="17" t="s">
        <v>228</v>
      </c>
      <c r="DC1174" s="16"/>
      <c r="DD1174" s="17" t="s">
        <v>198</v>
      </c>
      <c r="DE1174" s="18">
        <v>45709.3494212963</v>
      </c>
      <c r="DF1174" s="17" t="s">
        <v>198</v>
      </c>
      <c r="DG1174" s="18">
        <v>45709.3494212963</v>
      </c>
      <c r="DH1174" s="13" t="s">
        <v>205</v>
      </c>
      <c r="DI1174" s="14" t="s">
        <v>179</v>
      </c>
      <c r="DJ1174" s="14" t="s">
        <v>22543</v>
      </c>
      <c r="DK1174" s="15"/>
      <c r="DL1174" s="15"/>
      <c r="DM1174" s="15"/>
      <c r="DN1174" s="15"/>
      <c r="DO1174" s="15"/>
      <c r="DP1174" s="15"/>
      <c r="DQ1174" s="15"/>
      <c r="DR1174" s="15"/>
      <c r="DS1174" s="15"/>
      <c r="DT1174" s="15"/>
      <c r="DU1174" s="15"/>
      <c r="DV1174" s="15"/>
      <c r="DW1174" s="15"/>
      <c r="DX1174" s="15"/>
      <c r="DY1174" s="15"/>
      <c r="DZ1174" s="15"/>
      <c r="EA1174" s="15"/>
      <c r="EB1174" s="15"/>
      <c r="EC1174" s="16" t="s">
        <v>197</v>
      </c>
      <c r="ED1174" s="17" t="s">
        <v>198</v>
      </c>
      <c r="EE1174" s="18">
        <v>45709.34986111111</v>
      </c>
      <c r="EF1174" s="13" t="s">
        <v>209</v>
      </c>
      <c r="EG1174" s="14" t="s">
        <v>179</v>
      </c>
      <c r="EH1174" s="14" t="s">
        <v>22544</v>
      </c>
      <c r="EI1174" s="15"/>
      <c r="EJ1174" s="15"/>
      <c r="EK1174" s="15"/>
      <c r="EL1174" s="15"/>
      <c r="EM1174" s="15"/>
      <c r="EN1174" s="15"/>
      <c r="EO1174" s="15"/>
      <c r="EP1174" s="15"/>
      <c r="EQ1174" s="15"/>
      <c r="ER1174" s="15"/>
      <c r="ES1174" s="15"/>
      <c r="ET1174" s="15"/>
      <c r="EU1174" s="15"/>
      <c r="EV1174" s="15"/>
      <c r="EW1174" s="15"/>
      <c r="EX1174" s="15"/>
      <c r="EY1174" s="15"/>
      <c r="EZ1174" s="15"/>
      <c r="FA1174" s="15"/>
      <c r="FB1174" s="15"/>
      <c r="FC1174" s="16" t="s">
        <v>197</v>
      </c>
      <c r="FD1174" s="17" t="s">
        <v>198</v>
      </c>
      <c r="FE1174" s="18">
        <v>45713.38359953704</v>
      </c>
      <c r="FF1174" s="19"/>
      <c r="FG1174" s="19"/>
      <c r="FH1174" s="21" t="s">
        <v>197</v>
      </c>
      <c r="FI1174" s="17" t="s">
        <v>214</v>
      </c>
      <c r="FJ1174" s="18">
        <v>45713.38359953704</v>
      </c>
      <c r="FK1174" s="14" t="s">
        <v>22544</v>
      </c>
      <c r="FL1174" s="14" t="s">
        <v>22545</v>
      </c>
      <c r="FM1174" s="14" t="s">
        <v>22546</v>
      </c>
      <c r="FN1174" s="19"/>
      <c r="FO1174" s="19"/>
      <c r="FP1174" s="19" t="str">
        <f t="shared" si="1"/>
        <v>Base de Dados_Images/XV81002.Imagem do Equipamento-.153217.jpg</v>
      </c>
      <c r="FQ1174" s="14"/>
      <c r="FR1174" s="14"/>
    </row>
    <row r="1175" ht="15.75" customHeight="1">
      <c r="A1175" s="12" t="s">
        <v>357</v>
      </c>
      <c r="B1175" s="12" t="s">
        <v>358</v>
      </c>
      <c r="C1175" s="12" t="s">
        <v>219</v>
      </c>
      <c r="D1175" s="22" t="s">
        <v>22547</v>
      </c>
      <c r="E1175" s="22" t="s">
        <v>22548</v>
      </c>
      <c r="F1175" s="13" t="s">
        <v>178</v>
      </c>
      <c r="G1175" s="14" t="s">
        <v>179</v>
      </c>
      <c r="H1175" s="14" t="s">
        <v>22549</v>
      </c>
      <c r="I1175" s="14" t="s">
        <v>179</v>
      </c>
      <c r="J1175" s="14" t="s">
        <v>22550</v>
      </c>
      <c r="K1175" s="14" t="s">
        <v>179</v>
      </c>
      <c r="L1175" s="14" t="s">
        <v>22551</v>
      </c>
      <c r="M1175" s="14" t="s">
        <v>179</v>
      </c>
      <c r="N1175" s="14" t="s">
        <v>22552</v>
      </c>
      <c r="O1175" s="14" t="s">
        <v>179</v>
      </c>
      <c r="P1175" s="14" t="s">
        <v>22553</v>
      </c>
      <c r="Q1175" s="14" t="s">
        <v>179</v>
      </c>
      <c r="R1175" s="14" t="s">
        <v>22554</v>
      </c>
      <c r="S1175" s="14" t="s">
        <v>179</v>
      </c>
      <c r="T1175" s="14" t="s">
        <v>22555</v>
      </c>
      <c r="U1175" s="14" t="s">
        <v>179</v>
      </c>
      <c r="V1175" s="14" t="s">
        <v>22556</v>
      </c>
      <c r="W1175" s="15"/>
      <c r="X1175" s="15"/>
      <c r="Y1175" s="15"/>
      <c r="Z1175" s="15"/>
      <c r="AA1175" s="15"/>
      <c r="AB1175" s="15"/>
      <c r="AC1175" s="15"/>
      <c r="AD1175" s="15"/>
      <c r="AE1175" s="15"/>
      <c r="AF1175" s="15"/>
      <c r="AG1175" s="15"/>
      <c r="AH1175" s="15"/>
      <c r="AI1175" s="15"/>
      <c r="AJ1175" s="15"/>
      <c r="AK1175" s="15"/>
      <c r="AL1175" s="15"/>
      <c r="AM1175" s="15"/>
      <c r="AN1175" s="15"/>
      <c r="AO1175" s="15"/>
      <c r="AP1175" s="15"/>
      <c r="AQ1175" s="15"/>
      <c r="AR1175" s="15"/>
      <c r="AS1175" s="15"/>
      <c r="AT1175" s="15"/>
      <c r="AU1175" s="15"/>
      <c r="AV1175" s="15"/>
      <c r="AW1175" s="15"/>
      <c r="AX1175" s="15"/>
      <c r="AY1175" s="15"/>
      <c r="AZ1175" s="15"/>
      <c r="BA1175" s="15"/>
      <c r="BB1175" s="15"/>
      <c r="BC1175" s="15"/>
      <c r="BD1175" s="15"/>
      <c r="BE1175" s="15"/>
      <c r="BF1175" s="15"/>
      <c r="BG1175" s="15"/>
      <c r="BH1175" s="15"/>
      <c r="BI1175" s="15"/>
      <c r="BJ1175" s="15"/>
      <c r="BK1175" s="15"/>
      <c r="BL1175" s="15"/>
      <c r="BM1175" s="15"/>
      <c r="BN1175" s="15"/>
      <c r="BO1175" s="16" t="s">
        <v>197</v>
      </c>
      <c r="BP1175" s="17" t="s">
        <v>228</v>
      </c>
      <c r="BQ1175" s="23"/>
      <c r="BR1175" s="17" t="s">
        <v>198</v>
      </c>
      <c r="BS1175" s="18">
        <v>45687.4725</v>
      </c>
      <c r="BT1175" s="17" t="s">
        <v>198</v>
      </c>
      <c r="BU1175" s="18">
        <v>45687.4725</v>
      </c>
      <c r="BV1175" s="13" t="s">
        <v>199</v>
      </c>
      <c r="BW1175" s="14" t="s">
        <v>179</v>
      </c>
      <c r="BX1175" s="14" t="s">
        <v>22557</v>
      </c>
      <c r="BY1175" s="14" t="s">
        <v>179</v>
      </c>
      <c r="BZ1175" s="14" t="s">
        <v>22558</v>
      </c>
      <c r="CA1175" s="15"/>
      <c r="CB1175" s="15"/>
      <c r="CC1175" s="15"/>
      <c r="CD1175" s="15"/>
      <c r="CE1175" s="15"/>
      <c r="CF1175" s="15"/>
      <c r="CG1175" s="19"/>
      <c r="CH1175" s="15"/>
      <c r="CI1175" s="19"/>
      <c r="CJ1175" s="15"/>
      <c r="CK1175" s="19"/>
      <c r="CL1175" s="15"/>
      <c r="CM1175" s="19"/>
      <c r="CN1175" s="15"/>
      <c r="CO1175" s="19"/>
      <c r="CP1175" s="15"/>
      <c r="CQ1175" s="15"/>
      <c r="CR1175" s="15"/>
      <c r="CS1175" s="19"/>
      <c r="CT1175" s="15"/>
      <c r="CU1175" s="19"/>
      <c r="CV1175" s="15"/>
      <c r="CW1175" s="19"/>
      <c r="CX1175" s="15"/>
      <c r="CY1175" s="19"/>
      <c r="CZ1175" s="15"/>
      <c r="DA1175" s="16" t="s">
        <v>197</v>
      </c>
      <c r="DB1175" s="17" t="s">
        <v>228</v>
      </c>
      <c r="DC1175" s="16"/>
      <c r="DD1175" s="17" t="s">
        <v>198</v>
      </c>
      <c r="DE1175" s="18">
        <v>45713.384618055556</v>
      </c>
      <c r="DF1175" s="17" t="s">
        <v>198</v>
      </c>
      <c r="DG1175" s="18">
        <v>45713.384618055556</v>
      </c>
      <c r="DH1175" s="13" t="s">
        <v>205</v>
      </c>
      <c r="DI1175" s="14" t="s">
        <v>179</v>
      </c>
      <c r="DJ1175" s="14" t="s">
        <v>22559</v>
      </c>
      <c r="DK1175" s="15"/>
      <c r="DL1175" s="15"/>
      <c r="DM1175" s="15"/>
      <c r="DN1175" s="15"/>
      <c r="DO1175" s="15"/>
      <c r="DP1175" s="15"/>
      <c r="DQ1175" s="15"/>
      <c r="DR1175" s="15"/>
      <c r="DS1175" s="15"/>
      <c r="DT1175" s="15"/>
      <c r="DU1175" s="15"/>
      <c r="DV1175" s="15"/>
      <c r="DW1175" s="15"/>
      <c r="DX1175" s="15"/>
      <c r="DY1175" s="15"/>
      <c r="DZ1175" s="15"/>
      <c r="EA1175" s="15"/>
      <c r="EB1175" s="15"/>
      <c r="EC1175" s="16" t="s">
        <v>197</v>
      </c>
      <c r="ED1175" s="17" t="s">
        <v>198</v>
      </c>
      <c r="EE1175" s="18">
        <v>45713.38469907407</v>
      </c>
      <c r="EF1175" s="13" t="s">
        <v>209</v>
      </c>
      <c r="EG1175" s="14" t="s">
        <v>179</v>
      </c>
      <c r="EH1175" s="14" t="s">
        <v>22560</v>
      </c>
      <c r="EI1175" s="15"/>
      <c r="EJ1175" s="15"/>
      <c r="EK1175" s="15"/>
      <c r="EL1175" s="15"/>
      <c r="EM1175" s="15"/>
      <c r="EN1175" s="15"/>
      <c r="EO1175" s="15"/>
      <c r="EP1175" s="15"/>
      <c r="EQ1175" s="15"/>
      <c r="ER1175" s="15"/>
      <c r="ES1175" s="15"/>
      <c r="ET1175" s="15"/>
      <c r="EU1175" s="15"/>
      <c r="EV1175" s="15"/>
      <c r="EW1175" s="15"/>
      <c r="EX1175" s="15"/>
      <c r="EY1175" s="15"/>
      <c r="EZ1175" s="15"/>
      <c r="FA1175" s="15"/>
      <c r="FB1175" s="15"/>
      <c r="FC1175" s="16" t="s">
        <v>197</v>
      </c>
      <c r="FD1175" s="17" t="s">
        <v>198</v>
      </c>
      <c r="FE1175" s="18">
        <v>45713.38474537037</v>
      </c>
      <c r="FF1175" s="19"/>
      <c r="FG1175" s="19"/>
      <c r="FH1175" s="21" t="s">
        <v>197</v>
      </c>
      <c r="FI1175" s="17" t="s">
        <v>214</v>
      </c>
      <c r="FJ1175" s="18">
        <v>45713.38474537037</v>
      </c>
      <c r="FK1175" s="14" t="s">
        <v>22560</v>
      </c>
      <c r="FL1175" s="14" t="s">
        <v>22561</v>
      </c>
      <c r="FM1175" s="14" t="s">
        <v>22562</v>
      </c>
      <c r="FN1175" s="19"/>
      <c r="FO1175" s="19"/>
      <c r="FP1175" s="19" t="str">
        <f t="shared" si="1"/>
        <v>Base de Dados_Images/XV81003.Imagem do Equipamento-.150324.jpg</v>
      </c>
      <c r="FQ1175" s="14"/>
      <c r="FR1175" s="14"/>
    </row>
    <row r="1176" ht="15.75" customHeight="1">
      <c r="A1176" s="12" t="s">
        <v>357</v>
      </c>
      <c r="B1176" s="12" t="s">
        <v>358</v>
      </c>
      <c r="C1176" s="12" t="s">
        <v>219</v>
      </c>
      <c r="D1176" s="22" t="s">
        <v>22563</v>
      </c>
      <c r="E1176" s="22" t="s">
        <v>22564</v>
      </c>
      <c r="F1176" s="13" t="s">
        <v>178</v>
      </c>
      <c r="G1176" s="14" t="s">
        <v>179</v>
      </c>
      <c r="H1176" s="14" t="s">
        <v>22565</v>
      </c>
      <c r="I1176" s="14" t="s">
        <v>179</v>
      </c>
      <c r="J1176" s="14" t="s">
        <v>22566</v>
      </c>
      <c r="K1176" s="14" t="s">
        <v>179</v>
      </c>
      <c r="L1176" s="14" t="s">
        <v>22567</v>
      </c>
      <c r="M1176" s="14" t="s">
        <v>179</v>
      </c>
      <c r="N1176" s="14" t="s">
        <v>22568</v>
      </c>
      <c r="O1176" s="14" t="s">
        <v>179</v>
      </c>
      <c r="P1176" s="14" t="s">
        <v>22569</v>
      </c>
      <c r="Q1176" s="14" t="s">
        <v>179</v>
      </c>
      <c r="R1176" s="14" t="s">
        <v>22570</v>
      </c>
      <c r="S1176" s="14" t="s">
        <v>179</v>
      </c>
      <c r="T1176" s="14" t="s">
        <v>22571</v>
      </c>
      <c r="U1176" s="14" t="s">
        <v>179</v>
      </c>
      <c r="V1176" s="14" t="s">
        <v>22572</v>
      </c>
      <c r="W1176" s="15"/>
      <c r="X1176" s="15"/>
      <c r="Y1176" s="15"/>
      <c r="Z1176" s="15"/>
      <c r="AA1176" s="15"/>
      <c r="AB1176" s="15"/>
      <c r="AC1176" s="15"/>
      <c r="AD1176" s="15"/>
      <c r="AE1176" s="15"/>
      <c r="AF1176" s="15"/>
      <c r="AG1176" s="15"/>
      <c r="AH1176" s="15"/>
      <c r="AI1176" s="15"/>
      <c r="AJ1176" s="15"/>
      <c r="AK1176" s="15"/>
      <c r="AL1176" s="15"/>
      <c r="AM1176" s="15"/>
      <c r="AN1176" s="15"/>
      <c r="AO1176" s="15"/>
      <c r="AP1176" s="15"/>
      <c r="AQ1176" s="15"/>
      <c r="AR1176" s="15"/>
      <c r="AS1176" s="15"/>
      <c r="AT1176" s="15"/>
      <c r="AU1176" s="15"/>
      <c r="AV1176" s="15"/>
      <c r="AW1176" s="15"/>
      <c r="AX1176" s="15"/>
      <c r="AY1176" s="15"/>
      <c r="AZ1176" s="15"/>
      <c r="BA1176" s="15"/>
      <c r="BB1176" s="15"/>
      <c r="BC1176" s="15"/>
      <c r="BD1176" s="15"/>
      <c r="BE1176" s="15"/>
      <c r="BF1176" s="15"/>
      <c r="BG1176" s="15"/>
      <c r="BH1176" s="15"/>
      <c r="BI1176" s="15"/>
      <c r="BJ1176" s="15"/>
      <c r="BK1176" s="15"/>
      <c r="BL1176" s="15"/>
      <c r="BM1176" s="15"/>
      <c r="BN1176" s="15"/>
      <c r="BO1176" s="16" t="s">
        <v>197</v>
      </c>
      <c r="BP1176" s="17" t="s">
        <v>228</v>
      </c>
      <c r="BQ1176" s="23"/>
      <c r="BR1176" s="17" t="s">
        <v>198</v>
      </c>
      <c r="BS1176" s="18">
        <v>45687.47094907407</v>
      </c>
      <c r="BT1176" s="17" t="s">
        <v>198</v>
      </c>
      <c r="BU1176" s="18">
        <v>45687.47094907407</v>
      </c>
      <c r="BV1176" s="13" t="s">
        <v>199</v>
      </c>
      <c r="BW1176" s="14" t="s">
        <v>179</v>
      </c>
      <c r="BX1176" s="14" t="s">
        <v>22573</v>
      </c>
      <c r="BY1176" s="14" t="s">
        <v>179</v>
      </c>
      <c r="BZ1176" s="14" t="s">
        <v>22574</v>
      </c>
      <c r="CA1176" s="15"/>
      <c r="CB1176" s="15"/>
      <c r="CC1176" s="15"/>
      <c r="CD1176" s="15"/>
      <c r="CE1176" s="15"/>
      <c r="CF1176" s="15"/>
      <c r="CG1176" s="19"/>
      <c r="CH1176" s="15"/>
      <c r="CI1176" s="19"/>
      <c r="CJ1176" s="15"/>
      <c r="CK1176" s="19"/>
      <c r="CL1176" s="15"/>
      <c r="CM1176" s="19"/>
      <c r="CN1176" s="15"/>
      <c r="CO1176" s="19"/>
      <c r="CP1176" s="15"/>
      <c r="CQ1176" s="15"/>
      <c r="CR1176" s="15"/>
      <c r="CS1176" s="19"/>
      <c r="CT1176" s="15"/>
      <c r="CU1176" s="19"/>
      <c r="CV1176" s="15"/>
      <c r="CW1176" s="19"/>
      <c r="CX1176" s="15"/>
      <c r="CY1176" s="19"/>
      <c r="CZ1176" s="15"/>
      <c r="DA1176" s="16" t="s">
        <v>197</v>
      </c>
      <c r="DB1176" s="17" t="s">
        <v>228</v>
      </c>
      <c r="DC1176" s="16"/>
      <c r="DD1176" s="17" t="s">
        <v>198</v>
      </c>
      <c r="DE1176" s="18">
        <v>45713.384884259256</v>
      </c>
      <c r="DF1176" s="17" t="s">
        <v>198</v>
      </c>
      <c r="DG1176" s="18">
        <v>45713.384884259256</v>
      </c>
      <c r="DH1176" s="13" t="s">
        <v>205</v>
      </c>
      <c r="DI1176" s="14" t="s">
        <v>179</v>
      </c>
      <c r="DJ1176" s="14" t="s">
        <v>22575</v>
      </c>
      <c r="DK1176" s="15"/>
      <c r="DL1176" s="15"/>
      <c r="DM1176" s="15"/>
      <c r="DN1176" s="15"/>
      <c r="DO1176" s="15"/>
      <c r="DP1176" s="15"/>
      <c r="DQ1176" s="15"/>
      <c r="DR1176" s="15"/>
      <c r="DS1176" s="15"/>
      <c r="DT1176" s="15"/>
      <c r="DU1176" s="15"/>
      <c r="DV1176" s="15"/>
      <c r="DW1176" s="15"/>
      <c r="DX1176" s="15"/>
      <c r="DY1176" s="15"/>
      <c r="DZ1176" s="15"/>
      <c r="EA1176" s="15"/>
      <c r="EB1176" s="15"/>
      <c r="EC1176" s="16" t="s">
        <v>197</v>
      </c>
      <c r="ED1176" s="17" t="s">
        <v>198</v>
      </c>
      <c r="EE1176" s="18">
        <v>45713.385034722225</v>
      </c>
      <c r="EF1176" s="13" t="s">
        <v>209</v>
      </c>
      <c r="EG1176" s="14" t="s">
        <v>179</v>
      </c>
      <c r="EH1176" s="14" t="s">
        <v>22576</v>
      </c>
      <c r="EI1176" s="15"/>
      <c r="EJ1176" s="15"/>
      <c r="EK1176" s="15"/>
      <c r="EL1176" s="15"/>
      <c r="EM1176" s="15"/>
      <c r="EN1176" s="15"/>
      <c r="EO1176" s="15"/>
      <c r="EP1176" s="15"/>
      <c r="EQ1176" s="15"/>
      <c r="ER1176" s="15"/>
      <c r="ES1176" s="15"/>
      <c r="ET1176" s="15"/>
      <c r="EU1176" s="15"/>
      <c r="EV1176" s="15"/>
      <c r="EW1176" s="15"/>
      <c r="EX1176" s="15"/>
      <c r="EY1176" s="15"/>
      <c r="EZ1176" s="15"/>
      <c r="FA1176" s="15"/>
      <c r="FB1176" s="15"/>
      <c r="FC1176" s="16" t="s">
        <v>197</v>
      </c>
      <c r="FD1176" s="17" t="s">
        <v>198</v>
      </c>
      <c r="FE1176" s="18">
        <v>45713.38506944444</v>
      </c>
      <c r="FF1176" s="19"/>
      <c r="FG1176" s="19"/>
      <c r="FH1176" s="21" t="s">
        <v>197</v>
      </c>
      <c r="FI1176" s="17" t="s">
        <v>214</v>
      </c>
      <c r="FJ1176" s="18">
        <v>45713.38506944444</v>
      </c>
      <c r="FK1176" s="14" t="s">
        <v>22576</v>
      </c>
      <c r="FL1176" s="14" t="s">
        <v>22577</v>
      </c>
      <c r="FM1176" s="14" t="s">
        <v>22578</v>
      </c>
      <c r="FN1176" s="19"/>
      <c r="FO1176" s="19"/>
      <c r="FP1176" s="19" t="str">
        <f t="shared" si="1"/>
        <v>Base de Dados_Images/XV81004.Imagem do Equipamento-.150242.jpg</v>
      </c>
      <c r="FQ1176" s="14"/>
      <c r="FR1176" s="14"/>
    </row>
    <row r="1177" ht="15.75" customHeight="1">
      <c r="A1177" s="12" t="s">
        <v>357</v>
      </c>
      <c r="B1177" s="12" t="s">
        <v>4108</v>
      </c>
      <c r="C1177" s="12" t="s">
        <v>219</v>
      </c>
      <c r="D1177" s="22" t="s">
        <v>22579</v>
      </c>
      <c r="E1177" s="22" t="s">
        <v>22580</v>
      </c>
      <c r="F1177" s="13" t="s">
        <v>178</v>
      </c>
      <c r="G1177" s="14" t="s">
        <v>179</v>
      </c>
      <c r="H1177" s="14" t="s">
        <v>22581</v>
      </c>
      <c r="I1177" s="14" t="s">
        <v>179</v>
      </c>
      <c r="J1177" s="14" t="s">
        <v>22582</v>
      </c>
      <c r="K1177" s="14" t="s">
        <v>179</v>
      </c>
      <c r="L1177" s="14" t="s">
        <v>22583</v>
      </c>
      <c r="M1177" s="14" t="s">
        <v>179</v>
      </c>
      <c r="N1177" s="14" t="s">
        <v>22584</v>
      </c>
      <c r="O1177" s="14" t="s">
        <v>179</v>
      </c>
      <c r="P1177" s="14" t="s">
        <v>22585</v>
      </c>
      <c r="Q1177" s="14" t="s">
        <v>179</v>
      </c>
      <c r="R1177" s="14" t="s">
        <v>22586</v>
      </c>
      <c r="S1177" s="14" t="s">
        <v>179</v>
      </c>
      <c r="T1177" s="14" t="s">
        <v>22587</v>
      </c>
      <c r="U1177" s="14" t="s">
        <v>179</v>
      </c>
      <c r="V1177" s="14" t="s">
        <v>22588</v>
      </c>
      <c r="W1177" s="15"/>
      <c r="X1177" s="15"/>
      <c r="Y1177" s="15"/>
      <c r="Z1177" s="15"/>
      <c r="AA1177" s="15"/>
      <c r="AB1177" s="15"/>
      <c r="AC1177" s="15"/>
      <c r="AD1177" s="15"/>
      <c r="AE1177" s="15"/>
      <c r="AF1177" s="15"/>
      <c r="AG1177" s="15"/>
      <c r="AH1177" s="15"/>
      <c r="AI1177" s="15"/>
      <c r="AJ1177" s="15"/>
      <c r="AK1177" s="15"/>
      <c r="AL1177" s="15"/>
      <c r="AM1177" s="15"/>
      <c r="AN1177" s="15"/>
      <c r="AO1177" s="15"/>
      <c r="AP1177" s="15"/>
      <c r="AQ1177" s="15"/>
      <c r="AR1177" s="15"/>
      <c r="AS1177" s="15"/>
      <c r="AT1177" s="15"/>
      <c r="AU1177" s="15"/>
      <c r="AV1177" s="15"/>
      <c r="AW1177" s="15"/>
      <c r="AX1177" s="15"/>
      <c r="AY1177" s="15"/>
      <c r="AZ1177" s="15"/>
      <c r="BA1177" s="15"/>
      <c r="BB1177" s="15"/>
      <c r="BC1177" s="15"/>
      <c r="BD1177" s="15"/>
      <c r="BE1177" s="15"/>
      <c r="BF1177" s="15"/>
      <c r="BG1177" s="15"/>
      <c r="BH1177" s="15"/>
      <c r="BI1177" s="15"/>
      <c r="BJ1177" s="15"/>
      <c r="BK1177" s="15"/>
      <c r="BL1177" s="15"/>
      <c r="BM1177" s="15"/>
      <c r="BN1177" s="15"/>
      <c r="BO1177" s="16" t="s">
        <v>197</v>
      </c>
      <c r="BP1177" s="17" t="s">
        <v>228</v>
      </c>
      <c r="BQ1177" s="23"/>
      <c r="BR1177" s="17" t="s">
        <v>198</v>
      </c>
      <c r="BS1177" s="18">
        <v>45686.55064814815</v>
      </c>
      <c r="BT1177" s="17" t="s">
        <v>198</v>
      </c>
      <c r="BU1177" s="18">
        <v>45686.55064814815</v>
      </c>
      <c r="BV1177" s="13" t="s">
        <v>199</v>
      </c>
      <c r="BW1177" s="14" t="s">
        <v>179</v>
      </c>
      <c r="BX1177" s="14" t="s">
        <v>22589</v>
      </c>
      <c r="BY1177" s="14" t="s">
        <v>179</v>
      </c>
      <c r="BZ1177" s="14" t="s">
        <v>22590</v>
      </c>
      <c r="CA1177" s="15"/>
      <c r="CB1177" s="15"/>
      <c r="CC1177" s="15"/>
      <c r="CD1177" s="15"/>
      <c r="CE1177" s="15"/>
      <c r="CF1177" s="15"/>
      <c r="CG1177" s="19"/>
      <c r="CH1177" s="15"/>
      <c r="CI1177" s="19"/>
      <c r="CJ1177" s="15"/>
      <c r="CK1177" s="19"/>
      <c r="CL1177" s="15"/>
      <c r="CM1177" s="19"/>
      <c r="CN1177" s="15"/>
      <c r="CO1177" s="19"/>
      <c r="CP1177" s="15"/>
      <c r="CQ1177" s="15"/>
      <c r="CR1177" s="15"/>
      <c r="CS1177" s="19"/>
      <c r="CT1177" s="15"/>
      <c r="CU1177" s="19"/>
      <c r="CV1177" s="15"/>
      <c r="CW1177" s="19"/>
      <c r="CX1177" s="15"/>
      <c r="CY1177" s="19"/>
      <c r="CZ1177" s="15"/>
      <c r="DA1177" s="16" t="s">
        <v>197</v>
      </c>
      <c r="DB1177" s="17" t="s">
        <v>228</v>
      </c>
      <c r="DC1177" s="16"/>
      <c r="DD1177" s="17" t="s">
        <v>198</v>
      </c>
      <c r="DE1177" s="18">
        <v>45719.50033564815</v>
      </c>
      <c r="DF1177" s="17" t="s">
        <v>198</v>
      </c>
      <c r="DG1177" s="18">
        <v>45719.50033564815</v>
      </c>
      <c r="DH1177" s="13" t="s">
        <v>205</v>
      </c>
      <c r="DI1177" s="14" t="s">
        <v>179</v>
      </c>
      <c r="DJ1177" s="14" t="s">
        <v>22591</v>
      </c>
      <c r="DK1177" s="15"/>
      <c r="DL1177" s="15"/>
      <c r="DM1177" s="15"/>
      <c r="DN1177" s="15"/>
      <c r="DO1177" s="15"/>
      <c r="DP1177" s="15"/>
      <c r="DQ1177" s="15"/>
      <c r="DR1177" s="15"/>
      <c r="DS1177" s="15"/>
      <c r="DT1177" s="15"/>
      <c r="DU1177" s="15"/>
      <c r="DV1177" s="15"/>
      <c r="DW1177" s="15"/>
      <c r="DX1177" s="15"/>
      <c r="DY1177" s="15"/>
      <c r="DZ1177" s="15"/>
      <c r="EA1177" s="15"/>
      <c r="EB1177" s="15"/>
      <c r="EC1177" s="16" t="s">
        <v>197</v>
      </c>
      <c r="ED1177" s="17" t="s">
        <v>198</v>
      </c>
      <c r="EE1177" s="18">
        <v>45719.50085648148</v>
      </c>
      <c r="EF1177" s="13" t="s">
        <v>209</v>
      </c>
      <c r="EG1177" s="14" t="s">
        <v>179</v>
      </c>
      <c r="EH1177" s="14" t="s">
        <v>22592</v>
      </c>
      <c r="EI1177" s="15"/>
      <c r="EJ1177" s="15"/>
      <c r="EK1177" s="15"/>
      <c r="EL1177" s="15"/>
      <c r="EM1177" s="15"/>
      <c r="EN1177" s="15"/>
      <c r="EO1177" s="15"/>
      <c r="EP1177" s="15"/>
      <c r="EQ1177" s="15"/>
      <c r="ER1177" s="15"/>
      <c r="ES1177" s="15"/>
      <c r="ET1177" s="15"/>
      <c r="EU1177" s="15"/>
      <c r="EV1177" s="15"/>
      <c r="EW1177" s="15"/>
      <c r="EX1177" s="15"/>
      <c r="EY1177" s="15"/>
      <c r="EZ1177" s="15"/>
      <c r="FA1177" s="15"/>
      <c r="FB1177" s="15"/>
      <c r="FC1177" s="16" t="s">
        <v>197</v>
      </c>
      <c r="FD1177" s="17" t="s">
        <v>198</v>
      </c>
      <c r="FE1177" s="18">
        <v>45723.398877314816</v>
      </c>
      <c r="FF1177" s="19"/>
      <c r="FG1177" s="19"/>
      <c r="FH1177" s="21" t="s">
        <v>197</v>
      </c>
      <c r="FI1177" s="17" t="s">
        <v>214</v>
      </c>
      <c r="FJ1177" s="18">
        <v>45723.398877314816</v>
      </c>
      <c r="FK1177" s="14" t="s">
        <v>22592</v>
      </c>
      <c r="FL1177" s="14" t="s">
        <v>22593</v>
      </c>
      <c r="FM1177" s="14" t="s">
        <v>22594</v>
      </c>
      <c r="FN1177" s="19"/>
      <c r="FO1177" s="19"/>
      <c r="FP1177" s="19" t="str">
        <f t="shared" si="1"/>
        <v>Base de Dados_Images/XV81006.Imagem do Equipamento-.161341.jpg</v>
      </c>
      <c r="FQ1177" s="14"/>
      <c r="FR1177" s="14"/>
    </row>
    <row r="1178" ht="15.75" customHeight="1">
      <c r="A1178" s="12" t="s">
        <v>357</v>
      </c>
      <c r="B1178" s="12" t="s">
        <v>4173</v>
      </c>
      <c r="C1178" s="12" t="s">
        <v>219</v>
      </c>
      <c r="D1178" s="22" t="s">
        <v>22595</v>
      </c>
      <c r="E1178" s="22" t="s">
        <v>22596</v>
      </c>
      <c r="F1178" s="13" t="s">
        <v>178</v>
      </c>
      <c r="G1178" s="14" t="s">
        <v>179</v>
      </c>
      <c r="H1178" s="14" t="s">
        <v>22597</v>
      </c>
      <c r="I1178" s="14" t="s">
        <v>179</v>
      </c>
      <c r="J1178" s="14" t="s">
        <v>22598</v>
      </c>
      <c r="K1178" s="14" t="s">
        <v>179</v>
      </c>
      <c r="L1178" s="14" t="s">
        <v>22599</v>
      </c>
      <c r="M1178" s="14" t="s">
        <v>179</v>
      </c>
      <c r="N1178" s="14" t="s">
        <v>22600</v>
      </c>
      <c r="O1178" s="14" t="s">
        <v>179</v>
      </c>
      <c r="P1178" s="14" t="s">
        <v>22601</v>
      </c>
      <c r="Q1178" s="14" t="s">
        <v>179</v>
      </c>
      <c r="R1178" s="14" t="s">
        <v>22602</v>
      </c>
      <c r="S1178" s="14" t="s">
        <v>179</v>
      </c>
      <c r="T1178" s="14" t="s">
        <v>22603</v>
      </c>
      <c r="U1178" s="14" t="s">
        <v>179</v>
      </c>
      <c r="V1178" s="14" t="s">
        <v>22604</v>
      </c>
      <c r="W1178" s="15"/>
      <c r="X1178" s="15"/>
      <c r="Y1178" s="15"/>
      <c r="Z1178" s="15"/>
      <c r="AA1178" s="15"/>
      <c r="AB1178" s="15"/>
      <c r="AC1178" s="15"/>
      <c r="AD1178" s="15"/>
      <c r="AE1178" s="15"/>
      <c r="AF1178" s="15"/>
      <c r="AG1178" s="15"/>
      <c r="AH1178" s="15"/>
      <c r="AI1178" s="15"/>
      <c r="AJ1178" s="15"/>
      <c r="AK1178" s="15"/>
      <c r="AL1178" s="15"/>
      <c r="AM1178" s="15"/>
      <c r="AN1178" s="15"/>
      <c r="AO1178" s="15"/>
      <c r="AP1178" s="15"/>
      <c r="AQ1178" s="15"/>
      <c r="AR1178" s="15"/>
      <c r="AS1178" s="15"/>
      <c r="AT1178" s="15"/>
      <c r="AU1178" s="15"/>
      <c r="AV1178" s="15"/>
      <c r="AW1178" s="15"/>
      <c r="AX1178" s="15"/>
      <c r="AY1178" s="15"/>
      <c r="AZ1178" s="15"/>
      <c r="BA1178" s="15"/>
      <c r="BB1178" s="15"/>
      <c r="BC1178" s="15"/>
      <c r="BD1178" s="15"/>
      <c r="BE1178" s="15"/>
      <c r="BF1178" s="15"/>
      <c r="BG1178" s="15"/>
      <c r="BH1178" s="15"/>
      <c r="BI1178" s="15"/>
      <c r="BJ1178" s="15"/>
      <c r="BK1178" s="15"/>
      <c r="BL1178" s="15"/>
      <c r="BM1178" s="15"/>
      <c r="BN1178" s="15"/>
      <c r="BO1178" s="16" t="s">
        <v>197</v>
      </c>
      <c r="BP1178" s="17" t="s">
        <v>228</v>
      </c>
      <c r="BQ1178" s="23"/>
      <c r="BR1178" s="17" t="s">
        <v>198</v>
      </c>
      <c r="BS1178" s="18">
        <v>45686.54890046296</v>
      </c>
      <c r="BT1178" s="17" t="s">
        <v>198</v>
      </c>
      <c r="BU1178" s="18">
        <v>45686.54890046296</v>
      </c>
      <c r="BV1178" s="13" t="s">
        <v>199</v>
      </c>
      <c r="BW1178" s="14" t="s">
        <v>179</v>
      </c>
      <c r="BX1178" s="14" t="s">
        <v>22605</v>
      </c>
      <c r="BY1178" s="14" t="s">
        <v>179</v>
      </c>
      <c r="BZ1178" s="14" t="s">
        <v>22606</v>
      </c>
      <c r="CA1178" s="15"/>
      <c r="CB1178" s="15"/>
      <c r="CC1178" s="15"/>
      <c r="CD1178" s="15"/>
      <c r="CE1178" s="15"/>
      <c r="CF1178" s="15"/>
      <c r="CG1178" s="19"/>
      <c r="CH1178" s="15"/>
      <c r="CI1178" s="19"/>
      <c r="CJ1178" s="15"/>
      <c r="CK1178" s="19"/>
      <c r="CL1178" s="15"/>
      <c r="CM1178" s="19"/>
      <c r="CN1178" s="15"/>
      <c r="CO1178" s="19"/>
      <c r="CP1178" s="15"/>
      <c r="CQ1178" s="15"/>
      <c r="CR1178" s="15"/>
      <c r="CS1178" s="19"/>
      <c r="CT1178" s="15"/>
      <c r="CU1178" s="19"/>
      <c r="CV1178" s="15"/>
      <c r="CW1178" s="19"/>
      <c r="CX1178" s="15"/>
      <c r="CY1178" s="19"/>
      <c r="CZ1178" s="15"/>
      <c r="DA1178" s="16" t="s">
        <v>197</v>
      </c>
      <c r="DB1178" s="17" t="s">
        <v>228</v>
      </c>
      <c r="DC1178" s="16"/>
      <c r="DD1178" s="17" t="s">
        <v>198</v>
      </c>
      <c r="DE1178" s="18">
        <v>45719.49673611111</v>
      </c>
      <c r="DF1178" s="17" t="s">
        <v>198</v>
      </c>
      <c r="DG1178" s="18">
        <v>45719.49673611111</v>
      </c>
      <c r="DH1178" s="13" t="s">
        <v>205</v>
      </c>
      <c r="DI1178" s="14" t="s">
        <v>179</v>
      </c>
      <c r="DJ1178" s="14" t="s">
        <v>22607</v>
      </c>
      <c r="DK1178" s="15"/>
      <c r="DL1178" s="15"/>
      <c r="DM1178" s="15"/>
      <c r="DN1178" s="15"/>
      <c r="DO1178" s="15"/>
      <c r="DP1178" s="15"/>
      <c r="DQ1178" s="15"/>
      <c r="DR1178" s="15"/>
      <c r="DS1178" s="15"/>
      <c r="DT1178" s="15"/>
      <c r="DU1178" s="15"/>
      <c r="DV1178" s="15"/>
      <c r="DW1178" s="15"/>
      <c r="DX1178" s="15"/>
      <c r="DY1178" s="15"/>
      <c r="DZ1178" s="15"/>
      <c r="EA1178" s="15"/>
      <c r="EB1178" s="15"/>
      <c r="EC1178" s="16" t="s">
        <v>197</v>
      </c>
      <c r="ED1178" s="17" t="s">
        <v>198</v>
      </c>
      <c r="EE1178" s="18">
        <v>45719.497453703705</v>
      </c>
      <c r="EF1178" s="13" t="s">
        <v>209</v>
      </c>
      <c r="EG1178" s="14" t="s">
        <v>179</v>
      </c>
      <c r="EH1178" s="14" t="s">
        <v>22608</v>
      </c>
      <c r="EI1178" s="15"/>
      <c r="EJ1178" s="15"/>
      <c r="EK1178" s="15"/>
      <c r="EL1178" s="15"/>
      <c r="EM1178" s="15"/>
      <c r="EN1178" s="15"/>
      <c r="EO1178" s="15"/>
      <c r="EP1178" s="15"/>
      <c r="EQ1178" s="15"/>
      <c r="ER1178" s="15"/>
      <c r="ES1178" s="15"/>
      <c r="ET1178" s="15"/>
      <c r="EU1178" s="15"/>
      <c r="EV1178" s="15"/>
      <c r="EW1178" s="15"/>
      <c r="EX1178" s="15"/>
      <c r="EY1178" s="15"/>
      <c r="EZ1178" s="15"/>
      <c r="FA1178" s="15"/>
      <c r="FB1178" s="15"/>
      <c r="FC1178" s="16" t="s">
        <v>197</v>
      </c>
      <c r="FD1178" s="17" t="s">
        <v>198</v>
      </c>
      <c r="FE1178" s="18">
        <v>45723.39894675926</v>
      </c>
      <c r="FF1178" s="19"/>
      <c r="FG1178" s="19"/>
      <c r="FH1178" s="21" t="s">
        <v>197</v>
      </c>
      <c r="FI1178" s="17" t="s">
        <v>214</v>
      </c>
      <c r="FJ1178" s="18">
        <v>45723.39894675926</v>
      </c>
      <c r="FK1178" s="14" t="s">
        <v>22608</v>
      </c>
      <c r="FL1178" s="14" t="s">
        <v>22609</v>
      </c>
      <c r="FM1178" s="14" t="s">
        <v>22610</v>
      </c>
      <c r="FN1178" s="19"/>
      <c r="FO1178" s="19"/>
      <c r="FP1178" s="19" t="str">
        <f t="shared" si="1"/>
        <v>Base de Dados_Images/XV81007.Imagem do Equipamento-.161126.jpg</v>
      </c>
      <c r="FQ1178" s="19"/>
      <c r="FR1178" s="19"/>
    </row>
    <row r="1179" ht="15.75" customHeight="1">
      <c r="A1179" s="25" t="s">
        <v>357</v>
      </c>
      <c r="B1179" s="25" t="s">
        <v>358</v>
      </c>
      <c r="C1179" s="26" t="s">
        <v>219</v>
      </c>
      <c r="D1179" s="25" t="s">
        <v>22611</v>
      </c>
      <c r="E1179" s="25" t="s">
        <v>22612</v>
      </c>
      <c r="F1179" s="27" t="s">
        <v>178</v>
      </c>
      <c r="G1179" s="14" t="s">
        <v>179</v>
      </c>
      <c r="H1179" s="14" t="s">
        <v>22613</v>
      </c>
      <c r="I1179" s="14" t="s">
        <v>179</v>
      </c>
      <c r="J1179" s="14" t="s">
        <v>22614</v>
      </c>
      <c r="K1179" s="14" t="s">
        <v>179</v>
      </c>
      <c r="L1179" s="14" t="s">
        <v>22615</v>
      </c>
      <c r="M1179" s="14" t="s">
        <v>179</v>
      </c>
      <c r="N1179" s="14" t="s">
        <v>22616</v>
      </c>
      <c r="O1179" s="14" t="s">
        <v>179</v>
      </c>
      <c r="P1179" s="14" t="s">
        <v>22617</v>
      </c>
      <c r="Q1179" s="14" t="s">
        <v>179</v>
      </c>
      <c r="R1179" s="14" t="s">
        <v>22618</v>
      </c>
      <c r="S1179" s="14" t="s">
        <v>179</v>
      </c>
      <c r="T1179" s="14" t="s">
        <v>22619</v>
      </c>
      <c r="U1179" s="14" t="s">
        <v>179</v>
      </c>
      <c r="V1179" s="14" t="s">
        <v>22620</v>
      </c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4"/>
      <c r="AO1179" s="14"/>
      <c r="AP1179" s="14"/>
      <c r="AQ1179" s="14"/>
      <c r="AR1179" s="14"/>
      <c r="AS1179" s="15"/>
      <c r="AT1179" s="15"/>
      <c r="AU1179" s="15"/>
      <c r="AV1179" s="15"/>
      <c r="AW1179" s="15"/>
      <c r="AX1179" s="15"/>
      <c r="AY1179" s="15"/>
      <c r="AZ1179" s="15"/>
      <c r="BA1179" s="15"/>
      <c r="BB1179" s="15"/>
      <c r="BC1179" s="15"/>
      <c r="BD1179" s="15"/>
      <c r="BE1179" s="15"/>
      <c r="BF1179" s="15"/>
      <c r="BG1179" s="15"/>
      <c r="BH1179" s="15"/>
      <c r="BI1179" s="15"/>
      <c r="BJ1179" s="15"/>
      <c r="BK1179" s="15"/>
      <c r="BL1179" s="15"/>
      <c r="BM1179" s="15"/>
      <c r="BN1179" s="15"/>
      <c r="BO1179" s="17" t="s">
        <v>197</v>
      </c>
      <c r="BP1179" s="17" t="s">
        <v>228</v>
      </c>
      <c r="BQ1179" s="18"/>
      <c r="BR1179" s="17" t="s">
        <v>198</v>
      </c>
      <c r="BS1179" s="18">
        <v>45706.38601851852</v>
      </c>
      <c r="BT1179" s="17" t="s">
        <v>198</v>
      </c>
      <c r="BU1179" s="18">
        <v>45706.38601851852</v>
      </c>
      <c r="BV1179" s="27" t="s">
        <v>199</v>
      </c>
      <c r="BW1179" s="14" t="s">
        <v>179</v>
      </c>
      <c r="BX1179" s="14" t="s">
        <v>22621</v>
      </c>
      <c r="BY1179" s="14" t="s">
        <v>179</v>
      </c>
      <c r="BZ1179" s="14" t="s">
        <v>22622</v>
      </c>
      <c r="CA1179" s="14"/>
      <c r="CB1179" s="14"/>
      <c r="CC1179" s="14"/>
      <c r="CD1179" s="14"/>
      <c r="CE1179" s="14"/>
      <c r="CF1179" s="14"/>
      <c r="CG1179" s="14"/>
      <c r="CH1179" s="14"/>
      <c r="CI1179" s="19"/>
      <c r="CJ1179" s="15"/>
      <c r="CK1179" s="19"/>
      <c r="CL1179" s="15"/>
      <c r="CM1179" s="19"/>
      <c r="CN1179" s="15"/>
      <c r="CO1179" s="19"/>
      <c r="CP1179" s="15"/>
      <c r="CQ1179" s="15"/>
      <c r="CR1179" s="15"/>
      <c r="CS1179" s="19"/>
      <c r="CT1179" s="15"/>
      <c r="CU1179" s="19"/>
      <c r="CV1179" s="15"/>
      <c r="CW1179" s="19"/>
      <c r="CX1179" s="15"/>
      <c r="CY1179" s="19"/>
      <c r="CZ1179" s="15"/>
      <c r="DA1179" s="17" t="s">
        <v>197</v>
      </c>
      <c r="DB1179" s="17" t="s">
        <v>228</v>
      </c>
      <c r="DC1179" s="20"/>
      <c r="DD1179" s="17" t="s">
        <v>198</v>
      </c>
      <c r="DE1179" s="18">
        <v>45706.38621527778</v>
      </c>
      <c r="DF1179" s="17" t="s">
        <v>198</v>
      </c>
      <c r="DG1179" s="18">
        <v>45706.38621527778</v>
      </c>
      <c r="DH1179" s="27" t="s">
        <v>205</v>
      </c>
      <c r="DI1179" s="14" t="s">
        <v>179</v>
      </c>
      <c r="DJ1179" s="14" t="s">
        <v>22623</v>
      </c>
      <c r="DK1179" s="15"/>
      <c r="DL1179" s="15"/>
      <c r="DM1179" s="15"/>
      <c r="DN1179" s="15"/>
      <c r="DO1179" s="15"/>
      <c r="DP1179" s="15"/>
      <c r="DQ1179" s="15"/>
      <c r="DR1179" s="15"/>
      <c r="DS1179" s="15"/>
      <c r="DT1179" s="15"/>
      <c r="DU1179" s="15"/>
      <c r="DV1179" s="15"/>
      <c r="DW1179" s="15"/>
      <c r="DX1179" s="15"/>
      <c r="DY1179" s="15"/>
      <c r="DZ1179" s="15"/>
      <c r="EA1179" s="15"/>
      <c r="EB1179" s="15"/>
      <c r="EC1179" s="17" t="s">
        <v>197</v>
      </c>
      <c r="ED1179" s="17" t="s">
        <v>198</v>
      </c>
      <c r="EE1179" s="18">
        <v>45706.38649305556</v>
      </c>
      <c r="EF1179" s="27" t="s">
        <v>209</v>
      </c>
      <c r="EG1179" s="14" t="s">
        <v>179</v>
      </c>
      <c r="EH1179" s="14" t="s">
        <v>22624</v>
      </c>
      <c r="EI1179" s="15"/>
      <c r="EJ1179" s="15"/>
      <c r="EK1179" s="15"/>
      <c r="EL1179" s="15"/>
      <c r="EM1179" s="15"/>
      <c r="EN1179" s="15"/>
      <c r="EO1179" s="15"/>
      <c r="EP1179" s="15"/>
      <c r="EQ1179" s="15"/>
      <c r="ER1179" s="15"/>
      <c r="ES1179" s="15"/>
      <c r="ET1179" s="15"/>
      <c r="EU1179" s="15"/>
      <c r="EV1179" s="15"/>
      <c r="EW1179" s="15"/>
      <c r="EX1179" s="15"/>
      <c r="EY1179" s="15"/>
      <c r="EZ1179" s="15"/>
      <c r="FA1179" s="15"/>
      <c r="FB1179" s="15"/>
      <c r="FC1179" s="17" t="s">
        <v>197</v>
      </c>
      <c r="FD1179" s="17" t="s">
        <v>198</v>
      </c>
      <c r="FE1179" s="18">
        <v>45706.386608796296</v>
      </c>
      <c r="FF1179" s="19"/>
      <c r="FG1179" s="19"/>
      <c r="FH1179" s="17" t="s">
        <v>197</v>
      </c>
      <c r="FI1179" s="17" t="s">
        <v>214</v>
      </c>
      <c r="FJ1179" s="18">
        <v>45706.386608796296</v>
      </c>
      <c r="FK1179" s="14" t="s">
        <v>22624</v>
      </c>
      <c r="FL1179" s="14" t="s">
        <v>22625</v>
      </c>
      <c r="FM1179" s="14" t="s">
        <v>22626</v>
      </c>
      <c r="FN1179" s="14"/>
      <c r="FO1179" s="14"/>
      <c r="FP1179" s="19" t="str">
        <f t="shared" si="1"/>
        <v>Base de Dados_Images/XV81008.Imagem do Equipamento-.121534.jpg</v>
      </c>
      <c r="FQ1179" s="14"/>
      <c r="FR1179" s="14"/>
    </row>
    <row r="1180" ht="15.75" customHeight="1">
      <c r="A1180" s="12" t="s">
        <v>10412</v>
      </c>
      <c r="B1180" s="12" t="s">
        <v>14148</v>
      </c>
      <c r="C1180" s="12" t="s">
        <v>219</v>
      </c>
      <c r="D1180" s="22" t="s">
        <v>22627</v>
      </c>
      <c r="E1180" s="22" t="s">
        <v>22628</v>
      </c>
      <c r="F1180" s="13" t="s">
        <v>178</v>
      </c>
      <c r="G1180" s="14" t="s">
        <v>179</v>
      </c>
      <c r="H1180" s="14" t="s">
        <v>22629</v>
      </c>
      <c r="I1180" s="14" t="s">
        <v>179</v>
      </c>
      <c r="J1180" s="14" t="s">
        <v>22630</v>
      </c>
      <c r="K1180" s="14" t="s">
        <v>179</v>
      </c>
      <c r="L1180" s="14" t="s">
        <v>22630</v>
      </c>
      <c r="M1180" s="14" t="s">
        <v>179</v>
      </c>
      <c r="N1180" s="14" t="s">
        <v>22631</v>
      </c>
      <c r="O1180" s="14" t="s">
        <v>179</v>
      </c>
      <c r="P1180" s="14" t="s">
        <v>22632</v>
      </c>
      <c r="Q1180" s="14" t="s">
        <v>179</v>
      </c>
      <c r="R1180" s="14" t="s">
        <v>22632</v>
      </c>
      <c r="S1180" s="14" t="s">
        <v>179</v>
      </c>
      <c r="T1180" s="14" t="s">
        <v>22633</v>
      </c>
      <c r="U1180" s="14" t="s">
        <v>179</v>
      </c>
      <c r="V1180" s="14" t="s">
        <v>22633</v>
      </c>
      <c r="W1180" s="15"/>
      <c r="X1180" s="15"/>
      <c r="Y1180" s="15"/>
      <c r="Z1180" s="15"/>
      <c r="AA1180" s="15"/>
      <c r="AB1180" s="15"/>
      <c r="AC1180" s="15"/>
      <c r="AD1180" s="15"/>
      <c r="AE1180" s="15"/>
      <c r="AF1180" s="15"/>
      <c r="AG1180" s="15"/>
      <c r="AH1180" s="15"/>
      <c r="AI1180" s="15"/>
      <c r="AJ1180" s="15"/>
      <c r="AK1180" s="15"/>
      <c r="AL1180" s="15"/>
      <c r="AM1180" s="15"/>
      <c r="AN1180" s="15"/>
      <c r="AO1180" s="15"/>
      <c r="AP1180" s="15"/>
      <c r="AQ1180" s="15"/>
      <c r="AR1180" s="15"/>
      <c r="AS1180" s="15"/>
      <c r="AT1180" s="15"/>
      <c r="AU1180" s="15"/>
      <c r="AV1180" s="15"/>
      <c r="AW1180" s="15"/>
      <c r="AX1180" s="15"/>
      <c r="AY1180" s="15"/>
      <c r="AZ1180" s="15"/>
      <c r="BA1180" s="15"/>
      <c r="BB1180" s="15"/>
      <c r="BC1180" s="15"/>
      <c r="BD1180" s="15"/>
      <c r="BE1180" s="15"/>
      <c r="BF1180" s="15"/>
      <c r="BG1180" s="15"/>
      <c r="BH1180" s="15"/>
      <c r="BI1180" s="15"/>
      <c r="BJ1180" s="15"/>
      <c r="BK1180" s="15"/>
      <c r="BL1180" s="15"/>
      <c r="BM1180" s="15"/>
      <c r="BN1180" s="15"/>
      <c r="BO1180" s="16" t="s">
        <v>197</v>
      </c>
      <c r="BP1180" s="17" t="s">
        <v>228</v>
      </c>
      <c r="BQ1180" s="23"/>
      <c r="BR1180" s="17" t="s">
        <v>198</v>
      </c>
      <c r="BS1180" s="18">
        <v>45693.69547453704</v>
      </c>
      <c r="BT1180" s="17" t="s">
        <v>198</v>
      </c>
      <c r="BU1180" s="18">
        <v>45693.69547453704</v>
      </c>
      <c r="BV1180" s="13" t="s">
        <v>199</v>
      </c>
      <c r="BW1180" s="14" t="s">
        <v>188</v>
      </c>
      <c r="BX1180" s="14" t="s">
        <v>22634</v>
      </c>
      <c r="BY1180" s="14" t="s">
        <v>179</v>
      </c>
      <c r="BZ1180" s="14" t="s">
        <v>22635</v>
      </c>
      <c r="CA1180" s="15"/>
      <c r="CB1180" s="15"/>
      <c r="CC1180" s="15"/>
      <c r="CD1180" s="15"/>
      <c r="CE1180" s="15"/>
      <c r="CF1180" s="15"/>
      <c r="CG1180" s="19"/>
      <c r="CH1180" s="15"/>
      <c r="CI1180" s="19"/>
      <c r="CJ1180" s="15"/>
      <c r="CK1180" s="19"/>
      <c r="CL1180" s="15"/>
      <c r="CM1180" s="19"/>
      <c r="CN1180" s="15"/>
      <c r="CO1180" s="19"/>
      <c r="CP1180" s="15"/>
      <c r="CQ1180" s="15"/>
      <c r="CR1180" s="15"/>
      <c r="CS1180" s="19"/>
      <c r="CT1180" s="15"/>
      <c r="CU1180" s="19"/>
      <c r="CV1180" s="15"/>
      <c r="CW1180" s="19"/>
      <c r="CX1180" s="15"/>
      <c r="CY1180" s="19"/>
      <c r="CZ1180" s="15"/>
      <c r="DA1180" s="16" t="s">
        <v>197</v>
      </c>
      <c r="DB1180" s="17" t="s">
        <v>228</v>
      </c>
      <c r="DC1180" s="16"/>
      <c r="DD1180" s="17" t="s">
        <v>198</v>
      </c>
      <c r="DE1180" s="18">
        <v>45714.51157407407</v>
      </c>
      <c r="DF1180" s="17" t="s">
        <v>198</v>
      </c>
      <c r="DG1180" s="18">
        <v>45714.51157407407</v>
      </c>
      <c r="DH1180" s="13" t="s">
        <v>205</v>
      </c>
      <c r="DI1180" s="14" t="s">
        <v>179</v>
      </c>
      <c r="DJ1180" s="14" t="s">
        <v>22636</v>
      </c>
      <c r="DK1180" s="15"/>
      <c r="DL1180" s="15"/>
      <c r="DM1180" s="15"/>
      <c r="DN1180" s="15"/>
      <c r="DO1180" s="15"/>
      <c r="DP1180" s="15"/>
      <c r="DQ1180" s="15"/>
      <c r="DR1180" s="15"/>
      <c r="DS1180" s="15"/>
      <c r="DT1180" s="15"/>
      <c r="DU1180" s="15"/>
      <c r="DV1180" s="15"/>
      <c r="DW1180" s="15"/>
      <c r="DX1180" s="15"/>
      <c r="DY1180" s="15"/>
      <c r="DZ1180" s="15"/>
      <c r="EA1180" s="15"/>
      <c r="EB1180" s="15"/>
      <c r="EC1180" s="16" t="s">
        <v>197</v>
      </c>
      <c r="ED1180" s="17" t="s">
        <v>198</v>
      </c>
      <c r="EE1180" s="18">
        <v>45719.46297453704</v>
      </c>
      <c r="EF1180" s="13" t="s">
        <v>209</v>
      </c>
      <c r="EG1180" s="14" t="s">
        <v>179</v>
      </c>
      <c r="EH1180" s="14" t="s">
        <v>22637</v>
      </c>
      <c r="EI1180" s="15"/>
      <c r="EJ1180" s="15"/>
      <c r="EK1180" s="15"/>
      <c r="EL1180" s="15"/>
      <c r="EM1180" s="15"/>
      <c r="EN1180" s="15"/>
      <c r="EO1180" s="15"/>
      <c r="EP1180" s="15"/>
      <c r="EQ1180" s="15"/>
      <c r="ER1180" s="15"/>
      <c r="ES1180" s="15"/>
      <c r="ET1180" s="15"/>
      <c r="EU1180" s="15"/>
      <c r="EV1180" s="15"/>
      <c r="EW1180" s="15"/>
      <c r="EX1180" s="15"/>
      <c r="EY1180" s="15"/>
      <c r="EZ1180" s="15"/>
      <c r="FA1180" s="15"/>
      <c r="FB1180" s="15"/>
      <c r="FC1180" s="16" t="s">
        <v>197</v>
      </c>
      <c r="FD1180" s="17" t="s">
        <v>198</v>
      </c>
      <c r="FE1180" s="18">
        <v>45719.67619212963</v>
      </c>
      <c r="FF1180" s="19"/>
      <c r="FG1180" s="19"/>
      <c r="FH1180" s="21" t="s">
        <v>197</v>
      </c>
      <c r="FI1180" s="17" t="s">
        <v>214</v>
      </c>
      <c r="FJ1180" s="18">
        <v>45719.67619212963</v>
      </c>
      <c r="FK1180" s="14" t="s">
        <v>22637</v>
      </c>
      <c r="FL1180" s="19"/>
      <c r="FM1180" s="19"/>
      <c r="FN1180" s="19"/>
      <c r="FO1180" s="19"/>
      <c r="FP1180" s="19" t="str">
        <f t="shared" si="1"/>
        <v/>
      </c>
      <c r="FQ1180" s="14" t="s">
        <v>215</v>
      </c>
      <c r="FR1180" s="14" t="s">
        <v>22638</v>
      </c>
    </row>
    <row r="1181" ht="15.75" customHeight="1">
      <c r="A1181" s="12" t="s">
        <v>292</v>
      </c>
      <c r="B1181" s="12" t="s">
        <v>22639</v>
      </c>
      <c r="C1181" s="12" t="s">
        <v>15119</v>
      </c>
      <c r="D1181" s="12" t="s">
        <v>22640</v>
      </c>
      <c r="E1181" s="12" t="s">
        <v>22641</v>
      </c>
      <c r="F1181" s="13" t="s">
        <v>178</v>
      </c>
      <c r="G1181" s="14" t="s">
        <v>179</v>
      </c>
      <c r="H1181" s="14" t="s">
        <v>22642</v>
      </c>
      <c r="I1181" s="14" t="s">
        <v>179</v>
      </c>
      <c r="J1181" s="14" t="s">
        <v>22643</v>
      </c>
      <c r="K1181" s="14" t="s">
        <v>179</v>
      </c>
      <c r="L1181" s="14" t="s">
        <v>22644</v>
      </c>
      <c r="M1181" s="14" t="s">
        <v>179</v>
      </c>
      <c r="N1181" s="14" t="s">
        <v>22645</v>
      </c>
      <c r="O1181" s="14" t="s">
        <v>179</v>
      </c>
      <c r="P1181" s="14" t="s">
        <v>22646</v>
      </c>
      <c r="Q1181" s="14" t="s">
        <v>179</v>
      </c>
      <c r="R1181" s="14" t="s">
        <v>22647</v>
      </c>
      <c r="S1181" s="14" t="s">
        <v>179</v>
      </c>
      <c r="T1181" s="14" t="s">
        <v>22648</v>
      </c>
      <c r="U1181" s="14" t="s">
        <v>179</v>
      </c>
      <c r="V1181" s="14" t="s">
        <v>22649</v>
      </c>
      <c r="W1181" s="14" t="s">
        <v>179</v>
      </c>
      <c r="X1181" s="14" t="s">
        <v>22650</v>
      </c>
      <c r="Y1181" s="14" t="s">
        <v>179</v>
      </c>
      <c r="Z1181" s="14" t="s">
        <v>22651</v>
      </c>
      <c r="AA1181" s="14" t="s">
        <v>179</v>
      </c>
      <c r="AB1181" s="14" t="s">
        <v>22652</v>
      </c>
      <c r="AC1181" s="14" t="s">
        <v>179</v>
      </c>
      <c r="AD1181" s="14" t="s">
        <v>22653</v>
      </c>
      <c r="AE1181" s="14" t="s">
        <v>179</v>
      </c>
      <c r="AF1181" s="14" t="s">
        <v>22654</v>
      </c>
      <c r="AG1181" s="14" t="s">
        <v>179</v>
      </c>
      <c r="AH1181" s="14" t="s">
        <v>22655</v>
      </c>
      <c r="AI1181" s="14" t="s">
        <v>179</v>
      </c>
      <c r="AJ1181" s="14" t="s">
        <v>22656</v>
      </c>
      <c r="AK1181" s="14" t="s">
        <v>179</v>
      </c>
      <c r="AL1181" s="14" t="s">
        <v>22657</v>
      </c>
      <c r="AM1181" s="14" t="s">
        <v>179</v>
      </c>
      <c r="AN1181" s="14" t="s">
        <v>22658</v>
      </c>
      <c r="AO1181" s="14" t="s">
        <v>179</v>
      </c>
      <c r="AP1181" s="14" t="s">
        <v>22659</v>
      </c>
      <c r="AQ1181" s="14" t="s">
        <v>179</v>
      </c>
      <c r="AR1181" s="14" t="s">
        <v>22660</v>
      </c>
      <c r="AS1181" s="14" t="s">
        <v>179</v>
      </c>
      <c r="AT1181" s="14" t="s">
        <v>22661</v>
      </c>
      <c r="AU1181" s="14" t="s">
        <v>179</v>
      </c>
      <c r="AV1181" s="14" t="s">
        <v>22662</v>
      </c>
      <c r="AW1181" s="14" t="s">
        <v>179</v>
      </c>
      <c r="AX1181" s="14" t="s">
        <v>22663</v>
      </c>
      <c r="AY1181" s="14" t="s">
        <v>179</v>
      </c>
      <c r="AZ1181" s="14" t="s">
        <v>22664</v>
      </c>
      <c r="BA1181" s="15"/>
      <c r="BB1181" s="15"/>
      <c r="BC1181" s="15"/>
      <c r="BD1181" s="15"/>
      <c r="BE1181" s="15"/>
      <c r="BF1181" s="15"/>
      <c r="BG1181" s="15"/>
      <c r="BH1181" s="15"/>
      <c r="BI1181" s="15"/>
      <c r="BJ1181" s="15"/>
      <c r="BK1181" s="15"/>
      <c r="BL1181" s="15"/>
      <c r="BM1181" s="15"/>
      <c r="BN1181" s="15"/>
      <c r="BO1181" s="16" t="s">
        <v>197</v>
      </c>
      <c r="BP1181" s="17" t="s">
        <v>198</v>
      </c>
      <c r="BQ1181" s="18">
        <v>45700.52991898148</v>
      </c>
      <c r="BR1181" s="17" t="s">
        <v>198</v>
      </c>
      <c r="BS1181" s="18">
        <v>45700.53020833333</v>
      </c>
      <c r="BT1181" s="17" t="s">
        <v>198</v>
      </c>
      <c r="BU1181" s="18">
        <v>45700.53020833333</v>
      </c>
      <c r="BV1181" s="13" t="s">
        <v>199</v>
      </c>
      <c r="BW1181" s="14" t="s">
        <v>179</v>
      </c>
      <c r="BX1181" s="14" t="s">
        <v>22665</v>
      </c>
      <c r="BY1181" s="14" t="s">
        <v>179</v>
      </c>
      <c r="BZ1181" s="14" t="s">
        <v>22666</v>
      </c>
      <c r="CA1181" s="14" t="s">
        <v>179</v>
      </c>
      <c r="CB1181" s="14" t="s">
        <v>22667</v>
      </c>
      <c r="CC1181" s="14" t="s">
        <v>179</v>
      </c>
      <c r="CD1181" s="14" t="s">
        <v>22668</v>
      </c>
      <c r="CE1181" s="14" t="s">
        <v>179</v>
      </c>
      <c r="CF1181" s="14" t="s">
        <v>22669</v>
      </c>
      <c r="CG1181" s="19"/>
      <c r="CH1181" s="15"/>
      <c r="CI1181" s="19"/>
      <c r="CJ1181" s="15"/>
      <c r="CK1181" s="19"/>
      <c r="CL1181" s="15"/>
      <c r="CM1181" s="19"/>
      <c r="CN1181" s="15"/>
      <c r="CO1181" s="19"/>
      <c r="CP1181" s="15"/>
      <c r="CQ1181" s="15"/>
      <c r="CR1181" s="15"/>
      <c r="CS1181" s="19"/>
      <c r="CT1181" s="15"/>
      <c r="CU1181" s="19"/>
      <c r="CV1181" s="15"/>
      <c r="CW1181" s="19"/>
      <c r="CX1181" s="15"/>
      <c r="CY1181" s="19"/>
      <c r="CZ1181" s="15"/>
      <c r="DA1181" s="16" t="s">
        <v>197</v>
      </c>
      <c r="DB1181" s="17" t="s">
        <v>228</v>
      </c>
      <c r="DC1181" s="16"/>
      <c r="DD1181" s="17" t="s">
        <v>198</v>
      </c>
      <c r="DE1181" s="18">
        <v>45700.530335648145</v>
      </c>
      <c r="DF1181" s="17" t="s">
        <v>198</v>
      </c>
      <c r="DG1181" s="18">
        <v>45700.530335648145</v>
      </c>
      <c r="DH1181" s="13" t="s">
        <v>205</v>
      </c>
      <c r="DI1181" s="14" t="s">
        <v>179</v>
      </c>
      <c r="DJ1181" s="14" t="s">
        <v>22670</v>
      </c>
      <c r="DK1181" s="14" t="s">
        <v>179</v>
      </c>
      <c r="DL1181" s="14" t="s">
        <v>22671</v>
      </c>
      <c r="DM1181" s="14" t="s">
        <v>179</v>
      </c>
      <c r="DN1181" s="14" t="s">
        <v>22672</v>
      </c>
      <c r="DO1181" s="14" t="s">
        <v>179</v>
      </c>
      <c r="DP1181" s="14" t="s">
        <v>22673</v>
      </c>
      <c r="DQ1181" s="14" t="s">
        <v>179</v>
      </c>
      <c r="DR1181" s="14" t="s">
        <v>22674</v>
      </c>
      <c r="DS1181" s="14" t="s">
        <v>179</v>
      </c>
      <c r="DT1181" s="14" t="s">
        <v>22675</v>
      </c>
      <c r="DU1181" s="15"/>
      <c r="DV1181" s="15"/>
      <c r="DW1181" s="15"/>
      <c r="DX1181" s="15"/>
      <c r="DY1181" s="15"/>
      <c r="DZ1181" s="15"/>
      <c r="EA1181" s="15"/>
      <c r="EB1181" s="15"/>
      <c r="EC1181" s="16" t="s">
        <v>197</v>
      </c>
      <c r="ED1181" s="17" t="s">
        <v>198</v>
      </c>
      <c r="EE1181" s="18">
        <v>45719.50682870371</v>
      </c>
      <c r="EF1181" s="13" t="s">
        <v>209</v>
      </c>
      <c r="EG1181" s="15"/>
      <c r="EH1181" s="15"/>
      <c r="EI1181" s="15"/>
      <c r="EJ1181" s="15"/>
      <c r="EK1181" s="15"/>
      <c r="EL1181" s="15"/>
      <c r="EM1181" s="15"/>
      <c r="EN1181" s="15"/>
      <c r="EO1181" s="15"/>
      <c r="EP1181" s="15"/>
      <c r="EQ1181" s="15"/>
      <c r="ER1181" s="15"/>
      <c r="ES1181" s="15"/>
      <c r="ET1181" s="15"/>
      <c r="EU1181" s="15"/>
      <c r="EV1181" s="15"/>
      <c r="EW1181" s="15"/>
      <c r="EX1181" s="15"/>
      <c r="EY1181" s="15"/>
      <c r="EZ1181" s="15"/>
      <c r="FA1181" s="15"/>
      <c r="FB1181" s="15"/>
      <c r="FC1181" s="16" t="s">
        <v>197</v>
      </c>
      <c r="FD1181" s="17" t="s">
        <v>228</v>
      </c>
      <c r="FE1181" s="23"/>
      <c r="FF1181" s="19"/>
      <c r="FG1181" s="19"/>
      <c r="FH1181" s="21" t="s">
        <v>197</v>
      </c>
      <c r="FI1181" s="17" t="s">
        <v>214</v>
      </c>
      <c r="FJ1181" s="18">
        <v>45719.50682870371</v>
      </c>
      <c r="FK1181" s="14" t="s">
        <v>22675</v>
      </c>
      <c r="FL1181" s="14" t="s">
        <v>22676</v>
      </c>
      <c r="FM1181" s="14" t="s">
        <v>22677</v>
      </c>
      <c r="FN1181" s="19"/>
      <c r="FO1181" s="19"/>
      <c r="FP1181" s="19" t="str">
        <f t="shared" si="1"/>
        <v>Base de Dados_Images/XV92001.Imagem do Equipamento-.155347.jpg</v>
      </c>
      <c r="FQ1181" s="14"/>
      <c r="FR1181" s="14"/>
    </row>
    <row r="1182" ht="15.75" customHeight="1">
      <c r="A1182" s="12" t="s">
        <v>547</v>
      </c>
      <c r="B1182" s="12" t="s">
        <v>3825</v>
      </c>
      <c r="C1182" s="24" t="s">
        <v>324</v>
      </c>
      <c r="D1182" s="12" t="s">
        <v>22678</v>
      </c>
      <c r="E1182" s="12" t="s">
        <v>22679</v>
      </c>
      <c r="F1182" s="13" t="s">
        <v>178</v>
      </c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  <c r="AA1182" s="15"/>
      <c r="AB1182" s="15"/>
      <c r="AC1182" s="15"/>
      <c r="AD1182" s="15"/>
      <c r="AE1182" s="15"/>
      <c r="AF1182" s="15"/>
      <c r="AG1182" s="15"/>
      <c r="AH1182" s="15"/>
      <c r="AI1182" s="15"/>
      <c r="AJ1182" s="15"/>
      <c r="AK1182" s="15"/>
      <c r="AL1182" s="15"/>
      <c r="AM1182" s="15"/>
      <c r="AN1182" s="15"/>
      <c r="AO1182" s="15"/>
      <c r="AP1182" s="15"/>
      <c r="AQ1182" s="15"/>
      <c r="AR1182" s="15"/>
      <c r="AS1182" s="15"/>
      <c r="AT1182" s="15"/>
      <c r="AU1182" s="15"/>
      <c r="AV1182" s="15"/>
      <c r="AW1182" s="15"/>
      <c r="AX1182" s="15"/>
      <c r="AY1182" s="15"/>
      <c r="AZ1182" s="15"/>
      <c r="BA1182" s="15"/>
      <c r="BB1182" s="15"/>
      <c r="BC1182" s="15"/>
      <c r="BD1182" s="15"/>
      <c r="BE1182" s="15"/>
      <c r="BF1182" s="15"/>
      <c r="BG1182" s="15"/>
      <c r="BH1182" s="15"/>
      <c r="BI1182" s="15"/>
      <c r="BJ1182" s="15"/>
      <c r="BK1182" s="15"/>
      <c r="BL1182" s="15"/>
      <c r="BM1182" s="15"/>
      <c r="BN1182" s="15"/>
      <c r="BO1182" s="16" t="s">
        <v>197</v>
      </c>
      <c r="BP1182" s="17" t="s">
        <v>228</v>
      </c>
      <c r="BQ1182" s="23"/>
      <c r="BR1182" s="17" t="s">
        <v>228</v>
      </c>
      <c r="BS1182" s="23"/>
      <c r="BT1182" s="17" t="s">
        <v>228</v>
      </c>
      <c r="BU1182" s="23"/>
      <c r="BV1182" s="13" t="s">
        <v>199</v>
      </c>
      <c r="BW1182" s="15"/>
      <c r="BX1182" s="15"/>
      <c r="BY1182" s="15"/>
      <c r="BZ1182" s="15"/>
      <c r="CA1182" s="15"/>
      <c r="CB1182" s="15"/>
      <c r="CC1182" s="15"/>
      <c r="CD1182" s="15"/>
      <c r="CE1182" s="15"/>
      <c r="CF1182" s="15"/>
      <c r="CG1182" s="19"/>
      <c r="CH1182" s="15"/>
      <c r="CI1182" s="19"/>
      <c r="CJ1182" s="15"/>
      <c r="CK1182" s="19"/>
      <c r="CL1182" s="15"/>
      <c r="CM1182" s="19"/>
      <c r="CN1182" s="15"/>
      <c r="CO1182" s="19"/>
      <c r="CP1182" s="15"/>
      <c r="CQ1182" s="15"/>
      <c r="CR1182" s="15"/>
      <c r="CS1182" s="19"/>
      <c r="CT1182" s="15"/>
      <c r="CU1182" s="19"/>
      <c r="CV1182" s="15"/>
      <c r="CW1182" s="19"/>
      <c r="CX1182" s="15"/>
      <c r="CY1182" s="19"/>
      <c r="CZ1182" s="15"/>
      <c r="DA1182" s="16" t="s">
        <v>197</v>
      </c>
      <c r="DB1182" s="17" t="s">
        <v>228</v>
      </c>
      <c r="DC1182" s="16"/>
      <c r="DD1182" s="17" t="s">
        <v>228</v>
      </c>
      <c r="DE1182" s="23"/>
      <c r="DF1182" s="17" t="s">
        <v>228</v>
      </c>
      <c r="DG1182" s="23"/>
      <c r="DH1182" s="13" t="s">
        <v>205</v>
      </c>
      <c r="DI1182" s="14" t="s">
        <v>179</v>
      </c>
      <c r="DJ1182" s="14" t="s">
        <v>22680</v>
      </c>
      <c r="DK1182" s="14" t="s">
        <v>179</v>
      </c>
      <c r="DL1182" s="14" t="s">
        <v>22681</v>
      </c>
      <c r="DM1182" s="15"/>
      <c r="DN1182" s="15"/>
      <c r="DO1182" s="15"/>
      <c r="DP1182" s="15"/>
      <c r="DQ1182" s="15"/>
      <c r="DR1182" s="15"/>
      <c r="DS1182" s="15"/>
      <c r="DT1182" s="15"/>
      <c r="DU1182" s="15"/>
      <c r="DV1182" s="15"/>
      <c r="DW1182" s="15"/>
      <c r="DX1182" s="15"/>
      <c r="DY1182" s="15"/>
      <c r="DZ1182" s="15"/>
      <c r="EA1182" s="15"/>
      <c r="EB1182" s="15"/>
      <c r="EC1182" s="16" t="s">
        <v>197</v>
      </c>
      <c r="ED1182" s="17" t="s">
        <v>198</v>
      </c>
      <c r="EE1182" s="18">
        <v>45722.3822337963</v>
      </c>
      <c r="EF1182" s="13" t="s">
        <v>209</v>
      </c>
      <c r="EG1182" s="14" t="s">
        <v>179</v>
      </c>
      <c r="EH1182" s="14" t="s">
        <v>22682</v>
      </c>
      <c r="EI1182" s="14" t="s">
        <v>179</v>
      </c>
      <c r="EJ1182" s="14" t="s">
        <v>22682</v>
      </c>
      <c r="EK1182" s="15"/>
      <c r="EL1182" s="15"/>
      <c r="EM1182" s="15"/>
      <c r="EN1182" s="15"/>
      <c r="EO1182" s="15"/>
      <c r="EP1182" s="15"/>
      <c r="EQ1182" s="15"/>
      <c r="ER1182" s="15"/>
      <c r="ES1182" s="15"/>
      <c r="ET1182" s="15"/>
      <c r="EU1182" s="15"/>
      <c r="EV1182" s="15"/>
      <c r="EW1182" s="15"/>
      <c r="EX1182" s="15"/>
      <c r="EY1182" s="15"/>
      <c r="EZ1182" s="15"/>
      <c r="FA1182" s="15"/>
      <c r="FB1182" s="15"/>
      <c r="FC1182" s="16" t="s">
        <v>197</v>
      </c>
      <c r="FD1182" s="17" t="s">
        <v>198</v>
      </c>
      <c r="FE1182" s="18">
        <v>45722.38228009259</v>
      </c>
      <c r="FF1182" s="19"/>
      <c r="FG1182" s="19"/>
      <c r="FH1182" s="21" t="s">
        <v>197</v>
      </c>
      <c r="FI1182" s="17" t="s">
        <v>214</v>
      </c>
      <c r="FJ1182" s="18">
        <v>45722.38228009259</v>
      </c>
      <c r="FK1182" s="14" t="s">
        <v>22682</v>
      </c>
      <c r="FL1182" s="19"/>
      <c r="FM1182" s="19"/>
      <c r="FN1182" s="19"/>
      <c r="FO1182" s="19"/>
      <c r="FP1182" s="19" t="str">
        <f t="shared" si="1"/>
        <v/>
      </c>
      <c r="FQ1182" s="14" t="s">
        <v>215</v>
      </c>
      <c r="FR1182" s="14" t="s">
        <v>22683</v>
      </c>
    </row>
    <row r="1183" ht="15.75" customHeight="1">
      <c r="A1183" s="12" t="s">
        <v>547</v>
      </c>
      <c r="B1183" s="12" t="s">
        <v>3825</v>
      </c>
      <c r="C1183" s="24" t="s">
        <v>10447</v>
      </c>
      <c r="D1183" s="31" t="s">
        <v>22684</v>
      </c>
      <c r="E1183" s="12" t="s">
        <v>22685</v>
      </c>
      <c r="F1183" s="13" t="s">
        <v>178</v>
      </c>
      <c r="G1183" s="14" t="s">
        <v>179</v>
      </c>
      <c r="H1183" s="14" t="s">
        <v>22686</v>
      </c>
      <c r="I1183" s="14" t="s">
        <v>179</v>
      </c>
      <c r="J1183" s="14" t="s">
        <v>22687</v>
      </c>
      <c r="K1183" s="14" t="s">
        <v>179</v>
      </c>
      <c r="L1183" s="14" t="s">
        <v>22688</v>
      </c>
      <c r="M1183" s="14" t="s">
        <v>179</v>
      </c>
      <c r="N1183" s="14" t="s">
        <v>22689</v>
      </c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  <c r="AA1183" s="15"/>
      <c r="AB1183" s="15"/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5"/>
      <c r="AN1183" s="15"/>
      <c r="AO1183" s="15"/>
      <c r="AP1183" s="15"/>
      <c r="AQ1183" s="15"/>
      <c r="AR1183" s="15"/>
      <c r="AS1183" s="15"/>
      <c r="AT1183" s="15"/>
      <c r="AU1183" s="15"/>
      <c r="AV1183" s="15"/>
      <c r="AW1183" s="15"/>
      <c r="AX1183" s="15"/>
      <c r="AY1183" s="15"/>
      <c r="AZ1183" s="15"/>
      <c r="BA1183" s="15"/>
      <c r="BB1183" s="15"/>
      <c r="BC1183" s="15"/>
      <c r="BD1183" s="15"/>
      <c r="BE1183" s="15"/>
      <c r="BF1183" s="15"/>
      <c r="BG1183" s="15"/>
      <c r="BH1183" s="15"/>
      <c r="BI1183" s="15"/>
      <c r="BJ1183" s="15"/>
      <c r="BK1183" s="15"/>
      <c r="BL1183" s="15"/>
      <c r="BM1183" s="15"/>
      <c r="BN1183" s="15"/>
      <c r="BO1183" s="16" t="s">
        <v>197</v>
      </c>
      <c r="BP1183" s="17" t="s">
        <v>198</v>
      </c>
      <c r="BQ1183" s="18">
        <v>45688.65888888889</v>
      </c>
      <c r="BR1183" s="17" t="s">
        <v>198</v>
      </c>
      <c r="BS1183" s="18">
        <v>45688.65887731482</v>
      </c>
      <c r="BT1183" s="17" t="s">
        <v>198</v>
      </c>
      <c r="BU1183" s="18">
        <v>45688.65888888889</v>
      </c>
      <c r="BV1183" s="13" t="s">
        <v>199</v>
      </c>
      <c r="BW1183" s="14" t="s">
        <v>179</v>
      </c>
      <c r="BX1183" s="14" t="s">
        <v>22690</v>
      </c>
      <c r="BY1183" s="14" t="s">
        <v>179</v>
      </c>
      <c r="BZ1183" s="14" t="s">
        <v>22691</v>
      </c>
      <c r="CA1183" s="14" t="s">
        <v>179</v>
      </c>
      <c r="CB1183" s="14" t="s">
        <v>22692</v>
      </c>
      <c r="CC1183" s="15"/>
      <c r="CD1183" s="15"/>
      <c r="CE1183" s="15"/>
      <c r="CF1183" s="15"/>
      <c r="CG1183" s="19"/>
      <c r="CH1183" s="15"/>
      <c r="CI1183" s="19"/>
      <c r="CJ1183" s="15"/>
      <c r="CK1183" s="19"/>
      <c r="CL1183" s="15"/>
      <c r="CM1183" s="19"/>
      <c r="CN1183" s="15"/>
      <c r="CO1183" s="19"/>
      <c r="CP1183" s="15"/>
      <c r="CQ1183" s="15"/>
      <c r="CR1183" s="15"/>
      <c r="CS1183" s="19"/>
      <c r="CT1183" s="15"/>
      <c r="CU1183" s="19"/>
      <c r="CV1183" s="15"/>
      <c r="CW1183" s="19"/>
      <c r="CX1183" s="15"/>
      <c r="CY1183" s="19"/>
      <c r="CZ1183" s="15"/>
      <c r="DA1183" s="16" t="s">
        <v>197</v>
      </c>
      <c r="DB1183" s="17" t="s">
        <v>228</v>
      </c>
      <c r="DC1183" s="16"/>
      <c r="DD1183" s="17" t="s">
        <v>198</v>
      </c>
      <c r="DE1183" s="18">
        <v>45692.631273148145</v>
      </c>
      <c r="DF1183" s="17" t="s">
        <v>198</v>
      </c>
      <c r="DG1183" s="18">
        <v>45692.631273148145</v>
      </c>
      <c r="DH1183" s="13" t="s">
        <v>205</v>
      </c>
      <c r="DI1183" s="14" t="s">
        <v>179</v>
      </c>
      <c r="DJ1183" s="14" t="s">
        <v>22693</v>
      </c>
      <c r="DK1183" s="14" t="s">
        <v>179</v>
      </c>
      <c r="DL1183" s="14" t="s">
        <v>22694</v>
      </c>
      <c r="DM1183" s="15"/>
      <c r="DN1183" s="15"/>
      <c r="DO1183" s="15"/>
      <c r="DP1183" s="15"/>
      <c r="DQ1183" s="15"/>
      <c r="DR1183" s="15"/>
      <c r="DS1183" s="15"/>
      <c r="DT1183" s="15"/>
      <c r="DU1183" s="15"/>
      <c r="DV1183" s="15"/>
      <c r="DW1183" s="15"/>
      <c r="DX1183" s="15"/>
      <c r="DY1183" s="15"/>
      <c r="DZ1183" s="15"/>
      <c r="EA1183" s="15"/>
      <c r="EB1183" s="15"/>
      <c r="EC1183" s="16" t="s">
        <v>197</v>
      </c>
      <c r="ED1183" s="17" t="s">
        <v>198</v>
      </c>
      <c r="EE1183" s="18">
        <v>45692.631377314814</v>
      </c>
      <c r="EF1183" s="13" t="s">
        <v>209</v>
      </c>
      <c r="EG1183" s="14" t="s">
        <v>179</v>
      </c>
      <c r="EH1183" s="14" t="s">
        <v>22695</v>
      </c>
      <c r="EI1183" s="14" t="s">
        <v>179</v>
      </c>
      <c r="EJ1183" s="14" t="s">
        <v>22696</v>
      </c>
      <c r="EK1183" s="15"/>
      <c r="EL1183" s="15"/>
      <c r="EM1183" s="15"/>
      <c r="EN1183" s="15"/>
      <c r="EO1183" s="15"/>
      <c r="EP1183" s="15"/>
      <c r="EQ1183" s="15"/>
      <c r="ER1183" s="15"/>
      <c r="ES1183" s="15"/>
      <c r="ET1183" s="15"/>
      <c r="EU1183" s="15"/>
      <c r="EV1183" s="15"/>
      <c r="EW1183" s="15"/>
      <c r="EX1183" s="15"/>
      <c r="EY1183" s="15"/>
      <c r="EZ1183" s="15"/>
      <c r="FA1183" s="15"/>
      <c r="FB1183" s="15"/>
      <c r="FC1183" s="16" t="s">
        <v>197</v>
      </c>
      <c r="FD1183" s="17" t="s">
        <v>198</v>
      </c>
      <c r="FE1183" s="18">
        <v>45707.49644675926</v>
      </c>
      <c r="FF1183" s="19"/>
      <c r="FG1183" s="19"/>
      <c r="FH1183" s="21" t="s">
        <v>197</v>
      </c>
      <c r="FI1183" s="17" t="s">
        <v>214</v>
      </c>
      <c r="FJ1183" s="18">
        <v>45707.49644675926</v>
      </c>
      <c r="FK1183" s="14" t="s">
        <v>22696</v>
      </c>
      <c r="FL1183" s="19"/>
      <c r="FM1183" s="19"/>
      <c r="FN1183" s="19"/>
      <c r="FO1183" s="19"/>
      <c r="FP1183" s="19" t="str">
        <f t="shared" si="1"/>
        <v/>
      </c>
      <c r="FQ1183" s="14" t="s">
        <v>215</v>
      </c>
      <c r="FR1183" s="14" t="s">
        <v>22697</v>
      </c>
    </row>
    <row r="1184" ht="15.75" customHeight="1">
      <c r="A1184" s="32" t="s">
        <v>1099</v>
      </c>
      <c r="B1184" s="32" t="s">
        <v>1359</v>
      </c>
      <c r="C1184" s="33" t="s">
        <v>375</v>
      </c>
      <c r="D1184" s="32" t="s">
        <v>22698</v>
      </c>
      <c r="E1184" s="32" t="s">
        <v>22699</v>
      </c>
      <c r="F1184" s="34" t="s">
        <v>178</v>
      </c>
      <c r="G1184" s="35" t="s">
        <v>179</v>
      </c>
      <c r="H1184" s="35" t="s">
        <v>22700</v>
      </c>
      <c r="I1184" s="35" t="s">
        <v>179</v>
      </c>
      <c r="J1184" s="35" t="s">
        <v>22701</v>
      </c>
      <c r="K1184" s="35" t="s">
        <v>179</v>
      </c>
      <c r="L1184" s="35" t="s">
        <v>22702</v>
      </c>
      <c r="M1184" s="35" t="s">
        <v>179</v>
      </c>
      <c r="N1184" s="35" t="s">
        <v>22703</v>
      </c>
      <c r="O1184" s="36"/>
      <c r="P1184" s="36"/>
      <c r="Q1184" s="36"/>
      <c r="R1184" s="36"/>
      <c r="S1184" s="36"/>
      <c r="T1184" s="36"/>
      <c r="U1184" s="36"/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  <c r="AV1184" s="36"/>
      <c r="AW1184" s="36"/>
      <c r="AX1184" s="36"/>
      <c r="AY1184" s="36"/>
      <c r="AZ1184" s="36"/>
      <c r="BA1184" s="36"/>
      <c r="BB1184" s="36"/>
      <c r="BC1184" s="36"/>
      <c r="BD1184" s="36"/>
      <c r="BE1184" s="36"/>
      <c r="BF1184" s="36"/>
      <c r="BG1184" s="36"/>
      <c r="BH1184" s="36"/>
      <c r="BI1184" s="36"/>
      <c r="BJ1184" s="36"/>
      <c r="BK1184" s="36"/>
      <c r="BL1184" s="36"/>
      <c r="BM1184" s="36"/>
      <c r="BN1184" s="36"/>
      <c r="BO1184" s="37" t="s">
        <v>197</v>
      </c>
      <c r="BP1184" s="37" t="s">
        <v>198</v>
      </c>
      <c r="BQ1184" s="38">
        <v>45719.64524305556</v>
      </c>
      <c r="BR1184" s="37" t="s">
        <v>198</v>
      </c>
      <c r="BS1184" s="38">
        <v>45719.64527777778</v>
      </c>
      <c r="BT1184" s="37" t="s">
        <v>198</v>
      </c>
      <c r="BU1184" s="38">
        <v>45719.64527777778</v>
      </c>
      <c r="BV1184" s="34" t="s">
        <v>199</v>
      </c>
      <c r="BW1184" s="35" t="s">
        <v>179</v>
      </c>
      <c r="BX1184" s="35" t="s">
        <v>22704</v>
      </c>
      <c r="BY1184" s="35" t="s">
        <v>179</v>
      </c>
      <c r="BZ1184" s="35" t="s">
        <v>22705</v>
      </c>
      <c r="CA1184" s="35" t="s">
        <v>179</v>
      </c>
      <c r="CB1184" s="35" t="s">
        <v>22706</v>
      </c>
      <c r="CC1184" s="36"/>
      <c r="CD1184" s="36"/>
      <c r="CE1184" s="36"/>
      <c r="CF1184" s="36"/>
      <c r="CG1184" s="39"/>
      <c r="CH1184" s="36"/>
      <c r="CI1184" s="39"/>
      <c r="CJ1184" s="36"/>
      <c r="CK1184" s="39"/>
      <c r="CL1184" s="36"/>
      <c r="CM1184" s="39"/>
      <c r="CN1184" s="36"/>
      <c r="CO1184" s="39"/>
      <c r="CP1184" s="36"/>
      <c r="CQ1184" s="36"/>
      <c r="CR1184" s="36"/>
      <c r="CS1184" s="39"/>
      <c r="CT1184" s="36"/>
      <c r="CU1184" s="39"/>
      <c r="CV1184" s="36"/>
      <c r="CW1184" s="39"/>
      <c r="CX1184" s="36"/>
      <c r="CY1184" s="39"/>
      <c r="CZ1184" s="36"/>
      <c r="DA1184" s="37" t="s">
        <v>197</v>
      </c>
      <c r="DB1184" s="37" t="s">
        <v>228</v>
      </c>
      <c r="DC1184" s="40"/>
      <c r="DD1184" s="37" t="s">
        <v>198</v>
      </c>
      <c r="DE1184" s="38">
        <v>45719.64533564815</v>
      </c>
      <c r="DF1184" s="37" t="s">
        <v>198</v>
      </c>
      <c r="DG1184" s="38">
        <v>45719.64533564815</v>
      </c>
      <c r="DH1184" s="34" t="s">
        <v>205</v>
      </c>
      <c r="DI1184" s="35" t="s">
        <v>179</v>
      </c>
      <c r="DJ1184" s="35" t="s">
        <v>22707</v>
      </c>
      <c r="DK1184" s="35" t="s">
        <v>179</v>
      </c>
      <c r="DL1184" s="35" t="s">
        <v>22708</v>
      </c>
      <c r="DM1184" s="36"/>
      <c r="DN1184" s="36"/>
      <c r="DO1184" s="36"/>
      <c r="DP1184" s="36"/>
      <c r="DQ1184" s="36"/>
      <c r="DR1184" s="36"/>
      <c r="DS1184" s="36"/>
      <c r="DT1184" s="36"/>
      <c r="DU1184" s="36"/>
      <c r="DV1184" s="36"/>
      <c r="DW1184" s="36"/>
      <c r="DX1184" s="36"/>
      <c r="DY1184" s="36"/>
      <c r="DZ1184" s="36"/>
      <c r="EA1184" s="36"/>
      <c r="EB1184" s="36"/>
      <c r="EC1184" s="37" t="s">
        <v>197</v>
      </c>
      <c r="ED1184" s="37" t="s">
        <v>198</v>
      </c>
      <c r="EE1184" s="38">
        <v>45719.645416666666</v>
      </c>
      <c r="EF1184" s="34" t="s">
        <v>209</v>
      </c>
      <c r="EG1184" s="35" t="s">
        <v>179</v>
      </c>
      <c r="EH1184" s="35" t="s">
        <v>22709</v>
      </c>
      <c r="EI1184" s="35" t="s">
        <v>179</v>
      </c>
      <c r="EJ1184" s="35" t="s">
        <v>22709</v>
      </c>
      <c r="EK1184" s="36"/>
      <c r="EL1184" s="36"/>
      <c r="EM1184" s="36"/>
      <c r="EN1184" s="36"/>
      <c r="EO1184" s="36"/>
      <c r="EP1184" s="36"/>
      <c r="EQ1184" s="36"/>
      <c r="ER1184" s="36"/>
      <c r="ES1184" s="36"/>
      <c r="ET1184" s="36"/>
      <c r="EU1184" s="36"/>
      <c r="EV1184" s="36"/>
      <c r="EW1184" s="36"/>
      <c r="EX1184" s="36"/>
      <c r="EY1184" s="36"/>
      <c r="EZ1184" s="36"/>
      <c r="FA1184" s="36"/>
      <c r="FB1184" s="36"/>
      <c r="FC1184" s="37" t="s">
        <v>197</v>
      </c>
      <c r="FD1184" s="37" t="s">
        <v>198</v>
      </c>
      <c r="FE1184" s="38">
        <v>45723.26565972222</v>
      </c>
      <c r="FF1184" s="39"/>
      <c r="FG1184" s="39"/>
      <c r="FH1184" s="37" t="s">
        <v>197</v>
      </c>
      <c r="FI1184" s="37" t="s">
        <v>214</v>
      </c>
      <c r="FJ1184" s="38">
        <v>45723.26565972222</v>
      </c>
      <c r="FK1184" s="35" t="s">
        <v>22709</v>
      </c>
      <c r="FL1184" s="35" t="s">
        <v>22710</v>
      </c>
      <c r="FM1184" s="35" t="s">
        <v>22711</v>
      </c>
      <c r="FN1184" s="39"/>
      <c r="FO1184" s="39"/>
      <c r="FP1184" s="39" t="str">
        <f t="shared" si="1"/>
        <v>Base de Dados_Images/PIT20008.Imagem do Equipamento-.193239.jpg</v>
      </c>
      <c r="FQ1184" s="35"/>
      <c r="FR1184" s="35"/>
    </row>
    <row r="1185" ht="15.75" customHeight="1">
      <c r="A1185" s="32" t="s">
        <v>217</v>
      </c>
      <c r="B1185" s="32" t="s">
        <v>22712</v>
      </c>
      <c r="C1185" s="33" t="s">
        <v>294</v>
      </c>
      <c r="D1185" s="32" t="s">
        <v>22713</v>
      </c>
      <c r="E1185" s="32" t="s">
        <v>22714</v>
      </c>
      <c r="F1185" s="34" t="s">
        <v>178</v>
      </c>
      <c r="G1185" s="35" t="s">
        <v>179</v>
      </c>
      <c r="H1185" s="35" t="s">
        <v>22715</v>
      </c>
      <c r="I1185" s="35" t="s">
        <v>179</v>
      </c>
      <c r="J1185" s="35" t="s">
        <v>22716</v>
      </c>
      <c r="K1185" s="35" t="s">
        <v>179</v>
      </c>
      <c r="L1185" s="35" t="s">
        <v>22717</v>
      </c>
      <c r="M1185" s="35" t="s">
        <v>179</v>
      </c>
      <c r="N1185" s="35" t="s">
        <v>22718</v>
      </c>
      <c r="O1185" s="35" t="s">
        <v>179</v>
      </c>
      <c r="P1185" s="35" t="s">
        <v>22719</v>
      </c>
      <c r="Q1185" s="35" t="s">
        <v>179</v>
      </c>
      <c r="R1185" s="35" t="s">
        <v>22719</v>
      </c>
      <c r="S1185" s="35" t="s">
        <v>179</v>
      </c>
      <c r="T1185" s="35" t="s">
        <v>22720</v>
      </c>
      <c r="U1185" s="35" t="s">
        <v>179</v>
      </c>
      <c r="V1185" s="35" t="s">
        <v>22720</v>
      </c>
      <c r="W1185" s="35" t="s">
        <v>179</v>
      </c>
      <c r="X1185" s="35" t="s">
        <v>22721</v>
      </c>
      <c r="Y1185" s="35" t="s">
        <v>179</v>
      </c>
      <c r="Z1185" s="35" t="s">
        <v>22721</v>
      </c>
      <c r="AA1185" s="35" t="s">
        <v>179</v>
      </c>
      <c r="AB1185" s="35" t="s">
        <v>22722</v>
      </c>
      <c r="AC1185" s="35" t="s">
        <v>179</v>
      </c>
      <c r="AD1185" s="35" t="s">
        <v>22723</v>
      </c>
      <c r="AE1185" s="35" t="s">
        <v>179</v>
      </c>
      <c r="AF1185" s="35" t="s">
        <v>22724</v>
      </c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  <c r="AW1185" s="36"/>
      <c r="AX1185" s="36"/>
      <c r="AY1185" s="36"/>
      <c r="AZ1185" s="36"/>
      <c r="BA1185" s="36"/>
      <c r="BB1185" s="36"/>
      <c r="BC1185" s="36"/>
      <c r="BD1185" s="36"/>
      <c r="BE1185" s="36"/>
      <c r="BF1185" s="36"/>
      <c r="BG1185" s="36"/>
      <c r="BH1185" s="36"/>
      <c r="BI1185" s="36"/>
      <c r="BJ1185" s="36"/>
      <c r="BK1185" s="36"/>
      <c r="BL1185" s="36"/>
      <c r="BM1185" s="36"/>
      <c r="BN1185" s="36"/>
      <c r="BO1185" s="37" t="s">
        <v>197</v>
      </c>
      <c r="BP1185" s="37" t="s">
        <v>198</v>
      </c>
      <c r="BQ1185" s="38">
        <v>45723.4780787037</v>
      </c>
      <c r="BR1185" s="37" t="s">
        <v>198</v>
      </c>
      <c r="BS1185" s="38">
        <v>45723.47814814815</v>
      </c>
      <c r="BT1185" s="37" t="s">
        <v>198</v>
      </c>
      <c r="BU1185" s="38">
        <v>45723.47814814815</v>
      </c>
      <c r="BV1185" s="34" t="s">
        <v>199</v>
      </c>
      <c r="BW1185" s="35" t="s">
        <v>179</v>
      </c>
      <c r="BX1185" s="35" t="s">
        <v>22725</v>
      </c>
      <c r="BY1185" s="35" t="s">
        <v>179</v>
      </c>
      <c r="BZ1185" s="35" t="s">
        <v>22726</v>
      </c>
      <c r="CA1185" s="35" t="s">
        <v>179</v>
      </c>
      <c r="CB1185" s="35" t="s">
        <v>22727</v>
      </c>
      <c r="CC1185" s="35" t="s">
        <v>179</v>
      </c>
      <c r="CD1185" s="35" t="s">
        <v>22728</v>
      </c>
      <c r="CE1185" s="36"/>
      <c r="CF1185" s="36"/>
      <c r="CG1185" s="39"/>
      <c r="CH1185" s="36"/>
      <c r="CI1185" s="39"/>
      <c r="CJ1185" s="36"/>
      <c r="CK1185" s="39"/>
      <c r="CL1185" s="36"/>
      <c r="CM1185" s="39"/>
      <c r="CN1185" s="36"/>
      <c r="CO1185" s="39"/>
      <c r="CP1185" s="36"/>
      <c r="CQ1185" s="36"/>
      <c r="CR1185" s="36"/>
      <c r="CS1185" s="39"/>
      <c r="CT1185" s="36"/>
      <c r="CU1185" s="39"/>
      <c r="CV1185" s="36"/>
      <c r="CW1185" s="39"/>
      <c r="CX1185" s="36"/>
      <c r="CY1185" s="39"/>
      <c r="CZ1185" s="36"/>
      <c r="DA1185" s="37" t="s">
        <v>197</v>
      </c>
      <c r="DB1185" s="37" t="s">
        <v>198</v>
      </c>
      <c r="DC1185" s="41">
        <v>45724.492002314815</v>
      </c>
      <c r="DD1185" s="37" t="s">
        <v>198</v>
      </c>
      <c r="DE1185" s="38">
        <v>45724.49207175926</v>
      </c>
      <c r="DF1185" s="37" t="s">
        <v>198</v>
      </c>
      <c r="DG1185" s="38">
        <v>45724.49207175926</v>
      </c>
      <c r="DH1185" s="34" t="s">
        <v>205</v>
      </c>
      <c r="DI1185" s="35" t="s">
        <v>179</v>
      </c>
      <c r="DJ1185" s="35" t="s">
        <v>22729</v>
      </c>
      <c r="DK1185" s="35" t="s">
        <v>179</v>
      </c>
      <c r="DL1185" s="35" t="s">
        <v>22730</v>
      </c>
      <c r="DM1185" s="35" t="s">
        <v>179</v>
      </c>
      <c r="DN1185" s="35" t="s">
        <v>22731</v>
      </c>
      <c r="DO1185" s="35" t="s">
        <v>179</v>
      </c>
      <c r="DP1185" s="35" t="s">
        <v>22732</v>
      </c>
      <c r="DQ1185" s="35" t="s">
        <v>179</v>
      </c>
      <c r="DR1185" s="35" t="s">
        <v>22733</v>
      </c>
      <c r="DS1185" s="36"/>
      <c r="DT1185" s="36"/>
      <c r="DU1185" s="36"/>
      <c r="DV1185" s="36"/>
      <c r="DW1185" s="36"/>
      <c r="DX1185" s="36"/>
      <c r="DY1185" s="36"/>
      <c r="DZ1185" s="36"/>
      <c r="EA1185" s="36"/>
      <c r="EB1185" s="36"/>
      <c r="EC1185" s="37" t="s">
        <v>197</v>
      </c>
      <c r="ED1185" s="37" t="s">
        <v>198</v>
      </c>
      <c r="EE1185" s="38">
        <v>45724.49747685185</v>
      </c>
      <c r="EF1185" s="34" t="s">
        <v>209</v>
      </c>
      <c r="EG1185" s="35" t="s">
        <v>179</v>
      </c>
      <c r="EH1185" s="35" t="s">
        <v>22734</v>
      </c>
      <c r="EI1185" s="35" t="s">
        <v>179</v>
      </c>
      <c r="EJ1185" s="35" t="s">
        <v>22735</v>
      </c>
      <c r="EK1185" s="35" t="s">
        <v>179</v>
      </c>
      <c r="EL1185" s="35" t="s">
        <v>22735</v>
      </c>
      <c r="EM1185" s="35" t="s">
        <v>179</v>
      </c>
      <c r="EN1185" s="35" t="s">
        <v>22736</v>
      </c>
      <c r="EO1185" s="36"/>
      <c r="EP1185" s="36"/>
      <c r="EQ1185" s="36"/>
      <c r="ER1185" s="36"/>
      <c r="ES1185" s="36"/>
      <c r="ET1185" s="36"/>
      <c r="EU1185" s="36"/>
      <c r="EV1185" s="36"/>
      <c r="EW1185" s="36"/>
      <c r="EX1185" s="36"/>
      <c r="EY1185" s="36"/>
      <c r="EZ1185" s="36"/>
      <c r="FA1185" s="36"/>
      <c r="FB1185" s="36"/>
      <c r="FC1185" s="37" t="s">
        <v>197</v>
      </c>
      <c r="FD1185" s="37" t="s">
        <v>198</v>
      </c>
      <c r="FE1185" s="38">
        <v>45724.587372685186</v>
      </c>
      <c r="FF1185" s="39"/>
      <c r="FG1185" s="39"/>
      <c r="FH1185" s="37" t="s">
        <v>197</v>
      </c>
      <c r="FI1185" s="37" t="s">
        <v>214</v>
      </c>
      <c r="FJ1185" s="38">
        <v>45724.587372685186</v>
      </c>
      <c r="FK1185" s="35" t="s">
        <v>22736</v>
      </c>
      <c r="FL1185" s="35"/>
      <c r="FM1185" s="35"/>
      <c r="FN1185" s="39"/>
      <c r="FO1185" s="39"/>
      <c r="FP1185" s="39" t="str">
        <f t="shared" si="1"/>
        <v/>
      </c>
      <c r="FQ1185" s="35" t="s">
        <v>215</v>
      </c>
      <c r="FR1185" s="35" t="s">
        <v>22737</v>
      </c>
    </row>
    <row r="1186" ht="15.75" customHeight="1">
      <c r="A1186" s="32" t="s">
        <v>217</v>
      </c>
      <c r="B1186" s="32" t="s">
        <v>22738</v>
      </c>
      <c r="C1186" s="33" t="s">
        <v>294</v>
      </c>
      <c r="D1186" s="32" t="s">
        <v>22739</v>
      </c>
      <c r="E1186" s="32" t="s">
        <v>22740</v>
      </c>
      <c r="F1186" s="34" t="s">
        <v>178</v>
      </c>
      <c r="G1186" s="35" t="s">
        <v>179</v>
      </c>
      <c r="H1186" s="35" t="s">
        <v>22741</v>
      </c>
      <c r="I1186" s="35" t="s">
        <v>179</v>
      </c>
      <c r="J1186" s="35" t="s">
        <v>22741</v>
      </c>
      <c r="K1186" s="35" t="s">
        <v>179</v>
      </c>
      <c r="L1186" s="35" t="s">
        <v>22742</v>
      </c>
      <c r="M1186" s="35" t="s">
        <v>179</v>
      </c>
      <c r="N1186" s="35" t="s">
        <v>22742</v>
      </c>
      <c r="O1186" s="35" t="s">
        <v>179</v>
      </c>
      <c r="P1186" s="35" t="s">
        <v>22743</v>
      </c>
      <c r="Q1186" s="35" t="s">
        <v>179</v>
      </c>
      <c r="R1186" s="35" t="s">
        <v>22744</v>
      </c>
      <c r="S1186" s="35" t="s">
        <v>179</v>
      </c>
      <c r="T1186" s="35" t="s">
        <v>22745</v>
      </c>
      <c r="U1186" s="35" t="s">
        <v>179</v>
      </c>
      <c r="V1186" s="35" t="s">
        <v>22746</v>
      </c>
      <c r="W1186" s="35" t="s">
        <v>179</v>
      </c>
      <c r="X1186" s="35" t="s">
        <v>22747</v>
      </c>
      <c r="Y1186" s="35" t="s">
        <v>179</v>
      </c>
      <c r="Z1186" s="35" t="s">
        <v>22748</v>
      </c>
      <c r="AA1186" s="35" t="s">
        <v>179</v>
      </c>
      <c r="AB1186" s="35" t="s">
        <v>22749</v>
      </c>
      <c r="AC1186" s="35" t="s">
        <v>179</v>
      </c>
      <c r="AD1186" s="35" t="s">
        <v>22750</v>
      </c>
      <c r="AE1186" s="35" t="s">
        <v>179</v>
      </c>
      <c r="AF1186" s="35" t="s">
        <v>22751</v>
      </c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  <c r="AW1186" s="36"/>
      <c r="AX1186" s="36"/>
      <c r="AY1186" s="36"/>
      <c r="AZ1186" s="36"/>
      <c r="BA1186" s="36"/>
      <c r="BB1186" s="36"/>
      <c r="BC1186" s="36"/>
      <c r="BD1186" s="36"/>
      <c r="BE1186" s="36"/>
      <c r="BF1186" s="36"/>
      <c r="BG1186" s="36"/>
      <c r="BH1186" s="36"/>
      <c r="BI1186" s="36"/>
      <c r="BJ1186" s="36"/>
      <c r="BK1186" s="36"/>
      <c r="BL1186" s="36"/>
      <c r="BM1186" s="36"/>
      <c r="BN1186" s="36"/>
      <c r="BO1186" s="37" t="s">
        <v>197</v>
      </c>
      <c r="BP1186" s="37" t="s">
        <v>198</v>
      </c>
      <c r="BQ1186" s="38">
        <v>45723.4783912037</v>
      </c>
      <c r="BR1186" s="37" t="s">
        <v>198</v>
      </c>
      <c r="BS1186" s="38">
        <v>45723.478472222225</v>
      </c>
      <c r="BT1186" s="37" t="s">
        <v>198</v>
      </c>
      <c r="BU1186" s="38">
        <v>45723.478472222225</v>
      </c>
      <c r="BV1186" s="34" t="s">
        <v>199</v>
      </c>
      <c r="BW1186" s="35" t="s">
        <v>179</v>
      </c>
      <c r="BX1186" s="35" t="s">
        <v>22752</v>
      </c>
      <c r="BY1186" s="35" t="s">
        <v>179</v>
      </c>
      <c r="BZ1186" s="35" t="s">
        <v>22753</v>
      </c>
      <c r="CA1186" s="35" t="s">
        <v>179</v>
      </c>
      <c r="CB1186" s="35" t="s">
        <v>22754</v>
      </c>
      <c r="CC1186" s="35" t="s">
        <v>179</v>
      </c>
      <c r="CD1186" s="35" t="s">
        <v>22755</v>
      </c>
      <c r="CE1186" s="36"/>
      <c r="CF1186" s="36"/>
      <c r="CG1186" s="39"/>
      <c r="CH1186" s="36"/>
      <c r="CI1186" s="39"/>
      <c r="CJ1186" s="36"/>
      <c r="CK1186" s="39"/>
      <c r="CL1186" s="36"/>
      <c r="CM1186" s="39"/>
      <c r="CN1186" s="36"/>
      <c r="CO1186" s="39"/>
      <c r="CP1186" s="36"/>
      <c r="CQ1186" s="36"/>
      <c r="CR1186" s="36"/>
      <c r="CS1186" s="39"/>
      <c r="CT1186" s="36"/>
      <c r="CU1186" s="39"/>
      <c r="CV1186" s="36"/>
      <c r="CW1186" s="39"/>
      <c r="CX1186" s="36"/>
      <c r="CY1186" s="39"/>
      <c r="CZ1186" s="36"/>
      <c r="DA1186" s="37" t="s">
        <v>197</v>
      </c>
      <c r="DB1186" s="37" t="s">
        <v>198</v>
      </c>
      <c r="DC1186" s="41">
        <v>45724.49230324074</v>
      </c>
      <c r="DD1186" s="37" t="s">
        <v>198</v>
      </c>
      <c r="DE1186" s="38">
        <v>45724.49236111111</v>
      </c>
      <c r="DF1186" s="37" t="s">
        <v>198</v>
      </c>
      <c r="DG1186" s="38">
        <v>45724.49236111111</v>
      </c>
      <c r="DH1186" s="34" t="s">
        <v>205</v>
      </c>
      <c r="DI1186" s="35" t="s">
        <v>179</v>
      </c>
      <c r="DJ1186" s="35" t="s">
        <v>22756</v>
      </c>
      <c r="DK1186" s="35" t="s">
        <v>179</v>
      </c>
      <c r="DL1186" s="35" t="s">
        <v>22757</v>
      </c>
      <c r="DM1186" s="35" t="s">
        <v>179</v>
      </c>
      <c r="DN1186" s="35" t="s">
        <v>22758</v>
      </c>
      <c r="DO1186" s="35" t="s">
        <v>179</v>
      </c>
      <c r="DP1186" s="35" t="s">
        <v>22759</v>
      </c>
      <c r="DQ1186" s="35" t="s">
        <v>179</v>
      </c>
      <c r="DR1186" s="35" t="s">
        <v>22760</v>
      </c>
      <c r="DS1186" s="36"/>
      <c r="DT1186" s="36"/>
      <c r="DU1186" s="36"/>
      <c r="DV1186" s="36"/>
      <c r="DW1186" s="36"/>
      <c r="DX1186" s="36"/>
      <c r="DY1186" s="36"/>
      <c r="DZ1186" s="36"/>
      <c r="EA1186" s="36"/>
      <c r="EB1186" s="36"/>
      <c r="EC1186" s="37" t="s">
        <v>197</v>
      </c>
      <c r="ED1186" s="37" t="s">
        <v>198</v>
      </c>
      <c r="EE1186" s="38">
        <v>45724.49763888889</v>
      </c>
      <c r="EF1186" s="34" t="s">
        <v>209</v>
      </c>
      <c r="EG1186" s="35" t="s">
        <v>179</v>
      </c>
      <c r="EH1186" s="35" t="s">
        <v>22761</v>
      </c>
      <c r="EI1186" s="35" t="s">
        <v>179</v>
      </c>
      <c r="EJ1186" s="35" t="s">
        <v>22762</v>
      </c>
      <c r="EK1186" s="35" t="s">
        <v>179</v>
      </c>
      <c r="EL1186" s="35" t="s">
        <v>22763</v>
      </c>
      <c r="EM1186" s="35" t="s">
        <v>179</v>
      </c>
      <c r="EN1186" s="35" t="s">
        <v>22763</v>
      </c>
      <c r="EO1186" s="36"/>
      <c r="EP1186" s="36"/>
      <c r="EQ1186" s="36"/>
      <c r="ER1186" s="36"/>
      <c r="ES1186" s="36"/>
      <c r="ET1186" s="36"/>
      <c r="EU1186" s="36"/>
      <c r="EV1186" s="36"/>
      <c r="EW1186" s="36"/>
      <c r="EX1186" s="36"/>
      <c r="EY1186" s="36"/>
      <c r="EZ1186" s="36"/>
      <c r="FA1186" s="36"/>
      <c r="FB1186" s="36"/>
      <c r="FC1186" s="37" t="s">
        <v>197</v>
      </c>
      <c r="FD1186" s="37" t="s">
        <v>198</v>
      </c>
      <c r="FE1186" s="38">
        <v>45724.587476851855</v>
      </c>
      <c r="FF1186" s="39"/>
      <c r="FG1186" s="39"/>
      <c r="FH1186" s="37" t="s">
        <v>197</v>
      </c>
      <c r="FI1186" s="37" t="s">
        <v>214</v>
      </c>
      <c r="FJ1186" s="38">
        <v>45724.587476851855</v>
      </c>
      <c r="FK1186" s="35" t="s">
        <v>22763</v>
      </c>
      <c r="FL1186" s="35"/>
      <c r="FM1186" s="35"/>
      <c r="FN1186" s="39"/>
      <c r="FO1186" s="39"/>
      <c r="FP1186" s="39" t="str">
        <f t="shared" si="1"/>
        <v/>
      </c>
      <c r="FQ1186" s="35" t="s">
        <v>215</v>
      </c>
      <c r="FR1186" s="35" t="s">
        <v>22764</v>
      </c>
    </row>
    <row r="1187" ht="15.75" customHeight="1">
      <c r="A1187" s="32" t="s">
        <v>217</v>
      </c>
      <c r="B1187" s="32" t="s">
        <v>22765</v>
      </c>
      <c r="C1187" s="33" t="s">
        <v>294</v>
      </c>
      <c r="D1187" s="32" t="s">
        <v>22766</v>
      </c>
      <c r="E1187" s="32" t="s">
        <v>22767</v>
      </c>
      <c r="F1187" s="34" t="s">
        <v>178</v>
      </c>
      <c r="G1187" s="35" t="s">
        <v>179</v>
      </c>
      <c r="H1187" s="35" t="s">
        <v>22768</v>
      </c>
      <c r="I1187" s="35" t="s">
        <v>179</v>
      </c>
      <c r="J1187" s="35" t="s">
        <v>22769</v>
      </c>
      <c r="K1187" s="35" t="s">
        <v>179</v>
      </c>
      <c r="L1187" s="35" t="s">
        <v>22770</v>
      </c>
      <c r="M1187" s="35" t="s">
        <v>179</v>
      </c>
      <c r="N1187" s="35" t="s">
        <v>22771</v>
      </c>
      <c r="O1187" s="35" t="s">
        <v>179</v>
      </c>
      <c r="P1187" s="35" t="s">
        <v>22772</v>
      </c>
      <c r="Q1187" s="35" t="s">
        <v>179</v>
      </c>
      <c r="R1187" s="35" t="s">
        <v>22773</v>
      </c>
      <c r="S1187" s="35" t="s">
        <v>179</v>
      </c>
      <c r="T1187" s="35" t="s">
        <v>22773</v>
      </c>
      <c r="U1187" s="35" t="s">
        <v>179</v>
      </c>
      <c r="V1187" s="35" t="s">
        <v>22774</v>
      </c>
      <c r="W1187" s="35" t="s">
        <v>179</v>
      </c>
      <c r="X1187" s="35" t="s">
        <v>22775</v>
      </c>
      <c r="Y1187" s="35" t="s">
        <v>179</v>
      </c>
      <c r="Z1187" s="35" t="s">
        <v>22775</v>
      </c>
      <c r="AA1187" s="35" t="s">
        <v>179</v>
      </c>
      <c r="AB1187" s="35" t="s">
        <v>22776</v>
      </c>
      <c r="AC1187" s="35" t="s">
        <v>179</v>
      </c>
      <c r="AD1187" s="35" t="s">
        <v>22776</v>
      </c>
      <c r="AE1187" s="35" t="s">
        <v>179</v>
      </c>
      <c r="AF1187" s="35" t="s">
        <v>22777</v>
      </c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  <c r="AV1187" s="36"/>
      <c r="AW1187" s="36"/>
      <c r="AX1187" s="36"/>
      <c r="AY1187" s="36"/>
      <c r="AZ1187" s="36"/>
      <c r="BA1187" s="36"/>
      <c r="BB1187" s="36"/>
      <c r="BC1187" s="36"/>
      <c r="BD1187" s="36"/>
      <c r="BE1187" s="36"/>
      <c r="BF1187" s="36"/>
      <c r="BG1187" s="36"/>
      <c r="BH1187" s="36"/>
      <c r="BI1187" s="36"/>
      <c r="BJ1187" s="36"/>
      <c r="BK1187" s="36"/>
      <c r="BL1187" s="36"/>
      <c r="BM1187" s="36"/>
      <c r="BN1187" s="36"/>
      <c r="BO1187" s="37" t="s">
        <v>197</v>
      </c>
      <c r="BP1187" s="37" t="s">
        <v>198</v>
      </c>
      <c r="BQ1187" s="38">
        <v>45723.4796412037</v>
      </c>
      <c r="BR1187" s="37" t="s">
        <v>198</v>
      </c>
      <c r="BS1187" s="38">
        <v>45723.47971064815</v>
      </c>
      <c r="BT1187" s="37" t="s">
        <v>198</v>
      </c>
      <c r="BU1187" s="38">
        <v>45723.47971064815</v>
      </c>
      <c r="BV1187" s="34" t="s">
        <v>199</v>
      </c>
      <c r="BW1187" s="35" t="s">
        <v>179</v>
      </c>
      <c r="BX1187" s="35" t="s">
        <v>22778</v>
      </c>
      <c r="BY1187" s="35" t="s">
        <v>179</v>
      </c>
      <c r="BZ1187" s="35" t="s">
        <v>22779</v>
      </c>
      <c r="CA1187" s="35" t="s">
        <v>179</v>
      </c>
      <c r="CB1187" s="35" t="s">
        <v>22780</v>
      </c>
      <c r="CC1187" s="35" t="s">
        <v>179</v>
      </c>
      <c r="CD1187" s="35" t="s">
        <v>22781</v>
      </c>
      <c r="CE1187" s="36"/>
      <c r="CF1187" s="36"/>
      <c r="CG1187" s="39"/>
      <c r="CH1187" s="36"/>
      <c r="CI1187" s="39"/>
      <c r="CJ1187" s="36"/>
      <c r="CK1187" s="39"/>
      <c r="CL1187" s="36"/>
      <c r="CM1187" s="39"/>
      <c r="CN1187" s="36"/>
      <c r="CO1187" s="39"/>
      <c r="CP1187" s="36"/>
      <c r="CQ1187" s="36"/>
      <c r="CR1187" s="36"/>
      <c r="CS1187" s="39"/>
      <c r="CT1187" s="36"/>
      <c r="CU1187" s="39"/>
      <c r="CV1187" s="36"/>
      <c r="CW1187" s="39"/>
      <c r="CX1187" s="36"/>
      <c r="CY1187" s="39"/>
      <c r="CZ1187" s="36"/>
      <c r="DA1187" s="37" t="s">
        <v>197</v>
      </c>
      <c r="DB1187" s="37" t="s">
        <v>198</v>
      </c>
      <c r="DC1187" s="41">
        <v>45724.49246527778</v>
      </c>
      <c r="DD1187" s="37" t="s">
        <v>198</v>
      </c>
      <c r="DE1187" s="38">
        <v>45724.49251157408</v>
      </c>
      <c r="DF1187" s="37" t="s">
        <v>198</v>
      </c>
      <c r="DG1187" s="38">
        <v>45724.49251157408</v>
      </c>
      <c r="DH1187" s="34" t="s">
        <v>205</v>
      </c>
      <c r="DI1187" s="35" t="s">
        <v>179</v>
      </c>
      <c r="DJ1187" s="35" t="s">
        <v>22782</v>
      </c>
      <c r="DK1187" s="35" t="s">
        <v>179</v>
      </c>
      <c r="DL1187" s="35" t="s">
        <v>22783</v>
      </c>
      <c r="DM1187" s="35" t="s">
        <v>179</v>
      </c>
      <c r="DN1187" s="35" t="s">
        <v>22784</v>
      </c>
      <c r="DO1187" s="35" t="s">
        <v>179</v>
      </c>
      <c r="DP1187" s="35" t="s">
        <v>22785</v>
      </c>
      <c r="DQ1187" s="35" t="s">
        <v>179</v>
      </c>
      <c r="DR1187" s="35" t="s">
        <v>22786</v>
      </c>
      <c r="DS1187" s="36"/>
      <c r="DT1187" s="36"/>
      <c r="DU1187" s="36"/>
      <c r="DV1187" s="36"/>
      <c r="DW1187" s="36"/>
      <c r="DX1187" s="36"/>
      <c r="DY1187" s="36"/>
      <c r="DZ1187" s="36"/>
      <c r="EA1187" s="36"/>
      <c r="EB1187" s="36"/>
      <c r="EC1187" s="37" t="s">
        <v>197</v>
      </c>
      <c r="ED1187" s="37" t="s">
        <v>198</v>
      </c>
      <c r="EE1187" s="38">
        <v>45724.497777777775</v>
      </c>
      <c r="EF1187" s="34" t="s">
        <v>209</v>
      </c>
      <c r="EG1187" s="35" t="s">
        <v>179</v>
      </c>
      <c r="EH1187" s="35" t="s">
        <v>22787</v>
      </c>
      <c r="EI1187" s="35" t="s">
        <v>179</v>
      </c>
      <c r="EJ1187" s="35" t="s">
        <v>22788</v>
      </c>
      <c r="EK1187" s="35" t="s">
        <v>179</v>
      </c>
      <c r="EL1187" s="35" t="s">
        <v>22788</v>
      </c>
      <c r="EM1187" s="35" t="s">
        <v>179</v>
      </c>
      <c r="EN1187" s="35" t="s">
        <v>22789</v>
      </c>
      <c r="EO1187" s="36"/>
      <c r="EP1187" s="36"/>
      <c r="EQ1187" s="36"/>
      <c r="ER1187" s="36"/>
      <c r="ES1187" s="36"/>
      <c r="ET1187" s="36"/>
      <c r="EU1187" s="36"/>
      <c r="EV1187" s="36"/>
      <c r="EW1187" s="36"/>
      <c r="EX1187" s="36"/>
      <c r="EY1187" s="36"/>
      <c r="EZ1187" s="36"/>
      <c r="FA1187" s="36"/>
      <c r="FB1187" s="36"/>
      <c r="FC1187" s="37" t="s">
        <v>197</v>
      </c>
      <c r="FD1187" s="37" t="s">
        <v>198</v>
      </c>
      <c r="FE1187" s="38">
        <v>45724.58758101852</v>
      </c>
      <c r="FF1187" s="39"/>
      <c r="FG1187" s="39"/>
      <c r="FH1187" s="37" t="s">
        <v>197</v>
      </c>
      <c r="FI1187" s="37" t="s">
        <v>214</v>
      </c>
      <c r="FJ1187" s="38">
        <v>45724.58758101852</v>
      </c>
      <c r="FK1187" s="35" t="s">
        <v>22789</v>
      </c>
      <c r="FL1187" s="35"/>
      <c r="FM1187" s="35"/>
      <c r="FN1187" s="39"/>
      <c r="FO1187" s="39"/>
      <c r="FP1187" s="39" t="str">
        <f t="shared" si="1"/>
        <v/>
      </c>
      <c r="FQ1187" s="35" t="s">
        <v>215</v>
      </c>
      <c r="FR1187" s="35" t="s">
        <v>22790</v>
      </c>
    </row>
  </sheetData>
  <conditionalFormatting sqref="D1:D1187">
    <cfRule type="expression" dxfId="0" priority="1">
      <formula>COUNTIF(D:D, D1)&gt;1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8.5"/>
    <col customWidth="1" min="3" max="3" width="6.63"/>
    <col customWidth="1" min="4" max="4" width="41.63"/>
    <col customWidth="1" min="5" max="5" width="46.25"/>
    <col customWidth="1" min="6" max="6" width="16.75"/>
    <col customWidth="1" min="7" max="7" width="33.0"/>
    <col customWidth="1" min="8" max="8" width="31.5"/>
    <col customWidth="1" min="9" max="9" width="119.75"/>
    <col customWidth="1" min="10" max="10" width="18.75"/>
    <col customWidth="1" min="11" max="14" width="22.0"/>
    <col customWidth="1" min="15" max="16" width="47.88"/>
    <col customWidth="1" min="17" max="18" width="11.25"/>
    <col customWidth="1" min="19" max="19" width="11.5"/>
    <col customWidth="1" min="20" max="21" width="60.5"/>
  </cols>
  <sheetData>
    <row r="1" ht="56.25" customHeight="1">
      <c r="A1" s="42" t="s">
        <v>22791</v>
      </c>
      <c r="B1" s="43" t="s">
        <v>22792</v>
      </c>
      <c r="C1" s="44" t="s">
        <v>22793</v>
      </c>
      <c r="D1" s="44" t="s">
        <v>0</v>
      </c>
      <c r="E1" s="44" t="s">
        <v>1</v>
      </c>
      <c r="F1" s="44" t="s">
        <v>3</v>
      </c>
      <c r="G1" s="45" t="s">
        <v>2</v>
      </c>
      <c r="H1" s="44" t="s">
        <v>22794</v>
      </c>
      <c r="I1" s="42" t="s">
        <v>22795</v>
      </c>
      <c r="J1" s="42" t="s">
        <v>22796</v>
      </c>
      <c r="K1" s="43" t="s">
        <v>22797</v>
      </c>
      <c r="L1" s="43" t="s">
        <v>22798</v>
      </c>
      <c r="M1" s="43" t="s">
        <v>22799</v>
      </c>
      <c r="N1" s="43" t="s">
        <v>22800</v>
      </c>
      <c r="O1" s="42" t="s">
        <v>22801</v>
      </c>
      <c r="P1" s="42" t="s">
        <v>22802</v>
      </c>
      <c r="Q1" s="42" t="s">
        <v>22803</v>
      </c>
      <c r="R1" s="43" t="s">
        <v>22804</v>
      </c>
      <c r="S1" s="42" t="s">
        <v>22805</v>
      </c>
      <c r="T1" s="42" t="s">
        <v>22806</v>
      </c>
      <c r="U1" s="42" t="s">
        <v>22807</v>
      </c>
    </row>
    <row r="2">
      <c r="A2" s="46" t="s">
        <v>22808</v>
      </c>
      <c r="B2" s="46" t="s">
        <v>22809</v>
      </c>
      <c r="C2" s="46"/>
      <c r="D2" s="46" t="s">
        <v>234</v>
      </c>
      <c r="E2" s="46" t="s">
        <v>22810</v>
      </c>
      <c r="F2" s="46" t="s">
        <v>22154</v>
      </c>
      <c r="G2" s="46" t="s">
        <v>15119</v>
      </c>
      <c r="H2" s="46" t="s">
        <v>178</v>
      </c>
      <c r="I2" s="46" t="s">
        <v>22811</v>
      </c>
      <c r="J2" s="46" t="s">
        <v>22812</v>
      </c>
      <c r="K2" s="46" t="s">
        <v>22813</v>
      </c>
      <c r="L2" s="46" t="s">
        <v>22814</v>
      </c>
      <c r="M2" s="46"/>
      <c r="N2" s="46"/>
      <c r="O2" s="46" t="s">
        <v>22815</v>
      </c>
      <c r="P2" s="46"/>
      <c r="Q2" s="46" t="s">
        <v>22816</v>
      </c>
      <c r="R2" s="46" t="s">
        <v>22817</v>
      </c>
      <c r="S2" s="46" t="s">
        <v>22818</v>
      </c>
      <c r="T2" s="46"/>
      <c r="U2" s="46"/>
    </row>
    <row r="3">
      <c r="A3" s="46" t="s">
        <v>22819</v>
      </c>
      <c r="B3" s="46" t="s">
        <v>22820</v>
      </c>
      <c r="C3" s="46"/>
      <c r="D3" s="46" t="s">
        <v>234</v>
      </c>
      <c r="E3" s="46" t="s">
        <v>22223</v>
      </c>
      <c r="F3" s="46" t="s">
        <v>22224</v>
      </c>
      <c r="G3" s="46" t="s">
        <v>15119</v>
      </c>
      <c r="H3" s="46" t="s">
        <v>178</v>
      </c>
      <c r="I3" s="46" t="s">
        <v>22821</v>
      </c>
      <c r="J3" s="46" t="s">
        <v>22812</v>
      </c>
      <c r="K3" s="46" t="s">
        <v>22813</v>
      </c>
      <c r="L3" s="46" t="s">
        <v>22814</v>
      </c>
      <c r="M3" s="46"/>
      <c r="N3" s="46"/>
      <c r="O3" s="46" t="s">
        <v>22822</v>
      </c>
      <c r="P3" s="46"/>
      <c r="Q3" s="46" t="s">
        <v>22823</v>
      </c>
      <c r="R3" s="46" t="s">
        <v>22824</v>
      </c>
      <c r="S3" s="46" t="s">
        <v>22818</v>
      </c>
      <c r="T3" s="46"/>
      <c r="U3" s="46"/>
    </row>
    <row r="4">
      <c r="A4" s="46" t="s">
        <v>22825</v>
      </c>
      <c r="B4" s="46" t="s">
        <v>22826</v>
      </c>
      <c r="C4" s="46"/>
      <c r="D4" s="46" t="s">
        <v>234</v>
      </c>
      <c r="E4" s="46" t="s">
        <v>22223</v>
      </c>
      <c r="F4" s="46" t="s">
        <v>22224</v>
      </c>
      <c r="G4" s="46" t="s">
        <v>15119</v>
      </c>
      <c r="H4" s="46" t="s">
        <v>178</v>
      </c>
      <c r="I4" s="46" t="s">
        <v>22827</v>
      </c>
      <c r="J4" s="46" t="s">
        <v>22812</v>
      </c>
      <c r="K4" s="46" t="s">
        <v>22828</v>
      </c>
      <c r="L4" s="46" t="s">
        <v>22814</v>
      </c>
      <c r="M4" s="46"/>
      <c r="N4" s="46"/>
      <c r="O4" s="46" t="s">
        <v>22829</v>
      </c>
      <c r="P4" s="46"/>
      <c r="Q4" s="46" t="s">
        <v>22830</v>
      </c>
      <c r="R4" s="46" t="s">
        <v>22831</v>
      </c>
      <c r="S4" s="46" t="s">
        <v>22818</v>
      </c>
      <c r="T4" s="46"/>
      <c r="U4" s="46"/>
    </row>
    <row r="5">
      <c r="A5" s="46" t="s">
        <v>22832</v>
      </c>
      <c r="B5" s="46" t="s">
        <v>22833</v>
      </c>
      <c r="C5" s="46"/>
      <c r="D5" s="46" t="s">
        <v>234</v>
      </c>
      <c r="E5" s="46" t="s">
        <v>22223</v>
      </c>
      <c r="F5" s="46" t="s">
        <v>22224</v>
      </c>
      <c r="G5" s="46" t="s">
        <v>15119</v>
      </c>
      <c r="H5" s="46" t="s">
        <v>178</v>
      </c>
      <c r="I5" s="46" t="s">
        <v>22811</v>
      </c>
      <c r="J5" s="46" t="s">
        <v>22812</v>
      </c>
      <c r="K5" s="46" t="s">
        <v>22813</v>
      </c>
      <c r="L5" s="46" t="s">
        <v>22814</v>
      </c>
      <c r="M5" s="46"/>
      <c r="N5" s="46"/>
      <c r="O5" s="46" t="s">
        <v>22834</v>
      </c>
      <c r="P5" s="46"/>
      <c r="Q5" s="46" t="s">
        <v>22835</v>
      </c>
      <c r="R5" s="46" t="s">
        <v>22836</v>
      </c>
      <c r="S5" s="46" t="s">
        <v>22818</v>
      </c>
      <c r="T5" s="46"/>
      <c r="U5" s="46"/>
    </row>
    <row r="6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</row>
    <row r="7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</row>
    <row r="8">
      <c r="A8" s="46" t="s">
        <v>22837</v>
      </c>
      <c r="B8" s="46" t="s">
        <v>22838</v>
      </c>
      <c r="C8" s="46"/>
      <c r="D8" s="46" t="s">
        <v>547</v>
      </c>
      <c r="E8" s="46" t="s">
        <v>3514</v>
      </c>
      <c r="F8" s="46" t="s">
        <v>3549</v>
      </c>
      <c r="G8" s="46" t="s">
        <v>512</v>
      </c>
      <c r="H8" s="46" t="s">
        <v>178</v>
      </c>
      <c r="I8" s="46" t="s">
        <v>22839</v>
      </c>
      <c r="J8" s="46" t="s">
        <v>22812</v>
      </c>
      <c r="K8" s="46" t="s">
        <v>22813</v>
      </c>
      <c r="L8" s="46" t="s">
        <v>22814</v>
      </c>
      <c r="M8" s="46"/>
      <c r="N8" s="46"/>
      <c r="O8" s="46" t="s">
        <v>22840</v>
      </c>
      <c r="P8" s="46"/>
      <c r="Q8" s="46" t="s">
        <v>22841</v>
      </c>
      <c r="R8" s="46" t="s">
        <v>22842</v>
      </c>
      <c r="S8" s="46" t="s">
        <v>22818</v>
      </c>
      <c r="T8" s="46"/>
      <c r="U8" s="46"/>
    </row>
    <row r="9">
      <c r="A9" s="46" t="s">
        <v>22843</v>
      </c>
      <c r="B9" s="46" t="s">
        <v>22844</v>
      </c>
      <c r="C9" s="46"/>
      <c r="D9" s="46" t="s">
        <v>234</v>
      </c>
      <c r="E9" s="46" t="s">
        <v>2706</v>
      </c>
      <c r="F9" s="46" t="s">
        <v>2707</v>
      </c>
      <c r="G9" s="46" t="s">
        <v>512</v>
      </c>
      <c r="H9" s="46" t="s">
        <v>178</v>
      </c>
      <c r="I9" s="46" t="s">
        <v>22839</v>
      </c>
      <c r="J9" s="46" t="s">
        <v>22812</v>
      </c>
      <c r="K9" s="46" t="s">
        <v>22813</v>
      </c>
      <c r="L9" s="46" t="s">
        <v>22814</v>
      </c>
      <c r="M9" s="46"/>
      <c r="N9" s="46"/>
      <c r="O9" s="46" t="s">
        <v>22845</v>
      </c>
      <c r="P9" s="46"/>
      <c r="Q9" s="46" t="s">
        <v>22846</v>
      </c>
      <c r="R9" s="46" t="s">
        <v>22847</v>
      </c>
      <c r="S9" s="46" t="s">
        <v>22818</v>
      </c>
      <c r="T9" s="46"/>
      <c r="U9" s="46"/>
    </row>
    <row r="10">
      <c r="A10" s="46" t="s">
        <v>22848</v>
      </c>
      <c r="B10" s="46" t="s">
        <v>22849</v>
      </c>
      <c r="C10" s="46"/>
      <c r="D10" s="46" t="s">
        <v>234</v>
      </c>
      <c r="E10" s="46" t="s">
        <v>2743</v>
      </c>
      <c r="F10" s="46" t="s">
        <v>2744</v>
      </c>
      <c r="G10" s="46" t="s">
        <v>512</v>
      </c>
      <c r="H10" s="46" t="s">
        <v>178</v>
      </c>
      <c r="I10" s="46" t="s">
        <v>22839</v>
      </c>
      <c r="J10" s="46" t="s">
        <v>22812</v>
      </c>
      <c r="K10" s="46" t="s">
        <v>22813</v>
      </c>
      <c r="L10" s="46" t="s">
        <v>22814</v>
      </c>
      <c r="M10" s="46"/>
      <c r="N10" s="46"/>
      <c r="O10" s="46" t="s">
        <v>22850</v>
      </c>
      <c r="P10" s="46"/>
      <c r="Q10" s="46" t="s">
        <v>22851</v>
      </c>
      <c r="R10" s="46" t="s">
        <v>22852</v>
      </c>
      <c r="S10" s="46" t="s">
        <v>22818</v>
      </c>
      <c r="T10" s="46"/>
      <c r="U10" s="46"/>
    </row>
    <row r="11">
      <c r="A11" s="47" t="s">
        <v>22853</v>
      </c>
      <c r="B11" s="46" t="s">
        <v>22854</v>
      </c>
      <c r="C11" s="46"/>
      <c r="D11" s="46" t="s">
        <v>234</v>
      </c>
      <c r="E11" s="46" t="s">
        <v>2779</v>
      </c>
      <c r="F11" s="46" t="s">
        <v>2780</v>
      </c>
      <c r="G11" s="46" t="s">
        <v>512</v>
      </c>
      <c r="H11" s="46" t="s">
        <v>178</v>
      </c>
      <c r="I11" s="46" t="s">
        <v>22839</v>
      </c>
      <c r="J11" s="46" t="s">
        <v>22812</v>
      </c>
      <c r="K11" s="46" t="s">
        <v>214</v>
      </c>
      <c r="L11" s="46" t="s">
        <v>22814</v>
      </c>
      <c r="M11" s="46"/>
      <c r="N11" s="46"/>
      <c r="O11" s="46" t="s">
        <v>22855</v>
      </c>
      <c r="P11" s="46"/>
      <c r="Q11" s="46" t="s">
        <v>22856</v>
      </c>
      <c r="R11" s="46" t="s">
        <v>22857</v>
      </c>
      <c r="S11" s="46" t="s">
        <v>22818</v>
      </c>
      <c r="T11" s="46"/>
      <c r="U11" s="46"/>
    </row>
    <row r="12">
      <c r="A12" s="46" t="s">
        <v>22858</v>
      </c>
      <c r="B12" s="46" t="s">
        <v>22859</v>
      </c>
      <c r="C12" s="46"/>
      <c r="D12" s="46" t="s">
        <v>234</v>
      </c>
      <c r="E12" s="46" t="s">
        <v>2816</v>
      </c>
      <c r="F12" s="46" t="s">
        <v>2817</v>
      </c>
      <c r="G12" s="46" t="s">
        <v>512</v>
      </c>
      <c r="H12" s="46" t="s">
        <v>178</v>
      </c>
      <c r="I12" s="46" t="s">
        <v>22839</v>
      </c>
      <c r="J12" s="46" t="s">
        <v>22812</v>
      </c>
      <c r="K12" s="46" t="s">
        <v>22813</v>
      </c>
      <c r="L12" s="46" t="s">
        <v>22814</v>
      </c>
      <c r="M12" s="46"/>
      <c r="N12" s="46"/>
      <c r="O12" s="46" t="s">
        <v>22860</v>
      </c>
      <c r="P12" s="46"/>
      <c r="Q12" s="46" t="s">
        <v>22861</v>
      </c>
      <c r="R12" s="46" t="s">
        <v>22862</v>
      </c>
      <c r="S12" s="46" t="s">
        <v>22818</v>
      </c>
      <c r="T12" s="46"/>
      <c r="U12" s="46"/>
    </row>
    <row r="13">
      <c r="A13" s="46" t="s">
        <v>22863</v>
      </c>
      <c r="B13" s="46" t="s">
        <v>22864</v>
      </c>
      <c r="C13" s="46"/>
      <c r="D13" s="46" t="s">
        <v>234</v>
      </c>
      <c r="E13" s="46" t="s">
        <v>2850</v>
      </c>
      <c r="F13" s="46" t="s">
        <v>2851</v>
      </c>
      <c r="G13" s="46" t="s">
        <v>512</v>
      </c>
      <c r="H13" s="46" t="s">
        <v>178</v>
      </c>
      <c r="I13" s="46" t="s">
        <v>22839</v>
      </c>
      <c r="J13" s="46" t="s">
        <v>22812</v>
      </c>
      <c r="K13" s="46" t="s">
        <v>22813</v>
      </c>
      <c r="L13" s="46" t="s">
        <v>22814</v>
      </c>
      <c r="M13" s="46"/>
      <c r="N13" s="46"/>
      <c r="O13" s="46" t="s">
        <v>22865</v>
      </c>
      <c r="P13" s="46"/>
      <c r="Q13" s="46" t="s">
        <v>22866</v>
      </c>
      <c r="R13" s="46" t="s">
        <v>22867</v>
      </c>
      <c r="S13" s="46" t="s">
        <v>22818</v>
      </c>
      <c r="T13" s="46"/>
      <c r="U13" s="46"/>
    </row>
    <row r="14">
      <c r="A14" s="46" t="s">
        <v>22868</v>
      </c>
      <c r="B14" s="46" t="s">
        <v>22869</v>
      </c>
      <c r="C14" s="46"/>
      <c r="D14" s="46" t="s">
        <v>234</v>
      </c>
      <c r="E14" s="46" t="s">
        <v>2885</v>
      </c>
      <c r="F14" s="46" t="s">
        <v>2886</v>
      </c>
      <c r="G14" s="46" t="s">
        <v>512</v>
      </c>
      <c r="H14" s="46" t="s">
        <v>178</v>
      </c>
      <c r="I14" s="46" t="s">
        <v>22839</v>
      </c>
      <c r="J14" s="46" t="s">
        <v>22812</v>
      </c>
      <c r="K14" s="46" t="s">
        <v>22813</v>
      </c>
      <c r="L14" s="46" t="s">
        <v>22814</v>
      </c>
      <c r="M14" s="46"/>
      <c r="N14" s="46"/>
      <c r="O14" s="46" t="s">
        <v>22870</v>
      </c>
      <c r="P14" s="46"/>
      <c r="Q14" s="46" t="s">
        <v>22871</v>
      </c>
      <c r="R14" s="46" t="s">
        <v>22872</v>
      </c>
      <c r="S14" s="46" t="s">
        <v>22818</v>
      </c>
      <c r="T14" s="46"/>
      <c r="U14" s="46"/>
    </row>
    <row r="15">
      <c r="A15" s="46" t="s">
        <v>22873</v>
      </c>
      <c r="B15" s="46" t="s">
        <v>22874</v>
      </c>
      <c r="C15" s="46"/>
      <c r="D15" s="46" t="s">
        <v>234</v>
      </c>
      <c r="E15" s="46" t="s">
        <v>2921</v>
      </c>
      <c r="F15" s="46" t="s">
        <v>2922</v>
      </c>
      <c r="G15" s="46" t="s">
        <v>512</v>
      </c>
      <c r="H15" s="46" t="s">
        <v>178</v>
      </c>
      <c r="I15" s="46" t="s">
        <v>22839</v>
      </c>
      <c r="J15" s="46" t="s">
        <v>22812</v>
      </c>
      <c r="K15" s="46" t="s">
        <v>22813</v>
      </c>
      <c r="L15" s="46" t="s">
        <v>22814</v>
      </c>
      <c r="M15" s="46"/>
      <c r="N15" s="46"/>
      <c r="O15" s="46" t="s">
        <v>22875</v>
      </c>
      <c r="P15" s="46"/>
      <c r="Q15" s="46" t="s">
        <v>22876</v>
      </c>
      <c r="R15" s="46" t="s">
        <v>22877</v>
      </c>
      <c r="S15" s="46" t="s">
        <v>22818</v>
      </c>
      <c r="T15" s="46"/>
      <c r="U15" s="46"/>
    </row>
    <row r="16">
      <c r="A16" s="46" t="s">
        <v>22878</v>
      </c>
      <c r="B16" s="46" t="s">
        <v>22879</v>
      </c>
      <c r="C16" s="46"/>
      <c r="D16" s="46" t="s">
        <v>547</v>
      </c>
      <c r="E16" s="46" t="s">
        <v>3723</v>
      </c>
      <c r="F16" s="46" t="s">
        <v>3758</v>
      </c>
      <c r="G16" s="46" t="s">
        <v>512</v>
      </c>
      <c r="H16" s="46" t="s">
        <v>178</v>
      </c>
      <c r="I16" s="46" t="s">
        <v>22839</v>
      </c>
      <c r="J16" s="46" t="s">
        <v>22812</v>
      </c>
      <c r="K16" s="46" t="s">
        <v>22813</v>
      </c>
      <c r="L16" s="46" t="s">
        <v>22814</v>
      </c>
      <c r="M16" s="46"/>
      <c r="N16" s="46"/>
      <c r="O16" s="46" t="s">
        <v>22880</v>
      </c>
      <c r="P16" s="46"/>
      <c r="Q16" s="46" t="s">
        <v>22881</v>
      </c>
      <c r="R16" s="46" t="s">
        <v>22882</v>
      </c>
      <c r="S16" s="46" t="s">
        <v>22818</v>
      </c>
      <c r="T16" s="46"/>
      <c r="U16" s="46"/>
    </row>
    <row r="17">
      <c r="A17" s="46" t="s">
        <v>22883</v>
      </c>
      <c r="B17" s="46" t="s">
        <v>22884</v>
      </c>
      <c r="C17" s="46"/>
      <c r="D17" s="46" t="s">
        <v>547</v>
      </c>
      <c r="E17" s="46" t="s">
        <v>3723</v>
      </c>
      <c r="F17" s="46" t="s">
        <v>3724</v>
      </c>
      <c r="G17" s="46" t="s">
        <v>512</v>
      </c>
      <c r="H17" s="46" t="s">
        <v>178</v>
      </c>
      <c r="I17" s="46" t="s">
        <v>22839</v>
      </c>
      <c r="J17" s="46" t="s">
        <v>22812</v>
      </c>
      <c r="K17" s="46" t="s">
        <v>22813</v>
      </c>
      <c r="L17" s="46" t="s">
        <v>22814</v>
      </c>
      <c r="M17" s="46"/>
      <c r="N17" s="46"/>
      <c r="O17" s="46" t="s">
        <v>22885</v>
      </c>
      <c r="P17" s="46"/>
      <c r="Q17" s="46" t="s">
        <v>22886</v>
      </c>
      <c r="R17" s="46" t="s">
        <v>22887</v>
      </c>
      <c r="S17" s="46" t="s">
        <v>22818</v>
      </c>
      <c r="T17" s="46"/>
      <c r="U17" s="46"/>
    </row>
    <row r="18">
      <c r="A18" s="46" t="s">
        <v>22888</v>
      </c>
      <c r="B18" s="46" t="s">
        <v>22889</v>
      </c>
      <c r="C18" s="46"/>
      <c r="D18" s="46" t="s">
        <v>547</v>
      </c>
      <c r="E18" s="46" t="s">
        <v>3514</v>
      </c>
      <c r="F18" s="46" t="s">
        <v>3515</v>
      </c>
      <c r="G18" s="46" t="s">
        <v>512</v>
      </c>
      <c r="H18" s="46" t="s">
        <v>178</v>
      </c>
      <c r="I18" s="46" t="s">
        <v>22839</v>
      </c>
      <c r="J18" s="46" t="s">
        <v>22812</v>
      </c>
      <c r="K18" s="46" t="s">
        <v>22813</v>
      </c>
      <c r="L18" s="46" t="s">
        <v>22814</v>
      </c>
      <c r="M18" s="46"/>
      <c r="N18" s="46"/>
      <c r="O18" s="46" t="s">
        <v>22319</v>
      </c>
      <c r="P18" s="46"/>
      <c r="Q18" s="46" t="s">
        <v>22890</v>
      </c>
      <c r="R18" s="46" t="s">
        <v>22891</v>
      </c>
      <c r="S18" s="46" t="s">
        <v>22818</v>
      </c>
      <c r="T18" s="46"/>
      <c r="U18" s="46"/>
    </row>
    <row r="19">
      <c r="A19" s="46" t="s">
        <v>22892</v>
      </c>
      <c r="B19" s="46" t="s">
        <v>22893</v>
      </c>
      <c r="C19" s="46"/>
      <c r="D19" s="46" t="s">
        <v>547</v>
      </c>
      <c r="E19" s="46" t="s">
        <v>3373</v>
      </c>
      <c r="F19" s="46" t="s">
        <v>3374</v>
      </c>
      <c r="G19" s="46" t="s">
        <v>512</v>
      </c>
      <c r="H19" s="46" t="s">
        <v>178</v>
      </c>
      <c r="I19" s="46" t="s">
        <v>22839</v>
      </c>
      <c r="J19" s="46" t="s">
        <v>22812</v>
      </c>
      <c r="K19" s="46" t="s">
        <v>22813</v>
      </c>
      <c r="L19" s="46" t="s">
        <v>22814</v>
      </c>
      <c r="M19" s="46"/>
      <c r="N19" s="46"/>
      <c r="O19" s="46" t="s">
        <v>22894</v>
      </c>
      <c r="P19" s="46"/>
      <c r="Q19" s="46" t="s">
        <v>22895</v>
      </c>
      <c r="R19" s="46" t="s">
        <v>22896</v>
      </c>
      <c r="S19" s="46" t="s">
        <v>22818</v>
      </c>
      <c r="T19" s="46"/>
      <c r="U19" s="46"/>
    </row>
    <row r="20">
      <c r="A20" s="46" t="s">
        <v>22897</v>
      </c>
      <c r="B20" s="46" t="s">
        <v>22898</v>
      </c>
      <c r="C20" s="46"/>
      <c r="D20" s="46" t="s">
        <v>547</v>
      </c>
      <c r="E20" s="46" t="s">
        <v>3410</v>
      </c>
      <c r="F20" s="46" t="s">
        <v>3411</v>
      </c>
      <c r="G20" s="46" t="s">
        <v>512</v>
      </c>
      <c r="H20" s="46" t="s">
        <v>178</v>
      </c>
      <c r="I20" s="46" t="s">
        <v>22839</v>
      </c>
      <c r="J20" s="46" t="s">
        <v>22812</v>
      </c>
      <c r="K20" s="46" t="s">
        <v>22813</v>
      </c>
      <c r="L20" s="46" t="s">
        <v>22814</v>
      </c>
      <c r="M20" s="46"/>
      <c r="N20" s="46"/>
      <c r="O20" s="46" t="s">
        <v>22899</v>
      </c>
      <c r="P20" s="46"/>
      <c r="Q20" s="46" t="s">
        <v>22900</v>
      </c>
      <c r="R20" s="46" t="s">
        <v>22901</v>
      </c>
      <c r="S20" s="46" t="s">
        <v>22818</v>
      </c>
      <c r="T20" s="46"/>
      <c r="U20" s="46"/>
    </row>
    <row r="21">
      <c r="A21" s="46" t="s">
        <v>22902</v>
      </c>
      <c r="B21" s="46" t="s">
        <v>22903</v>
      </c>
      <c r="C21" s="46"/>
      <c r="D21" s="46" t="s">
        <v>461</v>
      </c>
      <c r="E21" s="46" t="s">
        <v>9147</v>
      </c>
      <c r="F21" s="46" t="s">
        <v>9149</v>
      </c>
      <c r="G21" s="46" t="s">
        <v>9148</v>
      </c>
      <c r="H21" s="46" t="s">
        <v>178</v>
      </c>
      <c r="I21" s="46" t="s">
        <v>22904</v>
      </c>
      <c r="J21" s="46" t="s">
        <v>22812</v>
      </c>
      <c r="K21" s="46" t="s">
        <v>22905</v>
      </c>
      <c r="L21" s="46" t="s">
        <v>22814</v>
      </c>
      <c r="M21" s="46"/>
      <c r="N21" s="46"/>
      <c r="O21" s="46" t="s">
        <v>22906</v>
      </c>
      <c r="P21" s="46"/>
      <c r="Q21" s="46" t="s">
        <v>22907</v>
      </c>
      <c r="R21" s="46" t="s">
        <v>22908</v>
      </c>
      <c r="S21" s="46" t="s">
        <v>22818</v>
      </c>
      <c r="T21" s="46"/>
      <c r="U21" s="46"/>
    </row>
    <row r="22">
      <c r="A22" s="46" t="s">
        <v>22909</v>
      </c>
      <c r="B22" s="46" t="s">
        <v>22910</v>
      </c>
      <c r="C22" s="46"/>
      <c r="D22" s="46" t="s">
        <v>217</v>
      </c>
      <c r="E22" s="46" t="s">
        <v>6785</v>
      </c>
      <c r="F22" s="46" t="s">
        <v>6786</v>
      </c>
      <c r="G22" s="46" t="s">
        <v>512</v>
      </c>
      <c r="H22" s="46" t="s">
        <v>178</v>
      </c>
      <c r="I22" s="46" t="s">
        <v>22839</v>
      </c>
      <c r="J22" s="46" t="s">
        <v>22812</v>
      </c>
      <c r="K22" s="46" t="s">
        <v>22813</v>
      </c>
      <c r="L22" s="46" t="s">
        <v>22814</v>
      </c>
      <c r="M22" s="46"/>
      <c r="N22" s="46"/>
      <c r="O22" s="46" t="s">
        <v>22911</v>
      </c>
      <c r="P22" s="46"/>
      <c r="Q22" s="46" t="s">
        <v>22912</v>
      </c>
      <c r="R22" s="46" t="s">
        <v>22913</v>
      </c>
      <c r="S22" s="46" t="s">
        <v>22818</v>
      </c>
      <c r="T22" s="46"/>
      <c r="U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</row>
    <row r="24">
      <c r="A24" s="46" t="s">
        <v>22914</v>
      </c>
      <c r="B24" s="46" t="s">
        <v>22915</v>
      </c>
      <c r="C24" s="46"/>
      <c r="D24" s="46" t="s">
        <v>234</v>
      </c>
      <c r="E24" s="46" t="s">
        <v>11624</v>
      </c>
      <c r="F24" s="46" t="s">
        <v>12554</v>
      </c>
      <c r="G24" s="46" t="s">
        <v>294</v>
      </c>
      <c r="H24" s="46" t="s">
        <v>178</v>
      </c>
      <c r="I24" s="46" t="s">
        <v>22839</v>
      </c>
      <c r="J24" s="46" t="s">
        <v>22812</v>
      </c>
      <c r="K24" s="46" t="s">
        <v>22813</v>
      </c>
      <c r="L24" s="46" t="s">
        <v>22814</v>
      </c>
      <c r="M24" s="46"/>
      <c r="N24" s="46"/>
      <c r="O24" s="46" t="s">
        <v>22916</v>
      </c>
      <c r="P24" s="46"/>
      <c r="Q24" s="46" t="s">
        <v>22917</v>
      </c>
      <c r="R24" s="46" t="s">
        <v>22918</v>
      </c>
      <c r="S24" s="46" t="s">
        <v>22818</v>
      </c>
      <c r="T24" s="46"/>
      <c r="U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</row>
    <row r="27">
      <c r="A27" s="46" t="s">
        <v>22919</v>
      </c>
      <c r="B27" s="46" t="s">
        <v>22920</v>
      </c>
      <c r="C27" s="46"/>
      <c r="D27" s="46" t="s">
        <v>357</v>
      </c>
      <c r="E27" s="46" t="s">
        <v>4697</v>
      </c>
      <c r="F27" s="46" t="s">
        <v>19218</v>
      </c>
      <c r="G27" s="46" t="s">
        <v>9260</v>
      </c>
      <c r="H27" s="46" t="s">
        <v>178</v>
      </c>
      <c r="I27" s="46" t="s">
        <v>22921</v>
      </c>
      <c r="J27" s="46" t="s">
        <v>22812</v>
      </c>
      <c r="K27" s="46" t="s">
        <v>22828</v>
      </c>
      <c r="L27" s="46" t="s">
        <v>22814</v>
      </c>
      <c r="M27" s="46"/>
      <c r="N27" s="46"/>
      <c r="O27" s="46" t="s">
        <v>22922</v>
      </c>
      <c r="P27" s="46"/>
      <c r="Q27" s="46" t="s">
        <v>22923</v>
      </c>
      <c r="R27" s="46" t="s">
        <v>22924</v>
      </c>
      <c r="S27" s="46" t="s">
        <v>22818</v>
      </c>
      <c r="T27" s="46"/>
      <c r="U27" s="46"/>
    </row>
    <row r="28">
      <c r="A28" s="46" t="s">
        <v>22925</v>
      </c>
      <c r="B28" s="46" t="s">
        <v>22926</v>
      </c>
      <c r="C28" s="46"/>
      <c r="D28" s="46" t="s">
        <v>357</v>
      </c>
      <c r="E28" s="46" t="s">
        <v>4697</v>
      </c>
      <c r="F28" s="46" t="s">
        <v>19218</v>
      </c>
      <c r="G28" s="46" t="s">
        <v>9260</v>
      </c>
      <c r="H28" s="46" t="s">
        <v>178</v>
      </c>
      <c r="I28" s="46" t="s">
        <v>22927</v>
      </c>
      <c r="J28" s="46" t="s">
        <v>22812</v>
      </c>
      <c r="K28" s="46" t="s">
        <v>22828</v>
      </c>
      <c r="L28" s="46" t="s">
        <v>22814</v>
      </c>
      <c r="M28" s="46"/>
      <c r="N28" s="46"/>
      <c r="O28" s="46" t="s">
        <v>22928</v>
      </c>
      <c r="P28" s="46"/>
      <c r="Q28" s="46" t="s">
        <v>22929</v>
      </c>
      <c r="R28" s="46" t="s">
        <v>22930</v>
      </c>
      <c r="S28" s="46" t="s">
        <v>22818</v>
      </c>
      <c r="T28" s="46"/>
      <c r="U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</row>
    <row r="30">
      <c r="A30" s="46" t="s">
        <v>22931</v>
      </c>
      <c r="B30" s="46"/>
      <c r="C30" s="46"/>
      <c r="D30" s="46" t="s">
        <v>217</v>
      </c>
      <c r="E30" s="46" t="s">
        <v>8821</v>
      </c>
      <c r="F30" s="46" t="s">
        <v>8885</v>
      </c>
      <c r="G30" s="46" t="s">
        <v>375</v>
      </c>
      <c r="H30" s="46" t="s">
        <v>178</v>
      </c>
      <c r="I30" s="46" t="s">
        <v>22932</v>
      </c>
      <c r="J30" s="46" t="s">
        <v>22812</v>
      </c>
      <c r="K30" s="46" t="s">
        <v>214</v>
      </c>
      <c r="L30" s="46" t="s">
        <v>22814</v>
      </c>
      <c r="M30" s="46"/>
      <c r="N30" s="46"/>
      <c r="O30" s="46" t="s">
        <v>22933</v>
      </c>
      <c r="P30" s="46"/>
      <c r="Q30" s="46" t="s">
        <v>22934</v>
      </c>
      <c r="R30" s="46" t="s">
        <v>22935</v>
      </c>
      <c r="S30" s="46" t="s">
        <v>22818</v>
      </c>
      <c r="T30" s="46"/>
      <c r="U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</row>
    <row r="34">
      <c r="A34" s="46" t="s">
        <v>22936</v>
      </c>
      <c r="B34" s="46" t="s">
        <v>22937</v>
      </c>
      <c r="C34" s="46"/>
      <c r="D34" s="46" t="s">
        <v>357</v>
      </c>
      <c r="E34" s="46" t="s">
        <v>4413</v>
      </c>
      <c r="F34" s="46" t="s">
        <v>6072</v>
      </c>
      <c r="G34" s="46" t="s">
        <v>512</v>
      </c>
      <c r="H34" s="46" t="s">
        <v>178</v>
      </c>
      <c r="I34" s="46" t="s">
        <v>22904</v>
      </c>
      <c r="J34" s="46" t="s">
        <v>22812</v>
      </c>
      <c r="K34" s="46" t="s">
        <v>22813</v>
      </c>
      <c r="L34" s="46" t="s">
        <v>22814</v>
      </c>
      <c r="M34" s="46"/>
      <c r="N34" s="46"/>
      <c r="O34" s="46" t="s">
        <v>22938</v>
      </c>
      <c r="P34" s="46"/>
      <c r="Q34" s="46" t="s">
        <v>22939</v>
      </c>
      <c r="R34" s="46" t="s">
        <v>22940</v>
      </c>
      <c r="S34" s="46" t="s">
        <v>22818</v>
      </c>
      <c r="T34" s="46"/>
      <c r="U34" s="46"/>
    </row>
    <row r="35">
      <c r="A35" s="46" t="s">
        <v>22941</v>
      </c>
      <c r="B35" s="46" t="s">
        <v>22942</v>
      </c>
      <c r="C35" s="46"/>
      <c r="D35" s="46" t="s">
        <v>357</v>
      </c>
      <c r="E35" s="46" t="s">
        <v>4413</v>
      </c>
      <c r="F35" s="46" t="s">
        <v>5966</v>
      </c>
      <c r="G35" s="46" t="s">
        <v>512</v>
      </c>
      <c r="H35" s="46" t="s">
        <v>199</v>
      </c>
      <c r="I35" s="46" t="s">
        <v>22943</v>
      </c>
      <c r="J35" s="46" t="s">
        <v>22812</v>
      </c>
      <c r="K35" s="46" t="s">
        <v>22944</v>
      </c>
      <c r="L35" s="46" t="s">
        <v>22814</v>
      </c>
      <c r="M35" s="46"/>
      <c r="N35" s="46"/>
      <c r="O35" s="46" t="s">
        <v>22945</v>
      </c>
      <c r="P35" s="46"/>
      <c r="Q35" s="46" t="s">
        <v>22946</v>
      </c>
      <c r="R35" s="46" t="s">
        <v>22947</v>
      </c>
      <c r="S35" s="46" t="s">
        <v>22818</v>
      </c>
      <c r="T35" s="46"/>
      <c r="U35" s="46"/>
    </row>
    <row r="36">
      <c r="A36" s="46" t="s">
        <v>22948</v>
      </c>
      <c r="B36" s="46" t="s">
        <v>22949</v>
      </c>
      <c r="C36" s="46"/>
      <c r="D36" s="46" t="s">
        <v>357</v>
      </c>
      <c r="E36" s="46" t="s">
        <v>4413</v>
      </c>
      <c r="F36" s="46" t="s">
        <v>5966</v>
      </c>
      <c r="G36" s="46" t="s">
        <v>512</v>
      </c>
      <c r="H36" s="46" t="s">
        <v>199</v>
      </c>
      <c r="I36" s="46" t="s">
        <v>22950</v>
      </c>
      <c r="J36" s="46" t="s">
        <v>22812</v>
      </c>
      <c r="K36" s="46" t="s">
        <v>22813</v>
      </c>
      <c r="L36" s="46" t="s">
        <v>22814</v>
      </c>
      <c r="M36" s="46"/>
      <c r="N36" s="46"/>
      <c r="O36" s="46" t="s">
        <v>22951</v>
      </c>
      <c r="P36" s="46"/>
      <c r="Q36" s="46" t="s">
        <v>22952</v>
      </c>
      <c r="R36" s="46" t="s">
        <v>22953</v>
      </c>
      <c r="S36" s="46" t="s">
        <v>22818</v>
      </c>
      <c r="T36" s="46"/>
      <c r="U36" s="46"/>
    </row>
    <row r="37">
      <c r="A37" s="46" t="s">
        <v>22954</v>
      </c>
      <c r="B37" s="46" t="s">
        <v>22955</v>
      </c>
      <c r="C37" s="46"/>
      <c r="D37" s="46" t="s">
        <v>357</v>
      </c>
      <c r="E37" s="46" t="s">
        <v>4413</v>
      </c>
      <c r="F37" s="46" t="s">
        <v>5966</v>
      </c>
      <c r="G37" s="46" t="s">
        <v>512</v>
      </c>
      <c r="H37" s="46" t="s">
        <v>199</v>
      </c>
      <c r="I37" s="46" t="s">
        <v>22956</v>
      </c>
      <c r="J37" s="46" t="s">
        <v>22812</v>
      </c>
      <c r="K37" s="46" t="s">
        <v>22813</v>
      </c>
      <c r="L37" s="46" t="s">
        <v>22814</v>
      </c>
      <c r="M37" s="46"/>
      <c r="N37" s="46"/>
      <c r="O37" s="46" t="s">
        <v>22957</v>
      </c>
      <c r="P37" s="46"/>
      <c r="Q37" s="46" t="s">
        <v>22958</v>
      </c>
      <c r="R37" s="46" t="s">
        <v>22959</v>
      </c>
      <c r="S37" s="46" t="s">
        <v>22818</v>
      </c>
      <c r="T37" s="46"/>
      <c r="U37" s="46"/>
    </row>
    <row r="38">
      <c r="A38" s="47" t="s">
        <v>22960</v>
      </c>
      <c r="B38" s="46" t="s">
        <v>22961</v>
      </c>
      <c r="C38" s="46"/>
      <c r="D38" s="46" t="s">
        <v>357</v>
      </c>
      <c r="E38" s="46" t="s">
        <v>4413</v>
      </c>
      <c r="F38" s="46" t="s">
        <v>5966</v>
      </c>
      <c r="G38" s="46" t="s">
        <v>512</v>
      </c>
      <c r="H38" s="46" t="s">
        <v>199</v>
      </c>
      <c r="I38" s="46" t="s">
        <v>22962</v>
      </c>
      <c r="J38" s="46" t="s">
        <v>22812</v>
      </c>
      <c r="K38" s="46" t="s">
        <v>22813</v>
      </c>
      <c r="L38" s="46" t="s">
        <v>22814</v>
      </c>
      <c r="M38" s="46"/>
      <c r="N38" s="46"/>
      <c r="O38" s="46" t="s">
        <v>22963</v>
      </c>
      <c r="P38" s="46"/>
      <c r="Q38" s="46" t="s">
        <v>22964</v>
      </c>
      <c r="R38" s="46" t="s">
        <v>22965</v>
      </c>
      <c r="S38" s="46" t="s">
        <v>22818</v>
      </c>
      <c r="T38" s="46"/>
      <c r="U38" s="46"/>
    </row>
    <row r="39">
      <c r="A39" s="46" t="s">
        <v>22966</v>
      </c>
      <c r="B39" s="46" t="s">
        <v>22967</v>
      </c>
      <c r="C39" s="46"/>
      <c r="D39" s="46" t="s">
        <v>357</v>
      </c>
      <c r="E39" s="46" t="s">
        <v>358</v>
      </c>
      <c r="F39" s="46" t="s">
        <v>9661</v>
      </c>
      <c r="G39" s="46" t="s">
        <v>512</v>
      </c>
      <c r="H39" s="46" t="s">
        <v>178</v>
      </c>
      <c r="I39" s="46" t="s">
        <v>22904</v>
      </c>
      <c r="J39" s="46" t="s">
        <v>22812</v>
      </c>
      <c r="K39" s="46" t="s">
        <v>214</v>
      </c>
      <c r="L39" s="46" t="s">
        <v>22814</v>
      </c>
      <c r="M39" s="46"/>
      <c r="N39" s="46"/>
      <c r="O39" s="46" t="s">
        <v>22968</v>
      </c>
      <c r="P39" s="46"/>
      <c r="Q39" s="46" t="s">
        <v>22969</v>
      </c>
      <c r="R39" s="46" t="s">
        <v>22970</v>
      </c>
      <c r="S39" s="46" t="s">
        <v>22818</v>
      </c>
      <c r="T39" s="46"/>
      <c r="U39" s="46"/>
    </row>
    <row r="40">
      <c r="A40" s="46" t="s">
        <v>22971</v>
      </c>
      <c r="B40" s="46" t="s">
        <v>22972</v>
      </c>
      <c r="C40" s="46"/>
      <c r="D40" s="46" t="s">
        <v>357</v>
      </c>
      <c r="E40" s="46" t="s">
        <v>358</v>
      </c>
      <c r="F40" s="46" t="s">
        <v>9661</v>
      </c>
      <c r="G40" s="46" t="s">
        <v>512</v>
      </c>
      <c r="H40" s="46" t="s">
        <v>178</v>
      </c>
      <c r="I40" s="46" t="s">
        <v>22973</v>
      </c>
      <c r="J40" s="46" t="s">
        <v>22812</v>
      </c>
      <c r="K40" s="46" t="s">
        <v>214</v>
      </c>
      <c r="L40" s="46" t="s">
        <v>22814</v>
      </c>
      <c r="M40" s="46"/>
      <c r="N40" s="46"/>
      <c r="O40" s="46" t="s">
        <v>22974</v>
      </c>
      <c r="P40" s="46"/>
      <c r="Q40" s="46" t="s">
        <v>22975</v>
      </c>
      <c r="R40" s="46" t="s">
        <v>22976</v>
      </c>
      <c r="S40" s="46" t="s">
        <v>22818</v>
      </c>
      <c r="T40" s="46"/>
      <c r="U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</row>
    <row r="42">
      <c r="A42" s="46" t="s">
        <v>22977</v>
      </c>
      <c r="B42" s="46" t="s">
        <v>22978</v>
      </c>
      <c r="C42" s="46"/>
      <c r="D42" s="46" t="s">
        <v>547</v>
      </c>
      <c r="E42" s="46" t="s">
        <v>3825</v>
      </c>
      <c r="F42" s="46" t="s">
        <v>8098</v>
      </c>
      <c r="G42" s="46" t="s">
        <v>8081</v>
      </c>
      <c r="H42" s="46" t="s">
        <v>199</v>
      </c>
      <c r="I42" s="46" t="s">
        <v>22979</v>
      </c>
      <c r="J42" s="46" t="s">
        <v>22812</v>
      </c>
      <c r="K42" s="46" t="s">
        <v>214</v>
      </c>
      <c r="L42" s="46" t="s">
        <v>22814</v>
      </c>
      <c r="M42" s="46"/>
      <c r="N42" s="46"/>
      <c r="O42" s="46" t="s">
        <v>22980</v>
      </c>
      <c r="P42" s="46"/>
      <c r="Q42" s="46" t="s">
        <v>22981</v>
      </c>
      <c r="R42" s="46" t="s">
        <v>22982</v>
      </c>
      <c r="S42" s="46" t="s">
        <v>22818</v>
      </c>
      <c r="T42" s="46"/>
      <c r="U42" s="46"/>
    </row>
    <row r="43">
      <c r="A43" s="46" t="s">
        <v>22983</v>
      </c>
      <c r="B43" s="46" t="s">
        <v>22984</v>
      </c>
      <c r="C43" s="46"/>
      <c r="D43" s="46" t="s">
        <v>234</v>
      </c>
      <c r="E43" s="46" t="s">
        <v>2706</v>
      </c>
      <c r="F43" s="46" t="s">
        <v>3097</v>
      </c>
      <c r="G43" s="46" t="s">
        <v>512</v>
      </c>
      <c r="H43" s="46" t="s">
        <v>178</v>
      </c>
      <c r="I43" s="46" t="s">
        <v>22985</v>
      </c>
      <c r="J43" s="46" t="s">
        <v>22812</v>
      </c>
      <c r="K43" s="46" t="s">
        <v>214</v>
      </c>
      <c r="L43" s="46" t="s">
        <v>22814</v>
      </c>
      <c r="M43" s="46"/>
      <c r="N43" s="46"/>
      <c r="O43" s="46" t="s">
        <v>22986</v>
      </c>
      <c r="P43" s="46"/>
      <c r="Q43" s="46" t="s">
        <v>22987</v>
      </c>
      <c r="R43" s="46" t="s">
        <v>22988</v>
      </c>
      <c r="S43" s="46" t="s">
        <v>22818</v>
      </c>
      <c r="T43" s="46"/>
      <c r="U43" s="46"/>
    </row>
    <row r="44">
      <c r="A44" s="46" t="s">
        <v>22989</v>
      </c>
      <c r="B44" s="46" t="s">
        <v>22990</v>
      </c>
      <c r="C44" s="46"/>
      <c r="D44" s="46" t="s">
        <v>357</v>
      </c>
      <c r="E44" s="46" t="s">
        <v>4071</v>
      </c>
      <c r="F44" s="46" t="s">
        <v>4625</v>
      </c>
      <c r="G44" s="46" t="s">
        <v>512</v>
      </c>
      <c r="H44" s="46" t="s">
        <v>199</v>
      </c>
      <c r="I44" s="46" t="s">
        <v>22991</v>
      </c>
      <c r="J44" s="46" t="s">
        <v>22812</v>
      </c>
      <c r="K44" s="46" t="s">
        <v>22992</v>
      </c>
      <c r="L44" s="46" t="s">
        <v>22814</v>
      </c>
      <c r="M44" s="46"/>
      <c r="N44" s="46"/>
      <c r="O44" s="46" t="s">
        <v>4466</v>
      </c>
      <c r="P44" s="46"/>
      <c r="Q44" s="46" t="s">
        <v>22993</v>
      </c>
      <c r="R44" s="46" t="s">
        <v>22994</v>
      </c>
      <c r="S44" s="46" t="s">
        <v>22818</v>
      </c>
      <c r="T44" s="46"/>
      <c r="U44" s="46"/>
    </row>
    <row r="45">
      <c r="A45" s="46" t="s">
        <v>22995</v>
      </c>
      <c r="B45" s="46" t="s">
        <v>22996</v>
      </c>
      <c r="C45" s="46"/>
      <c r="D45" s="46" t="s">
        <v>357</v>
      </c>
      <c r="E45" s="46" t="s">
        <v>4071</v>
      </c>
      <c r="F45" s="46" t="s">
        <v>4625</v>
      </c>
      <c r="G45" s="46" t="s">
        <v>512</v>
      </c>
      <c r="H45" s="46" t="s">
        <v>199</v>
      </c>
      <c r="I45" s="46" t="s">
        <v>22956</v>
      </c>
      <c r="J45" s="46" t="s">
        <v>22812</v>
      </c>
      <c r="K45" s="46" t="s">
        <v>22992</v>
      </c>
      <c r="L45" s="46" t="s">
        <v>22814</v>
      </c>
      <c r="M45" s="46"/>
      <c r="N45" s="46"/>
      <c r="O45" s="46" t="s">
        <v>4460</v>
      </c>
      <c r="P45" s="46"/>
      <c r="Q45" s="46" t="s">
        <v>22997</v>
      </c>
      <c r="R45" s="46" t="s">
        <v>22998</v>
      </c>
      <c r="S45" s="46" t="s">
        <v>22818</v>
      </c>
      <c r="T45" s="46"/>
      <c r="U45" s="46"/>
    </row>
    <row r="46">
      <c r="A46" s="46" t="s">
        <v>22999</v>
      </c>
      <c r="B46" s="46" t="s">
        <v>23000</v>
      </c>
      <c r="C46" s="46"/>
      <c r="D46" s="46" t="s">
        <v>10412</v>
      </c>
      <c r="E46" s="46" t="s">
        <v>18267</v>
      </c>
      <c r="F46" s="46" t="s">
        <v>18268</v>
      </c>
      <c r="G46" s="46" t="s">
        <v>375</v>
      </c>
      <c r="H46" s="46" t="s">
        <v>199</v>
      </c>
      <c r="I46" s="46" t="s">
        <v>23001</v>
      </c>
      <c r="J46" s="46" t="s">
        <v>22812</v>
      </c>
      <c r="K46" s="46" t="s">
        <v>23002</v>
      </c>
      <c r="L46" s="46" t="s">
        <v>22814</v>
      </c>
      <c r="M46" s="46"/>
      <c r="N46" s="46"/>
      <c r="O46" s="46" t="s">
        <v>23003</v>
      </c>
      <c r="P46" s="46"/>
      <c r="Q46" s="46" t="s">
        <v>23004</v>
      </c>
      <c r="R46" s="46" t="s">
        <v>23005</v>
      </c>
      <c r="S46" s="46" t="s">
        <v>22818</v>
      </c>
      <c r="T46" s="46"/>
      <c r="U46" s="46"/>
    </row>
    <row r="47">
      <c r="A47" s="46" t="s">
        <v>23006</v>
      </c>
      <c r="B47" s="46" t="s">
        <v>23007</v>
      </c>
      <c r="C47" s="46"/>
      <c r="D47" s="46" t="s">
        <v>357</v>
      </c>
      <c r="E47" s="46" t="s">
        <v>17605</v>
      </c>
      <c r="F47" s="46" t="s">
        <v>18531</v>
      </c>
      <c r="G47" s="46" t="s">
        <v>18380</v>
      </c>
      <c r="H47" s="46" t="s">
        <v>205</v>
      </c>
      <c r="I47" s="46" t="s">
        <v>23008</v>
      </c>
      <c r="J47" s="46" t="s">
        <v>22812</v>
      </c>
      <c r="K47" s="46" t="s">
        <v>22813</v>
      </c>
      <c r="L47" s="46" t="s">
        <v>22814</v>
      </c>
      <c r="M47" s="46"/>
      <c r="N47" s="46"/>
      <c r="O47" s="46" t="s">
        <v>23009</v>
      </c>
      <c r="P47" s="46"/>
      <c r="Q47" s="46" t="s">
        <v>23010</v>
      </c>
      <c r="R47" s="46" t="s">
        <v>23011</v>
      </c>
      <c r="S47" s="46" t="s">
        <v>22818</v>
      </c>
      <c r="T47" s="46"/>
      <c r="U47" s="46"/>
    </row>
    <row r="48">
      <c r="A48" s="46" t="s">
        <v>23012</v>
      </c>
      <c r="B48" s="46" t="s">
        <v>23013</v>
      </c>
      <c r="C48" s="46"/>
      <c r="D48" s="46" t="s">
        <v>217</v>
      </c>
      <c r="E48" s="46" t="s">
        <v>7566</v>
      </c>
      <c r="F48" s="46" t="s">
        <v>19850</v>
      </c>
      <c r="G48" s="46" t="s">
        <v>219</v>
      </c>
      <c r="H48" s="46" t="s">
        <v>209</v>
      </c>
      <c r="I48" s="46" t="s">
        <v>23014</v>
      </c>
      <c r="J48" s="46" t="s">
        <v>22812</v>
      </c>
      <c r="K48" s="46" t="s">
        <v>22813</v>
      </c>
      <c r="L48" s="46" t="s">
        <v>22814</v>
      </c>
      <c r="M48" s="46"/>
      <c r="N48" s="46"/>
      <c r="O48" s="46" t="s">
        <v>23015</v>
      </c>
      <c r="P48" s="46"/>
      <c r="Q48" s="46" t="s">
        <v>23016</v>
      </c>
      <c r="R48" s="46" t="s">
        <v>23017</v>
      </c>
      <c r="S48" s="46" t="s">
        <v>22818</v>
      </c>
      <c r="T48" s="46"/>
      <c r="U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75"/>
    <col customWidth="1" min="2" max="2" width="12.13"/>
    <col customWidth="1" min="3" max="3" width="13.88"/>
    <col customWidth="1" min="4" max="4" width="12.13"/>
    <col customWidth="1" min="5" max="5" width="53.75"/>
    <col customWidth="1" min="6" max="6" width="60.13"/>
    <col customWidth="1" min="7" max="7" width="59.75"/>
    <col customWidth="1" min="8" max="8" width="63.5"/>
    <col customWidth="1" min="9" max="9" width="19.63"/>
    <col customWidth="1" min="10" max="10" width="23.88"/>
  </cols>
  <sheetData>
    <row r="1" ht="39.75" customHeight="1">
      <c r="A1" s="49" t="s">
        <v>0</v>
      </c>
      <c r="B1" s="49" t="s">
        <v>1</v>
      </c>
      <c r="C1" s="50" t="s">
        <v>2</v>
      </c>
      <c r="D1" s="51" t="s">
        <v>3</v>
      </c>
      <c r="E1" s="51" t="s">
        <v>4</v>
      </c>
      <c r="F1" s="52" t="s">
        <v>23018</v>
      </c>
      <c r="G1" s="53" t="s">
        <v>23019</v>
      </c>
      <c r="H1" s="50" t="s">
        <v>23020</v>
      </c>
      <c r="I1" s="50" t="s">
        <v>23021</v>
      </c>
      <c r="J1" s="54" t="s">
        <v>23022</v>
      </c>
    </row>
    <row r="2">
      <c r="A2" s="55" t="s">
        <v>357</v>
      </c>
      <c r="B2" s="55" t="s">
        <v>358</v>
      </c>
      <c r="C2" s="55" t="s">
        <v>9595</v>
      </c>
      <c r="D2" s="55" t="s">
        <v>9638</v>
      </c>
      <c r="E2" s="56" t="s">
        <v>9639</v>
      </c>
      <c r="F2" s="55" t="s">
        <v>23023</v>
      </c>
      <c r="G2" s="55"/>
      <c r="H2" s="56"/>
      <c r="I2" s="55" t="s">
        <v>23024</v>
      </c>
      <c r="J2" s="56" t="s">
        <v>23025</v>
      </c>
    </row>
    <row r="3">
      <c r="A3" s="55" t="s">
        <v>357</v>
      </c>
      <c r="B3" s="55" t="s">
        <v>4071</v>
      </c>
      <c r="C3" s="55" t="s">
        <v>512</v>
      </c>
      <c r="D3" s="57" t="s">
        <v>23026</v>
      </c>
      <c r="E3" s="56" t="s">
        <v>23027</v>
      </c>
      <c r="F3" s="55" t="s">
        <v>23028</v>
      </c>
      <c r="G3" s="55"/>
      <c r="H3" s="56" t="s">
        <v>23029</v>
      </c>
      <c r="I3" s="55" t="s">
        <v>23030</v>
      </c>
      <c r="J3" s="56" t="s">
        <v>23031</v>
      </c>
    </row>
    <row r="4">
      <c r="A4" s="55" t="s">
        <v>357</v>
      </c>
      <c r="B4" s="55" t="s">
        <v>4071</v>
      </c>
      <c r="C4" s="55" t="s">
        <v>512</v>
      </c>
      <c r="D4" s="55" t="s">
        <v>23032</v>
      </c>
      <c r="E4" s="56" t="s">
        <v>23033</v>
      </c>
      <c r="F4" s="55" t="s">
        <v>23034</v>
      </c>
      <c r="G4" s="55"/>
      <c r="H4" s="56" t="s">
        <v>23029</v>
      </c>
      <c r="I4" s="55" t="s">
        <v>23030</v>
      </c>
      <c r="J4" s="56" t="s">
        <v>23035</v>
      </c>
    </row>
    <row r="5">
      <c r="A5" s="55" t="s">
        <v>357</v>
      </c>
      <c r="B5" s="55" t="s">
        <v>358</v>
      </c>
      <c r="C5" s="55" t="s">
        <v>9595</v>
      </c>
      <c r="D5" s="55" t="s">
        <v>12997</v>
      </c>
      <c r="E5" s="56" t="s">
        <v>12998</v>
      </c>
      <c r="F5" s="55" t="s">
        <v>23036</v>
      </c>
      <c r="G5" s="55"/>
      <c r="H5" s="56"/>
      <c r="I5" s="55" t="s">
        <v>23024</v>
      </c>
      <c r="J5" s="56" t="s">
        <v>23037</v>
      </c>
    </row>
    <row r="6">
      <c r="A6" s="55" t="s">
        <v>357</v>
      </c>
      <c r="B6" s="55" t="s">
        <v>358</v>
      </c>
      <c r="C6" s="55" t="s">
        <v>176</v>
      </c>
      <c r="D6" s="55" t="s">
        <v>4142</v>
      </c>
      <c r="E6" s="56" t="s">
        <v>4143</v>
      </c>
      <c r="F6" s="55" t="s">
        <v>23038</v>
      </c>
      <c r="G6" s="55" t="s">
        <v>4171</v>
      </c>
      <c r="H6" s="56"/>
      <c r="I6" s="55" t="s">
        <v>23024</v>
      </c>
      <c r="J6" s="56" t="s">
        <v>4172</v>
      </c>
    </row>
    <row r="7">
      <c r="A7" s="55" t="s">
        <v>292</v>
      </c>
      <c r="B7" s="55" t="s">
        <v>1877</v>
      </c>
      <c r="C7" s="55" t="s">
        <v>219</v>
      </c>
      <c r="D7" s="55" t="s">
        <v>10738</v>
      </c>
      <c r="E7" s="56" t="s">
        <v>10739</v>
      </c>
      <c r="F7" s="55" t="s">
        <v>23039</v>
      </c>
      <c r="G7" s="55"/>
      <c r="H7" s="56" t="s">
        <v>23040</v>
      </c>
      <c r="I7" s="55" t="s">
        <v>23030</v>
      </c>
      <c r="J7" s="56" t="s">
        <v>23041</v>
      </c>
    </row>
    <row r="8">
      <c r="A8" s="55" t="s">
        <v>292</v>
      </c>
      <c r="B8" s="55" t="s">
        <v>13834</v>
      </c>
      <c r="C8" s="55" t="s">
        <v>219</v>
      </c>
      <c r="D8" s="55" t="s">
        <v>23042</v>
      </c>
      <c r="E8" s="56" t="s">
        <v>23043</v>
      </c>
      <c r="F8" s="55" t="s">
        <v>23044</v>
      </c>
      <c r="G8" s="55" t="s">
        <v>23045</v>
      </c>
      <c r="H8" s="56" t="s">
        <v>23046</v>
      </c>
      <c r="I8" s="55" t="s">
        <v>23030</v>
      </c>
      <c r="J8" s="56" t="s">
        <v>23047</v>
      </c>
    </row>
    <row r="9">
      <c r="A9" s="55" t="s">
        <v>292</v>
      </c>
      <c r="B9" s="55" t="s">
        <v>13834</v>
      </c>
      <c r="C9" s="55" t="s">
        <v>219</v>
      </c>
      <c r="D9" s="55" t="s">
        <v>23048</v>
      </c>
      <c r="E9" s="56" t="s">
        <v>23049</v>
      </c>
      <c r="F9" s="55" t="s">
        <v>23050</v>
      </c>
      <c r="G9" s="55" t="s">
        <v>23051</v>
      </c>
      <c r="H9" s="56" t="s">
        <v>23046</v>
      </c>
      <c r="I9" s="55" t="s">
        <v>23030</v>
      </c>
      <c r="J9" s="56" t="s">
        <v>23052</v>
      </c>
    </row>
    <row r="10">
      <c r="A10" s="55" t="s">
        <v>292</v>
      </c>
      <c r="B10" s="55" t="s">
        <v>11020</v>
      </c>
      <c r="C10" s="55" t="s">
        <v>219</v>
      </c>
      <c r="D10" s="55" t="s">
        <v>19652</v>
      </c>
      <c r="E10" s="56" t="s">
        <v>19653</v>
      </c>
      <c r="F10" s="55" t="s">
        <v>23053</v>
      </c>
      <c r="G10" s="55"/>
      <c r="H10" s="56"/>
      <c r="I10" s="55" t="s">
        <v>23024</v>
      </c>
      <c r="J10" s="56" t="s">
        <v>23054</v>
      </c>
    </row>
    <row r="11">
      <c r="A11" s="55" t="s">
        <v>461</v>
      </c>
      <c r="B11" s="55" t="s">
        <v>462</v>
      </c>
      <c r="C11" s="55" t="s">
        <v>219</v>
      </c>
      <c r="D11" s="55" t="s">
        <v>23055</v>
      </c>
      <c r="E11" s="56" t="s">
        <v>23056</v>
      </c>
      <c r="F11" s="55" t="s">
        <v>23057</v>
      </c>
      <c r="G11" s="55"/>
      <c r="H11" s="56" t="s">
        <v>23058</v>
      </c>
      <c r="I11" s="55" t="s">
        <v>23030</v>
      </c>
      <c r="J11" s="56" t="s">
        <v>23059</v>
      </c>
    </row>
    <row r="12">
      <c r="A12" s="58" t="s">
        <v>461</v>
      </c>
      <c r="B12" s="58" t="s">
        <v>462</v>
      </c>
      <c r="C12" s="58" t="s">
        <v>375</v>
      </c>
      <c r="D12" s="58" t="s">
        <v>23060</v>
      </c>
      <c r="E12" s="59" t="s">
        <v>23061</v>
      </c>
      <c r="F12" s="58" t="s">
        <v>23062</v>
      </c>
      <c r="G12" s="58"/>
      <c r="H12" s="59" t="s">
        <v>23058</v>
      </c>
      <c r="I12" s="58" t="s">
        <v>23030</v>
      </c>
      <c r="J12" s="59" t="s">
        <v>23063</v>
      </c>
    </row>
    <row r="13">
      <c r="A13" s="58" t="s">
        <v>357</v>
      </c>
      <c r="B13" s="58" t="s">
        <v>358</v>
      </c>
      <c r="C13" s="58" t="s">
        <v>9595</v>
      </c>
      <c r="D13" s="58" t="s">
        <v>18160</v>
      </c>
      <c r="E13" s="59" t="s">
        <v>18161</v>
      </c>
      <c r="F13" s="58" t="s">
        <v>23064</v>
      </c>
      <c r="G13" s="58"/>
      <c r="H13" s="59"/>
      <c r="I13" s="58" t="s">
        <v>23024</v>
      </c>
      <c r="J13" s="59" t="s">
        <v>23065</v>
      </c>
    </row>
    <row r="14">
      <c r="A14" s="58" t="s">
        <v>217</v>
      </c>
      <c r="B14" s="58" t="s">
        <v>2449</v>
      </c>
      <c r="C14" s="58" t="s">
        <v>8929</v>
      </c>
      <c r="D14" s="58" t="s">
        <v>23066</v>
      </c>
      <c r="E14" s="59" t="s">
        <v>23067</v>
      </c>
      <c r="F14" s="58" t="s">
        <v>23068</v>
      </c>
      <c r="G14" s="58"/>
      <c r="H14" s="59" t="s">
        <v>23069</v>
      </c>
      <c r="I14" s="58" t="s">
        <v>23030</v>
      </c>
      <c r="J14" s="59" t="s">
        <v>23070</v>
      </c>
    </row>
    <row r="15">
      <c r="A15" s="58" t="s">
        <v>217</v>
      </c>
      <c r="B15" s="58" t="s">
        <v>2449</v>
      </c>
      <c r="C15" s="58" t="s">
        <v>8929</v>
      </c>
      <c r="D15" s="58" t="s">
        <v>23071</v>
      </c>
      <c r="E15" s="59" t="s">
        <v>23072</v>
      </c>
      <c r="F15" s="58" t="s">
        <v>23073</v>
      </c>
      <c r="G15" s="58"/>
      <c r="H15" s="59" t="s">
        <v>23069</v>
      </c>
      <c r="I15" s="58" t="s">
        <v>23030</v>
      </c>
      <c r="J15" s="59" t="s">
        <v>23074</v>
      </c>
    </row>
    <row r="16">
      <c r="A16" s="58" t="s">
        <v>461</v>
      </c>
      <c r="B16" s="58" t="s">
        <v>2416</v>
      </c>
      <c r="C16" s="58" t="s">
        <v>219</v>
      </c>
      <c r="D16" s="58" t="s">
        <v>23075</v>
      </c>
      <c r="E16" s="59" t="s">
        <v>23076</v>
      </c>
      <c r="F16" s="58" t="s">
        <v>23077</v>
      </c>
      <c r="G16" s="58"/>
      <c r="H16" s="59" t="s">
        <v>23069</v>
      </c>
      <c r="I16" s="58" t="s">
        <v>23030</v>
      </c>
      <c r="J16" s="59" t="s">
        <v>23078</v>
      </c>
    </row>
    <row r="17">
      <c r="A17" s="58" t="s">
        <v>357</v>
      </c>
      <c r="B17" s="58" t="s">
        <v>4071</v>
      </c>
      <c r="C17" s="58" t="s">
        <v>512</v>
      </c>
      <c r="D17" s="58" t="s">
        <v>23079</v>
      </c>
      <c r="E17" s="59" t="s">
        <v>23080</v>
      </c>
      <c r="F17" s="58" t="s">
        <v>23081</v>
      </c>
      <c r="G17" s="58"/>
      <c r="H17" s="59" t="s">
        <v>23058</v>
      </c>
      <c r="I17" s="58" t="s">
        <v>23030</v>
      </c>
      <c r="J17" s="59" t="s">
        <v>23082</v>
      </c>
    </row>
    <row r="18">
      <c r="A18" s="58" t="s">
        <v>357</v>
      </c>
      <c r="B18" s="58" t="s">
        <v>4071</v>
      </c>
      <c r="C18" s="58" t="s">
        <v>512</v>
      </c>
      <c r="D18" s="58" t="s">
        <v>23083</v>
      </c>
      <c r="E18" s="59" t="s">
        <v>23084</v>
      </c>
      <c r="F18" s="58" t="s">
        <v>23085</v>
      </c>
      <c r="G18" s="58"/>
      <c r="H18" s="59" t="s">
        <v>23058</v>
      </c>
      <c r="I18" s="58" t="s">
        <v>23030</v>
      </c>
      <c r="J18" s="59" t="s">
        <v>23086</v>
      </c>
    </row>
    <row r="19">
      <c r="A19" s="58" t="s">
        <v>461</v>
      </c>
      <c r="B19" s="58" t="s">
        <v>462</v>
      </c>
      <c r="C19" s="58" t="s">
        <v>176</v>
      </c>
      <c r="D19" s="58" t="s">
        <v>12109</v>
      </c>
      <c r="E19" s="59" t="s">
        <v>12110</v>
      </c>
      <c r="F19" s="58" t="s">
        <v>23087</v>
      </c>
      <c r="G19" s="58"/>
      <c r="H19" s="59"/>
      <c r="I19" s="58" t="s">
        <v>23024</v>
      </c>
      <c r="J19" s="59" t="s">
        <v>23088</v>
      </c>
    </row>
    <row r="20">
      <c r="A20" s="58" t="s">
        <v>217</v>
      </c>
      <c r="B20" s="58" t="s">
        <v>2449</v>
      </c>
      <c r="C20" s="58" t="s">
        <v>512</v>
      </c>
      <c r="D20" s="58" t="s">
        <v>23089</v>
      </c>
      <c r="E20" s="59" t="s">
        <v>23090</v>
      </c>
      <c r="F20" s="58" t="s">
        <v>23091</v>
      </c>
      <c r="G20" s="58"/>
      <c r="H20" s="59" t="s">
        <v>23092</v>
      </c>
      <c r="I20" s="58" t="s">
        <v>23030</v>
      </c>
      <c r="J20" s="59" t="s">
        <v>23093</v>
      </c>
    </row>
    <row r="21">
      <c r="A21" s="58" t="s">
        <v>292</v>
      </c>
      <c r="B21" s="58" t="s">
        <v>23094</v>
      </c>
      <c r="C21" s="58" t="s">
        <v>324</v>
      </c>
      <c r="D21" s="58" t="s">
        <v>23095</v>
      </c>
      <c r="E21" s="59" t="s">
        <v>23096</v>
      </c>
      <c r="F21" s="58" t="s">
        <v>23097</v>
      </c>
      <c r="G21" s="58"/>
      <c r="H21" s="59" t="s">
        <v>23098</v>
      </c>
      <c r="I21" s="58" t="s">
        <v>23030</v>
      </c>
      <c r="J21" s="59" t="s">
        <v>23099</v>
      </c>
    </row>
    <row r="22">
      <c r="A22" s="58" t="s">
        <v>292</v>
      </c>
      <c r="B22" s="58" t="s">
        <v>23094</v>
      </c>
      <c r="C22" s="58" t="s">
        <v>375</v>
      </c>
      <c r="D22" s="58" t="s">
        <v>11254</v>
      </c>
      <c r="E22" s="59" t="s">
        <v>23100</v>
      </c>
      <c r="F22" s="58" t="s">
        <v>23101</v>
      </c>
      <c r="G22" s="58"/>
      <c r="H22" s="59" t="s">
        <v>23102</v>
      </c>
      <c r="I22" s="58" t="s">
        <v>23030</v>
      </c>
      <c r="J22" s="59" t="s">
        <v>23103</v>
      </c>
    </row>
    <row r="23">
      <c r="A23" s="58" t="s">
        <v>292</v>
      </c>
      <c r="B23" s="58" t="s">
        <v>23094</v>
      </c>
      <c r="C23" s="58" t="s">
        <v>375</v>
      </c>
      <c r="D23" s="58" t="s">
        <v>23104</v>
      </c>
      <c r="E23" s="59" t="s">
        <v>23105</v>
      </c>
      <c r="F23" s="58" t="s">
        <v>23106</v>
      </c>
      <c r="G23" s="58"/>
      <c r="H23" s="59" t="s">
        <v>23102</v>
      </c>
      <c r="I23" s="58" t="s">
        <v>23030</v>
      </c>
      <c r="J23" s="59" t="s">
        <v>23107</v>
      </c>
    </row>
    <row r="24">
      <c r="A24" s="58" t="s">
        <v>292</v>
      </c>
      <c r="B24" s="58" t="s">
        <v>23094</v>
      </c>
      <c r="C24" s="58" t="s">
        <v>219</v>
      </c>
      <c r="D24" s="58" t="s">
        <v>23108</v>
      </c>
      <c r="E24" s="59" t="s">
        <v>23109</v>
      </c>
      <c r="F24" s="58" t="s">
        <v>23110</v>
      </c>
      <c r="G24" s="58"/>
      <c r="H24" s="59" t="s">
        <v>23111</v>
      </c>
      <c r="I24" s="58" t="s">
        <v>23030</v>
      </c>
      <c r="J24" s="59" t="s">
        <v>23112</v>
      </c>
    </row>
    <row r="25">
      <c r="A25" s="58"/>
      <c r="B25" s="58"/>
      <c r="C25" s="58"/>
      <c r="D25" s="58"/>
      <c r="E25" s="59"/>
      <c r="F25" s="58"/>
      <c r="G25" s="58"/>
      <c r="H25" s="59"/>
      <c r="I25" s="58"/>
      <c r="J25" s="59"/>
    </row>
    <row r="26">
      <c r="A26" s="58" t="s">
        <v>234</v>
      </c>
      <c r="B26" s="58" t="s">
        <v>7113</v>
      </c>
      <c r="C26" s="58" t="s">
        <v>375</v>
      </c>
      <c r="D26" s="58" t="s">
        <v>23113</v>
      </c>
      <c r="E26" s="59" t="s">
        <v>23114</v>
      </c>
      <c r="F26" s="58" t="s">
        <v>23115</v>
      </c>
      <c r="G26" s="58"/>
      <c r="H26" s="59" t="s">
        <v>23116</v>
      </c>
      <c r="I26" s="58" t="s">
        <v>23030</v>
      </c>
      <c r="J26" s="59" t="s">
        <v>23117</v>
      </c>
    </row>
    <row r="27">
      <c r="A27" s="58" t="s">
        <v>217</v>
      </c>
      <c r="B27" s="58" t="s">
        <v>11424</v>
      </c>
      <c r="C27" s="58" t="s">
        <v>219</v>
      </c>
      <c r="D27" s="58" t="s">
        <v>23118</v>
      </c>
      <c r="E27" s="59" t="s">
        <v>23119</v>
      </c>
      <c r="F27" s="58" t="s">
        <v>23120</v>
      </c>
      <c r="G27" s="58"/>
      <c r="H27" s="59" t="s">
        <v>23121</v>
      </c>
      <c r="I27" s="58" t="s">
        <v>23030</v>
      </c>
      <c r="J27" s="59" t="s">
        <v>23122</v>
      </c>
    </row>
    <row r="28">
      <c r="A28" s="58" t="s">
        <v>292</v>
      </c>
      <c r="B28" s="58" t="s">
        <v>493</v>
      </c>
      <c r="C28" s="58" t="s">
        <v>494</v>
      </c>
      <c r="D28" s="58" t="s">
        <v>495</v>
      </c>
      <c r="E28" s="59" t="s">
        <v>496</v>
      </c>
      <c r="F28" s="58" t="s">
        <v>23123</v>
      </c>
      <c r="G28" s="58"/>
      <c r="H28" s="59"/>
      <c r="I28" s="58" t="s">
        <v>23024</v>
      </c>
      <c r="J28" s="59" t="s">
        <v>23124</v>
      </c>
    </row>
    <row r="29">
      <c r="A29" s="58" t="s">
        <v>357</v>
      </c>
      <c r="B29" s="58" t="s">
        <v>358</v>
      </c>
      <c r="C29" s="58" t="s">
        <v>9260</v>
      </c>
      <c r="D29" s="58" t="s">
        <v>18827</v>
      </c>
      <c r="E29" s="59" t="s">
        <v>18828</v>
      </c>
      <c r="F29" s="58" t="s">
        <v>23125</v>
      </c>
      <c r="G29" s="58"/>
      <c r="H29" s="59"/>
      <c r="I29" s="58" t="s">
        <v>23024</v>
      </c>
      <c r="J29" s="59" t="s">
        <v>23126</v>
      </c>
    </row>
    <row r="30">
      <c r="A30" s="58" t="s">
        <v>357</v>
      </c>
      <c r="B30" s="58" t="s">
        <v>358</v>
      </c>
      <c r="C30" s="58" t="s">
        <v>9260</v>
      </c>
      <c r="D30" s="58" t="s">
        <v>18866</v>
      </c>
      <c r="E30" s="59" t="s">
        <v>18867</v>
      </c>
      <c r="F30" s="58" t="s">
        <v>23127</v>
      </c>
      <c r="G30" s="58"/>
      <c r="H30" s="59"/>
      <c r="I30" s="58" t="s">
        <v>23024</v>
      </c>
      <c r="J30" s="59" t="s">
        <v>23128</v>
      </c>
    </row>
    <row r="31">
      <c r="A31" s="58" t="s">
        <v>357</v>
      </c>
      <c r="B31" s="58" t="s">
        <v>23129</v>
      </c>
      <c r="C31" s="58" t="s">
        <v>375</v>
      </c>
      <c r="D31" s="58" t="s">
        <v>23130</v>
      </c>
      <c r="E31" s="59" t="s">
        <v>23131</v>
      </c>
      <c r="F31" s="58" t="s">
        <v>23132</v>
      </c>
      <c r="G31" s="58"/>
      <c r="H31" s="59" t="s">
        <v>23133</v>
      </c>
      <c r="I31" s="58" t="s">
        <v>23030</v>
      </c>
      <c r="J31" s="59" t="s">
        <v>23134</v>
      </c>
    </row>
    <row r="32">
      <c r="A32" s="58" t="s">
        <v>357</v>
      </c>
      <c r="B32" s="58" t="s">
        <v>23129</v>
      </c>
      <c r="C32" s="58" t="s">
        <v>219</v>
      </c>
      <c r="D32" s="58" t="s">
        <v>23135</v>
      </c>
      <c r="E32" s="59" t="s">
        <v>23136</v>
      </c>
      <c r="F32" s="58" t="s">
        <v>23137</v>
      </c>
      <c r="G32" s="58"/>
      <c r="H32" s="59" t="s">
        <v>23138</v>
      </c>
      <c r="I32" s="58" t="s">
        <v>23030</v>
      </c>
      <c r="J32" s="59" t="s">
        <v>23139</v>
      </c>
    </row>
    <row r="33">
      <c r="A33" s="58" t="s">
        <v>357</v>
      </c>
      <c r="B33" s="58" t="s">
        <v>23129</v>
      </c>
      <c r="C33" s="58" t="s">
        <v>219</v>
      </c>
      <c r="D33" s="58" t="s">
        <v>23140</v>
      </c>
      <c r="E33" s="59" t="s">
        <v>23141</v>
      </c>
      <c r="F33" s="58" t="s">
        <v>23142</v>
      </c>
      <c r="G33" s="58"/>
      <c r="H33" s="59" t="s">
        <v>23143</v>
      </c>
      <c r="I33" s="58" t="s">
        <v>23030</v>
      </c>
      <c r="J33" s="59" t="s">
        <v>23144</v>
      </c>
    </row>
    <row r="34">
      <c r="A34" s="58" t="s">
        <v>357</v>
      </c>
      <c r="B34" s="58" t="s">
        <v>23129</v>
      </c>
      <c r="C34" s="58" t="s">
        <v>324</v>
      </c>
      <c r="D34" s="58" t="s">
        <v>23145</v>
      </c>
      <c r="E34" s="59" t="s">
        <v>23146</v>
      </c>
      <c r="F34" s="58" t="s">
        <v>23147</v>
      </c>
      <c r="G34" s="58"/>
      <c r="H34" s="59" t="s">
        <v>23069</v>
      </c>
      <c r="I34" s="58" t="s">
        <v>23030</v>
      </c>
      <c r="J34" s="59" t="s">
        <v>23148</v>
      </c>
    </row>
    <row r="35">
      <c r="A35" s="58" t="s">
        <v>217</v>
      </c>
      <c r="B35" s="58" t="s">
        <v>23149</v>
      </c>
      <c r="C35" s="58" t="s">
        <v>15119</v>
      </c>
      <c r="D35" s="58" t="s">
        <v>23150</v>
      </c>
      <c r="E35" s="59" t="s">
        <v>23151</v>
      </c>
      <c r="F35" s="58" t="s">
        <v>23152</v>
      </c>
      <c r="G35" s="58"/>
      <c r="H35" s="59" t="s">
        <v>23153</v>
      </c>
      <c r="I35" s="58" t="s">
        <v>23030</v>
      </c>
      <c r="J35" s="59" t="s">
        <v>23154</v>
      </c>
    </row>
    <row r="36">
      <c r="A36" s="58" t="s">
        <v>23155</v>
      </c>
      <c r="B36" s="58" t="s">
        <v>15118</v>
      </c>
      <c r="C36" s="58" t="s">
        <v>15119</v>
      </c>
      <c r="D36" s="58" t="s">
        <v>23156</v>
      </c>
      <c r="E36" s="59" t="s">
        <v>23157</v>
      </c>
      <c r="F36" s="58" t="s">
        <v>23158</v>
      </c>
      <c r="G36" s="58"/>
      <c r="H36" s="59" t="s">
        <v>23159</v>
      </c>
      <c r="I36" s="58" t="s">
        <v>23030</v>
      </c>
      <c r="J36" s="59" t="s">
        <v>23160</v>
      </c>
    </row>
    <row r="37">
      <c r="A37" s="58" t="s">
        <v>217</v>
      </c>
      <c r="B37" s="58" t="s">
        <v>2449</v>
      </c>
      <c r="C37" s="58" t="s">
        <v>8162</v>
      </c>
      <c r="D37" s="58" t="s">
        <v>8163</v>
      </c>
      <c r="E37" s="59" t="s">
        <v>8164</v>
      </c>
      <c r="F37" s="58" t="s">
        <v>23161</v>
      </c>
      <c r="G37" s="58"/>
      <c r="H37" s="59"/>
      <c r="I37" s="58" t="s">
        <v>23024</v>
      </c>
      <c r="J37" s="59" t="s">
        <v>23162</v>
      </c>
    </row>
    <row r="38">
      <c r="A38" s="58" t="s">
        <v>217</v>
      </c>
      <c r="B38" s="58" t="s">
        <v>2449</v>
      </c>
      <c r="C38" s="58" t="s">
        <v>8162</v>
      </c>
      <c r="D38" s="58" t="s">
        <v>8221</v>
      </c>
      <c r="E38" s="59" t="s">
        <v>8222</v>
      </c>
      <c r="F38" s="60" t="s">
        <v>23163</v>
      </c>
      <c r="G38" s="58"/>
      <c r="H38" s="59"/>
      <c r="I38" s="58" t="s">
        <v>23024</v>
      </c>
      <c r="J38" s="59" t="s">
        <v>23164</v>
      </c>
    </row>
    <row r="39">
      <c r="A39" s="58" t="s">
        <v>217</v>
      </c>
      <c r="B39" s="58" t="s">
        <v>7566</v>
      </c>
      <c r="C39" s="58" t="s">
        <v>23165</v>
      </c>
      <c r="D39" s="58" t="s">
        <v>23166</v>
      </c>
      <c r="E39" s="59" t="s">
        <v>23167</v>
      </c>
      <c r="F39" s="58" t="s">
        <v>23168</v>
      </c>
      <c r="G39" s="58"/>
      <c r="H39" s="59" t="s">
        <v>23169</v>
      </c>
      <c r="I39" s="58" t="s">
        <v>23030</v>
      </c>
      <c r="J39" s="59" t="s">
        <v>23170</v>
      </c>
    </row>
    <row r="40">
      <c r="A40" s="58" t="s">
        <v>217</v>
      </c>
      <c r="B40" s="58" t="s">
        <v>7566</v>
      </c>
      <c r="C40" s="58" t="s">
        <v>23165</v>
      </c>
      <c r="D40" s="58" t="s">
        <v>23171</v>
      </c>
      <c r="E40" s="59" t="s">
        <v>23172</v>
      </c>
      <c r="F40" s="58" t="s">
        <v>23173</v>
      </c>
      <c r="G40" s="58"/>
      <c r="H40" s="59" t="s">
        <v>23174</v>
      </c>
      <c r="I40" s="58" t="s">
        <v>23030</v>
      </c>
      <c r="J40" s="59" t="s">
        <v>23175</v>
      </c>
    </row>
    <row r="41">
      <c r="A41" s="58" t="s">
        <v>217</v>
      </c>
      <c r="B41" s="58" t="s">
        <v>7566</v>
      </c>
      <c r="C41" s="58" t="s">
        <v>23165</v>
      </c>
      <c r="D41" s="58" t="s">
        <v>23176</v>
      </c>
      <c r="E41" s="59" t="s">
        <v>23177</v>
      </c>
      <c r="F41" s="58" t="s">
        <v>23178</v>
      </c>
      <c r="G41" s="58"/>
      <c r="H41" s="59" t="s">
        <v>23174</v>
      </c>
      <c r="I41" s="58" t="s">
        <v>23030</v>
      </c>
      <c r="J41" s="59" t="s">
        <v>23179</v>
      </c>
    </row>
    <row r="42">
      <c r="A42" s="58" t="s">
        <v>1099</v>
      </c>
      <c r="B42" s="58" t="s">
        <v>1132</v>
      </c>
      <c r="C42" s="58" t="s">
        <v>375</v>
      </c>
      <c r="D42" s="58" t="s">
        <v>23180</v>
      </c>
      <c r="E42" s="59" t="s">
        <v>23181</v>
      </c>
      <c r="F42" s="58" t="s">
        <v>23182</v>
      </c>
      <c r="G42" s="58" t="s">
        <v>23183</v>
      </c>
      <c r="H42" s="59" t="s">
        <v>23184</v>
      </c>
      <c r="I42" s="58" t="s">
        <v>23030</v>
      </c>
      <c r="J42" s="59" t="s">
        <v>23185</v>
      </c>
    </row>
    <row r="43">
      <c r="A43" s="58" t="s">
        <v>1099</v>
      </c>
      <c r="B43" s="58" t="s">
        <v>1132</v>
      </c>
      <c r="C43" s="58" t="s">
        <v>375</v>
      </c>
      <c r="D43" s="58" t="s">
        <v>23186</v>
      </c>
      <c r="E43" s="59" t="s">
        <v>23187</v>
      </c>
      <c r="F43" s="58" t="s">
        <v>23188</v>
      </c>
      <c r="G43" s="58" t="s">
        <v>23189</v>
      </c>
      <c r="H43" s="59" t="s">
        <v>23184</v>
      </c>
      <c r="I43" s="58" t="s">
        <v>23030</v>
      </c>
      <c r="J43" s="59" t="s">
        <v>23190</v>
      </c>
    </row>
    <row r="44">
      <c r="A44" s="58" t="s">
        <v>1099</v>
      </c>
      <c r="B44" s="58" t="s">
        <v>1132</v>
      </c>
      <c r="C44" s="58" t="s">
        <v>375</v>
      </c>
      <c r="D44" s="58" t="s">
        <v>23191</v>
      </c>
      <c r="E44" s="59" t="s">
        <v>23192</v>
      </c>
      <c r="F44" s="58" t="s">
        <v>23193</v>
      </c>
      <c r="G44" s="58" t="s">
        <v>23194</v>
      </c>
      <c r="H44" s="59" t="s">
        <v>23184</v>
      </c>
      <c r="I44" s="58" t="s">
        <v>23030</v>
      </c>
      <c r="J44" s="59" t="s">
        <v>23195</v>
      </c>
    </row>
    <row r="45">
      <c r="A45" s="58" t="s">
        <v>1099</v>
      </c>
      <c r="B45" s="58" t="s">
        <v>1132</v>
      </c>
      <c r="C45" s="58" t="s">
        <v>375</v>
      </c>
      <c r="D45" s="58" t="s">
        <v>23196</v>
      </c>
      <c r="E45" s="59" t="s">
        <v>23197</v>
      </c>
      <c r="F45" s="58" t="s">
        <v>23198</v>
      </c>
      <c r="G45" s="58" t="s">
        <v>23199</v>
      </c>
      <c r="H45" s="59" t="s">
        <v>23184</v>
      </c>
      <c r="I45" s="58" t="s">
        <v>23030</v>
      </c>
      <c r="J45" s="59" t="s">
        <v>23200</v>
      </c>
    </row>
    <row r="46">
      <c r="A46" s="58" t="s">
        <v>1099</v>
      </c>
      <c r="B46" s="58" t="s">
        <v>1132</v>
      </c>
      <c r="C46" s="58" t="s">
        <v>375</v>
      </c>
      <c r="D46" s="58" t="s">
        <v>23201</v>
      </c>
      <c r="E46" s="59" t="s">
        <v>23202</v>
      </c>
      <c r="F46" s="58" t="s">
        <v>23203</v>
      </c>
      <c r="G46" s="58" t="s">
        <v>23204</v>
      </c>
      <c r="H46" s="59" t="s">
        <v>23184</v>
      </c>
      <c r="I46" s="58" t="s">
        <v>23030</v>
      </c>
      <c r="J46" s="59" t="s">
        <v>23205</v>
      </c>
    </row>
    <row r="47">
      <c r="A47" s="58" t="s">
        <v>1099</v>
      </c>
      <c r="B47" s="58" t="s">
        <v>1132</v>
      </c>
      <c r="C47" s="58" t="s">
        <v>375</v>
      </c>
      <c r="D47" s="58" t="s">
        <v>16573</v>
      </c>
      <c r="E47" s="59" t="s">
        <v>16574</v>
      </c>
      <c r="F47" s="58" t="s">
        <v>23206</v>
      </c>
      <c r="G47" s="58" t="s">
        <v>16585</v>
      </c>
      <c r="H47" s="59"/>
      <c r="I47" s="58" t="s">
        <v>23024</v>
      </c>
      <c r="J47" s="59" t="s">
        <v>16586</v>
      </c>
    </row>
    <row r="48">
      <c r="A48" s="58" t="s">
        <v>1099</v>
      </c>
      <c r="B48" s="58" t="s">
        <v>23207</v>
      </c>
      <c r="C48" s="58" t="s">
        <v>15119</v>
      </c>
      <c r="D48" s="58" t="s">
        <v>23208</v>
      </c>
      <c r="E48" s="59" t="s">
        <v>23209</v>
      </c>
      <c r="F48" s="58" t="s">
        <v>23210</v>
      </c>
      <c r="G48" s="58"/>
      <c r="H48" s="59" t="s">
        <v>23211</v>
      </c>
      <c r="I48" s="58" t="s">
        <v>23030</v>
      </c>
      <c r="J48" s="59" t="s">
        <v>23212</v>
      </c>
    </row>
    <row r="49">
      <c r="A49" s="58" t="s">
        <v>217</v>
      </c>
      <c r="B49" s="58" t="s">
        <v>7566</v>
      </c>
      <c r="C49" s="58" t="s">
        <v>219</v>
      </c>
      <c r="D49" s="58" t="s">
        <v>23213</v>
      </c>
      <c r="E49" s="59" t="s">
        <v>23214</v>
      </c>
      <c r="F49" s="58" t="s">
        <v>23215</v>
      </c>
      <c r="G49" s="58"/>
      <c r="H49" s="59" t="s">
        <v>23216</v>
      </c>
      <c r="I49" s="58" t="s">
        <v>23030</v>
      </c>
      <c r="J49" s="59" t="s">
        <v>23217</v>
      </c>
    </row>
    <row r="50">
      <c r="A50" s="58" t="s">
        <v>217</v>
      </c>
      <c r="B50" s="58" t="s">
        <v>7566</v>
      </c>
      <c r="C50" s="58" t="s">
        <v>219</v>
      </c>
      <c r="D50" s="58" t="s">
        <v>23218</v>
      </c>
      <c r="E50" s="59" t="s">
        <v>23219</v>
      </c>
      <c r="F50" s="58" t="s">
        <v>23220</v>
      </c>
      <c r="G50" s="58"/>
      <c r="H50" s="59" t="s">
        <v>23216</v>
      </c>
      <c r="I50" s="58" t="s">
        <v>23030</v>
      </c>
      <c r="J50" s="59" t="s">
        <v>23221</v>
      </c>
    </row>
    <row r="51">
      <c r="A51" s="58" t="s">
        <v>357</v>
      </c>
      <c r="B51" s="58" t="s">
        <v>358</v>
      </c>
      <c r="C51" s="58" t="s">
        <v>219</v>
      </c>
      <c r="D51" s="58" t="s">
        <v>22611</v>
      </c>
      <c r="E51" s="59" t="s">
        <v>22612</v>
      </c>
      <c r="F51" s="58" t="s">
        <v>23222</v>
      </c>
      <c r="G51" s="58"/>
      <c r="H51" s="59"/>
      <c r="I51" s="58" t="s">
        <v>23024</v>
      </c>
      <c r="J51" s="59" t="s">
        <v>23223</v>
      </c>
    </row>
    <row r="52">
      <c r="A52" s="58" t="s">
        <v>357</v>
      </c>
      <c r="B52" s="58" t="s">
        <v>358</v>
      </c>
      <c r="C52" s="58" t="s">
        <v>9260</v>
      </c>
      <c r="D52" s="58" t="s">
        <v>17958</v>
      </c>
      <c r="E52" s="59" t="s">
        <v>17959</v>
      </c>
      <c r="F52" s="58" t="s">
        <v>23224</v>
      </c>
      <c r="G52" s="58" t="s">
        <v>17994</v>
      </c>
      <c r="H52" s="59"/>
      <c r="I52" s="58" t="s">
        <v>23024</v>
      </c>
      <c r="J52" s="59" t="s">
        <v>17995</v>
      </c>
    </row>
    <row r="53">
      <c r="A53" s="58" t="s">
        <v>292</v>
      </c>
      <c r="B53" s="58" t="s">
        <v>23225</v>
      </c>
      <c r="C53" s="58" t="s">
        <v>15119</v>
      </c>
      <c r="D53" s="58" t="s">
        <v>23226</v>
      </c>
      <c r="E53" s="59" t="s">
        <v>23227</v>
      </c>
      <c r="F53" s="58" t="s">
        <v>23228</v>
      </c>
      <c r="G53" s="58"/>
      <c r="H53" s="59" t="s">
        <v>23229</v>
      </c>
      <c r="I53" s="58" t="s">
        <v>23030</v>
      </c>
      <c r="J53" s="59" t="s">
        <v>23230</v>
      </c>
    </row>
    <row r="54">
      <c r="A54" s="58" t="s">
        <v>292</v>
      </c>
      <c r="B54" s="58" t="s">
        <v>391</v>
      </c>
      <c r="C54" s="58" t="s">
        <v>219</v>
      </c>
      <c r="D54" s="58" t="s">
        <v>23231</v>
      </c>
      <c r="E54" s="59" t="s">
        <v>23232</v>
      </c>
      <c r="F54" s="58" t="s">
        <v>23233</v>
      </c>
      <c r="G54" s="58"/>
      <c r="H54" s="59" t="s">
        <v>23234</v>
      </c>
      <c r="I54" s="58" t="s">
        <v>23030</v>
      </c>
      <c r="J54" s="59" t="s">
        <v>23235</v>
      </c>
    </row>
    <row r="55">
      <c r="A55" s="58" t="s">
        <v>292</v>
      </c>
      <c r="B55" s="58" t="s">
        <v>13789</v>
      </c>
      <c r="C55" s="58" t="s">
        <v>219</v>
      </c>
      <c r="D55" s="58" t="s">
        <v>23236</v>
      </c>
      <c r="E55" s="59" t="s">
        <v>23237</v>
      </c>
      <c r="F55" s="58" t="s">
        <v>23238</v>
      </c>
      <c r="G55" s="58"/>
      <c r="H55" s="59" t="s">
        <v>23239</v>
      </c>
      <c r="I55" s="58" t="s">
        <v>23030</v>
      </c>
      <c r="J55" s="59" t="s">
        <v>23240</v>
      </c>
    </row>
    <row r="56">
      <c r="A56" s="58" t="s">
        <v>292</v>
      </c>
      <c r="B56" s="58" t="s">
        <v>11020</v>
      </c>
      <c r="C56" s="58" t="s">
        <v>219</v>
      </c>
      <c r="D56" s="58" t="s">
        <v>23241</v>
      </c>
      <c r="E56" s="59" t="s">
        <v>23242</v>
      </c>
      <c r="F56" s="58" t="s">
        <v>23243</v>
      </c>
      <c r="G56" s="58"/>
      <c r="H56" s="59" t="s">
        <v>23239</v>
      </c>
      <c r="I56" s="58" t="s">
        <v>23030</v>
      </c>
      <c r="J56" s="59" t="s">
        <v>23244</v>
      </c>
    </row>
    <row r="57">
      <c r="A57" s="58" t="s">
        <v>292</v>
      </c>
      <c r="B57" s="58" t="s">
        <v>11035</v>
      </c>
      <c r="C57" s="58" t="s">
        <v>219</v>
      </c>
      <c r="D57" s="58" t="s">
        <v>23245</v>
      </c>
      <c r="E57" s="59" t="s">
        <v>23246</v>
      </c>
      <c r="F57" s="58" t="s">
        <v>23247</v>
      </c>
      <c r="G57" s="58"/>
      <c r="H57" s="59" t="s">
        <v>23229</v>
      </c>
      <c r="I57" s="58" t="s">
        <v>23030</v>
      </c>
      <c r="J57" s="59" t="s">
        <v>23248</v>
      </c>
    </row>
    <row r="58">
      <c r="A58" s="58" t="s">
        <v>292</v>
      </c>
      <c r="B58" s="58" t="s">
        <v>11041</v>
      </c>
      <c r="C58" s="58" t="s">
        <v>219</v>
      </c>
      <c r="D58" s="58" t="s">
        <v>23249</v>
      </c>
      <c r="E58" s="59" t="s">
        <v>23250</v>
      </c>
      <c r="F58" s="58" t="s">
        <v>23251</v>
      </c>
      <c r="G58" s="58"/>
      <c r="H58" s="59" t="s">
        <v>23229</v>
      </c>
      <c r="I58" s="58" t="s">
        <v>23030</v>
      </c>
      <c r="J58" s="59" t="s">
        <v>23252</v>
      </c>
    </row>
    <row r="59">
      <c r="A59" s="58" t="s">
        <v>292</v>
      </c>
      <c r="B59" s="58" t="s">
        <v>1975</v>
      </c>
      <c r="C59" s="58" t="s">
        <v>219</v>
      </c>
      <c r="D59" s="58" t="s">
        <v>23253</v>
      </c>
      <c r="E59" s="59" t="s">
        <v>23254</v>
      </c>
      <c r="F59" s="58" t="s">
        <v>23255</v>
      </c>
      <c r="G59" s="58"/>
      <c r="H59" s="59" t="s">
        <v>23229</v>
      </c>
      <c r="I59" s="58" t="s">
        <v>23030</v>
      </c>
      <c r="J59" s="59" t="s">
        <v>23256</v>
      </c>
    </row>
    <row r="60">
      <c r="A60" s="58" t="s">
        <v>217</v>
      </c>
      <c r="B60" s="58" t="s">
        <v>11468</v>
      </c>
      <c r="C60" s="58" t="s">
        <v>219</v>
      </c>
      <c r="D60" s="58" t="s">
        <v>20488</v>
      </c>
      <c r="E60" s="59" t="s">
        <v>20489</v>
      </c>
      <c r="F60" s="58" t="s">
        <v>23257</v>
      </c>
      <c r="G60" s="58"/>
      <c r="H60" s="59"/>
      <c r="I60" s="58" t="s">
        <v>23024</v>
      </c>
      <c r="J60" s="59" t="s">
        <v>23258</v>
      </c>
    </row>
    <row r="61">
      <c r="A61" s="58" t="s">
        <v>1099</v>
      </c>
      <c r="B61" s="58" t="s">
        <v>1258</v>
      </c>
      <c r="C61" s="58" t="s">
        <v>512</v>
      </c>
      <c r="D61" s="58" t="s">
        <v>23259</v>
      </c>
      <c r="E61" s="59" t="s">
        <v>23260</v>
      </c>
      <c r="F61" s="58" t="s">
        <v>23261</v>
      </c>
      <c r="G61" s="58" t="s">
        <v>23262</v>
      </c>
      <c r="H61" s="59" t="s">
        <v>23229</v>
      </c>
      <c r="I61" s="58" t="s">
        <v>23030</v>
      </c>
      <c r="J61" s="59" t="s">
        <v>23263</v>
      </c>
    </row>
    <row r="62">
      <c r="A62" s="58" t="s">
        <v>1099</v>
      </c>
      <c r="B62" s="58" t="s">
        <v>1258</v>
      </c>
      <c r="C62" s="58" t="s">
        <v>176</v>
      </c>
      <c r="D62" s="58" t="s">
        <v>15157</v>
      </c>
      <c r="E62" s="59" t="s">
        <v>15158</v>
      </c>
      <c r="F62" s="58" t="s">
        <v>23264</v>
      </c>
      <c r="G62" s="58"/>
      <c r="H62" s="59"/>
      <c r="I62" s="58" t="s">
        <v>23024</v>
      </c>
      <c r="J62" s="59" t="s">
        <v>23265</v>
      </c>
    </row>
    <row r="63">
      <c r="A63" s="58" t="s">
        <v>1099</v>
      </c>
      <c r="B63" s="58" t="s">
        <v>716</v>
      </c>
      <c r="C63" s="58" t="s">
        <v>176</v>
      </c>
      <c r="D63" s="58" t="s">
        <v>1100</v>
      </c>
      <c r="E63" s="59" t="s">
        <v>1101</v>
      </c>
      <c r="F63" s="58" t="s">
        <v>23266</v>
      </c>
      <c r="G63" s="58" t="s">
        <v>1130</v>
      </c>
      <c r="H63" s="59"/>
      <c r="I63" s="58" t="s">
        <v>23024</v>
      </c>
      <c r="J63" s="59" t="s">
        <v>1131</v>
      </c>
    </row>
    <row r="64">
      <c r="A64" s="58" t="s">
        <v>1099</v>
      </c>
      <c r="B64" s="58" t="s">
        <v>617</v>
      </c>
      <c r="C64" s="58" t="s">
        <v>375</v>
      </c>
      <c r="D64" s="58" t="s">
        <v>23267</v>
      </c>
      <c r="E64" s="59" t="s">
        <v>23268</v>
      </c>
      <c r="F64" s="58" t="s">
        <v>23269</v>
      </c>
      <c r="G64" s="58"/>
      <c r="H64" s="59" t="s">
        <v>23270</v>
      </c>
      <c r="I64" s="58" t="s">
        <v>23030</v>
      </c>
      <c r="J64" s="59" t="s">
        <v>23271</v>
      </c>
    </row>
    <row r="65">
      <c r="A65" s="58" t="s">
        <v>1099</v>
      </c>
      <c r="B65" s="58" t="s">
        <v>2226</v>
      </c>
      <c r="C65" s="58" t="s">
        <v>324</v>
      </c>
      <c r="D65" s="58" t="s">
        <v>23272</v>
      </c>
      <c r="E65" s="59" t="s">
        <v>23273</v>
      </c>
      <c r="F65" s="58" t="s">
        <v>23274</v>
      </c>
      <c r="G65" s="58"/>
      <c r="H65" s="59" t="s">
        <v>23275</v>
      </c>
      <c r="I65" s="58" t="s">
        <v>23030</v>
      </c>
      <c r="J65" s="59" t="s">
        <v>23276</v>
      </c>
    </row>
    <row r="66">
      <c r="A66" s="58" t="s">
        <v>357</v>
      </c>
      <c r="B66" s="58" t="s">
        <v>6313</v>
      </c>
      <c r="C66" s="58" t="s">
        <v>512</v>
      </c>
      <c r="D66" s="58" t="s">
        <v>6314</v>
      </c>
      <c r="E66" s="59" t="s">
        <v>23277</v>
      </c>
      <c r="F66" s="58" t="s">
        <v>23278</v>
      </c>
      <c r="G66" s="58" t="s">
        <v>23279</v>
      </c>
      <c r="H66" s="59" t="s">
        <v>23280</v>
      </c>
      <c r="I66" s="58" t="s">
        <v>23030</v>
      </c>
      <c r="J66" s="59" t="s">
        <v>23281</v>
      </c>
    </row>
    <row r="67">
      <c r="A67" s="58" t="s">
        <v>292</v>
      </c>
      <c r="B67" s="58" t="s">
        <v>1610</v>
      </c>
      <c r="C67" s="58" t="s">
        <v>512</v>
      </c>
      <c r="D67" s="58" t="s">
        <v>23282</v>
      </c>
      <c r="E67" s="59" t="s">
        <v>23283</v>
      </c>
      <c r="F67" s="58" t="s">
        <v>23284</v>
      </c>
      <c r="G67" s="58" t="s">
        <v>23285</v>
      </c>
      <c r="H67" s="59" t="s">
        <v>23286</v>
      </c>
      <c r="I67" s="58" t="s">
        <v>23030</v>
      </c>
      <c r="J67" s="59" t="s">
        <v>23287</v>
      </c>
    </row>
    <row r="68">
      <c r="A68" s="58" t="s">
        <v>357</v>
      </c>
      <c r="B68" s="58" t="s">
        <v>4344</v>
      </c>
      <c r="C68" s="58" t="s">
        <v>375</v>
      </c>
      <c r="D68" s="58" t="s">
        <v>23288</v>
      </c>
      <c r="E68" s="59" t="s">
        <v>23289</v>
      </c>
      <c r="F68" s="58" t="s">
        <v>23290</v>
      </c>
      <c r="G68" s="58" t="s">
        <v>23291</v>
      </c>
      <c r="H68" s="59" t="s">
        <v>23292</v>
      </c>
      <c r="I68" s="58" t="s">
        <v>23030</v>
      </c>
      <c r="J68" s="59" t="s">
        <v>23293</v>
      </c>
    </row>
    <row r="69">
      <c r="A69" s="58" t="s">
        <v>292</v>
      </c>
      <c r="B69" s="58" t="s">
        <v>23294</v>
      </c>
      <c r="C69" s="58" t="s">
        <v>512</v>
      </c>
      <c r="D69" s="58" t="s">
        <v>23295</v>
      </c>
      <c r="E69" s="59" t="s">
        <v>23296</v>
      </c>
      <c r="F69" s="58" t="s">
        <v>23297</v>
      </c>
      <c r="G69" s="58" t="s">
        <v>23298</v>
      </c>
      <c r="H69" s="59" t="s">
        <v>23299</v>
      </c>
      <c r="I69" s="58" t="s">
        <v>23030</v>
      </c>
      <c r="J69" s="59" t="s">
        <v>23300</v>
      </c>
    </row>
    <row r="70">
      <c r="A70" s="58" t="s">
        <v>1099</v>
      </c>
      <c r="B70" s="58" t="s">
        <v>1359</v>
      </c>
      <c r="C70" s="58" t="s">
        <v>375</v>
      </c>
      <c r="D70" s="58" t="s">
        <v>22698</v>
      </c>
      <c r="E70" s="59" t="s">
        <v>22699</v>
      </c>
      <c r="F70" s="58" t="s">
        <v>23301</v>
      </c>
      <c r="G70" s="58" t="s">
        <v>22710</v>
      </c>
      <c r="H70" s="59"/>
      <c r="I70" s="58" t="s">
        <v>23024</v>
      </c>
      <c r="J70" s="59" t="s">
        <v>22711</v>
      </c>
    </row>
    <row r="71">
      <c r="A71" s="58" t="s">
        <v>217</v>
      </c>
      <c r="B71" s="58" t="s">
        <v>23302</v>
      </c>
      <c r="C71" s="58" t="s">
        <v>494</v>
      </c>
      <c r="D71" s="58" t="s">
        <v>23303</v>
      </c>
      <c r="E71" s="59" t="s">
        <v>23304</v>
      </c>
      <c r="F71" s="58" t="s">
        <v>23305</v>
      </c>
      <c r="G71" s="58"/>
      <c r="H71" s="59" t="s">
        <v>23306</v>
      </c>
      <c r="I71" s="58" t="s">
        <v>23030</v>
      </c>
      <c r="J71" s="59" t="s">
        <v>23307</v>
      </c>
    </row>
    <row r="72">
      <c r="A72" s="58" t="s">
        <v>217</v>
      </c>
      <c r="B72" s="58" t="s">
        <v>22712</v>
      </c>
      <c r="C72" s="58" t="s">
        <v>494</v>
      </c>
      <c r="D72" s="58" t="s">
        <v>23308</v>
      </c>
      <c r="E72" s="59" t="s">
        <v>23309</v>
      </c>
      <c r="F72" s="58" t="s">
        <v>23310</v>
      </c>
      <c r="G72" s="58"/>
      <c r="H72" s="59" t="s">
        <v>23306</v>
      </c>
      <c r="I72" s="58" t="s">
        <v>23030</v>
      </c>
      <c r="J72" s="59" t="s">
        <v>23311</v>
      </c>
    </row>
    <row r="73">
      <c r="A73" s="58" t="s">
        <v>217</v>
      </c>
      <c r="B73" s="58" t="s">
        <v>22738</v>
      </c>
      <c r="C73" s="58" t="s">
        <v>494</v>
      </c>
      <c r="D73" s="58" t="s">
        <v>23312</v>
      </c>
      <c r="E73" s="59" t="s">
        <v>23313</v>
      </c>
      <c r="F73" s="58" t="s">
        <v>23314</v>
      </c>
      <c r="G73" s="58"/>
      <c r="H73" s="59" t="s">
        <v>23306</v>
      </c>
      <c r="I73" s="58" t="s">
        <v>23030</v>
      </c>
      <c r="J73" s="59" t="s">
        <v>23315</v>
      </c>
    </row>
    <row r="74">
      <c r="A74" s="58" t="s">
        <v>217</v>
      </c>
      <c r="B74" s="58" t="s">
        <v>22765</v>
      </c>
      <c r="C74" s="58" t="s">
        <v>494</v>
      </c>
      <c r="D74" s="58" t="s">
        <v>23316</v>
      </c>
      <c r="E74" s="59" t="s">
        <v>23317</v>
      </c>
      <c r="F74" s="58" t="s">
        <v>23318</v>
      </c>
      <c r="G74" s="58"/>
      <c r="H74" s="59" t="s">
        <v>23306</v>
      </c>
      <c r="I74" s="58" t="s">
        <v>23030</v>
      </c>
      <c r="J74" s="59" t="s">
        <v>23319</v>
      </c>
    </row>
    <row r="75">
      <c r="A75" s="58" t="s">
        <v>217</v>
      </c>
      <c r="B75" s="58" t="s">
        <v>23302</v>
      </c>
      <c r="C75" s="58" t="s">
        <v>294</v>
      </c>
      <c r="D75" s="58" t="s">
        <v>23320</v>
      </c>
      <c r="E75" s="59" t="s">
        <v>23321</v>
      </c>
      <c r="F75" s="58" t="s">
        <v>23322</v>
      </c>
      <c r="G75" s="58"/>
      <c r="H75" s="59" t="s">
        <v>23323</v>
      </c>
      <c r="I75" s="58" t="s">
        <v>23030</v>
      </c>
      <c r="J75" s="59" t="s">
        <v>23324</v>
      </c>
    </row>
    <row r="76">
      <c r="A76" s="58" t="s">
        <v>217</v>
      </c>
      <c r="B76" s="58" t="s">
        <v>22712</v>
      </c>
      <c r="C76" s="58" t="s">
        <v>294</v>
      </c>
      <c r="D76" s="58" t="s">
        <v>22713</v>
      </c>
      <c r="E76" s="59" t="s">
        <v>22714</v>
      </c>
      <c r="F76" s="58" t="s">
        <v>23325</v>
      </c>
      <c r="G76" s="58"/>
      <c r="H76" s="59"/>
      <c r="I76" s="58" t="s">
        <v>23024</v>
      </c>
      <c r="J76" s="59" t="s">
        <v>23326</v>
      </c>
    </row>
    <row r="77">
      <c r="A77" s="58" t="s">
        <v>217</v>
      </c>
      <c r="B77" s="58" t="s">
        <v>22738</v>
      </c>
      <c r="C77" s="58" t="s">
        <v>294</v>
      </c>
      <c r="D77" s="58" t="s">
        <v>22739</v>
      </c>
      <c r="E77" s="59" t="s">
        <v>22740</v>
      </c>
      <c r="F77" s="58" t="s">
        <v>23327</v>
      </c>
      <c r="G77" s="58"/>
      <c r="H77" s="59"/>
      <c r="I77" s="58" t="s">
        <v>23024</v>
      </c>
      <c r="J77" s="59" t="s">
        <v>23328</v>
      </c>
    </row>
    <row r="78">
      <c r="A78" s="58" t="s">
        <v>217</v>
      </c>
      <c r="B78" s="58" t="s">
        <v>22765</v>
      </c>
      <c r="C78" s="58" t="s">
        <v>294</v>
      </c>
      <c r="D78" s="58" t="s">
        <v>22766</v>
      </c>
      <c r="E78" s="59" t="s">
        <v>22767</v>
      </c>
      <c r="F78" s="58" t="s">
        <v>23329</v>
      </c>
      <c r="G78" s="58"/>
      <c r="H78" s="59"/>
      <c r="I78" s="58" t="s">
        <v>23024</v>
      </c>
      <c r="J78" s="59" t="s">
        <v>23330</v>
      </c>
    </row>
    <row r="79">
      <c r="A79" s="58" t="s">
        <v>357</v>
      </c>
      <c r="B79" s="58" t="s">
        <v>4697</v>
      </c>
      <c r="C79" s="58" t="s">
        <v>512</v>
      </c>
      <c r="D79" s="58" t="s">
        <v>23331</v>
      </c>
      <c r="E79" s="59" t="s">
        <v>23332</v>
      </c>
      <c r="F79" s="58" t="s">
        <v>23333</v>
      </c>
      <c r="G79" s="58" t="s">
        <v>23334</v>
      </c>
      <c r="H79" s="59" t="s">
        <v>23335</v>
      </c>
      <c r="I79" s="58" t="s">
        <v>23030</v>
      </c>
      <c r="J79" s="59" t="s">
        <v>23336</v>
      </c>
    </row>
  </sheetData>
  <autoFilter ref="$A$1:$J$66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75"/>
    <col customWidth="1" min="2" max="2" width="12.63"/>
    <col customWidth="1" min="3" max="3" width="13.63"/>
    <col customWidth="1" min="4" max="6" width="12.63"/>
    <col customWidth="1" min="7" max="8" width="36.75"/>
  </cols>
  <sheetData>
    <row r="1">
      <c r="A1" s="61" t="s">
        <v>0</v>
      </c>
      <c r="B1" s="62" t="s">
        <v>23337</v>
      </c>
      <c r="C1" s="62" t="s">
        <v>23338</v>
      </c>
      <c r="D1" s="63" t="s">
        <v>23339</v>
      </c>
      <c r="E1" s="63" t="s">
        <v>23340</v>
      </c>
      <c r="F1" s="63" t="s">
        <v>23341</v>
      </c>
      <c r="G1" s="64" t="s">
        <v>22794</v>
      </c>
      <c r="H1" s="64" t="s">
        <v>23342</v>
      </c>
    </row>
    <row r="2">
      <c r="A2" s="65" t="s">
        <v>174</v>
      </c>
      <c r="B2" s="66">
        <f>IFERROR((COUNTIFS('Base de Dados'!BT:BT,"Sim",'Base de Dados'!$A:$A,$A2)/(COUNTIFS('Base de Dados'!BT:BT,"Sim",'Base de Dados'!$A:$A,$A2)+(COUNTIFS('Base de Dados'!BT:BT,"Não",'Base de Dados'!$A:$A,$A2)))),"Não Aplica")</f>
        <v>1</v>
      </c>
      <c r="C2" s="66">
        <f>IFERROR((COUNTIFS('Base de Dados'!DF:DF,"Sim",'Base de Dados'!$A:$A,$A2)/(COUNTIFS('Base de Dados'!DF:DF,"Sim",'Base de Dados'!$A:$A,$A2)+(COUNTIFS('Base de Dados'!DF:DF,"Não",'Base de Dados'!$A:$A,$A2)))),"Não Aplica")</f>
        <v>1</v>
      </c>
      <c r="D2" s="66">
        <f>IFERROR((COUNTIFS('Base de Dados'!ED:ED,"Sim",'Base de Dados'!$A:$A,$A2)/(COUNTIFS('Base de Dados'!ED:ED,"Sim",'Base de Dados'!$A:$A,$A2)+(COUNTIFS('Base de Dados'!ED:ED,"Não",'Base de Dados'!$A:$A,$A2)))),"Não Aplica")</f>
        <v>1</v>
      </c>
      <c r="E2" s="66">
        <f>IFERROR((COUNTIFS('Base de Dados'!FD:FD,"Sim",'Base de Dados'!$A:$A,$A2)/(COUNTIFS('Base de Dados'!FD:FD,"Sim",'Base de Dados'!$A:$A,$A2)+(COUNTIFS('Base de Dados'!FD:FD,"Não",'Base de Dados'!$A:$A,$A2)))),"Não Aplica")</f>
        <v>1</v>
      </c>
      <c r="F2" s="66">
        <f>IFERROR((COUNTIFS('Base de Dados'!FI:FI,"Feito",'Base de Dados'!$A:$A,$A2)/(COUNTIFS('Base de Dados'!FI:FI,"Feito",'Base de Dados'!$A:$A,$A2)+(COUNTIFS('Base de Dados'!FI:FI,"Pendente",'Base de Dados'!$A:$A,$A2)))),"Não Aplica")</f>
        <v>1</v>
      </c>
      <c r="G2" s="67" t="s">
        <v>178</v>
      </c>
      <c r="H2" s="68">
        <f>IFERROR((COUNTIFS('Base de Dados'!BT:BT,"Sim")/(COUNTIFS('Base de Dados'!BT:BT,"Sim")+(COUNTIFS('Base de Dados'!BT:BT,"Não")))),"Não Aplica")</f>
        <v>1</v>
      </c>
    </row>
    <row r="3">
      <c r="A3" s="65" t="s">
        <v>292</v>
      </c>
      <c r="B3" s="66">
        <f>IFERROR((COUNTIFS('Base de Dados'!BT:BT,"Sim",'Base de Dados'!$A:$A,$A3)/(COUNTIFS('Base de Dados'!BT:BT,"Sim",'Base de Dados'!$A:$A,$A3)+(COUNTIFS('Base de Dados'!BT:BT,"Não",'Base de Dados'!$A:$A,$A3)))),"Não Aplica")</f>
        <v>1</v>
      </c>
      <c r="C3" s="66">
        <f>IFERROR((COUNTIFS('Base de Dados'!DF:DF,"Sim",'Base de Dados'!$A:$A,$A3)/(COUNTIFS('Base de Dados'!DF:DF,"Sim",'Base de Dados'!$A:$A,$A3)+(COUNTIFS('Base de Dados'!DF:DF,"Não",'Base de Dados'!$A:$A,$A3)))),"Não Aplica")</f>
        <v>1</v>
      </c>
      <c r="D3" s="66">
        <f>IFERROR((COUNTIFS('Base de Dados'!ED:ED,"Sim",'Base de Dados'!$A:$A,$A3)/(COUNTIFS('Base de Dados'!ED:ED,"Sim",'Base de Dados'!$A:$A,$A3)+(COUNTIFS('Base de Dados'!ED:ED,"Não",'Base de Dados'!$A:$A,$A3)))),"Não Aplica")</f>
        <v>1</v>
      </c>
      <c r="E3" s="66">
        <f>IFERROR((COUNTIFS('Base de Dados'!FD:FD,"Sim",'Base de Dados'!$A:$A,$A3)/(COUNTIFS('Base de Dados'!FD:FD,"Sim",'Base de Dados'!$A:$A,$A3)+(COUNTIFS('Base de Dados'!FD:FD,"Não",'Base de Dados'!$A:$A,$A3)))),"Não Aplica")</f>
        <v>0.9821428571</v>
      </c>
      <c r="F3" s="66">
        <f>IFERROR((COUNTIFS('Base de Dados'!FI:FI,"Feito",'Base de Dados'!$A:$A,$A3)/(COUNTIFS('Base de Dados'!FI:FI,"Feito",'Base de Dados'!$A:$A,$A3)+(COUNTIFS('Base de Dados'!FI:FI,"Pendente",'Base de Dados'!$A:$A,$A3)))),"Não Aplica")</f>
        <v>0.9822485207</v>
      </c>
      <c r="G3" s="69" t="s">
        <v>199</v>
      </c>
      <c r="H3" s="70">
        <f>IFERROR((COUNTIFS('Base de Dados'!DF:DF,"Sim")/(COUNTIFS('Base de Dados'!DF:DF,"Sim")+(COUNTIFS('Base de Dados'!DF:DF,"Não")))),"Não Aplica")</f>
        <v>1</v>
      </c>
    </row>
    <row r="4">
      <c r="A4" s="65" t="s">
        <v>217</v>
      </c>
      <c r="B4" s="66">
        <f>IFERROR((COUNTIFS('Base de Dados'!BT:BT,"Sim",'Base de Dados'!$A:$A,$A4)/(COUNTIFS('Base de Dados'!BT:BT,"Sim",'Base de Dados'!$A:$A,$A4)+(COUNTIFS('Base de Dados'!BT:BT,"Não",'Base de Dados'!$A:$A,$A4)))),"Não Aplica")</f>
        <v>1</v>
      </c>
      <c r="C4" s="66">
        <f>IFERROR((COUNTIFS('Base de Dados'!DF:DF,"Sim",'Base de Dados'!$A:$A,$A4)/(COUNTIFS('Base de Dados'!DF:DF,"Sim",'Base de Dados'!$A:$A,$A4)+(COUNTIFS('Base de Dados'!DF:DF,"Não",'Base de Dados'!$A:$A,$A4)))),"Não Aplica")</f>
        <v>1</v>
      </c>
      <c r="D4" s="66">
        <f>IFERROR((COUNTIFS('Base de Dados'!ED:ED,"Sim",'Base de Dados'!$A:$A,$A4)/(COUNTIFS('Base de Dados'!ED:ED,"Sim",'Base de Dados'!$A:$A,$A4)+(COUNTIFS('Base de Dados'!ED:ED,"Não",'Base de Dados'!$A:$A,$A4)))),"Não Aplica")</f>
        <v>1</v>
      </c>
      <c r="E4" s="66">
        <f>IFERROR((COUNTIFS('Base de Dados'!FD:FD,"Sim",'Base de Dados'!$A:$A,$A4)/(COUNTIFS('Base de Dados'!FD:FD,"Sim",'Base de Dados'!$A:$A,$A4)+(COUNTIFS('Base de Dados'!FD:FD,"Não",'Base de Dados'!$A:$A,$A4)))),"Não Aplica")</f>
        <v>1</v>
      </c>
      <c r="F4" s="66">
        <f>IFERROR((COUNTIFS('Base de Dados'!FI:FI,"Feito",'Base de Dados'!$A:$A,$A4)/(COUNTIFS('Base de Dados'!FI:FI,"Feito",'Base de Dados'!$A:$A,$A4)+(COUNTIFS('Base de Dados'!FI:FI,"Pendente",'Base de Dados'!$A:$A,$A4)))),"Não Aplica")</f>
        <v>1</v>
      </c>
      <c r="G4" s="69" t="s">
        <v>205</v>
      </c>
      <c r="H4" s="70">
        <f>IFERROR((COUNTIFS('Base de Dados'!ED:ED,"Sim")/(COUNTIFS('Base de Dados'!ED:ED,"Sim")+(COUNTIFS('Base de Dados'!ED:ED,"Não")))),"Não Aplica")</f>
        <v>1</v>
      </c>
    </row>
    <row r="5">
      <c r="A5" s="65" t="s">
        <v>461</v>
      </c>
      <c r="B5" s="66">
        <f>IFERROR((COUNTIFS('Base de Dados'!BT:BT,"Sim",'Base de Dados'!$A:$A,$A5)/(COUNTIFS('Base de Dados'!BT:BT,"Sim",'Base de Dados'!$A:$A,$A5)+(COUNTIFS('Base de Dados'!BT:BT,"Não",'Base de Dados'!$A:$A,$A5)))),"Não Aplica")</f>
        <v>1</v>
      </c>
      <c r="C5" s="66">
        <f>IFERROR((COUNTIFS('Base de Dados'!DF:DF,"Sim",'Base de Dados'!$A:$A,$A5)/(COUNTIFS('Base de Dados'!DF:DF,"Sim",'Base de Dados'!$A:$A,$A5)+(COUNTIFS('Base de Dados'!DF:DF,"Não",'Base de Dados'!$A:$A,$A5)))),"Não Aplica")</f>
        <v>1</v>
      </c>
      <c r="D5" s="66">
        <f>IFERROR((COUNTIFS('Base de Dados'!ED:ED,"Sim",'Base de Dados'!$A:$A,$A5)/(COUNTIFS('Base de Dados'!ED:ED,"Sim",'Base de Dados'!$A:$A,$A5)+(COUNTIFS('Base de Dados'!ED:ED,"Não",'Base de Dados'!$A:$A,$A5)))),"Não Aplica")</f>
        <v>1</v>
      </c>
      <c r="E5" s="66">
        <f>IFERROR((COUNTIFS('Base de Dados'!FD:FD,"Sim",'Base de Dados'!$A:$A,$A5)/(COUNTIFS('Base de Dados'!FD:FD,"Sim",'Base de Dados'!$A:$A,$A5)+(COUNTIFS('Base de Dados'!FD:FD,"Não",'Base de Dados'!$A:$A,$A5)))),"Não Aplica")</f>
        <v>1</v>
      </c>
      <c r="F5" s="66">
        <f>IFERROR((COUNTIFS('Base de Dados'!FI:FI,"Feito",'Base de Dados'!$A:$A,$A5)/(COUNTIFS('Base de Dados'!FI:FI,"Feito",'Base de Dados'!$A:$A,$A5)+(COUNTIFS('Base de Dados'!FI:FI,"Pendente",'Base de Dados'!$A:$A,$A5)))),"Não Aplica")</f>
        <v>1</v>
      </c>
      <c r="G5" s="69" t="s">
        <v>23343</v>
      </c>
      <c r="H5" s="70"/>
    </row>
    <row r="6">
      <c r="A6" s="65" t="s">
        <v>547</v>
      </c>
      <c r="B6" s="66">
        <f>IFERROR((COUNTIFS('Base de Dados'!BT:BT,"Sim",'Base de Dados'!$A:$A,$A6)/(COUNTIFS('Base de Dados'!BT:BT,"Sim",'Base de Dados'!$A:$A,$A6)+(COUNTIFS('Base de Dados'!BT:BT,"Não",'Base de Dados'!$A:$A,$A6)))),"Não Aplica")</f>
        <v>1</v>
      </c>
      <c r="C6" s="66">
        <f>IFERROR((COUNTIFS('Base de Dados'!DF:DF,"Sim",'Base de Dados'!$A:$A,$A6)/(COUNTIFS('Base de Dados'!DF:DF,"Sim",'Base de Dados'!$A:$A,$A6)+(COUNTIFS('Base de Dados'!DF:DF,"Não",'Base de Dados'!$A:$A,$A6)))),"Não Aplica")</f>
        <v>1</v>
      </c>
      <c r="D6" s="66">
        <f>IFERROR((COUNTIFS('Base de Dados'!ED:ED,"Sim",'Base de Dados'!$A:$A,$A6)/(COUNTIFS('Base de Dados'!ED:ED,"Sim",'Base de Dados'!$A:$A,$A6)+(COUNTIFS('Base de Dados'!ED:ED,"Não",'Base de Dados'!$A:$A,$A6)))),"Não Aplica")</f>
        <v>1</v>
      </c>
      <c r="E6" s="66">
        <f>IFERROR((COUNTIFS('Base de Dados'!FD:FD,"Sim",'Base de Dados'!$A:$A,$A6)/(COUNTIFS('Base de Dados'!FD:FD,"Sim",'Base de Dados'!$A:$A,$A6)+(COUNTIFS('Base de Dados'!FD:FD,"Não",'Base de Dados'!$A:$A,$A6)))),"Não Aplica")</f>
        <v>1</v>
      </c>
      <c r="F6" s="66">
        <f>IFERROR((COUNTIFS('Base de Dados'!FI:FI,"Feito",'Base de Dados'!$A:$A,$A6)/(COUNTIFS('Base de Dados'!FI:FI,"Feito",'Base de Dados'!$A:$A,$A6)+(COUNTIFS('Base de Dados'!FI:FI,"Pendente",'Base de Dados'!$A:$A,$A6)))),"Não Aplica")</f>
        <v>1</v>
      </c>
      <c r="G6" s="69" t="s">
        <v>209</v>
      </c>
      <c r="H6" s="70">
        <f>IFERROR((COUNTIFS('Base de Dados'!FD:FD,"Sim")/(COUNTIFS('Base de Dados'!FD:FD,"Sim")+(COUNTIFS('Base de Dados'!FD:FD,"Não")))),"Não Aplica")</f>
        <v>0.9974315068</v>
      </c>
    </row>
    <row r="7">
      <c r="A7" s="65" t="s">
        <v>234</v>
      </c>
      <c r="B7" s="66">
        <f>IFERROR((COUNTIFS('Base de Dados'!BT:BT,"Sim",'Base de Dados'!$A:$A,$A7)/(COUNTIFS('Base de Dados'!BT:BT,"Sim",'Base de Dados'!$A:$A,$A7)+(COUNTIFS('Base de Dados'!BT:BT,"Não",'Base de Dados'!$A:$A,$A7)))),"Não Aplica")</f>
        <v>1</v>
      </c>
      <c r="C7" s="66">
        <f>IFERROR((COUNTIFS('Base de Dados'!DF:DF,"Sim",'Base de Dados'!$A:$A,$A7)/(COUNTIFS('Base de Dados'!DF:DF,"Sim",'Base de Dados'!$A:$A,$A7)+(COUNTIFS('Base de Dados'!DF:DF,"Não",'Base de Dados'!$A:$A,$A7)))),"Não Aplica")</f>
        <v>1</v>
      </c>
      <c r="D7" s="66">
        <f>IFERROR((COUNTIFS('Base de Dados'!ED:ED,"Sim",'Base de Dados'!$A:$A,$A7)/(COUNTIFS('Base de Dados'!ED:ED,"Sim",'Base de Dados'!$A:$A,$A7)+(COUNTIFS('Base de Dados'!ED:ED,"Não",'Base de Dados'!$A:$A,$A7)))),"Não Aplica")</f>
        <v>1</v>
      </c>
      <c r="E7" s="66">
        <f>IFERROR((COUNTIFS('Base de Dados'!FD:FD,"Sim",'Base de Dados'!$A:$A,$A7)/(COUNTIFS('Base de Dados'!FD:FD,"Sim",'Base de Dados'!$A:$A,$A7)+(COUNTIFS('Base de Dados'!FD:FD,"Não",'Base de Dados'!$A:$A,$A7)))),"Não Aplica")</f>
        <v>1</v>
      </c>
      <c r="F7" s="66">
        <f>IFERROR((COUNTIFS('Base de Dados'!FI:FI,"Feito",'Base de Dados'!$A:$A,$A7)/(COUNTIFS('Base de Dados'!FI:FI,"Feito",'Base de Dados'!$A:$A,$A7)+(COUNTIFS('Base de Dados'!FI:FI,"Pendente",'Base de Dados'!$A:$A,$A7)))),"Não Aplica")</f>
        <v>1</v>
      </c>
      <c r="G7" s="69" t="s">
        <v>23344</v>
      </c>
      <c r="H7" s="70"/>
    </row>
    <row r="8">
      <c r="A8" s="65" t="s">
        <v>357</v>
      </c>
      <c r="B8" s="66">
        <f>IFERROR((COUNTIFS('Base de Dados'!BT:BT,"Sim",'Base de Dados'!$A:$A,$A8)/(COUNTIFS('Base de Dados'!BT:BT,"Sim",'Base de Dados'!$A:$A,$A8)+(COUNTIFS('Base de Dados'!BT:BT,"Não",'Base de Dados'!$A:$A,$A8)))),"Não Aplica")</f>
        <v>1</v>
      </c>
      <c r="C8" s="66">
        <f>IFERROR((COUNTIFS('Base de Dados'!DF:DF,"Sim",'Base de Dados'!$A:$A,$A8)/(COUNTIFS('Base de Dados'!DF:DF,"Sim",'Base de Dados'!$A:$A,$A8)+(COUNTIFS('Base de Dados'!DF:DF,"Não",'Base de Dados'!$A:$A,$A8)))),"Não Aplica")</f>
        <v>1</v>
      </c>
      <c r="D8" s="66">
        <f>IFERROR((COUNTIFS('Base de Dados'!ED:ED,"Sim",'Base de Dados'!$A:$A,$A8)/(COUNTIFS('Base de Dados'!ED:ED,"Sim",'Base de Dados'!$A:$A,$A8)+(COUNTIFS('Base de Dados'!ED:ED,"Não",'Base de Dados'!$A:$A,$A8)))),"Não Aplica")</f>
        <v>1</v>
      </c>
      <c r="E8" s="66">
        <f>IFERROR((COUNTIFS('Base de Dados'!FD:FD,"Sim",'Base de Dados'!$A:$A,$A8)/(COUNTIFS('Base de Dados'!FD:FD,"Sim",'Base de Dados'!$A:$A,$A8)+(COUNTIFS('Base de Dados'!FD:FD,"Não",'Base de Dados'!$A:$A,$A8)))),"Não Aplica")</f>
        <v>1</v>
      </c>
      <c r="F8" s="66">
        <f>IFERROR((COUNTIFS('Base de Dados'!FI:FI,"Feito",'Base de Dados'!$A:$A,$A8)/(COUNTIFS('Base de Dados'!FI:FI,"Feito",'Base de Dados'!$A:$A,$A8)+(COUNTIFS('Base de Dados'!FI:FI,"Pendente",'Base de Dados'!$A:$A,$A8)))),"Não Aplica")</f>
        <v>1</v>
      </c>
      <c r="G8" s="69" t="s">
        <v>23341</v>
      </c>
      <c r="H8" s="70">
        <f>IFERROR((COUNTIFS('Base de Dados'!FI:FI,"Feito")/(COUNTIFS('Base de Dados'!FI:FI,"Feito")+(COUNTIFS('Base de Dados'!FI:FI,"Pendente")))),"Não Aplica")</f>
        <v>0.997470489</v>
      </c>
    </row>
    <row r="9">
      <c r="A9" s="65" t="s">
        <v>10412</v>
      </c>
      <c r="B9" s="66">
        <f>IFERROR((COUNTIFS('Base de Dados'!BT:BT,"Sim",'Base de Dados'!$A:$A,$A9)/(COUNTIFS('Base de Dados'!BT:BT,"Sim",'Base de Dados'!$A:$A,$A9)+(COUNTIFS('Base de Dados'!BT:BT,"Não",'Base de Dados'!$A:$A,$A9)))),"Não Aplica")</f>
        <v>1</v>
      </c>
      <c r="C9" s="66">
        <f>IFERROR((COUNTIFS('Base de Dados'!DF:DF,"Sim",'Base de Dados'!$A:$A,$A9)/(COUNTIFS('Base de Dados'!DF:DF,"Sim",'Base de Dados'!$A:$A,$A9)+(COUNTIFS('Base de Dados'!DF:DF,"Não",'Base de Dados'!$A:$A,$A9)))),"Não Aplica")</f>
        <v>1</v>
      </c>
      <c r="D9" s="66">
        <f>IFERROR((COUNTIFS('Base de Dados'!ED:ED,"Sim",'Base de Dados'!$A:$A,$A9)/(COUNTIFS('Base de Dados'!ED:ED,"Sim",'Base de Dados'!$A:$A,$A9)+(COUNTIFS('Base de Dados'!ED:ED,"Não",'Base de Dados'!$A:$A,$A9)))),"Não Aplica")</f>
        <v>1</v>
      </c>
      <c r="E9" s="66">
        <f>IFERROR((COUNTIFS('Base de Dados'!FD:FD,"Sim",'Base de Dados'!$A:$A,$A9)/(COUNTIFS('Base de Dados'!FD:FD,"Sim",'Base de Dados'!$A:$A,$A9)+(COUNTIFS('Base de Dados'!FD:FD,"Não",'Base de Dados'!$A:$A,$A9)))),"Não Aplica")</f>
        <v>1</v>
      </c>
      <c r="F9" s="66">
        <f>IFERROR((COUNTIFS('Base de Dados'!FI:FI,"Feito",'Base de Dados'!$A:$A,$A9)/(COUNTIFS('Base de Dados'!FI:FI,"Feito",'Base de Dados'!$A:$A,$A9)+(COUNTIFS('Base de Dados'!FI:FI,"Pendente",'Base de Dados'!$A:$A,$A9)))),"Não Aplica")</f>
        <v>1</v>
      </c>
      <c r="G9" s="71"/>
      <c r="H9" s="71"/>
    </row>
    <row r="10">
      <c r="A10" s="65" t="s">
        <v>7459</v>
      </c>
      <c r="B10" s="66">
        <f>IFERROR((COUNTIFS('Base de Dados'!BT:BT,"Sim",'Base de Dados'!$A:$A,$A10)/(COUNTIFS('Base de Dados'!BT:BT,"Sim",'Base de Dados'!$A:$A,$A10)+(COUNTIFS('Base de Dados'!BT:BT,"Não",'Base de Dados'!$A:$A,$A10)))),"Não Aplica")</f>
        <v>1</v>
      </c>
      <c r="C10" s="66">
        <f>IFERROR((COUNTIFS('Base de Dados'!DF:DF,"Sim",'Base de Dados'!$A:$A,$A10)/(COUNTIFS('Base de Dados'!DF:DF,"Sim",'Base de Dados'!$A:$A,$A10)+(COUNTIFS('Base de Dados'!DF:DF,"Não",'Base de Dados'!$A:$A,$A10)))),"Não Aplica")</f>
        <v>1</v>
      </c>
      <c r="D10" s="66">
        <f>IFERROR((COUNTIFS('Base de Dados'!ED:ED,"Sim",'Base de Dados'!$A:$A,$A10)/(COUNTIFS('Base de Dados'!ED:ED,"Sim",'Base de Dados'!$A:$A,$A10)+(COUNTIFS('Base de Dados'!ED:ED,"Não",'Base de Dados'!$A:$A,$A10)))),"Não Aplica")</f>
        <v>1</v>
      </c>
      <c r="E10" s="66">
        <f>IFERROR((COUNTIFS('Base de Dados'!FD:FD,"Sim",'Base de Dados'!$A:$A,$A10)/(COUNTIFS('Base de Dados'!FD:FD,"Sim",'Base de Dados'!$A:$A,$A10)+(COUNTIFS('Base de Dados'!FD:FD,"Não",'Base de Dados'!$A:$A,$A10)))),"Não Aplica")</f>
        <v>1</v>
      </c>
      <c r="F10" s="66">
        <f>IFERROR((COUNTIFS('Base de Dados'!FI:FI,"Feito",'Base de Dados'!$A:$A,$A10)/(COUNTIFS('Base de Dados'!FI:FI,"Feito",'Base de Dados'!$A:$A,$A10)+(COUNTIFS('Base de Dados'!FI:FI,"Pendente",'Base de Dados'!$A:$A,$A10)))),"Não Aplica")</f>
        <v>1</v>
      </c>
      <c r="G10" s="71"/>
      <c r="H10" s="7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75"/>
    <col customWidth="1" min="2" max="2" width="49.13"/>
    <col customWidth="1" min="3" max="3" width="28.13"/>
    <col customWidth="1" min="4" max="4" width="33.0"/>
    <col customWidth="1" min="5" max="5" width="28.5"/>
    <col customWidth="1" min="6" max="97" width="28.88"/>
  </cols>
  <sheetData>
    <row r="1" ht="44.25" customHeight="1">
      <c r="A1" s="72" t="s">
        <v>0</v>
      </c>
      <c r="B1" s="72" t="s">
        <v>1</v>
      </c>
      <c r="C1" s="73" t="s">
        <v>178</v>
      </c>
      <c r="D1" s="9" t="s">
        <v>23345</v>
      </c>
      <c r="E1" s="10" t="s">
        <v>23346</v>
      </c>
      <c r="F1" s="10" t="s">
        <v>23347</v>
      </c>
      <c r="G1" s="9" t="s">
        <v>23348</v>
      </c>
      <c r="H1" s="10" t="s">
        <v>23349</v>
      </c>
      <c r="I1" s="10" t="s">
        <v>23350</v>
      </c>
      <c r="J1" s="74" t="s">
        <v>23351</v>
      </c>
      <c r="K1" s="75" t="s">
        <v>23352</v>
      </c>
      <c r="L1" s="10" t="s">
        <v>23353</v>
      </c>
      <c r="M1" s="76" t="s">
        <v>23354</v>
      </c>
      <c r="N1" s="9" t="s">
        <v>23355</v>
      </c>
      <c r="O1" s="9" t="s">
        <v>23356</v>
      </c>
      <c r="P1" s="10" t="s">
        <v>23357</v>
      </c>
      <c r="Q1" s="10" t="s">
        <v>23358</v>
      </c>
      <c r="R1" s="9" t="s">
        <v>23359</v>
      </c>
      <c r="S1" s="10" t="s">
        <v>23360</v>
      </c>
      <c r="T1" s="10" t="s">
        <v>23361</v>
      </c>
      <c r="U1" s="9" t="s">
        <v>23362</v>
      </c>
      <c r="V1" s="10" t="s">
        <v>23363</v>
      </c>
      <c r="W1" s="10" t="s">
        <v>23364</v>
      </c>
      <c r="X1" s="74" t="s">
        <v>23365</v>
      </c>
      <c r="Y1" s="75" t="s">
        <v>23366</v>
      </c>
      <c r="Z1" s="10" t="s">
        <v>23367</v>
      </c>
      <c r="AA1" s="76" t="s">
        <v>205</v>
      </c>
      <c r="AB1" s="9" t="s">
        <v>23368</v>
      </c>
      <c r="AC1" s="10" t="s">
        <v>23369</v>
      </c>
      <c r="AD1" s="10" t="s">
        <v>23370</v>
      </c>
      <c r="AE1" s="9" t="s">
        <v>23371</v>
      </c>
      <c r="AF1" s="10" t="s">
        <v>23372</v>
      </c>
      <c r="AG1" s="10" t="s">
        <v>23373</v>
      </c>
      <c r="AH1" s="74" t="s">
        <v>23374</v>
      </c>
      <c r="AI1" s="75" t="s">
        <v>23375</v>
      </c>
      <c r="AJ1" s="10" t="s">
        <v>23376</v>
      </c>
      <c r="AK1" s="6" t="s">
        <v>23343</v>
      </c>
      <c r="AL1" s="9" t="s">
        <v>23377</v>
      </c>
      <c r="AM1" s="9" t="s">
        <v>23378</v>
      </c>
      <c r="AN1" s="10" t="s">
        <v>23379</v>
      </c>
      <c r="AO1" s="10" t="s">
        <v>23380</v>
      </c>
      <c r="AP1" s="9" t="s">
        <v>23381</v>
      </c>
      <c r="AQ1" s="9" t="s">
        <v>23382</v>
      </c>
      <c r="AR1" s="10" t="s">
        <v>23383</v>
      </c>
      <c r="AS1" s="10" t="s">
        <v>23384</v>
      </c>
      <c r="AT1" s="9" t="s">
        <v>23385</v>
      </c>
      <c r="AU1" s="9" t="s">
        <v>23386</v>
      </c>
      <c r="AV1" s="10" t="s">
        <v>23387</v>
      </c>
      <c r="AW1" s="10" t="s">
        <v>23388</v>
      </c>
      <c r="AX1" s="9" t="s">
        <v>23389</v>
      </c>
      <c r="AY1" s="9" t="s">
        <v>23390</v>
      </c>
      <c r="AZ1" s="10" t="s">
        <v>23391</v>
      </c>
      <c r="BA1" s="10" t="s">
        <v>23392</v>
      </c>
      <c r="BB1" s="74" t="s">
        <v>23393</v>
      </c>
      <c r="BC1" s="75" t="s">
        <v>23394</v>
      </c>
      <c r="BD1" s="10" t="s">
        <v>23395</v>
      </c>
      <c r="BE1" s="6" t="s">
        <v>209</v>
      </c>
      <c r="BF1" s="9" t="s">
        <v>23396</v>
      </c>
      <c r="BG1" s="9" t="s">
        <v>23397</v>
      </c>
      <c r="BH1" s="10" t="s">
        <v>23398</v>
      </c>
      <c r="BI1" s="10" t="s">
        <v>23399</v>
      </c>
      <c r="BJ1" s="9" t="s">
        <v>23400</v>
      </c>
      <c r="BK1" s="9" t="s">
        <v>23401</v>
      </c>
      <c r="BL1" s="10" t="s">
        <v>23402</v>
      </c>
      <c r="BM1" s="10" t="s">
        <v>23403</v>
      </c>
      <c r="BN1" s="9" t="s">
        <v>23404</v>
      </c>
      <c r="BO1" s="9" t="s">
        <v>23405</v>
      </c>
      <c r="BP1" s="10" t="s">
        <v>23406</v>
      </c>
      <c r="BQ1" s="10" t="s">
        <v>23407</v>
      </c>
      <c r="BR1" s="9" t="s">
        <v>23408</v>
      </c>
      <c r="BS1" s="9" t="s">
        <v>23409</v>
      </c>
      <c r="BT1" s="10" t="s">
        <v>23410</v>
      </c>
      <c r="BU1" s="10" t="s">
        <v>23411</v>
      </c>
      <c r="BV1" s="74" t="s">
        <v>23412</v>
      </c>
      <c r="BW1" s="75" t="s">
        <v>23413</v>
      </c>
      <c r="BX1" s="10" t="s">
        <v>23414</v>
      </c>
      <c r="BY1" s="6" t="s">
        <v>23344</v>
      </c>
      <c r="BZ1" s="9" t="s">
        <v>23415</v>
      </c>
      <c r="CA1" s="9" t="s">
        <v>23416</v>
      </c>
      <c r="CB1" s="10" t="s">
        <v>23417</v>
      </c>
      <c r="CC1" s="10" t="s">
        <v>23418</v>
      </c>
      <c r="CD1" s="9" t="s">
        <v>23419</v>
      </c>
      <c r="CE1" s="9" t="s">
        <v>23420</v>
      </c>
      <c r="CF1" s="10" t="s">
        <v>23421</v>
      </c>
      <c r="CG1" s="10" t="s">
        <v>23422</v>
      </c>
      <c r="CH1" s="9" t="s">
        <v>23423</v>
      </c>
      <c r="CI1" s="9" t="s">
        <v>23424</v>
      </c>
      <c r="CJ1" s="10" t="s">
        <v>23425</v>
      </c>
      <c r="CK1" s="10" t="s">
        <v>23426</v>
      </c>
      <c r="CL1" s="9" t="s">
        <v>23427</v>
      </c>
      <c r="CM1" s="9" t="s">
        <v>23428</v>
      </c>
      <c r="CN1" s="10" t="s">
        <v>23429</v>
      </c>
      <c r="CO1" s="10" t="s">
        <v>23430</v>
      </c>
      <c r="CP1" s="74" t="s">
        <v>23431</v>
      </c>
      <c r="CQ1" s="75" t="s">
        <v>23432</v>
      </c>
      <c r="CR1" s="10" t="s">
        <v>23433</v>
      </c>
      <c r="CS1" s="77"/>
    </row>
    <row r="2">
      <c r="A2" s="78" t="s">
        <v>174</v>
      </c>
      <c r="B2" s="78" t="s">
        <v>1132</v>
      </c>
      <c r="C2" s="79">
        <f>IFERROR((COUNTIFS('Base de Dados'!BT:BT,"Sim",'Base de Dados'!A:A,A2,'Base de Dados'!B:B,B2)/(COUNTIFS('Base de Dados'!BT:BT,"Sim",'Base de Dados'!A:A,A2,'Base de Dados'!B:B,B2)+(COUNTIFS('Base de Dados'!BT:BT,"Não",'Base de Dados'!A:A,A2,'Base de Dados'!B:B,B2)))),"Não Aplica")</f>
        <v>1</v>
      </c>
      <c r="D2" s="14" t="s">
        <v>23434</v>
      </c>
      <c r="E2" s="14" t="s">
        <v>23435</v>
      </c>
      <c r="F2" s="14" t="s">
        <v>23436</v>
      </c>
      <c r="G2" s="14" t="s">
        <v>23434</v>
      </c>
      <c r="H2" s="14" t="s">
        <v>23437</v>
      </c>
      <c r="I2" s="14" t="s">
        <v>22818</v>
      </c>
      <c r="J2" s="80"/>
      <c r="K2" s="14" t="s">
        <v>23438</v>
      </c>
      <c r="L2" s="81">
        <v>45684.455243055556</v>
      </c>
      <c r="M2" s="79">
        <f>IFERROR((COUNTIFS('Base de Dados'!DF:DF,"Sim",'Base de Dados'!A:A,A2,'Base de Dados'!B:B,B2)/(COUNTIFS('Base de Dados'!DF:DF,"Sim",'Base de Dados'!A:A,A2,'Base de Dados'!B:B,B2)+(COUNTIFS('Base de Dados'!DF:DF,"Não",'Base de Dados'!A:A,A2,'Base de Dados'!B:B,B2)))),"Não Aplica")</f>
        <v>1</v>
      </c>
      <c r="N2" s="14" t="s">
        <v>23434</v>
      </c>
      <c r="O2" s="14" t="s">
        <v>23439</v>
      </c>
      <c r="P2" s="14" t="s">
        <v>23440</v>
      </c>
      <c r="Q2" s="14" t="s">
        <v>23441</v>
      </c>
      <c r="R2" s="14" t="s">
        <v>23434</v>
      </c>
      <c r="S2" s="14" t="s">
        <v>23442</v>
      </c>
      <c r="T2" s="14" t="s">
        <v>23436</v>
      </c>
      <c r="U2" s="14" t="s">
        <v>23434</v>
      </c>
      <c r="V2" s="14" t="s">
        <v>23443</v>
      </c>
      <c r="W2" s="14" t="s">
        <v>22818</v>
      </c>
      <c r="X2" s="80"/>
      <c r="Y2" s="14" t="s">
        <v>23438</v>
      </c>
      <c r="Z2" s="81">
        <v>45691.611122685186</v>
      </c>
      <c r="AA2" s="79">
        <f>IFERROR((COUNTIFS('Base de Dados'!ED:ED,"Sim",'Base de Dados'!A:A,A2,'Base de Dados'!B:B,B2)/(COUNTIFS('Base de Dados'!ED:ED,"Sim",'Base de Dados'!A:A,A2,'Base de Dados'!B:B,B2)+(COUNTIFS('Base de Dados'!ED:ED,"Não",'Base de Dados'!A:A,A2,'Base de Dados'!B:B,B2)))),"Não Aplica")</f>
        <v>1</v>
      </c>
      <c r="AB2" s="14" t="s">
        <v>23434</v>
      </c>
      <c r="AC2" s="14" t="s">
        <v>23444</v>
      </c>
      <c r="AD2" s="14" t="s">
        <v>23441</v>
      </c>
      <c r="AE2" s="14" t="s">
        <v>23434</v>
      </c>
      <c r="AF2" s="14" t="s">
        <v>23445</v>
      </c>
      <c r="AG2" s="14" t="s">
        <v>22818</v>
      </c>
      <c r="AH2" s="80"/>
      <c r="AI2" s="14" t="s">
        <v>23438</v>
      </c>
      <c r="AJ2" s="81">
        <v>45692.63311342592</v>
      </c>
      <c r="AK2" s="82" t="s">
        <v>23446</v>
      </c>
      <c r="AL2" s="14" t="s">
        <v>23434</v>
      </c>
      <c r="AM2" s="14" t="s">
        <v>23439</v>
      </c>
      <c r="AN2" s="14" t="s">
        <v>23447</v>
      </c>
      <c r="AO2" s="14" t="s">
        <v>23441</v>
      </c>
      <c r="AP2" s="14" t="s">
        <v>23434</v>
      </c>
      <c r="AQ2" s="14" t="s">
        <v>23448</v>
      </c>
      <c r="AR2" s="14" t="s">
        <v>23449</v>
      </c>
      <c r="AS2" s="14" t="s">
        <v>23450</v>
      </c>
      <c r="AT2" s="14" t="s">
        <v>23434</v>
      </c>
      <c r="AU2" s="14" t="s">
        <v>23451</v>
      </c>
      <c r="AV2" s="14" t="s">
        <v>23452</v>
      </c>
      <c r="AW2" s="14" t="s">
        <v>22818</v>
      </c>
      <c r="AX2" s="14" t="s">
        <v>23434</v>
      </c>
      <c r="AY2" s="14" t="s">
        <v>23453</v>
      </c>
      <c r="AZ2" s="14" t="s">
        <v>23454</v>
      </c>
      <c r="BA2" s="14" t="s">
        <v>23455</v>
      </c>
      <c r="BB2" s="80"/>
      <c r="BC2" s="14" t="s">
        <v>23438</v>
      </c>
      <c r="BD2" s="81">
        <v>45698.59476851852</v>
      </c>
      <c r="BE2" s="79">
        <f>IFERROR((COUNTIFS('Base de Dados'!FD:FD,"Sim",'Base de Dados'!A:A,A2,'Base de Dados'!B:B,B2)/(COUNTIFS('Base de Dados'!FD:FD,"Sim",'Base de Dados'!A:A,A2,'Base de Dados'!B:B,B2)+(COUNTIFS('Base de Dados'!FD:FD,"Não",'Base de Dados'!A:A,A2,'Base de Dados'!B:B,B2)))),"Não Aplica")</f>
        <v>1</v>
      </c>
      <c r="BF2" s="14" t="s">
        <v>23434</v>
      </c>
      <c r="BG2" s="14" t="s">
        <v>23439</v>
      </c>
      <c r="BH2" s="14" t="s">
        <v>23456</v>
      </c>
      <c r="BI2" s="14" t="s">
        <v>23441</v>
      </c>
      <c r="BJ2" s="80"/>
      <c r="BK2" s="80"/>
      <c r="BL2" s="80"/>
      <c r="BM2" s="80"/>
      <c r="BN2" s="14" t="s">
        <v>23434</v>
      </c>
      <c r="BO2" s="14" t="s">
        <v>23453</v>
      </c>
      <c r="BP2" s="14" t="s">
        <v>23457</v>
      </c>
      <c r="BQ2" s="14" t="s">
        <v>23455</v>
      </c>
      <c r="BR2" s="14" t="s">
        <v>23434</v>
      </c>
      <c r="BS2" s="14" t="s">
        <v>23451</v>
      </c>
      <c r="BT2" s="14" t="s">
        <v>23458</v>
      </c>
      <c r="BU2" s="14" t="s">
        <v>22818</v>
      </c>
      <c r="BV2" s="80"/>
      <c r="BW2" s="14" t="s">
        <v>23438</v>
      </c>
      <c r="BX2" s="81">
        <v>45722.7371875</v>
      </c>
      <c r="BY2" s="82" t="s">
        <v>23446</v>
      </c>
      <c r="BZ2" s="15"/>
      <c r="CA2" s="15"/>
      <c r="CB2" s="15"/>
      <c r="CC2" s="15"/>
      <c r="CD2" s="80"/>
      <c r="CE2" s="80"/>
      <c r="CF2" s="80"/>
      <c r="CG2" s="80"/>
      <c r="CH2" s="15"/>
      <c r="CI2" s="15"/>
      <c r="CJ2" s="15"/>
      <c r="CK2" s="15"/>
      <c r="CL2" s="15"/>
      <c r="CM2" s="15"/>
      <c r="CN2" s="15"/>
      <c r="CO2" s="15"/>
      <c r="CP2" s="80"/>
      <c r="CQ2" s="80" t="s">
        <v>23459</v>
      </c>
      <c r="CR2" s="83"/>
      <c r="CS2" s="84"/>
    </row>
    <row r="3">
      <c r="A3" s="78" t="s">
        <v>174</v>
      </c>
      <c r="B3" s="78" t="s">
        <v>13322</v>
      </c>
      <c r="C3" s="79">
        <f>IFERROR((COUNTIFS('Base de Dados'!BT:BT,"Sim",'Base de Dados'!A:A,A3,'Base de Dados'!B:B,B3)/(COUNTIFS('Base de Dados'!BT:BT,"Sim",'Base de Dados'!A:A,A3,'Base de Dados'!B:B,B3)+(COUNTIFS('Base de Dados'!BT:BT,"Não",'Base de Dados'!A:A,A3,'Base de Dados'!B:B,B3)))),"Não Aplica")</f>
        <v>1</v>
      </c>
      <c r="D3" s="14" t="s">
        <v>23434</v>
      </c>
      <c r="E3" s="14" t="s">
        <v>23460</v>
      </c>
      <c r="F3" s="14" t="s">
        <v>23436</v>
      </c>
      <c r="G3" s="14" t="s">
        <v>23434</v>
      </c>
      <c r="H3" s="14" t="s">
        <v>23461</v>
      </c>
      <c r="I3" s="14" t="s">
        <v>22818</v>
      </c>
      <c r="J3" s="80"/>
      <c r="K3" s="14" t="s">
        <v>23438</v>
      </c>
      <c r="L3" s="81">
        <v>45685.311377314814</v>
      </c>
      <c r="M3" s="79">
        <f>IFERROR((COUNTIFS('Base de Dados'!DF:DF,"Sim",'Base de Dados'!A:A,A3,'Base de Dados'!B:B,B3)/(COUNTIFS('Base de Dados'!DF:DF,"Sim",'Base de Dados'!A:A,A3,'Base de Dados'!B:B,B3)+(COUNTIFS('Base de Dados'!DF:DF,"Não",'Base de Dados'!A:A,A3,'Base de Dados'!B:B,B3)))),"Não Aplica")</f>
        <v>1</v>
      </c>
      <c r="N3" s="14" t="s">
        <v>23434</v>
      </c>
      <c r="O3" s="14" t="s">
        <v>23439</v>
      </c>
      <c r="P3" s="14" t="s">
        <v>23462</v>
      </c>
      <c r="Q3" s="14" t="s">
        <v>23441</v>
      </c>
      <c r="R3" s="14" t="s">
        <v>23434</v>
      </c>
      <c r="S3" s="14" t="s">
        <v>23463</v>
      </c>
      <c r="T3" s="14" t="s">
        <v>23436</v>
      </c>
      <c r="U3" s="14" t="s">
        <v>23434</v>
      </c>
      <c r="V3" s="14" t="s">
        <v>23464</v>
      </c>
      <c r="W3" s="14" t="s">
        <v>22818</v>
      </c>
      <c r="X3" s="80"/>
      <c r="Y3" s="14" t="s">
        <v>23438</v>
      </c>
      <c r="Z3" s="81">
        <v>45691.61167824074</v>
      </c>
      <c r="AA3" s="79">
        <f>IFERROR((COUNTIFS('Base de Dados'!ED:ED,"Sim",'Base de Dados'!A:A,A3,'Base de Dados'!B:B,B3)/(COUNTIFS('Base de Dados'!ED:ED,"Sim",'Base de Dados'!A:A,A3,'Base de Dados'!B:B,B3)+(COUNTIFS('Base de Dados'!ED:ED,"Não",'Base de Dados'!A:A,A3,'Base de Dados'!B:B,B3)))),"Não Aplica")</f>
        <v>1</v>
      </c>
      <c r="AB3" s="14" t="s">
        <v>23434</v>
      </c>
      <c r="AC3" s="14" t="s">
        <v>23465</v>
      </c>
      <c r="AD3" s="14" t="s">
        <v>23441</v>
      </c>
      <c r="AE3" s="14" t="s">
        <v>23434</v>
      </c>
      <c r="AF3" s="14" t="s">
        <v>23466</v>
      </c>
      <c r="AG3" s="14" t="s">
        <v>22818</v>
      </c>
      <c r="AH3" s="80"/>
      <c r="AI3" s="14" t="s">
        <v>23438</v>
      </c>
      <c r="AJ3" s="81">
        <v>45692.634930555556</v>
      </c>
      <c r="AK3" s="82" t="s">
        <v>23446</v>
      </c>
      <c r="AL3" s="14" t="s">
        <v>23434</v>
      </c>
      <c r="AM3" s="14" t="s">
        <v>23439</v>
      </c>
      <c r="AN3" s="14" t="s">
        <v>23467</v>
      </c>
      <c r="AO3" s="14" t="s">
        <v>23441</v>
      </c>
      <c r="AP3" s="14" t="s">
        <v>23434</v>
      </c>
      <c r="AQ3" s="14" t="s">
        <v>23448</v>
      </c>
      <c r="AR3" s="14" t="s">
        <v>23468</v>
      </c>
      <c r="AS3" s="14" t="s">
        <v>23450</v>
      </c>
      <c r="AT3" s="14" t="s">
        <v>23434</v>
      </c>
      <c r="AU3" s="14" t="s">
        <v>23451</v>
      </c>
      <c r="AV3" s="14" t="s">
        <v>23469</v>
      </c>
      <c r="AW3" s="14" t="s">
        <v>22818</v>
      </c>
      <c r="AX3" s="14" t="s">
        <v>23434</v>
      </c>
      <c r="AY3" s="14" t="s">
        <v>23453</v>
      </c>
      <c r="AZ3" s="14" t="s">
        <v>23470</v>
      </c>
      <c r="BA3" s="14" t="s">
        <v>23455</v>
      </c>
      <c r="BB3" s="80"/>
      <c r="BC3" s="14" t="s">
        <v>23438</v>
      </c>
      <c r="BD3" s="81">
        <v>45698.61761574074</v>
      </c>
      <c r="BE3" s="79">
        <f>IFERROR((COUNTIFS('Base de Dados'!FD:FD,"Sim",'Base de Dados'!A:A,A3,'Base de Dados'!B:B,B3)/(COUNTIFS('Base de Dados'!FD:FD,"Sim",'Base de Dados'!A:A,A3,'Base de Dados'!B:B,B3)+(COUNTIFS('Base de Dados'!FD:FD,"Não",'Base de Dados'!A:A,A3,'Base de Dados'!B:B,B3)))),"Não Aplica")</f>
        <v>1</v>
      </c>
      <c r="BF3" s="14" t="s">
        <v>23434</v>
      </c>
      <c r="BG3" s="14" t="s">
        <v>23439</v>
      </c>
      <c r="BH3" s="14" t="s">
        <v>23471</v>
      </c>
      <c r="BI3" s="14" t="s">
        <v>23441</v>
      </c>
      <c r="BJ3" s="80"/>
      <c r="BK3" s="80"/>
      <c r="BL3" s="80"/>
      <c r="BM3" s="80"/>
      <c r="BN3" s="14" t="s">
        <v>23434</v>
      </c>
      <c r="BO3" s="14" t="s">
        <v>23453</v>
      </c>
      <c r="BP3" s="14" t="s">
        <v>23472</v>
      </c>
      <c r="BQ3" s="14" t="s">
        <v>23455</v>
      </c>
      <c r="BR3" s="14" t="s">
        <v>23434</v>
      </c>
      <c r="BS3" s="14" t="s">
        <v>23451</v>
      </c>
      <c r="BT3" s="14" t="s">
        <v>23473</v>
      </c>
      <c r="BU3" s="14" t="s">
        <v>22818</v>
      </c>
      <c r="BV3" s="80"/>
      <c r="BW3" s="14" t="s">
        <v>23438</v>
      </c>
      <c r="BX3" s="81">
        <v>45722.7637962963</v>
      </c>
      <c r="BY3" s="82" t="s">
        <v>23446</v>
      </c>
      <c r="BZ3" s="15"/>
      <c r="CA3" s="15"/>
      <c r="CB3" s="15"/>
      <c r="CC3" s="15"/>
      <c r="CD3" s="80"/>
      <c r="CE3" s="80"/>
      <c r="CF3" s="80"/>
      <c r="CG3" s="80"/>
      <c r="CH3" s="15"/>
      <c r="CI3" s="15"/>
      <c r="CJ3" s="15"/>
      <c r="CK3" s="15"/>
      <c r="CL3" s="15"/>
      <c r="CM3" s="15"/>
      <c r="CN3" s="15"/>
      <c r="CO3" s="15"/>
      <c r="CP3" s="80"/>
      <c r="CQ3" s="80" t="s">
        <v>23459</v>
      </c>
      <c r="CR3" s="83"/>
      <c r="CS3" s="84"/>
    </row>
    <row r="4">
      <c r="A4" s="78" t="s">
        <v>174</v>
      </c>
      <c r="B4" s="85" t="s">
        <v>650</v>
      </c>
      <c r="C4" s="79">
        <f>IFERROR((COUNTIFS('Base de Dados'!BT:BT,"Sim",'Base de Dados'!A:A,A4,'Base de Dados'!B:B,B4)/(COUNTIFS('Base de Dados'!BT:BT,"Sim",'Base de Dados'!A:A,A4,'Base de Dados'!B:B,B4)+(COUNTIFS('Base de Dados'!BT:BT,"Não",'Base de Dados'!A:A,A4,'Base de Dados'!B:B,B4)))),"Não Aplica")</f>
        <v>1</v>
      </c>
      <c r="D4" s="14" t="s">
        <v>23434</v>
      </c>
      <c r="E4" s="14" t="s">
        <v>23474</v>
      </c>
      <c r="F4" s="14" t="s">
        <v>23436</v>
      </c>
      <c r="G4" s="14" t="s">
        <v>23434</v>
      </c>
      <c r="H4" s="14" t="s">
        <v>23475</v>
      </c>
      <c r="I4" s="14" t="s">
        <v>22818</v>
      </c>
      <c r="J4" s="80"/>
      <c r="K4" s="14" t="s">
        <v>23438</v>
      </c>
      <c r="L4" s="81">
        <v>45687.388240740744</v>
      </c>
      <c r="M4" s="79">
        <f>IFERROR((COUNTIFS('Base de Dados'!DF:DF,"Sim",'Base de Dados'!A:A,A4,'Base de Dados'!B:B,B4)/(COUNTIFS('Base de Dados'!DF:DF,"Sim",'Base de Dados'!A:A,A4,'Base de Dados'!B:B,B4)+(COUNTIFS('Base de Dados'!DF:DF,"Não",'Base de Dados'!A:A,A4,'Base de Dados'!B:B,B4)))),"Não Aplica")</f>
        <v>1</v>
      </c>
      <c r="N4" s="14" t="s">
        <v>23434</v>
      </c>
      <c r="O4" s="14" t="s">
        <v>23439</v>
      </c>
      <c r="P4" s="14" t="s">
        <v>23476</v>
      </c>
      <c r="Q4" s="14" t="s">
        <v>23441</v>
      </c>
      <c r="R4" s="14" t="s">
        <v>23434</v>
      </c>
      <c r="S4" s="14" t="s">
        <v>23477</v>
      </c>
      <c r="T4" s="14" t="s">
        <v>23436</v>
      </c>
      <c r="U4" s="14" t="s">
        <v>23434</v>
      </c>
      <c r="V4" s="14" t="s">
        <v>23478</v>
      </c>
      <c r="W4" s="14" t="s">
        <v>22818</v>
      </c>
      <c r="X4" s="80"/>
      <c r="Y4" s="14" t="s">
        <v>23438</v>
      </c>
      <c r="Z4" s="81">
        <v>45691.61164351852</v>
      </c>
      <c r="AA4" s="79">
        <f>IFERROR((COUNTIFS('Base de Dados'!ED:ED,"Sim",'Base de Dados'!A:A,A4,'Base de Dados'!B:B,B4)/(COUNTIFS('Base de Dados'!ED:ED,"Sim",'Base de Dados'!A:A,A4,'Base de Dados'!B:B,B4)+(COUNTIFS('Base de Dados'!ED:ED,"Não",'Base de Dados'!A:A,A4,'Base de Dados'!B:B,B4)))),"Não Aplica")</f>
        <v>1</v>
      </c>
      <c r="AB4" s="14" t="s">
        <v>23434</v>
      </c>
      <c r="AC4" s="14" t="s">
        <v>23479</v>
      </c>
      <c r="AD4" s="14" t="s">
        <v>23441</v>
      </c>
      <c r="AE4" s="14" t="s">
        <v>23434</v>
      </c>
      <c r="AF4" s="14" t="s">
        <v>23480</v>
      </c>
      <c r="AG4" s="14" t="s">
        <v>22818</v>
      </c>
      <c r="AH4" s="80"/>
      <c r="AI4" s="14" t="s">
        <v>23438</v>
      </c>
      <c r="AJ4" s="81">
        <v>45692.63329861111</v>
      </c>
      <c r="AK4" s="82" t="s">
        <v>23446</v>
      </c>
      <c r="AL4" s="14" t="s">
        <v>23434</v>
      </c>
      <c r="AM4" s="14" t="s">
        <v>23439</v>
      </c>
      <c r="AN4" s="14" t="s">
        <v>23481</v>
      </c>
      <c r="AO4" s="14" t="s">
        <v>23441</v>
      </c>
      <c r="AP4" s="14" t="s">
        <v>23434</v>
      </c>
      <c r="AQ4" s="14" t="s">
        <v>23448</v>
      </c>
      <c r="AR4" s="14" t="s">
        <v>23482</v>
      </c>
      <c r="AS4" s="14" t="s">
        <v>23450</v>
      </c>
      <c r="AT4" s="14" t="s">
        <v>23434</v>
      </c>
      <c r="AU4" s="14" t="s">
        <v>23451</v>
      </c>
      <c r="AV4" s="14" t="s">
        <v>23483</v>
      </c>
      <c r="AW4" s="14" t="s">
        <v>22818</v>
      </c>
      <c r="AX4" s="14" t="s">
        <v>23434</v>
      </c>
      <c r="AY4" s="14" t="s">
        <v>23453</v>
      </c>
      <c r="AZ4" s="14" t="s">
        <v>23484</v>
      </c>
      <c r="BA4" s="14" t="s">
        <v>23455</v>
      </c>
      <c r="BB4" s="80"/>
      <c r="BC4" s="14" t="s">
        <v>23438</v>
      </c>
      <c r="BD4" s="81">
        <v>45698.61767361111</v>
      </c>
      <c r="BE4" s="79">
        <f>IFERROR((COUNTIFS('Base de Dados'!FD:FD,"Sim",'Base de Dados'!A:A,A4,'Base de Dados'!B:B,B4)/(COUNTIFS('Base de Dados'!FD:FD,"Sim",'Base de Dados'!A:A,A4,'Base de Dados'!B:B,B4)+(COUNTIFS('Base de Dados'!FD:FD,"Não",'Base de Dados'!A:A,A4,'Base de Dados'!B:B,B4)))),"Não Aplica")</f>
        <v>1</v>
      </c>
      <c r="BF4" s="14" t="s">
        <v>23434</v>
      </c>
      <c r="BG4" s="14" t="s">
        <v>23439</v>
      </c>
      <c r="BH4" s="14" t="s">
        <v>23485</v>
      </c>
      <c r="BI4" s="14" t="s">
        <v>23441</v>
      </c>
      <c r="BJ4" s="80"/>
      <c r="BK4" s="80"/>
      <c r="BL4" s="80"/>
      <c r="BM4" s="80"/>
      <c r="BN4" s="14" t="s">
        <v>23434</v>
      </c>
      <c r="BO4" s="14" t="s">
        <v>23453</v>
      </c>
      <c r="BP4" s="14" t="s">
        <v>23486</v>
      </c>
      <c r="BQ4" s="14" t="s">
        <v>23455</v>
      </c>
      <c r="BR4" s="14" t="s">
        <v>23434</v>
      </c>
      <c r="BS4" s="14" t="s">
        <v>23451</v>
      </c>
      <c r="BT4" s="14" t="s">
        <v>23487</v>
      </c>
      <c r="BU4" s="14" t="s">
        <v>22818</v>
      </c>
      <c r="BV4" s="80"/>
      <c r="BW4" s="14" t="s">
        <v>23438</v>
      </c>
      <c r="BX4" s="81">
        <v>45722.76346064815</v>
      </c>
      <c r="BY4" s="82" t="s">
        <v>23446</v>
      </c>
      <c r="BZ4" s="15"/>
      <c r="CA4" s="15"/>
      <c r="CB4" s="15"/>
      <c r="CC4" s="15"/>
      <c r="CD4" s="80"/>
      <c r="CE4" s="80"/>
      <c r="CF4" s="80"/>
      <c r="CG4" s="80"/>
      <c r="CH4" s="15"/>
      <c r="CI4" s="15"/>
      <c r="CJ4" s="15"/>
      <c r="CK4" s="15"/>
      <c r="CL4" s="15"/>
      <c r="CM4" s="15"/>
      <c r="CN4" s="15"/>
      <c r="CO4" s="15"/>
      <c r="CP4" s="80"/>
      <c r="CQ4" s="80" t="s">
        <v>23459</v>
      </c>
      <c r="CR4" s="83"/>
      <c r="CS4" s="84"/>
    </row>
    <row r="5">
      <c r="A5" s="78" t="s">
        <v>174</v>
      </c>
      <c r="B5" s="85" t="s">
        <v>1192</v>
      </c>
      <c r="C5" s="79">
        <f>IFERROR((COUNTIFS('Base de Dados'!BT:BT,"Sim",'Base de Dados'!A:A,A5,'Base de Dados'!B:B,B5)/(COUNTIFS('Base de Dados'!BT:BT,"Sim",'Base de Dados'!A:A,A5,'Base de Dados'!B:B,B5)+(COUNTIFS('Base de Dados'!BT:BT,"Não",'Base de Dados'!A:A,A5,'Base de Dados'!B:B,B5)))),"Não Aplica")</f>
        <v>1</v>
      </c>
      <c r="D5" s="14" t="s">
        <v>23434</v>
      </c>
      <c r="E5" s="14" t="s">
        <v>23488</v>
      </c>
      <c r="F5" s="14" t="s">
        <v>23436</v>
      </c>
      <c r="G5" s="14" t="s">
        <v>23434</v>
      </c>
      <c r="H5" s="14" t="s">
        <v>23489</v>
      </c>
      <c r="I5" s="14" t="s">
        <v>22818</v>
      </c>
      <c r="J5" s="80"/>
      <c r="K5" s="14" t="s">
        <v>23438</v>
      </c>
      <c r="L5" s="81">
        <v>45684.45144675926</v>
      </c>
      <c r="M5" s="79">
        <f>IFERROR((COUNTIFS('Base de Dados'!DF:DF,"Sim",'Base de Dados'!A:A,A5,'Base de Dados'!B:B,B5)/(COUNTIFS('Base de Dados'!DF:DF,"Sim",'Base de Dados'!A:A,A5,'Base de Dados'!B:B,B5)+(COUNTIFS('Base de Dados'!DF:DF,"Não",'Base de Dados'!A:A,A5,'Base de Dados'!B:B,B5)))),"Não Aplica")</f>
        <v>1</v>
      </c>
      <c r="N5" s="14" t="s">
        <v>23434</v>
      </c>
      <c r="O5" s="14" t="s">
        <v>23439</v>
      </c>
      <c r="P5" s="14" t="s">
        <v>23490</v>
      </c>
      <c r="Q5" s="14" t="s">
        <v>23441</v>
      </c>
      <c r="R5" s="14" t="s">
        <v>23434</v>
      </c>
      <c r="S5" s="14" t="s">
        <v>23491</v>
      </c>
      <c r="T5" s="14" t="s">
        <v>23436</v>
      </c>
      <c r="U5" s="14" t="s">
        <v>23434</v>
      </c>
      <c r="V5" s="14" t="s">
        <v>23492</v>
      </c>
      <c r="W5" s="14" t="s">
        <v>22818</v>
      </c>
      <c r="X5" s="80"/>
      <c r="Y5" s="14" t="s">
        <v>23438</v>
      </c>
      <c r="Z5" s="81">
        <v>45691.61115740741</v>
      </c>
      <c r="AA5" s="79">
        <f>IFERROR((COUNTIFS('Base de Dados'!ED:ED,"Sim",'Base de Dados'!A:A,A5,'Base de Dados'!B:B,B5)/(COUNTIFS('Base de Dados'!ED:ED,"Sim",'Base de Dados'!A:A,A5,'Base de Dados'!B:B,B5)+(COUNTIFS('Base de Dados'!ED:ED,"Não",'Base de Dados'!A:A,A5,'Base de Dados'!B:B,B5)))),"Não Aplica")</f>
        <v>1</v>
      </c>
      <c r="AB5" s="14" t="s">
        <v>23434</v>
      </c>
      <c r="AC5" s="14" t="s">
        <v>23493</v>
      </c>
      <c r="AD5" s="14" t="s">
        <v>23441</v>
      </c>
      <c r="AE5" s="14" t="s">
        <v>23434</v>
      </c>
      <c r="AF5" s="14" t="s">
        <v>23494</v>
      </c>
      <c r="AG5" s="14" t="s">
        <v>22818</v>
      </c>
      <c r="AH5" s="80"/>
      <c r="AI5" s="14" t="s">
        <v>23438</v>
      </c>
      <c r="AJ5" s="81">
        <v>45692.63315972222</v>
      </c>
      <c r="AK5" s="82" t="s">
        <v>23446</v>
      </c>
      <c r="AL5" s="14" t="s">
        <v>23434</v>
      </c>
      <c r="AM5" s="14" t="s">
        <v>23439</v>
      </c>
      <c r="AN5" s="14" t="s">
        <v>23495</v>
      </c>
      <c r="AO5" s="14" t="s">
        <v>23441</v>
      </c>
      <c r="AP5" s="14" t="s">
        <v>23434</v>
      </c>
      <c r="AQ5" s="14" t="s">
        <v>23448</v>
      </c>
      <c r="AR5" s="14" t="s">
        <v>23496</v>
      </c>
      <c r="AS5" s="14" t="s">
        <v>23450</v>
      </c>
      <c r="AT5" s="14" t="s">
        <v>23434</v>
      </c>
      <c r="AU5" s="14" t="s">
        <v>23451</v>
      </c>
      <c r="AV5" s="14" t="s">
        <v>23497</v>
      </c>
      <c r="AW5" s="14" t="s">
        <v>22818</v>
      </c>
      <c r="AX5" s="14" t="s">
        <v>23434</v>
      </c>
      <c r="AY5" s="14" t="s">
        <v>23453</v>
      </c>
      <c r="AZ5" s="14" t="s">
        <v>23498</v>
      </c>
      <c r="BA5" s="14" t="s">
        <v>23455</v>
      </c>
      <c r="BB5" s="80"/>
      <c r="BC5" s="14" t="s">
        <v>23438</v>
      </c>
      <c r="BD5" s="81">
        <v>45698.61834490741</v>
      </c>
      <c r="BE5" s="79">
        <f>IFERROR((COUNTIFS('Base de Dados'!FD:FD,"Sim",'Base de Dados'!A:A,A5,'Base de Dados'!B:B,B5)/(COUNTIFS('Base de Dados'!FD:FD,"Sim",'Base de Dados'!A:A,A5,'Base de Dados'!B:B,B5)+(COUNTIFS('Base de Dados'!FD:FD,"Não",'Base de Dados'!A:A,A5,'Base de Dados'!B:B,B5)))),"Não Aplica")</f>
        <v>1</v>
      </c>
      <c r="BF5" s="14" t="s">
        <v>23434</v>
      </c>
      <c r="BG5" s="14" t="s">
        <v>23439</v>
      </c>
      <c r="BH5" s="14" t="s">
        <v>23499</v>
      </c>
      <c r="BI5" s="14" t="s">
        <v>23441</v>
      </c>
      <c r="BJ5" s="80"/>
      <c r="BK5" s="80"/>
      <c r="BL5" s="80"/>
      <c r="BM5" s="80"/>
      <c r="BN5" s="14" t="s">
        <v>23434</v>
      </c>
      <c r="BO5" s="14" t="s">
        <v>23453</v>
      </c>
      <c r="BP5" s="14" t="s">
        <v>23500</v>
      </c>
      <c r="BQ5" s="14" t="s">
        <v>23455</v>
      </c>
      <c r="BR5" s="14" t="s">
        <v>23434</v>
      </c>
      <c r="BS5" s="14" t="s">
        <v>23451</v>
      </c>
      <c r="BT5" s="14" t="s">
        <v>23501</v>
      </c>
      <c r="BU5" s="14" t="s">
        <v>22818</v>
      </c>
      <c r="BV5" s="80"/>
      <c r="BW5" s="14" t="s">
        <v>23438</v>
      </c>
      <c r="BX5" s="81">
        <v>45722.76112268519</v>
      </c>
      <c r="BY5" s="82" t="s">
        <v>23446</v>
      </c>
      <c r="BZ5" s="15"/>
      <c r="CA5" s="15"/>
      <c r="CB5" s="15"/>
      <c r="CC5" s="15"/>
      <c r="CD5" s="80"/>
      <c r="CE5" s="80"/>
      <c r="CF5" s="80"/>
      <c r="CG5" s="80"/>
      <c r="CH5" s="15"/>
      <c r="CI5" s="15"/>
      <c r="CJ5" s="15"/>
      <c r="CK5" s="15"/>
      <c r="CL5" s="15"/>
      <c r="CM5" s="15"/>
      <c r="CN5" s="15"/>
      <c r="CO5" s="15"/>
      <c r="CP5" s="80"/>
      <c r="CQ5" s="80" t="s">
        <v>23459</v>
      </c>
      <c r="CR5" s="83"/>
      <c r="CS5" s="84"/>
    </row>
    <row r="6">
      <c r="A6" s="78" t="s">
        <v>174</v>
      </c>
      <c r="B6" s="85" t="s">
        <v>581</v>
      </c>
      <c r="C6" s="79">
        <f>IFERROR((COUNTIFS('Base de Dados'!BT:BT,"Sim",'Base de Dados'!A:A,A6,'Base de Dados'!B:B,B6)/(COUNTIFS('Base de Dados'!BT:BT,"Sim",'Base de Dados'!A:A,A6,'Base de Dados'!B:B,B6)+(COUNTIFS('Base de Dados'!BT:BT,"Não",'Base de Dados'!A:A,A6,'Base de Dados'!B:B,B6)))),"Não Aplica")</f>
        <v>1</v>
      </c>
      <c r="D6" s="14" t="s">
        <v>23434</v>
      </c>
      <c r="E6" s="14" t="s">
        <v>23502</v>
      </c>
      <c r="F6" s="14" t="s">
        <v>23436</v>
      </c>
      <c r="G6" s="14" t="s">
        <v>23434</v>
      </c>
      <c r="H6" s="14" t="s">
        <v>23503</v>
      </c>
      <c r="I6" s="14" t="s">
        <v>22818</v>
      </c>
      <c r="J6" s="80"/>
      <c r="K6" s="14" t="s">
        <v>23438</v>
      </c>
      <c r="L6" s="81">
        <v>45687.388287037036</v>
      </c>
      <c r="M6" s="79">
        <f>IFERROR((COUNTIFS('Base de Dados'!DF:DF,"Sim",'Base de Dados'!A:A,A6,'Base de Dados'!B:B,B6)/(COUNTIFS('Base de Dados'!DF:DF,"Sim",'Base de Dados'!A:A,A6,'Base de Dados'!B:B,B6)+(COUNTIFS('Base de Dados'!DF:DF,"Não",'Base de Dados'!A:A,A6,'Base de Dados'!B:B,B6)))),"Não Aplica")</f>
        <v>1</v>
      </c>
      <c r="N6" s="14" t="s">
        <v>23434</v>
      </c>
      <c r="O6" s="14" t="s">
        <v>23439</v>
      </c>
      <c r="P6" s="14" t="s">
        <v>23504</v>
      </c>
      <c r="Q6" s="14" t="s">
        <v>23441</v>
      </c>
      <c r="R6" s="14" t="s">
        <v>23434</v>
      </c>
      <c r="S6" s="14" t="s">
        <v>23505</v>
      </c>
      <c r="T6" s="14" t="s">
        <v>23436</v>
      </c>
      <c r="U6" s="14" t="s">
        <v>23434</v>
      </c>
      <c r="V6" s="14" t="s">
        <v>23506</v>
      </c>
      <c r="W6" s="14" t="s">
        <v>22818</v>
      </c>
      <c r="X6" s="80"/>
      <c r="Y6" s="14" t="s">
        <v>23438</v>
      </c>
      <c r="Z6" s="81">
        <v>45691.61119212963</v>
      </c>
      <c r="AA6" s="79">
        <f>IFERROR((COUNTIFS('Base de Dados'!ED:ED,"Sim",'Base de Dados'!A:A,A6,'Base de Dados'!B:B,B6)/(COUNTIFS('Base de Dados'!ED:ED,"Sim",'Base de Dados'!A:A,A6,'Base de Dados'!B:B,B6)+(COUNTIFS('Base de Dados'!ED:ED,"Não",'Base de Dados'!A:A,A6,'Base de Dados'!B:B,B6)))),"Não Aplica")</f>
        <v>1</v>
      </c>
      <c r="AB6" s="14" t="s">
        <v>228</v>
      </c>
      <c r="AC6" s="14" t="s">
        <v>23507</v>
      </c>
      <c r="AD6" s="14" t="s">
        <v>23441</v>
      </c>
      <c r="AE6" s="14" t="s">
        <v>23434</v>
      </c>
      <c r="AF6" s="14" t="s">
        <v>23508</v>
      </c>
      <c r="AG6" s="14" t="s">
        <v>22818</v>
      </c>
      <c r="AH6" s="80"/>
      <c r="AI6" s="14" t="s">
        <v>23438</v>
      </c>
      <c r="AJ6" s="81">
        <v>45692.636516203704</v>
      </c>
      <c r="AK6" s="82" t="s">
        <v>23446</v>
      </c>
      <c r="AL6" s="14" t="s">
        <v>23434</v>
      </c>
      <c r="AM6" s="14" t="s">
        <v>23439</v>
      </c>
      <c r="AN6" s="14" t="s">
        <v>23509</v>
      </c>
      <c r="AO6" s="14" t="s">
        <v>23441</v>
      </c>
      <c r="AP6" s="14" t="s">
        <v>23434</v>
      </c>
      <c r="AQ6" s="14" t="s">
        <v>23448</v>
      </c>
      <c r="AR6" s="14" t="s">
        <v>23510</v>
      </c>
      <c r="AS6" s="14" t="s">
        <v>23450</v>
      </c>
      <c r="AT6" s="14" t="s">
        <v>23434</v>
      </c>
      <c r="AU6" s="14" t="s">
        <v>23451</v>
      </c>
      <c r="AV6" s="14" t="s">
        <v>23511</v>
      </c>
      <c r="AW6" s="14" t="s">
        <v>22818</v>
      </c>
      <c r="AX6" s="14" t="s">
        <v>23434</v>
      </c>
      <c r="AY6" s="14" t="s">
        <v>23453</v>
      </c>
      <c r="AZ6" s="14" t="s">
        <v>23512</v>
      </c>
      <c r="BA6" s="14" t="s">
        <v>23455</v>
      </c>
      <c r="BB6" s="80"/>
      <c r="BC6" s="14" t="s">
        <v>23438</v>
      </c>
      <c r="BD6" s="81">
        <v>45698.618414351855</v>
      </c>
      <c r="BE6" s="79">
        <f>IFERROR((COUNTIFS('Base de Dados'!FD:FD,"Sim",'Base de Dados'!A:A,A6,'Base de Dados'!B:B,B6)/(COUNTIFS('Base de Dados'!FD:FD,"Sim",'Base de Dados'!A:A,A6,'Base de Dados'!B:B,B6)+(COUNTIFS('Base de Dados'!FD:FD,"Não",'Base de Dados'!A:A,A6,'Base de Dados'!B:B,B6)))),"Não Aplica")</f>
        <v>1</v>
      </c>
      <c r="BF6" s="14" t="s">
        <v>23434</v>
      </c>
      <c r="BG6" s="14" t="s">
        <v>23439</v>
      </c>
      <c r="BH6" s="14" t="s">
        <v>23513</v>
      </c>
      <c r="BI6" s="14" t="s">
        <v>23441</v>
      </c>
      <c r="BJ6" s="80"/>
      <c r="BK6" s="80"/>
      <c r="BL6" s="80"/>
      <c r="BM6" s="80"/>
      <c r="BN6" s="14" t="s">
        <v>23434</v>
      </c>
      <c r="BO6" s="14" t="s">
        <v>23453</v>
      </c>
      <c r="BP6" s="14" t="s">
        <v>23514</v>
      </c>
      <c r="BQ6" s="14" t="s">
        <v>23455</v>
      </c>
      <c r="BR6" s="14" t="s">
        <v>23434</v>
      </c>
      <c r="BS6" s="14" t="s">
        <v>23451</v>
      </c>
      <c r="BT6" s="14" t="s">
        <v>23515</v>
      </c>
      <c r="BU6" s="14" t="s">
        <v>22818</v>
      </c>
      <c r="BV6" s="80"/>
      <c r="BW6" s="14" t="s">
        <v>23438</v>
      </c>
      <c r="BX6" s="81">
        <v>45722.75989583333</v>
      </c>
      <c r="BY6" s="82" t="s">
        <v>23446</v>
      </c>
      <c r="BZ6" s="15"/>
      <c r="CA6" s="15"/>
      <c r="CB6" s="15"/>
      <c r="CC6" s="15"/>
      <c r="CD6" s="80"/>
      <c r="CE6" s="80"/>
      <c r="CF6" s="80"/>
      <c r="CG6" s="80"/>
      <c r="CH6" s="15"/>
      <c r="CI6" s="15"/>
      <c r="CJ6" s="15"/>
      <c r="CK6" s="15"/>
      <c r="CL6" s="15"/>
      <c r="CM6" s="15"/>
      <c r="CN6" s="15"/>
      <c r="CO6" s="15"/>
      <c r="CP6" s="80"/>
      <c r="CQ6" s="80" t="s">
        <v>23459</v>
      </c>
      <c r="CR6" s="83"/>
      <c r="CS6" s="84"/>
    </row>
    <row r="7">
      <c r="A7" s="78" t="s">
        <v>174</v>
      </c>
      <c r="B7" s="85" t="s">
        <v>617</v>
      </c>
      <c r="C7" s="79">
        <f>IFERROR((COUNTIFS('Base de Dados'!BT:BT,"Sim",'Base de Dados'!A:A,A7,'Base de Dados'!B:B,B7)/(COUNTIFS('Base de Dados'!BT:BT,"Sim",'Base de Dados'!A:A,A7,'Base de Dados'!B:B,B7)+(COUNTIFS('Base de Dados'!BT:BT,"Não",'Base de Dados'!A:A,A7,'Base de Dados'!B:B,B7)))),"Não Aplica")</f>
        <v>1</v>
      </c>
      <c r="D7" s="14" t="s">
        <v>23434</v>
      </c>
      <c r="E7" s="14" t="s">
        <v>23516</v>
      </c>
      <c r="F7" s="14" t="s">
        <v>23436</v>
      </c>
      <c r="G7" s="14" t="s">
        <v>23434</v>
      </c>
      <c r="H7" s="14" t="s">
        <v>23517</v>
      </c>
      <c r="I7" s="14" t="s">
        <v>22818</v>
      </c>
      <c r="J7" s="80"/>
      <c r="K7" s="14" t="s">
        <v>23438</v>
      </c>
      <c r="L7" s="81">
        <v>45687.38804398148</v>
      </c>
      <c r="M7" s="79">
        <f>IFERROR((COUNTIFS('Base de Dados'!DF:DF,"Sim",'Base de Dados'!A:A,A7,'Base de Dados'!B:B,B7)/(COUNTIFS('Base de Dados'!DF:DF,"Sim",'Base de Dados'!A:A,A7,'Base de Dados'!B:B,B7)+(COUNTIFS('Base de Dados'!DF:DF,"Não",'Base de Dados'!A:A,A7,'Base de Dados'!B:B,B7)))),"Não Aplica")</f>
        <v>1</v>
      </c>
      <c r="N7" s="14" t="s">
        <v>23434</v>
      </c>
      <c r="O7" s="14" t="s">
        <v>23439</v>
      </c>
      <c r="P7" s="14" t="s">
        <v>23518</v>
      </c>
      <c r="Q7" s="14" t="s">
        <v>23441</v>
      </c>
      <c r="R7" s="14" t="s">
        <v>23434</v>
      </c>
      <c r="S7" s="14" t="s">
        <v>23519</v>
      </c>
      <c r="T7" s="14" t="s">
        <v>23436</v>
      </c>
      <c r="U7" s="14" t="s">
        <v>23434</v>
      </c>
      <c r="V7" s="14" t="s">
        <v>23520</v>
      </c>
      <c r="W7" s="14" t="s">
        <v>22818</v>
      </c>
      <c r="X7" s="80"/>
      <c r="Y7" s="14" t="s">
        <v>23438</v>
      </c>
      <c r="Z7" s="81">
        <v>45691.61121527778</v>
      </c>
      <c r="AA7" s="79">
        <f>IFERROR((COUNTIFS('Base de Dados'!ED:ED,"Sim",'Base de Dados'!A:A,A7,'Base de Dados'!B:B,B7)/(COUNTIFS('Base de Dados'!ED:ED,"Sim",'Base de Dados'!A:A,A7,'Base de Dados'!B:B,B7)+(COUNTIFS('Base de Dados'!ED:ED,"Não",'Base de Dados'!A:A,A7,'Base de Dados'!B:B,B7)))),"Não Aplica")</f>
        <v>1</v>
      </c>
      <c r="AB7" s="14" t="s">
        <v>228</v>
      </c>
      <c r="AC7" s="14" t="s">
        <v>23521</v>
      </c>
      <c r="AD7" s="14" t="s">
        <v>23441</v>
      </c>
      <c r="AE7" s="14" t="s">
        <v>23434</v>
      </c>
      <c r="AF7" s="14" t="s">
        <v>23522</v>
      </c>
      <c r="AG7" s="14" t="s">
        <v>22818</v>
      </c>
      <c r="AH7" s="80"/>
      <c r="AI7" s="14" t="s">
        <v>23438</v>
      </c>
      <c r="AJ7" s="81">
        <v>45692.635092592594</v>
      </c>
      <c r="AK7" s="82" t="s">
        <v>23446</v>
      </c>
      <c r="AL7" s="14" t="s">
        <v>23434</v>
      </c>
      <c r="AM7" s="14" t="s">
        <v>23439</v>
      </c>
      <c r="AN7" s="14" t="s">
        <v>23523</v>
      </c>
      <c r="AO7" s="14" t="s">
        <v>23441</v>
      </c>
      <c r="AP7" s="14" t="s">
        <v>23434</v>
      </c>
      <c r="AQ7" s="14" t="s">
        <v>23448</v>
      </c>
      <c r="AR7" s="14" t="s">
        <v>23524</v>
      </c>
      <c r="AS7" s="14" t="s">
        <v>23450</v>
      </c>
      <c r="AT7" s="14" t="s">
        <v>23434</v>
      </c>
      <c r="AU7" s="14" t="s">
        <v>23451</v>
      </c>
      <c r="AV7" s="14" t="s">
        <v>23525</v>
      </c>
      <c r="AW7" s="14" t="s">
        <v>22818</v>
      </c>
      <c r="AX7" s="14" t="s">
        <v>23434</v>
      </c>
      <c r="AY7" s="14" t="s">
        <v>23453</v>
      </c>
      <c r="AZ7" s="14" t="s">
        <v>23526</v>
      </c>
      <c r="BA7" s="14" t="s">
        <v>23455</v>
      </c>
      <c r="BB7" s="80"/>
      <c r="BC7" s="14" t="s">
        <v>23438</v>
      </c>
      <c r="BD7" s="81">
        <v>45698.617743055554</v>
      </c>
      <c r="BE7" s="79">
        <f>IFERROR((COUNTIFS('Base de Dados'!FD:FD,"Sim",'Base de Dados'!A:A,A7,'Base de Dados'!B:B,B7)/(COUNTIFS('Base de Dados'!FD:FD,"Sim",'Base de Dados'!A:A,A7,'Base de Dados'!B:B,B7)+(COUNTIFS('Base de Dados'!FD:FD,"Não",'Base de Dados'!A:A,A7,'Base de Dados'!B:B,B7)))),"Não Aplica")</f>
        <v>1</v>
      </c>
      <c r="BF7" s="14" t="s">
        <v>23434</v>
      </c>
      <c r="BG7" s="14" t="s">
        <v>23439</v>
      </c>
      <c r="BH7" s="14" t="s">
        <v>23527</v>
      </c>
      <c r="BI7" s="14" t="s">
        <v>23441</v>
      </c>
      <c r="BJ7" s="80"/>
      <c r="BK7" s="80"/>
      <c r="BL7" s="80"/>
      <c r="BM7" s="80"/>
      <c r="BN7" s="14" t="s">
        <v>23434</v>
      </c>
      <c r="BO7" s="14" t="s">
        <v>23453</v>
      </c>
      <c r="BP7" s="14" t="s">
        <v>23528</v>
      </c>
      <c r="BQ7" s="14" t="s">
        <v>23455</v>
      </c>
      <c r="BR7" s="14" t="s">
        <v>23434</v>
      </c>
      <c r="BS7" s="14" t="s">
        <v>23451</v>
      </c>
      <c r="BT7" s="14" t="s">
        <v>23529</v>
      </c>
      <c r="BU7" s="14" t="s">
        <v>22818</v>
      </c>
      <c r="BV7" s="80"/>
      <c r="BW7" s="14" t="s">
        <v>23438</v>
      </c>
      <c r="BX7" s="81">
        <v>45722.7603125</v>
      </c>
      <c r="BY7" s="82" t="s">
        <v>23446</v>
      </c>
      <c r="BZ7" s="15"/>
      <c r="CA7" s="15"/>
      <c r="CB7" s="15"/>
      <c r="CC7" s="15"/>
      <c r="CD7" s="80"/>
      <c r="CE7" s="80"/>
      <c r="CF7" s="80"/>
      <c r="CG7" s="80"/>
      <c r="CH7" s="15"/>
      <c r="CI7" s="15"/>
      <c r="CJ7" s="15"/>
      <c r="CK7" s="15"/>
      <c r="CL7" s="15"/>
      <c r="CM7" s="15"/>
      <c r="CN7" s="15"/>
      <c r="CO7" s="15"/>
      <c r="CP7" s="80"/>
      <c r="CQ7" s="80" t="s">
        <v>23459</v>
      </c>
      <c r="CR7" s="83"/>
      <c r="CS7" s="84"/>
    </row>
    <row r="8">
      <c r="A8" s="78" t="s">
        <v>174</v>
      </c>
      <c r="B8" s="85" t="s">
        <v>1258</v>
      </c>
      <c r="C8" s="79">
        <f>IFERROR((COUNTIFS('Base de Dados'!BT:BT,"Sim",'Base de Dados'!A:A,A8,'Base de Dados'!B:B,B8)/(COUNTIFS('Base de Dados'!BT:BT,"Sim",'Base de Dados'!A:A,A8,'Base de Dados'!B:B,B8)+(COUNTIFS('Base de Dados'!BT:BT,"Não",'Base de Dados'!A:A,A8,'Base de Dados'!B:B,B8)))),"Não Aplica")</f>
        <v>1</v>
      </c>
      <c r="D8" s="14" t="s">
        <v>23434</v>
      </c>
      <c r="E8" s="14" t="s">
        <v>23530</v>
      </c>
      <c r="F8" s="14" t="s">
        <v>23436</v>
      </c>
      <c r="G8" s="14" t="s">
        <v>23434</v>
      </c>
      <c r="H8" s="14" t="s">
        <v>23531</v>
      </c>
      <c r="I8" s="14" t="s">
        <v>22818</v>
      </c>
      <c r="J8" s="80"/>
      <c r="K8" s="14" t="s">
        <v>23438</v>
      </c>
      <c r="L8" s="81">
        <v>45688.50795138889</v>
      </c>
      <c r="M8" s="79">
        <f>IFERROR((COUNTIFS('Base de Dados'!DF:DF,"Sim",'Base de Dados'!A:A,A8,'Base de Dados'!B:B,B8)/(COUNTIFS('Base de Dados'!DF:DF,"Sim",'Base de Dados'!A:A,A8,'Base de Dados'!B:B,B8)+(COUNTIFS('Base de Dados'!DF:DF,"Não",'Base de Dados'!A:A,A8,'Base de Dados'!B:B,B8)))),"Não Aplica")</f>
        <v>1</v>
      </c>
      <c r="N8" s="14" t="s">
        <v>23434</v>
      </c>
      <c r="O8" s="14" t="s">
        <v>23439</v>
      </c>
      <c r="P8" s="14" t="s">
        <v>23532</v>
      </c>
      <c r="Q8" s="14" t="s">
        <v>23441</v>
      </c>
      <c r="R8" s="14" t="s">
        <v>23434</v>
      </c>
      <c r="S8" s="14" t="s">
        <v>23533</v>
      </c>
      <c r="T8" s="14" t="s">
        <v>23436</v>
      </c>
      <c r="U8" s="14" t="s">
        <v>23434</v>
      </c>
      <c r="V8" s="14" t="s">
        <v>23534</v>
      </c>
      <c r="W8" s="14" t="s">
        <v>22818</v>
      </c>
      <c r="X8" s="80"/>
      <c r="Y8" s="14" t="s">
        <v>23438</v>
      </c>
      <c r="Z8" s="81">
        <v>45691.61125</v>
      </c>
      <c r="AA8" s="79">
        <f>IFERROR((COUNTIFS('Base de Dados'!ED:ED,"Sim",'Base de Dados'!A:A,A8,'Base de Dados'!B:B,B8)/(COUNTIFS('Base de Dados'!ED:ED,"Sim",'Base de Dados'!A:A,A8,'Base de Dados'!B:B,B8)+(COUNTIFS('Base de Dados'!ED:ED,"Não",'Base de Dados'!A:A,A8,'Base de Dados'!B:B,B8)))),"Não Aplica")</f>
        <v>1</v>
      </c>
      <c r="AB8" s="14" t="s">
        <v>23434</v>
      </c>
      <c r="AC8" s="14" t="s">
        <v>23535</v>
      </c>
      <c r="AD8" s="14" t="s">
        <v>23441</v>
      </c>
      <c r="AE8" s="14" t="s">
        <v>23434</v>
      </c>
      <c r="AF8" s="14" t="s">
        <v>23536</v>
      </c>
      <c r="AG8" s="14" t="s">
        <v>22818</v>
      </c>
      <c r="AH8" s="80"/>
      <c r="AI8" s="14" t="s">
        <v>23438</v>
      </c>
      <c r="AJ8" s="81">
        <v>45692.63313657408</v>
      </c>
      <c r="AK8" s="82" t="s">
        <v>23446</v>
      </c>
      <c r="AL8" s="14" t="s">
        <v>23434</v>
      </c>
      <c r="AM8" s="14" t="s">
        <v>23439</v>
      </c>
      <c r="AN8" s="14" t="s">
        <v>23537</v>
      </c>
      <c r="AO8" s="14" t="s">
        <v>23441</v>
      </c>
      <c r="AP8" s="14" t="s">
        <v>23434</v>
      </c>
      <c r="AQ8" s="14" t="s">
        <v>23448</v>
      </c>
      <c r="AR8" s="14" t="s">
        <v>23538</v>
      </c>
      <c r="AS8" s="14" t="s">
        <v>23450</v>
      </c>
      <c r="AT8" s="14" t="s">
        <v>23434</v>
      </c>
      <c r="AU8" s="14" t="s">
        <v>23451</v>
      </c>
      <c r="AV8" s="14" t="s">
        <v>23539</v>
      </c>
      <c r="AW8" s="14" t="s">
        <v>22818</v>
      </c>
      <c r="AX8" s="14" t="s">
        <v>23434</v>
      </c>
      <c r="AY8" s="14" t="s">
        <v>23453</v>
      </c>
      <c r="AZ8" s="14" t="s">
        <v>23540</v>
      </c>
      <c r="BA8" s="14" t="s">
        <v>23455</v>
      </c>
      <c r="BB8" s="80"/>
      <c r="BC8" s="14" t="s">
        <v>23438</v>
      </c>
      <c r="BD8" s="81">
        <v>45698.617800925924</v>
      </c>
      <c r="BE8" s="79">
        <f>IFERROR((COUNTIFS('Base de Dados'!FD:FD,"Sim",'Base de Dados'!A:A,A8,'Base de Dados'!B:B,B8)/(COUNTIFS('Base de Dados'!FD:FD,"Sim",'Base de Dados'!A:A,A8,'Base de Dados'!B:B,B8)+(COUNTIFS('Base de Dados'!FD:FD,"Não",'Base de Dados'!A:A,A8,'Base de Dados'!B:B,B8)))),"Não Aplica")</f>
        <v>1</v>
      </c>
      <c r="BF8" s="14" t="s">
        <v>23434</v>
      </c>
      <c r="BG8" s="14" t="s">
        <v>23439</v>
      </c>
      <c r="BH8" s="14" t="s">
        <v>23541</v>
      </c>
      <c r="BI8" s="14" t="s">
        <v>23441</v>
      </c>
      <c r="BJ8" s="80"/>
      <c r="BK8" s="80"/>
      <c r="BL8" s="80"/>
      <c r="BM8" s="80"/>
      <c r="BN8" s="14" t="s">
        <v>23434</v>
      </c>
      <c r="BO8" s="14" t="s">
        <v>23453</v>
      </c>
      <c r="BP8" s="14" t="s">
        <v>23542</v>
      </c>
      <c r="BQ8" s="14" t="s">
        <v>23455</v>
      </c>
      <c r="BR8" s="14" t="s">
        <v>23434</v>
      </c>
      <c r="BS8" s="14" t="s">
        <v>23451</v>
      </c>
      <c r="BT8" s="14" t="s">
        <v>23543</v>
      </c>
      <c r="BU8" s="14" t="s">
        <v>22818</v>
      </c>
      <c r="BV8" s="80"/>
      <c r="BW8" s="14" t="s">
        <v>23438</v>
      </c>
      <c r="BX8" s="81">
        <v>45722.76384259259</v>
      </c>
      <c r="BY8" s="82" t="s">
        <v>23446</v>
      </c>
      <c r="BZ8" s="15"/>
      <c r="CA8" s="15"/>
      <c r="CB8" s="15"/>
      <c r="CC8" s="15"/>
      <c r="CD8" s="80"/>
      <c r="CE8" s="80"/>
      <c r="CF8" s="80"/>
      <c r="CG8" s="80"/>
      <c r="CH8" s="15"/>
      <c r="CI8" s="15"/>
      <c r="CJ8" s="15"/>
      <c r="CK8" s="15"/>
      <c r="CL8" s="15"/>
      <c r="CM8" s="15"/>
      <c r="CN8" s="15"/>
      <c r="CO8" s="15"/>
      <c r="CP8" s="80"/>
      <c r="CQ8" s="80" t="s">
        <v>23459</v>
      </c>
      <c r="CR8" s="83"/>
      <c r="CS8" s="84"/>
    </row>
    <row r="9">
      <c r="A9" s="78" t="s">
        <v>174</v>
      </c>
      <c r="B9" s="85" t="s">
        <v>682</v>
      </c>
      <c r="C9" s="79">
        <f>IFERROR((COUNTIFS('Base de Dados'!BT:BT,"Sim",'Base de Dados'!A:A,A9,'Base de Dados'!B:B,B9)/(COUNTIFS('Base de Dados'!BT:BT,"Sim",'Base de Dados'!A:A,A9,'Base de Dados'!B:B,B9)+(COUNTIFS('Base de Dados'!BT:BT,"Não",'Base de Dados'!A:A,A9,'Base de Dados'!B:B,B9)))),"Não Aplica")</f>
        <v>1</v>
      </c>
      <c r="D9" s="14" t="s">
        <v>23434</v>
      </c>
      <c r="E9" s="14" t="s">
        <v>23544</v>
      </c>
      <c r="F9" s="14" t="s">
        <v>23436</v>
      </c>
      <c r="G9" s="14" t="s">
        <v>23434</v>
      </c>
      <c r="H9" s="14" t="s">
        <v>23545</v>
      </c>
      <c r="I9" s="14" t="s">
        <v>22818</v>
      </c>
      <c r="J9" s="80"/>
      <c r="K9" s="14" t="s">
        <v>23438</v>
      </c>
      <c r="L9" s="81">
        <v>45687.38811342593</v>
      </c>
      <c r="M9" s="79">
        <f>IFERROR((COUNTIFS('Base de Dados'!DF:DF,"Sim",'Base de Dados'!A:A,A9,'Base de Dados'!B:B,B9)/(COUNTIFS('Base de Dados'!DF:DF,"Sim",'Base de Dados'!A:A,A9,'Base de Dados'!B:B,B9)+(COUNTIFS('Base de Dados'!DF:DF,"Não",'Base de Dados'!A:A,A9,'Base de Dados'!B:B,B9)))),"Não Aplica")</f>
        <v>1</v>
      </c>
      <c r="N9" s="14" t="s">
        <v>23434</v>
      </c>
      <c r="O9" s="14" t="s">
        <v>23439</v>
      </c>
      <c r="P9" s="14" t="s">
        <v>23546</v>
      </c>
      <c r="Q9" s="14" t="s">
        <v>23441</v>
      </c>
      <c r="R9" s="14" t="s">
        <v>23434</v>
      </c>
      <c r="S9" s="14" t="s">
        <v>23547</v>
      </c>
      <c r="T9" s="14" t="s">
        <v>23436</v>
      </c>
      <c r="U9" s="14" t="s">
        <v>23434</v>
      </c>
      <c r="V9" s="14" t="s">
        <v>23548</v>
      </c>
      <c r="W9" s="14" t="s">
        <v>22818</v>
      </c>
      <c r="X9" s="80"/>
      <c r="Y9" s="14" t="s">
        <v>23438</v>
      </c>
      <c r="Z9" s="81">
        <v>45691.611284722225</v>
      </c>
      <c r="AA9" s="79">
        <f>IFERROR((COUNTIFS('Base de Dados'!ED:ED,"Sim",'Base de Dados'!A:A,A9,'Base de Dados'!B:B,B9)/(COUNTIFS('Base de Dados'!ED:ED,"Sim",'Base de Dados'!A:A,A9,'Base de Dados'!B:B,B9)+(COUNTIFS('Base de Dados'!ED:ED,"Não",'Base de Dados'!A:A,A9,'Base de Dados'!B:B,B9)))),"Não Aplica")</f>
        <v>1</v>
      </c>
      <c r="AB9" s="14" t="s">
        <v>23434</v>
      </c>
      <c r="AC9" s="14" t="s">
        <v>23549</v>
      </c>
      <c r="AD9" s="14" t="s">
        <v>23441</v>
      </c>
      <c r="AE9" s="14" t="s">
        <v>23434</v>
      </c>
      <c r="AF9" s="14" t="s">
        <v>23550</v>
      </c>
      <c r="AG9" s="14" t="s">
        <v>22818</v>
      </c>
      <c r="AH9" s="80"/>
      <c r="AI9" s="14" t="s">
        <v>23438</v>
      </c>
      <c r="AJ9" s="81">
        <v>45692.63318287037</v>
      </c>
      <c r="AK9" s="82" t="s">
        <v>23446</v>
      </c>
      <c r="AL9" s="14" t="s">
        <v>23434</v>
      </c>
      <c r="AM9" s="14" t="s">
        <v>23439</v>
      </c>
      <c r="AN9" s="14" t="s">
        <v>23551</v>
      </c>
      <c r="AO9" s="14" t="s">
        <v>23441</v>
      </c>
      <c r="AP9" s="14" t="s">
        <v>23434</v>
      </c>
      <c r="AQ9" s="14" t="s">
        <v>23448</v>
      </c>
      <c r="AR9" s="14" t="s">
        <v>23552</v>
      </c>
      <c r="AS9" s="14" t="s">
        <v>23450</v>
      </c>
      <c r="AT9" s="14" t="s">
        <v>23434</v>
      </c>
      <c r="AU9" s="14" t="s">
        <v>23451</v>
      </c>
      <c r="AV9" s="14" t="s">
        <v>23553</v>
      </c>
      <c r="AW9" s="14" t="s">
        <v>22818</v>
      </c>
      <c r="AX9" s="14" t="s">
        <v>23434</v>
      </c>
      <c r="AY9" s="14" t="s">
        <v>23453</v>
      </c>
      <c r="AZ9" s="14" t="s">
        <v>23554</v>
      </c>
      <c r="BA9" s="14" t="s">
        <v>23455</v>
      </c>
      <c r="BB9" s="80"/>
      <c r="BC9" s="14" t="s">
        <v>23438</v>
      </c>
      <c r="BD9" s="81">
        <v>45698.61787037037</v>
      </c>
      <c r="BE9" s="79">
        <f>IFERROR((COUNTIFS('Base de Dados'!FD:FD,"Sim",'Base de Dados'!A:A,A9,'Base de Dados'!B:B,B9)/(COUNTIFS('Base de Dados'!FD:FD,"Sim",'Base de Dados'!A:A,A9,'Base de Dados'!B:B,B9)+(COUNTIFS('Base de Dados'!FD:FD,"Não",'Base de Dados'!A:A,A9,'Base de Dados'!B:B,B9)))),"Não Aplica")</f>
        <v>1</v>
      </c>
      <c r="BF9" s="14" t="s">
        <v>23434</v>
      </c>
      <c r="BG9" s="14" t="s">
        <v>23439</v>
      </c>
      <c r="BH9" s="14" t="s">
        <v>23555</v>
      </c>
      <c r="BI9" s="14" t="s">
        <v>23441</v>
      </c>
      <c r="BJ9" s="80"/>
      <c r="BK9" s="80"/>
      <c r="BL9" s="80"/>
      <c r="BM9" s="80"/>
      <c r="BN9" s="14" t="s">
        <v>23434</v>
      </c>
      <c r="BO9" s="14" t="s">
        <v>23453</v>
      </c>
      <c r="BP9" s="14" t="s">
        <v>23556</v>
      </c>
      <c r="BQ9" s="14" t="s">
        <v>23455</v>
      </c>
      <c r="BR9" s="14" t="s">
        <v>23434</v>
      </c>
      <c r="BS9" s="14" t="s">
        <v>23451</v>
      </c>
      <c r="BT9" s="14" t="s">
        <v>23557</v>
      </c>
      <c r="BU9" s="14" t="s">
        <v>22818</v>
      </c>
      <c r="BV9" s="80"/>
      <c r="BW9" s="14" t="s">
        <v>23438</v>
      </c>
      <c r="BX9" s="81">
        <v>45722.76043981482</v>
      </c>
      <c r="BY9" s="82" t="s">
        <v>23446</v>
      </c>
      <c r="BZ9" s="15"/>
      <c r="CA9" s="15"/>
      <c r="CB9" s="15"/>
      <c r="CC9" s="15"/>
      <c r="CD9" s="80"/>
      <c r="CE9" s="80"/>
      <c r="CF9" s="80"/>
      <c r="CG9" s="80"/>
      <c r="CH9" s="15"/>
      <c r="CI9" s="15"/>
      <c r="CJ9" s="15"/>
      <c r="CK9" s="15"/>
      <c r="CL9" s="15"/>
      <c r="CM9" s="15"/>
      <c r="CN9" s="15"/>
      <c r="CO9" s="15"/>
      <c r="CP9" s="80"/>
      <c r="CQ9" s="80" t="s">
        <v>23459</v>
      </c>
      <c r="CR9" s="83"/>
      <c r="CS9" s="84"/>
    </row>
    <row r="10">
      <c r="A10" s="78" t="s">
        <v>174</v>
      </c>
      <c r="B10" s="85" t="s">
        <v>13616</v>
      </c>
      <c r="C10" s="79">
        <f>IFERROR((COUNTIFS('Base de Dados'!BT:BT,"Sim",'Base de Dados'!A:A,A10,'Base de Dados'!B:B,B10)/(COUNTIFS('Base de Dados'!BT:BT,"Sim",'Base de Dados'!A:A,A10,'Base de Dados'!B:B,B10)+(COUNTIFS('Base de Dados'!BT:BT,"Não",'Base de Dados'!A:A,A10,'Base de Dados'!B:B,B10)))),"Não Aplica")</f>
        <v>1</v>
      </c>
      <c r="D10" s="14" t="s">
        <v>23434</v>
      </c>
      <c r="E10" s="14" t="s">
        <v>23558</v>
      </c>
      <c r="F10" s="14" t="s">
        <v>23436</v>
      </c>
      <c r="G10" s="14" t="s">
        <v>23434</v>
      </c>
      <c r="H10" s="14" t="s">
        <v>23559</v>
      </c>
      <c r="I10" s="14" t="s">
        <v>22818</v>
      </c>
      <c r="J10" s="80"/>
      <c r="K10" s="14" t="s">
        <v>23438</v>
      </c>
      <c r="L10" s="81">
        <v>45684.455196759256</v>
      </c>
      <c r="M10" s="79">
        <f>IFERROR((COUNTIFS('Base de Dados'!DF:DF,"Sim",'Base de Dados'!A:A,A10,'Base de Dados'!B:B,B10)/(COUNTIFS('Base de Dados'!DF:DF,"Sim",'Base de Dados'!A:A,A10,'Base de Dados'!B:B,B10)+(COUNTIFS('Base de Dados'!DF:DF,"Não",'Base de Dados'!A:A,A10,'Base de Dados'!B:B,B10)))),"Não Aplica")</f>
        <v>1</v>
      </c>
      <c r="N10" s="14" t="s">
        <v>23434</v>
      </c>
      <c r="O10" s="14" t="s">
        <v>23439</v>
      </c>
      <c r="P10" s="14" t="s">
        <v>23560</v>
      </c>
      <c r="Q10" s="14" t="s">
        <v>23441</v>
      </c>
      <c r="R10" s="14" t="s">
        <v>23434</v>
      </c>
      <c r="S10" s="14" t="s">
        <v>23561</v>
      </c>
      <c r="T10" s="14" t="s">
        <v>23436</v>
      </c>
      <c r="U10" s="14" t="s">
        <v>23434</v>
      </c>
      <c r="V10" s="14" t="s">
        <v>23562</v>
      </c>
      <c r="W10" s="14" t="s">
        <v>22818</v>
      </c>
      <c r="X10" s="80"/>
      <c r="Y10" s="14" t="s">
        <v>23438</v>
      </c>
      <c r="Z10" s="81">
        <v>45691.61162037037</v>
      </c>
      <c r="AA10" s="79">
        <f>IFERROR((COUNTIFS('Base de Dados'!ED:ED,"Sim",'Base de Dados'!A:A,A10,'Base de Dados'!B:B,B10)/(COUNTIFS('Base de Dados'!ED:ED,"Sim",'Base de Dados'!A:A,A10,'Base de Dados'!B:B,B10)+(COUNTIFS('Base de Dados'!ED:ED,"Não",'Base de Dados'!A:A,A10,'Base de Dados'!B:B,B10)))),"Não Aplica")</f>
        <v>1</v>
      </c>
      <c r="AB10" s="14" t="s">
        <v>23434</v>
      </c>
      <c r="AC10" s="14" t="s">
        <v>23563</v>
      </c>
      <c r="AD10" s="14" t="s">
        <v>23441</v>
      </c>
      <c r="AE10" s="14" t="s">
        <v>23434</v>
      </c>
      <c r="AF10" s="14" t="s">
        <v>23564</v>
      </c>
      <c r="AG10" s="14" t="s">
        <v>22818</v>
      </c>
      <c r="AH10" s="80"/>
      <c r="AI10" s="14" t="s">
        <v>23438</v>
      </c>
      <c r="AJ10" s="81">
        <v>45692.633206018516</v>
      </c>
      <c r="AK10" s="82" t="s">
        <v>23446</v>
      </c>
      <c r="AL10" s="14" t="s">
        <v>23434</v>
      </c>
      <c r="AM10" s="14" t="s">
        <v>23439</v>
      </c>
      <c r="AN10" s="14" t="s">
        <v>23565</v>
      </c>
      <c r="AO10" s="14" t="s">
        <v>23441</v>
      </c>
      <c r="AP10" s="14" t="s">
        <v>23434</v>
      </c>
      <c r="AQ10" s="14" t="s">
        <v>23448</v>
      </c>
      <c r="AR10" s="14" t="s">
        <v>23566</v>
      </c>
      <c r="AS10" s="14" t="s">
        <v>23450</v>
      </c>
      <c r="AT10" s="14" t="s">
        <v>23434</v>
      </c>
      <c r="AU10" s="14" t="s">
        <v>23451</v>
      </c>
      <c r="AV10" s="14" t="s">
        <v>23567</v>
      </c>
      <c r="AW10" s="14" t="s">
        <v>22818</v>
      </c>
      <c r="AX10" s="14" t="s">
        <v>23434</v>
      </c>
      <c r="AY10" s="14" t="s">
        <v>23453</v>
      </c>
      <c r="AZ10" s="14" t="s">
        <v>23568</v>
      </c>
      <c r="BA10" s="14" t="s">
        <v>23455</v>
      </c>
      <c r="BB10" s="80"/>
      <c r="BC10" s="14" t="s">
        <v>23438</v>
      </c>
      <c r="BD10" s="81">
        <v>45698.61802083333</v>
      </c>
      <c r="BE10" s="79">
        <f>IFERROR((COUNTIFS('Base de Dados'!FD:FD,"Sim",'Base de Dados'!A:A,A10,'Base de Dados'!B:B,B10)/(COUNTIFS('Base de Dados'!FD:FD,"Sim",'Base de Dados'!A:A,A10,'Base de Dados'!B:B,B10)+(COUNTIFS('Base de Dados'!FD:FD,"Não",'Base de Dados'!A:A,A10,'Base de Dados'!B:B,B10)))),"Não Aplica")</f>
        <v>1</v>
      </c>
      <c r="BF10" s="14" t="s">
        <v>23434</v>
      </c>
      <c r="BG10" s="14" t="s">
        <v>23439</v>
      </c>
      <c r="BH10" s="14" t="s">
        <v>23569</v>
      </c>
      <c r="BI10" s="14" t="s">
        <v>23441</v>
      </c>
      <c r="BJ10" s="80"/>
      <c r="BK10" s="80"/>
      <c r="BL10" s="80"/>
      <c r="BM10" s="80"/>
      <c r="BN10" s="14" t="s">
        <v>23434</v>
      </c>
      <c r="BO10" s="14" t="s">
        <v>23453</v>
      </c>
      <c r="BP10" s="14" t="s">
        <v>23570</v>
      </c>
      <c r="BQ10" s="14" t="s">
        <v>23455</v>
      </c>
      <c r="BR10" s="14" t="s">
        <v>23434</v>
      </c>
      <c r="BS10" s="14" t="s">
        <v>23451</v>
      </c>
      <c r="BT10" s="14" t="s">
        <v>23571</v>
      </c>
      <c r="BU10" s="14" t="s">
        <v>22818</v>
      </c>
      <c r="BV10" s="80"/>
      <c r="BW10" s="14" t="s">
        <v>23438</v>
      </c>
      <c r="BX10" s="81">
        <v>45722.762395833335</v>
      </c>
      <c r="BY10" s="82" t="s">
        <v>23446</v>
      </c>
      <c r="BZ10" s="15"/>
      <c r="CA10" s="15"/>
      <c r="CB10" s="15"/>
      <c r="CC10" s="15"/>
      <c r="CD10" s="80"/>
      <c r="CE10" s="80"/>
      <c r="CF10" s="80"/>
      <c r="CG10" s="80"/>
      <c r="CH10" s="15"/>
      <c r="CI10" s="15"/>
      <c r="CJ10" s="15"/>
      <c r="CK10" s="15"/>
      <c r="CL10" s="15"/>
      <c r="CM10" s="15"/>
      <c r="CN10" s="15"/>
      <c r="CO10" s="15"/>
      <c r="CP10" s="80"/>
      <c r="CQ10" s="80" t="s">
        <v>23459</v>
      </c>
      <c r="CR10" s="83"/>
      <c r="CS10" s="84"/>
    </row>
    <row r="11">
      <c r="A11" s="78" t="s">
        <v>174</v>
      </c>
      <c r="B11" s="85" t="s">
        <v>1325</v>
      </c>
      <c r="C11" s="79">
        <f>IFERROR((COUNTIFS('Base de Dados'!BT:BT,"Sim",'Base de Dados'!A:A,A11,'Base de Dados'!B:B,B11)/(COUNTIFS('Base de Dados'!BT:BT,"Sim",'Base de Dados'!A:A,A11,'Base de Dados'!B:B,B11)+(COUNTIFS('Base de Dados'!BT:BT,"Não",'Base de Dados'!A:A,A11,'Base de Dados'!B:B,B11)))),"Não Aplica")</f>
        <v>1</v>
      </c>
      <c r="D11" s="14" t="s">
        <v>23434</v>
      </c>
      <c r="E11" s="14" t="s">
        <v>23572</v>
      </c>
      <c r="F11" s="14" t="s">
        <v>23436</v>
      </c>
      <c r="G11" s="14" t="s">
        <v>23434</v>
      </c>
      <c r="H11" s="14" t="s">
        <v>23573</v>
      </c>
      <c r="I11" s="14" t="s">
        <v>22818</v>
      </c>
      <c r="J11" s="80"/>
      <c r="K11" s="14" t="s">
        <v>23438</v>
      </c>
      <c r="L11" s="81">
        <v>45685.31146990741</v>
      </c>
      <c r="M11" s="79">
        <f>IFERROR((COUNTIFS('Base de Dados'!DF:DF,"Sim",'Base de Dados'!A:A,A11,'Base de Dados'!B:B,B11)/(COUNTIFS('Base de Dados'!DF:DF,"Sim",'Base de Dados'!A:A,A11,'Base de Dados'!B:B,B11)+(COUNTIFS('Base de Dados'!DF:DF,"Não",'Base de Dados'!A:A,A11,'Base de Dados'!B:B,B11)))),"Não Aplica")</f>
        <v>1</v>
      </c>
      <c r="N11" s="14" t="s">
        <v>23434</v>
      </c>
      <c r="O11" s="14" t="s">
        <v>23439</v>
      </c>
      <c r="P11" s="14" t="s">
        <v>23574</v>
      </c>
      <c r="Q11" s="14" t="s">
        <v>23441</v>
      </c>
      <c r="R11" s="14" t="s">
        <v>23434</v>
      </c>
      <c r="S11" s="14" t="s">
        <v>23575</v>
      </c>
      <c r="T11" s="14" t="s">
        <v>23436</v>
      </c>
      <c r="U11" s="14" t="s">
        <v>23434</v>
      </c>
      <c r="V11" s="14" t="s">
        <v>23576</v>
      </c>
      <c r="W11" s="14" t="s">
        <v>22818</v>
      </c>
      <c r="X11" s="80"/>
      <c r="Y11" s="14" t="s">
        <v>23438</v>
      </c>
      <c r="Z11" s="81">
        <v>45691.61131944445</v>
      </c>
      <c r="AA11" s="79">
        <f>IFERROR((COUNTIFS('Base de Dados'!ED:ED,"Sim",'Base de Dados'!A:A,A11,'Base de Dados'!B:B,B11)/(COUNTIFS('Base de Dados'!ED:ED,"Sim",'Base de Dados'!A:A,A11,'Base de Dados'!B:B,B11)+(COUNTIFS('Base de Dados'!ED:ED,"Não",'Base de Dados'!A:A,A11,'Base de Dados'!B:B,B11)))),"Não Aplica")</f>
        <v>1</v>
      </c>
      <c r="AB11" s="14" t="s">
        <v>23434</v>
      </c>
      <c r="AC11" s="14" t="s">
        <v>23577</v>
      </c>
      <c r="AD11" s="14" t="s">
        <v>23441</v>
      </c>
      <c r="AE11" s="14" t="s">
        <v>23434</v>
      </c>
      <c r="AF11" s="14" t="s">
        <v>23578</v>
      </c>
      <c r="AG11" s="14" t="s">
        <v>22818</v>
      </c>
      <c r="AH11" s="80"/>
      <c r="AI11" s="14" t="s">
        <v>23438</v>
      </c>
      <c r="AJ11" s="81">
        <v>45692.633252314816</v>
      </c>
      <c r="AK11" s="82" t="s">
        <v>23446</v>
      </c>
      <c r="AL11" s="14" t="s">
        <v>23434</v>
      </c>
      <c r="AM11" s="14" t="s">
        <v>23439</v>
      </c>
      <c r="AN11" s="14" t="s">
        <v>23579</v>
      </c>
      <c r="AO11" s="14" t="s">
        <v>23441</v>
      </c>
      <c r="AP11" s="14" t="s">
        <v>23434</v>
      </c>
      <c r="AQ11" s="14" t="s">
        <v>23448</v>
      </c>
      <c r="AR11" s="14" t="s">
        <v>23580</v>
      </c>
      <c r="AS11" s="14" t="s">
        <v>23450</v>
      </c>
      <c r="AT11" s="14" t="s">
        <v>23434</v>
      </c>
      <c r="AU11" s="14" t="s">
        <v>23451</v>
      </c>
      <c r="AV11" s="14" t="s">
        <v>23581</v>
      </c>
      <c r="AW11" s="14" t="s">
        <v>22818</v>
      </c>
      <c r="AX11" s="14" t="s">
        <v>23434</v>
      </c>
      <c r="AY11" s="14" t="s">
        <v>23453</v>
      </c>
      <c r="AZ11" s="14" t="s">
        <v>23582</v>
      </c>
      <c r="BA11" s="14" t="s">
        <v>23455</v>
      </c>
      <c r="BB11" s="80"/>
      <c r="BC11" s="14" t="s">
        <v>23438</v>
      </c>
      <c r="BD11" s="81">
        <v>45698.61792824074</v>
      </c>
      <c r="BE11" s="79">
        <f>IFERROR((COUNTIFS('Base de Dados'!FD:FD,"Sim",'Base de Dados'!A:A,A11,'Base de Dados'!B:B,B11)/(COUNTIFS('Base de Dados'!FD:FD,"Sim",'Base de Dados'!A:A,A11,'Base de Dados'!B:B,B11)+(COUNTIFS('Base de Dados'!FD:FD,"Não",'Base de Dados'!A:A,A11,'Base de Dados'!B:B,B11)))),"Não Aplica")</f>
        <v>1</v>
      </c>
      <c r="BF11" s="14" t="s">
        <v>23434</v>
      </c>
      <c r="BG11" s="14" t="s">
        <v>23439</v>
      </c>
      <c r="BH11" s="14" t="s">
        <v>23583</v>
      </c>
      <c r="BI11" s="14" t="s">
        <v>23441</v>
      </c>
      <c r="BJ11" s="80"/>
      <c r="BK11" s="80"/>
      <c r="BL11" s="80"/>
      <c r="BM11" s="80"/>
      <c r="BN11" s="14" t="s">
        <v>23434</v>
      </c>
      <c r="BO11" s="14" t="s">
        <v>23453</v>
      </c>
      <c r="BP11" s="14" t="s">
        <v>23584</v>
      </c>
      <c r="BQ11" s="14" t="s">
        <v>23455</v>
      </c>
      <c r="BR11" s="14" t="s">
        <v>23434</v>
      </c>
      <c r="BS11" s="14" t="s">
        <v>23451</v>
      </c>
      <c r="BT11" s="14" t="s">
        <v>23585</v>
      </c>
      <c r="BU11" s="14" t="s">
        <v>22818</v>
      </c>
      <c r="BV11" s="80"/>
      <c r="BW11" s="14" t="s">
        <v>23438</v>
      </c>
      <c r="BX11" s="81">
        <v>45722.763877314814</v>
      </c>
      <c r="BY11" s="82" t="s">
        <v>23446</v>
      </c>
      <c r="BZ11" s="15"/>
      <c r="CA11" s="15"/>
      <c r="CB11" s="15"/>
      <c r="CC11" s="15"/>
      <c r="CD11" s="80"/>
      <c r="CE11" s="80"/>
      <c r="CF11" s="80"/>
      <c r="CG11" s="80"/>
      <c r="CH11" s="15"/>
      <c r="CI11" s="15"/>
      <c r="CJ11" s="15"/>
      <c r="CK11" s="15"/>
      <c r="CL11" s="15"/>
      <c r="CM11" s="15"/>
      <c r="CN11" s="15"/>
      <c r="CO11" s="15"/>
      <c r="CP11" s="80"/>
      <c r="CQ11" s="80" t="s">
        <v>23459</v>
      </c>
      <c r="CR11" s="83"/>
      <c r="CS11" s="84"/>
    </row>
    <row r="12">
      <c r="A12" s="78" t="s">
        <v>174</v>
      </c>
      <c r="B12" s="85" t="s">
        <v>1359</v>
      </c>
      <c r="C12" s="79">
        <f>IFERROR((COUNTIFS('Base de Dados'!BT:BT,"Sim",'Base de Dados'!A:A,A12,'Base de Dados'!B:B,B12)/(COUNTIFS('Base de Dados'!BT:BT,"Sim",'Base de Dados'!A:A,A12,'Base de Dados'!B:B,B12)+(COUNTIFS('Base de Dados'!BT:BT,"Não",'Base de Dados'!A:A,A12,'Base de Dados'!B:B,B12)))),"Não Aplica")</f>
        <v>1</v>
      </c>
      <c r="D12" s="14" t="s">
        <v>23434</v>
      </c>
      <c r="E12" s="14" t="s">
        <v>23586</v>
      </c>
      <c r="F12" s="14" t="s">
        <v>23436</v>
      </c>
      <c r="G12" s="14" t="s">
        <v>23434</v>
      </c>
      <c r="H12" s="14" t="s">
        <v>23587</v>
      </c>
      <c r="I12" s="14" t="s">
        <v>22818</v>
      </c>
      <c r="J12" s="80"/>
      <c r="K12" s="14" t="s">
        <v>23438</v>
      </c>
      <c r="L12" s="81">
        <v>45684.45513888889</v>
      </c>
      <c r="M12" s="79">
        <f>IFERROR((COUNTIFS('Base de Dados'!DF:DF,"Sim",'Base de Dados'!A:A,A12,'Base de Dados'!B:B,B12)/(COUNTIFS('Base de Dados'!DF:DF,"Sim",'Base de Dados'!A:A,A12,'Base de Dados'!B:B,B12)+(COUNTIFS('Base de Dados'!DF:DF,"Não",'Base de Dados'!A:A,A12,'Base de Dados'!B:B,B12)))),"Não Aplica")</f>
        <v>1</v>
      </c>
      <c r="N12" s="14" t="s">
        <v>23434</v>
      </c>
      <c r="O12" s="14" t="s">
        <v>23439</v>
      </c>
      <c r="P12" s="14" t="s">
        <v>23588</v>
      </c>
      <c r="Q12" s="14" t="s">
        <v>23441</v>
      </c>
      <c r="R12" s="14" t="s">
        <v>23434</v>
      </c>
      <c r="S12" s="14" t="s">
        <v>23589</v>
      </c>
      <c r="T12" s="14" t="s">
        <v>23436</v>
      </c>
      <c r="U12" s="14" t="s">
        <v>23434</v>
      </c>
      <c r="V12" s="14" t="s">
        <v>23590</v>
      </c>
      <c r="W12" s="14" t="s">
        <v>22818</v>
      </c>
      <c r="X12" s="80"/>
      <c r="Y12" s="14" t="s">
        <v>23438</v>
      </c>
      <c r="Z12" s="81">
        <v>45691.611342592594</v>
      </c>
      <c r="AA12" s="79">
        <f>IFERROR((COUNTIFS('Base de Dados'!ED:ED,"Sim",'Base de Dados'!A:A,A12,'Base de Dados'!B:B,B12)/(COUNTIFS('Base de Dados'!ED:ED,"Sim",'Base de Dados'!A:A,A12,'Base de Dados'!B:B,B12)+(COUNTIFS('Base de Dados'!ED:ED,"Não",'Base de Dados'!A:A,A12,'Base de Dados'!B:B,B12)))),"Não Aplica")</f>
        <v>1</v>
      </c>
      <c r="AB12" s="14" t="s">
        <v>23434</v>
      </c>
      <c r="AC12" s="14" t="s">
        <v>23591</v>
      </c>
      <c r="AD12" s="14" t="s">
        <v>23441</v>
      </c>
      <c r="AE12" s="14" t="s">
        <v>23434</v>
      </c>
      <c r="AF12" s="14" t="s">
        <v>23592</v>
      </c>
      <c r="AG12" s="14" t="s">
        <v>22818</v>
      </c>
      <c r="AH12" s="80"/>
      <c r="AI12" s="14" t="s">
        <v>23438</v>
      </c>
      <c r="AJ12" s="81">
        <v>45692.63327546296</v>
      </c>
      <c r="AK12" s="82" t="s">
        <v>23446</v>
      </c>
      <c r="AL12" s="14" t="s">
        <v>23434</v>
      </c>
      <c r="AM12" s="14" t="s">
        <v>23439</v>
      </c>
      <c r="AN12" s="14" t="s">
        <v>23593</v>
      </c>
      <c r="AO12" s="14" t="s">
        <v>23441</v>
      </c>
      <c r="AP12" s="14" t="s">
        <v>23434</v>
      </c>
      <c r="AQ12" s="14" t="s">
        <v>23448</v>
      </c>
      <c r="AR12" s="14" t="s">
        <v>23594</v>
      </c>
      <c r="AS12" s="14" t="s">
        <v>23450</v>
      </c>
      <c r="AT12" s="14" t="s">
        <v>23434</v>
      </c>
      <c r="AU12" s="14" t="s">
        <v>23451</v>
      </c>
      <c r="AV12" s="14" t="s">
        <v>23595</v>
      </c>
      <c r="AW12" s="14" t="s">
        <v>22818</v>
      </c>
      <c r="AX12" s="14" t="s">
        <v>23434</v>
      </c>
      <c r="AY12" s="14" t="s">
        <v>23453</v>
      </c>
      <c r="AZ12" s="14" t="s">
        <v>23596</v>
      </c>
      <c r="BA12" s="14" t="s">
        <v>23455</v>
      </c>
      <c r="BB12" s="80"/>
      <c r="BC12" s="14" t="s">
        <v>23438</v>
      </c>
      <c r="BD12" s="81">
        <v>45698.6180787037</v>
      </c>
      <c r="BE12" s="79">
        <f>IFERROR((COUNTIFS('Base de Dados'!FD:FD,"Sim",'Base de Dados'!A:A,A12,'Base de Dados'!B:B,B12)/(COUNTIFS('Base de Dados'!FD:FD,"Sim",'Base de Dados'!A:A,A12,'Base de Dados'!B:B,B12)+(COUNTIFS('Base de Dados'!FD:FD,"Não",'Base de Dados'!A:A,A12,'Base de Dados'!B:B,B12)))),"Não Aplica")</f>
        <v>1</v>
      </c>
      <c r="BF12" s="14" t="s">
        <v>23434</v>
      </c>
      <c r="BG12" s="14" t="s">
        <v>23439</v>
      </c>
      <c r="BH12" s="14" t="s">
        <v>23597</v>
      </c>
      <c r="BI12" s="14" t="s">
        <v>23441</v>
      </c>
      <c r="BJ12" s="80"/>
      <c r="BK12" s="80"/>
      <c r="BL12" s="80"/>
      <c r="BM12" s="80"/>
      <c r="BN12" s="14" t="s">
        <v>23434</v>
      </c>
      <c r="BO12" s="14" t="s">
        <v>23453</v>
      </c>
      <c r="BP12" s="14" t="s">
        <v>23598</v>
      </c>
      <c r="BQ12" s="14" t="s">
        <v>23455</v>
      </c>
      <c r="BR12" s="14" t="s">
        <v>23434</v>
      </c>
      <c r="BS12" s="14" t="s">
        <v>23451</v>
      </c>
      <c r="BT12" s="14" t="s">
        <v>23599</v>
      </c>
      <c r="BU12" s="14" t="s">
        <v>22818</v>
      </c>
      <c r="BV12" s="80"/>
      <c r="BW12" s="14" t="s">
        <v>23438</v>
      </c>
      <c r="BX12" s="81">
        <v>45722.76373842593</v>
      </c>
      <c r="BY12" s="82" t="s">
        <v>23446</v>
      </c>
      <c r="BZ12" s="15"/>
      <c r="CA12" s="15"/>
      <c r="CB12" s="15"/>
      <c r="CC12" s="15"/>
      <c r="CD12" s="80"/>
      <c r="CE12" s="80"/>
      <c r="CF12" s="80"/>
      <c r="CG12" s="80"/>
      <c r="CH12" s="15"/>
      <c r="CI12" s="15"/>
      <c r="CJ12" s="15"/>
      <c r="CK12" s="15"/>
      <c r="CL12" s="15"/>
      <c r="CM12" s="15"/>
      <c r="CN12" s="15"/>
      <c r="CO12" s="15"/>
      <c r="CP12" s="80"/>
      <c r="CQ12" s="80" t="s">
        <v>23459</v>
      </c>
      <c r="CR12" s="83"/>
      <c r="CS12" s="84"/>
    </row>
    <row r="13">
      <c r="A13" s="78" t="s">
        <v>174</v>
      </c>
      <c r="B13" s="85" t="s">
        <v>2226</v>
      </c>
      <c r="C13" s="79">
        <f>IFERROR((COUNTIFS('Base de Dados'!BT:BT,"Sim",'Base de Dados'!A:A,A13,'Base de Dados'!B:B,B13)/(COUNTIFS('Base de Dados'!BT:BT,"Sim",'Base de Dados'!A:A,A13,'Base de Dados'!B:B,B13)+(COUNTIFS('Base de Dados'!BT:BT,"Não",'Base de Dados'!A:A,A13,'Base de Dados'!B:B,B13)))),"Não Aplica")</f>
        <v>1</v>
      </c>
      <c r="D13" s="14" t="s">
        <v>23434</v>
      </c>
      <c r="E13" s="14" t="s">
        <v>23600</v>
      </c>
      <c r="F13" s="14" t="s">
        <v>23436</v>
      </c>
      <c r="G13" s="14" t="s">
        <v>23434</v>
      </c>
      <c r="H13" s="14" t="s">
        <v>23601</v>
      </c>
      <c r="I13" s="14" t="s">
        <v>22818</v>
      </c>
      <c r="J13" s="80"/>
      <c r="K13" s="14" t="s">
        <v>23438</v>
      </c>
      <c r="L13" s="81">
        <v>45691.60863425926</v>
      </c>
      <c r="M13" s="79">
        <f>IFERROR((COUNTIFS('Base de Dados'!DF:DF,"Sim",'Base de Dados'!A:A,A13,'Base de Dados'!B:B,B13)/(COUNTIFS('Base de Dados'!DF:DF,"Sim",'Base de Dados'!A:A,A13,'Base de Dados'!B:B,B13)+(COUNTIFS('Base de Dados'!DF:DF,"Não",'Base de Dados'!A:A,A13,'Base de Dados'!B:B,B13)))),"Não Aplica")</f>
        <v>1</v>
      </c>
      <c r="N13" s="14" t="s">
        <v>23434</v>
      </c>
      <c r="O13" s="14" t="s">
        <v>23602</v>
      </c>
      <c r="P13" s="14" t="s">
        <v>23603</v>
      </c>
      <c r="Q13" s="14" t="s">
        <v>23436</v>
      </c>
      <c r="R13" s="14" t="s">
        <v>23434</v>
      </c>
      <c r="S13" s="14" t="s">
        <v>23604</v>
      </c>
      <c r="T13" s="14" t="s">
        <v>23441</v>
      </c>
      <c r="U13" s="14" t="s">
        <v>23434</v>
      </c>
      <c r="V13" s="14" t="s">
        <v>23605</v>
      </c>
      <c r="W13" s="14" t="s">
        <v>22818</v>
      </c>
      <c r="X13" s="80"/>
      <c r="Y13" s="14" t="s">
        <v>23438</v>
      </c>
      <c r="Z13" s="81">
        <v>45692.63248842592</v>
      </c>
      <c r="AA13" s="79">
        <f>IFERROR((COUNTIFS('Base de Dados'!ED:ED,"Sim",'Base de Dados'!A:A,A13,'Base de Dados'!B:B,B13)/(COUNTIFS('Base de Dados'!ED:ED,"Sim",'Base de Dados'!A:A,A13,'Base de Dados'!B:B,B13)+(COUNTIFS('Base de Dados'!ED:ED,"Não",'Base de Dados'!A:A,A13,'Base de Dados'!B:B,B13)))),"Não Aplica")</f>
        <v>1</v>
      </c>
      <c r="AB13" s="14" t="s">
        <v>23434</v>
      </c>
      <c r="AC13" s="14" t="s">
        <v>23606</v>
      </c>
      <c r="AD13" s="14" t="s">
        <v>23441</v>
      </c>
      <c r="AE13" s="14" t="s">
        <v>23434</v>
      </c>
      <c r="AF13" s="14" t="s">
        <v>23607</v>
      </c>
      <c r="AG13" s="14" t="s">
        <v>22818</v>
      </c>
      <c r="AH13" s="80"/>
      <c r="AI13" s="14" t="s">
        <v>23438</v>
      </c>
      <c r="AJ13" s="81">
        <v>45692.63649305556</v>
      </c>
      <c r="AK13" s="82" t="s">
        <v>23446</v>
      </c>
      <c r="AL13" s="14" t="s">
        <v>23434</v>
      </c>
      <c r="AM13" s="14" t="s">
        <v>23439</v>
      </c>
      <c r="AN13" s="14" t="s">
        <v>23608</v>
      </c>
      <c r="AO13" s="14" t="s">
        <v>23441</v>
      </c>
      <c r="AP13" s="14" t="s">
        <v>23434</v>
      </c>
      <c r="AQ13" s="14" t="s">
        <v>23448</v>
      </c>
      <c r="AR13" s="14" t="s">
        <v>23609</v>
      </c>
      <c r="AS13" s="14" t="s">
        <v>23450</v>
      </c>
      <c r="AT13" s="14" t="s">
        <v>23434</v>
      </c>
      <c r="AU13" s="14" t="s">
        <v>23451</v>
      </c>
      <c r="AV13" s="14" t="s">
        <v>23610</v>
      </c>
      <c r="AW13" s="14" t="s">
        <v>22818</v>
      </c>
      <c r="AX13" s="14" t="s">
        <v>23434</v>
      </c>
      <c r="AY13" s="14" t="s">
        <v>23453</v>
      </c>
      <c r="AZ13" s="14" t="s">
        <v>23611</v>
      </c>
      <c r="BA13" s="14" t="s">
        <v>23455</v>
      </c>
      <c r="BB13" s="80"/>
      <c r="BC13" s="14" t="s">
        <v>23438</v>
      </c>
      <c r="BD13" s="81">
        <v>45698.61813657408</v>
      </c>
      <c r="BE13" s="79">
        <f>IFERROR((COUNTIFS('Base de Dados'!FD:FD,"Sim",'Base de Dados'!A:A,A13,'Base de Dados'!B:B,B13)/(COUNTIFS('Base de Dados'!FD:FD,"Sim",'Base de Dados'!A:A,A13,'Base de Dados'!B:B,B13)+(COUNTIFS('Base de Dados'!FD:FD,"Não",'Base de Dados'!A:A,A13,'Base de Dados'!B:B,B13)))),"Não Aplica")</f>
        <v>1</v>
      </c>
      <c r="BF13" s="14" t="s">
        <v>23434</v>
      </c>
      <c r="BG13" s="14" t="s">
        <v>23439</v>
      </c>
      <c r="BH13" s="14" t="s">
        <v>23612</v>
      </c>
      <c r="BI13" s="14" t="s">
        <v>23441</v>
      </c>
      <c r="BJ13" s="80"/>
      <c r="BK13" s="80"/>
      <c r="BL13" s="80"/>
      <c r="BM13" s="80"/>
      <c r="BN13" s="14" t="s">
        <v>23434</v>
      </c>
      <c r="BO13" s="14" t="s">
        <v>23453</v>
      </c>
      <c r="BP13" s="14" t="s">
        <v>23613</v>
      </c>
      <c r="BQ13" s="14" t="s">
        <v>23455</v>
      </c>
      <c r="BR13" s="14" t="s">
        <v>23434</v>
      </c>
      <c r="BS13" s="14" t="s">
        <v>23451</v>
      </c>
      <c r="BT13" s="14" t="s">
        <v>23614</v>
      </c>
      <c r="BU13" s="14" t="s">
        <v>22818</v>
      </c>
      <c r="BV13" s="80"/>
      <c r="BW13" s="14" t="s">
        <v>23438</v>
      </c>
      <c r="BX13" s="81">
        <v>45722.769282407404</v>
      </c>
      <c r="BY13" s="82" t="s">
        <v>23446</v>
      </c>
      <c r="BZ13" s="15"/>
      <c r="CA13" s="15"/>
      <c r="CB13" s="15"/>
      <c r="CC13" s="15"/>
      <c r="CD13" s="80"/>
      <c r="CE13" s="80"/>
      <c r="CF13" s="80"/>
      <c r="CG13" s="80"/>
      <c r="CH13" s="15"/>
      <c r="CI13" s="15"/>
      <c r="CJ13" s="15"/>
      <c r="CK13" s="15"/>
      <c r="CL13" s="15"/>
      <c r="CM13" s="15"/>
      <c r="CN13" s="15"/>
      <c r="CO13" s="15"/>
      <c r="CP13" s="80"/>
      <c r="CQ13" s="80" t="s">
        <v>23459</v>
      </c>
      <c r="CR13" s="83"/>
      <c r="CS13" s="84"/>
    </row>
    <row r="14">
      <c r="A14" s="78" t="s">
        <v>174</v>
      </c>
      <c r="B14" s="85" t="s">
        <v>753</v>
      </c>
      <c r="C14" s="79">
        <f>IFERROR((COUNTIFS('Base de Dados'!BT:BT,"Sim",'Base de Dados'!A:A,A14,'Base de Dados'!B:B,B14)/(COUNTIFS('Base de Dados'!BT:BT,"Sim",'Base de Dados'!A:A,A14,'Base de Dados'!B:B,B14)+(COUNTIFS('Base de Dados'!BT:BT,"Não",'Base de Dados'!A:A,A14,'Base de Dados'!B:B,B14)))),"Não Aplica")</f>
        <v>1</v>
      </c>
      <c r="D14" s="14" t="s">
        <v>23434</v>
      </c>
      <c r="E14" s="14" t="s">
        <v>23615</v>
      </c>
      <c r="F14" s="14" t="s">
        <v>23436</v>
      </c>
      <c r="G14" s="14" t="s">
        <v>23434</v>
      </c>
      <c r="H14" s="14" t="s">
        <v>23616</v>
      </c>
      <c r="I14" s="14" t="s">
        <v>22818</v>
      </c>
      <c r="J14" s="80"/>
      <c r="K14" s="14" t="s">
        <v>23438</v>
      </c>
      <c r="L14" s="81">
        <v>45687.38784722222</v>
      </c>
      <c r="M14" s="79">
        <f>IFERROR((COUNTIFS('Base de Dados'!DF:DF,"Sim",'Base de Dados'!A:A,A14,'Base de Dados'!B:B,B14)/(COUNTIFS('Base de Dados'!DF:DF,"Sim",'Base de Dados'!A:A,A14,'Base de Dados'!B:B,B14)+(COUNTIFS('Base de Dados'!DF:DF,"Não",'Base de Dados'!A:A,A14,'Base de Dados'!B:B,B14)))),"Não Aplica")</f>
        <v>1</v>
      </c>
      <c r="N14" s="14" t="s">
        <v>23434</v>
      </c>
      <c r="O14" s="14" t="s">
        <v>23439</v>
      </c>
      <c r="P14" s="14" t="s">
        <v>23617</v>
      </c>
      <c r="Q14" s="14" t="s">
        <v>23441</v>
      </c>
      <c r="R14" s="14" t="s">
        <v>23434</v>
      </c>
      <c r="S14" s="14" t="s">
        <v>23618</v>
      </c>
      <c r="T14" s="14" t="s">
        <v>23436</v>
      </c>
      <c r="U14" s="14" t="s">
        <v>23434</v>
      </c>
      <c r="V14" s="14" t="s">
        <v>23619</v>
      </c>
      <c r="W14" s="14" t="s">
        <v>22818</v>
      </c>
      <c r="X14" s="80"/>
      <c r="Y14" s="14" t="s">
        <v>23438</v>
      </c>
      <c r="Z14" s="81">
        <v>45691.61137731482</v>
      </c>
      <c r="AA14" s="79">
        <f>IFERROR((COUNTIFS('Base de Dados'!ED:ED,"Sim",'Base de Dados'!A:A,A14,'Base de Dados'!B:B,B14)/(COUNTIFS('Base de Dados'!ED:ED,"Sim",'Base de Dados'!A:A,A14,'Base de Dados'!B:B,B14)+(COUNTIFS('Base de Dados'!ED:ED,"Não",'Base de Dados'!A:A,A14,'Base de Dados'!B:B,B14)))),"Não Aplica")</f>
        <v>1</v>
      </c>
      <c r="AB14" s="14" t="s">
        <v>23434</v>
      </c>
      <c r="AC14" s="14" t="s">
        <v>23620</v>
      </c>
      <c r="AD14" s="14" t="s">
        <v>23441</v>
      </c>
      <c r="AE14" s="14" t="s">
        <v>23434</v>
      </c>
      <c r="AF14" s="14" t="s">
        <v>23621</v>
      </c>
      <c r="AG14" s="14" t="s">
        <v>22818</v>
      </c>
      <c r="AH14" s="80"/>
      <c r="AI14" s="14" t="s">
        <v>23438</v>
      </c>
      <c r="AJ14" s="81">
        <v>45692.63322916667</v>
      </c>
      <c r="AK14" s="82" t="s">
        <v>23446</v>
      </c>
      <c r="AL14" s="14" t="s">
        <v>23434</v>
      </c>
      <c r="AM14" s="14" t="s">
        <v>23439</v>
      </c>
      <c r="AN14" s="14" t="s">
        <v>23622</v>
      </c>
      <c r="AO14" s="14" t="s">
        <v>23441</v>
      </c>
      <c r="AP14" s="14" t="s">
        <v>23434</v>
      </c>
      <c r="AQ14" s="14" t="s">
        <v>23448</v>
      </c>
      <c r="AR14" s="14" t="s">
        <v>23623</v>
      </c>
      <c r="AS14" s="14" t="s">
        <v>23450</v>
      </c>
      <c r="AT14" s="14" t="s">
        <v>23434</v>
      </c>
      <c r="AU14" s="14" t="s">
        <v>23451</v>
      </c>
      <c r="AV14" s="14" t="s">
        <v>23624</v>
      </c>
      <c r="AW14" s="14" t="s">
        <v>22818</v>
      </c>
      <c r="AX14" s="14" t="s">
        <v>23434</v>
      </c>
      <c r="AY14" s="14" t="s">
        <v>23453</v>
      </c>
      <c r="AZ14" s="14" t="s">
        <v>23625</v>
      </c>
      <c r="BA14" s="14" t="s">
        <v>23455</v>
      </c>
      <c r="BB14" s="80"/>
      <c r="BC14" s="14" t="s">
        <v>23438</v>
      </c>
      <c r="BD14" s="81">
        <v>45698.61820601852</v>
      </c>
      <c r="BE14" s="79">
        <f>IFERROR((COUNTIFS('Base de Dados'!FD:FD,"Sim",'Base de Dados'!A:A,A14,'Base de Dados'!B:B,B14)/(COUNTIFS('Base de Dados'!FD:FD,"Sim",'Base de Dados'!A:A,A14,'Base de Dados'!B:B,B14)+(COUNTIFS('Base de Dados'!FD:FD,"Não",'Base de Dados'!A:A,A14,'Base de Dados'!B:B,B14)))),"Não Aplica")</f>
        <v>1</v>
      </c>
      <c r="BF14" s="14" t="s">
        <v>23434</v>
      </c>
      <c r="BG14" s="14" t="s">
        <v>23439</v>
      </c>
      <c r="BH14" s="14" t="s">
        <v>23626</v>
      </c>
      <c r="BI14" s="14" t="s">
        <v>23441</v>
      </c>
      <c r="BJ14" s="80"/>
      <c r="BK14" s="80"/>
      <c r="BL14" s="80"/>
      <c r="BM14" s="80"/>
      <c r="BN14" s="14" t="s">
        <v>23434</v>
      </c>
      <c r="BO14" s="14" t="s">
        <v>23453</v>
      </c>
      <c r="BP14" s="14" t="s">
        <v>23627</v>
      </c>
      <c r="BQ14" s="14" t="s">
        <v>23455</v>
      </c>
      <c r="BR14" s="14" t="s">
        <v>23434</v>
      </c>
      <c r="BS14" s="14" t="s">
        <v>23451</v>
      </c>
      <c r="BT14" s="14" t="s">
        <v>23628</v>
      </c>
      <c r="BU14" s="14" t="s">
        <v>22818</v>
      </c>
      <c r="BV14" s="80"/>
      <c r="BW14" s="14" t="s">
        <v>23438</v>
      </c>
      <c r="BX14" s="81">
        <v>45722.761655092596</v>
      </c>
      <c r="BY14" s="82" t="s">
        <v>23446</v>
      </c>
      <c r="BZ14" s="15"/>
      <c r="CA14" s="15"/>
      <c r="CB14" s="15"/>
      <c r="CC14" s="15"/>
      <c r="CD14" s="80"/>
      <c r="CE14" s="80"/>
      <c r="CF14" s="80"/>
      <c r="CG14" s="80"/>
      <c r="CH14" s="15"/>
      <c r="CI14" s="15"/>
      <c r="CJ14" s="15"/>
      <c r="CK14" s="15"/>
      <c r="CL14" s="15"/>
      <c r="CM14" s="15"/>
      <c r="CN14" s="15"/>
      <c r="CO14" s="15"/>
      <c r="CP14" s="80"/>
      <c r="CQ14" s="80" t="s">
        <v>23459</v>
      </c>
      <c r="CR14" s="83"/>
      <c r="CS14" s="84"/>
    </row>
    <row r="15">
      <c r="A15" s="78" t="s">
        <v>174</v>
      </c>
      <c r="B15" s="85" t="s">
        <v>824</v>
      </c>
      <c r="C15" s="79">
        <f>IFERROR((COUNTIFS('Base de Dados'!BT:BT,"Sim",'Base de Dados'!A:A,A15,'Base de Dados'!B:B,B15)/(COUNTIFS('Base de Dados'!BT:BT,"Sim",'Base de Dados'!A:A,A15,'Base de Dados'!B:B,B15)+(COUNTIFS('Base de Dados'!BT:BT,"Não",'Base de Dados'!A:A,A15,'Base de Dados'!B:B,B15)))),"Não Aplica")</f>
        <v>1</v>
      </c>
      <c r="D15" s="14" t="s">
        <v>23434</v>
      </c>
      <c r="E15" s="14" t="s">
        <v>23629</v>
      </c>
      <c r="F15" s="14" t="s">
        <v>23436</v>
      </c>
      <c r="G15" s="14" t="s">
        <v>23434</v>
      </c>
      <c r="H15" s="14" t="s">
        <v>23630</v>
      </c>
      <c r="I15" s="14" t="s">
        <v>22818</v>
      </c>
      <c r="J15" s="80"/>
      <c r="K15" s="14" t="s">
        <v>23438</v>
      </c>
      <c r="L15" s="81">
        <v>45687.38790509259</v>
      </c>
      <c r="M15" s="79">
        <f>IFERROR((COUNTIFS('Base de Dados'!DF:DF,"Sim",'Base de Dados'!A:A,A15,'Base de Dados'!B:B,B15)/(COUNTIFS('Base de Dados'!DF:DF,"Sim",'Base de Dados'!A:A,A15,'Base de Dados'!B:B,B15)+(COUNTIFS('Base de Dados'!DF:DF,"Não",'Base de Dados'!A:A,A15,'Base de Dados'!B:B,B15)))),"Não Aplica")</f>
        <v>1</v>
      </c>
      <c r="N15" s="14" t="s">
        <v>23434</v>
      </c>
      <c r="O15" s="14" t="s">
        <v>23439</v>
      </c>
      <c r="P15" s="14" t="s">
        <v>23631</v>
      </c>
      <c r="Q15" s="14" t="s">
        <v>23441</v>
      </c>
      <c r="R15" s="14" t="s">
        <v>23434</v>
      </c>
      <c r="S15" s="14" t="s">
        <v>23632</v>
      </c>
      <c r="T15" s="14" t="s">
        <v>23436</v>
      </c>
      <c r="U15" s="14" t="s">
        <v>23434</v>
      </c>
      <c r="V15" s="14" t="s">
        <v>23633</v>
      </c>
      <c r="W15" s="14" t="s">
        <v>22818</v>
      </c>
      <c r="X15" s="80"/>
      <c r="Y15" s="14" t="s">
        <v>23438</v>
      </c>
      <c r="Z15" s="81">
        <v>45691.61142361111</v>
      </c>
      <c r="AA15" s="79">
        <f>IFERROR((COUNTIFS('Base de Dados'!ED:ED,"Sim",'Base de Dados'!A:A,A15,'Base de Dados'!B:B,B15)/(COUNTIFS('Base de Dados'!ED:ED,"Sim",'Base de Dados'!A:A,A15,'Base de Dados'!B:B,B15)+(COUNTIFS('Base de Dados'!ED:ED,"Não",'Base de Dados'!A:A,A15,'Base de Dados'!B:B,B15)))),"Não Aplica")</f>
        <v>1</v>
      </c>
      <c r="AB15" s="14" t="s">
        <v>23434</v>
      </c>
      <c r="AC15" s="14" t="s">
        <v>23634</v>
      </c>
      <c r="AD15" s="14" t="s">
        <v>23441</v>
      </c>
      <c r="AE15" s="14" t="s">
        <v>23434</v>
      </c>
      <c r="AF15" s="14" t="s">
        <v>23635</v>
      </c>
      <c r="AG15" s="14" t="s">
        <v>22818</v>
      </c>
      <c r="AH15" s="80"/>
      <c r="AI15" s="14" t="s">
        <v>23438</v>
      </c>
      <c r="AJ15" s="81">
        <v>45692.634675925925</v>
      </c>
      <c r="AK15" s="82" t="s">
        <v>23446</v>
      </c>
      <c r="AL15" s="14" t="s">
        <v>23434</v>
      </c>
      <c r="AM15" s="14" t="s">
        <v>23439</v>
      </c>
      <c r="AN15" s="14" t="s">
        <v>23636</v>
      </c>
      <c r="AO15" s="14" t="s">
        <v>23441</v>
      </c>
      <c r="AP15" s="14" t="s">
        <v>23434</v>
      </c>
      <c r="AQ15" s="14" t="s">
        <v>23448</v>
      </c>
      <c r="AR15" s="14" t="s">
        <v>23637</v>
      </c>
      <c r="AS15" s="14" t="s">
        <v>23450</v>
      </c>
      <c r="AT15" s="14" t="s">
        <v>23434</v>
      </c>
      <c r="AU15" s="14" t="s">
        <v>23451</v>
      </c>
      <c r="AV15" s="14" t="s">
        <v>23638</v>
      </c>
      <c r="AW15" s="14" t="s">
        <v>22818</v>
      </c>
      <c r="AX15" s="14" t="s">
        <v>23434</v>
      </c>
      <c r="AY15" s="14" t="s">
        <v>23453</v>
      </c>
      <c r="AZ15" s="14" t="s">
        <v>23639</v>
      </c>
      <c r="BA15" s="14" t="s">
        <v>23455</v>
      </c>
      <c r="BB15" s="80"/>
      <c r="BC15" s="14" t="s">
        <v>23438</v>
      </c>
      <c r="BD15" s="81">
        <v>45698.61827546296</v>
      </c>
      <c r="BE15" s="79">
        <f>IFERROR((COUNTIFS('Base de Dados'!FD:FD,"Sim",'Base de Dados'!A:A,A15,'Base de Dados'!B:B,B15)/(COUNTIFS('Base de Dados'!FD:FD,"Sim",'Base de Dados'!A:A,A15,'Base de Dados'!B:B,B15)+(COUNTIFS('Base de Dados'!FD:FD,"Não",'Base de Dados'!A:A,A15,'Base de Dados'!B:B,B15)))),"Não Aplica")</f>
        <v>1</v>
      </c>
      <c r="BF15" s="14" t="s">
        <v>23434</v>
      </c>
      <c r="BG15" s="14" t="s">
        <v>23439</v>
      </c>
      <c r="BH15" s="14" t="s">
        <v>23640</v>
      </c>
      <c r="BI15" s="14" t="s">
        <v>23441</v>
      </c>
      <c r="BJ15" s="80"/>
      <c r="BK15" s="80"/>
      <c r="BL15" s="80"/>
      <c r="BM15" s="80"/>
      <c r="BN15" s="14" t="s">
        <v>23434</v>
      </c>
      <c r="BO15" s="14" t="s">
        <v>23453</v>
      </c>
      <c r="BP15" s="14" t="s">
        <v>23641</v>
      </c>
      <c r="BQ15" s="14" t="s">
        <v>23455</v>
      </c>
      <c r="BR15" s="14" t="s">
        <v>23434</v>
      </c>
      <c r="BS15" s="14" t="s">
        <v>23451</v>
      </c>
      <c r="BT15" s="14" t="s">
        <v>23642</v>
      </c>
      <c r="BU15" s="14" t="s">
        <v>22818</v>
      </c>
      <c r="BV15" s="80"/>
      <c r="BW15" s="14" t="s">
        <v>23438</v>
      </c>
      <c r="BX15" s="81">
        <v>45722.763402777775</v>
      </c>
      <c r="BY15" s="82" t="s">
        <v>23446</v>
      </c>
      <c r="BZ15" s="15"/>
      <c r="CA15" s="15"/>
      <c r="CB15" s="15"/>
      <c r="CC15" s="15"/>
      <c r="CD15" s="80"/>
      <c r="CE15" s="80"/>
      <c r="CF15" s="80"/>
      <c r="CG15" s="80"/>
      <c r="CH15" s="15"/>
      <c r="CI15" s="15"/>
      <c r="CJ15" s="15"/>
      <c r="CK15" s="15"/>
      <c r="CL15" s="15"/>
      <c r="CM15" s="15"/>
      <c r="CN15" s="15"/>
      <c r="CO15" s="15"/>
      <c r="CP15" s="80"/>
      <c r="CQ15" s="80" t="s">
        <v>23459</v>
      </c>
      <c r="CR15" s="83"/>
      <c r="CS15" s="84"/>
    </row>
    <row r="16">
      <c r="A16" s="78" t="s">
        <v>174</v>
      </c>
      <c r="B16" s="85" t="s">
        <v>1062</v>
      </c>
      <c r="C16" s="79">
        <f>IFERROR((COUNTIFS('Base de Dados'!BT:BT,"Sim",'Base de Dados'!A:A,A16,'Base de Dados'!B:B,B16)/(COUNTIFS('Base de Dados'!BT:BT,"Sim",'Base de Dados'!A:A,A16,'Base de Dados'!B:B,B16)+(COUNTIFS('Base de Dados'!BT:BT,"Não",'Base de Dados'!A:A,A16,'Base de Dados'!B:B,B16)))),"Não Aplica")</f>
        <v>1</v>
      </c>
      <c r="D16" s="14" t="s">
        <v>23434</v>
      </c>
      <c r="E16" s="14" t="s">
        <v>23643</v>
      </c>
      <c r="F16" s="14" t="s">
        <v>23436</v>
      </c>
      <c r="G16" s="14" t="s">
        <v>23434</v>
      </c>
      <c r="H16" s="14" t="s">
        <v>23644</v>
      </c>
      <c r="I16" s="14" t="s">
        <v>22818</v>
      </c>
      <c r="J16" s="80"/>
      <c r="K16" s="14" t="s">
        <v>23438</v>
      </c>
      <c r="L16" s="81">
        <v>45687.38793981481</v>
      </c>
      <c r="M16" s="79">
        <f>IFERROR((COUNTIFS('Base de Dados'!DF:DF,"Sim",'Base de Dados'!A:A,A16,'Base de Dados'!B:B,B16)/(COUNTIFS('Base de Dados'!DF:DF,"Sim",'Base de Dados'!A:A,A16,'Base de Dados'!B:B,B16)+(COUNTIFS('Base de Dados'!DF:DF,"Não",'Base de Dados'!A:A,A16,'Base de Dados'!B:B,B16)))),"Não Aplica")</f>
        <v>1</v>
      </c>
      <c r="N16" s="14" t="s">
        <v>23434</v>
      </c>
      <c r="O16" s="14" t="s">
        <v>23439</v>
      </c>
      <c r="P16" s="14" t="s">
        <v>23645</v>
      </c>
      <c r="Q16" s="14" t="s">
        <v>23441</v>
      </c>
      <c r="R16" s="14" t="s">
        <v>23434</v>
      </c>
      <c r="S16" s="14" t="s">
        <v>23646</v>
      </c>
      <c r="T16" s="14" t="s">
        <v>23436</v>
      </c>
      <c r="U16" s="14" t="s">
        <v>23434</v>
      </c>
      <c r="V16" s="14" t="s">
        <v>23647</v>
      </c>
      <c r="W16" s="14" t="s">
        <v>22818</v>
      </c>
      <c r="X16" s="80"/>
      <c r="Y16" s="14" t="s">
        <v>23438</v>
      </c>
      <c r="Z16" s="81">
        <v>45691.61145833333</v>
      </c>
      <c r="AA16" s="79">
        <f>IFERROR((COUNTIFS('Base de Dados'!ED:ED,"Sim",'Base de Dados'!A:A,A16,'Base de Dados'!B:B,B16)/(COUNTIFS('Base de Dados'!ED:ED,"Sim",'Base de Dados'!A:A,A16,'Base de Dados'!B:B,B16)+(COUNTIFS('Base de Dados'!ED:ED,"Não",'Base de Dados'!A:A,A16,'Base de Dados'!B:B,B16)))),"Não Aplica")</f>
        <v>1</v>
      </c>
      <c r="AB16" s="14" t="s">
        <v>23434</v>
      </c>
      <c r="AC16" s="14" t="s">
        <v>23648</v>
      </c>
      <c r="AD16" s="14" t="s">
        <v>23441</v>
      </c>
      <c r="AE16" s="14" t="s">
        <v>23434</v>
      </c>
      <c r="AF16" s="14" t="s">
        <v>23649</v>
      </c>
      <c r="AG16" s="14" t="s">
        <v>22818</v>
      </c>
      <c r="AH16" s="80"/>
      <c r="AI16" s="14" t="s">
        <v>23438</v>
      </c>
      <c r="AJ16" s="81">
        <v>45692.63460648148</v>
      </c>
      <c r="AK16" s="82" t="s">
        <v>23446</v>
      </c>
      <c r="AL16" s="14" t="s">
        <v>23434</v>
      </c>
      <c r="AM16" s="14" t="s">
        <v>23439</v>
      </c>
      <c r="AN16" s="14" t="s">
        <v>23650</v>
      </c>
      <c r="AO16" s="14" t="s">
        <v>23441</v>
      </c>
      <c r="AP16" s="14" t="s">
        <v>23434</v>
      </c>
      <c r="AQ16" s="14" t="s">
        <v>23448</v>
      </c>
      <c r="AR16" s="14" t="s">
        <v>23651</v>
      </c>
      <c r="AS16" s="14" t="s">
        <v>23450</v>
      </c>
      <c r="AT16" s="14" t="s">
        <v>23434</v>
      </c>
      <c r="AU16" s="14" t="s">
        <v>23451</v>
      </c>
      <c r="AV16" s="14" t="s">
        <v>23652</v>
      </c>
      <c r="AW16" s="14" t="s">
        <v>22818</v>
      </c>
      <c r="AX16" s="14" t="s">
        <v>23434</v>
      </c>
      <c r="AY16" s="14" t="s">
        <v>23453</v>
      </c>
      <c r="AZ16" s="14" t="s">
        <v>23653</v>
      </c>
      <c r="BA16" s="14" t="s">
        <v>23455</v>
      </c>
      <c r="BB16" s="80"/>
      <c r="BC16" s="14" t="s">
        <v>23438</v>
      </c>
      <c r="BD16" s="81">
        <v>45698.61846064815</v>
      </c>
      <c r="BE16" s="79">
        <f>IFERROR((COUNTIFS('Base de Dados'!FD:FD,"Sim",'Base de Dados'!A:A,A16,'Base de Dados'!B:B,B16)/(COUNTIFS('Base de Dados'!FD:FD,"Sim",'Base de Dados'!A:A,A16,'Base de Dados'!B:B,B16)+(COUNTIFS('Base de Dados'!FD:FD,"Não",'Base de Dados'!A:A,A16,'Base de Dados'!B:B,B16)))),"Não Aplica")</f>
        <v>1</v>
      </c>
      <c r="BF16" s="14" t="s">
        <v>23434</v>
      </c>
      <c r="BG16" s="14" t="s">
        <v>23439</v>
      </c>
      <c r="BH16" s="14" t="s">
        <v>23654</v>
      </c>
      <c r="BI16" s="14" t="s">
        <v>23441</v>
      </c>
      <c r="BJ16" s="80"/>
      <c r="BK16" s="80"/>
      <c r="BL16" s="80"/>
      <c r="BM16" s="80"/>
      <c r="BN16" s="14" t="s">
        <v>23434</v>
      </c>
      <c r="BO16" s="14" t="s">
        <v>23453</v>
      </c>
      <c r="BP16" s="14" t="s">
        <v>23655</v>
      </c>
      <c r="BQ16" s="14" t="s">
        <v>23455</v>
      </c>
      <c r="BR16" s="14" t="s">
        <v>23434</v>
      </c>
      <c r="BS16" s="14" t="s">
        <v>23451</v>
      </c>
      <c r="BT16" s="14" t="s">
        <v>23656</v>
      </c>
      <c r="BU16" s="14" t="s">
        <v>22818</v>
      </c>
      <c r="BV16" s="80"/>
      <c r="BW16" s="14" t="s">
        <v>23438</v>
      </c>
      <c r="BX16" s="81">
        <v>45722.769328703704</v>
      </c>
      <c r="BY16" s="82" t="s">
        <v>23446</v>
      </c>
      <c r="BZ16" s="15"/>
      <c r="CA16" s="15"/>
      <c r="CB16" s="15"/>
      <c r="CC16" s="15"/>
      <c r="CD16" s="80"/>
      <c r="CE16" s="80"/>
      <c r="CF16" s="80"/>
      <c r="CG16" s="80"/>
      <c r="CH16" s="15"/>
      <c r="CI16" s="15"/>
      <c r="CJ16" s="15"/>
      <c r="CK16" s="15"/>
      <c r="CL16" s="15"/>
      <c r="CM16" s="15"/>
      <c r="CN16" s="15"/>
      <c r="CO16" s="15"/>
      <c r="CP16" s="80"/>
      <c r="CQ16" s="80" t="s">
        <v>23459</v>
      </c>
      <c r="CR16" s="83"/>
      <c r="CS16" s="84"/>
    </row>
    <row r="17">
      <c r="A17" s="78" t="s">
        <v>174</v>
      </c>
      <c r="B17" s="85" t="s">
        <v>9332</v>
      </c>
      <c r="C17" s="79">
        <f>IFERROR((COUNTIFS('Base de Dados'!BT:BT,"Sim",'Base de Dados'!A:A,A17,'Base de Dados'!B:B,B17)/(COUNTIFS('Base de Dados'!BT:BT,"Sim",'Base de Dados'!A:A,A17,'Base de Dados'!B:B,B17)+(COUNTIFS('Base de Dados'!BT:BT,"Não",'Base de Dados'!A:A,A17,'Base de Dados'!B:B,B17)))),"Não Aplica")</f>
        <v>1</v>
      </c>
      <c r="D17" s="14" t="s">
        <v>23434</v>
      </c>
      <c r="E17" s="14" t="s">
        <v>23657</v>
      </c>
      <c r="F17" s="14" t="s">
        <v>23436</v>
      </c>
      <c r="G17" s="14" t="s">
        <v>23434</v>
      </c>
      <c r="H17" s="14" t="s">
        <v>23658</v>
      </c>
      <c r="I17" s="14" t="s">
        <v>22818</v>
      </c>
      <c r="J17" s="80"/>
      <c r="K17" s="14" t="s">
        <v>23438</v>
      </c>
      <c r="L17" s="81">
        <v>45691.60869212963</v>
      </c>
      <c r="M17" s="79">
        <f>IFERROR((COUNTIFS('Base de Dados'!DF:DF,"Sim",'Base de Dados'!A:A,A17,'Base de Dados'!B:B,B17)/(COUNTIFS('Base de Dados'!DF:DF,"Sim",'Base de Dados'!A:A,A17,'Base de Dados'!B:B,B17)+(COUNTIFS('Base de Dados'!DF:DF,"Não",'Base de Dados'!A:A,A17,'Base de Dados'!B:B,B17)))),"Não Aplica")</f>
        <v>1</v>
      </c>
      <c r="N17" s="14" t="s">
        <v>23434</v>
      </c>
      <c r="O17" s="14" t="s">
        <v>23602</v>
      </c>
      <c r="P17" s="14" t="s">
        <v>23659</v>
      </c>
      <c r="Q17" s="14" t="s">
        <v>23436</v>
      </c>
      <c r="R17" s="14" t="s">
        <v>23434</v>
      </c>
      <c r="S17" s="14" t="s">
        <v>23660</v>
      </c>
      <c r="T17" s="14" t="s">
        <v>23441</v>
      </c>
      <c r="U17" s="14" t="s">
        <v>23434</v>
      </c>
      <c r="V17" s="14" t="s">
        <v>23661</v>
      </c>
      <c r="W17" s="14" t="s">
        <v>22818</v>
      </c>
      <c r="X17" s="80"/>
      <c r="Y17" s="14" t="s">
        <v>23438</v>
      </c>
      <c r="Z17" s="81">
        <v>45692.632731481484</v>
      </c>
      <c r="AA17" s="79">
        <f>IFERROR((COUNTIFS('Base de Dados'!ED:ED,"Sim",'Base de Dados'!A:A,A17,'Base de Dados'!B:B,B17)/(COUNTIFS('Base de Dados'!ED:ED,"Sim",'Base de Dados'!A:A,A17,'Base de Dados'!B:B,B17)+(COUNTIFS('Base de Dados'!ED:ED,"Não",'Base de Dados'!A:A,A17,'Base de Dados'!B:B,B17)))),"Não Aplica")</f>
        <v>1</v>
      </c>
      <c r="AB17" s="14" t="s">
        <v>23434</v>
      </c>
      <c r="AC17" s="14" t="s">
        <v>23662</v>
      </c>
      <c r="AD17" s="14" t="s">
        <v>23441</v>
      </c>
      <c r="AE17" s="14" t="s">
        <v>23434</v>
      </c>
      <c r="AF17" s="14" t="s">
        <v>23663</v>
      </c>
      <c r="AG17" s="14" t="s">
        <v>22818</v>
      </c>
      <c r="AH17" s="80"/>
      <c r="AI17" s="14" t="s">
        <v>23438</v>
      </c>
      <c r="AJ17" s="81">
        <v>45692.63511574074</v>
      </c>
      <c r="AK17" s="82" t="s">
        <v>23446</v>
      </c>
      <c r="AL17" s="14" t="s">
        <v>23434</v>
      </c>
      <c r="AM17" s="14" t="s">
        <v>23439</v>
      </c>
      <c r="AN17" s="14" t="s">
        <v>23664</v>
      </c>
      <c r="AO17" s="14" t="s">
        <v>23441</v>
      </c>
      <c r="AP17" s="14" t="s">
        <v>23434</v>
      </c>
      <c r="AQ17" s="14" t="s">
        <v>23448</v>
      </c>
      <c r="AR17" s="14" t="s">
        <v>23665</v>
      </c>
      <c r="AS17" s="14" t="s">
        <v>23450</v>
      </c>
      <c r="AT17" s="14" t="s">
        <v>23434</v>
      </c>
      <c r="AU17" s="14" t="s">
        <v>23451</v>
      </c>
      <c r="AV17" s="14" t="s">
        <v>23666</v>
      </c>
      <c r="AW17" s="14" t="s">
        <v>22818</v>
      </c>
      <c r="AX17" s="14" t="s">
        <v>23434</v>
      </c>
      <c r="AY17" s="14" t="s">
        <v>23453</v>
      </c>
      <c r="AZ17" s="14" t="s">
        <v>23667</v>
      </c>
      <c r="BA17" s="14" t="s">
        <v>23455</v>
      </c>
      <c r="BB17" s="80"/>
      <c r="BC17" s="14" t="s">
        <v>23438</v>
      </c>
      <c r="BD17" s="81">
        <v>45698.61859953704</v>
      </c>
      <c r="BE17" s="79" t="str">
        <f>IFERROR((COUNTIFS('Base de Dados'!FD:FD,"Sim",'Base de Dados'!A:A,A17,'Base de Dados'!B:B,B17)/(COUNTIFS('Base de Dados'!FD:FD,"Sim",'Base de Dados'!A:A,A17,'Base de Dados'!B:B,B17)+(COUNTIFS('Base de Dados'!FD:FD,"Não",'Base de Dados'!A:A,A17,'Base de Dados'!B:B,B17)))),"Não Aplica")</f>
        <v>Não Aplica</v>
      </c>
      <c r="BF17" s="14" t="s">
        <v>228</v>
      </c>
      <c r="BG17" s="14" t="s">
        <v>23439</v>
      </c>
      <c r="BH17" s="14" t="s">
        <v>23668</v>
      </c>
      <c r="BI17" s="14" t="s">
        <v>23441</v>
      </c>
      <c r="BJ17" s="80"/>
      <c r="BK17" s="80"/>
      <c r="BL17" s="80"/>
      <c r="BM17" s="80"/>
      <c r="BN17" s="14" t="s">
        <v>228</v>
      </c>
      <c r="BO17" s="14" t="s">
        <v>23453</v>
      </c>
      <c r="BP17" s="14" t="s">
        <v>23669</v>
      </c>
      <c r="BQ17" s="14" t="s">
        <v>23455</v>
      </c>
      <c r="BR17" s="14" t="s">
        <v>228</v>
      </c>
      <c r="BS17" s="15"/>
      <c r="BT17" s="14" t="s">
        <v>23670</v>
      </c>
      <c r="BU17" s="14" t="s">
        <v>22818</v>
      </c>
      <c r="BV17" s="80"/>
      <c r="BW17" s="14" t="s">
        <v>23438</v>
      </c>
      <c r="BX17" s="81">
        <v>45723.610127314816</v>
      </c>
      <c r="BY17" s="82" t="s">
        <v>23446</v>
      </c>
      <c r="BZ17" s="15"/>
      <c r="CA17" s="15"/>
      <c r="CB17" s="15"/>
      <c r="CC17" s="15"/>
      <c r="CD17" s="80"/>
      <c r="CE17" s="80"/>
      <c r="CF17" s="80"/>
      <c r="CG17" s="80"/>
      <c r="CH17" s="15"/>
      <c r="CI17" s="15"/>
      <c r="CJ17" s="15"/>
      <c r="CK17" s="15"/>
      <c r="CL17" s="15"/>
      <c r="CM17" s="15"/>
      <c r="CN17" s="15"/>
      <c r="CO17" s="15"/>
      <c r="CP17" s="80"/>
      <c r="CQ17" s="80" t="s">
        <v>23459</v>
      </c>
      <c r="CR17" s="83"/>
      <c r="CS17" s="84"/>
    </row>
    <row r="18">
      <c r="A18" s="78" t="s">
        <v>174</v>
      </c>
      <c r="B18" s="85" t="s">
        <v>7895</v>
      </c>
      <c r="C18" s="79">
        <f>IFERROR((COUNTIFS('Base de Dados'!BT:BT,"Sim",'Base de Dados'!A:A,A18,'Base de Dados'!B:B,B18)/(COUNTIFS('Base de Dados'!BT:BT,"Sim",'Base de Dados'!A:A,A18,'Base de Dados'!B:B,B18)+(COUNTIFS('Base de Dados'!BT:BT,"Não",'Base de Dados'!A:A,A18,'Base de Dados'!B:B,B18)))),"Não Aplica")</f>
        <v>1</v>
      </c>
      <c r="D18" s="14" t="s">
        <v>23434</v>
      </c>
      <c r="E18" s="14" t="s">
        <v>23671</v>
      </c>
      <c r="F18" s="14" t="s">
        <v>23436</v>
      </c>
      <c r="G18" s="14" t="s">
        <v>23434</v>
      </c>
      <c r="H18" s="14" t="s">
        <v>23672</v>
      </c>
      <c r="I18" s="14" t="s">
        <v>22818</v>
      </c>
      <c r="J18" s="80"/>
      <c r="K18" s="14" t="s">
        <v>23438</v>
      </c>
      <c r="L18" s="81">
        <v>45691.60890046296</v>
      </c>
      <c r="M18" s="79">
        <f>IFERROR((COUNTIFS('Base de Dados'!DF:DF,"Sim",'Base de Dados'!A:A,A18,'Base de Dados'!B:B,B18)/(COUNTIFS('Base de Dados'!DF:DF,"Sim",'Base de Dados'!A:A,A18,'Base de Dados'!B:B,B18)+(COUNTIFS('Base de Dados'!DF:DF,"Não",'Base de Dados'!A:A,A18,'Base de Dados'!B:B,B18)))),"Não Aplica")</f>
        <v>1</v>
      </c>
      <c r="N18" s="14" t="s">
        <v>23434</v>
      </c>
      <c r="O18" s="14" t="s">
        <v>23602</v>
      </c>
      <c r="P18" s="14" t="s">
        <v>23673</v>
      </c>
      <c r="Q18" s="14" t="s">
        <v>23436</v>
      </c>
      <c r="R18" s="14" t="s">
        <v>23434</v>
      </c>
      <c r="S18" s="14" t="s">
        <v>23674</v>
      </c>
      <c r="T18" s="14" t="s">
        <v>23441</v>
      </c>
      <c r="U18" s="14" t="s">
        <v>23434</v>
      </c>
      <c r="V18" s="14" t="s">
        <v>23675</v>
      </c>
      <c r="W18" s="14" t="s">
        <v>22818</v>
      </c>
      <c r="X18" s="80"/>
      <c r="Y18" s="14" t="s">
        <v>23438</v>
      </c>
      <c r="Z18" s="81">
        <v>45692.632523148146</v>
      </c>
      <c r="AA18" s="79">
        <f>IFERROR((COUNTIFS('Base de Dados'!ED:ED,"Sim",'Base de Dados'!A:A,A18,'Base de Dados'!B:B,B18)/(COUNTIFS('Base de Dados'!ED:ED,"Sim",'Base de Dados'!A:A,A18,'Base de Dados'!B:B,B18)+(COUNTIFS('Base de Dados'!ED:ED,"Não",'Base de Dados'!A:A,A18,'Base de Dados'!B:B,B18)))),"Não Aplica")</f>
        <v>1</v>
      </c>
      <c r="AB18" s="14" t="s">
        <v>23434</v>
      </c>
      <c r="AC18" s="14" t="s">
        <v>23676</v>
      </c>
      <c r="AD18" s="14" t="s">
        <v>23441</v>
      </c>
      <c r="AE18" s="14" t="s">
        <v>23434</v>
      </c>
      <c r="AF18" s="14" t="s">
        <v>23677</v>
      </c>
      <c r="AG18" s="14" t="s">
        <v>22818</v>
      </c>
      <c r="AH18" s="80"/>
      <c r="AI18" s="14" t="s">
        <v>23438</v>
      </c>
      <c r="AJ18" s="81">
        <v>45692.636400462965</v>
      </c>
      <c r="AK18" s="82" t="s">
        <v>23446</v>
      </c>
      <c r="AL18" s="14" t="s">
        <v>23434</v>
      </c>
      <c r="AM18" s="14" t="s">
        <v>23439</v>
      </c>
      <c r="AN18" s="14" t="s">
        <v>23678</v>
      </c>
      <c r="AO18" s="14" t="s">
        <v>23441</v>
      </c>
      <c r="AP18" s="14" t="s">
        <v>23434</v>
      </c>
      <c r="AQ18" s="14" t="s">
        <v>23448</v>
      </c>
      <c r="AR18" s="14" t="s">
        <v>23679</v>
      </c>
      <c r="AS18" s="14" t="s">
        <v>23450</v>
      </c>
      <c r="AT18" s="14" t="s">
        <v>23434</v>
      </c>
      <c r="AU18" s="14" t="s">
        <v>23451</v>
      </c>
      <c r="AV18" s="14" t="s">
        <v>23680</v>
      </c>
      <c r="AW18" s="14" t="s">
        <v>22818</v>
      </c>
      <c r="AX18" s="14" t="s">
        <v>23434</v>
      </c>
      <c r="AY18" s="14" t="s">
        <v>23453</v>
      </c>
      <c r="AZ18" s="14" t="s">
        <v>23681</v>
      </c>
      <c r="BA18" s="14" t="s">
        <v>23455</v>
      </c>
      <c r="BB18" s="80"/>
      <c r="BC18" s="14" t="s">
        <v>23438</v>
      </c>
      <c r="BD18" s="81">
        <v>45698.61853009259</v>
      </c>
      <c r="BE18" s="79">
        <f>IFERROR((COUNTIFS('Base de Dados'!FD:FD,"Sim",'Base de Dados'!A:A,A18,'Base de Dados'!B:B,B18)/(COUNTIFS('Base de Dados'!FD:FD,"Sim",'Base de Dados'!A:A,A18,'Base de Dados'!B:B,B18)+(COUNTIFS('Base de Dados'!FD:FD,"Não",'Base de Dados'!A:A,A18,'Base de Dados'!B:B,B18)))),"Não Aplica")</f>
        <v>1</v>
      </c>
      <c r="BF18" s="14" t="s">
        <v>23434</v>
      </c>
      <c r="BG18" s="14" t="s">
        <v>23439</v>
      </c>
      <c r="BH18" s="14" t="s">
        <v>23682</v>
      </c>
      <c r="BI18" s="14" t="s">
        <v>23441</v>
      </c>
      <c r="BJ18" s="80"/>
      <c r="BK18" s="80"/>
      <c r="BL18" s="80"/>
      <c r="BM18" s="80"/>
      <c r="BN18" s="14" t="s">
        <v>23434</v>
      </c>
      <c r="BO18" s="14" t="s">
        <v>23453</v>
      </c>
      <c r="BP18" s="14" t="s">
        <v>23683</v>
      </c>
      <c r="BQ18" s="14" t="s">
        <v>23455</v>
      </c>
      <c r="BR18" s="14" t="s">
        <v>23434</v>
      </c>
      <c r="BS18" s="14" t="s">
        <v>23451</v>
      </c>
      <c r="BT18" s="14" t="s">
        <v>23684</v>
      </c>
      <c r="BU18" s="14" t="s">
        <v>22818</v>
      </c>
      <c r="BV18" s="80"/>
      <c r="BW18" s="14" t="s">
        <v>23438</v>
      </c>
      <c r="BX18" s="81">
        <v>45722.76215277778</v>
      </c>
      <c r="BY18" s="82" t="s">
        <v>23446</v>
      </c>
      <c r="BZ18" s="15"/>
      <c r="CA18" s="15"/>
      <c r="CB18" s="15"/>
      <c r="CC18" s="15"/>
      <c r="CD18" s="80"/>
      <c r="CE18" s="80"/>
      <c r="CF18" s="80"/>
      <c r="CG18" s="80"/>
      <c r="CH18" s="15"/>
      <c r="CI18" s="15"/>
      <c r="CJ18" s="15"/>
      <c r="CK18" s="15"/>
      <c r="CL18" s="15"/>
      <c r="CM18" s="15"/>
      <c r="CN18" s="15"/>
      <c r="CO18" s="15"/>
      <c r="CP18" s="80"/>
      <c r="CQ18" s="80" t="s">
        <v>23459</v>
      </c>
      <c r="CR18" s="83"/>
      <c r="CS18" s="84"/>
    </row>
    <row r="19">
      <c r="A19" s="78" t="s">
        <v>174</v>
      </c>
      <c r="B19" s="78" t="s">
        <v>7946</v>
      </c>
      <c r="C19" s="79">
        <f>IFERROR((COUNTIFS('Base de Dados'!BT:BT,"Sim",'Base de Dados'!A:A,A19,'Base de Dados'!B:B,B19)/(COUNTIFS('Base de Dados'!BT:BT,"Sim",'Base de Dados'!A:A,A19,'Base de Dados'!B:B,B19)+(COUNTIFS('Base de Dados'!BT:BT,"Não",'Base de Dados'!A:A,A19,'Base de Dados'!B:B,B19)))),"Não Aplica")</f>
        <v>1</v>
      </c>
      <c r="D19" s="14" t="s">
        <v>23434</v>
      </c>
      <c r="E19" s="14" t="s">
        <v>23685</v>
      </c>
      <c r="F19" s="14" t="s">
        <v>23436</v>
      </c>
      <c r="G19" s="14" t="s">
        <v>23434</v>
      </c>
      <c r="H19" s="14" t="s">
        <v>23686</v>
      </c>
      <c r="I19" s="14" t="s">
        <v>22818</v>
      </c>
      <c r="J19" s="80"/>
      <c r="K19" s="14" t="s">
        <v>23438</v>
      </c>
      <c r="L19" s="81">
        <v>45691.608715277776</v>
      </c>
      <c r="M19" s="79">
        <f>IFERROR((COUNTIFS('Base de Dados'!DF:DF,"Sim",'Base de Dados'!A:A,A19,'Base de Dados'!B:B,B19)/(COUNTIFS('Base de Dados'!DF:DF,"Sim",'Base de Dados'!A:A,A19,'Base de Dados'!B:B,B19)+(COUNTIFS('Base de Dados'!DF:DF,"Não",'Base de Dados'!A:A,A19,'Base de Dados'!B:B,B19)))),"Não Aplica")</f>
        <v>1</v>
      </c>
      <c r="N19" s="14" t="s">
        <v>23434</v>
      </c>
      <c r="O19" s="14" t="s">
        <v>23602</v>
      </c>
      <c r="P19" s="14" t="s">
        <v>23687</v>
      </c>
      <c r="Q19" s="14" t="s">
        <v>23436</v>
      </c>
      <c r="R19" s="14" t="s">
        <v>23434</v>
      </c>
      <c r="S19" s="14" t="s">
        <v>23688</v>
      </c>
      <c r="T19" s="14" t="s">
        <v>23441</v>
      </c>
      <c r="U19" s="14" t="s">
        <v>23434</v>
      </c>
      <c r="V19" s="14" t="s">
        <v>23689</v>
      </c>
      <c r="W19" s="14" t="s">
        <v>22818</v>
      </c>
      <c r="X19" s="80"/>
      <c r="Y19" s="14" t="s">
        <v>23438</v>
      </c>
      <c r="Z19" s="81">
        <v>45692.63270833333</v>
      </c>
      <c r="AA19" s="79">
        <f>IFERROR((COUNTIFS('Base de Dados'!ED:ED,"Sim",'Base de Dados'!A:A,A19,'Base de Dados'!B:B,B19)/(COUNTIFS('Base de Dados'!ED:ED,"Sim",'Base de Dados'!A:A,A19,'Base de Dados'!B:B,B19)+(COUNTIFS('Base de Dados'!ED:ED,"Não",'Base de Dados'!A:A,A19,'Base de Dados'!B:B,B19)))),"Não Aplica")</f>
        <v>1</v>
      </c>
      <c r="AB19" s="14" t="s">
        <v>23434</v>
      </c>
      <c r="AC19" s="14" t="s">
        <v>23690</v>
      </c>
      <c r="AD19" s="14" t="s">
        <v>23441</v>
      </c>
      <c r="AE19" s="14" t="s">
        <v>23434</v>
      </c>
      <c r="AF19" s="14" t="s">
        <v>23691</v>
      </c>
      <c r="AG19" s="14" t="s">
        <v>22818</v>
      </c>
      <c r="AH19" s="80"/>
      <c r="AI19" s="14" t="s">
        <v>23438</v>
      </c>
      <c r="AJ19" s="81">
        <v>45692.63642361111</v>
      </c>
      <c r="AK19" s="82" t="s">
        <v>23446</v>
      </c>
      <c r="AL19" s="14" t="s">
        <v>23434</v>
      </c>
      <c r="AM19" s="14" t="s">
        <v>23439</v>
      </c>
      <c r="AN19" s="14" t="s">
        <v>23692</v>
      </c>
      <c r="AO19" s="14" t="s">
        <v>23441</v>
      </c>
      <c r="AP19" s="14" t="s">
        <v>23434</v>
      </c>
      <c r="AQ19" s="14" t="s">
        <v>23448</v>
      </c>
      <c r="AR19" s="14" t="s">
        <v>23693</v>
      </c>
      <c r="AS19" s="14" t="s">
        <v>23450</v>
      </c>
      <c r="AT19" s="14" t="s">
        <v>23434</v>
      </c>
      <c r="AU19" s="14" t="s">
        <v>23451</v>
      </c>
      <c r="AV19" s="14" t="s">
        <v>23694</v>
      </c>
      <c r="AW19" s="14" t="s">
        <v>22818</v>
      </c>
      <c r="AX19" s="14" t="s">
        <v>23434</v>
      </c>
      <c r="AY19" s="14" t="s">
        <v>23453</v>
      </c>
      <c r="AZ19" s="14" t="s">
        <v>23695</v>
      </c>
      <c r="BA19" s="14" t="s">
        <v>23455</v>
      </c>
      <c r="BB19" s="80"/>
      <c r="BC19" s="14" t="s">
        <v>23438</v>
      </c>
      <c r="BD19" s="81">
        <v>45698.61865740741</v>
      </c>
      <c r="BE19" s="79">
        <f>IFERROR((COUNTIFS('Base de Dados'!FD:FD,"Sim",'Base de Dados'!A:A,A19,'Base de Dados'!B:B,B19)/(COUNTIFS('Base de Dados'!FD:FD,"Sim",'Base de Dados'!A:A,A19,'Base de Dados'!B:B,B19)+(COUNTIFS('Base de Dados'!FD:FD,"Não",'Base de Dados'!A:A,A19,'Base de Dados'!B:B,B19)))),"Não Aplica")</f>
        <v>1</v>
      </c>
      <c r="BF19" s="14" t="s">
        <v>23434</v>
      </c>
      <c r="BG19" s="14" t="s">
        <v>23439</v>
      </c>
      <c r="BH19" s="14" t="s">
        <v>23696</v>
      </c>
      <c r="BI19" s="14" t="s">
        <v>23441</v>
      </c>
      <c r="BJ19" s="80"/>
      <c r="BK19" s="80"/>
      <c r="BL19" s="80"/>
      <c r="BM19" s="80"/>
      <c r="BN19" s="14" t="s">
        <v>23434</v>
      </c>
      <c r="BO19" s="14" t="s">
        <v>23453</v>
      </c>
      <c r="BP19" s="14" t="s">
        <v>23697</v>
      </c>
      <c r="BQ19" s="14" t="s">
        <v>23455</v>
      </c>
      <c r="BR19" s="14" t="s">
        <v>23434</v>
      </c>
      <c r="BS19" s="14" t="s">
        <v>23451</v>
      </c>
      <c r="BT19" s="14" t="s">
        <v>23698</v>
      </c>
      <c r="BU19" s="14" t="s">
        <v>22818</v>
      </c>
      <c r="BV19" s="80"/>
      <c r="BW19" s="14" t="s">
        <v>23438</v>
      </c>
      <c r="BX19" s="81">
        <v>45722.760925925926</v>
      </c>
      <c r="BY19" s="82" t="s">
        <v>23446</v>
      </c>
      <c r="BZ19" s="15"/>
      <c r="CA19" s="15"/>
      <c r="CB19" s="15"/>
      <c r="CC19" s="15"/>
      <c r="CD19" s="80"/>
      <c r="CE19" s="80"/>
      <c r="CF19" s="80"/>
      <c r="CG19" s="80"/>
      <c r="CH19" s="15"/>
      <c r="CI19" s="15"/>
      <c r="CJ19" s="15"/>
      <c r="CK19" s="15"/>
      <c r="CL19" s="15"/>
      <c r="CM19" s="15"/>
      <c r="CN19" s="15"/>
      <c r="CO19" s="15"/>
      <c r="CP19" s="80"/>
      <c r="CQ19" s="80" t="s">
        <v>23459</v>
      </c>
      <c r="CR19" s="83"/>
      <c r="CS19" s="84"/>
    </row>
    <row r="20">
      <c r="A20" s="78" t="s">
        <v>174</v>
      </c>
      <c r="B20" s="78" t="s">
        <v>9224</v>
      </c>
      <c r="C20" s="79">
        <f>IFERROR((COUNTIFS('Base de Dados'!BT:BT,"Sim",'Base de Dados'!A:A,A20,'Base de Dados'!B:B,B20)/(COUNTIFS('Base de Dados'!BT:BT,"Sim",'Base de Dados'!A:A,A20,'Base de Dados'!B:B,B20)+(COUNTIFS('Base de Dados'!BT:BT,"Não",'Base de Dados'!A:A,A20,'Base de Dados'!B:B,B20)))),"Não Aplica")</f>
        <v>1</v>
      </c>
      <c r="D20" s="14" t="s">
        <v>23434</v>
      </c>
      <c r="E20" s="14" t="s">
        <v>23699</v>
      </c>
      <c r="F20" s="14" t="s">
        <v>23436</v>
      </c>
      <c r="G20" s="14" t="s">
        <v>23434</v>
      </c>
      <c r="H20" s="14" t="s">
        <v>23700</v>
      </c>
      <c r="I20" s="14" t="s">
        <v>22818</v>
      </c>
      <c r="J20" s="80"/>
      <c r="K20" s="14" t="s">
        <v>23438</v>
      </c>
      <c r="L20" s="81">
        <v>45691.60885416667</v>
      </c>
      <c r="M20" s="79">
        <f>IFERROR((COUNTIFS('Base de Dados'!DF:DF,"Sim",'Base de Dados'!A:A,A20,'Base de Dados'!B:B,B20)/(COUNTIFS('Base de Dados'!DF:DF,"Sim",'Base de Dados'!A:A,A20,'Base de Dados'!B:B,B20)+(COUNTIFS('Base de Dados'!DF:DF,"Não",'Base de Dados'!A:A,A20,'Base de Dados'!B:B,B20)))),"Não Aplica")</f>
        <v>1</v>
      </c>
      <c r="N20" s="14" t="s">
        <v>23434</v>
      </c>
      <c r="O20" s="14" t="s">
        <v>23602</v>
      </c>
      <c r="P20" s="14" t="s">
        <v>23701</v>
      </c>
      <c r="Q20" s="14" t="s">
        <v>23436</v>
      </c>
      <c r="R20" s="14" t="s">
        <v>23434</v>
      </c>
      <c r="S20" s="14" t="s">
        <v>23702</v>
      </c>
      <c r="T20" s="14" t="s">
        <v>23441</v>
      </c>
      <c r="U20" s="14" t="s">
        <v>23434</v>
      </c>
      <c r="V20" s="14" t="s">
        <v>23703</v>
      </c>
      <c r="W20" s="14" t="s">
        <v>22818</v>
      </c>
      <c r="X20" s="80"/>
      <c r="Y20" s="14" t="s">
        <v>23438</v>
      </c>
      <c r="Z20" s="81">
        <v>45692.63255787037</v>
      </c>
      <c r="AA20" s="79">
        <f>IFERROR((COUNTIFS('Base de Dados'!ED:ED,"Sim",'Base de Dados'!A:A,A20,'Base de Dados'!B:B,B20)/(COUNTIFS('Base de Dados'!ED:ED,"Sim",'Base de Dados'!A:A,A20,'Base de Dados'!B:B,B20)+(COUNTIFS('Base de Dados'!ED:ED,"Não",'Base de Dados'!A:A,A20,'Base de Dados'!B:B,B20)))),"Não Aplica")</f>
        <v>1</v>
      </c>
      <c r="AB20" s="14" t="s">
        <v>23434</v>
      </c>
      <c r="AC20" s="14" t="s">
        <v>23704</v>
      </c>
      <c r="AD20" s="14" t="s">
        <v>23441</v>
      </c>
      <c r="AE20" s="14" t="s">
        <v>23434</v>
      </c>
      <c r="AF20" s="14" t="s">
        <v>23705</v>
      </c>
      <c r="AG20" s="14" t="s">
        <v>22818</v>
      </c>
      <c r="AH20" s="80"/>
      <c r="AI20" s="14" t="s">
        <v>23438</v>
      </c>
      <c r="AJ20" s="81">
        <v>45692.63644675926</v>
      </c>
      <c r="AK20" s="82" t="s">
        <v>23446</v>
      </c>
      <c r="AL20" s="14" t="s">
        <v>23434</v>
      </c>
      <c r="AM20" s="14" t="s">
        <v>23439</v>
      </c>
      <c r="AN20" s="14" t="s">
        <v>23706</v>
      </c>
      <c r="AO20" s="14" t="s">
        <v>23441</v>
      </c>
      <c r="AP20" s="14" t="s">
        <v>23434</v>
      </c>
      <c r="AQ20" s="14" t="s">
        <v>23448</v>
      </c>
      <c r="AR20" s="14" t="s">
        <v>23707</v>
      </c>
      <c r="AS20" s="14" t="s">
        <v>23450</v>
      </c>
      <c r="AT20" s="14" t="s">
        <v>23434</v>
      </c>
      <c r="AU20" s="14" t="s">
        <v>23451</v>
      </c>
      <c r="AV20" s="14" t="s">
        <v>23708</v>
      </c>
      <c r="AW20" s="14" t="s">
        <v>22818</v>
      </c>
      <c r="AX20" s="14" t="s">
        <v>23434</v>
      </c>
      <c r="AY20" s="14" t="s">
        <v>23453</v>
      </c>
      <c r="AZ20" s="14" t="s">
        <v>23709</v>
      </c>
      <c r="BA20" s="14" t="s">
        <v>23455</v>
      </c>
      <c r="BB20" s="80"/>
      <c r="BC20" s="14" t="s">
        <v>23438</v>
      </c>
      <c r="BD20" s="81">
        <v>45698.61945601852</v>
      </c>
      <c r="BE20" s="79">
        <f>IFERROR((COUNTIFS('Base de Dados'!FD:FD,"Sim",'Base de Dados'!A:A,A20,'Base de Dados'!B:B,B20)/(COUNTIFS('Base de Dados'!FD:FD,"Sim",'Base de Dados'!A:A,A20,'Base de Dados'!B:B,B20)+(COUNTIFS('Base de Dados'!FD:FD,"Não",'Base de Dados'!A:A,A20,'Base de Dados'!B:B,B20)))),"Não Aplica")</f>
        <v>1</v>
      </c>
      <c r="BF20" s="14" t="s">
        <v>23434</v>
      </c>
      <c r="BG20" s="14" t="s">
        <v>23439</v>
      </c>
      <c r="BH20" s="14" t="s">
        <v>23710</v>
      </c>
      <c r="BI20" s="14" t="s">
        <v>23441</v>
      </c>
      <c r="BJ20" s="80"/>
      <c r="BK20" s="80"/>
      <c r="BL20" s="80"/>
      <c r="BM20" s="80"/>
      <c r="BN20" s="14" t="s">
        <v>23434</v>
      </c>
      <c r="BO20" s="14" t="s">
        <v>23453</v>
      </c>
      <c r="BP20" s="14" t="s">
        <v>23711</v>
      </c>
      <c r="BQ20" s="14" t="s">
        <v>23455</v>
      </c>
      <c r="BR20" s="14" t="s">
        <v>23434</v>
      </c>
      <c r="BS20" s="14" t="s">
        <v>23451</v>
      </c>
      <c r="BT20" s="14" t="s">
        <v>23712</v>
      </c>
      <c r="BU20" s="14" t="s">
        <v>22818</v>
      </c>
      <c r="BV20" s="80"/>
      <c r="BW20" s="14" t="s">
        <v>23438</v>
      </c>
      <c r="BX20" s="81">
        <v>45722.76153935185</v>
      </c>
      <c r="BY20" s="82" t="s">
        <v>23446</v>
      </c>
      <c r="BZ20" s="15"/>
      <c r="CA20" s="15"/>
      <c r="CB20" s="15"/>
      <c r="CC20" s="15"/>
      <c r="CD20" s="80"/>
      <c r="CE20" s="80"/>
      <c r="CF20" s="80"/>
      <c r="CG20" s="80"/>
      <c r="CH20" s="15"/>
      <c r="CI20" s="15"/>
      <c r="CJ20" s="15"/>
      <c r="CK20" s="15"/>
      <c r="CL20" s="15"/>
      <c r="CM20" s="15"/>
      <c r="CN20" s="15"/>
      <c r="CO20" s="15"/>
      <c r="CP20" s="80"/>
      <c r="CQ20" s="80" t="s">
        <v>23459</v>
      </c>
      <c r="CR20" s="83"/>
      <c r="CS20" s="84"/>
    </row>
    <row r="21">
      <c r="A21" s="78" t="s">
        <v>174</v>
      </c>
      <c r="B21" s="78" t="s">
        <v>8928</v>
      </c>
      <c r="C21" s="79">
        <f>IFERROR((COUNTIFS('Base de Dados'!BT:BT,"Sim",'Base de Dados'!A:A,A21,'Base de Dados'!B:B,B21)/(COUNTIFS('Base de Dados'!BT:BT,"Sim",'Base de Dados'!A:A,A21,'Base de Dados'!B:B,B21)+(COUNTIFS('Base de Dados'!BT:BT,"Não",'Base de Dados'!A:A,A21,'Base de Dados'!B:B,B21)))),"Não Aplica")</f>
        <v>1</v>
      </c>
      <c r="D21" s="14" t="s">
        <v>23434</v>
      </c>
      <c r="E21" s="14" t="s">
        <v>23713</v>
      </c>
      <c r="F21" s="14" t="s">
        <v>23436</v>
      </c>
      <c r="G21" s="14" t="s">
        <v>23434</v>
      </c>
      <c r="H21" s="14" t="s">
        <v>23714</v>
      </c>
      <c r="I21" s="14" t="s">
        <v>22818</v>
      </c>
      <c r="J21" s="80"/>
      <c r="K21" s="14" t="s">
        <v>23438</v>
      </c>
      <c r="L21" s="81">
        <v>45687.38799768518</v>
      </c>
      <c r="M21" s="79">
        <f>IFERROR((COUNTIFS('Base de Dados'!DF:DF,"Sim",'Base de Dados'!A:A,A21,'Base de Dados'!B:B,B21)/(COUNTIFS('Base de Dados'!DF:DF,"Sim",'Base de Dados'!A:A,A21,'Base de Dados'!B:B,B21)+(COUNTIFS('Base de Dados'!DF:DF,"Não",'Base de Dados'!A:A,A21,'Base de Dados'!B:B,B21)))),"Não Aplica")</f>
        <v>1</v>
      </c>
      <c r="N21" s="14" t="s">
        <v>23434</v>
      </c>
      <c r="O21" s="14" t="s">
        <v>23439</v>
      </c>
      <c r="P21" s="14" t="s">
        <v>23715</v>
      </c>
      <c r="Q21" s="14" t="s">
        <v>23441</v>
      </c>
      <c r="R21" s="14" t="s">
        <v>23434</v>
      </c>
      <c r="S21" s="14" t="s">
        <v>23716</v>
      </c>
      <c r="T21" s="14" t="s">
        <v>23436</v>
      </c>
      <c r="U21" s="14" t="s">
        <v>23434</v>
      </c>
      <c r="V21" s="14" t="s">
        <v>23717</v>
      </c>
      <c r="W21" s="14" t="s">
        <v>22818</v>
      </c>
      <c r="X21" s="80"/>
      <c r="Y21" s="14" t="s">
        <v>23438</v>
      </c>
      <c r="Z21" s="81">
        <v>45691.61152777778</v>
      </c>
      <c r="AA21" s="79">
        <f>IFERROR((COUNTIFS('Base de Dados'!ED:ED,"Sim",'Base de Dados'!A:A,A21,'Base de Dados'!B:B,B21)/(COUNTIFS('Base de Dados'!ED:ED,"Sim",'Base de Dados'!A:A,A21,'Base de Dados'!B:B,B21)+(COUNTIFS('Base de Dados'!ED:ED,"Não",'Base de Dados'!A:A,A21,'Base de Dados'!B:B,B21)))),"Não Aplica")</f>
        <v>1</v>
      </c>
      <c r="AB21" s="14" t="s">
        <v>23434</v>
      </c>
      <c r="AC21" s="14" t="s">
        <v>23718</v>
      </c>
      <c r="AD21" s="14" t="s">
        <v>23441</v>
      </c>
      <c r="AE21" s="14" t="s">
        <v>23434</v>
      </c>
      <c r="AF21" s="14" t="s">
        <v>23719</v>
      </c>
      <c r="AG21" s="14" t="s">
        <v>22818</v>
      </c>
      <c r="AH21" s="80"/>
      <c r="AI21" s="14" t="s">
        <v>23438</v>
      </c>
      <c r="AJ21" s="81">
        <v>45692.63465277778</v>
      </c>
      <c r="AK21" s="82" t="s">
        <v>23446</v>
      </c>
      <c r="AL21" s="14" t="s">
        <v>23434</v>
      </c>
      <c r="AM21" s="14" t="s">
        <v>23439</v>
      </c>
      <c r="AN21" s="14" t="s">
        <v>23720</v>
      </c>
      <c r="AO21" s="14" t="s">
        <v>23441</v>
      </c>
      <c r="AP21" s="14" t="s">
        <v>23434</v>
      </c>
      <c r="AQ21" s="14" t="s">
        <v>23448</v>
      </c>
      <c r="AR21" s="14" t="s">
        <v>23721</v>
      </c>
      <c r="AS21" s="14" t="s">
        <v>23450</v>
      </c>
      <c r="AT21" s="14" t="s">
        <v>23434</v>
      </c>
      <c r="AU21" s="14" t="s">
        <v>23451</v>
      </c>
      <c r="AV21" s="14" t="s">
        <v>23722</v>
      </c>
      <c r="AW21" s="14" t="s">
        <v>22818</v>
      </c>
      <c r="AX21" s="14" t="s">
        <v>23434</v>
      </c>
      <c r="AY21" s="14" t="s">
        <v>23453</v>
      </c>
      <c r="AZ21" s="14" t="s">
        <v>23723</v>
      </c>
      <c r="BA21" s="14" t="s">
        <v>23455</v>
      </c>
      <c r="BB21" s="80"/>
      <c r="BC21" s="14" t="s">
        <v>23438</v>
      </c>
      <c r="BD21" s="81">
        <v>45698.61908564815</v>
      </c>
      <c r="BE21" s="79">
        <f>IFERROR((COUNTIFS('Base de Dados'!FD:FD,"Sim",'Base de Dados'!A:A,A21,'Base de Dados'!B:B,B21)/(COUNTIFS('Base de Dados'!FD:FD,"Sim",'Base de Dados'!A:A,A21,'Base de Dados'!B:B,B21)+(COUNTIFS('Base de Dados'!FD:FD,"Não",'Base de Dados'!A:A,A21,'Base de Dados'!B:B,B21)))),"Não Aplica")</f>
        <v>1</v>
      </c>
      <c r="BF21" s="14" t="s">
        <v>23434</v>
      </c>
      <c r="BG21" s="14" t="s">
        <v>23439</v>
      </c>
      <c r="BH21" s="14" t="s">
        <v>23724</v>
      </c>
      <c r="BI21" s="14" t="s">
        <v>23441</v>
      </c>
      <c r="BJ21" s="80"/>
      <c r="BK21" s="80"/>
      <c r="BL21" s="80"/>
      <c r="BM21" s="80"/>
      <c r="BN21" s="14" t="s">
        <v>23434</v>
      </c>
      <c r="BO21" s="14" t="s">
        <v>23453</v>
      </c>
      <c r="BP21" s="14" t="s">
        <v>23725</v>
      </c>
      <c r="BQ21" s="14" t="s">
        <v>23455</v>
      </c>
      <c r="BR21" s="14" t="s">
        <v>23434</v>
      </c>
      <c r="BS21" s="14" t="s">
        <v>23451</v>
      </c>
      <c r="BT21" s="14" t="s">
        <v>23726</v>
      </c>
      <c r="BU21" s="14" t="s">
        <v>22818</v>
      </c>
      <c r="BV21" s="80"/>
      <c r="BW21" s="14" t="s">
        <v>23438</v>
      </c>
      <c r="BX21" s="81">
        <v>45722.76354166667</v>
      </c>
      <c r="BY21" s="82" t="s">
        <v>23446</v>
      </c>
      <c r="BZ21" s="15"/>
      <c r="CA21" s="15"/>
      <c r="CB21" s="15"/>
      <c r="CC21" s="15"/>
      <c r="CD21" s="80"/>
      <c r="CE21" s="80"/>
      <c r="CF21" s="80"/>
      <c r="CG21" s="80"/>
      <c r="CH21" s="15"/>
      <c r="CI21" s="15"/>
      <c r="CJ21" s="15"/>
      <c r="CK21" s="15"/>
      <c r="CL21" s="15"/>
      <c r="CM21" s="15"/>
      <c r="CN21" s="15"/>
      <c r="CO21" s="15"/>
      <c r="CP21" s="80"/>
      <c r="CQ21" s="80" t="s">
        <v>23459</v>
      </c>
      <c r="CR21" s="83"/>
      <c r="CS21" s="84"/>
    </row>
    <row r="22">
      <c r="A22" s="78" t="s">
        <v>174</v>
      </c>
      <c r="B22" s="78" t="s">
        <v>175</v>
      </c>
      <c r="C22" s="79">
        <f>IFERROR((COUNTIFS('Base de Dados'!BT:BT,"Sim",'Base de Dados'!A:A,A22,'Base de Dados'!B:B,B22)/(COUNTIFS('Base de Dados'!BT:BT,"Sim",'Base de Dados'!A:A,A22,'Base de Dados'!B:B,B22)+(COUNTIFS('Base de Dados'!BT:BT,"Não",'Base de Dados'!A:A,A22,'Base de Dados'!B:B,B22)))),"Não Aplica")</f>
        <v>1</v>
      </c>
      <c r="D22" s="14" t="s">
        <v>23434</v>
      </c>
      <c r="E22" s="14" t="s">
        <v>23727</v>
      </c>
      <c r="F22" s="14" t="s">
        <v>23436</v>
      </c>
      <c r="G22" s="14" t="s">
        <v>23434</v>
      </c>
      <c r="H22" s="14" t="s">
        <v>23728</v>
      </c>
      <c r="I22" s="14" t="s">
        <v>22818</v>
      </c>
      <c r="J22" s="80"/>
      <c r="K22" s="14" t="s">
        <v>23438</v>
      </c>
      <c r="L22" s="81">
        <v>45691.60875</v>
      </c>
      <c r="M22" s="79">
        <f>IFERROR((COUNTIFS('Base de Dados'!DF:DF,"Sim",'Base de Dados'!A:A,A22,'Base de Dados'!B:B,B22)/(COUNTIFS('Base de Dados'!DF:DF,"Sim",'Base de Dados'!A:A,A22,'Base de Dados'!B:B,B22)+(COUNTIFS('Base de Dados'!DF:DF,"Não",'Base de Dados'!A:A,A22,'Base de Dados'!B:B,B22)))),"Não Aplica")</f>
        <v>1</v>
      </c>
      <c r="N22" s="14" t="s">
        <v>23434</v>
      </c>
      <c r="O22" s="14" t="s">
        <v>23602</v>
      </c>
      <c r="P22" s="14" t="s">
        <v>23729</v>
      </c>
      <c r="Q22" s="14" t="s">
        <v>23436</v>
      </c>
      <c r="R22" s="14" t="s">
        <v>23434</v>
      </c>
      <c r="S22" s="14" t="s">
        <v>23730</v>
      </c>
      <c r="T22" s="14" t="s">
        <v>23441</v>
      </c>
      <c r="U22" s="14" t="s">
        <v>23434</v>
      </c>
      <c r="V22" s="14" t="s">
        <v>23731</v>
      </c>
      <c r="W22" s="14" t="s">
        <v>22818</v>
      </c>
      <c r="X22" s="80"/>
      <c r="Y22" s="14" t="s">
        <v>23438</v>
      </c>
      <c r="Z22" s="81">
        <v>45692.632581018515</v>
      </c>
      <c r="AA22" s="79">
        <f>IFERROR((COUNTIFS('Base de Dados'!ED:ED,"Sim",'Base de Dados'!A:A,A22,'Base de Dados'!B:B,B22)/(COUNTIFS('Base de Dados'!ED:ED,"Sim",'Base de Dados'!A:A,A22,'Base de Dados'!B:B,B22)+(COUNTIFS('Base de Dados'!ED:ED,"Não",'Base de Dados'!A:A,A22,'Base de Dados'!B:B,B22)))),"Não Aplica")</f>
        <v>1</v>
      </c>
      <c r="AB22" s="14" t="s">
        <v>23434</v>
      </c>
      <c r="AC22" s="14" t="s">
        <v>23732</v>
      </c>
      <c r="AD22" s="14" t="s">
        <v>23441</v>
      </c>
      <c r="AE22" s="14" t="s">
        <v>23434</v>
      </c>
      <c r="AF22" s="14" t="s">
        <v>23733</v>
      </c>
      <c r="AG22" s="14" t="s">
        <v>22818</v>
      </c>
      <c r="AH22" s="80"/>
      <c r="AI22" s="14" t="s">
        <v>23438</v>
      </c>
      <c r="AJ22" s="81">
        <v>45692.636469907404</v>
      </c>
      <c r="AK22" s="82" t="s">
        <v>23446</v>
      </c>
      <c r="AL22" s="14" t="s">
        <v>23434</v>
      </c>
      <c r="AM22" s="14" t="s">
        <v>23439</v>
      </c>
      <c r="AN22" s="14" t="s">
        <v>23734</v>
      </c>
      <c r="AO22" s="14" t="s">
        <v>23441</v>
      </c>
      <c r="AP22" s="14" t="s">
        <v>23434</v>
      </c>
      <c r="AQ22" s="14" t="s">
        <v>23448</v>
      </c>
      <c r="AR22" s="14" t="s">
        <v>23735</v>
      </c>
      <c r="AS22" s="14" t="s">
        <v>23450</v>
      </c>
      <c r="AT22" s="14" t="s">
        <v>23434</v>
      </c>
      <c r="AU22" s="14" t="s">
        <v>23451</v>
      </c>
      <c r="AV22" s="14" t="s">
        <v>23736</v>
      </c>
      <c r="AW22" s="14" t="s">
        <v>22818</v>
      </c>
      <c r="AX22" s="14" t="s">
        <v>23434</v>
      </c>
      <c r="AY22" s="14" t="s">
        <v>23453</v>
      </c>
      <c r="AZ22" s="14" t="s">
        <v>23737</v>
      </c>
      <c r="BA22" s="14" t="s">
        <v>23455</v>
      </c>
      <c r="BB22" s="80"/>
      <c r="BC22" s="14" t="s">
        <v>23438</v>
      </c>
      <c r="BD22" s="81">
        <v>45698.619259259256</v>
      </c>
      <c r="BE22" s="79">
        <f>IFERROR((COUNTIFS('Base de Dados'!FD:FD,"Sim",'Base de Dados'!A:A,A22,'Base de Dados'!B:B,B22)/(COUNTIFS('Base de Dados'!FD:FD,"Sim",'Base de Dados'!A:A,A22,'Base de Dados'!B:B,B22)+(COUNTIFS('Base de Dados'!FD:FD,"Não",'Base de Dados'!A:A,A22,'Base de Dados'!B:B,B22)))),"Não Aplica")</f>
        <v>1</v>
      </c>
      <c r="BF22" s="14" t="s">
        <v>23434</v>
      </c>
      <c r="BG22" s="14" t="s">
        <v>23439</v>
      </c>
      <c r="BH22" s="14" t="s">
        <v>23738</v>
      </c>
      <c r="BI22" s="14" t="s">
        <v>23441</v>
      </c>
      <c r="BJ22" s="80"/>
      <c r="BK22" s="80"/>
      <c r="BL22" s="80"/>
      <c r="BM22" s="80"/>
      <c r="BN22" s="14" t="s">
        <v>23434</v>
      </c>
      <c r="BO22" s="14" t="s">
        <v>23453</v>
      </c>
      <c r="BP22" s="14" t="s">
        <v>23739</v>
      </c>
      <c r="BQ22" s="14" t="s">
        <v>23455</v>
      </c>
      <c r="BR22" s="14" t="s">
        <v>23434</v>
      </c>
      <c r="BS22" s="14" t="s">
        <v>23451</v>
      </c>
      <c r="BT22" s="14" t="s">
        <v>23740</v>
      </c>
      <c r="BU22" s="14" t="s">
        <v>22818</v>
      </c>
      <c r="BV22" s="80"/>
      <c r="BW22" s="14" t="s">
        <v>23438</v>
      </c>
      <c r="BX22" s="81">
        <v>45722.76060185185</v>
      </c>
      <c r="BY22" s="82" t="s">
        <v>23446</v>
      </c>
      <c r="BZ22" s="15"/>
      <c r="CA22" s="15"/>
      <c r="CB22" s="15"/>
      <c r="CC22" s="15"/>
      <c r="CD22" s="80"/>
      <c r="CE22" s="80"/>
      <c r="CF22" s="80"/>
      <c r="CG22" s="80"/>
      <c r="CH22" s="15"/>
      <c r="CI22" s="15"/>
      <c r="CJ22" s="15"/>
      <c r="CK22" s="15"/>
      <c r="CL22" s="15"/>
      <c r="CM22" s="15"/>
      <c r="CN22" s="15"/>
      <c r="CO22" s="15"/>
      <c r="CP22" s="80"/>
      <c r="CQ22" s="80" t="s">
        <v>23459</v>
      </c>
      <c r="CR22" s="83"/>
      <c r="CS22" s="84"/>
    </row>
    <row r="23">
      <c r="A23" s="78" t="s">
        <v>174</v>
      </c>
      <c r="B23" s="78" t="s">
        <v>5132</v>
      </c>
      <c r="C23" s="79">
        <f>IFERROR((COUNTIFS('Base de Dados'!BT:BT,"Sim",'Base de Dados'!A:A,A23,'Base de Dados'!B:B,B23)/(COUNTIFS('Base de Dados'!BT:BT,"Sim",'Base de Dados'!A:A,A23,'Base de Dados'!B:B,B23)+(COUNTIFS('Base de Dados'!BT:BT,"Não",'Base de Dados'!A:A,A23,'Base de Dados'!B:B,B23)))),"Não Aplica")</f>
        <v>1</v>
      </c>
      <c r="D23" s="14" t="s">
        <v>23434</v>
      </c>
      <c r="E23" s="14" t="s">
        <v>23741</v>
      </c>
      <c r="F23" s="14" t="s">
        <v>23436</v>
      </c>
      <c r="G23" s="14" t="s">
        <v>23434</v>
      </c>
      <c r="H23" s="14" t="s">
        <v>23742</v>
      </c>
      <c r="I23" s="14" t="s">
        <v>22818</v>
      </c>
      <c r="J23" s="80"/>
      <c r="K23" s="14" t="s">
        <v>23438</v>
      </c>
      <c r="L23" s="81">
        <v>45685.64877314815</v>
      </c>
      <c r="M23" s="79">
        <f>IFERROR((COUNTIFS('Base de Dados'!DF:DF,"Sim",'Base de Dados'!A:A,A23,'Base de Dados'!B:B,B23)/(COUNTIFS('Base de Dados'!DF:DF,"Sim",'Base de Dados'!A:A,A23,'Base de Dados'!B:B,B23)+(COUNTIFS('Base de Dados'!DF:DF,"Não",'Base de Dados'!A:A,A23,'Base de Dados'!B:B,B23)))),"Não Aplica")</f>
        <v>1</v>
      </c>
      <c r="N23" s="14" t="s">
        <v>23434</v>
      </c>
      <c r="O23" s="14" t="s">
        <v>23439</v>
      </c>
      <c r="P23" s="14" t="s">
        <v>23743</v>
      </c>
      <c r="Q23" s="14" t="s">
        <v>23441</v>
      </c>
      <c r="R23" s="14" t="s">
        <v>23434</v>
      </c>
      <c r="S23" s="14" t="s">
        <v>23744</v>
      </c>
      <c r="T23" s="14" t="s">
        <v>23436</v>
      </c>
      <c r="U23" s="14" t="s">
        <v>23434</v>
      </c>
      <c r="V23" s="14" t="s">
        <v>23745</v>
      </c>
      <c r="W23" s="14" t="s">
        <v>22818</v>
      </c>
      <c r="X23" s="80"/>
      <c r="Y23" s="14" t="s">
        <v>23438</v>
      </c>
      <c r="Z23" s="81">
        <v>45691.6115625</v>
      </c>
      <c r="AA23" s="79">
        <f>IFERROR((COUNTIFS('Base de Dados'!ED:ED,"Sim",'Base de Dados'!A:A,A23,'Base de Dados'!B:B,B23)/(COUNTIFS('Base de Dados'!ED:ED,"Sim",'Base de Dados'!A:A,A23,'Base de Dados'!B:B,B23)+(COUNTIFS('Base de Dados'!ED:ED,"Não",'Base de Dados'!A:A,A23,'Base de Dados'!B:B,B23)))),"Não Aplica")</f>
        <v>1</v>
      </c>
      <c r="AB23" s="14" t="s">
        <v>23434</v>
      </c>
      <c r="AC23" s="14" t="s">
        <v>23746</v>
      </c>
      <c r="AD23" s="14" t="s">
        <v>23441</v>
      </c>
      <c r="AE23" s="14" t="s">
        <v>23434</v>
      </c>
      <c r="AF23" s="14" t="s">
        <v>23747</v>
      </c>
      <c r="AG23" s="14" t="s">
        <v>22818</v>
      </c>
      <c r="AH23" s="80"/>
      <c r="AI23" s="14" t="s">
        <v>23438</v>
      </c>
      <c r="AJ23" s="81">
        <v>45692.63462962963</v>
      </c>
      <c r="AK23" s="82" t="s">
        <v>23446</v>
      </c>
      <c r="AL23" s="14" t="s">
        <v>23434</v>
      </c>
      <c r="AM23" s="14" t="s">
        <v>23439</v>
      </c>
      <c r="AN23" s="14" t="s">
        <v>23748</v>
      </c>
      <c r="AO23" s="14" t="s">
        <v>23441</v>
      </c>
      <c r="AP23" s="14" t="s">
        <v>23434</v>
      </c>
      <c r="AQ23" s="14" t="s">
        <v>23448</v>
      </c>
      <c r="AR23" s="14" t="s">
        <v>23749</v>
      </c>
      <c r="AS23" s="14" t="s">
        <v>23450</v>
      </c>
      <c r="AT23" s="14" t="s">
        <v>23434</v>
      </c>
      <c r="AU23" s="14" t="s">
        <v>23451</v>
      </c>
      <c r="AV23" s="14" t="s">
        <v>23750</v>
      </c>
      <c r="AW23" s="14" t="s">
        <v>22818</v>
      </c>
      <c r="AX23" s="14" t="s">
        <v>23434</v>
      </c>
      <c r="AY23" s="14" t="s">
        <v>23453</v>
      </c>
      <c r="AZ23" s="14" t="s">
        <v>23751</v>
      </c>
      <c r="BA23" s="14" t="s">
        <v>23455</v>
      </c>
      <c r="BB23" s="80"/>
      <c r="BC23" s="14" t="s">
        <v>23438</v>
      </c>
      <c r="BD23" s="81">
        <v>45698.619155092594</v>
      </c>
      <c r="BE23" s="79">
        <f>IFERROR((COUNTIFS('Base de Dados'!FD:FD,"Sim",'Base de Dados'!A:A,A23,'Base de Dados'!B:B,B23)/(COUNTIFS('Base de Dados'!FD:FD,"Sim",'Base de Dados'!A:A,A23,'Base de Dados'!B:B,B23)+(COUNTIFS('Base de Dados'!FD:FD,"Não",'Base de Dados'!A:A,A23,'Base de Dados'!B:B,B23)))),"Não Aplica")</f>
        <v>1</v>
      </c>
      <c r="BF23" s="14" t="s">
        <v>23434</v>
      </c>
      <c r="BG23" s="14" t="s">
        <v>23439</v>
      </c>
      <c r="BH23" s="14" t="s">
        <v>23752</v>
      </c>
      <c r="BI23" s="14" t="s">
        <v>23441</v>
      </c>
      <c r="BJ23" s="80"/>
      <c r="BK23" s="80"/>
      <c r="BL23" s="80"/>
      <c r="BM23" s="80"/>
      <c r="BN23" s="14" t="s">
        <v>23434</v>
      </c>
      <c r="BO23" s="14" t="s">
        <v>23453</v>
      </c>
      <c r="BP23" s="14" t="s">
        <v>23753</v>
      </c>
      <c r="BQ23" s="14" t="s">
        <v>23455</v>
      </c>
      <c r="BR23" s="14" t="s">
        <v>23434</v>
      </c>
      <c r="BS23" s="14" t="s">
        <v>23451</v>
      </c>
      <c r="BT23" s="14" t="s">
        <v>23754</v>
      </c>
      <c r="BU23" s="14" t="s">
        <v>22818</v>
      </c>
      <c r="BV23" s="80"/>
      <c r="BW23" s="14" t="s">
        <v>23438</v>
      </c>
      <c r="BX23" s="81">
        <v>45722.76358796296</v>
      </c>
      <c r="BY23" s="82" t="s">
        <v>23446</v>
      </c>
      <c r="BZ23" s="15"/>
      <c r="CA23" s="15"/>
      <c r="CB23" s="15"/>
      <c r="CC23" s="15"/>
      <c r="CD23" s="80"/>
      <c r="CE23" s="80"/>
      <c r="CF23" s="80"/>
      <c r="CG23" s="80"/>
      <c r="CH23" s="15"/>
      <c r="CI23" s="15"/>
      <c r="CJ23" s="15"/>
      <c r="CK23" s="15"/>
      <c r="CL23" s="15"/>
      <c r="CM23" s="15"/>
      <c r="CN23" s="15"/>
      <c r="CO23" s="15"/>
      <c r="CP23" s="80"/>
      <c r="CQ23" s="80" t="s">
        <v>23459</v>
      </c>
      <c r="CR23" s="83"/>
      <c r="CS23" s="84"/>
    </row>
    <row r="24">
      <c r="A24" s="78" t="s">
        <v>174</v>
      </c>
      <c r="B24" s="78" t="s">
        <v>716</v>
      </c>
      <c r="C24" s="79">
        <f>IFERROR((COUNTIFS('Base de Dados'!BT:BT,"Sim",'Base de Dados'!A:A,A24,'Base de Dados'!B:B,B24)/(COUNTIFS('Base de Dados'!BT:BT,"Sim",'Base de Dados'!A:A,A24,'Base de Dados'!B:B,B24)+(COUNTIFS('Base de Dados'!BT:BT,"Não",'Base de Dados'!A:A,A24,'Base de Dados'!B:B,B24)))),"Não Aplica")</f>
        <v>1</v>
      </c>
      <c r="D24" s="14" t="s">
        <v>23434</v>
      </c>
      <c r="E24" s="14" t="s">
        <v>23755</v>
      </c>
      <c r="F24" s="14" t="s">
        <v>23436</v>
      </c>
      <c r="G24" s="14" t="s">
        <v>23434</v>
      </c>
      <c r="H24" s="14" t="s">
        <v>23756</v>
      </c>
      <c r="I24" s="14" t="s">
        <v>22818</v>
      </c>
      <c r="J24" s="80"/>
      <c r="K24" s="14" t="s">
        <v>23438</v>
      </c>
      <c r="L24" s="81">
        <v>45687.388344907406</v>
      </c>
      <c r="M24" s="79">
        <f>IFERROR((COUNTIFS('Base de Dados'!DF:DF,"Sim",'Base de Dados'!A:A,A24,'Base de Dados'!B:B,B24)/(COUNTIFS('Base de Dados'!DF:DF,"Sim",'Base de Dados'!A:A,A24,'Base de Dados'!B:B,B24)+(COUNTIFS('Base de Dados'!DF:DF,"Não",'Base de Dados'!A:A,A24,'Base de Dados'!B:B,B24)))),"Não Aplica")</f>
        <v>1</v>
      </c>
      <c r="N24" s="14" t="s">
        <v>23434</v>
      </c>
      <c r="O24" s="14" t="s">
        <v>23439</v>
      </c>
      <c r="P24" s="14" t="s">
        <v>23757</v>
      </c>
      <c r="Q24" s="14" t="s">
        <v>23441</v>
      </c>
      <c r="R24" s="14" t="s">
        <v>23434</v>
      </c>
      <c r="S24" s="14" t="s">
        <v>23758</v>
      </c>
      <c r="T24" s="14" t="s">
        <v>23436</v>
      </c>
      <c r="U24" s="14" t="s">
        <v>23434</v>
      </c>
      <c r="V24" s="14" t="s">
        <v>23759</v>
      </c>
      <c r="W24" s="14" t="s">
        <v>22818</v>
      </c>
      <c r="X24" s="80"/>
      <c r="Y24" s="14" t="s">
        <v>23438</v>
      </c>
      <c r="Z24" s="81">
        <v>45691.61158564815</v>
      </c>
      <c r="AA24" s="79">
        <f>IFERROR((COUNTIFS('Base de Dados'!ED:ED,"Sim",'Base de Dados'!A:A,A24,'Base de Dados'!B:B,B24)/(COUNTIFS('Base de Dados'!ED:ED,"Sim",'Base de Dados'!A:A,A24,'Base de Dados'!B:B,B24)+(COUNTIFS('Base de Dados'!ED:ED,"Não",'Base de Dados'!A:A,A24,'Base de Dados'!B:B,B24)))),"Não Aplica")</f>
        <v>1</v>
      </c>
      <c r="AB24" s="14" t="s">
        <v>23434</v>
      </c>
      <c r="AC24" s="14" t="s">
        <v>23760</v>
      </c>
      <c r="AD24" s="14" t="s">
        <v>23441</v>
      </c>
      <c r="AE24" s="14" t="s">
        <v>23434</v>
      </c>
      <c r="AF24" s="14" t="s">
        <v>23761</v>
      </c>
      <c r="AG24" s="14" t="s">
        <v>22818</v>
      </c>
      <c r="AH24" s="80"/>
      <c r="AI24" s="14" t="s">
        <v>23438</v>
      </c>
      <c r="AJ24" s="81">
        <v>45692.63469907407</v>
      </c>
      <c r="AK24" s="82" t="s">
        <v>23446</v>
      </c>
      <c r="AL24" s="14" t="s">
        <v>23434</v>
      </c>
      <c r="AM24" s="14" t="s">
        <v>23439</v>
      </c>
      <c r="AN24" s="14" t="s">
        <v>23762</v>
      </c>
      <c r="AO24" s="14" t="s">
        <v>23441</v>
      </c>
      <c r="AP24" s="14" t="s">
        <v>23434</v>
      </c>
      <c r="AQ24" s="14" t="s">
        <v>23448</v>
      </c>
      <c r="AR24" s="14" t="s">
        <v>23763</v>
      </c>
      <c r="AS24" s="14" t="s">
        <v>23450</v>
      </c>
      <c r="AT24" s="14" t="s">
        <v>23434</v>
      </c>
      <c r="AU24" s="14" t="s">
        <v>23451</v>
      </c>
      <c r="AV24" s="14" t="s">
        <v>23764</v>
      </c>
      <c r="AW24" s="14" t="s">
        <v>22818</v>
      </c>
      <c r="AX24" s="14" t="s">
        <v>23434</v>
      </c>
      <c r="AY24" s="14" t="s">
        <v>23453</v>
      </c>
      <c r="AZ24" s="14" t="s">
        <v>23765</v>
      </c>
      <c r="BA24" s="14" t="s">
        <v>23455</v>
      </c>
      <c r="BB24" s="80"/>
      <c r="BC24" s="14" t="s">
        <v>23438</v>
      </c>
      <c r="BD24" s="81">
        <v>45698.61921296296</v>
      </c>
      <c r="BE24" s="79">
        <f>IFERROR((COUNTIFS('Base de Dados'!FD:FD,"Sim",'Base de Dados'!A:A,A24,'Base de Dados'!B:B,B24)/(COUNTIFS('Base de Dados'!FD:FD,"Sim",'Base de Dados'!A:A,A24,'Base de Dados'!B:B,B24)+(COUNTIFS('Base de Dados'!FD:FD,"Não",'Base de Dados'!A:A,A24,'Base de Dados'!B:B,B24)))),"Não Aplica")</f>
        <v>1</v>
      </c>
      <c r="BF24" s="14" t="s">
        <v>23434</v>
      </c>
      <c r="BG24" s="14" t="s">
        <v>23439</v>
      </c>
      <c r="BH24" s="14" t="s">
        <v>23766</v>
      </c>
      <c r="BI24" s="14" t="s">
        <v>23441</v>
      </c>
      <c r="BJ24" s="80"/>
      <c r="BK24" s="80"/>
      <c r="BL24" s="80"/>
      <c r="BM24" s="80"/>
      <c r="BN24" s="14" t="s">
        <v>23434</v>
      </c>
      <c r="BO24" s="14" t="s">
        <v>23453</v>
      </c>
      <c r="BP24" s="14" t="s">
        <v>23767</v>
      </c>
      <c r="BQ24" s="14" t="s">
        <v>23455</v>
      </c>
      <c r="BR24" s="14" t="s">
        <v>23434</v>
      </c>
      <c r="BS24" s="14" t="s">
        <v>23451</v>
      </c>
      <c r="BT24" s="14" t="s">
        <v>23768</v>
      </c>
      <c r="BU24" s="14" t="s">
        <v>22818</v>
      </c>
      <c r="BV24" s="80"/>
      <c r="BW24" s="14" t="s">
        <v>23438</v>
      </c>
      <c r="BX24" s="81">
        <v>45722.76188657407</v>
      </c>
      <c r="BY24" s="82" t="s">
        <v>23446</v>
      </c>
      <c r="BZ24" s="15"/>
      <c r="CA24" s="15"/>
      <c r="CB24" s="15"/>
      <c r="CC24" s="15"/>
      <c r="CD24" s="80"/>
      <c r="CE24" s="80"/>
      <c r="CF24" s="80"/>
      <c r="CG24" s="80"/>
      <c r="CH24" s="15"/>
      <c r="CI24" s="15"/>
      <c r="CJ24" s="15"/>
      <c r="CK24" s="15"/>
      <c r="CL24" s="15"/>
      <c r="CM24" s="15"/>
      <c r="CN24" s="15"/>
      <c r="CO24" s="15"/>
      <c r="CP24" s="80"/>
      <c r="CQ24" s="80" t="s">
        <v>23459</v>
      </c>
      <c r="CR24" s="83"/>
      <c r="CS24" s="84"/>
    </row>
    <row r="25">
      <c r="A25" s="78" t="s">
        <v>174</v>
      </c>
      <c r="B25" s="78" t="s">
        <v>12788</v>
      </c>
      <c r="C25" s="79">
        <f>IFERROR((COUNTIFS('Base de Dados'!BT:BT,"Sim",'Base de Dados'!A:A,A25,'Base de Dados'!B:B,B25)/(COUNTIFS('Base de Dados'!BT:BT,"Sim",'Base de Dados'!A:A,A25,'Base de Dados'!B:B,B25)+(COUNTIFS('Base de Dados'!BT:BT,"Não",'Base de Dados'!A:A,A25,'Base de Dados'!B:B,B25)))),"Não Aplica")</f>
        <v>1</v>
      </c>
      <c r="D25" s="14" t="s">
        <v>23434</v>
      </c>
      <c r="E25" s="14" t="s">
        <v>23769</v>
      </c>
      <c r="F25" s="14" t="s">
        <v>23436</v>
      </c>
      <c r="G25" s="14" t="s">
        <v>23434</v>
      </c>
      <c r="H25" s="14" t="s">
        <v>23770</v>
      </c>
      <c r="I25" s="14" t="s">
        <v>22818</v>
      </c>
      <c r="J25" s="80"/>
      <c r="K25" s="14" t="s">
        <v>23438</v>
      </c>
      <c r="L25" s="81">
        <v>45691.60880787037</v>
      </c>
      <c r="M25" s="79">
        <f>IFERROR((COUNTIFS('Base de Dados'!DF:DF,"Sim",'Base de Dados'!A:A,A25,'Base de Dados'!B:B,B25)/(COUNTIFS('Base de Dados'!DF:DF,"Sim",'Base de Dados'!A:A,A25,'Base de Dados'!B:B,B25)+(COUNTIFS('Base de Dados'!DF:DF,"Não",'Base de Dados'!A:A,A25,'Base de Dados'!B:B,B25)))),"Não Aplica")</f>
        <v>1</v>
      </c>
      <c r="N25" s="14" t="s">
        <v>23434</v>
      </c>
      <c r="O25" s="14" t="s">
        <v>23602</v>
      </c>
      <c r="P25" s="14" t="s">
        <v>23771</v>
      </c>
      <c r="Q25" s="14" t="s">
        <v>23436</v>
      </c>
      <c r="R25" s="14" t="s">
        <v>23434</v>
      </c>
      <c r="S25" s="14" t="s">
        <v>23772</v>
      </c>
      <c r="T25" s="14" t="s">
        <v>23441</v>
      </c>
      <c r="U25" s="14" t="s">
        <v>23434</v>
      </c>
      <c r="V25" s="14" t="s">
        <v>23773</v>
      </c>
      <c r="W25" s="14" t="s">
        <v>22818</v>
      </c>
      <c r="X25" s="80"/>
      <c r="Y25" s="14" t="s">
        <v>23438</v>
      </c>
      <c r="Z25" s="81">
        <v>45692.63261574074</v>
      </c>
      <c r="AA25" s="79" t="str">
        <f>IFERROR((COUNTIFS('Base de Dados'!ED:ED,"Sim",'Base de Dados'!A:A,A25,'Base de Dados'!B:B,B25)/(COUNTIFS('Base de Dados'!ED:ED,"Sim",'Base de Dados'!A:A,A25,'Base de Dados'!B:B,B25)+(COUNTIFS('Base de Dados'!ED:ED,"Não",'Base de Dados'!A:A,A25,'Base de Dados'!B:B,B25)))),"Não Aplica")</f>
        <v>Não Aplica</v>
      </c>
      <c r="AB25" s="14" t="s">
        <v>228</v>
      </c>
      <c r="AC25" s="14" t="s">
        <v>23774</v>
      </c>
      <c r="AD25" s="14" t="s">
        <v>23441</v>
      </c>
      <c r="AE25" s="14" t="s">
        <v>228</v>
      </c>
      <c r="AF25" s="14" t="s">
        <v>23775</v>
      </c>
      <c r="AG25" s="14" t="s">
        <v>22818</v>
      </c>
      <c r="AH25" s="80"/>
      <c r="AI25" s="14" t="s">
        <v>23438</v>
      </c>
      <c r="AJ25" s="81">
        <v>45692.636608796296</v>
      </c>
      <c r="AK25" s="82" t="s">
        <v>23446</v>
      </c>
      <c r="AL25" s="14" t="s">
        <v>23434</v>
      </c>
      <c r="AM25" s="14" t="s">
        <v>23439</v>
      </c>
      <c r="AN25" s="14" t="s">
        <v>23776</v>
      </c>
      <c r="AO25" s="14" t="s">
        <v>23441</v>
      </c>
      <c r="AP25" s="14" t="s">
        <v>23434</v>
      </c>
      <c r="AQ25" s="14" t="s">
        <v>23448</v>
      </c>
      <c r="AR25" s="14" t="s">
        <v>23777</v>
      </c>
      <c r="AS25" s="14" t="s">
        <v>23450</v>
      </c>
      <c r="AT25" s="14" t="s">
        <v>23434</v>
      </c>
      <c r="AU25" s="14" t="s">
        <v>23451</v>
      </c>
      <c r="AV25" s="14" t="s">
        <v>23778</v>
      </c>
      <c r="AW25" s="14" t="s">
        <v>22818</v>
      </c>
      <c r="AX25" s="14" t="s">
        <v>23434</v>
      </c>
      <c r="AY25" s="14" t="s">
        <v>23453</v>
      </c>
      <c r="AZ25" s="14" t="s">
        <v>23779</v>
      </c>
      <c r="BA25" s="14" t="s">
        <v>23455</v>
      </c>
      <c r="BB25" s="80"/>
      <c r="BC25" s="14" t="s">
        <v>23438</v>
      </c>
      <c r="BD25" s="81">
        <v>45698.61959490741</v>
      </c>
      <c r="BE25" s="79">
        <f>IFERROR((COUNTIFS('Base de Dados'!FD:FD,"Sim",'Base de Dados'!A:A,A25,'Base de Dados'!B:B,B25)/(COUNTIFS('Base de Dados'!FD:FD,"Sim",'Base de Dados'!A:A,A25,'Base de Dados'!B:B,B25)+(COUNTIFS('Base de Dados'!FD:FD,"Não",'Base de Dados'!A:A,A25,'Base de Dados'!B:B,B25)))),"Não Aplica")</f>
        <v>1</v>
      </c>
      <c r="BF25" s="14" t="s">
        <v>23434</v>
      </c>
      <c r="BG25" s="14" t="s">
        <v>23439</v>
      </c>
      <c r="BH25" s="14" t="s">
        <v>23780</v>
      </c>
      <c r="BI25" s="14" t="s">
        <v>23441</v>
      </c>
      <c r="BJ25" s="80"/>
      <c r="BK25" s="80"/>
      <c r="BL25" s="80"/>
      <c r="BM25" s="80"/>
      <c r="BN25" s="14" t="s">
        <v>23434</v>
      </c>
      <c r="BO25" s="14" t="s">
        <v>23453</v>
      </c>
      <c r="BP25" s="14" t="s">
        <v>23781</v>
      </c>
      <c r="BQ25" s="14" t="s">
        <v>23455</v>
      </c>
      <c r="BR25" s="14" t="s">
        <v>23434</v>
      </c>
      <c r="BS25" s="14" t="s">
        <v>23451</v>
      </c>
      <c r="BT25" s="14" t="s">
        <v>23782</v>
      </c>
      <c r="BU25" s="14" t="s">
        <v>22818</v>
      </c>
      <c r="BV25" s="80"/>
      <c r="BW25" s="14" t="s">
        <v>23438</v>
      </c>
      <c r="BX25" s="81">
        <v>45720.3933912037</v>
      </c>
      <c r="BY25" s="82" t="s">
        <v>23446</v>
      </c>
      <c r="BZ25" s="15"/>
      <c r="CA25" s="15"/>
      <c r="CB25" s="15"/>
      <c r="CC25" s="15"/>
      <c r="CD25" s="80"/>
      <c r="CE25" s="80"/>
      <c r="CF25" s="80"/>
      <c r="CG25" s="80"/>
      <c r="CH25" s="15"/>
      <c r="CI25" s="15"/>
      <c r="CJ25" s="15"/>
      <c r="CK25" s="15"/>
      <c r="CL25" s="15"/>
      <c r="CM25" s="15"/>
      <c r="CN25" s="15"/>
      <c r="CO25" s="15"/>
      <c r="CP25" s="80"/>
      <c r="CQ25" s="80" t="s">
        <v>23459</v>
      </c>
      <c r="CR25" s="83"/>
      <c r="CS25" s="84"/>
    </row>
    <row r="26">
      <c r="A26" s="78" t="s">
        <v>174</v>
      </c>
      <c r="B26" s="86" t="s">
        <v>23207</v>
      </c>
      <c r="C26" s="79" t="str">
        <f>IFERROR((COUNTIFS('Base de Dados'!BT:BT,"Sim",'Base de Dados'!A:A,A26,'Base de Dados'!B:B,B26)/(COUNTIFS('Base de Dados'!BT:BT,"Sim",'Base de Dados'!A:A,A26,'Base de Dados'!B:B,B26)+(COUNTIFS('Base de Dados'!BT:BT,"Não",'Base de Dados'!A:A,A26,'Base de Dados'!B:B,B26)))),"Não Aplica")</f>
        <v>Não Aplica</v>
      </c>
      <c r="D26" s="14" t="s">
        <v>23434</v>
      </c>
      <c r="E26" s="14" t="s">
        <v>23783</v>
      </c>
      <c r="F26" s="14" t="s">
        <v>23436</v>
      </c>
      <c r="G26" s="14" t="s">
        <v>23434</v>
      </c>
      <c r="H26" s="14" t="s">
        <v>23784</v>
      </c>
      <c r="I26" s="14" t="s">
        <v>22818</v>
      </c>
      <c r="J26" s="80"/>
      <c r="K26" s="14" t="s">
        <v>23438</v>
      </c>
      <c r="L26" s="81">
        <v>45691.608773148146</v>
      </c>
      <c r="M26" s="79" t="str">
        <f>IFERROR((COUNTIFS('Base de Dados'!DF:DF,"Sim",'Base de Dados'!A:A,A26,'Base de Dados'!B:B,B26)/(COUNTIFS('Base de Dados'!DF:DF,"Sim",'Base de Dados'!A:A,A26,'Base de Dados'!B:B,B26)+(COUNTIFS('Base de Dados'!DF:DF,"Não",'Base de Dados'!A:A,A26,'Base de Dados'!B:B,B26)))),"Não Aplica")</f>
        <v>Não Aplica</v>
      </c>
      <c r="N26" s="14" t="s">
        <v>23434</v>
      </c>
      <c r="O26" s="14" t="s">
        <v>23602</v>
      </c>
      <c r="P26" s="14" t="s">
        <v>23785</v>
      </c>
      <c r="Q26" s="14" t="s">
        <v>23436</v>
      </c>
      <c r="R26" s="14" t="s">
        <v>23434</v>
      </c>
      <c r="S26" s="14" t="s">
        <v>23786</v>
      </c>
      <c r="T26" s="14" t="s">
        <v>23441</v>
      </c>
      <c r="U26" s="14" t="s">
        <v>23434</v>
      </c>
      <c r="V26" s="14" t="s">
        <v>23787</v>
      </c>
      <c r="W26" s="14" t="s">
        <v>22818</v>
      </c>
      <c r="X26" s="80"/>
      <c r="Y26" s="14" t="s">
        <v>23438</v>
      </c>
      <c r="Z26" s="81">
        <v>45692.63265046296</v>
      </c>
      <c r="AA26" s="79" t="str">
        <f>IFERROR((COUNTIFS('Base de Dados'!ED:ED,"Sim",'Base de Dados'!A:A,A26,'Base de Dados'!B:B,B26)/(COUNTIFS('Base de Dados'!ED:ED,"Sim",'Base de Dados'!A:A,A26,'Base de Dados'!B:B,B26)+(COUNTIFS('Base de Dados'!ED:ED,"Não",'Base de Dados'!A:A,A26,'Base de Dados'!B:B,B26)))),"Não Aplica")</f>
        <v>Não Aplica</v>
      </c>
      <c r="AB26" s="14" t="s">
        <v>23434</v>
      </c>
      <c r="AC26" s="14" t="s">
        <v>23788</v>
      </c>
      <c r="AD26" s="14" t="s">
        <v>23441</v>
      </c>
      <c r="AE26" s="14" t="s">
        <v>23434</v>
      </c>
      <c r="AF26" s="14" t="s">
        <v>23789</v>
      </c>
      <c r="AG26" s="14" t="s">
        <v>22818</v>
      </c>
      <c r="AH26" s="80"/>
      <c r="AI26" s="14" t="s">
        <v>23438</v>
      </c>
      <c r="AJ26" s="81">
        <v>45692.63653935185</v>
      </c>
      <c r="AK26" s="82" t="s">
        <v>23446</v>
      </c>
      <c r="AL26" s="14" t="s">
        <v>23434</v>
      </c>
      <c r="AM26" s="14" t="s">
        <v>23439</v>
      </c>
      <c r="AN26" s="14" t="s">
        <v>23790</v>
      </c>
      <c r="AO26" s="14" t="s">
        <v>23441</v>
      </c>
      <c r="AP26" s="14" t="s">
        <v>23434</v>
      </c>
      <c r="AQ26" s="14" t="s">
        <v>23448</v>
      </c>
      <c r="AR26" s="14" t="s">
        <v>23791</v>
      </c>
      <c r="AS26" s="14" t="s">
        <v>23450</v>
      </c>
      <c r="AT26" s="14" t="s">
        <v>23434</v>
      </c>
      <c r="AU26" s="14" t="s">
        <v>23451</v>
      </c>
      <c r="AV26" s="14" t="s">
        <v>23792</v>
      </c>
      <c r="AW26" s="14" t="s">
        <v>22818</v>
      </c>
      <c r="AX26" s="14" t="s">
        <v>23434</v>
      </c>
      <c r="AY26" s="14" t="s">
        <v>23453</v>
      </c>
      <c r="AZ26" s="14" t="s">
        <v>23793</v>
      </c>
      <c r="BA26" s="14" t="s">
        <v>23455</v>
      </c>
      <c r="BB26" s="80"/>
      <c r="BC26" s="14" t="s">
        <v>23438</v>
      </c>
      <c r="BD26" s="81">
        <v>45698.61931712963</v>
      </c>
      <c r="BE26" s="79" t="str">
        <f>IFERROR((COUNTIFS('Base de Dados'!FD:FD,"Sim",'Base de Dados'!A:A,A26,'Base de Dados'!B:B,B26)/(COUNTIFS('Base de Dados'!FD:FD,"Sim",'Base de Dados'!A:A,A26,'Base de Dados'!B:B,B26)+(COUNTIFS('Base de Dados'!FD:FD,"Não",'Base de Dados'!A:A,A26,'Base de Dados'!B:B,B26)))),"Não Aplica")</f>
        <v>Não Aplica</v>
      </c>
      <c r="BF26" s="14" t="s">
        <v>228</v>
      </c>
      <c r="BG26" s="14" t="s">
        <v>23439</v>
      </c>
      <c r="BH26" s="14" t="s">
        <v>23794</v>
      </c>
      <c r="BI26" s="14" t="s">
        <v>23441</v>
      </c>
      <c r="BJ26" s="80"/>
      <c r="BK26" s="80"/>
      <c r="BL26" s="80"/>
      <c r="BM26" s="80"/>
      <c r="BN26" s="14" t="s">
        <v>228</v>
      </c>
      <c r="BO26" s="14" t="s">
        <v>23453</v>
      </c>
      <c r="BP26" s="14" t="s">
        <v>23795</v>
      </c>
      <c r="BQ26" s="14" t="s">
        <v>23455</v>
      </c>
      <c r="BR26" s="14" t="s">
        <v>228</v>
      </c>
      <c r="BS26" s="15"/>
      <c r="BT26" s="14" t="s">
        <v>23796</v>
      </c>
      <c r="BU26" s="14" t="s">
        <v>22818</v>
      </c>
      <c r="BV26" s="80"/>
      <c r="BW26" s="14" t="s">
        <v>23438</v>
      </c>
      <c r="BX26" s="81">
        <v>45723.61017361111</v>
      </c>
      <c r="BY26" s="82" t="s">
        <v>23446</v>
      </c>
      <c r="BZ26" s="15"/>
      <c r="CA26" s="15"/>
      <c r="CB26" s="15"/>
      <c r="CC26" s="15"/>
      <c r="CD26" s="80"/>
      <c r="CE26" s="80"/>
      <c r="CF26" s="80"/>
      <c r="CG26" s="80"/>
      <c r="CH26" s="15"/>
      <c r="CI26" s="15"/>
      <c r="CJ26" s="15"/>
      <c r="CK26" s="15"/>
      <c r="CL26" s="15"/>
      <c r="CM26" s="15"/>
      <c r="CN26" s="15"/>
      <c r="CO26" s="15"/>
      <c r="CP26" s="80"/>
      <c r="CQ26" s="80" t="s">
        <v>23459</v>
      </c>
      <c r="CR26" s="83"/>
      <c r="CS26" s="84"/>
    </row>
    <row r="27">
      <c r="A27" s="78" t="s">
        <v>174</v>
      </c>
      <c r="B27" s="78" t="s">
        <v>7883</v>
      </c>
      <c r="C27" s="79">
        <f>IFERROR((COUNTIFS('Base de Dados'!BT:BT,"Sim",'Base de Dados'!A:A,A27,'Base de Dados'!B:B,B27)/(COUNTIFS('Base de Dados'!BT:BT,"Sim",'Base de Dados'!A:A,A27,'Base de Dados'!B:B,B27)+(COUNTIFS('Base de Dados'!BT:BT,"Não",'Base de Dados'!A:A,A27,'Base de Dados'!B:B,B27)))),"Não Aplica")</f>
        <v>1</v>
      </c>
      <c r="D27" s="14" t="s">
        <v>23434</v>
      </c>
      <c r="E27" s="14" t="s">
        <v>23797</v>
      </c>
      <c r="F27" s="14" t="s">
        <v>23436</v>
      </c>
      <c r="G27" s="14" t="s">
        <v>23434</v>
      </c>
      <c r="H27" s="14" t="s">
        <v>23798</v>
      </c>
      <c r="I27" s="14" t="s">
        <v>22818</v>
      </c>
      <c r="J27" s="80"/>
      <c r="K27" s="14" t="s">
        <v>23438</v>
      </c>
      <c r="L27" s="81">
        <v>45691.608831018515</v>
      </c>
      <c r="M27" s="79">
        <f>IFERROR((COUNTIFS('Base de Dados'!DF:DF,"Sim",'Base de Dados'!A:A,A27,'Base de Dados'!B:B,B27)/(COUNTIFS('Base de Dados'!DF:DF,"Sim",'Base de Dados'!A:A,A27,'Base de Dados'!B:B,B27)+(COUNTIFS('Base de Dados'!DF:DF,"Não",'Base de Dados'!A:A,A27,'Base de Dados'!B:B,B27)))),"Não Aplica")</f>
        <v>1</v>
      </c>
      <c r="N27" s="14" t="s">
        <v>23434</v>
      </c>
      <c r="O27" s="14" t="s">
        <v>23602</v>
      </c>
      <c r="P27" s="14" t="s">
        <v>23799</v>
      </c>
      <c r="Q27" s="14" t="s">
        <v>23436</v>
      </c>
      <c r="R27" s="14" t="s">
        <v>23434</v>
      </c>
      <c r="S27" s="14" t="s">
        <v>23800</v>
      </c>
      <c r="T27" s="14" t="s">
        <v>23441</v>
      </c>
      <c r="U27" s="14" t="s">
        <v>23434</v>
      </c>
      <c r="V27" s="14" t="s">
        <v>23801</v>
      </c>
      <c r="W27" s="14" t="s">
        <v>22818</v>
      </c>
      <c r="X27" s="80"/>
      <c r="Y27" s="14" t="s">
        <v>23438</v>
      </c>
      <c r="Z27" s="81">
        <v>45692.63267361111</v>
      </c>
      <c r="AA27" s="79" t="str">
        <f>IFERROR((COUNTIFS('Base de Dados'!ED:ED,"Sim",'Base de Dados'!A:A,A27,'Base de Dados'!B:B,B27)/(COUNTIFS('Base de Dados'!ED:ED,"Sim",'Base de Dados'!A:A,A27,'Base de Dados'!B:B,B27)+(COUNTIFS('Base de Dados'!ED:ED,"Não",'Base de Dados'!A:A,A27,'Base de Dados'!B:B,B27)))),"Não Aplica")</f>
        <v>Não Aplica</v>
      </c>
      <c r="AB27" s="14" t="s">
        <v>228</v>
      </c>
      <c r="AC27" s="14" t="s">
        <v>23802</v>
      </c>
      <c r="AD27" s="14" t="s">
        <v>23441</v>
      </c>
      <c r="AE27" s="14" t="s">
        <v>228</v>
      </c>
      <c r="AF27" s="14" t="s">
        <v>23803</v>
      </c>
      <c r="AG27" s="14" t="s">
        <v>22818</v>
      </c>
      <c r="AH27" s="80"/>
      <c r="AI27" s="14" t="s">
        <v>23438</v>
      </c>
      <c r="AJ27" s="81">
        <v>45692.63659722222</v>
      </c>
      <c r="AK27" s="82" t="s">
        <v>23446</v>
      </c>
      <c r="AL27" s="14" t="s">
        <v>23434</v>
      </c>
      <c r="AM27" s="14" t="s">
        <v>23439</v>
      </c>
      <c r="AN27" s="14" t="s">
        <v>23804</v>
      </c>
      <c r="AO27" s="14" t="s">
        <v>23441</v>
      </c>
      <c r="AP27" s="14" t="s">
        <v>23434</v>
      </c>
      <c r="AQ27" s="14" t="s">
        <v>23448</v>
      </c>
      <c r="AR27" s="14" t="s">
        <v>23805</v>
      </c>
      <c r="AS27" s="14" t="s">
        <v>23450</v>
      </c>
      <c r="AT27" s="14" t="s">
        <v>23434</v>
      </c>
      <c r="AU27" s="14" t="s">
        <v>23451</v>
      </c>
      <c r="AV27" s="14" t="s">
        <v>23806</v>
      </c>
      <c r="AW27" s="14" t="s">
        <v>22818</v>
      </c>
      <c r="AX27" s="14" t="s">
        <v>23434</v>
      </c>
      <c r="AY27" s="14" t="s">
        <v>23453</v>
      </c>
      <c r="AZ27" s="14" t="s">
        <v>23807</v>
      </c>
      <c r="BA27" s="14" t="s">
        <v>23455</v>
      </c>
      <c r="BB27" s="80"/>
      <c r="BC27" s="14" t="s">
        <v>23438</v>
      </c>
      <c r="BD27" s="81">
        <v>45698.619525462964</v>
      </c>
      <c r="BE27" s="79">
        <f>IFERROR((COUNTIFS('Base de Dados'!FD:FD,"Sim",'Base de Dados'!A:A,A27,'Base de Dados'!B:B,B27)/(COUNTIFS('Base de Dados'!FD:FD,"Sim",'Base de Dados'!A:A,A27,'Base de Dados'!B:B,B27)+(COUNTIFS('Base de Dados'!FD:FD,"Não",'Base de Dados'!A:A,A27,'Base de Dados'!B:B,B27)))),"Não Aplica")</f>
        <v>1</v>
      </c>
      <c r="BF27" s="14" t="s">
        <v>23434</v>
      </c>
      <c r="BG27" s="14" t="s">
        <v>23439</v>
      </c>
      <c r="BH27" s="14" t="s">
        <v>23808</v>
      </c>
      <c r="BI27" s="14" t="s">
        <v>23441</v>
      </c>
      <c r="BJ27" s="80"/>
      <c r="BK27" s="80"/>
      <c r="BL27" s="80"/>
      <c r="BM27" s="80"/>
      <c r="BN27" s="14" t="s">
        <v>23434</v>
      </c>
      <c r="BO27" s="14" t="s">
        <v>23453</v>
      </c>
      <c r="BP27" s="14" t="s">
        <v>23809</v>
      </c>
      <c r="BQ27" s="14" t="s">
        <v>23455</v>
      </c>
      <c r="BR27" s="14" t="s">
        <v>23434</v>
      </c>
      <c r="BS27" s="14" t="s">
        <v>23451</v>
      </c>
      <c r="BT27" s="14" t="s">
        <v>23810</v>
      </c>
      <c r="BU27" s="14" t="s">
        <v>22818</v>
      </c>
      <c r="BV27" s="80"/>
      <c r="BW27" s="14" t="s">
        <v>23438</v>
      </c>
      <c r="BX27" s="81">
        <v>45722.763645833336</v>
      </c>
      <c r="BY27" s="82" t="s">
        <v>23446</v>
      </c>
      <c r="BZ27" s="15"/>
      <c r="CA27" s="15"/>
      <c r="CB27" s="15"/>
      <c r="CC27" s="15"/>
      <c r="CD27" s="80"/>
      <c r="CE27" s="80"/>
      <c r="CF27" s="80"/>
      <c r="CG27" s="80"/>
      <c r="CH27" s="15"/>
      <c r="CI27" s="15"/>
      <c r="CJ27" s="15"/>
      <c r="CK27" s="15"/>
      <c r="CL27" s="15"/>
      <c r="CM27" s="15"/>
      <c r="CN27" s="15"/>
      <c r="CO27" s="15"/>
      <c r="CP27" s="80"/>
      <c r="CQ27" s="80" t="s">
        <v>23459</v>
      </c>
      <c r="CR27" s="83"/>
      <c r="CS27" s="84"/>
    </row>
    <row r="28">
      <c r="A28" s="78" t="s">
        <v>174</v>
      </c>
      <c r="B28" s="78" t="s">
        <v>7724</v>
      </c>
      <c r="C28" s="79">
        <f>IFERROR((COUNTIFS('Base de Dados'!BT:BT,"Sim",'Base de Dados'!A:A,A28,'Base de Dados'!B:B,B28)/(COUNTIFS('Base de Dados'!BT:BT,"Sim",'Base de Dados'!A:A,A28,'Base de Dados'!B:B,B28)+(COUNTIFS('Base de Dados'!BT:BT,"Não",'Base de Dados'!A:A,A28,'Base de Dados'!B:B,B28)))),"Não Aplica")</f>
        <v>1</v>
      </c>
      <c r="D28" s="14" t="s">
        <v>23434</v>
      </c>
      <c r="E28" s="14" t="s">
        <v>23811</v>
      </c>
      <c r="F28" s="14" t="s">
        <v>23436</v>
      </c>
      <c r="G28" s="14" t="s">
        <v>23434</v>
      </c>
      <c r="H28" s="14" t="s">
        <v>23812</v>
      </c>
      <c r="I28" s="14" t="s">
        <v>22818</v>
      </c>
      <c r="J28" s="80"/>
      <c r="K28" s="14" t="s">
        <v>23438</v>
      </c>
      <c r="L28" s="81">
        <v>45691.608935185184</v>
      </c>
      <c r="M28" s="79">
        <f>IFERROR((COUNTIFS('Base de Dados'!DF:DF,"Sim",'Base de Dados'!A:A,A28,'Base de Dados'!B:B,B28)/(COUNTIFS('Base de Dados'!DF:DF,"Sim",'Base de Dados'!A:A,A28,'Base de Dados'!B:B,B28)+(COUNTIFS('Base de Dados'!DF:DF,"Não",'Base de Dados'!A:A,A28,'Base de Dados'!B:B,B28)))),"Não Aplica")</f>
        <v>1</v>
      </c>
      <c r="N28" s="14" t="s">
        <v>23434</v>
      </c>
      <c r="O28" s="14" t="s">
        <v>23602</v>
      </c>
      <c r="P28" s="14" t="s">
        <v>23813</v>
      </c>
      <c r="Q28" s="14" t="s">
        <v>23436</v>
      </c>
      <c r="R28" s="14" t="s">
        <v>23434</v>
      </c>
      <c r="S28" s="14" t="s">
        <v>23814</v>
      </c>
      <c r="T28" s="14" t="s">
        <v>23441</v>
      </c>
      <c r="U28" s="14" t="s">
        <v>23434</v>
      </c>
      <c r="V28" s="14" t="s">
        <v>23815</v>
      </c>
      <c r="W28" s="14" t="s">
        <v>22818</v>
      </c>
      <c r="X28" s="80"/>
      <c r="Y28" s="14" t="s">
        <v>23438</v>
      </c>
      <c r="Z28" s="81">
        <v>45692.6327662037</v>
      </c>
      <c r="AA28" s="79" t="str">
        <f>IFERROR((COUNTIFS('Base de Dados'!ED:ED,"Sim",'Base de Dados'!A:A,A28,'Base de Dados'!B:B,B28)/(COUNTIFS('Base de Dados'!ED:ED,"Sim",'Base de Dados'!A:A,A28,'Base de Dados'!B:B,B28)+(COUNTIFS('Base de Dados'!ED:ED,"Não",'Base de Dados'!A:A,A28,'Base de Dados'!B:B,B28)))),"Não Aplica")</f>
        <v>Não Aplica</v>
      </c>
      <c r="AB28" s="14" t="s">
        <v>228</v>
      </c>
      <c r="AC28" s="14" t="s">
        <v>23816</v>
      </c>
      <c r="AD28" s="14" t="s">
        <v>23441</v>
      </c>
      <c r="AE28" s="14" t="s">
        <v>228</v>
      </c>
      <c r="AF28" s="14" t="s">
        <v>23817</v>
      </c>
      <c r="AG28" s="14" t="s">
        <v>22818</v>
      </c>
      <c r="AH28" s="80"/>
      <c r="AI28" s="14" t="s">
        <v>23438</v>
      </c>
      <c r="AJ28" s="81">
        <v>45692.63657407407</v>
      </c>
      <c r="AK28" s="82" t="s">
        <v>23446</v>
      </c>
      <c r="AL28" s="14" t="s">
        <v>23434</v>
      </c>
      <c r="AM28" s="14" t="s">
        <v>23439</v>
      </c>
      <c r="AN28" s="14" t="s">
        <v>23818</v>
      </c>
      <c r="AO28" s="14" t="s">
        <v>23441</v>
      </c>
      <c r="AP28" s="14" t="s">
        <v>23434</v>
      </c>
      <c r="AQ28" s="14" t="s">
        <v>23448</v>
      </c>
      <c r="AR28" s="14" t="s">
        <v>23819</v>
      </c>
      <c r="AS28" s="14" t="s">
        <v>23450</v>
      </c>
      <c r="AT28" s="14" t="s">
        <v>23434</v>
      </c>
      <c r="AU28" s="14" t="s">
        <v>23451</v>
      </c>
      <c r="AV28" s="14" t="s">
        <v>23820</v>
      </c>
      <c r="AW28" s="14" t="s">
        <v>22818</v>
      </c>
      <c r="AX28" s="14" t="s">
        <v>23434</v>
      </c>
      <c r="AY28" s="14" t="s">
        <v>23453</v>
      </c>
      <c r="AZ28" s="14" t="s">
        <v>23821</v>
      </c>
      <c r="BA28" s="14" t="s">
        <v>23455</v>
      </c>
      <c r="BB28" s="80"/>
      <c r="BC28" s="14" t="s">
        <v>23438</v>
      </c>
      <c r="BD28" s="81">
        <v>45698.619675925926</v>
      </c>
      <c r="BE28" s="79">
        <f>IFERROR((COUNTIFS('Base de Dados'!FD:FD,"Sim",'Base de Dados'!A:A,A28,'Base de Dados'!B:B,B28)/(COUNTIFS('Base de Dados'!FD:FD,"Sim",'Base de Dados'!A:A,A28,'Base de Dados'!B:B,B28)+(COUNTIFS('Base de Dados'!FD:FD,"Não",'Base de Dados'!A:A,A28,'Base de Dados'!B:B,B28)))),"Não Aplica")</f>
        <v>1</v>
      </c>
      <c r="BF28" s="14" t="s">
        <v>23434</v>
      </c>
      <c r="BG28" s="14" t="s">
        <v>23439</v>
      </c>
      <c r="BH28" s="14" t="s">
        <v>23822</v>
      </c>
      <c r="BI28" s="14" t="s">
        <v>23441</v>
      </c>
      <c r="BJ28" s="80"/>
      <c r="BK28" s="80"/>
      <c r="BL28" s="80"/>
      <c r="BM28" s="80"/>
      <c r="BN28" s="14" t="s">
        <v>23434</v>
      </c>
      <c r="BO28" s="14" t="s">
        <v>23453</v>
      </c>
      <c r="BP28" s="14" t="s">
        <v>23823</v>
      </c>
      <c r="BQ28" s="14" t="s">
        <v>23455</v>
      </c>
      <c r="BR28" s="14" t="s">
        <v>23434</v>
      </c>
      <c r="BS28" s="14" t="s">
        <v>23451</v>
      </c>
      <c r="BT28" s="14" t="s">
        <v>23824</v>
      </c>
      <c r="BU28" s="14" t="s">
        <v>22818</v>
      </c>
      <c r="BV28" s="80"/>
      <c r="BW28" s="14" t="s">
        <v>23438</v>
      </c>
      <c r="BX28" s="81">
        <v>45722.76369212963</v>
      </c>
      <c r="BY28" s="82" t="s">
        <v>23446</v>
      </c>
      <c r="BZ28" s="15"/>
      <c r="CA28" s="15"/>
      <c r="CB28" s="15"/>
      <c r="CC28" s="15"/>
      <c r="CD28" s="80"/>
      <c r="CE28" s="80"/>
      <c r="CF28" s="80"/>
      <c r="CG28" s="80"/>
      <c r="CH28" s="15"/>
      <c r="CI28" s="15"/>
      <c r="CJ28" s="15"/>
      <c r="CK28" s="15"/>
      <c r="CL28" s="15"/>
      <c r="CM28" s="15"/>
      <c r="CN28" s="15"/>
      <c r="CO28" s="15"/>
      <c r="CP28" s="80"/>
      <c r="CQ28" s="80" t="s">
        <v>23459</v>
      </c>
      <c r="CR28" s="83"/>
      <c r="CS28" s="84"/>
    </row>
    <row r="29">
      <c r="A29" s="78" t="s">
        <v>174</v>
      </c>
      <c r="B29" s="78" t="s">
        <v>7921</v>
      </c>
      <c r="C29" s="79">
        <f>IFERROR((COUNTIFS('Base de Dados'!BT:BT,"Sim",'Base de Dados'!A:A,A29,'Base de Dados'!B:B,B29)/(COUNTIFS('Base de Dados'!BT:BT,"Sim",'Base de Dados'!A:A,A29,'Base de Dados'!B:B,B29)+(COUNTIFS('Base de Dados'!BT:BT,"Não",'Base de Dados'!A:A,A29,'Base de Dados'!B:B,B29)))),"Não Aplica")</f>
        <v>1</v>
      </c>
      <c r="D29" s="14" t="s">
        <v>23434</v>
      </c>
      <c r="E29" s="14" t="s">
        <v>23825</v>
      </c>
      <c r="F29" s="14" t="s">
        <v>23436</v>
      </c>
      <c r="G29" s="14" t="s">
        <v>23434</v>
      </c>
      <c r="H29" s="14" t="s">
        <v>23826</v>
      </c>
      <c r="I29" s="14" t="s">
        <v>22818</v>
      </c>
      <c r="J29" s="80"/>
      <c r="K29" s="14" t="s">
        <v>23438</v>
      </c>
      <c r="L29" s="81">
        <v>45687.38778935185</v>
      </c>
      <c r="M29" s="79">
        <f>IFERROR((COUNTIFS('Base de Dados'!DF:DF,"Sim",'Base de Dados'!A:A,A29,'Base de Dados'!B:B,B29)/(COUNTIFS('Base de Dados'!DF:DF,"Sim",'Base de Dados'!A:A,A29,'Base de Dados'!B:B,B29)+(COUNTIFS('Base de Dados'!DF:DF,"Não",'Base de Dados'!A:A,A29,'Base de Dados'!B:B,B29)))),"Não Aplica")</f>
        <v>1</v>
      </c>
      <c r="N29" s="14" t="s">
        <v>23434</v>
      </c>
      <c r="O29" s="14" t="s">
        <v>23439</v>
      </c>
      <c r="P29" s="14" t="s">
        <v>23827</v>
      </c>
      <c r="Q29" s="14" t="s">
        <v>23441</v>
      </c>
      <c r="R29" s="14" t="s">
        <v>23434</v>
      </c>
      <c r="S29" s="14" t="s">
        <v>23828</v>
      </c>
      <c r="T29" s="14" t="s">
        <v>23436</v>
      </c>
      <c r="U29" s="14" t="s">
        <v>23434</v>
      </c>
      <c r="V29" s="14" t="s">
        <v>23829</v>
      </c>
      <c r="W29" s="14" t="s">
        <v>22818</v>
      </c>
      <c r="X29" s="80"/>
      <c r="Y29" s="14" t="s">
        <v>23438</v>
      </c>
      <c r="Z29" s="81">
        <v>45691.611712962964</v>
      </c>
      <c r="AA29" s="79" t="str">
        <f>IFERROR((COUNTIFS('Base de Dados'!ED:ED,"Sim",'Base de Dados'!A:A,A29,'Base de Dados'!B:B,B29)/(COUNTIFS('Base de Dados'!ED:ED,"Sim",'Base de Dados'!A:A,A29,'Base de Dados'!B:B,B29)+(COUNTIFS('Base de Dados'!ED:ED,"Não",'Base de Dados'!A:A,A29,'Base de Dados'!B:B,B29)))),"Não Aplica")</f>
        <v>Não Aplica</v>
      </c>
      <c r="AB29" s="14" t="s">
        <v>228</v>
      </c>
      <c r="AC29" s="14" t="s">
        <v>23830</v>
      </c>
      <c r="AD29" s="14" t="s">
        <v>23441</v>
      </c>
      <c r="AE29" s="14" t="s">
        <v>228</v>
      </c>
      <c r="AF29" s="14" t="s">
        <v>23831</v>
      </c>
      <c r="AG29" s="14" t="s">
        <v>22818</v>
      </c>
      <c r="AH29" s="80"/>
      <c r="AI29" s="14" t="s">
        <v>23438</v>
      </c>
      <c r="AJ29" s="81">
        <v>45692.63663194444</v>
      </c>
      <c r="AK29" s="82" t="s">
        <v>23446</v>
      </c>
      <c r="AL29" s="14" t="s">
        <v>23434</v>
      </c>
      <c r="AM29" s="14" t="s">
        <v>23439</v>
      </c>
      <c r="AN29" s="14" t="s">
        <v>23832</v>
      </c>
      <c r="AO29" s="14" t="s">
        <v>23441</v>
      </c>
      <c r="AP29" s="14" t="s">
        <v>23434</v>
      </c>
      <c r="AQ29" s="14" t="s">
        <v>23448</v>
      </c>
      <c r="AR29" s="14" t="s">
        <v>23833</v>
      </c>
      <c r="AS29" s="14" t="s">
        <v>23450</v>
      </c>
      <c r="AT29" s="14" t="s">
        <v>23434</v>
      </c>
      <c r="AU29" s="14" t="s">
        <v>23451</v>
      </c>
      <c r="AV29" s="14" t="s">
        <v>23834</v>
      </c>
      <c r="AW29" s="14" t="s">
        <v>22818</v>
      </c>
      <c r="AX29" s="14" t="s">
        <v>23434</v>
      </c>
      <c r="AY29" s="14" t="s">
        <v>23453</v>
      </c>
      <c r="AZ29" s="14" t="s">
        <v>23835</v>
      </c>
      <c r="BA29" s="14" t="s">
        <v>23455</v>
      </c>
      <c r="BB29" s="80"/>
      <c r="BC29" s="14" t="s">
        <v>23438</v>
      </c>
      <c r="BD29" s="81">
        <v>45698.61974537037</v>
      </c>
      <c r="BE29" s="79">
        <f>IFERROR((COUNTIFS('Base de Dados'!FD:FD,"Sim",'Base de Dados'!A:A,A29,'Base de Dados'!B:B,B29)/(COUNTIFS('Base de Dados'!FD:FD,"Sim",'Base de Dados'!A:A,A29,'Base de Dados'!B:B,B29)+(COUNTIFS('Base de Dados'!FD:FD,"Não",'Base de Dados'!A:A,A29,'Base de Dados'!B:B,B29)))),"Não Aplica")</f>
        <v>1</v>
      </c>
      <c r="BF29" s="14" t="s">
        <v>23434</v>
      </c>
      <c r="BG29" s="14" t="s">
        <v>23439</v>
      </c>
      <c r="BH29" s="14" t="s">
        <v>23836</v>
      </c>
      <c r="BI29" s="14" t="s">
        <v>23441</v>
      </c>
      <c r="BJ29" s="80"/>
      <c r="BK29" s="80"/>
      <c r="BL29" s="80"/>
      <c r="BM29" s="80"/>
      <c r="BN29" s="14" t="s">
        <v>23434</v>
      </c>
      <c r="BO29" s="14" t="s">
        <v>23453</v>
      </c>
      <c r="BP29" s="14" t="s">
        <v>23837</v>
      </c>
      <c r="BQ29" s="14" t="s">
        <v>23455</v>
      </c>
      <c r="BR29" s="14" t="s">
        <v>23434</v>
      </c>
      <c r="BS29" s="14" t="s">
        <v>23451</v>
      </c>
      <c r="BT29" s="14" t="s">
        <v>23838</v>
      </c>
      <c r="BU29" s="14" t="s">
        <v>22818</v>
      </c>
      <c r="BV29" s="80"/>
      <c r="BW29" s="14" t="s">
        <v>23438</v>
      </c>
      <c r="BX29" s="81">
        <v>45722.76126157407</v>
      </c>
      <c r="BY29" s="82" t="s">
        <v>23446</v>
      </c>
      <c r="BZ29" s="15"/>
      <c r="CA29" s="15"/>
      <c r="CB29" s="15"/>
      <c r="CC29" s="15"/>
      <c r="CD29" s="80"/>
      <c r="CE29" s="80"/>
      <c r="CF29" s="80"/>
      <c r="CG29" s="80"/>
      <c r="CH29" s="15"/>
      <c r="CI29" s="15"/>
      <c r="CJ29" s="15"/>
      <c r="CK29" s="15"/>
      <c r="CL29" s="15"/>
      <c r="CM29" s="15"/>
      <c r="CN29" s="15"/>
      <c r="CO29" s="15"/>
      <c r="CP29" s="80"/>
      <c r="CQ29" s="80" t="s">
        <v>23459</v>
      </c>
      <c r="CR29" s="83"/>
      <c r="CS29" s="84"/>
    </row>
    <row r="30">
      <c r="A30" s="78" t="s">
        <v>292</v>
      </c>
      <c r="B30" s="78" t="s">
        <v>16931</v>
      </c>
      <c r="C30" s="79">
        <f>IFERROR((COUNTIFS('Base de Dados'!BT:BT,"Sim",'Base de Dados'!A:A,A30,'Base de Dados'!B:B,B30)/(COUNTIFS('Base de Dados'!BT:BT,"Sim",'Base de Dados'!A:A,A30,'Base de Dados'!B:B,B30)+(COUNTIFS('Base de Dados'!BT:BT,"Não",'Base de Dados'!A:A,A30,'Base de Dados'!B:B,B30)))),"Não Aplica")</f>
        <v>1</v>
      </c>
      <c r="D30" s="14" t="s">
        <v>23434</v>
      </c>
      <c r="E30" s="14" t="s">
        <v>23839</v>
      </c>
      <c r="F30" s="14" t="s">
        <v>23436</v>
      </c>
      <c r="G30" s="14" t="s">
        <v>23434</v>
      </c>
      <c r="H30" s="14" t="s">
        <v>23840</v>
      </c>
      <c r="I30" s="14" t="s">
        <v>22818</v>
      </c>
      <c r="J30" s="80"/>
      <c r="K30" s="14" t="s">
        <v>23438</v>
      </c>
      <c r="L30" s="81">
        <v>45687.389328703706</v>
      </c>
      <c r="M30" s="79">
        <f>IFERROR((COUNTIFS('Base de Dados'!DF:DF,"Sim",'Base de Dados'!A:A,A30,'Base de Dados'!B:B,B30)/(COUNTIFS('Base de Dados'!DF:DF,"Sim",'Base de Dados'!A:A,A30,'Base de Dados'!B:B,B30)+(COUNTIFS('Base de Dados'!DF:DF,"Não",'Base de Dados'!A:A,A30,'Base de Dados'!B:B,B30)))),"Não Aplica")</f>
        <v>1</v>
      </c>
      <c r="N30" s="14" t="s">
        <v>23434</v>
      </c>
      <c r="O30" s="14" t="s">
        <v>23439</v>
      </c>
      <c r="P30" s="14" t="s">
        <v>23841</v>
      </c>
      <c r="Q30" s="14" t="s">
        <v>23842</v>
      </c>
      <c r="R30" s="14" t="s">
        <v>23434</v>
      </c>
      <c r="S30" s="14" t="s">
        <v>23843</v>
      </c>
      <c r="T30" s="14" t="s">
        <v>23436</v>
      </c>
      <c r="U30" s="14" t="s">
        <v>23434</v>
      </c>
      <c r="V30" s="14" t="s">
        <v>23844</v>
      </c>
      <c r="W30" s="14" t="s">
        <v>22818</v>
      </c>
      <c r="X30" s="80"/>
      <c r="Y30" s="14" t="s">
        <v>23438</v>
      </c>
      <c r="Z30" s="81">
        <v>45691.611759259256</v>
      </c>
      <c r="AA30" s="79">
        <f>IFERROR((COUNTIFS('Base de Dados'!ED:ED,"Sim",'Base de Dados'!A:A,A30,'Base de Dados'!B:B,B30)/(COUNTIFS('Base de Dados'!ED:ED,"Sim",'Base de Dados'!A:A,A30,'Base de Dados'!B:B,B30)+(COUNTIFS('Base de Dados'!ED:ED,"Não",'Base de Dados'!A:A,A30,'Base de Dados'!B:B,B30)))),"Não Aplica")</f>
        <v>1</v>
      </c>
      <c r="AB30" s="14" t="s">
        <v>23434</v>
      </c>
      <c r="AC30" s="14" t="s">
        <v>23845</v>
      </c>
      <c r="AD30" s="14" t="s">
        <v>23842</v>
      </c>
      <c r="AE30" s="14" t="s">
        <v>23434</v>
      </c>
      <c r="AF30" s="14" t="s">
        <v>23846</v>
      </c>
      <c r="AG30" s="14" t="s">
        <v>22818</v>
      </c>
      <c r="AH30" s="80"/>
      <c r="AI30" s="14" t="s">
        <v>23438</v>
      </c>
      <c r="AJ30" s="81">
        <v>45692.537141203706</v>
      </c>
      <c r="AK30" s="82" t="s">
        <v>23446</v>
      </c>
      <c r="AL30" s="14" t="s">
        <v>23434</v>
      </c>
      <c r="AM30" s="14" t="s">
        <v>23448</v>
      </c>
      <c r="AN30" s="14" t="s">
        <v>23847</v>
      </c>
      <c r="AO30" s="14" t="s">
        <v>23848</v>
      </c>
      <c r="AP30" s="14" t="s">
        <v>23434</v>
      </c>
      <c r="AQ30" s="14" t="s">
        <v>23439</v>
      </c>
      <c r="AR30" s="14" t="s">
        <v>23849</v>
      </c>
      <c r="AS30" s="14" t="s">
        <v>23842</v>
      </c>
      <c r="AT30" s="14" t="s">
        <v>23434</v>
      </c>
      <c r="AU30" s="14" t="s">
        <v>23453</v>
      </c>
      <c r="AV30" s="14" t="s">
        <v>23850</v>
      </c>
      <c r="AW30" s="14" t="s">
        <v>23455</v>
      </c>
      <c r="AX30" s="14" t="s">
        <v>23434</v>
      </c>
      <c r="AY30" s="14" t="s">
        <v>23451</v>
      </c>
      <c r="AZ30" s="14" t="s">
        <v>23851</v>
      </c>
      <c r="BA30" s="14" t="s">
        <v>22818</v>
      </c>
      <c r="BB30" s="80"/>
      <c r="BC30" s="14" t="s">
        <v>23438</v>
      </c>
      <c r="BD30" s="81">
        <v>45721.72454861111</v>
      </c>
      <c r="BE30" s="79">
        <f>IFERROR((COUNTIFS('Base de Dados'!FD:FD,"Sim",'Base de Dados'!A:A,A30,'Base de Dados'!B:B,B30)/(COUNTIFS('Base de Dados'!FD:FD,"Sim",'Base de Dados'!A:A,A30,'Base de Dados'!B:B,B30)+(COUNTIFS('Base de Dados'!FD:FD,"Não",'Base de Dados'!A:A,A30,'Base de Dados'!B:B,B30)))),"Não Aplica")</f>
        <v>1</v>
      </c>
      <c r="BF30" s="14" t="s">
        <v>23434</v>
      </c>
      <c r="BG30" s="14" t="s">
        <v>23439</v>
      </c>
      <c r="BH30" s="14" t="s">
        <v>23852</v>
      </c>
      <c r="BI30" s="14" t="s">
        <v>23842</v>
      </c>
      <c r="BJ30" s="80"/>
      <c r="BK30" s="80"/>
      <c r="BL30" s="80"/>
      <c r="BM30" s="80"/>
      <c r="BN30" s="14" t="s">
        <v>23434</v>
      </c>
      <c r="BO30" s="14" t="s">
        <v>23453</v>
      </c>
      <c r="BP30" s="14" t="s">
        <v>23853</v>
      </c>
      <c r="BQ30" s="14" t="s">
        <v>23455</v>
      </c>
      <c r="BR30" s="14" t="s">
        <v>23434</v>
      </c>
      <c r="BS30" s="14" t="s">
        <v>23451</v>
      </c>
      <c r="BT30" s="14" t="s">
        <v>23854</v>
      </c>
      <c r="BU30" s="14" t="s">
        <v>22818</v>
      </c>
      <c r="BV30" s="80"/>
      <c r="BW30" s="14" t="s">
        <v>23438</v>
      </c>
      <c r="BX30" s="81">
        <v>45723.31974537037</v>
      </c>
      <c r="BY30" s="82" t="s">
        <v>23446</v>
      </c>
      <c r="BZ30" s="15"/>
      <c r="CA30" s="15"/>
      <c r="CB30" s="15"/>
      <c r="CC30" s="15"/>
      <c r="CD30" s="80"/>
      <c r="CE30" s="80"/>
      <c r="CF30" s="80"/>
      <c r="CG30" s="80"/>
      <c r="CH30" s="15"/>
      <c r="CI30" s="15"/>
      <c r="CJ30" s="15"/>
      <c r="CK30" s="15"/>
      <c r="CL30" s="15"/>
      <c r="CM30" s="15"/>
      <c r="CN30" s="15"/>
      <c r="CO30" s="15"/>
      <c r="CP30" s="80"/>
      <c r="CQ30" s="80" t="s">
        <v>23459</v>
      </c>
      <c r="CR30" s="83"/>
      <c r="CS30" s="84"/>
    </row>
    <row r="31">
      <c r="A31" s="78" t="s">
        <v>292</v>
      </c>
      <c r="B31" s="78" t="s">
        <v>16988</v>
      </c>
      <c r="C31" s="79">
        <f>IFERROR((COUNTIFS('Base de Dados'!BT:BT,"Sim",'Base de Dados'!A:A,A31,'Base de Dados'!B:B,B31)/(COUNTIFS('Base de Dados'!BT:BT,"Sim",'Base de Dados'!A:A,A31,'Base de Dados'!B:B,B31)+(COUNTIFS('Base de Dados'!BT:BT,"Não",'Base de Dados'!A:A,A31,'Base de Dados'!B:B,B31)))),"Não Aplica")</f>
        <v>1</v>
      </c>
      <c r="D31" s="14" t="s">
        <v>23434</v>
      </c>
      <c r="E31" s="14" t="s">
        <v>23855</v>
      </c>
      <c r="F31" s="14" t="s">
        <v>23436</v>
      </c>
      <c r="G31" s="14" t="s">
        <v>23434</v>
      </c>
      <c r="H31" s="14" t="s">
        <v>23856</v>
      </c>
      <c r="I31" s="14" t="s">
        <v>22818</v>
      </c>
      <c r="J31" s="80"/>
      <c r="K31" s="14" t="s">
        <v>23438</v>
      </c>
      <c r="L31" s="81">
        <v>45687.388402777775</v>
      </c>
      <c r="M31" s="79">
        <f>IFERROR((COUNTIFS('Base de Dados'!DF:DF,"Sim",'Base de Dados'!A:A,A31,'Base de Dados'!B:B,B31)/(COUNTIFS('Base de Dados'!DF:DF,"Sim",'Base de Dados'!A:A,A31,'Base de Dados'!B:B,B31)+(COUNTIFS('Base de Dados'!DF:DF,"Não",'Base de Dados'!A:A,A31,'Base de Dados'!B:B,B31)))),"Não Aplica")</f>
        <v>1</v>
      </c>
      <c r="N31" s="14" t="s">
        <v>23434</v>
      </c>
      <c r="O31" s="14" t="s">
        <v>23439</v>
      </c>
      <c r="P31" s="14" t="s">
        <v>23857</v>
      </c>
      <c r="Q31" s="14" t="s">
        <v>23842</v>
      </c>
      <c r="R31" s="14" t="s">
        <v>23434</v>
      </c>
      <c r="S31" s="14" t="s">
        <v>23858</v>
      </c>
      <c r="T31" s="14" t="s">
        <v>23436</v>
      </c>
      <c r="U31" s="14" t="s">
        <v>23434</v>
      </c>
      <c r="V31" s="14" t="s">
        <v>23859</v>
      </c>
      <c r="W31" s="14" t="s">
        <v>22818</v>
      </c>
      <c r="X31" s="80"/>
      <c r="Y31" s="14" t="s">
        <v>23438</v>
      </c>
      <c r="Z31" s="81">
        <v>45691.61179398148</v>
      </c>
      <c r="AA31" s="79">
        <f>IFERROR((COUNTIFS('Base de Dados'!ED:ED,"Sim",'Base de Dados'!A:A,A31,'Base de Dados'!B:B,B31)/(COUNTIFS('Base de Dados'!ED:ED,"Sim",'Base de Dados'!A:A,A31,'Base de Dados'!B:B,B31)+(COUNTIFS('Base de Dados'!ED:ED,"Não",'Base de Dados'!A:A,A31,'Base de Dados'!B:B,B31)))),"Não Aplica")</f>
        <v>1</v>
      </c>
      <c r="AB31" s="14" t="s">
        <v>23434</v>
      </c>
      <c r="AC31" s="14" t="s">
        <v>23860</v>
      </c>
      <c r="AD31" s="14" t="s">
        <v>23842</v>
      </c>
      <c r="AE31" s="14" t="s">
        <v>23434</v>
      </c>
      <c r="AF31" s="14" t="s">
        <v>23861</v>
      </c>
      <c r="AG31" s="14" t="s">
        <v>22818</v>
      </c>
      <c r="AH31" s="80"/>
      <c r="AI31" s="14" t="s">
        <v>23438</v>
      </c>
      <c r="AJ31" s="81">
        <v>45692.54240740741</v>
      </c>
      <c r="AK31" s="82" t="s">
        <v>23446</v>
      </c>
      <c r="AL31" s="14" t="s">
        <v>23434</v>
      </c>
      <c r="AM31" s="14" t="s">
        <v>23439</v>
      </c>
      <c r="AN31" s="14" t="s">
        <v>23862</v>
      </c>
      <c r="AO31" s="14" t="s">
        <v>23842</v>
      </c>
      <c r="AP31" s="14" t="s">
        <v>23434</v>
      </c>
      <c r="AQ31" s="14" t="s">
        <v>23448</v>
      </c>
      <c r="AR31" s="14" t="s">
        <v>23863</v>
      </c>
      <c r="AS31" s="14" t="s">
        <v>23848</v>
      </c>
      <c r="AT31" s="14" t="s">
        <v>23434</v>
      </c>
      <c r="AU31" s="14" t="s">
        <v>23453</v>
      </c>
      <c r="AV31" s="14" t="s">
        <v>23864</v>
      </c>
      <c r="AW31" s="14" t="s">
        <v>23455</v>
      </c>
      <c r="AX31" s="14" t="s">
        <v>23434</v>
      </c>
      <c r="AY31" s="14" t="s">
        <v>23451</v>
      </c>
      <c r="AZ31" s="14" t="s">
        <v>23865</v>
      </c>
      <c r="BA31" s="14" t="s">
        <v>22818</v>
      </c>
      <c r="BB31" s="80"/>
      <c r="BC31" s="14" t="s">
        <v>23438</v>
      </c>
      <c r="BD31" s="81">
        <v>45721.724583333336</v>
      </c>
      <c r="BE31" s="79">
        <f>IFERROR((COUNTIFS('Base de Dados'!FD:FD,"Sim",'Base de Dados'!A:A,A31,'Base de Dados'!B:B,B31)/(COUNTIFS('Base de Dados'!FD:FD,"Sim",'Base de Dados'!A:A,A31,'Base de Dados'!B:B,B31)+(COUNTIFS('Base de Dados'!FD:FD,"Não",'Base de Dados'!A:A,A31,'Base de Dados'!B:B,B31)))),"Não Aplica")</f>
        <v>1</v>
      </c>
      <c r="BF31" s="14" t="s">
        <v>23434</v>
      </c>
      <c r="BG31" s="14" t="s">
        <v>23439</v>
      </c>
      <c r="BH31" s="14" t="s">
        <v>23866</v>
      </c>
      <c r="BI31" s="14" t="s">
        <v>23842</v>
      </c>
      <c r="BJ31" s="80"/>
      <c r="BK31" s="80"/>
      <c r="BL31" s="80"/>
      <c r="BM31" s="80"/>
      <c r="BN31" s="14" t="s">
        <v>23434</v>
      </c>
      <c r="BO31" s="14" t="s">
        <v>23453</v>
      </c>
      <c r="BP31" s="14" t="s">
        <v>23867</v>
      </c>
      <c r="BQ31" s="14" t="s">
        <v>23455</v>
      </c>
      <c r="BR31" s="14" t="s">
        <v>23434</v>
      </c>
      <c r="BS31" s="14" t="s">
        <v>23451</v>
      </c>
      <c r="BT31" s="14" t="s">
        <v>23868</v>
      </c>
      <c r="BU31" s="14" t="s">
        <v>22818</v>
      </c>
      <c r="BV31" s="80"/>
      <c r="BW31" s="14" t="s">
        <v>23438</v>
      </c>
      <c r="BX31" s="81">
        <v>45723.31978009259</v>
      </c>
      <c r="BY31" s="82" t="s">
        <v>23446</v>
      </c>
      <c r="BZ31" s="15"/>
      <c r="CA31" s="15"/>
      <c r="CB31" s="15"/>
      <c r="CC31" s="15"/>
      <c r="CD31" s="80"/>
      <c r="CE31" s="80"/>
      <c r="CF31" s="80"/>
      <c r="CG31" s="80"/>
      <c r="CH31" s="15"/>
      <c r="CI31" s="15"/>
      <c r="CJ31" s="15"/>
      <c r="CK31" s="15"/>
      <c r="CL31" s="15"/>
      <c r="CM31" s="15"/>
      <c r="CN31" s="15"/>
      <c r="CO31" s="15"/>
      <c r="CP31" s="80"/>
      <c r="CQ31" s="80" t="s">
        <v>23459</v>
      </c>
      <c r="CR31" s="83"/>
      <c r="CS31" s="84"/>
    </row>
    <row r="32">
      <c r="A32" s="78" t="s">
        <v>292</v>
      </c>
      <c r="B32" s="78" t="s">
        <v>16961</v>
      </c>
      <c r="C32" s="79">
        <f>IFERROR((COUNTIFS('Base de Dados'!BT:BT,"Sim",'Base de Dados'!A:A,A32,'Base de Dados'!B:B,B32)/(COUNTIFS('Base de Dados'!BT:BT,"Sim",'Base de Dados'!A:A,A32,'Base de Dados'!B:B,B32)+(COUNTIFS('Base de Dados'!BT:BT,"Não",'Base de Dados'!A:A,A32,'Base de Dados'!B:B,B32)))),"Não Aplica")</f>
        <v>1</v>
      </c>
      <c r="D32" s="14" t="s">
        <v>23434</v>
      </c>
      <c r="E32" s="14" t="s">
        <v>23869</v>
      </c>
      <c r="F32" s="14" t="s">
        <v>23436</v>
      </c>
      <c r="G32" s="14" t="s">
        <v>23434</v>
      </c>
      <c r="H32" s="14" t="s">
        <v>23870</v>
      </c>
      <c r="I32" s="14" t="s">
        <v>22818</v>
      </c>
      <c r="J32" s="80"/>
      <c r="K32" s="14" t="s">
        <v>23438</v>
      </c>
      <c r="L32" s="81">
        <v>45687.38846064815</v>
      </c>
      <c r="M32" s="79">
        <f>IFERROR((COUNTIFS('Base de Dados'!DF:DF,"Sim",'Base de Dados'!A:A,A32,'Base de Dados'!B:B,B32)/(COUNTIFS('Base de Dados'!DF:DF,"Sim",'Base de Dados'!A:A,A32,'Base de Dados'!B:B,B32)+(COUNTIFS('Base de Dados'!DF:DF,"Não",'Base de Dados'!A:A,A32,'Base de Dados'!B:B,B32)))),"Não Aplica")</f>
        <v>1</v>
      </c>
      <c r="N32" s="14" t="s">
        <v>23434</v>
      </c>
      <c r="O32" s="14" t="s">
        <v>23439</v>
      </c>
      <c r="P32" s="14" t="s">
        <v>23871</v>
      </c>
      <c r="Q32" s="14" t="s">
        <v>23842</v>
      </c>
      <c r="R32" s="14" t="s">
        <v>23434</v>
      </c>
      <c r="S32" s="14" t="s">
        <v>23872</v>
      </c>
      <c r="T32" s="14" t="s">
        <v>23436</v>
      </c>
      <c r="U32" s="14" t="s">
        <v>23434</v>
      </c>
      <c r="V32" s="14" t="s">
        <v>23873</v>
      </c>
      <c r="W32" s="14" t="s">
        <v>22818</v>
      </c>
      <c r="X32" s="80"/>
      <c r="Y32" s="14" t="s">
        <v>23438</v>
      </c>
      <c r="Z32" s="81">
        <v>45691.61287037037</v>
      </c>
      <c r="AA32" s="79">
        <f>IFERROR((COUNTIFS('Base de Dados'!ED:ED,"Sim",'Base de Dados'!A:A,A32,'Base de Dados'!B:B,B32)/(COUNTIFS('Base de Dados'!ED:ED,"Sim",'Base de Dados'!A:A,A32,'Base de Dados'!B:B,B32)+(COUNTIFS('Base de Dados'!ED:ED,"Não",'Base de Dados'!A:A,A32,'Base de Dados'!B:B,B32)))),"Não Aplica")</f>
        <v>1</v>
      </c>
      <c r="AB32" s="14" t="s">
        <v>23434</v>
      </c>
      <c r="AC32" s="14" t="s">
        <v>23874</v>
      </c>
      <c r="AD32" s="14" t="s">
        <v>23842</v>
      </c>
      <c r="AE32" s="14" t="s">
        <v>23434</v>
      </c>
      <c r="AF32" s="14" t="s">
        <v>23875</v>
      </c>
      <c r="AG32" s="14" t="s">
        <v>22818</v>
      </c>
      <c r="AH32" s="80"/>
      <c r="AI32" s="14" t="s">
        <v>23438</v>
      </c>
      <c r="AJ32" s="81">
        <v>45692.53716435185</v>
      </c>
      <c r="AK32" s="82" t="s">
        <v>23446</v>
      </c>
      <c r="AL32" s="14" t="s">
        <v>23434</v>
      </c>
      <c r="AM32" s="14" t="s">
        <v>23439</v>
      </c>
      <c r="AN32" s="14" t="s">
        <v>23876</v>
      </c>
      <c r="AO32" s="14" t="s">
        <v>23842</v>
      </c>
      <c r="AP32" s="14" t="s">
        <v>23434</v>
      </c>
      <c r="AQ32" s="14" t="s">
        <v>23448</v>
      </c>
      <c r="AR32" s="14" t="s">
        <v>23877</v>
      </c>
      <c r="AS32" s="14" t="s">
        <v>23848</v>
      </c>
      <c r="AT32" s="14" t="s">
        <v>23434</v>
      </c>
      <c r="AU32" s="14" t="s">
        <v>23453</v>
      </c>
      <c r="AV32" s="14" t="s">
        <v>23878</v>
      </c>
      <c r="AW32" s="14" t="s">
        <v>23455</v>
      </c>
      <c r="AX32" s="14" t="s">
        <v>23434</v>
      </c>
      <c r="AY32" s="14" t="s">
        <v>23451</v>
      </c>
      <c r="AZ32" s="14" t="s">
        <v>23879</v>
      </c>
      <c r="BA32" s="14" t="s">
        <v>22818</v>
      </c>
      <c r="BB32" s="80"/>
      <c r="BC32" s="14" t="s">
        <v>23438</v>
      </c>
      <c r="BD32" s="81">
        <v>45722.75927083333</v>
      </c>
      <c r="BE32" s="79">
        <f>IFERROR((COUNTIFS('Base de Dados'!FD:FD,"Sim",'Base de Dados'!A:A,A32,'Base de Dados'!B:B,B32)/(COUNTIFS('Base de Dados'!FD:FD,"Sim",'Base de Dados'!A:A,A32,'Base de Dados'!B:B,B32)+(COUNTIFS('Base de Dados'!FD:FD,"Não",'Base de Dados'!A:A,A32,'Base de Dados'!B:B,B32)))),"Não Aplica")</f>
        <v>1</v>
      </c>
      <c r="BF32" s="14" t="s">
        <v>23434</v>
      </c>
      <c r="BG32" s="14" t="s">
        <v>23439</v>
      </c>
      <c r="BH32" s="14" t="s">
        <v>23880</v>
      </c>
      <c r="BI32" s="14" t="s">
        <v>23842</v>
      </c>
      <c r="BJ32" s="80"/>
      <c r="BK32" s="80"/>
      <c r="BL32" s="80"/>
      <c r="BM32" s="80"/>
      <c r="BN32" s="14" t="s">
        <v>23434</v>
      </c>
      <c r="BO32" s="14" t="s">
        <v>23453</v>
      </c>
      <c r="BP32" s="14" t="s">
        <v>23881</v>
      </c>
      <c r="BQ32" s="14" t="s">
        <v>23455</v>
      </c>
      <c r="BR32" s="14" t="s">
        <v>23434</v>
      </c>
      <c r="BS32" s="14" t="s">
        <v>23451</v>
      </c>
      <c r="BT32" s="14" t="s">
        <v>23882</v>
      </c>
      <c r="BU32" s="14" t="s">
        <v>22818</v>
      </c>
      <c r="BV32" s="80"/>
      <c r="BW32" s="14" t="s">
        <v>23438</v>
      </c>
      <c r="BX32" s="81">
        <v>45723.33048611111</v>
      </c>
      <c r="BY32" s="82" t="s">
        <v>23446</v>
      </c>
      <c r="BZ32" s="15"/>
      <c r="CA32" s="15"/>
      <c r="CB32" s="15"/>
      <c r="CC32" s="15"/>
      <c r="CD32" s="80"/>
      <c r="CE32" s="80"/>
      <c r="CF32" s="80"/>
      <c r="CG32" s="80"/>
      <c r="CH32" s="15"/>
      <c r="CI32" s="15"/>
      <c r="CJ32" s="15"/>
      <c r="CK32" s="15"/>
      <c r="CL32" s="15"/>
      <c r="CM32" s="15"/>
      <c r="CN32" s="15"/>
      <c r="CO32" s="15"/>
      <c r="CP32" s="80"/>
      <c r="CQ32" s="80" t="s">
        <v>23459</v>
      </c>
      <c r="CR32" s="83"/>
      <c r="CS32" s="84"/>
    </row>
    <row r="33">
      <c r="A33" s="78" t="s">
        <v>292</v>
      </c>
      <c r="B33" s="78" t="s">
        <v>11027</v>
      </c>
      <c r="C33" s="79">
        <f>IFERROR((COUNTIFS('Base de Dados'!BT:BT,"Sim",'Base de Dados'!A:A,A33,'Base de Dados'!B:B,B33)/(COUNTIFS('Base de Dados'!BT:BT,"Sim",'Base de Dados'!A:A,A33,'Base de Dados'!B:B,B33)+(COUNTIFS('Base de Dados'!BT:BT,"Não",'Base de Dados'!A:A,A33,'Base de Dados'!B:B,B33)))),"Não Aplica")</f>
        <v>1</v>
      </c>
      <c r="D33" s="14" t="s">
        <v>23434</v>
      </c>
      <c r="E33" s="14" t="s">
        <v>23883</v>
      </c>
      <c r="F33" s="14" t="s">
        <v>23436</v>
      </c>
      <c r="G33" s="14" t="s">
        <v>23434</v>
      </c>
      <c r="H33" s="14" t="s">
        <v>23884</v>
      </c>
      <c r="I33" s="14" t="s">
        <v>22818</v>
      </c>
      <c r="J33" s="80"/>
      <c r="K33" s="14" t="s">
        <v>23438</v>
      </c>
      <c r="L33" s="81">
        <v>45687.388506944444</v>
      </c>
      <c r="M33" s="79">
        <f>IFERROR((COUNTIFS('Base de Dados'!DF:DF,"Sim",'Base de Dados'!A:A,A33,'Base de Dados'!B:B,B33)/(COUNTIFS('Base de Dados'!DF:DF,"Sim",'Base de Dados'!A:A,A33,'Base de Dados'!B:B,B33)+(COUNTIFS('Base de Dados'!DF:DF,"Não",'Base de Dados'!A:A,A33,'Base de Dados'!B:B,B33)))),"Não Aplica")</f>
        <v>1</v>
      </c>
      <c r="N33" s="14" t="s">
        <v>23434</v>
      </c>
      <c r="O33" s="14" t="s">
        <v>23439</v>
      </c>
      <c r="P33" s="14" t="s">
        <v>23885</v>
      </c>
      <c r="Q33" s="14" t="s">
        <v>23842</v>
      </c>
      <c r="R33" s="14" t="s">
        <v>23434</v>
      </c>
      <c r="S33" s="14" t="s">
        <v>23886</v>
      </c>
      <c r="T33" s="14" t="s">
        <v>23436</v>
      </c>
      <c r="U33" s="14" t="s">
        <v>23434</v>
      </c>
      <c r="V33" s="14" t="s">
        <v>23887</v>
      </c>
      <c r="W33" s="14" t="s">
        <v>22818</v>
      </c>
      <c r="X33" s="80"/>
      <c r="Y33" s="14" t="s">
        <v>23438</v>
      </c>
      <c r="Z33" s="81">
        <v>45691.61181712963</v>
      </c>
      <c r="AA33" s="79">
        <f>IFERROR((COUNTIFS('Base de Dados'!ED:ED,"Sim",'Base de Dados'!A:A,A33,'Base de Dados'!B:B,B33)/(COUNTIFS('Base de Dados'!ED:ED,"Sim",'Base de Dados'!A:A,A33,'Base de Dados'!B:B,B33)+(COUNTIFS('Base de Dados'!ED:ED,"Não",'Base de Dados'!A:A,A33,'Base de Dados'!B:B,B33)))),"Não Aplica")</f>
        <v>1</v>
      </c>
      <c r="AB33" s="14" t="s">
        <v>23434</v>
      </c>
      <c r="AC33" s="14" t="s">
        <v>23888</v>
      </c>
      <c r="AD33" s="14" t="s">
        <v>23842</v>
      </c>
      <c r="AE33" s="14" t="s">
        <v>23434</v>
      </c>
      <c r="AF33" s="14" t="s">
        <v>23889</v>
      </c>
      <c r="AG33" s="14" t="s">
        <v>22818</v>
      </c>
      <c r="AH33" s="80"/>
      <c r="AI33" s="14" t="s">
        <v>23438</v>
      </c>
      <c r="AJ33" s="81">
        <v>45692.537199074075</v>
      </c>
      <c r="AK33" s="82" t="s">
        <v>23446</v>
      </c>
      <c r="AL33" s="14" t="s">
        <v>23434</v>
      </c>
      <c r="AM33" s="14" t="s">
        <v>23439</v>
      </c>
      <c r="AN33" s="14" t="s">
        <v>23890</v>
      </c>
      <c r="AO33" s="14" t="s">
        <v>23842</v>
      </c>
      <c r="AP33" s="14" t="s">
        <v>23434</v>
      </c>
      <c r="AQ33" s="14" t="s">
        <v>23448</v>
      </c>
      <c r="AR33" s="14" t="s">
        <v>23891</v>
      </c>
      <c r="AS33" s="14" t="s">
        <v>23848</v>
      </c>
      <c r="AT33" s="14" t="s">
        <v>23434</v>
      </c>
      <c r="AU33" s="14" t="s">
        <v>23453</v>
      </c>
      <c r="AV33" s="14" t="s">
        <v>23892</v>
      </c>
      <c r="AW33" s="14" t="s">
        <v>23455</v>
      </c>
      <c r="AX33" s="14" t="s">
        <v>23434</v>
      </c>
      <c r="AY33" s="14" t="s">
        <v>23451</v>
      </c>
      <c r="AZ33" s="14" t="s">
        <v>23893</v>
      </c>
      <c r="BA33" s="14" t="s">
        <v>22818</v>
      </c>
      <c r="BB33" s="80"/>
      <c r="BC33" s="14" t="s">
        <v>23438</v>
      </c>
      <c r="BD33" s="81">
        <v>45721.72462962963</v>
      </c>
      <c r="BE33" s="79">
        <f>IFERROR((COUNTIFS('Base de Dados'!FD:FD,"Sim",'Base de Dados'!A:A,A33,'Base de Dados'!B:B,B33)/(COUNTIFS('Base de Dados'!FD:FD,"Sim",'Base de Dados'!A:A,A33,'Base de Dados'!B:B,B33)+(COUNTIFS('Base de Dados'!FD:FD,"Não",'Base de Dados'!A:A,A33,'Base de Dados'!B:B,B33)))),"Não Aplica")</f>
        <v>1</v>
      </c>
      <c r="BF33" s="14" t="s">
        <v>23434</v>
      </c>
      <c r="BG33" s="14" t="s">
        <v>23439</v>
      </c>
      <c r="BH33" s="14" t="s">
        <v>23894</v>
      </c>
      <c r="BI33" s="14" t="s">
        <v>23842</v>
      </c>
      <c r="BJ33" s="80"/>
      <c r="BK33" s="80"/>
      <c r="BL33" s="80"/>
      <c r="BM33" s="80"/>
      <c r="BN33" s="14" t="s">
        <v>23434</v>
      </c>
      <c r="BO33" s="14" t="s">
        <v>23453</v>
      </c>
      <c r="BP33" s="14" t="s">
        <v>23895</v>
      </c>
      <c r="BQ33" s="14" t="s">
        <v>23455</v>
      </c>
      <c r="BR33" s="14" t="s">
        <v>23434</v>
      </c>
      <c r="BS33" s="14" t="s">
        <v>23451</v>
      </c>
      <c r="BT33" s="14" t="s">
        <v>23896</v>
      </c>
      <c r="BU33" s="14" t="s">
        <v>22818</v>
      </c>
      <c r="BV33" s="80"/>
      <c r="BW33" s="14" t="s">
        <v>23438</v>
      </c>
      <c r="BX33" s="81">
        <v>45723.32740740741</v>
      </c>
      <c r="BY33" s="82" t="s">
        <v>23446</v>
      </c>
      <c r="BZ33" s="15"/>
      <c r="CA33" s="15"/>
      <c r="CB33" s="15"/>
      <c r="CC33" s="15"/>
      <c r="CD33" s="80"/>
      <c r="CE33" s="80"/>
      <c r="CF33" s="80"/>
      <c r="CG33" s="80"/>
      <c r="CH33" s="15"/>
      <c r="CI33" s="15"/>
      <c r="CJ33" s="15"/>
      <c r="CK33" s="15"/>
      <c r="CL33" s="15"/>
      <c r="CM33" s="15"/>
      <c r="CN33" s="15"/>
      <c r="CO33" s="15"/>
      <c r="CP33" s="80"/>
      <c r="CQ33" s="80" t="s">
        <v>23459</v>
      </c>
      <c r="CR33" s="83"/>
      <c r="CS33" s="84"/>
    </row>
    <row r="34">
      <c r="A34" s="78" t="s">
        <v>292</v>
      </c>
      <c r="B34" s="78" t="s">
        <v>11035</v>
      </c>
      <c r="C34" s="79">
        <f>IFERROR((COUNTIFS('Base de Dados'!BT:BT,"Sim",'Base de Dados'!A:A,A34,'Base de Dados'!B:B,B34)/(COUNTIFS('Base de Dados'!BT:BT,"Sim",'Base de Dados'!A:A,A34,'Base de Dados'!B:B,B34)+(COUNTIFS('Base de Dados'!BT:BT,"Não",'Base de Dados'!A:A,A34,'Base de Dados'!B:B,B34)))),"Não Aplica")</f>
        <v>1</v>
      </c>
      <c r="D34" s="14" t="s">
        <v>23434</v>
      </c>
      <c r="E34" s="14" t="s">
        <v>23897</v>
      </c>
      <c r="F34" s="14" t="s">
        <v>23436</v>
      </c>
      <c r="G34" s="14" t="s">
        <v>23434</v>
      </c>
      <c r="H34" s="14" t="s">
        <v>23898</v>
      </c>
      <c r="I34" s="14" t="s">
        <v>22818</v>
      </c>
      <c r="J34" s="80"/>
      <c r="K34" s="14" t="s">
        <v>23438</v>
      </c>
      <c r="L34" s="81">
        <v>45687.38880787037</v>
      </c>
      <c r="M34" s="79">
        <f>IFERROR((COUNTIFS('Base de Dados'!DF:DF,"Sim",'Base de Dados'!A:A,A34,'Base de Dados'!B:B,B34)/(COUNTIFS('Base de Dados'!DF:DF,"Sim",'Base de Dados'!A:A,A34,'Base de Dados'!B:B,B34)+(COUNTIFS('Base de Dados'!DF:DF,"Não",'Base de Dados'!A:A,A34,'Base de Dados'!B:B,B34)))),"Não Aplica")</f>
        <v>1</v>
      </c>
      <c r="N34" s="14" t="s">
        <v>23434</v>
      </c>
      <c r="O34" s="14" t="s">
        <v>23439</v>
      </c>
      <c r="P34" s="14" t="s">
        <v>23899</v>
      </c>
      <c r="Q34" s="14" t="s">
        <v>23842</v>
      </c>
      <c r="R34" s="14" t="s">
        <v>23434</v>
      </c>
      <c r="S34" s="14" t="s">
        <v>23900</v>
      </c>
      <c r="T34" s="14" t="s">
        <v>23436</v>
      </c>
      <c r="U34" s="14" t="s">
        <v>23434</v>
      </c>
      <c r="V34" s="14" t="s">
        <v>23901</v>
      </c>
      <c r="W34" s="14" t="s">
        <v>22818</v>
      </c>
      <c r="X34" s="80"/>
      <c r="Y34" s="14" t="s">
        <v>23438</v>
      </c>
      <c r="Z34" s="81">
        <v>45691.61184027778</v>
      </c>
      <c r="AA34" s="79">
        <f>IFERROR((COUNTIFS('Base de Dados'!ED:ED,"Sim",'Base de Dados'!A:A,A34,'Base de Dados'!B:B,B34)/(COUNTIFS('Base de Dados'!ED:ED,"Sim",'Base de Dados'!A:A,A34,'Base de Dados'!B:B,B34)+(COUNTIFS('Base de Dados'!ED:ED,"Não",'Base de Dados'!A:A,A34,'Base de Dados'!B:B,B34)))),"Não Aplica")</f>
        <v>1</v>
      </c>
      <c r="AB34" s="14" t="s">
        <v>23434</v>
      </c>
      <c r="AC34" s="14" t="s">
        <v>23902</v>
      </c>
      <c r="AD34" s="14" t="s">
        <v>23842</v>
      </c>
      <c r="AE34" s="14" t="s">
        <v>23434</v>
      </c>
      <c r="AF34" s="14" t="s">
        <v>23903</v>
      </c>
      <c r="AG34" s="14" t="s">
        <v>22818</v>
      </c>
      <c r="AH34" s="80"/>
      <c r="AI34" s="14" t="s">
        <v>23438</v>
      </c>
      <c r="AJ34" s="81">
        <v>45692.53724537037</v>
      </c>
      <c r="AK34" s="82" t="s">
        <v>23446</v>
      </c>
      <c r="AL34" s="14" t="s">
        <v>23434</v>
      </c>
      <c r="AM34" s="14" t="s">
        <v>23439</v>
      </c>
      <c r="AN34" s="14" t="s">
        <v>23904</v>
      </c>
      <c r="AO34" s="14" t="s">
        <v>23842</v>
      </c>
      <c r="AP34" s="14" t="s">
        <v>23434</v>
      </c>
      <c r="AQ34" s="14" t="s">
        <v>23448</v>
      </c>
      <c r="AR34" s="14" t="s">
        <v>23905</v>
      </c>
      <c r="AS34" s="14" t="s">
        <v>23848</v>
      </c>
      <c r="AT34" s="14" t="s">
        <v>23434</v>
      </c>
      <c r="AU34" s="14" t="s">
        <v>23453</v>
      </c>
      <c r="AV34" s="14" t="s">
        <v>23906</v>
      </c>
      <c r="AW34" s="14" t="s">
        <v>23455</v>
      </c>
      <c r="AX34" s="14" t="s">
        <v>23434</v>
      </c>
      <c r="AY34" s="14" t="s">
        <v>23451</v>
      </c>
      <c r="AZ34" s="14" t="s">
        <v>23907</v>
      </c>
      <c r="BA34" s="14" t="s">
        <v>22818</v>
      </c>
      <c r="BB34" s="80"/>
      <c r="BC34" s="14" t="s">
        <v>23438</v>
      </c>
      <c r="BD34" s="81">
        <v>45721.72467592593</v>
      </c>
      <c r="BE34" s="79">
        <f>IFERROR((COUNTIFS('Base de Dados'!FD:FD,"Sim",'Base de Dados'!A:A,A34,'Base de Dados'!B:B,B34)/(COUNTIFS('Base de Dados'!FD:FD,"Sim",'Base de Dados'!A:A,A34,'Base de Dados'!B:B,B34)+(COUNTIFS('Base de Dados'!FD:FD,"Não",'Base de Dados'!A:A,A34,'Base de Dados'!B:B,B34)))),"Não Aplica")</f>
        <v>1</v>
      </c>
      <c r="BF34" s="14" t="s">
        <v>23434</v>
      </c>
      <c r="BG34" s="14" t="s">
        <v>23439</v>
      </c>
      <c r="BH34" s="14" t="s">
        <v>23908</v>
      </c>
      <c r="BI34" s="14" t="s">
        <v>23842</v>
      </c>
      <c r="BJ34" s="80"/>
      <c r="BK34" s="80"/>
      <c r="BL34" s="80"/>
      <c r="BM34" s="80"/>
      <c r="BN34" s="14" t="s">
        <v>23434</v>
      </c>
      <c r="BO34" s="14" t="s">
        <v>23453</v>
      </c>
      <c r="BP34" s="14" t="s">
        <v>23909</v>
      </c>
      <c r="BQ34" s="14" t="s">
        <v>23455</v>
      </c>
      <c r="BR34" s="14" t="s">
        <v>23434</v>
      </c>
      <c r="BS34" s="14" t="s">
        <v>23451</v>
      </c>
      <c r="BT34" s="14" t="s">
        <v>23910</v>
      </c>
      <c r="BU34" s="14" t="s">
        <v>22818</v>
      </c>
      <c r="BV34" s="80"/>
      <c r="BW34" s="14" t="s">
        <v>23438</v>
      </c>
      <c r="BX34" s="81">
        <v>45723.32745370371</v>
      </c>
      <c r="BY34" s="82" t="s">
        <v>23446</v>
      </c>
      <c r="BZ34" s="15"/>
      <c r="CA34" s="15"/>
      <c r="CB34" s="15"/>
      <c r="CC34" s="15"/>
      <c r="CD34" s="80"/>
      <c r="CE34" s="80"/>
      <c r="CF34" s="80"/>
      <c r="CG34" s="80"/>
      <c r="CH34" s="15"/>
      <c r="CI34" s="15"/>
      <c r="CJ34" s="15"/>
      <c r="CK34" s="15"/>
      <c r="CL34" s="15"/>
      <c r="CM34" s="15"/>
      <c r="CN34" s="15"/>
      <c r="CO34" s="15"/>
      <c r="CP34" s="80"/>
      <c r="CQ34" s="80" t="s">
        <v>23459</v>
      </c>
      <c r="CR34" s="83"/>
      <c r="CS34" s="84"/>
    </row>
    <row r="35">
      <c r="A35" s="78" t="s">
        <v>292</v>
      </c>
      <c r="B35" s="78" t="s">
        <v>11041</v>
      </c>
      <c r="C35" s="79">
        <f>IFERROR((COUNTIFS('Base de Dados'!BT:BT,"Sim",'Base de Dados'!A:A,A35,'Base de Dados'!B:B,B35)/(COUNTIFS('Base de Dados'!BT:BT,"Sim",'Base de Dados'!A:A,A35,'Base de Dados'!B:B,B35)+(COUNTIFS('Base de Dados'!BT:BT,"Não",'Base de Dados'!A:A,A35,'Base de Dados'!B:B,B35)))),"Não Aplica")</f>
        <v>1</v>
      </c>
      <c r="D35" s="14" t="s">
        <v>23434</v>
      </c>
      <c r="E35" s="14" t="s">
        <v>23911</v>
      </c>
      <c r="F35" s="14" t="s">
        <v>23436</v>
      </c>
      <c r="G35" s="14" t="s">
        <v>23434</v>
      </c>
      <c r="H35" s="14" t="s">
        <v>23912</v>
      </c>
      <c r="I35" s="14" t="s">
        <v>22818</v>
      </c>
      <c r="J35" s="80"/>
      <c r="K35" s="14" t="s">
        <v>23438</v>
      </c>
      <c r="L35" s="81">
        <v>45687.38885416667</v>
      </c>
      <c r="M35" s="79">
        <f>IFERROR((COUNTIFS('Base de Dados'!DF:DF,"Sim",'Base de Dados'!A:A,A35,'Base de Dados'!B:B,B35)/(COUNTIFS('Base de Dados'!DF:DF,"Sim",'Base de Dados'!A:A,A35,'Base de Dados'!B:B,B35)+(COUNTIFS('Base de Dados'!DF:DF,"Não",'Base de Dados'!A:A,A35,'Base de Dados'!B:B,B35)))),"Não Aplica")</f>
        <v>1</v>
      </c>
      <c r="N35" s="14" t="s">
        <v>23434</v>
      </c>
      <c r="O35" s="14" t="s">
        <v>23439</v>
      </c>
      <c r="P35" s="14" t="s">
        <v>23913</v>
      </c>
      <c r="Q35" s="14" t="s">
        <v>23842</v>
      </c>
      <c r="R35" s="14" t="s">
        <v>23434</v>
      </c>
      <c r="S35" s="14" t="s">
        <v>23914</v>
      </c>
      <c r="T35" s="14" t="s">
        <v>23436</v>
      </c>
      <c r="U35" s="14" t="s">
        <v>23434</v>
      </c>
      <c r="V35" s="14" t="s">
        <v>23915</v>
      </c>
      <c r="W35" s="14" t="s">
        <v>22818</v>
      </c>
      <c r="X35" s="80"/>
      <c r="Y35" s="14" t="s">
        <v>23438</v>
      </c>
      <c r="Z35" s="81">
        <v>45691.61188657407</v>
      </c>
      <c r="AA35" s="79">
        <f>IFERROR((COUNTIFS('Base de Dados'!ED:ED,"Sim",'Base de Dados'!A:A,A35,'Base de Dados'!B:B,B35)/(COUNTIFS('Base de Dados'!ED:ED,"Sim",'Base de Dados'!A:A,A35,'Base de Dados'!B:B,B35)+(COUNTIFS('Base de Dados'!ED:ED,"Não",'Base de Dados'!A:A,A35,'Base de Dados'!B:B,B35)))),"Não Aplica")</f>
        <v>1</v>
      </c>
      <c r="AB35" s="14" t="s">
        <v>23434</v>
      </c>
      <c r="AC35" s="14" t="s">
        <v>23916</v>
      </c>
      <c r="AD35" s="14" t="s">
        <v>23842</v>
      </c>
      <c r="AE35" s="14" t="s">
        <v>23434</v>
      </c>
      <c r="AF35" s="14" t="s">
        <v>23917</v>
      </c>
      <c r="AG35" s="14" t="s">
        <v>22818</v>
      </c>
      <c r="AH35" s="80"/>
      <c r="AI35" s="14" t="s">
        <v>23438</v>
      </c>
      <c r="AJ35" s="81">
        <v>45692.54243055556</v>
      </c>
      <c r="AK35" s="82" t="s">
        <v>23446</v>
      </c>
      <c r="AL35" s="14" t="s">
        <v>23434</v>
      </c>
      <c r="AM35" s="14" t="s">
        <v>23439</v>
      </c>
      <c r="AN35" s="14" t="s">
        <v>23918</v>
      </c>
      <c r="AO35" s="14" t="s">
        <v>23842</v>
      </c>
      <c r="AP35" s="14" t="s">
        <v>23434</v>
      </c>
      <c r="AQ35" s="14" t="s">
        <v>23448</v>
      </c>
      <c r="AR35" s="14" t="s">
        <v>23919</v>
      </c>
      <c r="AS35" s="14" t="s">
        <v>23848</v>
      </c>
      <c r="AT35" s="14" t="s">
        <v>23434</v>
      </c>
      <c r="AU35" s="14" t="s">
        <v>23453</v>
      </c>
      <c r="AV35" s="14" t="s">
        <v>23920</v>
      </c>
      <c r="AW35" s="14" t="s">
        <v>23455</v>
      </c>
      <c r="AX35" s="14" t="s">
        <v>23434</v>
      </c>
      <c r="AY35" s="14" t="s">
        <v>23451</v>
      </c>
      <c r="AZ35" s="14" t="s">
        <v>23921</v>
      </c>
      <c r="BA35" s="14" t="s">
        <v>22818</v>
      </c>
      <c r="BB35" s="80"/>
      <c r="BC35" s="14" t="s">
        <v>23438</v>
      </c>
      <c r="BD35" s="81">
        <v>45721.72472222222</v>
      </c>
      <c r="BE35" s="79">
        <f>IFERROR((COUNTIFS('Base de Dados'!FD:FD,"Sim",'Base de Dados'!A:A,A35,'Base de Dados'!B:B,B35)/(COUNTIFS('Base de Dados'!FD:FD,"Sim",'Base de Dados'!A:A,A35,'Base de Dados'!B:B,B35)+(COUNTIFS('Base de Dados'!FD:FD,"Não",'Base de Dados'!A:A,A35,'Base de Dados'!B:B,B35)))),"Não Aplica")</f>
        <v>1</v>
      </c>
      <c r="BF35" s="14" t="s">
        <v>23434</v>
      </c>
      <c r="BG35" s="14" t="s">
        <v>23439</v>
      </c>
      <c r="BH35" s="14" t="s">
        <v>23922</v>
      </c>
      <c r="BI35" s="14" t="s">
        <v>23842</v>
      </c>
      <c r="BJ35" s="80"/>
      <c r="BK35" s="80"/>
      <c r="BL35" s="80"/>
      <c r="BM35" s="80"/>
      <c r="BN35" s="14" t="s">
        <v>23434</v>
      </c>
      <c r="BO35" s="14" t="s">
        <v>23453</v>
      </c>
      <c r="BP35" s="14" t="s">
        <v>23923</v>
      </c>
      <c r="BQ35" s="14" t="s">
        <v>23455</v>
      </c>
      <c r="BR35" s="14" t="s">
        <v>23434</v>
      </c>
      <c r="BS35" s="14" t="s">
        <v>23451</v>
      </c>
      <c r="BT35" s="14" t="s">
        <v>23924</v>
      </c>
      <c r="BU35" s="14" t="s">
        <v>22818</v>
      </c>
      <c r="BV35" s="80"/>
      <c r="BW35" s="14" t="s">
        <v>23438</v>
      </c>
      <c r="BX35" s="81">
        <v>45723.33100694444</v>
      </c>
      <c r="BY35" s="82" t="s">
        <v>23446</v>
      </c>
      <c r="BZ35" s="15"/>
      <c r="CA35" s="15"/>
      <c r="CB35" s="15"/>
      <c r="CC35" s="15"/>
      <c r="CD35" s="80"/>
      <c r="CE35" s="80"/>
      <c r="CF35" s="80"/>
      <c r="CG35" s="80"/>
      <c r="CH35" s="15"/>
      <c r="CI35" s="15"/>
      <c r="CJ35" s="15"/>
      <c r="CK35" s="15"/>
      <c r="CL35" s="15"/>
      <c r="CM35" s="15"/>
      <c r="CN35" s="15"/>
      <c r="CO35" s="15"/>
      <c r="CP35" s="80"/>
      <c r="CQ35" s="80" t="s">
        <v>23459</v>
      </c>
      <c r="CR35" s="83"/>
      <c r="CS35" s="84"/>
    </row>
    <row r="36">
      <c r="A36" s="78" t="s">
        <v>292</v>
      </c>
      <c r="B36" s="78" t="s">
        <v>1975</v>
      </c>
      <c r="C36" s="79">
        <f>IFERROR((COUNTIFS('Base de Dados'!BT:BT,"Sim",'Base de Dados'!A:A,A36,'Base de Dados'!B:B,B36)/(COUNTIFS('Base de Dados'!BT:BT,"Sim",'Base de Dados'!A:A,A36,'Base de Dados'!B:B,B36)+(COUNTIFS('Base de Dados'!BT:BT,"Não",'Base de Dados'!A:A,A36,'Base de Dados'!B:B,B36)))),"Não Aplica")</f>
        <v>1</v>
      </c>
      <c r="D36" s="14" t="s">
        <v>23434</v>
      </c>
      <c r="E36" s="14" t="s">
        <v>23925</v>
      </c>
      <c r="F36" s="14" t="s">
        <v>23436</v>
      </c>
      <c r="G36" s="14" t="s">
        <v>23434</v>
      </c>
      <c r="H36" s="14" t="s">
        <v>23926</v>
      </c>
      <c r="I36" s="14" t="s">
        <v>22818</v>
      </c>
      <c r="J36" s="80"/>
      <c r="K36" s="14" t="s">
        <v>23438</v>
      </c>
      <c r="L36" s="81">
        <v>45687.38976851852</v>
      </c>
      <c r="M36" s="79">
        <f>IFERROR((COUNTIFS('Base de Dados'!DF:DF,"Sim",'Base de Dados'!A:A,A36,'Base de Dados'!B:B,B36)/(COUNTIFS('Base de Dados'!DF:DF,"Sim",'Base de Dados'!A:A,A36,'Base de Dados'!B:B,B36)+(COUNTIFS('Base de Dados'!DF:DF,"Não",'Base de Dados'!A:A,A36,'Base de Dados'!B:B,B36)))),"Não Aplica")</f>
        <v>1</v>
      </c>
      <c r="N36" s="14" t="s">
        <v>23434</v>
      </c>
      <c r="O36" s="14" t="s">
        <v>23439</v>
      </c>
      <c r="P36" s="14" t="s">
        <v>23927</v>
      </c>
      <c r="Q36" s="14" t="s">
        <v>23842</v>
      </c>
      <c r="R36" s="14" t="s">
        <v>23434</v>
      </c>
      <c r="S36" s="14" t="s">
        <v>23928</v>
      </c>
      <c r="T36" s="14" t="s">
        <v>23436</v>
      </c>
      <c r="U36" s="14" t="s">
        <v>23434</v>
      </c>
      <c r="V36" s="14" t="s">
        <v>23929</v>
      </c>
      <c r="W36" s="14" t="s">
        <v>22818</v>
      </c>
      <c r="X36" s="80"/>
      <c r="Y36" s="14" t="s">
        <v>23438</v>
      </c>
      <c r="Z36" s="81">
        <v>45691.611909722225</v>
      </c>
      <c r="AA36" s="79">
        <f>IFERROR((COUNTIFS('Base de Dados'!ED:ED,"Sim",'Base de Dados'!A:A,A36,'Base de Dados'!B:B,B36)/(COUNTIFS('Base de Dados'!ED:ED,"Sim",'Base de Dados'!A:A,A36,'Base de Dados'!B:B,B36)+(COUNTIFS('Base de Dados'!ED:ED,"Não",'Base de Dados'!A:A,A36,'Base de Dados'!B:B,B36)))),"Não Aplica")</f>
        <v>1</v>
      </c>
      <c r="AB36" s="14" t="s">
        <v>23434</v>
      </c>
      <c r="AC36" s="14" t="s">
        <v>23930</v>
      </c>
      <c r="AD36" s="14" t="s">
        <v>23842</v>
      </c>
      <c r="AE36" s="14" t="s">
        <v>23434</v>
      </c>
      <c r="AF36" s="14" t="s">
        <v>23931</v>
      </c>
      <c r="AG36" s="14" t="s">
        <v>22818</v>
      </c>
      <c r="AH36" s="80"/>
      <c r="AI36" s="14" t="s">
        <v>23438</v>
      </c>
      <c r="AJ36" s="81">
        <v>45692.54262731481</v>
      </c>
      <c r="AK36" s="82" t="s">
        <v>23446</v>
      </c>
      <c r="AL36" s="14" t="s">
        <v>23434</v>
      </c>
      <c r="AM36" s="14" t="s">
        <v>23439</v>
      </c>
      <c r="AN36" s="14" t="s">
        <v>23932</v>
      </c>
      <c r="AO36" s="14" t="s">
        <v>23842</v>
      </c>
      <c r="AP36" s="14" t="s">
        <v>23434</v>
      </c>
      <c r="AQ36" s="14" t="s">
        <v>23448</v>
      </c>
      <c r="AR36" s="14" t="s">
        <v>23933</v>
      </c>
      <c r="AS36" s="14" t="s">
        <v>23848</v>
      </c>
      <c r="AT36" s="14" t="s">
        <v>23434</v>
      </c>
      <c r="AU36" s="14" t="s">
        <v>23453</v>
      </c>
      <c r="AV36" s="14" t="s">
        <v>23934</v>
      </c>
      <c r="AW36" s="14" t="s">
        <v>23455</v>
      </c>
      <c r="AX36" s="14" t="s">
        <v>23434</v>
      </c>
      <c r="AY36" s="14" t="s">
        <v>23451</v>
      </c>
      <c r="AZ36" s="14" t="s">
        <v>23935</v>
      </c>
      <c r="BA36" s="14" t="s">
        <v>22818</v>
      </c>
      <c r="BB36" s="80"/>
      <c r="BC36" s="14" t="s">
        <v>23438</v>
      </c>
      <c r="BD36" s="81">
        <v>45721.724756944444</v>
      </c>
      <c r="BE36" s="79">
        <f>IFERROR((COUNTIFS('Base de Dados'!FD:FD,"Sim",'Base de Dados'!A:A,A36,'Base de Dados'!B:B,B36)/(COUNTIFS('Base de Dados'!FD:FD,"Sim",'Base de Dados'!A:A,A36,'Base de Dados'!B:B,B36)+(COUNTIFS('Base de Dados'!FD:FD,"Não",'Base de Dados'!A:A,A36,'Base de Dados'!B:B,B36)))),"Não Aplica")</f>
        <v>1</v>
      </c>
      <c r="BF36" s="14" t="s">
        <v>23434</v>
      </c>
      <c r="BG36" s="14" t="s">
        <v>23439</v>
      </c>
      <c r="BH36" s="14" t="s">
        <v>23936</v>
      </c>
      <c r="BI36" s="14" t="s">
        <v>23842</v>
      </c>
      <c r="BJ36" s="80"/>
      <c r="BK36" s="80"/>
      <c r="BL36" s="80"/>
      <c r="BM36" s="80"/>
      <c r="BN36" s="14" t="s">
        <v>23434</v>
      </c>
      <c r="BO36" s="14" t="s">
        <v>23453</v>
      </c>
      <c r="BP36" s="14" t="s">
        <v>23937</v>
      </c>
      <c r="BQ36" s="14" t="s">
        <v>23455</v>
      </c>
      <c r="BR36" s="14" t="s">
        <v>23434</v>
      </c>
      <c r="BS36" s="14" t="s">
        <v>23451</v>
      </c>
      <c r="BT36" s="14" t="s">
        <v>23938</v>
      </c>
      <c r="BU36" s="14" t="s">
        <v>22818</v>
      </c>
      <c r="BV36" s="80"/>
      <c r="BW36" s="14" t="s">
        <v>23438</v>
      </c>
      <c r="BX36" s="81">
        <v>45723.33096064815</v>
      </c>
      <c r="BY36" s="82" t="s">
        <v>23446</v>
      </c>
      <c r="BZ36" s="15"/>
      <c r="CA36" s="15"/>
      <c r="CB36" s="15"/>
      <c r="CC36" s="15"/>
      <c r="CD36" s="80"/>
      <c r="CE36" s="80"/>
      <c r="CF36" s="80"/>
      <c r="CG36" s="80"/>
      <c r="CH36" s="15"/>
      <c r="CI36" s="15"/>
      <c r="CJ36" s="15"/>
      <c r="CK36" s="15"/>
      <c r="CL36" s="15"/>
      <c r="CM36" s="15"/>
      <c r="CN36" s="15"/>
      <c r="CO36" s="15"/>
      <c r="CP36" s="80"/>
      <c r="CQ36" s="80" t="s">
        <v>23459</v>
      </c>
      <c r="CR36" s="83"/>
      <c r="CS36" s="84"/>
    </row>
    <row r="37">
      <c r="A37" s="78" t="s">
        <v>292</v>
      </c>
      <c r="B37" s="78" t="s">
        <v>6546</v>
      </c>
      <c r="C37" s="79">
        <f>IFERROR((COUNTIFS('Base de Dados'!BT:BT,"Sim",'Base de Dados'!A:A,A37,'Base de Dados'!B:B,B37)/(COUNTIFS('Base de Dados'!BT:BT,"Sim",'Base de Dados'!A:A,A37,'Base de Dados'!B:B,B37)+(COUNTIFS('Base de Dados'!BT:BT,"Não",'Base de Dados'!A:A,A37,'Base de Dados'!B:B,B37)))),"Não Aplica")</f>
        <v>1</v>
      </c>
      <c r="D37" s="14" t="s">
        <v>23434</v>
      </c>
      <c r="E37" s="14" t="s">
        <v>23939</v>
      </c>
      <c r="F37" s="14" t="s">
        <v>23436</v>
      </c>
      <c r="G37" s="14" t="s">
        <v>23434</v>
      </c>
      <c r="H37" s="14" t="s">
        <v>23940</v>
      </c>
      <c r="I37" s="14" t="s">
        <v>22818</v>
      </c>
      <c r="J37" s="80"/>
      <c r="K37" s="14" t="s">
        <v>23438</v>
      </c>
      <c r="L37" s="81">
        <v>45687.3897337963</v>
      </c>
      <c r="M37" s="79">
        <f>IFERROR((COUNTIFS('Base de Dados'!DF:DF,"Sim",'Base de Dados'!A:A,A37,'Base de Dados'!B:B,B37)/(COUNTIFS('Base de Dados'!DF:DF,"Sim",'Base de Dados'!A:A,A37,'Base de Dados'!B:B,B37)+(COUNTIFS('Base de Dados'!DF:DF,"Não",'Base de Dados'!A:A,A37,'Base de Dados'!B:B,B37)))),"Não Aplica")</f>
        <v>1</v>
      </c>
      <c r="N37" s="14" t="s">
        <v>23434</v>
      </c>
      <c r="O37" s="14" t="s">
        <v>23439</v>
      </c>
      <c r="P37" s="14" t="s">
        <v>23941</v>
      </c>
      <c r="Q37" s="14" t="s">
        <v>23842</v>
      </c>
      <c r="R37" s="14" t="s">
        <v>23434</v>
      </c>
      <c r="S37" s="14" t="s">
        <v>23942</v>
      </c>
      <c r="T37" s="14" t="s">
        <v>23436</v>
      </c>
      <c r="U37" s="14" t="s">
        <v>23434</v>
      </c>
      <c r="V37" s="14" t="s">
        <v>23943</v>
      </c>
      <c r="W37" s="14" t="s">
        <v>22818</v>
      </c>
      <c r="X37" s="80"/>
      <c r="Y37" s="14" t="s">
        <v>23438</v>
      </c>
      <c r="Z37" s="81">
        <v>45691.61277777778</v>
      </c>
      <c r="AA37" s="79">
        <f>IFERROR((COUNTIFS('Base de Dados'!ED:ED,"Sim",'Base de Dados'!A:A,A37,'Base de Dados'!B:B,B37)/(COUNTIFS('Base de Dados'!ED:ED,"Sim",'Base de Dados'!A:A,A37,'Base de Dados'!B:B,B37)+(COUNTIFS('Base de Dados'!ED:ED,"Não",'Base de Dados'!A:A,A37,'Base de Dados'!B:B,B37)))),"Não Aplica")</f>
        <v>1</v>
      </c>
      <c r="AB37" s="14" t="s">
        <v>23434</v>
      </c>
      <c r="AC37" s="14" t="s">
        <v>23944</v>
      </c>
      <c r="AD37" s="14" t="s">
        <v>23842</v>
      </c>
      <c r="AE37" s="14" t="s">
        <v>23434</v>
      </c>
      <c r="AF37" s="14" t="s">
        <v>23945</v>
      </c>
      <c r="AG37" s="14" t="s">
        <v>22818</v>
      </c>
      <c r="AH37" s="80"/>
      <c r="AI37" s="14" t="s">
        <v>23438</v>
      </c>
      <c r="AJ37" s="81">
        <v>45692.5424537037</v>
      </c>
      <c r="AK37" s="82" t="s">
        <v>23446</v>
      </c>
      <c r="AL37" s="14" t="s">
        <v>23434</v>
      </c>
      <c r="AM37" s="14" t="s">
        <v>23439</v>
      </c>
      <c r="AN37" s="14" t="s">
        <v>23946</v>
      </c>
      <c r="AO37" s="14" t="s">
        <v>23842</v>
      </c>
      <c r="AP37" s="14" t="s">
        <v>23434</v>
      </c>
      <c r="AQ37" s="14" t="s">
        <v>23448</v>
      </c>
      <c r="AR37" s="14" t="s">
        <v>23947</v>
      </c>
      <c r="AS37" s="14" t="s">
        <v>23848</v>
      </c>
      <c r="AT37" s="14" t="s">
        <v>23434</v>
      </c>
      <c r="AU37" s="14" t="s">
        <v>23453</v>
      </c>
      <c r="AV37" s="14" t="s">
        <v>23948</v>
      </c>
      <c r="AW37" s="14" t="s">
        <v>23455</v>
      </c>
      <c r="AX37" s="14" t="s">
        <v>23434</v>
      </c>
      <c r="AY37" s="14" t="s">
        <v>23451</v>
      </c>
      <c r="AZ37" s="14" t="s">
        <v>23949</v>
      </c>
      <c r="BA37" s="14" t="s">
        <v>22818</v>
      </c>
      <c r="BB37" s="80"/>
      <c r="BC37" s="14" t="s">
        <v>23438</v>
      </c>
      <c r="BD37" s="81">
        <v>45724.39913194445</v>
      </c>
      <c r="BE37" s="79">
        <f>IFERROR((COUNTIFS('Base de Dados'!FD:FD,"Sim",'Base de Dados'!A:A,A37,'Base de Dados'!B:B,B37)/(COUNTIFS('Base de Dados'!FD:FD,"Sim",'Base de Dados'!A:A,A37,'Base de Dados'!B:B,B37)+(COUNTIFS('Base de Dados'!FD:FD,"Não",'Base de Dados'!A:A,A37,'Base de Dados'!B:B,B37)))),"Não Aplica")</f>
        <v>1</v>
      </c>
      <c r="BF37" s="14" t="s">
        <v>23434</v>
      </c>
      <c r="BG37" s="14" t="s">
        <v>23439</v>
      </c>
      <c r="BH37" s="14" t="s">
        <v>23950</v>
      </c>
      <c r="BI37" s="14" t="s">
        <v>23842</v>
      </c>
      <c r="BJ37" s="80"/>
      <c r="BK37" s="80"/>
      <c r="BL37" s="80"/>
      <c r="BM37" s="80"/>
      <c r="BN37" s="14" t="s">
        <v>23434</v>
      </c>
      <c r="BO37" s="14" t="s">
        <v>23453</v>
      </c>
      <c r="BP37" s="14" t="s">
        <v>23951</v>
      </c>
      <c r="BQ37" s="14" t="s">
        <v>23455</v>
      </c>
      <c r="BR37" s="14" t="s">
        <v>23434</v>
      </c>
      <c r="BS37" s="14" t="s">
        <v>23451</v>
      </c>
      <c r="BT37" s="14" t="s">
        <v>23952</v>
      </c>
      <c r="BU37" s="14" t="s">
        <v>22818</v>
      </c>
      <c r="BV37" s="80"/>
      <c r="BW37" s="14" t="s">
        <v>23438</v>
      </c>
      <c r="BX37" s="81">
        <v>45735.744166666664</v>
      </c>
      <c r="BY37" s="82" t="s">
        <v>23446</v>
      </c>
      <c r="BZ37" s="15"/>
      <c r="CA37" s="15"/>
      <c r="CB37" s="15"/>
      <c r="CC37" s="15"/>
      <c r="CD37" s="80"/>
      <c r="CE37" s="80"/>
      <c r="CF37" s="80"/>
      <c r="CG37" s="80"/>
      <c r="CH37" s="15"/>
      <c r="CI37" s="15"/>
      <c r="CJ37" s="15"/>
      <c r="CK37" s="15"/>
      <c r="CL37" s="15"/>
      <c r="CM37" s="15"/>
      <c r="CN37" s="15"/>
      <c r="CO37" s="15"/>
      <c r="CP37" s="80"/>
      <c r="CQ37" s="80" t="s">
        <v>23459</v>
      </c>
      <c r="CR37" s="83"/>
      <c r="CS37" s="84"/>
    </row>
    <row r="38">
      <c r="A38" s="78" t="s">
        <v>292</v>
      </c>
      <c r="B38" s="78" t="s">
        <v>22639</v>
      </c>
      <c r="C38" s="79">
        <f>IFERROR((COUNTIFS('Base de Dados'!BT:BT,"Sim",'Base de Dados'!A:A,A38,'Base de Dados'!B:B,B38)/(COUNTIFS('Base de Dados'!BT:BT,"Sim",'Base de Dados'!A:A,A38,'Base de Dados'!B:B,B38)+(COUNTIFS('Base de Dados'!BT:BT,"Não",'Base de Dados'!A:A,A38,'Base de Dados'!B:B,B38)))),"Não Aplica")</f>
        <v>1</v>
      </c>
      <c r="D38" s="14" t="s">
        <v>23434</v>
      </c>
      <c r="E38" s="14" t="s">
        <v>23953</v>
      </c>
      <c r="F38" s="14" t="s">
        <v>23436</v>
      </c>
      <c r="G38" s="14" t="s">
        <v>23434</v>
      </c>
      <c r="H38" s="14" t="s">
        <v>23954</v>
      </c>
      <c r="I38" s="14" t="s">
        <v>22818</v>
      </c>
      <c r="J38" s="80"/>
      <c r="K38" s="14" t="s">
        <v>23438</v>
      </c>
      <c r="L38" s="81">
        <v>45691.60900462963</v>
      </c>
      <c r="M38" s="79">
        <f>IFERROR((COUNTIFS('Base de Dados'!DF:DF,"Sim",'Base de Dados'!A:A,A38,'Base de Dados'!B:B,B38)/(COUNTIFS('Base de Dados'!DF:DF,"Sim",'Base de Dados'!A:A,A38,'Base de Dados'!B:B,B38)+(COUNTIFS('Base de Dados'!DF:DF,"Não",'Base de Dados'!A:A,A38,'Base de Dados'!B:B,B38)))),"Não Aplica")</f>
        <v>1</v>
      </c>
      <c r="N38" s="14" t="s">
        <v>23434</v>
      </c>
      <c r="O38" s="14" t="s">
        <v>23439</v>
      </c>
      <c r="P38" s="14" t="s">
        <v>23955</v>
      </c>
      <c r="Q38" s="14" t="s">
        <v>23842</v>
      </c>
      <c r="R38" s="14" t="s">
        <v>23434</v>
      </c>
      <c r="S38" s="14" t="s">
        <v>23956</v>
      </c>
      <c r="T38" s="14" t="s">
        <v>23436</v>
      </c>
      <c r="U38" s="14" t="s">
        <v>23434</v>
      </c>
      <c r="V38" s="14" t="s">
        <v>23957</v>
      </c>
      <c r="W38" s="14" t="s">
        <v>22818</v>
      </c>
      <c r="X38" s="80"/>
      <c r="Y38" s="14" t="s">
        <v>23438</v>
      </c>
      <c r="Z38" s="81">
        <v>45692.53518518519</v>
      </c>
      <c r="AA38" s="79">
        <f>IFERROR((COUNTIFS('Base de Dados'!ED:ED,"Sim",'Base de Dados'!A:A,A38,'Base de Dados'!B:B,B38)/(COUNTIFS('Base de Dados'!ED:ED,"Sim",'Base de Dados'!A:A,A38,'Base de Dados'!B:B,B38)+(COUNTIFS('Base de Dados'!ED:ED,"Não",'Base de Dados'!A:A,A38,'Base de Dados'!B:B,B38)))),"Não Aplica")</f>
        <v>1</v>
      </c>
      <c r="AB38" s="14" t="s">
        <v>23434</v>
      </c>
      <c r="AC38" s="14" t="s">
        <v>23958</v>
      </c>
      <c r="AD38" s="14" t="s">
        <v>23842</v>
      </c>
      <c r="AE38" s="14" t="s">
        <v>23434</v>
      </c>
      <c r="AF38" s="14" t="s">
        <v>23959</v>
      </c>
      <c r="AG38" s="14" t="s">
        <v>22818</v>
      </c>
      <c r="AH38" s="80"/>
      <c r="AI38" s="14" t="s">
        <v>23438</v>
      </c>
      <c r="AJ38" s="81">
        <v>45693.44881944444</v>
      </c>
      <c r="AK38" s="82" t="s">
        <v>23446</v>
      </c>
      <c r="AL38" s="14" t="s">
        <v>23434</v>
      </c>
      <c r="AM38" s="14" t="s">
        <v>23448</v>
      </c>
      <c r="AN38" s="14" t="s">
        <v>23960</v>
      </c>
      <c r="AO38" s="14" t="s">
        <v>23848</v>
      </c>
      <c r="AP38" s="14" t="s">
        <v>23434</v>
      </c>
      <c r="AQ38" s="14" t="s">
        <v>23439</v>
      </c>
      <c r="AR38" s="14" t="s">
        <v>23961</v>
      </c>
      <c r="AS38" s="14" t="s">
        <v>23842</v>
      </c>
      <c r="AT38" s="14" t="s">
        <v>23434</v>
      </c>
      <c r="AU38" s="14" t="s">
        <v>23453</v>
      </c>
      <c r="AV38" s="14" t="s">
        <v>23962</v>
      </c>
      <c r="AW38" s="14" t="s">
        <v>23455</v>
      </c>
      <c r="AX38" s="14" t="s">
        <v>23434</v>
      </c>
      <c r="AY38" s="14" t="s">
        <v>23451</v>
      </c>
      <c r="AZ38" s="14" t="s">
        <v>23963</v>
      </c>
      <c r="BA38" s="14" t="s">
        <v>22818</v>
      </c>
      <c r="BB38" s="80"/>
      <c r="BC38" s="14" t="s">
        <v>23438</v>
      </c>
      <c r="BD38" s="81">
        <v>45721.724803240744</v>
      </c>
      <c r="BE38" s="79" t="str">
        <f>IFERROR((COUNTIFS('Base de Dados'!FD:FD,"Sim",'Base de Dados'!A:A,A38,'Base de Dados'!B:B,B38)/(COUNTIFS('Base de Dados'!FD:FD,"Sim",'Base de Dados'!A:A,A38,'Base de Dados'!B:B,B38)+(COUNTIFS('Base de Dados'!FD:FD,"Não",'Base de Dados'!A:A,A38,'Base de Dados'!B:B,B38)))),"Não Aplica")</f>
        <v>Não Aplica</v>
      </c>
      <c r="BF38" s="14" t="s">
        <v>228</v>
      </c>
      <c r="BG38" s="14" t="s">
        <v>23439</v>
      </c>
      <c r="BH38" s="14" t="s">
        <v>23964</v>
      </c>
      <c r="BI38" s="14" t="s">
        <v>23842</v>
      </c>
      <c r="BJ38" s="80"/>
      <c r="BK38" s="80"/>
      <c r="BL38" s="80"/>
      <c r="BM38" s="80"/>
      <c r="BN38" s="14" t="s">
        <v>228</v>
      </c>
      <c r="BO38" s="14" t="s">
        <v>23453</v>
      </c>
      <c r="BP38" s="14" t="s">
        <v>23965</v>
      </c>
      <c r="BQ38" s="14" t="s">
        <v>23455</v>
      </c>
      <c r="BR38" s="14" t="s">
        <v>228</v>
      </c>
      <c r="BS38" s="15"/>
      <c r="BT38" s="14" t="s">
        <v>23966</v>
      </c>
      <c r="BU38" s="14" t="s">
        <v>22818</v>
      </c>
      <c r="BV38" s="80"/>
      <c r="BW38" s="14" t="s">
        <v>23438</v>
      </c>
      <c r="BX38" s="81">
        <v>45723.61020833333</v>
      </c>
      <c r="BY38" s="82" t="s">
        <v>23446</v>
      </c>
      <c r="BZ38" s="15"/>
      <c r="CA38" s="15"/>
      <c r="CB38" s="15"/>
      <c r="CC38" s="15"/>
      <c r="CD38" s="80"/>
      <c r="CE38" s="80"/>
      <c r="CF38" s="80"/>
      <c r="CG38" s="80"/>
      <c r="CH38" s="15"/>
      <c r="CI38" s="15"/>
      <c r="CJ38" s="15"/>
      <c r="CK38" s="15"/>
      <c r="CL38" s="15"/>
      <c r="CM38" s="15"/>
      <c r="CN38" s="15"/>
      <c r="CO38" s="15"/>
      <c r="CP38" s="80"/>
      <c r="CQ38" s="80" t="s">
        <v>23459</v>
      </c>
      <c r="CR38" s="83"/>
      <c r="CS38" s="84"/>
    </row>
    <row r="39">
      <c r="A39" s="78" t="s">
        <v>292</v>
      </c>
      <c r="B39" s="78" t="s">
        <v>1777</v>
      </c>
      <c r="C39" s="79">
        <f>IFERROR((COUNTIFS('Base de Dados'!BT:BT,"Sim",'Base de Dados'!A:A,A39,'Base de Dados'!B:B,B39)/(COUNTIFS('Base de Dados'!BT:BT,"Sim",'Base de Dados'!A:A,A39,'Base de Dados'!B:B,B39)+(COUNTIFS('Base de Dados'!BT:BT,"Não",'Base de Dados'!A:A,A39,'Base de Dados'!B:B,B39)))),"Não Aplica")</f>
        <v>1</v>
      </c>
      <c r="D39" s="14" t="s">
        <v>23434</v>
      </c>
      <c r="E39" s="14" t="s">
        <v>23967</v>
      </c>
      <c r="F39" s="14" t="s">
        <v>23436</v>
      </c>
      <c r="G39" s="14" t="s">
        <v>23434</v>
      </c>
      <c r="H39" s="14" t="s">
        <v>23968</v>
      </c>
      <c r="I39" s="14" t="s">
        <v>22818</v>
      </c>
      <c r="J39" s="80"/>
      <c r="K39" s="14" t="s">
        <v>23438</v>
      </c>
      <c r="L39" s="81">
        <v>45687.38936342593</v>
      </c>
      <c r="M39" s="79">
        <f>IFERROR((COUNTIFS('Base de Dados'!DF:DF,"Sim",'Base de Dados'!A:A,A39,'Base de Dados'!B:B,B39)/(COUNTIFS('Base de Dados'!DF:DF,"Sim",'Base de Dados'!A:A,A39,'Base de Dados'!B:B,B39)+(COUNTIFS('Base de Dados'!DF:DF,"Não",'Base de Dados'!A:A,A39,'Base de Dados'!B:B,B39)))),"Não Aplica")</f>
        <v>1</v>
      </c>
      <c r="N39" s="14" t="s">
        <v>23434</v>
      </c>
      <c r="O39" s="14" t="s">
        <v>23439</v>
      </c>
      <c r="P39" s="14" t="s">
        <v>23969</v>
      </c>
      <c r="Q39" s="14" t="s">
        <v>23842</v>
      </c>
      <c r="R39" s="14" t="s">
        <v>23434</v>
      </c>
      <c r="S39" s="14" t="s">
        <v>23970</v>
      </c>
      <c r="T39" s="14" t="s">
        <v>23436</v>
      </c>
      <c r="U39" s="14" t="s">
        <v>23434</v>
      </c>
      <c r="V39" s="14" t="s">
        <v>23971</v>
      </c>
      <c r="W39" s="14" t="s">
        <v>22818</v>
      </c>
      <c r="X39" s="80"/>
      <c r="Y39" s="14" t="s">
        <v>23438</v>
      </c>
      <c r="Z39" s="81">
        <v>45691.61194444444</v>
      </c>
      <c r="AA39" s="79">
        <f>IFERROR((COUNTIFS('Base de Dados'!ED:ED,"Sim",'Base de Dados'!A:A,A39,'Base de Dados'!B:B,B39)/(COUNTIFS('Base de Dados'!ED:ED,"Sim",'Base de Dados'!A:A,A39,'Base de Dados'!B:B,B39)+(COUNTIFS('Base de Dados'!ED:ED,"Não",'Base de Dados'!A:A,A39,'Base de Dados'!B:B,B39)))),"Não Aplica")</f>
        <v>1</v>
      </c>
      <c r="AB39" s="14" t="s">
        <v>23434</v>
      </c>
      <c r="AC39" s="14" t="s">
        <v>23972</v>
      </c>
      <c r="AD39" s="14" t="s">
        <v>23842</v>
      </c>
      <c r="AE39" s="14" t="s">
        <v>23434</v>
      </c>
      <c r="AF39" s="14" t="s">
        <v>23973</v>
      </c>
      <c r="AG39" s="14" t="s">
        <v>22818</v>
      </c>
      <c r="AH39" s="80"/>
      <c r="AI39" s="14" t="s">
        <v>23438</v>
      </c>
      <c r="AJ39" s="81">
        <v>45692.54247685185</v>
      </c>
      <c r="AK39" s="82" t="s">
        <v>23446</v>
      </c>
      <c r="AL39" s="14" t="s">
        <v>23434</v>
      </c>
      <c r="AM39" s="14" t="s">
        <v>23448</v>
      </c>
      <c r="AN39" s="14" t="s">
        <v>23974</v>
      </c>
      <c r="AO39" s="14" t="s">
        <v>23848</v>
      </c>
      <c r="AP39" s="14" t="s">
        <v>23434</v>
      </c>
      <c r="AQ39" s="14" t="s">
        <v>23439</v>
      </c>
      <c r="AR39" s="14" t="s">
        <v>23975</v>
      </c>
      <c r="AS39" s="14" t="s">
        <v>23842</v>
      </c>
      <c r="AT39" s="14" t="s">
        <v>23434</v>
      </c>
      <c r="AU39" s="14" t="s">
        <v>23453</v>
      </c>
      <c r="AV39" s="14" t="s">
        <v>23976</v>
      </c>
      <c r="AW39" s="14" t="s">
        <v>23455</v>
      </c>
      <c r="AX39" s="14" t="s">
        <v>23434</v>
      </c>
      <c r="AY39" s="14" t="s">
        <v>23451</v>
      </c>
      <c r="AZ39" s="14" t="s">
        <v>23977</v>
      </c>
      <c r="BA39" s="14" t="s">
        <v>22818</v>
      </c>
      <c r="BB39" s="80"/>
      <c r="BC39" s="14" t="s">
        <v>23438</v>
      </c>
      <c r="BD39" s="81">
        <v>45723.29761574074</v>
      </c>
      <c r="BE39" s="79">
        <f>IFERROR((COUNTIFS('Base de Dados'!FD:FD,"Sim",'Base de Dados'!A:A,A39,'Base de Dados'!B:B,B39)/(COUNTIFS('Base de Dados'!FD:FD,"Sim",'Base de Dados'!A:A,A39,'Base de Dados'!B:B,B39)+(COUNTIFS('Base de Dados'!FD:FD,"Não",'Base de Dados'!A:A,A39,'Base de Dados'!B:B,B39)))),"Não Aplica")</f>
        <v>1</v>
      </c>
      <c r="BF39" s="14" t="s">
        <v>23434</v>
      </c>
      <c r="BG39" s="14" t="s">
        <v>23439</v>
      </c>
      <c r="BH39" s="14" t="s">
        <v>23978</v>
      </c>
      <c r="BI39" s="14" t="s">
        <v>23842</v>
      </c>
      <c r="BJ39" s="80"/>
      <c r="BK39" s="80"/>
      <c r="BL39" s="80"/>
      <c r="BM39" s="80"/>
      <c r="BN39" s="14" t="s">
        <v>23434</v>
      </c>
      <c r="BO39" s="14" t="s">
        <v>23453</v>
      </c>
      <c r="BP39" s="14" t="s">
        <v>23979</v>
      </c>
      <c r="BQ39" s="14" t="s">
        <v>23455</v>
      </c>
      <c r="BR39" s="14" t="s">
        <v>23434</v>
      </c>
      <c r="BS39" s="14" t="s">
        <v>23451</v>
      </c>
      <c r="BT39" s="14" t="s">
        <v>23980</v>
      </c>
      <c r="BU39" s="14" t="s">
        <v>22818</v>
      </c>
      <c r="BV39" s="80"/>
      <c r="BW39" s="14" t="s">
        <v>23438</v>
      </c>
      <c r="BX39" s="81">
        <v>45723.32748842592</v>
      </c>
      <c r="BY39" s="82" t="s">
        <v>23446</v>
      </c>
      <c r="BZ39" s="15"/>
      <c r="CA39" s="15"/>
      <c r="CB39" s="15"/>
      <c r="CC39" s="15"/>
      <c r="CD39" s="80"/>
      <c r="CE39" s="80"/>
      <c r="CF39" s="80"/>
      <c r="CG39" s="80"/>
      <c r="CH39" s="15"/>
      <c r="CI39" s="15"/>
      <c r="CJ39" s="15"/>
      <c r="CK39" s="15"/>
      <c r="CL39" s="15"/>
      <c r="CM39" s="15"/>
      <c r="CN39" s="15"/>
      <c r="CO39" s="15"/>
      <c r="CP39" s="80"/>
      <c r="CQ39" s="80" t="s">
        <v>23459</v>
      </c>
      <c r="CR39" s="83"/>
      <c r="CS39" s="84"/>
    </row>
    <row r="40">
      <c r="A40" s="78" t="s">
        <v>292</v>
      </c>
      <c r="B40" s="78" t="s">
        <v>23294</v>
      </c>
      <c r="C40" s="79" t="str">
        <f>IFERROR((COUNTIFS('Base de Dados'!BT:BT,"Sim",'Base de Dados'!A:A,A40,'Base de Dados'!B:B,B40)/(COUNTIFS('Base de Dados'!BT:BT,"Sim",'Base de Dados'!A:A,A40,'Base de Dados'!B:B,B40)+(COUNTIFS('Base de Dados'!BT:BT,"Não",'Base de Dados'!A:A,A40,'Base de Dados'!B:B,B40)))),"Não Aplica")</f>
        <v>Não Aplica</v>
      </c>
      <c r="D40" s="14" t="s">
        <v>23434</v>
      </c>
      <c r="E40" s="14" t="s">
        <v>23981</v>
      </c>
      <c r="F40" s="14" t="s">
        <v>23436</v>
      </c>
      <c r="G40" s="14" t="s">
        <v>23434</v>
      </c>
      <c r="H40" s="14" t="s">
        <v>23982</v>
      </c>
      <c r="I40" s="14" t="s">
        <v>22818</v>
      </c>
      <c r="J40" s="80"/>
      <c r="K40" s="14" t="s">
        <v>23438</v>
      </c>
      <c r="L40" s="81">
        <v>45688.508055555554</v>
      </c>
      <c r="M40" s="79" t="str">
        <f>IFERROR((COUNTIFS('Base de Dados'!DF:DF,"Sim",'Base de Dados'!A:A,A40,'Base de Dados'!B:B,B40)/(COUNTIFS('Base de Dados'!DF:DF,"Sim",'Base de Dados'!A:A,A40,'Base de Dados'!B:B,B40)+(COUNTIFS('Base de Dados'!DF:DF,"Não",'Base de Dados'!A:A,A40,'Base de Dados'!B:B,B40)))),"Não Aplica")</f>
        <v>Não Aplica</v>
      </c>
      <c r="N40" s="14" t="s">
        <v>23434</v>
      </c>
      <c r="O40" s="14" t="s">
        <v>23439</v>
      </c>
      <c r="P40" s="14" t="s">
        <v>23983</v>
      </c>
      <c r="Q40" s="14" t="s">
        <v>23842</v>
      </c>
      <c r="R40" s="14" t="s">
        <v>23434</v>
      </c>
      <c r="S40" s="14" t="s">
        <v>23984</v>
      </c>
      <c r="T40" s="14" t="s">
        <v>23436</v>
      </c>
      <c r="U40" s="14" t="s">
        <v>23434</v>
      </c>
      <c r="V40" s="14" t="s">
        <v>23985</v>
      </c>
      <c r="W40" s="14" t="s">
        <v>22818</v>
      </c>
      <c r="X40" s="80"/>
      <c r="Y40" s="14" t="s">
        <v>23438</v>
      </c>
      <c r="Z40" s="81">
        <v>45691.611979166664</v>
      </c>
      <c r="AA40" s="79" t="str">
        <f>IFERROR((COUNTIFS('Base de Dados'!ED:ED,"Sim",'Base de Dados'!A:A,A40,'Base de Dados'!B:B,B40)/(COUNTIFS('Base de Dados'!ED:ED,"Sim",'Base de Dados'!A:A,A40,'Base de Dados'!B:B,B40)+(COUNTIFS('Base de Dados'!ED:ED,"Não",'Base de Dados'!A:A,A40,'Base de Dados'!B:B,B40)))),"Não Aplica")</f>
        <v>Não Aplica</v>
      </c>
      <c r="AB40" s="14" t="s">
        <v>23434</v>
      </c>
      <c r="AC40" s="14" t="s">
        <v>23986</v>
      </c>
      <c r="AD40" s="14" t="s">
        <v>23842</v>
      </c>
      <c r="AE40" s="14" t="s">
        <v>23434</v>
      </c>
      <c r="AF40" s="14" t="s">
        <v>23987</v>
      </c>
      <c r="AG40" s="14" t="s">
        <v>22818</v>
      </c>
      <c r="AH40" s="80"/>
      <c r="AI40" s="14" t="s">
        <v>23438</v>
      </c>
      <c r="AJ40" s="81">
        <v>45692.542546296296</v>
      </c>
      <c r="AK40" s="82" t="s">
        <v>23446</v>
      </c>
      <c r="AL40" s="14" t="s">
        <v>23434</v>
      </c>
      <c r="AM40" s="14" t="s">
        <v>23439</v>
      </c>
      <c r="AN40" s="14" t="s">
        <v>23988</v>
      </c>
      <c r="AO40" s="14" t="s">
        <v>23842</v>
      </c>
      <c r="AP40" s="14" t="s">
        <v>23434</v>
      </c>
      <c r="AQ40" s="14" t="s">
        <v>23448</v>
      </c>
      <c r="AR40" s="14" t="s">
        <v>23989</v>
      </c>
      <c r="AS40" s="14" t="s">
        <v>23848</v>
      </c>
      <c r="AT40" s="14" t="s">
        <v>23434</v>
      </c>
      <c r="AU40" s="14" t="s">
        <v>23453</v>
      </c>
      <c r="AV40" s="14" t="s">
        <v>23990</v>
      </c>
      <c r="AW40" s="14" t="s">
        <v>23455</v>
      </c>
      <c r="AX40" s="14" t="s">
        <v>23434</v>
      </c>
      <c r="AY40" s="14" t="s">
        <v>23451</v>
      </c>
      <c r="AZ40" s="14" t="s">
        <v>23991</v>
      </c>
      <c r="BA40" s="14" t="s">
        <v>22818</v>
      </c>
      <c r="BB40" s="80"/>
      <c r="BC40" s="14" t="s">
        <v>23438</v>
      </c>
      <c r="BD40" s="81">
        <v>45722.48657407407</v>
      </c>
      <c r="BE40" s="79" t="str">
        <f>IFERROR((COUNTIFS('Base de Dados'!FD:FD,"Sim",'Base de Dados'!A:A,A40,'Base de Dados'!B:B,B40)/(COUNTIFS('Base de Dados'!FD:FD,"Sim",'Base de Dados'!A:A,A40,'Base de Dados'!B:B,B40)+(COUNTIFS('Base de Dados'!FD:FD,"Não",'Base de Dados'!A:A,A40,'Base de Dados'!B:B,B40)))),"Não Aplica")</f>
        <v>Não Aplica</v>
      </c>
      <c r="BF40" s="14" t="s">
        <v>228</v>
      </c>
      <c r="BG40" s="14" t="s">
        <v>23439</v>
      </c>
      <c r="BH40" s="14" t="s">
        <v>23992</v>
      </c>
      <c r="BI40" s="14" t="s">
        <v>23842</v>
      </c>
      <c r="BJ40" s="80"/>
      <c r="BK40" s="80"/>
      <c r="BL40" s="80"/>
      <c r="BM40" s="80"/>
      <c r="BN40" s="14" t="s">
        <v>228</v>
      </c>
      <c r="BO40" s="14" t="s">
        <v>23453</v>
      </c>
      <c r="BP40" s="14" t="s">
        <v>23993</v>
      </c>
      <c r="BQ40" s="14" t="s">
        <v>23455</v>
      </c>
      <c r="BR40" s="14" t="s">
        <v>228</v>
      </c>
      <c r="BS40" s="15"/>
      <c r="BT40" s="14" t="s">
        <v>23994</v>
      </c>
      <c r="BU40" s="14" t="s">
        <v>22818</v>
      </c>
      <c r="BV40" s="80"/>
      <c r="BW40" s="14" t="s">
        <v>23438</v>
      </c>
      <c r="BX40" s="81">
        <v>45723.610243055555</v>
      </c>
      <c r="BY40" s="82" t="s">
        <v>23446</v>
      </c>
      <c r="BZ40" s="15"/>
      <c r="CA40" s="15"/>
      <c r="CB40" s="15"/>
      <c r="CC40" s="15"/>
      <c r="CD40" s="80"/>
      <c r="CE40" s="80"/>
      <c r="CF40" s="80"/>
      <c r="CG40" s="80"/>
      <c r="CH40" s="15"/>
      <c r="CI40" s="15"/>
      <c r="CJ40" s="15"/>
      <c r="CK40" s="15"/>
      <c r="CL40" s="15"/>
      <c r="CM40" s="15"/>
      <c r="CN40" s="15"/>
      <c r="CO40" s="15"/>
      <c r="CP40" s="80"/>
      <c r="CQ40" s="80" t="s">
        <v>23459</v>
      </c>
      <c r="CR40" s="83"/>
      <c r="CS40" s="84"/>
    </row>
    <row r="41">
      <c r="A41" s="78" t="s">
        <v>292</v>
      </c>
      <c r="B41" s="78" t="s">
        <v>1942</v>
      </c>
      <c r="C41" s="79">
        <f>IFERROR((COUNTIFS('Base de Dados'!BT:BT,"Sim",'Base de Dados'!A:A,A41,'Base de Dados'!B:B,B41)/(COUNTIFS('Base de Dados'!BT:BT,"Sim",'Base de Dados'!A:A,A41,'Base de Dados'!B:B,B41)+(COUNTIFS('Base de Dados'!BT:BT,"Não",'Base de Dados'!A:A,A41,'Base de Dados'!B:B,B41)))),"Não Aplica")</f>
        <v>1</v>
      </c>
      <c r="D41" s="14" t="s">
        <v>23434</v>
      </c>
      <c r="E41" s="14" t="s">
        <v>23995</v>
      </c>
      <c r="F41" s="14" t="s">
        <v>23436</v>
      </c>
      <c r="G41" s="14" t="s">
        <v>23434</v>
      </c>
      <c r="H41" s="14" t="s">
        <v>23996</v>
      </c>
      <c r="I41" s="14" t="s">
        <v>22818</v>
      </c>
      <c r="J41" s="80"/>
      <c r="K41" s="14" t="s">
        <v>23438</v>
      </c>
      <c r="L41" s="81">
        <v>45689.40332175926</v>
      </c>
      <c r="M41" s="79">
        <f>IFERROR((COUNTIFS('Base de Dados'!DF:DF,"Sim",'Base de Dados'!A:A,A41,'Base de Dados'!B:B,B41)/(COUNTIFS('Base de Dados'!DF:DF,"Sim",'Base de Dados'!A:A,A41,'Base de Dados'!B:B,B41)+(COUNTIFS('Base de Dados'!DF:DF,"Não",'Base de Dados'!A:A,A41,'Base de Dados'!B:B,B41)))),"Não Aplica")</f>
        <v>1</v>
      </c>
      <c r="N41" s="14" t="s">
        <v>23434</v>
      </c>
      <c r="O41" s="14" t="s">
        <v>23439</v>
      </c>
      <c r="P41" s="14" t="s">
        <v>23997</v>
      </c>
      <c r="Q41" s="14" t="s">
        <v>23842</v>
      </c>
      <c r="R41" s="14" t="s">
        <v>23434</v>
      </c>
      <c r="S41" s="14" t="s">
        <v>23998</v>
      </c>
      <c r="T41" s="14" t="s">
        <v>23436</v>
      </c>
      <c r="U41" s="14" t="s">
        <v>23434</v>
      </c>
      <c r="V41" s="14" t="s">
        <v>23999</v>
      </c>
      <c r="W41" s="14" t="s">
        <v>22818</v>
      </c>
      <c r="X41" s="80"/>
      <c r="Y41" s="14" t="s">
        <v>23438</v>
      </c>
      <c r="Z41" s="81">
        <v>45691.61200231482</v>
      </c>
      <c r="AA41" s="79">
        <f>IFERROR((COUNTIFS('Base de Dados'!ED:ED,"Sim",'Base de Dados'!A:A,A41,'Base de Dados'!B:B,B41)/(COUNTIFS('Base de Dados'!ED:ED,"Sim",'Base de Dados'!A:A,A41,'Base de Dados'!B:B,B41)+(COUNTIFS('Base de Dados'!ED:ED,"Não",'Base de Dados'!A:A,A41,'Base de Dados'!B:B,B41)))),"Não Aplica")</f>
        <v>1</v>
      </c>
      <c r="AB41" s="14" t="s">
        <v>23434</v>
      </c>
      <c r="AC41" s="14" t="s">
        <v>24000</v>
      </c>
      <c r="AD41" s="14" t="s">
        <v>23842</v>
      </c>
      <c r="AE41" s="14" t="s">
        <v>23434</v>
      </c>
      <c r="AF41" s="14" t="s">
        <v>24001</v>
      </c>
      <c r="AG41" s="14" t="s">
        <v>22818</v>
      </c>
      <c r="AH41" s="80"/>
      <c r="AI41" s="14" t="s">
        <v>23438</v>
      </c>
      <c r="AJ41" s="81">
        <v>45692.5425</v>
      </c>
      <c r="AK41" s="82" t="s">
        <v>23446</v>
      </c>
      <c r="AL41" s="14" t="s">
        <v>23434</v>
      </c>
      <c r="AM41" s="14" t="s">
        <v>23448</v>
      </c>
      <c r="AN41" s="14" t="s">
        <v>24002</v>
      </c>
      <c r="AO41" s="14" t="s">
        <v>23848</v>
      </c>
      <c r="AP41" s="14" t="s">
        <v>23434</v>
      </c>
      <c r="AQ41" s="14" t="s">
        <v>23439</v>
      </c>
      <c r="AR41" s="14" t="s">
        <v>24003</v>
      </c>
      <c r="AS41" s="14" t="s">
        <v>23842</v>
      </c>
      <c r="AT41" s="14" t="s">
        <v>23434</v>
      </c>
      <c r="AU41" s="14" t="s">
        <v>23453</v>
      </c>
      <c r="AV41" s="14" t="s">
        <v>24004</v>
      </c>
      <c r="AW41" s="14" t="s">
        <v>23455</v>
      </c>
      <c r="AX41" s="14" t="s">
        <v>23434</v>
      </c>
      <c r="AY41" s="14" t="s">
        <v>23451</v>
      </c>
      <c r="AZ41" s="14" t="s">
        <v>24005</v>
      </c>
      <c r="BA41" s="14" t="s">
        <v>22818</v>
      </c>
      <c r="BB41" s="80"/>
      <c r="BC41" s="14" t="s">
        <v>23438</v>
      </c>
      <c r="BD41" s="81">
        <v>45723.29765046296</v>
      </c>
      <c r="BE41" s="79">
        <f>IFERROR((COUNTIFS('Base de Dados'!FD:FD,"Sim",'Base de Dados'!A:A,A41,'Base de Dados'!B:B,B41)/(COUNTIFS('Base de Dados'!FD:FD,"Sim",'Base de Dados'!A:A,A41,'Base de Dados'!B:B,B41)+(COUNTIFS('Base de Dados'!FD:FD,"Não",'Base de Dados'!A:A,A41,'Base de Dados'!B:B,B41)))),"Não Aplica")</f>
        <v>1</v>
      </c>
      <c r="BF41" s="14" t="s">
        <v>23434</v>
      </c>
      <c r="BG41" s="14" t="s">
        <v>23439</v>
      </c>
      <c r="BH41" s="14" t="s">
        <v>24006</v>
      </c>
      <c r="BI41" s="14" t="s">
        <v>23842</v>
      </c>
      <c r="BJ41" s="80"/>
      <c r="BK41" s="80"/>
      <c r="BL41" s="80"/>
      <c r="BM41" s="80"/>
      <c r="BN41" s="14" t="s">
        <v>23434</v>
      </c>
      <c r="BO41" s="14" t="s">
        <v>23453</v>
      </c>
      <c r="BP41" s="14" t="s">
        <v>24007</v>
      </c>
      <c r="BQ41" s="14" t="s">
        <v>23455</v>
      </c>
      <c r="BR41" s="14" t="s">
        <v>23434</v>
      </c>
      <c r="BS41" s="14" t="s">
        <v>23451</v>
      </c>
      <c r="BT41" s="14" t="s">
        <v>24008</v>
      </c>
      <c r="BU41" s="14" t="s">
        <v>22818</v>
      </c>
      <c r="BV41" s="80"/>
      <c r="BW41" s="14" t="s">
        <v>23438</v>
      </c>
      <c r="BX41" s="81">
        <v>45723.330509259256</v>
      </c>
      <c r="BY41" s="82" t="s">
        <v>23446</v>
      </c>
      <c r="BZ41" s="15"/>
      <c r="CA41" s="15"/>
      <c r="CB41" s="15"/>
      <c r="CC41" s="15"/>
      <c r="CD41" s="80"/>
      <c r="CE41" s="80"/>
      <c r="CF41" s="80"/>
      <c r="CG41" s="80"/>
      <c r="CH41" s="15"/>
      <c r="CI41" s="15"/>
      <c r="CJ41" s="15"/>
      <c r="CK41" s="15"/>
      <c r="CL41" s="15"/>
      <c r="CM41" s="15"/>
      <c r="CN41" s="15"/>
      <c r="CO41" s="15"/>
      <c r="CP41" s="80"/>
      <c r="CQ41" s="80" t="s">
        <v>23459</v>
      </c>
      <c r="CR41" s="83"/>
      <c r="CS41" s="84"/>
    </row>
    <row r="42">
      <c r="A42" s="78" t="s">
        <v>292</v>
      </c>
      <c r="B42" s="78" t="s">
        <v>391</v>
      </c>
      <c r="C42" s="79">
        <f>IFERROR((COUNTIFS('Base de Dados'!BT:BT,"Sim",'Base de Dados'!A:A,A42,'Base de Dados'!B:B,B42)/(COUNTIFS('Base de Dados'!BT:BT,"Sim",'Base de Dados'!A:A,A42,'Base de Dados'!B:B,B42)+(COUNTIFS('Base de Dados'!BT:BT,"Não",'Base de Dados'!A:A,A42,'Base de Dados'!B:B,B42)))),"Não Aplica")</f>
        <v>1</v>
      </c>
      <c r="D42" s="14" t="s">
        <v>23434</v>
      </c>
      <c r="E42" s="14" t="s">
        <v>24009</v>
      </c>
      <c r="F42" s="14" t="s">
        <v>23436</v>
      </c>
      <c r="G42" s="14" t="s">
        <v>23434</v>
      </c>
      <c r="H42" s="14" t="s">
        <v>24010</v>
      </c>
      <c r="I42" s="14" t="s">
        <v>22818</v>
      </c>
      <c r="J42" s="80"/>
      <c r="K42" s="14" t="s">
        <v>23438</v>
      </c>
      <c r="L42" s="81">
        <v>45687.660578703704</v>
      </c>
      <c r="M42" s="79">
        <f>IFERROR((COUNTIFS('Base de Dados'!DF:DF,"Sim",'Base de Dados'!A:A,A42,'Base de Dados'!B:B,B42)/(COUNTIFS('Base de Dados'!DF:DF,"Sim",'Base de Dados'!A:A,A42,'Base de Dados'!B:B,B42)+(COUNTIFS('Base de Dados'!DF:DF,"Não",'Base de Dados'!A:A,A42,'Base de Dados'!B:B,B42)))),"Não Aplica")</f>
        <v>1</v>
      </c>
      <c r="N42" s="14" t="s">
        <v>23434</v>
      </c>
      <c r="O42" s="14" t="s">
        <v>23439</v>
      </c>
      <c r="P42" s="14" t="s">
        <v>24011</v>
      </c>
      <c r="Q42" s="14" t="s">
        <v>23842</v>
      </c>
      <c r="R42" s="14" t="s">
        <v>23434</v>
      </c>
      <c r="S42" s="14" t="s">
        <v>24012</v>
      </c>
      <c r="T42" s="14" t="s">
        <v>23436</v>
      </c>
      <c r="U42" s="14" t="s">
        <v>23434</v>
      </c>
      <c r="V42" s="14" t="s">
        <v>24013</v>
      </c>
      <c r="W42" s="14" t="s">
        <v>22818</v>
      </c>
      <c r="X42" s="80"/>
      <c r="Y42" s="14" t="s">
        <v>23438</v>
      </c>
      <c r="Z42" s="81">
        <v>45691.61203703703</v>
      </c>
      <c r="AA42" s="79">
        <f>IFERROR((COUNTIFS('Base de Dados'!ED:ED,"Sim",'Base de Dados'!A:A,A42,'Base de Dados'!B:B,B42)/(COUNTIFS('Base de Dados'!ED:ED,"Sim",'Base de Dados'!A:A,A42,'Base de Dados'!B:B,B42)+(COUNTIFS('Base de Dados'!ED:ED,"Não",'Base de Dados'!A:A,A42,'Base de Dados'!B:B,B42)))),"Não Aplica")</f>
        <v>1</v>
      </c>
      <c r="AB42" s="14" t="s">
        <v>23434</v>
      </c>
      <c r="AC42" s="14" t="s">
        <v>24014</v>
      </c>
      <c r="AD42" s="14" t="s">
        <v>23842</v>
      </c>
      <c r="AE42" s="14" t="s">
        <v>23434</v>
      </c>
      <c r="AF42" s="14" t="s">
        <v>24015</v>
      </c>
      <c r="AG42" s="14" t="s">
        <v>22818</v>
      </c>
      <c r="AH42" s="80"/>
      <c r="AI42" s="14" t="s">
        <v>23438</v>
      </c>
      <c r="AJ42" s="81">
        <v>45692.54252314815</v>
      </c>
      <c r="AK42" s="82" t="s">
        <v>23446</v>
      </c>
      <c r="AL42" s="14" t="s">
        <v>23434</v>
      </c>
      <c r="AM42" s="14" t="s">
        <v>23439</v>
      </c>
      <c r="AN42" s="14" t="s">
        <v>24016</v>
      </c>
      <c r="AO42" s="14" t="s">
        <v>23842</v>
      </c>
      <c r="AP42" s="14" t="s">
        <v>23434</v>
      </c>
      <c r="AQ42" s="14" t="s">
        <v>23448</v>
      </c>
      <c r="AR42" s="14" t="s">
        <v>24017</v>
      </c>
      <c r="AS42" s="14" t="s">
        <v>23848</v>
      </c>
      <c r="AT42" s="14" t="s">
        <v>23434</v>
      </c>
      <c r="AU42" s="14" t="s">
        <v>23453</v>
      </c>
      <c r="AV42" s="14" t="s">
        <v>24018</v>
      </c>
      <c r="AW42" s="14" t="s">
        <v>23455</v>
      </c>
      <c r="AX42" s="14" t="s">
        <v>23434</v>
      </c>
      <c r="AY42" s="14" t="s">
        <v>23451</v>
      </c>
      <c r="AZ42" s="14" t="s">
        <v>24019</v>
      </c>
      <c r="BA42" s="14" t="s">
        <v>22818</v>
      </c>
      <c r="BB42" s="80"/>
      <c r="BC42" s="14" t="s">
        <v>23438</v>
      </c>
      <c r="BD42" s="81">
        <v>45720.294282407405</v>
      </c>
      <c r="BE42" s="79">
        <f>IFERROR((COUNTIFS('Base de Dados'!FD:FD,"Sim",'Base de Dados'!A:A,A42,'Base de Dados'!B:B,B42)/(COUNTIFS('Base de Dados'!FD:FD,"Sim",'Base de Dados'!A:A,A42,'Base de Dados'!B:B,B42)+(COUNTIFS('Base de Dados'!FD:FD,"Não",'Base de Dados'!A:A,A42,'Base de Dados'!B:B,B42)))),"Não Aplica")</f>
        <v>1</v>
      </c>
      <c r="BF42" s="14" t="s">
        <v>23434</v>
      </c>
      <c r="BG42" s="14" t="s">
        <v>23439</v>
      </c>
      <c r="BH42" s="14" t="s">
        <v>24020</v>
      </c>
      <c r="BI42" s="14" t="s">
        <v>23842</v>
      </c>
      <c r="BJ42" s="80"/>
      <c r="BK42" s="80"/>
      <c r="BL42" s="80"/>
      <c r="BM42" s="80"/>
      <c r="BN42" s="14" t="s">
        <v>23434</v>
      </c>
      <c r="BO42" s="14" t="s">
        <v>23453</v>
      </c>
      <c r="BP42" s="14" t="s">
        <v>24021</v>
      </c>
      <c r="BQ42" s="14" t="s">
        <v>23455</v>
      </c>
      <c r="BR42" s="14" t="s">
        <v>23434</v>
      </c>
      <c r="BS42" s="14" t="s">
        <v>23451</v>
      </c>
      <c r="BT42" s="14" t="s">
        <v>24022</v>
      </c>
      <c r="BU42" s="14" t="s">
        <v>22818</v>
      </c>
      <c r="BV42" s="80"/>
      <c r="BW42" s="14" t="s">
        <v>23438</v>
      </c>
      <c r="BX42" s="81">
        <v>45723.319814814815</v>
      </c>
      <c r="BY42" s="82" t="s">
        <v>23446</v>
      </c>
      <c r="BZ42" s="15"/>
      <c r="CA42" s="15"/>
      <c r="CB42" s="15"/>
      <c r="CC42" s="15"/>
      <c r="CD42" s="80"/>
      <c r="CE42" s="80"/>
      <c r="CF42" s="80"/>
      <c r="CG42" s="80"/>
      <c r="CH42" s="15"/>
      <c r="CI42" s="15"/>
      <c r="CJ42" s="15"/>
      <c r="CK42" s="15"/>
      <c r="CL42" s="15"/>
      <c r="CM42" s="15"/>
      <c r="CN42" s="15"/>
      <c r="CO42" s="15"/>
      <c r="CP42" s="80"/>
      <c r="CQ42" s="80" t="s">
        <v>23459</v>
      </c>
      <c r="CR42" s="83"/>
      <c r="CS42" s="84"/>
    </row>
    <row r="43">
      <c r="A43" s="78" t="s">
        <v>292</v>
      </c>
      <c r="B43" s="78" t="s">
        <v>13789</v>
      </c>
      <c r="C43" s="79">
        <f>IFERROR((COUNTIFS('Base de Dados'!BT:BT,"Sim",'Base de Dados'!A:A,A43,'Base de Dados'!B:B,B43)/(COUNTIFS('Base de Dados'!BT:BT,"Sim",'Base de Dados'!A:A,A43,'Base de Dados'!B:B,B43)+(COUNTIFS('Base de Dados'!BT:BT,"Não",'Base de Dados'!A:A,A43,'Base de Dados'!B:B,B43)))),"Não Aplica")</f>
        <v>1</v>
      </c>
      <c r="D43" s="14" t="s">
        <v>23434</v>
      </c>
      <c r="E43" s="14" t="s">
        <v>24023</v>
      </c>
      <c r="F43" s="14" t="s">
        <v>23436</v>
      </c>
      <c r="G43" s="14" t="s">
        <v>23434</v>
      </c>
      <c r="H43" s="14" t="s">
        <v>24024</v>
      </c>
      <c r="I43" s="14" t="s">
        <v>22818</v>
      </c>
      <c r="J43" s="80"/>
      <c r="K43" s="14" t="s">
        <v>23438</v>
      </c>
      <c r="L43" s="81">
        <v>45687.660532407404</v>
      </c>
      <c r="M43" s="79">
        <f>IFERROR((COUNTIFS('Base de Dados'!DF:DF,"Sim",'Base de Dados'!A:A,A43,'Base de Dados'!B:B,B43)/(COUNTIFS('Base de Dados'!DF:DF,"Sim",'Base de Dados'!A:A,A43,'Base de Dados'!B:B,B43)+(COUNTIFS('Base de Dados'!DF:DF,"Não",'Base de Dados'!A:A,A43,'Base de Dados'!B:B,B43)))),"Não Aplica")</f>
        <v>1</v>
      </c>
      <c r="N43" s="14" t="s">
        <v>23434</v>
      </c>
      <c r="O43" s="14" t="s">
        <v>23439</v>
      </c>
      <c r="P43" s="14" t="s">
        <v>24025</v>
      </c>
      <c r="Q43" s="14" t="s">
        <v>23842</v>
      </c>
      <c r="R43" s="14" t="s">
        <v>23434</v>
      </c>
      <c r="S43" s="14" t="s">
        <v>24026</v>
      </c>
      <c r="T43" s="14" t="s">
        <v>23436</v>
      </c>
      <c r="U43" s="14" t="s">
        <v>23434</v>
      </c>
      <c r="V43" s="14" t="s">
        <v>24027</v>
      </c>
      <c r="W43" s="14" t="s">
        <v>22818</v>
      </c>
      <c r="X43" s="80"/>
      <c r="Y43" s="14" t="s">
        <v>23438</v>
      </c>
      <c r="Z43" s="81">
        <v>45691.61210648148</v>
      </c>
      <c r="AA43" s="79">
        <f>IFERROR((COUNTIFS('Base de Dados'!ED:ED,"Sim",'Base de Dados'!A:A,A43,'Base de Dados'!B:B,B43)/(COUNTIFS('Base de Dados'!ED:ED,"Sim",'Base de Dados'!A:A,A43,'Base de Dados'!B:B,B43)+(COUNTIFS('Base de Dados'!ED:ED,"Não",'Base de Dados'!A:A,A43,'Base de Dados'!B:B,B43)))),"Não Aplica")</f>
        <v>1</v>
      </c>
      <c r="AB43" s="14" t="s">
        <v>23434</v>
      </c>
      <c r="AC43" s="14" t="s">
        <v>24028</v>
      </c>
      <c r="AD43" s="14" t="s">
        <v>23842</v>
      </c>
      <c r="AE43" s="14" t="s">
        <v>23434</v>
      </c>
      <c r="AF43" s="14" t="s">
        <v>24029</v>
      </c>
      <c r="AG43" s="14" t="s">
        <v>22818</v>
      </c>
      <c r="AH43" s="80"/>
      <c r="AI43" s="14" t="s">
        <v>23438</v>
      </c>
      <c r="AJ43" s="81">
        <v>45692.54256944444</v>
      </c>
      <c r="AK43" s="82" t="s">
        <v>23446</v>
      </c>
      <c r="AL43" s="14" t="s">
        <v>23434</v>
      </c>
      <c r="AM43" s="14" t="s">
        <v>23439</v>
      </c>
      <c r="AN43" s="14" t="s">
        <v>24030</v>
      </c>
      <c r="AO43" s="14" t="s">
        <v>23842</v>
      </c>
      <c r="AP43" s="14" t="s">
        <v>23434</v>
      </c>
      <c r="AQ43" s="14" t="s">
        <v>23448</v>
      </c>
      <c r="AR43" s="14" t="s">
        <v>24031</v>
      </c>
      <c r="AS43" s="14" t="s">
        <v>23848</v>
      </c>
      <c r="AT43" s="14" t="s">
        <v>23434</v>
      </c>
      <c r="AU43" s="14" t="s">
        <v>23453</v>
      </c>
      <c r="AV43" s="14" t="s">
        <v>24032</v>
      </c>
      <c r="AW43" s="14" t="s">
        <v>23455</v>
      </c>
      <c r="AX43" s="14" t="s">
        <v>23434</v>
      </c>
      <c r="AY43" s="14" t="s">
        <v>23451</v>
      </c>
      <c r="AZ43" s="14" t="s">
        <v>24033</v>
      </c>
      <c r="BA43" s="14" t="s">
        <v>22818</v>
      </c>
      <c r="BB43" s="80"/>
      <c r="BC43" s="14" t="s">
        <v>23438</v>
      </c>
      <c r="BD43" s="81">
        <v>45721.72483796296</v>
      </c>
      <c r="BE43" s="79">
        <f>IFERROR((COUNTIFS('Base de Dados'!FD:FD,"Sim",'Base de Dados'!A:A,A43,'Base de Dados'!B:B,B43)/(COUNTIFS('Base de Dados'!FD:FD,"Sim",'Base de Dados'!A:A,A43,'Base de Dados'!B:B,B43)+(COUNTIFS('Base de Dados'!FD:FD,"Não",'Base de Dados'!A:A,A43,'Base de Dados'!B:B,B43)))),"Não Aplica")</f>
        <v>1</v>
      </c>
      <c r="BF43" s="14" t="s">
        <v>23434</v>
      </c>
      <c r="BG43" s="14" t="s">
        <v>23439</v>
      </c>
      <c r="BH43" s="14" t="s">
        <v>24034</v>
      </c>
      <c r="BI43" s="14" t="s">
        <v>23842</v>
      </c>
      <c r="BJ43" s="80"/>
      <c r="BK43" s="80"/>
      <c r="BL43" s="80"/>
      <c r="BM43" s="80"/>
      <c r="BN43" s="14" t="s">
        <v>23434</v>
      </c>
      <c r="BO43" s="14" t="s">
        <v>23453</v>
      </c>
      <c r="BP43" s="14" t="s">
        <v>24035</v>
      </c>
      <c r="BQ43" s="14" t="s">
        <v>23455</v>
      </c>
      <c r="BR43" s="14" t="s">
        <v>23434</v>
      </c>
      <c r="BS43" s="14" t="s">
        <v>23451</v>
      </c>
      <c r="BT43" s="14" t="s">
        <v>24036</v>
      </c>
      <c r="BU43" s="14" t="s">
        <v>22818</v>
      </c>
      <c r="BV43" s="80"/>
      <c r="BW43" s="14" t="s">
        <v>23438</v>
      </c>
      <c r="BX43" s="81">
        <v>45723.33054398148</v>
      </c>
      <c r="BY43" s="82" t="s">
        <v>23446</v>
      </c>
      <c r="BZ43" s="15"/>
      <c r="CA43" s="15"/>
      <c r="CB43" s="15"/>
      <c r="CC43" s="15"/>
      <c r="CD43" s="80"/>
      <c r="CE43" s="80"/>
      <c r="CF43" s="80"/>
      <c r="CG43" s="80"/>
      <c r="CH43" s="15"/>
      <c r="CI43" s="15"/>
      <c r="CJ43" s="15"/>
      <c r="CK43" s="15"/>
      <c r="CL43" s="15"/>
      <c r="CM43" s="15"/>
      <c r="CN43" s="15"/>
      <c r="CO43" s="15"/>
      <c r="CP43" s="80"/>
      <c r="CQ43" s="80" t="s">
        <v>23459</v>
      </c>
      <c r="CR43" s="83"/>
      <c r="CS43" s="84"/>
    </row>
    <row r="44">
      <c r="A44" s="78" t="s">
        <v>292</v>
      </c>
      <c r="B44" s="78" t="s">
        <v>13834</v>
      </c>
      <c r="C44" s="79">
        <f>IFERROR((COUNTIFS('Base de Dados'!BT:BT,"Sim",'Base de Dados'!A:A,A44,'Base de Dados'!B:B,B44)/(COUNTIFS('Base de Dados'!BT:BT,"Sim",'Base de Dados'!A:A,A44,'Base de Dados'!B:B,B44)+(COUNTIFS('Base de Dados'!BT:BT,"Não",'Base de Dados'!A:A,A44,'Base de Dados'!B:B,B44)))),"Não Aplica")</f>
        <v>1</v>
      </c>
      <c r="D44" s="14" t="s">
        <v>23434</v>
      </c>
      <c r="E44" s="14" t="s">
        <v>24037</v>
      </c>
      <c r="F44" s="14" t="s">
        <v>23436</v>
      </c>
      <c r="G44" s="14" t="s">
        <v>23434</v>
      </c>
      <c r="H44" s="14" t="s">
        <v>24038</v>
      </c>
      <c r="I44" s="14" t="s">
        <v>22818</v>
      </c>
      <c r="J44" s="80"/>
      <c r="K44" s="14" t="s">
        <v>23438</v>
      </c>
      <c r="L44" s="81">
        <v>45687.660787037035</v>
      </c>
      <c r="M44" s="79">
        <f>IFERROR((COUNTIFS('Base de Dados'!DF:DF,"Sim",'Base de Dados'!A:A,A44,'Base de Dados'!B:B,B44)/(COUNTIFS('Base de Dados'!DF:DF,"Sim",'Base de Dados'!A:A,A44,'Base de Dados'!B:B,B44)+(COUNTIFS('Base de Dados'!DF:DF,"Não",'Base de Dados'!A:A,A44,'Base de Dados'!B:B,B44)))),"Não Aplica")</f>
        <v>1</v>
      </c>
      <c r="N44" s="14" t="s">
        <v>23434</v>
      </c>
      <c r="O44" s="14" t="s">
        <v>23439</v>
      </c>
      <c r="P44" s="14" t="s">
        <v>24039</v>
      </c>
      <c r="Q44" s="14" t="s">
        <v>23842</v>
      </c>
      <c r="R44" s="14" t="s">
        <v>23434</v>
      </c>
      <c r="S44" s="14" t="s">
        <v>24040</v>
      </c>
      <c r="T44" s="14" t="s">
        <v>23436</v>
      </c>
      <c r="U44" s="14" t="s">
        <v>23434</v>
      </c>
      <c r="V44" s="14" t="s">
        <v>24041</v>
      </c>
      <c r="W44" s="14" t="s">
        <v>22818</v>
      </c>
      <c r="X44" s="80"/>
      <c r="Y44" s="14" t="s">
        <v>23438</v>
      </c>
      <c r="Z44" s="81">
        <v>45691.6121412037</v>
      </c>
      <c r="AA44" s="79">
        <f>IFERROR((COUNTIFS('Base de Dados'!ED:ED,"Sim",'Base de Dados'!A:A,A44,'Base de Dados'!B:B,B44)/(COUNTIFS('Base de Dados'!ED:ED,"Sim",'Base de Dados'!A:A,A44,'Base de Dados'!B:B,B44)+(COUNTIFS('Base de Dados'!ED:ED,"Não",'Base de Dados'!A:A,A44,'Base de Dados'!B:B,B44)))),"Não Aplica")</f>
        <v>1</v>
      </c>
      <c r="AB44" s="14" t="s">
        <v>23434</v>
      </c>
      <c r="AC44" s="14" t="s">
        <v>24042</v>
      </c>
      <c r="AD44" s="14" t="s">
        <v>23842</v>
      </c>
      <c r="AE44" s="14" t="s">
        <v>23434</v>
      </c>
      <c r="AF44" s="14" t="s">
        <v>24043</v>
      </c>
      <c r="AG44" s="14" t="s">
        <v>22818</v>
      </c>
      <c r="AH44" s="80"/>
      <c r="AI44" s="14" t="s">
        <v>23438</v>
      </c>
      <c r="AJ44" s="81">
        <v>45692.54258101852</v>
      </c>
      <c r="AK44" s="82" t="s">
        <v>23446</v>
      </c>
      <c r="AL44" s="14" t="s">
        <v>23434</v>
      </c>
      <c r="AM44" s="14" t="s">
        <v>23439</v>
      </c>
      <c r="AN44" s="14" t="s">
        <v>24044</v>
      </c>
      <c r="AO44" s="14" t="s">
        <v>23842</v>
      </c>
      <c r="AP44" s="14" t="s">
        <v>23434</v>
      </c>
      <c r="AQ44" s="14" t="s">
        <v>23448</v>
      </c>
      <c r="AR44" s="14" t="s">
        <v>24045</v>
      </c>
      <c r="AS44" s="14" t="s">
        <v>23848</v>
      </c>
      <c r="AT44" s="14" t="s">
        <v>23434</v>
      </c>
      <c r="AU44" s="14" t="s">
        <v>23453</v>
      </c>
      <c r="AV44" s="14" t="s">
        <v>24046</v>
      </c>
      <c r="AW44" s="14" t="s">
        <v>23455</v>
      </c>
      <c r="AX44" s="14" t="s">
        <v>23434</v>
      </c>
      <c r="AY44" s="14" t="s">
        <v>23451</v>
      </c>
      <c r="AZ44" s="14" t="s">
        <v>24047</v>
      </c>
      <c r="BA44" s="14" t="s">
        <v>22818</v>
      </c>
      <c r="BB44" s="80"/>
      <c r="BC44" s="14" t="s">
        <v>23438</v>
      </c>
      <c r="BD44" s="81">
        <v>45720.29431712963</v>
      </c>
      <c r="BE44" s="79">
        <f>IFERROR((COUNTIFS('Base de Dados'!FD:FD,"Sim",'Base de Dados'!A:A,A44,'Base de Dados'!B:B,B44)/(COUNTIFS('Base de Dados'!FD:FD,"Sim",'Base de Dados'!A:A,A44,'Base de Dados'!B:B,B44)+(COUNTIFS('Base de Dados'!FD:FD,"Não",'Base de Dados'!A:A,A44,'Base de Dados'!B:B,B44)))),"Não Aplica")</f>
        <v>1</v>
      </c>
      <c r="BF44" s="14" t="s">
        <v>23434</v>
      </c>
      <c r="BG44" s="14" t="s">
        <v>23439</v>
      </c>
      <c r="BH44" s="14" t="s">
        <v>24048</v>
      </c>
      <c r="BI44" s="14" t="s">
        <v>23842</v>
      </c>
      <c r="BJ44" s="80"/>
      <c r="BK44" s="80"/>
      <c r="BL44" s="80"/>
      <c r="BM44" s="80"/>
      <c r="BN44" s="14" t="s">
        <v>23434</v>
      </c>
      <c r="BO44" s="14" t="s">
        <v>23453</v>
      </c>
      <c r="BP44" s="14" t="s">
        <v>24049</v>
      </c>
      <c r="BQ44" s="14" t="s">
        <v>23455</v>
      </c>
      <c r="BR44" s="14" t="s">
        <v>23434</v>
      </c>
      <c r="BS44" s="14" t="s">
        <v>23451</v>
      </c>
      <c r="BT44" s="14" t="s">
        <v>24050</v>
      </c>
      <c r="BU44" s="14" t="s">
        <v>22818</v>
      </c>
      <c r="BV44" s="80"/>
      <c r="BW44" s="14" t="s">
        <v>23438</v>
      </c>
      <c r="BX44" s="81">
        <v>45721.59064814815</v>
      </c>
      <c r="BY44" s="82" t="s">
        <v>23446</v>
      </c>
      <c r="BZ44" s="15"/>
      <c r="CA44" s="15"/>
      <c r="CB44" s="15"/>
      <c r="CC44" s="15"/>
      <c r="CD44" s="80"/>
      <c r="CE44" s="80"/>
      <c r="CF44" s="80"/>
      <c r="CG44" s="80"/>
      <c r="CH44" s="15"/>
      <c r="CI44" s="15"/>
      <c r="CJ44" s="15"/>
      <c r="CK44" s="15"/>
      <c r="CL44" s="15"/>
      <c r="CM44" s="15"/>
      <c r="CN44" s="15"/>
      <c r="CO44" s="15"/>
      <c r="CP44" s="80"/>
      <c r="CQ44" s="80" t="s">
        <v>23459</v>
      </c>
      <c r="CR44" s="83"/>
      <c r="CS44" s="84"/>
    </row>
    <row r="45">
      <c r="A45" s="78" t="s">
        <v>292</v>
      </c>
      <c r="B45" s="78" t="s">
        <v>11020</v>
      </c>
      <c r="C45" s="79">
        <f>IFERROR((COUNTIFS('Base de Dados'!BT:BT,"Sim",'Base de Dados'!A:A,A45,'Base de Dados'!B:B,B45)/(COUNTIFS('Base de Dados'!BT:BT,"Sim",'Base de Dados'!A:A,A45,'Base de Dados'!B:B,B45)+(COUNTIFS('Base de Dados'!BT:BT,"Não",'Base de Dados'!A:A,A45,'Base de Dados'!B:B,B45)))),"Não Aplica")</f>
        <v>1</v>
      </c>
      <c r="D45" s="14" t="s">
        <v>23434</v>
      </c>
      <c r="E45" s="14" t="s">
        <v>24051</v>
      </c>
      <c r="F45" s="14" t="s">
        <v>23436</v>
      </c>
      <c r="G45" s="14" t="s">
        <v>23434</v>
      </c>
      <c r="H45" s="14" t="s">
        <v>24052</v>
      </c>
      <c r="I45" s="14" t="s">
        <v>22818</v>
      </c>
      <c r="J45" s="80"/>
      <c r="K45" s="14" t="s">
        <v>23438</v>
      </c>
      <c r="L45" s="81">
        <v>45687.6606712963</v>
      </c>
      <c r="M45" s="79">
        <f>IFERROR((COUNTIFS('Base de Dados'!DF:DF,"Sim",'Base de Dados'!A:A,A45,'Base de Dados'!B:B,B45)/(COUNTIFS('Base de Dados'!DF:DF,"Sim",'Base de Dados'!A:A,A45,'Base de Dados'!B:B,B45)+(COUNTIFS('Base de Dados'!DF:DF,"Não",'Base de Dados'!A:A,A45,'Base de Dados'!B:B,B45)))),"Não Aplica")</f>
        <v>1</v>
      </c>
      <c r="N45" s="14" t="s">
        <v>23434</v>
      </c>
      <c r="O45" s="14" t="s">
        <v>23439</v>
      </c>
      <c r="P45" s="14" t="s">
        <v>24053</v>
      </c>
      <c r="Q45" s="14" t="s">
        <v>23842</v>
      </c>
      <c r="R45" s="14" t="s">
        <v>23434</v>
      </c>
      <c r="S45" s="14" t="s">
        <v>24054</v>
      </c>
      <c r="T45" s="14" t="s">
        <v>23436</v>
      </c>
      <c r="U45" s="14" t="s">
        <v>23434</v>
      </c>
      <c r="V45" s="14" t="s">
        <v>24055</v>
      </c>
      <c r="W45" s="14" t="s">
        <v>22818</v>
      </c>
      <c r="X45" s="80"/>
      <c r="Y45" s="14" t="s">
        <v>23438</v>
      </c>
      <c r="Z45" s="81">
        <v>45691.612175925926</v>
      </c>
      <c r="AA45" s="79">
        <f>IFERROR((COUNTIFS('Base de Dados'!ED:ED,"Sim",'Base de Dados'!A:A,A45,'Base de Dados'!B:B,B45)/(COUNTIFS('Base de Dados'!ED:ED,"Sim",'Base de Dados'!A:A,A45,'Base de Dados'!B:B,B45)+(COUNTIFS('Base de Dados'!ED:ED,"Não",'Base de Dados'!A:A,A45,'Base de Dados'!B:B,B45)))),"Não Aplica")</f>
        <v>1</v>
      </c>
      <c r="AB45" s="14" t="s">
        <v>23434</v>
      </c>
      <c r="AC45" s="14" t="s">
        <v>24056</v>
      </c>
      <c r="AD45" s="14" t="s">
        <v>23842</v>
      </c>
      <c r="AE45" s="14" t="s">
        <v>23434</v>
      </c>
      <c r="AF45" s="14" t="s">
        <v>24057</v>
      </c>
      <c r="AG45" s="14" t="s">
        <v>22818</v>
      </c>
      <c r="AH45" s="80"/>
      <c r="AI45" s="14" t="s">
        <v>23438</v>
      </c>
      <c r="AJ45" s="81">
        <v>45692.542604166665</v>
      </c>
      <c r="AK45" s="82" t="s">
        <v>23446</v>
      </c>
      <c r="AL45" s="14" t="s">
        <v>23434</v>
      </c>
      <c r="AM45" s="14" t="s">
        <v>23439</v>
      </c>
      <c r="AN45" s="14" t="s">
        <v>24058</v>
      </c>
      <c r="AO45" s="14" t="s">
        <v>23842</v>
      </c>
      <c r="AP45" s="14" t="s">
        <v>23434</v>
      </c>
      <c r="AQ45" s="14" t="s">
        <v>23448</v>
      </c>
      <c r="AR45" s="14" t="s">
        <v>24059</v>
      </c>
      <c r="AS45" s="14" t="s">
        <v>23848</v>
      </c>
      <c r="AT45" s="14" t="s">
        <v>23434</v>
      </c>
      <c r="AU45" s="14" t="s">
        <v>23453</v>
      </c>
      <c r="AV45" s="14" t="s">
        <v>24060</v>
      </c>
      <c r="AW45" s="14" t="s">
        <v>23455</v>
      </c>
      <c r="AX45" s="14" t="s">
        <v>23434</v>
      </c>
      <c r="AY45" s="14" t="s">
        <v>23451</v>
      </c>
      <c r="AZ45" s="14" t="s">
        <v>24061</v>
      </c>
      <c r="BA45" s="14" t="s">
        <v>22818</v>
      </c>
      <c r="BB45" s="80"/>
      <c r="BC45" s="14" t="s">
        <v>23438</v>
      </c>
      <c r="BD45" s="81">
        <v>45722.48663194444</v>
      </c>
      <c r="BE45" s="79">
        <f>IFERROR((COUNTIFS('Base de Dados'!FD:FD,"Sim",'Base de Dados'!A:A,A45,'Base de Dados'!B:B,B45)/(COUNTIFS('Base de Dados'!FD:FD,"Sim",'Base de Dados'!A:A,A45,'Base de Dados'!B:B,B45)+(COUNTIFS('Base de Dados'!FD:FD,"Não",'Base de Dados'!A:A,A45,'Base de Dados'!B:B,B45)))),"Não Aplica")</f>
        <v>1</v>
      </c>
      <c r="BF45" s="14" t="s">
        <v>23434</v>
      </c>
      <c r="BG45" s="14" t="s">
        <v>23439</v>
      </c>
      <c r="BH45" s="14" t="s">
        <v>24062</v>
      </c>
      <c r="BI45" s="14" t="s">
        <v>23842</v>
      </c>
      <c r="BJ45" s="80"/>
      <c r="BK45" s="80"/>
      <c r="BL45" s="80"/>
      <c r="BM45" s="80"/>
      <c r="BN45" s="14" t="s">
        <v>23434</v>
      </c>
      <c r="BO45" s="14" t="s">
        <v>23453</v>
      </c>
      <c r="BP45" s="14" t="s">
        <v>24063</v>
      </c>
      <c r="BQ45" s="14" t="s">
        <v>23455</v>
      </c>
      <c r="BR45" s="14" t="s">
        <v>23434</v>
      </c>
      <c r="BS45" s="14" t="s">
        <v>23451</v>
      </c>
      <c r="BT45" s="14" t="s">
        <v>24064</v>
      </c>
      <c r="BU45" s="14" t="s">
        <v>22818</v>
      </c>
      <c r="BV45" s="80"/>
      <c r="BW45" s="14" t="s">
        <v>23438</v>
      </c>
      <c r="BX45" s="81">
        <v>45723.3305787037</v>
      </c>
      <c r="BY45" s="82" t="s">
        <v>23446</v>
      </c>
      <c r="BZ45" s="15"/>
      <c r="CA45" s="15"/>
      <c r="CB45" s="15"/>
      <c r="CC45" s="15"/>
      <c r="CD45" s="80"/>
      <c r="CE45" s="80"/>
      <c r="CF45" s="80"/>
      <c r="CG45" s="80"/>
      <c r="CH45" s="15"/>
      <c r="CI45" s="15"/>
      <c r="CJ45" s="15"/>
      <c r="CK45" s="15"/>
      <c r="CL45" s="15"/>
      <c r="CM45" s="15"/>
      <c r="CN45" s="15"/>
      <c r="CO45" s="15"/>
      <c r="CP45" s="80"/>
      <c r="CQ45" s="80" t="s">
        <v>23459</v>
      </c>
      <c r="CR45" s="83"/>
      <c r="CS45" s="84"/>
    </row>
    <row r="46">
      <c r="A46" s="78" t="s">
        <v>292</v>
      </c>
      <c r="B46" s="78" t="s">
        <v>12788</v>
      </c>
      <c r="C46" s="79">
        <f>IFERROR((COUNTIFS('Base de Dados'!BT:BT,"Sim",'Base de Dados'!A:A,A46,'Base de Dados'!B:B,B46)/(COUNTIFS('Base de Dados'!BT:BT,"Sim",'Base de Dados'!A:A,A46,'Base de Dados'!B:B,B46)+(COUNTIFS('Base de Dados'!BT:BT,"Não",'Base de Dados'!A:A,A46,'Base de Dados'!B:B,B46)))),"Não Aplica")</f>
        <v>1</v>
      </c>
      <c r="D46" s="14" t="s">
        <v>23434</v>
      </c>
      <c r="E46" s="14" t="s">
        <v>24065</v>
      </c>
      <c r="F46" s="14" t="s">
        <v>23436</v>
      </c>
      <c r="G46" s="14" t="s">
        <v>23434</v>
      </c>
      <c r="H46" s="14" t="s">
        <v>24066</v>
      </c>
      <c r="I46" s="14" t="s">
        <v>22818</v>
      </c>
      <c r="J46" s="80"/>
      <c r="K46" s="14" t="s">
        <v>23438</v>
      </c>
      <c r="L46" s="81">
        <v>45689.403287037036</v>
      </c>
      <c r="M46" s="79">
        <f>IFERROR((COUNTIFS('Base de Dados'!DF:DF,"Sim",'Base de Dados'!A:A,A46,'Base de Dados'!B:B,B46)/(COUNTIFS('Base de Dados'!DF:DF,"Sim",'Base de Dados'!A:A,A46,'Base de Dados'!B:B,B46)+(COUNTIFS('Base de Dados'!DF:DF,"Não",'Base de Dados'!A:A,A46,'Base de Dados'!B:B,B46)))),"Não Aplica")</f>
        <v>1</v>
      </c>
      <c r="N46" s="14" t="s">
        <v>23434</v>
      </c>
      <c r="O46" s="14" t="s">
        <v>23439</v>
      </c>
      <c r="P46" s="14" t="s">
        <v>24067</v>
      </c>
      <c r="Q46" s="14" t="s">
        <v>23842</v>
      </c>
      <c r="R46" s="14" t="s">
        <v>23434</v>
      </c>
      <c r="S46" s="14" t="s">
        <v>24068</v>
      </c>
      <c r="T46" s="14" t="s">
        <v>23436</v>
      </c>
      <c r="U46" s="14" t="s">
        <v>23434</v>
      </c>
      <c r="V46" s="14" t="s">
        <v>24069</v>
      </c>
      <c r="W46" s="14" t="s">
        <v>22818</v>
      </c>
      <c r="X46" s="80"/>
      <c r="Y46" s="14" t="s">
        <v>23438</v>
      </c>
      <c r="Z46" s="81">
        <v>45691.61219907407</v>
      </c>
      <c r="AA46" s="79" t="str">
        <f>IFERROR((COUNTIFS('Base de Dados'!ED:ED,"Sim",'Base de Dados'!A:A,A46,'Base de Dados'!B:B,B46)/(COUNTIFS('Base de Dados'!ED:ED,"Sim",'Base de Dados'!A:A,A46,'Base de Dados'!B:B,B46)+(COUNTIFS('Base de Dados'!ED:ED,"Não",'Base de Dados'!A:A,A46,'Base de Dados'!B:B,B46)))),"Não Aplica")</f>
        <v>Não Aplica</v>
      </c>
      <c r="AB46" s="14" t="s">
        <v>228</v>
      </c>
      <c r="AC46" s="14" t="s">
        <v>24070</v>
      </c>
      <c r="AD46" s="14" t="s">
        <v>23842</v>
      </c>
      <c r="AE46" s="14" t="s">
        <v>228</v>
      </c>
      <c r="AF46" s="14" t="s">
        <v>24071</v>
      </c>
      <c r="AG46" s="14" t="s">
        <v>22818</v>
      </c>
      <c r="AH46" s="80"/>
      <c r="AI46" s="14" t="s">
        <v>23438</v>
      </c>
      <c r="AJ46" s="81">
        <v>45692.54305555556</v>
      </c>
      <c r="AK46" s="82" t="s">
        <v>23446</v>
      </c>
      <c r="AL46" s="14" t="s">
        <v>23434</v>
      </c>
      <c r="AM46" s="14" t="s">
        <v>23439</v>
      </c>
      <c r="AN46" s="14" t="s">
        <v>24072</v>
      </c>
      <c r="AO46" s="14" t="s">
        <v>23842</v>
      </c>
      <c r="AP46" s="14" t="s">
        <v>23434</v>
      </c>
      <c r="AQ46" s="14" t="s">
        <v>23448</v>
      </c>
      <c r="AR46" s="14" t="s">
        <v>24073</v>
      </c>
      <c r="AS46" s="14" t="s">
        <v>23848</v>
      </c>
      <c r="AT46" s="14" t="s">
        <v>23434</v>
      </c>
      <c r="AU46" s="14" t="s">
        <v>23453</v>
      </c>
      <c r="AV46" s="14" t="s">
        <v>24074</v>
      </c>
      <c r="AW46" s="14" t="s">
        <v>23455</v>
      </c>
      <c r="AX46" s="14" t="s">
        <v>23434</v>
      </c>
      <c r="AY46" s="14" t="s">
        <v>23451</v>
      </c>
      <c r="AZ46" s="14" t="s">
        <v>24075</v>
      </c>
      <c r="BA46" s="14" t="s">
        <v>22818</v>
      </c>
      <c r="BB46" s="80"/>
      <c r="BC46" s="14" t="s">
        <v>23438</v>
      </c>
      <c r="BD46" s="81">
        <v>45720.294375</v>
      </c>
      <c r="BE46" s="79">
        <f>IFERROR((COUNTIFS('Base de Dados'!FD:FD,"Sim",'Base de Dados'!A:A,A46,'Base de Dados'!B:B,B46)/(COUNTIFS('Base de Dados'!FD:FD,"Sim",'Base de Dados'!A:A,A46,'Base de Dados'!B:B,B46)+(COUNTIFS('Base de Dados'!FD:FD,"Não",'Base de Dados'!A:A,A46,'Base de Dados'!B:B,B46)))),"Não Aplica")</f>
        <v>1</v>
      </c>
      <c r="BF46" s="14" t="s">
        <v>23434</v>
      </c>
      <c r="BG46" s="14" t="s">
        <v>23439</v>
      </c>
      <c r="BH46" s="14" t="s">
        <v>24076</v>
      </c>
      <c r="BI46" s="14" t="s">
        <v>23842</v>
      </c>
      <c r="BJ46" s="80"/>
      <c r="BK46" s="80"/>
      <c r="BL46" s="80"/>
      <c r="BM46" s="80"/>
      <c r="BN46" s="14" t="s">
        <v>23434</v>
      </c>
      <c r="BO46" s="14" t="s">
        <v>23453</v>
      </c>
      <c r="BP46" s="14" t="s">
        <v>24077</v>
      </c>
      <c r="BQ46" s="14" t="s">
        <v>23455</v>
      </c>
      <c r="BR46" s="14" t="s">
        <v>23434</v>
      </c>
      <c r="BS46" s="14" t="s">
        <v>23451</v>
      </c>
      <c r="BT46" s="14" t="s">
        <v>24078</v>
      </c>
      <c r="BU46" s="14" t="s">
        <v>22818</v>
      </c>
      <c r="BV46" s="80"/>
      <c r="BW46" s="14" t="s">
        <v>23438</v>
      </c>
      <c r="BX46" s="81">
        <v>45723.31984953704</v>
      </c>
      <c r="BY46" s="82" t="s">
        <v>23446</v>
      </c>
      <c r="BZ46" s="15"/>
      <c r="CA46" s="15"/>
      <c r="CB46" s="15"/>
      <c r="CC46" s="15"/>
      <c r="CD46" s="80"/>
      <c r="CE46" s="80"/>
      <c r="CF46" s="80"/>
      <c r="CG46" s="80"/>
      <c r="CH46" s="15"/>
      <c r="CI46" s="15"/>
      <c r="CJ46" s="15"/>
      <c r="CK46" s="15"/>
      <c r="CL46" s="15"/>
      <c r="CM46" s="15"/>
      <c r="CN46" s="15"/>
      <c r="CO46" s="15"/>
      <c r="CP46" s="80"/>
      <c r="CQ46" s="80" t="s">
        <v>23459</v>
      </c>
      <c r="CR46" s="83"/>
      <c r="CS46" s="84"/>
    </row>
    <row r="47">
      <c r="A47" s="78" t="s">
        <v>292</v>
      </c>
      <c r="B47" s="78" t="s">
        <v>13097</v>
      </c>
      <c r="C47" s="79">
        <f>IFERROR((COUNTIFS('Base de Dados'!BT:BT,"Sim",'Base de Dados'!A:A,A47,'Base de Dados'!B:B,B47)/(COUNTIFS('Base de Dados'!BT:BT,"Sim",'Base de Dados'!A:A,A47,'Base de Dados'!B:B,B47)+(COUNTIFS('Base de Dados'!BT:BT,"Não",'Base de Dados'!A:A,A47,'Base de Dados'!B:B,B47)))),"Não Aplica")</f>
        <v>1</v>
      </c>
      <c r="D47" s="14" t="s">
        <v>23434</v>
      </c>
      <c r="E47" s="14" t="s">
        <v>24079</v>
      </c>
      <c r="F47" s="14" t="s">
        <v>23436</v>
      </c>
      <c r="G47" s="14" t="s">
        <v>23434</v>
      </c>
      <c r="H47" s="14" t="s">
        <v>24080</v>
      </c>
      <c r="I47" s="14" t="s">
        <v>22818</v>
      </c>
      <c r="J47" s="80"/>
      <c r="K47" s="14" t="s">
        <v>23438</v>
      </c>
      <c r="L47" s="81">
        <v>45687.66042824074</v>
      </c>
      <c r="M47" s="79">
        <f>IFERROR((COUNTIFS('Base de Dados'!DF:DF,"Sim",'Base de Dados'!A:A,A47,'Base de Dados'!B:B,B47)/(COUNTIFS('Base de Dados'!DF:DF,"Sim",'Base de Dados'!A:A,A47,'Base de Dados'!B:B,B47)+(COUNTIFS('Base de Dados'!DF:DF,"Não",'Base de Dados'!A:A,A47,'Base de Dados'!B:B,B47)))),"Não Aplica")</f>
        <v>1</v>
      </c>
      <c r="N47" s="14" t="s">
        <v>23434</v>
      </c>
      <c r="O47" s="14" t="s">
        <v>23439</v>
      </c>
      <c r="P47" s="14" t="s">
        <v>24081</v>
      </c>
      <c r="Q47" s="14" t="s">
        <v>23842</v>
      </c>
      <c r="R47" s="14" t="s">
        <v>23434</v>
      </c>
      <c r="S47" s="14" t="s">
        <v>24082</v>
      </c>
      <c r="T47" s="14" t="s">
        <v>23436</v>
      </c>
      <c r="U47" s="14" t="s">
        <v>23434</v>
      </c>
      <c r="V47" s="14" t="s">
        <v>24083</v>
      </c>
      <c r="W47" s="14" t="s">
        <v>22818</v>
      </c>
      <c r="X47" s="80"/>
      <c r="Y47" s="14" t="s">
        <v>23438</v>
      </c>
      <c r="Z47" s="81">
        <v>45691.612233796295</v>
      </c>
      <c r="AA47" s="79">
        <f>IFERROR((COUNTIFS('Base de Dados'!ED:ED,"Sim",'Base de Dados'!A:A,A47,'Base de Dados'!B:B,B47)/(COUNTIFS('Base de Dados'!ED:ED,"Sim",'Base de Dados'!A:A,A47,'Base de Dados'!B:B,B47)+(COUNTIFS('Base de Dados'!ED:ED,"Não",'Base de Dados'!A:A,A47,'Base de Dados'!B:B,B47)))),"Não Aplica")</f>
        <v>1</v>
      </c>
      <c r="AB47" s="14" t="s">
        <v>23434</v>
      </c>
      <c r="AC47" s="14" t="s">
        <v>24084</v>
      </c>
      <c r="AD47" s="14" t="s">
        <v>23842</v>
      </c>
      <c r="AE47" s="14" t="s">
        <v>23434</v>
      </c>
      <c r="AF47" s="14" t="s">
        <v>24085</v>
      </c>
      <c r="AG47" s="14" t="s">
        <v>22818</v>
      </c>
      <c r="AH47" s="80"/>
      <c r="AI47" s="14" t="s">
        <v>23438</v>
      </c>
      <c r="AJ47" s="81">
        <v>45692.54300925926</v>
      </c>
      <c r="AK47" s="82" t="s">
        <v>23446</v>
      </c>
      <c r="AL47" s="14" t="s">
        <v>23434</v>
      </c>
      <c r="AM47" s="14" t="s">
        <v>23439</v>
      </c>
      <c r="AN47" s="14" t="s">
        <v>24086</v>
      </c>
      <c r="AO47" s="14" t="s">
        <v>23842</v>
      </c>
      <c r="AP47" s="14" t="s">
        <v>23434</v>
      </c>
      <c r="AQ47" s="14" t="s">
        <v>23448</v>
      </c>
      <c r="AR47" s="14" t="s">
        <v>24087</v>
      </c>
      <c r="AS47" s="14" t="s">
        <v>23848</v>
      </c>
      <c r="AT47" s="14" t="s">
        <v>23434</v>
      </c>
      <c r="AU47" s="14" t="s">
        <v>23453</v>
      </c>
      <c r="AV47" s="14" t="s">
        <v>24088</v>
      </c>
      <c r="AW47" s="14" t="s">
        <v>23455</v>
      </c>
      <c r="AX47" s="14" t="s">
        <v>23434</v>
      </c>
      <c r="AY47" s="14" t="s">
        <v>23451</v>
      </c>
      <c r="AZ47" s="14" t="s">
        <v>24089</v>
      </c>
      <c r="BA47" s="14" t="s">
        <v>22818</v>
      </c>
      <c r="BB47" s="80"/>
      <c r="BC47" s="14" t="s">
        <v>23438</v>
      </c>
      <c r="BD47" s="81">
        <v>45721.316041666665</v>
      </c>
      <c r="BE47" s="79">
        <f>IFERROR((COUNTIFS('Base de Dados'!FD:FD,"Sim",'Base de Dados'!A:A,A47,'Base de Dados'!B:B,B47)/(COUNTIFS('Base de Dados'!FD:FD,"Sim",'Base de Dados'!A:A,A47,'Base de Dados'!B:B,B47)+(COUNTIFS('Base de Dados'!FD:FD,"Não",'Base de Dados'!A:A,A47,'Base de Dados'!B:B,B47)))),"Não Aplica")</f>
        <v>1</v>
      </c>
      <c r="BF47" s="14" t="s">
        <v>23434</v>
      </c>
      <c r="BG47" s="14" t="s">
        <v>23439</v>
      </c>
      <c r="BH47" s="14" t="s">
        <v>24090</v>
      </c>
      <c r="BI47" s="14" t="s">
        <v>23842</v>
      </c>
      <c r="BJ47" s="80"/>
      <c r="BK47" s="80"/>
      <c r="BL47" s="80"/>
      <c r="BM47" s="80"/>
      <c r="BN47" s="14" t="s">
        <v>23434</v>
      </c>
      <c r="BO47" s="14" t="s">
        <v>23453</v>
      </c>
      <c r="BP47" s="14" t="s">
        <v>24091</v>
      </c>
      <c r="BQ47" s="14" t="s">
        <v>23455</v>
      </c>
      <c r="BR47" s="14" t="s">
        <v>23434</v>
      </c>
      <c r="BS47" s="14" t="s">
        <v>23451</v>
      </c>
      <c r="BT47" s="14" t="s">
        <v>24092</v>
      </c>
      <c r="BU47" s="14" t="s">
        <v>22818</v>
      </c>
      <c r="BV47" s="80"/>
      <c r="BW47" s="14" t="s">
        <v>23438</v>
      </c>
      <c r="BX47" s="81">
        <v>45721.590682870374</v>
      </c>
      <c r="BY47" s="82" t="s">
        <v>23446</v>
      </c>
      <c r="BZ47" s="15"/>
      <c r="CA47" s="15"/>
      <c r="CB47" s="15"/>
      <c r="CC47" s="15"/>
      <c r="CD47" s="80"/>
      <c r="CE47" s="80"/>
      <c r="CF47" s="80"/>
      <c r="CG47" s="80"/>
      <c r="CH47" s="15"/>
      <c r="CI47" s="15"/>
      <c r="CJ47" s="15"/>
      <c r="CK47" s="15"/>
      <c r="CL47" s="15"/>
      <c r="CM47" s="15"/>
      <c r="CN47" s="15"/>
      <c r="CO47" s="15"/>
      <c r="CP47" s="80"/>
      <c r="CQ47" s="80" t="s">
        <v>23459</v>
      </c>
      <c r="CR47" s="83"/>
      <c r="CS47" s="84"/>
    </row>
    <row r="48">
      <c r="A48" s="78" t="s">
        <v>292</v>
      </c>
      <c r="B48" s="78" t="s">
        <v>17017</v>
      </c>
      <c r="C48" s="79">
        <f>IFERROR((COUNTIFS('Base de Dados'!BT:BT,"Sim",'Base de Dados'!A:A,A48,'Base de Dados'!B:B,B48)/(COUNTIFS('Base de Dados'!BT:BT,"Sim",'Base de Dados'!A:A,A48,'Base de Dados'!B:B,B48)+(COUNTIFS('Base de Dados'!BT:BT,"Não",'Base de Dados'!A:A,A48,'Base de Dados'!B:B,B48)))),"Não Aplica")</f>
        <v>1</v>
      </c>
      <c r="D48" s="14" t="s">
        <v>23434</v>
      </c>
      <c r="E48" s="14" t="s">
        <v>24093</v>
      </c>
      <c r="F48" s="14" t="s">
        <v>23436</v>
      </c>
      <c r="G48" s="14" t="s">
        <v>23434</v>
      </c>
      <c r="H48" s="14" t="s">
        <v>24094</v>
      </c>
      <c r="I48" s="14" t="s">
        <v>22818</v>
      </c>
      <c r="J48" s="80"/>
      <c r="K48" s="14" t="s">
        <v>23438</v>
      </c>
      <c r="L48" s="81">
        <v>45691.60915509259</v>
      </c>
      <c r="M48" s="79">
        <f>IFERROR((COUNTIFS('Base de Dados'!DF:DF,"Sim",'Base de Dados'!A:A,A48,'Base de Dados'!B:B,B48)/(COUNTIFS('Base de Dados'!DF:DF,"Sim",'Base de Dados'!A:A,A48,'Base de Dados'!B:B,B48)+(COUNTIFS('Base de Dados'!DF:DF,"Não",'Base de Dados'!A:A,A48,'Base de Dados'!B:B,B48)))),"Não Aplica")</f>
        <v>1</v>
      </c>
      <c r="N48" s="14" t="s">
        <v>23434</v>
      </c>
      <c r="O48" s="14" t="s">
        <v>23439</v>
      </c>
      <c r="P48" s="14" t="s">
        <v>24095</v>
      </c>
      <c r="Q48" s="14" t="s">
        <v>23842</v>
      </c>
      <c r="R48" s="14" t="s">
        <v>23434</v>
      </c>
      <c r="S48" s="14" t="s">
        <v>24096</v>
      </c>
      <c r="T48" s="14" t="s">
        <v>23436</v>
      </c>
      <c r="U48" s="14" t="s">
        <v>23434</v>
      </c>
      <c r="V48" s="14" t="s">
        <v>24097</v>
      </c>
      <c r="W48" s="14" t="s">
        <v>22818</v>
      </c>
      <c r="X48" s="80"/>
      <c r="Y48" s="14" t="s">
        <v>23438</v>
      </c>
      <c r="Z48" s="81">
        <v>45692.53523148148</v>
      </c>
      <c r="AA48" s="79">
        <f>IFERROR((COUNTIFS('Base de Dados'!ED:ED,"Sim",'Base de Dados'!A:A,A48,'Base de Dados'!B:B,B48)/(COUNTIFS('Base de Dados'!ED:ED,"Sim",'Base de Dados'!A:A,A48,'Base de Dados'!B:B,B48)+(COUNTIFS('Base de Dados'!ED:ED,"Não",'Base de Dados'!A:A,A48,'Base de Dados'!B:B,B48)))),"Não Aplica")</f>
        <v>1</v>
      </c>
      <c r="AB48" s="14" t="s">
        <v>23434</v>
      </c>
      <c r="AC48" s="14" t="s">
        <v>24098</v>
      </c>
      <c r="AD48" s="14" t="s">
        <v>23842</v>
      </c>
      <c r="AE48" s="14" t="s">
        <v>23434</v>
      </c>
      <c r="AF48" s="14" t="s">
        <v>24099</v>
      </c>
      <c r="AG48" s="14" t="s">
        <v>22818</v>
      </c>
      <c r="AH48" s="80"/>
      <c r="AI48" s="14" t="s">
        <v>23438</v>
      </c>
      <c r="AJ48" s="81">
        <v>45693.44861111111</v>
      </c>
      <c r="AK48" s="82" t="s">
        <v>23446</v>
      </c>
      <c r="AL48" s="14" t="s">
        <v>23434</v>
      </c>
      <c r="AM48" s="14" t="s">
        <v>23439</v>
      </c>
      <c r="AN48" s="14" t="s">
        <v>24100</v>
      </c>
      <c r="AO48" s="14" t="s">
        <v>23842</v>
      </c>
      <c r="AP48" s="14" t="s">
        <v>23434</v>
      </c>
      <c r="AQ48" s="14" t="s">
        <v>23448</v>
      </c>
      <c r="AR48" s="14" t="s">
        <v>24101</v>
      </c>
      <c r="AS48" s="14" t="s">
        <v>23848</v>
      </c>
      <c r="AT48" s="14" t="s">
        <v>23434</v>
      </c>
      <c r="AU48" s="14" t="s">
        <v>23453</v>
      </c>
      <c r="AV48" s="14" t="s">
        <v>24102</v>
      </c>
      <c r="AW48" s="14" t="s">
        <v>23455</v>
      </c>
      <c r="AX48" s="14" t="s">
        <v>23434</v>
      </c>
      <c r="AY48" s="14" t="s">
        <v>23451</v>
      </c>
      <c r="AZ48" s="14" t="s">
        <v>24103</v>
      </c>
      <c r="BA48" s="14" t="s">
        <v>22818</v>
      </c>
      <c r="BB48" s="80"/>
      <c r="BC48" s="14" t="s">
        <v>23438</v>
      </c>
      <c r="BD48" s="81">
        <v>45722.75953703704</v>
      </c>
      <c r="BE48" s="79">
        <f>IFERROR((COUNTIFS('Base de Dados'!FD:FD,"Sim",'Base de Dados'!A:A,A48,'Base de Dados'!B:B,B48)/(COUNTIFS('Base de Dados'!FD:FD,"Sim",'Base de Dados'!A:A,A48,'Base de Dados'!B:B,B48)+(COUNTIFS('Base de Dados'!FD:FD,"Não",'Base de Dados'!A:A,A48,'Base de Dados'!B:B,B48)))),"Não Aplica")</f>
        <v>1</v>
      </c>
      <c r="BF48" s="14" t="s">
        <v>23434</v>
      </c>
      <c r="BG48" s="14" t="s">
        <v>23439</v>
      </c>
      <c r="BH48" s="14" t="s">
        <v>24104</v>
      </c>
      <c r="BI48" s="14" t="s">
        <v>23842</v>
      </c>
      <c r="BJ48" s="80"/>
      <c r="BK48" s="80"/>
      <c r="BL48" s="80"/>
      <c r="BM48" s="80"/>
      <c r="BN48" s="14" t="s">
        <v>23434</v>
      </c>
      <c r="BO48" s="14" t="s">
        <v>23453</v>
      </c>
      <c r="BP48" s="14" t="s">
        <v>24105</v>
      </c>
      <c r="BQ48" s="14" t="s">
        <v>23455</v>
      </c>
      <c r="BR48" s="14" t="s">
        <v>23434</v>
      </c>
      <c r="BS48" s="14" t="s">
        <v>23451</v>
      </c>
      <c r="BT48" s="14" t="s">
        <v>24106</v>
      </c>
      <c r="BU48" s="14" t="s">
        <v>22818</v>
      </c>
      <c r="BV48" s="80"/>
      <c r="BW48" s="14" t="s">
        <v>23438</v>
      </c>
      <c r="BX48" s="81">
        <v>45723.330613425926</v>
      </c>
      <c r="BY48" s="82" t="s">
        <v>23446</v>
      </c>
      <c r="BZ48" s="15"/>
      <c r="CA48" s="15"/>
      <c r="CB48" s="15"/>
      <c r="CC48" s="15"/>
      <c r="CD48" s="80"/>
      <c r="CE48" s="80"/>
      <c r="CF48" s="80"/>
      <c r="CG48" s="80"/>
      <c r="CH48" s="15"/>
      <c r="CI48" s="15"/>
      <c r="CJ48" s="15"/>
      <c r="CK48" s="15"/>
      <c r="CL48" s="15"/>
      <c r="CM48" s="15"/>
      <c r="CN48" s="15"/>
      <c r="CO48" s="15"/>
      <c r="CP48" s="80"/>
      <c r="CQ48" s="80" t="s">
        <v>23459</v>
      </c>
      <c r="CR48" s="83"/>
      <c r="CS48" s="84"/>
    </row>
    <row r="49">
      <c r="A49" s="78" t="s">
        <v>292</v>
      </c>
      <c r="B49" s="78" t="s">
        <v>17065</v>
      </c>
      <c r="C49" s="79">
        <f>IFERROR((COUNTIFS('Base de Dados'!BT:BT,"Sim",'Base de Dados'!A:A,A49,'Base de Dados'!B:B,B49)/(COUNTIFS('Base de Dados'!BT:BT,"Sim",'Base de Dados'!A:A,A49,'Base de Dados'!B:B,B49)+(COUNTIFS('Base de Dados'!BT:BT,"Não",'Base de Dados'!A:A,A49,'Base de Dados'!B:B,B49)))),"Não Aplica")</f>
        <v>1</v>
      </c>
      <c r="D49" s="14" t="s">
        <v>23434</v>
      </c>
      <c r="E49" s="14" t="s">
        <v>24107</v>
      </c>
      <c r="F49" s="14" t="s">
        <v>23436</v>
      </c>
      <c r="G49" s="14" t="s">
        <v>23434</v>
      </c>
      <c r="H49" s="14" t="s">
        <v>24108</v>
      </c>
      <c r="I49" s="14" t="s">
        <v>22818</v>
      </c>
      <c r="J49" s="80"/>
      <c r="K49" s="14" t="s">
        <v>23438</v>
      </c>
      <c r="L49" s="81">
        <v>45691.609131944446</v>
      </c>
      <c r="M49" s="79">
        <f>IFERROR((COUNTIFS('Base de Dados'!DF:DF,"Sim",'Base de Dados'!A:A,A49,'Base de Dados'!B:B,B49)/(COUNTIFS('Base de Dados'!DF:DF,"Sim",'Base de Dados'!A:A,A49,'Base de Dados'!B:B,B49)+(COUNTIFS('Base de Dados'!DF:DF,"Não",'Base de Dados'!A:A,A49,'Base de Dados'!B:B,B49)))),"Não Aplica")</f>
        <v>1</v>
      </c>
      <c r="N49" s="14" t="s">
        <v>23434</v>
      </c>
      <c r="O49" s="14" t="s">
        <v>23439</v>
      </c>
      <c r="P49" s="14" t="s">
        <v>24109</v>
      </c>
      <c r="Q49" s="14" t="s">
        <v>23842</v>
      </c>
      <c r="R49" s="14" t="s">
        <v>23434</v>
      </c>
      <c r="S49" s="14" t="s">
        <v>24110</v>
      </c>
      <c r="T49" s="14" t="s">
        <v>23436</v>
      </c>
      <c r="U49" s="14" t="s">
        <v>23434</v>
      </c>
      <c r="V49" s="14" t="s">
        <v>24111</v>
      </c>
      <c r="W49" s="14" t="s">
        <v>22818</v>
      </c>
      <c r="X49" s="80"/>
      <c r="Y49" s="14" t="s">
        <v>23438</v>
      </c>
      <c r="Z49" s="81">
        <v>45692.535266203704</v>
      </c>
      <c r="AA49" s="79">
        <f>IFERROR((COUNTIFS('Base de Dados'!ED:ED,"Sim",'Base de Dados'!A:A,A49,'Base de Dados'!B:B,B49)/(COUNTIFS('Base de Dados'!ED:ED,"Sim",'Base de Dados'!A:A,A49,'Base de Dados'!B:B,B49)+(COUNTIFS('Base de Dados'!ED:ED,"Não",'Base de Dados'!A:A,A49,'Base de Dados'!B:B,B49)))),"Não Aplica")</f>
        <v>1</v>
      </c>
      <c r="AB49" s="14" t="s">
        <v>23434</v>
      </c>
      <c r="AC49" s="14" t="s">
        <v>24112</v>
      </c>
      <c r="AD49" s="14" t="s">
        <v>23842</v>
      </c>
      <c r="AE49" s="14" t="s">
        <v>23434</v>
      </c>
      <c r="AF49" s="14" t="s">
        <v>24113</v>
      </c>
      <c r="AG49" s="14" t="s">
        <v>22818</v>
      </c>
      <c r="AH49" s="80"/>
      <c r="AI49" s="14" t="s">
        <v>23438</v>
      </c>
      <c r="AJ49" s="81">
        <v>45693.44873842593</v>
      </c>
      <c r="AK49" s="82" t="s">
        <v>23446</v>
      </c>
      <c r="AL49" s="14" t="s">
        <v>23434</v>
      </c>
      <c r="AM49" s="14" t="s">
        <v>23439</v>
      </c>
      <c r="AN49" s="14" t="s">
        <v>24114</v>
      </c>
      <c r="AO49" s="14" t="s">
        <v>23842</v>
      </c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80"/>
      <c r="BC49" s="15" t="s">
        <v>24115</v>
      </c>
      <c r="BD49" s="83"/>
      <c r="BE49" s="79">
        <f>IFERROR((COUNTIFS('Base de Dados'!FD:FD,"Sim",'Base de Dados'!A:A,A49,'Base de Dados'!B:B,B49)/(COUNTIFS('Base de Dados'!FD:FD,"Sim",'Base de Dados'!A:A,A49,'Base de Dados'!B:B,B49)+(COUNTIFS('Base de Dados'!FD:FD,"Não",'Base de Dados'!A:A,A49,'Base de Dados'!B:B,B49)))),"Não Aplica")</f>
        <v>0</v>
      </c>
      <c r="BF49" s="15"/>
      <c r="BG49" s="15"/>
      <c r="BH49" s="15"/>
      <c r="BI49" s="15"/>
      <c r="BJ49" s="80"/>
      <c r="BK49" s="80"/>
      <c r="BL49" s="80"/>
      <c r="BM49" s="80"/>
      <c r="BN49" s="15"/>
      <c r="BO49" s="15"/>
      <c r="BP49" s="15"/>
      <c r="BQ49" s="15"/>
      <c r="BR49" s="15"/>
      <c r="BS49" s="15"/>
      <c r="BT49" s="15"/>
      <c r="BU49" s="15"/>
      <c r="BV49" s="80"/>
      <c r="BW49" s="80" t="s">
        <v>24115</v>
      </c>
      <c r="BX49" s="83"/>
      <c r="BY49" s="82" t="s">
        <v>23446</v>
      </c>
      <c r="BZ49" s="15"/>
      <c r="CA49" s="15"/>
      <c r="CB49" s="15"/>
      <c r="CC49" s="15"/>
      <c r="CD49" s="80"/>
      <c r="CE49" s="80"/>
      <c r="CF49" s="80"/>
      <c r="CG49" s="80"/>
      <c r="CH49" s="15"/>
      <c r="CI49" s="15"/>
      <c r="CJ49" s="15"/>
      <c r="CK49" s="15"/>
      <c r="CL49" s="15"/>
      <c r="CM49" s="15"/>
      <c r="CN49" s="15"/>
      <c r="CO49" s="15"/>
      <c r="CP49" s="80"/>
      <c r="CQ49" s="80" t="s">
        <v>23459</v>
      </c>
      <c r="CR49" s="83"/>
      <c r="CS49" s="84"/>
    </row>
    <row r="50">
      <c r="A50" s="78" t="s">
        <v>292</v>
      </c>
      <c r="B50" s="78" t="s">
        <v>23225</v>
      </c>
      <c r="C50" s="79" t="str">
        <f>IFERROR((COUNTIFS('Base de Dados'!BT:BT,"Sim",'Base de Dados'!A:A,A50,'Base de Dados'!B:B,B50)/(COUNTIFS('Base de Dados'!BT:BT,"Sim",'Base de Dados'!A:A,A50,'Base de Dados'!B:B,B50)+(COUNTIFS('Base de Dados'!BT:BT,"Não",'Base de Dados'!A:A,A50,'Base de Dados'!B:B,B50)))),"Não Aplica")</f>
        <v>Não Aplica</v>
      </c>
      <c r="D50" s="14" t="s">
        <v>23434</v>
      </c>
      <c r="E50" s="14" t="s">
        <v>24116</v>
      </c>
      <c r="F50" s="14" t="s">
        <v>23436</v>
      </c>
      <c r="G50" s="14" t="s">
        <v>23434</v>
      </c>
      <c r="H50" s="14" t="s">
        <v>24117</v>
      </c>
      <c r="I50" s="14" t="s">
        <v>22818</v>
      </c>
      <c r="J50" s="80"/>
      <c r="K50" s="14" t="s">
        <v>23438</v>
      </c>
      <c r="L50" s="81">
        <v>45691.60902777778</v>
      </c>
      <c r="M50" s="79" t="str">
        <f>IFERROR((COUNTIFS('Base de Dados'!DF:DF,"Sim",'Base de Dados'!A:A,A50,'Base de Dados'!B:B,B50)/(COUNTIFS('Base de Dados'!DF:DF,"Sim",'Base de Dados'!A:A,A50,'Base de Dados'!B:B,B50)+(COUNTIFS('Base de Dados'!DF:DF,"Não",'Base de Dados'!A:A,A50,'Base de Dados'!B:B,B50)))),"Não Aplica")</f>
        <v>Não Aplica</v>
      </c>
      <c r="N50" s="14" t="s">
        <v>23434</v>
      </c>
      <c r="O50" s="14" t="s">
        <v>23439</v>
      </c>
      <c r="P50" s="14" t="s">
        <v>24118</v>
      </c>
      <c r="Q50" s="14" t="s">
        <v>23842</v>
      </c>
      <c r="R50" s="14" t="s">
        <v>23434</v>
      </c>
      <c r="S50" s="14" t="s">
        <v>24119</v>
      </c>
      <c r="T50" s="14" t="s">
        <v>23436</v>
      </c>
      <c r="U50" s="14" t="s">
        <v>23434</v>
      </c>
      <c r="V50" s="14" t="s">
        <v>24120</v>
      </c>
      <c r="W50" s="14" t="s">
        <v>22818</v>
      </c>
      <c r="X50" s="80"/>
      <c r="Y50" s="14" t="s">
        <v>23438</v>
      </c>
      <c r="Z50" s="81">
        <v>45692.5353125</v>
      </c>
      <c r="AA50" s="79" t="str">
        <f>IFERROR((COUNTIFS('Base de Dados'!ED:ED,"Sim",'Base de Dados'!A:A,A50,'Base de Dados'!B:B,B50)/(COUNTIFS('Base de Dados'!ED:ED,"Sim",'Base de Dados'!A:A,A50,'Base de Dados'!B:B,B50)+(COUNTIFS('Base de Dados'!ED:ED,"Não",'Base de Dados'!A:A,A50,'Base de Dados'!B:B,B50)))),"Não Aplica")</f>
        <v>Não Aplica</v>
      </c>
      <c r="AB50" s="14" t="s">
        <v>23434</v>
      </c>
      <c r="AC50" s="14" t="s">
        <v>24121</v>
      </c>
      <c r="AD50" s="14" t="s">
        <v>23842</v>
      </c>
      <c r="AE50" s="14" t="s">
        <v>23434</v>
      </c>
      <c r="AF50" s="14" t="s">
        <v>24122</v>
      </c>
      <c r="AG50" s="14" t="s">
        <v>22818</v>
      </c>
      <c r="AH50" s="80"/>
      <c r="AI50" s="14" t="s">
        <v>23438</v>
      </c>
      <c r="AJ50" s="81">
        <v>45693.44863425926</v>
      </c>
      <c r="AK50" s="82" t="s">
        <v>23446</v>
      </c>
      <c r="AL50" s="14" t="s">
        <v>23434</v>
      </c>
      <c r="AM50" s="14" t="s">
        <v>23439</v>
      </c>
      <c r="AN50" s="14" t="s">
        <v>24123</v>
      </c>
      <c r="AO50" s="14" t="s">
        <v>23842</v>
      </c>
      <c r="AP50" s="14" t="s">
        <v>23434</v>
      </c>
      <c r="AQ50" s="14" t="s">
        <v>23448</v>
      </c>
      <c r="AR50" s="14" t="s">
        <v>24124</v>
      </c>
      <c r="AS50" s="14" t="s">
        <v>23848</v>
      </c>
      <c r="AT50" s="14" t="s">
        <v>23434</v>
      </c>
      <c r="AU50" s="14" t="s">
        <v>23453</v>
      </c>
      <c r="AV50" s="14" t="s">
        <v>24125</v>
      </c>
      <c r="AW50" s="14" t="s">
        <v>23455</v>
      </c>
      <c r="AX50" s="14" t="s">
        <v>23434</v>
      </c>
      <c r="AY50" s="14" t="s">
        <v>23451</v>
      </c>
      <c r="AZ50" s="14" t="s">
        <v>24126</v>
      </c>
      <c r="BA50" s="14" t="s">
        <v>22818</v>
      </c>
      <c r="BB50" s="80"/>
      <c r="BC50" s="14" t="s">
        <v>23438</v>
      </c>
      <c r="BD50" s="81">
        <v>45721.72488425926</v>
      </c>
      <c r="BE50" s="79" t="str">
        <f>IFERROR((COUNTIFS('Base de Dados'!FD:FD,"Sim",'Base de Dados'!A:A,A50,'Base de Dados'!B:B,B50)/(COUNTIFS('Base de Dados'!FD:FD,"Sim",'Base de Dados'!A:A,A50,'Base de Dados'!B:B,B50)+(COUNTIFS('Base de Dados'!FD:FD,"Não",'Base de Dados'!A:A,A50,'Base de Dados'!B:B,B50)))),"Não Aplica")</f>
        <v>Não Aplica</v>
      </c>
      <c r="BF50" s="14" t="s">
        <v>228</v>
      </c>
      <c r="BG50" s="14" t="s">
        <v>23439</v>
      </c>
      <c r="BH50" s="14" t="s">
        <v>24127</v>
      </c>
      <c r="BI50" s="14" t="s">
        <v>23842</v>
      </c>
      <c r="BJ50" s="80"/>
      <c r="BK50" s="80"/>
      <c r="BL50" s="80"/>
      <c r="BM50" s="80"/>
      <c r="BN50" s="14" t="s">
        <v>228</v>
      </c>
      <c r="BO50" s="14" t="s">
        <v>23453</v>
      </c>
      <c r="BP50" s="14" t="s">
        <v>24128</v>
      </c>
      <c r="BQ50" s="14" t="s">
        <v>23455</v>
      </c>
      <c r="BR50" s="14" t="s">
        <v>228</v>
      </c>
      <c r="BS50" s="15"/>
      <c r="BT50" s="14" t="s">
        <v>24129</v>
      </c>
      <c r="BU50" s="14" t="s">
        <v>22818</v>
      </c>
      <c r="BV50" s="80"/>
      <c r="BW50" s="14" t="s">
        <v>23438</v>
      </c>
      <c r="BX50" s="81">
        <v>45723.610289351855</v>
      </c>
      <c r="BY50" s="82" t="s">
        <v>23446</v>
      </c>
      <c r="BZ50" s="15"/>
      <c r="CA50" s="15"/>
      <c r="CB50" s="15"/>
      <c r="CC50" s="15"/>
      <c r="CD50" s="80"/>
      <c r="CE50" s="80"/>
      <c r="CF50" s="80"/>
      <c r="CG50" s="80"/>
      <c r="CH50" s="15"/>
      <c r="CI50" s="15"/>
      <c r="CJ50" s="15"/>
      <c r="CK50" s="15"/>
      <c r="CL50" s="15"/>
      <c r="CM50" s="15"/>
      <c r="CN50" s="15"/>
      <c r="CO50" s="15"/>
      <c r="CP50" s="80"/>
      <c r="CQ50" s="80" t="s">
        <v>23459</v>
      </c>
      <c r="CR50" s="83"/>
      <c r="CS50" s="84"/>
    </row>
    <row r="51">
      <c r="A51" s="78" t="s">
        <v>292</v>
      </c>
      <c r="B51" s="78" t="s">
        <v>7424</v>
      </c>
      <c r="C51" s="79">
        <f>IFERROR((COUNTIFS('Base de Dados'!BT:BT,"Sim",'Base de Dados'!A:A,A51,'Base de Dados'!B:B,B51)/(COUNTIFS('Base de Dados'!BT:BT,"Sim",'Base de Dados'!A:A,A51,'Base de Dados'!B:B,B51)+(COUNTIFS('Base de Dados'!BT:BT,"Não",'Base de Dados'!A:A,A51,'Base de Dados'!B:B,B51)))),"Não Aplica")</f>
        <v>1</v>
      </c>
      <c r="D51" s="14" t="s">
        <v>23434</v>
      </c>
      <c r="E51" s="14" t="s">
        <v>24130</v>
      </c>
      <c r="F51" s="14" t="s">
        <v>23436</v>
      </c>
      <c r="G51" s="14" t="s">
        <v>23434</v>
      </c>
      <c r="H51" s="14" t="s">
        <v>24131</v>
      </c>
      <c r="I51" s="14" t="s">
        <v>22818</v>
      </c>
      <c r="J51" s="80"/>
      <c r="K51" s="14" t="s">
        <v>23438</v>
      </c>
      <c r="L51" s="81">
        <v>45687.38859953704</v>
      </c>
      <c r="M51" s="79">
        <f>IFERROR((COUNTIFS('Base de Dados'!DF:DF,"Sim",'Base de Dados'!A:A,A51,'Base de Dados'!B:B,B51)/(COUNTIFS('Base de Dados'!DF:DF,"Sim",'Base de Dados'!A:A,A51,'Base de Dados'!B:B,B51)+(COUNTIFS('Base de Dados'!DF:DF,"Não",'Base de Dados'!A:A,A51,'Base de Dados'!B:B,B51)))),"Não Aplica")</f>
        <v>1</v>
      </c>
      <c r="N51" s="14" t="s">
        <v>23434</v>
      </c>
      <c r="O51" s="14" t="s">
        <v>23439</v>
      </c>
      <c r="P51" s="14" t="s">
        <v>24132</v>
      </c>
      <c r="Q51" s="14" t="s">
        <v>23842</v>
      </c>
      <c r="R51" s="14" t="s">
        <v>23434</v>
      </c>
      <c r="S51" s="14" t="s">
        <v>24133</v>
      </c>
      <c r="T51" s="14" t="s">
        <v>23436</v>
      </c>
      <c r="U51" s="14" t="s">
        <v>23434</v>
      </c>
      <c r="V51" s="14" t="s">
        <v>24134</v>
      </c>
      <c r="W51" s="14" t="s">
        <v>22818</v>
      </c>
      <c r="X51" s="80"/>
      <c r="Y51" s="14" t="s">
        <v>23438</v>
      </c>
      <c r="Z51" s="81">
        <v>45691.61225694444</v>
      </c>
      <c r="AA51" s="79">
        <f>IFERROR((COUNTIFS('Base de Dados'!ED:ED,"Sim",'Base de Dados'!A:A,A51,'Base de Dados'!B:B,B51)/(COUNTIFS('Base de Dados'!ED:ED,"Sim",'Base de Dados'!A:A,A51,'Base de Dados'!B:B,B51)+(COUNTIFS('Base de Dados'!ED:ED,"Não",'Base de Dados'!A:A,A51,'Base de Dados'!B:B,B51)))),"Não Aplica")</f>
        <v>1</v>
      </c>
      <c r="AB51" s="14" t="s">
        <v>23434</v>
      </c>
      <c r="AC51" s="14" t="s">
        <v>24135</v>
      </c>
      <c r="AD51" s="14" t="s">
        <v>23842</v>
      </c>
      <c r="AE51" s="14" t="s">
        <v>23434</v>
      </c>
      <c r="AF51" s="14" t="s">
        <v>24136</v>
      </c>
      <c r="AG51" s="14" t="s">
        <v>22818</v>
      </c>
      <c r="AH51" s="80"/>
      <c r="AI51" s="14" t="s">
        <v>23438</v>
      </c>
      <c r="AJ51" s="81">
        <v>45692.542650462965</v>
      </c>
      <c r="AK51" s="82" t="s">
        <v>23446</v>
      </c>
      <c r="AL51" s="14" t="s">
        <v>23434</v>
      </c>
      <c r="AM51" s="14" t="s">
        <v>23439</v>
      </c>
      <c r="AN51" s="14" t="s">
        <v>24137</v>
      </c>
      <c r="AO51" s="14" t="s">
        <v>23842</v>
      </c>
      <c r="AP51" s="14" t="s">
        <v>23434</v>
      </c>
      <c r="AQ51" s="14" t="s">
        <v>23448</v>
      </c>
      <c r="AR51" s="14" t="s">
        <v>24138</v>
      </c>
      <c r="AS51" s="14" t="s">
        <v>23848</v>
      </c>
      <c r="AT51" s="14" t="s">
        <v>23434</v>
      </c>
      <c r="AU51" s="14" t="s">
        <v>23453</v>
      </c>
      <c r="AV51" s="14" t="s">
        <v>24139</v>
      </c>
      <c r="AW51" s="14" t="s">
        <v>23455</v>
      </c>
      <c r="AX51" s="14" t="s">
        <v>23434</v>
      </c>
      <c r="AY51" s="14" t="s">
        <v>23451</v>
      </c>
      <c r="AZ51" s="14" t="s">
        <v>24140</v>
      </c>
      <c r="BA51" s="14" t="s">
        <v>22818</v>
      </c>
      <c r="BB51" s="80"/>
      <c r="BC51" s="14" t="s">
        <v>23438</v>
      </c>
      <c r="BD51" s="81">
        <v>45722.48700231482</v>
      </c>
      <c r="BE51" s="79">
        <f>IFERROR((COUNTIFS('Base de Dados'!FD:FD,"Sim",'Base de Dados'!A:A,A51,'Base de Dados'!B:B,B51)/(COUNTIFS('Base de Dados'!FD:FD,"Sim",'Base de Dados'!A:A,A51,'Base de Dados'!B:B,B51)+(COUNTIFS('Base de Dados'!FD:FD,"Não",'Base de Dados'!A:A,A51,'Base de Dados'!B:B,B51)))),"Não Aplica")</f>
        <v>1</v>
      </c>
      <c r="BF51" s="14" t="s">
        <v>23434</v>
      </c>
      <c r="BG51" s="14" t="s">
        <v>23439</v>
      </c>
      <c r="BH51" s="14" t="s">
        <v>24141</v>
      </c>
      <c r="BI51" s="14" t="s">
        <v>23842</v>
      </c>
      <c r="BJ51" s="80"/>
      <c r="BK51" s="80"/>
      <c r="BL51" s="80"/>
      <c r="BM51" s="80"/>
      <c r="BN51" s="14" t="s">
        <v>23434</v>
      </c>
      <c r="BO51" s="14" t="s">
        <v>23453</v>
      </c>
      <c r="BP51" s="14" t="s">
        <v>24142</v>
      </c>
      <c r="BQ51" s="14" t="s">
        <v>23455</v>
      </c>
      <c r="BR51" s="14" t="s">
        <v>23434</v>
      </c>
      <c r="BS51" s="14" t="s">
        <v>23451</v>
      </c>
      <c r="BT51" s="14" t="s">
        <v>24143</v>
      </c>
      <c r="BU51" s="14" t="s">
        <v>22818</v>
      </c>
      <c r="BV51" s="80"/>
      <c r="BW51" s="14" t="s">
        <v>23438</v>
      </c>
      <c r="BX51" s="81">
        <v>45723.33064814815</v>
      </c>
      <c r="BY51" s="82" t="s">
        <v>23446</v>
      </c>
      <c r="BZ51" s="15"/>
      <c r="CA51" s="15"/>
      <c r="CB51" s="15"/>
      <c r="CC51" s="15"/>
      <c r="CD51" s="80"/>
      <c r="CE51" s="80"/>
      <c r="CF51" s="80"/>
      <c r="CG51" s="80"/>
      <c r="CH51" s="15"/>
      <c r="CI51" s="15"/>
      <c r="CJ51" s="15"/>
      <c r="CK51" s="15"/>
      <c r="CL51" s="15"/>
      <c r="CM51" s="15"/>
      <c r="CN51" s="15"/>
      <c r="CO51" s="15"/>
      <c r="CP51" s="80"/>
      <c r="CQ51" s="80" t="s">
        <v>23459</v>
      </c>
      <c r="CR51" s="83"/>
      <c r="CS51" s="84"/>
    </row>
    <row r="52">
      <c r="A52" s="78" t="s">
        <v>292</v>
      </c>
      <c r="B52" s="78" t="s">
        <v>7390</v>
      </c>
      <c r="C52" s="79">
        <f>IFERROR((COUNTIFS('Base de Dados'!BT:BT,"Sim",'Base de Dados'!A:A,A52,'Base de Dados'!B:B,B52)/(COUNTIFS('Base de Dados'!BT:BT,"Sim",'Base de Dados'!A:A,A52,'Base de Dados'!B:B,B52)+(COUNTIFS('Base de Dados'!BT:BT,"Não",'Base de Dados'!A:A,A52,'Base de Dados'!B:B,B52)))),"Não Aplica")</f>
        <v>1</v>
      </c>
      <c r="D52" s="14" t="s">
        <v>23434</v>
      </c>
      <c r="E52" s="14" t="s">
        <v>24144</v>
      </c>
      <c r="F52" s="14" t="s">
        <v>23436</v>
      </c>
      <c r="G52" s="14" t="s">
        <v>23434</v>
      </c>
      <c r="H52" s="14" t="s">
        <v>24145</v>
      </c>
      <c r="I52" s="14" t="s">
        <v>22818</v>
      </c>
      <c r="J52" s="80"/>
      <c r="K52" s="14" t="s">
        <v>23438</v>
      </c>
      <c r="L52" s="81">
        <v>45687.38940972222</v>
      </c>
      <c r="M52" s="79">
        <f>IFERROR((COUNTIFS('Base de Dados'!DF:DF,"Sim",'Base de Dados'!A:A,A52,'Base de Dados'!B:B,B52)/(COUNTIFS('Base de Dados'!DF:DF,"Sim",'Base de Dados'!A:A,A52,'Base de Dados'!B:B,B52)+(COUNTIFS('Base de Dados'!DF:DF,"Não",'Base de Dados'!A:A,A52,'Base de Dados'!B:B,B52)))),"Não Aplica")</f>
        <v>1</v>
      </c>
      <c r="N52" s="14" t="s">
        <v>23434</v>
      </c>
      <c r="O52" s="14" t="s">
        <v>23439</v>
      </c>
      <c r="P52" s="14" t="s">
        <v>24146</v>
      </c>
      <c r="Q52" s="14" t="s">
        <v>23842</v>
      </c>
      <c r="R52" s="14" t="s">
        <v>23434</v>
      </c>
      <c r="S52" s="14" t="s">
        <v>24147</v>
      </c>
      <c r="T52" s="14" t="s">
        <v>23436</v>
      </c>
      <c r="U52" s="14" t="s">
        <v>23434</v>
      </c>
      <c r="V52" s="14" t="s">
        <v>24148</v>
      </c>
      <c r="W52" s="14" t="s">
        <v>22818</v>
      </c>
      <c r="X52" s="80"/>
      <c r="Y52" s="14" t="s">
        <v>23438</v>
      </c>
      <c r="Z52" s="81">
        <v>45691.612291666665</v>
      </c>
      <c r="AA52" s="79">
        <f>IFERROR((COUNTIFS('Base de Dados'!ED:ED,"Sim",'Base de Dados'!A:A,A52,'Base de Dados'!B:B,B52)/(COUNTIFS('Base de Dados'!ED:ED,"Sim",'Base de Dados'!A:A,A52,'Base de Dados'!B:B,B52)+(COUNTIFS('Base de Dados'!ED:ED,"Não",'Base de Dados'!A:A,A52,'Base de Dados'!B:B,B52)))),"Não Aplica")</f>
        <v>1</v>
      </c>
      <c r="AB52" s="14" t="s">
        <v>23434</v>
      </c>
      <c r="AC52" s="14" t="s">
        <v>24149</v>
      </c>
      <c r="AD52" s="14" t="s">
        <v>23842</v>
      </c>
      <c r="AE52" s="14" t="s">
        <v>23434</v>
      </c>
      <c r="AF52" s="14" t="s">
        <v>24150</v>
      </c>
      <c r="AG52" s="14" t="s">
        <v>22818</v>
      </c>
      <c r="AH52" s="80"/>
      <c r="AI52" s="14" t="s">
        <v>23438</v>
      </c>
      <c r="AJ52" s="81">
        <v>45692.54267361111</v>
      </c>
      <c r="AK52" s="82" t="s">
        <v>23446</v>
      </c>
      <c r="AL52" s="14" t="s">
        <v>23434</v>
      </c>
      <c r="AM52" s="14" t="s">
        <v>23439</v>
      </c>
      <c r="AN52" s="14" t="s">
        <v>24151</v>
      </c>
      <c r="AO52" s="14" t="s">
        <v>23842</v>
      </c>
      <c r="AP52" s="14" t="s">
        <v>23434</v>
      </c>
      <c r="AQ52" s="14" t="s">
        <v>23448</v>
      </c>
      <c r="AR52" s="14" t="s">
        <v>24152</v>
      </c>
      <c r="AS52" s="14" t="s">
        <v>23848</v>
      </c>
      <c r="AT52" s="14" t="s">
        <v>23434</v>
      </c>
      <c r="AU52" s="14" t="s">
        <v>23453</v>
      </c>
      <c r="AV52" s="14" t="s">
        <v>24153</v>
      </c>
      <c r="AW52" s="14" t="s">
        <v>23455</v>
      </c>
      <c r="AX52" s="14" t="s">
        <v>23434</v>
      </c>
      <c r="AY52" s="14" t="s">
        <v>23451</v>
      </c>
      <c r="AZ52" s="14" t="s">
        <v>24154</v>
      </c>
      <c r="BA52" s="14" t="s">
        <v>22818</v>
      </c>
      <c r="BB52" s="80"/>
      <c r="BC52" s="14" t="s">
        <v>23438</v>
      </c>
      <c r="BD52" s="81">
        <v>45722.48668981482</v>
      </c>
      <c r="BE52" s="79">
        <f>IFERROR((COUNTIFS('Base de Dados'!FD:FD,"Sim",'Base de Dados'!A:A,A52,'Base de Dados'!B:B,B52)/(COUNTIFS('Base de Dados'!FD:FD,"Sim",'Base de Dados'!A:A,A52,'Base de Dados'!B:B,B52)+(COUNTIFS('Base de Dados'!FD:FD,"Não",'Base de Dados'!A:A,A52,'Base de Dados'!B:B,B52)))),"Não Aplica")</f>
        <v>1</v>
      </c>
      <c r="BF52" s="14" t="s">
        <v>23434</v>
      </c>
      <c r="BG52" s="14" t="s">
        <v>23439</v>
      </c>
      <c r="BH52" s="14" t="s">
        <v>24155</v>
      </c>
      <c r="BI52" s="14" t="s">
        <v>23842</v>
      </c>
      <c r="BJ52" s="80"/>
      <c r="BK52" s="80"/>
      <c r="BL52" s="80"/>
      <c r="BM52" s="80"/>
      <c r="BN52" s="14" t="s">
        <v>23434</v>
      </c>
      <c r="BO52" s="14" t="s">
        <v>23453</v>
      </c>
      <c r="BP52" s="14" t="s">
        <v>24156</v>
      </c>
      <c r="BQ52" s="14" t="s">
        <v>23455</v>
      </c>
      <c r="BR52" s="14" t="s">
        <v>23434</v>
      </c>
      <c r="BS52" s="14" t="s">
        <v>23451</v>
      </c>
      <c r="BT52" s="14" t="s">
        <v>24157</v>
      </c>
      <c r="BU52" s="14" t="s">
        <v>22818</v>
      </c>
      <c r="BV52" s="80"/>
      <c r="BW52" s="14" t="s">
        <v>23438</v>
      </c>
      <c r="BX52" s="81">
        <v>45723.33068287037</v>
      </c>
      <c r="BY52" s="82" t="s">
        <v>23446</v>
      </c>
      <c r="BZ52" s="15"/>
      <c r="CA52" s="15"/>
      <c r="CB52" s="15"/>
      <c r="CC52" s="15"/>
      <c r="CD52" s="80"/>
      <c r="CE52" s="80"/>
      <c r="CF52" s="80"/>
      <c r="CG52" s="80"/>
      <c r="CH52" s="15"/>
      <c r="CI52" s="15"/>
      <c r="CJ52" s="15"/>
      <c r="CK52" s="15"/>
      <c r="CL52" s="15"/>
      <c r="CM52" s="15"/>
      <c r="CN52" s="15"/>
      <c r="CO52" s="15"/>
      <c r="CP52" s="80"/>
      <c r="CQ52" s="80" t="s">
        <v>23459</v>
      </c>
      <c r="CR52" s="83"/>
      <c r="CS52" s="84"/>
    </row>
    <row r="53">
      <c r="A53" s="78" t="s">
        <v>292</v>
      </c>
      <c r="B53" s="78" t="s">
        <v>12758</v>
      </c>
      <c r="C53" s="79">
        <f>IFERROR((COUNTIFS('Base de Dados'!BT:BT,"Sim",'Base de Dados'!A:A,A53,'Base de Dados'!B:B,B53)/(COUNTIFS('Base de Dados'!BT:BT,"Sim",'Base de Dados'!A:A,A53,'Base de Dados'!B:B,B53)+(COUNTIFS('Base de Dados'!BT:BT,"Não",'Base de Dados'!A:A,A53,'Base de Dados'!B:B,B53)))),"Não Aplica")</f>
        <v>1</v>
      </c>
      <c r="D53" s="14" t="s">
        <v>23434</v>
      </c>
      <c r="E53" s="14" t="s">
        <v>24158</v>
      </c>
      <c r="F53" s="14" t="s">
        <v>23436</v>
      </c>
      <c r="G53" s="14" t="s">
        <v>23434</v>
      </c>
      <c r="H53" s="14" t="s">
        <v>24159</v>
      </c>
      <c r="I53" s="14" t="s">
        <v>22818</v>
      </c>
      <c r="J53" s="80"/>
      <c r="K53" s="14" t="s">
        <v>23438</v>
      </c>
      <c r="L53" s="81">
        <v>45687.388645833336</v>
      </c>
      <c r="M53" s="79">
        <f>IFERROR((COUNTIFS('Base de Dados'!DF:DF,"Sim",'Base de Dados'!A:A,A53,'Base de Dados'!B:B,B53)/(COUNTIFS('Base de Dados'!DF:DF,"Sim",'Base de Dados'!A:A,A53,'Base de Dados'!B:B,B53)+(COUNTIFS('Base de Dados'!DF:DF,"Não",'Base de Dados'!A:A,A53,'Base de Dados'!B:B,B53)))),"Não Aplica")</f>
        <v>1</v>
      </c>
      <c r="N53" s="14" t="s">
        <v>23434</v>
      </c>
      <c r="O53" s="14" t="s">
        <v>23439</v>
      </c>
      <c r="P53" s="14" t="s">
        <v>24160</v>
      </c>
      <c r="Q53" s="14" t="s">
        <v>23842</v>
      </c>
      <c r="R53" s="14" t="s">
        <v>23434</v>
      </c>
      <c r="S53" s="14" t="s">
        <v>24161</v>
      </c>
      <c r="T53" s="14" t="s">
        <v>23436</v>
      </c>
      <c r="U53" s="14" t="s">
        <v>23434</v>
      </c>
      <c r="V53" s="14" t="s">
        <v>24162</v>
      </c>
      <c r="W53" s="14" t="s">
        <v>22818</v>
      </c>
      <c r="X53" s="80"/>
      <c r="Y53" s="14" t="s">
        <v>23438</v>
      </c>
      <c r="Z53" s="81">
        <v>45691.61231481482</v>
      </c>
      <c r="AA53" s="79">
        <f>IFERROR((COUNTIFS('Base de Dados'!ED:ED,"Sim",'Base de Dados'!A:A,A53,'Base de Dados'!B:B,B53)/(COUNTIFS('Base de Dados'!ED:ED,"Sim",'Base de Dados'!A:A,A53,'Base de Dados'!B:B,B53)+(COUNTIFS('Base de Dados'!ED:ED,"Não",'Base de Dados'!A:A,A53,'Base de Dados'!B:B,B53)))),"Não Aplica")</f>
        <v>1</v>
      </c>
      <c r="AB53" s="14" t="s">
        <v>23434</v>
      </c>
      <c r="AC53" s="14" t="s">
        <v>24163</v>
      </c>
      <c r="AD53" s="14" t="s">
        <v>23842</v>
      </c>
      <c r="AE53" s="14" t="s">
        <v>23434</v>
      </c>
      <c r="AF53" s="14" t="s">
        <v>24164</v>
      </c>
      <c r="AG53" s="14" t="s">
        <v>22818</v>
      </c>
      <c r="AH53" s="80"/>
      <c r="AI53" s="14" t="s">
        <v>23438</v>
      </c>
      <c r="AJ53" s="81">
        <v>45692.54268518519</v>
      </c>
      <c r="AK53" s="82" t="s">
        <v>23446</v>
      </c>
      <c r="AL53" s="14" t="s">
        <v>23434</v>
      </c>
      <c r="AM53" s="14" t="s">
        <v>23439</v>
      </c>
      <c r="AN53" s="14" t="s">
        <v>24165</v>
      </c>
      <c r="AO53" s="14" t="s">
        <v>23842</v>
      </c>
      <c r="AP53" s="14" t="s">
        <v>23434</v>
      </c>
      <c r="AQ53" s="14" t="s">
        <v>23448</v>
      </c>
      <c r="AR53" s="14" t="s">
        <v>24166</v>
      </c>
      <c r="AS53" s="14" t="s">
        <v>23848</v>
      </c>
      <c r="AT53" s="14" t="s">
        <v>23434</v>
      </c>
      <c r="AU53" s="14" t="s">
        <v>23453</v>
      </c>
      <c r="AV53" s="14" t="s">
        <v>24167</v>
      </c>
      <c r="AW53" s="14" t="s">
        <v>23455</v>
      </c>
      <c r="AX53" s="14" t="s">
        <v>23434</v>
      </c>
      <c r="AY53" s="14" t="s">
        <v>23451</v>
      </c>
      <c r="AZ53" s="14" t="s">
        <v>24168</v>
      </c>
      <c r="BA53" s="14" t="s">
        <v>22818</v>
      </c>
      <c r="BB53" s="80"/>
      <c r="BC53" s="14" t="s">
        <v>23438</v>
      </c>
      <c r="BD53" s="81">
        <v>45722.48678240741</v>
      </c>
      <c r="BE53" s="79">
        <f>IFERROR((COUNTIFS('Base de Dados'!FD:FD,"Sim",'Base de Dados'!A:A,A53,'Base de Dados'!B:B,B53)/(COUNTIFS('Base de Dados'!FD:FD,"Sim",'Base de Dados'!A:A,A53,'Base de Dados'!B:B,B53)+(COUNTIFS('Base de Dados'!FD:FD,"Não",'Base de Dados'!A:A,A53,'Base de Dados'!B:B,B53)))),"Não Aplica")</f>
        <v>1</v>
      </c>
      <c r="BF53" s="14" t="s">
        <v>23434</v>
      </c>
      <c r="BG53" s="14" t="s">
        <v>23439</v>
      </c>
      <c r="BH53" s="14" t="s">
        <v>24169</v>
      </c>
      <c r="BI53" s="14" t="s">
        <v>23842</v>
      </c>
      <c r="BJ53" s="80"/>
      <c r="BK53" s="80"/>
      <c r="BL53" s="80"/>
      <c r="BM53" s="80"/>
      <c r="BN53" s="14" t="s">
        <v>23434</v>
      </c>
      <c r="BO53" s="14" t="s">
        <v>23453</v>
      </c>
      <c r="BP53" s="14" t="s">
        <v>24170</v>
      </c>
      <c r="BQ53" s="14" t="s">
        <v>23455</v>
      </c>
      <c r="BR53" s="14" t="s">
        <v>23434</v>
      </c>
      <c r="BS53" s="14" t="s">
        <v>23451</v>
      </c>
      <c r="BT53" s="14" t="s">
        <v>24171</v>
      </c>
      <c r="BU53" s="14" t="s">
        <v>22818</v>
      </c>
      <c r="BV53" s="80"/>
      <c r="BW53" s="14" t="s">
        <v>23438</v>
      </c>
      <c r="BX53" s="81">
        <v>45723.33074074074</v>
      </c>
      <c r="BY53" s="82" t="s">
        <v>23446</v>
      </c>
      <c r="BZ53" s="15"/>
      <c r="CA53" s="15"/>
      <c r="CB53" s="15"/>
      <c r="CC53" s="15"/>
      <c r="CD53" s="80"/>
      <c r="CE53" s="80"/>
      <c r="CF53" s="80"/>
      <c r="CG53" s="80"/>
      <c r="CH53" s="15"/>
      <c r="CI53" s="15"/>
      <c r="CJ53" s="15"/>
      <c r="CK53" s="15"/>
      <c r="CL53" s="15"/>
      <c r="CM53" s="15"/>
      <c r="CN53" s="15"/>
      <c r="CO53" s="15"/>
      <c r="CP53" s="80"/>
      <c r="CQ53" s="80" t="s">
        <v>23459</v>
      </c>
      <c r="CR53" s="83"/>
      <c r="CS53" s="84"/>
    </row>
    <row r="54">
      <c r="A54" s="78" t="s">
        <v>292</v>
      </c>
      <c r="B54" s="78" t="s">
        <v>12699</v>
      </c>
      <c r="C54" s="79">
        <f>IFERROR((COUNTIFS('Base de Dados'!BT:BT,"Sim",'Base de Dados'!A:A,A54,'Base de Dados'!B:B,B54)/(COUNTIFS('Base de Dados'!BT:BT,"Sim",'Base de Dados'!A:A,A54,'Base de Dados'!B:B,B54)+(COUNTIFS('Base de Dados'!BT:BT,"Não",'Base de Dados'!A:A,A54,'Base de Dados'!B:B,B54)))),"Não Aplica")</f>
        <v>1</v>
      </c>
      <c r="D54" s="14" t="s">
        <v>23434</v>
      </c>
      <c r="E54" s="14" t="s">
        <v>24172</v>
      </c>
      <c r="F54" s="14" t="s">
        <v>23436</v>
      </c>
      <c r="G54" s="14" t="s">
        <v>23434</v>
      </c>
      <c r="H54" s="14" t="s">
        <v>24173</v>
      </c>
      <c r="I54" s="14" t="s">
        <v>22818</v>
      </c>
      <c r="J54" s="80"/>
      <c r="K54" s="14" t="s">
        <v>23438</v>
      </c>
      <c r="L54" s="81">
        <v>45687.38869212963</v>
      </c>
      <c r="M54" s="79">
        <f>IFERROR((COUNTIFS('Base de Dados'!DF:DF,"Sim",'Base de Dados'!A:A,A54,'Base de Dados'!B:B,B54)/(COUNTIFS('Base de Dados'!DF:DF,"Sim",'Base de Dados'!A:A,A54,'Base de Dados'!B:B,B54)+(COUNTIFS('Base de Dados'!DF:DF,"Não",'Base de Dados'!A:A,A54,'Base de Dados'!B:B,B54)))),"Não Aplica")</f>
        <v>1</v>
      </c>
      <c r="N54" s="14" t="s">
        <v>23434</v>
      </c>
      <c r="O54" s="14" t="s">
        <v>23439</v>
      </c>
      <c r="P54" s="14" t="s">
        <v>24174</v>
      </c>
      <c r="Q54" s="14" t="s">
        <v>23842</v>
      </c>
      <c r="R54" s="14" t="s">
        <v>23434</v>
      </c>
      <c r="S54" s="14" t="s">
        <v>24175</v>
      </c>
      <c r="T54" s="14" t="s">
        <v>23436</v>
      </c>
      <c r="U54" s="14" t="s">
        <v>23434</v>
      </c>
      <c r="V54" s="14" t="s">
        <v>24176</v>
      </c>
      <c r="W54" s="14" t="s">
        <v>22818</v>
      </c>
      <c r="X54" s="80"/>
      <c r="Y54" s="14" t="s">
        <v>23438</v>
      </c>
      <c r="Z54" s="81">
        <v>45691.612349537034</v>
      </c>
      <c r="AA54" s="79">
        <f>IFERROR((COUNTIFS('Base de Dados'!ED:ED,"Sim",'Base de Dados'!A:A,A54,'Base de Dados'!B:B,B54)/(COUNTIFS('Base de Dados'!ED:ED,"Sim",'Base de Dados'!A:A,A54,'Base de Dados'!B:B,B54)+(COUNTIFS('Base de Dados'!ED:ED,"Não",'Base de Dados'!A:A,A54,'Base de Dados'!B:B,B54)))),"Não Aplica")</f>
        <v>1</v>
      </c>
      <c r="AB54" s="14" t="s">
        <v>23434</v>
      </c>
      <c r="AC54" s="14" t="s">
        <v>24177</v>
      </c>
      <c r="AD54" s="14" t="s">
        <v>23842</v>
      </c>
      <c r="AE54" s="14" t="s">
        <v>23434</v>
      </c>
      <c r="AF54" s="14" t="s">
        <v>24178</v>
      </c>
      <c r="AG54" s="14" t="s">
        <v>22818</v>
      </c>
      <c r="AH54" s="80"/>
      <c r="AI54" s="14" t="s">
        <v>23438</v>
      </c>
      <c r="AJ54" s="81">
        <v>45692.542708333334</v>
      </c>
      <c r="AK54" s="82" t="s">
        <v>23446</v>
      </c>
      <c r="AL54" s="14" t="s">
        <v>23434</v>
      </c>
      <c r="AM54" s="14" t="s">
        <v>23439</v>
      </c>
      <c r="AN54" s="14" t="s">
        <v>24179</v>
      </c>
      <c r="AO54" s="14" t="s">
        <v>23842</v>
      </c>
      <c r="AP54" s="14" t="s">
        <v>23434</v>
      </c>
      <c r="AQ54" s="14" t="s">
        <v>23448</v>
      </c>
      <c r="AR54" s="14" t="s">
        <v>24180</v>
      </c>
      <c r="AS54" s="14" t="s">
        <v>23848</v>
      </c>
      <c r="AT54" s="14" t="s">
        <v>23434</v>
      </c>
      <c r="AU54" s="14" t="s">
        <v>23453</v>
      </c>
      <c r="AV54" s="14" t="s">
        <v>24181</v>
      </c>
      <c r="AW54" s="14" t="s">
        <v>23455</v>
      </c>
      <c r="AX54" s="14" t="s">
        <v>23434</v>
      </c>
      <c r="AY54" s="14" t="s">
        <v>23451</v>
      </c>
      <c r="AZ54" s="14" t="s">
        <v>24182</v>
      </c>
      <c r="BA54" s="14" t="s">
        <v>22818</v>
      </c>
      <c r="BB54" s="80"/>
      <c r="BC54" s="14" t="s">
        <v>23438</v>
      </c>
      <c r="BD54" s="81">
        <v>45722.48673611111</v>
      </c>
      <c r="BE54" s="79">
        <f>IFERROR((COUNTIFS('Base de Dados'!FD:FD,"Sim",'Base de Dados'!A:A,A54,'Base de Dados'!B:B,B54)/(COUNTIFS('Base de Dados'!FD:FD,"Sim",'Base de Dados'!A:A,A54,'Base de Dados'!B:B,B54)+(COUNTIFS('Base de Dados'!FD:FD,"Não",'Base de Dados'!A:A,A54,'Base de Dados'!B:B,B54)))),"Não Aplica")</f>
        <v>1</v>
      </c>
      <c r="BF54" s="14" t="s">
        <v>23434</v>
      </c>
      <c r="BG54" s="14" t="s">
        <v>23439</v>
      </c>
      <c r="BH54" s="14" t="s">
        <v>24183</v>
      </c>
      <c r="BI54" s="14" t="s">
        <v>23842</v>
      </c>
      <c r="BJ54" s="80"/>
      <c r="BK54" s="80"/>
      <c r="BL54" s="80"/>
      <c r="BM54" s="80"/>
      <c r="BN54" s="14" t="s">
        <v>23434</v>
      </c>
      <c r="BO54" s="14" t="s">
        <v>23453</v>
      </c>
      <c r="BP54" s="14" t="s">
        <v>24184</v>
      </c>
      <c r="BQ54" s="14" t="s">
        <v>23455</v>
      </c>
      <c r="BR54" s="14" t="s">
        <v>23434</v>
      </c>
      <c r="BS54" s="14" t="s">
        <v>23451</v>
      </c>
      <c r="BT54" s="14" t="s">
        <v>24185</v>
      </c>
      <c r="BU54" s="14" t="s">
        <v>22818</v>
      </c>
      <c r="BV54" s="80"/>
      <c r="BW54" s="14" t="s">
        <v>23438</v>
      </c>
      <c r="BX54" s="81">
        <v>45723.330775462964</v>
      </c>
      <c r="BY54" s="82" t="s">
        <v>23446</v>
      </c>
      <c r="BZ54" s="15"/>
      <c r="CA54" s="15"/>
      <c r="CB54" s="15"/>
      <c r="CC54" s="15"/>
      <c r="CD54" s="80"/>
      <c r="CE54" s="80"/>
      <c r="CF54" s="80"/>
      <c r="CG54" s="80"/>
      <c r="CH54" s="15"/>
      <c r="CI54" s="15"/>
      <c r="CJ54" s="15"/>
      <c r="CK54" s="15"/>
      <c r="CL54" s="15"/>
      <c r="CM54" s="15"/>
      <c r="CN54" s="15"/>
      <c r="CO54" s="15"/>
      <c r="CP54" s="80"/>
      <c r="CQ54" s="80" t="s">
        <v>23459</v>
      </c>
      <c r="CR54" s="83"/>
      <c r="CS54" s="84"/>
    </row>
    <row r="55">
      <c r="A55" s="78" t="s">
        <v>292</v>
      </c>
      <c r="B55" s="78" t="s">
        <v>7324</v>
      </c>
      <c r="C55" s="79">
        <f>IFERROR((COUNTIFS('Base de Dados'!BT:BT,"Sim",'Base de Dados'!A:A,A55,'Base de Dados'!B:B,B55)/(COUNTIFS('Base de Dados'!BT:BT,"Sim",'Base de Dados'!A:A,A55,'Base de Dados'!B:B,B55)+(COUNTIFS('Base de Dados'!BT:BT,"Não",'Base de Dados'!A:A,A55,'Base de Dados'!B:B,B55)))),"Não Aplica")</f>
        <v>1</v>
      </c>
      <c r="D55" s="14" t="s">
        <v>23434</v>
      </c>
      <c r="E55" s="14" t="s">
        <v>24186</v>
      </c>
      <c r="F55" s="14" t="s">
        <v>23436</v>
      </c>
      <c r="G55" s="14" t="s">
        <v>23434</v>
      </c>
      <c r="H55" s="14" t="s">
        <v>24187</v>
      </c>
      <c r="I55" s="14" t="s">
        <v>22818</v>
      </c>
      <c r="J55" s="80"/>
      <c r="K55" s="14" t="s">
        <v>23438</v>
      </c>
      <c r="L55" s="81">
        <v>45687.389652777776</v>
      </c>
      <c r="M55" s="79">
        <f>IFERROR((COUNTIFS('Base de Dados'!DF:DF,"Sim",'Base de Dados'!A:A,A55,'Base de Dados'!B:B,B55)/(COUNTIFS('Base de Dados'!DF:DF,"Sim",'Base de Dados'!A:A,A55,'Base de Dados'!B:B,B55)+(COUNTIFS('Base de Dados'!DF:DF,"Não",'Base de Dados'!A:A,A55,'Base de Dados'!B:B,B55)))),"Não Aplica")</f>
        <v>1</v>
      </c>
      <c r="N55" s="14" t="s">
        <v>23434</v>
      </c>
      <c r="O55" s="14" t="s">
        <v>23439</v>
      </c>
      <c r="P55" s="14" t="s">
        <v>24188</v>
      </c>
      <c r="Q55" s="14" t="s">
        <v>23842</v>
      </c>
      <c r="R55" s="14" t="s">
        <v>23434</v>
      </c>
      <c r="S55" s="14" t="s">
        <v>24189</v>
      </c>
      <c r="T55" s="14" t="s">
        <v>23436</v>
      </c>
      <c r="U55" s="14" t="s">
        <v>23434</v>
      </c>
      <c r="V55" s="14" t="s">
        <v>24190</v>
      </c>
      <c r="W55" s="14" t="s">
        <v>22818</v>
      </c>
      <c r="X55" s="80"/>
      <c r="Y55" s="14" t="s">
        <v>23438</v>
      </c>
      <c r="Z55" s="81">
        <v>45691.61237268519</v>
      </c>
      <c r="AA55" s="79">
        <f>IFERROR((COUNTIFS('Base de Dados'!ED:ED,"Sim",'Base de Dados'!A:A,A55,'Base de Dados'!B:B,B55)/(COUNTIFS('Base de Dados'!ED:ED,"Sim",'Base de Dados'!A:A,A55,'Base de Dados'!B:B,B55)+(COUNTIFS('Base de Dados'!ED:ED,"Não",'Base de Dados'!A:A,A55,'Base de Dados'!B:B,B55)))),"Não Aplica")</f>
        <v>1</v>
      </c>
      <c r="AB55" s="14" t="s">
        <v>23434</v>
      </c>
      <c r="AC55" s="14" t="s">
        <v>24191</v>
      </c>
      <c r="AD55" s="14" t="s">
        <v>23842</v>
      </c>
      <c r="AE55" s="14" t="s">
        <v>23434</v>
      </c>
      <c r="AF55" s="14" t="s">
        <v>24192</v>
      </c>
      <c r="AG55" s="14" t="s">
        <v>22818</v>
      </c>
      <c r="AH55" s="80"/>
      <c r="AI55" s="14" t="s">
        <v>23438</v>
      </c>
      <c r="AJ55" s="81">
        <v>45692.54273148148</v>
      </c>
      <c r="AK55" s="82" t="s">
        <v>23446</v>
      </c>
      <c r="AL55" s="14" t="s">
        <v>23434</v>
      </c>
      <c r="AM55" s="14" t="s">
        <v>23439</v>
      </c>
      <c r="AN55" s="14" t="s">
        <v>24193</v>
      </c>
      <c r="AO55" s="14" t="s">
        <v>23842</v>
      </c>
      <c r="AP55" s="14" t="s">
        <v>23434</v>
      </c>
      <c r="AQ55" s="14" t="s">
        <v>23448</v>
      </c>
      <c r="AR55" s="14" t="s">
        <v>24194</v>
      </c>
      <c r="AS55" s="14" t="s">
        <v>23848</v>
      </c>
      <c r="AT55" s="14" t="s">
        <v>23434</v>
      </c>
      <c r="AU55" s="14" t="s">
        <v>23453</v>
      </c>
      <c r="AV55" s="14" t="s">
        <v>24195</v>
      </c>
      <c r="AW55" s="14" t="s">
        <v>23455</v>
      </c>
      <c r="AX55" s="14" t="s">
        <v>23434</v>
      </c>
      <c r="AY55" s="14" t="s">
        <v>23451</v>
      </c>
      <c r="AZ55" s="14" t="s">
        <v>24196</v>
      </c>
      <c r="BA55" s="14" t="s">
        <v>22818</v>
      </c>
      <c r="BB55" s="80"/>
      <c r="BC55" s="14" t="s">
        <v>23438</v>
      </c>
      <c r="BD55" s="81">
        <v>45721.72493055555</v>
      </c>
      <c r="BE55" s="79">
        <f>IFERROR((COUNTIFS('Base de Dados'!FD:FD,"Sim",'Base de Dados'!A:A,A55,'Base de Dados'!B:B,B55)/(COUNTIFS('Base de Dados'!FD:FD,"Sim",'Base de Dados'!A:A,A55,'Base de Dados'!B:B,B55)+(COUNTIFS('Base de Dados'!FD:FD,"Não",'Base de Dados'!A:A,A55,'Base de Dados'!B:B,B55)))),"Não Aplica")</f>
        <v>1</v>
      </c>
      <c r="BF55" s="14" t="s">
        <v>23434</v>
      </c>
      <c r="BG55" s="14" t="s">
        <v>23439</v>
      </c>
      <c r="BH55" s="14" t="s">
        <v>24197</v>
      </c>
      <c r="BI55" s="14" t="s">
        <v>23842</v>
      </c>
      <c r="BJ55" s="80"/>
      <c r="BK55" s="80"/>
      <c r="BL55" s="80"/>
      <c r="BM55" s="80"/>
      <c r="BN55" s="14" t="s">
        <v>23434</v>
      </c>
      <c r="BO55" s="14" t="s">
        <v>23453</v>
      </c>
      <c r="BP55" s="14" t="s">
        <v>24198</v>
      </c>
      <c r="BQ55" s="14" t="s">
        <v>23455</v>
      </c>
      <c r="BR55" s="14" t="s">
        <v>23434</v>
      </c>
      <c r="BS55" s="14" t="s">
        <v>23451</v>
      </c>
      <c r="BT55" s="14" t="s">
        <v>24199</v>
      </c>
      <c r="BU55" s="14" t="s">
        <v>22818</v>
      </c>
      <c r="BV55" s="80"/>
      <c r="BW55" s="14" t="s">
        <v>23438</v>
      </c>
      <c r="BX55" s="81">
        <v>45723.32001157408</v>
      </c>
      <c r="BY55" s="82" t="s">
        <v>23446</v>
      </c>
      <c r="BZ55" s="15"/>
      <c r="CA55" s="15"/>
      <c r="CB55" s="15"/>
      <c r="CC55" s="15"/>
      <c r="CD55" s="80"/>
      <c r="CE55" s="80"/>
      <c r="CF55" s="80"/>
      <c r="CG55" s="80"/>
      <c r="CH55" s="15"/>
      <c r="CI55" s="15"/>
      <c r="CJ55" s="15"/>
      <c r="CK55" s="15"/>
      <c r="CL55" s="15"/>
      <c r="CM55" s="15"/>
      <c r="CN55" s="15"/>
      <c r="CO55" s="15"/>
      <c r="CP55" s="80"/>
      <c r="CQ55" s="80" t="s">
        <v>23459</v>
      </c>
      <c r="CR55" s="83"/>
      <c r="CS55" s="84"/>
    </row>
    <row r="56">
      <c r="A56" s="78" t="s">
        <v>292</v>
      </c>
      <c r="B56" s="78" t="s">
        <v>1809</v>
      </c>
      <c r="C56" s="79">
        <f>IFERROR((COUNTIFS('Base de Dados'!BT:BT,"Sim",'Base de Dados'!A:A,A56,'Base de Dados'!B:B,B56)/(COUNTIFS('Base de Dados'!BT:BT,"Sim",'Base de Dados'!A:A,A56,'Base de Dados'!B:B,B56)+(COUNTIFS('Base de Dados'!BT:BT,"Não",'Base de Dados'!A:A,A56,'Base de Dados'!B:B,B56)))),"Não Aplica")</f>
        <v>1</v>
      </c>
      <c r="D56" s="14" t="s">
        <v>23434</v>
      </c>
      <c r="E56" s="14" t="s">
        <v>24200</v>
      </c>
      <c r="F56" s="14" t="s">
        <v>23436</v>
      </c>
      <c r="G56" s="14" t="s">
        <v>23434</v>
      </c>
      <c r="H56" s="14" t="s">
        <v>24201</v>
      </c>
      <c r="I56" s="14" t="s">
        <v>22818</v>
      </c>
      <c r="J56" s="80"/>
      <c r="K56" s="14" t="s">
        <v>23438</v>
      </c>
      <c r="L56" s="81">
        <v>45687.38922453704</v>
      </c>
      <c r="M56" s="79">
        <f>IFERROR((COUNTIFS('Base de Dados'!DF:DF,"Sim",'Base de Dados'!A:A,A56,'Base de Dados'!B:B,B56)/(COUNTIFS('Base de Dados'!DF:DF,"Sim",'Base de Dados'!A:A,A56,'Base de Dados'!B:B,B56)+(COUNTIFS('Base de Dados'!DF:DF,"Não",'Base de Dados'!A:A,A56,'Base de Dados'!B:B,B56)))),"Não Aplica")</f>
        <v>1</v>
      </c>
      <c r="N56" s="14" t="s">
        <v>23434</v>
      </c>
      <c r="O56" s="14" t="s">
        <v>23439</v>
      </c>
      <c r="P56" s="14" t="s">
        <v>24202</v>
      </c>
      <c r="Q56" s="14" t="s">
        <v>23842</v>
      </c>
      <c r="R56" s="14" t="s">
        <v>23434</v>
      </c>
      <c r="S56" s="14" t="s">
        <v>24203</v>
      </c>
      <c r="T56" s="14" t="s">
        <v>23436</v>
      </c>
      <c r="U56" s="14" t="s">
        <v>23434</v>
      </c>
      <c r="V56" s="14" t="s">
        <v>24204</v>
      </c>
      <c r="W56" s="14" t="s">
        <v>22818</v>
      </c>
      <c r="X56" s="80"/>
      <c r="Y56" s="14" t="s">
        <v>23438</v>
      </c>
      <c r="Z56" s="81">
        <v>45691.61240740741</v>
      </c>
      <c r="AA56" s="79">
        <f>IFERROR((COUNTIFS('Base de Dados'!ED:ED,"Sim",'Base de Dados'!A:A,A56,'Base de Dados'!B:B,B56)/(COUNTIFS('Base de Dados'!ED:ED,"Sim",'Base de Dados'!A:A,A56,'Base de Dados'!B:B,B56)+(COUNTIFS('Base de Dados'!ED:ED,"Não",'Base de Dados'!A:A,A56,'Base de Dados'!B:B,B56)))),"Não Aplica")</f>
        <v>1</v>
      </c>
      <c r="AB56" s="14" t="s">
        <v>23434</v>
      </c>
      <c r="AC56" s="14" t="s">
        <v>24205</v>
      </c>
      <c r="AD56" s="14" t="s">
        <v>23842</v>
      </c>
      <c r="AE56" s="14" t="s">
        <v>23434</v>
      </c>
      <c r="AF56" s="14" t="s">
        <v>24206</v>
      </c>
      <c r="AG56" s="14" t="s">
        <v>22818</v>
      </c>
      <c r="AH56" s="80"/>
      <c r="AI56" s="14" t="s">
        <v>23438</v>
      </c>
      <c r="AJ56" s="81">
        <v>45692.54274305556</v>
      </c>
      <c r="AK56" s="82" t="s">
        <v>23446</v>
      </c>
      <c r="AL56" s="14" t="s">
        <v>23434</v>
      </c>
      <c r="AM56" s="14" t="s">
        <v>23439</v>
      </c>
      <c r="AN56" s="14" t="s">
        <v>24207</v>
      </c>
      <c r="AO56" s="14" t="s">
        <v>23842</v>
      </c>
      <c r="AP56" s="14" t="s">
        <v>23434</v>
      </c>
      <c r="AQ56" s="14" t="s">
        <v>23448</v>
      </c>
      <c r="AR56" s="14" t="s">
        <v>24208</v>
      </c>
      <c r="AS56" s="14" t="s">
        <v>23848</v>
      </c>
      <c r="AT56" s="14" t="s">
        <v>23434</v>
      </c>
      <c r="AU56" s="14" t="s">
        <v>23453</v>
      </c>
      <c r="AV56" s="14" t="s">
        <v>24209</v>
      </c>
      <c r="AW56" s="14" t="s">
        <v>23455</v>
      </c>
      <c r="AX56" s="14" t="s">
        <v>23434</v>
      </c>
      <c r="AY56" s="14" t="s">
        <v>23451</v>
      </c>
      <c r="AZ56" s="14" t="s">
        <v>24210</v>
      </c>
      <c r="BA56" s="14" t="s">
        <v>22818</v>
      </c>
      <c r="BB56" s="80"/>
      <c r="BC56" s="14" t="s">
        <v>23438</v>
      </c>
      <c r="BD56" s="81">
        <v>45722.759351851855</v>
      </c>
      <c r="BE56" s="79">
        <f>IFERROR((COUNTIFS('Base de Dados'!FD:FD,"Sim",'Base de Dados'!A:A,A56,'Base de Dados'!B:B,B56)/(COUNTIFS('Base de Dados'!FD:FD,"Sim",'Base de Dados'!A:A,A56,'Base de Dados'!B:B,B56)+(COUNTIFS('Base de Dados'!FD:FD,"Não",'Base de Dados'!A:A,A56,'Base de Dados'!B:B,B56)))),"Não Aplica")</f>
        <v>1</v>
      </c>
      <c r="BF56" s="14" t="s">
        <v>23434</v>
      </c>
      <c r="BG56" s="14" t="s">
        <v>23439</v>
      </c>
      <c r="BH56" s="14" t="s">
        <v>24211</v>
      </c>
      <c r="BI56" s="14" t="s">
        <v>23842</v>
      </c>
      <c r="BJ56" s="80"/>
      <c r="BK56" s="80"/>
      <c r="BL56" s="80"/>
      <c r="BM56" s="80"/>
      <c r="BN56" s="14" t="s">
        <v>23434</v>
      </c>
      <c r="BO56" s="14" t="s">
        <v>23453</v>
      </c>
      <c r="BP56" s="14" t="s">
        <v>24212</v>
      </c>
      <c r="BQ56" s="14" t="s">
        <v>23455</v>
      </c>
      <c r="BR56" s="14" t="s">
        <v>23434</v>
      </c>
      <c r="BS56" s="14" t="s">
        <v>23451</v>
      </c>
      <c r="BT56" s="14" t="s">
        <v>24213</v>
      </c>
      <c r="BU56" s="14" t="s">
        <v>22818</v>
      </c>
      <c r="BV56" s="80"/>
      <c r="BW56" s="14" t="s">
        <v>23438</v>
      </c>
      <c r="BX56" s="81">
        <v>45723.33079861111</v>
      </c>
      <c r="BY56" s="82" t="s">
        <v>23446</v>
      </c>
      <c r="BZ56" s="15"/>
      <c r="CA56" s="15"/>
      <c r="CB56" s="15"/>
      <c r="CC56" s="15"/>
      <c r="CD56" s="80"/>
      <c r="CE56" s="80"/>
      <c r="CF56" s="80"/>
      <c r="CG56" s="80"/>
      <c r="CH56" s="15"/>
      <c r="CI56" s="15"/>
      <c r="CJ56" s="15"/>
      <c r="CK56" s="15"/>
      <c r="CL56" s="15"/>
      <c r="CM56" s="15"/>
      <c r="CN56" s="15"/>
      <c r="CO56" s="15"/>
      <c r="CP56" s="80"/>
      <c r="CQ56" s="80" t="s">
        <v>23459</v>
      </c>
      <c r="CR56" s="83"/>
      <c r="CS56" s="84"/>
    </row>
    <row r="57">
      <c r="A57" s="78" t="s">
        <v>292</v>
      </c>
      <c r="B57" s="78" t="s">
        <v>1517</v>
      </c>
      <c r="C57" s="79">
        <f>IFERROR((COUNTIFS('Base de Dados'!BT:BT,"Sim",'Base de Dados'!A:A,A57,'Base de Dados'!B:B,B57)/(COUNTIFS('Base de Dados'!BT:BT,"Sim",'Base de Dados'!A:A,A57,'Base de Dados'!B:B,B57)+(COUNTIFS('Base de Dados'!BT:BT,"Não",'Base de Dados'!A:A,A57,'Base de Dados'!B:B,B57)))),"Não Aplica")</f>
        <v>1</v>
      </c>
      <c r="D57" s="14" t="s">
        <v>23434</v>
      </c>
      <c r="E57" s="14" t="s">
        <v>24214</v>
      </c>
      <c r="F57" s="14" t="s">
        <v>23436</v>
      </c>
      <c r="G57" s="14" t="s">
        <v>23434</v>
      </c>
      <c r="H57" s="14" t="s">
        <v>24215</v>
      </c>
      <c r="I57" s="14" t="s">
        <v>22818</v>
      </c>
      <c r="J57" s="80"/>
      <c r="K57" s="14" t="s">
        <v>23438</v>
      </c>
      <c r="L57" s="81">
        <v>45687.38928240741</v>
      </c>
      <c r="M57" s="79">
        <f>IFERROR((COUNTIFS('Base de Dados'!DF:DF,"Sim",'Base de Dados'!A:A,A57,'Base de Dados'!B:B,B57)/(COUNTIFS('Base de Dados'!DF:DF,"Sim",'Base de Dados'!A:A,A57,'Base de Dados'!B:B,B57)+(COUNTIFS('Base de Dados'!DF:DF,"Não",'Base de Dados'!A:A,A57,'Base de Dados'!B:B,B57)))),"Não Aplica")</f>
        <v>1</v>
      </c>
      <c r="N57" s="14" t="s">
        <v>23434</v>
      </c>
      <c r="O57" s="14" t="s">
        <v>23439</v>
      </c>
      <c r="P57" s="14" t="s">
        <v>24216</v>
      </c>
      <c r="Q57" s="14" t="s">
        <v>23842</v>
      </c>
      <c r="R57" s="14" t="s">
        <v>23434</v>
      </c>
      <c r="S57" s="14" t="s">
        <v>24217</v>
      </c>
      <c r="T57" s="14" t="s">
        <v>23436</v>
      </c>
      <c r="U57" s="14" t="s">
        <v>23434</v>
      </c>
      <c r="V57" s="14" t="s">
        <v>24218</v>
      </c>
      <c r="W57" s="14" t="s">
        <v>22818</v>
      </c>
      <c r="X57" s="80"/>
      <c r="Y57" s="14" t="s">
        <v>23438</v>
      </c>
      <c r="Z57" s="81">
        <v>45691.61243055556</v>
      </c>
      <c r="AA57" s="79">
        <f>IFERROR((COUNTIFS('Base de Dados'!ED:ED,"Sim",'Base de Dados'!A:A,A57,'Base de Dados'!B:B,B57)/(COUNTIFS('Base de Dados'!ED:ED,"Sim",'Base de Dados'!A:A,A57,'Base de Dados'!B:B,B57)+(COUNTIFS('Base de Dados'!ED:ED,"Não",'Base de Dados'!A:A,A57,'Base de Dados'!B:B,B57)))),"Não Aplica")</f>
        <v>1</v>
      </c>
      <c r="AB57" s="14" t="s">
        <v>23434</v>
      </c>
      <c r="AC57" s="14" t="s">
        <v>24219</v>
      </c>
      <c r="AD57" s="14" t="s">
        <v>23842</v>
      </c>
      <c r="AE57" s="14" t="s">
        <v>23434</v>
      </c>
      <c r="AF57" s="14" t="s">
        <v>24220</v>
      </c>
      <c r="AG57" s="14" t="s">
        <v>22818</v>
      </c>
      <c r="AH57" s="80"/>
      <c r="AI57" s="14" t="s">
        <v>23438</v>
      </c>
      <c r="AJ57" s="81">
        <v>45692.54278935185</v>
      </c>
      <c r="AK57" s="82" t="s">
        <v>23446</v>
      </c>
      <c r="AL57" s="14" t="s">
        <v>23434</v>
      </c>
      <c r="AM57" s="14" t="s">
        <v>23439</v>
      </c>
      <c r="AN57" s="14" t="s">
        <v>24221</v>
      </c>
      <c r="AO57" s="14" t="s">
        <v>23842</v>
      </c>
      <c r="AP57" s="14" t="s">
        <v>23434</v>
      </c>
      <c r="AQ57" s="14" t="s">
        <v>23448</v>
      </c>
      <c r="AR57" s="14" t="s">
        <v>24222</v>
      </c>
      <c r="AS57" s="14" t="s">
        <v>23848</v>
      </c>
      <c r="AT57" s="14" t="s">
        <v>23434</v>
      </c>
      <c r="AU57" s="14" t="s">
        <v>23453</v>
      </c>
      <c r="AV57" s="14" t="s">
        <v>24223</v>
      </c>
      <c r="AW57" s="14" t="s">
        <v>23455</v>
      </c>
      <c r="AX57" s="14" t="s">
        <v>23434</v>
      </c>
      <c r="AY57" s="14" t="s">
        <v>23451</v>
      </c>
      <c r="AZ57" s="14" t="s">
        <v>24224</v>
      </c>
      <c r="BA57" s="14" t="s">
        <v>22818</v>
      </c>
      <c r="BB57" s="80"/>
      <c r="BC57" s="14" t="s">
        <v>23438</v>
      </c>
      <c r="BD57" s="81">
        <v>45722.759421296294</v>
      </c>
      <c r="BE57" s="79">
        <f>IFERROR((COUNTIFS('Base de Dados'!FD:FD,"Sim",'Base de Dados'!A:A,A57,'Base de Dados'!B:B,B57)/(COUNTIFS('Base de Dados'!FD:FD,"Sim",'Base de Dados'!A:A,A57,'Base de Dados'!B:B,B57)+(COUNTIFS('Base de Dados'!FD:FD,"Não",'Base de Dados'!A:A,A57,'Base de Dados'!B:B,B57)))),"Não Aplica")</f>
        <v>1</v>
      </c>
      <c r="BF57" s="14" t="s">
        <v>23434</v>
      </c>
      <c r="BG57" s="14" t="s">
        <v>23439</v>
      </c>
      <c r="BH57" s="14" t="s">
        <v>24225</v>
      </c>
      <c r="BI57" s="14" t="s">
        <v>23842</v>
      </c>
      <c r="BJ57" s="80"/>
      <c r="BK57" s="80"/>
      <c r="BL57" s="80"/>
      <c r="BM57" s="80"/>
      <c r="BN57" s="14" t="s">
        <v>23434</v>
      </c>
      <c r="BO57" s="14" t="s">
        <v>23453</v>
      </c>
      <c r="BP57" s="14" t="s">
        <v>24226</v>
      </c>
      <c r="BQ57" s="14" t="s">
        <v>23455</v>
      </c>
      <c r="BR57" s="14" t="s">
        <v>23434</v>
      </c>
      <c r="BS57" s="14" t="s">
        <v>23451</v>
      </c>
      <c r="BT57" s="14" t="s">
        <v>24227</v>
      </c>
      <c r="BU57" s="14" t="s">
        <v>22818</v>
      </c>
      <c r="BV57" s="80"/>
      <c r="BW57" s="14" t="s">
        <v>23438</v>
      </c>
      <c r="BX57" s="81">
        <v>45723.33083333333</v>
      </c>
      <c r="BY57" s="82" t="s">
        <v>23446</v>
      </c>
      <c r="BZ57" s="15"/>
      <c r="CA57" s="15"/>
      <c r="CB57" s="15"/>
      <c r="CC57" s="15"/>
      <c r="CD57" s="80"/>
      <c r="CE57" s="80"/>
      <c r="CF57" s="80"/>
      <c r="CG57" s="80"/>
      <c r="CH57" s="15"/>
      <c r="CI57" s="15"/>
      <c r="CJ57" s="15"/>
      <c r="CK57" s="15"/>
      <c r="CL57" s="15"/>
      <c r="CM57" s="15"/>
      <c r="CN57" s="15"/>
      <c r="CO57" s="15"/>
      <c r="CP57" s="80"/>
      <c r="CQ57" s="80" t="s">
        <v>23459</v>
      </c>
      <c r="CR57" s="83"/>
      <c r="CS57" s="84"/>
    </row>
    <row r="58">
      <c r="A58" s="78" t="s">
        <v>292</v>
      </c>
      <c r="B58" s="78" t="s">
        <v>1452</v>
      </c>
      <c r="C58" s="79">
        <f>IFERROR((COUNTIFS('Base de Dados'!BT:BT,"Sim",'Base de Dados'!A:A,A58,'Base de Dados'!B:B,B58)/(COUNTIFS('Base de Dados'!BT:BT,"Sim",'Base de Dados'!A:A,A58,'Base de Dados'!B:B,B58)+(COUNTIFS('Base de Dados'!BT:BT,"Não",'Base de Dados'!A:A,A58,'Base de Dados'!B:B,B58)))),"Não Aplica")</f>
        <v>1</v>
      </c>
      <c r="D58" s="14" t="s">
        <v>23434</v>
      </c>
      <c r="E58" s="14" t="s">
        <v>24228</v>
      </c>
      <c r="F58" s="14" t="s">
        <v>23436</v>
      </c>
      <c r="G58" s="14" t="s">
        <v>23434</v>
      </c>
      <c r="H58" s="14" t="s">
        <v>24229</v>
      </c>
      <c r="I58" s="14" t="s">
        <v>22818</v>
      </c>
      <c r="J58" s="80"/>
      <c r="K58" s="14" t="s">
        <v>23438</v>
      </c>
      <c r="L58" s="81">
        <v>45687.38945601852</v>
      </c>
      <c r="M58" s="79">
        <f>IFERROR((COUNTIFS('Base de Dados'!DF:DF,"Sim",'Base de Dados'!A:A,A58,'Base de Dados'!B:B,B58)/(COUNTIFS('Base de Dados'!DF:DF,"Sim",'Base de Dados'!A:A,A58,'Base de Dados'!B:B,B58)+(COUNTIFS('Base de Dados'!DF:DF,"Não",'Base de Dados'!A:A,A58,'Base de Dados'!B:B,B58)))),"Não Aplica")</f>
        <v>1</v>
      </c>
      <c r="N58" s="14" t="s">
        <v>23434</v>
      </c>
      <c r="O58" s="14" t="s">
        <v>23439</v>
      </c>
      <c r="P58" s="14" t="s">
        <v>24230</v>
      </c>
      <c r="Q58" s="14" t="s">
        <v>23842</v>
      </c>
      <c r="R58" s="14" t="s">
        <v>23434</v>
      </c>
      <c r="S58" s="14" t="s">
        <v>24231</v>
      </c>
      <c r="T58" s="14" t="s">
        <v>23436</v>
      </c>
      <c r="U58" s="14" t="s">
        <v>23434</v>
      </c>
      <c r="V58" s="14" t="s">
        <v>24232</v>
      </c>
      <c r="W58" s="14" t="s">
        <v>22818</v>
      </c>
      <c r="X58" s="80"/>
      <c r="Y58" s="14" t="s">
        <v>23438</v>
      </c>
      <c r="Z58" s="81">
        <v>45691.61246527778</v>
      </c>
      <c r="AA58" s="79">
        <f>IFERROR((COUNTIFS('Base de Dados'!ED:ED,"Sim",'Base de Dados'!A:A,A58,'Base de Dados'!B:B,B58)/(COUNTIFS('Base de Dados'!ED:ED,"Sim",'Base de Dados'!A:A,A58,'Base de Dados'!B:B,B58)+(COUNTIFS('Base de Dados'!ED:ED,"Não",'Base de Dados'!A:A,A58,'Base de Dados'!B:B,B58)))),"Não Aplica")</f>
        <v>1</v>
      </c>
      <c r="AB58" s="14" t="s">
        <v>23434</v>
      </c>
      <c r="AC58" s="14" t="s">
        <v>24233</v>
      </c>
      <c r="AD58" s="14" t="s">
        <v>23842</v>
      </c>
      <c r="AE58" s="14" t="s">
        <v>23434</v>
      </c>
      <c r="AF58" s="14" t="s">
        <v>24234</v>
      </c>
      <c r="AG58" s="14" t="s">
        <v>22818</v>
      </c>
      <c r="AH58" s="80"/>
      <c r="AI58" s="14" t="s">
        <v>23438</v>
      </c>
      <c r="AJ58" s="81">
        <v>45692.542766203704</v>
      </c>
      <c r="AK58" s="82" t="s">
        <v>23446</v>
      </c>
      <c r="AL58" s="14" t="s">
        <v>23434</v>
      </c>
      <c r="AM58" s="14" t="s">
        <v>23439</v>
      </c>
      <c r="AN58" s="14" t="s">
        <v>24235</v>
      </c>
      <c r="AO58" s="14" t="s">
        <v>23842</v>
      </c>
      <c r="AP58" s="14" t="s">
        <v>23434</v>
      </c>
      <c r="AQ58" s="14" t="s">
        <v>23448</v>
      </c>
      <c r="AR58" s="14" t="s">
        <v>24236</v>
      </c>
      <c r="AS58" s="14" t="s">
        <v>23848</v>
      </c>
      <c r="AT58" s="14" t="s">
        <v>23434</v>
      </c>
      <c r="AU58" s="14" t="s">
        <v>23451</v>
      </c>
      <c r="AV58" s="14" t="s">
        <v>24237</v>
      </c>
      <c r="AW58" s="14" t="s">
        <v>22818</v>
      </c>
      <c r="AX58" s="14" t="s">
        <v>23434</v>
      </c>
      <c r="AY58" s="14" t="s">
        <v>23453</v>
      </c>
      <c r="AZ58" s="14" t="s">
        <v>24238</v>
      </c>
      <c r="BA58" s="14" t="s">
        <v>23455</v>
      </c>
      <c r="BB58" s="80"/>
      <c r="BC58" s="14" t="s">
        <v>23438</v>
      </c>
      <c r="BD58" s="81">
        <v>45722.49321759259</v>
      </c>
      <c r="BE58" s="79">
        <f>IFERROR((COUNTIFS('Base de Dados'!FD:FD,"Sim",'Base de Dados'!A:A,A58,'Base de Dados'!B:B,B58)/(COUNTIFS('Base de Dados'!FD:FD,"Sim",'Base de Dados'!A:A,A58,'Base de Dados'!B:B,B58)+(COUNTIFS('Base de Dados'!FD:FD,"Não",'Base de Dados'!A:A,A58,'Base de Dados'!B:B,B58)))),"Não Aplica")</f>
        <v>1</v>
      </c>
      <c r="BF58" s="14" t="s">
        <v>23434</v>
      </c>
      <c r="BG58" s="14" t="s">
        <v>23439</v>
      </c>
      <c r="BH58" s="14" t="s">
        <v>24239</v>
      </c>
      <c r="BI58" s="14" t="s">
        <v>23842</v>
      </c>
      <c r="BJ58" s="80"/>
      <c r="BK58" s="80"/>
      <c r="BL58" s="80"/>
      <c r="BM58" s="80"/>
      <c r="BN58" s="14" t="s">
        <v>23434</v>
      </c>
      <c r="BO58" s="14" t="s">
        <v>23453</v>
      </c>
      <c r="BP58" s="14" t="s">
        <v>24240</v>
      </c>
      <c r="BQ58" s="14" t="s">
        <v>23455</v>
      </c>
      <c r="BR58" s="14" t="s">
        <v>23434</v>
      </c>
      <c r="BS58" s="14" t="s">
        <v>23451</v>
      </c>
      <c r="BT58" s="14" t="s">
        <v>24241</v>
      </c>
      <c r="BU58" s="14" t="s">
        <v>22818</v>
      </c>
      <c r="BV58" s="80"/>
      <c r="BW58" s="14" t="s">
        <v>23438</v>
      </c>
      <c r="BX58" s="81">
        <v>45723.33086805556</v>
      </c>
      <c r="BY58" s="82" t="s">
        <v>23446</v>
      </c>
      <c r="BZ58" s="15"/>
      <c r="CA58" s="15"/>
      <c r="CB58" s="15"/>
      <c r="CC58" s="15"/>
      <c r="CD58" s="80"/>
      <c r="CE58" s="80"/>
      <c r="CF58" s="80"/>
      <c r="CG58" s="80"/>
      <c r="CH58" s="15"/>
      <c r="CI58" s="15"/>
      <c r="CJ58" s="15"/>
      <c r="CK58" s="15"/>
      <c r="CL58" s="15"/>
      <c r="CM58" s="15"/>
      <c r="CN58" s="15"/>
      <c r="CO58" s="15"/>
      <c r="CP58" s="80"/>
      <c r="CQ58" s="80" t="s">
        <v>23459</v>
      </c>
      <c r="CR58" s="83"/>
      <c r="CS58" s="84"/>
    </row>
    <row r="59">
      <c r="A59" s="78" t="s">
        <v>292</v>
      </c>
      <c r="B59" s="78" t="s">
        <v>1877</v>
      </c>
      <c r="C59" s="79">
        <f>IFERROR((COUNTIFS('Base de Dados'!BT:BT,"Sim",'Base de Dados'!A:A,A59,'Base de Dados'!B:B,B59)/(COUNTIFS('Base de Dados'!BT:BT,"Sim",'Base de Dados'!A:A,A59,'Base de Dados'!B:B,B59)+(COUNTIFS('Base de Dados'!BT:BT,"Não",'Base de Dados'!A:A,A59,'Base de Dados'!B:B,B59)))),"Não Aplica")</f>
        <v>1</v>
      </c>
      <c r="D59" s="14" t="s">
        <v>23434</v>
      </c>
      <c r="E59" s="14" t="s">
        <v>24242</v>
      </c>
      <c r="F59" s="14" t="s">
        <v>23436</v>
      </c>
      <c r="G59" s="14" t="s">
        <v>23434</v>
      </c>
      <c r="H59" s="14" t="s">
        <v>24243</v>
      </c>
      <c r="I59" s="14" t="s">
        <v>22818</v>
      </c>
      <c r="J59" s="80"/>
      <c r="K59" s="14" t="s">
        <v>23438</v>
      </c>
      <c r="L59" s="81">
        <v>45685.3115625</v>
      </c>
      <c r="M59" s="79">
        <f>IFERROR((COUNTIFS('Base de Dados'!DF:DF,"Sim",'Base de Dados'!A:A,A59,'Base de Dados'!B:B,B59)/(COUNTIFS('Base de Dados'!DF:DF,"Sim",'Base de Dados'!A:A,A59,'Base de Dados'!B:B,B59)+(COUNTIFS('Base de Dados'!DF:DF,"Não",'Base de Dados'!A:A,A59,'Base de Dados'!B:B,B59)))),"Não Aplica")</f>
        <v>1</v>
      </c>
      <c r="N59" s="14" t="s">
        <v>23434</v>
      </c>
      <c r="O59" s="14" t="s">
        <v>23439</v>
      </c>
      <c r="P59" s="14" t="s">
        <v>24244</v>
      </c>
      <c r="Q59" s="14" t="s">
        <v>23842</v>
      </c>
      <c r="R59" s="14" t="s">
        <v>23434</v>
      </c>
      <c r="S59" s="14" t="s">
        <v>24245</v>
      </c>
      <c r="T59" s="14" t="s">
        <v>23436</v>
      </c>
      <c r="U59" s="14" t="s">
        <v>23434</v>
      </c>
      <c r="V59" s="14" t="s">
        <v>24246</v>
      </c>
      <c r="W59" s="14" t="s">
        <v>22818</v>
      </c>
      <c r="X59" s="80"/>
      <c r="Y59" s="14" t="s">
        <v>23438</v>
      </c>
      <c r="Z59" s="81">
        <v>45691.61274305556</v>
      </c>
      <c r="AA59" s="79">
        <f>IFERROR((COUNTIFS('Base de Dados'!ED:ED,"Sim",'Base de Dados'!A:A,A59,'Base de Dados'!B:B,B59)/(COUNTIFS('Base de Dados'!ED:ED,"Sim",'Base de Dados'!A:A,A59,'Base de Dados'!B:B,B59)+(COUNTIFS('Base de Dados'!ED:ED,"Não",'Base de Dados'!A:A,A59,'Base de Dados'!B:B,B59)))),"Não Aplica")</f>
        <v>1</v>
      </c>
      <c r="AB59" s="14" t="s">
        <v>23434</v>
      </c>
      <c r="AC59" s="14" t="s">
        <v>24247</v>
      </c>
      <c r="AD59" s="14" t="s">
        <v>23842</v>
      </c>
      <c r="AE59" s="14" t="s">
        <v>23434</v>
      </c>
      <c r="AF59" s="14" t="s">
        <v>24248</v>
      </c>
      <c r="AG59" s="14" t="s">
        <v>22818</v>
      </c>
      <c r="AH59" s="80"/>
      <c r="AI59" s="14" t="s">
        <v>23438</v>
      </c>
      <c r="AJ59" s="81">
        <v>45692.5428125</v>
      </c>
      <c r="AK59" s="82" t="s">
        <v>23446</v>
      </c>
      <c r="AL59" s="14" t="s">
        <v>23434</v>
      </c>
      <c r="AM59" s="14" t="s">
        <v>23448</v>
      </c>
      <c r="AN59" s="14" t="s">
        <v>24249</v>
      </c>
      <c r="AO59" s="14" t="s">
        <v>23848</v>
      </c>
      <c r="AP59" s="14" t="s">
        <v>23434</v>
      </c>
      <c r="AQ59" s="14" t="s">
        <v>23439</v>
      </c>
      <c r="AR59" s="14" t="s">
        <v>24250</v>
      </c>
      <c r="AS59" s="14" t="s">
        <v>23842</v>
      </c>
      <c r="AT59" s="14" t="s">
        <v>23434</v>
      </c>
      <c r="AU59" s="14" t="s">
        <v>23453</v>
      </c>
      <c r="AV59" s="14" t="s">
        <v>24251</v>
      </c>
      <c r="AW59" s="14" t="s">
        <v>23455</v>
      </c>
      <c r="AX59" s="14" t="s">
        <v>23434</v>
      </c>
      <c r="AY59" s="14" t="s">
        <v>23451</v>
      </c>
      <c r="AZ59" s="14" t="s">
        <v>24252</v>
      </c>
      <c r="BA59" s="14" t="s">
        <v>22818</v>
      </c>
      <c r="BB59" s="80"/>
      <c r="BC59" s="14" t="s">
        <v>23438</v>
      </c>
      <c r="BD59" s="81">
        <v>45723.29777777778</v>
      </c>
      <c r="BE59" s="79">
        <f>IFERROR((COUNTIFS('Base de Dados'!FD:FD,"Sim",'Base de Dados'!A:A,A59,'Base de Dados'!B:B,B59)/(COUNTIFS('Base de Dados'!FD:FD,"Sim",'Base de Dados'!A:A,A59,'Base de Dados'!B:B,B59)+(COUNTIFS('Base de Dados'!FD:FD,"Não",'Base de Dados'!A:A,A59,'Base de Dados'!B:B,B59)))),"Não Aplica")</f>
        <v>1</v>
      </c>
      <c r="BF59" s="14" t="s">
        <v>23434</v>
      </c>
      <c r="BG59" s="14" t="s">
        <v>23439</v>
      </c>
      <c r="BH59" s="14" t="s">
        <v>24253</v>
      </c>
      <c r="BI59" s="14" t="s">
        <v>23842</v>
      </c>
      <c r="BJ59" s="80"/>
      <c r="BK59" s="80"/>
      <c r="BL59" s="80"/>
      <c r="BM59" s="80"/>
      <c r="BN59" s="14" t="s">
        <v>23434</v>
      </c>
      <c r="BO59" s="14" t="s">
        <v>23453</v>
      </c>
      <c r="BP59" s="14" t="s">
        <v>24254</v>
      </c>
      <c r="BQ59" s="14" t="s">
        <v>23455</v>
      </c>
      <c r="BR59" s="14" t="s">
        <v>23434</v>
      </c>
      <c r="BS59" s="14" t="s">
        <v>23451</v>
      </c>
      <c r="BT59" s="14" t="s">
        <v>24255</v>
      </c>
      <c r="BU59" s="14" t="s">
        <v>22818</v>
      </c>
      <c r="BV59" s="80"/>
      <c r="BW59" s="14" t="s">
        <v>23438</v>
      </c>
      <c r="BX59" s="81">
        <v>45723.33091435185</v>
      </c>
      <c r="BY59" s="82" t="s">
        <v>23446</v>
      </c>
      <c r="BZ59" s="15"/>
      <c r="CA59" s="15"/>
      <c r="CB59" s="15"/>
      <c r="CC59" s="15"/>
      <c r="CD59" s="80"/>
      <c r="CE59" s="80"/>
      <c r="CF59" s="80"/>
      <c r="CG59" s="80"/>
      <c r="CH59" s="15"/>
      <c r="CI59" s="15"/>
      <c r="CJ59" s="15"/>
      <c r="CK59" s="15"/>
      <c r="CL59" s="15"/>
      <c r="CM59" s="15"/>
      <c r="CN59" s="15"/>
      <c r="CO59" s="15"/>
      <c r="CP59" s="80"/>
      <c r="CQ59" s="80" t="s">
        <v>23459</v>
      </c>
      <c r="CR59" s="83"/>
      <c r="CS59" s="84"/>
    </row>
    <row r="60">
      <c r="A60" s="78" t="s">
        <v>292</v>
      </c>
      <c r="B60" s="78" t="s">
        <v>493</v>
      </c>
      <c r="C60" s="79">
        <f>IFERROR((COUNTIFS('Base de Dados'!BT:BT,"Sim",'Base de Dados'!A:A,A60,'Base de Dados'!B:B,B60)/(COUNTIFS('Base de Dados'!BT:BT,"Sim",'Base de Dados'!A:A,A60,'Base de Dados'!B:B,B60)+(COUNTIFS('Base de Dados'!BT:BT,"Não",'Base de Dados'!A:A,A60,'Base de Dados'!B:B,B60)))),"Não Aplica")</f>
        <v>1</v>
      </c>
      <c r="D60" s="14" t="s">
        <v>23434</v>
      </c>
      <c r="E60" s="14" t="s">
        <v>24256</v>
      </c>
      <c r="F60" s="14" t="s">
        <v>23436</v>
      </c>
      <c r="G60" s="14" t="s">
        <v>23434</v>
      </c>
      <c r="H60" s="14" t="s">
        <v>24257</v>
      </c>
      <c r="I60" s="14" t="s">
        <v>22818</v>
      </c>
      <c r="J60" s="80"/>
      <c r="K60" s="14" t="s">
        <v>23438</v>
      </c>
      <c r="L60" s="81">
        <v>45691.6091087963</v>
      </c>
      <c r="M60" s="79">
        <f>IFERROR((COUNTIFS('Base de Dados'!DF:DF,"Sim",'Base de Dados'!A:A,A60,'Base de Dados'!B:B,B60)/(COUNTIFS('Base de Dados'!DF:DF,"Sim",'Base de Dados'!A:A,A60,'Base de Dados'!B:B,B60)+(COUNTIFS('Base de Dados'!DF:DF,"Não",'Base de Dados'!A:A,A60,'Base de Dados'!B:B,B60)))),"Não Aplica")</f>
        <v>1</v>
      </c>
      <c r="N60" s="14" t="s">
        <v>23434</v>
      </c>
      <c r="O60" s="14" t="s">
        <v>23439</v>
      </c>
      <c r="P60" s="14" t="s">
        <v>24258</v>
      </c>
      <c r="Q60" s="14" t="s">
        <v>23842</v>
      </c>
      <c r="R60" s="14" t="s">
        <v>23434</v>
      </c>
      <c r="S60" s="14" t="s">
        <v>24259</v>
      </c>
      <c r="T60" s="14" t="s">
        <v>23436</v>
      </c>
      <c r="U60" s="14" t="s">
        <v>23434</v>
      </c>
      <c r="V60" s="14" t="s">
        <v>24260</v>
      </c>
      <c r="W60" s="14" t="s">
        <v>22818</v>
      </c>
      <c r="X60" s="80"/>
      <c r="Y60" s="14" t="s">
        <v>23438</v>
      </c>
      <c r="Z60" s="81">
        <v>45692.53513888889</v>
      </c>
      <c r="AA60" s="79">
        <f>IFERROR((COUNTIFS('Base de Dados'!ED:ED,"Sim",'Base de Dados'!A:A,A60,'Base de Dados'!B:B,B60)/(COUNTIFS('Base de Dados'!ED:ED,"Sim",'Base de Dados'!A:A,A60,'Base de Dados'!B:B,B60)+(COUNTIFS('Base de Dados'!ED:ED,"Não",'Base de Dados'!A:A,A60,'Base de Dados'!B:B,B60)))),"Não Aplica")</f>
        <v>1</v>
      </c>
      <c r="AB60" s="14" t="s">
        <v>23434</v>
      </c>
      <c r="AC60" s="14" t="s">
        <v>24261</v>
      </c>
      <c r="AD60" s="14" t="s">
        <v>23842</v>
      </c>
      <c r="AE60" s="14" t="s">
        <v>23434</v>
      </c>
      <c r="AF60" s="14" t="s">
        <v>24262</v>
      </c>
      <c r="AG60" s="14" t="s">
        <v>22818</v>
      </c>
      <c r="AH60" s="80"/>
      <c r="AI60" s="14" t="s">
        <v>23438</v>
      </c>
      <c r="AJ60" s="81">
        <v>45693.44865740741</v>
      </c>
      <c r="AK60" s="82" t="s">
        <v>23446</v>
      </c>
      <c r="AL60" s="14" t="s">
        <v>23434</v>
      </c>
      <c r="AM60" s="14" t="s">
        <v>23439</v>
      </c>
      <c r="AN60" s="14" t="s">
        <v>24263</v>
      </c>
      <c r="AO60" s="14" t="s">
        <v>23842</v>
      </c>
      <c r="AP60" s="14" t="s">
        <v>23434</v>
      </c>
      <c r="AQ60" s="14" t="s">
        <v>23448</v>
      </c>
      <c r="AR60" s="14" t="s">
        <v>24264</v>
      </c>
      <c r="AS60" s="14" t="s">
        <v>23848</v>
      </c>
      <c r="AT60" s="14" t="s">
        <v>23434</v>
      </c>
      <c r="AU60" s="14" t="s">
        <v>23453</v>
      </c>
      <c r="AV60" s="14" t="s">
        <v>24265</v>
      </c>
      <c r="AW60" s="14" t="s">
        <v>23455</v>
      </c>
      <c r="AX60" s="14" t="s">
        <v>23434</v>
      </c>
      <c r="AY60" s="14" t="s">
        <v>23451</v>
      </c>
      <c r="AZ60" s="14" t="s">
        <v>24266</v>
      </c>
      <c r="BA60" s="14" t="s">
        <v>22818</v>
      </c>
      <c r="BB60" s="80"/>
      <c r="BC60" s="14" t="s">
        <v>23438</v>
      </c>
      <c r="BD60" s="81">
        <v>45721.724965277775</v>
      </c>
      <c r="BE60" s="79">
        <f>IFERROR((COUNTIFS('Base de Dados'!FD:FD,"Sim",'Base de Dados'!A:A,A60,'Base de Dados'!B:B,B60)/(COUNTIFS('Base de Dados'!FD:FD,"Sim",'Base de Dados'!A:A,A60,'Base de Dados'!B:B,B60)+(COUNTIFS('Base de Dados'!FD:FD,"Não",'Base de Dados'!A:A,A60,'Base de Dados'!B:B,B60)))),"Não Aplica")</f>
        <v>1</v>
      </c>
      <c r="BF60" s="14" t="s">
        <v>23434</v>
      </c>
      <c r="BG60" s="14" t="s">
        <v>23439</v>
      </c>
      <c r="BH60" s="14" t="s">
        <v>24267</v>
      </c>
      <c r="BI60" s="14" t="s">
        <v>23842</v>
      </c>
      <c r="BJ60" s="80"/>
      <c r="BK60" s="80"/>
      <c r="BL60" s="80"/>
      <c r="BM60" s="80"/>
      <c r="BN60" s="14" t="s">
        <v>23434</v>
      </c>
      <c r="BO60" s="14" t="s">
        <v>23453</v>
      </c>
      <c r="BP60" s="14" t="s">
        <v>24268</v>
      </c>
      <c r="BQ60" s="14" t="s">
        <v>23455</v>
      </c>
      <c r="BR60" s="14" t="s">
        <v>23434</v>
      </c>
      <c r="BS60" s="14" t="s">
        <v>23451</v>
      </c>
      <c r="BT60" s="14" t="s">
        <v>24269</v>
      </c>
      <c r="BU60" s="14" t="s">
        <v>22818</v>
      </c>
      <c r="BV60" s="80"/>
      <c r="BW60" s="14" t="s">
        <v>23438</v>
      </c>
      <c r="BX60" s="81">
        <v>45723.33152777778</v>
      </c>
      <c r="BY60" s="82" t="s">
        <v>23446</v>
      </c>
      <c r="BZ60" s="15"/>
      <c r="CA60" s="15"/>
      <c r="CB60" s="15"/>
      <c r="CC60" s="15"/>
      <c r="CD60" s="80"/>
      <c r="CE60" s="80"/>
      <c r="CF60" s="80"/>
      <c r="CG60" s="80"/>
      <c r="CH60" s="15"/>
      <c r="CI60" s="15"/>
      <c r="CJ60" s="15"/>
      <c r="CK60" s="15"/>
      <c r="CL60" s="15"/>
      <c r="CM60" s="15"/>
      <c r="CN60" s="15"/>
      <c r="CO60" s="15"/>
      <c r="CP60" s="80"/>
      <c r="CQ60" s="80" t="s">
        <v>23459</v>
      </c>
      <c r="CR60" s="83"/>
      <c r="CS60" s="84"/>
    </row>
    <row r="61">
      <c r="A61" s="78" t="s">
        <v>292</v>
      </c>
      <c r="B61" s="78" t="s">
        <v>23094</v>
      </c>
      <c r="C61" s="79" t="str">
        <f>IFERROR((COUNTIFS('Base de Dados'!BT:BT,"Sim",'Base de Dados'!A:A,A61,'Base de Dados'!B:B,B61)/(COUNTIFS('Base de Dados'!BT:BT,"Sim",'Base de Dados'!A:A,A61,'Base de Dados'!B:B,B61)+(COUNTIFS('Base de Dados'!BT:BT,"Não",'Base de Dados'!A:A,A61,'Base de Dados'!B:B,B61)))),"Não Aplica")</f>
        <v>Não Aplica</v>
      </c>
      <c r="D61" s="14" t="s">
        <v>23434</v>
      </c>
      <c r="E61" s="14" t="s">
        <v>24270</v>
      </c>
      <c r="F61" s="14" t="s">
        <v>23436</v>
      </c>
      <c r="G61" s="14" t="s">
        <v>23434</v>
      </c>
      <c r="H61" s="14" t="s">
        <v>24271</v>
      </c>
      <c r="I61" s="14" t="s">
        <v>22818</v>
      </c>
      <c r="J61" s="80"/>
      <c r="K61" s="14" t="s">
        <v>23438</v>
      </c>
      <c r="L61" s="81">
        <v>45691.6090625</v>
      </c>
      <c r="M61" s="79" t="str">
        <f>IFERROR((COUNTIFS('Base de Dados'!DF:DF,"Sim",'Base de Dados'!A:A,A61,'Base de Dados'!B:B,B61)/(COUNTIFS('Base de Dados'!DF:DF,"Sim",'Base de Dados'!A:A,A61,'Base de Dados'!B:B,B61)+(COUNTIFS('Base de Dados'!DF:DF,"Não",'Base de Dados'!A:A,A61,'Base de Dados'!B:B,B61)))),"Não Aplica")</f>
        <v>Não Aplica</v>
      </c>
      <c r="N61" s="14" t="s">
        <v>23434</v>
      </c>
      <c r="O61" s="14" t="s">
        <v>23439</v>
      </c>
      <c r="P61" s="14" t="s">
        <v>24272</v>
      </c>
      <c r="Q61" s="14" t="s">
        <v>23842</v>
      </c>
      <c r="R61" s="14" t="s">
        <v>23434</v>
      </c>
      <c r="S61" s="14" t="s">
        <v>24273</v>
      </c>
      <c r="T61" s="14" t="s">
        <v>23436</v>
      </c>
      <c r="U61" s="14" t="s">
        <v>23434</v>
      </c>
      <c r="V61" s="14" t="s">
        <v>24274</v>
      </c>
      <c r="W61" s="14" t="s">
        <v>22818</v>
      </c>
      <c r="X61" s="80"/>
      <c r="Y61" s="14" t="s">
        <v>23438</v>
      </c>
      <c r="Z61" s="81">
        <v>45692.53559027778</v>
      </c>
      <c r="AA61" s="79" t="str">
        <f>IFERROR((COUNTIFS('Base de Dados'!ED:ED,"Sim",'Base de Dados'!A:A,A61,'Base de Dados'!B:B,B61)/(COUNTIFS('Base de Dados'!ED:ED,"Sim",'Base de Dados'!A:A,A61,'Base de Dados'!B:B,B61)+(COUNTIFS('Base de Dados'!ED:ED,"Não",'Base de Dados'!A:A,A61,'Base de Dados'!B:B,B61)))),"Não Aplica")</f>
        <v>Não Aplica</v>
      </c>
      <c r="AB61" s="14" t="s">
        <v>228</v>
      </c>
      <c r="AC61" s="14" t="s">
        <v>24275</v>
      </c>
      <c r="AD61" s="14" t="s">
        <v>23842</v>
      </c>
      <c r="AE61" s="14" t="s">
        <v>228</v>
      </c>
      <c r="AF61" s="14" t="s">
        <v>24276</v>
      </c>
      <c r="AG61" s="14" t="s">
        <v>22818</v>
      </c>
      <c r="AH61" s="80"/>
      <c r="AI61" s="14" t="s">
        <v>23438</v>
      </c>
      <c r="AJ61" s="81">
        <v>45693.44878472222</v>
      </c>
      <c r="AK61" s="82" t="s">
        <v>23446</v>
      </c>
      <c r="AL61" s="14" t="s">
        <v>23434</v>
      </c>
      <c r="AM61" s="14" t="s">
        <v>23439</v>
      </c>
      <c r="AN61" s="14" t="s">
        <v>24277</v>
      </c>
      <c r="AO61" s="14" t="s">
        <v>23842</v>
      </c>
      <c r="AP61" s="14" t="s">
        <v>23434</v>
      </c>
      <c r="AQ61" s="14" t="s">
        <v>23448</v>
      </c>
      <c r="AR61" s="14" t="s">
        <v>24278</v>
      </c>
      <c r="AS61" s="14" t="s">
        <v>23848</v>
      </c>
      <c r="AT61" s="14" t="s">
        <v>23434</v>
      </c>
      <c r="AU61" s="14" t="s">
        <v>23453</v>
      </c>
      <c r="AV61" s="14" t="s">
        <v>24279</v>
      </c>
      <c r="AW61" s="14" t="s">
        <v>23455</v>
      </c>
      <c r="AX61" s="14" t="s">
        <v>23434</v>
      </c>
      <c r="AY61" s="14" t="s">
        <v>23451</v>
      </c>
      <c r="AZ61" s="14" t="s">
        <v>24280</v>
      </c>
      <c r="BA61" s="14" t="s">
        <v>22818</v>
      </c>
      <c r="BB61" s="80"/>
      <c r="BC61" s="14" t="s">
        <v>23438</v>
      </c>
      <c r="BD61" s="81">
        <v>45722.486909722225</v>
      </c>
      <c r="BE61" s="79" t="str">
        <f>IFERROR((COUNTIFS('Base de Dados'!FD:FD,"Sim",'Base de Dados'!A:A,A61,'Base de Dados'!B:B,B61)/(COUNTIFS('Base de Dados'!FD:FD,"Sim",'Base de Dados'!A:A,A61,'Base de Dados'!B:B,B61)+(COUNTIFS('Base de Dados'!FD:FD,"Não",'Base de Dados'!A:A,A61,'Base de Dados'!B:B,B61)))),"Não Aplica")</f>
        <v>Não Aplica</v>
      </c>
      <c r="BF61" s="14" t="s">
        <v>228</v>
      </c>
      <c r="BG61" s="14" t="s">
        <v>23439</v>
      </c>
      <c r="BH61" s="14" t="s">
        <v>24281</v>
      </c>
      <c r="BI61" s="14" t="s">
        <v>23842</v>
      </c>
      <c r="BJ61" s="80"/>
      <c r="BK61" s="80"/>
      <c r="BL61" s="80"/>
      <c r="BM61" s="80"/>
      <c r="BN61" s="14" t="s">
        <v>228</v>
      </c>
      <c r="BO61" s="14" t="s">
        <v>23453</v>
      </c>
      <c r="BP61" s="14" t="s">
        <v>24282</v>
      </c>
      <c r="BQ61" s="14" t="s">
        <v>23455</v>
      </c>
      <c r="BR61" s="14" t="s">
        <v>228</v>
      </c>
      <c r="BS61" s="15"/>
      <c r="BT61" s="14" t="s">
        <v>24283</v>
      </c>
      <c r="BU61" s="14" t="s">
        <v>22818</v>
      </c>
      <c r="BV61" s="80"/>
      <c r="BW61" s="14" t="s">
        <v>23438</v>
      </c>
      <c r="BX61" s="81">
        <v>45723.61033564815</v>
      </c>
      <c r="BY61" s="82" t="s">
        <v>23446</v>
      </c>
      <c r="BZ61" s="15"/>
      <c r="CA61" s="15"/>
      <c r="CB61" s="15"/>
      <c r="CC61" s="15"/>
      <c r="CD61" s="80"/>
      <c r="CE61" s="80"/>
      <c r="CF61" s="80"/>
      <c r="CG61" s="80"/>
      <c r="CH61" s="15"/>
      <c r="CI61" s="15"/>
      <c r="CJ61" s="15"/>
      <c r="CK61" s="15"/>
      <c r="CL61" s="15"/>
      <c r="CM61" s="15"/>
      <c r="CN61" s="15"/>
      <c r="CO61" s="15"/>
      <c r="CP61" s="80"/>
      <c r="CQ61" s="80" t="s">
        <v>23459</v>
      </c>
      <c r="CR61" s="83"/>
      <c r="CS61" s="84"/>
    </row>
    <row r="62">
      <c r="A62" s="78" t="s">
        <v>292</v>
      </c>
      <c r="B62" s="78" t="s">
        <v>10753</v>
      </c>
      <c r="C62" s="79">
        <f>IFERROR((COUNTIFS('Base de Dados'!BT:BT,"Sim",'Base de Dados'!A:A,A62,'Base de Dados'!B:B,B62)/(COUNTIFS('Base de Dados'!BT:BT,"Sim",'Base de Dados'!A:A,A62,'Base de Dados'!B:B,B62)+(COUNTIFS('Base de Dados'!BT:BT,"Não",'Base de Dados'!A:A,A62,'Base de Dados'!B:B,B62)))),"Não Aplica")</f>
        <v>1</v>
      </c>
      <c r="D62" s="14" t="s">
        <v>23434</v>
      </c>
      <c r="E62" s="14" t="s">
        <v>24284</v>
      </c>
      <c r="F62" s="14" t="s">
        <v>23436</v>
      </c>
      <c r="G62" s="14" t="s">
        <v>23434</v>
      </c>
      <c r="H62" s="14" t="s">
        <v>24285</v>
      </c>
      <c r="I62" s="14" t="s">
        <v>22818</v>
      </c>
      <c r="J62" s="80"/>
      <c r="K62" s="14" t="s">
        <v>23438</v>
      </c>
      <c r="L62" s="81">
        <v>45691.609085648146</v>
      </c>
      <c r="M62" s="79">
        <f>IFERROR((COUNTIFS('Base de Dados'!DF:DF,"Sim",'Base de Dados'!A:A,A62,'Base de Dados'!B:B,B62)/(COUNTIFS('Base de Dados'!DF:DF,"Sim",'Base de Dados'!A:A,A62,'Base de Dados'!B:B,B62)+(COUNTIFS('Base de Dados'!DF:DF,"Não",'Base de Dados'!A:A,A62,'Base de Dados'!B:B,B62)))),"Não Aplica")</f>
        <v>1</v>
      </c>
      <c r="N62" s="14" t="s">
        <v>23434</v>
      </c>
      <c r="O62" s="14" t="s">
        <v>23439</v>
      </c>
      <c r="P62" s="14" t="s">
        <v>24286</v>
      </c>
      <c r="Q62" s="14" t="s">
        <v>23842</v>
      </c>
      <c r="R62" s="14" t="s">
        <v>23434</v>
      </c>
      <c r="S62" s="14" t="s">
        <v>24287</v>
      </c>
      <c r="T62" s="14" t="s">
        <v>23436</v>
      </c>
      <c r="U62" s="14" t="s">
        <v>23434</v>
      </c>
      <c r="V62" s="14" t="s">
        <v>24288</v>
      </c>
      <c r="W62" s="14" t="s">
        <v>22818</v>
      </c>
      <c r="X62" s="80"/>
      <c r="Y62" s="14" t="s">
        <v>23438</v>
      </c>
      <c r="Z62" s="81">
        <v>45692.535416666666</v>
      </c>
      <c r="AA62" s="79">
        <f>IFERROR((COUNTIFS('Base de Dados'!ED:ED,"Sim",'Base de Dados'!A:A,A62,'Base de Dados'!B:B,B62)/(COUNTIFS('Base de Dados'!ED:ED,"Sim",'Base de Dados'!A:A,A62,'Base de Dados'!B:B,B62)+(COUNTIFS('Base de Dados'!ED:ED,"Não",'Base de Dados'!A:A,A62,'Base de Dados'!B:B,B62)))),"Não Aplica")</f>
        <v>1</v>
      </c>
      <c r="AB62" s="14" t="s">
        <v>23434</v>
      </c>
      <c r="AC62" s="14" t="s">
        <v>24289</v>
      </c>
      <c r="AD62" s="14" t="s">
        <v>23842</v>
      </c>
      <c r="AE62" s="14" t="s">
        <v>23434</v>
      </c>
      <c r="AF62" s="14" t="s">
        <v>24290</v>
      </c>
      <c r="AG62" s="14" t="s">
        <v>22818</v>
      </c>
      <c r="AH62" s="80"/>
      <c r="AI62" s="14" t="s">
        <v>23438</v>
      </c>
      <c r="AJ62" s="81">
        <v>45693.44868055556</v>
      </c>
      <c r="AK62" s="82" t="s">
        <v>23446</v>
      </c>
      <c r="AL62" s="14" t="s">
        <v>23434</v>
      </c>
      <c r="AM62" s="14" t="s">
        <v>23439</v>
      </c>
      <c r="AN62" s="14" t="s">
        <v>24291</v>
      </c>
      <c r="AO62" s="14" t="s">
        <v>23842</v>
      </c>
      <c r="AP62" s="14" t="s">
        <v>23434</v>
      </c>
      <c r="AQ62" s="14" t="s">
        <v>23448</v>
      </c>
      <c r="AR62" s="14" t="s">
        <v>24292</v>
      </c>
      <c r="AS62" s="14" t="s">
        <v>23848</v>
      </c>
      <c r="AT62" s="14" t="s">
        <v>23434</v>
      </c>
      <c r="AU62" s="14" t="s">
        <v>23451</v>
      </c>
      <c r="AV62" s="14" t="s">
        <v>24293</v>
      </c>
      <c r="AW62" s="14" t="s">
        <v>22818</v>
      </c>
      <c r="AX62" s="14" t="s">
        <v>23434</v>
      </c>
      <c r="AY62" s="14" t="s">
        <v>23453</v>
      </c>
      <c r="AZ62" s="14" t="s">
        <v>24294</v>
      </c>
      <c r="BA62" s="14" t="s">
        <v>23455</v>
      </c>
      <c r="BB62" s="80"/>
      <c r="BC62" s="14" t="s">
        <v>23438</v>
      </c>
      <c r="BD62" s="81">
        <v>45722.493252314816</v>
      </c>
      <c r="BE62" s="79">
        <f>IFERROR((COUNTIFS('Base de Dados'!FD:FD,"Sim",'Base de Dados'!A:A,A62,'Base de Dados'!B:B,B62)/(COUNTIFS('Base de Dados'!FD:FD,"Sim",'Base de Dados'!A:A,A62,'Base de Dados'!B:B,B62)+(COUNTIFS('Base de Dados'!FD:FD,"Não",'Base de Dados'!A:A,A62,'Base de Dados'!B:B,B62)))),"Não Aplica")</f>
        <v>1</v>
      </c>
      <c r="BF62" s="14" t="s">
        <v>23434</v>
      </c>
      <c r="BG62" s="14" t="s">
        <v>23439</v>
      </c>
      <c r="BH62" s="14" t="s">
        <v>24295</v>
      </c>
      <c r="BI62" s="14" t="s">
        <v>23842</v>
      </c>
      <c r="BJ62" s="80"/>
      <c r="BK62" s="80"/>
      <c r="BL62" s="80"/>
      <c r="BM62" s="80"/>
      <c r="BN62" s="14" t="s">
        <v>23434</v>
      </c>
      <c r="BO62" s="14" t="s">
        <v>23453</v>
      </c>
      <c r="BP62" s="14" t="s">
        <v>24296</v>
      </c>
      <c r="BQ62" s="14" t="s">
        <v>23455</v>
      </c>
      <c r="BR62" s="14" t="s">
        <v>23434</v>
      </c>
      <c r="BS62" s="14" t="s">
        <v>23451</v>
      </c>
      <c r="BT62" s="14" t="s">
        <v>24297</v>
      </c>
      <c r="BU62" s="14" t="s">
        <v>22818</v>
      </c>
      <c r="BV62" s="80"/>
      <c r="BW62" s="14" t="s">
        <v>23438</v>
      </c>
      <c r="BX62" s="81">
        <v>45723.331782407404</v>
      </c>
      <c r="BY62" s="82" t="s">
        <v>23446</v>
      </c>
      <c r="BZ62" s="15"/>
      <c r="CA62" s="15"/>
      <c r="CB62" s="15"/>
      <c r="CC62" s="15"/>
      <c r="CD62" s="80"/>
      <c r="CE62" s="80"/>
      <c r="CF62" s="80"/>
      <c r="CG62" s="80"/>
      <c r="CH62" s="15"/>
      <c r="CI62" s="15"/>
      <c r="CJ62" s="15"/>
      <c r="CK62" s="15"/>
      <c r="CL62" s="15"/>
      <c r="CM62" s="15"/>
      <c r="CN62" s="15"/>
      <c r="CO62" s="15"/>
      <c r="CP62" s="80"/>
      <c r="CQ62" s="80" t="s">
        <v>23459</v>
      </c>
      <c r="CR62" s="83"/>
      <c r="CS62" s="84"/>
    </row>
    <row r="63">
      <c r="A63" s="78" t="s">
        <v>292</v>
      </c>
      <c r="B63" s="78" t="s">
        <v>1420</v>
      </c>
      <c r="C63" s="79">
        <f>IFERROR((COUNTIFS('Base de Dados'!BT:BT,"Sim",'Base de Dados'!A:A,A63,'Base de Dados'!B:B,B63)/(COUNTIFS('Base de Dados'!BT:BT,"Sim",'Base de Dados'!A:A,A63,'Base de Dados'!B:B,B63)+(COUNTIFS('Base de Dados'!BT:BT,"Não",'Base de Dados'!A:A,A63,'Base de Dados'!B:B,B63)))),"Não Aplica")</f>
        <v>1</v>
      </c>
      <c r="D63" s="14" t="s">
        <v>23434</v>
      </c>
      <c r="E63" s="14" t="s">
        <v>24298</v>
      </c>
      <c r="F63" s="14" t="s">
        <v>23436</v>
      </c>
      <c r="G63" s="14" t="s">
        <v>23434</v>
      </c>
      <c r="H63" s="14" t="s">
        <v>24299</v>
      </c>
      <c r="I63" s="14" t="s">
        <v>22818</v>
      </c>
      <c r="J63" s="80"/>
      <c r="K63" s="14" t="s">
        <v>23438</v>
      </c>
      <c r="L63" s="81">
        <v>45691.60895833333</v>
      </c>
      <c r="M63" s="79">
        <f>IFERROR((COUNTIFS('Base de Dados'!DF:DF,"Sim",'Base de Dados'!A:A,A63,'Base de Dados'!B:B,B63)/(COUNTIFS('Base de Dados'!DF:DF,"Sim",'Base de Dados'!A:A,A63,'Base de Dados'!B:B,B63)+(COUNTIFS('Base de Dados'!DF:DF,"Não",'Base de Dados'!A:A,A63,'Base de Dados'!B:B,B63)))),"Não Aplica")</f>
        <v>1</v>
      </c>
      <c r="N63" s="14" t="s">
        <v>23434</v>
      </c>
      <c r="O63" s="14" t="s">
        <v>23439</v>
      </c>
      <c r="P63" s="14" t="s">
        <v>24300</v>
      </c>
      <c r="Q63" s="14" t="s">
        <v>23842</v>
      </c>
      <c r="R63" s="14" t="s">
        <v>23434</v>
      </c>
      <c r="S63" s="14" t="s">
        <v>24301</v>
      </c>
      <c r="T63" s="14" t="s">
        <v>23436</v>
      </c>
      <c r="U63" s="14" t="s">
        <v>23434</v>
      </c>
      <c r="V63" s="14" t="s">
        <v>24302</v>
      </c>
      <c r="W63" s="14" t="s">
        <v>22818</v>
      </c>
      <c r="X63" s="80"/>
      <c r="Y63" s="14" t="s">
        <v>23438</v>
      </c>
      <c r="Z63" s="81">
        <v>45692.53548611111</v>
      </c>
      <c r="AA63" s="79">
        <f>IFERROR((COUNTIFS('Base de Dados'!ED:ED,"Sim",'Base de Dados'!A:A,A63,'Base de Dados'!B:B,B63)/(COUNTIFS('Base de Dados'!ED:ED,"Sim",'Base de Dados'!A:A,A63,'Base de Dados'!B:B,B63)+(COUNTIFS('Base de Dados'!ED:ED,"Não",'Base de Dados'!A:A,A63,'Base de Dados'!B:B,B63)))),"Não Aplica")</f>
        <v>1</v>
      </c>
      <c r="AB63" s="14" t="s">
        <v>23434</v>
      </c>
      <c r="AC63" s="14" t="s">
        <v>24303</v>
      </c>
      <c r="AD63" s="14" t="s">
        <v>23842</v>
      </c>
      <c r="AE63" s="14" t="s">
        <v>23434</v>
      </c>
      <c r="AF63" s="14" t="s">
        <v>24304</v>
      </c>
      <c r="AG63" s="14" t="s">
        <v>22818</v>
      </c>
      <c r="AH63" s="80"/>
      <c r="AI63" s="14" t="s">
        <v>23438</v>
      </c>
      <c r="AJ63" s="81">
        <v>45693.4487037037</v>
      </c>
      <c r="AK63" s="82" t="s">
        <v>23446</v>
      </c>
      <c r="AL63" s="14" t="s">
        <v>23434</v>
      </c>
      <c r="AM63" s="14" t="s">
        <v>23439</v>
      </c>
      <c r="AN63" s="14" t="s">
        <v>24305</v>
      </c>
      <c r="AO63" s="14" t="s">
        <v>23842</v>
      </c>
      <c r="AP63" s="14" t="s">
        <v>23434</v>
      </c>
      <c r="AQ63" s="14" t="s">
        <v>23448</v>
      </c>
      <c r="AR63" s="14" t="s">
        <v>24306</v>
      </c>
      <c r="AS63" s="14" t="s">
        <v>23848</v>
      </c>
      <c r="AT63" s="14" t="s">
        <v>23434</v>
      </c>
      <c r="AU63" s="14" t="s">
        <v>23453</v>
      </c>
      <c r="AV63" s="14" t="s">
        <v>24307</v>
      </c>
      <c r="AW63" s="14" t="s">
        <v>23455</v>
      </c>
      <c r="AX63" s="14" t="s">
        <v>23434</v>
      </c>
      <c r="AY63" s="14" t="s">
        <v>23451</v>
      </c>
      <c r="AZ63" s="14" t="s">
        <v>24308</v>
      </c>
      <c r="BA63" s="14" t="s">
        <v>22818</v>
      </c>
      <c r="BB63" s="80"/>
      <c r="BC63" s="14" t="s">
        <v>23438</v>
      </c>
      <c r="BD63" s="81">
        <v>45722.48708333333</v>
      </c>
      <c r="BE63" s="79">
        <f>IFERROR((COUNTIFS('Base de Dados'!FD:FD,"Sim",'Base de Dados'!A:A,A63,'Base de Dados'!B:B,B63)/(COUNTIFS('Base de Dados'!FD:FD,"Sim",'Base de Dados'!A:A,A63,'Base de Dados'!B:B,B63)+(COUNTIFS('Base de Dados'!FD:FD,"Não",'Base de Dados'!A:A,A63,'Base de Dados'!B:B,B63)))),"Não Aplica")</f>
        <v>1</v>
      </c>
      <c r="BF63" s="14" t="s">
        <v>23434</v>
      </c>
      <c r="BG63" s="14" t="s">
        <v>23439</v>
      </c>
      <c r="BH63" s="14" t="s">
        <v>24309</v>
      </c>
      <c r="BI63" s="14" t="s">
        <v>23842</v>
      </c>
      <c r="BJ63" s="80"/>
      <c r="BK63" s="80"/>
      <c r="BL63" s="80"/>
      <c r="BM63" s="80"/>
      <c r="BN63" s="14" t="s">
        <v>23434</v>
      </c>
      <c r="BO63" s="14" t="s">
        <v>23453</v>
      </c>
      <c r="BP63" s="14" t="s">
        <v>24310</v>
      </c>
      <c r="BQ63" s="14" t="s">
        <v>23455</v>
      </c>
      <c r="BR63" s="14" t="s">
        <v>23434</v>
      </c>
      <c r="BS63" s="14" t="s">
        <v>23451</v>
      </c>
      <c r="BT63" s="14" t="s">
        <v>24311</v>
      </c>
      <c r="BU63" s="14" t="s">
        <v>22818</v>
      </c>
      <c r="BV63" s="80"/>
      <c r="BW63" s="14" t="s">
        <v>23438</v>
      </c>
      <c r="BX63" s="81">
        <v>45723.3315625</v>
      </c>
      <c r="BY63" s="82" t="s">
        <v>23446</v>
      </c>
      <c r="BZ63" s="15"/>
      <c r="CA63" s="15"/>
      <c r="CB63" s="15"/>
      <c r="CC63" s="15"/>
      <c r="CD63" s="80"/>
      <c r="CE63" s="80"/>
      <c r="CF63" s="80"/>
      <c r="CG63" s="80"/>
      <c r="CH63" s="15"/>
      <c r="CI63" s="15"/>
      <c r="CJ63" s="15"/>
      <c r="CK63" s="15"/>
      <c r="CL63" s="15"/>
      <c r="CM63" s="15"/>
      <c r="CN63" s="15"/>
      <c r="CO63" s="15"/>
      <c r="CP63" s="80"/>
      <c r="CQ63" s="80" t="s">
        <v>23459</v>
      </c>
      <c r="CR63" s="83"/>
      <c r="CS63" s="84"/>
    </row>
    <row r="64">
      <c r="A64" s="78" t="s">
        <v>292</v>
      </c>
      <c r="B64" s="78" t="s">
        <v>10841</v>
      </c>
      <c r="C64" s="79">
        <f>IFERROR((COUNTIFS('Base de Dados'!BT:BT,"Sim",'Base de Dados'!A:A,A64,'Base de Dados'!B:B,B64)/(COUNTIFS('Base de Dados'!BT:BT,"Sim",'Base de Dados'!A:A,A64,'Base de Dados'!B:B,B64)+(COUNTIFS('Base de Dados'!BT:BT,"Não",'Base de Dados'!A:A,A64,'Base de Dados'!B:B,B64)))),"Não Aplica")</f>
        <v>1</v>
      </c>
      <c r="D64" s="14" t="s">
        <v>23434</v>
      </c>
      <c r="E64" s="14" t="s">
        <v>24312</v>
      </c>
      <c r="F64" s="14" t="s">
        <v>23436</v>
      </c>
      <c r="G64" s="14" t="s">
        <v>23434</v>
      </c>
      <c r="H64" s="14" t="s">
        <v>24313</v>
      </c>
      <c r="I64" s="14" t="s">
        <v>22818</v>
      </c>
      <c r="J64" s="80"/>
      <c r="K64" s="14" t="s">
        <v>23438</v>
      </c>
      <c r="L64" s="81">
        <v>45687.66063657407</v>
      </c>
      <c r="M64" s="79">
        <f>IFERROR((COUNTIFS('Base de Dados'!DF:DF,"Sim",'Base de Dados'!A:A,A64,'Base de Dados'!B:B,B64)/(COUNTIFS('Base de Dados'!DF:DF,"Sim",'Base de Dados'!A:A,A64,'Base de Dados'!B:B,B64)+(COUNTIFS('Base de Dados'!DF:DF,"Não",'Base de Dados'!A:A,A64,'Base de Dados'!B:B,B64)))),"Não Aplica")</f>
        <v>1</v>
      </c>
      <c r="N64" s="14" t="s">
        <v>23434</v>
      </c>
      <c r="O64" s="14" t="s">
        <v>23439</v>
      </c>
      <c r="P64" s="14" t="s">
        <v>24314</v>
      </c>
      <c r="Q64" s="14" t="s">
        <v>23842</v>
      </c>
      <c r="R64" s="14" t="s">
        <v>23434</v>
      </c>
      <c r="S64" s="14" t="s">
        <v>24315</v>
      </c>
      <c r="T64" s="14" t="s">
        <v>23436</v>
      </c>
      <c r="U64" s="14" t="s">
        <v>23434</v>
      </c>
      <c r="V64" s="14" t="s">
        <v>24316</v>
      </c>
      <c r="W64" s="14" t="s">
        <v>22818</v>
      </c>
      <c r="X64" s="80"/>
      <c r="Y64" s="14" t="s">
        <v>23438</v>
      </c>
      <c r="Z64" s="81">
        <v>45691.61251157407</v>
      </c>
      <c r="AA64" s="79">
        <f>IFERROR((COUNTIFS('Base de Dados'!ED:ED,"Sim",'Base de Dados'!A:A,A64,'Base de Dados'!B:B,B64)/(COUNTIFS('Base de Dados'!ED:ED,"Sim",'Base de Dados'!A:A,A64,'Base de Dados'!B:B,B64)+(COUNTIFS('Base de Dados'!ED:ED,"Não",'Base de Dados'!A:A,A64,'Base de Dados'!B:B,B64)))),"Não Aplica")</f>
        <v>1</v>
      </c>
      <c r="AB64" s="14" t="s">
        <v>23434</v>
      </c>
      <c r="AC64" s="14" t="s">
        <v>24317</v>
      </c>
      <c r="AD64" s="14" t="s">
        <v>23842</v>
      </c>
      <c r="AE64" s="14" t="s">
        <v>23434</v>
      </c>
      <c r="AF64" s="14" t="s">
        <v>24318</v>
      </c>
      <c r="AG64" s="14" t="s">
        <v>22818</v>
      </c>
      <c r="AH64" s="80"/>
      <c r="AI64" s="14" t="s">
        <v>23438</v>
      </c>
      <c r="AJ64" s="81">
        <v>45692.54284722222</v>
      </c>
      <c r="AK64" s="82" t="s">
        <v>23446</v>
      </c>
      <c r="AL64" s="14" t="s">
        <v>23434</v>
      </c>
      <c r="AM64" s="14" t="s">
        <v>23439</v>
      </c>
      <c r="AN64" s="14" t="s">
        <v>24319</v>
      </c>
      <c r="AO64" s="14" t="s">
        <v>23842</v>
      </c>
      <c r="AP64" s="14" t="s">
        <v>23434</v>
      </c>
      <c r="AQ64" s="14" t="s">
        <v>23448</v>
      </c>
      <c r="AR64" s="14" t="s">
        <v>24320</v>
      </c>
      <c r="AS64" s="14" t="s">
        <v>23848</v>
      </c>
      <c r="AT64" s="14" t="s">
        <v>23434</v>
      </c>
      <c r="AU64" s="14" t="s">
        <v>23453</v>
      </c>
      <c r="AV64" s="14" t="s">
        <v>24321</v>
      </c>
      <c r="AW64" s="14" t="s">
        <v>23455</v>
      </c>
      <c r="AX64" s="14" t="s">
        <v>23434</v>
      </c>
      <c r="AY64" s="14" t="s">
        <v>23451</v>
      </c>
      <c r="AZ64" s="14" t="s">
        <v>24322</v>
      </c>
      <c r="BA64" s="14" t="s">
        <v>22818</v>
      </c>
      <c r="BB64" s="80"/>
      <c r="BC64" s="14" t="s">
        <v>23438</v>
      </c>
      <c r="BD64" s="81">
        <v>45721.31943287037</v>
      </c>
      <c r="BE64" s="79">
        <f>IFERROR((COUNTIFS('Base de Dados'!FD:FD,"Sim",'Base de Dados'!A:A,A64,'Base de Dados'!B:B,B64)/(COUNTIFS('Base de Dados'!FD:FD,"Sim",'Base de Dados'!A:A,A64,'Base de Dados'!B:B,B64)+(COUNTIFS('Base de Dados'!FD:FD,"Não",'Base de Dados'!A:A,A64,'Base de Dados'!B:B,B64)))),"Não Aplica")</f>
        <v>1</v>
      </c>
      <c r="BF64" s="14" t="s">
        <v>23434</v>
      </c>
      <c r="BG64" s="14" t="s">
        <v>23439</v>
      </c>
      <c r="BH64" s="14" t="s">
        <v>24323</v>
      </c>
      <c r="BI64" s="14" t="s">
        <v>23842</v>
      </c>
      <c r="BJ64" s="80"/>
      <c r="BK64" s="80"/>
      <c r="BL64" s="80"/>
      <c r="BM64" s="80"/>
      <c r="BN64" s="14" t="s">
        <v>23434</v>
      </c>
      <c r="BO64" s="14" t="s">
        <v>23453</v>
      </c>
      <c r="BP64" s="14" t="s">
        <v>24324</v>
      </c>
      <c r="BQ64" s="14" t="s">
        <v>23455</v>
      </c>
      <c r="BR64" s="14" t="s">
        <v>23434</v>
      </c>
      <c r="BS64" s="14" t="s">
        <v>23451</v>
      </c>
      <c r="BT64" s="14" t="s">
        <v>24325</v>
      </c>
      <c r="BU64" s="14" t="s">
        <v>22818</v>
      </c>
      <c r="BV64" s="80"/>
      <c r="BW64" s="14" t="s">
        <v>23438</v>
      </c>
      <c r="BX64" s="81">
        <v>45723.31988425926</v>
      </c>
      <c r="BY64" s="82" t="s">
        <v>23446</v>
      </c>
      <c r="BZ64" s="15"/>
      <c r="CA64" s="15"/>
      <c r="CB64" s="15"/>
      <c r="CC64" s="15"/>
      <c r="CD64" s="80"/>
      <c r="CE64" s="80"/>
      <c r="CF64" s="80"/>
      <c r="CG64" s="80"/>
      <c r="CH64" s="15"/>
      <c r="CI64" s="15"/>
      <c r="CJ64" s="15"/>
      <c r="CK64" s="15"/>
      <c r="CL64" s="15"/>
      <c r="CM64" s="15"/>
      <c r="CN64" s="15"/>
      <c r="CO64" s="15"/>
      <c r="CP64" s="80"/>
      <c r="CQ64" s="80" t="s">
        <v>23459</v>
      </c>
      <c r="CR64" s="83"/>
      <c r="CS64" s="84"/>
    </row>
    <row r="65">
      <c r="A65" s="78" t="s">
        <v>292</v>
      </c>
      <c r="B65" s="78" t="s">
        <v>10811</v>
      </c>
      <c r="C65" s="79">
        <f>IFERROR((COUNTIFS('Base de Dados'!BT:BT,"Sim",'Base de Dados'!A:A,A65,'Base de Dados'!B:B,B65)/(COUNTIFS('Base de Dados'!BT:BT,"Sim",'Base de Dados'!A:A,A65,'Base de Dados'!B:B,B65)+(COUNTIFS('Base de Dados'!BT:BT,"Não",'Base de Dados'!A:A,A65,'Base de Dados'!B:B,B65)))),"Não Aplica")</f>
        <v>1</v>
      </c>
      <c r="D65" s="14" t="s">
        <v>23434</v>
      </c>
      <c r="E65" s="14" t="s">
        <v>24326</v>
      </c>
      <c r="F65" s="14" t="s">
        <v>23436</v>
      </c>
      <c r="G65" s="14" t="s">
        <v>23434</v>
      </c>
      <c r="H65" s="14" t="s">
        <v>24327</v>
      </c>
      <c r="I65" s="14" t="s">
        <v>22818</v>
      </c>
      <c r="J65" s="80"/>
      <c r="K65" s="14" t="s">
        <v>23438</v>
      </c>
      <c r="L65" s="81">
        <v>45687.660358796296</v>
      </c>
      <c r="M65" s="79">
        <f>IFERROR((COUNTIFS('Base de Dados'!DF:DF,"Sim",'Base de Dados'!A:A,A65,'Base de Dados'!B:B,B65)/(COUNTIFS('Base de Dados'!DF:DF,"Sim",'Base de Dados'!A:A,A65,'Base de Dados'!B:B,B65)+(COUNTIFS('Base de Dados'!DF:DF,"Não",'Base de Dados'!A:A,A65,'Base de Dados'!B:B,B65)))),"Não Aplica")</f>
        <v>1</v>
      </c>
      <c r="N65" s="14" t="s">
        <v>23434</v>
      </c>
      <c r="O65" s="14" t="s">
        <v>23439</v>
      </c>
      <c r="P65" s="14" t="s">
        <v>24328</v>
      </c>
      <c r="Q65" s="14" t="s">
        <v>23842</v>
      </c>
      <c r="R65" s="14" t="s">
        <v>23434</v>
      </c>
      <c r="S65" s="14" t="s">
        <v>24329</v>
      </c>
      <c r="T65" s="14" t="s">
        <v>23436</v>
      </c>
      <c r="U65" s="14" t="s">
        <v>23434</v>
      </c>
      <c r="V65" s="14" t="s">
        <v>24330</v>
      </c>
      <c r="W65" s="14" t="s">
        <v>22818</v>
      </c>
      <c r="X65" s="80"/>
      <c r="Y65" s="14" t="s">
        <v>23438</v>
      </c>
      <c r="Z65" s="81">
        <v>45691.61253472222</v>
      </c>
      <c r="AA65" s="79">
        <f>IFERROR((COUNTIFS('Base de Dados'!ED:ED,"Sim",'Base de Dados'!A:A,A65,'Base de Dados'!B:B,B65)/(COUNTIFS('Base de Dados'!ED:ED,"Sim",'Base de Dados'!A:A,A65,'Base de Dados'!B:B,B65)+(COUNTIFS('Base de Dados'!ED:ED,"Não",'Base de Dados'!A:A,A65,'Base de Dados'!B:B,B65)))),"Não Aplica")</f>
        <v>1</v>
      </c>
      <c r="AB65" s="14" t="s">
        <v>23434</v>
      </c>
      <c r="AC65" s="14" t="s">
        <v>24331</v>
      </c>
      <c r="AD65" s="14" t="s">
        <v>23842</v>
      </c>
      <c r="AE65" s="14" t="s">
        <v>23434</v>
      </c>
      <c r="AF65" s="14" t="s">
        <v>24332</v>
      </c>
      <c r="AG65" s="14" t="s">
        <v>22818</v>
      </c>
      <c r="AH65" s="80"/>
      <c r="AI65" s="14" t="s">
        <v>23438</v>
      </c>
      <c r="AJ65" s="81">
        <v>45692.54282407407</v>
      </c>
      <c r="AK65" s="82" t="s">
        <v>23446</v>
      </c>
      <c r="AL65" s="14" t="s">
        <v>23434</v>
      </c>
      <c r="AM65" s="14" t="s">
        <v>23439</v>
      </c>
      <c r="AN65" s="14" t="s">
        <v>24333</v>
      </c>
      <c r="AO65" s="14" t="s">
        <v>23842</v>
      </c>
      <c r="AP65" s="14" t="s">
        <v>23434</v>
      </c>
      <c r="AQ65" s="14" t="s">
        <v>23448</v>
      </c>
      <c r="AR65" s="14" t="s">
        <v>24334</v>
      </c>
      <c r="AS65" s="14" t="s">
        <v>23848</v>
      </c>
      <c r="AT65" s="14" t="s">
        <v>23434</v>
      </c>
      <c r="AU65" s="14" t="s">
        <v>23453</v>
      </c>
      <c r="AV65" s="14" t="s">
        <v>24335</v>
      </c>
      <c r="AW65" s="14" t="s">
        <v>23455</v>
      </c>
      <c r="AX65" s="14" t="s">
        <v>23434</v>
      </c>
      <c r="AY65" s="14" t="s">
        <v>23451</v>
      </c>
      <c r="AZ65" s="14" t="s">
        <v>24336</v>
      </c>
      <c r="BA65" s="14" t="s">
        <v>22818</v>
      </c>
      <c r="BB65" s="80"/>
      <c r="BC65" s="14" t="s">
        <v>23438</v>
      </c>
      <c r="BD65" s="81">
        <v>45720.29440972222</v>
      </c>
      <c r="BE65" s="79">
        <f>IFERROR((COUNTIFS('Base de Dados'!FD:FD,"Sim",'Base de Dados'!A:A,A65,'Base de Dados'!B:B,B65)/(COUNTIFS('Base de Dados'!FD:FD,"Sim",'Base de Dados'!A:A,A65,'Base de Dados'!B:B,B65)+(COUNTIFS('Base de Dados'!FD:FD,"Não",'Base de Dados'!A:A,A65,'Base de Dados'!B:B,B65)))),"Não Aplica")</f>
        <v>1</v>
      </c>
      <c r="BF65" s="14" t="s">
        <v>23434</v>
      </c>
      <c r="BG65" s="14" t="s">
        <v>23439</v>
      </c>
      <c r="BH65" s="14" t="s">
        <v>24337</v>
      </c>
      <c r="BI65" s="14" t="s">
        <v>23842</v>
      </c>
      <c r="BJ65" s="80"/>
      <c r="BK65" s="80"/>
      <c r="BL65" s="80"/>
      <c r="BM65" s="80"/>
      <c r="BN65" s="14" t="s">
        <v>23434</v>
      </c>
      <c r="BO65" s="14" t="s">
        <v>23453</v>
      </c>
      <c r="BP65" s="14" t="s">
        <v>24338</v>
      </c>
      <c r="BQ65" s="14" t="s">
        <v>23455</v>
      </c>
      <c r="BR65" s="14" t="s">
        <v>23434</v>
      </c>
      <c r="BS65" s="14" t="s">
        <v>23451</v>
      </c>
      <c r="BT65" s="14" t="s">
        <v>24339</v>
      </c>
      <c r="BU65" s="14" t="s">
        <v>22818</v>
      </c>
      <c r="BV65" s="80"/>
      <c r="BW65" s="14" t="s">
        <v>23438</v>
      </c>
      <c r="BX65" s="81">
        <v>45723.31990740741</v>
      </c>
      <c r="BY65" s="82" t="s">
        <v>23446</v>
      </c>
      <c r="BZ65" s="15"/>
      <c r="CA65" s="15"/>
      <c r="CB65" s="15"/>
      <c r="CC65" s="15"/>
      <c r="CD65" s="80"/>
      <c r="CE65" s="80"/>
      <c r="CF65" s="80"/>
      <c r="CG65" s="80"/>
      <c r="CH65" s="15"/>
      <c r="CI65" s="15"/>
      <c r="CJ65" s="15"/>
      <c r="CK65" s="15"/>
      <c r="CL65" s="15"/>
      <c r="CM65" s="15"/>
      <c r="CN65" s="15"/>
      <c r="CO65" s="15"/>
      <c r="CP65" s="80"/>
      <c r="CQ65" s="80" t="s">
        <v>23459</v>
      </c>
      <c r="CR65" s="83"/>
      <c r="CS65" s="84"/>
    </row>
    <row r="66">
      <c r="A66" s="78" t="s">
        <v>292</v>
      </c>
      <c r="B66" s="78" t="s">
        <v>374</v>
      </c>
      <c r="C66" s="79">
        <f>IFERROR((COUNTIFS('Base de Dados'!BT:BT,"Sim",'Base de Dados'!A:A,A66,'Base de Dados'!B:B,B66)/(COUNTIFS('Base de Dados'!BT:BT,"Sim",'Base de Dados'!A:A,A66,'Base de Dados'!B:B,B66)+(COUNTIFS('Base de Dados'!BT:BT,"Não",'Base de Dados'!A:A,A66,'Base de Dados'!B:B,B66)))),"Não Aplica")</f>
        <v>1</v>
      </c>
      <c r="D66" s="14" t="s">
        <v>23434</v>
      </c>
      <c r="E66" s="14" t="s">
        <v>24340</v>
      </c>
      <c r="F66" s="14" t="s">
        <v>23436</v>
      </c>
      <c r="G66" s="14" t="s">
        <v>23434</v>
      </c>
      <c r="H66" s="14" t="s">
        <v>24341</v>
      </c>
      <c r="I66" s="14" t="s">
        <v>22818</v>
      </c>
      <c r="J66" s="80"/>
      <c r="K66" s="14" t="s">
        <v>23438</v>
      </c>
      <c r="L66" s="81">
        <v>45687.66074074074</v>
      </c>
      <c r="M66" s="79">
        <f>IFERROR((COUNTIFS('Base de Dados'!DF:DF,"Sim",'Base de Dados'!A:A,A66,'Base de Dados'!B:B,B66)/(COUNTIFS('Base de Dados'!DF:DF,"Sim",'Base de Dados'!A:A,A66,'Base de Dados'!B:B,B66)+(COUNTIFS('Base de Dados'!DF:DF,"Não",'Base de Dados'!A:A,A66,'Base de Dados'!B:B,B66)))),"Não Aplica")</f>
        <v>1</v>
      </c>
      <c r="N66" s="14" t="s">
        <v>23434</v>
      </c>
      <c r="O66" s="14" t="s">
        <v>23439</v>
      </c>
      <c r="P66" s="14" t="s">
        <v>24342</v>
      </c>
      <c r="Q66" s="14" t="s">
        <v>23842</v>
      </c>
      <c r="R66" s="14" t="s">
        <v>23434</v>
      </c>
      <c r="S66" s="14" t="s">
        <v>24343</v>
      </c>
      <c r="T66" s="14" t="s">
        <v>23436</v>
      </c>
      <c r="U66" s="14" t="s">
        <v>23434</v>
      </c>
      <c r="V66" s="14" t="s">
        <v>24344</v>
      </c>
      <c r="W66" s="14" t="s">
        <v>22818</v>
      </c>
      <c r="X66" s="80"/>
      <c r="Y66" s="14" t="s">
        <v>23438</v>
      </c>
      <c r="Z66" s="81">
        <v>45691.612592592595</v>
      </c>
      <c r="AA66" s="79">
        <f>IFERROR((COUNTIFS('Base de Dados'!ED:ED,"Sim",'Base de Dados'!A:A,A66,'Base de Dados'!B:B,B66)/(COUNTIFS('Base de Dados'!ED:ED,"Sim",'Base de Dados'!A:A,A66,'Base de Dados'!B:B,B66)+(COUNTIFS('Base de Dados'!ED:ED,"Não",'Base de Dados'!A:A,A66,'Base de Dados'!B:B,B66)))),"Não Aplica")</f>
        <v>1</v>
      </c>
      <c r="AB66" s="14" t="s">
        <v>23434</v>
      </c>
      <c r="AC66" s="14" t="s">
        <v>24345</v>
      </c>
      <c r="AD66" s="14" t="s">
        <v>23842</v>
      </c>
      <c r="AE66" s="14" t="s">
        <v>23434</v>
      </c>
      <c r="AF66" s="14" t="s">
        <v>24346</v>
      </c>
      <c r="AG66" s="14" t="s">
        <v>22818</v>
      </c>
      <c r="AH66" s="80"/>
      <c r="AI66" s="14" t="s">
        <v>23438</v>
      </c>
      <c r="AJ66" s="81">
        <v>45692.54287037037</v>
      </c>
      <c r="AK66" s="82" t="s">
        <v>23446</v>
      </c>
      <c r="AL66" s="14" t="s">
        <v>23434</v>
      </c>
      <c r="AM66" s="14" t="s">
        <v>23439</v>
      </c>
      <c r="AN66" s="14" t="s">
        <v>24347</v>
      </c>
      <c r="AO66" s="14" t="s">
        <v>23842</v>
      </c>
      <c r="AP66" s="14" t="s">
        <v>23434</v>
      </c>
      <c r="AQ66" s="14" t="s">
        <v>23448</v>
      </c>
      <c r="AR66" s="14" t="s">
        <v>24348</v>
      </c>
      <c r="AS66" s="14" t="s">
        <v>23848</v>
      </c>
      <c r="AT66" s="14" t="s">
        <v>23434</v>
      </c>
      <c r="AU66" s="14" t="s">
        <v>23453</v>
      </c>
      <c r="AV66" s="14" t="s">
        <v>24349</v>
      </c>
      <c r="AW66" s="14" t="s">
        <v>23455</v>
      </c>
      <c r="AX66" s="14" t="s">
        <v>23434</v>
      </c>
      <c r="AY66" s="14" t="s">
        <v>23451</v>
      </c>
      <c r="AZ66" s="14" t="s">
        <v>24350</v>
      </c>
      <c r="BA66" s="14" t="s">
        <v>22818</v>
      </c>
      <c r="BB66" s="80"/>
      <c r="BC66" s="14" t="s">
        <v>23438</v>
      </c>
      <c r="BD66" s="81">
        <v>45723.37800925926</v>
      </c>
      <c r="BE66" s="79">
        <f>IFERROR((COUNTIFS('Base de Dados'!FD:FD,"Sim",'Base de Dados'!A:A,A66,'Base de Dados'!B:B,B66)/(COUNTIFS('Base de Dados'!FD:FD,"Sim",'Base de Dados'!A:A,A66,'Base de Dados'!B:B,B66)+(COUNTIFS('Base de Dados'!FD:FD,"Não",'Base de Dados'!A:A,A66,'Base de Dados'!B:B,B66)))),"Não Aplica")</f>
        <v>1</v>
      </c>
      <c r="BF66" s="14" t="s">
        <v>23434</v>
      </c>
      <c r="BG66" s="14" t="s">
        <v>23439</v>
      </c>
      <c r="BH66" s="14" t="s">
        <v>24351</v>
      </c>
      <c r="BI66" s="14" t="s">
        <v>23842</v>
      </c>
      <c r="BJ66" s="80"/>
      <c r="BK66" s="80"/>
      <c r="BL66" s="80"/>
      <c r="BM66" s="80"/>
      <c r="BN66" s="14" t="s">
        <v>23434</v>
      </c>
      <c r="BO66" s="14" t="s">
        <v>23453</v>
      </c>
      <c r="BP66" s="14" t="s">
        <v>24352</v>
      </c>
      <c r="BQ66" s="14" t="s">
        <v>23455</v>
      </c>
      <c r="BR66" s="14" t="s">
        <v>23434</v>
      </c>
      <c r="BS66" s="14" t="s">
        <v>23451</v>
      </c>
      <c r="BT66" s="14" t="s">
        <v>24353</v>
      </c>
      <c r="BU66" s="14" t="s">
        <v>22818</v>
      </c>
      <c r="BV66" s="80"/>
      <c r="BW66" s="14" t="s">
        <v>23438</v>
      </c>
      <c r="BX66" s="81">
        <v>45723.54356481481</v>
      </c>
      <c r="BY66" s="82" t="s">
        <v>23446</v>
      </c>
      <c r="BZ66" s="15"/>
      <c r="CA66" s="15"/>
      <c r="CB66" s="15"/>
      <c r="CC66" s="15"/>
      <c r="CD66" s="80"/>
      <c r="CE66" s="80"/>
      <c r="CF66" s="80"/>
      <c r="CG66" s="80"/>
      <c r="CH66" s="15"/>
      <c r="CI66" s="15"/>
      <c r="CJ66" s="15"/>
      <c r="CK66" s="15"/>
      <c r="CL66" s="15"/>
      <c r="CM66" s="15"/>
      <c r="CN66" s="15"/>
      <c r="CO66" s="15"/>
      <c r="CP66" s="80"/>
      <c r="CQ66" s="80" t="s">
        <v>23459</v>
      </c>
      <c r="CR66" s="83"/>
      <c r="CS66" s="84"/>
    </row>
    <row r="67">
      <c r="A67" s="78" t="s">
        <v>292</v>
      </c>
      <c r="B67" s="78" t="s">
        <v>1740</v>
      </c>
      <c r="C67" s="79">
        <f>IFERROR((COUNTIFS('Base de Dados'!BT:BT,"Sim",'Base de Dados'!A:A,A67,'Base de Dados'!B:B,B67)/(COUNTIFS('Base de Dados'!BT:BT,"Sim",'Base de Dados'!A:A,A67,'Base de Dados'!B:B,B67)+(COUNTIFS('Base de Dados'!BT:BT,"Não",'Base de Dados'!A:A,A67,'Base de Dados'!B:B,B67)))),"Não Aplica")</f>
        <v>1</v>
      </c>
      <c r="D67" s="14" t="s">
        <v>23434</v>
      </c>
      <c r="E67" s="14" t="s">
        <v>24354</v>
      </c>
      <c r="F67" s="14" t="s">
        <v>23436</v>
      </c>
      <c r="G67" s="14" t="s">
        <v>23434</v>
      </c>
      <c r="H67" s="14" t="s">
        <v>24355</v>
      </c>
      <c r="I67" s="14" t="s">
        <v>22818</v>
      </c>
      <c r="J67" s="80"/>
      <c r="K67" s="14" t="s">
        <v>23438</v>
      </c>
      <c r="L67" s="81">
        <v>45687.38980324074</v>
      </c>
      <c r="M67" s="79">
        <f>IFERROR((COUNTIFS('Base de Dados'!DF:DF,"Sim",'Base de Dados'!A:A,A67,'Base de Dados'!B:B,B67)/(COUNTIFS('Base de Dados'!DF:DF,"Sim",'Base de Dados'!A:A,A67,'Base de Dados'!B:B,B67)+(COUNTIFS('Base de Dados'!DF:DF,"Não",'Base de Dados'!A:A,A67,'Base de Dados'!B:B,B67)))),"Não Aplica")</f>
        <v>1</v>
      </c>
      <c r="N67" s="14" t="s">
        <v>23434</v>
      </c>
      <c r="O67" s="14" t="s">
        <v>23439</v>
      </c>
      <c r="P67" s="14" t="s">
        <v>24356</v>
      </c>
      <c r="Q67" s="14" t="s">
        <v>23842</v>
      </c>
      <c r="R67" s="14" t="s">
        <v>23434</v>
      </c>
      <c r="S67" s="14" t="s">
        <v>24357</v>
      </c>
      <c r="T67" s="14" t="s">
        <v>23436</v>
      </c>
      <c r="U67" s="14" t="s">
        <v>23434</v>
      </c>
      <c r="V67" s="14" t="s">
        <v>24358</v>
      </c>
      <c r="W67" s="14" t="s">
        <v>22818</v>
      </c>
      <c r="X67" s="80"/>
      <c r="Y67" s="14" t="s">
        <v>23438</v>
      </c>
      <c r="Z67" s="81">
        <v>45691.61261574074</v>
      </c>
      <c r="AA67" s="79">
        <f>IFERROR((COUNTIFS('Base de Dados'!ED:ED,"Sim",'Base de Dados'!A:A,A67,'Base de Dados'!B:B,B67)/(COUNTIFS('Base de Dados'!ED:ED,"Sim",'Base de Dados'!A:A,A67,'Base de Dados'!B:B,B67)+(COUNTIFS('Base de Dados'!ED:ED,"Não",'Base de Dados'!A:A,A67,'Base de Dados'!B:B,B67)))),"Não Aplica")</f>
        <v>1</v>
      </c>
      <c r="AB67" s="14" t="s">
        <v>23434</v>
      </c>
      <c r="AC67" s="14" t="s">
        <v>24359</v>
      </c>
      <c r="AD67" s="14" t="s">
        <v>23842</v>
      </c>
      <c r="AE67" s="14" t="s">
        <v>23434</v>
      </c>
      <c r="AF67" s="14" t="s">
        <v>24360</v>
      </c>
      <c r="AG67" s="14" t="s">
        <v>22818</v>
      </c>
      <c r="AH67" s="80"/>
      <c r="AI67" s="14" t="s">
        <v>23438</v>
      </c>
      <c r="AJ67" s="81">
        <v>45692.54289351852</v>
      </c>
      <c r="AK67" s="82" t="s">
        <v>23446</v>
      </c>
      <c r="AL67" s="14" t="s">
        <v>23434</v>
      </c>
      <c r="AM67" s="14" t="s">
        <v>23439</v>
      </c>
      <c r="AN67" s="14" t="s">
        <v>24361</v>
      </c>
      <c r="AO67" s="14" t="s">
        <v>23842</v>
      </c>
      <c r="AP67" s="14" t="s">
        <v>23434</v>
      </c>
      <c r="AQ67" s="14" t="s">
        <v>23448</v>
      </c>
      <c r="AR67" s="14" t="s">
        <v>24362</v>
      </c>
      <c r="AS67" s="14" t="s">
        <v>23848</v>
      </c>
      <c r="AT67" s="14" t="s">
        <v>23434</v>
      </c>
      <c r="AU67" s="14" t="s">
        <v>23453</v>
      </c>
      <c r="AV67" s="14" t="s">
        <v>24363</v>
      </c>
      <c r="AW67" s="14" t="s">
        <v>23455</v>
      </c>
      <c r="AX67" s="14" t="s">
        <v>23434</v>
      </c>
      <c r="AY67" s="14" t="s">
        <v>23451</v>
      </c>
      <c r="AZ67" s="14" t="s">
        <v>24364</v>
      </c>
      <c r="BA67" s="14" t="s">
        <v>22818</v>
      </c>
      <c r="BB67" s="80"/>
      <c r="BC67" s="14" t="s">
        <v>23438</v>
      </c>
      <c r="BD67" s="81">
        <v>45720.294444444444</v>
      </c>
      <c r="BE67" s="79">
        <f>IFERROR((COUNTIFS('Base de Dados'!FD:FD,"Sim",'Base de Dados'!A:A,A67,'Base de Dados'!B:B,B67)/(COUNTIFS('Base de Dados'!FD:FD,"Sim",'Base de Dados'!A:A,A67,'Base de Dados'!B:B,B67)+(COUNTIFS('Base de Dados'!FD:FD,"Não",'Base de Dados'!A:A,A67,'Base de Dados'!B:B,B67)))),"Não Aplica")</f>
        <v>1</v>
      </c>
      <c r="BF67" s="14" t="s">
        <v>23434</v>
      </c>
      <c r="BG67" s="14" t="s">
        <v>23439</v>
      </c>
      <c r="BH67" s="14" t="s">
        <v>24365</v>
      </c>
      <c r="BI67" s="14" t="s">
        <v>23842</v>
      </c>
      <c r="BJ67" s="80"/>
      <c r="BK67" s="80"/>
      <c r="BL67" s="80"/>
      <c r="BM67" s="80"/>
      <c r="BN67" s="14" t="s">
        <v>23434</v>
      </c>
      <c r="BO67" s="14" t="s">
        <v>23453</v>
      </c>
      <c r="BP67" s="14" t="s">
        <v>24366</v>
      </c>
      <c r="BQ67" s="14" t="s">
        <v>23455</v>
      </c>
      <c r="BR67" s="14" t="s">
        <v>23434</v>
      </c>
      <c r="BS67" s="14" t="s">
        <v>23451</v>
      </c>
      <c r="BT67" s="14" t="s">
        <v>24367</v>
      </c>
      <c r="BU67" s="14" t="s">
        <v>22818</v>
      </c>
      <c r="BV67" s="80"/>
      <c r="BW67" s="14" t="s">
        <v>23438</v>
      </c>
      <c r="BX67" s="81">
        <v>45723.31996527778</v>
      </c>
      <c r="BY67" s="82" t="s">
        <v>23446</v>
      </c>
      <c r="BZ67" s="15"/>
      <c r="CA67" s="15"/>
      <c r="CB67" s="15"/>
      <c r="CC67" s="15"/>
      <c r="CD67" s="80"/>
      <c r="CE67" s="80"/>
      <c r="CF67" s="80"/>
      <c r="CG67" s="80"/>
      <c r="CH67" s="15"/>
      <c r="CI67" s="15"/>
      <c r="CJ67" s="15"/>
      <c r="CK67" s="15"/>
      <c r="CL67" s="15"/>
      <c r="CM67" s="15"/>
      <c r="CN67" s="15"/>
      <c r="CO67" s="15"/>
      <c r="CP67" s="80"/>
      <c r="CQ67" s="80" t="s">
        <v>23459</v>
      </c>
      <c r="CR67" s="83"/>
      <c r="CS67" s="84"/>
    </row>
    <row r="68">
      <c r="A68" s="78" t="s">
        <v>292</v>
      </c>
      <c r="B68" s="78" t="s">
        <v>1393</v>
      </c>
      <c r="C68" s="79">
        <f>IFERROR((COUNTIFS('Base de Dados'!BT:BT,"Sim",'Base de Dados'!A:A,A68,'Base de Dados'!B:B,B68)/(COUNTIFS('Base de Dados'!BT:BT,"Sim",'Base de Dados'!A:A,A68,'Base de Dados'!B:B,B68)+(COUNTIFS('Base de Dados'!BT:BT,"Não",'Base de Dados'!A:A,A68,'Base de Dados'!B:B,B68)))),"Não Aplica")</f>
        <v>1</v>
      </c>
      <c r="D68" s="14" t="s">
        <v>23434</v>
      </c>
      <c r="E68" s="14" t="s">
        <v>24368</v>
      </c>
      <c r="F68" s="14" t="s">
        <v>23436</v>
      </c>
      <c r="G68" s="14" t="s">
        <v>23434</v>
      </c>
      <c r="H68" s="14" t="s">
        <v>24369</v>
      </c>
      <c r="I68" s="14" t="s">
        <v>22818</v>
      </c>
      <c r="J68" s="80"/>
      <c r="K68" s="14" t="s">
        <v>23438</v>
      </c>
      <c r="L68" s="81">
        <v>45691.608981481484</v>
      </c>
      <c r="M68" s="79">
        <f>IFERROR((COUNTIFS('Base de Dados'!DF:DF,"Sim",'Base de Dados'!A:A,A68,'Base de Dados'!B:B,B68)/(COUNTIFS('Base de Dados'!DF:DF,"Sim",'Base de Dados'!A:A,A68,'Base de Dados'!B:B,B68)+(COUNTIFS('Base de Dados'!DF:DF,"Não",'Base de Dados'!A:A,A68,'Base de Dados'!B:B,B68)))),"Não Aplica")</f>
        <v>1</v>
      </c>
      <c r="N68" s="14" t="s">
        <v>23434</v>
      </c>
      <c r="O68" s="14" t="s">
        <v>23439</v>
      </c>
      <c r="P68" s="14" t="s">
        <v>24370</v>
      </c>
      <c r="Q68" s="14" t="s">
        <v>23842</v>
      </c>
      <c r="R68" s="14" t="s">
        <v>23434</v>
      </c>
      <c r="S68" s="14" t="s">
        <v>24371</v>
      </c>
      <c r="T68" s="14" t="s">
        <v>23436</v>
      </c>
      <c r="U68" s="14" t="s">
        <v>23434</v>
      </c>
      <c r="V68" s="14" t="s">
        <v>24372</v>
      </c>
      <c r="W68" s="14" t="s">
        <v>22818</v>
      </c>
      <c r="X68" s="80"/>
      <c r="Y68" s="14" t="s">
        <v>23438</v>
      </c>
      <c r="Z68" s="81">
        <v>45692.53563657407</v>
      </c>
      <c r="AA68" s="79">
        <f>IFERROR((COUNTIFS('Base de Dados'!ED:ED,"Sim",'Base de Dados'!A:A,A68,'Base de Dados'!B:B,B68)/(COUNTIFS('Base de Dados'!ED:ED,"Sim",'Base de Dados'!A:A,A68,'Base de Dados'!B:B,B68)+(COUNTIFS('Base de Dados'!ED:ED,"Não",'Base de Dados'!A:A,A68,'Base de Dados'!B:B,B68)))),"Não Aplica")</f>
        <v>1</v>
      </c>
      <c r="AB68" s="14" t="s">
        <v>23434</v>
      </c>
      <c r="AC68" s="14" t="s">
        <v>24373</v>
      </c>
      <c r="AD68" s="14" t="s">
        <v>23842</v>
      </c>
      <c r="AE68" s="14" t="s">
        <v>23434</v>
      </c>
      <c r="AF68" s="14" t="s">
        <v>24374</v>
      </c>
      <c r="AG68" s="14" t="s">
        <v>22818</v>
      </c>
      <c r="AH68" s="80"/>
      <c r="AI68" s="14" t="s">
        <v>23438</v>
      </c>
      <c r="AJ68" s="81">
        <v>45693.44871527778</v>
      </c>
      <c r="AK68" s="82" t="s">
        <v>23446</v>
      </c>
      <c r="AL68" s="14" t="s">
        <v>23434</v>
      </c>
      <c r="AM68" s="14" t="s">
        <v>23439</v>
      </c>
      <c r="AN68" s="14" t="s">
        <v>24375</v>
      </c>
      <c r="AO68" s="14" t="s">
        <v>23842</v>
      </c>
      <c r="AP68" s="14" t="s">
        <v>23434</v>
      </c>
      <c r="AQ68" s="14" t="s">
        <v>23448</v>
      </c>
      <c r="AR68" s="14" t="s">
        <v>24376</v>
      </c>
      <c r="AS68" s="14" t="s">
        <v>23848</v>
      </c>
      <c r="AT68" s="14" t="s">
        <v>23434</v>
      </c>
      <c r="AU68" s="14" t="s">
        <v>23453</v>
      </c>
      <c r="AV68" s="14" t="s">
        <v>24377</v>
      </c>
      <c r="AW68" s="14" t="s">
        <v>23455</v>
      </c>
      <c r="AX68" s="14" t="s">
        <v>23434</v>
      </c>
      <c r="AY68" s="14" t="s">
        <v>23451</v>
      </c>
      <c r="AZ68" s="14" t="s">
        <v>24378</v>
      </c>
      <c r="BA68" s="14" t="s">
        <v>22818</v>
      </c>
      <c r="BB68" s="80"/>
      <c r="BC68" s="14" t="s">
        <v>23438</v>
      </c>
      <c r="BD68" s="81">
        <v>45720.29447916667</v>
      </c>
      <c r="BE68" s="79">
        <f>IFERROR((COUNTIFS('Base de Dados'!FD:FD,"Sim",'Base de Dados'!A:A,A68,'Base de Dados'!B:B,B68)/(COUNTIFS('Base de Dados'!FD:FD,"Sim",'Base de Dados'!A:A,A68,'Base de Dados'!B:B,B68)+(COUNTIFS('Base de Dados'!FD:FD,"Não",'Base de Dados'!A:A,A68,'Base de Dados'!B:B,B68)))),"Não Aplica")</f>
        <v>1</v>
      </c>
      <c r="BF68" s="14" t="s">
        <v>23434</v>
      </c>
      <c r="BG68" s="14" t="s">
        <v>23439</v>
      </c>
      <c r="BH68" s="14" t="s">
        <v>24379</v>
      </c>
      <c r="BI68" s="14" t="s">
        <v>23842</v>
      </c>
      <c r="BJ68" s="80"/>
      <c r="BK68" s="80"/>
      <c r="BL68" s="80"/>
      <c r="BM68" s="80"/>
      <c r="BN68" s="14" t="s">
        <v>23434</v>
      </c>
      <c r="BO68" s="14" t="s">
        <v>23453</v>
      </c>
      <c r="BP68" s="14" t="s">
        <v>24380</v>
      </c>
      <c r="BQ68" s="14" t="s">
        <v>23455</v>
      </c>
      <c r="BR68" s="14" t="s">
        <v>23434</v>
      </c>
      <c r="BS68" s="14" t="s">
        <v>23451</v>
      </c>
      <c r="BT68" s="14" t="s">
        <v>24381</v>
      </c>
      <c r="BU68" s="14" t="s">
        <v>22818</v>
      </c>
      <c r="BV68" s="80"/>
      <c r="BW68" s="14" t="s">
        <v>23438</v>
      </c>
      <c r="BX68" s="81">
        <v>45723.3200462963</v>
      </c>
      <c r="BY68" s="82" t="s">
        <v>23446</v>
      </c>
      <c r="BZ68" s="15"/>
      <c r="CA68" s="15"/>
      <c r="CB68" s="15"/>
      <c r="CC68" s="15"/>
      <c r="CD68" s="80"/>
      <c r="CE68" s="80"/>
      <c r="CF68" s="80"/>
      <c r="CG68" s="80"/>
      <c r="CH68" s="15"/>
      <c r="CI68" s="15"/>
      <c r="CJ68" s="15"/>
      <c r="CK68" s="15"/>
      <c r="CL68" s="15"/>
      <c r="CM68" s="15"/>
      <c r="CN68" s="15"/>
      <c r="CO68" s="15"/>
      <c r="CP68" s="80"/>
      <c r="CQ68" s="80" t="s">
        <v>23459</v>
      </c>
      <c r="CR68" s="83"/>
      <c r="CS68" s="84"/>
    </row>
    <row r="69">
      <c r="A69" s="78" t="s">
        <v>292</v>
      </c>
      <c r="B69" s="78" t="s">
        <v>1676</v>
      </c>
      <c r="C69" s="79">
        <f>IFERROR((COUNTIFS('Base de Dados'!BT:BT,"Sim",'Base de Dados'!A:A,A69,'Base de Dados'!B:B,B69)/(COUNTIFS('Base de Dados'!BT:BT,"Sim",'Base de Dados'!A:A,A69,'Base de Dados'!B:B,B69)+(COUNTIFS('Base de Dados'!BT:BT,"Não",'Base de Dados'!A:A,A69,'Base de Dados'!B:B,B69)))),"Não Aplica")</f>
        <v>1</v>
      </c>
      <c r="D69" s="14" t="s">
        <v>23434</v>
      </c>
      <c r="E69" s="14" t="s">
        <v>24382</v>
      </c>
      <c r="F69" s="14" t="s">
        <v>23436</v>
      </c>
      <c r="G69" s="14" t="s">
        <v>23434</v>
      </c>
      <c r="H69" s="14" t="s">
        <v>24383</v>
      </c>
      <c r="I69" s="14" t="s">
        <v>22818</v>
      </c>
      <c r="J69" s="80"/>
      <c r="K69" s="14" t="s">
        <v>23438</v>
      </c>
      <c r="L69" s="81">
        <v>45687.388761574075</v>
      </c>
      <c r="M69" s="79">
        <f>IFERROR((COUNTIFS('Base de Dados'!DF:DF,"Sim",'Base de Dados'!A:A,A69,'Base de Dados'!B:B,B69)/(COUNTIFS('Base de Dados'!DF:DF,"Sim",'Base de Dados'!A:A,A69,'Base de Dados'!B:B,B69)+(COUNTIFS('Base de Dados'!DF:DF,"Não",'Base de Dados'!A:A,A69,'Base de Dados'!B:B,B69)))),"Não Aplica")</f>
        <v>1</v>
      </c>
      <c r="N69" s="14" t="s">
        <v>23434</v>
      </c>
      <c r="O69" s="14" t="s">
        <v>23439</v>
      </c>
      <c r="P69" s="14" t="s">
        <v>24384</v>
      </c>
      <c r="Q69" s="14" t="s">
        <v>23842</v>
      </c>
      <c r="R69" s="14" t="s">
        <v>23434</v>
      </c>
      <c r="S69" s="14" t="s">
        <v>24385</v>
      </c>
      <c r="T69" s="14" t="s">
        <v>23436</v>
      </c>
      <c r="U69" s="14" t="s">
        <v>23434</v>
      </c>
      <c r="V69" s="14" t="s">
        <v>24386</v>
      </c>
      <c r="W69" s="14" t="s">
        <v>22818</v>
      </c>
      <c r="X69" s="80"/>
      <c r="Y69" s="14" t="s">
        <v>23438</v>
      </c>
      <c r="Z69" s="81">
        <v>45691.61269675926</v>
      </c>
      <c r="AA69" s="79">
        <f>IFERROR((COUNTIFS('Base de Dados'!ED:ED,"Sim",'Base de Dados'!A:A,A69,'Base de Dados'!B:B,B69)/(COUNTIFS('Base de Dados'!ED:ED,"Sim",'Base de Dados'!A:A,A69,'Base de Dados'!B:B,B69)+(COUNTIFS('Base de Dados'!ED:ED,"Não",'Base de Dados'!A:A,A69,'Base de Dados'!B:B,B69)))),"Não Aplica")</f>
        <v>1</v>
      </c>
      <c r="AB69" s="14" t="s">
        <v>23434</v>
      </c>
      <c r="AC69" s="14" t="s">
        <v>24387</v>
      </c>
      <c r="AD69" s="14" t="s">
        <v>23842</v>
      </c>
      <c r="AE69" s="14" t="s">
        <v>23434</v>
      </c>
      <c r="AF69" s="14" t="s">
        <v>24388</v>
      </c>
      <c r="AG69" s="14" t="s">
        <v>22818</v>
      </c>
      <c r="AH69" s="80"/>
      <c r="AI69" s="14" t="s">
        <v>23438</v>
      </c>
      <c r="AJ69" s="81">
        <v>45692.542905092596</v>
      </c>
      <c r="AK69" s="82" t="s">
        <v>23446</v>
      </c>
      <c r="AL69" s="14" t="s">
        <v>23434</v>
      </c>
      <c r="AM69" s="14" t="s">
        <v>23439</v>
      </c>
      <c r="AN69" s="14" t="s">
        <v>24389</v>
      </c>
      <c r="AO69" s="14" t="s">
        <v>23842</v>
      </c>
      <c r="AP69" s="14" t="s">
        <v>23434</v>
      </c>
      <c r="AQ69" s="14" t="s">
        <v>23448</v>
      </c>
      <c r="AR69" s="14" t="s">
        <v>24390</v>
      </c>
      <c r="AS69" s="14" t="s">
        <v>23848</v>
      </c>
      <c r="AT69" s="14" t="s">
        <v>23434</v>
      </c>
      <c r="AU69" s="14" t="s">
        <v>23453</v>
      </c>
      <c r="AV69" s="14" t="s">
        <v>24391</v>
      </c>
      <c r="AW69" s="14" t="s">
        <v>23455</v>
      </c>
      <c r="AX69" s="14" t="s">
        <v>23434</v>
      </c>
      <c r="AY69" s="14" t="s">
        <v>23451</v>
      </c>
      <c r="AZ69" s="14" t="s">
        <v>24392</v>
      </c>
      <c r="BA69" s="14" t="s">
        <v>22818</v>
      </c>
      <c r="BB69" s="80"/>
      <c r="BC69" s="14" t="s">
        <v>23438</v>
      </c>
      <c r="BD69" s="81">
        <v>45722.48704861111</v>
      </c>
      <c r="BE69" s="79">
        <f>IFERROR((COUNTIFS('Base de Dados'!FD:FD,"Sim",'Base de Dados'!A:A,A69,'Base de Dados'!B:B,B69)/(COUNTIFS('Base de Dados'!FD:FD,"Sim",'Base de Dados'!A:A,A69,'Base de Dados'!B:B,B69)+(COUNTIFS('Base de Dados'!FD:FD,"Não",'Base de Dados'!A:A,A69,'Base de Dados'!B:B,B69)))),"Não Aplica")</f>
        <v>1</v>
      </c>
      <c r="BF69" s="14" t="s">
        <v>23434</v>
      </c>
      <c r="BG69" s="14" t="s">
        <v>23439</v>
      </c>
      <c r="BH69" s="14" t="s">
        <v>24393</v>
      </c>
      <c r="BI69" s="14" t="s">
        <v>23842</v>
      </c>
      <c r="BJ69" s="80"/>
      <c r="BK69" s="80"/>
      <c r="BL69" s="80"/>
      <c r="BM69" s="80"/>
      <c r="BN69" s="14" t="s">
        <v>23434</v>
      </c>
      <c r="BO69" s="14" t="s">
        <v>23453</v>
      </c>
      <c r="BP69" s="14" t="s">
        <v>24394</v>
      </c>
      <c r="BQ69" s="14" t="s">
        <v>23455</v>
      </c>
      <c r="BR69" s="14" t="s">
        <v>23434</v>
      </c>
      <c r="BS69" s="14" t="s">
        <v>23451</v>
      </c>
      <c r="BT69" s="14" t="s">
        <v>24395</v>
      </c>
      <c r="BU69" s="14" t="s">
        <v>22818</v>
      </c>
      <c r="BV69" s="80"/>
      <c r="BW69" s="14" t="s">
        <v>23438</v>
      </c>
      <c r="BX69" s="81">
        <v>45723.331712962965</v>
      </c>
      <c r="BY69" s="82" t="s">
        <v>23446</v>
      </c>
      <c r="BZ69" s="15"/>
      <c r="CA69" s="15"/>
      <c r="CB69" s="15"/>
      <c r="CC69" s="15"/>
      <c r="CD69" s="80"/>
      <c r="CE69" s="80"/>
      <c r="CF69" s="80"/>
      <c r="CG69" s="80"/>
      <c r="CH69" s="15"/>
      <c r="CI69" s="15"/>
      <c r="CJ69" s="15"/>
      <c r="CK69" s="15"/>
      <c r="CL69" s="15"/>
      <c r="CM69" s="15"/>
      <c r="CN69" s="15"/>
      <c r="CO69" s="15"/>
      <c r="CP69" s="80"/>
      <c r="CQ69" s="80" t="s">
        <v>23459</v>
      </c>
      <c r="CR69" s="83"/>
      <c r="CS69" s="84"/>
    </row>
    <row r="70">
      <c r="A70" s="78" t="s">
        <v>292</v>
      </c>
      <c r="B70" s="78" t="s">
        <v>6644</v>
      </c>
      <c r="C70" s="79">
        <f>IFERROR((COUNTIFS('Base de Dados'!BT:BT,"Sim",'Base de Dados'!A:A,A70,'Base de Dados'!B:B,B70)/(COUNTIFS('Base de Dados'!BT:BT,"Sim",'Base de Dados'!A:A,A70,'Base de Dados'!B:B,B70)+(COUNTIFS('Base de Dados'!BT:BT,"Não",'Base de Dados'!A:A,A70,'Base de Dados'!B:B,B70)))),"Não Aplica")</f>
        <v>1</v>
      </c>
      <c r="D70" s="14" t="s">
        <v>23434</v>
      </c>
      <c r="E70" s="14" t="s">
        <v>24396</v>
      </c>
      <c r="F70" s="14" t="s">
        <v>23436</v>
      </c>
      <c r="G70" s="14" t="s">
        <v>23434</v>
      </c>
      <c r="H70" s="14" t="s">
        <v>24397</v>
      </c>
      <c r="I70" s="14" t="s">
        <v>22818</v>
      </c>
      <c r="J70" s="80"/>
      <c r="K70" s="14" t="s">
        <v>23438</v>
      </c>
      <c r="L70" s="81">
        <v>45687.38952546296</v>
      </c>
      <c r="M70" s="79">
        <f>IFERROR((COUNTIFS('Base de Dados'!DF:DF,"Sim",'Base de Dados'!A:A,A70,'Base de Dados'!B:B,B70)/(COUNTIFS('Base de Dados'!DF:DF,"Sim",'Base de Dados'!A:A,A70,'Base de Dados'!B:B,B70)+(COUNTIFS('Base de Dados'!DF:DF,"Não",'Base de Dados'!A:A,A70,'Base de Dados'!B:B,B70)))),"Não Aplica")</f>
        <v>1</v>
      </c>
      <c r="N70" s="14" t="s">
        <v>23434</v>
      </c>
      <c r="O70" s="14" t="s">
        <v>23439</v>
      </c>
      <c r="P70" s="14" t="s">
        <v>24398</v>
      </c>
      <c r="Q70" s="14" t="s">
        <v>23842</v>
      </c>
      <c r="R70" s="14" t="s">
        <v>23434</v>
      </c>
      <c r="S70" s="14" t="s">
        <v>24399</v>
      </c>
      <c r="T70" s="14" t="s">
        <v>23436</v>
      </c>
      <c r="U70" s="14" t="s">
        <v>23434</v>
      </c>
      <c r="V70" s="14" t="s">
        <v>24400</v>
      </c>
      <c r="W70" s="14" t="s">
        <v>22818</v>
      </c>
      <c r="X70" s="80"/>
      <c r="Y70" s="14" t="s">
        <v>23438</v>
      </c>
      <c r="Z70" s="81">
        <v>45691.612650462965</v>
      </c>
      <c r="AA70" s="79">
        <f>IFERROR((COUNTIFS('Base de Dados'!ED:ED,"Sim",'Base de Dados'!A:A,A70,'Base de Dados'!B:B,B70)/(COUNTIFS('Base de Dados'!ED:ED,"Sim",'Base de Dados'!A:A,A70,'Base de Dados'!B:B,B70)+(COUNTIFS('Base de Dados'!ED:ED,"Não",'Base de Dados'!A:A,A70,'Base de Dados'!B:B,B70)))),"Não Aplica")</f>
        <v>1</v>
      </c>
      <c r="AB70" s="14" t="s">
        <v>23434</v>
      </c>
      <c r="AC70" s="14" t="s">
        <v>24401</v>
      </c>
      <c r="AD70" s="14" t="s">
        <v>23842</v>
      </c>
      <c r="AE70" s="14" t="s">
        <v>23434</v>
      </c>
      <c r="AF70" s="14" t="s">
        <v>24402</v>
      </c>
      <c r="AG70" s="14" t="s">
        <v>22818</v>
      </c>
      <c r="AH70" s="80"/>
      <c r="AI70" s="14" t="s">
        <v>23438</v>
      </c>
      <c r="AJ70" s="81">
        <v>45692.54292824074</v>
      </c>
      <c r="AK70" s="82" t="s">
        <v>23446</v>
      </c>
      <c r="AL70" s="14" t="s">
        <v>23434</v>
      </c>
      <c r="AM70" s="14" t="s">
        <v>23448</v>
      </c>
      <c r="AN70" s="14" t="s">
        <v>24403</v>
      </c>
      <c r="AO70" s="14" t="s">
        <v>23848</v>
      </c>
      <c r="AP70" s="14" t="s">
        <v>23434</v>
      </c>
      <c r="AQ70" s="14" t="s">
        <v>23439</v>
      </c>
      <c r="AR70" s="14" t="s">
        <v>24404</v>
      </c>
      <c r="AS70" s="14" t="s">
        <v>23842</v>
      </c>
      <c r="AT70" s="14" t="s">
        <v>23434</v>
      </c>
      <c r="AU70" s="14" t="s">
        <v>23453</v>
      </c>
      <c r="AV70" s="14" t="s">
        <v>24405</v>
      </c>
      <c r="AW70" s="14" t="s">
        <v>23455</v>
      </c>
      <c r="AX70" s="14" t="s">
        <v>23434</v>
      </c>
      <c r="AY70" s="14" t="s">
        <v>23451</v>
      </c>
      <c r="AZ70" s="14" t="s">
        <v>24406</v>
      </c>
      <c r="BA70" s="14" t="s">
        <v>22818</v>
      </c>
      <c r="BB70" s="80"/>
      <c r="BC70" s="14" t="s">
        <v>23438</v>
      </c>
      <c r="BD70" s="81">
        <v>45723.29785879629</v>
      </c>
      <c r="BE70" s="79">
        <f>IFERROR((COUNTIFS('Base de Dados'!FD:FD,"Sim",'Base de Dados'!A:A,A70,'Base de Dados'!B:B,B70)/(COUNTIFS('Base de Dados'!FD:FD,"Sim",'Base de Dados'!A:A,A70,'Base de Dados'!B:B,B70)+(COUNTIFS('Base de Dados'!FD:FD,"Não",'Base de Dados'!A:A,A70,'Base de Dados'!B:B,B70)))),"Não Aplica")</f>
        <v>1</v>
      </c>
      <c r="BF70" s="14" t="s">
        <v>23434</v>
      </c>
      <c r="BG70" s="14" t="s">
        <v>23439</v>
      </c>
      <c r="BH70" s="14" t="s">
        <v>24407</v>
      </c>
      <c r="BI70" s="14" t="s">
        <v>23842</v>
      </c>
      <c r="BJ70" s="80"/>
      <c r="BK70" s="80"/>
      <c r="BL70" s="80"/>
      <c r="BM70" s="80"/>
      <c r="BN70" s="14" t="s">
        <v>23434</v>
      </c>
      <c r="BO70" s="14" t="s">
        <v>23453</v>
      </c>
      <c r="BP70" s="14" t="s">
        <v>24408</v>
      </c>
      <c r="BQ70" s="14" t="s">
        <v>23455</v>
      </c>
      <c r="BR70" s="14" t="s">
        <v>23434</v>
      </c>
      <c r="BS70" s="14" t="s">
        <v>23451</v>
      </c>
      <c r="BT70" s="14" t="s">
        <v>24409</v>
      </c>
      <c r="BU70" s="14" t="s">
        <v>22818</v>
      </c>
      <c r="BV70" s="80"/>
      <c r="BW70" s="14" t="s">
        <v>23438</v>
      </c>
      <c r="BX70" s="81">
        <v>45723.33159722222</v>
      </c>
      <c r="BY70" s="82" t="s">
        <v>23446</v>
      </c>
      <c r="BZ70" s="15"/>
      <c r="CA70" s="15"/>
      <c r="CB70" s="15"/>
      <c r="CC70" s="15"/>
      <c r="CD70" s="80"/>
      <c r="CE70" s="80"/>
      <c r="CF70" s="80"/>
      <c r="CG70" s="80"/>
      <c r="CH70" s="15"/>
      <c r="CI70" s="15"/>
      <c r="CJ70" s="15"/>
      <c r="CK70" s="15"/>
      <c r="CL70" s="15"/>
      <c r="CM70" s="15"/>
      <c r="CN70" s="15"/>
      <c r="CO70" s="15"/>
      <c r="CP70" s="80"/>
      <c r="CQ70" s="80" t="s">
        <v>23459</v>
      </c>
      <c r="CR70" s="83"/>
      <c r="CS70" s="84"/>
    </row>
    <row r="71">
      <c r="A71" s="78" t="s">
        <v>292</v>
      </c>
      <c r="B71" s="78" t="s">
        <v>6678</v>
      </c>
      <c r="C71" s="79">
        <f>IFERROR((COUNTIFS('Base de Dados'!BT:BT,"Sim",'Base de Dados'!A:A,A71,'Base de Dados'!B:B,B71)/(COUNTIFS('Base de Dados'!BT:BT,"Sim",'Base de Dados'!A:A,A71,'Base de Dados'!B:B,B71)+(COUNTIFS('Base de Dados'!BT:BT,"Não",'Base de Dados'!A:A,A71,'Base de Dados'!B:B,B71)))),"Não Aplica")</f>
        <v>1</v>
      </c>
      <c r="D71" s="14" t="s">
        <v>23434</v>
      </c>
      <c r="E71" s="14" t="s">
        <v>24410</v>
      </c>
      <c r="F71" s="14" t="s">
        <v>23436</v>
      </c>
      <c r="G71" s="14" t="s">
        <v>23434</v>
      </c>
      <c r="H71" s="14" t="s">
        <v>24411</v>
      </c>
      <c r="I71" s="14" t="s">
        <v>22818</v>
      </c>
      <c r="J71" s="80"/>
      <c r="K71" s="14" t="s">
        <v>23438</v>
      </c>
      <c r="L71" s="81">
        <v>45687.38957175926</v>
      </c>
      <c r="M71" s="79">
        <f>IFERROR((COUNTIFS('Base de Dados'!DF:DF,"Sim",'Base de Dados'!A:A,A71,'Base de Dados'!B:B,B71)/(COUNTIFS('Base de Dados'!DF:DF,"Sim",'Base de Dados'!A:A,A71,'Base de Dados'!B:B,B71)+(COUNTIFS('Base de Dados'!DF:DF,"Não",'Base de Dados'!A:A,A71,'Base de Dados'!B:B,B71)))),"Não Aplica")</f>
        <v>1</v>
      </c>
      <c r="N71" s="14" t="s">
        <v>23434</v>
      </c>
      <c r="O71" s="14" t="s">
        <v>23439</v>
      </c>
      <c r="P71" s="14" t="s">
        <v>24412</v>
      </c>
      <c r="Q71" s="14" t="s">
        <v>23842</v>
      </c>
      <c r="R71" s="14" t="s">
        <v>23434</v>
      </c>
      <c r="S71" s="14" t="s">
        <v>24413</v>
      </c>
      <c r="T71" s="14" t="s">
        <v>23436</v>
      </c>
      <c r="U71" s="14" t="s">
        <v>23434</v>
      </c>
      <c r="V71" s="14" t="s">
        <v>24414</v>
      </c>
      <c r="W71" s="14" t="s">
        <v>22818</v>
      </c>
      <c r="X71" s="80"/>
      <c r="Y71" s="14" t="s">
        <v>23438</v>
      </c>
      <c r="Z71" s="81">
        <v>45691.61280092593</v>
      </c>
      <c r="AA71" s="79">
        <f>IFERROR((COUNTIFS('Base de Dados'!ED:ED,"Sim",'Base de Dados'!A:A,A71,'Base de Dados'!B:B,B71)/(COUNTIFS('Base de Dados'!ED:ED,"Sim",'Base de Dados'!A:A,A71,'Base de Dados'!B:B,B71)+(COUNTIFS('Base de Dados'!ED:ED,"Não",'Base de Dados'!A:A,A71,'Base de Dados'!B:B,B71)))),"Não Aplica")</f>
        <v>1</v>
      </c>
      <c r="AB71" s="14" t="s">
        <v>23434</v>
      </c>
      <c r="AC71" s="14" t="s">
        <v>24415</v>
      </c>
      <c r="AD71" s="14" t="s">
        <v>23842</v>
      </c>
      <c r="AE71" s="14" t="s">
        <v>23434</v>
      </c>
      <c r="AF71" s="14" t="s">
        <v>24416</v>
      </c>
      <c r="AG71" s="14" t="s">
        <v>22818</v>
      </c>
      <c r="AH71" s="80"/>
      <c r="AI71" s="14" t="s">
        <v>23438</v>
      </c>
      <c r="AJ71" s="81">
        <v>45692.54295138889</v>
      </c>
      <c r="AK71" s="82" t="s">
        <v>23446</v>
      </c>
      <c r="AL71" s="14" t="s">
        <v>23434</v>
      </c>
      <c r="AM71" s="14" t="s">
        <v>23448</v>
      </c>
      <c r="AN71" s="14" t="s">
        <v>24417</v>
      </c>
      <c r="AO71" s="14" t="s">
        <v>23848</v>
      </c>
      <c r="AP71" s="14" t="s">
        <v>23434</v>
      </c>
      <c r="AQ71" s="14" t="s">
        <v>23439</v>
      </c>
      <c r="AR71" s="14" t="s">
        <v>24418</v>
      </c>
      <c r="AS71" s="14" t="s">
        <v>23842</v>
      </c>
      <c r="AT71" s="14" t="s">
        <v>23434</v>
      </c>
      <c r="AU71" s="14" t="s">
        <v>23453</v>
      </c>
      <c r="AV71" s="14" t="s">
        <v>24419</v>
      </c>
      <c r="AW71" s="14" t="s">
        <v>23455</v>
      </c>
      <c r="AX71" s="14" t="s">
        <v>23434</v>
      </c>
      <c r="AY71" s="14" t="s">
        <v>23451</v>
      </c>
      <c r="AZ71" s="14" t="s">
        <v>24420</v>
      </c>
      <c r="BA71" s="14" t="s">
        <v>22818</v>
      </c>
      <c r="BB71" s="80"/>
      <c r="BC71" s="14" t="s">
        <v>23438</v>
      </c>
      <c r="BD71" s="81">
        <v>45723.29790509259</v>
      </c>
      <c r="BE71" s="79">
        <f>IFERROR((COUNTIFS('Base de Dados'!FD:FD,"Sim",'Base de Dados'!A:A,A71,'Base de Dados'!B:B,B71)/(COUNTIFS('Base de Dados'!FD:FD,"Sim",'Base de Dados'!A:A,A71,'Base de Dados'!B:B,B71)+(COUNTIFS('Base de Dados'!FD:FD,"Não",'Base de Dados'!A:A,A71,'Base de Dados'!B:B,B71)))),"Não Aplica")</f>
        <v>1</v>
      </c>
      <c r="BF71" s="14" t="s">
        <v>23434</v>
      </c>
      <c r="BG71" s="14" t="s">
        <v>23439</v>
      </c>
      <c r="BH71" s="14" t="s">
        <v>24421</v>
      </c>
      <c r="BI71" s="14" t="s">
        <v>23842</v>
      </c>
      <c r="BJ71" s="80"/>
      <c r="BK71" s="80"/>
      <c r="BL71" s="80"/>
      <c r="BM71" s="80"/>
      <c r="BN71" s="14" t="s">
        <v>23434</v>
      </c>
      <c r="BO71" s="14" t="s">
        <v>23453</v>
      </c>
      <c r="BP71" s="14" t="s">
        <v>24422</v>
      </c>
      <c r="BQ71" s="14" t="s">
        <v>23455</v>
      </c>
      <c r="BR71" s="14" t="s">
        <v>23434</v>
      </c>
      <c r="BS71" s="14" t="s">
        <v>23451</v>
      </c>
      <c r="BT71" s="14" t="s">
        <v>24423</v>
      </c>
      <c r="BU71" s="14" t="s">
        <v>22818</v>
      </c>
      <c r="BV71" s="80"/>
      <c r="BW71" s="14" t="s">
        <v>23438</v>
      </c>
      <c r="BX71" s="81">
        <v>45723.327372685184</v>
      </c>
      <c r="BY71" s="82" t="s">
        <v>23446</v>
      </c>
      <c r="BZ71" s="15"/>
      <c r="CA71" s="15"/>
      <c r="CB71" s="15"/>
      <c r="CC71" s="15"/>
      <c r="CD71" s="80"/>
      <c r="CE71" s="80"/>
      <c r="CF71" s="80"/>
      <c r="CG71" s="80"/>
      <c r="CH71" s="15"/>
      <c r="CI71" s="15"/>
      <c r="CJ71" s="15"/>
      <c r="CK71" s="15"/>
      <c r="CL71" s="15"/>
      <c r="CM71" s="15"/>
      <c r="CN71" s="15"/>
      <c r="CO71" s="15"/>
      <c r="CP71" s="80"/>
      <c r="CQ71" s="80" t="s">
        <v>23459</v>
      </c>
      <c r="CR71" s="83"/>
      <c r="CS71" s="84"/>
    </row>
    <row r="72">
      <c r="A72" s="78" t="s">
        <v>292</v>
      </c>
      <c r="B72" s="78" t="s">
        <v>293</v>
      </c>
      <c r="C72" s="79">
        <f>IFERROR((COUNTIFS('Base de Dados'!BT:BT,"Sim",'Base de Dados'!A:A,A72,'Base de Dados'!B:B,B72)/(COUNTIFS('Base de Dados'!BT:BT,"Sim",'Base de Dados'!A:A,A72,'Base de Dados'!B:B,B72)+(COUNTIFS('Base de Dados'!BT:BT,"Não",'Base de Dados'!A:A,A72,'Base de Dados'!B:B,B72)))),"Não Aplica")</f>
        <v>1</v>
      </c>
      <c r="D72" s="14" t="s">
        <v>23434</v>
      </c>
      <c r="E72" s="14" t="s">
        <v>24424</v>
      </c>
      <c r="F72" s="14" t="s">
        <v>23436</v>
      </c>
      <c r="G72" s="14" t="s">
        <v>23434</v>
      </c>
      <c r="H72" s="14" t="s">
        <v>24425</v>
      </c>
      <c r="I72" s="14" t="s">
        <v>22818</v>
      </c>
      <c r="J72" s="80"/>
      <c r="K72" s="14" t="s">
        <v>23438</v>
      </c>
      <c r="L72" s="81">
        <v>45687.3896875</v>
      </c>
      <c r="M72" s="79">
        <f>IFERROR((COUNTIFS('Base de Dados'!DF:DF,"Sim",'Base de Dados'!A:A,A72,'Base de Dados'!B:B,B72)/(COUNTIFS('Base de Dados'!DF:DF,"Sim",'Base de Dados'!A:A,A72,'Base de Dados'!B:B,B72)+(COUNTIFS('Base de Dados'!DF:DF,"Não",'Base de Dados'!A:A,A72,'Base de Dados'!B:B,B72)))),"Não Aplica")</f>
        <v>1</v>
      </c>
      <c r="N72" s="14" t="s">
        <v>23434</v>
      </c>
      <c r="O72" s="14" t="s">
        <v>23439</v>
      </c>
      <c r="P72" s="14" t="s">
        <v>24426</v>
      </c>
      <c r="Q72" s="14" t="s">
        <v>23842</v>
      </c>
      <c r="R72" s="14" t="s">
        <v>23434</v>
      </c>
      <c r="S72" s="14" t="s">
        <v>24427</v>
      </c>
      <c r="T72" s="14" t="s">
        <v>23436</v>
      </c>
      <c r="U72" s="14" t="s">
        <v>23434</v>
      </c>
      <c r="V72" s="14" t="s">
        <v>24428</v>
      </c>
      <c r="W72" s="14" t="s">
        <v>22818</v>
      </c>
      <c r="X72" s="80"/>
      <c r="Y72" s="14" t="s">
        <v>23438</v>
      </c>
      <c r="Z72" s="81">
        <v>45691.61284722222</v>
      </c>
      <c r="AA72" s="79">
        <f>IFERROR((COUNTIFS('Base de Dados'!ED:ED,"Sim",'Base de Dados'!A:A,A72,'Base de Dados'!B:B,B72)/(COUNTIFS('Base de Dados'!ED:ED,"Sim",'Base de Dados'!A:A,A72,'Base de Dados'!B:B,B72)+(COUNTIFS('Base de Dados'!ED:ED,"Não",'Base de Dados'!A:A,A72,'Base de Dados'!B:B,B72)))),"Não Aplica")</f>
        <v>1</v>
      </c>
      <c r="AB72" s="14" t="s">
        <v>23434</v>
      </c>
      <c r="AC72" s="14" t="s">
        <v>24429</v>
      </c>
      <c r="AD72" s="14" t="s">
        <v>23842</v>
      </c>
      <c r="AE72" s="14" t="s">
        <v>23434</v>
      </c>
      <c r="AF72" s="14" t="s">
        <v>24430</v>
      </c>
      <c r="AG72" s="14" t="s">
        <v>22818</v>
      </c>
      <c r="AH72" s="80"/>
      <c r="AI72" s="14" t="s">
        <v>23438</v>
      </c>
      <c r="AJ72" s="81">
        <v>45692.542974537035</v>
      </c>
      <c r="AK72" s="82" t="s">
        <v>23446</v>
      </c>
      <c r="AL72" s="14" t="s">
        <v>23434</v>
      </c>
      <c r="AM72" s="14" t="s">
        <v>23439</v>
      </c>
      <c r="AN72" s="14" t="s">
        <v>24431</v>
      </c>
      <c r="AO72" s="14" t="s">
        <v>23842</v>
      </c>
      <c r="AP72" s="14" t="s">
        <v>23434</v>
      </c>
      <c r="AQ72" s="14" t="s">
        <v>23448</v>
      </c>
      <c r="AR72" s="14" t="s">
        <v>24432</v>
      </c>
      <c r="AS72" s="14" t="s">
        <v>23848</v>
      </c>
      <c r="AT72" s="14" t="s">
        <v>23434</v>
      </c>
      <c r="AU72" s="14" t="s">
        <v>23453</v>
      </c>
      <c r="AV72" s="14" t="s">
        <v>24433</v>
      </c>
      <c r="AW72" s="14" t="s">
        <v>23455</v>
      </c>
      <c r="AX72" s="14" t="s">
        <v>23434</v>
      </c>
      <c r="AY72" s="14" t="s">
        <v>23451</v>
      </c>
      <c r="AZ72" s="14" t="s">
        <v>24434</v>
      </c>
      <c r="BA72" s="14" t="s">
        <v>22818</v>
      </c>
      <c r="BB72" s="80"/>
      <c r="BC72" s="14" t="s">
        <v>23438</v>
      </c>
      <c r="BD72" s="81">
        <v>45722.7596875</v>
      </c>
      <c r="BE72" s="79">
        <f>IFERROR((COUNTIFS('Base de Dados'!FD:FD,"Sim",'Base de Dados'!A:A,A72,'Base de Dados'!B:B,B72)/(COUNTIFS('Base de Dados'!FD:FD,"Sim",'Base de Dados'!A:A,A72,'Base de Dados'!B:B,B72)+(COUNTIFS('Base de Dados'!FD:FD,"Não",'Base de Dados'!A:A,A72,'Base de Dados'!B:B,B72)))),"Não Aplica")</f>
        <v>1</v>
      </c>
      <c r="BF72" s="14" t="s">
        <v>23434</v>
      </c>
      <c r="BG72" s="14" t="s">
        <v>23439</v>
      </c>
      <c r="BH72" s="14" t="s">
        <v>24435</v>
      </c>
      <c r="BI72" s="14" t="s">
        <v>23842</v>
      </c>
      <c r="BJ72" s="80"/>
      <c r="BK72" s="80"/>
      <c r="BL72" s="80"/>
      <c r="BM72" s="80"/>
      <c r="BN72" s="14" t="s">
        <v>23434</v>
      </c>
      <c r="BO72" s="14" t="s">
        <v>23453</v>
      </c>
      <c r="BP72" s="14" t="s">
        <v>24436</v>
      </c>
      <c r="BQ72" s="14" t="s">
        <v>23455</v>
      </c>
      <c r="BR72" s="14" t="s">
        <v>23434</v>
      </c>
      <c r="BS72" s="14" t="s">
        <v>23451</v>
      </c>
      <c r="BT72" s="14" t="s">
        <v>24437</v>
      </c>
      <c r="BU72" s="14" t="s">
        <v>22818</v>
      </c>
      <c r="BV72" s="80"/>
      <c r="BW72" s="14" t="s">
        <v>23438</v>
      </c>
      <c r="BX72" s="81">
        <v>45723.33174768519</v>
      </c>
      <c r="BY72" s="82" t="s">
        <v>23446</v>
      </c>
      <c r="BZ72" s="15"/>
      <c r="CA72" s="15"/>
      <c r="CB72" s="15"/>
      <c r="CC72" s="15"/>
      <c r="CD72" s="80"/>
      <c r="CE72" s="80"/>
      <c r="CF72" s="80"/>
      <c r="CG72" s="80"/>
      <c r="CH72" s="15"/>
      <c r="CI72" s="15"/>
      <c r="CJ72" s="15"/>
      <c r="CK72" s="15"/>
      <c r="CL72" s="15"/>
      <c r="CM72" s="15"/>
      <c r="CN72" s="15"/>
      <c r="CO72" s="15"/>
      <c r="CP72" s="80"/>
      <c r="CQ72" s="80" t="s">
        <v>23459</v>
      </c>
      <c r="CR72" s="83"/>
      <c r="CS72" s="84"/>
    </row>
    <row r="73">
      <c r="A73" s="78" t="s">
        <v>292</v>
      </c>
      <c r="B73" s="78" t="s">
        <v>1644</v>
      </c>
      <c r="C73" s="79">
        <f>IFERROR((COUNTIFS('Base de Dados'!BT:BT,"Sim",'Base de Dados'!A:A,A73,'Base de Dados'!B:B,B73)/(COUNTIFS('Base de Dados'!BT:BT,"Sim",'Base de Dados'!A:A,A73,'Base de Dados'!B:B,B73)+(COUNTIFS('Base de Dados'!BT:BT,"Não",'Base de Dados'!A:A,A73,'Base de Dados'!B:B,B73)))),"Não Aplica")</f>
        <v>1</v>
      </c>
      <c r="D73" s="14" t="s">
        <v>23434</v>
      </c>
      <c r="E73" s="14" t="s">
        <v>24438</v>
      </c>
      <c r="F73" s="14" t="s">
        <v>23436</v>
      </c>
      <c r="G73" s="14" t="s">
        <v>23434</v>
      </c>
      <c r="H73" s="14" t="s">
        <v>24439</v>
      </c>
      <c r="I73" s="14" t="s">
        <v>22818</v>
      </c>
      <c r="J73" s="80"/>
      <c r="K73" s="14" t="s">
        <v>23438</v>
      </c>
      <c r="L73" s="81">
        <v>45691.60917824074</v>
      </c>
      <c r="M73" s="79">
        <f>IFERROR((COUNTIFS('Base de Dados'!DF:DF,"Sim",'Base de Dados'!A:A,A73,'Base de Dados'!B:B,B73)/(COUNTIFS('Base de Dados'!DF:DF,"Sim",'Base de Dados'!A:A,A73,'Base de Dados'!B:B,B73)+(COUNTIFS('Base de Dados'!DF:DF,"Não",'Base de Dados'!A:A,A73,'Base de Dados'!B:B,B73)))),"Não Aplica")</f>
        <v>1</v>
      </c>
      <c r="N73" s="14" t="s">
        <v>23434</v>
      </c>
      <c r="O73" s="14" t="s">
        <v>23439</v>
      </c>
      <c r="P73" s="14" t="s">
        <v>24440</v>
      </c>
      <c r="Q73" s="14" t="s">
        <v>23842</v>
      </c>
      <c r="R73" s="14" t="s">
        <v>23434</v>
      </c>
      <c r="S73" s="14" t="s">
        <v>24441</v>
      </c>
      <c r="T73" s="14" t="s">
        <v>23436</v>
      </c>
      <c r="U73" s="14" t="s">
        <v>23434</v>
      </c>
      <c r="V73" s="14" t="s">
        <v>24442</v>
      </c>
      <c r="W73" s="14" t="s">
        <v>22818</v>
      </c>
      <c r="X73" s="80"/>
      <c r="Y73" s="14" t="s">
        <v>23438</v>
      </c>
      <c r="Z73" s="81">
        <v>45692.53554398148</v>
      </c>
      <c r="AA73" s="79">
        <f>IFERROR((COUNTIFS('Base de Dados'!ED:ED,"Sim",'Base de Dados'!A:A,A73,'Base de Dados'!B:B,B73)/(COUNTIFS('Base de Dados'!ED:ED,"Sim",'Base de Dados'!A:A,A73,'Base de Dados'!B:B,B73)+(COUNTIFS('Base de Dados'!ED:ED,"Não",'Base de Dados'!A:A,A73,'Base de Dados'!B:B,B73)))),"Não Aplica")</f>
        <v>1</v>
      </c>
      <c r="AB73" s="14" t="s">
        <v>23434</v>
      </c>
      <c r="AC73" s="14" t="s">
        <v>24443</v>
      </c>
      <c r="AD73" s="14" t="s">
        <v>23842</v>
      </c>
      <c r="AE73" s="14" t="s">
        <v>23434</v>
      </c>
      <c r="AF73" s="14" t="s">
        <v>24444</v>
      </c>
      <c r="AG73" s="14" t="s">
        <v>22818</v>
      </c>
      <c r="AH73" s="80"/>
      <c r="AI73" s="14" t="s">
        <v>23438</v>
      </c>
      <c r="AJ73" s="81">
        <v>45693.44876157407</v>
      </c>
      <c r="AK73" s="82" t="s">
        <v>23446</v>
      </c>
      <c r="AL73" s="14" t="s">
        <v>23434</v>
      </c>
      <c r="AM73" s="14" t="s">
        <v>23439</v>
      </c>
      <c r="AN73" s="14" t="s">
        <v>24445</v>
      </c>
      <c r="AO73" s="14" t="s">
        <v>23842</v>
      </c>
      <c r="AP73" s="14" t="s">
        <v>23434</v>
      </c>
      <c r="AQ73" s="14" t="s">
        <v>23448</v>
      </c>
      <c r="AR73" s="14" t="s">
        <v>24446</v>
      </c>
      <c r="AS73" s="14" t="s">
        <v>23848</v>
      </c>
      <c r="AT73" s="14" t="s">
        <v>23434</v>
      </c>
      <c r="AU73" s="14" t="s">
        <v>23453</v>
      </c>
      <c r="AV73" s="14" t="s">
        <v>24447</v>
      </c>
      <c r="AW73" s="14" t="s">
        <v>23455</v>
      </c>
      <c r="AX73" s="14" t="s">
        <v>23434</v>
      </c>
      <c r="AY73" s="14" t="s">
        <v>23451</v>
      </c>
      <c r="AZ73" s="14" t="s">
        <v>24448</v>
      </c>
      <c r="BA73" s="14" t="s">
        <v>22818</v>
      </c>
      <c r="BB73" s="80"/>
      <c r="BC73" s="14" t="s">
        <v>23438</v>
      </c>
      <c r="BD73" s="81">
        <v>45722.48726851852</v>
      </c>
      <c r="BE73" s="79">
        <f>IFERROR((COUNTIFS('Base de Dados'!FD:FD,"Sim",'Base de Dados'!A:A,A73,'Base de Dados'!B:B,B73)/(COUNTIFS('Base de Dados'!FD:FD,"Sim",'Base de Dados'!A:A,A73,'Base de Dados'!B:B,B73)+(COUNTIFS('Base de Dados'!FD:FD,"Não",'Base de Dados'!A:A,A73,'Base de Dados'!B:B,B73)))),"Não Aplica")</f>
        <v>1</v>
      </c>
      <c r="BF73" s="14" t="s">
        <v>23434</v>
      </c>
      <c r="BG73" s="14" t="s">
        <v>23439</v>
      </c>
      <c r="BH73" s="14" t="s">
        <v>24449</v>
      </c>
      <c r="BI73" s="14" t="s">
        <v>23842</v>
      </c>
      <c r="BJ73" s="80"/>
      <c r="BK73" s="80"/>
      <c r="BL73" s="80"/>
      <c r="BM73" s="80"/>
      <c r="BN73" s="14" t="s">
        <v>23434</v>
      </c>
      <c r="BO73" s="14" t="s">
        <v>23453</v>
      </c>
      <c r="BP73" s="14" t="s">
        <v>24450</v>
      </c>
      <c r="BQ73" s="14" t="s">
        <v>23455</v>
      </c>
      <c r="BR73" s="14" t="s">
        <v>23434</v>
      </c>
      <c r="BS73" s="14" t="s">
        <v>23451</v>
      </c>
      <c r="BT73" s="14" t="s">
        <v>24451</v>
      </c>
      <c r="BU73" s="14" t="s">
        <v>22818</v>
      </c>
      <c r="BV73" s="80"/>
      <c r="BW73" s="14" t="s">
        <v>23438</v>
      </c>
      <c r="BX73" s="81">
        <v>45723.33185185185</v>
      </c>
      <c r="BY73" s="82" t="s">
        <v>23446</v>
      </c>
      <c r="BZ73" s="15"/>
      <c r="CA73" s="15"/>
      <c r="CB73" s="15"/>
      <c r="CC73" s="15"/>
      <c r="CD73" s="80"/>
      <c r="CE73" s="80"/>
      <c r="CF73" s="80"/>
      <c r="CG73" s="80"/>
      <c r="CH73" s="15"/>
      <c r="CI73" s="15"/>
      <c r="CJ73" s="15"/>
      <c r="CK73" s="15"/>
      <c r="CL73" s="15"/>
      <c r="CM73" s="15"/>
      <c r="CN73" s="15"/>
      <c r="CO73" s="15"/>
      <c r="CP73" s="80"/>
      <c r="CQ73" s="80" t="s">
        <v>23459</v>
      </c>
      <c r="CR73" s="83"/>
      <c r="CS73" s="84"/>
    </row>
    <row r="74">
      <c r="A74" s="78" t="s">
        <v>292</v>
      </c>
      <c r="B74" s="78" t="s">
        <v>1610</v>
      </c>
      <c r="C74" s="79">
        <f>IFERROR((COUNTIFS('Base de Dados'!BT:BT,"Sim",'Base de Dados'!A:A,A74,'Base de Dados'!B:B,B74)/(COUNTIFS('Base de Dados'!BT:BT,"Sim",'Base de Dados'!A:A,A74,'Base de Dados'!B:B,B74)+(COUNTIFS('Base de Dados'!BT:BT,"Não",'Base de Dados'!A:A,A74,'Base de Dados'!B:B,B74)))),"Não Aplica")</f>
        <v>1</v>
      </c>
      <c r="D74" s="14" t="s">
        <v>23434</v>
      </c>
      <c r="E74" s="14" t="s">
        <v>24452</v>
      </c>
      <c r="F74" s="14" t="s">
        <v>23436</v>
      </c>
      <c r="G74" s="14" t="s">
        <v>23434</v>
      </c>
      <c r="H74" s="14" t="s">
        <v>24453</v>
      </c>
      <c r="I74" s="14" t="s">
        <v>22818</v>
      </c>
      <c r="J74" s="80"/>
      <c r="K74" s="14" t="s">
        <v>23438</v>
      </c>
      <c r="L74" s="81">
        <v>45687.660474537035</v>
      </c>
      <c r="M74" s="79">
        <f>IFERROR((COUNTIFS('Base de Dados'!DF:DF,"Sim",'Base de Dados'!A:A,A74,'Base de Dados'!B:B,B74)/(COUNTIFS('Base de Dados'!DF:DF,"Sim",'Base de Dados'!A:A,A74,'Base de Dados'!B:B,B74)+(COUNTIFS('Base de Dados'!DF:DF,"Não",'Base de Dados'!A:A,A74,'Base de Dados'!B:B,B74)))),"Não Aplica")</f>
        <v>1</v>
      </c>
      <c r="N74" s="14" t="s">
        <v>23434</v>
      </c>
      <c r="O74" s="14" t="s">
        <v>23439</v>
      </c>
      <c r="P74" s="14" t="s">
        <v>24454</v>
      </c>
      <c r="Q74" s="14" t="s">
        <v>23842</v>
      </c>
      <c r="R74" s="14" t="s">
        <v>23434</v>
      </c>
      <c r="S74" s="14" t="s">
        <v>24455</v>
      </c>
      <c r="T74" s="14" t="s">
        <v>23436</v>
      </c>
      <c r="U74" s="14" t="s">
        <v>23434</v>
      </c>
      <c r="V74" s="14" t="s">
        <v>24456</v>
      </c>
      <c r="W74" s="14" t="s">
        <v>22818</v>
      </c>
      <c r="X74" s="80"/>
      <c r="Y74" s="14" t="s">
        <v>23438</v>
      </c>
      <c r="Z74" s="81">
        <v>45691.612905092596</v>
      </c>
      <c r="AA74" s="79">
        <f>IFERROR((COUNTIFS('Base de Dados'!ED:ED,"Sim",'Base de Dados'!A:A,A74,'Base de Dados'!B:B,B74)/(COUNTIFS('Base de Dados'!ED:ED,"Sim",'Base de Dados'!A:A,A74,'Base de Dados'!B:B,B74)+(COUNTIFS('Base de Dados'!ED:ED,"Não",'Base de Dados'!A:A,A74,'Base de Dados'!B:B,B74)))),"Não Aplica")</f>
        <v>1</v>
      </c>
      <c r="AB74" s="14" t="s">
        <v>23434</v>
      </c>
      <c r="AC74" s="14" t="s">
        <v>24457</v>
      </c>
      <c r="AD74" s="14" t="s">
        <v>23842</v>
      </c>
      <c r="AE74" s="14" t="s">
        <v>23434</v>
      </c>
      <c r="AF74" s="14" t="s">
        <v>24458</v>
      </c>
      <c r="AG74" s="14" t="s">
        <v>22818</v>
      </c>
      <c r="AH74" s="80"/>
      <c r="AI74" s="14" t="s">
        <v>23438</v>
      </c>
      <c r="AJ74" s="81">
        <v>45692.54298611111</v>
      </c>
      <c r="AK74" s="82" t="s">
        <v>23446</v>
      </c>
      <c r="AL74" s="14" t="s">
        <v>23434</v>
      </c>
      <c r="AM74" s="14" t="s">
        <v>23448</v>
      </c>
      <c r="AN74" s="14" t="s">
        <v>24459</v>
      </c>
      <c r="AO74" s="14" t="s">
        <v>23848</v>
      </c>
      <c r="AP74" s="14" t="s">
        <v>23434</v>
      </c>
      <c r="AQ74" s="14" t="s">
        <v>23439</v>
      </c>
      <c r="AR74" s="14" t="s">
        <v>24460</v>
      </c>
      <c r="AS74" s="14" t="s">
        <v>23842</v>
      </c>
      <c r="AT74" s="14" t="s">
        <v>23434</v>
      </c>
      <c r="AU74" s="14" t="s">
        <v>23453</v>
      </c>
      <c r="AV74" s="14" t="s">
        <v>24461</v>
      </c>
      <c r="AW74" s="14" t="s">
        <v>23455</v>
      </c>
      <c r="AX74" s="14" t="s">
        <v>23434</v>
      </c>
      <c r="AY74" s="14" t="s">
        <v>23451</v>
      </c>
      <c r="AZ74" s="14" t="s">
        <v>24462</v>
      </c>
      <c r="BA74" s="14" t="s">
        <v>22818</v>
      </c>
      <c r="BB74" s="80"/>
      <c r="BC74" s="14" t="s">
        <v>23438</v>
      </c>
      <c r="BD74" s="81">
        <v>45723.297939814816</v>
      </c>
      <c r="BE74" s="79">
        <f>IFERROR((COUNTIFS('Base de Dados'!FD:FD,"Sim",'Base de Dados'!A:A,A74,'Base de Dados'!B:B,B74)/(COUNTIFS('Base de Dados'!FD:FD,"Sim",'Base de Dados'!A:A,A74,'Base de Dados'!B:B,B74)+(COUNTIFS('Base de Dados'!FD:FD,"Não",'Base de Dados'!A:A,A74,'Base de Dados'!B:B,B74)))),"Não Aplica")</f>
        <v>1</v>
      </c>
      <c r="BF74" s="14" t="s">
        <v>23434</v>
      </c>
      <c r="BG74" s="14" t="s">
        <v>23439</v>
      </c>
      <c r="BH74" s="14" t="s">
        <v>24463</v>
      </c>
      <c r="BI74" s="14" t="s">
        <v>23842</v>
      </c>
      <c r="BJ74" s="80"/>
      <c r="BK74" s="80"/>
      <c r="BL74" s="80"/>
      <c r="BM74" s="80"/>
      <c r="BN74" s="14" t="s">
        <v>23434</v>
      </c>
      <c r="BO74" s="14" t="s">
        <v>23453</v>
      </c>
      <c r="BP74" s="14" t="s">
        <v>24464</v>
      </c>
      <c r="BQ74" s="14" t="s">
        <v>23455</v>
      </c>
      <c r="BR74" s="14" t="s">
        <v>23434</v>
      </c>
      <c r="BS74" s="14" t="s">
        <v>23451</v>
      </c>
      <c r="BT74" s="14" t="s">
        <v>24465</v>
      </c>
      <c r="BU74" s="14" t="s">
        <v>22818</v>
      </c>
      <c r="BV74" s="80"/>
      <c r="BW74" s="14" t="s">
        <v>23438</v>
      </c>
      <c r="BX74" s="81">
        <v>45723.33181712963</v>
      </c>
      <c r="BY74" s="82" t="s">
        <v>23446</v>
      </c>
      <c r="BZ74" s="15"/>
      <c r="CA74" s="15"/>
      <c r="CB74" s="15"/>
      <c r="CC74" s="15"/>
      <c r="CD74" s="80"/>
      <c r="CE74" s="80"/>
      <c r="CF74" s="80"/>
      <c r="CG74" s="80"/>
      <c r="CH74" s="15"/>
      <c r="CI74" s="15"/>
      <c r="CJ74" s="15"/>
      <c r="CK74" s="15"/>
      <c r="CL74" s="15"/>
      <c r="CM74" s="15"/>
      <c r="CN74" s="15"/>
      <c r="CO74" s="15"/>
      <c r="CP74" s="80"/>
      <c r="CQ74" s="80" t="s">
        <v>23459</v>
      </c>
      <c r="CR74" s="83"/>
      <c r="CS74" s="84"/>
    </row>
    <row r="75">
      <c r="A75" s="78" t="s">
        <v>217</v>
      </c>
      <c r="B75" s="78" t="s">
        <v>8026</v>
      </c>
      <c r="C75" s="79">
        <f>IFERROR((COUNTIFS('Base de Dados'!BT:BT,"Sim",'Base de Dados'!A:A,A75,'Base de Dados'!B:B,B75)/(COUNTIFS('Base de Dados'!BT:BT,"Sim",'Base de Dados'!A:A,A75,'Base de Dados'!B:B,B75)+(COUNTIFS('Base de Dados'!BT:BT,"Não",'Base de Dados'!A:A,A75,'Base de Dados'!B:B,B75)))),"Não Aplica")</f>
        <v>1</v>
      </c>
      <c r="D75" s="14" t="s">
        <v>23434</v>
      </c>
      <c r="E75" s="14" t="s">
        <v>24466</v>
      </c>
      <c r="F75" s="14" t="s">
        <v>23436</v>
      </c>
      <c r="G75" s="14" t="s">
        <v>23434</v>
      </c>
      <c r="H75" s="14" t="s">
        <v>24467</v>
      </c>
      <c r="I75" s="14" t="s">
        <v>22818</v>
      </c>
      <c r="J75" s="80"/>
      <c r="K75" s="14" t="s">
        <v>23438</v>
      </c>
      <c r="L75" s="81">
        <v>45685.31178240741</v>
      </c>
      <c r="M75" s="79">
        <f>IFERROR((COUNTIFS('Base de Dados'!DF:DF,"Sim",'Base de Dados'!A:A,A75,'Base de Dados'!B:B,B75)/(COUNTIFS('Base de Dados'!DF:DF,"Sim",'Base de Dados'!A:A,A75,'Base de Dados'!B:B,B75)+(COUNTIFS('Base de Dados'!DF:DF,"Não",'Base de Dados'!A:A,A75,'Base de Dados'!B:B,B75)))),"Não Aplica")</f>
        <v>1</v>
      </c>
      <c r="N75" s="14" t="s">
        <v>23434</v>
      </c>
      <c r="O75" s="14" t="s">
        <v>23439</v>
      </c>
      <c r="P75" s="14" t="s">
        <v>24468</v>
      </c>
      <c r="Q75" s="14" t="s">
        <v>23842</v>
      </c>
      <c r="R75" s="14" t="s">
        <v>23434</v>
      </c>
      <c r="S75" s="14" t="s">
        <v>24469</v>
      </c>
      <c r="T75" s="14" t="s">
        <v>23436</v>
      </c>
      <c r="U75" s="14" t="s">
        <v>23434</v>
      </c>
      <c r="V75" s="14" t="s">
        <v>24470</v>
      </c>
      <c r="W75" s="14" t="s">
        <v>22818</v>
      </c>
      <c r="X75" s="80"/>
      <c r="Y75" s="14" t="s">
        <v>23438</v>
      </c>
      <c r="Z75" s="81">
        <v>45691.61304398148</v>
      </c>
      <c r="AA75" s="79">
        <f>IFERROR((COUNTIFS('Base de Dados'!ED:ED,"Sim",'Base de Dados'!A:A,A75,'Base de Dados'!B:B,B75)/(COUNTIFS('Base de Dados'!ED:ED,"Sim",'Base de Dados'!A:A,A75,'Base de Dados'!B:B,B75)+(COUNTIFS('Base de Dados'!ED:ED,"Não",'Base de Dados'!A:A,A75,'Base de Dados'!B:B,B75)))),"Não Aplica")</f>
        <v>1</v>
      </c>
      <c r="AB75" s="14" t="s">
        <v>23434</v>
      </c>
      <c r="AC75" s="14" t="s">
        <v>24471</v>
      </c>
      <c r="AD75" s="14" t="s">
        <v>23842</v>
      </c>
      <c r="AE75" s="14" t="s">
        <v>23434</v>
      </c>
      <c r="AF75" s="14" t="s">
        <v>24472</v>
      </c>
      <c r="AG75" s="14" t="s">
        <v>22818</v>
      </c>
      <c r="AH75" s="80"/>
      <c r="AI75" s="14" t="s">
        <v>23438</v>
      </c>
      <c r="AJ75" s="81">
        <v>45692.5434837963</v>
      </c>
      <c r="AK75" s="82" t="s">
        <v>23446</v>
      </c>
      <c r="AL75" s="14" t="s">
        <v>23434</v>
      </c>
      <c r="AM75" s="14" t="s">
        <v>23439</v>
      </c>
      <c r="AN75" s="14" t="s">
        <v>24473</v>
      </c>
      <c r="AO75" s="14" t="s">
        <v>23842</v>
      </c>
      <c r="AP75" s="14" t="s">
        <v>23434</v>
      </c>
      <c r="AQ75" s="14" t="s">
        <v>23448</v>
      </c>
      <c r="AR75" s="14" t="s">
        <v>24474</v>
      </c>
      <c r="AS75" s="14" t="s">
        <v>23848</v>
      </c>
      <c r="AT75" s="14" t="s">
        <v>23434</v>
      </c>
      <c r="AU75" s="14" t="s">
        <v>23453</v>
      </c>
      <c r="AV75" s="14" t="s">
        <v>24475</v>
      </c>
      <c r="AW75" s="14" t="s">
        <v>23455</v>
      </c>
      <c r="AX75" s="14" t="s">
        <v>23434</v>
      </c>
      <c r="AY75" s="14" t="s">
        <v>23451</v>
      </c>
      <c r="AZ75" s="14" t="s">
        <v>24476</v>
      </c>
      <c r="BA75" s="14" t="s">
        <v>22818</v>
      </c>
      <c r="BB75" s="80"/>
      <c r="BC75" s="14" t="s">
        <v>23438</v>
      </c>
      <c r="BD75" s="81">
        <v>45721.649513888886</v>
      </c>
      <c r="BE75" s="79">
        <f>IFERROR((COUNTIFS('Base de Dados'!FD:FD,"Sim",'Base de Dados'!A:A,A75,'Base de Dados'!B:B,B75)/(COUNTIFS('Base de Dados'!FD:FD,"Sim",'Base de Dados'!A:A,A75,'Base de Dados'!B:B,B75)+(COUNTIFS('Base de Dados'!FD:FD,"Não",'Base de Dados'!A:A,A75,'Base de Dados'!B:B,B75)))),"Não Aplica")</f>
        <v>1</v>
      </c>
      <c r="BF75" s="14" t="s">
        <v>23434</v>
      </c>
      <c r="BG75" s="14" t="s">
        <v>23439</v>
      </c>
      <c r="BH75" s="14" t="s">
        <v>24477</v>
      </c>
      <c r="BI75" s="14" t="s">
        <v>23842</v>
      </c>
      <c r="BJ75" s="80"/>
      <c r="BK75" s="80"/>
      <c r="BL75" s="80"/>
      <c r="BM75" s="80"/>
      <c r="BN75" s="14" t="s">
        <v>23434</v>
      </c>
      <c r="BO75" s="14" t="s">
        <v>23453</v>
      </c>
      <c r="BP75" s="14" t="s">
        <v>24478</v>
      </c>
      <c r="BQ75" s="14" t="s">
        <v>23455</v>
      </c>
      <c r="BR75" s="14" t="s">
        <v>23434</v>
      </c>
      <c r="BS75" s="14" t="s">
        <v>23451</v>
      </c>
      <c r="BT75" s="14" t="s">
        <v>24479</v>
      </c>
      <c r="BU75" s="14" t="s">
        <v>22818</v>
      </c>
      <c r="BV75" s="80"/>
      <c r="BW75" s="14" t="s">
        <v>23438</v>
      </c>
      <c r="BX75" s="81">
        <v>45723.329409722224</v>
      </c>
      <c r="BY75" s="82" t="s">
        <v>23446</v>
      </c>
      <c r="BZ75" s="15"/>
      <c r="CA75" s="15"/>
      <c r="CB75" s="15"/>
      <c r="CC75" s="15"/>
      <c r="CD75" s="80"/>
      <c r="CE75" s="80"/>
      <c r="CF75" s="80"/>
      <c r="CG75" s="80"/>
      <c r="CH75" s="15"/>
      <c r="CI75" s="15"/>
      <c r="CJ75" s="15"/>
      <c r="CK75" s="15"/>
      <c r="CL75" s="15"/>
      <c r="CM75" s="15"/>
      <c r="CN75" s="15"/>
      <c r="CO75" s="15"/>
      <c r="CP75" s="80"/>
      <c r="CQ75" s="80" t="s">
        <v>23459</v>
      </c>
      <c r="CR75" s="83"/>
      <c r="CS75" s="84"/>
    </row>
    <row r="76">
      <c r="A76" s="78" t="s">
        <v>217</v>
      </c>
      <c r="B76" s="78" t="s">
        <v>7532</v>
      </c>
      <c r="C76" s="79">
        <f>IFERROR((COUNTIFS('Base de Dados'!BT:BT,"Sim",'Base de Dados'!A:A,A76,'Base de Dados'!B:B,B76)/(COUNTIFS('Base de Dados'!BT:BT,"Sim",'Base de Dados'!A:A,A76,'Base de Dados'!B:B,B76)+(COUNTIFS('Base de Dados'!BT:BT,"Não",'Base de Dados'!A:A,A76,'Base de Dados'!B:B,B76)))),"Não Aplica")</f>
        <v>1</v>
      </c>
      <c r="D76" s="14" t="s">
        <v>23434</v>
      </c>
      <c r="E76" s="14" t="s">
        <v>24480</v>
      </c>
      <c r="F76" s="14" t="s">
        <v>23436</v>
      </c>
      <c r="G76" s="14" t="s">
        <v>23434</v>
      </c>
      <c r="H76" s="14" t="s">
        <v>24481</v>
      </c>
      <c r="I76" s="14" t="s">
        <v>22818</v>
      </c>
      <c r="J76" s="80"/>
      <c r="K76" s="14" t="s">
        <v>23438</v>
      </c>
      <c r="L76" s="81">
        <v>45685.64881944445</v>
      </c>
      <c r="M76" s="79">
        <f>IFERROR((COUNTIFS('Base de Dados'!DF:DF,"Sim",'Base de Dados'!A:A,A76,'Base de Dados'!B:B,B76)/(COUNTIFS('Base de Dados'!DF:DF,"Sim",'Base de Dados'!A:A,A76,'Base de Dados'!B:B,B76)+(COUNTIFS('Base de Dados'!DF:DF,"Não",'Base de Dados'!A:A,A76,'Base de Dados'!B:B,B76)))),"Não Aplica")</f>
        <v>1</v>
      </c>
      <c r="N76" s="14" t="s">
        <v>23434</v>
      </c>
      <c r="O76" s="14" t="s">
        <v>23439</v>
      </c>
      <c r="P76" s="14" t="s">
        <v>24482</v>
      </c>
      <c r="Q76" s="14" t="s">
        <v>23842</v>
      </c>
      <c r="R76" s="14" t="s">
        <v>23434</v>
      </c>
      <c r="S76" s="14" t="s">
        <v>24483</v>
      </c>
      <c r="T76" s="14" t="s">
        <v>23436</v>
      </c>
      <c r="U76" s="14" t="s">
        <v>23434</v>
      </c>
      <c r="V76" s="14" t="s">
        <v>24484</v>
      </c>
      <c r="W76" s="14" t="s">
        <v>22818</v>
      </c>
      <c r="X76" s="80"/>
      <c r="Y76" s="14" t="s">
        <v>23438</v>
      </c>
      <c r="Z76" s="81">
        <v>45691.61300925926</v>
      </c>
      <c r="AA76" s="79">
        <f>IFERROR((COUNTIFS('Base de Dados'!ED:ED,"Sim",'Base de Dados'!A:A,A76,'Base de Dados'!B:B,B76)/(COUNTIFS('Base de Dados'!ED:ED,"Sim",'Base de Dados'!A:A,A76,'Base de Dados'!B:B,B76)+(COUNTIFS('Base de Dados'!ED:ED,"Não",'Base de Dados'!A:A,A76,'Base de Dados'!B:B,B76)))),"Não Aplica")</f>
        <v>1</v>
      </c>
      <c r="AB76" s="14" t="s">
        <v>23434</v>
      </c>
      <c r="AC76" s="14" t="s">
        <v>24485</v>
      </c>
      <c r="AD76" s="14" t="s">
        <v>23842</v>
      </c>
      <c r="AE76" s="14" t="s">
        <v>23434</v>
      </c>
      <c r="AF76" s="14" t="s">
        <v>24486</v>
      </c>
      <c r="AG76" s="14" t="s">
        <v>22818</v>
      </c>
      <c r="AH76" s="80"/>
      <c r="AI76" s="14" t="s">
        <v>23438</v>
      </c>
      <c r="AJ76" s="81">
        <v>45692.543032407404</v>
      </c>
      <c r="AK76" s="82" t="s">
        <v>23446</v>
      </c>
      <c r="AL76" s="14" t="s">
        <v>23434</v>
      </c>
      <c r="AM76" s="14" t="s">
        <v>23439</v>
      </c>
      <c r="AN76" s="14" t="s">
        <v>24487</v>
      </c>
      <c r="AO76" s="14" t="s">
        <v>23842</v>
      </c>
      <c r="AP76" s="14" t="s">
        <v>23434</v>
      </c>
      <c r="AQ76" s="14" t="s">
        <v>23448</v>
      </c>
      <c r="AR76" s="14" t="s">
        <v>24488</v>
      </c>
      <c r="AS76" s="14" t="s">
        <v>23848</v>
      </c>
      <c r="AT76" s="14" t="s">
        <v>23434</v>
      </c>
      <c r="AU76" s="14" t="s">
        <v>23453</v>
      </c>
      <c r="AV76" s="14" t="s">
        <v>24489</v>
      </c>
      <c r="AW76" s="14" t="s">
        <v>23455</v>
      </c>
      <c r="AX76" s="14" t="s">
        <v>23434</v>
      </c>
      <c r="AY76" s="14" t="s">
        <v>23451</v>
      </c>
      <c r="AZ76" s="14" t="s">
        <v>24490</v>
      </c>
      <c r="BA76" s="14" t="s">
        <v>22818</v>
      </c>
      <c r="BB76" s="80"/>
      <c r="BC76" s="14" t="s">
        <v>23438</v>
      </c>
      <c r="BD76" s="81">
        <v>45722.487222222226</v>
      </c>
      <c r="BE76" s="79">
        <f>IFERROR((COUNTIFS('Base de Dados'!FD:FD,"Sim",'Base de Dados'!A:A,A76,'Base de Dados'!B:B,B76)/(COUNTIFS('Base de Dados'!FD:FD,"Sim",'Base de Dados'!A:A,A76,'Base de Dados'!B:B,B76)+(COUNTIFS('Base de Dados'!FD:FD,"Não",'Base de Dados'!A:A,A76,'Base de Dados'!B:B,B76)))),"Não Aplica")</f>
        <v>1</v>
      </c>
      <c r="BF76" s="14" t="s">
        <v>23434</v>
      </c>
      <c r="BG76" s="14" t="s">
        <v>23439</v>
      </c>
      <c r="BH76" s="14" t="s">
        <v>24491</v>
      </c>
      <c r="BI76" s="14" t="s">
        <v>23842</v>
      </c>
      <c r="BJ76" s="80"/>
      <c r="BK76" s="80"/>
      <c r="BL76" s="80"/>
      <c r="BM76" s="80"/>
      <c r="BN76" s="14" t="s">
        <v>23434</v>
      </c>
      <c r="BO76" s="14" t="s">
        <v>23453</v>
      </c>
      <c r="BP76" s="14" t="s">
        <v>24492</v>
      </c>
      <c r="BQ76" s="14" t="s">
        <v>23455</v>
      </c>
      <c r="BR76" s="14" t="s">
        <v>23434</v>
      </c>
      <c r="BS76" s="14" t="s">
        <v>23451</v>
      </c>
      <c r="BT76" s="14" t="s">
        <v>24493</v>
      </c>
      <c r="BU76" s="14" t="s">
        <v>22818</v>
      </c>
      <c r="BV76" s="80"/>
      <c r="BW76" s="14" t="s">
        <v>23438</v>
      </c>
      <c r="BX76" s="81">
        <v>45723.32755787037</v>
      </c>
      <c r="BY76" s="82" t="s">
        <v>23446</v>
      </c>
      <c r="BZ76" s="15"/>
      <c r="CA76" s="15"/>
      <c r="CB76" s="15"/>
      <c r="CC76" s="15"/>
      <c r="CD76" s="80"/>
      <c r="CE76" s="80"/>
      <c r="CF76" s="80"/>
      <c r="CG76" s="80"/>
      <c r="CH76" s="15"/>
      <c r="CI76" s="15"/>
      <c r="CJ76" s="15"/>
      <c r="CK76" s="15"/>
      <c r="CL76" s="15"/>
      <c r="CM76" s="15"/>
      <c r="CN76" s="15"/>
      <c r="CO76" s="15"/>
      <c r="CP76" s="80"/>
      <c r="CQ76" s="80" t="s">
        <v>23459</v>
      </c>
      <c r="CR76" s="83"/>
      <c r="CS76" s="84"/>
    </row>
    <row r="77">
      <c r="A77" s="78" t="s">
        <v>217</v>
      </c>
      <c r="B77" s="78" t="s">
        <v>17253</v>
      </c>
      <c r="C77" s="79">
        <f>IFERROR((COUNTIFS('Base de Dados'!BT:BT,"Sim",'Base de Dados'!A:A,A77,'Base de Dados'!B:B,B77)/(COUNTIFS('Base de Dados'!BT:BT,"Sim",'Base de Dados'!A:A,A77,'Base de Dados'!B:B,B77)+(COUNTIFS('Base de Dados'!BT:BT,"Não",'Base de Dados'!A:A,A77,'Base de Dados'!B:B,B77)))),"Não Aplica")</f>
        <v>1</v>
      </c>
      <c r="D77" s="14" t="s">
        <v>23434</v>
      </c>
      <c r="E77" s="14" t="s">
        <v>24494</v>
      </c>
      <c r="F77" s="14" t="s">
        <v>23436</v>
      </c>
      <c r="G77" s="14" t="s">
        <v>23434</v>
      </c>
      <c r="H77" s="14" t="s">
        <v>24495</v>
      </c>
      <c r="I77" s="14" t="s">
        <v>22818</v>
      </c>
      <c r="J77" s="80"/>
      <c r="K77" s="14" t="s">
        <v>23438</v>
      </c>
      <c r="L77" s="81">
        <v>45691.609247685185</v>
      </c>
      <c r="M77" s="79">
        <f>IFERROR((COUNTIFS('Base de Dados'!DF:DF,"Sim",'Base de Dados'!A:A,A77,'Base de Dados'!B:B,B77)/(COUNTIFS('Base de Dados'!DF:DF,"Sim",'Base de Dados'!A:A,A77,'Base de Dados'!B:B,B77)+(COUNTIFS('Base de Dados'!DF:DF,"Não",'Base de Dados'!A:A,A77,'Base de Dados'!B:B,B77)))),"Não Aplica")</f>
        <v>1</v>
      </c>
      <c r="N77" s="14" t="s">
        <v>23434</v>
      </c>
      <c r="O77" s="14" t="s">
        <v>23439</v>
      </c>
      <c r="P77" s="14" t="s">
        <v>24496</v>
      </c>
      <c r="Q77" s="14" t="s">
        <v>23842</v>
      </c>
      <c r="R77" s="14" t="s">
        <v>23434</v>
      </c>
      <c r="S77" s="14" t="s">
        <v>24497</v>
      </c>
      <c r="T77" s="14" t="s">
        <v>23436</v>
      </c>
      <c r="U77" s="14" t="s">
        <v>23434</v>
      </c>
      <c r="V77" s="14" t="s">
        <v>24498</v>
      </c>
      <c r="W77" s="14" t="s">
        <v>22818</v>
      </c>
      <c r="X77" s="80"/>
      <c r="Y77" s="14" t="s">
        <v>23438</v>
      </c>
      <c r="Z77" s="81">
        <v>45692.53576388889</v>
      </c>
      <c r="AA77" s="79">
        <f>IFERROR((COUNTIFS('Base de Dados'!ED:ED,"Sim",'Base de Dados'!A:A,A77,'Base de Dados'!B:B,B77)/(COUNTIFS('Base de Dados'!ED:ED,"Sim",'Base de Dados'!A:A,A77,'Base de Dados'!B:B,B77)+(COUNTIFS('Base de Dados'!ED:ED,"Não",'Base de Dados'!A:A,A77,'Base de Dados'!B:B,B77)))),"Não Aplica")</f>
        <v>1</v>
      </c>
      <c r="AB77" s="14" t="s">
        <v>23434</v>
      </c>
      <c r="AC77" s="14" t="s">
        <v>24499</v>
      </c>
      <c r="AD77" s="14" t="s">
        <v>23842</v>
      </c>
      <c r="AE77" s="14" t="s">
        <v>23434</v>
      </c>
      <c r="AF77" s="14" t="s">
        <v>24500</v>
      </c>
      <c r="AG77" s="14" t="s">
        <v>22818</v>
      </c>
      <c r="AH77" s="80"/>
      <c r="AI77" s="14" t="s">
        <v>23438</v>
      </c>
      <c r="AJ77" s="81">
        <v>45693.44899305556</v>
      </c>
      <c r="AK77" s="82" t="s">
        <v>23446</v>
      </c>
      <c r="AL77" s="14" t="s">
        <v>23434</v>
      </c>
      <c r="AM77" s="14" t="s">
        <v>23439</v>
      </c>
      <c r="AN77" s="14" t="s">
        <v>24501</v>
      </c>
      <c r="AO77" s="14" t="s">
        <v>23842</v>
      </c>
      <c r="AP77" s="14" t="s">
        <v>23434</v>
      </c>
      <c r="AQ77" s="14" t="s">
        <v>23448</v>
      </c>
      <c r="AR77" s="14" t="s">
        <v>24502</v>
      </c>
      <c r="AS77" s="14" t="s">
        <v>23848</v>
      </c>
      <c r="AT77" s="14" t="s">
        <v>23434</v>
      </c>
      <c r="AU77" s="14" t="s">
        <v>23453</v>
      </c>
      <c r="AV77" s="14" t="s">
        <v>24503</v>
      </c>
      <c r="AW77" s="14" t="s">
        <v>23455</v>
      </c>
      <c r="AX77" s="14" t="s">
        <v>23434</v>
      </c>
      <c r="AY77" s="14" t="s">
        <v>23451</v>
      </c>
      <c r="AZ77" s="14" t="s">
        <v>24504</v>
      </c>
      <c r="BA77" s="14" t="s">
        <v>22818</v>
      </c>
      <c r="BB77" s="80"/>
      <c r="BC77" s="14" t="s">
        <v>23438</v>
      </c>
      <c r="BD77" s="81">
        <v>45721.64954861111</v>
      </c>
      <c r="BE77" s="79">
        <f>IFERROR((COUNTIFS('Base de Dados'!FD:FD,"Sim",'Base de Dados'!A:A,A77,'Base de Dados'!B:B,B77)/(COUNTIFS('Base de Dados'!FD:FD,"Sim",'Base de Dados'!A:A,A77,'Base de Dados'!B:B,B77)+(COUNTIFS('Base de Dados'!FD:FD,"Não",'Base de Dados'!A:A,A77,'Base de Dados'!B:B,B77)))),"Não Aplica")</f>
        <v>1</v>
      </c>
      <c r="BF77" s="14" t="s">
        <v>23434</v>
      </c>
      <c r="BG77" s="14" t="s">
        <v>23439</v>
      </c>
      <c r="BH77" s="14" t="s">
        <v>24505</v>
      </c>
      <c r="BI77" s="14" t="s">
        <v>23842</v>
      </c>
      <c r="BJ77" s="80"/>
      <c r="BK77" s="80"/>
      <c r="BL77" s="80"/>
      <c r="BM77" s="80"/>
      <c r="BN77" s="14" t="s">
        <v>23434</v>
      </c>
      <c r="BO77" s="14" t="s">
        <v>23453</v>
      </c>
      <c r="BP77" s="14" t="s">
        <v>24506</v>
      </c>
      <c r="BQ77" s="14" t="s">
        <v>23455</v>
      </c>
      <c r="BR77" s="14" t="s">
        <v>23434</v>
      </c>
      <c r="BS77" s="14" t="s">
        <v>23451</v>
      </c>
      <c r="BT77" s="14" t="s">
        <v>24507</v>
      </c>
      <c r="BU77" s="14" t="s">
        <v>22818</v>
      </c>
      <c r="BV77" s="80"/>
      <c r="BW77" s="14" t="s">
        <v>23438</v>
      </c>
      <c r="BX77" s="81">
        <v>45723.32011574074</v>
      </c>
      <c r="BY77" s="82" t="s">
        <v>23446</v>
      </c>
      <c r="BZ77" s="15"/>
      <c r="CA77" s="15"/>
      <c r="CB77" s="15"/>
      <c r="CC77" s="15"/>
      <c r="CD77" s="80"/>
      <c r="CE77" s="80"/>
      <c r="CF77" s="80"/>
      <c r="CG77" s="80"/>
      <c r="CH77" s="15"/>
      <c r="CI77" s="15"/>
      <c r="CJ77" s="15"/>
      <c r="CK77" s="15"/>
      <c r="CL77" s="15"/>
      <c r="CM77" s="15"/>
      <c r="CN77" s="15"/>
      <c r="CO77" s="15"/>
      <c r="CP77" s="80"/>
      <c r="CQ77" s="80" t="s">
        <v>23459</v>
      </c>
      <c r="CR77" s="83"/>
      <c r="CS77" s="84"/>
    </row>
    <row r="78">
      <c r="A78" s="78" t="s">
        <v>217</v>
      </c>
      <c r="B78" s="78" t="s">
        <v>10557</v>
      </c>
      <c r="C78" s="79">
        <f>IFERROR((COUNTIFS('Base de Dados'!BT:BT,"Sim",'Base de Dados'!A:A,A78,'Base de Dados'!B:B,B78)/(COUNTIFS('Base de Dados'!BT:BT,"Sim",'Base de Dados'!A:A,A78,'Base de Dados'!B:B,B78)+(COUNTIFS('Base de Dados'!BT:BT,"Não",'Base de Dados'!A:A,A78,'Base de Dados'!B:B,B78)))),"Não Aplica")</f>
        <v>1</v>
      </c>
      <c r="D78" s="14" t="s">
        <v>23434</v>
      </c>
      <c r="E78" s="14" t="s">
        <v>24508</v>
      </c>
      <c r="F78" s="14" t="s">
        <v>23436</v>
      </c>
      <c r="G78" s="14" t="s">
        <v>23434</v>
      </c>
      <c r="H78" s="14" t="s">
        <v>24509</v>
      </c>
      <c r="I78" s="14" t="s">
        <v>22818</v>
      </c>
      <c r="J78" s="80"/>
      <c r="K78" s="14" t="s">
        <v>23438</v>
      </c>
      <c r="L78" s="81">
        <v>45691.610347222224</v>
      </c>
      <c r="M78" s="79">
        <f>IFERROR((COUNTIFS('Base de Dados'!DF:DF,"Sim",'Base de Dados'!A:A,A78,'Base de Dados'!B:B,B78)/(COUNTIFS('Base de Dados'!DF:DF,"Sim",'Base de Dados'!A:A,A78,'Base de Dados'!B:B,B78)+(COUNTIFS('Base de Dados'!DF:DF,"Não",'Base de Dados'!A:A,A78,'Base de Dados'!B:B,B78)))),"Não Aplica")</f>
        <v>1</v>
      </c>
      <c r="N78" s="14" t="s">
        <v>23434</v>
      </c>
      <c r="O78" s="14" t="s">
        <v>23439</v>
      </c>
      <c r="P78" s="14" t="s">
        <v>24510</v>
      </c>
      <c r="Q78" s="14" t="s">
        <v>23842</v>
      </c>
      <c r="R78" s="14" t="s">
        <v>23434</v>
      </c>
      <c r="S78" s="14" t="s">
        <v>24511</v>
      </c>
      <c r="T78" s="14" t="s">
        <v>23436</v>
      </c>
      <c r="U78" s="14" t="s">
        <v>23434</v>
      </c>
      <c r="V78" s="14" t="s">
        <v>24512</v>
      </c>
      <c r="W78" s="14" t="s">
        <v>22818</v>
      </c>
      <c r="X78" s="80"/>
      <c r="Y78" s="14" t="s">
        <v>23438</v>
      </c>
      <c r="Z78" s="81">
        <v>45692.53568287037</v>
      </c>
      <c r="AA78" s="79">
        <f>IFERROR((COUNTIFS('Base de Dados'!ED:ED,"Sim",'Base de Dados'!A:A,A78,'Base de Dados'!B:B,B78)/(COUNTIFS('Base de Dados'!ED:ED,"Sim",'Base de Dados'!A:A,A78,'Base de Dados'!B:B,B78)+(COUNTIFS('Base de Dados'!ED:ED,"Não",'Base de Dados'!A:A,A78,'Base de Dados'!B:B,B78)))),"Não Aplica")</f>
        <v>1</v>
      </c>
      <c r="AB78" s="14" t="s">
        <v>23434</v>
      </c>
      <c r="AC78" s="14" t="s">
        <v>24513</v>
      </c>
      <c r="AD78" s="14" t="s">
        <v>23842</v>
      </c>
      <c r="AE78" s="14" t="s">
        <v>23434</v>
      </c>
      <c r="AF78" s="14" t="s">
        <v>24514</v>
      </c>
      <c r="AG78" s="14" t="s">
        <v>22818</v>
      </c>
      <c r="AH78" s="80"/>
      <c r="AI78" s="14" t="s">
        <v>23438</v>
      </c>
      <c r="AJ78" s="81">
        <v>45693.44894675926</v>
      </c>
      <c r="AK78" s="82" t="s">
        <v>23446</v>
      </c>
      <c r="AL78" s="14" t="s">
        <v>23434</v>
      </c>
      <c r="AM78" s="14" t="s">
        <v>23439</v>
      </c>
      <c r="AN78" s="14" t="s">
        <v>24515</v>
      </c>
      <c r="AO78" s="14" t="s">
        <v>23842</v>
      </c>
      <c r="AP78" s="14" t="s">
        <v>23434</v>
      </c>
      <c r="AQ78" s="14" t="s">
        <v>23448</v>
      </c>
      <c r="AR78" s="14" t="s">
        <v>24516</v>
      </c>
      <c r="AS78" s="14" t="s">
        <v>23848</v>
      </c>
      <c r="AT78" s="14" t="s">
        <v>23434</v>
      </c>
      <c r="AU78" s="14" t="s">
        <v>23453</v>
      </c>
      <c r="AV78" s="14" t="s">
        <v>24517</v>
      </c>
      <c r="AW78" s="14" t="s">
        <v>23455</v>
      </c>
      <c r="AX78" s="14" t="s">
        <v>23434</v>
      </c>
      <c r="AY78" s="14" t="s">
        <v>23451</v>
      </c>
      <c r="AZ78" s="14" t="s">
        <v>24518</v>
      </c>
      <c r="BA78" s="14" t="s">
        <v>22818</v>
      </c>
      <c r="BB78" s="80"/>
      <c r="BC78" s="14" t="s">
        <v>23438</v>
      </c>
      <c r="BD78" s="81">
        <v>45721.64980324074</v>
      </c>
      <c r="BE78" s="79">
        <f>IFERROR((COUNTIFS('Base de Dados'!FD:FD,"Sim",'Base de Dados'!A:A,A78,'Base de Dados'!B:B,B78)/(COUNTIFS('Base de Dados'!FD:FD,"Sim",'Base de Dados'!A:A,A78,'Base de Dados'!B:B,B78)+(COUNTIFS('Base de Dados'!FD:FD,"Não",'Base de Dados'!A:A,A78,'Base de Dados'!B:B,B78)))),"Não Aplica")</f>
        <v>1</v>
      </c>
      <c r="BF78" s="14" t="s">
        <v>23434</v>
      </c>
      <c r="BG78" s="14" t="s">
        <v>23439</v>
      </c>
      <c r="BH78" s="14" t="s">
        <v>24519</v>
      </c>
      <c r="BI78" s="14" t="s">
        <v>23842</v>
      </c>
      <c r="BJ78" s="80"/>
      <c r="BK78" s="80"/>
      <c r="BL78" s="80"/>
      <c r="BM78" s="80"/>
      <c r="BN78" s="14" t="s">
        <v>23434</v>
      </c>
      <c r="BO78" s="14" t="s">
        <v>23453</v>
      </c>
      <c r="BP78" s="14" t="s">
        <v>24520</v>
      </c>
      <c r="BQ78" s="14" t="s">
        <v>23455</v>
      </c>
      <c r="BR78" s="14" t="s">
        <v>23434</v>
      </c>
      <c r="BS78" s="14" t="s">
        <v>23451</v>
      </c>
      <c r="BT78" s="14" t="s">
        <v>24521</v>
      </c>
      <c r="BU78" s="14" t="s">
        <v>22818</v>
      </c>
      <c r="BV78" s="80"/>
      <c r="BW78" s="14" t="s">
        <v>23438</v>
      </c>
      <c r="BX78" s="81">
        <v>45723.320081018515</v>
      </c>
      <c r="BY78" s="82" t="s">
        <v>23446</v>
      </c>
      <c r="BZ78" s="15"/>
      <c r="CA78" s="15"/>
      <c r="CB78" s="15"/>
      <c r="CC78" s="15"/>
      <c r="CD78" s="80"/>
      <c r="CE78" s="80"/>
      <c r="CF78" s="80"/>
      <c r="CG78" s="80"/>
      <c r="CH78" s="15"/>
      <c r="CI78" s="15"/>
      <c r="CJ78" s="15"/>
      <c r="CK78" s="15"/>
      <c r="CL78" s="15"/>
      <c r="CM78" s="15"/>
      <c r="CN78" s="15"/>
      <c r="CO78" s="15"/>
      <c r="CP78" s="80"/>
      <c r="CQ78" s="80" t="s">
        <v>23459</v>
      </c>
      <c r="CR78" s="83"/>
      <c r="CS78" s="84"/>
    </row>
    <row r="79">
      <c r="A79" s="78" t="s">
        <v>217</v>
      </c>
      <c r="B79" s="78" t="s">
        <v>218</v>
      </c>
      <c r="C79" s="79">
        <f>IFERROR((COUNTIFS('Base de Dados'!BT:BT,"Sim",'Base de Dados'!A:A,A79,'Base de Dados'!B:B,B79)/(COUNTIFS('Base de Dados'!BT:BT,"Sim",'Base de Dados'!A:A,A79,'Base de Dados'!B:B,B79)+(COUNTIFS('Base de Dados'!BT:BT,"Não",'Base de Dados'!A:A,A79,'Base de Dados'!B:B,B79)))),"Não Aplica")</f>
        <v>1</v>
      </c>
      <c r="D79" s="14" t="s">
        <v>23434</v>
      </c>
      <c r="E79" s="14" t="s">
        <v>24522</v>
      </c>
      <c r="F79" s="14" t="s">
        <v>23436</v>
      </c>
      <c r="G79" s="14" t="s">
        <v>23434</v>
      </c>
      <c r="H79" s="14" t="s">
        <v>24523</v>
      </c>
      <c r="I79" s="14" t="s">
        <v>22818</v>
      </c>
      <c r="J79" s="80"/>
      <c r="K79" s="14" t="s">
        <v>23438</v>
      </c>
      <c r="L79" s="81">
        <v>45691.60936342592</v>
      </c>
      <c r="M79" s="79">
        <f>IFERROR((COUNTIFS('Base de Dados'!DF:DF,"Sim",'Base de Dados'!A:A,A79,'Base de Dados'!B:B,B79)/(COUNTIFS('Base de Dados'!DF:DF,"Sim",'Base de Dados'!A:A,A79,'Base de Dados'!B:B,B79)+(COUNTIFS('Base de Dados'!DF:DF,"Não",'Base de Dados'!A:A,A79,'Base de Dados'!B:B,B79)))),"Não Aplica")</f>
        <v>1</v>
      </c>
      <c r="N79" s="14" t="s">
        <v>23434</v>
      </c>
      <c r="O79" s="14" t="s">
        <v>23439</v>
      </c>
      <c r="P79" s="14" t="s">
        <v>24524</v>
      </c>
      <c r="Q79" s="14" t="s">
        <v>23842</v>
      </c>
      <c r="R79" s="14" t="s">
        <v>23434</v>
      </c>
      <c r="S79" s="14" t="s">
        <v>24525</v>
      </c>
      <c r="T79" s="14" t="s">
        <v>23436</v>
      </c>
      <c r="U79" s="14" t="s">
        <v>23434</v>
      </c>
      <c r="V79" s="14" t="s">
        <v>24526</v>
      </c>
      <c r="W79" s="14" t="s">
        <v>22818</v>
      </c>
      <c r="X79" s="80"/>
      <c r="Y79" s="14" t="s">
        <v>23438</v>
      </c>
      <c r="Z79" s="81">
        <v>45692.535729166666</v>
      </c>
      <c r="AA79" s="79">
        <f>IFERROR((COUNTIFS('Base de Dados'!ED:ED,"Sim",'Base de Dados'!A:A,A79,'Base de Dados'!B:B,B79)/(COUNTIFS('Base de Dados'!ED:ED,"Sim",'Base de Dados'!A:A,A79,'Base de Dados'!B:B,B79)+(COUNTIFS('Base de Dados'!ED:ED,"Não",'Base de Dados'!A:A,A79,'Base de Dados'!B:B,B79)))),"Não Aplica")</f>
        <v>1</v>
      </c>
      <c r="AB79" s="14" t="s">
        <v>23434</v>
      </c>
      <c r="AC79" s="14" t="s">
        <v>24527</v>
      </c>
      <c r="AD79" s="14" t="s">
        <v>23842</v>
      </c>
      <c r="AE79" s="14" t="s">
        <v>23434</v>
      </c>
      <c r="AF79" s="14" t="s">
        <v>24528</v>
      </c>
      <c r="AG79" s="14" t="s">
        <v>22818</v>
      </c>
      <c r="AH79" s="80"/>
      <c r="AI79" s="14" t="s">
        <v>23438</v>
      </c>
      <c r="AJ79" s="81">
        <v>45693.448854166665</v>
      </c>
      <c r="AK79" s="82" t="s">
        <v>23446</v>
      </c>
      <c r="AL79" s="14" t="s">
        <v>23434</v>
      </c>
      <c r="AM79" s="14" t="s">
        <v>23439</v>
      </c>
      <c r="AN79" s="14" t="s">
        <v>24529</v>
      </c>
      <c r="AO79" s="14" t="s">
        <v>23842</v>
      </c>
      <c r="AP79" s="14" t="s">
        <v>23434</v>
      </c>
      <c r="AQ79" s="14" t="s">
        <v>23448</v>
      </c>
      <c r="AR79" s="14" t="s">
        <v>24530</v>
      </c>
      <c r="AS79" s="14" t="s">
        <v>23848</v>
      </c>
      <c r="AT79" s="14" t="s">
        <v>23434</v>
      </c>
      <c r="AU79" s="14" t="s">
        <v>23453</v>
      </c>
      <c r="AV79" s="14" t="s">
        <v>24531</v>
      </c>
      <c r="AW79" s="14" t="s">
        <v>23455</v>
      </c>
      <c r="AX79" s="14" t="s">
        <v>23434</v>
      </c>
      <c r="AY79" s="14" t="s">
        <v>23451</v>
      </c>
      <c r="AZ79" s="14" t="s">
        <v>24532</v>
      </c>
      <c r="BA79" s="14" t="s">
        <v>22818</v>
      </c>
      <c r="BB79" s="80"/>
      <c r="BC79" s="14" t="s">
        <v>23438</v>
      </c>
      <c r="BD79" s="81">
        <v>45723.54320601852</v>
      </c>
      <c r="BE79" s="79">
        <f>IFERROR((COUNTIFS('Base de Dados'!FD:FD,"Sim",'Base de Dados'!A:A,A79,'Base de Dados'!B:B,B79)/(COUNTIFS('Base de Dados'!FD:FD,"Sim",'Base de Dados'!A:A,A79,'Base de Dados'!B:B,B79)+(COUNTIFS('Base de Dados'!FD:FD,"Não",'Base de Dados'!A:A,A79,'Base de Dados'!B:B,B79)))),"Não Aplica")</f>
        <v>1</v>
      </c>
      <c r="BF79" s="14" t="s">
        <v>23434</v>
      </c>
      <c r="BG79" s="14" t="s">
        <v>23439</v>
      </c>
      <c r="BH79" s="14" t="s">
        <v>24533</v>
      </c>
      <c r="BI79" s="14" t="s">
        <v>23842</v>
      </c>
      <c r="BJ79" s="80"/>
      <c r="BK79" s="80"/>
      <c r="BL79" s="80"/>
      <c r="BM79" s="80"/>
      <c r="BN79" s="14" t="s">
        <v>23434</v>
      </c>
      <c r="BO79" s="14" t="s">
        <v>23453</v>
      </c>
      <c r="BP79" s="14" t="s">
        <v>24534</v>
      </c>
      <c r="BQ79" s="14" t="s">
        <v>23455</v>
      </c>
      <c r="BR79" s="14" t="s">
        <v>23434</v>
      </c>
      <c r="BS79" s="14" t="s">
        <v>23451</v>
      </c>
      <c r="BT79" s="14" t="s">
        <v>24535</v>
      </c>
      <c r="BU79" s="14" t="s">
        <v>22818</v>
      </c>
      <c r="BV79" s="80"/>
      <c r="BW79" s="14" t="s">
        <v>23438</v>
      </c>
      <c r="BX79" s="81">
        <v>45723.61037037037</v>
      </c>
      <c r="BY79" s="82" t="s">
        <v>23446</v>
      </c>
      <c r="BZ79" s="15"/>
      <c r="CA79" s="15"/>
      <c r="CB79" s="15"/>
      <c r="CC79" s="15"/>
      <c r="CD79" s="80"/>
      <c r="CE79" s="80"/>
      <c r="CF79" s="80"/>
      <c r="CG79" s="80"/>
      <c r="CH79" s="15"/>
      <c r="CI79" s="15"/>
      <c r="CJ79" s="15"/>
      <c r="CK79" s="15"/>
      <c r="CL79" s="15"/>
      <c r="CM79" s="15"/>
      <c r="CN79" s="15"/>
      <c r="CO79" s="15"/>
      <c r="CP79" s="80"/>
      <c r="CQ79" s="80" t="s">
        <v>23459</v>
      </c>
      <c r="CR79" s="83"/>
      <c r="CS79" s="84"/>
    </row>
    <row r="80">
      <c r="A80" s="78" t="s">
        <v>217</v>
      </c>
      <c r="B80" s="78" t="s">
        <v>8281</v>
      </c>
      <c r="C80" s="79">
        <f>IFERROR((COUNTIFS('Base de Dados'!BT:BT,"Sim",'Base de Dados'!A:A,A80,'Base de Dados'!B:B,B80)/(COUNTIFS('Base de Dados'!BT:BT,"Sim",'Base de Dados'!A:A,A80,'Base de Dados'!B:B,B80)+(COUNTIFS('Base de Dados'!BT:BT,"Não",'Base de Dados'!A:A,A80,'Base de Dados'!B:B,B80)))),"Não Aplica")</f>
        <v>1</v>
      </c>
      <c r="D80" s="14" t="s">
        <v>23434</v>
      </c>
      <c r="E80" s="14" t="s">
        <v>24536</v>
      </c>
      <c r="F80" s="14" t="s">
        <v>23436</v>
      </c>
      <c r="G80" s="14" t="s">
        <v>23434</v>
      </c>
      <c r="H80" s="14" t="s">
        <v>24537</v>
      </c>
      <c r="I80" s="14" t="s">
        <v>22818</v>
      </c>
      <c r="J80" s="80"/>
      <c r="K80" s="14" t="s">
        <v>23438</v>
      </c>
      <c r="L80" s="81">
        <v>45691.60927083333</v>
      </c>
      <c r="M80" s="79">
        <f>IFERROR((COUNTIFS('Base de Dados'!DF:DF,"Sim",'Base de Dados'!A:A,A80,'Base de Dados'!B:B,B80)/(COUNTIFS('Base de Dados'!DF:DF,"Sim",'Base de Dados'!A:A,A80,'Base de Dados'!B:B,B80)+(COUNTIFS('Base de Dados'!DF:DF,"Não",'Base de Dados'!A:A,A80,'Base de Dados'!B:B,B80)))),"Não Aplica")</f>
        <v>1</v>
      </c>
      <c r="N80" s="14" t="s">
        <v>23434</v>
      </c>
      <c r="O80" s="14" t="s">
        <v>23439</v>
      </c>
      <c r="P80" s="14" t="s">
        <v>24538</v>
      </c>
      <c r="Q80" s="14" t="s">
        <v>23842</v>
      </c>
      <c r="R80" s="14" t="s">
        <v>23434</v>
      </c>
      <c r="S80" s="14" t="s">
        <v>24539</v>
      </c>
      <c r="T80" s="14" t="s">
        <v>23436</v>
      </c>
      <c r="U80" s="14" t="s">
        <v>23434</v>
      </c>
      <c r="V80" s="14" t="s">
        <v>24540</v>
      </c>
      <c r="W80" s="14" t="s">
        <v>22818</v>
      </c>
      <c r="X80" s="80"/>
      <c r="Y80" s="14" t="s">
        <v>23438</v>
      </c>
      <c r="Z80" s="81">
        <v>45692.535891203705</v>
      </c>
      <c r="AA80" s="79">
        <f>IFERROR((COUNTIFS('Base de Dados'!ED:ED,"Sim",'Base de Dados'!A:A,A80,'Base de Dados'!B:B,B80)/(COUNTIFS('Base de Dados'!ED:ED,"Sim",'Base de Dados'!A:A,A80,'Base de Dados'!B:B,B80)+(COUNTIFS('Base de Dados'!ED:ED,"Não",'Base de Dados'!A:A,A80,'Base de Dados'!B:B,B80)))),"Não Aplica")</f>
        <v>1</v>
      </c>
      <c r="AB80" s="14" t="s">
        <v>23434</v>
      </c>
      <c r="AC80" s="14" t="s">
        <v>24541</v>
      </c>
      <c r="AD80" s="14" t="s">
        <v>23842</v>
      </c>
      <c r="AE80" s="14" t="s">
        <v>23434</v>
      </c>
      <c r="AF80" s="14" t="s">
        <v>24542</v>
      </c>
      <c r="AG80" s="14" t="s">
        <v>22818</v>
      </c>
      <c r="AH80" s="80"/>
      <c r="AI80" s="14" t="s">
        <v>23438</v>
      </c>
      <c r="AJ80" s="81">
        <v>45693.44886574074</v>
      </c>
      <c r="AK80" s="82" t="s">
        <v>23446</v>
      </c>
      <c r="AL80" s="14" t="s">
        <v>23434</v>
      </c>
      <c r="AM80" s="14" t="s">
        <v>23439</v>
      </c>
      <c r="AN80" s="14" t="s">
        <v>24543</v>
      </c>
      <c r="AO80" s="14" t="s">
        <v>23842</v>
      </c>
      <c r="AP80" s="14" t="s">
        <v>23434</v>
      </c>
      <c r="AQ80" s="14" t="s">
        <v>23448</v>
      </c>
      <c r="AR80" s="14" t="s">
        <v>24544</v>
      </c>
      <c r="AS80" s="14" t="s">
        <v>23848</v>
      </c>
      <c r="AT80" s="14" t="s">
        <v>23434</v>
      </c>
      <c r="AU80" s="14" t="s">
        <v>23453</v>
      </c>
      <c r="AV80" s="14" t="s">
        <v>24545</v>
      </c>
      <c r="AW80" s="14" t="s">
        <v>23455</v>
      </c>
      <c r="AX80" s="14" t="s">
        <v>23434</v>
      </c>
      <c r="AY80" s="14" t="s">
        <v>23451</v>
      </c>
      <c r="AZ80" s="14" t="s">
        <v>24546</v>
      </c>
      <c r="BA80" s="14" t="s">
        <v>22818</v>
      </c>
      <c r="BB80" s="80"/>
      <c r="BC80" s="14" t="s">
        <v>23438</v>
      </c>
      <c r="BD80" s="81">
        <v>45726.47157407407</v>
      </c>
      <c r="BE80" s="79">
        <f>IFERROR((COUNTIFS('Base de Dados'!FD:FD,"Sim",'Base de Dados'!A:A,A80,'Base de Dados'!B:B,B80)/(COUNTIFS('Base de Dados'!FD:FD,"Sim",'Base de Dados'!A:A,A80,'Base de Dados'!B:B,B80)+(COUNTIFS('Base de Dados'!FD:FD,"Não",'Base de Dados'!A:A,A80,'Base de Dados'!B:B,B80)))),"Não Aplica")</f>
        <v>1</v>
      </c>
      <c r="BF80" s="15"/>
      <c r="BG80" s="15"/>
      <c r="BH80" s="15"/>
      <c r="BI80" s="15"/>
      <c r="BJ80" s="80"/>
      <c r="BK80" s="80"/>
      <c r="BL80" s="80"/>
      <c r="BM80" s="80"/>
      <c r="BN80" s="15"/>
      <c r="BO80" s="15"/>
      <c r="BP80" s="15"/>
      <c r="BQ80" s="15"/>
      <c r="BR80" s="15"/>
      <c r="BS80" s="15"/>
      <c r="BT80" s="15"/>
      <c r="BU80" s="15"/>
      <c r="BV80" s="80"/>
      <c r="BW80" s="80" t="s">
        <v>24115</v>
      </c>
      <c r="BX80" s="83"/>
      <c r="BY80" s="82" t="s">
        <v>23446</v>
      </c>
      <c r="BZ80" s="15"/>
      <c r="CA80" s="15"/>
      <c r="CB80" s="15"/>
      <c r="CC80" s="15"/>
      <c r="CD80" s="80"/>
      <c r="CE80" s="80"/>
      <c r="CF80" s="80"/>
      <c r="CG80" s="80"/>
      <c r="CH80" s="15"/>
      <c r="CI80" s="15"/>
      <c r="CJ80" s="15"/>
      <c r="CK80" s="15"/>
      <c r="CL80" s="15"/>
      <c r="CM80" s="15"/>
      <c r="CN80" s="15"/>
      <c r="CO80" s="15"/>
      <c r="CP80" s="80"/>
      <c r="CQ80" s="80" t="s">
        <v>23459</v>
      </c>
      <c r="CR80" s="83"/>
      <c r="CS80" s="84"/>
    </row>
    <row r="81">
      <c r="A81" s="78" t="s">
        <v>217</v>
      </c>
      <c r="B81" s="78" t="s">
        <v>8251</v>
      </c>
      <c r="C81" s="79">
        <f>IFERROR((COUNTIFS('Base de Dados'!BT:BT,"Sim",'Base de Dados'!A:A,A81,'Base de Dados'!B:B,B81)/(COUNTIFS('Base de Dados'!BT:BT,"Sim",'Base de Dados'!A:A,A81,'Base de Dados'!B:B,B81)+(COUNTIFS('Base de Dados'!BT:BT,"Não",'Base de Dados'!A:A,A81,'Base de Dados'!B:B,B81)))),"Não Aplica")</f>
        <v>1</v>
      </c>
      <c r="D81" s="14" t="s">
        <v>23434</v>
      </c>
      <c r="E81" s="14" t="s">
        <v>24547</v>
      </c>
      <c r="F81" s="14" t="s">
        <v>23436</v>
      </c>
      <c r="G81" s="14" t="s">
        <v>23434</v>
      </c>
      <c r="H81" s="14" t="s">
        <v>24548</v>
      </c>
      <c r="I81" s="14" t="s">
        <v>22818</v>
      </c>
      <c r="J81" s="80"/>
      <c r="K81" s="14" t="s">
        <v>23438</v>
      </c>
      <c r="L81" s="81">
        <v>45691.60931712963</v>
      </c>
      <c r="M81" s="79">
        <f>IFERROR((COUNTIFS('Base de Dados'!DF:DF,"Sim",'Base de Dados'!A:A,A81,'Base de Dados'!B:B,B81)/(COUNTIFS('Base de Dados'!DF:DF,"Sim",'Base de Dados'!A:A,A81,'Base de Dados'!B:B,B81)+(COUNTIFS('Base de Dados'!DF:DF,"Não",'Base de Dados'!A:A,A81,'Base de Dados'!B:B,B81)))),"Não Aplica")</f>
        <v>1</v>
      </c>
      <c r="N81" s="14" t="s">
        <v>23434</v>
      </c>
      <c r="O81" s="14" t="s">
        <v>23439</v>
      </c>
      <c r="P81" s="14" t="s">
        <v>24549</v>
      </c>
      <c r="Q81" s="14" t="s">
        <v>23842</v>
      </c>
      <c r="R81" s="14" t="s">
        <v>23434</v>
      </c>
      <c r="S81" s="14" t="s">
        <v>24550</v>
      </c>
      <c r="T81" s="14" t="s">
        <v>23436</v>
      </c>
      <c r="U81" s="14" t="s">
        <v>23434</v>
      </c>
      <c r="V81" s="14" t="s">
        <v>24551</v>
      </c>
      <c r="W81" s="14" t="s">
        <v>22818</v>
      </c>
      <c r="X81" s="80"/>
      <c r="Y81" s="14" t="s">
        <v>23438</v>
      </c>
      <c r="Z81" s="81">
        <v>45692.53579861111</v>
      </c>
      <c r="AA81" s="79">
        <f>IFERROR((COUNTIFS('Base de Dados'!ED:ED,"Sim",'Base de Dados'!A:A,A81,'Base de Dados'!B:B,B81)/(COUNTIFS('Base de Dados'!ED:ED,"Sim",'Base de Dados'!A:A,A81,'Base de Dados'!B:B,B81)+(COUNTIFS('Base de Dados'!ED:ED,"Não",'Base de Dados'!A:A,A81,'Base de Dados'!B:B,B81)))),"Não Aplica")</f>
        <v>1</v>
      </c>
      <c r="AB81" s="14" t="s">
        <v>23434</v>
      </c>
      <c r="AC81" s="14" t="s">
        <v>24552</v>
      </c>
      <c r="AD81" s="14" t="s">
        <v>23842</v>
      </c>
      <c r="AE81" s="14" t="s">
        <v>23434</v>
      </c>
      <c r="AF81" s="14" t="s">
        <v>24553</v>
      </c>
      <c r="AG81" s="14" t="s">
        <v>22818</v>
      </c>
      <c r="AH81" s="80"/>
      <c r="AI81" s="14" t="s">
        <v>23438</v>
      </c>
      <c r="AJ81" s="81">
        <v>45693.448900462965</v>
      </c>
      <c r="AK81" s="82" t="s">
        <v>23446</v>
      </c>
      <c r="AL81" s="14" t="s">
        <v>23434</v>
      </c>
      <c r="AM81" s="14" t="s">
        <v>23439</v>
      </c>
      <c r="AN81" s="14" t="s">
        <v>24554</v>
      </c>
      <c r="AO81" s="14" t="s">
        <v>23842</v>
      </c>
      <c r="AP81" s="14" t="s">
        <v>23434</v>
      </c>
      <c r="AQ81" s="14" t="s">
        <v>23448</v>
      </c>
      <c r="AR81" s="14" t="s">
        <v>24555</v>
      </c>
      <c r="AS81" s="14" t="s">
        <v>23848</v>
      </c>
      <c r="AT81" s="14" t="s">
        <v>23434</v>
      </c>
      <c r="AU81" s="14" t="s">
        <v>23453</v>
      </c>
      <c r="AV81" s="14" t="s">
        <v>24556</v>
      </c>
      <c r="AW81" s="14" t="s">
        <v>23455</v>
      </c>
      <c r="AX81" s="14" t="s">
        <v>23434</v>
      </c>
      <c r="AY81" s="14" t="s">
        <v>23451</v>
      </c>
      <c r="AZ81" s="14" t="s">
        <v>24557</v>
      </c>
      <c r="BA81" s="14" t="s">
        <v>22818</v>
      </c>
      <c r="BB81" s="80"/>
      <c r="BC81" s="14" t="s">
        <v>23438</v>
      </c>
      <c r="BD81" s="81">
        <v>45728.32611111111</v>
      </c>
      <c r="BE81" s="79">
        <f>IFERROR((COUNTIFS('Base de Dados'!FD:FD,"Sim",'Base de Dados'!A:A,A81,'Base de Dados'!B:B,B81)/(COUNTIFS('Base de Dados'!FD:FD,"Sim",'Base de Dados'!A:A,A81,'Base de Dados'!B:B,B81)+(COUNTIFS('Base de Dados'!FD:FD,"Não",'Base de Dados'!A:A,A81,'Base de Dados'!B:B,B81)))),"Não Aplica")</f>
        <v>1</v>
      </c>
      <c r="BF81" s="15"/>
      <c r="BG81" s="15"/>
      <c r="BH81" s="15"/>
      <c r="BI81" s="15"/>
      <c r="BJ81" s="80"/>
      <c r="BK81" s="80"/>
      <c r="BL81" s="80"/>
      <c r="BM81" s="80"/>
      <c r="BN81" s="15"/>
      <c r="BO81" s="15"/>
      <c r="BP81" s="15"/>
      <c r="BQ81" s="15"/>
      <c r="BR81" s="15"/>
      <c r="BS81" s="15"/>
      <c r="BT81" s="15"/>
      <c r="BU81" s="15"/>
      <c r="BV81" s="80"/>
      <c r="BW81" s="80" t="s">
        <v>24115</v>
      </c>
      <c r="BX81" s="83"/>
      <c r="BY81" s="82" t="s">
        <v>23446</v>
      </c>
      <c r="BZ81" s="15"/>
      <c r="CA81" s="15"/>
      <c r="CB81" s="15"/>
      <c r="CC81" s="15"/>
      <c r="CD81" s="80"/>
      <c r="CE81" s="80"/>
      <c r="CF81" s="80"/>
      <c r="CG81" s="80"/>
      <c r="CH81" s="15"/>
      <c r="CI81" s="15"/>
      <c r="CJ81" s="15"/>
      <c r="CK81" s="15"/>
      <c r="CL81" s="15"/>
      <c r="CM81" s="15"/>
      <c r="CN81" s="15"/>
      <c r="CO81" s="15"/>
      <c r="CP81" s="80"/>
      <c r="CQ81" s="80" t="s">
        <v>23459</v>
      </c>
      <c r="CR81" s="83"/>
      <c r="CS81" s="84"/>
    </row>
    <row r="82">
      <c r="A82" s="78" t="s">
        <v>217</v>
      </c>
      <c r="B82" s="78" t="s">
        <v>8426</v>
      </c>
      <c r="C82" s="79">
        <f>IFERROR((COUNTIFS('Base de Dados'!BT:BT,"Sim",'Base de Dados'!A:A,A82,'Base de Dados'!B:B,B82)/(COUNTIFS('Base de Dados'!BT:BT,"Sim",'Base de Dados'!A:A,A82,'Base de Dados'!B:B,B82)+(COUNTIFS('Base de Dados'!BT:BT,"Não",'Base de Dados'!A:A,A82,'Base de Dados'!B:B,B82)))),"Não Aplica")</f>
        <v>1</v>
      </c>
      <c r="D82" s="14" t="s">
        <v>23434</v>
      </c>
      <c r="E82" s="14" t="s">
        <v>24558</v>
      </c>
      <c r="F82" s="14" t="s">
        <v>23436</v>
      </c>
      <c r="G82" s="14" t="s">
        <v>23434</v>
      </c>
      <c r="H82" s="14" t="s">
        <v>24559</v>
      </c>
      <c r="I82" s="14" t="s">
        <v>22818</v>
      </c>
      <c r="J82" s="80"/>
      <c r="K82" s="14" t="s">
        <v>23438</v>
      </c>
      <c r="L82" s="81">
        <v>45687.39077546296</v>
      </c>
      <c r="M82" s="79">
        <f>IFERROR((COUNTIFS('Base de Dados'!DF:DF,"Sim",'Base de Dados'!A:A,A82,'Base de Dados'!B:B,B82)/(COUNTIFS('Base de Dados'!DF:DF,"Sim",'Base de Dados'!A:A,A82,'Base de Dados'!B:B,B82)+(COUNTIFS('Base de Dados'!DF:DF,"Não",'Base de Dados'!A:A,A82,'Base de Dados'!B:B,B82)))),"Não Aplica")</f>
        <v>1</v>
      </c>
      <c r="N82" s="14" t="s">
        <v>23434</v>
      </c>
      <c r="O82" s="14" t="s">
        <v>23439</v>
      </c>
      <c r="P82" s="14" t="s">
        <v>24560</v>
      </c>
      <c r="Q82" s="14" t="s">
        <v>23842</v>
      </c>
      <c r="R82" s="14" t="s">
        <v>23434</v>
      </c>
      <c r="S82" s="14" t="s">
        <v>24561</v>
      </c>
      <c r="T82" s="14" t="s">
        <v>23436</v>
      </c>
      <c r="U82" s="14" t="s">
        <v>23434</v>
      </c>
      <c r="V82" s="14" t="s">
        <v>24562</v>
      </c>
      <c r="W82" s="14" t="s">
        <v>22818</v>
      </c>
      <c r="X82" s="80"/>
      <c r="Y82" s="14" t="s">
        <v>23438</v>
      </c>
      <c r="Z82" s="81">
        <v>45691.61350694444</v>
      </c>
      <c r="AA82" s="79">
        <f>IFERROR((COUNTIFS('Base de Dados'!ED:ED,"Sim",'Base de Dados'!A:A,A82,'Base de Dados'!B:B,B82)/(COUNTIFS('Base de Dados'!ED:ED,"Sim",'Base de Dados'!A:A,A82,'Base de Dados'!B:B,B82)+(COUNTIFS('Base de Dados'!ED:ED,"Não",'Base de Dados'!A:A,A82,'Base de Dados'!B:B,B82)))),"Não Aplica")</f>
        <v>1</v>
      </c>
      <c r="AB82" s="14" t="s">
        <v>23434</v>
      </c>
      <c r="AC82" s="14" t="s">
        <v>24563</v>
      </c>
      <c r="AD82" s="14" t="s">
        <v>23842</v>
      </c>
      <c r="AE82" s="14" t="s">
        <v>23434</v>
      </c>
      <c r="AF82" s="14" t="s">
        <v>24564</v>
      </c>
      <c r="AG82" s="14" t="s">
        <v>22818</v>
      </c>
      <c r="AH82" s="80"/>
      <c r="AI82" s="14" t="s">
        <v>23438</v>
      </c>
      <c r="AJ82" s="81">
        <v>45692.543078703704</v>
      </c>
      <c r="AK82" s="82" t="s">
        <v>23446</v>
      </c>
      <c r="AL82" s="14" t="s">
        <v>23434</v>
      </c>
      <c r="AM82" s="14" t="s">
        <v>23439</v>
      </c>
      <c r="AN82" s="14" t="s">
        <v>24565</v>
      </c>
      <c r="AO82" s="14" t="s">
        <v>23842</v>
      </c>
      <c r="AP82" s="14" t="s">
        <v>23434</v>
      </c>
      <c r="AQ82" s="14" t="s">
        <v>23448</v>
      </c>
      <c r="AR82" s="14" t="s">
        <v>24566</v>
      </c>
      <c r="AS82" s="14" t="s">
        <v>23848</v>
      </c>
      <c r="AT82" s="14" t="s">
        <v>23434</v>
      </c>
      <c r="AU82" s="14" t="s">
        <v>23453</v>
      </c>
      <c r="AV82" s="14" t="s">
        <v>24567</v>
      </c>
      <c r="AW82" s="14" t="s">
        <v>23455</v>
      </c>
      <c r="AX82" s="14" t="s">
        <v>23434</v>
      </c>
      <c r="AY82" s="14" t="s">
        <v>23451</v>
      </c>
      <c r="AZ82" s="14" t="s">
        <v>24568</v>
      </c>
      <c r="BA82" s="14" t="s">
        <v>22818</v>
      </c>
      <c r="BB82" s="80"/>
      <c r="BC82" s="14" t="s">
        <v>23438</v>
      </c>
      <c r="BD82" s="81">
        <v>45721.60429398148</v>
      </c>
      <c r="BE82" s="79">
        <f>IFERROR((COUNTIFS('Base de Dados'!FD:FD,"Sim",'Base de Dados'!A:A,A82,'Base de Dados'!B:B,B82)/(COUNTIFS('Base de Dados'!FD:FD,"Sim",'Base de Dados'!A:A,A82,'Base de Dados'!B:B,B82)+(COUNTIFS('Base de Dados'!FD:FD,"Não",'Base de Dados'!A:A,A82,'Base de Dados'!B:B,B82)))),"Não Aplica")</f>
        <v>1</v>
      </c>
      <c r="BF82" s="14" t="s">
        <v>23434</v>
      </c>
      <c r="BG82" s="14" t="s">
        <v>23439</v>
      </c>
      <c r="BH82" s="14" t="s">
        <v>24569</v>
      </c>
      <c r="BI82" s="14" t="s">
        <v>23842</v>
      </c>
      <c r="BJ82" s="80"/>
      <c r="BK82" s="80"/>
      <c r="BL82" s="80"/>
      <c r="BM82" s="80"/>
      <c r="BN82" s="14" t="s">
        <v>23434</v>
      </c>
      <c r="BO82" s="14" t="s">
        <v>23453</v>
      </c>
      <c r="BP82" s="14" t="s">
        <v>24570</v>
      </c>
      <c r="BQ82" s="14" t="s">
        <v>23455</v>
      </c>
      <c r="BR82" s="14" t="s">
        <v>23434</v>
      </c>
      <c r="BS82" s="14" t="s">
        <v>23451</v>
      </c>
      <c r="BT82" s="14" t="s">
        <v>24571</v>
      </c>
      <c r="BU82" s="14" t="s">
        <v>22818</v>
      </c>
      <c r="BV82" s="80"/>
      <c r="BW82" s="14" t="s">
        <v>23438</v>
      </c>
      <c r="BX82" s="81">
        <v>45723.32015046296</v>
      </c>
      <c r="BY82" s="82" t="s">
        <v>23446</v>
      </c>
      <c r="BZ82" s="15"/>
      <c r="CA82" s="15"/>
      <c r="CB82" s="15"/>
      <c r="CC82" s="15"/>
      <c r="CD82" s="80"/>
      <c r="CE82" s="80"/>
      <c r="CF82" s="80"/>
      <c r="CG82" s="80"/>
      <c r="CH82" s="15"/>
      <c r="CI82" s="15"/>
      <c r="CJ82" s="15"/>
      <c r="CK82" s="15"/>
      <c r="CL82" s="15"/>
      <c r="CM82" s="15"/>
      <c r="CN82" s="15"/>
      <c r="CO82" s="15"/>
      <c r="CP82" s="80"/>
      <c r="CQ82" s="80" t="s">
        <v>23459</v>
      </c>
      <c r="CR82" s="83"/>
      <c r="CS82" s="84"/>
    </row>
    <row r="83">
      <c r="A83" s="78" t="s">
        <v>217</v>
      </c>
      <c r="B83" s="78" t="s">
        <v>8452</v>
      </c>
      <c r="C83" s="79">
        <f>IFERROR((COUNTIFS('Base de Dados'!BT:BT,"Sim",'Base de Dados'!A:A,A83,'Base de Dados'!B:B,B83)/(COUNTIFS('Base de Dados'!BT:BT,"Sim",'Base de Dados'!A:A,A83,'Base de Dados'!B:B,B83)+(COUNTIFS('Base de Dados'!BT:BT,"Não",'Base de Dados'!A:A,A83,'Base de Dados'!B:B,B83)))),"Não Aplica")</f>
        <v>1</v>
      </c>
      <c r="D83" s="14" t="s">
        <v>23434</v>
      </c>
      <c r="E83" s="14" t="s">
        <v>24572</v>
      </c>
      <c r="F83" s="14" t="s">
        <v>23436</v>
      </c>
      <c r="G83" s="14" t="s">
        <v>23434</v>
      </c>
      <c r="H83" s="14" t="s">
        <v>24573</v>
      </c>
      <c r="I83" s="14" t="s">
        <v>22818</v>
      </c>
      <c r="J83" s="80"/>
      <c r="K83" s="14" t="s">
        <v>23438</v>
      </c>
      <c r="L83" s="81">
        <v>45687.390810185185</v>
      </c>
      <c r="M83" s="79">
        <f>IFERROR((COUNTIFS('Base de Dados'!DF:DF,"Sim",'Base de Dados'!A:A,A83,'Base de Dados'!B:B,B83)/(COUNTIFS('Base de Dados'!DF:DF,"Sim",'Base de Dados'!A:A,A83,'Base de Dados'!B:B,B83)+(COUNTIFS('Base de Dados'!DF:DF,"Não",'Base de Dados'!A:A,A83,'Base de Dados'!B:B,B83)))),"Não Aplica")</f>
        <v>1</v>
      </c>
      <c r="N83" s="14" t="s">
        <v>23434</v>
      </c>
      <c r="O83" s="14" t="s">
        <v>23439</v>
      </c>
      <c r="P83" s="14" t="s">
        <v>24574</v>
      </c>
      <c r="Q83" s="14" t="s">
        <v>23842</v>
      </c>
      <c r="R83" s="14" t="s">
        <v>23434</v>
      </c>
      <c r="S83" s="14" t="s">
        <v>24575</v>
      </c>
      <c r="T83" s="14" t="s">
        <v>23436</v>
      </c>
      <c r="U83" s="14" t="s">
        <v>23434</v>
      </c>
      <c r="V83" s="14" t="s">
        <v>24576</v>
      </c>
      <c r="W83" s="14" t="s">
        <v>22818</v>
      </c>
      <c r="X83" s="80"/>
      <c r="Y83" s="14" t="s">
        <v>23438</v>
      </c>
      <c r="Z83" s="81">
        <v>45691.61311342593</v>
      </c>
      <c r="AA83" s="79">
        <f>IFERROR((COUNTIFS('Base de Dados'!ED:ED,"Sim",'Base de Dados'!A:A,A83,'Base de Dados'!B:B,B83)/(COUNTIFS('Base de Dados'!ED:ED,"Sim",'Base de Dados'!A:A,A83,'Base de Dados'!B:B,B83)+(COUNTIFS('Base de Dados'!ED:ED,"Não",'Base de Dados'!A:A,A83,'Base de Dados'!B:B,B83)))),"Não Aplica")</f>
        <v>1</v>
      </c>
      <c r="AB83" s="14" t="s">
        <v>23434</v>
      </c>
      <c r="AC83" s="14" t="s">
        <v>24577</v>
      </c>
      <c r="AD83" s="14" t="s">
        <v>23842</v>
      </c>
      <c r="AE83" s="14" t="s">
        <v>23434</v>
      </c>
      <c r="AF83" s="14" t="s">
        <v>24578</v>
      </c>
      <c r="AG83" s="14" t="s">
        <v>22818</v>
      </c>
      <c r="AH83" s="80"/>
      <c r="AI83" s="14" t="s">
        <v>23438</v>
      </c>
      <c r="AJ83" s="81">
        <v>45692.54310185185</v>
      </c>
      <c r="AK83" s="82" t="s">
        <v>23446</v>
      </c>
      <c r="AL83" s="14" t="s">
        <v>23434</v>
      </c>
      <c r="AM83" s="14" t="s">
        <v>23439</v>
      </c>
      <c r="AN83" s="14" t="s">
        <v>24579</v>
      </c>
      <c r="AO83" s="14" t="s">
        <v>23842</v>
      </c>
      <c r="AP83" s="14" t="s">
        <v>23434</v>
      </c>
      <c r="AQ83" s="14" t="s">
        <v>23448</v>
      </c>
      <c r="AR83" s="14" t="s">
        <v>24580</v>
      </c>
      <c r="AS83" s="14" t="s">
        <v>23848</v>
      </c>
      <c r="AT83" s="14" t="s">
        <v>23434</v>
      </c>
      <c r="AU83" s="14" t="s">
        <v>23453</v>
      </c>
      <c r="AV83" s="14" t="s">
        <v>24581</v>
      </c>
      <c r="AW83" s="14" t="s">
        <v>23455</v>
      </c>
      <c r="AX83" s="14" t="s">
        <v>23434</v>
      </c>
      <c r="AY83" s="14" t="s">
        <v>23451</v>
      </c>
      <c r="AZ83" s="14" t="s">
        <v>24582</v>
      </c>
      <c r="BA83" s="14" t="s">
        <v>22818</v>
      </c>
      <c r="BB83" s="80"/>
      <c r="BC83" s="14" t="s">
        <v>23438</v>
      </c>
      <c r="BD83" s="81">
        <v>45721.6043287037</v>
      </c>
      <c r="BE83" s="79">
        <f>IFERROR((COUNTIFS('Base de Dados'!FD:FD,"Sim",'Base de Dados'!A:A,A83,'Base de Dados'!B:B,B83)/(COUNTIFS('Base de Dados'!FD:FD,"Sim",'Base de Dados'!A:A,A83,'Base de Dados'!B:B,B83)+(COUNTIFS('Base de Dados'!FD:FD,"Não",'Base de Dados'!A:A,A83,'Base de Dados'!B:B,B83)))),"Não Aplica")</f>
        <v>1</v>
      </c>
      <c r="BF83" s="14" t="s">
        <v>23434</v>
      </c>
      <c r="BG83" s="14" t="s">
        <v>23439</v>
      </c>
      <c r="BH83" s="14" t="s">
        <v>24583</v>
      </c>
      <c r="BI83" s="14" t="s">
        <v>23842</v>
      </c>
      <c r="BJ83" s="80"/>
      <c r="BK83" s="80"/>
      <c r="BL83" s="80"/>
      <c r="BM83" s="80"/>
      <c r="BN83" s="14" t="s">
        <v>23434</v>
      </c>
      <c r="BO83" s="14" t="s">
        <v>23453</v>
      </c>
      <c r="BP83" s="14" t="s">
        <v>24584</v>
      </c>
      <c r="BQ83" s="14" t="s">
        <v>23455</v>
      </c>
      <c r="BR83" s="14" t="s">
        <v>23434</v>
      </c>
      <c r="BS83" s="14" t="s">
        <v>23451</v>
      </c>
      <c r="BT83" s="14" t="s">
        <v>24585</v>
      </c>
      <c r="BU83" s="14" t="s">
        <v>22818</v>
      </c>
      <c r="BV83" s="80"/>
      <c r="BW83" s="14" t="s">
        <v>23438</v>
      </c>
      <c r="BX83" s="81">
        <v>45723.32025462963</v>
      </c>
      <c r="BY83" s="82" t="s">
        <v>23446</v>
      </c>
      <c r="BZ83" s="15"/>
      <c r="CA83" s="15"/>
      <c r="CB83" s="15"/>
      <c r="CC83" s="15"/>
      <c r="CD83" s="80"/>
      <c r="CE83" s="80"/>
      <c r="CF83" s="80"/>
      <c r="CG83" s="80"/>
      <c r="CH83" s="15"/>
      <c r="CI83" s="15"/>
      <c r="CJ83" s="15"/>
      <c r="CK83" s="15"/>
      <c r="CL83" s="15"/>
      <c r="CM83" s="15"/>
      <c r="CN83" s="15"/>
      <c r="CO83" s="15"/>
      <c r="CP83" s="80"/>
      <c r="CQ83" s="80" t="s">
        <v>23459</v>
      </c>
      <c r="CR83" s="83"/>
      <c r="CS83" s="84"/>
    </row>
    <row r="84">
      <c r="A84" s="78" t="s">
        <v>217</v>
      </c>
      <c r="B84" s="78" t="s">
        <v>23302</v>
      </c>
      <c r="C84" s="79" t="str">
        <f>IFERROR((COUNTIFS('Base de Dados'!BT:BT,"Sim",'Base de Dados'!A:A,A84,'Base de Dados'!B:B,B84)/(COUNTIFS('Base de Dados'!BT:BT,"Sim",'Base de Dados'!A:A,A84,'Base de Dados'!B:B,B84)+(COUNTIFS('Base de Dados'!BT:BT,"Não",'Base de Dados'!A:A,A84,'Base de Dados'!B:B,B84)))),"Não Aplica")</f>
        <v>Não Aplica</v>
      </c>
      <c r="D84" s="14" t="s">
        <v>23434</v>
      </c>
      <c r="E84" s="14" t="s">
        <v>24586</v>
      </c>
      <c r="F84" s="14" t="s">
        <v>23436</v>
      </c>
      <c r="G84" s="14" t="s">
        <v>23434</v>
      </c>
      <c r="H84" s="14" t="s">
        <v>24587</v>
      </c>
      <c r="I84" s="14" t="s">
        <v>22818</v>
      </c>
      <c r="J84" s="80"/>
      <c r="K84" s="14" t="s">
        <v>23438</v>
      </c>
      <c r="L84" s="81">
        <v>45691.609293981484</v>
      </c>
      <c r="M84" s="79" t="str">
        <f>IFERROR((COUNTIFS('Base de Dados'!DF:DF,"Sim",'Base de Dados'!A:A,A84,'Base de Dados'!B:B,B84)/(COUNTIFS('Base de Dados'!DF:DF,"Sim",'Base de Dados'!A:A,A84,'Base de Dados'!B:B,B84)+(COUNTIFS('Base de Dados'!DF:DF,"Não",'Base de Dados'!A:A,A84,'Base de Dados'!B:B,B84)))),"Não Aplica")</f>
        <v>Não Aplica</v>
      </c>
      <c r="N84" s="14"/>
      <c r="O84" s="14"/>
      <c r="P84" s="14"/>
      <c r="Q84" s="14"/>
      <c r="R84" s="15"/>
      <c r="S84" s="15"/>
      <c r="T84" s="15"/>
      <c r="U84" s="15"/>
      <c r="V84" s="15"/>
      <c r="W84" s="15"/>
      <c r="X84" s="80"/>
      <c r="Y84" s="80" t="s">
        <v>24115</v>
      </c>
      <c r="Z84" s="83"/>
      <c r="AA84" s="79" t="str">
        <f>IFERROR((COUNTIFS('Base de Dados'!ED:ED,"Sim",'Base de Dados'!A:A,A84,'Base de Dados'!B:B,B84)/(COUNTIFS('Base de Dados'!ED:ED,"Sim",'Base de Dados'!A:A,A84,'Base de Dados'!B:B,B84)+(COUNTIFS('Base de Dados'!ED:ED,"Não",'Base de Dados'!A:A,A84,'Base de Dados'!B:B,B84)))),"Não Aplica")</f>
        <v>Não Aplica</v>
      </c>
      <c r="AB84" s="15"/>
      <c r="AC84" s="15"/>
      <c r="AD84" s="15"/>
      <c r="AE84" s="15"/>
      <c r="AF84" s="15"/>
      <c r="AG84" s="15"/>
      <c r="AH84" s="80"/>
      <c r="AI84" s="80" t="s">
        <v>24115</v>
      </c>
      <c r="AJ84" s="83"/>
      <c r="AK84" s="82" t="s">
        <v>23446</v>
      </c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80"/>
      <c r="BC84" s="15" t="s">
        <v>24115</v>
      </c>
      <c r="BD84" s="83"/>
      <c r="BE84" s="79" t="str">
        <f>IFERROR((COUNTIFS('Base de Dados'!FD:FD,"Sim",'Base de Dados'!A:A,A84,'Base de Dados'!B:B,B84)/(COUNTIFS('Base de Dados'!FD:FD,"Sim",'Base de Dados'!A:A,A84,'Base de Dados'!B:B,B84)+(COUNTIFS('Base de Dados'!FD:FD,"Não",'Base de Dados'!A:A,A84,'Base de Dados'!B:B,B84)))),"Não Aplica")</f>
        <v>Não Aplica</v>
      </c>
      <c r="BF84" s="15"/>
      <c r="BG84" s="15"/>
      <c r="BH84" s="15"/>
      <c r="BI84" s="15"/>
      <c r="BJ84" s="80"/>
      <c r="BK84" s="80"/>
      <c r="BL84" s="80"/>
      <c r="BM84" s="80"/>
      <c r="BN84" s="15"/>
      <c r="BO84" s="15"/>
      <c r="BP84" s="15"/>
      <c r="BQ84" s="15"/>
      <c r="BR84" s="15"/>
      <c r="BS84" s="15"/>
      <c r="BT84" s="15"/>
      <c r="BU84" s="15"/>
      <c r="BV84" s="80"/>
      <c r="BW84" s="80" t="s">
        <v>24115</v>
      </c>
      <c r="BX84" s="83"/>
      <c r="BY84" s="82" t="s">
        <v>23446</v>
      </c>
      <c r="BZ84" s="15"/>
      <c r="CA84" s="15"/>
      <c r="CB84" s="15"/>
      <c r="CC84" s="15"/>
      <c r="CD84" s="80"/>
      <c r="CE84" s="80"/>
      <c r="CF84" s="80"/>
      <c r="CG84" s="80"/>
      <c r="CH84" s="15"/>
      <c r="CI84" s="15"/>
      <c r="CJ84" s="15"/>
      <c r="CK84" s="15"/>
      <c r="CL84" s="15"/>
      <c r="CM84" s="15"/>
      <c r="CN84" s="15"/>
      <c r="CO84" s="15"/>
      <c r="CP84" s="80"/>
      <c r="CQ84" s="80" t="s">
        <v>23459</v>
      </c>
      <c r="CR84" s="83"/>
      <c r="CS84" s="84"/>
    </row>
    <row r="85">
      <c r="A85" s="78" t="s">
        <v>217</v>
      </c>
      <c r="B85" s="78" t="s">
        <v>8483</v>
      </c>
      <c r="C85" s="79">
        <f>IFERROR((COUNTIFS('Base de Dados'!BT:BT,"Sim",'Base de Dados'!A:A,A85,'Base de Dados'!B:B,B85)/(COUNTIFS('Base de Dados'!BT:BT,"Sim",'Base de Dados'!A:A,A85,'Base de Dados'!B:B,B85)+(COUNTIFS('Base de Dados'!BT:BT,"Não",'Base de Dados'!A:A,A85,'Base de Dados'!B:B,B85)))),"Não Aplica")</f>
        <v>1</v>
      </c>
      <c r="D85" s="14" t="s">
        <v>23434</v>
      </c>
      <c r="E85" s="14" t="s">
        <v>24588</v>
      </c>
      <c r="F85" s="14" t="s">
        <v>23436</v>
      </c>
      <c r="G85" s="14" t="s">
        <v>23434</v>
      </c>
      <c r="H85" s="14" t="s">
        <v>24589</v>
      </c>
      <c r="I85" s="14" t="s">
        <v>22818</v>
      </c>
      <c r="J85" s="80"/>
      <c r="K85" s="14" t="s">
        <v>23438</v>
      </c>
      <c r="L85" s="81">
        <v>45687.390856481485</v>
      </c>
      <c r="M85" s="79">
        <f>IFERROR((COUNTIFS('Base de Dados'!DF:DF,"Sim",'Base de Dados'!A:A,A85,'Base de Dados'!B:B,B85)/(COUNTIFS('Base de Dados'!DF:DF,"Sim",'Base de Dados'!A:A,A85,'Base de Dados'!B:B,B85)+(COUNTIFS('Base de Dados'!DF:DF,"Não",'Base de Dados'!A:A,A85,'Base de Dados'!B:B,B85)))),"Não Aplica")</f>
        <v>1</v>
      </c>
      <c r="N85" s="14" t="s">
        <v>23434</v>
      </c>
      <c r="O85" s="14" t="s">
        <v>23439</v>
      </c>
      <c r="P85" s="14" t="s">
        <v>24590</v>
      </c>
      <c r="Q85" s="14" t="s">
        <v>23842</v>
      </c>
      <c r="R85" s="14" t="s">
        <v>23434</v>
      </c>
      <c r="S85" s="14" t="s">
        <v>24591</v>
      </c>
      <c r="T85" s="14" t="s">
        <v>23436</v>
      </c>
      <c r="U85" s="14" t="s">
        <v>23434</v>
      </c>
      <c r="V85" s="14" t="s">
        <v>24592</v>
      </c>
      <c r="W85" s="14" t="s">
        <v>22818</v>
      </c>
      <c r="X85" s="80"/>
      <c r="Y85" s="14" t="s">
        <v>23438</v>
      </c>
      <c r="Z85" s="81">
        <v>45691.61313657407</v>
      </c>
      <c r="AA85" s="79">
        <f>IFERROR((COUNTIFS('Base de Dados'!ED:ED,"Sim",'Base de Dados'!A:A,A85,'Base de Dados'!B:B,B85)/(COUNTIFS('Base de Dados'!ED:ED,"Sim",'Base de Dados'!A:A,A85,'Base de Dados'!B:B,B85)+(COUNTIFS('Base de Dados'!ED:ED,"Não",'Base de Dados'!A:A,A85,'Base de Dados'!B:B,B85)))),"Não Aplica")</f>
        <v>1</v>
      </c>
      <c r="AB85" s="14" t="s">
        <v>23434</v>
      </c>
      <c r="AC85" s="14" t="s">
        <v>24593</v>
      </c>
      <c r="AD85" s="14" t="s">
        <v>23842</v>
      </c>
      <c r="AE85" s="14" t="s">
        <v>23434</v>
      </c>
      <c r="AF85" s="14" t="s">
        <v>24594</v>
      </c>
      <c r="AG85" s="14" t="s">
        <v>22818</v>
      </c>
      <c r="AH85" s="80"/>
      <c r="AI85" s="14" t="s">
        <v>23438</v>
      </c>
      <c r="AJ85" s="81">
        <v>45692.543125</v>
      </c>
      <c r="AK85" s="82" t="s">
        <v>23446</v>
      </c>
      <c r="AL85" s="14" t="s">
        <v>23434</v>
      </c>
      <c r="AM85" s="14" t="s">
        <v>23439</v>
      </c>
      <c r="AN85" s="14" t="s">
        <v>24595</v>
      </c>
      <c r="AO85" s="14" t="s">
        <v>23842</v>
      </c>
      <c r="AP85" s="14" t="s">
        <v>23434</v>
      </c>
      <c r="AQ85" s="14" t="s">
        <v>23448</v>
      </c>
      <c r="AR85" s="14" t="s">
        <v>24596</v>
      </c>
      <c r="AS85" s="14" t="s">
        <v>23848</v>
      </c>
      <c r="AT85" s="14" t="s">
        <v>23434</v>
      </c>
      <c r="AU85" s="14" t="s">
        <v>23453</v>
      </c>
      <c r="AV85" s="14" t="s">
        <v>24597</v>
      </c>
      <c r="AW85" s="14" t="s">
        <v>23455</v>
      </c>
      <c r="AX85" s="14" t="s">
        <v>23434</v>
      </c>
      <c r="AY85" s="14" t="s">
        <v>23451</v>
      </c>
      <c r="AZ85" s="14" t="s">
        <v>24598</v>
      </c>
      <c r="BA85" s="14" t="s">
        <v>22818</v>
      </c>
      <c r="BB85" s="80"/>
      <c r="BC85" s="14" t="s">
        <v>23438</v>
      </c>
      <c r="BD85" s="81">
        <v>45721.64959490741</v>
      </c>
      <c r="BE85" s="79">
        <f>IFERROR((COUNTIFS('Base de Dados'!FD:FD,"Sim",'Base de Dados'!A:A,A85,'Base de Dados'!B:B,B85)/(COUNTIFS('Base de Dados'!FD:FD,"Sim",'Base de Dados'!A:A,A85,'Base de Dados'!B:B,B85)+(COUNTIFS('Base de Dados'!FD:FD,"Não",'Base de Dados'!A:A,A85,'Base de Dados'!B:B,B85)))),"Não Aplica")</f>
        <v>1</v>
      </c>
      <c r="BF85" s="14" t="s">
        <v>23434</v>
      </c>
      <c r="BG85" s="14" t="s">
        <v>23439</v>
      </c>
      <c r="BH85" s="14" t="s">
        <v>24599</v>
      </c>
      <c r="BI85" s="14" t="s">
        <v>23842</v>
      </c>
      <c r="BJ85" s="80"/>
      <c r="BK85" s="80"/>
      <c r="BL85" s="80"/>
      <c r="BM85" s="80"/>
      <c r="BN85" s="14" t="s">
        <v>23434</v>
      </c>
      <c r="BO85" s="14" t="s">
        <v>23453</v>
      </c>
      <c r="BP85" s="14" t="s">
        <v>24600</v>
      </c>
      <c r="BQ85" s="14" t="s">
        <v>23455</v>
      </c>
      <c r="BR85" s="14" t="s">
        <v>23434</v>
      </c>
      <c r="BS85" s="14" t="s">
        <v>23451</v>
      </c>
      <c r="BT85" s="14" t="s">
        <v>24601</v>
      </c>
      <c r="BU85" s="14" t="s">
        <v>22818</v>
      </c>
      <c r="BV85" s="80"/>
      <c r="BW85" s="14" t="s">
        <v>23438</v>
      </c>
      <c r="BX85" s="81">
        <v>45723.320185185185</v>
      </c>
      <c r="BY85" s="82" t="s">
        <v>23446</v>
      </c>
      <c r="BZ85" s="15"/>
      <c r="CA85" s="15"/>
      <c r="CB85" s="15"/>
      <c r="CC85" s="15"/>
      <c r="CD85" s="80"/>
      <c r="CE85" s="80"/>
      <c r="CF85" s="80"/>
      <c r="CG85" s="80"/>
      <c r="CH85" s="15"/>
      <c r="CI85" s="15"/>
      <c r="CJ85" s="15"/>
      <c r="CK85" s="15"/>
      <c r="CL85" s="15"/>
      <c r="CM85" s="15"/>
      <c r="CN85" s="15"/>
      <c r="CO85" s="15"/>
      <c r="CP85" s="80"/>
      <c r="CQ85" s="80" t="s">
        <v>23459</v>
      </c>
      <c r="CR85" s="83"/>
      <c r="CS85" s="84"/>
    </row>
    <row r="86">
      <c r="A86" s="78" t="s">
        <v>217</v>
      </c>
      <c r="B86" s="78" t="s">
        <v>22712</v>
      </c>
      <c r="C86" s="79">
        <f>IFERROR((COUNTIFS('Base de Dados'!BT:BT,"Sim",'Base de Dados'!A:A,A86,'Base de Dados'!B:B,B86)/(COUNTIFS('Base de Dados'!BT:BT,"Sim",'Base de Dados'!A:A,A86,'Base de Dados'!B:B,B86)+(COUNTIFS('Base de Dados'!BT:BT,"Não",'Base de Dados'!A:A,A86,'Base de Dados'!B:B,B86)))),"Não Aplica")</f>
        <v>1</v>
      </c>
      <c r="D86" s="14" t="s">
        <v>23434</v>
      </c>
      <c r="E86" s="14" t="s">
        <v>24602</v>
      </c>
      <c r="F86" s="14" t="s">
        <v>23436</v>
      </c>
      <c r="G86" s="14" t="s">
        <v>23434</v>
      </c>
      <c r="H86" s="14" t="s">
        <v>24603</v>
      </c>
      <c r="I86" s="14" t="s">
        <v>22818</v>
      </c>
      <c r="J86" s="80"/>
      <c r="K86" s="14" t="s">
        <v>23438</v>
      </c>
      <c r="L86" s="81">
        <v>45687.3908912037</v>
      </c>
      <c r="M86" s="79">
        <f>IFERROR((COUNTIFS('Base de Dados'!DF:DF,"Sim",'Base de Dados'!A:A,A86,'Base de Dados'!B:B,B86)/(COUNTIFS('Base de Dados'!DF:DF,"Sim",'Base de Dados'!A:A,A86,'Base de Dados'!B:B,B86)+(COUNTIFS('Base de Dados'!DF:DF,"Não",'Base de Dados'!A:A,A86,'Base de Dados'!B:B,B86)))),"Não Aplica")</f>
        <v>1</v>
      </c>
      <c r="N86" s="14" t="s">
        <v>23434</v>
      </c>
      <c r="O86" s="14" t="s">
        <v>23602</v>
      </c>
      <c r="P86" s="14" t="s">
        <v>24604</v>
      </c>
      <c r="Q86" s="14" t="s">
        <v>23436</v>
      </c>
      <c r="R86" s="14" t="s">
        <v>23434</v>
      </c>
      <c r="S86" s="14" t="s">
        <v>24605</v>
      </c>
      <c r="T86" s="14" t="s">
        <v>23842</v>
      </c>
      <c r="U86" s="14" t="s">
        <v>23434</v>
      </c>
      <c r="V86" s="14" t="s">
        <v>24606</v>
      </c>
      <c r="W86" s="14" t="s">
        <v>22818</v>
      </c>
      <c r="X86" s="80"/>
      <c r="Y86" s="14" t="s">
        <v>23438</v>
      </c>
      <c r="Z86" s="81">
        <v>45724.496412037035</v>
      </c>
      <c r="AA86" s="79">
        <f>IFERROR((COUNTIFS('Base de Dados'!ED:ED,"Sim",'Base de Dados'!A:A,A86,'Base de Dados'!B:B,B86)/(COUNTIFS('Base de Dados'!ED:ED,"Sim",'Base de Dados'!A:A,A86,'Base de Dados'!B:B,B86)+(COUNTIFS('Base de Dados'!ED:ED,"Não",'Base de Dados'!A:A,A86,'Base de Dados'!B:B,B86)))),"Não Aplica")</f>
        <v>1</v>
      </c>
      <c r="AB86" s="14" t="s">
        <v>23434</v>
      </c>
      <c r="AC86" s="14" t="s">
        <v>24607</v>
      </c>
      <c r="AD86" s="14" t="s">
        <v>23842</v>
      </c>
      <c r="AE86" s="14" t="s">
        <v>23434</v>
      </c>
      <c r="AF86" s="14" t="s">
        <v>24608</v>
      </c>
      <c r="AG86" s="14" t="s">
        <v>22818</v>
      </c>
      <c r="AH86" s="80"/>
      <c r="AI86" s="14" t="s">
        <v>23438</v>
      </c>
      <c r="AJ86" s="81">
        <v>45724.50162037037</v>
      </c>
      <c r="AK86" s="82" t="s">
        <v>23446</v>
      </c>
      <c r="AL86" s="14" t="s">
        <v>23434</v>
      </c>
      <c r="AM86" s="14" t="s">
        <v>23439</v>
      </c>
      <c r="AN86" s="14" t="s">
        <v>24609</v>
      </c>
      <c r="AO86" s="14" t="s">
        <v>23842</v>
      </c>
      <c r="AP86" s="14" t="s">
        <v>23434</v>
      </c>
      <c r="AQ86" s="14" t="s">
        <v>23448</v>
      </c>
      <c r="AR86" s="14" t="s">
        <v>24610</v>
      </c>
      <c r="AS86" s="14" t="s">
        <v>23848</v>
      </c>
      <c r="AT86" s="14" t="s">
        <v>23434</v>
      </c>
      <c r="AU86" s="14" t="s">
        <v>23453</v>
      </c>
      <c r="AV86" s="14" t="s">
        <v>24611</v>
      </c>
      <c r="AW86" s="14" t="s">
        <v>23455</v>
      </c>
      <c r="AX86" s="14" t="s">
        <v>23434</v>
      </c>
      <c r="AY86" s="14" t="s">
        <v>23451</v>
      </c>
      <c r="AZ86" s="14" t="s">
        <v>24612</v>
      </c>
      <c r="BA86" s="14" t="s">
        <v>22818</v>
      </c>
      <c r="BB86" s="80"/>
      <c r="BC86" s="14" t="s">
        <v>23438</v>
      </c>
      <c r="BD86" s="81">
        <v>45724.585011574076</v>
      </c>
      <c r="BE86" s="79">
        <f>IFERROR((COUNTIFS('Base de Dados'!FD:FD,"Sim",'Base de Dados'!A:A,A86,'Base de Dados'!B:B,B86)/(COUNTIFS('Base de Dados'!FD:FD,"Sim",'Base de Dados'!A:A,A86,'Base de Dados'!B:B,B86)+(COUNTIFS('Base de Dados'!FD:FD,"Não",'Base de Dados'!A:A,A86,'Base de Dados'!B:B,B86)))),"Não Aplica")</f>
        <v>1</v>
      </c>
      <c r="BF86" s="15"/>
      <c r="BG86" s="15"/>
      <c r="BH86" s="15"/>
      <c r="BI86" s="15"/>
      <c r="BJ86" s="80"/>
      <c r="BK86" s="80"/>
      <c r="BL86" s="80"/>
      <c r="BM86" s="80"/>
      <c r="BN86" s="15"/>
      <c r="BO86" s="15"/>
      <c r="BP86" s="15"/>
      <c r="BQ86" s="15"/>
      <c r="BR86" s="15"/>
      <c r="BS86" s="15"/>
      <c r="BT86" s="15"/>
      <c r="BU86" s="15"/>
      <c r="BV86" s="80"/>
      <c r="BW86" s="80" t="s">
        <v>24115</v>
      </c>
      <c r="BX86" s="83"/>
      <c r="BY86" s="82" t="s">
        <v>23446</v>
      </c>
      <c r="BZ86" s="15"/>
      <c r="CA86" s="15"/>
      <c r="CB86" s="15"/>
      <c r="CC86" s="15"/>
      <c r="CD86" s="80"/>
      <c r="CE86" s="80"/>
      <c r="CF86" s="80"/>
      <c r="CG86" s="80"/>
      <c r="CH86" s="15"/>
      <c r="CI86" s="15"/>
      <c r="CJ86" s="15"/>
      <c r="CK86" s="15"/>
      <c r="CL86" s="15"/>
      <c r="CM86" s="15"/>
      <c r="CN86" s="15"/>
      <c r="CO86" s="15"/>
      <c r="CP86" s="80"/>
      <c r="CQ86" s="80" t="s">
        <v>23459</v>
      </c>
      <c r="CR86" s="83"/>
      <c r="CS86" s="84"/>
    </row>
    <row r="87">
      <c r="A87" s="78" t="s">
        <v>217</v>
      </c>
      <c r="B87" s="78" t="s">
        <v>22738</v>
      </c>
      <c r="C87" s="79">
        <f>IFERROR((COUNTIFS('Base de Dados'!BT:BT,"Sim",'Base de Dados'!A:A,A87,'Base de Dados'!B:B,B87)/(COUNTIFS('Base de Dados'!BT:BT,"Sim",'Base de Dados'!A:A,A87,'Base de Dados'!B:B,B87)+(COUNTIFS('Base de Dados'!BT:BT,"Não",'Base de Dados'!A:A,A87,'Base de Dados'!B:B,B87)))),"Não Aplica")</f>
        <v>1</v>
      </c>
      <c r="D87" s="14" t="s">
        <v>23434</v>
      </c>
      <c r="E87" s="14" t="s">
        <v>24613</v>
      </c>
      <c r="F87" s="14" t="s">
        <v>23436</v>
      </c>
      <c r="G87" s="14" t="s">
        <v>23434</v>
      </c>
      <c r="H87" s="14" t="s">
        <v>24614</v>
      </c>
      <c r="I87" s="14" t="s">
        <v>22818</v>
      </c>
      <c r="J87" s="80"/>
      <c r="K87" s="14" t="s">
        <v>23438</v>
      </c>
      <c r="L87" s="81">
        <v>45687.3909375</v>
      </c>
      <c r="M87" s="79">
        <f>IFERROR((COUNTIFS('Base de Dados'!DF:DF,"Sim",'Base de Dados'!A:A,A87,'Base de Dados'!B:B,B87)/(COUNTIFS('Base de Dados'!DF:DF,"Sim",'Base de Dados'!A:A,A87,'Base de Dados'!B:B,B87)+(COUNTIFS('Base de Dados'!DF:DF,"Não",'Base de Dados'!A:A,A87,'Base de Dados'!B:B,B87)))),"Não Aplica")</f>
        <v>1</v>
      </c>
      <c r="N87" s="14" t="s">
        <v>23434</v>
      </c>
      <c r="O87" s="14" t="s">
        <v>23602</v>
      </c>
      <c r="P87" s="14" t="s">
        <v>24615</v>
      </c>
      <c r="Q87" s="14" t="s">
        <v>23436</v>
      </c>
      <c r="R87" s="14" t="s">
        <v>23434</v>
      </c>
      <c r="S87" s="14" t="s">
        <v>24616</v>
      </c>
      <c r="T87" s="14" t="s">
        <v>23842</v>
      </c>
      <c r="U87" s="14" t="s">
        <v>23434</v>
      </c>
      <c r="V87" s="14" t="s">
        <v>24617</v>
      </c>
      <c r="W87" s="14" t="s">
        <v>22818</v>
      </c>
      <c r="X87" s="80"/>
      <c r="Y87" s="14" t="s">
        <v>23438</v>
      </c>
      <c r="Z87" s="81">
        <v>45724.49644675926</v>
      </c>
      <c r="AA87" s="79">
        <f>IFERROR((COUNTIFS('Base de Dados'!ED:ED,"Sim",'Base de Dados'!A:A,A87,'Base de Dados'!B:B,B87)/(COUNTIFS('Base de Dados'!ED:ED,"Sim",'Base de Dados'!A:A,A87,'Base de Dados'!B:B,B87)+(COUNTIFS('Base de Dados'!ED:ED,"Não",'Base de Dados'!A:A,A87,'Base de Dados'!B:B,B87)))),"Não Aplica")</f>
        <v>1</v>
      </c>
      <c r="AB87" s="14" t="s">
        <v>23434</v>
      </c>
      <c r="AC87" s="14" t="s">
        <v>24618</v>
      </c>
      <c r="AD87" s="14" t="s">
        <v>23842</v>
      </c>
      <c r="AE87" s="14" t="s">
        <v>23434</v>
      </c>
      <c r="AF87" s="14" t="s">
        <v>24619</v>
      </c>
      <c r="AG87" s="14" t="s">
        <v>22818</v>
      </c>
      <c r="AH87" s="80"/>
      <c r="AI87" s="14" t="s">
        <v>23438</v>
      </c>
      <c r="AJ87" s="81">
        <v>45724.501655092594</v>
      </c>
      <c r="AK87" s="82" t="s">
        <v>23446</v>
      </c>
      <c r="AL87" s="14" t="s">
        <v>23434</v>
      </c>
      <c r="AM87" s="14" t="s">
        <v>23439</v>
      </c>
      <c r="AN87" s="14" t="s">
        <v>24620</v>
      </c>
      <c r="AO87" s="14" t="s">
        <v>23842</v>
      </c>
      <c r="AP87" s="14" t="s">
        <v>23434</v>
      </c>
      <c r="AQ87" s="14" t="s">
        <v>23448</v>
      </c>
      <c r="AR87" s="14" t="s">
        <v>24621</v>
      </c>
      <c r="AS87" s="14" t="s">
        <v>23848</v>
      </c>
      <c r="AT87" s="14" t="s">
        <v>23434</v>
      </c>
      <c r="AU87" s="14" t="s">
        <v>23453</v>
      </c>
      <c r="AV87" s="14" t="s">
        <v>24622</v>
      </c>
      <c r="AW87" s="14" t="s">
        <v>23455</v>
      </c>
      <c r="AX87" s="14" t="s">
        <v>23434</v>
      </c>
      <c r="AY87" s="14" t="s">
        <v>23451</v>
      </c>
      <c r="AZ87" s="14" t="s">
        <v>24623</v>
      </c>
      <c r="BA87" s="14" t="s">
        <v>22818</v>
      </c>
      <c r="BB87" s="80"/>
      <c r="BC87" s="14" t="s">
        <v>23438</v>
      </c>
      <c r="BD87" s="81">
        <v>45724.58505787037</v>
      </c>
      <c r="BE87" s="79">
        <f>IFERROR((COUNTIFS('Base de Dados'!FD:FD,"Sim",'Base de Dados'!A:A,A87,'Base de Dados'!B:B,B87)/(COUNTIFS('Base de Dados'!FD:FD,"Sim",'Base de Dados'!A:A,A87,'Base de Dados'!B:B,B87)+(COUNTIFS('Base de Dados'!FD:FD,"Não",'Base de Dados'!A:A,A87,'Base de Dados'!B:B,B87)))),"Não Aplica")</f>
        <v>1</v>
      </c>
      <c r="BF87" s="15"/>
      <c r="BG87" s="15"/>
      <c r="BH87" s="15"/>
      <c r="BI87" s="15"/>
      <c r="BJ87" s="80"/>
      <c r="BK87" s="80"/>
      <c r="BL87" s="80"/>
      <c r="BM87" s="80"/>
      <c r="BN87" s="15"/>
      <c r="BO87" s="15"/>
      <c r="BP87" s="15"/>
      <c r="BQ87" s="15"/>
      <c r="BR87" s="15"/>
      <c r="BS87" s="15"/>
      <c r="BT87" s="15"/>
      <c r="BU87" s="15"/>
      <c r="BV87" s="80"/>
      <c r="BW87" s="80" t="s">
        <v>24115</v>
      </c>
      <c r="BX87" s="83"/>
      <c r="BY87" s="82" t="s">
        <v>23446</v>
      </c>
      <c r="BZ87" s="15"/>
      <c r="CA87" s="15"/>
      <c r="CB87" s="15"/>
      <c r="CC87" s="15"/>
      <c r="CD87" s="80"/>
      <c r="CE87" s="80"/>
      <c r="CF87" s="80"/>
      <c r="CG87" s="80"/>
      <c r="CH87" s="15"/>
      <c r="CI87" s="15"/>
      <c r="CJ87" s="15"/>
      <c r="CK87" s="15"/>
      <c r="CL87" s="15"/>
      <c r="CM87" s="15"/>
      <c r="CN87" s="15"/>
      <c r="CO87" s="15"/>
      <c r="CP87" s="80"/>
      <c r="CQ87" s="80" t="s">
        <v>23459</v>
      </c>
      <c r="CR87" s="83"/>
      <c r="CS87" s="84"/>
    </row>
    <row r="88">
      <c r="A88" s="78" t="s">
        <v>217</v>
      </c>
      <c r="B88" s="78" t="s">
        <v>22765</v>
      </c>
      <c r="C88" s="79">
        <f>IFERROR((COUNTIFS('Base de Dados'!BT:BT,"Sim",'Base de Dados'!A:A,A88,'Base de Dados'!B:B,B88)/(COUNTIFS('Base de Dados'!BT:BT,"Sim",'Base de Dados'!A:A,A88,'Base de Dados'!B:B,B88)+(COUNTIFS('Base de Dados'!BT:BT,"Não",'Base de Dados'!A:A,A88,'Base de Dados'!B:B,B88)))),"Não Aplica")</f>
        <v>1</v>
      </c>
      <c r="D88" s="14" t="s">
        <v>23434</v>
      </c>
      <c r="E88" s="14" t="s">
        <v>24624</v>
      </c>
      <c r="F88" s="14" t="s">
        <v>23436</v>
      </c>
      <c r="G88" s="14" t="s">
        <v>228</v>
      </c>
      <c r="H88" s="14" t="s">
        <v>24625</v>
      </c>
      <c r="I88" s="14" t="s">
        <v>22818</v>
      </c>
      <c r="J88" s="80"/>
      <c r="K88" s="14" t="s">
        <v>23438</v>
      </c>
      <c r="L88" s="81">
        <v>45687.39135416667</v>
      </c>
      <c r="M88" s="79">
        <f>IFERROR((COUNTIFS('Base de Dados'!DF:DF,"Sim",'Base de Dados'!A:A,A88,'Base de Dados'!B:B,B88)/(COUNTIFS('Base de Dados'!DF:DF,"Sim",'Base de Dados'!A:A,A88,'Base de Dados'!B:B,B88)+(COUNTIFS('Base de Dados'!DF:DF,"Não",'Base de Dados'!A:A,A88,'Base de Dados'!B:B,B88)))),"Não Aplica")</f>
        <v>1</v>
      </c>
      <c r="N88" s="14" t="s">
        <v>23434</v>
      </c>
      <c r="O88" s="14" t="s">
        <v>23602</v>
      </c>
      <c r="P88" s="14" t="s">
        <v>24626</v>
      </c>
      <c r="Q88" s="14" t="s">
        <v>23436</v>
      </c>
      <c r="R88" s="14" t="s">
        <v>23434</v>
      </c>
      <c r="S88" s="14" t="s">
        <v>24627</v>
      </c>
      <c r="T88" s="14" t="s">
        <v>23842</v>
      </c>
      <c r="U88" s="14" t="s">
        <v>23434</v>
      </c>
      <c r="V88" s="14" t="s">
        <v>24628</v>
      </c>
      <c r="W88" s="14" t="s">
        <v>22818</v>
      </c>
      <c r="X88" s="80"/>
      <c r="Y88" s="14" t="s">
        <v>23438</v>
      </c>
      <c r="Z88" s="81">
        <v>45724.49648148148</v>
      </c>
      <c r="AA88" s="79">
        <f>IFERROR((COUNTIFS('Base de Dados'!ED:ED,"Sim",'Base de Dados'!A:A,A88,'Base de Dados'!B:B,B88)/(COUNTIFS('Base de Dados'!ED:ED,"Sim",'Base de Dados'!A:A,A88,'Base de Dados'!B:B,B88)+(COUNTIFS('Base de Dados'!ED:ED,"Não",'Base de Dados'!A:A,A88,'Base de Dados'!B:B,B88)))),"Não Aplica")</f>
        <v>1</v>
      </c>
      <c r="AB88" s="14" t="s">
        <v>23434</v>
      </c>
      <c r="AC88" s="14" t="s">
        <v>24629</v>
      </c>
      <c r="AD88" s="14" t="s">
        <v>23842</v>
      </c>
      <c r="AE88" s="14" t="s">
        <v>23434</v>
      </c>
      <c r="AF88" s="14" t="s">
        <v>24630</v>
      </c>
      <c r="AG88" s="14" t="s">
        <v>22818</v>
      </c>
      <c r="AH88" s="80"/>
      <c r="AI88" s="14" t="s">
        <v>23438</v>
      </c>
      <c r="AJ88" s="81">
        <v>45724.50170138889</v>
      </c>
      <c r="AK88" s="82" t="s">
        <v>23446</v>
      </c>
      <c r="AL88" s="14" t="s">
        <v>23434</v>
      </c>
      <c r="AM88" s="14" t="s">
        <v>23439</v>
      </c>
      <c r="AN88" s="14" t="s">
        <v>24631</v>
      </c>
      <c r="AO88" s="14" t="s">
        <v>23842</v>
      </c>
      <c r="AP88" s="14" t="s">
        <v>23434</v>
      </c>
      <c r="AQ88" s="14" t="s">
        <v>23448</v>
      </c>
      <c r="AR88" s="14" t="s">
        <v>24632</v>
      </c>
      <c r="AS88" s="14" t="s">
        <v>23848</v>
      </c>
      <c r="AT88" s="14" t="s">
        <v>23434</v>
      </c>
      <c r="AU88" s="14" t="s">
        <v>23453</v>
      </c>
      <c r="AV88" s="14" t="s">
        <v>24633</v>
      </c>
      <c r="AW88" s="14" t="s">
        <v>23455</v>
      </c>
      <c r="AX88" s="14" t="s">
        <v>23434</v>
      </c>
      <c r="AY88" s="14" t="s">
        <v>23451</v>
      </c>
      <c r="AZ88" s="14" t="s">
        <v>24634</v>
      </c>
      <c r="BA88" s="14" t="s">
        <v>22818</v>
      </c>
      <c r="BB88" s="80"/>
      <c r="BC88" s="14" t="s">
        <v>23438</v>
      </c>
      <c r="BD88" s="81">
        <v>45724.58509259259</v>
      </c>
      <c r="BE88" s="79">
        <f>IFERROR((COUNTIFS('Base de Dados'!FD:FD,"Sim",'Base de Dados'!A:A,A88,'Base de Dados'!B:B,B88)/(COUNTIFS('Base de Dados'!FD:FD,"Sim",'Base de Dados'!A:A,A88,'Base de Dados'!B:B,B88)+(COUNTIFS('Base de Dados'!FD:FD,"Não",'Base de Dados'!A:A,A88,'Base de Dados'!B:B,B88)))),"Não Aplica")</f>
        <v>1</v>
      </c>
      <c r="BF88" s="15"/>
      <c r="BG88" s="15"/>
      <c r="BH88" s="15"/>
      <c r="BI88" s="15"/>
      <c r="BJ88" s="80"/>
      <c r="BK88" s="80"/>
      <c r="BL88" s="80"/>
      <c r="BM88" s="80"/>
      <c r="BN88" s="15"/>
      <c r="BO88" s="15"/>
      <c r="BP88" s="15"/>
      <c r="BQ88" s="15"/>
      <c r="BR88" s="15"/>
      <c r="BS88" s="15"/>
      <c r="BT88" s="15"/>
      <c r="BU88" s="15"/>
      <c r="BV88" s="80"/>
      <c r="BW88" s="80" t="s">
        <v>24115</v>
      </c>
      <c r="BX88" s="83"/>
      <c r="BY88" s="82" t="s">
        <v>23446</v>
      </c>
      <c r="BZ88" s="15"/>
      <c r="CA88" s="15"/>
      <c r="CB88" s="15"/>
      <c r="CC88" s="15"/>
      <c r="CD88" s="80"/>
      <c r="CE88" s="80"/>
      <c r="CF88" s="80"/>
      <c r="CG88" s="80"/>
      <c r="CH88" s="15"/>
      <c r="CI88" s="15"/>
      <c r="CJ88" s="15"/>
      <c r="CK88" s="15"/>
      <c r="CL88" s="15"/>
      <c r="CM88" s="15"/>
      <c r="CN88" s="15"/>
      <c r="CO88" s="15"/>
      <c r="CP88" s="80"/>
      <c r="CQ88" s="80" t="s">
        <v>23459</v>
      </c>
      <c r="CR88" s="83"/>
      <c r="CS88" s="84"/>
    </row>
    <row r="89">
      <c r="A89" s="78" t="s">
        <v>217</v>
      </c>
      <c r="B89" s="78" t="s">
        <v>20220</v>
      </c>
      <c r="C89" s="79">
        <f>IFERROR((COUNTIFS('Base de Dados'!BT:BT,"Sim",'Base de Dados'!A:A,A89,'Base de Dados'!B:B,B89)/(COUNTIFS('Base de Dados'!BT:BT,"Sim",'Base de Dados'!A:A,A89,'Base de Dados'!B:B,B89)+(COUNTIFS('Base de Dados'!BT:BT,"Não",'Base de Dados'!A:A,A89,'Base de Dados'!B:B,B89)))),"Não Aplica")</f>
        <v>1</v>
      </c>
      <c r="D89" s="14" t="s">
        <v>23434</v>
      </c>
      <c r="E89" s="14" t="s">
        <v>24635</v>
      </c>
      <c r="F89" s="14" t="s">
        <v>23436</v>
      </c>
      <c r="G89" s="14" t="s">
        <v>23434</v>
      </c>
      <c r="H89" s="14" t="s">
        <v>24636</v>
      </c>
      <c r="I89" s="14" t="s">
        <v>22818</v>
      </c>
      <c r="J89" s="80"/>
      <c r="K89" s="14" t="s">
        <v>23438</v>
      </c>
      <c r="L89" s="81">
        <v>45687.39097222222</v>
      </c>
      <c r="M89" s="79">
        <f>IFERROR((COUNTIFS('Base de Dados'!DF:DF,"Sim",'Base de Dados'!A:A,A89,'Base de Dados'!B:B,B89)/(COUNTIFS('Base de Dados'!DF:DF,"Sim",'Base de Dados'!A:A,A89,'Base de Dados'!B:B,B89)+(COUNTIFS('Base de Dados'!DF:DF,"Não",'Base de Dados'!A:A,A89,'Base de Dados'!B:B,B89)))),"Não Aplica")</f>
        <v>1</v>
      </c>
      <c r="N89" s="14" t="s">
        <v>23434</v>
      </c>
      <c r="O89" s="14" t="s">
        <v>23439</v>
      </c>
      <c r="P89" s="14" t="s">
        <v>24637</v>
      </c>
      <c r="Q89" s="14" t="s">
        <v>23842</v>
      </c>
      <c r="R89" s="14" t="s">
        <v>23434</v>
      </c>
      <c r="S89" s="14" t="s">
        <v>24638</v>
      </c>
      <c r="T89" s="14" t="s">
        <v>23436</v>
      </c>
      <c r="U89" s="14" t="s">
        <v>23434</v>
      </c>
      <c r="V89" s="14" t="s">
        <v>24639</v>
      </c>
      <c r="W89" s="14" t="s">
        <v>22818</v>
      </c>
      <c r="X89" s="80"/>
      <c r="Y89" s="14" t="s">
        <v>23438</v>
      </c>
      <c r="Z89" s="81">
        <v>45691.61315972222</v>
      </c>
      <c r="AA89" s="79">
        <f>IFERROR((COUNTIFS('Base de Dados'!ED:ED,"Sim",'Base de Dados'!A:A,A89,'Base de Dados'!B:B,B89)/(COUNTIFS('Base de Dados'!ED:ED,"Sim",'Base de Dados'!A:A,A89,'Base de Dados'!B:B,B89)+(COUNTIFS('Base de Dados'!ED:ED,"Não",'Base de Dados'!A:A,A89,'Base de Dados'!B:B,B89)))),"Não Aplica")</f>
        <v>1</v>
      </c>
      <c r="AB89" s="14" t="s">
        <v>23434</v>
      </c>
      <c r="AC89" s="14" t="s">
        <v>24640</v>
      </c>
      <c r="AD89" s="14" t="s">
        <v>23842</v>
      </c>
      <c r="AE89" s="14" t="s">
        <v>23434</v>
      </c>
      <c r="AF89" s="14" t="s">
        <v>24641</v>
      </c>
      <c r="AG89" s="14" t="s">
        <v>22818</v>
      </c>
      <c r="AH89" s="80"/>
      <c r="AI89" s="14" t="s">
        <v>23438</v>
      </c>
      <c r="AJ89" s="81">
        <v>45692.54313657407</v>
      </c>
      <c r="AK89" s="82" t="s">
        <v>23446</v>
      </c>
      <c r="AL89" s="14" t="s">
        <v>23434</v>
      </c>
      <c r="AM89" s="14" t="s">
        <v>23448</v>
      </c>
      <c r="AN89" s="14" t="s">
        <v>24642</v>
      </c>
      <c r="AO89" s="14" t="s">
        <v>23848</v>
      </c>
      <c r="AP89" s="14" t="s">
        <v>23434</v>
      </c>
      <c r="AQ89" s="14" t="s">
        <v>23439</v>
      </c>
      <c r="AR89" s="14" t="s">
        <v>24643</v>
      </c>
      <c r="AS89" s="14" t="s">
        <v>23842</v>
      </c>
      <c r="AT89" s="14" t="s">
        <v>23434</v>
      </c>
      <c r="AU89" s="14" t="s">
        <v>23453</v>
      </c>
      <c r="AV89" s="14" t="s">
        <v>24644</v>
      </c>
      <c r="AW89" s="14" t="s">
        <v>23455</v>
      </c>
      <c r="AX89" s="14" t="s">
        <v>23434</v>
      </c>
      <c r="AY89" s="14" t="s">
        <v>23451</v>
      </c>
      <c r="AZ89" s="14" t="s">
        <v>24645</v>
      </c>
      <c r="BA89" s="14" t="s">
        <v>22818</v>
      </c>
      <c r="BB89" s="80"/>
      <c r="BC89" s="14" t="s">
        <v>23438</v>
      </c>
      <c r="BD89" s="81">
        <v>45721.649675925924</v>
      </c>
      <c r="BE89" s="79">
        <f>IFERROR((COUNTIFS('Base de Dados'!FD:FD,"Sim",'Base de Dados'!A:A,A89,'Base de Dados'!B:B,B89)/(COUNTIFS('Base de Dados'!FD:FD,"Sim",'Base de Dados'!A:A,A89,'Base de Dados'!B:B,B89)+(COUNTIFS('Base de Dados'!FD:FD,"Não",'Base de Dados'!A:A,A89,'Base de Dados'!B:B,B89)))),"Não Aplica")</f>
        <v>1</v>
      </c>
      <c r="BF89" s="14" t="s">
        <v>23434</v>
      </c>
      <c r="BG89" s="14" t="s">
        <v>23439</v>
      </c>
      <c r="BH89" s="14" t="s">
        <v>24646</v>
      </c>
      <c r="BI89" s="14" t="s">
        <v>23842</v>
      </c>
      <c r="BJ89" s="80"/>
      <c r="BK89" s="80"/>
      <c r="BL89" s="80"/>
      <c r="BM89" s="80"/>
      <c r="BN89" s="14" t="s">
        <v>23434</v>
      </c>
      <c r="BO89" s="14" t="s">
        <v>23453</v>
      </c>
      <c r="BP89" s="14" t="s">
        <v>24647</v>
      </c>
      <c r="BQ89" s="14" t="s">
        <v>23455</v>
      </c>
      <c r="BR89" s="14" t="s">
        <v>23434</v>
      </c>
      <c r="BS89" s="14" t="s">
        <v>23451</v>
      </c>
      <c r="BT89" s="14" t="s">
        <v>24648</v>
      </c>
      <c r="BU89" s="14" t="s">
        <v>22818</v>
      </c>
      <c r="BV89" s="80"/>
      <c r="BW89" s="14" t="s">
        <v>23438</v>
      </c>
      <c r="BX89" s="81">
        <v>45723.32021990741</v>
      </c>
      <c r="BY89" s="82" t="s">
        <v>23446</v>
      </c>
      <c r="BZ89" s="15"/>
      <c r="CA89" s="15"/>
      <c r="CB89" s="15"/>
      <c r="CC89" s="15"/>
      <c r="CD89" s="80"/>
      <c r="CE89" s="80"/>
      <c r="CF89" s="80"/>
      <c r="CG89" s="80"/>
      <c r="CH89" s="15"/>
      <c r="CI89" s="15"/>
      <c r="CJ89" s="15"/>
      <c r="CK89" s="15"/>
      <c r="CL89" s="15"/>
      <c r="CM89" s="15"/>
      <c r="CN89" s="15"/>
      <c r="CO89" s="15"/>
      <c r="CP89" s="80"/>
      <c r="CQ89" s="80" t="s">
        <v>23459</v>
      </c>
      <c r="CR89" s="83"/>
      <c r="CS89" s="84"/>
    </row>
    <row r="90">
      <c r="A90" s="78" t="s">
        <v>217</v>
      </c>
      <c r="B90" s="78" t="s">
        <v>12788</v>
      </c>
      <c r="C90" s="79">
        <f>IFERROR((COUNTIFS('Base de Dados'!BT:BT,"Sim",'Base de Dados'!A:A,A90,'Base de Dados'!B:B,B90)/(COUNTIFS('Base de Dados'!BT:BT,"Sim",'Base de Dados'!A:A,A90,'Base de Dados'!B:B,B90)+(COUNTIFS('Base de Dados'!BT:BT,"Não",'Base de Dados'!A:A,A90,'Base de Dados'!B:B,B90)))),"Não Aplica")</f>
        <v>1</v>
      </c>
      <c r="D90" s="14" t="s">
        <v>23434</v>
      </c>
      <c r="E90" s="14" t="s">
        <v>24649</v>
      </c>
      <c r="F90" s="14" t="s">
        <v>23436</v>
      </c>
      <c r="G90" s="14" t="s">
        <v>23434</v>
      </c>
      <c r="H90" s="14" t="s">
        <v>24650</v>
      </c>
      <c r="I90" s="14" t="s">
        <v>22818</v>
      </c>
      <c r="J90" s="80"/>
      <c r="K90" s="14" t="s">
        <v>23438</v>
      </c>
      <c r="L90" s="81">
        <v>45691.610289351855</v>
      </c>
      <c r="M90" s="79">
        <f>IFERROR((COUNTIFS('Base de Dados'!DF:DF,"Sim",'Base de Dados'!A:A,A90,'Base de Dados'!B:B,B90)/(COUNTIFS('Base de Dados'!DF:DF,"Sim",'Base de Dados'!A:A,A90,'Base de Dados'!B:B,B90)+(COUNTIFS('Base de Dados'!DF:DF,"Não",'Base de Dados'!A:A,A90,'Base de Dados'!B:B,B90)))),"Não Aplica")</f>
        <v>1</v>
      </c>
      <c r="N90" s="14" t="s">
        <v>23434</v>
      </c>
      <c r="O90" s="14" t="s">
        <v>23439</v>
      </c>
      <c r="P90" s="14" t="s">
        <v>24651</v>
      </c>
      <c r="Q90" s="14" t="s">
        <v>23842</v>
      </c>
      <c r="R90" s="14" t="s">
        <v>23434</v>
      </c>
      <c r="S90" s="14" t="s">
        <v>24652</v>
      </c>
      <c r="T90" s="14" t="s">
        <v>23436</v>
      </c>
      <c r="U90" s="14" t="s">
        <v>23434</v>
      </c>
      <c r="V90" s="14" t="s">
        <v>24653</v>
      </c>
      <c r="W90" s="14" t="s">
        <v>22818</v>
      </c>
      <c r="X90" s="80"/>
      <c r="Y90" s="14" t="s">
        <v>23438</v>
      </c>
      <c r="Z90" s="81">
        <v>45692.53585648148</v>
      </c>
      <c r="AA90" s="79">
        <f>IFERROR((COUNTIFS('Base de Dados'!ED:ED,"Sim",'Base de Dados'!A:A,A90,'Base de Dados'!B:B,B90)/(COUNTIFS('Base de Dados'!ED:ED,"Sim",'Base de Dados'!A:A,A90,'Base de Dados'!B:B,B90)+(COUNTIFS('Base de Dados'!ED:ED,"Não",'Base de Dados'!A:A,A90,'Base de Dados'!B:B,B90)))),"Não Aplica")</f>
        <v>1</v>
      </c>
      <c r="AB90" s="14" t="s">
        <v>23434</v>
      </c>
      <c r="AC90" s="14" t="s">
        <v>24654</v>
      </c>
      <c r="AD90" s="14" t="s">
        <v>23842</v>
      </c>
      <c r="AE90" s="14" t="s">
        <v>23434</v>
      </c>
      <c r="AF90" s="14" t="s">
        <v>24655</v>
      </c>
      <c r="AG90" s="14" t="s">
        <v>22818</v>
      </c>
      <c r="AH90" s="80"/>
      <c r="AI90" s="14" t="s">
        <v>23438</v>
      </c>
      <c r="AJ90" s="81">
        <v>45693.44892361111</v>
      </c>
      <c r="AK90" s="82" t="s">
        <v>23446</v>
      </c>
      <c r="AL90" s="14" t="s">
        <v>23434</v>
      </c>
      <c r="AM90" s="14" t="s">
        <v>23439</v>
      </c>
      <c r="AN90" s="14" t="s">
        <v>24656</v>
      </c>
      <c r="AO90" s="14" t="s">
        <v>23842</v>
      </c>
      <c r="AP90" s="14" t="s">
        <v>23434</v>
      </c>
      <c r="AQ90" s="14" t="s">
        <v>23448</v>
      </c>
      <c r="AR90" s="14" t="s">
        <v>24657</v>
      </c>
      <c r="AS90" s="14" t="s">
        <v>23848</v>
      </c>
      <c r="AT90" s="14" t="s">
        <v>23434</v>
      </c>
      <c r="AU90" s="14" t="s">
        <v>23451</v>
      </c>
      <c r="AV90" s="14" t="s">
        <v>24658</v>
      </c>
      <c r="AW90" s="14" t="s">
        <v>22818</v>
      </c>
      <c r="AX90" s="14" t="s">
        <v>23434</v>
      </c>
      <c r="AY90" s="14" t="s">
        <v>23453</v>
      </c>
      <c r="AZ90" s="14" t="s">
        <v>24659</v>
      </c>
      <c r="BA90" s="14" t="s">
        <v>23455</v>
      </c>
      <c r="BB90" s="80"/>
      <c r="BC90" s="14" t="s">
        <v>23438</v>
      </c>
      <c r="BD90" s="81">
        <v>45707.404398148145</v>
      </c>
      <c r="BE90" s="79">
        <f>IFERROR((COUNTIFS('Base de Dados'!FD:FD,"Sim",'Base de Dados'!A:A,A90,'Base de Dados'!B:B,B90)/(COUNTIFS('Base de Dados'!FD:FD,"Sim",'Base de Dados'!A:A,A90,'Base de Dados'!B:B,B90)+(COUNTIFS('Base de Dados'!FD:FD,"Não",'Base de Dados'!A:A,A90,'Base de Dados'!B:B,B90)))),"Não Aplica")</f>
        <v>1</v>
      </c>
      <c r="BF90" s="14" t="s">
        <v>23434</v>
      </c>
      <c r="BG90" s="14" t="s">
        <v>23439</v>
      </c>
      <c r="BH90" s="14" t="s">
        <v>24660</v>
      </c>
      <c r="BI90" s="14" t="s">
        <v>23842</v>
      </c>
      <c r="BJ90" s="80"/>
      <c r="BK90" s="80"/>
      <c r="BL90" s="80"/>
      <c r="BM90" s="80"/>
      <c r="BN90" s="14" t="s">
        <v>23434</v>
      </c>
      <c r="BO90" s="14" t="s">
        <v>23453</v>
      </c>
      <c r="BP90" s="14" t="s">
        <v>24661</v>
      </c>
      <c r="BQ90" s="14" t="s">
        <v>23455</v>
      </c>
      <c r="BR90" s="14" t="s">
        <v>23434</v>
      </c>
      <c r="BS90" s="14" t="s">
        <v>23451</v>
      </c>
      <c r="BT90" s="14" t="s">
        <v>24662</v>
      </c>
      <c r="BU90" s="14" t="s">
        <v>22818</v>
      </c>
      <c r="BV90" s="80"/>
      <c r="BW90" s="14" t="s">
        <v>23438</v>
      </c>
      <c r="BX90" s="81">
        <v>45713.34905092593</v>
      </c>
      <c r="BY90" s="82" t="s">
        <v>23446</v>
      </c>
      <c r="BZ90" s="15"/>
      <c r="CA90" s="15"/>
      <c r="CB90" s="15"/>
      <c r="CC90" s="15"/>
      <c r="CD90" s="80"/>
      <c r="CE90" s="80"/>
      <c r="CF90" s="80"/>
      <c r="CG90" s="80"/>
      <c r="CH90" s="15"/>
      <c r="CI90" s="15"/>
      <c r="CJ90" s="15"/>
      <c r="CK90" s="15"/>
      <c r="CL90" s="15"/>
      <c r="CM90" s="15"/>
      <c r="CN90" s="15"/>
      <c r="CO90" s="15"/>
      <c r="CP90" s="80"/>
      <c r="CQ90" s="80" t="s">
        <v>23459</v>
      </c>
      <c r="CR90" s="83"/>
      <c r="CS90" s="84"/>
    </row>
    <row r="91">
      <c r="A91" s="78" t="s">
        <v>217</v>
      </c>
      <c r="B91" s="78" t="s">
        <v>11077</v>
      </c>
      <c r="C91" s="79">
        <f>IFERROR((COUNTIFS('Base de Dados'!BT:BT,"Sim",'Base de Dados'!A:A,A91,'Base de Dados'!B:B,B91)/(COUNTIFS('Base de Dados'!BT:BT,"Sim",'Base de Dados'!A:A,A91,'Base de Dados'!B:B,B91)+(COUNTIFS('Base de Dados'!BT:BT,"Não",'Base de Dados'!A:A,A91,'Base de Dados'!B:B,B91)))),"Não Aplica")</f>
        <v>1</v>
      </c>
      <c r="D91" s="14" t="s">
        <v>23434</v>
      </c>
      <c r="E91" s="14" t="s">
        <v>24663</v>
      </c>
      <c r="F91" s="14" t="s">
        <v>23436</v>
      </c>
      <c r="G91" s="14" t="s">
        <v>23434</v>
      </c>
      <c r="H91" s="14" t="s">
        <v>24664</v>
      </c>
      <c r="I91" s="14" t="s">
        <v>22818</v>
      </c>
      <c r="J91" s="80"/>
      <c r="K91" s="14" t="s">
        <v>23438</v>
      </c>
      <c r="L91" s="81">
        <v>45685.31172453704</v>
      </c>
      <c r="M91" s="79">
        <f>IFERROR((COUNTIFS('Base de Dados'!DF:DF,"Sim",'Base de Dados'!A:A,A91,'Base de Dados'!B:B,B91)/(COUNTIFS('Base de Dados'!DF:DF,"Sim",'Base de Dados'!A:A,A91,'Base de Dados'!B:B,B91)+(COUNTIFS('Base de Dados'!DF:DF,"Não",'Base de Dados'!A:A,A91,'Base de Dados'!B:B,B91)))),"Não Aplica")</f>
        <v>1</v>
      </c>
      <c r="N91" s="14" t="s">
        <v>23434</v>
      </c>
      <c r="O91" s="14" t="s">
        <v>23439</v>
      </c>
      <c r="P91" s="14" t="s">
        <v>24665</v>
      </c>
      <c r="Q91" s="14" t="s">
        <v>23842</v>
      </c>
      <c r="R91" s="14" t="s">
        <v>23434</v>
      </c>
      <c r="S91" s="14" t="s">
        <v>24666</v>
      </c>
      <c r="T91" s="14" t="s">
        <v>23436</v>
      </c>
      <c r="U91" s="14" t="s">
        <v>23434</v>
      </c>
      <c r="V91" s="14" t="s">
        <v>24667</v>
      </c>
      <c r="W91" s="14" t="s">
        <v>22818</v>
      </c>
      <c r="X91" s="80"/>
      <c r="Y91" s="14" t="s">
        <v>23438</v>
      </c>
      <c r="Z91" s="81">
        <v>45691.61319444444</v>
      </c>
      <c r="AA91" s="79">
        <f>IFERROR((COUNTIFS('Base de Dados'!ED:ED,"Sim",'Base de Dados'!A:A,A91,'Base de Dados'!B:B,B91)/(COUNTIFS('Base de Dados'!ED:ED,"Sim",'Base de Dados'!A:A,A91,'Base de Dados'!B:B,B91)+(COUNTIFS('Base de Dados'!ED:ED,"Não",'Base de Dados'!A:A,A91,'Base de Dados'!B:B,B91)))),"Não Aplica")</f>
        <v>1</v>
      </c>
      <c r="AB91" s="14" t="s">
        <v>23434</v>
      </c>
      <c r="AC91" s="14" t="s">
        <v>24668</v>
      </c>
      <c r="AD91" s="14" t="s">
        <v>23842</v>
      </c>
      <c r="AE91" s="14" t="s">
        <v>23434</v>
      </c>
      <c r="AF91" s="14" t="s">
        <v>24669</v>
      </c>
      <c r="AG91" s="14" t="s">
        <v>22818</v>
      </c>
      <c r="AH91" s="80"/>
      <c r="AI91" s="14" t="s">
        <v>23438</v>
      </c>
      <c r="AJ91" s="81">
        <v>45692.54315972222</v>
      </c>
      <c r="AK91" s="82" t="s">
        <v>23446</v>
      </c>
      <c r="AL91" s="14" t="s">
        <v>23434</v>
      </c>
      <c r="AM91" s="14" t="s">
        <v>23439</v>
      </c>
      <c r="AN91" s="14" t="s">
        <v>24670</v>
      </c>
      <c r="AO91" s="14" t="s">
        <v>23842</v>
      </c>
      <c r="AP91" s="14" t="s">
        <v>23434</v>
      </c>
      <c r="AQ91" s="14" t="s">
        <v>23448</v>
      </c>
      <c r="AR91" s="14" t="s">
        <v>24671</v>
      </c>
      <c r="AS91" s="14" t="s">
        <v>23848</v>
      </c>
      <c r="AT91" s="14" t="s">
        <v>23434</v>
      </c>
      <c r="AU91" s="14" t="s">
        <v>23453</v>
      </c>
      <c r="AV91" s="14" t="s">
        <v>24672</v>
      </c>
      <c r="AW91" s="14" t="s">
        <v>23455</v>
      </c>
      <c r="AX91" s="14" t="s">
        <v>23434</v>
      </c>
      <c r="AY91" s="14" t="s">
        <v>23451</v>
      </c>
      <c r="AZ91" s="14" t="s">
        <v>24673</v>
      </c>
      <c r="BA91" s="14" t="s">
        <v>22818</v>
      </c>
      <c r="BB91" s="80"/>
      <c r="BC91" s="14" t="s">
        <v>23438</v>
      </c>
      <c r="BD91" s="81">
        <v>45722.48731481482</v>
      </c>
      <c r="BE91" s="79">
        <f>IFERROR((COUNTIFS('Base de Dados'!FD:FD,"Sim",'Base de Dados'!A:A,A91,'Base de Dados'!B:B,B91)/(COUNTIFS('Base de Dados'!FD:FD,"Sim",'Base de Dados'!A:A,A91,'Base de Dados'!B:B,B91)+(COUNTIFS('Base de Dados'!FD:FD,"Não",'Base de Dados'!A:A,A91,'Base de Dados'!B:B,B91)))),"Não Aplica")</f>
        <v>1</v>
      </c>
      <c r="BF91" s="14" t="s">
        <v>23434</v>
      </c>
      <c r="BG91" s="14" t="s">
        <v>23439</v>
      </c>
      <c r="BH91" s="14" t="s">
        <v>24674</v>
      </c>
      <c r="BI91" s="14" t="s">
        <v>23842</v>
      </c>
      <c r="BJ91" s="80"/>
      <c r="BK91" s="80"/>
      <c r="BL91" s="80"/>
      <c r="BM91" s="80"/>
      <c r="BN91" s="14" t="s">
        <v>23434</v>
      </c>
      <c r="BO91" s="14" t="s">
        <v>23453</v>
      </c>
      <c r="BP91" s="14" t="s">
        <v>24675</v>
      </c>
      <c r="BQ91" s="14" t="s">
        <v>23455</v>
      </c>
      <c r="BR91" s="14" t="s">
        <v>23434</v>
      </c>
      <c r="BS91" s="14" t="s">
        <v>23451</v>
      </c>
      <c r="BT91" s="14" t="s">
        <v>24676</v>
      </c>
      <c r="BU91" s="14" t="s">
        <v>22818</v>
      </c>
      <c r="BV91" s="80"/>
      <c r="BW91" s="14" t="s">
        <v>23438</v>
      </c>
      <c r="BX91" s="81">
        <v>45723.32900462963</v>
      </c>
      <c r="BY91" s="82" t="s">
        <v>23446</v>
      </c>
      <c r="BZ91" s="15"/>
      <c r="CA91" s="15"/>
      <c r="CB91" s="15"/>
      <c r="CC91" s="15"/>
      <c r="CD91" s="80"/>
      <c r="CE91" s="80"/>
      <c r="CF91" s="80"/>
      <c r="CG91" s="80"/>
      <c r="CH91" s="15"/>
      <c r="CI91" s="15"/>
      <c r="CJ91" s="15"/>
      <c r="CK91" s="15"/>
      <c r="CL91" s="15"/>
      <c r="CM91" s="15"/>
      <c r="CN91" s="15"/>
      <c r="CO91" s="15"/>
      <c r="CP91" s="80"/>
      <c r="CQ91" s="80" t="s">
        <v>23459</v>
      </c>
      <c r="CR91" s="83"/>
      <c r="CS91" s="84"/>
    </row>
    <row r="92">
      <c r="A92" s="78" t="s">
        <v>217</v>
      </c>
      <c r="B92" s="78" t="s">
        <v>11086</v>
      </c>
      <c r="C92" s="79">
        <f>IFERROR((COUNTIFS('Base de Dados'!BT:BT,"Sim",'Base de Dados'!A:A,A92,'Base de Dados'!B:B,B92)/(COUNTIFS('Base de Dados'!BT:BT,"Sim",'Base de Dados'!A:A,A92,'Base de Dados'!B:B,B92)+(COUNTIFS('Base de Dados'!BT:BT,"Não",'Base de Dados'!A:A,A92,'Base de Dados'!B:B,B92)))),"Não Aplica")</f>
        <v>1</v>
      </c>
      <c r="D92" s="14" t="s">
        <v>23434</v>
      </c>
      <c r="E92" s="14" t="s">
        <v>24677</v>
      </c>
      <c r="F92" s="14" t="s">
        <v>23436</v>
      </c>
      <c r="G92" s="14" t="s">
        <v>23434</v>
      </c>
      <c r="H92" s="14" t="s">
        <v>24678</v>
      </c>
      <c r="I92" s="14" t="s">
        <v>22818</v>
      </c>
      <c r="J92" s="80"/>
      <c r="K92" s="14" t="s">
        <v>23438</v>
      </c>
      <c r="L92" s="81">
        <v>45691.60934027778</v>
      </c>
      <c r="M92" s="79">
        <f>IFERROR((COUNTIFS('Base de Dados'!DF:DF,"Sim",'Base de Dados'!A:A,A92,'Base de Dados'!B:B,B92)/(COUNTIFS('Base de Dados'!DF:DF,"Sim",'Base de Dados'!A:A,A92,'Base de Dados'!B:B,B92)+(COUNTIFS('Base de Dados'!DF:DF,"Não",'Base de Dados'!A:A,A92,'Base de Dados'!B:B,B92)))),"Não Aplica")</f>
        <v>1</v>
      </c>
      <c r="N92" s="14" t="s">
        <v>23434</v>
      </c>
      <c r="O92" s="14" t="s">
        <v>23439</v>
      </c>
      <c r="P92" s="14" t="s">
        <v>24679</v>
      </c>
      <c r="Q92" s="14" t="s">
        <v>23842</v>
      </c>
      <c r="R92" s="14" t="s">
        <v>23434</v>
      </c>
      <c r="S92" s="14" t="s">
        <v>24680</v>
      </c>
      <c r="T92" s="14" t="s">
        <v>23436</v>
      </c>
      <c r="U92" s="14" t="s">
        <v>23434</v>
      </c>
      <c r="V92" s="14" t="s">
        <v>24681</v>
      </c>
      <c r="W92" s="14" t="s">
        <v>22818</v>
      </c>
      <c r="X92" s="80"/>
      <c r="Y92" s="14" t="s">
        <v>23438</v>
      </c>
      <c r="Z92" s="81">
        <v>45692.5359375</v>
      </c>
      <c r="AA92" s="79">
        <f>IFERROR((COUNTIFS('Base de Dados'!ED:ED,"Sim",'Base de Dados'!A:A,A92,'Base de Dados'!B:B,B92)/(COUNTIFS('Base de Dados'!ED:ED,"Sim",'Base de Dados'!A:A,A92,'Base de Dados'!B:B,B92)+(COUNTIFS('Base de Dados'!ED:ED,"Não",'Base de Dados'!A:A,A92,'Base de Dados'!B:B,B92)))),"Não Aplica")</f>
        <v>1</v>
      </c>
      <c r="AB92" s="14" t="s">
        <v>23434</v>
      </c>
      <c r="AC92" s="14" t="s">
        <v>24682</v>
      </c>
      <c r="AD92" s="14" t="s">
        <v>23842</v>
      </c>
      <c r="AE92" s="14" t="s">
        <v>23434</v>
      </c>
      <c r="AF92" s="14" t="s">
        <v>24683</v>
      </c>
      <c r="AG92" s="14" t="s">
        <v>22818</v>
      </c>
      <c r="AH92" s="80"/>
      <c r="AI92" s="14" t="s">
        <v>23438</v>
      </c>
      <c r="AJ92" s="81">
        <v>45693.448969907404</v>
      </c>
      <c r="AK92" s="82" t="s">
        <v>23446</v>
      </c>
      <c r="AL92" s="14" t="s">
        <v>23434</v>
      </c>
      <c r="AM92" s="14" t="s">
        <v>23439</v>
      </c>
      <c r="AN92" s="14" t="s">
        <v>24684</v>
      </c>
      <c r="AO92" s="14" t="s">
        <v>23842</v>
      </c>
      <c r="AP92" s="14" t="s">
        <v>23434</v>
      </c>
      <c r="AQ92" s="14" t="s">
        <v>23448</v>
      </c>
      <c r="AR92" s="14" t="s">
        <v>24685</v>
      </c>
      <c r="AS92" s="14" t="s">
        <v>23848</v>
      </c>
      <c r="AT92" s="14" t="s">
        <v>23434</v>
      </c>
      <c r="AU92" s="14" t="s">
        <v>23453</v>
      </c>
      <c r="AV92" s="14" t="s">
        <v>24686</v>
      </c>
      <c r="AW92" s="14" t="s">
        <v>23455</v>
      </c>
      <c r="AX92" s="14" t="s">
        <v>23434</v>
      </c>
      <c r="AY92" s="14" t="s">
        <v>23451</v>
      </c>
      <c r="AZ92" s="14" t="s">
        <v>24687</v>
      </c>
      <c r="BA92" s="14" t="s">
        <v>22818</v>
      </c>
      <c r="BB92" s="80"/>
      <c r="BC92" s="14" t="s">
        <v>23438</v>
      </c>
      <c r="BD92" s="81">
        <v>45721.778287037036</v>
      </c>
      <c r="BE92" s="79">
        <f>IFERROR((COUNTIFS('Base de Dados'!FD:FD,"Sim",'Base de Dados'!A:A,A92,'Base de Dados'!B:B,B92)/(COUNTIFS('Base de Dados'!FD:FD,"Sim",'Base de Dados'!A:A,A92,'Base de Dados'!B:B,B92)+(COUNTIFS('Base de Dados'!FD:FD,"Não",'Base de Dados'!A:A,A92,'Base de Dados'!B:B,B92)))),"Não Aplica")</f>
        <v>1</v>
      </c>
      <c r="BF92" s="14" t="s">
        <v>23434</v>
      </c>
      <c r="BG92" s="14" t="s">
        <v>23439</v>
      </c>
      <c r="BH92" s="14" t="s">
        <v>24688</v>
      </c>
      <c r="BI92" s="14" t="s">
        <v>23842</v>
      </c>
      <c r="BJ92" s="80"/>
      <c r="BK92" s="80"/>
      <c r="BL92" s="80"/>
      <c r="BM92" s="80"/>
      <c r="BN92" s="14" t="s">
        <v>23434</v>
      </c>
      <c r="BO92" s="14" t="s">
        <v>23453</v>
      </c>
      <c r="BP92" s="14" t="s">
        <v>24689</v>
      </c>
      <c r="BQ92" s="14" t="s">
        <v>23455</v>
      </c>
      <c r="BR92" s="14" t="s">
        <v>23434</v>
      </c>
      <c r="BS92" s="14" t="s">
        <v>23451</v>
      </c>
      <c r="BT92" s="14" t="s">
        <v>24690</v>
      </c>
      <c r="BU92" s="14" t="s">
        <v>22818</v>
      </c>
      <c r="BV92" s="80"/>
      <c r="BW92" s="14" t="s">
        <v>23438</v>
      </c>
      <c r="BX92" s="81">
        <v>45723.32761574074</v>
      </c>
      <c r="BY92" s="82" t="s">
        <v>23446</v>
      </c>
      <c r="BZ92" s="15"/>
      <c r="CA92" s="15"/>
      <c r="CB92" s="15"/>
      <c r="CC92" s="15"/>
      <c r="CD92" s="80"/>
      <c r="CE92" s="80"/>
      <c r="CF92" s="80"/>
      <c r="CG92" s="80"/>
      <c r="CH92" s="15"/>
      <c r="CI92" s="15"/>
      <c r="CJ92" s="15"/>
      <c r="CK92" s="15"/>
      <c r="CL92" s="15"/>
      <c r="CM92" s="15"/>
      <c r="CN92" s="15"/>
      <c r="CO92" s="15"/>
      <c r="CP92" s="80"/>
      <c r="CQ92" s="80" t="s">
        <v>23459</v>
      </c>
      <c r="CR92" s="83"/>
      <c r="CS92" s="84"/>
    </row>
    <row r="93">
      <c r="A93" s="78" t="s">
        <v>217</v>
      </c>
      <c r="B93" s="78" t="s">
        <v>2449</v>
      </c>
      <c r="C93" s="79">
        <f>IFERROR((COUNTIFS('Base de Dados'!BT:BT,"Sim",'Base de Dados'!A:A,A93,'Base de Dados'!B:B,B93)/(COUNTIFS('Base de Dados'!BT:BT,"Sim",'Base de Dados'!A:A,A93,'Base de Dados'!B:B,B93)+(COUNTIFS('Base de Dados'!BT:BT,"Não",'Base de Dados'!A:A,A93,'Base de Dados'!B:B,B93)))),"Não Aplica")</f>
        <v>1</v>
      </c>
      <c r="D93" s="14" t="s">
        <v>23434</v>
      </c>
      <c r="E93" s="14" t="s">
        <v>24691</v>
      </c>
      <c r="F93" s="14" t="s">
        <v>23436</v>
      </c>
      <c r="G93" s="14" t="s">
        <v>23434</v>
      </c>
      <c r="H93" s="14" t="s">
        <v>24692</v>
      </c>
      <c r="I93" s="14" t="s">
        <v>22818</v>
      </c>
      <c r="J93" s="80"/>
      <c r="K93" s="14" t="s">
        <v>23438</v>
      </c>
      <c r="L93" s="81">
        <v>45685.64890046296</v>
      </c>
      <c r="M93" s="79">
        <f>IFERROR((COUNTIFS('Base de Dados'!DF:DF,"Sim",'Base de Dados'!A:A,A93,'Base de Dados'!B:B,B93)/(COUNTIFS('Base de Dados'!DF:DF,"Sim",'Base de Dados'!A:A,A93,'Base de Dados'!B:B,B93)+(COUNTIFS('Base de Dados'!DF:DF,"Não",'Base de Dados'!A:A,A93,'Base de Dados'!B:B,B93)))),"Não Aplica")</f>
        <v>1</v>
      </c>
      <c r="N93" s="14" t="s">
        <v>23434</v>
      </c>
      <c r="O93" s="14" t="s">
        <v>23439</v>
      </c>
      <c r="P93" s="14" t="s">
        <v>24693</v>
      </c>
      <c r="Q93" s="14" t="s">
        <v>23842</v>
      </c>
      <c r="R93" s="14" t="s">
        <v>23434</v>
      </c>
      <c r="S93" s="14" t="s">
        <v>24694</v>
      </c>
      <c r="T93" s="14" t="s">
        <v>23436</v>
      </c>
      <c r="U93" s="14" t="s">
        <v>23434</v>
      </c>
      <c r="V93" s="14" t="s">
        <v>24695</v>
      </c>
      <c r="W93" s="14" t="s">
        <v>22818</v>
      </c>
      <c r="X93" s="80"/>
      <c r="Y93" s="14" t="s">
        <v>23438</v>
      </c>
      <c r="Z93" s="81">
        <v>45691.613078703704</v>
      </c>
      <c r="AA93" s="79">
        <f>IFERROR((COUNTIFS('Base de Dados'!ED:ED,"Sim",'Base de Dados'!A:A,A93,'Base de Dados'!B:B,B93)/(COUNTIFS('Base de Dados'!ED:ED,"Sim",'Base de Dados'!A:A,A93,'Base de Dados'!B:B,B93)+(COUNTIFS('Base de Dados'!ED:ED,"Não",'Base de Dados'!A:A,A93,'Base de Dados'!B:B,B93)))),"Não Aplica")</f>
        <v>1</v>
      </c>
      <c r="AB93" s="14" t="s">
        <v>23434</v>
      </c>
      <c r="AC93" s="14" t="s">
        <v>24696</v>
      </c>
      <c r="AD93" s="14" t="s">
        <v>23842</v>
      </c>
      <c r="AE93" s="14" t="s">
        <v>23434</v>
      </c>
      <c r="AF93" s="14" t="s">
        <v>24697</v>
      </c>
      <c r="AG93" s="14" t="s">
        <v>22818</v>
      </c>
      <c r="AH93" s="80"/>
      <c r="AI93" s="14" t="s">
        <v>23438</v>
      </c>
      <c r="AJ93" s="81">
        <v>45692.54318287037</v>
      </c>
      <c r="AK93" s="82" t="s">
        <v>23446</v>
      </c>
      <c r="AL93" s="14" t="s">
        <v>23434</v>
      </c>
      <c r="AM93" s="14" t="s">
        <v>23439</v>
      </c>
      <c r="AN93" s="14" t="s">
        <v>24698</v>
      </c>
      <c r="AO93" s="14" t="s">
        <v>23842</v>
      </c>
      <c r="AP93" s="14" t="s">
        <v>23434</v>
      </c>
      <c r="AQ93" s="14" t="s">
        <v>23448</v>
      </c>
      <c r="AR93" s="14" t="s">
        <v>24699</v>
      </c>
      <c r="AS93" s="14" t="s">
        <v>23848</v>
      </c>
      <c r="AT93" s="14" t="s">
        <v>23434</v>
      </c>
      <c r="AU93" s="14" t="s">
        <v>23453</v>
      </c>
      <c r="AV93" s="14" t="s">
        <v>24700</v>
      </c>
      <c r="AW93" s="14" t="s">
        <v>23455</v>
      </c>
      <c r="AX93" s="14" t="s">
        <v>23434</v>
      </c>
      <c r="AY93" s="14" t="s">
        <v>23451</v>
      </c>
      <c r="AZ93" s="14" t="s">
        <v>24701</v>
      </c>
      <c r="BA93" s="14" t="s">
        <v>22818</v>
      </c>
      <c r="BB93" s="80"/>
      <c r="BC93" s="14" t="s">
        <v>23438</v>
      </c>
      <c r="BD93" s="81">
        <v>45722.48736111111</v>
      </c>
      <c r="BE93" s="79">
        <f>IFERROR((COUNTIFS('Base de Dados'!FD:FD,"Sim",'Base de Dados'!A:A,A93,'Base de Dados'!B:B,B93)/(COUNTIFS('Base de Dados'!FD:FD,"Sim",'Base de Dados'!A:A,A93,'Base de Dados'!B:B,B93)+(COUNTIFS('Base de Dados'!FD:FD,"Não",'Base de Dados'!A:A,A93,'Base de Dados'!B:B,B93)))),"Não Aplica")</f>
        <v>1</v>
      </c>
      <c r="BF93" s="14" t="s">
        <v>23434</v>
      </c>
      <c r="BG93" s="14" t="s">
        <v>23439</v>
      </c>
      <c r="BH93" s="14" t="s">
        <v>24702</v>
      </c>
      <c r="BI93" s="14" t="s">
        <v>23842</v>
      </c>
      <c r="BJ93" s="80"/>
      <c r="BK93" s="80"/>
      <c r="BL93" s="80"/>
      <c r="BM93" s="80"/>
      <c r="BN93" s="14" t="s">
        <v>23434</v>
      </c>
      <c r="BO93" s="14" t="s">
        <v>23453</v>
      </c>
      <c r="BP93" s="14" t="s">
        <v>24703</v>
      </c>
      <c r="BQ93" s="14" t="s">
        <v>23455</v>
      </c>
      <c r="BR93" s="14" t="s">
        <v>23434</v>
      </c>
      <c r="BS93" s="14" t="s">
        <v>23451</v>
      </c>
      <c r="BT93" s="14" t="s">
        <v>24704</v>
      </c>
      <c r="BU93" s="14" t="s">
        <v>22818</v>
      </c>
      <c r="BV93" s="80"/>
      <c r="BW93" s="14" t="s">
        <v>23438</v>
      </c>
      <c r="BX93" s="81">
        <v>45723.327581018515</v>
      </c>
      <c r="BY93" s="82" t="s">
        <v>23446</v>
      </c>
      <c r="BZ93" s="15"/>
      <c r="CA93" s="15"/>
      <c r="CB93" s="15"/>
      <c r="CC93" s="15"/>
      <c r="CD93" s="80"/>
      <c r="CE93" s="80"/>
      <c r="CF93" s="80"/>
      <c r="CG93" s="80"/>
      <c r="CH93" s="15"/>
      <c r="CI93" s="15"/>
      <c r="CJ93" s="15"/>
      <c r="CK93" s="15"/>
      <c r="CL93" s="15"/>
      <c r="CM93" s="15"/>
      <c r="CN93" s="15"/>
      <c r="CO93" s="15"/>
      <c r="CP93" s="80"/>
      <c r="CQ93" s="80" t="s">
        <v>23459</v>
      </c>
      <c r="CR93" s="83"/>
      <c r="CS93" s="84"/>
    </row>
    <row r="94">
      <c r="A94" s="78" t="s">
        <v>217</v>
      </c>
      <c r="B94" s="78" t="s">
        <v>7566</v>
      </c>
      <c r="C94" s="79">
        <f>IFERROR((COUNTIFS('Base de Dados'!BT:BT,"Sim",'Base de Dados'!A:A,A94,'Base de Dados'!B:B,B94)/(COUNTIFS('Base de Dados'!BT:BT,"Sim",'Base de Dados'!A:A,A94,'Base de Dados'!B:B,B94)+(COUNTIFS('Base de Dados'!BT:BT,"Não",'Base de Dados'!A:A,A94,'Base de Dados'!B:B,B94)))),"Não Aplica")</f>
        <v>1</v>
      </c>
      <c r="D94" s="14" t="s">
        <v>23434</v>
      </c>
      <c r="E94" s="14" t="s">
        <v>24705</v>
      </c>
      <c r="F94" s="14" t="s">
        <v>23436</v>
      </c>
      <c r="G94" s="14" t="s">
        <v>23434</v>
      </c>
      <c r="H94" s="14" t="s">
        <v>24706</v>
      </c>
      <c r="I94" s="14" t="s">
        <v>22818</v>
      </c>
      <c r="J94" s="80"/>
      <c r="K94" s="14" t="s">
        <v>23438</v>
      </c>
      <c r="L94" s="81">
        <v>45685.64894675926</v>
      </c>
      <c r="M94" s="79">
        <f>IFERROR((COUNTIFS('Base de Dados'!DF:DF,"Sim",'Base de Dados'!A:A,A94,'Base de Dados'!B:B,B94)/(COUNTIFS('Base de Dados'!DF:DF,"Sim",'Base de Dados'!A:A,A94,'Base de Dados'!B:B,B94)+(COUNTIFS('Base de Dados'!DF:DF,"Não",'Base de Dados'!A:A,A94,'Base de Dados'!B:B,B94)))),"Não Aplica")</f>
        <v>1</v>
      </c>
      <c r="N94" s="14" t="s">
        <v>23434</v>
      </c>
      <c r="O94" s="14" t="s">
        <v>23439</v>
      </c>
      <c r="P94" s="14" t="s">
        <v>24707</v>
      </c>
      <c r="Q94" s="14" t="s">
        <v>23842</v>
      </c>
      <c r="R94" s="14" t="s">
        <v>23434</v>
      </c>
      <c r="S94" s="14" t="s">
        <v>24708</v>
      </c>
      <c r="T94" s="14" t="s">
        <v>23436</v>
      </c>
      <c r="U94" s="14" t="s">
        <v>23434</v>
      </c>
      <c r="V94" s="14" t="s">
        <v>24709</v>
      </c>
      <c r="W94" s="14" t="s">
        <v>22818</v>
      </c>
      <c r="X94" s="80"/>
      <c r="Y94" s="14" t="s">
        <v>23438</v>
      </c>
      <c r="Z94" s="81">
        <v>45691.61362268519</v>
      </c>
      <c r="AA94" s="79">
        <f>IFERROR((COUNTIFS('Base de Dados'!ED:ED,"Sim",'Base de Dados'!A:A,A94,'Base de Dados'!B:B,B94)/(COUNTIFS('Base de Dados'!ED:ED,"Sim",'Base de Dados'!A:A,A94,'Base de Dados'!B:B,B94)+(COUNTIFS('Base de Dados'!ED:ED,"Não",'Base de Dados'!A:A,A94,'Base de Dados'!B:B,B94)))),"Não Aplica")</f>
        <v>1</v>
      </c>
      <c r="AB94" s="14" t="s">
        <v>23434</v>
      </c>
      <c r="AC94" s="14" t="s">
        <v>24710</v>
      </c>
      <c r="AD94" s="14" t="s">
        <v>23842</v>
      </c>
      <c r="AE94" s="14" t="s">
        <v>23434</v>
      </c>
      <c r="AF94" s="14" t="s">
        <v>24711</v>
      </c>
      <c r="AG94" s="14" t="s">
        <v>22818</v>
      </c>
      <c r="AH94" s="80"/>
      <c r="AI94" s="14" t="s">
        <v>23438</v>
      </c>
      <c r="AJ94" s="81">
        <v>45692.54319444444</v>
      </c>
      <c r="AK94" s="82" t="s">
        <v>23446</v>
      </c>
      <c r="AL94" s="14" t="s">
        <v>23434</v>
      </c>
      <c r="AM94" s="14" t="s">
        <v>23439</v>
      </c>
      <c r="AN94" s="14" t="s">
        <v>24712</v>
      </c>
      <c r="AO94" s="14" t="s">
        <v>23842</v>
      </c>
      <c r="AP94" s="14" t="s">
        <v>23434</v>
      </c>
      <c r="AQ94" s="14" t="s">
        <v>23448</v>
      </c>
      <c r="AR94" s="14" t="s">
        <v>24713</v>
      </c>
      <c r="AS94" s="14" t="s">
        <v>23848</v>
      </c>
      <c r="AT94" s="14" t="s">
        <v>23434</v>
      </c>
      <c r="AU94" s="14" t="s">
        <v>23453</v>
      </c>
      <c r="AV94" s="14" t="s">
        <v>24714</v>
      </c>
      <c r="AW94" s="14" t="s">
        <v>23455</v>
      </c>
      <c r="AX94" s="14" t="s">
        <v>23434</v>
      </c>
      <c r="AY94" s="14" t="s">
        <v>23451</v>
      </c>
      <c r="AZ94" s="14" t="s">
        <v>24715</v>
      </c>
      <c r="BA94" s="14" t="s">
        <v>22818</v>
      </c>
      <c r="BB94" s="80"/>
      <c r="BC94" s="14" t="s">
        <v>23438</v>
      </c>
      <c r="BD94" s="81">
        <v>45721.64962962963</v>
      </c>
      <c r="BE94" s="79">
        <f>IFERROR((COUNTIFS('Base de Dados'!FD:FD,"Sim",'Base de Dados'!A:A,A94,'Base de Dados'!B:B,B94)/(COUNTIFS('Base de Dados'!FD:FD,"Sim",'Base de Dados'!A:A,A94,'Base de Dados'!B:B,B94)+(COUNTIFS('Base de Dados'!FD:FD,"Não",'Base de Dados'!A:A,A94,'Base de Dados'!B:B,B94)))),"Não Aplica")</f>
        <v>1</v>
      </c>
      <c r="BF94" s="14" t="s">
        <v>23434</v>
      </c>
      <c r="BG94" s="14" t="s">
        <v>23439</v>
      </c>
      <c r="BH94" s="14" t="s">
        <v>24716</v>
      </c>
      <c r="BI94" s="14" t="s">
        <v>23842</v>
      </c>
      <c r="BJ94" s="80"/>
      <c r="BK94" s="80"/>
      <c r="BL94" s="80"/>
      <c r="BM94" s="80"/>
      <c r="BN94" s="14" t="s">
        <v>23434</v>
      </c>
      <c r="BO94" s="14" t="s">
        <v>23453</v>
      </c>
      <c r="BP94" s="14" t="s">
        <v>24717</v>
      </c>
      <c r="BQ94" s="14" t="s">
        <v>23455</v>
      </c>
      <c r="BR94" s="14" t="s">
        <v>23434</v>
      </c>
      <c r="BS94" s="14" t="s">
        <v>23451</v>
      </c>
      <c r="BT94" s="14" t="s">
        <v>24718</v>
      </c>
      <c r="BU94" s="14" t="s">
        <v>22818</v>
      </c>
      <c r="BV94" s="80"/>
      <c r="BW94" s="14" t="s">
        <v>23438</v>
      </c>
      <c r="BX94" s="81">
        <v>45723.32765046296</v>
      </c>
      <c r="BY94" s="82" t="s">
        <v>23446</v>
      </c>
      <c r="BZ94" s="15"/>
      <c r="CA94" s="15"/>
      <c r="CB94" s="15"/>
      <c r="CC94" s="15"/>
      <c r="CD94" s="80"/>
      <c r="CE94" s="80"/>
      <c r="CF94" s="80"/>
      <c r="CG94" s="80"/>
      <c r="CH94" s="15"/>
      <c r="CI94" s="15"/>
      <c r="CJ94" s="15"/>
      <c r="CK94" s="15"/>
      <c r="CL94" s="15"/>
      <c r="CM94" s="15"/>
      <c r="CN94" s="15"/>
      <c r="CO94" s="15"/>
      <c r="CP94" s="80"/>
      <c r="CQ94" s="80" t="s">
        <v>23459</v>
      </c>
      <c r="CR94" s="83"/>
      <c r="CS94" s="84"/>
    </row>
    <row r="95">
      <c r="A95" s="78" t="s">
        <v>217</v>
      </c>
      <c r="B95" s="78" t="s">
        <v>11424</v>
      </c>
      <c r="C95" s="79">
        <f>IFERROR((COUNTIFS('Base de Dados'!BT:BT,"Sim",'Base de Dados'!A:A,A95,'Base de Dados'!B:B,B95)/(COUNTIFS('Base de Dados'!BT:BT,"Sim",'Base de Dados'!A:A,A95,'Base de Dados'!B:B,B95)+(COUNTIFS('Base de Dados'!BT:BT,"Não",'Base de Dados'!A:A,A95,'Base de Dados'!B:B,B95)))),"Não Aplica")</f>
        <v>1</v>
      </c>
      <c r="D95" s="14" t="s">
        <v>23434</v>
      </c>
      <c r="E95" s="14" t="s">
        <v>24719</v>
      </c>
      <c r="F95" s="14" t="s">
        <v>23436</v>
      </c>
      <c r="G95" s="14" t="s">
        <v>23434</v>
      </c>
      <c r="H95" s="14" t="s">
        <v>24720</v>
      </c>
      <c r="I95" s="14" t="s">
        <v>22818</v>
      </c>
      <c r="J95" s="80"/>
      <c r="K95" s="14" t="s">
        <v>23438</v>
      </c>
      <c r="L95" s="81">
        <v>45687.39121527778</v>
      </c>
      <c r="M95" s="79">
        <f>IFERROR((COUNTIFS('Base de Dados'!DF:DF,"Sim",'Base de Dados'!A:A,A95,'Base de Dados'!B:B,B95)/(COUNTIFS('Base de Dados'!DF:DF,"Sim",'Base de Dados'!A:A,A95,'Base de Dados'!B:B,B95)+(COUNTIFS('Base de Dados'!DF:DF,"Não",'Base de Dados'!A:A,A95,'Base de Dados'!B:B,B95)))),"Não Aplica")</f>
        <v>1</v>
      </c>
      <c r="N95" s="14" t="s">
        <v>23434</v>
      </c>
      <c r="O95" s="14" t="s">
        <v>23602</v>
      </c>
      <c r="P95" s="14" t="s">
        <v>24721</v>
      </c>
      <c r="Q95" s="14" t="s">
        <v>23436</v>
      </c>
      <c r="R95" s="14" t="s">
        <v>23434</v>
      </c>
      <c r="S95" s="14" t="s">
        <v>24722</v>
      </c>
      <c r="T95" s="14" t="s">
        <v>23842</v>
      </c>
      <c r="U95" s="14" t="s">
        <v>23434</v>
      </c>
      <c r="V95" s="14" t="s">
        <v>24723</v>
      </c>
      <c r="W95" s="14" t="s">
        <v>22818</v>
      </c>
      <c r="X95" s="80"/>
      <c r="Y95" s="14" t="s">
        <v>23438</v>
      </c>
      <c r="Z95" s="81">
        <v>45691.61326388889</v>
      </c>
      <c r="AA95" s="79">
        <f>IFERROR((COUNTIFS('Base de Dados'!ED:ED,"Sim",'Base de Dados'!A:A,A95,'Base de Dados'!B:B,B95)/(COUNTIFS('Base de Dados'!ED:ED,"Sim",'Base de Dados'!A:A,A95,'Base de Dados'!B:B,B95)+(COUNTIFS('Base de Dados'!ED:ED,"Não",'Base de Dados'!A:A,A95,'Base de Dados'!B:B,B95)))),"Não Aplica")</f>
        <v>1</v>
      </c>
      <c r="AB95" s="14" t="s">
        <v>23434</v>
      </c>
      <c r="AC95" s="14" t="s">
        <v>24724</v>
      </c>
      <c r="AD95" s="14" t="s">
        <v>23842</v>
      </c>
      <c r="AE95" s="14" t="s">
        <v>23434</v>
      </c>
      <c r="AF95" s="14" t="s">
        <v>24725</v>
      </c>
      <c r="AG95" s="14" t="s">
        <v>22818</v>
      </c>
      <c r="AH95" s="80"/>
      <c r="AI95" s="14" t="s">
        <v>23438</v>
      </c>
      <c r="AJ95" s="81">
        <v>45692.543229166666</v>
      </c>
      <c r="AK95" s="82" t="s">
        <v>23446</v>
      </c>
      <c r="AL95" s="14" t="s">
        <v>23434</v>
      </c>
      <c r="AM95" s="14" t="s">
        <v>23448</v>
      </c>
      <c r="AN95" s="14" t="s">
        <v>24726</v>
      </c>
      <c r="AO95" s="14" t="s">
        <v>23848</v>
      </c>
      <c r="AP95" s="14" t="s">
        <v>23434</v>
      </c>
      <c r="AQ95" s="14" t="s">
        <v>23439</v>
      </c>
      <c r="AR95" s="14" t="s">
        <v>24727</v>
      </c>
      <c r="AS95" s="14" t="s">
        <v>23842</v>
      </c>
      <c r="AT95" s="14" t="s">
        <v>23434</v>
      </c>
      <c r="AU95" s="14" t="s">
        <v>23453</v>
      </c>
      <c r="AV95" s="14" t="s">
        <v>24728</v>
      </c>
      <c r="AW95" s="14" t="s">
        <v>23455</v>
      </c>
      <c r="AX95" s="14" t="s">
        <v>23434</v>
      </c>
      <c r="AY95" s="14" t="s">
        <v>23451</v>
      </c>
      <c r="AZ95" s="14" t="s">
        <v>24729</v>
      </c>
      <c r="BA95" s="14" t="s">
        <v>22818</v>
      </c>
      <c r="BB95" s="80"/>
      <c r="BC95" s="14" t="s">
        <v>23438</v>
      </c>
      <c r="BD95" s="81">
        <v>45721.31880787037</v>
      </c>
      <c r="BE95" s="79">
        <f>IFERROR((COUNTIFS('Base de Dados'!FD:FD,"Sim",'Base de Dados'!A:A,A95,'Base de Dados'!B:B,B95)/(COUNTIFS('Base de Dados'!FD:FD,"Sim",'Base de Dados'!A:A,A95,'Base de Dados'!B:B,B95)+(COUNTIFS('Base de Dados'!FD:FD,"Não",'Base de Dados'!A:A,A95,'Base de Dados'!B:B,B95)))),"Não Aplica")</f>
        <v>1</v>
      </c>
      <c r="BF95" s="14" t="s">
        <v>23434</v>
      </c>
      <c r="BG95" s="14" t="s">
        <v>23439</v>
      </c>
      <c r="BH95" s="14" t="s">
        <v>24730</v>
      </c>
      <c r="BI95" s="14" t="s">
        <v>23842</v>
      </c>
      <c r="BJ95" s="80"/>
      <c r="BK95" s="80"/>
      <c r="BL95" s="80"/>
      <c r="BM95" s="80"/>
      <c r="BN95" s="14" t="s">
        <v>23434</v>
      </c>
      <c r="BO95" s="14" t="s">
        <v>23453</v>
      </c>
      <c r="BP95" s="14" t="s">
        <v>24731</v>
      </c>
      <c r="BQ95" s="14" t="s">
        <v>23455</v>
      </c>
      <c r="BR95" s="14" t="s">
        <v>23434</v>
      </c>
      <c r="BS95" s="14" t="s">
        <v>23451</v>
      </c>
      <c r="BT95" s="14" t="s">
        <v>24732</v>
      </c>
      <c r="BU95" s="14" t="s">
        <v>22818</v>
      </c>
      <c r="BV95" s="80"/>
      <c r="BW95" s="14" t="s">
        <v>23438</v>
      </c>
      <c r="BX95" s="81">
        <v>45723.327685185184</v>
      </c>
      <c r="BY95" s="82" t="s">
        <v>23446</v>
      </c>
      <c r="BZ95" s="15"/>
      <c r="CA95" s="15"/>
      <c r="CB95" s="15"/>
      <c r="CC95" s="15"/>
      <c r="CD95" s="80"/>
      <c r="CE95" s="80"/>
      <c r="CF95" s="80"/>
      <c r="CG95" s="80"/>
      <c r="CH95" s="15"/>
      <c r="CI95" s="15"/>
      <c r="CJ95" s="15"/>
      <c r="CK95" s="15"/>
      <c r="CL95" s="15"/>
      <c r="CM95" s="15"/>
      <c r="CN95" s="15"/>
      <c r="CO95" s="15"/>
      <c r="CP95" s="80"/>
      <c r="CQ95" s="80" t="s">
        <v>23459</v>
      </c>
      <c r="CR95" s="83"/>
      <c r="CS95" s="84"/>
    </row>
    <row r="96">
      <c r="A96" s="78" t="s">
        <v>217</v>
      </c>
      <c r="B96" s="78" t="s">
        <v>11439</v>
      </c>
      <c r="C96" s="79">
        <f>IFERROR((COUNTIFS('Base de Dados'!BT:BT,"Sim",'Base de Dados'!A:A,A96,'Base de Dados'!B:B,B96)/(COUNTIFS('Base de Dados'!BT:BT,"Sim",'Base de Dados'!A:A,A96,'Base de Dados'!B:B,B96)+(COUNTIFS('Base de Dados'!BT:BT,"Não",'Base de Dados'!A:A,A96,'Base de Dados'!B:B,B96)))),"Não Aplica")</f>
        <v>1</v>
      </c>
      <c r="D96" s="14" t="s">
        <v>23434</v>
      </c>
      <c r="E96" s="14" t="s">
        <v>24733</v>
      </c>
      <c r="F96" s="14" t="s">
        <v>23436</v>
      </c>
      <c r="G96" s="14" t="s">
        <v>23434</v>
      </c>
      <c r="H96" s="14" t="s">
        <v>24734</v>
      </c>
      <c r="I96" s="14" t="s">
        <v>22818</v>
      </c>
      <c r="J96" s="80"/>
      <c r="K96" s="14" t="s">
        <v>23438</v>
      </c>
      <c r="L96" s="81">
        <v>45687.39125</v>
      </c>
      <c r="M96" s="79">
        <f>IFERROR((COUNTIFS('Base de Dados'!DF:DF,"Sim",'Base de Dados'!A:A,A96,'Base de Dados'!B:B,B96)/(COUNTIFS('Base de Dados'!DF:DF,"Sim",'Base de Dados'!A:A,A96,'Base de Dados'!B:B,B96)+(COUNTIFS('Base de Dados'!DF:DF,"Não",'Base de Dados'!A:A,A96,'Base de Dados'!B:B,B96)))),"Não Aplica")</f>
        <v>1</v>
      </c>
      <c r="N96" s="14" t="s">
        <v>23434</v>
      </c>
      <c r="O96" s="14" t="s">
        <v>23439</v>
      </c>
      <c r="P96" s="14" t="s">
        <v>24735</v>
      </c>
      <c r="Q96" s="14" t="s">
        <v>23842</v>
      </c>
      <c r="R96" s="14" t="s">
        <v>23434</v>
      </c>
      <c r="S96" s="14" t="s">
        <v>24736</v>
      </c>
      <c r="T96" s="14" t="s">
        <v>23436</v>
      </c>
      <c r="U96" s="14" t="s">
        <v>23434</v>
      </c>
      <c r="V96" s="14" t="s">
        <v>24737</v>
      </c>
      <c r="W96" s="14" t="s">
        <v>22818</v>
      </c>
      <c r="X96" s="80"/>
      <c r="Y96" s="14" t="s">
        <v>23438</v>
      </c>
      <c r="Z96" s="81">
        <v>45691.613229166665</v>
      </c>
      <c r="AA96" s="79">
        <f>IFERROR((COUNTIFS('Base de Dados'!ED:ED,"Sim",'Base de Dados'!A:A,A96,'Base de Dados'!B:B,B96)/(COUNTIFS('Base de Dados'!ED:ED,"Sim",'Base de Dados'!A:A,A96,'Base de Dados'!B:B,B96)+(COUNTIFS('Base de Dados'!ED:ED,"Não",'Base de Dados'!A:A,A96,'Base de Dados'!B:B,B96)))),"Não Aplica")</f>
        <v>1</v>
      </c>
      <c r="AB96" s="14" t="s">
        <v>23434</v>
      </c>
      <c r="AC96" s="14" t="s">
        <v>24738</v>
      </c>
      <c r="AD96" s="14" t="s">
        <v>23842</v>
      </c>
      <c r="AE96" s="14" t="s">
        <v>23434</v>
      </c>
      <c r="AF96" s="14" t="s">
        <v>24739</v>
      </c>
      <c r="AG96" s="14" t="s">
        <v>22818</v>
      </c>
      <c r="AH96" s="80"/>
      <c r="AI96" s="14" t="s">
        <v>23438</v>
      </c>
      <c r="AJ96" s="81">
        <v>45692.54325231481</v>
      </c>
      <c r="AK96" s="82" t="s">
        <v>23446</v>
      </c>
      <c r="AL96" s="14" t="s">
        <v>23434</v>
      </c>
      <c r="AM96" s="14" t="s">
        <v>23448</v>
      </c>
      <c r="AN96" s="14" t="s">
        <v>24740</v>
      </c>
      <c r="AO96" s="14" t="s">
        <v>23848</v>
      </c>
      <c r="AP96" s="14" t="s">
        <v>23434</v>
      </c>
      <c r="AQ96" s="14" t="s">
        <v>23439</v>
      </c>
      <c r="AR96" s="14" t="s">
        <v>24741</v>
      </c>
      <c r="AS96" s="14" t="s">
        <v>23842</v>
      </c>
      <c r="AT96" s="14" t="s">
        <v>23434</v>
      </c>
      <c r="AU96" s="14" t="s">
        <v>23453</v>
      </c>
      <c r="AV96" s="14" t="s">
        <v>24742</v>
      </c>
      <c r="AW96" s="14" t="s">
        <v>23455</v>
      </c>
      <c r="AX96" s="14" t="s">
        <v>23434</v>
      </c>
      <c r="AY96" s="14" t="s">
        <v>23451</v>
      </c>
      <c r="AZ96" s="14" t="s">
        <v>24743</v>
      </c>
      <c r="BA96" s="14" t="s">
        <v>22818</v>
      </c>
      <c r="BB96" s="80"/>
      <c r="BC96" s="14" t="s">
        <v>23438</v>
      </c>
      <c r="BD96" s="81">
        <v>45721.31886574074</v>
      </c>
      <c r="BE96" s="79">
        <f>IFERROR((COUNTIFS('Base de Dados'!FD:FD,"Sim",'Base de Dados'!A:A,A96,'Base de Dados'!B:B,B96)/(COUNTIFS('Base de Dados'!FD:FD,"Sim",'Base de Dados'!A:A,A96,'Base de Dados'!B:B,B96)+(COUNTIFS('Base de Dados'!FD:FD,"Não",'Base de Dados'!A:A,A96,'Base de Dados'!B:B,B96)))),"Não Aplica")</f>
        <v>1</v>
      </c>
      <c r="BF96" s="14" t="s">
        <v>23434</v>
      </c>
      <c r="BG96" s="14" t="s">
        <v>23439</v>
      </c>
      <c r="BH96" s="14" t="s">
        <v>24744</v>
      </c>
      <c r="BI96" s="14" t="s">
        <v>23842</v>
      </c>
      <c r="BJ96" s="80"/>
      <c r="BK96" s="80"/>
      <c r="BL96" s="80"/>
      <c r="BM96" s="80"/>
      <c r="BN96" s="14" t="s">
        <v>23434</v>
      </c>
      <c r="BO96" s="14" t="s">
        <v>23453</v>
      </c>
      <c r="BP96" s="14" t="s">
        <v>24745</v>
      </c>
      <c r="BQ96" s="14" t="s">
        <v>23455</v>
      </c>
      <c r="BR96" s="14" t="s">
        <v>23434</v>
      </c>
      <c r="BS96" s="14" t="s">
        <v>23451</v>
      </c>
      <c r="BT96" s="14" t="s">
        <v>24746</v>
      </c>
      <c r="BU96" s="14" t="s">
        <v>22818</v>
      </c>
      <c r="BV96" s="80"/>
      <c r="BW96" s="14" t="s">
        <v>23438</v>
      </c>
      <c r="BX96" s="81">
        <v>45723.32776620371</v>
      </c>
      <c r="BY96" s="82" t="s">
        <v>23446</v>
      </c>
      <c r="BZ96" s="15"/>
      <c r="CA96" s="15"/>
      <c r="CB96" s="15"/>
      <c r="CC96" s="15"/>
      <c r="CD96" s="80"/>
      <c r="CE96" s="80"/>
      <c r="CF96" s="80"/>
      <c r="CG96" s="80"/>
      <c r="CH96" s="15"/>
      <c r="CI96" s="15"/>
      <c r="CJ96" s="15"/>
      <c r="CK96" s="15"/>
      <c r="CL96" s="15"/>
      <c r="CM96" s="15"/>
      <c r="CN96" s="15"/>
      <c r="CO96" s="15"/>
      <c r="CP96" s="80"/>
      <c r="CQ96" s="80" t="s">
        <v>23459</v>
      </c>
      <c r="CR96" s="83"/>
      <c r="CS96" s="84"/>
    </row>
    <row r="97">
      <c r="A97" s="78" t="s">
        <v>217</v>
      </c>
      <c r="B97" s="78" t="s">
        <v>11468</v>
      </c>
      <c r="C97" s="79">
        <f>IFERROR((COUNTIFS('Base de Dados'!BT:BT,"Sim",'Base de Dados'!A:A,A97,'Base de Dados'!B:B,B97)/(COUNTIFS('Base de Dados'!BT:BT,"Sim",'Base de Dados'!A:A,A97,'Base de Dados'!B:B,B97)+(COUNTIFS('Base de Dados'!BT:BT,"Não",'Base de Dados'!A:A,A97,'Base de Dados'!B:B,B97)))),"Não Aplica")</f>
        <v>1</v>
      </c>
      <c r="D97" s="14" t="s">
        <v>23434</v>
      </c>
      <c r="E97" s="14" t="s">
        <v>24747</v>
      </c>
      <c r="F97" s="14" t="s">
        <v>23436</v>
      </c>
      <c r="G97" s="14" t="s">
        <v>23434</v>
      </c>
      <c r="H97" s="14" t="s">
        <v>24748</v>
      </c>
      <c r="I97" s="14" t="s">
        <v>22818</v>
      </c>
      <c r="J97" s="80"/>
      <c r="K97" s="14" t="s">
        <v>23438</v>
      </c>
      <c r="L97" s="81">
        <v>45687.39109953704</v>
      </c>
      <c r="M97" s="79">
        <f>IFERROR((COUNTIFS('Base de Dados'!DF:DF,"Sim",'Base de Dados'!A:A,A97,'Base de Dados'!B:B,B97)/(COUNTIFS('Base de Dados'!DF:DF,"Sim",'Base de Dados'!A:A,A97,'Base de Dados'!B:B,B97)+(COUNTIFS('Base de Dados'!DF:DF,"Não",'Base de Dados'!A:A,A97,'Base de Dados'!B:B,B97)))),"Não Aplica")</f>
        <v>1</v>
      </c>
      <c r="N97" s="14" t="s">
        <v>23434</v>
      </c>
      <c r="O97" s="14" t="s">
        <v>23439</v>
      </c>
      <c r="P97" s="14" t="s">
        <v>24749</v>
      </c>
      <c r="Q97" s="14" t="s">
        <v>23842</v>
      </c>
      <c r="R97" s="14" t="s">
        <v>23434</v>
      </c>
      <c r="S97" s="14" t="s">
        <v>24750</v>
      </c>
      <c r="T97" s="14" t="s">
        <v>23436</v>
      </c>
      <c r="U97" s="14" t="s">
        <v>23434</v>
      </c>
      <c r="V97" s="14" t="s">
        <v>24751</v>
      </c>
      <c r="W97" s="14" t="s">
        <v>22818</v>
      </c>
      <c r="X97" s="80"/>
      <c r="Y97" s="14" t="s">
        <v>23438</v>
      </c>
      <c r="Z97" s="81">
        <v>45691.613287037035</v>
      </c>
      <c r="AA97" s="79">
        <f>IFERROR((COUNTIFS('Base de Dados'!ED:ED,"Sim",'Base de Dados'!A:A,A97,'Base de Dados'!B:B,B97)/(COUNTIFS('Base de Dados'!ED:ED,"Sim",'Base de Dados'!A:A,A97,'Base de Dados'!B:B,B97)+(COUNTIFS('Base de Dados'!ED:ED,"Não",'Base de Dados'!A:A,A97,'Base de Dados'!B:B,B97)))),"Não Aplica")</f>
        <v>1</v>
      </c>
      <c r="AB97" s="14" t="s">
        <v>23434</v>
      </c>
      <c r="AC97" s="14" t="s">
        <v>24752</v>
      </c>
      <c r="AD97" s="14" t="s">
        <v>23842</v>
      </c>
      <c r="AE97" s="14" t="s">
        <v>23434</v>
      </c>
      <c r="AF97" s="14" t="s">
        <v>24753</v>
      </c>
      <c r="AG97" s="14" t="s">
        <v>22818</v>
      </c>
      <c r="AH97" s="80"/>
      <c r="AI97" s="14" t="s">
        <v>23438</v>
      </c>
      <c r="AJ97" s="81">
        <v>45692.54326388889</v>
      </c>
      <c r="AK97" s="82" t="s">
        <v>23446</v>
      </c>
      <c r="AL97" s="14" t="s">
        <v>23434</v>
      </c>
      <c r="AM97" s="14" t="s">
        <v>23448</v>
      </c>
      <c r="AN97" s="14" t="s">
        <v>24754</v>
      </c>
      <c r="AO97" s="14" t="s">
        <v>23848</v>
      </c>
      <c r="AP97" s="14" t="s">
        <v>23434</v>
      </c>
      <c r="AQ97" s="14" t="s">
        <v>23439</v>
      </c>
      <c r="AR97" s="14" t="s">
        <v>24755</v>
      </c>
      <c r="AS97" s="14" t="s">
        <v>23842</v>
      </c>
      <c r="AT97" s="14" t="s">
        <v>23434</v>
      </c>
      <c r="AU97" s="14" t="s">
        <v>23453</v>
      </c>
      <c r="AV97" s="14" t="s">
        <v>24756</v>
      </c>
      <c r="AW97" s="14" t="s">
        <v>23455</v>
      </c>
      <c r="AX97" s="14" t="s">
        <v>23434</v>
      </c>
      <c r="AY97" s="14" t="s">
        <v>23451</v>
      </c>
      <c r="AZ97" s="14" t="s">
        <v>24757</v>
      </c>
      <c r="BA97" s="14" t="s">
        <v>22818</v>
      </c>
      <c r="BB97" s="80"/>
      <c r="BC97" s="14" t="s">
        <v>23438</v>
      </c>
      <c r="BD97" s="81">
        <v>45721.31890046296</v>
      </c>
      <c r="BE97" s="79">
        <f>IFERROR((COUNTIFS('Base de Dados'!FD:FD,"Sim",'Base de Dados'!A:A,A97,'Base de Dados'!B:B,B97)/(COUNTIFS('Base de Dados'!FD:FD,"Sim",'Base de Dados'!A:A,A97,'Base de Dados'!B:B,B97)+(COUNTIFS('Base de Dados'!FD:FD,"Não",'Base de Dados'!A:A,A97,'Base de Dados'!B:B,B97)))),"Não Aplica")</f>
        <v>1</v>
      </c>
      <c r="BF97" s="14" t="s">
        <v>23434</v>
      </c>
      <c r="BG97" s="14" t="s">
        <v>23439</v>
      </c>
      <c r="BH97" s="14" t="s">
        <v>24758</v>
      </c>
      <c r="BI97" s="14" t="s">
        <v>23842</v>
      </c>
      <c r="BJ97" s="80"/>
      <c r="BK97" s="80"/>
      <c r="BL97" s="80"/>
      <c r="BM97" s="80"/>
      <c r="BN97" s="14" t="s">
        <v>23434</v>
      </c>
      <c r="BO97" s="14" t="s">
        <v>23453</v>
      </c>
      <c r="BP97" s="14" t="s">
        <v>24759</v>
      </c>
      <c r="BQ97" s="14" t="s">
        <v>23455</v>
      </c>
      <c r="BR97" s="14" t="s">
        <v>23434</v>
      </c>
      <c r="BS97" s="14" t="s">
        <v>23451</v>
      </c>
      <c r="BT97" s="14" t="s">
        <v>24760</v>
      </c>
      <c r="BU97" s="14" t="s">
        <v>22818</v>
      </c>
      <c r="BV97" s="80"/>
      <c r="BW97" s="14" t="s">
        <v>23438</v>
      </c>
      <c r="BX97" s="81">
        <v>45723.327731481484</v>
      </c>
      <c r="BY97" s="82" t="s">
        <v>23446</v>
      </c>
      <c r="BZ97" s="15"/>
      <c r="CA97" s="15"/>
      <c r="CB97" s="15"/>
      <c r="CC97" s="15"/>
      <c r="CD97" s="80"/>
      <c r="CE97" s="80"/>
      <c r="CF97" s="80"/>
      <c r="CG97" s="80"/>
      <c r="CH97" s="15"/>
      <c r="CI97" s="15"/>
      <c r="CJ97" s="15"/>
      <c r="CK97" s="15"/>
      <c r="CL97" s="15"/>
      <c r="CM97" s="15"/>
      <c r="CN97" s="15"/>
      <c r="CO97" s="15"/>
      <c r="CP97" s="80"/>
      <c r="CQ97" s="80" t="s">
        <v>23459</v>
      </c>
      <c r="CR97" s="83"/>
      <c r="CS97" s="84"/>
    </row>
    <row r="98">
      <c r="A98" s="78" t="s">
        <v>217</v>
      </c>
      <c r="B98" s="78" t="s">
        <v>11453</v>
      </c>
      <c r="C98" s="79">
        <f>IFERROR((COUNTIFS('Base de Dados'!BT:BT,"Sim",'Base de Dados'!A:A,A98,'Base de Dados'!B:B,B98)/(COUNTIFS('Base de Dados'!BT:BT,"Sim",'Base de Dados'!A:A,A98,'Base de Dados'!B:B,B98)+(COUNTIFS('Base de Dados'!BT:BT,"Não",'Base de Dados'!A:A,A98,'Base de Dados'!B:B,B98)))),"Não Aplica")</f>
        <v>1</v>
      </c>
      <c r="D98" s="14" t="s">
        <v>23434</v>
      </c>
      <c r="E98" s="14" t="s">
        <v>24761</v>
      </c>
      <c r="F98" s="14" t="s">
        <v>23436</v>
      </c>
      <c r="G98" s="14" t="s">
        <v>23434</v>
      </c>
      <c r="H98" s="14" t="s">
        <v>24762</v>
      </c>
      <c r="I98" s="14" t="s">
        <v>22818</v>
      </c>
      <c r="J98" s="80"/>
      <c r="K98" s="14" t="s">
        <v>23438</v>
      </c>
      <c r="L98" s="81">
        <v>45685.31182870371</v>
      </c>
      <c r="M98" s="79">
        <f>IFERROR((COUNTIFS('Base de Dados'!DF:DF,"Sim",'Base de Dados'!A:A,A98,'Base de Dados'!B:B,B98)/(COUNTIFS('Base de Dados'!DF:DF,"Sim",'Base de Dados'!A:A,A98,'Base de Dados'!B:B,B98)+(COUNTIFS('Base de Dados'!DF:DF,"Não",'Base de Dados'!A:A,A98,'Base de Dados'!B:B,B98)))),"Não Aplica")</f>
        <v>1</v>
      </c>
      <c r="N98" s="14" t="s">
        <v>23434</v>
      </c>
      <c r="O98" s="14" t="s">
        <v>23439</v>
      </c>
      <c r="P98" s="14" t="s">
        <v>24763</v>
      </c>
      <c r="Q98" s="14" t="s">
        <v>23842</v>
      </c>
      <c r="R98" s="14" t="s">
        <v>23434</v>
      </c>
      <c r="S98" s="14" t="s">
        <v>24764</v>
      </c>
      <c r="T98" s="14" t="s">
        <v>23436</v>
      </c>
      <c r="U98" s="14" t="s">
        <v>23434</v>
      </c>
      <c r="V98" s="14" t="s">
        <v>24765</v>
      </c>
      <c r="W98" s="14" t="s">
        <v>22818</v>
      </c>
      <c r="X98" s="80"/>
      <c r="Y98" s="14" t="s">
        <v>23438</v>
      </c>
      <c r="Z98" s="81">
        <v>45691.61298611111</v>
      </c>
      <c r="AA98" s="79">
        <f>IFERROR((COUNTIFS('Base de Dados'!ED:ED,"Sim",'Base de Dados'!A:A,A98,'Base de Dados'!B:B,B98)/(COUNTIFS('Base de Dados'!ED:ED,"Sim",'Base de Dados'!A:A,A98,'Base de Dados'!B:B,B98)+(COUNTIFS('Base de Dados'!ED:ED,"Não",'Base de Dados'!A:A,A98,'Base de Dados'!B:B,B98)))),"Não Aplica")</f>
        <v>1</v>
      </c>
      <c r="AB98" s="14" t="s">
        <v>23434</v>
      </c>
      <c r="AC98" s="14" t="s">
        <v>24766</v>
      </c>
      <c r="AD98" s="14" t="s">
        <v>23842</v>
      </c>
      <c r="AE98" s="14" t="s">
        <v>23434</v>
      </c>
      <c r="AF98" s="14" t="s">
        <v>24767</v>
      </c>
      <c r="AG98" s="14" t="s">
        <v>22818</v>
      </c>
      <c r="AH98" s="80"/>
      <c r="AI98" s="14" t="s">
        <v>23438</v>
      </c>
      <c r="AJ98" s="81">
        <v>45692.543287037035</v>
      </c>
      <c r="AK98" s="82" t="s">
        <v>23446</v>
      </c>
      <c r="AL98" s="14" t="s">
        <v>23434</v>
      </c>
      <c r="AM98" s="14" t="s">
        <v>23448</v>
      </c>
      <c r="AN98" s="14" t="s">
        <v>24768</v>
      </c>
      <c r="AO98" s="14" t="s">
        <v>23848</v>
      </c>
      <c r="AP98" s="14" t="s">
        <v>23434</v>
      </c>
      <c r="AQ98" s="14" t="s">
        <v>23439</v>
      </c>
      <c r="AR98" s="14" t="s">
        <v>24769</v>
      </c>
      <c r="AS98" s="14" t="s">
        <v>23842</v>
      </c>
      <c r="AT98" s="14" t="s">
        <v>23434</v>
      </c>
      <c r="AU98" s="14" t="s">
        <v>23453</v>
      </c>
      <c r="AV98" s="14" t="s">
        <v>24770</v>
      </c>
      <c r="AW98" s="14" t="s">
        <v>23455</v>
      </c>
      <c r="AX98" s="14" t="s">
        <v>23434</v>
      </c>
      <c r="AY98" s="14" t="s">
        <v>23451</v>
      </c>
      <c r="AZ98" s="14" t="s">
        <v>24771</v>
      </c>
      <c r="BA98" s="14" t="s">
        <v>22818</v>
      </c>
      <c r="BB98" s="80"/>
      <c r="BC98" s="14" t="s">
        <v>23438</v>
      </c>
      <c r="BD98" s="81">
        <v>45721.77836805556</v>
      </c>
      <c r="BE98" s="79">
        <f>IFERROR((COUNTIFS('Base de Dados'!FD:FD,"Sim",'Base de Dados'!A:A,A98,'Base de Dados'!B:B,B98)/(COUNTIFS('Base de Dados'!FD:FD,"Sim",'Base de Dados'!A:A,A98,'Base de Dados'!B:B,B98)+(COUNTIFS('Base de Dados'!FD:FD,"Não",'Base de Dados'!A:A,A98,'Base de Dados'!B:B,B98)))),"Não Aplica")</f>
        <v>1</v>
      </c>
      <c r="BF98" s="14" t="s">
        <v>23434</v>
      </c>
      <c r="BG98" s="14" t="s">
        <v>23439</v>
      </c>
      <c r="BH98" s="14" t="s">
        <v>24772</v>
      </c>
      <c r="BI98" s="14" t="s">
        <v>23842</v>
      </c>
      <c r="BJ98" s="80"/>
      <c r="BK98" s="80"/>
      <c r="BL98" s="80"/>
      <c r="BM98" s="80"/>
      <c r="BN98" s="14" t="s">
        <v>23434</v>
      </c>
      <c r="BO98" s="14" t="s">
        <v>23453</v>
      </c>
      <c r="BP98" s="14" t="s">
        <v>24773</v>
      </c>
      <c r="BQ98" s="14" t="s">
        <v>23455</v>
      </c>
      <c r="BR98" s="14" t="s">
        <v>23434</v>
      </c>
      <c r="BS98" s="14" t="s">
        <v>23451</v>
      </c>
      <c r="BT98" s="14" t="s">
        <v>24774</v>
      </c>
      <c r="BU98" s="14" t="s">
        <v>22818</v>
      </c>
      <c r="BV98" s="80"/>
      <c r="BW98" s="14" t="s">
        <v>23438</v>
      </c>
      <c r="BX98" s="81">
        <v>45723.32923611111</v>
      </c>
      <c r="BY98" s="82" t="s">
        <v>23446</v>
      </c>
      <c r="BZ98" s="15"/>
      <c r="CA98" s="15"/>
      <c r="CB98" s="15"/>
      <c r="CC98" s="15"/>
      <c r="CD98" s="80"/>
      <c r="CE98" s="80"/>
      <c r="CF98" s="80"/>
      <c r="CG98" s="80"/>
      <c r="CH98" s="15"/>
      <c r="CI98" s="15"/>
      <c r="CJ98" s="15"/>
      <c r="CK98" s="15"/>
      <c r="CL98" s="15"/>
      <c r="CM98" s="15"/>
      <c r="CN98" s="15"/>
      <c r="CO98" s="15"/>
      <c r="CP98" s="80"/>
      <c r="CQ98" s="80" t="s">
        <v>23459</v>
      </c>
      <c r="CR98" s="83"/>
      <c r="CS98" s="84"/>
    </row>
    <row r="99">
      <c r="A99" s="78" t="s">
        <v>217</v>
      </c>
      <c r="B99" s="78" t="s">
        <v>1420</v>
      </c>
      <c r="C99" s="79">
        <f>IFERROR((COUNTIFS('Base de Dados'!BT:BT,"Sim",'Base de Dados'!A:A,A99,'Base de Dados'!B:B,B99)/(COUNTIFS('Base de Dados'!BT:BT,"Sim",'Base de Dados'!A:A,A99,'Base de Dados'!B:B,B99)+(COUNTIFS('Base de Dados'!BT:BT,"Não",'Base de Dados'!A:A,A99,'Base de Dados'!B:B,B99)))),"Não Aplica")</f>
        <v>1</v>
      </c>
      <c r="D99" s="14" t="s">
        <v>23434</v>
      </c>
      <c r="E99" s="14" t="s">
        <v>24775</v>
      </c>
      <c r="F99" s="14" t="s">
        <v>23436</v>
      </c>
      <c r="G99" s="14" t="s">
        <v>23434</v>
      </c>
      <c r="H99" s="14" t="s">
        <v>24776</v>
      </c>
      <c r="I99" s="14" t="s">
        <v>22818</v>
      </c>
      <c r="J99" s="80"/>
      <c r="K99" s="14" t="s">
        <v>23438</v>
      </c>
      <c r="L99" s="81">
        <v>45687.66100694444</v>
      </c>
      <c r="M99" s="79">
        <f>IFERROR((COUNTIFS('Base de Dados'!DF:DF,"Sim",'Base de Dados'!A:A,A99,'Base de Dados'!B:B,B99)/(COUNTIFS('Base de Dados'!DF:DF,"Sim",'Base de Dados'!A:A,A99,'Base de Dados'!B:B,B99)+(COUNTIFS('Base de Dados'!DF:DF,"Não",'Base de Dados'!A:A,A99,'Base de Dados'!B:B,B99)))),"Não Aplica")</f>
        <v>1</v>
      </c>
      <c r="N99" s="14" t="s">
        <v>23434</v>
      </c>
      <c r="O99" s="14" t="s">
        <v>23439</v>
      </c>
      <c r="P99" s="14" t="s">
        <v>24777</v>
      </c>
      <c r="Q99" s="14" t="s">
        <v>23842</v>
      </c>
      <c r="R99" s="14" t="s">
        <v>23434</v>
      </c>
      <c r="S99" s="14" t="s">
        <v>24778</v>
      </c>
      <c r="T99" s="14" t="s">
        <v>23436</v>
      </c>
      <c r="U99" s="14" t="s">
        <v>23434</v>
      </c>
      <c r="V99" s="14" t="s">
        <v>24779</v>
      </c>
      <c r="W99" s="14" t="s">
        <v>22818</v>
      </c>
      <c r="X99" s="80"/>
      <c r="Y99" s="14" t="s">
        <v>23438</v>
      </c>
      <c r="Z99" s="81">
        <v>45691.61332175926</v>
      </c>
      <c r="AA99" s="79">
        <f>IFERROR((COUNTIFS('Base de Dados'!ED:ED,"Sim",'Base de Dados'!A:A,A99,'Base de Dados'!B:B,B99)/(COUNTIFS('Base de Dados'!ED:ED,"Sim",'Base de Dados'!A:A,A99,'Base de Dados'!B:B,B99)+(COUNTIFS('Base de Dados'!ED:ED,"Não",'Base de Dados'!A:A,A99,'Base de Dados'!B:B,B99)))),"Não Aplica")</f>
        <v>1</v>
      </c>
      <c r="AB99" s="14" t="s">
        <v>23434</v>
      </c>
      <c r="AC99" s="14" t="s">
        <v>24780</v>
      </c>
      <c r="AD99" s="14" t="s">
        <v>23842</v>
      </c>
      <c r="AE99" s="14" t="s">
        <v>23434</v>
      </c>
      <c r="AF99" s="14" t="s">
        <v>24781</v>
      </c>
      <c r="AG99" s="14" t="s">
        <v>22818</v>
      </c>
      <c r="AH99" s="80"/>
      <c r="AI99" s="14" t="s">
        <v>23438</v>
      </c>
      <c r="AJ99" s="81">
        <v>45692.54331018519</v>
      </c>
      <c r="AK99" s="82" t="s">
        <v>23446</v>
      </c>
      <c r="AL99" s="14" t="s">
        <v>23434</v>
      </c>
      <c r="AM99" s="14" t="s">
        <v>23448</v>
      </c>
      <c r="AN99" s="14" t="s">
        <v>24782</v>
      </c>
      <c r="AO99" s="14" t="s">
        <v>23848</v>
      </c>
      <c r="AP99" s="14" t="s">
        <v>23434</v>
      </c>
      <c r="AQ99" s="14" t="s">
        <v>23439</v>
      </c>
      <c r="AR99" s="14" t="s">
        <v>24783</v>
      </c>
      <c r="AS99" s="14" t="s">
        <v>23842</v>
      </c>
      <c r="AT99" s="14" t="s">
        <v>23434</v>
      </c>
      <c r="AU99" s="14" t="s">
        <v>23453</v>
      </c>
      <c r="AV99" s="14" t="s">
        <v>24784</v>
      </c>
      <c r="AW99" s="14" t="s">
        <v>23455</v>
      </c>
      <c r="AX99" s="14" t="s">
        <v>23434</v>
      </c>
      <c r="AY99" s="14" t="s">
        <v>23451</v>
      </c>
      <c r="AZ99" s="14" t="s">
        <v>24785</v>
      </c>
      <c r="BA99" s="14" t="s">
        <v>22818</v>
      </c>
      <c r="BB99" s="80"/>
      <c r="BC99" s="14" t="s">
        <v>23438</v>
      </c>
      <c r="BD99" s="81">
        <v>45721.319027777776</v>
      </c>
      <c r="BE99" s="79">
        <f>IFERROR((COUNTIFS('Base de Dados'!FD:FD,"Sim",'Base de Dados'!A:A,A99,'Base de Dados'!B:B,B99)/(COUNTIFS('Base de Dados'!FD:FD,"Sim",'Base de Dados'!A:A,A99,'Base de Dados'!B:B,B99)+(COUNTIFS('Base de Dados'!FD:FD,"Não",'Base de Dados'!A:A,A99,'Base de Dados'!B:B,B99)))),"Não Aplica")</f>
        <v>1</v>
      </c>
      <c r="BF99" s="14" t="s">
        <v>23434</v>
      </c>
      <c r="BG99" s="14" t="s">
        <v>23439</v>
      </c>
      <c r="BH99" s="14" t="s">
        <v>24786</v>
      </c>
      <c r="BI99" s="14" t="s">
        <v>23842</v>
      </c>
      <c r="BJ99" s="80"/>
      <c r="BK99" s="80"/>
      <c r="BL99" s="80"/>
      <c r="BM99" s="80"/>
      <c r="BN99" s="14" t="s">
        <v>23434</v>
      </c>
      <c r="BO99" s="14" t="s">
        <v>23453</v>
      </c>
      <c r="BP99" s="14" t="s">
        <v>24787</v>
      </c>
      <c r="BQ99" s="14" t="s">
        <v>23455</v>
      </c>
      <c r="BR99" s="14" t="s">
        <v>23434</v>
      </c>
      <c r="BS99" s="14" t="s">
        <v>23451</v>
      </c>
      <c r="BT99" s="14" t="s">
        <v>24788</v>
      </c>
      <c r="BU99" s="14" t="s">
        <v>22818</v>
      </c>
      <c r="BV99" s="80"/>
      <c r="BW99" s="14" t="s">
        <v>23438</v>
      </c>
      <c r="BX99" s="81">
        <v>45723.329097222224</v>
      </c>
      <c r="BY99" s="82" t="s">
        <v>23446</v>
      </c>
      <c r="BZ99" s="15"/>
      <c r="CA99" s="15"/>
      <c r="CB99" s="15"/>
      <c r="CC99" s="15"/>
      <c r="CD99" s="80"/>
      <c r="CE99" s="80"/>
      <c r="CF99" s="80"/>
      <c r="CG99" s="80"/>
      <c r="CH99" s="15"/>
      <c r="CI99" s="15"/>
      <c r="CJ99" s="15"/>
      <c r="CK99" s="15"/>
      <c r="CL99" s="15"/>
      <c r="CM99" s="15"/>
      <c r="CN99" s="15"/>
      <c r="CO99" s="15"/>
      <c r="CP99" s="80"/>
      <c r="CQ99" s="80" t="s">
        <v>23459</v>
      </c>
      <c r="CR99" s="83"/>
      <c r="CS99" s="84"/>
    </row>
    <row r="100">
      <c r="A100" s="78" t="s">
        <v>217</v>
      </c>
      <c r="B100" s="78" t="s">
        <v>11529</v>
      </c>
      <c r="C100" s="79">
        <f>IFERROR((COUNTIFS('Base de Dados'!BT:BT,"Sim",'Base de Dados'!A:A,A100,'Base de Dados'!B:B,B100)/(COUNTIFS('Base de Dados'!BT:BT,"Sim",'Base de Dados'!A:A,A100,'Base de Dados'!B:B,B100)+(COUNTIFS('Base de Dados'!BT:BT,"Não",'Base de Dados'!A:A,A100,'Base de Dados'!B:B,B100)))),"Não Aplica")</f>
        <v>1</v>
      </c>
      <c r="D100" s="14" t="s">
        <v>23434</v>
      </c>
      <c r="E100" s="14" t="s">
        <v>24789</v>
      </c>
      <c r="F100" s="14" t="s">
        <v>23436</v>
      </c>
      <c r="G100" s="14" t="s">
        <v>23434</v>
      </c>
      <c r="H100" s="14" t="s">
        <v>24790</v>
      </c>
      <c r="I100" s="14" t="s">
        <v>22818</v>
      </c>
      <c r="J100" s="80"/>
      <c r="K100" s="14" t="s">
        <v>23438</v>
      </c>
      <c r="L100" s="81">
        <v>45687.66204861111</v>
      </c>
      <c r="M100" s="79">
        <f>IFERROR((COUNTIFS('Base de Dados'!DF:DF,"Sim",'Base de Dados'!A:A,A100,'Base de Dados'!B:B,B100)/(COUNTIFS('Base de Dados'!DF:DF,"Sim",'Base de Dados'!A:A,A100,'Base de Dados'!B:B,B100)+(COUNTIFS('Base de Dados'!DF:DF,"Não",'Base de Dados'!A:A,A100,'Base de Dados'!B:B,B100)))),"Não Aplica")</f>
        <v>1</v>
      </c>
      <c r="N100" s="14" t="s">
        <v>23434</v>
      </c>
      <c r="O100" s="14" t="s">
        <v>23439</v>
      </c>
      <c r="P100" s="14" t="s">
        <v>24791</v>
      </c>
      <c r="Q100" s="14" t="s">
        <v>23842</v>
      </c>
      <c r="R100" s="14" t="s">
        <v>23434</v>
      </c>
      <c r="S100" s="14" t="s">
        <v>24792</v>
      </c>
      <c r="T100" s="14" t="s">
        <v>23436</v>
      </c>
      <c r="U100" s="14" t="s">
        <v>23434</v>
      </c>
      <c r="V100" s="14" t="s">
        <v>24793</v>
      </c>
      <c r="W100" s="14" t="s">
        <v>22818</v>
      </c>
      <c r="X100" s="80"/>
      <c r="Y100" s="14" t="s">
        <v>23438</v>
      </c>
      <c r="Z100" s="81">
        <v>45691.61337962963</v>
      </c>
      <c r="AA100" s="79">
        <f>IFERROR((COUNTIFS('Base de Dados'!ED:ED,"Sim",'Base de Dados'!A:A,A100,'Base de Dados'!B:B,B100)/(COUNTIFS('Base de Dados'!ED:ED,"Sim",'Base de Dados'!A:A,A100,'Base de Dados'!B:B,B100)+(COUNTIFS('Base de Dados'!ED:ED,"Não",'Base de Dados'!A:A,A100,'Base de Dados'!B:B,B100)))),"Não Aplica")</f>
        <v>1</v>
      </c>
      <c r="AB100" s="14" t="s">
        <v>23434</v>
      </c>
      <c r="AC100" s="14" t="s">
        <v>24794</v>
      </c>
      <c r="AD100" s="14" t="s">
        <v>23842</v>
      </c>
      <c r="AE100" s="14" t="s">
        <v>23434</v>
      </c>
      <c r="AF100" s="14" t="s">
        <v>24795</v>
      </c>
      <c r="AG100" s="14" t="s">
        <v>22818</v>
      </c>
      <c r="AH100" s="80"/>
      <c r="AI100" s="14" t="s">
        <v>23438</v>
      </c>
      <c r="AJ100" s="81">
        <v>45692.543333333335</v>
      </c>
      <c r="AK100" s="82" t="s">
        <v>23446</v>
      </c>
      <c r="AL100" s="14" t="s">
        <v>23434</v>
      </c>
      <c r="AM100" s="14" t="s">
        <v>23448</v>
      </c>
      <c r="AN100" s="14" t="s">
        <v>24796</v>
      </c>
      <c r="AO100" s="14" t="s">
        <v>23848</v>
      </c>
      <c r="AP100" s="14" t="s">
        <v>23434</v>
      </c>
      <c r="AQ100" s="14" t="s">
        <v>23439</v>
      </c>
      <c r="AR100" s="14" t="s">
        <v>24797</v>
      </c>
      <c r="AS100" s="14" t="s">
        <v>23842</v>
      </c>
      <c r="AT100" s="14" t="s">
        <v>23434</v>
      </c>
      <c r="AU100" s="14" t="s">
        <v>23453</v>
      </c>
      <c r="AV100" s="14" t="s">
        <v>24798</v>
      </c>
      <c r="AW100" s="14" t="s">
        <v>23455</v>
      </c>
      <c r="AX100" s="14" t="s">
        <v>23434</v>
      </c>
      <c r="AY100" s="14" t="s">
        <v>23451</v>
      </c>
      <c r="AZ100" s="14" t="s">
        <v>24799</v>
      </c>
      <c r="BA100" s="14" t="s">
        <v>22818</v>
      </c>
      <c r="BB100" s="80"/>
      <c r="BC100" s="14" t="s">
        <v>23438</v>
      </c>
      <c r="BD100" s="81">
        <v>45721.31894675926</v>
      </c>
      <c r="BE100" s="79">
        <f>IFERROR((COUNTIFS('Base de Dados'!FD:FD,"Sim",'Base de Dados'!A:A,A100,'Base de Dados'!B:B,B100)/(COUNTIFS('Base de Dados'!FD:FD,"Sim",'Base de Dados'!A:A,A100,'Base de Dados'!B:B,B100)+(COUNTIFS('Base de Dados'!FD:FD,"Não",'Base de Dados'!A:A,A100,'Base de Dados'!B:B,B100)))),"Não Aplica")</f>
        <v>1</v>
      </c>
      <c r="BF100" s="14" t="s">
        <v>23434</v>
      </c>
      <c r="BG100" s="14" t="s">
        <v>23439</v>
      </c>
      <c r="BH100" s="14" t="s">
        <v>24800</v>
      </c>
      <c r="BI100" s="14" t="s">
        <v>23842</v>
      </c>
      <c r="BJ100" s="80"/>
      <c r="BK100" s="80"/>
      <c r="BL100" s="80"/>
      <c r="BM100" s="80"/>
      <c r="BN100" s="14" t="s">
        <v>23434</v>
      </c>
      <c r="BO100" s="14" t="s">
        <v>23453</v>
      </c>
      <c r="BP100" s="14" t="s">
        <v>24801</v>
      </c>
      <c r="BQ100" s="14" t="s">
        <v>23455</v>
      </c>
      <c r="BR100" s="14" t="s">
        <v>23434</v>
      </c>
      <c r="BS100" s="14" t="s">
        <v>23451</v>
      </c>
      <c r="BT100" s="14" t="s">
        <v>24802</v>
      </c>
      <c r="BU100" s="14" t="s">
        <v>22818</v>
      </c>
      <c r="BV100" s="80"/>
      <c r="BW100" s="14" t="s">
        <v>23438</v>
      </c>
      <c r="BX100" s="81">
        <v>45723.3290625</v>
      </c>
      <c r="BY100" s="82" t="s">
        <v>23446</v>
      </c>
      <c r="BZ100" s="15"/>
      <c r="CA100" s="15"/>
      <c r="CB100" s="15"/>
      <c r="CC100" s="15"/>
      <c r="CD100" s="80"/>
      <c r="CE100" s="80"/>
      <c r="CF100" s="80"/>
      <c r="CG100" s="80"/>
      <c r="CH100" s="15"/>
      <c r="CI100" s="15"/>
      <c r="CJ100" s="15"/>
      <c r="CK100" s="15"/>
      <c r="CL100" s="15"/>
      <c r="CM100" s="15"/>
      <c r="CN100" s="15"/>
      <c r="CO100" s="15"/>
      <c r="CP100" s="80"/>
      <c r="CQ100" s="80" t="s">
        <v>23459</v>
      </c>
      <c r="CR100" s="83"/>
      <c r="CS100" s="84"/>
    </row>
    <row r="101">
      <c r="A101" s="78" t="s">
        <v>217</v>
      </c>
      <c r="B101" s="78" t="s">
        <v>8821</v>
      </c>
      <c r="C101" s="79">
        <f>IFERROR((COUNTIFS('Base de Dados'!BT:BT,"Sim",'Base de Dados'!A:A,A101,'Base de Dados'!B:B,B101)/(COUNTIFS('Base de Dados'!BT:BT,"Sim",'Base de Dados'!A:A,A101,'Base de Dados'!B:B,B101)+(COUNTIFS('Base de Dados'!BT:BT,"Não",'Base de Dados'!A:A,A101,'Base de Dados'!B:B,B101)))),"Não Aplica")</f>
        <v>1</v>
      </c>
      <c r="D101" s="14" t="s">
        <v>23434</v>
      </c>
      <c r="E101" s="14" t="s">
        <v>24803</v>
      </c>
      <c r="F101" s="14" t="s">
        <v>23436</v>
      </c>
      <c r="G101" s="14" t="s">
        <v>23434</v>
      </c>
      <c r="H101" s="14" t="s">
        <v>24804</v>
      </c>
      <c r="I101" s="14" t="s">
        <v>22818</v>
      </c>
      <c r="J101" s="80"/>
      <c r="K101" s="14" t="s">
        <v>23438</v>
      </c>
      <c r="L101" s="81">
        <v>45694.476377314815</v>
      </c>
      <c r="M101" s="79">
        <f>IFERROR((COUNTIFS('Base de Dados'!DF:DF,"Sim",'Base de Dados'!A:A,A101,'Base de Dados'!B:B,B101)/(COUNTIFS('Base de Dados'!DF:DF,"Sim",'Base de Dados'!A:A,A101,'Base de Dados'!B:B,B101)+(COUNTIFS('Base de Dados'!DF:DF,"Não",'Base de Dados'!A:A,A101,'Base de Dados'!B:B,B101)))),"Não Aplica")</f>
        <v>1</v>
      </c>
      <c r="N101" s="14" t="s">
        <v>23434</v>
      </c>
      <c r="O101" s="14" t="s">
        <v>23439</v>
      </c>
      <c r="P101" s="14" t="s">
        <v>24805</v>
      </c>
      <c r="Q101" s="14" t="s">
        <v>23842</v>
      </c>
      <c r="R101" s="14" t="s">
        <v>23434</v>
      </c>
      <c r="S101" s="14" t="s">
        <v>24806</v>
      </c>
      <c r="T101" s="14" t="s">
        <v>23436</v>
      </c>
      <c r="U101" s="14" t="s">
        <v>23434</v>
      </c>
      <c r="V101" s="14" t="s">
        <v>24807</v>
      </c>
      <c r="W101" s="14" t="s">
        <v>22818</v>
      </c>
      <c r="X101" s="80"/>
      <c r="Y101" s="14" t="s">
        <v>23438</v>
      </c>
      <c r="Z101" s="81">
        <v>45694.54525462963</v>
      </c>
      <c r="AA101" s="79">
        <f>IFERROR((COUNTIFS('Base de Dados'!ED:ED,"Sim",'Base de Dados'!A:A,A101,'Base de Dados'!B:B,B101)/(COUNTIFS('Base de Dados'!ED:ED,"Sim",'Base de Dados'!A:A,A101,'Base de Dados'!B:B,B101)+(COUNTIFS('Base de Dados'!ED:ED,"Não",'Base de Dados'!A:A,A101,'Base de Dados'!B:B,B101)))),"Não Aplica")</f>
        <v>1</v>
      </c>
      <c r="AB101" s="14" t="s">
        <v>23434</v>
      </c>
      <c r="AC101" s="14" t="s">
        <v>24808</v>
      </c>
      <c r="AD101" s="14" t="s">
        <v>23842</v>
      </c>
      <c r="AE101" s="14" t="s">
        <v>23434</v>
      </c>
      <c r="AF101" s="14" t="s">
        <v>24809</v>
      </c>
      <c r="AG101" s="14" t="s">
        <v>22818</v>
      </c>
      <c r="AH101" s="80"/>
      <c r="AI101" s="14" t="s">
        <v>23438</v>
      </c>
      <c r="AJ101" s="81">
        <v>45694.58008101852</v>
      </c>
      <c r="AK101" s="82" t="s">
        <v>23446</v>
      </c>
      <c r="AL101" s="14" t="s">
        <v>23434</v>
      </c>
      <c r="AM101" s="14" t="s">
        <v>23448</v>
      </c>
      <c r="AN101" s="14" t="s">
        <v>24810</v>
      </c>
      <c r="AO101" s="14" t="s">
        <v>23848</v>
      </c>
      <c r="AP101" s="14" t="s">
        <v>23434</v>
      </c>
      <c r="AQ101" s="14" t="s">
        <v>23439</v>
      </c>
      <c r="AR101" s="14" t="s">
        <v>24811</v>
      </c>
      <c r="AS101" s="14" t="s">
        <v>23842</v>
      </c>
      <c r="AT101" s="14" t="s">
        <v>23434</v>
      </c>
      <c r="AU101" s="14" t="s">
        <v>23453</v>
      </c>
      <c r="AV101" s="14" t="s">
        <v>24812</v>
      </c>
      <c r="AW101" s="14" t="s">
        <v>23455</v>
      </c>
      <c r="AX101" s="14" t="s">
        <v>23434</v>
      </c>
      <c r="AY101" s="14" t="s">
        <v>23451</v>
      </c>
      <c r="AZ101" s="14" t="s">
        <v>24813</v>
      </c>
      <c r="BA101" s="14" t="s">
        <v>22818</v>
      </c>
      <c r="BB101" s="80"/>
      <c r="BC101" s="14" t="s">
        <v>23438</v>
      </c>
      <c r="BD101" s="81">
        <v>45721.31899305555</v>
      </c>
      <c r="BE101" s="79">
        <f>IFERROR((COUNTIFS('Base de Dados'!FD:FD,"Sim",'Base de Dados'!A:A,A101,'Base de Dados'!B:B,B101)/(COUNTIFS('Base de Dados'!FD:FD,"Sim",'Base de Dados'!A:A,A101,'Base de Dados'!B:B,B101)+(COUNTIFS('Base de Dados'!FD:FD,"Não",'Base de Dados'!A:A,A101,'Base de Dados'!B:B,B101)))),"Não Aplica")</f>
        <v>1</v>
      </c>
      <c r="BF101" s="14" t="s">
        <v>23434</v>
      </c>
      <c r="BG101" s="14" t="s">
        <v>23439</v>
      </c>
      <c r="BH101" s="14" t="s">
        <v>24814</v>
      </c>
      <c r="BI101" s="14" t="s">
        <v>23842</v>
      </c>
      <c r="BJ101" s="80"/>
      <c r="BK101" s="80"/>
      <c r="BL101" s="80"/>
      <c r="BM101" s="80"/>
      <c r="BN101" s="14" t="s">
        <v>23434</v>
      </c>
      <c r="BO101" s="14" t="s">
        <v>23453</v>
      </c>
      <c r="BP101" s="14" t="s">
        <v>24815</v>
      </c>
      <c r="BQ101" s="14" t="s">
        <v>23455</v>
      </c>
      <c r="BR101" s="14" t="s">
        <v>23434</v>
      </c>
      <c r="BS101" s="14" t="s">
        <v>23451</v>
      </c>
      <c r="BT101" s="14" t="s">
        <v>24816</v>
      </c>
      <c r="BU101" s="14" t="s">
        <v>22818</v>
      </c>
      <c r="BV101" s="80"/>
      <c r="BW101" s="14" t="s">
        <v>23438</v>
      </c>
      <c r="BX101" s="81">
        <v>45723.32912037037</v>
      </c>
      <c r="BY101" s="82" t="s">
        <v>23446</v>
      </c>
      <c r="BZ101" s="15"/>
      <c r="CA101" s="15"/>
      <c r="CB101" s="15"/>
      <c r="CC101" s="15"/>
      <c r="CD101" s="80"/>
      <c r="CE101" s="80"/>
      <c r="CF101" s="80"/>
      <c r="CG101" s="80"/>
      <c r="CH101" s="15"/>
      <c r="CI101" s="15"/>
      <c r="CJ101" s="15"/>
      <c r="CK101" s="15"/>
      <c r="CL101" s="15"/>
      <c r="CM101" s="15"/>
      <c r="CN101" s="15"/>
      <c r="CO101" s="15"/>
      <c r="CP101" s="80"/>
      <c r="CQ101" s="80" t="s">
        <v>23459</v>
      </c>
      <c r="CR101" s="83"/>
      <c r="CS101" s="84"/>
    </row>
    <row r="102">
      <c r="A102" s="78" t="s">
        <v>217</v>
      </c>
      <c r="B102" s="78" t="s">
        <v>9709</v>
      </c>
      <c r="C102" s="79">
        <f>IFERROR((COUNTIFS('Base de Dados'!BT:BT,"Sim",'Base de Dados'!A:A,A102,'Base de Dados'!B:B,B102)/(COUNTIFS('Base de Dados'!BT:BT,"Sim",'Base de Dados'!A:A,A102,'Base de Dados'!B:B,B102)+(COUNTIFS('Base de Dados'!BT:BT,"Não",'Base de Dados'!A:A,A102,'Base de Dados'!B:B,B102)))),"Não Aplica")</f>
        <v>1</v>
      </c>
      <c r="D102" s="14" t="s">
        <v>23434</v>
      </c>
      <c r="E102" s="14" t="s">
        <v>24817</v>
      </c>
      <c r="F102" s="14" t="s">
        <v>23436</v>
      </c>
      <c r="G102" s="14" t="s">
        <v>23434</v>
      </c>
      <c r="H102" s="14" t="s">
        <v>24818</v>
      </c>
      <c r="I102" s="14" t="s">
        <v>22818</v>
      </c>
      <c r="J102" s="80"/>
      <c r="K102" s="14" t="s">
        <v>23438</v>
      </c>
      <c r="L102" s="81">
        <v>45687.660891203705</v>
      </c>
      <c r="M102" s="79">
        <f>IFERROR((COUNTIFS('Base de Dados'!DF:DF,"Sim",'Base de Dados'!A:A,A102,'Base de Dados'!B:B,B102)/(COUNTIFS('Base de Dados'!DF:DF,"Sim",'Base de Dados'!A:A,A102,'Base de Dados'!B:B,B102)+(COUNTIFS('Base de Dados'!DF:DF,"Não",'Base de Dados'!A:A,A102,'Base de Dados'!B:B,B102)))),"Não Aplica")</f>
        <v>1</v>
      </c>
      <c r="N102" s="14" t="s">
        <v>23434</v>
      </c>
      <c r="O102" s="14" t="s">
        <v>23439</v>
      </c>
      <c r="P102" s="14" t="s">
        <v>24819</v>
      </c>
      <c r="Q102" s="14" t="s">
        <v>23842</v>
      </c>
      <c r="R102" s="14" t="s">
        <v>23434</v>
      </c>
      <c r="S102" s="14" t="s">
        <v>24820</v>
      </c>
      <c r="T102" s="14" t="s">
        <v>23436</v>
      </c>
      <c r="U102" s="14" t="s">
        <v>23434</v>
      </c>
      <c r="V102" s="14" t="s">
        <v>24821</v>
      </c>
      <c r="W102" s="14" t="s">
        <v>22818</v>
      </c>
      <c r="X102" s="80"/>
      <c r="Y102" s="14" t="s">
        <v>23438</v>
      </c>
      <c r="Z102" s="81">
        <v>45691.61335648148</v>
      </c>
      <c r="AA102" s="79">
        <f>IFERROR((COUNTIFS('Base de Dados'!ED:ED,"Sim",'Base de Dados'!A:A,A102,'Base de Dados'!B:B,B102)/(COUNTIFS('Base de Dados'!ED:ED,"Sim",'Base de Dados'!A:A,A102,'Base de Dados'!B:B,B102)+(COUNTIFS('Base de Dados'!ED:ED,"Não",'Base de Dados'!A:A,A102,'Base de Dados'!B:B,B102)))),"Não Aplica")</f>
        <v>1</v>
      </c>
      <c r="AB102" s="14" t="s">
        <v>23434</v>
      </c>
      <c r="AC102" s="14" t="s">
        <v>24822</v>
      </c>
      <c r="AD102" s="14" t="s">
        <v>23842</v>
      </c>
      <c r="AE102" s="14" t="s">
        <v>23434</v>
      </c>
      <c r="AF102" s="14" t="s">
        <v>24823</v>
      </c>
      <c r="AG102" s="14" t="s">
        <v>22818</v>
      </c>
      <c r="AH102" s="80"/>
      <c r="AI102" s="14" t="s">
        <v>23438</v>
      </c>
      <c r="AJ102" s="81">
        <v>45692.543344907404</v>
      </c>
      <c r="AK102" s="82" t="s">
        <v>23446</v>
      </c>
      <c r="AL102" s="14" t="s">
        <v>23434</v>
      </c>
      <c r="AM102" s="14" t="s">
        <v>23439</v>
      </c>
      <c r="AN102" s="14" t="s">
        <v>24824</v>
      </c>
      <c r="AO102" s="14" t="s">
        <v>23842</v>
      </c>
      <c r="AP102" s="14" t="s">
        <v>23434</v>
      </c>
      <c r="AQ102" s="14" t="s">
        <v>23448</v>
      </c>
      <c r="AR102" s="14" t="s">
        <v>24825</v>
      </c>
      <c r="AS102" s="14" t="s">
        <v>23848</v>
      </c>
      <c r="AT102" s="14" t="s">
        <v>23434</v>
      </c>
      <c r="AU102" s="14" t="s">
        <v>23453</v>
      </c>
      <c r="AV102" s="14" t="s">
        <v>24826</v>
      </c>
      <c r="AW102" s="14" t="s">
        <v>23455</v>
      </c>
      <c r="AX102" s="14" t="s">
        <v>23434</v>
      </c>
      <c r="AY102" s="14" t="s">
        <v>23451</v>
      </c>
      <c r="AZ102" s="14" t="s">
        <v>24827</v>
      </c>
      <c r="BA102" s="14" t="s">
        <v>22818</v>
      </c>
      <c r="BB102" s="80"/>
      <c r="BC102" s="14" t="s">
        <v>23438</v>
      </c>
      <c r="BD102" s="81">
        <v>45721.77855324074</v>
      </c>
      <c r="BE102" s="79">
        <f>IFERROR((COUNTIFS('Base de Dados'!FD:FD,"Sim",'Base de Dados'!A:A,A102,'Base de Dados'!B:B,B102)/(COUNTIFS('Base de Dados'!FD:FD,"Sim",'Base de Dados'!A:A,A102,'Base de Dados'!B:B,B102)+(COUNTIFS('Base de Dados'!FD:FD,"Não",'Base de Dados'!A:A,A102,'Base de Dados'!B:B,B102)))),"Não Aplica")</f>
        <v>1</v>
      </c>
      <c r="BF102" s="14" t="s">
        <v>23434</v>
      </c>
      <c r="BG102" s="14" t="s">
        <v>23439</v>
      </c>
      <c r="BH102" s="14" t="s">
        <v>24828</v>
      </c>
      <c r="BI102" s="14" t="s">
        <v>23842</v>
      </c>
      <c r="BJ102" s="80"/>
      <c r="BK102" s="80"/>
      <c r="BL102" s="80"/>
      <c r="BM102" s="80"/>
      <c r="BN102" s="14" t="s">
        <v>23434</v>
      </c>
      <c r="BO102" s="14" t="s">
        <v>23453</v>
      </c>
      <c r="BP102" s="14" t="s">
        <v>24829</v>
      </c>
      <c r="BQ102" s="14" t="s">
        <v>23455</v>
      </c>
      <c r="BR102" s="14" t="s">
        <v>23434</v>
      </c>
      <c r="BS102" s="14" t="s">
        <v>23451</v>
      </c>
      <c r="BT102" s="14" t="s">
        <v>24830</v>
      </c>
      <c r="BU102" s="14" t="s">
        <v>22818</v>
      </c>
      <c r="BV102" s="80"/>
      <c r="BW102" s="14" t="s">
        <v>23438</v>
      </c>
      <c r="BX102" s="81">
        <v>45723.32916666667</v>
      </c>
      <c r="BY102" s="82" t="s">
        <v>23446</v>
      </c>
      <c r="BZ102" s="15"/>
      <c r="CA102" s="15"/>
      <c r="CB102" s="15"/>
      <c r="CC102" s="15"/>
      <c r="CD102" s="80"/>
      <c r="CE102" s="80"/>
      <c r="CF102" s="80"/>
      <c r="CG102" s="80"/>
      <c r="CH102" s="15"/>
      <c r="CI102" s="15"/>
      <c r="CJ102" s="15"/>
      <c r="CK102" s="15"/>
      <c r="CL102" s="15"/>
      <c r="CM102" s="15"/>
      <c r="CN102" s="15"/>
      <c r="CO102" s="15"/>
      <c r="CP102" s="80"/>
      <c r="CQ102" s="80" t="s">
        <v>23459</v>
      </c>
      <c r="CR102" s="83"/>
      <c r="CS102" s="84"/>
    </row>
    <row r="103">
      <c r="A103" s="78" t="s">
        <v>217</v>
      </c>
      <c r="B103" s="78" t="s">
        <v>6819</v>
      </c>
      <c r="C103" s="79">
        <f>IFERROR((COUNTIFS('Base de Dados'!BT:BT,"Sim",'Base de Dados'!A:A,A103,'Base de Dados'!B:B,B103)/(COUNTIFS('Base de Dados'!BT:BT,"Sim",'Base de Dados'!A:A,A103,'Base de Dados'!B:B,B103)+(COUNTIFS('Base de Dados'!BT:BT,"Não",'Base de Dados'!A:A,A103,'Base de Dados'!B:B,B103)))),"Não Aplica")</f>
        <v>1</v>
      </c>
      <c r="D103" s="14" t="s">
        <v>23434</v>
      </c>
      <c r="E103" s="14" t="s">
        <v>24831</v>
      </c>
      <c r="F103" s="14" t="s">
        <v>23436</v>
      </c>
      <c r="G103" s="14" t="s">
        <v>23434</v>
      </c>
      <c r="H103" s="14" t="s">
        <v>24832</v>
      </c>
      <c r="I103" s="14" t="s">
        <v>22818</v>
      </c>
      <c r="J103" s="80"/>
      <c r="K103" s="14" t="s">
        <v>23438</v>
      </c>
      <c r="L103" s="81">
        <v>45687.39113425926</v>
      </c>
      <c r="M103" s="79">
        <f>IFERROR((COUNTIFS('Base de Dados'!DF:DF,"Sim",'Base de Dados'!A:A,A103,'Base de Dados'!B:B,B103)/(COUNTIFS('Base de Dados'!DF:DF,"Sim",'Base de Dados'!A:A,A103,'Base de Dados'!B:B,B103)+(COUNTIFS('Base de Dados'!DF:DF,"Não",'Base de Dados'!A:A,A103,'Base de Dados'!B:B,B103)))),"Não Aplica")</f>
        <v>1</v>
      </c>
      <c r="N103" s="14" t="s">
        <v>23434</v>
      </c>
      <c r="O103" s="14" t="s">
        <v>23439</v>
      </c>
      <c r="P103" s="14" t="s">
        <v>24833</v>
      </c>
      <c r="Q103" s="14" t="s">
        <v>23842</v>
      </c>
      <c r="R103" s="14" t="s">
        <v>23434</v>
      </c>
      <c r="S103" s="14" t="s">
        <v>24834</v>
      </c>
      <c r="T103" s="14" t="s">
        <v>23436</v>
      </c>
      <c r="U103" s="14" t="s">
        <v>23434</v>
      </c>
      <c r="V103" s="14" t="s">
        <v>24835</v>
      </c>
      <c r="W103" s="14" t="s">
        <v>22818</v>
      </c>
      <c r="X103" s="80"/>
      <c r="Y103" s="14" t="s">
        <v>23438</v>
      </c>
      <c r="Z103" s="81">
        <v>45688.67680555556</v>
      </c>
      <c r="AA103" s="79">
        <f>IFERROR((COUNTIFS('Base de Dados'!ED:ED,"Sim",'Base de Dados'!A:A,A103,'Base de Dados'!B:B,B103)/(COUNTIFS('Base de Dados'!ED:ED,"Sim",'Base de Dados'!A:A,A103,'Base de Dados'!B:B,B103)+(COUNTIFS('Base de Dados'!ED:ED,"Não",'Base de Dados'!A:A,A103,'Base de Dados'!B:B,B103)))),"Não Aplica")</f>
        <v>1</v>
      </c>
      <c r="AB103" s="14" t="s">
        <v>23434</v>
      </c>
      <c r="AC103" s="14" t="s">
        <v>24836</v>
      </c>
      <c r="AD103" s="14" t="s">
        <v>23842</v>
      </c>
      <c r="AE103" s="14" t="s">
        <v>23434</v>
      </c>
      <c r="AF103" s="14" t="s">
        <v>24837</v>
      </c>
      <c r="AG103" s="14" t="s">
        <v>22818</v>
      </c>
      <c r="AH103" s="80"/>
      <c r="AI103" s="14" t="s">
        <v>23438</v>
      </c>
      <c r="AJ103" s="81">
        <v>45691.61760416667</v>
      </c>
      <c r="AK103" s="82" t="s">
        <v>23446</v>
      </c>
      <c r="AL103" s="14" t="s">
        <v>23434</v>
      </c>
      <c r="AM103" s="14" t="s">
        <v>23439</v>
      </c>
      <c r="AN103" s="14" t="s">
        <v>24838</v>
      </c>
      <c r="AO103" s="14" t="s">
        <v>23842</v>
      </c>
      <c r="AP103" s="14" t="s">
        <v>23434</v>
      </c>
      <c r="AQ103" s="14" t="s">
        <v>23448</v>
      </c>
      <c r="AR103" s="14" t="s">
        <v>24839</v>
      </c>
      <c r="AS103" s="14" t="s">
        <v>23848</v>
      </c>
      <c r="AT103" s="14" t="s">
        <v>23434</v>
      </c>
      <c r="AU103" s="14" t="s">
        <v>23453</v>
      </c>
      <c r="AV103" s="14" t="s">
        <v>24840</v>
      </c>
      <c r="AW103" s="14" t="s">
        <v>23455</v>
      </c>
      <c r="AX103" s="14" t="s">
        <v>23434</v>
      </c>
      <c r="AY103" s="14" t="s">
        <v>23451</v>
      </c>
      <c r="AZ103" s="14" t="s">
        <v>24841</v>
      </c>
      <c r="BA103" s="14" t="s">
        <v>22818</v>
      </c>
      <c r="BB103" s="80"/>
      <c r="BC103" s="14" t="s">
        <v>23438</v>
      </c>
      <c r="BD103" s="81">
        <v>45721.649722222224</v>
      </c>
      <c r="BE103" s="79">
        <f>IFERROR((COUNTIFS('Base de Dados'!FD:FD,"Sim",'Base de Dados'!A:A,A103,'Base de Dados'!B:B,B103)/(COUNTIFS('Base de Dados'!FD:FD,"Sim",'Base de Dados'!A:A,A103,'Base de Dados'!B:B,B103)+(COUNTIFS('Base de Dados'!FD:FD,"Não",'Base de Dados'!A:A,A103,'Base de Dados'!B:B,B103)))),"Não Aplica")</f>
        <v>1</v>
      </c>
      <c r="BF103" s="14" t="s">
        <v>23434</v>
      </c>
      <c r="BG103" s="14" t="s">
        <v>23439</v>
      </c>
      <c r="BH103" s="14" t="s">
        <v>24842</v>
      </c>
      <c r="BI103" s="14" t="s">
        <v>23842</v>
      </c>
      <c r="BJ103" s="80"/>
      <c r="BK103" s="80"/>
      <c r="BL103" s="80"/>
      <c r="BM103" s="80"/>
      <c r="BN103" s="14" t="s">
        <v>23434</v>
      </c>
      <c r="BO103" s="14" t="s">
        <v>23453</v>
      </c>
      <c r="BP103" s="14" t="s">
        <v>24843</v>
      </c>
      <c r="BQ103" s="14" t="s">
        <v>23455</v>
      </c>
      <c r="BR103" s="14" t="s">
        <v>23434</v>
      </c>
      <c r="BS103" s="14" t="s">
        <v>23451</v>
      </c>
      <c r="BT103" s="14" t="s">
        <v>24844</v>
      </c>
      <c r="BU103" s="14" t="s">
        <v>22818</v>
      </c>
      <c r="BV103" s="80"/>
      <c r="BW103" s="14" t="s">
        <v>23438</v>
      </c>
      <c r="BX103" s="81">
        <v>45723.329189814816</v>
      </c>
      <c r="BY103" s="82" t="s">
        <v>23446</v>
      </c>
      <c r="BZ103" s="15"/>
      <c r="CA103" s="15"/>
      <c r="CB103" s="15"/>
      <c r="CC103" s="15"/>
      <c r="CD103" s="80"/>
      <c r="CE103" s="80"/>
      <c r="CF103" s="80"/>
      <c r="CG103" s="80"/>
      <c r="CH103" s="15"/>
      <c r="CI103" s="15"/>
      <c r="CJ103" s="15"/>
      <c r="CK103" s="15"/>
      <c r="CL103" s="15"/>
      <c r="CM103" s="15"/>
      <c r="CN103" s="15"/>
      <c r="CO103" s="15"/>
      <c r="CP103" s="80"/>
      <c r="CQ103" s="80" t="s">
        <v>23459</v>
      </c>
      <c r="CR103" s="83"/>
      <c r="CS103" s="84"/>
    </row>
    <row r="104">
      <c r="A104" s="78" t="s">
        <v>217</v>
      </c>
      <c r="B104" s="78" t="s">
        <v>6880</v>
      </c>
      <c r="C104" s="79">
        <f>IFERROR((COUNTIFS('Base de Dados'!BT:BT,"Sim",'Base de Dados'!A:A,A104,'Base de Dados'!B:B,B104)/(COUNTIFS('Base de Dados'!BT:BT,"Sim",'Base de Dados'!A:A,A104,'Base de Dados'!B:B,B104)+(COUNTIFS('Base de Dados'!BT:BT,"Não",'Base de Dados'!A:A,A104,'Base de Dados'!B:B,B104)))),"Não Aplica")</f>
        <v>1</v>
      </c>
      <c r="D104" s="14" t="s">
        <v>23434</v>
      </c>
      <c r="E104" s="14" t="s">
        <v>24845</v>
      </c>
      <c r="F104" s="14" t="s">
        <v>23436</v>
      </c>
      <c r="G104" s="14" t="s">
        <v>23434</v>
      </c>
      <c r="H104" s="14" t="s">
        <v>24846</v>
      </c>
      <c r="I104" s="14" t="s">
        <v>22818</v>
      </c>
      <c r="J104" s="80"/>
      <c r="K104" s="14" t="s">
        <v>23438</v>
      </c>
      <c r="L104" s="81">
        <v>45685.311875</v>
      </c>
      <c r="M104" s="79">
        <f>IFERROR((COUNTIFS('Base de Dados'!DF:DF,"Sim",'Base de Dados'!A:A,A104,'Base de Dados'!B:B,B104)/(COUNTIFS('Base de Dados'!DF:DF,"Sim",'Base de Dados'!A:A,A104,'Base de Dados'!B:B,B104)+(COUNTIFS('Base de Dados'!DF:DF,"Não",'Base de Dados'!A:A,A104,'Base de Dados'!B:B,B104)))),"Não Aplica")</f>
        <v>1</v>
      </c>
      <c r="N104" s="14" t="s">
        <v>23434</v>
      </c>
      <c r="O104" s="14" t="s">
        <v>23439</v>
      </c>
      <c r="P104" s="14" t="s">
        <v>24847</v>
      </c>
      <c r="Q104" s="14" t="s">
        <v>23842</v>
      </c>
      <c r="R104" s="14" t="s">
        <v>23434</v>
      </c>
      <c r="S104" s="14" t="s">
        <v>24848</v>
      </c>
      <c r="T104" s="14" t="s">
        <v>23436</v>
      </c>
      <c r="U104" s="14" t="s">
        <v>23434</v>
      </c>
      <c r="V104" s="14" t="s">
        <v>24849</v>
      </c>
      <c r="W104" s="14" t="s">
        <v>22818</v>
      </c>
      <c r="X104" s="80"/>
      <c r="Y104" s="14" t="s">
        <v>23438</v>
      </c>
      <c r="Z104" s="81">
        <v>45691.6134375</v>
      </c>
      <c r="AA104" s="79">
        <f>IFERROR((COUNTIFS('Base de Dados'!ED:ED,"Sim",'Base de Dados'!A:A,A104,'Base de Dados'!B:B,B104)/(COUNTIFS('Base de Dados'!ED:ED,"Sim",'Base de Dados'!A:A,A104,'Base de Dados'!B:B,B104)+(COUNTIFS('Base de Dados'!ED:ED,"Não",'Base de Dados'!A:A,A104,'Base de Dados'!B:B,B104)))),"Não Aplica")</f>
        <v>1</v>
      </c>
      <c r="AB104" s="14" t="s">
        <v>23434</v>
      </c>
      <c r="AC104" s="14" t="s">
        <v>24850</v>
      </c>
      <c r="AD104" s="14" t="s">
        <v>23842</v>
      </c>
      <c r="AE104" s="14" t="s">
        <v>23434</v>
      </c>
      <c r="AF104" s="14" t="s">
        <v>24851</v>
      </c>
      <c r="AG104" s="14" t="s">
        <v>22818</v>
      </c>
      <c r="AH104" s="80"/>
      <c r="AI104" s="14" t="s">
        <v>23438</v>
      </c>
      <c r="AJ104" s="81">
        <v>45692.54336805556</v>
      </c>
      <c r="AK104" s="82" t="s">
        <v>23446</v>
      </c>
      <c r="AL104" s="14" t="s">
        <v>23434</v>
      </c>
      <c r="AM104" s="14" t="s">
        <v>23439</v>
      </c>
      <c r="AN104" s="14" t="s">
        <v>24852</v>
      </c>
      <c r="AO104" s="14" t="s">
        <v>23842</v>
      </c>
      <c r="AP104" s="14" t="s">
        <v>23434</v>
      </c>
      <c r="AQ104" s="14" t="s">
        <v>23448</v>
      </c>
      <c r="AR104" s="14" t="s">
        <v>24853</v>
      </c>
      <c r="AS104" s="14" t="s">
        <v>23848</v>
      </c>
      <c r="AT104" s="14" t="s">
        <v>23434</v>
      </c>
      <c r="AU104" s="14" t="s">
        <v>23453</v>
      </c>
      <c r="AV104" s="14" t="s">
        <v>24854</v>
      </c>
      <c r="AW104" s="14" t="s">
        <v>23455</v>
      </c>
      <c r="AX104" s="14" t="s">
        <v>23434</v>
      </c>
      <c r="AY104" s="14" t="s">
        <v>23451</v>
      </c>
      <c r="AZ104" s="14" t="s">
        <v>24855</v>
      </c>
      <c r="BA104" s="14" t="s">
        <v>22818</v>
      </c>
      <c r="BB104" s="80"/>
      <c r="BC104" s="14" t="s">
        <v>23438</v>
      </c>
      <c r="BD104" s="81">
        <v>45721.64975694445</v>
      </c>
      <c r="BE104" s="79">
        <f>IFERROR((COUNTIFS('Base de Dados'!FD:FD,"Sim",'Base de Dados'!A:A,A104,'Base de Dados'!B:B,B104)/(COUNTIFS('Base de Dados'!FD:FD,"Sim",'Base de Dados'!A:A,A104,'Base de Dados'!B:B,B104)+(COUNTIFS('Base de Dados'!FD:FD,"Não",'Base de Dados'!A:A,A104,'Base de Dados'!B:B,B104)))),"Não Aplica")</f>
        <v>1</v>
      </c>
      <c r="BF104" s="14" t="s">
        <v>23434</v>
      </c>
      <c r="BG104" s="14" t="s">
        <v>23439</v>
      </c>
      <c r="BH104" s="14" t="s">
        <v>24856</v>
      </c>
      <c r="BI104" s="14" t="s">
        <v>23842</v>
      </c>
      <c r="BJ104" s="80"/>
      <c r="BK104" s="80"/>
      <c r="BL104" s="80"/>
      <c r="BM104" s="80"/>
      <c r="BN104" s="14" t="s">
        <v>23434</v>
      </c>
      <c r="BO104" s="14" t="s">
        <v>23453</v>
      </c>
      <c r="BP104" s="14" t="s">
        <v>24857</v>
      </c>
      <c r="BQ104" s="14" t="s">
        <v>23455</v>
      </c>
      <c r="BR104" s="14" t="s">
        <v>23434</v>
      </c>
      <c r="BS104" s="14" t="s">
        <v>23451</v>
      </c>
      <c r="BT104" s="14" t="s">
        <v>24858</v>
      </c>
      <c r="BU104" s="14" t="s">
        <v>22818</v>
      </c>
      <c r="BV104" s="80"/>
      <c r="BW104" s="14" t="s">
        <v>23438</v>
      </c>
      <c r="BX104" s="81">
        <v>45723.329363425924</v>
      </c>
      <c r="BY104" s="82" t="s">
        <v>23446</v>
      </c>
      <c r="BZ104" s="15"/>
      <c r="CA104" s="15"/>
      <c r="CB104" s="15"/>
      <c r="CC104" s="15"/>
      <c r="CD104" s="80"/>
      <c r="CE104" s="80"/>
      <c r="CF104" s="80"/>
      <c r="CG104" s="80"/>
      <c r="CH104" s="15"/>
      <c r="CI104" s="15"/>
      <c r="CJ104" s="15"/>
      <c r="CK104" s="15"/>
      <c r="CL104" s="15"/>
      <c r="CM104" s="15"/>
      <c r="CN104" s="15"/>
      <c r="CO104" s="15"/>
      <c r="CP104" s="80"/>
      <c r="CQ104" s="80" t="s">
        <v>23459</v>
      </c>
      <c r="CR104" s="83"/>
      <c r="CS104" s="84"/>
    </row>
    <row r="105">
      <c r="A105" s="78" t="s">
        <v>217</v>
      </c>
      <c r="B105" s="78" t="s">
        <v>6715</v>
      </c>
      <c r="C105" s="79">
        <f>IFERROR((COUNTIFS('Base de Dados'!BT:BT,"Sim",'Base de Dados'!A:A,A105,'Base de Dados'!B:B,B105)/(COUNTIFS('Base de Dados'!BT:BT,"Sim",'Base de Dados'!A:A,A105,'Base de Dados'!B:B,B105)+(COUNTIFS('Base de Dados'!BT:BT,"Não",'Base de Dados'!A:A,A105,'Base de Dados'!B:B,B105)))),"Não Aplica")</f>
        <v>1</v>
      </c>
      <c r="D105" s="14" t="s">
        <v>23434</v>
      </c>
      <c r="E105" s="14" t="s">
        <v>24859</v>
      </c>
      <c r="F105" s="14" t="s">
        <v>23436</v>
      </c>
      <c r="G105" s="14" t="s">
        <v>23434</v>
      </c>
      <c r="H105" s="14" t="s">
        <v>24860</v>
      </c>
      <c r="I105" s="14" t="s">
        <v>22818</v>
      </c>
      <c r="J105" s="80"/>
      <c r="K105" s="14" t="s">
        <v>23438</v>
      </c>
      <c r="L105" s="81">
        <v>45685.64886574074</v>
      </c>
      <c r="M105" s="79">
        <f>IFERROR((COUNTIFS('Base de Dados'!DF:DF,"Sim",'Base de Dados'!A:A,A105,'Base de Dados'!B:B,B105)/(COUNTIFS('Base de Dados'!DF:DF,"Sim",'Base de Dados'!A:A,A105,'Base de Dados'!B:B,B105)+(COUNTIFS('Base de Dados'!DF:DF,"Não",'Base de Dados'!A:A,A105,'Base de Dados'!B:B,B105)))),"Não Aplica")</f>
        <v>1</v>
      </c>
      <c r="N105" s="14" t="s">
        <v>23434</v>
      </c>
      <c r="O105" s="14" t="s">
        <v>23602</v>
      </c>
      <c r="P105" s="14" t="s">
        <v>24861</v>
      </c>
      <c r="Q105" s="14" t="s">
        <v>23436</v>
      </c>
      <c r="R105" s="14" t="s">
        <v>23434</v>
      </c>
      <c r="S105" s="14" t="s">
        <v>24862</v>
      </c>
      <c r="T105" s="14" t="s">
        <v>23842</v>
      </c>
      <c r="U105" s="14" t="s">
        <v>23434</v>
      </c>
      <c r="V105" s="14" t="s">
        <v>24863</v>
      </c>
      <c r="W105" s="14" t="s">
        <v>22818</v>
      </c>
      <c r="X105" s="80"/>
      <c r="Y105" s="14" t="s">
        <v>23438</v>
      </c>
      <c r="Z105" s="81">
        <v>45691.61341435185</v>
      </c>
      <c r="AA105" s="79">
        <f>IFERROR((COUNTIFS('Base de Dados'!ED:ED,"Sim",'Base de Dados'!A:A,A105,'Base de Dados'!B:B,B105)/(COUNTIFS('Base de Dados'!ED:ED,"Sim",'Base de Dados'!A:A,A105,'Base de Dados'!B:B,B105)+(COUNTIFS('Base de Dados'!ED:ED,"Não",'Base de Dados'!A:A,A105,'Base de Dados'!B:B,B105)))),"Não Aplica")</f>
        <v>1</v>
      </c>
      <c r="AB105" s="14" t="s">
        <v>23434</v>
      </c>
      <c r="AC105" s="14" t="s">
        <v>24864</v>
      </c>
      <c r="AD105" s="14" t="s">
        <v>23842</v>
      </c>
      <c r="AE105" s="14" t="s">
        <v>23434</v>
      </c>
      <c r="AF105" s="14" t="s">
        <v>24865</v>
      </c>
      <c r="AG105" s="14" t="s">
        <v>22818</v>
      </c>
      <c r="AH105" s="80"/>
      <c r="AI105" s="14" t="s">
        <v>23438</v>
      </c>
      <c r="AJ105" s="81">
        <v>45692.543391203704</v>
      </c>
      <c r="AK105" s="82" t="s">
        <v>23446</v>
      </c>
      <c r="AL105" s="14" t="s">
        <v>23434</v>
      </c>
      <c r="AM105" s="14" t="s">
        <v>23439</v>
      </c>
      <c r="AN105" s="14" t="s">
        <v>24866</v>
      </c>
      <c r="AO105" s="14" t="s">
        <v>23842</v>
      </c>
      <c r="AP105" s="14" t="s">
        <v>23434</v>
      </c>
      <c r="AQ105" s="14" t="s">
        <v>23448</v>
      </c>
      <c r="AR105" s="14" t="s">
        <v>24867</v>
      </c>
      <c r="AS105" s="14" t="s">
        <v>23848</v>
      </c>
      <c r="AT105" s="14" t="s">
        <v>23434</v>
      </c>
      <c r="AU105" s="14" t="s">
        <v>23453</v>
      </c>
      <c r="AV105" s="14" t="s">
        <v>24868</v>
      </c>
      <c r="AW105" s="14" t="s">
        <v>23455</v>
      </c>
      <c r="AX105" s="14" t="s">
        <v>23434</v>
      </c>
      <c r="AY105" s="14" t="s">
        <v>23451</v>
      </c>
      <c r="AZ105" s="14" t="s">
        <v>24869</v>
      </c>
      <c r="BA105" s="14" t="s">
        <v>22818</v>
      </c>
      <c r="BB105" s="80"/>
      <c r="BC105" s="14" t="s">
        <v>23438</v>
      </c>
      <c r="BD105" s="81">
        <v>45721.64983796296</v>
      </c>
      <c r="BE105" s="79">
        <f>IFERROR((COUNTIFS('Base de Dados'!FD:FD,"Sim",'Base de Dados'!A:A,A105,'Base de Dados'!B:B,B105)/(COUNTIFS('Base de Dados'!FD:FD,"Sim",'Base de Dados'!A:A,A105,'Base de Dados'!B:B,B105)+(COUNTIFS('Base de Dados'!FD:FD,"Não",'Base de Dados'!A:A,A105,'Base de Dados'!B:B,B105)))),"Não Aplica")</f>
        <v>1</v>
      </c>
      <c r="BF105" s="14" t="s">
        <v>23434</v>
      </c>
      <c r="BG105" s="14" t="s">
        <v>23439</v>
      </c>
      <c r="BH105" s="14" t="s">
        <v>24870</v>
      </c>
      <c r="BI105" s="14" t="s">
        <v>23842</v>
      </c>
      <c r="BJ105" s="80"/>
      <c r="BK105" s="80"/>
      <c r="BL105" s="80"/>
      <c r="BM105" s="80"/>
      <c r="BN105" s="14" t="s">
        <v>23434</v>
      </c>
      <c r="BO105" s="14" t="s">
        <v>23453</v>
      </c>
      <c r="BP105" s="14" t="s">
        <v>24871</v>
      </c>
      <c r="BQ105" s="14" t="s">
        <v>23455</v>
      </c>
      <c r="BR105" s="14" t="s">
        <v>23434</v>
      </c>
      <c r="BS105" s="14" t="s">
        <v>23451</v>
      </c>
      <c r="BT105" s="14" t="s">
        <v>24872</v>
      </c>
      <c r="BU105" s="14" t="s">
        <v>22818</v>
      </c>
      <c r="BV105" s="80"/>
      <c r="BW105" s="14" t="s">
        <v>23438</v>
      </c>
      <c r="BX105" s="81">
        <v>45723.32927083333</v>
      </c>
      <c r="BY105" s="82" t="s">
        <v>23446</v>
      </c>
      <c r="BZ105" s="15"/>
      <c r="CA105" s="15"/>
      <c r="CB105" s="15"/>
      <c r="CC105" s="15"/>
      <c r="CD105" s="80"/>
      <c r="CE105" s="80"/>
      <c r="CF105" s="80"/>
      <c r="CG105" s="80"/>
      <c r="CH105" s="15"/>
      <c r="CI105" s="15"/>
      <c r="CJ105" s="15"/>
      <c r="CK105" s="15"/>
      <c r="CL105" s="15"/>
      <c r="CM105" s="15"/>
      <c r="CN105" s="15"/>
      <c r="CO105" s="15"/>
      <c r="CP105" s="80"/>
      <c r="CQ105" s="80" t="s">
        <v>23459</v>
      </c>
      <c r="CR105" s="83"/>
      <c r="CS105" s="84"/>
    </row>
    <row r="106">
      <c r="A106" s="78" t="s">
        <v>217</v>
      </c>
      <c r="B106" s="78" t="s">
        <v>6785</v>
      </c>
      <c r="C106" s="79">
        <f>IFERROR((COUNTIFS('Base de Dados'!BT:BT,"Sim",'Base de Dados'!A:A,A106,'Base de Dados'!B:B,B106)/(COUNTIFS('Base de Dados'!BT:BT,"Sim",'Base de Dados'!A:A,A106,'Base de Dados'!B:B,B106)+(COUNTIFS('Base de Dados'!BT:BT,"Não",'Base de Dados'!A:A,A106,'Base de Dados'!B:B,B106)))),"Não Aplica")</f>
        <v>1</v>
      </c>
      <c r="D106" s="14" t="s">
        <v>23434</v>
      </c>
      <c r="E106" s="14" t="s">
        <v>24873</v>
      </c>
      <c r="F106" s="14" t="s">
        <v>23436</v>
      </c>
      <c r="G106" s="14" t="s">
        <v>23434</v>
      </c>
      <c r="H106" s="14" t="s">
        <v>24874</v>
      </c>
      <c r="I106" s="14" t="s">
        <v>22818</v>
      </c>
      <c r="J106" s="80"/>
      <c r="K106" s="14" t="s">
        <v>23438</v>
      </c>
      <c r="L106" s="81">
        <v>45688.508101851854</v>
      </c>
      <c r="M106" s="79">
        <f>IFERROR((COUNTIFS('Base de Dados'!DF:DF,"Sim",'Base de Dados'!A:A,A106,'Base de Dados'!B:B,B106)/(COUNTIFS('Base de Dados'!DF:DF,"Sim",'Base de Dados'!A:A,A106,'Base de Dados'!B:B,B106)+(COUNTIFS('Base de Dados'!DF:DF,"Não",'Base de Dados'!A:A,A106,'Base de Dados'!B:B,B106)))),"Não Aplica")</f>
        <v>1</v>
      </c>
      <c r="N106" s="14" t="s">
        <v>23434</v>
      </c>
      <c r="O106" s="14" t="s">
        <v>23439</v>
      </c>
      <c r="P106" s="14" t="s">
        <v>24875</v>
      </c>
      <c r="Q106" s="14" t="s">
        <v>23842</v>
      </c>
      <c r="R106" s="14" t="s">
        <v>23434</v>
      </c>
      <c r="S106" s="14" t="s">
        <v>24876</v>
      </c>
      <c r="T106" s="14" t="s">
        <v>23436</v>
      </c>
      <c r="U106" s="14" t="s">
        <v>23434</v>
      </c>
      <c r="V106" s="14" t="s">
        <v>24877</v>
      </c>
      <c r="W106" s="14" t="s">
        <v>22818</v>
      </c>
      <c r="X106" s="80"/>
      <c r="Y106" s="14" t="s">
        <v>23438</v>
      </c>
      <c r="Z106" s="81">
        <v>45691.61347222222</v>
      </c>
      <c r="AA106" s="79">
        <f>IFERROR((COUNTIFS('Base de Dados'!ED:ED,"Sim",'Base de Dados'!A:A,A106,'Base de Dados'!B:B,B106)/(COUNTIFS('Base de Dados'!ED:ED,"Sim",'Base de Dados'!A:A,A106,'Base de Dados'!B:B,B106)+(COUNTIFS('Base de Dados'!ED:ED,"Não",'Base de Dados'!A:A,A106,'Base de Dados'!B:B,B106)))),"Não Aplica")</f>
        <v>1</v>
      </c>
      <c r="AB106" s="14" t="s">
        <v>23434</v>
      </c>
      <c r="AC106" s="14" t="s">
        <v>24878</v>
      </c>
      <c r="AD106" s="14" t="s">
        <v>23842</v>
      </c>
      <c r="AE106" s="14" t="s">
        <v>23434</v>
      </c>
      <c r="AF106" s="14" t="s">
        <v>24879</v>
      </c>
      <c r="AG106" s="14" t="s">
        <v>22818</v>
      </c>
      <c r="AH106" s="80"/>
      <c r="AI106" s="14" t="s">
        <v>23438</v>
      </c>
      <c r="AJ106" s="81">
        <v>45692.54341435185</v>
      </c>
      <c r="AK106" s="82" t="s">
        <v>23446</v>
      </c>
      <c r="AL106" s="14" t="s">
        <v>23434</v>
      </c>
      <c r="AM106" s="14" t="s">
        <v>23439</v>
      </c>
      <c r="AN106" s="14" t="s">
        <v>24880</v>
      </c>
      <c r="AO106" s="14" t="s">
        <v>23842</v>
      </c>
      <c r="AP106" s="14" t="s">
        <v>23434</v>
      </c>
      <c r="AQ106" s="14" t="s">
        <v>23448</v>
      </c>
      <c r="AR106" s="14" t="s">
        <v>24881</v>
      </c>
      <c r="AS106" s="14" t="s">
        <v>23848</v>
      </c>
      <c r="AT106" s="14" t="s">
        <v>23434</v>
      </c>
      <c r="AU106" s="14" t="s">
        <v>23453</v>
      </c>
      <c r="AV106" s="14" t="s">
        <v>24882</v>
      </c>
      <c r="AW106" s="14" t="s">
        <v>23455</v>
      </c>
      <c r="AX106" s="14" t="s">
        <v>23434</v>
      </c>
      <c r="AY106" s="14" t="s">
        <v>23451</v>
      </c>
      <c r="AZ106" s="14" t="s">
        <v>24883</v>
      </c>
      <c r="BA106" s="14" t="s">
        <v>22818</v>
      </c>
      <c r="BB106" s="80"/>
      <c r="BC106" s="14" t="s">
        <v>23438</v>
      </c>
      <c r="BD106" s="81">
        <v>45721.64988425926</v>
      </c>
      <c r="BE106" s="79">
        <f>IFERROR((COUNTIFS('Base de Dados'!FD:FD,"Sim",'Base de Dados'!A:A,A106,'Base de Dados'!B:B,B106)/(COUNTIFS('Base de Dados'!FD:FD,"Sim",'Base de Dados'!A:A,A106,'Base de Dados'!B:B,B106)+(COUNTIFS('Base de Dados'!FD:FD,"Não",'Base de Dados'!A:A,A106,'Base de Dados'!B:B,B106)))),"Não Aplica")</f>
        <v>1</v>
      </c>
      <c r="BF106" s="14" t="s">
        <v>23434</v>
      </c>
      <c r="BG106" s="14" t="s">
        <v>23439</v>
      </c>
      <c r="BH106" s="14" t="s">
        <v>24884</v>
      </c>
      <c r="BI106" s="14" t="s">
        <v>23842</v>
      </c>
      <c r="BJ106" s="80"/>
      <c r="BK106" s="80"/>
      <c r="BL106" s="80"/>
      <c r="BM106" s="80"/>
      <c r="BN106" s="14" t="s">
        <v>23434</v>
      </c>
      <c r="BO106" s="14" t="s">
        <v>23453</v>
      </c>
      <c r="BP106" s="14" t="s">
        <v>24885</v>
      </c>
      <c r="BQ106" s="14" t="s">
        <v>23455</v>
      </c>
      <c r="BR106" s="14" t="s">
        <v>23434</v>
      </c>
      <c r="BS106" s="14" t="s">
        <v>23451</v>
      </c>
      <c r="BT106" s="14" t="s">
        <v>24886</v>
      </c>
      <c r="BU106" s="14" t="s">
        <v>22818</v>
      </c>
      <c r="BV106" s="80"/>
      <c r="BW106" s="14" t="s">
        <v>23438</v>
      </c>
      <c r="BX106" s="81">
        <v>45723.329305555555</v>
      </c>
      <c r="BY106" s="82" t="s">
        <v>23446</v>
      </c>
      <c r="BZ106" s="15"/>
      <c r="CA106" s="15"/>
      <c r="CB106" s="15"/>
      <c r="CC106" s="15"/>
      <c r="CD106" s="80"/>
      <c r="CE106" s="80"/>
      <c r="CF106" s="80"/>
      <c r="CG106" s="80"/>
      <c r="CH106" s="15"/>
      <c r="CI106" s="15"/>
      <c r="CJ106" s="15"/>
      <c r="CK106" s="15"/>
      <c r="CL106" s="15"/>
      <c r="CM106" s="15"/>
      <c r="CN106" s="15"/>
      <c r="CO106" s="15"/>
      <c r="CP106" s="80"/>
      <c r="CQ106" s="80" t="s">
        <v>23459</v>
      </c>
      <c r="CR106" s="83"/>
      <c r="CS106" s="84"/>
    </row>
    <row r="107">
      <c r="A107" s="78" t="s">
        <v>217</v>
      </c>
      <c r="B107" s="78" t="s">
        <v>11556</v>
      </c>
      <c r="C107" s="79">
        <f>IFERROR((COUNTIFS('Base de Dados'!BT:BT,"Sim",'Base de Dados'!A:A,A107,'Base de Dados'!B:B,B107)/(COUNTIFS('Base de Dados'!BT:BT,"Sim",'Base de Dados'!A:A,A107,'Base de Dados'!B:B,B107)+(COUNTIFS('Base de Dados'!BT:BT,"Não",'Base de Dados'!A:A,A107,'Base de Dados'!B:B,B107)))),"Não Aplica")</f>
        <v>1</v>
      </c>
      <c r="D107" s="14" t="s">
        <v>23434</v>
      </c>
      <c r="E107" s="14" t="s">
        <v>24887</v>
      </c>
      <c r="F107" s="14" t="s">
        <v>23436</v>
      </c>
      <c r="G107" s="14" t="s">
        <v>23434</v>
      </c>
      <c r="H107" s="14" t="s">
        <v>24888</v>
      </c>
      <c r="I107" s="14" t="s">
        <v>22818</v>
      </c>
      <c r="J107" s="80"/>
      <c r="K107" s="14" t="s">
        <v>23438</v>
      </c>
      <c r="L107" s="81">
        <v>45687.66085648148</v>
      </c>
      <c r="M107" s="79">
        <f>IFERROR((COUNTIFS('Base de Dados'!DF:DF,"Sim",'Base de Dados'!A:A,A107,'Base de Dados'!B:B,B107)/(COUNTIFS('Base de Dados'!DF:DF,"Sim",'Base de Dados'!A:A,A107,'Base de Dados'!B:B,B107)+(COUNTIFS('Base de Dados'!DF:DF,"Não",'Base de Dados'!A:A,A107,'Base de Dados'!B:B,B107)))),"Não Aplica")</f>
        <v>1</v>
      </c>
      <c r="N107" s="14" t="s">
        <v>23434</v>
      </c>
      <c r="O107" s="14" t="s">
        <v>23439</v>
      </c>
      <c r="P107" s="14" t="s">
        <v>24889</v>
      </c>
      <c r="Q107" s="14" t="s">
        <v>23842</v>
      </c>
      <c r="R107" s="14" t="s">
        <v>23434</v>
      </c>
      <c r="S107" s="14" t="s">
        <v>24890</v>
      </c>
      <c r="T107" s="14" t="s">
        <v>23436</v>
      </c>
      <c r="U107" s="14" t="s">
        <v>23434</v>
      </c>
      <c r="V107" s="14" t="s">
        <v>24891</v>
      </c>
      <c r="W107" s="14" t="s">
        <v>22818</v>
      </c>
      <c r="X107" s="80"/>
      <c r="Y107" s="14" t="s">
        <v>23438</v>
      </c>
      <c r="Z107" s="81">
        <v>45691.613530092596</v>
      </c>
      <c r="AA107" s="79">
        <f>IFERROR((COUNTIFS('Base de Dados'!ED:ED,"Sim",'Base de Dados'!A:A,A107,'Base de Dados'!B:B,B107)/(COUNTIFS('Base de Dados'!ED:ED,"Sim",'Base de Dados'!A:A,A107,'Base de Dados'!B:B,B107)+(COUNTIFS('Base de Dados'!ED:ED,"Não",'Base de Dados'!A:A,A107,'Base de Dados'!B:B,B107)))),"Não Aplica")</f>
        <v>1</v>
      </c>
      <c r="AB107" s="14" t="s">
        <v>23434</v>
      </c>
      <c r="AC107" s="14" t="s">
        <v>24892</v>
      </c>
      <c r="AD107" s="14" t="s">
        <v>23842</v>
      </c>
      <c r="AE107" s="14" t="s">
        <v>23434</v>
      </c>
      <c r="AF107" s="14" t="s">
        <v>24893</v>
      </c>
      <c r="AG107" s="14" t="s">
        <v>22818</v>
      </c>
      <c r="AH107" s="80"/>
      <c r="AI107" s="14" t="s">
        <v>23438</v>
      </c>
      <c r="AJ107" s="81">
        <v>45692.54342592593</v>
      </c>
      <c r="AK107" s="82" t="s">
        <v>23446</v>
      </c>
      <c r="AL107" s="14" t="s">
        <v>23434</v>
      </c>
      <c r="AM107" s="14" t="s">
        <v>23439</v>
      </c>
      <c r="AN107" s="14" t="s">
        <v>24894</v>
      </c>
      <c r="AO107" s="14" t="s">
        <v>23842</v>
      </c>
      <c r="AP107" s="14" t="s">
        <v>23434</v>
      </c>
      <c r="AQ107" s="14" t="s">
        <v>23448</v>
      </c>
      <c r="AR107" s="14" t="s">
        <v>24895</v>
      </c>
      <c r="AS107" s="14" t="s">
        <v>23848</v>
      </c>
      <c r="AT107" s="14" t="s">
        <v>23434</v>
      </c>
      <c r="AU107" s="14" t="s">
        <v>23453</v>
      </c>
      <c r="AV107" s="14" t="s">
        <v>24896</v>
      </c>
      <c r="AW107" s="14" t="s">
        <v>23455</v>
      </c>
      <c r="AX107" s="14" t="s">
        <v>23434</v>
      </c>
      <c r="AY107" s="14" t="s">
        <v>23451</v>
      </c>
      <c r="AZ107" s="14" t="s">
        <v>24897</v>
      </c>
      <c r="BA107" s="14" t="s">
        <v>22818</v>
      </c>
      <c r="BB107" s="80"/>
      <c r="BC107" s="14" t="s">
        <v>23438</v>
      </c>
      <c r="BD107" s="81">
        <v>45721.604421296295</v>
      </c>
      <c r="BE107" s="79">
        <f>IFERROR((COUNTIFS('Base de Dados'!FD:FD,"Sim",'Base de Dados'!A:A,A107,'Base de Dados'!B:B,B107)/(COUNTIFS('Base de Dados'!FD:FD,"Sim",'Base de Dados'!A:A,A107,'Base de Dados'!B:B,B107)+(COUNTIFS('Base de Dados'!FD:FD,"Não",'Base de Dados'!A:A,A107,'Base de Dados'!B:B,B107)))),"Não Aplica")</f>
        <v>1</v>
      </c>
      <c r="BF107" s="14" t="s">
        <v>23434</v>
      </c>
      <c r="BG107" s="14" t="s">
        <v>23439</v>
      </c>
      <c r="BH107" s="14" t="s">
        <v>24898</v>
      </c>
      <c r="BI107" s="14" t="s">
        <v>23842</v>
      </c>
      <c r="BJ107" s="80"/>
      <c r="BK107" s="80"/>
      <c r="BL107" s="80"/>
      <c r="BM107" s="80"/>
      <c r="BN107" s="14" t="s">
        <v>23434</v>
      </c>
      <c r="BO107" s="14" t="s">
        <v>23453</v>
      </c>
      <c r="BP107" s="14" t="s">
        <v>24899</v>
      </c>
      <c r="BQ107" s="14" t="s">
        <v>23455</v>
      </c>
      <c r="BR107" s="14" t="s">
        <v>23434</v>
      </c>
      <c r="BS107" s="14" t="s">
        <v>23451</v>
      </c>
      <c r="BT107" s="14" t="s">
        <v>24900</v>
      </c>
      <c r="BU107" s="14" t="s">
        <v>22818</v>
      </c>
      <c r="BV107" s="80"/>
      <c r="BW107" s="14" t="s">
        <v>23438</v>
      </c>
      <c r="BX107" s="81">
        <v>45723.3293287037</v>
      </c>
      <c r="BY107" s="82" t="s">
        <v>23446</v>
      </c>
      <c r="BZ107" s="15"/>
      <c r="CA107" s="15"/>
      <c r="CB107" s="15"/>
      <c r="CC107" s="15"/>
      <c r="CD107" s="80"/>
      <c r="CE107" s="80"/>
      <c r="CF107" s="80"/>
      <c r="CG107" s="80"/>
      <c r="CH107" s="15"/>
      <c r="CI107" s="15"/>
      <c r="CJ107" s="15"/>
      <c r="CK107" s="15"/>
      <c r="CL107" s="15"/>
      <c r="CM107" s="15"/>
      <c r="CN107" s="15"/>
      <c r="CO107" s="15"/>
      <c r="CP107" s="80"/>
      <c r="CQ107" s="80" t="s">
        <v>23459</v>
      </c>
      <c r="CR107" s="83"/>
      <c r="CS107" s="84"/>
    </row>
    <row r="108">
      <c r="A108" s="78" t="s">
        <v>217</v>
      </c>
      <c r="B108" s="78" t="s">
        <v>2352</v>
      </c>
      <c r="C108" s="79">
        <f>IFERROR((COUNTIFS('Base de Dados'!BT:BT,"Sim",'Base de Dados'!A:A,A108,'Base de Dados'!B:B,B108)/(COUNTIFS('Base de Dados'!BT:BT,"Sim",'Base de Dados'!A:A,A108,'Base de Dados'!B:B,B108)+(COUNTIFS('Base de Dados'!BT:BT,"Não",'Base de Dados'!A:A,A108,'Base de Dados'!B:B,B108)))),"Não Aplica")</f>
        <v>1</v>
      </c>
      <c r="D108" s="14" t="s">
        <v>23434</v>
      </c>
      <c r="E108" s="14" t="s">
        <v>24901</v>
      </c>
      <c r="F108" s="14" t="s">
        <v>23436</v>
      </c>
      <c r="G108" s="14" t="s">
        <v>23434</v>
      </c>
      <c r="H108" s="14" t="s">
        <v>24902</v>
      </c>
      <c r="I108" s="14" t="s">
        <v>22818</v>
      </c>
      <c r="J108" s="80"/>
      <c r="K108" s="14" t="s">
        <v>23438</v>
      </c>
      <c r="L108" s="81">
        <v>45687.391180555554</v>
      </c>
      <c r="M108" s="79">
        <f>IFERROR((COUNTIFS('Base de Dados'!DF:DF,"Sim",'Base de Dados'!A:A,A108,'Base de Dados'!B:B,B108)/(COUNTIFS('Base de Dados'!DF:DF,"Sim",'Base de Dados'!A:A,A108,'Base de Dados'!B:B,B108)+(COUNTIFS('Base de Dados'!DF:DF,"Não",'Base de Dados'!A:A,A108,'Base de Dados'!B:B,B108)))),"Não Aplica")</f>
        <v>1</v>
      </c>
      <c r="N108" s="14" t="s">
        <v>23434</v>
      </c>
      <c r="O108" s="14" t="s">
        <v>23602</v>
      </c>
      <c r="P108" s="14" t="s">
        <v>24903</v>
      </c>
      <c r="Q108" s="14" t="s">
        <v>23436</v>
      </c>
      <c r="R108" s="14" t="s">
        <v>23434</v>
      </c>
      <c r="S108" s="14" t="s">
        <v>24904</v>
      </c>
      <c r="T108" s="14" t="s">
        <v>23842</v>
      </c>
      <c r="U108" s="14" t="s">
        <v>23434</v>
      </c>
      <c r="V108" s="14" t="s">
        <v>24905</v>
      </c>
      <c r="W108" s="14" t="s">
        <v>22818</v>
      </c>
      <c r="X108" s="80"/>
      <c r="Y108" s="14" t="s">
        <v>23438</v>
      </c>
      <c r="Z108" s="81">
        <v>45691.613587962966</v>
      </c>
      <c r="AA108" s="79">
        <f>IFERROR((COUNTIFS('Base de Dados'!ED:ED,"Sim",'Base de Dados'!A:A,A108,'Base de Dados'!B:B,B108)/(COUNTIFS('Base de Dados'!ED:ED,"Sim",'Base de Dados'!A:A,A108,'Base de Dados'!B:B,B108)+(COUNTIFS('Base de Dados'!ED:ED,"Não",'Base de Dados'!A:A,A108,'Base de Dados'!B:B,B108)))),"Não Aplica")</f>
        <v>1</v>
      </c>
      <c r="AB108" s="14" t="s">
        <v>23434</v>
      </c>
      <c r="AC108" s="14" t="s">
        <v>24906</v>
      </c>
      <c r="AD108" s="14" t="s">
        <v>23842</v>
      </c>
      <c r="AE108" s="14" t="s">
        <v>23434</v>
      </c>
      <c r="AF108" s="14" t="s">
        <v>24907</v>
      </c>
      <c r="AG108" s="14" t="s">
        <v>22818</v>
      </c>
      <c r="AH108" s="80"/>
      <c r="AI108" s="14" t="s">
        <v>23438</v>
      </c>
      <c r="AJ108" s="81">
        <v>45692.54344907407</v>
      </c>
      <c r="AK108" s="82" t="s">
        <v>23446</v>
      </c>
      <c r="AL108" s="14" t="s">
        <v>23434</v>
      </c>
      <c r="AM108" s="14" t="s">
        <v>23448</v>
      </c>
      <c r="AN108" s="14" t="s">
        <v>24908</v>
      </c>
      <c r="AO108" s="14" t="s">
        <v>23848</v>
      </c>
      <c r="AP108" s="14" t="s">
        <v>23434</v>
      </c>
      <c r="AQ108" s="14" t="s">
        <v>23439</v>
      </c>
      <c r="AR108" s="14" t="s">
        <v>24909</v>
      </c>
      <c r="AS108" s="14" t="s">
        <v>23842</v>
      </c>
      <c r="AT108" s="14" t="s">
        <v>23434</v>
      </c>
      <c r="AU108" s="14" t="s">
        <v>23453</v>
      </c>
      <c r="AV108" s="14" t="s">
        <v>24910</v>
      </c>
      <c r="AW108" s="14" t="s">
        <v>23455</v>
      </c>
      <c r="AX108" s="14" t="s">
        <v>23434</v>
      </c>
      <c r="AY108" s="14" t="s">
        <v>23451</v>
      </c>
      <c r="AZ108" s="14" t="s">
        <v>24911</v>
      </c>
      <c r="BA108" s="14" t="s">
        <v>22818</v>
      </c>
      <c r="BB108" s="80"/>
      <c r="BC108" s="14" t="s">
        <v>23438</v>
      </c>
      <c r="BD108" s="81">
        <v>45721.319074074076</v>
      </c>
      <c r="BE108" s="79">
        <f>IFERROR((COUNTIFS('Base de Dados'!FD:FD,"Sim",'Base de Dados'!A:A,A108,'Base de Dados'!B:B,B108)/(COUNTIFS('Base de Dados'!FD:FD,"Sim",'Base de Dados'!A:A,A108,'Base de Dados'!B:B,B108)+(COUNTIFS('Base de Dados'!FD:FD,"Não",'Base de Dados'!A:A,A108,'Base de Dados'!B:B,B108)))),"Não Aplica")</f>
        <v>1</v>
      </c>
      <c r="BF108" s="14" t="s">
        <v>23434</v>
      </c>
      <c r="BG108" s="14" t="s">
        <v>23439</v>
      </c>
      <c r="BH108" s="14" t="s">
        <v>24912</v>
      </c>
      <c r="BI108" s="14" t="s">
        <v>23842</v>
      </c>
      <c r="BJ108" s="80"/>
      <c r="BK108" s="80"/>
      <c r="BL108" s="80"/>
      <c r="BM108" s="80"/>
      <c r="BN108" s="14" t="s">
        <v>23434</v>
      </c>
      <c r="BO108" s="14" t="s">
        <v>23453</v>
      </c>
      <c r="BP108" s="14" t="s">
        <v>24913</v>
      </c>
      <c r="BQ108" s="14" t="s">
        <v>23455</v>
      </c>
      <c r="BR108" s="14" t="s">
        <v>23434</v>
      </c>
      <c r="BS108" s="14" t="s">
        <v>23451</v>
      </c>
      <c r="BT108" s="14" t="s">
        <v>24914</v>
      </c>
      <c r="BU108" s="14" t="s">
        <v>22818</v>
      </c>
      <c r="BV108" s="80"/>
      <c r="BW108" s="14" t="s">
        <v>23438</v>
      </c>
      <c r="BX108" s="81">
        <v>45721.59071759259</v>
      </c>
      <c r="BY108" s="82" t="s">
        <v>23446</v>
      </c>
      <c r="BZ108" s="15"/>
      <c r="CA108" s="15"/>
      <c r="CB108" s="15"/>
      <c r="CC108" s="15"/>
      <c r="CD108" s="80"/>
      <c r="CE108" s="80"/>
      <c r="CF108" s="80"/>
      <c r="CG108" s="80"/>
      <c r="CH108" s="15"/>
      <c r="CI108" s="15"/>
      <c r="CJ108" s="15"/>
      <c r="CK108" s="15"/>
      <c r="CL108" s="15"/>
      <c r="CM108" s="15"/>
      <c r="CN108" s="15"/>
      <c r="CO108" s="15"/>
      <c r="CP108" s="80"/>
      <c r="CQ108" s="80" t="s">
        <v>23459</v>
      </c>
      <c r="CR108" s="83"/>
      <c r="CS108" s="84"/>
    </row>
    <row r="109">
      <c r="A109" s="78" t="s">
        <v>217</v>
      </c>
      <c r="B109" s="78" t="s">
        <v>23149</v>
      </c>
      <c r="C109" s="79" t="str">
        <f>IFERROR((COUNTIFS('Base de Dados'!BT:BT,"Sim",'Base de Dados'!A:A,A109,'Base de Dados'!B:B,B109)/(COUNTIFS('Base de Dados'!BT:BT,"Sim",'Base de Dados'!A:A,A109,'Base de Dados'!B:B,B109)+(COUNTIFS('Base de Dados'!BT:BT,"Não",'Base de Dados'!A:A,A109,'Base de Dados'!B:B,B109)))),"Não Aplica")</f>
        <v>Não Aplica</v>
      </c>
      <c r="D109" s="14" t="s">
        <v>23434</v>
      </c>
      <c r="E109" s="14" t="s">
        <v>24915</v>
      </c>
      <c r="F109" s="14" t="s">
        <v>23436</v>
      </c>
      <c r="G109" s="14" t="s">
        <v>23434</v>
      </c>
      <c r="H109" s="14" t="s">
        <v>24916</v>
      </c>
      <c r="I109" s="14" t="s">
        <v>22818</v>
      </c>
      <c r="J109" s="80"/>
      <c r="K109" s="14" t="s">
        <v>23438</v>
      </c>
      <c r="L109" s="81">
        <v>45691.61032407408</v>
      </c>
      <c r="M109" s="79" t="str">
        <f>IFERROR((COUNTIFS('Base de Dados'!DF:DF,"Sim",'Base de Dados'!A:A,A109,'Base de Dados'!B:B,B109)/(COUNTIFS('Base de Dados'!DF:DF,"Sim",'Base de Dados'!A:A,A109,'Base de Dados'!B:B,B109)+(COUNTIFS('Base de Dados'!DF:DF,"Não",'Base de Dados'!A:A,A109,'Base de Dados'!B:B,B109)))),"Não Aplica")</f>
        <v>Não Aplica</v>
      </c>
      <c r="N109" s="14" t="s">
        <v>23434</v>
      </c>
      <c r="O109" s="14" t="s">
        <v>23439</v>
      </c>
      <c r="P109" s="14" t="s">
        <v>24917</v>
      </c>
      <c r="Q109" s="14" t="s">
        <v>23842</v>
      </c>
      <c r="R109" s="14" t="s">
        <v>23434</v>
      </c>
      <c r="S109" s="14" t="s">
        <v>24918</v>
      </c>
      <c r="T109" s="14" t="s">
        <v>23436</v>
      </c>
      <c r="U109" s="14" t="s">
        <v>23434</v>
      </c>
      <c r="V109" s="14" t="s">
        <v>24919</v>
      </c>
      <c r="W109" s="14" t="s">
        <v>22818</v>
      </c>
      <c r="X109" s="80"/>
      <c r="Y109" s="14" t="s">
        <v>23438</v>
      </c>
      <c r="Z109" s="81">
        <v>45692.53597222222</v>
      </c>
      <c r="AA109" s="79" t="str">
        <f>IFERROR((COUNTIFS('Base de Dados'!ED:ED,"Sim",'Base de Dados'!A:A,A109,'Base de Dados'!B:B,B109)/(COUNTIFS('Base de Dados'!ED:ED,"Sim",'Base de Dados'!A:A,A109,'Base de Dados'!B:B,B109)+(COUNTIFS('Base de Dados'!ED:ED,"Não",'Base de Dados'!A:A,A109,'Base de Dados'!B:B,B109)))),"Não Aplica")</f>
        <v>Não Aplica</v>
      </c>
      <c r="AB109" s="14" t="s">
        <v>23434</v>
      </c>
      <c r="AC109" s="14" t="s">
        <v>24920</v>
      </c>
      <c r="AD109" s="14" t="s">
        <v>23842</v>
      </c>
      <c r="AE109" s="14" t="s">
        <v>23434</v>
      </c>
      <c r="AF109" s="14" t="s">
        <v>24921</v>
      </c>
      <c r="AG109" s="14" t="s">
        <v>22818</v>
      </c>
      <c r="AH109" s="80"/>
      <c r="AI109" s="14" t="s">
        <v>23438</v>
      </c>
      <c r="AJ109" s="81">
        <v>45693.44905092593</v>
      </c>
      <c r="AK109" s="82" t="s">
        <v>23446</v>
      </c>
      <c r="AL109" s="14" t="s">
        <v>23434</v>
      </c>
      <c r="AM109" s="14" t="s">
        <v>23439</v>
      </c>
      <c r="AN109" s="14" t="s">
        <v>24922</v>
      </c>
      <c r="AO109" s="14" t="s">
        <v>23842</v>
      </c>
      <c r="AP109" s="14" t="s">
        <v>23434</v>
      </c>
      <c r="AQ109" s="14" t="s">
        <v>23448</v>
      </c>
      <c r="AR109" s="14" t="s">
        <v>24923</v>
      </c>
      <c r="AS109" s="14" t="s">
        <v>23848</v>
      </c>
      <c r="AT109" s="14" t="s">
        <v>23434</v>
      </c>
      <c r="AU109" s="14" t="s">
        <v>23453</v>
      </c>
      <c r="AV109" s="14" t="s">
        <v>24924</v>
      </c>
      <c r="AW109" s="14" t="s">
        <v>23455</v>
      </c>
      <c r="AX109" s="14" t="s">
        <v>23434</v>
      </c>
      <c r="AY109" s="14" t="s">
        <v>23451</v>
      </c>
      <c r="AZ109" s="14" t="s">
        <v>24925</v>
      </c>
      <c r="BA109" s="14" t="s">
        <v>22818</v>
      </c>
      <c r="BB109" s="80"/>
      <c r="BC109" s="14" t="s">
        <v>23438</v>
      </c>
      <c r="BD109" s="81">
        <v>45721.64991898148</v>
      </c>
      <c r="BE109" s="79" t="str">
        <f>IFERROR((COUNTIFS('Base de Dados'!FD:FD,"Sim",'Base de Dados'!A:A,A109,'Base de Dados'!B:B,B109)/(COUNTIFS('Base de Dados'!FD:FD,"Sim",'Base de Dados'!A:A,A109,'Base de Dados'!B:B,B109)+(COUNTIFS('Base de Dados'!FD:FD,"Não",'Base de Dados'!A:A,A109,'Base de Dados'!B:B,B109)))),"Não Aplica")</f>
        <v>Não Aplica</v>
      </c>
      <c r="BF109" s="14" t="s">
        <v>228</v>
      </c>
      <c r="BG109" s="14" t="s">
        <v>23439</v>
      </c>
      <c r="BH109" s="14" t="s">
        <v>24926</v>
      </c>
      <c r="BI109" s="14" t="s">
        <v>23842</v>
      </c>
      <c r="BJ109" s="80"/>
      <c r="BK109" s="80"/>
      <c r="BL109" s="80"/>
      <c r="BM109" s="80"/>
      <c r="BN109" s="14" t="s">
        <v>228</v>
      </c>
      <c r="BO109" s="14" t="s">
        <v>23453</v>
      </c>
      <c r="BP109" s="14" t="s">
        <v>24927</v>
      </c>
      <c r="BQ109" s="14" t="s">
        <v>23455</v>
      </c>
      <c r="BR109" s="14" t="s">
        <v>228</v>
      </c>
      <c r="BS109" s="15"/>
      <c r="BT109" s="14" t="s">
        <v>24928</v>
      </c>
      <c r="BU109" s="14" t="s">
        <v>22818</v>
      </c>
      <c r="BV109" s="80"/>
      <c r="BW109" s="14" t="s">
        <v>23438</v>
      </c>
      <c r="BX109" s="81">
        <v>45723.61041666667</v>
      </c>
      <c r="BY109" s="82" t="s">
        <v>23446</v>
      </c>
      <c r="BZ109" s="15"/>
      <c r="CA109" s="15"/>
      <c r="CB109" s="15"/>
      <c r="CC109" s="15"/>
      <c r="CD109" s="80"/>
      <c r="CE109" s="80"/>
      <c r="CF109" s="80"/>
      <c r="CG109" s="80"/>
      <c r="CH109" s="15"/>
      <c r="CI109" s="15"/>
      <c r="CJ109" s="15"/>
      <c r="CK109" s="15"/>
      <c r="CL109" s="15"/>
      <c r="CM109" s="15"/>
      <c r="CN109" s="15"/>
      <c r="CO109" s="15"/>
      <c r="CP109" s="80"/>
      <c r="CQ109" s="80" t="s">
        <v>23459</v>
      </c>
      <c r="CR109" s="83"/>
      <c r="CS109" s="84"/>
    </row>
    <row r="110">
      <c r="A110" s="78" t="s">
        <v>461</v>
      </c>
      <c r="B110" s="78" t="s">
        <v>462</v>
      </c>
      <c r="C110" s="79">
        <f>IFERROR((COUNTIFS('Base de Dados'!BT:BT,"Sim",'Base de Dados'!A:A,A110,'Base de Dados'!B:B,B110)/(COUNTIFS('Base de Dados'!BT:BT,"Sim",'Base de Dados'!A:A,A110,'Base de Dados'!B:B,B110)+(COUNTIFS('Base de Dados'!BT:BT,"Não",'Base de Dados'!A:A,A110,'Base de Dados'!B:B,B110)))),"Não Aplica")</f>
        <v>1</v>
      </c>
      <c r="D110" s="14" t="s">
        <v>23434</v>
      </c>
      <c r="E110" s="14" t="s">
        <v>24929</v>
      </c>
      <c r="F110" s="14" t="s">
        <v>23436</v>
      </c>
      <c r="G110" s="14" t="s">
        <v>23434</v>
      </c>
      <c r="H110" s="14" t="s">
        <v>24930</v>
      </c>
      <c r="I110" s="14" t="s">
        <v>22818</v>
      </c>
      <c r="J110" s="80"/>
      <c r="K110" s="14" t="s">
        <v>23438</v>
      </c>
      <c r="L110" s="81">
        <v>45685.64902777778</v>
      </c>
      <c r="M110" s="79">
        <f>IFERROR((COUNTIFS('Base de Dados'!DF:DF,"Sim",'Base de Dados'!A:A,A110,'Base de Dados'!B:B,B110)/(COUNTIFS('Base de Dados'!DF:DF,"Sim",'Base de Dados'!A:A,A110,'Base de Dados'!B:B,B110)+(COUNTIFS('Base de Dados'!DF:DF,"Não",'Base de Dados'!A:A,A110,'Base de Dados'!B:B,B110)))),"Não Aplica")</f>
        <v>1</v>
      </c>
      <c r="N110" s="14" t="s">
        <v>23434</v>
      </c>
      <c r="O110" s="14" t="s">
        <v>23602</v>
      </c>
      <c r="P110" s="14" t="s">
        <v>24931</v>
      </c>
      <c r="Q110" s="14" t="s">
        <v>23436</v>
      </c>
      <c r="R110" s="14" t="s">
        <v>23434</v>
      </c>
      <c r="S110" s="14" t="s">
        <v>24932</v>
      </c>
      <c r="T110" s="14" t="s">
        <v>23842</v>
      </c>
      <c r="U110" s="14" t="s">
        <v>23434</v>
      </c>
      <c r="V110" s="14" t="s">
        <v>24933</v>
      </c>
      <c r="W110" s="14" t="s">
        <v>22818</v>
      </c>
      <c r="X110" s="80"/>
      <c r="Y110" s="14" t="s">
        <v>23438</v>
      </c>
      <c r="Z110" s="81">
        <v>45691.614016203705</v>
      </c>
      <c r="AA110" s="79">
        <f>IFERROR((COUNTIFS('Base de Dados'!ED:ED,"Sim",'Base de Dados'!A:A,A110,'Base de Dados'!B:B,B110)/(COUNTIFS('Base de Dados'!ED:ED,"Sim",'Base de Dados'!A:A,A110,'Base de Dados'!B:B,B110)+(COUNTIFS('Base de Dados'!ED:ED,"Não",'Base de Dados'!A:A,A110,'Base de Dados'!B:B,B110)))),"Não Aplica")</f>
        <v>1</v>
      </c>
      <c r="AB110" s="14" t="s">
        <v>23434</v>
      </c>
      <c r="AC110" s="14" t="s">
        <v>24934</v>
      </c>
      <c r="AD110" s="14" t="s">
        <v>23842</v>
      </c>
      <c r="AE110" s="14" t="s">
        <v>23434</v>
      </c>
      <c r="AF110" s="14" t="s">
        <v>24935</v>
      </c>
      <c r="AG110" s="14" t="s">
        <v>22818</v>
      </c>
      <c r="AH110" s="80"/>
      <c r="AI110" s="14" t="s">
        <v>23438</v>
      </c>
      <c r="AJ110" s="81">
        <v>45692.54356481481</v>
      </c>
      <c r="AK110" s="82" t="s">
        <v>23446</v>
      </c>
      <c r="AL110" s="14" t="s">
        <v>23434</v>
      </c>
      <c r="AM110" s="14" t="s">
        <v>23439</v>
      </c>
      <c r="AN110" s="14" t="s">
        <v>24936</v>
      </c>
      <c r="AO110" s="14" t="s">
        <v>23842</v>
      </c>
      <c r="AP110" s="14" t="s">
        <v>23434</v>
      </c>
      <c r="AQ110" s="14" t="s">
        <v>23448</v>
      </c>
      <c r="AR110" s="14" t="s">
        <v>24937</v>
      </c>
      <c r="AS110" s="14" t="s">
        <v>23848</v>
      </c>
      <c r="AT110" s="14" t="s">
        <v>23434</v>
      </c>
      <c r="AU110" s="14" t="s">
        <v>23453</v>
      </c>
      <c r="AV110" s="14" t="s">
        <v>24938</v>
      </c>
      <c r="AW110" s="14" t="s">
        <v>23455</v>
      </c>
      <c r="AX110" s="14" t="s">
        <v>23434</v>
      </c>
      <c r="AY110" s="14" t="s">
        <v>23451</v>
      </c>
      <c r="AZ110" s="14" t="s">
        <v>24939</v>
      </c>
      <c r="BA110" s="14" t="s">
        <v>22818</v>
      </c>
      <c r="BB110" s="80"/>
      <c r="BC110" s="14" t="s">
        <v>23438</v>
      </c>
      <c r="BD110" s="81">
        <v>45721.77861111111</v>
      </c>
      <c r="BE110" s="79">
        <f>IFERROR((COUNTIFS('Base de Dados'!FD:FD,"Sim",'Base de Dados'!A:A,A110,'Base de Dados'!B:B,B110)/(COUNTIFS('Base de Dados'!FD:FD,"Sim",'Base de Dados'!A:A,A110,'Base de Dados'!B:B,B110)+(COUNTIFS('Base de Dados'!FD:FD,"Não",'Base de Dados'!A:A,A110,'Base de Dados'!B:B,B110)))),"Não Aplica")</f>
        <v>1</v>
      </c>
      <c r="BF110" s="14" t="s">
        <v>23434</v>
      </c>
      <c r="BG110" s="14" t="s">
        <v>23439</v>
      </c>
      <c r="BH110" s="14" t="s">
        <v>24940</v>
      </c>
      <c r="BI110" s="14" t="s">
        <v>23842</v>
      </c>
      <c r="BJ110" s="80"/>
      <c r="BK110" s="80"/>
      <c r="BL110" s="80"/>
      <c r="BM110" s="80"/>
      <c r="BN110" s="14" t="s">
        <v>23434</v>
      </c>
      <c r="BO110" s="14" t="s">
        <v>23453</v>
      </c>
      <c r="BP110" s="14" t="s">
        <v>24941</v>
      </c>
      <c r="BQ110" s="14" t="s">
        <v>23455</v>
      </c>
      <c r="BR110" s="14" t="s">
        <v>23434</v>
      </c>
      <c r="BS110" s="14" t="s">
        <v>23451</v>
      </c>
      <c r="BT110" s="14" t="s">
        <v>24942</v>
      </c>
      <c r="BU110" s="14" t="s">
        <v>22818</v>
      </c>
      <c r="BV110" s="80"/>
      <c r="BW110" s="14" t="s">
        <v>23438</v>
      </c>
      <c r="BX110" s="81">
        <v>45723.32944444445</v>
      </c>
      <c r="BY110" s="82" t="s">
        <v>23446</v>
      </c>
      <c r="BZ110" s="15"/>
      <c r="CA110" s="15"/>
      <c r="CB110" s="15"/>
      <c r="CC110" s="15"/>
      <c r="CD110" s="80"/>
      <c r="CE110" s="80"/>
      <c r="CF110" s="80"/>
      <c r="CG110" s="80"/>
      <c r="CH110" s="15"/>
      <c r="CI110" s="15"/>
      <c r="CJ110" s="15"/>
      <c r="CK110" s="15"/>
      <c r="CL110" s="15"/>
      <c r="CM110" s="15"/>
      <c r="CN110" s="15"/>
      <c r="CO110" s="15"/>
      <c r="CP110" s="80"/>
      <c r="CQ110" s="80" t="s">
        <v>23459</v>
      </c>
      <c r="CR110" s="83"/>
      <c r="CS110" s="84"/>
    </row>
    <row r="111">
      <c r="A111" s="78" t="s">
        <v>461</v>
      </c>
      <c r="B111" s="78" t="s">
        <v>2416</v>
      </c>
      <c r="C111" s="79">
        <f>IFERROR((COUNTIFS('Base de Dados'!BT:BT,"Sim",'Base de Dados'!A:A,A111,'Base de Dados'!B:B,B111)/(COUNTIFS('Base de Dados'!BT:BT,"Sim",'Base de Dados'!A:A,A111,'Base de Dados'!B:B,B111)+(COUNTIFS('Base de Dados'!BT:BT,"Não",'Base de Dados'!A:A,A111,'Base de Dados'!B:B,B111)))),"Não Aplica")</f>
        <v>1</v>
      </c>
      <c r="D111" s="14" t="s">
        <v>23434</v>
      </c>
      <c r="E111" s="14" t="s">
        <v>24943</v>
      </c>
      <c r="F111" s="14" t="s">
        <v>23436</v>
      </c>
      <c r="G111" s="14" t="s">
        <v>23434</v>
      </c>
      <c r="H111" s="14" t="s">
        <v>24944</v>
      </c>
      <c r="I111" s="14" t="s">
        <v>22818</v>
      </c>
      <c r="J111" s="80"/>
      <c r="K111" s="14" t="s">
        <v>23438</v>
      </c>
      <c r="L111" s="81">
        <v>45685.648993055554</v>
      </c>
      <c r="M111" s="79">
        <f>IFERROR((COUNTIFS('Base de Dados'!DF:DF,"Sim",'Base de Dados'!A:A,A111,'Base de Dados'!B:B,B111)/(COUNTIFS('Base de Dados'!DF:DF,"Sim",'Base de Dados'!A:A,A111,'Base de Dados'!B:B,B111)+(COUNTIFS('Base de Dados'!DF:DF,"Não",'Base de Dados'!A:A,A111,'Base de Dados'!B:B,B111)))),"Não Aplica")</f>
        <v>1</v>
      </c>
      <c r="N111" s="14" t="s">
        <v>23434</v>
      </c>
      <c r="O111" s="14" t="s">
        <v>23439</v>
      </c>
      <c r="P111" s="14" t="s">
        <v>24945</v>
      </c>
      <c r="Q111" s="14" t="s">
        <v>23842</v>
      </c>
      <c r="R111" s="14" t="s">
        <v>23434</v>
      </c>
      <c r="S111" s="14" t="s">
        <v>24946</v>
      </c>
      <c r="T111" s="14" t="s">
        <v>23436</v>
      </c>
      <c r="U111" s="14" t="s">
        <v>23434</v>
      </c>
      <c r="V111" s="14" t="s">
        <v>24947</v>
      </c>
      <c r="W111" s="14" t="s">
        <v>22818</v>
      </c>
      <c r="X111" s="80"/>
      <c r="Y111" s="14" t="s">
        <v>23438</v>
      </c>
      <c r="Z111" s="81">
        <v>45691.61378472222</v>
      </c>
      <c r="AA111" s="79">
        <f>IFERROR((COUNTIFS('Base de Dados'!ED:ED,"Sim",'Base de Dados'!A:A,A111,'Base de Dados'!B:B,B111)/(COUNTIFS('Base de Dados'!ED:ED,"Sim",'Base de Dados'!A:A,A111,'Base de Dados'!B:B,B111)+(COUNTIFS('Base de Dados'!ED:ED,"Não",'Base de Dados'!A:A,A111,'Base de Dados'!B:B,B111)))),"Não Aplica")</f>
        <v>1</v>
      </c>
      <c r="AB111" s="14" t="s">
        <v>23434</v>
      </c>
      <c r="AC111" s="14" t="s">
        <v>24948</v>
      </c>
      <c r="AD111" s="14" t="s">
        <v>23842</v>
      </c>
      <c r="AE111" s="14" t="s">
        <v>23434</v>
      </c>
      <c r="AF111" s="14" t="s">
        <v>24949</v>
      </c>
      <c r="AG111" s="14" t="s">
        <v>22818</v>
      </c>
      <c r="AH111" s="80"/>
      <c r="AI111" s="14" t="s">
        <v>23438</v>
      </c>
      <c r="AJ111" s="81">
        <v>45692.54357638889</v>
      </c>
      <c r="AK111" s="82" t="s">
        <v>23446</v>
      </c>
      <c r="AL111" s="14" t="s">
        <v>23434</v>
      </c>
      <c r="AM111" s="14" t="s">
        <v>23439</v>
      </c>
      <c r="AN111" s="14" t="s">
        <v>24950</v>
      </c>
      <c r="AO111" s="14" t="s">
        <v>23842</v>
      </c>
      <c r="AP111" s="14" t="s">
        <v>23434</v>
      </c>
      <c r="AQ111" s="14" t="s">
        <v>23448</v>
      </c>
      <c r="AR111" s="14" t="s">
        <v>24951</v>
      </c>
      <c r="AS111" s="14" t="s">
        <v>23848</v>
      </c>
      <c r="AT111" s="14" t="s">
        <v>23434</v>
      </c>
      <c r="AU111" s="14" t="s">
        <v>23453</v>
      </c>
      <c r="AV111" s="14" t="s">
        <v>24952</v>
      </c>
      <c r="AW111" s="14" t="s">
        <v>23455</v>
      </c>
      <c r="AX111" s="14" t="s">
        <v>23434</v>
      </c>
      <c r="AY111" s="14" t="s">
        <v>23451</v>
      </c>
      <c r="AZ111" s="14" t="s">
        <v>24953</v>
      </c>
      <c r="BA111" s="14" t="s">
        <v>22818</v>
      </c>
      <c r="BB111" s="80"/>
      <c r="BC111" s="14" t="s">
        <v>23438</v>
      </c>
      <c r="BD111" s="81">
        <v>45721.778657407405</v>
      </c>
      <c r="BE111" s="79">
        <f>IFERROR((COUNTIFS('Base de Dados'!FD:FD,"Sim",'Base de Dados'!A:A,A111,'Base de Dados'!B:B,B111)/(COUNTIFS('Base de Dados'!FD:FD,"Sim",'Base de Dados'!A:A,A111,'Base de Dados'!B:B,B111)+(COUNTIFS('Base de Dados'!FD:FD,"Não",'Base de Dados'!A:A,A111,'Base de Dados'!B:B,B111)))),"Não Aplica")</f>
        <v>1</v>
      </c>
      <c r="BF111" s="14" t="s">
        <v>23434</v>
      </c>
      <c r="BG111" s="14" t="s">
        <v>23439</v>
      </c>
      <c r="BH111" s="14" t="s">
        <v>24954</v>
      </c>
      <c r="BI111" s="14" t="s">
        <v>23842</v>
      </c>
      <c r="BJ111" s="80"/>
      <c r="BK111" s="80"/>
      <c r="BL111" s="80"/>
      <c r="BM111" s="80"/>
      <c r="BN111" s="14" t="s">
        <v>23434</v>
      </c>
      <c r="BO111" s="14" t="s">
        <v>23453</v>
      </c>
      <c r="BP111" s="14" t="s">
        <v>24955</v>
      </c>
      <c r="BQ111" s="14" t="s">
        <v>23455</v>
      </c>
      <c r="BR111" s="14" t="s">
        <v>23434</v>
      </c>
      <c r="BS111" s="14" t="s">
        <v>23451</v>
      </c>
      <c r="BT111" s="14" t="s">
        <v>24956</v>
      </c>
      <c r="BU111" s="14" t="s">
        <v>22818</v>
      </c>
      <c r="BV111" s="80"/>
      <c r="BW111" s="14" t="s">
        <v>23438</v>
      </c>
      <c r="BX111" s="81">
        <v>45723.32990740741</v>
      </c>
      <c r="BY111" s="82" t="s">
        <v>23446</v>
      </c>
      <c r="BZ111" s="15"/>
      <c r="CA111" s="15"/>
      <c r="CB111" s="15"/>
      <c r="CC111" s="15"/>
      <c r="CD111" s="80"/>
      <c r="CE111" s="80"/>
      <c r="CF111" s="80"/>
      <c r="CG111" s="80"/>
      <c r="CH111" s="15"/>
      <c r="CI111" s="15"/>
      <c r="CJ111" s="15"/>
      <c r="CK111" s="15"/>
      <c r="CL111" s="15"/>
      <c r="CM111" s="15"/>
      <c r="CN111" s="15"/>
      <c r="CO111" s="15"/>
      <c r="CP111" s="80"/>
      <c r="CQ111" s="80" t="s">
        <v>23459</v>
      </c>
      <c r="CR111" s="83"/>
      <c r="CS111" s="84"/>
    </row>
    <row r="112">
      <c r="A112" s="78" t="s">
        <v>461</v>
      </c>
      <c r="B112" s="78" t="s">
        <v>14949</v>
      </c>
      <c r="C112" s="79">
        <f>IFERROR((COUNTIFS('Base de Dados'!BT:BT,"Sim",'Base de Dados'!A:A,A112,'Base de Dados'!B:B,B112)/(COUNTIFS('Base de Dados'!BT:BT,"Sim",'Base de Dados'!A:A,A112,'Base de Dados'!B:B,B112)+(COUNTIFS('Base de Dados'!BT:BT,"Não",'Base de Dados'!A:A,A112,'Base de Dados'!B:B,B112)))),"Não Aplica")</f>
        <v>1</v>
      </c>
      <c r="D112" s="14" t="s">
        <v>23434</v>
      </c>
      <c r="E112" s="14" t="s">
        <v>24957</v>
      </c>
      <c r="F112" s="14" t="s">
        <v>23436</v>
      </c>
      <c r="G112" s="14" t="s">
        <v>23434</v>
      </c>
      <c r="H112" s="14" t="s">
        <v>24958</v>
      </c>
      <c r="I112" s="14" t="s">
        <v>22818</v>
      </c>
      <c r="J112" s="80"/>
      <c r="K112" s="14" t="s">
        <v>23438</v>
      </c>
      <c r="L112" s="81">
        <v>45687.39148148148</v>
      </c>
      <c r="M112" s="79">
        <f>IFERROR((COUNTIFS('Base de Dados'!DF:DF,"Sim",'Base de Dados'!A:A,A112,'Base de Dados'!B:B,B112)/(COUNTIFS('Base de Dados'!DF:DF,"Sim",'Base de Dados'!A:A,A112,'Base de Dados'!B:B,B112)+(COUNTIFS('Base de Dados'!DF:DF,"Não",'Base de Dados'!A:A,A112,'Base de Dados'!B:B,B112)))),"Não Aplica")</f>
        <v>1</v>
      </c>
      <c r="N112" s="14" t="s">
        <v>23434</v>
      </c>
      <c r="O112" s="14" t="s">
        <v>23439</v>
      </c>
      <c r="P112" s="14" t="s">
        <v>24959</v>
      </c>
      <c r="Q112" s="14" t="s">
        <v>23842</v>
      </c>
      <c r="R112" s="14" t="s">
        <v>23434</v>
      </c>
      <c r="S112" s="14" t="s">
        <v>24960</v>
      </c>
      <c r="T112" s="14" t="s">
        <v>23436</v>
      </c>
      <c r="U112" s="14" t="s">
        <v>23434</v>
      </c>
      <c r="V112" s="14" t="s">
        <v>24961</v>
      </c>
      <c r="W112" s="14" t="s">
        <v>22818</v>
      </c>
      <c r="X112" s="80"/>
      <c r="Y112" s="14" t="s">
        <v>23438</v>
      </c>
      <c r="Z112" s="81">
        <v>45691.61393518518</v>
      </c>
      <c r="AA112" s="79">
        <f>IFERROR((COUNTIFS('Base de Dados'!ED:ED,"Sim",'Base de Dados'!A:A,A112,'Base de Dados'!B:B,B112)/(COUNTIFS('Base de Dados'!ED:ED,"Sim",'Base de Dados'!A:A,A112,'Base de Dados'!B:B,B112)+(COUNTIFS('Base de Dados'!ED:ED,"Não",'Base de Dados'!A:A,A112,'Base de Dados'!B:B,B112)))),"Não Aplica")</f>
        <v>1</v>
      </c>
      <c r="AB112" s="14" t="s">
        <v>23434</v>
      </c>
      <c r="AC112" s="14" t="s">
        <v>24962</v>
      </c>
      <c r="AD112" s="14" t="s">
        <v>23842</v>
      </c>
      <c r="AE112" s="14" t="s">
        <v>23434</v>
      </c>
      <c r="AF112" s="14" t="s">
        <v>24963</v>
      </c>
      <c r="AG112" s="14" t="s">
        <v>22818</v>
      </c>
      <c r="AH112" s="80"/>
      <c r="AI112" s="14" t="s">
        <v>23438</v>
      </c>
      <c r="AJ112" s="81">
        <v>45692.54350694444</v>
      </c>
      <c r="AK112" s="82" t="s">
        <v>23446</v>
      </c>
      <c r="AL112" s="14" t="s">
        <v>23434</v>
      </c>
      <c r="AM112" s="14" t="s">
        <v>23439</v>
      </c>
      <c r="AN112" s="14" t="s">
        <v>24964</v>
      </c>
      <c r="AO112" s="14" t="s">
        <v>23842</v>
      </c>
      <c r="AP112" s="14" t="s">
        <v>23434</v>
      </c>
      <c r="AQ112" s="14" t="s">
        <v>23448</v>
      </c>
      <c r="AR112" s="14" t="s">
        <v>24965</v>
      </c>
      <c r="AS112" s="14" t="s">
        <v>23848</v>
      </c>
      <c r="AT112" s="14" t="s">
        <v>23434</v>
      </c>
      <c r="AU112" s="14" t="s">
        <v>23453</v>
      </c>
      <c r="AV112" s="14" t="s">
        <v>24966</v>
      </c>
      <c r="AW112" s="14" t="s">
        <v>23455</v>
      </c>
      <c r="AX112" s="14" t="s">
        <v>23434</v>
      </c>
      <c r="AY112" s="14" t="s">
        <v>23451</v>
      </c>
      <c r="AZ112" s="14" t="s">
        <v>24967</v>
      </c>
      <c r="BA112" s="14" t="s">
        <v>22818</v>
      </c>
      <c r="BB112" s="80"/>
      <c r="BC112" s="14" t="s">
        <v>23438</v>
      </c>
      <c r="BD112" s="81">
        <v>45721.31925925926</v>
      </c>
      <c r="BE112" s="79">
        <f>IFERROR((COUNTIFS('Base de Dados'!FD:FD,"Sim",'Base de Dados'!A:A,A112,'Base de Dados'!B:B,B112)/(COUNTIFS('Base de Dados'!FD:FD,"Sim",'Base de Dados'!A:A,A112,'Base de Dados'!B:B,B112)+(COUNTIFS('Base de Dados'!FD:FD,"Não",'Base de Dados'!A:A,A112,'Base de Dados'!B:B,B112)))),"Não Aplica")</f>
        <v>1</v>
      </c>
      <c r="BF112" s="14" t="s">
        <v>23434</v>
      </c>
      <c r="BG112" s="14" t="s">
        <v>23439</v>
      </c>
      <c r="BH112" s="14" t="s">
        <v>24968</v>
      </c>
      <c r="BI112" s="14" t="s">
        <v>23842</v>
      </c>
      <c r="BJ112" s="80"/>
      <c r="BK112" s="80"/>
      <c r="BL112" s="80"/>
      <c r="BM112" s="80"/>
      <c r="BN112" s="14" t="s">
        <v>23434</v>
      </c>
      <c r="BO112" s="14" t="s">
        <v>23453</v>
      </c>
      <c r="BP112" s="14" t="s">
        <v>24969</v>
      </c>
      <c r="BQ112" s="14" t="s">
        <v>23455</v>
      </c>
      <c r="BR112" s="14" t="s">
        <v>23434</v>
      </c>
      <c r="BS112" s="14" t="s">
        <v>23451</v>
      </c>
      <c r="BT112" s="14" t="s">
        <v>24970</v>
      </c>
      <c r="BU112" s="14" t="s">
        <v>22818</v>
      </c>
      <c r="BV112" s="80"/>
      <c r="BW112" s="14" t="s">
        <v>23438</v>
      </c>
      <c r="BX112" s="81">
        <v>45723.32994212963</v>
      </c>
      <c r="BY112" s="82" t="s">
        <v>23446</v>
      </c>
      <c r="BZ112" s="15"/>
      <c r="CA112" s="15"/>
      <c r="CB112" s="15"/>
      <c r="CC112" s="15"/>
      <c r="CD112" s="80"/>
      <c r="CE112" s="80"/>
      <c r="CF112" s="80"/>
      <c r="CG112" s="80"/>
      <c r="CH112" s="15"/>
      <c r="CI112" s="15"/>
      <c r="CJ112" s="15"/>
      <c r="CK112" s="15"/>
      <c r="CL112" s="15"/>
      <c r="CM112" s="15"/>
      <c r="CN112" s="15"/>
      <c r="CO112" s="15"/>
      <c r="CP112" s="80"/>
      <c r="CQ112" s="80" t="s">
        <v>23459</v>
      </c>
      <c r="CR112" s="83"/>
      <c r="CS112" s="84"/>
    </row>
    <row r="113">
      <c r="A113" s="78" t="s">
        <v>461</v>
      </c>
      <c r="B113" s="78" t="s">
        <v>9147</v>
      </c>
      <c r="C113" s="79">
        <f>IFERROR((COUNTIFS('Base de Dados'!BT:BT,"Sim",'Base de Dados'!A:A,A113,'Base de Dados'!B:B,B113)/(COUNTIFS('Base de Dados'!BT:BT,"Sim",'Base de Dados'!A:A,A113,'Base de Dados'!B:B,B113)+(COUNTIFS('Base de Dados'!BT:BT,"Não",'Base de Dados'!A:A,A113,'Base de Dados'!B:B,B113)))),"Não Aplica")</f>
        <v>1</v>
      </c>
      <c r="D113" s="14" t="s">
        <v>228</v>
      </c>
      <c r="E113" s="14" t="s">
        <v>24971</v>
      </c>
      <c r="F113" s="14" t="s">
        <v>23436</v>
      </c>
      <c r="G113" s="14" t="s">
        <v>23434</v>
      </c>
      <c r="H113" s="14" t="s">
        <v>24972</v>
      </c>
      <c r="I113" s="14" t="s">
        <v>22818</v>
      </c>
      <c r="J113" s="80"/>
      <c r="K113" s="14" t="s">
        <v>23438</v>
      </c>
      <c r="L113" s="81">
        <v>45688.50813657408</v>
      </c>
      <c r="M113" s="79">
        <f>IFERROR((COUNTIFS('Base de Dados'!DF:DF,"Sim",'Base de Dados'!A:A,A113,'Base de Dados'!B:B,B113)/(COUNTIFS('Base de Dados'!DF:DF,"Sim",'Base de Dados'!A:A,A113,'Base de Dados'!B:B,B113)+(COUNTIFS('Base de Dados'!DF:DF,"Não",'Base de Dados'!A:A,A113,'Base de Dados'!B:B,B113)))),"Não Aplica")</f>
        <v>1</v>
      </c>
      <c r="N113" s="14" t="s">
        <v>23434</v>
      </c>
      <c r="O113" s="14" t="s">
        <v>23439</v>
      </c>
      <c r="P113" s="14" t="s">
        <v>24973</v>
      </c>
      <c r="Q113" s="14" t="s">
        <v>23842</v>
      </c>
      <c r="R113" s="14" t="s">
        <v>23434</v>
      </c>
      <c r="S113" s="14" t="s">
        <v>24974</v>
      </c>
      <c r="T113" s="14" t="s">
        <v>23436</v>
      </c>
      <c r="U113" s="14" t="s">
        <v>23434</v>
      </c>
      <c r="V113" s="14" t="s">
        <v>24975</v>
      </c>
      <c r="W113" s="14" t="s">
        <v>22818</v>
      </c>
      <c r="X113" s="80"/>
      <c r="Y113" s="14" t="s">
        <v>23438</v>
      </c>
      <c r="Z113" s="81">
        <v>45691.613969907405</v>
      </c>
      <c r="AA113" s="79">
        <f>IFERROR((COUNTIFS('Base de Dados'!ED:ED,"Sim",'Base de Dados'!A:A,A113,'Base de Dados'!B:B,B113)/(COUNTIFS('Base de Dados'!ED:ED,"Sim",'Base de Dados'!A:A,A113,'Base de Dados'!B:B,B113)+(COUNTIFS('Base de Dados'!ED:ED,"Não",'Base de Dados'!A:A,A113,'Base de Dados'!B:B,B113)))),"Não Aplica")</f>
        <v>1</v>
      </c>
      <c r="AB113" s="14" t="s">
        <v>23434</v>
      </c>
      <c r="AC113" s="14" t="s">
        <v>24976</v>
      </c>
      <c r="AD113" s="14" t="s">
        <v>23842</v>
      </c>
      <c r="AE113" s="14" t="s">
        <v>23434</v>
      </c>
      <c r="AF113" s="14" t="s">
        <v>24977</v>
      </c>
      <c r="AG113" s="14" t="s">
        <v>22818</v>
      </c>
      <c r="AH113" s="80"/>
      <c r="AI113" s="14" t="s">
        <v>23438</v>
      </c>
      <c r="AJ113" s="81">
        <v>45692.54351851852</v>
      </c>
      <c r="AK113" s="82" t="s">
        <v>23446</v>
      </c>
      <c r="AL113" s="14" t="s">
        <v>23434</v>
      </c>
      <c r="AM113" s="14" t="s">
        <v>23439</v>
      </c>
      <c r="AN113" s="14" t="s">
        <v>24978</v>
      </c>
      <c r="AO113" s="14" t="s">
        <v>23842</v>
      </c>
      <c r="AP113" s="14" t="s">
        <v>23434</v>
      </c>
      <c r="AQ113" s="14" t="s">
        <v>23448</v>
      </c>
      <c r="AR113" s="14" t="s">
        <v>24979</v>
      </c>
      <c r="AS113" s="14" t="s">
        <v>23848</v>
      </c>
      <c r="AT113" s="14" t="s">
        <v>23434</v>
      </c>
      <c r="AU113" s="14" t="s">
        <v>23453</v>
      </c>
      <c r="AV113" s="14" t="s">
        <v>24980</v>
      </c>
      <c r="AW113" s="14" t="s">
        <v>23455</v>
      </c>
      <c r="AX113" s="14" t="s">
        <v>23434</v>
      </c>
      <c r="AY113" s="14" t="s">
        <v>23451</v>
      </c>
      <c r="AZ113" s="14" t="s">
        <v>24981</v>
      </c>
      <c r="BA113" s="14" t="s">
        <v>22818</v>
      </c>
      <c r="BB113" s="80"/>
      <c r="BC113" s="14" t="s">
        <v>23438</v>
      </c>
      <c r="BD113" s="81">
        <v>45721.778703703705</v>
      </c>
      <c r="BE113" s="79" t="str">
        <f>IFERROR((COUNTIFS('Base de Dados'!FD:FD,"Sim",'Base de Dados'!A:A,A113,'Base de Dados'!B:B,B113)/(COUNTIFS('Base de Dados'!FD:FD,"Sim",'Base de Dados'!A:A,A113,'Base de Dados'!B:B,B113)+(COUNTIFS('Base de Dados'!FD:FD,"Não",'Base de Dados'!A:A,A113,'Base de Dados'!B:B,B113)))),"Não Aplica")</f>
        <v>Não Aplica</v>
      </c>
      <c r="BF113" s="14" t="s">
        <v>228</v>
      </c>
      <c r="BG113" s="14" t="s">
        <v>23439</v>
      </c>
      <c r="BH113" s="14" t="s">
        <v>24982</v>
      </c>
      <c r="BI113" s="14" t="s">
        <v>23842</v>
      </c>
      <c r="BJ113" s="80"/>
      <c r="BK113" s="80"/>
      <c r="BL113" s="80"/>
      <c r="BM113" s="80"/>
      <c r="BN113" s="14" t="s">
        <v>228</v>
      </c>
      <c r="BO113" s="14" t="s">
        <v>23453</v>
      </c>
      <c r="BP113" s="14" t="s">
        <v>24983</v>
      </c>
      <c r="BQ113" s="14" t="s">
        <v>23455</v>
      </c>
      <c r="BR113" s="14" t="s">
        <v>228</v>
      </c>
      <c r="BS113" s="15"/>
      <c r="BT113" s="14" t="s">
        <v>24984</v>
      </c>
      <c r="BU113" s="14" t="s">
        <v>22818</v>
      </c>
      <c r="BV113" s="80"/>
      <c r="BW113" s="14" t="s">
        <v>23438</v>
      </c>
      <c r="BX113" s="81">
        <v>45723.610914351855</v>
      </c>
      <c r="BY113" s="82" t="s">
        <v>23446</v>
      </c>
      <c r="BZ113" s="15"/>
      <c r="CA113" s="15"/>
      <c r="CB113" s="15"/>
      <c r="CC113" s="15"/>
      <c r="CD113" s="80"/>
      <c r="CE113" s="80"/>
      <c r="CF113" s="80"/>
      <c r="CG113" s="80"/>
      <c r="CH113" s="15"/>
      <c r="CI113" s="15"/>
      <c r="CJ113" s="15"/>
      <c r="CK113" s="15"/>
      <c r="CL113" s="15"/>
      <c r="CM113" s="15"/>
      <c r="CN113" s="15"/>
      <c r="CO113" s="15"/>
      <c r="CP113" s="80"/>
      <c r="CQ113" s="80" t="s">
        <v>23459</v>
      </c>
      <c r="CR113" s="83"/>
      <c r="CS113" s="84"/>
    </row>
    <row r="114">
      <c r="A114" s="78" t="s">
        <v>461</v>
      </c>
      <c r="B114" s="78" t="s">
        <v>9178</v>
      </c>
      <c r="C114" s="79">
        <f>IFERROR((COUNTIFS('Base de Dados'!BT:BT,"Sim",'Base de Dados'!A:A,A114,'Base de Dados'!B:B,B114)/(COUNTIFS('Base de Dados'!BT:BT,"Sim",'Base de Dados'!A:A,A114,'Base de Dados'!B:B,B114)+(COUNTIFS('Base de Dados'!BT:BT,"Não",'Base de Dados'!A:A,A114,'Base de Dados'!B:B,B114)))),"Não Aplica")</f>
        <v>1</v>
      </c>
      <c r="D114" s="14" t="s">
        <v>23434</v>
      </c>
      <c r="E114" s="14" t="s">
        <v>24985</v>
      </c>
      <c r="F114" s="14" t="s">
        <v>23436</v>
      </c>
      <c r="G114" s="14" t="s">
        <v>23434</v>
      </c>
      <c r="H114" s="14" t="s">
        <v>24986</v>
      </c>
      <c r="I114" s="14" t="s">
        <v>22818</v>
      </c>
      <c r="J114" s="80"/>
      <c r="K114" s="14" t="s">
        <v>23438</v>
      </c>
      <c r="L114" s="81">
        <v>45687.39152777778</v>
      </c>
      <c r="M114" s="79">
        <f>IFERROR((COUNTIFS('Base de Dados'!DF:DF,"Sim",'Base de Dados'!A:A,A114,'Base de Dados'!B:B,B114)/(COUNTIFS('Base de Dados'!DF:DF,"Sim",'Base de Dados'!A:A,A114,'Base de Dados'!B:B,B114)+(COUNTIFS('Base de Dados'!DF:DF,"Não",'Base de Dados'!A:A,A114,'Base de Dados'!B:B,B114)))),"Não Aplica")</f>
        <v>1</v>
      </c>
      <c r="N114" s="14" t="s">
        <v>23434</v>
      </c>
      <c r="O114" s="14" t="s">
        <v>23439</v>
      </c>
      <c r="P114" s="14" t="s">
        <v>24987</v>
      </c>
      <c r="Q114" s="14" t="s">
        <v>23842</v>
      </c>
      <c r="R114" s="14" t="s">
        <v>23434</v>
      </c>
      <c r="S114" s="14" t="s">
        <v>24988</v>
      </c>
      <c r="T114" s="14" t="s">
        <v>23436</v>
      </c>
      <c r="U114" s="14" t="s">
        <v>23434</v>
      </c>
      <c r="V114" s="14" t="s">
        <v>24989</v>
      </c>
      <c r="W114" s="14" t="s">
        <v>22818</v>
      </c>
      <c r="X114" s="80"/>
      <c r="Y114" s="14" t="s">
        <v>23438</v>
      </c>
      <c r="Z114" s="81">
        <v>45691.61405092593</v>
      </c>
      <c r="AA114" s="79">
        <f>IFERROR((COUNTIFS('Base de Dados'!ED:ED,"Sim",'Base de Dados'!A:A,A114,'Base de Dados'!B:B,B114)/(COUNTIFS('Base de Dados'!ED:ED,"Sim",'Base de Dados'!A:A,A114,'Base de Dados'!B:B,B114)+(COUNTIFS('Base de Dados'!ED:ED,"Não",'Base de Dados'!A:A,A114,'Base de Dados'!B:B,B114)))),"Não Aplica")</f>
        <v>1</v>
      </c>
      <c r="AB114" s="14" t="s">
        <v>23434</v>
      </c>
      <c r="AC114" s="14" t="s">
        <v>24990</v>
      </c>
      <c r="AD114" s="14" t="s">
        <v>23842</v>
      </c>
      <c r="AE114" s="14" t="s">
        <v>23434</v>
      </c>
      <c r="AF114" s="14" t="s">
        <v>24991</v>
      </c>
      <c r="AG114" s="14" t="s">
        <v>22818</v>
      </c>
      <c r="AH114" s="80"/>
      <c r="AI114" s="14" t="s">
        <v>23438</v>
      </c>
      <c r="AJ114" s="81">
        <v>45692.543541666666</v>
      </c>
      <c r="AK114" s="82" t="s">
        <v>23446</v>
      </c>
      <c r="AL114" s="14" t="s">
        <v>23434</v>
      </c>
      <c r="AM114" s="14" t="s">
        <v>23439</v>
      </c>
      <c r="AN114" s="14" t="s">
        <v>24992</v>
      </c>
      <c r="AO114" s="14" t="s">
        <v>23842</v>
      </c>
      <c r="AP114" s="14" t="s">
        <v>23434</v>
      </c>
      <c r="AQ114" s="14" t="s">
        <v>23448</v>
      </c>
      <c r="AR114" s="14" t="s">
        <v>24993</v>
      </c>
      <c r="AS114" s="14" t="s">
        <v>23848</v>
      </c>
      <c r="AT114" s="14" t="s">
        <v>23434</v>
      </c>
      <c r="AU114" s="14" t="s">
        <v>23453</v>
      </c>
      <c r="AV114" s="14" t="s">
        <v>24994</v>
      </c>
      <c r="AW114" s="14" t="s">
        <v>23455</v>
      </c>
      <c r="AX114" s="14" t="s">
        <v>23434</v>
      </c>
      <c r="AY114" s="14" t="s">
        <v>23451</v>
      </c>
      <c r="AZ114" s="14" t="s">
        <v>24995</v>
      </c>
      <c r="BA114" s="14" t="s">
        <v>22818</v>
      </c>
      <c r="BB114" s="80"/>
      <c r="BC114" s="14" t="s">
        <v>23438</v>
      </c>
      <c r="BD114" s="81">
        <v>45721.319375</v>
      </c>
      <c r="BE114" s="79" t="str">
        <f>IFERROR((COUNTIFS('Base de Dados'!FD:FD,"Sim",'Base de Dados'!A:A,A114,'Base de Dados'!B:B,B114)/(COUNTIFS('Base de Dados'!FD:FD,"Sim",'Base de Dados'!A:A,A114,'Base de Dados'!B:B,B114)+(COUNTIFS('Base de Dados'!FD:FD,"Não",'Base de Dados'!A:A,A114,'Base de Dados'!B:B,B114)))),"Não Aplica")</f>
        <v>Não Aplica</v>
      </c>
      <c r="BF114" s="14" t="s">
        <v>228</v>
      </c>
      <c r="BG114" s="14" t="s">
        <v>23439</v>
      </c>
      <c r="BH114" s="14" t="s">
        <v>24996</v>
      </c>
      <c r="BI114" s="14" t="s">
        <v>23842</v>
      </c>
      <c r="BJ114" s="80"/>
      <c r="BK114" s="80"/>
      <c r="BL114" s="80"/>
      <c r="BM114" s="80"/>
      <c r="BN114" s="14" t="s">
        <v>228</v>
      </c>
      <c r="BO114" s="14" t="s">
        <v>23453</v>
      </c>
      <c r="BP114" s="14" t="s">
        <v>24997</v>
      </c>
      <c r="BQ114" s="14" t="s">
        <v>23455</v>
      </c>
      <c r="BR114" s="14" t="s">
        <v>228</v>
      </c>
      <c r="BS114" s="15"/>
      <c r="BT114" s="14" t="s">
        <v>24998</v>
      </c>
      <c r="BU114" s="14" t="s">
        <v>22818</v>
      </c>
      <c r="BV114" s="80"/>
      <c r="BW114" s="14" t="s">
        <v>23438</v>
      </c>
      <c r="BX114" s="81">
        <v>45723.61096064815</v>
      </c>
      <c r="BY114" s="82" t="s">
        <v>23446</v>
      </c>
      <c r="BZ114" s="15"/>
      <c r="CA114" s="15"/>
      <c r="CB114" s="15"/>
      <c r="CC114" s="15"/>
      <c r="CD114" s="80"/>
      <c r="CE114" s="80"/>
      <c r="CF114" s="80"/>
      <c r="CG114" s="80"/>
      <c r="CH114" s="15"/>
      <c r="CI114" s="15"/>
      <c r="CJ114" s="15"/>
      <c r="CK114" s="15"/>
      <c r="CL114" s="15"/>
      <c r="CM114" s="15"/>
      <c r="CN114" s="15"/>
      <c r="CO114" s="15"/>
      <c r="CP114" s="80"/>
      <c r="CQ114" s="80" t="s">
        <v>23459</v>
      </c>
      <c r="CR114" s="83"/>
      <c r="CS114" s="84"/>
    </row>
    <row r="115">
      <c r="A115" s="78" t="s">
        <v>547</v>
      </c>
      <c r="B115" s="78" t="s">
        <v>3825</v>
      </c>
      <c r="C115" s="79">
        <f>IFERROR((COUNTIFS('Base de Dados'!BT:BT,"Sim",'Base de Dados'!A:A,A115,'Base de Dados'!B:B,B115)/(COUNTIFS('Base de Dados'!BT:BT,"Sim",'Base de Dados'!A:A,A115,'Base de Dados'!B:B,B115)+(COUNTIFS('Base de Dados'!BT:BT,"Não",'Base de Dados'!A:A,A115,'Base de Dados'!B:B,B115)))),"Não Aplica")</f>
        <v>1</v>
      </c>
      <c r="D115" s="14" t="s">
        <v>23434</v>
      </c>
      <c r="E115" s="14" t="s">
        <v>24999</v>
      </c>
      <c r="F115" s="14" t="s">
        <v>23436</v>
      </c>
      <c r="G115" s="14" t="s">
        <v>23434</v>
      </c>
      <c r="H115" s="14" t="s">
        <v>25000</v>
      </c>
      <c r="I115" s="14" t="s">
        <v>22818</v>
      </c>
      <c r="J115" s="80"/>
      <c r="K115" s="14" t="s">
        <v>23438</v>
      </c>
      <c r="L115" s="81">
        <v>45685.31202546296</v>
      </c>
      <c r="M115" s="79">
        <f>IFERROR((COUNTIFS('Base de Dados'!DF:DF,"Sim",'Base de Dados'!A:A,A115,'Base de Dados'!B:B,B115)/(COUNTIFS('Base de Dados'!DF:DF,"Sim",'Base de Dados'!A:A,A115,'Base de Dados'!B:B,B115)+(COUNTIFS('Base de Dados'!DF:DF,"Não",'Base de Dados'!A:A,A115,'Base de Dados'!B:B,B115)))),"Não Aplica")</f>
        <v>1</v>
      </c>
      <c r="N115" s="14" t="s">
        <v>23434</v>
      </c>
      <c r="O115" s="14" t="s">
        <v>23439</v>
      </c>
      <c r="P115" s="14" t="s">
        <v>25001</v>
      </c>
      <c r="Q115" s="14" t="s">
        <v>23842</v>
      </c>
      <c r="R115" s="14" t="s">
        <v>23434</v>
      </c>
      <c r="S115" s="14" t="s">
        <v>25002</v>
      </c>
      <c r="T115" s="14" t="s">
        <v>23436</v>
      </c>
      <c r="U115" s="14" t="s">
        <v>23434</v>
      </c>
      <c r="V115" s="14" t="s">
        <v>25003</v>
      </c>
      <c r="W115" s="14" t="s">
        <v>22818</v>
      </c>
      <c r="X115" s="80"/>
      <c r="Y115" s="14" t="s">
        <v>23438</v>
      </c>
      <c r="Z115" s="81">
        <v>45691.61424768518</v>
      </c>
      <c r="AA115" s="79">
        <f>IFERROR((COUNTIFS('Base de Dados'!ED:ED,"Sim",'Base de Dados'!A:A,A115,'Base de Dados'!B:B,B115)/(COUNTIFS('Base de Dados'!ED:ED,"Sim",'Base de Dados'!A:A,A115,'Base de Dados'!B:B,B115)+(COUNTIFS('Base de Dados'!ED:ED,"Não",'Base de Dados'!A:A,A115,'Base de Dados'!B:B,B115)))),"Não Aplica")</f>
        <v>1</v>
      </c>
      <c r="AB115" s="14" t="s">
        <v>23434</v>
      </c>
      <c r="AC115" s="14" t="s">
        <v>25004</v>
      </c>
      <c r="AD115" s="14" t="s">
        <v>23842</v>
      </c>
      <c r="AE115" s="14" t="s">
        <v>23434</v>
      </c>
      <c r="AF115" s="14" t="s">
        <v>25005</v>
      </c>
      <c r="AG115" s="14" t="s">
        <v>22818</v>
      </c>
      <c r="AH115" s="80"/>
      <c r="AI115" s="14" t="s">
        <v>23438</v>
      </c>
      <c r="AJ115" s="81">
        <v>45692.54403935185</v>
      </c>
      <c r="AK115" s="82" t="s">
        <v>23446</v>
      </c>
      <c r="AL115" s="14" t="s">
        <v>23434</v>
      </c>
      <c r="AM115" s="14" t="s">
        <v>23439</v>
      </c>
      <c r="AN115" s="14" t="s">
        <v>25006</v>
      </c>
      <c r="AO115" s="14" t="s">
        <v>23842</v>
      </c>
      <c r="AP115" s="14" t="s">
        <v>23434</v>
      </c>
      <c r="AQ115" s="14" t="s">
        <v>23448</v>
      </c>
      <c r="AR115" s="14" t="s">
        <v>25007</v>
      </c>
      <c r="AS115" s="14" t="s">
        <v>23848</v>
      </c>
      <c r="AT115" s="14" t="s">
        <v>23434</v>
      </c>
      <c r="AU115" s="14" t="s">
        <v>23451</v>
      </c>
      <c r="AV115" s="14" t="s">
        <v>25008</v>
      </c>
      <c r="AW115" s="14" t="s">
        <v>22818</v>
      </c>
      <c r="AX115" s="14" t="s">
        <v>23434</v>
      </c>
      <c r="AY115" s="14" t="s">
        <v>23453</v>
      </c>
      <c r="AZ115" s="14" t="s">
        <v>25009</v>
      </c>
      <c r="BA115" s="14" t="s">
        <v>23455</v>
      </c>
      <c r="BB115" s="80"/>
      <c r="BC115" s="14" t="s">
        <v>23438</v>
      </c>
      <c r="BD115" s="81">
        <v>45707.404490740744</v>
      </c>
      <c r="BE115" s="79">
        <f>IFERROR((COUNTIFS('Base de Dados'!FD:FD,"Sim",'Base de Dados'!A:A,A115,'Base de Dados'!B:B,B115)/(COUNTIFS('Base de Dados'!FD:FD,"Sim",'Base de Dados'!A:A,A115,'Base de Dados'!B:B,B115)+(COUNTIFS('Base de Dados'!FD:FD,"Não",'Base de Dados'!A:A,A115,'Base de Dados'!B:B,B115)))),"Não Aplica")</f>
        <v>1</v>
      </c>
      <c r="BF115" s="14" t="s">
        <v>23434</v>
      </c>
      <c r="BG115" s="14" t="s">
        <v>23439</v>
      </c>
      <c r="BH115" s="14" t="s">
        <v>25010</v>
      </c>
      <c r="BI115" s="14" t="s">
        <v>23842</v>
      </c>
      <c r="BJ115" s="80"/>
      <c r="BK115" s="80"/>
      <c r="BL115" s="80"/>
      <c r="BM115" s="80"/>
      <c r="BN115" s="14" t="s">
        <v>23434</v>
      </c>
      <c r="BO115" s="14" t="s">
        <v>23453</v>
      </c>
      <c r="BP115" s="14" t="s">
        <v>25011</v>
      </c>
      <c r="BQ115" s="14" t="s">
        <v>23455</v>
      </c>
      <c r="BR115" s="14" t="s">
        <v>23434</v>
      </c>
      <c r="BS115" s="14" t="s">
        <v>23451</v>
      </c>
      <c r="BT115" s="14" t="s">
        <v>25012</v>
      </c>
      <c r="BU115" s="14" t="s">
        <v>22818</v>
      </c>
      <c r="BV115" s="80"/>
      <c r="BW115" s="14" t="s">
        <v>23438</v>
      </c>
      <c r="BX115" s="81">
        <v>45713.34909722222</v>
      </c>
      <c r="BY115" s="82" t="s">
        <v>23446</v>
      </c>
      <c r="BZ115" s="15"/>
      <c r="CA115" s="15"/>
      <c r="CB115" s="15"/>
      <c r="CC115" s="15"/>
      <c r="CD115" s="80"/>
      <c r="CE115" s="80"/>
      <c r="CF115" s="80"/>
      <c r="CG115" s="80"/>
      <c r="CH115" s="15"/>
      <c r="CI115" s="15"/>
      <c r="CJ115" s="15"/>
      <c r="CK115" s="15"/>
      <c r="CL115" s="15"/>
      <c r="CM115" s="15"/>
      <c r="CN115" s="15"/>
      <c r="CO115" s="15"/>
      <c r="CP115" s="80"/>
      <c r="CQ115" s="80" t="s">
        <v>23459</v>
      </c>
      <c r="CR115" s="83"/>
      <c r="CS115" s="84"/>
    </row>
    <row r="116">
      <c r="A116" s="78" t="s">
        <v>547</v>
      </c>
      <c r="B116" s="78" t="s">
        <v>3584</v>
      </c>
      <c r="C116" s="79">
        <f>IFERROR((COUNTIFS('Base de Dados'!BT:BT,"Sim",'Base de Dados'!A:A,A116,'Base de Dados'!B:B,B116)/(COUNTIFS('Base de Dados'!BT:BT,"Sim",'Base de Dados'!A:A,A116,'Base de Dados'!B:B,B116)+(COUNTIFS('Base de Dados'!BT:BT,"Não",'Base de Dados'!A:A,A116,'Base de Dados'!B:B,B116)))),"Não Aplica")</f>
        <v>1</v>
      </c>
      <c r="D116" s="14" t="s">
        <v>23434</v>
      </c>
      <c r="E116" s="14" t="s">
        <v>25013</v>
      </c>
      <c r="F116" s="14" t="s">
        <v>23436</v>
      </c>
      <c r="G116" s="14" t="s">
        <v>23434</v>
      </c>
      <c r="H116" s="14" t="s">
        <v>25014</v>
      </c>
      <c r="I116" s="14" t="s">
        <v>22818</v>
      </c>
      <c r="J116" s="80"/>
      <c r="K116" s="14" t="s">
        <v>23438</v>
      </c>
      <c r="L116" s="81">
        <v>45685.31209490741</v>
      </c>
      <c r="M116" s="79">
        <f>IFERROR((COUNTIFS('Base de Dados'!DF:DF,"Sim",'Base de Dados'!A:A,A116,'Base de Dados'!B:B,B116)/(COUNTIFS('Base de Dados'!DF:DF,"Sim",'Base de Dados'!A:A,A116,'Base de Dados'!B:B,B116)+(COUNTIFS('Base de Dados'!DF:DF,"Não",'Base de Dados'!A:A,A116,'Base de Dados'!B:B,B116)))),"Não Aplica")</f>
        <v>1</v>
      </c>
      <c r="N116" s="14" t="s">
        <v>23434</v>
      </c>
      <c r="O116" s="14" t="s">
        <v>23439</v>
      </c>
      <c r="P116" s="14" t="s">
        <v>25015</v>
      </c>
      <c r="Q116" s="14" t="s">
        <v>23842</v>
      </c>
      <c r="R116" s="14" t="s">
        <v>23434</v>
      </c>
      <c r="S116" s="14" t="s">
        <v>25016</v>
      </c>
      <c r="T116" s="14" t="s">
        <v>23436</v>
      </c>
      <c r="U116" s="14" t="s">
        <v>23434</v>
      </c>
      <c r="V116" s="14" t="s">
        <v>25017</v>
      </c>
      <c r="W116" s="14" t="s">
        <v>22818</v>
      </c>
      <c r="X116" s="80"/>
      <c r="Y116" s="14" t="s">
        <v>23438</v>
      </c>
      <c r="Z116" s="81">
        <v>45691.614953703705</v>
      </c>
      <c r="AA116" s="79">
        <f>IFERROR((COUNTIFS('Base de Dados'!ED:ED,"Sim",'Base de Dados'!A:A,A116,'Base de Dados'!B:B,B116)/(COUNTIFS('Base de Dados'!ED:ED,"Sim",'Base de Dados'!A:A,A116,'Base de Dados'!B:B,B116)+(COUNTIFS('Base de Dados'!ED:ED,"Não",'Base de Dados'!A:A,A116,'Base de Dados'!B:B,B116)))),"Não Aplica")</f>
        <v>1</v>
      </c>
      <c r="AB116" s="14" t="s">
        <v>23434</v>
      </c>
      <c r="AC116" s="14" t="s">
        <v>25018</v>
      </c>
      <c r="AD116" s="14" t="s">
        <v>23842</v>
      </c>
      <c r="AE116" s="14" t="s">
        <v>23434</v>
      </c>
      <c r="AF116" s="14" t="s">
        <v>25019</v>
      </c>
      <c r="AG116" s="14" t="s">
        <v>22818</v>
      </c>
      <c r="AH116" s="80"/>
      <c r="AI116" s="14" t="s">
        <v>23438</v>
      </c>
      <c r="AJ116" s="81">
        <v>45692.54361111111</v>
      </c>
      <c r="AK116" s="82" t="s">
        <v>23446</v>
      </c>
      <c r="AL116" s="14" t="s">
        <v>23434</v>
      </c>
      <c r="AM116" s="14" t="s">
        <v>23448</v>
      </c>
      <c r="AN116" s="14" t="s">
        <v>25020</v>
      </c>
      <c r="AO116" s="14" t="s">
        <v>23848</v>
      </c>
      <c r="AP116" s="14" t="s">
        <v>23434</v>
      </c>
      <c r="AQ116" s="14" t="s">
        <v>23439</v>
      </c>
      <c r="AR116" s="14" t="s">
        <v>25021</v>
      </c>
      <c r="AS116" s="14" t="s">
        <v>23842</v>
      </c>
      <c r="AT116" s="14" t="s">
        <v>23434</v>
      </c>
      <c r="AU116" s="14" t="s">
        <v>23453</v>
      </c>
      <c r="AV116" s="14" t="s">
        <v>25022</v>
      </c>
      <c r="AW116" s="14" t="s">
        <v>23455</v>
      </c>
      <c r="AX116" s="14" t="s">
        <v>23434</v>
      </c>
      <c r="AY116" s="14" t="s">
        <v>23451</v>
      </c>
      <c r="AZ116" s="14" t="s">
        <v>25023</v>
      </c>
      <c r="BA116" s="14" t="s">
        <v>22818</v>
      </c>
      <c r="BB116" s="80"/>
      <c r="BC116" s="14" t="s">
        <v>23438</v>
      </c>
      <c r="BD116" s="81">
        <v>45721.31618055556</v>
      </c>
      <c r="BE116" s="79">
        <f>IFERROR((COUNTIFS('Base de Dados'!FD:FD,"Sim",'Base de Dados'!A:A,A116,'Base de Dados'!B:B,B116)/(COUNTIFS('Base de Dados'!FD:FD,"Sim",'Base de Dados'!A:A,A116,'Base de Dados'!B:B,B116)+(COUNTIFS('Base de Dados'!FD:FD,"Não",'Base de Dados'!A:A,A116,'Base de Dados'!B:B,B116)))),"Não Aplica")</f>
        <v>1</v>
      </c>
      <c r="BF116" s="14" t="s">
        <v>23434</v>
      </c>
      <c r="BG116" s="14" t="s">
        <v>23439</v>
      </c>
      <c r="BH116" s="14" t="s">
        <v>25024</v>
      </c>
      <c r="BI116" s="14" t="s">
        <v>23842</v>
      </c>
      <c r="BJ116" s="80"/>
      <c r="BK116" s="80"/>
      <c r="BL116" s="80"/>
      <c r="BM116" s="80"/>
      <c r="BN116" s="14" t="s">
        <v>23434</v>
      </c>
      <c r="BO116" s="14" t="s">
        <v>23453</v>
      </c>
      <c r="BP116" s="14" t="s">
        <v>25025</v>
      </c>
      <c r="BQ116" s="14" t="s">
        <v>23455</v>
      </c>
      <c r="BR116" s="14" t="s">
        <v>23434</v>
      </c>
      <c r="BS116" s="14" t="s">
        <v>23451</v>
      </c>
      <c r="BT116" s="14" t="s">
        <v>25026</v>
      </c>
      <c r="BU116" s="14" t="s">
        <v>22818</v>
      </c>
      <c r="BV116" s="80"/>
      <c r="BW116" s="14" t="s">
        <v>23438</v>
      </c>
      <c r="BX116" s="81">
        <v>45723.32959490741</v>
      </c>
      <c r="BY116" s="82" t="s">
        <v>23446</v>
      </c>
      <c r="BZ116" s="15"/>
      <c r="CA116" s="15"/>
      <c r="CB116" s="15"/>
      <c r="CC116" s="15"/>
      <c r="CD116" s="80"/>
      <c r="CE116" s="80"/>
      <c r="CF116" s="80"/>
      <c r="CG116" s="80"/>
      <c r="CH116" s="15"/>
      <c r="CI116" s="15"/>
      <c r="CJ116" s="15"/>
      <c r="CK116" s="15"/>
      <c r="CL116" s="15"/>
      <c r="CM116" s="15"/>
      <c r="CN116" s="15"/>
      <c r="CO116" s="15"/>
      <c r="CP116" s="80"/>
      <c r="CQ116" s="80" t="s">
        <v>23459</v>
      </c>
      <c r="CR116" s="83"/>
      <c r="CS116" s="84"/>
    </row>
    <row r="117">
      <c r="A117" s="78" t="s">
        <v>547</v>
      </c>
      <c r="B117" s="78" t="s">
        <v>548</v>
      </c>
      <c r="C117" s="79">
        <f>IFERROR((COUNTIFS('Base de Dados'!BT:BT,"Sim",'Base de Dados'!A:A,A117,'Base de Dados'!B:B,B117)/(COUNTIFS('Base de Dados'!BT:BT,"Sim",'Base de Dados'!A:A,A117,'Base de Dados'!B:B,B117)+(COUNTIFS('Base de Dados'!BT:BT,"Não",'Base de Dados'!A:A,A117,'Base de Dados'!B:B,B117)))),"Não Aplica")</f>
        <v>1</v>
      </c>
      <c r="D117" s="14" t="s">
        <v>23434</v>
      </c>
      <c r="E117" s="14" t="s">
        <v>25027</v>
      </c>
      <c r="F117" s="14" t="s">
        <v>23436</v>
      </c>
      <c r="G117" s="14" t="s">
        <v>23434</v>
      </c>
      <c r="H117" s="14" t="s">
        <v>25028</v>
      </c>
      <c r="I117" s="14" t="s">
        <v>22818</v>
      </c>
      <c r="J117" s="80"/>
      <c r="K117" s="14" t="s">
        <v>23438</v>
      </c>
      <c r="L117" s="81">
        <v>45684.456608796296</v>
      </c>
      <c r="M117" s="79">
        <f>IFERROR((COUNTIFS('Base de Dados'!DF:DF,"Sim",'Base de Dados'!A:A,A117,'Base de Dados'!B:B,B117)/(COUNTIFS('Base de Dados'!DF:DF,"Sim",'Base de Dados'!A:A,A117,'Base de Dados'!B:B,B117)+(COUNTIFS('Base de Dados'!DF:DF,"Não",'Base de Dados'!A:A,A117,'Base de Dados'!B:B,B117)))),"Não Aplica")</f>
        <v>1</v>
      </c>
      <c r="N117" s="14" t="s">
        <v>23434</v>
      </c>
      <c r="O117" s="14" t="s">
        <v>23439</v>
      </c>
      <c r="P117" s="14" t="s">
        <v>25029</v>
      </c>
      <c r="Q117" s="14" t="s">
        <v>23842</v>
      </c>
      <c r="R117" s="14" t="s">
        <v>23434</v>
      </c>
      <c r="S117" s="14" t="s">
        <v>25030</v>
      </c>
      <c r="T117" s="14" t="s">
        <v>23436</v>
      </c>
      <c r="U117" s="14" t="s">
        <v>23434</v>
      </c>
      <c r="V117" s="14" t="s">
        <v>25031</v>
      </c>
      <c r="W117" s="14" t="s">
        <v>22818</v>
      </c>
      <c r="X117" s="80"/>
      <c r="Y117" s="14" t="s">
        <v>23438</v>
      </c>
      <c r="Z117" s="81">
        <v>45691.614270833335</v>
      </c>
      <c r="AA117" s="79">
        <f>IFERROR((COUNTIFS('Base de Dados'!ED:ED,"Sim",'Base de Dados'!A:A,A117,'Base de Dados'!B:B,B117)/(COUNTIFS('Base de Dados'!ED:ED,"Sim",'Base de Dados'!A:A,A117,'Base de Dados'!B:B,B117)+(COUNTIFS('Base de Dados'!ED:ED,"Não",'Base de Dados'!A:A,A117,'Base de Dados'!B:B,B117)))),"Não Aplica")</f>
        <v>1</v>
      </c>
      <c r="AB117" s="14" t="s">
        <v>23434</v>
      </c>
      <c r="AC117" s="14" t="s">
        <v>25032</v>
      </c>
      <c r="AD117" s="14" t="s">
        <v>23842</v>
      </c>
      <c r="AE117" s="14" t="s">
        <v>23434</v>
      </c>
      <c r="AF117" s="14" t="s">
        <v>25033</v>
      </c>
      <c r="AG117" s="14" t="s">
        <v>22818</v>
      </c>
      <c r="AH117" s="80"/>
      <c r="AI117" s="14" t="s">
        <v>23438</v>
      </c>
      <c r="AJ117" s="81">
        <v>45692.54399305556</v>
      </c>
      <c r="AK117" s="82" t="s">
        <v>23446</v>
      </c>
      <c r="AL117" s="14" t="s">
        <v>23434</v>
      </c>
      <c r="AM117" s="14" t="s">
        <v>23448</v>
      </c>
      <c r="AN117" s="14" t="s">
        <v>25034</v>
      </c>
      <c r="AO117" s="14" t="s">
        <v>23848</v>
      </c>
      <c r="AP117" s="14" t="s">
        <v>23434</v>
      </c>
      <c r="AQ117" s="14" t="s">
        <v>23439</v>
      </c>
      <c r="AR117" s="14" t="s">
        <v>25035</v>
      </c>
      <c r="AS117" s="14" t="s">
        <v>23842</v>
      </c>
      <c r="AT117" s="14" t="s">
        <v>23434</v>
      </c>
      <c r="AU117" s="14" t="s">
        <v>23453</v>
      </c>
      <c r="AV117" s="14" t="s">
        <v>25036</v>
      </c>
      <c r="AW117" s="14" t="s">
        <v>23455</v>
      </c>
      <c r="AX117" s="14" t="s">
        <v>23434</v>
      </c>
      <c r="AY117" s="14" t="s">
        <v>23451</v>
      </c>
      <c r="AZ117" s="14" t="s">
        <v>25037</v>
      </c>
      <c r="BA117" s="14" t="s">
        <v>22818</v>
      </c>
      <c r="BB117" s="80"/>
      <c r="BC117" s="14" t="s">
        <v>23438</v>
      </c>
      <c r="BD117" s="81">
        <v>45721.31625</v>
      </c>
      <c r="BE117" s="79">
        <f>IFERROR((COUNTIFS('Base de Dados'!FD:FD,"Sim",'Base de Dados'!A:A,A117,'Base de Dados'!B:B,B117)/(COUNTIFS('Base de Dados'!FD:FD,"Sim",'Base de Dados'!A:A,A117,'Base de Dados'!B:B,B117)+(COUNTIFS('Base de Dados'!FD:FD,"Não",'Base de Dados'!A:A,A117,'Base de Dados'!B:B,B117)))),"Não Aplica")</f>
        <v>1</v>
      </c>
      <c r="BF117" s="14" t="s">
        <v>23434</v>
      </c>
      <c r="BG117" s="14" t="s">
        <v>23439</v>
      </c>
      <c r="BH117" s="14" t="s">
        <v>25038</v>
      </c>
      <c r="BI117" s="14" t="s">
        <v>23842</v>
      </c>
      <c r="BJ117" s="80"/>
      <c r="BK117" s="80"/>
      <c r="BL117" s="80"/>
      <c r="BM117" s="80"/>
      <c r="BN117" s="14" t="s">
        <v>23434</v>
      </c>
      <c r="BO117" s="14" t="s">
        <v>23453</v>
      </c>
      <c r="BP117" s="14" t="s">
        <v>25039</v>
      </c>
      <c r="BQ117" s="14" t="s">
        <v>23455</v>
      </c>
      <c r="BR117" s="14" t="s">
        <v>23434</v>
      </c>
      <c r="BS117" s="14" t="s">
        <v>23451</v>
      </c>
      <c r="BT117" s="14" t="s">
        <v>25040</v>
      </c>
      <c r="BU117" s="14" t="s">
        <v>22818</v>
      </c>
      <c r="BV117" s="80"/>
      <c r="BW117" s="14" t="s">
        <v>23438</v>
      </c>
      <c r="BX117" s="81">
        <v>45723.33207175926</v>
      </c>
      <c r="BY117" s="82" t="s">
        <v>23446</v>
      </c>
      <c r="BZ117" s="15"/>
      <c r="CA117" s="15"/>
      <c r="CB117" s="15"/>
      <c r="CC117" s="15"/>
      <c r="CD117" s="80"/>
      <c r="CE117" s="80"/>
      <c r="CF117" s="80"/>
      <c r="CG117" s="80"/>
      <c r="CH117" s="15"/>
      <c r="CI117" s="15"/>
      <c r="CJ117" s="15"/>
      <c r="CK117" s="15"/>
      <c r="CL117" s="15"/>
      <c r="CM117" s="15"/>
      <c r="CN117" s="15"/>
      <c r="CO117" s="15"/>
      <c r="CP117" s="80"/>
      <c r="CQ117" s="80" t="s">
        <v>23459</v>
      </c>
      <c r="CR117" s="83"/>
      <c r="CS117" s="84"/>
    </row>
    <row r="118">
      <c r="A118" s="78" t="s">
        <v>547</v>
      </c>
      <c r="B118" s="78" t="s">
        <v>12936</v>
      </c>
      <c r="C118" s="79">
        <f>IFERROR((COUNTIFS('Base de Dados'!BT:BT,"Sim",'Base de Dados'!A:A,A118,'Base de Dados'!B:B,B118)/(COUNTIFS('Base de Dados'!BT:BT,"Sim",'Base de Dados'!A:A,A118,'Base de Dados'!B:B,B118)+(COUNTIFS('Base de Dados'!BT:BT,"Não",'Base de Dados'!A:A,A118,'Base de Dados'!B:B,B118)))),"Não Aplica")</f>
        <v>1</v>
      </c>
      <c r="D118" s="14" t="s">
        <v>23434</v>
      </c>
      <c r="E118" s="14" t="s">
        <v>25041</v>
      </c>
      <c r="F118" s="14" t="s">
        <v>23436</v>
      </c>
      <c r="G118" s="14" t="s">
        <v>23434</v>
      </c>
      <c r="H118" s="14" t="s">
        <v>25042</v>
      </c>
      <c r="I118" s="14" t="s">
        <v>22818</v>
      </c>
      <c r="J118" s="80"/>
      <c r="K118" s="14" t="s">
        <v>23438</v>
      </c>
      <c r="L118" s="81">
        <v>45684.45657407407</v>
      </c>
      <c r="M118" s="79">
        <f>IFERROR((COUNTIFS('Base de Dados'!DF:DF,"Sim",'Base de Dados'!A:A,A118,'Base de Dados'!B:B,B118)/(COUNTIFS('Base de Dados'!DF:DF,"Sim",'Base de Dados'!A:A,A118,'Base de Dados'!B:B,B118)+(COUNTIFS('Base de Dados'!DF:DF,"Não",'Base de Dados'!A:A,A118,'Base de Dados'!B:B,B118)))),"Não Aplica")</f>
        <v>1</v>
      </c>
      <c r="N118" s="14" t="s">
        <v>23434</v>
      </c>
      <c r="O118" s="14" t="s">
        <v>23439</v>
      </c>
      <c r="P118" s="14" t="s">
        <v>25043</v>
      </c>
      <c r="Q118" s="14" t="s">
        <v>23842</v>
      </c>
      <c r="R118" s="14" t="s">
        <v>23434</v>
      </c>
      <c r="S118" s="14" t="s">
        <v>25044</v>
      </c>
      <c r="T118" s="14" t="s">
        <v>23436</v>
      </c>
      <c r="U118" s="14" t="s">
        <v>23434</v>
      </c>
      <c r="V118" s="14" t="s">
        <v>25045</v>
      </c>
      <c r="W118" s="14" t="s">
        <v>22818</v>
      </c>
      <c r="X118" s="80"/>
      <c r="Y118" s="14" t="s">
        <v>23438</v>
      </c>
      <c r="Z118" s="81">
        <v>45691.61417824074</v>
      </c>
      <c r="AA118" s="79">
        <f>IFERROR((COUNTIFS('Base de Dados'!ED:ED,"Sim",'Base de Dados'!A:A,A118,'Base de Dados'!B:B,B118)/(COUNTIFS('Base de Dados'!ED:ED,"Sim",'Base de Dados'!A:A,A118,'Base de Dados'!B:B,B118)+(COUNTIFS('Base de Dados'!ED:ED,"Não",'Base de Dados'!A:A,A118,'Base de Dados'!B:B,B118)))),"Não Aplica")</f>
        <v>1</v>
      </c>
      <c r="AB118" s="14" t="s">
        <v>23434</v>
      </c>
      <c r="AC118" s="14" t="s">
        <v>25046</v>
      </c>
      <c r="AD118" s="14" t="s">
        <v>23842</v>
      </c>
      <c r="AE118" s="14" t="s">
        <v>23434</v>
      </c>
      <c r="AF118" s="14" t="s">
        <v>25047</v>
      </c>
      <c r="AG118" s="14" t="s">
        <v>22818</v>
      </c>
      <c r="AH118" s="80"/>
      <c r="AI118" s="14" t="s">
        <v>23438</v>
      </c>
      <c r="AJ118" s="81">
        <v>45692.54363425926</v>
      </c>
      <c r="AK118" s="82" t="s">
        <v>23446</v>
      </c>
      <c r="AL118" s="14" t="s">
        <v>23434</v>
      </c>
      <c r="AM118" s="14" t="s">
        <v>23448</v>
      </c>
      <c r="AN118" s="14" t="s">
        <v>25048</v>
      </c>
      <c r="AO118" s="14" t="s">
        <v>23848</v>
      </c>
      <c r="AP118" s="14" t="s">
        <v>23434</v>
      </c>
      <c r="AQ118" s="14" t="s">
        <v>23439</v>
      </c>
      <c r="AR118" s="14" t="s">
        <v>25049</v>
      </c>
      <c r="AS118" s="14" t="s">
        <v>23842</v>
      </c>
      <c r="AT118" s="14" t="s">
        <v>23434</v>
      </c>
      <c r="AU118" s="14" t="s">
        <v>23453</v>
      </c>
      <c r="AV118" s="14" t="s">
        <v>25050</v>
      </c>
      <c r="AW118" s="14" t="s">
        <v>23455</v>
      </c>
      <c r="AX118" s="14" t="s">
        <v>23434</v>
      </c>
      <c r="AY118" s="14" t="s">
        <v>23451</v>
      </c>
      <c r="AZ118" s="14" t="s">
        <v>25051</v>
      </c>
      <c r="BA118" s="14" t="s">
        <v>22818</v>
      </c>
      <c r="BB118" s="80"/>
      <c r="BC118" s="14" t="s">
        <v>23438</v>
      </c>
      <c r="BD118" s="81">
        <v>45720.573171296295</v>
      </c>
      <c r="BE118" s="79">
        <f>IFERROR((COUNTIFS('Base de Dados'!FD:FD,"Sim",'Base de Dados'!A:A,A118,'Base de Dados'!B:B,B118)/(COUNTIFS('Base de Dados'!FD:FD,"Sim",'Base de Dados'!A:A,A118,'Base de Dados'!B:B,B118)+(COUNTIFS('Base de Dados'!FD:FD,"Não",'Base de Dados'!A:A,A118,'Base de Dados'!B:B,B118)))),"Não Aplica")</f>
        <v>1</v>
      </c>
      <c r="BF118" s="14" t="s">
        <v>23434</v>
      </c>
      <c r="BG118" s="14" t="s">
        <v>23439</v>
      </c>
      <c r="BH118" s="14" t="s">
        <v>25052</v>
      </c>
      <c r="BI118" s="14" t="s">
        <v>23842</v>
      </c>
      <c r="BJ118" s="80"/>
      <c r="BK118" s="80"/>
      <c r="BL118" s="80"/>
      <c r="BM118" s="80"/>
      <c r="BN118" s="14" t="s">
        <v>23434</v>
      </c>
      <c r="BO118" s="14" t="s">
        <v>23453</v>
      </c>
      <c r="BP118" s="14" t="s">
        <v>25053</v>
      </c>
      <c r="BQ118" s="14" t="s">
        <v>23455</v>
      </c>
      <c r="BR118" s="14" t="s">
        <v>23434</v>
      </c>
      <c r="BS118" s="14" t="s">
        <v>23451</v>
      </c>
      <c r="BT118" s="14" t="s">
        <v>25054</v>
      </c>
      <c r="BU118" s="14" t="s">
        <v>22818</v>
      </c>
      <c r="BV118" s="80"/>
      <c r="BW118" s="14" t="s">
        <v>23438</v>
      </c>
      <c r="BX118" s="81">
        <v>45723.33188657407</v>
      </c>
      <c r="BY118" s="82" t="s">
        <v>23446</v>
      </c>
      <c r="BZ118" s="15"/>
      <c r="CA118" s="15"/>
      <c r="CB118" s="15"/>
      <c r="CC118" s="15"/>
      <c r="CD118" s="80"/>
      <c r="CE118" s="80"/>
      <c r="CF118" s="80"/>
      <c r="CG118" s="80"/>
      <c r="CH118" s="15"/>
      <c r="CI118" s="15"/>
      <c r="CJ118" s="15"/>
      <c r="CK118" s="15"/>
      <c r="CL118" s="15"/>
      <c r="CM118" s="15"/>
      <c r="CN118" s="15"/>
      <c r="CO118" s="15"/>
      <c r="CP118" s="80"/>
      <c r="CQ118" s="80" t="s">
        <v>23459</v>
      </c>
      <c r="CR118" s="83"/>
      <c r="CS118" s="84"/>
    </row>
    <row r="119">
      <c r="A119" s="78" t="s">
        <v>547</v>
      </c>
      <c r="B119" s="78" t="s">
        <v>17760</v>
      </c>
      <c r="C119" s="79">
        <f>IFERROR((COUNTIFS('Base de Dados'!BT:BT,"Sim",'Base de Dados'!A:A,A119,'Base de Dados'!B:B,B119)/(COUNTIFS('Base de Dados'!BT:BT,"Sim",'Base de Dados'!A:A,A119,'Base de Dados'!B:B,B119)+(COUNTIFS('Base de Dados'!BT:BT,"Não",'Base de Dados'!A:A,A119,'Base de Dados'!B:B,B119)))),"Não Aplica")</f>
        <v>1</v>
      </c>
      <c r="D119" s="14" t="s">
        <v>23434</v>
      </c>
      <c r="E119" s="14" t="s">
        <v>25055</v>
      </c>
      <c r="F119" s="14" t="s">
        <v>23436</v>
      </c>
      <c r="G119" s="14" t="s">
        <v>23434</v>
      </c>
      <c r="H119" s="14" t="s">
        <v>25056</v>
      </c>
      <c r="I119" s="14" t="s">
        <v>22818</v>
      </c>
      <c r="J119" s="80"/>
      <c r="K119" s="14" t="s">
        <v>23438</v>
      </c>
      <c r="L119" s="81">
        <v>45687.3915625</v>
      </c>
      <c r="M119" s="79">
        <f>IFERROR((COUNTIFS('Base de Dados'!DF:DF,"Sim",'Base de Dados'!A:A,A119,'Base de Dados'!B:B,B119)/(COUNTIFS('Base de Dados'!DF:DF,"Sim",'Base de Dados'!A:A,A119,'Base de Dados'!B:B,B119)+(COUNTIFS('Base de Dados'!DF:DF,"Não",'Base de Dados'!A:A,A119,'Base de Dados'!B:B,B119)))),"Não Aplica")</f>
        <v>1</v>
      </c>
      <c r="N119" s="14" t="s">
        <v>23434</v>
      </c>
      <c r="O119" s="14" t="s">
        <v>23439</v>
      </c>
      <c r="P119" s="14" t="s">
        <v>25057</v>
      </c>
      <c r="Q119" s="14" t="s">
        <v>23842</v>
      </c>
      <c r="R119" s="14" t="s">
        <v>23434</v>
      </c>
      <c r="S119" s="14" t="s">
        <v>25058</v>
      </c>
      <c r="T119" s="14" t="s">
        <v>23436</v>
      </c>
      <c r="U119" s="14" t="s">
        <v>23434</v>
      </c>
      <c r="V119" s="14" t="s">
        <v>25059</v>
      </c>
      <c r="W119" s="14" t="s">
        <v>22818</v>
      </c>
      <c r="X119" s="80"/>
      <c r="Y119" s="14" t="s">
        <v>23438</v>
      </c>
      <c r="Z119" s="81">
        <v>45691.61430555556</v>
      </c>
      <c r="AA119" s="79">
        <f>IFERROR((COUNTIFS('Base de Dados'!ED:ED,"Sim",'Base de Dados'!A:A,A119,'Base de Dados'!B:B,B119)/(COUNTIFS('Base de Dados'!ED:ED,"Sim",'Base de Dados'!A:A,A119,'Base de Dados'!B:B,B119)+(COUNTIFS('Base de Dados'!ED:ED,"Não",'Base de Dados'!A:A,A119,'Base de Dados'!B:B,B119)))),"Não Aplica")</f>
        <v>1</v>
      </c>
      <c r="AB119" s="14" t="s">
        <v>23434</v>
      </c>
      <c r="AC119" s="14" t="s">
        <v>25060</v>
      </c>
      <c r="AD119" s="14" t="s">
        <v>23842</v>
      </c>
      <c r="AE119" s="14" t="s">
        <v>23434</v>
      </c>
      <c r="AF119" s="14" t="s">
        <v>25061</v>
      </c>
      <c r="AG119" s="14" t="s">
        <v>22818</v>
      </c>
      <c r="AH119" s="80"/>
      <c r="AI119" s="14" t="s">
        <v>23438</v>
      </c>
      <c r="AJ119" s="81">
        <v>45692.54375</v>
      </c>
      <c r="AK119" s="82" t="s">
        <v>23446</v>
      </c>
      <c r="AL119" s="14" t="s">
        <v>23434</v>
      </c>
      <c r="AM119" s="14" t="s">
        <v>23448</v>
      </c>
      <c r="AN119" s="14" t="s">
        <v>25062</v>
      </c>
      <c r="AO119" s="14" t="s">
        <v>23848</v>
      </c>
      <c r="AP119" s="14" t="s">
        <v>23434</v>
      </c>
      <c r="AQ119" s="14" t="s">
        <v>23439</v>
      </c>
      <c r="AR119" s="14" t="s">
        <v>25063</v>
      </c>
      <c r="AS119" s="14" t="s">
        <v>23842</v>
      </c>
      <c r="AT119" s="14" t="s">
        <v>23434</v>
      </c>
      <c r="AU119" s="14" t="s">
        <v>23453</v>
      </c>
      <c r="AV119" s="14" t="s">
        <v>25064</v>
      </c>
      <c r="AW119" s="14" t="s">
        <v>23455</v>
      </c>
      <c r="AX119" s="14" t="s">
        <v>23434</v>
      </c>
      <c r="AY119" s="14" t="s">
        <v>23451</v>
      </c>
      <c r="AZ119" s="14" t="s">
        <v>25065</v>
      </c>
      <c r="BA119" s="14" t="s">
        <v>22818</v>
      </c>
      <c r="BB119" s="80"/>
      <c r="BC119" s="14" t="s">
        <v>23438</v>
      </c>
      <c r="BD119" s="81">
        <v>45720.573217592595</v>
      </c>
      <c r="BE119" s="79">
        <f>IFERROR((COUNTIFS('Base de Dados'!FD:FD,"Sim",'Base de Dados'!A:A,A119,'Base de Dados'!B:B,B119)/(COUNTIFS('Base de Dados'!FD:FD,"Sim",'Base de Dados'!A:A,A119,'Base de Dados'!B:B,B119)+(COUNTIFS('Base de Dados'!FD:FD,"Não",'Base de Dados'!A:A,A119,'Base de Dados'!B:B,B119)))),"Não Aplica")</f>
        <v>1</v>
      </c>
      <c r="BF119" s="14" t="s">
        <v>23434</v>
      </c>
      <c r="BG119" s="14" t="s">
        <v>23439</v>
      </c>
      <c r="BH119" s="14" t="s">
        <v>25066</v>
      </c>
      <c r="BI119" s="14" t="s">
        <v>23842</v>
      </c>
      <c r="BJ119" s="80"/>
      <c r="BK119" s="80"/>
      <c r="BL119" s="80"/>
      <c r="BM119" s="80"/>
      <c r="BN119" s="14" t="s">
        <v>23434</v>
      </c>
      <c r="BO119" s="14" t="s">
        <v>23453</v>
      </c>
      <c r="BP119" s="14" t="s">
        <v>25067</v>
      </c>
      <c r="BQ119" s="14" t="s">
        <v>23455</v>
      </c>
      <c r="BR119" s="14" t="s">
        <v>23434</v>
      </c>
      <c r="BS119" s="14" t="s">
        <v>23451</v>
      </c>
      <c r="BT119" s="14" t="s">
        <v>25068</v>
      </c>
      <c r="BU119" s="14" t="s">
        <v>22818</v>
      </c>
      <c r="BV119" s="80"/>
      <c r="BW119" s="14" t="s">
        <v>23438</v>
      </c>
      <c r="BX119" s="81">
        <v>45723.332037037035</v>
      </c>
      <c r="BY119" s="82" t="s">
        <v>23446</v>
      </c>
      <c r="BZ119" s="15"/>
      <c r="CA119" s="15"/>
      <c r="CB119" s="15"/>
      <c r="CC119" s="15"/>
      <c r="CD119" s="80"/>
      <c r="CE119" s="80"/>
      <c r="CF119" s="80"/>
      <c r="CG119" s="80"/>
      <c r="CH119" s="15"/>
      <c r="CI119" s="15"/>
      <c r="CJ119" s="15"/>
      <c r="CK119" s="15"/>
      <c r="CL119" s="15"/>
      <c r="CM119" s="15"/>
      <c r="CN119" s="15"/>
      <c r="CO119" s="15"/>
      <c r="CP119" s="80"/>
      <c r="CQ119" s="80" t="s">
        <v>23459</v>
      </c>
      <c r="CR119" s="83"/>
      <c r="CS119" s="84"/>
    </row>
    <row r="120">
      <c r="A120" s="78" t="s">
        <v>547</v>
      </c>
      <c r="B120" s="78" t="s">
        <v>17775</v>
      </c>
      <c r="C120" s="79">
        <f>IFERROR((COUNTIFS('Base de Dados'!BT:BT,"Sim",'Base de Dados'!A:A,A120,'Base de Dados'!B:B,B120)/(COUNTIFS('Base de Dados'!BT:BT,"Sim",'Base de Dados'!A:A,A120,'Base de Dados'!B:B,B120)+(COUNTIFS('Base de Dados'!BT:BT,"Não",'Base de Dados'!A:A,A120,'Base de Dados'!B:B,B120)))),"Não Aplica")</f>
        <v>1</v>
      </c>
      <c r="D120" s="14" t="s">
        <v>23434</v>
      </c>
      <c r="E120" s="14" t="s">
        <v>25069</v>
      </c>
      <c r="F120" s="14" t="s">
        <v>23436</v>
      </c>
      <c r="G120" s="14" t="s">
        <v>23434</v>
      </c>
      <c r="H120" s="14" t="s">
        <v>25070</v>
      </c>
      <c r="I120" s="14" t="s">
        <v>22818</v>
      </c>
      <c r="J120" s="80"/>
      <c r="K120" s="14" t="s">
        <v>23438</v>
      </c>
      <c r="L120" s="81">
        <v>45687.39299768519</v>
      </c>
      <c r="M120" s="79">
        <f>IFERROR((COUNTIFS('Base de Dados'!DF:DF,"Sim",'Base de Dados'!A:A,A120,'Base de Dados'!B:B,B120)/(COUNTIFS('Base de Dados'!DF:DF,"Sim",'Base de Dados'!A:A,A120,'Base de Dados'!B:B,B120)+(COUNTIFS('Base de Dados'!DF:DF,"Não",'Base de Dados'!A:A,A120,'Base de Dados'!B:B,B120)))),"Não Aplica")</f>
        <v>1</v>
      </c>
      <c r="N120" s="14" t="s">
        <v>23434</v>
      </c>
      <c r="O120" s="14" t="s">
        <v>23439</v>
      </c>
      <c r="P120" s="14" t="s">
        <v>25071</v>
      </c>
      <c r="Q120" s="14" t="s">
        <v>23842</v>
      </c>
      <c r="R120" s="14" t="s">
        <v>23434</v>
      </c>
      <c r="S120" s="14" t="s">
        <v>25072</v>
      </c>
      <c r="T120" s="14" t="s">
        <v>23436</v>
      </c>
      <c r="U120" s="14" t="s">
        <v>23434</v>
      </c>
      <c r="V120" s="14" t="s">
        <v>25073</v>
      </c>
      <c r="W120" s="14" t="s">
        <v>22818</v>
      </c>
      <c r="X120" s="80"/>
      <c r="Y120" s="14" t="s">
        <v>23438</v>
      </c>
      <c r="Z120" s="81">
        <v>45691.614537037036</v>
      </c>
      <c r="AA120" s="79">
        <f>IFERROR((COUNTIFS('Base de Dados'!ED:ED,"Sim",'Base de Dados'!A:A,A120,'Base de Dados'!B:B,B120)/(COUNTIFS('Base de Dados'!ED:ED,"Sim",'Base de Dados'!A:A,A120,'Base de Dados'!B:B,B120)+(COUNTIFS('Base de Dados'!ED:ED,"Não",'Base de Dados'!A:A,A120,'Base de Dados'!B:B,B120)))),"Não Aplica")</f>
        <v>1</v>
      </c>
      <c r="AB120" s="14" t="s">
        <v>23434</v>
      </c>
      <c r="AC120" s="14" t="s">
        <v>25074</v>
      </c>
      <c r="AD120" s="14" t="s">
        <v>23842</v>
      </c>
      <c r="AE120" s="14" t="s">
        <v>23434</v>
      </c>
      <c r="AF120" s="14" t="s">
        <v>25075</v>
      </c>
      <c r="AG120" s="14" t="s">
        <v>22818</v>
      </c>
      <c r="AH120" s="80"/>
      <c r="AI120" s="14" t="s">
        <v>23438</v>
      </c>
      <c r="AJ120" s="81">
        <v>45692.543657407405</v>
      </c>
      <c r="AK120" s="82" t="s">
        <v>23446</v>
      </c>
      <c r="AL120" s="14" t="s">
        <v>23434</v>
      </c>
      <c r="AM120" s="14" t="s">
        <v>23448</v>
      </c>
      <c r="AN120" s="14" t="s">
        <v>25076</v>
      </c>
      <c r="AO120" s="14" t="s">
        <v>23848</v>
      </c>
      <c r="AP120" s="14" t="s">
        <v>23434</v>
      </c>
      <c r="AQ120" s="14" t="s">
        <v>23439</v>
      </c>
      <c r="AR120" s="14" t="s">
        <v>25077</v>
      </c>
      <c r="AS120" s="14" t="s">
        <v>23842</v>
      </c>
      <c r="AT120" s="14" t="s">
        <v>23434</v>
      </c>
      <c r="AU120" s="14" t="s">
        <v>23453</v>
      </c>
      <c r="AV120" s="14" t="s">
        <v>25078</v>
      </c>
      <c r="AW120" s="14" t="s">
        <v>23455</v>
      </c>
      <c r="AX120" s="14" t="s">
        <v>23434</v>
      </c>
      <c r="AY120" s="14" t="s">
        <v>23451</v>
      </c>
      <c r="AZ120" s="14" t="s">
        <v>25079</v>
      </c>
      <c r="BA120" s="14" t="s">
        <v>22818</v>
      </c>
      <c r="BB120" s="80"/>
      <c r="BC120" s="14" t="s">
        <v>23438</v>
      </c>
      <c r="BD120" s="81">
        <v>45720.57325231482</v>
      </c>
      <c r="BE120" s="79">
        <f>IFERROR((COUNTIFS('Base de Dados'!FD:FD,"Sim",'Base de Dados'!A:A,A120,'Base de Dados'!B:B,B120)/(COUNTIFS('Base de Dados'!FD:FD,"Sim",'Base de Dados'!A:A,A120,'Base de Dados'!B:B,B120)+(COUNTIFS('Base de Dados'!FD:FD,"Não",'Base de Dados'!A:A,A120,'Base de Dados'!B:B,B120)))),"Não Aplica")</f>
        <v>1</v>
      </c>
      <c r="BF120" s="14" t="s">
        <v>23434</v>
      </c>
      <c r="BG120" s="14" t="s">
        <v>23439</v>
      </c>
      <c r="BH120" s="14" t="s">
        <v>25080</v>
      </c>
      <c r="BI120" s="14" t="s">
        <v>23842</v>
      </c>
      <c r="BJ120" s="80"/>
      <c r="BK120" s="80"/>
      <c r="BL120" s="80"/>
      <c r="BM120" s="80"/>
      <c r="BN120" s="14" t="s">
        <v>23434</v>
      </c>
      <c r="BO120" s="14" t="s">
        <v>23453</v>
      </c>
      <c r="BP120" s="14" t="s">
        <v>25081</v>
      </c>
      <c r="BQ120" s="14" t="s">
        <v>23455</v>
      </c>
      <c r="BR120" s="14" t="s">
        <v>23434</v>
      </c>
      <c r="BS120" s="14" t="s">
        <v>23451</v>
      </c>
      <c r="BT120" s="14" t="s">
        <v>25082</v>
      </c>
      <c r="BU120" s="14" t="s">
        <v>22818</v>
      </c>
      <c r="BV120" s="80"/>
      <c r="BW120" s="14" t="s">
        <v>23438</v>
      </c>
      <c r="BX120" s="81">
        <v>45723.331921296296</v>
      </c>
      <c r="BY120" s="82" t="s">
        <v>23446</v>
      </c>
      <c r="BZ120" s="15"/>
      <c r="CA120" s="15"/>
      <c r="CB120" s="15"/>
      <c r="CC120" s="15"/>
      <c r="CD120" s="80"/>
      <c r="CE120" s="80"/>
      <c r="CF120" s="80"/>
      <c r="CG120" s="80"/>
      <c r="CH120" s="15"/>
      <c r="CI120" s="15"/>
      <c r="CJ120" s="15"/>
      <c r="CK120" s="15"/>
      <c r="CL120" s="15"/>
      <c r="CM120" s="15"/>
      <c r="CN120" s="15"/>
      <c r="CO120" s="15"/>
      <c r="CP120" s="80"/>
      <c r="CQ120" s="80" t="s">
        <v>23459</v>
      </c>
      <c r="CR120" s="83"/>
      <c r="CS120" s="84"/>
    </row>
    <row r="121">
      <c r="A121" s="78" t="s">
        <v>547</v>
      </c>
      <c r="B121" s="78" t="s">
        <v>17817</v>
      </c>
      <c r="C121" s="79">
        <f>IFERROR((COUNTIFS('Base de Dados'!BT:BT,"Sim",'Base de Dados'!A:A,A121,'Base de Dados'!B:B,B121)/(COUNTIFS('Base de Dados'!BT:BT,"Sim",'Base de Dados'!A:A,A121,'Base de Dados'!B:B,B121)+(COUNTIFS('Base de Dados'!BT:BT,"Não",'Base de Dados'!A:A,A121,'Base de Dados'!B:B,B121)))),"Não Aplica")</f>
        <v>1</v>
      </c>
      <c r="D121" s="14" t="s">
        <v>23434</v>
      </c>
      <c r="E121" s="14" t="s">
        <v>25083</v>
      </c>
      <c r="F121" s="14" t="s">
        <v>23436</v>
      </c>
      <c r="G121" s="14" t="s">
        <v>23434</v>
      </c>
      <c r="H121" s="14" t="s">
        <v>25084</v>
      </c>
      <c r="I121" s="14" t="s">
        <v>22818</v>
      </c>
      <c r="J121" s="80"/>
      <c r="K121" s="14" t="s">
        <v>23438</v>
      </c>
      <c r="L121" s="81">
        <v>45687.39304398148</v>
      </c>
      <c r="M121" s="79">
        <f>IFERROR((COUNTIFS('Base de Dados'!DF:DF,"Sim",'Base de Dados'!A:A,A121,'Base de Dados'!B:B,B121)/(COUNTIFS('Base de Dados'!DF:DF,"Sim",'Base de Dados'!A:A,A121,'Base de Dados'!B:B,B121)+(COUNTIFS('Base de Dados'!DF:DF,"Não",'Base de Dados'!A:A,A121,'Base de Dados'!B:B,B121)))),"Não Aplica")</f>
        <v>1</v>
      </c>
      <c r="N121" s="14" t="s">
        <v>23434</v>
      </c>
      <c r="O121" s="14" t="s">
        <v>23439</v>
      </c>
      <c r="P121" s="14" t="s">
        <v>25085</v>
      </c>
      <c r="Q121" s="14" t="s">
        <v>23842</v>
      </c>
      <c r="R121" s="14" t="s">
        <v>23434</v>
      </c>
      <c r="S121" s="14" t="s">
        <v>25086</v>
      </c>
      <c r="T121" s="14" t="s">
        <v>23436</v>
      </c>
      <c r="U121" s="14" t="s">
        <v>23434</v>
      </c>
      <c r="V121" s="14" t="s">
        <v>25087</v>
      </c>
      <c r="W121" s="14" t="s">
        <v>22818</v>
      </c>
      <c r="X121" s="80"/>
      <c r="Y121" s="14" t="s">
        <v>23438</v>
      </c>
      <c r="Z121" s="81">
        <v>45691.61476851852</v>
      </c>
      <c r="AA121" s="79">
        <f>IFERROR((COUNTIFS('Base de Dados'!ED:ED,"Sim",'Base de Dados'!A:A,A121,'Base de Dados'!B:B,B121)/(COUNTIFS('Base de Dados'!ED:ED,"Sim",'Base de Dados'!A:A,A121,'Base de Dados'!B:B,B121)+(COUNTIFS('Base de Dados'!ED:ED,"Não",'Base de Dados'!A:A,A121,'Base de Dados'!B:B,B121)))),"Não Aplica")</f>
        <v>1</v>
      </c>
      <c r="AB121" s="14" t="s">
        <v>23434</v>
      </c>
      <c r="AC121" s="14" t="s">
        <v>25088</v>
      </c>
      <c r="AD121" s="14" t="s">
        <v>23842</v>
      </c>
      <c r="AE121" s="14" t="s">
        <v>23434</v>
      </c>
      <c r="AF121" s="14" t="s">
        <v>25089</v>
      </c>
      <c r="AG121" s="14" t="s">
        <v>22818</v>
      </c>
      <c r="AH121" s="80"/>
      <c r="AI121" s="14" t="s">
        <v>23438</v>
      </c>
      <c r="AJ121" s="81">
        <v>45692.54366898148</v>
      </c>
      <c r="AK121" s="82" t="s">
        <v>23446</v>
      </c>
      <c r="AL121" s="14" t="s">
        <v>23434</v>
      </c>
      <c r="AM121" s="14" t="s">
        <v>23448</v>
      </c>
      <c r="AN121" s="14" t="s">
        <v>25090</v>
      </c>
      <c r="AO121" s="14" t="s">
        <v>23848</v>
      </c>
      <c r="AP121" s="14" t="s">
        <v>23434</v>
      </c>
      <c r="AQ121" s="14" t="s">
        <v>23439</v>
      </c>
      <c r="AR121" s="14" t="s">
        <v>25091</v>
      </c>
      <c r="AS121" s="14" t="s">
        <v>23842</v>
      </c>
      <c r="AT121" s="14" t="s">
        <v>23434</v>
      </c>
      <c r="AU121" s="14" t="s">
        <v>23453</v>
      </c>
      <c r="AV121" s="14" t="s">
        <v>25092</v>
      </c>
      <c r="AW121" s="14" t="s">
        <v>23455</v>
      </c>
      <c r="AX121" s="14" t="s">
        <v>23434</v>
      </c>
      <c r="AY121" s="14" t="s">
        <v>23451</v>
      </c>
      <c r="AZ121" s="14" t="s">
        <v>25093</v>
      </c>
      <c r="BA121" s="14" t="s">
        <v>22818</v>
      </c>
      <c r="BB121" s="80"/>
      <c r="BC121" s="14" t="s">
        <v>23438</v>
      </c>
      <c r="BD121" s="81">
        <v>45720.573287037034</v>
      </c>
      <c r="BE121" s="79">
        <f>IFERROR((COUNTIFS('Base de Dados'!FD:FD,"Sim",'Base de Dados'!A:A,A121,'Base de Dados'!B:B,B121)/(COUNTIFS('Base de Dados'!FD:FD,"Sim",'Base de Dados'!A:A,A121,'Base de Dados'!B:B,B121)+(COUNTIFS('Base de Dados'!FD:FD,"Não",'Base de Dados'!A:A,A121,'Base de Dados'!B:B,B121)))),"Não Aplica")</f>
        <v>1</v>
      </c>
      <c r="BF121" s="14" t="s">
        <v>23434</v>
      </c>
      <c r="BG121" s="14" t="s">
        <v>23439</v>
      </c>
      <c r="BH121" s="14" t="s">
        <v>25094</v>
      </c>
      <c r="BI121" s="14" t="s">
        <v>23842</v>
      </c>
      <c r="BJ121" s="80"/>
      <c r="BK121" s="80"/>
      <c r="BL121" s="80"/>
      <c r="BM121" s="80"/>
      <c r="BN121" s="14" t="s">
        <v>23434</v>
      </c>
      <c r="BO121" s="14" t="s">
        <v>23453</v>
      </c>
      <c r="BP121" s="14" t="s">
        <v>25095</v>
      </c>
      <c r="BQ121" s="14" t="s">
        <v>23455</v>
      </c>
      <c r="BR121" s="14" t="s">
        <v>23434</v>
      </c>
      <c r="BS121" s="14" t="s">
        <v>23451</v>
      </c>
      <c r="BT121" s="14" t="s">
        <v>25096</v>
      </c>
      <c r="BU121" s="14" t="s">
        <v>22818</v>
      </c>
      <c r="BV121" s="80"/>
      <c r="BW121" s="14" t="s">
        <v>23438</v>
      </c>
      <c r="BX121" s="81">
        <v>45723.33200231481</v>
      </c>
      <c r="BY121" s="82" t="s">
        <v>23446</v>
      </c>
      <c r="BZ121" s="15"/>
      <c r="CA121" s="15"/>
      <c r="CB121" s="15"/>
      <c r="CC121" s="15"/>
      <c r="CD121" s="80"/>
      <c r="CE121" s="80"/>
      <c r="CF121" s="80"/>
      <c r="CG121" s="80"/>
      <c r="CH121" s="15"/>
      <c r="CI121" s="15"/>
      <c r="CJ121" s="15"/>
      <c r="CK121" s="15"/>
      <c r="CL121" s="15"/>
      <c r="CM121" s="15"/>
      <c r="CN121" s="15"/>
      <c r="CO121" s="15"/>
      <c r="CP121" s="80"/>
      <c r="CQ121" s="80" t="s">
        <v>23459</v>
      </c>
      <c r="CR121" s="83"/>
      <c r="CS121" s="84"/>
    </row>
    <row r="122">
      <c r="A122" s="78" t="s">
        <v>547</v>
      </c>
      <c r="B122" s="78" t="s">
        <v>17832</v>
      </c>
      <c r="C122" s="79">
        <f>IFERROR((COUNTIFS('Base de Dados'!BT:BT,"Sim",'Base de Dados'!A:A,A122,'Base de Dados'!B:B,B122)/(COUNTIFS('Base de Dados'!BT:BT,"Sim",'Base de Dados'!A:A,A122,'Base de Dados'!B:B,B122)+(COUNTIFS('Base de Dados'!BT:BT,"Não",'Base de Dados'!A:A,A122,'Base de Dados'!B:B,B122)))),"Não Aplica")</f>
        <v>1</v>
      </c>
      <c r="D122" s="14" t="s">
        <v>23434</v>
      </c>
      <c r="E122" s="14" t="s">
        <v>25097</v>
      </c>
      <c r="F122" s="14" t="s">
        <v>23436</v>
      </c>
      <c r="G122" s="14" t="s">
        <v>23434</v>
      </c>
      <c r="H122" s="14" t="s">
        <v>25098</v>
      </c>
      <c r="I122" s="14" t="s">
        <v>22818</v>
      </c>
      <c r="J122" s="80"/>
      <c r="K122" s="14" t="s">
        <v>23438</v>
      </c>
      <c r="L122" s="81">
        <v>45687.3930787037</v>
      </c>
      <c r="M122" s="79">
        <f>IFERROR((COUNTIFS('Base de Dados'!DF:DF,"Sim",'Base de Dados'!A:A,A122,'Base de Dados'!B:B,B122)/(COUNTIFS('Base de Dados'!DF:DF,"Sim",'Base de Dados'!A:A,A122,'Base de Dados'!B:B,B122)+(COUNTIFS('Base de Dados'!DF:DF,"Não",'Base de Dados'!A:A,A122,'Base de Dados'!B:B,B122)))),"Não Aplica")</f>
        <v>1</v>
      </c>
      <c r="N122" s="14" t="s">
        <v>23434</v>
      </c>
      <c r="O122" s="14" t="s">
        <v>23439</v>
      </c>
      <c r="P122" s="14" t="s">
        <v>25099</v>
      </c>
      <c r="Q122" s="14" t="s">
        <v>23842</v>
      </c>
      <c r="R122" s="14" t="s">
        <v>23434</v>
      </c>
      <c r="S122" s="14" t="s">
        <v>25100</v>
      </c>
      <c r="T122" s="14" t="s">
        <v>23436</v>
      </c>
      <c r="U122" s="14" t="s">
        <v>23434</v>
      </c>
      <c r="V122" s="14" t="s">
        <v>25101</v>
      </c>
      <c r="W122" s="14" t="s">
        <v>22818</v>
      </c>
      <c r="X122" s="80"/>
      <c r="Y122" s="14" t="s">
        <v>23438</v>
      </c>
      <c r="Z122" s="81">
        <v>45691.61456018518</v>
      </c>
      <c r="AA122" s="79">
        <f>IFERROR((COUNTIFS('Base de Dados'!ED:ED,"Sim",'Base de Dados'!A:A,A122,'Base de Dados'!B:B,B122)/(COUNTIFS('Base de Dados'!ED:ED,"Sim",'Base de Dados'!A:A,A122,'Base de Dados'!B:B,B122)+(COUNTIFS('Base de Dados'!ED:ED,"Não",'Base de Dados'!A:A,A122,'Base de Dados'!B:B,B122)))),"Não Aplica")</f>
        <v>1</v>
      </c>
      <c r="AB122" s="14" t="s">
        <v>23434</v>
      </c>
      <c r="AC122" s="14" t="s">
        <v>25102</v>
      </c>
      <c r="AD122" s="14" t="s">
        <v>23842</v>
      </c>
      <c r="AE122" s="14" t="s">
        <v>23434</v>
      </c>
      <c r="AF122" s="14" t="s">
        <v>25103</v>
      </c>
      <c r="AG122" s="14" t="s">
        <v>22818</v>
      </c>
      <c r="AH122" s="80"/>
      <c r="AI122" s="14" t="s">
        <v>23438</v>
      </c>
      <c r="AJ122" s="81">
        <v>45692.54369212963</v>
      </c>
      <c r="AK122" s="82" t="s">
        <v>23446</v>
      </c>
      <c r="AL122" s="14" t="s">
        <v>23434</v>
      </c>
      <c r="AM122" s="14" t="s">
        <v>23448</v>
      </c>
      <c r="AN122" s="14" t="s">
        <v>25104</v>
      </c>
      <c r="AO122" s="14" t="s">
        <v>23848</v>
      </c>
      <c r="AP122" s="14" t="s">
        <v>23434</v>
      </c>
      <c r="AQ122" s="14" t="s">
        <v>23439</v>
      </c>
      <c r="AR122" s="14" t="s">
        <v>25105</v>
      </c>
      <c r="AS122" s="14" t="s">
        <v>23842</v>
      </c>
      <c r="AT122" s="14" t="s">
        <v>23434</v>
      </c>
      <c r="AU122" s="14" t="s">
        <v>23453</v>
      </c>
      <c r="AV122" s="14" t="s">
        <v>25106</v>
      </c>
      <c r="AW122" s="14" t="s">
        <v>23455</v>
      </c>
      <c r="AX122" s="14" t="s">
        <v>23434</v>
      </c>
      <c r="AY122" s="14" t="s">
        <v>23451</v>
      </c>
      <c r="AZ122" s="14" t="s">
        <v>25107</v>
      </c>
      <c r="BA122" s="14" t="s">
        <v>22818</v>
      </c>
      <c r="BB122" s="80"/>
      <c r="BC122" s="14" t="s">
        <v>23438</v>
      </c>
      <c r="BD122" s="81">
        <v>45720.57332175926</v>
      </c>
      <c r="BE122" s="79">
        <f>IFERROR((COUNTIFS('Base de Dados'!FD:FD,"Sim",'Base de Dados'!A:A,A122,'Base de Dados'!B:B,B122)/(COUNTIFS('Base de Dados'!FD:FD,"Sim",'Base de Dados'!A:A,A122,'Base de Dados'!B:B,B122)+(COUNTIFS('Base de Dados'!FD:FD,"Não",'Base de Dados'!A:A,A122,'Base de Dados'!B:B,B122)))),"Não Aplica")</f>
        <v>1</v>
      </c>
      <c r="BF122" s="14" t="s">
        <v>23434</v>
      </c>
      <c r="BG122" s="14" t="s">
        <v>23439</v>
      </c>
      <c r="BH122" s="14" t="s">
        <v>25108</v>
      </c>
      <c r="BI122" s="14" t="s">
        <v>23842</v>
      </c>
      <c r="BJ122" s="80"/>
      <c r="BK122" s="80"/>
      <c r="BL122" s="80"/>
      <c r="BM122" s="80"/>
      <c r="BN122" s="14" t="s">
        <v>23434</v>
      </c>
      <c r="BO122" s="14" t="s">
        <v>23453</v>
      </c>
      <c r="BP122" s="14" t="s">
        <v>25109</v>
      </c>
      <c r="BQ122" s="14" t="s">
        <v>23455</v>
      </c>
      <c r="BR122" s="14" t="s">
        <v>23434</v>
      </c>
      <c r="BS122" s="14" t="s">
        <v>23451</v>
      </c>
      <c r="BT122" s="14" t="s">
        <v>25110</v>
      </c>
      <c r="BU122" s="14" t="s">
        <v>22818</v>
      </c>
      <c r="BV122" s="80"/>
      <c r="BW122" s="14" t="s">
        <v>23438</v>
      </c>
      <c r="BX122" s="81">
        <v>45723.332094907404</v>
      </c>
      <c r="BY122" s="82" t="s">
        <v>23446</v>
      </c>
      <c r="BZ122" s="15"/>
      <c r="CA122" s="15"/>
      <c r="CB122" s="15"/>
      <c r="CC122" s="15"/>
      <c r="CD122" s="80"/>
      <c r="CE122" s="80"/>
      <c r="CF122" s="80"/>
      <c r="CG122" s="80"/>
      <c r="CH122" s="15"/>
      <c r="CI122" s="15"/>
      <c r="CJ122" s="15"/>
      <c r="CK122" s="15"/>
      <c r="CL122" s="15"/>
      <c r="CM122" s="15"/>
      <c r="CN122" s="15"/>
      <c r="CO122" s="15"/>
      <c r="CP122" s="80"/>
      <c r="CQ122" s="80" t="s">
        <v>23459</v>
      </c>
      <c r="CR122" s="83"/>
      <c r="CS122" s="84"/>
    </row>
    <row r="123">
      <c r="A123" s="78" t="s">
        <v>547</v>
      </c>
      <c r="B123" s="78" t="s">
        <v>12788</v>
      </c>
      <c r="C123" s="79">
        <f>IFERROR((COUNTIFS('Base de Dados'!BT:BT,"Sim",'Base de Dados'!A:A,A123,'Base de Dados'!B:B,B123)/(COUNTIFS('Base de Dados'!BT:BT,"Sim",'Base de Dados'!A:A,A123,'Base de Dados'!B:B,B123)+(COUNTIFS('Base de Dados'!BT:BT,"Não",'Base de Dados'!A:A,A123,'Base de Dados'!B:B,B123)))),"Não Aplica")</f>
        <v>1</v>
      </c>
      <c r="D123" s="14" t="s">
        <v>23434</v>
      </c>
      <c r="E123" s="14" t="s">
        <v>25111</v>
      </c>
      <c r="F123" s="14" t="s">
        <v>23436</v>
      </c>
      <c r="G123" s="14" t="s">
        <v>23434</v>
      </c>
      <c r="H123" s="14" t="s">
        <v>25112</v>
      </c>
      <c r="I123" s="14" t="s">
        <v>22818</v>
      </c>
      <c r="J123" s="80"/>
      <c r="K123" s="14" t="s">
        <v>23438</v>
      </c>
      <c r="L123" s="81">
        <v>45691.61040509259</v>
      </c>
      <c r="M123" s="79">
        <f>IFERROR((COUNTIFS('Base de Dados'!DF:DF,"Sim",'Base de Dados'!A:A,A123,'Base de Dados'!B:B,B123)/(COUNTIFS('Base de Dados'!DF:DF,"Sim",'Base de Dados'!A:A,A123,'Base de Dados'!B:B,B123)+(COUNTIFS('Base de Dados'!DF:DF,"Não",'Base de Dados'!A:A,A123,'Base de Dados'!B:B,B123)))),"Não Aplica")</f>
        <v>1</v>
      </c>
      <c r="N123" s="14" t="s">
        <v>23434</v>
      </c>
      <c r="O123" s="14" t="s">
        <v>23439</v>
      </c>
      <c r="P123" s="14" t="s">
        <v>25113</v>
      </c>
      <c r="Q123" s="14" t="s">
        <v>23842</v>
      </c>
      <c r="R123" s="14" t="s">
        <v>23434</v>
      </c>
      <c r="S123" s="14" t="s">
        <v>25114</v>
      </c>
      <c r="T123" s="14" t="s">
        <v>23436</v>
      </c>
      <c r="U123" s="14" t="s">
        <v>23434</v>
      </c>
      <c r="V123" s="14" t="s">
        <v>25115</v>
      </c>
      <c r="W123" s="14" t="s">
        <v>22818</v>
      </c>
      <c r="X123" s="80"/>
      <c r="Y123" s="14" t="s">
        <v>23438</v>
      </c>
      <c r="Z123" s="81">
        <v>45692.5365625</v>
      </c>
      <c r="AA123" s="79" t="str">
        <f>IFERROR((COUNTIFS('Base de Dados'!ED:ED,"Sim",'Base de Dados'!A:A,A123,'Base de Dados'!B:B,B123)/(COUNTIFS('Base de Dados'!ED:ED,"Sim",'Base de Dados'!A:A,A123,'Base de Dados'!B:B,B123)+(COUNTIFS('Base de Dados'!ED:ED,"Não",'Base de Dados'!A:A,A123,'Base de Dados'!B:B,B123)))),"Não Aplica")</f>
        <v>Não Aplica</v>
      </c>
      <c r="AB123" s="14" t="s">
        <v>228</v>
      </c>
      <c r="AC123" s="14" t="s">
        <v>25116</v>
      </c>
      <c r="AD123" s="14" t="s">
        <v>23842</v>
      </c>
      <c r="AE123" s="14" t="s">
        <v>228</v>
      </c>
      <c r="AF123" s="14" t="s">
        <v>25117</v>
      </c>
      <c r="AG123" s="14" t="s">
        <v>22818</v>
      </c>
      <c r="AH123" s="80"/>
      <c r="AI123" s="14" t="s">
        <v>23438</v>
      </c>
      <c r="AJ123" s="81">
        <v>45693.44909722222</v>
      </c>
      <c r="AK123" s="82" t="s">
        <v>23446</v>
      </c>
      <c r="AL123" s="14" t="s">
        <v>23434</v>
      </c>
      <c r="AM123" s="14" t="s">
        <v>23448</v>
      </c>
      <c r="AN123" s="14" t="s">
        <v>25118</v>
      </c>
      <c r="AO123" s="14" t="s">
        <v>23848</v>
      </c>
      <c r="AP123" s="14" t="s">
        <v>23434</v>
      </c>
      <c r="AQ123" s="14" t="s">
        <v>23439</v>
      </c>
      <c r="AR123" s="14" t="s">
        <v>25119</v>
      </c>
      <c r="AS123" s="14" t="s">
        <v>23842</v>
      </c>
      <c r="AT123" s="14" t="s">
        <v>23434</v>
      </c>
      <c r="AU123" s="14" t="s">
        <v>23453</v>
      </c>
      <c r="AV123" s="14" t="s">
        <v>25120</v>
      </c>
      <c r="AW123" s="14" t="s">
        <v>23455</v>
      </c>
      <c r="AX123" s="14" t="s">
        <v>23434</v>
      </c>
      <c r="AY123" s="14" t="s">
        <v>23451</v>
      </c>
      <c r="AZ123" s="14" t="s">
        <v>25121</v>
      </c>
      <c r="BA123" s="14" t="s">
        <v>22818</v>
      </c>
      <c r="BB123" s="80"/>
      <c r="BC123" s="14" t="s">
        <v>23438</v>
      </c>
      <c r="BD123" s="81">
        <v>45720.57336805556</v>
      </c>
      <c r="BE123" s="79">
        <f>IFERROR((COUNTIFS('Base de Dados'!FD:FD,"Sim",'Base de Dados'!A:A,A123,'Base de Dados'!B:B,B123)/(COUNTIFS('Base de Dados'!FD:FD,"Sim",'Base de Dados'!A:A,A123,'Base de Dados'!B:B,B123)+(COUNTIFS('Base de Dados'!FD:FD,"Não",'Base de Dados'!A:A,A123,'Base de Dados'!B:B,B123)))),"Não Aplica")</f>
        <v>1</v>
      </c>
      <c r="BF123" s="14" t="s">
        <v>23434</v>
      </c>
      <c r="BG123" s="14" t="s">
        <v>23439</v>
      </c>
      <c r="BH123" s="14" t="s">
        <v>25122</v>
      </c>
      <c r="BI123" s="14" t="s">
        <v>23842</v>
      </c>
      <c r="BJ123" s="80"/>
      <c r="BK123" s="80"/>
      <c r="BL123" s="80"/>
      <c r="BM123" s="80"/>
      <c r="BN123" s="14" t="s">
        <v>23434</v>
      </c>
      <c r="BO123" s="14" t="s">
        <v>23453</v>
      </c>
      <c r="BP123" s="14" t="s">
        <v>25123</v>
      </c>
      <c r="BQ123" s="14" t="s">
        <v>23455</v>
      </c>
      <c r="BR123" s="14" t="s">
        <v>23434</v>
      </c>
      <c r="BS123" s="14" t="s">
        <v>23451</v>
      </c>
      <c r="BT123" s="14" t="s">
        <v>25124</v>
      </c>
      <c r="BU123" s="14" t="s">
        <v>22818</v>
      </c>
      <c r="BV123" s="80"/>
      <c r="BW123" s="14" t="s">
        <v>23438</v>
      </c>
      <c r="BX123" s="81">
        <v>45721.59075231481</v>
      </c>
      <c r="BY123" s="82" t="s">
        <v>23446</v>
      </c>
      <c r="BZ123" s="15"/>
      <c r="CA123" s="15"/>
      <c r="CB123" s="15"/>
      <c r="CC123" s="15"/>
      <c r="CD123" s="80"/>
      <c r="CE123" s="80"/>
      <c r="CF123" s="80"/>
      <c r="CG123" s="80"/>
      <c r="CH123" s="15"/>
      <c r="CI123" s="15"/>
      <c r="CJ123" s="15"/>
      <c r="CK123" s="15"/>
      <c r="CL123" s="15"/>
      <c r="CM123" s="15"/>
      <c r="CN123" s="15"/>
      <c r="CO123" s="15"/>
      <c r="CP123" s="80"/>
      <c r="CQ123" s="80" t="s">
        <v>23459</v>
      </c>
      <c r="CR123" s="83"/>
      <c r="CS123" s="84"/>
    </row>
    <row r="124">
      <c r="A124" s="78" t="s">
        <v>547</v>
      </c>
      <c r="B124" s="78" t="s">
        <v>3619</v>
      </c>
      <c r="C124" s="79">
        <f>IFERROR((COUNTIFS('Base de Dados'!BT:BT,"Sim",'Base de Dados'!A:A,A124,'Base de Dados'!B:B,B124)/(COUNTIFS('Base de Dados'!BT:BT,"Sim",'Base de Dados'!A:A,A124,'Base de Dados'!B:B,B124)+(COUNTIFS('Base de Dados'!BT:BT,"Não",'Base de Dados'!A:A,A124,'Base de Dados'!B:B,B124)))),"Não Aplica")</f>
        <v>1</v>
      </c>
      <c r="D124" s="14" t="s">
        <v>23434</v>
      </c>
      <c r="E124" s="14" t="s">
        <v>25125</v>
      </c>
      <c r="F124" s="14" t="s">
        <v>23436</v>
      </c>
      <c r="G124" s="14" t="s">
        <v>23434</v>
      </c>
      <c r="H124" s="14" t="s">
        <v>25126</v>
      </c>
      <c r="I124" s="14" t="s">
        <v>22818</v>
      </c>
      <c r="J124" s="80"/>
      <c r="K124" s="14" t="s">
        <v>23438</v>
      </c>
      <c r="L124" s="81">
        <v>45685.31193287037</v>
      </c>
      <c r="M124" s="79">
        <f>IFERROR((COUNTIFS('Base de Dados'!DF:DF,"Sim",'Base de Dados'!A:A,A124,'Base de Dados'!B:B,B124)/(COUNTIFS('Base de Dados'!DF:DF,"Sim",'Base de Dados'!A:A,A124,'Base de Dados'!B:B,B124)+(COUNTIFS('Base de Dados'!DF:DF,"Não",'Base de Dados'!A:A,A124,'Base de Dados'!B:B,B124)))),"Não Aplica")</f>
        <v>1</v>
      </c>
      <c r="N124" s="14" t="s">
        <v>23434</v>
      </c>
      <c r="O124" s="14" t="s">
        <v>23439</v>
      </c>
      <c r="P124" s="14" t="s">
        <v>25127</v>
      </c>
      <c r="Q124" s="14" t="s">
        <v>23842</v>
      </c>
      <c r="R124" s="14" t="s">
        <v>23434</v>
      </c>
      <c r="S124" s="14" t="s">
        <v>25128</v>
      </c>
      <c r="T124" s="14" t="s">
        <v>23436</v>
      </c>
      <c r="U124" s="14" t="s">
        <v>23434</v>
      </c>
      <c r="V124" s="14" t="s">
        <v>25129</v>
      </c>
      <c r="W124" s="14" t="s">
        <v>22818</v>
      </c>
      <c r="X124" s="80"/>
      <c r="Y124" s="14" t="s">
        <v>23438</v>
      </c>
      <c r="Z124" s="81">
        <v>45691.61408564815</v>
      </c>
      <c r="AA124" s="79">
        <f>IFERROR((COUNTIFS('Base de Dados'!ED:ED,"Sim",'Base de Dados'!A:A,A124,'Base de Dados'!B:B,B124)/(COUNTIFS('Base de Dados'!ED:ED,"Sim",'Base de Dados'!A:A,A124,'Base de Dados'!B:B,B124)+(COUNTIFS('Base de Dados'!ED:ED,"Não",'Base de Dados'!A:A,A124,'Base de Dados'!B:B,B124)))),"Não Aplica")</f>
        <v>1</v>
      </c>
      <c r="AB124" s="14" t="s">
        <v>23434</v>
      </c>
      <c r="AC124" s="14" t="s">
        <v>25130</v>
      </c>
      <c r="AD124" s="14" t="s">
        <v>23842</v>
      </c>
      <c r="AE124" s="14" t="s">
        <v>23434</v>
      </c>
      <c r="AF124" s="14" t="s">
        <v>25131</v>
      </c>
      <c r="AG124" s="14" t="s">
        <v>22818</v>
      </c>
      <c r="AH124" s="80"/>
      <c r="AI124" s="14" t="s">
        <v>23438</v>
      </c>
      <c r="AJ124" s="81">
        <v>45692.54371527778</v>
      </c>
      <c r="AK124" s="82" t="s">
        <v>23446</v>
      </c>
      <c r="AL124" s="14" t="s">
        <v>23434</v>
      </c>
      <c r="AM124" s="14" t="s">
        <v>23448</v>
      </c>
      <c r="AN124" s="14" t="s">
        <v>25132</v>
      </c>
      <c r="AO124" s="14" t="s">
        <v>23848</v>
      </c>
      <c r="AP124" s="14" t="s">
        <v>23434</v>
      </c>
      <c r="AQ124" s="14" t="s">
        <v>23439</v>
      </c>
      <c r="AR124" s="14" t="s">
        <v>25133</v>
      </c>
      <c r="AS124" s="14" t="s">
        <v>23842</v>
      </c>
      <c r="AT124" s="14" t="s">
        <v>23434</v>
      </c>
      <c r="AU124" s="14" t="s">
        <v>23453</v>
      </c>
      <c r="AV124" s="14" t="s">
        <v>25134</v>
      </c>
      <c r="AW124" s="14" t="s">
        <v>23455</v>
      </c>
      <c r="AX124" s="14" t="s">
        <v>23434</v>
      </c>
      <c r="AY124" s="14" t="s">
        <v>23451</v>
      </c>
      <c r="AZ124" s="14" t="s">
        <v>25135</v>
      </c>
      <c r="BA124" s="14" t="s">
        <v>22818</v>
      </c>
      <c r="BB124" s="80"/>
      <c r="BC124" s="14" t="s">
        <v>23438</v>
      </c>
      <c r="BD124" s="81">
        <v>45721.31631944444</v>
      </c>
      <c r="BE124" s="79">
        <f>IFERROR((COUNTIFS('Base de Dados'!FD:FD,"Sim",'Base de Dados'!A:A,A124,'Base de Dados'!B:B,B124)/(COUNTIFS('Base de Dados'!FD:FD,"Sim",'Base de Dados'!A:A,A124,'Base de Dados'!B:B,B124)+(COUNTIFS('Base de Dados'!FD:FD,"Não",'Base de Dados'!A:A,A124,'Base de Dados'!B:B,B124)))),"Não Aplica")</f>
        <v>1</v>
      </c>
      <c r="BF124" s="14" t="s">
        <v>23434</v>
      </c>
      <c r="BG124" s="14" t="s">
        <v>23439</v>
      </c>
      <c r="BH124" s="14" t="s">
        <v>25136</v>
      </c>
      <c r="BI124" s="14" t="s">
        <v>23842</v>
      </c>
      <c r="BJ124" s="80"/>
      <c r="BK124" s="80"/>
      <c r="BL124" s="80"/>
      <c r="BM124" s="80"/>
      <c r="BN124" s="14" t="s">
        <v>23434</v>
      </c>
      <c r="BO124" s="14" t="s">
        <v>23453</v>
      </c>
      <c r="BP124" s="14" t="s">
        <v>25137</v>
      </c>
      <c r="BQ124" s="14" t="s">
        <v>23455</v>
      </c>
      <c r="BR124" s="14" t="s">
        <v>23434</v>
      </c>
      <c r="BS124" s="14" t="s">
        <v>23451</v>
      </c>
      <c r="BT124" s="14" t="s">
        <v>25138</v>
      </c>
      <c r="BU124" s="14" t="s">
        <v>22818</v>
      </c>
      <c r="BV124" s="80"/>
      <c r="BW124" s="14" t="s">
        <v>23438</v>
      </c>
      <c r="BX124" s="81">
        <v>45723.331145833334</v>
      </c>
      <c r="BY124" s="82" t="s">
        <v>23446</v>
      </c>
      <c r="BZ124" s="15"/>
      <c r="CA124" s="15"/>
      <c r="CB124" s="15"/>
      <c r="CC124" s="15"/>
      <c r="CD124" s="80"/>
      <c r="CE124" s="80"/>
      <c r="CF124" s="80"/>
      <c r="CG124" s="80"/>
      <c r="CH124" s="15"/>
      <c r="CI124" s="15"/>
      <c r="CJ124" s="15"/>
      <c r="CK124" s="15"/>
      <c r="CL124" s="15"/>
      <c r="CM124" s="15"/>
      <c r="CN124" s="15"/>
      <c r="CO124" s="15"/>
      <c r="CP124" s="80"/>
      <c r="CQ124" s="80" t="s">
        <v>23459</v>
      </c>
      <c r="CR124" s="83"/>
      <c r="CS124" s="84"/>
    </row>
    <row r="125">
      <c r="A125" s="78" t="s">
        <v>547</v>
      </c>
      <c r="B125" s="78" t="s">
        <v>3337</v>
      </c>
      <c r="C125" s="79">
        <f>IFERROR((COUNTIFS('Base de Dados'!BT:BT,"Sim",'Base de Dados'!A:A,A125,'Base de Dados'!B:B,B125)/(COUNTIFS('Base de Dados'!BT:BT,"Sim",'Base de Dados'!A:A,A125,'Base de Dados'!B:B,B125)+(COUNTIFS('Base de Dados'!BT:BT,"Não",'Base de Dados'!A:A,A125,'Base de Dados'!B:B,B125)))),"Não Aplica")</f>
        <v>1</v>
      </c>
      <c r="D125" s="14" t="s">
        <v>23434</v>
      </c>
      <c r="E125" s="14" t="s">
        <v>25139</v>
      </c>
      <c r="F125" s="14" t="s">
        <v>23436</v>
      </c>
      <c r="G125" s="14" t="s">
        <v>23434</v>
      </c>
      <c r="H125" s="14" t="s">
        <v>25140</v>
      </c>
      <c r="I125" s="14" t="s">
        <v>22818</v>
      </c>
      <c r="J125" s="80"/>
      <c r="K125" s="14" t="s">
        <v>23438</v>
      </c>
      <c r="L125" s="81">
        <v>45687.662152777775</v>
      </c>
      <c r="M125" s="79">
        <f>IFERROR((COUNTIFS('Base de Dados'!DF:DF,"Sim",'Base de Dados'!A:A,A125,'Base de Dados'!B:B,B125)/(COUNTIFS('Base de Dados'!DF:DF,"Sim",'Base de Dados'!A:A,A125,'Base de Dados'!B:B,B125)+(COUNTIFS('Base de Dados'!DF:DF,"Não",'Base de Dados'!A:A,A125,'Base de Dados'!B:B,B125)))),"Não Aplica")</f>
        <v>1</v>
      </c>
      <c r="N125" s="14" t="s">
        <v>23434</v>
      </c>
      <c r="O125" s="14" t="s">
        <v>23439</v>
      </c>
      <c r="P125" s="14" t="s">
        <v>25141</v>
      </c>
      <c r="Q125" s="14" t="s">
        <v>23842</v>
      </c>
      <c r="R125" s="14" t="s">
        <v>23434</v>
      </c>
      <c r="S125" s="14" t="s">
        <v>25142</v>
      </c>
      <c r="T125" s="14" t="s">
        <v>23436</v>
      </c>
      <c r="U125" s="14" t="s">
        <v>23434</v>
      </c>
      <c r="V125" s="14" t="s">
        <v>25143</v>
      </c>
      <c r="W125" s="14" t="s">
        <v>22818</v>
      </c>
      <c r="X125" s="80"/>
      <c r="Y125" s="14" t="s">
        <v>23438</v>
      </c>
      <c r="Z125" s="81">
        <v>45691.614583333336</v>
      </c>
      <c r="AA125" s="79">
        <f>IFERROR((COUNTIFS('Base de Dados'!ED:ED,"Sim",'Base de Dados'!A:A,A125,'Base de Dados'!B:B,B125)/(COUNTIFS('Base de Dados'!ED:ED,"Sim",'Base de Dados'!A:A,A125,'Base de Dados'!B:B,B125)+(COUNTIFS('Base de Dados'!ED:ED,"Não",'Base de Dados'!A:A,A125,'Base de Dados'!B:B,B125)))),"Não Aplica")</f>
        <v>1</v>
      </c>
      <c r="AB125" s="14" t="s">
        <v>23434</v>
      </c>
      <c r="AC125" s="14" t="s">
        <v>25144</v>
      </c>
      <c r="AD125" s="14" t="s">
        <v>23842</v>
      </c>
      <c r="AE125" s="14" t="s">
        <v>23434</v>
      </c>
      <c r="AF125" s="14" t="s">
        <v>25145</v>
      </c>
      <c r="AG125" s="14" t="s">
        <v>22818</v>
      </c>
      <c r="AH125" s="80"/>
      <c r="AI125" s="14" t="s">
        <v>23438</v>
      </c>
      <c r="AJ125" s="81">
        <v>45692.54373842593</v>
      </c>
      <c r="AK125" s="82" t="s">
        <v>23446</v>
      </c>
      <c r="AL125" s="14" t="s">
        <v>23434</v>
      </c>
      <c r="AM125" s="14" t="s">
        <v>23448</v>
      </c>
      <c r="AN125" s="14" t="s">
        <v>25146</v>
      </c>
      <c r="AO125" s="14" t="s">
        <v>23848</v>
      </c>
      <c r="AP125" s="14" t="s">
        <v>23434</v>
      </c>
      <c r="AQ125" s="14" t="s">
        <v>23439</v>
      </c>
      <c r="AR125" s="14" t="s">
        <v>25147</v>
      </c>
      <c r="AS125" s="14" t="s">
        <v>23842</v>
      </c>
      <c r="AT125" s="14" t="s">
        <v>23434</v>
      </c>
      <c r="AU125" s="14" t="s">
        <v>23453</v>
      </c>
      <c r="AV125" s="14" t="s">
        <v>25148</v>
      </c>
      <c r="AW125" s="14" t="s">
        <v>23455</v>
      </c>
      <c r="AX125" s="14" t="s">
        <v>23434</v>
      </c>
      <c r="AY125" s="14" t="s">
        <v>23451</v>
      </c>
      <c r="AZ125" s="14" t="s">
        <v>25149</v>
      </c>
      <c r="BA125" s="14" t="s">
        <v>22818</v>
      </c>
      <c r="BB125" s="80"/>
      <c r="BC125" s="14" t="s">
        <v>23438</v>
      </c>
      <c r="BD125" s="81">
        <v>45721.31832175926</v>
      </c>
      <c r="BE125" s="79">
        <f>IFERROR((COUNTIFS('Base de Dados'!FD:FD,"Sim",'Base de Dados'!A:A,A125,'Base de Dados'!B:B,B125)/(COUNTIFS('Base de Dados'!FD:FD,"Sim",'Base de Dados'!A:A,A125,'Base de Dados'!B:B,B125)+(COUNTIFS('Base de Dados'!FD:FD,"Não",'Base de Dados'!A:A,A125,'Base de Dados'!B:B,B125)))),"Não Aplica")</f>
        <v>1</v>
      </c>
      <c r="BF125" s="14" t="s">
        <v>23434</v>
      </c>
      <c r="BG125" s="14" t="s">
        <v>23439</v>
      </c>
      <c r="BH125" s="14" t="s">
        <v>25150</v>
      </c>
      <c r="BI125" s="14" t="s">
        <v>23842</v>
      </c>
      <c r="BJ125" s="80"/>
      <c r="BK125" s="80"/>
      <c r="BL125" s="80"/>
      <c r="BM125" s="80"/>
      <c r="BN125" s="14" t="s">
        <v>23434</v>
      </c>
      <c r="BO125" s="14" t="s">
        <v>23453</v>
      </c>
      <c r="BP125" s="14" t="s">
        <v>25151</v>
      </c>
      <c r="BQ125" s="14" t="s">
        <v>23455</v>
      </c>
      <c r="BR125" s="14" t="s">
        <v>23434</v>
      </c>
      <c r="BS125" s="14" t="s">
        <v>23451</v>
      </c>
      <c r="BT125" s="14" t="s">
        <v>25152</v>
      </c>
      <c r="BU125" s="14" t="s">
        <v>22818</v>
      </c>
      <c r="BV125" s="80"/>
      <c r="BW125" s="14" t="s">
        <v>23438</v>
      </c>
      <c r="BX125" s="81">
        <v>45721.590787037036</v>
      </c>
      <c r="BY125" s="82" t="s">
        <v>23446</v>
      </c>
      <c r="BZ125" s="15"/>
      <c r="CA125" s="15"/>
      <c r="CB125" s="15"/>
      <c r="CC125" s="15"/>
      <c r="CD125" s="80"/>
      <c r="CE125" s="80"/>
      <c r="CF125" s="80"/>
      <c r="CG125" s="80"/>
      <c r="CH125" s="15"/>
      <c r="CI125" s="15"/>
      <c r="CJ125" s="15"/>
      <c r="CK125" s="15"/>
      <c r="CL125" s="15"/>
      <c r="CM125" s="15"/>
      <c r="CN125" s="15"/>
      <c r="CO125" s="15"/>
      <c r="CP125" s="80"/>
      <c r="CQ125" s="80" t="s">
        <v>23459</v>
      </c>
      <c r="CR125" s="83"/>
      <c r="CS125" s="84"/>
    </row>
    <row r="126">
      <c r="A126" s="78" t="s">
        <v>547</v>
      </c>
      <c r="B126" s="78" t="s">
        <v>11845</v>
      </c>
      <c r="C126" s="79">
        <f>IFERROR((COUNTIFS('Base de Dados'!BT:BT,"Sim",'Base de Dados'!A:A,A126,'Base de Dados'!B:B,B126)/(COUNTIFS('Base de Dados'!BT:BT,"Sim",'Base de Dados'!A:A,A126,'Base de Dados'!B:B,B126)+(COUNTIFS('Base de Dados'!BT:BT,"Não",'Base de Dados'!A:A,A126,'Base de Dados'!B:B,B126)))),"Não Aplica")</f>
        <v>1</v>
      </c>
      <c r="D126" s="14" t="s">
        <v>23434</v>
      </c>
      <c r="E126" s="14" t="s">
        <v>25153</v>
      </c>
      <c r="F126" s="14" t="s">
        <v>23436</v>
      </c>
      <c r="G126" s="14" t="s">
        <v>23434</v>
      </c>
      <c r="H126" s="14" t="s">
        <v>25154</v>
      </c>
      <c r="I126" s="14" t="s">
        <v>22818</v>
      </c>
      <c r="J126" s="80"/>
      <c r="K126" s="14" t="s">
        <v>23438</v>
      </c>
      <c r="L126" s="81">
        <v>45689.403495370374</v>
      </c>
      <c r="M126" s="79">
        <f>IFERROR((COUNTIFS('Base de Dados'!DF:DF,"Sim",'Base de Dados'!A:A,A126,'Base de Dados'!B:B,B126)/(COUNTIFS('Base de Dados'!DF:DF,"Sim",'Base de Dados'!A:A,A126,'Base de Dados'!B:B,B126)+(COUNTIFS('Base de Dados'!DF:DF,"Não",'Base de Dados'!A:A,A126,'Base de Dados'!B:B,B126)))),"Não Aplica")</f>
        <v>1</v>
      </c>
      <c r="N126" s="14" t="s">
        <v>23434</v>
      </c>
      <c r="O126" s="14" t="s">
        <v>23439</v>
      </c>
      <c r="P126" s="14" t="s">
        <v>25155</v>
      </c>
      <c r="Q126" s="14" t="s">
        <v>23842</v>
      </c>
      <c r="R126" s="14" t="s">
        <v>23434</v>
      </c>
      <c r="S126" s="14" t="s">
        <v>25156</v>
      </c>
      <c r="T126" s="14" t="s">
        <v>23436</v>
      </c>
      <c r="U126" s="14" t="s">
        <v>23434</v>
      </c>
      <c r="V126" s="14" t="s">
        <v>25157</v>
      </c>
      <c r="W126" s="14" t="s">
        <v>22818</v>
      </c>
      <c r="X126" s="80"/>
      <c r="Y126" s="14" t="s">
        <v>23438</v>
      </c>
      <c r="Z126" s="81">
        <v>45691.61461805556</v>
      </c>
      <c r="AA126" s="79">
        <f>IFERROR((COUNTIFS('Base de Dados'!ED:ED,"Sim",'Base de Dados'!A:A,A126,'Base de Dados'!B:B,B126)/(COUNTIFS('Base de Dados'!ED:ED,"Sim",'Base de Dados'!A:A,A126,'Base de Dados'!B:B,B126)+(COUNTIFS('Base de Dados'!ED:ED,"Não",'Base de Dados'!A:A,A126,'Base de Dados'!B:B,B126)))),"Não Aplica")</f>
        <v>1</v>
      </c>
      <c r="AB126" s="14" t="s">
        <v>23434</v>
      </c>
      <c r="AC126" s="14" t="s">
        <v>25158</v>
      </c>
      <c r="AD126" s="14" t="s">
        <v>23842</v>
      </c>
      <c r="AE126" s="14" t="s">
        <v>23434</v>
      </c>
      <c r="AF126" s="14" t="s">
        <v>25159</v>
      </c>
      <c r="AG126" s="14" t="s">
        <v>22818</v>
      </c>
      <c r="AH126" s="80"/>
      <c r="AI126" s="14" t="s">
        <v>23438</v>
      </c>
      <c r="AJ126" s="81">
        <v>45692.54377314815</v>
      </c>
      <c r="AK126" s="82" t="s">
        <v>23446</v>
      </c>
      <c r="AL126" s="14" t="s">
        <v>23434</v>
      </c>
      <c r="AM126" s="14" t="s">
        <v>23448</v>
      </c>
      <c r="AN126" s="14" t="s">
        <v>25160</v>
      </c>
      <c r="AO126" s="14" t="s">
        <v>23848</v>
      </c>
      <c r="AP126" s="14" t="s">
        <v>23434</v>
      </c>
      <c r="AQ126" s="14" t="s">
        <v>23439</v>
      </c>
      <c r="AR126" s="14" t="s">
        <v>25161</v>
      </c>
      <c r="AS126" s="14" t="s">
        <v>23842</v>
      </c>
      <c r="AT126" s="14" t="s">
        <v>23434</v>
      </c>
      <c r="AU126" s="14" t="s">
        <v>23453</v>
      </c>
      <c r="AV126" s="14" t="s">
        <v>25162</v>
      </c>
      <c r="AW126" s="14" t="s">
        <v>23455</v>
      </c>
      <c r="AX126" s="14" t="s">
        <v>23434</v>
      </c>
      <c r="AY126" s="14" t="s">
        <v>23451</v>
      </c>
      <c r="AZ126" s="14" t="s">
        <v>25163</v>
      </c>
      <c r="BA126" s="14" t="s">
        <v>22818</v>
      </c>
      <c r="BB126" s="80"/>
      <c r="BC126" s="14" t="s">
        <v>23438</v>
      </c>
      <c r="BD126" s="81">
        <v>45721.38384259259</v>
      </c>
      <c r="BE126" s="79">
        <f>IFERROR((COUNTIFS('Base de Dados'!FD:FD,"Sim",'Base de Dados'!A:A,A126,'Base de Dados'!B:B,B126)/(COUNTIFS('Base de Dados'!FD:FD,"Sim",'Base de Dados'!A:A,A126,'Base de Dados'!B:B,B126)+(COUNTIFS('Base de Dados'!FD:FD,"Não",'Base de Dados'!A:A,A126,'Base de Dados'!B:B,B126)))),"Não Aplica")</f>
        <v>1</v>
      </c>
      <c r="BF126" s="14" t="s">
        <v>23434</v>
      </c>
      <c r="BG126" s="14" t="s">
        <v>23439</v>
      </c>
      <c r="BH126" s="14" t="s">
        <v>25164</v>
      </c>
      <c r="BI126" s="14" t="s">
        <v>23842</v>
      </c>
      <c r="BJ126" s="80"/>
      <c r="BK126" s="80"/>
      <c r="BL126" s="80"/>
      <c r="BM126" s="80"/>
      <c r="BN126" s="14" t="s">
        <v>23434</v>
      </c>
      <c r="BO126" s="14" t="s">
        <v>23453</v>
      </c>
      <c r="BP126" s="14" t="s">
        <v>25165</v>
      </c>
      <c r="BQ126" s="14" t="s">
        <v>23455</v>
      </c>
      <c r="BR126" s="14" t="s">
        <v>23434</v>
      </c>
      <c r="BS126" s="14" t="s">
        <v>23451</v>
      </c>
      <c r="BT126" s="14" t="s">
        <v>25166</v>
      </c>
      <c r="BU126" s="14" t="s">
        <v>22818</v>
      </c>
      <c r="BV126" s="80"/>
      <c r="BW126" s="14" t="s">
        <v>23438</v>
      </c>
      <c r="BX126" s="81">
        <v>45723.33027777778</v>
      </c>
      <c r="BY126" s="82" t="s">
        <v>23446</v>
      </c>
      <c r="BZ126" s="15"/>
      <c r="CA126" s="15"/>
      <c r="CB126" s="15"/>
      <c r="CC126" s="15"/>
      <c r="CD126" s="80"/>
      <c r="CE126" s="80"/>
      <c r="CF126" s="80"/>
      <c r="CG126" s="80"/>
      <c r="CH126" s="15"/>
      <c r="CI126" s="15"/>
      <c r="CJ126" s="15"/>
      <c r="CK126" s="15"/>
      <c r="CL126" s="15"/>
      <c r="CM126" s="15"/>
      <c r="CN126" s="15"/>
      <c r="CO126" s="15"/>
      <c r="CP126" s="80"/>
      <c r="CQ126" s="80" t="s">
        <v>23459</v>
      </c>
      <c r="CR126" s="83"/>
      <c r="CS126" s="84"/>
    </row>
    <row r="127">
      <c r="A127" s="78" t="s">
        <v>547</v>
      </c>
      <c r="B127" s="78" t="s">
        <v>11858</v>
      </c>
      <c r="C127" s="79">
        <f>IFERROR((COUNTIFS('Base de Dados'!BT:BT,"Sim",'Base de Dados'!A:A,A127,'Base de Dados'!B:B,B127)/(COUNTIFS('Base de Dados'!BT:BT,"Sim",'Base de Dados'!A:A,A127,'Base de Dados'!B:B,B127)+(COUNTIFS('Base de Dados'!BT:BT,"Não",'Base de Dados'!A:A,A127,'Base de Dados'!B:B,B127)))),"Não Aplica")</f>
        <v>1</v>
      </c>
      <c r="D127" s="14" t="s">
        <v>23434</v>
      </c>
      <c r="E127" s="14" t="s">
        <v>25167</v>
      </c>
      <c r="F127" s="14" t="s">
        <v>23436</v>
      </c>
      <c r="G127" s="14" t="s">
        <v>23434</v>
      </c>
      <c r="H127" s="14" t="s">
        <v>25168</v>
      </c>
      <c r="I127" s="14" t="s">
        <v>22818</v>
      </c>
      <c r="J127" s="80"/>
      <c r="K127" s="14" t="s">
        <v>23438</v>
      </c>
      <c r="L127" s="81">
        <v>45689.40353009259</v>
      </c>
      <c r="M127" s="79">
        <f>IFERROR((COUNTIFS('Base de Dados'!DF:DF,"Sim",'Base de Dados'!A:A,A127,'Base de Dados'!B:B,B127)/(COUNTIFS('Base de Dados'!DF:DF,"Sim",'Base de Dados'!A:A,A127,'Base de Dados'!B:B,B127)+(COUNTIFS('Base de Dados'!DF:DF,"Não",'Base de Dados'!A:A,A127,'Base de Dados'!B:B,B127)))),"Não Aplica")</f>
        <v>1</v>
      </c>
      <c r="N127" s="14" t="s">
        <v>23434</v>
      </c>
      <c r="O127" s="14" t="s">
        <v>23439</v>
      </c>
      <c r="P127" s="14" t="s">
        <v>25169</v>
      </c>
      <c r="Q127" s="14" t="s">
        <v>23842</v>
      </c>
      <c r="R127" s="14" t="s">
        <v>23434</v>
      </c>
      <c r="S127" s="14" t="s">
        <v>25170</v>
      </c>
      <c r="T127" s="14" t="s">
        <v>23436</v>
      </c>
      <c r="U127" s="14" t="s">
        <v>23434</v>
      </c>
      <c r="V127" s="14" t="s">
        <v>25171</v>
      </c>
      <c r="W127" s="14" t="s">
        <v>22818</v>
      </c>
      <c r="X127" s="80"/>
      <c r="Y127" s="14" t="s">
        <v>23438</v>
      </c>
      <c r="Z127" s="81">
        <v>45691.614641203705</v>
      </c>
      <c r="AA127" s="79">
        <f>IFERROR((COUNTIFS('Base de Dados'!ED:ED,"Sim",'Base de Dados'!A:A,A127,'Base de Dados'!B:B,B127)/(COUNTIFS('Base de Dados'!ED:ED,"Sim",'Base de Dados'!A:A,A127,'Base de Dados'!B:B,B127)+(COUNTIFS('Base de Dados'!ED:ED,"Não",'Base de Dados'!A:A,A127,'Base de Dados'!B:B,B127)))),"Não Aplica")</f>
        <v>1</v>
      </c>
      <c r="AB127" s="14" t="s">
        <v>23434</v>
      </c>
      <c r="AC127" s="14" t="s">
        <v>25172</v>
      </c>
      <c r="AD127" s="14" t="s">
        <v>23842</v>
      </c>
      <c r="AE127" s="14" t="s">
        <v>23434</v>
      </c>
      <c r="AF127" s="14" t="s">
        <v>25173</v>
      </c>
      <c r="AG127" s="14" t="s">
        <v>22818</v>
      </c>
      <c r="AH127" s="80"/>
      <c r="AI127" s="14" t="s">
        <v>23438</v>
      </c>
      <c r="AJ127" s="81">
        <v>45692.54378472222</v>
      </c>
      <c r="AK127" s="82" t="s">
        <v>23446</v>
      </c>
      <c r="AL127" s="14" t="s">
        <v>23434</v>
      </c>
      <c r="AM127" s="14" t="s">
        <v>23448</v>
      </c>
      <c r="AN127" s="14" t="s">
        <v>25174</v>
      </c>
      <c r="AO127" s="14" t="s">
        <v>23848</v>
      </c>
      <c r="AP127" s="14" t="s">
        <v>23434</v>
      </c>
      <c r="AQ127" s="14" t="s">
        <v>23439</v>
      </c>
      <c r="AR127" s="14" t="s">
        <v>25175</v>
      </c>
      <c r="AS127" s="14" t="s">
        <v>23842</v>
      </c>
      <c r="AT127" s="14" t="s">
        <v>23434</v>
      </c>
      <c r="AU127" s="14" t="s">
        <v>23453</v>
      </c>
      <c r="AV127" s="14" t="s">
        <v>25176</v>
      </c>
      <c r="AW127" s="14" t="s">
        <v>23455</v>
      </c>
      <c r="AX127" s="14" t="s">
        <v>23434</v>
      </c>
      <c r="AY127" s="14" t="s">
        <v>23451</v>
      </c>
      <c r="AZ127" s="14" t="s">
        <v>25177</v>
      </c>
      <c r="BA127" s="14" t="s">
        <v>22818</v>
      </c>
      <c r="BB127" s="80"/>
      <c r="BC127" s="14" t="s">
        <v>23438</v>
      </c>
      <c r="BD127" s="81">
        <v>45721.38390046296</v>
      </c>
      <c r="BE127" s="79">
        <f>IFERROR((COUNTIFS('Base de Dados'!FD:FD,"Sim",'Base de Dados'!A:A,A127,'Base de Dados'!B:B,B127)/(COUNTIFS('Base de Dados'!FD:FD,"Sim",'Base de Dados'!A:A,A127,'Base de Dados'!B:B,B127)+(COUNTIFS('Base de Dados'!FD:FD,"Não",'Base de Dados'!A:A,A127,'Base de Dados'!B:B,B127)))),"Não Aplica")</f>
        <v>1</v>
      </c>
      <c r="BF127" s="14" t="s">
        <v>23434</v>
      </c>
      <c r="BG127" s="14" t="s">
        <v>23439</v>
      </c>
      <c r="BH127" s="14" t="s">
        <v>25178</v>
      </c>
      <c r="BI127" s="14" t="s">
        <v>23842</v>
      </c>
      <c r="BJ127" s="80"/>
      <c r="BK127" s="80"/>
      <c r="BL127" s="80"/>
      <c r="BM127" s="80"/>
      <c r="BN127" s="14" t="s">
        <v>23434</v>
      </c>
      <c r="BO127" s="14" t="s">
        <v>23453</v>
      </c>
      <c r="BP127" s="14" t="s">
        <v>25179</v>
      </c>
      <c r="BQ127" s="14" t="s">
        <v>23455</v>
      </c>
      <c r="BR127" s="14" t="s">
        <v>23434</v>
      </c>
      <c r="BS127" s="14" t="s">
        <v>23451</v>
      </c>
      <c r="BT127" s="14" t="s">
        <v>25180</v>
      </c>
      <c r="BU127" s="14" t="s">
        <v>22818</v>
      </c>
      <c r="BV127" s="80"/>
      <c r="BW127" s="14" t="s">
        <v>23438</v>
      </c>
      <c r="BX127" s="81">
        <v>45723.329513888886</v>
      </c>
      <c r="BY127" s="82" t="s">
        <v>23446</v>
      </c>
      <c r="BZ127" s="15"/>
      <c r="CA127" s="15"/>
      <c r="CB127" s="15"/>
      <c r="CC127" s="15"/>
      <c r="CD127" s="80"/>
      <c r="CE127" s="80"/>
      <c r="CF127" s="80"/>
      <c r="CG127" s="80"/>
      <c r="CH127" s="15"/>
      <c r="CI127" s="15"/>
      <c r="CJ127" s="15"/>
      <c r="CK127" s="15"/>
      <c r="CL127" s="15"/>
      <c r="CM127" s="15"/>
      <c r="CN127" s="15"/>
      <c r="CO127" s="15"/>
      <c r="CP127" s="80"/>
      <c r="CQ127" s="80" t="s">
        <v>23459</v>
      </c>
      <c r="CR127" s="83"/>
      <c r="CS127" s="84"/>
    </row>
    <row r="128">
      <c r="A128" s="78" t="s">
        <v>547</v>
      </c>
      <c r="B128" s="78" t="s">
        <v>11869</v>
      </c>
      <c r="C128" s="79">
        <f>IFERROR((COUNTIFS('Base de Dados'!BT:BT,"Sim",'Base de Dados'!A:A,A128,'Base de Dados'!B:B,B128)/(COUNTIFS('Base de Dados'!BT:BT,"Sim",'Base de Dados'!A:A,A128,'Base de Dados'!B:B,B128)+(COUNTIFS('Base de Dados'!BT:BT,"Não",'Base de Dados'!A:A,A128,'Base de Dados'!B:B,B128)))),"Não Aplica")</f>
        <v>1</v>
      </c>
      <c r="D128" s="14" t="s">
        <v>23434</v>
      </c>
      <c r="E128" s="14" t="s">
        <v>25181</v>
      </c>
      <c r="F128" s="14" t="s">
        <v>23436</v>
      </c>
      <c r="G128" s="14" t="s">
        <v>23434</v>
      </c>
      <c r="H128" s="14" t="s">
        <v>25182</v>
      </c>
      <c r="I128" s="14" t="s">
        <v>22818</v>
      </c>
      <c r="J128" s="80"/>
      <c r="K128" s="14" t="s">
        <v>23438</v>
      </c>
      <c r="L128" s="81">
        <v>45689.40355324074</v>
      </c>
      <c r="M128" s="79">
        <f>IFERROR((COUNTIFS('Base de Dados'!DF:DF,"Sim",'Base de Dados'!A:A,A128,'Base de Dados'!B:B,B128)/(COUNTIFS('Base de Dados'!DF:DF,"Sim",'Base de Dados'!A:A,A128,'Base de Dados'!B:B,B128)+(COUNTIFS('Base de Dados'!DF:DF,"Não",'Base de Dados'!A:A,A128,'Base de Dados'!B:B,B128)))),"Não Aplica")</f>
        <v>1</v>
      </c>
      <c r="N128" s="14" t="s">
        <v>23434</v>
      </c>
      <c r="O128" s="14" t="s">
        <v>23439</v>
      </c>
      <c r="P128" s="14" t="s">
        <v>25183</v>
      </c>
      <c r="Q128" s="14" t="s">
        <v>23842</v>
      </c>
      <c r="R128" s="14" t="s">
        <v>23434</v>
      </c>
      <c r="S128" s="14" t="s">
        <v>25184</v>
      </c>
      <c r="T128" s="14" t="s">
        <v>23436</v>
      </c>
      <c r="U128" s="14" t="s">
        <v>23434</v>
      </c>
      <c r="V128" s="14" t="s">
        <v>25185</v>
      </c>
      <c r="W128" s="14" t="s">
        <v>22818</v>
      </c>
      <c r="X128" s="80"/>
      <c r="Y128" s="14" t="s">
        <v>23438</v>
      </c>
      <c r="Z128" s="81">
        <v>45691.61467592593</v>
      </c>
      <c r="AA128" s="79">
        <f>IFERROR((COUNTIFS('Base de Dados'!ED:ED,"Sim",'Base de Dados'!A:A,A128,'Base de Dados'!B:B,B128)/(COUNTIFS('Base de Dados'!ED:ED,"Sim",'Base de Dados'!A:A,A128,'Base de Dados'!B:B,B128)+(COUNTIFS('Base de Dados'!ED:ED,"Não",'Base de Dados'!A:A,A128,'Base de Dados'!B:B,B128)))),"Não Aplica")</f>
        <v>1</v>
      </c>
      <c r="AB128" s="14" t="s">
        <v>23434</v>
      </c>
      <c r="AC128" s="14" t="s">
        <v>25186</v>
      </c>
      <c r="AD128" s="14" t="s">
        <v>23842</v>
      </c>
      <c r="AE128" s="14" t="s">
        <v>23434</v>
      </c>
      <c r="AF128" s="14" t="s">
        <v>25187</v>
      </c>
      <c r="AG128" s="14" t="s">
        <v>22818</v>
      </c>
      <c r="AH128" s="80"/>
      <c r="AI128" s="14" t="s">
        <v>23438</v>
      </c>
      <c r="AJ128" s="81">
        <v>45692.543807870374</v>
      </c>
      <c r="AK128" s="82" t="s">
        <v>23446</v>
      </c>
      <c r="AL128" s="14" t="s">
        <v>23434</v>
      </c>
      <c r="AM128" s="14" t="s">
        <v>23448</v>
      </c>
      <c r="AN128" s="14" t="s">
        <v>25188</v>
      </c>
      <c r="AO128" s="14" t="s">
        <v>23848</v>
      </c>
      <c r="AP128" s="14" t="s">
        <v>23434</v>
      </c>
      <c r="AQ128" s="14" t="s">
        <v>23439</v>
      </c>
      <c r="AR128" s="14" t="s">
        <v>25189</v>
      </c>
      <c r="AS128" s="14" t="s">
        <v>23842</v>
      </c>
      <c r="AT128" s="14" t="s">
        <v>23434</v>
      </c>
      <c r="AU128" s="14" t="s">
        <v>23453</v>
      </c>
      <c r="AV128" s="14" t="s">
        <v>25190</v>
      </c>
      <c r="AW128" s="14" t="s">
        <v>23455</v>
      </c>
      <c r="AX128" s="14" t="s">
        <v>23434</v>
      </c>
      <c r="AY128" s="14" t="s">
        <v>23451</v>
      </c>
      <c r="AZ128" s="14" t="s">
        <v>25191</v>
      </c>
      <c r="BA128" s="14" t="s">
        <v>22818</v>
      </c>
      <c r="BB128" s="80"/>
      <c r="BC128" s="14" t="s">
        <v>23438</v>
      </c>
      <c r="BD128" s="81">
        <v>45721.383935185186</v>
      </c>
      <c r="BE128" s="79">
        <f>IFERROR((COUNTIFS('Base de Dados'!FD:FD,"Sim",'Base de Dados'!A:A,A128,'Base de Dados'!B:B,B128)/(COUNTIFS('Base de Dados'!FD:FD,"Sim",'Base de Dados'!A:A,A128,'Base de Dados'!B:B,B128)+(COUNTIFS('Base de Dados'!FD:FD,"Não",'Base de Dados'!A:A,A128,'Base de Dados'!B:B,B128)))),"Não Aplica")</f>
        <v>1</v>
      </c>
      <c r="BF128" s="14" t="s">
        <v>23434</v>
      </c>
      <c r="BG128" s="14" t="s">
        <v>23439</v>
      </c>
      <c r="BH128" s="14" t="s">
        <v>25192</v>
      </c>
      <c r="BI128" s="14" t="s">
        <v>23842</v>
      </c>
      <c r="BJ128" s="80"/>
      <c r="BK128" s="80"/>
      <c r="BL128" s="80"/>
      <c r="BM128" s="80"/>
      <c r="BN128" s="14" t="s">
        <v>23434</v>
      </c>
      <c r="BO128" s="14" t="s">
        <v>23453</v>
      </c>
      <c r="BP128" s="14" t="s">
        <v>25193</v>
      </c>
      <c r="BQ128" s="14" t="s">
        <v>23455</v>
      </c>
      <c r="BR128" s="14" t="s">
        <v>23434</v>
      </c>
      <c r="BS128" s="14" t="s">
        <v>23451</v>
      </c>
      <c r="BT128" s="14" t="s">
        <v>25194</v>
      </c>
      <c r="BU128" s="14" t="s">
        <v>22818</v>
      </c>
      <c r="BV128" s="80"/>
      <c r="BW128" s="14" t="s">
        <v>23438</v>
      </c>
      <c r="BX128" s="81">
        <v>45723.3303125</v>
      </c>
      <c r="BY128" s="82" t="s">
        <v>23446</v>
      </c>
      <c r="BZ128" s="15"/>
      <c r="CA128" s="15"/>
      <c r="CB128" s="15"/>
      <c r="CC128" s="15"/>
      <c r="CD128" s="80"/>
      <c r="CE128" s="80"/>
      <c r="CF128" s="80"/>
      <c r="CG128" s="80"/>
      <c r="CH128" s="15"/>
      <c r="CI128" s="15"/>
      <c r="CJ128" s="15"/>
      <c r="CK128" s="15"/>
      <c r="CL128" s="15"/>
      <c r="CM128" s="15"/>
      <c r="CN128" s="15"/>
      <c r="CO128" s="15"/>
      <c r="CP128" s="80"/>
      <c r="CQ128" s="80" t="s">
        <v>23459</v>
      </c>
      <c r="CR128" s="83"/>
      <c r="CS128" s="84"/>
    </row>
    <row r="129">
      <c r="A129" s="78" t="s">
        <v>547</v>
      </c>
      <c r="B129" s="86" t="s">
        <v>3655</v>
      </c>
      <c r="C129" s="79">
        <f>IFERROR((COUNTIFS('Base de Dados'!BT:BT,"Sim",'Base de Dados'!A:A,A129,'Base de Dados'!B:B,B129)/(COUNTIFS('Base de Dados'!BT:BT,"Sim",'Base de Dados'!A:A,A129,'Base de Dados'!B:B,B129)+(COUNTIFS('Base de Dados'!BT:BT,"Não",'Base de Dados'!A:A,A129,'Base de Dados'!B:B,B129)))),"Não Aplica")</f>
        <v>1</v>
      </c>
      <c r="D129" s="14" t="s">
        <v>23434</v>
      </c>
      <c r="E129" s="14" t="s">
        <v>25195</v>
      </c>
      <c r="F129" s="14" t="s">
        <v>23436</v>
      </c>
      <c r="G129" s="14" t="s">
        <v>23434</v>
      </c>
      <c r="H129" s="14" t="s">
        <v>25196</v>
      </c>
      <c r="I129" s="14" t="s">
        <v>22818</v>
      </c>
      <c r="J129" s="80"/>
      <c r="K129" s="14" t="s">
        <v>23438</v>
      </c>
      <c r="L129" s="81">
        <v>45684.45652777778</v>
      </c>
      <c r="M129" s="79">
        <f>IFERROR((COUNTIFS('Base de Dados'!DF:DF,"Sim",'Base de Dados'!A:A,A129,'Base de Dados'!B:B,B129)/(COUNTIFS('Base de Dados'!DF:DF,"Sim",'Base de Dados'!A:A,A129,'Base de Dados'!B:B,B129)+(COUNTIFS('Base de Dados'!DF:DF,"Não",'Base de Dados'!A:A,A129,'Base de Dados'!B:B,B129)))),"Não Aplica")</f>
        <v>1</v>
      </c>
      <c r="N129" s="14" t="s">
        <v>23434</v>
      </c>
      <c r="O129" s="14" t="s">
        <v>23439</v>
      </c>
      <c r="P129" s="14" t="s">
        <v>25197</v>
      </c>
      <c r="Q129" s="14" t="s">
        <v>23842</v>
      </c>
      <c r="R129" s="14" t="s">
        <v>23434</v>
      </c>
      <c r="S129" s="14" t="s">
        <v>25198</v>
      </c>
      <c r="T129" s="14" t="s">
        <v>23436</v>
      </c>
      <c r="U129" s="14" t="s">
        <v>23434</v>
      </c>
      <c r="V129" s="14" t="s">
        <v>25199</v>
      </c>
      <c r="W129" s="14" t="s">
        <v>22818</v>
      </c>
      <c r="X129" s="80"/>
      <c r="Y129" s="14" t="s">
        <v>23438</v>
      </c>
      <c r="Z129" s="81">
        <v>45691.614212962966</v>
      </c>
      <c r="AA129" s="79">
        <f>IFERROR((COUNTIFS('Base de Dados'!ED:ED,"Sim",'Base de Dados'!A:A,A129,'Base de Dados'!B:B,B129)/(COUNTIFS('Base de Dados'!ED:ED,"Sim",'Base de Dados'!A:A,A129,'Base de Dados'!B:B,B129)+(COUNTIFS('Base de Dados'!ED:ED,"Não",'Base de Dados'!A:A,A129,'Base de Dados'!B:B,B129)))),"Não Aplica")</f>
        <v>1</v>
      </c>
      <c r="AB129" s="14" t="s">
        <v>23434</v>
      </c>
      <c r="AC129" s="14" t="s">
        <v>25200</v>
      </c>
      <c r="AD129" s="14" t="s">
        <v>23842</v>
      </c>
      <c r="AE129" s="14" t="s">
        <v>23434</v>
      </c>
      <c r="AF129" s="14" t="s">
        <v>25201</v>
      </c>
      <c r="AG129" s="14" t="s">
        <v>22818</v>
      </c>
      <c r="AH129" s="80"/>
      <c r="AI129" s="14" t="s">
        <v>23438</v>
      </c>
      <c r="AJ129" s="81">
        <v>45692.54381944444</v>
      </c>
      <c r="AK129" s="82" t="s">
        <v>23446</v>
      </c>
      <c r="AL129" s="14" t="s">
        <v>23434</v>
      </c>
      <c r="AM129" s="14" t="s">
        <v>23448</v>
      </c>
      <c r="AN129" s="14" t="s">
        <v>25202</v>
      </c>
      <c r="AO129" s="14" t="s">
        <v>23848</v>
      </c>
      <c r="AP129" s="14" t="s">
        <v>23434</v>
      </c>
      <c r="AQ129" s="14" t="s">
        <v>23439</v>
      </c>
      <c r="AR129" s="14" t="s">
        <v>25203</v>
      </c>
      <c r="AS129" s="14" t="s">
        <v>23842</v>
      </c>
      <c r="AT129" s="14" t="s">
        <v>23434</v>
      </c>
      <c r="AU129" s="14" t="s">
        <v>23453</v>
      </c>
      <c r="AV129" s="14" t="s">
        <v>25204</v>
      </c>
      <c r="AW129" s="14" t="s">
        <v>23455</v>
      </c>
      <c r="AX129" s="14" t="s">
        <v>23434</v>
      </c>
      <c r="AY129" s="14" t="s">
        <v>23451</v>
      </c>
      <c r="AZ129" s="14" t="s">
        <v>25205</v>
      </c>
      <c r="BA129" s="14" t="s">
        <v>22818</v>
      </c>
      <c r="BB129" s="80"/>
      <c r="BC129" s="14" t="s">
        <v>23438</v>
      </c>
      <c r="BD129" s="81">
        <v>45721.31662037037</v>
      </c>
      <c r="BE129" s="79">
        <f>IFERROR((COUNTIFS('Base de Dados'!FD:FD,"Sim",'Base de Dados'!A:A,A129,'Base de Dados'!B:B,B129)/(COUNTIFS('Base de Dados'!FD:FD,"Sim",'Base de Dados'!A:A,A129,'Base de Dados'!B:B,B129)+(COUNTIFS('Base de Dados'!FD:FD,"Não",'Base de Dados'!A:A,A129,'Base de Dados'!B:B,B129)))),"Não Aplica")</f>
        <v>1</v>
      </c>
      <c r="BF129" s="14" t="s">
        <v>23434</v>
      </c>
      <c r="BG129" s="14" t="s">
        <v>23439</v>
      </c>
      <c r="BH129" s="14" t="s">
        <v>25206</v>
      </c>
      <c r="BI129" s="14" t="s">
        <v>23842</v>
      </c>
      <c r="BJ129" s="80"/>
      <c r="BK129" s="80"/>
      <c r="BL129" s="80"/>
      <c r="BM129" s="80"/>
      <c r="BN129" s="14" t="s">
        <v>23434</v>
      </c>
      <c r="BO129" s="14" t="s">
        <v>23453</v>
      </c>
      <c r="BP129" s="14" t="s">
        <v>25207</v>
      </c>
      <c r="BQ129" s="14" t="s">
        <v>23455</v>
      </c>
      <c r="BR129" s="14" t="s">
        <v>23434</v>
      </c>
      <c r="BS129" s="14" t="s">
        <v>23451</v>
      </c>
      <c r="BT129" s="14" t="s">
        <v>25208</v>
      </c>
      <c r="BU129" s="14" t="s">
        <v>22818</v>
      </c>
      <c r="BV129" s="80"/>
      <c r="BW129" s="14" t="s">
        <v>23438</v>
      </c>
      <c r="BX129" s="81">
        <v>45723.329976851855</v>
      </c>
      <c r="BY129" s="82" t="s">
        <v>23446</v>
      </c>
      <c r="BZ129" s="15"/>
      <c r="CA129" s="15"/>
      <c r="CB129" s="15"/>
      <c r="CC129" s="15"/>
      <c r="CD129" s="80"/>
      <c r="CE129" s="80"/>
      <c r="CF129" s="80"/>
      <c r="CG129" s="80"/>
      <c r="CH129" s="15"/>
      <c r="CI129" s="15"/>
      <c r="CJ129" s="15"/>
      <c r="CK129" s="15"/>
      <c r="CL129" s="15"/>
      <c r="CM129" s="15"/>
      <c r="CN129" s="15"/>
      <c r="CO129" s="15"/>
      <c r="CP129" s="80"/>
      <c r="CQ129" s="80" t="s">
        <v>23459</v>
      </c>
      <c r="CR129" s="83"/>
      <c r="CS129" s="84"/>
    </row>
    <row r="130">
      <c r="A130" s="78" t="s">
        <v>547</v>
      </c>
      <c r="B130" s="78" t="s">
        <v>3373</v>
      </c>
      <c r="C130" s="79">
        <f>IFERROR((COUNTIFS('Base de Dados'!BT:BT,"Sim",'Base de Dados'!A:A,A130,'Base de Dados'!B:B,B130)/(COUNTIFS('Base de Dados'!BT:BT,"Sim",'Base de Dados'!A:A,A130,'Base de Dados'!B:B,B130)+(COUNTIFS('Base de Dados'!BT:BT,"Não",'Base de Dados'!A:A,A130,'Base de Dados'!B:B,B130)))),"Não Aplica")</f>
        <v>1</v>
      </c>
      <c r="D130" s="14" t="s">
        <v>23434</v>
      </c>
      <c r="E130" s="14" t="s">
        <v>25209</v>
      </c>
      <c r="F130" s="14" t="s">
        <v>23436</v>
      </c>
      <c r="G130" s="14" t="s">
        <v>23434</v>
      </c>
      <c r="H130" s="14" t="s">
        <v>25210</v>
      </c>
      <c r="I130" s="14" t="s">
        <v>22818</v>
      </c>
      <c r="J130" s="80"/>
      <c r="K130" s="14" t="s">
        <v>23438</v>
      </c>
      <c r="L130" s="81">
        <v>45689.40335648148</v>
      </c>
      <c r="M130" s="79">
        <f>IFERROR((COUNTIFS('Base de Dados'!DF:DF,"Sim",'Base de Dados'!A:A,A130,'Base de Dados'!B:B,B130)/(COUNTIFS('Base de Dados'!DF:DF,"Sim",'Base de Dados'!A:A,A130,'Base de Dados'!B:B,B130)+(COUNTIFS('Base de Dados'!DF:DF,"Não",'Base de Dados'!A:A,A130,'Base de Dados'!B:B,B130)))),"Não Aplica")</f>
        <v>1</v>
      </c>
      <c r="N130" s="14" t="s">
        <v>23434</v>
      </c>
      <c r="O130" s="14" t="s">
        <v>23439</v>
      </c>
      <c r="P130" s="14" t="s">
        <v>25211</v>
      </c>
      <c r="Q130" s="14" t="s">
        <v>23842</v>
      </c>
      <c r="R130" s="14" t="s">
        <v>23434</v>
      </c>
      <c r="S130" s="14" t="s">
        <v>25212</v>
      </c>
      <c r="T130" s="14" t="s">
        <v>23436</v>
      </c>
      <c r="U130" s="14" t="s">
        <v>23434</v>
      </c>
      <c r="V130" s="14" t="s">
        <v>25213</v>
      </c>
      <c r="W130" s="14" t="s">
        <v>22818</v>
      </c>
      <c r="X130" s="80"/>
      <c r="Y130" s="14" t="s">
        <v>23438</v>
      </c>
      <c r="Z130" s="81">
        <v>45691.614699074074</v>
      </c>
      <c r="AA130" s="79">
        <f>IFERROR((COUNTIFS('Base de Dados'!ED:ED,"Sim",'Base de Dados'!A:A,A130,'Base de Dados'!B:B,B130)/(COUNTIFS('Base de Dados'!ED:ED,"Sim",'Base de Dados'!A:A,A130,'Base de Dados'!B:B,B130)+(COUNTIFS('Base de Dados'!ED:ED,"Não",'Base de Dados'!A:A,A130,'Base de Dados'!B:B,B130)))),"Não Aplica")</f>
        <v>1</v>
      </c>
      <c r="AB130" s="14" t="s">
        <v>23434</v>
      </c>
      <c r="AC130" s="14" t="s">
        <v>25214</v>
      </c>
      <c r="AD130" s="14" t="s">
        <v>23842</v>
      </c>
      <c r="AE130" s="14" t="s">
        <v>23434</v>
      </c>
      <c r="AF130" s="14" t="s">
        <v>25215</v>
      </c>
      <c r="AG130" s="14" t="s">
        <v>22818</v>
      </c>
      <c r="AH130" s="80"/>
      <c r="AI130" s="14" t="s">
        <v>23438</v>
      </c>
      <c r="AJ130" s="81">
        <v>45692.54384259259</v>
      </c>
      <c r="AK130" s="82" t="s">
        <v>23446</v>
      </c>
      <c r="AL130" s="14" t="s">
        <v>23434</v>
      </c>
      <c r="AM130" s="14" t="s">
        <v>23448</v>
      </c>
      <c r="AN130" s="14" t="s">
        <v>25216</v>
      </c>
      <c r="AO130" s="14" t="s">
        <v>23848</v>
      </c>
      <c r="AP130" s="14" t="s">
        <v>23434</v>
      </c>
      <c r="AQ130" s="14" t="s">
        <v>23439</v>
      </c>
      <c r="AR130" s="14" t="s">
        <v>25217</v>
      </c>
      <c r="AS130" s="14" t="s">
        <v>23842</v>
      </c>
      <c r="AT130" s="14" t="s">
        <v>23434</v>
      </c>
      <c r="AU130" s="14" t="s">
        <v>23453</v>
      </c>
      <c r="AV130" s="14" t="s">
        <v>25218</v>
      </c>
      <c r="AW130" s="14" t="s">
        <v>23455</v>
      </c>
      <c r="AX130" s="14" t="s">
        <v>23434</v>
      </c>
      <c r="AY130" s="14" t="s">
        <v>23451</v>
      </c>
      <c r="AZ130" s="14" t="s">
        <v>25219</v>
      </c>
      <c r="BA130" s="14" t="s">
        <v>22818</v>
      </c>
      <c r="BB130" s="80"/>
      <c r="BC130" s="14" t="s">
        <v>23438</v>
      </c>
      <c r="BD130" s="81">
        <v>45721.31668981481</v>
      </c>
      <c r="BE130" s="79">
        <f>IFERROR((COUNTIFS('Base de Dados'!FD:FD,"Sim",'Base de Dados'!A:A,A130,'Base de Dados'!B:B,B130)/(COUNTIFS('Base de Dados'!FD:FD,"Sim",'Base de Dados'!A:A,A130,'Base de Dados'!B:B,B130)+(COUNTIFS('Base de Dados'!FD:FD,"Não",'Base de Dados'!A:A,A130,'Base de Dados'!B:B,B130)))),"Não Aplica")</f>
        <v>1</v>
      </c>
      <c r="BF130" s="14" t="s">
        <v>23434</v>
      </c>
      <c r="BG130" s="14" t="s">
        <v>23439</v>
      </c>
      <c r="BH130" s="14" t="s">
        <v>25220</v>
      </c>
      <c r="BI130" s="14" t="s">
        <v>23842</v>
      </c>
      <c r="BJ130" s="80"/>
      <c r="BK130" s="80"/>
      <c r="BL130" s="80"/>
      <c r="BM130" s="80"/>
      <c r="BN130" s="14" t="s">
        <v>23434</v>
      </c>
      <c r="BO130" s="14" t="s">
        <v>23453</v>
      </c>
      <c r="BP130" s="14" t="s">
        <v>25221</v>
      </c>
      <c r="BQ130" s="14" t="s">
        <v>23455</v>
      </c>
      <c r="BR130" s="14" t="s">
        <v>23434</v>
      </c>
      <c r="BS130" s="14" t="s">
        <v>23451</v>
      </c>
      <c r="BT130" s="14" t="s">
        <v>25222</v>
      </c>
      <c r="BU130" s="14" t="s">
        <v>22818</v>
      </c>
      <c r="BV130" s="80"/>
      <c r="BW130" s="14" t="s">
        <v>23438</v>
      </c>
      <c r="BX130" s="81">
        <v>45723.330092592594</v>
      </c>
      <c r="BY130" s="82" t="s">
        <v>23446</v>
      </c>
      <c r="BZ130" s="15"/>
      <c r="CA130" s="15"/>
      <c r="CB130" s="15"/>
      <c r="CC130" s="15"/>
      <c r="CD130" s="80"/>
      <c r="CE130" s="80"/>
      <c r="CF130" s="80"/>
      <c r="CG130" s="80"/>
      <c r="CH130" s="15"/>
      <c r="CI130" s="15"/>
      <c r="CJ130" s="15"/>
      <c r="CK130" s="15"/>
      <c r="CL130" s="15"/>
      <c r="CM130" s="15"/>
      <c r="CN130" s="15"/>
      <c r="CO130" s="15"/>
      <c r="CP130" s="80"/>
      <c r="CQ130" s="80" t="s">
        <v>23459</v>
      </c>
      <c r="CR130" s="83"/>
      <c r="CS130" s="84"/>
    </row>
    <row r="131">
      <c r="A131" s="78" t="s">
        <v>547</v>
      </c>
      <c r="B131" s="78" t="s">
        <v>3410</v>
      </c>
      <c r="C131" s="79">
        <f>IFERROR((COUNTIFS('Base de Dados'!BT:BT,"Sim",'Base de Dados'!A:A,A131,'Base de Dados'!B:B,B131)/(COUNTIFS('Base de Dados'!BT:BT,"Sim",'Base de Dados'!A:A,A131,'Base de Dados'!B:B,B131)+(COUNTIFS('Base de Dados'!BT:BT,"Não",'Base de Dados'!A:A,A131,'Base de Dados'!B:B,B131)))),"Não Aplica")</f>
        <v>1</v>
      </c>
      <c r="D131" s="14" t="s">
        <v>23434</v>
      </c>
      <c r="E131" s="14" t="s">
        <v>25223</v>
      </c>
      <c r="F131" s="14" t="s">
        <v>23436</v>
      </c>
      <c r="G131" s="14" t="s">
        <v>23434</v>
      </c>
      <c r="H131" s="14" t="s">
        <v>25224</v>
      </c>
      <c r="I131" s="14" t="s">
        <v>22818</v>
      </c>
      <c r="J131" s="80"/>
      <c r="K131" s="14" t="s">
        <v>23438</v>
      </c>
      <c r="L131" s="81">
        <v>45689.403391203705</v>
      </c>
      <c r="M131" s="79">
        <f>IFERROR((COUNTIFS('Base de Dados'!DF:DF,"Sim",'Base de Dados'!A:A,A131,'Base de Dados'!B:B,B131)/(COUNTIFS('Base de Dados'!DF:DF,"Sim",'Base de Dados'!A:A,A131,'Base de Dados'!B:B,B131)+(COUNTIFS('Base de Dados'!DF:DF,"Não",'Base de Dados'!A:A,A131,'Base de Dados'!B:B,B131)))),"Não Aplica")</f>
        <v>1</v>
      </c>
      <c r="N131" s="14" t="s">
        <v>23434</v>
      </c>
      <c r="O131" s="14" t="s">
        <v>23439</v>
      </c>
      <c r="P131" s="14" t="s">
        <v>25225</v>
      </c>
      <c r="Q131" s="14" t="s">
        <v>23842</v>
      </c>
      <c r="R131" s="14" t="s">
        <v>23434</v>
      </c>
      <c r="S131" s="14" t="s">
        <v>25226</v>
      </c>
      <c r="T131" s="14" t="s">
        <v>23436</v>
      </c>
      <c r="U131" s="14" t="s">
        <v>23434</v>
      </c>
      <c r="V131" s="14" t="s">
        <v>25227</v>
      </c>
      <c r="W131" s="14" t="s">
        <v>22818</v>
      </c>
      <c r="X131" s="80"/>
      <c r="Y131" s="14" t="s">
        <v>23438</v>
      </c>
      <c r="Z131" s="81">
        <v>45691.61491898148</v>
      </c>
      <c r="AA131" s="79">
        <f>IFERROR((COUNTIFS('Base de Dados'!ED:ED,"Sim",'Base de Dados'!A:A,A131,'Base de Dados'!B:B,B131)/(COUNTIFS('Base de Dados'!ED:ED,"Sim",'Base de Dados'!A:A,A131,'Base de Dados'!B:B,B131)+(COUNTIFS('Base de Dados'!ED:ED,"Não",'Base de Dados'!A:A,A131,'Base de Dados'!B:B,B131)))),"Não Aplica")</f>
        <v>1</v>
      </c>
      <c r="AB131" s="14" t="s">
        <v>23434</v>
      </c>
      <c r="AC131" s="14" t="s">
        <v>25228</v>
      </c>
      <c r="AD131" s="14" t="s">
        <v>23842</v>
      </c>
      <c r="AE131" s="14" t="s">
        <v>23434</v>
      </c>
      <c r="AF131" s="14" t="s">
        <v>25229</v>
      </c>
      <c r="AG131" s="14" t="s">
        <v>22818</v>
      </c>
      <c r="AH131" s="80"/>
      <c r="AI131" s="14" t="s">
        <v>23438</v>
      </c>
      <c r="AJ131" s="81">
        <v>45692.54386574074</v>
      </c>
      <c r="AK131" s="82" t="s">
        <v>23446</v>
      </c>
      <c r="AL131" s="14" t="s">
        <v>23434</v>
      </c>
      <c r="AM131" s="14" t="s">
        <v>23448</v>
      </c>
      <c r="AN131" s="14" t="s">
        <v>25230</v>
      </c>
      <c r="AO131" s="14" t="s">
        <v>23848</v>
      </c>
      <c r="AP131" s="14" t="s">
        <v>23434</v>
      </c>
      <c r="AQ131" s="14" t="s">
        <v>23439</v>
      </c>
      <c r="AR131" s="14" t="s">
        <v>25231</v>
      </c>
      <c r="AS131" s="14" t="s">
        <v>23842</v>
      </c>
      <c r="AT131" s="14" t="s">
        <v>23434</v>
      </c>
      <c r="AU131" s="14" t="s">
        <v>23453</v>
      </c>
      <c r="AV131" s="14" t="s">
        <v>25232</v>
      </c>
      <c r="AW131" s="14" t="s">
        <v>23455</v>
      </c>
      <c r="AX131" s="14" t="s">
        <v>23434</v>
      </c>
      <c r="AY131" s="14" t="s">
        <v>23451</v>
      </c>
      <c r="AZ131" s="14" t="s">
        <v>25233</v>
      </c>
      <c r="BA131" s="14" t="s">
        <v>22818</v>
      </c>
      <c r="BB131" s="80"/>
      <c r="BC131" s="14" t="s">
        <v>23438</v>
      </c>
      <c r="BD131" s="81">
        <v>45721.31674768519</v>
      </c>
      <c r="BE131" s="79">
        <f>IFERROR((COUNTIFS('Base de Dados'!FD:FD,"Sim",'Base de Dados'!A:A,A131,'Base de Dados'!B:B,B131)/(COUNTIFS('Base de Dados'!FD:FD,"Sim",'Base de Dados'!A:A,A131,'Base de Dados'!B:B,B131)+(COUNTIFS('Base de Dados'!FD:FD,"Não",'Base de Dados'!A:A,A131,'Base de Dados'!B:B,B131)))),"Não Aplica")</f>
        <v>1</v>
      </c>
      <c r="BF131" s="14" t="s">
        <v>23434</v>
      </c>
      <c r="BG131" s="14" t="s">
        <v>23439</v>
      </c>
      <c r="BH131" s="14" t="s">
        <v>25234</v>
      </c>
      <c r="BI131" s="14" t="s">
        <v>23842</v>
      </c>
      <c r="BJ131" s="80"/>
      <c r="BK131" s="80"/>
      <c r="BL131" s="80"/>
      <c r="BM131" s="80"/>
      <c r="BN131" s="14" t="s">
        <v>23434</v>
      </c>
      <c r="BO131" s="14" t="s">
        <v>23453</v>
      </c>
      <c r="BP131" s="14" t="s">
        <v>25235</v>
      </c>
      <c r="BQ131" s="14" t="s">
        <v>23455</v>
      </c>
      <c r="BR131" s="14" t="s">
        <v>23434</v>
      </c>
      <c r="BS131" s="14" t="s">
        <v>23451</v>
      </c>
      <c r="BT131" s="14" t="s">
        <v>25236</v>
      </c>
      <c r="BU131" s="14" t="s">
        <v>22818</v>
      </c>
      <c r="BV131" s="80"/>
      <c r="BW131" s="14" t="s">
        <v>23438</v>
      </c>
      <c r="BX131" s="81">
        <v>45723.33001157407</v>
      </c>
      <c r="BY131" s="82" t="s">
        <v>23446</v>
      </c>
      <c r="BZ131" s="15"/>
      <c r="CA131" s="15"/>
      <c r="CB131" s="15"/>
      <c r="CC131" s="15"/>
      <c r="CD131" s="80"/>
      <c r="CE131" s="80"/>
      <c r="CF131" s="80"/>
      <c r="CG131" s="80"/>
      <c r="CH131" s="15"/>
      <c r="CI131" s="15"/>
      <c r="CJ131" s="15"/>
      <c r="CK131" s="15"/>
      <c r="CL131" s="15"/>
      <c r="CM131" s="15"/>
      <c r="CN131" s="15"/>
      <c r="CO131" s="15"/>
      <c r="CP131" s="80"/>
      <c r="CQ131" s="80" t="s">
        <v>23459</v>
      </c>
      <c r="CR131" s="83"/>
      <c r="CS131" s="84"/>
    </row>
    <row r="132">
      <c r="A132" s="78" t="s">
        <v>547</v>
      </c>
      <c r="B132" s="78" t="s">
        <v>3195</v>
      </c>
      <c r="C132" s="79">
        <f>IFERROR((COUNTIFS('Base de Dados'!BT:BT,"Sim",'Base de Dados'!A:A,A132,'Base de Dados'!B:B,B132)/(COUNTIFS('Base de Dados'!BT:BT,"Sim",'Base de Dados'!A:A,A132,'Base de Dados'!B:B,B132)+(COUNTIFS('Base de Dados'!BT:BT,"Não",'Base de Dados'!A:A,A132,'Base de Dados'!B:B,B132)))),"Não Aplica")</f>
        <v>1</v>
      </c>
      <c r="D132" s="14" t="s">
        <v>23434</v>
      </c>
      <c r="E132" s="14" t="s">
        <v>25237</v>
      </c>
      <c r="F132" s="14" t="s">
        <v>23436</v>
      </c>
      <c r="G132" s="14" t="s">
        <v>23434</v>
      </c>
      <c r="H132" s="14" t="s">
        <v>25238</v>
      </c>
      <c r="I132" s="14" t="s">
        <v>22818</v>
      </c>
      <c r="J132" s="80"/>
      <c r="K132" s="14" t="s">
        <v>23438</v>
      </c>
      <c r="L132" s="81">
        <v>45691.61037037037</v>
      </c>
      <c r="M132" s="79">
        <f>IFERROR((COUNTIFS('Base de Dados'!DF:DF,"Sim",'Base de Dados'!A:A,A132,'Base de Dados'!B:B,B132)/(COUNTIFS('Base de Dados'!DF:DF,"Sim",'Base de Dados'!A:A,A132,'Base de Dados'!B:B,B132)+(COUNTIFS('Base de Dados'!DF:DF,"Não",'Base de Dados'!A:A,A132,'Base de Dados'!B:B,B132)))),"Não Aplica")</f>
        <v>1</v>
      </c>
      <c r="N132" s="14" t="s">
        <v>23434</v>
      </c>
      <c r="O132" s="14" t="s">
        <v>23439</v>
      </c>
      <c r="P132" s="14" t="s">
        <v>25239</v>
      </c>
      <c r="Q132" s="14" t="s">
        <v>23842</v>
      </c>
      <c r="R132" s="14" t="s">
        <v>23434</v>
      </c>
      <c r="S132" s="14" t="s">
        <v>25240</v>
      </c>
      <c r="T132" s="14" t="s">
        <v>23436</v>
      </c>
      <c r="U132" s="14" t="s">
        <v>23434</v>
      </c>
      <c r="V132" s="14" t="s">
        <v>25241</v>
      </c>
      <c r="W132" s="14" t="s">
        <v>22818</v>
      </c>
      <c r="X132" s="80"/>
      <c r="Y132" s="14" t="s">
        <v>23438</v>
      </c>
      <c r="Z132" s="81">
        <v>45692.53659722222</v>
      </c>
      <c r="AA132" s="79">
        <f>IFERROR((COUNTIFS('Base de Dados'!ED:ED,"Sim",'Base de Dados'!A:A,A132,'Base de Dados'!B:B,B132)/(COUNTIFS('Base de Dados'!ED:ED,"Sim",'Base de Dados'!A:A,A132,'Base de Dados'!B:B,B132)+(COUNTIFS('Base de Dados'!ED:ED,"Não",'Base de Dados'!A:A,A132,'Base de Dados'!B:B,B132)))),"Não Aplica")</f>
        <v>1</v>
      </c>
      <c r="AB132" s="14" t="s">
        <v>23434</v>
      </c>
      <c r="AC132" s="14" t="s">
        <v>25242</v>
      </c>
      <c r="AD132" s="14" t="s">
        <v>23842</v>
      </c>
      <c r="AE132" s="14" t="s">
        <v>23434</v>
      </c>
      <c r="AF132" s="14" t="s">
        <v>25243</v>
      </c>
      <c r="AG132" s="14" t="s">
        <v>22818</v>
      </c>
      <c r="AH132" s="80"/>
      <c r="AI132" s="14" t="s">
        <v>23438</v>
      </c>
      <c r="AJ132" s="81">
        <v>45693.44907407407</v>
      </c>
      <c r="AK132" s="82" t="s">
        <v>23446</v>
      </c>
      <c r="AL132" s="14" t="s">
        <v>23434</v>
      </c>
      <c r="AM132" s="14" t="s">
        <v>23448</v>
      </c>
      <c r="AN132" s="14" t="s">
        <v>25244</v>
      </c>
      <c r="AO132" s="14" t="s">
        <v>23848</v>
      </c>
      <c r="AP132" s="14" t="s">
        <v>23434</v>
      </c>
      <c r="AQ132" s="14" t="s">
        <v>23439</v>
      </c>
      <c r="AR132" s="14" t="s">
        <v>25245</v>
      </c>
      <c r="AS132" s="14" t="s">
        <v>23842</v>
      </c>
      <c r="AT132" s="14" t="s">
        <v>23434</v>
      </c>
      <c r="AU132" s="14" t="s">
        <v>23453</v>
      </c>
      <c r="AV132" s="14" t="s">
        <v>25246</v>
      </c>
      <c r="AW132" s="14" t="s">
        <v>23455</v>
      </c>
      <c r="AX132" s="14" t="s">
        <v>23434</v>
      </c>
      <c r="AY132" s="14" t="s">
        <v>23451</v>
      </c>
      <c r="AZ132" s="14" t="s">
        <v>25247</v>
      </c>
      <c r="BA132" s="14" t="s">
        <v>22818</v>
      </c>
      <c r="BB132" s="80"/>
      <c r="BC132" s="14" t="s">
        <v>23438</v>
      </c>
      <c r="BD132" s="81">
        <v>45721.318391203706</v>
      </c>
      <c r="BE132" s="79">
        <f>IFERROR((COUNTIFS('Base de Dados'!FD:FD,"Sim",'Base de Dados'!A:A,A132,'Base de Dados'!B:B,B132)/(COUNTIFS('Base de Dados'!FD:FD,"Sim",'Base de Dados'!A:A,A132,'Base de Dados'!B:B,B132)+(COUNTIFS('Base de Dados'!FD:FD,"Não",'Base de Dados'!A:A,A132,'Base de Dados'!B:B,B132)))),"Não Aplica")</f>
        <v>1</v>
      </c>
      <c r="BF132" s="14" t="s">
        <v>23434</v>
      </c>
      <c r="BG132" s="14" t="s">
        <v>23439</v>
      </c>
      <c r="BH132" s="14" t="s">
        <v>25248</v>
      </c>
      <c r="BI132" s="14" t="s">
        <v>23842</v>
      </c>
      <c r="BJ132" s="80"/>
      <c r="BK132" s="80"/>
      <c r="BL132" s="80"/>
      <c r="BM132" s="80"/>
      <c r="BN132" s="14" t="s">
        <v>23434</v>
      </c>
      <c r="BO132" s="14" t="s">
        <v>23453</v>
      </c>
      <c r="BP132" s="14" t="s">
        <v>25249</v>
      </c>
      <c r="BQ132" s="14" t="s">
        <v>23455</v>
      </c>
      <c r="BR132" s="14" t="s">
        <v>23434</v>
      </c>
      <c r="BS132" s="14" t="s">
        <v>23451</v>
      </c>
      <c r="BT132" s="14" t="s">
        <v>25250</v>
      </c>
      <c r="BU132" s="14" t="s">
        <v>22818</v>
      </c>
      <c r="BV132" s="80"/>
      <c r="BW132" s="14" t="s">
        <v>23438</v>
      </c>
      <c r="BX132" s="81">
        <v>45721.590833333335</v>
      </c>
      <c r="BY132" s="82" t="s">
        <v>23446</v>
      </c>
      <c r="BZ132" s="15"/>
      <c r="CA132" s="15"/>
      <c r="CB132" s="15"/>
      <c r="CC132" s="15"/>
      <c r="CD132" s="80"/>
      <c r="CE132" s="80"/>
      <c r="CF132" s="80"/>
      <c r="CG132" s="80"/>
      <c r="CH132" s="15"/>
      <c r="CI132" s="15"/>
      <c r="CJ132" s="15"/>
      <c r="CK132" s="15"/>
      <c r="CL132" s="15"/>
      <c r="CM132" s="15"/>
      <c r="CN132" s="15"/>
      <c r="CO132" s="15"/>
      <c r="CP132" s="80"/>
      <c r="CQ132" s="80" t="s">
        <v>23459</v>
      </c>
      <c r="CR132" s="83"/>
      <c r="CS132" s="84"/>
    </row>
    <row r="133">
      <c r="A133" s="78" t="s">
        <v>547</v>
      </c>
      <c r="B133" s="78" t="s">
        <v>3514</v>
      </c>
      <c r="C133" s="79">
        <f>IFERROR((COUNTIFS('Base de Dados'!BT:BT,"Sim",'Base de Dados'!A:A,A133,'Base de Dados'!B:B,B133)/(COUNTIFS('Base de Dados'!BT:BT,"Sim",'Base de Dados'!A:A,A133,'Base de Dados'!B:B,B133)+(COUNTIFS('Base de Dados'!BT:BT,"Não",'Base de Dados'!A:A,A133,'Base de Dados'!B:B,B133)))),"Não Aplica")</f>
        <v>1</v>
      </c>
      <c r="D133" s="14" t="s">
        <v>23434</v>
      </c>
      <c r="E133" s="14" t="s">
        <v>25251</v>
      </c>
      <c r="F133" s="14" t="s">
        <v>23436</v>
      </c>
      <c r="G133" s="14" t="s">
        <v>23434</v>
      </c>
      <c r="H133" s="14" t="s">
        <v>25252</v>
      </c>
      <c r="I133" s="14" t="s">
        <v>22818</v>
      </c>
      <c r="J133" s="80"/>
      <c r="K133" s="14" t="s">
        <v>23438</v>
      </c>
      <c r="L133" s="81">
        <v>45689.40341435185</v>
      </c>
      <c r="M133" s="79">
        <f>IFERROR((COUNTIFS('Base de Dados'!DF:DF,"Sim",'Base de Dados'!A:A,A133,'Base de Dados'!B:B,B133)/(COUNTIFS('Base de Dados'!DF:DF,"Sim",'Base de Dados'!A:A,A133,'Base de Dados'!B:B,B133)+(COUNTIFS('Base de Dados'!DF:DF,"Não",'Base de Dados'!A:A,A133,'Base de Dados'!B:B,B133)))),"Não Aplica")</f>
        <v>1</v>
      </c>
      <c r="N133" s="14" t="s">
        <v>23434</v>
      </c>
      <c r="O133" s="14" t="s">
        <v>23439</v>
      </c>
      <c r="P133" s="14" t="s">
        <v>25253</v>
      </c>
      <c r="Q133" s="14" t="s">
        <v>23842</v>
      </c>
      <c r="R133" s="14" t="s">
        <v>23434</v>
      </c>
      <c r="S133" s="14" t="s">
        <v>25254</v>
      </c>
      <c r="T133" s="14" t="s">
        <v>23436</v>
      </c>
      <c r="U133" s="14" t="s">
        <v>23434</v>
      </c>
      <c r="V133" s="14" t="s">
        <v>25255</v>
      </c>
      <c r="W133" s="14" t="s">
        <v>22818</v>
      </c>
      <c r="X133" s="80"/>
      <c r="Y133" s="14" t="s">
        <v>23438</v>
      </c>
      <c r="Z133" s="81">
        <v>45691.614120370374</v>
      </c>
      <c r="AA133" s="79">
        <f>IFERROR((COUNTIFS('Base de Dados'!ED:ED,"Sim",'Base de Dados'!A:A,A133,'Base de Dados'!B:B,B133)/(COUNTIFS('Base de Dados'!ED:ED,"Sim",'Base de Dados'!A:A,A133,'Base de Dados'!B:B,B133)+(COUNTIFS('Base de Dados'!ED:ED,"Não",'Base de Dados'!A:A,A133,'Base de Dados'!B:B,B133)))),"Não Aplica")</f>
        <v>1</v>
      </c>
      <c r="AB133" s="14" t="s">
        <v>23434</v>
      </c>
      <c r="AC133" s="14" t="s">
        <v>25256</v>
      </c>
      <c r="AD133" s="14" t="s">
        <v>23842</v>
      </c>
      <c r="AE133" s="14" t="s">
        <v>23434</v>
      </c>
      <c r="AF133" s="14" t="s">
        <v>25257</v>
      </c>
      <c r="AG133" s="14" t="s">
        <v>22818</v>
      </c>
      <c r="AH133" s="80"/>
      <c r="AI133" s="14" t="s">
        <v>23438</v>
      </c>
      <c r="AJ133" s="81">
        <v>45692.54387731481</v>
      </c>
      <c r="AK133" s="82" t="s">
        <v>23446</v>
      </c>
      <c r="AL133" s="14" t="s">
        <v>23434</v>
      </c>
      <c r="AM133" s="14" t="s">
        <v>23448</v>
      </c>
      <c r="AN133" s="14" t="s">
        <v>25258</v>
      </c>
      <c r="AO133" s="14" t="s">
        <v>23848</v>
      </c>
      <c r="AP133" s="14" t="s">
        <v>23434</v>
      </c>
      <c r="AQ133" s="14" t="s">
        <v>23439</v>
      </c>
      <c r="AR133" s="14" t="s">
        <v>25259</v>
      </c>
      <c r="AS133" s="14" t="s">
        <v>23842</v>
      </c>
      <c r="AT133" s="14" t="s">
        <v>23434</v>
      </c>
      <c r="AU133" s="14" t="s">
        <v>23453</v>
      </c>
      <c r="AV133" s="14" t="s">
        <v>25260</v>
      </c>
      <c r="AW133" s="14" t="s">
        <v>23455</v>
      </c>
      <c r="AX133" s="14" t="s">
        <v>23434</v>
      </c>
      <c r="AY133" s="14" t="s">
        <v>23451</v>
      </c>
      <c r="AZ133" s="14" t="s">
        <v>25261</v>
      </c>
      <c r="BA133" s="14" t="s">
        <v>22818</v>
      </c>
      <c r="BB133" s="80"/>
      <c r="BC133" s="14" t="s">
        <v>23438</v>
      </c>
      <c r="BD133" s="81">
        <v>45721.31680555556</v>
      </c>
      <c r="BE133" s="79">
        <f>IFERROR((COUNTIFS('Base de Dados'!FD:FD,"Sim",'Base de Dados'!A:A,A133,'Base de Dados'!B:B,B133)/(COUNTIFS('Base de Dados'!FD:FD,"Sim",'Base de Dados'!A:A,A133,'Base de Dados'!B:B,B133)+(COUNTIFS('Base de Dados'!FD:FD,"Não",'Base de Dados'!A:A,A133,'Base de Dados'!B:B,B133)))),"Não Aplica")</f>
        <v>1</v>
      </c>
      <c r="BF133" s="14" t="s">
        <v>23434</v>
      </c>
      <c r="BG133" s="14" t="s">
        <v>23439</v>
      </c>
      <c r="BH133" s="14" t="s">
        <v>25262</v>
      </c>
      <c r="BI133" s="14" t="s">
        <v>23842</v>
      </c>
      <c r="BJ133" s="80"/>
      <c r="BK133" s="80"/>
      <c r="BL133" s="80"/>
      <c r="BM133" s="80"/>
      <c r="BN133" s="14" t="s">
        <v>23434</v>
      </c>
      <c r="BO133" s="14" t="s">
        <v>23453</v>
      </c>
      <c r="BP133" s="14" t="s">
        <v>25263</v>
      </c>
      <c r="BQ133" s="14" t="s">
        <v>23455</v>
      </c>
      <c r="BR133" s="14" t="s">
        <v>23434</v>
      </c>
      <c r="BS133" s="14" t="s">
        <v>23451</v>
      </c>
      <c r="BT133" s="14" t="s">
        <v>25264</v>
      </c>
      <c r="BU133" s="14" t="s">
        <v>22818</v>
      </c>
      <c r="BV133" s="80"/>
      <c r="BW133" s="14" t="s">
        <v>23438</v>
      </c>
      <c r="BX133" s="81">
        <v>45723.330046296294</v>
      </c>
      <c r="BY133" s="82" t="s">
        <v>23446</v>
      </c>
      <c r="BZ133" s="15"/>
      <c r="CA133" s="15"/>
      <c r="CB133" s="15"/>
      <c r="CC133" s="15"/>
      <c r="CD133" s="80"/>
      <c r="CE133" s="80"/>
      <c r="CF133" s="80"/>
      <c r="CG133" s="80"/>
      <c r="CH133" s="15"/>
      <c r="CI133" s="15"/>
      <c r="CJ133" s="15"/>
      <c r="CK133" s="15"/>
      <c r="CL133" s="15"/>
      <c r="CM133" s="15"/>
      <c r="CN133" s="15"/>
      <c r="CO133" s="15"/>
      <c r="CP133" s="80"/>
      <c r="CQ133" s="80" t="s">
        <v>23459</v>
      </c>
      <c r="CR133" s="83"/>
      <c r="CS133" s="84"/>
    </row>
    <row r="134">
      <c r="A134" s="78" t="s">
        <v>547</v>
      </c>
      <c r="B134" s="78" t="s">
        <v>3445</v>
      </c>
      <c r="C134" s="79">
        <f>IFERROR((COUNTIFS('Base de Dados'!BT:BT,"Sim",'Base de Dados'!A:A,A134,'Base de Dados'!B:B,B134)/(COUNTIFS('Base de Dados'!BT:BT,"Sim",'Base de Dados'!A:A,A134,'Base de Dados'!B:B,B134)+(COUNTIFS('Base de Dados'!BT:BT,"Não",'Base de Dados'!A:A,A134,'Base de Dados'!B:B,B134)))),"Não Aplica")</f>
        <v>1</v>
      </c>
      <c r="D134" s="14" t="s">
        <v>23434</v>
      </c>
      <c r="E134" s="14" t="s">
        <v>25265</v>
      </c>
      <c r="F134" s="14" t="s">
        <v>23436</v>
      </c>
      <c r="G134" s="14" t="s">
        <v>23434</v>
      </c>
      <c r="H134" s="14" t="s">
        <v>25266</v>
      </c>
      <c r="I134" s="14" t="s">
        <v>22818</v>
      </c>
      <c r="J134" s="80"/>
      <c r="K134" s="14" t="s">
        <v>23438</v>
      </c>
      <c r="L134" s="81">
        <v>45685.31197916667</v>
      </c>
      <c r="M134" s="79">
        <f>IFERROR((COUNTIFS('Base de Dados'!DF:DF,"Sim",'Base de Dados'!A:A,A134,'Base de Dados'!B:B,B134)/(COUNTIFS('Base de Dados'!DF:DF,"Sim",'Base de Dados'!A:A,A134,'Base de Dados'!B:B,B134)+(COUNTIFS('Base de Dados'!DF:DF,"Não",'Base de Dados'!A:A,A134,'Base de Dados'!B:B,B134)))),"Não Aplica")</f>
        <v>1</v>
      </c>
      <c r="N134" s="14" t="s">
        <v>23434</v>
      </c>
      <c r="O134" s="14" t="s">
        <v>23439</v>
      </c>
      <c r="P134" s="14" t="s">
        <v>25267</v>
      </c>
      <c r="Q134" s="14" t="s">
        <v>23842</v>
      </c>
      <c r="R134" s="14" t="s">
        <v>23434</v>
      </c>
      <c r="S134" s="14" t="s">
        <v>25268</v>
      </c>
      <c r="T134" s="14" t="s">
        <v>23436</v>
      </c>
      <c r="U134" s="14" t="s">
        <v>23434</v>
      </c>
      <c r="V134" s="14" t="s">
        <v>25269</v>
      </c>
      <c r="W134" s="14" t="s">
        <v>22818</v>
      </c>
      <c r="X134" s="80"/>
      <c r="Y134" s="14" t="s">
        <v>23438</v>
      </c>
      <c r="Z134" s="81">
        <v>45691.61415509259</v>
      </c>
      <c r="AA134" s="79">
        <f>IFERROR((COUNTIFS('Base de Dados'!ED:ED,"Sim",'Base de Dados'!A:A,A134,'Base de Dados'!B:B,B134)/(COUNTIFS('Base de Dados'!ED:ED,"Sim",'Base de Dados'!A:A,A134,'Base de Dados'!B:B,B134)+(COUNTIFS('Base de Dados'!ED:ED,"Não",'Base de Dados'!A:A,A134,'Base de Dados'!B:B,B134)))),"Não Aplica")</f>
        <v>1</v>
      </c>
      <c r="AB134" s="14" t="s">
        <v>23434</v>
      </c>
      <c r="AC134" s="14" t="s">
        <v>25270</v>
      </c>
      <c r="AD134" s="14" t="s">
        <v>23842</v>
      </c>
      <c r="AE134" s="14" t="s">
        <v>23434</v>
      </c>
      <c r="AF134" s="14" t="s">
        <v>25271</v>
      </c>
      <c r="AG134" s="14" t="s">
        <v>22818</v>
      </c>
      <c r="AH134" s="80"/>
      <c r="AI134" s="14" t="s">
        <v>23438</v>
      </c>
      <c r="AJ134" s="81">
        <v>45692.543900462966</v>
      </c>
      <c r="AK134" s="82" t="s">
        <v>23446</v>
      </c>
      <c r="AL134" s="14" t="s">
        <v>23434</v>
      </c>
      <c r="AM134" s="14" t="s">
        <v>23448</v>
      </c>
      <c r="AN134" s="14" t="s">
        <v>25272</v>
      </c>
      <c r="AO134" s="14" t="s">
        <v>23848</v>
      </c>
      <c r="AP134" s="14" t="s">
        <v>23434</v>
      </c>
      <c r="AQ134" s="14" t="s">
        <v>23439</v>
      </c>
      <c r="AR134" s="14" t="s">
        <v>25273</v>
      </c>
      <c r="AS134" s="14" t="s">
        <v>23842</v>
      </c>
      <c r="AT134" s="14" t="s">
        <v>23434</v>
      </c>
      <c r="AU134" s="14" t="s">
        <v>23453</v>
      </c>
      <c r="AV134" s="14" t="s">
        <v>25274</v>
      </c>
      <c r="AW134" s="14" t="s">
        <v>23455</v>
      </c>
      <c r="AX134" s="14" t="s">
        <v>23434</v>
      </c>
      <c r="AY134" s="14" t="s">
        <v>23451</v>
      </c>
      <c r="AZ134" s="14" t="s">
        <v>25275</v>
      </c>
      <c r="BA134" s="14" t="s">
        <v>22818</v>
      </c>
      <c r="BB134" s="80"/>
      <c r="BC134" s="14" t="s">
        <v>23438</v>
      </c>
      <c r="BD134" s="81">
        <v>45721.31685185185</v>
      </c>
      <c r="BE134" s="79">
        <f>IFERROR((COUNTIFS('Base de Dados'!FD:FD,"Sim",'Base de Dados'!A:A,A134,'Base de Dados'!B:B,B134)/(COUNTIFS('Base de Dados'!FD:FD,"Sim",'Base de Dados'!A:A,A134,'Base de Dados'!B:B,B134)+(COUNTIFS('Base de Dados'!FD:FD,"Não",'Base de Dados'!A:A,A134,'Base de Dados'!B:B,B134)))),"Não Aplica")</f>
        <v>1</v>
      </c>
      <c r="BF134" s="14" t="s">
        <v>23434</v>
      </c>
      <c r="BG134" s="14" t="s">
        <v>23439</v>
      </c>
      <c r="BH134" s="14" t="s">
        <v>25276</v>
      </c>
      <c r="BI134" s="14" t="s">
        <v>23842</v>
      </c>
      <c r="BJ134" s="80"/>
      <c r="BK134" s="80"/>
      <c r="BL134" s="80"/>
      <c r="BM134" s="80"/>
      <c r="BN134" s="14" t="s">
        <v>23434</v>
      </c>
      <c r="BO134" s="14" t="s">
        <v>23453</v>
      </c>
      <c r="BP134" s="14" t="s">
        <v>25277</v>
      </c>
      <c r="BQ134" s="14" t="s">
        <v>23455</v>
      </c>
      <c r="BR134" s="14" t="s">
        <v>23434</v>
      </c>
      <c r="BS134" s="14" t="s">
        <v>23451</v>
      </c>
      <c r="BT134" s="14" t="s">
        <v>25278</v>
      </c>
      <c r="BU134" s="14" t="s">
        <v>22818</v>
      </c>
      <c r="BV134" s="80"/>
      <c r="BW134" s="14" t="s">
        <v>23438</v>
      </c>
      <c r="BX134" s="81">
        <v>45723.33012731482</v>
      </c>
      <c r="BY134" s="82" t="s">
        <v>23446</v>
      </c>
      <c r="BZ134" s="15"/>
      <c r="CA134" s="15"/>
      <c r="CB134" s="15"/>
      <c r="CC134" s="15"/>
      <c r="CD134" s="80"/>
      <c r="CE134" s="80"/>
      <c r="CF134" s="80"/>
      <c r="CG134" s="80"/>
      <c r="CH134" s="15"/>
      <c r="CI134" s="15"/>
      <c r="CJ134" s="15"/>
      <c r="CK134" s="15"/>
      <c r="CL134" s="15"/>
      <c r="CM134" s="15"/>
      <c r="CN134" s="15"/>
      <c r="CO134" s="15"/>
      <c r="CP134" s="80"/>
      <c r="CQ134" s="80" t="s">
        <v>23459</v>
      </c>
      <c r="CR134" s="83"/>
      <c r="CS134" s="84"/>
    </row>
    <row r="135">
      <c r="A135" s="78" t="s">
        <v>547</v>
      </c>
      <c r="B135" s="78" t="s">
        <v>3723</v>
      </c>
      <c r="C135" s="79">
        <f>IFERROR((COUNTIFS('Base de Dados'!BT:BT,"Sim",'Base de Dados'!A:A,A135,'Base de Dados'!B:B,B135)/(COUNTIFS('Base de Dados'!BT:BT,"Sim",'Base de Dados'!A:A,A135,'Base de Dados'!B:B,B135)+(COUNTIFS('Base de Dados'!BT:BT,"Não",'Base de Dados'!A:A,A135,'Base de Dados'!B:B,B135)))),"Não Aplica")</f>
        <v>1</v>
      </c>
      <c r="D135" s="14" t="s">
        <v>23434</v>
      </c>
      <c r="E135" s="14" t="s">
        <v>25279</v>
      </c>
      <c r="F135" s="14" t="s">
        <v>23436</v>
      </c>
      <c r="G135" s="14" t="s">
        <v>23434</v>
      </c>
      <c r="H135" s="14" t="s">
        <v>25280</v>
      </c>
      <c r="I135" s="14" t="s">
        <v>22818</v>
      </c>
      <c r="J135" s="80"/>
      <c r="K135" s="14" t="s">
        <v>23438</v>
      </c>
      <c r="L135" s="81">
        <v>45689.40346064815</v>
      </c>
      <c r="M135" s="79">
        <f>IFERROR((COUNTIFS('Base de Dados'!DF:DF,"Sim",'Base de Dados'!A:A,A135,'Base de Dados'!B:B,B135)/(COUNTIFS('Base de Dados'!DF:DF,"Sim",'Base de Dados'!A:A,A135,'Base de Dados'!B:B,B135)+(COUNTIFS('Base de Dados'!DF:DF,"Não",'Base de Dados'!A:A,A135,'Base de Dados'!B:B,B135)))),"Não Aplica")</f>
        <v>1</v>
      </c>
      <c r="N135" s="14" t="s">
        <v>23434</v>
      </c>
      <c r="O135" s="14" t="s">
        <v>23439</v>
      </c>
      <c r="P135" s="14" t="s">
        <v>25281</v>
      </c>
      <c r="Q135" s="14" t="s">
        <v>23842</v>
      </c>
      <c r="R135" s="14" t="s">
        <v>23434</v>
      </c>
      <c r="S135" s="14" t="s">
        <v>25282</v>
      </c>
      <c r="T135" s="14" t="s">
        <v>23436</v>
      </c>
      <c r="U135" s="14" t="s">
        <v>23434</v>
      </c>
      <c r="V135" s="14" t="s">
        <v>25283</v>
      </c>
      <c r="W135" s="14" t="s">
        <v>22818</v>
      </c>
      <c r="X135" s="80"/>
      <c r="Y135" s="14" t="s">
        <v>23438</v>
      </c>
      <c r="Z135" s="81">
        <v>45691.61497685185</v>
      </c>
      <c r="AA135" s="79">
        <f>IFERROR((COUNTIFS('Base de Dados'!ED:ED,"Sim",'Base de Dados'!A:A,A135,'Base de Dados'!B:B,B135)/(COUNTIFS('Base de Dados'!ED:ED,"Sim",'Base de Dados'!A:A,A135,'Base de Dados'!B:B,B135)+(COUNTIFS('Base de Dados'!ED:ED,"Não",'Base de Dados'!A:A,A135,'Base de Dados'!B:B,B135)))),"Não Aplica")</f>
        <v>1</v>
      </c>
      <c r="AB135" s="14" t="s">
        <v>23434</v>
      </c>
      <c r="AC135" s="14" t="s">
        <v>25284</v>
      </c>
      <c r="AD135" s="14" t="s">
        <v>23842</v>
      </c>
      <c r="AE135" s="14" t="s">
        <v>23434</v>
      </c>
      <c r="AF135" s="14" t="s">
        <v>25285</v>
      </c>
      <c r="AG135" s="14" t="s">
        <v>22818</v>
      </c>
      <c r="AH135" s="80"/>
      <c r="AI135" s="14" t="s">
        <v>23438</v>
      </c>
      <c r="AJ135" s="81">
        <v>45692.54392361111</v>
      </c>
      <c r="AK135" s="82" t="s">
        <v>23446</v>
      </c>
      <c r="AL135" s="14" t="s">
        <v>23434</v>
      </c>
      <c r="AM135" s="14" t="s">
        <v>23448</v>
      </c>
      <c r="AN135" s="14" t="s">
        <v>25286</v>
      </c>
      <c r="AO135" s="14" t="s">
        <v>23848</v>
      </c>
      <c r="AP135" s="14" t="s">
        <v>23434</v>
      </c>
      <c r="AQ135" s="14" t="s">
        <v>23439</v>
      </c>
      <c r="AR135" s="14" t="s">
        <v>25287</v>
      </c>
      <c r="AS135" s="14" t="s">
        <v>23842</v>
      </c>
      <c r="AT135" s="14" t="s">
        <v>23434</v>
      </c>
      <c r="AU135" s="14" t="s">
        <v>23453</v>
      </c>
      <c r="AV135" s="14" t="s">
        <v>25288</v>
      </c>
      <c r="AW135" s="14" t="s">
        <v>23455</v>
      </c>
      <c r="AX135" s="14" t="s">
        <v>23434</v>
      </c>
      <c r="AY135" s="14" t="s">
        <v>23451</v>
      </c>
      <c r="AZ135" s="14" t="s">
        <v>25289</v>
      </c>
      <c r="BA135" s="14" t="s">
        <v>22818</v>
      </c>
      <c r="BB135" s="80"/>
      <c r="BC135" s="14" t="s">
        <v>23438</v>
      </c>
      <c r="BD135" s="81">
        <v>45721.31689814815</v>
      </c>
      <c r="BE135" s="79">
        <f>IFERROR((COUNTIFS('Base de Dados'!FD:FD,"Sim",'Base de Dados'!A:A,A135,'Base de Dados'!B:B,B135)/(COUNTIFS('Base de Dados'!FD:FD,"Sim",'Base de Dados'!A:A,A135,'Base de Dados'!B:B,B135)+(COUNTIFS('Base de Dados'!FD:FD,"Não",'Base de Dados'!A:A,A135,'Base de Dados'!B:B,B135)))),"Não Aplica")</f>
        <v>1</v>
      </c>
      <c r="BF135" s="14" t="s">
        <v>23434</v>
      </c>
      <c r="BG135" s="14" t="s">
        <v>23439</v>
      </c>
      <c r="BH135" s="14" t="s">
        <v>25290</v>
      </c>
      <c r="BI135" s="14" t="s">
        <v>23842</v>
      </c>
      <c r="BJ135" s="80"/>
      <c r="BK135" s="80"/>
      <c r="BL135" s="80"/>
      <c r="BM135" s="80"/>
      <c r="BN135" s="14" t="s">
        <v>23434</v>
      </c>
      <c r="BO135" s="14" t="s">
        <v>23453</v>
      </c>
      <c r="BP135" s="14" t="s">
        <v>25291</v>
      </c>
      <c r="BQ135" s="14" t="s">
        <v>23455</v>
      </c>
      <c r="BR135" s="14" t="s">
        <v>23434</v>
      </c>
      <c r="BS135" s="14" t="s">
        <v>23451</v>
      </c>
      <c r="BT135" s="14" t="s">
        <v>25292</v>
      </c>
      <c r="BU135" s="14" t="s">
        <v>22818</v>
      </c>
      <c r="BV135" s="80"/>
      <c r="BW135" s="14" t="s">
        <v>23438</v>
      </c>
      <c r="BX135" s="81">
        <v>45723.33016203704</v>
      </c>
      <c r="BY135" s="82" t="s">
        <v>23446</v>
      </c>
      <c r="BZ135" s="15"/>
      <c r="CA135" s="15"/>
      <c r="CB135" s="15"/>
      <c r="CC135" s="15"/>
      <c r="CD135" s="80"/>
      <c r="CE135" s="80"/>
      <c r="CF135" s="80"/>
      <c r="CG135" s="80"/>
      <c r="CH135" s="15"/>
      <c r="CI135" s="15"/>
      <c r="CJ135" s="15"/>
      <c r="CK135" s="15"/>
      <c r="CL135" s="15"/>
      <c r="CM135" s="15"/>
      <c r="CN135" s="15"/>
      <c r="CO135" s="15"/>
      <c r="CP135" s="80"/>
      <c r="CQ135" s="80" t="s">
        <v>23459</v>
      </c>
      <c r="CR135" s="83"/>
      <c r="CS135" s="84"/>
    </row>
    <row r="136">
      <c r="A136" s="78" t="s">
        <v>547</v>
      </c>
      <c r="B136" s="78" t="s">
        <v>3165</v>
      </c>
      <c r="C136" s="79">
        <f>IFERROR((COUNTIFS('Base de Dados'!BT:BT,"Sim",'Base de Dados'!A:A,A136,'Base de Dados'!B:B,B136)/(COUNTIFS('Base de Dados'!BT:BT,"Sim",'Base de Dados'!A:A,A136,'Base de Dados'!B:B,B136)+(COUNTIFS('Base de Dados'!BT:BT,"Não",'Base de Dados'!A:A,A136,'Base de Dados'!B:B,B136)))),"Não Aplica")</f>
        <v>1</v>
      </c>
      <c r="D136" s="14" t="s">
        <v>23434</v>
      </c>
      <c r="E136" s="14" t="s">
        <v>25293</v>
      </c>
      <c r="F136" s="14" t="s">
        <v>23436</v>
      </c>
      <c r="G136" s="14" t="s">
        <v>23434</v>
      </c>
      <c r="H136" s="14" t="s">
        <v>25294</v>
      </c>
      <c r="I136" s="14" t="s">
        <v>22818</v>
      </c>
      <c r="J136" s="80"/>
      <c r="K136" s="14" t="s">
        <v>23438</v>
      </c>
      <c r="L136" s="81">
        <v>45687.393171296295</v>
      </c>
      <c r="M136" s="79">
        <f>IFERROR((COUNTIFS('Base de Dados'!DF:DF,"Sim",'Base de Dados'!A:A,A136,'Base de Dados'!B:B,B136)/(COUNTIFS('Base de Dados'!DF:DF,"Sim",'Base de Dados'!A:A,A136,'Base de Dados'!B:B,B136)+(COUNTIFS('Base de Dados'!DF:DF,"Não",'Base de Dados'!A:A,A136,'Base de Dados'!B:B,B136)))),"Não Aplica")</f>
        <v>1</v>
      </c>
      <c r="N136" s="14" t="s">
        <v>23434</v>
      </c>
      <c r="O136" s="14" t="s">
        <v>23439</v>
      </c>
      <c r="P136" s="14" t="s">
        <v>25295</v>
      </c>
      <c r="Q136" s="14" t="s">
        <v>23842</v>
      </c>
      <c r="R136" s="14" t="s">
        <v>23434</v>
      </c>
      <c r="S136" s="14" t="s">
        <v>25296</v>
      </c>
      <c r="T136" s="14" t="s">
        <v>23436</v>
      </c>
      <c r="U136" s="14" t="s">
        <v>23434</v>
      </c>
      <c r="V136" s="14" t="s">
        <v>25297</v>
      </c>
      <c r="W136" s="14" t="s">
        <v>22818</v>
      </c>
      <c r="X136" s="80"/>
      <c r="Y136" s="14" t="s">
        <v>23438</v>
      </c>
      <c r="Z136" s="81">
        <v>45691.61479166667</v>
      </c>
      <c r="AA136" s="79">
        <f>IFERROR((COUNTIFS('Base de Dados'!ED:ED,"Sim",'Base de Dados'!A:A,A136,'Base de Dados'!B:B,B136)/(COUNTIFS('Base de Dados'!ED:ED,"Sim",'Base de Dados'!A:A,A136,'Base de Dados'!B:B,B136)+(COUNTIFS('Base de Dados'!ED:ED,"Não",'Base de Dados'!A:A,A136,'Base de Dados'!B:B,B136)))),"Não Aplica")</f>
        <v>1</v>
      </c>
      <c r="AB136" s="14" t="s">
        <v>23434</v>
      </c>
      <c r="AC136" s="14" t="s">
        <v>25298</v>
      </c>
      <c r="AD136" s="14" t="s">
        <v>23842</v>
      </c>
      <c r="AE136" s="14" t="s">
        <v>23434</v>
      </c>
      <c r="AF136" s="14" t="s">
        <v>25299</v>
      </c>
      <c r="AG136" s="14" t="s">
        <v>22818</v>
      </c>
      <c r="AH136" s="80"/>
      <c r="AI136" s="14" t="s">
        <v>23438</v>
      </c>
      <c r="AJ136" s="81">
        <v>45692.54393518518</v>
      </c>
      <c r="AK136" s="82" t="s">
        <v>23446</v>
      </c>
      <c r="AL136" s="14" t="s">
        <v>23434</v>
      </c>
      <c r="AM136" s="14" t="s">
        <v>23448</v>
      </c>
      <c r="AN136" s="14" t="s">
        <v>25300</v>
      </c>
      <c r="AO136" s="14" t="s">
        <v>23848</v>
      </c>
      <c r="AP136" s="14" t="s">
        <v>23434</v>
      </c>
      <c r="AQ136" s="14" t="s">
        <v>23439</v>
      </c>
      <c r="AR136" s="14" t="s">
        <v>25301</v>
      </c>
      <c r="AS136" s="14" t="s">
        <v>23842</v>
      </c>
      <c r="AT136" s="14" t="s">
        <v>23434</v>
      </c>
      <c r="AU136" s="14" t="s">
        <v>23453</v>
      </c>
      <c r="AV136" s="14" t="s">
        <v>25302</v>
      </c>
      <c r="AW136" s="14" t="s">
        <v>23455</v>
      </c>
      <c r="AX136" s="14" t="s">
        <v>23434</v>
      </c>
      <c r="AY136" s="14" t="s">
        <v>23451</v>
      </c>
      <c r="AZ136" s="14" t="s">
        <v>25303</v>
      </c>
      <c r="BA136" s="14" t="s">
        <v>22818</v>
      </c>
      <c r="BB136" s="80"/>
      <c r="BC136" s="14" t="s">
        <v>23438</v>
      </c>
      <c r="BD136" s="81">
        <v>45721.31695601852</v>
      </c>
      <c r="BE136" s="79">
        <f>IFERROR((COUNTIFS('Base de Dados'!FD:FD,"Sim",'Base de Dados'!A:A,A136,'Base de Dados'!B:B,B136)/(COUNTIFS('Base de Dados'!FD:FD,"Sim",'Base de Dados'!A:A,A136,'Base de Dados'!B:B,B136)+(COUNTIFS('Base de Dados'!FD:FD,"Não",'Base de Dados'!A:A,A136,'Base de Dados'!B:B,B136)))),"Não Aplica")</f>
        <v>1</v>
      </c>
      <c r="BF136" s="14" t="s">
        <v>23434</v>
      </c>
      <c r="BG136" s="14" t="s">
        <v>23439</v>
      </c>
      <c r="BH136" s="14" t="s">
        <v>25304</v>
      </c>
      <c r="BI136" s="14" t="s">
        <v>23842</v>
      </c>
      <c r="BJ136" s="80"/>
      <c r="BK136" s="80"/>
      <c r="BL136" s="80"/>
      <c r="BM136" s="80"/>
      <c r="BN136" s="14" t="s">
        <v>23434</v>
      </c>
      <c r="BO136" s="14" t="s">
        <v>23453</v>
      </c>
      <c r="BP136" s="14" t="s">
        <v>25305</v>
      </c>
      <c r="BQ136" s="14" t="s">
        <v>23455</v>
      </c>
      <c r="BR136" s="14" t="s">
        <v>23434</v>
      </c>
      <c r="BS136" s="14" t="s">
        <v>23451</v>
      </c>
      <c r="BT136" s="14" t="s">
        <v>25306</v>
      </c>
      <c r="BU136" s="14" t="s">
        <v>22818</v>
      </c>
      <c r="BV136" s="80"/>
      <c r="BW136" s="14" t="s">
        <v>23438</v>
      </c>
      <c r="BX136" s="81">
        <v>45723.329560185186</v>
      </c>
      <c r="BY136" s="82" t="s">
        <v>23446</v>
      </c>
      <c r="BZ136" s="15"/>
      <c r="CA136" s="15"/>
      <c r="CB136" s="15"/>
      <c r="CC136" s="15"/>
      <c r="CD136" s="80"/>
      <c r="CE136" s="80"/>
      <c r="CF136" s="80"/>
      <c r="CG136" s="80"/>
      <c r="CH136" s="15"/>
      <c r="CI136" s="15"/>
      <c r="CJ136" s="15"/>
      <c r="CK136" s="15"/>
      <c r="CL136" s="15"/>
      <c r="CM136" s="15"/>
      <c r="CN136" s="15"/>
      <c r="CO136" s="15"/>
      <c r="CP136" s="80"/>
      <c r="CQ136" s="80" t="s">
        <v>23459</v>
      </c>
      <c r="CR136" s="83"/>
      <c r="CS136" s="84"/>
    </row>
    <row r="137">
      <c r="A137" s="78" t="s">
        <v>547</v>
      </c>
      <c r="B137" s="78" t="s">
        <v>4833</v>
      </c>
      <c r="C137" s="79">
        <f>IFERROR((COUNTIFS('Base de Dados'!BT:BT,"Sim",'Base de Dados'!A:A,A137,'Base de Dados'!B:B,B137)/(COUNTIFS('Base de Dados'!BT:BT,"Sim",'Base de Dados'!A:A,A137,'Base de Dados'!B:B,B137)+(COUNTIFS('Base de Dados'!BT:BT,"Não",'Base de Dados'!A:A,A137,'Base de Dados'!B:B,B137)))),"Não Aplica")</f>
        <v>1</v>
      </c>
      <c r="D137" s="14" t="s">
        <v>23434</v>
      </c>
      <c r="E137" s="14" t="s">
        <v>25307</v>
      </c>
      <c r="F137" s="14" t="s">
        <v>23436</v>
      </c>
      <c r="G137" s="14" t="s">
        <v>23434</v>
      </c>
      <c r="H137" s="14" t="s">
        <v>25308</v>
      </c>
      <c r="I137" s="14" t="s">
        <v>22818</v>
      </c>
      <c r="J137" s="80"/>
      <c r="K137" s="14" t="s">
        <v>23438</v>
      </c>
      <c r="L137" s="81">
        <v>45685.64907407408</v>
      </c>
      <c r="M137" s="79">
        <f>IFERROR((COUNTIFS('Base de Dados'!DF:DF,"Sim",'Base de Dados'!A:A,A137,'Base de Dados'!B:B,B137)/(COUNTIFS('Base de Dados'!DF:DF,"Sim",'Base de Dados'!A:A,A137,'Base de Dados'!B:B,B137)+(COUNTIFS('Base de Dados'!DF:DF,"Não",'Base de Dados'!A:A,A137,'Base de Dados'!B:B,B137)))),"Não Aplica")</f>
        <v>1</v>
      </c>
      <c r="N137" s="14" t="s">
        <v>23434</v>
      </c>
      <c r="O137" s="14" t="s">
        <v>23439</v>
      </c>
      <c r="P137" s="14" t="s">
        <v>25309</v>
      </c>
      <c r="Q137" s="14" t="s">
        <v>23842</v>
      </c>
      <c r="R137" s="14" t="s">
        <v>23434</v>
      </c>
      <c r="S137" s="14" t="s">
        <v>25310</v>
      </c>
      <c r="T137" s="14" t="s">
        <v>23436</v>
      </c>
      <c r="U137" s="14" t="s">
        <v>23434</v>
      </c>
      <c r="V137" s="14" t="s">
        <v>25311</v>
      </c>
      <c r="W137" s="14" t="s">
        <v>22818</v>
      </c>
      <c r="X137" s="80"/>
      <c r="Y137" s="14" t="s">
        <v>23438</v>
      </c>
      <c r="Z137" s="81">
        <v>45691.61482638889</v>
      </c>
      <c r="AA137" s="79">
        <f>IFERROR((COUNTIFS('Base de Dados'!ED:ED,"Sim",'Base de Dados'!A:A,A137,'Base de Dados'!B:B,B137)/(COUNTIFS('Base de Dados'!ED:ED,"Sim",'Base de Dados'!A:A,A137,'Base de Dados'!B:B,B137)+(COUNTIFS('Base de Dados'!ED:ED,"Não",'Base de Dados'!A:A,A137,'Base de Dados'!B:B,B137)))),"Não Aplica")</f>
        <v>1</v>
      </c>
      <c r="AB137" s="14" t="s">
        <v>23434</v>
      </c>
      <c r="AC137" s="14" t="s">
        <v>25312</v>
      </c>
      <c r="AD137" s="14" t="s">
        <v>23842</v>
      </c>
      <c r="AE137" s="14" t="s">
        <v>23434</v>
      </c>
      <c r="AF137" s="14" t="s">
        <v>25313</v>
      </c>
      <c r="AG137" s="14" t="s">
        <v>22818</v>
      </c>
      <c r="AH137" s="80"/>
      <c r="AI137" s="14" t="s">
        <v>23438</v>
      </c>
      <c r="AJ137" s="81">
        <v>45692.543958333335</v>
      </c>
      <c r="AK137" s="82" t="s">
        <v>23446</v>
      </c>
      <c r="AL137" s="14" t="s">
        <v>23434</v>
      </c>
      <c r="AM137" s="14" t="s">
        <v>23448</v>
      </c>
      <c r="AN137" s="14" t="s">
        <v>25314</v>
      </c>
      <c r="AO137" s="14" t="s">
        <v>23848</v>
      </c>
      <c r="AP137" s="14" t="s">
        <v>23434</v>
      </c>
      <c r="AQ137" s="14" t="s">
        <v>23439</v>
      </c>
      <c r="AR137" s="14" t="s">
        <v>25315</v>
      </c>
      <c r="AS137" s="14" t="s">
        <v>23842</v>
      </c>
      <c r="AT137" s="14" t="s">
        <v>23434</v>
      </c>
      <c r="AU137" s="14" t="s">
        <v>23453</v>
      </c>
      <c r="AV137" s="14" t="s">
        <v>25316</v>
      </c>
      <c r="AW137" s="14" t="s">
        <v>23455</v>
      </c>
      <c r="AX137" s="14" t="s">
        <v>23434</v>
      </c>
      <c r="AY137" s="14" t="s">
        <v>23451</v>
      </c>
      <c r="AZ137" s="14" t="s">
        <v>25317</v>
      </c>
      <c r="BA137" s="14" t="s">
        <v>22818</v>
      </c>
      <c r="BB137" s="80"/>
      <c r="BC137" s="14" t="s">
        <v>23438</v>
      </c>
      <c r="BD137" s="81">
        <v>45721.31858796296</v>
      </c>
      <c r="BE137" s="79">
        <f>IFERROR((COUNTIFS('Base de Dados'!FD:FD,"Sim",'Base de Dados'!A:A,A137,'Base de Dados'!B:B,B137)/(COUNTIFS('Base de Dados'!FD:FD,"Sim",'Base de Dados'!A:A,A137,'Base de Dados'!B:B,B137)+(COUNTIFS('Base de Dados'!FD:FD,"Não",'Base de Dados'!A:A,A137,'Base de Dados'!B:B,B137)))),"Não Aplica")</f>
        <v>1</v>
      </c>
      <c r="BF137" s="14" t="s">
        <v>23434</v>
      </c>
      <c r="BG137" s="14" t="s">
        <v>23439</v>
      </c>
      <c r="BH137" s="14" t="s">
        <v>25318</v>
      </c>
      <c r="BI137" s="14" t="s">
        <v>23842</v>
      </c>
      <c r="BJ137" s="80"/>
      <c r="BK137" s="80"/>
      <c r="BL137" s="80"/>
      <c r="BM137" s="80"/>
      <c r="BN137" s="14" t="s">
        <v>23434</v>
      </c>
      <c r="BO137" s="14" t="s">
        <v>23453</v>
      </c>
      <c r="BP137" s="14" t="s">
        <v>25319</v>
      </c>
      <c r="BQ137" s="14" t="s">
        <v>23455</v>
      </c>
      <c r="BR137" s="14" t="s">
        <v>23434</v>
      </c>
      <c r="BS137" s="14" t="s">
        <v>23451</v>
      </c>
      <c r="BT137" s="14" t="s">
        <v>25320</v>
      </c>
      <c r="BU137" s="14" t="s">
        <v>22818</v>
      </c>
      <c r="BV137" s="80"/>
      <c r="BW137" s="14" t="s">
        <v>23438</v>
      </c>
      <c r="BX137" s="81">
        <v>45721.59086805556</v>
      </c>
      <c r="BY137" s="82" t="s">
        <v>23446</v>
      </c>
      <c r="BZ137" s="15"/>
      <c r="CA137" s="15"/>
      <c r="CB137" s="15"/>
      <c r="CC137" s="15"/>
      <c r="CD137" s="80"/>
      <c r="CE137" s="80"/>
      <c r="CF137" s="80"/>
      <c r="CG137" s="80"/>
      <c r="CH137" s="15"/>
      <c r="CI137" s="15"/>
      <c r="CJ137" s="15"/>
      <c r="CK137" s="15"/>
      <c r="CL137" s="15"/>
      <c r="CM137" s="15"/>
      <c r="CN137" s="15"/>
      <c r="CO137" s="15"/>
      <c r="CP137" s="80"/>
      <c r="CQ137" s="80" t="s">
        <v>23459</v>
      </c>
      <c r="CR137" s="83"/>
      <c r="CS137" s="84"/>
    </row>
    <row r="138">
      <c r="A138" s="78" t="s">
        <v>547</v>
      </c>
      <c r="B138" s="78" t="s">
        <v>17745</v>
      </c>
      <c r="C138" s="79">
        <f>IFERROR((COUNTIFS('Base de Dados'!BT:BT,"Sim",'Base de Dados'!A:A,A138,'Base de Dados'!B:B,B138)/(COUNTIFS('Base de Dados'!BT:BT,"Sim",'Base de Dados'!A:A,A138,'Base de Dados'!B:B,B138)+(COUNTIFS('Base de Dados'!BT:BT,"Não",'Base de Dados'!A:A,A138,'Base de Dados'!B:B,B138)))),"Não Aplica")</f>
        <v>1</v>
      </c>
      <c r="D138" s="14" t="s">
        <v>23434</v>
      </c>
      <c r="E138" s="14" t="s">
        <v>25321</v>
      </c>
      <c r="F138" s="14" t="s">
        <v>23436</v>
      </c>
      <c r="G138" s="14" t="s">
        <v>23434</v>
      </c>
      <c r="H138" s="14" t="s">
        <v>25322</v>
      </c>
      <c r="I138" s="14" t="s">
        <v>22818</v>
      </c>
      <c r="J138" s="80"/>
      <c r="K138" s="14" t="s">
        <v>23438</v>
      </c>
      <c r="L138" s="81">
        <v>45687.393125</v>
      </c>
      <c r="M138" s="79">
        <f>IFERROR((COUNTIFS('Base de Dados'!DF:DF,"Sim",'Base de Dados'!A:A,A138,'Base de Dados'!B:B,B138)/(COUNTIFS('Base de Dados'!DF:DF,"Sim",'Base de Dados'!A:A,A138,'Base de Dados'!B:B,B138)+(COUNTIFS('Base de Dados'!DF:DF,"Não",'Base de Dados'!A:A,A138,'Base de Dados'!B:B,B138)))),"Não Aplica")</f>
        <v>1</v>
      </c>
      <c r="N138" s="14" t="s">
        <v>23434</v>
      </c>
      <c r="O138" s="14" t="s">
        <v>23439</v>
      </c>
      <c r="P138" s="14" t="s">
        <v>25323</v>
      </c>
      <c r="Q138" s="14" t="s">
        <v>23842</v>
      </c>
      <c r="R138" s="14" t="s">
        <v>23434</v>
      </c>
      <c r="S138" s="14" t="s">
        <v>25324</v>
      </c>
      <c r="T138" s="14" t="s">
        <v>23436</v>
      </c>
      <c r="U138" s="14" t="s">
        <v>23434</v>
      </c>
      <c r="V138" s="14" t="s">
        <v>25325</v>
      </c>
      <c r="W138" s="14" t="s">
        <v>22818</v>
      </c>
      <c r="X138" s="80"/>
      <c r="Y138" s="14" t="s">
        <v>23438</v>
      </c>
      <c r="Z138" s="81">
        <v>45691.61486111111</v>
      </c>
      <c r="AA138" s="79">
        <f>IFERROR((COUNTIFS('Base de Dados'!ED:ED,"Sim",'Base de Dados'!A:A,A138,'Base de Dados'!B:B,B138)/(COUNTIFS('Base de Dados'!ED:ED,"Sim",'Base de Dados'!A:A,A138,'Base de Dados'!B:B,B138)+(COUNTIFS('Base de Dados'!ED:ED,"Não",'Base de Dados'!A:A,A138,'Base de Dados'!B:B,B138)))),"Não Aplica")</f>
        <v>1</v>
      </c>
      <c r="AB138" s="14" t="s">
        <v>23434</v>
      </c>
      <c r="AC138" s="14" t="s">
        <v>25326</v>
      </c>
      <c r="AD138" s="14" t="s">
        <v>23842</v>
      </c>
      <c r="AE138" s="14" t="s">
        <v>23434</v>
      </c>
      <c r="AF138" s="14" t="s">
        <v>25327</v>
      </c>
      <c r="AG138" s="14" t="s">
        <v>22818</v>
      </c>
      <c r="AH138" s="80"/>
      <c r="AI138" s="14" t="s">
        <v>23438</v>
      </c>
      <c r="AJ138" s="81">
        <v>45692.54398148148</v>
      </c>
      <c r="AK138" s="82" t="s">
        <v>23446</v>
      </c>
      <c r="AL138" s="14" t="s">
        <v>23434</v>
      </c>
      <c r="AM138" s="14" t="s">
        <v>23448</v>
      </c>
      <c r="AN138" s="14" t="s">
        <v>25328</v>
      </c>
      <c r="AO138" s="14" t="s">
        <v>23848</v>
      </c>
      <c r="AP138" s="14" t="s">
        <v>23434</v>
      </c>
      <c r="AQ138" s="14" t="s">
        <v>23439</v>
      </c>
      <c r="AR138" s="14" t="s">
        <v>25329</v>
      </c>
      <c r="AS138" s="14" t="s">
        <v>23842</v>
      </c>
      <c r="AT138" s="14" t="s">
        <v>23434</v>
      </c>
      <c r="AU138" s="14" t="s">
        <v>23453</v>
      </c>
      <c r="AV138" s="14" t="s">
        <v>25330</v>
      </c>
      <c r="AW138" s="14" t="s">
        <v>23455</v>
      </c>
      <c r="AX138" s="14" t="s">
        <v>23434</v>
      </c>
      <c r="AY138" s="14" t="s">
        <v>23451</v>
      </c>
      <c r="AZ138" s="14" t="s">
        <v>25331</v>
      </c>
      <c r="BA138" s="14" t="s">
        <v>22818</v>
      </c>
      <c r="BB138" s="80"/>
      <c r="BC138" s="14" t="s">
        <v>23438</v>
      </c>
      <c r="BD138" s="81">
        <v>45721.317037037035</v>
      </c>
      <c r="BE138" s="79">
        <f>IFERROR((COUNTIFS('Base de Dados'!FD:FD,"Sim",'Base de Dados'!A:A,A138,'Base de Dados'!B:B,B138)/(COUNTIFS('Base de Dados'!FD:FD,"Sim",'Base de Dados'!A:A,A138,'Base de Dados'!B:B,B138)+(COUNTIFS('Base de Dados'!FD:FD,"Não",'Base de Dados'!A:A,A138,'Base de Dados'!B:B,B138)))),"Não Aplica")</f>
        <v>1</v>
      </c>
      <c r="BF138" s="14" t="s">
        <v>23434</v>
      </c>
      <c r="BG138" s="14" t="s">
        <v>23439</v>
      </c>
      <c r="BH138" s="14" t="s">
        <v>25332</v>
      </c>
      <c r="BI138" s="14" t="s">
        <v>23842</v>
      </c>
      <c r="BJ138" s="80"/>
      <c r="BK138" s="80"/>
      <c r="BL138" s="80"/>
      <c r="BM138" s="80"/>
      <c r="BN138" s="14" t="s">
        <v>23434</v>
      </c>
      <c r="BO138" s="14" t="s">
        <v>23453</v>
      </c>
      <c r="BP138" s="14" t="s">
        <v>25333</v>
      </c>
      <c r="BQ138" s="14" t="s">
        <v>23455</v>
      </c>
      <c r="BR138" s="14" t="s">
        <v>23434</v>
      </c>
      <c r="BS138" s="14" t="s">
        <v>23451</v>
      </c>
      <c r="BT138" s="14" t="s">
        <v>25334</v>
      </c>
      <c r="BU138" s="14" t="s">
        <v>22818</v>
      </c>
      <c r="BV138" s="80"/>
      <c r="BW138" s="14" t="s">
        <v>23438</v>
      </c>
      <c r="BX138" s="81">
        <v>45723.33020833333</v>
      </c>
      <c r="BY138" s="82" t="s">
        <v>23446</v>
      </c>
      <c r="BZ138" s="15"/>
      <c r="CA138" s="15"/>
      <c r="CB138" s="15"/>
      <c r="CC138" s="15"/>
      <c r="CD138" s="80"/>
      <c r="CE138" s="80"/>
      <c r="CF138" s="80"/>
      <c r="CG138" s="80"/>
      <c r="CH138" s="15"/>
      <c r="CI138" s="15"/>
      <c r="CJ138" s="15"/>
      <c r="CK138" s="15"/>
      <c r="CL138" s="15"/>
      <c r="CM138" s="15"/>
      <c r="CN138" s="15"/>
      <c r="CO138" s="15"/>
      <c r="CP138" s="80"/>
      <c r="CQ138" s="80" t="s">
        <v>23459</v>
      </c>
      <c r="CR138" s="83"/>
      <c r="CS138" s="84"/>
    </row>
    <row r="139">
      <c r="A139" s="78" t="s">
        <v>547</v>
      </c>
      <c r="B139" s="78" t="s">
        <v>17789</v>
      </c>
      <c r="C139" s="79">
        <f>IFERROR((COUNTIFS('Base de Dados'!BT:BT,"Sim",'Base de Dados'!A:A,A139,'Base de Dados'!B:B,B139)/(COUNTIFS('Base de Dados'!BT:BT,"Sim",'Base de Dados'!A:A,A139,'Base de Dados'!B:B,B139)+(COUNTIFS('Base de Dados'!BT:BT,"Não",'Base de Dados'!A:A,A139,'Base de Dados'!B:B,B139)))),"Não Aplica")</f>
        <v>1</v>
      </c>
      <c r="D139" s="14" t="s">
        <v>23434</v>
      </c>
      <c r="E139" s="14" t="s">
        <v>25335</v>
      </c>
      <c r="F139" s="14" t="s">
        <v>23436</v>
      </c>
      <c r="G139" s="14" t="s">
        <v>23434</v>
      </c>
      <c r="H139" s="14" t="s">
        <v>25336</v>
      </c>
      <c r="I139" s="14" t="s">
        <v>22818</v>
      </c>
      <c r="J139" s="80"/>
      <c r="K139" s="14" t="s">
        <v>23438</v>
      </c>
      <c r="L139" s="81">
        <v>45687.66210648148</v>
      </c>
      <c r="M139" s="79">
        <f>IFERROR((COUNTIFS('Base de Dados'!DF:DF,"Sim",'Base de Dados'!A:A,A139,'Base de Dados'!B:B,B139)/(COUNTIFS('Base de Dados'!DF:DF,"Sim",'Base de Dados'!A:A,A139,'Base de Dados'!B:B,B139)+(COUNTIFS('Base de Dados'!DF:DF,"Não",'Base de Dados'!A:A,A139,'Base de Dados'!B:B,B139)))),"Não Aplica")</f>
        <v>1</v>
      </c>
      <c r="N139" s="14" t="s">
        <v>23434</v>
      </c>
      <c r="O139" s="14" t="s">
        <v>23439</v>
      </c>
      <c r="P139" s="14" t="s">
        <v>25337</v>
      </c>
      <c r="Q139" s="14" t="s">
        <v>23842</v>
      </c>
      <c r="R139" s="14" t="s">
        <v>23434</v>
      </c>
      <c r="S139" s="14" t="s">
        <v>25338</v>
      </c>
      <c r="T139" s="14" t="s">
        <v>23436</v>
      </c>
      <c r="U139" s="14" t="s">
        <v>23434</v>
      </c>
      <c r="V139" s="14" t="s">
        <v>25339</v>
      </c>
      <c r="W139" s="14" t="s">
        <v>22818</v>
      </c>
      <c r="X139" s="80"/>
      <c r="Y139" s="14" t="s">
        <v>23438</v>
      </c>
      <c r="Z139" s="81">
        <v>45691.61488425926</v>
      </c>
      <c r="AA139" s="79">
        <f>IFERROR((COUNTIFS('Base de Dados'!ED:ED,"Sim",'Base de Dados'!A:A,A139,'Base de Dados'!B:B,B139)/(COUNTIFS('Base de Dados'!ED:ED,"Sim",'Base de Dados'!A:A,A139,'Base de Dados'!B:B,B139)+(COUNTIFS('Base de Dados'!ED:ED,"Não",'Base de Dados'!A:A,A139,'Base de Dados'!B:B,B139)))),"Não Aplica")</f>
        <v>1</v>
      </c>
      <c r="AB139" s="14" t="s">
        <v>23434</v>
      </c>
      <c r="AC139" s="14" t="s">
        <v>25340</v>
      </c>
      <c r="AD139" s="14" t="s">
        <v>23842</v>
      </c>
      <c r="AE139" s="14" t="s">
        <v>23434</v>
      </c>
      <c r="AF139" s="14" t="s">
        <v>25341</v>
      </c>
      <c r="AG139" s="14" t="s">
        <v>22818</v>
      </c>
      <c r="AH139" s="80"/>
      <c r="AI139" s="14" t="s">
        <v>23438</v>
      </c>
      <c r="AJ139" s="81">
        <v>45692.544016203705</v>
      </c>
      <c r="AK139" s="82" t="s">
        <v>23446</v>
      </c>
      <c r="AL139" s="14" t="s">
        <v>23434</v>
      </c>
      <c r="AM139" s="14" t="s">
        <v>23448</v>
      </c>
      <c r="AN139" s="14" t="s">
        <v>25342</v>
      </c>
      <c r="AO139" s="14" t="s">
        <v>23848</v>
      </c>
      <c r="AP139" s="14" t="s">
        <v>23434</v>
      </c>
      <c r="AQ139" s="14" t="s">
        <v>23439</v>
      </c>
      <c r="AR139" s="14" t="s">
        <v>25343</v>
      </c>
      <c r="AS139" s="14" t="s">
        <v>23842</v>
      </c>
      <c r="AT139" s="14" t="s">
        <v>23434</v>
      </c>
      <c r="AU139" s="14" t="s">
        <v>23453</v>
      </c>
      <c r="AV139" s="14" t="s">
        <v>25344</v>
      </c>
      <c r="AW139" s="14" t="s">
        <v>23455</v>
      </c>
      <c r="AX139" s="14" t="s">
        <v>23434</v>
      </c>
      <c r="AY139" s="14" t="s">
        <v>23451</v>
      </c>
      <c r="AZ139" s="14" t="s">
        <v>25345</v>
      </c>
      <c r="BA139" s="14" t="s">
        <v>22818</v>
      </c>
      <c r="BB139" s="80"/>
      <c r="BC139" s="14" t="s">
        <v>23438</v>
      </c>
      <c r="BD139" s="81">
        <v>45720.57340277778</v>
      </c>
      <c r="BE139" s="79">
        <f>IFERROR((COUNTIFS('Base de Dados'!FD:FD,"Sim",'Base de Dados'!A:A,A139,'Base de Dados'!B:B,B139)/(COUNTIFS('Base de Dados'!FD:FD,"Sim",'Base de Dados'!A:A,A139,'Base de Dados'!B:B,B139)+(COUNTIFS('Base de Dados'!FD:FD,"Não",'Base de Dados'!A:A,A139,'Base de Dados'!B:B,B139)))),"Não Aplica")</f>
        <v>1</v>
      </c>
      <c r="BF139" s="14" t="s">
        <v>23434</v>
      </c>
      <c r="BG139" s="14" t="s">
        <v>23439</v>
      </c>
      <c r="BH139" s="14" t="s">
        <v>25346</v>
      </c>
      <c r="BI139" s="14" t="s">
        <v>23842</v>
      </c>
      <c r="BJ139" s="80"/>
      <c r="BK139" s="80"/>
      <c r="BL139" s="80"/>
      <c r="BM139" s="80"/>
      <c r="BN139" s="14" t="s">
        <v>23434</v>
      </c>
      <c r="BO139" s="14" t="s">
        <v>23453</v>
      </c>
      <c r="BP139" s="14" t="s">
        <v>25347</v>
      </c>
      <c r="BQ139" s="14" t="s">
        <v>23455</v>
      </c>
      <c r="BR139" s="14" t="s">
        <v>23434</v>
      </c>
      <c r="BS139" s="14" t="s">
        <v>23451</v>
      </c>
      <c r="BT139" s="14" t="s">
        <v>25348</v>
      </c>
      <c r="BU139" s="14" t="s">
        <v>22818</v>
      </c>
      <c r="BV139" s="80"/>
      <c r="BW139" s="14" t="s">
        <v>23438</v>
      </c>
      <c r="BX139" s="81">
        <v>45723.330243055556</v>
      </c>
      <c r="BY139" s="82" t="s">
        <v>23446</v>
      </c>
      <c r="BZ139" s="15"/>
      <c r="CA139" s="15"/>
      <c r="CB139" s="15"/>
      <c r="CC139" s="15"/>
      <c r="CD139" s="80"/>
      <c r="CE139" s="80"/>
      <c r="CF139" s="80"/>
      <c r="CG139" s="80"/>
      <c r="CH139" s="15"/>
      <c r="CI139" s="15"/>
      <c r="CJ139" s="15"/>
      <c r="CK139" s="15"/>
      <c r="CL139" s="15"/>
      <c r="CM139" s="15"/>
      <c r="CN139" s="15"/>
      <c r="CO139" s="15"/>
      <c r="CP139" s="80"/>
      <c r="CQ139" s="80" t="s">
        <v>23459</v>
      </c>
      <c r="CR139" s="83"/>
      <c r="CS139" s="84"/>
    </row>
    <row r="140">
      <c r="A140" s="78" t="s">
        <v>547</v>
      </c>
      <c r="B140" s="86" t="s">
        <v>22116</v>
      </c>
      <c r="C140" s="79">
        <f>IFERROR((COUNTIFS('Base de Dados'!BT:BT,"Sim",'Base de Dados'!A:A,A140,'Base de Dados'!B:B,B140)/(COUNTIFS('Base de Dados'!BT:BT,"Sim",'Base de Dados'!A:A,A140,'Base de Dados'!B:B,B140)+(COUNTIFS('Base de Dados'!BT:BT,"Não",'Base de Dados'!A:A,A140,'Base de Dados'!B:B,B140)))),"Não Aplica")</f>
        <v>1</v>
      </c>
      <c r="D140" s="14" t="s">
        <v>23434</v>
      </c>
      <c r="E140" s="14" t="s">
        <v>25349</v>
      </c>
      <c r="F140" s="14" t="s">
        <v>23436</v>
      </c>
      <c r="G140" s="14" t="s">
        <v>23434</v>
      </c>
      <c r="H140" s="14" t="s">
        <v>25350</v>
      </c>
      <c r="I140" s="14" t="s">
        <v>22818</v>
      </c>
      <c r="J140" s="80"/>
      <c r="K140" s="14" t="s">
        <v>23438</v>
      </c>
      <c r="L140" s="81">
        <v>45687.393217592595</v>
      </c>
      <c r="M140" s="79">
        <f>IFERROR((COUNTIFS('Base de Dados'!DF:DF,"Sim",'Base de Dados'!A:A,A140,'Base de Dados'!B:B,B140)/(COUNTIFS('Base de Dados'!DF:DF,"Sim",'Base de Dados'!A:A,A140,'Base de Dados'!B:B,B140)+(COUNTIFS('Base de Dados'!DF:DF,"Não",'Base de Dados'!A:A,A140,'Base de Dados'!B:B,B140)))),"Não Aplica")</f>
        <v>1</v>
      </c>
      <c r="N140" s="14" t="s">
        <v>23434</v>
      </c>
      <c r="O140" s="14" t="s">
        <v>23439</v>
      </c>
      <c r="P140" s="14" t="s">
        <v>25351</v>
      </c>
      <c r="Q140" s="14" t="s">
        <v>23842</v>
      </c>
      <c r="R140" s="14" t="s">
        <v>23434</v>
      </c>
      <c r="S140" s="14" t="s">
        <v>25352</v>
      </c>
      <c r="T140" s="14" t="s">
        <v>23436</v>
      </c>
      <c r="U140" s="14" t="s">
        <v>23434</v>
      </c>
      <c r="V140" s="14" t="s">
        <v>25353</v>
      </c>
      <c r="W140" s="14" t="s">
        <v>22818</v>
      </c>
      <c r="X140" s="80"/>
      <c r="Y140" s="14" t="s">
        <v>23438</v>
      </c>
      <c r="Z140" s="81">
        <v>45691.615011574075</v>
      </c>
      <c r="AA140" s="79">
        <f>IFERROR((COUNTIFS('Base de Dados'!ED:ED,"Sim",'Base de Dados'!A:A,A140,'Base de Dados'!B:B,B140)/(COUNTIFS('Base de Dados'!ED:ED,"Sim",'Base de Dados'!A:A,A140,'Base de Dados'!B:B,B140)+(COUNTIFS('Base de Dados'!ED:ED,"Não",'Base de Dados'!A:A,A140,'Base de Dados'!B:B,B140)))),"Não Aplica")</f>
        <v>1</v>
      </c>
      <c r="AB140" s="14" t="s">
        <v>23434</v>
      </c>
      <c r="AC140" s="14" t="s">
        <v>25354</v>
      </c>
      <c r="AD140" s="14" t="s">
        <v>23842</v>
      </c>
      <c r="AE140" s="14" t="s">
        <v>23434</v>
      </c>
      <c r="AF140" s="14" t="s">
        <v>25355</v>
      </c>
      <c r="AG140" s="14" t="s">
        <v>22818</v>
      </c>
      <c r="AH140" s="80"/>
      <c r="AI140" s="14" t="s">
        <v>23438</v>
      </c>
      <c r="AJ140" s="81">
        <v>45692.5440625</v>
      </c>
      <c r="AK140" s="82" t="s">
        <v>23446</v>
      </c>
      <c r="AL140" s="14" t="s">
        <v>23434</v>
      </c>
      <c r="AM140" s="14" t="s">
        <v>23448</v>
      </c>
      <c r="AN140" s="14" t="s">
        <v>25356</v>
      </c>
      <c r="AO140" s="14" t="s">
        <v>23848</v>
      </c>
      <c r="AP140" s="14" t="s">
        <v>23434</v>
      </c>
      <c r="AQ140" s="14" t="s">
        <v>23439</v>
      </c>
      <c r="AR140" s="14" t="s">
        <v>25357</v>
      </c>
      <c r="AS140" s="14" t="s">
        <v>23842</v>
      </c>
      <c r="AT140" s="14" t="s">
        <v>23434</v>
      </c>
      <c r="AU140" s="14" t="s">
        <v>23453</v>
      </c>
      <c r="AV140" s="14" t="s">
        <v>25358</v>
      </c>
      <c r="AW140" s="14" t="s">
        <v>23455</v>
      </c>
      <c r="AX140" s="14" t="s">
        <v>23434</v>
      </c>
      <c r="AY140" s="14" t="s">
        <v>23451</v>
      </c>
      <c r="AZ140" s="14" t="s">
        <v>25359</v>
      </c>
      <c r="BA140" s="14" t="s">
        <v>22818</v>
      </c>
      <c r="BB140" s="80"/>
      <c r="BC140" s="14" t="s">
        <v>23438</v>
      </c>
      <c r="BD140" s="81">
        <v>45720.57344907407</v>
      </c>
      <c r="BE140" s="79" t="str">
        <f>IFERROR((COUNTIFS('Base de Dados'!FD:FD,"Sim",'Base de Dados'!A:A,A140,'Base de Dados'!B:B,B140)/(COUNTIFS('Base de Dados'!FD:FD,"Sim",'Base de Dados'!A:A,A140,'Base de Dados'!B:B,B140)+(COUNTIFS('Base de Dados'!FD:FD,"Não",'Base de Dados'!A:A,A140,'Base de Dados'!B:B,B140)))),"Não Aplica")</f>
        <v>Não Aplica</v>
      </c>
      <c r="BF140" s="14" t="s">
        <v>228</v>
      </c>
      <c r="BG140" s="14" t="s">
        <v>23439</v>
      </c>
      <c r="BH140" s="14" t="s">
        <v>25360</v>
      </c>
      <c r="BI140" s="14" t="s">
        <v>23842</v>
      </c>
      <c r="BJ140" s="80"/>
      <c r="BK140" s="80"/>
      <c r="BL140" s="80"/>
      <c r="BM140" s="80"/>
      <c r="BN140" s="14" t="s">
        <v>228</v>
      </c>
      <c r="BO140" s="14" t="s">
        <v>23453</v>
      </c>
      <c r="BP140" s="14" t="s">
        <v>25361</v>
      </c>
      <c r="BQ140" s="14" t="s">
        <v>23455</v>
      </c>
      <c r="BR140" s="14" t="s">
        <v>228</v>
      </c>
      <c r="BS140" s="15"/>
      <c r="BT140" s="14" t="s">
        <v>25362</v>
      </c>
      <c r="BU140" s="14" t="s">
        <v>22818</v>
      </c>
      <c r="BV140" s="80"/>
      <c r="BW140" s="14" t="s">
        <v>23438</v>
      </c>
      <c r="BX140" s="81">
        <v>45723.61107638889</v>
      </c>
      <c r="BY140" s="82" t="s">
        <v>23446</v>
      </c>
      <c r="BZ140" s="15"/>
      <c r="CA140" s="15"/>
      <c r="CB140" s="15"/>
      <c r="CC140" s="15"/>
      <c r="CD140" s="80"/>
      <c r="CE140" s="80"/>
      <c r="CF140" s="80"/>
      <c r="CG140" s="80"/>
      <c r="CH140" s="15"/>
      <c r="CI140" s="15"/>
      <c r="CJ140" s="15"/>
      <c r="CK140" s="15"/>
      <c r="CL140" s="15"/>
      <c r="CM140" s="15"/>
      <c r="CN140" s="15"/>
      <c r="CO140" s="15"/>
      <c r="CP140" s="80"/>
      <c r="CQ140" s="80" t="s">
        <v>23459</v>
      </c>
      <c r="CR140" s="83"/>
      <c r="CS140" s="84"/>
    </row>
    <row r="141">
      <c r="A141" s="78" t="s">
        <v>234</v>
      </c>
      <c r="B141" s="86" t="s">
        <v>8041</v>
      </c>
      <c r="C141" s="79">
        <f>IFERROR((COUNTIFS('Base de Dados'!BT:BT,"Sim",'Base de Dados'!A:A,A141,'Base de Dados'!B:B,B141)/(COUNTIFS('Base de Dados'!BT:BT,"Sim",'Base de Dados'!A:A,A141,'Base de Dados'!B:B,B141)+(COUNTIFS('Base de Dados'!BT:BT,"Não",'Base de Dados'!A:A,A141,'Base de Dados'!B:B,B141)))),"Não Aplica")</f>
        <v>1</v>
      </c>
      <c r="D141" s="14" t="s">
        <v>23434</v>
      </c>
      <c r="E141" s="14" t="s">
        <v>25363</v>
      </c>
      <c r="F141" s="14" t="s">
        <v>23436</v>
      </c>
      <c r="G141" s="14" t="s">
        <v>23434</v>
      </c>
      <c r="H141" s="14" t="s">
        <v>25364</v>
      </c>
      <c r="I141" s="14" t="s">
        <v>22818</v>
      </c>
      <c r="J141" s="80"/>
      <c r="K141" s="14" t="s">
        <v>23438</v>
      </c>
      <c r="L141" s="81">
        <v>45687.6622337963</v>
      </c>
      <c r="M141" s="79">
        <f>IFERROR((COUNTIFS('Base de Dados'!DF:DF,"Sim",'Base de Dados'!A:A,A141,'Base de Dados'!B:B,B141)/(COUNTIFS('Base de Dados'!DF:DF,"Sim",'Base de Dados'!A:A,A141,'Base de Dados'!B:B,B141)+(COUNTIFS('Base de Dados'!DF:DF,"Não",'Base de Dados'!A:A,A141,'Base de Dados'!B:B,B141)))),"Não Aplica")</f>
        <v>1</v>
      </c>
      <c r="N141" s="14" t="s">
        <v>23434</v>
      </c>
      <c r="O141" s="14" t="s">
        <v>23439</v>
      </c>
      <c r="P141" s="14" t="s">
        <v>25365</v>
      </c>
      <c r="Q141" s="14" t="s">
        <v>23842</v>
      </c>
      <c r="R141" s="14" t="s">
        <v>23434</v>
      </c>
      <c r="S141" s="14" t="s">
        <v>25366</v>
      </c>
      <c r="T141" s="14" t="s">
        <v>23436</v>
      </c>
      <c r="U141" s="14" t="s">
        <v>23434</v>
      </c>
      <c r="V141" s="14" t="s">
        <v>25367</v>
      </c>
      <c r="W141" s="14" t="s">
        <v>22818</v>
      </c>
      <c r="X141" s="80"/>
      <c r="Y141" s="14" t="s">
        <v>23438</v>
      </c>
      <c r="Z141" s="81">
        <v>45691.61530092593</v>
      </c>
      <c r="AA141" s="79" t="str">
        <f>IFERROR((COUNTIFS('Base de Dados'!ED:ED,"Sim",'Base de Dados'!A:A,A141,'Base de Dados'!B:B,B141)/(COUNTIFS('Base de Dados'!ED:ED,"Sim",'Base de Dados'!A:A,A141,'Base de Dados'!B:B,B141)+(COUNTIFS('Base de Dados'!ED:ED,"Não",'Base de Dados'!A:A,A141,'Base de Dados'!B:B,B141)))),"Não Aplica")</f>
        <v>Não Aplica</v>
      </c>
      <c r="AB141" s="14" t="s">
        <v>228</v>
      </c>
      <c r="AC141" s="14" t="s">
        <v>25368</v>
      </c>
      <c r="AD141" s="14" t="s">
        <v>23842</v>
      </c>
      <c r="AE141" s="14" t="s">
        <v>228</v>
      </c>
      <c r="AF141" s="14" t="s">
        <v>25369</v>
      </c>
      <c r="AG141" s="14" t="s">
        <v>22818</v>
      </c>
      <c r="AH141" s="80"/>
      <c r="AI141" s="14" t="s">
        <v>23438</v>
      </c>
      <c r="AJ141" s="81">
        <v>45692.63688657407</v>
      </c>
      <c r="AK141" s="82" t="s">
        <v>23446</v>
      </c>
      <c r="AL141" s="14" t="s">
        <v>23434</v>
      </c>
      <c r="AM141" s="14" t="s">
        <v>23439</v>
      </c>
      <c r="AN141" s="14" t="s">
        <v>25370</v>
      </c>
      <c r="AO141" s="14" t="s">
        <v>23842</v>
      </c>
      <c r="AP141" s="14" t="s">
        <v>23434</v>
      </c>
      <c r="AQ141" s="14" t="s">
        <v>23448</v>
      </c>
      <c r="AR141" s="14" t="s">
        <v>25371</v>
      </c>
      <c r="AS141" s="14" t="s">
        <v>23848</v>
      </c>
      <c r="AT141" s="14" t="s">
        <v>23434</v>
      </c>
      <c r="AU141" s="14" t="s">
        <v>23453</v>
      </c>
      <c r="AV141" s="14" t="s">
        <v>25372</v>
      </c>
      <c r="AW141" s="14" t="s">
        <v>23455</v>
      </c>
      <c r="AX141" s="14" t="s">
        <v>23434</v>
      </c>
      <c r="AY141" s="14" t="s">
        <v>23451</v>
      </c>
      <c r="AZ141" s="14" t="s">
        <v>25373</v>
      </c>
      <c r="BA141" s="14" t="s">
        <v>22818</v>
      </c>
      <c r="BB141" s="80"/>
      <c r="BC141" s="14" t="s">
        <v>23438</v>
      </c>
      <c r="BD141" s="81">
        <v>45721.59034722222</v>
      </c>
      <c r="BE141" s="79">
        <f>IFERROR((COUNTIFS('Base de Dados'!FD:FD,"Sim",'Base de Dados'!A:A,A141,'Base de Dados'!B:B,B141)/(COUNTIFS('Base de Dados'!FD:FD,"Sim",'Base de Dados'!A:A,A141,'Base de Dados'!B:B,B141)+(COUNTIFS('Base de Dados'!FD:FD,"Não",'Base de Dados'!A:A,A141,'Base de Dados'!B:B,B141)))),"Não Aplica")</f>
        <v>1</v>
      </c>
      <c r="BF141" s="14" t="s">
        <v>23434</v>
      </c>
      <c r="BG141" s="14" t="s">
        <v>23439</v>
      </c>
      <c r="BH141" s="14" t="s">
        <v>25374</v>
      </c>
      <c r="BI141" s="14" t="s">
        <v>23842</v>
      </c>
      <c r="BJ141" s="80"/>
      <c r="BK141" s="80"/>
      <c r="BL141" s="80"/>
      <c r="BM141" s="80"/>
      <c r="BN141" s="14" t="s">
        <v>23434</v>
      </c>
      <c r="BO141" s="14" t="s">
        <v>23453</v>
      </c>
      <c r="BP141" s="14" t="s">
        <v>25375</v>
      </c>
      <c r="BQ141" s="14" t="s">
        <v>23455</v>
      </c>
      <c r="BR141" s="14" t="s">
        <v>23434</v>
      </c>
      <c r="BS141" s="14" t="s">
        <v>23451</v>
      </c>
      <c r="BT141" s="14" t="s">
        <v>25376</v>
      </c>
      <c r="BU141" s="14" t="s">
        <v>22818</v>
      </c>
      <c r="BV141" s="80"/>
      <c r="BW141" s="14" t="s">
        <v>23438</v>
      </c>
      <c r="BX141" s="81">
        <v>45723.33118055556</v>
      </c>
      <c r="BY141" s="82" t="s">
        <v>23446</v>
      </c>
      <c r="BZ141" s="15"/>
      <c r="CA141" s="15"/>
      <c r="CB141" s="15"/>
      <c r="CC141" s="15"/>
      <c r="CD141" s="80"/>
      <c r="CE141" s="80"/>
      <c r="CF141" s="80"/>
      <c r="CG141" s="80"/>
      <c r="CH141" s="15"/>
      <c r="CI141" s="15"/>
      <c r="CJ141" s="15"/>
      <c r="CK141" s="15"/>
      <c r="CL141" s="15"/>
      <c r="CM141" s="15"/>
      <c r="CN141" s="15"/>
      <c r="CO141" s="15"/>
      <c r="CP141" s="80"/>
      <c r="CQ141" s="80" t="s">
        <v>23459</v>
      </c>
      <c r="CR141" s="83"/>
      <c r="CS141" s="84"/>
    </row>
    <row r="142">
      <c r="A142" s="78" t="s">
        <v>234</v>
      </c>
      <c r="B142" s="78" t="s">
        <v>235</v>
      </c>
      <c r="C142" s="79">
        <f>IFERROR((COUNTIFS('Base de Dados'!BT:BT,"Sim",'Base de Dados'!A:A,A142,'Base de Dados'!B:B,B142)/(COUNTIFS('Base de Dados'!BT:BT,"Sim",'Base de Dados'!A:A,A142,'Base de Dados'!B:B,B142)+(COUNTIFS('Base de Dados'!BT:BT,"Não",'Base de Dados'!A:A,A142,'Base de Dados'!B:B,B142)))),"Não Aplica")</f>
        <v>1</v>
      </c>
      <c r="D142" s="14" t="s">
        <v>23434</v>
      </c>
      <c r="E142" s="14" t="s">
        <v>25377</v>
      </c>
      <c r="F142" s="14" t="s">
        <v>23436</v>
      </c>
      <c r="G142" s="14" t="s">
        <v>23434</v>
      </c>
      <c r="H142" s="14" t="s">
        <v>25378</v>
      </c>
      <c r="I142" s="14" t="s">
        <v>22818</v>
      </c>
      <c r="J142" s="80"/>
      <c r="K142" s="14" t="s">
        <v>23438</v>
      </c>
      <c r="L142" s="81">
        <v>45687.662835648145</v>
      </c>
      <c r="M142" s="79">
        <f>IFERROR((COUNTIFS('Base de Dados'!DF:DF,"Sim",'Base de Dados'!A:A,A142,'Base de Dados'!B:B,B142)/(COUNTIFS('Base de Dados'!DF:DF,"Sim",'Base de Dados'!A:A,A142,'Base de Dados'!B:B,B142)+(COUNTIFS('Base de Dados'!DF:DF,"Não",'Base de Dados'!A:A,A142,'Base de Dados'!B:B,B142)))),"Não Aplica")</f>
        <v>1</v>
      </c>
      <c r="N142" s="14" t="s">
        <v>23434</v>
      </c>
      <c r="O142" s="14" t="s">
        <v>23439</v>
      </c>
      <c r="P142" s="14" t="s">
        <v>25379</v>
      </c>
      <c r="Q142" s="14" t="s">
        <v>23842</v>
      </c>
      <c r="R142" s="14" t="s">
        <v>23434</v>
      </c>
      <c r="S142" s="14" t="s">
        <v>25380</v>
      </c>
      <c r="T142" s="14" t="s">
        <v>23436</v>
      </c>
      <c r="U142" s="14" t="s">
        <v>23434</v>
      </c>
      <c r="V142" s="14" t="s">
        <v>25381</v>
      </c>
      <c r="W142" s="14" t="s">
        <v>22818</v>
      </c>
      <c r="X142" s="80"/>
      <c r="Y142" s="14" t="s">
        <v>23438</v>
      </c>
      <c r="Z142" s="81">
        <v>45691.615335648145</v>
      </c>
      <c r="AA142" s="79">
        <f>IFERROR((COUNTIFS('Base de Dados'!ED:ED,"Sim",'Base de Dados'!A:A,A142,'Base de Dados'!B:B,B142)/(COUNTIFS('Base de Dados'!ED:ED,"Sim",'Base de Dados'!A:A,A142,'Base de Dados'!B:B,B142)+(COUNTIFS('Base de Dados'!ED:ED,"Não",'Base de Dados'!A:A,A142,'Base de Dados'!B:B,B142)))),"Não Aplica")</f>
        <v>1</v>
      </c>
      <c r="AB142" s="14" t="s">
        <v>23434</v>
      </c>
      <c r="AC142" s="14" t="s">
        <v>25382</v>
      </c>
      <c r="AD142" s="14" t="s">
        <v>23842</v>
      </c>
      <c r="AE142" s="14" t="s">
        <v>23434</v>
      </c>
      <c r="AF142" s="14" t="s">
        <v>25383</v>
      </c>
      <c r="AG142" s="14" t="s">
        <v>22818</v>
      </c>
      <c r="AH142" s="80"/>
      <c r="AI142" s="14" t="s">
        <v>23438</v>
      </c>
      <c r="AJ142" s="81">
        <v>45692.54456018518</v>
      </c>
      <c r="AK142" s="82" t="s">
        <v>23446</v>
      </c>
      <c r="AL142" s="14" t="s">
        <v>23434</v>
      </c>
      <c r="AM142" s="14" t="s">
        <v>23439</v>
      </c>
      <c r="AN142" s="14" t="s">
        <v>25384</v>
      </c>
      <c r="AO142" s="14" t="s">
        <v>23842</v>
      </c>
      <c r="AP142" s="14" t="s">
        <v>23434</v>
      </c>
      <c r="AQ142" s="14" t="s">
        <v>23448</v>
      </c>
      <c r="AR142" s="14" t="s">
        <v>25385</v>
      </c>
      <c r="AS142" s="14" t="s">
        <v>23848</v>
      </c>
      <c r="AT142" s="14" t="s">
        <v>23434</v>
      </c>
      <c r="AU142" s="14" t="s">
        <v>23453</v>
      </c>
      <c r="AV142" s="14" t="s">
        <v>25386</v>
      </c>
      <c r="AW142" s="14" t="s">
        <v>23455</v>
      </c>
      <c r="AX142" s="14" t="s">
        <v>23434</v>
      </c>
      <c r="AY142" s="14" t="s">
        <v>23451</v>
      </c>
      <c r="AZ142" s="14" t="s">
        <v>25387</v>
      </c>
      <c r="BA142" s="14" t="s">
        <v>22818</v>
      </c>
      <c r="BB142" s="80"/>
      <c r="BC142" s="14" t="s">
        <v>23438</v>
      </c>
      <c r="BD142" s="81">
        <v>45720.573483796295</v>
      </c>
      <c r="BE142" s="79">
        <f>IFERROR((COUNTIFS('Base de Dados'!FD:FD,"Sim",'Base de Dados'!A:A,A142,'Base de Dados'!B:B,B142)/(COUNTIFS('Base de Dados'!FD:FD,"Sim",'Base de Dados'!A:A,A142,'Base de Dados'!B:B,B142)+(COUNTIFS('Base de Dados'!FD:FD,"Não",'Base de Dados'!A:A,A142,'Base de Dados'!B:B,B142)))),"Não Aplica")</f>
        <v>1</v>
      </c>
      <c r="BF142" s="14" t="s">
        <v>23434</v>
      </c>
      <c r="BG142" s="14" t="s">
        <v>23439</v>
      </c>
      <c r="BH142" s="14" t="s">
        <v>25388</v>
      </c>
      <c r="BI142" s="14" t="s">
        <v>23842</v>
      </c>
      <c r="BJ142" s="80"/>
      <c r="BK142" s="80"/>
      <c r="BL142" s="80"/>
      <c r="BM142" s="80"/>
      <c r="BN142" s="14" t="s">
        <v>23434</v>
      </c>
      <c r="BO142" s="14" t="s">
        <v>23453</v>
      </c>
      <c r="BP142" s="14" t="s">
        <v>25389</v>
      </c>
      <c r="BQ142" s="14" t="s">
        <v>23455</v>
      </c>
      <c r="BR142" s="14" t="s">
        <v>23434</v>
      </c>
      <c r="BS142" s="14" t="s">
        <v>23451</v>
      </c>
      <c r="BT142" s="14" t="s">
        <v>25390</v>
      </c>
      <c r="BU142" s="14" t="s">
        <v>22818</v>
      </c>
      <c r="BV142" s="80"/>
      <c r="BW142" s="14" t="s">
        <v>23438</v>
      </c>
      <c r="BX142" s="81">
        <v>45723.33121527778</v>
      </c>
      <c r="BY142" s="82" t="s">
        <v>23446</v>
      </c>
      <c r="BZ142" s="15"/>
      <c r="CA142" s="15"/>
      <c r="CB142" s="15"/>
      <c r="CC142" s="15"/>
      <c r="CD142" s="80"/>
      <c r="CE142" s="80"/>
      <c r="CF142" s="80"/>
      <c r="CG142" s="80"/>
      <c r="CH142" s="15"/>
      <c r="CI142" s="15"/>
      <c r="CJ142" s="15"/>
      <c r="CK142" s="15"/>
      <c r="CL142" s="15"/>
      <c r="CM142" s="15"/>
      <c r="CN142" s="15"/>
      <c r="CO142" s="15"/>
      <c r="CP142" s="80"/>
      <c r="CQ142" s="80" t="s">
        <v>23459</v>
      </c>
      <c r="CR142" s="83"/>
      <c r="CS142" s="84"/>
    </row>
    <row r="143">
      <c r="A143" s="78" t="s">
        <v>234</v>
      </c>
      <c r="B143" s="78" t="s">
        <v>249</v>
      </c>
      <c r="C143" s="79">
        <f>IFERROR((COUNTIFS('Base de Dados'!BT:BT,"Sim",'Base de Dados'!A:A,A143,'Base de Dados'!B:B,B143)/(COUNTIFS('Base de Dados'!BT:BT,"Sim",'Base de Dados'!A:A,A143,'Base de Dados'!B:B,B143)+(COUNTIFS('Base de Dados'!BT:BT,"Não",'Base de Dados'!A:A,A143,'Base de Dados'!B:B,B143)))),"Não Aplica")</f>
        <v>1</v>
      </c>
      <c r="D143" s="14" t="s">
        <v>23434</v>
      </c>
      <c r="E143" s="14" t="s">
        <v>25391</v>
      </c>
      <c r="F143" s="14" t="s">
        <v>23436</v>
      </c>
      <c r="G143" s="14" t="s">
        <v>23434</v>
      </c>
      <c r="H143" s="14" t="s">
        <v>25392</v>
      </c>
      <c r="I143" s="14" t="s">
        <v>22818</v>
      </c>
      <c r="J143" s="80"/>
      <c r="K143" s="14" t="s">
        <v>23438</v>
      </c>
      <c r="L143" s="81">
        <v>45687.66226851852</v>
      </c>
      <c r="M143" s="79">
        <f>IFERROR((COUNTIFS('Base de Dados'!DF:DF,"Sim",'Base de Dados'!A:A,A143,'Base de Dados'!B:B,B143)/(COUNTIFS('Base de Dados'!DF:DF,"Sim",'Base de Dados'!A:A,A143,'Base de Dados'!B:B,B143)+(COUNTIFS('Base de Dados'!DF:DF,"Não",'Base de Dados'!A:A,A143,'Base de Dados'!B:B,B143)))),"Não Aplica")</f>
        <v>1</v>
      </c>
      <c r="N143" s="14" t="s">
        <v>23434</v>
      </c>
      <c r="O143" s="14" t="s">
        <v>23439</v>
      </c>
      <c r="P143" s="14" t="s">
        <v>25393</v>
      </c>
      <c r="Q143" s="14" t="s">
        <v>23842</v>
      </c>
      <c r="R143" s="14" t="s">
        <v>23434</v>
      </c>
      <c r="S143" s="14" t="s">
        <v>25394</v>
      </c>
      <c r="T143" s="14" t="s">
        <v>23436</v>
      </c>
      <c r="U143" s="14" t="s">
        <v>23434</v>
      </c>
      <c r="V143" s="14" t="s">
        <v>25395</v>
      </c>
      <c r="W143" s="14" t="s">
        <v>22818</v>
      </c>
      <c r="X143" s="80"/>
      <c r="Y143" s="14" t="s">
        <v>23438</v>
      </c>
      <c r="Z143" s="81">
        <v>45691.61539351852</v>
      </c>
      <c r="AA143" s="79">
        <f>IFERROR((COUNTIFS('Base de Dados'!ED:ED,"Sim",'Base de Dados'!A:A,A143,'Base de Dados'!B:B,B143)/(COUNTIFS('Base de Dados'!ED:ED,"Sim",'Base de Dados'!A:A,A143,'Base de Dados'!B:B,B143)+(COUNTIFS('Base de Dados'!ED:ED,"Não",'Base de Dados'!A:A,A143,'Base de Dados'!B:B,B143)))),"Não Aplica")</f>
        <v>1</v>
      </c>
      <c r="AB143" s="14" t="s">
        <v>23434</v>
      </c>
      <c r="AC143" s="14" t="s">
        <v>25396</v>
      </c>
      <c r="AD143" s="14" t="s">
        <v>23842</v>
      </c>
      <c r="AE143" s="14" t="s">
        <v>23434</v>
      </c>
      <c r="AF143" s="14" t="s">
        <v>25397</v>
      </c>
      <c r="AG143" s="14" t="s">
        <v>22818</v>
      </c>
      <c r="AH143" s="80"/>
      <c r="AI143" s="14" t="s">
        <v>23438</v>
      </c>
      <c r="AJ143" s="81">
        <v>45692.544074074074</v>
      </c>
      <c r="AK143" s="82" t="s">
        <v>23446</v>
      </c>
      <c r="AL143" s="14" t="s">
        <v>23434</v>
      </c>
      <c r="AM143" s="14" t="s">
        <v>23439</v>
      </c>
      <c r="AN143" s="14" t="s">
        <v>25398</v>
      </c>
      <c r="AO143" s="14" t="s">
        <v>23842</v>
      </c>
      <c r="AP143" s="14" t="s">
        <v>23434</v>
      </c>
      <c r="AQ143" s="14" t="s">
        <v>23448</v>
      </c>
      <c r="AR143" s="14" t="s">
        <v>25399</v>
      </c>
      <c r="AS143" s="14" t="s">
        <v>23848</v>
      </c>
      <c r="AT143" s="14" t="s">
        <v>23434</v>
      </c>
      <c r="AU143" s="14" t="s">
        <v>23453</v>
      </c>
      <c r="AV143" s="14" t="s">
        <v>25400</v>
      </c>
      <c r="AW143" s="14" t="s">
        <v>23455</v>
      </c>
      <c r="AX143" s="14" t="s">
        <v>23434</v>
      </c>
      <c r="AY143" s="14" t="s">
        <v>23451</v>
      </c>
      <c r="AZ143" s="14" t="s">
        <v>25401</v>
      </c>
      <c r="BA143" s="14" t="s">
        <v>22818</v>
      </c>
      <c r="BB143" s="80"/>
      <c r="BC143" s="14" t="s">
        <v>23438</v>
      </c>
      <c r="BD143" s="81">
        <v>45726.471608796295</v>
      </c>
      <c r="BE143" s="79">
        <f>IFERROR((COUNTIFS('Base de Dados'!FD:FD,"Sim",'Base de Dados'!A:A,A143,'Base de Dados'!B:B,B143)/(COUNTIFS('Base de Dados'!FD:FD,"Sim",'Base de Dados'!A:A,A143,'Base de Dados'!B:B,B143)+(COUNTIFS('Base de Dados'!FD:FD,"Não",'Base de Dados'!A:A,A143,'Base de Dados'!B:B,B143)))),"Não Aplica")</f>
        <v>1</v>
      </c>
      <c r="BF143" s="15"/>
      <c r="BG143" s="15"/>
      <c r="BH143" s="15"/>
      <c r="BI143" s="15"/>
      <c r="BJ143" s="80"/>
      <c r="BK143" s="80"/>
      <c r="BL143" s="80"/>
      <c r="BM143" s="80"/>
      <c r="BN143" s="15"/>
      <c r="BO143" s="15"/>
      <c r="BP143" s="15"/>
      <c r="BQ143" s="15"/>
      <c r="BR143" s="15"/>
      <c r="BS143" s="15"/>
      <c r="BT143" s="15"/>
      <c r="BU143" s="15"/>
      <c r="BV143" s="80"/>
      <c r="BW143" s="80" t="s">
        <v>24115</v>
      </c>
      <c r="BX143" s="83"/>
      <c r="BY143" s="82" t="s">
        <v>23446</v>
      </c>
      <c r="BZ143" s="15"/>
      <c r="CA143" s="15"/>
      <c r="CB143" s="15"/>
      <c r="CC143" s="15"/>
      <c r="CD143" s="80"/>
      <c r="CE143" s="80"/>
      <c r="CF143" s="80"/>
      <c r="CG143" s="80"/>
      <c r="CH143" s="15"/>
      <c r="CI143" s="15"/>
      <c r="CJ143" s="15"/>
      <c r="CK143" s="15"/>
      <c r="CL143" s="15"/>
      <c r="CM143" s="15"/>
      <c r="CN143" s="15"/>
      <c r="CO143" s="15"/>
      <c r="CP143" s="80"/>
      <c r="CQ143" s="80" t="s">
        <v>23459</v>
      </c>
      <c r="CR143" s="83"/>
      <c r="CS143" s="84"/>
    </row>
    <row r="144">
      <c r="A144" s="78" t="s">
        <v>234</v>
      </c>
      <c r="B144" s="78" t="s">
        <v>263</v>
      </c>
      <c r="C144" s="79">
        <f>IFERROR((COUNTIFS('Base de Dados'!BT:BT,"Sim",'Base de Dados'!A:A,A144,'Base de Dados'!B:B,B144)/(COUNTIFS('Base de Dados'!BT:BT,"Sim",'Base de Dados'!A:A,A144,'Base de Dados'!B:B,B144)+(COUNTIFS('Base de Dados'!BT:BT,"Não",'Base de Dados'!A:A,A144,'Base de Dados'!B:B,B144)))),"Não Aplica")</f>
        <v>1</v>
      </c>
      <c r="D144" s="14" t="s">
        <v>23434</v>
      </c>
      <c r="E144" s="14" t="s">
        <v>25402</v>
      </c>
      <c r="F144" s="14" t="s">
        <v>23436</v>
      </c>
      <c r="G144" s="14" t="s">
        <v>23434</v>
      </c>
      <c r="H144" s="14" t="s">
        <v>25403</v>
      </c>
      <c r="I144" s="14" t="s">
        <v>22818</v>
      </c>
      <c r="J144" s="80"/>
      <c r="K144" s="14" t="s">
        <v>23438</v>
      </c>
      <c r="L144" s="81">
        <v>45687.66278935185</v>
      </c>
      <c r="M144" s="79">
        <f>IFERROR((COUNTIFS('Base de Dados'!DF:DF,"Sim",'Base de Dados'!A:A,A144,'Base de Dados'!B:B,B144)/(COUNTIFS('Base de Dados'!DF:DF,"Sim",'Base de Dados'!A:A,A144,'Base de Dados'!B:B,B144)+(COUNTIFS('Base de Dados'!DF:DF,"Não",'Base de Dados'!A:A,A144,'Base de Dados'!B:B,B144)))),"Não Aplica")</f>
        <v>1</v>
      </c>
      <c r="N144" s="14" t="s">
        <v>23434</v>
      </c>
      <c r="O144" s="14" t="s">
        <v>23439</v>
      </c>
      <c r="P144" s="14" t="s">
        <v>25404</v>
      </c>
      <c r="Q144" s="14" t="s">
        <v>23842</v>
      </c>
      <c r="R144" s="14" t="s">
        <v>23434</v>
      </c>
      <c r="S144" s="14" t="s">
        <v>25405</v>
      </c>
      <c r="T144" s="14" t="s">
        <v>23436</v>
      </c>
      <c r="U144" s="14" t="s">
        <v>23434</v>
      </c>
      <c r="V144" s="14" t="s">
        <v>25406</v>
      </c>
      <c r="W144" s="14" t="s">
        <v>22818</v>
      </c>
      <c r="X144" s="80"/>
      <c r="Y144" s="14" t="s">
        <v>23438</v>
      </c>
      <c r="Z144" s="81">
        <v>45691.61549768518</v>
      </c>
      <c r="AA144" s="79">
        <f>IFERROR((COUNTIFS('Base de Dados'!ED:ED,"Sim",'Base de Dados'!A:A,A144,'Base de Dados'!B:B,B144)/(COUNTIFS('Base de Dados'!ED:ED,"Sim",'Base de Dados'!A:A,A144,'Base de Dados'!B:B,B144)+(COUNTIFS('Base de Dados'!ED:ED,"Não",'Base de Dados'!A:A,A144,'Base de Dados'!B:B,B144)))),"Não Aplica")</f>
        <v>1</v>
      </c>
      <c r="AB144" s="14" t="s">
        <v>23434</v>
      </c>
      <c r="AC144" s="14" t="s">
        <v>25407</v>
      </c>
      <c r="AD144" s="14" t="s">
        <v>23842</v>
      </c>
      <c r="AE144" s="14" t="s">
        <v>23434</v>
      </c>
      <c r="AF144" s="14" t="s">
        <v>25408</v>
      </c>
      <c r="AG144" s="14" t="s">
        <v>22818</v>
      </c>
      <c r="AH144" s="80"/>
      <c r="AI144" s="14" t="s">
        <v>23438</v>
      </c>
      <c r="AJ144" s="81">
        <v>45692.54409722222</v>
      </c>
      <c r="AK144" s="82" t="s">
        <v>23446</v>
      </c>
      <c r="AL144" s="14" t="s">
        <v>23434</v>
      </c>
      <c r="AM144" s="14" t="s">
        <v>23439</v>
      </c>
      <c r="AN144" s="14" t="s">
        <v>25409</v>
      </c>
      <c r="AO144" s="14" t="s">
        <v>23842</v>
      </c>
      <c r="AP144" s="14" t="s">
        <v>23434</v>
      </c>
      <c r="AQ144" s="14" t="s">
        <v>23448</v>
      </c>
      <c r="AR144" s="14" t="s">
        <v>25410</v>
      </c>
      <c r="AS144" s="14" t="s">
        <v>23848</v>
      </c>
      <c r="AT144" s="14" t="s">
        <v>23434</v>
      </c>
      <c r="AU144" s="14" t="s">
        <v>23453</v>
      </c>
      <c r="AV144" s="14" t="s">
        <v>25411</v>
      </c>
      <c r="AW144" s="14" t="s">
        <v>23455</v>
      </c>
      <c r="AX144" s="14" t="s">
        <v>23434</v>
      </c>
      <c r="AY144" s="14" t="s">
        <v>23451</v>
      </c>
      <c r="AZ144" s="14" t="s">
        <v>25412</v>
      </c>
      <c r="BA144" s="14" t="s">
        <v>22818</v>
      </c>
      <c r="BB144" s="80"/>
      <c r="BC144" s="14" t="s">
        <v>23438</v>
      </c>
      <c r="BD144" s="81">
        <v>45721.59039351852</v>
      </c>
      <c r="BE144" s="79">
        <f>IFERROR((COUNTIFS('Base de Dados'!FD:FD,"Sim",'Base de Dados'!A:A,A144,'Base de Dados'!B:B,B144)/(COUNTIFS('Base de Dados'!FD:FD,"Sim",'Base de Dados'!A:A,A144,'Base de Dados'!B:B,B144)+(COUNTIFS('Base de Dados'!FD:FD,"Não",'Base de Dados'!A:A,A144,'Base de Dados'!B:B,B144)))),"Não Aplica")</f>
        <v>1</v>
      </c>
      <c r="BF144" s="14" t="s">
        <v>23434</v>
      </c>
      <c r="BG144" s="14" t="s">
        <v>23439</v>
      </c>
      <c r="BH144" s="14" t="s">
        <v>25413</v>
      </c>
      <c r="BI144" s="14" t="s">
        <v>23842</v>
      </c>
      <c r="BJ144" s="80"/>
      <c r="BK144" s="80"/>
      <c r="BL144" s="80"/>
      <c r="BM144" s="80"/>
      <c r="BN144" s="14" t="s">
        <v>23434</v>
      </c>
      <c r="BO144" s="14" t="s">
        <v>23453</v>
      </c>
      <c r="BP144" s="14" t="s">
        <v>25414</v>
      </c>
      <c r="BQ144" s="14" t="s">
        <v>23455</v>
      </c>
      <c r="BR144" s="14" t="s">
        <v>23434</v>
      </c>
      <c r="BS144" s="14" t="s">
        <v>23451</v>
      </c>
      <c r="BT144" s="14" t="s">
        <v>25415</v>
      </c>
      <c r="BU144" s="14" t="s">
        <v>22818</v>
      </c>
      <c r="BV144" s="80"/>
      <c r="BW144" s="14" t="s">
        <v>23438</v>
      </c>
      <c r="BX144" s="81">
        <v>45723.320335648146</v>
      </c>
      <c r="BY144" s="82" t="s">
        <v>23446</v>
      </c>
      <c r="BZ144" s="15"/>
      <c r="CA144" s="15"/>
      <c r="CB144" s="15"/>
      <c r="CC144" s="15"/>
      <c r="CD144" s="80"/>
      <c r="CE144" s="80"/>
      <c r="CF144" s="80"/>
      <c r="CG144" s="80"/>
      <c r="CH144" s="15"/>
      <c r="CI144" s="15"/>
      <c r="CJ144" s="15"/>
      <c r="CK144" s="15"/>
      <c r="CL144" s="15"/>
      <c r="CM144" s="15"/>
      <c r="CN144" s="15"/>
      <c r="CO144" s="15"/>
      <c r="CP144" s="80"/>
      <c r="CQ144" s="80" t="s">
        <v>23459</v>
      </c>
      <c r="CR144" s="83"/>
      <c r="CS144" s="84"/>
    </row>
    <row r="145">
      <c r="A145" s="78" t="s">
        <v>234</v>
      </c>
      <c r="B145" s="78" t="s">
        <v>276</v>
      </c>
      <c r="C145" s="79">
        <f>IFERROR((COUNTIFS('Base de Dados'!BT:BT,"Sim",'Base de Dados'!A:A,A145,'Base de Dados'!B:B,B145)/(COUNTIFS('Base de Dados'!BT:BT,"Sim",'Base de Dados'!A:A,A145,'Base de Dados'!B:B,B145)+(COUNTIFS('Base de Dados'!BT:BT,"Não",'Base de Dados'!A:A,A145,'Base de Dados'!B:B,B145)))),"Não Aplica")</f>
        <v>1</v>
      </c>
      <c r="D145" s="14" t="s">
        <v>23434</v>
      </c>
      <c r="E145" s="14" t="s">
        <v>25416</v>
      </c>
      <c r="F145" s="14" t="s">
        <v>23436</v>
      </c>
      <c r="G145" s="14" t="s">
        <v>23434</v>
      </c>
      <c r="H145" s="14" t="s">
        <v>25417</v>
      </c>
      <c r="I145" s="14" t="s">
        <v>22818</v>
      </c>
      <c r="J145" s="80"/>
      <c r="K145" s="14" t="s">
        <v>23438</v>
      </c>
      <c r="L145" s="81">
        <v>45687.66287037037</v>
      </c>
      <c r="M145" s="79">
        <f>IFERROR((COUNTIFS('Base de Dados'!DF:DF,"Sim",'Base de Dados'!A:A,A145,'Base de Dados'!B:B,B145)/(COUNTIFS('Base de Dados'!DF:DF,"Sim",'Base de Dados'!A:A,A145,'Base de Dados'!B:B,B145)+(COUNTIFS('Base de Dados'!DF:DF,"Não",'Base de Dados'!A:A,A145,'Base de Dados'!B:B,B145)))),"Não Aplica")</f>
        <v>1</v>
      </c>
      <c r="N145" s="14" t="s">
        <v>23434</v>
      </c>
      <c r="O145" s="14" t="s">
        <v>23439</v>
      </c>
      <c r="P145" s="14" t="s">
        <v>25418</v>
      </c>
      <c r="Q145" s="14" t="s">
        <v>23842</v>
      </c>
      <c r="R145" s="14" t="s">
        <v>23434</v>
      </c>
      <c r="S145" s="14" t="s">
        <v>25419</v>
      </c>
      <c r="T145" s="14" t="s">
        <v>23436</v>
      </c>
      <c r="U145" s="14" t="s">
        <v>23434</v>
      </c>
      <c r="V145" s="14" t="s">
        <v>25420</v>
      </c>
      <c r="W145" s="14" t="s">
        <v>22818</v>
      </c>
      <c r="X145" s="80"/>
      <c r="Y145" s="14" t="s">
        <v>23438</v>
      </c>
      <c r="Z145" s="81">
        <v>45691.615439814814</v>
      </c>
      <c r="AA145" s="79">
        <f>IFERROR((COUNTIFS('Base de Dados'!ED:ED,"Sim",'Base de Dados'!A:A,A145,'Base de Dados'!B:B,B145)/(COUNTIFS('Base de Dados'!ED:ED,"Sim",'Base de Dados'!A:A,A145,'Base de Dados'!B:B,B145)+(COUNTIFS('Base de Dados'!ED:ED,"Não",'Base de Dados'!A:A,A145,'Base de Dados'!B:B,B145)))),"Não Aplica")</f>
        <v>1</v>
      </c>
      <c r="AB145" s="14" t="s">
        <v>23434</v>
      </c>
      <c r="AC145" s="14" t="s">
        <v>25421</v>
      </c>
      <c r="AD145" s="14" t="s">
        <v>23842</v>
      </c>
      <c r="AE145" s="14" t="s">
        <v>23434</v>
      </c>
      <c r="AF145" s="14" t="s">
        <v>25422</v>
      </c>
      <c r="AG145" s="14" t="s">
        <v>22818</v>
      </c>
      <c r="AH145" s="80"/>
      <c r="AI145" s="14" t="s">
        <v>23438</v>
      </c>
      <c r="AJ145" s="81">
        <v>45692.54413194444</v>
      </c>
      <c r="AK145" s="82" t="s">
        <v>23446</v>
      </c>
      <c r="AL145" s="14" t="s">
        <v>23434</v>
      </c>
      <c r="AM145" s="14" t="s">
        <v>23439</v>
      </c>
      <c r="AN145" s="14" t="s">
        <v>25423</v>
      </c>
      <c r="AO145" s="14" t="s">
        <v>23842</v>
      </c>
      <c r="AP145" s="14" t="s">
        <v>23434</v>
      </c>
      <c r="AQ145" s="14" t="s">
        <v>23448</v>
      </c>
      <c r="AR145" s="14" t="s">
        <v>25424</v>
      </c>
      <c r="AS145" s="14" t="s">
        <v>23848</v>
      </c>
      <c r="AT145" s="14" t="s">
        <v>23434</v>
      </c>
      <c r="AU145" s="14" t="s">
        <v>23453</v>
      </c>
      <c r="AV145" s="14" t="s">
        <v>25425</v>
      </c>
      <c r="AW145" s="14" t="s">
        <v>23455</v>
      </c>
      <c r="AX145" s="14" t="s">
        <v>23434</v>
      </c>
      <c r="AY145" s="14" t="s">
        <v>23451</v>
      </c>
      <c r="AZ145" s="14" t="s">
        <v>25426</v>
      </c>
      <c r="BA145" s="14" t="s">
        <v>22818</v>
      </c>
      <c r="BB145" s="80"/>
      <c r="BC145" s="14" t="s">
        <v>23438</v>
      </c>
      <c r="BD145" s="81">
        <v>45721.59042824074</v>
      </c>
      <c r="BE145" s="79">
        <f>IFERROR((COUNTIFS('Base de Dados'!FD:FD,"Sim",'Base de Dados'!A:A,A145,'Base de Dados'!B:B,B145)/(COUNTIFS('Base de Dados'!FD:FD,"Sim",'Base de Dados'!A:A,A145,'Base de Dados'!B:B,B145)+(COUNTIFS('Base de Dados'!FD:FD,"Não",'Base de Dados'!A:A,A145,'Base de Dados'!B:B,B145)))),"Não Aplica")</f>
        <v>1</v>
      </c>
      <c r="BF145" s="14" t="s">
        <v>23434</v>
      </c>
      <c r="BG145" s="14" t="s">
        <v>23439</v>
      </c>
      <c r="BH145" s="14" t="s">
        <v>25427</v>
      </c>
      <c r="BI145" s="14" t="s">
        <v>23842</v>
      </c>
      <c r="BJ145" s="80"/>
      <c r="BK145" s="80"/>
      <c r="BL145" s="80"/>
      <c r="BM145" s="80"/>
      <c r="BN145" s="14" t="s">
        <v>23434</v>
      </c>
      <c r="BO145" s="14" t="s">
        <v>23453</v>
      </c>
      <c r="BP145" s="14" t="s">
        <v>25428</v>
      </c>
      <c r="BQ145" s="14" t="s">
        <v>23455</v>
      </c>
      <c r="BR145" s="14" t="s">
        <v>23434</v>
      </c>
      <c r="BS145" s="14" t="s">
        <v>23451</v>
      </c>
      <c r="BT145" s="14" t="s">
        <v>25429</v>
      </c>
      <c r="BU145" s="14" t="s">
        <v>22818</v>
      </c>
      <c r="BV145" s="80"/>
      <c r="BW145" s="14" t="s">
        <v>23438</v>
      </c>
      <c r="BX145" s="81">
        <v>45723.32030092592</v>
      </c>
      <c r="BY145" s="82" t="s">
        <v>23446</v>
      </c>
      <c r="BZ145" s="15"/>
      <c r="CA145" s="15"/>
      <c r="CB145" s="15"/>
      <c r="CC145" s="15"/>
      <c r="CD145" s="80"/>
      <c r="CE145" s="80"/>
      <c r="CF145" s="80"/>
      <c r="CG145" s="80"/>
      <c r="CH145" s="15"/>
      <c r="CI145" s="15"/>
      <c r="CJ145" s="15"/>
      <c r="CK145" s="15"/>
      <c r="CL145" s="15"/>
      <c r="CM145" s="15"/>
      <c r="CN145" s="15"/>
      <c r="CO145" s="15"/>
      <c r="CP145" s="80"/>
      <c r="CQ145" s="80" t="s">
        <v>23459</v>
      </c>
      <c r="CR145" s="83"/>
      <c r="CS145" s="84"/>
    </row>
    <row r="146">
      <c r="A146" s="78" t="s">
        <v>234</v>
      </c>
      <c r="B146" s="78" t="s">
        <v>2671</v>
      </c>
      <c r="C146" s="79">
        <f>IFERROR((COUNTIFS('Base de Dados'!BT:BT,"Sim",'Base de Dados'!A:A,A146,'Base de Dados'!B:B,B146)/(COUNTIFS('Base de Dados'!BT:BT,"Sim",'Base de Dados'!A:A,A146,'Base de Dados'!B:B,B146)+(COUNTIFS('Base de Dados'!BT:BT,"Não",'Base de Dados'!A:A,A146,'Base de Dados'!B:B,B146)))),"Não Aplica")</f>
        <v>1</v>
      </c>
      <c r="D146" s="14" t="s">
        <v>23434</v>
      </c>
      <c r="E146" s="14" t="s">
        <v>25430</v>
      </c>
      <c r="F146" s="14" t="s">
        <v>23436</v>
      </c>
      <c r="G146" s="14" t="s">
        <v>23434</v>
      </c>
      <c r="H146" s="14" t="s">
        <v>25431</v>
      </c>
      <c r="I146" s="14" t="s">
        <v>22818</v>
      </c>
      <c r="J146" s="80"/>
      <c r="K146" s="14" t="s">
        <v>23438</v>
      </c>
      <c r="L146" s="81">
        <v>45684.45711805556</v>
      </c>
      <c r="M146" s="79">
        <f>IFERROR((COUNTIFS('Base de Dados'!DF:DF,"Sim",'Base de Dados'!A:A,A146,'Base de Dados'!B:B,B146)/(COUNTIFS('Base de Dados'!DF:DF,"Sim",'Base de Dados'!A:A,A146,'Base de Dados'!B:B,B146)+(COUNTIFS('Base de Dados'!DF:DF,"Não",'Base de Dados'!A:A,A146,'Base de Dados'!B:B,B146)))),"Não Aplica")</f>
        <v>1</v>
      </c>
      <c r="N146" s="14" t="s">
        <v>23434</v>
      </c>
      <c r="O146" s="14" t="s">
        <v>23439</v>
      </c>
      <c r="P146" s="14" t="s">
        <v>25432</v>
      </c>
      <c r="Q146" s="14" t="s">
        <v>23842</v>
      </c>
      <c r="R146" s="14" t="s">
        <v>23434</v>
      </c>
      <c r="S146" s="14" t="s">
        <v>25433</v>
      </c>
      <c r="T146" s="14" t="s">
        <v>23436</v>
      </c>
      <c r="U146" s="14" t="s">
        <v>23434</v>
      </c>
      <c r="V146" s="14" t="s">
        <v>25434</v>
      </c>
      <c r="W146" s="14" t="s">
        <v>22818</v>
      </c>
      <c r="X146" s="80"/>
      <c r="Y146" s="14" t="s">
        <v>23438</v>
      </c>
      <c r="Z146" s="81">
        <v>45691.615532407406</v>
      </c>
      <c r="AA146" s="79">
        <f>IFERROR((COUNTIFS('Base de Dados'!ED:ED,"Sim",'Base de Dados'!A:A,A146,'Base de Dados'!B:B,B146)/(COUNTIFS('Base de Dados'!ED:ED,"Sim",'Base de Dados'!A:A,A146,'Base de Dados'!B:B,B146)+(COUNTIFS('Base de Dados'!ED:ED,"Não",'Base de Dados'!A:A,A146,'Base de Dados'!B:B,B146)))),"Não Aplica")</f>
        <v>1</v>
      </c>
      <c r="AB146" s="14" t="s">
        <v>23434</v>
      </c>
      <c r="AC146" s="14" t="s">
        <v>25435</v>
      </c>
      <c r="AD146" s="14" t="s">
        <v>23842</v>
      </c>
      <c r="AE146" s="14" t="s">
        <v>23434</v>
      </c>
      <c r="AF146" s="14" t="s">
        <v>25436</v>
      </c>
      <c r="AG146" s="14" t="s">
        <v>22818</v>
      </c>
      <c r="AH146" s="80"/>
      <c r="AI146" s="14" t="s">
        <v>23438</v>
      </c>
      <c r="AJ146" s="81">
        <v>45692.54415509259</v>
      </c>
      <c r="AK146" s="82" t="s">
        <v>23446</v>
      </c>
      <c r="AL146" s="14" t="s">
        <v>23434</v>
      </c>
      <c r="AM146" s="14" t="s">
        <v>23439</v>
      </c>
      <c r="AN146" s="14" t="s">
        <v>25437</v>
      </c>
      <c r="AO146" s="14" t="s">
        <v>23842</v>
      </c>
      <c r="AP146" s="14" t="s">
        <v>23434</v>
      </c>
      <c r="AQ146" s="14" t="s">
        <v>23448</v>
      </c>
      <c r="AR146" s="14" t="s">
        <v>25438</v>
      </c>
      <c r="AS146" s="14" t="s">
        <v>23848</v>
      </c>
      <c r="AT146" s="14" t="s">
        <v>23434</v>
      </c>
      <c r="AU146" s="14" t="s">
        <v>23453</v>
      </c>
      <c r="AV146" s="14" t="s">
        <v>25439</v>
      </c>
      <c r="AW146" s="14" t="s">
        <v>23455</v>
      </c>
      <c r="AX146" s="14" t="s">
        <v>23434</v>
      </c>
      <c r="AY146" s="14" t="s">
        <v>23451</v>
      </c>
      <c r="AZ146" s="14" t="s">
        <v>25440</v>
      </c>
      <c r="BA146" s="14" t="s">
        <v>22818</v>
      </c>
      <c r="BB146" s="80"/>
      <c r="BC146" s="14" t="s">
        <v>23438</v>
      </c>
      <c r="BD146" s="81">
        <v>45720.293761574074</v>
      </c>
      <c r="BE146" s="79">
        <f>IFERROR((COUNTIFS('Base de Dados'!FD:FD,"Sim",'Base de Dados'!A:A,A146,'Base de Dados'!B:B,B146)/(COUNTIFS('Base de Dados'!FD:FD,"Sim",'Base de Dados'!A:A,A146,'Base de Dados'!B:B,B146)+(COUNTIFS('Base de Dados'!FD:FD,"Não",'Base de Dados'!A:A,A146,'Base de Dados'!B:B,B146)))),"Não Aplica")</f>
        <v>1</v>
      </c>
      <c r="BF146" s="14" t="s">
        <v>23434</v>
      </c>
      <c r="BG146" s="14" t="s">
        <v>23439</v>
      </c>
      <c r="BH146" s="14" t="s">
        <v>25441</v>
      </c>
      <c r="BI146" s="14" t="s">
        <v>23842</v>
      </c>
      <c r="BJ146" s="80"/>
      <c r="BK146" s="80"/>
      <c r="BL146" s="80"/>
      <c r="BM146" s="80"/>
      <c r="BN146" s="14" t="s">
        <v>23434</v>
      </c>
      <c r="BO146" s="14" t="s">
        <v>23453</v>
      </c>
      <c r="BP146" s="14" t="s">
        <v>25442</v>
      </c>
      <c r="BQ146" s="14" t="s">
        <v>23455</v>
      </c>
      <c r="BR146" s="14" t="s">
        <v>23434</v>
      </c>
      <c r="BS146" s="14" t="s">
        <v>23451</v>
      </c>
      <c r="BT146" s="14" t="s">
        <v>25443</v>
      </c>
      <c r="BU146" s="14" t="s">
        <v>22818</v>
      </c>
      <c r="BV146" s="80"/>
      <c r="BW146" s="14" t="s">
        <v>23438</v>
      </c>
      <c r="BX146" s="81">
        <v>45721.59091435185</v>
      </c>
      <c r="BY146" s="82" t="s">
        <v>23446</v>
      </c>
      <c r="BZ146" s="15"/>
      <c r="CA146" s="15"/>
      <c r="CB146" s="15"/>
      <c r="CC146" s="15"/>
      <c r="CD146" s="80"/>
      <c r="CE146" s="80"/>
      <c r="CF146" s="80"/>
      <c r="CG146" s="80"/>
      <c r="CH146" s="15"/>
      <c r="CI146" s="15"/>
      <c r="CJ146" s="15"/>
      <c r="CK146" s="15"/>
      <c r="CL146" s="15"/>
      <c r="CM146" s="15"/>
      <c r="CN146" s="15"/>
      <c r="CO146" s="15"/>
      <c r="CP146" s="80"/>
      <c r="CQ146" s="80" t="s">
        <v>23459</v>
      </c>
      <c r="CR146" s="83"/>
      <c r="CS146" s="84"/>
    </row>
    <row r="147">
      <c r="A147" s="78" t="s">
        <v>234</v>
      </c>
      <c r="B147" s="78" t="s">
        <v>11624</v>
      </c>
      <c r="C147" s="79">
        <f>IFERROR((COUNTIFS('Base de Dados'!BT:BT,"Sim",'Base de Dados'!A:A,A147,'Base de Dados'!B:B,B147)/(COUNTIFS('Base de Dados'!BT:BT,"Sim",'Base de Dados'!A:A,A147,'Base de Dados'!B:B,B147)+(COUNTIFS('Base de Dados'!BT:BT,"Não",'Base de Dados'!A:A,A147,'Base de Dados'!B:B,B147)))),"Não Aplica")</f>
        <v>1</v>
      </c>
      <c r="D147" s="14" t="s">
        <v>23434</v>
      </c>
      <c r="E147" s="14" t="s">
        <v>25444</v>
      </c>
      <c r="F147" s="14" t="s">
        <v>23436</v>
      </c>
      <c r="G147" s="14" t="s">
        <v>23434</v>
      </c>
      <c r="H147" s="14" t="s">
        <v>25445</v>
      </c>
      <c r="I147" s="14" t="s">
        <v>22818</v>
      </c>
      <c r="J147" s="80"/>
      <c r="K147" s="14" t="s">
        <v>23438</v>
      </c>
      <c r="L147" s="81">
        <v>45684.45717592593</v>
      </c>
      <c r="M147" s="79">
        <f>IFERROR((COUNTIFS('Base de Dados'!DF:DF,"Sim",'Base de Dados'!A:A,A147,'Base de Dados'!B:B,B147)/(COUNTIFS('Base de Dados'!DF:DF,"Sim",'Base de Dados'!A:A,A147,'Base de Dados'!B:B,B147)+(COUNTIFS('Base de Dados'!DF:DF,"Não",'Base de Dados'!A:A,A147,'Base de Dados'!B:B,B147)))),"Não Aplica")</f>
        <v>1</v>
      </c>
      <c r="N147" s="14" t="s">
        <v>23434</v>
      </c>
      <c r="O147" s="14" t="s">
        <v>23439</v>
      </c>
      <c r="P147" s="14" t="s">
        <v>25446</v>
      </c>
      <c r="Q147" s="14" t="s">
        <v>23842</v>
      </c>
      <c r="R147" s="14" t="s">
        <v>23434</v>
      </c>
      <c r="S147" s="14" t="s">
        <v>25447</v>
      </c>
      <c r="T147" s="14" t="s">
        <v>23436</v>
      </c>
      <c r="U147" s="14" t="s">
        <v>23434</v>
      </c>
      <c r="V147" s="14" t="s">
        <v>25448</v>
      </c>
      <c r="W147" s="14" t="s">
        <v>22818</v>
      </c>
      <c r="X147" s="80"/>
      <c r="Y147" s="14" t="s">
        <v>23438</v>
      </c>
      <c r="Z147" s="81">
        <v>45691.61509259259</v>
      </c>
      <c r="AA147" s="79">
        <f>IFERROR((COUNTIFS('Base de Dados'!ED:ED,"Sim",'Base de Dados'!A:A,A147,'Base de Dados'!B:B,B147)/(COUNTIFS('Base de Dados'!ED:ED,"Sim",'Base de Dados'!A:A,A147,'Base de Dados'!B:B,B147)+(COUNTIFS('Base de Dados'!ED:ED,"Não",'Base de Dados'!A:A,A147,'Base de Dados'!B:B,B147)))),"Não Aplica")</f>
        <v>1</v>
      </c>
      <c r="AB147" s="14" t="s">
        <v>23434</v>
      </c>
      <c r="AC147" s="14" t="s">
        <v>25449</v>
      </c>
      <c r="AD147" s="14" t="s">
        <v>23842</v>
      </c>
      <c r="AE147" s="14" t="s">
        <v>23434</v>
      </c>
      <c r="AF147" s="14" t="s">
        <v>25450</v>
      </c>
      <c r="AG147" s="14" t="s">
        <v>22818</v>
      </c>
      <c r="AH147" s="80"/>
      <c r="AI147" s="14" t="s">
        <v>23438</v>
      </c>
      <c r="AJ147" s="81">
        <v>45692.54417824074</v>
      </c>
      <c r="AK147" s="82" t="s">
        <v>23446</v>
      </c>
      <c r="AL147" s="14" t="s">
        <v>23434</v>
      </c>
      <c r="AM147" s="14" t="s">
        <v>23439</v>
      </c>
      <c r="AN147" s="14" t="s">
        <v>25451</v>
      </c>
      <c r="AO147" s="14" t="s">
        <v>23842</v>
      </c>
      <c r="AP147" s="14" t="s">
        <v>23434</v>
      </c>
      <c r="AQ147" s="14" t="s">
        <v>23448</v>
      </c>
      <c r="AR147" s="14" t="s">
        <v>25452</v>
      </c>
      <c r="AS147" s="14" t="s">
        <v>23848</v>
      </c>
      <c r="AT147" s="14" t="s">
        <v>23434</v>
      </c>
      <c r="AU147" s="14" t="s">
        <v>23453</v>
      </c>
      <c r="AV147" s="14" t="s">
        <v>25453</v>
      </c>
      <c r="AW147" s="14" t="s">
        <v>23455</v>
      </c>
      <c r="AX147" s="14" t="s">
        <v>23434</v>
      </c>
      <c r="AY147" s="14" t="s">
        <v>23451</v>
      </c>
      <c r="AZ147" s="14" t="s">
        <v>25454</v>
      </c>
      <c r="BA147" s="14" t="s">
        <v>22818</v>
      </c>
      <c r="BB147" s="80"/>
      <c r="BC147" s="14" t="s">
        <v>23438</v>
      </c>
      <c r="BD147" s="81">
        <v>45720.2937962963</v>
      </c>
      <c r="BE147" s="79">
        <f>IFERROR((COUNTIFS('Base de Dados'!FD:FD,"Sim",'Base de Dados'!A:A,A147,'Base de Dados'!B:B,B147)/(COUNTIFS('Base de Dados'!FD:FD,"Sim",'Base de Dados'!A:A,A147,'Base de Dados'!B:B,B147)+(COUNTIFS('Base de Dados'!FD:FD,"Não",'Base de Dados'!A:A,A147,'Base de Dados'!B:B,B147)))),"Não Aplica")</f>
        <v>1</v>
      </c>
      <c r="BF147" s="14" t="s">
        <v>23434</v>
      </c>
      <c r="BG147" s="14" t="s">
        <v>23439</v>
      </c>
      <c r="BH147" s="14" t="s">
        <v>25455</v>
      </c>
      <c r="BI147" s="14" t="s">
        <v>23842</v>
      </c>
      <c r="BJ147" s="80"/>
      <c r="BK147" s="80"/>
      <c r="BL147" s="80"/>
      <c r="BM147" s="80"/>
      <c r="BN147" s="14" t="s">
        <v>23434</v>
      </c>
      <c r="BO147" s="14" t="s">
        <v>23453</v>
      </c>
      <c r="BP147" s="14" t="s">
        <v>25456</v>
      </c>
      <c r="BQ147" s="14" t="s">
        <v>23455</v>
      </c>
      <c r="BR147" s="14" t="s">
        <v>23434</v>
      </c>
      <c r="BS147" s="14" t="s">
        <v>23451</v>
      </c>
      <c r="BT147" s="14" t="s">
        <v>25457</v>
      </c>
      <c r="BU147" s="14" t="s">
        <v>22818</v>
      </c>
      <c r="BV147" s="80"/>
      <c r="BW147" s="14" t="s">
        <v>23438</v>
      </c>
      <c r="BX147" s="81">
        <v>45721.59096064815</v>
      </c>
      <c r="BY147" s="82" t="s">
        <v>23446</v>
      </c>
      <c r="BZ147" s="15"/>
      <c r="CA147" s="15"/>
      <c r="CB147" s="15"/>
      <c r="CC147" s="15"/>
      <c r="CD147" s="80"/>
      <c r="CE147" s="80"/>
      <c r="CF147" s="80"/>
      <c r="CG147" s="80"/>
      <c r="CH147" s="15"/>
      <c r="CI147" s="15"/>
      <c r="CJ147" s="15"/>
      <c r="CK147" s="15"/>
      <c r="CL147" s="15"/>
      <c r="CM147" s="15"/>
      <c r="CN147" s="15"/>
      <c r="CO147" s="15"/>
      <c r="CP147" s="80"/>
      <c r="CQ147" s="80" t="s">
        <v>23459</v>
      </c>
      <c r="CR147" s="83"/>
      <c r="CS147" s="84"/>
    </row>
    <row r="148">
      <c r="A148" s="78" t="s">
        <v>234</v>
      </c>
      <c r="B148" s="78" t="s">
        <v>11640</v>
      </c>
      <c r="C148" s="79">
        <f>IFERROR((COUNTIFS('Base de Dados'!BT:BT,"Sim",'Base de Dados'!A:A,A148,'Base de Dados'!B:B,B148)/(COUNTIFS('Base de Dados'!BT:BT,"Sim",'Base de Dados'!A:A,A148,'Base de Dados'!B:B,B148)+(COUNTIFS('Base de Dados'!BT:BT,"Não",'Base de Dados'!A:A,A148,'Base de Dados'!B:B,B148)))),"Não Aplica")</f>
        <v>1</v>
      </c>
      <c r="D148" s="14" t="s">
        <v>23434</v>
      </c>
      <c r="E148" s="14" t="s">
        <v>25458</v>
      </c>
      <c r="F148" s="14" t="s">
        <v>23436</v>
      </c>
      <c r="G148" s="14" t="s">
        <v>23434</v>
      </c>
      <c r="H148" s="14" t="s">
        <v>25459</v>
      </c>
      <c r="I148" s="14" t="s">
        <v>22818</v>
      </c>
      <c r="J148" s="80"/>
      <c r="K148" s="14" t="s">
        <v>23438</v>
      </c>
      <c r="L148" s="81">
        <v>45687.39333333333</v>
      </c>
      <c r="M148" s="79">
        <f>IFERROR((COUNTIFS('Base de Dados'!DF:DF,"Sim",'Base de Dados'!A:A,A148,'Base de Dados'!B:B,B148)/(COUNTIFS('Base de Dados'!DF:DF,"Sim",'Base de Dados'!A:A,A148,'Base de Dados'!B:B,B148)+(COUNTIFS('Base de Dados'!DF:DF,"Não",'Base de Dados'!A:A,A148,'Base de Dados'!B:B,B148)))),"Não Aplica")</f>
        <v>1</v>
      </c>
      <c r="N148" s="14" t="s">
        <v>23434</v>
      </c>
      <c r="O148" s="14" t="s">
        <v>23439</v>
      </c>
      <c r="P148" s="14" t="s">
        <v>25460</v>
      </c>
      <c r="Q148" s="14" t="s">
        <v>23842</v>
      </c>
      <c r="R148" s="14" t="s">
        <v>23434</v>
      </c>
      <c r="S148" s="14" t="s">
        <v>25461</v>
      </c>
      <c r="T148" s="14" t="s">
        <v>23436</v>
      </c>
      <c r="U148" s="14" t="s">
        <v>23434</v>
      </c>
      <c r="V148" s="14" t="s">
        <v>25462</v>
      </c>
      <c r="W148" s="14" t="s">
        <v>22818</v>
      </c>
      <c r="X148" s="80"/>
      <c r="Y148" s="14" t="s">
        <v>23438</v>
      </c>
      <c r="Z148" s="81">
        <v>45691.61512731481</v>
      </c>
      <c r="AA148" s="79">
        <f>IFERROR((COUNTIFS('Base de Dados'!ED:ED,"Sim",'Base de Dados'!A:A,A148,'Base de Dados'!B:B,B148)/(COUNTIFS('Base de Dados'!ED:ED,"Sim",'Base de Dados'!A:A,A148,'Base de Dados'!B:B,B148)+(COUNTIFS('Base de Dados'!ED:ED,"Não",'Base de Dados'!A:A,A148,'Base de Dados'!B:B,B148)))),"Não Aplica")</f>
        <v>1</v>
      </c>
      <c r="AB148" s="14" t="s">
        <v>23434</v>
      </c>
      <c r="AC148" s="14" t="s">
        <v>25463</v>
      </c>
      <c r="AD148" s="14" t="s">
        <v>23842</v>
      </c>
      <c r="AE148" s="14" t="s">
        <v>23434</v>
      </c>
      <c r="AF148" s="14" t="s">
        <v>25464</v>
      </c>
      <c r="AG148" s="14" t="s">
        <v>22818</v>
      </c>
      <c r="AH148" s="80"/>
      <c r="AI148" s="14" t="s">
        <v>23438</v>
      </c>
      <c r="AJ148" s="81">
        <v>45692.54420138889</v>
      </c>
      <c r="AK148" s="82" t="s">
        <v>23446</v>
      </c>
      <c r="AL148" s="14" t="s">
        <v>23434</v>
      </c>
      <c r="AM148" s="14" t="s">
        <v>23439</v>
      </c>
      <c r="AN148" s="14" t="s">
        <v>25465</v>
      </c>
      <c r="AO148" s="14" t="s">
        <v>23842</v>
      </c>
      <c r="AP148" s="14" t="s">
        <v>23434</v>
      </c>
      <c r="AQ148" s="14" t="s">
        <v>23448</v>
      </c>
      <c r="AR148" s="14" t="s">
        <v>25466</v>
      </c>
      <c r="AS148" s="14" t="s">
        <v>23848</v>
      </c>
      <c r="AT148" s="14" t="s">
        <v>23434</v>
      </c>
      <c r="AU148" s="14" t="s">
        <v>23453</v>
      </c>
      <c r="AV148" s="14" t="s">
        <v>25467</v>
      </c>
      <c r="AW148" s="14" t="s">
        <v>23455</v>
      </c>
      <c r="AX148" s="14" t="s">
        <v>23434</v>
      </c>
      <c r="AY148" s="14" t="s">
        <v>23451</v>
      </c>
      <c r="AZ148" s="14" t="s">
        <v>25468</v>
      </c>
      <c r="BA148" s="14" t="s">
        <v>22818</v>
      </c>
      <c r="BB148" s="80"/>
      <c r="BC148" s="14" t="s">
        <v>23438</v>
      </c>
      <c r="BD148" s="81">
        <v>45720.573530092595</v>
      </c>
      <c r="BE148" s="79">
        <f>IFERROR((COUNTIFS('Base de Dados'!FD:FD,"Sim",'Base de Dados'!A:A,A148,'Base de Dados'!B:B,B148)/(COUNTIFS('Base de Dados'!FD:FD,"Sim",'Base de Dados'!A:A,A148,'Base de Dados'!B:B,B148)+(COUNTIFS('Base de Dados'!FD:FD,"Não",'Base de Dados'!A:A,A148,'Base de Dados'!B:B,B148)))),"Não Aplica")</f>
        <v>1</v>
      </c>
      <c r="BF148" s="14" t="s">
        <v>23434</v>
      </c>
      <c r="BG148" s="14" t="s">
        <v>23439</v>
      </c>
      <c r="BH148" s="14" t="s">
        <v>25469</v>
      </c>
      <c r="BI148" s="14" t="s">
        <v>23842</v>
      </c>
      <c r="BJ148" s="80"/>
      <c r="BK148" s="80"/>
      <c r="BL148" s="80"/>
      <c r="BM148" s="80"/>
      <c r="BN148" s="14" t="s">
        <v>23434</v>
      </c>
      <c r="BO148" s="14" t="s">
        <v>23453</v>
      </c>
      <c r="BP148" s="14" t="s">
        <v>25470</v>
      </c>
      <c r="BQ148" s="14" t="s">
        <v>23455</v>
      </c>
      <c r="BR148" s="14" t="s">
        <v>23434</v>
      </c>
      <c r="BS148" s="14" t="s">
        <v>23451</v>
      </c>
      <c r="BT148" s="14" t="s">
        <v>25471</v>
      </c>
      <c r="BU148" s="14" t="s">
        <v>22818</v>
      </c>
      <c r="BV148" s="80"/>
      <c r="BW148" s="14" t="s">
        <v>23438</v>
      </c>
      <c r="BX148" s="81">
        <v>45723.320497685185</v>
      </c>
      <c r="BY148" s="82" t="s">
        <v>23446</v>
      </c>
      <c r="BZ148" s="15"/>
      <c r="CA148" s="15"/>
      <c r="CB148" s="15"/>
      <c r="CC148" s="15"/>
      <c r="CD148" s="80"/>
      <c r="CE148" s="80"/>
      <c r="CF148" s="80"/>
      <c r="CG148" s="80"/>
      <c r="CH148" s="15"/>
      <c r="CI148" s="15"/>
      <c r="CJ148" s="15"/>
      <c r="CK148" s="15"/>
      <c r="CL148" s="15"/>
      <c r="CM148" s="15"/>
      <c r="CN148" s="15"/>
      <c r="CO148" s="15"/>
      <c r="CP148" s="80"/>
      <c r="CQ148" s="80" t="s">
        <v>23459</v>
      </c>
      <c r="CR148" s="83"/>
      <c r="CS148" s="84"/>
    </row>
    <row r="149">
      <c r="A149" s="78" t="s">
        <v>234</v>
      </c>
      <c r="B149" s="78" t="s">
        <v>2706</v>
      </c>
      <c r="C149" s="79">
        <f>IFERROR((COUNTIFS('Base de Dados'!BT:BT,"Sim",'Base de Dados'!A:A,A149,'Base de Dados'!B:B,B149)/(COUNTIFS('Base de Dados'!BT:BT,"Sim",'Base de Dados'!A:A,A149,'Base de Dados'!B:B,B149)+(COUNTIFS('Base de Dados'!BT:BT,"Não",'Base de Dados'!A:A,A149,'Base de Dados'!B:B,B149)))),"Não Aplica")</f>
        <v>1</v>
      </c>
      <c r="D149" s="14" t="s">
        <v>23434</v>
      </c>
      <c r="E149" s="14" t="s">
        <v>25472</v>
      </c>
      <c r="F149" s="14" t="s">
        <v>23436</v>
      </c>
      <c r="G149" s="14" t="s">
        <v>23434</v>
      </c>
      <c r="H149" s="14" t="s">
        <v>25473</v>
      </c>
      <c r="I149" s="14" t="s">
        <v>22818</v>
      </c>
      <c r="J149" s="80"/>
      <c r="K149" s="14" t="s">
        <v>23438</v>
      </c>
      <c r="L149" s="81">
        <v>45689.40373842593</v>
      </c>
      <c r="M149" s="79">
        <f>IFERROR((COUNTIFS('Base de Dados'!DF:DF,"Sim",'Base de Dados'!A:A,A149,'Base de Dados'!B:B,B149)/(COUNTIFS('Base de Dados'!DF:DF,"Sim",'Base de Dados'!A:A,A149,'Base de Dados'!B:B,B149)+(COUNTIFS('Base de Dados'!DF:DF,"Não",'Base de Dados'!A:A,A149,'Base de Dados'!B:B,B149)))),"Não Aplica")</f>
        <v>1</v>
      </c>
      <c r="N149" s="14" t="s">
        <v>23434</v>
      </c>
      <c r="O149" s="14" t="s">
        <v>23439</v>
      </c>
      <c r="P149" s="14" t="s">
        <v>25474</v>
      </c>
      <c r="Q149" s="14" t="s">
        <v>23842</v>
      </c>
      <c r="R149" s="14" t="s">
        <v>23434</v>
      </c>
      <c r="S149" s="14" t="s">
        <v>25475</v>
      </c>
      <c r="T149" s="14" t="s">
        <v>23436</v>
      </c>
      <c r="U149" s="14" t="s">
        <v>23434</v>
      </c>
      <c r="V149" s="14" t="s">
        <v>25476</v>
      </c>
      <c r="W149" s="14" t="s">
        <v>22818</v>
      </c>
      <c r="X149" s="80"/>
      <c r="Y149" s="14" t="s">
        <v>23438</v>
      </c>
      <c r="Z149" s="81">
        <v>45691.61547453704</v>
      </c>
      <c r="AA149" s="79">
        <f>IFERROR((COUNTIFS('Base de Dados'!ED:ED,"Sim",'Base de Dados'!A:A,A149,'Base de Dados'!B:B,B149)/(COUNTIFS('Base de Dados'!ED:ED,"Sim",'Base de Dados'!A:A,A149,'Base de Dados'!B:B,B149)+(COUNTIFS('Base de Dados'!ED:ED,"Não",'Base de Dados'!A:A,A149,'Base de Dados'!B:B,B149)))),"Não Aplica")</f>
        <v>1</v>
      </c>
      <c r="AB149" s="14" t="s">
        <v>23434</v>
      </c>
      <c r="AC149" s="14" t="s">
        <v>25477</v>
      </c>
      <c r="AD149" s="14" t="s">
        <v>23842</v>
      </c>
      <c r="AE149" s="14" t="s">
        <v>23434</v>
      </c>
      <c r="AF149" s="14" t="s">
        <v>25478</v>
      </c>
      <c r="AG149" s="14" t="s">
        <v>22818</v>
      </c>
      <c r="AH149" s="80"/>
      <c r="AI149" s="14" t="s">
        <v>23438</v>
      </c>
      <c r="AJ149" s="81">
        <v>45692.544224537036</v>
      </c>
      <c r="AK149" s="82" t="s">
        <v>23446</v>
      </c>
      <c r="AL149" s="14" t="s">
        <v>23434</v>
      </c>
      <c r="AM149" s="14" t="s">
        <v>23439</v>
      </c>
      <c r="AN149" s="14" t="s">
        <v>25479</v>
      </c>
      <c r="AO149" s="14" t="s">
        <v>23842</v>
      </c>
      <c r="AP149" s="14" t="s">
        <v>23434</v>
      </c>
      <c r="AQ149" s="14" t="s">
        <v>23448</v>
      </c>
      <c r="AR149" s="14" t="s">
        <v>25480</v>
      </c>
      <c r="AS149" s="14" t="s">
        <v>23848</v>
      </c>
      <c r="AT149" s="14" t="s">
        <v>23434</v>
      </c>
      <c r="AU149" s="14" t="s">
        <v>23453</v>
      </c>
      <c r="AV149" s="14" t="s">
        <v>25481</v>
      </c>
      <c r="AW149" s="14" t="s">
        <v>23455</v>
      </c>
      <c r="AX149" s="14" t="s">
        <v>23434</v>
      </c>
      <c r="AY149" s="14" t="s">
        <v>23451</v>
      </c>
      <c r="AZ149" s="14" t="s">
        <v>25482</v>
      </c>
      <c r="BA149" s="14" t="s">
        <v>22818</v>
      </c>
      <c r="BB149" s="80"/>
      <c r="BC149" s="14" t="s">
        <v>23438</v>
      </c>
      <c r="BD149" s="81">
        <v>45720.29384259259</v>
      </c>
      <c r="BE149" s="79">
        <f>IFERROR((COUNTIFS('Base de Dados'!FD:FD,"Sim",'Base de Dados'!A:A,A149,'Base de Dados'!B:B,B149)/(COUNTIFS('Base de Dados'!FD:FD,"Sim",'Base de Dados'!A:A,A149,'Base de Dados'!B:B,B149)+(COUNTIFS('Base de Dados'!FD:FD,"Não",'Base de Dados'!A:A,A149,'Base de Dados'!B:B,B149)))),"Não Aplica")</f>
        <v>1</v>
      </c>
      <c r="BF149" s="14" t="s">
        <v>23434</v>
      </c>
      <c r="BG149" s="14" t="s">
        <v>23439</v>
      </c>
      <c r="BH149" s="14" t="s">
        <v>25483</v>
      </c>
      <c r="BI149" s="14" t="s">
        <v>23842</v>
      </c>
      <c r="BJ149" s="80"/>
      <c r="BK149" s="80"/>
      <c r="BL149" s="80"/>
      <c r="BM149" s="80"/>
      <c r="BN149" s="14" t="s">
        <v>23434</v>
      </c>
      <c r="BO149" s="14" t="s">
        <v>23453</v>
      </c>
      <c r="BP149" s="14" t="s">
        <v>25484</v>
      </c>
      <c r="BQ149" s="14" t="s">
        <v>23455</v>
      </c>
      <c r="BR149" s="14" t="s">
        <v>23434</v>
      </c>
      <c r="BS149" s="14" t="s">
        <v>23451</v>
      </c>
      <c r="BT149" s="14" t="s">
        <v>25485</v>
      </c>
      <c r="BU149" s="14" t="s">
        <v>22818</v>
      </c>
      <c r="BV149" s="80"/>
      <c r="BW149" s="14" t="s">
        <v>23438</v>
      </c>
      <c r="BX149" s="81">
        <v>45721.59100694444</v>
      </c>
      <c r="BY149" s="82" t="s">
        <v>23446</v>
      </c>
      <c r="BZ149" s="15"/>
      <c r="CA149" s="15"/>
      <c r="CB149" s="15"/>
      <c r="CC149" s="15"/>
      <c r="CD149" s="80"/>
      <c r="CE149" s="80"/>
      <c r="CF149" s="80"/>
      <c r="CG149" s="80"/>
      <c r="CH149" s="15"/>
      <c r="CI149" s="15"/>
      <c r="CJ149" s="15"/>
      <c r="CK149" s="15"/>
      <c r="CL149" s="15"/>
      <c r="CM149" s="15"/>
      <c r="CN149" s="15"/>
      <c r="CO149" s="15"/>
      <c r="CP149" s="80"/>
      <c r="CQ149" s="80" t="s">
        <v>23459</v>
      </c>
      <c r="CR149" s="83"/>
      <c r="CS149" s="84"/>
    </row>
    <row r="150">
      <c r="A150" s="78" t="s">
        <v>234</v>
      </c>
      <c r="B150" s="78" t="s">
        <v>2743</v>
      </c>
      <c r="C150" s="79">
        <f>IFERROR((COUNTIFS('Base de Dados'!BT:BT,"Sim",'Base de Dados'!A:A,A150,'Base de Dados'!B:B,B150)/(COUNTIFS('Base de Dados'!BT:BT,"Sim",'Base de Dados'!A:A,A150,'Base de Dados'!B:B,B150)+(COUNTIFS('Base de Dados'!BT:BT,"Não",'Base de Dados'!A:A,A150,'Base de Dados'!B:B,B150)))),"Não Aplica")</f>
        <v>1</v>
      </c>
      <c r="D150" s="14" t="s">
        <v>23434</v>
      </c>
      <c r="E150" s="14" t="s">
        <v>25486</v>
      </c>
      <c r="F150" s="14" t="s">
        <v>23436</v>
      </c>
      <c r="G150" s="14" t="s">
        <v>23434</v>
      </c>
      <c r="H150" s="14" t="s">
        <v>25487</v>
      </c>
      <c r="I150" s="14" t="s">
        <v>22818</v>
      </c>
      <c r="J150" s="80"/>
      <c r="K150" s="14" t="s">
        <v>23438</v>
      </c>
      <c r="L150" s="81">
        <v>45689.403761574074</v>
      </c>
      <c r="M150" s="79">
        <f>IFERROR((COUNTIFS('Base de Dados'!DF:DF,"Sim",'Base de Dados'!A:A,A150,'Base de Dados'!B:B,B150)/(COUNTIFS('Base de Dados'!DF:DF,"Sim",'Base de Dados'!A:A,A150,'Base de Dados'!B:B,B150)+(COUNTIFS('Base de Dados'!DF:DF,"Não",'Base de Dados'!A:A,A150,'Base de Dados'!B:B,B150)))),"Não Aplica")</f>
        <v>1</v>
      </c>
      <c r="N150" s="14" t="s">
        <v>23434</v>
      </c>
      <c r="O150" s="14" t="s">
        <v>23439</v>
      </c>
      <c r="P150" s="14" t="s">
        <v>25488</v>
      </c>
      <c r="Q150" s="14" t="s">
        <v>23842</v>
      </c>
      <c r="R150" s="14" t="s">
        <v>23434</v>
      </c>
      <c r="S150" s="14" t="s">
        <v>25489</v>
      </c>
      <c r="T150" s="14" t="s">
        <v>23436</v>
      </c>
      <c r="U150" s="14" t="s">
        <v>23434</v>
      </c>
      <c r="V150" s="14" t="s">
        <v>25490</v>
      </c>
      <c r="W150" s="14" t="s">
        <v>22818</v>
      </c>
      <c r="X150" s="80"/>
      <c r="Y150" s="14" t="s">
        <v>23438</v>
      </c>
      <c r="Z150" s="81">
        <v>45691.61515046296</v>
      </c>
      <c r="AA150" s="79">
        <f>IFERROR((COUNTIFS('Base de Dados'!ED:ED,"Sim",'Base de Dados'!A:A,A150,'Base de Dados'!B:B,B150)/(COUNTIFS('Base de Dados'!ED:ED,"Sim",'Base de Dados'!A:A,A150,'Base de Dados'!B:B,B150)+(COUNTIFS('Base de Dados'!ED:ED,"Não",'Base de Dados'!A:A,A150,'Base de Dados'!B:B,B150)))),"Não Aplica")</f>
        <v>1</v>
      </c>
      <c r="AB150" s="14" t="s">
        <v>23434</v>
      </c>
      <c r="AC150" s="14" t="s">
        <v>25491</v>
      </c>
      <c r="AD150" s="14" t="s">
        <v>23842</v>
      </c>
      <c r="AE150" s="14" t="s">
        <v>23434</v>
      </c>
      <c r="AF150" s="14" t="s">
        <v>25492</v>
      </c>
      <c r="AG150" s="14" t="s">
        <v>22818</v>
      </c>
      <c r="AH150" s="80"/>
      <c r="AI150" s="14" t="s">
        <v>23438</v>
      </c>
      <c r="AJ150" s="81">
        <v>45692.54451388889</v>
      </c>
      <c r="AK150" s="82" t="s">
        <v>23446</v>
      </c>
      <c r="AL150" s="14" t="s">
        <v>23434</v>
      </c>
      <c r="AM150" s="14" t="s">
        <v>23439</v>
      </c>
      <c r="AN150" s="14" t="s">
        <v>25493</v>
      </c>
      <c r="AO150" s="14" t="s">
        <v>23842</v>
      </c>
      <c r="AP150" s="14" t="s">
        <v>23434</v>
      </c>
      <c r="AQ150" s="14" t="s">
        <v>23448</v>
      </c>
      <c r="AR150" s="14" t="s">
        <v>25494</v>
      </c>
      <c r="AS150" s="14" t="s">
        <v>23848</v>
      </c>
      <c r="AT150" s="14" t="s">
        <v>23434</v>
      </c>
      <c r="AU150" s="14" t="s">
        <v>23453</v>
      </c>
      <c r="AV150" s="14" t="s">
        <v>25495</v>
      </c>
      <c r="AW150" s="14" t="s">
        <v>23455</v>
      </c>
      <c r="AX150" s="14" t="s">
        <v>23434</v>
      </c>
      <c r="AY150" s="14" t="s">
        <v>23451</v>
      </c>
      <c r="AZ150" s="14" t="s">
        <v>25496</v>
      </c>
      <c r="BA150" s="14" t="s">
        <v>22818</v>
      </c>
      <c r="BB150" s="80"/>
      <c r="BC150" s="14" t="s">
        <v>23438</v>
      </c>
      <c r="BD150" s="81">
        <v>45720.29388888889</v>
      </c>
      <c r="BE150" s="79">
        <f>IFERROR((COUNTIFS('Base de Dados'!FD:FD,"Sim",'Base de Dados'!A:A,A150,'Base de Dados'!B:B,B150)/(COUNTIFS('Base de Dados'!FD:FD,"Sim",'Base de Dados'!A:A,A150,'Base de Dados'!B:B,B150)+(COUNTIFS('Base de Dados'!FD:FD,"Não",'Base de Dados'!A:A,A150,'Base de Dados'!B:B,B150)))),"Não Aplica")</f>
        <v>1</v>
      </c>
      <c r="BF150" s="14" t="s">
        <v>23434</v>
      </c>
      <c r="BG150" s="14" t="s">
        <v>23439</v>
      </c>
      <c r="BH150" s="14" t="s">
        <v>25497</v>
      </c>
      <c r="BI150" s="14" t="s">
        <v>23842</v>
      </c>
      <c r="BJ150" s="80"/>
      <c r="BK150" s="80"/>
      <c r="BL150" s="80"/>
      <c r="BM150" s="80"/>
      <c r="BN150" s="14" t="s">
        <v>23434</v>
      </c>
      <c r="BO150" s="14" t="s">
        <v>23453</v>
      </c>
      <c r="BP150" s="14" t="s">
        <v>25498</v>
      </c>
      <c r="BQ150" s="14" t="s">
        <v>23455</v>
      </c>
      <c r="BR150" s="14" t="s">
        <v>23434</v>
      </c>
      <c r="BS150" s="14" t="s">
        <v>23451</v>
      </c>
      <c r="BT150" s="14" t="s">
        <v>25499</v>
      </c>
      <c r="BU150" s="14" t="s">
        <v>22818</v>
      </c>
      <c r="BV150" s="80"/>
      <c r="BW150" s="14" t="s">
        <v>23438</v>
      </c>
      <c r="BX150" s="81">
        <v>45721.59168981481</v>
      </c>
      <c r="BY150" s="82" t="s">
        <v>23446</v>
      </c>
      <c r="BZ150" s="15"/>
      <c r="CA150" s="15"/>
      <c r="CB150" s="15"/>
      <c r="CC150" s="15"/>
      <c r="CD150" s="80"/>
      <c r="CE150" s="80"/>
      <c r="CF150" s="80"/>
      <c r="CG150" s="80"/>
      <c r="CH150" s="15"/>
      <c r="CI150" s="15"/>
      <c r="CJ150" s="15"/>
      <c r="CK150" s="15"/>
      <c r="CL150" s="15"/>
      <c r="CM150" s="15"/>
      <c r="CN150" s="15"/>
      <c r="CO150" s="15"/>
      <c r="CP150" s="80"/>
      <c r="CQ150" s="80" t="s">
        <v>23459</v>
      </c>
      <c r="CR150" s="83"/>
      <c r="CS150" s="84"/>
    </row>
    <row r="151">
      <c r="A151" s="78" t="s">
        <v>234</v>
      </c>
      <c r="B151" s="78" t="s">
        <v>2779</v>
      </c>
      <c r="C151" s="79">
        <f>IFERROR((COUNTIFS('Base de Dados'!BT:BT,"Sim",'Base de Dados'!A:A,A151,'Base de Dados'!B:B,B151)/(COUNTIFS('Base de Dados'!BT:BT,"Sim",'Base de Dados'!A:A,A151,'Base de Dados'!B:B,B151)+(COUNTIFS('Base de Dados'!BT:BT,"Não",'Base de Dados'!A:A,A151,'Base de Dados'!B:B,B151)))),"Não Aplica")</f>
        <v>1</v>
      </c>
      <c r="D151" s="14" t="s">
        <v>25500</v>
      </c>
      <c r="E151" s="14" t="s">
        <v>25501</v>
      </c>
      <c r="F151" s="14" t="s">
        <v>23436</v>
      </c>
      <c r="G151" s="14" t="s">
        <v>25500</v>
      </c>
      <c r="H151" s="14" t="s">
        <v>25502</v>
      </c>
      <c r="I151" s="14" t="s">
        <v>22818</v>
      </c>
      <c r="J151" s="14" t="s">
        <v>25503</v>
      </c>
      <c r="K151" s="14" t="s">
        <v>23438</v>
      </c>
      <c r="L151" s="81">
        <v>45689.403703703705</v>
      </c>
      <c r="M151" s="79">
        <f>IFERROR((COUNTIFS('Base de Dados'!DF:DF,"Sim",'Base de Dados'!A:A,A151,'Base de Dados'!B:B,B151)/(COUNTIFS('Base de Dados'!DF:DF,"Sim",'Base de Dados'!A:A,A151,'Base de Dados'!B:B,B151)+(COUNTIFS('Base de Dados'!DF:DF,"Não",'Base de Dados'!A:A,A151,'Base de Dados'!B:B,B151)))),"Não Aplica")</f>
        <v>1</v>
      </c>
      <c r="N151" s="14" t="s">
        <v>23434</v>
      </c>
      <c r="O151" s="14" t="s">
        <v>23439</v>
      </c>
      <c r="P151" s="14" t="s">
        <v>25504</v>
      </c>
      <c r="Q151" s="14" t="s">
        <v>23842</v>
      </c>
      <c r="R151" s="14" t="s">
        <v>23434</v>
      </c>
      <c r="S151" s="14" t="s">
        <v>25505</v>
      </c>
      <c r="T151" s="14" t="s">
        <v>23436</v>
      </c>
      <c r="U151" s="14" t="s">
        <v>23434</v>
      </c>
      <c r="V151" s="14" t="s">
        <v>25506</v>
      </c>
      <c r="W151" s="14" t="s">
        <v>22818</v>
      </c>
      <c r="X151" s="80"/>
      <c r="Y151" s="14" t="s">
        <v>23438</v>
      </c>
      <c r="Z151" s="81">
        <v>45691.61574074074</v>
      </c>
      <c r="AA151" s="79">
        <f>IFERROR((COUNTIFS('Base de Dados'!ED:ED,"Sim",'Base de Dados'!A:A,A151,'Base de Dados'!B:B,B151)/(COUNTIFS('Base de Dados'!ED:ED,"Sim",'Base de Dados'!A:A,A151,'Base de Dados'!B:B,B151)+(COUNTIFS('Base de Dados'!ED:ED,"Não",'Base de Dados'!A:A,A151,'Base de Dados'!B:B,B151)))),"Não Aplica")</f>
        <v>1</v>
      </c>
      <c r="AB151" s="14" t="s">
        <v>23434</v>
      </c>
      <c r="AC151" s="14" t="s">
        <v>25507</v>
      </c>
      <c r="AD151" s="14" t="s">
        <v>23842</v>
      </c>
      <c r="AE151" s="14" t="s">
        <v>23434</v>
      </c>
      <c r="AF151" s="14" t="s">
        <v>25508</v>
      </c>
      <c r="AG151" s="14" t="s">
        <v>22818</v>
      </c>
      <c r="AH151" s="80"/>
      <c r="AI151" s="14" t="s">
        <v>23438</v>
      </c>
      <c r="AJ151" s="81">
        <v>45692.544282407405</v>
      </c>
      <c r="AK151" s="82" t="s">
        <v>23446</v>
      </c>
      <c r="AL151" s="14" t="s">
        <v>23434</v>
      </c>
      <c r="AM151" s="14" t="s">
        <v>23439</v>
      </c>
      <c r="AN151" s="14" t="s">
        <v>25509</v>
      </c>
      <c r="AO151" s="14" t="s">
        <v>23842</v>
      </c>
      <c r="AP151" s="14" t="s">
        <v>23434</v>
      </c>
      <c r="AQ151" s="14" t="s">
        <v>23448</v>
      </c>
      <c r="AR151" s="14" t="s">
        <v>25510</v>
      </c>
      <c r="AS151" s="14" t="s">
        <v>23848</v>
      </c>
      <c r="AT151" s="14" t="s">
        <v>23434</v>
      </c>
      <c r="AU151" s="14" t="s">
        <v>23453</v>
      </c>
      <c r="AV151" s="14" t="s">
        <v>25511</v>
      </c>
      <c r="AW151" s="14" t="s">
        <v>23455</v>
      </c>
      <c r="AX151" s="14" t="s">
        <v>23434</v>
      </c>
      <c r="AY151" s="14" t="s">
        <v>23451</v>
      </c>
      <c r="AZ151" s="14" t="s">
        <v>25512</v>
      </c>
      <c r="BA151" s="14" t="s">
        <v>22818</v>
      </c>
      <c r="BB151" s="80"/>
      <c r="BC151" s="14" t="s">
        <v>23438</v>
      </c>
      <c r="BD151" s="81">
        <v>45720.29392361111</v>
      </c>
      <c r="BE151" s="79">
        <f>IFERROR((COUNTIFS('Base de Dados'!FD:FD,"Sim",'Base de Dados'!A:A,A151,'Base de Dados'!B:B,B151)/(COUNTIFS('Base de Dados'!FD:FD,"Sim",'Base de Dados'!A:A,A151,'Base de Dados'!B:B,B151)+(COUNTIFS('Base de Dados'!FD:FD,"Não",'Base de Dados'!A:A,A151,'Base de Dados'!B:B,B151)))),"Não Aplica")</f>
        <v>1</v>
      </c>
      <c r="BF151" s="14" t="s">
        <v>23434</v>
      </c>
      <c r="BG151" s="14" t="s">
        <v>23439</v>
      </c>
      <c r="BH151" s="14" t="s">
        <v>25513</v>
      </c>
      <c r="BI151" s="14" t="s">
        <v>23842</v>
      </c>
      <c r="BJ151" s="80"/>
      <c r="BK151" s="80"/>
      <c r="BL151" s="80"/>
      <c r="BM151" s="80"/>
      <c r="BN151" s="14" t="s">
        <v>23434</v>
      </c>
      <c r="BO151" s="14" t="s">
        <v>23453</v>
      </c>
      <c r="BP151" s="14" t="s">
        <v>25514</v>
      </c>
      <c r="BQ151" s="14" t="s">
        <v>23455</v>
      </c>
      <c r="BR151" s="14" t="s">
        <v>23434</v>
      </c>
      <c r="BS151" s="14" t="s">
        <v>23451</v>
      </c>
      <c r="BT151" s="14" t="s">
        <v>25515</v>
      </c>
      <c r="BU151" s="14" t="s">
        <v>22818</v>
      </c>
      <c r="BV151" s="80"/>
      <c r="BW151" s="14" t="s">
        <v>23438</v>
      </c>
      <c r="BX151" s="81">
        <v>45721.59105324074</v>
      </c>
      <c r="BY151" s="82" t="s">
        <v>23446</v>
      </c>
      <c r="BZ151" s="15"/>
      <c r="CA151" s="15"/>
      <c r="CB151" s="15"/>
      <c r="CC151" s="15"/>
      <c r="CD151" s="80"/>
      <c r="CE151" s="80"/>
      <c r="CF151" s="80"/>
      <c r="CG151" s="80"/>
      <c r="CH151" s="15"/>
      <c r="CI151" s="15"/>
      <c r="CJ151" s="15"/>
      <c r="CK151" s="15"/>
      <c r="CL151" s="15"/>
      <c r="CM151" s="15"/>
      <c r="CN151" s="15"/>
      <c r="CO151" s="15"/>
      <c r="CP151" s="80"/>
      <c r="CQ151" s="80" t="s">
        <v>23459</v>
      </c>
      <c r="CR151" s="83"/>
      <c r="CS151" s="84"/>
    </row>
    <row r="152">
      <c r="A152" s="78" t="s">
        <v>234</v>
      </c>
      <c r="B152" s="78" t="s">
        <v>2816</v>
      </c>
      <c r="C152" s="79">
        <f>IFERROR((COUNTIFS('Base de Dados'!BT:BT,"Sim",'Base de Dados'!A:A,A152,'Base de Dados'!B:B,B152)/(COUNTIFS('Base de Dados'!BT:BT,"Sim",'Base de Dados'!A:A,A152,'Base de Dados'!B:B,B152)+(COUNTIFS('Base de Dados'!BT:BT,"Não",'Base de Dados'!A:A,A152,'Base de Dados'!B:B,B152)))),"Não Aplica")</f>
        <v>1</v>
      </c>
      <c r="D152" s="14" t="s">
        <v>23434</v>
      </c>
      <c r="E152" s="14" t="s">
        <v>25516</v>
      </c>
      <c r="F152" s="14" t="s">
        <v>23436</v>
      </c>
      <c r="G152" s="14" t="s">
        <v>23434</v>
      </c>
      <c r="H152" s="14" t="s">
        <v>25517</v>
      </c>
      <c r="I152" s="14" t="s">
        <v>22818</v>
      </c>
      <c r="J152" s="80"/>
      <c r="K152" s="14" t="s">
        <v>23438</v>
      </c>
      <c r="L152" s="81">
        <v>45689.40358796297</v>
      </c>
      <c r="M152" s="79">
        <f>IFERROR((COUNTIFS('Base de Dados'!DF:DF,"Sim",'Base de Dados'!A:A,A152,'Base de Dados'!B:B,B152)/(COUNTIFS('Base de Dados'!DF:DF,"Sim",'Base de Dados'!A:A,A152,'Base de Dados'!B:B,B152)+(COUNTIFS('Base de Dados'!DF:DF,"Não",'Base de Dados'!A:A,A152,'Base de Dados'!B:B,B152)))),"Não Aplica")</f>
        <v>1</v>
      </c>
      <c r="N152" s="14" t="s">
        <v>23434</v>
      </c>
      <c r="O152" s="14" t="s">
        <v>23439</v>
      </c>
      <c r="P152" s="14" t="s">
        <v>25518</v>
      </c>
      <c r="Q152" s="14" t="s">
        <v>23842</v>
      </c>
      <c r="R152" s="14" t="s">
        <v>23434</v>
      </c>
      <c r="S152" s="14" t="s">
        <v>25519</v>
      </c>
      <c r="T152" s="14" t="s">
        <v>23436</v>
      </c>
      <c r="U152" s="14" t="s">
        <v>23434</v>
      </c>
      <c r="V152" s="14" t="s">
        <v>25520</v>
      </c>
      <c r="W152" s="14" t="s">
        <v>22818</v>
      </c>
      <c r="X152" s="80"/>
      <c r="Y152" s="14" t="s">
        <v>23438</v>
      </c>
      <c r="Z152" s="81">
        <v>45691.61518518518</v>
      </c>
      <c r="AA152" s="79">
        <f>IFERROR((COUNTIFS('Base de Dados'!ED:ED,"Sim",'Base de Dados'!A:A,A152,'Base de Dados'!B:B,B152)/(COUNTIFS('Base de Dados'!ED:ED,"Sim",'Base de Dados'!A:A,A152,'Base de Dados'!B:B,B152)+(COUNTIFS('Base de Dados'!ED:ED,"Não",'Base de Dados'!A:A,A152,'Base de Dados'!B:B,B152)))),"Não Aplica")</f>
        <v>1</v>
      </c>
      <c r="AB152" s="14" t="s">
        <v>23434</v>
      </c>
      <c r="AC152" s="14" t="s">
        <v>25521</v>
      </c>
      <c r="AD152" s="14" t="s">
        <v>23842</v>
      </c>
      <c r="AE152" s="14" t="s">
        <v>23434</v>
      </c>
      <c r="AF152" s="14" t="s">
        <v>25522</v>
      </c>
      <c r="AG152" s="14" t="s">
        <v>22818</v>
      </c>
      <c r="AH152" s="80"/>
      <c r="AI152" s="14" t="s">
        <v>23438</v>
      </c>
      <c r="AJ152" s="81">
        <v>45692.5444212963</v>
      </c>
      <c r="AK152" s="82" t="s">
        <v>23446</v>
      </c>
      <c r="AL152" s="14" t="s">
        <v>23434</v>
      </c>
      <c r="AM152" s="14" t="s">
        <v>23439</v>
      </c>
      <c r="AN152" s="14" t="s">
        <v>25523</v>
      </c>
      <c r="AO152" s="14" t="s">
        <v>23842</v>
      </c>
      <c r="AP152" s="14" t="s">
        <v>23434</v>
      </c>
      <c r="AQ152" s="14" t="s">
        <v>23448</v>
      </c>
      <c r="AR152" s="14" t="s">
        <v>25524</v>
      </c>
      <c r="AS152" s="14" t="s">
        <v>23848</v>
      </c>
      <c r="AT152" s="14" t="s">
        <v>23434</v>
      </c>
      <c r="AU152" s="14" t="s">
        <v>23453</v>
      </c>
      <c r="AV152" s="14" t="s">
        <v>25525</v>
      </c>
      <c r="AW152" s="14" t="s">
        <v>23455</v>
      </c>
      <c r="AX152" s="14" t="s">
        <v>23434</v>
      </c>
      <c r="AY152" s="14" t="s">
        <v>23451</v>
      </c>
      <c r="AZ152" s="14" t="s">
        <v>25526</v>
      </c>
      <c r="BA152" s="14" t="s">
        <v>22818</v>
      </c>
      <c r="BB152" s="80"/>
      <c r="BC152" s="14" t="s">
        <v>23438</v>
      </c>
      <c r="BD152" s="81">
        <v>45720.293969907405</v>
      </c>
      <c r="BE152" s="79">
        <f>IFERROR((COUNTIFS('Base de Dados'!FD:FD,"Sim",'Base de Dados'!A:A,A152,'Base de Dados'!B:B,B152)/(COUNTIFS('Base de Dados'!FD:FD,"Sim",'Base de Dados'!A:A,A152,'Base de Dados'!B:B,B152)+(COUNTIFS('Base de Dados'!FD:FD,"Não",'Base de Dados'!A:A,A152,'Base de Dados'!B:B,B152)))),"Não Aplica")</f>
        <v>1</v>
      </c>
      <c r="BF152" s="14" t="s">
        <v>23434</v>
      </c>
      <c r="BG152" s="14" t="s">
        <v>23439</v>
      </c>
      <c r="BH152" s="14" t="s">
        <v>25527</v>
      </c>
      <c r="BI152" s="14" t="s">
        <v>23842</v>
      </c>
      <c r="BJ152" s="80"/>
      <c r="BK152" s="80"/>
      <c r="BL152" s="80"/>
      <c r="BM152" s="80"/>
      <c r="BN152" s="14" t="s">
        <v>23434</v>
      </c>
      <c r="BO152" s="14" t="s">
        <v>23453</v>
      </c>
      <c r="BP152" s="14" t="s">
        <v>25528</v>
      </c>
      <c r="BQ152" s="14" t="s">
        <v>23455</v>
      </c>
      <c r="BR152" s="14" t="s">
        <v>23434</v>
      </c>
      <c r="BS152" s="14" t="s">
        <v>23451</v>
      </c>
      <c r="BT152" s="14" t="s">
        <v>25529</v>
      </c>
      <c r="BU152" s="14" t="s">
        <v>22818</v>
      </c>
      <c r="BV152" s="80"/>
      <c r="BW152" s="14" t="s">
        <v>23438</v>
      </c>
      <c r="BX152" s="81">
        <v>45721.59116898148</v>
      </c>
      <c r="BY152" s="82" t="s">
        <v>23446</v>
      </c>
      <c r="BZ152" s="15"/>
      <c r="CA152" s="15"/>
      <c r="CB152" s="15"/>
      <c r="CC152" s="15"/>
      <c r="CD152" s="80"/>
      <c r="CE152" s="80"/>
      <c r="CF152" s="80"/>
      <c r="CG152" s="80"/>
      <c r="CH152" s="15"/>
      <c r="CI152" s="15"/>
      <c r="CJ152" s="15"/>
      <c r="CK152" s="15"/>
      <c r="CL152" s="15"/>
      <c r="CM152" s="15"/>
      <c r="CN152" s="15"/>
      <c r="CO152" s="15"/>
      <c r="CP152" s="80"/>
      <c r="CQ152" s="80" t="s">
        <v>23459</v>
      </c>
      <c r="CR152" s="83"/>
      <c r="CS152" s="84"/>
    </row>
    <row r="153">
      <c r="A153" s="78" t="s">
        <v>234</v>
      </c>
      <c r="B153" s="78" t="s">
        <v>2850</v>
      </c>
      <c r="C153" s="79">
        <f>IFERROR((COUNTIFS('Base de Dados'!BT:BT,"Sim",'Base de Dados'!A:A,A153,'Base de Dados'!B:B,B153)/(COUNTIFS('Base de Dados'!BT:BT,"Sim",'Base de Dados'!A:A,A153,'Base de Dados'!B:B,B153)+(COUNTIFS('Base de Dados'!BT:BT,"Não",'Base de Dados'!A:A,A153,'Base de Dados'!B:B,B153)))),"Não Aplica")</f>
        <v>1</v>
      </c>
      <c r="D153" s="14" t="s">
        <v>23434</v>
      </c>
      <c r="E153" s="14" t="s">
        <v>25530</v>
      </c>
      <c r="F153" s="14" t="s">
        <v>23436</v>
      </c>
      <c r="G153" s="14" t="s">
        <v>23434</v>
      </c>
      <c r="H153" s="14" t="s">
        <v>25531</v>
      </c>
      <c r="I153" s="14" t="s">
        <v>22818</v>
      </c>
      <c r="J153" s="80"/>
      <c r="K153" s="14" t="s">
        <v>23438</v>
      </c>
      <c r="L153" s="81">
        <v>45689.40368055556</v>
      </c>
      <c r="M153" s="79">
        <f>IFERROR((COUNTIFS('Base de Dados'!DF:DF,"Sim",'Base de Dados'!A:A,A153,'Base de Dados'!B:B,B153)/(COUNTIFS('Base de Dados'!DF:DF,"Sim",'Base de Dados'!A:A,A153,'Base de Dados'!B:B,B153)+(COUNTIFS('Base de Dados'!DF:DF,"Não",'Base de Dados'!A:A,A153,'Base de Dados'!B:B,B153)))),"Não Aplica")</f>
        <v>1</v>
      </c>
      <c r="N153" s="14" t="s">
        <v>23434</v>
      </c>
      <c r="O153" s="14" t="s">
        <v>23439</v>
      </c>
      <c r="P153" s="14" t="s">
        <v>25532</v>
      </c>
      <c r="Q153" s="14" t="s">
        <v>23842</v>
      </c>
      <c r="R153" s="14" t="s">
        <v>23434</v>
      </c>
      <c r="S153" s="14" t="s">
        <v>25533</v>
      </c>
      <c r="T153" s="14" t="s">
        <v>23436</v>
      </c>
      <c r="U153" s="14" t="s">
        <v>23434</v>
      </c>
      <c r="V153" s="14" t="s">
        <v>25534</v>
      </c>
      <c r="W153" s="14" t="s">
        <v>22818</v>
      </c>
      <c r="X153" s="80"/>
      <c r="Y153" s="14" t="s">
        <v>23438</v>
      </c>
      <c r="Z153" s="81">
        <v>45691.615208333336</v>
      </c>
      <c r="AA153" s="79">
        <f>IFERROR((COUNTIFS('Base de Dados'!ED:ED,"Sim",'Base de Dados'!A:A,A153,'Base de Dados'!B:B,B153)/(COUNTIFS('Base de Dados'!ED:ED,"Sim",'Base de Dados'!A:A,A153,'Base de Dados'!B:B,B153)+(COUNTIFS('Base de Dados'!ED:ED,"Não",'Base de Dados'!A:A,A153,'Base de Dados'!B:B,B153)))),"Não Aplica")</f>
        <v>1</v>
      </c>
      <c r="AB153" s="14" t="s">
        <v>23434</v>
      </c>
      <c r="AC153" s="14" t="s">
        <v>25535</v>
      </c>
      <c r="AD153" s="14" t="s">
        <v>23842</v>
      </c>
      <c r="AE153" s="14" t="s">
        <v>23434</v>
      </c>
      <c r="AF153" s="14" t="s">
        <v>25536</v>
      </c>
      <c r="AG153" s="14" t="s">
        <v>22818</v>
      </c>
      <c r="AH153" s="80"/>
      <c r="AI153" s="14" t="s">
        <v>23438</v>
      </c>
      <c r="AJ153" s="81">
        <v>45692.54439814815</v>
      </c>
      <c r="AK153" s="82" t="s">
        <v>23446</v>
      </c>
      <c r="AL153" s="14" t="s">
        <v>23434</v>
      </c>
      <c r="AM153" s="14" t="s">
        <v>23439</v>
      </c>
      <c r="AN153" s="14" t="s">
        <v>25537</v>
      </c>
      <c r="AO153" s="14" t="s">
        <v>23842</v>
      </c>
      <c r="AP153" s="14" t="s">
        <v>23434</v>
      </c>
      <c r="AQ153" s="14" t="s">
        <v>23448</v>
      </c>
      <c r="AR153" s="14" t="s">
        <v>25538</v>
      </c>
      <c r="AS153" s="14" t="s">
        <v>23848</v>
      </c>
      <c r="AT153" s="14" t="s">
        <v>23434</v>
      </c>
      <c r="AU153" s="14" t="s">
        <v>23453</v>
      </c>
      <c r="AV153" s="14" t="s">
        <v>25539</v>
      </c>
      <c r="AW153" s="14" t="s">
        <v>23455</v>
      </c>
      <c r="AX153" s="14" t="s">
        <v>23434</v>
      </c>
      <c r="AY153" s="14" t="s">
        <v>23451</v>
      </c>
      <c r="AZ153" s="14" t="s">
        <v>25540</v>
      </c>
      <c r="BA153" s="14" t="s">
        <v>22818</v>
      </c>
      <c r="BB153" s="80"/>
      <c r="BC153" s="14" t="s">
        <v>23438</v>
      </c>
      <c r="BD153" s="81">
        <v>45720.294016203705</v>
      </c>
      <c r="BE153" s="79">
        <f>IFERROR((COUNTIFS('Base de Dados'!FD:FD,"Sim",'Base de Dados'!A:A,A153,'Base de Dados'!B:B,B153)/(COUNTIFS('Base de Dados'!FD:FD,"Sim",'Base de Dados'!A:A,A153,'Base de Dados'!B:B,B153)+(COUNTIFS('Base de Dados'!FD:FD,"Não",'Base de Dados'!A:A,A153,'Base de Dados'!B:B,B153)))),"Não Aplica")</f>
        <v>1</v>
      </c>
      <c r="BF153" s="14" t="s">
        <v>23434</v>
      </c>
      <c r="BG153" s="14" t="s">
        <v>23439</v>
      </c>
      <c r="BH153" s="14" t="s">
        <v>25541</v>
      </c>
      <c r="BI153" s="14" t="s">
        <v>23842</v>
      </c>
      <c r="BJ153" s="80"/>
      <c r="BK153" s="80"/>
      <c r="BL153" s="80"/>
      <c r="BM153" s="80"/>
      <c r="BN153" s="14" t="s">
        <v>23434</v>
      </c>
      <c r="BO153" s="14" t="s">
        <v>23453</v>
      </c>
      <c r="BP153" s="14" t="s">
        <v>25542</v>
      </c>
      <c r="BQ153" s="14" t="s">
        <v>23455</v>
      </c>
      <c r="BR153" s="14" t="s">
        <v>23434</v>
      </c>
      <c r="BS153" s="14" t="s">
        <v>23451</v>
      </c>
      <c r="BT153" s="14" t="s">
        <v>25543</v>
      </c>
      <c r="BU153" s="14" t="s">
        <v>22818</v>
      </c>
      <c r="BV153" s="80"/>
      <c r="BW153" s="14" t="s">
        <v>23438</v>
      </c>
      <c r="BX153" s="81">
        <v>45721.59108796297</v>
      </c>
      <c r="BY153" s="82" t="s">
        <v>23446</v>
      </c>
      <c r="BZ153" s="15"/>
      <c r="CA153" s="15"/>
      <c r="CB153" s="15"/>
      <c r="CC153" s="15"/>
      <c r="CD153" s="80"/>
      <c r="CE153" s="80"/>
      <c r="CF153" s="80"/>
      <c r="CG153" s="80"/>
      <c r="CH153" s="15"/>
      <c r="CI153" s="15"/>
      <c r="CJ153" s="15"/>
      <c r="CK153" s="15"/>
      <c r="CL153" s="15"/>
      <c r="CM153" s="15"/>
      <c r="CN153" s="15"/>
      <c r="CO153" s="15"/>
      <c r="CP153" s="80"/>
      <c r="CQ153" s="80" t="s">
        <v>23459</v>
      </c>
      <c r="CR153" s="83"/>
      <c r="CS153" s="84"/>
    </row>
    <row r="154">
      <c r="A154" s="78" t="s">
        <v>234</v>
      </c>
      <c r="B154" s="78" t="s">
        <v>2885</v>
      </c>
      <c r="C154" s="79">
        <f>IFERROR((COUNTIFS('Base de Dados'!BT:BT,"Sim",'Base de Dados'!A:A,A154,'Base de Dados'!B:B,B154)/(COUNTIFS('Base de Dados'!BT:BT,"Sim",'Base de Dados'!A:A,A154,'Base de Dados'!B:B,B154)+(COUNTIFS('Base de Dados'!BT:BT,"Não",'Base de Dados'!A:A,A154,'Base de Dados'!B:B,B154)))),"Não Aplica")</f>
        <v>1</v>
      </c>
      <c r="D154" s="14" t="s">
        <v>23434</v>
      </c>
      <c r="E154" s="14" t="s">
        <v>25544</v>
      </c>
      <c r="F154" s="14" t="s">
        <v>23436</v>
      </c>
      <c r="G154" s="14" t="s">
        <v>23434</v>
      </c>
      <c r="H154" s="14" t="s">
        <v>25545</v>
      </c>
      <c r="I154" s="14" t="s">
        <v>22818</v>
      </c>
      <c r="J154" s="80"/>
      <c r="K154" s="14" t="s">
        <v>23438</v>
      </c>
      <c r="L154" s="81">
        <v>45689.40361111111</v>
      </c>
      <c r="M154" s="79">
        <f>IFERROR((COUNTIFS('Base de Dados'!DF:DF,"Sim",'Base de Dados'!A:A,A154,'Base de Dados'!B:B,B154)/(COUNTIFS('Base de Dados'!DF:DF,"Sim",'Base de Dados'!A:A,A154,'Base de Dados'!B:B,B154)+(COUNTIFS('Base de Dados'!DF:DF,"Não",'Base de Dados'!A:A,A154,'Base de Dados'!B:B,B154)))),"Não Aplica")</f>
        <v>1</v>
      </c>
      <c r="N154" s="14" t="s">
        <v>23434</v>
      </c>
      <c r="O154" s="14" t="s">
        <v>23439</v>
      </c>
      <c r="P154" s="14" t="s">
        <v>25546</v>
      </c>
      <c r="Q154" s="14" t="s">
        <v>23842</v>
      </c>
      <c r="R154" s="14" t="s">
        <v>23434</v>
      </c>
      <c r="S154" s="14" t="s">
        <v>25547</v>
      </c>
      <c r="T154" s="14" t="s">
        <v>23436</v>
      </c>
      <c r="U154" s="14" t="s">
        <v>23434</v>
      </c>
      <c r="V154" s="14" t="s">
        <v>25548</v>
      </c>
      <c r="W154" s="14" t="s">
        <v>22818</v>
      </c>
      <c r="X154" s="80"/>
      <c r="Y154" s="14" t="s">
        <v>23438</v>
      </c>
      <c r="Z154" s="81">
        <v>45691.61537037037</v>
      </c>
      <c r="AA154" s="79">
        <f>IFERROR((COUNTIFS('Base de Dados'!ED:ED,"Sim",'Base de Dados'!A:A,A154,'Base de Dados'!B:B,B154)/(COUNTIFS('Base de Dados'!ED:ED,"Sim",'Base de Dados'!A:A,A154,'Base de Dados'!B:B,B154)+(COUNTIFS('Base de Dados'!ED:ED,"Não",'Base de Dados'!A:A,A154,'Base de Dados'!B:B,B154)))),"Não Aplica")</f>
        <v>1</v>
      </c>
      <c r="AB154" s="14" t="s">
        <v>23434</v>
      </c>
      <c r="AC154" s="14" t="s">
        <v>25549</v>
      </c>
      <c r="AD154" s="14" t="s">
        <v>23842</v>
      </c>
      <c r="AE154" s="14" t="s">
        <v>23434</v>
      </c>
      <c r="AF154" s="14" t="s">
        <v>25550</v>
      </c>
      <c r="AG154" s="14" t="s">
        <v>22818</v>
      </c>
      <c r="AH154" s="80"/>
      <c r="AI154" s="14" t="s">
        <v>23438</v>
      </c>
      <c r="AJ154" s="81">
        <v>45692.54443287037</v>
      </c>
      <c r="AK154" s="82" t="s">
        <v>23446</v>
      </c>
      <c r="AL154" s="14" t="s">
        <v>23434</v>
      </c>
      <c r="AM154" s="14" t="s">
        <v>23439</v>
      </c>
      <c r="AN154" s="14" t="s">
        <v>25551</v>
      </c>
      <c r="AO154" s="14" t="s">
        <v>23842</v>
      </c>
      <c r="AP154" s="14" t="s">
        <v>23434</v>
      </c>
      <c r="AQ154" s="14" t="s">
        <v>23448</v>
      </c>
      <c r="AR154" s="14" t="s">
        <v>25552</v>
      </c>
      <c r="AS154" s="14" t="s">
        <v>23848</v>
      </c>
      <c r="AT154" s="14" t="s">
        <v>23434</v>
      </c>
      <c r="AU154" s="14" t="s">
        <v>23453</v>
      </c>
      <c r="AV154" s="14" t="s">
        <v>25553</v>
      </c>
      <c r="AW154" s="14" t="s">
        <v>23455</v>
      </c>
      <c r="AX154" s="14" t="s">
        <v>23434</v>
      </c>
      <c r="AY154" s="14" t="s">
        <v>23451</v>
      </c>
      <c r="AZ154" s="14" t="s">
        <v>25554</v>
      </c>
      <c r="BA154" s="14" t="s">
        <v>22818</v>
      </c>
      <c r="BB154" s="80"/>
      <c r="BC154" s="14" t="s">
        <v>23438</v>
      </c>
      <c r="BD154" s="81">
        <v>45720.29405092593</v>
      </c>
      <c r="BE154" s="79">
        <f>IFERROR((COUNTIFS('Base de Dados'!FD:FD,"Sim",'Base de Dados'!A:A,A154,'Base de Dados'!B:B,B154)/(COUNTIFS('Base de Dados'!FD:FD,"Sim",'Base de Dados'!A:A,A154,'Base de Dados'!B:B,B154)+(COUNTIFS('Base de Dados'!FD:FD,"Não",'Base de Dados'!A:A,A154,'Base de Dados'!B:B,B154)))),"Não Aplica")</f>
        <v>1</v>
      </c>
      <c r="BF154" s="14" t="s">
        <v>23434</v>
      </c>
      <c r="BG154" s="14" t="s">
        <v>23439</v>
      </c>
      <c r="BH154" s="14" t="s">
        <v>25555</v>
      </c>
      <c r="BI154" s="14" t="s">
        <v>23842</v>
      </c>
      <c r="BJ154" s="80"/>
      <c r="BK154" s="80"/>
      <c r="BL154" s="80"/>
      <c r="BM154" s="80"/>
      <c r="BN154" s="14" t="s">
        <v>23434</v>
      </c>
      <c r="BO154" s="14" t="s">
        <v>23453</v>
      </c>
      <c r="BP154" s="14" t="s">
        <v>25556</v>
      </c>
      <c r="BQ154" s="14" t="s">
        <v>23455</v>
      </c>
      <c r="BR154" s="14" t="s">
        <v>23434</v>
      </c>
      <c r="BS154" s="14" t="s">
        <v>23451</v>
      </c>
      <c r="BT154" s="14" t="s">
        <v>25557</v>
      </c>
      <c r="BU154" s="14" t="s">
        <v>22818</v>
      </c>
      <c r="BV154" s="80"/>
      <c r="BW154" s="14" t="s">
        <v>23438</v>
      </c>
      <c r="BX154" s="81">
        <v>45721.59113425926</v>
      </c>
      <c r="BY154" s="82" t="s">
        <v>23446</v>
      </c>
      <c r="BZ154" s="15"/>
      <c r="CA154" s="15"/>
      <c r="CB154" s="15"/>
      <c r="CC154" s="15"/>
      <c r="CD154" s="80"/>
      <c r="CE154" s="80"/>
      <c r="CF154" s="80"/>
      <c r="CG154" s="80"/>
      <c r="CH154" s="15"/>
      <c r="CI154" s="15"/>
      <c r="CJ154" s="15"/>
      <c r="CK154" s="15"/>
      <c r="CL154" s="15"/>
      <c r="CM154" s="15"/>
      <c r="CN154" s="15"/>
      <c r="CO154" s="15"/>
      <c r="CP154" s="80"/>
      <c r="CQ154" s="80" t="s">
        <v>23459</v>
      </c>
      <c r="CR154" s="83"/>
      <c r="CS154" s="84"/>
    </row>
    <row r="155">
      <c r="A155" s="78" t="s">
        <v>234</v>
      </c>
      <c r="B155" s="78" t="s">
        <v>2921</v>
      </c>
      <c r="C155" s="79">
        <f>IFERROR((COUNTIFS('Base de Dados'!BT:BT,"Sim",'Base de Dados'!A:A,A155,'Base de Dados'!B:B,B155)/(COUNTIFS('Base de Dados'!BT:BT,"Sim",'Base de Dados'!A:A,A155,'Base de Dados'!B:B,B155)+(COUNTIFS('Base de Dados'!BT:BT,"Não",'Base de Dados'!A:A,A155,'Base de Dados'!B:B,B155)))),"Não Aplica")</f>
        <v>1</v>
      </c>
      <c r="D155" s="14" t="s">
        <v>23434</v>
      </c>
      <c r="E155" s="14" t="s">
        <v>25558</v>
      </c>
      <c r="F155" s="14" t="s">
        <v>23436</v>
      </c>
      <c r="G155" s="14" t="s">
        <v>23434</v>
      </c>
      <c r="H155" s="14" t="s">
        <v>25559</v>
      </c>
      <c r="I155" s="14" t="s">
        <v>22818</v>
      </c>
      <c r="J155" s="80"/>
      <c r="K155" s="14" t="s">
        <v>23438</v>
      </c>
      <c r="L155" s="81">
        <v>45689.403645833336</v>
      </c>
      <c r="M155" s="79">
        <f>IFERROR((COUNTIFS('Base de Dados'!DF:DF,"Sim",'Base de Dados'!A:A,A155,'Base de Dados'!B:B,B155)/(COUNTIFS('Base de Dados'!DF:DF,"Sim",'Base de Dados'!A:A,A155,'Base de Dados'!B:B,B155)+(COUNTIFS('Base de Dados'!DF:DF,"Não",'Base de Dados'!A:A,A155,'Base de Dados'!B:B,B155)))),"Não Aplica")</f>
        <v>1</v>
      </c>
      <c r="N155" s="14" t="s">
        <v>23434</v>
      </c>
      <c r="O155" s="14" t="s">
        <v>23439</v>
      </c>
      <c r="P155" s="14" t="s">
        <v>25560</v>
      </c>
      <c r="Q155" s="14" t="s">
        <v>23842</v>
      </c>
      <c r="R155" s="14" t="s">
        <v>23434</v>
      </c>
      <c r="S155" s="14" t="s">
        <v>25561</v>
      </c>
      <c r="T155" s="14" t="s">
        <v>23436</v>
      </c>
      <c r="U155" s="14" t="s">
        <v>23434</v>
      </c>
      <c r="V155" s="14" t="s">
        <v>25562</v>
      </c>
      <c r="W155" s="14" t="s">
        <v>22818</v>
      </c>
      <c r="X155" s="80"/>
      <c r="Y155" s="14" t="s">
        <v>23438</v>
      </c>
      <c r="Z155" s="81">
        <v>45691.615266203706</v>
      </c>
      <c r="AA155" s="79">
        <f>IFERROR((COUNTIFS('Base de Dados'!ED:ED,"Sim",'Base de Dados'!A:A,A155,'Base de Dados'!B:B,B155)/(COUNTIFS('Base de Dados'!ED:ED,"Sim",'Base de Dados'!A:A,A155,'Base de Dados'!B:B,B155)+(COUNTIFS('Base de Dados'!ED:ED,"Não",'Base de Dados'!A:A,A155,'Base de Dados'!B:B,B155)))),"Não Aplica")</f>
        <v>1</v>
      </c>
      <c r="AB155" s="14" t="s">
        <v>23434</v>
      </c>
      <c r="AC155" s="14" t="s">
        <v>25563</v>
      </c>
      <c r="AD155" s="14" t="s">
        <v>23842</v>
      </c>
      <c r="AE155" s="14" t="s">
        <v>23434</v>
      </c>
      <c r="AF155" s="14" t="s">
        <v>25564</v>
      </c>
      <c r="AG155" s="14" t="s">
        <v>22818</v>
      </c>
      <c r="AH155" s="80"/>
      <c r="AI155" s="14" t="s">
        <v>23438</v>
      </c>
      <c r="AJ155" s="81">
        <v>45692.54445601852</v>
      </c>
      <c r="AK155" s="82" t="s">
        <v>23446</v>
      </c>
      <c r="AL155" s="14" t="s">
        <v>23434</v>
      </c>
      <c r="AM155" s="14" t="s">
        <v>23439</v>
      </c>
      <c r="AN155" s="14" t="s">
        <v>25565</v>
      </c>
      <c r="AO155" s="14" t="s">
        <v>23842</v>
      </c>
      <c r="AP155" s="14" t="s">
        <v>23434</v>
      </c>
      <c r="AQ155" s="14" t="s">
        <v>23448</v>
      </c>
      <c r="AR155" s="14" t="s">
        <v>25566</v>
      </c>
      <c r="AS155" s="14" t="s">
        <v>23848</v>
      </c>
      <c r="AT155" s="14" t="s">
        <v>23434</v>
      </c>
      <c r="AU155" s="14" t="s">
        <v>23453</v>
      </c>
      <c r="AV155" s="14" t="s">
        <v>25567</v>
      </c>
      <c r="AW155" s="14" t="s">
        <v>23455</v>
      </c>
      <c r="AX155" s="14" t="s">
        <v>23434</v>
      </c>
      <c r="AY155" s="14" t="s">
        <v>23451</v>
      </c>
      <c r="AZ155" s="14" t="s">
        <v>25568</v>
      </c>
      <c r="BA155" s="14" t="s">
        <v>22818</v>
      </c>
      <c r="BB155" s="80"/>
      <c r="BC155" s="14" t="s">
        <v>23438</v>
      </c>
      <c r="BD155" s="81">
        <v>45720.29408564815</v>
      </c>
      <c r="BE155" s="79">
        <f>IFERROR((COUNTIFS('Base de Dados'!FD:FD,"Sim",'Base de Dados'!A:A,A155,'Base de Dados'!B:B,B155)/(COUNTIFS('Base de Dados'!FD:FD,"Sim",'Base de Dados'!A:A,A155,'Base de Dados'!B:B,B155)+(COUNTIFS('Base de Dados'!FD:FD,"Não",'Base de Dados'!A:A,A155,'Base de Dados'!B:B,B155)))),"Não Aplica")</f>
        <v>1</v>
      </c>
      <c r="BF155" s="14" t="s">
        <v>23434</v>
      </c>
      <c r="BG155" s="14" t="s">
        <v>23439</v>
      </c>
      <c r="BH155" s="14" t="s">
        <v>25569</v>
      </c>
      <c r="BI155" s="14" t="s">
        <v>23842</v>
      </c>
      <c r="BJ155" s="80"/>
      <c r="BK155" s="80"/>
      <c r="BL155" s="80"/>
      <c r="BM155" s="80"/>
      <c r="BN155" s="14" t="s">
        <v>23434</v>
      </c>
      <c r="BO155" s="14" t="s">
        <v>23453</v>
      </c>
      <c r="BP155" s="14" t="s">
        <v>25570</v>
      </c>
      <c r="BQ155" s="14" t="s">
        <v>23455</v>
      </c>
      <c r="BR155" s="14" t="s">
        <v>23434</v>
      </c>
      <c r="BS155" s="14" t="s">
        <v>23451</v>
      </c>
      <c r="BT155" s="14" t="s">
        <v>25571</v>
      </c>
      <c r="BU155" s="14" t="s">
        <v>22818</v>
      </c>
      <c r="BV155" s="80"/>
      <c r="BW155" s="14" t="s">
        <v>23438</v>
      </c>
      <c r="BX155" s="81">
        <v>45721.591215277775</v>
      </c>
      <c r="BY155" s="82" t="s">
        <v>23446</v>
      </c>
      <c r="BZ155" s="15"/>
      <c r="CA155" s="15"/>
      <c r="CB155" s="15"/>
      <c r="CC155" s="15"/>
      <c r="CD155" s="80"/>
      <c r="CE155" s="80"/>
      <c r="CF155" s="80"/>
      <c r="CG155" s="80"/>
      <c r="CH155" s="15"/>
      <c r="CI155" s="15"/>
      <c r="CJ155" s="15"/>
      <c r="CK155" s="15"/>
      <c r="CL155" s="15"/>
      <c r="CM155" s="15"/>
      <c r="CN155" s="15"/>
      <c r="CO155" s="15"/>
      <c r="CP155" s="80"/>
      <c r="CQ155" s="80" t="s">
        <v>23459</v>
      </c>
      <c r="CR155" s="83"/>
      <c r="CS155" s="84"/>
    </row>
    <row r="156">
      <c r="A156" s="78" t="s">
        <v>234</v>
      </c>
      <c r="B156" s="78" t="s">
        <v>511</v>
      </c>
      <c r="C156" s="79">
        <f>IFERROR((COUNTIFS('Base de Dados'!BT:BT,"Sim",'Base de Dados'!A:A,A156,'Base de Dados'!B:B,B156)/(COUNTIFS('Base de Dados'!BT:BT,"Sim",'Base de Dados'!A:A,A156,'Base de Dados'!B:B,B156)+(COUNTIFS('Base de Dados'!BT:BT,"Não",'Base de Dados'!A:A,A156,'Base de Dados'!B:B,B156)))),"Não Aplica")</f>
        <v>1</v>
      </c>
      <c r="D156" s="14" t="s">
        <v>23434</v>
      </c>
      <c r="E156" s="14" t="s">
        <v>25572</v>
      </c>
      <c r="F156" s="14" t="s">
        <v>23436</v>
      </c>
      <c r="G156" s="14" t="s">
        <v>23434</v>
      </c>
      <c r="H156" s="14" t="s">
        <v>25573</v>
      </c>
      <c r="I156" s="14" t="s">
        <v>22818</v>
      </c>
      <c r="J156" s="80"/>
      <c r="K156" s="14" t="s">
        <v>23438</v>
      </c>
      <c r="L156" s="81">
        <v>45687.66291666667</v>
      </c>
      <c r="M156" s="79">
        <f>IFERROR((COUNTIFS('Base de Dados'!DF:DF,"Sim",'Base de Dados'!A:A,A156,'Base de Dados'!B:B,B156)/(COUNTIFS('Base de Dados'!DF:DF,"Sim",'Base de Dados'!A:A,A156,'Base de Dados'!B:B,B156)+(COUNTIFS('Base de Dados'!DF:DF,"Não",'Base de Dados'!A:A,A156,'Base de Dados'!B:B,B156)))),"Não Aplica")</f>
        <v>1</v>
      </c>
      <c r="N156" s="14" t="s">
        <v>23434</v>
      </c>
      <c r="O156" s="14" t="s">
        <v>23439</v>
      </c>
      <c r="P156" s="14" t="s">
        <v>25574</v>
      </c>
      <c r="Q156" s="14" t="s">
        <v>23842</v>
      </c>
      <c r="R156" s="14" t="s">
        <v>23434</v>
      </c>
      <c r="S156" s="14" t="s">
        <v>25575</v>
      </c>
      <c r="T156" s="14" t="s">
        <v>23436</v>
      </c>
      <c r="U156" s="14" t="s">
        <v>23434</v>
      </c>
      <c r="V156" s="14" t="s">
        <v>25576</v>
      </c>
      <c r="W156" s="14" t="s">
        <v>22818</v>
      </c>
      <c r="X156" s="80"/>
      <c r="Y156" s="14" t="s">
        <v>23438</v>
      </c>
      <c r="Z156" s="81">
        <v>45691.61524305555</v>
      </c>
      <c r="AA156" s="79">
        <f>IFERROR((COUNTIFS('Base de Dados'!ED:ED,"Sim",'Base de Dados'!A:A,A156,'Base de Dados'!B:B,B156)/(COUNTIFS('Base de Dados'!ED:ED,"Sim",'Base de Dados'!A:A,A156,'Base de Dados'!B:B,B156)+(COUNTIFS('Base de Dados'!ED:ED,"Não",'Base de Dados'!A:A,A156,'Base de Dados'!B:B,B156)))),"Não Aplica")</f>
        <v>1</v>
      </c>
      <c r="AB156" s="14" t="s">
        <v>23434</v>
      </c>
      <c r="AC156" s="14" t="s">
        <v>25577</v>
      </c>
      <c r="AD156" s="14" t="s">
        <v>23842</v>
      </c>
      <c r="AE156" s="14" t="s">
        <v>23434</v>
      </c>
      <c r="AF156" s="14" t="s">
        <v>25578</v>
      </c>
      <c r="AG156" s="14" t="s">
        <v>22818</v>
      </c>
      <c r="AH156" s="80"/>
      <c r="AI156" s="14" t="s">
        <v>23438</v>
      </c>
      <c r="AJ156" s="81">
        <v>45692.54447916667</v>
      </c>
      <c r="AK156" s="82" t="s">
        <v>23446</v>
      </c>
      <c r="AL156" s="14" t="s">
        <v>23434</v>
      </c>
      <c r="AM156" s="14" t="s">
        <v>23439</v>
      </c>
      <c r="AN156" s="14" t="s">
        <v>25579</v>
      </c>
      <c r="AO156" s="14" t="s">
        <v>23842</v>
      </c>
      <c r="AP156" s="14" t="s">
        <v>23434</v>
      </c>
      <c r="AQ156" s="14" t="s">
        <v>23448</v>
      </c>
      <c r="AR156" s="14" t="s">
        <v>25580</v>
      </c>
      <c r="AS156" s="14" t="s">
        <v>23848</v>
      </c>
      <c r="AT156" s="14" t="s">
        <v>23434</v>
      </c>
      <c r="AU156" s="14" t="s">
        <v>23453</v>
      </c>
      <c r="AV156" s="14" t="s">
        <v>25581</v>
      </c>
      <c r="AW156" s="14" t="s">
        <v>23455</v>
      </c>
      <c r="AX156" s="14" t="s">
        <v>23434</v>
      </c>
      <c r="AY156" s="14" t="s">
        <v>23451</v>
      </c>
      <c r="AZ156" s="14" t="s">
        <v>25582</v>
      </c>
      <c r="BA156" s="14" t="s">
        <v>22818</v>
      </c>
      <c r="BB156" s="80"/>
      <c r="BC156" s="14" t="s">
        <v>23438</v>
      </c>
      <c r="BD156" s="81">
        <v>45720.2946875</v>
      </c>
      <c r="BE156" s="79">
        <f>IFERROR((COUNTIFS('Base de Dados'!FD:FD,"Sim",'Base de Dados'!A:A,A156,'Base de Dados'!B:B,B156)/(COUNTIFS('Base de Dados'!FD:FD,"Sim",'Base de Dados'!A:A,A156,'Base de Dados'!B:B,B156)+(COUNTIFS('Base de Dados'!FD:FD,"Não",'Base de Dados'!A:A,A156,'Base de Dados'!B:B,B156)))),"Não Aplica")</f>
        <v>1</v>
      </c>
      <c r="BF156" s="14" t="s">
        <v>23434</v>
      </c>
      <c r="BG156" s="14" t="s">
        <v>23439</v>
      </c>
      <c r="BH156" s="14" t="s">
        <v>25583</v>
      </c>
      <c r="BI156" s="14" t="s">
        <v>23842</v>
      </c>
      <c r="BJ156" s="80"/>
      <c r="BK156" s="80"/>
      <c r="BL156" s="80"/>
      <c r="BM156" s="80"/>
      <c r="BN156" s="14" t="s">
        <v>23434</v>
      </c>
      <c r="BO156" s="14" t="s">
        <v>23453</v>
      </c>
      <c r="BP156" s="14" t="s">
        <v>25584</v>
      </c>
      <c r="BQ156" s="14" t="s">
        <v>23455</v>
      </c>
      <c r="BR156" s="14" t="s">
        <v>23434</v>
      </c>
      <c r="BS156" s="14" t="s">
        <v>23451</v>
      </c>
      <c r="BT156" s="14" t="s">
        <v>25585</v>
      </c>
      <c r="BU156" s="14" t="s">
        <v>22818</v>
      </c>
      <c r="BV156" s="80"/>
      <c r="BW156" s="14" t="s">
        <v>23438</v>
      </c>
      <c r="BX156" s="81">
        <v>45721.59172453704</v>
      </c>
      <c r="BY156" s="82" t="s">
        <v>23446</v>
      </c>
      <c r="BZ156" s="15"/>
      <c r="CA156" s="15"/>
      <c r="CB156" s="15"/>
      <c r="CC156" s="15"/>
      <c r="CD156" s="80"/>
      <c r="CE156" s="80"/>
      <c r="CF156" s="80"/>
      <c r="CG156" s="80"/>
      <c r="CH156" s="15"/>
      <c r="CI156" s="15"/>
      <c r="CJ156" s="15"/>
      <c r="CK156" s="15"/>
      <c r="CL156" s="15"/>
      <c r="CM156" s="15"/>
      <c r="CN156" s="15"/>
      <c r="CO156" s="15"/>
      <c r="CP156" s="80"/>
      <c r="CQ156" s="80" t="s">
        <v>23459</v>
      </c>
      <c r="CR156" s="83"/>
      <c r="CS156" s="84"/>
    </row>
    <row r="157">
      <c r="A157" s="78" t="s">
        <v>234</v>
      </c>
      <c r="B157" s="78" t="s">
        <v>8709</v>
      </c>
      <c r="C157" s="79">
        <f>IFERROR((COUNTIFS('Base de Dados'!BT:BT,"Sim",'Base de Dados'!A:A,A157,'Base de Dados'!B:B,B157)/(COUNTIFS('Base de Dados'!BT:BT,"Sim",'Base de Dados'!A:A,A157,'Base de Dados'!B:B,B157)+(COUNTIFS('Base de Dados'!BT:BT,"Não",'Base de Dados'!A:A,A157,'Base de Dados'!B:B,B157)))),"Não Aplica")</f>
        <v>1</v>
      </c>
      <c r="D157" s="14" t="s">
        <v>23434</v>
      </c>
      <c r="E157" s="14" t="s">
        <v>25586</v>
      </c>
      <c r="F157" s="14" t="s">
        <v>23436</v>
      </c>
      <c r="G157" s="14" t="s">
        <v>23434</v>
      </c>
      <c r="H157" s="14" t="s">
        <v>25587</v>
      </c>
      <c r="I157" s="14" t="s">
        <v>22818</v>
      </c>
      <c r="J157" s="80"/>
      <c r="K157" s="14" t="s">
        <v>23438</v>
      </c>
      <c r="L157" s="81">
        <v>45687.66297453704</v>
      </c>
      <c r="M157" s="79">
        <f>IFERROR((COUNTIFS('Base de Dados'!DF:DF,"Sim",'Base de Dados'!A:A,A157,'Base de Dados'!B:B,B157)/(COUNTIFS('Base de Dados'!DF:DF,"Sim",'Base de Dados'!A:A,A157,'Base de Dados'!B:B,B157)+(COUNTIFS('Base de Dados'!DF:DF,"Não",'Base de Dados'!A:A,A157,'Base de Dados'!B:B,B157)))),"Não Aplica")</f>
        <v>1</v>
      </c>
      <c r="N157" s="14" t="s">
        <v>23434</v>
      </c>
      <c r="O157" s="14" t="s">
        <v>23439</v>
      </c>
      <c r="P157" s="14" t="s">
        <v>25588</v>
      </c>
      <c r="Q157" s="14" t="s">
        <v>23842</v>
      </c>
      <c r="R157" s="14" t="s">
        <v>23434</v>
      </c>
      <c r="S157" s="14" t="s">
        <v>25589</v>
      </c>
      <c r="T157" s="14" t="s">
        <v>23436</v>
      </c>
      <c r="U157" s="14" t="s">
        <v>23434</v>
      </c>
      <c r="V157" s="14" t="s">
        <v>25590</v>
      </c>
      <c r="W157" s="14" t="s">
        <v>22818</v>
      </c>
      <c r="X157" s="80"/>
      <c r="Y157" s="14" t="s">
        <v>23438</v>
      </c>
      <c r="Z157" s="81">
        <v>45691.61570601852</v>
      </c>
      <c r="AA157" s="79">
        <f>IFERROR((COUNTIFS('Base de Dados'!ED:ED,"Sim",'Base de Dados'!A:A,A157,'Base de Dados'!B:B,B157)/(COUNTIFS('Base de Dados'!ED:ED,"Sim",'Base de Dados'!A:A,A157,'Base de Dados'!B:B,B157)+(COUNTIFS('Base de Dados'!ED:ED,"Não",'Base de Dados'!A:A,A157,'Base de Dados'!B:B,B157)))),"Não Aplica")</f>
        <v>1</v>
      </c>
      <c r="AB157" s="14" t="s">
        <v>23434</v>
      </c>
      <c r="AC157" s="14" t="s">
        <v>25591</v>
      </c>
      <c r="AD157" s="14" t="s">
        <v>23842</v>
      </c>
      <c r="AE157" s="14" t="s">
        <v>23434</v>
      </c>
      <c r="AF157" s="14" t="s">
        <v>25592</v>
      </c>
      <c r="AG157" s="14" t="s">
        <v>22818</v>
      </c>
      <c r="AH157" s="80"/>
      <c r="AI157" s="14" t="s">
        <v>23438</v>
      </c>
      <c r="AJ157" s="81">
        <v>45692.54450231481</v>
      </c>
      <c r="AK157" s="82" t="s">
        <v>23446</v>
      </c>
      <c r="AL157" s="14" t="s">
        <v>23434</v>
      </c>
      <c r="AM157" s="14" t="s">
        <v>23439</v>
      </c>
      <c r="AN157" s="14" t="s">
        <v>25593</v>
      </c>
      <c r="AO157" s="14" t="s">
        <v>23842</v>
      </c>
      <c r="AP157" s="14" t="s">
        <v>23434</v>
      </c>
      <c r="AQ157" s="14" t="s">
        <v>23448</v>
      </c>
      <c r="AR157" s="14" t="s">
        <v>25594</v>
      </c>
      <c r="AS157" s="14" t="s">
        <v>23848</v>
      </c>
      <c r="AT157" s="14" t="s">
        <v>23434</v>
      </c>
      <c r="AU157" s="14" t="s">
        <v>23453</v>
      </c>
      <c r="AV157" s="14" t="s">
        <v>25595</v>
      </c>
      <c r="AW157" s="14" t="s">
        <v>23455</v>
      </c>
      <c r="AX157" s="14" t="s">
        <v>23434</v>
      </c>
      <c r="AY157" s="14" t="s">
        <v>23451</v>
      </c>
      <c r="AZ157" s="14" t="s">
        <v>25596</v>
      </c>
      <c r="BA157" s="14" t="s">
        <v>22818</v>
      </c>
      <c r="BB157" s="80"/>
      <c r="BC157" s="14" t="s">
        <v>23438</v>
      </c>
      <c r="BD157" s="81">
        <v>45720.29474537037</v>
      </c>
      <c r="BE157" s="79">
        <f>IFERROR((COUNTIFS('Base de Dados'!FD:FD,"Sim",'Base de Dados'!A:A,A157,'Base de Dados'!B:B,B157)/(COUNTIFS('Base de Dados'!FD:FD,"Sim",'Base de Dados'!A:A,A157,'Base de Dados'!B:B,B157)+(COUNTIFS('Base de Dados'!FD:FD,"Não",'Base de Dados'!A:A,A157,'Base de Dados'!B:B,B157)))),"Não Aplica")</f>
        <v>1</v>
      </c>
      <c r="BF157" s="14" t="s">
        <v>23434</v>
      </c>
      <c r="BG157" s="14" t="s">
        <v>23439</v>
      </c>
      <c r="BH157" s="14" t="s">
        <v>25597</v>
      </c>
      <c r="BI157" s="14" t="s">
        <v>23842</v>
      </c>
      <c r="BJ157" s="80"/>
      <c r="BK157" s="80"/>
      <c r="BL157" s="80"/>
      <c r="BM157" s="80"/>
      <c r="BN157" s="14" t="s">
        <v>23434</v>
      </c>
      <c r="BO157" s="14" t="s">
        <v>23453</v>
      </c>
      <c r="BP157" s="14" t="s">
        <v>25598</v>
      </c>
      <c r="BQ157" s="14" t="s">
        <v>23455</v>
      </c>
      <c r="BR157" s="14" t="s">
        <v>23434</v>
      </c>
      <c r="BS157" s="14" t="s">
        <v>23451</v>
      </c>
      <c r="BT157" s="14" t="s">
        <v>25599</v>
      </c>
      <c r="BU157" s="14" t="s">
        <v>22818</v>
      </c>
      <c r="BV157" s="80"/>
      <c r="BW157" s="14" t="s">
        <v>23438</v>
      </c>
      <c r="BX157" s="81">
        <v>45721.59175925926</v>
      </c>
      <c r="BY157" s="82" t="s">
        <v>23446</v>
      </c>
      <c r="BZ157" s="15"/>
      <c r="CA157" s="15"/>
      <c r="CB157" s="15"/>
      <c r="CC157" s="15"/>
      <c r="CD157" s="80"/>
      <c r="CE157" s="80"/>
      <c r="CF157" s="80"/>
      <c r="CG157" s="80"/>
      <c r="CH157" s="15"/>
      <c r="CI157" s="15"/>
      <c r="CJ157" s="15"/>
      <c r="CK157" s="15"/>
      <c r="CL157" s="15"/>
      <c r="CM157" s="15"/>
      <c r="CN157" s="15"/>
      <c r="CO157" s="15"/>
      <c r="CP157" s="80"/>
      <c r="CQ157" s="80" t="s">
        <v>23459</v>
      </c>
      <c r="CR157" s="83"/>
      <c r="CS157" s="84"/>
    </row>
    <row r="158">
      <c r="A158" s="78" t="s">
        <v>234</v>
      </c>
      <c r="B158" s="78" t="s">
        <v>15413</v>
      </c>
      <c r="C158" s="79">
        <f>IFERROR((COUNTIFS('Base de Dados'!BT:BT,"Sim",'Base de Dados'!A:A,A158,'Base de Dados'!B:B,B158)/(COUNTIFS('Base de Dados'!BT:BT,"Sim",'Base de Dados'!A:A,A158,'Base de Dados'!B:B,B158)+(COUNTIFS('Base de Dados'!BT:BT,"Não",'Base de Dados'!A:A,A158,'Base de Dados'!B:B,B158)))),"Não Aplica")</f>
        <v>1</v>
      </c>
      <c r="D158" s="14" t="s">
        <v>23434</v>
      </c>
      <c r="E158" s="14" t="s">
        <v>25600</v>
      </c>
      <c r="F158" s="14" t="s">
        <v>23436</v>
      </c>
      <c r="G158" s="14" t="s">
        <v>23434</v>
      </c>
      <c r="H158" s="14" t="s">
        <v>25601</v>
      </c>
      <c r="I158" s="14" t="s">
        <v>22818</v>
      </c>
      <c r="J158" s="80"/>
      <c r="K158" s="14" t="s">
        <v>23438</v>
      </c>
      <c r="L158" s="81">
        <v>45691.610671296294</v>
      </c>
      <c r="M158" s="79">
        <f>IFERROR((COUNTIFS('Base de Dados'!DF:DF,"Sim",'Base de Dados'!A:A,A158,'Base de Dados'!B:B,B158)/(COUNTIFS('Base de Dados'!DF:DF,"Sim",'Base de Dados'!A:A,A158,'Base de Dados'!B:B,B158)+(COUNTIFS('Base de Dados'!DF:DF,"Não",'Base de Dados'!A:A,A158,'Base de Dados'!B:B,B158)))),"Não Aplica")</f>
        <v>1</v>
      </c>
      <c r="N158" s="14" t="s">
        <v>23434</v>
      </c>
      <c r="O158" s="14" t="s">
        <v>23439</v>
      </c>
      <c r="P158" s="14" t="s">
        <v>25602</v>
      </c>
      <c r="Q158" s="14" t="s">
        <v>23842</v>
      </c>
      <c r="R158" s="14" t="s">
        <v>23434</v>
      </c>
      <c r="S158" s="14" t="s">
        <v>25603</v>
      </c>
      <c r="T158" s="14" t="s">
        <v>23436</v>
      </c>
      <c r="U158" s="14" t="s">
        <v>23434</v>
      </c>
      <c r="V158" s="14" t="s">
        <v>25604</v>
      </c>
      <c r="W158" s="14" t="s">
        <v>22818</v>
      </c>
      <c r="X158" s="80"/>
      <c r="Y158" s="14" t="s">
        <v>23438</v>
      </c>
      <c r="Z158" s="81">
        <v>45692.536631944444</v>
      </c>
      <c r="AA158" s="79">
        <f>IFERROR((COUNTIFS('Base de Dados'!ED:ED,"Sim",'Base de Dados'!A:A,A158,'Base de Dados'!B:B,B158)/(COUNTIFS('Base de Dados'!ED:ED,"Sim",'Base de Dados'!A:A,A158,'Base de Dados'!B:B,B158)+(COUNTIFS('Base de Dados'!ED:ED,"Não",'Base de Dados'!A:A,A158,'Base de Dados'!B:B,B158)))),"Não Aplica")</f>
        <v>1</v>
      </c>
      <c r="AB158" s="14" t="s">
        <v>23434</v>
      </c>
      <c r="AC158" s="14" t="s">
        <v>25605</v>
      </c>
      <c r="AD158" s="14" t="s">
        <v>23842</v>
      </c>
      <c r="AE158" s="14" t="s">
        <v>23434</v>
      </c>
      <c r="AF158" s="14" t="s">
        <v>25606</v>
      </c>
      <c r="AG158" s="14" t="s">
        <v>22818</v>
      </c>
      <c r="AH158" s="80"/>
      <c r="AI158" s="14" t="s">
        <v>23438</v>
      </c>
      <c r="AJ158" s="81">
        <v>45693.45224537037</v>
      </c>
      <c r="AK158" s="82" t="s">
        <v>23446</v>
      </c>
      <c r="AL158" s="14" t="s">
        <v>23434</v>
      </c>
      <c r="AM158" s="14" t="s">
        <v>23439</v>
      </c>
      <c r="AN158" s="14" t="s">
        <v>25607</v>
      </c>
      <c r="AO158" s="14" t="s">
        <v>23842</v>
      </c>
      <c r="AP158" s="14" t="s">
        <v>23434</v>
      </c>
      <c r="AQ158" s="14" t="s">
        <v>23448</v>
      </c>
      <c r="AR158" s="14" t="s">
        <v>25608</v>
      </c>
      <c r="AS158" s="14" t="s">
        <v>23848</v>
      </c>
      <c r="AT158" s="14" t="s">
        <v>23434</v>
      </c>
      <c r="AU158" s="14" t="s">
        <v>23453</v>
      </c>
      <c r="AV158" s="14" t="s">
        <v>25609</v>
      </c>
      <c r="AW158" s="14" t="s">
        <v>23455</v>
      </c>
      <c r="AX158" s="14" t="s">
        <v>23434</v>
      </c>
      <c r="AY158" s="14" t="s">
        <v>23451</v>
      </c>
      <c r="AZ158" s="14" t="s">
        <v>25610</v>
      </c>
      <c r="BA158" s="14" t="s">
        <v>22818</v>
      </c>
      <c r="BB158" s="80"/>
      <c r="BC158" s="14" t="s">
        <v>23438</v>
      </c>
      <c r="BD158" s="81">
        <v>45720.29483796296</v>
      </c>
      <c r="BE158" s="79">
        <f>IFERROR((COUNTIFS('Base de Dados'!FD:FD,"Sim",'Base de Dados'!A:A,A158,'Base de Dados'!B:B,B158)/(COUNTIFS('Base de Dados'!FD:FD,"Sim",'Base de Dados'!A:A,A158,'Base de Dados'!B:B,B158)+(COUNTIFS('Base de Dados'!FD:FD,"Não",'Base de Dados'!A:A,A158,'Base de Dados'!B:B,B158)))),"Não Aplica")</f>
        <v>1</v>
      </c>
      <c r="BF158" s="14" t="s">
        <v>23434</v>
      </c>
      <c r="BG158" s="14" t="s">
        <v>23439</v>
      </c>
      <c r="BH158" s="14" t="s">
        <v>25611</v>
      </c>
      <c r="BI158" s="14" t="s">
        <v>23842</v>
      </c>
      <c r="BJ158" s="80"/>
      <c r="BK158" s="80"/>
      <c r="BL158" s="80"/>
      <c r="BM158" s="80"/>
      <c r="BN158" s="14" t="s">
        <v>23434</v>
      </c>
      <c r="BO158" s="14" t="s">
        <v>23453</v>
      </c>
      <c r="BP158" s="14" t="s">
        <v>25612</v>
      </c>
      <c r="BQ158" s="14" t="s">
        <v>23455</v>
      </c>
      <c r="BR158" s="14" t="s">
        <v>23434</v>
      </c>
      <c r="BS158" s="14" t="s">
        <v>23451</v>
      </c>
      <c r="BT158" s="14" t="s">
        <v>25613</v>
      </c>
      <c r="BU158" s="14" t="s">
        <v>22818</v>
      </c>
      <c r="BV158" s="80"/>
      <c r="BW158" s="14" t="s">
        <v>23438</v>
      </c>
      <c r="BX158" s="81">
        <v>45721.59179398148</v>
      </c>
      <c r="BY158" s="82" t="s">
        <v>23446</v>
      </c>
      <c r="BZ158" s="15"/>
      <c r="CA158" s="15"/>
      <c r="CB158" s="15"/>
      <c r="CC158" s="15"/>
      <c r="CD158" s="80"/>
      <c r="CE158" s="80"/>
      <c r="CF158" s="80"/>
      <c r="CG158" s="80"/>
      <c r="CH158" s="15"/>
      <c r="CI158" s="15"/>
      <c r="CJ158" s="15"/>
      <c r="CK158" s="15"/>
      <c r="CL158" s="15"/>
      <c r="CM158" s="15"/>
      <c r="CN158" s="15"/>
      <c r="CO158" s="15"/>
      <c r="CP158" s="80"/>
      <c r="CQ158" s="80" t="s">
        <v>23459</v>
      </c>
      <c r="CR158" s="83"/>
      <c r="CS158" s="84"/>
    </row>
    <row r="159">
      <c r="A159" s="78" t="s">
        <v>234</v>
      </c>
      <c r="B159" s="78" t="s">
        <v>15431</v>
      </c>
      <c r="C159" s="79">
        <f>IFERROR((COUNTIFS('Base de Dados'!BT:BT,"Sim",'Base de Dados'!A:A,A159,'Base de Dados'!B:B,B159)/(COUNTIFS('Base de Dados'!BT:BT,"Sim",'Base de Dados'!A:A,A159,'Base de Dados'!B:B,B159)+(COUNTIFS('Base de Dados'!BT:BT,"Não",'Base de Dados'!A:A,A159,'Base de Dados'!B:B,B159)))),"Não Aplica")</f>
        <v>1</v>
      </c>
      <c r="D159" s="14" t="s">
        <v>23434</v>
      </c>
      <c r="E159" s="14" t="s">
        <v>25614</v>
      </c>
      <c r="F159" s="14" t="s">
        <v>23436</v>
      </c>
      <c r="G159" s="14" t="s">
        <v>23434</v>
      </c>
      <c r="H159" s="14" t="s">
        <v>25615</v>
      </c>
      <c r="I159" s="14" t="s">
        <v>22818</v>
      </c>
      <c r="J159" s="80"/>
      <c r="K159" s="14" t="s">
        <v>23438</v>
      </c>
      <c r="L159" s="81">
        <v>45691.610625</v>
      </c>
      <c r="M159" s="79">
        <f>IFERROR((COUNTIFS('Base de Dados'!DF:DF,"Sim",'Base de Dados'!A:A,A159,'Base de Dados'!B:B,B159)/(COUNTIFS('Base de Dados'!DF:DF,"Sim",'Base de Dados'!A:A,A159,'Base de Dados'!B:B,B159)+(COUNTIFS('Base de Dados'!DF:DF,"Não",'Base de Dados'!A:A,A159,'Base de Dados'!B:B,B159)))),"Não Aplica")</f>
        <v>1</v>
      </c>
      <c r="N159" s="14" t="s">
        <v>23434</v>
      </c>
      <c r="O159" s="14" t="s">
        <v>23439</v>
      </c>
      <c r="P159" s="14" t="s">
        <v>25616</v>
      </c>
      <c r="Q159" s="14" t="s">
        <v>23842</v>
      </c>
      <c r="R159" s="14" t="s">
        <v>23434</v>
      </c>
      <c r="S159" s="14" t="s">
        <v>25617</v>
      </c>
      <c r="T159" s="14" t="s">
        <v>23436</v>
      </c>
      <c r="U159" s="14" t="s">
        <v>228</v>
      </c>
      <c r="V159" s="14" t="s">
        <v>25618</v>
      </c>
      <c r="W159" s="14" t="s">
        <v>22818</v>
      </c>
      <c r="X159" s="80"/>
      <c r="Y159" s="14" t="s">
        <v>23438</v>
      </c>
      <c r="Z159" s="81">
        <v>45692.53697916667</v>
      </c>
      <c r="AA159" s="79">
        <f>IFERROR((COUNTIFS('Base de Dados'!ED:ED,"Sim",'Base de Dados'!A:A,A159,'Base de Dados'!B:B,B159)/(COUNTIFS('Base de Dados'!ED:ED,"Sim",'Base de Dados'!A:A,A159,'Base de Dados'!B:B,B159)+(COUNTIFS('Base de Dados'!ED:ED,"Não",'Base de Dados'!A:A,A159,'Base de Dados'!B:B,B159)))),"Não Aplica")</f>
        <v>1</v>
      </c>
      <c r="AB159" s="14" t="s">
        <v>23434</v>
      </c>
      <c r="AC159" s="14" t="s">
        <v>25619</v>
      </c>
      <c r="AD159" s="14" t="s">
        <v>23842</v>
      </c>
      <c r="AE159" s="14" t="s">
        <v>23434</v>
      </c>
      <c r="AF159" s="14" t="s">
        <v>25620</v>
      </c>
      <c r="AG159" s="14" t="s">
        <v>22818</v>
      </c>
      <c r="AH159" s="80"/>
      <c r="AI159" s="14" t="s">
        <v>23438</v>
      </c>
      <c r="AJ159" s="81">
        <v>45693.452199074076</v>
      </c>
      <c r="AK159" s="82" t="s">
        <v>23446</v>
      </c>
      <c r="AL159" s="14" t="s">
        <v>23434</v>
      </c>
      <c r="AM159" s="14" t="s">
        <v>23439</v>
      </c>
      <c r="AN159" s="14" t="s">
        <v>25621</v>
      </c>
      <c r="AO159" s="14" t="s">
        <v>23842</v>
      </c>
      <c r="AP159" s="14" t="s">
        <v>23434</v>
      </c>
      <c r="AQ159" s="14" t="s">
        <v>23448</v>
      </c>
      <c r="AR159" s="14" t="s">
        <v>25622</v>
      </c>
      <c r="AS159" s="14" t="s">
        <v>23848</v>
      </c>
      <c r="AT159" s="14" t="s">
        <v>23434</v>
      </c>
      <c r="AU159" s="14" t="s">
        <v>23453</v>
      </c>
      <c r="AV159" s="14" t="s">
        <v>25623</v>
      </c>
      <c r="AW159" s="14" t="s">
        <v>23455</v>
      </c>
      <c r="AX159" s="14" t="s">
        <v>23434</v>
      </c>
      <c r="AY159" s="14" t="s">
        <v>23451</v>
      </c>
      <c r="AZ159" s="14" t="s">
        <v>25624</v>
      </c>
      <c r="BA159" s="14" t="s">
        <v>22818</v>
      </c>
      <c r="BB159" s="80"/>
      <c r="BC159" s="14" t="s">
        <v>23438</v>
      </c>
      <c r="BD159" s="81">
        <v>45720.29478009259</v>
      </c>
      <c r="BE159" s="79">
        <f>IFERROR((COUNTIFS('Base de Dados'!FD:FD,"Sim",'Base de Dados'!A:A,A159,'Base de Dados'!B:B,B159)/(COUNTIFS('Base de Dados'!FD:FD,"Sim",'Base de Dados'!A:A,A159,'Base de Dados'!B:B,B159)+(COUNTIFS('Base de Dados'!FD:FD,"Não",'Base de Dados'!A:A,A159,'Base de Dados'!B:B,B159)))),"Não Aplica")</f>
        <v>1</v>
      </c>
      <c r="BF159" s="14" t="s">
        <v>23434</v>
      </c>
      <c r="BG159" s="14" t="s">
        <v>23439</v>
      </c>
      <c r="BH159" s="14" t="s">
        <v>25625</v>
      </c>
      <c r="BI159" s="14" t="s">
        <v>23842</v>
      </c>
      <c r="BJ159" s="80"/>
      <c r="BK159" s="80"/>
      <c r="BL159" s="80"/>
      <c r="BM159" s="80"/>
      <c r="BN159" s="14" t="s">
        <v>23434</v>
      </c>
      <c r="BO159" s="14" t="s">
        <v>23453</v>
      </c>
      <c r="BP159" s="14" t="s">
        <v>25626</v>
      </c>
      <c r="BQ159" s="14" t="s">
        <v>23455</v>
      </c>
      <c r="BR159" s="14" t="s">
        <v>23434</v>
      </c>
      <c r="BS159" s="14" t="s">
        <v>23451</v>
      </c>
      <c r="BT159" s="14" t="s">
        <v>25627</v>
      </c>
      <c r="BU159" s="14" t="s">
        <v>22818</v>
      </c>
      <c r="BV159" s="80"/>
      <c r="BW159" s="14" t="s">
        <v>23438</v>
      </c>
      <c r="BX159" s="81">
        <v>45721.591828703706</v>
      </c>
      <c r="BY159" s="82" t="s">
        <v>23446</v>
      </c>
      <c r="BZ159" s="15"/>
      <c r="CA159" s="15"/>
      <c r="CB159" s="15"/>
      <c r="CC159" s="15"/>
      <c r="CD159" s="80"/>
      <c r="CE159" s="80"/>
      <c r="CF159" s="80"/>
      <c r="CG159" s="80"/>
      <c r="CH159" s="15"/>
      <c r="CI159" s="15"/>
      <c r="CJ159" s="15"/>
      <c r="CK159" s="15"/>
      <c r="CL159" s="15"/>
      <c r="CM159" s="15"/>
      <c r="CN159" s="15"/>
      <c r="CO159" s="15"/>
      <c r="CP159" s="80"/>
      <c r="CQ159" s="80" t="s">
        <v>23459</v>
      </c>
      <c r="CR159" s="83"/>
      <c r="CS159" s="84"/>
    </row>
    <row r="160">
      <c r="A160" s="78" t="s">
        <v>234</v>
      </c>
      <c r="B160" s="78" t="s">
        <v>3128</v>
      </c>
      <c r="C160" s="79">
        <f>IFERROR((COUNTIFS('Base de Dados'!BT:BT,"Sim",'Base de Dados'!A:A,A160,'Base de Dados'!B:B,B160)/(COUNTIFS('Base de Dados'!BT:BT,"Sim",'Base de Dados'!A:A,A160,'Base de Dados'!B:B,B160)+(COUNTIFS('Base de Dados'!BT:BT,"Não",'Base de Dados'!A:A,A160,'Base de Dados'!B:B,B160)))),"Não Aplica")</f>
        <v>1</v>
      </c>
      <c r="D160" s="14" t="s">
        <v>23434</v>
      </c>
      <c r="E160" s="14" t="s">
        <v>25628</v>
      </c>
      <c r="F160" s="14" t="s">
        <v>23436</v>
      </c>
      <c r="G160" s="14" t="s">
        <v>23434</v>
      </c>
      <c r="H160" s="14" t="s">
        <v>25629</v>
      </c>
      <c r="I160" s="14" t="s">
        <v>22818</v>
      </c>
      <c r="J160" s="80"/>
      <c r="K160" s="14" t="s">
        <v>23438</v>
      </c>
      <c r="L160" s="81">
        <v>45691.61042824074</v>
      </c>
      <c r="M160" s="79">
        <f>IFERROR((COUNTIFS('Base de Dados'!DF:DF,"Sim",'Base de Dados'!A:A,A160,'Base de Dados'!B:B,B160)/(COUNTIFS('Base de Dados'!DF:DF,"Sim",'Base de Dados'!A:A,A160,'Base de Dados'!B:B,B160)+(COUNTIFS('Base de Dados'!DF:DF,"Não",'Base de Dados'!A:A,A160,'Base de Dados'!B:B,B160)))),"Não Aplica")</f>
        <v>1</v>
      </c>
      <c r="N160" s="14" t="s">
        <v>23434</v>
      </c>
      <c r="O160" s="14" t="s">
        <v>23439</v>
      </c>
      <c r="P160" s="14" t="s">
        <v>25630</v>
      </c>
      <c r="Q160" s="14" t="s">
        <v>23842</v>
      </c>
      <c r="R160" s="14" t="s">
        <v>23434</v>
      </c>
      <c r="S160" s="14" t="s">
        <v>25631</v>
      </c>
      <c r="T160" s="14" t="s">
        <v>23436</v>
      </c>
      <c r="U160" s="14" t="s">
        <v>23434</v>
      </c>
      <c r="V160" s="14" t="s">
        <v>25632</v>
      </c>
      <c r="W160" s="14" t="s">
        <v>22818</v>
      </c>
      <c r="X160" s="80"/>
      <c r="Y160" s="14" t="s">
        <v>23438</v>
      </c>
      <c r="Z160" s="81">
        <v>45692.536678240744</v>
      </c>
      <c r="AA160" s="79">
        <f>IFERROR((COUNTIFS('Base de Dados'!ED:ED,"Sim",'Base de Dados'!A:A,A160,'Base de Dados'!B:B,B160)/(COUNTIFS('Base de Dados'!ED:ED,"Sim",'Base de Dados'!A:A,A160,'Base de Dados'!B:B,B160)+(COUNTIFS('Base de Dados'!ED:ED,"Não",'Base de Dados'!A:A,A160,'Base de Dados'!B:B,B160)))),"Não Aplica")</f>
        <v>1</v>
      </c>
      <c r="AB160" s="14" t="s">
        <v>23434</v>
      </c>
      <c r="AC160" s="14" t="s">
        <v>25633</v>
      </c>
      <c r="AD160" s="14" t="s">
        <v>23842</v>
      </c>
      <c r="AE160" s="14" t="s">
        <v>23434</v>
      </c>
      <c r="AF160" s="14" t="s">
        <v>25634</v>
      </c>
      <c r="AG160" s="14" t="s">
        <v>22818</v>
      </c>
      <c r="AH160" s="80"/>
      <c r="AI160" s="14" t="s">
        <v>23438</v>
      </c>
      <c r="AJ160" s="81">
        <v>45693.45208333333</v>
      </c>
      <c r="AK160" s="82" t="s">
        <v>23446</v>
      </c>
      <c r="AL160" s="14" t="s">
        <v>23434</v>
      </c>
      <c r="AM160" s="14" t="s">
        <v>23439</v>
      </c>
      <c r="AN160" s="14" t="s">
        <v>25635</v>
      </c>
      <c r="AO160" s="14" t="s">
        <v>23842</v>
      </c>
      <c r="AP160" s="14" t="s">
        <v>23434</v>
      </c>
      <c r="AQ160" s="14" t="s">
        <v>23448</v>
      </c>
      <c r="AR160" s="14" t="s">
        <v>25636</v>
      </c>
      <c r="AS160" s="14" t="s">
        <v>23848</v>
      </c>
      <c r="AT160" s="14" t="s">
        <v>23434</v>
      </c>
      <c r="AU160" s="14" t="s">
        <v>23453</v>
      </c>
      <c r="AV160" s="14" t="s">
        <v>25637</v>
      </c>
      <c r="AW160" s="14" t="s">
        <v>23455</v>
      </c>
      <c r="AX160" s="14" t="s">
        <v>23434</v>
      </c>
      <c r="AY160" s="14" t="s">
        <v>23451</v>
      </c>
      <c r="AZ160" s="14" t="s">
        <v>25638</v>
      </c>
      <c r="BA160" s="14" t="s">
        <v>22818</v>
      </c>
      <c r="BB160" s="80"/>
      <c r="BC160" s="14" t="s">
        <v>23438</v>
      </c>
      <c r="BD160" s="81">
        <v>45720.294803240744</v>
      </c>
      <c r="BE160" s="79">
        <f>IFERROR((COUNTIFS('Base de Dados'!FD:FD,"Sim",'Base de Dados'!A:A,A160,'Base de Dados'!B:B,B160)/(COUNTIFS('Base de Dados'!FD:FD,"Sim",'Base de Dados'!A:A,A160,'Base de Dados'!B:B,B160)+(COUNTIFS('Base de Dados'!FD:FD,"Não",'Base de Dados'!A:A,A160,'Base de Dados'!B:B,B160)))),"Não Aplica")</f>
        <v>1</v>
      </c>
      <c r="BF160" s="14" t="s">
        <v>23434</v>
      </c>
      <c r="BG160" s="14" t="s">
        <v>23439</v>
      </c>
      <c r="BH160" s="14" t="s">
        <v>25639</v>
      </c>
      <c r="BI160" s="14" t="s">
        <v>23842</v>
      </c>
      <c r="BJ160" s="80"/>
      <c r="BK160" s="80"/>
      <c r="BL160" s="80"/>
      <c r="BM160" s="80"/>
      <c r="BN160" s="14" t="s">
        <v>23434</v>
      </c>
      <c r="BO160" s="14" t="s">
        <v>23453</v>
      </c>
      <c r="BP160" s="14" t="s">
        <v>25640</v>
      </c>
      <c r="BQ160" s="14" t="s">
        <v>23455</v>
      </c>
      <c r="BR160" s="14" t="s">
        <v>23434</v>
      </c>
      <c r="BS160" s="14" t="s">
        <v>23451</v>
      </c>
      <c r="BT160" s="14" t="s">
        <v>25641</v>
      </c>
      <c r="BU160" s="14" t="s">
        <v>22818</v>
      </c>
      <c r="BV160" s="80"/>
      <c r="BW160" s="14" t="s">
        <v>23438</v>
      </c>
      <c r="BX160" s="81">
        <v>45721.59186342593</v>
      </c>
      <c r="BY160" s="82" t="s">
        <v>23446</v>
      </c>
      <c r="BZ160" s="15"/>
      <c r="CA160" s="15"/>
      <c r="CB160" s="15"/>
      <c r="CC160" s="15"/>
      <c r="CD160" s="80"/>
      <c r="CE160" s="80"/>
      <c r="CF160" s="80"/>
      <c r="CG160" s="80"/>
      <c r="CH160" s="15"/>
      <c r="CI160" s="15"/>
      <c r="CJ160" s="15"/>
      <c r="CK160" s="15"/>
      <c r="CL160" s="15"/>
      <c r="CM160" s="15"/>
      <c r="CN160" s="15"/>
      <c r="CO160" s="15"/>
      <c r="CP160" s="80"/>
      <c r="CQ160" s="80" t="s">
        <v>23459</v>
      </c>
      <c r="CR160" s="83"/>
      <c r="CS160" s="84"/>
    </row>
    <row r="161">
      <c r="A161" s="78" t="s">
        <v>234</v>
      </c>
      <c r="B161" s="78" t="s">
        <v>17296</v>
      </c>
      <c r="C161" s="79">
        <f>IFERROR((COUNTIFS('Base de Dados'!BT:BT,"Sim",'Base de Dados'!A:A,A161,'Base de Dados'!B:B,B161)/(COUNTIFS('Base de Dados'!BT:BT,"Sim",'Base de Dados'!A:A,A161,'Base de Dados'!B:B,B161)+(COUNTIFS('Base de Dados'!BT:BT,"Não",'Base de Dados'!A:A,A161,'Base de Dados'!B:B,B161)))),"Não Aplica")</f>
        <v>1</v>
      </c>
      <c r="D161" s="14" t="s">
        <v>23434</v>
      </c>
      <c r="E161" s="14" t="s">
        <v>25642</v>
      </c>
      <c r="F161" s="14" t="s">
        <v>23436</v>
      </c>
      <c r="G161" s="14" t="s">
        <v>23434</v>
      </c>
      <c r="H161" s="14" t="s">
        <v>25643</v>
      </c>
      <c r="I161" s="14" t="s">
        <v>22818</v>
      </c>
      <c r="J161" s="80"/>
      <c r="K161" s="14" t="s">
        <v>23438</v>
      </c>
      <c r="L161" s="81">
        <v>45691.61056712963</v>
      </c>
      <c r="M161" s="79">
        <f>IFERROR((COUNTIFS('Base de Dados'!DF:DF,"Sim",'Base de Dados'!A:A,A161,'Base de Dados'!B:B,B161)/(COUNTIFS('Base de Dados'!DF:DF,"Sim",'Base de Dados'!A:A,A161,'Base de Dados'!B:B,B161)+(COUNTIFS('Base de Dados'!DF:DF,"Não",'Base de Dados'!A:A,A161,'Base de Dados'!B:B,B161)))),"Não Aplica")</f>
        <v>1</v>
      </c>
      <c r="N161" s="14" t="s">
        <v>23434</v>
      </c>
      <c r="O161" s="14" t="s">
        <v>23439</v>
      </c>
      <c r="P161" s="14" t="s">
        <v>25644</v>
      </c>
      <c r="Q161" s="14" t="s">
        <v>23842</v>
      </c>
      <c r="R161" s="14" t="s">
        <v>23434</v>
      </c>
      <c r="S161" s="14" t="s">
        <v>25645</v>
      </c>
      <c r="T161" s="14" t="s">
        <v>23436</v>
      </c>
      <c r="U161" s="14" t="s">
        <v>23434</v>
      </c>
      <c r="V161" s="14" t="s">
        <v>25646</v>
      </c>
      <c r="W161" s="14" t="s">
        <v>22818</v>
      </c>
      <c r="X161" s="80"/>
      <c r="Y161" s="14" t="s">
        <v>23438</v>
      </c>
      <c r="Z161" s="81">
        <v>45692.53671296296</v>
      </c>
      <c r="AA161" s="79">
        <f>IFERROR((COUNTIFS('Base de Dados'!ED:ED,"Sim",'Base de Dados'!A:A,A161,'Base de Dados'!B:B,B161)/(COUNTIFS('Base de Dados'!ED:ED,"Sim",'Base de Dados'!A:A,A161,'Base de Dados'!B:B,B161)+(COUNTIFS('Base de Dados'!ED:ED,"Não",'Base de Dados'!A:A,A161,'Base de Dados'!B:B,B161)))),"Não Aplica")</f>
        <v>1</v>
      </c>
      <c r="AB161" s="14" t="s">
        <v>23434</v>
      </c>
      <c r="AC161" s="14" t="s">
        <v>25647</v>
      </c>
      <c r="AD161" s="14" t="s">
        <v>23842</v>
      </c>
      <c r="AE161" s="14" t="s">
        <v>23434</v>
      </c>
      <c r="AF161" s="14" t="s">
        <v>25648</v>
      </c>
      <c r="AG161" s="14" t="s">
        <v>22818</v>
      </c>
      <c r="AH161" s="80"/>
      <c r="AI161" s="14" t="s">
        <v>23438</v>
      </c>
      <c r="AJ161" s="81">
        <v>45693.45210648148</v>
      </c>
      <c r="AK161" s="82" t="s">
        <v>23446</v>
      </c>
      <c r="AL161" s="14" t="s">
        <v>23434</v>
      </c>
      <c r="AM161" s="14" t="s">
        <v>23439</v>
      </c>
      <c r="AN161" s="14" t="s">
        <v>25649</v>
      </c>
      <c r="AO161" s="14" t="s">
        <v>23842</v>
      </c>
      <c r="AP161" s="14" t="s">
        <v>23434</v>
      </c>
      <c r="AQ161" s="14" t="s">
        <v>23448</v>
      </c>
      <c r="AR161" s="14" t="s">
        <v>25650</v>
      </c>
      <c r="AS161" s="14" t="s">
        <v>23848</v>
      </c>
      <c r="AT161" s="14" t="s">
        <v>23434</v>
      </c>
      <c r="AU161" s="14" t="s">
        <v>23453</v>
      </c>
      <c r="AV161" s="14" t="s">
        <v>25651</v>
      </c>
      <c r="AW161" s="14" t="s">
        <v>23455</v>
      </c>
      <c r="AX161" s="14" t="s">
        <v>23434</v>
      </c>
      <c r="AY161" s="14" t="s">
        <v>23451</v>
      </c>
      <c r="AZ161" s="14" t="s">
        <v>25652</v>
      </c>
      <c r="BA161" s="14" t="s">
        <v>22818</v>
      </c>
      <c r="BB161" s="80"/>
      <c r="BC161" s="14" t="s">
        <v>23438</v>
      </c>
      <c r="BD161" s="81">
        <v>45720.29487268518</v>
      </c>
      <c r="BE161" s="79">
        <f>IFERROR((COUNTIFS('Base de Dados'!FD:FD,"Sim",'Base de Dados'!A:A,A161,'Base de Dados'!B:B,B161)/(COUNTIFS('Base de Dados'!FD:FD,"Sim",'Base de Dados'!A:A,A161,'Base de Dados'!B:B,B161)+(COUNTIFS('Base de Dados'!FD:FD,"Não",'Base de Dados'!A:A,A161,'Base de Dados'!B:B,B161)))),"Não Aplica")</f>
        <v>1</v>
      </c>
      <c r="BF161" s="14" t="s">
        <v>23434</v>
      </c>
      <c r="BG161" s="14" t="s">
        <v>23439</v>
      </c>
      <c r="BH161" s="14" t="s">
        <v>25653</v>
      </c>
      <c r="BI161" s="14" t="s">
        <v>23842</v>
      </c>
      <c r="BJ161" s="80"/>
      <c r="BK161" s="80"/>
      <c r="BL161" s="80"/>
      <c r="BM161" s="80"/>
      <c r="BN161" s="14" t="s">
        <v>23434</v>
      </c>
      <c r="BO161" s="14" t="s">
        <v>23453</v>
      </c>
      <c r="BP161" s="14" t="s">
        <v>25654</v>
      </c>
      <c r="BQ161" s="14" t="s">
        <v>23455</v>
      </c>
      <c r="BR161" s="14" t="s">
        <v>23434</v>
      </c>
      <c r="BS161" s="14" t="s">
        <v>23451</v>
      </c>
      <c r="BT161" s="14" t="s">
        <v>25655</v>
      </c>
      <c r="BU161" s="14" t="s">
        <v>22818</v>
      </c>
      <c r="BV161" s="80"/>
      <c r="BW161" s="14" t="s">
        <v>23438</v>
      </c>
      <c r="BX161" s="81">
        <v>45721.59190972222</v>
      </c>
      <c r="BY161" s="82" t="s">
        <v>23446</v>
      </c>
      <c r="BZ161" s="15"/>
      <c r="CA161" s="15"/>
      <c r="CB161" s="15"/>
      <c r="CC161" s="15"/>
      <c r="CD161" s="80"/>
      <c r="CE161" s="80"/>
      <c r="CF161" s="80"/>
      <c r="CG161" s="80"/>
      <c r="CH161" s="15"/>
      <c r="CI161" s="15"/>
      <c r="CJ161" s="15"/>
      <c r="CK161" s="15"/>
      <c r="CL161" s="15"/>
      <c r="CM161" s="15"/>
      <c r="CN161" s="15"/>
      <c r="CO161" s="15"/>
      <c r="CP161" s="80"/>
      <c r="CQ161" s="80" t="s">
        <v>23459</v>
      </c>
      <c r="CR161" s="83"/>
      <c r="CS161" s="84"/>
    </row>
    <row r="162">
      <c r="A162" s="78" t="s">
        <v>234</v>
      </c>
      <c r="B162" s="78" t="s">
        <v>7149</v>
      </c>
      <c r="C162" s="79">
        <f>IFERROR((COUNTIFS('Base de Dados'!BT:BT,"Sim",'Base de Dados'!A:A,A162,'Base de Dados'!B:B,B162)/(COUNTIFS('Base de Dados'!BT:BT,"Sim",'Base de Dados'!A:A,A162,'Base de Dados'!B:B,B162)+(COUNTIFS('Base de Dados'!BT:BT,"Não",'Base de Dados'!A:A,A162,'Base de Dados'!B:B,B162)))),"Não Aplica")</f>
        <v>1</v>
      </c>
      <c r="D162" s="14" t="s">
        <v>23434</v>
      </c>
      <c r="E162" s="14" t="s">
        <v>25656</v>
      </c>
      <c r="F162" s="14" t="s">
        <v>23436</v>
      </c>
      <c r="G162" s="14" t="s">
        <v>23434</v>
      </c>
      <c r="H162" s="14" t="s">
        <v>25657</v>
      </c>
      <c r="I162" s="14" t="s">
        <v>22818</v>
      </c>
      <c r="J162" s="80"/>
      <c r="K162" s="14" t="s">
        <v>23438</v>
      </c>
      <c r="L162" s="81">
        <v>45689.41090277778</v>
      </c>
      <c r="M162" s="79">
        <f>IFERROR((COUNTIFS('Base de Dados'!DF:DF,"Sim",'Base de Dados'!A:A,A162,'Base de Dados'!B:B,B162)/(COUNTIFS('Base de Dados'!DF:DF,"Sim",'Base de Dados'!A:A,A162,'Base de Dados'!B:B,B162)+(COUNTIFS('Base de Dados'!DF:DF,"Não",'Base de Dados'!A:A,A162,'Base de Dados'!B:B,B162)))),"Não Aplica")</f>
        <v>1</v>
      </c>
      <c r="N162" s="14" t="s">
        <v>23434</v>
      </c>
      <c r="O162" s="14" t="s">
        <v>23439</v>
      </c>
      <c r="P162" s="14" t="s">
        <v>25658</v>
      </c>
      <c r="Q162" s="14" t="s">
        <v>23842</v>
      </c>
      <c r="R162" s="14" t="s">
        <v>23434</v>
      </c>
      <c r="S162" s="14" t="s">
        <v>25659</v>
      </c>
      <c r="T162" s="14" t="s">
        <v>23436</v>
      </c>
      <c r="U162" s="14" t="s">
        <v>23434</v>
      </c>
      <c r="V162" s="14" t="s">
        <v>25660</v>
      </c>
      <c r="W162" s="14" t="s">
        <v>22818</v>
      </c>
      <c r="X162" s="80"/>
      <c r="Y162" s="14" t="s">
        <v>23438</v>
      </c>
      <c r="Z162" s="81">
        <v>45691.615590277775</v>
      </c>
      <c r="AA162" s="79">
        <f>IFERROR((COUNTIFS('Base de Dados'!ED:ED,"Sim",'Base de Dados'!A:A,A162,'Base de Dados'!B:B,B162)/(COUNTIFS('Base de Dados'!ED:ED,"Sim",'Base de Dados'!A:A,A162,'Base de Dados'!B:B,B162)+(COUNTIFS('Base de Dados'!ED:ED,"Não",'Base de Dados'!A:A,A162,'Base de Dados'!B:B,B162)))),"Não Aplica")</f>
        <v>1</v>
      </c>
      <c r="AB162" s="14" t="s">
        <v>23434</v>
      </c>
      <c r="AC162" s="14" t="s">
        <v>25661</v>
      </c>
      <c r="AD162" s="14" t="s">
        <v>23842</v>
      </c>
      <c r="AE162" s="14" t="s">
        <v>23434</v>
      </c>
      <c r="AF162" s="14" t="s">
        <v>25662</v>
      </c>
      <c r="AG162" s="14" t="s">
        <v>22818</v>
      </c>
      <c r="AH162" s="80"/>
      <c r="AI162" s="14" t="s">
        <v>23438</v>
      </c>
      <c r="AJ162" s="81">
        <v>45692.544537037036</v>
      </c>
      <c r="AK162" s="82" t="s">
        <v>23446</v>
      </c>
      <c r="AL162" s="14" t="s">
        <v>23434</v>
      </c>
      <c r="AM162" s="14" t="s">
        <v>23439</v>
      </c>
      <c r="AN162" s="14" t="s">
        <v>25663</v>
      </c>
      <c r="AO162" s="14" t="s">
        <v>23842</v>
      </c>
      <c r="AP162" s="14" t="s">
        <v>23434</v>
      </c>
      <c r="AQ162" s="14" t="s">
        <v>23448</v>
      </c>
      <c r="AR162" s="14" t="s">
        <v>25664</v>
      </c>
      <c r="AS162" s="14" t="s">
        <v>23848</v>
      </c>
      <c r="AT162" s="14" t="s">
        <v>23434</v>
      </c>
      <c r="AU162" s="14" t="s">
        <v>23453</v>
      </c>
      <c r="AV162" s="14" t="s">
        <v>25665</v>
      </c>
      <c r="AW162" s="14" t="s">
        <v>23455</v>
      </c>
      <c r="AX162" s="14" t="s">
        <v>23434</v>
      </c>
      <c r="AY162" s="14" t="s">
        <v>23451</v>
      </c>
      <c r="AZ162" s="14" t="s">
        <v>25666</v>
      </c>
      <c r="BA162" s="14" t="s">
        <v>22818</v>
      </c>
      <c r="BB162" s="80"/>
      <c r="BC162" s="14" t="s">
        <v>23438</v>
      </c>
      <c r="BD162" s="81">
        <v>45726.47164351852</v>
      </c>
      <c r="BE162" s="79">
        <f>IFERROR((COUNTIFS('Base de Dados'!FD:FD,"Sim",'Base de Dados'!A:A,A162,'Base de Dados'!B:B,B162)/(COUNTIFS('Base de Dados'!FD:FD,"Sim",'Base de Dados'!A:A,A162,'Base de Dados'!B:B,B162)+(COUNTIFS('Base de Dados'!FD:FD,"Não",'Base de Dados'!A:A,A162,'Base de Dados'!B:B,B162)))),"Não Aplica")</f>
        <v>1</v>
      </c>
      <c r="BF162" s="15"/>
      <c r="BG162" s="15"/>
      <c r="BH162" s="15"/>
      <c r="BI162" s="15"/>
      <c r="BJ162" s="80"/>
      <c r="BK162" s="80"/>
      <c r="BL162" s="80"/>
      <c r="BM162" s="80"/>
      <c r="BN162" s="15"/>
      <c r="BO162" s="15"/>
      <c r="BP162" s="15"/>
      <c r="BQ162" s="15"/>
      <c r="BR162" s="15"/>
      <c r="BS162" s="15"/>
      <c r="BT162" s="15"/>
      <c r="BU162" s="15"/>
      <c r="BV162" s="80"/>
      <c r="BW162" s="80" t="s">
        <v>24115</v>
      </c>
      <c r="BX162" s="83"/>
      <c r="BY162" s="82" t="s">
        <v>23446</v>
      </c>
      <c r="BZ162" s="15"/>
      <c r="CA162" s="15"/>
      <c r="CB162" s="15"/>
      <c r="CC162" s="15"/>
      <c r="CD162" s="80"/>
      <c r="CE162" s="80"/>
      <c r="CF162" s="80"/>
      <c r="CG162" s="80"/>
      <c r="CH162" s="15"/>
      <c r="CI162" s="15"/>
      <c r="CJ162" s="15"/>
      <c r="CK162" s="15"/>
      <c r="CL162" s="15"/>
      <c r="CM162" s="15"/>
      <c r="CN162" s="15"/>
      <c r="CO162" s="15"/>
      <c r="CP162" s="80"/>
      <c r="CQ162" s="80" t="s">
        <v>23459</v>
      </c>
      <c r="CR162" s="83"/>
      <c r="CS162" s="84"/>
    </row>
    <row r="163">
      <c r="A163" s="78" t="s">
        <v>234</v>
      </c>
      <c r="B163" s="78" t="s">
        <v>3230</v>
      </c>
      <c r="C163" s="79">
        <f>IFERROR((COUNTIFS('Base de Dados'!BT:BT,"Sim",'Base de Dados'!A:A,A163,'Base de Dados'!B:B,B163)/(COUNTIFS('Base de Dados'!BT:BT,"Sim",'Base de Dados'!A:A,A163,'Base de Dados'!B:B,B163)+(COUNTIFS('Base de Dados'!BT:BT,"Não",'Base de Dados'!A:A,A163,'Base de Dados'!B:B,B163)))),"Não Aplica")</f>
        <v>1</v>
      </c>
      <c r="D163" s="14" t="s">
        <v>23434</v>
      </c>
      <c r="E163" s="14" t="s">
        <v>25667</v>
      </c>
      <c r="F163" s="14" t="s">
        <v>23436</v>
      </c>
      <c r="G163" s="14" t="s">
        <v>23434</v>
      </c>
      <c r="H163" s="14" t="s">
        <v>25668</v>
      </c>
      <c r="I163" s="14" t="s">
        <v>22818</v>
      </c>
      <c r="J163" s="80"/>
      <c r="K163" s="14" t="s">
        <v>23438</v>
      </c>
      <c r="L163" s="81">
        <v>45689.41085648148</v>
      </c>
      <c r="M163" s="79">
        <f>IFERROR((COUNTIFS('Base de Dados'!DF:DF,"Sim",'Base de Dados'!A:A,A163,'Base de Dados'!B:B,B163)/(COUNTIFS('Base de Dados'!DF:DF,"Sim",'Base de Dados'!A:A,A163,'Base de Dados'!B:B,B163)+(COUNTIFS('Base de Dados'!DF:DF,"Não",'Base de Dados'!A:A,A163,'Base de Dados'!B:B,B163)))),"Não Aplica")</f>
        <v>1</v>
      </c>
      <c r="N163" s="14" t="s">
        <v>23434</v>
      </c>
      <c r="O163" s="14" t="s">
        <v>23439</v>
      </c>
      <c r="P163" s="14" t="s">
        <v>25669</v>
      </c>
      <c r="Q163" s="14" t="s">
        <v>23842</v>
      </c>
      <c r="R163" s="14" t="s">
        <v>23434</v>
      </c>
      <c r="S163" s="14" t="s">
        <v>25670</v>
      </c>
      <c r="T163" s="14" t="s">
        <v>23436</v>
      </c>
      <c r="U163" s="14" t="s">
        <v>23434</v>
      </c>
      <c r="V163" s="14" t="s">
        <v>25671</v>
      </c>
      <c r="W163" s="14" t="s">
        <v>22818</v>
      </c>
      <c r="X163" s="80"/>
      <c r="Y163" s="14" t="s">
        <v>23438</v>
      </c>
      <c r="Z163" s="81">
        <v>45691.61556712963</v>
      </c>
      <c r="AA163" s="79">
        <f>IFERROR((COUNTIFS('Base de Dados'!ED:ED,"Sim",'Base de Dados'!A:A,A163,'Base de Dados'!B:B,B163)/(COUNTIFS('Base de Dados'!ED:ED,"Sim",'Base de Dados'!A:A,A163,'Base de Dados'!B:B,B163)+(COUNTIFS('Base de Dados'!ED:ED,"Não",'Base de Dados'!A:A,A163,'Base de Dados'!B:B,B163)))),"Não Aplica")</f>
        <v>1</v>
      </c>
      <c r="AB163" s="14" t="s">
        <v>23434</v>
      </c>
      <c r="AC163" s="14" t="s">
        <v>25672</v>
      </c>
      <c r="AD163" s="14" t="s">
        <v>23842</v>
      </c>
      <c r="AE163" s="14" t="s">
        <v>23434</v>
      </c>
      <c r="AF163" s="14" t="s">
        <v>25673</v>
      </c>
      <c r="AG163" s="14" t="s">
        <v>22818</v>
      </c>
      <c r="AH163" s="80"/>
      <c r="AI163" s="14" t="s">
        <v>23438</v>
      </c>
      <c r="AJ163" s="81">
        <v>45692.63684027778</v>
      </c>
      <c r="AK163" s="82" t="s">
        <v>23446</v>
      </c>
      <c r="AL163" s="14" t="s">
        <v>23434</v>
      </c>
      <c r="AM163" s="14" t="s">
        <v>23439</v>
      </c>
      <c r="AN163" s="14" t="s">
        <v>25674</v>
      </c>
      <c r="AO163" s="14" t="s">
        <v>23842</v>
      </c>
      <c r="AP163" s="14" t="s">
        <v>23434</v>
      </c>
      <c r="AQ163" s="14" t="s">
        <v>23448</v>
      </c>
      <c r="AR163" s="14" t="s">
        <v>25675</v>
      </c>
      <c r="AS163" s="14" t="s">
        <v>23848</v>
      </c>
      <c r="AT163" s="14" t="s">
        <v>23434</v>
      </c>
      <c r="AU163" s="14" t="s">
        <v>23453</v>
      </c>
      <c r="AV163" s="14" t="s">
        <v>25676</v>
      </c>
      <c r="AW163" s="14" t="s">
        <v>23455</v>
      </c>
      <c r="AX163" s="14" t="s">
        <v>23434</v>
      </c>
      <c r="AY163" s="14" t="s">
        <v>23451</v>
      </c>
      <c r="AZ163" s="14" t="s">
        <v>25677</v>
      </c>
      <c r="BA163" s="14" t="s">
        <v>22818</v>
      </c>
      <c r="BB163" s="80"/>
      <c r="BC163" s="14" t="s">
        <v>23438</v>
      </c>
      <c r="BD163" s="81">
        <v>45721.60445601852</v>
      </c>
      <c r="BE163" s="79">
        <f>IFERROR((COUNTIFS('Base de Dados'!FD:FD,"Sim",'Base de Dados'!A:A,A163,'Base de Dados'!B:B,B163)/(COUNTIFS('Base de Dados'!FD:FD,"Sim",'Base de Dados'!A:A,A163,'Base de Dados'!B:B,B163)+(COUNTIFS('Base de Dados'!FD:FD,"Não",'Base de Dados'!A:A,A163,'Base de Dados'!B:B,B163)))),"Não Aplica")</f>
        <v>1</v>
      </c>
      <c r="BF163" s="14" t="s">
        <v>23434</v>
      </c>
      <c r="BG163" s="14" t="s">
        <v>23439</v>
      </c>
      <c r="BH163" s="14" t="s">
        <v>25678</v>
      </c>
      <c r="BI163" s="14" t="s">
        <v>23842</v>
      </c>
      <c r="BJ163" s="80"/>
      <c r="BK163" s="80"/>
      <c r="BL163" s="80"/>
      <c r="BM163" s="80"/>
      <c r="BN163" s="14" t="s">
        <v>23434</v>
      </c>
      <c r="BO163" s="14" t="s">
        <v>23453</v>
      </c>
      <c r="BP163" s="14" t="s">
        <v>25679</v>
      </c>
      <c r="BQ163" s="14" t="s">
        <v>23455</v>
      </c>
      <c r="BR163" s="14" t="s">
        <v>23434</v>
      </c>
      <c r="BS163" s="14" t="s">
        <v>23451</v>
      </c>
      <c r="BT163" s="14" t="s">
        <v>25680</v>
      </c>
      <c r="BU163" s="14" t="s">
        <v>22818</v>
      </c>
      <c r="BV163" s="80"/>
      <c r="BW163" s="14" t="s">
        <v>23438</v>
      </c>
      <c r="BX163" s="81">
        <v>45723.33125</v>
      </c>
      <c r="BY163" s="82" t="s">
        <v>23446</v>
      </c>
      <c r="BZ163" s="15"/>
      <c r="CA163" s="15"/>
      <c r="CB163" s="15"/>
      <c r="CC163" s="15"/>
      <c r="CD163" s="80"/>
      <c r="CE163" s="80"/>
      <c r="CF163" s="80"/>
      <c r="CG163" s="80"/>
      <c r="CH163" s="15"/>
      <c r="CI163" s="15"/>
      <c r="CJ163" s="15"/>
      <c r="CK163" s="15"/>
      <c r="CL163" s="15"/>
      <c r="CM163" s="15"/>
      <c r="CN163" s="15"/>
      <c r="CO163" s="15"/>
      <c r="CP163" s="80"/>
      <c r="CQ163" s="80" t="s">
        <v>23459</v>
      </c>
      <c r="CR163" s="83"/>
      <c r="CS163" s="84"/>
    </row>
    <row r="164">
      <c r="A164" s="78" t="s">
        <v>234</v>
      </c>
      <c r="B164" s="78" t="s">
        <v>2991</v>
      </c>
      <c r="C164" s="79">
        <f>IFERROR((COUNTIFS('Base de Dados'!BT:BT,"Sim",'Base de Dados'!A:A,A164,'Base de Dados'!B:B,B164)/(COUNTIFS('Base de Dados'!BT:BT,"Sim",'Base de Dados'!A:A,A164,'Base de Dados'!B:B,B164)+(COUNTIFS('Base de Dados'!BT:BT,"Não",'Base de Dados'!A:A,A164,'Base de Dados'!B:B,B164)))),"Não Aplica")</f>
        <v>1</v>
      </c>
      <c r="D164" s="14" t="s">
        <v>23434</v>
      </c>
      <c r="E164" s="14" t="s">
        <v>25681</v>
      </c>
      <c r="F164" s="14" t="s">
        <v>23436</v>
      </c>
      <c r="G164" s="14" t="s">
        <v>23434</v>
      </c>
      <c r="H164" s="14" t="s">
        <v>25682</v>
      </c>
      <c r="I164" s="14" t="s">
        <v>22818</v>
      </c>
      <c r="J164" s="80"/>
      <c r="K164" s="14" t="s">
        <v>23438</v>
      </c>
      <c r="L164" s="81">
        <v>45685.31214120371</v>
      </c>
      <c r="M164" s="79">
        <f>IFERROR((COUNTIFS('Base de Dados'!DF:DF,"Sim",'Base de Dados'!A:A,A164,'Base de Dados'!B:B,B164)/(COUNTIFS('Base de Dados'!DF:DF,"Sim",'Base de Dados'!A:A,A164,'Base de Dados'!B:B,B164)+(COUNTIFS('Base de Dados'!DF:DF,"Não",'Base de Dados'!A:A,A164,'Base de Dados'!B:B,B164)))),"Não Aplica")</f>
        <v>1</v>
      </c>
      <c r="N164" s="14" t="s">
        <v>23434</v>
      </c>
      <c r="O164" s="14" t="s">
        <v>23439</v>
      </c>
      <c r="P164" s="14" t="s">
        <v>25683</v>
      </c>
      <c r="Q164" s="14" t="s">
        <v>23842</v>
      </c>
      <c r="R164" s="14" t="s">
        <v>23434</v>
      </c>
      <c r="S164" s="14" t="s">
        <v>25684</v>
      </c>
      <c r="T164" s="14" t="s">
        <v>23436</v>
      </c>
      <c r="U164" s="14" t="s">
        <v>23434</v>
      </c>
      <c r="V164" s="14" t="s">
        <v>25685</v>
      </c>
      <c r="W164" s="14" t="s">
        <v>22818</v>
      </c>
      <c r="X164" s="80"/>
      <c r="Y164" s="14" t="s">
        <v>23438</v>
      </c>
      <c r="Z164" s="81">
        <v>45691.615625</v>
      </c>
      <c r="AA164" s="79">
        <f>IFERROR((COUNTIFS('Base de Dados'!ED:ED,"Sim",'Base de Dados'!A:A,A164,'Base de Dados'!B:B,B164)/(COUNTIFS('Base de Dados'!ED:ED,"Sim",'Base de Dados'!A:A,A164,'Base de Dados'!B:B,B164)+(COUNTIFS('Base de Dados'!ED:ED,"Não",'Base de Dados'!A:A,A164,'Base de Dados'!B:B,B164)))),"Não Aplica")</f>
        <v>1</v>
      </c>
      <c r="AB164" s="14" t="s">
        <v>23434</v>
      </c>
      <c r="AC164" s="14" t="s">
        <v>25686</v>
      </c>
      <c r="AD164" s="14" t="s">
        <v>23842</v>
      </c>
      <c r="AE164" s="14" t="s">
        <v>23434</v>
      </c>
      <c r="AF164" s="14" t="s">
        <v>25687</v>
      </c>
      <c r="AG164" s="14" t="s">
        <v>22818</v>
      </c>
      <c r="AH164" s="80"/>
      <c r="AI164" s="14" t="s">
        <v>23438</v>
      </c>
      <c r="AJ164" s="81">
        <v>45692.63674768519</v>
      </c>
      <c r="AK164" s="82" t="s">
        <v>23446</v>
      </c>
      <c r="AL164" s="14" t="s">
        <v>23434</v>
      </c>
      <c r="AM164" s="14" t="s">
        <v>23439</v>
      </c>
      <c r="AN164" s="14" t="s">
        <v>25688</v>
      </c>
      <c r="AO164" s="14" t="s">
        <v>23842</v>
      </c>
      <c r="AP164" s="14" t="s">
        <v>23434</v>
      </c>
      <c r="AQ164" s="14" t="s">
        <v>23448</v>
      </c>
      <c r="AR164" s="14" t="s">
        <v>25689</v>
      </c>
      <c r="AS164" s="14" t="s">
        <v>23848</v>
      </c>
      <c r="AT164" s="14" t="s">
        <v>23434</v>
      </c>
      <c r="AU164" s="14" t="s">
        <v>23453</v>
      </c>
      <c r="AV164" s="14" t="s">
        <v>25690</v>
      </c>
      <c r="AW164" s="14" t="s">
        <v>23455</v>
      </c>
      <c r="AX164" s="14" t="s">
        <v>23434</v>
      </c>
      <c r="AY164" s="14" t="s">
        <v>23451</v>
      </c>
      <c r="AZ164" s="14" t="s">
        <v>25691</v>
      </c>
      <c r="BA164" s="14" t="s">
        <v>22818</v>
      </c>
      <c r="BB164" s="80"/>
      <c r="BC164" s="14" t="s">
        <v>23438</v>
      </c>
      <c r="BD164" s="81">
        <v>45721.590474537035</v>
      </c>
      <c r="BE164" s="79">
        <f>IFERROR((COUNTIFS('Base de Dados'!FD:FD,"Sim",'Base de Dados'!A:A,A164,'Base de Dados'!B:B,B164)/(COUNTIFS('Base de Dados'!FD:FD,"Sim",'Base de Dados'!A:A,A164,'Base de Dados'!B:B,B164)+(COUNTIFS('Base de Dados'!FD:FD,"Não",'Base de Dados'!A:A,A164,'Base de Dados'!B:B,B164)))),"Não Aplica")</f>
        <v>1</v>
      </c>
      <c r="BF164" s="14" t="s">
        <v>23434</v>
      </c>
      <c r="BG164" s="14" t="s">
        <v>23439</v>
      </c>
      <c r="BH164" s="14" t="s">
        <v>25692</v>
      </c>
      <c r="BI164" s="14" t="s">
        <v>23842</v>
      </c>
      <c r="BJ164" s="80"/>
      <c r="BK164" s="80"/>
      <c r="BL164" s="80"/>
      <c r="BM164" s="80"/>
      <c r="BN164" s="14" t="s">
        <v>23434</v>
      </c>
      <c r="BO164" s="14" t="s">
        <v>23453</v>
      </c>
      <c r="BP164" s="14" t="s">
        <v>25693</v>
      </c>
      <c r="BQ164" s="14" t="s">
        <v>23455</v>
      </c>
      <c r="BR164" s="14" t="s">
        <v>23434</v>
      </c>
      <c r="BS164" s="14" t="s">
        <v>23451</v>
      </c>
      <c r="BT164" s="14" t="s">
        <v>25694</v>
      </c>
      <c r="BU164" s="14" t="s">
        <v>22818</v>
      </c>
      <c r="BV164" s="80"/>
      <c r="BW164" s="14" t="s">
        <v>23438</v>
      </c>
      <c r="BX164" s="81">
        <v>45723.320381944446</v>
      </c>
      <c r="BY164" s="82" t="s">
        <v>23446</v>
      </c>
      <c r="BZ164" s="15"/>
      <c r="CA164" s="15"/>
      <c r="CB164" s="15"/>
      <c r="CC164" s="15"/>
      <c r="CD164" s="80"/>
      <c r="CE164" s="80"/>
      <c r="CF164" s="80"/>
      <c r="CG164" s="80"/>
      <c r="CH164" s="15"/>
      <c r="CI164" s="15"/>
      <c r="CJ164" s="15"/>
      <c r="CK164" s="15"/>
      <c r="CL164" s="15"/>
      <c r="CM164" s="15"/>
      <c r="CN164" s="15"/>
      <c r="CO164" s="15"/>
      <c r="CP164" s="80"/>
      <c r="CQ164" s="80" t="s">
        <v>23459</v>
      </c>
      <c r="CR164" s="83"/>
      <c r="CS164" s="84"/>
    </row>
    <row r="165">
      <c r="A165" s="78" t="s">
        <v>234</v>
      </c>
      <c r="B165" s="78" t="s">
        <v>10222</v>
      </c>
      <c r="C165" s="79">
        <f>IFERROR((COUNTIFS('Base de Dados'!BT:BT,"Sim",'Base de Dados'!A:A,A165,'Base de Dados'!B:B,B165)/(COUNTIFS('Base de Dados'!BT:BT,"Sim",'Base de Dados'!A:A,A165,'Base de Dados'!B:B,B165)+(COUNTIFS('Base de Dados'!BT:BT,"Não",'Base de Dados'!A:A,A165,'Base de Dados'!B:B,B165)))),"Não Aplica")</f>
        <v>1</v>
      </c>
      <c r="D165" s="14" t="s">
        <v>23434</v>
      </c>
      <c r="E165" s="14" t="s">
        <v>25695</v>
      </c>
      <c r="F165" s="14" t="s">
        <v>23436</v>
      </c>
      <c r="G165" s="14" t="s">
        <v>23434</v>
      </c>
      <c r="H165" s="14" t="s">
        <v>25696</v>
      </c>
      <c r="I165" s="14" t="s">
        <v>22818</v>
      </c>
      <c r="J165" s="80"/>
      <c r="K165" s="14" t="s">
        <v>23438</v>
      </c>
      <c r="L165" s="81">
        <v>45687.39350694444</v>
      </c>
      <c r="M165" s="79">
        <f>IFERROR((COUNTIFS('Base de Dados'!DF:DF,"Sim",'Base de Dados'!A:A,A165,'Base de Dados'!B:B,B165)/(COUNTIFS('Base de Dados'!DF:DF,"Sim",'Base de Dados'!A:A,A165,'Base de Dados'!B:B,B165)+(COUNTIFS('Base de Dados'!DF:DF,"Não",'Base de Dados'!A:A,A165,'Base de Dados'!B:B,B165)))),"Não Aplica")</f>
        <v>1</v>
      </c>
      <c r="N165" s="14" t="s">
        <v>23434</v>
      </c>
      <c r="O165" s="14" t="s">
        <v>23439</v>
      </c>
      <c r="P165" s="14" t="s">
        <v>25697</v>
      </c>
      <c r="Q165" s="14" t="s">
        <v>23842</v>
      </c>
      <c r="R165" s="14" t="s">
        <v>23434</v>
      </c>
      <c r="S165" s="14" t="s">
        <v>25698</v>
      </c>
      <c r="T165" s="14" t="s">
        <v>23436</v>
      </c>
      <c r="U165" s="14" t="s">
        <v>23434</v>
      </c>
      <c r="V165" s="14" t="s">
        <v>25699</v>
      </c>
      <c r="W165" s="14" t="s">
        <v>22818</v>
      </c>
      <c r="X165" s="80"/>
      <c r="Y165" s="14" t="s">
        <v>23438</v>
      </c>
      <c r="Z165" s="81">
        <v>45691.615648148145</v>
      </c>
      <c r="AA165" s="79">
        <f>IFERROR((COUNTIFS('Base de Dados'!ED:ED,"Sim",'Base de Dados'!A:A,A165,'Base de Dados'!B:B,B165)/(COUNTIFS('Base de Dados'!ED:ED,"Sim",'Base de Dados'!A:A,A165,'Base de Dados'!B:B,B165)+(COUNTIFS('Base de Dados'!ED:ED,"Não",'Base de Dados'!A:A,A165,'Base de Dados'!B:B,B165)))),"Não Aplica")</f>
        <v>1</v>
      </c>
      <c r="AB165" s="14" t="s">
        <v>23434</v>
      </c>
      <c r="AC165" s="14" t="s">
        <v>25700</v>
      </c>
      <c r="AD165" s="14" t="s">
        <v>23842</v>
      </c>
      <c r="AE165" s="14" t="s">
        <v>23434</v>
      </c>
      <c r="AF165" s="14" t="s">
        <v>25701</v>
      </c>
      <c r="AG165" s="14" t="s">
        <v>22818</v>
      </c>
      <c r="AH165" s="80"/>
      <c r="AI165" s="14" t="s">
        <v>23438</v>
      </c>
      <c r="AJ165" s="81">
        <v>45692.63680555556</v>
      </c>
      <c r="AK165" s="82" t="s">
        <v>23446</v>
      </c>
      <c r="AL165" s="14" t="s">
        <v>23434</v>
      </c>
      <c r="AM165" s="14" t="s">
        <v>23439</v>
      </c>
      <c r="AN165" s="14" t="s">
        <v>25702</v>
      </c>
      <c r="AO165" s="14" t="s">
        <v>23842</v>
      </c>
      <c r="AP165" s="14" t="s">
        <v>23434</v>
      </c>
      <c r="AQ165" s="14" t="s">
        <v>23448</v>
      </c>
      <c r="AR165" s="14" t="s">
        <v>25703</v>
      </c>
      <c r="AS165" s="14" t="s">
        <v>23848</v>
      </c>
      <c r="AT165" s="14" t="s">
        <v>23434</v>
      </c>
      <c r="AU165" s="14" t="s">
        <v>23453</v>
      </c>
      <c r="AV165" s="14" t="s">
        <v>25704</v>
      </c>
      <c r="AW165" s="14" t="s">
        <v>23455</v>
      </c>
      <c r="AX165" s="14" t="s">
        <v>23434</v>
      </c>
      <c r="AY165" s="14" t="s">
        <v>23451</v>
      </c>
      <c r="AZ165" s="14" t="s">
        <v>25705</v>
      </c>
      <c r="BA165" s="14" t="s">
        <v>22818</v>
      </c>
      <c r="BB165" s="80"/>
      <c r="BC165" s="14" t="s">
        <v>23438</v>
      </c>
      <c r="BD165" s="81">
        <v>45721.604537037034</v>
      </c>
      <c r="BE165" s="79">
        <f>IFERROR((COUNTIFS('Base de Dados'!FD:FD,"Sim",'Base de Dados'!A:A,A165,'Base de Dados'!B:B,B165)/(COUNTIFS('Base de Dados'!FD:FD,"Sim",'Base de Dados'!A:A,A165,'Base de Dados'!B:B,B165)+(COUNTIFS('Base de Dados'!FD:FD,"Não",'Base de Dados'!A:A,A165,'Base de Dados'!B:B,B165)))),"Não Aplica")</f>
        <v>1</v>
      </c>
      <c r="BF165" s="14" t="s">
        <v>23434</v>
      </c>
      <c r="BG165" s="14" t="s">
        <v>23439</v>
      </c>
      <c r="BH165" s="14" t="s">
        <v>25706</v>
      </c>
      <c r="BI165" s="14" t="s">
        <v>23842</v>
      </c>
      <c r="BJ165" s="80"/>
      <c r="BK165" s="80"/>
      <c r="BL165" s="80"/>
      <c r="BM165" s="80"/>
      <c r="BN165" s="14" t="s">
        <v>23434</v>
      </c>
      <c r="BO165" s="14" t="s">
        <v>23453</v>
      </c>
      <c r="BP165" s="14" t="s">
        <v>25707</v>
      </c>
      <c r="BQ165" s="14" t="s">
        <v>23455</v>
      </c>
      <c r="BR165" s="14" t="s">
        <v>23434</v>
      </c>
      <c r="BS165" s="14" t="s">
        <v>23451</v>
      </c>
      <c r="BT165" s="14" t="s">
        <v>25708</v>
      </c>
      <c r="BU165" s="14" t="s">
        <v>22818</v>
      </c>
      <c r="BV165" s="80"/>
      <c r="BW165" s="14" t="s">
        <v>23438</v>
      </c>
      <c r="BX165" s="81">
        <v>45723.32041666667</v>
      </c>
      <c r="BY165" s="82" t="s">
        <v>23446</v>
      </c>
      <c r="BZ165" s="15"/>
      <c r="CA165" s="15"/>
      <c r="CB165" s="15"/>
      <c r="CC165" s="15"/>
      <c r="CD165" s="80"/>
      <c r="CE165" s="80"/>
      <c r="CF165" s="80"/>
      <c r="CG165" s="80"/>
      <c r="CH165" s="15"/>
      <c r="CI165" s="15"/>
      <c r="CJ165" s="15"/>
      <c r="CK165" s="15"/>
      <c r="CL165" s="15"/>
      <c r="CM165" s="15"/>
      <c r="CN165" s="15"/>
      <c r="CO165" s="15"/>
      <c r="CP165" s="80"/>
      <c r="CQ165" s="80" t="s">
        <v>23459</v>
      </c>
      <c r="CR165" s="83"/>
      <c r="CS165" s="84"/>
    </row>
    <row r="166">
      <c r="A166" s="78" t="s">
        <v>234</v>
      </c>
      <c r="B166" s="78" t="s">
        <v>11107</v>
      </c>
      <c r="C166" s="79">
        <f>IFERROR((COUNTIFS('Base de Dados'!BT:BT,"Sim",'Base de Dados'!A:A,A166,'Base de Dados'!B:B,B166)/(COUNTIFS('Base de Dados'!BT:BT,"Sim",'Base de Dados'!A:A,A166,'Base de Dados'!B:B,B166)+(COUNTIFS('Base de Dados'!BT:BT,"Não",'Base de Dados'!A:A,A166,'Base de Dados'!B:B,B166)))),"Não Aplica")</f>
        <v>1</v>
      </c>
      <c r="D166" s="14" t="s">
        <v>23434</v>
      </c>
      <c r="E166" s="14" t="s">
        <v>25709</v>
      </c>
      <c r="F166" s="14" t="s">
        <v>23436</v>
      </c>
      <c r="G166" s="14" t="s">
        <v>23434</v>
      </c>
      <c r="H166" s="14" t="s">
        <v>25710</v>
      </c>
      <c r="I166" s="14" t="s">
        <v>22818</v>
      </c>
      <c r="J166" s="80"/>
      <c r="K166" s="14" t="s">
        <v>23438</v>
      </c>
      <c r="L166" s="81">
        <v>45691.61052083333</v>
      </c>
      <c r="M166" s="79">
        <f>IFERROR((COUNTIFS('Base de Dados'!DF:DF,"Sim",'Base de Dados'!A:A,A166,'Base de Dados'!B:B,B166)/(COUNTIFS('Base de Dados'!DF:DF,"Sim",'Base de Dados'!A:A,A166,'Base de Dados'!B:B,B166)+(COUNTIFS('Base de Dados'!DF:DF,"Não",'Base de Dados'!A:A,A166,'Base de Dados'!B:B,B166)))),"Não Aplica")</f>
        <v>1</v>
      </c>
      <c r="N166" s="14" t="s">
        <v>23434</v>
      </c>
      <c r="O166" s="14" t="s">
        <v>23439</v>
      </c>
      <c r="P166" s="14" t="s">
        <v>25711</v>
      </c>
      <c r="Q166" s="14" t="s">
        <v>23842</v>
      </c>
      <c r="R166" s="14" t="s">
        <v>23434</v>
      </c>
      <c r="S166" s="14" t="s">
        <v>25712</v>
      </c>
      <c r="T166" s="14" t="s">
        <v>23436</v>
      </c>
      <c r="U166" s="14" t="s">
        <v>23434</v>
      </c>
      <c r="V166" s="14" t="s">
        <v>25713</v>
      </c>
      <c r="W166" s="14" t="s">
        <v>22818</v>
      </c>
      <c r="X166" s="80"/>
      <c r="Y166" s="14" t="s">
        <v>23438</v>
      </c>
      <c r="Z166" s="81">
        <v>45692.53674768518</v>
      </c>
      <c r="AA166" s="79">
        <f>IFERROR((COUNTIFS('Base de Dados'!ED:ED,"Sim",'Base de Dados'!A:A,A166,'Base de Dados'!B:B,B166)/(COUNTIFS('Base de Dados'!ED:ED,"Sim",'Base de Dados'!A:A,A166,'Base de Dados'!B:B,B166)+(COUNTIFS('Base de Dados'!ED:ED,"Não",'Base de Dados'!A:A,A166,'Base de Dados'!B:B,B166)))),"Não Aplica")</f>
        <v>1</v>
      </c>
      <c r="AB166" s="14" t="s">
        <v>23434</v>
      </c>
      <c r="AC166" s="14" t="s">
        <v>25714</v>
      </c>
      <c r="AD166" s="14" t="s">
        <v>23842</v>
      </c>
      <c r="AE166" s="14" t="s">
        <v>23434</v>
      </c>
      <c r="AF166" s="14" t="s">
        <v>25715</v>
      </c>
      <c r="AG166" s="14" t="s">
        <v>22818</v>
      </c>
      <c r="AH166" s="80"/>
      <c r="AI166" s="14" t="s">
        <v>23438</v>
      </c>
      <c r="AJ166" s="81">
        <v>45693.45212962963</v>
      </c>
      <c r="AK166" s="82" t="s">
        <v>23446</v>
      </c>
      <c r="AL166" s="14" t="s">
        <v>23434</v>
      </c>
      <c r="AM166" s="14" t="s">
        <v>23448</v>
      </c>
      <c r="AN166" s="14" t="s">
        <v>25716</v>
      </c>
      <c r="AO166" s="14" t="s">
        <v>23848</v>
      </c>
      <c r="AP166" s="14" t="s">
        <v>23434</v>
      </c>
      <c r="AQ166" s="14" t="s">
        <v>23439</v>
      </c>
      <c r="AR166" s="14" t="s">
        <v>25717</v>
      </c>
      <c r="AS166" s="14" t="s">
        <v>23842</v>
      </c>
      <c r="AT166" s="14" t="s">
        <v>23434</v>
      </c>
      <c r="AU166" s="14" t="s">
        <v>23453</v>
      </c>
      <c r="AV166" s="14" t="s">
        <v>25718</v>
      </c>
      <c r="AW166" s="14" t="s">
        <v>23455</v>
      </c>
      <c r="AX166" s="14" t="s">
        <v>23434</v>
      </c>
      <c r="AY166" s="14" t="s">
        <v>23451</v>
      </c>
      <c r="AZ166" s="14" t="s">
        <v>25719</v>
      </c>
      <c r="BA166" s="14" t="s">
        <v>22818</v>
      </c>
      <c r="BB166" s="80"/>
      <c r="BC166" s="14" t="s">
        <v>23438</v>
      </c>
      <c r="BD166" s="81">
        <v>45721.59050925926</v>
      </c>
      <c r="BE166" s="79">
        <f>IFERROR((COUNTIFS('Base de Dados'!FD:FD,"Sim",'Base de Dados'!A:A,A166,'Base de Dados'!B:B,B166)/(COUNTIFS('Base de Dados'!FD:FD,"Sim",'Base de Dados'!A:A,A166,'Base de Dados'!B:B,B166)+(COUNTIFS('Base de Dados'!FD:FD,"Não",'Base de Dados'!A:A,A166,'Base de Dados'!B:B,B166)))),"Não Aplica")</f>
        <v>1</v>
      </c>
      <c r="BF166" s="14" t="s">
        <v>23434</v>
      </c>
      <c r="BG166" s="14" t="s">
        <v>23439</v>
      </c>
      <c r="BH166" s="14" t="s">
        <v>25720</v>
      </c>
      <c r="BI166" s="14" t="s">
        <v>23842</v>
      </c>
      <c r="BJ166" s="80"/>
      <c r="BK166" s="80"/>
      <c r="BL166" s="80"/>
      <c r="BM166" s="80"/>
      <c r="BN166" s="14" t="s">
        <v>23434</v>
      </c>
      <c r="BO166" s="14" t="s">
        <v>23453</v>
      </c>
      <c r="BP166" s="14" t="s">
        <v>25721</v>
      </c>
      <c r="BQ166" s="14" t="s">
        <v>23455</v>
      </c>
      <c r="BR166" s="14" t="s">
        <v>23434</v>
      </c>
      <c r="BS166" s="14" t="s">
        <v>23451</v>
      </c>
      <c r="BT166" s="14" t="s">
        <v>25722</v>
      </c>
      <c r="BU166" s="14" t="s">
        <v>22818</v>
      </c>
      <c r="BV166" s="80"/>
      <c r="BW166" s="14" t="s">
        <v>23438</v>
      </c>
      <c r="BX166" s="81">
        <v>45723.32045138889</v>
      </c>
      <c r="BY166" s="82" t="s">
        <v>23446</v>
      </c>
      <c r="BZ166" s="15"/>
      <c r="CA166" s="15"/>
      <c r="CB166" s="15"/>
      <c r="CC166" s="15"/>
      <c r="CD166" s="80"/>
      <c r="CE166" s="80"/>
      <c r="CF166" s="80"/>
      <c r="CG166" s="80"/>
      <c r="CH166" s="15"/>
      <c r="CI166" s="15"/>
      <c r="CJ166" s="15"/>
      <c r="CK166" s="15"/>
      <c r="CL166" s="15"/>
      <c r="CM166" s="15"/>
      <c r="CN166" s="15"/>
      <c r="CO166" s="15"/>
      <c r="CP166" s="80"/>
      <c r="CQ166" s="80" t="s">
        <v>23459</v>
      </c>
      <c r="CR166" s="83"/>
      <c r="CS166" s="84"/>
    </row>
    <row r="167">
      <c r="A167" s="78" t="s">
        <v>234</v>
      </c>
      <c r="B167" s="78" t="s">
        <v>22153</v>
      </c>
      <c r="C167" s="79">
        <f>IFERROR((COUNTIFS('Base de Dados'!BT:BT,"Sim",'Base de Dados'!A:A,A167,'Base de Dados'!B:B,B167)/(COUNTIFS('Base de Dados'!BT:BT,"Sim",'Base de Dados'!A:A,A167,'Base de Dados'!B:B,B167)+(COUNTIFS('Base de Dados'!BT:BT,"Não",'Base de Dados'!A:A,A167,'Base de Dados'!B:B,B167)))),"Não Aplica")</f>
        <v>1</v>
      </c>
      <c r="D167" s="14" t="s">
        <v>23434</v>
      </c>
      <c r="E167" s="14" t="s">
        <v>25723</v>
      </c>
      <c r="F167" s="14" t="s">
        <v>23436</v>
      </c>
      <c r="G167" s="14" t="s">
        <v>23434</v>
      </c>
      <c r="H167" s="14" t="s">
        <v>25724</v>
      </c>
      <c r="I167" s="14" t="s">
        <v>22818</v>
      </c>
      <c r="J167" s="80"/>
      <c r="K167" s="14" t="s">
        <v>23438</v>
      </c>
      <c r="L167" s="81">
        <v>45691.61054398148</v>
      </c>
      <c r="M167" s="79">
        <f>IFERROR((COUNTIFS('Base de Dados'!DF:DF,"Sim",'Base de Dados'!A:A,A167,'Base de Dados'!B:B,B167)/(COUNTIFS('Base de Dados'!DF:DF,"Sim",'Base de Dados'!A:A,A167,'Base de Dados'!B:B,B167)+(COUNTIFS('Base de Dados'!DF:DF,"Não",'Base de Dados'!A:A,A167,'Base de Dados'!B:B,B167)))),"Não Aplica")</f>
        <v>1</v>
      </c>
      <c r="N167" s="14" t="s">
        <v>23434</v>
      </c>
      <c r="O167" s="14" t="s">
        <v>23439</v>
      </c>
      <c r="P167" s="14" t="s">
        <v>25725</v>
      </c>
      <c r="Q167" s="14" t="s">
        <v>23842</v>
      </c>
      <c r="R167" s="14" t="s">
        <v>23434</v>
      </c>
      <c r="S167" s="14" t="s">
        <v>25726</v>
      </c>
      <c r="T167" s="14" t="s">
        <v>23436</v>
      </c>
      <c r="U167" s="14" t="s">
        <v>23434</v>
      </c>
      <c r="V167" s="14" t="s">
        <v>25727</v>
      </c>
      <c r="W167" s="14" t="s">
        <v>22818</v>
      </c>
      <c r="X167" s="80"/>
      <c r="Y167" s="14" t="s">
        <v>23438</v>
      </c>
      <c r="Z167" s="81">
        <v>45692.53679398148</v>
      </c>
      <c r="AA167" s="79">
        <f>IFERROR((COUNTIFS('Base de Dados'!ED:ED,"Sim",'Base de Dados'!A:A,A167,'Base de Dados'!B:B,B167)/(COUNTIFS('Base de Dados'!ED:ED,"Sim",'Base de Dados'!A:A,A167,'Base de Dados'!B:B,B167)+(COUNTIFS('Base de Dados'!ED:ED,"Não",'Base de Dados'!A:A,A167,'Base de Dados'!B:B,B167)))),"Não Aplica")</f>
        <v>1</v>
      </c>
      <c r="AB167" s="14" t="s">
        <v>23434</v>
      </c>
      <c r="AC167" s="14" t="s">
        <v>25728</v>
      </c>
      <c r="AD167" s="14" t="s">
        <v>23842</v>
      </c>
      <c r="AE167" s="14" t="s">
        <v>23434</v>
      </c>
      <c r="AF167" s="14" t="s">
        <v>25729</v>
      </c>
      <c r="AG167" s="14" t="s">
        <v>22818</v>
      </c>
      <c r="AH167" s="80"/>
      <c r="AI167" s="14" t="s">
        <v>23438</v>
      </c>
      <c r="AJ167" s="81">
        <v>45693.452152777776</v>
      </c>
      <c r="AK167" s="82" t="s">
        <v>23446</v>
      </c>
      <c r="AL167" s="14" t="s">
        <v>23434</v>
      </c>
      <c r="AM167" s="14" t="s">
        <v>23439</v>
      </c>
      <c r="AN167" s="14" t="s">
        <v>25730</v>
      </c>
      <c r="AO167" s="14" t="s">
        <v>23842</v>
      </c>
      <c r="AP167" s="14" t="s">
        <v>23434</v>
      </c>
      <c r="AQ167" s="14" t="s">
        <v>23448</v>
      </c>
      <c r="AR167" s="14" t="s">
        <v>25731</v>
      </c>
      <c r="AS167" s="14" t="s">
        <v>23848</v>
      </c>
      <c r="AT167" s="14" t="s">
        <v>23434</v>
      </c>
      <c r="AU167" s="14" t="s">
        <v>23453</v>
      </c>
      <c r="AV167" s="14" t="s">
        <v>25732</v>
      </c>
      <c r="AW167" s="14" t="s">
        <v>23455</v>
      </c>
      <c r="AX167" s="14" t="s">
        <v>23434</v>
      </c>
      <c r="AY167" s="14" t="s">
        <v>23451</v>
      </c>
      <c r="AZ167" s="14" t="s">
        <v>25733</v>
      </c>
      <c r="BA167" s="14" t="s">
        <v>22818</v>
      </c>
      <c r="BB167" s="80"/>
      <c r="BC167" s="14" t="s">
        <v>23438</v>
      </c>
      <c r="BD167" s="81">
        <v>45720.29456018518</v>
      </c>
      <c r="BE167" s="79" t="str">
        <f>IFERROR((COUNTIFS('Base de Dados'!FD:FD,"Sim",'Base de Dados'!A:A,A167,'Base de Dados'!B:B,B167)/(COUNTIFS('Base de Dados'!FD:FD,"Sim",'Base de Dados'!A:A,A167,'Base de Dados'!B:B,B167)+(COUNTIFS('Base de Dados'!FD:FD,"Não",'Base de Dados'!A:A,A167,'Base de Dados'!B:B,B167)))),"Não Aplica")</f>
        <v>Não Aplica</v>
      </c>
      <c r="BF167" s="14" t="s">
        <v>228</v>
      </c>
      <c r="BG167" s="14" t="s">
        <v>23439</v>
      </c>
      <c r="BH167" s="14" t="s">
        <v>25734</v>
      </c>
      <c r="BI167" s="14" t="s">
        <v>23842</v>
      </c>
      <c r="BJ167" s="80"/>
      <c r="BK167" s="80"/>
      <c r="BL167" s="80"/>
      <c r="BM167" s="80"/>
      <c r="BN167" s="14" t="s">
        <v>228</v>
      </c>
      <c r="BO167" s="14" t="s">
        <v>23453</v>
      </c>
      <c r="BP167" s="14" t="s">
        <v>25735</v>
      </c>
      <c r="BQ167" s="14" t="s">
        <v>23455</v>
      </c>
      <c r="BR167" s="14" t="s">
        <v>228</v>
      </c>
      <c r="BS167" s="15"/>
      <c r="BT167" s="14" t="s">
        <v>25736</v>
      </c>
      <c r="BU167" s="14" t="s">
        <v>22818</v>
      </c>
      <c r="BV167" s="80"/>
      <c r="BW167" s="14" t="s">
        <v>23438</v>
      </c>
      <c r="BX167" s="81">
        <v>45723.61111111111</v>
      </c>
      <c r="BY167" s="82" t="s">
        <v>23446</v>
      </c>
      <c r="BZ167" s="15"/>
      <c r="CA167" s="15"/>
      <c r="CB167" s="15"/>
      <c r="CC167" s="15"/>
      <c r="CD167" s="80"/>
      <c r="CE167" s="80"/>
      <c r="CF167" s="80"/>
      <c r="CG167" s="80"/>
      <c r="CH167" s="15"/>
      <c r="CI167" s="15"/>
      <c r="CJ167" s="15"/>
      <c r="CK167" s="15"/>
      <c r="CL167" s="15"/>
      <c r="CM167" s="15"/>
      <c r="CN167" s="15"/>
      <c r="CO167" s="15"/>
      <c r="CP167" s="80"/>
      <c r="CQ167" s="80" t="s">
        <v>23459</v>
      </c>
      <c r="CR167" s="83"/>
      <c r="CS167" s="84"/>
    </row>
    <row r="168">
      <c r="A168" s="78" t="s">
        <v>234</v>
      </c>
      <c r="B168" s="78" t="s">
        <v>22187</v>
      </c>
      <c r="C168" s="79">
        <f>IFERROR((COUNTIFS('Base de Dados'!BT:BT,"Sim",'Base de Dados'!A:A,A168,'Base de Dados'!B:B,B168)/(COUNTIFS('Base de Dados'!BT:BT,"Sim",'Base de Dados'!A:A,A168,'Base de Dados'!B:B,B168)+(COUNTIFS('Base de Dados'!BT:BT,"Não",'Base de Dados'!A:A,A168,'Base de Dados'!B:B,B168)))),"Não Aplica")</f>
        <v>1</v>
      </c>
      <c r="D168" s="14" t="s">
        <v>23434</v>
      </c>
      <c r="E168" s="14" t="s">
        <v>25737</v>
      </c>
      <c r="F168" s="14" t="s">
        <v>23436</v>
      </c>
      <c r="G168" s="14" t="s">
        <v>23434</v>
      </c>
      <c r="H168" s="14" t="s">
        <v>25738</v>
      </c>
      <c r="I168" s="14" t="s">
        <v>22818</v>
      </c>
      <c r="J168" s="80"/>
      <c r="K168" s="14" t="s">
        <v>23438</v>
      </c>
      <c r="L168" s="81">
        <v>45691.61064814815</v>
      </c>
      <c r="M168" s="79">
        <f>IFERROR((COUNTIFS('Base de Dados'!DF:DF,"Sim",'Base de Dados'!A:A,A168,'Base de Dados'!B:B,B168)/(COUNTIFS('Base de Dados'!DF:DF,"Sim",'Base de Dados'!A:A,A168,'Base de Dados'!B:B,B168)+(COUNTIFS('Base de Dados'!DF:DF,"Não",'Base de Dados'!A:A,A168,'Base de Dados'!B:B,B168)))),"Não Aplica")</f>
        <v>1</v>
      </c>
      <c r="N168" s="14" t="s">
        <v>23434</v>
      </c>
      <c r="O168" s="14" t="s">
        <v>23439</v>
      </c>
      <c r="P168" s="14" t="s">
        <v>25739</v>
      </c>
      <c r="Q168" s="14" t="s">
        <v>23842</v>
      </c>
      <c r="R168" s="14" t="s">
        <v>23434</v>
      </c>
      <c r="S168" s="14" t="s">
        <v>25740</v>
      </c>
      <c r="T168" s="14" t="s">
        <v>23436</v>
      </c>
      <c r="U168" s="14" t="s">
        <v>23434</v>
      </c>
      <c r="V168" s="14" t="s">
        <v>25741</v>
      </c>
      <c r="W168" s="14" t="s">
        <v>22818</v>
      </c>
      <c r="X168" s="80"/>
      <c r="Y168" s="14" t="s">
        <v>23438</v>
      </c>
      <c r="Z168" s="81">
        <v>45692.536828703705</v>
      </c>
      <c r="AA168" s="79">
        <f>IFERROR((COUNTIFS('Base de Dados'!ED:ED,"Sim",'Base de Dados'!A:A,A168,'Base de Dados'!B:B,B168)/(COUNTIFS('Base de Dados'!ED:ED,"Sim",'Base de Dados'!A:A,A168,'Base de Dados'!B:B,B168)+(COUNTIFS('Base de Dados'!ED:ED,"Não",'Base de Dados'!A:A,A168,'Base de Dados'!B:B,B168)))),"Não Aplica")</f>
        <v>1</v>
      </c>
      <c r="AB168" s="14" t="s">
        <v>23434</v>
      </c>
      <c r="AC168" s="14" t="s">
        <v>25742</v>
      </c>
      <c r="AD168" s="14" t="s">
        <v>23842</v>
      </c>
      <c r="AE168" s="14" t="s">
        <v>23434</v>
      </c>
      <c r="AF168" s="14" t="s">
        <v>25743</v>
      </c>
      <c r="AG168" s="14" t="s">
        <v>22818</v>
      </c>
      <c r="AH168" s="80"/>
      <c r="AI168" s="14" t="s">
        <v>23438</v>
      </c>
      <c r="AJ168" s="81">
        <v>45693.45217592592</v>
      </c>
      <c r="AK168" s="82" t="s">
        <v>23446</v>
      </c>
      <c r="AL168" s="14" t="s">
        <v>23434</v>
      </c>
      <c r="AM168" s="14" t="s">
        <v>23439</v>
      </c>
      <c r="AN168" s="14" t="s">
        <v>25744</v>
      </c>
      <c r="AO168" s="14" t="s">
        <v>23842</v>
      </c>
      <c r="AP168" s="14" t="s">
        <v>23434</v>
      </c>
      <c r="AQ168" s="14" t="s">
        <v>23448</v>
      </c>
      <c r="AR168" s="14" t="s">
        <v>25745</v>
      </c>
      <c r="AS168" s="14" t="s">
        <v>23848</v>
      </c>
      <c r="AT168" s="14" t="s">
        <v>23434</v>
      </c>
      <c r="AU168" s="14" t="s">
        <v>23453</v>
      </c>
      <c r="AV168" s="14" t="s">
        <v>25746</v>
      </c>
      <c r="AW168" s="14" t="s">
        <v>23455</v>
      </c>
      <c r="AX168" s="14" t="s">
        <v>23434</v>
      </c>
      <c r="AY168" s="14" t="s">
        <v>23451</v>
      </c>
      <c r="AZ168" s="14" t="s">
        <v>25747</v>
      </c>
      <c r="BA168" s="14" t="s">
        <v>22818</v>
      </c>
      <c r="BB168" s="80"/>
      <c r="BC168" s="14" t="s">
        <v>23438</v>
      </c>
      <c r="BD168" s="81">
        <v>45721.60459490741</v>
      </c>
      <c r="BE168" s="79" t="str">
        <f>IFERROR((COUNTIFS('Base de Dados'!FD:FD,"Sim",'Base de Dados'!A:A,A168,'Base de Dados'!B:B,B168)/(COUNTIFS('Base de Dados'!FD:FD,"Sim",'Base de Dados'!A:A,A168,'Base de Dados'!B:B,B168)+(COUNTIFS('Base de Dados'!FD:FD,"Não",'Base de Dados'!A:A,A168,'Base de Dados'!B:B,B168)))),"Não Aplica")</f>
        <v>Não Aplica</v>
      </c>
      <c r="BF168" s="14" t="s">
        <v>228</v>
      </c>
      <c r="BG168" s="14" t="s">
        <v>23439</v>
      </c>
      <c r="BH168" s="14" t="s">
        <v>25748</v>
      </c>
      <c r="BI168" s="14" t="s">
        <v>23842</v>
      </c>
      <c r="BJ168" s="80"/>
      <c r="BK168" s="80"/>
      <c r="BL168" s="80"/>
      <c r="BM168" s="80"/>
      <c r="BN168" s="14" t="s">
        <v>228</v>
      </c>
      <c r="BO168" s="14" t="s">
        <v>23453</v>
      </c>
      <c r="BP168" s="14" t="s">
        <v>25749</v>
      </c>
      <c r="BQ168" s="14" t="s">
        <v>23455</v>
      </c>
      <c r="BR168" s="14" t="s">
        <v>228</v>
      </c>
      <c r="BS168" s="15"/>
      <c r="BT168" s="14" t="s">
        <v>25750</v>
      </c>
      <c r="BU168" s="14" t="s">
        <v>22818</v>
      </c>
      <c r="BV168" s="80"/>
      <c r="BW168" s="14" t="s">
        <v>23438</v>
      </c>
      <c r="BX168" s="81">
        <v>45723.61063657407</v>
      </c>
      <c r="BY168" s="82" t="s">
        <v>23446</v>
      </c>
      <c r="BZ168" s="15"/>
      <c r="CA168" s="15"/>
      <c r="CB168" s="15"/>
      <c r="CC168" s="15"/>
      <c r="CD168" s="80"/>
      <c r="CE168" s="80"/>
      <c r="CF168" s="80"/>
      <c r="CG168" s="80"/>
      <c r="CH168" s="15"/>
      <c r="CI168" s="15"/>
      <c r="CJ168" s="15"/>
      <c r="CK168" s="15"/>
      <c r="CL168" s="15"/>
      <c r="CM168" s="15"/>
      <c r="CN168" s="15"/>
      <c r="CO168" s="15"/>
      <c r="CP168" s="80"/>
      <c r="CQ168" s="80" t="s">
        <v>23459</v>
      </c>
      <c r="CR168" s="83"/>
      <c r="CS168" s="84"/>
    </row>
    <row r="169">
      <c r="A169" s="78" t="s">
        <v>234</v>
      </c>
      <c r="B169" s="78" t="s">
        <v>3300</v>
      </c>
      <c r="C169" s="79">
        <f>IFERROR((COUNTIFS('Base de Dados'!BT:BT,"Sim",'Base de Dados'!A:A,A169,'Base de Dados'!B:B,B169)/(COUNTIFS('Base de Dados'!BT:BT,"Sim",'Base de Dados'!A:A,A169,'Base de Dados'!B:B,B169)+(COUNTIFS('Base de Dados'!BT:BT,"Não",'Base de Dados'!A:A,A169,'Base de Dados'!B:B,B169)))),"Não Aplica")</f>
        <v>1</v>
      </c>
      <c r="D169" s="14" t="s">
        <v>23434</v>
      </c>
      <c r="E169" s="14" t="s">
        <v>25751</v>
      </c>
      <c r="F169" s="14" t="s">
        <v>23436</v>
      </c>
      <c r="G169" s="14" t="s">
        <v>23434</v>
      </c>
      <c r="H169" s="14" t="s">
        <v>25752</v>
      </c>
      <c r="I169" s="14" t="s">
        <v>22818</v>
      </c>
      <c r="J169" s="80"/>
      <c r="K169" s="14" t="s">
        <v>23438</v>
      </c>
      <c r="L169" s="81">
        <v>45689.410775462966</v>
      </c>
      <c r="M169" s="79">
        <f>IFERROR((COUNTIFS('Base de Dados'!DF:DF,"Sim",'Base de Dados'!A:A,A169,'Base de Dados'!B:B,B169)/(COUNTIFS('Base de Dados'!DF:DF,"Sim",'Base de Dados'!A:A,A169,'Base de Dados'!B:B,B169)+(COUNTIFS('Base de Dados'!DF:DF,"Não",'Base de Dados'!A:A,A169,'Base de Dados'!B:B,B169)))),"Não Aplica")</f>
        <v>1</v>
      </c>
      <c r="N169" s="14" t="s">
        <v>23434</v>
      </c>
      <c r="O169" s="14" t="s">
        <v>23439</v>
      </c>
      <c r="P169" s="14" t="s">
        <v>25753</v>
      </c>
      <c r="Q169" s="14" t="s">
        <v>23842</v>
      </c>
      <c r="R169" s="14" t="s">
        <v>23434</v>
      </c>
      <c r="S169" s="14" t="s">
        <v>25754</v>
      </c>
      <c r="T169" s="14" t="s">
        <v>23436</v>
      </c>
      <c r="U169" s="14" t="s">
        <v>23434</v>
      </c>
      <c r="V169" s="14" t="s">
        <v>25755</v>
      </c>
      <c r="W169" s="14" t="s">
        <v>22818</v>
      </c>
      <c r="X169" s="80"/>
      <c r="Y169" s="14" t="s">
        <v>23438</v>
      </c>
      <c r="Z169" s="81">
        <v>45691.61505787037</v>
      </c>
      <c r="AA169" s="79">
        <f>IFERROR((COUNTIFS('Base de Dados'!ED:ED,"Sim",'Base de Dados'!A:A,A169,'Base de Dados'!B:B,B169)/(COUNTIFS('Base de Dados'!ED:ED,"Sim",'Base de Dados'!A:A,A169,'Base de Dados'!B:B,B169)+(COUNTIFS('Base de Dados'!ED:ED,"Não",'Base de Dados'!A:A,A169,'Base de Dados'!B:B,B169)))),"Não Aplica")</f>
        <v>1</v>
      </c>
      <c r="AB169" s="14" t="s">
        <v>23434</v>
      </c>
      <c r="AC169" s="14" t="s">
        <v>25756</v>
      </c>
      <c r="AD169" s="14" t="s">
        <v>23842</v>
      </c>
      <c r="AE169" s="14" t="s">
        <v>23434</v>
      </c>
      <c r="AF169" s="14" t="s">
        <v>25757</v>
      </c>
      <c r="AG169" s="14" t="s">
        <v>22818</v>
      </c>
      <c r="AH169" s="80"/>
      <c r="AI169" s="14" t="s">
        <v>23438</v>
      </c>
      <c r="AJ169" s="81">
        <v>45692.636782407404</v>
      </c>
      <c r="AK169" s="82" t="s">
        <v>23446</v>
      </c>
      <c r="AL169" s="14" t="s">
        <v>23434</v>
      </c>
      <c r="AM169" s="14" t="s">
        <v>23448</v>
      </c>
      <c r="AN169" s="14" t="s">
        <v>25758</v>
      </c>
      <c r="AO169" s="14" t="s">
        <v>23848</v>
      </c>
      <c r="AP169" s="14" t="s">
        <v>23434</v>
      </c>
      <c r="AQ169" s="14" t="s">
        <v>23439</v>
      </c>
      <c r="AR169" s="14" t="s">
        <v>25759</v>
      </c>
      <c r="AS169" s="14" t="s">
        <v>23842</v>
      </c>
      <c r="AT169" s="14" t="s">
        <v>23434</v>
      </c>
      <c r="AU169" s="14" t="s">
        <v>23453</v>
      </c>
      <c r="AV169" s="14" t="s">
        <v>25760</v>
      </c>
      <c r="AW169" s="14" t="s">
        <v>23455</v>
      </c>
      <c r="AX169" s="14" t="s">
        <v>23434</v>
      </c>
      <c r="AY169" s="14" t="s">
        <v>23451</v>
      </c>
      <c r="AZ169" s="14" t="s">
        <v>25761</v>
      </c>
      <c r="BA169" s="14" t="s">
        <v>22818</v>
      </c>
      <c r="BB169" s="80"/>
      <c r="BC169" s="14" t="s">
        <v>23438</v>
      </c>
      <c r="BD169" s="81">
        <v>45721.59055555556</v>
      </c>
      <c r="BE169" s="79">
        <f>IFERROR((COUNTIFS('Base de Dados'!FD:FD,"Sim",'Base de Dados'!A:A,A169,'Base de Dados'!B:B,B169)/(COUNTIFS('Base de Dados'!FD:FD,"Sim",'Base de Dados'!A:A,A169,'Base de Dados'!B:B,B169)+(COUNTIFS('Base de Dados'!FD:FD,"Não",'Base de Dados'!A:A,A169,'Base de Dados'!B:B,B169)))),"Não Aplica")</f>
        <v>1</v>
      </c>
      <c r="BF169" s="14" t="s">
        <v>23434</v>
      </c>
      <c r="BG169" s="14" t="s">
        <v>23439</v>
      </c>
      <c r="BH169" s="14" t="s">
        <v>25762</v>
      </c>
      <c r="BI169" s="14" t="s">
        <v>23842</v>
      </c>
      <c r="BJ169" s="80"/>
      <c r="BK169" s="80"/>
      <c r="BL169" s="80"/>
      <c r="BM169" s="80"/>
      <c r="BN169" s="14" t="s">
        <v>23434</v>
      </c>
      <c r="BO169" s="14" t="s">
        <v>23453</v>
      </c>
      <c r="BP169" s="14" t="s">
        <v>25763</v>
      </c>
      <c r="BQ169" s="14" t="s">
        <v>23455</v>
      </c>
      <c r="BR169" s="14" t="s">
        <v>23434</v>
      </c>
      <c r="BS169" s="14" t="s">
        <v>23451</v>
      </c>
      <c r="BT169" s="14" t="s">
        <v>25764</v>
      </c>
      <c r="BU169" s="14" t="s">
        <v>22818</v>
      </c>
      <c r="BV169" s="80"/>
      <c r="BW169" s="14" t="s">
        <v>23438</v>
      </c>
      <c r="BX169" s="81">
        <v>45723.33128472222</v>
      </c>
      <c r="BY169" s="82" t="s">
        <v>23446</v>
      </c>
      <c r="BZ169" s="15"/>
      <c r="CA169" s="15"/>
      <c r="CB169" s="15"/>
      <c r="CC169" s="15"/>
      <c r="CD169" s="80"/>
      <c r="CE169" s="80"/>
      <c r="CF169" s="80"/>
      <c r="CG169" s="80"/>
      <c r="CH169" s="15"/>
      <c r="CI169" s="15"/>
      <c r="CJ169" s="15"/>
      <c r="CK169" s="15"/>
      <c r="CL169" s="15"/>
      <c r="CM169" s="15"/>
      <c r="CN169" s="15"/>
      <c r="CO169" s="15"/>
      <c r="CP169" s="80"/>
      <c r="CQ169" s="80" t="s">
        <v>23459</v>
      </c>
      <c r="CR169" s="83"/>
      <c r="CS169" s="84"/>
    </row>
    <row r="170">
      <c r="A170" s="78" t="s">
        <v>234</v>
      </c>
      <c r="B170" s="78" t="s">
        <v>21975</v>
      </c>
      <c r="C170" s="79">
        <f>IFERROR((COUNTIFS('Base de Dados'!BT:BT,"Sim",'Base de Dados'!A:A,A170,'Base de Dados'!B:B,B170)/(COUNTIFS('Base de Dados'!BT:BT,"Sim",'Base de Dados'!A:A,A170,'Base de Dados'!B:B,B170)+(COUNTIFS('Base de Dados'!BT:BT,"Não",'Base de Dados'!A:A,A170,'Base de Dados'!B:B,B170)))),"Não Aplica")</f>
        <v>1</v>
      </c>
      <c r="D170" s="14" t="s">
        <v>23434</v>
      </c>
      <c r="E170" s="14" t="s">
        <v>25765</v>
      </c>
      <c r="F170" s="14" t="s">
        <v>23436</v>
      </c>
      <c r="G170" s="14" t="s">
        <v>23434</v>
      </c>
      <c r="H170" s="14" t="s">
        <v>25766</v>
      </c>
      <c r="I170" s="14" t="s">
        <v>22818</v>
      </c>
      <c r="J170" s="80"/>
      <c r="K170" s="14" t="s">
        <v>23438</v>
      </c>
      <c r="L170" s="81">
        <v>45691.61069444445</v>
      </c>
      <c r="M170" s="79">
        <f>IFERROR((COUNTIFS('Base de Dados'!DF:DF,"Sim",'Base de Dados'!A:A,A170,'Base de Dados'!B:B,B170)/(COUNTIFS('Base de Dados'!DF:DF,"Sim",'Base de Dados'!A:A,A170,'Base de Dados'!B:B,B170)+(COUNTIFS('Base de Dados'!DF:DF,"Não",'Base de Dados'!A:A,A170,'Base de Dados'!B:B,B170)))),"Não Aplica")</f>
        <v>1</v>
      </c>
      <c r="N170" s="14" t="s">
        <v>23434</v>
      </c>
      <c r="O170" s="14" t="s">
        <v>23439</v>
      </c>
      <c r="P170" s="14" t="s">
        <v>25767</v>
      </c>
      <c r="Q170" s="14" t="s">
        <v>23842</v>
      </c>
      <c r="R170" s="14" t="s">
        <v>23434</v>
      </c>
      <c r="S170" s="14" t="s">
        <v>25768</v>
      </c>
      <c r="T170" s="14" t="s">
        <v>23436</v>
      </c>
      <c r="U170" s="14" t="s">
        <v>23434</v>
      </c>
      <c r="V170" s="14" t="s">
        <v>25769</v>
      </c>
      <c r="W170" s="14" t="s">
        <v>22818</v>
      </c>
      <c r="X170" s="80"/>
      <c r="Y170" s="14" t="s">
        <v>23438</v>
      </c>
      <c r="Z170" s="81">
        <v>45692.53689814815</v>
      </c>
      <c r="AA170" s="79">
        <f>IFERROR((COUNTIFS('Base de Dados'!ED:ED,"Sim",'Base de Dados'!A:A,A170,'Base de Dados'!B:B,B170)/(COUNTIFS('Base de Dados'!ED:ED,"Sim",'Base de Dados'!A:A,A170,'Base de Dados'!B:B,B170)+(COUNTIFS('Base de Dados'!ED:ED,"Não",'Base de Dados'!A:A,A170,'Base de Dados'!B:B,B170)))),"Não Aplica")</f>
        <v>1</v>
      </c>
      <c r="AB170" s="14" t="s">
        <v>23434</v>
      </c>
      <c r="AC170" s="14" t="s">
        <v>25770</v>
      </c>
      <c r="AD170" s="14" t="s">
        <v>23842</v>
      </c>
      <c r="AE170" s="14" t="s">
        <v>23434</v>
      </c>
      <c r="AF170" s="14" t="s">
        <v>25771</v>
      </c>
      <c r="AG170" s="14" t="s">
        <v>22818</v>
      </c>
      <c r="AH170" s="80"/>
      <c r="AI170" s="14" t="s">
        <v>23438</v>
      </c>
      <c r="AJ170" s="81">
        <v>45693.45222222222</v>
      </c>
      <c r="AK170" s="82" t="s">
        <v>23446</v>
      </c>
      <c r="AL170" s="14" t="s">
        <v>23434</v>
      </c>
      <c r="AM170" s="14" t="s">
        <v>23439</v>
      </c>
      <c r="AN170" s="14" t="s">
        <v>25772</v>
      </c>
      <c r="AO170" s="14" t="s">
        <v>23842</v>
      </c>
      <c r="AP170" s="14" t="s">
        <v>23434</v>
      </c>
      <c r="AQ170" s="14" t="s">
        <v>23448</v>
      </c>
      <c r="AR170" s="14" t="s">
        <v>25773</v>
      </c>
      <c r="AS170" s="14" t="s">
        <v>23848</v>
      </c>
      <c r="AT170" s="14" t="s">
        <v>23434</v>
      </c>
      <c r="AU170" s="14" t="s">
        <v>23453</v>
      </c>
      <c r="AV170" s="14" t="s">
        <v>25774</v>
      </c>
      <c r="AW170" s="14" t="s">
        <v>23455</v>
      </c>
      <c r="AX170" s="14" t="s">
        <v>23434</v>
      </c>
      <c r="AY170" s="14" t="s">
        <v>23451</v>
      </c>
      <c r="AZ170" s="14" t="s">
        <v>25775</v>
      </c>
      <c r="BA170" s="14" t="s">
        <v>22818</v>
      </c>
      <c r="BB170" s="80"/>
      <c r="BC170" s="14" t="s">
        <v>23438</v>
      </c>
      <c r="BD170" s="81">
        <v>45721.60456018519</v>
      </c>
      <c r="BE170" s="79">
        <f>IFERROR((COUNTIFS('Base de Dados'!FD:FD,"Sim",'Base de Dados'!A:A,A170,'Base de Dados'!B:B,B170)/(COUNTIFS('Base de Dados'!FD:FD,"Sim",'Base de Dados'!A:A,A170,'Base de Dados'!B:B,B170)+(COUNTIFS('Base de Dados'!FD:FD,"Não",'Base de Dados'!A:A,A170,'Base de Dados'!B:B,B170)))),"Não Aplica")</f>
        <v>1</v>
      </c>
      <c r="BF170" s="14" t="s">
        <v>23434</v>
      </c>
      <c r="BG170" s="14" t="s">
        <v>23439</v>
      </c>
      <c r="BH170" s="14" t="s">
        <v>25776</v>
      </c>
      <c r="BI170" s="14" t="s">
        <v>23842</v>
      </c>
      <c r="BJ170" s="80"/>
      <c r="BK170" s="80"/>
      <c r="BL170" s="80"/>
      <c r="BM170" s="80"/>
      <c r="BN170" s="14" t="s">
        <v>23434</v>
      </c>
      <c r="BO170" s="14" t="s">
        <v>23453</v>
      </c>
      <c r="BP170" s="14" t="s">
        <v>25777</v>
      </c>
      <c r="BQ170" s="14" t="s">
        <v>23455</v>
      </c>
      <c r="BR170" s="14" t="s">
        <v>23434</v>
      </c>
      <c r="BS170" s="14" t="s">
        <v>23451</v>
      </c>
      <c r="BT170" s="14" t="s">
        <v>25778</v>
      </c>
      <c r="BU170" s="14" t="s">
        <v>22818</v>
      </c>
      <c r="BV170" s="80"/>
      <c r="BW170" s="14" t="s">
        <v>23438</v>
      </c>
      <c r="BX170" s="81">
        <v>45723.32052083333</v>
      </c>
      <c r="BY170" s="82" t="s">
        <v>23446</v>
      </c>
      <c r="BZ170" s="15"/>
      <c r="CA170" s="15"/>
      <c r="CB170" s="15"/>
      <c r="CC170" s="15"/>
      <c r="CD170" s="80"/>
      <c r="CE170" s="80"/>
      <c r="CF170" s="80"/>
      <c r="CG170" s="80"/>
      <c r="CH170" s="15"/>
      <c r="CI170" s="15"/>
      <c r="CJ170" s="15"/>
      <c r="CK170" s="15"/>
      <c r="CL170" s="15"/>
      <c r="CM170" s="15"/>
      <c r="CN170" s="15"/>
      <c r="CO170" s="15"/>
      <c r="CP170" s="80"/>
      <c r="CQ170" s="80" t="s">
        <v>23459</v>
      </c>
      <c r="CR170" s="83"/>
      <c r="CS170" s="84"/>
    </row>
    <row r="171">
      <c r="A171" s="78" t="s">
        <v>234</v>
      </c>
      <c r="B171" s="78" t="s">
        <v>7113</v>
      </c>
      <c r="C171" s="79">
        <f>IFERROR((COUNTIFS('Base de Dados'!BT:BT,"Sim",'Base de Dados'!A:A,A171,'Base de Dados'!B:B,B171)/(COUNTIFS('Base de Dados'!BT:BT,"Sim",'Base de Dados'!A:A,A171,'Base de Dados'!B:B,B171)+(COUNTIFS('Base de Dados'!BT:BT,"Não",'Base de Dados'!A:A,A171,'Base de Dados'!B:B,B171)))),"Não Aplica")</f>
        <v>1</v>
      </c>
      <c r="D171" s="14" t="s">
        <v>23434</v>
      </c>
      <c r="E171" s="14" t="s">
        <v>25779</v>
      </c>
      <c r="F171" s="14" t="s">
        <v>23436</v>
      </c>
      <c r="G171" s="14" t="s">
        <v>23434</v>
      </c>
      <c r="H171" s="14" t="s">
        <v>25780</v>
      </c>
      <c r="I171" s="14" t="s">
        <v>22818</v>
      </c>
      <c r="J171" s="80"/>
      <c r="K171" s="14" t="s">
        <v>23438</v>
      </c>
      <c r="L171" s="81">
        <v>45687.393379629626</v>
      </c>
      <c r="M171" s="79">
        <f>IFERROR((COUNTIFS('Base de Dados'!DF:DF,"Sim",'Base de Dados'!A:A,A171,'Base de Dados'!B:B,B171)/(COUNTIFS('Base de Dados'!DF:DF,"Sim",'Base de Dados'!A:A,A171,'Base de Dados'!B:B,B171)+(COUNTIFS('Base de Dados'!DF:DF,"Não",'Base de Dados'!A:A,A171,'Base de Dados'!B:B,B171)))),"Não Aplica")</f>
        <v>1</v>
      </c>
      <c r="N171" s="14" t="s">
        <v>23434</v>
      </c>
      <c r="O171" s="14" t="s">
        <v>23439</v>
      </c>
      <c r="P171" s="14" t="s">
        <v>25781</v>
      </c>
      <c r="Q171" s="14" t="s">
        <v>23842</v>
      </c>
      <c r="R171" s="14" t="s">
        <v>23434</v>
      </c>
      <c r="S171" s="14" t="s">
        <v>25782</v>
      </c>
      <c r="T171" s="14" t="s">
        <v>23436</v>
      </c>
      <c r="U171" s="14" t="s">
        <v>23434</v>
      </c>
      <c r="V171" s="14" t="s">
        <v>25783</v>
      </c>
      <c r="W171" s="14" t="s">
        <v>22818</v>
      </c>
      <c r="X171" s="80"/>
      <c r="Y171" s="14" t="s">
        <v>23438</v>
      </c>
      <c r="Z171" s="81">
        <v>45688.676886574074</v>
      </c>
      <c r="AA171" s="79">
        <f>IFERROR((COUNTIFS('Base de Dados'!ED:ED,"Sim",'Base de Dados'!A:A,A171,'Base de Dados'!B:B,B171)/(COUNTIFS('Base de Dados'!ED:ED,"Sim",'Base de Dados'!A:A,A171,'Base de Dados'!B:B,B171)+(COUNTIFS('Base de Dados'!ED:ED,"Não",'Base de Dados'!A:A,A171,'Base de Dados'!B:B,B171)))),"Não Aplica")</f>
        <v>1</v>
      </c>
      <c r="AB171" s="14" t="s">
        <v>23434</v>
      </c>
      <c r="AC171" s="14" t="s">
        <v>25784</v>
      </c>
      <c r="AD171" s="14" t="s">
        <v>23842</v>
      </c>
      <c r="AE171" s="14" t="s">
        <v>23434</v>
      </c>
      <c r="AF171" s="14" t="s">
        <v>25785</v>
      </c>
      <c r="AG171" s="14" t="s">
        <v>22818</v>
      </c>
      <c r="AH171" s="80"/>
      <c r="AI171" s="14" t="s">
        <v>23438</v>
      </c>
      <c r="AJ171" s="81">
        <v>45691.61771990741</v>
      </c>
      <c r="AK171" s="82" t="s">
        <v>23446</v>
      </c>
      <c r="AL171" s="14" t="s">
        <v>23434</v>
      </c>
      <c r="AM171" s="14" t="s">
        <v>23439</v>
      </c>
      <c r="AN171" s="14" t="s">
        <v>25786</v>
      </c>
      <c r="AO171" s="14" t="s">
        <v>23842</v>
      </c>
      <c r="AP171" s="14" t="s">
        <v>23434</v>
      </c>
      <c r="AQ171" s="14" t="s">
        <v>23448</v>
      </c>
      <c r="AR171" s="14" t="s">
        <v>25787</v>
      </c>
      <c r="AS171" s="14" t="s">
        <v>23848</v>
      </c>
      <c r="AT171" s="14" t="s">
        <v>23434</v>
      </c>
      <c r="AU171" s="14" t="s">
        <v>23453</v>
      </c>
      <c r="AV171" s="14" t="s">
        <v>25788</v>
      </c>
      <c r="AW171" s="14" t="s">
        <v>23455</v>
      </c>
      <c r="AX171" s="14" t="s">
        <v>23434</v>
      </c>
      <c r="AY171" s="14" t="s">
        <v>23451</v>
      </c>
      <c r="AZ171" s="14" t="s">
        <v>25789</v>
      </c>
      <c r="BA171" s="14" t="s">
        <v>22818</v>
      </c>
      <c r="BB171" s="80"/>
      <c r="BC171" s="14" t="s">
        <v>23438</v>
      </c>
      <c r="BD171" s="81">
        <v>45720.294594907406</v>
      </c>
      <c r="BE171" s="79">
        <f>IFERROR((COUNTIFS('Base de Dados'!FD:FD,"Sim",'Base de Dados'!A:A,A171,'Base de Dados'!B:B,B171)/(COUNTIFS('Base de Dados'!FD:FD,"Sim",'Base de Dados'!A:A,A171,'Base de Dados'!B:B,B171)+(COUNTIFS('Base de Dados'!FD:FD,"Não",'Base de Dados'!A:A,A171,'Base de Dados'!B:B,B171)))),"Não Aplica")</f>
        <v>1</v>
      </c>
      <c r="BF171" s="14" t="s">
        <v>23434</v>
      </c>
      <c r="BG171" s="14" t="s">
        <v>23439</v>
      </c>
      <c r="BH171" s="14" t="s">
        <v>25790</v>
      </c>
      <c r="BI171" s="14" t="s">
        <v>23842</v>
      </c>
      <c r="BJ171" s="80"/>
      <c r="BK171" s="80"/>
      <c r="BL171" s="80"/>
      <c r="BM171" s="80"/>
      <c r="BN171" s="14" t="s">
        <v>23434</v>
      </c>
      <c r="BO171" s="14" t="s">
        <v>23453</v>
      </c>
      <c r="BP171" s="14" t="s">
        <v>25791</v>
      </c>
      <c r="BQ171" s="14" t="s">
        <v>23455</v>
      </c>
      <c r="BR171" s="14" t="s">
        <v>23434</v>
      </c>
      <c r="BS171" s="14" t="s">
        <v>23451</v>
      </c>
      <c r="BT171" s="14" t="s">
        <v>25792</v>
      </c>
      <c r="BU171" s="14" t="s">
        <v>22818</v>
      </c>
      <c r="BV171" s="80"/>
      <c r="BW171" s="14" t="s">
        <v>23438</v>
      </c>
      <c r="BX171" s="81">
        <v>45721.591944444444</v>
      </c>
      <c r="BY171" s="82" t="s">
        <v>23446</v>
      </c>
      <c r="BZ171" s="15"/>
      <c r="CA171" s="15"/>
      <c r="CB171" s="15"/>
      <c r="CC171" s="15"/>
      <c r="CD171" s="80"/>
      <c r="CE171" s="80"/>
      <c r="CF171" s="80"/>
      <c r="CG171" s="80"/>
      <c r="CH171" s="15"/>
      <c r="CI171" s="15"/>
      <c r="CJ171" s="15"/>
      <c r="CK171" s="15"/>
      <c r="CL171" s="15"/>
      <c r="CM171" s="15"/>
      <c r="CN171" s="15"/>
      <c r="CO171" s="15"/>
      <c r="CP171" s="80"/>
      <c r="CQ171" s="80" t="s">
        <v>23459</v>
      </c>
      <c r="CR171" s="83"/>
      <c r="CS171" s="84"/>
    </row>
    <row r="172">
      <c r="A172" s="78" t="s">
        <v>234</v>
      </c>
      <c r="B172" s="78" t="s">
        <v>2956</v>
      </c>
      <c r="C172" s="79">
        <f>IFERROR((COUNTIFS('Base de Dados'!BT:BT,"Sim",'Base de Dados'!A:A,A172,'Base de Dados'!B:B,B172)/(COUNTIFS('Base de Dados'!BT:BT,"Sim",'Base de Dados'!A:A,A172,'Base de Dados'!B:B,B172)+(COUNTIFS('Base de Dados'!BT:BT,"Não",'Base de Dados'!A:A,A172,'Base de Dados'!B:B,B172)))),"Não Aplica")</f>
        <v>1</v>
      </c>
      <c r="D172" s="14" t="s">
        <v>23434</v>
      </c>
      <c r="E172" s="14" t="s">
        <v>25793</v>
      </c>
      <c r="F172" s="14" t="s">
        <v>23436</v>
      </c>
      <c r="G172" s="14" t="s">
        <v>23434</v>
      </c>
      <c r="H172" s="14" t="s">
        <v>25794</v>
      </c>
      <c r="I172" s="14" t="s">
        <v>22818</v>
      </c>
      <c r="J172" s="80"/>
      <c r="K172" s="14" t="s">
        <v>23438</v>
      </c>
      <c r="L172" s="81">
        <v>45687.39328703703</v>
      </c>
      <c r="M172" s="79">
        <f>IFERROR((COUNTIFS('Base de Dados'!DF:DF,"Sim",'Base de Dados'!A:A,A172,'Base de Dados'!B:B,B172)/(COUNTIFS('Base de Dados'!DF:DF,"Sim",'Base de Dados'!A:A,A172,'Base de Dados'!B:B,B172)+(COUNTIFS('Base de Dados'!DF:DF,"Não",'Base de Dados'!A:A,A172,'Base de Dados'!B:B,B172)))),"Não Aplica")</f>
        <v>1</v>
      </c>
      <c r="N172" s="14" t="s">
        <v>23434</v>
      </c>
      <c r="O172" s="14" t="s">
        <v>23439</v>
      </c>
      <c r="P172" s="14" t="s">
        <v>25795</v>
      </c>
      <c r="Q172" s="14" t="s">
        <v>23842</v>
      </c>
      <c r="R172" s="14" t="s">
        <v>23434</v>
      </c>
      <c r="S172" s="14" t="s">
        <v>25796</v>
      </c>
      <c r="T172" s="14" t="s">
        <v>23436</v>
      </c>
      <c r="U172" s="14" t="s">
        <v>23434</v>
      </c>
      <c r="V172" s="14" t="s">
        <v>25797</v>
      </c>
      <c r="W172" s="14" t="s">
        <v>22818</v>
      </c>
      <c r="X172" s="80"/>
      <c r="Y172" s="14" t="s">
        <v>23438</v>
      </c>
      <c r="Z172" s="81">
        <v>45691.61568287037</v>
      </c>
      <c r="AA172" s="79">
        <f>IFERROR((COUNTIFS('Base de Dados'!ED:ED,"Sim",'Base de Dados'!A:A,A172,'Base de Dados'!B:B,B172)/(COUNTIFS('Base de Dados'!ED:ED,"Sim",'Base de Dados'!A:A,A172,'Base de Dados'!B:B,B172)+(COUNTIFS('Base de Dados'!ED:ED,"Não",'Base de Dados'!A:A,A172,'Base de Dados'!B:B,B172)))),"Não Aplica")</f>
        <v>1</v>
      </c>
      <c r="AB172" s="14" t="s">
        <v>23434</v>
      </c>
      <c r="AC172" s="14" t="s">
        <v>25798</v>
      </c>
      <c r="AD172" s="14" t="s">
        <v>23842</v>
      </c>
      <c r="AE172" s="14" t="s">
        <v>23434</v>
      </c>
      <c r="AF172" s="14" t="s">
        <v>25799</v>
      </c>
      <c r="AG172" s="14" t="s">
        <v>22818</v>
      </c>
      <c r="AH172" s="80"/>
      <c r="AI172" s="14" t="s">
        <v>23438</v>
      </c>
      <c r="AJ172" s="81">
        <v>45692.636828703704</v>
      </c>
      <c r="AK172" s="82" t="s">
        <v>23446</v>
      </c>
      <c r="AL172" s="14" t="s">
        <v>23434</v>
      </c>
      <c r="AM172" s="14" t="s">
        <v>23439</v>
      </c>
      <c r="AN172" s="14" t="s">
        <v>25800</v>
      </c>
      <c r="AO172" s="14" t="s">
        <v>23842</v>
      </c>
      <c r="AP172" s="14" t="s">
        <v>23434</v>
      </c>
      <c r="AQ172" s="14" t="s">
        <v>23448</v>
      </c>
      <c r="AR172" s="14" t="s">
        <v>25801</v>
      </c>
      <c r="AS172" s="14" t="s">
        <v>23848</v>
      </c>
      <c r="AT172" s="14" t="s">
        <v>23434</v>
      </c>
      <c r="AU172" s="14" t="s">
        <v>23453</v>
      </c>
      <c r="AV172" s="14" t="s">
        <v>25802</v>
      </c>
      <c r="AW172" s="14" t="s">
        <v>23455</v>
      </c>
      <c r="AX172" s="14" t="s">
        <v>23434</v>
      </c>
      <c r="AY172" s="14" t="s">
        <v>23451</v>
      </c>
      <c r="AZ172" s="14" t="s">
        <v>25803</v>
      </c>
      <c r="BA172" s="14" t="s">
        <v>22818</v>
      </c>
      <c r="BB172" s="80"/>
      <c r="BC172" s="14" t="s">
        <v>23438</v>
      </c>
      <c r="BD172" s="81">
        <v>45720.29417824074</v>
      </c>
      <c r="BE172" s="79">
        <f>IFERROR((COUNTIFS('Base de Dados'!FD:FD,"Sim",'Base de Dados'!A:A,A172,'Base de Dados'!B:B,B172)/(COUNTIFS('Base de Dados'!FD:FD,"Sim",'Base de Dados'!A:A,A172,'Base de Dados'!B:B,B172)+(COUNTIFS('Base de Dados'!FD:FD,"Não",'Base de Dados'!A:A,A172,'Base de Dados'!B:B,B172)))),"Não Aplica")</f>
        <v>1</v>
      </c>
      <c r="BF172" s="14" t="s">
        <v>23434</v>
      </c>
      <c r="BG172" s="14" t="s">
        <v>23439</v>
      </c>
      <c r="BH172" s="14" t="s">
        <v>25804</v>
      </c>
      <c r="BI172" s="14" t="s">
        <v>23842</v>
      </c>
      <c r="BJ172" s="80"/>
      <c r="BK172" s="80"/>
      <c r="BL172" s="80"/>
      <c r="BM172" s="80"/>
      <c r="BN172" s="14" t="s">
        <v>23434</v>
      </c>
      <c r="BO172" s="14" t="s">
        <v>23453</v>
      </c>
      <c r="BP172" s="14" t="s">
        <v>25805</v>
      </c>
      <c r="BQ172" s="14" t="s">
        <v>23455</v>
      </c>
      <c r="BR172" s="14" t="s">
        <v>23434</v>
      </c>
      <c r="BS172" s="14" t="s">
        <v>23451</v>
      </c>
      <c r="BT172" s="14" t="s">
        <v>25806</v>
      </c>
      <c r="BU172" s="14" t="s">
        <v>22818</v>
      </c>
      <c r="BV172" s="80"/>
      <c r="BW172" s="14" t="s">
        <v>23438</v>
      </c>
      <c r="BX172" s="81">
        <v>45721.59197916667</v>
      </c>
      <c r="BY172" s="82" t="s">
        <v>23446</v>
      </c>
      <c r="BZ172" s="15"/>
      <c r="CA172" s="15"/>
      <c r="CB172" s="15"/>
      <c r="CC172" s="15"/>
      <c r="CD172" s="80"/>
      <c r="CE172" s="80"/>
      <c r="CF172" s="80"/>
      <c r="CG172" s="80"/>
      <c r="CH172" s="15"/>
      <c r="CI172" s="15"/>
      <c r="CJ172" s="15"/>
      <c r="CK172" s="15"/>
      <c r="CL172" s="15"/>
      <c r="CM172" s="15"/>
      <c r="CN172" s="15"/>
      <c r="CO172" s="15"/>
      <c r="CP172" s="80"/>
      <c r="CQ172" s="80" t="s">
        <v>23459</v>
      </c>
      <c r="CR172" s="83"/>
      <c r="CS172" s="84"/>
    </row>
    <row r="173">
      <c r="A173" s="78" t="s">
        <v>234</v>
      </c>
      <c r="B173" s="78" t="s">
        <v>22223</v>
      </c>
      <c r="C173" s="79">
        <f>IFERROR((COUNTIFS('Base de Dados'!BT:BT,"Sim",'Base de Dados'!A:A,A173,'Base de Dados'!B:B,B173)/(COUNTIFS('Base de Dados'!BT:BT,"Sim",'Base de Dados'!A:A,A173,'Base de Dados'!B:B,B173)+(COUNTIFS('Base de Dados'!BT:BT,"Não",'Base de Dados'!A:A,A173,'Base de Dados'!B:B,B173)))),"Não Aplica")</f>
        <v>1</v>
      </c>
      <c r="D173" s="14" t="s">
        <v>23434</v>
      </c>
      <c r="E173" s="14" t="s">
        <v>25807</v>
      </c>
      <c r="F173" s="14" t="s">
        <v>23436</v>
      </c>
      <c r="G173" s="14" t="s">
        <v>23434</v>
      </c>
      <c r="H173" s="14" t="s">
        <v>25808</v>
      </c>
      <c r="I173" s="14" t="s">
        <v>22818</v>
      </c>
      <c r="J173" s="80"/>
      <c r="K173" s="14" t="s">
        <v>23438</v>
      </c>
      <c r="L173" s="81">
        <v>45689.41081018518</v>
      </c>
      <c r="M173" s="79">
        <f>IFERROR((COUNTIFS('Base de Dados'!DF:DF,"Sim",'Base de Dados'!A:A,A173,'Base de Dados'!B:B,B173)/(COUNTIFS('Base de Dados'!DF:DF,"Sim",'Base de Dados'!A:A,A173,'Base de Dados'!B:B,B173)+(COUNTIFS('Base de Dados'!DF:DF,"Não",'Base de Dados'!A:A,A173,'Base de Dados'!B:B,B173)))),"Não Aplica")</f>
        <v>1</v>
      </c>
      <c r="N173" s="14" t="s">
        <v>23434</v>
      </c>
      <c r="O173" s="14" t="s">
        <v>23439</v>
      </c>
      <c r="P173" s="14" t="s">
        <v>25809</v>
      </c>
      <c r="Q173" s="14" t="s">
        <v>23842</v>
      </c>
      <c r="R173" s="14" t="s">
        <v>23434</v>
      </c>
      <c r="S173" s="14" t="s">
        <v>25810</v>
      </c>
      <c r="T173" s="14" t="s">
        <v>23436</v>
      </c>
      <c r="U173" s="14" t="s">
        <v>23434</v>
      </c>
      <c r="V173" s="14" t="s">
        <v>25811</v>
      </c>
      <c r="W173" s="14" t="s">
        <v>22818</v>
      </c>
      <c r="X173" s="80"/>
      <c r="Y173" s="14" t="s">
        <v>23438</v>
      </c>
      <c r="Z173" s="81">
        <v>45691.61577546296</v>
      </c>
      <c r="AA173" s="79">
        <f>IFERROR((COUNTIFS('Base de Dados'!ED:ED,"Sim",'Base de Dados'!A:A,A173,'Base de Dados'!B:B,B173)/(COUNTIFS('Base de Dados'!ED:ED,"Sim",'Base de Dados'!A:A,A173,'Base de Dados'!B:B,B173)+(COUNTIFS('Base de Dados'!ED:ED,"Não",'Base de Dados'!A:A,A173,'Base de Dados'!B:B,B173)))),"Não Aplica")</f>
        <v>1</v>
      </c>
      <c r="AB173" s="14" t="s">
        <v>23434</v>
      </c>
      <c r="AC173" s="14" t="s">
        <v>25812</v>
      </c>
      <c r="AD173" s="14" t="s">
        <v>23842</v>
      </c>
      <c r="AE173" s="14" t="s">
        <v>23434</v>
      </c>
      <c r="AF173" s="14" t="s">
        <v>25813</v>
      </c>
      <c r="AG173" s="14" t="s">
        <v>22818</v>
      </c>
      <c r="AH173" s="80"/>
      <c r="AI173" s="14" t="s">
        <v>23438</v>
      </c>
      <c r="AJ173" s="81">
        <v>45692.63686342593</v>
      </c>
      <c r="AK173" s="82" t="s">
        <v>23446</v>
      </c>
      <c r="AL173" s="14" t="s">
        <v>23434</v>
      </c>
      <c r="AM173" s="14" t="s">
        <v>23439</v>
      </c>
      <c r="AN173" s="14" t="s">
        <v>25814</v>
      </c>
      <c r="AO173" s="14" t="s">
        <v>23842</v>
      </c>
      <c r="AP173" s="14" t="s">
        <v>23434</v>
      </c>
      <c r="AQ173" s="14" t="s">
        <v>23448</v>
      </c>
      <c r="AR173" s="14" t="s">
        <v>25815</v>
      </c>
      <c r="AS173" s="14" t="s">
        <v>23848</v>
      </c>
      <c r="AT173" s="14" t="s">
        <v>23434</v>
      </c>
      <c r="AU173" s="14" t="s">
        <v>23453</v>
      </c>
      <c r="AV173" s="14" t="s">
        <v>25816</v>
      </c>
      <c r="AW173" s="14" t="s">
        <v>23455</v>
      </c>
      <c r="AX173" s="14" t="s">
        <v>23434</v>
      </c>
      <c r="AY173" s="14" t="s">
        <v>23451</v>
      </c>
      <c r="AZ173" s="14" t="s">
        <v>25817</v>
      </c>
      <c r="BA173" s="14" t="s">
        <v>22818</v>
      </c>
      <c r="BB173" s="80"/>
      <c r="BC173" s="14" t="s">
        <v>23438</v>
      </c>
      <c r="BD173" s="81">
        <v>45720.29462962963</v>
      </c>
      <c r="BE173" s="79" t="str">
        <f>IFERROR((COUNTIFS('Base de Dados'!FD:FD,"Sim",'Base de Dados'!A:A,A173,'Base de Dados'!B:B,B173)/(COUNTIFS('Base de Dados'!FD:FD,"Sim",'Base de Dados'!A:A,A173,'Base de Dados'!B:B,B173)+(COUNTIFS('Base de Dados'!FD:FD,"Não",'Base de Dados'!A:A,A173,'Base de Dados'!B:B,B173)))),"Não Aplica")</f>
        <v>Não Aplica</v>
      </c>
      <c r="BF173" s="14" t="s">
        <v>228</v>
      </c>
      <c r="BG173" s="14" t="s">
        <v>23439</v>
      </c>
      <c r="BH173" s="14" t="s">
        <v>25818</v>
      </c>
      <c r="BI173" s="14" t="s">
        <v>23842</v>
      </c>
      <c r="BJ173" s="80"/>
      <c r="BK173" s="80"/>
      <c r="BL173" s="80"/>
      <c r="BM173" s="80"/>
      <c r="BN173" s="14" t="s">
        <v>228</v>
      </c>
      <c r="BO173" s="14" t="s">
        <v>23453</v>
      </c>
      <c r="BP173" s="14" t="s">
        <v>25819</v>
      </c>
      <c r="BQ173" s="14" t="s">
        <v>23455</v>
      </c>
      <c r="BR173" s="14" t="s">
        <v>228</v>
      </c>
      <c r="BS173" s="15"/>
      <c r="BT173" s="14" t="s">
        <v>25820</v>
      </c>
      <c r="BU173" s="14" t="s">
        <v>22818</v>
      </c>
      <c r="BV173" s="80"/>
      <c r="BW173" s="14" t="s">
        <v>23438</v>
      </c>
      <c r="BX173" s="81">
        <v>45723.61068287037</v>
      </c>
      <c r="BY173" s="82" t="s">
        <v>23446</v>
      </c>
      <c r="BZ173" s="15"/>
      <c r="CA173" s="15"/>
      <c r="CB173" s="15"/>
      <c r="CC173" s="15"/>
      <c r="CD173" s="80"/>
      <c r="CE173" s="80"/>
      <c r="CF173" s="80"/>
      <c r="CG173" s="80"/>
      <c r="CH173" s="15"/>
      <c r="CI173" s="15"/>
      <c r="CJ173" s="15"/>
      <c r="CK173" s="15"/>
      <c r="CL173" s="15"/>
      <c r="CM173" s="15"/>
      <c r="CN173" s="15"/>
      <c r="CO173" s="15"/>
      <c r="CP173" s="80"/>
      <c r="CQ173" s="80" t="s">
        <v>23459</v>
      </c>
      <c r="CR173" s="83"/>
      <c r="CS173" s="84"/>
    </row>
    <row r="174">
      <c r="A174" s="78" t="s">
        <v>357</v>
      </c>
      <c r="B174" s="86" t="s">
        <v>7694</v>
      </c>
      <c r="C174" s="79">
        <f>IFERROR((COUNTIFS('Base de Dados'!BT:BT,"Sim",'Base de Dados'!A:A,A174,'Base de Dados'!B:B,B174)/(COUNTIFS('Base de Dados'!BT:BT,"Sim",'Base de Dados'!A:A,A174,'Base de Dados'!B:B,B174)+(COUNTIFS('Base de Dados'!BT:BT,"Não",'Base de Dados'!A:A,A174,'Base de Dados'!B:B,B174)))),"Não Aplica")</f>
        <v>1</v>
      </c>
      <c r="D174" s="14" t="s">
        <v>23434</v>
      </c>
      <c r="E174" s="14" t="s">
        <v>25821</v>
      </c>
      <c r="F174" s="14" t="s">
        <v>23436</v>
      </c>
      <c r="G174" s="14" t="s">
        <v>23434</v>
      </c>
      <c r="H174" s="14" t="s">
        <v>25822</v>
      </c>
      <c r="I174" s="14" t="s">
        <v>22818</v>
      </c>
      <c r="J174" s="80"/>
      <c r="K174" s="14" t="s">
        <v>23438</v>
      </c>
      <c r="L174" s="81">
        <v>45691.61074074074</v>
      </c>
      <c r="M174" s="79">
        <f>IFERROR((COUNTIFS('Base de Dados'!DF:DF,"Sim",'Base de Dados'!A:A,A174,'Base de Dados'!B:B,B174)/(COUNTIFS('Base de Dados'!DF:DF,"Sim",'Base de Dados'!A:A,A174,'Base de Dados'!B:B,B174)+(COUNTIFS('Base de Dados'!DF:DF,"Não",'Base de Dados'!A:A,A174,'Base de Dados'!B:B,B174)))),"Não Aplica")</f>
        <v>1</v>
      </c>
      <c r="N174" s="14" t="s">
        <v>23434</v>
      </c>
      <c r="O174" s="14" t="s">
        <v>23602</v>
      </c>
      <c r="P174" s="14" t="s">
        <v>25823</v>
      </c>
      <c r="Q174" s="14" t="s">
        <v>23436</v>
      </c>
      <c r="R174" s="14" t="s">
        <v>23434</v>
      </c>
      <c r="S174" s="14" t="s">
        <v>25824</v>
      </c>
      <c r="T174" s="14" t="s">
        <v>23441</v>
      </c>
      <c r="U174" s="14" t="s">
        <v>23434</v>
      </c>
      <c r="V174" s="14" t="s">
        <v>25825</v>
      </c>
      <c r="W174" s="14" t="s">
        <v>22818</v>
      </c>
      <c r="X174" s="80"/>
      <c r="Y174" s="14" t="s">
        <v>23438</v>
      </c>
      <c r="Z174" s="81">
        <v>45692.63295138889</v>
      </c>
      <c r="AA174" s="79" t="str">
        <f>IFERROR((COUNTIFS('Base de Dados'!ED:ED,"Sim",'Base de Dados'!A:A,A174,'Base de Dados'!B:B,B174)/(COUNTIFS('Base de Dados'!ED:ED,"Sim",'Base de Dados'!A:A,A174,'Base de Dados'!B:B,B174)+(COUNTIFS('Base de Dados'!ED:ED,"Não",'Base de Dados'!A:A,A174,'Base de Dados'!B:B,B174)))),"Não Aplica")</f>
        <v>Não Aplica</v>
      </c>
      <c r="AB174" s="14" t="s">
        <v>228</v>
      </c>
      <c r="AC174" s="14" t="s">
        <v>25826</v>
      </c>
      <c r="AD174" s="14" t="s">
        <v>23441</v>
      </c>
      <c r="AE174" s="14" t="s">
        <v>228</v>
      </c>
      <c r="AF174" s="14" t="s">
        <v>25827</v>
      </c>
      <c r="AG174" s="14" t="s">
        <v>22818</v>
      </c>
      <c r="AH174" s="80"/>
      <c r="AI174" s="14" t="s">
        <v>23438</v>
      </c>
      <c r="AJ174" s="81">
        <v>45692.63758101852</v>
      </c>
      <c r="AK174" s="82" t="s">
        <v>23446</v>
      </c>
      <c r="AL174" s="14" t="s">
        <v>23434</v>
      </c>
      <c r="AM174" s="14" t="s">
        <v>23439</v>
      </c>
      <c r="AN174" s="14" t="s">
        <v>25828</v>
      </c>
      <c r="AO174" s="14" t="s">
        <v>23441</v>
      </c>
      <c r="AP174" s="14" t="s">
        <v>23434</v>
      </c>
      <c r="AQ174" s="14" t="s">
        <v>23448</v>
      </c>
      <c r="AR174" s="14" t="s">
        <v>25829</v>
      </c>
      <c r="AS174" s="14" t="s">
        <v>23450</v>
      </c>
      <c r="AT174" s="14" t="s">
        <v>23434</v>
      </c>
      <c r="AU174" s="14" t="s">
        <v>23451</v>
      </c>
      <c r="AV174" s="14" t="s">
        <v>25830</v>
      </c>
      <c r="AW174" s="14" t="s">
        <v>22818</v>
      </c>
      <c r="AX174" s="14" t="s">
        <v>23434</v>
      </c>
      <c r="AY174" s="14" t="s">
        <v>23453</v>
      </c>
      <c r="AZ174" s="14" t="s">
        <v>25831</v>
      </c>
      <c r="BA174" s="14" t="s">
        <v>23455</v>
      </c>
      <c r="BB174" s="80"/>
      <c r="BC174" s="14" t="s">
        <v>23438</v>
      </c>
      <c r="BD174" s="81">
        <v>45698.62012731482</v>
      </c>
      <c r="BE174" s="79">
        <f>IFERROR((COUNTIFS('Base de Dados'!FD:FD,"Sim",'Base de Dados'!A:A,A174,'Base de Dados'!B:B,B174)/(COUNTIFS('Base de Dados'!FD:FD,"Sim",'Base de Dados'!A:A,A174,'Base de Dados'!B:B,B174)+(COUNTIFS('Base de Dados'!FD:FD,"Não",'Base de Dados'!A:A,A174,'Base de Dados'!B:B,B174)))),"Não Aplica")</f>
        <v>1</v>
      </c>
      <c r="BF174" s="14" t="s">
        <v>23434</v>
      </c>
      <c r="BG174" s="14" t="s">
        <v>23439</v>
      </c>
      <c r="BH174" s="14" t="s">
        <v>25832</v>
      </c>
      <c r="BI174" s="14" t="s">
        <v>23441</v>
      </c>
      <c r="BJ174" s="80"/>
      <c r="BK174" s="80"/>
      <c r="BL174" s="80"/>
      <c r="BM174" s="80"/>
      <c r="BN174" s="14" t="s">
        <v>23434</v>
      </c>
      <c r="BO174" s="14" t="s">
        <v>23453</v>
      </c>
      <c r="BP174" s="14" t="s">
        <v>25833</v>
      </c>
      <c r="BQ174" s="14" t="s">
        <v>23455</v>
      </c>
      <c r="BR174" s="14" t="s">
        <v>23434</v>
      </c>
      <c r="BS174" s="14" t="s">
        <v>23451</v>
      </c>
      <c r="BT174" s="14" t="s">
        <v>25834</v>
      </c>
      <c r="BU174" s="14" t="s">
        <v>22818</v>
      </c>
      <c r="BV174" s="80"/>
      <c r="BW174" s="14" t="s">
        <v>23438</v>
      </c>
      <c r="BX174" s="81">
        <v>45722.76938657407</v>
      </c>
      <c r="BY174" s="82" t="s">
        <v>23446</v>
      </c>
      <c r="BZ174" s="15"/>
      <c r="CA174" s="15"/>
      <c r="CB174" s="15"/>
      <c r="CC174" s="15"/>
      <c r="CD174" s="80"/>
      <c r="CE174" s="80"/>
      <c r="CF174" s="80"/>
      <c r="CG174" s="80"/>
      <c r="CH174" s="15"/>
      <c r="CI174" s="15"/>
      <c r="CJ174" s="15"/>
      <c r="CK174" s="15"/>
      <c r="CL174" s="15"/>
      <c r="CM174" s="15"/>
      <c r="CN174" s="15"/>
      <c r="CO174" s="15"/>
      <c r="CP174" s="80"/>
      <c r="CQ174" s="80" t="s">
        <v>23459</v>
      </c>
      <c r="CR174" s="83"/>
      <c r="CS174" s="84"/>
    </row>
    <row r="175">
      <c r="A175" s="78" t="s">
        <v>357</v>
      </c>
      <c r="B175" s="78" t="s">
        <v>6313</v>
      </c>
      <c r="C175" s="79">
        <f>IFERROR((COUNTIFS('Base de Dados'!BT:BT,"Sim",'Base de Dados'!A:A,A175,'Base de Dados'!B:B,B175)/(COUNTIFS('Base de Dados'!BT:BT,"Sim",'Base de Dados'!A:A,A175,'Base de Dados'!B:B,B175)+(COUNTIFS('Base de Dados'!BT:BT,"Não",'Base de Dados'!A:A,A175,'Base de Dados'!B:B,B175)))),"Não Aplica")</f>
        <v>1</v>
      </c>
      <c r="D175" s="14" t="s">
        <v>23434</v>
      </c>
      <c r="E175" s="14" t="s">
        <v>25835</v>
      </c>
      <c r="F175" s="14" t="s">
        <v>23436</v>
      </c>
      <c r="G175" s="14" t="s">
        <v>23434</v>
      </c>
      <c r="H175" s="14" t="s">
        <v>25836</v>
      </c>
      <c r="I175" s="14" t="s">
        <v>22818</v>
      </c>
      <c r="J175" s="80"/>
      <c r="K175" s="14" t="s">
        <v>23438</v>
      </c>
      <c r="L175" s="81">
        <v>45685.64912037037</v>
      </c>
      <c r="M175" s="79">
        <f>IFERROR((COUNTIFS('Base de Dados'!DF:DF,"Sim",'Base de Dados'!A:A,A175,'Base de Dados'!B:B,B175)/(COUNTIFS('Base de Dados'!DF:DF,"Sim",'Base de Dados'!A:A,A175,'Base de Dados'!B:B,B175)+(COUNTIFS('Base de Dados'!DF:DF,"Não",'Base de Dados'!A:A,A175,'Base de Dados'!B:B,B175)))),"Não Aplica")</f>
        <v>1</v>
      </c>
      <c r="N175" s="14" t="s">
        <v>23434</v>
      </c>
      <c r="O175" s="14" t="s">
        <v>23439</v>
      </c>
      <c r="P175" s="14" t="s">
        <v>25837</v>
      </c>
      <c r="Q175" s="14" t="s">
        <v>23441</v>
      </c>
      <c r="R175" s="14" t="s">
        <v>23434</v>
      </c>
      <c r="S175" s="14" t="s">
        <v>25838</v>
      </c>
      <c r="T175" s="14" t="s">
        <v>23436</v>
      </c>
      <c r="U175" s="14" t="s">
        <v>23434</v>
      </c>
      <c r="V175" s="14" t="s">
        <v>25839</v>
      </c>
      <c r="W175" s="14" t="s">
        <v>22818</v>
      </c>
      <c r="X175" s="80"/>
      <c r="Y175" s="14" t="s">
        <v>23438</v>
      </c>
      <c r="Z175" s="81">
        <v>45691.61586805555</v>
      </c>
      <c r="AA175" s="79">
        <f>IFERROR((COUNTIFS('Base de Dados'!ED:ED,"Sim",'Base de Dados'!A:A,A175,'Base de Dados'!B:B,B175)/(COUNTIFS('Base de Dados'!ED:ED,"Sim",'Base de Dados'!A:A,A175,'Base de Dados'!B:B,B175)+(COUNTIFS('Base de Dados'!ED:ED,"Não",'Base de Dados'!A:A,A175,'Base de Dados'!B:B,B175)))),"Não Aplica")</f>
        <v>1</v>
      </c>
      <c r="AB175" s="14" t="s">
        <v>23434</v>
      </c>
      <c r="AC175" s="14" t="s">
        <v>25840</v>
      </c>
      <c r="AD175" s="14" t="s">
        <v>23441</v>
      </c>
      <c r="AE175" s="14" t="s">
        <v>23434</v>
      </c>
      <c r="AF175" s="14" t="s">
        <v>25841</v>
      </c>
      <c r="AG175" s="14" t="s">
        <v>22818</v>
      </c>
      <c r="AH175" s="80"/>
      <c r="AI175" s="14" t="s">
        <v>23438</v>
      </c>
      <c r="AJ175" s="81">
        <v>45692.63690972222</v>
      </c>
      <c r="AK175" s="82" t="s">
        <v>23446</v>
      </c>
      <c r="AL175" s="14" t="s">
        <v>23434</v>
      </c>
      <c r="AM175" s="14" t="s">
        <v>23439</v>
      </c>
      <c r="AN175" s="14" t="s">
        <v>25842</v>
      </c>
      <c r="AO175" s="14" t="s">
        <v>23441</v>
      </c>
      <c r="AP175" s="14" t="s">
        <v>23434</v>
      </c>
      <c r="AQ175" s="14" t="s">
        <v>23448</v>
      </c>
      <c r="AR175" s="14" t="s">
        <v>25843</v>
      </c>
      <c r="AS175" s="14" t="s">
        <v>23450</v>
      </c>
      <c r="AT175" s="14" t="s">
        <v>23434</v>
      </c>
      <c r="AU175" s="14" t="s">
        <v>23451</v>
      </c>
      <c r="AV175" s="14" t="s">
        <v>25844</v>
      </c>
      <c r="AW175" s="14" t="s">
        <v>22818</v>
      </c>
      <c r="AX175" s="14" t="s">
        <v>23434</v>
      </c>
      <c r="AY175" s="14" t="s">
        <v>23453</v>
      </c>
      <c r="AZ175" s="14" t="s">
        <v>25845</v>
      </c>
      <c r="BA175" s="14" t="s">
        <v>23455</v>
      </c>
      <c r="BB175" s="80"/>
      <c r="BC175" s="14" t="s">
        <v>23438</v>
      </c>
      <c r="BD175" s="81">
        <v>45698.62159722222</v>
      </c>
      <c r="BE175" s="79">
        <f>IFERROR((COUNTIFS('Base de Dados'!FD:FD,"Sim",'Base de Dados'!A:A,A175,'Base de Dados'!B:B,B175)/(COUNTIFS('Base de Dados'!FD:FD,"Sim",'Base de Dados'!A:A,A175,'Base de Dados'!B:B,B175)+(COUNTIFS('Base de Dados'!FD:FD,"Não",'Base de Dados'!A:A,A175,'Base de Dados'!B:B,B175)))),"Não Aplica")</f>
        <v>1</v>
      </c>
      <c r="BF175" s="14" t="s">
        <v>23434</v>
      </c>
      <c r="BG175" s="14" t="s">
        <v>23439</v>
      </c>
      <c r="BH175" s="14" t="s">
        <v>25846</v>
      </c>
      <c r="BI175" s="14" t="s">
        <v>23441</v>
      </c>
      <c r="BJ175" s="80"/>
      <c r="BK175" s="80"/>
      <c r="BL175" s="80"/>
      <c r="BM175" s="80"/>
      <c r="BN175" s="14" t="s">
        <v>23434</v>
      </c>
      <c r="BO175" s="14" t="s">
        <v>23453</v>
      </c>
      <c r="BP175" s="14" t="s">
        <v>25847</v>
      </c>
      <c r="BQ175" s="14" t="s">
        <v>23455</v>
      </c>
      <c r="BR175" s="14" t="s">
        <v>23434</v>
      </c>
      <c r="BS175" s="14" t="s">
        <v>23451</v>
      </c>
      <c r="BT175" s="14" t="s">
        <v>25848</v>
      </c>
      <c r="BU175" s="14" t="s">
        <v>22818</v>
      </c>
      <c r="BV175" s="80"/>
      <c r="BW175" s="14" t="s">
        <v>23438</v>
      </c>
      <c r="BX175" s="81">
        <v>45713.37962962963</v>
      </c>
      <c r="BY175" s="82" t="s">
        <v>23446</v>
      </c>
      <c r="BZ175" s="15"/>
      <c r="CA175" s="15"/>
      <c r="CB175" s="15"/>
      <c r="CC175" s="15"/>
      <c r="CD175" s="80"/>
      <c r="CE175" s="80"/>
      <c r="CF175" s="80"/>
      <c r="CG175" s="80"/>
      <c r="CH175" s="15"/>
      <c r="CI175" s="15"/>
      <c r="CJ175" s="15"/>
      <c r="CK175" s="15"/>
      <c r="CL175" s="15"/>
      <c r="CM175" s="15"/>
      <c r="CN175" s="15"/>
      <c r="CO175" s="15"/>
      <c r="CP175" s="80"/>
      <c r="CQ175" s="80" t="s">
        <v>23459</v>
      </c>
      <c r="CR175" s="83"/>
      <c r="CS175" s="84"/>
    </row>
    <row r="176">
      <c r="A176" s="78" t="s">
        <v>357</v>
      </c>
      <c r="B176" s="78" t="s">
        <v>13081</v>
      </c>
      <c r="C176" s="79">
        <f>IFERROR((COUNTIFS('Base de Dados'!BT:BT,"Sim",'Base de Dados'!A:A,A176,'Base de Dados'!B:B,B176)/(COUNTIFS('Base de Dados'!BT:BT,"Sim",'Base de Dados'!A:A,A176,'Base de Dados'!B:B,B176)+(COUNTIFS('Base de Dados'!BT:BT,"Não",'Base de Dados'!A:A,A176,'Base de Dados'!B:B,B176)))),"Não Aplica")</f>
        <v>1</v>
      </c>
      <c r="D176" s="14" t="s">
        <v>23434</v>
      </c>
      <c r="E176" s="14" t="s">
        <v>25849</v>
      </c>
      <c r="F176" s="14" t="s">
        <v>23436</v>
      </c>
      <c r="G176" s="14" t="s">
        <v>23434</v>
      </c>
      <c r="H176" s="14" t="s">
        <v>25850</v>
      </c>
      <c r="I176" s="14" t="s">
        <v>22818</v>
      </c>
      <c r="J176" s="80"/>
      <c r="K176" s="14" t="s">
        <v>23438</v>
      </c>
      <c r="L176" s="81">
        <v>45691.61087962963</v>
      </c>
      <c r="M176" s="79">
        <f>IFERROR((COUNTIFS('Base de Dados'!DF:DF,"Sim",'Base de Dados'!A:A,A176,'Base de Dados'!B:B,B176)/(COUNTIFS('Base de Dados'!DF:DF,"Sim",'Base de Dados'!A:A,A176,'Base de Dados'!B:B,B176)+(COUNTIFS('Base de Dados'!DF:DF,"Não",'Base de Dados'!A:A,A176,'Base de Dados'!B:B,B176)))),"Não Aplica")</f>
        <v>1</v>
      </c>
      <c r="N176" s="14" t="s">
        <v>23434</v>
      </c>
      <c r="O176" s="14" t="s">
        <v>23602</v>
      </c>
      <c r="P176" s="14" t="s">
        <v>25851</v>
      </c>
      <c r="Q176" s="14" t="s">
        <v>23436</v>
      </c>
      <c r="R176" s="14" t="s">
        <v>23434</v>
      </c>
      <c r="S176" s="14" t="s">
        <v>25852</v>
      </c>
      <c r="T176" s="14" t="s">
        <v>23441</v>
      </c>
      <c r="U176" s="14" t="s">
        <v>23434</v>
      </c>
      <c r="V176" s="14" t="s">
        <v>25853</v>
      </c>
      <c r="W176" s="14" t="s">
        <v>22818</v>
      </c>
      <c r="X176" s="80"/>
      <c r="Y176" s="14" t="s">
        <v>23438</v>
      </c>
      <c r="Z176" s="81">
        <v>45692.632893518516</v>
      </c>
      <c r="AA176" s="79">
        <f>IFERROR((COUNTIFS('Base de Dados'!ED:ED,"Sim",'Base de Dados'!A:A,A176,'Base de Dados'!B:B,B176)/(COUNTIFS('Base de Dados'!ED:ED,"Sim",'Base de Dados'!A:A,A176,'Base de Dados'!B:B,B176)+(COUNTIFS('Base de Dados'!ED:ED,"Não",'Base de Dados'!A:A,A176,'Base de Dados'!B:B,B176)))),"Não Aplica")</f>
        <v>1</v>
      </c>
      <c r="AB176" s="14" t="s">
        <v>23434</v>
      </c>
      <c r="AC176" s="14" t="s">
        <v>25854</v>
      </c>
      <c r="AD176" s="14" t="s">
        <v>23441</v>
      </c>
      <c r="AE176" s="14" t="s">
        <v>23434</v>
      </c>
      <c r="AF176" s="14" t="s">
        <v>25855</v>
      </c>
      <c r="AG176" s="14" t="s">
        <v>22818</v>
      </c>
      <c r="AH176" s="80"/>
      <c r="AI176" s="14" t="s">
        <v>23438</v>
      </c>
      <c r="AJ176" s="81">
        <v>45692.63693287037</v>
      </c>
      <c r="AK176" s="82" t="s">
        <v>23446</v>
      </c>
      <c r="AL176" s="14" t="s">
        <v>23434</v>
      </c>
      <c r="AM176" s="14" t="s">
        <v>23439</v>
      </c>
      <c r="AN176" s="14" t="s">
        <v>25856</v>
      </c>
      <c r="AO176" s="14" t="s">
        <v>23441</v>
      </c>
      <c r="AP176" s="14" t="s">
        <v>23434</v>
      </c>
      <c r="AQ176" s="14" t="s">
        <v>23448</v>
      </c>
      <c r="AR176" s="14" t="s">
        <v>25857</v>
      </c>
      <c r="AS176" s="14" t="s">
        <v>23450</v>
      </c>
      <c r="AT176" s="14" t="s">
        <v>23434</v>
      </c>
      <c r="AU176" s="14" t="s">
        <v>23451</v>
      </c>
      <c r="AV176" s="14" t="s">
        <v>25858</v>
      </c>
      <c r="AW176" s="14" t="s">
        <v>22818</v>
      </c>
      <c r="AX176" s="14" t="s">
        <v>23434</v>
      </c>
      <c r="AY176" s="14" t="s">
        <v>23453</v>
      </c>
      <c r="AZ176" s="14" t="s">
        <v>25859</v>
      </c>
      <c r="BA176" s="14" t="s">
        <v>23455</v>
      </c>
      <c r="BB176" s="80"/>
      <c r="BC176" s="14" t="s">
        <v>23438</v>
      </c>
      <c r="BD176" s="81">
        <v>45698.62033564815</v>
      </c>
      <c r="BE176" s="79">
        <f>IFERROR((COUNTIFS('Base de Dados'!FD:FD,"Sim",'Base de Dados'!A:A,A176,'Base de Dados'!B:B,B176)/(COUNTIFS('Base de Dados'!FD:FD,"Sim",'Base de Dados'!A:A,A176,'Base de Dados'!B:B,B176)+(COUNTIFS('Base de Dados'!FD:FD,"Não",'Base de Dados'!A:A,A176,'Base de Dados'!B:B,B176)))),"Não Aplica")</f>
        <v>1</v>
      </c>
      <c r="BF176" s="14" t="s">
        <v>23434</v>
      </c>
      <c r="BG176" s="14" t="s">
        <v>23439</v>
      </c>
      <c r="BH176" s="14" t="s">
        <v>25860</v>
      </c>
      <c r="BI176" s="14" t="s">
        <v>23441</v>
      </c>
      <c r="BJ176" s="80"/>
      <c r="BK176" s="80"/>
      <c r="BL176" s="80"/>
      <c r="BM176" s="80"/>
      <c r="BN176" s="14" t="s">
        <v>23434</v>
      </c>
      <c r="BO176" s="14" t="s">
        <v>23453</v>
      </c>
      <c r="BP176" s="14" t="s">
        <v>25861</v>
      </c>
      <c r="BQ176" s="14" t="s">
        <v>23455</v>
      </c>
      <c r="BR176" s="14" t="s">
        <v>23434</v>
      </c>
      <c r="BS176" s="14" t="s">
        <v>23451</v>
      </c>
      <c r="BT176" s="14" t="s">
        <v>25862</v>
      </c>
      <c r="BU176" s="14" t="s">
        <v>22818</v>
      </c>
      <c r="BV176" s="80"/>
      <c r="BW176" s="14" t="s">
        <v>23438</v>
      </c>
      <c r="BX176" s="81">
        <v>45713.349178240744</v>
      </c>
      <c r="BY176" s="82" t="s">
        <v>23446</v>
      </c>
      <c r="BZ176" s="15"/>
      <c r="CA176" s="15"/>
      <c r="CB176" s="15"/>
      <c r="CC176" s="15"/>
      <c r="CD176" s="80"/>
      <c r="CE176" s="80"/>
      <c r="CF176" s="80"/>
      <c r="CG176" s="80"/>
      <c r="CH176" s="15"/>
      <c r="CI176" s="15"/>
      <c r="CJ176" s="15"/>
      <c r="CK176" s="15"/>
      <c r="CL176" s="15"/>
      <c r="CM176" s="15"/>
      <c r="CN176" s="15"/>
      <c r="CO176" s="15"/>
      <c r="CP176" s="80"/>
      <c r="CQ176" s="80" t="s">
        <v>23459</v>
      </c>
      <c r="CR176" s="83"/>
      <c r="CS176" s="84"/>
    </row>
    <row r="177">
      <c r="A177" s="78" t="s">
        <v>357</v>
      </c>
      <c r="B177" s="78" t="s">
        <v>13048</v>
      </c>
      <c r="C177" s="79">
        <f>IFERROR((COUNTIFS('Base de Dados'!BT:BT,"Sim",'Base de Dados'!A:A,A177,'Base de Dados'!B:B,B177)/(COUNTIFS('Base de Dados'!BT:BT,"Sim",'Base de Dados'!A:A,A177,'Base de Dados'!B:B,B177)+(COUNTIFS('Base de Dados'!BT:BT,"Não",'Base de Dados'!A:A,A177,'Base de Dados'!B:B,B177)))),"Não Aplica")</f>
        <v>1</v>
      </c>
      <c r="D177" s="14" t="s">
        <v>23434</v>
      </c>
      <c r="E177" s="14" t="s">
        <v>25863</v>
      </c>
      <c r="F177" s="14" t="s">
        <v>23436</v>
      </c>
      <c r="G177" s="14" t="s">
        <v>23434</v>
      </c>
      <c r="H177" s="14" t="s">
        <v>25864</v>
      </c>
      <c r="I177" s="14" t="s">
        <v>22818</v>
      </c>
      <c r="J177" s="80"/>
      <c r="K177" s="14" t="s">
        <v>23438</v>
      </c>
      <c r="L177" s="81">
        <v>45691.610763888886</v>
      </c>
      <c r="M177" s="79">
        <f>IFERROR((COUNTIFS('Base de Dados'!DF:DF,"Sim",'Base de Dados'!A:A,A177,'Base de Dados'!B:B,B177)/(COUNTIFS('Base de Dados'!DF:DF,"Sim",'Base de Dados'!A:A,A177,'Base de Dados'!B:B,B177)+(COUNTIFS('Base de Dados'!DF:DF,"Não",'Base de Dados'!A:A,A177,'Base de Dados'!B:B,B177)))),"Não Aplica")</f>
        <v>1</v>
      </c>
      <c r="N177" s="14" t="s">
        <v>23434</v>
      </c>
      <c r="O177" s="14" t="s">
        <v>23602</v>
      </c>
      <c r="P177" s="14" t="s">
        <v>25865</v>
      </c>
      <c r="Q177" s="14" t="s">
        <v>23436</v>
      </c>
      <c r="R177" s="14" t="s">
        <v>23434</v>
      </c>
      <c r="S177" s="14" t="s">
        <v>25866</v>
      </c>
      <c r="T177" s="14" t="s">
        <v>23441</v>
      </c>
      <c r="U177" s="14" t="s">
        <v>23434</v>
      </c>
      <c r="V177" s="14" t="s">
        <v>25867</v>
      </c>
      <c r="W177" s="14" t="s">
        <v>22818</v>
      </c>
      <c r="X177" s="80"/>
      <c r="Y177" s="14" t="s">
        <v>23438</v>
      </c>
      <c r="Z177" s="81">
        <v>45692.63280092592</v>
      </c>
      <c r="AA177" s="79">
        <f>IFERROR((COUNTIFS('Base de Dados'!ED:ED,"Sim",'Base de Dados'!A:A,A177,'Base de Dados'!B:B,B177)/(COUNTIFS('Base de Dados'!ED:ED,"Sim",'Base de Dados'!A:A,A177,'Base de Dados'!B:B,B177)+(COUNTIFS('Base de Dados'!ED:ED,"Não",'Base de Dados'!A:A,A177,'Base de Dados'!B:B,B177)))),"Não Aplica")</f>
        <v>1</v>
      </c>
      <c r="AB177" s="14" t="s">
        <v>23434</v>
      </c>
      <c r="AC177" s="14" t="s">
        <v>25868</v>
      </c>
      <c r="AD177" s="14" t="s">
        <v>23441</v>
      </c>
      <c r="AE177" s="14" t="s">
        <v>23434</v>
      </c>
      <c r="AF177" s="14" t="s">
        <v>25869</v>
      </c>
      <c r="AG177" s="14" t="s">
        <v>22818</v>
      </c>
      <c r="AH177" s="80"/>
      <c r="AI177" s="14" t="s">
        <v>23438</v>
      </c>
      <c r="AJ177" s="81">
        <v>45692.63695601852</v>
      </c>
      <c r="AK177" s="82" t="s">
        <v>23446</v>
      </c>
      <c r="AL177" s="14" t="s">
        <v>23434</v>
      </c>
      <c r="AM177" s="14" t="s">
        <v>23439</v>
      </c>
      <c r="AN177" s="14" t="s">
        <v>25870</v>
      </c>
      <c r="AO177" s="14" t="s">
        <v>23441</v>
      </c>
      <c r="AP177" s="14" t="s">
        <v>23434</v>
      </c>
      <c r="AQ177" s="14" t="s">
        <v>23448</v>
      </c>
      <c r="AR177" s="14" t="s">
        <v>25871</v>
      </c>
      <c r="AS177" s="14" t="s">
        <v>23450</v>
      </c>
      <c r="AT177" s="14" t="s">
        <v>23434</v>
      </c>
      <c r="AU177" s="14" t="s">
        <v>23451</v>
      </c>
      <c r="AV177" s="14" t="s">
        <v>25872</v>
      </c>
      <c r="AW177" s="14" t="s">
        <v>22818</v>
      </c>
      <c r="AX177" s="14" t="s">
        <v>23434</v>
      </c>
      <c r="AY177" s="14" t="s">
        <v>23453</v>
      </c>
      <c r="AZ177" s="14" t="s">
        <v>25873</v>
      </c>
      <c r="BA177" s="14" t="s">
        <v>23455</v>
      </c>
      <c r="BB177" s="80"/>
      <c r="BC177" s="14" t="s">
        <v>23438</v>
      </c>
      <c r="BD177" s="81">
        <v>45698.62019675926</v>
      </c>
      <c r="BE177" s="79">
        <f>IFERROR((COUNTIFS('Base de Dados'!FD:FD,"Sim",'Base de Dados'!A:A,A177,'Base de Dados'!B:B,B177)/(COUNTIFS('Base de Dados'!FD:FD,"Sim",'Base de Dados'!A:A,A177,'Base de Dados'!B:B,B177)+(COUNTIFS('Base de Dados'!FD:FD,"Não",'Base de Dados'!A:A,A177,'Base de Dados'!B:B,B177)))),"Não Aplica")</f>
        <v>1</v>
      </c>
      <c r="BF177" s="14" t="s">
        <v>23434</v>
      </c>
      <c r="BG177" s="14" t="s">
        <v>23439</v>
      </c>
      <c r="BH177" s="14" t="s">
        <v>25874</v>
      </c>
      <c r="BI177" s="14" t="s">
        <v>23441</v>
      </c>
      <c r="BJ177" s="80"/>
      <c r="BK177" s="80"/>
      <c r="BL177" s="80"/>
      <c r="BM177" s="80"/>
      <c r="BN177" s="14" t="s">
        <v>23434</v>
      </c>
      <c r="BO177" s="14" t="s">
        <v>23453</v>
      </c>
      <c r="BP177" s="14" t="s">
        <v>25875</v>
      </c>
      <c r="BQ177" s="14" t="s">
        <v>23455</v>
      </c>
      <c r="BR177" s="14" t="s">
        <v>23434</v>
      </c>
      <c r="BS177" s="14" t="s">
        <v>23451</v>
      </c>
      <c r="BT177" s="14" t="s">
        <v>25876</v>
      </c>
      <c r="BU177" s="14" t="s">
        <v>22818</v>
      </c>
      <c r="BV177" s="80"/>
      <c r="BW177" s="14" t="s">
        <v>23438</v>
      </c>
      <c r="BX177" s="81">
        <v>45713.34924768518</v>
      </c>
      <c r="BY177" s="82" t="s">
        <v>23446</v>
      </c>
      <c r="BZ177" s="15"/>
      <c r="CA177" s="15"/>
      <c r="CB177" s="15"/>
      <c r="CC177" s="15"/>
      <c r="CD177" s="80"/>
      <c r="CE177" s="80"/>
      <c r="CF177" s="80"/>
      <c r="CG177" s="80"/>
      <c r="CH177" s="15"/>
      <c r="CI177" s="15"/>
      <c r="CJ177" s="15"/>
      <c r="CK177" s="15"/>
      <c r="CL177" s="15"/>
      <c r="CM177" s="15"/>
      <c r="CN177" s="15"/>
      <c r="CO177" s="15"/>
      <c r="CP177" s="80"/>
      <c r="CQ177" s="80" t="s">
        <v>23459</v>
      </c>
      <c r="CR177" s="83"/>
      <c r="CS177" s="84"/>
    </row>
    <row r="178">
      <c r="A178" s="78" t="s">
        <v>357</v>
      </c>
      <c r="B178" s="78" t="s">
        <v>10652</v>
      </c>
      <c r="C178" s="79">
        <f>IFERROR((COUNTIFS('Base de Dados'!BT:BT,"Sim",'Base de Dados'!A:A,A178,'Base de Dados'!B:B,B178)/(COUNTIFS('Base de Dados'!BT:BT,"Sim",'Base de Dados'!A:A,A178,'Base de Dados'!B:B,B178)+(COUNTIFS('Base de Dados'!BT:BT,"Não",'Base de Dados'!A:A,A178,'Base de Dados'!B:B,B178)))),"Não Aplica")</f>
        <v>1</v>
      </c>
      <c r="D178" s="14" t="s">
        <v>23434</v>
      </c>
      <c r="E178" s="14" t="s">
        <v>25877</v>
      </c>
      <c r="F178" s="14" t="s">
        <v>23436</v>
      </c>
      <c r="G178" s="14" t="s">
        <v>23434</v>
      </c>
      <c r="H178" s="14" t="s">
        <v>25878</v>
      </c>
      <c r="I178" s="14" t="s">
        <v>22818</v>
      </c>
      <c r="J178" s="80"/>
      <c r="K178" s="14" t="s">
        <v>23438</v>
      </c>
      <c r="L178" s="81">
        <v>45689.41092592593</v>
      </c>
      <c r="M178" s="79">
        <f>IFERROR((COUNTIFS('Base de Dados'!DF:DF,"Sim",'Base de Dados'!A:A,A178,'Base de Dados'!B:B,B178)/(COUNTIFS('Base de Dados'!DF:DF,"Sim",'Base de Dados'!A:A,A178,'Base de Dados'!B:B,B178)+(COUNTIFS('Base de Dados'!DF:DF,"Não",'Base de Dados'!A:A,A178,'Base de Dados'!B:B,B178)))),"Não Aplica")</f>
        <v>1</v>
      </c>
      <c r="N178" s="14" t="s">
        <v>23434</v>
      </c>
      <c r="O178" s="14" t="s">
        <v>23439</v>
      </c>
      <c r="P178" s="14" t="s">
        <v>25879</v>
      </c>
      <c r="Q178" s="14" t="s">
        <v>23441</v>
      </c>
      <c r="R178" s="14" t="s">
        <v>23434</v>
      </c>
      <c r="S178" s="14" t="s">
        <v>25880</v>
      </c>
      <c r="T178" s="14" t="s">
        <v>23436</v>
      </c>
      <c r="U178" s="14" t="s">
        <v>23434</v>
      </c>
      <c r="V178" s="14" t="s">
        <v>25881</v>
      </c>
      <c r="W178" s="14" t="s">
        <v>22818</v>
      </c>
      <c r="X178" s="80"/>
      <c r="Y178" s="14" t="s">
        <v>23438</v>
      </c>
      <c r="Z178" s="81">
        <v>45691.615891203706</v>
      </c>
      <c r="AA178" s="79">
        <f>IFERROR((COUNTIFS('Base de Dados'!ED:ED,"Sim",'Base de Dados'!A:A,A178,'Base de Dados'!B:B,B178)/(COUNTIFS('Base de Dados'!ED:ED,"Sim",'Base de Dados'!A:A,A178,'Base de Dados'!B:B,B178)+(COUNTIFS('Base de Dados'!ED:ED,"Não",'Base de Dados'!A:A,A178,'Base de Dados'!B:B,B178)))),"Não Aplica")</f>
        <v>1</v>
      </c>
      <c r="AB178" s="14" t="s">
        <v>23434</v>
      </c>
      <c r="AC178" s="14" t="s">
        <v>25882</v>
      </c>
      <c r="AD178" s="14" t="s">
        <v>23441</v>
      </c>
      <c r="AE178" s="14" t="s">
        <v>23434</v>
      </c>
      <c r="AF178" s="14" t="s">
        <v>25883</v>
      </c>
      <c r="AG178" s="14" t="s">
        <v>22818</v>
      </c>
      <c r="AH178" s="80"/>
      <c r="AI178" s="14" t="s">
        <v>23438</v>
      </c>
      <c r="AJ178" s="81">
        <v>45692.636979166666</v>
      </c>
      <c r="AK178" s="82" t="s">
        <v>23446</v>
      </c>
      <c r="AL178" s="14" t="s">
        <v>23434</v>
      </c>
      <c r="AM178" s="14" t="s">
        <v>23439</v>
      </c>
      <c r="AN178" s="14" t="s">
        <v>25884</v>
      </c>
      <c r="AO178" s="14" t="s">
        <v>23441</v>
      </c>
      <c r="AP178" s="14" t="s">
        <v>23434</v>
      </c>
      <c r="AQ178" s="14" t="s">
        <v>23448</v>
      </c>
      <c r="AR178" s="14" t="s">
        <v>25885</v>
      </c>
      <c r="AS178" s="14" t="s">
        <v>23450</v>
      </c>
      <c r="AT178" s="14" t="s">
        <v>23434</v>
      </c>
      <c r="AU178" s="14" t="s">
        <v>23451</v>
      </c>
      <c r="AV178" s="14" t="s">
        <v>25886</v>
      </c>
      <c r="AW178" s="14" t="s">
        <v>22818</v>
      </c>
      <c r="AX178" s="14" t="s">
        <v>23434</v>
      </c>
      <c r="AY178" s="14" t="s">
        <v>23453</v>
      </c>
      <c r="AZ178" s="14" t="s">
        <v>25887</v>
      </c>
      <c r="BA178" s="14" t="s">
        <v>23455</v>
      </c>
      <c r="BB178" s="80"/>
      <c r="BC178" s="14" t="s">
        <v>23438</v>
      </c>
      <c r="BD178" s="81">
        <v>45698.62027777778</v>
      </c>
      <c r="BE178" s="79">
        <f>IFERROR((COUNTIFS('Base de Dados'!FD:FD,"Sim",'Base de Dados'!A:A,A178,'Base de Dados'!B:B,B178)/(COUNTIFS('Base de Dados'!FD:FD,"Sim",'Base de Dados'!A:A,A178,'Base de Dados'!B:B,B178)+(COUNTIFS('Base de Dados'!FD:FD,"Não",'Base de Dados'!A:A,A178,'Base de Dados'!B:B,B178)))),"Não Aplica")</f>
        <v>1</v>
      </c>
      <c r="BF178" s="14" t="s">
        <v>23434</v>
      </c>
      <c r="BG178" s="14" t="s">
        <v>23439</v>
      </c>
      <c r="BH178" s="14" t="s">
        <v>25888</v>
      </c>
      <c r="BI178" s="14" t="s">
        <v>23441</v>
      </c>
      <c r="BJ178" s="80"/>
      <c r="BK178" s="80"/>
      <c r="BL178" s="80"/>
      <c r="BM178" s="80"/>
      <c r="BN178" s="14" t="s">
        <v>23434</v>
      </c>
      <c r="BO178" s="14" t="s">
        <v>23453</v>
      </c>
      <c r="BP178" s="14" t="s">
        <v>25889</v>
      </c>
      <c r="BQ178" s="14" t="s">
        <v>23455</v>
      </c>
      <c r="BR178" s="14" t="s">
        <v>23434</v>
      </c>
      <c r="BS178" s="14" t="s">
        <v>23451</v>
      </c>
      <c r="BT178" s="14" t="s">
        <v>25890</v>
      </c>
      <c r="BU178" s="14" t="s">
        <v>22818</v>
      </c>
      <c r="BV178" s="80"/>
      <c r="BW178" s="14" t="s">
        <v>23438</v>
      </c>
      <c r="BX178" s="81">
        <v>45713.34921296296</v>
      </c>
      <c r="BY178" s="82" t="s">
        <v>23446</v>
      </c>
      <c r="BZ178" s="15"/>
      <c r="CA178" s="15"/>
      <c r="CB178" s="15"/>
      <c r="CC178" s="15"/>
      <c r="CD178" s="80"/>
      <c r="CE178" s="80"/>
      <c r="CF178" s="80"/>
      <c r="CG178" s="80"/>
      <c r="CH178" s="15"/>
      <c r="CI178" s="15"/>
      <c r="CJ178" s="15"/>
      <c r="CK178" s="15"/>
      <c r="CL178" s="15"/>
      <c r="CM178" s="15"/>
      <c r="CN178" s="15"/>
      <c r="CO178" s="15"/>
      <c r="CP178" s="80"/>
      <c r="CQ178" s="80" t="s">
        <v>23459</v>
      </c>
      <c r="CR178" s="83"/>
      <c r="CS178" s="84"/>
    </row>
    <row r="179">
      <c r="A179" s="78" t="s">
        <v>357</v>
      </c>
      <c r="B179" s="78" t="s">
        <v>7780</v>
      </c>
      <c r="C179" s="79">
        <f>IFERROR((COUNTIFS('Base de Dados'!BT:BT,"Sim",'Base de Dados'!A:A,A179,'Base de Dados'!B:B,B179)/(COUNTIFS('Base de Dados'!BT:BT,"Sim",'Base de Dados'!A:A,A179,'Base de Dados'!B:B,B179)+(COUNTIFS('Base de Dados'!BT:BT,"Não",'Base de Dados'!A:A,A179,'Base de Dados'!B:B,B179)))),"Não Aplica")</f>
        <v>1</v>
      </c>
      <c r="D179" s="14" t="s">
        <v>23434</v>
      </c>
      <c r="E179" s="14" t="s">
        <v>25891</v>
      </c>
      <c r="F179" s="14" t="s">
        <v>23436</v>
      </c>
      <c r="G179" s="14" t="s">
        <v>23434</v>
      </c>
      <c r="H179" s="14" t="s">
        <v>25892</v>
      </c>
      <c r="I179" s="14" t="s">
        <v>22818</v>
      </c>
      <c r="J179" s="80"/>
      <c r="K179" s="14" t="s">
        <v>23438</v>
      </c>
      <c r="L179" s="81">
        <v>45687.66137731481</v>
      </c>
      <c r="M179" s="79">
        <f>IFERROR((COUNTIFS('Base de Dados'!DF:DF,"Sim",'Base de Dados'!A:A,A179,'Base de Dados'!B:B,B179)/(COUNTIFS('Base de Dados'!DF:DF,"Sim",'Base de Dados'!A:A,A179,'Base de Dados'!B:B,B179)+(COUNTIFS('Base de Dados'!DF:DF,"Não",'Base de Dados'!A:A,A179,'Base de Dados'!B:B,B179)))),"Não Aplica")</f>
        <v>1</v>
      </c>
      <c r="N179" s="14" t="s">
        <v>23434</v>
      </c>
      <c r="O179" s="14" t="s">
        <v>23439</v>
      </c>
      <c r="P179" s="14" t="s">
        <v>25893</v>
      </c>
      <c r="Q179" s="14" t="s">
        <v>23441</v>
      </c>
      <c r="R179" s="14" t="s">
        <v>23434</v>
      </c>
      <c r="S179" s="14" t="s">
        <v>25894</v>
      </c>
      <c r="T179" s="14" t="s">
        <v>23436</v>
      </c>
      <c r="U179" s="14" t="s">
        <v>23434</v>
      </c>
      <c r="V179" s="14" t="s">
        <v>25895</v>
      </c>
      <c r="W179" s="14" t="s">
        <v>22818</v>
      </c>
      <c r="X179" s="80"/>
      <c r="Y179" s="14" t="s">
        <v>23438</v>
      </c>
      <c r="Z179" s="81">
        <v>45691.61622685185</v>
      </c>
      <c r="AA179" s="79" t="str">
        <f>IFERROR((COUNTIFS('Base de Dados'!ED:ED,"Sim",'Base de Dados'!A:A,A179,'Base de Dados'!B:B,B179)/(COUNTIFS('Base de Dados'!ED:ED,"Sim",'Base de Dados'!A:A,A179,'Base de Dados'!B:B,B179)+(COUNTIFS('Base de Dados'!ED:ED,"Não",'Base de Dados'!A:A,A179,'Base de Dados'!B:B,B179)))),"Não Aplica")</f>
        <v>Não Aplica</v>
      </c>
      <c r="AB179" s="14" t="s">
        <v>228</v>
      </c>
      <c r="AC179" s="14" t="s">
        <v>25896</v>
      </c>
      <c r="AD179" s="14" t="s">
        <v>23441</v>
      </c>
      <c r="AE179" s="14" t="s">
        <v>228</v>
      </c>
      <c r="AF179" s="14" t="s">
        <v>25897</v>
      </c>
      <c r="AG179" s="14" t="s">
        <v>22818</v>
      </c>
      <c r="AH179" s="80"/>
      <c r="AI179" s="14" t="s">
        <v>23438</v>
      </c>
      <c r="AJ179" s="81">
        <v>45692.637708333335</v>
      </c>
      <c r="AK179" s="82" t="s">
        <v>23446</v>
      </c>
      <c r="AL179" s="14" t="s">
        <v>23434</v>
      </c>
      <c r="AM179" s="14" t="s">
        <v>23439</v>
      </c>
      <c r="AN179" s="14" t="s">
        <v>25898</v>
      </c>
      <c r="AO179" s="14" t="s">
        <v>23441</v>
      </c>
      <c r="AP179" s="14" t="s">
        <v>23434</v>
      </c>
      <c r="AQ179" s="14" t="s">
        <v>23448</v>
      </c>
      <c r="AR179" s="14" t="s">
        <v>25899</v>
      </c>
      <c r="AS179" s="14" t="s">
        <v>23450</v>
      </c>
      <c r="AT179" s="14" t="s">
        <v>23434</v>
      </c>
      <c r="AU179" s="14" t="s">
        <v>23451</v>
      </c>
      <c r="AV179" s="14" t="s">
        <v>25900</v>
      </c>
      <c r="AW179" s="14" t="s">
        <v>22818</v>
      </c>
      <c r="AX179" s="14" t="s">
        <v>23434</v>
      </c>
      <c r="AY179" s="14" t="s">
        <v>23453</v>
      </c>
      <c r="AZ179" s="14" t="s">
        <v>25901</v>
      </c>
      <c r="BA179" s="14" t="s">
        <v>23455</v>
      </c>
      <c r="BB179" s="80"/>
      <c r="BC179" s="14" t="s">
        <v>23438</v>
      </c>
      <c r="BD179" s="81">
        <v>45698.620416666665</v>
      </c>
      <c r="BE179" s="79">
        <f>IFERROR((COUNTIFS('Base de Dados'!FD:FD,"Sim",'Base de Dados'!A:A,A179,'Base de Dados'!B:B,B179)/(COUNTIFS('Base de Dados'!FD:FD,"Sim",'Base de Dados'!A:A,A179,'Base de Dados'!B:B,B179)+(COUNTIFS('Base de Dados'!FD:FD,"Não",'Base de Dados'!A:A,A179,'Base de Dados'!B:B,B179)))),"Não Aplica")</f>
        <v>1</v>
      </c>
      <c r="BF179" s="14" t="s">
        <v>23434</v>
      </c>
      <c r="BG179" s="14" t="s">
        <v>23439</v>
      </c>
      <c r="BH179" s="14" t="s">
        <v>25902</v>
      </c>
      <c r="BI179" s="14" t="s">
        <v>23441</v>
      </c>
      <c r="BJ179" s="80"/>
      <c r="BK179" s="80"/>
      <c r="BL179" s="80"/>
      <c r="BM179" s="80"/>
      <c r="BN179" s="14" t="s">
        <v>23434</v>
      </c>
      <c r="BO179" s="14" t="s">
        <v>23453</v>
      </c>
      <c r="BP179" s="14" t="s">
        <v>25903</v>
      </c>
      <c r="BQ179" s="14" t="s">
        <v>23455</v>
      </c>
      <c r="BR179" s="14" t="s">
        <v>23434</v>
      </c>
      <c r="BS179" s="14" t="s">
        <v>23451</v>
      </c>
      <c r="BT179" s="14" t="s">
        <v>25904</v>
      </c>
      <c r="BU179" s="14" t="s">
        <v>22818</v>
      </c>
      <c r="BV179" s="80"/>
      <c r="BW179" s="14" t="s">
        <v>23438</v>
      </c>
      <c r="BX179" s="81">
        <v>45713.34936342593</v>
      </c>
      <c r="BY179" s="82" t="s">
        <v>23446</v>
      </c>
      <c r="BZ179" s="15"/>
      <c r="CA179" s="15"/>
      <c r="CB179" s="15"/>
      <c r="CC179" s="15"/>
      <c r="CD179" s="80"/>
      <c r="CE179" s="80"/>
      <c r="CF179" s="80"/>
      <c r="CG179" s="80"/>
      <c r="CH179" s="15"/>
      <c r="CI179" s="15"/>
      <c r="CJ179" s="15"/>
      <c r="CK179" s="15"/>
      <c r="CL179" s="15"/>
      <c r="CM179" s="15"/>
      <c r="CN179" s="15"/>
      <c r="CO179" s="15"/>
      <c r="CP179" s="80"/>
      <c r="CQ179" s="80" t="s">
        <v>23459</v>
      </c>
      <c r="CR179" s="83"/>
      <c r="CS179" s="84"/>
    </row>
    <row r="180">
      <c r="A180" s="78" t="s">
        <v>357</v>
      </c>
      <c r="B180" s="86" t="s">
        <v>4344</v>
      </c>
      <c r="C180" s="79">
        <f>IFERROR((COUNTIFS('Base de Dados'!BT:BT,"Sim",'Base de Dados'!A:A,A180,'Base de Dados'!B:B,B180)/(COUNTIFS('Base de Dados'!BT:BT,"Sim",'Base de Dados'!A:A,A180,'Base de Dados'!B:B,B180)+(COUNTIFS('Base de Dados'!BT:BT,"Não",'Base de Dados'!A:A,A180,'Base de Dados'!B:B,B180)))),"Não Aplica")</f>
        <v>1</v>
      </c>
      <c r="D180" s="14" t="s">
        <v>23434</v>
      </c>
      <c r="E180" s="14" t="s">
        <v>25905</v>
      </c>
      <c r="F180" s="14" t="s">
        <v>23436</v>
      </c>
      <c r="G180" s="14" t="s">
        <v>23434</v>
      </c>
      <c r="H180" s="14" t="s">
        <v>25906</v>
      </c>
      <c r="I180" s="14" t="s">
        <v>22818</v>
      </c>
      <c r="J180" s="80"/>
      <c r="K180" s="14" t="s">
        <v>23438</v>
      </c>
      <c r="L180" s="81">
        <v>45687.39365740741</v>
      </c>
      <c r="M180" s="79">
        <f>IFERROR((COUNTIFS('Base de Dados'!DF:DF,"Sim",'Base de Dados'!A:A,A180,'Base de Dados'!B:B,B180)/(COUNTIFS('Base de Dados'!DF:DF,"Sim",'Base de Dados'!A:A,A180,'Base de Dados'!B:B,B180)+(COUNTIFS('Base de Dados'!DF:DF,"Não",'Base de Dados'!A:A,A180,'Base de Dados'!B:B,B180)))),"Não Aplica")</f>
        <v>1</v>
      </c>
      <c r="N180" s="14" t="s">
        <v>23434</v>
      </c>
      <c r="O180" s="14" t="s">
        <v>23439</v>
      </c>
      <c r="P180" s="14" t="s">
        <v>25907</v>
      </c>
      <c r="Q180" s="14" t="s">
        <v>23441</v>
      </c>
      <c r="R180" s="14" t="s">
        <v>23434</v>
      </c>
      <c r="S180" s="14" t="s">
        <v>25908</v>
      </c>
      <c r="T180" s="14" t="s">
        <v>23436</v>
      </c>
      <c r="U180" s="14" t="s">
        <v>23434</v>
      </c>
      <c r="V180" s="14" t="s">
        <v>25909</v>
      </c>
      <c r="W180" s="14" t="s">
        <v>22818</v>
      </c>
      <c r="X180" s="80"/>
      <c r="Y180" s="14" t="s">
        <v>23438</v>
      </c>
      <c r="Z180" s="81">
        <v>45691.615949074076</v>
      </c>
      <c r="AA180" s="79">
        <f>IFERROR((COUNTIFS('Base de Dados'!ED:ED,"Sim",'Base de Dados'!A:A,A180,'Base de Dados'!B:B,B180)/(COUNTIFS('Base de Dados'!ED:ED,"Sim",'Base de Dados'!A:A,A180,'Base de Dados'!B:B,B180)+(COUNTIFS('Base de Dados'!ED:ED,"Não",'Base de Dados'!A:A,A180,'Base de Dados'!B:B,B180)))),"Não Aplica")</f>
        <v>1</v>
      </c>
      <c r="AB180" s="14" t="s">
        <v>23434</v>
      </c>
      <c r="AC180" s="14" t="s">
        <v>25910</v>
      </c>
      <c r="AD180" s="14" t="s">
        <v>23441</v>
      </c>
      <c r="AE180" s="14" t="s">
        <v>23434</v>
      </c>
      <c r="AF180" s="14" t="s">
        <v>25911</v>
      </c>
      <c r="AG180" s="14" t="s">
        <v>22818</v>
      </c>
      <c r="AH180" s="80"/>
      <c r="AI180" s="14" t="s">
        <v>23438</v>
      </c>
      <c r="AJ180" s="81">
        <v>45692.63699074074</v>
      </c>
      <c r="AK180" s="82" t="s">
        <v>23446</v>
      </c>
      <c r="AL180" s="14" t="s">
        <v>23434</v>
      </c>
      <c r="AM180" s="14" t="s">
        <v>23439</v>
      </c>
      <c r="AN180" s="14" t="s">
        <v>25912</v>
      </c>
      <c r="AO180" s="14" t="s">
        <v>23441</v>
      </c>
      <c r="AP180" s="14" t="s">
        <v>23434</v>
      </c>
      <c r="AQ180" s="14" t="s">
        <v>23448</v>
      </c>
      <c r="AR180" s="14" t="s">
        <v>25913</v>
      </c>
      <c r="AS180" s="14" t="s">
        <v>23450</v>
      </c>
      <c r="AT180" s="14" t="s">
        <v>23434</v>
      </c>
      <c r="AU180" s="14" t="s">
        <v>23451</v>
      </c>
      <c r="AV180" s="14" t="s">
        <v>25914</v>
      </c>
      <c r="AW180" s="14" t="s">
        <v>22818</v>
      </c>
      <c r="AX180" s="14" t="s">
        <v>23434</v>
      </c>
      <c r="AY180" s="14" t="s">
        <v>23453</v>
      </c>
      <c r="AZ180" s="14" t="s">
        <v>25915</v>
      </c>
      <c r="BA180" s="14" t="s">
        <v>23455</v>
      </c>
      <c r="BB180" s="80"/>
      <c r="BC180" s="14" t="s">
        <v>23438</v>
      </c>
      <c r="BD180" s="81">
        <v>45698.62079861111</v>
      </c>
      <c r="BE180" s="79">
        <f>IFERROR((COUNTIFS('Base de Dados'!FD:FD,"Sim",'Base de Dados'!A:A,A180,'Base de Dados'!B:B,B180)/(COUNTIFS('Base de Dados'!FD:FD,"Sim",'Base de Dados'!A:A,A180,'Base de Dados'!B:B,B180)+(COUNTIFS('Base de Dados'!FD:FD,"Não",'Base de Dados'!A:A,A180,'Base de Dados'!B:B,B180)))),"Não Aplica")</f>
        <v>1</v>
      </c>
      <c r="BF180" s="14" t="s">
        <v>23434</v>
      </c>
      <c r="BG180" s="14" t="s">
        <v>23439</v>
      </c>
      <c r="BH180" s="14" t="s">
        <v>25916</v>
      </c>
      <c r="BI180" s="14" t="s">
        <v>23441</v>
      </c>
      <c r="BJ180" s="80"/>
      <c r="BK180" s="80"/>
      <c r="BL180" s="80"/>
      <c r="BM180" s="80"/>
      <c r="BN180" s="14" t="s">
        <v>23434</v>
      </c>
      <c r="BO180" s="14" t="s">
        <v>23453</v>
      </c>
      <c r="BP180" s="14" t="s">
        <v>25917</v>
      </c>
      <c r="BQ180" s="14" t="s">
        <v>23455</v>
      </c>
      <c r="BR180" s="14" t="s">
        <v>23434</v>
      </c>
      <c r="BS180" s="14" t="s">
        <v>23451</v>
      </c>
      <c r="BT180" s="14" t="s">
        <v>25918</v>
      </c>
      <c r="BU180" s="14" t="s">
        <v>22818</v>
      </c>
      <c r="BV180" s="80"/>
      <c r="BW180" s="14" t="s">
        <v>23438</v>
      </c>
      <c r="BX180" s="81">
        <v>45722.76584490741</v>
      </c>
      <c r="BY180" s="82" t="s">
        <v>23446</v>
      </c>
      <c r="BZ180" s="15"/>
      <c r="CA180" s="15"/>
      <c r="CB180" s="15"/>
      <c r="CC180" s="15"/>
      <c r="CD180" s="80"/>
      <c r="CE180" s="80"/>
      <c r="CF180" s="80"/>
      <c r="CG180" s="80"/>
      <c r="CH180" s="15"/>
      <c r="CI180" s="15"/>
      <c r="CJ180" s="15"/>
      <c r="CK180" s="15"/>
      <c r="CL180" s="15"/>
      <c r="CM180" s="15"/>
      <c r="CN180" s="15"/>
      <c r="CO180" s="15"/>
      <c r="CP180" s="80"/>
      <c r="CQ180" s="80" t="s">
        <v>23459</v>
      </c>
      <c r="CR180" s="83"/>
      <c r="CS180" s="84"/>
    </row>
    <row r="181">
      <c r="A181" s="78" t="s">
        <v>357</v>
      </c>
      <c r="B181" s="78" t="s">
        <v>358</v>
      </c>
      <c r="C181" s="79">
        <f>IFERROR((COUNTIFS('Base de Dados'!BT:BT,"Sim",'Base de Dados'!A:A,A181,'Base de Dados'!B:B,B181)/(COUNTIFS('Base de Dados'!BT:BT,"Sim",'Base de Dados'!A:A,A181,'Base de Dados'!B:B,B181)+(COUNTIFS('Base de Dados'!BT:BT,"Não",'Base de Dados'!A:A,A181,'Base de Dados'!B:B,B181)))),"Não Aplica")</f>
        <v>1</v>
      </c>
      <c r="D181" s="14" t="s">
        <v>23434</v>
      </c>
      <c r="E181" s="14" t="s">
        <v>25919</v>
      </c>
      <c r="F181" s="14" t="s">
        <v>23436</v>
      </c>
      <c r="G181" s="14" t="s">
        <v>23434</v>
      </c>
      <c r="H181" s="14" t="s">
        <v>25920</v>
      </c>
      <c r="I181" s="14" t="s">
        <v>22818</v>
      </c>
      <c r="J181" s="80"/>
      <c r="K181" s="14" t="s">
        <v>23438</v>
      </c>
      <c r="L181" s="81">
        <v>45685.312256944446</v>
      </c>
      <c r="M181" s="79">
        <f>IFERROR((COUNTIFS('Base de Dados'!DF:DF,"Sim",'Base de Dados'!A:A,A181,'Base de Dados'!B:B,B181)/(COUNTIFS('Base de Dados'!DF:DF,"Sim",'Base de Dados'!A:A,A181,'Base de Dados'!B:B,B181)+(COUNTIFS('Base de Dados'!DF:DF,"Não",'Base de Dados'!A:A,A181,'Base de Dados'!B:B,B181)))),"Não Aplica")</f>
        <v>1</v>
      </c>
      <c r="N181" s="14" t="s">
        <v>23434</v>
      </c>
      <c r="O181" s="14" t="s">
        <v>23439</v>
      </c>
      <c r="P181" s="14" t="s">
        <v>25921</v>
      </c>
      <c r="Q181" s="14" t="s">
        <v>23441</v>
      </c>
      <c r="R181" s="14" t="s">
        <v>23434</v>
      </c>
      <c r="S181" s="14" t="s">
        <v>25922</v>
      </c>
      <c r="T181" s="14" t="s">
        <v>23436</v>
      </c>
      <c r="U181" s="14" t="s">
        <v>23434</v>
      </c>
      <c r="V181" s="14" t="s">
        <v>25923</v>
      </c>
      <c r="W181" s="14" t="s">
        <v>22818</v>
      </c>
      <c r="X181" s="80"/>
      <c r="Y181" s="14" t="s">
        <v>23438</v>
      </c>
      <c r="Z181" s="81">
        <v>45691.61591435185</v>
      </c>
      <c r="AA181" s="79">
        <f>IFERROR((COUNTIFS('Base de Dados'!ED:ED,"Sim",'Base de Dados'!A:A,A181,'Base de Dados'!B:B,B181)/(COUNTIFS('Base de Dados'!ED:ED,"Sim",'Base de Dados'!A:A,A181,'Base de Dados'!B:B,B181)+(COUNTIFS('Base de Dados'!ED:ED,"Não",'Base de Dados'!A:A,A181,'Base de Dados'!B:B,B181)))),"Não Aplica")</f>
        <v>1</v>
      </c>
      <c r="AB181" s="14" t="s">
        <v>23434</v>
      </c>
      <c r="AC181" s="14" t="s">
        <v>25924</v>
      </c>
      <c r="AD181" s="14" t="s">
        <v>23441</v>
      </c>
      <c r="AE181" s="14" t="s">
        <v>23434</v>
      </c>
      <c r="AF181" s="14" t="s">
        <v>25925</v>
      </c>
      <c r="AG181" s="14" t="s">
        <v>22818</v>
      </c>
      <c r="AH181" s="80"/>
      <c r="AI181" s="14" t="s">
        <v>23438</v>
      </c>
      <c r="AJ181" s="81">
        <v>45692.63761574074</v>
      </c>
      <c r="AK181" s="82" t="s">
        <v>23446</v>
      </c>
      <c r="AL181" s="14" t="s">
        <v>23434</v>
      </c>
      <c r="AM181" s="14" t="s">
        <v>23439</v>
      </c>
      <c r="AN181" s="14" t="s">
        <v>25926</v>
      </c>
      <c r="AO181" s="14" t="s">
        <v>23441</v>
      </c>
      <c r="AP181" s="14" t="s">
        <v>23434</v>
      </c>
      <c r="AQ181" s="14" t="s">
        <v>23448</v>
      </c>
      <c r="AR181" s="14" t="s">
        <v>25927</v>
      </c>
      <c r="AS181" s="14" t="s">
        <v>23450</v>
      </c>
      <c r="AT181" s="14" t="s">
        <v>23434</v>
      </c>
      <c r="AU181" s="14" t="s">
        <v>23451</v>
      </c>
      <c r="AV181" s="14" t="s">
        <v>25928</v>
      </c>
      <c r="AW181" s="14" t="s">
        <v>22818</v>
      </c>
      <c r="AX181" s="14" t="s">
        <v>23434</v>
      </c>
      <c r="AY181" s="14" t="s">
        <v>23453</v>
      </c>
      <c r="AZ181" s="14" t="s">
        <v>25929</v>
      </c>
      <c r="BA181" s="14" t="s">
        <v>23455</v>
      </c>
      <c r="BB181" s="80"/>
      <c r="BC181" s="14" t="s">
        <v>23438</v>
      </c>
      <c r="BD181" s="81">
        <v>45698.620671296296</v>
      </c>
      <c r="BE181" s="79">
        <f>IFERROR((COUNTIFS('Base de Dados'!FD:FD,"Sim",'Base de Dados'!A:A,A181,'Base de Dados'!B:B,B181)/(COUNTIFS('Base de Dados'!FD:FD,"Sim",'Base de Dados'!A:A,A181,'Base de Dados'!B:B,B181)+(COUNTIFS('Base de Dados'!FD:FD,"Não",'Base de Dados'!A:A,A181,'Base de Dados'!B:B,B181)))),"Não Aplica")</f>
        <v>1</v>
      </c>
      <c r="BF181" s="14" t="s">
        <v>23434</v>
      </c>
      <c r="BG181" s="14" t="s">
        <v>23439</v>
      </c>
      <c r="BH181" s="14" t="s">
        <v>25930</v>
      </c>
      <c r="BI181" s="14" t="s">
        <v>23441</v>
      </c>
      <c r="BJ181" s="80"/>
      <c r="BK181" s="80"/>
      <c r="BL181" s="80"/>
      <c r="BM181" s="80"/>
      <c r="BN181" s="14" t="s">
        <v>23434</v>
      </c>
      <c r="BO181" s="14" t="s">
        <v>23453</v>
      </c>
      <c r="BP181" s="14" t="s">
        <v>25931</v>
      </c>
      <c r="BQ181" s="14" t="s">
        <v>23455</v>
      </c>
      <c r="BR181" s="14" t="s">
        <v>23434</v>
      </c>
      <c r="BS181" s="14" t="s">
        <v>23451</v>
      </c>
      <c r="BT181" s="14" t="s">
        <v>25932</v>
      </c>
      <c r="BU181" s="14" t="s">
        <v>22818</v>
      </c>
      <c r="BV181" s="80"/>
      <c r="BW181" s="14" t="s">
        <v>23438</v>
      </c>
      <c r="BX181" s="81">
        <v>45713.34914351852</v>
      </c>
      <c r="BY181" s="82" t="s">
        <v>23446</v>
      </c>
      <c r="BZ181" s="15"/>
      <c r="CA181" s="15"/>
      <c r="CB181" s="15"/>
      <c r="CC181" s="15"/>
      <c r="CD181" s="80"/>
      <c r="CE181" s="80"/>
      <c r="CF181" s="80"/>
      <c r="CG181" s="80"/>
      <c r="CH181" s="15"/>
      <c r="CI181" s="15"/>
      <c r="CJ181" s="15"/>
      <c r="CK181" s="15"/>
      <c r="CL181" s="15"/>
      <c r="CM181" s="15"/>
      <c r="CN181" s="15"/>
      <c r="CO181" s="15"/>
      <c r="CP181" s="80"/>
      <c r="CQ181" s="80" t="s">
        <v>23459</v>
      </c>
      <c r="CR181" s="83"/>
      <c r="CS181" s="84"/>
    </row>
    <row r="182">
      <c r="A182" s="78" t="s">
        <v>357</v>
      </c>
      <c r="B182" s="78" t="s">
        <v>10629</v>
      </c>
      <c r="C182" s="79">
        <f>IFERROR((COUNTIFS('Base de Dados'!BT:BT,"Sim",'Base de Dados'!A:A,A182,'Base de Dados'!B:B,B182)/(COUNTIFS('Base de Dados'!BT:BT,"Sim",'Base de Dados'!A:A,A182,'Base de Dados'!B:B,B182)+(COUNTIFS('Base de Dados'!BT:BT,"Não",'Base de Dados'!A:A,A182,'Base de Dados'!B:B,B182)))),"Não Aplica")</f>
        <v>1</v>
      </c>
      <c r="D182" s="14" t="s">
        <v>23434</v>
      </c>
      <c r="E182" s="14" t="s">
        <v>25933</v>
      </c>
      <c r="F182" s="14" t="s">
        <v>23436</v>
      </c>
      <c r="G182" s="14" t="s">
        <v>23434</v>
      </c>
      <c r="H182" s="14" t="s">
        <v>25934</v>
      </c>
      <c r="I182" s="14" t="s">
        <v>22818</v>
      </c>
      <c r="J182" s="80"/>
      <c r="K182" s="14" t="s">
        <v>23438</v>
      </c>
      <c r="L182" s="81">
        <v>45691.61083333333</v>
      </c>
      <c r="M182" s="79">
        <f>IFERROR((COUNTIFS('Base de Dados'!DF:DF,"Sim",'Base de Dados'!A:A,A182,'Base de Dados'!B:B,B182)/(COUNTIFS('Base de Dados'!DF:DF,"Sim",'Base de Dados'!A:A,A182,'Base de Dados'!B:B,B182)+(COUNTIFS('Base de Dados'!DF:DF,"Não",'Base de Dados'!A:A,A182,'Base de Dados'!B:B,B182)))),"Não Aplica")</f>
        <v>1</v>
      </c>
      <c r="N182" s="14" t="s">
        <v>23434</v>
      </c>
      <c r="O182" s="14" t="s">
        <v>23602</v>
      </c>
      <c r="P182" s="14" t="s">
        <v>25935</v>
      </c>
      <c r="Q182" s="14" t="s">
        <v>23436</v>
      </c>
      <c r="R182" s="14" t="s">
        <v>23434</v>
      </c>
      <c r="S182" s="14" t="s">
        <v>25936</v>
      </c>
      <c r="T182" s="14" t="s">
        <v>23441</v>
      </c>
      <c r="U182" s="14" t="s">
        <v>23434</v>
      </c>
      <c r="V182" s="14" t="s">
        <v>25937</v>
      </c>
      <c r="W182" s="14" t="s">
        <v>22818</v>
      </c>
      <c r="X182" s="80"/>
      <c r="Y182" s="14" t="s">
        <v>23438</v>
      </c>
      <c r="Z182" s="81">
        <v>45692.63282407408</v>
      </c>
      <c r="AA182" s="79">
        <f>IFERROR((COUNTIFS('Base de Dados'!ED:ED,"Sim",'Base de Dados'!A:A,A182,'Base de Dados'!B:B,B182)/(COUNTIFS('Base de Dados'!ED:ED,"Sim",'Base de Dados'!A:A,A182,'Base de Dados'!B:B,B182)+(COUNTIFS('Base de Dados'!ED:ED,"Não",'Base de Dados'!A:A,A182,'Base de Dados'!B:B,B182)))),"Não Aplica")</f>
        <v>1</v>
      </c>
      <c r="AB182" s="14" t="s">
        <v>23434</v>
      </c>
      <c r="AC182" s="14" t="s">
        <v>25938</v>
      </c>
      <c r="AD182" s="14" t="s">
        <v>23441</v>
      </c>
      <c r="AE182" s="14" t="s">
        <v>23434</v>
      </c>
      <c r="AF182" s="14" t="s">
        <v>25939</v>
      </c>
      <c r="AG182" s="14" t="s">
        <v>22818</v>
      </c>
      <c r="AH182" s="80"/>
      <c r="AI182" s="14" t="s">
        <v>23438</v>
      </c>
      <c r="AJ182" s="81">
        <v>45692.63701388889</v>
      </c>
      <c r="AK182" s="82" t="s">
        <v>23446</v>
      </c>
      <c r="AL182" s="14" t="s">
        <v>23434</v>
      </c>
      <c r="AM182" s="14" t="s">
        <v>23439</v>
      </c>
      <c r="AN182" s="14" t="s">
        <v>25940</v>
      </c>
      <c r="AO182" s="14" t="s">
        <v>23441</v>
      </c>
      <c r="AP182" s="14" t="s">
        <v>23434</v>
      </c>
      <c r="AQ182" s="14" t="s">
        <v>23448</v>
      </c>
      <c r="AR182" s="14" t="s">
        <v>25941</v>
      </c>
      <c r="AS182" s="14" t="s">
        <v>23450</v>
      </c>
      <c r="AT182" s="14" t="s">
        <v>23434</v>
      </c>
      <c r="AU182" s="14" t="s">
        <v>23451</v>
      </c>
      <c r="AV182" s="14" t="s">
        <v>25942</v>
      </c>
      <c r="AW182" s="14" t="s">
        <v>22818</v>
      </c>
      <c r="AX182" s="14" t="s">
        <v>23434</v>
      </c>
      <c r="AY182" s="14" t="s">
        <v>23453</v>
      </c>
      <c r="AZ182" s="14" t="s">
        <v>25943</v>
      </c>
      <c r="BA182" s="14" t="s">
        <v>23455</v>
      </c>
      <c r="BB182" s="80"/>
      <c r="BC182" s="14" t="s">
        <v>23438</v>
      </c>
      <c r="BD182" s="81">
        <v>45698.620729166665</v>
      </c>
      <c r="BE182" s="79">
        <f>IFERROR((COUNTIFS('Base de Dados'!FD:FD,"Sim",'Base de Dados'!A:A,A182,'Base de Dados'!B:B,B182)/(COUNTIFS('Base de Dados'!FD:FD,"Sim",'Base de Dados'!A:A,A182,'Base de Dados'!B:B,B182)+(COUNTIFS('Base de Dados'!FD:FD,"Não",'Base de Dados'!A:A,A182,'Base de Dados'!B:B,B182)))),"Não Aplica")</f>
        <v>1</v>
      </c>
      <c r="BF182" s="14" t="s">
        <v>23434</v>
      </c>
      <c r="BG182" s="14" t="s">
        <v>23439</v>
      </c>
      <c r="BH182" s="14" t="s">
        <v>25944</v>
      </c>
      <c r="BI182" s="14" t="s">
        <v>23441</v>
      </c>
      <c r="BJ182" s="80"/>
      <c r="BK182" s="80"/>
      <c r="BL182" s="80"/>
      <c r="BM182" s="80"/>
      <c r="BN182" s="14" t="s">
        <v>23434</v>
      </c>
      <c r="BO182" s="14" t="s">
        <v>23453</v>
      </c>
      <c r="BP182" s="14" t="s">
        <v>25945</v>
      </c>
      <c r="BQ182" s="14" t="s">
        <v>23455</v>
      </c>
      <c r="BR182" s="14" t="s">
        <v>23434</v>
      </c>
      <c r="BS182" s="14" t="s">
        <v>23451</v>
      </c>
      <c r="BT182" s="14" t="s">
        <v>25946</v>
      </c>
      <c r="BU182" s="14" t="s">
        <v>22818</v>
      </c>
      <c r="BV182" s="80"/>
      <c r="BW182" s="14" t="s">
        <v>23438</v>
      </c>
      <c r="BX182" s="81">
        <v>45713.34929398148</v>
      </c>
      <c r="BY182" s="82" t="s">
        <v>23446</v>
      </c>
      <c r="BZ182" s="15"/>
      <c r="CA182" s="15"/>
      <c r="CB182" s="15"/>
      <c r="CC182" s="15"/>
      <c r="CD182" s="80"/>
      <c r="CE182" s="80"/>
      <c r="CF182" s="80"/>
      <c r="CG182" s="80"/>
      <c r="CH182" s="15"/>
      <c r="CI182" s="15"/>
      <c r="CJ182" s="15"/>
      <c r="CK182" s="15"/>
      <c r="CL182" s="15"/>
      <c r="CM182" s="15"/>
      <c r="CN182" s="15"/>
      <c r="CO182" s="15"/>
      <c r="CP182" s="80"/>
      <c r="CQ182" s="80" t="s">
        <v>23459</v>
      </c>
      <c r="CR182" s="83"/>
      <c r="CS182" s="84"/>
    </row>
    <row r="183">
      <c r="A183" s="78" t="s">
        <v>357</v>
      </c>
      <c r="B183" s="78" t="s">
        <v>6277</v>
      </c>
      <c r="C183" s="79">
        <f>IFERROR((COUNTIFS('Base de Dados'!BT:BT,"Sim",'Base de Dados'!A:A,A183,'Base de Dados'!B:B,B183)/(COUNTIFS('Base de Dados'!BT:BT,"Sim",'Base de Dados'!A:A,A183,'Base de Dados'!B:B,B183)+(COUNTIFS('Base de Dados'!BT:BT,"Não",'Base de Dados'!A:A,A183,'Base de Dados'!B:B,B183)))),"Não Aplica")</f>
        <v>1</v>
      </c>
      <c r="D183" s="14" t="s">
        <v>23434</v>
      </c>
      <c r="E183" s="14" t="s">
        <v>25947</v>
      </c>
      <c r="F183" s="14" t="s">
        <v>23436</v>
      </c>
      <c r="G183" s="14" t="s">
        <v>23434</v>
      </c>
      <c r="H183" s="14" t="s">
        <v>25948</v>
      </c>
      <c r="I183" s="14" t="s">
        <v>22818</v>
      </c>
      <c r="J183" s="80"/>
      <c r="K183" s="14" t="s">
        <v>23438</v>
      </c>
      <c r="L183" s="81">
        <v>45687.661516203705</v>
      </c>
      <c r="M183" s="79">
        <f>IFERROR((COUNTIFS('Base de Dados'!DF:DF,"Sim",'Base de Dados'!A:A,A183,'Base de Dados'!B:B,B183)/(COUNTIFS('Base de Dados'!DF:DF,"Sim",'Base de Dados'!A:A,A183,'Base de Dados'!B:B,B183)+(COUNTIFS('Base de Dados'!DF:DF,"Não",'Base de Dados'!A:A,A183,'Base de Dados'!B:B,B183)))),"Não Aplica")</f>
        <v>1</v>
      </c>
      <c r="N183" s="14" t="s">
        <v>23434</v>
      </c>
      <c r="O183" s="14" t="s">
        <v>23439</v>
      </c>
      <c r="P183" s="14" t="s">
        <v>25949</v>
      </c>
      <c r="Q183" s="14" t="s">
        <v>23441</v>
      </c>
      <c r="R183" s="14" t="s">
        <v>23434</v>
      </c>
      <c r="S183" s="14" t="s">
        <v>25950</v>
      </c>
      <c r="T183" s="14" t="s">
        <v>23436</v>
      </c>
      <c r="U183" s="14" t="s">
        <v>23434</v>
      </c>
      <c r="V183" s="14" t="s">
        <v>25951</v>
      </c>
      <c r="W183" s="14" t="s">
        <v>22818</v>
      </c>
      <c r="X183" s="80"/>
      <c r="Y183" s="14" t="s">
        <v>23438</v>
      </c>
      <c r="Z183" s="81">
        <v>45691.6159837963</v>
      </c>
      <c r="AA183" s="79">
        <f>IFERROR((COUNTIFS('Base de Dados'!ED:ED,"Sim",'Base de Dados'!A:A,A183,'Base de Dados'!B:B,B183)/(COUNTIFS('Base de Dados'!ED:ED,"Sim",'Base de Dados'!A:A,A183,'Base de Dados'!B:B,B183)+(COUNTIFS('Base de Dados'!ED:ED,"Não",'Base de Dados'!A:A,A183,'Base de Dados'!B:B,B183)))),"Não Aplica")</f>
        <v>1</v>
      </c>
      <c r="AB183" s="14" t="s">
        <v>23434</v>
      </c>
      <c r="AC183" s="14" t="s">
        <v>25952</v>
      </c>
      <c r="AD183" s="14" t="s">
        <v>23441</v>
      </c>
      <c r="AE183" s="14" t="s">
        <v>23434</v>
      </c>
      <c r="AF183" s="14" t="s">
        <v>25953</v>
      </c>
      <c r="AG183" s="14" t="s">
        <v>22818</v>
      </c>
      <c r="AH183" s="80"/>
      <c r="AI183" s="14" t="s">
        <v>23438</v>
      </c>
      <c r="AJ183" s="81">
        <v>45692.637037037035</v>
      </c>
      <c r="AK183" s="82" t="s">
        <v>23446</v>
      </c>
      <c r="AL183" s="14" t="s">
        <v>23434</v>
      </c>
      <c r="AM183" s="14" t="s">
        <v>23439</v>
      </c>
      <c r="AN183" s="14" t="s">
        <v>25954</v>
      </c>
      <c r="AO183" s="14" t="s">
        <v>23441</v>
      </c>
      <c r="AP183" s="14" t="s">
        <v>23434</v>
      </c>
      <c r="AQ183" s="14" t="s">
        <v>23448</v>
      </c>
      <c r="AR183" s="14" t="s">
        <v>25955</v>
      </c>
      <c r="AS183" s="14" t="s">
        <v>23450</v>
      </c>
      <c r="AT183" s="14" t="s">
        <v>23434</v>
      </c>
      <c r="AU183" s="14" t="s">
        <v>23451</v>
      </c>
      <c r="AV183" s="14" t="s">
        <v>25956</v>
      </c>
      <c r="AW183" s="14" t="s">
        <v>22818</v>
      </c>
      <c r="AX183" s="14" t="s">
        <v>23434</v>
      </c>
      <c r="AY183" s="14" t="s">
        <v>23453</v>
      </c>
      <c r="AZ183" s="14" t="s">
        <v>25957</v>
      </c>
      <c r="BA183" s="14" t="s">
        <v>23455</v>
      </c>
      <c r="BB183" s="80"/>
      <c r="BC183" s="14" t="s">
        <v>23438</v>
      </c>
      <c r="BD183" s="81">
        <v>45698.62094907407</v>
      </c>
      <c r="BE183" s="79">
        <f>IFERROR((COUNTIFS('Base de Dados'!FD:FD,"Sim",'Base de Dados'!A:A,A183,'Base de Dados'!B:B,B183)/(COUNTIFS('Base de Dados'!FD:FD,"Sim",'Base de Dados'!A:A,A183,'Base de Dados'!B:B,B183)+(COUNTIFS('Base de Dados'!FD:FD,"Não",'Base de Dados'!A:A,A183,'Base de Dados'!B:B,B183)))),"Não Aplica")</f>
        <v>1</v>
      </c>
      <c r="BF183" s="14" t="s">
        <v>23434</v>
      </c>
      <c r="BG183" s="14" t="s">
        <v>23439</v>
      </c>
      <c r="BH183" s="14" t="s">
        <v>25958</v>
      </c>
      <c r="BI183" s="14" t="s">
        <v>23441</v>
      </c>
      <c r="BJ183" s="80"/>
      <c r="BK183" s="80"/>
      <c r="BL183" s="80"/>
      <c r="BM183" s="80"/>
      <c r="BN183" s="14" t="s">
        <v>23434</v>
      </c>
      <c r="BO183" s="14" t="s">
        <v>23453</v>
      </c>
      <c r="BP183" s="14" t="s">
        <v>25959</v>
      </c>
      <c r="BQ183" s="14" t="s">
        <v>23455</v>
      </c>
      <c r="BR183" s="14" t="s">
        <v>23434</v>
      </c>
      <c r="BS183" s="14" t="s">
        <v>23451</v>
      </c>
      <c r="BT183" s="14" t="s">
        <v>25960</v>
      </c>
      <c r="BU183" s="14" t="s">
        <v>22818</v>
      </c>
      <c r="BV183" s="80"/>
      <c r="BW183" s="14" t="s">
        <v>23438</v>
      </c>
      <c r="BX183" s="81">
        <v>45722.769421296296</v>
      </c>
      <c r="BY183" s="82" t="s">
        <v>23446</v>
      </c>
      <c r="BZ183" s="15"/>
      <c r="CA183" s="15"/>
      <c r="CB183" s="15"/>
      <c r="CC183" s="15"/>
      <c r="CD183" s="80"/>
      <c r="CE183" s="80"/>
      <c r="CF183" s="80"/>
      <c r="CG183" s="80"/>
      <c r="CH183" s="15"/>
      <c r="CI183" s="15"/>
      <c r="CJ183" s="15"/>
      <c r="CK183" s="15"/>
      <c r="CL183" s="15"/>
      <c r="CM183" s="15"/>
      <c r="CN183" s="15"/>
      <c r="CO183" s="15"/>
      <c r="CP183" s="80"/>
      <c r="CQ183" s="80" t="s">
        <v>23459</v>
      </c>
      <c r="CR183" s="83"/>
      <c r="CS183" s="84"/>
    </row>
    <row r="184">
      <c r="A184" s="78" t="s">
        <v>357</v>
      </c>
      <c r="B184" s="78" t="s">
        <v>6179</v>
      </c>
      <c r="C184" s="79">
        <f>IFERROR((COUNTIFS('Base de Dados'!BT:BT,"Sim",'Base de Dados'!A:A,A184,'Base de Dados'!B:B,B184)/(COUNTIFS('Base de Dados'!BT:BT,"Sim",'Base de Dados'!A:A,A184,'Base de Dados'!B:B,B184)+(COUNTIFS('Base de Dados'!BT:BT,"Não",'Base de Dados'!A:A,A184,'Base de Dados'!B:B,B184)))),"Não Aplica")</f>
        <v>1</v>
      </c>
      <c r="D184" s="14" t="s">
        <v>23434</v>
      </c>
      <c r="E184" s="14" t="s">
        <v>25961</v>
      </c>
      <c r="F184" s="14" t="s">
        <v>23436</v>
      </c>
      <c r="G184" s="14" t="s">
        <v>23434</v>
      </c>
      <c r="H184" s="14" t="s">
        <v>25962</v>
      </c>
      <c r="I184" s="14" t="s">
        <v>22818</v>
      </c>
      <c r="J184" s="80"/>
      <c r="K184" s="14" t="s">
        <v>23438</v>
      </c>
      <c r="L184" s="81">
        <v>45687.661469907405</v>
      </c>
      <c r="M184" s="79">
        <f>IFERROR((COUNTIFS('Base de Dados'!DF:DF,"Sim",'Base de Dados'!A:A,A184,'Base de Dados'!B:B,B184)/(COUNTIFS('Base de Dados'!DF:DF,"Sim",'Base de Dados'!A:A,A184,'Base de Dados'!B:B,B184)+(COUNTIFS('Base de Dados'!DF:DF,"Não",'Base de Dados'!A:A,A184,'Base de Dados'!B:B,B184)))),"Não Aplica")</f>
        <v>1</v>
      </c>
      <c r="N184" s="14" t="s">
        <v>23434</v>
      </c>
      <c r="O184" s="14" t="s">
        <v>23439</v>
      </c>
      <c r="P184" s="14" t="s">
        <v>25963</v>
      </c>
      <c r="Q184" s="14" t="s">
        <v>23441</v>
      </c>
      <c r="R184" s="14" t="s">
        <v>23434</v>
      </c>
      <c r="S184" s="14" t="s">
        <v>25964</v>
      </c>
      <c r="T184" s="14" t="s">
        <v>23436</v>
      </c>
      <c r="U184" s="14" t="s">
        <v>23434</v>
      </c>
      <c r="V184" s="14" t="s">
        <v>25965</v>
      </c>
      <c r="W184" s="14" t="s">
        <v>22818</v>
      </c>
      <c r="X184" s="80"/>
      <c r="Y184" s="14" t="s">
        <v>23438</v>
      </c>
      <c r="Z184" s="81">
        <v>45691.616006944445</v>
      </c>
      <c r="AA184" s="79">
        <f>IFERROR((COUNTIFS('Base de Dados'!ED:ED,"Sim",'Base de Dados'!A:A,A184,'Base de Dados'!B:B,B184)/(COUNTIFS('Base de Dados'!ED:ED,"Sim",'Base de Dados'!A:A,A184,'Base de Dados'!B:B,B184)+(COUNTIFS('Base de Dados'!ED:ED,"Não",'Base de Dados'!A:A,A184,'Base de Dados'!B:B,B184)))),"Não Aplica")</f>
        <v>1</v>
      </c>
      <c r="AB184" s="14" t="s">
        <v>23434</v>
      </c>
      <c r="AC184" s="14" t="s">
        <v>25966</v>
      </c>
      <c r="AD184" s="14" t="s">
        <v>23441</v>
      </c>
      <c r="AE184" s="14" t="s">
        <v>23434</v>
      </c>
      <c r="AF184" s="14" t="s">
        <v>25967</v>
      </c>
      <c r="AG184" s="14" t="s">
        <v>22818</v>
      </c>
      <c r="AH184" s="80"/>
      <c r="AI184" s="14" t="s">
        <v>23438</v>
      </c>
      <c r="AJ184" s="81">
        <v>45692.63706018519</v>
      </c>
      <c r="AK184" s="82" t="s">
        <v>23446</v>
      </c>
      <c r="AL184" s="14" t="s">
        <v>23434</v>
      </c>
      <c r="AM184" s="14" t="s">
        <v>23439</v>
      </c>
      <c r="AN184" s="14" t="s">
        <v>25968</v>
      </c>
      <c r="AO184" s="14" t="s">
        <v>23441</v>
      </c>
      <c r="AP184" s="14" t="s">
        <v>23434</v>
      </c>
      <c r="AQ184" s="14" t="s">
        <v>23448</v>
      </c>
      <c r="AR184" s="14" t="s">
        <v>25969</v>
      </c>
      <c r="AS184" s="14" t="s">
        <v>23450</v>
      </c>
      <c r="AT184" s="14" t="s">
        <v>23434</v>
      </c>
      <c r="AU184" s="14" t="s">
        <v>23451</v>
      </c>
      <c r="AV184" s="14" t="s">
        <v>25970</v>
      </c>
      <c r="AW184" s="14" t="s">
        <v>22818</v>
      </c>
      <c r="AX184" s="14" t="s">
        <v>23434</v>
      </c>
      <c r="AY184" s="14" t="s">
        <v>23453</v>
      </c>
      <c r="AZ184" s="14" t="s">
        <v>25971</v>
      </c>
      <c r="BA184" s="14" t="s">
        <v>23455</v>
      </c>
      <c r="BB184" s="80"/>
      <c r="BC184" s="14" t="s">
        <v>23438</v>
      </c>
      <c r="BD184" s="81">
        <v>45698.620891203704</v>
      </c>
      <c r="BE184" s="79">
        <f>IFERROR((COUNTIFS('Base de Dados'!FD:FD,"Sim",'Base de Dados'!A:A,A184,'Base de Dados'!B:B,B184)/(COUNTIFS('Base de Dados'!FD:FD,"Sim",'Base de Dados'!A:A,A184,'Base de Dados'!B:B,B184)+(COUNTIFS('Base de Dados'!FD:FD,"Não",'Base de Dados'!A:A,A184,'Base de Dados'!B:B,B184)))),"Não Aplica")</f>
        <v>1</v>
      </c>
      <c r="BF184" s="14" t="s">
        <v>23434</v>
      </c>
      <c r="BG184" s="14" t="s">
        <v>23439</v>
      </c>
      <c r="BH184" s="14" t="s">
        <v>25972</v>
      </c>
      <c r="BI184" s="14" t="s">
        <v>23441</v>
      </c>
      <c r="BJ184" s="80"/>
      <c r="BK184" s="80"/>
      <c r="BL184" s="80"/>
      <c r="BM184" s="80"/>
      <c r="BN184" s="14" t="s">
        <v>23434</v>
      </c>
      <c r="BO184" s="14" t="s">
        <v>23453</v>
      </c>
      <c r="BP184" s="14" t="s">
        <v>25973</v>
      </c>
      <c r="BQ184" s="14" t="s">
        <v>23455</v>
      </c>
      <c r="BR184" s="14" t="s">
        <v>23434</v>
      </c>
      <c r="BS184" s="14" t="s">
        <v>23451</v>
      </c>
      <c r="BT184" s="14" t="s">
        <v>25974</v>
      </c>
      <c r="BU184" s="14" t="s">
        <v>22818</v>
      </c>
      <c r="BV184" s="80"/>
      <c r="BW184" s="14" t="s">
        <v>23438</v>
      </c>
      <c r="BX184" s="81">
        <v>45722.76945601852</v>
      </c>
      <c r="BY184" s="82" t="s">
        <v>23446</v>
      </c>
      <c r="BZ184" s="15"/>
      <c r="CA184" s="15"/>
      <c r="CB184" s="15"/>
      <c r="CC184" s="15"/>
      <c r="CD184" s="80"/>
      <c r="CE184" s="80"/>
      <c r="CF184" s="80"/>
      <c r="CG184" s="80"/>
      <c r="CH184" s="15"/>
      <c r="CI184" s="15"/>
      <c r="CJ184" s="15"/>
      <c r="CK184" s="15"/>
      <c r="CL184" s="15"/>
      <c r="CM184" s="15"/>
      <c r="CN184" s="15"/>
      <c r="CO184" s="15"/>
      <c r="CP184" s="80"/>
      <c r="CQ184" s="80" t="s">
        <v>23459</v>
      </c>
      <c r="CR184" s="83"/>
      <c r="CS184" s="84"/>
    </row>
    <row r="185">
      <c r="A185" s="78" t="s">
        <v>357</v>
      </c>
      <c r="B185" s="78" t="s">
        <v>6414</v>
      </c>
      <c r="C185" s="79">
        <f>IFERROR((COUNTIFS('Base de Dados'!BT:BT,"Sim",'Base de Dados'!A:A,A185,'Base de Dados'!B:B,B185)/(COUNTIFS('Base de Dados'!BT:BT,"Sim",'Base de Dados'!A:A,A185,'Base de Dados'!B:B,B185)+(COUNTIFS('Base de Dados'!BT:BT,"Não",'Base de Dados'!A:A,A185,'Base de Dados'!B:B,B185)))),"Não Aplica")</f>
        <v>1</v>
      </c>
      <c r="D185" s="14" t="s">
        <v>23434</v>
      </c>
      <c r="E185" s="14" t="s">
        <v>25975</v>
      </c>
      <c r="F185" s="14" t="s">
        <v>23436</v>
      </c>
      <c r="G185" s="14" t="s">
        <v>23434</v>
      </c>
      <c r="H185" s="14" t="s">
        <v>25976</v>
      </c>
      <c r="I185" s="14" t="s">
        <v>22818</v>
      </c>
      <c r="J185" s="80"/>
      <c r="K185" s="14" t="s">
        <v>23438</v>
      </c>
      <c r="L185" s="81">
        <v>45687.6615625</v>
      </c>
      <c r="M185" s="79">
        <f>IFERROR((COUNTIFS('Base de Dados'!DF:DF,"Sim",'Base de Dados'!A:A,A185,'Base de Dados'!B:B,B185)/(COUNTIFS('Base de Dados'!DF:DF,"Sim",'Base de Dados'!A:A,A185,'Base de Dados'!B:B,B185)+(COUNTIFS('Base de Dados'!DF:DF,"Não",'Base de Dados'!A:A,A185,'Base de Dados'!B:B,B185)))),"Não Aplica")</f>
        <v>1</v>
      </c>
      <c r="N185" s="14" t="s">
        <v>23434</v>
      </c>
      <c r="O185" s="14" t="s">
        <v>23439</v>
      </c>
      <c r="P185" s="14" t="s">
        <v>25977</v>
      </c>
      <c r="Q185" s="14" t="s">
        <v>23441</v>
      </c>
      <c r="R185" s="14" t="s">
        <v>23434</v>
      </c>
      <c r="S185" s="14" t="s">
        <v>25978</v>
      </c>
      <c r="T185" s="14" t="s">
        <v>23436</v>
      </c>
      <c r="U185" s="14" t="s">
        <v>23434</v>
      </c>
      <c r="V185" s="14" t="s">
        <v>25979</v>
      </c>
      <c r="W185" s="14" t="s">
        <v>22818</v>
      </c>
      <c r="X185" s="80"/>
      <c r="Y185" s="14" t="s">
        <v>23438</v>
      </c>
      <c r="Z185" s="81">
        <v>45691.61604166667</v>
      </c>
      <c r="AA185" s="79">
        <f>IFERROR((COUNTIFS('Base de Dados'!ED:ED,"Sim",'Base de Dados'!A:A,A185,'Base de Dados'!B:B,B185)/(COUNTIFS('Base de Dados'!ED:ED,"Sim",'Base de Dados'!A:A,A185,'Base de Dados'!B:B,B185)+(COUNTIFS('Base de Dados'!ED:ED,"Não",'Base de Dados'!A:A,A185,'Base de Dados'!B:B,B185)))),"Não Aplica")</f>
        <v>1</v>
      </c>
      <c r="AB185" s="14" t="s">
        <v>23434</v>
      </c>
      <c r="AC185" s="14" t="s">
        <v>25980</v>
      </c>
      <c r="AD185" s="14" t="s">
        <v>23441</v>
      </c>
      <c r="AE185" s="14" t="s">
        <v>23434</v>
      </c>
      <c r="AF185" s="14" t="s">
        <v>25981</v>
      </c>
      <c r="AG185" s="14" t="s">
        <v>22818</v>
      </c>
      <c r="AH185" s="80"/>
      <c r="AI185" s="14" t="s">
        <v>23438</v>
      </c>
      <c r="AJ185" s="81">
        <v>45692.63707175926</v>
      </c>
      <c r="AK185" s="82" t="s">
        <v>23446</v>
      </c>
      <c r="AL185" s="14" t="s">
        <v>23434</v>
      </c>
      <c r="AM185" s="14" t="s">
        <v>23439</v>
      </c>
      <c r="AN185" s="14" t="s">
        <v>25982</v>
      </c>
      <c r="AO185" s="14" t="s">
        <v>23441</v>
      </c>
      <c r="AP185" s="14" t="s">
        <v>23434</v>
      </c>
      <c r="AQ185" s="14" t="s">
        <v>23448</v>
      </c>
      <c r="AR185" s="14" t="s">
        <v>25983</v>
      </c>
      <c r="AS185" s="14" t="s">
        <v>23450</v>
      </c>
      <c r="AT185" s="14" t="s">
        <v>23434</v>
      </c>
      <c r="AU185" s="14" t="s">
        <v>23451</v>
      </c>
      <c r="AV185" s="14" t="s">
        <v>25984</v>
      </c>
      <c r="AW185" s="14" t="s">
        <v>22818</v>
      </c>
      <c r="AX185" s="14" t="s">
        <v>23434</v>
      </c>
      <c r="AY185" s="14" t="s">
        <v>23453</v>
      </c>
      <c r="AZ185" s="14" t="s">
        <v>25985</v>
      </c>
      <c r="BA185" s="14" t="s">
        <v>23455</v>
      </c>
      <c r="BB185" s="80"/>
      <c r="BC185" s="14" t="s">
        <v>23438</v>
      </c>
      <c r="BD185" s="81">
        <v>45698.62100694444</v>
      </c>
      <c r="BE185" s="79">
        <f>IFERROR((COUNTIFS('Base de Dados'!FD:FD,"Sim",'Base de Dados'!A:A,A185,'Base de Dados'!B:B,B185)/(COUNTIFS('Base de Dados'!FD:FD,"Sim",'Base de Dados'!A:A,A185,'Base de Dados'!B:B,B185)+(COUNTIFS('Base de Dados'!FD:FD,"Não",'Base de Dados'!A:A,A185,'Base de Dados'!B:B,B185)))),"Não Aplica")</f>
        <v>1</v>
      </c>
      <c r="BF185" s="14" t="s">
        <v>23434</v>
      </c>
      <c r="BG185" s="14" t="s">
        <v>23439</v>
      </c>
      <c r="BH185" s="14" t="s">
        <v>25986</v>
      </c>
      <c r="BI185" s="14" t="s">
        <v>23441</v>
      </c>
      <c r="BJ185" s="80"/>
      <c r="BK185" s="80"/>
      <c r="BL185" s="80"/>
      <c r="BM185" s="80"/>
      <c r="BN185" s="14" t="s">
        <v>23434</v>
      </c>
      <c r="BO185" s="14" t="s">
        <v>23453</v>
      </c>
      <c r="BP185" s="14" t="s">
        <v>25987</v>
      </c>
      <c r="BQ185" s="14" t="s">
        <v>23455</v>
      </c>
      <c r="BR185" s="14" t="s">
        <v>23434</v>
      </c>
      <c r="BS185" s="14" t="s">
        <v>23451</v>
      </c>
      <c r="BT185" s="14" t="s">
        <v>25988</v>
      </c>
      <c r="BU185" s="14" t="s">
        <v>22818</v>
      </c>
      <c r="BV185" s="80"/>
      <c r="BW185" s="14" t="s">
        <v>23438</v>
      </c>
      <c r="BX185" s="81">
        <v>45722.76950231481</v>
      </c>
      <c r="BY185" s="82" t="s">
        <v>23446</v>
      </c>
      <c r="BZ185" s="15"/>
      <c r="CA185" s="15"/>
      <c r="CB185" s="15"/>
      <c r="CC185" s="15"/>
      <c r="CD185" s="80"/>
      <c r="CE185" s="80"/>
      <c r="CF185" s="80"/>
      <c r="CG185" s="80"/>
      <c r="CH185" s="15"/>
      <c r="CI185" s="15"/>
      <c r="CJ185" s="15"/>
      <c r="CK185" s="15"/>
      <c r="CL185" s="15"/>
      <c r="CM185" s="15"/>
      <c r="CN185" s="15"/>
      <c r="CO185" s="15"/>
      <c r="CP185" s="80"/>
      <c r="CQ185" s="80" t="s">
        <v>23459</v>
      </c>
      <c r="CR185" s="83"/>
      <c r="CS185" s="84"/>
    </row>
    <row r="186">
      <c r="A186" s="78" t="s">
        <v>357</v>
      </c>
      <c r="B186" s="78" t="s">
        <v>17253</v>
      </c>
      <c r="C186" s="79">
        <f>IFERROR((COUNTIFS('Base de Dados'!BT:BT,"Sim",'Base de Dados'!A:A,A186,'Base de Dados'!B:B,B186)/(COUNTIFS('Base de Dados'!BT:BT,"Sim",'Base de Dados'!A:A,A186,'Base de Dados'!B:B,B186)+(COUNTIFS('Base de Dados'!BT:BT,"Não",'Base de Dados'!A:A,A186,'Base de Dados'!B:B,B186)))),"Não Aplica")</f>
        <v>1</v>
      </c>
      <c r="D186" s="14" t="s">
        <v>23434</v>
      </c>
      <c r="E186" s="14" t="s">
        <v>25989</v>
      </c>
      <c r="F186" s="14" t="s">
        <v>23436</v>
      </c>
      <c r="G186" s="14" t="s">
        <v>23434</v>
      </c>
      <c r="H186" s="14" t="s">
        <v>25990</v>
      </c>
      <c r="I186" s="14" t="s">
        <v>22818</v>
      </c>
      <c r="J186" s="80"/>
      <c r="K186" s="14" t="s">
        <v>23438</v>
      </c>
      <c r="L186" s="81">
        <v>45687.393692129626</v>
      </c>
      <c r="M186" s="79">
        <f>IFERROR((COUNTIFS('Base de Dados'!DF:DF,"Sim",'Base de Dados'!A:A,A186,'Base de Dados'!B:B,B186)/(COUNTIFS('Base de Dados'!DF:DF,"Sim",'Base de Dados'!A:A,A186,'Base de Dados'!B:B,B186)+(COUNTIFS('Base de Dados'!DF:DF,"Não",'Base de Dados'!A:A,A186,'Base de Dados'!B:B,B186)))),"Não Aplica")</f>
        <v>1</v>
      </c>
      <c r="N186" s="14" t="s">
        <v>23434</v>
      </c>
      <c r="O186" s="14" t="s">
        <v>23439</v>
      </c>
      <c r="P186" s="14" t="s">
        <v>25991</v>
      </c>
      <c r="Q186" s="14" t="s">
        <v>23441</v>
      </c>
      <c r="R186" s="14" t="s">
        <v>23434</v>
      </c>
      <c r="S186" s="14" t="s">
        <v>25992</v>
      </c>
      <c r="T186" s="14" t="s">
        <v>23436</v>
      </c>
      <c r="U186" s="14" t="s">
        <v>23434</v>
      </c>
      <c r="V186" s="14" t="s">
        <v>25993</v>
      </c>
      <c r="W186" s="14" t="s">
        <v>22818</v>
      </c>
      <c r="X186" s="80"/>
      <c r="Y186" s="14" t="s">
        <v>23438</v>
      </c>
      <c r="Z186" s="81">
        <v>45691.61693287037</v>
      </c>
      <c r="AA186" s="79">
        <f>IFERROR((COUNTIFS('Base de Dados'!ED:ED,"Sim",'Base de Dados'!A:A,A186,'Base de Dados'!B:B,B186)/(COUNTIFS('Base de Dados'!ED:ED,"Sim",'Base de Dados'!A:A,A186,'Base de Dados'!B:B,B186)+(COUNTIFS('Base de Dados'!ED:ED,"Não",'Base de Dados'!A:A,A186,'Base de Dados'!B:B,B186)))),"Não Aplica")</f>
        <v>1</v>
      </c>
      <c r="AB186" s="14" t="s">
        <v>23434</v>
      </c>
      <c r="AC186" s="14" t="s">
        <v>25994</v>
      </c>
      <c r="AD186" s="14" t="s">
        <v>23441</v>
      </c>
      <c r="AE186" s="14" t="s">
        <v>23434</v>
      </c>
      <c r="AF186" s="14" t="s">
        <v>25995</v>
      </c>
      <c r="AG186" s="14" t="s">
        <v>22818</v>
      </c>
      <c r="AH186" s="80"/>
      <c r="AI186" s="14" t="s">
        <v>23438</v>
      </c>
      <c r="AJ186" s="81">
        <v>45692.63773148148</v>
      </c>
      <c r="AK186" s="82" t="s">
        <v>23446</v>
      </c>
      <c r="AL186" s="14" t="s">
        <v>23434</v>
      </c>
      <c r="AM186" s="14" t="s">
        <v>23439</v>
      </c>
      <c r="AN186" s="14" t="s">
        <v>25996</v>
      </c>
      <c r="AO186" s="14" t="s">
        <v>23441</v>
      </c>
      <c r="AP186" s="14" t="s">
        <v>23434</v>
      </c>
      <c r="AQ186" s="14" t="s">
        <v>23448</v>
      </c>
      <c r="AR186" s="14" t="s">
        <v>25997</v>
      </c>
      <c r="AS186" s="14" t="s">
        <v>23450</v>
      </c>
      <c r="AT186" s="14" t="s">
        <v>23434</v>
      </c>
      <c r="AU186" s="14" t="s">
        <v>23451</v>
      </c>
      <c r="AV186" s="14" t="s">
        <v>25998</v>
      </c>
      <c r="AW186" s="14" t="s">
        <v>22818</v>
      </c>
      <c r="AX186" s="14" t="s">
        <v>23434</v>
      </c>
      <c r="AY186" s="14" t="s">
        <v>23453</v>
      </c>
      <c r="AZ186" s="14" t="s">
        <v>25999</v>
      </c>
      <c r="BA186" s="14" t="s">
        <v>23455</v>
      </c>
      <c r="BB186" s="80"/>
      <c r="BC186" s="14" t="s">
        <v>23438</v>
      </c>
      <c r="BD186" s="81">
        <v>45698.62130787037</v>
      </c>
      <c r="BE186" s="79">
        <f>IFERROR((COUNTIFS('Base de Dados'!FD:FD,"Sim",'Base de Dados'!A:A,A186,'Base de Dados'!B:B,B186)/(COUNTIFS('Base de Dados'!FD:FD,"Sim",'Base de Dados'!A:A,A186,'Base de Dados'!B:B,B186)+(COUNTIFS('Base de Dados'!FD:FD,"Não",'Base de Dados'!A:A,A186,'Base de Dados'!B:B,B186)))),"Não Aplica")</f>
        <v>1</v>
      </c>
      <c r="BF186" s="14" t="s">
        <v>23434</v>
      </c>
      <c r="BG186" s="14" t="s">
        <v>23439</v>
      </c>
      <c r="BH186" s="14" t="s">
        <v>26000</v>
      </c>
      <c r="BI186" s="14" t="s">
        <v>23441</v>
      </c>
      <c r="BJ186" s="80"/>
      <c r="BK186" s="80"/>
      <c r="BL186" s="80"/>
      <c r="BM186" s="80"/>
      <c r="BN186" s="14" t="s">
        <v>23434</v>
      </c>
      <c r="BO186" s="14" t="s">
        <v>23453</v>
      </c>
      <c r="BP186" s="14" t="s">
        <v>26001</v>
      </c>
      <c r="BQ186" s="14" t="s">
        <v>23455</v>
      </c>
      <c r="BR186" s="14" t="s">
        <v>23434</v>
      </c>
      <c r="BS186" s="14" t="s">
        <v>23451</v>
      </c>
      <c r="BT186" s="14" t="s">
        <v>26002</v>
      </c>
      <c r="BU186" s="14" t="s">
        <v>22818</v>
      </c>
      <c r="BV186" s="80"/>
      <c r="BW186" s="14" t="s">
        <v>23438</v>
      </c>
      <c r="BX186" s="81">
        <v>45713.349328703705</v>
      </c>
      <c r="BY186" s="82" t="s">
        <v>23446</v>
      </c>
      <c r="BZ186" s="15"/>
      <c r="CA186" s="15"/>
      <c r="CB186" s="15"/>
      <c r="CC186" s="15"/>
      <c r="CD186" s="80"/>
      <c r="CE186" s="80"/>
      <c r="CF186" s="80"/>
      <c r="CG186" s="80"/>
      <c r="CH186" s="15"/>
      <c r="CI186" s="15"/>
      <c r="CJ186" s="15"/>
      <c r="CK186" s="15"/>
      <c r="CL186" s="15"/>
      <c r="CM186" s="15"/>
      <c r="CN186" s="15"/>
      <c r="CO186" s="15"/>
      <c r="CP186" s="80"/>
      <c r="CQ186" s="80" t="s">
        <v>23459</v>
      </c>
      <c r="CR186" s="83"/>
      <c r="CS186" s="84"/>
    </row>
    <row r="187">
      <c r="A187" s="78" t="s">
        <v>357</v>
      </c>
      <c r="B187" s="78" t="s">
        <v>366</v>
      </c>
      <c r="C187" s="79">
        <f>IFERROR((COUNTIFS('Base de Dados'!BT:BT,"Sim",'Base de Dados'!A:A,A187,'Base de Dados'!B:B,B187)/(COUNTIFS('Base de Dados'!BT:BT,"Sim",'Base de Dados'!A:A,A187,'Base de Dados'!B:B,B187)+(COUNTIFS('Base de Dados'!BT:BT,"Não",'Base de Dados'!A:A,A187,'Base de Dados'!B:B,B187)))),"Não Aplica")</f>
        <v>1</v>
      </c>
      <c r="D187" s="14" t="s">
        <v>23434</v>
      </c>
      <c r="E187" s="14" t="s">
        <v>26003</v>
      </c>
      <c r="F187" s="14" t="s">
        <v>23436</v>
      </c>
      <c r="G187" s="14" t="s">
        <v>23434</v>
      </c>
      <c r="H187" s="14" t="s">
        <v>26004</v>
      </c>
      <c r="I187" s="14" t="s">
        <v>22818</v>
      </c>
      <c r="J187" s="80"/>
      <c r="K187" s="14" t="s">
        <v>23438</v>
      </c>
      <c r="L187" s="81">
        <v>45687.394166666665</v>
      </c>
      <c r="M187" s="79">
        <f>IFERROR((COUNTIFS('Base de Dados'!DF:DF,"Sim",'Base de Dados'!A:A,A187,'Base de Dados'!B:B,B187)/(COUNTIFS('Base de Dados'!DF:DF,"Sim",'Base de Dados'!A:A,A187,'Base de Dados'!B:B,B187)+(COUNTIFS('Base de Dados'!DF:DF,"Não",'Base de Dados'!A:A,A187,'Base de Dados'!B:B,B187)))),"Não Aplica")</f>
        <v>1</v>
      </c>
      <c r="N187" s="14" t="s">
        <v>23434</v>
      </c>
      <c r="O187" s="14" t="s">
        <v>23439</v>
      </c>
      <c r="P187" s="14" t="s">
        <v>26005</v>
      </c>
      <c r="Q187" s="14" t="s">
        <v>23441</v>
      </c>
      <c r="R187" s="14" t="s">
        <v>23434</v>
      </c>
      <c r="S187" s="14" t="s">
        <v>26006</v>
      </c>
      <c r="T187" s="14" t="s">
        <v>23436</v>
      </c>
      <c r="U187" s="14" t="s">
        <v>23434</v>
      </c>
      <c r="V187" s="14" t="s">
        <v>26007</v>
      </c>
      <c r="W187" s="14" t="s">
        <v>22818</v>
      </c>
      <c r="X187" s="80"/>
      <c r="Y187" s="14" t="s">
        <v>23438</v>
      </c>
      <c r="Z187" s="81">
        <v>45691.616064814814</v>
      </c>
      <c r="AA187" s="79">
        <f>IFERROR((COUNTIFS('Base de Dados'!ED:ED,"Sim",'Base de Dados'!A:A,A187,'Base de Dados'!B:B,B187)/(COUNTIFS('Base de Dados'!ED:ED,"Sim",'Base de Dados'!A:A,A187,'Base de Dados'!B:B,B187)+(COUNTIFS('Base de Dados'!ED:ED,"Não",'Base de Dados'!A:A,A187,'Base de Dados'!B:B,B187)))),"Não Aplica")</f>
        <v>1</v>
      </c>
      <c r="AB187" s="14" t="s">
        <v>23434</v>
      </c>
      <c r="AC187" s="14" t="s">
        <v>26008</v>
      </c>
      <c r="AD187" s="14" t="s">
        <v>23441</v>
      </c>
      <c r="AE187" s="14" t="s">
        <v>23434</v>
      </c>
      <c r="AF187" s="14" t="s">
        <v>26009</v>
      </c>
      <c r="AG187" s="14" t="s">
        <v>22818</v>
      </c>
      <c r="AH187" s="80"/>
      <c r="AI187" s="14" t="s">
        <v>23438</v>
      </c>
      <c r="AJ187" s="81">
        <v>45692.63717592593</v>
      </c>
      <c r="AK187" s="82" t="s">
        <v>23446</v>
      </c>
      <c r="AL187" s="14" t="s">
        <v>23434</v>
      </c>
      <c r="AM187" s="14" t="s">
        <v>23439</v>
      </c>
      <c r="AN187" s="14" t="s">
        <v>26010</v>
      </c>
      <c r="AO187" s="14" t="s">
        <v>23441</v>
      </c>
      <c r="AP187" s="14" t="s">
        <v>23434</v>
      </c>
      <c r="AQ187" s="14" t="s">
        <v>23448</v>
      </c>
      <c r="AR187" s="14" t="s">
        <v>26011</v>
      </c>
      <c r="AS187" s="14" t="s">
        <v>23450</v>
      </c>
      <c r="AT187" s="14" t="s">
        <v>23434</v>
      </c>
      <c r="AU187" s="14" t="s">
        <v>23451</v>
      </c>
      <c r="AV187" s="14" t="s">
        <v>26012</v>
      </c>
      <c r="AW187" s="14" t="s">
        <v>22818</v>
      </c>
      <c r="AX187" s="14" t="s">
        <v>23434</v>
      </c>
      <c r="AY187" s="14" t="s">
        <v>23453</v>
      </c>
      <c r="AZ187" s="14" t="s">
        <v>26013</v>
      </c>
      <c r="BA187" s="14" t="s">
        <v>23455</v>
      </c>
      <c r="BB187" s="80"/>
      <c r="BC187" s="14" t="s">
        <v>23438</v>
      </c>
      <c r="BD187" s="81">
        <v>45698.62107638889</v>
      </c>
      <c r="BE187" s="79">
        <f>IFERROR((COUNTIFS('Base de Dados'!FD:FD,"Sim",'Base de Dados'!A:A,A187,'Base de Dados'!B:B,B187)/(COUNTIFS('Base de Dados'!FD:FD,"Sim",'Base de Dados'!A:A,A187,'Base de Dados'!B:B,B187)+(COUNTIFS('Base de Dados'!FD:FD,"Não",'Base de Dados'!A:A,A187,'Base de Dados'!B:B,B187)))),"Não Aplica")</f>
        <v>1</v>
      </c>
      <c r="BF187" s="14" t="s">
        <v>23434</v>
      </c>
      <c r="BG187" s="14" t="s">
        <v>23439</v>
      </c>
      <c r="BH187" s="14" t="s">
        <v>26014</v>
      </c>
      <c r="BI187" s="14" t="s">
        <v>23441</v>
      </c>
      <c r="BJ187" s="80"/>
      <c r="BK187" s="80"/>
      <c r="BL187" s="80"/>
      <c r="BM187" s="80"/>
      <c r="BN187" s="14" t="s">
        <v>23434</v>
      </c>
      <c r="BO187" s="14" t="s">
        <v>23453</v>
      </c>
      <c r="BP187" s="14" t="s">
        <v>26015</v>
      </c>
      <c r="BQ187" s="14" t="s">
        <v>23455</v>
      </c>
      <c r="BR187" s="14" t="s">
        <v>23434</v>
      </c>
      <c r="BS187" s="14" t="s">
        <v>23451</v>
      </c>
      <c r="BT187" s="14" t="s">
        <v>26016</v>
      </c>
      <c r="BU187" s="14" t="s">
        <v>22818</v>
      </c>
      <c r="BV187" s="80"/>
      <c r="BW187" s="14" t="s">
        <v>23438</v>
      </c>
      <c r="BX187" s="81">
        <v>45713.38391203704</v>
      </c>
      <c r="BY187" s="82" t="s">
        <v>23446</v>
      </c>
      <c r="BZ187" s="15"/>
      <c r="CA187" s="15"/>
      <c r="CB187" s="15"/>
      <c r="CC187" s="15"/>
      <c r="CD187" s="80"/>
      <c r="CE187" s="80"/>
      <c r="CF187" s="80"/>
      <c r="CG187" s="80"/>
      <c r="CH187" s="15"/>
      <c r="CI187" s="15"/>
      <c r="CJ187" s="15"/>
      <c r="CK187" s="15"/>
      <c r="CL187" s="15"/>
      <c r="CM187" s="15"/>
      <c r="CN187" s="15"/>
      <c r="CO187" s="15"/>
      <c r="CP187" s="80"/>
      <c r="CQ187" s="80" t="s">
        <v>23459</v>
      </c>
      <c r="CR187" s="83"/>
      <c r="CS187" s="84"/>
    </row>
    <row r="188">
      <c r="A188" s="78" t="s">
        <v>357</v>
      </c>
      <c r="B188" s="78" t="s">
        <v>4173</v>
      </c>
      <c r="C188" s="79">
        <f>IFERROR((COUNTIFS('Base de Dados'!BT:BT,"Sim",'Base de Dados'!A:A,A188,'Base de Dados'!B:B,B188)/(COUNTIFS('Base de Dados'!BT:BT,"Sim",'Base de Dados'!A:A,A188,'Base de Dados'!B:B,B188)+(COUNTIFS('Base de Dados'!BT:BT,"Não",'Base de Dados'!A:A,A188,'Base de Dados'!B:B,B188)))),"Não Aplica")</f>
        <v>1</v>
      </c>
      <c r="D188" s="14" t="s">
        <v>23434</v>
      </c>
      <c r="E188" s="14" t="s">
        <v>26017</v>
      </c>
      <c r="F188" s="14" t="s">
        <v>23436</v>
      </c>
      <c r="G188" s="14" t="s">
        <v>23434</v>
      </c>
      <c r="H188" s="14" t="s">
        <v>26018</v>
      </c>
      <c r="I188" s="14" t="s">
        <v>22818</v>
      </c>
      <c r="J188" s="80"/>
      <c r="K188" s="14" t="s">
        <v>23438</v>
      </c>
      <c r="L188" s="81">
        <v>45687.39372685185</v>
      </c>
      <c r="M188" s="79">
        <f>IFERROR((COUNTIFS('Base de Dados'!DF:DF,"Sim",'Base de Dados'!A:A,A188,'Base de Dados'!B:B,B188)/(COUNTIFS('Base de Dados'!DF:DF,"Sim",'Base de Dados'!A:A,A188,'Base de Dados'!B:B,B188)+(COUNTIFS('Base de Dados'!DF:DF,"Não",'Base de Dados'!A:A,A188,'Base de Dados'!B:B,B188)))),"Não Aplica")</f>
        <v>1</v>
      </c>
      <c r="N188" s="14" t="s">
        <v>23434</v>
      </c>
      <c r="O188" s="14" t="s">
        <v>23439</v>
      </c>
      <c r="P188" s="14" t="s">
        <v>26019</v>
      </c>
      <c r="Q188" s="14" t="s">
        <v>23441</v>
      </c>
      <c r="R188" s="14" t="s">
        <v>23434</v>
      </c>
      <c r="S188" s="14" t="s">
        <v>26020</v>
      </c>
      <c r="T188" s="14" t="s">
        <v>23436</v>
      </c>
      <c r="U188" s="14" t="s">
        <v>23434</v>
      </c>
      <c r="V188" s="14" t="s">
        <v>26021</v>
      </c>
      <c r="W188" s="14" t="s">
        <v>22818</v>
      </c>
      <c r="X188" s="80"/>
      <c r="Y188" s="14" t="s">
        <v>23438</v>
      </c>
      <c r="Z188" s="81">
        <v>45691.61608796296</v>
      </c>
      <c r="AA188" s="79">
        <f>IFERROR((COUNTIFS('Base de Dados'!ED:ED,"Sim",'Base de Dados'!A:A,A188,'Base de Dados'!B:B,B188)/(COUNTIFS('Base de Dados'!ED:ED,"Sim",'Base de Dados'!A:A,A188,'Base de Dados'!B:B,B188)+(COUNTIFS('Base de Dados'!ED:ED,"Não",'Base de Dados'!A:A,A188,'Base de Dados'!B:B,B188)))),"Não Aplica")</f>
        <v>1</v>
      </c>
      <c r="AB188" s="14" t="s">
        <v>23434</v>
      </c>
      <c r="AC188" s="14" t="s">
        <v>26022</v>
      </c>
      <c r="AD188" s="14" t="s">
        <v>23441</v>
      </c>
      <c r="AE188" s="14" t="s">
        <v>23434</v>
      </c>
      <c r="AF188" s="14" t="s">
        <v>26023</v>
      </c>
      <c r="AG188" s="14" t="s">
        <v>22818</v>
      </c>
      <c r="AH188" s="80"/>
      <c r="AI188" s="14" t="s">
        <v>23438</v>
      </c>
      <c r="AJ188" s="81">
        <v>45692.63719907407</v>
      </c>
      <c r="AK188" s="82" t="s">
        <v>23446</v>
      </c>
      <c r="AL188" s="14" t="s">
        <v>23434</v>
      </c>
      <c r="AM188" s="14" t="s">
        <v>23439</v>
      </c>
      <c r="AN188" s="14" t="s">
        <v>26024</v>
      </c>
      <c r="AO188" s="14" t="s">
        <v>23441</v>
      </c>
      <c r="AP188" s="14" t="s">
        <v>23434</v>
      </c>
      <c r="AQ188" s="14" t="s">
        <v>23448</v>
      </c>
      <c r="AR188" s="14" t="s">
        <v>26025</v>
      </c>
      <c r="AS188" s="14" t="s">
        <v>23450</v>
      </c>
      <c r="AT188" s="14" t="s">
        <v>23434</v>
      </c>
      <c r="AU188" s="14" t="s">
        <v>23451</v>
      </c>
      <c r="AV188" s="14" t="s">
        <v>26026</v>
      </c>
      <c r="AW188" s="14" t="s">
        <v>22818</v>
      </c>
      <c r="AX188" s="14" t="s">
        <v>23434</v>
      </c>
      <c r="AY188" s="14" t="s">
        <v>23453</v>
      </c>
      <c r="AZ188" s="14" t="s">
        <v>26027</v>
      </c>
      <c r="BA188" s="14" t="s">
        <v>23455</v>
      </c>
      <c r="BB188" s="80"/>
      <c r="BC188" s="14" t="s">
        <v>23438</v>
      </c>
      <c r="BD188" s="81">
        <v>45698.62142361111</v>
      </c>
      <c r="BE188" s="79">
        <f>IFERROR((COUNTIFS('Base de Dados'!FD:FD,"Sim",'Base de Dados'!A:A,A188,'Base de Dados'!B:B,B188)/(COUNTIFS('Base de Dados'!FD:FD,"Sim",'Base de Dados'!A:A,A188,'Base de Dados'!B:B,B188)+(COUNTIFS('Base de Dados'!FD:FD,"Não",'Base de Dados'!A:A,A188,'Base de Dados'!B:B,B188)))),"Não Aplica")</f>
        <v>1</v>
      </c>
      <c r="BF188" s="14" t="s">
        <v>23434</v>
      </c>
      <c r="BG188" s="14" t="s">
        <v>23439</v>
      </c>
      <c r="BH188" s="14" t="s">
        <v>26028</v>
      </c>
      <c r="BI188" s="14" t="s">
        <v>23441</v>
      </c>
      <c r="BJ188" s="80"/>
      <c r="BK188" s="80"/>
      <c r="BL188" s="80"/>
      <c r="BM188" s="80"/>
      <c r="BN188" s="14" t="s">
        <v>23434</v>
      </c>
      <c r="BO188" s="14" t="s">
        <v>23453</v>
      </c>
      <c r="BP188" s="14" t="s">
        <v>26029</v>
      </c>
      <c r="BQ188" s="14" t="s">
        <v>23455</v>
      </c>
      <c r="BR188" s="14" t="s">
        <v>23434</v>
      </c>
      <c r="BS188" s="14" t="s">
        <v>23451</v>
      </c>
      <c r="BT188" s="14" t="s">
        <v>26030</v>
      </c>
      <c r="BU188" s="14" t="s">
        <v>22818</v>
      </c>
      <c r="BV188" s="80"/>
      <c r="BW188" s="14" t="s">
        <v>23438</v>
      </c>
      <c r="BX188" s="81">
        <v>45722.765914351854</v>
      </c>
      <c r="BY188" s="82" t="s">
        <v>23446</v>
      </c>
      <c r="BZ188" s="15"/>
      <c r="CA188" s="15"/>
      <c r="CB188" s="15"/>
      <c r="CC188" s="15"/>
      <c r="CD188" s="80"/>
      <c r="CE188" s="80"/>
      <c r="CF188" s="80"/>
      <c r="CG188" s="80"/>
      <c r="CH188" s="15"/>
      <c r="CI188" s="15"/>
      <c r="CJ188" s="15"/>
      <c r="CK188" s="15"/>
      <c r="CL188" s="15"/>
      <c r="CM188" s="15"/>
      <c r="CN188" s="15"/>
      <c r="CO188" s="15"/>
      <c r="CP188" s="80"/>
      <c r="CQ188" s="80" t="s">
        <v>23459</v>
      </c>
      <c r="CR188" s="83"/>
      <c r="CS188" s="84"/>
    </row>
    <row r="189">
      <c r="A189" s="78" t="s">
        <v>357</v>
      </c>
      <c r="B189" s="86" t="s">
        <v>7868</v>
      </c>
      <c r="C189" s="79">
        <f>IFERROR((COUNTIFS('Base de Dados'!BT:BT,"Sim",'Base de Dados'!A:A,A189,'Base de Dados'!B:B,B189)/(COUNTIFS('Base de Dados'!BT:BT,"Sim",'Base de Dados'!A:A,A189,'Base de Dados'!B:B,B189)+(COUNTIFS('Base de Dados'!BT:BT,"Não",'Base de Dados'!A:A,A189,'Base de Dados'!B:B,B189)))),"Não Aplica")</f>
        <v>1</v>
      </c>
      <c r="D189" s="14" t="s">
        <v>23434</v>
      </c>
      <c r="E189" s="14" t="s">
        <v>26031</v>
      </c>
      <c r="F189" s="14" t="s">
        <v>23436</v>
      </c>
      <c r="G189" s="14" t="s">
        <v>23434</v>
      </c>
      <c r="H189" s="14" t="s">
        <v>26032</v>
      </c>
      <c r="I189" s="14" t="s">
        <v>22818</v>
      </c>
      <c r="J189" s="80"/>
      <c r="K189" s="14" t="s">
        <v>23438</v>
      </c>
      <c r="L189" s="81">
        <v>45687.66173611111</v>
      </c>
      <c r="M189" s="79">
        <f>IFERROR((COUNTIFS('Base de Dados'!DF:DF,"Sim",'Base de Dados'!A:A,A189,'Base de Dados'!B:B,B189)/(COUNTIFS('Base de Dados'!DF:DF,"Sim",'Base de Dados'!A:A,A189,'Base de Dados'!B:B,B189)+(COUNTIFS('Base de Dados'!DF:DF,"Não",'Base de Dados'!A:A,A189,'Base de Dados'!B:B,B189)))),"Não Aplica")</f>
        <v>1</v>
      </c>
      <c r="N189" s="14" t="s">
        <v>23434</v>
      </c>
      <c r="O189" s="14" t="s">
        <v>23439</v>
      </c>
      <c r="P189" s="14" t="s">
        <v>26033</v>
      </c>
      <c r="Q189" s="14" t="s">
        <v>23441</v>
      </c>
      <c r="R189" s="14" t="s">
        <v>23434</v>
      </c>
      <c r="S189" s="14" t="s">
        <v>26034</v>
      </c>
      <c r="T189" s="14" t="s">
        <v>23436</v>
      </c>
      <c r="U189" s="14" t="s">
        <v>23434</v>
      </c>
      <c r="V189" s="14" t="s">
        <v>26035</v>
      </c>
      <c r="W189" s="14" t="s">
        <v>22818</v>
      </c>
      <c r="X189" s="80"/>
      <c r="Y189" s="14" t="s">
        <v>23438</v>
      </c>
      <c r="Z189" s="81">
        <v>45691.616122685184</v>
      </c>
      <c r="AA189" s="79" t="str">
        <f>IFERROR((COUNTIFS('Base de Dados'!ED:ED,"Sim",'Base de Dados'!A:A,A189,'Base de Dados'!B:B,B189)/(COUNTIFS('Base de Dados'!ED:ED,"Sim",'Base de Dados'!A:A,A189,'Base de Dados'!B:B,B189)+(COUNTIFS('Base de Dados'!ED:ED,"Não",'Base de Dados'!A:A,A189,'Base de Dados'!B:B,B189)))),"Não Aplica")</f>
        <v>Não Aplica</v>
      </c>
      <c r="AB189" s="14" t="s">
        <v>228</v>
      </c>
      <c r="AC189" s="14" t="s">
        <v>26036</v>
      </c>
      <c r="AD189" s="14" t="s">
        <v>23441</v>
      </c>
      <c r="AE189" s="14" t="s">
        <v>228</v>
      </c>
      <c r="AF189" s="14" t="s">
        <v>26037</v>
      </c>
      <c r="AG189" s="14" t="s">
        <v>22818</v>
      </c>
      <c r="AH189" s="80"/>
      <c r="AI189" s="14" t="s">
        <v>23438</v>
      </c>
      <c r="AJ189" s="81">
        <v>45692.63763888889</v>
      </c>
      <c r="AK189" s="82" t="s">
        <v>23446</v>
      </c>
      <c r="AL189" s="14" t="s">
        <v>23434</v>
      </c>
      <c r="AM189" s="14" t="s">
        <v>23439</v>
      </c>
      <c r="AN189" s="14" t="s">
        <v>26038</v>
      </c>
      <c r="AO189" s="14" t="s">
        <v>23441</v>
      </c>
      <c r="AP189" s="14" t="s">
        <v>23434</v>
      </c>
      <c r="AQ189" s="14" t="s">
        <v>23448</v>
      </c>
      <c r="AR189" s="14" t="s">
        <v>26039</v>
      </c>
      <c r="AS189" s="14" t="s">
        <v>23450</v>
      </c>
      <c r="AT189" s="14" t="s">
        <v>23434</v>
      </c>
      <c r="AU189" s="14" t="s">
        <v>23451</v>
      </c>
      <c r="AV189" s="14" t="s">
        <v>26040</v>
      </c>
      <c r="AW189" s="14" t="s">
        <v>22818</v>
      </c>
      <c r="AX189" s="14" t="s">
        <v>23434</v>
      </c>
      <c r="AY189" s="14" t="s">
        <v>23453</v>
      </c>
      <c r="AZ189" s="14" t="s">
        <v>26041</v>
      </c>
      <c r="BA189" s="14" t="s">
        <v>23455</v>
      </c>
      <c r="BB189" s="80"/>
      <c r="BC189" s="14" t="s">
        <v>23438</v>
      </c>
      <c r="BD189" s="81">
        <v>45698.62136574074</v>
      </c>
      <c r="BE189" s="79">
        <f>IFERROR((COUNTIFS('Base de Dados'!FD:FD,"Sim",'Base de Dados'!A:A,A189,'Base de Dados'!B:B,B189)/(COUNTIFS('Base de Dados'!FD:FD,"Sim",'Base de Dados'!A:A,A189,'Base de Dados'!B:B,B189)+(COUNTIFS('Base de Dados'!FD:FD,"Não",'Base de Dados'!A:A,A189,'Base de Dados'!B:B,B189)))),"Não Aplica")</f>
        <v>1</v>
      </c>
      <c r="BF189" s="14" t="s">
        <v>23434</v>
      </c>
      <c r="BG189" s="14" t="s">
        <v>23439</v>
      </c>
      <c r="BH189" s="14" t="s">
        <v>26042</v>
      </c>
      <c r="BI189" s="14" t="s">
        <v>23441</v>
      </c>
      <c r="BJ189" s="80"/>
      <c r="BK189" s="80"/>
      <c r="BL189" s="80"/>
      <c r="BM189" s="80"/>
      <c r="BN189" s="14" t="s">
        <v>23434</v>
      </c>
      <c r="BO189" s="14" t="s">
        <v>23453</v>
      </c>
      <c r="BP189" s="14" t="s">
        <v>26043</v>
      </c>
      <c r="BQ189" s="14" t="s">
        <v>23455</v>
      </c>
      <c r="BR189" s="14" t="s">
        <v>23434</v>
      </c>
      <c r="BS189" s="14" t="s">
        <v>23451</v>
      </c>
      <c r="BT189" s="14" t="s">
        <v>26044</v>
      </c>
      <c r="BU189" s="14" t="s">
        <v>22818</v>
      </c>
      <c r="BV189" s="80"/>
      <c r="BW189" s="14" t="s">
        <v>23438</v>
      </c>
      <c r="BX189" s="81">
        <v>45713.34943287037</v>
      </c>
      <c r="BY189" s="82" t="s">
        <v>23446</v>
      </c>
      <c r="BZ189" s="15"/>
      <c r="CA189" s="15"/>
      <c r="CB189" s="15"/>
      <c r="CC189" s="15"/>
      <c r="CD189" s="80"/>
      <c r="CE189" s="80"/>
      <c r="CF189" s="80"/>
      <c r="CG189" s="80"/>
      <c r="CH189" s="15"/>
      <c r="CI189" s="15"/>
      <c r="CJ189" s="15"/>
      <c r="CK189" s="15"/>
      <c r="CL189" s="15"/>
      <c r="CM189" s="15"/>
      <c r="CN189" s="15"/>
      <c r="CO189" s="15"/>
      <c r="CP189" s="80"/>
      <c r="CQ189" s="80" t="s">
        <v>23459</v>
      </c>
      <c r="CR189" s="83"/>
      <c r="CS189" s="84"/>
    </row>
    <row r="190">
      <c r="A190" s="78" t="s">
        <v>357</v>
      </c>
      <c r="B190" s="86" t="s">
        <v>7838</v>
      </c>
      <c r="C190" s="79">
        <f>IFERROR((COUNTIFS('Base de Dados'!BT:BT,"Sim",'Base de Dados'!A:A,A190,'Base de Dados'!B:B,B190)/(COUNTIFS('Base de Dados'!BT:BT,"Sim",'Base de Dados'!A:A,A190,'Base de Dados'!B:B,B190)+(COUNTIFS('Base de Dados'!BT:BT,"Não",'Base de Dados'!A:A,A190,'Base de Dados'!B:B,B190)))),"Não Aplica")</f>
        <v>1</v>
      </c>
      <c r="D190" s="14" t="s">
        <v>23434</v>
      </c>
      <c r="E190" s="14" t="s">
        <v>26045</v>
      </c>
      <c r="F190" s="14" t="s">
        <v>23436</v>
      </c>
      <c r="G190" s="14" t="s">
        <v>23434</v>
      </c>
      <c r="H190" s="14" t="s">
        <v>26046</v>
      </c>
      <c r="I190" s="14" t="s">
        <v>22818</v>
      </c>
      <c r="J190" s="80"/>
      <c r="K190" s="14" t="s">
        <v>23438</v>
      </c>
      <c r="L190" s="81">
        <v>45687.66142361111</v>
      </c>
      <c r="M190" s="79">
        <f>IFERROR((COUNTIFS('Base de Dados'!DF:DF,"Sim",'Base de Dados'!A:A,A190,'Base de Dados'!B:B,B190)/(COUNTIFS('Base de Dados'!DF:DF,"Sim",'Base de Dados'!A:A,A190,'Base de Dados'!B:B,B190)+(COUNTIFS('Base de Dados'!DF:DF,"Não",'Base de Dados'!A:A,A190,'Base de Dados'!B:B,B190)))),"Não Aplica")</f>
        <v>1</v>
      </c>
      <c r="N190" s="14" t="s">
        <v>23434</v>
      </c>
      <c r="O190" s="14" t="s">
        <v>23439</v>
      </c>
      <c r="P190" s="14" t="s">
        <v>26047</v>
      </c>
      <c r="Q190" s="14" t="s">
        <v>23441</v>
      </c>
      <c r="R190" s="14" t="s">
        <v>23434</v>
      </c>
      <c r="S190" s="14" t="s">
        <v>26048</v>
      </c>
      <c r="T190" s="14" t="s">
        <v>23436</v>
      </c>
      <c r="U190" s="14" t="s">
        <v>23434</v>
      </c>
      <c r="V190" s="14" t="s">
        <v>26049</v>
      </c>
      <c r="W190" s="14" t="s">
        <v>22818</v>
      </c>
      <c r="X190" s="80"/>
      <c r="Y190" s="14" t="s">
        <v>23438</v>
      </c>
      <c r="Z190" s="81">
        <v>45691.61615740741</v>
      </c>
      <c r="AA190" s="79" t="str">
        <f>IFERROR((COUNTIFS('Base de Dados'!ED:ED,"Sim",'Base de Dados'!A:A,A190,'Base de Dados'!B:B,B190)/(COUNTIFS('Base de Dados'!ED:ED,"Sim",'Base de Dados'!A:A,A190,'Base de Dados'!B:B,B190)+(COUNTIFS('Base de Dados'!ED:ED,"Não",'Base de Dados'!A:A,A190,'Base de Dados'!B:B,B190)))),"Não Aplica")</f>
        <v>Não Aplica</v>
      </c>
      <c r="AB190" s="14" t="s">
        <v>228</v>
      </c>
      <c r="AC190" s="14" t="s">
        <v>26050</v>
      </c>
      <c r="AD190" s="14" t="s">
        <v>23441</v>
      </c>
      <c r="AE190" s="14" t="s">
        <v>228</v>
      </c>
      <c r="AF190" s="14" t="s">
        <v>26051</v>
      </c>
      <c r="AG190" s="14" t="s">
        <v>22818</v>
      </c>
      <c r="AH190" s="80"/>
      <c r="AI190" s="14" t="s">
        <v>23438</v>
      </c>
      <c r="AJ190" s="81">
        <v>45692.637870370374</v>
      </c>
      <c r="AK190" s="82" t="s">
        <v>23446</v>
      </c>
      <c r="AL190" s="14" t="s">
        <v>23434</v>
      </c>
      <c r="AM190" s="14" t="s">
        <v>23439</v>
      </c>
      <c r="AN190" s="14" t="s">
        <v>26052</v>
      </c>
      <c r="AO190" s="14" t="s">
        <v>23441</v>
      </c>
      <c r="AP190" s="14" t="s">
        <v>23434</v>
      </c>
      <c r="AQ190" s="14" t="s">
        <v>23448</v>
      </c>
      <c r="AR190" s="14" t="s">
        <v>26053</v>
      </c>
      <c r="AS190" s="14" t="s">
        <v>23450</v>
      </c>
      <c r="AT190" s="14" t="s">
        <v>23434</v>
      </c>
      <c r="AU190" s="14" t="s">
        <v>23451</v>
      </c>
      <c r="AV190" s="14" t="s">
        <v>26054</v>
      </c>
      <c r="AW190" s="14" t="s">
        <v>22818</v>
      </c>
      <c r="AX190" s="14" t="s">
        <v>23434</v>
      </c>
      <c r="AY190" s="14" t="s">
        <v>23453</v>
      </c>
      <c r="AZ190" s="14" t="s">
        <v>26055</v>
      </c>
      <c r="BA190" s="14" t="s">
        <v>23455</v>
      </c>
      <c r="BB190" s="80"/>
      <c r="BC190" s="14" t="s">
        <v>23438</v>
      </c>
      <c r="BD190" s="81">
        <v>45698.62148148148</v>
      </c>
      <c r="BE190" s="79">
        <f>IFERROR((COUNTIFS('Base de Dados'!FD:FD,"Sim",'Base de Dados'!A:A,A190,'Base de Dados'!B:B,B190)/(COUNTIFS('Base de Dados'!FD:FD,"Sim",'Base de Dados'!A:A,A190,'Base de Dados'!B:B,B190)+(COUNTIFS('Base de Dados'!FD:FD,"Não",'Base de Dados'!A:A,A190,'Base de Dados'!B:B,B190)))),"Não Aplica")</f>
        <v>1</v>
      </c>
      <c r="BF190" s="14" t="s">
        <v>23434</v>
      </c>
      <c r="BG190" s="14" t="s">
        <v>23439</v>
      </c>
      <c r="BH190" s="14" t="s">
        <v>26056</v>
      </c>
      <c r="BI190" s="14" t="s">
        <v>23441</v>
      </c>
      <c r="BJ190" s="80"/>
      <c r="BK190" s="80"/>
      <c r="BL190" s="80"/>
      <c r="BM190" s="80"/>
      <c r="BN190" s="14" t="s">
        <v>23434</v>
      </c>
      <c r="BO190" s="14" t="s">
        <v>23453</v>
      </c>
      <c r="BP190" s="14" t="s">
        <v>26057</v>
      </c>
      <c r="BQ190" s="14" t="s">
        <v>23455</v>
      </c>
      <c r="BR190" s="14" t="s">
        <v>23434</v>
      </c>
      <c r="BS190" s="14" t="s">
        <v>23451</v>
      </c>
      <c r="BT190" s="14" t="s">
        <v>26058</v>
      </c>
      <c r="BU190" s="14" t="s">
        <v>22818</v>
      </c>
      <c r="BV190" s="80"/>
      <c r="BW190" s="14" t="s">
        <v>23438</v>
      </c>
      <c r="BX190" s="81">
        <v>45713.34939814815</v>
      </c>
      <c r="BY190" s="82" t="s">
        <v>23446</v>
      </c>
      <c r="BZ190" s="15"/>
      <c r="CA190" s="15"/>
      <c r="CB190" s="15"/>
      <c r="CC190" s="15"/>
      <c r="CD190" s="80"/>
      <c r="CE190" s="80"/>
      <c r="CF190" s="80"/>
      <c r="CG190" s="80"/>
      <c r="CH190" s="15"/>
      <c r="CI190" s="15"/>
      <c r="CJ190" s="15"/>
      <c r="CK190" s="15"/>
      <c r="CL190" s="15"/>
      <c r="CM190" s="15"/>
      <c r="CN190" s="15"/>
      <c r="CO190" s="15"/>
      <c r="CP190" s="80"/>
      <c r="CQ190" s="80" t="s">
        <v>23459</v>
      </c>
      <c r="CR190" s="83"/>
      <c r="CS190" s="84"/>
    </row>
    <row r="191">
      <c r="A191" s="78" t="s">
        <v>357</v>
      </c>
      <c r="B191" s="78" t="s">
        <v>4071</v>
      </c>
      <c r="C191" s="79">
        <f>IFERROR((COUNTIFS('Base de Dados'!BT:BT,"Sim",'Base de Dados'!A:A,A191,'Base de Dados'!B:B,B191)/(COUNTIFS('Base de Dados'!BT:BT,"Sim",'Base de Dados'!A:A,A191,'Base de Dados'!B:B,B191)+(COUNTIFS('Base de Dados'!BT:BT,"Não",'Base de Dados'!A:A,A191,'Base de Dados'!B:B,B191)))),"Não Aplica")</f>
        <v>1</v>
      </c>
      <c r="D191" s="14" t="s">
        <v>23434</v>
      </c>
      <c r="E191" s="14" t="s">
        <v>26059</v>
      </c>
      <c r="F191" s="14" t="s">
        <v>23436</v>
      </c>
      <c r="G191" s="14" t="s">
        <v>23434</v>
      </c>
      <c r="H191" s="14" t="s">
        <v>26060</v>
      </c>
      <c r="I191" s="14" t="s">
        <v>22818</v>
      </c>
      <c r="J191" s="80"/>
      <c r="K191" s="14" t="s">
        <v>23438</v>
      </c>
      <c r="L191" s="81">
        <v>45684.45900462963</v>
      </c>
      <c r="M191" s="79">
        <f>IFERROR((COUNTIFS('Base de Dados'!DF:DF,"Sim",'Base de Dados'!A:A,A191,'Base de Dados'!B:B,B191)/(COUNTIFS('Base de Dados'!DF:DF,"Sim",'Base de Dados'!A:A,A191,'Base de Dados'!B:B,B191)+(COUNTIFS('Base de Dados'!DF:DF,"Não",'Base de Dados'!A:A,A191,'Base de Dados'!B:B,B191)))),"Não Aplica")</f>
        <v>1</v>
      </c>
      <c r="N191" s="14" t="s">
        <v>23434</v>
      </c>
      <c r="O191" s="14" t="s">
        <v>23439</v>
      </c>
      <c r="P191" s="14" t="s">
        <v>26061</v>
      </c>
      <c r="Q191" s="14" t="s">
        <v>23441</v>
      </c>
      <c r="R191" s="14" t="s">
        <v>23434</v>
      </c>
      <c r="S191" s="14" t="s">
        <v>26062</v>
      </c>
      <c r="T191" s="14" t="s">
        <v>23436</v>
      </c>
      <c r="U191" s="14" t="s">
        <v>23434</v>
      </c>
      <c r="V191" s="14" t="s">
        <v>26063</v>
      </c>
      <c r="W191" s="14" t="s">
        <v>22818</v>
      </c>
      <c r="X191" s="80"/>
      <c r="Y191" s="14" t="s">
        <v>23438</v>
      </c>
      <c r="Z191" s="81">
        <v>45691.593935185185</v>
      </c>
      <c r="AA191" s="79">
        <f>IFERROR((COUNTIFS('Base de Dados'!ED:ED,"Sim",'Base de Dados'!A:A,A191,'Base de Dados'!B:B,B191)/(COUNTIFS('Base de Dados'!ED:ED,"Sim",'Base de Dados'!A:A,A191,'Base de Dados'!B:B,B191)+(COUNTIFS('Base de Dados'!ED:ED,"Não",'Base de Dados'!A:A,A191,'Base de Dados'!B:B,B191)))),"Não Aplica")</f>
        <v>1</v>
      </c>
      <c r="AB191" s="14" t="s">
        <v>23434</v>
      </c>
      <c r="AC191" s="14" t="s">
        <v>26064</v>
      </c>
      <c r="AD191" s="14" t="s">
        <v>23441</v>
      </c>
      <c r="AE191" s="14" t="s">
        <v>23434</v>
      </c>
      <c r="AF191" s="14" t="s">
        <v>26065</v>
      </c>
      <c r="AG191" s="14" t="s">
        <v>22818</v>
      </c>
      <c r="AH191" s="80"/>
      <c r="AI191" s="14" t="s">
        <v>23438</v>
      </c>
      <c r="AJ191" s="81">
        <v>45691.61765046296</v>
      </c>
      <c r="AK191" s="82" t="s">
        <v>23446</v>
      </c>
      <c r="AL191" s="14" t="s">
        <v>23434</v>
      </c>
      <c r="AM191" s="14" t="s">
        <v>23439</v>
      </c>
      <c r="AN191" s="14" t="s">
        <v>26066</v>
      </c>
      <c r="AO191" s="14" t="s">
        <v>23441</v>
      </c>
      <c r="AP191" s="14" t="s">
        <v>23434</v>
      </c>
      <c r="AQ191" s="14" t="s">
        <v>23448</v>
      </c>
      <c r="AR191" s="14" t="s">
        <v>26067</v>
      </c>
      <c r="AS191" s="14" t="s">
        <v>23450</v>
      </c>
      <c r="AT191" s="14" t="s">
        <v>23434</v>
      </c>
      <c r="AU191" s="14" t="s">
        <v>23451</v>
      </c>
      <c r="AV191" s="14" t="s">
        <v>26068</v>
      </c>
      <c r="AW191" s="14" t="s">
        <v>22818</v>
      </c>
      <c r="AX191" s="14" t="s">
        <v>23434</v>
      </c>
      <c r="AY191" s="14" t="s">
        <v>23453</v>
      </c>
      <c r="AZ191" s="14" t="s">
        <v>26069</v>
      </c>
      <c r="BA191" s="14" t="s">
        <v>23455</v>
      </c>
      <c r="BB191" s="80"/>
      <c r="BC191" s="14" t="s">
        <v>23438</v>
      </c>
      <c r="BD191" s="81">
        <v>45698.62113425926</v>
      </c>
      <c r="BE191" s="79">
        <f>IFERROR((COUNTIFS('Base de Dados'!FD:FD,"Sim",'Base de Dados'!A:A,A191,'Base de Dados'!B:B,B191)/(COUNTIFS('Base de Dados'!FD:FD,"Sim",'Base de Dados'!A:A,A191,'Base de Dados'!B:B,B191)+(COUNTIFS('Base de Dados'!FD:FD,"Não",'Base de Dados'!A:A,A191,'Base de Dados'!B:B,B191)))),"Não Aplica")</f>
        <v>1</v>
      </c>
      <c r="BF191" s="14" t="s">
        <v>23434</v>
      </c>
      <c r="BG191" s="14" t="s">
        <v>23439</v>
      </c>
      <c r="BH191" s="14" t="s">
        <v>26070</v>
      </c>
      <c r="BI191" s="14" t="s">
        <v>23441</v>
      </c>
      <c r="BJ191" s="80"/>
      <c r="BK191" s="80"/>
      <c r="BL191" s="80"/>
      <c r="BM191" s="80"/>
      <c r="BN191" s="14" t="s">
        <v>23434</v>
      </c>
      <c r="BO191" s="14" t="s">
        <v>23453</v>
      </c>
      <c r="BP191" s="14" t="s">
        <v>26071</v>
      </c>
      <c r="BQ191" s="14" t="s">
        <v>23455</v>
      </c>
      <c r="BR191" s="14" t="s">
        <v>23434</v>
      </c>
      <c r="BS191" s="14" t="s">
        <v>23451</v>
      </c>
      <c r="BT191" s="14" t="s">
        <v>26072</v>
      </c>
      <c r="BU191" s="14" t="s">
        <v>22818</v>
      </c>
      <c r="BV191" s="80"/>
      <c r="BW191" s="14" t="s">
        <v>23438</v>
      </c>
      <c r="BX191" s="81">
        <v>45713.38379629629</v>
      </c>
      <c r="BY191" s="82" t="s">
        <v>23446</v>
      </c>
      <c r="BZ191" s="15"/>
      <c r="CA191" s="15"/>
      <c r="CB191" s="15"/>
      <c r="CC191" s="15"/>
      <c r="CD191" s="80"/>
      <c r="CE191" s="80"/>
      <c r="CF191" s="80"/>
      <c r="CG191" s="80"/>
      <c r="CH191" s="15"/>
      <c r="CI191" s="15"/>
      <c r="CJ191" s="15"/>
      <c r="CK191" s="15"/>
      <c r="CL191" s="15"/>
      <c r="CM191" s="15"/>
      <c r="CN191" s="15"/>
      <c r="CO191" s="15"/>
      <c r="CP191" s="80"/>
      <c r="CQ191" s="80" t="s">
        <v>23459</v>
      </c>
      <c r="CR191" s="83"/>
      <c r="CS191" s="84"/>
    </row>
    <row r="192">
      <c r="A192" s="78" t="s">
        <v>357</v>
      </c>
      <c r="B192" s="78" t="s">
        <v>5475</v>
      </c>
      <c r="C192" s="79">
        <f>IFERROR((COUNTIFS('Base de Dados'!BT:BT,"Sim",'Base de Dados'!A:A,A192,'Base de Dados'!B:B,B192)/(COUNTIFS('Base de Dados'!BT:BT,"Sim",'Base de Dados'!A:A,A192,'Base de Dados'!B:B,B192)+(COUNTIFS('Base de Dados'!BT:BT,"Não",'Base de Dados'!A:A,A192,'Base de Dados'!B:B,B192)))),"Não Aplica")</f>
        <v>1</v>
      </c>
      <c r="D192" s="14" t="s">
        <v>23434</v>
      </c>
      <c r="E192" s="14" t="s">
        <v>26073</v>
      </c>
      <c r="F192" s="14" t="s">
        <v>23436</v>
      </c>
      <c r="G192" s="14" t="s">
        <v>23434</v>
      </c>
      <c r="H192" s="14" t="s">
        <v>26074</v>
      </c>
      <c r="I192" s="14" t="s">
        <v>22818</v>
      </c>
      <c r="J192" s="80"/>
      <c r="K192" s="14" t="s">
        <v>23438</v>
      </c>
      <c r="L192" s="81">
        <v>45685.312210648146</v>
      </c>
      <c r="M192" s="79">
        <f>IFERROR((COUNTIFS('Base de Dados'!DF:DF,"Sim",'Base de Dados'!A:A,A192,'Base de Dados'!B:B,B192)/(COUNTIFS('Base de Dados'!DF:DF,"Sim",'Base de Dados'!A:A,A192,'Base de Dados'!B:B,B192)+(COUNTIFS('Base de Dados'!DF:DF,"Não",'Base de Dados'!A:A,A192,'Base de Dados'!B:B,B192)))),"Não Aplica")</f>
        <v>1</v>
      </c>
      <c r="N192" s="14" t="s">
        <v>23434</v>
      </c>
      <c r="O192" s="14" t="s">
        <v>23439</v>
      </c>
      <c r="P192" s="14" t="s">
        <v>26075</v>
      </c>
      <c r="Q192" s="14" t="s">
        <v>23441</v>
      </c>
      <c r="R192" s="14" t="s">
        <v>23434</v>
      </c>
      <c r="S192" s="14" t="s">
        <v>26076</v>
      </c>
      <c r="T192" s="14" t="s">
        <v>23436</v>
      </c>
      <c r="U192" s="14" t="s">
        <v>23434</v>
      </c>
      <c r="V192" s="14" t="s">
        <v>26077</v>
      </c>
      <c r="W192" s="14" t="s">
        <v>22818</v>
      </c>
      <c r="X192" s="80"/>
      <c r="Y192" s="14" t="s">
        <v>23438</v>
      </c>
      <c r="Z192" s="81">
        <v>45691.593877314815</v>
      </c>
      <c r="AA192" s="79">
        <f>IFERROR((COUNTIFS('Base de Dados'!ED:ED,"Sim",'Base de Dados'!A:A,A192,'Base de Dados'!B:B,B192)/(COUNTIFS('Base de Dados'!ED:ED,"Sim",'Base de Dados'!A:A,A192,'Base de Dados'!B:B,B192)+(COUNTIFS('Base de Dados'!ED:ED,"Não",'Base de Dados'!A:A,A192,'Base de Dados'!B:B,B192)))),"Não Aplica")</f>
        <v>1</v>
      </c>
      <c r="AB192" s="14" t="s">
        <v>23434</v>
      </c>
      <c r="AC192" s="14" t="s">
        <v>26078</v>
      </c>
      <c r="AD192" s="14" t="s">
        <v>23441</v>
      </c>
      <c r="AE192" s="14" t="s">
        <v>23434</v>
      </c>
      <c r="AF192" s="14" t="s">
        <v>26079</v>
      </c>
      <c r="AG192" s="14" t="s">
        <v>22818</v>
      </c>
      <c r="AH192" s="80"/>
      <c r="AI192" s="14" t="s">
        <v>23438</v>
      </c>
      <c r="AJ192" s="81">
        <v>45691.617627314816</v>
      </c>
      <c r="AK192" s="82" t="s">
        <v>23446</v>
      </c>
      <c r="AL192" s="14" t="s">
        <v>23434</v>
      </c>
      <c r="AM192" s="14" t="s">
        <v>23439</v>
      </c>
      <c r="AN192" s="14" t="s">
        <v>26080</v>
      </c>
      <c r="AO192" s="14" t="s">
        <v>23441</v>
      </c>
      <c r="AP192" s="14" t="s">
        <v>23434</v>
      </c>
      <c r="AQ192" s="14" t="s">
        <v>23448</v>
      </c>
      <c r="AR192" s="14" t="s">
        <v>26081</v>
      </c>
      <c r="AS192" s="14" t="s">
        <v>23450</v>
      </c>
      <c r="AT192" s="14" t="s">
        <v>23434</v>
      </c>
      <c r="AU192" s="14" t="s">
        <v>23451</v>
      </c>
      <c r="AV192" s="14" t="s">
        <v>26082</v>
      </c>
      <c r="AW192" s="14" t="s">
        <v>22818</v>
      </c>
      <c r="AX192" s="14" t="s">
        <v>23434</v>
      </c>
      <c r="AY192" s="14" t="s">
        <v>23453</v>
      </c>
      <c r="AZ192" s="14" t="s">
        <v>26083</v>
      </c>
      <c r="BA192" s="14" t="s">
        <v>23455</v>
      </c>
      <c r="BB192" s="80"/>
      <c r="BC192" s="14" t="s">
        <v>23438</v>
      </c>
      <c r="BD192" s="81">
        <v>45698.62119212963</v>
      </c>
      <c r="BE192" s="79">
        <f>IFERROR((COUNTIFS('Base de Dados'!FD:FD,"Sim",'Base de Dados'!A:A,A192,'Base de Dados'!B:B,B192)/(COUNTIFS('Base de Dados'!FD:FD,"Sim",'Base de Dados'!A:A,A192,'Base de Dados'!B:B,B192)+(COUNTIFS('Base de Dados'!FD:FD,"Não",'Base de Dados'!A:A,A192,'Base de Dados'!B:B,B192)))),"Não Aplica")</f>
        <v>1</v>
      </c>
      <c r="BF192" s="14" t="s">
        <v>23434</v>
      </c>
      <c r="BG192" s="14" t="s">
        <v>23439</v>
      </c>
      <c r="BH192" s="14" t="s">
        <v>26084</v>
      </c>
      <c r="BI192" s="14" t="s">
        <v>23441</v>
      </c>
      <c r="BJ192" s="80"/>
      <c r="BK192" s="80"/>
      <c r="BL192" s="80"/>
      <c r="BM192" s="80"/>
      <c r="BN192" s="14" t="s">
        <v>23434</v>
      </c>
      <c r="BO192" s="14" t="s">
        <v>23453</v>
      </c>
      <c r="BP192" s="14" t="s">
        <v>26085</v>
      </c>
      <c r="BQ192" s="14" t="s">
        <v>23455</v>
      </c>
      <c r="BR192" s="14" t="s">
        <v>23434</v>
      </c>
      <c r="BS192" s="14" t="s">
        <v>23451</v>
      </c>
      <c r="BT192" s="14" t="s">
        <v>26086</v>
      </c>
      <c r="BU192" s="14" t="s">
        <v>22818</v>
      </c>
      <c r="BV192" s="80"/>
      <c r="BW192" s="14" t="s">
        <v>23438</v>
      </c>
      <c r="BX192" s="81">
        <v>45713.38384259259</v>
      </c>
      <c r="BY192" s="82" t="s">
        <v>23446</v>
      </c>
      <c r="BZ192" s="15"/>
      <c r="CA192" s="15"/>
      <c r="CB192" s="15"/>
      <c r="CC192" s="15"/>
      <c r="CD192" s="80"/>
      <c r="CE192" s="80"/>
      <c r="CF192" s="80"/>
      <c r="CG192" s="80"/>
      <c r="CH192" s="15"/>
      <c r="CI192" s="15"/>
      <c r="CJ192" s="15"/>
      <c r="CK192" s="15"/>
      <c r="CL192" s="15"/>
      <c r="CM192" s="15"/>
      <c r="CN192" s="15"/>
      <c r="CO192" s="15"/>
      <c r="CP192" s="80"/>
      <c r="CQ192" s="80" t="s">
        <v>23459</v>
      </c>
      <c r="CR192" s="83"/>
      <c r="CS192" s="84"/>
    </row>
    <row r="193">
      <c r="A193" s="78" t="s">
        <v>357</v>
      </c>
      <c r="B193" s="78" t="s">
        <v>5584</v>
      </c>
      <c r="C193" s="79">
        <f>IFERROR((COUNTIFS('Base de Dados'!BT:BT,"Sim",'Base de Dados'!A:A,A193,'Base de Dados'!B:B,B193)/(COUNTIFS('Base de Dados'!BT:BT,"Sim",'Base de Dados'!A:A,A193,'Base de Dados'!B:B,B193)+(COUNTIFS('Base de Dados'!BT:BT,"Não",'Base de Dados'!A:A,A193,'Base de Dados'!B:B,B193)))),"Não Aplica")</f>
        <v>1</v>
      </c>
      <c r="D193" s="14" t="s">
        <v>23434</v>
      </c>
      <c r="E193" s="14" t="s">
        <v>26087</v>
      </c>
      <c r="F193" s="14" t="s">
        <v>23436</v>
      </c>
      <c r="G193" s="14" t="s">
        <v>23434</v>
      </c>
      <c r="H193" s="14" t="s">
        <v>26088</v>
      </c>
      <c r="I193" s="14" t="s">
        <v>22818</v>
      </c>
      <c r="J193" s="80"/>
      <c r="K193" s="14" t="s">
        <v>23438</v>
      </c>
      <c r="L193" s="81">
        <v>45684.45884259259</v>
      </c>
      <c r="M193" s="79">
        <f>IFERROR((COUNTIFS('Base de Dados'!DF:DF,"Sim",'Base de Dados'!A:A,A193,'Base de Dados'!B:B,B193)/(COUNTIFS('Base de Dados'!DF:DF,"Sim",'Base de Dados'!A:A,A193,'Base de Dados'!B:B,B193)+(COUNTIFS('Base de Dados'!DF:DF,"Não",'Base de Dados'!A:A,A193,'Base de Dados'!B:B,B193)))),"Não Aplica")</f>
        <v>1</v>
      </c>
      <c r="N193" s="14" t="s">
        <v>23434</v>
      </c>
      <c r="O193" s="14" t="s">
        <v>23439</v>
      </c>
      <c r="P193" s="14" t="s">
        <v>26089</v>
      </c>
      <c r="Q193" s="14" t="s">
        <v>23441</v>
      </c>
      <c r="R193" s="14" t="s">
        <v>23434</v>
      </c>
      <c r="S193" s="14" t="s">
        <v>26090</v>
      </c>
      <c r="T193" s="14" t="s">
        <v>23436</v>
      </c>
      <c r="U193" s="14" t="s">
        <v>228</v>
      </c>
      <c r="V193" s="14" t="s">
        <v>26091</v>
      </c>
      <c r="W193" s="14" t="s">
        <v>22818</v>
      </c>
      <c r="X193" s="80"/>
      <c r="Y193" s="14" t="s">
        <v>23438</v>
      </c>
      <c r="Z193" s="81">
        <v>45691.59396990741</v>
      </c>
      <c r="AA193" s="79">
        <f>IFERROR((COUNTIFS('Base de Dados'!ED:ED,"Sim",'Base de Dados'!A:A,A193,'Base de Dados'!B:B,B193)/(COUNTIFS('Base de Dados'!ED:ED,"Sim",'Base de Dados'!A:A,A193,'Base de Dados'!B:B,B193)+(COUNTIFS('Base de Dados'!ED:ED,"Não",'Base de Dados'!A:A,A193,'Base de Dados'!B:B,B193)))),"Não Aplica")</f>
        <v>1</v>
      </c>
      <c r="AB193" s="14" t="s">
        <v>23434</v>
      </c>
      <c r="AC193" s="14" t="s">
        <v>26092</v>
      </c>
      <c r="AD193" s="14" t="s">
        <v>23441</v>
      </c>
      <c r="AE193" s="14" t="s">
        <v>23434</v>
      </c>
      <c r="AF193" s="14" t="s">
        <v>26093</v>
      </c>
      <c r="AG193" s="14" t="s">
        <v>22818</v>
      </c>
      <c r="AH193" s="80"/>
      <c r="AI193" s="14" t="s">
        <v>23438</v>
      </c>
      <c r="AJ193" s="81">
        <v>45691.61767361111</v>
      </c>
      <c r="AK193" s="82" t="s">
        <v>23446</v>
      </c>
      <c r="AL193" s="14" t="s">
        <v>23434</v>
      </c>
      <c r="AM193" s="14" t="s">
        <v>23439</v>
      </c>
      <c r="AN193" s="14" t="s">
        <v>26094</v>
      </c>
      <c r="AO193" s="14" t="s">
        <v>23441</v>
      </c>
      <c r="AP193" s="14" t="s">
        <v>23434</v>
      </c>
      <c r="AQ193" s="14" t="s">
        <v>23448</v>
      </c>
      <c r="AR193" s="14" t="s">
        <v>26095</v>
      </c>
      <c r="AS193" s="14" t="s">
        <v>23450</v>
      </c>
      <c r="AT193" s="14" t="s">
        <v>23434</v>
      </c>
      <c r="AU193" s="14" t="s">
        <v>23451</v>
      </c>
      <c r="AV193" s="14" t="s">
        <v>26096</v>
      </c>
      <c r="AW193" s="14" t="s">
        <v>22818</v>
      </c>
      <c r="AX193" s="14" t="s">
        <v>23434</v>
      </c>
      <c r="AY193" s="14" t="s">
        <v>23453</v>
      </c>
      <c r="AZ193" s="14" t="s">
        <v>26097</v>
      </c>
      <c r="BA193" s="14" t="s">
        <v>23455</v>
      </c>
      <c r="BB193" s="80"/>
      <c r="BC193" s="14" t="s">
        <v>23438</v>
      </c>
      <c r="BD193" s="81">
        <v>45698.62125</v>
      </c>
      <c r="BE193" s="79">
        <f>IFERROR((COUNTIFS('Base de Dados'!FD:FD,"Sim",'Base de Dados'!A:A,A193,'Base de Dados'!B:B,B193)/(COUNTIFS('Base de Dados'!FD:FD,"Sim",'Base de Dados'!A:A,A193,'Base de Dados'!B:B,B193)+(COUNTIFS('Base de Dados'!FD:FD,"Não",'Base de Dados'!A:A,A193,'Base de Dados'!B:B,B193)))),"Não Aplica")</f>
        <v>1</v>
      </c>
      <c r="BF193" s="14" t="s">
        <v>23434</v>
      </c>
      <c r="BG193" s="14" t="s">
        <v>23439</v>
      </c>
      <c r="BH193" s="14" t="s">
        <v>26098</v>
      </c>
      <c r="BI193" s="14" t="s">
        <v>23441</v>
      </c>
      <c r="BJ193" s="80"/>
      <c r="BK193" s="80"/>
      <c r="BL193" s="80"/>
      <c r="BM193" s="80"/>
      <c r="BN193" s="14" t="s">
        <v>23434</v>
      </c>
      <c r="BO193" s="14" t="s">
        <v>23453</v>
      </c>
      <c r="BP193" s="14" t="s">
        <v>26099</v>
      </c>
      <c r="BQ193" s="14" t="s">
        <v>23455</v>
      </c>
      <c r="BR193" s="14" t="s">
        <v>23434</v>
      </c>
      <c r="BS193" s="14" t="s">
        <v>23451</v>
      </c>
      <c r="BT193" s="14" t="s">
        <v>26100</v>
      </c>
      <c r="BU193" s="14" t="s">
        <v>22818</v>
      </c>
      <c r="BV193" s="80"/>
      <c r="BW193" s="14" t="s">
        <v>23438</v>
      </c>
      <c r="BX193" s="81">
        <v>45713.38376157408</v>
      </c>
      <c r="BY193" s="82" t="s">
        <v>23446</v>
      </c>
      <c r="BZ193" s="15"/>
      <c r="CA193" s="15"/>
      <c r="CB193" s="15"/>
      <c r="CC193" s="15"/>
      <c r="CD193" s="80"/>
      <c r="CE193" s="80"/>
      <c r="CF193" s="80"/>
      <c r="CG193" s="80"/>
      <c r="CH193" s="15"/>
      <c r="CI193" s="15"/>
      <c r="CJ193" s="15"/>
      <c r="CK193" s="15"/>
      <c r="CL193" s="15"/>
      <c r="CM193" s="15"/>
      <c r="CN193" s="15"/>
      <c r="CO193" s="15"/>
      <c r="CP193" s="80"/>
      <c r="CQ193" s="80" t="s">
        <v>23459</v>
      </c>
      <c r="CR193" s="83"/>
      <c r="CS193" s="84"/>
    </row>
    <row r="194">
      <c r="A194" s="78" t="s">
        <v>357</v>
      </c>
      <c r="B194" s="86" t="s">
        <v>7724</v>
      </c>
      <c r="C194" s="79">
        <f>IFERROR((COUNTIFS('Base de Dados'!BT:BT,"Sim",'Base de Dados'!A:A,A194,'Base de Dados'!B:B,B194)/(COUNTIFS('Base de Dados'!BT:BT,"Sim",'Base de Dados'!A:A,A194,'Base de Dados'!B:B,B194)+(COUNTIFS('Base de Dados'!BT:BT,"Não",'Base de Dados'!A:A,A194,'Base de Dados'!B:B,B194)))),"Não Aplica")</f>
        <v>1</v>
      </c>
      <c r="D194" s="14" t="s">
        <v>23434</v>
      </c>
      <c r="E194" s="14" t="s">
        <v>26101</v>
      </c>
      <c r="F194" s="14" t="s">
        <v>23436</v>
      </c>
      <c r="G194" s="14" t="s">
        <v>23434</v>
      </c>
      <c r="H194" s="14" t="s">
        <v>26102</v>
      </c>
      <c r="I194" s="14" t="s">
        <v>22818</v>
      </c>
      <c r="J194" s="80"/>
      <c r="K194" s="14" t="s">
        <v>23438</v>
      </c>
      <c r="L194" s="81">
        <v>45687.394282407404</v>
      </c>
      <c r="M194" s="79">
        <f>IFERROR((COUNTIFS('Base de Dados'!DF:DF,"Sim",'Base de Dados'!A:A,A194,'Base de Dados'!B:B,B194)/(COUNTIFS('Base de Dados'!DF:DF,"Sim",'Base de Dados'!A:A,A194,'Base de Dados'!B:B,B194)+(COUNTIFS('Base de Dados'!DF:DF,"Não",'Base de Dados'!A:A,A194,'Base de Dados'!B:B,B194)))),"Não Aplica")</f>
        <v>1</v>
      </c>
      <c r="N194" s="14" t="s">
        <v>23434</v>
      </c>
      <c r="O194" s="14" t="s">
        <v>23439</v>
      </c>
      <c r="P194" s="14" t="s">
        <v>26103</v>
      </c>
      <c r="Q194" s="14" t="s">
        <v>23441</v>
      </c>
      <c r="R194" s="14" t="s">
        <v>23434</v>
      </c>
      <c r="S194" s="14" t="s">
        <v>26104</v>
      </c>
      <c r="T194" s="14" t="s">
        <v>23436</v>
      </c>
      <c r="U194" s="14" t="s">
        <v>23434</v>
      </c>
      <c r="V194" s="14" t="s">
        <v>26105</v>
      </c>
      <c r="W194" s="14" t="s">
        <v>22818</v>
      </c>
      <c r="X194" s="80"/>
      <c r="Y194" s="14" t="s">
        <v>23438</v>
      </c>
      <c r="Z194" s="81">
        <v>45691.61625</v>
      </c>
      <c r="AA194" s="79" t="str">
        <f>IFERROR((COUNTIFS('Base de Dados'!ED:ED,"Sim",'Base de Dados'!A:A,A194,'Base de Dados'!B:B,B194)/(COUNTIFS('Base de Dados'!ED:ED,"Sim",'Base de Dados'!A:A,A194,'Base de Dados'!B:B,B194)+(COUNTIFS('Base de Dados'!ED:ED,"Não",'Base de Dados'!A:A,A194,'Base de Dados'!B:B,B194)))),"Não Aplica")</f>
        <v>Não Aplica</v>
      </c>
      <c r="AB194" s="14" t="s">
        <v>228</v>
      </c>
      <c r="AC194" s="14" t="s">
        <v>26106</v>
      </c>
      <c r="AD194" s="14" t="s">
        <v>23441</v>
      </c>
      <c r="AE194" s="14" t="s">
        <v>228</v>
      </c>
      <c r="AF194" s="14" t="s">
        <v>26107</v>
      </c>
      <c r="AG194" s="14" t="s">
        <v>22818</v>
      </c>
      <c r="AH194" s="80"/>
      <c r="AI194" s="14" t="s">
        <v>23438</v>
      </c>
      <c r="AJ194" s="81">
        <v>45692.637662037036</v>
      </c>
      <c r="AK194" s="82" t="s">
        <v>23446</v>
      </c>
      <c r="AL194" s="14" t="s">
        <v>23434</v>
      </c>
      <c r="AM194" s="14" t="s">
        <v>23439</v>
      </c>
      <c r="AN194" s="14" t="s">
        <v>26108</v>
      </c>
      <c r="AO194" s="14" t="s">
        <v>23441</v>
      </c>
      <c r="AP194" s="14" t="s">
        <v>23434</v>
      </c>
      <c r="AQ194" s="14" t="s">
        <v>23448</v>
      </c>
      <c r="AR194" s="14" t="s">
        <v>26109</v>
      </c>
      <c r="AS194" s="14" t="s">
        <v>23450</v>
      </c>
      <c r="AT194" s="14" t="s">
        <v>23434</v>
      </c>
      <c r="AU194" s="14" t="s">
        <v>23451</v>
      </c>
      <c r="AV194" s="14" t="s">
        <v>26110</v>
      </c>
      <c r="AW194" s="14" t="s">
        <v>22818</v>
      </c>
      <c r="AX194" s="14" t="s">
        <v>23434</v>
      </c>
      <c r="AY194" s="14" t="s">
        <v>23453</v>
      </c>
      <c r="AZ194" s="14" t="s">
        <v>26111</v>
      </c>
      <c r="BA194" s="14" t="s">
        <v>23455</v>
      </c>
      <c r="BB194" s="80"/>
      <c r="BC194" s="14" t="s">
        <v>23438</v>
      </c>
      <c r="BD194" s="81">
        <v>45698.62153935185</v>
      </c>
      <c r="BE194" s="79">
        <f>IFERROR((COUNTIFS('Base de Dados'!FD:FD,"Sim",'Base de Dados'!A:A,A194,'Base de Dados'!B:B,B194)/(COUNTIFS('Base de Dados'!FD:FD,"Sim",'Base de Dados'!A:A,A194,'Base de Dados'!B:B,B194)+(COUNTIFS('Base de Dados'!FD:FD,"Não",'Base de Dados'!A:A,A194,'Base de Dados'!B:B,B194)))),"Não Aplica")</f>
        <v>1</v>
      </c>
      <c r="BF194" s="14" t="s">
        <v>23434</v>
      </c>
      <c r="BG194" s="14" t="s">
        <v>23439</v>
      </c>
      <c r="BH194" s="14" t="s">
        <v>26112</v>
      </c>
      <c r="BI194" s="14" t="s">
        <v>23441</v>
      </c>
      <c r="BJ194" s="80"/>
      <c r="BK194" s="80"/>
      <c r="BL194" s="80"/>
      <c r="BM194" s="80"/>
      <c r="BN194" s="14" t="s">
        <v>23434</v>
      </c>
      <c r="BO194" s="14" t="s">
        <v>23453</v>
      </c>
      <c r="BP194" s="14" t="s">
        <v>26113</v>
      </c>
      <c r="BQ194" s="14" t="s">
        <v>23455</v>
      </c>
      <c r="BR194" s="14" t="s">
        <v>23434</v>
      </c>
      <c r="BS194" s="14" t="s">
        <v>23451</v>
      </c>
      <c r="BT194" s="14" t="s">
        <v>26114</v>
      </c>
      <c r="BU194" s="14" t="s">
        <v>22818</v>
      </c>
      <c r="BV194" s="80"/>
      <c r="BW194" s="14" t="s">
        <v>23438</v>
      </c>
      <c r="BX194" s="81">
        <v>45713.39929398148</v>
      </c>
      <c r="BY194" s="82" t="s">
        <v>23446</v>
      </c>
      <c r="BZ194" s="15"/>
      <c r="CA194" s="15"/>
      <c r="CB194" s="15"/>
      <c r="CC194" s="15"/>
      <c r="CD194" s="80"/>
      <c r="CE194" s="80"/>
      <c r="CF194" s="80"/>
      <c r="CG194" s="80"/>
      <c r="CH194" s="15"/>
      <c r="CI194" s="15"/>
      <c r="CJ194" s="15"/>
      <c r="CK194" s="15"/>
      <c r="CL194" s="15"/>
      <c r="CM194" s="15"/>
      <c r="CN194" s="15"/>
      <c r="CO194" s="15"/>
      <c r="CP194" s="80"/>
      <c r="CQ194" s="80" t="s">
        <v>23459</v>
      </c>
      <c r="CR194" s="83"/>
      <c r="CS194" s="84"/>
    </row>
    <row r="195">
      <c r="A195" s="78" t="s">
        <v>357</v>
      </c>
      <c r="B195" s="86" t="s">
        <v>7753</v>
      </c>
      <c r="C195" s="79">
        <f>IFERROR((COUNTIFS('Base de Dados'!BT:BT,"Sim",'Base de Dados'!A:A,A195,'Base de Dados'!B:B,B195)/(COUNTIFS('Base de Dados'!BT:BT,"Sim",'Base de Dados'!A:A,A195,'Base de Dados'!B:B,B195)+(COUNTIFS('Base de Dados'!BT:BT,"Não",'Base de Dados'!A:A,A195,'Base de Dados'!B:B,B195)))),"Não Aplica")</f>
        <v>1</v>
      </c>
      <c r="D195" s="14" t="s">
        <v>23434</v>
      </c>
      <c r="E195" s="14" t="s">
        <v>26115</v>
      </c>
      <c r="F195" s="14" t="s">
        <v>23436</v>
      </c>
      <c r="G195" s="14" t="s">
        <v>23434</v>
      </c>
      <c r="H195" s="14" t="s">
        <v>26116</v>
      </c>
      <c r="I195" s="14" t="s">
        <v>22818</v>
      </c>
      <c r="J195" s="80"/>
      <c r="K195" s="14" t="s">
        <v>23438</v>
      </c>
      <c r="L195" s="81">
        <v>45691.61078703704</v>
      </c>
      <c r="M195" s="79">
        <f>IFERROR((COUNTIFS('Base de Dados'!DF:DF,"Sim",'Base de Dados'!A:A,A195,'Base de Dados'!B:B,B195)/(COUNTIFS('Base de Dados'!DF:DF,"Sim",'Base de Dados'!A:A,A195,'Base de Dados'!B:B,B195)+(COUNTIFS('Base de Dados'!DF:DF,"Não",'Base de Dados'!A:A,A195,'Base de Dados'!B:B,B195)))),"Não Aplica")</f>
        <v>1</v>
      </c>
      <c r="N195" s="14" t="s">
        <v>23434</v>
      </c>
      <c r="O195" s="14" t="s">
        <v>23602</v>
      </c>
      <c r="P195" s="14" t="s">
        <v>26117</v>
      </c>
      <c r="Q195" s="14" t="s">
        <v>23436</v>
      </c>
      <c r="R195" s="14" t="s">
        <v>23434</v>
      </c>
      <c r="S195" s="14" t="s">
        <v>26118</v>
      </c>
      <c r="T195" s="14" t="s">
        <v>23441</v>
      </c>
      <c r="U195" s="14" t="s">
        <v>23434</v>
      </c>
      <c r="V195" s="14" t="s">
        <v>26119</v>
      </c>
      <c r="W195" s="14" t="s">
        <v>22818</v>
      </c>
      <c r="X195" s="80"/>
      <c r="Y195" s="14" t="s">
        <v>23438</v>
      </c>
      <c r="Z195" s="81">
        <v>45692.6328587963</v>
      </c>
      <c r="AA195" s="79" t="str">
        <f>IFERROR((COUNTIFS('Base de Dados'!ED:ED,"Sim",'Base de Dados'!A:A,A195,'Base de Dados'!B:B,B195)/(COUNTIFS('Base de Dados'!ED:ED,"Sim",'Base de Dados'!A:A,A195,'Base de Dados'!B:B,B195)+(COUNTIFS('Base de Dados'!ED:ED,"Não",'Base de Dados'!A:A,A195,'Base de Dados'!B:B,B195)))),"Não Aplica")</f>
        <v>Não Aplica</v>
      </c>
      <c r="AB195" s="14" t="s">
        <v>228</v>
      </c>
      <c r="AC195" s="14" t="s">
        <v>26120</v>
      </c>
      <c r="AD195" s="14" t="s">
        <v>23441</v>
      </c>
      <c r="AE195" s="14" t="s">
        <v>228</v>
      </c>
      <c r="AF195" s="14" t="s">
        <v>26121</v>
      </c>
      <c r="AG195" s="14" t="s">
        <v>22818</v>
      </c>
      <c r="AH195" s="80"/>
      <c r="AI195" s="14" t="s">
        <v>23438</v>
      </c>
      <c r="AJ195" s="81">
        <v>45692.637824074074</v>
      </c>
      <c r="AK195" s="82" t="s">
        <v>23446</v>
      </c>
      <c r="AL195" s="14" t="s">
        <v>23434</v>
      </c>
      <c r="AM195" s="14" t="s">
        <v>23439</v>
      </c>
      <c r="AN195" s="14" t="s">
        <v>26122</v>
      </c>
      <c r="AO195" s="14" t="s">
        <v>23441</v>
      </c>
      <c r="AP195" s="14" t="s">
        <v>23434</v>
      </c>
      <c r="AQ195" s="14" t="s">
        <v>23448</v>
      </c>
      <c r="AR195" s="14" t="s">
        <v>26123</v>
      </c>
      <c r="AS195" s="14" t="s">
        <v>23450</v>
      </c>
      <c r="AT195" s="14" t="s">
        <v>23434</v>
      </c>
      <c r="AU195" s="14" t="s">
        <v>23451</v>
      </c>
      <c r="AV195" s="14" t="s">
        <v>26124</v>
      </c>
      <c r="AW195" s="14" t="s">
        <v>22818</v>
      </c>
      <c r="AX195" s="14" t="s">
        <v>23434</v>
      </c>
      <c r="AY195" s="14" t="s">
        <v>23453</v>
      </c>
      <c r="AZ195" s="14" t="s">
        <v>26125</v>
      </c>
      <c r="BA195" s="14" t="s">
        <v>23455</v>
      </c>
      <c r="BB195" s="80"/>
      <c r="BC195" s="14" t="s">
        <v>23438</v>
      </c>
      <c r="BD195" s="81">
        <v>45698.62165509259</v>
      </c>
      <c r="BE195" s="79">
        <f>IFERROR((COUNTIFS('Base de Dados'!FD:FD,"Sim",'Base de Dados'!A:A,A195,'Base de Dados'!B:B,B195)/(COUNTIFS('Base de Dados'!FD:FD,"Sim",'Base de Dados'!A:A,A195,'Base de Dados'!B:B,B195)+(COUNTIFS('Base de Dados'!FD:FD,"Não",'Base de Dados'!A:A,A195,'Base de Dados'!B:B,B195)))),"Não Aplica")</f>
        <v>1</v>
      </c>
      <c r="BF195" s="14" t="s">
        <v>23434</v>
      </c>
      <c r="BG195" s="14" t="s">
        <v>23439</v>
      </c>
      <c r="BH195" s="14" t="s">
        <v>26126</v>
      </c>
      <c r="BI195" s="14" t="s">
        <v>23441</v>
      </c>
      <c r="BJ195" s="80"/>
      <c r="BK195" s="80"/>
      <c r="BL195" s="80"/>
      <c r="BM195" s="80"/>
      <c r="BN195" s="14" t="s">
        <v>23434</v>
      </c>
      <c r="BO195" s="14" t="s">
        <v>23453</v>
      </c>
      <c r="BP195" s="14" t="s">
        <v>26127</v>
      </c>
      <c r="BQ195" s="14" t="s">
        <v>23455</v>
      </c>
      <c r="BR195" s="14" t="s">
        <v>23434</v>
      </c>
      <c r="BS195" s="14" t="s">
        <v>23451</v>
      </c>
      <c r="BT195" s="14" t="s">
        <v>26128</v>
      </c>
      <c r="BU195" s="14" t="s">
        <v>22818</v>
      </c>
      <c r="BV195" s="80"/>
      <c r="BW195" s="14" t="s">
        <v>23438</v>
      </c>
      <c r="BX195" s="81">
        <v>45713.383877314816</v>
      </c>
      <c r="BY195" s="82" t="s">
        <v>23446</v>
      </c>
      <c r="BZ195" s="15"/>
      <c r="CA195" s="15"/>
      <c r="CB195" s="15"/>
      <c r="CC195" s="15"/>
      <c r="CD195" s="80"/>
      <c r="CE195" s="80"/>
      <c r="CF195" s="80"/>
      <c r="CG195" s="80"/>
      <c r="CH195" s="15"/>
      <c r="CI195" s="15"/>
      <c r="CJ195" s="15"/>
      <c r="CK195" s="15"/>
      <c r="CL195" s="15"/>
      <c r="CM195" s="15"/>
      <c r="CN195" s="15"/>
      <c r="CO195" s="15"/>
      <c r="CP195" s="80"/>
      <c r="CQ195" s="80" t="s">
        <v>23459</v>
      </c>
      <c r="CR195" s="83"/>
      <c r="CS195" s="84"/>
    </row>
    <row r="196">
      <c r="A196" s="78" t="s">
        <v>357</v>
      </c>
      <c r="B196" s="86" t="s">
        <v>7853</v>
      </c>
      <c r="C196" s="79">
        <f>IFERROR((COUNTIFS('Base de Dados'!BT:BT,"Sim",'Base de Dados'!A:A,A196,'Base de Dados'!B:B,B196)/(COUNTIFS('Base de Dados'!BT:BT,"Sim",'Base de Dados'!A:A,A196,'Base de Dados'!B:B,B196)+(COUNTIFS('Base de Dados'!BT:BT,"Não",'Base de Dados'!A:A,A196,'Base de Dados'!B:B,B196)))),"Não Aplica")</f>
        <v>1</v>
      </c>
      <c r="D196" s="14" t="s">
        <v>23434</v>
      </c>
      <c r="E196" s="14" t="s">
        <v>26129</v>
      </c>
      <c r="F196" s="14" t="s">
        <v>23436</v>
      </c>
      <c r="G196" s="14" t="s">
        <v>23434</v>
      </c>
      <c r="H196" s="14" t="s">
        <v>26130</v>
      </c>
      <c r="I196" s="14" t="s">
        <v>22818</v>
      </c>
      <c r="J196" s="80"/>
      <c r="K196" s="14" t="s">
        <v>23438</v>
      </c>
      <c r="L196" s="81">
        <v>45691.61085648148</v>
      </c>
      <c r="M196" s="79">
        <f>IFERROR((COUNTIFS('Base de Dados'!DF:DF,"Sim",'Base de Dados'!A:A,A196,'Base de Dados'!B:B,B196)/(COUNTIFS('Base de Dados'!DF:DF,"Sim",'Base de Dados'!A:A,A196,'Base de Dados'!B:B,B196)+(COUNTIFS('Base de Dados'!DF:DF,"Não",'Base de Dados'!A:A,A196,'Base de Dados'!B:B,B196)))),"Não Aplica")</f>
        <v>1</v>
      </c>
      <c r="N196" s="14" t="s">
        <v>23434</v>
      </c>
      <c r="O196" s="14" t="s">
        <v>23602</v>
      </c>
      <c r="P196" s="14" t="s">
        <v>26131</v>
      </c>
      <c r="Q196" s="14" t="s">
        <v>23436</v>
      </c>
      <c r="R196" s="14" t="s">
        <v>23434</v>
      </c>
      <c r="S196" s="14" t="s">
        <v>26132</v>
      </c>
      <c r="T196" s="14" t="s">
        <v>23441</v>
      </c>
      <c r="U196" s="14" t="s">
        <v>23434</v>
      </c>
      <c r="V196" s="14" t="s">
        <v>26133</v>
      </c>
      <c r="W196" s="14" t="s">
        <v>22818</v>
      </c>
      <c r="X196" s="80"/>
      <c r="Y196" s="14" t="s">
        <v>23438</v>
      </c>
      <c r="Z196" s="81">
        <v>45692.63291666667</v>
      </c>
      <c r="AA196" s="79" t="str">
        <f>IFERROR((COUNTIFS('Base de Dados'!ED:ED,"Sim",'Base de Dados'!A:A,A196,'Base de Dados'!B:B,B196)/(COUNTIFS('Base de Dados'!ED:ED,"Sim",'Base de Dados'!A:A,A196,'Base de Dados'!B:B,B196)+(COUNTIFS('Base de Dados'!ED:ED,"Não",'Base de Dados'!A:A,A196,'Base de Dados'!B:B,B196)))),"Não Aplica")</f>
        <v>Não Aplica</v>
      </c>
      <c r="AB196" s="14" t="s">
        <v>228</v>
      </c>
      <c r="AC196" s="14" t="s">
        <v>26134</v>
      </c>
      <c r="AD196" s="14" t="s">
        <v>23441</v>
      </c>
      <c r="AE196" s="14" t="s">
        <v>228</v>
      </c>
      <c r="AF196" s="14" t="s">
        <v>26135</v>
      </c>
      <c r="AG196" s="14" t="s">
        <v>22818</v>
      </c>
      <c r="AH196" s="80"/>
      <c r="AI196" s="14" t="s">
        <v>23438</v>
      </c>
      <c r="AJ196" s="81">
        <v>45692.637777777774</v>
      </c>
      <c r="AK196" s="82" t="s">
        <v>23446</v>
      </c>
      <c r="AL196" s="14" t="s">
        <v>23434</v>
      </c>
      <c r="AM196" s="14" t="s">
        <v>23439</v>
      </c>
      <c r="AN196" s="14" t="s">
        <v>26136</v>
      </c>
      <c r="AO196" s="14" t="s">
        <v>23441</v>
      </c>
      <c r="AP196" s="14" t="s">
        <v>23434</v>
      </c>
      <c r="AQ196" s="14" t="s">
        <v>23448</v>
      </c>
      <c r="AR196" s="14" t="s">
        <v>26137</v>
      </c>
      <c r="AS196" s="14" t="s">
        <v>23450</v>
      </c>
      <c r="AT196" s="14" t="s">
        <v>23434</v>
      </c>
      <c r="AU196" s="14" t="s">
        <v>23451</v>
      </c>
      <c r="AV196" s="14" t="s">
        <v>26138</v>
      </c>
      <c r="AW196" s="14" t="s">
        <v>22818</v>
      </c>
      <c r="AX196" s="14" t="s">
        <v>23434</v>
      </c>
      <c r="AY196" s="14" t="s">
        <v>23453</v>
      </c>
      <c r="AZ196" s="14" t="s">
        <v>26139</v>
      </c>
      <c r="BA196" s="14" t="s">
        <v>23455</v>
      </c>
      <c r="BB196" s="80"/>
      <c r="BC196" s="14" t="s">
        <v>23438</v>
      </c>
      <c r="BD196" s="81">
        <v>45698.622453703705</v>
      </c>
      <c r="BE196" s="79">
        <f>IFERROR((COUNTIFS('Base de Dados'!FD:FD,"Sim",'Base de Dados'!A:A,A196,'Base de Dados'!B:B,B196)/(COUNTIFS('Base de Dados'!FD:FD,"Sim",'Base de Dados'!A:A,A196,'Base de Dados'!B:B,B196)+(COUNTIFS('Base de Dados'!FD:FD,"Não",'Base de Dados'!A:A,A196,'Base de Dados'!B:B,B196)))),"Não Aplica")</f>
        <v>1</v>
      </c>
      <c r="BF196" s="14" t="s">
        <v>23434</v>
      </c>
      <c r="BG196" s="14" t="s">
        <v>23439</v>
      </c>
      <c r="BH196" s="14" t="s">
        <v>26140</v>
      </c>
      <c r="BI196" s="14" t="s">
        <v>23441</v>
      </c>
      <c r="BJ196" s="80"/>
      <c r="BK196" s="80"/>
      <c r="BL196" s="80"/>
      <c r="BM196" s="80"/>
      <c r="BN196" s="14" t="s">
        <v>23434</v>
      </c>
      <c r="BO196" s="14" t="s">
        <v>23453</v>
      </c>
      <c r="BP196" s="14" t="s">
        <v>26141</v>
      </c>
      <c r="BQ196" s="14" t="s">
        <v>23455</v>
      </c>
      <c r="BR196" s="14" t="s">
        <v>23434</v>
      </c>
      <c r="BS196" s="14" t="s">
        <v>23451</v>
      </c>
      <c r="BT196" s="14" t="s">
        <v>26142</v>
      </c>
      <c r="BU196" s="14" t="s">
        <v>22818</v>
      </c>
      <c r="BV196" s="80"/>
      <c r="BW196" s="14" t="s">
        <v>23438</v>
      </c>
      <c r="BX196" s="81">
        <v>45713.34957175926</v>
      </c>
      <c r="BY196" s="82" t="s">
        <v>23446</v>
      </c>
      <c r="BZ196" s="15"/>
      <c r="CA196" s="15"/>
      <c r="CB196" s="15"/>
      <c r="CC196" s="15"/>
      <c r="CD196" s="80"/>
      <c r="CE196" s="80"/>
      <c r="CF196" s="80"/>
      <c r="CG196" s="80"/>
      <c r="CH196" s="15"/>
      <c r="CI196" s="15"/>
      <c r="CJ196" s="15"/>
      <c r="CK196" s="15"/>
      <c r="CL196" s="15"/>
      <c r="CM196" s="15"/>
      <c r="CN196" s="15"/>
      <c r="CO196" s="15"/>
      <c r="CP196" s="80"/>
      <c r="CQ196" s="80" t="s">
        <v>23459</v>
      </c>
      <c r="CR196" s="83"/>
      <c r="CS196" s="84"/>
    </row>
    <row r="197">
      <c r="A197" s="78" t="s">
        <v>357</v>
      </c>
      <c r="B197" s="78" t="s">
        <v>17605</v>
      </c>
      <c r="C197" s="79">
        <f>IFERROR((COUNTIFS('Base de Dados'!BT:BT,"Sim",'Base de Dados'!A:A,A197,'Base de Dados'!B:B,B197)/(COUNTIFS('Base de Dados'!BT:BT,"Sim",'Base de Dados'!A:A,A197,'Base de Dados'!B:B,B197)+(COUNTIFS('Base de Dados'!BT:BT,"Não",'Base de Dados'!A:A,A197,'Base de Dados'!B:B,B197)))),"Não Aplica")</f>
        <v>1</v>
      </c>
      <c r="D197" s="14" t="s">
        <v>23434</v>
      </c>
      <c r="E197" s="14" t="s">
        <v>26143</v>
      </c>
      <c r="F197" s="14" t="s">
        <v>23436</v>
      </c>
      <c r="G197" s="14" t="s">
        <v>23434</v>
      </c>
      <c r="H197" s="14" t="s">
        <v>26144</v>
      </c>
      <c r="I197" s="14" t="s">
        <v>22818</v>
      </c>
      <c r="J197" s="80"/>
      <c r="K197" s="14" t="s">
        <v>23438</v>
      </c>
      <c r="L197" s="81">
        <v>45687.66168981481</v>
      </c>
      <c r="M197" s="79">
        <f>IFERROR((COUNTIFS('Base de Dados'!DF:DF,"Sim",'Base de Dados'!A:A,A197,'Base de Dados'!B:B,B197)/(COUNTIFS('Base de Dados'!DF:DF,"Sim",'Base de Dados'!A:A,A197,'Base de Dados'!B:B,B197)+(COUNTIFS('Base de Dados'!DF:DF,"Não",'Base de Dados'!A:A,A197,'Base de Dados'!B:B,B197)))),"Não Aplica")</f>
        <v>1</v>
      </c>
      <c r="N197" s="14" t="s">
        <v>23434</v>
      </c>
      <c r="O197" s="14" t="s">
        <v>23439</v>
      </c>
      <c r="P197" s="14" t="s">
        <v>26145</v>
      </c>
      <c r="Q197" s="14" t="s">
        <v>23441</v>
      </c>
      <c r="R197" s="14" t="s">
        <v>23434</v>
      </c>
      <c r="S197" s="14" t="s">
        <v>26146</v>
      </c>
      <c r="T197" s="14" t="s">
        <v>23436</v>
      </c>
      <c r="U197" s="14" t="s">
        <v>23434</v>
      </c>
      <c r="V197" s="14" t="s">
        <v>26147</v>
      </c>
      <c r="W197" s="14" t="s">
        <v>22818</v>
      </c>
      <c r="X197" s="80"/>
      <c r="Y197" s="14" t="s">
        <v>23438</v>
      </c>
      <c r="Z197" s="81">
        <v>45691.61708333333</v>
      </c>
      <c r="AA197" s="79">
        <f>IFERROR((COUNTIFS('Base de Dados'!ED:ED,"Sim",'Base de Dados'!A:A,A197,'Base de Dados'!B:B,B197)/(COUNTIFS('Base de Dados'!ED:ED,"Sim",'Base de Dados'!A:A,A197,'Base de Dados'!B:B,B197)+(COUNTIFS('Base de Dados'!ED:ED,"Não",'Base de Dados'!A:A,A197,'Base de Dados'!B:B,B197)))),"Não Aplica")</f>
        <v>1</v>
      </c>
      <c r="AB197" s="14" t="s">
        <v>23434</v>
      </c>
      <c r="AC197" s="14" t="s">
        <v>26148</v>
      </c>
      <c r="AD197" s="14" t="s">
        <v>23441</v>
      </c>
      <c r="AE197" s="14" t="s">
        <v>23434</v>
      </c>
      <c r="AF197" s="14" t="s">
        <v>26149</v>
      </c>
      <c r="AG197" s="14" t="s">
        <v>22818</v>
      </c>
      <c r="AH197" s="80"/>
      <c r="AI197" s="14" t="s">
        <v>23438</v>
      </c>
      <c r="AJ197" s="81">
        <v>45692.63722222222</v>
      </c>
      <c r="AK197" s="82" t="s">
        <v>23446</v>
      </c>
      <c r="AL197" s="14" t="s">
        <v>23434</v>
      </c>
      <c r="AM197" s="14" t="s">
        <v>23439</v>
      </c>
      <c r="AN197" s="14" t="s">
        <v>26150</v>
      </c>
      <c r="AO197" s="14" t="s">
        <v>23441</v>
      </c>
      <c r="AP197" s="14" t="s">
        <v>23434</v>
      </c>
      <c r="AQ197" s="14" t="s">
        <v>23448</v>
      </c>
      <c r="AR197" s="14" t="s">
        <v>26151</v>
      </c>
      <c r="AS197" s="14" t="s">
        <v>23450</v>
      </c>
      <c r="AT197" s="14" t="s">
        <v>23434</v>
      </c>
      <c r="AU197" s="14" t="s">
        <v>23451</v>
      </c>
      <c r="AV197" s="14" t="s">
        <v>26152</v>
      </c>
      <c r="AW197" s="14" t="s">
        <v>22818</v>
      </c>
      <c r="AX197" s="14" t="s">
        <v>23434</v>
      </c>
      <c r="AY197" s="14" t="s">
        <v>23453</v>
      </c>
      <c r="AZ197" s="14" t="s">
        <v>26153</v>
      </c>
      <c r="BA197" s="14" t="s">
        <v>23455</v>
      </c>
      <c r="BB197" s="80"/>
      <c r="BC197" s="14" t="s">
        <v>23438</v>
      </c>
      <c r="BD197" s="81">
        <v>45698.62211805556</v>
      </c>
      <c r="BE197" s="79">
        <f>IFERROR((COUNTIFS('Base de Dados'!FD:FD,"Sim",'Base de Dados'!A:A,A197,'Base de Dados'!B:B,B197)/(COUNTIFS('Base de Dados'!FD:FD,"Sim",'Base de Dados'!A:A,A197,'Base de Dados'!B:B,B197)+(COUNTIFS('Base de Dados'!FD:FD,"Não",'Base de Dados'!A:A,A197,'Base de Dados'!B:B,B197)))),"Não Aplica")</f>
        <v>1</v>
      </c>
      <c r="BF197" s="14" t="s">
        <v>23434</v>
      </c>
      <c r="BG197" s="14" t="s">
        <v>23439</v>
      </c>
      <c r="BH197" s="14" t="s">
        <v>26154</v>
      </c>
      <c r="BI197" s="14" t="s">
        <v>23441</v>
      </c>
      <c r="BJ197" s="80"/>
      <c r="BK197" s="80"/>
      <c r="BL197" s="80"/>
      <c r="BM197" s="80"/>
      <c r="BN197" s="14" t="s">
        <v>23434</v>
      </c>
      <c r="BO197" s="14" t="s">
        <v>23453</v>
      </c>
      <c r="BP197" s="14" t="s">
        <v>26155</v>
      </c>
      <c r="BQ197" s="14" t="s">
        <v>23455</v>
      </c>
      <c r="BR197" s="14" t="s">
        <v>23434</v>
      </c>
      <c r="BS197" s="14" t="s">
        <v>23451</v>
      </c>
      <c r="BT197" s="14" t="s">
        <v>26156</v>
      </c>
      <c r="BU197" s="14" t="s">
        <v>22818</v>
      </c>
      <c r="BV197" s="80"/>
      <c r="BW197" s="14" t="s">
        <v>23438</v>
      </c>
      <c r="BX197" s="81">
        <v>45722.769537037035</v>
      </c>
      <c r="BY197" s="82" t="s">
        <v>23446</v>
      </c>
      <c r="BZ197" s="15"/>
      <c r="CA197" s="15"/>
      <c r="CB197" s="15"/>
      <c r="CC197" s="15"/>
      <c r="CD197" s="80"/>
      <c r="CE197" s="80"/>
      <c r="CF197" s="80"/>
      <c r="CG197" s="80"/>
      <c r="CH197" s="15"/>
      <c r="CI197" s="15"/>
      <c r="CJ197" s="15"/>
      <c r="CK197" s="15"/>
      <c r="CL197" s="15"/>
      <c r="CM197" s="15"/>
      <c r="CN197" s="15"/>
      <c r="CO197" s="15"/>
      <c r="CP197" s="80"/>
      <c r="CQ197" s="80" t="s">
        <v>23459</v>
      </c>
      <c r="CR197" s="83"/>
      <c r="CS197" s="84"/>
    </row>
    <row r="198">
      <c r="A198" s="78" t="s">
        <v>357</v>
      </c>
      <c r="B198" s="78" t="s">
        <v>10348</v>
      </c>
      <c r="C198" s="79">
        <f>IFERROR((COUNTIFS('Base de Dados'!BT:BT,"Sim",'Base de Dados'!A:A,A198,'Base de Dados'!B:B,B198)/(COUNTIFS('Base de Dados'!BT:BT,"Sim",'Base de Dados'!A:A,A198,'Base de Dados'!B:B,B198)+(COUNTIFS('Base de Dados'!BT:BT,"Não",'Base de Dados'!A:A,A198,'Base de Dados'!B:B,B198)))),"Não Aplica")</f>
        <v>1</v>
      </c>
      <c r="D198" s="14" t="s">
        <v>23434</v>
      </c>
      <c r="E198" s="14" t="s">
        <v>26157</v>
      </c>
      <c r="F198" s="14" t="s">
        <v>23436</v>
      </c>
      <c r="G198" s="14" t="s">
        <v>23434</v>
      </c>
      <c r="H198" s="14" t="s">
        <v>26158</v>
      </c>
      <c r="I198" s="14" t="s">
        <v>22818</v>
      </c>
      <c r="J198" s="80"/>
      <c r="K198" s="14" t="s">
        <v>23438</v>
      </c>
      <c r="L198" s="81">
        <v>45688.508206018516</v>
      </c>
      <c r="M198" s="79">
        <f>IFERROR((COUNTIFS('Base de Dados'!DF:DF,"Sim",'Base de Dados'!A:A,A198,'Base de Dados'!B:B,B198)/(COUNTIFS('Base de Dados'!DF:DF,"Sim",'Base de Dados'!A:A,A198,'Base de Dados'!B:B,B198)+(COUNTIFS('Base de Dados'!DF:DF,"Não",'Base de Dados'!A:A,A198,'Base de Dados'!B:B,B198)))),"Não Aplica")</f>
        <v>1</v>
      </c>
      <c r="N198" s="14" t="s">
        <v>23434</v>
      </c>
      <c r="O198" s="14" t="s">
        <v>23439</v>
      </c>
      <c r="P198" s="14" t="s">
        <v>26159</v>
      </c>
      <c r="Q198" s="14" t="s">
        <v>23441</v>
      </c>
      <c r="R198" s="14" t="s">
        <v>23434</v>
      </c>
      <c r="S198" s="14" t="s">
        <v>26160</v>
      </c>
      <c r="T198" s="14" t="s">
        <v>23436</v>
      </c>
      <c r="U198" s="14" t="s">
        <v>23434</v>
      </c>
      <c r="V198" s="14" t="s">
        <v>26161</v>
      </c>
      <c r="W198" s="14" t="s">
        <v>22818</v>
      </c>
      <c r="X198" s="80"/>
      <c r="Y198" s="14" t="s">
        <v>23438</v>
      </c>
      <c r="Z198" s="81">
        <v>45691.61696759259</v>
      </c>
      <c r="AA198" s="79">
        <f>IFERROR((COUNTIFS('Base de Dados'!ED:ED,"Sim",'Base de Dados'!A:A,A198,'Base de Dados'!B:B,B198)/(COUNTIFS('Base de Dados'!ED:ED,"Sim",'Base de Dados'!A:A,A198,'Base de Dados'!B:B,B198)+(COUNTIFS('Base de Dados'!ED:ED,"Não",'Base de Dados'!A:A,A198,'Base de Dados'!B:B,B198)))),"Não Aplica")</f>
        <v>1</v>
      </c>
      <c r="AB198" s="14" t="s">
        <v>23434</v>
      </c>
      <c r="AC198" s="14" t="s">
        <v>26162</v>
      </c>
      <c r="AD198" s="14" t="s">
        <v>23441</v>
      </c>
      <c r="AE198" s="14" t="s">
        <v>23434</v>
      </c>
      <c r="AF198" s="14" t="s">
        <v>26163</v>
      </c>
      <c r="AG198" s="14" t="s">
        <v>22818</v>
      </c>
      <c r="AH198" s="80"/>
      <c r="AI198" s="14" t="s">
        <v>23438</v>
      </c>
      <c r="AJ198" s="81">
        <v>45692.63724537037</v>
      </c>
      <c r="AK198" s="82" t="s">
        <v>23446</v>
      </c>
      <c r="AL198" s="14" t="s">
        <v>23434</v>
      </c>
      <c r="AM198" s="14" t="s">
        <v>23439</v>
      </c>
      <c r="AN198" s="14" t="s">
        <v>26164</v>
      </c>
      <c r="AO198" s="14" t="s">
        <v>23441</v>
      </c>
      <c r="AP198" s="14" t="s">
        <v>23434</v>
      </c>
      <c r="AQ198" s="14" t="s">
        <v>23448</v>
      </c>
      <c r="AR198" s="14" t="s">
        <v>26165</v>
      </c>
      <c r="AS198" s="14" t="s">
        <v>23450</v>
      </c>
      <c r="AT198" s="14" t="s">
        <v>23434</v>
      </c>
      <c r="AU198" s="14" t="s">
        <v>23451</v>
      </c>
      <c r="AV198" s="14" t="s">
        <v>26166</v>
      </c>
      <c r="AW198" s="14" t="s">
        <v>22818</v>
      </c>
      <c r="AX198" s="14" t="s">
        <v>23434</v>
      </c>
      <c r="AY198" s="14" t="s">
        <v>23453</v>
      </c>
      <c r="AZ198" s="14" t="s">
        <v>26167</v>
      </c>
      <c r="BA198" s="14" t="s">
        <v>23455</v>
      </c>
      <c r="BB198" s="80"/>
      <c r="BC198" s="14" t="s">
        <v>23438</v>
      </c>
      <c r="BD198" s="81">
        <v>45698.62207175926</v>
      </c>
      <c r="BE198" s="79">
        <f>IFERROR((COUNTIFS('Base de Dados'!FD:FD,"Sim",'Base de Dados'!A:A,A198,'Base de Dados'!B:B,B198)/(COUNTIFS('Base de Dados'!FD:FD,"Sim",'Base de Dados'!A:A,A198,'Base de Dados'!B:B,B198)+(COUNTIFS('Base de Dados'!FD:FD,"Não",'Base de Dados'!A:A,A198,'Base de Dados'!B:B,B198)))),"Não Aplica")</f>
        <v>1</v>
      </c>
      <c r="BF198" s="14" t="s">
        <v>23434</v>
      </c>
      <c r="BG198" s="14" t="s">
        <v>23439</v>
      </c>
      <c r="BH198" s="14" t="s">
        <v>26168</v>
      </c>
      <c r="BI198" s="14" t="s">
        <v>23441</v>
      </c>
      <c r="BJ198" s="80"/>
      <c r="BK198" s="80"/>
      <c r="BL198" s="80"/>
      <c r="BM198" s="80"/>
      <c r="BN198" s="14" t="s">
        <v>23434</v>
      </c>
      <c r="BO198" s="14" t="s">
        <v>23453</v>
      </c>
      <c r="BP198" s="14" t="s">
        <v>26169</v>
      </c>
      <c r="BQ198" s="14" t="s">
        <v>23455</v>
      </c>
      <c r="BR198" s="14" t="s">
        <v>23434</v>
      </c>
      <c r="BS198" s="14" t="s">
        <v>23451</v>
      </c>
      <c r="BT198" s="14" t="s">
        <v>26170</v>
      </c>
      <c r="BU198" s="14" t="s">
        <v>22818</v>
      </c>
      <c r="BV198" s="80"/>
      <c r="BW198" s="14" t="s">
        <v>23438</v>
      </c>
      <c r="BX198" s="81">
        <v>45722.76596064815</v>
      </c>
      <c r="BY198" s="82" t="s">
        <v>23446</v>
      </c>
      <c r="BZ198" s="15"/>
      <c r="CA198" s="15"/>
      <c r="CB198" s="15"/>
      <c r="CC198" s="15"/>
      <c r="CD198" s="80"/>
      <c r="CE198" s="80"/>
      <c r="CF198" s="80"/>
      <c r="CG198" s="80"/>
      <c r="CH198" s="15"/>
      <c r="CI198" s="15"/>
      <c r="CJ198" s="15"/>
      <c r="CK198" s="15"/>
      <c r="CL198" s="15"/>
      <c r="CM198" s="15"/>
      <c r="CN198" s="15"/>
      <c r="CO198" s="15"/>
      <c r="CP198" s="80"/>
      <c r="CQ198" s="80" t="s">
        <v>23459</v>
      </c>
      <c r="CR198" s="83"/>
      <c r="CS198" s="84"/>
    </row>
    <row r="199">
      <c r="A199" s="78" t="s">
        <v>357</v>
      </c>
      <c r="B199" s="86" t="s">
        <v>7823</v>
      </c>
      <c r="C199" s="79">
        <f>IFERROR((COUNTIFS('Base de Dados'!BT:BT,"Sim",'Base de Dados'!A:A,A199,'Base de Dados'!B:B,B199)/(COUNTIFS('Base de Dados'!BT:BT,"Sim",'Base de Dados'!A:A,A199,'Base de Dados'!B:B,B199)+(COUNTIFS('Base de Dados'!BT:BT,"Não",'Base de Dados'!A:A,A199,'Base de Dados'!B:B,B199)))),"Não Aplica")</f>
        <v>1</v>
      </c>
      <c r="D199" s="14" t="s">
        <v>23434</v>
      </c>
      <c r="E199" s="14" t="s">
        <v>26171</v>
      </c>
      <c r="F199" s="14" t="s">
        <v>23436</v>
      </c>
      <c r="G199" s="14" t="s">
        <v>23434</v>
      </c>
      <c r="H199" s="14" t="s">
        <v>26172</v>
      </c>
      <c r="I199" s="14" t="s">
        <v>22818</v>
      </c>
      <c r="J199" s="80"/>
      <c r="K199" s="14" t="s">
        <v>23438</v>
      </c>
      <c r="L199" s="81">
        <v>45687.39377314815</v>
      </c>
      <c r="M199" s="79">
        <f>IFERROR((COUNTIFS('Base de Dados'!DF:DF,"Sim",'Base de Dados'!A:A,A199,'Base de Dados'!B:B,B199)/(COUNTIFS('Base de Dados'!DF:DF,"Sim",'Base de Dados'!A:A,A199,'Base de Dados'!B:B,B199)+(COUNTIFS('Base de Dados'!DF:DF,"Não",'Base de Dados'!A:A,A199,'Base de Dados'!B:B,B199)))),"Não Aplica")</f>
        <v>1</v>
      </c>
      <c r="N199" s="14" t="s">
        <v>23434</v>
      </c>
      <c r="O199" s="14" t="s">
        <v>23439</v>
      </c>
      <c r="P199" s="14" t="s">
        <v>26173</v>
      </c>
      <c r="Q199" s="14" t="s">
        <v>23441</v>
      </c>
      <c r="R199" s="14" t="s">
        <v>23434</v>
      </c>
      <c r="S199" s="14" t="s">
        <v>26174</v>
      </c>
      <c r="T199" s="14" t="s">
        <v>23436</v>
      </c>
      <c r="U199" s="14" t="s">
        <v>23434</v>
      </c>
      <c r="V199" s="14" t="s">
        <v>26175</v>
      </c>
      <c r="W199" s="14" t="s">
        <v>22818</v>
      </c>
      <c r="X199" s="80"/>
      <c r="Y199" s="14" t="s">
        <v>23438</v>
      </c>
      <c r="Z199" s="81">
        <v>45691.61628472222</v>
      </c>
      <c r="AA199" s="79" t="str">
        <f>IFERROR((COUNTIFS('Base de Dados'!ED:ED,"Sim",'Base de Dados'!A:A,A199,'Base de Dados'!B:B,B199)/(COUNTIFS('Base de Dados'!ED:ED,"Sim",'Base de Dados'!A:A,A199,'Base de Dados'!B:B,B199)+(COUNTIFS('Base de Dados'!ED:ED,"Não",'Base de Dados'!A:A,A199,'Base de Dados'!B:B,B199)))),"Não Aplica")</f>
        <v>Não Aplica</v>
      </c>
      <c r="AB199" s="14" t="s">
        <v>228</v>
      </c>
      <c r="AC199" s="14" t="s">
        <v>26176</v>
      </c>
      <c r="AD199" s="14" t="s">
        <v>23441</v>
      </c>
      <c r="AE199" s="14" t="s">
        <v>228</v>
      </c>
      <c r="AF199" s="14" t="s">
        <v>26177</v>
      </c>
      <c r="AG199" s="14" t="s">
        <v>22818</v>
      </c>
      <c r="AH199" s="80"/>
      <c r="AI199" s="14" t="s">
        <v>23438</v>
      </c>
      <c r="AJ199" s="81">
        <v>45692.63775462963</v>
      </c>
      <c r="AK199" s="82" t="s">
        <v>23446</v>
      </c>
      <c r="AL199" s="14" t="s">
        <v>23434</v>
      </c>
      <c r="AM199" s="14" t="s">
        <v>23439</v>
      </c>
      <c r="AN199" s="14" t="s">
        <v>26178</v>
      </c>
      <c r="AO199" s="14" t="s">
        <v>23441</v>
      </c>
      <c r="AP199" s="14" t="s">
        <v>23434</v>
      </c>
      <c r="AQ199" s="14" t="s">
        <v>23448</v>
      </c>
      <c r="AR199" s="14" t="s">
        <v>26179</v>
      </c>
      <c r="AS199" s="14" t="s">
        <v>23450</v>
      </c>
      <c r="AT199" s="14" t="s">
        <v>23434</v>
      </c>
      <c r="AU199" s="14" t="s">
        <v>23451</v>
      </c>
      <c r="AV199" s="14" t="s">
        <v>26180</v>
      </c>
      <c r="AW199" s="14" t="s">
        <v>22818</v>
      </c>
      <c r="AX199" s="14" t="s">
        <v>23434</v>
      </c>
      <c r="AY199" s="14" t="s">
        <v>23453</v>
      </c>
      <c r="AZ199" s="14" t="s">
        <v>26181</v>
      </c>
      <c r="BA199" s="14" t="s">
        <v>23455</v>
      </c>
      <c r="BB199" s="80"/>
      <c r="BC199" s="14" t="s">
        <v>23438</v>
      </c>
      <c r="BD199" s="81">
        <v>45698.62217592593</v>
      </c>
      <c r="BE199" s="79">
        <f>IFERROR((COUNTIFS('Base de Dados'!FD:FD,"Sim",'Base de Dados'!A:A,A199,'Base de Dados'!B:B,B199)/(COUNTIFS('Base de Dados'!FD:FD,"Sim",'Base de Dados'!A:A,A199,'Base de Dados'!B:B,B199)+(COUNTIFS('Base de Dados'!FD:FD,"Não",'Base de Dados'!A:A,A199,'Base de Dados'!B:B,B199)))),"Não Aplica")</f>
        <v>1</v>
      </c>
      <c r="BF199" s="14" t="s">
        <v>23434</v>
      </c>
      <c r="BG199" s="14" t="s">
        <v>23439</v>
      </c>
      <c r="BH199" s="14" t="s">
        <v>26182</v>
      </c>
      <c r="BI199" s="14" t="s">
        <v>23441</v>
      </c>
      <c r="BJ199" s="80"/>
      <c r="BK199" s="80"/>
      <c r="BL199" s="80"/>
      <c r="BM199" s="80"/>
      <c r="BN199" s="14" t="s">
        <v>23434</v>
      </c>
      <c r="BO199" s="14" t="s">
        <v>23453</v>
      </c>
      <c r="BP199" s="14" t="s">
        <v>26183</v>
      </c>
      <c r="BQ199" s="14" t="s">
        <v>23455</v>
      </c>
      <c r="BR199" s="14" t="s">
        <v>23434</v>
      </c>
      <c r="BS199" s="14" t="s">
        <v>23451</v>
      </c>
      <c r="BT199" s="14" t="s">
        <v>26184</v>
      </c>
      <c r="BU199" s="14" t="s">
        <v>22818</v>
      </c>
      <c r="BV199" s="80"/>
      <c r="BW199" s="14" t="s">
        <v>23438</v>
      </c>
      <c r="BX199" s="81">
        <v>45713.34946759259</v>
      </c>
      <c r="BY199" s="82" t="s">
        <v>23446</v>
      </c>
      <c r="BZ199" s="15"/>
      <c r="CA199" s="15"/>
      <c r="CB199" s="15"/>
      <c r="CC199" s="15"/>
      <c r="CD199" s="80"/>
      <c r="CE199" s="80"/>
      <c r="CF199" s="80"/>
      <c r="CG199" s="80"/>
      <c r="CH199" s="15"/>
      <c r="CI199" s="15"/>
      <c r="CJ199" s="15"/>
      <c r="CK199" s="15"/>
      <c r="CL199" s="15"/>
      <c r="CM199" s="15"/>
      <c r="CN199" s="15"/>
      <c r="CO199" s="15"/>
      <c r="CP199" s="80"/>
      <c r="CQ199" s="80" t="s">
        <v>23459</v>
      </c>
      <c r="CR199" s="83"/>
      <c r="CS199" s="84"/>
    </row>
    <row r="200">
      <c r="A200" s="78" t="s">
        <v>357</v>
      </c>
      <c r="B200" s="78" t="s">
        <v>26185</v>
      </c>
      <c r="C200" s="79">
        <f>IFERROR((COUNTIFS('Base de Dados'!BT:BT,"Sim",'Base de Dados'!A:A,A200,'Base de Dados'!B:B,B200)/(COUNTIFS('Base de Dados'!BT:BT,"Sim",'Base de Dados'!A:A,A200,'Base de Dados'!B:B,B200)+(COUNTIFS('Base de Dados'!BT:BT,"Não",'Base de Dados'!A:A,A200,'Base de Dados'!B:B,B200)))),"Não Aplica")</f>
        <v>1</v>
      </c>
      <c r="D200" s="14" t="s">
        <v>23434</v>
      </c>
      <c r="E200" s="14" t="s">
        <v>26186</v>
      </c>
      <c r="F200" s="14" t="s">
        <v>23436</v>
      </c>
      <c r="G200" s="14" t="s">
        <v>23434</v>
      </c>
      <c r="H200" s="14" t="s">
        <v>26187</v>
      </c>
      <c r="I200" s="14" t="s">
        <v>22818</v>
      </c>
      <c r="J200" s="80"/>
      <c r="K200" s="14" t="s">
        <v>23438</v>
      </c>
      <c r="L200" s="81">
        <v>45691.610810185186</v>
      </c>
      <c r="M200" s="79">
        <f>IFERROR((COUNTIFS('Base de Dados'!DF:DF,"Sim",'Base de Dados'!A:A,A200,'Base de Dados'!B:B,B200)/(COUNTIFS('Base de Dados'!DF:DF,"Sim",'Base de Dados'!A:A,A200,'Base de Dados'!B:B,B200)+(COUNTIFS('Base de Dados'!DF:DF,"Não",'Base de Dados'!A:A,A200,'Base de Dados'!B:B,B200)))),"Não Aplica")</f>
        <v>1</v>
      </c>
      <c r="N200" s="14" t="s">
        <v>23434</v>
      </c>
      <c r="O200" s="14" t="s">
        <v>23602</v>
      </c>
      <c r="P200" s="14" t="s">
        <v>26188</v>
      </c>
      <c r="Q200" s="14" t="s">
        <v>23436</v>
      </c>
      <c r="R200" s="14" t="s">
        <v>23434</v>
      </c>
      <c r="S200" s="14" t="s">
        <v>26189</v>
      </c>
      <c r="T200" s="14" t="s">
        <v>23441</v>
      </c>
      <c r="U200" s="14" t="s">
        <v>23434</v>
      </c>
      <c r="V200" s="14" t="s">
        <v>26190</v>
      </c>
      <c r="W200" s="14" t="s">
        <v>22818</v>
      </c>
      <c r="X200" s="80"/>
      <c r="Y200" s="14" t="s">
        <v>23438</v>
      </c>
      <c r="Z200" s="81">
        <v>45692.63298611111</v>
      </c>
      <c r="AA200" s="79">
        <f>IFERROR((COUNTIFS('Base de Dados'!ED:ED,"Sim",'Base de Dados'!A:A,A200,'Base de Dados'!B:B,B200)/(COUNTIFS('Base de Dados'!ED:ED,"Sim",'Base de Dados'!A:A,A200,'Base de Dados'!B:B,B200)+(COUNTIFS('Base de Dados'!ED:ED,"Não",'Base de Dados'!A:A,A200,'Base de Dados'!B:B,B200)))),"Não Aplica")</f>
        <v>1</v>
      </c>
      <c r="AB200" s="14" t="s">
        <v>23434</v>
      </c>
      <c r="AC200" s="14" t="s">
        <v>26191</v>
      </c>
      <c r="AD200" s="14" t="s">
        <v>23441</v>
      </c>
      <c r="AE200" s="14" t="s">
        <v>23434</v>
      </c>
      <c r="AF200" s="14" t="s">
        <v>26192</v>
      </c>
      <c r="AG200" s="14" t="s">
        <v>22818</v>
      </c>
      <c r="AH200" s="80"/>
      <c r="AI200" s="14" t="s">
        <v>23438</v>
      </c>
      <c r="AJ200" s="81">
        <v>45692.63725694444</v>
      </c>
      <c r="AK200" s="82" t="s">
        <v>23446</v>
      </c>
      <c r="AL200" s="14" t="s">
        <v>23434</v>
      </c>
      <c r="AM200" s="14" t="s">
        <v>23439</v>
      </c>
      <c r="AN200" s="14" t="s">
        <v>26193</v>
      </c>
      <c r="AO200" s="14" t="s">
        <v>23441</v>
      </c>
      <c r="AP200" s="14" t="s">
        <v>23434</v>
      </c>
      <c r="AQ200" s="14" t="s">
        <v>23448</v>
      </c>
      <c r="AR200" s="14" t="s">
        <v>26194</v>
      </c>
      <c r="AS200" s="14" t="s">
        <v>23450</v>
      </c>
      <c r="AT200" s="14" t="s">
        <v>23434</v>
      </c>
      <c r="AU200" s="14" t="s">
        <v>23451</v>
      </c>
      <c r="AV200" s="14" t="s">
        <v>26195</v>
      </c>
      <c r="AW200" s="14" t="s">
        <v>22818</v>
      </c>
      <c r="AX200" s="14" t="s">
        <v>23434</v>
      </c>
      <c r="AY200" s="14" t="s">
        <v>23453</v>
      </c>
      <c r="AZ200" s="14" t="s">
        <v>26196</v>
      </c>
      <c r="BA200" s="14" t="s">
        <v>23455</v>
      </c>
      <c r="BB200" s="80"/>
      <c r="BC200" s="14" t="s">
        <v>23438</v>
      </c>
      <c r="BD200" s="81">
        <v>45698.62229166667</v>
      </c>
      <c r="BE200" s="79">
        <f>IFERROR((COUNTIFS('Base de Dados'!FD:FD,"Sim",'Base de Dados'!A:A,A200,'Base de Dados'!B:B,B200)/(COUNTIFS('Base de Dados'!FD:FD,"Sim",'Base de Dados'!A:A,A200,'Base de Dados'!B:B,B200)+(COUNTIFS('Base de Dados'!FD:FD,"Não",'Base de Dados'!A:A,A200,'Base de Dados'!B:B,B200)))),"Não Aplica")</f>
        <v>1</v>
      </c>
      <c r="BF200" s="14" t="s">
        <v>23434</v>
      </c>
      <c r="BG200" s="14" t="s">
        <v>23439</v>
      </c>
      <c r="BH200" s="14" t="s">
        <v>26197</v>
      </c>
      <c r="BI200" s="14" t="s">
        <v>23441</v>
      </c>
      <c r="BJ200" s="80"/>
      <c r="BK200" s="80"/>
      <c r="BL200" s="80"/>
      <c r="BM200" s="80"/>
      <c r="BN200" s="14" t="s">
        <v>23434</v>
      </c>
      <c r="BO200" s="14" t="s">
        <v>23453</v>
      </c>
      <c r="BP200" s="14" t="s">
        <v>26198</v>
      </c>
      <c r="BQ200" s="14" t="s">
        <v>23455</v>
      </c>
      <c r="BR200" s="14" t="s">
        <v>23434</v>
      </c>
      <c r="BS200" s="14" t="s">
        <v>23451</v>
      </c>
      <c r="BT200" s="14" t="s">
        <v>26199</v>
      </c>
      <c r="BU200" s="14" t="s">
        <v>22818</v>
      </c>
      <c r="BV200" s="80"/>
      <c r="BW200" s="14" t="s">
        <v>23438</v>
      </c>
      <c r="BX200" s="81">
        <v>45722.76600694445</v>
      </c>
      <c r="BY200" s="82" t="s">
        <v>23446</v>
      </c>
      <c r="BZ200" s="15"/>
      <c r="CA200" s="15"/>
      <c r="CB200" s="15"/>
      <c r="CC200" s="15"/>
      <c r="CD200" s="80"/>
      <c r="CE200" s="80"/>
      <c r="CF200" s="80"/>
      <c r="CG200" s="80"/>
      <c r="CH200" s="15"/>
      <c r="CI200" s="15"/>
      <c r="CJ200" s="15"/>
      <c r="CK200" s="15"/>
      <c r="CL200" s="15"/>
      <c r="CM200" s="15"/>
      <c r="CN200" s="15"/>
      <c r="CO200" s="15"/>
      <c r="CP200" s="80"/>
      <c r="CQ200" s="80" t="s">
        <v>23459</v>
      </c>
      <c r="CR200" s="83"/>
      <c r="CS200" s="84"/>
    </row>
    <row r="201">
      <c r="A201" s="78" t="s">
        <v>357</v>
      </c>
      <c r="B201" s="78" t="s">
        <v>23129</v>
      </c>
      <c r="C201" s="79" t="str">
        <f>IFERROR((COUNTIFS('Base de Dados'!BT:BT,"Sim",'Base de Dados'!A:A,A201,'Base de Dados'!B:B,B201)/(COUNTIFS('Base de Dados'!BT:BT,"Sim",'Base de Dados'!A:A,A201,'Base de Dados'!B:B,B201)+(COUNTIFS('Base de Dados'!BT:BT,"Não",'Base de Dados'!A:A,A201,'Base de Dados'!B:B,B201)))),"Não Aplica")</f>
        <v>Não Aplica</v>
      </c>
      <c r="D201" s="14" t="s">
        <v>23434</v>
      </c>
      <c r="E201" s="14" t="s">
        <v>26200</v>
      </c>
      <c r="F201" s="14" t="s">
        <v>23436</v>
      </c>
      <c r="G201" s="14" t="s">
        <v>23434</v>
      </c>
      <c r="H201" s="14" t="s">
        <v>26201</v>
      </c>
      <c r="I201" s="14" t="s">
        <v>22818</v>
      </c>
      <c r="J201" s="80"/>
      <c r="K201" s="14" t="s">
        <v>23438</v>
      </c>
      <c r="L201" s="81">
        <v>45687.39380787037</v>
      </c>
      <c r="M201" s="79" t="str">
        <f>IFERROR((COUNTIFS('Base de Dados'!DF:DF,"Sim",'Base de Dados'!A:A,A201,'Base de Dados'!B:B,B201)/(COUNTIFS('Base de Dados'!DF:DF,"Sim",'Base de Dados'!A:A,A201,'Base de Dados'!B:B,B201)+(COUNTIFS('Base de Dados'!DF:DF,"Não",'Base de Dados'!A:A,A201,'Base de Dados'!B:B,B201)))),"Não Aplica")</f>
        <v>Não Aplica</v>
      </c>
      <c r="N201" s="14" t="s">
        <v>23434</v>
      </c>
      <c r="O201" s="14" t="s">
        <v>23439</v>
      </c>
      <c r="P201" s="14" t="s">
        <v>26202</v>
      </c>
      <c r="Q201" s="14" t="s">
        <v>23441</v>
      </c>
      <c r="R201" s="14" t="s">
        <v>23434</v>
      </c>
      <c r="S201" s="14" t="s">
        <v>26203</v>
      </c>
      <c r="T201" s="14" t="s">
        <v>23436</v>
      </c>
      <c r="U201" s="14" t="s">
        <v>23434</v>
      </c>
      <c r="V201" s="14" t="s">
        <v>26204</v>
      </c>
      <c r="W201" s="14" t="s">
        <v>22818</v>
      </c>
      <c r="X201" s="80"/>
      <c r="Y201" s="14" t="s">
        <v>23438</v>
      </c>
      <c r="Z201" s="81">
        <v>45691.616319444445</v>
      </c>
      <c r="AA201" s="79" t="str">
        <f>IFERROR((COUNTIFS('Base de Dados'!ED:ED,"Sim",'Base de Dados'!A:A,A201,'Base de Dados'!B:B,B201)/(COUNTIFS('Base de Dados'!ED:ED,"Sim",'Base de Dados'!A:A,A201,'Base de Dados'!B:B,B201)+(COUNTIFS('Base de Dados'!ED:ED,"Não",'Base de Dados'!A:A,A201,'Base de Dados'!B:B,B201)))),"Não Aplica")</f>
        <v>Não Aplica</v>
      </c>
      <c r="AB201" s="14" t="s">
        <v>23434</v>
      </c>
      <c r="AC201" s="14" t="s">
        <v>26205</v>
      </c>
      <c r="AD201" s="14" t="s">
        <v>23441</v>
      </c>
      <c r="AE201" s="14" t="s">
        <v>23434</v>
      </c>
      <c r="AF201" s="14" t="s">
        <v>26206</v>
      </c>
      <c r="AG201" s="14" t="s">
        <v>22818</v>
      </c>
      <c r="AH201" s="80"/>
      <c r="AI201" s="14" t="s">
        <v>23438</v>
      </c>
      <c r="AJ201" s="81">
        <v>45692.63728009259</v>
      </c>
      <c r="AK201" s="82" t="s">
        <v>23446</v>
      </c>
      <c r="AL201" s="14" t="s">
        <v>23434</v>
      </c>
      <c r="AM201" s="14" t="s">
        <v>23439</v>
      </c>
      <c r="AN201" s="14" t="s">
        <v>26207</v>
      </c>
      <c r="AO201" s="14" t="s">
        <v>23441</v>
      </c>
      <c r="AP201" s="14" t="s">
        <v>23434</v>
      </c>
      <c r="AQ201" s="14" t="s">
        <v>23448</v>
      </c>
      <c r="AR201" s="14" t="s">
        <v>26208</v>
      </c>
      <c r="AS201" s="14" t="s">
        <v>23450</v>
      </c>
      <c r="AT201" s="14" t="s">
        <v>23434</v>
      </c>
      <c r="AU201" s="14" t="s">
        <v>23451</v>
      </c>
      <c r="AV201" s="14" t="s">
        <v>26209</v>
      </c>
      <c r="AW201" s="14" t="s">
        <v>22818</v>
      </c>
      <c r="AX201" s="14" t="s">
        <v>23434</v>
      </c>
      <c r="AY201" s="14" t="s">
        <v>23453</v>
      </c>
      <c r="AZ201" s="14" t="s">
        <v>26210</v>
      </c>
      <c r="BA201" s="14" t="s">
        <v>23455</v>
      </c>
      <c r="BB201" s="80"/>
      <c r="BC201" s="14" t="s">
        <v>23438</v>
      </c>
      <c r="BD201" s="81">
        <v>45698.622025462966</v>
      </c>
      <c r="BE201" s="79" t="str">
        <f>IFERROR((COUNTIFS('Base de Dados'!FD:FD,"Sim",'Base de Dados'!A:A,A201,'Base de Dados'!B:B,B201)/(COUNTIFS('Base de Dados'!FD:FD,"Sim",'Base de Dados'!A:A,A201,'Base de Dados'!B:B,B201)+(COUNTIFS('Base de Dados'!FD:FD,"Não",'Base de Dados'!A:A,A201,'Base de Dados'!B:B,B201)))),"Não Aplica")</f>
        <v>Não Aplica</v>
      </c>
      <c r="BF201" s="14" t="s">
        <v>228</v>
      </c>
      <c r="BG201" s="14" t="s">
        <v>23439</v>
      </c>
      <c r="BH201" s="14" t="s">
        <v>26211</v>
      </c>
      <c r="BI201" s="14" t="s">
        <v>23441</v>
      </c>
      <c r="BJ201" s="80"/>
      <c r="BK201" s="80"/>
      <c r="BL201" s="80"/>
      <c r="BM201" s="80"/>
      <c r="BN201" s="14" t="s">
        <v>228</v>
      </c>
      <c r="BO201" s="14" t="s">
        <v>23453</v>
      </c>
      <c r="BP201" s="14" t="s">
        <v>26212</v>
      </c>
      <c r="BQ201" s="14" t="s">
        <v>23455</v>
      </c>
      <c r="BR201" s="14" t="s">
        <v>228</v>
      </c>
      <c r="BS201" s="15"/>
      <c r="BT201" s="14" t="s">
        <v>26213</v>
      </c>
      <c r="BU201" s="14" t="s">
        <v>22818</v>
      </c>
      <c r="BV201" s="80"/>
      <c r="BW201" s="14" t="s">
        <v>23438</v>
      </c>
      <c r="BX201" s="81">
        <v>45723.61048611111</v>
      </c>
      <c r="BY201" s="82" t="s">
        <v>23446</v>
      </c>
      <c r="BZ201" s="15"/>
      <c r="CA201" s="15"/>
      <c r="CB201" s="15"/>
      <c r="CC201" s="15"/>
      <c r="CD201" s="80"/>
      <c r="CE201" s="80"/>
      <c r="CF201" s="80"/>
      <c r="CG201" s="80"/>
      <c r="CH201" s="15"/>
      <c r="CI201" s="15"/>
      <c r="CJ201" s="15"/>
      <c r="CK201" s="15"/>
      <c r="CL201" s="15"/>
      <c r="CM201" s="15"/>
      <c r="CN201" s="15"/>
      <c r="CO201" s="15"/>
      <c r="CP201" s="80"/>
      <c r="CQ201" s="80" t="s">
        <v>23459</v>
      </c>
      <c r="CR201" s="83"/>
      <c r="CS201" s="84"/>
    </row>
    <row r="202">
      <c r="A202" s="78" t="s">
        <v>357</v>
      </c>
      <c r="B202" s="78" t="s">
        <v>8547</v>
      </c>
      <c r="C202" s="79">
        <f>IFERROR((COUNTIFS('Base de Dados'!BT:BT,"Sim",'Base de Dados'!A:A,A202,'Base de Dados'!B:B,B202)/(COUNTIFS('Base de Dados'!BT:BT,"Sim",'Base de Dados'!A:A,A202,'Base de Dados'!B:B,B202)+(COUNTIFS('Base de Dados'!BT:BT,"Não",'Base de Dados'!A:A,A202,'Base de Dados'!B:B,B202)))),"Não Aplica")</f>
        <v>1</v>
      </c>
      <c r="D202" s="14" t="s">
        <v>23434</v>
      </c>
      <c r="E202" s="14" t="s">
        <v>26214</v>
      </c>
      <c r="F202" s="14" t="s">
        <v>23436</v>
      </c>
      <c r="G202" s="14" t="s">
        <v>23434</v>
      </c>
      <c r="H202" s="14" t="s">
        <v>26215</v>
      </c>
      <c r="I202" s="14" t="s">
        <v>22818</v>
      </c>
      <c r="J202" s="80"/>
      <c r="K202" s="14" t="s">
        <v>23438</v>
      </c>
      <c r="L202" s="81">
        <v>45687.394328703704</v>
      </c>
      <c r="M202" s="79">
        <f>IFERROR((COUNTIFS('Base de Dados'!DF:DF,"Sim",'Base de Dados'!A:A,A202,'Base de Dados'!B:B,B202)/(COUNTIFS('Base de Dados'!DF:DF,"Sim",'Base de Dados'!A:A,A202,'Base de Dados'!B:B,B202)+(COUNTIFS('Base de Dados'!DF:DF,"Não",'Base de Dados'!A:A,A202,'Base de Dados'!B:B,B202)))),"Não Aplica")</f>
        <v>1</v>
      </c>
      <c r="N202" s="14" t="s">
        <v>23434</v>
      </c>
      <c r="O202" s="14" t="s">
        <v>23439</v>
      </c>
      <c r="P202" s="14" t="s">
        <v>26216</v>
      </c>
      <c r="Q202" s="14" t="s">
        <v>23441</v>
      </c>
      <c r="R202" s="14" t="s">
        <v>23434</v>
      </c>
      <c r="S202" s="14" t="s">
        <v>26217</v>
      </c>
      <c r="T202" s="14" t="s">
        <v>23436</v>
      </c>
      <c r="U202" s="14" t="s">
        <v>23434</v>
      </c>
      <c r="V202" s="14" t="s">
        <v>26218</v>
      </c>
      <c r="W202" s="14" t="s">
        <v>22818</v>
      </c>
      <c r="X202" s="80"/>
      <c r="Y202" s="14" t="s">
        <v>23438</v>
      </c>
      <c r="Z202" s="81">
        <v>45691.616423611114</v>
      </c>
      <c r="AA202" s="79">
        <f>IFERROR((COUNTIFS('Base de Dados'!ED:ED,"Sim",'Base de Dados'!A:A,A202,'Base de Dados'!B:B,B202)/(COUNTIFS('Base de Dados'!ED:ED,"Sim",'Base de Dados'!A:A,A202,'Base de Dados'!B:B,B202)+(COUNTIFS('Base de Dados'!ED:ED,"Não",'Base de Dados'!A:A,A202,'Base de Dados'!B:B,B202)))),"Não Aplica")</f>
        <v>1</v>
      </c>
      <c r="AB202" s="14" t="s">
        <v>23434</v>
      </c>
      <c r="AC202" s="14" t="s">
        <v>26219</v>
      </c>
      <c r="AD202" s="14" t="s">
        <v>23441</v>
      </c>
      <c r="AE202" s="14" t="s">
        <v>23434</v>
      </c>
      <c r="AF202" s="14" t="s">
        <v>26220</v>
      </c>
      <c r="AG202" s="14" t="s">
        <v>22818</v>
      </c>
      <c r="AH202" s="80"/>
      <c r="AI202" s="14" t="s">
        <v>23438</v>
      </c>
      <c r="AJ202" s="81">
        <v>45692.63730324074</v>
      </c>
      <c r="AK202" s="82" t="s">
        <v>23446</v>
      </c>
      <c r="AL202" s="14" t="s">
        <v>23434</v>
      </c>
      <c r="AM202" s="14" t="s">
        <v>23439</v>
      </c>
      <c r="AN202" s="14" t="s">
        <v>26221</v>
      </c>
      <c r="AO202" s="14" t="s">
        <v>23441</v>
      </c>
      <c r="AP202" s="14" t="s">
        <v>23434</v>
      </c>
      <c r="AQ202" s="14" t="s">
        <v>23448</v>
      </c>
      <c r="AR202" s="14" t="s">
        <v>26222</v>
      </c>
      <c r="AS202" s="14" t="s">
        <v>23450</v>
      </c>
      <c r="AT202" s="14" t="s">
        <v>23434</v>
      </c>
      <c r="AU202" s="14" t="s">
        <v>23451</v>
      </c>
      <c r="AV202" s="14" t="s">
        <v>26223</v>
      </c>
      <c r="AW202" s="14" t="s">
        <v>22818</v>
      </c>
      <c r="AX202" s="14" t="s">
        <v>23434</v>
      </c>
      <c r="AY202" s="14" t="s">
        <v>23453</v>
      </c>
      <c r="AZ202" s="14" t="s">
        <v>26224</v>
      </c>
      <c r="BA202" s="14" t="s">
        <v>23455</v>
      </c>
      <c r="BB202" s="80"/>
      <c r="BC202" s="14" t="s">
        <v>23438</v>
      </c>
      <c r="BD202" s="81">
        <v>45698.6222337963</v>
      </c>
      <c r="BE202" s="79">
        <f>IFERROR((COUNTIFS('Base de Dados'!FD:FD,"Sim",'Base de Dados'!A:A,A202,'Base de Dados'!B:B,B202)/(COUNTIFS('Base de Dados'!FD:FD,"Sim",'Base de Dados'!A:A,A202,'Base de Dados'!B:B,B202)+(COUNTIFS('Base de Dados'!FD:FD,"Não",'Base de Dados'!A:A,A202,'Base de Dados'!B:B,B202)))),"Não Aplica")</f>
        <v>1</v>
      </c>
      <c r="BF202" s="14" t="s">
        <v>23434</v>
      </c>
      <c r="BG202" s="14" t="s">
        <v>23439</v>
      </c>
      <c r="BH202" s="14" t="s">
        <v>26225</v>
      </c>
      <c r="BI202" s="14" t="s">
        <v>23441</v>
      </c>
      <c r="BJ202" s="80"/>
      <c r="BK202" s="80"/>
      <c r="BL202" s="80"/>
      <c r="BM202" s="80"/>
      <c r="BN202" s="14" t="s">
        <v>23434</v>
      </c>
      <c r="BO202" s="14" t="s">
        <v>23453</v>
      </c>
      <c r="BP202" s="14" t="s">
        <v>26226</v>
      </c>
      <c r="BQ202" s="14" t="s">
        <v>23455</v>
      </c>
      <c r="BR202" s="14" t="s">
        <v>23434</v>
      </c>
      <c r="BS202" s="14" t="s">
        <v>23451</v>
      </c>
      <c r="BT202" s="14" t="s">
        <v>26227</v>
      </c>
      <c r="BU202" s="14" t="s">
        <v>22818</v>
      </c>
      <c r="BV202" s="80"/>
      <c r="BW202" s="14" t="s">
        <v>23438</v>
      </c>
      <c r="BX202" s="81">
        <v>45713.34950231481</v>
      </c>
      <c r="BY202" s="82" t="s">
        <v>23446</v>
      </c>
      <c r="BZ202" s="15"/>
      <c r="CA202" s="15"/>
      <c r="CB202" s="15"/>
      <c r="CC202" s="15"/>
      <c r="CD202" s="80"/>
      <c r="CE202" s="80"/>
      <c r="CF202" s="80"/>
      <c r="CG202" s="80"/>
      <c r="CH202" s="15"/>
      <c r="CI202" s="15"/>
      <c r="CJ202" s="15"/>
      <c r="CK202" s="15"/>
      <c r="CL202" s="15"/>
      <c r="CM202" s="15"/>
      <c r="CN202" s="15"/>
      <c r="CO202" s="15"/>
      <c r="CP202" s="80"/>
      <c r="CQ202" s="80" t="s">
        <v>23459</v>
      </c>
      <c r="CR202" s="83"/>
      <c r="CS202" s="84"/>
    </row>
    <row r="203">
      <c r="A203" s="78" t="s">
        <v>357</v>
      </c>
      <c r="B203" s="78" t="s">
        <v>419</v>
      </c>
      <c r="C203" s="79">
        <f>IFERROR((COUNTIFS('Base de Dados'!BT:BT,"Sim",'Base de Dados'!A:A,A203,'Base de Dados'!B:B,B203)/(COUNTIFS('Base de Dados'!BT:BT,"Sim",'Base de Dados'!A:A,A203,'Base de Dados'!B:B,B203)+(COUNTIFS('Base de Dados'!BT:BT,"Não",'Base de Dados'!A:A,A203,'Base de Dados'!B:B,B203)))),"Não Aplica")</f>
        <v>1</v>
      </c>
      <c r="D203" s="14" t="s">
        <v>23434</v>
      </c>
      <c r="E203" s="14" t="s">
        <v>26228</v>
      </c>
      <c r="F203" s="14" t="s">
        <v>23436</v>
      </c>
      <c r="G203" s="14" t="s">
        <v>23434</v>
      </c>
      <c r="H203" s="14" t="s">
        <v>26229</v>
      </c>
      <c r="I203" s="14" t="s">
        <v>22818</v>
      </c>
      <c r="J203" s="80"/>
      <c r="K203" s="14" t="s">
        <v>23438</v>
      </c>
      <c r="L203" s="81">
        <v>45688.508252314816</v>
      </c>
      <c r="M203" s="79">
        <f>IFERROR((COUNTIFS('Base de Dados'!DF:DF,"Sim",'Base de Dados'!A:A,A203,'Base de Dados'!B:B,B203)/(COUNTIFS('Base de Dados'!DF:DF,"Sim",'Base de Dados'!A:A,A203,'Base de Dados'!B:B,B203)+(COUNTIFS('Base de Dados'!DF:DF,"Não",'Base de Dados'!A:A,A203,'Base de Dados'!B:B,B203)))),"Não Aplica")</f>
        <v>1</v>
      </c>
      <c r="N203" s="14" t="s">
        <v>23434</v>
      </c>
      <c r="O203" s="14" t="s">
        <v>23439</v>
      </c>
      <c r="P203" s="14" t="s">
        <v>26230</v>
      </c>
      <c r="Q203" s="14" t="s">
        <v>23441</v>
      </c>
      <c r="R203" s="14" t="s">
        <v>23434</v>
      </c>
      <c r="S203" s="14" t="s">
        <v>26231</v>
      </c>
      <c r="T203" s="14" t="s">
        <v>23436</v>
      </c>
      <c r="U203" s="14" t="s">
        <v>23434</v>
      </c>
      <c r="V203" s="14" t="s">
        <v>26232</v>
      </c>
      <c r="W203" s="14" t="s">
        <v>22818</v>
      </c>
      <c r="X203" s="80"/>
      <c r="Y203" s="14" t="s">
        <v>23438</v>
      </c>
      <c r="Z203" s="81">
        <v>45691.61635416667</v>
      </c>
      <c r="AA203" s="79">
        <f>IFERROR((COUNTIFS('Base de Dados'!ED:ED,"Sim",'Base de Dados'!A:A,A203,'Base de Dados'!B:B,B203)/(COUNTIFS('Base de Dados'!ED:ED,"Sim",'Base de Dados'!A:A,A203,'Base de Dados'!B:B,B203)+(COUNTIFS('Base de Dados'!ED:ED,"Não",'Base de Dados'!A:A,A203,'Base de Dados'!B:B,B203)))),"Não Aplica")</f>
        <v>1</v>
      </c>
      <c r="AB203" s="14" t="s">
        <v>23434</v>
      </c>
      <c r="AC203" s="14" t="s">
        <v>26233</v>
      </c>
      <c r="AD203" s="14" t="s">
        <v>23441</v>
      </c>
      <c r="AE203" s="14" t="s">
        <v>23434</v>
      </c>
      <c r="AF203" s="14" t="s">
        <v>26234</v>
      </c>
      <c r="AG203" s="14" t="s">
        <v>22818</v>
      </c>
      <c r="AH203" s="80"/>
      <c r="AI203" s="14" t="s">
        <v>23438</v>
      </c>
      <c r="AJ203" s="81">
        <v>45692.63732638889</v>
      </c>
      <c r="AK203" s="82" t="s">
        <v>23446</v>
      </c>
      <c r="AL203" s="14" t="s">
        <v>23434</v>
      </c>
      <c r="AM203" s="14" t="s">
        <v>23439</v>
      </c>
      <c r="AN203" s="14" t="s">
        <v>26235</v>
      </c>
      <c r="AO203" s="14" t="s">
        <v>23441</v>
      </c>
      <c r="AP203" s="14" t="s">
        <v>23434</v>
      </c>
      <c r="AQ203" s="14" t="s">
        <v>23448</v>
      </c>
      <c r="AR203" s="14" t="s">
        <v>26236</v>
      </c>
      <c r="AS203" s="14" t="s">
        <v>23450</v>
      </c>
      <c r="AT203" s="14" t="s">
        <v>23434</v>
      </c>
      <c r="AU203" s="14" t="s">
        <v>23451</v>
      </c>
      <c r="AV203" s="14" t="s">
        <v>26237</v>
      </c>
      <c r="AW203" s="14" t="s">
        <v>22818</v>
      </c>
      <c r="AX203" s="14" t="s">
        <v>23434</v>
      </c>
      <c r="AY203" s="14" t="s">
        <v>23453</v>
      </c>
      <c r="AZ203" s="14" t="s">
        <v>26238</v>
      </c>
      <c r="BA203" s="14" t="s">
        <v>23455</v>
      </c>
      <c r="BB203" s="80"/>
      <c r="BC203" s="14" t="s">
        <v>23438</v>
      </c>
      <c r="BD203" s="81">
        <v>45698.622349537036</v>
      </c>
      <c r="BE203" s="79">
        <f>IFERROR((COUNTIFS('Base de Dados'!FD:FD,"Sim",'Base de Dados'!A:A,A203,'Base de Dados'!B:B,B203)/(COUNTIFS('Base de Dados'!FD:FD,"Sim",'Base de Dados'!A:A,A203,'Base de Dados'!B:B,B203)+(COUNTIFS('Base de Dados'!FD:FD,"Não",'Base de Dados'!A:A,A203,'Base de Dados'!B:B,B203)))),"Não Aplica")</f>
        <v>1</v>
      </c>
      <c r="BF203" s="14" t="s">
        <v>23434</v>
      </c>
      <c r="BG203" s="14" t="s">
        <v>23439</v>
      </c>
      <c r="BH203" s="14" t="s">
        <v>26239</v>
      </c>
      <c r="BI203" s="14" t="s">
        <v>23441</v>
      </c>
      <c r="BJ203" s="80"/>
      <c r="BK203" s="80"/>
      <c r="BL203" s="80"/>
      <c r="BM203" s="80"/>
      <c r="BN203" s="14" t="s">
        <v>23434</v>
      </c>
      <c r="BO203" s="14" t="s">
        <v>23453</v>
      </c>
      <c r="BP203" s="14" t="s">
        <v>26240</v>
      </c>
      <c r="BQ203" s="14" t="s">
        <v>23455</v>
      </c>
      <c r="BR203" s="14" t="s">
        <v>23434</v>
      </c>
      <c r="BS203" s="14" t="s">
        <v>23451</v>
      </c>
      <c r="BT203" s="14" t="s">
        <v>26241</v>
      </c>
      <c r="BU203" s="14" t="s">
        <v>22818</v>
      </c>
      <c r="BV203" s="80"/>
      <c r="BW203" s="14" t="s">
        <v>23438</v>
      </c>
      <c r="BX203" s="81">
        <v>45713.40457175926</v>
      </c>
      <c r="BY203" s="82" t="s">
        <v>23446</v>
      </c>
      <c r="BZ203" s="15"/>
      <c r="CA203" s="15"/>
      <c r="CB203" s="15"/>
      <c r="CC203" s="15"/>
      <c r="CD203" s="80"/>
      <c r="CE203" s="80"/>
      <c r="CF203" s="80"/>
      <c r="CG203" s="80"/>
      <c r="CH203" s="15"/>
      <c r="CI203" s="15"/>
      <c r="CJ203" s="15"/>
      <c r="CK203" s="15"/>
      <c r="CL203" s="15"/>
      <c r="CM203" s="15"/>
      <c r="CN203" s="15"/>
      <c r="CO203" s="15"/>
      <c r="CP203" s="80"/>
      <c r="CQ203" s="80" t="s">
        <v>23459</v>
      </c>
      <c r="CR203" s="83"/>
      <c r="CS203" s="84"/>
    </row>
    <row r="204">
      <c r="A204" s="78" t="s">
        <v>357</v>
      </c>
      <c r="B204" s="78" t="s">
        <v>4413</v>
      </c>
      <c r="C204" s="79">
        <f>IFERROR((COUNTIFS('Base de Dados'!BT:BT,"Sim",'Base de Dados'!A:A,A204,'Base de Dados'!B:B,B204)/(COUNTIFS('Base de Dados'!BT:BT,"Sim",'Base de Dados'!A:A,A204,'Base de Dados'!B:B,B204)+(COUNTIFS('Base de Dados'!BT:BT,"Não",'Base de Dados'!A:A,A204,'Base de Dados'!B:B,B204)))),"Não Aplica")</f>
        <v>1</v>
      </c>
      <c r="D204" s="14" t="s">
        <v>23434</v>
      </c>
      <c r="E204" s="14" t="s">
        <v>26242</v>
      </c>
      <c r="F204" s="14" t="s">
        <v>23436</v>
      </c>
      <c r="G204" s="14" t="s">
        <v>23434</v>
      </c>
      <c r="H204" s="14" t="s">
        <v>26243</v>
      </c>
      <c r="I204" s="14" t="s">
        <v>22818</v>
      </c>
      <c r="J204" s="80"/>
      <c r="K204" s="14" t="s">
        <v>23438</v>
      </c>
      <c r="L204" s="81">
        <v>45687.39439814815</v>
      </c>
      <c r="M204" s="79">
        <f>IFERROR((COUNTIFS('Base de Dados'!DF:DF,"Sim",'Base de Dados'!A:A,A204,'Base de Dados'!B:B,B204)/(COUNTIFS('Base de Dados'!DF:DF,"Sim",'Base de Dados'!A:A,A204,'Base de Dados'!B:B,B204)+(COUNTIFS('Base de Dados'!DF:DF,"Não",'Base de Dados'!A:A,A204,'Base de Dados'!B:B,B204)))),"Não Aplica")</f>
        <v>1</v>
      </c>
      <c r="N204" s="14" t="s">
        <v>25500</v>
      </c>
      <c r="O204" s="14" t="s">
        <v>23439</v>
      </c>
      <c r="P204" s="14" t="s">
        <v>26244</v>
      </c>
      <c r="Q204" s="14" t="s">
        <v>23441</v>
      </c>
      <c r="R204" s="15"/>
      <c r="S204" s="15"/>
      <c r="T204" s="15"/>
      <c r="U204" s="14" t="s">
        <v>25500</v>
      </c>
      <c r="V204" s="14" t="s">
        <v>26245</v>
      </c>
      <c r="W204" s="14" t="s">
        <v>22818</v>
      </c>
      <c r="X204" s="14" t="s">
        <v>26246</v>
      </c>
      <c r="Y204" s="14" t="s">
        <v>23438</v>
      </c>
      <c r="Z204" s="81">
        <v>45691.572291666664</v>
      </c>
      <c r="AA204" s="79">
        <f>IFERROR((COUNTIFS('Base de Dados'!ED:ED,"Sim",'Base de Dados'!A:A,A204,'Base de Dados'!B:B,B204)/(COUNTIFS('Base de Dados'!ED:ED,"Sim",'Base de Dados'!A:A,A204,'Base de Dados'!B:B,B204)+(COUNTIFS('Base de Dados'!ED:ED,"Não",'Base de Dados'!A:A,A204,'Base de Dados'!B:B,B204)))),"Não Aplica")</f>
        <v>1</v>
      </c>
      <c r="AB204" s="14" t="s">
        <v>23434</v>
      </c>
      <c r="AC204" s="14" t="s">
        <v>26247</v>
      </c>
      <c r="AD204" s="14" t="s">
        <v>23441</v>
      </c>
      <c r="AE204" s="14" t="s">
        <v>23434</v>
      </c>
      <c r="AF204" s="14" t="s">
        <v>26248</v>
      </c>
      <c r="AG204" s="14" t="s">
        <v>22818</v>
      </c>
      <c r="AH204" s="80"/>
      <c r="AI204" s="14" t="s">
        <v>23438</v>
      </c>
      <c r="AJ204" s="81">
        <v>45691.61769675926</v>
      </c>
      <c r="AK204" s="82" t="s">
        <v>23446</v>
      </c>
      <c r="AL204" s="14" t="s">
        <v>23434</v>
      </c>
      <c r="AM204" s="14" t="s">
        <v>23439</v>
      </c>
      <c r="AN204" s="14" t="s">
        <v>26249</v>
      </c>
      <c r="AO204" s="14" t="s">
        <v>23441</v>
      </c>
      <c r="AP204" s="14" t="s">
        <v>23434</v>
      </c>
      <c r="AQ204" s="14" t="s">
        <v>23448</v>
      </c>
      <c r="AR204" s="14" t="s">
        <v>26250</v>
      </c>
      <c r="AS204" s="14" t="s">
        <v>23450</v>
      </c>
      <c r="AT204" s="14" t="s">
        <v>23434</v>
      </c>
      <c r="AU204" s="14" t="s">
        <v>23451</v>
      </c>
      <c r="AV204" s="14" t="s">
        <v>26251</v>
      </c>
      <c r="AW204" s="14" t="s">
        <v>22818</v>
      </c>
      <c r="AX204" s="14" t="s">
        <v>23434</v>
      </c>
      <c r="AY204" s="14" t="s">
        <v>23453</v>
      </c>
      <c r="AZ204" s="14" t="s">
        <v>26252</v>
      </c>
      <c r="BA204" s="14" t="s">
        <v>23455</v>
      </c>
      <c r="BB204" s="80"/>
      <c r="BC204" s="14" t="s">
        <v>23438</v>
      </c>
      <c r="BD204" s="81">
        <v>45698.622407407405</v>
      </c>
      <c r="BE204" s="79">
        <f>IFERROR((COUNTIFS('Base de Dados'!FD:FD,"Sim",'Base de Dados'!A:A,A204,'Base de Dados'!B:B,B204)/(COUNTIFS('Base de Dados'!FD:FD,"Sim",'Base de Dados'!A:A,A204,'Base de Dados'!B:B,B204)+(COUNTIFS('Base de Dados'!FD:FD,"Não",'Base de Dados'!A:A,A204,'Base de Dados'!B:B,B204)))),"Não Aplica")</f>
        <v>1</v>
      </c>
      <c r="BF204" s="14" t="s">
        <v>23434</v>
      </c>
      <c r="BG204" s="14" t="s">
        <v>23439</v>
      </c>
      <c r="BH204" s="14" t="s">
        <v>26253</v>
      </c>
      <c r="BI204" s="14" t="s">
        <v>23441</v>
      </c>
      <c r="BJ204" s="80"/>
      <c r="BK204" s="80"/>
      <c r="BL204" s="80"/>
      <c r="BM204" s="80"/>
      <c r="BN204" s="14" t="s">
        <v>23434</v>
      </c>
      <c r="BO204" s="14" t="s">
        <v>23453</v>
      </c>
      <c r="BP204" s="14" t="s">
        <v>26254</v>
      </c>
      <c r="BQ204" s="14" t="s">
        <v>23455</v>
      </c>
      <c r="BR204" s="14" t="s">
        <v>23434</v>
      </c>
      <c r="BS204" s="14" t="s">
        <v>23451</v>
      </c>
      <c r="BT204" s="14" t="s">
        <v>26255</v>
      </c>
      <c r="BU204" s="14" t="s">
        <v>22818</v>
      </c>
      <c r="BV204" s="80"/>
      <c r="BW204" s="14" t="s">
        <v>23438</v>
      </c>
      <c r="BX204" s="81">
        <v>45722.76957175926</v>
      </c>
      <c r="BY204" s="82" t="s">
        <v>23446</v>
      </c>
      <c r="BZ204" s="15"/>
      <c r="CA204" s="15"/>
      <c r="CB204" s="15"/>
      <c r="CC204" s="15"/>
      <c r="CD204" s="80"/>
      <c r="CE204" s="80"/>
      <c r="CF204" s="80"/>
      <c r="CG204" s="80"/>
      <c r="CH204" s="15"/>
      <c r="CI204" s="15"/>
      <c r="CJ204" s="15"/>
      <c r="CK204" s="15"/>
      <c r="CL204" s="15"/>
      <c r="CM204" s="15"/>
      <c r="CN204" s="15"/>
      <c r="CO204" s="15"/>
      <c r="CP204" s="80"/>
      <c r="CQ204" s="80" t="s">
        <v>23459</v>
      </c>
      <c r="CR204" s="83"/>
      <c r="CS204" s="84"/>
    </row>
    <row r="205">
      <c r="A205" s="78" t="s">
        <v>357</v>
      </c>
      <c r="B205" s="78" t="s">
        <v>4240</v>
      </c>
      <c r="C205" s="79">
        <f>IFERROR((COUNTIFS('Base de Dados'!BT:BT,"Sim",'Base de Dados'!A:A,A205,'Base de Dados'!B:B,B205)/(COUNTIFS('Base de Dados'!BT:BT,"Sim",'Base de Dados'!A:A,A205,'Base de Dados'!B:B,B205)+(COUNTIFS('Base de Dados'!BT:BT,"Não",'Base de Dados'!A:A,A205,'Base de Dados'!B:B,B205)))),"Não Aplica")</f>
        <v>1</v>
      </c>
      <c r="D205" s="14" t="s">
        <v>23434</v>
      </c>
      <c r="E205" s="14" t="s">
        <v>26256</v>
      </c>
      <c r="F205" s="14" t="s">
        <v>23436</v>
      </c>
      <c r="G205" s="14" t="s">
        <v>23434</v>
      </c>
      <c r="H205" s="14" t="s">
        <v>26257</v>
      </c>
      <c r="I205" s="14" t="s">
        <v>22818</v>
      </c>
      <c r="J205" s="80"/>
      <c r="K205" s="14" t="s">
        <v>23438</v>
      </c>
      <c r="L205" s="81">
        <v>45687.39420138889</v>
      </c>
      <c r="M205" s="79">
        <f>IFERROR((COUNTIFS('Base de Dados'!DF:DF,"Sim",'Base de Dados'!A:A,A205,'Base de Dados'!B:B,B205)/(COUNTIFS('Base de Dados'!DF:DF,"Sim",'Base de Dados'!A:A,A205,'Base de Dados'!B:B,B205)+(COUNTIFS('Base de Dados'!DF:DF,"Não",'Base de Dados'!A:A,A205,'Base de Dados'!B:B,B205)))),"Não Aplica")</f>
        <v>1</v>
      </c>
      <c r="N205" s="14" t="s">
        <v>23434</v>
      </c>
      <c r="O205" s="14" t="s">
        <v>23439</v>
      </c>
      <c r="P205" s="14" t="s">
        <v>26258</v>
      </c>
      <c r="Q205" s="14" t="s">
        <v>23441</v>
      </c>
      <c r="R205" s="14" t="s">
        <v>23434</v>
      </c>
      <c r="S205" s="14" t="s">
        <v>26259</v>
      </c>
      <c r="T205" s="14" t="s">
        <v>23436</v>
      </c>
      <c r="U205" s="14" t="s">
        <v>23434</v>
      </c>
      <c r="V205" s="14" t="s">
        <v>26260</v>
      </c>
      <c r="W205" s="14" t="s">
        <v>22818</v>
      </c>
      <c r="X205" s="80"/>
      <c r="Y205" s="14" t="s">
        <v>23438</v>
      </c>
      <c r="Z205" s="81">
        <v>45691.61638888889</v>
      </c>
      <c r="AA205" s="79">
        <f>IFERROR((COUNTIFS('Base de Dados'!ED:ED,"Sim",'Base de Dados'!A:A,A205,'Base de Dados'!B:B,B205)/(COUNTIFS('Base de Dados'!ED:ED,"Sim",'Base de Dados'!A:A,A205,'Base de Dados'!B:B,B205)+(COUNTIFS('Base de Dados'!ED:ED,"Não",'Base de Dados'!A:A,A205,'Base de Dados'!B:B,B205)))),"Não Aplica")</f>
        <v>1</v>
      </c>
      <c r="AB205" s="14" t="s">
        <v>23434</v>
      </c>
      <c r="AC205" s="14" t="s">
        <v>26261</v>
      </c>
      <c r="AD205" s="14" t="s">
        <v>23441</v>
      </c>
      <c r="AE205" s="14" t="s">
        <v>23434</v>
      </c>
      <c r="AF205" s="14" t="s">
        <v>26262</v>
      </c>
      <c r="AG205" s="14" t="s">
        <v>22818</v>
      </c>
      <c r="AH205" s="80"/>
      <c r="AI205" s="14" t="s">
        <v>23438</v>
      </c>
      <c r="AJ205" s="81">
        <v>45692.637349537035</v>
      </c>
      <c r="AK205" s="82" t="s">
        <v>23446</v>
      </c>
      <c r="AL205" s="14" t="s">
        <v>23434</v>
      </c>
      <c r="AM205" s="14" t="s">
        <v>23439</v>
      </c>
      <c r="AN205" s="14" t="s">
        <v>26263</v>
      </c>
      <c r="AO205" s="14" t="s">
        <v>23441</v>
      </c>
      <c r="AP205" s="14" t="s">
        <v>23434</v>
      </c>
      <c r="AQ205" s="14" t="s">
        <v>23448</v>
      </c>
      <c r="AR205" s="14" t="s">
        <v>26264</v>
      </c>
      <c r="AS205" s="14" t="s">
        <v>23450</v>
      </c>
      <c r="AT205" s="14" t="s">
        <v>23434</v>
      </c>
      <c r="AU205" s="14" t="s">
        <v>23451</v>
      </c>
      <c r="AV205" s="14" t="s">
        <v>26265</v>
      </c>
      <c r="AW205" s="14" t="s">
        <v>22818</v>
      </c>
      <c r="AX205" s="14" t="s">
        <v>23434</v>
      </c>
      <c r="AY205" s="14" t="s">
        <v>23453</v>
      </c>
      <c r="AZ205" s="14" t="s">
        <v>26266</v>
      </c>
      <c r="BA205" s="14" t="s">
        <v>23455</v>
      </c>
      <c r="BB205" s="80"/>
      <c r="BC205" s="14" t="s">
        <v>23438</v>
      </c>
      <c r="BD205" s="81">
        <v>45698.62262731481</v>
      </c>
      <c r="BE205" s="79">
        <f>IFERROR((COUNTIFS('Base de Dados'!FD:FD,"Sim",'Base de Dados'!A:A,A205,'Base de Dados'!B:B,B205)/(COUNTIFS('Base de Dados'!FD:FD,"Sim",'Base de Dados'!A:A,A205,'Base de Dados'!B:B,B205)+(COUNTIFS('Base de Dados'!FD:FD,"Não",'Base de Dados'!A:A,A205,'Base de Dados'!B:B,B205)))),"Não Aplica")</f>
        <v>1</v>
      </c>
      <c r="BF205" s="14" t="s">
        <v>23434</v>
      </c>
      <c r="BG205" s="14" t="s">
        <v>23439</v>
      </c>
      <c r="BH205" s="14" t="s">
        <v>26267</v>
      </c>
      <c r="BI205" s="14" t="s">
        <v>23441</v>
      </c>
      <c r="BJ205" s="80"/>
      <c r="BK205" s="80"/>
      <c r="BL205" s="80"/>
      <c r="BM205" s="80"/>
      <c r="BN205" s="14" t="s">
        <v>23434</v>
      </c>
      <c r="BO205" s="14" t="s">
        <v>23453</v>
      </c>
      <c r="BP205" s="14" t="s">
        <v>26268</v>
      </c>
      <c r="BQ205" s="14" t="s">
        <v>23455</v>
      </c>
      <c r="BR205" s="14" t="s">
        <v>23434</v>
      </c>
      <c r="BS205" s="14" t="s">
        <v>23451</v>
      </c>
      <c r="BT205" s="14" t="s">
        <v>26269</v>
      </c>
      <c r="BU205" s="14" t="s">
        <v>22818</v>
      </c>
      <c r="BV205" s="80"/>
      <c r="BW205" s="14" t="s">
        <v>23438</v>
      </c>
      <c r="BX205" s="81">
        <v>45722.76605324074</v>
      </c>
      <c r="BY205" s="82" t="s">
        <v>23446</v>
      </c>
      <c r="BZ205" s="15"/>
      <c r="CA205" s="15"/>
      <c r="CB205" s="15"/>
      <c r="CC205" s="15"/>
      <c r="CD205" s="80"/>
      <c r="CE205" s="80"/>
      <c r="CF205" s="80"/>
      <c r="CG205" s="80"/>
      <c r="CH205" s="15"/>
      <c r="CI205" s="15"/>
      <c r="CJ205" s="15"/>
      <c r="CK205" s="15"/>
      <c r="CL205" s="15"/>
      <c r="CM205" s="15"/>
      <c r="CN205" s="15"/>
      <c r="CO205" s="15"/>
      <c r="CP205" s="80"/>
      <c r="CQ205" s="80" t="s">
        <v>23459</v>
      </c>
      <c r="CR205" s="83"/>
      <c r="CS205" s="84"/>
    </row>
    <row r="206">
      <c r="A206" s="78" t="s">
        <v>357</v>
      </c>
      <c r="B206" s="78" t="s">
        <v>4108</v>
      </c>
      <c r="C206" s="79">
        <f>IFERROR((COUNTIFS('Base de Dados'!BT:BT,"Sim",'Base de Dados'!A:A,A206,'Base de Dados'!B:B,B206)/(COUNTIFS('Base de Dados'!BT:BT,"Sim",'Base de Dados'!A:A,A206,'Base de Dados'!B:B,B206)+(COUNTIFS('Base de Dados'!BT:BT,"Não",'Base de Dados'!A:A,A206,'Base de Dados'!B:B,B206)))),"Não Aplica")</f>
        <v>1</v>
      </c>
      <c r="D206" s="14" t="s">
        <v>23434</v>
      </c>
      <c r="E206" s="14" t="s">
        <v>26270</v>
      </c>
      <c r="F206" s="14" t="s">
        <v>23436</v>
      </c>
      <c r="G206" s="14" t="s">
        <v>23434</v>
      </c>
      <c r="H206" s="14" t="s">
        <v>26271</v>
      </c>
      <c r="I206" s="14" t="s">
        <v>22818</v>
      </c>
      <c r="J206" s="80"/>
      <c r="K206" s="14" t="s">
        <v>23438</v>
      </c>
      <c r="L206" s="81">
        <v>45687.39412037037</v>
      </c>
      <c r="M206" s="79">
        <f>IFERROR((COUNTIFS('Base de Dados'!DF:DF,"Sim",'Base de Dados'!A:A,A206,'Base de Dados'!B:B,B206)/(COUNTIFS('Base de Dados'!DF:DF,"Sim",'Base de Dados'!A:A,A206,'Base de Dados'!B:B,B206)+(COUNTIFS('Base de Dados'!DF:DF,"Não",'Base de Dados'!A:A,A206,'Base de Dados'!B:B,B206)))),"Não Aplica")</f>
        <v>1</v>
      </c>
      <c r="N206" s="14" t="s">
        <v>23434</v>
      </c>
      <c r="O206" s="14" t="s">
        <v>23439</v>
      </c>
      <c r="P206" s="14" t="s">
        <v>26272</v>
      </c>
      <c r="Q206" s="14" t="s">
        <v>23441</v>
      </c>
      <c r="R206" s="14" t="s">
        <v>23434</v>
      </c>
      <c r="S206" s="14" t="s">
        <v>26273</v>
      </c>
      <c r="T206" s="14" t="s">
        <v>23436</v>
      </c>
      <c r="U206" s="14" t="s">
        <v>23434</v>
      </c>
      <c r="V206" s="14" t="s">
        <v>26274</v>
      </c>
      <c r="W206" s="14" t="s">
        <v>22818</v>
      </c>
      <c r="X206" s="80"/>
      <c r="Y206" s="14" t="s">
        <v>23438</v>
      </c>
      <c r="Z206" s="81">
        <v>45691.61702546296</v>
      </c>
      <c r="AA206" s="79">
        <f>IFERROR((COUNTIFS('Base de Dados'!ED:ED,"Sim",'Base de Dados'!A:A,A206,'Base de Dados'!B:B,B206)/(COUNTIFS('Base de Dados'!ED:ED,"Sim",'Base de Dados'!A:A,A206,'Base de Dados'!B:B,B206)+(COUNTIFS('Base de Dados'!ED:ED,"Não",'Base de Dados'!A:A,A206,'Base de Dados'!B:B,B206)))),"Não Aplica")</f>
        <v>1</v>
      </c>
      <c r="AB206" s="14" t="s">
        <v>23434</v>
      </c>
      <c r="AC206" s="14" t="s">
        <v>26275</v>
      </c>
      <c r="AD206" s="14" t="s">
        <v>23441</v>
      </c>
      <c r="AE206" s="14" t="s">
        <v>23434</v>
      </c>
      <c r="AF206" s="14" t="s">
        <v>26276</v>
      </c>
      <c r="AG206" s="14" t="s">
        <v>22818</v>
      </c>
      <c r="AH206" s="80"/>
      <c r="AI206" s="14" t="s">
        <v>23438</v>
      </c>
      <c r="AJ206" s="81">
        <v>45692.63736111111</v>
      </c>
      <c r="AK206" s="82" t="s">
        <v>23446</v>
      </c>
      <c r="AL206" s="14" t="s">
        <v>23434</v>
      </c>
      <c r="AM206" s="14" t="s">
        <v>23439</v>
      </c>
      <c r="AN206" s="14" t="s">
        <v>26277</v>
      </c>
      <c r="AO206" s="14" t="s">
        <v>23441</v>
      </c>
      <c r="AP206" s="14" t="s">
        <v>23434</v>
      </c>
      <c r="AQ206" s="14" t="s">
        <v>23448</v>
      </c>
      <c r="AR206" s="14" t="s">
        <v>26278</v>
      </c>
      <c r="AS206" s="14" t="s">
        <v>23450</v>
      </c>
      <c r="AT206" s="14" t="s">
        <v>23434</v>
      </c>
      <c r="AU206" s="14" t="s">
        <v>23451</v>
      </c>
      <c r="AV206" s="14" t="s">
        <v>26279</v>
      </c>
      <c r="AW206" s="14" t="s">
        <v>22818</v>
      </c>
      <c r="AX206" s="14" t="s">
        <v>23434</v>
      </c>
      <c r="AY206" s="14" t="s">
        <v>23453</v>
      </c>
      <c r="AZ206" s="14" t="s">
        <v>26280</v>
      </c>
      <c r="BA206" s="14" t="s">
        <v>23455</v>
      </c>
      <c r="BB206" s="80"/>
      <c r="BC206" s="14" t="s">
        <v>23438</v>
      </c>
      <c r="BD206" s="81">
        <v>45698.622511574074</v>
      </c>
      <c r="BE206" s="79">
        <f>IFERROR((COUNTIFS('Base de Dados'!FD:FD,"Sim",'Base de Dados'!A:A,A206,'Base de Dados'!B:B,B206)/(COUNTIFS('Base de Dados'!FD:FD,"Sim",'Base de Dados'!A:A,A206,'Base de Dados'!B:B,B206)+(COUNTIFS('Base de Dados'!FD:FD,"Não",'Base de Dados'!A:A,A206,'Base de Dados'!B:B,B206)))),"Não Aplica")</f>
        <v>1</v>
      </c>
      <c r="BF206" s="14" t="s">
        <v>23434</v>
      </c>
      <c r="BG206" s="14" t="s">
        <v>23439</v>
      </c>
      <c r="BH206" s="14" t="s">
        <v>26281</v>
      </c>
      <c r="BI206" s="14" t="s">
        <v>23441</v>
      </c>
      <c r="BJ206" s="80"/>
      <c r="BK206" s="80"/>
      <c r="BL206" s="80"/>
      <c r="BM206" s="80"/>
      <c r="BN206" s="14" t="s">
        <v>23434</v>
      </c>
      <c r="BO206" s="14" t="s">
        <v>23453</v>
      </c>
      <c r="BP206" s="14" t="s">
        <v>26282</v>
      </c>
      <c r="BQ206" s="14" t="s">
        <v>23455</v>
      </c>
      <c r="BR206" s="14" t="s">
        <v>23434</v>
      </c>
      <c r="BS206" s="14" t="s">
        <v>23451</v>
      </c>
      <c r="BT206" s="14" t="s">
        <v>26283</v>
      </c>
      <c r="BU206" s="14" t="s">
        <v>22818</v>
      </c>
      <c r="BV206" s="80"/>
      <c r="BW206" s="14" t="s">
        <v>23438</v>
      </c>
      <c r="BX206" s="81">
        <v>45722.76609953704</v>
      </c>
      <c r="BY206" s="82" t="s">
        <v>23446</v>
      </c>
      <c r="BZ206" s="15"/>
      <c r="CA206" s="15"/>
      <c r="CB206" s="15"/>
      <c r="CC206" s="15"/>
      <c r="CD206" s="80"/>
      <c r="CE206" s="80"/>
      <c r="CF206" s="80"/>
      <c r="CG206" s="80"/>
      <c r="CH206" s="15"/>
      <c r="CI206" s="15"/>
      <c r="CJ206" s="15"/>
      <c r="CK206" s="15"/>
      <c r="CL206" s="15"/>
      <c r="CM206" s="15"/>
      <c r="CN206" s="15"/>
      <c r="CO206" s="15"/>
      <c r="CP206" s="80"/>
      <c r="CQ206" s="80" t="s">
        <v>23459</v>
      </c>
      <c r="CR206" s="83"/>
      <c r="CS206" s="84"/>
    </row>
    <row r="207">
      <c r="A207" s="78" t="s">
        <v>357</v>
      </c>
      <c r="B207" s="78" t="s">
        <v>18706</v>
      </c>
      <c r="C207" s="79">
        <f>IFERROR((COUNTIFS('Base de Dados'!BT:BT,"Sim",'Base de Dados'!A:A,A207,'Base de Dados'!B:B,B207)/(COUNTIFS('Base de Dados'!BT:BT,"Sim",'Base de Dados'!A:A,A207,'Base de Dados'!B:B,B207)+(COUNTIFS('Base de Dados'!BT:BT,"Não",'Base de Dados'!A:A,A207,'Base de Dados'!B:B,B207)))),"Não Aplica")</f>
        <v>1</v>
      </c>
      <c r="D207" s="14" t="s">
        <v>23434</v>
      </c>
      <c r="E207" s="14" t="s">
        <v>26284</v>
      </c>
      <c r="F207" s="14" t="s">
        <v>23436</v>
      </c>
      <c r="G207" s="14" t="s">
        <v>23434</v>
      </c>
      <c r="H207" s="14" t="s">
        <v>26285</v>
      </c>
      <c r="I207" s="14" t="s">
        <v>22818</v>
      </c>
      <c r="J207" s="80"/>
      <c r="K207" s="14" t="s">
        <v>23438</v>
      </c>
      <c r="L207" s="81">
        <v>45687.393854166665</v>
      </c>
      <c r="M207" s="79">
        <f>IFERROR((COUNTIFS('Base de Dados'!DF:DF,"Sim",'Base de Dados'!A:A,A207,'Base de Dados'!B:B,B207)/(COUNTIFS('Base de Dados'!DF:DF,"Sim",'Base de Dados'!A:A,A207,'Base de Dados'!B:B,B207)+(COUNTIFS('Base de Dados'!DF:DF,"Não",'Base de Dados'!A:A,A207,'Base de Dados'!B:B,B207)))),"Não Aplica")</f>
        <v>1</v>
      </c>
      <c r="N207" s="14" t="s">
        <v>23434</v>
      </c>
      <c r="O207" s="14" t="s">
        <v>23439</v>
      </c>
      <c r="P207" s="14" t="s">
        <v>26286</v>
      </c>
      <c r="Q207" s="14" t="s">
        <v>23441</v>
      </c>
      <c r="R207" s="14" t="s">
        <v>23434</v>
      </c>
      <c r="S207" s="14" t="s">
        <v>26287</v>
      </c>
      <c r="T207" s="14" t="s">
        <v>23436</v>
      </c>
      <c r="U207" s="14" t="s">
        <v>23434</v>
      </c>
      <c r="V207" s="14" t="s">
        <v>26288</v>
      </c>
      <c r="W207" s="14" t="s">
        <v>22818</v>
      </c>
      <c r="X207" s="80"/>
      <c r="Y207" s="14" t="s">
        <v>23438</v>
      </c>
      <c r="Z207" s="81">
        <v>45691.61644675926</v>
      </c>
      <c r="AA207" s="79">
        <f>IFERROR((COUNTIFS('Base de Dados'!ED:ED,"Sim",'Base de Dados'!A:A,A207,'Base de Dados'!B:B,B207)/(COUNTIFS('Base de Dados'!ED:ED,"Sim",'Base de Dados'!A:A,A207,'Base de Dados'!B:B,B207)+(COUNTIFS('Base de Dados'!ED:ED,"Não",'Base de Dados'!A:A,A207,'Base de Dados'!B:B,B207)))),"Não Aplica")</f>
        <v>1</v>
      </c>
      <c r="AB207" s="14" t="s">
        <v>23434</v>
      </c>
      <c r="AC207" s="14" t="s">
        <v>26289</v>
      </c>
      <c r="AD207" s="14" t="s">
        <v>23441</v>
      </c>
      <c r="AE207" s="14" t="s">
        <v>23434</v>
      </c>
      <c r="AF207" s="14" t="s">
        <v>26290</v>
      </c>
      <c r="AG207" s="14" t="s">
        <v>22818</v>
      </c>
      <c r="AH207" s="80"/>
      <c r="AI207" s="14" t="s">
        <v>23438</v>
      </c>
      <c r="AJ207" s="81">
        <v>45692.63738425926</v>
      </c>
      <c r="AK207" s="82" t="s">
        <v>23446</v>
      </c>
      <c r="AL207" s="14" t="s">
        <v>23434</v>
      </c>
      <c r="AM207" s="14" t="s">
        <v>23439</v>
      </c>
      <c r="AN207" s="14" t="s">
        <v>26291</v>
      </c>
      <c r="AO207" s="14" t="s">
        <v>23441</v>
      </c>
      <c r="AP207" s="14" t="s">
        <v>23434</v>
      </c>
      <c r="AQ207" s="14" t="s">
        <v>23448</v>
      </c>
      <c r="AR207" s="14" t="s">
        <v>26292</v>
      </c>
      <c r="AS207" s="14" t="s">
        <v>23450</v>
      </c>
      <c r="AT207" s="14" t="s">
        <v>23434</v>
      </c>
      <c r="AU207" s="14" t="s">
        <v>23451</v>
      </c>
      <c r="AV207" s="14" t="s">
        <v>26293</v>
      </c>
      <c r="AW207" s="14" t="s">
        <v>22818</v>
      </c>
      <c r="AX207" s="14" t="s">
        <v>23434</v>
      </c>
      <c r="AY207" s="14" t="s">
        <v>23453</v>
      </c>
      <c r="AZ207" s="14" t="s">
        <v>26294</v>
      </c>
      <c r="BA207" s="14" t="s">
        <v>23455</v>
      </c>
      <c r="BB207" s="80"/>
      <c r="BC207" s="14" t="s">
        <v>23438</v>
      </c>
      <c r="BD207" s="81">
        <v>45698.622569444444</v>
      </c>
      <c r="BE207" s="79">
        <f>IFERROR((COUNTIFS('Base de Dados'!FD:FD,"Sim",'Base de Dados'!A:A,A207,'Base de Dados'!B:B,B207)/(COUNTIFS('Base de Dados'!FD:FD,"Sim",'Base de Dados'!A:A,A207,'Base de Dados'!B:B,B207)+(COUNTIFS('Base de Dados'!FD:FD,"Não",'Base de Dados'!A:A,A207,'Base de Dados'!B:B,B207)))),"Não Aplica")</f>
        <v>1</v>
      </c>
      <c r="BF207" s="14" t="s">
        <v>23434</v>
      </c>
      <c r="BG207" s="14" t="s">
        <v>23439</v>
      </c>
      <c r="BH207" s="14" t="s">
        <v>26295</v>
      </c>
      <c r="BI207" s="14" t="s">
        <v>23441</v>
      </c>
      <c r="BJ207" s="80"/>
      <c r="BK207" s="80"/>
      <c r="BL207" s="80"/>
      <c r="BM207" s="80"/>
      <c r="BN207" s="14" t="s">
        <v>23434</v>
      </c>
      <c r="BO207" s="14" t="s">
        <v>23453</v>
      </c>
      <c r="BP207" s="14" t="s">
        <v>26296</v>
      </c>
      <c r="BQ207" s="14" t="s">
        <v>23455</v>
      </c>
      <c r="BR207" s="14" t="s">
        <v>23434</v>
      </c>
      <c r="BS207" s="14" t="s">
        <v>23451</v>
      </c>
      <c r="BT207" s="14" t="s">
        <v>26297</v>
      </c>
      <c r="BU207" s="14" t="s">
        <v>22818</v>
      </c>
      <c r="BV207" s="80"/>
      <c r="BW207" s="14" t="s">
        <v>23438</v>
      </c>
      <c r="BX207" s="81">
        <v>45713.34953703704</v>
      </c>
      <c r="BY207" s="82" t="s">
        <v>23446</v>
      </c>
      <c r="BZ207" s="15"/>
      <c r="CA207" s="15"/>
      <c r="CB207" s="15"/>
      <c r="CC207" s="15"/>
      <c r="CD207" s="80"/>
      <c r="CE207" s="80"/>
      <c r="CF207" s="80"/>
      <c r="CG207" s="80"/>
      <c r="CH207" s="15"/>
      <c r="CI207" s="15"/>
      <c r="CJ207" s="15"/>
      <c r="CK207" s="15"/>
      <c r="CL207" s="15"/>
      <c r="CM207" s="15"/>
      <c r="CN207" s="15"/>
      <c r="CO207" s="15"/>
      <c r="CP207" s="80"/>
      <c r="CQ207" s="80" t="s">
        <v>23459</v>
      </c>
      <c r="CR207" s="83"/>
      <c r="CS207" s="84"/>
    </row>
    <row r="208">
      <c r="A208" s="78" t="s">
        <v>357</v>
      </c>
      <c r="B208" s="78" t="s">
        <v>3998</v>
      </c>
      <c r="C208" s="79">
        <f>IFERROR((COUNTIFS('Base de Dados'!BT:BT,"Sim",'Base de Dados'!A:A,A208,'Base de Dados'!B:B,B208)/(COUNTIFS('Base de Dados'!BT:BT,"Sim",'Base de Dados'!A:A,A208,'Base de Dados'!B:B,B208)+(COUNTIFS('Base de Dados'!BT:BT,"Não",'Base de Dados'!A:A,A208,'Base de Dados'!B:B,B208)))),"Não Aplica")</f>
        <v>1</v>
      </c>
      <c r="D208" s="14" t="s">
        <v>23434</v>
      </c>
      <c r="E208" s="14" t="s">
        <v>26298</v>
      </c>
      <c r="F208" s="14" t="s">
        <v>23436</v>
      </c>
      <c r="G208" s="14" t="s">
        <v>23434</v>
      </c>
      <c r="H208" s="14" t="s">
        <v>26299</v>
      </c>
      <c r="I208" s="14" t="s">
        <v>22818</v>
      </c>
      <c r="J208" s="80"/>
      <c r="K208" s="14" t="s">
        <v>23438</v>
      </c>
      <c r="L208" s="81">
        <v>45684.45890046296</v>
      </c>
      <c r="M208" s="79">
        <f>IFERROR((COUNTIFS('Base de Dados'!DF:DF,"Sim",'Base de Dados'!A:A,A208,'Base de Dados'!B:B,B208)/(COUNTIFS('Base de Dados'!DF:DF,"Sim",'Base de Dados'!A:A,A208,'Base de Dados'!B:B,B208)+(COUNTIFS('Base de Dados'!DF:DF,"Não",'Base de Dados'!A:A,A208,'Base de Dados'!B:B,B208)))),"Não Aplica")</f>
        <v>1</v>
      </c>
      <c r="N208" s="14" t="s">
        <v>23434</v>
      </c>
      <c r="O208" s="14" t="s">
        <v>23439</v>
      </c>
      <c r="P208" s="14" t="s">
        <v>26300</v>
      </c>
      <c r="Q208" s="14" t="s">
        <v>23441</v>
      </c>
      <c r="R208" s="14" t="s">
        <v>23434</v>
      </c>
      <c r="S208" s="14" t="s">
        <v>26301</v>
      </c>
      <c r="T208" s="14" t="s">
        <v>23436</v>
      </c>
      <c r="U208" s="14" t="s">
        <v>23434</v>
      </c>
      <c r="V208" s="14" t="s">
        <v>26302</v>
      </c>
      <c r="W208" s="14" t="s">
        <v>22818</v>
      </c>
      <c r="X208" s="80"/>
      <c r="Y208" s="14" t="s">
        <v>23438</v>
      </c>
      <c r="Z208" s="81">
        <v>45691.616527777776</v>
      </c>
      <c r="AA208" s="79">
        <f>IFERROR((COUNTIFS('Base de Dados'!ED:ED,"Sim",'Base de Dados'!A:A,A208,'Base de Dados'!B:B,B208)/(COUNTIFS('Base de Dados'!ED:ED,"Sim",'Base de Dados'!A:A,A208,'Base de Dados'!B:B,B208)+(COUNTIFS('Base de Dados'!ED:ED,"Não",'Base de Dados'!A:A,A208,'Base de Dados'!B:B,B208)))),"Não Aplica")</f>
        <v>1</v>
      </c>
      <c r="AB208" s="14" t="s">
        <v>23434</v>
      </c>
      <c r="AC208" s="14" t="s">
        <v>26303</v>
      </c>
      <c r="AD208" s="14" t="s">
        <v>23441</v>
      </c>
      <c r="AE208" s="14" t="s">
        <v>23434</v>
      </c>
      <c r="AF208" s="14" t="s">
        <v>26304</v>
      </c>
      <c r="AG208" s="14" t="s">
        <v>22818</v>
      </c>
      <c r="AH208" s="80"/>
      <c r="AI208" s="14" t="s">
        <v>23438</v>
      </c>
      <c r="AJ208" s="81">
        <v>45692.637407407405</v>
      </c>
      <c r="AK208" s="82" t="s">
        <v>23446</v>
      </c>
      <c r="AL208" s="14" t="s">
        <v>23434</v>
      </c>
      <c r="AM208" s="14" t="s">
        <v>23439</v>
      </c>
      <c r="AN208" s="14" t="s">
        <v>26305</v>
      </c>
      <c r="AO208" s="14" t="s">
        <v>23441</v>
      </c>
      <c r="AP208" s="14" t="s">
        <v>23434</v>
      </c>
      <c r="AQ208" s="14" t="s">
        <v>23448</v>
      </c>
      <c r="AR208" s="14" t="s">
        <v>26306</v>
      </c>
      <c r="AS208" s="14" t="s">
        <v>23450</v>
      </c>
      <c r="AT208" s="14" t="s">
        <v>23434</v>
      </c>
      <c r="AU208" s="14" t="s">
        <v>23451</v>
      </c>
      <c r="AV208" s="14" t="s">
        <v>26307</v>
      </c>
      <c r="AW208" s="14" t="s">
        <v>22818</v>
      </c>
      <c r="AX208" s="14" t="s">
        <v>23434</v>
      </c>
      <c r="AY208" s="14" t="s">
        <v>23453</v>
      </c>
      <c r="AZ208" s="14" t="s">
        <v>26308</v>
      </c>
      <c r="BA208" s="14" t="s">
        <v>23455</v>
      </c>
      <c r="BB208" s="80"/>
      <c r="BC208" s="14" t="s">
        <v>23438</v>
      </c>
      <c r="BD208" s="81">
        <v>45699.475266203706</v>
      </c>
      <c r="BE208" s="79">
        <f>IFERROR((COUNTIFS('Base de Dados'!FD:FD,"Sim",'Base de Dados'!A:A,A208,'Base de Dados'!B:B,B208)/(COUNTIFS('Base de Dados'!FD:FD,"Sim",'Base de Dados'!A:A,A208,'Base de Dados'!B:B,B208)+(COUNTIFS('Base de Dados'!FD:FD,"Não",'Base de Dados'!A:A,A208,'Base de Dados'!B:B,B208)))),"Não Aplica")</f>
        <v>1</v>
      </c>
      <c r="BF208" s="14" t="s">
        <v>23434</v>
      </c>
      <c r="BG208" s="14" t="s">
        <v>23439</v>
      </c>
      <c r="BH208" s="14" t="s">
        <v>26309</v>
      </c>
      <c r="BI208" s="14" t="s">
        <v>23441</v>
      </c>
      <c r="BJ208" s="80"/>
      <c r="BK208" s="80"/>
      <c r="BL208" s="80"/>
      <c r="BM208" s="80"/>
      <c r="BN208" s="14" t="s">
        <v>23434</v>
      </c>
      <c r="BO208" s="14" t="s">
        <v>23453</v>
      </c>
      <c r="BP208" s="14" t="s">
        <v>26310</v>
      </c>
      <c r="BQ208" s="14" t="s">
        <v>23455</v>
      </c>
      <c r="BR208" s="14" t="s">
        <v>23434</v>
      </c>
      <c r="BS208" s="14" t="s">
        <v>23451</v>
      </c>
      <c r="BT208" s="14" t="s">
        <v>26311</v>
      </c>
      <c r="BU208" s="14" t="s">
        <v>22818</v>
      </c>
      <c r="BV208" s="80"/>
      <c r="BW208" s="14" t="s">
        <v>23438</v>
      </c>
      <c r="BX208" s="81">
        <v>45713.34960648148</v>
      </c>
      <c r="BY208" s="82" t="s">
        <v>23446</v>
      </c>
      <c r="BZ208" s="15"/>
      <c r="CA208" s="15"/>
      <c r="CB208" s="15"/>
      <c r="CC208" s="15"/>
      <c r="CD208" s="80"/>
      <c r="CE208" s="80"/>
      <c r="CF208" s="80"/>
      <c r="CG208" s="80"/>
      <c r="CH208" s="15"/>
      <c r="CI208" s="15"/>
      <c r="CJ208" s="15"/>
      <c r="CK208" s="15"/>
      <c r="CL208" s="15"/>
      <c r="CM208" s="15"/>
      <c r="CN208" s="15"/>
      <c r="CO208" s="15"/>
      <c r="CP208" s="80"/>
      <c r="CQ208" s="80" t="s">
        <v>23459</v>
      </c>
      <c r="CR208" s="83"/>
      <c r="CS208" s="84"/>
    </row>
    <row r="209">
      <c r="A209" s="78" t="s">
        <v>357</v>
      </c>
      <c r="B209" s="78" t="s">
        <v>7289</v>
      </c>
      <c r="C209" s="79">
        <f>IFERROR((COUNTIFS('Base de Dados'!BT:BT,"Sim",'Base de Dados'!A:A,A209,'Base de Dados'!B:B,B209)/(COUNTIFS('Base de Dados'!BT:BT,"Sim",'Base de Dados'!A:A,A209,'Base de Dados'!B:B,B209)+(COUNTIFS('Base de Dados'!BT:BT,"Não",'Base de Dados'!A:A,A209,'Base de Dados'!B:B,B209)))),"Não Aplica")</f>
        <v>1</v>
      </c>
      <c r="D209" s="14" t="s">
        <v>23434</v>
      </c>
      <c r="E209" s="14" t="s">
        <v>26312</v>
      </c>
      <c r="F209" s="14" t="s">
        <v>23436</v>
      </c>
      <c r="G209" s="14" t="s">
        <v>23434</v>
      </c>
      <c r="H209" s="14" t="s">
        <v>26313</v>
      </c>
      <c r="I209" s="14" t="s">
        <v>22818</v>
      </c>
      <c r="J209" s="80"/>
      <c r="K209" s="14" t="s">
        <v>23438</v>
      </c>
      <c r="L209" s="81">
        <v>45687.393900462965</v>
      </c>
      <c r="M209" s="79">
        <f>IFERROR((COUNTIFS('Base de Dados'!DF:DF,"Sim",'Base de Dados'!A:A,A209,'Base de Dados'!B:B,B209)/(COUNTIFS('Base de Dados'!DF:DF,"Sim",'Base de Dados'!A:A,A209,'Base de Dados'!B:B,B209)+(COUNTIFS('Base de Dados'!DF:DF,"Não",'Base de Dados'!A:A,A209,'Base de Dados'!B:B,B209)))),"Não Aplica")</f>
        <v>1</v>
      </c>
      <c r="N209" s="14" t="s">
        <v>23434</v>
      </c>
      <c r="O209" s="14" t="s">
        <v>23439</v>
      </c>
      <c r="P209" s="14" t="s">
        <v>26314</v>
      </c>
      <c r="Q209" s="14" t="s">
        <v>23441</v>
      </c>
      <c r="R209" s="14" t="s">
        <v>23434</v>
      </c>
      <c r="S209" s="14" t="s">
        <v>26315</v>
      </c>
      <c r="T209" s="14" t="s">
        <v>23436</v>
      </c>
      <c r="U209" s="14" t="s">
        <v>23434</v>
      </c>
      <c r="V209" s="14" t="s">
        <v>26316</v>
      </c>
      <c r="W209" s="14" t="s">
        <v>22818</v>
      </c>
      <c r="X209" s="80"/>
      <c r="Y209" s="14" t="s">
        <v>23438</v>
      </c>
      <c r="Z209" s="81">
        <v>45691.61699074074</v>
      </c>
      <c r="AA209" s="79">
        <f>IFERROR((COUNTIFS('Base de Dados'!ED:ED,"Sim",'Base de Dados'!A:A,A209,'Base de Dados'!B:B,B209)/(COUNTIFS('Base de Dados'!ED:ED,"Sim",'Base de Dados'!A:A,A209,'Base de Dados'!B:B,B209)+(COUNTIFS('Base de Dados'!ED:ED,"Não",'Base de Dados'!A:A,A209,'Base de Dados'!B:B,B209)))),"Não Aplica")</f>
        <v>1</v>
      </c>
      <c r="AB209" s="14" t="s">
        <v>23434</v>
      </c>
      <c r="AC209" s="14" t="s">
        <v>26317</v>
      </c>
      <c r="AD209" s="14" t="s">
        <v>23441</v>
      </c>
      <c r="AE209" s="14" t="s">
        <v>23434</v>
      </c>
      <c r="AF209" s="14" t="s">
        <v>26318</v>
      </c>
      <c r="AG209" s="14" t="s">
        <v>22818</v>
      </c>
      <c r="AH209" s="80"/>
      <c r="AI209" s="14" t="s">
        <v>23438</v>
      </c>
      <c r="AJ209" s="81">
        <v>45692.63743055556</v>
      </c>
      <c r="AK209" s="82" t="s">
        <v>23446</v>
      </c>
      <c r="AL209" s="14" t="s">
        <v>23434</v>
      </c>
      <c r="AM209" s="14" t="s">
        <v>23439</v>
      </c>
      <c r="AN209" s="14" t="s">
        <v>26319</v>
      </c>
      <c r="AO209" s="14" t="s">
        <v>23441</v>
      </c>
      <c r="AP209" s="14" t="s">
        <v>23434</v>
      </c>
      <c r="AQ209" s="14" t="s">
        <v>23448</v>
      </c>
      <c r="AR209" s="14" t="s">
        <v>26320</v>
      </c>
      <c r="AS209" s="14" t="s">
        <v>23848</v>
      </c>
      <c r="AT209" s="14" t="s">
        <v>23434</v>
      </c>
      <c r="AU209" s="14" t="s">
        <v>23453</v>
      </c>
      <c r="AV209" s="14" t="s">
        <v>26321</v>
      </c>
      <c r="AW209" s="14" t="s">
        <v>23455</v>
      </c>
      <c r="AX209" s="14" t="s">
        <v>23434</v>
      </c>
      <c r="AY209" s="14" t="s">
        <v>23451</v>
      </c>
      <c r="AZ209" s="14" t="s">
        <v>26322</v>
      </c>
      <c r="BA209" s="14" t="s">
        <v>22818</v>
      </c>
      <c r="BB209" s="80"/>
      <c r="BC209" s="14" t="s">
        <v>23438</v>
      </c>
      <c r="BD209" s="81">
        <v>45723.61004629629</v>
      </c>
      <c r="BE209" s="79">
        <f>IFERROR((COUNTIFS('Base de Dados'!FD:FD,"Sim",'Base de Dados'!A:A,A209,'Base de Dados'!B:B,B209)/(COUNTIFS('Base de Dados'!FD:FD,"Sim",'Base de Dados'!A:A,A209,'Base de Dados'!B:B,B209)+(COUNTIFS('Base de Dados'!FD:FD,"Não",'Base de Dados'!A:A,A209,'Base de Dados'!B:B,B209)))),"Não Aplica")</f>
        <v>1</v>
      </c>
      <c r="BF209" s="15"/>
      <c r="BG209" s="15"/>
      <c r="BH209" s="15"/>
      <c r="BI209" s="15"/>
      <c r="BJ209" s="80"/>
      <c r="BK209" s="80"/>
      <c r="BL209" s="80"/>
      <c r="BM209" s="80"/>
      <c r="BN209" s="15"/>
      <c r="BO209" s="15"/>
      <c r="BP209" s="15"/>
      <c r="BQ209" s="15"/>
      <c r="BR209" s="15"/>
      <c r="BS209" s="15"/>
      <c r="BT209" s="15"/>
      <c r="BU209" s="15"/>
      <c r="BV209" s="80"/>
      <c r="BW209" s="80" t="s">
        <v>24115</v>
      </c>
      <c r="BX209" s="83"/>
      <c r="BY209" s="82" t="s">
        <v>23446</v>
      </c>
      <c r="BZ209" s="15"/>
      <c r="CA209" s="15"/>
      <c r="CB209" s="15"/>
      <c r="CC209" s="15"/>
      <c r="CD209" s="80"/>
      <c r="CE209" s="80"/>
      <c r="CF209" s="80"/>
      <c r="CG209" s="80"/>
      <c r="CH209" s="15"/>
      <c r="CI209" s="15"/>
      <c r="CJ209" s="15"/>
      <c r="CK209" s="15"/>
      <c r="CL209" s="15"/>
      <c r="CM209" s="15"/>
      <c r="CN209" s="15"/>
      <c r="CO209" s="15"/>
      <c r="CP209" s="80"/>
      <c r="CQ209" s="80" t="s">
        <v>23459</v>
      </c>
      <c r="CR209" s="83"/>
      <c r="CS209" s="84"/>
    </row>
    <row r="210">
      <c r="A210" s="78" t="s">
        <v>357</v>
      </c>
      <c r="B210" s="78" t="s">
        <v>4276</v>
      </c>
      <c r="C210" s="79">
        <f>IFERROR((COUNTIFS('Base de Dados'!BT:BT,"Sim",'Base de Dados'!A:A,A210,'Base de Dados'!B:B,B210)/(COUNTIFS('Base de Dados'!BT:BT,"Sim",'Base de Dados'!A:A,A210,'Base de Dados'!B:B,B210)+(COUNTIFS('Base de Dados'!BT:BT,"Não",'Base de Dados'!A:A,A210,'Base de Dados'!B:B,B210)))),"Não Aplica")</f>
        <v>1</v>
      </c>
      <c r="D210" s="14" t="s">
        <v>23434</v>
      </c>
      <c r="E210" s="14" t="s">
        <v>26323</v>
      </c>
      <c r="F210" s="14" t="s">
        <v>23436</v>
      </c>
      <c r="G210" s="14" t="s">
        <v>23434</v>
      </c>
      <c r="H210" s="14" t="s">
        <v>26324</v>
      </c>
      <c r="I210" s="14" t="s">
        <v>22818</v>
      </c>
      <c r="J210" s="80"/>
      <c r="K210" s="14" t="s">
        <v>23438</v>
      </c>
      <c r="L210" s="81">
        <v>45687.39423611111</v>
      </c>
      <c r="M210" s="79">
        <f>IFERROR((COUNTIFS('Base de Dados'!DF:DF,"Sim",'Base de Dados'!A:A,A210,'Base de Dados'!B:B,B210)/(COUNTIFS('Base de Dados'!DF:DF,"Sim",'Base de Dados'!A:A,A210,'Base de Dados'!B:B,B210)+(COUNTIFS('Base de Dados'!DF:DF,"Não",'Base de Dados'!A:A,A210,'Base de Dados'!B:B,B210)))),"Não Aplica")</f>
        <v>1</v>
      </c>
      <c r="N210" s="14" t="s">
        <v>23434</v>
      </c>
      <c r="O210" s="14" t="s">
        <v>23439</v>
      </c>
      <c r="P210" s="14" t="s">
        <v>26325</v>
      </c>
      <c r="Q210" s="14" t="s">
        <v>23441</v>
      </c>
      <c r="R210" s="14" t="s">
        <v>23434</v>
      </c>
      <c r="S210" s="14" t="s">
        <v>26326</v>
      </c>
      <c r="T210" s="14" t="s">
        <v>23436</v>
      </c>
      <c r="U210" s="14" t="s">
        <v>23434</v>
      </c>
      <c r="V210" s="14" t="s">
        <v>26327</v>
      </c>
      <c r="W210" s="14" t="s">
        <v>22818</v>
      </c>
      <c r="X210" s="80"/>
      <c r="Y210" s="14" t="s">
        <v>23438</v>
      </c>
      <c r="Z210" s="81">
        <v>45691.6165625</v>
      </c>
      <c r="AA210" s="79">
        <f>IFERROR((COUNTIFS('Base de Dados'!ED:ED,"Sim",'Base de Dados'!A:A,A210,'Base de Dados'!B:B,B210)/(COUNTIFS('Base de Dados'!ED:ED,"Sim",'Base de Dados'!A:A,A210,'Base de Dados'!B:B,B210)+(COUNTIFS('Base de Dados'!ED:ED,"Não",'Base de Dados'!A:A,A210,'Base de Dados'!B:B,B210)))),"Não Aplica")</f>
        <v>1</v>
      </c>
      <c r="AB210" s="14" t="s">
        <v>23434</v>
      </c>
      <c r="AC210" s="14" t="s">
        <v>26328</v>
      </c>
      <c r="AD210" s="14" t="s">
        <v>23441</v>
      </c>
      <c r="AE210" s="14" t="s">
        <v>23434</v>
      </c>
      <c r="AF210" s="14" t="s">
        <v>26329</v>
      </c>
      <c r="AG210" s="14" t="s">
        <v>22818</v>
      </c>
      <c r="AH210" s="80"/>
      <c r="AI210" s="14" t="s">
        <v>23438</v>
      </c>
      <c r="AJ210" s="81">
        <v>45692.637453703705</v>
      </c>
      <c r="AK210" s="82" t="s">
        <v>23446</v>
      </c>
      <c r="AL210" s="14" t="s">
        <v>23434</v>
      </c>
      <c r="AM210" s="14" t="s">
        <v>23439</v>
      </c>
      <c r="AN210" s="14" t="s">
        <v>26330</v>
      </c>
      <c r="AO210" s="14" t="s">
        <v>23441</v>
      </c>
      <c r="AP210" s="14" t="s">
        <v>23434</v>
      </c>
      <c r="AQ210" s="14" t="s">
        <v>23448</v>
      </c>
      <c r="AR210" s="14" t="s">
        <v>26331</v>
      </c>
      <c r="AS210" s="14" t="s">
        <v>23848</v>
      </c>
      <c r="AT210" s="14" t="s">
        <v>23434</v>
      </c>
      <c r="AU210" s="14" t="s">
        <v>23453</v>
      </c>
      <c r="AV210" s="14" t="s">
        <v>26332</v>
      </c>
      <c r="AW210" s="14" t="s">
        <v>23455</v>
      </c>
      <c r="AX210" s="14" t="s">
        <v>23434</v>
      </c>
      <c r="AY210" s="14" t="s">
        <v>23451</v>
      </c>
      <c r="AZ210" s="14" t="s">
        <v>26333</v>
      </c>
      <c r="BA210" s="14" t="s">
        <v>22818</v>
      </c>
      <c r="BB210" s="80"/>
      <c r="BC210" s="14" t="s">
        <v>23438</v>
      </c>
      <c r="BD210" s="81">
        <v>45723.4184375</v>
      </c>
      <c r="BE210" s="79">
        <f>IFERROR((COUNTIFS('Base de Dados'!FD:FD,"Sim",'Base de Dados'!A:A,A210,'Base de Dados'!B:B,B210)/(COUNTIFS('Base de Dados'!FD:FD,"Sim",'Base de Dados'!A:A,A210,'Base de Dados'!B:B,B210)+(COUNTIFS('Base de Dados'!FD:FD,"Não",'Base de Dados'!A:A,A210,'Base de Dados'!B:B,B210)))),"Não Aplica")</f>
        <v>1</v>
      </c>
      <c r="BF210" s="14" t="s">
        <v>23434</v>
      </c>
      <c r="BG210" s="14" t="s">
        <v>23439</v>
      </c>
      <c r="BH210" s="14" t="s">
        <v>26334</v>
      </c>
      <c r="BI210" s="14" t="s">
        <v>23441</v>
      </c>
      <c r="BJ210" s="80"/>
      <c r="BK210" s="80"/>
      <c r="BL210" s="80"/>
      <c r="BM210" s="80"/>
      <c r="BN210" s="14" t="s">
        <v>23434</v>
      </c>
      <c r="BO210" s="14" t="s">
        <v>23453</v>
      </c>
      <c r="BP210" s="14" t="s">
        <v>26335</v>
      </c>
      <c r="BQ210" s="14" t="s">
        <v>23455</v>
      </c>
      <c r="BR210" s="14" t="s">
        <v>23434</v>
      </c>
      <c r="BS210" s="14" t="s">
        <v>23451</v>
      </c>
      <c r="BT210" s="14" t="s">
        <v>26336</v>
      </c>
      <c r="BU210" s="14" t="s">
        <v>22818</v>
      </c>
      <c r="BV210" s="80"/>
      <c r="BW210" s="14" t="s">
        <v>23438</v>
      </c>
      <c r="BX210" s="81">
        <v>45723.61052083333</v>
      </c>
      <c r="BY210" s="82" t="s">
        <v>23446</v>
      </c>
      <c r="BZ210" s="15"/>
      <c r="CA210" s="15"/>
      <c r="CB210" s="15"/>
      <c r="CC210" s="15"/>
      <c r="CD210" s="80"/>
      <c r="CE210" s="80"/>
      <c r="CF210" s="80"/>
      <c r="CG210" s="80"/>
      <c r="CH210" s="15"/>
      <c r="CI210" s="15"/>
      <c r="CJ210" s="15"/>
      <c r="CK210" s="15"/>
      <c r="CL210" s="15"/>
      <c r="CM210" s="15"/>
      <c r="CN210" s="15"/>
      <c r="CO210" s="15"/>
      <c r="CP210" s="80"/>
      <c r="CQ210" s="80" t="s">
        <v>23459</v>
      </c>
      <c r="CR210" s="83"/>
      <c r="CS210" s="84"/>
    </row>
    <row r="211">
      <c r="A211" s="78" t="s">
        <v>357</v>
      </c>
      <c r="B211" s="78" t="s">
        <v>4833</v>
      </c>
      <c r="C211" s="79">
        <f>IFERROR((COUNTIFS('Base de Dados'!BT:BT,"Sim",'Base de Dados'!A:A,A211,'Base de Dados'!B:B,B211)/(COUNTIFS('Base de Dados'!BT:BT,"Sim",'Base de Dados'!A:A,A211,'Base de Dados'!B:B,B211)+(COUNTIFS('Base de Dados'!BT:BT,"Não",'Base de Dados'!A:A,A211,'Base de Dados'!B:B,B211)))),"Não Aplica")</f>
        <v>1</v>
      </c>
      <c r="D211" s="14" t="s">
        <v>23434</v>
      </c>
      <c r="E211" s="14" t="s">
        <v>26337</v>
      </c>
      <c r="F211" s="14" t="s">
        <v>23436</v>
      </c>
      <c r="G211" s="14" t="s">
        <v>23434</v>
      </c>
      <c r="H211" s="14" t="s">
        <v>26338</v>
      </c>
      <c r="I211" s="14" t="s">
        <v>22818</v>
      </c>
      <c r="J211" s="80"/>
      <c r="K211" s="14" t="s">
        <v>23438</v>
      </c>
      <c r="L211" s="81">
        <v>45687.394479166665</v>
      </c>
      <c r="M211" s="79">
        <f>IFERROR((COUNTIFS('Base de Dados'!DF:DF,"Sim",'Base de Dados'!A:A,A211,'Base de Dados'!B:B,B211)/(COUNTIFS('Base de Dados'!DF:DF,"Sim",'Base de Dados'!A:A,A211,'Base de Dados'!B:B,B211)+(COUNTIFS('Base de Dados'!DF:DF,"Não",'Base de Dados'!A:A,A211,'Base de Dados'!B:B,B211)))),"Não Aplica")</f>
        <v>1</v>
      </c>
      <c r="N211" s="14" t="s">
        <v>23434</v>
      </c>
      <c r="O211" s="14" t="s">
        <v>23439</v>
      </c>
      <c r="P211" s="14" t="s">
        <v>26339</v>
      </c>
      <c r="Q211" s="14" t="s">
        <v>23441</v>
      </c>
      <c r="R211" s="14" t="s">
        <v>23434</v>
      </c>
      <c r="S211" s="14" t="s">
        <v>26340</v>
      </c>
      <c r="T211" s="14" t="s">
        <v>23436</v>
      </c>
      <c r="U211" s="14" t="s">
        <v>23434</v>
      </c>
      <c r="V211" s="14" t="s">
        <v>26341</v>
      </c>
      <c r="W211" s="14" t="s">
        <v>22818</v>
      </c>
      <c r="X211" s="80"/>
      <c r="Y211" s="14" t="s">
        <v>23438</v>
      </c>
      <c r="Z211" s="81">
        <v>45691.61704861111</v>
      </c>
      <c r="AA211" s="79">
        <f>IFERROR((COUNTIFS('Base de Dados'!ED:ED,"Sim",'Base de Dados'!A:A,A211,'Base de Dados'!B:B,B211)/(COUNTIFS('Base de Dados'!ED:ED,"Sim",'Base de Dados'!A:A,A211,'Base de Dados'!B:B,B211)+(COUNTIFS('Base de Dados'!ED:ED,"Não",'Base de Dados'!A:A,A211,'Base de Dados'!B:B,B211)))),"Não Aplica")</f>
        <v>1</v>
      </c>
      <c r="AB211" s="14" t="s">
        <v>23434</v>
      </c>
      <c r="AC211" s="14" t="s">
        <v>26342</v>
      </c>
      <c r="AD211" s="14" t="s">
        <v>23441</v>
      </c>
      <c r="AE211" s="14" t="s">
        <v>23434</v>
      </c>
      <c r="AF211" s="14" t="s">
        <v>26343</v>
      </c>
      <c r="AG211" s="14" t="s">
        <v>22818</v>
      </c>
      <c r="AH211" s="80"/>
      <c r="AI211" s="14" t="s">
        <v>23438</v>
      </c>
      <c r="AJ211" s="81">
        <v>45692.63746527778</v>
      </c>
      <c r="AK211" s="82" t="s">
        <v>23446</v>
      </c>
      <c r="AL211" s="14" t="s">
        <v>23434</v>
      </c>
      <c r="AM211" s="14" t="s">
        <v>23439</v>
      </c>
      <c r="AN211" s="14" t="s">
        <v>26344</v>
      </c>
      <c r="AO211" s="14" t="s">
        <v>23441</v>
      </c>
      <c r="AP211" s="14" t="s">
        <v>23434</v>
      </c>
      <c r="AQ211" s="14" t="s">
        <v>23448</v>
      </c>
      <c r="AR211" s="14" t="s">
        <v>26345</v>
      </c>
      <c r="AS211" s="14" t="s">
        <v>23450</v>
      </c>
      <c r="AT211" s="14" t="s">
        <v>23434</v>
      </c>
      <c r="AU211" s="14" t="s">
        <v>23451</v>
      </c>
      <c r="AV211" s="14" t="s">
        <v>26346</v>
      </c>
      <c r="AW211" s="14" t="s">
        <v>22818</v>
      </c>
      <c r="AX211" s="14" t="s">
        <v>23434</v>
      </c>
      <c r="AY211" s="14" t="s">
        <v>23453</v>
      </c>
      <c r="AZ211" s="14" t="s">
        <v>26347</v>
      </c>
      <c r="BA211" s="14" t="s">
        <v>23455</v>
      </c>
      <c r="BB211" s="80"/>
      <c r="BC211" s="14" t="s">
        <v>23438</v>
      </c>
      <c r="BD211" s="81">
        <v>45698.62268518518</v>
      </c>
      <c r="BE211" s="79">
        <f>IFERROR((COUNTIFS('Base de Dados'!FD:FD,"Sim",'Base de Dados'!A:A,A211,'Base de Dados'!B:B,B211)/(COUNTIFS('Base de Dados'!FD:FD,"Sim",'Base de Dados'!A:A,A211,'Base de Dados'!B:B,B211)+(COUNTIFS('Base de Dados'!FD:FD,"Não",'Base de Dados'!A:A,A211,'Base de Dados'!B:B,B211)))),"Não Aplica")</f>
        <v>1</v>
      </c>
      <c r="BF211" s="14" t="s">
        <v>23434</v>
      </c>
      <c r="BG211" s="14" t="s">
        <v>23439</v>
      </c>
      <c r="BH211" s="14" t="s">
        <v>26348</v>
      </c>
      <c r="BI211" s="14" t="s">
        <v>23441</v>
      </c>
      <c r="BJ211" s="80"/>
      <c r="BK211" s="80"/>
      <c r="BL211" s="80"/>
      <c r="BM211" s="80"/>
      <c r="BN211" s="14" t="s">
        <v>23434</v>
      </c>
      <c r="BO211" s="14" t="s">
        <v>23453</v>
      </c>
      <c r="BP211" s="14" t="s">
        <v>26349</v>
      </c>
      <c r="BQ211" s="14" t="s">
        <v>23455</v>
      </c>
      <c r="BR211" s="14" t="s">
        <v>23434</v>
      </c>
      <c r="BS211" s="14" t="s">
        <v>23451</v>
      </c>
      <c r="BT211" s="14" t="s">
        <v>26350</v>
      </c>
      <c r="BU211" s="14" t="s">
        <v>22818</v>
      </c>
      <c r="BV211" s="80"/>
      <c r="BW211" s="14" t="s">
        <v>23438</v>
      </c>
      <c r="BX211" s="81">
        <v>45722.497245370374</v>
      </c>
      <c r="BY211" s="82" t="s">
        <v>23446</v>
      </c>
      <c r="BZ211" s="15"/>
      <c r="CA211" s="15"/>
      <c r="CB211" s="15"/>
      <c r="CC211" s="15"/>
      <c r="CD211" s="80"/>
      <c r="CE211" s="80"/>
      <c r="CF211" s="80"/>
      <c r="CG211" s="80"/>
      <c r="CH211" s="15"/>
      <c r="CI211" s="15"/>
      <c r="CJ211" s="15"/>
      <c r="CK211" s="15"/>
      <c r="CL211" s="15"/>
      <c r="CM211" s="15"/>
      <c r="CN211" s="15"/>
      <c r="CO211" s="15"/>
      <c r="CP211" s="80"/>
      <c r="CQ211" s="80" t="s">
        <v>23459</v>
      </c>
      <c r="CR211" s="83"/>
      <c r="CS211" s="84"/>
    </row>
    <row r="212">
      <c r="A212" s="78" t="s">
        <v>357</v>
      </c>
      <c r="B212" s="78" t="s">
        <v>4697</v>
      </c>
      <c r="C212" s="79">
        <f>IFERROR((COUNTIFS('Base de Dados'!BT:BT,"Sim",'Base de Dados'!A:A,A212,'Base de Dados'!B:B,B212)/(COUNTIFS('Base de Dados'!BT:BT,"Sim",'Base de Dados'!A:A,A212,'Base de Dados'!B:B,B212)+(COUNTIFS('Base de Dados'!BT:BT,"Não",'Base de Dados'!A:A,A212,'Base de Dados'!B:B,B212)))),"Não Aplica")</f>
        <v>1</v>
      </c>
      <c r="D212" s="14" t="s">
        <v>23434</v>
      </c>
      <c r="E212" s="14" t="s">
        <v>26351</v>
      </c>
      <c r="F212" s="14" t="s">
        <v>23436</v>
      </c>
      <c r="G212" s="14" t="s">
        <v>23434</v>
      </c>
      <c r="H212" s="14" t="s">
        <v>26352</v>
      </c>
      <c r="I212" s="14" t="s">
        <v>22818</v>
      </c>
      <c r="J212" s="80"/>
      <c r="K212" s="14" t="s">
        <v>23438</v>
      </c>
      <c r="L212" s="81">
        <v>45685.64915509259</v>
      </c>
      <c r="M212" s="79">
        <f>IFERROR((COUNTIFS('Base de Dados'!DF:DF,"Sim",'Base de Dados'!A:A,A212,'Base de Dados'!B:B,B212)/(COUNTIFS('Base de Dados'!DF:DF,"Sim",'Base de Dados'!A:A,A212,'Base de Dados'!B:B,B212)+(COUNTIFS('Base de Dados'!DF:DF,"Não",'Base de Dados'!A:A,A212,'Base de Dados'!B:B,B212)))),"Não Aplica")</f>
        <v>1</v>
      </c>
      <c r="N212" s="14" t="s">
        <v>23434</v>
      </c>
      <c r="O212" s="14" t="s">
        <v>23439</v>
      </c>
      <c r="P212" s="14" t="s">
        <v>26353</v>
      </c>
      <c r="Q212" s="14" t="s">
        <v>23441</v>
      </c>
      <c r="R212" s="14" t="s">
        <v>23434</v>
      </c>
      <c r="S212" s="14" t="s">
        <v>26354</v>
      </c>
      <c r="T212" s="14" t="s">
        <v>23436</v>
      </c>
      <c r="U212" s="14" t="s">
        <v>23434</v>
      </c>
      <c r="V212" s="14" t="s">
        <v>26355</v>
      </c>
      <c r="W212" s="14" t="s">
        <v>22818</v>
      </c>
      <c r="X212" s="80"/>
      <c r="Y212" s="14" t="s">
        <v>23438</v>
      </c>
      <c r="Z212" s="81">
        <v>45691.617106481484</v>
      </c>
      <c r="AA212" s="79">
        <f>IFERROR((COUNTIFS('Base de Dados'!ED:ED,"Sim",'Base de Dados'!A:A,A212,'Base de Dados'!B:B,B212)/(COUNTIFS('Base de Dados'!ED:ED,"Sim",'Base de Dados'!A:A,A212,'Base de Dados'!B:B,B212)+(COUNTIFS('Base de Dados'!ED:ED,"Não",'Base de Dados'!A:A,A212,'Base de Dados'!B:B,B212)))),"Não Aplica")</f>
        <v>1</v>
      </c>
      <c r="AB212" s="14" t="s">
        <v>23434</v>
      </c>
      <c r="AC212" s="14" t="s">
        <v>26356</v>
      </c>
      <c r="AD212" s="14" t="s">
        <v>23441</v>
      </c>
      <c r="AE212" s="14" t="s">
        <v>23434</v>
      </c>
      <c r="AF212" s="14" t="s">
        <v>26357</v>
      </c>
      <c r="AG212" s="14" t="s">
        <v>22818</v>
      </c>
      <c r="AH212" s="80"/>
      <c r="AI212" s="14" t="s">
        <v>23438</v>
      </c>
      <c r="AJ212" s="81">
        <v>45692.63748842593</v>
      </c>
      <c r="AK212" s="82" t="s">
        <v>23446</v>
      </c>
      <c r="AL212" s="14" t="s">
        <v>23434</v>
      </c>
      <c r="AM212" s="14" t="s">
        <v>23439</v>
      </c>
      <c r="AN212" s="14" t="s">
        <v>26358</v>
      </c>
      <c r="AO212" s="14" t="s">
        <v>23441</v>
      </c>
      <c r="AP212" s="14" t="s">
        <v>23434</v>
      </c>
      <c r="AQ212" s="14" t="s">
        <v>23448</v>
      </c>
      <c r="AR212" s="14" t="s">
        <v>26359</v>
      </c>
      <c r="AS212" s="14" t="s">
        <v>23848</v>
      </c>
      <c r="AT212" s="14" t="s">
        <v>23434</v>
      </c>
      <c r="AU212" s="14" t="s">
        <v>23453</v>
      </c>
      <c r="AV212" s="14" t="s">
        <v>26360</v>
      </c>
      <c r="AW212" s="14" t="s">
        <v>23455</v>
      </c>
      <c r="AX212" s="14" t="s">
        <v>23434</v>
      </c>
      <c r="AY212" s="14" t="s">
        <v>23451</v>
      </c>
      <c r="AZ212" s="14" t="s">
        <v>26361</v>
      </c>
      <c r="BA212" s="14" t="s">
        <v>22818</v>
      </c>
      <c r="BB212" s="80"/>
      <c r="BC212" s="14" t="s">
        <v>23438</v>
      </c>
      <c r="BD212" s="81">
        <v>45722.76965277778</v>
      </c>
      <c r="BE212" s="79">
        <f>IFERROR((COUNTIFS('Base de Dados'!FD:FD,"Sim",'Base de Dados'!A:A,A212,'Base de Dados'!B:B,B212)/(COUNTIFS('Base de Dados'!FD:FD,"Sim",'Base de Dados'!A:A,A212,'Base de Dados'!B:B,B212)+(COUNTIFS('Base de Dados'!FD:FD,"Não",'Base de Dados'!A:A,A212,'Base de Dados'!B:B,B212)))),"Não Aplica")</f>
        <v>1</v>
      </c>
      <c r="BF212" s="14" t="s">
        <v>23434</v>
      </c>
      <c r="BG212" s="14" t="s">
        <v>23439</v>
      </c>
      <c r="BH212" s="14" t="s">
        <v>26362</v>
      </c>
      <c r="BI212" s="14" t="s">
        <v>23441</v>
      </c>
      <c r="BJ212" s="80"/>
      <c r="BK212" s="80"/>
      <c r="BL212" s="80"/>
      <c r="BM212" s="80"/>
      <c r="BN212" s="14" t="s">
        <v>23434</v>
      </c>
      <c r="BO212" s="14" t="s">
        <v>23453</v>
      </c>
      <c r="BP212" s="14" t="s">
        <v>26363</v>
      </c>
      <c r="BQ212" s="14" t="s">
        <v>23455</v>
      </c>
      <c r="BR212" s="14" t="s">
        <v>23434</v>
      </c>
      <c r="BS212" s="14" t="s">
        <v>23451</v>
      </c>
      <c r="BT212" s="14" t="s">
        <v>26364</v>
      </c>
      <c r="BU212" s="14" t="s">
        <v>22818</v>
      </c>
      <c r="BV212" s="80"/>
      <c r="BW212" s="14" t="s">
        <v>23438</v>
      </c>
      <c r="BX212" s="81">
        <v>45723.32965277778</v>
      </c>
      <c r="BY212" s="82" t="s">
        <v>23446</v>
      </c>
      <c r="BZ212" s="15"/>
      <c r="CA212" s="15"/>
      <c r="CB212" s="15"/>
      <c r="CC212" s="15"/>
      <c r="CD212" s="80"/>
      <c r="CE212" s="80"/>
      <c r="CF212" s="80"/>
      <c r="CG212" s="80"/>
      <c r="CH212" s="15"/>
      <c r="CI212" s="15"/>
      <c r="CJ212" s="15"/>
      <c r="CK212" s="15"/>
      <c r="CL212" s="15"/>
      <c r="CM212" s="15"/>
      <c r="CN212" s="15"/>
      <c r="CO212" s="15"/>
      <c r="CP212" s="80"/>
      <c r="CQ212" s="80" t="s">
        <v>23459</v>
      </c>
      <c r="CR212" s="83"/>
      <c r="CS212" s="84"/>
    </row>
    <row r="213">
      <c r="A213" s="78" t="s">
        <v>357</v>
      </c>
      <c r="B213" s="78" t="s">
        <v>6108</v>
      </c>
      <c r="C213" s="79">
        <f>IFERROR((COUNTIFS('Base de Dados'!BT:BT,"Sim",'Base de Dados'!A:A,A213,'Base de Dados'!B:B,B213)/(COUNTIFS('Base de Dados'!BT:BT,"Sim",'Base de Dados'!A:A,A213,'Base de Dados'!B:B,B213)+(COUNTIFS('Base de Dados'!BT:BT,"Não",'Base de Dados'!A:A,A213,'Base de Dados'!B:B,B213)))),"Não Aplica")</f>
        <v>1</v>
      </c>
      <c r="D213" s="14" t="s">
        <v>23434</v>
      </c>
      <c r="E213" s="14" t="s">
        <v>26365</v>
      </c>
      <c r="F213" s="14" t="s">
        <v>23436</v>
      </c>
      <c r="G213" s="14" t="s">
        <v>23434</v>
      </c>
      <c r="H213" s="14" t="s">
        <v>26366</v>
      </c>
      <c r="I213" s="14" t="s">
        <v>22818</v>
      </c>
      <c r="J213" s="80"/>
      <c r="K213" s="14" t="s">
        <v>23438</v>
      </c>
      <c r="L213" s="81">
        <v>45687.661631944444</v>
      </c>
      <c r="M213" s="79">
        <f>IFERROR((COUNTIFS('Base de Dados'!DF:DF,"Sim",'Base de Dados'!A:A,A213,'Base de Dados'!B:B,B213)/(COUNTIFS('Base de Dados'!DF:DF,"Sim",'Base de Dados'!A:A,A213,'Base de Dados'!B:B,B213)+(COUNTIFS('Base de Dados'!DF:DF,"Não",'Base de Dados'!A:A,A213,'Base de Dados'!B:B,B213)))),"Não Aplica")</f>
        <v>1</v>
      </c>
      <c r="N213" s="14" t="s">
        <v>23434</v>
      </c>
      <c r="O213" s="14" t="s">
        <v>23439</v>
      </c>
      <c r="P213" s="14" t="s">
        <v>26367</v>
      </c>
      <c r="Q213" s="14" t="s">
        <v>23441</v>
      </c>
      <c r="R213" s="14" t="s">
        <v>23434</v>
      </c>
      <c r="S213" s="14" t="s">
        <v>26368</v>
      </c>
      <c r="T213" s="14" t="s">
        <v>23436</v>
      </c>
      <c r="U213" s="14" t="s">
        <v>23434</v>
      </c>
      <c r="V213" s="14" t="s">
        <v>26369</v>
      </c>
      <c r="W213" s="14" t="s">
        <v>22818</v>
      </c>
      <c r="X213" s="80"/>
      <c r="Y213" s="14" t="s">
        <v>23438</v>
      </c>
      <c r="Z213" s="81">
        <v>45691.61659722222</v>
      </c>
      <c r="AA213" s="79">
        <f>IFERROR((COUNTIFS('Base de Dados'!ED:ED,"Sim",'Base de Dados'!A:A,A213,'Base de Dados'!B:B,B213)/(COUNTIFS('Base de Dados'!ED:ED,"Sim",'Base de Dados'!A:A,A213,'Base de Dados'!B:B,B213)+(COUNTIFS('Base de Dados'!ED:ED,"Não",'Base de Dados'!A:A,A213,'Base de Dados'!B:B,B213)))),"Não Aplica")</f>
        <v>1</v>
      </c>
      <c r="AB213" s="14" t="s">
        <v>23434</v>
      </c>
      <c r="AC213" s="14" t="s">
        <v>26370</v>
      </c>
      <c r="AD213" s="14" t="s">
        <v>23441</v>
      </c>
      <c r="AE213" s="14" t="s">
        <v>23434</v>
      </c>
      <c r="AF213" s="14" t="s">
        <v>26371</v>
      </c>
      <c r="AG213" s="14" t="s">
        <v>22818</v>
      </c>
      <c r="AH213" s="80"/>
      <c r="AI213" s="14" t="s">
        <v>23438</v>
      </c>
      <c r="AJ213" s="81">
        <v>45692.63752314815</v>
      </c>
      <c r="AK213" s="82" t="s">
        <v>23446</v>
      </c>
      <c r="AL213" s="14" t="s">
        <v>23434</v>
      </c>
      <c r="AM213" s="14" t="s">
        <v>23439</v>
      </c>
      <c r="AN213" s="14" t="s">
        <v>26372</v>
      </c>
      <c r="AO213" s="14" t="s">
        <v>23441</v>
      </c>
      <c r="AP213" s="14" t="s">
        <v>23434</v>
      </c>
      <c r="AQ213" s="14" t="s">
        <v>23448</v>
      </c>
      <c r="AR213" s="14" t="s">
        <v>26373</v>
      </c>
      <c r="AS213" s="14" t="s">
        <v>23848</v>
      </c>
      <c r="AT213" s="14" t="s">
        <v>23434</v>
      </c>
      <c r="AU213" s="14" t="s">
        <v>23451</v>
      </c>
      <c r="AV213" s="14" t="s">
        <v>26374</v>
      </c>
      <c r="AW213" s="14" t="s">
        <v>22818</v>
      </c>
      <c r="AX213" s="14" t="s">
        <v>23434</v>
      </c>
      <c r="AY213" s="14" t="s">
        <v>23453</v>
      </c>
      <c r="AZ213" s="14" t="s">
        <v>26375</v>
      </c>
      <c r="BA213" s="14" t="s">
        <v>23455</v>
      </c>
      <c r="BB213" s="80"/>
      <c r="BC213" s="14" t="s">
        <v>23438</v>
      </c>
      <c r="BD213" s="81">
        <v>45723.41787037037</v>
      </c>
      <c r="BE213" s="79">
        <f>IFERROR((COUNTIFS('Base de Dados'!FD:FD,"Sim",'Base de Dados'!A:A,A213,'Base de Dados'!B:B,B213)/(COUNTIFS('Base de Dados'!FD:FD,"Sim",'Base de Dados'!A:A,A213,'Base de Dados'!B:B,B213)+(COUNTIFS('Base de Dados'!FD:FD,"Não",'Base de Dados'!A:A,A213,'Base de Dados'!B:B,B213)))),"Não Aplica")</f>
        <v>1</v>
      </c>
      <c r="BF213" s="14" t="s">
        <v>23434</v>
      </c>
      <c r="BG213" s="14" t="s">
        <v>23439</v>
      </c>
      <c r="BH213" s="14" t="s">
        <v>26376</v>
      </c>
      <c r="BI213" s="14" t="s">
        <v>23441</v>
      </c>
      <c r="BJ213" s="80"/>
      <c r="BK213" s="80"/>
      <c r="BL213" s="80"/>
      <c r="BM213" s="80"/>
      <c r="BN213" s="14" t="s">
        <v>23434</v>
      </c>
      <c r="BO213" s="14" t="s">
        <v>23453</v>
      </c>
      <c r="BP213" s="14" t="s">
        <v>26377</v>
      </c>
      <c r="BQ213" s="14" t="s">
        <v>23455</v>
      </c>
      <c r="BR213" s="14" t="s">
        <v>23434</v>
      </c>
      <c r="BS213" s="14" t="s">
        <v>23451</v>
      </c>
      <c r="BT213" s="14" t="s">
        <v>26378</v>
      </c>
      <c r="BU213" s="14" t="s">
        <v>22818</v>
      </c>
      <c r="BV213" s="80"/>
      <c r="BW213" s="14" t="s">
        <v>23438</v>
      </c>
      <c r="BX213" s="81">
        <v>45723.610555555555</v>
      </c>
      <c r="BY213" s="82" t="s">
        <v>23446</v>
      </c>
      <c r="BZ213" s="15"/>
      <c r="CA213" s="15"/>
      <c r="CB213" s="15"/>
      <c r="CC213" s="15"/>
      <c r="CD213" s="80"/>
      <c r="CE213" s="80"/>
      <c r="CF213" s="80"/>
      <c r="CG213" s="80"/>
      <c r="CH213" s="15"/>
      <c r="CI213" s="15"/>
      <c r="CJ213" s="15"/>
      <c r="CK213" s="15"/>
      <c r="CL213" s="15"/>
      <c r="CM213" s="15"/>
      <c r="CN213" s="15"/>
      <c r="CO213" s="15"/>
      <c r="CP213" s="80"/>
      <c r="CQ213" s="80" t="s">
        <v>23459</v>
      </c>
      <c r="CR213" s="83"/>
      <c r="CS213" s="84"/>
    </row>
    <row r="214">
      <c r="A214" s="78" t="s">
        <v>357</v>
      </c>
      <c r="B214" s="78" t="s">
        <v>4962</v>
      </c>
      <c r="C214" s="79">
        <f>IFERROR((COUNTIFS('Base de Dados'!BT:BT,"Sim",'Base de Dados'!A:A,A214,'Base de Dados'!B:B,B214)/(COUNTIFS('Base de Dados'!BT:BT,"Sim",'Base de Dados'!A:A,A214,'Base de Dados'!B:B,B214)+(COUNTIFS('Base de Dados'!BT:BT,"Não",'Base de Dados'!A:A,A214,'Base de Dados'!B:B,B214)))),"Não Aplica")</f>
        <v>1</v>
      </c>
      <c r="D214" s="14" t="s">
        <v>23434</v>
      </c>
      <c r="E214" s="14" t="s">
        <v>26379</v>
      </c>
      <c r="F214" s="14" t="s">
        <v>23436</v>
      </c>
      <c r="G214" s="14" t="s">
        <v>23434</v>
      </c>
      <c r="H214" s="14" t="s">
        <v>26380</v>
      </c>
      <c r="I214" s="14" t="s">
        <v>22818</v>
      </c>
      <c r="J214" s="80"/>
      <c r="K214" s="14" t="s">
        <v>23438</v>
      </c>
      <c r="L214" s="81">
        <v>45687.39436342593</v>
      </c>
      <c r="M214" s="79">
        <f>IFERROR((COUNTIFS('Base de Dados'!DF:DF,"Sim",'Base de Dados'!A:A,A214,'Base de Dados'!B:B,B214)/(COUNTIFS('Base de Dados'!DF:DF,"Sim",'Base de Dados'!A:A,A214,'Base de Dados'!B:B,B214)+(COUNTIFS('Base de Dados'!DF:DF,"Não",'Base de Dados'!A:A,A214,'Base de Dados'!B:B,B214)))),"Não Aplica")</f>
        <v>1</v>
      </c>
      <c r="N214" s="14" t="s">
        <v>23434</v>
      </c>
      <c r="O214" s="14" t="s">
        <v>23439</v>
      </c>
      <c r="P214" s="14" t="s">
        <v>26381</v>
      </c>
      <c r="Q214" s="14" t="s">
        <v>23441</v>
      </c>
      <c r="R214" s="14" t="s">
        <v>23434</v>
      </c>
      <c r="S214" s="14" t="s">
        <v>26382</v>
      </c>
      <c r="T214" s="14" t="s">
        <v>23436</v>
      </c>
      <c r="U214" s="14" t="s">
        <v>23434</v>
      </c>
      <c r="V214" s="14" t="s">
        <v>26383</v>
      </c>
      <c r="W214" s="14" t="s">
        <v>22818</v>
      </c>
      <c r="X214" s="80"/>
      <c r="Y214" s="14" t="s">
        <v>23438</v>
      </c>
      <c r="Z214" s="81">
        <v>45691.616631944446</v>
      </c>
      <c r="AA214" s="79">
        <f>IFERROR((COUNTIFS('Base de Dados'!ED:ED,"Sim",'Base de Dados'!A:A,A214,'Base de Dados'!B:B,B214)/(COUNTIFS('Base de Dados'!ED:ED,"Sim",'Base de Dados'!A:A,A214,'Base de Dados'!B:B,B214)+(COUNTIFS('Base de Dados'!ED:ED,"Não",'Base de Dados'!A:A,A214,'Base de Dados'!B:B,B214)))),"Não Aplica")</f>
        <v>1</v>
      </c>
      <c r="AB214" s="14" t="s">
        <v>23434</v>
      </c>
      <c r="AC214" s="14" t="s">
        <v>26384</v>
      </c>
      <c r="AD214" s="14" t="s">
        <v>23441</v>
      </c>
      <c r="AE214" s="14" t="s">
        <v>23434</v>
      </c>
      <c r="AF214" s="14" t="s">
        <v>26385</v>
      </c>
      <c r="AG214" s="14" t="s">
        <v>22818</v>
      </c>
      <c r="AH214" s="80"/>
      <c r="AI214" s="14" t="s">
        <v>23438</v>
      </c>
      <c r="AJ214" s="81">
        <v>45692.6375462963</v>
      </c>
      <c r="AK214" s="82" t="s">
        <v>23446</v>
      </c>
      <c r="AL214" s="14" t="s">
        <v>23434</v>
      </c>
      <c r="AM214" s="14" t="s">
        <v>23439</v>
      </c>
      <c r="AN214" s="14" t="s">
        <v>26386</v>
      </c>
      <c r="AO214" s="14" t="s">
        <v>23441</v>
      </c>
      <c r="AP214" s="14" t="s">
        <v>23434</v>
      </c>
      <c r="AQ214" s="14" t="s">
        <v>23448</v>
      </c>
      <c r="AR214" s="14" t="s">
        <v>26387</v>
      </c>
      <c r="AS214" s="14" t="s">
        <v>23848</v>
      </c>
      <c r="AT214" s="14" t="s">
        <v>23434</v>
      </c>
      <c r="AU214" s="14" t="s">
        <v>23453</v>
      </c>
      <c r="AV214" s="14" t="s">
        <v>26388</v>
      </c>
      <c r="AW214" s="14" t="s">
        <v>23455</v>
      </c>
      <c r="AX214" s="14" t="s">
        <v>23434</v>
      </c>
      <c r="AY214" s="14" t="s">
        <v>23451</v>
      </c>
      <c r="AZ214" s="14" t="s">
        <v>26389</v>
      </c>
      <c r="BA214" s="14" t="s">
        <v>22818</v>
      </c>
      <c r="BB214" s="80"/>
      <c r="BC214" s="14" t="s">
        <v>23438</v>
      </c>
      <c r="BD214" s="81">
        <v>45721.77877314815</v>
      </c>
      <c r="BE214" s="79">
        <f>IFERROR((COUNTIFS('Base de Dados'!FD:FD,"Sim",'Base de Dados'!A:A,A214,'Base de Dados'!B:B,B214)/(COUNTIFS('Base de Dados'!FD:FD,"Sim",'Base de Dados'!A:A,A214,'Base de Dados'!B:B,B214)+(COUNTIFS('Base de Dados'!FD:FD,"Não",'Base de Dados'!A:A,A214,'Base de Dados'!B:B,B214)))),"Não Aplica")</f>
        <v>1</v>
      </c>
      <c r="BF214" s="14" t="s">
        <v>23434</v>
      </c>
      <c r="BG214" s="14" t="s">
        <v>23439</v>
      </c>
      <c r="BH214" s="14" t="s">
        <v>26390</v>
      </c>
      <c r="BI214" s="14" t="s">
        <v>23441</v>
      </c>
      <c r="BJ214" s="80"/>
      <c r="BK214" s="80"/>
      <c r="BL214" s="80"/>
      <c r="BM214" s="80"/>
      <c r="BN214" s="14" t="s">
        <v>23434</v>
      </c>
      <c r="BO214" s="14" t="s">
        <v>23453</v>
      </c>
      <c r="BP214" s="14" t="s">
        <v>26391</v>
      </c>
      <c r="BQ214" s="14" t="s">
        <v>23455</v>
      </c>
      <c r="BR214" s="14" t="s">
        <v>23434</v>
      </c>
      <c r="BS214" s="14" t="s">
        <v>23451</v>
      </c>
      <c r="BT214" s="14" t="s">
        <v>26392</v>
      </c>
      <c r="BU214" s="14" t="s">
        <v>22818</v>
      </c>
      <c r="BV214" s="80"/>
      <c r="BW214" s="14" t="s">
        <v>23438</v>
      </c>
      <c r="BX214" s="81">
        <v>45723.32056712963</v>
      </c>
      <c r="BY214" s="82" t="s">
        <v>23446</v>
      </c>
      <c r="BZ214" s="15"/>
      <c r="CA214" s="15"/>
      <c r="CB214" s="15"/>
      <c r="CC214" s="15"/>
      <c r="CD214" s="80"/>
      <c r="CE214" s="80"/>
      <c r="CF214" s="80"/>
      <c r="CG214" s="80"/>
      <c r="CH214" s="15"/>
      <c r="CI214" s="15"/>
      <c r="CJ214" s="15"/>
      <c r="CK214" s="15"/>
      <c r="CL214" s="15"/>
      <c r="CM214" s="15"/>
      <c r="CN214" s="15"/>
      <c r="CO214" s="15"/>
      <c r="CP214" s="80"/>
      <c r="CQ214" s="80" t="s">
        <v>23459</v>
      </c>
      <c r="CR214" s="83"/>
      <c r="CS214" s="84"/>
    </row>
    <row r="215">
      <c r="A215" s="78" t="s">
        <v>357</v>
      </c>
      <c r="B215" s="78" t="s">
        <v>448</v>
      </c>
      <c r="C215" s="79">
        <f>IFERROR((COUNTIFS('Base de Dados'!BT:BT,"Sim",'Base de Dados'!A:A,A215,'Base de Dados'!B:B,B215)/(COUNTIFS('Base de Dados'!BT:BT,"Sim",'Base de Dados'!A:A,A215,'Base de Dados'!B:B,B215)+(COUNTIFS('Base de Dados'!BT:BT,"Não",'Base de Dados'!A:A,A215,'Base de Dados'!B:B,B215)))),"Não Aplica")</f>
        <v>1</v>
      </c>
      <c r="D215" s="14" t="s">
        <v>23434</v>
      </c>
      <c r="E215" s="14" t="s">
        <v>26393</v>
      </c>
      <c r="F215" s="14" t="s">
        <v>23436</v>
      </c>
      <c r="G215" s="14" t="s">
        <v>23434</v>
      </c>
      <c r="H215" s="14" t="s">
        <v>26394</v>
      </c>
      <c r="I215" s="14" t="s">
        <v>22818</v>
      </c>
      <c r="J215" s="80"/>
      <c r="K215" s="14" t="s">
        <v>23438</v>
      </c>
      <c r="L215" s="81">
        <v>45687.39443287037</v>
      </c>
      <c r="M215" s="79">
        <f>IFERROR((COUNTIFS('Base de Dados'!DF:DF,"Sim",'Base de Dados'!A:A,A215,'Base de Dados'!B:B,B215)/(COUNTIFS('Base de Dados'!DF:DF,"Sim",'Base de Dados'!A:A,A215,'Base de Dados'!B:B,B215)+(COUNTIFS('Base de Dados'!DF:DF,"Não",'Base de Dados'!A:A,A215,'Base de Dados'!B:B,B215)))),"Não Aplica")</f>
        <v>1</v>
      </c>
      <c r="N215" s="14" t="s">
        <v>23434</v>
      </c>
      <c r="O215" s="14" t="s">
        <v>23439</v>
      </c>
      <c r="P215" s="14" t="s">
        <v>26395</v>
      </c>
      <c r="Q215" s="14" t="s">
        <v>23441</v>
      </c>
      <c r="R215" s="14" t="s">
        <v>23434</v>
      </c>
      <c r="S215" s="14" t="s">
        <v>26396</v>
      </c>
      <c r="T215" s="14" t="s">
        <v>23436</v>
      </c>
      <c r="U215" s="14" t="s">
        <v>23434</v>
      </c>
      <c r="V215" s="14" t="s">
        <v>26397</v>
      </c>
      <c r="W215" s="14" t="s">
        <v>22818</v>
      </c>
      <c r="X215" s="80"/>
      <c r="Y215" s="14" t="s">
        <v>23438</v>
      </c>
      <c r="Z215" s="81">
        <v>45691.61666666667</v>
      </c>
      <c r="AA215" s="79">
        <f>IFERROR((COUNTIFS('Base de Dados'!ED:ED,"Sim",'Base de Dados'!A:A,A215,'Base de Dados'!B:B,B215)/(COUNTIFS('Base de Dados'!ED:ED,"Sim",'Base de Dados'!A:A,A215,'Base de Dados'!B:B,B215)+(COUNTIFS('Base de Dados'!ED:ED,"Não",'Base de Dados'!A:A,A215,'Base de Dados'!B:B,B215)))),"Não Aplica")</f>
        <v>1</v>
      </c>
      <c r="AB215" s="14" t="s">
        <v>23434</v>
      </c>
      <c r="AC215" s="14" t="s">
        <v>26398</v>
      </c>
      <c r="AD215" s="14" t="s">
        <v>23441</v>
      </c>
      <c r="AE215" s="14" t="s">
        <v>23434</v>
      </c>
      <c r="AF215" s="14" t="s">
        <v>26399</v>
      </c>
      <c r="AG215" s="14" t="s">
        <v>22818</v>
      </c>
      <c r="AH215" s="80"/>
      <c r="AI215" s="14" t="s">
        <v>23438</v>
      </c>
      <c r="AJ215" s="81">
        <v>45692.637557870374</v>
      </c>
      <c r="AK215" s="82" t="s">
        <v>23446</v>
      </c>
      <c r="AL215" s="14" t="s">
        <v>23434</v>
      </c>
      <c r="AM215" s="14" t="s">
        <v>23439</v>
      </c>
      <c r="AN215" s="14" t="s">
        <v>26400</v>
      </c>
      <c r="AO215" s="14" t="s">
        <v>23441</v>
      </c>
      <c r="AP215" s="14" t="s">
        <v>23434</v>
      </c>
      <c r="AQ215" s="14" t="s">
        <v>23448</v>
      </c>
      <c r="AR215" s="14" t="s">
        <v>26401</v>
      </c>
      <c r="AS215" s="14" t="s">
        <v>23848</v>
      </c>
      <c r="AT215" s="14" t="s">
        <v>23434</v>
      </c>
      <c r="AU215" s="14" t="s">
        <v>23453</v>
      </c>
      <c r="AV215" s="14" t="s">
        <v>26402</v>
      </c>
      <c r="AW215" s="14" t="s">
        <v>23455</v>
      </c>
      <c r="AX215" s="14" t="s">
        <v>23434</v>
      </c>
      <c r="AY215" s="14" t="s">
        <v>23451</v>
      </c>
      <c r="AZ215" s="14" t="s">
        <v>26403</v>
      </c>
      <c r="BA215" s="14" t="s">
        <v>22818</v>
      </c>
      <c r="BB215" s="80"/>
      <c r="BC215" s="14" t="s">
        <v>23438</v>
      </c>
      <c r="BD215" s="81">
        <v>45723.29798611111</v>
      </c>
      <c r="BE215" s="79">
        <f>IFERROR((COUNTIFS('Base de Dados'!FD:FD,"Sim",'Base de Dados'!A:A,A215,'Base de Dados'!B:B,B215)/(COUNTIFS('Base de Dados'!FD:FD,"Sim",'Base de Dados'!A:A,A215,'Base de Dados'!B:B,B215)+(COUNTIFS('Base de Dados'!FD:FD,"Não",'Base de Dados'!A:A,A215,'Base de Dados'!B:B,B215)))),"Não Aplica")</f>
        <v>1</v>
      </c>
      <c r="BF215" s="14" t="s">
        <v>23434</v>
      </c>
      <c r="BG215" s="14" t="s">
        <v>23439</v>
      </c>
      <c r="BH215" s="14" t="s">
        <v>26404</v>
      </c>
      <c r="BI215" s="14" t="s">
        <v>23441</v>
      </c>
      <c r="BJ215" s="80"/>
      <c r="BK215" s="80"/>
      <c r="BL215" s="80"/>
      <c r="BM215" s="80"/>
      <c r="BN215" s="14" t="s">
        <v>23434</v>
      </c>
      <c r="BO215" s="14" t="s">
        <v>23453</v>
      </c>
      <c r="BP215" s="14" t="s">
        <v>26405</v>
      </c>
      <c r="BQ215" s="14" t="s">
        <v>23455</v>
      </c>
      <c r="BR215" s="14" t="s">
        <v>23434</v>
      </c>
      <c r="BS215" s="14" t="s">
        <v>23451</v>
      </c>
      <c r="BT215" s="14" t="s">
        <v>26406</v>
      </c>
      <c r="BU215" s="14" t="s">
        <v>22818</v>
      </c>
      <c r="BV215" s="80"/>
      <c r="BW215" s="14" t="s">
        <v>23438</v>
      </c>
      <c r="BX215" s="81">
        <v>45723.32969907407</v>
      </c>
      <c r="BY215" s="82" t="s">
        <v>23446</v>
      </c>
      <c r="BZ215" s="15"/>
      <c r="CA215" s="15"/>
      <c r="CB215" s="15"/>
      <c r="CC215" s="15"/>
      <c r="CD215" s="80"/>
      <c r="CE215" s="80"/>
      <c r="CF215" s="80"/>
      <c r="CG215" s="80"/>
      <c r="CH215" s="15"/>
      <c r="CI215" s="15"/>
      <c r="CJ215" s="15"/>
      <c r="CK215" s="15"/>
      <c r="CL215" s="15"/>
      <c r="CM215" s="15"/>
      <c r="CN215" s="15"/>
      <c r="CO215" s="15"/>
      <c r="CP215" s="80"/>
      <c r="CQ215" s="80" t="s">
        <v>23459</v>
      </c>
      <c r="CR215" s="83"/>
      <c r="CS215" s="84"/>
    </row>
    <row r="216">
      <c r="A216" s="78" t="s">
        <v>357</v>
      </c>
      <c r="B216" s="86" t="s">
        <v>7709</v>
      </c>
      <c r="C216" s="79">
        <f>IFERROR((COUNTIFS('Base de Dados'!BT:BT,"Sim",'Base de Dados'!A:A,A216,'Base de Dados'!B:B,B216)/(COUNTIFS('Base de Dados'!BT:BT,"Sim",'Base de Dados'!A:A,A216,'Base de Dados'!B:B,B216)+(COUNTIFS('Base de Dados'!BT:BT,"Não",'Base de Dados'!A:A,A216,'Base de Dados'!B:B,B216)))),"Não Aplica")</f>
        <v>1</v>
      </c>
      <c r="D216" s="14" t="s">
        <v>23434</v>
      </c>
      <c r="E216" s="14" t="s">
        <v>26407</v>
      </c>
      <c r="F216" s="14" t="s">
        <v>23436</v>
      </c>
      <c r="G216" s="14" t="s">
        <v>23434</v>
      </c>
      <c r="H216" s="14" t="s">
        <v>26408</v>
      </c>
      <c r="I216" s="14" t="s">
        <v>22818</v>
      </c>
      <c r="J216" s="80"/>
      <c r="K216" s="14" t="s">
        <v>23438</v>
      </c>
      <c r="L216" s="81">
        <v>45687.39403935185</v>
      </c>
      <c r="M216" s="79">
        <f>IFERROR((COUNTIFS('Base de Dados'!DF:DF,"Sim",'Base de Dados'!A:A,A216,'Base de Dados'!B:B,B216)/(COUNTIFS('Base de Dados'!DF:DF,"Sim",'Base de Dados'!A:A,A216,'Base de Dados'!B:B,B216)+(COUNTIFS('Base de Dados'!DF:DF,"Não",'Base de Dados'!A:A,A216,'Base de Dados'!B:B,B216)))),"Não Aplica")</f>
        <v>1</v>
      </c>
      <c r="N216" s="14" t="s">
        <v>23434</v>
      </c>
      <c r="O216" s="14" t="s">
        <v>23439</v>
      </c>
      <c r="P216" s="14" t="s">
        <v>26409</v>
      </c>
      <c r="Q216" s="14" t="s">
        <v>23441</v>
      </c>
      <c r="R216" s="14" t="s">
        <v>23434</v>
      </c>
      <c r="S216" s="14" t="s">
        <v>26410</v>
      </c>
      <c r="T216" s="14" t="s">
        <v>23436</v>
      </c>
      <c r="U216" s="14" t="s">
        <v>23434</v>
      </c>
      <c r="V216" s="14" t="s">
        <v>26411</v>
      </c>
      <c r="W216" s="14" t="s">
        <v>22818</v>
      </c>
      <c r="X216" s="80"/>
      <c r="Y216" s="14" t="s">
        <v>23438</v>
      </c>
      <c r="Z216" s="81">
        <v>45691.616689814815</v>
      </c>
      <c r="AA216" s="79" t="str">
        <f>IFERROR((COUNTIFS('Base de Dados'!ED:ED,"Sim",'Base de Dados'!A:A,A216,'Base de Dados'!B:B,B216)/(COUNTIFS('Base de Dados'!ED:ED,"Sim",'Base de Dados'!A:A,A216,'Base de Dados'!B:B,B216)+(COUNTIFS('Base de Dados'!ED:ED,"Não",'Base de Dados'!A:A,A216,'Base de Dados'!B:B,B216)))),"Não Aplica")</f>
        <v>Não Aplica</v>
      </c>
      <c r="AB216" s="14" t="s">
        <v>228</v>
      </c>
      <c r="AC216" s="14" t="s">
        <v>26412</v>
      </c>
      <c r="AD216" s="14" t="s">
        <v>23441</v>
      </c>
      <c r="AE216" s="14" t="s">
        <v>228</v>
      </c>
      <c r="AF216" s="14" t="s">
        <v>26413</v>
      </c>
      <c r="AG216" s="14" t="s">
        <v>22818</v>
      </c>
      <c r="AH216" s="80"/>
      <c r="AI216" s="14" t="s">
        <v>23438</v>
      </c>
      <c r="AJ216" s="81">
        <v>45692.63780092593</v>
      </c>
      <c r="AK216" s="82" t="s">
        <v>23446</v>
      </c>
      <c r="AL216" s="14" t="s">
        <v>23434</v>
      </c>
      <c r="AM216" s="14" t="s">
        <v>23439</v>
      </c>
      <c r="AN216" s="14" t="s">
        <v>26414</v>
      </c>
      <c r="AO216" s="14" t="s">
        <v>23441</v>
      </c>
      <c r="AP216" s="14" t="s">
        <v>23434</v>
      </c>
      <c r="AQ216" s="14" t="s">
        <v>23448</v>
      </c>
      <c r="AR216" s="14" t="s">
        <v>26415</v>
      </c>
      <c r="AS216" s="14" t="s">
        <v>23848</v>
      </c>
      <c r="AT216" s="14" t="s">
        <v>23434</v>
      </c>
      <c r="AU216" s="14" t="s">
        <v>23453</v>
      </c>
      <c r="AV216" s="14" t="s">
        <v>26416</v>
      </c>
      <c r="AW216" s="14" t="s">
        <v>23455</v>
      </c>
      <c r="AX216" s="14" t="s">
        <v>23434</v>
      </c>
      <c r="AY216" s="14" t="s">
        <v>23451</v>
      </c>
      <c r="AZ216" s="14" t="s">
        <v>26417</v>
      </c>
      <c r="BA216" s="14" t="s">
        <v>22818</v>
      </c>
      <c r="BB216" s="80"/>
      <c r="BC216" s="14" t="s">
        <v>23438</v>
      </c>
      <c r="BD216" s="81">
        <v>45722.487175925926</v>
      </c>
      <c r="BE216" s="79">
        <f>IFERROR((COUNTIFS('Base de Dados'!FD:FD,"Sim",'Base de Dados'!A:A,A216,'Base de Dados'!B:B,B216)/(COUNTIFS('Base de Dados'!FD:FD,"Sim",'Base de Dados'!A:A,A216,'Base de Dados'!B:B,B216)+(COUNTIFS('Base de Dados'!FD:FD,"Não",'Base de Dados'!A:A,A216,'Base de Dados'!B:B,B216)))),"Não Aplica")</f>
        <v>1</v>
      </c>
      <c r="BF216" s="14" t="s">
        <v>23434</v>
      </c>
      <c r="BG216" s="14" t="s">
        <v>23439</v>
      </c>
      <c r="BH216" s="14" t="s">
        <v>26418</v>
      </c>
      <c r="BI216" s="14" t="s">
        <v>23441</v>
      </c>
      <c r="BJ216" s="80"/>
      <c r="BK216" s="80"/>
      <c r="BL216" s="80"/>
      <c r="BM216" s="80"/>
      <c r="BN216" s="14" t="s">
        <v>23434</v>
      </c>
      <c r="BO216" s="14" t="s">
        <v>23453</v>
      </c>
      <c r="BP216" s="14" t="s">
        <v>26419</v>
      </c>
      <c r="BQ216" s="14" t="s">
        <v>23455</v>
      </c>
      <c r="BR216" s="14" t="s">
        <v>23434</v>
      </c>
      <c r="BS216" s="14" t="s">
        <v>23451</v>
      </c>
      <c r="BT216" s="14" t="s">
        <v>26420</v>
      </c>
      <c r="BU216" s="14" t="s">
        <v>22818</v>
      </c>
      <c r="BV216" s="80"/>
      <c r="BW216" s="14" t="s">
        <v>23438</v>
      </c>
      <c r="BX216" s="81">
        <v>45723.320601851854</v>
      </c>
      <c r="BY216" s="82" t="s">
        <v>23446</v>
      </c>
      <c r="BZ216" s="15"/>
      <c r="CA216" s="15"/>
      <c r="CB216" s="15"/>
      <c r="CC216" s="15"/>
      <c r="CD216" s="80"/>
      <c r="CE216" s="80"/>
      <c r="CF216" s="80"/>
      <c r="CG216" s="80"/>
      <c r="CH216" s="15"/>
      <c r="CI216" s="15"/>
      <c r="CJ216" s="15"/>
      <c r="CK216" s="15"/>
      <c r="CL216" s="15"/>
      <c r="CM216" s="15"/>
      <c r="CN216" s="15"/>
      <c r="CO216" s="15"/>
      <c r="CP216" s="80"/>
      <c r="CQ216" s="80" t="s">
        <v>23459</v>
      </c>
      <c r="CR216" s="83"/>
      <c r="CS216" s="84"/>
    </row>
    <row r="217">
      <c r="A217" s="78" t="s">
        <v>357</v>
      </c>
      <c r="B217" s="86" t="s">
        <v>7795</v>
      </c>
      <c r="C217" s="79">
        <f>IFERROR((COUNTIFS('Base de Dados'!BT:BT,"Sim",'Base de Dados'!A:A,A217,'Base de Dados'!B:B,B217)/(COUNTIFS('Base de Dados'!BT:BT,"Sim",'Base de Dados'!A:A,A217,'Base de Dados'!B:B,B217)+(COUNTIFS('Base de Dados'!BT:BT,"Não",'Base de Dados'!A:A,A217,'Base de Dados'!B:B,B217)))),"Não Aplica")</f>
        <v>1</v>
      </c>
      <c r="D217" s="14" t="s">
        <v>23434</v>
      </c>
      <c r="E217" s="14" t="s">
        <v>26421</v>
      </c>
      <c r="F217" s="14" t="s">
        <v>23436</v>
      </c>
      <c r="G217" s="14" t="s">
        <v>23434</v>
      </c>
      <c r="H217" s="14" t="s">
        <v>26422</v>
      </c>
      <c r="I217" s="14" t="s">
        <v>22818</v>
      </c>
      <c r="J217" s="80"/>
      <c r="K217" s="14" t="s">
        <v>23438</v>
      </c>
      <c r="L217" s="81">
        <v>45687.39407407407</v>
      </c>
      <c r="M217" s="79">
        <f>IFERROR((COUNTIFS('Base de Dados'!DF:DF,"Sim",'Base de Dados'!A:A,A217,'Base de Dados'!B:B,B217)/(COUNTIFS('Base de Dados'!DF:DF,"Sim",'Base de Dados'!A:A,A217,'Base de Dados'!B:B,B217)+(COUNTIFS('Base de Dados'!DF:DF,"Não",'Base de Dados'!A:A,A217,'Base de Dados'!B:B,B217)))),"Não Aplica")</f>
        <v>1</v>
      </c>
      <c r="N217" s="14" t="s">
        <v>23434</v>
      </c>
      <c r="O217" s="14" t="s">
        <v>23439</v>
      </c>
      <c r="P217" s="14" t="s">
        <v>26423</v>
      </c>
      <c r="Q217" s="14" t="s">
        <v>23441</v>
      </c>
      <c r="R217" s="14" t="s">
        <v>23434</v>
      </c>
      <c r="S217" s="14" t="s">
        <v>26424</v>
      </c>
      <c r="T217" s="14" t="s">
        <v>23436</v>
      </c>
      <c r="U217" s="14" t="s">
        <v>23434</v>
      </c>
      <c r="V217" s="14" t="s">
        <v>26425</v>
      </c>
      <c r="W217" s="14" t="s">
        <v>22818</v>
      </c>
      <c r="X217" s="80"/>
      <c r="Y217" s="14" t="s">
        <v>23438</v>
      </c>
      <c r="Z217" s="81">
        <v>45691.616736111115</v>
      </c>
      <c r="AA217" s="79" t="str">
        <f>IFERROR((COUNTIFS('Base de Dados'!ED:ED,"Sim",'Base de Dados'!A:A,A217,'Base de Dados'!B:B,B217)/(COUNTIFS('Base de Dados'!ED:ED,"Sim",'Base de Dados'!A:A,A217,'Base de Dados'!B:B,B217)+(COUNTIFS('Base de Dados'!ED:ED,"Não",'Base de Dados'!A:A,A217,'Base de Dados'!B:B,B217)))),"Não Aplica")</f>
        <v>Não Aplica</v>
      </c>
      <c r="AB217" s="14" t="s">
        <v>228</v>
      </c>
      <c r="AC217" s="14" t="s">
        <v>26426</v>
      </c>
      <c r="AD217" s="14" t="s">
        <v>23441</v>
      </c>
      <c r="AE217" s="14" t="s">
        <v>228</v>
      </c>
      <c r="AF217" s="14" t="s">
        <v>26427</v>
      </c>
      <c r="AG217" s="14" t="s">
        <v>22818</v>
      </c>
      <c r="AH217" s="80"/>
      <c r="AI217" s="14" t="s">
        <v>23438</v>
      </c>
      <c r="AJ217" s="81">
        <v>45692.63784722222</v>
      </c>
      <c r="AK217" s="82" t="s">
        <v>23446</v>
      </c>
      <c r="AL217" s="14" t="s">
        <v>23434</v>
      </c>
      <c r="AM217" s="14" t="s">
        <v>23439</v>
      </c>
      <c r="AN217" s="14" t="s">
        <v>26428</v>
      </c>
      <c r="AO217" s="14" t="s">
        <v>23441</v>
      </c>
      <c r="AP217" s="14" t="s">
        <v>23434</v>
      </c>
      <c r="AQ217" s="14" t="s">
        <v>23448</v>
      </c>
      <c r="AR217" s="14" t="s">
        <v>26429</v>
      </c>
      <c r="AS217" s="14" t="s">
        <v>23848</v>
      </c>
      <c r="AT217" s="14" t="s">
        <v>23434</v>
      </c>
      <c r="AU217" s="14" t="s">
        <v>23453</v>
      </c>
      <c r="AV217" s="14" t="s">
        <v>26430</v>
      </c>
      <c r="AW217" s="14" t="s">
        <v>23455</v>
      </c>
      <c r="AX217" s="14" t="s">
        <v>23434</v>
      </c>
      <c r="AY217" s="14" t="s">
        <v>23451</v>
      </c>
      <c r="AZ217" s="14" t="s">
        <v>26431</v>
      </c>
      <c r="BA217" s="14" t="s">
        <v>22818</v>
      </c>
      <c r="BB217" s="80"/>
      <c r="BC217" s="14" t="s">
        <v>23438</v>
      </c>
      <c r="BD217" s="81">
        <v>45723.41847222222</v>
      </c>
      <c r="BE217" s="79">
        <f>IFERROR((COUNTIFS('Base de Dados'!FD:FD,"Sim",'Base de Dados'!A:A,A217,'Base de Dados'!B:B,B217)/(COUNTIFS('Base de Dados'!FD:FD,"Sim",'Base de Dados'!A:A,A217,'Base de Dados'!B:B,B217)+(COUNTIFS('Base de Dados'!FD:FD,"Não",'Base de Dados'!A:A,A217,'Base de Dados'!B:B,B217)))),"Não Aplica")</f>
        <v>1</v>
      </c>
      <c r="BF217" s="14" t="s">
        <v>23434</v>
      </c>
      <c r="BG217" s="14" t="s">
        <v>23439</v>
      </c>
      <c r="BH217" s="14" t="s">
        <v>26432</v>
      </c>
      <c r="BI217" s="14" t="s">
        <v>23441</v>
      </c>
      <c r="BJ217" s="80"/>
      <c r="BK217" s="80"/>
      <c r="BL217" s="80"/>
      <c r="BM217" s="80"/>
      <c r="BN217" s="14" t="s">
        <v>23434</v>
      </c>
      <c r="BO217" s="14" t="s">
        <v>23453</v>
      </c>
      <c r="BP217" s="14" t="s">
        <v>26433</v>
      </c>
      <c r="BQ217" s="14" t="s">
        <v>23455</v>
      </c>
      <c r="BR217" s="14" t="s">
        <v>23434</v>
      </c>
      <c r="BS217" s="14" t="s">
        <v>23451</v>
      </c>
      <c r="BT217" s="14" t="s">
        <v>26434</v>
      </c>
      <c r="BU217" s="14" t="s">
        <v>22818</v>
      </c>
      <c r="BV217" s="80"/>
      <c r="BW217" s="14" t="s">
        <v>23438</v>
      </c>
      <c r="BX217" s="81">
        <v>45723.61059027778</v>
      </c>
      <c r="BY217" s="82" t="s">
        <v>23446</v>
      </c>
      <c r="BZ217" s="15"/>
      <c r="CA217" s="15"/>
      <c r="CB217" s="15"/>
      <c r="CC217" s="15"/>
      <c r="CD217" s="80"/>
      <c r="CE217" s="80"/>
      <c r="CF217" s="80"/>
      <c r="CG217" s="80"/>
      <c r="CH217" s="15"/>
      <c r="CI217" s="15"/>
      <c r="CJ217" s="15"/>
      <c r="CK217" s="15"/>
      <c r="CL217" s="15"/>
      <c r="CM217" s="15"/>
      <c r="CN217" s="15"/>
      <c r="CO217" s="15"/>
      <c r="CP217" s="80"/>
      <c r="CQ217" s="80" t="s">
        <v>23459</v>
      </c>
      <c r="CR217" s="83"/>
      <c r="CS217" s="84"/>
    </row>
    <row r="218">
      <c r="A218" s="78" t="s">
        <v>10412</v>
      </c>
      <c r="B218" s="78" t="s">
        <v>14148</v>
      </c>
      <c r="C218" s="79">
        <f>IFERROR((COUNTIFS('Base de Dados'!BT:BT,"Sim",'Base de Dados'!A:A,A218,'Base de Dados'!B:B,B218)/(COUNTIFS('Base de Dados'!BT:BT,"Sim",'Base de Dados'!A:A,A218,'Base de Dados'!B:B,B218)+(COUNTIFS('Base de Dados'!BT:BT,"Não",'Base de Dados'!A:A,A218,'Base de Dados'!B:B,B218)))),"Não Aplica")</f>
        <v>1</v>
      </c>
      <c r="D218" s="14" t="s">
        <v>23434</v>
      </c>
      <c r="E218" s="14" t="s">
        <v>26435</v>
      </c>
      <c r="F218" s="14" t="s">
        <v>23436</v>
      </c>
      <c r="G218" s="14" t="s">
        <v>23434</v>
      </c>
      <c r="H218" s="14" t="s">
        <v>26436</v>
      </c>
      <c r="I218" s="14" t="s">
        <v>22818</v>
      </c>
      <c r="J218" s="80"/>
      <c r="K218" s="14" t="s">
        <v>23438</v>
      </c>
      <c r="L218" s="81">
        <v>45687.39457175926</v>
      </c>
      <c r="M218" s="79">
        <f>IFERROR((COUNTIFS('Base de Dados'!DF:DF,"Sim",'Base de Dados'!A:A,A218,'Base de Dados'!B:B,B218)/(COUNTIFS('Base de Dados'!DF:DF,"Sim",'Base de Dados'!A:A,A218,'Base de Dados'!B:B,B218)+(COUNTIFS('Base de Dados'!DF:DF,"Não",'Base de Dados'!A:A,A218,'Base de Dados'!B:B,B218)))),"Não Aplica")</f>
        <v>1</v>
      </c>
      <c r="N218" s="14" t="s">
        <v>23434</v>
      </c>
      <c r="O218" s="14" t="s">
        <v>23439</v>
      </c>
      <c r="P218" s="14" t="s">
        <v>26437</v>
      </c>
      <c r="Q218" s="14" t="s">
        <v>23441</v>
      </c>
      <c r="R218" s="14" t="s">
        <v>23434</v>
      </c>
      <c r="S218" s="14" t="s">
        <v>26438</v>
      </c>
      <c r="T218" s="14" t="s">
        <v>23436</v>
      </c>
      <c r="U218" s="14" t="s">
        <v>23434</v>
      </c>
      <c r="V218" s="14" t="s">
        <v>26439</v>
      </c>
      <c r="W218" s="14" t="s">
        <v>22818</v>
      </c>
      <c r="X218" s="80"/>
      <c r="Y218" s="14" t="s">
        <v>23438</v>
      </c>
      <c r="Z218" s="81">
        <v>45691.61715277778</v>
      </c>
      <c r="AA218" s="79">
        <f>IFERROR((COUNTIFS('Base de Dados'!ED:ED,"Sim",'Base de Dados'!A:A,A218,'Base de Dados'!B:B,B218)/(COUNTIFS('Base de Dados'!ED:ED,"Sim",'Base de Dados'!A:A,A218,'Base de Dados'!B:B,B218)+(COUNTIFS('Base de Dados'!ED:ED,"Não",'Base de Dados'!A:A,A218,'Base de Dados'!B:B,B218)))),"Não Aplica")</f>
        <v>1</v>
      </c>
      <c r="AB218" s="14" t="s">
        <v>23434</v>
      </c>
      <c r="AC218" s="14" t="s">
        <v>26440</v>
      </c>
      <c r="AD218" s="14" t="s">
        <v>23441</v>
      </c>
      <c r="AE218" s="14" t="s">
        <v>23434</v>
      </c>
      <c r="AF218" s="14" t="s">
        <v>26441</v>
      </c>
      <c r="AG218" s="14" t="s">
        <v>22818</v>
      </c>
      <c r="AH218" s="80"/>
      <c r="AI218" s="14" t="s">
        <v>23438</v>
      </c>
      <c r="AJ218" s="81">
        <v>45692.63789351852</v>
      </c>
      <c r="AK218" s="82" t="s">
        <v>23446</v>
      </c>
      <c r="AL218" s="14" t="s">
        <v>23434</v>
      </c>
      <c r="AM218" s="14" t="s">
        <v>23439</v>
      </c>
      <c r="AN218" s="14" t="s">
        <v>26442</v>
      </c>
      <c r="AO218" s="14" t="s">
        <v>23441</v>
      </c>
      <c r="AP218" s="14" t="s">
        <v>23434</v>
      </c>
      <c r="AQ218" s="14" t="s">
        <v>23448</v>
      </c>
      <c r="AR218" s="14" t="s">
        <v>26443</v>
      </c>
      <c r="AS218" s="14" t="s">
        <v>23848</v>
      </c>
      <c r="AT218" s="14" t="s">
        <v>23434</v>
      </c>
      <c r="AU218" s="14" t="s">
        <v>23453</v>
      </c>
      <c r="AV218" s="14" t="s">
        <v>26444</v>
      </c>
      <c r="AW218" s="14" t="s">
        <v>23455</v>
      </c>
      <c r="AX218" s="14" t="s">
        <v>23434</v>
      </c>
      <c r="AY218" s="14" t="s">
        <v>23451</v>
      </c>
      <c r="AZ218" s="14" t="s">
        <v>26445</v>
      </c>
      <c r="BA218" s="14" t="s">
        <v>22818</v>
      </c>
      <c r="BB218" s="80"/>
      <c r="BC218" s="14" t="s">
        <v>23438</v>
      </c>
      <c r="BD218" s="81">
        <v>45719.62486111111</v>
      </c>
      <c r="BE218" s="79">
        <f>IFERROR((COUNTIFS('Base de Dados'!FD:FD,"Sim",'Base de Dados'!A:A,A218,'Base de Dados'!B:B,B218)/(COUNTIFS('Base de Dados'!FD:FD,"Sim",'Base de Dados'!A:A,A218,'Base de Dados'!B:B,B218)+(COUNTIFS('Base de Dados'!FD:FD,"Não",'Base de Dados'!A:A,A218,'Base de Dados'!B:B,B218)))),"Não Aplica")</f>
        <v>1</v>
      </c>
      <c r="BF218" s="14" t="s">
        <v>23434</v>
      </c>
      <c r="BG218" s="14" t="s">
        <v>23439</v>
      </c>
      <c r="BH218" s="14" t="s">
        <v>26446</v>
      </c>
      <c r="BI218" s="14" t="s">
        <v>23441</v>
      </c>
      <c r="BJ218" s="80"/>
      <c r="BK218" s="80"/>
      <c r="BL218" s="80"/>
      <c r="BM218" s="80"/>
      <c r="BN218" s="14" t="s">
        <v>23434</v>
      </c>
      <c r="BO218" s="14" t="s">
        <v>23453</v>
      </c>
      <c r="BP218" s="14" t="s">
        <v>26447</v>
      </c>
      <c r="BQ218" s="14" t="s">
        <v>23455</v>
      </c>
      <c r="BR218" s="14" t="s">
        <v>23434</v>
      </c>
      <c r="BS218" s="14" t="s">
        <v>23451</v>
      </c>
      <c r="BT218" s="14" t="s">
        <v>26448</v>
      </c>
      <c r="BU218" s="14" t="s">
        <v>22818</v>
      </c>
      <c r="BV218" s="80"/>
      <c r="BW218" s="14" t="s">
        <v>23438</v>
      </c>
      <c r="BX218" s="81">
        <v>45721.5912962963</v>
      </c>
      <c r="BY218" s="82" t="s">
        <v>23446</v>
      </c>
      <c r="BZ218" s="15"/>
      <c r="CA218" s="15"/>
      <c r="CB218" s="15"/>
      <c r="CC218" s="15"/>
      <c r="CD218" s="80"/>
      <c r="CE218" s="80"/>
      <c r="CF218" s="80"/>
      <c r="CG218" s="80"/>
      <c r="CH218" s="15"/>
      <c r="CI218" s="15"/>
      <c r="CJ218" s="15"/>
      <c r="CK218" s="15"/>
      <c r="CL218" s="15"/>
      <c r="CM218" s="15"/>
      <c r="CN218" s="15"/>
      <c r="CO218" s="15"/>
      <c r="CP218" s="80"/>
      <c r="CQ218" s="80" t="s">
        <v>23459</v>
      </c>
      <c r="CR218" s="83"/>
      <c r="CS218" s="84"/>
    </row>
    <row r="219">
      <c r="A219" s="78" t="s">
        <v>10412</v>
      </c>
      <c r="B219" s="78" t="s">
        <v>10413</v>
      </c>
      <c r="C219" s="79">
        <f>IFERROR((COUNTIFS('Base de Dados'!BT:BT,"Sim",'Base de Dados'!A:A,A219,'Base de Dados'!B:B,B219)/(COUNTIFS('Base de Dados'!BT:BT,"Sim",'Base de Dados'!A:A,A219,'Base de Dados'!B:B,B219)+(COUNTIFS('Base de Dados'!BT:BT,"Não",'Base de Dados'!A:A,A219,'Base de Dados'!B:B,B219)))),"Não Aplica")</f>
        <v>1</v>
      </c>
      <c r="D219" s="14" t="s">
        <v>23434</v>
      </c>
      <c r="E219" s="14" t="s">
        <v>26449</v>
      </c>
      <c r="F219" s="14" t="s">
        <v>23436</v>
      </c>
      <c r="G219" s="14" t="s">
        <v>23434</v>
      </c>
      <c r="H219" s="14" t="s">
        <v>26450</v>
      </c>
      <c r="I219" s="14" t="s">
        <v>22818</v>
      </c>
      <c r="J219" s="80"/>
      <c r="K219" s="14" t="s">
        <v>23438</v>
      </c>
      <c r="L219" s="81">
        <v>45687.394537037035</v>
      </c>
      <c r="M219" s="79">
        <f>IFERROR((COUNTIFS('Base de Dados'!DF:DF,"Sim",'Base de Dados'!A:A,A219,'Base de Dados'!B:B,B219)/(COUNTIFS('Base de Dados'!DF:DF,"Sim",'Base de Dados'!A:A,A219,'Base de Dados'!B:B,B219)+(COUNTIFS('Base de Dados'!DF:DF,"Não",'Base de Dados'!A:A,A219,'Base de Dados'!B:B,B219)))),"Não Aplica")</f>
        <v>1</v>
      </c>
      <c r="N219" s="14" t="s">
        <v>23434</v>
      </c>
      <c r="O219" s="14" t="s">
        <v>23439</v>
      </c>
      <c r="P219" s="14" t="s">
        <v>26451</v>
      </c>
      <c r="Q219" s="14" t="s">
        <v>23441</v>
      </c>
      <c r="R219" s="14" t="s">
        <v>23434</v>
      </c>
      <c r="S219" s="14" t="s">
        <v>26452</v>
      </c>
      <c r="T219" s="14" t="s">
        <v>23436</v>
      </c>
      <c r="U219" s="14" t="s">
        <v>23434</v>
      </c>
      <c r="V219" s="14" t="s">
        <v>26453</v>
      </c>
      <c r="W219" s="14" t="s">
        <v>22818</v>
      </c>
      <c r="X219" s="80"/>
      <c r="Y219" s="14" t="s">
        <v>23438</v>
      </c>
      <c r="Z219" s="81">
        <v>45691.6171875</v>
      </c>
      <c r="AA219" s="79">
        <f>IFERROR((COUNTIFS('Base de Dados'!ED:ED,"Sim",'Base de Dados'!A:A,A219,'Base de Dados'!B:B,B219)/(COUNTIFS('Base de Dados'!ED:ED,"Sim",'Base de Dados'!A:A,A219,'Base de Dados'!B:B,B219)+(COUNTIFS('Base de Dados'!ED:ED,"Não",'Base de Dados'!A:A,A219,'Base de Dados'!B:B,B219)))),"Não Aplica")</f>
        <v>1</v>
      </c>
      <c r="AB219" s="14" t="s">
        <v>23434</v>
      </c>
      <c r="AC219" s="14" t="s">
        <v>26454</v>
      </c>
      <c r="AD219" s="14" t="s">
        <v>23441</v>
      </c>
      <c r="AE219" s="14" t="s">
        <v>23434</v>
      </c>
      <c r="AF219" s="14" t="s">
        <v>26455</v>
      </c>
      <c r="AG219" s="14" t="s">
        <v>22818</v>
      </c>
      <c r="AH219" s="80"/>
      <c r="AI219" s="14" t="s">
        <v>23438</v>
      </c>
      <c r="AJ219" s="81">
        <v>45692.63791666667</v>
      </c>
      <c r="AK219" s="82" t="s">
        <v>23446</v>
      </c>
      <c r="AL219" s="14" t="s">
        <v>23434</v>
      </c>
      <c r="AM219" s="14" t="s">
        <v>23439</v>
      </c>
      <c r="AN219" s="14" t="s">
        <v>26456</v>
      </c>
      <c r="AO219" s="14" t="s">
        <v>23441</v>
      </c>
      <c r="AP219" s="14" t="s">
        <v>23434</v>
      </c>
      <c r="AQ219" s="14" t="s">
        <v>23448</v>
      </c>
      <c r="AR219" s="14" t="s">
        <v>26457</v>
      </c>
      <c r="AS219" s="14" t="s">
        <v>23848</v>
      </c>
      <c r="AT219" s="14" t="s">
        <v>23434</v>
      </c>
      <c r="AU219" s="14" t="s">
        <v>23453</v>
      </c>
      <c r="AV219" s="14" t="s">
        <v>26458</v>
      </c>
      <c r="AW219" s="14" t="s">
        <v>23455</v>
      </c>
      <c r="AX219" s="14" t="s">
        <v>23434</v>
      </c>
      <c r="AY219" s="14" t="s">
        <v>23451</v>
      </c>
      <c r="AZ219" s="14" t="s">
        <v>26459</v>
      </c>
      <c r="BA219" s="14" t="s">
        <v>22818</v>
      </c>
      <c r="BB219" s="80"/>
      <c r="BC219" s="14" t="s">
        <v>23438</v>
      </c>
      <c r="BD219" s="81">
        <v>45719.62490740741</v>
      </c>
      <c r="BE219" s="79">
        <f>IFERROR((COUNTIFS('Base de Dados'!FD:FD,"Sim",'Base de Dados'!A:A,A219,'Base de Dados'!B:B,B219)/(COUNTIFS('Base de Dados'!FD:FD,"Sim",'Base de Dados'!A:A,A219,'Base de Dados'!B:B,B219)+(COUNTIFS('Base de Dados'!FD:FD,"Não",'Base de Dados'!A:A,A219,'Base de Dados'!B:B,B219)))),"Não Aplica")</f>
        <v>1</v>
      </c>
      <c r="BF219" s="14" t="s">
        <v>23434</v>
      </c>
      <c r="BG219" s="14" t="s">
        <v>23439</v>
      </c>
      <c r="BH219" s="14" t="s">
        <v>26460</v>
      </c>
      <c r="BI219" s="14" t="s">
        <v>23441</v>
      </c>
      <c r="BJ219" s="80"/>
      <c r="BK219" s="80"/>
      <c r="BL219" s="80"/>
      <c r="BM219" s="80"/>
      <c r="BN219" s="14" t="s">
        <v>23434</v>
      </c>
      <c r="BO219" s="14" t="s">
        <v>23453</v>
      </c>
      <c r="BP219" s="14" t="s">
        <v>26461</v>
      </c>
      <c r="BQ219" s="14" t="s">
        <v>23455</v>
      </c>
      <c r="BR219" s="14" t="s">
        <v>23434</v>
      </c>
      <c r="BS219" s="14" t="s">
        <v>23451</v>
      </c>
      <c r="BT219" s="14" t="s">
        <v>26462</v>
      </c>
      <c r="BU219" s="14" t="s">
        <v>22818</v>
      </c>
      <c r="BV219" s="80"/>
      <c r="BW219" s="14" t="s">
        <v>23438</v>
      </c>
      <c r="BX219" s="81">
        <v>45721.591365740744</v>
      </c>
      <c r="BY219" s="82" t="s">
        <v>23446</v>
      </c>
      <c r="BZ219" s="15"/>
      <c r="CA219" s="15"/>
      <c r="CB219" s="15"/>
      <c r="CC219" s="15"/>
      <c r="CD219" s="80"/>
      <c r="CE219" s="80"/>
      <c r="CF219" s="80"/>
      <c r="CG219" s="80"/>
      <c r="CH219" s="15"/>
      <c r="CI219" s="15"/>
      <c r="CJ219" s="15"/>
      <c r="CK219" s="15"/>
      <c r="CL219" s="15"/>
      <c r="CM219" s="15"/>
      <c r="CN219" s="15"/>
      <c r="CO219" s="15"/>
      <c r="CP219" s="80"/>
      <c r="CQ219" s="80" t="s">
        <v>23459</v>
      </c>
      <c r="CR219" s="83"/>
      <c r="CS219" s="84"/>
    </row>
    <row r="220">
      <c r="A220" s="78" t="s">
        <v>10412</v>
      </c>
      <c r="B220" s="78" t="s">
        <v>18267</v>
      </c>
      <c r="C220" s="79">
        <f>IFERROR((COUNTIFS('Base de Dados'!BT:BT,"Sim",'Base de Dados'!A:A,A220,'Base de Dados'!B:B,B220)/(COUNTIFS('Base de Dados'!BT:BT,"Sim",'Base de Dados'!A:A,A220,'Base de Dados'!B:B,B220)+(COUNTIFS('Base de Dados'!BT:BT,"Não",'Base de Dados'!A:A,A220,'Base de Dados'!B:B,B220)))),"Não Aplica")</f>
        <v>1</v>
      </c>
      <c r="D220" s="14" t="s">
        <v>23434</v>
      </c>
      <c r="E220" s="14" t="s">
        <v>26463</v>
      </c>
      <c r="F220" s="14" t="s">
        <v>23436</v>
      </c>
      <c r="G220" s="14" t="s">
        <v>23434</v>
      </c>
      <c r="H220" s="14" t="s">
        <v>26464</v>
      </c>
      <c r="I220" s="14" t="s">
        <v>22818</v>
      </c>
      <c r="J220" s="80"/>
      <c r="K220" s="14" t="s">
        <v>23438</v>
      </c>
      <c r="L220" s="81">
        <v>45691.61090277778</v>
      </c>
      <c r="M220" s="79">
        <f>IFERROR((COUNTIFS('Base de Dados'!DF:DF,"Sim",'Base de Dados'!A:A,A220,'Base de Dados'!B:B,B220)/(COUNTIFS('Base de Dados'!DF:DF,"Sim",'Base de Dados'!A:A,A220,'Base de Dados'!B:B,B220)+(COUNTIFS('Base de Dados'!DF:DF,"Não",'Base de Dados'!A:A,A220,'Base de Dados'!B:B,B220)))),"Não Aplica")</f>
        <v>1</v>
      </c>
      <c r="N220" s="14" t="s">
        <v>23434</v>
      </c>
      <c r="O220" s="14" t="s">
        <v>23602</v>
      </c>
      <c r="P220" s="14" t="s">
        <v>26465</v>
      </c>
      <c r="Q220" s="14" t="s">
        <v>23436</v>
      </c>
      <c r="R220" s="14" t="s">
        <v>23434</v>
      </c>
      <c r="S220" s="14" t="s">
        <v>26466</v>
      </c>
      <c r="T220" s="14" t="s">
        <v>23441</v>
      </c>
      <c r="U220" s="14" t="s">
        <v>23434</v>
      </c>
      <c r="V220" s="14" t="s">
        <v>26467</v>
      </c>
      <c r="W220" s="14" t="s">
        <v>22818</v>
      </c>
      <c r="X220" s="80"/>
      <c r="Y220" s="14" t="s">
        <v>23438</v>
      </c>
      <c r="Z220" s="81">
        <v>45692.63300925926</v>
      </c>
      <c r="AA220" s="79">
        <f>IFERROR((COUNTIFS('Base de Dados'!ED:ED,"Sim",'Base de Dados'!A:A,A220,'Base de Dados'!B:B,B220)/(COUNTIFS('Base de Dados'!ED:ED,"Sim",'Base de Dados'!A:A,A220,'Base de Dados'!B:B,B220)+(COUNTIFS('Base de Dados'!ED:ED,"Não",'Base de Dados'!A:A,A220,'Base de Dados'!B:B,B220)))),"Não Aplica")</f>
        <v>1</v>
      </c>
      <c r="AB220" s="14" t="s">
        <v>23434</v>
      </c>
      <c r="AC220" s="14" t="s">
        <v>26468</v>
      </c>
      <c r="AD220" s="14" t="s">
        <v>23441</v>
      </c>
      <c r="AE220" s="14" t="s">
        <v>228</v>
      </c>
      <c r="AF220" s="14" t="s">
        <v>26469</v>
      </c>
      <c r="AG220" s="14" t="s">
        <v>22818</v>
      </c>
      <c r="AH220" s="80"/>
      <c r="AI220" s="14" t="s">
        <v>23438</v>
      </c>
      <c r="AJ220" s="81">
        <v>45692.63815972222</v>
      </c>
      <c r="AK220" s="82" t="s">
        <v>23446</v>
      </c>
      <c r="AL220" s="14" t="s">
        <v>23434</v>
      </c>
      <c r="AM220" s="14" t="s">
        <v>23439</v>
      </c>
      <c r="AN220" s="14" t="s">
        <v>26470</v>
      </c>
      <c r="AO220" s="14" t="s">
        <v>23441</v>
      </c>
      <c r="AP220" s="14" t="s">
        <v>23434</v>
      </c>
      <c r="AQ220" s="14" t="s">
        <v>23448</v>
      </c>
      <c r="AR220" s="14" t="s">
        <v>26471</v>
      </c>
      <c r="AS220" s="14" t="s">
        <v>23848</v>
      </c>
      <c r="AT220" s="14" t="s">
        <v>23434</v>
      </c>
      <c r="AU220" s="14" t="s">
        <v>23453</v>
      </c>
      <c r="AV220" s="14" t="s">
        <v>26472</v>
      </c>
      <c r="AW220" s="14" t="s">
        <v>23455</v>
      </c>
      <c r="AX220" s="14" t="s">
        <v>23434</v>
      </c>
      <c r="AY220" s="14" t="s">
        <v>23451</v>
      </c>
      <c r="AZ220" s="14" t="s">
        <v>26473</v>
      </c>
      <c r="BA220" s="14" t="s">
        <v>22818</v>
      </c>
      <c r="BB220" s="80"/>
      <c r="BC220" s="14" t="s">
        <v>23438</v>
      </c>
      <c r="BD220" s="81">
        <v>45719.6249537037</v>
      </c>
      <c r="BE220" s="79">
        <f>IFERROR((COUNTIFS('Base de Dados'!FD:FD,"Sim",'Base de Dados'!A:A,A220,'Base de Dados'!B:B,B220)/(COUNTIFS('Base de Dados'!FD:FD,"Sim",'Base de Dados'!A:A,A220,'Base de Dados'!B:B,B220)+(COUNTIFS('Base de Dados'!FD:FD,"Não",'Base de Dados'!A:A,A220,'Base de Dados'!B:B,B220)))),"Não Aplica")</f>
        <v>1</v>
      </c>
      <c r="BF220" s="14" t="s">
        <v>23434</v>
      </c>
      <c r="BG220" s="14" t="s">
        <v>23439</v>
      </c>
      <c r="BH220" s="14" t="s">
        <v>26474</v>
      </c>
      <c r="BI220" s="14" t="s">
        <v>23441</v>
      </c>
      <c r="BJ220" s="80"/>
      <c r="BK220" s="80"/>
      <c r="BL220" s="80"/>
      <c r="BM220" s="80"/>
      <c r="BN220" s="14" t="s">
        <v>23434</v>
      </c>
      <c r="BO220" s="14" t="s">
        <v>23453</v>
      </c>
      <c r="BP220" s="14" t="s">
        <v>26475</v>
      </c>
      <c r="BQ220" s="14" t="s">
        <v>23455</v>
      </c>
      <c r="BR220" s="14" t="s">
        <v>23434</v>
      </c>
      <c r="BS220" s="14" t="s">
        <v>23451</v>
      </c>
      <c r="BT220" s="14" t="s">
        <v>26476</v>
      </c>
      <c r="BU220" s="14" t="s">
        <v>22818</v>
      </c>
      <c r="BV220" s="80"/>
      <c r="BW220" s="14" t="s">
        <v>23438</v>
      </c>
      <c r="BX220" s="81">
        <v>45721.59133101852</v>
      </c>
      <c r="BY220" s="82" t="s">
        <v>23446</v>
      </c>
      <c r="BZ220" s="15"/>
      <c r="CA220" s="15"/>
      <c r="CB220" s="15"/>
      <c r="CC220" s="15"/>
      <c r="CD220" s="80"/>
      <c r="CE220" s="80"/>
      <c r="CF220" s="80"/>
      <c r="CG220" s="80"/>
      <c r="CH220" s="15"/>
      <c r="CI220" s="15"/>
      <c r="CJ220" s="15"/>
      <c r="CK220" s="15"/>
      <c r="CL220" s="15"/>
      <c r="CM220" s="15"/>
      <c r="CN220" s="15"/>
      <c r="CO220" s="15"/>
      <c r="CP220" s="80"/>
      <c r="CQ220" s="80" t="s">
        <v>23459</v>
      </c>
      <c r="CR220" s="83"/>
      <c r="CS220" s="84"/>
    </row>
    <row r="221">
      <c r="A221" s="78" t="s">
        <v>10412</v>
      </c>
      <c r="B221" s="78" t="s">
        <v>12788</v>
      </c>
      <c r="C221" s="79">
        <f>IFERROR((COUNTIFS('Base de Dados'!BT:BT,"Sim",'Base de Dados'!A:A,A221,'Base de Dados'!B:B,B221)/(COUNTIFS('Base de Dados'!BT:BT,"Sim",'Base de Dados'!A:A,A221,'Base de Dados'!B:B,B221)+(COUNTIFS('Base de Dados'!BT:BT,"Não",'Base de Dados'!A:A,A221,'Base de Dados'!B:B,B221)))),"Não Aplica")</f>
        <v>1</v>
      </c>
      <c r="D221" s="14" t="s">
        <v>23434</v>
      </c>
      <c r="E221" s="14" t="s">
        <v>26477</v>
      </c>
      <c r="F221" s="14" t="s">
        <v>23436</v>
      </c>
      <c r="G221" s="14" t="s">
        <v>23434</v>
      </c>
      <c r="H221" s="14" t="s">
        <v>26478</v>
      </c>
      <c r="I221" s="14" t="s">
        <v>22818</v>
      </c>
      <c r="J221" s="80"/>
      <c r="K221" s="14" t="s">
        <v>23438</v>
      </c>
      <c r="L221" s="81">
        <v>45687.66125</v>
      </c>
      <c r="M221" s="79">
        <f>IFERROR((COUNTIFS('Base de Dados'!DF:DF,"Sim",'Base de Dados'!A:A,A221,'Base de Dados'!B:B,B221)/(COUNTIFS('Base de Dados'!DF:DF,"Sim",'Base de Dados'!A:A,A221,'Base de Dados'!B:B,B221)+(COUNTIFS('Base de Dados'!DF:DF,"Não",'Base de Dados'!A:A,A221,'Base de Dados'!B:B,B221)))),"Não Aplica")</f>
        <v>1</v>
      </c>
      <c r="N221" s="14" t="s">
        <v>23434</v>
      </c>
      <c r="O221" s="14" t="s">
        <v>23439</v>
      </c>
      <c r="P221" s="14" t="s">
        <v>26479</v>
      </c>
      <c r="Q221" s="14" t="s">
        <v>23441</v>
      </c>
      <c r="R221" s="14" t="s">
        <v>23434</v>
      </c>
      <c r="S221" s="14" t="s">
        <v>26480</v>
      </c>
      <c r="T221" s="14" t="s">
        <v>23436</v>
      </c>
      <c r="U221" s="14" t="s">
        <v>23434</v>
      </c>
      <c r="V221" s="14" t="s">
        <v>26481</v>
      </c>
      <c r="W221" s="14" t="s">
        <v>22818</v>
      </c>
      <c r="X221" s="80"/>
      <c r="Y221" s="14" t="s">
        <v>23438</v>
      </c>
      <c r="Z221" s="81">
        <v>45691.617210648146</v>
      </c>
      <c r="AA221" s="79" t="str">
        <f>IFERROR((COUNTIFS('Base de Dados'!ED:ED,"Sim",'Base de Dados'!A:A,A221,'Base de Dados'!B:B,B221)/(COUNTIFS('Base de Dados'!ED:ED,"Sim",'Base de Dados'!A:A,A221,'Base de Dados'!B:B,B221)+(COUNTIFS('Base de Dados'!ED:ED,"Não",'Base de Dados'!A:A,A221,'Base de Dados'!B:B,B221)))),"Não Aplica")</f>
        <v>Não Aplica</v>
      </c>
      <c r="AB221" s="14" t="s">
        <v>228</v>
      </c>
      <c r="AC221" s="14" t="s">
        <v>26482</v>
      </c>
      <c r="AD221" s="14" t="s">
        <v>23441</v>
      </c>
      <c r="AE221" s="14" t="s">
        <v>228</v>
      </c>
      <c r="AF221" s="14" t="s">
        <v>26483</v>
      </c>
      <c r="AG221" s="14" t="s">
        <v>22818</v>
      </c>
      <c r="AH221" s="80"/>
      <c r="AI221" s="14" t="s">
        <v>23438</v>
      </c>
      <c r="AJ221" s="81">
        <v>45692.63811342593</v>
      </c>
      <c r="AK221" s="82" t="s">
        <v>23446</v>
      </c>
      <c r="AL221" s="14" t="s">
        <v>23434</v>
      </c>
      <c r="AM221" s="14" t="s">
        <v>23439</v>
      </c>
      <c r="AN221" s="14" t="s">
        <v>26484</v>
      </c>
      <c r="AO221" s="14" t="s">
        <v>23441</v>
      </c>
      <c r="AP221" s="14" t="s">
        <v>23434</v>
      </c>
      <c r="AQ221" s="14" t="s">
        <v>23448</v>
      </c>
      <c r="AR221" s="14" t="s">
        <v>26485</v>
      </c>
      <c r="AS221" s="14" t="s">
        <v>23848</v>
      </c>
      <c r="AT221" s="14" t="s">
        <v>23434</v>
      </c>
      <c r="AU221" s="14" t="s">
        <v>23453</v>
      </c>
      <c r="AV221" s="14" t="s">
        <v>26486</v>
      </c>
      <c r="AW221" s="14" t="s">
        <v>23455</v>
      </c>
      <c r="AX221" s="14" t="s">
        <v>23434</v>
      </c>
      <c r="AY221" s="14" t="s">
        <v>23451</v>
      </c>
      <c r="AZ221" s="14" t="s">
        <v>26487</v>
      </c>
      <c r="BA221" s="14" t="s">
        <v>22818</v>
      </c>
      <c r="BB221" s="80"/>
      <c r="BC221" s="14" t="s">
        <v>23438</v>
      </c>
      <c r="BD221" s="81">
        <v>45719.62498842592</v>
      </c>
      <c r="BE221" s="79">
        <f>IFERROR((COUNTIFS('Base de Dados'!FD:FD,"Sim",'Base de Dados'!A:A,A221,'Base de Dados'!B:B,B221)/(COUNTIFS('Base de Dados'!FD:FD,"Sim",'Base de Dados'!A:A,A221,'Base de Dados'!B:B,B221)+(COUNTIFS('Base de Dados'!FD:FD,"Não",'Base de Dados'!A:A,A221,'Base de Dados'!B:B,B221)))),"Não Aplica")</f>
        <v>1</v>
      </c>
      <c r="BF221" s="14" t="s">
        <v>23434</v>
      </c>
      <c r="BG221" s="14" t="s">
        <v>23439</v>
      </c>
      <c r="BH221" s="14" t="s">
        <v>26488</v>
      </c>
      <c r="BI221" s="14" t="s">
        <v>23441</v>
      </c>
      <c r="BJ221" s="80"/>
      <c r="BK221" s="80"/>
      <c r="BL221" s="80"/>
      <c r="BM221" s="80"/>
      <c r="BN221" s="14" t="s">
        <v>23434</v>
      </c>
      <c r="BO221" s="14" t="s">
        <v>23453</v>
      </c>
      <c r="BP221" s="14" t="s">
        <v>26489</v>
      </c>
      <c r="BQ221" s="14" t="s">
        <v>23455</v>
      </c>
      <c r="BR221" s="14" t="s">
        <v>23434</v>
      </c>
      <c r="BS221" s="14" t="s">
        <v>23451</v>
      </c>
      <c r="BT221" s="14" t="s">
        <v>26490</v>
      </c>
      <c r="BU221" s="14" t="s">
        <v>22818</v>
      </c>
      <c r="BV221" s="80"/>
      <c r="BW221" s="14" t="s">
        <v>23438</v>
      </c>
      <c r="BX221" s="81">
        <v>45721.591412037036</v>
      </c>
      <c r="BY221" s="82" t="s">
        <v>23446</v>
      </c>
      <c r="BZ221" s="15"/>
      <c r="CA221" s="15"/>
      <c r="CB221" s="15"/>
      <c r="CC221" s="15"/>
      <c r="CD221" s="80"/>
      <c r="CE221" s="80"/>
      <c r="CF221" s="80"/>
      <c r="CG221" s="80"/>
      <c r="CH221" s="15"/>
      <c r="CI221" s="15"/>
      <c r="CJ221" s="15"/>
      <c r="CK221" s="15"/>
      <c r="CL221" s="15"/>
      <c r="CM221" s="15"/>
      <c r="CN221" s="15"/>
      <c r="CO221" s="15"/>
      <c r="CP221" s="80"/>
      <c r="CQ221" s="80" t="s">
        <v>23459</v>
      </c>
      <c r="CR221" s="83"/>
      <c r="CS221" s="84"/>
    </row>
    <row r="222">
      <c r="A222" s="78" t="s">
        <v>10412</v>
      </c>
      <c r="B222" s="78" t="s">
        <v>15566</v>
      </c>
      <c r="C222" s="79">
        <f>IFERROR((COUNTIFS('Base de Dados'!BT:BT,"Sim",'Base de Dados'!A:A,A222,'Base de Dados'!B:B,B222)/(COUNTIFS('Base de Dados'!BT:BT,"Sim",'Base de Dados'!A:A,A222,'Base de Dados'!B:B,B222)+(COUNTIFS('Base de Dados'!BT:BT,"Não",'Base de Dados'!A:A,A222,'Base de Dados'!B:B,B222)))),"Não Aplica")</f>
        <v>1</v>
      </c>
      <c r="D222" s="14" t="s">
        <v>23434</v>
      </c>
      <c r="E222" s="14" t="s">
        <v>26491</v>
      </c>
      <c r="F222" s="14" t="s">
        <v>23436</v>
      </c>
      <c r="G222" s="14" t="s">
        <v>23434</v>
      </c>
      <c r="H222" s="14" t="s">
        <v>26492</v>
      </c>
      <c r="I222" s="14" t="s">
        <v>22818</v>
      </c>
      <c r="J222" s="80"/>
      <c r="K222" s="14" t="s">
        <v>23438</v>
      </c>
      <c r="L222" s="81">
        <v>45687.6612962963</v>
      </c>
      <c r="M222" s="79">
        <f>IFERROR((COUNTIFS('Base de Dados'!DF:DF,"Sim",'Base de Dados'!A:A,A222,'Base de Dados'!B:B,B222)/(COUNTIFS('Base de Dados'!DF:DF,"Sim",'Base de Dados'!A:A,A222,'Base de Dados'!B:B,B222)+(COUNTIFS('Base de Dados'!DF:DF,"Não",'Base de Dados'!A:A,A222,'Base de Dados'!B:B,B222)))),"Não Aplica")</f>
        <v>1</v>
      </c>
      <c r="N222" s="14" t="s">
        <v>23434</v>
      </c>
      <c r="O222" s="14" t="s">
        <v>23439</v>
      </c>
      <c r="P222" s="14" t="s">
        <v>26493</v>
      </c>
      <c r="Q222" s="14" t="s">
        <v>23441</v>
      </c>
      <c r="R222" s="14" t="s">
        <v>23434</v>
      </c>
      <c r="S222" s="14" t="s">
        <v>26494</v>
      </c>
      <c r="T222" s="14" t="s">
        <v>23436</v>
      </c>
      <c r="U222" s="14" t="s">
        <v>23434</v>
      </c>
      <c r="V222" s="14" t="s">
        <v>26495</v>
      </c>
      <c r="W222" s="14" t="s">
        <v>22818</v>
      </c>
      <c r="X222" s="80"/>
      <c r="Y222" s="14" t="s">
        <v>23438</v>
      </c>
      <c r="Z222" s="81">
        <v>45691.617314814815</v>
      </c>
      <c r="AA222" s="79">
        <f>IFERROR((COUNTIFS('Base de Dados'!ED:ED,"Sim",'Base de Dados'!A:A,A222,'Base de Dados'!B:B,B222)/(COUNTIFS('Base de Dados'!ED:ED,"Sim",'Base de Dados'!A:A,A222,'Base de Dados'!B:B,B222)+(COUNTIFS('Base de Dados'!ED:ED,"Não",'Base de Dados'!A:A,A222,'Base de Dados'!B:B,B222)))),"Não Aplica")</f>
        <v>1</v>
      </c>
      <c r="AB222" s="14" t="s">
        <v>23434</v>
      </c>
      <c r="AC222" s="14" t="s">
        <v>26496</v>
      </c>
      <c r="AD222" s="14" t="s">
        <v>23441</v>
      </c>
      <c r="AE222" s="14" t="s">
        <v>23434</v>
      </c>
      <c r="AF222" s="14" t="s">
        <v>26497</v>
      </c>
      <c r="AG222" s="14" t="s">
        <v>22818</v>
      </c>
      <c r="AH222" s="80"/>
      <c r="AI222" s="14" t="s">
        <v>23438</v>
      </c>
      <c r="AJ222" s="81">
        <v>45692.63795138889</v>
      </c>
      <c r="AK222" s="82" t="s">
        <v>23446</v>
      </c>
      <c r="AL222" s="14" t="s">
        <v>23434</v>
      </c>
      <c r="AM222" s="14" t="s">
        <v>23439</v>
      </c>
      <c r="AN222" s="14" t="s">
        <v>26498</v>
      </c>
      <c r="AO222" s="14" t="s">
        <v>23441</v>
      </c>
      <c r="AP222" s="14" t="s">
        <v>23434</v>
      </c>
      <c r="AQ222" s="14" t="s">
        <v>23448</v>
      </c>
      <c r="AR222" s="14" t="s">
        <v>26499</v>
      </c>
      <c r="AS222" s="14" t="s">
        <v>23848</v>
      </c>
      <c r="AT222" s="14" t="s">
        <v>23434</v>
      </c>
      <c r="AU222" s="14" t="s">
        <v>23453</v>
      </c>
      <c r="AV222" s="14" t="s">
        <v>26500</v>
      </c>
      <c r="AW222" s="14" t="s">
        <v>23455</v>
      </c>
      <c r="AX222" s="14" t="s">
        <v>23434</v>
      </c>
      <c r="AY222" s="14" t="s">
        <v>23451</v>
      </c>
      <c r="AZ222" s="14" t="s">
        <v>26501</v>
      </c>
      <c r="BA222" s="14" t="s">
        <v>22818</v>
      </c>
      <c r="BB222" s="80"/>
      <c r="BC222" s="14" t="s">
        <v>23438</v>
      </c>
      <c r="BD222" s="81">
        <v>45719.62503472222</v>
      </c>
      <c r="BE222" s="79">
        <f>IFERROR((COUNTIFS('Base de Dados'!FD:FD,"Sim",'Base de Dados'!A:A,A222,'Base de Dados'!B:B,B222)/(COUNTIFS('Base de Dados'!FD:FD,"Sim",'Base de Dados'!A:A,A222,'Base de Dados'!B:B,B222)+(COUNTIFS('Base de Dados'!FD:FD,"Não",'Base de Dados'!A:A,A222,'Base de Dados'!B:B,B222)))),"Não Aplica")</f>
        <v>1</v>
      </c>
      <c r="BF222" s="14" t="s">
        <v>23434</v>
      </c>
      <c r="BG222" s="14" t="s">
        <v>23439</v>
      </c>
      <c r="BH222" s="14" t="s">
        <v>26502</v>
      </c>
      <c r="BI222" s="14" t="s">
        <v>23441</v>
      </c>
      <c r="BJ222" s="80"/>
      <c r="BK222" s="80"/>
      <c r="BL222" s="80"/>
      <c r="BM222" s="80"/>
      <c r="BN222" s="14" t="s">
        <v>23434</v>
      </c>
      <c r="BO222" s="14" t="s">
        <v>23453</v>
      </c>
      <c r="BP222" s="14" t="s">
        <v>26503</v>
      </c>
      <c r="BQ222" s="14" t="s">
        <v>23455</v>
      </c>
      <c r="BR222" s="14" t="s">
        <v>23434</v>
      </c>
      <c r="BS222" s="14" t="s">
        <v>23451</v>
      </c>
      <c r="BT222" s="14" t="s">
        <v>26504</v>
      </c>
      <c r="BU222" s="14" t="s">
        <v>22818</v>
      </c>
      <c r="BV222" s="80"/>
      <c r="BW222" s="14" t="s">
        <v>23438</v>
      </c>
      <c r="BX222" s="81">
        <v>45721.59144675926</v>
      </c>
      <c r="BY222" s="82" t="s">
        <v>23446</v>
      </c>
      <c r="BZ222" s="15"/>
      <c r="CA222" s="15"/>
      <c r="CB222" s="15"/>
      <c r="CC222" s="15"/>
      <c r="CD222" s="80"/>
      <c r="CE222" s="80"/>
      <c r="CF222" s="80"/>
      <c r="CG222" s="80"/>
      <c r="CH222" s="15"/>
      <c r="CI222" s="15"/>
      <c r="CJ222" s="15"/>
      <c r="CK222" s="15"/>
      <c r="CL222" s="15"/>
      <c r="CM222" s="15"/>
      <c r="CN222" s="15"/>
      <c r="CO222" s="15"/>
      <c r="CP222" s="80"/>
      <c r="CQ222" s="80" t="s">
        <v>23459</v>
      </c>
      <c r="CR222" s="83"/>
      <c r="CS222" s="84"/>
    </row>
    <row r="223">
      <c r="A223" s="78" t="s">
        <v>10412</v>
      </c>
      <c r="B223" s="78" t="s">
        <v>10522</v>
      </c>
      <c r="C223" s="79">
        <f>IFERROR((COUNTIFS('Base de Dados'!BT:BT,"Sim",'Base de Dados'!A:A,A223,'Base de Dados'!B:B,B223)/(COUNTIFS('Base de Dados'!BT:BT,"Sim",'Base de Dados'!A:A,A223,'Base de Dados'!B:B,B223)+(COUNTIFS('Base de Dados'!BT:BT,"Não",'Base de Dados'!A:A,A223,'Base de Dados'!B:B,B223)))),"Não Aplica")</f>
        <v>1</v>
      </c>
      <c r="D223" s="14" t="s">
        <v>23434</v>
      </c>
      <c r="E223" s="14" t="s">
        <v>26505</v>
      </c>
      <c r="F223" s="14" t="s">
        <v>23436</v>
      </c>
      <c r="G223" s="14" t="s">
        <v>23434</v>
      </c>
      <c r="H223" s="14" t="s">
        <v>26506</v>
      </c>
      <c r="I223" s="14" t="s">
        <v>22818</v>
      </c>
      <c r="J223" s="80"/>
      <c r="K223" s="14" t="s">
        <v>23438</v>
      </c>
      <c r="L223" s="81">
        <v>45691.610914351855</v>
      </c>
      <c r="M223" s="79">
        <f>IFERROR((COUNTIFS('Base de Dados'!DF:DF,"Sim",'Base de Dados'!A:A,A223,'Base de Dados'!B:B,B223)/(COUNTIFS('Base de Dados'!DF:DF,"Sim",'Base de Dados'!A:A,A223,'Base de Dados'!B:B,B223)+(COUNTIFS('Base de Dados'!DF:DF,"Não",'Base de Dados'!A:A,A223,'Base de Dados'!B:B,B223)))),"Não Aplica")</f>
        <v>1</v>
      </c>
      <c r="N223" s="14" t="s">
        <v>23434</v>
      </c>
      <c r="O223" s="14" t="s">
        <v>23602</v>
      </c>
      <c r="P223" s="14" t="s">
        <v>26507</v>
      </c>
      <c r="Q223" s="14" t="s">
        <v>23436</v>
      </c>
      <c r="R223" s="14" t="s">
        <v>23434</v>
      </c>
      <c r="S223" s="14" t="s">
        <v>26508</v>
      </c>
      <c r="T223" s="14" t="s">
        <v>23441</v>
      </c>
      <c r="U223" s="14" t="s">
        <v>23434</v>
      </c>
      <c r="V223" s="14" t="s">
        <v>26509</v>
      </c>
      <c r="W223" s="14" t="s">
        <v>22818</v>
      </c>
      <c r="X223" s="80"/>
      <c r="Y223" s="14" t="s">
        <v>23438</v>
      </c>
      <c r="Z223" s="81">
        <v>45692.633043981485</v>
      </c>
      <c r="AA223" s="79">
        <f>IFERROR((COUNTIFS('Base de Dados'!ED:ED,"Sim",'Base de Dados'!A:A,A223,'Base de Dados'!B:B,B223)/(COUNTIFS('Base de Dados'!ED:ED,"Sim",'Base de Dados'!A:A,A223,'Base de Dados'!B:B,B223)+(COUNTIFS('Base de Dados'!ED:ED,"Não",'Base de Dados'!A:A,A223,'Base de Dados'!B:B,B223)))),"Não Aplica")</f>
        <v>1</v>
      </c>
      <c r="AB223" s="14" t="s">
        <v>23434</v>
      </c>
      <c r="AC223" s="14" t="s">
        <v>26510</v>
      </c>
      <c r="AD223" s="14" t="s">
        <v>23441</v>
      </c>
      <c r="AE223" s="14" t="s">
        <v>228</v>
      </c>
      <c r="AF223" s="14" t="s">
        <v>26511</v>
      </c>
      <c r="AG223" s="14" t="s">
        <v>22818</v>
      </c>
      <c r="AH223" s="80"/>
      <c r="AI223" s="14" t="s">
        <v>23438</v>
      </c>
      <c r="AJ223" s="81">
        <v>45692.638136574074</v>
      </c>
      <c r="AK223" s="82" t="s">
        <v>23446</v>
      </c>
      <c r="AL223" s="14" t="s">
        <v>23434</v>
      </c>
      <c r="AM223" s="14" t="s">
        <v>23439</v>
      </c>
      <c r="AN223" s="14" t="s">
        <v>26512</v>
      </c>
      <c r="AO223" s="14" t="s">
        <v>23441</v>
      </c>
      <c r="AP223" s="14" t="s">
        <v>23434</v>
      </c>
      <c r="AQ223" s="14" t="s">
        <v>23448</v>
      </c>
      <c r="AR223" s="14" t="s">
        <v>26513</v>
      </c>
      <c r="AS223" s="14" t="s">
        <v>23848</v>
      </c>
      <c r="AT223" s="14" t="s">
        <v>23434</v>
      </c>
      <c r="AU223" s="14" t="s">
        <v>23453</v>
      </c>
      <c r="AV223" s="14" t="s">
        <v>26514</v>
      </c>
      <c r="AW223" s="14" t="s">
        <v>23455</v>
      </c>
      <c r="AX223" s="14" t="s">
        <v>23434</v>
      </c>
      <c r="AY223" s="14" t="s">
        <v>23451</v>
      </c>
      <c r="AZ223" s="14" t="s">
        <v>26515</v>
      </c>
      <c r="BA223" s="14" t="s">
        <v>22818</v>
      </c>
      <c r="BB223" s="80"/>
      <c r="BC223" s="14" t="s">
        <v>23438</v>
      </c>
      <c r="BD223" s="81">
        <v>45719.625069444446</v>
      </c>
      <c r="BE223" s="79">
        <f>IFERROR((COUNTIFS('Base de Dados'!FD:FD,"Sim",'Base de Dados'!A:A,A223,'Base de Dados'!B:B,B223)/(COUNTIFS('Base de Dados'!FD:FD,"Sim",'Base de Dados'!A:A,A223,'Base de Dados'!B:B,B223)+(COUNTIFS('Base de Dados'!FD:FD,"Não",'Base de Dados'!A:A,A223,'Base de Dados'!B:B,B223)))),"Não Aplica")</f>
        <v>1</v>
      </c>
      <c r="BF223" s="14" t="s">
        <v>23434</v>
      </c>
      <c r="BG223" s="14" t="s">
        <v>23439</v>
      </c>
      <c r="BH223" s="14" t="s">
        <v>26516</v>
      </c>
      <c r="BI223" s="14" t="s">
        <v>23441</v>
      </c>
      <c r="BJ223" s="80"/>
      <c r="BK223" s="80"/>
      <c r="BL223" s="80"/>
      <c r="BM223" s="80"/>
      <c r="BN223" s="14" t="s">
        <v>23434</v>
      </c>
      <c r="BO223" s="14" t="s">
        <v>23453</v>
      </c>
      <c r="BP223" s="14" t="s">
        <v>26517</v>
      </c>
      <c r="BQ223" s="14" t="s">
        <v>23455</v>
      </c>
      <c r="BR223" s="14" t="s">
        <v>23434</v>
      </c>
      <c r="BS223" s="14" t="s">
        <v>23451</v>
      </c>
      <c r="BT223" s="14" t="s">
        <v>26518</v>
      </c>
      <c r="BU223" s="14" t="s">
        <v>22818</v>
      </c>
      <c r="BV223" s="80"/>
      <c r="BW223" s="14" t="s">
        <v>23438</v>
      </c>
      <c r="BX223" s="81">
        <v>45721.59149305556</v>
      </c>
      <c r="BY223" s="82" t="s">
        <v>23446</v>
      </c>
      <c r="BZ223" s="15"/>
      <c r="CA223" s="15"/>
      <c r="CB223" s="15"/>
      <c r="CC223" s="15"/>
      <c r="CD223" s="80"/>
      <c r="CE223" s="80"/>
      <c r="CF223" s="80"/>
      <c r="CG223" s="80"/>
      <c r="CH223" s="15"/>
      <c r="CI223" s="15"/>
      <c r="CJ223" s="15"/>
      <c r="CK223" s="15"/>
      <c r="CL223" s="15"/>
      <c r="CM223" s="15"/>
      <c r="CN223" s="15"/>
      <c r="CO223" s="15"/>
      <c r="CP223" s="80"/>
      <c r="CQ223" s="80" t="s">
        <v>23459</v>
      </c>
      <c r="CR223" s="83"/>
      <c r="CS223" s="84"/>
    </row>
    <row r="224">
      <c r="A224" s="78" t="s">
        <v>7459</v>
      </c>
      <c r="B224" s="86" t="s">
        <v>15118</v>
      </c>
      <c r="C224" s="79">
        <f>IFERROR((COUNTIFS('Base de Dados'!BT:BT,"Sim",'Base de Dados'!A:A,A224,'Base de Dados'!B:B,B224)/(COUNTIFS('Base de Dados'!BT:BT,"Sim",'Base de Dados'!A:A,A224,'Base de Dados'!B:B,B224)+(COUNTIFS('Base de Dados'!BT:BT,"Não",'Base de Dados'!A:A,A224,'Base de Dados'!B:B,B224)))),"Não Aplica")</f>
        <v>1</v>
      </c>
      <c r="D224" s="14" t="s">
        <v>23434</v>
      </c>
      <c r="E224" s="14" t="s">
        <v>26519</v>
      </c>
      <c r="F224" s="14" t="s">
        <v>23436</v>
      </c>
      <c r="G224" s="14" t="s">
        <v>23434</v>
      </c>
      <c r="H224" s="14" t="s">
        <v>26520</v>
      </c>
      <c r="I224" s="14" t="s">
        <v>22818</v>
      </c>
      <c r="J224" s="80"/>
      <c r="K224" s="14" t="s">
        <v>23438</v>
      </c>
      <c r="L224" s="81">
        <v>45691.61096064815</v>
      </c>
      <c r="M224" s="79">
        <f>IFERROR((COUNTIFS('Base de Dados'!DF:DF,"Sim",'Base de Dados'!A:A,A224,'Base de Dados'!B:B,B224)/(COUNTIFS('Base de Dados'!DF:DF,"Sim",'Base de Dados'!A:A,A224,'Base de Dados'!B:B,B224)+(COUNTIFS('Base de Dados'!DF:DF,"Não",'Base de Dados'!A:A,A224,'Base de Dados'!B:B,B224)))),"Não Aplica")</f>
        <v>1</v>
      </c>
      <c r="N224" s="14" t="s">
        <v>23434</v>
      </c>
      <c r="O224" s="14" t="s">
        <v>23602</v>
      </c>
      <c r="P224" s="14" t="s">
        <v>26521</v>
      </c>
      <c r="Q224" s="14" t="s">
        <v>23436</v>
      </c>
      <c r="R224" s="14" t="s">
        <v>23434</v>
      </c>
      <c r="S224" s="14" t="s">
        <v>26522</v>
      </c>
      <c r="T224" s="14" t="s">
        <v>26523</v>
      </c>
      <c r="U224" s="14" t="s">
        <v>23434</v>
      </c>
      <c r="V224" s="14" t="s">
        <v>26524</v>
      </c>
      <c r="W224" s="14" t="s">
        <v>22818</v>
      </c>
      <c r="X224" s="80"/>
      <c r="Y224" s="14" t="s">
        <v>23438</v>
      </c>
      <c r="Z224" s="81">
        <v>45713.32454861111</v>
      </c>
      <c r="AA224" s="79">
        <f>IFERROR((COUNTIFS('Base de Dados'!ED:ED,"Sim",'Base de Dados'!A:A,A224,'Base de Dados'!B:B,B224)/(COUNTIFS('Base de Dados'!ED:ED,"Sim",'Base de Dados'!A:A,A224,'Base de Dados'!B:B,B224)+(COUNTIFS('Base de Dados'!ED:ED,"Não",'Base de Dados'!A:A,A224,'Base de Dados'!B:B,B224)))),"Não Aplica")</f>
        <v>1</v>
      </c>
      <c r="AB224" s="14" t="s">
        <v>23434</v>
      </c>
      <c r="AC224" s="14" t="s">
        <v>26525</v>
      </c>
      <c r="AD224" s="14" t="s">
        <v>26523</v>
      </c>
      <c r="AE224" s="14" t="s">
        <v>23434</v>
      </c>
      <c r="AF224" s="14" t="s">
        <v>26526</v>
      </c>
      <c r="AG224" s="14" t="s">
        <v>22818</v>
      </c>
      <c r="AH224" s="80"/>
      <c r="AI224" s="14" t="s">
        <v>23438</v>
      </c>
      <c r="AJ224" s="81">
        <v>45722.769849537035</v>
      </c>
      <c r="AK224" s="82" t="s">
        <v>23446</v>
      </c>
      <c r="AL224" s="14" t="s">
        <v>23434</v>
      </c>
      <c r="AM224" s="14" t="s">
        <v>23448</v>
      </c>
      <c r="AN224" s="14" t="s">
        <v>26527</v>
      </c>
      <c r="AO224" s="14" t="s">
        <v>23848</v>
      </c>
      <c r="AP224" s="14" t="s">
        <v>23434</v>
      </c>
      <c r="AQ224" s="14" t="s">
        <v>23439</v>
      </c>
      <c r="AR224" s="14" t="s">
        <v>26528</v>
      </c>
      <c r="AS224" s="14" t="s">
        <v>26523</v>
      </c>
      <c r="AT224" s="14" t="s">
        <v>23434</v>
      </c>
      <c r="AU224" s="14" t="s">
        <v>23453</v>
      </c>
      <c r="AV224" s="14" t="s">
        <v>26529</v>
      </c>
      <c r="AW224" s="14" t="s">
        <v>23455</v>
      </c>
      <c r="AX224" s="14" t="s">
        <v>23434</v>
      </c>
      <c r="AY224" s="14" t="s">
        <v>23451</v>
      </c>
      <c r="AZ224" s="14" t="s">
        <v>26530</v>
      </c>
      <c r="BA224" s="14" t="s">
        <v>22818</v>
      </c>
      <c r="BB224" s="80"/>
      <c r="BC224" s="14" t="s">
        <v>23438</v>
      </c>
      <c r="BD224" s="81">
        <v>45723.54325231481</v>
      </c>
      <c r="BE224" s="79" t="str">
        <f>IFERROR((COUNTIFS('Base de Dados'!FD:FD,"Sim",'Base de Dados'!A:A,A224,'Base de Dados'!B:B,B224)/(COUNTIFS('Base de Dados'!FD:FD,"Sim",'Base de Dados'!A:A,A224,'Base de Dados'!B:B,B224)+(COUNTIFS('Base de Dados'!FD:FD,"Não",'Base de Dados'!A:A,A224,'Base de Dados'!B:B,B224)))),"Não Aplica")</f>
        <v>Não Aplica</v>
      </c>
      <c r="BF224" s="14" t="s">
        <v>228</v>
      </c>
      <c r="BG224" s="14" t="s">
        <v>23439</v>
      </c>
      <c r="BH224" s="14" t="s">
        <v>26531</v>
      </c>
      <c r="BI224" s="14" t="s">
        <v>26523</v>
      </c>
      <c r="BJ224" s="80"/>
      <c r="BK224" s="80"/>
      <c r="BL224" s="80"/>
      <c r="BM224" s="80"/>
      <c r="BN224" s="14" t="s">
        <v>228</v>
      </c>
      <c r="BO224" s="14" t="s">
        <v>23453</v>
      </c>
      <c r="BP224" s="14" t="s">
        <v>26532</v>
      </c>
      <c r="BQ224" s="14" t="s">
        <v>23455</v>
      </c>
      <c r="BR224" s="14" t="s">
        <v>228</v>
      </c>
      <c r="BS224" s="15"/>
      <c r="BT224" s="14" t="s">
        <v>26533</v>
      </c>
      <c r="BU224" s="14" t="s">
        <v>22818</v>
      </c>
      <c r="BV224" s="80"/>
      <c r="BW224" s="14" t="s">
        <v>23438</v>
      </c>
      <c r="BX224" s="81">
        <v>45735.744305555556</v>
      </c>
      <c r="BY224" s="82" t="s">
        <v>23446</v>
      </c>
      <c r="BZ224" s="14" t="s">
        <v>23434</v>
      </c>
      <c r="CA224" s="14" t="s">
        <v>23439</v>
      </c>
      <c r="CB224" s="14" t="s">
        <v>26534</v>
      </c>
      <c r="CC224" s="14" t="s">
        <v>26523</v>
      </c>
      <c r="CD224" s="80"/>
      <c r="CE224" s="80"/>
      <c r="CF224" s="80"/>
      <c r="CG224" s="80"/>
      <c r="CH224" s="15"/>
      <c r="CI224" s="15"/>
      <c r="CJ224" s="15"/>
      <c r="CK224" s="15"/>
      <c r="CL224" s="15"/>
      <c r="CM224" s="15"/>
      <c r="CN224" s="15"/>
      <c r="CO224" s="15"/>
      <c r="CP224" s="80"/>
      <c r="CQ224" s="80" t="s">
        <v>23459</v>
      </c>
      <c r="CR224" s="83"/>
      <c r="CS224" s="84"/>
    </row>
    <row r="225">
      <c r="A225" s="78" t="s">
        <v>7459</v>
      </c>
      <c r="B225" s="86" t="s">
        <v>7460</v>
      </c>
      <c r="C225" s="79">
        <f>IFERROR((COUNTIFS('Base de Dados'!BT:BT,"Sim",'Base de Dados'!A:A,A225,'Base de Dados'!B:B,B225)/(COUNTIFS('Base de Dados'!BT:BT,"Sim",'Base de Dados'!A:A,A225,'Base de Dados'!B:B,B225)+(COUNTIFS('Base de Dados'!BT:BT,"Não",'Base de Dados'!A:A,A225,'Base de Dados'!B:B,B225)))),"Não Aplica")</f>
        <v>1</v>
      </c>
      <c r="D225" s="14" t="s">
        <v>23434</v>
      </c>
      <c r="E225" s="14" t="s">
        <v>26535</v>
      </c>
      <c r="F225" s="14" t="s">
        <v>23436</v>
      </c>
      <c r="G225" s="14" t="s">
        <v>23434</v>
      </c>
      <c r="H225" s="14" t="s">
        <v>26536</v>
      </c>
      <c r="I225" s="14" t="s">
        <v>22818</v>
      </c>
      <c r="J225" s="80"/>
      <c r="K225" s="14" t="s">
        <v>23438</v>
      </c>
      <c r="L225" s="81">
        <v>45691.610983796294</v>
      </c>
      <c r="M225" s="79">
        <f>IFERROR((COUNTIFS('Base de Dados'!DF:DF,"Sim",'Base de Dados'!A:A,A225,'Base de Dados'!B:B,B225)/(COUNTIFS('Base de Dados'!DF:DF,"Sim",'Base de Dados'!A:A,A225,'Base de Dados'!B:B,B225)+(COUNTIFS('Base de Dados'!DF:DF,"Não",'Base de Dados'!A:A,A225,'Base de Dados'!B:B,B225)))),"Não Aplica")</f>
        <v>1</v>
      </c>
      <c r="N225" s="14" t="s">
        <v>23434</v>
      </c>
      <c r="O225" s="14" t="s">
        <v>23602</v>
      </c>
      <c r="P225" s="14" t="s">
        <v>26537</v>
      </c>
      <c r="Q225" s="14" t="s">
        <v>23436</v>
      </c>
      <c r="R225" s="14" t="s">
        <v>23434</v>
      </c>
      <c r="S225" s="14" t="s">
        <v>26538</v>
      </c>
      <c r="T225" s="14" t="s">
        <v>26523</v>
      </c>
      <c r="U225" s="14" t="s">
        <v>23434</v>
      </c>
      <c r="V225" s="14" t="s">
        <v>26539</v>
      </c>
      <c r="W225" s="14" t="s">
        <v>22818</v>
      </c>
      <c r="X225" s="80"/>
      <c r="Y225" s="14" t="s">
        <v>23438</v>
      </c>
      <c r="Z225" s="81">
        <v>45713.32461805556</v>
      </c>
      <c r="AA225" s="79">
        <f>IFERROR((COUNTIFS('Base de Dados'!ED:ED,"Sim",'Base de Dados'!A:A,A225,'Base de Dados'!B:B,B225)/(COUNTIFS('Base de Dados'!ED:ED,"Sim",'Base de Dados'!A:A,A225,'Base de Dados'!B:B,B225)+(COUNTIFS('Base de Dados'!ED:ED,"Não",'Base de Dados'!A:A,A225,'Base de Dados'!B:B,B225)))),"Não Aplica")</f>
        <v>1</v>
      </c>
      <c r="AB225" s="14" t="s">
        <v>23434</v>
      </c>
      <c r="AC225" s="14" t="s">
        <v>26540</v>
      </c>
      <c r="AD225" s="14" t="s">
        <v>26523</v>
      </c>
      <c r="AE225" s="14" t="s">
        <v>23434</v>
      </c>
      <c r="AF225" s="14" t="s">
        <v>26541</v>
      </c>
      <c r="AG225" s="14" t="s">
        <v>22818</v>
      </c>
      <c r="AH225" s="80"/>
      <c r="AI225" s="14" t="s">
        <v>23438</v>
      </c>
      <c r="AJ225" s="81">
        <v>45722.769791666666</v>
      </c>
      <c r="AK225" s="82" t="s">
        <v>23446</v>
      </c>
      <c r="AL225" s="14" t="s">
        <v>23434</v>
      </c>
      <c r="AM225" s="14" t="s">
        <v>23448</v>
      </c>
      <c r="AN225" s="14" t="s">
        <v>26542</v>
      </c>
      <c r="AO225" s="14" t="s">
        <v>23848</v>
      </c>
      <c r="AP225" s="14" t="s">
        <v>23434</v>
      </c>
      <c r="AQ225" s="14" t="s">
        <v>23439</v>
      </c>
      <c r="AR225" s="14" t="s">
        <v>26543</v>
      </c>
      <c r="AS225" s="14" t="s">
        <v>26523</v>
      </c>
      <c r="AT225" s="14" t="s">
        <v>23434</v>
      </c>
      <c r="AU225" s="14" t="s">
        <v>23453</v>
      </c>
      <c r="AV225" s="14" t="s">
        <v>26544</v>
      </c>
      <c r="AW225" s="14" t="s">
        <v>23455</v>
      </c>
      <c r="AX225" s="14" t="s">
        <v>23434</v>
      </c>
      <c r="AY225" s="14" t="s">
        <v>23451</v>
      </c>
      <c r="AZ225" s="14" t="s">
        <v>26545</v>
      </c>
      <c r="BA225" s="14" t="s">
        <v>22818</v>
      </c>
      <c r="BB225" s="80"/>
      <c r="BC225" s="14" t="s">
        <v>23438</v>
      </c>
      <c r="BD225" s="81">
        <v>45723.54329861111</v>
      </c>
      <c r="BE225" s="79">
        <f>IFERROR((COUNTIFS('Base de Dados'!FD:FD,"Sim",'Base de Dados'!A:A,A225,'Base de Dados'!B:B,B225)/(COUNTIFS('Base de Dados'!FD:FD,"Sim",'Base de Dados'!A:A,A225,'Base de Dados'!B:B,B225)+(COUNTIFS('Base de Dados'!FD:FD,"Não",'Base de Dados'!A:A,A225,'Base de Dados'!B:B,B225)))),"Não Aplica")</f>
        <v>1</v>
      </c>
      <c r="BF225" s="14" t="s">
        <v>23434</v>
      </c>
      <c r="BG225" s="14" t="s">
        <v>23439</v>
      </c>
      <c r="BH225" s="14" t="s">
        <v>26546</v>
      </c>
      <c r="BI225" s="14" t="s">
        <v>26523</v>
      </c>
      <c r="BJ225" s="80"/>
      <c r="BK225" s="80"/>
      <c r="BL225" s="80"/>
      <c r="BM225" s="80"/>
      <c r="BN225" s="14" t="s">
        <v>23434</v>
      </c>
      <c r="BO225" s="14" t="s">
        <v>23453</v>
      </c>
      <c r="BP225" s="14" t="s">
        <v>26547</v>
      </c>
      <c r="BQ225" s="14" t="s">
        <v>23455</v>
      </c>
      <c r="BR225" s="14" t="s">
        <v>23434</v>
      </c>
      <c r="BS225" s="14" t="s">
        <v>23451</v>
      </c>
      <c r="BT225" s="14" t="s">
        <v>26548</v>
      </c>
      <c r="BU225" s="14" t="s">
        <v>22818</v>
      </c>
      <c r="BV225" s="80"/>
      <c r="BW225" s="14" t="s">
        <v>23438</v>
      </c>
      <c r="BX225" s="81">
        <v>45735.74424768519</v>
      </c>
      <c r="BY225" s="82" t="s">
        <v>23446</v>
      </c>
      <c r="BZ225" s="14" t="s">
        <v>23434</v>
      </c>
      <c r="CA225" s="14" t="s">
        <v>23439</v>
      </c>
      <c r="CB225" s="14" t="s">
        <v>26549</v>
      </c>
      <c r="CC225" s="14" t="s">
        <v>26523</v>
      </c>
      <c r="CD225" s="80"/>
      <c r="CE225" s="80"/>
      <c r="CF225" s="80"/>
      <c r="CG225" s="80"/>
      <c r="CH225" s="15"/>
      <c r="CI225" s="15"/>
      <c r="CJ225" s="15"/>
      <c r="CK225" s="15"/>
      <c r="CL225" s="15"/>
      <c r="CM225" s="15"/>
      <c r="CN225" s="15"/>
      <c r="CO225" s="15"/>
      <c r="CP225" s="80"/>
      <c r="CQ225" s="80" t="s">
        <v>23459</v>
      </c>
      <c r="CR225" s="83"/>
      <c r="CS225" s="84"/>
    </row>
    <row r="226">
      <c r="A226" s="78" t="s">
        <v>7459</v>
      </c>
      <c r="B226" s="87" t="s">
        <v>13130</v>
      </c>
      <c r="C226" s="79">
        <f>IFERROR((COUNTIFS('Base de Dados'!BT:BT,"Sim",'Base de Dados'!A:A,A226,'Base de Dados'!B:B,B226)/(COUNTIFS('Base de Dados'!BT:BT,"Sim",'Base de Dados'!A:A,A226,'Base de Dados'!B:B,B226)+(COUNTIFS('Base de Dados'!BT:BT,"Não",'Base de Dados'!A:A,A226,'Base de Dados'!B:B,B226)))),"Não Aplica")</f>
        <v>1</v>
      </c>
      <c r="D226" s="14" t="s">
        <v>23434</v>
      </c>
      <c r="E226" s="14" t="s">
        <v>26550</v>
      </c>
      <c r="F226" s="14" t="s">
        <v>23436</v>
      </c>
      <c r="G226" s="14" t="s">
        <v>23434</v>
      </c>
      <c r="H226" s="14" t="s">
        <v>26551</v>
      </c>
      <c r="I226" s="14" t="s">
        <v>22818</v>
      </c>
      <c r="J226" s="80"/>
      <c r="K226" s="14" t="s">
        <v>23438</v>
      </c>
      <c r="L226" s="81">
        <v>45691.61100694445</v>
      </c>
      <c r="M226" s="79">
        <f>IFERROR((COUNTIFS('Base de Dados'!DF:DF,"Sim",'Base de Dados'!A:A,A226,'Base de Dados'!B:B,B226)/(COUNTIFS('Base de Dados'!DF:DF,"Sim",'Base de Dados'!A:A,A226,'Base de Dados'!B:B,B226)+(COUNTIFS('Base de Dados'!DF:DF,"Não",'Base de Dados'!A:A,A226,'Base de Dados'!B:B,B226)))),"Não Aplica")</f>
        <v>1</v>
      </c>
      <c r="N226" s="14" t="s">
        <v>23434</v>
      </c>
      <c r="O226" s="14" t="s">
        <v>23602</v>
      </c>
      <c r="P226" s="14" t="s">
        <v>26552</v>
      </c>
      <c r="Q226" s="14" t="s">
        <v>23436</v>
      </c>
      <c r="R226" s="14" t="s">
        <v>23434</v>
      </c>
      <c r="S226" s="14" t="s">
        <v>26553</v>
      </c>
      <c r="T226" s="14" t="s">
        <v>26523</v>
      </c>
      <c r="U226" s="14" t="s">
        <v>23434</v>
      </c>
      <c r="V226" s="14" t="s">
        <v>26554</v>
      </c>
      <c r="W226" s="14" t="s">
        <v>22818</v>
      </c>
      <c r="X226" s="80"/>
      <c r="Y226" s="14" t="s">
        <v>23438</v>
      </c>
      <c r="Z226" s="81">
        <v>45713.32466435185</v>
      </c>
      <c r="AA226" s="79">
        <f>IFERROR((COUNTIFS('Base de Dados'!ED:ED,"Sim",'Base de Dados'!A:A,A226,'Base de Dados'!B:B,B226)/(COUNTIFS('Base de Dados'!ED:ED,"Sim",'Base de Dados'!A:A,A226,'Base de Dados'!B:B,B226)+(COUNTIFS('Base de Dados'!ED:ED,"Não",'Base de Dados'!A:A,A226,'Base de Dados'!B:B,B226)))),"Não Aplica")</f>
        <v>1</v>
      </c>
      <c r="AB226" s="14" t="s">
        <v>23434</v>
      </c>
      <c r="AC226" s="14" t="s">
        <v>26555</v>
      </c>
      <c r="AD226" s="14" t="s">
        <v>26523</v>
      </c>
      <c r="AE226" s="14" t="s">
        <v>23434</v>
      </c>
      <c r="AF226" s="14" t="s">
        <v>26556</v>
      </c>
      <c r="AG226" s="14" t="s">
        <v>22818</v>
      </c>
      <c r="AH226" s="80"/>
      <c r="AI226" s="14" t="s">
        <v>23438</v>
      </c>
      <c r="AJ226" s="81">
        <v>45721.59012731481</v>
      </c>
      <c r="AK226" s="82" t="s">
        <v>23446</v>
      </c>
      <c r="AL226" s="14" t="s">
        <v>23434</v>
      </c>
      <c r="AM226" s="14" t="s">
        <v>23448</v>
      </c>
      <c r="AN226" s="14" t="s">
        <v>26557</v>
      </c>
      <c r="AO226" s="14" t="s">
        <v>23848</v>
      </c>
      <c r="AP226" s="14" t="s">
        <v>23434</v>
      </c>
      <c r="AQ226" s="14" t="s">
        <v>23439</v>
      </c>
      <c r="AR226" s="14" t="s">
        <v>26558</v>
      </c>
      <c r="AS226" s="14" t="s">
        <v>26523</v>
      </c>
      <c r="AT226" s="14" t="s">
        <v>23434</v>
      </c>
      <c r="AU226" s="14" t="s">
        <v>23453</v>
      </c>
      <c r="AV226" s="14" t="s">
        <v>26559</v>
      </c>
      <c r="AW226" s="14" t="s">
        <v>23455</v>
      </c>
      <c r="AX226" s="14" t="s">
        <v>23434</v>
      </c>
      <c r="AY226" s="14" t="s">
        <v>23451</v>
      </c>
      <c r="AZ226" s="14" t="s">
        <v>26560</v>
      </c>
      <c r="BA226" s="14" t="s">
        <v>22818</v>
      </c>
      <c r="BB226" s="80"/>
      <c r="BC226" s="14" t="s">
        <v>23438</v>
      </c>
      <c r="BD226" s="81">
        <v>45724.367847222224</v>
      </c>
      <c r="BE226" s="79">
        <f>IFERROR((COUNTIFS('Base de Dados'!FD:FD,"Sim",'Base de Dados'!A:A,A226,'Base de Dados'!B:B,B226)/(COUNTIFS('Base de Dados'!FD:FD,"Sim",'Base de Dados'!A:A,A226,'Base de Dados'!B:B,B226)+(COUNTIFS('Base de Dados'!FD:FD,"Não",'Base de Dados'!A:A,A226,'Base de Dados'!B:B,B226)))),"Não Aplica")</f>
        <v>1</v>
      </c>
      <c r="BF226" s="14" t="s">
        <v>23434</v>
      </c>
      <c r="BG226" s="14" t="s">
        <v>23439</v>
      </c>
      <c r="BH226" s="14" t="s">
        <v>26561</v>
      </c>
      <c r="BI226" s="14" t="s">
        <v>26523</v>
      </c>
      <c r="BJ226" s="80"/>
      <c r="BK226" s="80"/>
      <c r="BL226" s="80"/>
      <c r="BM226" s="80"/>
      <c r="BN226" s="14" t="s">
        <v>23434</v>
      </c>
      <c r="BO226" s="14" t="s">
        <v>23453</v>
      </c>
      <c r="BP226" s="14" t="s">
        <v>26562</v>
      </c>
      <c r="BQ226" s="14" t="s">
        <v>23455</v>
      </c>
      <c r="BR226" s="14" t="s">
        <v>23434</v>
      </c>
      <c r="BS226" s="14" t="s">
        <v>23451</v>
      </c>
      <c r="BT226" s="14" t="s">
        <v>26563</v>
      </c>
      <c r="BU226" s="14" t="s">
        <v>22818</v>
      </c>
      <c r="BV226" s="80"/>
      <c r="BW226" s="14" t="s">
        <v>23438</v>
      </c>
      <c r="BX226" s="81">
        <v>45735.74434027778</v>
      </c>
      <c r="BY226" s="82" t="s">
        <v>23446</v>
      </c>
      <c r="BZ226" s="14" t="s">
        <v>23434</v>
      </c>
      <c r="CA226" s="14" t="s">
        <v>23439</v>
      </c>
      <c r="CB226" s="14" t="s">
        <v>26564</v>
      </c>
      <c r="CC226" s="14" t="s">
        <v>26523</v>
      </c>
      <c r="CD226" s="80"/>
      <c r="CE226" s="80"/>
      <c r="CF226" s="80"/>
      <c r="CG226" s="80"/>
      <c r="CH226" s="15"/>
      <c r="CI226" s="15"/>
      <c r="CJ226" s="15"/>
      <c r="CK226" s="15"/>
      <c r="CL226" s="15"/>
      <c r="CM226" s="15"/>
      <c r="CN226" s="15"/>
      <c r="CO226" s="15"/>
      <c r="CP226" s="80"/>
      <c r="CQ226" s="80" t="s">
        <v>23459</v>
      </c>
      <c r="CR226" s="83"/>
      <c r="CS226" s="84"/>
    </row>
    <row r="227">
      <c r="A227" s="78" t="s">
        <v>7459</v>
      </c>
      <c r="B227" s="86" t="s">
        <v>10605</v>
      </c>
      <c r="C227" s="79">
        <f>IFERROR((COUNTIFS('Base de Dados'!BT:BT,"Sim",'Base de Dados'!A:A,A227,'Base de Dados'!B:B,B227)/(COUNTIFS('Base de Dados'!BT:BT,"Sim",'Base de Dados'!A:A,A227,'Base de Dados'!B:B,B227)+(COUNTIFS('Base de Dados'!BT:BT,"Não",'Base de Dados'!A:A,A227,'Base de Dados'!B:B,B227)))),"Não Aplica")</f>
        <v>1</v>
      </c>
      <c r="D227" s="14" t="s">
        <v>23434</v>
      </c>
      <c r="E227" s="14" t="s">
        <v>26565</v>
      </c>
      <c r="F227" s="14" t="s">
        <v>23436</v>
      </c>
      <c r="G227" s="14" t="s">
        <v>23434</v>
      </c>
      <c r="H227" s="14" t="s">
        <v>26566</v>
      </c>
      <c r="I227" s="14" t="s">
        <v>22818</v>
      </c>
      <c r="J227" s="80"/>
      <c r="K227" s="14" t="s">
        <v>23438</v>
      </c>
      <c r="L227" s="81">
        <v>45691.611030092594</v>
      </c>
      <c r="M227" s="79">
        <f>IFERROR((COUNTIFS('Base de Dados'!DF:DF,"Sim",'Base de Dados'!A:A,A227,'Base de Dados'!B:B,B227)/(COUNTIFS('Base de Dados'!DF:DF,"Sim",'Base de Dados'!A:A,A227,'Base de Dados'!B:B,B227)+(COUNTIFS('Base de Dados'!DF:DF,"Não",'Base de Dados'!A:A,A227,'Base de Dados'!B:B,B227)))),"Não Aplica")</f>
        <v>1</v>
      </c>
      <c r="N227" s="14" t="s">
        <v>23434</v>
      </c>
      <c r="O227" s="14" t="s">
        <v>23602</v>
      </c>
      <c r="P227" s="14" t="s">
        <v>26567</v>
      </c>
      <c r="Q227" s="14" t="s">
        <v>23436</v>
      </c>
      <c r="R227" s="14" t="s">
        <v>23434</v>
      </c>
      <c r="S227" s="14" t="s">
        <v>26568</v>
      </c>
      <c r="T227" s="14" t="s">
        <v>26523</v>
      </c>
      <c r="U227" s="14" t="s">
        <v>23434</v>
      </c>
      <c r="V227" s="14" t="s">
        <v>26569</v>
      </c>
      <c r="W227" s="14" t="s">
        <v>22818</v>
      </c>
      <c r="X227" s="80"/>
      <c r="Y227" s="14" t="s">
        <v>23438</v>
      </c>
      <c r="Z227" s="81">
        <v>45713.32471064815</v>
      </c>
      <c r="AA227" s="79">
        <f>IFERROR((COUNTIFS('Base de Dados'!ED:ED,"Sim",'Base de Dados'!A:A,A227,'Base de Dados'!B:B,B227)/(COUNTIFS('Base de Dados'!ED:ED,"Sim",'Base de Dados'!A:A,A227,'Base de Dados'!B:B,B227)+(COUNTIFS('Base de Dados'!ED:ED,"Não",'Base de Dados'!A:A,A227,'Base de Dados'!B:B,B227)))),"Não Aplica")</f>
        <v>1</v>
      </c>
      <c r="AB227" s="14" t="s">
        <v>23434</v>
      </c>
      <c r="AC227" s="14" t="s">
        <v>26570</v>
      </c>
      <c r="AD227" s="14" t="s">
        <v>26523</v>
      </c>
      <c r="AE227" s="14" t="s">
        <v>23434</v>
      </c>
      <c r="AF227" s="14" t="s">
        <v>26571</v>
      </c>
      <c r="AG227" s="14" t="s">
        <v>22818</v>
      </c>
      <c r="AH227" s="80"/>
      <c r="AI227" s="14" t="s">
        <v>23438</v>
      </c>
      <c r="AJ227" s="81">
        <v>45721.59017361111</v>
      </c>
      <c r="AK227" s="82" t="s">
        <v>23446</v>
      </c>
      <c r="AL227" s="14" t="s">
        <v>23434</v>
      </c>
      <c r="AM227" s="14" t="s">
        <v>23448</v>
      </c>
      <c r="AN227" s="14" t="s">
        <v>26572</v>
      </c>
      <c r="AO227" s="14" t="s">
        <v>23848</v>
      </c>
      <c r="AP227" s="14" t="s">
        <v>23434</v>
      </c>
      <c r="AQ227" s="14" t="s">
        <v>23439</v>
      </c>
      <c r="AR227" s="14" t="s">
        <v>26573</v>
      </c>
      <c r="AS227" s="14" t="s">
        <v>26523</v>
      </c>
      <c r="AT227" s="14" t="s">
        <v>23434</v>
      </c>
      <c r="AU227" s="14" t="s">
        <v>23453</v>
      </c>
      <c r="AV227" s="14" t="s">
        <v>26574</v>
      </c>
      <c r="AW227" s="14" t="s">
        <v>23455</v>
      </c>
      <c r="AX227" s="14" t="s">
        <v>23434</v>
      </c>
      <c r="AY227" s="14" t="s">
        <v>23451</v>
      </c>
      <c r="AZ227" s="14" t="s">
        <v>26575</v>
      </c>
      <c r="BA227" s="14" t="s">
        <v>22818</v>
      </c>
      <c r="BB227" s="80"/>
      <c r="BC227" s="14" t="s">
        <v>23438</v>
      </c>
      <c r="BD227" s="81">
        <v>45723.543333333335</v>
      </c>
      <c r="BE227" s="79">
        <f>IFERROR((COUNTIFS('Base de Dados'!FD:FD,"Sim",'Base de Dados'!A:A,A227,'Base de Dados'!B:B,B227)/(COUNTIFS('Base de Dados'!FD:FD,"Sim",'Base de Dados'!A:A,A227,'Base de Dados'!B:B,B227)+(COUNTIFS('Base de Dados'!FD:FD,"Não",'Base de Dados'!A:A,A227,'Base de Dados'!B:B,B227)))),"Não Aplica")</f>
        <v>1</v>
      </c>
      <c r="BF227" s="14" t="s">
        <v>23434</v>
      </c>
      <c r="BG227" s="14" t="s">
        <v>23439</v>
      </c>
      <c r="BH227" s="14" t="s">
        <v>26576</v>
      </c>
      <c r="BI227" s="14" t="s">
        <v>26523</v>
      </c>
      <c r="BJ227" s="80"/>
      <c r="BK227" s="80"/>
      <c r="BL227" s="80"/>
      <c r="BM227" s="80"/>
      <c r="BN227" s="14" t="s">
        <v>23434</v>
      </c>
      <c r="BO227" s="14" t="s">
        <v>23453</v>
      </c>
      <c r="BP227" s="14" t="s">
        <v>26577</v>
      </c>
      <c r="BQ227" s="14" t="s">
        <v>23455</v>
      </c>
      <c r="BR227" s="14" t="s">
        <v>23434</v>
      </c>
      <c r="BS227" s="14" t="s">
        <v>23451</v>
      </c>
      <c r="BT227" s="14" t="s">
        <v>26578</v>
      </c>
      <c r="BU227" s="14" t="s">
        <v>22818</v>
      </c>
      <c r="BV227" s="80"/>
      <c r="BW227" s="14" t="s">
        <v>23438</v>
      </c>
      <c r="BX227" s="81">
        <v>45735.744375</v>
      </c>
      <c r="BY227" s="82" t="s">
        <v>23446</v>
      </c>
      <c r="BZ227" s="14" t="s">
        <v>23434</v>
      </c>
      <c r="CA227" s="14" t="s">
        <v>23439</v>
      </c>
      <c r="CB227" s="14" t="s">
        <v>26579</v>
      </c>
      <c r="CC227" s="14" t="s">
        <v>26523</v>
      </c>
      <c r="CD227" s="80"/>
      <c r="CE227" s="80"/>
      <c r="CF227" s="80"/>
      <c r="CG227" s="80"/>
      <c r="CH227" s="15"/>
      <c r="CI227" s="15"/>
      <c r="CJ227" s="15"/>
      <c r="CK227" s="15"/>
      <c r="CL227" s="15"/>
      <c r="CM227" s="15"/>
      <c r="CN227" s="15"/>
      <c r="CO227" s="15"/>
      <c r="CP227" s="80"/>
      <c r="CQ227" s="80" t="s">
        <v>23459</v>
      </c>
      <c r="CR227" s="83"/>
      <c r="CS227" s="8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38"/>
    <col customWidth="1" min="2" max="2" width="54.38"/>
    <col customWidth="1" min="3" max="4" width="35.38"/>
    <col customWidth="1" min="5" max="5" width="37.88"/>
    <col customWidth="1" min="6" max="8" width="35.38"/>
  </cols>
  <sheetData>
    <row r="1" ht="68.25" customHeight="1">
      <c r="A1" s="88" t="s">
        <v>0</v>
      </c>
      <c r="B1" s="88" t="s">
        <v>26580</v>
      </c>
      <c r="C1" s="88" t="s">
        <v>26581</v>
      </c>
      <c r="D1" s="88" t="s">
        <v>26582</v>
      </c>
      <c r="E1" s="89" t="s">
        <v>26583</v>
      </c>
      <c r="F1" s="89" t="s">
        <v>161</v>
      </c>
      <c r="G1" s="88" t="s">
        <v>26584</v>
      </c>
      <c r="H1" s="88" t="s">
        <v>22805</v>
      </c>
    </row>
    <row r="2">
      <c r="A2" s="90" t="s">
        <v>358</v>
      </c>
      <c r="B2" s="90" t="s">
        <v>26585</v>
      </c>
      <c r="C2" s="91"/>
      <c r="D2" s="91"/>
      <c r="E2" s="92" t="s">
        <v>179</v>
      </c>
      <c r="F2" s="91"/>
      <c r="G2" s="92" t="s">
        <v>26586</v>
      </c>
      <c r="H2" s="92" t="s">
        <v>26587</v>
      </c>
    </row>
    <row r="3">
      <c r="A3" s="90" t="s">
        <v>26588</v>
      </c>
      <c r="B3" s="90" t="s">
        <v>26589</v>
      </c>
      <c r="C3" s="91"/>
      <c r="D3" s="91"/>
      <c r="E3" s="92" t="s">
        <v>179</v>
      </c>
      <c r="F3" s="91"/>
      <c r="G3" s="92" t="s">
        <v>26590</v>
      </c>
      <c r="H3" s="92" t="s">
        <v>26587</v>
      </c>
    </row>
    <row r="4">
      <c r="A4" s="90" t="s">
        <v>26591</v>
      </c>
      <c r="B4" s="90" t="s">
        <v>26592</v>
      </c>
      <c r="C4" s="91"/>
      <c r="D4" s="91"/>
      <c r="E4" s="92" t="s">
        <v>179</v>
      </c>
      <c r="F4" s="91"/>
      <c r="G4" s="92" t="s">
        <v>26593</v>
      </c>
      <c r="H4" s="92" t="s">
        <v>26587</v>
      </c>
    </row>
    <row r="5">
      <c r="A5" s="90" t="s">
        <v>26594</v>
      </c>
      <c r="B5" s="90" t="s">
        <v>26595</v>
      </c>
      <c r="C5" s="91"/>
      <c r="D5" s="91"/>
      <c r="E5" s="92" t="s">
        <v>179</v>
      </c>
      <c r="F5" s="91"/>
      <c r="G5" s="92" t="s">
        <v>26596</v>
      </c>
      <c r="H5" s="92" t="s">
        <v>26587</v>
      </c>
    </row>
    <row r="6">
      <c r="A6" s="90" t="s">
        <v>26597</v>
      </c>
      <c r="B6" s="90" t="s">
        <v>26598</v>
      </c>
      <c r="C6" s="91"/>
      <c r="D6" s="91"/>
      <c r="E6" s="92" t="s">
        <v>179</v>
      </c>
      <c r="F6" s="91"/>
      <c r="G6" s="92" t="s">
        <v>26599</v>
      </c>
      <c r="H6" s="92" t="s">
        <v>26587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88"/>
    <col customWidth="1" min="2" max="2" width="43.0"/>
    <col customWidth="1" min="3" max="3" width="21.5"/>
    <col customWidth="1" min="4" max="4" width="12.5"/>
    <col customWidth="1" min="5" max="5" width="41.0"/>
    <col customWidth="1" min="6" max="6" width="25.25"/>
    <col customWidth="1" min="7" max="7" width="20.25"/>
    <col customWidth="1" min="8" max="8" width="24.13"/>
    <col customWidth="1" min="9" max="9" width="21.63"/>
  </cols>
  <sheetData>
    <row r="1" ht="42.0" customHeight="1">
      <c r="A1" s="93" t="s">
        <v>26600</v>
      </c>
      <c r="B1" s="93" t="s">
        <v>26601</v>
      </c>
      <c r="C1" s="93" t="s">
        <v>26602</v>
      </c>
      <c r="D1" s="93" t="s">
        <v>26603</v>
      </c>
      <c r="E1" s="93" t="s">
        <v>26604</v>
      </c>
      <c r="F1" s="93" t="s">
        <v>26605</v>
      </c>
      <c r="G1" s="93" t="s">
        <v>26606</v>
      </c>
      <c r="H1" s="93" t="s">
        <v>26607</v>
      </c>
      <c r="I1" s="93" t="s">
        <v>22805</v>
      </c>
    </row>
    <row r="2">
      <c r="A2" s="94" t="s">
        <v>26608</v>
      </c>
      <c r="B2" s="95" t="s">
        <v>26609</v>
      </c>
      <c r="C2" s="96" t="s">
        <v>26610</v>
      </c>
      <c r="D2" s="97"/>
      <c r="E2" s="98" t="s">
        <v>26611</v>
      </c>
      <c r="F2" s="99" t="s">
        <v>26612</v>
      </c>
      <c r="G2" s="100" t="s">
        <v>26613</v>
      </c>
      <c r="H2" s="100" t="s">
        <v>26613</v>
      </c>
      <c r="I2" s="14" t="s">
        <v>26614</v>
      </c>
    </row>
    <row r="3">
      <c r="A3" s="94" t="s">
        <v>26608</v>
      </c>
      <c r="B3" s="95" t="s">
        <v>26615</v>
      </c>
      <c r="C3" s="96" t="s">
        <v>26616</v>
      </c>
      <c r="D3" s="97"/>
      <c r="E3" s="98" t="s">
        <v>26611</v>
      </c>
      <c r="F3" s="99" t="s">
        <v>26612</v>
      </c>
      <c r="G3" s="100" t="s">
        <v>26613</v>
      </c>
      <c r="H3" s="100" t="s">
        <v>26613</v>
      </c>
      <c r="I3" s="15"/>
    </row>
    <row r="4">
      <c r="A4" s="94" t="s">
        <v>26608</v>
      </c>
      <c r="B4" s="95" t="s">
        <v>26617</v>
      </c>
      <c r="C4" s="96" t="s">
        <v>26618</v>
      </c>
      <c r="D4" s="97"/>
      <c r="E4" s="98" t="s">
        <v>26611</v>
      </c>
      <c r="F4" s="99" t="s">
        <v>26612</v>
      </c>
      <c r="G4" s="100" t="s">
        <v>26613</v>
      </c>
      <c r="H4" s="100" t="s">
        <v>26613</v>
      </c>
      <c r="I4" s="14" t="s">
        <v>26619</v>
      </c>
    </row>
    <row r="5">
      <c r="A5" s="94" t="s">
        <v>26608</v>
      </c>
      <c r="B5" s="95" t="s">
        <v>26620</v>
      </c>
      <c r="C5" s="96" t="s">
        <v>26621</v>
      </c>
      <c r="D5" s="97"/>
      <c r="E5" s="98" t="s">
        <v>26611</v>
      </c>
      <c r="F5" s="99" t="s">
        <v>26612</v>
      </c>
      <c r="G5" s="100" t="s">
        <v>26613</v>
      </c>
      <c r="H5" s="100" t="s">
        <v>26613</v>
      </c>
      <c r="I5" s="15"/>
    </row>
    <row r="6">
      <c r="A6" s="94" t="s">
        <v>26608</v>
      </c>
      <c r="B6" s="95" t="s">
        <v>26622</v>
      </c>
      <c r="C6" s="96" t="s">
        <v>26623</v>
      </c>
      <c r="D6" s="97"/>
      <c r="E6" s="98" t="s">
        <v>26611</v>
      </c>
      <c r="F6" s="99" t="s">
        <v>26612</v>
      </c>
      <c r="G6" s="100" t="s">
        <v>26613</v>
      </c>
      <c r="H6" s="100" t="s">
        <v>26613</v>
      </c>
      <c r="I6" s="14" t="s">
        <v>26624</v>
      </c>
    </row>
    <row r="7">
      <c r="A7" s="94" t="s">
        <v>26608</v>
      </c>
      <c r="B7" s="101" t="s">
        <v>26625</v>
      </c>
      <c r="C7" s="102" t="s">
        <v>26626</v>
      </c>
      <c r="D7" s="97"/>
      <c r="E7" s="98" t="s">
        <v>23448</v>
      </c>
      <c r="F7" s="99" t="s">
        <v>26612</v>
      </c>
      <c r="G7" s="100" t="s">
        <v>26627</v>
      </c>
      <c r="H7" s="100" t="s">
        <v>26613</v>
      </c>
      <c r="I7" s="14" t="s">
        <v>23450</v>
      </c>
    </row>
    <row r="8">
      <c r="A8" s="94" t="s">
        <v>26608</v>
      </c>
      <c r="B8" s="95" t="s">
        <v>26628</v>
      </c>
      <c r="C8" s="96" t="s">
        <v>26629</v>
      </c>
      <c r="D8" s="97" t="s">
        <v>26612</v>
      </c>
      <c r="E8" s="98" t="s">
        <v>26612</v>
      </c>
      <c r="F8" s="99" t="s">
        <v>26612</v>
      </c>
      <c r="G8" s="100" t="s">
        <v>26612</v>
      </c>
      <c r="H8" s="100" t="s">
        <v>26612</v>
      </c>
      <c r="I8" s="15"/>
    </row>
    <row r="9">
      <c r="A9" s="94" t="s">
        <v>26608</v>
      </c>
      <c r="B9" s="103" t="s">
        <v>26630</v>
      </c>
      <c r="C9" s="96" t="s">
        <v>26631</v>
      </c>
      <c r="D9" s="97" t="s">
        <v>26612</v>
      </c>
      <c r="E9" s="104" t="s">
        <v>26632</v>
      </c>
      <c r="F9" s="99" t="s">
        <v>26612</v>
      </c>
      <c r="G9" s="100" t="s">
        <v>26612</v>
      </c>
      <c r="H9" s="100" t="s">
        <v>26612</v>
      </c>
      <c r="I9" s="14" t="s">
        <v>26633</v>
      </c>
    </row>
    <row r="10">
      <c r="A10" s="94" t="s">
        <v>26608</v>
      </c>
      <c r="B10" s="95" t="s">
        <v>26634</v>
      </c>
      <c r="C10" s="96" t="s">
        <v>26635</v>
      </c>
      <c r="D10" s="97"/>
      <c r="E10" s="98" t="s">
        <v>26611</v>
      </c>
      <c r="F10" s="99" t="s">
        <v>26612</v>
      </c>
      <c r="G10" s="100" t="s">
        <v>26613</v>
      </c>
      <c r="H10" s="100" t="s">
        <v>26613</v>
      </c>
      <c r="I10" s="14" t="s">
        <v>26587</v>
      </c>
    </row>
    <row r="11">
      <c r="A11" s="94" t="s">
        <v>26608</v>
      </c>
      <c r="B11" s="95" t="s">
        <v>26636</v>
      </c>
      <c r="C11" s="96" t="s">
        <v>26637</v>
      </c>
      <c r="D11" s="97"/>
      <c r="E11" s="98" t="s">
        <v>23439</v>
      </c>
      <c r="F11" s="99" t="s">
        <v>26612</v>
      </c>
      <c r="G11" s="100" t="s">
        <v>26627</v>
      </c>
      <c r="H11" s="100" t="s">
        <v>26613</v>
      </c>
      <c r="I11" s="14" t="s">
        <v>23842</v>
      </c>
    </row>
    <row r="12">
      <c r="A12" s="94" t="s">
        <v>26608</v>
      </c>
      <c r="B12" s="95" t="s">
        <v>26638</v>
      </c>
      <c r="C12" s="96" t="s">
        <v>26639</v>
      </c>
      <c r="D12" s="97"/>
      <c r="E12" s="98" t="s">
        <v>26611</v>
      </c>
      <c r="F12" s="99" t="s">
        <v>26612</v>
      </c>
      <c r="G12" s="100" t="s">
        <v>26613</v>
      </c>
      <c r="H12" s="100" t="s">
        <v>26613</v>
      </c>
      <c r="I12" s="14" t="s">
        <v>26640</v>
      </c>
    </row>
    <row r="13">
      <c r="A13" s="94" t="s">
        <v>26608</v>
      </c>
      <c r="B13" s="95" t="s">
        <v>26641</v>
      </c>
      <c r="C13" s="96" t="s">
        <v>26642</v>
      </c>
      <c r="D13" s="97"/>
      <c r="E13" s="98" t="s">
        <v>23602</v>
      </c>
      <c r="F13" s="99" t="s">
        <v>26612</v>
      </c>
      <c r="G13" s="100" t="s">
        <v>26627</v>
      </c>
      <c r="H13" s="100" t="s">
        <v>26613</v>
      </c>
      <c r="I13" s="14" t="s">
        <v>23436</v>
      </c>
    </row>
    <row r="14">
      <c r="A14" s="94" t="s">
        <v>26608</v>
      </c>
      <c r="B14" s="95" t="s">
        <v>26643</v>
      </c>
      <c r="C14" s="96" t="s">
        <v>26644</v>
      </c>
      <c r="D14" s="97"/>
      <c r="E14" s="98" t="s">
        <v>26611</v>
      </c>
      <c r="F14" s="99" t="s">
        <v>26612</v>
      </c>
      <c r="G14" s="100" t="s">
        <v>26613</v>
      </c>
      <c r="H14" s="100" t="s">
        <v>26613</v>
      </c>
      <c r="I14" s="14"/>
    </row>
    <row r="15">
      <c r="A15" s="94" t="s">
        <v>26608</v>
      </c>
      <c r="B15" s="95" t="s">
        <v>26645</v>
      </c>
      <c r="C15" s="96" t="s">
        <v>26646</v>
      </c>
      <c r="D15" s="97" t="s">
        <v>26612</v>
      </c>
      <c r="E15" s="98" t="s">
        <v>26612</v>
      </c>
      <c r="F15" s="99" t="s">
        <v>26612</v>
      </c>
      <c r="G15" s="100" t="s">
        <v>26612</v>
      </c>
      <c r="H15" s="100" t="s">
        <v>26612</v>
      </c>
      <c r="I15" s="15"/>
    </row>
    <row r="16">
      <c r="A16" s="94" t="s">
        <v>26608</v>
      </c>
      <c r="B16" s="95" t="s">
        <v>26647</v>
      </c>
      <c r="C16" s="96" t="s">
        <v>26648</v>
      </c>
      <c r="D16" s="97"/>
      <c r="E16" s="98" t="s">
        <v>26611</v>
      </c>
      <c r="F16" s="99" t="s">
        <v>26612</v>
      </c>
      <c r="G16" s="100" t="s">
        <v>26613</v>
      </c>
      <c r="H16" s="100" t="s">
        <v>26613</v>
      </c>
      <c r="I16" s="14" t="s">
        <v>26649</v>
      </c>
    </row>
    <row r="17">
      <c r="A17" s="94" t="s">
        <v>26608</v>
      </c>
      <c r="B17" s="95" t="s">
        <v>26650</v>
      </c>
      <c r="C17" s="96" t="s">
        <v>26651</v>
      </c>
      <c r="D17" s="97" t="s">
        <v>26612</v>
      </c>
      <c r="E17" s="98" t="s">
        <v>26612</v>
      </c>
      <c r="F17" s="99" t="s">
        <v>26612</v>
      </c>
      <c r="G17" s="100" t="s">
        <v>26612</v>
      </c>
      <c r="H17" s="100" t="s">
        <v>26612</v>
      </c>
      <c r="I17" s="15"/>
    </row>
    <row r="18">
      <c r="A18" s="94" t="s">
        <v>26608</v>
      </c>
      <c r="B18" s="95" t="s">
        <v>26652</v>
      </c>
      <c r="C18" s="96" t="s">
        <v>26653</v>
      </c>
      <c r="D18" s="97"/>
      <c r="E18" s="98" t="s">
        <v>26611</v>
      </c>
      <c r="F18" s="99" t="s">
        <v>26612</v>
      </c>
      <c r="G18" s="100" t="s">
        <v>26613</v>
      </c>
      <c r="H18" s="100" t="s">
        <v>26613</v>
      </c>
      <c r="I18" s="15"/>
    </row>
    <row r="19">
      <c r="A19" s="94" t="s">
        <v>26608</v>
      </c>
      <c r="B19" s="95" t="s">
        <v>26654</v>
      </c>
      <c r="C19" s="96" t="s">
        <v>26655</v>
      </c>
      <c r="D19" s="97"/>
      <c r="E19" s="98" t="s">
        <v>23439</v>
      </c>
      <c r="F19" s="99" t="s">
        <v>26612</v>
      </c>
      <c r="G19" s="100" t="s">
        <v>26627</v>
      </c>
      <c r="H19" s="100" t="s">
        <v>26613</v>
      </c>
      <c r="I19" s="14" t="s">
        <v>26523</v>
      </c>
    </row>
    <row r="20">
      <c r="A20" s="94" t="s">
        <v>26608</v>
      </c>
      <c r="B20" s="101" t="s">
        <v>26656</v>
      </c>
      <c r="C20" s="102" t="s">
        <v>26657</v>
      </c>
      <c r="D20" s="97"/>
      <c r="E20" s="98" t="s">
        <v>26611</v>
      </c>
      <c r="F20" s="99" t="s">
        <v>26612</v>
      </c>
      <c r="G20" s="100" t="s">
        <v>26613</v>
      </c>
      <c r="H20" s="100" t="s">
        <v>26613</v>
      </c>
      <c r="I20" s="14"/>
    </row>
    <row r="21">
      <c r="A21" s="94" t="s">
        <v>26608</v>
      </c>
      <c r="B21" s="95" t="s">
        <v>26658</v>
      </c>
      <c r="C21" s="96" t="s">
        <v>26659</v>
      </c>
      <c r="D21" s="97"/>
      <c r="E21" s="98" t="s">
        <v>26611</v>
      </c>
      <c r="F21" s="99" t="s">
        <v>26612</v>
      </c>
      <c r="G21" s="100" t="s">
        <v>26613</v>
      </c>
      <c r="H21" s="100" t="s">
        <v>26613</v>
      </c>
      <c r="I21" s="14" t="s">
        <v>26660</v>
      </c>
    </row>
    <row r="22">
      <c r="A22" s="94" t="s">
        <v>26608</v>
      </c>
      <c r="B22" s="95" t="s">
        <v>26661</v>
      </c>
      <c r="C22" s="96" t="s">
        <v>26662</v>
      </c>
      <c r="D22" s="97"/>
      <c r="E22" s="98" t="s">
        <v>26611</v>
      </c>
      <c r="F22" s="99" t="s">
        <v>26612</v>
      </c>
      <c r="G22" s="100" t="s">
        <v>26613</v>
      </c>
      <c r="H22" s="100" t="s">
        <v>26613</v>
      </c>
      <c r="I22" s="14" t="s">
        <v>26663</v>
      </c>
    </row>
    <row r="23">
      <c r="A23" s="94" t="s">
        <v>26608</v>
      </c>
      <c r="B23" s="95" t="s">
        <v>26664</v>
      </c>
      <c r="C23" s="96" t="s">
        <v>26665</v>
      </c>
      <c r="D23" s="97"/>
      <c r="E23" s="98" t="s">
        <v>26611</v>
      </c>
      <c r="F23" s="99" t="s">
        <v>26612</v>
      </c>
      <c r="G23" s="100" t="s">
        <v>26613</v>
      </c>
      <c r="H23" s="100" t="s">
        <v>26613</v>
      </c>
      <c r="I23" s="15"/>
    </row>
    <row r="24">
      <c r="A24" s="94" t="s">
        <v>26608</v>
      </c>
      <c r="B24" s="95" t="s">
        <v>26666</v>
      </c>
      <c r="C24" s="96" t="s">
        <v>26667</v>
      </c>
      <c r="D24" s="97"/>
      <c r="E24" s="98" t="s">
        <v>26611</v>
      </c>
      <c r="F24" s="99" t="s">
        <v>26612</v>
      </c>
      <c r="G24" s="100" t="s">
        <v>26613</v>
      </c>
      <c r="H24" s="100" t="s">
        <v>26613</v>
      </c>
      <c r="I24" s="15"/>
    </row>
    <row r="25">
      <c r="A25" s="94" t="s">
        <v>26608</v>
      </c>
      <c r="B25" s="95" t="s">
        <v>26668</v>
      </c>
      <c r="C25" s="96" t="s">
        <v>26669</v>
      </c>
      <c r="D25" s="97"/>
      <c r="E25" s="98" t="s">
        <v>26611</v>
      </c>
      <c r="F25" s="99" t="s">
        <v>26612</v>
      </c>
      <c r="G25" s="100" t="s">
        <v>26613</v>
      </c>
      <c r="H25" s="100" t="s">
        <v>26613</v>
      </c>
      <c r="I25" s="15"/>
    </row>
    <row r="26">
      <c r="A26" s="94" t="s">
        <v>26608</v>
      </c>
      <c r="B26" s="95" t="s">
        <v>26670</v>
      </c>
      <c r="C26" s="96" t="s">
        <v>26671</v>
      </c>
      <c r="D26" s="97"/>
      <c r="E26" s="98" t="s">
        <v>26611</v>
      </c>
      <c r="F26" s="99" t="s">
        <v>26612</v>
      </c>
      <c r="G26" s="100" t="s">
        <v>26613</v>
      </c>
      <c r="H26" s="100" t="s">
        <v>26613</v>
      </c>
      <c r="I26" s="15"/>
    </row>
    <row r="27">
      <c r="A27" s="94" t="s">
        <v>26608</v>
      </c>
      <c r="B27" s="103" t="s">
        <v>26672</v>
      </c>
      <c r="C27" s="96" t="s">
        <v>26673</v>
      </c>
      <c r="D27" s="97" t="s">
        <v>26612</v>
      </c>
      <c r="E27" s="104" t="s">
        <v>26632</v>
      </c>
      <c r="F27" s="99" t="s">
        <v>26612</v>
      </c>
      <c r="G27" s="100" t="s">
        <v>26612</v>
      </c>
      <c r="H27" s="100" t="s">
        <v>26612</v>
      </c>
      <c r="I27" s="14" t="s">
        <v>26674</v>
      </c>
    </row>
    <row r="28">
      <c r="A28" s="94" t="s">
        <v>26608</v>
      </c>
      <c r="B28" s="95" t="s">
        <v>26675</v>
      </c>
      <c r="C28" s="96" t="s">
        <v>26676</v>
      </c>
      <c r="D28" s="97"/>
      <c r="E28" s="98" t="s">
        <v>23448</v>
      </c>
      <c r="F28" s="99" t="s">
        <v>26612</v>
      </c>
      <c r="G28" s="100" t="s">
        <v>26627</v>
      </c>
      <c r="H28" s="100" t="s">
        <v>26613</v>
      </c>
      <c r="I28" s="14" t="s">
        <v>23848</v>
      </c>
    </row>
    <row r="29">
      <c r="A29" s="94" t="s">
        <v>26608</v>
      </c>
      <c r="B29" s="95" t="s">
        <v>26677</v>
      </c>
      <c r="C29" s="96" t="s">
        <v>26678</v>
      </c>
      <c r="D29" s="97" t="s">
        <v>26612</v>
      </c>
      <c r="E29" s="98" t="s">
        <v>23451</v>
      </c>
      <c r="F29" s="99" t="s">
        <v>26612</v>
      </c>
      <c r="G29" s="100" t="s">
        <v>26612</v>
      </c>
      <c r="H29" s="100" t="s">
        <v>26612</v>
      </c>
      <c r="I29" s="14" t="s">
        <v>22818</v>
      </c>
    </row>
    <row r="30">
      <c r="A30" s="94" t="s">
        <v>26608</v>
      </c>
      <c r="B30" s="95" t="s">
        <v>26679</v>
      </c>
      <c r="C30" s="96" t="s">
        <v>26680</v>
      </c>
      <c r="D30" s="97"/>
      <c r="E30" s="98" t="s">
        <v>26611</v>
      </c>
      <c r="F30" s="99" t="s">
        <v>26612</v>
      </c>
      <c r="G30" s="100" t="s">
        <v>26613</v>
      </c>
      <c r="H30" s="100" t="s">
        <v>26613</v>
      </c>
      <c r="I30" s="14" t="s">
        <v>26681</v>
      </c>
    </row>
    <row r="31">
      <c r="A31" s="94" t="s">
        <v>26608</v>
      </c>
      <c r="B31" s="95" t="s">
        <v>26682</v>
      </c>
      <c r="C31" s="96" t="s">
        <v>26683</v>
      </c>
      <c r="D31" s="97"/>
      <c r="E31" s="98" t="s">
        <v>26611</v>
      </c>
      <c r="F31" s="99" t="s">
        <v>26612</v>
      </c>
      <c r="G31" s="100" t="s">
        <v>26613</v>
      </c>
      <c r="H31" s="100" t="s">
        <v>26613</v>
      </c>
      <c r="I31" s="14" t="s">
        <v>26684</v>
      </c>
    </row>
    <row r="32">
      <c r="A32" s="94" t="s">
        <v>26608</v>
      </c>
      <c r="B32" s="95" t="s">
        <v>26685</v>
      </c>
      <c r="C32" s="96" t="s">
        <v>26686</v>
      </c>
      <c r="D32" s="97" t="s">
        <v>26612</v>
      </c>
      <c r="E32" s="98" t="s">
        <v>26612</v>
      </c>
      <c r="F32" s="99" t="s">
        <v>26612</v>
      </c>
      <c r="G32" s="100" t="s">
        <v>26612</v>
      </c>
      <c r="H32" s="100" t="s">
        <v>26612</v>
      </c>
      <c r="I32" s="15"/>
    </row>
    <row r="33">
      <c r="A33" s="94" t="s">
        <v>26608</v>
      </c>
      <c r="B33" s="95" t="s">
        <v>26687</v>
      </c>
      <c r="C33" s="96" t="s">
        <v>26688</v>
      </c>
      <c r="D33" s="97"/>
      <c r="E33" s="98" t="s">
        <v>26611</v>
      </c>
      <c r="F33" s="99" t="s">
        <v>26612</v>
      </c>
      <c r="G33" s="100" t="s">
        <v>26613</v>
      </c>
      <c r="H33" s="100" t="s">
        <v>26613</v>
      </c>
      <c r="I33" s="14" t="s">
        <v>26689</v>
      </c>
    </row>
    <row r="34">
      <c r="A34" s="94" t="s">
        <v>26608</v>
      </c>
      <c r="B34" s="95" t="s">
        <v>26690</v>
      </c>
      <c r="C34" s="96" t="s">
        <v>26691</v>
      </c>
      <c r="D34" s="97"/>
      <c r="E34" s="98" t="s">
        <v>23453</v>
      </c>
      <c r="F34" s="99" t="s">
        <v>26612</v>
      </c>
      <c r="G34" s="100" t="s">
        <v>26613</v>
      </c>
      <c r="H34" s="100" t="s">
        <v>26613</v>
      </c>
      <c r="I34" s="14" t="s">
        <v>23455</v>
      </c>
    </row>
    <row r="35">
      <c r="A35" s="94" t="s">
        <v>26608</v>
      </c>
      <c r="B35" s="95" t="s">
        <v>26692</v>
      </c>
      <c r="C35" s="96" t="s">
        <v>26693</v>
      </c>
      <c r="D35" s="97"/>
      <c r="E35" s="98" t="s">
        <v>26611</v>
      </c>
      <c r="F35" s="99" t="s">
        <v>26612</v>
      </c>
      <c r="G35" s="100" t="s">
        <v>26613</v>
      </c>
      <c r="H35" s="100" t="s">
        <v>26613</v>
      </c>
      <c r="I35" s="15"/>
    </row>
    <row r="36">
      <c r="A36" s="94" t="s">
        <v>26608</v>
      </c>
      <c r="B36" s="16" t="s">
        <v>26694</v>
      </c>
      <c r="C36" s="105" t="s">
        <v>26695</v>
      </c>
      <c r="D36" s="97" t="s">
        <v>26612</v>
      </c>
      <c r="E36" s="16" t="s">
        <v>26612</v>
      </c>
      <c r="F36" s="99" t="s">
        <v>26612</v>
      </c>
      <c r="G36" s="100" t="s">
        <v>26612</v>
      </c>
      <c r="H36" s="100" t="s">
        <v>26612</v>
      </c>
      <c r="I36" s="15"/>
    </row>
    <row r="37">
      <c r="A37" s="94" t="s">
        <v>26608</v>
      </c>
      <c r="B37" s="95" t="s">
        <v>26696</v>
      </c>
      <c r="C37" s="96" t="s">
        <v>26697</v>
      </c>
      <c r="D37" s="97"/>
      <c r="E37" s="98" t="s">
        <v>26611</v>
      </c>
      <c r="F37" s="99" t="s">
        <v>26612</v>
      </c>
      <c r="G37" s="100" t="s">
        <v>26613</v>
      </c>
      <c r="H37" s="100" t="s">
        <v>26613</v>
      </c>
      <c r="I37" s="14" t="s">
        <v>26698</v>
      </c>
    </row>
    <row r="38">
      <c r="A38" s="94" t="s">
        <v>26608</v>
      </c>
      <c r="B38" s="95" t="s">
        <v>26699</v>
      </c>
      <c r="C38" s="96" t="s">
        <v>26700</v>
      </c>
      <c r="D38" s="97"/>
      <c r="E38" s="98" t="s">
        <v>23439</v>
      </c>
      <c r="F38" s="99" t="s">
        <v>26612</v>
      </c>
      <c r="G38" s="100" t="s">
        <v>26627</v>
      </c>
      <c r="H38" s="100" t="s">
        <v>26613</v>
      </c>
      <c r="I38" s="14" t="s">
        <v>23441</v>
      </c>
    </row>
    <row r="39">
      <c r="A39" s="94" t="s">
        <v>26608</v>
      </c>
      <c r="B39" s="95" t="s">
        <v>26701</v>
      </c>
      <c r="C39" s="96" t="s">
        <v>26702</v>
      </c>
      <c r="D39" s="97"/>
      <c r="E39" s="98" t="s">
        <v>26611</v>
      </c>
      <c r="F39" s="99" t="s">
        <v>26612</v>
      </c>
      <c r="G39" s="100" t="s">
        <v>26613</v>
      </c>
      <c r="H39" s="100" t="s">
        <v>26613</v>
      </c>
      <c r="I39" s="15"/>
    </row>
    <row r="40">
      <c r="A40" s="94" t="s">
        <v>26608</v>
      </c>
      <c r="B40" s="95" t="s">
        <v>26703</v>
      </c>
      <c r="C40" s="96" t="s">
        <v>26704</v>
      </c>
      <c r="D40" s="97"/>
      <c r="E40" s="98" t="s">
        <v>26705</v>
      </c>
      <c r="F40" s="99" t="s">
        <v>26612</v>
      </c>
      <c r="G40" s="100" t="s">
        <v>26613</v>
      </c>
      <c r="H40" s="100" t="s">
        <v>26613</v>
      </c>
      <c r="I40" s="15"/>
    </row>
    <row r="41">
      <c r="A41" s="94" t="s">
        <v>26608</v>
      </c>
      <c r="B41" s="95" t="s">
        <v>26706</v>
      </c>
      <c r="C41" s="96" t="s">
        <v>26707</v>
      </c>
      <c r="D41" s="97"/>
      <c r="E41" s="98" t="s">
        <v>26611</v>
      </c>
      <c r="F41" s="99" t="s">
        <v>26612</v>
      </c>
      <c r="G41" s="100" t="s">
        <v>26613</v>
      </c>
      <c r="H41" s="100" t="s">
        <v>26613</v>
      </c>
      <c r="I41" s="14" t="s">
        <v>26708</v>
      </c>
    </row>
    <row r="42">
      <c r="A42" s="106" t="s">
        <v>26709</v>
      </c>
      <c r="B42" s="107" t="s">
        <v>26710</v>
      </c>
      <c r="C42" s="108" t="s">
        <v>26711</v>
      </c>
      <c r="D42" s="108" t="s">
        <v>26612</v>
      </c>
      <c r="E42" s="107" t="s">
        <v>26612</v>
      </c>
      <c r="F42" s="107" t="s">
        <v>26612</v>
      </c>
      <c r="G42" s="107" t="s">
        <v>26612</v>
      </c>
      <c r="H42" s="107" t="s">
        <v>26612</v>
      </c>
      <c r="I42" s="109"/>
    </row>
    <row r="43">
      <c r="A43" s="106" t="s">
        <v>26712</v>
      </c>
      <c r="B43" s="107" t="s">
        <v>26713</v>
      </c>
      <c r="C43" s="108" t="s">
        <v>26714</v>
      </c>
      <c r="D43" s="108" t="s">
        <v>26612</v>
      </c>
      <c r="E43" s="107" t="s">
        <v>26612</v>
      </c>
      <c r="F43" s="107" t="s">
        <v>26612</v>
      </c>
      <c r="G43" s="107" t="s">
        <v>26612</v>
      </c>
      <c r="H43" s="107" t="s">
        <v>26612</v>
      </c>
      <c r="I43" s="110"/>
    </row>
    <row r="44">
      <c r="A44" s="106" t="s">
        <v>26715</v>
      </c>
      <c r="B44" s="107" t="s">
        <v>26716</v>
      </c>
      <c r="C44" s="108" t="s">
        <v>26717</v>
      </c>
      <c r="D44" s="108" t="s">
        <v>26612</v>
      </c>
      <c r="E44" s="107" t="s">
        <v>26612</v>
      </c>
      <c r="F44" s="107" t="s">
        <v>26612</v>
      </c>
      <c r="G44" s="107" t="s">
        <v>26612</v>
      </c>
      <c r="H44" s="107" t="s">
        <v>26612</v>
      </c>
      <c r="I44" s="109"/>
    </row>
    <row r="45">
      <c r="A45" s="106" t="s">
        <v>26718</v>
      </c>
      <c r="B45" s="107" t="s">
        <v>26719</v>
      </c>
      <c r="C45" s="108" t="s">
        <v>26720</v>
      </c>
      <c r="D45" s="108" t="s">
        <v>26612</v>
      </c>
      <c r="E45" s="107" t="s">
        <v>26612</v>
      </c>
      <c r="F45" s="107" t="s">
        <v>26612</v>
      </c>
      <c r="G45" s="107" t="s">
        <v>26612</v>
      </c>
      <c r="H45" s="107" t="s">
        <v>26612</v>
      </c>
      <c r="I45" s="110" t="s">
        <v>26721</v>
      </c>
    </row>
    <row r="46">
      <c r="A46" s="106" t="s">
        <v>26722</v>
      </c>
      <c r="B46" s="107" t="s">
        <v>26723</v>
      </c>
      <c r="C46" s="108" t="s">
        <v>26724</v>
      </c>
      <c r="D46" s="108" t="s">
        <v>26612</v>
      </c>
      <c r="E46" s="107" t="s">
        <v>26612</v>
      </c>
      <c r="F46" s="107" t="s">
        <v>26612</v>
      </c>
      <c r="G46" s="107" t="s">
        <v>26612</v>
      </c>
      <c r="H46" s="107" t="s">
        <v>26612</v>
      </c>
      <c r="I46" s="109"/>
    </row>
    <row r="47">
      <c r="A47" s="106" t="s">
        <v>26725</v>
      </c>
      <c r="B47" s="107" t="s">
        <v>26726</v>
      </c>
      <c r="C47" s="108" t="s">
        <v>26727</v>
      </c>
      <c r="D47" s="108" t="s">
        <v>26612</v>
      </c>
      <c r="E47" s="107" t="s">
        <v>26612</v>
      </c>
      <c r="F47" s="107" t="s">
        <v>26612</v>
      </c>
      <c r="G47" s="107" t="s">
        <v>26612</v>
      </c>
      <c r="H47" s="107" t="s">
        <v>26612</v>
      </c>
      <c r="I47" s="111" t="s">
        <v>26728</v>
      </c>
    </row>
  </sheetData>
  <hyperlinks>
    <hyperlink r:id="rId1" ref="C3"/>
    <hyperlink r:id="rId2" ref="C4"/>
    <hyperlink r:id="rId3" ref="C5"/>
    <hyperlink r:id="rId4" ref="C9"/>
    <hyperlink r:id="rId5" ref="C10"/>
    <hyperlink r:id="rId6" ref="C11"/>
    <hyperlink r:id="rId7" ref="C12"/>
    <hyperlink r:id="rId8" ref="C13"/>
    <hyperlink r:id="rId9" ref="C16"/>
    <hyperlink r:id="rId10" ref="C18"/>
    <hyperlink r:id="rId11" ref="C19"/>
    <hyperlink r:id="rId12" ref="C21"/>
    <hyperlink r:id="rId13" ref="C22"/>
    <hyperlink r:id="rId14" ref="C23"/>
    <hyperlink r:id="rId15" ref="C24"/>
    <hyperlink r:id="rId16" ref="C25"/>
    <hyperlink r:id="rId17" ref="C26"/>
    <hyperlink r:id="rId18" ref="C27"/>
    <hyperlink r:id="rId19" ref="C28"/>
    <hyperlink r:id="rId20" ref="C29"/>
    <hyperlink r:id="rId21" ref="C30"/>
    <hyperlink r:id="rId22" ref="C31"/>
    <hyperlink r:id="rId23" ref="C33"/>
    <hyperlink r:id="rId24" ref="C34"/>
    <hyperlink r:id="rId25" ref="C35"/>
    <hyperlink r:id="rId26" ref="C37"/>
    <hyperlink r:id="rId27" ref="C38"/>
    <hyperlink r:id="rId28" ref="C39"/>
    <hyperlink r:id="rId29" ref="C40"/>
    <hyperlink r:id="rId30" ref="C41"/>
  </hyperlinks>
  <drawing r:id="rId3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9.38"/>
    <col customWidth="1" min="2" max="2" width="18.38"/>
    <col customWidth="1" min="3" max="3" width="20.63"/>
    <col customWidth="1" min="4" max="4" width="26.88"/>
    <col customWidth="1" min="5" max="5" width="31.25"/>
    <col customWidth="1" min="6" max="6" width="21.25"/>
    <col customWidth="1" min="7" max="7" width="25.63"/>
    <col customWidth="1" min="8" max="8" width="31.88"/>
    <col customWidth="1" min="9" max="9" width="12.0"/>
    <col customWidth="1" min="10" max="10" width="19.5"/>
    <col customWidth="1" min="11" max="11" width="24.63"/>
    <col customWidth="1" min="12" max="12" width="25.5"/>
    <col customWidth="1" min="13" max="13" width="27.0"/>
    <col customWidth="1" min="14" max="14" width="11.25"/>
    <col customWidth="1" min="15" max="15" width="30.38"/>
    <col customWidth="1" min="16" max="16" width="14.63"/>
    <col customWidth="1" min="17" max="17" width="20.75"/>
  </cols>
  <sheetData>
    <row r="1">
      <c r="A1" s="112" t="s">
        <v>26601</v>
      </c>
      <c r="B1" s="112" t="s">
        <v>26602</v>
      </c>
      <c r="C1" s="112" t="s">
        <v>26729</v>
      </c>
      <c r="D1" s="112" t="s">
        <v>26730</v>
      </c>
      <c r="E1" s="112" t="s">
        <v>26731</v>
      </c>
      <c r="F1" s="113" t="s">
        <v>26732</v>
      </c>
      <c r="G1" s="114"/>
      <c r="H1" s="115" t="s">
        <v>26605</v>
      </c>
      <c r="I1" s="116" t="s">
        <v>26733</v>
      </c>
      <c r="J1" s="117"/>
      <c r="K1" s="114"/>
      <c r="L1" s="115" t="s">
        <v>26606</v>
      </c>
      <c r="M1" s="118" t="s">
        <v>26734</v>
      </c>
      <c r="N1" s="114"/>
      <c r="O1" s="115" t="s">
        <v>26607</v>
      </c>
      <c r="P1" s="119" t="s">
        <v>26735</v>
      </c>
      <c r="Q1" s="115" t="s">
        <v>26736</v>
      </c>
    </row>
    <row r="2">
      <c r="A2" s="120"/>
      <c r="B2" s="120"/>
      <c r="C2" s="120"/>
      <c r="D2" s="120"/>
      <c r="E2" s="120"/>
      <c r="F2" s="121" t="s">
        <v>26737</v>
      </c>
      <c r="G2" s="121" t="s">
        <v>26738</v>
      </c>
      <c r="H2" s="120"/>
      <c r="I2" s="122" t="s">
        <v>26739</v>
      </c>
      <c r="J2" s="122" t="s">
        <v>26740</v>
      </c>
      <c r="K2" s="122" t="s">
        <v>26741</v>
      </c>
      <c r="L2" s="120"/>
      <c r="M2" s="123" t="s">
        <v>26742</v>
      </c>
      <c r="N2" s="123" t="s">
        <v>26743</v>
      </c>
      <c r="O2" s="120"/>
      <c r="Q2" s="120"/>
    </row>
    <row r="3" ht="14.25" customHeight="1">
      <c r="A3" s="95" t="s">
        <v>26609</v>
      </c>
      <c r="B3" s="96" t="s">
        <v>26610</v>
      </c>
      <c r="C3" s="98" t="s">
        <v>26611</v>
      </c>
      <c r="D3" s="124" t="s">
        <v>23341</v>
      </c>
      <c r="E3" s="98"/>
      <c r="F3" s="124" t="s">
        <v>26744</v>
      </c>
      <c r="G3" s="124" t="s">
        <v>26744</v>
      </c>
      <c r="H3" s="97" t="str">
        <f t="shared" ref="H3:H36" si="1">IFS(AND(F3="X",G3="X"),"MASTER",AND(F3="X",G3=""),"NX")</f>
        <v>MASTER</v>
      </c>
      <c r="I3" s="124" t="s">
        <v>26744</v>
      </c>
      <c r="J3" s="125"/>
      <c r="K3" s="125"/>
      <c r="L3" s="97" t="str">
        <f t="shared" ref="L3:L36" si="2">IFS(AND(I3="X",J3="X",K3=""),"N1",AND(I3="X",J3="",K3=""),"N0",AND(I3="X",J3="X",K3="X"),"MASTER",AND(I3="",J3="",K3=""),"NX")</f>
        <v>N0</v>
      </c>
      <c r="M3" s="124" t="s">
        <v>26744</v>
      </c>
      <c r="N3" s="125"/>
      <c r="O3" s="97" t="str">
        <f t="shared" ref="O3:O36" si="3">IFS(AND(M3="X",N3=""),"N0",AND(M3="X",N3="X"),"MASTER",AND(M3="",N3=""),"NX")</f>
        <v>N0</v>
      </c>
      <c r="P3" s="104"/>
      <c r="Q3" s="97" t="s">
        <v>26745</v>
      </c>
    </row>
    <row r="4" ht="14.25" customHeight="1">
      <c r="A4" s="95" t="s">
        <v>26615</v>
      </c>
      <c r="B4" s="96" t="s">
        <v>26746</v>
      </c>
      <c r="C4" s="98" t="s">
        <v>26611</v>
      </c>
      <c r="D4" s="124" t="s">
        <v>23341</v>
      </c>
      <c r="E4" s="96" t="s">
        <v>26747</v>
      </c>
      <c r="F4" s="124" t="s">
        <v>26744</v>
      </c>
      <c r="G4" s="126" t="s">
        <v>26744</v>
      </c>
      <c r="H4" s="97" t="str">
        <f t="shared" si="1"/>
        <v>MASTER</v>
      </c>
      <c r="I4" s="126" t="s">
        <v>26744</v>
      </c>
      <c r="J4" s="125"/>
      <c r="K4" s="125"/>
      <c r="L4" s="90" t="str">
        <f t="shared" si="2"/>
        <v>N0</v>
      </c>
      <c r="M4" s="126" t="s">
        <v>26744</v>
      </c>
      <c r="N4" s="125"/>
      <c r="O4" s="90" t="str">
        <f t="shared" si="3"/>
        <v>N0</v>
      </c>
      <c r="P4" s="125"/>
      <c r="Q4" s="90" t="s">
        <v>26745</v>
      </c>
    </row>
    <row r="5" ht="14.25" customHeight="1">
      <c r="A5" s="95" t="s">
        <v>26617</v>
      </c>
      <c r="B5" s="96" t="s">
        <v>26748</v>
      </c>
      <c r="C5" s="98" t="s">
        <v>26611</v>
      </c>
      <c r="D5" s="124" t="s">
        <v>23341</v>
      </c>
      <c r="E5" s="96" t="s">
        <v>26749</v>
      </c>
      <c r="F5" s="124" t="s">
        <v>26744</v>
      </c>
      <c r="G5" s="124" t="s">
        <v>26744</v>
      </c>
      <c r="H5" s="97" t="str">
        <f t="shared" si="1"/>
        <v>MASTER</v>
      </c>
      <c r="I5" s="124" t="s">
        <v>26744</v>
      </c>
      <c r="J5" s="104"/>
      <c r="K5" s="104"/>
      <c r="L5" s="97" t="str">
        <f t="shared" si="2"/>
        <v>N0</v>
      </c>
      <c r="M5" s="124" t="s">
        <v>26744</v>
      </c>
      <c r="N5" s="104"/>
      <c r="O5" s="97" t="str">
        <f t="shared" si="3"/>
        <v>N0</v>
      </c>
      <c r="P5" s="104"/>
      <c r="Q5" s="97" t="s">
        <v>26745</v>
      </c>
    </row>
    <row r="6" ht="14.25" customHeight="1">
      <c r="A6" s="95" t="s">
        <v>26620</v>
      </c>
      <c r="B6" s="96" t="s">
        <v>26750</v>
      </c>
      <c r="C6" s="98" t="s">
        <v>26611</v>
      </c>
      <c r="D6" s="124" t="s">
        <v>23341</v>
      </c>
      <c r="E6" s="98"/>
      <c r="F6" s="124" t="s">
        <v>26744</v>
      </c>
      <c r="G6" s="124" t="s">
        <v>26744</v>
      </c>
      <c r="H6" s="97" t="str">
        <f t="shared" si="1"/>
        <v>MASTER</v>
      </c>
      <c r="I6" s="124" t="s">
        <v>26744</v>
      </c>
      <c r="J6" s="104"/>
      <c r="K6" s="104"/>
      <c r="L6" s="97" t="str">
        <f t="shared" si="2"/>
        <v>N0</v>
      </c>
      <c r="M6" s="124" t="s">
        <v>26744</v>
      </c>
      <c r="N6" s="125"/>
      <c r="O6" s="97" t="str">
        <f t="shared" si="3"/>
        <v>N0</v>
      </c>
      <c r="P6" s="104"/>
      <c r="Q6" s="97" t="s">
        <v>26745</v>
      </c>
    </row>
    <row r="7" ht="14.25" customHeight="1">
      <c r="A7" s="95" t="s">
        <v>26622</v>
      </c>
      <c r="B7" s="96" t="s">
        <v>26623</v>
      </c>
      <c r="C7" s="98" t="s">
        <v>26611</v>
      </c>
      <c r="D7" s="124" t="s">
        <v>23341</v>
      </c>
      <c r="E7" s="98"/>
      <c r="F7" s="124" t="s">
        <v>26744</v>
      </c>
      <c r="G7" s="124" t="s">
        <v>26744</v>
      </c>
      <c r="H7" s="97" t="str">
        <f t="shared" si="1"/>
        <v>MASTER</v>
      </c>
      <c r="I7" s="124" t="s">
        <v>26744</v>
      </c>
      <c r="J7" s="125"/>
      <c r="K7" s="125"/>
      <c r="L7" s="97" t="str">
        <f t="shared" si="2"/>
        <v>N0</v>
      </c>
      <c r="M7" s="124" t="s">
        <v>26744</v>
      </c>
      <c r="N7" s="125"/>
      <c r="O7" s="97" t="str">
        <f t="shared" si="3"/>
        <v>N0</v>
      </c>
      <c r="P7" s="104"/>
      <c r="Q7" s="97" t="s">
        <v>26745</v>
      </c>
    </row>
    <row r="8" ht="14.25" customHeight="1">
      <c r="A8" s="101" t="s">
        <v>26625</v>
      </c>
      <c r="B8" s="102" t="s">
        <v>26626</v>
      </c>
      <c r="C8" s="98" t="s">
        <v>23448</v>
      </c>
      <c r="D8" s="124" t="s">
        <v>23341</v>
      </c>
      <c r="E8" s="96"/>
      <c r="F8" s="124" t="s">
        <v>26744</v>
      </c>
      <c r="G8" s="126" t="s">
        <v>26744</v>
      </c>
      <c r="H8" s="97" t="str">
        <f t="shared" si="1"/>
        <v>MASTER</v>
      </c>
      <c r="I8" s="126" t="s">
        <v>26744</v>
      </c>
      <c r="J8" s="125"/>
      <c r="K8" s="125"/>
      <c r="L8" s="97" t="str">
        <f t="shared" si="2"/>
        <v>N0</v>
      </c>
      <c r="M8" s="126" t="s">
        <v>26744</v>
      </c>
      <c r="N8" s="125"/>
      <c r="O8" s="97" t="str">
        <f t="shared" si="3"/>
        <v>N0</v>
      </c>
      <c r="P8" s="104"/>
      <c r="Q8" s="97" t="s">
        <v>26745</v>
      </c>
    </row>
    <row r="9" ht="14.25" customHeight="1">
      <c r="A9" s="103" t="s">
        <v>26630</v>
      </c>
      <c r="B9" s="96" t="s">
        <v>26751</v>
      </c>
      <c r="C9" s="104" t="s">
        <v>26632</v>
      </c>
      <c r="D9" s="124" t="s">
        <v>23341</v>
      </c>
      <c r="E9" s="96" t="s">
        <v>26752</v>
      </c>
      <c r="F9" s="124" t="s">
        <v>26744</v>
      </c>
      <c r="G9" s="124" t="s">
        <v>26744</v>
      </c>
      <c r="H9" s="97" t="str">
        <f t="shared" si="1"/>
        <v>MASTER</v>
      </c>
      <c r="I9" s="124" t="s">
        <v>26744</v>
      </c>
      <c r="J9" s="124" t="s">
        <v>26744</v>
      </c>
      <c r="K9" s="124" t="s">
        <v>26744</v>
      </c>
      <c r="L9" s="97" t="str">
        <f t="shared" si="2"/>
        <v>MASTER</v>
      </c>
      <c r="M9" s="124" t="s">
        <v>26744</v>
      </c>
      <c r="N9" s="126" t="s">
        <v>26744</v>
      </c>
      <c r="O9" s="97" t="str">
        <f t="shared" si="3"/>
        <v>MASTER</v>
      </c>
      <c r="P9" s="124" t="s">
        <v>26744</v>
      </c>
      <c r="Q9" s="97" t="s">
        <v>26612</v>
      </c>
    </row>
    <row r="10" ht="14.25" customHeight="1">
      <c r="A10" s="95" t="s">
        <v>26634</v>
      </c>
      <c r="B10" s="96" t="s">
        <v>26753</v>
      </c>
      <c r="C10" s="98" t="s">
        <v>26611</v>
      </c>
      <c r="D10" s="124" t="s">
        <v>23341</v>
      </c>
      <c r="E10" s="96" t="s">
        <v>26754</v>
      </c>
      <c r="F10" s="124" t="s">
        <v>26744</v>
      </c>
      <c r="G10" s="124" t="s">
        <v>26744</v>
      </c>
      <c r="H10" s="97" t="str">
        <f t="shared" si="1"/>
        <v>MASTER</v>
      </c>
      <c r="I10" s="124" t="s">
        <v>26744</v>
      </c>
      <c r="J10" s="104"/>
      <c r="K10" s="104"/>
      <c r="L10" s="97" t="str">
        <f t="shared" si="2"/>
        <v>N0</v>
      </c>
      <c r="M10" s="124" t="s">
        <v>26744</v>
      </c>
      <c r="N10" s="125"/>
      <c r="O10" s="97" t="str">
        <f t="shared" si="3"/>
        <v>N0</v>
      </c>
      <c r="P10" s="104"/>
      <c r="Q10" s="97" t="s">
        <v>26745</v>
      </c>
    </row>
    <row r="11" ht="14.25" customHeight="1">
      <c r="A11" s="95" t="s">
        <v>26636</v>
      </c>
      <c r="B11" s="96" t="s">
        <v>26755</v>
      </c>
      <c r="C11" s="98" t="s">
        <v>23439</v>
      </c>
      <c r="D11" s="127" t="s">
        <v>26756</v>
      </c>
      <c r="E11" s="96" t="s">
        <v>26757</v>
      </c>
      <c r="F11" s="124" t="s">
        <v>26744</v>
      </c>
      <c r="G11" s="126" t="s">
        <v>26744</v>
      </c>
      <c r="H11" s="97" t="str">
        <f t="shared" si="1"/>
        <v>MASTER</v>
      </c>
      <c r="I11" s="126" t="s">
        <v>26744</v>
      </c>
      <c r="J11" s="128" t="s">
        <v>26744</v>
      </c>
      <c r="K11" s="125"/>
      <c r="L11" s="97" t="str">
        <f t="shared" si="2"/>
        <v>N1</v>
      </c>
      <c r="M11" s="126" t="s">
        <v>26744</v>
      </c>
      <c r="N11" s="125"/>
      <c r="O11" s="97" t="str">
        <f t="shared" si="3"/>
        <v>N0</v>
      </c>
      <c r="P11" s="104"/>
      <c r="Q11" s="97" t="s">
        <v>26745</v>
      </c>
    </row>
    <row r="12" ht="14.25" customHeight="1">
      <c r="A12" s="95" t="s">
        <v>26638</v>
      </c>
      <c r="B12" s="96" t="s">
        <v>26758</v>
      </c>
      <c r="C12" s="98" t="s">
        <v>26611</v>
      </c>
      <c r="D12" s="124" t="s">
        <v>23341</v>
      </c>
      <c r="E12" s="96" t="s">
        <v>26759</v>
      </c>
      <c r="F12" s="124" t="s">
        <v>26744</v>
      </c>
      <c r="G12" s="124" t="s">
        <v>26744</v>
      </c>
      <c r="H12" s="97" t="str">
        <f t="shared" si="1"/>
        <v>MASTER</v>
      </c>
      <c r="I12" s="124" t="s">
        <v>26744</v>
      </c>
      <c r="J12" s="104"/>
      <c r="K12" s="125"/>
      <c r="L12" s="97" t="str">
        <f t="shared" si="2"/>
        <v>N0</v>
      </c>
      <c r="M12" s="124" t="s">
        <v>26744</v>
      </c>
      <c r="N12" s="125"/>
      <c r="O12" s="97" t="str">
        <f t="shared" si="3"/>
        <v>N0</v>
      </c>
      <c r="P12" s="104"/>
      <c r="Q12" s="97" t="s">
        <v>26745</v>
      </c>
    </row>
    <row r="13" ht="14.25" customHeight="1">
      <c r="A13" s="95" t="s">
        <v>26641</v>
      </c>
      <c r="B13" s="96" t="s">
        <v>26760</v>
      </c>
      <c r="C13" s="98" t="s">
        <v>23602</v>
      </c>
      <c r="D13" s="124" t="s">
        <v>23341</v>
      </c>
      <c r="E13" s="96" t="s">
        <v>26761</v>
      </c>
      <c r="F13" s="124" t="s">
        <v>26744</v>
      </c>
      <c r="G13" s="126" t="s">
        <v>26744</v>
      </c>
      <c r="H13" s="97" t="str">
        <f t="shared" si="1"/>
        <v>MASTER</v>
      </c>
      <c r="I13" s="126" t="s">
        <v>26744</v>
      </c>
      <c r="J13" s="126" t="s">
        <v>26744</v>
      </c>
      <c r="K13" s="125"/>
      <c r="L13" s="97" t="str">
        <f t="shared" si="2"/>
        <v>N1</v>
      </c>
      <c r="M13" s="126" t="s">
        <v>26744</v>
      </c>
      <c r="N13" s="125"/>
      <c r="O13" s="97" t="str">
        <f t="shared" si="3"/>
        <v>N0</v>
      </c>
      <c r="P13" s="104"/>
      <c r="Q13" s="97" t="s">
        <v>26745</v>
      </c>
    </row>
    <row r="14" ht="14.25" customHeight="1">
      <c r="A14" s="95" t="s">
        <v>26647</v>
      </c>
      <c r="B14" s="96" t="s">
        <v>26762</v>
      </c>
      <c r="C14" s="98" t="s">
        <v>26611</v>
      </c>
      <c r="D14" s="124" t="s">
        <v>23341</v>
      </c>
      <c r="E14" s="98" t="s">
        <v>26763</v>
      </c>
      <c r="F14" s="124" t="s">
        <v>26744</v>
      </c>
      <c r="G14" s="124" t="s">
        <v>26744</v>
      </c>
      <c r="H14" s="97" t="str">
        <f t="shared" si="1"/>
        <v>MASTER</v>
      </c>
      <c r="I14" s="124" t="s">
        <v>26744</v>
      </c>
      <c r="J14" s="104"/>
      <c r="K14" s="104"/>
      <c r="L14" s="97" t="str">
        <f t="shared" si="2"/>
        <v>N0</v>
      </c>
      <c r="M14" s="124" t="s">
        <v>26744</v>
      </c>
      <c r="N14" s="104"/>
      <c r="O14" s="97" t="str">
        <f t="shared" si="3"/>
        <v>N0</v>
      </c>
      <c r="P14" s="104"/>
      <c r="Q14" s="97" t="s">
        <v>26745</v>
      </c>
    </row>
    <row r="15" ht="14.25" customHeight="1">
      <c r="A15" s="95" t="s">
        <v>26652</v>
      </c>
      <c r="B15" s="96" t="s">
        <v>26764</v>
      </c>
      <c r="C15" s="98" t="s">
        <v>26611</v>
      </c>
      <c r="D15" s="124" t="s">
        <v>23341</v>
      </c>
      <c r="E15" s="98" t="s">
        <v>26765</v>
      </c>
      <c r="F15" s="124" t="s">
        <v>26744</v>
      </c>
      <c r="G15" s="126" t="s">
        <v>26744</v>
      </c>
      <c r="H15" s="97" t="str">
        <f t="shared" si="1"/>
        <v>MASTER</v>
      </c>
      <c r="I15" s="124" t="s">
        <v>26744</v>
      </c>
      <c r="J15" s="104"/>
      <c r="K15" s="125"/>
      <c r="L15" s="97" t="str">
        <f t="shared" si="2"/>
        <v>N0</v>
      </c>
      <c r="M15" s="124" t="s">
        <v>26744</v>
      </c>
      <c r="N15" s="125"/>
      <c r="O15" s="97" t="str">
        <f t="shared" si="3"/>
        <v>N0</v>
      </c>
      <c r="P15" s="104"/>
      <c r="Q15" s="97" t="s">
        <v>26745</v>
      </c>
    </row>
    <row r="16" ht="14.25" customHeight="1">
      <c r="A16" s="95" t="s">
        <v>26654</v>
      </c>
      <c r="B16" s="96" t="s">
        <v>26766</v>
      </c>
      <c r="C16" s="98" t="s">
        <v>23439</v>
      </c>
      <c r="D16" s="124" t="s">
        <v>23155</v>
      </c>
      <c r="E16" s="96" t="s">
        <v>26767</v>
      </c>
      <c r="F16" s="124" t="s">
        <v>26744</v>
      </c>
      <c r="G16" s="126" t="s">
        <v>26744</v>
      </c>
      <c r="H16" s="97" t="str">
        <f t="shared" si="1"/>
        <v>MASTER</v>
      </c>
      <c r="I16" s="126" t="s">
        <v>26744</v>
      </c>
      <c r="J16" s="128" t="s">
        <v>26744</v>
      </c>
      <c r="K16" s="125"/>
      <c r="L16" s="97" t="str">
        <f t="shared" si="2"/>
        <v>N1</v>
      </c>
      <c r="M16" s="126" t="s">
        <v>26744</v>
      </c>
      <c r="N16" s="125"/>
      <c r="O16" s="97" t="str">
        <f t="shared" si="3"/>
        <v>N0</v>
      </c>
      <c r="P16" s="104"/>
      <c r="Q16" s="97" t="s">
        <v>26745</v>
      </c>
    </row>
    <row r="17" ht="14.25" customHeight="1">
      <c r="A17" s="95" t="s">
        <v>26658</v>
      </c>
      <c r="B17" s="96" t="s">
        <v>26768</v>
      </c>
      <c r="C17" s="98" t="s">
        <v>26611</v>
      </c>
      <c r="D17" s="124" t="s">
        <v>23341</v>
      </c>
      <c r="E17" s="96" t="s">
        <v>26769</v>
      </c>
      <c r="F17" s="124" t="s">
        <v>26744</v>
      </c>
      <c r="G17" s="126" t="s">
        <v>26744</v>
      </c>
      <c r="H17" s="97" t="str">
        <f t="shared" si="1"/>
        <v>MASTER</v>
      </c>
      <c r="I17" s="126" t="s">
        <v>26744</v>
      </c>
      <c r="J17" s="125"/>
      <c r="K17" s="125"/>
      <c r="L17" s="97" t="str">
        <f t="shared" si="2"/>
        <v>N0</v>
      </c>
      <c r="M17" s="126" t="s">
        <v>26744</v>
      </c>
      <c r="N17" s="125"/>
      <c r="O17" s="97" t="str">
        <f t="shared" si="3"/>
        <v>N0</v>
      </c>
      <c r="P17" s="104"/>
      <c r="Q17" s="97" t="s">
        <v>26745</v>
      </c>
    </row>
    <row r="18" ht="14.25" customHeight="1">
      <c r="A18" s="101" t="s">
        <v>26656</v>
      </c>
      <c r="B18" s="102" t="s">
        <v>26657</v>
      </c>
      <c r="C18" s="98" t="s">
        <v>26611</v>
      </c>
      <c r="D18" s="124" t="s">
        <v>23341</v>
      </c>
      <c r="E18" s="98"/>
      <c r="F18" s="124" t="s">
        <v>26744</v>
      </c>
      <c r="G18" s="126" t="s">
        <v>26744</v>
      </c>
      <c r="H18" s="97" t="str">
        <f t="shared" si="1"/>
        <v>MASTER</v>
      </c>
      <c r="I18" s="126" t="s">
        <v>26744</v>
      </c>
      <c r="J18" s="125"/>
      <c r="K18" s="125"/>
      <c r="L18" s="97" t="str">
        <f t="shared" si="2"/>
        <v>N0</v>
      </c>
      <c r="M18" s="126" t="s">
        <v>26744</v>
      </c>
      <c r="N18" s="125"/>
      <c r="O18" s="97" t="str">
        <f t="shared" si="3"/>
        <v>N0</v>
      </c>
      <c r="P18" s="104"/>
      <c r="Q18" s="97" t="s">
        <v>26745</v>
      </c>
    </row>
    <row r="19" ht="14.25" customHeight="1">
      <c r="A19" s="95" t="s">
        <v>26661</v>
      </c>
      <c r="B19" s="96" t="s">
        <v>26770</v>
      </c>
      <c r="C19" s="98" t="s">
        <v>26611</v>
      </c>
      <c r="D19" s="124" t="s">
        <v>23341</v>
      </c>
      <c r="E19" s="96" t="s">
        <v>26771</v>
      </c>
      <c r="F19" s="124" t="s">
        <v>26744</v>
      </c>
      <c r="G19" s="124" t="s">
        <v>26744</v>
      </c>
      <c r="H19" s="97" t="str">
        <f t="shared" si="1"/>
        <v>MASTER</v>
      </c>
      <c r="I19" s="124" t="s">
        <v>26744</v>
      </c>
      <c r="J19" s="104"/>
      <c r="K19" s="125"/>
      <c r="L19" s="97" t="str">
        <f t="shared" si="2"/>
        <v>N0</v>
      </c>
      <c r="M19" s="124" t="s">
        <v>26744</v>
      </c>
      <c r="N19" s="104"/>
      <c r="O19" s="97" t="str">
        <f t="shared" si="3"/>
        <v>N0</v>
      </c>
      <c r="P19" s="104"/>
      <c r="Q19" s="97" t="s">
        <v>26745</v>
      </c>
    </row>
    <row r="20" ht="14.25" customHeight="1">
      <c r="A20" s="95" t="s">
        <v>26664</v>
      </c>
      <c r="B20" s="96" t="s">
        <v>26772</v>
      </c>
      <c r="C20" s="98" t="s">
        <v>26611</v>
      </c>
      <c r="D20" s="124" t="s">
        <v>23341</v>
      </c>
      <c r="E20" s="96" t="s">
        <v>26773</v>
      </c>
      <c r="F20" s="124" t="s">
        <v>26744</v>
      </c>
      <c r="G20" s="124" t="s">
        <v>26744</v>
      </c>
      <c r="H20" s="97" t="str">
        <f t="shared" si="1"/>
        <v>MASTER</v>
      </c>
      <c r="I20" s="124" t="s">
        <v>26744</v>
      </c>
      <c r="J20" s="125"/>
      <c r="K20" s="125"/>
      <c r="L20" s="97" t="str">
        <f t="shared" si="2"/>
        <v>N0</v>
      </c>
      <c r="M20" s="124" t="s">
        <v>26744</v>
      </c>
      <c r="N20" s="125"/>
      <c r="O20" s="97" t="str">
        <f t="shared" si="3"/>
        <v>N0</v>
      </c>
      <c r="P20" s="104"/>
      <c r="Q20" s="97" t="s">
        <v>26745</v>
      </c>
    </row>
    <row r="21" ht="14.25" customHeight="1">
      <c r="A21" s="95" t="s">
        <v>26666</v>
      </c>
      <c r="B21" s="96" t="s">
        <v>26774</v>
      </c>
      <c r="C21" s="98" t="s">
        <v>26611</v>
      </c>
      <c r="D21" s="124" t="s">
        <v>23341</v>
      </c>
      <c r="E21" s="96" t="s">
        <v>26775</v>
      </c>
      <c r="F21" s="124" t="s">
        <v>26744</v>
      </c>
      <c r="G21" s="124" t="s">
        <v>26744</v>
      </c>
      <c r="H21" s="97" t="str">
        <f t="shared" si="1"/>
        <v>MASTER</v>
      </c>
      <c r="I21" s="124" t="s">
        <v>26744</v>
      </c>
      <c r="J21" s="125"/>
      <c r="K21" s="125"/>
      <c r="L21" s="97" t="str">
        <f t="shared" si="2"/>
        <v>N0</v>
      </c>
      <c r="M21" s="124" t="s">
        <v>26744</v>
      </c>
      <c r="N21" s="125"/>
      <c r="O21" s="97" t="str">
        <f t="shared" si="3"/>
        <v>N0</v>
      </c>
      <c r="P21" s="104"/>
      <c r="Q21" s="97" t="s">
        <v>26745</v>
      </c>
    </row>
    <row r="22" ht="14.25" customHeight="1">
      <c r="A22" s="95" t="s">
        <v>26668</v>
      </c>
      <c r="B22" s="96" t="s">
        <v>26776</v>
      </c>
      <c r="C22" s="98" t="s">
        <v>26611</v>
      </c>
      <c r="D22" s="124" t="s">
        <v>23341</v>
      </c>
      <c r="E22" s="98"/>
      <c r="F22" s="124" t="s">
        <v>26744</v>
      </c>
      <c r="G22" s="124" t="s">
        <v>26744</v>
      </c>
      <c r="H22" s="97" t="str">
        <f t="shared" si="1"/>
        <v>MASTER</v>
      </c>
      <c r="I22" s="124" t="s">
        <v>26744</v>
      </c>
      <c r="J22" s="125"/>
      <c r="K22" s="125"/>
      <c r="L22" s="97" t="str">
        <f t="shared" si="2"/>
        <v>N0</v>
      </c>
      <c r="M22" s="124" t="s">
        <v>26744</v>
      </c>
      <c r="N22" s="125"/>
      <c r="O22" s="97" t="str">
        <f t="shared" si="3"/>
        <v>N0</v>
      </c>
      <c r="P22" s="104"/>
      <c r="Q22" s="97" t="s">
        <v>26745</v>
      </c>
    </row>
    <row r="23" ht="14.25" customHeight="1">
      <c r="A23" s="95" t="s">
        <v>26670</v>
      </c>
      <c r="B23" s="96" t="s">
        <v>26777</v>
      </c>
      <c r="C23" s="98" t="s">
        <v>26611</v>
      </c>
      <c r="D23" s="124" t="s">
        <v>23341</v>
      </c>
      <c r="E23" s="96" t="s">
        <v>26778</v>
      </c>
      <c r="F23" s="124" t="s">
        <v>26744</v>
      </c>
      <c r="G23" s="126" t="s">
        <v>26744</v>
      </c>
      <c r="H23" s="97" t="str">
        <f t="shared" si="1"/>
        <v>MASTER</v>
      </c>
      <c r="I23" s="126" t="s">
        <v>26744</v>
      </c>
      <c r="J23" s="125"/>
      <c r="K23" s="125"/>
      <c r="L23" s="97" t="str">
        <f t="shared" si="2"/>
        <v>N0</v>
      </c>
      <c r="M23" s="126" t="s">
        <v>26744</v>
      </c>
      <c r="N23" s="125"/>
      <c r="O23" s="97" t="str">
        <f t="shared" si="3"/>
        <v>N0</v>
      </c>
      <c r="P23" s="104"/>
      <c r="Q23" s="97" t="s">
        <v>26745</v>
      </c>
    </row>
    <row r="24" ht="14.25" customHeight="1">
      <c r="A24" s="103" t="s">
        <v>26672</v>
      </c>
      <c r="B24" s="96" t="s">
        <v>26779</v>
      </c>
      <c r="C24" s="104" t="s">
        <v>26632</v>
      </c>
      <c r="D24" s="124" t="s">
        <v>23341</v>
      </c>
      <c r="E24" s="96" t="s">
        <v>26780</v>
      </c>
      <c r="F24" s="124" t="s">
        <v>26744</v>
      </c>
      <c r="G24" s="126" t="s">
        <v>26744</v>
      </c>
      <c r="H24" s="97" t="str">
        <f t="shared" si="1"/>
        <v>MASTER</v>
      </c>
      <c r="I24" s="126" t="s">
        <v>26744</v>
      </c>
      <c r="J24" s="126" t="s">
        <v>26744</v>
      </c>
      <c r="K24" s="126" t="s">
        <v>26744</v>
      </c>
      <c r="L24" s="97" t="str">
        <f t="shared" si="2"/>
        <v>MASTER</v>
      </c>
      <c r="M24" s="126" t="s">
        <v>26744</v>
      </c>
      <c r="N24" s="126" t="s">
        <v>26744</v>
      </c>
      <c r="O24" s="97" t="str">
        <f t="shared" si="3"/>
        <v>MASTER</v>
      </c>
      <c r="P24" s="124" t="s">
        <v>26744</v>
      </c>
      <c r="Q24" s="97" t="s">
        <v>26612</v>
      </c>
    </row>
    <row r="25" ht="14.25" customHeight="1">
      <c r="A25" s="95" t="s">
        <v>26675</v>
      </c>
      <c r="B25" s="96" t="s">
        <v>26781</v>
      </c>
      <c r="C25" s="98" t="s">
        <v>23448</v>
      </c>
      <c r="D25" s="124" t="s">
        <v>23341</v>
      </c>
      <c r="E25" s="96" t="s">
        <v>26782</v>
      </c>
      <c r="F25" s="124" t="s">
        <v>26744</v>
      </c>
      <c r="G25" s="126" t="s">
        <v>26744</v>
      </c>
      <c r="H25" s="97" t="str">
        <f t="shared" si="1"/>
        <v>MASTER</v>
      </c>
      <c r="I25" s="126" t="s">
        <v>26744</v>
      </c>
      <c r="J25" s="125"/>
      <c r="K25" s="125"/>
      <c r="L25" s="97" t="str">
        <f t="shared" si="2"/>
        <v>N0</v>
      </c>
      <c r="M25" s="126" t="s">
        <v>26744</v>
      </c>
      <c r="N25" s="125"/>
      <c r="O25" s="97" t="str">
        <f t="shared" si="3"/>
        <v>N0</v>
      </c>
      <c r="P25" s="104"/>
      <c r="Q25" s="97" t="s">
        <v>26745</v>
      </c>
    </row>
    <row r="26" ht="14.25" customHeight="1">
      <c r="A26" s="95" t="s">
        <v>26677</v>
      </c>
      <c r="B26" s="96" t="s">
        <v>26783</v>
      </c>
      <c r="C26" s="98" t="s">
        <v>23451</v>
      </c>
      <c r="D26" s="124" t="s">
        <v>23341</v>
      </c>
      <c r="E26" s="96" t="s">
        <v>26784</v>
      </c>
      <c r="F26" s="124" t="s">
        <v>26744</v>
      </c>
      <c r="G26" s="126" t="s">
        <v>26744</v>
      </c>
      <c r="H26" s="97" t="str">
        <f t="shared" si="1"/>
        <v>MASTER</v>
      </c>
      <c r="I26" s="126" t="s">
        <v>26744</v>
      </c>
      <c r="J26" s="126" t="s">
        <v>26744</v>
      </c>
      <c r="K26" s="126" t="s">
        <v>26744</v>
      </c>
      <c r="L26" s="97" t="str">
        <f t="shared" si="2"/>
        <v>MASTER</v>
      </c>
      <c r="M26" s="126" t="s">
        <v>26744</v>
      </c>
      <c r="N26" s="126" t="s">
        <v>26744</v>
      </c>
      <c r="O26" s="97" t="str">
        <f t="shared" si="3"/>
        <v>MASTER</v>
      </c>
      <c r="P26" s="124" t="s">
        <v>26744</v>
      </c>
      <c r="Q26" s="97" t="s">
        <v>26612</v>
      </c>
    </row>
    <row r="27" ht="14.25" customHeight="1">
      <c r="A27" s="95" t="s">
        <v>26679</v>
      </c>
      <c r="B27" s="96" t="s">
        <v>26785</v>
      </c>
      <c r="C27" s="98" t="s">
        <v>26611</v>
      </c>
      <c r="D27" s="124" t="s">
        <v>23341</v>
      </c>
      <c r="E27" s="98" t="s">
        <v>26786</v>
      </c>
      <c r="F27" s="124" t="s">
        <v>26744</v>
      </c>
      <c r="G27" s="124" t="s">
        <v>26744</v>
      </c>
      <c r="H27" s="97" t="str">
        <f t="shared" si="1"/>
        <v>MASTER</v>
      </c>
      <c r="I27" s="124" t="s">
        <v>26744</v>
      </c>
      <c r="J27" s="125"/>
      <c r="K27" s="125"/>
      <c r="L27" s="97" t="str">
        <f t="shared" si="2"/>
        <v>N0</v>
      </c>
      <c r="M27" s="124" t="s">
        <v>26744</v>
      </c>
      <c r="N27" s="125"/>
      <c r="O27" s="97" t="str">
        <f t="shared" si="3"/>
        <v>N0</v>
      </c>
      <c r="P27" s="104"/>
      <c r="Q27" s="97" t="s">
        <v>26745</v>
      </c>
    </row>
    <row r="28" ht="14.25" customHeight="1">
      <c r="A28" s="95" t="s">
        <v>26682</v>
      </c>
      <c r="B28" s="96" t="s">
        <v>26787</v>
      </c>
      <c r="C28" s="98" t="s">
        <v>26611</v>
      </c>
      <c r="D28" s="124" t="s">
        <v>23341</v>
      </c>
      <c r="E28" s="96" t="s">
        <v>26788</v>
      </c>
      <c r="F28" s="124" t="s">
        <v>26744</v>
      </c>
      <c r="G28" s="124" t="s">
        <v>26744</v>
      </c>
      <c r="H28" s="97" t="str">
        <f t="shared" si="1"/>
        <v>MASTER</v>
      </c>
      <c r="I28" s="124" t="s">
        <v>26744</v>
      </c>
      <c r="J28" s="104"/>
      <c r="K28" s="104"/>
      <c r="L28" s="97" t="str">
        <f t="shared" si="2"/>
        <v>N0</v>
      </c>
      <c r="M28" s="124" t="s">
        <v>26744</v>
      </c>
      <c r="N28" s="125"/>
      <c r="O28" s="97" t="str">
        <f t="shared" si="3"/>
        <v>N0</v>
      </c>
      <c r="P28" s="104"/>
      <c r="Q28" s="97" t="s">
        <v>26745</v>
      </c>
    </row>
    <row r="29" ht="14.25" customHeight="1">
      <c r="A29" s="95" t="s">
        <v>26687</v>
      </c>
      <c r="B29" s="96" t="s">
        <v>26789</v>
      </c>
      <c r="C29" s="98" t="s">
        <v>26611</v>
      </c>
      <c r="D29" s="124" t="s">
        <v>23341</v>
      </c>
      <c r="E29" s="96" t="s">
        <v>26790</v>
      </c>
      <c r="F29" s="124" t="s">
        <v>26744</v>
      </c>
      <c r="G29" s="124" t="s">
        <v>26744</v>
      </c>
      <c r="H29" s="97" t="str">
        <f t="shared" si="1"/>
        <v>MASTER</v>
      </c>
      <c r="I29" s="124" t="s">
        <v>26744</v>
      </c>
      <c r="J29" s="125"/>
      <c r="K29" s="125"/>
      <c r="L29" s="97" t="str">
        <f t="shared" si="2"/>
        <v>N0</v>
      </c>
      <c r="M29" s="124" t="s">
        <v>26744</v>
      </c>
      <c r="N29" s="125"/>
      <c r="O29" s="97" t="str">
        <f t="shared" si="3"/>
        <v>N0</v>
      </c>
      <c r="P29" s="104"/>
      <c r="Q29" s="97" t="s">
        <v>26745</v>
      </c>
    </row>
    <row r="30" ht="14.25" customHeight="1">
      <c r="A30" s="95" t="s">
        <v>26690</v>
      </c>
      <c r="B30" s="96" t="s">
        <v>26791</v>
      </c>
      <c r="C30" s="98" t="s">
        <v>23453</v>
      </c>
      <c r="D30" s="124" t="s">
        <v>23341</v>
      </c>
      <c r="E30" s="96" t="s">
        <v>26792</v>
      </c>
      <c r="F30" s="124" t="s">
        <v>26744</v>
      </c>
      <c r="G30" s="124" t="s">
        <v>26744</v>
      </c>
      <c r="H30" s="97" t="str">
        <f t="shared" si="1"/>
        <v>MASTER</v>
      </c>
      <c r="I30" s="124" t="s">
        <v>26744</v>
      </c>
      <c r="J30" s="125"/>
      <c r="K30" s="125"/>
      <c r="L30" s="97" t="str">
        <f t="shared" si="2"/>
        <v>N0</v>
      </c>
      <c r="M30" s="124" t="s">
        <v>26744</v>
      </c>
      <c r="N30" s="125"/>
      <c r="O30" s="97" t="str">
        <f t="shared" si="3"/>
        <v>N0</v>
      </c>
      <c r="P30" s="104"/>
      <c r="Q30" s="97" t="s">
        <v>26745</v>
      </c>
    </row>
    <row r="31" ht="14.25" customHeight="1">
      <c r="A31" s="95" t="s">
        <v>26692</v>
      </c>
      <c r="B31" s="96" t="s">
        <v>26793</v>
      </c>
      <c r="C31" s="98" t="s">
        <v>26611</v>
      </c>
      <c r="D31" s="124" t="s">
        <v>23341</v>
      </c>
      <c r="E31" s="96" t="s">
        <v>26794</v>
      </c>
      <c r="F31" s="124" t="s">
        <v>26744</v>
      </c>
      <c r="G31" s="124" t="s">
        <v>26744</v>
      </c>
      <c r="H31" s="97" t="str">
        <f t="shared" si="1"/>
        <v>MASTER</v>
      </c>
      <c r="I31" s="124" t="s">
        <v>26744</v>
      </c>
      <c r="J31" s="125"/>
      <c r="K31" s="125"/>
      <c r="L31" s="97" t="str">
        <f t="shared" si="2"/>
        <v>N0</v>
      </c>
      <c r="M31" s="124" t="s">
        <v>26744</v>
      </c>
      <c r="N31" s="125"/>
      <c r="O31" s="97" t="str">
        <f t="shared" si="3"/>
        <v>N0</v>
      </c>
      <c r="P31" s="104"/>
      <c r="Q31" s="97" t="s">
        <v>26745</v>
      </c>
    </row>
    <row r="32" ht="14.25" customHeight="1">
      <c r="A32" s="95" t="s">
        <v>26696</v>
      </c>
      <c r="B32" s="96" t="s">
        <v>26795</v>
      </c>
      <c r="C32" s="98" t="s">
        <v>26611</v>
      </c>
      <c r="D32" s="124" t="s">
        <v>23341</v>
      </c>
      <c r="E32" s="129" t="s">
        <v>26796</v>
      </c>
      <c r="F32" s="130" t="s">
        <v>26744</v>
      </c>
      <c r="G32" s="124" t="s">
        <v>26744</v>
      </c>
      <c r="H32" s="97" t="str">
        <f t="shared" si="1"/>
        <v>MASTER</v>
      </c>
      <c r="I32" s="124" t="s">
        <v>26744</v>
      </c>
      <c r="J32" s="125"/>
      <c r="K32" s="125"/>
      <c r="L32" s="97" t="str">
        <f t="shared" si="2"/>
        <v>N0</v>
      </c>
      <c r="M32" s="124" t="s">
        <v>26744</v>
      </c>
      <c r="N32" s="125"/>
      <c r="O32" s="97" t="str">
        <f t="shared" si="3"/>
        <v>N0</v>
      </c>
      <c r="P32" s="104"/>
      <c r="Q32" s="97" t="s">
        <v>26745</v>
      </c>
    </row>
    <row r="33" ht="14.25" customHeight="1">
      <c r="A33" s="95" t="s">
        <v>26699</v>
      </c>
      <c r="B33" s="96" t="s">
        <v>26797</v>
      </c>
      <c r="C33" s="98" t="s">
        <v>23439</v>
      </c>
      <c r="D33" s="127" t="s">
        <v>26798</v>
      </c>
      <c r="E33" s="129" t="s">
        <v>26799</v>
      </c>
      <c r="F33" s="130" t="s">
        <v>26744</v>
      </c>
      <c r="G33" s="124" t="s">
        <v>26744</v>
      </c>
      <c r="H33" s="97" t="str">
        <f t="shared" si="1"/>
        <v>MASTER</v>
      </c>
      <c r="I33" s="124" t="s">
        <v>26744</v>
      </c>
      <c r="J33" s="128" t="s">
        <v>26744</v>
      </c>
      <c r="K33" s="125"/>
      <c r="L33" s="97" t="str">
        <f t="shared" si="2"/>
        <v>N1</v>
      </c>
      <c r="M33" s="124" t="s">
        <v>26744</v>
      </c>
      <c r="N33" s="125"/>
      <c r="O33" s="97" t="str">
        <f t="shared" si="3"/>
        <v>N0</v>
      </c>
      <c r="P33" s="104"/>
      <c r="Q33" s="97" t="s">
        <v>26745</v>
      </c>
    </row>
    <row r="34" ht="14.25" customHeight="1">
      <c r="A34" s="95" t="s">
        <v>26701</v>
      </c>
      <c r="B34" s="96" t="s">
        <v>26800</v>
      </c>
      <c r="C34" s="98" t="s">
        <v>26611</v>
      </c>
      <c r="D34" s="124" t="s">
        <v>23341</v>
      </c>
      <c r="E34" s="98" t="s">
        <v>26801</v>
      </c>
      <c r="F34" s="124" t="s">
        <v>26744</v>
      </c>
      <c r="G34" s="124" t="s">
        <v>26744</v>
      </c>
      <c r="H34" s="97" t="str">
        <f t="shared" si="1"/>
        <v>MASTER</v>
      </c>
      <c r="I34" s="124" t="s">
        <v>26744</v>
      </c>
      <c r="J34" s="125"/>
      <c r="K34" s="125"/>
      <c r="L34" s="97" t="str">
        <f t="shared" si="2"/>
        <v>N0</v>
      </c>
      <c r="M34" s="124" t="s">
        <v>26744</v>
      </c>
      <c r="N34" s="125"/>
      <c r="O34" s="97" t="str">
        <f t="shared" si="3"/>
        <v>N0</v>
      </c>
      <c r="P34" s="104"/>
      <c r="Q34" s="97" t="s">
        <v>26745</v>
      </c>
    </row>
    <row r="35" ht="14.25" customHeight="1">
      <c r="A35" s="95" t="s">
        <v>26703</v>
      </c>
      <c r="B35" s="96" t="s">
        <v>26802</v>
      </c>
      <c r="C35" s="98" t="s">
        <v>26705</v>
      </c>
      <c r="D35" s="124" t="s">
        <v>23341</v>
      </c>
      <c r="E35" s="96" t="s">
        <v>26803</v>
      </c>
      <c r="F35" s="124" t="s">
        <v>26744</v>
      </c>
      <c r="G35" s="124" t="s">
        <v>26744</v>
      </c>
      <c r="H35" s="97" t="str">
        <f t="shared" si="1"/>
        <v>MASTER</v>
      </c>
      <c r="I35" s="124" t="s">
        <v>26744</v>
      </c>
      <c r="J35" s="125"/>
      <c r="K35" s="125"/>
      <c r="L35" s="97" t="str">
        <f t="shared" si="2"/>
        <v>N0</v>
      </c>
      <c r="M35" s="124" t="s">
        <v>26744</v>
      </c>
      <c r="N35" s="125"/>
      <c r="O35" s="97" t="str">
        <f t="shared" si="3"/>
        <v>N0</v>
      </c>
      <c r="P35" s="104"/>
      <c r="Q35" s="97" t="s">
        <v>26745</v>
      </c>
    </row>
    <row r="36" ht="14.25" customHeight="1">
      <c r="A36" s="95" t="s">
        <v>26706</v>
      </c>
      <c r="B36" s="96" t="s">
        <v>26804</v>
      </c>
      <c r="C36" s="98" t="s">
        <v>26611</v>
      </c>
      <c r="D36" s="124" t="s">
        <v>23341</v>
      </c>
      <c r="E36" s="98"/>
      <c r="F36" s="124" t="s">
        <v>26744</v>
      </c>
      <c r="G36" s="124" t="s">
        <v>26744</v>
      </c>
      <c r="H36" s="97" t="str">
        <f t="shared" si="1"/>
        <v>MASTER</v>
      </c>
      <c r="I36" s="124" t="s">
        <v>26744</v>
      </c>
      <c r="J36" s="125"/>
      <c r="K36" s="125"/>
      <c r="L36" s="97" t="str">
        <f t="shared" si="2"/>
        <v>N0</v>
      </c>
      <c r="M36" s="124" t="s">
        <v>26744</v>
      </c>
      <c r="N36" s="125"/>
      <c r="O36" s="97" t="str">
        <f t="shared" si="3"/>
        <v>N0</v>
      </c>
      <c r="P36" s="104"/>
      <c r="Q36" s="97" t="s">
        <v>26745</v>
      </c>
    </row>
  </sheetData>
  <mergeCells count="13">
    <mergeCell ref="I1:K1"/>
    <mergeCell ref="L1:L2"/>
    <mergeCell ref="M1:N1"/>
    <mergeCell ref="O1:O2"/>
    <mergeCell ref="P1:P2"/>
    <mergeCell ref="Q1:Q2"/>
    <mergeCell ref="A1:A2"/>
    <mergeCell ref="B1:B2"/>
    <mergeCell ref="C1:C2"/>
    <mergeCell ref="D1:D2"/>
    <mergeCell ref="E1:E2"/>
    <mergeCell ref="F1:G1"/>
    <mergeCell ref="H1:H2"/>
  </mergeCells>
  <hyperlinks>
    <hyperlink r:id="rId1" ref="B4"/>
    <hyperlink r:id="rId2" ref="E4"/>
    <hyperlink r:id="rId3" ref="B5"/>
    <hyperlink r:id="rId4" ref="E5"/>
    <hyperlink r:id="rId5" ref="B6"/>
    <hyperlink r:id="rId6" ref="B9"/>
    <hyperlink r:id="rId7" ref="E9"/>
    <hyperlink r:id="rId8" ref="B10"/>
    <hyperlink r:id="rId9" ref="E10"/>
    <hyperlink r:id="rId10" ref="B11"/>
    <hyperlink r:id="rId11" ref="E11"/>
    <hyperlink r:id="rId12" ref="B12"/>
    <hyperlink r:id="rId13" ref="E12"/>
    <hyperlink r:id="rId14" ref="B13"/>
    <hyperlink r:id="rId15" ref="E13"/>
    <hyperlink r:id="rId16" ref="B14"/>
    <hyperlink r:id="rId17" ref="B15"/>
    <hyperlink r:id="rId18" ref="B16"/>
    <hyperlink r:id="rId19" ref="E16"/>
    <hyperlink r:id="rId20" ref="B17"/>
    <hyperlink r:id="rId21" ref="E17"/>
    <hyperlink r:id="rId22" ref="B19"/>
    <hyperlink r:id="rId23" ref="E19"/>
    <hyperlink r:id="rId24" ref="B20"/>
    <hyperlink r:id="rId25" ref="E20"/>
    <hyperlink r:id="rId26" ref="B21"/>
    <hyperlink r:id="rId27" ref="E21"/>
    <hyperlink r:id="rId28" ref="B22"/>
    <hyperlink r:id="rId29" ref="B23"/>
    <hyperlink r:id="rId30" ref="E23"/>
    <hyperlink r:id="rId31" ref="B24"/>
    <hyperlink r:id="rId32" ref="E24"/>
    <hyperlink r:id="rId33" ref="B25"/>
    <hyperlink r:id="rId34" ref="E25"/>
    <hyperlink r:id="rId35" ref="B26"/>
    <hyperlink r:id="rId36" ref="E26"/>
    <hyperlink r:id="rId37" ref="B27"/>
    <hyperlink r:id="rId38" ref="B28"/>
    <hyperlink r:id="rId39" ref="E28"/>
    <hyperlink r:id="rId40" ref="B29"/>
    <hyperlink r:id="rId41" ref="E29"/>
    <hyperlink r:id="rId42" ref="B30"/>
    <hyperlink r:id="rId43" ref="E30"/>
    <hyperlink r:id="rId44" ref="B31"/>
    <hyperlink r:id="rId45" ref="E31"/>
    <hyperlink r:id="rId46" ref="B32"/>
    <hyperlink r:id="rId47" ref="E32"/>
    <hyperlink r:id="rId48" ref="B33"/>
    <hyperlink r:id="rId49" ref="E33"/>
    <hyperlink r:id="rId50" ref="B34"/>
    <hyperlink r:id="rId51" ref="B35"/>
    <hyperlink r:id="rId52" ref="E35"/>
    <hyperlink r:id="rId53" ref="B36"/>
  </hyperlinks>
  <printOptions gridLines="1" horizontalCentered="1" verticalCentered="1"/>
  <pageMargins bottom="0.75" footer="0.0" header="0.0" left="0.25" right="0.25" top="0.75"/>
  <pageSetup fitToHeight="0" paperSize="9" cellComments="atEnd" orientation="landscape" pageOrder="overThenDown"/>
  <drawing r:id="rId5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11.5"/>
    <col customWidth="1" min="3" max="3" width="36.13"/>
    <col customWidth="1" min="4" max="4" width="29.38"/>
    <col customWidth="1" min="5" max="5" width="22.38"/>
    <col customWidth="1" min="6" max="6" width="20.88"/>
    <col customWidth="1" min="7" max="7" width="60.88"/>
    <col customWidth="1" min="8" max="8" width="27.63"/>
    <col customWidth="1" min="9" max="9" width="52.5"/>
  </cols>
  <sheetData>
    <row r="1" ht="59.25" customHeight="1">
      <c r="A1" s="131" t="s">
        <v>22791</v>
      </c>
      <c r="B1" s="132" t="s">
        <v>26805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26806</v>
      </c>
      <c r="I1" s="1" t="s">
        <v>26807</v>
      </c>
    </row>
    <row r="2">
      <c r="A2" s="133" t="s">
        <v>26808</v>
      </c>
      <c r="B2" s="133" t="s">
        <v>26809</v>
      </c>
      <c r="C2" s="133" t="s">
        <v>1099</v>
      </c>
      <c r="D2" s="133" t="s">
        <v>1258</v>
      </c>
      <c r="E2" s="133" t="s">
        <v>512</v>
      </c>
      <c r="F2" s="133" t="s">
        <v>23259</v>
      </c>
      <c r="G2" s="133" t="s">
        <v>23260</v>
      </c>
      <c r="H2" s="133" t="s">
        <v>26677</v>
      </c>
      <c r="I2" s="134" t="s">
        <v>26810</v>
      </c>
    </row>
    <row r="3">
      <c r="A3" s="133" t="s">
        <v>26811</v>
      </c>
      <c r="B3" s="133" t="s">
        <v>26809</v>
      </c>
      <c r="C3" s="133" t="s">
        <v>357</v>
      </c>
      <c r="D3" s="133" t="s">
        <v>4833</v>
      </c>
      <c r="E3" s="133" t="s">
        <v>18380</v>
      </c>
      <c r="F3" s="133" t="s">
        <v>18437</v>
      </c>
      <c r="G3" s="133" t="s">
        <v>26812</v>
      </c>
      <c r="H3" s="133" t="s">
        <v>26677</v>
      </c>
      <c r="I3" s="134" t="s">
        <v>26813</v>
      </c>
    </row>
    <row r="4">
      <c r="A4" s="133" t="s">
        <v>26814</v>
      </c>
      <c r="B4" s="133" t="s">
        <v>26815</v>
      </c>
      <c r="C4" s="133" t="s">
        <v>357</v>
      </c>
      <c r="D4" s="133" t="s">
        <v>4833</v>
      </c>
      <c r="E4" s="133" t="s">
        <v>18380</v>
      </c>
      <c r="F4" s="133" t="s">
        <v>18437</v>
      </c>
      <c r="G4" s="133" t="s">
        <v>18438</v>
      </c>
      <c r="H4" s="133" t="s">
        <v>26677</v>
      </c>
      <c r="I4" s="134" t="s">
        <v>26816</v>
      </c>
    </row>
    <row r="5">
      <c r="A5" s="133" t="s">
        <v>26817</v>
      </c>
      <c r="B5" s="133" t="s">
        <v>26809</v>
      </c>
      <c r="C5" s="133" t="s">
        <v>234</v>
      </c>
      <c r="D5" s="133" t="s">
        <v>11624</v>
      </c>
      <c r="E5" s="133" t="s">
        <v>294</v>
      </c>
      <c r="F5" s="133" t="s">
        <v>12554</v>
      </c>
      <c r="G5" s="133" t="s">
        <v>12555</v>
      </c>
      <c r="H5" s="133" t="s">
        <v>26677</v>
      </c>
      <c r="I5" s="134" t="s">
        <v>26818</v>
      </c>
    </row>
    <row r="6">
      <c r="A6" s="133" t="s">
        <v>26819</v>
      </c>
      <c r="B6" s="133" t="s">
        <v>26809</v>
      </c>
      <c r="C6" s="133" t="s">
        <v>234</v>
      </c>
      <c r="D6" s="133" t="s">
        <v>22223</v>
      </c>
      <c r="E6" s="133" t="s">
        <v>15119</v>
      </c>
      <c r="F6" s="133" t="s">
        <v>22224</v>
      </c>
      <c r="G6" s="133" t="s">
        <v>22225</v>
      </c>
      <c r="H6" s="133" t="s">
        <v>26677</v>
      </c>
      <c r="I6" s="134" t="s">
        <v>26820</v>
      </c>
    </row>
    <row r="7">
      <c r="A7" s="133" t="s">
        <v>26821</v>
      </c>
      <c r="B7" s="133" t="s">
        <v>26809</v>
      </c>
      <c r="C7" s="133" t="s">
        <v>234</v>
      </c>
      <c r="D7" s="133" t="s">
        <v>22810</v>
      </c>
      <c r="E7" s="133" t="s">
        <v>15119</v>
      </c>
      <c r="F7" s="133" t="s">
        <v>22154</v>
      </c>
      <c r="G7" s="133" t="s">
        <v>26822</v>
      </c>
      <c r="H7" s="133" t="s">
        <v>26677</v>
      </c>
      <c r="I7" s="134" t="s">
        <v>26823</v>
      </c>
    </row>
    <row r="8">
      <c r="A8" s="133" t="s">
        <v>26824</v>
      </c>
      <c r="B8" s="133" t="s">
        <v>26809</v>
      </c>
      <c r="C8" s="133" t="s">
        <v>234</v>
      </c>
      <c r="D8" s="133" t="s">
        <v>22810</v>
      </c>
      <c r="E8" s="133" t="s">
        <v>15119</v>
      </c>
      <c r="F8" s="133" t="s">
        <v>22154</v>
      </c>
      <c r="G8" s="133" t="s">
        <v>26822</v>
      </c>
      <c r="H8" s="133" t="s">
        <v>26677</v>
      </c>
      <c r="I8" s="134" t="s">
        <v>26825</v>
      </c>
    </row>
    <row r="9">
      <c r="A9" s="133" t="s">
        <v>26826</v>
      </c>
      <c r="B9" s="133" t="s">
        <v>26809</v>
      </c>
      <c r="C9" s="133" t="s">
        <v>217</v>
      </c>
      <c r="D9" s="133" t="s">
        <v>8821</v>
      </c>
      <c r="E9" s="133" t="s">
        <v>375</v>
      </c>
      <c r="F9" s="133" t="s">
        <v>8885</v>
      </c>
      <c r="G9" s="133" t="s">
        <v>26827</v>
      </c>
      <c r="H9" s="133" t="s">
        <v>26677</v>
      </c>
      <c r="I9" s="134" t="s">
        <v>26828</v>
      </c>
    </row>
    <row r="10">
      <c r="A10" s="133" t="s">
        <v>26829</v>
      </c>
      <c r="B10" s="133" t="s">
        <v>26809</v>
      </c>
      <c r="C10" s="133" t="s">
        <v>217</v>
      </c>
      <c r="D10" s="133" t="s">
        <v>8821</v>
      </c>
      <c r="E10" s="133" t="s">
        <v>375</v>
      </c>
      <c r="F10" s="133" t="s">
        <v>8885</v>
      </c>
      <c r="G10" s="133" t="s">
        <v>26827</v>
      </c>
      <c r="H10" s="133" t="s">
        <v>26677</v>
      </c>
      <c r="I10" s="134" t="s">
        <v>26830</v>
      </c>
    </row>
    <row r="11">
      <c r="A11" s="133" t="s">
        <v>26831</v>
      </c>
      <c r="B11" s="133" t="s">
        <v>26809</v>
      </c>
      <c r="C11" s="133" t="s">
        <v>234</v>
      </c>
      <c r="D11" s="133" t="s">
        <v>2706</v>
      </c>
      <c r="E11" s="133" t="s">
        <v>512</v>
      </c>
      <c r="F11" s="133" t="s">
        <v>2707</v>
      </c>
      <c r="G11" s="133" t="s">
        <v>2708</v>
      </c>
      <c r="H11" s="133" t="s">
        <v>26677</v>
      </c>
      <c r="I11" s="134" t="s">
        <v>26832</v>
      </c>
    </row>
    <row r="12">
      <c r="A12" s="133" t="s">
        <v>26833</v>
      </c>
      <c r="B12" s="133" t="s">
        <v>26809</v>
      </c>
      <c r="C12" s="133" t="s">
        <v>234</v>
      </c>
      <c r="D12" s="133" t="s">
        <v>2743</v>
      </c>
      <c r="E12" s="133" t="s">
        <v>512</v>
      </c>
      <c r="F12" s="133" t="s">
        <v>2744</v>
      </c>
      <c r="G12" s="133" t="s">
        <v>2745</v>
      </c>
      <c r="H12" s="133" t="s">
        <v>26677</v>
      </c>
      <c r="I12" s="134" t="s">
        <v>26834</v>
      </c>
    </row>
    <row r="13">
      <c r="A13" s="133" t="s">
        <v>26835</v>
      </c>
      <c r="B13" s="133" t="s">
        <v>26809</v>
      </c>
      <c r="C13" s="133" t="s">
        <v>234</v>
      </c>
      <c r="D13" s="133" t="s">
        <v>2816</v>
      </c>
      <c r="E13" s="133" t="s">
        <v>512</v>
      </c>
      <c r="F13" s="133" t="s">
        <v>2817</v>
      </c>
      <c r="G13" s="133" t="s">
        <v>2818</v>
      </c>
      <c r="H13" s="133" t="s">
        <v>26677</v>
      </c>
      <c r="I13" s="134" t="s">
        <v>26836</v>
      </c>
    </row>
    <row r="14">
      <c r="A14" s="133" t="s">
        <v>26837</v>
      </c>
      <c r="B14" s="133" t="s">
        <v>26809</v>
      </c>
      <c r="C14" s="133" t="s">
        <v>234</v>
      </c>
      <c r="D14" s="133" t="s">
        <v>2850</v>
      </c>
      <c r="E14" s="133" t="s">
        <v>512</v>
      </c>
      <c r="F14" s="133" t="s">
        <v>2851</v>
      </c>
      <c r="G14" s="133" t="s">
        <v>2852</v>
      </c>
      <c r="H14" s="133" t="s">
        <v>26677</v>
      </c>
      <c r="I14" s="134" t="s">
        <v>26838</v>
      </c>
    </row>
    <row r="15">
      <c r="A15" s="133" t="s">
        <v>26839</v>
      </c>
      <c r="B15" s="133" t="s">
        <v>26809</v>
      </c>
      <c r="C15" s="133" t="s">
        <v>234</v>
      </c>
      <c r="D15" s="133" t="s">
        <v>2850</v>
      </c>
      <c r="E15" s="133" t="s">
        <v>512</v>
      </c>
      <c r="F15" s="133" t="s">
        <v>2851</v>
      </c>
      <c r="G15" s="133" t="s">
        <v>2852</v>
      </c>
      <c r="H15" s="133" t="s">
        <v>26677</v>
      </c>
      <c r="I15" s="134" t="s">
        <v>26840</v>
      </c>
    </row>
    <row r="16">
      <c r="A16" s="133" t="s">
        <v>26841</v>
      </c>
      <c r="B16" s="133" t="s">
        <v>26809</v>
      </c>
      <c r="C16" s="133" t="s">
        <v>234</v>
      </c>
      <c r="D16" s="133" t="s">
        <v>2885</v>
      </c>
      <c r="E16" s="133" t="s">
        <v>512</v>
      </c>
      <c r="F16" s="133" t="s">
        <v>2886</v>
      </c>
      <c r="G16" s="133" t="s">
        <v>2887</v>
      </c>
      <c r="H16" s="133" t="s">
        <v>26677</v>
      </c>
      <c r="I16" s="134" t="s">
        <v>26842</v>
      </c>
    </row>
    <row r="17">
      <c r="A17" s="133" t="s">
        <v>26843</v>
      </c>
      <c r="B17" s="133" t="s">
        <v>26809</v>
      </c>
      <c r="C17" s="133" t="s">
        <v>234</v>
      </c>
      <c r="D17" s="133" t="s">
        <v>2779</v>
      </c>
      <c r="E17" s="133" t="s">
        <v>512</v>
      </c>
      <c r="F17" s="133" t="s">
        <v>2780</v>
      </c>
      <c r="G17" s="133" t="s">
        <v>2781</v>
      </c>
      <c r="H17" s="133" t="s">
        <v>26677</v>
      </c>
      <c r="I17" s="134" t="s">
        <v>26844</v>
      </c>
    </row>
    <row r="18">
      <c r="A18" s="133" t="s">
        <v>26845</v>
      </c>
      <c r="B18" s="133" t="s">
        <v>26809</v>
      </c>
      <c r="C18" s="133" t="s">
        <v>234</v>
      </c>
      <c r="D18" s="133" t="s">
        <v>2779</v>
      </c>
      <c r="E18" s="133" t="s">
        <v>512</v>
      </c>
      <c r="F18" s="133" t="s">
        <v>2780</v>
      </c>
      <c r="G18" s="133" t="s">
        <v>2781</v>
      </c>
      <c r="H18" s="133" t="s">
        <v>26677</v>
      </c>
      <c r="I18" s="134" t="s">
        <v>26846</v>
      </c>
    </row>
    <row r="19">
      <c r="A19" s="133" t="s">
        <v>26847</v>
      </c>
      <c r="B19" s="133" t="s">
        <v>26809</v>
      </c>
      <c r="C19" s="133" t="s">
        <v>234</v>
      </c>
      <c r="D19" s="133" t="s">
        <v>2779</v>
      </c>
      <c r="E19" s="133" t="s">
        <v>512</v>
      </c>
      <c r="F19" s="133" t="s">
        <v>2780</v>
      </c>
      <c r="G19" s="133" t="s">
        <v>2781</v>
      </c>
      <c r="H19" s="133" t="s">
        <v>26677</v>
      </c>
      <c r="I19" s="134" t="s">
        <v>26848</v>
      </c>
    </row>
    <row r="20">
      <c r="A20" s="133" t="s">
        <v>26849</v>
      </c>
      <c r="B20" s="133" t="s">
        <v>26809</v>
      </c>
      <c r="C20" s="133" t="s">
        <v>357</v>
      </c>
      <c r="D20" s="133" t="s">
        <v>4413</v>
      </c>
      <c r="E20" s="133" t="s">
        <v>512</v>
      </c>
      <c r="F20" s="133" t="s">
        <v>5966</v>
      </c>
      <c r="G20" s="133" t="s">
        <v>5967</v>
      </c>
      <c r="H20" s="133" t="s">
        <v>26677</v>
      </c>
      <c r="I20" s="134" t="s">
        <v>26850</v>
      </c>
    </row>
    <row r="21">
      <c r="A21" s="133" t="s">
        <v>26851</v>
      </c>
      <c r="B21" s="133" t="s">
        <v>26809</v>
      </c>
      <c r="C21" s="133" t="s">
        <v>357</v>
      </c>
      <c r="D21" s="133" t="s">
        <v>4071</v>
      </c>
      <c r="E21" s="133" t="s">
        <v>512</v>
      </c>
      <c r="F21" s="133" t="s">
        <v>5763</v>
      </c>
      <c r="G21" s="133" t="s">
        <v>5764</v>
      </c>
      <c r="H21" s="133" t="s">
        <v>26677</v>
      </c>
      <c r="I21" s="134" t="s">
        <v>26852</v>
      </c>
    </row>
    <row r="22">
      <c r="A22" s="133" t="s">
        <v>26853</v>
      </c>
      <c r="B22" s="133" t="s">
        <v>26809</v>
      </c>
      <c r="C22" s="133" t="s">
        <v>357</v>
      </c>
      <c r="D22" s="133" t="s">
        <v>4071</v>
      </c>
      <c r="E22" s="133" t="s">
        <v>512</v>
      </c>
      <c r="F22" s="133" t="s">
        <v>4661</v>
      </c>
      <c r="G22" s="133" t="s">
        <v>4662</v>
      </c>
      <c r="H22" s="133" t="s">
        <v>26677</v>
      </c>
      <c r="I22" s="134" t="s">
        <v>26854</v>
      </c>
    </row>
    <row r="23">
      <c r="A23" s="133" t="s">
        <v>26855</v>
      </c>
      <c r="B23" s="133" t="s">
        <v>26809</v>
      </c>
      <c r="C23" s="133" t="s">
        <v>217</v>
      </c>
      <c r="D23" s="133" t="s">
        <v>8483</v>
      </c>
      <c r="E23" s="133" t="s">
        <v>375</v>
      </c>
      <c r="F23" s="133" t="s">
        <v>11373</v>
      </c>
      <c r="G23" s="133" t="s">
        <v>11374</v>
      </c>
      <c r="H23" s="133" t="s">
        <v>26677</v>
      </c>
      <c r="I23" s="134" t="s">
        <v>26856</v>
      </c>
    </row>
    <row r="24">
      <c r="A24" s="133" t="s">
        <v>26857</v>
      </c>
      <c r="B24" s="133" t="s">
        <v>26809</v>
      </c>
      <c r="C24" s="133" t="s">
        <v>217</v>
      </c>
      <c r="D24" s="133" t="s">
        <v>8821</v>
      </c>
      <c r="E24" s="133" t="s">
        <v>375</v>
      </c>
      <c r="F24" s="133" t="s">
        <v>8885</v>
      </c>
      <c r="G24" s="133" t="s">
        <v>26827</v>
      </c>
      <c r="H24" s="133" t="s">
        <v>26677</v>
      </c>
      <c r="I24" s="134" t="s">
        <v>26858</v>
      </c>
    </row>
    <row r="25">
      <c r="A25" s="133" t="s">
        <v>26859</v>
      </c>
      <c r="B25" s="133" t="s">
        <v>26815</v>
      </c>
      <c r="C25" s="133" t="s">
        <v>234</v>
      </c>
      <c r="D25" s="133" t="s">
        <v>8709</v>
      </c>
      <c r="E25" s="133" t="s">
        <v>375</v>
      </c>
      <c r="F25" s="133" t="s">
        <v>8885</v>
      </c>
      <c r="G25" s="133" t="s">
        <v>8886</v>
      </c>
      <c r="H25" s="133" t="s">
        <v>26677</v>
      </c>
      <c r="I25" s="134" t="s">
        <v>26860</v>
      </c>
    </row>
    <row r="26">
      <c r="A26" s="133" t="s">
        <v>26861</v>
      </c>
      <c r="B26" s="133" t="s">
        <v>26809</v>
      </c>
      <c r="C26" s="133" t="s">
        <v>1099</v>
      </c>
      <c r="D26" s="133" t="s">
        <v>650</v>
      </c>
      <c r="E26" s="133" t="s">
        <v>375</v>
      </c>
      <c r="F26" s="133" t="s">
        <v>16587</v>
      </c>
      <c r="G26" s="133" t="s">
        <v>16588</v>
      </c>
      <c r="H26" s="133" t="s">
        <v>26672</v>
      </c>
      <c r="I26" s="134" t="s">
        <v>26862</v>
      </c>
    </row>
    <row r="27">
      <c r="A27" s="133" t="s">
        <v>26863</v>
      </c>
      <c r="B27" s="133" t="s">
        <v>26809</v>
      </c>
      <c r="C27" s="133" t="s">
        <v>357</v>
      </c>
      <c r="D27" s="133" t="s">
        <v>6313</v>
      </c>
      <c r="E27" s="133" t="s">
        <v>512</v>
      </c>
      <c r="F27" s="133" t="s">
        <v>6314</v>
      </c>
      <c r="G27" s="133" t="s">
        <v>23277</v>
      </c>
      <c r="H27" s="133" t="s">
        <v>26677</v>
      </c>
      <c r="I27" s="134" t="s">
        <v>26864</v>
      </c>
    </row>
    <row r="28">
      <c r="A28" s="133" t="s">
        <v>26865</v>
      </c>
      <c r="B28" s="133" t="s">
        <v>26809</v>
      </c>
      <c r="C28" s="133" t="s">
        <v>357</v>
      </c>
      <c r="D28" s="133" t="s">
        <v>6313</v>
      </c>
      <c r="E28" s="133" t="s">
        <v>512</v>
      </c>
      <c r="F28" s="133" t="s">
        <v>6381</v>
      </c>
      <c r="G28" s="133" t="s">
        <v>6382</v>
      </c>
      <c r="H28" s="133" t="s">
        <v>26677</v>
      </c>
      <c r="I28" s="134" t="s">
        <v>26866</v>
      </c>
    </row>
    <row r="29">
      <c r="A29" s="133" t="s">
        <v>26867</v>
      </c>
      <c r="B29" s="133" t="s">
        <v>26809</v>
      </c>
      <c r="C29" s="133" t="s">
        <v>1099</v>
      </c>
      <c r="D29" s="133" t="s">
        <v>1192</v>
      </c>
      <c r="E29" s="133" t="s">
        <v>9225</v>
      </c>
      <c r="F29" s="133" t="s">
        <v>9427</v>
      </c>
      <c r="G29" s="133" t="s">
        <v>9428</v>
      </c>
      <c r="H29" s="133" t="s">
        <v>26677</v>
      </c>
      <c r="I29" s="134" t="s">
        <v>26868</v>
      </c>
    </row>
    <row r="30">
      <c r="A30" s="133" t="s">
        <v>26869</v>
      </c>
      <c r="B30" s="133" t="s">
        <v>26809</v>
      </c>
      <c r="C30" s="133" t="s">
        <v>1099</v>
      </c>
      <c r="D30" s="133" t="s">
        <v>1192</v>
      </c>
      <c r="E30" s="133" t="s">
        <v>512</v>
      </c>
      <c r="F30" s="133" t="s">
        <v>1193</v>
      </c>
      <c r="G30" s="133" t="s">
        <v>1194</v>
      </c>
      <c r="H30" s="133" t="s">
        <v>26677</v>
      </c>
      <c r="I30" s="134" t="s">
        <v>26870</v>
      </c>
    </row>
    <row r="31">
      <c r="A31" s="133" t="s">
        <v>26871</v>
      </c>
      <c r="B31" s="133" t="s">
        <v>26809</v>
      </c>
      <c r="C31" s="133" t="s">
        <v>1099</v>
      </c>
      <c r="D31" s="133" t="s">
        <v>1132</v>
      </c>
      <c r="E31" s="133" t="s">
        <v>9225</v>
      </c>
      <c r="F31" s="133" t="s">
        <v>9392</v>
      </c>
      <c r="G31" s="133" t="s">
        <v>9393</v>
      </c>
      <c r="H31" s="133" t="s">
        <v>26672</v>
      </c>
      <c r="I31" s="134" t="s">
        <v>26872</v>
      </c>
    </row>
    <row r="32">
      <c r="A32" s="134" t="s">
        <v>26873</v>
      </c>
      <c r="B32" s="133" t="s">
        <v>26809</v>
      </c>
      <c r="C32" s="133" t="s">
        <v>1099</v>
      </c>
      <c r="D32" s="133" t="s">
        <v>1132</v>
      </c>
      <c r="E32" s="133" t="s">
        <v>9225</v>
      </c>
      <c r="F32" s="133" t="s">
        <v>9392</v>
      </c>
      <c r="G32" s="133" t="s">
        <v>9393</v>
      </c>
      <c r="H32" s="133" t="s">
        <v>26677</v>
      </c>
      <c r="I32" s="134" t="s">
        <v>26874</v>
      </c>
    </row>
    <row r="33">
      <c r="A33" s="133" t="s">
        <v>26875</v>
      </c>
      <c r="B33" s="133" t="s">
        <v>26809</v>
      </c>
      <c r="C33" s="133" t="s">
        <v>1099</v>
      </c>
      <c r="D33" s="133" t="s">
        <v>1132</v>
      </c>
      <c r="E33" s="133" t="s">
        <v>512</v>
      </c>
      <c r="F33" s="133" t="s">
        <v>1133</v>
      </c>
      <c r="G33" s="133" t="s">
        <v>1134</v>
      </c>
      <c r="H33" s="133" t="s">
        <v>26677</v>
      </c>
      <c r="I33" s="134" t="s">
        <v>26876</v>
      </c>
    </row>
    <row r="34">
      <c r="A34" s="133" t="s">
        <v>26877</v>
      </c>
      <c r="B34" s="133" t="s">
        <v>26809</v>
      </c>
      <c r="C34" s="133" t="s">
        <v>1099</v>
      </c>
      <c r="D34" s="133" t="s">
        <v>13322</v>
      </c>
      <c r="E34" s="133" t="s">
        <v>14345</v>
      </c>
      <c r="F34" s="133" t="s">
        <v>14612</v>
      </c>
      <c r="G34" s="133" t="s">
        <v>14613</v>
      </c>
      <c r="H34" s="133" t="s">
        <v>26677</v>
      </c>
      <c r="I34" s="134" t="s">
        <v>26878</v>
      </c>
    </row>
    <row r="35">
      <c r="A35" s="133" t="s">
        <v>26879</v>
      </c>
      <c r="B35" s="133" t="s">
        <v>26809</v>
      </c>
      <c r="C35" s="133" t="s">
        <v>1099</v>
      </c>
      <c r="D35" s="133" t="s">
        <v>13322</v>
      </c>
      <c r="E35" s="133" t="s">
        <v>375</v>
      </c>
      <c r="F35" s="133" t="s">
        <v>16025</v>
      </c>
      <c r="G35" s="133" t="s">
        <v>16026</v>
      </c>
      <c r="H35" s="133" t="s">
        <v>26677</v>
      </c>
      <c r="I35" s="134" t="s">
        <v>26880</v>
      </c>
    </row>
    <row r="36">
      <c r="A36" s="133" t="s">
        <v>26881</v>
      </c>
      <c r="B36" s="133" t="s">
        <v>26809</v>
      </c>
      <c r="C36" s="133" t="s">
        <v>357</v>
      </c>
      <c r="D36" s="133" t="s">
        <v>4697</v>
      </c>
      <c r="E36" s="133" t="s">
        <v>9260</v>
      </c>
      <c r="F36" s="133" t="s">
        <v>19218</v>
      </c>
      <c r="G36" s="133" t="s">
        <v>19219</v>
      </c>
      <c r="H36" s="133" t="s">
        <v>26677</v>
      </c>
      <c r="I36" s="134" t="s">
        <v>26882</v>
      </c>
    </row>
    <row r="37">
      <c r="A37" s="133" t="s">
        <v>26883</v>
      </c>
      <c r="B37" s="133" t="s">
        <v>26809</v>
      </c>
      <c r="C37" s="133" t="s">
        <v>1099</v>
      </c>
      <c r="D37" s="133" t="s">
        <v>1258</v>
      </c>
      <c r="E37" s="133" t="s">
        <v>512</v>
      </c>
      <c r="F37" s="133" t="s">
        <v>23259</v>
      </c>
      <c r="G37" s="133" t="s">
        <v>23260</v>
      </c>
      <c r="H37" s="133" t="s">
        <v>26677</v>
      </c>
      <c r="I37" s="134" t="s">
        <v>26884</v>
      </c>
    </row>
    <row r="38">
      <c r="A38" s="133" t="s">
        <v>26885</v>
      </c>
      <c r="B38" s="133" t="s">
        <v>26809</v>
      </c>
      <c r="C38" s="133" t="s">
        <v>217</v>
      </c>
      <c r="D38" s="133" t="s">
        <v>8026</v>
      </c>
      <c r="E38" s="133" t="s">
        <v>7695</v>
      </c>
      <c r="F38" s="133" t="s">
        <v>8027</v>
      </c>
      <c r="G38" s="133" t="s">
        <v>26886</v>
      </c>
      <c r="H38" s="133" t="s">
        <v>26677</v>
      </c>
      <c r="I38" s="134" t="s">
        <v>26887</v>
      </c>
    </row>
    <row r="39">
      <c r="A39" s="133" t="s">
        <v>26888</v>
      </c>
      <c r="B39" s="133" t="s">
        <v>26809</v>
      </c>
      <c r="C39" s="133" t="s">
        <v>357</v>
      </c>
      <c r="D39" s="133" t="s">
        <v>6313</v>
      </c>
      <c r="E39" s="133" t="s">
        <v>512</v>
      </c>
      <c r="F39" s="133" t="s">
        <v>6345</v>
      </c>
      <c r="G39" s="133" t="s">
        <v>6346</v>
      </c>
      <c r="H39" s="133" t="s">
        <v>26677</v>
      </c>
      <c r="I39" s="134" t="s">
        <v>26889</v>
      </c>
    </row>
    <row r="40">
      <c r="A40" s="133" t="s">
        <v>26890</v>
      </c>
      <c r="B40" s="133" t="s">
        <v>26809</v>
      </c>
      <c r="C40" s="133" t="s">
        <v>357</v>
      </c>
      <c r="D40" s="133" t="s">
        <v>17605</v>
      </c>
      <c r="E40" s="133" t="s">
        <v>512</v>
      </c>
      <c r="F40" s="133" t="s">
        <v>3585</v>
      </c>
      <c r="G40" s="133" t="s">
        <v>3586</v>
      </c>
      <c r="H40" s="133" t="s">
        <v>26677</v>
      </c>
      <c r="I40" s="134" t="s">
        <v>26891</v>
      </c>
    </row>
    <row r="41">
      <c r="A41" s="133" t="s">
        <v>26892</v>
      </c>
      <c r="B41" s="133" t="s">
        <v>26815</v>
      </c>
      <c r="C41" s="133" t="s">
        <v>547</v>
      </c>
      <c r="D41" s="133" t="s">
        <v>3584</v>
      </c>
      <c r="E41" s="133" t="s">
        <v>512</v>
      </c>
      <c r="F41" s="133" t="s">
        <v>3585</v>
      </c>
      <c r="G41" s="133" t="s">
        <v>3586</v>
      </c>
      <c r="H41" s="133" t="s">
        <v>26677</v>
      </c>
      <c r="I41" s="134" t="s">
        <v>26893</v>
      </c>
    </row>
    <row r="42">
      <c r="A42" s="133" t="s">
        <v>26894</v>
      </c>
      <c r="B42" s="133" t="s">
        <v>26809</v>
      </c>
      <c r="C42" s="133" t="s">
        <v>357</v>
      </c>
      <c r="D42" s="133" t="s">
        <v>17605</v>
      </c>
      <c r="E42" s="133" t="s">
        <v>512</v>
      </c>
      <c r="F42" s="133" t="s">
        <v>3129</v>
      </c>
      <c r="G42" s="133" t="s">
        <v>3130</v>
      </c>
      <c r="H42" s="133" t="s">
        <v>26677</v>
      </c>
      <c r="I42" s="134" t="s">
        <v>26895</v>
      </c>
    </row>
    <row r="43">
      <c r="A43" s="133" t="s">
        <v>26896</v>
      </c>
      <c r="B43" s="133" t="s">
        <v>26815</v>
      </c>
      <c r="C43" s="133" t="s">
        <v>234</v>
      </c>
      <c r="D43" s="133" t="s">
        <v>3128</v>
      </c>
      <c r="E43" s="133" t="s">
        <v>512</v>
      </c>
      <c r="F43" s="133" t="s">
        <v>3129</v>
      </c>
      <c r="G43" s="133" t="s">
        <v>3130</v>
      </c>
      <c r="H43" s="133" t="s">
        <v>26677</v>
      </c>
      <c r="I43" s="134" t="s">
        <v>26897</v>
      </c>
    </row>
    <row r="44">
      <c r="A44" s="133" t="s">
        <v>26898</v>
      </c>
      <c r="B44" s="133" t="s">
        <v>26809</v>
      </c>
      <c r="C44" s="133" t="s">
        <v>357</v>
      </c>
      <c r="D44" s="133" t="s">
        <v>4344</v>
      </c>
      <c r="E44" s="133" t="s">
        <v>375</v>
      </c>
      <c r="F44" s="133" t="s">
        <v>23288</v>
      </c>
      <c r="G44" s="133" t="s">
        <v>23289</v>
      </c>
      <c r="H44" s="133" t="s">
        <v>26677</v>
      </c>
      <c r="I44" s="134" t="s">
        <v>26899</v>
      </c>
    </row>
    <row r="45">
      <c r="I45" s="135"/>
    </row>
    <row r="46">
      <c r="I46" s="135"/>
    </row>
    <row r="47">
      <c r="I47" s="135"/>
    </row>
    <row r="48">
      <c r="I48" s="135"/>
    </row>
    <row r="49">
      <c r="I49" s="135"/>
    </row>
    <row r="50">
      <c r="I50" s="135"/>
    </row>
    <row r="51">
      <c r="I51" s="135"/>
    </row>
    <row r="52">
      <c r="I52" s="135"/>
    </row>
    <row r="53">
      <c r="I53" s="135"/>
    </row>
    <row r="54">
      <c r="I54" s="135"/>
    </row>
    <row r="55">
      <c r="I55" s="135"/>
    </row>
    <row r="56">
      <c r="I56" s="135"/>
    </row>
    <row r="57">
      <c r="I57" s="135"/>
    </row>
    <row r="58">
      <c r="I58" s="135"/>
    </row>
    <row r="59">
      <c r="I59" s="135"/>
    </row>
    <row r="60">
      <c r="I60" s="135"/>
    </row>
    <row r="61">
      <c r="I61" s="135"/>
    </row>
    <row r="62">
      <c r="I62" s="135"/>
    </row>
    <row r="63">
      <c r="I63" s="135"/>
    </row>
    <row r="64">
      <c r="I64" s="135"/>
    </row>
    <row r="65">
      <c r="I65" s="135"/>
    </row>
    <row r="66">
      <c r="I66" s="135"/>
    </row>
    <row r="67">
      <c r="I67" s="135"/>
    </row>
    <row r="68">
      <c r="I68" s="135"/>
    </row>
    <row r="69">
      <c r="I69" s="135"/>
    </row>
    <row r="70">
      <c r="I70" s="135"/>
    </row>
    <row r="71">
      <c r="I71" s="135"/>
    </row>
    <row r="72">
      <c r="I72" s="135"/>
    </row>
    <row r="73">
      <c r="I73" s="135"/>
    </row>
    <row r="74">
      <c r="I74" s="135"/>
    </row>
    <row r="75">
      <c r="I75" s="135"/>
    </row>
    <row r="76">
      <c r="I76" s="135"/>
    </row>
    <row r="77">
      <c r="I77" s="135"/>
    </row>
    <row r="78">
      <c r="I78" s="135"/>
    </row>
    <row r="79">
      <c r="I79" s="135"/>
    </row>
    <row r="80">
      <c r="I80" s="135"/>
    </row>
    <row r="81">
      <c r="I81" s="135"/>
    </row>
    <row r="82">
      <c r="I82" s="135"/>
    </row>
    <row r="83">
      <c r="I83" s="135"/>
    </row>
    <row r="84">
      <c r="I84" s="135"/>
    </row>
    <row r="85">
      <c r="I85" s="135"/>
    </row>
    <row r="86">
      <c r="I86" s="135"/>
    </row>
    <row r="87">
      <c r="I87" s="135"/>
    </row>
    <row r="88">
      <c r="I88" s="135"/>
    </row>
    <row r="89">
      <c r="I89" s="135"/>
    </row>
    <row r="90">
      <c r="I90" s="135"/>
    </row>
    <row r="91">
      <c r="I91" s="135"/>
    </row>
    <row r="92">
      <c r="I92" s="135"/>
    </row>
    <row r="93">
      <c r="I93" s="135"/>
    </row>
    <row r="94">
      <c r="I94" s="135"/>
    </row>
    <row r="95">
      <c r="I95" s="135"/>
    </row>
    <row r="96">
      <c r="I96" s="135"/>
    </row>
    <row r="97">
      <c r="I97" s="135"/>
    </row>
    <row r="98">
      <c r="I98" s="135"/>
    </row>
    <row r="99">
      <c r="I99" s="135"/>
    </row>
    <row r="100">
      <c r="I100" s="135"/>
    </row>
    <row r="101">
      <c r="I101" s="135"/>
    </row>
    <row r="102">
      <c r="I102" s="135"/>
    </row>
    <row r="103">
      <c r="I103" s="135"/>
    </row>
    <row r="104">
      <c r="I104" s="135"/>
    </row>
    <row r="105">
      <c r="I105" s="135"/>
    </row>
    <row r="106">
      <c r="I106" s="135"/>
    </row>
    <row r="107">
      <c r="I107" s="135"/>
    </row>
    <row r="108">
      <c r="I108" s="135"/>
    </row>
    <row r="109">
      <c r="I109" s="135"/>
    </row>
    <row r="110">
      <c r="I110" s="135"/>
    </row>
    <row r="111">
      <c r="I111" s="135"/>
    </row>
    <row r="112">
      <c r="I112" s="135"/>
    </row>
    <row r="113">
      <c r="I113" s="135"/>
    </row>
    <row r="114">
      <c r="I114" s="135"/>
    </row>
    <row r="115">
      <c r="I115" s="135"/>
    </row>
    <row r="116">
      <c r="I116" s="135"/>
    </row>
    <row r="117">
      <c r="I117" s="135"/>
    </row>
    <row r="118">
      <c r="I118" s="135"/>
    </row>
    <row r="119">
      <c r="I119" s="135"/>
    </row>
    <row r="120">
      <c r="I120" s="135"/>
    </row>
    <row r="121">
      <c r="I121" s="135"/>
    </row>
    <row r="122">
      <c r="I122" s="135"/>
    </row>
    <row r="123">
      <c r="I123" s="135"/>
    </row>
    <row r="124">
      <c r="I124" s="135"/>
    </row>
    <row r="125">
      <c r="I125" s="135"/>
    </row>
    <row r="126">
      <c r="I126" s="135"/>
    </row>
    <row r="127">
      <c r="I127" s="135"/>
    </row>
    <row r="128">
      <c r="I128" s="135"/>
    </row>
    <row r="129">
      <c r="I129" s="135"/>
    </row>
    <row r="130">
      <c r="I130" s="135"/>
    </row>
    <row r="131">
      <c r="I131" s="135"/>
    </row>
    <row r="132">
      <c r="I132" s="135"/>
    </row>
    <row r="133">
      <c r="I133" s="135"/>
    </row>
    <row r="134">
      <c r="I134" s="135"/>
    </row>
    <row r="135">
      <c r="I135" s="135"/>
    </row>
    <row r="136">
      <c r="I136" s="135"/>
    </row>
    <row r="137">
      <c r="I137" s="135"/>
    </row>
    <row r="138">
      <c r="I138" s="135"/>
    </row>
    <row r="139">
      <c r="I139" s="135"/>
    </row>
    <row r="140">
      <c r="I140" s="135"/>
    </row>
    <row r="141">
      <c r="I141" s="135"/>
    </row>
    <row r="142">
      <c r="I142" s="135"/>
    </row>
    <row r="143">
      <c r="I143" s="135"/>
    </row>
    <row r="144">
      <c r="I144" s="135"/>
    </row>
    <row r="145">
      <c r="I145" s="135"/>
    </row>
    <row r="146">
      <c r="I146" s="135"/>
    </row>
    <row r="147">
      <c r="I147" s="135"/>
    </row>
    <row r="148">
      <c r="I148" s="135"/>
    </row>
    <row r="149">
      <c r="I149" s="135"/>
    </row>
    <row r="150">
      <c r="I150" s="135"/>
    </row>
    <row r="151">
      <c r="I151" s="135"/>
    </row>
    <row r="152">
      <c r="I152" s="135"/>
    </row>
    <row r="153">
      <c r="I153" s="135"/>
    </row>
    <row r="154">
      <c r="I154" s="135"/>
    </row>
    <row r="155">
      <c r="I155" s="135"/>
    </row>
    <row r="156">
      <c r="I156" s="135"/>
    </row>
    <row r="157">
      <c r="I157" s="135"/>
    </row>
    <row r="158">
      <c r="I158" s="135"/>
    </row>
    <row r="159">
      <c r="I159" s="135"/>
    </row>
    <row r="160">
      <c r="I160" s="135"/>
    </row>
    <row r="161">
      <c r="I161" s="135"/>
    </row>
    <row r="162">
      <c r="I162" s="135"/>
    </row>
    <row r="163">
      <c r="I163" s="135"/>
    </row>
    <row r="164">
      <c r="I164" s="135"/>
    </row>
    <row r="165">
      <c r="I165" s="135"/>
    </row>
    <row r="166">
      <c r="I166" s="135"/>
    </row>
    <row r="167">
      <c r="I167" s="135"/>
    </row>
    <row r="168">
      <c r="I168" s="135"/>
    </row>
    <row r="169">
      <c r="I169" s="135"/>
    </row>
    <row r="170">
      <c r="I170" s="135"/>
    </row>
    <row r="171">
      <c r="I171" s="135"/>
    </row>
    <row r="172">
      <c r="I172" s="135"/>
    </row>
    <row r="173">
      <c r="I173" s="135"/>
    </row>
    <row r="174">
      <c r="I174" s="135"/>
    </row>
    <row r="175">
      <c r="I175" s="135"/>
    </row>
    <row r="176">
      <c r="I176" s="135"/>
    </row>
    <row r="177">
      <c r="I177" s="135"/>
    </row>
    <row r="178">
      <c r="I178" s="135"/>
    </row>
    <row r="179">
      <c r="I179" s="135"/>
    </row>
    <row r="180">
      <c r="I180" s="135"/>
    </row>
    <row r="181">
      <c r="I181" s="135"/>
    </row>
    <row r="182">
      <c r="I182" s="135"/>
    </row>
    <row r="183">
      <c r="I183" s="135"/>
    </row>
    <row r="184">
      <c r="I184" s="135"/>
    </row>
    <row r="185">
      <c r="I185" s="135"/>
    </row>
    <row r="186">
      <c r="I186" s="135"/>
    </row>
    <row r="187">
      <c r="I187" s="135"/>
    </row>
    <row r="188">
      <c r="I188" s="135"/>
    </row>
    <row r="189">
      <c r="I189" s="135"/>
    </row>
    <row r="190">
      <c r="I190" s="135"/>
    </row>
    <row r="191">
      <c r="I191" s="135"/>
    </row>
    <row r="192">
      <c r="I192" s="135"/>
    </row>
    <row r="193">
      <c r="I193" s="135"/>
    </row>
    <row r="194">
      <c r="I194" s="135"/>
    </row>
    <row r="195">
      <c r="I195" s="135"/>
    </row>
    <row r="196">
      <c r="I196" s="135"/>
    </row>
    <row r="197">
      <c r="I197" s="135"/>
    </row>
    <row r="198">
      <c r="I198" s="135"/>
    </row>
    <row r="199">
      <c r="I199" s="135"/>
    </row>
    <row r="200">
      <c r="I200" s="135"/>
    </row>
    <row r="201">
      <c r="I201" s="135"/>
    </row>
    <row r="202">
      <c r="I202" s="135"/>
    </row>
    <row r="203">
      <c r="I203" s="135"/>
    </row>
    <row r="204">
      <c r="I204" s="135"/>
    </row>
    <row r="205">
      <c r="I205" s="135"/>
    </row>
    <row r="206">
      <c r="I206" s="135"/>
    </row>
    <row r="207">
      <c r="I207" s="135"/>
    </row>
    <row r="208">
      <c r="I208" s="135"/>
    </row>
    <row r="209">
      <c r="I209" s="135"/>
    </row>
    <row r="210">
      <c r="I210" s="135"/>
    </row>
    <row r="211">
      <c r="I211" s="135"/>
    </row>
    <row r="212">
      <c r="I212" s="135"/>
    </row>
    <row r="213">
      <c r="I213" s="135"/>
    </row>
    <row r="214">
      <c r="I214" s="135"/>
    </row>
    <row r="215">
      <c r="I215" s="135"/>
    </row>
    <row r="216">
      <c r="I216" s="135"/>
    </row>
    <row r="217">
      <c r="I217" s="135"/>
    </row>
    <row r="218">
      <c r="I218" s="135"/>
    </row>
    <row r="219">
      <c r="I219" s="135"/>
    </row>
    <row r="220">
      <c r="I220" s="135"/>
    </row>
    <row r="221">
      <c r="I221" s="135"/>
    </row>
    <row r="222">
      <c r="I222" s="135"/>
    </row>
    <row r="223">
      <c r="I223" s="135"/>
    </row>
    <row r="224">
      <c r="I224" s="135"/>
    </row>
    <row r="225">
      <c r="I225" s="135"/>
    </row>
    <row r="226">
      <c r="I226" s="135"/>
    </row>
    <row r="227">
      <c r="I227" s="135"/>
    </row>
    <row r="228">
      <c r="I228" s="135"/>
    </row>
    <row r="229">
      <c r="I229" s="135"/>
    </row>
    <row r="230">
      <c r="I230" s="135"/>
    </row>
    <row r="231">
      <c r="I231" s="135"/>
    </row>
    <row r="232">
      <c r="I232" s="135"/>
    </row>
    <row r="233">
      <c r="I233" s="135"/>
    </row>
    <row r="234">
      <c r="I234" s="135"/>
    </row>
    <row r="235">
      <c r="I235" s="135"/>
    </row>
    <row r="236">
      <c r="I236" s="135"/>
    </row>
    <row r="237">
      <c r="I237" s="135"/>
    </row>
    <row r="238">
      <c r="I238" s="135"/>
    </row>
    <row r="239">
      <c r="I239" s="135"/>
    </row>
    <row r="240">
      <c r="I240" s="135"/>
    </row>
    <row r="241">
      <c r="I241" s="135"/>
    </row>
    <row r="242">
      <c r="I242" s="135"/>
    </row>
    <row r="243">
      <c r="I243" s="135"/>
    </row>
    <row r="244">
      <c r="I244" s="135"/>
    </row>
    <row r="245">
      <c r="I245" s="135"/>
    </row>
    <row r="246">
      <c r="I246" s="135"/>
    </row>
    <row r="247">
      <c r="I247" s="135"/>
    </row>
    <row r="248">
      <c r="I248" s="135"/>
    </row>
    <row r="249">
      <c r="I249" s="135"/>
    </row>
    <row r="250">
      <c r="I250" s="135"/>
    </row>
    <row r="251">
      <c r="I251" s="135"/>
    </row>
    <row r="252">
      <c r="I252" s="135"/>
    </row>
    <row r="253">
      <c r="I253" s="135"/>
    </row>
    <row r="254">
      <c r="I254" s="135"/>
    </row>
    <row r="255">
      <c r="I255" s="135"/>
    </row>
    <row r="256">
      <c r="I256" s="135"/>
    </row>
    <row r="257">
      <c r="I257" s="135"/>
    </row>
    <row r="258">
      <c r="I258" s="135"/>
    </row>
    <row r="259">
      <c r="I259" s="135"/>
    </row>
    <row r="260">
      <c r="I260" s="135"/>
    </row>
    <row r="261">
      <c r="I261" s="135"/>
    </row>
    <row r="262">
      <c r="I262" s="135"/>
    </row>
    <row r="263">
      <c r="I263" s="135"/>
    </row>
    <row r="264">
      <c r="I264" s="135"/>
    </row>
    <row r="265">
      <c r="I265" s="135"/>
    </row>
    <row r="266">
      <c r="I266" s="135"/>
    </row>
    <row r="267">
      <c r="I267" s="135"/>
    </row>
    <row r="268">
      <c r="I268" s="135"/>
    </row>
    <row r="269">
      <c r="I269" s="135"/>
    </row>
    <row r="270">
      <c r="I270" s="135"/>
    </row>
    <row r="271">
      <c r="I271" s="135"/>
    </row>
    <row r="272">
      <c r="I272" s="135"/>
    </row>
    <row r="273">
      <c r="I273" s="135"/>
    </row>
    <row r="274">
      <c r="I274" s="135"/>
    </row>
    <row r="275">
      <c r="I275" s="135"/>
    </row>
    <row r="276">
      <c r="I276" s="135"/>
    </row>
    <row r="277">
      <c r="I277" s="135"/>
    </row>
    <row r="278">
      <c r="I278" s="135"/>
    </row>
    <row r="279">
      <c r="I279" s="135"/>
    </row>
    <row r="280">
      <c r="I280" s="135"/>
    </row>
    <row r="281">
      <c r="I281" s="135"/>
    </row>
    <row r="282">
      <c r="I282" s="135"/>
    </row>
    <row r="283">
      <c r="I283" s="135"/>
    </row>
    <row r="284">
      <c r="I284" s="135"/>
    </row>
    <row r="285">
      <c r="I285" s="135"/>
    </row>
    <row r="286">
      <c r="I286" s="135"/>
    </row>
    <row r="287">
      <c r="I287" s="135"/>
    </row>
    <row r="288">
      <c r="I288" s="135"/>
    </row>
    <row r="289">
      <c r="I289" s="135"/>
    </row>
    <row r="290">
      <c r="I290" s="135"/>
    </row>
    <row r="291">
      <c r="I291" s="135"/>
    </row>
    <row r="292">
      <c r="I292" s="135"/>
    </row>
    <row r="293">
      <c r="I293" s="135"/>
    </row>
    <row r="294">
      <c r="I294" s="135"/>
    </row>
    <row r="295">
      <c r="I295" s="135"/>
    </row>
    <row r="296">
      <c r="I296" s="135"/>
    </row>
    <row r="297">
      <c r="I297" s="135"/>
    </row>
    <row r="298">
      <c r="I298" s="135"/>
    </row>
    <row r="299">
      <c r="I299" s="135"/>
    </row>
    <row r="300">
      <c r="I300" s="135"/>
    </row>
    <row r="301">
      <c r="I301" s="135"/>
    </row>
    <row r="302">
      <c r="I302" s="135"/>
    </row>
    <row r="303">
      <c r="I303" s="135"/>
    </row>
    <row r="304">
      <c r="I304" s="135"/>
    </row>
    <row r="305">
      <c r="I305" s="135"/>
    </row>
    <row r="306">
      <c r="I306" s="135"/>
    </row>
    <row r="307">
      <c r="I307" s="135"/>
    </row>
    <row r="308">
      <c r="I308" s="135"/>
    </row>
    <row r="309">
      <c r="I309" s="135"/>
    </row>
    <row r="310">
      <c r="I310" s="135"/>
    </row>
    <row r="311">
      <c r="I311" s="135"/>
    </row>
    <row r="312">
      <c r="I312" s="135"/>
    </row>
    <row r="313">
      <c r="I313" s="135"/>
    </row>
    <row r="314">
      <c r="I314" s="135"/>
    </row>
    <row r="315">
      <c r="I315" s="135"/>
    </row>
    <row r="316">
      <c r="I316" s="135"/>
    </row>
    <row r="317">
      <c r="I317" s="135"/>
    </row>
    <row r="318">
      <c r="I318" s="135"/>
    </row>
    <row r="319">
      <c r="I319" s="135"/>
    </row>
    <row r="320">
      <c r="I320" s="135"/>
    </row>
    <row r="321">
      <c r="I321" s="135"/>
    </row>
    <row r="322">
      <c r="I322" s="135"/>
    </row>
    <row r="323">
      <c r="I323" s="135"/>
    </row>
    <row r="324">
      <c r="I324" s="135"/>
    </row>
    <row r="325">
      <c r="I325" s="135"/>
    </row>
    <row r="326">
      <c r="I326" s="135"/>
    </row>
    <row r="327">
      <c r="I327" s="135"/>
    </row>
    <row r="328">
      <c r="I328" s="135"/>
    </row>
    <row r="329">
      <c r="I329" s="135"/>
    </row>
    <row r="330">
      <c r="I330" s="135"/>
    </row>
    <row r="331">
      <c r="I331" s="135"/>
    </row>
    <row r="332">
      <c r="I332" s="135"/>
    </row>
    <row r="333">
      <c r="I333" s="135"/>
    </row>
    <row r="334">
      <c r="I334" s="135"/>
    </row>
    <row r="335">
      <c r="I335" s="135"/>
    </row>
    <row r="336">
      <c r="I336" s="135"/>
    </row>
    <row r="337">
      <c r="I337" s="135"/>
    </row>
    <row r="338">
      <c r="I338" s="135"/>
    </row>
    <row r="339">
      <c r="I339" s="135"/>
    </row>
    <row r="340">
      <c r="I340" s="135"/>
    </row>
    <row r="341">
      <c r="I341" s="135"/>
    </row>
    <row r="342">
      <c r="I342" s="135"/>
    </row>
    <row r="343">
      <c r="I343" s="135"/>
    </row>
    <row r="344">
      <c r="I344" s="135"/>
    </row>
    <row r="345">
      <c r="I345" s="135"/>
    </row>
    <row r="346">
      <c r="I346" s="135"/>
    </row>
    <row r="347">
      <c r="I347" s="135"/>
    </row>
    <row r="348">
      <c r="I348" s="135"/>
    </row>
    <row r="349">
      <c r="I349" s="135"/>
    </row>
    <row r="350">
      <c r="I350" s="135"/>
    </row>
    <row r="351">
      <c r="I351" s="135"/>
    </row>
    <row r="352">
      <c r="I352" s="135"/>
    </row>
    <row r="353">
      <c r="I353" s="135"/>
    </row>
    <row r="354">
      <c r="I354" s="135"/>
    </row>
    <row r="355">
      <c r="I355" s="135"/>
    </row>
    <row r="356">
      <c r="I356" s="135"/>
    </row>
    <row r="357">
      <c r="I357" s="135"/>
    </row>
    <row r="358">
      <c r="I358" s="135"/>
    </row>
    <row r="359">
      <c r="I359" s="135"/>
    </row>
    <row r="360">
      <c r="I360" s="135"/>
    </row>
    <row r="361">
      <c r="I361" s="135"/>
    </row>
    <row r="362">
      <c r="I362" s="135"/>
    </row>
    <row r="363">
      <c r="I363" s="135"/>
    </row>
    <row r="364">
      <c r="I364" s="135"/>
    </row>
    <row r="365">
      <c r="I365" s="135"/>
    </row>
    <row r="366">
      <c r="I366" s="135"/>
    </row>
    <row r="367">
      <c r="I367" s="135"/>
    </row>
    <row r="368">
      <c r="I368" s="135"/>
    </row>
    <row r="369">
      <c r="I369" s="135"/>
    </row>
    <row r="370">
      <c r="I370" s="135"/>
    </row>
    <row r="371">
      <c r="I371" s="135"/>
    </row>
    <row r="372">
      <c r="I372" s="135"/>
    </row>
    <row r="373">
      <c r="I373" s="135"/>
    </row>
    <row r="374">
      <c r="I374" s="135"/>
    </row>
    <row r="375">
      <c r="I375" s="135"/>
    </row>
    <row r="376">
      <c r="I376" s="135"/>
    </row>
    <row r="377">
      <c r="I377" s="135"/>
    </row>
    <row r="378">
      <c r="I378" s="135"/>
    </row>
    <row r="379">
      <c r="I379" s="135"/>
    </row>
    <row r="380">
      <c r="I380" s="135"/>
    </row>
    <row r="381">
      <c r="I381" s="135"/>
    </row>
    <row r="382">
      <c r="I382" s="135"/>
    </row>
    <row r="383">
      <c r="I383" s="135"/>
    </row>
    <row r="384">
      <c r="I384" s="135"/>
    </row>
    <row r="385">
      <c r="I385" s="135"/>
    </row>
    <row r="386">
      <c r="I386" s="135"/>
    </row>
    <row r="387">
      <c r="I387" s="135"/>
    </row>
    <row r="388">
      <c r="I388" s="135"/>
    </row>
    <row r="389">
      <c r="I389" s="135"/>
    </row>
    <row r="390">
      <c r="I390" s="135"/>
    </row>
    <row r="391">
      <c r="I391" s="135"/>
    </row>
    <row r="392">
      <c r="I392" s="135"/>
    </row>
    <row r="393">
      <c r="I393" s="135"/>
    </row>
    <row r="394">
      <c r="I394" s="135"/>
    </row>
    <row r="395">
      <c r="I395" s="135"/>
    </row>
    <row r="396">
      <c r="I396" s="135"/>
    </row>
    <row r="397">
      <c r="I397" s="135"/>
    </row>
    <row r="398">
      <c r="I398" s="135"/>
    </row>
    <row r="399">
      <c r="I399" s="135"/>
    </row>
    <row r="400">
      <c r="I400" s="135"/>
    </row>
    <row r="401">
      <c r="I401" s="135"/>
    </row>
    <row r="402">
      <c r="I402" s="135"/>
    </row>
    <row r="403">
      <c r="I403" s="135"/>
    </row>
    <row r="404">
      <c r="I404" s="135"/>
    </row>
    <row r="405">
      <c r="I405" s="135"/>
    </row>
    <row r="406">
      <c r="I406" s="135"/>
    </row>
    <row r="407">
      <c r="I407" s="135"/>
    </row>
    <row r="408">
      <c r="I408" s="135"/>
    </row>
    <row r="409">
      <c r="I409" s="135"/>
    </row>
    <row r="410">
      <c r="I410" s="135"/>
    </row>
    <row r="411">
      <c r="I411" s="135"/>
    </row>
    <row r="412">
      <c r="I412" s="135"/>
    </row>
    <row r="413">
      <c r="I413" s="135"/>
    </row>
    <row r="414">
      <c r="I414" s="135"/>
    </row>
    <row r="415">
      <c r="I415" s="135"/>
    </row>
    <row r="416">
      <c r="I416" s="135"/>
    </row>
    <row r="417">
      <c r="I417" s="135"/>
    </row>
    <row r="418">
      <c r="I418" s="135"/>
    </row>
    <row r="419">
      <c r="I419" s="135"/>
    </row>
    <row r="420">
      <c r="I420" s="135"/>
    </row>
    <row r="421">
      <c r="I421" s="135"/>
    </row>
    <row r="422">
      <c r="I422" s="135"/>
    </row>
    <row r="423">
      <c r="I423" s="135"/>
    </row>
    <row r="424">
      <c r="I424" s="135"/>
    </row>
    <row r="425">
      <c r="I425" s="135"/>
    </row>
    <row r="426">
      <c r="I426" s="135"/>
    </row>
    <row r="427">
      <c r="I427" s="135"/>
    </row>
    <row r="428">
      <c r="I428" s="135"/>
    </row>
    <row r="429">
      <c r="I429" s="135"/>
    </row>
    <row r="430">
      <c r="I430" s="135"/>
    </row>
    <row r="431">
      <c r="I431" s="135"/>
    </row>
    <row r="432">
      <c r="I432" s="135"/>
    </row>
    <row r="433">
      <c r="I433" s="135"/>
    </row>
    <row r="434">
      <c r="I434" s="135"/>
    </row>
    <row r="435">
      <c r="I435" s="135"/>
    </row>
    <row r="436">
      <c r="I436" s="135"/>
    </row>
    <row r="437">
      <c r="I437" s="135"/>
    </row>
    <row r="438">
      <c r="I438" s="135"/>
    </row>
    <row r="439">
      <c r="I439" s="135"/>
    </row>
    <row r="440">
      <c r="I440" s="135"/>
    </row>
    <row r="441">
      <c r="I441" s="135"/>
    </row>
    <row r="442">
      <c r="I442" s="135"/>
    </row>
    <row r="443">
      <c r="I443" s="135"/>
    </row>
    <row r="444">
      <c r="I444" s="135"/>
    </row>
    <row r="445">
      <c r="I445" s="135"/>
    </row>
    <row r="446">
      <c r="I446" s="135"/>
    </row>
    <row r="447">
      <c r="I447" s="135"/>
    </row>
    <row r="448">
      <c r="I448" s="135"/>
    </row>
    <row r="449">
      <c r="I449" s="135"/>
    </row>
    <row r="450">
      <c r="I450" s="135"/>
    </row>
    <row r="451">
      <c r="I451" s="135"/>
    </row>
    <row r="452">
      <c r="I452" s="135"/>
    </row>
    <row r="453">
      <c r="I453" s="135"/>
    </row>
    <row r="454">
      <c r="I454" s="135"/>
    </row>
    <row r="455">
      <c r="I455" s="135"/>
    </row>
    <row r="456">
      <c r="I456" s="135"/>
    </row>
    <row r="457">
      <c r="I457" s="135"/>
    </row>
    <row r="458">
      <c r="I458" s="135"/>
    </row>
    <row r="459">
      <c r="I459" s="135"/>
    </row>
    <row r="460">
      <c r="I460" s="135"/>
    </row>
    <row r="461">
      <c r="I461" s="135"/>
    </row>
    <row r="462">
      <c r="I462" s="135"/>
    </row>
    <row r="463">
      <c r="I463" s="135"/>
    </row>
    <row r="464">
      <c r="I464" s="135"/>
    </row>
    <row r="465">
      <c r="I465" s="135"/>
    </row>
    <row r="466">
      <c r="I466" s="135"/>
    </row>
    <row r="467">
      <c r="I467" s="135"/>
    </row>
    <row r="468">
      <c r="I468" s="135"/>
    </row>
    <row r="469">
      <c r="I469" s="135"/>
    </row>
    <row r="470">
      <c r="I470" s="135"/>
    </row>
    <row r="471">
      <c r="I471" s="135"/>
    </row>
    <row r="472">
      <c r="I472" s="135"/>
    </row>
    <row r="473">
      <c r="I473" s="135"/>
    </row>
    <row r="474">
      <c r="I474" s="135"/>
    </row>
    <row r="475">
      <c r="I475" s="135"/>
    </row>
    <row r="476">
      <c r="I476" s="135"/>
    </row>
    <row r="477">
      <c r="I477" s="135"/>
    </row>
    <row r="478">
      <c r="I478" s="135"/>
    </row>
    <row r="479">
      <c r="I479" s="135"/>
    </row>
    <row r="480">
      <c r="I480" s="135"/>
    </row>
    <row r="481">
      <c r="I481" s="135"/>
    </row>
    <row r="482">
      <c r="I482" s="135"/>
    </row>
    <row r="483">
      <c r="I483" s="135"/>
    </row>
    <row r="484">
      <c r="I484" s="135"/>
    </row>
    <row r="485">
      <c r="I485" s="135"/>
    </row>
    <row r="486">
      <c r="I486" s="135"/>
    </row>
    <row r="487">
      <c r="I487" s="135"/>
    </row>
    <row r="488">
      <c r="I488" s="135"/>
    </row>
    <row r="489">
      <c r="I489" s="135"/>
    </row>
    <row r="490">
      <c r="I490" s="135"/>
    </row>
    <row r="491">
      <c r="I491" s="135"/>
    </row>
    <row r="492">
      <c r="I492" s="135"/>
    </row>
    <row r="493">
      <c r="I493" s="135"/>
    </row>
    <row r="494">
      <c r="I494" s="135"/>
    </row>
    <row r="495">
      <c r="I495" s="135"/>
    </row>
    <row r="496">
      <c r="I496" s="135"/>
    </row>
    <row r="497">
      <c r="I497" s="135"/>
    </row>
    <row r="498">
      <c r="I498" s="135"/>
    </row>
    <row r="499">
      <c r="I499" s="135"/>
    </row>
    <row r="500">
      <c r="I500" s="135"/>
    </row>
    <row r="501">
      <c r="I501" s="135"/>
    </row>
    <row r="502">
      <c r="I502" s="135"/>
    </row>
    <row r="503">
      <c r="I503" s="135"/>
    </row>
    <row r="504">
      <c r="I504" s="135"/>
    </row>
    <row r="505">
      <c r="I505" s="135"/>
    </row>
    <row r="506">
      <c r="I506" s="135"/>
    </row>
    <row r="507">
      <c r="I507" s="135"/>
    </row>
    <row r="508">
      <c r="I508" s="135"/>
    </row>
    <row r="509">
      <c r="I509" s="135"/>
    </row>
    <row r="510">
      <c r="I510" s="135"/>
    </row>
    <row r="511">
      <c r="I511" s="135"/>
    </row>
    <row r="512">
      <c r="I512" s="135"/>
    </row>
    <row r="513">
      <c r="I513" s="135"/>
    </row>
    <row r="514">
      <c r="I514" s="135"/>
    </row>
    <row r="515">
      <c r="I515" s="135"/>
    </row>
    <row r="516">
      <c r="I516" s="135"/>
    </row>
    <row r="517">
      <c r="I517" s="135"/>
    </row>
    <row r="518">
      <c r="I518" s="135"/>
    </row>
    <row r="519">
      <c r="I519" s="135"/>
    </row>
    <row r="520">
      <c r="I520" s="135"/>
    </row>
    <row r="521">
      <c r="I521" s="135"/>
    </row>
    <row r="522">
      <c r="I522" s="135"/>
    </row>
    <row r="523">
      <c r="I523" s="135"/>
    </row>
    <row r="524">
      <c r="I524" s="135"/>
    </row>
    <row r="525">
      <c r="I525" s="135"/>
    </row>
    <row r="526">
      <c r="I526" s="135"/>
    </row>
    <row r="527">
      <c r="I527" s="135"/>
    </row>
    <row r="528">
      <c r="I528" s="135"/>
    </row>
    <row r="529">
      <c r="I529" s="135"/>
    </row>
    <row r="530">
      <c r="I530" s="135"/>
    </row>
    <row r="531">
      <c r="I531" s="135"/>
    </row>
    <row r="532">
      <c r="I532" s="135"/>
    </row>
    <row r="533">
      <c r="I533" s="135"/>
    </row>
    <row r="534">
      <c r="I534" s="135"/>
    </row>
    <row r="535">
      <c r="I535" s="135"/>
    </row>
    <row r="536">
      <c r="I536" s="135"/>
    </row>
    <row r="537">
      <c r="I537" s="135"/>
    </row>
    <row r="538">
      <c r="I538" s="135"/>
    </row>
    <row r="539">
      <c r="I539" s="135"/>
    </row>
    <row r="540">
      <c r="I540" s="135"/>
    </row>
    <row r="541">
      <c r="I541" s="135"/>
    </row>
    <row r="542">
      <c r="I542" s="135"/>
    </row>
    <row r="543">
      <c r="I543" s="135"/>
    </row>
    <row r="544">
      <c r="I544" s="135"/>
    </row>
    <row r="545">
      <c r="I545" s="135"/>
    </row>
    <row r="546">
      <c r="I546" s="135"/>
    </row>
    <row r="547">
      <c r="I547" s="135"/>
    </row>
    <row r="548">
      <c r="I548" s="135"/>
    </row>
    <row r="549">
      <c r="I549" s="135"/>
    </row>
    <row r="550">
      <c r="I550" s="135"/>
    </row>
    <row r="551">
      <c r="I551" s="135"/>
    </row>
    <row r="552">
      <c r="I552" s="135"/>
    </row>
    <row r="553">
      <c r="I553" s="135"/>
    </row>
    <row r="554">
      <c r="I554" s="135"/>
    </row>
    <row r="555">
      <c r="I555" s="135"/>
    </row>
    <row r="556">
      <c r="I556" s="135"/>
    </row>
    <row r="557">
      <c r="I557" s="135"/>
    </row>
    <row r="558">
      <c r="I558" s="135"/>
    </row>
    <row r="559">
      <c r="I559" s="135"/>
    </row>
    <row r="560">
      <c r="I560" s="135"/>
    </row>
    <row r="561">
      <c r="I561" s="135"/>
    </row>
    <row r="562">
      <c r="I562" s="135"/>
    </row>
    <row r="563">
      <c r="I563" s="135"/>
    </row>
    <row r="564">
      <c r="I564" s="135"/>
    </row>
    <row r="565">
      <c r="I565" s="135"/>
    </row>
    <row r="566">
      <c r="I566" s="135"/>
    </row>
    <row r="567">
      <c r="I567" s="135"/>
    </row>
    <row r="568">
      <c r="I568" s="135"/>
    </row>
    <row r="569">
      <c r="I569" s="135"/>
    </row>
    <row r="570">
      <c r="I570" s="135"/>
    </row>
    <row r="571">
      <c r="I571" s="135"/>
    </row>
    <row r="572">
      <c r="I572" s="135"/>
    </row>
    <row r="573">
      <c r="I573" s="135"/>
    </row>
    <row r="574">
      <c r="I574" s="135"/>
    </row>
    <row r="575">
      <c r="I575" s="135"/>
    </row>
    <row r="576">
      <c r="I576" s="135"/>
    </row>
    <row r="577">
      <c r="I577" s="135"/>
    </row>
    <row r="578">
      <c r="I578" s="135"/>
    </row>
    <row r="579">
      <c r="I579" s="135"/>
    </row>
    <row r="580">
      <c r="I580" s="135"/>
    </row>
    <row r="581">
      <c r="I581" s="135"/>
    </row>
    <row r="582">
      <c r="I582" s="135"/>
    </row>
    <row r="583">
      <c r="I583" s="135"/>
    </row>
    <row r="584">
      <c r="I584" s="135"/>
    </row>
    <row r="585">
      <c r="I585" s="135"/>
    </row>
    <row r="586">
      <c r="I586" s="135"/>
    </row>
    <row r="587">
      <c r="I587" s="135"/>
    </row>
    <row r="588">
      <c r="I588" s="135"/>
    </row>
    <row r="589">
      <c r="I589" s="135"/>
    </row>
    <row r="590">
      <c r="I590" s="135"/>
    </row>
    <row r="591">
      <c r="I591" s="135"/>
    </row>
    <row r="592">
      <c r="I592" s="135"/>
    </row>
    <row r="593">
      <c r="I593" s="135"/>
    </row>
    <row r="594">
      <c r="I594" s="135"/>
    </row>
    <row r="595">
      <c r="I595" s="135"/>
    </row>
    <row r="596">
      <c r="I596" s="135"/>
    </row>
    <row r="597">
      <c r="I597" s="135"/>
    </row>
    <row r="598">
      <c r="I598" s="135"/>
    </row>
    <row r="599">
      <c r="I599" s="135"/>
    </row>
    <row r="600">
      <c r="I600" s="135"/>
    </row>
    <row r="601">
      <c r="I601" s="135"/>
    </row>
    <row r="602">
      <c r="I602" s="135"/>
    </row>
    <row r="603">
      <c r="I603" s="135"/>
    </row>
    <row r="604">
      <c r="I604" s="135"/>
    </row>
    <row r="605">
      <c r="I605" s="135"/>
    </row>
    <row r="606">
      <c r="I606" s="135"/>
    </row>
    <row r="607">
      <c r="I607" s="135"/>
    </row>
    <row r="608">
      <c r="I608" s="135"/>
    </row>
    <row r="609">
      <c r="I609" s="135"/>
    </row>
    <row r="610">
      <c r="I610" s="135"/>
    </row>
    <row r="611">
      <c r="I611" s="135"/>
    </row>
    <row r="612">
      <c r="I612" s="135"/>
    </row>
    <row r="613">
      <c r="I613" s="135"/>
    </row>
    <row r="614">
      <c r="I614" s="135"/>
    </row>
    <row r="615">
      <c r="I615" s="135"/>
    </row>
    <row r="616">
      <c r="I616" s="135"/>
    </row>
    <row r="617">
      <c r="I617" s="135"/>
    </row>
    <row r="618">
      <c r="I618" s="135"/>
    </row>
    <row r="619">
      <c r="I619" s="135"/>
    </row>
    <row r="620">
      <c r="I620" s="135"/>
    </row>
    <row r="621">
      <c r="I621" s="135"/>
    </row>
    <row r="622">
      <c r="I622" s="135"/>
    </row>
    <row r="623">
      <c r="I623" s="135"/>
    </row>
    <row r="624">
      <c r="I624" s="135"/>
    </row>
    <row r="625">
      <c r="I625" s="135"/>
    </row>
    <row r="626">
      <c r="I626" s="135"/>
    </row>
    <row r="627">
      <c r="I627" s="135"/>
    </row>
    <row r="628">
      <c r="I628" s="135"/>
    </row>
    <row r="629">
      <c r="I629" s="135"/>
    </row>
    <row r="630">
      <c r="I630" s="135"/>
    </row>
    <row r="631">
      <c r="I631" s="135"/>
    </row>
    <row r="632">
      <c r="I632" s="135"/>
    </row>
    <row r="633">
      <c r="I633" s="135"/>
    </row>
    <row r="634">
      <c r="I634" s="135"/>
    </row>
    <row r="635">
      <c r="I635" s="135"/>
    </row>
    <row r="636">
      <c r="I636" s="135"/>
    </row>
    <row r="637">
      <c r="I637" s="135"/>
    </row>
    <row r="638">
      <c r="I638" s="135"/>
    </row>
    <row r="639">
      <c r="I639" s="135"/>
    </row>
    <row r="640">
      <c r="I640" s="135"/>
    </row>
    <row r="641">
      <c r="I641" s="135"/>
    </row>
    <row r="642">
      <c r="I642" s="135"/>
    </row>
    <row r="643">
      <c r="I643" s="135"/>
    </row>
    <row r="644">
      <c r="I644" s="135"/>
    </row>
    <row r="645">
      <c r="I645" s="135"/>
    </row>
    <row r="646">
      <c r="I646" s="135"/>
    </row>
    <row r="647">
      <c r="I647" s="135"/>
    </row>
    <row r="648">
      <c r="I648" s="135"/>
    </row>
    <row r="649">
      <c r="I649" s="135"/>
    </row>
    <row r="650">
      <c r="I650" s="135"/>
    </row>
    <row r="651">
      <c r="I651" s="135"/>
    </row>
    <row r="652">
      <c r="I652" s="135"/>
    </row>
    <row r="653">
      <c r="I653" s="135"/>
    </row>
    <row r="654">
      <c r="I654" s="135"/>
    </row>
    <row r="655">
      <c r="I655" s="135"/>
    </row>
    <row r="656">
      <c r="I656" s="135"/>
    </row>
    <row r="657">
      <c r="I657" s="135"/>
    </row>
    <row r="658">
      <c r="I658" s="135"/>
    </row>
    <row r="659">
      <c r="I659" s="135"/>
    </row>
    <row r="660">
      <c r="I660" s="135"/>
    </row>
    <row r="661">
      <c r="I661" s="135"/>
    </row>
    <row r="662">
      <c r="I662" s="135"/>
    </row>
    <row r="663">
      <c r="I663" s="135"/>
    </row>
    <row r="664">
      <c r="I664" s="135"/>
    </row>
    <row r="665">
      <c r="I665" s="135"/>
    </row>
    <row r="666">
      <c r="I666" s="135"/>
    </row>
    <row r="667">
      <c r="I667" s="135"/>
    </row>
    <row r="668">
      <c r="I668" s="135"/>
    </row>
    <row r="669">
      <c r="I669" s="135"/>
    </row>
    <row r="670">
      <c r="I670" s="135"/>
    </row>
    <row r="671">
      <c r="I671" s="135"/>
    </row>
    <row r="672">
      <c r="I672" s="135"/>
    </row>
    <row r="673">
      <c r="I673" s="135"/>
    </row>
    <row r="674">
      <c r="I674" s="135"/>
    </row>
    <row r="675">
      <c r="I675" s="135"/>
    </row>
    <row r="676">
      <c r="I676" s="135"/>
    </row>
    <row r="677">
      <c r="I677" s="135"/>
    </row>
    <row r="678">
      <c r="I678" s="135"/>
    </row>
    <row r="679">
      <c r="I679" s="135"/>
    </row>
    <row r="680">
      <c r="I680" s="135"/>
    </row>
    <row r="681">
      <c r="I681" s="135"/>
    </row>
    <row r="682">
      <c r="I682" s="135"/>
    </row>
    <row r="683">
      <c r="I683" s="135"/>
    </row>
    <row r="684">
      <c r="I684" s="135"/>
    </row>
    <row r="685">
      <c r="I685" s="135"/>
    </row>
    <row r="686">
      <c r="I686" s="135"/>
    </row>
    <row r="687">
      <c r="I687" s="135"/>
    </row>
    <row r="688">
      <c r="I688" s="135"/>
    </row>
    <row r="689">
      <c r="I689" s="135"/>
    </row>
    <row r="690">
      <c r="I690" s="135"/>
    </row>
    <row r="691">
      <c r="I691" s="135"/>
    </row>
    <row r="692">
      <c r="I692" s="135"/>
    </row>
    <row r="693">
      <c r="I693" s="135"/>
    </row>
    <row r="694">
      <c r="I694" s="135"/>
    </row>
    <row r="695">
      <c r="I695" s="135"/>
    </row>
    <row r="696">
      <c r="I696" s="135"/>
    </row>
    <row r="697">
      <c r="I697" s="135"/>
    </row>
    <row r="698">
      <c r="I698" s="135"/>
    </row>
    <row r="699">
      <c r="I699" s="135"/>
    </row>
    <row r="700">
      <c r="I700" s="135"/>
    </row>
    <row r="701">
      <c r="I701" s="135"/>
    </row>
    <row r="702">
      <c r="I702" s="135"/>
    </row>
    <row r="703">
      <c r="I703" s="135"/>
    </row>
    <row r="704">
      <c r="I704" s="135"/>
    </row>
    <row r="705">
      <c r="I705" s="135"/>
    </row>
    <row r="706">
      <c r="I706" s="135"/>
    </row>
    <row r="707">
      <c r="I707" s="135"/>
    </row>
    <row r="708">
      <c r="I708" s="135"/>
    </row>
    <row r="709">
      <c r="I709" s="135"/>
    </row>
    <row r="710">
      <c r="I710" s="135"/>
    </row>
    <row r="711">
      <c r="I711" s="135"/>
    </row>
    <row r="712">
      <c r="I712" s="135"/>
    </row>
    <row r="713">
      <c r="I713" s="135"/>
    </row>
    <row r="714">
      <c r="I714" s="135"/>
    </row>
    <row r="715">
      <c r="I715" s="135"/>
    </row>
    <row r="716">
      <c r="I716" s="135"/>
    </row>
    <row r="717">
      <c r="I717" s="135"/>
    </row>
    <row r="718">
      <c r="I718" s="135"/>
    </row>
    <row r="719">
      <c r="I719" s="135"/>
    </row>
    <row r="720">
      <c r="I720" s="135"/>
    </row>
    <row r="721">
      <c r="I721" s="135"/>
    </row>
    <row r="722">
      <c r="I722" s="135"/>
    </row>
    <row r="723">
      <c r="I723" s="135"/>
    </row>
    <row r="724">
      <c r="I724" s="135"/>
    </row>
    <row r="725">
      <c r="I725" s="135"/>
    </row>
    <row r="726">
      <c r="I726" s="135"/>
    </row>
    <row r="727">
      <c r="I727" s="135"/>
    </row>
    <row r="728">
      <c r="I728" s="135"/>
    </row>
    <row r="729">
      <c r="I729" s="135"/>
    </row>
    <row r="730">
      <c r="I730" s="135"/>
    </row>
    <row r="731">
      <c r="I731" s="135"/>
    </row>
    <row r="732">
      <c r="I732" s="135"/>
    </row>
    <row r="733">
      <c r="I733" s="135"/>
    </row>
    <row r="734">
      <c r="I734" s="135"/>
    </row>
    <row r="735">
      <c r="I735" s="135"/>
    </row>
    <row r="736">
      <c r="I736" s="135"/>
    </row>
    <row r="737">
      <c r="I737" s="135"/>
    </row>
    <row r="738">
      <c r="I738" s="135"/>
    </row>
    <row r="739">
      <c r="I739" s="135"/>
    </row>
    <row r="740">
      <c r="I740" s="135"/>
    </row>
    <row r="741">
      <c r="I741" s="135"/>
    </row>
    <row r="742">
      <c r="I742" s="135"/>
    </row>
    <row r="743">
      <c r="I743" s="135"/>
    </row>
    <row r="744">
      <c r="I744" s="135"/>
    </row>
    <row r="745">
      <c r="I745" s="135"/>
    </row>
    <row r="746">
      <c r="I746" s="135"/>
    </row>
    <row r="747">
      <c r="I747" s="135"/>
    </row>
    <row r="748">
      <c r="I748" s="135"/>
    </row>
    <row r="749">
      <c r="I749" s="135"/>
    </row>
    <row r="750">
      <c r="I750" s="135"/>
    </row>
    <row r="751">
      <c r="I751" s="135"/>
    </row>
    <row r="752">
      <c r="I752" s="135"/>
    </row>
    <row r="753">
      <c r="I753" s="135"/>
    </row>
    <row r="754">
      <c r="I754" s="135"/>
    </row>
    <row r="755">
      <c r="I755" s="135"/>
    </row>
    <row r="756">
      <c r="I756" s="135"/>
    </row>
    <row r="757">
      <c r="I757" s="135"/>
    </row>
    <row r="758">
      <c r="I758" s="135"/>
    </row>
    <row r="759">
      <c r="I759" s="135"/>
    </row>
    <row r="760">
      <c r="I760" s="135"/>
    </row>
    <row r="761">
      <c r="I761" s="135"/>
    </row>
    <row r="762">
      <c r="I762" s="135"/>
    </row>
    <row r="763">
      <c r="I763" s="135"/>
    </row>
    <row r="764">
      <c r="I764" s="135"/>
    </row>
    <row r="765">
      <c r="I765" s="135"/>
    </row>
    <row r="766">
      <c r="I766" s="135"/>
    </row>
    <row r="767">
      <c r="I767" s="135"/>
    </row>
    <row r="768">
      <c r="I768" s="135"/>
    </row>
    <row r="769">
      <c r="I769" s="135"/>
    </row>
    <row r="770">
      <c r="I770" s="135"/>
    </row>
    <row r="771">
      <c r="I771" s="135"/>
    </row>
    <row r="772">
      <c r="I772" s="135"/>
    </row>
    <row r="773">
      <c r="I773" s="135"/>
    </row>
    <row r="774">
      <c r="I774" s="135"/>
    </row>
    <row r="775">
      <c r="I775" s="135"/>
    </row>
    <row r="776">
      <c r="I776" s="135"/>
    </row>
    <row r="777">
      <c r="I777" s="135"/>
    </row>
    <row r="778">
      <c r="I778" s="135"/>
    </row>
    <row r="779">
      <c r="I779" s="135"/>
    </row>
    <row r="780">
      <c r="I780" s="135"/>
    </row>
    <row r="781">
      <c r="I781" s="135"/>
    </row>
    <row r="782">
      <c r="I782" s="135"/>
    </row>
    <row r="783">
      <c r="I783" s="135"/>
    </row>
    <row r="784">
      <c r="I784" s="135"/>
    </row>
    <row r="785">
      <c r="I785" s="135"/>
    </row>
    <row r="786">
      <c r="I786" s="135"/>
    </row>
    <row r="787">
      <c r="I787" s="135"/>
    </row>
    <row r="788">
      <c r="I788" s="135"/>
    </row>
    <row r="789">
      <c r="I789" s="135"/>
    </row>
    <row r="790">
      <c r="I790" s="135"/>
    </row>
    <row r="791">
      <c r="I791" s="135"/>
    </row>
    <row r="792">
      <c r="I792" s="135"/>
    </row>
    <row r="793">
      <c r="I793" s="135"/>
    </row>
    <row r="794">
      <c r="I794" s="135"/>
    </row>
    <row r="795">
      <c r="I795" s="135"/>
    </row>
    <row r="796">
      <c r="I796" s="135"/>
    </row>
    <row r="797">
      <c r="I797" s="135"/>
    </row>
    <row r="798">
      <c r="I798" s="135"/>
    </row>
    <row r="799">
      <c r="I799" s="135"/>
    </row>
    <row r="800">
      <c r="I800" s="135"/>
    </row>
    <row r="801">
      <c r="I801" s="135"/>
    </row>
    <row r="802">
      <c r="I802" s="135"/>
    </row>
    <row r="803">
      <c r="I803" s="135"/>
    </row>
    <row r="804">
      <c r="I804" s="135"/>
    </row>
    <row r="805">
      <c r="I805" s="135"/>
    </row>
    <row r="806">
      <c r="I806" s="135"/>
    </row>
    <row r="807">
      <c r="I807" s="135"/>
    </row>
    <row r="808">
      <c r="I808" s="135"/>
    </row>
    <row r="809">
      <c r="I809" s="135"/>
    </row>
    <row r="810">
      <c r="I810" s="135"/>
    </row>
    <row r="811">
      <c r="I811" s="135"/>
    </row>
    <row r="812">
      <c r="I812" s="135"/>
    </row>
    <row r="813">
      <c r="I813" s="135"/>
    </row>
    <row r="814">
      <c r="I814" s="135"/>
    </row>
    <row r="815">
      <c r="I815" s="135"/>
    </row>
    <row r="816">
      <c r="I816" s="135"/>
    </row>
    <row r="817">
      <c r="I817" s="135"/>
    </row>
    <row r="818">
      <c r="I818" s="135"/>
    </row>
    <row r="819">
      <c r="I819" s="135"/>
    </row>
    <row r="820">
      <c r="I820" s="135"/>
    </row>
    <row r="821">
      <c r="I821" s="135"/>
    </row>
    <row r="822">
      <c r="I822" s="135"/>
    </row>
    <row r="823">
      <c r="I823" s="135"/>
    </row>
    <row r="824">
      <c r="I824" s="135"/>
    </row>
    <row r="825">
      <c r="I825" s="135"/>
    </row>
    <row r="826">
      <c r="I826" s="135"/>
    </row>
    <row r="827">
      <c r="I827" s="135"/>
    </row>
    <row r="828">
      <c r="I828" s="135"/>
    </row>
    <row r="829">
      <c r="I829" s="135"/>
    </row>
    <row r="830">
      <c r="I830" s="135"/>
    </row>
    <row r="831">
      <c r="I831" s="135"/>
    </row>
    <row r="832">
      <c r="I832" s="135"/>
    </row>
    <row r="833">
      <c r="I833" s="135"/>
    </row>
    <row r="834">
      <c r="I834" s="135"/>
    </row>
    <row r="835">
      <c r="I835" s="135"/>
    </row>
    <row r="836">
      <c r="I836" s="135"/>
    </row>
    <row r="837">
      <c r="I837" s="135"/>
    </row>
    <row r="838">
      <c r="I838" s="135"/>
    </row>
    <row r="839">
      <c r="I839" s="135"/>
    </row>
    <row r="840">
      <c r="I840" s="135"/>
    </row>
    <row r="841">
      <c r="I841" s="135"/>
    </row>
    <row r="842">
      <c r="I842" s="135"/>
    </row>
    <row r="843">
      <c r="I843" s="135"/>
    </row>
    <row r="844">
      <c r="I844" s="135"/>
    </row>
    <row r="845">
      <c r="I845" s="135"/>
    </row>
    <row r="846">
      <c r="I846" s="135"/>
    </row>
    <row r="847">
      <c r="I847" s="135"/>
    </row>
    <row r="848">
      <c r="I848" s="135"/>
    </row>
    <row r="849">
      <c r="I849" s="135"/>
    </row>
    <row r="850">
      <c r="I850" s="135"/>
    </row>
    <row r="851">
      <c r="I851" s="135"/>
    </row>
    <row r="852">
      <c r="I852" s="135"/>
    </row>
    <row r="853">
      <c r="I853" s="135"/>
    </row>
    <row r="854">
      <c r="I854" s="135"/>
    </row>
    <row r="855">
      <c r="I855" s="135"/>
    </row>
    <row r="856">
      <c r="I856" s="135"/>
    </row>
    <row r="857">
      <c r="I857" s="135"/>
    </row>
    <row r="858">
      <c r="I858" s="135"/>
    </row>
    <row r="859">
      <c r="I859" s="135"/>
    </row>
    <row r="860">
      <c r="I860" s="135"/>
    </row>
    <row r="861">
      <c r="I861" s="135"/>
    </row>
    <row r="862">
      <c r="I862" s="135"/>
    </row>
    <row r="863">
      <c r="I863" s="135"/>
    </row>
    <row r="864">
      <c r="I864" s="135"/>
    </row>
    <row r="865">
      <c r="I865" s="135"/>
    </row>
    <row r="866">
      <c r="I866" s="135"/>
    </row>
    <row r="867">
      <c r="I867" s="135"/>
    </row>
    <row r="868">
      <c r="I868" s="135"/>
    </row>
    <row r="869">
      <c r="I869" s="135"/>
    </row>
    <row r="870">
      <c r="I870" s="135"/>
    </row>
    <row r="871">
      <c r="I871" s="135"/>
    </row>
    <row r="872">
      <c r="I872" s="135"/>
    </row>
    <row r="873">
      <c r="I873" s="135"/>
    </row>
    <row r="874">
      <c r="I874" s="135"/>
    </row>
    <row r="875">
      <c r="I875" s="135"/>
    </row>
    <row r="876">
      <c r="I876" s="135"/>
    </row>
    <row r="877">
      <c r="I877" s="135"/>
    </row>
    <row r="878">
      <c r="I878" s="135"/>
    </row>
    <row r="879">
      <c r="I879" s="135"/>
    </row>
    <row r="880">
      <c r="I880" s="135"/>
    </row>
    <row r="881">
      <c r="I881" s="135"/>
    </row>
    <row r="882">
      <c r="I882" s="135"/>
    </row>
    <row r="883">
      <c r="I883" s="135"/>
    </row>
    <row r="884">
      <c r="I884" s="135"/>
    </row>
    <row r="885">
      <c r="I885" s="135"/>
    </row>
    <row r="886">
      <c r="I886" s="135"/>
    </row>
    <row r="887">
      <c r="I887" s="135"/>
    </row>
    <row r="888">
      <c r="I888" s="135"/>
    </row>
    <row r="889">
      <c r="I889" s="135"/>
    </row>
    <row r="890">
      <c r="I890" s="135"/>
    </row>
    <row r="891">
      <c r="I891" s="135"/>
    </row>
    <row r="892">
      <c r="I892" s="135"/>
    </row>
    <row r="893">
      <c r="I893" s="135"/>
    </row>
    <row r="894">
      <c r="I894" s="135"/>
    </row>
    <row r="895">
      <c r="I895" s="135"/>
    </row>
    <row r="896">
      <c r="I896" s="135"/>
    </row>
    <row r="897">
      <c r="I897" s="135"/>
    </row>
    <row r="898">
      <c r="I898" s="135"/>
    </row>
    <row r="899">
      <c r="I899" s="135"/>
    </row>
    <row r="900">
      <c r="I900" s="135"/>
    </row>
    <row r="901">
      <c r="I901" s="135"/>
    </row>
    <row r="902">
      <c r="I902" s="135"/>
    </row>
    <row r="903">
      <c r="I903" s="135"/>
    </row>
    <row r="904">
      <c r="I904" s="135"/>
    </row>
    <row r="905">
      <c r="I905" s="135"/>
    </row>
    <row r="906">
      <c r="I906" s="135"/>
    </row>
    <row r="907">
      <c r="I907" s="135"/>
    </row>
    <row r="908">
      <c r="I908" s="135"/>
    </row>
    <row r="909">
      <c r="I909" s="135"/>
    </row>
    <row r="910">
      <c r="I910" s="135"/>
    </row>
    <row r="911">
      <c r="I911" s="135"/>
    </row>
    <row r="912">
      <c r="I912" s="135"/>
    </row>
    <row r="913">
      <c r="I913" s="135"/>
    </row>
    <row r="914">
      <c r="I914" s="135"/>
    </row>
    <row r="915">
      <c r="I915" s="135"/>
    </row>
    <row r="916">
      <c r="I916" s="135"/>
    </row>
    <row r="917">
      <c r="I917" s="135"/>
    </row>
    <row r="918">
      <c r="I918" s="135"/>
    </row>
    <row r="919">
      <c r="I919" s="135"/>
    </row>
    <row r="920">
      <c r="I920" s="135"/>
    </row>
    <row r="921">
      <c r="I921" s="135"/>
    </row>
    <row r="922">
      <c r="I922" s="135"/>
    </row>
    <row r="923">
      <c r="I923" s="135"/>
    </row>
    <row r="924">
      <c r="I924" s="135"/>
    </row>
    <row r="925">
      <c r="I925" s="135"/>
    </row>
    <row r="926">
      <c r="I926" s="135"/>
    </row>
    <row r="927">
      <c r="I927" s="135"/>
    </row>
    <row r="928">
      <c r="I928" s="135"/>
    </row>
    <row r="929">
      <c r="I929" s="135"/>
    </row>
    <row r="930">
      <c r="I930" s="135"/>
    </row>
    <row r="931">
      <c r="I931" s="135"/>
    </row>
    <row r="932">
      <c r="I932" s="135"/>
    </row>
    <row r="933">
      <c r="I933" s="135"/>
    </row>
    <row r="934">
      <c r="I934" s="135"/>
    </row>
    <row r="935">
      <c r="I935" s="135"/>
    </row>
    <row r="936">
      <c r="I936" s="135"/>
    </row>
    <row r="937">
      <c r="I937" s="135"/>
    </row>
    <row r="938">
      <c r="I938" s="135"/>
    </row>
    <row r="939">
      <c r="I939" s="135"/>
    </row>
    <row r="940">
      <c r="I940" s="135"/>
    </row>
    <row r="941">
      <c r="I941" s="135"/>
    </row>
    <row r="942">
      <c r="I942" s="135"/>
    </row>
    <row r="943">
      <c r="I943" s="135"/>
    </row>
    <row r="944">
      <c r="I944" s="135"/>
    </row>
    <row r="945">
      <c r="I945" s="135"/>
    </row>
    <row r="946">
      <c r="I946" s="135"/>
    </row>
    <row r="947">
      <c r="I947" s="135"/>
    </row>
    <row r="948">
      <c r="I948" s="135"/>
    </row>
    <row r="949">
      <c r="I949" s="135"/>
    </row>
    <row r="950">
      <c r="I950" s="135"/>
    </row>
  </sheetData>
  <conditionalFormatting sqref="A2:I949">
    <cfRule type="expression" dxfId="1" priority="1">
      <formula>$B2="Anterior"</formula>
    </cfRule>
  </conditionalFormatting>
  <conditionalFormatting sqref="A2:I949">
    <cfRule type="expression" dxfId="2" priority="2">
      <formula>$B2="Nova"</formula>
    </cfRule>
  </conditionalFormatting>
  <drawing r:id="rId1"/>
</worksheet>
</file>